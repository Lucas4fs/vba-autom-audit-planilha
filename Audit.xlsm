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EstaPasta_de_trabalho"/>
  <mc:AlternateContent xmlns:mc="http://schemas.openxmlformats.org/markup-compatibility/2006">
    <mc:Choice Requires="x15">
      <x15ac:absPath xmlns:x15ac="http://schemas.microsoft.com/office/spreadsheetml/2010/11/ac" url="C:\Users\lucas\Desktop\Estudos\Projeto VBA Automatizacao de Comentario\"/>
    </mc:Choice>
  </mc:AlternateContent>
  <bookViews>
    <workbookView xWindow="-120" yWindow="-120" windowWidth="29040" windowHeight="15720" tabRatio="864" activeTab="4"/>
  </bookViews>
  <sheets>
    <sheet name="Particularidades Aliq. ICMS" sheetId="7" r:id="rId1"/>
    <sheet name="Pis_Cofins Aliq. 0" sheetId="10" r:id="rId2"/>
    <sheet name="REDUÇÕES" sheetId="6" r:id="rId3"/>
    <sheet name="ISENÇÕES" sheetId="5" r:id="rId4"/>
    <sheet name="Exceções PIS Cofins Aliq 0" sheetId="9" r:id="rId5"/>
    <sheet name="Exceções de ST Alíquota e ST" sheetId="14" r:id="rId6"/>
    <sheet name="Exceções Interestadual" sheetId="12" r:id="rId7"/>
    <sheet name="NCM" sheetId="11" r:id="rId8"/>
    <sheet name="Tab ICMS" sheetId="8" r:id="rId9"/>
    <sheet name="CST" sheetId="4" r:id="rId10"/>
    <sheet name="ST" sheetId="1" r:id="rId11"/>
    <sheet name="CFOP" sheetId="2" r:id="rId12"/>
  </sheets>
  <definedNames>
    <definedName name="_xlnm._FilterDatabase" localSheetId="9" hidden="1">CST!$A$15:$G$1019</definedName>
    <definedName name="_xlnm._FilterDatabase" localSheetId="5" hidden="1">'Exceções de ST Alíquota e ST'!#REF!</definedName>
    <definedName name="_xlnm._FilterDatabase" localSheetId="6" hidden="1">'Exceções Interestadual'!#REF!</definedName>
    <definedName name="_xlnm._FilterDatabase" localSheetId="4" hidden="1">'Exceções PIS Cofins Aliq 0'!$A$1:$G$1</definedName>
    <definedName name="_xlnm._FilterDatabase" localSheetId="3" hidden="1">ISENÇÕES!$A$1:$D$140</definedName>
    <definedName name="_xlnm._FilterDatabase" localSheetId="0" hidden="1">'Particularidades Aliq. ICMS'!$A$1:$G$331</definedName>
    <definedName name="_xlnm._FilterDatabase" localSheetId="1" hidden="1">'Pis_Cofins Aliq. 0'!$A$1:$H$967</definedName>
    <definedName name="_xlnm._FilterDatabase" localSheetId="2" hidden="1">REDUÇÕES!$A$1:$W$717</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2" i="14" l="1"/>
  <c r="E31" i="14"/>
  <c r="E30" i="14"/>
  <c r="E29" i="14"/>
  <c r="E28" i="14"/>
  <c r="E27" i="14"/>
  <c r="E26" i="14"/>
  <c r="E25" i="14"/>
  <c r="E24" i="14"/>
  <c r="E20" i="14"/>
  <c r="E18" i="14"/>
  <c r="E17" i="14"/>
  <c r="E16" i="14"/>
  <c r="E15" i="14"/>
  <c r="E4" i="14"/>
  <c r="E23" i="14"/>
  <c r="E22" i="14"/>
  <c r="E21" i="14"/>
  <c r="E3" i="14" l="1"/>
  <c r="E19" i="14" l="1"/>
  <c r="E12" i="14" l="1"/>
  <c r="E13" i="14"/>
  <c r="E14" i="14"/>
  <c r="E9" i="14"/>
  <c r="E10" i="14"/>
  <c r="E11" i="14"/>
  <c r="E8" i="14" l="1"/>
  <c r="E7" i="14"/>
  <c r="E6" i="14"/>
  <c r="E5" i="14" l="1"/>
  <c r="E2" i="14"/>
  <c r="I26589" i="9" l="1"/>
  <c r="I26590" i="9"/>
  <c r="I26591" i="9"/>
  <c r="I26588" i="9"/>
  <c r="I26587" i="9"/>
  <c r="I26586" i="9"/>
  <c r="I26583" i="9"/>
  <c r="I26584" i="9"/>
  <c r="I26585" i="9"/>
  <c r="I26581" i="9"/>
  <c r="I26582" i="9"/>
  <c r="I26580" i="9"/>
  <c r="I26574" i="9"/>
  <c r="I26575" i="9"/>
  <c r="I26576" i="9"/>
  <c r="I26577" i="9"/>
  <c r="I26578" i="9"/>
  <c r="I26579" i="9"/>
  <c r="I26570" i="9"/>
  <c r="I26571" i="9"/>
  <c r="I26572" i="9"/>
  <c r="I26573" i="9"/>
  <c r="I26542" i="9"/>
  <c r="I26543" i="9"/>
  <c r="I26544" i="9"/>
  <c r="I26545" i="9"/>
  <c r="I26546" i="9"/>
  <c r="I26547" i="9"/>
  <c r="I26548" i="9"/>
  <c r="I26549" i="9"/>
  <c r="I26550" i="9"/>
  <c r="I26551" i="9"/>
  <c r="I26552" i="9"/>
  <c r="I26553" i="9"/>
  <c r="I26554" i="9"/>
  <c r="I26555" i="9"/>
  <c r="I26556" i="9"/>
  <c r="I26557" i="9"/>
  <c r="I26558" i="9"/>
  <c r="I26559" i="9"/>
  <c r="I26560" i="9"/>
  <c r="I26561" i="9"/>
  <c r="I26562" i="9"/>
  <c r="I26563" i="9"/>
  <c r="I26564" i="9"/>
  <c r="I26565" i="9"/>
  <c r="I26566" i="9"/>
  <c r="I26567" i="9"/>
  <c r="I26568" i="9"/>
  <c r="I26569" i="9"/>
  <c r="I26540" i="9"/>
  <c r="I26541" i="9"/>
  <c r="I26498" i="9"/>
  <c r="I26499" i="9"/>
  <c r="I26500" i="9"/>
  <c r="I26501" i="9"/>
  <c r="I26502" i="9"/>
  <c r="I26503" i="9"/>
  <c r="I26504" i="9"/>
  <c r="I26505" i="9"/>
  <c r="I26506" i="9"/>
  <c r="I26507" i="9"/>
  <c r="I26508" i="9"/>
  <c r="I26509" i="9"/>
  <c r="I26510" i="9"/>
  <c r="I26511" i="9"/>
  <c r="I26512" i="9"/>
  <c r="I26513" i="9"/>
  <c r="I26514" i="9"/>
  <c r="I26515" i="9"/>
  <c r="I26516" i="9"/>
  <c r="I26517" i="9"/>
  <c r="I26518" i="9"/>
  <c r="I26519" i="9"/>
  <c r="I26520" i="9"/>
  <c r="I26521" i="9"/>
  <c r="I26522" i="9"/>
  <c r="I26523" i="9"/>
  <c r="I26524" i="9"/>
  <c r="I26525" i="9"/>
  <c r="I26526" i="9"/>
  <c r="I26527" i="9"/>
  <c r="I26528" i="9"/>
  <c r="I26529" i="9"/>
  <c r="I26530" i="9"/>
  <c r="I26531" i="9"/>
  <c r="I26532" i="9"/>
  <c r="I26533" i="9"/>
  <c r="I26534" i="9"/>
  <c r="I26535" i="9"/>
  <c r="I26536" i="9"/>
  <c r="I26537" i="9"/>
  <c r="I26538" i="9"/>
  <c r="I26539" i="9"/>
  <c r="I26495" i="9"/>
  <c r="I26496" i="9"/>
  <c r="I26497" i="9"/>
  <c r="I26392" i="9"/>
  <c r="I26393" i="9"/>
  <c r="I26394" i="9"/>
  <c r="I26395" i="9"/>
  <c r="I26396" i="9"/>
  <c r="I26397" i="9"/>
  <c r="I26398" i="9"/>
  <c r="I26399" i="9"/>
  <c r="I26400" i="9"/>
  <c r="I26401" i="9"/>
  <c r="I26402" i="9"/>
  <c r="I26403" i="9"/>
  <c r="I26404" i="9"/>
  <c r="I26405" i="9"/>
  <c r="I26406" i="9"/>
  <c r="I26407" i="9"/>
  <c r="I26408" i="9"/>
  <c r="I26409" i="9"/>
  <c r="I26410" i="9"/>
  <c r="I26411" i="9"/>
  <c r="I26412" i="9"/>
  <c r="I26413" i="9"/>
  <c r="I26414" i="9"/>
  <c r="I26415" i="9"/>
  <c r="I26416" i="9"/>
  <c r="I26417" i="9"/>
  <c r="I26418" i="9"/>
  <c r="I26419" i="9"/>
  <c r="I26420" i="9"/>
  <c r="I26421" i="9"/>
  <c r="I26422" i="9"/>
  <c r="I26423" i="9"/>
  <c r="I26424" i="9"/>
  <c r="I26425" i="9"/>
  <c r="I26426" i="9"/>
  <c r="I26427" i="9"/>
  <c r="I26428" i="9"/>
  <c r="I26429" i="9"/>
  <c r="I26430" i="9"/>
  <c r="I26431" i="9"/>
  <c r="I26432" i="9"/>
  <c r="I26433" i="9"/>
  <c r="I26434" i="9"/>
  <c r="I26435" i="9"/>
  <c r="I26436" i="9"/>
  <c r="I26437" i="9"/>
  <c r="I26438" i="9"/>
  <c r="I26439" i="9"/>
  <c r="I26440" i="9"/>
  <c r="I26441" i="9"/>
  <c r="I26442" i="9"/>
  <c r="I26443" i="9"/>
  <c r="I26444" i="9"/>
  <c r="I26445" i="9"/>
  <c r="I26446" i="9"/>
  <c r="I26447" i="9"/>
  <c r="I26448" i="9"/>
  <c r="I26449" i="9"/>
  <c r="I26450" i="9"/>
  <c r="I26451" i="9"/>
  <c r="I26452" i="9"/>
  <c r="I26453" i="9"/>
  <c r="I26454" i="9"/>
  <c r="I26455" i="9"/>
  <c r="I26456" i="9"/>
  <c r="I26457" i="9"/>
  <c r="I26458" i="9"/>
  <c r="I26459" i="9"/>
  <c r="I26460" i="9"/>
  <c r="I26461" i="9"/>
  <c r="I26462" i="9"/>
  <c r="I26463" i="9"/>
  <c r="I26464" i="9"/>
  <c r="I26465" i="9"/>
  <c r="I26466" i="9"/>
  <c r="I26467" i="9"/>
  <c r="I26468" i="9"/>
  <c r="I26469" i="9"/>
  <c r="I26470" i="9"/>
  <c r="I26471" i="9"/>
  <c r="I26472" i="9"/>
  <c r="I26473" i="9"/>
  <c r="I26474" i="9"/>
  <c r="I26475" i="9"/>
  <c r="I26476" i="9"/>
  <c r="I26477" i="9"/>
  <c r="I26478" i="9"/>
  <c r="I26479" i="9"/>
  <c r="I26480" i="9"/>
  <c r="I26481" i="9"/>
  <c r="I26482" i="9"/>
  <c r="I26483" i="9"/>
  <c r="I26484" i="9"/>
  <c r="I26485" i="9"/>
  <c r="I26486" i="9"/>
  <c r="I26487" i="9"/>
  <c r="I26488" i="9"/>
  <c r="I26489" i="9"/>
  <c r="I26490" i="9"/>
  <c r="I26491" i="9"/>
  <c r="I26492" i="9"/>
  <c r="I26493" i="9"/>
  <c r="I26494" i="9"/>
  <c r="I26221" i="9"/>
  <c r="I26222" i="9"/>
  <c r="I26223" i="9"/>
  <c r="I26224" i="9"/>
  <c r="I26225" i="9"/>
  <c r="I26226" i="9"/>
  <c r="I26227" i="9"/>
  <c r="I26228" i="9"/>
  <c r="I26229" i="9"/>
  <c r="I26230" i="9"/>
  <c r="I26231" i="9"/>
  <c r="I26232" i="9"/>
  <c r="I26233" i="9"/>
  <c r="I26234" i="9"/>
  <c r="I26235" i="9"/>
  <c r="I26236" i="9"/>
  <c r="I26237" i="9"/>
  <c r="I26238" i="9"/>
  <c r="I26239" i="9"/>
  <c r="I26240" i="9"/>
  <c r="I26241" i="9"/>
  <c r="I26242" i="9"/>
  <c r="I26243" i="9"/>
  <c r="I26244" i="9"/>
  <c r="I26245" i="9"/>
  <c r="I26246" i="9"/>
  <c r="I26247" i="9"/>
  <c r="I26248" i="9"/>
  <c r="I26249" i="9"/>
  <c r="I26250" i="9"/>
  <c r="I26251" i="9"/>
  <c r="I26252" i="9"/>
  <c r="I26253" i="9"/>
  <c r="I26254" i="9"/>
  <c r="I26255" i="9"/>
  <c r="I26256" i="9"/>
  <c r="I26257" i="9"/>
  <c r="I26258" i="9"/>
  <c r="I26259" i="9"/>
  <c r="I26260" i="9"/>
  <c r="I26261" i="9"/>
  <c r="I26262" i="9"/>
  <c r="I26263" i="9"/>
  <c r="I26264" i="9"/>
  <c r="I26265" i="9"/>
  <c r="I26266" i="9"/>
  <c r="I26267" i="9"/>
  <c r="I26268" i="9"/>
  <c r="I26269" i="9"/>
  <c r="I26270" i="9"/>
  <c r="I26271" i="9"/>
  <c r="I26272" i="9"/>
  <c r="I26273" i="9"/>
  <c r="I26274" i="9"/>
  <c r="I26275" i="9"/>
  <c r="I26276" i="9"/>
  <c r="I26277" i="9"/>
  <c r="I26278" i="9"/>
  <c r="I26279" i="9"/>
  <c r="I26280" i="9"/>
  <c r="I26281" i="9"/>
  <c r="I26282" i="9"/>
  <c r="I26283" i="9"/>
  <c r="I26284" i="9"/>
  <c r="I26285" i="9"/>
  <c r="I26286" i="9"/>
  <c r="I26287" i="9"/>
  <c r="I26288" i="9"/>
  <c r="I26289" i="9"/>
  <c r="I26290" i="9"/>
  <c r="I26291" i="9"/>
  <c r="I26292" i="9"/>
  <c r="I26293" i="9"/>
  <c r="I26294" i="9"/>
  <c r="I26295" i="9"/>
  <c r="I26296" i="9"/>
  <c r="I26297" i="9"/>
  <c r="I26298" i="9"/>
  <c r="I26299" i="9"/>
  <c r="I26300" i="9"/>
  <c r="I26301" i="9"/>
  <c r="I26302" i="9"/>
  <c r="I26303" i="9"/>
  <c r="I26304" i="9"/>
  <c r="I26305" i="9"/>
  <c r="I26306" i="9"/>
  <c r="I26307" i="9"/>
  <c r="I26308" i="9"/>
  <c r="I26309" i="9"/>
  <c r="I26310" i="9"/>
  <c r="I26311" i="9"/>
  <c r="I26312" i="9"/>
  <c r="I26313" i="9"/>
  <c r="I26314" i="9"/>
  <c r="I26315" i="9"/>
  <c r="I26316" i="9"/>
  <c r="I26317" i="9"/>
  <c r="I26318" i="9"/>
  <c r="I26319" i="9"/>
  <c r="I26320" i="9"/>
  <c r="I26321" i="9"/>
  <c r="I26322" i="9"/>
  <c r="I26323" i="9"/>
  <c r="I26324" i="9"/>
  <c r="I26325" i="9"/>
  <c r="I26326" i="9"/>
  <c r="I26327" i="9"/>
  <c r="I26328" i="9"/>
  <c r="I26329" i="9"/>
  <c r="I26330" i="9"/>
  <c r="I26331" i="9"/>
  <c r="I26332" i="9"/>
  <c r="I26333" i="9"/>
  <c r="I26334" i="9"/>
  <c r="I26335" i="9"/>
  <c r="I26336" i="9"/>
  <c r="I26337" i="9"/>
  <c r="I26338" i="9"/>
  <c r="I26339" i="9"/>
  <c r="I26340" i="9"/>
  <c r="I26341" i="9"/>
  <c r="I26342" i="9"/>
  <c r="I26343" i="9"/>
  <c r="I26344" i="9"/>
  <c r="I26345" i="9"/>
  <c r="I26346" i="9"/>
  <c r="I26347" i="9"/>
  <c r="I26348" i="9"/>
  <c r="I26349" i="9"/>
  <c r="I26350" i="9"/>
  <c r="I26351" i="9"/>
  <c r="I26352" i="9"/>
  <c r="I26353" i="9"/>
  <c r="I26354" i="9"/>
  <c r="I26355" i="9"/>
  <c r="I26356" i="9"/>
  <c r="I26357" i="9"/>
  <c r="I26358" i="9"/>
  <c r="I26359" i="9"/>
  <c r="I26360" i="9"/>
  <c r="I26361" i="9"/>
  <c r="I26362" i="9"/>
  <c r="I26363" i="9"/>
  <c r="I26364" i="9"/>
  <c r="I26365" i="9"/>
  <c r="I26366" i="9"/>
  <c r="I26367" i="9"/>
  <c r="I26368" i="9"/>
  <c r="I26369" i="9"/>
  <c r="I26370" i="9"/>
  <c r="I26371" i="9"/>
  <c r="I26372" i="9"/>
  <c r="I26373" i="9"/>
  <c r="I26374" i="9"/>
  <c r="I26375" i="9"/>
  <c r="I26376" i="9"/>
  <c r="I26377" i="9"/>
  <c r="I26378" i="9"/>
  <c r="I26379" i="9"/>
  <c r="I26380" i="9"/>
  <c r="I26381" i="9"/>
  <c r="I26382" i="9"/>
  <c r="I26383" i="9"/>
  <c r="I26384" i="9"/>
  <c r="I26385" i="9"/>
  <c r="I26386" i="9"/>
  <c r="I26387" i="9"/>
  <c r="I26388" i="9"/>
  <c r="I26389" i="9"/>
  <c r="I26390" i="9"/>
  <c r="I26391" i="9"/>
  <c r="I26202" i="9"/>
  <c r="I26203" i="9"/>
  <c r="I26204" i="9"/>
  <c r="I26205" i="9"/>
  <c r="I26206" i="9"/>
  <c r="I26207" i="9"/>
  <c r="I26208" i="9"/>
  <c r="I26209" i="9"/>
  <c r="I26210" i="9"/>
  <c r="I26211" i="9"/>
  <c r="I26212" i="9"/>
  <c r="I26213" i="9"/>
  <c r="I26214" i="9"/>
  <c r="I26215" i="9"/>
  <c r="I26216" i="9"/>
  <c r="I26217" i="9"/>
  <c r="I26218" i="9"/>
  <c r="I26219" i="9"/>
  <c r="I26220" i="9"/>
  <c r="I26184" i="9"/>
  <c r="I26185" i="9"/>
  <c r="I26186" i="9"/>
  <c r="I26187" i="9"/>
  <c r="I26188" i="9"/>
  <c r="I26189" i="9"/>
  <c r="I26190" i="9"/>
  <c r="I26191" i="9"/>
  <c r="I26192" i="9"/>
  <c r="I26193" i="9"/>
  <c r="I26194" i="9"/>
  <c r="I26195" i="9"/>
  <c r="I26196" i="9"/>
  <c r="I26197" i="9"/>
  <c r="I26198" i="9"/>
  <c r="I26199" i="9"/>
  <c r="I26200" i="9"/>
  <c r="I26201" i="9"/>
  <c r="I26161" i="9"/>
  <c r="I26162" i="9"/>
  <c r="I26163" i="9"/>
  <c r="I26164" i="9"/>
  <c r="I26165" i="9"/>
  <c r="I26166" i="9"/>
  <c r="I26167" i="9"/>
  <c r="I26168" i="9"/>
  <c r="I26169" i="9"/>
  <c r="I26170" i="9"/>
  <c r="I26171" i="9"/>
  <c r="I26172" i="9"/>
  <c r="I26173" i="9"/>
  <c r="I26174" i="9"/>
  <c r="I26175" i="9"/>
  <c r="I26176" i="9"/>
  <c r="I26177" i="9"/>
  <c r="I26178" i="9"/>
  <c r="I26179" i="9"/>
  <c r="I26180" i="9"/>
  <c r="I26181" i="9"/>
  <c r="I26182" i="9"/>
  <c r="I26183" i="9"/>
  <c r="I26127" i="9"/>
  <c r="I26128" i="9"/>
  <c r="I26129" i="9"/>
  <c r="I26130" i="9"/>
  <c r="I26131" i="9"/>
  <c r="I26132" i="9"/>
  <c r="I26133" i="9"/>
  <c r="I26134" i="9"/>
  <c r="I26135" i="9"/>
  <c r="I26136" i="9"/>
  <c r="I26137" i="9"/>
  <c r="I26138" i="9"/>
  <c r="I26139" i="9"/>
  <c r="I26140" i="9"/>
  <c r="I26141" i="9"/>
  <c r="I26142" i="9"/>
  <c r="I26143" i="9"/>
  <c r="I26144" i="9"/>
  <c r="I26145" i="9"/>
  <c r="I26146" i="9"/>
  <c r="I26147" i="9"/>
  <c r="I26148" i="9"/>
  <c r="I26149" i="9"/>
  <c r="I26150" i="9"/>
  <c r="I26151" i="9"/>
  <c r="I26152" i="9"/>
  <c r="I26153" i="9"/>
  <c r="I26154" i="9"/>
  <c r="I26155" i="9"/>
  <c r="I26156" i="9"/>
  <c r="I26157" i="9"/>
  <c r="I26158" i="9"/>
  <c r="I26159" i="9"/>
  <c r="I26160" i="9"/>
  <c r="I26126" i="9"/>
  <c r="I26125" i="9"/>
  <c r="I26122" i="9"/>
  <c r="I26123" i="9"/>
  <c r="I26124" i="9"/>
  <c r="I26119" i="9"/>
  <c r="I26120" i="9"/>
  <c r="I26121" i="9"/>
  <c r="I26118" i="9"/>
  <c r="I26114" i="9"/>
  <c r="I26115" i="9"/>
  <c r="I26116" i="9"/>
  <c r="I26117" i="9"/>
  <c r="I26113" i="9"/>
  <c r="I26111" i="9"/>
  <c r="I26112" i="9"/>
  <c r="I26109" i="9"/>
  <c r="I26110" i="9"/>
  <c r="I26108" i="9"/>
  <c r="I26107" i="9"/>
  <c r="I26106" i="9"/>
  <c r="I26105" i="9"/>
  <c r="I26104" i="9"/>
  <c r="I26103" i="9"/>
  <c r="I26101" i="9"/>
  <c r="I26102" i="9"/>
  <c r="I26100" i="9"/>
  <c r="I26098" i="9"/>
  <c r="I26099" i="9"/>
  <c r="I26096" i="9"/>
  <c r="I26097" i="9"/>
  <c r="I26095" i="9"/>
  <c r="I26092" i="9"/>
  <c r="I26093" i="9"/>
  <c r="I26094" i="9"/>
  <c r="I26091" i="9"/>
  <c r="I26086" i="9"/>
  <c r="I26087" i="9"/>
  <c r="I26088" i="9"/>
  <c r="I26089" i="9"/>
  <c r="I26090" i="9"/>
  <c r="I26085" i="9"/>
  <c r="I26074" i="9"/>
  <c r="I26075" i="9"/>
  <c r="I26076" i="9"/>
  <c r="I26077" i="9"/>
  <c r="I26078" i="9"/>
  <c r="I26079" i="9"/>
  <c r="I26080" i="9"/>
  <c r="I26081" i="9"/>
  <c r="I26082" i="9"/>
  <c r="I26083" i="9"/>
  <c r="I26084" i="9"/>
  <c r="I26073" i="9"/>
  <c r="I26069" i="9"/>
  <c r="I26070" i="9"/>
  <c r="I26071" i="9"/>
  <c r="I26072" i="9"/>
  <c r="I26066" i="9"/>
  <c r="I26067" i="9"/>
  <c r="I26068" i="9"/>
  <c r="I26065" i="9"/>
  <c r="I26062" i="9"/>
  <c r="I26063" i="9"/>
  <c r="I26064" i="9"/>
  <c r="I26059" i="9"/>
  <c r="I26060" i="9"/>
  <c r="I26061" i="9"/>
  <c r="I26058" i="9"/>
  <c r="I26057" i="9"/>
  <c r="I26055" i="9"/>
  <c r="I26056" i="9"/>
  <c r="I26054" i="9"/>
  <c r="I26048" i="9"/>
  <c r="I26049" i="9"/>
  <c r="I26050" i="9"/>
  <c r="I26051" i="9"/>
  <c r="I26052" i="9"/>
  <c r="I26053" i="9"/>
  <c r="I26041" i="9"/>
  <c r="I26042" i="9"/>
  <c r="I26043" i="9"/>
  <c r="I26044" i="9"/>
  <c r="I26045" i="9"/>
  <c r="I26046" i="9"/>
  <c r="I26047" i="9"/>
  <c r="I26040" i="9"/>
  <c r="I26037" i="9"/>
  <c r="I26038" i="9"/>
  <c r="I26039" i="9"/>
  <c r="I26035" i="9"/>
  <c r="I26036" i="9"/>
  <c r="I26032" i="9"/>
  <c r="I26033" i="9"/>
  <c r="I26034" i="9"/>
  <c r="I26029" i="9"/>
  <c r="I26030" i="9"/>
  <c r="I26031" i="9"/>
  <c r="I26028" i="9"/>
  <c r="I26026" i="9"/>
  <c r="I26027" i="9"/>
  <c r="I26025" i="9"/>
  <c r="I26024" i="9"/>
  <c r="I26022" i="9"/>
  <c r="I26023" i="9"/>
  <c r="I26020" i="9"/>
  <c r="I26021" i="9"/>
  <c r="I26019" i="9"/>
  <c r="I26016" i="9"/>
  <c r="I26017" i="9"/>
  <c r="I26018" i="9"/>
  <c r="I26009" i="9"/>
  <c r="I26010" i="9"/>
  <c r="I26011" i="9"/>
  <c r="I26012" i="9"/>
  <c r="I26013" i="9"/>
  <c r="I26014" i="9"/>
  <c r="I26015" i="9"/>
  <c r="I25984" i="9"/>
  <c r="I25985" i="9"/>
  <c r="I25986" i="9"/>
  <c r="I25987" i="9"/>
  <c r="I25988" i="9"/>
  <c r="I25989" i="9"/>
  <c r="I25990" i="9"/>
  <c r="I25991" i="9"/>
  <c r="I25992" i="9"/>
  <c r="I25993" i="9"/>
  <c r="I25994" i="9"/>
  <c r="I25995" i="9"/>
  <c r="I25996" i="9"/>
  <c r="I25997" i="9"/>
  <c r="I25998" i="9"/>
  <c r="I25999" i="9"/>
  <c r="I26000" i="9"/>
  <c r="I26001" i="9"/>
  <c r="I26002" i="9"/>
  <c r="I26003" i="9"/>
  <c r="I26004" i="9"/>
  <c r="I26005" i="9"/>
  <c r="I26006" i="9"/>
  <c r="I26007" i="9"/>
  <c r="I26008" i="9"/>
  <c r="I25978" i="9"/>
  <c r="I25979" i="9"/>
  <c r="I25980" i="9"/>
  <c r="I25981" i="9"/>
  <c r="I25982" i="9"/>
  <c r="I25983" i="9"/>
  <c r="I25972" i="9"/>
  <c r="I25973" i="9"/>
  <c r="I25974" i="9"/>
  <c r="I25975" i="9"/>
  <c r="I25976" i="9"/>
  <c r="I25977" i="9"/>
  <c r="I25971" i="9"/>
  <c r="I25970" i="9"/>
  <c r="I25954" i="9"/>
  <c r="I25955" i="9"/>
  <c r="I25956" i="9"/>
  <c r="I25957" i="9"/>
  <c r="I25958" i="9"/>
  <c r="I25959" i="9"/>
  <c r="I25960" i="9"/>
  <c r="I25961" i="9"/>
  <c r="I25962" i="9"/>
  <c r="I25963" i="9"/>
  <c r="I25964" i="9"/>
  <c r="I25965" i="9"/>
  <c r="I25966" i="9"/>
  <c r="I25967" i="9"/>
  <c r="I25968" i="9"/>
  <c r="I25969" i="9"/>
  <c r="I25950" i="9"/>
  <c r="I25951" i="9"/>
  <c r="I25952" i="9"/>
  <c r="I25953" i="9"/>
  <c r="I25948" i="9"/>
  <c r="I25949" i="9"/>
  <c r="I25947" i="9"/>
  <c r="I25945" i="9"/>
  <c r="I25946" i="9"/>
  <c r="I25944" i="9"/>
  <c r="I25943" i="9"/>
  <c r="I25942" i="9"/>
  <c r="I25941" i="9"/>
  <c r="I25940" i="9"/>
  <c r="I25939" i="9"/>
  <c r="I25938" i="9"/>
  <c r="I25934" i="9"/>
  <c r="I25935" i="9"/>
  <c r="I25936" i="9"/>
  <c r="I25937" i="9"/>
  <c r="I25929" i="9"/>
  <c r="I25930" i="9"/>
  <c r="I25931" i="9"/>
  <c r="I25932" i="9"/>
  <c r="I25933" i="9"/>
  <c r="I25925" i="9"/>
  <c r="I25926" i="9"/>
  <c r="I25927" i="9"/>
  <c r="I25928" i="9"/>
  <c r="I25924" i="9"/>
  <c r="I25922" i="9"/>
  <c r="I25923" i="9"/>
  <c r="I25919" i="9"/>
  <c r="I25920" i="9"/>
  <c r="I25921" i="9"/>
  <c r="I25918" i="9"/>
  <c r="I25917" i="9"/>
  <c r="I25916" i="9"/>
  <c r="I25825" i="9" l="1"/>
  <c r="I25914" i="9"/>
  <c r="I25915" i="9"/>
  <c r="I25912" i="9"/>
  <c r="I25913" i="9"/>
  <c r="I25865" i="9"/>
  <c r="I25866" i="9"/>
  <c r="I25867" i="9"/>
  <c r="I25868" i="9"/>
  <c r="I25869" i="9"/>
  <c r="I25870" i="9"/>
  <c r="I25871" i="9"/>
  <c r="I25872" i="9"/>
  <c r="I25873" i="9"/>
  <c r="I25874" i="9"/>
  <c r="I25875" i="9"/>
  <c r="I25876" i="9"/>
  <c r="I25877" i="9"/>
  <c r="I25878" i="9"/>
  <c r="I25879" i="9"/>
  <c r="I25880" i="9"/>
  <c r="I25881" i="9"/>
  <c r="I25882" i="9"/>
  <c r="I25883" i="9"/>
  <c r="I25884" i="9"/>
  <c r="I25885" i="9"/>
  <c r="I25886" i="9"/>
  <c r="I25887" i="9"/>
  <c r="I25888" i="9"/>
  <c r="I25889" i="9"/>
  <c r="I25890" i="9"/>
  <c r="I25891" i="9"/>
  <c r="I25892" i="9"/>
  <c r="I25893" i="9"/>
  <c r="I25894" i="9"/>
  <c r="I25895" i="9"/>
  <c r="I25896" i="9"/>
  <c r="I25897" i="9"/>
  <c r="I25898" i="9"/>
  <c r="I25899" i="9"/>
  <c r="I25900" i="9"/>
  <c r="I25901" i="9"/>
  <c r="I25902" i="9"/>
  <c r="I25903" i="9"/>
  <c r="I25904" i="9"/>
  <c r="I25905" i="9"/>
  <c r="I25906" i="9"/>
  <c r="I25907" i="9"/>
  <c r="I25908" i="9"/>
  <c r="I25909" i="9"/>
  <c r="I25910" i="9"/>
  <c r="I25911" i="9"/>
  <c r="I25863" i="9"/>
  <c r="I25864" i="9"/>
  <c r="I25854" i="9"/>
  <c r="I25855" i="9"/>
  <c r="I25856" i="9"/>
  <c r="I25857" i="9"/>
  <c r="I25858" i="9"/>
  <c r="I25859" i="9"/>
  <c r="I25860" i="9"/>
  <c r="I25861" i="9"/>
  <c r="I25862" i="9"/>
  <c r="I25850" i="9"/>
  <c r="I25851" i="9"/>
  <c r="I25852" i="9"/>
  <c r="I25853" i="9"/>
  <c r="I25849" i="9"/>
  <c r="I25847" i="9"/>
  <c r="I25848" i="9"/>
  <c r="I25839" i="9"/>
  <c r="I25840" i="9"/>
  <c r="I25841" i="9"/>
  <c r="I25842" i="9"/>
  <c r="I25843" i="9"/>
  <c r="I25844" i="9"/>
  <c r="I25845" i="9"/>
  <c r="I25846" i="9"/>
  <c r="I25824" i="9"/>
  <c r="I25826" i="9"/>
  <c r="I25827" i="9"/>
  <c r="I25828" i="9"/>
  <c r="I25829" i="9"/>
  <c r="I25830" i="9"/>
  <c r="I25831" i="9"/>
  <c r="I25832" i="9"/>
  <c r="I25833" i="9"/>
  <c r="I25834" i="9"/>
  <c r="I25835" i="9"/>
  <c r="I25836" i="9"/>
  <c r="I25837" i="9"/>
  <c r="I25838" i="9"/>
  <c r="I25823" i="9"/>
  <c r="I25822" i="9"/>
  <c r="I25817" i="9"/>
  <c r="I25818" i="9"/>
  <c r="I25819" i="9"/>
  <c r="I25820" i="9"/>
  <c r="I25821" i="9"/>
  <c r="I25816" i="9"/>
  <c r="I25771" i="9"/>
  <c r="I25772" i="9"/>
  <c r="I25773" i="9"/>
  <c r="I25774" i="9"/>
  <c r="I25775" i="9"/>
  <c r="I25776" i="9"/>
  <c r="I25777" i="9"/>
  <c r="I25778" i="9"/>
  <c r="I25779" i="9"/>
  <c r="I25780" i="9"/>
  <c r="I25781" i="9"/>
  <c r="I25782" i="9"/>
  <c r="I25783" i="9"/>
  <c r="I25784" i="9"/>
  <c r="I25785" i="9"/>
  <c r="I25786" i="9"/>
  <c r="I25787" i="9"/>
  <c r="I25788" i="9"/>
  <c r="I25789" i="9"/>
  <c r="I25790" i="9"/>
  <c r="I25791" i="9"/>
  <c r="I25792" i="9"/>
  <c r="I25793" i="9"/>
  <c r="I25794" i="9"/>
  <c r="I25795" i="9"/>
  <c r="I25796" i="9"/>
  <c r="I25797" i="9"/>
  <c r="I25798" i="9"/>
  <c r="I25799" i="9"/>
  <c r="I25800" i="9"/>
  <c r="I25801" i="9"/>
  <c r="I25802" i="9"/>
  <c r="I25803" i="9"/>
  <c r="I25804" i="9"/>
  <c r="I25805" i="9"/>
  <c r="I25806" i="9"/>
  <c r="I25807" i="9"/>
  <c r="I25808" i="9"/>
  <c r="I25809" i="9"/>
  <c r="I25810" i="9"/>
  <c r="I25811" i="9"/>
  <c r="I25812" i="9"/>
  <c r="I25813" i="9"/>
  <c r="I25814" i="9"/>
  <c r="I25815" i="9"/>
  <c r="I25540" i="9"/>
  <c r="I25541" i="9"/>
  <c r="I25542" i="9"/>
  <c r="I25543" i="9"/>
  <c r="I25544" i="9"/>
  <c r="I25545" i="9"/>
  <c r="I25546" i="9"/>
  <c r="I25547" i="9"/>
  <c r="I25548" i="9"/>
  <c r="I25549" i="9"/>
  <c r="I25550" i="9"/>
  <c r="I25551" i="9"/>
  <c r="I25552" i="9"/>
  <c r="I25553" i="9"/>
  <c r="I25554" i="9"/>
  <c r="I25555" i="9"/>
  <c r="I25556" i="9"/>
  <c r="I25557" i="9"/>
  <c r="I25558" i="9"/>
  <c r="I25559" i="9"/>
  <c r="I25560" i="9"/>
  <c r="I25561" i="9"/>
  <c r="I25562" i="9"/>
  <c r="I25563" i="9"/>
  <c r="I25564" i="9"/>
  <c r="I25565" i="9"/>
  <c r="I25566" i="9"/>
  <c r="I25567" i="9"/>
  <c r="I25568" i="9"/>
  <c r="I25569" i="9"/>
  <c r="I25570" i="9"/>
  <c r="I25571" i="9"/>
  <c r="I25572" i="9"/>
  <c r="I25573" i="9"/>
  <c r="I25574" i="9"/>
  <c r="I25575" i="9"/>
  <c r="I25576" i="9"/>
  <c r="I25577" i="9"/>
  <c r="I25578" i="9"/>
  <c r="I25579" i="9"/>
  <c r="I25580" i="9"/>
  <c r="I25581" i="9"/>
  <c r="I25582" i="9"/>
  <c r="I25583" i="9"/>
  <c r="I25584" i="9"/>
  <c r="I25585" i="9"/>
  <c r="I25586" i="9"/>
  <c r="I25587" i="9"/>
  <c r="I25588" i="9"/>
  <c r="I25589" i="9"/>
  <c r="I25590" i="9"/>
  <c r="I25591" i="9"/>
  <c r="I25592" i="9"/>
  <c r="I25593" i="9"/>
  <c r="I25594" i="9"/>
  <c r="I25595" i="9"/>
  <c r="I25596" i="9"/>
  <c r="I25597" i="9"/>
  <c r="I25598" i="9"/>
  <c r="I25599" i="9"/>
  <c r="I25600" i="9"/>
  <c r="I25601" i="9"/>
  <c r="I25602" i="9"/>
  <c r="I25603" i="9"/>
  <c r="I25604" i="9"/>
  <c r="I25605" i="9"/>
  <c r="I25606" i="9"/>
  <c r="I25607" i="9"/>
  <c r="I25608" i="9"/>
  <c r="I25609" i="9"/>
  <c r="I25610" i="9"/>
  <c r="I25611" i="9"/>
  <c r="I25612" i="9"/>
  <c r="I25613" i="9"/>
  <c r="I25614" i="9"/>
  <c r="I25615" i="9"/>
  <c r="I25616" i="9"/>
  <c r="I25617" i="9"/>
  <c r="I25618" i="9"/>
  <c r="I25619" i="9"/>
  <c r="I25620" i="9"/>
  <c r="I25621" i="9"/>
  <c r="I25622" i="9"/>
  <c r="I25623" i="9"/>
  <c r="I25624" i="9"/>
  <c r="I25625" i="9"/>
  <c r="I25626" i="9"/>
  <c r="I25627" i="9"/>
  <c r="I25628" i="9"/>
  <c r="I25629" i="9"/>
  <c r="I25630" i="9"/>
  <c r="I25631" i="9"/>
  <c r="I25632" i="9"/>
  <c r="I25633" i="9"/>
  <c r="I25634" i="9"/>
  <c r="I25635" i="9"/>
  <c r="I25636" i="9"/>
  <c r="I25637" i="9"/>
  <c r="I25638" i="9"/>
  <c r="I25639" i="9"/>
  <c r="I25640" i="9"/>
  <c r="I25641" i="9"/>
  <c r="I25642" i="9"/>
  <c r="I25643" i="9"/>
  <c r="I25644" i="9"/>
  <c r="I25645" i="9"/>
  <c r="I25646" i="9"/>
  <c r="I25647" i="9"/>
  <c r="I25648" i="9"/>
  <c r="I25649" i="9"/>
  <c r="I25650" i="9"/>
  <c r="I25651" i="9"/>
  <c r="I25652" i="9"/>
  <c r="I25653" i="9"/>
  <c r="I25654" i="9"/>
  <c r="I25655" i="9"/>
  <c r="I25656" i="9"/>
  <c r="I25657" i="9"/>
  <c r="I25658" i="9"/>
  <c r="I25659" i="9"/>
  <c r="I25660" i="9"/>
  <c r="I25661" i="9"/>
  <c r="I25662" i="9"/>
  <c r="I25663" i="9"/>
  <c r="I25664" i="9"/>
  <c r="I25665" i="9"/>
  <c r="I25666" i="9"/>
  <c r="I25667" i="9"/>
  <c r="I25668" i="9"/>
  <c r="I25669" i="9"/>
  <c r="I25670" i="9"/>
  <c r="I25671" i="9"/>
  <c r="I25672" i="9"/>
  <c r="I25673" i="9"/>
  <c r="I25674" i="9"/>
  <c r="I25675" i="9"/>
  <c r="I25676" i="9"/>
  <c r="I25677" i="9"/>
  <c r="I25678" i="9"/>
  <c r="I25679" i="9"/>
  <c r="I25680" i="9"/>
  <c r="I25681" i="9"/>
  <c r="I25682" i="9"/>
  <c r="I25683" i="9"/>
  <c r="I25684" i="9"/>
  <c r="I25685" i="9"/>
  <c r="I25686" i="9"/>
  <c r="I25687" i="9"/>
  <c r="I25688" i="9"/>
  <c r="I25689" i="9"/>
  <c r="I25690" i="9"/>
  <c r="I25691" i="9"/>
  <c r="I25692" i="9"/>
  <c r="I25693" i="9"/>
  <c r="I25694" i="9"/>
  <c r="I25695" i="9"/>
  <c r="I25696" i="9"/>
  <c r="I25697" i="9"/>
  <c r="I25698" i="9"/>
  <c r="I25699" i="9"/>
  <c r="I25700" i="9"/>
  <c r="I25701" i="9"/>
  <c r="I25702" i="9"/>
  <c r="I25703" i="9"/>
  <c r="I25704" i="9"/>
  <c r="I25705" i="9"/>
  <c r="I25706" i="9"/>
  <c r="I25707" i="9"/>
  <c r="I25708" i="9"/>
  <c r="I25709" i="9"/>
  <c r="I25710" i="9"/>
  <c r="I25711" i="9"/>
  <c r="I25712" i="9"/>
  <c r="I25713" i="9"/>
  <c r="I25714" i="9"/>
  <c r="I25715" i="9"/>
  <c r="I25716" i="9"/>
  <c r="I25717" i="9"/>
  <c r="I25718" i="9"/>
  <c r="I25719" i="9"/>
  <c r="I25720" i="9"/>
  <c r="I25721" i="9"/>
  <c r="I25722" i="9"/>
  <c r="I25723" i="9"/>
  <c r="I25724" i="9"/>
  <c r="I25725" i="9"/>
  <c r="I25726" i="9"/>
  <c r="I25727" i="9"/>
  <c r="I25728" i="9"/>
  <c r="I25729" i="9"/>
  <c r="I25730" i="9"/>
  <c r="I25731" i="9"/>
  <c r="I25732" i="9"/>
  <c r="I25733" i="9"/>
  <c r="I25734" i="9"/>
  <c r="I25735" i="9"/>
  <c r="I25736" i="9"/>
  <c r="I25737" i="9"/>
  <c r="I25738" i="9"/>
  <c r="I25739" i="9"/>
  <c r="I25740" i="9"/>
  <c r="I25741" i="9"/>
  <c r="I25742" i="9"/>
  <c r="I25743" i="9"/>
  <c r="I25744" i="9"/>
  <c r="I25745" i="9"/>
  <c r="I25746" i="9"/>
  <c r="I25747" i="9"/>
  <c r="I25748" i="9"/>
  <c r="I25749" i="9"/>
  <c r="I25750" i="9"/>
  <c r="I25751" i="9"/>
  <c r="I25752" i="9"/>
  <c r="I25753" i="9"/>
  <c r="I25754" i="9"/>
  <c r="I25755" i="9"/>
  <c r="I25756" i="9"/>
  <c r="I25757" i="9"/>
  <c r="I25758" i="9"/>
  <c r="I25759" i="9"/>
  <c r="I25760" i="9"/>
  <c r="I25761" i="9"/>
  <c r="I25762" i="9"/>
  <c r="I25763" i="9"/>
  <c r="I25764" i="9"/>
  <c r="I25765" i="9"/>
  <c r="I25766" i="9"/>
  <c r="I25767" i="9"/>
  <c r="I25768" i="9"/>
  <c r="I25769" i="9"/>
  <c r="I25770" i="9"/>
  <c r="I25506" i="9"/>
  <c r="I25507" i="9"/>
  <c r="I25508" i="9"/>
  <c r="I25509" i="9"/>
  <c r="I25510" i="9"/>
  <c r="I25511" i="9"/>
  <c r="I25512" i="9"/>
  <c r="I25513" i="9"/>
  <c r="I25514" i="9"/>
  <c r="I25515" i="9"/>
  <c r="I25516" i="9"/>
  <c r="I25517" i="9"/>
  <c r="I25518" i="9"/>
  <c r="I25519" i="9"/>
  <c r="I25520" i="9"/>
  <c r="I25521" i="9"/>
  <c r="I25522" i="9"/>
  <c r="I25523" i="9"/>
  <c r="I25524" i="9"/>
  <c r="I25525" i="9"/>
  <c r="I25526" i="9"/>
  <c r="I25527" i="9"/>
  <c r="I25528" i="9"/>
  <c r="I25529" i="9"/>
  <c r="I25530" i="9"/>
  <c r="I25531" i="9"/>
  <c r="I25532" i="9"/>
  <c r="I25533" i="9"/>
  <c r="I25534" i="9"/>
  <c r="I25535" i="9"/>
  <c r="I25536" i="9"/>
  <c r="I25537" i="9"/>
  <c r="I25538" i="9"/>
  <c r="I25539" i="9"/>
  <c r="I25500" i="9"/>
  <c r="I25501" i="9"/>
  <c r="I25502" i="9"/>
  <c r="I25503" i="9"/>
  <c r="I25504" i="9"/>
  <c r="I25505" i="9"/>
  <c r="I25498" i="9"/>
  <c r="I25499" i="9"/>
  <c r="I25497" i="9"/>
  <c r="I25495" i="9"/>
  <c r="I25496" i="9"/>
  <c r="I25494" i="9"/>
  <c r="I25487" i="9"/>
  <c r="I25488" i="9"/>
  <c r="I25489" i="9"/>
  <c r="I25490" i="9"/>
  <c r="I25491" i="9"/>
  <c r="I25492" i="9"/>
  <c r="I25493" i="9"/>
  <c r="I25485" i="9"/>
  <c r="I25486" i="9"/>
  <c r="I25482" i="9"/>
  <c r="I25483" i="9"/>
  <c r="I25484" i="9"/>
  <c r="I25481" i="9"/>
  <c r="I25473" i="9"/>
  <c r="I25474" i="9"/>
  <c r="I25475" i="9"/>
  <c r="I25476" i="9"/>
  <c r="I25477" i="9"/>
  <c r="I25478" i="9"/>
  <c r="I25479" i="9"/>
  <c r="I25480" i="9"/>
  <c r="I25467" i="9"/>
  <c r="I25468" i="9"/>
  <c r="I25469" i="9"/>
  <c r="I25470" i="9"/>
  <c r="I25471" i="9"/>
  <c r="I25472" i="9"/>
  <c r="I25466" i="9"/>
  <c r="I25465" i="9"/>
  <c r="I25464" i="9"/>
  <c r="I25463" i="9"/>
  <c r="I25451" i="9"/>
  <c r="I25452" i="9"/>
  <c r="I25453" i="9"/>
  <c r="I25454" i="9"/>
  <c r="I25455" i="9"/>
  <c r="I25456" i="9"/>
  <c r="I25457" i="9"/>
  <c r="I25458" i="9"/>
  <c r="I25459" i="9"/>
  <c r="I25460" i="9"/>
  <c r="I25461" i="9"/>
  <c r="I25462" i="9"/>
  <c r="I25450" i="9"/>
  <c r="I25440" i="9"/>
  <c r="I25441" i="9"/>
  <c r="I25442" i="9"/>
  <c r="I25443" i="9"/>
  <c r="I25444" i="9"/>
  <c r="I25445" i="9"/>
  <c r="I25446" i="9"/>
  <c r="I25447" i="9"/>
  <c r="I25448" i="9"/>
  <c r="I25449" i="9"/>
  <c r="I25437" i="9"/>
  <c r="I25438" i="9"/>
  <c r="I25439" i="9"/>
  <c r="I25436" i="9"/>
  <c r="I25435" i="9"/>
  <c r="I25433" i="9"/>
  <c r="I25434" i="9"/>
  <c r="I25431" i="9"/>
  <c r="I25432" i="9"/>
  <c r="I25430" i="9"/>
  <c r="I25429" i="9"/>
  <c r="I25428" i="9"/>
  <c r="I25427" i="9"/>
  <c r="I25426" i="9"/>
  <c r="I25425" i="9"/>
  <c r="I25424" i="9"/>
  <c r="I25423" i="9"/>
  <c r="I25422" i="9"/>
  <c r="I25420" i="9"/>
  <c r="I25421" i="9"/>
  <c r="I25419" i="9"/>
  <c r="I25418" i="9"/>
  <c r="I25417" i="9"/>
  <c r="I25415" i="9"/>
  <c r="I25416" i="9"/>
  <c r="I25414" i="9"/>
  <c r="I25413" i="9"/>
  <c r="I25412" i="9"/>
  <c r="I25411" i="9"/>
  <c r="I25410" i="9"/>
  <c r="I25409" i="9"/>
  <c r="I25408" i="9"/>
  <c r="I25407" i="9"/>
  <c r="I25406" i="9"/>
  <c r="I25405" i="9"/>
  <c r="I25404" i="9"/>
  <c r="I25390" i="9"/>
  <c r="I24988" i="9"/>
  <c r="I25401" i="9"/>
  <c r="I25402" i="9"/>
  <c r="I25403" i="9"/>
  <c r="I25398" i="9"/>
  <c r="I25399" i="9"/>
  <c r="I25400" i="9"/>
  <c r="I25391" i="9"/>
  <c r="I25392" i="9"/>
  <c r="I25393" i="9"/>
  <c r="I25394" i="9"/>
  <c r="I25395" i="9"/>
  <c r="I25396" i="9"/>
  <c r="I25397" i="9"/>
  <c r="I25346" i="9"/>
  <c r="I25347" i="9"/>
  <c r="I25348" i="9"/>
  <c r="I25349" i="9"/>
  <c r="I25350" i="9"/>
  <c r="I25351" i="9"/>
  <c r="I25352" i="9"/>
  <c r="I25353" i="9"/>
  <c r="I25354" i="9"/>
  <c r="I25355" i="9"/>
  <c r="I25356" i="9"/>
  <c r="I25357" i="9"/>
  <c r="I25358" i="9"/>
  <c r="I25359" i="9"/>
  <c r="I25360" i="9"/>
  <c r="I25361" i="9"/>
  <c r="I25362" i="9"/>
  <c r="I25363" i="9"/>
  <c r="I25364" i="9"/>
  <c r="I25365" i="9"/>
  <c r="I25366" i="9"/>
  <c r="I25367" i="9"/>
  <c r="I25368" i="9"/>
  <c r="I25369" i="9"/>
  <c r="I25370" i="9"/>
  <c r="I25371" i="9"/>
  <c r="I25372" i="9"/>
  <c r="I25373" i="9"/>
  <c r="I25374" i="9"/>
  <c r="I25375" i="9"/>
  <c r="I25376" i="9"/>
  <c r="I25377" i="9"/>
  <c r="I25378" i="9"/>
  <c r="I25379" i="9"/>
  <c r="I25380" i="9"/>
  <c r="I25381" i="9"/>
  <c r="I25382" i="9"/>
  <c r="I25383" i="9"/>
  <c r="I25384" i="9"/>
  <c r="I25385" i="9"/>
  <c r="I25386" i="9"/>
  <c r="I25387" i="9"/>
  <c r="I25388" i="9"/>
  <c r="I25389" i="9"/>
  <c r="I25345" i="9"/>
  <c r="I25072" i="9"/>
  <c r="I25073" i="9"/>
  <c r="I25074" i="9"/>
  <c r="I25075" i="9"/>
  <c r="I25076" i="9"/>
  <c r="I25077" i="9"/>
  <c r="I25078" i="9"/>
  <c r="I25079" i="9"/>
  <c r="I25080" i="9"/>
  <c r="I25081" i="9"/>
  <c r="I25082" i="9"/>
  <c r="I25083" i="9"/>
  <c r="I25084" i="9"/>
  <c r="I25085" i="9"/>
  <c r="I25086" i="9"/>
  <c r="I25087" i="9"/>
  <c r="I25088" i="9"/>
  <c r="I25089" i="9"/>
  <c r="I25090" i="9"/>
  <c r="I25091" i="9"/>
  <c r="I25092" i="9"/>
  <c r="I25093" i="9"/>
  <c r="I25094" i="9"/>
  <c r="I25095" i="9"/>
  <c r="I25096" i="9"/>
  <c r="I25097" i="9"/>
  <c r="I25098" i="9"/>
  <c r="I25099" i="9"/>
  <c r="I25100" i="9"/>
  <c r="I25101" i="9"/>
  <c r="I25102" i="9"/>
  <c r="I25103" i="9"/>
  <c r="I25104" i="9"/>
  <c r="I25105" i="9"/>
  <c r="I25106" i="9"/>
  <c r="I25107" i="9"/>
  <c r="I25108" i="9"/>
  <c r="I25109" i="9"/>
  <c r="I25110" i="9"/>
  <c r="I25111" i="9"/>
  <c r="I25112" i="9"/>
  <c r="I25113" i="9"/>
  <c r="I25114" i="9"/>
  <c r="I25115" i="9"/>
  <c r="I25116" i="9"/>
  <c r="I25117" i="9"/>
  <c r="I25118" i="9"/>
  <c r="I25119" i="9"/>
  <c r="I25120" i="9"/>
  <c r="I25121" i="9"/>
  <c r="I25122" i="9"/>
  <c r="I25123" i="9"/>
  <c r="I25124" i="9"/>
  <c r="I25125" i="9"/>
  <c r="I25126" i="9"/>
  <c r="I25127" i="9"/>
  <c r="I25128" i="9"/>
  <c r="I25129" i="9"/>
  <c r="I25130" i="9"/>
  <c r="I25131" i="9"/>
  <c r="I25132" i="9"/>
  <c r="I25133" i="9"/>
  <c r="I25134" i="9"/>
  <c r="I25135" i="9"/>
  <c r="I25136" i="9"/>
  <c r="I25137" i="9"/>
  <c r="I25138" i="9"/>
  <c r="I25139" i="9"/>
  <c r="I25140" i="9"/>
  <c r="I25141" i="9"/>
  <c r="I25142" i="9"/>
  <c r="I25143" i="9"/>
  <c r="I25144" i="9"/>
  <c r="I25145" i="9"/>
  <c r="I25146" i="9"/>
  <c r="I25147" i="9"/>
  <c r="I25148" i="9"/>
  <c r="I25149" i="9"/>
  <c r="I25150" i="9"/>
  <c r="I25151" i="9"/>
  <c r="I25152" i="9"/>
  <c r="I25153" i="9"/>
  <c r="I25154" i="9"/>
  <c r="I25155" i="9"/>
  <c r="I25156" i="9"/>
  <c r="I25157" i="9"/>
  <c r="I25158" i="9"/>
  <c r="I25159" i="9"/>
  <c r="I25160" i="9"/>
  <c r="I25161" i="9"/>
  <c r="I25162" i="9"/>
  <c r="I25163" i="9"/>
  <c r="I25164" i="9"/>
  <c r="I25165" i="9"/>
  <c r="I25166" i="9"/>
  <c r="I25167" i="9"/>
  <c r="I25168" i="9"/>
  <c r="I25169" i="9"/>
  <c r="I25170" i="9"/>
  <c r="I25171" i="9"/>
  <c r="I25172" i="9"/>
  <c r="I25173" i="9"/>
  <c r="I25174" i="9"/>
  <c r="I25175" i="9"/>
  <c r="I25176" i="9"/>
  <c r="I25177" i="9"/>
  <c r="I25178" i="9"/>
  <c r="I25179" i="9"/>
  <c r="I25180" i="9"/>
  <c r="I25181" i="9"/>
  <c r="I25182" i="9"/>
  <c r="I25183" i="9"/>
  <c r="I25184" i="9"/>
  <c r="I25185" i="9"/>
  <c r="I25186" i="9"/>
  <c r="I25187" i="9"/>
  <c r="I25188" i="9"/>
  <c r="I25189" i="9"/>
  <c r="I25190" i="9"/>
  <c r="I25191" i="9"/>
  <c r="I25192" i="9"/>
  <c r="I25193" i="9"/>
  <c r="I25194" i="9"/>
  <c r="I25195" i="9"/>
  <c r="I25196" i="9"/>
  <c r="I25197" i="9"/>
  <c r="I25198" i="9"/>
  <c r="I25199" i="9"/>
  <c r="I25200" i="9"/>
  <c r="I25201" i="9"/>
  <c r="I25202" i="9"/>
  <c r="I25203" i="9"/>
  <c r="I25204" i="9"/>
  <c r="I25205" i="9"/>
  <c r="I25206" i="9"/>
  <c r="I25207" i="9"/>
  <c r="I25208" i="9"/>
  <c r="I25209" i="9"/>
  <c r="I25210" i="9"/>
  <c r="I25211" i="9"/>
  <c r="I25212" i="9"/>
  <c r="I25213" i="9"/>
  <c r="I25214" i="9"/>
  <c r="I25215" i="9"/>
  <c r="I25216" i="9"/>
  <c r="I25217" i="9"/>
  <c r="I25218" i="9"/>
  <c r="I25219" i="9"/>
  <c r="I25220" i="9"/>
  <c r="I25221" i="9"/>
  <c r="I25222" i="9"/>
  <c r="I25223" i="9"/>
  <c r="I25224" i="9"/>
  <c r="I25225" i="9"/>
  <c r="I25226" i="9"/>
  <c r="I25227" i="9"/>
  <c r="I25228" i="9"/>
  <c r="I25229" i="9"/>
  <c r="I25230" i="9"/>
  <c r="I25231" i="9"/>
  <c r="I25232" i="9"/>
  <c r="I25233" i="9"/>
  <c r="I25234" i="9"/>
  <c r="I25235" i="9"/>
  <c r="I25236" i="9"/>
  <c r="I25237" i="9"/>
  <c r="I25238" i="9"/>
  <c r="I25239" i="9"/>
  <c r="I25240" i="9"/>
  <c r="I25241" i="9"/>
  <c r="I25242" i="9"/>
  <c r="I25243" i="9"/>
  <c r="I25244" i="9"/>
  <c r="I25245" i="9"/>
  <c r="I25246" i="9"/>
  <c r="I25247" i="9"/>
  <c r="I25248" i="9"/>
  <c r="I25249" i="9"/>
  <c r="I25250" i="9"/>
  <c r="I25251" i="9"/>
  <c r="I25252" i="9"/>
  <c r="I25253" i="9"/>
  <c r="I25254" i="9"/>
  <c r="I25255" i="9"/>
  <c r="I25256" i="9"/>
  <c r="I25257" i="9"/>
  <c r="I25258" i="9"/>
  <c r="I25259" i="9"/>
  <c r="I25260" i="9"/>
  <c r="I25261" i="9"/>
  <c r="I25262" i="9"/>
  <c r="I25263" i="9"/>
  <c r="I25264" i="9"/>
  <c r="I25265" i="9"/>
  <c r="I25266" i="9"/>
  <c r="I25267" i="9"/>
  <c r="I25268" i="9"/>
  <c r="I25269" i="9"/>
  <c r="I25270" i="9"/>
  <c r="I25271" i="9"/>
  <c r="I25272" i="9"/>
  <c r="I25273" i="9"/>
  <c r="I25274" i="9"/>
  <c r="I25275" i="9"/>
  <c r="I25276" i="9"/>
  <c r="I25277" i="9"/>
  <c r="I25278" i="9"/>
  <c r="I25279" i="9"/>
  <c r="I25280" i="9"/>
  <c r="I25281" i="9"/>
  <c r="I25282" i="9"/>
  <c r="I25283" i="9"/>
  <c r="I25284" i="9"/>
  <c r="I25285" i="9"/>
  <c r="I25286" i="9"/>
  <c r="I25287" i="9"/>
  <c r="I25288" i="9"/>
  <c r="I25289" i="9"/>
  <c r="I25290" i="9"/>
  <c r="I25291" i="9"/>
  <c r="I25292" i="9"/>
  <c r="I25293" i="9"/>
  <c r="I25294" i="9"/>
  <c r="I25295" i="9"/>
  <c r="I25296" i="9"/>
  <c r="I25297" i="9"/>
  <c r="I25298" i="9"/>
  <c r="I25299" i="9"/>
  <c r="I25300" i="9"/>
  <c r="I25301" i="9"/>
  <c r="I25302" i="9"/>
  <c r="I25303" i="9"/>
  <c r="I25304" i="9"/>
  <c r="I25305" i="9"/>
  <c r="I25306" i="9"/>
  <c r="I25307" i="9"/>
  <c r="I25308" i="9"/>
  <c r="I25309" i="9"/>
  <c r="I25310" i="9"/>
  <c r="I25311" i="9"/>
  <c r="I25312" i="9"/>
  <c r="I25313" i="9"/>
  <c r="I25314" i="9"/>
  <c r="I25315" i="9"/>
  <c r="I25316" i="9"/>
  <c r="I25317" i="9"/>
  <c r="I25318" i="9"/>
  <c r="I25319" i="9"/>
  <c r="I25320" i="9"/>
  <c r="I25321" i="9"/>
  <c r="I25322" i="9"/>
  <c r="I25323" i="9"/>
  <c r="I25324" i="9"/>
  <c r="I25325" i="9"/>
  <c r="I25326" i="9"/>
  <c r="I25327" i="9"/>
  <c r="I25328" i="9"/>
  <c r="I25329" i="9"/>
  <c r="I25330" i="9"/>
  <c r="I25331" i="9"/>
  <c r="I25332" i="9"/>
  <c r="I25333" i="9"/>
  <c r="I25334" i="9"/>
  <c r="I25335" i="9"/>
  <c r="I25336" i="9"/>
  <c r="I25337" i="9"/>
  <c r="I25338" i="9"/>
  <c r="I25339" i="9"/>
  <c r="I25340" i="9"/>
  <c r="I25341" i="9"/>
  <c r="I25342" i="9"/>
  <c r="I25343" i="9"/>
  <c r="I25344" i="9"/>
  <c r="I25043" i="9"/>
  <c r="I25044" i="9"/>
  <c r="I25045" i="9"/>
  <c r="I25046" i="9"/>
  <c r="I25047" i="9"/>
  <c r="I25048" i="9"/>
  <c r="I25049" i="9"/>
  <c r="I25050" i="9"/>
  <c r="I25051" i="9"/>
  <c r="I25052" i="9"/>
  <c r="I25053" i="9"/>
  <c r="I25054" i="9"/>
  <c r="I25055" i="9"/>
  <c r="I25056" i="9"/>
  <c r="I25057" i="9"/>
  <c r="I25058" i="9"/>
  <c r="I25059" i="9"/>
  <c r="I25060" i="9"/>
  <c r="I25061" i="9"/>
  <c r="I25062" i="9"/>
  <c r="I25063" i="9"/>
  <c r="I25064" i="9"/>
  <c r="I25065" i="9"/>
  <c r="I25066" i="9"/>
  <c r="I25067" i="9"/>
  <c r="I25068" i="9"/>
  <c r="I25069" i="9"/>
  <c r="I25070" i="9"/>
  <c r="I25071" i="9"/>
  <c r="I24997" i="9"/>
  <c r="I24998" i="9"/>
  <c r="I24999" i="9"/>
  <c r="I25000" i="9"/>
  <c r="I25001" i="9"/>
  <c r="I25002" i="9"/>
  <c r="I25003" i="9"/>
  <c r="I25004" i="9"/>
  <c r="I25005" i="9"/>
  <c r="I25006" i="9"/>
  <c r="I25007" i="9"/>
  <c r="I25008" i="9"/>
  <c r="I25009" i="9"/>
  <c r="I25010" i="9"/>
  <c r="I25011" i="9"/>
  <c r="I25012" i="9"/>
  <c r="I25013" i="9"/>
  <c r="I25014" i="9"/>
  <c r="I25015" i="9"/>
  <c r="I25016" i="9"/>
  <c r="I25017" i="9"/>
  <c r="I25018" i="9"/>
  <c r="I25019" i="9"/>
  <c r="I25020" i="9"/>
  <c r="I25021" i="9"/>
  <c r="I25022" i="9"/>
  <c r="I25023" i="9"/>
  <c r="I25024" i="9"/>
  <c r="I25025" i="9"/>
  <c r="I25026" i="9"/>
  <c r="I25027" i="9"/>
  <c r="I25028" i="9"/>
  <c r="I25029" i="9"/>
  <c r="I25030" i="9"/>
  <c r="I25031" i="9"/>
  <c r="I25032" i="9"/>
  <c r="I25033" i="9"/>
  <c r="I25034" i="9"/>
  <c r="I25035" i="9"/>
  <c r="I25036" i="9"/>
  <c r="I25037" i="9"/>
  <c r="I25038" i="9"/>
  <c r="I25039" i="9"/>
  <c r="I25040" i="9"/>
  <c r="I25041" i="9"/>
  <c r="I25042" i="9"/>
  <c r="I24995" i="9"/>
  <c r="I24996" i="9"/>
  <c r="I24994" i="9"/>
  <c r="I24983" i="9"/>
  <c r="I24984" i="9"/>
  <c r="I24985" i="9"/>
  <c r="I24986" i="9"/>
  <c r="I24987" i="9"/>
  <c r="I24989" i="9"/>
  <c r="I24990" i="9"/>
  <c r="I24991" i="9"/>
  <c r="I24992" i="9"/>
  <c r="I24993" i="9"/>
  <c r="I24977" i="9"/>
  <c r="I24978" i="9"/>
  <c r="I24979" i="9"/>
  <c r="I24980" i="9"/>
  <c r="I24981" i="9"/>
  <c r="I24982" i="9"/>
  <c r="I24974" i="9"/>
  <c r="I24975" i="9"/>
  <c r="I24976" i="9"/>
  <c r="I24972" i="9"/>
  <c r="I24973" i="9"/>
  <c r="I24971" i="9"/>
  <c r="I24970" i="9"/>
  <c r="I24969" i="9"/>
  <c r="I24968" i="9"/>
  <c r="I24967" i="9"/>
  <c r="I24957" i="9"/>
  <c r="I24958" i="9"/>
  <c r="I24959" i="9"/>
  <c r="I24960" i="9"/>
  <c r="I24961" i="9"/>
  <c r="I24962" i="9"/>
  <c r="I24963" i="9"/>
  <c r="I24964" i="9"/>
  <c r="I24965" i="9"/>
  <c r="I24966" i="9"/>
  <c r="I24953" i="9"/>
  <c r="I24954" i="9"/>
  <c r="I24955" i="9"/>
  <c r="I24956" i="9"/>
  <c r="I24950" i="9"/>
  <c r="I24951" i="9"/>
  <c r="I24952" i="9"/>
  <c r="I24949" i="9"/>
  <c r="I24948" i="9"/>
  <c r="I24946" i="9"/>
  <c r="I24947" i="9"/>
  <c r="I24945" i="9"/>
  <c r="I24944" i="9"/>
  <c r="I24943" i="9"/>
  <c r="I24942" i="9"/>
  <c r="I24941" i="9"/>
  <c r="I24940" i="9"/>
  <c r="I24939" i="9"/>
  <c r="I24928" i="9"/>
  <c r="I24929" i="9"/>
  <c r="I24930" i="9"/>
  <c r="I24931" i="9"/>
  <c r="I24932" i="9"/>
  <c r="I24933" i="9"/>
  <c r="I24934" i="9"/>
  <c r="I24935" i="9"/>
  <c r="I24936" i="9"/>
  <c r="I24937" i="9"/>
  <c r="I24938" i="9"/>
  <c r="I24927" i="9"/>
  <c r="I24926" i="9"/>
  <c r="I24925" i="9"/>
  <c r="I24923" i="9"/>
  <c r="I24924" i="9"/>
  <c r="I24903" i="9"/>
  <c r="I24904" i="9"/>
  <c r="I24905" i="9"/>
  <c r="I24906" i="9"/>
  <c r="I24907" i="9"/>
  <c r="I24908" i="9"/>
  <c r="I24909" i="9"/>
  <c r="I24910" i="9"/>
  <c r="I24911" i="9"/>
  <c r="I24912" i="9"/>
  <c r="I24913" i="9"/>
  <c r="I24914" i="9"/>
  <c r="I24915" i="9"/>
  <c r="I24916" i="9"/>
  <c r="I24917" i="9"/>
  <c r="I24918" i="9"/>
  <c r="I24919" i="9"/>
  <c r="I24920" i="9"/>
  <c r="I24921" i="9"/>
  <c r="I24922" i="9"/>
  <c r="I24881" i="9"/>
  <c r="I24882" i="9"/>
  <c r="I24883" i="9"/>
  <c r="I24884" i="9"/>
  <c r="I24885" i="9"/>
  <c r="I24886" i="9"/>
  <c r="I24887" i="9"/>
  <c r="I24888" i="9"/>
  <c r="I24889" i="9"/>
  <c r="I24890" i="9"/>
  <c r="I24891" i="9"/>
  <c r="I24892" i="9"/>
  <c r="I24893" i="9"/>
  <c r="I24894" i="9"/>
  <c r="I24895" i="9"/>
  <c r="I24896" i="9"/>
  <c r="I24897" i="9"/>
  <c r="I24898" i="9"/>
  <c r="I24899" i="9"/>
  <c r="I24900" i="9"/>
  <c r="I24901" i="9"/>
  <c r="I24902" i="9"/>
  <c r="I24880" i="9"/>
  <c r="I24876" i="9"/>
  <c r="I24877" i="9"/>
  <c r="I24878" i="9"/>
  <c r="I24879" i="9"/>
  <c r="I24875" i="9"/>
  <c r="I24873" i="9"/>
  <c r="I24874" i="9"/>
  <c r="I24872" i="9"/>
  <c r="I24865" i="9"/>
  <c r="I24866" i="9"/>
  <c r="I24867" i="9"/>
  <c r="I24868" i="9"/>
  <c r="I24869" i="9"/>
  <c r="I24870" i="9"/>
  <c r="I24871" i="9"/>
  <c r="I24864" i="9"/>
  <c r="I24863" i="9"/>
  <c r="I24860" i="9"/>
  <c r="I24861" i="9"/>
  <c r="I24862" i="9"/>
  <c r="I24858" i="9"/>
  <c r="I24859" i="9"/>
  <c r="I24856" i="9"/>
  <c r="I24857" i="9"/>
  <c r="I24855" i="9"/>
  <c r="I24854" i="9"/>
  <c r="I24853" i="9"/>
  <c r="I24851" i="9"/>
  <c r="I24852" i="9"/>
  <c r="I24849" i="9"/>
  <c r="I24850" i="9"/>
  <c r="I24848" i="9"/>
  <c r="I24847" i="9"/>
  <c r="I24846" i="9"/>
  <c r="I24843" i="9"/>
  <c r="I24844" i="9"/>
  <c r="I24845" i="9"/>
  <c r="I24838" i="9"/>
  <c r="I24839" i="9"/>
  <c r="I24840" i="9"/>
  <c r="I24841" i="9"/>
  <c r="I24842" i="9"/>
  <c r="I24837" i="9"/>
  <c r="I24835" i="9"/>
  <c r="I24836" i="9"/>
  <c r="I24830" i="9"/>
  <c r="I24831" i="9"/>
  <c r="I24832" i="9"/>
  <c r="I24833" i="9"/>
  <c r="I24834" i="9"/>
  <c r="I24829" i="9"/>
  <c r="I24827" i="9"/>
  <c r="I24828" i="9"/>
  <c r="I24825" i="9"/>
  <c r="I24826" i="9"/>
  <c r="I24824" i="9"/>
  <c r="I24819" i="9"/>
  <c r="I24820" i="9"/>
  <c r="I24821" i="9"/>
  <c r="I24822" i="9"/>
  <c r="I24823" i="9"/>
  <c r="I24817" i="9"/>
  <c r="I24818" i="9"/>
  <c r="I24816" i="9"/>
  <c r="I24814" i="9"/>
  <c r="I24815" i="9"/>
  <c r="I24813" i="9"/>
  <c r="I24812" i="9"/>
  <c r="I24806" i="9"/>
  <c r="I24807" i="9"/>
  <c r="I24808" i="9"/>
  <c r="I24809" i="9"/>
  <c r="I24810" i="9"/>
  <c r="I24811" i="9"/>
  <c r="I24794" i="9"/>
  <c r="I24795" i="9"/>
  <c r="I24796" i="9"/>
  <c r="I24797" i="9"/>
  <c r="I24798" i="9"/>
  <c r="I24799" i="9"/>
  <c r="I24800" i="9"/>
  <c r="I24801" i="9"/>
  <c r="I24802" i="9"/>
  <c r="I24803" i="9"/>
  <c r="I24804" i="9"/>
  <c r="I24805" i="9"/>
  <c r="I24793" i="9"/>
  <c r="I24698" i="9"/>
  <c r="I24699" i="9"/>
  <c r="I24700" i="9"/>
  <c r="I24701" i="9"/>
  <c r="I24702" i="9"/>
  <c r="I24703" i="9"/>
  <c r="I24704" i="9"/>
  <c r="I24705" i="9"/>
  <c r="I24706" i="9"/>
  <c r="I24707" i="9"/>
  <c r="I24708" i="9"/>
  <c r="I24709" i="9"/>
  <c r="I24710" i="9"/>
  <c r="I24711" i="9"/>
  <c r="I24712" i="9"/>
  <c r="I24713" i="9"/>
  <c r="I24714" i="9"/>
  <c r="I24715" i="9"/>
  <c r="I24716" i="9"/>
  <c r="I24717" i="9"/>
  <c r="I24718" i="9"/>
  <c r="I24719" i="9"/>
  <c r="I24720" i="9"/>
  <c r="I24721" i="9"/>
  <c r="I24722" i="9"/>
  <c r="I24723" i="9"/>
  <c r="I24724" i="9"/>
  <c r="I24725" i="9"/>
  <c r="I24726" i="9"/>
  <c r="I24727" i="9"/>
  <c r="I24728" i="9"/>
  <c r="I24729" i="9"/>
  <c r="I24730" i="9"/>
  <c r="I24731" i="9"/>
  <c r="I24732" i="9"/>
  <c r="I24733" i="9"/>
  <c r="I24734" i="9"/>
  <c r="I24735" i="9"/>
  <c r="I24736" i="9"/>
  <c r="I24737" i="9"/>
  <c r="I24738" i="9"/>
  <c r="I24739" i="9"/>
  <c r="I24740" i="9"/>
  <c r="I24741" i="9"/>
  <c r="I24742" i="9"/>
  <c r="I24743" i="9"/>
  <c r="I24744" i="9"/>
  <c r="I24745" i="9"/>
  <c r="I24746" i="9"/>
  <c r="I24747" i="9"/>
  <c r="I24748" i="9"/>
  <c r="I24749" i="9"/>
  <c r="I24750" i="9"/>
  <c r="I24751" i="9"/>
  <c r="I24752" i="9"/>
  <c r="I24753" i="9"/>
  <c r="I24754" i="9"/>
  <c r="I24755" i="9"/>
  <c r="I24756" i="9"/>
  <c r="I24757" i="9"/>
  <c r="I24758" i="9"/>
  <c r="I24759" i="9"/>
  <c r="I24760" i="9"/>
  <c r="I24761" i="9"/>
  <c r="I24762" i="9"/>
  <c r="I24763" i="9"/>
  <c r="I24764" i="9"/>
  <c r="I24765" i="9"/>
  <c r="I24766" i="9"/>
  <c r="I24767" i="9"/>
  <c r="I24768" i="9"/>
  <c r="I24769" i="9"/>
  <c r="I24770" i="9"/>
  <c r="I24771" i="9"/>
  <c r="I24772" i="9"/>
  <c r="I24773" i="9"/>
  <c r="I24774" i="9"/>
  <c r="I24775" i="9"/>
  <c r="I24776" i="9"/>
  <c r="I24777" i="9"/>
  <c r="I24778" i="9"/>
  <c r="I24779" i="9"/>
  <c r="I24780" i="9"/>
  <c r="I24781" i="9"/>
  <c r="I24782" i="9"/>
  <c r="I24783" i="9"/>
  <c r="I24784" i="9"/>
  <c r="I24785" i="9"/>
  <c r="I24786" i="9"/>
  <c r="I24787" i="9"/>
  <c r="I24788" i="9"/>
  <c r="I24789" i="9"/>
  <c r="I24790" i="9"/>
  <c r="I24791" i="9"/>
  <c r="I24792" i="9"/>
  <c r="I24290" i="9"/>
  <c r="I24291" i="9"/>
  <c r="I24292" i="9"/>
  <c r="I24293" i="9"/>
  <c r="I24294" i="9"/>
  <c r="I24295" i="9"/>
  <c r="I24296" i="9"/>
  <c r="I24297" i="9"/>
  <c r="I24298" i="9"/>
  <c r="I24299" i="9"/>
  <c r="I24300" i="9"/>
  <c r="I24301" i="9"/>
  <c r="I24302" i="9"/>
  <c r="I24303" i="9"/>
  <c r="I24304" i="9"/>
  <c r="I24305" i="9"/>
  <c r="I24306" i="9"/>
  <c r="I24307" i="9"/>
  <c r="I24308" i="9"/>
  <c r="I24309" i="9"/>
  <c r="I24310" i="9"/>
  <c r="I24311" i="9"/>
  <c r="I24312" i="9"/>
  <c r="I24313" i="9"/>
  <c r="I24314" i="9"/>
  <c r="I24315" i="9"/>
  <c r="I24316" i="9"/>
  <c r="I24317" i="9"/>
  <c r="I24318" i="9"/>
  <c r="I24319" i="9"/>
  <c r="I24320" i="9"/>
  <c r="I24321" i="9"/>
  <c r="I24322" i="9"/>
  <c r="I24323" i="9"/>
  <c r="I24324" i="9"/>
  <c r="I24325" i="9"/>
  <c r="I24326" i="9"/>
  <c r="I24327" i="9"/>
  <c r="I24328" i="9"/>
  <c r="I24329" i="9"/>
  <c r="I24330" i="9"/>
  <c r="I24331" i="9"/>
  <c r="I24332" i="9"/>
  <c r="I24333" i="9"/>
  <c r="I24334" i="9"/>
  <c r="I24335" i="9"/>
  <c r="I24336" i="9"/>
  <c r="I24337" i="9"/>
  <c r="I24338" i="9"/>
  <c r="I24339" i="9"/>
  <c r="I24340" i="9"/>
  <c r="I24341" i="9"/>
  <c r="I24342" i="9"/>
  <c r="I24343" i="9"/>
  <c r="I24344" i="9"/>
  <c r="I24345" i="9"/>
  <c r="I24346" i="9"/>
  <c r="I24347" i="9"/>
  <c r="I24348" i="9"/>
  <c r="I24349" i="9"/>
  <c r="I24350" i="9"/>
  <c r="I24351" i="9"/>
  <c r="I24352" i="9"/>
  <c r="I24353" i="9"/>
  <c r="I24354" i="9"/>
  <c r="I24355" i="9"/>
  <c r="I24356" i="9"/>
  <c r="I24357" i="9"/>
  <c r="I24358" i="9"/>
  <c r="I24359" i="9"/>
  <c r="I24360" i="9"/>
  <c r="I24361" i="9"/>
  <c r="I24362" i="9"/>
  <c r="I24363" i="9"/>
  <c r="I24364" i="9"/>
  <c r="I24365" i="9"/>
  <c r="I24366" i="9"/>
  <c r="I24367" i="9"/>
  <c r="I24368" i="9"/>
  <c r="I24369" i="9"/>
  <c r="I24370" i="9"/>
  <c r="I24371" i="9"/>
  <c r="I24372" i="9"/>
  <c r="I24373" i="9"/>
  <c r="I24374" i="9"/>
  <c r="I24375" i="9"/>
  <c r="I24376" i="9"/>
  <c r="I24377" i="9"/>
  <c r="I24378" i="9"/>
  <c r="I24379" i="9"/>
  <c r="I24380" i="9"/>
  <c r="I24381" i="9"/>
  <c r="I24382" i="9"/>
  <c r="I24383" i="9"/>
  <c r="I24384" i="9"/>
  <c r="I24385" i="9"/>
  <c r="I24386" i="9"/>
  <c r="I24387" i="9"/>
  <c r="I24388" i="9"/>
  <c r="I24389" i="9"/>
  <c r="I24390" i="9"/>
  <c r="I24391" i="9"/>
  <c r="I24392" i="9"/>
  <c r="I24393" i="9"/>
  <c r="I24394" i="9"/>
  <c r="I24395" i="9"/>
  <c r="I24396" i="9"/>
  <c r="I24397" i="9"/>
  <c r="I24398" i="9"/>
  <c r="I24399" i="9"/>
  <c r="I24400" i="9"/>
  <c r="I24401" i="9"/>
  <c r="I24402" i="9"/>
  <c r="I24403" i="9"/>
  <c r="I24404" i="9"/>
  <c r="I24405" i="9"/>
  <c r="I24406" i="9"/>
  <c r="I24407" i="9"/>
  <c r="I24408" i="9"/>
  <c r="I24409" i="9"/>
  <c r="I24410" i="9"/>
  <c r="I24411" i="9"/>
  <c r="I24412" i="9"/>
  <c r="I24413" i="9"/>
  <c r="I24414" i="9"/>
  <c r="I24415" i="9"/>
  <c r="I24416" i="9"/>
  <c r="I24417" i="9"/>
  <c r="I24418" i="9"/>
  <c r="I24419" i="9"/>
  <c r="I24420" i="9"/>
  <c r="I24421" i="9"/>
  <c r="I24422" i="9"/>
  <c r="I24423" i="9"/>
  <c r="I24424" i="9"/>
  <c r="I24425" i="9"/>
  <c r="I24426" i="9"/>
  <c r="I24427" i="9"/>
  <c r="I24428" i="9"/>
  <c r="I24429" i="9"/>
  <c r="I24430" i="9"/>
  <c r="I24431" i="9"/>
  <c r="I24432" i="9"/>
  <c r="I24433" i="9"/>
  <c r="I24434" i="9"/>
  <c r="I24435" i="9"/>
  <c r="I24436" i="9"/>
  <c r="I24437" i="9"/>
  <c r="I24438" i="9"/>
  <c r="I24439" i="9"/>
  <c r="I24440" i="9"/>
  <c r="I24441" i="9"/>
  <c r="I24442" i="9"/>
  <c r="I24443" i="9"/>
  <c r="I24444" i="9"/>
  <c r="I24445" i="9"/>
  <c r="I24446" i="9"/>
  <c r="I24447" i="9"/>
  <c r="I24448" i="9"/>
  <c r="I24449" i="9"/>
  <c r="I24450" i="9"/>
  <c r="I24451" i="9"/>
  <c r="I24452" i="9"/>
  <c r="I24453" i="9"/>
  <c r="I24454" i="9"/>
  <c r="I24455" i="9"/>
  <c r="I24456" i="9"/>
  <c r="I24457" i="9"/>
  <c r="I24458" i="9"/>
  <c r="I24459" i="9"/>
  <c r="I24460" i="9"/>
  <c r="I24461" i="9"/>
  <c r="I24462" i="9"/>
  <c r="I24463" i="9"/>
  <c r="I24464" i="9"/>
  <c r="I24465" i="9"/>
  <c r="I24466" i="9"/>
  <c r="I24467" i="9"/>
  <c r="I24468" i="9"/>
  <c r="I24469" i="9"/>
  <c r="I24470" i="9"/>
  <c r="I24471" i="9"/>
  <c r="I24472" i="9"/>
  <c r="I24473" i="9"/>
  <c r="I24474" i="9"/>
  <c r="I24475" i="9"/>
  <c r="I24476" i="9"/>
  <c r="I24477" i="9"/>
  <c r="I24478" i="9"/>
  <c r="I24479" i="9"/>
  <c r="I24480" i="9"/>
  <c r="I24481" i="9"/>
  <c r="I24482" i="9"/>
  <c r="I24483" i="9"/>
  <c r="I24484" i="9"/>
  <c r="I24485" i="9"/>
  <c r="I24486" i="9"/>
  <c r="I24487" i="9"/>
  <c r="I24488" i="9"/>
  <c r="I24489" i="9"/>
  <c r="I24490" i="9"/>
  <c r="I24491" i="9"/>
  <c r="I24492" i="9"/>
  <c r="I24493" i="9"/>
  <c r="I24494" i="9"/>
  <c r="I24495" i="9"/>
  <c r="I24496" i="9"/>
  <c r="I24497" i="9"/>
  <c r="I24498" i="9"/>
  <c r="I24499" i="9"/>
  <c r="I24500" i="9"/>
  <c r="I24501" i="9"/>
  <c r="I24502" i="9"/>
  <c r="I24503" i="9"/>
  <c r="I24504" i="9"/>
  <c r="I24505" i="9"/>
  <c r="I24506" i="9"/>
  <c r="I24507" i="9"/>
  <c r="I24508" i="9"/>
  <c r="I24509" i="9"/>
  <c r="I24510" i="9"/>
  <c r="I24511" i="9"/>
  <c r="I24512" i="9"/>
  <c r="I24513" i="9"/>
  <c r="I24514" i="9"/>
  <c r="I24515" i="9"/>
  <c r="I24516" i="9"/>
  <c r="I24517" i="9"/>
  <c r="I24518" i="9"/>
  <c r="I24519" i="9"/>
  <c r="I24520" i="9"/>
  <c r="I24521" i="9"/>
  <c r="I24522" i="9"/>
  <c r="I24523" i="9"/>
  <c r="I24524" i="9"/>
  <c r="I24525" i="9"/>
  <c r="I24526" i="9"/>
  <c r="I24527" i="9"/>
  <c r="I24528" i="9"/>
  <c r="I24529" i="9"/>
  <c r="I24530" i="9"/>
  <c r="I24531" i="9"/>
  <c r="I24532" i="9"/>
  <c r="I24533" i="9"/>
  <c r="I24534" i="9"/>
  <c r="I24535" i="9"/>
  <c r="I24536" i="9"/>
  <c r="I24537" i="9"/>
  <c r="I24538" i="9"/>
  <c r="I24539" i="9"/>
  <c r="I24540" i="9"/>
  <c r="I24541" i="9"/>
  <c r="I24542" i="9"/>
  <c r="I24543" i="9"/>
  <c r="I24544" i="9"/>
  <c r="I24545" i="9"/>
  <c r="I24546" i="9"/>
  <c r="I24547" i="9"/>
  <c r="I24548" i="9"/>
  <c r="I24549" i="9"/>
  <c r="I24550" i="9"/>
  <c r="I24551" i="9"/>
  <c r="I24552" i="9"/>
  <c r="I24553" i="9"/>
  <c r="I24554" i="9"/>
  <c r="I24555" i="9"/>
  <c r="I24556" i="9"/>
  <c r="I24557" i="9"/>
  <c r="I24558" i="9"/>
  <c r="I24559" i="9"/>
  <c r="I24560" i="9"/>
  <c r="I24561" i="9"/>
  <c r="I24562" i="9"/>
  <c r="I24563" i="9"/>
  <c r="I24564" i="9"/>
  <c r="I24565" i="9"/>
  <c r="I24566" i="9"/>
  <c r="I24567" i="9"/>
  <c r="I24568" i="9"/>
  <c r="I24569" i="9"/>
  <c r="I24570" i="9"/>
  <c r="I24571" i="9"/>
  <c r="I24572" i="9"/>
  <c r="I24573" i="9"/>
  <c r="I24574" i="9"/>
  <c r="I24575" i="9"/>
  <c r="I24576" i="9"/>
  <c r="I24577" i="9"/>
  <c r="I24578" i="9"/>
  <c r="I24579" i="9"/>
  <c r="I24580" i="9"/>
  <c r="I24581" i="9"/>
  <c r="I24582" i="9"/>
  <c r="I24583" i="9"/>
  <c r="I24584" i="9"/>
  <c r="I24585" i="9"/>
  <c r="I24586" i="9"/>
  <c r="I24587" i="9"/>
  <c r="I24588" i="9"/>
  <c r="I24589" i="9"/>
  <c r="I24590" i="9"/>
  <c r="I24591" i="9"/>
  <c r="I24592" i="9"/>
  <c r="I24593" i="9"/>
  <c r="I24594" i="9"/>
  <c r="I24595" i="9"/>
  <c r="I24596" i="9"/>
  <c r="I24597" i="9"/>
  <c r="I24598" i="9"/>
  <c r="I24599" i="9"/>
  <c r="I24600" i="9"/>
  <c r="I24601" i="9"/>
  <c r="I24602" i="9"/>
  <c r="I24603" i="9"/>
  <c r="I24604" i="9"/>
  <c r="I24605" i="9"/>
  <c r="I24606" i="9"/>
  <c r="I24607" i="9"/>
  <c r="I24608" i="9"/>
  <c r="I24609" i="9"/>
  <c r="I24610" i="9"/>
  <c r="I24611" i="9"/>
  <c r="I24612" i="9"/>
  <c r="I24613" i="9"/>
  <c r="I24614" i="9"/>
  <c r="I24615" i="9"/>
  <c r="I24616" i="9"/>
  <c r="I24617" i="9"/>
  <c r="I24618" i="9"/>
  <c r="I24619" i="9"/>
  <c r="I24620" i="9"/>
  <c r="I24621" i="9"/>
  <c r="I24622" i="9"/>
  <c r="I24623" i="9"/>
  <c r="I24624" i="9"/>
  <c r="I24625" i="9"/>
  <c r="I24626" i="9"/>
  <c r="I24627" i="9"/>
  <c r="I24628" i="9"/>
  <c r="I24629" i="9"/>
  <c r="I24630" i="9"/>
  <c r="I24631" i="9"/>
  <c r="I24632" i="9"/>
  <c r="I24633" i="9"/>
  <c r="I24634" i="9"/>
  <c r="I24635" i="9"/>
  <c r="I24636" i="9"/>
  <c r="I24637" i="9"/>
  <c r="I24638" i="9"/>
  <c r="I24639" i="9"/>
  <c r="I24640" i="9"/>
  <c r="I24641" i="9"/>
  <c r="I24642" i="9"/>
  <c r="I24643" i="9"/>
  <c r="I24644" i="9"/>
  <c r="I24645" i="9"/>
  <c r="I24646" i="9"/>
  <c r="I24647" i="9"/>
  <c r="I24648" i="9"/>
  <c r="I24649" i="9"/>
  <c r="I24650" i="9"/>
  <c r="I24651" i="9"/>
  <c r="I24652" i="9"/>
  <c r="I24653" i="9"/>
  <c r="I24654" i="9"/>
  <c r="I24655" i="9"/>
  <c r="I24656" i="9"/>
  <c r="I24657" i="9"/>
  <c r="I24658" i="9"/>
  <c r="I24659" i="9"/>
  <c r="I24660" i="9"/>
  <c r="I24661" i="9"/>
  <c r="I24662" i="9"/>
  <c r="I24663" i="9"/>
  <c r="I24664" i="9"/>
  <c r="I24665" i="9"/>
  <c r="I24666" i="9"/>
  <c r="I24667" i="9"/>
  <c r="I24668" i="9"/>
  <c r="I24669" i="9"/>
  <c r="I24670" i="9"/>
  <c r="I24671" i="9"/>
  <c r="I24672" i="9"/>
  <c r="I24673" i="9"/>
  <c r="I24674" i="9"/>
  <c r="I24675" i="9"/>
  <c r="I24676" i="9"/>
  <c r="I24677" i="9"/>
  <c r="I24678" i="9"/>
  <c r="I24679" i="9"/>
  <c r="I24680" i="9"/>
  <c r="I24681" i="9"/>
  <c r="I24682" i="9"/>
  <c r="I24683" i="9"/>
  <c r="I24684" i="9"/>
  <c r="I24685" i="9"/>
  <c r="I24686" i="9"/>
  <c r="I24687" i="9"/>
  <c r="I24688" i="9"/>
  <c r="I24689" i="9"/>
  <c r="I24690" i="9"/>
  <c r="I24691" i="9"/>
  <c r="I24692" i="9"/>
  <c r="I24693" i="9"/>
  <c r="I24694" i="9"/>
  <c r="I24695" i="9"/>
  <c r="I24696" i="9"/>
  <c r="I24697" i="9"/>
  <c r="I24288" i="9"/>
  <c r="I24289" i="9"/>
  <c r="I24240" i="9"/>
  <c r="I24241" i="9"/>
  <c r="I24242" i="9"/>
  <c r="I24243" i="9"/>
  <c r="I24244" i="9"/>
  <c r="I24245" i="9"/>
  <c r="I24246" i="9"/>
  <c r="I24247" i="9"/>
  <c r="I24248" i="9"/>
  <c r="I24249" i="9"/>
  <c r="I24250" i="9"/>
  <c r="I24251" i="9"/>
  <c r="I24252" i="9"/>
  <c r="I24253" i="9"/>
  <c r="I24254" i="9"/>
  <c r="I24255" i="9"/>
  <c r="I24256" i="9"/>
  <c r="I24257" i="9"/>
  <c r="I24258" i="9"/>
  <c r="I24259" i="9"/>
  <c r="I24260" i="9"/>
  <c r="I24261" i="9"/>
  <c r="I24262" i="9"/>
  <c r="I24263" i="9"/>
  <c r="I24264" i="9"/>
  <c r="I24265" i="9"/>
  <c r="I24266" i="9"/>
  <c r="I24267" i="9"/>
  <c r="I24268" i="9"/>
  <c r="I24269" i="9"/>
  <c r="I24270" i="9"/>
  <c r="I24271" i="9"/>
  <c r="I24272" i="9"/>
  <c r="I24273" i="9"/>
  <c r="I24274" i="9"/>
  <c r="I24275" i="9"/>
  <c r="I24276" i="9"/>
  <c r="I24277" i="9"/>
  <c r="I24278" i="9"/>
  <c r="I24279" i="9"/>
  <c r="I24280" i="9"/>
  <c r="I24281" i="9"/>
  <c r="I24282" i="9"/>
  <c r="I24283" i="9"/>
  <c r="I24284" i="9"/>
  <c r="I24285" i="9"/>
  <c r="I24286" i="9"/>
  <c r="I24287" i="9"/>
  <c r="I24239" i="9"/>
  <c r="I24229" i="9"/>
  <c r="I24230" i="9"/>
  <c r="I24231" i="9"/>
  <c r="I24232" i="9"/>
  <c r="I24233" i="9"/>
  <c r="I24234" i="9"/>
  <c r="I24235" i="9"/>
  <c r="I24236" i="9"/>
  <c r="I24237" i="9"/>
  <c r="I24238" i="9"/>
  <c r="I24224" i="9"/>
  <c r="I24225" i="9"/>
  <c r="I24226" i="9"/>
  <c r="I24227" i="9"/>
  <c r="I24228" i="9"/>
  <c r="I24215" i="9"/>
  <c r="I24216" i="9"/>
  <c r="I24217" i="9"/>
  <c r="I24218" i="9"/>
  <c r="I24219" i="9"/>
  <c r="I24220" i="9"/>
  <c r="I24221" i="9"/>
  <c r="I24222" i="9"/>
  <c r="I24223" i="9"/>
  <c r="I24214" i="9"/>
  <c r="I24212" i="9"/>
  <c r="I24213" i="9"/>
  <c r="I24207" i="9"/>
  <c r="I24208" i="9"/>
  <c r="I24209" i="9"/>
  <c r="I24210" i="9"/>
  <c r="I24211" i="9"/>
  <c r="I24206" i="9"/>
  <c r="I24201" i="9"/>
  <c r="I24202" i="9"/>
  <c r="I24203" i="9"/>
  <c r="I24204" i="9"/>
  <c r="I24205" i="9"/>
  <c r="I24199" i="9"/>
  <c r="I24200" i="9"/>
  <c r="I24198" i="9"/>
  <c r="I24197" i="9"/>
  <c r="I24193" i="9"/>
  <c r="I24194" i="9"/>
  <c r="I24195" i="9"/>
  <c r="I24196" i="9"/>
  <c r="I24192" i="9"/>
  <c r="I24191" i="9"/>
  <c r="I24182" i="9"/>
  <c r="I24183" i="9"/>
  <c r="I24184" i="9"/>
  <c r="I24185" i="9"/>
  <c r="I24186" i="9"/>
  <c r="I24187" i="9"/>
  <c r="I24188" i="9"/>
  <c r="I24189" i="9"/>
  <c r="I24190" i="9"/>
  <c r="I24178" i="9"/>
  <c r="I24179" i="9"/>
  <c r="I24180" i="9"/>
  <c r="I24181" i="9"/>
  <c r="I24177" i="9"/>
  <c r="I24176" i="9"/>
  <c r="I24175" i="9"/>
  <c r="I24173" i="9"/>
  <c r="I24174" i="9"/>
  <c r="I24172" i="9"/>
  <c r="I24171" i="9"/>
  <c r="I24164" i="9"/>
  <c r="I24165" i="9"/>
  <c r="I24166" i="9"/>
  <c r="I24167" i="9"/>
  <c r="I24168" i="9"/>
  <c r="I24169" i="9"/>
  <c r="I24170" i="9"/>
  <c r="I24163" i="9"/>
  <c r="I24162" i="9"/>
  <c r="I24160" i="9"/>
  <c r="I24161" i="9"/>
  <c r="I24158" i="9"/>
  <c r="I24159" i="9"/>
  <c r="I24127" i="9"/>
  <c r="I24128" i="9"/>
  <c r="I24129" i="9"/>
  <c r="I24130" i="9"/>
  <c r="I24131" i="9"/>
  <c r="I24132" i="9"/>
  <c r="I24133" i="9"/>
  <c r="I24134" i="9"/>
  <c r="I24135" i="9"/>
  <c r="I24136" i="9"/>
  <c r="I24137" i="9"/>
  <c r="I24138" i="9"/>
  <c r="I24139" i="9"/>
  <c r="I24140" i="9"/>
  <c r="I24141" i="9"/>
  <c r="I24142" i="9"/>
  <c r="I24143" i="9"/>
  <c r="I24144" i="9"/>
  <c r="I24145" i="9"/>
  <c r="I24146" i="9"/>
  <c r="I24147" i="9"/>
  <c r="I24148" i="9"/>
  <c r="I24149" i="9"/>
  <c r="I24150" i="9"/>
  <c r="I24151" i="9"/>
  <c r="I24152" i="9"/>
  <c r="I24153" i="9"/>
  <c r="I24154" i="9"/>
  <c r="I24155" i="9"/>
  <c r="I24156" i="9"/>
  <c r="I24157" i="9"/>
  <c r="I24124" i="9"/>
  <c r="I24125" i="9"/>
  <c r="I24126" i="9"/>
  <c r="I24111" i="9"/>
  <c r="I24112" i="9"/>
  <c r="I24113" i="9"/>
  <c r="I24114" i="9"/>
  <c r="I24115" i="9"/>
  <c r="I24116" i="9"/>
  <c r="I24117" i="9"/>
  <c r="I24118" i="9"/>
  <c r="I24119" i="9"/>
  <c r="I24120" i="9"/>
  <c r="I24121" i="9"/>
  <c r="I24122" i="9"/>
  <c r="I24123" i="9"/>
  <c r="I24107" i="9"/>
  <c r="I24108" i="9"/>
  <c r="I24109" i="9"/>
  <c r="I24110" i="9"/>
  <c r="I24086" i="9"/>
  <c r="I24087" i="9"/>
  <c r="I24088" i="9"/>
  <c r="I24089" i="9"/>
  <c r="I24090" i="9"/>
  <c r="I24091" i="9"/>
  <c r="I24092" i="9"/>
  <c r="I24093" i="9"/>
  <c r="I24094" i="9"/>
  <c r="I24095" i="9"/>
  <c r="I24096" i="9"/>
  <c r="I24097" i="9"/>
  <c r="I24098" i="9"/>
  <c r="I24099" i="9"/>
  <c r="I24100" i="9"/>
  <c r="I24101" i="9"/>
  <c r="I24102" i="9"/>
  <c r="I24103" i="9"/>
  <c r="I24104" i="9"/>
  <c r="I24105" i="9"/>
  <c r="I24106" i="9"/>
  <c r="I24085" i="9"/>
  <c r="I24082" i="9"/>
  <c r="I24083" i="9"/>
  <c r="I24084" i="9"/>
  <c r="I24071" i="9"/>
  <c r="I24072" i="9"/>
  <c r="I24073" i="9"/>
  <c r="I24074" i="9"/>
  <c r="I24075" i="9"/>
  <c r="I24076" i="9"/>
  <c r="I24077" i="9"/>
  <c r="I24078" i="9"/>
  <c r="I24079" i="9"/>
  <c r="I24080" i="9"/>
  <c r="I24081" i="9"/>
  <c r="I24070" i="9"/>
  <c r="I24069" i="9"/>
  <c r="I24066" i="9"/>
  <c r="I24067" i="9"/>
  <c r="I24068" i="9"/>
  <c r="I24057" i="9"/>
  <c r="I24058" i="9"/>
  <c r="I24059" i="9"/>
  <c r="I24060" i="9"/>
  <c r="I24061" i="9"/>
  <c r="I24062" i="9"/>
  <c r="I24063" i="9"/>
  <c r="I24064" i="9"/>
  <c r="I24065" i="9"/>
  <c r="I24056" i="9"/>
  <c r="I24055" i="9"/>
  <c r="I24054" i="9"/>
  <c r="I24053" i="9"/>
  <c r="I24051" i="9"/>
  <c r="I24052" i="9"/>
  <c r="I24050" i="9"/>
  <c r="I24048" i="9"/>
  <c r="I24049" i="9"/>
  <c r="I24047" i="9"/>
  <c r="I24046" i="9"/>
  <c r="I24045" i="9"/>
  <c r="I24044" i="9"/>
  <c r="I24043" i="9"/>
  <c r="I24042" i="9"/>
  <c r="I24041" i="9"/>
  <c r="I24040" i="9"/>
  <c r="I24036" i="9"/>
  <c r="I24037" i="9"/>
  <c r="I24038" i="9"/>
  <c r="I24039" i="9"/>
  <c r="I24035" i="9"/>
  <c r="I24029" i="9"/>
  <c r="I24030" i="9"/>
  <c r="I24031" i="9"/>
  <c r="I24032" i="9"/>
  <c r="I24033" i="9"/>
  <c r="I24034" i="9"/>
  <c r="I24028" i="9"/>
  <c r="I24024" i="9"/>
  <c r="I24025" i="9"/>
  <c r="I24026" i="9"/>
  <c r="I24027" i="9"/>
  <c r="I24022" i="9"/>
  <c r="I24023" i="9"/>
  <c r="I24015" i="9"/>
  <c r="I24016" i="9"/>
  <c r="I24017" i="9"/>
  <c r="I24018" i="9"/>
  <c r="I24019" i="9"/>
  <c r="I24020" i="9"/>
  <c r="I24021" i="9"/>
  <c r="I24010" i="9"/>
  <c r="I24011" i="9"/>
  <c r="I24012" i="9"/>
  <c r="I24013" i="9"/>
  <c r="I24014" i="9"/>
  <c r="I23999" i="9"/>
  <c r="I24000" i="9"/>
  <c r="I24001" i="9"/>
  <c r="I24002" i="9"/>
  <c r="I24003" i="9"/>
  <c r="I24004" i="9"/>
  <c r="I24005" i="9"/>
  <c r="I24006" i="9"/>
  <c r="I24007" i="9"/>
  <c r="I24008" i="9"/>
  <c r="I24009" i="9"/>
  <c r="I23997" i="9"/>
  <c r="I23998" i="9"/>
  <c r="I23996" i="9"/>
  <c r="I23995" i="9"/>
  <c r="I23993" i="9"/>
  <c r="I23994" i="9"/>
  <c r="I23990" i="9"/>
  <c r="I23991" i="9"/>
  <c r="I23992" i="9"/>
  <c r="I23989" i="9"/>
  <c r="I23985" i="9"/>
  <c r="I23986" i="9"/>
  <c r="I23987" i="9"/>
  <c r="I23988" i="9"/>
  <c r="I23975" i="9"/>
  <c r="I23976" i="9"/>
  <c r="I23977" i="9"/>
  <c r="I23978" i="9"/>
  <c r="I23979" i="9"/>
  <c r="I23980" i="9"/>
  <c r="I23981" i="9"/>
  <c r="I23982" i="9"/>
  <c r="I23983" i="9"/>
  <c r="I23984" i="9"/>
  <c r="I23974" i="9"/>
  <c r="I23972" i="9"/>
  <c r="I23973" i="9"/>
  <c r="I23971" i="9"/>
  <c r="I23970" i="9"/>
  <c r="I23967" i="9"/>
  <c r="I23968" i="9"/>
  <c r="I23969" i="9"/>
  <c r="I23957" i="9"/>
  <c r="I23958" i="9"/>
  <c r="I23959" i="9"/>
  <c r="I23960" i="9"/>
  <c r="I23961" i="9"/>
  <c r="I23962" i="9"/>
  <c r="I23963" i="9"/>
  <c r="I23964" i="9"/>
  <c r="I23965" i="9"/>
  <c r="I23966" i="9"/>
  <c r="I23956" i="9"/>
  <c r="I23954" i="9"/>
  <c r="I23955" i="9"/>
  <c r="I23941" i="9"/>
  <c r="I23942" i="9"/>
  <c r="I23943" i="9"/>
  <c r="I23944" i="9"/>
  <c r="I23945" i="9"/>
  <c r="I23946" i="9"/>
  <c r="I23947" i="9"/>
  <c r="I23948" i="9"/>
  <c r="I23949" i="9"/>
  <c r="I23950" i="9"/>
  <c r="I23951" i="9"/>
  <c r="I23952" i="9"/>
  <c r="I23953" i="9"/>
  <c r="I23937" i="9"/>
  <c r="I23938" i="9"/>
  <c r="I23939" i="9"/>
  <c r="I23940" i="9"/>
  <c r="I23934" i="9"/>
  <c r="I23935" i="9"/>
  <c r="I23936" i="9"/>
  <c r="I23931" i="9"/>
  <c r="I23932" i="9"/>
  <c r="I23933" i="9"/>
  <c r="I23925" i="9"/>
  <c r="I23926" i="9"/>
  <c r="I23927" i="9"/>
  <c r="I23928" i="9"/>
  <c r="I23929" i="9"/>
  <c r="I23930" i="9"/>
  <c r="I23918" i="9"/>
  <c r="I23919" i="9"/>
  <c r="I23920" i="9"/>
  <c r="I23921" i="9"/>
  <c r="I23922" i="9"/>
  <c r="I23923" i="9"/>
  <c r="I23924" i="9"/>
  <c r="I23910" i="9"/>
  <c r="I23911" i="9"/>
  <c r="I23912" i="9"/>
  <c r="I23913" i="9"/>
  <c r="I23914" i="9"/>
  <c r="I23915" i="9"/>
  <c r="I23916" i="9"/>
  <c r="I23917" i="9"/>
  <c r="I23907" i="9"/>
  <c r="I23908" i="9"/>
  <c r="I23909" i="9"/>
  <c r="I23906" i="9"/>
  <c r="I23905" i="9"/>
  <c r="I23903" i="9"/>
  <c r="I23904" i="9"/>
  <c r="I23901" i="9"/>
  <c r="I23902" i="9"/>
  <c r="I23893" i="9"/>
  <c r="I23894" i="9"/>
  <c r="I23895" i="9"/>
  <c r="I23896" i="9"/>
  <c r="I23897" i="9"/>
  <c r="I23898" i="9"/>
  <c r="I23899" i="9"/>
  <c r="I23900" i="9"/>
  <c r="I23892" i="9"/>
  <c r="I23891" i="9"/>
  <c r="I23890" i="9"/>
  <c r="I23889" i="9"/>
  <c r="I23888" i="9"/>
  <c r="I23879" i="9"/>
  <c r="I23880" i="9"/>
  <c r="I23881" i="9"/>
  <c r="I23882" i="9"/>
  <c r="I23883" i="9"/>
  <c r="I23884" i="9"/>
  <c r="I23885" i="9"/>
  <c r="I23886" i="9"/>
  <c r="I23887" i="9"/>
  <c r="I23878" i="9"/>
  <c r="I23877" i="9"/>
  <c r="I23876" i="9"/>
  <c r="I23875" i="9"/>
  <c r="I23874" i="9"/>
  <c r="I23873" i="9"/>
  <c r="I23870" i="9"/>
  <c r="I23871" i="9"/>
  <c r="I23872" i="9"/>
  <c r="I23869" i="9"/>
  <c r="I23867" i="9"/>
  <c r="I23868" i="9"/>
  <c r="I23866" i="9"/>
  <c r="I23865" i="9"/>
  <c r="I23864" i="9"/>
  <c r="I23861" i="9"/>
  <c r="I23862" i="9"/>
  <c r="I23863" i="9"/>
  <c r="I23860" i="9"/>
  <c r="I23859" i="9"/>
  <c r="I23858" i="9"/>
  <c r="I23857" i="9"/>
  <c r="I23856" i="9"/>
  <c r="I23855" i="9"/>
  <c r="I23854" i="9"/>
  <c r="I23851" i="9"/>
  <c r="I23852" i="9"/>
  <c r="I23853" i="9"/>
  <c r="I23849" i="9"/>
  <c r="I23850" i="9"/>
  <c r="I23847" i="9"/>
  <c r="I23848" i="9"/>
  <c r="I23846" i="9"/>
  <c r="I23845" i="9"/>
  <c r="I23844" i="9"/>
  <c r="I23843" i="9"/>
  <c r="I23842" i="9"/>
  <c r="I23841" i="9"/>
  <c r="I23840" i="9"/>
  <c r="I23839" i="9"/>
  <c r="I23836" i="9"/>
  <c r="I23837" i="9"/>
  <c r="I23838" i="9"/>
  <c r="I23834" i="9"/>
  <c r="I23835" i="9"/>
  <c r="I23833" i="9"/>
  <c r="I23830" i="9"/>
  <c r="I23831" i="9"/>
  <c r="I23832" i="9"/>
  <c r="I23828" i="9"/>
  <c r="I23829" i="9"/>
  <c r="I23827" i="9"/>
  <c r="I23817" i="9"/>
  <c r="I23818" i="9"/>
  <c r="I23819" i="9"/>
  <c r="I23820" i="9"/>
  <c r="I23821" i="9"/>
  <c r="I23822" i="9"/>
  <c r="I23823" i="9"/>
  <c r="I23824" i="9"/>
  <c r="I23825" i="9"/>
  <c r="I23826" i="9"/>
  <c r="I23816" i="9"/>
  <c r="I23815" i="9"/>
  <c r="I23813" i="9"/>
  <c r="I23814" i="9"/>
  <c r="I23812" i="9"/>
  <c r="I23807" i="9"/>
  <c r="I23808" i="9"/>
  <c r="I23809" i="9"/>
  <c r="I23810" i="9"/>
  <c r="I23811" i="9"/>
  <c r="I23806" i="9"/>
  <c r="I23802" i="9"/>
  <c r="I23803" i="9"/>
  <c r="I23804" i="9"/>
  <c r="I23805" i="9"/>
  <c r="I23801" i="9"/>
  <c r="I23797" i="9"/>
  <c r="I23798" i="9"/>
  <c r="I23799" i="9"/>
  <c r="I23800" i="9"/>
  <c r="I23796" i="9"/>
  <c r="I23794" i="9"/>
  <c r="I23795" i="9"/>
  <c r="I23793" i="9"/>
  <c r="I23792" i="9"/>
  <c r="I23791" i="9"/>
  <c r="I23789" i="9"/>
  <c r="I23790" i="9"/>
  <c r="I23781" i="9"/>
  <c r="I23782" i="9"/>
  <c r="I23783" i="9"/>
  <c r="I23784" i="9"/>
  <c r="I23785" i="9"/>
  <c r="I23786" i="9"/>
  <c r="I23787" i="9"/>
  <c r="I23788" i="9"/>
  <c r="I23780" i="9"/>
  <c r="I23777" i="9"/>
  <c r="I23778" i="9"/>
  <c r="I23779" i="9"/>
  <c r="I23776" i="9"/>
  <c r="I23775" i="9"/>
  <c r="I23774" i="9"/>
  <c r="I23773" i="9"/>
  <c r="I23771" i="9"/>
  <c r="I23772" i="9"/>
  <c r="I23769" i="9"/>
  <c r="I23770" i="9"/>
  <c r="I23768" i="9"/>
  <c r="I23767" i="9"/>
  <c r="I23766" i="9"/>
  <c r="I23764" i="9"/>
  <c r="I23765" i="9"/>
  <c r="I23763" i="9"/>
  <c r="I23761" i="9"/>
  <c r="I23762" i="9"/>
  <c r="I23757" i="9"/>
  <c r="I23758" i="9"/>
  <c r="I23759" i="9"/>
  <c r="I23760" i="9"/>
  <c r="I23755" i="9"/>
  <c r="I23756" i="9"/>
  <c r="I23754" i="9"/>
  <c r="I23753" i="9"/>
  <c r="I23752" i="9"/>
  <c r="I23751" i="9"/>
  <c r="I23750" i="9"/>
  <c r="I23748" i="9"/>
  <c r="I23749" i="9"/>
  <c r="I23747" i="9"/>
  <c r="I23744" i="9"/>
  <c r="I23745" i="9"/>
  <c r="I23746" i="9"/>
  <c r="I23738" i="9"/>
  <c r="I23739" i="9"/>
  <c r="I23740" i="9"/>
  <c r="I23741" i="9"/>
  <c r="I23742" i="9"/>
  <c r="I23743" i="9"/>
  <c r="I23583" i="9"/>
  <c r="I23584" i="9"/>
  <c r="I23585" i="9"/>
  <c r="I23586" i="9"/>
  <c r="I23587" i="9"/>
  <c r="I23588" i="9"/>
  <c r="I23589" i="9"/>
  <c r="I23590" i="9"/>
  <c r="I23591" i="9"/>
  <c r="I23592" i="9"/>
  <c r="I23593" i="9"/>
  <c r="I23594" i="9"/>
  <c r="I23595" i="9"/>
  <c r="I23596" i="9"/>
  <c r="I23597" i="9"/>
  <c r="I23598" i="9"/>
  <c r="I23599" i="9"/>
  <c r="I23600" i="9"/>
  <c r="I23601" i="9"/>
  <c r="I23602" i="9"/>
  <c r="I23603" i="9"/>
  <c r="I23604" i="9"/>
  <c r="I23605" i="9"/>
  <c r="I23606" i="9"/>
  <c r="I23607" i="9"/>
  <c r="I23608" i="9"/>
  <c r="I23609" i="9"/>
  <c r="I23610" i="9"/>
  <c r="I23611" i="9"/>
  <c r="I23612" i="9"/>
  <c r="I23613" i="9"/>
  <c r="I23614" i="9"/>
  <c r="I23615" i="9"/>
  <c r="I23616" i="9"/>
  <c r="I23617" i="9"/>
  <c r="I23618" i="9"/>
  <c r="I23619" i="9"/>
  <c r="I23620" i="9"/>
  <c r="I23621" i="9"/>
  <c r="I23622" i="9"/>
  <c r="I23623" i="9"/>
  <c r="I23624" i="9"/>
  <c r="I23625" i="9"/>
  <c r="I23626" i="9"/>
  <c r="I23627" i="9"/>
  <c r="I23628" i="9"/>
  <c r="I23629" i="9"/>
  <c r="I23630" i="9"/>
  <c r="I23631" i="9"/>
  <c r="I23632" i="9"/>
  <c r="I23633" i="9"/>
  <c r="I23634" i="9"/>
  <c r="I23635" i="9"/>
  <c r="I23636" i="9"/>
  <c r="I23637" i="9"/>
  <c r="I23638" i="9"/>
  <c r="I23639" i="9"/>
  <c r="I23640" i="9"/>
  <c r="I23641" i="9"/>
  <c r="I23642" i="9"/>
  <c r="I23643" i="9"/>
  <c r="I23644" i="9"/>
  <c r="I23645" i="9"/>
  <c r="I23646" i="9"/>
  <c r="I23647" i="9"/>
  <c r="I23648" i="9"/>
  <c r="I23649" i="9"/>
  <c r="I23650" i="9"/>
  <c r="I23651" i="9"/>
  <c r="I23652" i="9"/>
  <c r="I23653" i="9"/>
  <c r="I23654" i="9"/>
  <c r="I23655" i="9"/>
  <c r="I23656" i="9"/>
  <c r="I23657" i="9"/>
  <c r="I23658" i="9"/>
  <c r="I23659" i="9"/>
  <c r="I23660" i="9"/>
  <c r="I23661" i="9"/>
  <c r="I23662" i="9"/>
  <c r="I23663" i="9"/>
  <c r="I23664" i="9"/>
  <c r="I23665" i="9"/>
  <c r="I23666" i="9"/>
  <c r="I23667" i="9"/>
  <c r="I23668" i="9"/>
  <c r="I23669" i="9"/>
  <c r="I23670" i="9"/>
  <c r="I23671" i="9"/>
  <c r="I23672" i="9"/>
  <c r="I23673" i="9"/>
  <c r="I23674" i="9"/>
  <c r="I23675" i="9"/>
  <c r="I23676" i="9"/>
  <c r="I23677" i="9"/>
  <c r="I23678" i="9"/>
  <c r="I23679" i="9"/>
  <c r="I23680" i="9"/>
  <c r="I23681" i="9"/>
  <c r="I23682" i="9"/>
  <c r="I23683" i="9"/>
  <c r="I23684" i="9"/>
  <c r="I23685" i="9"/>
  <c r="I23686" i="9"/>
  <c r="I23687" i="9"/>
  <c r="I23688" i="9"/>
  <c r="I23689" i="9"/>
  <c r="I23690" i="9"/>
  <c r="I23691" i="9"/>
  <c r="I23692" i="9"/>
  <c r="I23693" i="9"/>
  <c r="I23694" i="9"/>
  <c r="I23695" i="9"/>
  <c r="I23696" i="9"/>
  <c r="I23697" i="9"/>
  <c r="I23698" i="9"/>
  <c r="I23699" i="9"/>
  <c r="I23700" i="9"/>
  <c r="I23701" i="9"/>
  <c r="I23702" i="9"/>
  <c r="I23703" i="9"/>
  <c r="I23704" i="9"/>
  <c r="I23705" i="9"/>
  <c r="I23706" i="9"/>
  <c r="I23707" i="9"/>
  <c r="I23708" i="9"/>
  <c r="I23709" i="9"/>
  <c r="I23710" i="9"/>
  <c r="I23711" i="9"/>
  <c r="I23712" i="9"/>
  <c r="I23713" i="9"/>
  <c r="I23714" i="9"/>
  <c r="I23715" i="9"/>
  <c r="I23716" i="9"/>
  <c r="I23717" i="9"/>
  <c r="I23718" i="9"/>
  <c r="I23719" i="9"/>
  <c r="I23720" i="9"/>
  <c r="I23721" i="9"/>
  <c r="I23722" i="9"/>
  <c r="I23723" i="9"/>
  <c r="I23724" i="9"/>
  <c r="I23725" i="9"/>
  <c r="I23726" i="9"/>
  <c r="I23727" i="9"/>
  <c r="I23728" i="9"/>
  <c r="I23729" i="9"/>
  <c r="I23730" i="9"/>
  <c r="I23731" i="9"/>
  <c r="I23732" i="9"/>
  <c r="I23733" i="9"/>
  <c r="I23734" i="9"/>
  <c r="I23735" i="9"/>
  <c r="I23736" i="9"/>
  <c r="I23737" i="9"/>
  <c r="I23578" i="9"/>
  <c r="I23579" i="9"/>
  <c r="I23580" i="9"/>
  <c r="I23581" i="9"/>
  <c r="I23582" i="9"/>
  <c r="I23553" i="9"/>
  <c r="I23554" i="9"/>
  <c r="I23555" i="9"/>
  <c r="I23556" i="9"/>
  <c r="I23557" i="9"/>
  <c r="I23558" i="9"/>
  <c r="I23559" i="9"/>
  <c r="I23560" i="9"/>
  <c r="I23561" i="9"/>
  <c r="I23562" i="9"/>
  <c r="I23563" i="9"/>
  <c r="I23564" i="9"/>
  <c r="I23565" i="9"/>
  <c r="I23566" i="9"/>
  <c r="I23567" i="9"/>
  <c r="I23568" i="9"/>
  <c r="I23569" i="9"/>
  <c r="I23570" i="9"/>
  <c r="I23571" i="9"/>
  <c r="I23572" i="9"/>
  <c r="I23573" i="9"/>
  <c r="I23574" i="9"/>
  <c r="I23575" i="9"/>
  <c r="I23576" i="9"/>
  <c r="I23577" i="9"/>
  <c r="I23552" i="9"/>
  <c r="I23550" i="9"/>
  <c r="I23551" i="9"/>
  <c r="I23549" i="9"/>
  <c r="I23548" i="9"/>
  <c r="I23545" i="9"/>
  <c r="I23546" i="9"/>
  <c r="I23547" i="9"/>
  <c r="I23543" i="9"/>
  <c r="I23544" i="9"/>
  <c r="I23542" i="9"/>
  <c r="I23541" i="9"/>
  <c r="I23539" i="9"/>
  <c r="I23540" i="9"/>
  <c r="I23537" i="9"/>
  <c r="I23538" i="9"/>
  <c r="I23536" i="9"/>
  <c r="I23529" i="9"/>
  <c r="I23530" i="9"/>
  <c r="I23531" i="9"/>
  <c r="I23532" i="9"/>
  <c r="I23533" i="9"/>
  <c r="I23534" i="9"/>
  <c r="I23535" i="9"/>
  <c r="I23527" i="9"/>
  <c r="I23528" i="9"/>
  <c r="I23520" i="9"/>
  <c r="I23521" i="9"/>
  <c r="I23522" i="9"/>
  <c r="I23523" i="9"/>
  <c r="I23524" i="9"/>
  <c r="I23525" i="9"/>
  <c r="I23526" i="9"/>
  <c r="I23519" i="9"/>
  <c r="I23517" i="9"/>
  <c r="I23518" i="9"/>
  <c r="I23516" i="9"/>
  <c r="I23515" i="9"/>
  <c r="I23513" i="9"/>
  <c r="I23514" i="9"/>
  <c r="I23512" i="9"/>
  <c r="I23507" i="9"/>
  <c r="I23508" i="9"/>
  <c r="I23509" i="9"/>
  <c r="I23510" i="9"/>
  <c r="I23511" i="9"/>
  <c r="I23506" i="9"/>
  <c r="I23503" i="9"/>
  <c r="I23504" i="9"/>
  <c r="I23505" i="9"/>
  <c r="I23501" i="9"/>
  <c r="I23502" i="9"/>
  <c r="I23500" i="9"/>
  <c r="I23499" i="9"/>
  <c r="I23495" i="9"/>
  <c r="I23496" i="9"/>
  <c r="I23497" i="9"/>
  <c r="I23498" i="9"/>
  <c r="I23493" i="9"/>
  <c r="I23494" i="9"/>
  <c r="I23492" i="9"/>
  <c r="I23490" i="9"/>
  <c r="I23491" i="9"/>
  <c r="I23489" i="9"/>
  <c r="I23488" i="9"/>
  <c r="I23487" i="9"/>
  <c r="I23486" i="9"/>
  <c r="I23481" i="9"/>
  <c r="I23482" i="9"/>
  <c r="I23483" i="9"/>
  <c r="I23484" i="9"/>
  <c r="I23485" i="9"/>
  <c r="I23480" i="9"/>
  <c r="I23479" i="9"/>
  <c r="I23476" i="9"/>
  <c r="I23477" i="9"/>
  <c r="I23478" i="9"/>
  <c r="I23475" i="9"/>
  <c r="I23474" i="9"/>
  <c r="I23473" i="9"/>
  <c r="I23472" i="9"/>
  <c r="I23469" i="9"/>
  <c r="I23470" i="9"/>
  <c r="I23471" i="9"/>
  <c r="I23468" i="9"/>
  <c r="I23467" i="9"/>
  <c r="I23466" i="9"/>
  <c r="I23465" i="9"/>
  <c r="I23454" i="9"/>
  <c r="I23455" i="9"/>
  <c r="I23456" i="9"/>
  <c r="I23457" i="9"/>
  <c r="I23458" i="9"/>
  <c r="I23459" i="9"/>
  <c r="I23460" i="9"/>
  <c r="I23461" i="9"/>
  <c r="I23462" i="9"/>
  <c r="I23463" i="9"/>
  <c r="I23464" i="9"/>
  <c r="I23453" i="9"/>
  <c r="I23452" i="9"/>
  <c r="I23450" i="9"/>
  <c r="I23451" i="9"/>
  <c r="I23448" i="9"/>
  <c r="I23449" i="9"/>
  <c r="I23447" i="9"/>
  <c r="I23446" i="9"/>
  <c r="I23444" i="9"/>
  <c r="I23445" i="9"/>
  <c r="I23436" i="9"/>
  <c r="I23437" i="9"/>
  <c r="I23438" i="9"/>
  <c r="I23439" i="9"/>
  <c r="I23440" i="9"/>
  <c r="I23441" i="9"/>
  <c r="I23442" i="9"/>
  <c r="I23443" i="9"/>
  <c r="I23434" i="9"/>
  <c r="I23435" i="9"/>
  <c r="I23433" i="9"/>
  <c r="I23432" i="9"/>
  <c r="I23431" i="9"/>
  <c r="I23428" i="9"/>
  <c r="I23429" i="9"/>
  <c r="I23430" i="9"/>
  <c r="I23427" i="9"/>
  <c r="I23426" i="9"/>
  <c r="I23425" i="9"/>
  <c r="I23422" i="9"/>
  <c r="I23423" i="9"/>
  <c r="I23424" i="9"/>
  <c r="I23421" i="9"/>
  <c r="I23414" i="9"/>
  <c r="I23415" i="9"/>
  <c r="I23416" i="9"/>
  <c r="I23417" i="9"/>
  <c r="I23418" i="9"/>
  <c r="I23419" i="9"/>
  <c r="I23420" i="9"/>
  <c r="I23412" i="9"/>
  <c r="I23413" i="9"/>
  <c r="I23410" i="9"/>
  <c r="I23411" i="9"/>
  <c r="I23409" i="9"/>
  <c r="I23408" i="9"/>
  <c r="I23406" i="9"/>
  <c r="I23407" i="9"/>
  <c r="I23405" i="9"/>
  <c r="I23404" i="9"/>
  <c r="I23403" i="9"/>
  <c r="I23396" i="9"/>
  <c r="I23397" i="9"/>
  <c r="I23398" i="9"/>
  <c r="I23399" i="9"/>
  <c r="I23400" i="9"/>
  <c r="I23401" i="9"/>
  <c r="I23402" i="9"/>
  <c r="I23391" i="9"/>
  <c r="I23392" i="9"/>
  <c r="I23393" i="9"/>
  <c r="I23394" i="9"/>
  <c r="I23395" i="9"/>
  <c r="I23390" i="9"/>
  <c r="I23389" i="9"/>
  <c r="I23387" i="9"/>
  <c r="I23388" i="9"/>
  <c r="I23386" i="9"/>
  <c r="I23385" i="9"/>
  <c r="I23384" i="9"/>
  <c r="I23382" i="9"/>
  <c r="I23383" i="9"/>
  <c r="I23380" i="9"/>
  <c r="I23381" i="9"/>
  <c r="I23377" i="9"/>
  <c r="I23378" i="9"/>
  <c r="I23379" i="9"/>
  <c r="I23376" i="9"/>
  <c r="I23372" i="9"/>
  <c r="I23373" i="9"/>
  <c r="I23374" i="9"/>
  <c r="I23375" i="9"/>
  <c r="I23370" i="9"/>
  <c r="I23371" i="9"/>
  <c r="I23369" i="9"/>
  <c r="I23368" i="9"/>
  <c r="I23367" i="9"/>
  <c r="I23366" i="9"/>
  <c r="I23365" i="9"/>
  <c r="I23362" i="9"/>
  <c r="I23363" i="9"/>
  <c r="I23364" i="9"/>
  <c r="I23360" i="9"/>
  <c r="I23361" i="9"/>
  <c r="I23359" i="9"/>
  <c r="I23358" i="9"/>
  <c r="I23357" i="9"/>
  <c r="I23356" i="9"/>
  <c r="I23355" i="9"/>
  <c r="I23354" i="9"/>
  <c r="I23353" i="9"/>
  <c r="I23295" i="9"/>
  <c r="I23296" i="9"/>
  <c r="I23297" i="9"/>
  <c r="I23298" i="9"/>
  <c r="I23299" i="9"/>
  <c r="I23300" i="9"/>
  <c r="I23301" i="9"/>
  <c r="I23302" i="9"/>
  <c r="I23303" i="9"/>
  <c r="I23304" i="9"/>
  <c r="I23305" i="9"/>
  <c r="I23306" i="9"/>
  <c r="I23307" i="9"/>
  <c r="I23308" i="9"/>
  <c r="I23309" i="9"/>
  <c r="I23310" i="9"/>
  <c r="I23311" i="9"/>
  <c r="I23312" i="9"/>
  <c r="I23313" i="9"/>
  <c r="I23314" i="9"/>
  <c r="I23315" i="9"/>
  <c r="I23316" i="9"/>
  <c r="I23317" i="9"/>
  <c r="I23318" i="9"/>
  <c r="I23319" i="9"/>
  <c r="I23320" i="9"/>
  <c r="I23321" i="9"/>
  <c r="I23322" i="9"/>
  <c r="I23323" i="9"/>
  <c r="I23324" i="9"/>
  <c r="I23325" i="9"/>
  <c r="I23326" i="9"/>
  <c r="I23327" i="9"/>
  <c r="I23328" i="9"/>
  <c r="I23329" i="9"/>
  <c r="I23330" i="9"/>
  <c r="I23331" i="9"/>
  <c r="I23332" i="9"/>
  <c r="I23333" i="9"/>
  <c r="I23334" i="9"/>
  <c r="I23335" i="9"/>
  <c r="I23336" i="9"/>
  <c r="I23337" i="9"/>
  <c r="I23338" i="9"/>
  <c r="I23339" i="9"/>
  <c r="I23340" i="9"/>
  <c r="I23341" i="9"/>
  <c r="I23342" i="9"/>
  <c r="I23343" i="9"/>
  <c r="I23344" i="9"/>
  <c r="I23345" i="9"/>
  <c r="I23346" i="9"/>
  <c r="I23347" i="9"/>
  <c r="I23348" i="9"/>
  <c r="I23349" i="9"/>
  <c r="I23350" i="9"/>
  <c r="I23351" i="9"/>
  <c r="I23352" i="9"/>
  <c r="I23293" i="9"/>
  <c r="I23294" i="9"/>
  <c r="I23292" i="9"/>
  <c r="I23289" i="9"/>
  <c r="I23290" i="9"/>
  <c r="I23291" i="9"/>
  <c r="I23288" i="9"/>
  <c r="I23287" i="9"/>
  <c r="I23286" i="9"/>
  <c r="I23285" i="9"/>
  <c r="I23284" i="9"/>
  <c r="I23280" i="9"/>
  <c r="I23279" i="9"/>
  <c r="I23281" i="9"/>
  <c r="I23282" i="9"/>
  <c r="I23283" i="9"/>
  <c r="I23277" i="9"/>
  <c r="I23278" i="9"/>
  <c r="I23275" i="9"/>
  <c r="I23276" i="9"/>
  <c r="I23273" i="9"/>
  <c r="I23274" i="9"/>
  <c r="I23272" i="9"/>
  <c r="I23271" i="9"/>
  <c r="I23270" i="9"/>
  <c r="I23269" i="9"/>
  <c r="I23267" i="9"/>
  <c r="I23268" i="9"/>
  <c r="I23265" i="9"/>
  <c r="I23266" i="9"/>
  <c r="I23264" i="9"/>
  <c r="I23259" i="9"/>
  <c r="I23260" i="9"/>
  <c r="I23261" i="9"/>
  <c r="I23262" i="9"/>
  <c r="I23263" i="9"/>
  <c r="I23258" i="9"/>
  <c r="I23255" i="9"/>
  <c r="I23256" i="9"/>
  <c r="I23257" i="9"/>
  <c r="I23254" i="9"/>
  <c r="I23253" i="9"/>
  <c r="I23252" i="9"/>
  <c r="I23251" i="9"/>
  <c r="I23250" i="9"/>
  <c r="I23249" i="9"/>
  <c r="I23248" i="9"/>
  <c r="I23246" i="9"/>
  <c r="I23247" i="9"/>
  <c r="I23244" i="9"/>
  <c r="I23245" i="9"/>
  <c r="I23243" i="9"/>
  <c r="I23241" i="9"/>
  <c r="I23242" i="9"/>
  <c r="I23240" i="9"/>
  <c r="I23238" i="9"/>
  <c r="I23239" i="9"/>
  <c r="I23237" i="9"/>
  <c r="I23236" i="9"/>
  <c r="I23235" i="9"/>
  <c r="I23234" i="9"/>
  <c r="I23233" i="9"/>
  <c r="I23231" i="9"/>
  <c r="I23232" i="9"/>
  <c r="I23230" i="9"/>
  <c r="I23229" i="9"/>
  <c r="I23226" i="9"/>
  <c r="I23227" i="9"/>
  <c r="I23228" i="9"/>
  <c r="I23224" i="9"/>
  <c r="I23225" i="9"/>
  <c r="I23173" i="9"/>
  <c r="I23174" i="9"/>
  <c r="I23175" i="9"/>
  <c r="I23176" i="9"/>
  <c r="I23177" i="9"/>
  <c r="I23178" i="9"/>
  <c r="I23179" i="9"/>
  <c r="I23180" i="9"/>
  <c r="I23181" i="9"/>
  <c r="I23182" i="9"/>
  <c r="I23183" i="9"/>
  <c r="I23184" i="9"/>
  <c r="I23185" i="9"/>
  <c r="I23186" i="9"/>
  <c r="I23187" i="9"/>
  <c r="I23188" i="9"/>
  <c r="I23189" i="9"/>
  <c r="I23190" i="9"/>
  <c r="I23191" i="9"/>
  <c r="I23192" i="9"/>
  <c r="I23193" i="9"/>
  <c r="I23194" i="9"/>
  <c r="I23195" i="9"/>
  <c r="I23196" i="9"/>
  <c r="I23197" i="9"/>
  <c r="I23198" i="9"/>
  <c r="I23199" i="9"/>
  <c r="I23200" i="9"/>
  <c r="I23201" i="9"/>
  <c r="I23202" i="9"/>
  <c r="I23203" i="9"/>
  <c r="I23204" i="9"/>
  <c r="I23205" i="9"/>
  <c r="I23206" i="9"/>
  <c r="I23207" i="9"/>
  <c r="I23208" i="9"/>
  <c r="I23209" i="9"/>
  <c r="I23210" i="9"/>
  <c r="I23211" i="9"/>
  <c r="I23212" i="9"/>
  <c r="I23213" i="9"/>
  <c r="I23214" i="9"/>
  <c r="I23215" i="9"/>
  <c r="I23216" i="9"/>
  <c r="I23217" i="9"/>
  <c r="I23218" i="9"/>
  <c r="I23219" i="9"/>
  <c r="I23220" i="9"/>
  <c r="I23221" i="9"/>
  <c r="I23222" i="9"/>
  <c r="I23223" i="9"/>
  <c r="I23171" i="9"/>
  <c r="I23172" i="9"/>
  <c r="I23153" i="9"/>
  <c r="I23154" i="9"/>
  <c r="I23155" i="9"/>
  <c r="I23156" i="9"/>
  <c r="I23157" i="9"/>
  <c r="I23158" i="9"/>
  <c r="I23159" i="9"/>
  <c r="I23160" i="9"/>
  <c r="I23161" i="9"/>
  <c r="I23162" i="9"/>
  <c r="I23163" i="9"/>
  <c r="I23164" i="9"/>
  <c r="I23165" i="9"/>
  <c r="I23166" i="9"/>
  <c r="I23167" i="9"/>
  <c r="I23168" i="9"/>
  <c r="I23169" i="9"/>
  <c r="I23170" i="9"/>
  <c r="I23152" i="9"/>
  <c r="I23149" i="9"/>
  <c r="I23150" i="9"/>
  <c r="I23151" i="9"/>
  <c r="I23148" i="9"/>
  <c r="I23147" i="9"/>
  <c r="I23135" i="9"/>
  <c r="I23136" i="9"/>
  <c r="I23137" i="9"/>
  <c r="I23138" i="9"/>
  <c r="I23139" i="9"/>
  <c r="I23140" i="9"/>
  <c r="I23141" i="9"/>
  <c r="I23142" i="9"/>
  <c r="I23143" i="9"/>
  <c r="I23144" i="9"/>
  <c r="I23145" i="9"/>
  <c r="I23146" i="9"/>
  <c r="I23130" i="9"/>
  <c r="I23131" i="9"/>
  <c r="I23132" i="9"/>
  <c r="I23133" i="9"/>
  <c r="I23134" i="9"/>
  <c r="I23129" i="9"/>
  <c r="I23125" i="9"/>
  <c r="I23126" i="9"/>
  <c r="I23127" i="9"/>
  <c r="I23128" i="9"/>
  <c r="I23124" i="9"/>
  <c r="I23114" i="9"/>
  <c r="I23115" i="9"/>
  <c r="I23116" i="9"/>
  <c r="I23117" i="9"/>
  <c r="I23118" i="9"/>
  <c r="I23119" i="9"/>
  <c r="I23120" i="9"/>
  <c r="I23121" i="9"/>
  <c r="I23122" i="9"/>
  <c r="I23123" i="9"/>
  <c r="I23109" i="9"/>
  <c r="I23110" i="9"/>
  <c r="I23111" i="9"/>
  <c r="I23112" i="9"/>
  <c r="I23113" i="9"/>
  <c r="I22994" i="9"/>
  <c r="I22995" i="9"/>
  <c r="I22996" i="9"/>
  <c r="I22997" i="9"/>
  <c r="I22998" i="9"/>
  <c r="I22999" i="9"/>
  <c r="I23000" i="9"/>
  <c r="I23001" i="9"/>
  <c r="I23002" i="9"/>
  <c r="I23003" i="9"/>
  <c r="I23004" i="9"/>
  <c r="I23005" i="9"/>
  <c r="I23006" i="9"/>
  <c r="I23007" i="9"/>
  <c r="I23008" i="9"/>
  <c r="I23009" i="9"/>
  <c r="I23010" i="9"/>
  <c r="I23011" i="9"/>
  <c r="I23012" i="9"/>
  <c r="I23013" i="9"/>
  <c r="I23014" i="9"/>
  <c r="I23015" i="9"/>
  <c r="I23016" i="9"/>
  <c r="I23017" i="9"/>
  <c r="I23018" i="9"/>
  <c r="I23019" i="9"/>
  <c r="I23020" i="9"/>
  <c r="I23021" i="9"/>
  <c r="I23022" i="9"/>
  <c r="I23023" i="9"/>
  <c r="I23024" i="9"/>
  <c r="I23025" i="9"/>
  <c r="I23026" i="9"/>
  <c r="I23027" i="9"/>
  <c r="I23028" i="9"/>
  <c r="I23029" i="9"/>
  <c r="I23030" i="9"/>
  <c r="I23031" i="9"/>
  <c r="I23032" i="9"/>
  <c r="I23033" i="9"/>
  <c r="I23034" i="9"/>
  <c r="I23035" i="9"/>
  <c r="I23036" i="9"/>
  <c r="I23037" i="9"/>
  <c r="I23038" i="9"/>
  <c r="I23039" i="9"/>
  <c r="I23040" i="9"/>
  <c r="I23041" i="9"/>
  <c r="I23042" i="9"/>
  <c r="I23043" i="9"/>
  <c r="I23044" i="9"/>
  <c r="I23045" i="9"/>
  <c r="I23046" i="9"/>
  <c r="I23047" i="9"/>
  <c r="I23048" i="9"/>
  <c r="I23049" i="9"/>
  <c r="I23050" i="9"/>
  <c r="I23051" i="9"/>
  <c r="I23052" i="9"/>
  <c r="I23053" i="9"/>
  <c r="I23054" i="9"/>
  <c r="I23055" i="9"/>
  <c r="I23056" i="9"/>
  <c r="I23057" i="9"/>
  <c r="I23058" i="9"/>
  <c r="I23059" i="9"/>
  <c r="I23060" i="9"/>
  <c r="I23061" i="9"/>
  <c r="I23062" i="9"/>
  <c r="I23063" i="9"/>
  <c r="I23064" i="9"/>
  <c r="I23065" i="9"/>
  <c r="I23066" i="9"/>
  <c r="I23067" i="9"/>
  <c r="I23068" i="9"/>
  <c r="I23069" i="9"/>
  <c r="I23070" i="9"/>
  <c r="I23071" i="9"/>
  <c r="I23072" i="9"/>
  <c r="I23073" i="9"/>
  <c r="I23074" i="9"/>
  <c r="I23075" i="9"/>
  <c r="I23076" i="9"/>
  <c r="I23077" i="9"/>
  <c r="I23078" i="9"/>
  <c r="I23079" i="9"/>
  <c r="I23080" i="9"/>
  <c r="I23081" i="9"/>
  <c r="I23082" i="9"/>
  <c r="I23083" i="9"/>
  <c r="I23084" i="9"/>
  <c r="I23085" i="9"/>
  <c r="I23086" i="9"/>
  <c r="I23087" i="9"/>
  <c r="I23088" i="9"/>
  <c r="I23089" i="9"/>
  <c r="I23090" i="9"/>
  <c r="I23091" i="9"/>
  <c r="I23092" i="9"/>
  <c r="I23093" i="9"/>
  <c r="I23094" i="9"/>
  <c r="I23095" i="9"/>
  <c r="I23096" i="9"/>
  <c r="I23097" i="9"/>
  <c r="I23098" i="9"/>
  <c r="I23099" i="9"/>
  <c r="I23100" i="9"/>
  <c r="I23101" i="9"/>
  <c r="I23102" i="9"/>
  <c r="I23103" i="9"/>
  <c r="I23104" i="9"/>
  <c r="I23105" i="9"/>
  <c r="I23106" i="9"/>
  <c r="I23107" i="9"/>
  <c r="I23108" i="9"/>
  <c r="I22779" i="9"/>
  <c r="I22780" i="9"/>
  <c r="I22781" i="9"/>
  <c r="I22782" i="9"/>
  <c r="I22783" i="9"/>
  <c r="I22784" i="9"/>
  <c r="I22785" i="9"/>
  <c r="I22786" i="9"/>
  <c r="I22787" i="9"/>
  <c r="I22788" i="9"/>
  <c r="I22789" i="9"/>
  <c r="I22790" i="9"/>
  <c r="I22791" i="9"/>
  <c r="I22792" i="9"/>
  <c r="I22793" i="9"/>
  <c r="I22794" i="9"/>
  <c r="I22795" i="9"/>
  <c r="I22796" i="9"/>
  <c r="I22797" i="9"/>
  <c r="I22798" i="9"/>
  <c r="I22799" i="9"/>
  <c r="I22800" i="9"/>
  <c r="I22801" i="9"/>
  <c r="I22802" i="9"/>
  <c r="I22803" i="9"/>
  <c r="I22804" i="9"/>
  <c r="I22805" i="9"/>
  <c r="I22806" i="9"/>
  <c r="I22807" i="9"/>
  <c r="I22808" i="9"/>
  <c r="I22809" i="9"/>
  <c r="I22810" i="9"/>
  <c r="I22811" i="9"/>
  <c r="I22812" i="9"/>
  <c r="I22813" i="9"/>
  <c r="I22814" i="9"/>
  <c r="I22815" i="9"/>
  <c r="I22816" i="9"/>
  <c r="I22817" i="9"/>
  <c r="I22818" i="9"/>
  <c r="I22819" i="9"/>
  <c r="I22820" i="9"/>
  <c r="I22821" i="9"/>
  <c r="I22822" i="9"/>
  <c r="I22823" i="9"/>
  <c r="I22824" i="9"/>
  <c r="I22825" i="9"/>
  <c r="I22826" i="9"/>
  <c r="I22827" i="9"/>
  <c r="I22828" i="9"/>
  <c r="I22829" i="9"/>
  <c r="I22830" i="9"/>
  <c r="I22831" i="9"/>
  <c r="I22832" i="9"/>
  <c r="I22833" i="9"/>
  <c r="I22834" i="9"/>
  <c r="I22835" i="9"/>
  <c r="I22836" i="9"/>
  <c r="I22837" i="9"/>
  <c r="I22838" i="9"/>
  <c r="I22839" i="9"/>
  <c r="I22840" i="9"/>
  <c r="I22841" i="9"/>
  <c r="I22842" i="9"/>
  <c r="I22843" i="9"/>
  <c r="I22844" i="9"/>
  <c r="I22845" i="9"/>
  <c r="I22846" i="9"/>
  <c r="I22847" i="9"/>
  <c r="I22848" i="9"/>
  <c r="I22849" i="9"/>
  <c r="I22850" i="9"/>
  <c r="I22851" i="9"/>
  <c r="I22852" i="9"/>
  <c r="I22853" i="9"/>
  <c r="I22854" i="9"/>
  <c r="I22855" i="9"/>
  <c r="I22856" i="9"/>
  <c r="I22857" i="9"/>
  <c r="I22858" i="9"/>
  <c r="I22859" i="9"/>
  <c r="I22860" i="9"/>
  <c r="I22861" i="9"/>
  <c r="I22862" i="9"/>
  <c r="I22863" i="9"/>
  <c r="I22864" i="9"/>
  <c r="I22865" i="9"/>
  <c r="I22866" i="9"/>
  <c r="I22867" i="9"/>
  <c r="I22868" i="9"/>
  <c r="I22869" i="9"/>
  <c r="I22870" i="9"/>
  <c r="I22871" i="9"/>
  <c r="I22872" i="9"/>
  <c r="I22873" i="9"/>
  <c r="I22874" i="9"/>
  <c r="I22875" i="9"/>
  <c r="I22876" i="9"/>
  <c r="I22877" i="9"/>
  <c r="I22878" i="9"/>
  <c r="I22879" i="9"/>
  <c r="I22880" i="9"/>
  <c r="I22881" i="9"/>
  <c r="I22882" i="9"/>
  <c r="I22883" i="9"/>
  <c r="I22884" i="9"/>
  <c r="I22885" i="9"/>
  <c r="I22886" i="9"/>
  <c r="I22887" i="9"/>
  <c r="I22888" i="9"/>
  <c r="I22889" i="9"/>
  <c r="I22890" i="9"/>
  <c r="I22891" i="9"/>
  <c r="I22892" i="9"/>
  <c r="I22893" i="9"/>
  <c r="I22894" i="9"/>
  <c r="I22895" i="9"/>
  <c r="I22896" i="9"/>
  <c r="I22897" i="9"/>
  <c r="I22898" i="9"/>
  <c r="I22899" i="9"/>
  <c r="I22900" i="9"/>
  <c r="I22901" i="9"/>
  <c r="I22902" i="9"/>
  <c r="I22903" i="9"/>
  <c r="I22904" i="9"/>
  <c r="I22905" i="9"/>
  <c r="I22906" i="9"/>
  <c r="I22907" i="9"/>
  <c r="I22908" i="9"/>
  <c r="I22909" i="9"/>
  <c r="I22910" i="9"/>
  <c r="I22911" i="9"/>
  <c r="I22912" i="9"/>
  <c r="I22913" i="9"/>
  <c r="I22914" i="9"/>
  <c r="I22915" i="9"/>
  <c r="I22916" i="9"/>
  <c r="I22917" i="9"/>
  <c r="I22918" i="9"/>
  <c r="I22919" i="9"/>
  <c r="I22920" i="9"/>
  <c r="I22921" i="9"/>
  <c r="I22922" i="9"/>
  <c r="I22923" i="9"/>
  <c r="I22924" i="9"/>
  <c r="I22925" i="9"/>
  <c r="I22926" i="9"/>
  <c r="I22927" i="9"/>
  <c r="I22928" i="9"/>
  <c r="I22929" i="9"/>
  <c r="I22930" i="9"/>
  <c r="I22931" i="9"/>
  <c r="I22932" i="9"/>
  <c r="I22933" i="9"/>
  <c r="I22934" i="9"/>
  <c r="I22935" i="9"/>
  <c r="I22936" i="9"/>
  <c r="I22937" i="9"/>
  <c r="I22938" i="9"/>
  <c r="I22939" i="9"/>
  <c r="I22940" i="9"/>
  <c r="I22941" i="9"/>
  <c r="I22942" i="9"/>
  <c r="I22943" i="9"/>
  <c r="I22944" i="9"/>
  <c r="I22945" i="9"/>
  <c r="I22946" i="9"/>
  <c r="I22947" i="9"/>
  <c r="I22948" i="9"/>
  <c r="I22949" i="9"/>
  <c r="I22950" i="9"/>
  <c r="I22951" i="9"/>
  <c r="I22952" i="9"/>
  <c r="I22953" i="9"/>
  <c r="I22954" i="9"/>
  <c r="I22955" i="9"/>
  <c r="I22956" i="9"/>
  <c r="I22957" i="9"/>
  <c r="I22958" i="9"/>
  <c r="I22959" i="9"/>
  <c r="I22960" i="9"/>
  <c r="I22961" i="9"/>
  <c r="I22962" i="9"/>
  <c r="I22963" i="9"/>
  <c r="I22964" i="9"/>
  <c r="I22965" i="9"/>
  <c r="I22966" i="9"/>
  <c r="I22967" i="9"/>
  <c r="I22968" i="9"/>
  <c r="I22969" i="9"/>
  <c r="I22970" i="9"/>
  <c r="I22971" i="9"/>
  <c r="I22972" i="9"/>
  <c r="I22973" i="9"/>
  <c r="I22974" i="9"/>
  <c r="I22975" i="9"/>
  <c r="I22976" i="9"/>
  <c r="I22977" i="9"/>
  <c r="I22978" i="9"/>
  <c r="I22979" i="9"/>
  <c r="I22980" i="9"/>
  <c r="I22981" i="9"/>
  <c r="I22982" i="9"/>
  <c r="I22983" i="9"/>
  <c r="I22984" i="9"/>
  <c r="I22985" i="9"/>
  <c r="I22986" i="9"/>
  <c r="I22987" i="9"/>
  <c r="I22988" i="9"/>
  <c r="I22989" i="9"/>
  <c r="I22990" i="9"/>
  <c r="I22991" i="9"/>
  <c r="I22992" i="9"/>
  <c r="I22993" i="9"/>
  <c r="I22748" i="9"/>
  <c r="I22749" i="9"/>
  <c r="I22750" i="9"/>
  <c r="I22751" i="9"/>
  <c r="I22752" i="9"/>
  <c r="I22753" i="9"/>
  <c r="I22754" i="9"/>
  <c r="I22755" i="9"/>
  <c r="I22756" i="9"/>
  <c r="I22757" i="9"/>
  <c r="I22758" i="9"/>
  <c r="I22759" i="9"/>
  <c r="I22760" i="9"/>
  <c r="I22761" i="9"/>
  <c r="I22762" i="9"/>
  <c r="I22763" i="9"/>
  <c r="I22764" i="9"/>
  <c r="I22765" i="9"/>
  <c r="I22766" i="9"/>
  <c r="I22767" i="9"/>
  <c r="I22768" i="9"/>
  <c r="I22769" i="9"/>
  <c r="I22770" i="9"/>
  <c r="I22771" i="9"/>
  <c r="I22772" i="9"/>
  <c r="I22773" i="9"/>
  <c r="I22774" i="9"/>
  <c r="I22775" i="9"/>
  <c r="I22776" i="9"/>
  <c r="I22777" i="9"/>
  <c r="I22778" i="9"/>
  <c r="I22739" i="9"/>
  <c r="I22740" i="9"/>
  <c r="I22741" i="9"/>
  <c r="I22742" i="9"/>
  <c r="I22743" i="9"/>
  <c r="I22744" i="9"/>
  <c r="I22745" i="9"/>
  <c r="I22746" i="9"/>
  <c r="I22747" i="9"/>
  <c r="I22733" i="9"/>
  <c r="I22734" i="9"/>
  <c r="I22735" i="9"/>
  <c r="I22736" i="9"/>
  <c r="I22737" i="9"/>
  <c r="I22738" i="9"/>
  <c r="I22732" i="9"/>
  <c r="I22731" i="9"/>
  <c r="I22730" i="9"/>
  <c r="I22729" i="9"/>
  <c r="I22727" i="9"/>
  <c r="I22728" i="9"/>
  <c r="I22725" i="9"/>
  <c r="I22726" i="9"/>
  <c r="I22724" i="9"/>
  <c r="I22723" i="9"/>
  <c r="I22721" i="9"/>
  <c r="I22722" i="9"/>
  <c r="I22720" i="9"/>
  <c r="I22719" i="9"/>
  <c r="I22717" i="9"/>
  <c r="I22718" i="9"/>
  <c r="I22716" i="9"/>
  <c r="I22715" i="9"/>
  <c r="I22710" i="9"/>
  <c r="I22711" i="9"/>
  <c r="I22712" i="9"/>
  <c r="I22713" i="9"/>
  <c r="I22714" i="9"/>
  <c r="I22707" i="9"/>
  <c r="I22708" i="9"/>
  <c r="I22709" i="9"/>
  <c r="I22705" i="9"/>
  <c r="I22706" i="9"/>
  <c r="I22704" i="9"/>
  <c r="I22693" i="9"/>
  <c r="I22694" i="9"/>
  <c r="I22695" i="9"/>
  <c r="I22696" i="9"/>
  <c r="I22697" i="9"/>
  <c r="I22698" i="9"/>
  <c r="I22699" i="9"/>
  <c r="I22700" i="9"/>
  <c r="I22701" i="9"/>
  <c r="I22702" i="9"/>
  <c r="I22703" i="9"/>
  <c r="I22691" i="9"/>
  <c r="I22692" i="9"/>
  <c r="I22689" i="9"/>
  <c r="I22690" i="9"/>
  <c r="I22688" i="9"/>
  <c r="I22686" i="9"/>
  <c r="I22687" i="9"/>
  <c r="I22684" i="9" l="1"/>
  <c r="I22685" i="9"/>
  <c r="I22683" i="9"/>
  <c r="I22682" i="9"/>
  <c r="I22681" i="9"/>
  <c r="I22680" i="9"/>
  <c r="I22679" i="9"/>
  <c r="I22678" i="9"/>
  <c r="I22663" i="9"/>
  <c r="I22664" i="9"/>
  <c r="I22665" i="9"/>
  <c r="I22666" i="9"/>
  <c r="I22667" i="9"/>
  <c r="I22668" i="9"/>
  <c r="I22669" i="9"/>
  <c r="I22670" i="9"/>
  <c r="I22671" i="9"/>
  <c r="I22672" i="9"/>
  <c r="I22673" i="9"/>
  <c r="I22674" i="9"/>
  <c r="I22675" i="9"/>
  <c r="I22676" i="9"/>
  <c r="I22677" i="9"/>
  <c r="I22662" i="9"/>
  <c r="I22653" i="9"/>
  <c r="I22654" i="9"/>
  <c r="I22655" i="9"/>
  <c r="I22656" i="9"/>
  <c r="I22657" i="9"/>
  <c r="I22658" i="9"/>
  <c r="I22659" i="9"/>
  <c r="I22660" i="9"/>
  <c r="I22661" i="9"/>
  <c r="I22650" i="9"/>
  <c r="I22651" i="9"/>
  <c r="I22652" i="9"/>
  <c r="I22645" i="9"/>
  <c r="I22646" i="9"/>
  <c r="I22647" i="9"/>
  <c r="I22648" i="9"/>
  <c r="I22649" i="9"/>
  <c r="I22633" i="9"/>
  <c r="I22634" i="9"/>
  <c r="I22635" i="9"/>
  <c r="I22636" i="9"/>
  <c r="I22637" i="9"/>
  <c r="I22638" i="9"/>
  <c r="I22639" i="9"/>
  <c r="I22640" i="9"/>
  <c r="I22641" i="9"/>
  <c r="I22642" i="9"/>
  <c r="I22643" i="9"/>
  <c r="I22644" i="9"/>
  <c r="I22632" i="9"/>
  <c r="I22627" i="9"/>
  <c r="I22628" i="9"/>
  <c r="I22629" i="9"/>
  <c r="I22630" i="9"/>
  <c r="I22631" i="9"/>
  <c r="I22609" i="9"/>
  <c r="I22610" i="9"/>
  <c r="I22611" i="9"/>
  <c r="I22612" i="9"/>
  <c r="I22613" i="9"/>
  <c r="I22614" i="9"/>
  <c r="I22615" i="9"/>
  <c r="I22616" i="9"/>
  <c r="I22617" i="9"/>
  <c r="I22618" i="9"/>
  <c r="I22619" i="9"/>
  <c r="I22620" i="9"/>
  <c r="I22621" i="9"/>
  <c r="I22622" i="9"/>
  <c r="I22623" i="9"/>
  <c r="I22624" i="9"/>
  <c r="I22625" i="9"/>
  <c r="I22626" i="9"/>
  <c r="I22608" i="9"/>
  <c r="I22607" i="9"/>
  <c r="I22602" i="9"/>
  <c r="I22603" i="9"/>
  <c r="I22604" i="9"/>
  <c r="I22605" i="9"/>
  <c r="I22606" i="9"/>
  <c r="I22601" i="9"/>
  <c r="I22599" i="9"/>
  <c r="I22600" i="9"/>
  <c r="I22592" i="9"/>
  <c r="I22593" i="9"/>
  <c r="I22594" i="9"/>
  <c r="I22595" i="9"/>
  <c r="I22596" i="9"/>
  <c r="I22597" i="9"/>
  <c r="I22598" i="9"/>
  <c r="I22591" i="9"/>
  <c r="I22590" i="9"/>
  <c r="I22589" i="9"/>
  <c r="I22588" i="9"/>
  <c r="I22586" i="9" l="1"/>
  <c r="I22587" i="9"/>
  <c r="I22585" i="9"/>
  <c r="I22584" i="9"/>
  <c r="I22583" i="9"/>
  <c r="I22582" i="9"/>
  <c r="I22581" i="9"/>
  <c r="I22580" i="9"/>
  <c r="I22579" i="9"/>
  <c r="I22577" i="9"/>
  <c r="I22578" i="9"/>
  <c r="I22575" i="9"/>
  <c r="I22576" i="9"/>
  <c r="I22574" i="9"/>
  <c r="I22573" i="9"/>
  <c r="I22572" i="9"/>
  <c r="I22570" i="9"/>
  <c r="I22571" i="9"/>
  <c r="I22569" i="9"/>
  <c r="I22568" i="9"/>
  <c r="I22567" i="9"/>
  <c r="I22562" i="9"/>
  <c r="I22563" i="9"/>
  <c r="I22564" i="9"/>
  <c r="I22565" i="9"/>
  <c r="I22566" i="9"/>
  <c r="I22561" i="9"/>
  <c r="I22559" i="9"/>
  <c r="I22560" i="9"/>
  <c r="I22558" i="9"/>
  <c r="I22557" i="9"/>
  <c r="I22555" i="9"/>
  <c r="I22556" i="9"/>
  <c r="I22554" i="9"/>
  <c r="I22553" i="9"/>
  <c r="I22552" i="9"/>
  <c r="I22551" i="9"/>
  <c r="I22550" i="9"/>
  <c r="I22549" i="9"/>
  <c r="I22548" i="9"/>
  <c r="I22547" i="9"/>
  <c r="I22545" i="9"/>
  <c r="I22546" i="9"/>
  <c r="I22544" i="9"/>
  <c r="I22543" i="9"/>
  <c r="I22542" i="9"/>
  <c r="I22541" i="9"/>
  <c r="I22540" i="9"/>
  <c r="I22539" i="9"/>
  <c r="I22538" i="9"/>
  <c r="I22537" i="9"/>
  <c r="I22535" i="9"/>
  <c r="I22536" i="9"/>
  <c r="I22533" i="9"/>
  <c r="I22534" i="9"/>
  <c r="I22532" i="9"/>
  <c r="I22531" i="9"/>
  <c r="I22530" i="9"/>
  <c r="I22529" i="9"/>
  <c r="I22528" i="9"/>
  <c r="I22527" i="9"/>
  <c r="I22526" i="9"/>
  <c r="I22524" i="9"/>
  <c r="I22525" i="9"/>
  <c r="I22523" i="9"/>
  <c r="I22522" i="9"/>
  <c r="I22520" i="9"/>
  <c r="I22521" i="9"/>
  <c r="I22519" i="9"/>
  <c r="I22518" i="9"/>
  <c r="I22511" i="9"/>
  <c r="I22512" i="9"/>
  <c r="I22513" i="9"/>
  <c r="I22514" i="9"/>
  <c r="I22515" i="9"/>
  <c r="I22516" i="9"/>
  <c r="I22517" i="9"/>
  <c r="I22509" i="9"/>
  <c r="I22510" i="9"/>
  <c r="I22508" i="9"/>
  <c r="I22507" i="9"/>
  <c r="I22504" i="9"/>
  <c r="I22505" i="9"/>
  <c r="I22506" i="9"/>
  <c r="I22502" i="9"/>
  <c r="I22503" i="9"/>
  <c r="I22501" i="9"/>
  <c r="I22500" i="9"/>
  <c r="I22499" i="9"/>
  <c r="I22498" i="9"/>
  <c r="I22497" i="9"/>
  <c r="I22496" i="9"/>
  <c r="I22494" i="9"/>
  <c r="I22495" i="9"/>
  <c r="I22493" i="9"/>
  <c r="I22492" i="9"/>
  <c r="I22491" i="9"/>
  <c r="I22490" i="9"/>
  <c r="I22487" i="9"/>
  <c r="I22488" i="9"/>
  <c r="I22489" i="9"/>
  <c r="I22486" i="9"/>
  <c r="I22485" i="9"/>
  <c r="I22482" i="9"/>
  <c r="I22483" i="9"/>
  <c r="I22484" i="9"/>
  <c r="I22480" i="9"/>
  <c r="I22481" i="9"/>
  <c r="I22479" i="9"/>
  <c r="I22477" i="9"/>
  <c r="I22478" i="9"/>
  <c r="I22475" i="9"/>
  <c r="I22476" i="9"/>
  <c r="I22474" i="9"/>
  <c r="I22473" i="9"/>
  <c r="I22472" i="9"/>
  <c r="I22471" i="9"/>
  <c r="I22470" i="9"/>
  <c r="I22469" i="9"/>
  <c r="I22467" i="9"/>
  <c r="I22468" i="9"/>
  <c r="I22466" i="9"/>
  <c r="I22465" i="9"/>
  <c r="I22463" i="9"/>
  <c r="I22464" i="9"/>
  <c r="I22461" i="9"/>
  <c r="I22462" i="9"/>
  <c r="I22460" i="9"/>
  <c r="I22459" i="9"/>
  <c r="I22458" i="9"/>
  <c r="I22457" i="9"/>
  <c r="I22456" i="9"/>
  <c r="I22455" i="9"/>
  <c r="I22454" i="9"/>
  <c r="I22452" i="9"/>
  <c r="I22453" i="9"/>
  <c r="I22450" i="9"/>
  <c r="I22451" i="9"/>
  <c r="I22449" i="9"/>
  <c r="I22448" i="9"/>
  <c r="I22443" i="9"/>
  <c r="I22444" i="9"/>
  <c r="I22445" i="9"/>
  <c r="I22446" i="9"/>
  <c r="I22447" i="9"/>
  <c r="I22441" i="9"/>
  <c r="I22442" i="9"/>
  <c r="I22440" i="9"/>
  <c r="I22439" i="9"/>
  <c r="I22438" i="9"/>
  <c r="I22437" i="9"/>
  <c r="I22435" i="9"/>
  <c r="I22436" i="9"/>
  <c r="I22433" i="9"/>
  <c r="I22434" i="9"/>
  <c r="I22432" i="9"/>
  <c r="I22431" i="9"/>
  <c r="I22430" i="9"/>
  <c r="I22429" i="9"/>
  <c r="I22428" i="9"/>
  <c r="I22427" i="9"/>
  <c r="I22425" i="9"/>
  <c r="I22426" i="9"/>
  <c r="I22423" i="9"/>
  <c r="I22424" i="9"/>
  <c r="I22422" i="9"/>
  <c r="I22421" i="9"/>
  <c r="I22420" i="9"/>
  <c r="I22419" i="9"/>
  <c r="I22418" i="9"/>
  <c r="I22417" i="9"/>
  <c r="I22416" i="9"/>
  <c r="I22415" i="9"/>
  <c r="I22414" i="9"/>
  <c r="I22410" i="9"/>
  <c r="I22411" i="9"/>
  <c r="I22412" i="9"/>
  <c r="I22413" i="9"/>
  <c r="I22408" i="9"/>
  <c r="I22409" i="9"/>
  <c r="I22407" i="9"/>
  <c r="I22405" i="9"/>
  <c r="I22406" i="9"/>
  <c r="I22404" i="9"/>
  <c r="I22403" i="9"/>
  <c r="I22402" i="9"/>
  <c r="I22400" i="9"/>
  <c r="I22401" i="9"/>
  <c r="I22399" i="9"/>
  <c r="I22398" i="9"/>
  <c r="I22397" i="9"/>
  <c r="I22396" i="9"/>
  <c r="I22394" i="9"/>
  <c r="I22395" i="9"/>
  <c r="I22393" i="9"/>
  <c r="I22392" i="9"/>
  <c r="I22391" i="9"/>
  <c r="I22390" i="9"/>
  <c r="I22389" i="9"/>
  <c r="I22388" i="9"/>
  <c r="I22387" i="9"/>
  <c r="I22386" i="9"/>
  <c r="I22385" i="9"/>
  <c r="I22382" i="9"/>
  <c r="I22383" i="9"/>
  <c r="I22384" i="9"/>
  <c r="I22381" i="9"/>
  <c r="I22380" i="9"/>
  <c r="I22379" i="9"/>
  <c r="I22378" i="9"/>
  <c r="I22377" i="9"/>
  <c r="I22376" i="9"/>
  <c r="I22375" i="9"/>
  <c r="I22374" i="9"/>
  <c r="I22373" i="9"/>
  <c r="I22372" i="9"/>
  <c r="I22371" i="9"/>
  <c r="I22370" i="9"/>
  <c r="I22367" i="9"/>
  <c r="I22368" i="9"/>
  <c r="I22369" i="9"/>
  <c r="I22366" i="9"/>
  <c r="I22364" i="9"/>
  <c r="I22365" i="9"/>
  <c r="I22363" i="9"/>
  <c r="I22362" i="9"/>
  <c r="I22361" i="9"/>
  <c r="I22360" i="9"/>
  <c r="I22359" i="9"/>
  <c r="I22357" i="9"/>
  <c r="I22358" i="9"/>
  <c r="I22354" i="9"/>
  <c r="I22355" i="9"/>
  <c r="I22356" i="9"/>
  <c r="I22353" i="9"/>
  <c r="I22352" i="9"/>
  <c r="I22347" i="9"/>
  <c r="I22348" i="9"/>
  <c r="I22349" i="9"/>
  <c r="I22350" i="9"/>
  <c r="I22351" i="9"/>
  <c r="I22346" i="9"/>
  <c r="I22345" i="9"/>
  <c r="I22344" i="9"/>
  <c r="I22343" i="9"/>
  <c r="I22342" i="9"/>
  <c r="I22341" i="9"/>
  <c r="I22340" i="9"/>
  <c r="I22339" i="9"/>
  <c r="I22338" i="9"/>
  <c r="I22337" i="9"/>
  <c r="I22336" i="9"/>
  <c r="I22335" i="9"/>
  <c r="I22334" i="9"/>
  <c r="I22333" i="9"/>
  <c r="I22332" i="9"/>
  <c r="I22331" i="9"/>
  <c r="I22330" i="9"/>
  <c r="I22329" i="9"/>
  <c r="I22328" i="9"/>
  <c r="I22327" i="9"/>
  <c r="I22326" i="9"/>
  <c r="I22325" i="9"/>
  <c r="I22324" i="9"/>
  <c r="I22323" i="9"/>
  <c r="I22322" i="9"/>
  <c r="I22320" i="9"/>
  <c r="I22321" i="9"/>
  <c r="I22319" i="9"/>
  <c r="I22318" i="9"/>
  <c r="I22317" i="9"/>
  <c r="I22316" i="9"/>
  <c r="I22304" i="9"/>
  <c r="I22305" i="9"/>
  <c r="I22306" i="9"/>
  <c r="I22307" i="9"/>
  <c r="I22308" i="9"/>
  <c r="I22309" i="9"/>
  <c r="I22310" i="9"/>
  <c r="I22311" i="9"/>
  <c r="I22312" i="9"/>
  <c r="I22313" i="9"/>
  <c r="I22314" i="9"/>
  <c r="I22315" i="9"/>
  <c r="I22301" i="9"/>
  <c r="I22302" i="9"/>
  <c r="I22303" i="9"/>
  <c r="I22300" i="9"/>
  <c r="I22299" i="9"/>
  <c r="I22298" i="9"/>
  <c r="I22297" i="9"/>
  <c r="I22296" i="9"/>
  <c r="I22295" i="9"/>
  <c r="I22293" i="9"/>
  <c r="I22294" i="9"/>
  <c r="I22291" i="9"/>
  <c r="I22292" i="9"/>
  <c r="I22286" i="9"/>
  <c r="I22287" i="9"/>
  <c r="I22288" i="9"/>
  <c r="I22289" i="9"/>
  <c r="I22290" i="9"/>
  <c r="I22282" i="9"/>
  <c r="I22283" i="9"/>
  <c r="I22284" i="9"/>
  <c r="I22285" i="9"/>
  <c r="I22278" i="9"/>
  <c r="I22279" i="9"/>
  <c r="I22280" i="9"/>
  <c r="I22281" i="9"/>
  <c r="I22277" i="9"/>
  <c r="I22275" i="9"/>
  <c r="I22276" i="9"/>
  <c r="I22274" i="9"/>
  <c r="I22273" i="9"/>
  <c r="I22272" i="9"/>
  <c r="I22269" i="9"/>
  <c r="I22270" i="9"/>
  <c r="I22271" i="9"/>
  <c r="I22265" i="9"/>
  <c r="I22266" i="9"/>
  <c r="I22267" i="9"/>
  <c r="I22268" i="9"/>
  <c r="I22264" i="9"/>
  <c r="I22263" i="9"/>
  <c r="I22262" i="9"/>
  <c r="I22261" i="9"/>
  <c r="I22258" i="9"/>
  <c r="I22259" i="9"/>
  <c r="I22260" i="9"/>
  <c r="I22257" i="9"/>
  <c r="I22256" i="9"/>
  <c r="I22252" i="9"/>
  <c r="I22253" i="9"/>
  <c r="I22254" i="9"/>
  <c r="I22255" i="9"/>
  <c r="I22251" i="9"/>
  <c r="I22250" i="9"/>
  <c r="I22247" i="9"/>
  <c r="I22248" i="9"/>
  <c r="I22249" i="9"/>
  <c r="I22246" i="9"/>
  <c r="I22244" i="9"/>
  <c r="I22245" i="9"/>
  <c r="I22243" i="9"/>
  <c r="I22242" i="9"/>
  <c r="I22241" i="9"/>
  <c r="I22240" i="9"/>
  <c r="I22238" i="9"/>
  <c r="I22239" i="9"/>
  <c r="I22237" i="9"/>
  <c r="I22236" i="9"/>
  <c r="I22235" i="9"/>
  <c r="I22234" i="9"/>
  <c r="I22233" i="9"/>
  <c r="I22232" i="9"/>
  <c r="I22231" i="9"/>
  <c r="I22229" i="9"/>
  <c r="I22230" i="9"/>
  <c r="I22228" i="9"/>
  <c r="I22227" i="9"/>
  <c r="I22226" i="9"/>
  <c r="I22225" i="9"/>
  <c r="I22224" i="9"/>
  <c r="I22222" i="9"/>
  <c r="I22223" i="9"/>
  <c r="I22221" i="9"/>
  <c r="I22219" i="9"/>
  <c r="I22220" i="9"/>
  <c r="I22218" i="9"/>
  <c r="I22217" i="9"/>
  <c r="I22214" i="9"/>
  <c r="I22215" i="9"/>
  <c r="I22216" i="9"/>
  <c r="I22213" i="9"/>
  <c r="I22212" i="9"/>
  <c r="I22210" i="9"/>
  <c r="I22211" i="9"/>
  <c r="I22209" i="9"/>
  <c r="I22208" i="9"/>
  <c r="I22207" i="9"/>
  <c r="I22205" i="9"/>
  <c r="I22206" i="9"/>
  <c r="I22204" i="9"/>
  <c r="I22203" i="9"/>
  <c r="I22202" i="9"/>
  <c r="I22201" i="9"/>
  <c r="I22200" i="9"/>
  <c r="I22199" i="9"/>
  <c r="I22198" i="9"/>
  <c r="I22197" i="9"/>
  <c r="I22196" i="9"/>
  <c r="I22195" i="9"/>
  <c r="I22194" i="9"/>
  <c r="I22193" i="9"/>
  <c r="I22192" i="9"/>
  <c r="I22191" i="9"/>
  <c r="I22189" i="9"/>
  <c r="I22190" i="9"/>
  <c r="I22187" i="9"/>
  <c r="I22188" i="9"/>
  <c r="I22185" i="9"/>
  <c r="I22186" i="9"/>
  <c r="I22184" i="9"/>
  <c r="I22183" i="9"/>
  <c r="I22182" i="9"/>
  <c r="I22181" i="9"/>
  <c r="I22179" i="9"/>
  <c r="I22180" i="9"/>
  <c r="I22178" i="9"/>
  <c r="I22177" i="9"/>
  <c r="I22176" i="9"/>
  <c r="I22175" i="9"/>
  <c r="I22174" i="9"/>
  <c r="I22172" i="9"/>
  <c r="I22173" i="9"/>
  <c r="I22171" i="9"/>
  <c r="I22170" i="9"/>
  <c r="I22169" i="9"/>
  <c r="I22165" i="9"/>
  <c r="I22166" i="9"/>
  <c r="I22167" i="9"/>
  <c r="I22168" i="9"/>
  <c r="I22164" i="9"/>
  <c r="I22162" i="9"/>
  <c r="I22163" i="9"/>
  <c r="I22161" i="9"/>
  <c r="I22160" i="9"/>
  <c r="I22159" i="9"/>
  <c r="I22158" i="9"/>
  <c r="I22157" i="9"/>
  <c r="I22156" i="9"/>
  <c r="I22155" i="9"/>
  <c r="I22154" i="9"/>
  <c r="I22153" i="9"/>
  <c r="I22151" i="9"/>
  <c r="I22152" i="9"/>
  <c r="I22149" i="9"/>
  <c r="I22150" i="9"/>
  <c r="I22148" i="9"/>
  <c r="I22147" i="9"/>
  <c r="I22146" i="9"/>
  <c r="I22145" i="9"/>
  <c r="I22144" i="9"/>
  <c r="I22143" i="9"/>
  <c r="I22142" i="9"/>
  <c r="I22141" i="9"/>
  <c r="I22140" i="9"/>
  <c r="I22139" i="9"/>
  <c r="I22138" i="9"/>
  <c r="I22137" i="9"/>
  <c r="I22135" i="9"/>
  <c r="I22136" i="9"/>
  <c r="I22134" i="9"/>
  <c r="I22133" i="9"/>
  <c r="I22127" i="9"/>
  <c r="I22128" i="9"/>
  <c r="I22129" i="9"/>
  <c r="I22130" i="9"/>
  <c r="I22131" i="9"/>
  <c r="I22132" i="9"/>
  <c r="I22126" i="9"/>
  <c r="I22124" i="9"/>
  <c r="I22125" i="9"/>
  <c r="I22123" i="9"/>
  <c r="I22122" i="9"/>
  <c r="I22120" i="9"/>
  <c r="I22121" i="9"/>
  <c r="I22119" i="9"/>
  <c r="I22118" i="9"/>
  <c r="I22115" i="9"/>
  <c r="I22116" i="9"/>
  <c r="I22117" i="9"/>
  <c r="I22114" i="9"/>
  <c r="I22113" i="9"/>
  <c r="I22112" i="9"/>
  <c r="I22111" i="9"/>
  <c r="I22110" i="9"/>
  <c r="I22109" i="9"/>
  <c r="I22108" i="9"/>
  <c r="I22107" i="9"/>
  <c r="I22104" i="9"/>
  <c r="I22105" i="9"/>
  <c r="I22106" i="9"/>
  <c r="I22103" i="9"/>
  <c r="I22102" i="9"/>
  <c r="I22100" i="9"/>
  <c r="I22101" i="9"/>
  <c r="I22099" i="9"/>
  <c r="I22098" i="9"/>
  <c r="I22096" i="9"/>
  <c r="I22097" i="9"/>
  <c r="I22095" i="9"/>
  <c r="I22093" i="9"/>
  <c r="I22094" i="9"/>
  <c r="I22091" i="9"/>
  <c r="I22092" i="9"/>
  <c r="I22081" i="9"/>
  <c r="I22082" i="9"/>
  <c r="I22083" i="9"/>
  <c r="I22084" i="9"/>
  <c r="I22085" i="9"/>
  <c r="I22086" i="9"/>
  <c r="I22087" i="9"/>
  <c r="I22088" i="9"/>
  <c r="I22089" i="9"/>
  <c r="I22090" i="9"/>
  <c r="I22062" i="9"/>
  <c r="I22063" i="9"/>
  <c r="I22064" i="9"/>
  <c r="I22065" i="9"/>
  <c r="I22066" i="9"/>
  <c r="I22067" i="9"/>
  <c r="I22068" i="9"/>
  <c r="I22069" i="9"/>
  <c r="I22070" i="9"/>
  <c r="I22071" i="9"/>
  <c r="I22072" i="9"/>
  <c r="I22073" i="9"/>
  <c r="I22074" i="9"/>
  <c r="I22075" i="9"/>
  <c r="I22076" i="9"/>
  <c r="I22077" i="9"/>
  <c r="I22078" i="9"/>
  <c r="I22079" i="9"/>
  <c r="I22080" i="9"/>
  <c r="I22061" i="9"/>
  <c r="I22059" i="9"/>
  <c r="I22060" i="9"/>
  <c r="I22057" i="9"/>
  <c r="I22058" i="9"/>
  <c r="I22056" i="9"/>
  <c r="I22054" i="9"/>
  <c r="I22055" i="9"/>
  <c r="I22052" i="9"/>
  <c r="I22053" i="9"/>
  <c r="I22050" i="9"/>
  <c r="I22051" i="9"/>
  <c r="I22049" i="9"/>
  <c r="I22048" i="9"/>
  <c r="I22047" i="9"/>
  <c r="I22046" i="9"/>
  <c r="I22045" i="9"/>
  <c r="I22043" i="9"/>
  <c r="I22044" i="9"/>
  <c r="I22042" i="9"/>
  <c r="I22041" i="9"/>
  <c r="I22040" i="9"/>
  <c r="I22037" i="9"/>
  <c r="I22038" i="9"/>
  <c r="I22039" i="9"/>
  <c r="I22036" i="9"/>
  <c r="I22035" i="9"/>
  <c r="I22034" i="9"/>
  <c r="I22029" i="9"/>
  <c r="I22030" i="9"/>
  <c r="I22031" i="9"/>
  <c r="I22032" i="9"/>
  <c r="I22033" i="9"/>
  <c r="I22017" i="9"/>
  <c r="I22018" i="9"/>
  <c r="I22019" i="9"/>
  <c r="I22020" i="9"/>
  <c r="I22021" i="9"/>
  <c r="I22022" i="9"/>
  <c r="I22023" i="9"/>
  <c r="I22024" i="9"/>
  <c r="I22025" i="9"/>
  <c r="I22026" i="9"/>
  <c r="I22027" i="9"/>
  <c r="I22028" i="9"/>
  <c r="I22016" i="9"/>
  <c r="I22014" i="9"/>
  <c r="I22015" i="9"/>
  <c r="I22013" i="9"/>
  <c r="I22011" i="9"/>
  <c r="I22012" i="9"/>
  <c r="I22010" i="9"/>
  <c r="I22009" i="9"/>
  <c r="I22008" i="9"/>
  <c r="I22007" i="9"/>
  <c r="I22006" i="9"/>
  <c r="I22005" i="9"/>
  <c r="I22004" i="9"/>
  <c r="I22003" i="9"/>
  <c r="I22002" i="9"/>
  <c r="I22001" i="9"/>
  <c r="I21997" i="9"/>
  <c r="I21998" i="9"/>
  <c r="I21999" i="9"/>
  <c r="I22000" i="9"/>
  <c r="I21994" i="9"/>
  <c r="I21995" i="9"/>
  <c r="I21996" i="9"/>
  <c r="I21991" i="9"/>
  <c r="I21992" i="9"/>
  <c r="I21993" i="9"/>
  <c r="I21990" i="9"/>
  <c r="I21989" i="9"/>
  <c r="I21988" i="9"/>
  <c r="I21987" i="9"/>
  <c r="I21986" i="9"/>
  <c r="I21985" i="9"/>
  <c r="I21983" i="9"/>
  <c r="I21984" i="9"/>
  <c r="I21982" i="9"/>
  <c r="I21981" i="9"/>
  <c r="I21980" i="9"/>
  <c r="I21978" i="9"/>
  <c r="I21979" i="9"/>
  <c r="I21977" i="9"/>
  <c r="I21976" i="9"/>
  <c r="I21975" i="9"/>
  <c r="I21973" i="9"/>
  <c r="I21974" i="9"/>
  <c r="I21970" i="9"/>
  <c r="I21971" i="9"/>
  <c r="I21972" i="9"/>
  <c r="I21969" i="9"/>
  <c r="I21968" i="9"/>
  <c r="I21966" i="9"/>
  <c r="I21967" i="9"/>
  <c r="I21965" i="9"/>
  <c r="I21964" i="9"/>
  <c r="I21963" i="9"/>
  <c r="I21961" i="9"/>
  <c r="I21962" i="9"/>
  <c r="I21960" i="9"/>
  <c r="I21959" i="9"/>
  <c r="I21956" i="9"/>
  <c r="I21957" i="9"/>
  <c r="I21958" i="9"/>
  <c r="I21955" i="9"/>
  <c r="I21954" i="9"/>
  <c r="I21953" i="9"/>
  <c r="I21952" i="9"/>
  <c r="I21950" i="9"/>
  <c r="I21951" i="9"/>
  <c r="I21949" i="9"/>
  <c r="I21948" i="9"/>
  <c r="I21947" i="9"/>
  <c r="I21946" i="9"/>
  <c r="I21945" i="9"/>
  <c r="I21944" i="9"/>
  <c r="I21942" i="9"/>
  <c r="I21943" i="9"/>
  <c r="I21941" i="9"/>
  <c r="I21940" i="9"/>
  <c r="I21939" i="9"/>
  <c r="I21938" i="9"/>
  <c r="I21937" i="9"/>
  <c r="I21936" i="9"/>
  <c r="I21935" i="9"/>
  <c r="I21934" i="9"/>
  <c r="I21933" i="9"/>
  <c r="I21932" i="9"/>
  <c r="I21931" i="9"/>
  <c r="I21930" i="9"/>
  <c r="I21929" i="9"/>
  <c r="I21928" i="9"/>
  <c r="I21927" i="9"/>
  <c r="I21926" i="9"/>
  <c r="I21925" i="9"/>
  <c r="I21924" i="9"/>
  <c r="I21923" i="9"/>
  <c r="I21922" i="9"/>
  <c r="I21921" i="9"/>
  <c r="I21920" i="9"/>
  <c r="I21919" i="9"/>
  <c r="I21918" i="9"/>
  <c r="I21917" i="9"/>
  <c r="I21916" i="9"/>
  <c r="I21915" i="9"/>
  <c r="I21914" i="9"/>
  <c r="I21912" i="9"/>
  <c r="I21913" i="9"/>
  <c r="I21911" i="9"/>
  <c r="I21910" i="9"/>
  <c r="I21909" i="9"/>
  <c r="I21907" i="9"/>
  <c r="I21908" i="9"/>
  <c r="I21906" i="9"/>
  <c r="I21905" i="9"/>
  <c r="I21904" i="9"/>
  <c r="I21903" i="9"/>
  <c r="I21902" i="9"/>
  <c r="I21901" i="9"/>
  <c r="I21900" i="9"/>
  <c r="I21899" i="9"/>
  <c r="I21898" i="9"/>
  <c r="I21897" i="9"/>
  <c r="I21896" i="9"/>
  <c r="I21894" i="9"/>
  <c r="I21895" i="9"/>
  <c r="I21893" i="9"/>
  <c r="I21892" i="9"/>
  <c r="I21891" i="9"/>
  <c r="I21890" i="9"/>
  <c r="I21889" i="9"/>
  <c r="I21886" i="9"/>
  <c r="I21887" i="9"/>
  <c r="I21888" i="9"/>
  <c r="I21884" i="9"/>
  <c r="I21885" i="9"/>
  <c r="I21881" i="9"/>
  <c r="I21882" i="9"/>
  <c r="I21883" i="9"/>
  <c r="I21878" i="9"/>
  <c r="I21879" i="9"/>
  <c r="I21880" i="9"/>
  <c r="I21876" i="9"/>
  <c r="I21877" i="9"/>
  <c r="I21875" i="9"/>
  <c r="I21868" i="9"/>
  <c r="I21869" i="9"/>
  <c r="I21870" i="9"/>
  <c r="I21871" i="9"/>
  <c r="I21872" i="9"/>
  <c r="I21873" i="9"/>
  <c r="I21874" i="9"/>
  <c r="I21860" i="9"/>
  <c r="I21861" i="9"/>
  <c r="I21862" i="9"/>
  <c r="I21863" i="9"/>
  <c r="I21864" i="9"/>
  <c r="I21865" i="9"/>
  <c r="I21866" i="9"/>
  <c r="I21867" i="9"/>
  <c r="I21857" i="9"/>
  <c r="I21858" i="9"/>
  <c r="I21859" i="9"/>
  <c r="I21856" i="9"/>
  <c r="I21855" i="9"/>
  <c r="I21853" i="9"/>
  <c r="I21854" i="9"/>
  <c r="I21851" i="9"/>
  <c r="I21852" i="9"/>
  <c r="I21850" i="9"/>
  <c r="I21848" i="9"/>
  <c r="I21849" i="9"/>
  <c r="I21846" i="9"/>
  <c r="I21847" i="9"/>
  <c r="I21826" i="9"/>
  <c r="I21827" i="9"/>
  <c r="I21828" i="9"/>
  <c r="I21829" i="9"/>
  <c r="I21830" i="9"/>
  <c r="I21831" i="9"/>
  <c r="I21832" i="9"/>
  <c r="I21833" i="9"/>
  <c r="I21834" i="9"/>
  <c r="I21835" i="9"/>
  <c r="I21836" i="9"/>
  <c r="I21837" i="9"/>
  <c r="I21838" i="9"/>
  <c r="I21839" i="9"/>
  <c r="I21840" i="9"/>
  <c r="I21841" i="9"/>
  <c r="I21842" i="9"/>
  <c r="I21843" i="9"/>
  <c r="I21844" i="9"/>
  <c r="I21845" i="9"/>
  <c r="I21822" i="9"/>
  <c r="I21823" i="9"/>
  <c r="I21824" i="9"/>
  <c r="I21825" i="9"/>
  <c r="I21819" i="9"/>
  <c r="I21820" i="9"/>
  <c r="I21821" i="9"/>
  <c r="I21817" i="9"/>
  <c r="I21818" i="9"/>
  <c r="I21815" i="9"/>
  <c r="I21816" i="9"/>
  <c r="I21814" i="9"/>
  <c r="I21812" i="9"/>
  <c r="I21813" i="9"/>
  <c r="I21809" i="9"/>
  <c r="I21810" i="9"/>
  <c r="I21811" i="9"/>
  <c r="I21806" i="9"/>
  <c r="I21807" i="9"/>
  <c r="I21808" i="9"/>
  <c r="I21804" i="9"/>
  <c r="I21805" i="9"/>
  <c r="I21803" i="9"/>
  <c r="I21801" i="9"/>
  <c r="I21802" i="9"/>
  <c r="I21799" i="9"/>
  <c r="I21800" i="9"/>
  <c r="I21798" i="9"/>
  <c r="I21797" i="9"/>
  <c r="I21795" i="9"/>
  <c r="I21796" i="9"/>
  <c r="I21794" i="9"/>
  <c r="I21793" i="9"/>
  <c r="I21792" i="9"/>
  <c r="I21791" i="9"/>
  <c r="I21790" i="9"/>
  <c r="I21789" i="9"/>
  <c r="I21788" i="9"/>
  <c r="I21787" i="9"/>
  <c r="I21786" i="9"/>
  <c r="I21785" i="9"/>
  <c r="I21783" i="9"/>
  <c r="I21784" i="9"/>
  <c r="I21759" i="9"/>
  <c r="I21760" i="9"/>
  <c r="I21761" i="9"/>
  <c r="I21762" i="9"/>
  <c r="I21763" i="9"/>
  <c r="I21764" i="9"/>
  <c r="I21765" i="9"/>
  <c r="I21766" i="9"/>
  <c r="I21767" i="9"/>
  <c r="I21768" i="9"/>
  <c r="I21769" i="9"/>
  <c r="I21770" i="9"/>
  <c r="I21771" i="9"/>
  <c r="I21772" i="9"/>
  <c r="I21773" i="9"/>
  <c r="I21774" i="9"/>
  <c r="I21775" i="9"/>
  <c r="I21776" i="9"/>
  <c r="I21777" i="9"/>
  <c r="I21778" i="9"/>
  <c r="I21779" i="9"/>
  <c r="I21780" i="9"/>
  <c r="I21781" i="9"/>
  <c r="I21782" i="9"/>
  <c r="I21758" i="9"/>
  <c r="I21744" i="9"/>
  <c r="I21745" i="9"/>
  <c r="I21746" i="9"/>
  <c r="I21747" i="9"/>
  <c r="I21748" i="9"/>
  <c r="I21749" i="9"/>
  <c r="I21750" i="9"/>
  <c r="I21751" i="9"/>
  <c r="I21752" i="9"/>
  <c r="I21753" i="9"/>
  <c r="I21754" i="9"/>
  <c r="I21755" i="9"/>
  <c r="I21756" i="9"/>
  <c r="I21757" i="9"/>
  <c r="I21732" i="9"/>
  <c r="I21733" i="9"/>
  <c r="I21734" i="9"/>
  <c r="I21735" i="9"/>
  <c r="I21736" i="9"/>
  <c r="I21737" i="9"/>
  <c r="I21738" i="9"/>
  <c r="I21739" i="9"/>
  <c r="I21740" i="9"/>
  <c r="I21741" i="9"/>
  <c r="I21742" i="9"/>
  <c r="I21743" i="9"/>
  <c r="I21729" i="9"/>
  <c r="I21730" i="9"/>
  <c r="I21731" i="9"/>
  <c r="I21728" i="9"/>
  <c r="I21727" i="9" l="1"/>
  <c r="I21124" i="9"/>
  <c r="I21125" i="9"/>
  <c r="I21126" i="9"/>
  <c r="I21127" i="9"/>
  <c r="I21128" i="9"/>
  <c r="I21129" i="9"/>
  <c r="I21130" i="9"/>
  <c r="I21131" i="9"/>
  <c r="I21132" i="9"/>
  <c r="I21133" i="9"/>
  <c r="I21134" i="9"/>
  <c r="I21135" i="9"/>
  <c r="I21136" i="9"/>
  <c r="I21137" i="9"/>
  <c r="I21138" i="9"/>
  <c r="I21139" i="9"/>
  <c r="I21140" i="9"/>
  <c r="I21141" i="9"/>
  <c r="I21142" i="9"/>
  <c r="I21143" i="9"/>
  <c r="I21144" i="9"/>
  <c r="I21145" i="9"/>
  <c r="I21146" i="9"/>
  <c r="I21147" i="9"/>
  <c r="I21148" i="9"/>
  <c r="I21149" i="9"/>
  <c r="I21150" i="9"/>
  <c r="I21151" i="9"/>
  <c r="I21152" i="9"/>
  <c r="I21153" i="9"/>
  <c r="I21154" i="9"/>
  <c r="I21155" i="9"/>
  <c r="I21156" i="9"/>
  <c r="I21157" i="9"/>
  <c r="I21158" i="9"/>
  <c r="I21159" i="9"/>
  <c r="I21160" i="9"/>
  <c r="I21161" i="9"/>
  <c r="I21162" i="9"/>
  <c r="I21163" i="9"/>
  <c r="I21164" i="9"/>
  <c r="I21165" i="9"/>
  <c r="I21166" i="9"/>
  <c r="I21167" i="9"/>
  <c r="I21168" i="9"/>
  <c r="I21169" i="9"/>
  <c r="I21170" i="9"/>
  <c r="I21171" i="9"/>
  <c r="I21172" i="9"/>
  <c r="I21173" i="9"/>
  <c r="I21174" i="9"/>
  <c r="I21175" i="9"/>
  <c r="I21176" i="9"/>
  <c r="I21177" i="9"/>
  <c r="I21178" i="9"/>
  <c r="I21179" i="9"/>
  <c r="I21180" i="9"/>
  <c r="I21181" i="9"/>
  <c r="I21182" i="9"/>
  <c r="I21183" i="9"/>
  <c r="I21184" i="9"/>
  <c r="I21185" i="9"/>
  <c r="I21186" i="9"/>
  <c r="I21187" i="9"/>
  <c r="I21188" i="9"/>
  <c r="I21189" i="9"/>
  <c r="I21190" i="9"/>
  <c r="I21191" i="9"/>
  <c r="I21192" i="9"/>
  <c r="I21193" i="9"/>
  <c r="I21194" i="9"/>
  <c r="I21195" i="9"/>
  <c r="I21196" i="9"/>
  <c r="I21197" i="9"/>
  <c r="I21198" i="9"/>
  <c r="I21199" i="9"/>
  <c r="I21200" i="9"/>
  <c r="I21201" i="9"/>
  <c r="I21202" i="9"/>
  <c r="I21203" i="9"/>
  <c r="I21204" i="9"/>
  <c r="I21205" i="9"/>
  <c r="I21206" i="9"/>
  <c r="I21207" i="9"/>
  <c r="I21208" i="9"/>
  <c r="I21209" i="9"/>
  <c r="I21210" i="9"/>
  <c r="I21211" i="9"/>
  <c r="I21212" i="9"/>
  <c r="I21213" i="9"/>
  <c r="I21214" i="9"/>
  <c r="I21215" i="9"/>
  <c r="I21216" i="9"/>
  <c r="I21217" i="9"/>
  <c r="I21218" i="9"/>
  <c r="I21219" i="9"/>
  <c r="I21220" i="9"/>
  <c r="I21221" i="9"/>
  <c r="I21222" i="9"/>
  <c r="I21223" i="9"/>
  <c r="I21224" i="9"/>
  <c r="I21225" i="9"/>
  <c r="I21226" i="9"/>
  <c r="I21227" i="9"/>
  <c r="I21228" i="9"/>
  <c r="I21229" i="9"/>
  <c r="I21230" i="9"/>
  <c r="I21231" i="9"/>
  <c r="I21232" i="9"/>
  <c r="I21233" i="9"/>
  <c r="I21234" i="9"/>
  <c r="I21235" i="9"/>
  <c r="I21236" i="9"/>
  <c r="I21237" i="9"/>
  <c r="I21238" i="9"/>
  <c r="I21239" i="9"/>
  <c r="I21240" i="9"/>
  <c r="I21241" i="9"/>
  <c r="I21242" i="9"/>
  <c r="I21243" i="9"/>
  <c r="I21244" i="9"/>
  <c r="I21245" i="9"/>
  <c r="I21246" i="9"/>
  <c r="I21247" i="9"/>
  <c r="I21248" i="9"/>
  <c r="I21249" i="9"/>
  <c r="I21250" i="9"/>
  <c r="I21251" i="9"/>
  <c r="I21252" i="9"/>
  <c r="I21253" i="9"/>
  <c r="I21254" i="9"/>
  <c r="I21255" i="9"/>
  <c r="I21256" i="9"/>
  <c r="I21257" i="9"/>
  <c r="I21258" i="9"/>
  <c r="I21259" i="9"/>
  <c r="I21260" i="9"/>
  <c r="I21261" i="9"/>
  <c r="I21262" i="9"/>
  <c r="I21263" i="9"/>
  <c r="I21264" i="9"/>
  <c r="I21265" i="9"/>
  <c r="I21266" i="9"/>
  <c r="I21267" i="9"/>
  <c r="I21268" i="9"/>
  <c r="I21269" i="9"/>
  <c r="I21270" i="9"/>
  <c r="I21271" i="9"/>
  <c r="I21272" i="9"/>
  <c r="I21273" i="9"/>
  <c r="I21274" i="9"/>
  <c r="I21275" i="9"/>
  <c r="I21276" i="9"/>
  <c r="I21277" i="9"/>
  <c r="I21278" i="9"/>
  <c r="I21279" i="9"/>
  <c r="I21280" i="9"/>
  <c r="I21281" i="9"/>
  <c r="I21282" i="9"/>
  <c r="I21283" i="9"/>
  <c r="I21284" i="9"/>
  <c r="I21285" i="9"/>
  <c r="I21286" i="9"/>
  <c r="I21287" i="9"/>
  <c r="I21288" i="9"/>
  <c r="I21289" i="9"/>
  <c r="I21290" i="9"/>
  <c r="I21291" i="9"/>
  <c r="I21292" i="9"/>
  <c r="I21293" i="9"/>
  <c r="I21294" i="9"/>
  <c r="I21295" i="9"/>
  <c r="I21296" i="9"/>
  <c r="I21297" i="9"/>
  <c r="I21298" i="9"/>
  <c r="I21299" i="9"/>
  <c r="I21300" i="9"/>
  <c r="I21301" i="9"/>
  <c r="I21302" i="9"/>
  <c r="I21303" i="9"/>
  <c r="I21304" i="9"/>
  <c r="I21305" i="9"/>
  <c r="I21306" i="9"/>
  <c r="I21307" i="9"/>
  <c r="I21308" i="9"/>
  <c r="I21309" i="9"/>
  <c r="I21310" i="9"/>
  <c r="I21311" i="9"/>
  <c r="I21312" i="9"/>
  <c r="I21313" i="9"/>
  <c r="I21314" i="9"/>
  <c r="I21315" i="9"/>
  <c r="I21316" i="9"/>
  <c r="I21317" i="9"/>
  <c r="I21318" i="9"/>
  <c r="I21319" i="9"/>
  <c r="I21320" i="9"/>
  <c r="I21321" i="9"/>
  <c r="I21322" i="9"/>
  <c r="I21323" i="9"/>
  <c r="I21324" i="9"/>
  <c r="I21325" i="9"/>
  <c r="I21326" i="9"/>
  <c r="I21327" i="9"/>
  <c r="I21328" i="9"/>
  <c r="I21329" i="9"/>
  <c r="I21330" i="9"/>
  <c r="I21331" i="9"/>
  <c r="I21332" i="9"/>
  <c r="I21333" i="9"/>
  <c r="I21334" i="9"/>
  <c r="I21335" i="9"/>
  <c r="I21336" i="9"/>
  <c r="I21337" i="9"/>
  <c r="I21338" i="9"/>
  <c r="I21339" i="9"/>
  <c r="I21340" i="9"/>
  <c r="I21341" i="9"/>
  <c r="I21342" i="9"/>
  <c r="I21343" i="9"/>
  <c r="I21344" i="9"/>
  <c r="I21345" i="9"/>
  <c r="I21346" i="9"/>
  <c r="I21347" i="9"/>
  <c r="I21348" i="9"/>
  <c r="I21349" i="9"/>
  <c r="I21350" i="9"/>
  <c r="I21351" i="9"/>
  <c r="I21352" i="9"/>
  <c r="I21353" i="9"/>
  <c r="I21354" i="9"/>
  <c r="I21355" i="9"/>
  <c r="I21356" i="9"/>
  <c r="I21357" i="9"/>
  <c r="I21358" i="9"/>
  <c r="I21359" i="9"/>
  <c r="I21360" i="9"/>
  <c r="I21361" i="9"/>
  <c r="I21362" i="9"/>
  <c r="I21363" i="9"/>
  <c r="I21364" i="9"/>
  <c r="I21365" i="9"/>
  <c r="I21366" i="9"/>
  <c r="I21367" i="9"/>
  <c r="I21368" i="9"/>
  <c r="I21369" i="9"/>
  <c r="I21370" i="9"/>
  <c r="I21371" i="9"/>
  <c r="I21372" i="9"/>
  <c r="I21373" i="9"/>
  <c r="I21374" i="9"/>
  <c r="I21375" i="9"/>
  <c r="I21376" i="9"/>
  <c r="I21377" i="9"/>
  <c r="I21378" i="9"/>
  <c r="I21379" i="9"/>
  <c r="I21380" i="9"/>
  <c r="I21381" i="9"/>
  <c r="I21382" i="9"/>
  <c r="I21383" i="9"/>
  <c r="I21384" i="9"/>
  <c r="I21385" i="9"/>
  <c r="I21386" i="9"/>
  <c r="I21387" i="9"/>
  <c r="I21388" i="9"/>
  <c r="I21389" i="9"/>
  <c r="I21390" i="9"/>
  <c r="I21391" i="9"/>
  <c r="I21392" i="9"/>
  <c r="I21393" i="9"/>
  <c r="I21394" i="9"/>
  <c r="I21395" i="9"/>
  <c r="I21396" i="9"/>
  <c r="I21397" i="9"/>
  <c r="I21398" i="9"/>
  <c r="I21399" i="9"/>
  <c r="I21400" i="9"/>
  <c r="I21401" i="9"/>
  <c r="I21402" i="9"/>
  <c r="I21403" i="9"/>
  <c r="I21404" i="9"/>
  <c r="I21405" i="9"/>
  <c r="I21406" i="9"/>
  <c r="I21407" i="9"/>
  <c r="I21408" i="9"/>
  <c r="I21409" i="9"/>
  <c r="I21410" i="9"/>
  <c r="I21411" i="9"/>
  <c r="I21412" i="9"/>
  <c r="I21413" i="9"/>
  <c r="I21414" i="9"/>
  <c r="I21415" i="9"/>
  <c r="I21416" i="9"/>
  <c r="I21417" i="9"/>
  <c r="I21418" i="9"/>
  <c r="I21419" i="9"/>
  <c r="I21420" i="9"/>
  <c r="I21421" i="9"/>
  <c r="I21422" i="9"/>
  <c r="I21423" i="9"/>
  <c r="I21424" i="9"/>
  <c r="I21425" i="9"/>
  <c r="I21426" i="9"/>
  <c r="I21427" i="9"/>
  <c r="I21428" i="9"/>
  <c r="I21429" i="9"/>
  <c r="I21430" i="9"/>
  <c r="I21431" i="9"/>
  <c r="I21432" i="9"/>
  <c r="I21433" i="9"/>
  <c r="I21434" i="9"/>
  <c r="I21435" i="9"/>
  <c r="I21436" i="9"/>
  <c r="I21437" i="9"/>
  <c r="I21438" i="9"/>
  <c r="I21439" i="9"/>
  <c r="I21440" i="9"/>
  <c r="I21441" i="9"/>
  <c r="I21442" i="9"/>
  <c r="I21443" i="9"/>
  <c r="I21444" i="9"/>
  <c r="I21445" i="9"/>
  <c r="I21446" i="9"/>
  <c r="I21447" i="9"/>
  <c r="I21448" i="9"/>
  <c r="I21449" i="9"/>
  <c r="I21450" i="9"/>
  <c r="I21451" i="9"/>
  <c r="I21452" i="9"/>
  <c r="I21453" i="9"/>
  <c r="I21454" i="9"/>
  <c r="I21455" i="9"/>
  <c r="I21456" i="9"/>
  <c r="I21457" i="9"/>
  <c r="I21458" i="9"/>
  <c r="I21459" i="9"/>
  <c r="I21460" i="9"/>
  <c r="I21461" i="9"/>
  <c r="I21462" i="9"/>
  <c r="I21463" i="9"/>
  <c r="I21464" i="9"/>
  <c r="I21465" i="9"/>
  <c r="I21466" i="9"/>
  <c r="I21467" i="9"/>
  <c r="I21468" i="9"/>
  <c r="I21469" i="9"/>
  <c r="I21470" i="9"/>
  <c r="I21471" i="9"/>
  <c r="I21472" i="9"/>
  <c r="I21473" i="9"/>
  <c r="I21474" i="9"/>
  <c r="I21475" i="9"/>
  <c r="I21476" i="9"/>
  <c r="I21477" i="9"/>
  <c r="I21478" i="9"/>
  <c r="I21479" i="9"/>
  <c r="I21480" i="9"/>
  <c r="I21481" i="9"/>
  <c r="I21482" i="9"/>
  <c r="I21483" i="9"/>
  <c r="I21484" i="9"/>
  <c r="I21485" i="9"/>
  <c r="I21486" i="9"/>
  <c r="I21487" i="9"/>
  <c r="I21488" i="9"/>
  <c r="I21489" i="9"/>
  <c r="I21490" i="9"/>
  <c r="I21491" i="9"/>
  <c r="I21492" i="9"/>
  <c r="I21493" i="9"/>
  <c r="I21494" i="9"/>
  <c r="I21495" i="9"/>
  <c r="I21496" i="9"/>
  <c r="I21497" i="9"/>
  <c r="I21498" i="9"/>
  <c r="I21499" i="9"/>
  <c r="I21500" i="9"/>
  <c r="I21501" i="9"/>
  <c r="I21502" i="9"/>
  <c r="I21503" i="9"/>
  <c r="I21504" i="9"/>
  <c r="I21505" i="9"/>
  <c r="I21506" i="9"/>
  <c r="I21507" i="9"/>
  <c r="I21508" i="9"/>
  <c r="I21509" i="9"/>
  <c r="I21510" i="9"/>
  <c r="I21511" i="9"/>
  <c r="I21512" i="9"/>
  <c r="I21513" i="9"/>
  <c r="I21514" i="9"/>
  <c r="I21515" i="9"/>
  <c r="I21516" i="9"/>
  <c r="I21517" i="9"/>
  <c r="I21518" i="9"/>
  <c r="I21519" i="9"/>
  <c r="I21520" i="9"/>
  <c r="I21521" i="9"/>
  <c r="I21522" i="9"/>
  <c r="I21523" i="9"/>
  <c r="I21524" i="9"/>
  <c r="I21525" i="9"/>
  <c r="I21526" i="9"/>
  <c r="I21527" i="9"/>
  <c r="I21528" i="9"/>
  <c r="I21529" i="9"/>
  <c r="I21530" i="9"/>
  <c r="I21531" i="9"/>
  <c r="I21532" i="9"/>
  <c r="I21533" i="9"/>
  <c r="I21534" i="9"/>
  <c r="I21535" i="9"/>
  <c r="I21536" i="9"/>
  <c r="I21537" i="9"/>
  <c r="I21538" i="9"/>
  <c r="I21539" i="9"/>
  <c r="I21540" i="9"/>
  <c r="I21541" i="9"/>
  <c r="I21542" i="9"/>
  <c r="I21543" i="9"/>
  <c r="I21544" i="9"/>
  <c r="I21545" i="9"/>
  <c r="I21546" i="9"/>
  <c r="I21547" i="9"/>
  <c r="I21548" i="9"/>
  <c r="I21549" i="9"/>
  <c r="I21550" i="9"/>
  <c r="I21551" i="9"/>
  <c r="I21552" i="9"/>
  <c r="I21553" i="9"/>
  <c r="I21554" i="9"/>
  <c r="I21555" i="9"/>
  <c r="I21556" i="9"/>
  <c r="I21557" i="9"/>
  <c r="I21558" i="9"/>
  <c r="I21559" i="9"/>
  <c r="I21560" i="9"/>
  <c r="I21561" i="9"/>
  <c r="I21562" i="9"/>
  <c r="I21563" i="9"/>
  <c r="I21564" i="9"/>
  <c r="I21565" i="9"/>
  <c r="I21566" i="9"/>
  <c r="I21567" i="9"/>
  <c r="I21568" i="9"/>
  <c r="I21569" i="9"/>
  <c r="I21570" i="9"/>
  <c r="I21571" i="9"/>
  <c r="I21572" i="9"/>
  <c r="I21573" i="9"/>
  <c r="I21574" i="9"/>
  <c r="I21575" i="9"/>
  <c r="I21576" i="9"/>
  <c r="I21577" i="9"/>
  <c r="I21578" i="9"/>
  <c r="I21579" i="9"/>
  <c r="I21580" i="9"/>
  <c r="I21581" i="9"/>
  <c r="I21582" i="9"/>
  <c r="I21583" i="9"/>
  <c r="I21584" i="9"/>
  <c r="I21585" i="9"/>
  <c r="I21586" i="9"/>
  <c r="I21587" i="9"/>
  <c r="I21588" i="9"/>
  <c r="I21589" i="9"/>
  <c r="I21590" i="9"/>
  <c r="I21591" i="9"/>
  <c r="I21592" i="9"/>
  <c r="I21593" i="9"/>
  <c r="I21594" i="9"/>
  <c r="I21595" i="9"/>
  <c r="I21596" i="9"/>
  <c r="I21597" i="9"/>
  <c r="I21598" i="9"/>
  <c r="I21599" i="9"/>
  <c r="I21600" i="9"/>
  <c r="I21601" i="9"/>
  <c r="I21602" i="9"/>
  <c r="I21603" i="9"/>
  <c r="I21604" i="9"/>
  <c r="I21605" i="9"/>
  <c r="I21606" i="9"/>
  <c r="I21607" i="9"/>
  <c r="I21608" i="9"/>
  <c r="I21609" i="9"/>
  <c r="I21610" i="9"/>
  <c r="I21611" i="9"/>
  <c r="I21612" i="9"/>
  <c r="I21613" i="9"/>
  <c r="I21614" i="9"/>
  <c r="I21615" i="9"/>
  <c r="I21616" i="9"/>
  <c r="I21617" i="9"/>
  <c r="I21618" i="9"/>
  <c r="I21619" i="9"/>
  <c r="I21620" i="9"/>
  <c r="I21621" i="9"/>
  <c r="I21622" i="9"/>
  <c r="I21623" i="9"/>
  <c r="I21624" i="9"/>
  <c r="I21625" i="9"/>
  <c r="I21626" i="9"/>
  <c r="I21627" i="9"/>
  <c r="I21628" i="9"/>
  <c r="I21629" i="9"/>
  <c r="I21630" i="9"/>
  <c r="I21631" i="9"/>
  <c r="I21632" i="9"/>
  <c r="I21633" i="9"/>
  <c r="I21634" i="9"/>
  <c r="I21635" i="9"/>
  <c r="I21636" i="9"/>
  <c r="I21637" i="9"/>
  <c r="I21638" i="9"/>
  <c r="I21639" i="9"/>
  <c r="I21640" i="9"/>
  <c r="I21641" i="9"/>
  <c r="I21642" i="9"/>
  <c r="I21643" i="9"/>
  <c r="I21644" i="9"/>
  <c r="I21645" i="9"/>
  <c r="I21646" i="9"/>
  <c r="I21647" i="9"/>
  <c r="I21648" i="9"/>
  <c r="I21649" i="9"/>
  <c r="I21650" i="9"/>
  <c r="I21651" i="9"/>
  <c r="I21652" i="9"/>
  <c r="I21653" i="9"/>
  <c r="I21654" i="9"/>
  <c r="I21655" i="9"/>
  <c r="I21656" i="9"/>
  <c r="I21657" i="9"/>
  <c r="I21658" i="9"/>
  <c r="I21659" i="9"/>
  <c r="I21660" i="9"/>
  <c r="I21661" i="9"/>
  <c r="I21662" i="9"/>
  <c r="I21663" i="9"/>
  <c r="I21664" i="9"/>
  <c r="I21665" i="9"/>
  <c r="I21666" i="9"/>
  <c r="I21667" i="9"/>
  <c r="I21668" i="9"/>
  <c r="I21669" i="9"/>
  <c r="I21670" i="9"/>
  <c r="I21671" i="9"/>
  <c r="I21672" i="9"/>
  <c r="I21673" i="9"/>
  <c r="I21674" i="9"/>
  <c r="I21675" i="9"/>
  <c r="I21676" i="9"/>
  <c r="I21677" i="9"/>
  <c r="I21678" i="9"/>
  <c r="I21679" i="9"/>
  <c r="I21680" i="9"/>
  <c r="I21681" i="9"/>
  <c r="I21682" i="9"/>
  <c r="I21683" i="9"/>
  <c r="I21684" i="9"/>
  <c r="I21685" i="9"/>
  <c r="I21686" i="9"/>
  <c r="I21687" i="9"/>
  <c r="I21688" i="9"/>
  <c r="I21689" i="9"/>
  <c r="I21690" i="9"/>
  <c r="I21691" i="9"/>
  <c r="I21692" i="9"/>
  <c r="I21693" i="9"/>
  <c r="I21694" i="9"/>
  <c r="I21695" i="9"/>
  <c r="I21696" i="9"/>
  <c r="I21697" i="9"/>
  <c r="I21698" i="9"/>
  <c r="I21699" i="9"/>
  <c r="I21700" i="9"/>
  <c r="I21701" i="9"/>
  <c r="I21702" i="9"/>
  <c r="I21703" i="9"/>
  <c r="I21704" i="9"/>
  <c r="I21705" i="9"/>
  <c r="I21706" i="9"/>
  <c r="I21707" i="9"/>
  <c r="I21708" i="9"/>
  <c r="I21709" i="9"/>
  <c r="I21710" i="9"/>
  <c r="I21711" i="9"/>
  <c r="I21712" i="9"/>
  <c r="I21713" i="9"/>
  <c r="I21714" i="9"/>
  <c r="I21715" i="9"/>
  <c r="I21716" i="9"/>
  <c r="I21717" i="9"/>
  <c r="I21718" i="9"/>
  <c r="I21719" i="9"/>
  <c r="I21720" i="9"/>
  <c r="I21721" i="9"/>
  <c r="I21722" i="9"/>
  <c r="I21723" i="9"/>
  <c r="I21724" i="9"/>
  <c r="I21725" i="9"/>
  <c r="I21726" i="9"/>
  <c r="I21117" i="9"/>
  <c r="I21118" i="9"/>
  <c r="I21119" i="9"/>
  <c r="I21120" i="9"/>
  <c r="I21121" i="9"/>
  <c r="I21122" i="9"/>
  <c r="I21123" i="9"/>
  <c r="I21109" i="9"/>
  <c r="I21110" i="9"/>
  <c r="I21111" i="9"/>
  <c r="I21112" i="9"/>
  <c r="I21113" i="9"/>
  <c r="I21114" i="9"/>
  <c r="I21115" i="9"/>
  <c r="I21116" i="9"/>
  <c r="I21108" i="9"/>
  <c r="I21107" i="9"/>
  <c r="I21106" i="9"/>
  <c r="I21102" i="9"/>
  <c r="I21103" i="9"/>
  <c r="I21104" i="9"/>
  <c r="I21105" i="9"/>
  <c r="I21101" i="9"/>
  <c r="I21099" i="9"/>
  <c r="I21100" i="9"/>
  <c r="I21098" i="9"/>
  <c r="I21097" i="9"/>
  <c r="I21096" i="9"/>
  <c r="I21095" i="9"/>
  <c r="I21094" i="9"/>
  <c r="I21092" i="9"/>
  <c r="I21093" i="9"/>
  <c r="I21091" i="9"/>
  <c r="I21089" i="9"/>
  <c r="I21090" i="9"/>
  <c r="I21088" i="9"/>
  <c r="I21087" i="9"/>
  <c r="I21086" i="9"/>
  <c r="I21085" i="9"/>
  <c r="I21084" i="9"/>
  <c r="I21083" i="9"/>
  <c r="I21078" i="9"/>
  <c r="I21079" i="9"/>
  <c r="I21080" i="9"/>
  <c r="I21081" i="9"/>
  <c r="I21082" i="9"/>
  <c r="I21071" i="9"/>
  <c r="I21072" i="9"/>
  <c r="I21073" i="9"/>
  <c r="I21074" i="9"/>
  <c r="I21075" i="9"/>
  <c r="I21076" i="9"/>
  <c r="I21077" i="9"/>
  <c r="I21069" i="9"/>
  <c r="I21070" i="9"/>
  <c r="I21068" i="9"/>
  <c r="I21065" i="9"/>
  <c r="I21066" i="9"/>
  <c r="I21067" i="9"/>
  <c r="I21063" i="9"/>
  <c r="I21064" i="9"/>
  <c r="I21062" i="9"/>
  <c r="I21061" i="9"/>
  <c r="I21060" i="9"/>
  <c r="I21059" i="9"/>
  <c r="I21058" i="9"/>
  <c r="I21057" i="9"/>
  <c r="I21056" i="9"/>
  <c r="I21055" i="9"/>
  <c r="I21054" i="9"/>
  <c r="I21053" i="9"/>
  <c r="I21052" i="9"/>
  <c r="I21051" i="9"/>
  <c r="I21050" i="9"/>
  <c r="I21049" i="9"/>
  <c r="I21048" i="9"/>
  <c r="I21047" i="9"/>
  <c r="I21046" i="9"/>
  <c r="I21045" i="9"/>
  <c r="I21044" i="9"/>
  <c r="I21043" i="9"/>
  <c r="I21042" i="9"/>
  <c r="I21041" i="9"/>
  <c r="I21040" i="9"/>
  <c r="I21039" i="9"/>
  <c r="I21038" i="9"/>
  <c r="I21037" i="9"/>
  <c r="I21036" i="9"/>
  <c r="I21030" i="9"/>
  <c r="I21031" i="9"/>
  <c r="I21032" i="9"/>
  <c r="I21033" i="9"/>
  <c r="I21034" i="9"/>
  <c r="I21035" i="9"/>
  <c r="I21023" i="9"/>
  <c r="I21024" i="9"/>
  <c r="I21025" i="9"/>
  <c r="I21026" i="9"/>
  <c r="I21027" i="9"/>
  <c r="I21028" i="9"/>
  <c r="I21029" i="9"/>
  <c r="I21020" i="9"/>
  <c r="I21021" i="9"/>
  <c r="I21022" i="9"/>
  <c r="I21018" i="9"/>
  <c r="I21019" i="9"/>
  <c r="I21012" i="9"/>
  <c r="I21013" i="9"/>
  <c r="I21014" i="9"/>
  <c r="I21015" i="9"/>
  <c r="I21016" i="9"/>
  <c r="I21017" i="9"/>
  <c r="I21011" i="9"/>
  <c r="I21009" i="9"/>
  <c r="I21010" i="9"/>
  <c r="I21006" i="9"/>
  <c r="I21007" i="9"/>
  <c r="I21008" i="9"/>
  <c r="I20995" i="9"/>
  <c r="I20996" i="9"/>
  <c r="I20997" i="9"/>
  <c r="I20998" i="9"/>
  <c r="I20999" i="9"/>
  <c r="I21000" i="9"/>
  <c r="I21001" i="9"/>
  <c r="I21002" i="9"/>
  <c r="I21003" i="9"/>
  <c r="I21004" i="9"/>
  <c r="I21005" i="9"/>
  <c r="I20990" i="9"/>
  <c r="I20991" i="9"/>
  <c r="I20992" i="9"/>
  <c r="I20993" i="9"/>
  <c r="I20994" i="9"/>
  <c r="I20989" i="9"/>
  <c r="I20987" i="9"/>
  <c r="I20988" i="9"/>
  <c r="I20984" i="9"/>
  <c r="I20985" i="9"/>
  <c r="I20986" i="9"/>
  <c r="I20982" i="9"/>
  <c r="I20983" i="9"/>
  <c r="I20981" i="9"/>
  <c r="I20979" i="9"/>
  <c r="I20980" i="9"/>
  <c r="I20978" i="9"/>
  <c r="I20973" i="9"/>
  <c r="I20974" i="9"/>
  <c r="I20975" i="9"/>
  <c r="I20976" i="9"/>
  <c r="I20977" i="9"/>
  <c r="I20966" i="9"/>
  <c r="I20967" i="9"/>
  <c r="I20968" i="9"/>
  <c r="I20969" i="9"/>
  <c r="I20970" i="9"/>
  <c r="I20971" i="9"/>
  <c r="I20972" i="9"/>
  <c r="I20958" i="9"/>
  <c r="I20959" i="9"/>
  <c r="I20960" i="9"/>
  <c r="I20961" i="9"/>
  <c r="I20962" i="9"/>
  <c r="I20963" i="9"/>
  <c r="I20964" i="9"/>
  <c r="I20965" i="9"/>
  <c r="I20956" i="9"/>
  <c r="I20957" i="9"/>
  <c r="I20954" i="9"/>
  <c r="I20955" i="9"/>
  <c r="I20948" i="9"/>
  <c r="I20949" i="9"/>
  <c r="I20950" i="9"/>
  <c r="I20951" i="9"/>
  <c r="I20952" i="9"/>
  <c r="I20953" i="9"/>
  <c r="I20945" i="9"/>
  <c r="I20946" i="9"/>
  <c r="I20947" i="9"/>
  <c r="I20944" i="9"/>
  <c r="I20943" i="9"/>
  <c r="I20941" i="9"/>
  <c r="I20942" i="9"/>
  <c r="I20905" i="9"/>
  <c r="I20906" i="9"/>
  <c r="I20907" i="9"/>
  <c r="I20908" i="9"/>
  <c r="I20909" i="9"/>
  <c r="I20910" i="9"/>
  <c r="I20911" i="9"/>
  <c r="I20912" i="9"/>
  <c r="I20913" i="9"/>
  <c r="I20914" i="9"/>
  <c r="I20915" i="9"/>
  <c r="I20916" i="9"/>
  <c r="I20917" i="9"/>
  <c r="I20918" i="9"/>
  <c r="I20919" i="9"/>
  <c r="I20920" i="9"/>
  <c r="I20921" i="9"/>
  <c r="I20922" i="9"/>
  <c r="I20923" i="9"/>
  <c r="I20924" i="9"/>
  <c r="I20925" i="9"/>
  <c r="I20926" i="9"/>
  <c r="I20927" i="9"/>
  <c r="I20928" i="9"/>
  <c r="I20929" i="9"/>
  <c r="I20930" i="9"/>
  <c r="I20931" i="9"/>
  <c r="I20932" i="9"/>
  <c r="I20933" i="9"/>
  <c r="I20934" i="9"/>
  <c r="I20935" i="9"/>
  <c r="I20936" i="9"/>
  <c r="I20937" i="9"/>
  <c r="I20938" i="9"/>
  <c r="I20939" i="9"/>
  <c r="I20940" i="9"/>
  <c r="I20888" i="9"/>
  <c r="I20889" i="9"/>
  <c r="I20890" i="9"/>
  <c r="I20891" i="9"/>
  <c r="I20892" i="9"/>
  <c r="I20893" i="9"/>
  <c r="I20894" i="9"/>
  <c r="I20895" i="9"/>
  <c r="I20896" i="9"/>
  <c r="I20897" i="9"/>
  <c r="I20898" i="9"/>
  <c r="I20899" i="9"/>
  <c r="I20900" i="9"/>
  <c r="I20901" i="9"/>
  <c r="I20902" i="9"/>
  <c r="I20903" i="9"/>
  <c r="I20904" i="9"/>
  <c r="I20886" i="9"/>
  <c r="I20887" i="9"/>
  <c r="I20884" i="9"/>
  <c r="I20885" i="9"/>
  <c r="I20883" i="9"/>
  <c r="I20882" i="9"/>
  <c r="I20878" i="9"/>
  <c r="I20879" i="9"/>
  <c r="I20880" i="9"/>
  <c r="I20881" i="9"/>
  <c r="I20877" i="9"/>
  <c r="I20876" i="9"/>
  <c r="I20875" i="9"/>
  <c r="I20874" i="9"/>
  <c r="I20871" i="9"/>
  <c r="I20872" i="9"/>
  <c r="I20873" i="9"/>
  <c r="I20870" i="9"/>
  <c r="I20869" i="9"/>
  <c r="I20868" i="9"/>
  <c r="I20867" i="9"/>
  <c r="I20866" i="9"/>
  <c r="I20865" i="9"/>
  <c r="I20863" i="9"/>
  <c r="I20864" i="9"/>
  <c r="I20862" i="9"/>
  <c r="I20861" i="9"/>
  <c r="I20860" i="9"/>
  <c r="I20859" i="9"/>
  <c r="I20856" i="9"/>
  <c r="I20857" i="9"/>
  <c r="I20858" i="9"/>
  <c r="I20849" i="9"/>
  <c r="I20850" i="9"/>
  <c r="I20851" i="9"/>
  <c r="I20852" i="9"/>
  <c r="I20853" i="9"/>
  <c r="I20854" i="9"/>
  <c r="I20855" i="9"/>
  <c r="I20847" i="9"/>
  <c r="I20848" i="9"/>
  <c r="I20844" i="9"/>
  <c r="I20845" i="9"/>
  <c r="I20846" i="9"/>
  <c r="I20843" i="9"/>
  <c r="I20842" i="9"/>
  <c r="I20841" i="9"/>
  <c r="I20840" i="9"/>
  <c r="I20839" i="9"/>
  <c r="I20482" i="9"/>
  <c r="I20483" i="9"/>
  <c r="I20484" i="9"/>
  <c r="I20485" i="9"/>
  <c r="I20486" i="9"/>
  <c r="I20487" i="9"/>
  <c r="I20488" i="9"/>
  <c r="I20489" i="9"/>
  <c r="I20490" i="9"/>
  <c r="I20491" i="9"/>
  <c r="I20492" i="9"/>
  <c r="I20493" i="9"/>
  <c r="I20494" i="9"/>
  <c r="I20495" i="9"/>
  <c r="I20496" i="9"/>
  <c r="I20497" i="9"/>
  <c r="I20498" i="9"/>
  <c r="I20499" i="9"/>
  <c r="I20500" i="9"/>
  <c r="I20501" i="9"/>
  <c r="I20502" i="9"/>
  <c r="I20503" i="9"/>
  <c r="I20504" i="9"/>
  <c r="I20505" i="9"/>
  <c r="I20506" i="9"/>
  <c r="I20507" i="9"/>
  <c r="I20508" i="9"/>
  <c r="I20509" i="9"/>
  <c r="I20510" i="9"/>
  <c r="I20511" i="9"/>
  <c r="I20512" i="9"/>
  <c r="I20513" i="9"/>
  <c r="I20514" i="9"/>
  <c r="I20515" i="9"/>
  <c r="I20516" i="9"/>
  <c r="I20517" i="9"/>
  <c r="I20518" i="9"/>
  <c r="I20519" i="9"/>
  <c r="I20520" i="9"/>
  <c r="I20521" i="9"/>
  <c r="I20522" i="9"/>
  <c r="I20523" i="9"/>
  <c r="I20524" i="9"/>
  <c r="I20525" i="9"/>
  <c r="I20526" i="9"/>
  <c r="I20527" i="9"/>
  <c r="I20528" i="9"/>
  <c r="I20529" i="9"/>
  <c r="I20530" i="9"/>
  <c r="I20531" i="9"/>
  <c r="I20532" i="9"/>
  <c r="I20533" i="9"/>
  <c r="I20534" i="9"/>
  <c r="I20535" i="9"/>
  <c r="I20536" i="9"/>
  <c r="I20537" i="9"/>
  <c r="I20538" i="9"/>
  <c r="I20539" i="9"/>
  <c r="I20540" i="9"/>
  <c r="I20541" i="9"/>
  <c r="I20542" i="9"/>
  <c r="I20543" i="9"/>
  <c r="I20544" i="9"/>
  <c r="I20545" i="9"/>
  <c r="I20546" i="9"/>
  <c r="I20547" i="9"/>
  <c r="I20548" i="9"/>
  <c r="I20549" i="9"/>
  <c r="I20550" i="9"/>
  <c r="I20551" i="9"/>
  <c r="I20552" i="9"/>
  <c r="I20553" i="9"/>
  <c r="I20554" i="9"/>
  <c r="I20555" i="9"/>
  <c r="I20556" i="9"/>
  <c r="I20557" i="9"/>
  <c r="I20558" i="9"/>
  <c r="I20559" i="9"/>
  <c r="I20560" i="9"/>
  <c r="I20561" i="9"/>
  <c r="I20562" i="9"/>
  <c r="I20563" i="9"/>
  <c r="I20564" i="9"/>
  <c r="I20565" i="9"/>
  <c r="I20566" i="9"/>
  <c r="I20567" i="9"/>
  <c r="I20568" i="9"/>
  <c r="I20569" i="9"/>
  <c r="I20570" i="9"/>
  <c r="I20571" i="9"/>
  <c r="I20572" i="9"/>
  <c r="I20573" i="9"/>
  <c r="I20574" i="9"/>
  <c r="I20575" i="9"/>
  <c r="I20576" i="9"/>
  <c r="I20577" i="9"/>
  <c r="I20578" i="9"/>
  <c r="I20579" i="9"/>
  <c r="I20580" i="9"/>
  <c r="I20581" i="9"/>
  <c r="I20582" i="9"/>
  <c r="I20583" i="9"/>
  <c r="I20584" i="9"/>
  <c r="I20585" i="9"/>
  <c r="I20586" i="9"/>
  <c r="I20587" i="9"/>
  <c r="I20588" i="9"/>
  <c r="I20589" i="9"/>
  <c r="I20590" i="9"/>
  <c r="I20591" i="9"/>
  <c r="I20592" i="9"/>
  <c r="I20593" i="9"/>
  <c r="I20594" i="9"/>
  <c r="I20595" i="9"/>
  <c r="I20596" i="9"/>
  <c r="I20597" i="9"/>
  <c r="I20598" i="9"/>
  <c r="I20599" i="9"/>
  <c r="I20600" i="9"/>
  <c r="I20601" i="9"/>
  <c r="I20602" i="9"/>
  <c r="I20603" i="9"/>
  <c r="I20604" i="9"/>
  <c r="I20605" i="9"/>
  <c r="I20606" i="9"/>
  <c r="I20607" i="9"/>
  <c r="I20608" i="9"/>
  <c r="I20609" i="9"/>
  <c r="I20610" i="9"/>
  <c r="I20611" i="9"/>
  <c r="I20612" i="9"/>
  <c r="I20613" i="9"/>
  <c r="I20614" i="9"/>
  <c r="I20615" i="9"/>
  <c r="I20616" i="9"/>
  <c r="I20617" i="9"/>
  <c r="I20618" i="9"/>
  <c r="I20619" i="9"/>
  <c r="I20620" i="9"/>
  <c r="I20621" i="9"/>
  <c r="I20622" i="9"/>
  <c r="I20623" i="9"/>
  <c r="I20624" i="9"/>
  <c r="I20625" i="9"/>
  <c r="I20626" i="9"/>
  <c r="I20627" i="9"/>
  <c r="I20628" i="9"/>
  <c r="I20629" i="9"/>
  <c r="I20630" i="9"/>
  <c r="I20631" i="9"/>
  <c r="I20632" i="9"/>
  <c r="I20633" i="9"/>
  <c r="I20634" i="9"/>
  <c r="I20635" i="9"/>
  <c r="I20636" i="9"/>
  <c r="I20637" i="9"/>
  <c r="I20638" i="9"/>
  <c r="I20639" i="9"/>
  <c r="I20640" i="9"/>
  <c r="I20641" i="9"/>
  <c r="I20642" i="9"/>
  <c r="I20643" i="9"/>
  <c r="I20644" i="9"/>
  <c r="I20645" i="9"/>
  <c r="I20646" i="9"/>
  <c r="I20647" i="9"/>
  <c r="I20648" i="9"/>
  <c r="I20649" i="9"/>
  <c r="I20650" i="9"/>
  <c r="I20651" i="9"/>
  <c r="I20652" i="9"/>
  <c r="I20653" i="9"/>
  <c r="I20654" i="9"/>
  <c r="I20655" i="9"/>
  <c r="I20656" i="9"/>
  <c r="I20657" i="9"/>
  <c r="I20658" i="9"/>
  <c r="I20659" i="9"/>
  <c r="I20660" i="9"/>
  <c r="I20661" i="9"/>
  <c r="I20662" i="9"/>
  <c r="I20663" i="9"/>
  <c r="I20664" i="9"/>
  <c r="I20665" i="9"/>
  <c r="I20666" i="9"/>
  <c r="I20667" i="9"/>
  <c r="I20668" i="9"/>
  <c r="I20669" i="9"/>
  <c r="I20670" i="9"/>
  <c r="I20671" i="9"/>
  <c r="I20672" i="9"/>
  <c r="I20673" i="9"/>
  <c r="I20674" i="9"/>
  <c r="I20675" i="9"/>
  <c r="I20676" i="9"/>
  <c r="I20677" i="9"/>
  <c r="I20678" i="9"/>
  <c r="I20679" i="9"/>
  <c r="I20680" i="9"/>
  <c r="I20681" i="9"/>
  <c r="I20682" i="9"/>
  <c r="I20683" i="9"/>
  <c r="I20684" i="9"/>
  <c r="I20685" i="9"/>
  <c r="I20686" i="9"/>
  <c r="I20687" i="9"/>
  <c r="I20688" i="9"/>
  <c r="I20689" i="9"/>
  <c r="I20690" i="9"/>
  <c r="I20691" i="9"/>
  <c r="I20692" i="9"/>
  <c r="I20693" i="9"/>
  <c r="I20694" i="9"/>
  <c r="I20695" i="9"/>
  <c r="I20696" i="9"/>
  <c r="I20697" i="9"/>
  <c r="I20698" i="9"/>
  <c r="I20699" i="9"/>
  <c r="I20700" i="9"/>
  <c r="I20701" i="9"/>
  <c r="I20702" i="9"/>
  <c r="I20703" i="9"/>
  <c r="I20704" i="9"/>
  <c r="I20705" i="9"/>
  <c r="I20706" i="9"/>
  <c r="I20707" i="9"/>
  <c r="I20708" i="9"/>
  <c r="I20709" i="9"/>
  <c r="I20710" i="9"/>
  <c r="I20711" i="9"/>
  <c r="I20712" i="9"/>
  <c r="I20713" i="9"/>
  <c r="I20714" i="9"/>
  <c r="I20715" i="9"/>
  <c r="I20716" i="9"/>
  <c r="I20717" i="9"/>
  <c r="I20718" i="9"/>
  <c r="I20719" i="9"/>
  <c r="I20720" i="9"/>
  <c r="I20721" i="9"/>
  <c r="I20722" i="9"/>
  <c r="I20723" i="9"/>
  <c r="I20724" i="9"/>
  <c r="I20725" i="9"/>
  <c r="I20726" i="9"/>
  <c r="I20727" i="9"/>
  <c r="I20728" i="9"/>
  <c r="I20729" i="9"/>
  <c r="I20730" i="9"/>
  <c r="I20731" i="9"/>
  <c r="I20732" i="9"/>
  <c r="I20733" i="9"/>
  <c r="I20734" i="9"/>
  <c r="I20735" i="9"/>
  <c r="I20736" i="9"/>
  <c r="I20737" i="9"/>
  <c r="I20738" i="9"/>
  <c r="I20739" i="9"/>
  <c r="I20740" i="9"/>
  <c r="I20741" i="9"/>
  <c r="I20742" i="9"/>
  <c r="I20743" i="9"/>
  <c r="I20744" i="9"/>
  <c r="I20745" i="9"/>
  <c r="I20746" i="9"/>
  <c r="I20747" i="9"/>
  <c r="I20748" i="9"/>
  <c r="I20749" i="9"/>
  <c r="I20750" i="9"/>
  <c r="I20751" i="9"/>
  <c r="I20752" i="9"/>
  <c r="I20753" i="9"/>
  <c r="I20754" i="9"/>
  <c r="I20755" i="9"/>
  <c r="I20756" i="9"/>
  <c r="I20757" i="9"/>
  <c r="I20758" i="9"/>
  <c r="I20759" i="9"/>
  <c r="I20760" i="9"/>
  <c r="I20761" i="9"/>
  <c r="I20762" i="9"/>
  <c r="I20763" i="9"/>
  <c r="I20764" i="9"/>
  <c r="I20765" i="9"/>
  <c r="I20766" i="9"/>
  <c r="I20767" i="9"/>
  <c r="I20768" i="9"/>
  <c r="I20769" i="9"/>
  <c r="I20770" i="9"/>
  <c r="I20771" i="9"/>
  <c r="I20772" i="9"/>
  <c r="I20773" i="9"/>
  <c r="I20774" i="9"/>
  <c r="I20775" i="9"/>
  <c r="I20776" i="9"/>
  <c r="I20777" i="9"/>
  <c r="I20778" i="9"/>
  <c r="I20779" i="9"/>
  <c r="I20780" i="9"/>
  <c r="I20781" i="9"/>
  <c r="I20782" i="9"/>
  <c r="I20783" i="9"/>
  <c r="I20784" i="9"/>
  <c r="I20785" i="9"/>
  <c r="I20786" i="9"/>
  <c r="I20787" i="9"/>
  <c r="I20788" i="9"/>
  <c r="I20789" i="9"/>
  <c r="I20790" i="9"/>
  <c r="I20791" i="9"/>
  <c r="I20792" i="9"/>
  <c r="I20793" i="9"/>
  <c r="I20794" i="9"/>
  <c r="I20795" i="9"/>
  <c r="I20796" i="9"/>
  <c r="I20797" i="9"/>
  <c r="I20798" i="9"/>
  <c r="I20799" i="9"/>
  <c r="I20800" i="9"/>
  <c r="I20801" i="9"/>
  <c r="I20802" i="9"/>
  <c r="I20803" i="9"/>
  <c r="I20804" i="9"/>
  <c r="I20805" i="9"/>
  <c r="I20806" i="9"/>
  <c r="I20807" i="9"/>
  <c r="I20808" i="9"/>
  <c r="I20809" i="9"/>
  <c r="I20810" i="9"/>
  <c r="I20811" i="9"/>
  <c r="I20812" i="9"/>
  <c r="I20813" i="9"/>
  <c r="I20814" i="9"/>
  <c r="I20815" i="9"/>
  <c r="I20816" i="9"/>
  <c r="I20817" i="9"/>
  <c r="I20818" i="9"/>
  <c r="I20819" i="9"/>
  <c r="I20820" i="9"/>
  <c r="I20821" i="9"/>
  <c r="I20822" i="9"/>
  <c r="I20823" i="9"/>
  <c r="I20824" i="9"/>
  <c r="I20825" i="9"/>
  <c r="I20826" i="9"/>
  <c r="I20827" i="9"/>
  <c r="I20828" i="9"/>
  <c r="I20829" i="9"/>
  <c r="I20830" i="9"/>
  <c r="I20831" i="9"/>
  <c r="I20832" i="9"/>
  <c r="I20833" i="9"/>
  <c r="I20834" i="9"/>
  <c r="I20835" i="9"/>
  <c r="I20836" i="9"/>
  <c r="I20837" i="9"/>
  <c r="I20838" i="9"/>
  <c r="I20481" i="9"/>
  <c r="I20480" i="9"/>
  <c r="I20479" i="9"/>
  <c r="I20478" i="9"/>
  <c r="I20477" i="9"/>
  <c r="I20476" i="9"/>
  <c r="I20475" i="9"/>
  <c r="I20474" i="9"/>
  <c r="I20473" i="9"/>
  <c r="I20472" i="9"/>
  <c r="I20471" i="9"/>
  <c r="I20470" i="9"/>
  <c r="I20469" i="9"/>
  <c r="I20468" i="9"/>
  <c r="I20467" i="9"/>
  <c r="I20466" i="9"/>
  <c r="I20465" i="9"/>
  <c r="I20464" i="9"/>
  <c r="I20463" i="9"/>
  <c r="I20462" i="9"/>
  <c r="I20461" i="9"/>
  <c r="I20460" i="9"/>
  <c r="I20459" i="9"/>
  <c r="I20457" i="9"/>
  <c r="I20458" i="9"/>
  <c r="I20456" i="9"/>
  <c r="I20454" i="9"/>
  <c r="I20455" i="9"/>
  <c r="I20453" i="9"/>
  <c r="I20452" i="9"/>
  <c r="I20450" i="9"/>
  <c r="I20451" i="9"/>
  <c r="I20449" i="9"/>
  <c r="I20448" i="9"/>
  <c r="I20447" i="9"/>
  <c r="I20446" i="9"/>
  <c r="I20445" i="9"/>
  <c r="I20444" i="9"/>
  <c r="I20443" i="9"/>
  <c r="I20441" i="9"/>
  <c r="I20442" i="9"/>
  <c r="I20440" i="9"/>
  <c r="I20439" i="9"/>
  <c r="I20437" i="9"/>
  <c r="I20438" i="9"/>
  <c r="I20436" i="9"/>
  <c r="I20435" i="9"/>
  <c r="I20434" i="9"/>
  <c r="I20433" i="9"/>
  <c r="I20432" i="9"/>
  <c r="I20431" i="9"/>
  <c r="I20430" i="9"/>
  <c r="I20428" i="9"/>
  <c r="I20429" i="9"/>
  <c r="I20427" i="9"/>
  <c r="I20426" i="9"/>
  <c r="I20398" i="9"/>
  <c r="I20399" i="9"/>
  <c r="I20400" i="9"/>
  <c r="I20401" i="9"/>
  <c r="I20402" i="9"/>
  <c r="I20403" i="9"/>
  <c r="I20404" i="9"/>
  <c r="I20405" i="9"/>
  <c r="I20406" i="9"/>
  <c r="I20407" i="9"/>
  <c r="I20408" i="9"/>
  <c r="I20409" i="9"/>
  <c r="I20410" i="9"/>
  <c r="I20411" i="9"/>
  <c r="I20412" i="9"/>
  <c r="I20413" i="9"/>
  <c r="I20414" i="9"/>
  <c r="I20415" i="9"/>
  <c r="I20416" i="9"/>
  <c r="I20417" i="9"/>
  <c r="I20418" i="9"/>
  <c r="I20419" i="9"/>
  <c r="I20420" i="9"/>
  <c r="I20421" i="9"/>
  <c r="I20422" i="9"/>
  <c r="I20423" i="9"/>
  <c r="I20424" i="9"/>
  <c r="I20425" i="9"/>
  <c r="I20381" i="9"/>
  <c r="I20382" i="9"/>
  <c r="I20383" i="9"/>
  <c r="I20384" i="9"/>
  <c r="I20385" i="9"/>
  <c r="I20386" i="9"/>
  <c r="I20387" i="9"/>
  <c r="I20388" i="9"/>
  <c r="I20389" i="9"/>
  <c r="I20390" i="9"/>
  <c r="I20391" i="9"/>
  <c r="I20392" i="9"/>
  <c r="I20393" i="9"/>
  <c r="I20394" i="9"/>
  <c r="I20395" i="9"/>
  <c r="I20396" i="9"/>
  <c r="I20397" i="9"/>
  <c r="I20379" i="9"/>
  <c r="I20380" i="9"/>
  <c r="I20359" i="9"/>
  <c r="I20360" i="9"/>
  <c r="I20361" i="9"/>
  <c r="I20362" i="9"/>
  <c r="I20363" i="9"/>
  <c r="I20364" i="9"/>
  <c r="I20365" i="9"/>
  <c r="I20366" i="9"/>
  <c r="I20367" i="9"/>
  <c r="I20368" i="9"/>
  <c r="I20369" i="9"/>
  <c r="I20370" i="9"/>
  <c r="I20371" i="9"/>
  <c r="I20372" i="9"/>
  <c r="I20373" i="9"/>
  <c r="I20374" i="9"/>
  <c r="I20375" i="9"/>
  <c r="I20376" i="9"/>
  <c r="I20377" i="9"/>
  <c r="I20378" i="9"/>
  <c r="I20352" i="9"/>
  <c r="I20353" i="9"/>
  <c r="I20354" i="9"/>
  <c r="I20355" i="9"/>
  <c r="I20356" i="9"/>
  <c r="I20357" i="9"/>
  <c r="I20358" i="9"/>
  <c r="I20335" i="9"/>
  <c r="I20336" i="9"/>
  <c r="I20337" i="9"/>
  <c r="I20338" i="9"/>
  <c r="I20339" i="9"/>
  <c r="I20340" i="9"/>
  <c r="I20341" i="9"/>
  <c r="I20342" i="9"/>
  <c r="I20343" i="9"/>
  <c r="I20344" i="9"/>
  <c r="I20345" i="9"/>
  <c r="I20346" i="9"/>
  <c r="I20347" i="9"/>
  <c r="I20348" i="9"/>
  <c r="I20349" i="9"/>
  <c r="I20350" i="9"/>
  <c r="I20351" i="9"/>
  <c r="I20313" i="9"/>
  <c r="I20314" i="9"/>
  <c r="I20315" i="9"/>
  <c r="I20316" i="9"/>
  <c r="I20317" i="9"/>
  <c r="I20318" i="9"/>
  <c r="I20319" i="9"/>
  <c r="I20320" i="9"/>
  <c r="I20321" i="9"/>
  <c r="I20322" i="9"/>
  <c r="I20323" i="9"/>
  <c r="I20324" i="9"/>
  <c r="I20325" i="9"/>
  <c r="I20326" i="9"/>
  <c r="I20327" i="9"/>
  <c r="I20328" i="9"/>
  <c r="I20329" i="9"/>
  <c r="I20330" i="9"/>
  <c r="I20331" i="9"/>
  <c r="I20332" i="9"/>
  <c r="I20333" i="9"/>
  <c r="I20334" i="9"/>
  <c r="I20287" i="9"/>
  <c r="I20288" i="9"/>
  <c r="I20289" i="9"/>
  <c r="I20290" i="9"/>
  <c r="I20291" i="9"/>
  <c r="I20292" i="9"/>
  <c r="I20293" i="9"/>
  <c r="I20294" i="9"/>
  <c r="I20295" i="9"/>
  <c r="I20296" i="9"/>
  <c r="I20297" i="9"/>
  <c r="I20298" i="9"/>
  <c r="I20299" i="9"/>
  <c r="I20300" i="9"/>
  <c r="I20301" i="9"/>
  <c r="I20302" i="9"/>
  <c r="I20303" i="9"/>
  <c r="I20304" i="9"/>
  <c r="I20305" i="9"/>
  <c r="I20306" i="9"/>
  <c r="I20307" i="9"/>
  <c r="I20308" i="9"/>
  <c r="I20309" i="9"/>
  <c r="I20310" i="9"/>
  <c r="I20311" i="9"/>
  <c r="I20312" i="9"/>
  <c r="I20285" i="9"/>
  <c r="I20286" i="9"/>
  <c r="I20282" i="9"/>
  <c r="I20283" i="9"/>
  <c r="I20284" i="9"/>
  <c r="I20275" i="9"/>
  <c r="I20276" i="9"/>
  <c r="I20277" i="9"/>
  <c r="I20278" i="9"/>
  <c r="I20279" i="9"/>
  <c r="I20280" i="9"/>
  <c r="I20281" i="9"/>
  <c r="I20266" i="9"/>
  <c r="I20267" i="9"/>
  <c r="I20268" i="9"/>
  <c r="I20269" i="9"/>
  <c r="I20270" i="9"/>
  <c r="I20271" i="9"/>
  <c r="I20272" i="9"/>
  <c r="I20273" i="9"/>
  <c r="I20274" i="9"/>
  <c r="I20265" i="9"/>
  <c r="I20263" i="9"/>
  <c r="I20264" i="9"/>
  <c r="I20262" i="9"/>
  <c r="I20260" i="9"/>
  <c r="I20261" i="9"/>
  <c r="I20259" i="9"/>
  <c r="I20257" i="9"/>
  <c r="I20258" i="9"/>
  <c r="I20253" i="9"/>
  <c r="I20254" i="9"/>
  <c r="I20255" i="9"/>
  <c r="I20256" i="9"/>
  <c r="I20250" i="9"/>
  <c r="I20251" i="9"/>
  <c r="I20252" i="9"/>
  <c r="I20249" i="9"/>
  <c r="I20245" i="9"/>
  <c r="I20246" i="9"/>
  <c r="I20247" i="9"/>
  <c r="I20248" i="9"/>
  <c r="I20244" i="9"/>
  <c r="I20242" i="9"/>
  <c r="I20243" i="9"/>
  <c r="I20240" i="9"/>
  <c r="I20241" i="9"/>
  <c r="I20237" i="9"/>
  <c r="I20238" i="9"/>
  <c r="I20239" i="9"/>
  <c r="I20234" i="9"/>
  <c r="I20235" i="9"/>
  <c r="I20236" i="9"/>
  <c r="I20233" i="9"/>
  <c r="I20232" i="9"/>
  <c r="I20229" i="9"/>
  <c r="I20230" i="9"/>
  <c r="I20231" i="9"/>
  <c r="I20228" i="9"/>
  <c r="I20227" i="9"/>
  <c r="I20225" i="9"/>
  <c r="I20226" i="9"/>
  <c r="I20224" i="9"/>
  <c r="I20223" i="9"/>
  <c r="I20221" i="9"/>
  <c r="I20222" i="9"/>
  <c r="I20220" i="9"/>
  <c r="I20219" i="9"/>
  <c r="I20218" i="9"/>
  <c r="I20215" i="9"/>
  <c r="I20216" i="9"/>
  <c r="I20217" i="9"/>
  <c r="I20213" i="9"/>
  <c r="I20214" i="9"/>
  <c r="I20212" i="9"/>
  <c r="I20211" i="9"/>
  <c r="I20210" i="9"/>
  <c r="I20209" i="9"/>
  <c r="I20208" i="9"/>
  <c r="I20207" i="9"/>
  <c r="I20206" i="9"/>
  <c r="I20203" i="9"/>
  <c r="I20204" i="9"/>
  <c r="I20205" i="9"/>
  <c r="I20202" i="9"/>
  <c r="I20201" i="9"/>
  <c r="I20200" i="9"/>
  <c r="I20199" i="9"/>
  <c r="I20198" i="9"/>
  <c r="I20197" i="9"/>
  <c r="I20196" i="9"/>
  <c r="I20195" i="9"/>
  <c r="I20194" i="9"/>
  <c r="I20193" i="9"/>
  <c r="I20192" i="9"/>
  <c r="I20190" i="9"/>
  <c r="I20191" i="9"/>
  <c r="I20188" i="9"/>
  <c r="I20189" i="9"/>
  <c r="I20187" i="9"/>
  <c r="I20186" i="9"/>
  <c r="I20185" i="9"/>
  <c r="I20184" i="9"/>
  <c r="I20183" i="9"/>
  <c r="I20180" i="9"/>
  <c r="I20181" i="9"/>
  <c r="I20182" i="9"/>
  <c r="I20179" i="9"/>
  <c r="I20176" i="9"/>
  <c r="I20177" i="9"/>
  <c r="I20178" i="9"/>
  <c r="I20175" i="9"/>
  <c r="I20172" i="9"/>
  <c r="I20173" i="9"/>
  <c r="I20174" i="9"/>
  <c r="I20171" i="9"/>
  <c r="I20170" i="9"/>
  <c r="I20169" i="9"/>
  <c r="I20168" i="9"/>
  <c r="I20167" i="9"/>
  <c r="I20166" i="9"/>
  <c r="I20164" i="9"/>
  <c r="I20165" i="9"/>
  <c r="I20162" i="9"/>
  <c r="I20163" i="9"/>
  <c r="I20160" i="9"/>
  <c r="I20161" i="9"/>
  <c r="I20159" i="9"/>
  <c r="I20158" i="9"/>
  <c r="I20073" i="9"/>
  <c r="I20074" i="9"/>
  <c r="I20075" i="9"/>
  <c r="I20076" i="9"/>
  <c r="I20077" i="9"/>
  <c r="I20078" i="9"/>
  <c r="I20079" i="9"/>
  <c r="I20080" i="9"/>
  <c r="I20081" i="9"/>
  <c r="I20082" i="9"/>
  <c r="I20083" i="9"/>
  <c r="I20084" i="9"/>
  <c r="I20085" i="9"/>
  <c r="I20086" i="9"/>
  <c r="I20087" i="9"/>
  <c r="I20088" i="9"/>
  <c r="I20089" i="9"/>
  <c r="I20090" i="9"/>
  <c r="I20091" i="9"/>
  <c r="I20092" i="9"/>
  <c r="I20093" i="9"/>
  <c r="I20094" i="9"/>
  <c r="I20095" i="9"/>
  <c r="I20096" i="9"/>
  <c r="I20097" i="9"/>
  <c r="I20098" i="9"/>
  <c r="I20099" i="9"/>
  <c r="I20100" i="9"/>
  <c r="I20101" i="9"/>
  <c r="I20102" i="9"/>
  <c r="I20103" i="9"/>
  <c r="I20104" i="9"/>
  <c r="I20105" i="9"/>
  <c r="I20106" i="9"/>
  <c r="I20107" i="9"/>
  <c r="I20108" i="9"/>
  <c r="I20109" i="9"/>
  <c r="I20110" i="9"/>
  <c r="I20111" i="9"/>
  <c r="I20112" i="9"/>
  <c r="I20113" i="9"/>
  <c r="I20114" i="9"/>
  <c r="I20115" i="9"/>
  <c r="I20116" i="9"/>
  <c r="I20117" i="9"/>
  <c r="I20118" i="9"/>
  <c r="I20119" i="9"/>
  <c r="I20120" i="9"/>
  <c r="I20121" i="9"/>
  <c r="I20122" i="9"/>
  <c r="I20123" i="9"/>
  <c r="I20124" i="9"/>
  <c r="I20125" i="9"/>
  <c r="I20126" i="9"/>
  <c r="I20127" i="9"/>
  <c r="I20128" i="9"/>
  <c r="I20129" i="9"/>
  <c r="I20130" i="9"/>
  <c r="I20131" i="9"/>
  <c r="I20132" i="9"/>
  <c r="I20133" i="9"/>
  <c r="I20134" i="9"/>
  <c r="I20135" i="9"/>
  <c r="I20136" i="9"/>
  <c r="I20137" i="9"/>
  <c r="I20138" i="9"/>
  <c r="I20139" i="9"/>
  <c r="I20140" i="9"/>
  <c r="I20141" i="9"/>
  <c r="I20142" i="9"/>
  <c r="I20143" i="9"/>
  <c r="I20144" i="9"/>
  <c r="I20145" i="9"/>
  <c r="I20146" i="9"/>
  <c r="I20147" i="9"/>
  <c r="I20148" i="9"/>
  <c r="I20149" i="9"/>
  <c r="I20150" i="9"/>
  <c r="I20151" i="9"/>
  <c r="I20152" i="9"/>
  <c r="I20153" i="9"/>
  <c r="I20154" i="9"/>
  <c r="I20155" i="9"/>
  <c r="I20156" i="9"/>
  <c r="I20157" i="9"/>
  <c r="I20072" i="9"/>
  <c r="I20071" i="9"/>
  <c r="I20070" i="9"/>
  <c r="I20069" i="9"/>
  <c r="I20068" i="9"/>
  <c r="I20067" i="9"/>
  <c r="I20066" i="9"/>
  <c r="I20065" i="9"/>
  <c r="I20064" i="9"/>
  <c r="I20063" i="9"/>
  <c r="I20062" i="9"/>
  <c r="I20061" i="9"/>
  <c r="I20060" i="9"/>
  <c r="I20059" i="9"/>
  <c r="I20058" i="9"/>
  <c r="I20057" i="9"/>
  <c r="I20056" i="9"/>
  <c r="I20004" i="9" l="1"/>
  <c r="I20005" i="9"/>
  <c r="I20006" i="9"/>
  <c r="I20007" i="9"/>
  <c r="I20008" i="9"/>
  <c r="I20009" i="9"/>
  <c r="I20010" i="9"/>
  <c r="I20011" i="9"/>
  <c r="I20012" i="9"/>
  <c r="I20013" i="9"/>
  <c r="I20014" i="9"/>
  <c r="I20015" i="9"/>
  <c r="I20016" i="9"/>
  <c r="I20017" i="9"/>
  <c r="I20018" i="9"/>
  <c r="I20019" i="9"/>
  <c r="I20020" i="9"/>
  <c r="I20021" i="9"/>
  <c r="I20022" i="9"/>
  <c r="I20023" i="9"/>
  <c r="I20024" i="9"/>
  <c r="I20025" i="9"/>
  <c r="I20026" i="9"/>
  <c r="I20027" i="9"/>
  <c r="I20028" i="9"/>
  <c r="I20029" i="9"/>
  <c r="I20030" i="9"/>
  <c r="I20031" i="9"/>
  <c r="I20032" i="9"/>
  <c r="I20033" i="9"/>
  <c r="I20034" i="9"/>
  <c r="I20035" i="9"/>
  <c r="I20036" i="9"/>
  <c r="I20037" i="9"/>
  <c r="I20038" i="9"/>
  <c r="I20039" i="9"/>
  <c r="I20040" i="9"/>
  <c r="I20041" i="9"/>
  <c r="I20042" i="9"/>
  <c r="I20043" i="9"/>
  <c r="I20044" i="9"/>
  <c r="I20045" i="9"/>
  <c r="I20046" i="9"/>
  <c r="I20047" i="9"/>
  <c r="I20048" i="9"/>
  <c r="I20049" i="9"/>
  <c r="I20050" i="9"/>
  <c r="I20051" i="9"/>
  <c r="I20052" i="9"/>
  <c r="I20053" i="9"/>
  <c r="I20054" i="9"/>
  <c r="I20055" i="9"/>
  <c r="I19878" i="9"/>
  <c r="I19879" i="9"/>
  <c r="I19880" i="9"/>
  <c r="I19881" i="9"/>
  <c r="I19882" i="9"/>
  <c r="I19883" i="9"/>
  <c r="I19884" i="9"/>
  <c r="I19885" i="9"/>
  <c r="I19886" i="9"/>
  <c r="I19887" i="9"/>
  <c r="I19888" i="9"/>
  <c r="I19889" i="9"/>
  <c r="I19890" i="9"/>
  <c r="I19891" i="9"/>
  <c r="I19892" i="9"/>
  <c r="I19893" i="9"/>
  <c r="I19894" i="9"/>
  <c r="I19895" i="9"/>
  <c r="I19896" i="9"/>
  <c r="I19897" i="9"/>
  <c r="I19898" i="9"/>
  <c r="I19899" i="9"/>
  <c r="I19900" i="9"/>
  <c r="I19901" i="9"/>
  <c r="I19902" i="9"/>
  <c r="I19903" i="9"/>
  <c r="I19904" i="9"/>
  <c r="I19905" i="9"/>
  <c r="I19906" i="9"/>
  <c r="I19907" i="9"/>
  <c r="I19908" i="9"/>
  <c r="I19909" i="9"/>
  <c r="I19910" i="9"/>
  <c r="I19911" i="9"/>
  <c r="I19912" i="9"/>
  <c r="I19913" i="9"/>
  <c r="I19914" i="9"/>
  <c r="I19915" i="9"/>
  <c r="I19916" i="9"/>
  <c r="I19917" i="9"/>
  <c r="I19918" i="9"/>
  <c r="I19919" i="9"/>
  <c r="I19920" i="9"/>
  <c r="I19921" i="9"/>
  <c r="I19922" i="9"/>
  <c r="I19923" i="9"/>
  <c r="I19924" i="9"/>
  <c r="I19925" i="9"/>
  <c r="I19926" i="9"/>
  <c r="I19927" i="9"/>
  <c r="I19928" i="9"/>
  <c r="I19929" i="9"/>
  <c r="I19930" i="9"/>
  <c r="I19931" i="9"/>
  <c r="I19932" i="9"/>
  <c r="I19933" i="9"/>
  <c r="I19934" i="9"/>
  <c r="I19935" i="9"/>
  <c r="I19936" i="9"/>
  <c r="I19937" i="9"/>
  <c r="I19938" i="9"/>
  <c r="I19939" i="9"/>
  <c r="I19940" i="9"/>
  <c r="I19941" i="9"/>
  <c r="I19942" i="9"/>
  <c r="I19943" i="9"/>
  <c r="I19944" i="9"/>
  <c r="I19945" i="9"/>
  <c r="I19946" i="9"/>
  <c r="I19947" i="9"/>
  <c r="I19948" i="9"/>
  <c r="I19949" i="9"/>
  <c r="I19950" i="9"/>
  <c r="I19951" i="9"/>
  <c r="I19952" i="9"/>
  <c r="I19953" i="9"/>
  <c r="I19954" i="9"/>
  <c r="I19955" i="9"/>
  <c r="I19956" i="9"/>
  <c r="I19957" i="9"/>
  <c r="I19958" i="9"/>
  <c r="I19959" i="9"/>
  <c r="I19960" i="9"/>
  <c r="I19961" i="9"/>
  <c r="I19962" i="9"/>
  <c r="I19963" i="9"/>
  <c r="I19964" i="9"/>
  <c r="I19965" i="9"/>
  <c r="I19966" i="9"/>
  <c r="I19967" i="9"/>
  <c r="I19968" i="9"/>
  <c r="I19969" i="9"/>
  <c r="I19970" i="9"/>
  <c r="I19971" i="9"/>
  <c r="I19972" i="9"/>
  <c r="I19973" i="9"/>
  <c r="I19974" i="9"/>
  <c r="I19975" i="9"/>
  <c r="I19976" i="9"/>
  <c r="I19977" i="9"/>
  <c r="I19978" i="9"/>
  <c r="I19979" i="9"/>
  <c r="I19980" i="9"/>
  <c r="I19981" i="9"/>
  <c r="I19982" i="9"/>
  <c r="I19983" i="9"/>
  <c r="I19984" i="9"/>
  <c r="I19985" i="9"/>
  <c r="I19986" i="9"/>
  <c r="I19987" i="9"/>
  <c r="I19988" i="9"/>
  <c r="I19989" i="9"/>
  <c r="I19990" i="9"/>
  <c r="I19991" i="9"/>
  <c r="I19992" i="9"/>
  <c r="I19993" i="9"/>
  <c r="I19994" i="9"/>
  <c r="I19995" i="9"/>
  <c r="I19996" i="9"/>
  <c r="I19997" i="9"/>
  <c r="I19998" i="9"/>
  <c r="I19999" i="9"/>
  <c r="I20000" i="9"/>
  <c r="I20001" i="9"/>
  <c r="I20002" i="9"/>
  <c r="I20003" i="9"/>
  <c r="I19272" i="9"/>
  <c r="I19273" i="9"/>
  <c r="I19274" i="9"/>
  <c r="I19275" i="9"/>
  <c r="I19276" i="9"/>
  <c r="I19277" i="9"/>
  <c r="I19278" i="9"/>
  <c r="I19279" i="9"/>
  <c r="I19280" i="9"/>
  <c r="I19281" i="9"/>
  <c r="I19282" i="9"/>
  <c r="I19283" i="9"/>
  <c r="I19284" i="9"/>
  <c r="I19285" i="9"/>
  <c r="I19286" i="9"/>
  <c r="I19287" i="9"/>
  <c r="I19288" i="9"/>
  <c r="I19289" i="9"/>
  <c r="I19290" i="9"/>
  <c r="I19291" i="9"/>
  <c r="I19292" i="9"/>
  <c r="I19293" i="9"/>
  <c r="I19294" i="9"/>
  <c r="I19295" i="9"/>
  <c r="I19296" i="9"/>
  <c r="I19297" i="9"/>
  <c r="I19298" i="9"/>
  <c r="I19299" i="9"/>
  <c r="I19300" i="9"/>
  <c r="I19301" i="9"/>
  <c r="I19302" i="9"/>
  <c r="I19303" i="9"/>
  <c r="I19304" i="9"/>
  <c r="I19305" i="9"/>
  <c r="I19306" i="9"/>
  <c r="I19307" i="9"/>
  <c r="I19308" i="9"/>
  <c r="I19309" i="9"/>
  <c r="I19310" i="9"/>
  <c r="I19311" i="9"/>
  <c r="I19312" i="9"/>
  <c r="I19313" i="9"/>
  <c r="I19314" i="9"/>
  <c r="I19315" i="9"/>
  <c r="I19316" i="9"/>
  <c r="I19317" i="9"/>
  <c r="I19318" i="9"/>
  <c r="I19319" i="9"/>
  <c r="I19320" i="9"/>
  <c r="I19321" i="9"/>
  <c r="I19322" i="9"/>
  <c r="I19323" i="9"/>
  <c r="I19324" i="9"/>
  <c r="I19325" i="9"/>
  <c r="I19326" i="9"/>
  <c r="I19327" i="9"/>
  <c r="I19328" i="9"/>
  <c r="I19329" i="9"/>
  <c r="I19330" i="9"/>
  <c r="I19331" i="9"/>
  <c r="I19332" i="9"/>
  <c r="I19333" i="9"/>
  <c r="I19334" i="9"/>
  <c r="I19335" i="9"/>
  <c r="I19336" i="9"/>
  <c r="I19337" i="9"/>
  <c r="I19338" i="9"/>
  <c r="I19339" i="9"/>
  <c r="I19340" i="9"/>
  <c r="I19341" i="9"/>
  <c r="I19342" i="9"/>
  <c r="I19343" i="9"/>
  <c r="I19344" i="9"/>
  <c r="I19345" i="9"/>
  <c r="I19346" i="9"/>
  <c r="I19347" i="9"/>
  <c r="I19348" i="9"/>
  <c r="I19349" i="9"/>
  <c r="I19350" i="9"/>
  <c r="I19351" i="9"/>
  <c r="I19352" i="9"/>
  <c r="I19353" i="9"/>
  <c r="I19354" i="9"/>
  <c r="I19355" i="9"/>
  <c r="I19356" i="9"/>
  <c r="I19357" i="9"/>
  <c r="I19358" i="9"/>
  <c r="I19359" i="9"/>
  <c r="I19360" i="9"/>
  <c r="I19361" i="9"/>
  <c r="I19362" i="9"/>
  <c r="I19363" i="9"/>
  <c r="I19364" i="9"/>
  <c r="I19365" i="9"/>
  <c r="I19366" i="9"/>
  <c r="I19367" i="9"/>
  <c r="I19368" i="9"/>
  <c r="I19369" i="9"/>
  <c r="I19370" i="9"/>
  <c r="I19371" i="9"/>
  <c r="I19372" i="9"/>
  <c r="I19373" i="9"/>
  <c r="I19374" i="9"/>
  <c r="I19375" i="9"/>
  <c r="I19376" i="9"/>
  <c r="I19377" i="9"/>
  <c r="I19378" i="9"/>
  <c r="I19379" i="9"/>
  <c r="I19380" i="9"/>
  <c r="I19381" i="9"/>
  <c r="I19382" i="9"/>
  <c r="I19383" i="9"/>
  <c r="I19384" i="9"/>
  <c r="I19385" i="9"/>
  <c r="I19386" i="9"/>
  <c r="I19387" i="9"/>
  <c r="I19388" i="9"/>
  <c r="I19389" i="9"/>
  <c r="I19390" i="9"/>
  <c r="I19391" i="9"/>
  <c r="I19392" i="9"/>
  <c r="I19393" i="9"/>
  <c r="I19394" i="9"/>
  <c r="I19395" i="9"/>
  <c r="I19396" i="9"/>
  <c r="I19397" i="9"/>
  <c r="I19398" i="9"/>
  <c r="I19399" i="9"/>
  <c r="I19400" i="9"/>
  <c r="I19401" i="9"/>
  <c r="I19402" i="9"/>
  <c r="I19403" i="9"/>
  <c r="I19404" i="9"/>
  <c r="I19405" i="9"/>
  <c r="I19406" i="9"/>
  <c r="I19407" i="9"/>
  <c r="I19408" i="9"/>
  <c r="I19409" i="9"/>
  <c r="I19410" i="9"/>
  <c r="I19411" i="9"/>
  <c r="I19412" i="9"/>
  <c r="I19413" i="9"/>
  <c r="I19414" i="9"/>
  <c r="I19415" i="9"/>
  <c r="I19416" i="9"/>
  <c r="I19417" i="9"/>
  <c r="I19418" i="9"/>
  <c r="I19419" i="9"/>
  <c r="I19420" i="9"/>
  <c r="I19421" i="9"/>
  <c r="I19422" i="9"/>
  <c r="I19423" i="9"/>
  <c r="I19424" i="9"/>
  <c r="I19425" i="9"/>
  <c r="I19426" i="9"/>
  <c r="I19427" i="9"/>
  <c r="I19428" i="9"/>
  <c r="I19429" i="9"/>
  <c r="I19430" i="9"/>
  <c r="I19431" i="9"/>
  <c r="I19432" i="9"/>
  <c r="I19433" i="9"/>
  <c r="I19434" i="9"/>
  <c r="I19435" i="9"/>
  <c r="I19436" i="9"/>
  <c r="I19437" i="9"/>
  <c r="I19438" i="9"/>
  <c r="I19439" i="9"/>
  <c r="I19440" i="9"/>
  <c r="I19441" i="9"/>
  <c r="I19442" i="9"/>
  <c r="I19443" i="9"/>
  <c r="I19444" i="9"/>
  <c r="I19445" i="9"/>
  <c r="I19446" i="9"/>
  <c r="I19447" i="9"/>
  <c r="I19448" i="9"/>
  <c r="I19449" i="9"/>
  <c r="I19450" i="9"/>
  <c r="I19451" i="9"/>
  <c r="I19452" i="9"/>
  <c r="I19453" i="9"/>
  <c r="I19454" i="9"/>
  <c r="I19455" i="9"/>
  <c r="I19456" i="9"/>
  <c r="I19457" i="9"/>
  <c r="I19458" i="9"/>
  <c r="I19459" i="9"/>
  <c r="I19460" i="9"/>
  <c r="I19461" i="9"/>
  <c r="I19462" i="9"/>
  <c r="I19463" i="9"/>
  <c r="I19464" i="9"/>
  <c r="I19465" i="9"/>
  <c r="I19466" i="9"/>
  <c r="I19467" i="9"/>
  <c r="I19468" i="9"/>
  <c r="I19469" i="9"/>
  <c r="I19470" i="9"/>
  <c r="I19471" i="9"/>
  <c r="I19472" i="9"/>
  <c r="I19473" i="9"/>
  <c r="I19474" i="9"/>
  <c r="I19475" i="9"/>
  <c r="I19476" i="9"/>
  <c r="I19477" i="9"/>
  <c r="I19478" i="9"/>
  <c r="I19479" i="9"/>
  <c r="I19480" i="9"/>
  <c r="I19481" i="9"/>
  <c r="I19482" i="9"/>
  <c r="I19483" i="9"/>
  <c r="I19484" i="9"/>
  <c r="I19485" i="9"/>
  <c r="I19486" i="9"/>
  <c r="I19487" i="9"/>
  <c r="I19488" i="9"/>
  <c r="I19489" i="9"/>
  <c r="I19490" i="9"/>
  <c r="I19491" i="9"/>
  <c r="I19492" i="9"/>
  <c r="I19493" i="9"/>
  <c r="I19494" i="9"/>
  <c r="I19495" i="9"/>
  <c r="I19496" i="9"/>
  <c r="I19497" i="9"/>
  <c r="I19498" i="9"/>
  <c r="I19499" i="9"/>
  <c r="I19500" i="9"/>
  <c r="I19501" i="9"/>
  <c r="I19502" i="9"/>
  <c r="I19503" i="9"/>
  <c r="I19504" i="9"/>
  <c r="I19505" i="9"/>
  <c r="I19506" i="9"/>
  <c r="I19507" i="9"/>
  <c r="I19508" i="9"/>
  <c r="I19509" i="9"/>
  <c r="I19510" i="9"/>
  <c r="I19511" i="9"/>
  <c r="I19512" i="9"/>
  <c r="I19513" i="9"/>
  <c r="I19514" i="9"/>
  <c r="I19515" i="9"/>
  <c r="I19516" i="9"/>
  <c r="I19517" i="9"/>
  <c r="I19518" i="9"/>
  <c r="I19519" i="9"/>
  <c r="I19520" i="9"/>
  <c r="I19521" i="9"/>
  <c r="I19522" i="9"/>
  <c r="I19523" i="9"/>
  <c r="I19524" i="9"/>
  <c r="I19525" i="9"/>
  <c r="I19526" i="9"/>
  <c r="I19527" i="9"/>
  <c r="I19528" i="9"/>
  <c r="I19529" i="9"/>
  <c r="I19530" i="9"/>
  <c r="I19531" i="9"/>
  <c r="I19532" i="9"/>
  <c r="I19533" i="9"/>
  <c r="I19534" i="9"/>
  <c r="I19535" i="9"/>
  <c r="I19536" i="9"/>
  <c r="I19537" i="9"/>
  <c r="I19538" i="9"/>
  <c r="I19539" i="9"/>
  <c r="I19540" i="9"/>
  <c r="I19541" i="9"/>
  <c r="I19542" i="9"/>
  <c r="I19543" i="9"/>
  <c r="I19544" i="9"/>
  <c r="I19545" i="9"/>
  <c r="I19546" i="9"/>
  <c r="I19547" i="9"/>
  <c r="I19548" i="9"/>
  <c r="I19549" i="9"/>
  <c r="I19550" i="9"/>
  <c r="I19551" i="9"/>
  <c r="I19552" i="9"/>
  <c r="I19553" i="9"/>
  <c r="I19554" i="9"/>
  <c r="I19555" i="9"/>
  <c r="I19556" i="9"/>
  <c r="I19557" i="9"/>
  <c r="I19558" i="9"/>
  <c r="I19559" i="9"/>
  <c r="I19560" i="9"/>
  <c r="I19561" i="9"/>
  <c r="I19562" i="9"/>
  <c r="I19563" i="9"/>
  <c r="I19564" i="9"/>
  <c r="I19565" i="9"/>
  <c r="I19566" i="9"/>
  <c r="I19567" i="9"/>
  <c r="I19568" i="9"/>
  <c r="I19569" i="9"/>
  <c r="I19570" i="9"/>
  <c r="I19571" i="9"/>
  <c r="I19572" i="9"/>
  <c r="I19573" i="9"/>
  <c r="I19574" i="9"/>
  <c r="I19575" i="9"/>
  <c r="I19576" i="9"/>
  <c r="I19577" i="9"/>
  <c r="I19578" i="9"/>
  <c r="I19579" i="9"/>
  <c r="I19580" i="9"/>
  <c r="I19581" i="9"/>
  <c r="I19582" i="9"/>
  <c r="I19583" i="9"/>
  <c r="I19584" i="9"/>
  <c r="I19585" i="9"/>
  <c r="I19586" i="9"/>
  <c r="I19587" i="9"/>
  <c r="I19588" i="9"/>
  <c r="I19589" i="9"/>
  <c r="I19590" i="9"/>
  <c r="I19591" i="9"/>
  <c r="I19592" i="9"/>
  <c r="I19593" i="9"/>
  <c r="I19594" i="9"/>
  <c r="I19595" i="9"/>
  <c r="I19596" i="9"/>
  <c r="I19597" i="9"/>
  <c r="I19598" i="9"/>
  <c r="I19599" i="9"/>
  <c r="I19600" i="9"/>
  <c r="I19601" i="9"/>
  <c r="I19602" i="9"/>
  <c r="I19603" i="9"/>
  <c r="I19604" i="9"/>
  <c r="I19605" i="9"/>
  <c r="I19606" i="9"/>
  <c r="I19607" i="9"/>
  <c r="I19608" i="9"/>
  <c r="I19609" i="9"/>
  <c r="I19610" i="9"/>
  <c r="I19611" i="9"/>
  <c r="I19612" i="9"/>
  <c r="I19613" i="9"/>
  <c r="I19614" i="9"/>
  <c r="I19615" i="9"/>
  <c r="I19616" i="9"/>
  <c r="I19617" i="9"/>
  <c r="I19618" i="9"/>
  <c r="I19619" i="9"/>
  <c r="I19620" i="9"/>
  <c r="I19621" i="9"/>
  <c r="I19622" i="9"/>
  <c r="I19623" i="9"/>
  <c r="I19624" i="9"/>
  <c r="I19625" i="9"/>
  <c r="I19626" i="9"/>
  <c r="I19627" i="9"/>
  <c r="I19628" i="9"/>
  <c r="I19629" i="9"/>
  <c r="I19630" i="9"/>
  <c r="I19631" i="9"/>
  <c r="I19632" i="9"/>
  <c r="I19633" i="9"/>
  <c r="I19634" i="9"/>
  <c r="I19635" i="9"/>
  <c r="I19636" i="9"/>
  <c r="I19637" i="9"/>
  <c r="I19638" i="9"/>
  <c r="I19639" i="9"/>
  <c r="I19640" i="9"/>
  <c r="I19641" i="9"/>
  <c r="I19642" i="9"/>
  <c r="I19643" i="9"/>
  <c r="I19644" i="9"/>
  <c r="I19645" i="9"/>
  <c r="I19646" i="9"/>
  <c r="I19647" i="9"/>
  <c r="I19648" i="9"/>
  <c r="I19649" i="9"/>
  <c r="I19650" i="9"/>
  <c r="I19651" i="9"/>
  <c r="I19652" i="9"/>
  <c r="I19653" i="9"/>
  <c r="I19654" i="9"/>
  <c r="I19655" i="9"/>
  <c r="I19656" i="9"/>
  <c r="I19657" i="9"/>
  <c r="I19658" i="9"/>
  <c r="I19659" i="9"/>
  <c r="I19660" i="9"/>
  <c r="I19661" i="9"/>
  <c r="I19662" i="9"/>
  <c r="I19663" i="9"/>
  <c r="I19664" i="9"/>
  <c r="I19665" i="9"/>
  <c r="I19666" i="9"/>
  <c r="I19667" i="9"/>
  <c r="I19668" i="9"/>
  <c r="I19669" i="9"/>
  <c r="I19670" i="9"/>
  <c r="I19671" i="9"/>
  <c r="I19672" i="9"/>
  <c r="I19673" i="9"/>
  <c r="I19674" i="9"/>
  <c r="I19675" i="9"/>
  <c r="I19676" i="9"/>
  <c r="I19677" i="9"/>
  <c r="I19678" i="9"/>
  <c r="I19679" i="9"/>
  <c r="I19680" i="9"/>
  <c r="I19681" i="9"/>
  <c r="I19682" i="9"/>
  <c r="I19683" i="9"/>
  <c r="I19684" i="9"/>
  <c r="I19685" i="9"/>
  <c r="I19686" i="9"/>
  <c r="I19687" i="9"/>
  <c r="I19688" i="9"/>
  <c r="I19689" i="9"/>
  <c r="I19690" i="9"/>
  <c r="I19691" i="9"/>
  <c r="I19692" i="9"/>
  <c r="I19693" i="9"/>
  <c r="I19694" i="9"/>
  <c r="I19695" i="9"/>
  <c r="I19696" i="9"/>
  <c r="I19697" i="9"/>
  <c r="I19698" i="9"/>
  <c r="I19699" i="9"/>
  <c r="I19700" i="9"/>
  <c r="I19701" i="9"/>
  <c r="I19702" i="9"/>
  <c r="I19703" i="9"/>
  <c r="I19704" i="9"/>
  <c r="I19705" i="9"/>
  <c r="I19706" i="9"/>
  <c r="I19707" i="9"/>
  <c r="I19708" i="9"/>
  <c r="I19709" i="9"/>
  <c r="I19710" i="9"/>
  <c r="I19711" i="9"/>
  <c r="I19712" i="9"/>
  <c r="I19713" i="9"/>
  <c r="I19714" i="9"/>
  <c r="I19715" i="9"/>
  <c r="I19716" i="9"/>
  <c r="I19717" i="9"/>
  <c r="I19718" i="9"/>
  <c r="I19719" i="9"/>
  <c r="I19720" i="9"/>
  <c r="I19721" i="9"/>
  <c r="I19722" i="9"/>
  <c r="I19723" i="9"/>
  <c r="I19724" i="9"/>
  <c r="I19725" i="9"/>
  <c r="I19726" i="9"/>
  <c r="I19727" i="9"/>
  <c r="I19728" i="9"/>
  <c r="I19729" i="9"/>
  <c r="I19730" i="9"/>
  <c r="I19731" i="9"/>
  <c r="I19732" i="9"/>
  <c r="I19733" i="9"/>
  <c r="I19734" i="9"/>
  <c r="I19735" i="9"/>
  <c r="I19736" i="9"/>
  <c r="I19737" i="9"/>
  <c r="I19738" i="9"/>
  <c r="I19739" i="9"/>
  <c r="I19740" i="9"/>
  <c r="I19741" i="9"/>
  <c r="I19742" i="9"/>
  <c r="I19743" i="9"/>
  <c r="I19744" i="9"/>
  <c r="I19745" i="9"/>
  <c r="I19746" i="9"/>
  <c r="I19747" i="9"/>
  <c r="I19748" i="9"/>
  <c r="I19749" i="9"/>
  <c r="I19750" i="9"/>
  <c r="I19751" i="9"/>
  <c r="I19752" i="9"/>
  <c r="I19753" i="9"/>
  <c r="I19754" i="9"/>
  <c r="I19755" i="9"/>
  <c r="I19756" i="9"/>
  <c r="I19757" i="9"/>
  <c r="I19758" i="9"/>
  <c r="I19759" i="9"/>
  <c r="I19760" i="9"/>
  <c r="I19761" i="9"/>
  <c r="I19762" i="9"/>
  <c r="I19763" i="9"/>
  <c r="I19764" i="9"/>
  <c r="I19765" i="9"/>
  <c r="I19766" i="9"/>
  <c r="I19767" i="9"/>
  <c r="I19768" i="9"/>
  <c r="I19769" i="9"/>
  <c r="I19770" i="9"/>
  <c r="I19771" i="9"/>
  <c r="I19772" i="9"/>
  <c r="I19773" i="9"/>
  <c r="I19774" i="9"/>
  <c r="I19775" i="9"/>
  <c r="I19776" i="9"/>
  <c r="I19777" i="9"/>
  <c r="I19778" i="9"/>
  <c r="I19779" i="9"/>
  <c r="I19780" i="9"/>
  <c r="I19781" i="9"/>
  <c r="I19782" i="9"/>
  <c r="I19783" i="9"/>
  <c r="I19784" i="9"/>
  <c r="I19785" i="9"/>
  <c r="I19786" i="9"/>
  <c r="I19787" i="9"/>
  <c r="I19788" i="9"/>
  <c r="I19789" i="9"/>
  <c r="I19790" i="9"/>
  <c r="I19791" i="9"/>
  <c r="I19792" i="9"/>
  <c r="I19793" i="9"/>
  <c r="I19794" i="9"/>
  <c r="I19795" i="9"/>
  <c r="I19796" i="9"/>
  <c r="I19797" i="9"/>
  <c r="I19798" i="9"/>
  <c r="I19799" i="9"/>
  <c r="I19800" i="9"/>
  <c r="I19801" i="9"/>
  <c r="I19802" i="9"/>
  <c r="I19803" i="9"/>
  <c r="I19804" i="9"/>
  <c r="I19805" i="9"/>
  <c r="I19806" i="9"/>
  <c r="I19807" i="9"/>
  <c r="I19808" i="9"/>
  <c r="I19809" i="9"/>
  <c r="I19810" i="9"/>
  <c r="I19811" i="9"/>
  <c r="I19812" i="9"/>
  <c r="I19813" i="9"/>
  <c r="I19814" i="9"/>
  <c r="I19815" i="9"/>
  <c r="I19816" i="9"/>
  <c r="I19817" i="9"/>
  <c r="I19818" i="9"/>
  <c r="I19819" i="9"/>
  <c r="I19820" i="9"/>
  <c r="I19821" i="9"/>
  <c r="I19822" i="9"/>
  <c r="I19823" i="9"/>
  <c r="I19824" i="9"/>
  <c r="I19825" i="9"/>
  <c r="I19826" i="9"/>
  <c r="I19827" i="9"/>
  <c r="I19828" i="9"/>
  <c r="I19829" i="9"/>
  <c r="I19830" i="9"/>
  <c r="I19831" i="9"/>
  <c r="I19832" i="9"/>
  <c r="I19833" i="9"/>
  <c r="I19834" i="9"/>
  <c r="I19835" i="9"/>
  <c r="I19836" i="9"/>
  <c r="I19837" i="9"/>
  <c r="I19838" i="9"/>
  <c r="I19839" i="9"/>
  <c r="I19840" i="9"/>
  <c r="I19841" i="9"/>
  <c r="I19842" i="9"/>
  <c r="I19843" i="9"/>
  <c r="I19844" i="9"/>
  <c r="I19845" i="9"/>
  <c r="I19846" i="9"/>
  <c r="I19847" i="9"/>
  <c r="I19848" i="9"/>
  <c r="I19849" i="9"/>
  <c r="I19850" i="9"/>
  <c r="I19851" i="9"/>
  <c r="I19852" i="9"/>
  <c r="I19853" i="9"/>
  <c r="I19854" i="9"/>
  <c r="I19855" i="9"/>
  <c r="I19856" i="9"/>
  <c r="I19857" i="9"/>
  <c r="I19858" i="9"/>
  <c r="I19859" i="9"/>
  <c r="I19860" i="9"/>
  <c r="I19861" i="9"/>
  <c r="I19862" i="9"/>
  <c r="I19863" i="9"/>
  <c r="I19864" i="9"/>
  <c r="I19865" i="9"/>
  <c r="I19866" i="9"/>
  <c r="I19867" i="9"/>
  <c r="I19868" i="9"/>
  <c r="I19869" i="9"/>
  <c r="I19870" i="9"/>
  <c r="I19871" i="9"/>
  <c r="I19872" i="9"/>
  <c r="I19873" i="9"/>
  <c r="I19874" i="9"/>
  <c r="I19875" i="9"/>
  <c r="I19876" i="9"/>
  <c r="I19877" i="9"/>
  <c r="I19271" i="9"/>
  <c r="I19270" i="9"/>
  <c r="I19269" i="9"/>
  <c r="I19268" i="9"/>
  <c r="I19267" i="9"/>
  <c r="I19266" i="9"/>
  <c r="I19265" i="9"/>
  <c r="I19264" i="9"/>
  <c r="I19263" i="9"/>
  <c r="I19262" i="9"/>
  <c r="I19260" i="9"/>
  <c r="I19261" i="9"/>
  <c r="I19259" i="9"/>
  <c r="I19258" i="9"/>
  <c r="I19257" i="9"/>
  <c r="I19254" i="9"/>
  <c r="I19255" i="9"/>
  <c r="I19256" i="9"/>
  <c r="I19253" i="9"/>
  <c r="I19252" i="9"/>
  <c r="I19250" i="9"/>
  <c r="I19251" i="9"/>
  <c r="I19249" i="9"/>
  <c r="I19248" i="9"/>
  <c r="I19247" i="9"/>
  <c r="A1977" i="4" l="1"/>
  <c r="C1977" i="4"/>
  <c r="E1977" i="4"/>
  <c r="F1977" i="4"/>
  <c r="A1976" i="4"/>
  <c r="C1976" i="4"/>
  <c r="E1976" i="4"/>
  <c r="F1976" i="4"/>
  <c r="A1975" i="4"/>
  <c r="A1974" i="4"/>
  <c r="A1973" i="4"/>
  <c r="A1972" i="4"/>
  <c r="A1971" i="4"/>
  <c r="A1970" i="4"/>
  <c r="A1969" i="4"/>
  <c r="A1968" i="4"/>
  <c r="C1972" i="4"/>
  <c r="C1973" i="4"/>
  <c r="C1974" i="4"/>
  <c r="C1975" i="4"/>
  <c r="E1972" i="4"/>
  <c r="E1973" i="4"/>
  <c r="E1974" i="4"/>
  <c r="E1975" i="4"/>
  <c r="F1972" i="4"/>
  <c r="F1973" i="4"/>
  <c r="F1974" i="4"/>
  <c r="F1975" i="4"/>
  <c r="C1970" i="4"/>
  <c r="C1971" i="4"/>
  <c r="E1970" i="4"/>
  <c r="E1971" i="4"/>
  <c r="F1970" i="4"/>
  <c r="F1971" i="4"/>
  <c r="C1969" i="4"/>
  <c r="E1969" i="4"/>
  <c r="F1969" i="4"/>
  <c r="C1968" i="4"/>
  <c r="E1968" i="4"/>
  <c r="F1968" i="4"/>
  <c r="I18937" i="9"/>
  <c r="I18938" i="9"/>
  <c r="I18939" i="9"/>
  <c r="I18940" i="9"/>
  <c r="I18941" i="9"/>
  <c r="I18942" i="9"/>
  <c r="I18943" i="9"/>
  <c r="I18944" i="9"/>
  <c r="I18945" i="9"/>
  <c r="I18946" i="9"/>
  <c r="I18947" i="9"/>
  <c r="I18948" i="9"/>
  <c r="I18949" i="9"/>
  <c r="I18950" i="9"/>
  <c r="I18951" i="9"/>
  <c r="I18952" i="9"/>
  <c r="I18953" i="9"/>
  <c r="I18954" i="9"/>
  <c r="I18955" i="9"/>
  <c r="I18956" i="9"/>
  <c r="I18957" i="9"/>
  <c r="I18958" i="9"/>
  <c r="I18959" i="9"/>
  <c r="I18960" i="9"/>
  <c r="I18961" i="9"/>
  <c r="I18962" i="9"/>
  <c r="I18963" i="9"/>
  <c r="I18964" i="9"/>
  <c r="I18965" i="9"/>
  <c r="I18966" i="9"/>
  <c r="I18967" i="9"/>
  <c r="I18968" i="9"/>
  <c r="I18969" i="9"/>
  <c r="I18970" i="9"/>
  <c r="I18971" i="9"/>
  <c r="I18972" i="9"/>
  <c r="I18973" i="9"/>
  <c r="I18974" i="9"/>
  <c r="I18975" i="9"/>
  <c r="I18976" i="9"/>
  <c r="I18977" i="9"/>
  <c r="I18978" i="9"/>
  <c r="I18979" i="9"/>
  <c r="I18980" i="9"/>
  <c r="I18981" i="9"/>
  <c r="I18982" i="9"/>
  <c r="I18983" i="9"/>
  <c r="I18984" i="9"/>
  <c r="I18985" i="9"/>
  <c r="I18986" i="9"/>
  <c r="I18987" i="9"/>
  <c r="I18988" i="9"/>
  <c r="I18989" i="9"/>
  <c r="I18990" i="9"/>
  <c r="I18991" i="9"/>
  <c r="I18992" i="9"/>
  <c r="I18993" i="9"/>
  <c r="I18994" i="9"/>
  <c r="I18995" i="9"/>
  <c r="I18996" i="9"/>
  <c r="I18997" i="9"/>
  <c r="I18998" i="9"/>
  <c r="I18999" i="9"/>
  <c r="I19000" i="9"/>
  <c r="I19001" i="9"/>
  <c r="I19002" i="9"/>
  <c r="I19003" i="9"/>
  <c r="I19004" i="9"/>
  <c r="I19005" i="9"/>
  <c r="I19006" i="9"/>
  <c r="I19007" i="9"/>
  <c r="I19008" i="9"/>
  <c r="I19009" i="9"/>
  <c r="I19010" i="9"/>
  <c r="I19011" i="9"/>
  <c r="I19012" i="9"/>
  <c r="I19013" i="9"/>
  <c r="I19014" i="9"/>
  <c r="I19015" i="9"/>
  <c r="I19016" i="9"/>
  <c r="I19017" i="9"/>
  <c r="I19018" i="9"/>
  <c r="I19019" i="9"/>
  <c r="I19020" i="9"/>
  <c r="I19021" i="9"/>
  <c r="I19022" i="9"/>
  <c r="I19023" i="9"/>
  <c r="I19024" i="9"/>
  <c r="I19025" i="9"/>
  <c r="I19026" i="9"/>
  <c r="I19027" i="9"/>
  <c r="I19028" i="9"/>
  <c r="I19029" i="9"/>
  <c r="I19030" i="9"/>
  <c r="I19031" i="9"/>
  <c r="I19032" i="9"/>
  <c r="I19033" i="9"/>
  <c r="I19034" i="9"/>
  <c r="I19035" i="9"/>
  <c r="I19036" i="9"/>
  <c r="I19037" i="9"/>
  <c r="I19038" i="9"/>
  <c r="I19039" i="9"/>
  <c r="I19040" i="9"/>
  <c r="I19041" i="9"/>
  <c r="I19042" i="9"/>
  <c r="I19043" i="9"/>
  <c r="I19044" i="9"/>
  <c r="I19045" i="9"/>
  <c r="I19046" i="9"/>
  <c r="I19047" i="9"/>
  <c r="I19048" i="9"/>
  <c r="I19049" i="9"/>
  <c r="I19050" i="9"/>
  <c r="I19051" i="9"/>
  <c r="I19052" i="9"/>
  <c r="I19053" i="9"/>
  <c r="I19054" i="9"/>
  <c r="I19055" i="9"/>
  <c r="I19056" i="9"/>
  <c r="I19057" i="9"/>
  <c r="I19058" i="9"/>
  <c r="I19059" i="9"/>
  <c r="I19060" i="9"/>
  <c r="I19061" i="9"/>
  <c r="I19062" i="9"/>
  <c r="I19063" i="9"/>
  <c r="I19064" i="9"/>
  <c r="I19065" i="9"/>
  <c r="I19066" i="9"/>
  <c r="I19067" i="9"/>
  <c r="I19068" i="9"/>
  <c r="I19069" i="9"/>
  <c r="I19070" i="9"/>
  <c r="I19071" i="9"/>
  <c r="I19072" i="9"/>
  <c r="I19073" i="9"/>
  <c r="I19074" i="9"/>
  <c r="I19075" i="9"/>
  <c r="I19076" i="9"/>
  <c r="I19077" i="9"/>
  <c r="I19078" i="9"/>
  <c r="I19079" i="9"/>
  <c r="I19080" i="9"/>
  <c r="I19081" i="9"/>
  <c r="I19082" i="9"/>
  <c r="I19083" i="9"/>
  <c r="I19084" i="9"/>
  <c r="I19085" i="9"/>
  <c r="I19086" i="9"/>
  <c r="I19087" i="9"/>
  <c r="I19088" i="9"/>
  <c r="I19089" i="9"/>
  <c r="I19090" i="9"/>
  <c r="I19091" i="9"/>
  <c r="I19092" i="9"/>
  <c r="I19093" i="9"/>
  <c r="I19094" i="9"/>
  <c r="I19095" i="9"/>
  <c r="I19096" i="9"/>
  <c r="I19097" i="9"/>
  <c r="I19098" i="9"/>
  <c r="I19099" i="9"/>
  <c r="I19100" i="9"/>
  <c r="I19101" i="9"/>
  <c r="I19102" i="9"/>
  <c r="I19103" i="9"/>
  <c r="I19104" i="9"/>
  <c r="I19105" i="9"/>
  <c r="I19106" i="9"/>
  <c r="I19107" i="9"/>
  <c r="I19108" i="9"/>
  <c r="I19109" i="9"/>
  <c r="I19110" i="9"/>
  <c r="I19111" i="9"/>
  <c r="I19112" i="9"/>
  <c r="I19113" i="9"/>
  <c r="I19114" i="9"/>
  <c r="I19115" i="9"/>
  <c r="I19116" i="9"/>
  <c r="I19117" i="9"/>
  <c r="I19118" i="9"/>
  <c r="I19119" i="9"/>
  <c r="I19120" i="9"/>
  <c r="I19121" i="9"/>
  <c r="I19122" i="9"/>
  <c r="I19123" i="9"/>
  <c r="I19124" i="9"/>
  <c r="I19125" i="9"/>
  <c r="I19126" i="9"/>
  <c r="I19127" i="9"/>
  <c r="I19128" i="9"/>
  <c r="I19129" i="9"/>
  <c r="I19130" i="9"/>
  <c r="I19131" i="9"/>
  <c r="I19132" i="9"/>
  <c r="I19133" i="9"/>
  <c r="I19134" i="9"/>
  <c r="I19135" i="9"/>
  <c r="I19136" i="9"/>
  <c r="I19137" i="9"/>
  <c r="I19138" i="9"/>
  <c r="I19139" i="9"/>
  <c r="I19140" i="9"/>
  <c r="I19141" i="9"/>
  <c r="I19142" i="9"/>
  <c r="I19143" i="9"/>
  <c r="I19144" i="9"/>
  <c r="I19145" i="9"/>
  <c r="I19146" i="9"/>
  <c r="I19147" i="9"/>
  <c r="I19148" i="9"/>
  <c r="I19149" i="9"/>
  <c r="I19150" i="9"/>
  <c r="I19151" i="9"/>
  <c r="I19152" i="9"/>
  <c r="I19153" i="9"/>
  <c r="I19154" i="9"/>
  <c r="I19155" i="9"/>
  <c r="I19156" i="9"/>
  <c r="I19157" i="9"/>
  <c r="I19158" i="9"/>
  <c r="I19159" i="9"/>
  <c r="I19160" i="9"/>
  <c r="I19161" i="9"/>
  <c r="I19162" i="9"/>
  <c r="I19163" i="9"/>
  <c r="I19164" i="9"/>
  <c r="I19165" i="9"/>
  <c r="I19166" i="9"/>
  <c r="I19167" i="9"/>
  <c r="I19168" i="9"/>
  <c r="I19169" i="9"/>
  <c r="I19170" i="9"/>
  <c r="I19171" i="9"/>
  <c r="I19172" i="9"/>
  <c r="I19173" i="9"/>
  <c r="I19174" i="9"/>
  <c r="I19175" i="9"/>
  <c r="I19176" i="9"/>
  <c r="I19177" i="9"/>
  <c r="I19178" i="9"/>
  <c r="I19179" i="9"/>
  <c r="I19180" i="9"/>
  <c r="I19181" i="9"/>
  <c r="I19182" i="9"/>
  <c r="I19183" i="9"/>
  <c r="I19184" i="9"/>
  <c r="I19185" i="9"/>
  <c r="I19186" i="9"/>
  <c r="I19187" i="9"/>
  <c r="I19188" i="9"/>
  <c r="I19189" i="9"/>
  <c r="I19190" i="9"/>
  <c r="I19191" i="9"/>
  <c r="I19192" i="9"/>
  <c r="I19193" i="9"/>
  <c r="I19194" i="9"/>
  <c r="I19195" i="9"/>
  <c r="I19196" i="9"/>
  <c r="I19197" i="9"/>
  <c r="I19198" i="9"/>
  <c r="I19199" i="9"/>
  <c r="I19200" i="9"/>
  <c r="I19201" i="9"/>
  <c r="I19202" i="9"/>
  <c r="I19203" i="9"/>
  <c r="I19204" i="9"/>
  <c r="I19205" i="9"/>
  <c r="I19206" i="9"/>
  <c r="I19207" i="9"/>
  <c r="I19208" i="9"/>
  <c r="I19209" i="9"/>
  <c r="I19210" i="9"/>
  <c r="I19211" i="9"/>
  <c r="I19212" i="9"/>
  <c r="I19213" i="9"/>
  <c r="I19214" i="9"/>
  <c r="I19215" i="9"/>
  <c r="I19216" i="9"/>
  <c r="I19217" i="9"/>
  <c r="I19218" i="9"/>
  <c r="I19219" i="9"/>
  <c r="I19220" i="9"/>
  <c r="I19221" i="9"/>
  <c r="I19222" i="9"/>
  <c r="I19223" i="9"/>
  <c r="I19224" i="9"/>
  <c r="I19225" i="9"/>
  <c r="I19226" i="9"/>
  <c r="I19227" i="9"/>
  <c r="I19228" i="9"/>
  <c r="I19229" i="9"/>
  <c r="I19230" i="9"/>
  <c r="I19231" i="9"/>
  <c r="I19232" i="9"/>
  <c r="I19233" i="9"/>
  <c r="I19234" i="9"/>
  <c r="I19235" i="9"/>
  <c r="I19236" i="9"/>
  <c r="I19237" i="9"/>
  <c r="I19238" i="9"/>
  <c r="I19239" i="9"/>
  <c r="I19240" i="9"/>
  <c r="I19241" i="9"/>
  <c r="I19242" i="9"/>
  <c r="I19243" i="9"/>
  <c r="I19244" i="9"/>
  <c r="I19245" i="9"/>
  <c r="I19246" i="9"/>
  <c r="I18468" i="9"/>
  <c r="I18469" i="9"/>
  <c r="I18470" i="9"/>
  <c r="I18471" i="9"/>
  <c r="I18472" i="9"/>
  <c r="I18473" i="9"/>
  <c r="I18474" i="9"/>
  <c r="I18475" i="9"/>
  <c r="I18476" i="9"/>
  <c r="I18477" i="9"/>
  <c r="I18478" i="9"/>
  <c r="I18479" i="9"/>
  <c r="I18480" i="9"/>
  <c r="I18481" i="9"/>
  <c r="I18482" i="9"/>
  <c r="I18483" i="9"/>
  <c r="I18484" i="9"/>
  <c r="I18485" i="9"/>
  <c r="I18486" i="9"/>
  <c r="I18487" i="9"/>
  <c r="I18488" i="9"/>
  <c r="I18489" i="9"/>
  <c r="I18490" i="9"/>
  <c r="I18491" i="9"/>
  <c r="I18492" i="9"/>
  <c r="I18493" i="9"/>
  <c r="I18494" i="9"/>
  <c r="I18495" i="9"/>
  <c r="I18496" i="9"/>
  <c r="I18497" i="9"/>
  <c r="I18498" i="9"/>
  <c r="I18499" i="9"/>
  <c r="I18500" i="9"/>
  <c r="I18501" i="9"/>
  <c r="I18502" i="9"/>
  <c r="I18503" i="9"/>
  <c r="I18504" i="9"/>
  <c r="I18505" i="9"/>
  <c r="I18506" i="9"/>
  <c r="I18507" i="9"/>
  <c r="I18508" i="9"/>
  <c r="I18509" i="9"/>
  <c r="I18510" i="9"/>
  <c r="I18511" i="9"/>
  <c r="I18512" i="9"/>
  <c r="I18513" i="9"/>
  <c r="I18514" i="9"/>
  <c r="I18515" i="9"/>
  <c r="I18516" i="9"/>
  <c r="I18517" i="9"/>
  <c r="I18518" i="9"/>
  <c r="I18519" i="9"/>
  <c r="I18520" i="9"/>
  <c r="I18521" i="9"/>
  <c r="I18522" i="9"/>
  <c r="I18523" i="9"/>
  <c r="I18524" i="9"/>
  <c r="I18525" i="9"/>
  <c r="I18526" i="9"/>
  <c r="I18527" i="9"/>
  <c r="I18528" i="9"/>
  <c r="I18529" i="9"/>
  <c r="I18530" i="9"/>
  <c r="I18531" i="9"/>
  <c r="I18532" i="9"/>
  <c r="I18533" i="9"/>
  <c r="I18534" i="9"/>
  <c r="I18535" i="9"/>
  <c r="I18536" i="9"/>
  <c r="I18537" i="9"/>
  <c r="I18538" i="9"/>
  <c r="I18539" i="9"/>
  <c r="I18540" i="9"/>
  <c r="I18541" i="9"/>
  <c r="I18542" i="9"/>
  <c r="I18543" i="9"/>
  <c r="I18544" i="9"/>
  <c r="I18545" i="9"/>
  <c r="I18546" i="9"/>
  <c r="I18547" i="9"/>
  <c r="I18548" i="9"/>
  <c r="I18549" i="9"/>
  <c r="I18550" i="9"/>
  <c r="I18551" i="9"/>
  <c r="I18552" i="9"/>
  <c r="I18553" i="9"/>
  <c r="I18554" i="9"/>
  <c r="I18555" i="9"/>
  <c r="I18556" i="9"/>
  <c r="I18557" i="9"/>
  <c r="I18558" i="9"/>
  <c r="I18559" i="9"/>
  <c r="I18560" i="9"/>
  <c r="I18561" i="9"/>
  <c r="I18562" i="9"/>
  <c r="I18563" i="9"/>
  <c r="I18564" i="9"/>
  <c r="I18565" i="9"/>
  <c r="I18566" i="9"/>
  <c r="I18567" i="9"/>
  <c r="I18568" i="9"/>
  <c r="I18569" i="9"/>
  <c r="I18570" i="9"/>
  <c r="I18571" i="9"/>
  <c r="I18572" i="9"/>
  <c r="I18573" i="9"/>
  <c r="I18574" i="9"/>
  <c r="I18575" i="9"/>
  <c r="I18576" i="9"/>
  <c r="I18577" i="9"/>
  <c r="I18578" i="9"/>
  <c r="I18579" i="9"/>
  <c r="I18580" i="9"/>
  <c r="I18581" i="9"/>
  <c r="I18582" i="9"/>
  <c r="I18583" i="9"/>
  <c r="I18584" i="9"/>
  <c r="I18585" i="9"/>
  <c r="I18586" i="9"/>
  <c r="I18587" i="9"/>
  <c r="I18588" i="9"/>
  <c r="I18589" i="9"/>
  <c r="I18590" i="9"/>
  <c r="I18591" i="9"/>
  <c r="I18592" i="9"/>
  <c r="I18593" i="9"/>
  <c r="I18594" i="9"/>
  <c r="I18595" i="9"/>
  <c r="I18596" i="9"/>
  <c r="I18597" i="9"/>
  <c r="I18598" i="9"/>
  <c r="I18599" i="9"/>
  <c r="I18600" i="9"/>
  <c r="I18601" i="9"/>
  <c r="I18602" i="9"/>
  <c r="I18603" i="9"/>
  <c r="I18604" i="9"/>
  <c r="I18605" i="9"/>
  <c r="I18606" i="9"/>
  <c r="I18607" i="9"/>
  <c r="I18608" i="9"/>
  <c r="I18609" i="9"/>
  <c r="I18610" i="9"/>
  <c r="I18611" i="9"/>
  <c r="I18612" i="9"/>
  <c r="I18613" i="9"/>
  <c r="I18614" i="9"/>
  <c r="I18615" i="9"/>
  <c r="I18616" i="9"/>
  <c r="I18617" i="9"/>
  <c r="I18618" i="9"/>
  <c r="I18619" i="9"/>
  <c r="I18620" i="9"/>
  <c r="I18621" i="9"/>
  <c r="I18622" i="9"/>
  <c r="I18623" i="9"/>
  <c r="I18624" i="9"/>
  <c r="I18625" i="9"/>
  <c r="I18626" i="9"/>
  <c r="I18627" i="9"/>
  <c r="I18628" i="9"/>
  <c r="I18629" i="9"/>
  <c r="I18630" i="9"/>
  <c r="I18631" i="9"/>
  <c r="I18632" i="9"/>
  <c r="I18633" i="9"/>
  <c r="I18634" i="9"/>
  <c r="I18635" i="9"/>
  <c r="I18636" i="9"/>
  <c r="I18637" i="9"/>
  <c r="I18638" i="9"/>
  <c r="I18639" i="9"/>
  <c r="I18640" i="9"/>
  <c r="I18641" i="9"/>
  <c r="I18642" i="9"/>
  <c r="I18643" i="9"/>
  <c r="I18644" i="9"/>
  <c r="I18645" i="9"/>
  <c r="I18646" i="9"/>
  <c r="I18647" i="9"/>
  <c r="I18648" i="9"/>
  <c r="I18649" i="9"/>
  <c r="I18650" i="9"/>
  <c r="I18651" i="9"/>
  <c r="I18652" i="9"/>
  <c r="I18653" i="9"/>
  <c r="I18654" i="9"/>
  <c r="I18655" i="9"/>
  <c r="I18656" i="9"/>
  <c r="I18657" i="9"/>
  <c r="I18658" i="9"/>
  <c r="I18659" i="9"/>
  <c r="I18660" i="9"/>
  <c r="I18661" i="9"/>
  <c r="I18662" i="9"/>
  <c r="I18663" i="9"/>
  <c r="I18664" i="9"/>
  <c r="I18665" i="9"/>
  <c r="I18666" i="9"/>
  <c r="I18667" i="9"/>
  <c r="I18668" i="9"/>
  <c r="I18669" i="9"/>
  <c r="I18670" i="9"/>
  <c r="I18671" i="9"/>
  <c r="I18672" i="9"/>
  <c r="I18673" i="9"/>
  <c r="I18674" i="9"/>
  <c r="I18675" i="9"/>
  <c r="I18676" i="9"/>
  <c r="I18677" i="9"/>
  <c r="I18678" i="9"/>
  <c r="I18679" i="9"/>
  <c r="I18680" i="9"/>
  <c r="I18681" i="9"/>
  <c r="I18682" i="9"/>
  <c r="I18683" i="9"/>
  <c r="I18684" i="9"/>
  <c r="I18685" i="9"/>
  <c r="I18686" i="9"/>
  <c r="I18687" i="9"/>
  <c r="I18688" i="9"/>
  <c r="I18689" i="9"/>
  <c r="I18690" i="9"/>
  <c r="I18691" i="9"/>
  <c r="I18692" i="9"/>
  <c r="I18693" i="9"/>
  <c r="I18694" i="9"/>
  <c r="I18695" i="9"/>
  <c r="I18696" i="9"/>
  <c r="I18697" i="9"/>
  <c r="I18698" i="9"/>
  <c r="I18699" i="9"/>
  <c r="I18700" i="9"/>
  <c r="I18701" i="9"/>
  <c r="I18702" i="9"/>
  <c r="I18703" i="9"/>
  <c r="I18704" i="9"/>
  <c r="I18705" i="9"/>
  <c r="I18706" i="9"/>
  <c r="I18707" i="9"/>
  <c r="I18708" i="9"/>
  <c r="I18709" i="9"/>
  <c r="I18710" i="9"/>
  <c r="I18711" i="9"/>
  <c r="I18712" i="9"/>
  <c r="I18713" i="9"/>
  <c r="I18714" i="9"/>
  <c r="I18715" i="9"/>
  <c r="I18716" i="9"/>
  <c r="I18717" i="9"/>
  <c r="I18718" i="9"/>
  <c r="I18719" i="9"/>
  <c r="I18720" i="9"/>
  <c r="I18721" i="9"/>
  <c r="I18722" i="9"/>
  <c r="I18723" i="9"/>
  <c r="I18724" i="9"/>
  <c r="I18725" i="9"/>
  <c r="I18726" i="9"/>
  <c r="I18727" i="9"/>
  <c r="I18728" i="9"/>
  <c r="I18729" i="9"/>
  <c r="I18730" i="9"/>
  <c r="I18731" i="9"/>
  <c r="I18732" i="9"/>
  <c r="I18733" i="9"/>
  <c r="I18734" i="9"/>
  <c r="I18735" i="9"/>
  <c r="I18736" i="9"/>
  <c r="I18737" i="9"/>
  <c r="I18738" i="9"/>
  <c r="I18739" i="9"/>
  <c r="I18740" i="9"/>
  <c r="I18741" i="9"/>
  <c r="I18742" i="9"/>
  <c r="I18743" i="9"/>
  <c r="I18744" i="9"/>
  <c r="I18745" i="9"/>
  <c r="I18746" i="9"/>
  <c r="I18747" i="9"/>
  <c r="I18748" i="9"/>
  <c r="I18749" i="9"/>
  <c r="I18750" i="9"/>
  <c r="I18751" i="9"/>
  <c r="I18752" i="9"/>
  <c r="I18753" i="9"/>
  <c r="I18754" i="9"/>
  <c r="I18755" i="9"/>
  <c r="I18756" i="9"/>
  <c r="I18757" i="9"/>
  <c r="I18758" i="9"/>
  <c r="I18759" i="9"/>
  <c r="I18760" i="9"/>
  <c r="I18761" i="9"/>
  <c r="I18762" i="9"/>
  <c r="I18763" i="9"/>
  <c r="I18764" i="9"/>
  <c r="I18765" i="9"/>
  <c r="I18766" i="9"/>
  <c r="I18767" i="9"/>
  <c r="I18768" i="9"/>
  <c r="I18769" i="9"/>
  <c r="I18770" i="9"/>
  <c r="I18771" i="9"/>
  <c r="I18772" i="9"/>
  <c r="I18773" i="9"/>
  <c r="I18774" i="9"/>
  <c r="I18775" i="9"/>
  <c r="I18776" i="9"/>
  <c r="I18777" i="9"/>
  <c r="I18778" i="9"/>
  <c r="I18779" i="9"/>
  <c r="I18780" i="9"/>
  <c r="I18781" i="9"/>
  <c r="I18782" i="9"/>
  <c r="I18783" i="9"/>
  <c r="I18784" i="9"/>
  <c r="I18785" i="9"/>
  <c r="I18786" i="9"/>
  <c r="I18787" i="9"/>
  <c r="I18788" i="9"/>
  <c r="I18789" i="9"/>
  <c r="I18790" i="9"/>
  <c r="I18791" i="9"/>
  <c r="I18792" i="9"/>
  <c r="I18793" i="9"/>
  <c r="I18794" i="9"/>
  <c r="I18795" i="9"/>
  <c r="I18796" i="9"/>
  <c r="I18797" i="9"/>
  <c r="I18798" i="9"/>
  <c r="I18799" i="9"/>
  <c r="I18800" i="9"/>
  <c r="I18801" i="9"/>
  <c r="I18802" i="9"/>
  <c r="I18803" i="9"/>
  <c r="I18804" i="9"/>
  <c r="I18805" i="9"/>
  <c r="I18806" i="9"/>
  <c r="I18807" i="9"/>
  <c r="I18808" i="9"/>
  <c r="I18809" i="9"/>
  <c r="I18810" i="9"/>
  <c r="I18811" i="9"/>
  <c r="I18812" i="9"/>
  <c r="I18813" i="9"/>
  <c r="I18814" i="9"/>
  <c r="I18815" i="9"/>
  <c r="I18816" i="9"/>
  <c r="I18817" i="9"/>
  <c r="I18818" i="9"/>
  <c r="I18819" i="9"/>
  <c r="I18820" i="9"/>
  <c r="I18821" i="9"/>
  <c r="I18822" i="9"/>
  <c r="I18823" i="9"/>
  <c r="I18824" i="9"/>
  <c r="I18825" i="9"/>
  <c r="I18826" i="9"/>
  <c r="I18827" i="9"/>
  <c r="I18828" i="9"/>
  <c r="I18829" i="9"/>
  <c r="I18830" i="9"/>
  <c r="I18831" i="9"/>
  <c r="I18832" i="9"/>
  <c r="I18833" i="9"/>
  <c r="I18834" i="9"/>
  <c r="I18835" i="9"/>
  <c r="I18836" i="9"/>
  <c r="I18837" i="9"/>
  <c r="I18838" i="9"/>
  <c r="I18839" i="9"/>
  <c r="I18840" i="9"/>
  <c r="I18841" i="9"/>
  <c r="I18842" i="9"/>
  <c r="I18843" i="9"/>
  <c r="I18844" i="9"/>
  <c r="I18845" i="9"/>
  <c r="I18846" i="9"/>
  <c r="I18847" i="9"/>
  <c r="I18848" i="9"/>
  <c r="I18849" i="9"/>
  <c r="I18850" i="9"/>
  <c r="I18851" i="9"/>
  <c r="I18852" i="9"/>
  <c r="I18853" i="9"/>
  <c r="I18854" i="9"/>
  <c r="I18855" i="9"/>
  <c r="I18856" i="9"/>
  <c r="I18857" i="9"/>
  <c r="I18858" i="9"/>
  <c r="I18859" i="9"/>
  <c r="I18860" i="9"/>
  <c r="I18861" i="9"/>
  <c r="I18862" i="9"/>
  <c r="I18863" i="9"/>
  <c r="I18864" i="9"/>
  <c r="I18865" i="9"/>
  <c r="I18866" i="9"/>
  <c r="I18867" i="9"/>
  <c r="I18868" i="9"/>
  <c r="I18869" i="9"/>
  <c r="I18870" i="9"/>
  <c r="I18871" i="9"/>
  <c r="I18872" i="9"/>
  <c r="I18873" i="9"/>
  <c r="I18874" i="9"/>
  <c r="I18875" i="9"/>
  <c r="I18876" i="9"/>
  <c r="I18877" i="9"/>
  <c r="I18878" i="9"/>
  <c r="I18879" i="9"/>
  <c r="I18880" i="9"/>
  <c r="I18881" i="9"/>
  <c r="I18882" i="9"/>
  <c r="I18883" i="9"/>
  <c r="I18884" i="9"/>
  <c r="I18885" i="9"/>
  <c r="I18886" i="9"/>
  <c r="I18887" i="9"/>
  <c r="I18888" i="9"/>
  <c r="I18889" i="9"/>
  <c r="I18890" i="9"/>
  <c r="I18891" i="9"/>
  <c r="I18892" i="9"/>
  <c r="I18893" i="9"/>
  <c r="I18894" i="9"/>
  <c r="I18895" i="9"/>
  <c r="I18896" i="9"/>
  <c r="I18897" i="9"/>
  <c r="I18898" i="9"/>
  <c r="I18899" i="9"/>
  <c r="I18900" i="9"/>
  <c r="I18901" i="9"/>
  <c r="I18902" i="9"/>
  <c r="I18903" i="9"/>
  <c r="I18904" i="9"/>
  <c r="I18905" i="9"/>
  <c r="I18906" i="9"/>
  <c r="I18907" i="9"/>
  <c r="I18908" i="9"/>
  <c r="I18909" i="9"/>
  <c r="I18910" i="9"/>
  <c r="I18911" i="9"/>
  <c r="I18912" i="9"/>
  <c r="I18913" i="9"/>
  <c r="I18914" i="9"/>
  <c r="I18915" i="9"/>
  <c r="I18916" i="9"/>
  <c r="I18917" i="9"/>
  <c r="I18918" i="9"/>
  <c r="I18919" i="9"/>
  <c r="I18920" i="9"/>
  <c r="I18921" i="9"/>
  <c r="I18922" i="9"/>
  <c r="I18923" i="9"/>
  <c r="I18924" i="9"/>
  <c r="I18925" i="9"/>
  <c r="I18926" i="9"/>
  <c r="I18927" i="9"/>
  <c r="I18928" i="9"/>
  <c r="I18929" i="9"/>
  <c r="I18930" i="9"/>
  <c r="I18931" i="9"/>
  <c r="I18932" i="9"/>
  <c r="I18933" i="9"/>
  <c r="I18934" i="9"/>
  <c r="I18935" i="9"/>
  <c r="I18936" i="9"/>
  <c r="I18467" i="9"/>
  <c r="I18466" i="9"/>
  <c r="I18465" i="9"/>
  <c r="I18464" i="9"/>
  <c r="I18463" i="9"/>
  <c r="I18462" i="9"/>
  <c r="I18461" i="9"/>
  <c r="I18460" i="9"/>
  <c r="I18458" i="9"/>
  <c r="I18459" i="9"/>
  <c r="I18457" i="9"/>
  <c r="I18456" i="9"/>
  <c r="I18455" i="9"/>
  <c r="I18454" i="9"/>
  <c r="I18453" i="9"/>
  <c r="I18452" i="9"/>
  <c r="I18451" i="9"/>
  <c r="I18450" i="9"/>
  <c r="I18449" i="9"/>
  <c r="I18448" i="9"/>
  <c r="I18447" i="9"/>
  <c r="I18446" i="9"/>
  <c r="I18445" i="9"/>
  <c r="I18444" i="9"/>
  <c r="I18443" i="9"/>
  <c r="I18442" i="9"/>
  <c r="I18441" i="9"/>
  <c r="I18440" i="9"/>
  <c r="I18439" i="9"/>
  <c r="I18438" i="9"/>
  <c r="I18437" i="9"/>
  <c r="I18436" i="9"/>
  <c r="I18435" i="9"/>
  <c r="I18433" i="9"/>
  <c r="I18434" i="9"/>
  <c r="I18432" i="9"/>
  <c r="I18431" i="9"/>
  <c r="I18430" i="9"/>
  <c r="I18429" i="9"/>
  <c r="I18394" i="9"/>
  <c r="I18395" i="9"/>
  <c r="I18396" i="9"/>
  <c r="I18397" i="9"/>
  <c r="I18398" i="9"/>
  <c r="I18399" i="9"/>
  <c r="I18400" i="9"/>
  <c r="I18401" i="9"/>
  <c r="I18402" i="9"/>
  <c r="I18403" i="9"/>
  <c r="I18404" i="9"/>
  <c r="I18405" i="9"/>
  <c r="I18406" i="9"/>
  <c r="I18407" i="9"/>
  <c r="I18408" i="9"/>
  <c r="I18409" i="9"/>
  <c r="I18410" i="9"/>
  <c r="I18411" i="9"/>
  <c r="I18412" i="9"/>
  <c r="I18413" i="9"/>
  <c r="I18414" i="9"/>
  <c r="I18415" i="9"/>
  <c r="I18416" i="9"/>
  <c r="I18417" i="9"/>
  <c r="I18418" i="9"/>
  <c r="I18419" i="9"/>
  <c r="I18420" i="9"/>
  <c r="I18421" i="9"/>
  <c r="I18422" i="9"/>
  <c r="I18423" i="9"/>
  <c r="I18424" i="9"/>
  <c r="I18425" i="9"/>
  <c r="I18426" i="9"/>
  <c r="I18427" i="9"/>
  <c r="I18428" i="9"/>
  <c r="I18393" i="9"/>
  <c r="I18392" i="9"/>
  <c r="I18391" i="9"/>
  <c r="I18390" i="9"/>
  <c r="I18389" i="9"/>
  <c r="I18328" i="9"/>
  <c r="I18329" i="9"/>
  <c r="I18330" i="9"/>
  <c r="I18331" i="9"/>
  <c r="I18332" i="9"/>
  <c r="I18333" i="9"/>
  <c r="I18334" i="9"/>
  <c r="I18335" i="9"/>
  <c r="I18336" i="9"/>
  <c r="I18337" i="9"/>
  <c r="I18338" i="9"/>
  <c r="I18339" i="9"/>
  <c r="I18340" i="9"/>
  <c r="I18341" i="9"/>
  <c r="I18342" i="9"/>
  <c r="I18343" i="9"/>
  <c r="I18344" i="9"/>
  <c r="I18345" i="9"/>
  <c r="I18346" i="9"/>
  <c r="I18347" i="9"/>
  <c r="I18348" i="9"/>
  <c r="I18349" i="9"/>
  <c r="I18350" i="9"/>
  <c r="I18351" i="9"/>
  <c r="I18352" i="9"/>
  <c r="I18353" i="9"/>
  <c r="I18354" i="9"/>
  <c r="I18355" i="9"/>
  <c r="I18356" i="9"/>
  <c r="I18357" i="9"/>
  <c r="I18358" i="9"/>
  <c r="I18359" i="9"/>
  <c r="I18360" i="9"/>
  <c r="I18361" i="9"/>
  <c r="I18362" i="9"/>
  <c r="I18363" i="9"/>
  <c r="I18364" i="9"/>
  <c r="I18365" i="9"/>
  <c r="I18366" i="9"/>
  <c r="I18367" i="9"/>
  <c r="I18368" i="9"/>
  <c r="I18369" i="9"/>
  <c r="I18370" i="9"/>
  <c r="I18371" i="9"/>
  <c r="I18372" i="9"/>
  <c r="I18373" i="9"/>
  <c r="I18374" i="9"/>
  <c r="I18375" i="9"/>
  <c r="I18376" i="9"/>
  <c r="I18377" i="9"/>
  <c r="I18378" i="9"/>
  <c r="I18379" i="9"/>
  <c r="I18380" i="9"/>
  <c r="I18381" i="9"/>
  <c r="I18382" i="9"/>
  <c r="I18383" i="9"/>
  <c r="I18384" i="9"/>
  <c r="I18385" i="9"/>
  <c r="I18386" i="9"/>
  <c r="I18387" i="9"/>
  <c r="I18388" i="9"/>
  <c r="I18234" i="9"/>
  <c r="I18235" i="9"/>
  <c r="I18236" i="9"/>
  <c r="I18237" i="9"/>
  <c r="I18238" i="9"/>
  <c r="I18239" i="9"/>
  <c r="I18240" i="9"/>
  <c r="I18241" i="9"/>
  <c r="I18242" i="9"/>
  <c r="I18243" i="9"/>
  <c r="I18244" i="9"/>
  <c r="I18245" i="9"/>
  <c r="I18246" i="9"/>
  <c r="I18247" i="9"/>
  <c r="I18248" i="9"/>
  <c r="I18249" i="9"/>
  <c r="I18250" i="9"/>
  <c r="I18251" i="9"/>
  <c r="I18252" i="9"/>
  <c r="I18253" i="9"/>
  <c r="I18254" i="9"/>
  <c r="I18255" i="9"/>
  <c r="I18256" i="9"/>
  <c r="I18257" i="9"/>
  <c r="I18258" i="9"/>
  <c r="I18259" i="9"/>
  <c r="I18260" i="9"/>
  <c r="I18261" i="9"/>
  <c r="I18262" i="9"/>
  <c r="I18263" i="9"/>
  <c r="I18264" i="9"/>
  <c r="I18265" i="9"/>
  <c r="I18266" i="9"/>
  <c r="I18267" i="9"/>
  <c r="I18268" i="9"/>
  <c r="I18269" i="9"/>
  <c r="I18270" i="9"/>
  <c r="I18271" i="9"/>
  <c r="I18272" i="9"/>
  <c r="I18273" i="9"/>
  <c r="I18274" i="9"/>
  <c r="I18275" i="9"/>
  <c r="I18276" i="9"/>
  <c r="I18277" i="9"/>
  <c r="I18278" i="9"/>
  <c r="I18279" i="9"/>
  <c r="I18280" i="9"/>
  <c r="I18281" i="9"/>
  <c r="I18282" i="9"/>
  <c r="I18283" i="9"/>
  <c r="I18284" i="9"/>
  <c r="I18285" i="9"/>
  <c r="I18286" i="9"/>
  <c r="I18287" i="9"/>
  <c r="I18288" i="9"/>
  <c r="I18289" i="9"/>
  <c r="I18290" i="9"/>
  <c r="I18291" i="9"/>
  <c r="I18292" i="9"/>
  <c r="I18293" i="9"/>
  <c r="I18294" i="9"/>
  <c r="I18295" i="9"/>
  <c r="I18296" i="9"/>
  <c r="I18297" i="9"/>
  <c r="I18298" i="9"/>
  <c r="I18299" i="9"/>
  <c r="I18300" i="9"/>
  <c r="I18301" i="9"/>
  <c r="I18302" i="9"/>
  <c r="I18303" i="9"/>
  <c r="I18304" i="9"/>
  <c r="I18305" i="9"/>
  <c r="I18306" i="9"/>
  <c r="I18307" i="9"/>
  <c r="I18308" i="9"/>
  <c r="I18309" i="9"/>
  <c r="I18310" i="9"/>
  <c r="I18311" i="9"/>
  <c r="I18312" i="9"/>
  <c r="I18313" i="9"/>
  <c r="I18314" i="9"/>
  <c r="I18315" i="9"/>
  <c r="I18316" i="9"/>
  <c r="I18317" i="9"/>
  <c r="I18318" i="9"/>
  <c r="I18319" i="9"/>
  <c r="I18320" i="9"/>
  <c r="I18321" i="9"/>
  <c r="I18322" i="9"/>
  <c r="I18323" i="9"/>
  <c r="I18324" i="9"/>
  <c r="I18325" i="9"/>
  <c r="I18326" i="9"/>
  <c r="I18327" i="9"/>
  <c r="I18233" i="9"/>
  <c r="I17950" i="9" l="1"/>
  <c r="I17951" i="9"/>
  <c r="I17952" i="9"/>
  <c r="I17953" i="9"/>
  <c r="I17954" i="9"/>
  <c r="I17955" i="9"/>
  <c r="I17956" i="9"/>
  <c r="I17957" i="9"/>
  <c r="I17958" i="9"/>
  <c r="I17959" i="9"/>
  <c r="I17960" i="9"/>
  <c r="I17961" i="9"/>
  <c r="I17962" i="9"/>
  <c r="I17963" i="9"/>
  <c r="I17964" i="9"/>
  <c r="I17965" i="9"/>
  <c r="I17966" i="9"/>
  <c r="I17967" i="9"/>
  <c r="I17968" i="9"/>
  <c r="I17969" i="9"/>
  <c r="I17970" i="9"/>
  <c r="I17971" i="9"/>
  <c r="I17972" i="9"/>
  <c r="I17973" i="9"/>
  <c r="I17974" i="9"/>
  <c r="I17975" i="9"/>
  <c r="I17976" i="9"/>
  <c r="I17977" i="9"/>
  <c r="I17978" i="9"/>
  <c r="I17979" i="9"/>
  <c r="I17980" i="9"/>
  <c r="I17981" i="9"/>
  <c r="I17982" i="9"/>
  <c r="I17983" i="9"/>
  <c r="I17984" i="9"/>
  <c r="I17985" i="9"/>
  <c r="I17986" i="9"/>
  <c r="I17987" i="9"/>
  <c r="I17988" i="9"/>
  <c r="I17989" i="9"/>
  <c r="I17990" i="9"/>
  <c r="I17991" i="9"/>
  <c r="I17992" i="9"/>
  <c r="I17993" i="9"/>
  <c r="I17994" i="9"/>
  <c r="I17995" i="9"/>
  <c r="I17996" i="9"/>
  <c r="I17997" i="9"/>
  <c r="I17998" i="9"/>
  <c r="I17999" i="9"/>
  <c r="I18000" i="9"/>
  <c r="I18001" i="9"/>
  <c r="I18002" i="9"/>
  <c r="I18003" i="9"/>
  <c r="I18004" i="9"/>
  <c r="I18005" i="9"/>
  <c r="I18006" i="9"/>
  <c r="I18007" i="9"/>
  <c r="I18008" i="9"/>
  <c r="I18009" i="9"/>
  <c r="I18010" i="9"/>
  <c r="I18011" i="9"/>
  <c r="I18012" i="9"/>
  <c r="I18013" i="9"/>
  <c r="I18014" i="9"/>
  <c r="I18015" i="9"/>
  <c r="I18016" i="9"/>
  <c r="I18017" i="9"/>
  <c r="I18018" i="9"/>
  <c r="I18019" i="9"/>
  <c r="I18020" i="9"/>
  <c r="I18021" i="9"/>
  <c r="I18022" i="9"/>
  <c r="I18023" i="9"/>
  <c r="I18024" i="9"/>
  <c r="I18025" i="9"/>
  <c r="I18026" i="9"/>
  <c r="I18027" i="9"/>
  <c r="I18028" i="9"/>
  <c r="I18029" i="9"/>
  <c r="I18030" i="9"/>
  <c r="I18031" i="9"/>
  <c r="I18032" i="9"/>
  <c r="I18033" i="9"/>
  <c r="I18034" i="9"/>
  <c r="I18035" i="9"/>
  <c r="I18036" i="9"/>
  <c r="I18037" i="9"/>
  <c r="I18038" i="9"/>
  <c r="I18039" i="9"/>
  <c r="I18040" i="9"/>
  <c r="I18041" i="9"/>
  <c r="I18042" i="9"/>
  <c r="I18043" i="9"/>
  <c r="I18044" i="9"/>
  <c r="I18045" i="9"/>
  <c r="I18046" i="9"/>
  <c r="I18047" i="9"/>
  <c r="I18048" i="9"/>
  <c r="I18049" i="9"/>
  <c r="I18050" i="9"/>
  <c r="I18051" i="9"/>
  <c r="I18052" i="9"/>
  <c r="I18053" i="9"/>
  <c r="I18054" i="9"/>
  <c r="I18055" i="9"/>
  <c r="I18056" i="9"/>
  <c r="I18057" i="9"/>
  <c r="I18058" i="9"/>
  <c r="I18059" i="9"/>
  <c r="I18060" i="9"/>
  <c r="I18061" i="9"/>
  <c r="I18062" i="9"/>
  <c r="I18063" i="9"/>
  <c r="I18064" i="9"/>
  <c r="I18065" i="9"/>
  <c r="I18066" i="9"/>
  <c r="I18067" i="9"/>
  <c r="I18068" i="9"/>
  <c r="I18069" i="9"/>
  <c r="I18070" i="9"/>
  <c r="I18071" i="9"/>
  <c r="I18072" i="9"/>
  <c r="I18073" i="9"/>
  <c r="I18074" i="9"/>
  <c r="I18075" i="9"/>
  <c r="I18076" i="9"/>
  <c r="I18077" i="9"/>
  <c r="I18078" i="9"/>
  <c r="I18079" i="9"/>
  <c r="I18080" i="9"/>
  <c r="I18081" i="9"/>
  <c r="I18082" i="9"/>
  <c r="I18083" i="9"/>
  <c r="I18084" i="9"/>
  <c r="I18085" i="9"/>
  <c r="I18086" i="9"/>
  <c r="I18087" i="9"/>
  <c r="I18088" i="9"/>
  <c r="I18089" i="9"/>
  <c r="I18090" i="9"/>
  <c r="I18091" i="9"/>
  <c r="I18092" i="9"/>
  <c r="I18093" i="9"/>
  <c r="I18094" i="9"/>
  <c r="I18095" i="9"/>
  <c r="I18096" i="9"/>
  <c r="I18097" i="9"/>
  <c r="I18098" i="9"/>
  <c r="I18099" i="9"/>
  <c r="I18100" i="9"/>
  <c r="I18101" i="9"/>
  <c r="I18102" i="9"/>
  <c r="I18103" i="9"/>
  <c r="I18104" i="9"/>
  <c r="I18105" i="9"/>
  <c r="I18106" i="9"/>
  <c r="I18107" i="9"/>
  <c r="I18108" i="9"/>
  <c r="I18109" i="9"/>
  <c r="I18110" i="9"/>
  <c r="I18111" i="9"/>
  <c r="I18112" i="9"/>
  <c r="I18113" i="9"/>
  <c r="I18114" i="9"/>
  <c r="I18115" i="9"/>
  <c r="I18116" i="9"/>
  <c r="I18117" i="9"/>
  <c r="I18118" i="9"/>
  <c r="I18119" i="9"/>
  <c r="I18120" i="9"/>
  <c r="I18121" i="9"/>
  <c r="I18122" i="9"/>
  <c r="I18123" i="9"/>
  <c r="I18124" i="9"/>
  <c r="I18125" i="9"/>
  <c r="I18126" i="9"/>
  <c r="I18127" i="9"/>
  <c r="I18128" i="9"/>
  <c r="I18129" i="9"/>
  <c r="I18130" i="9"/>
  <c r="I18131" i="9"/>
  <c r="I18132" i="9"/>
  <c r="I18133" i="9"/>
  <c r="I18134" i="9"/>
  <c r="I18135" i="9"/>
  <c r="I18136" i="9"/>
  <c r="I18137" i="9"/>
  <c r="I18138" i="9"/>
  <c r="I18139" i="9"/>
  <c r="I18140" i="9"/>
  <c r="I18141" i="9"/>
  <c r="I18142" i="9"/>
  <c r="I18143" i="9"/>
  <c r="I18144" i="9"/>
  <c r="I18145" i="9"/>
  <c r="I18146" i="9"/>
  <c r="I18147" i="9"/>
  <c r="I18148" i="9"/>
  <c r="I18149" i="9"/>
  <c r="I18150" i="9"/>
  <c r="I18151" i="9"/>
  <c r="I18152" i="9"/>
  <c r="I18153" i="9"/>
  <c r="I18154" i="9"/>
  <c r="I18155" i="9"/>
  <c r="I18156" i="9"/>
  <c r="I18157" i="9"/>
  <c r="I18158" i="9"/>
  <c r="I18159" i="9"/>
  <c r="I18160" i="9"/>
  <c r="I18161" i="9"/>
  <c r="I18162" i="9"/>
  <c r="I18163" i="9"/>
  <c r="I18164" i="9"/>
  <c r="I18165" i="9"/>
  <c r="I18166" i="9"/>
  <c r="I18167" i="9"/>
  <c r="I18168" i="9"/>
  <c r="I18169" i="9"/>
  <c r="I18170" i="9"/>
  <c r="I18171" i="9"/>
  <c r="I18172" i="9"/>
  <c r="I18173" i="9"/>
  <c r="I18174" i="9"/>
  <c r="I18175" i="9"/>
  <c r="I18176" i="9"/>
  <c r="I18177" i="9"/>
  <c r="I18178" i="9"/>
  <c r="I18179" i="9"/>
  <c r="I18180" i="9"/>
  <c r="I18181" i="9"/>
  <c r="I18182" i="9"/>
  <c r="I18183" i="9"/>
  <c r="I18184" i="9"/>
  <c r="I18185" i="9"/>
  <c r="I18186" i="9"/>
  <c r="I18187" i="9"/>
  <c r="I18188" i="9"/>
  <c r="I18189" i="9"/>
  <c r="I18190" i="9"/>
  <c r="I18191" i="9"/>
  <c r="I18192" i="9"/>
  <c r="I18193" i="9"/>
  <c r="I18194" i="9"/>
  <c r="I18195" i="9"/>
  <c r="I18196" i="9"/>
  <c r="I18197" i="9"/>
  <c r="I18198" i="9"/>
  <c r="I18199" i="9"/>
  <c r="I18200" i="9"/>
  <c r="I18201" i="9"/>
  <c r="I18202" i="9"/>
  <c r="I18203" i="9"/>
  <c r="I18204" i="9"/>
  <c r="I18205" i="9"/>
  <c r="I18206" i="9"/>
  <c r="I18207" i="9"/>
  <c r="I18208" i="9"/>
  <c r="I18209" i="9"/>
  <c r="I18210" i="9"/>
  <c r="I18211" i="9"/>
  <c r="I18212" i="9"/>
  <c r="I18213" i="9"/>
  <c r="I18214" i="9"/>
  <c r="I18215" i="9"/>
  <c r="I18216" i="9"/>
  <c r="I18217" i="9"/>
  <c r="I18218" i="9"/>
  <c r="I18219" i="9"/>
  <c r="I18220" i="9"/>
  <c r="I18221" i="9"/>
  <c r="I18222" i="9"/>
  <c r="I18223" i="9"/>
  <c r="I18224" i="9"/>
  <c r="I18225" i="9"/>
  <c r="I18226" i="9"/>
  <c r="I18227" i="9"/>
  <c r="I18228" i="9"/>
  <c r="I18229" i="9"/>
  <c r="I18230" i="9"/>
  <c r="I18231" i="9"/>
  <c r="I18232" i="9"/>
  <c r="I17948" i="9"/>
  <c r="I17949" i="9"/>
  <c r="I17860" i="9"/>
  <c r="I17861" i="9"/>
  <c r="I17862" i="9"/>
  <c r="I17863" i="9"/>
  <c r="I17864" i="9"/>
  <c r="I17865" i="9"/>
  <c r="I17866" i="9"/>
  <c r="I17867" i="9"/>
  <c r="I17868" i="9"/>
  <c r="I17869" i="9"/>
  <c r="I17870" i="9"/>
  <c r="I17871" i="9"/>
  <c r="I17872" i="9"/>
  <c r="I17873" i="9"/>
  <c r="I17874" i="9"/>
  <c r="I17875" i="9"/>
  <c r="I17876" i="9"/>
  <c r="I17877" i="9"/>
  <c r="I17878" i="9"/>
  <c r="I17879" i="9"/>
  <c r="I17880" i="9"/>
  <c r="I17881" i="9"/>
  <c r="I17882" i="9"/>
  <c r="I17883" i="9"/>
  <c r="I17884" i="9"/>
  <c r="I17885" i="9"/>
  <c r="I17886" i="9"/>
  <c r="I17887" i="9"/>
  <c r="I17888" i="9"/>
  <c r="I17889" i="9"/>
  <c r="I17890" i="9"/>
  <c r="I17891" i="9"/>
  <c r="I17892" i="9"/>
  <c r="I17893" i="9"/>
  <c r="I17894" i="9"/>
  <c r="I17895" i="9"/>
  <c r="I17896" i="9"/>
  <c r="I17897" i="9"/>
  <c r="I17898" i="9"/>
  <c r="I17899" i="9"/>
  <c r="I17900" i="9"/>
  <c r="I17901" i="9"/>
  <c r="I17902" i="9"/>
  <c r="I17903" i="9"/>
  <c r="I17904" i="9"/>
  <c r="I17905" i="9"/>
  <c r="I17906" i="9"/>
  <c r="I17907" i="9"/>
  <c r="I17908" i="9"/>
  <c r="I17909" i="9"/>
  <c r="I17910" i="9"/>
  <c r="I17911" i="9"/>
  <c r="I17912" i="9"/>
  <c r="I17913" i="9"/>
  <c r="I17914" i="9"/>
  <c r="I17915" i="9"/>
  <c r="I17916" i="9"/>
  <c r="I17917" i="9"/>
  <c r="I17918" i="9"/>
  <c r="I17919" i="9"/>
  <c r="I17920" i="9"/>
  <c r="I17921" i="9"/>
  <c r="I17922" i="9"/>
  <c r="I17923" i="9"/>
  <c r="I17924" i="9"/>
  <c r="I17925" i="9"/>
  <c r="I17926" i="9"/>
  <c r="I17927" i="9"/>
  <c r="I17928" i="9"/>
  <c r="I17929" i="9"/>
  <c r="I17930" i="9"/>
  <c r="I17931" i="9"/>
  <c r="I17932" i="9"/>
  <c r="I17933" i="9"/>
  <c r="I17934" i="9"/>
  <c r="I17935" i="9"/>
  <c r="I17936" i="9"/>
  <c r="I17937" i="9"/>
  <c r="I17938" i="9"/>
  <c r="I17939" i="9"/>
  <c r="I17940" i="9"/>
  <c r="I17941" i="9"/>
  <c r="I17942" i="9"/>
  <c r="I17943" i="9"/>
  <c r="I17944" i="9"/>
  <c r="I17945" i="9"/>
  <c r="I17946" i="9"/>
  <c r="I17947" i="9"/>
  <c r="I17859" i="9"/>
  <c r="I17858" i="9"/>
  <c r="I17857" i="9"/>
  <c r="I17327" i="9"/>
  <c r="I17328" i="9"/>
  <c r="I17329" i="9"/>
  <c r="I17330" i="9"/>
  <c r="I17331" i="9"/>
  <c r="I17332" i="9"/>
  <c r="I17333" i="9"/>
  <c r="I17334" i="9"/>
  <c r="I17335" i="9"/>
  <c r="I17336" i="9"/>
  <c r="I17337" i="9"/>
  <c r="I17338" i="9"/>
  <c r="I17339" i="9"/>
  <c r="I17340" i="9"/>
  <c r="I17341" i="9"/>
  <c r="I17342" i="9"/>
  <c r="I17343" i="9"/>
  <c r="I17344" i="9"/>
  <c r="I17345" i="9"/>
  <c r="I17346" i="9"/>
  <c r="I17347" i="9"/>
  <c r="I17348" i="9"/>
  <c r="I17349" i="9"/>
  <c r="I17350" i="9"/>
  <c r="I17351" i="9"/>
  <c r="I17352" i="9"/>
  <c r="I17353" i="9"/>
  <c r="I17354" i="9"/>
  <c r="I17355" i="9"/>
  <c r="I17356" i="9"/>
  <c r="I17357" i="9"/>
  <c r="I17358" i="9"/>
  <c r="I17359" i="9"/>
  <c r="I17360" i="9"/>
  <c r="I17361" i="9"/>
  <c r="I17362" i="9"/>
  <c r="I17363" i="9"/>
  <c r="I17364" i="9"/>
  <c r="I17365" i="9"/>
  <c r="I17366" i="9"/>
  <c r="I17367" i="9"/>
  <c r="I17368" i="9"/>
  <c r="I17369" i="9"/>
  <c r="I17370" i="9"/>
  <c r="I17371" i="9"/>
  <c r="I17372" i="9"/>
  <c r="I17373" i="9"/>
  <c r="I17374" i="9"/>
  <c r="I17375" i="9"/>
  <c r="I17376" i="9"/>
  <c r="I17377" i="9"/>
  <c r="I17378" i="9"/>
  <c r="I17379" i="9"/>
  <c r="I17380" i="9"/>
  <c r="I17381" i="9"/>
  <c r="I17382" i="9"/>
  <c r="I17383" i="9"/>
  <c r="I17384" i="9"/>
  <c r="I17385" i="9"/>
  <c r="I17386" i="9"/>
  <c r="I17387" i="9"/>
  <c r="I17388" i="9"/>
  <c r="I17389" i="9"/>
  <c r="I17390" i="9"/>
  <c r="I17391" i="9"/>
  <c r="I17392" i="9"/>
  <c r="I17393" i="9"/>
  <c r="I17394" i="9"/>
  <c r="I17395" i="9"/>
  <c r="I17396" i="9"/>
  <c r="I17397" i="9"/>
  <c r="I17398" i="9"/>
  <c r="I17399" i="9"/>
  <c r="I17400" i="9"/>
  <c r="I17401" i="9"/>
  <c r="I17402" i="9"/>
  <c r="I17403" i="9"/>
  <c r="I17404" i="9"/>
  <c r="I17405" i="9"/>
  <c r="I17406" i="9"/>
  <c r="I17407" i="9"/>
  <c r="I17408" i="9"/>
  <c r="I17409" i="9"/>
  <c r="I17410" i="9"/>
  <c r="I17411" i="9"/>
  <c r="I17412" i="9"/>
  <c r="I17413" i="9"/>
  <c r="I17414" i="9"/>
  <c r="I17415" i="9"/>
  <c r="I17416" i="9"/>
  <c r="I17417" i="9"/>
  <c r="I17418" i="9"/>
  <c r="I17419" i="9"/>
  <c r="I17420" i="9"/>
  <c r="I17421" i="9"/>
  <c r="I17422" i="9"/>
  <c r="I17423" i="9"/>
  <c r="I17424" i="9"/>
  <c r="I17425" i="9"/>
  <c r="I17426" i="9"/>
  <c r="I17427" i="9"/>
  <c r="I17428" i="9"/>
  <c r="I17429" i="9"/>
  <c r="I17430" i="9"/>
  <c r="I17431" i="9"/>
  <c r="I17432" i="9"/>
  <c r="I17433" i="9"/>
  <c r="I17434" i="9"/>
  <c r="I17435" i="9"/>
  <c r="I17436" i="9"/>
  <c r="I17437" i="9"/>
  <c r="I17438" i="9"/>
  <c r="I17439" i="9"/>
  <c r="I17440" i="9"/>
  <c r="I17441" i="9"/>
  <c r="I17442" i="9"/>
  <c r="I17443" i="9"/>
  <c r="I17444" i="9"/>
  <c r="I17445" i="9"/>
  <c r="I17446" i="9"/>
  <c r="I17447" i="9"/>
  <c r="I17448" i="9"/>
  <c r="I17449" i="9"/>
  <c r="I17450" i="9"/>
  <c r="I17451" i="9"/>
  <c r="I17452" i="9"/>
  <c r="I17453" i="9"/>
  <c r="I17454" i="9"/>
  <c r="I17455" i="9"/>
  <c r="I17456" i="9"/>
  <c r="I17457" i="9"/>
  <c r="I17458" i="9"/>
  <c r="I17459" i="9"/>
  <c r="I17460" i="9"/>
  <c r="I17461" i="9"/>
  <c r="I17462" i="9"/>
  <c r="I17463" i="9"/>
  <c r="I17464" i="9"/>
  <c r="I17465" i="9"/>
  <c r="I17466" i="9"/>
  <c r="I17467" i="9"/>
  <c r="I17468" i="9"/>
  <c r="I17469" i="9"/>
  <c r="I17470" i="9"/>
  <c r="I17471" i="9"/>
  <c r="I17472" i="9"/>
  <c r="I17473" i="9"/>
  <c r="I17474" i="9"/>
  <c r="I17475" i="9"/>
  <c r="I17476" i="9"/>
  <c r="I17477" i="9"/>
  <c r="I17478" i="9"/>
  <c r="I17479" i="9"/>
  <c r="I17480" i="9"/>
  <c r="I17481" i="9"/>
  <c r="I17482" i="9"/>
  <c r="I17483" i="9"/>
  <c r="I17484" i="9"/>
  <c r="I17485" i="9"/>
  <c r="I17486" i="9"/>
  <c r="I17487" i="9"/>
  <c r="I17488" i="9"/>
  <c r="I17489" i="9"/>
  <c r="I17490" i="9"/>
  <c r="I17491" i="9"/>
  <c r="I17492" i="9"/>
  <c r="I17493" i="9"/>
  <c r="I17494" i="9"/>
  <c r="I17495" i="9"/>
  <c r="I17496" i="9"/>
  <c r="I17497" i="9"/>
  <c r="I17498" i="9"/>
  <c r="I17499" i="9"/>
  <c r="I17500" i="9"/>
  <c r="I17501" i="9"/>
  <c r="I17502" i="9"/>
  <c r="I17503" i="9"/>
  <c r="I17504" i="9"/>
  <c r="I17505" i="9"/>
  <c r="I17506" i="9"/>
  <c r="I17507" i="9"/>
  <c r="I17508" i="9"/>
  <c r="I17509" i="9"/>
  <c r="I17510" i="9"/>
  <c r="I17511" i="9"/>
  <c r="I17512" i="9"/>
  <c r="I17513" i="9"/>
  <c r="I17514" i="9"/>
  <c r="I17515" i="9"/>
  <c r="I17516" i="9"/>
  <c r="I17517" i="9"/>
  <c r="I17518" i="9"/>
  <c r="I17519" i="9"/>
  <c r="I17520" i="9"/>
  <c r="I17521" i="9"/>
  <c r="I17522" i="9"/>
  <c r="I17523" i="9"/>
  <c r="I17524" i="9"/>
  <c r="I17525" i="9"/>
  <c r="I17526" i="9"/>
  <c r="I17527" i="9"/>
  <c r="I17528" i="9"/>
  <c r="I17529" i="9"/>
  <c r="I17530" i="9"/>
  <c r="I17531" i="9"/>
  <c r="I17532" i="9"/>
  <c r="I17533" i="9"/>
  <c r="I17534" i="9"/>
  <c r="I17535" i="9"/>
  <c r="I17536" i="9"/>
  <c r="I17537" i="9"/>
  <c r="I17538" i="9"/>
  <c r="I17539" i="9"/>
  <c r="I17540" i="9"/>
  <c r="I17541" i="9"/>
  <c r="I17542" i="9"/>
  <c r="I17543" i="9"/>
  <c r="I17544" i="9"/>
  <c r="I17545" i="9"/>
  <c r="I17546" i="9"/>
  <c r="I17547" i="9"/>
  <c r="I17548" i="9"/>
  <c r="I17549" i="9"/>
  <c r="I17550" i="9"/>
  <c r="I17551" i="9"/>
  <c r="I17552" i="9"/>
  <c r="I17553" i="9"/>
  <c r="I17554" i="9"/>
  <c r="I17555" i="9"/>
  <c r="I17556" i="9"/>
  <c r="I17557" i="9"/>
  <c r="I17558" i="9"/>
  <c r="I17559" i="9"/>
  <c r="I17560" i="9"/>
  <c r="I17561" i="9"/>
  <c r="I17562" i="9"/>
  <c r="I17563" i="9"/>
  <c r="I17564" i="9"/>
  <c r="I17565" i="9"/>
  <c r="I17566" i="9"/>
  <c r="I17567" i="9"/>
  <c r="I17568" i="9"/>
  <c r="I17569" i="9"/>
  <c r="I17570" i="9"/>
  <c r="I17571" i="9"/>
  <c r="I17572" i="9"/>
  <c r="I17573" i="9"/>
  <c r="I17574" i="9"/>
  <c r="I17575" i="9"/>
  <c r="I17576" i="9"/>
  <c r="I17577" i="9"/>
  <c r="I17578" i="9"/>
  <c r="I17579" i="9"/>
  <c r="I17580" i="9"/>
  <c r="I17581" i="9"/>
  <c r="I17582" i="9"/>
  <c r="I17583" i="9"/>
  <c r="I17584" i="9"/>
  <c r="I17585" i="9"/>
  <c r="I17586" i="9"/>
  <c r="I17587" i="9"/>
  <c r="I17588" i="9"/>
  <c r="I17589" i="9"/>
  <c r="I17590" i="9"/>
  <c r="I17591" i="9"/>
  <c r="I17592" i="9"/>
  <c r="I17593" i="9"/>
  <c r="I17594" i="9"/>
  <c r="I17595" i="9"/>
  <c r="I17596" i="9"/>
  <c r="I17597" i="9"/>
  <c r="I17598" i="9"/>
  <c r="I17599" i="9"/>
  <c r="I17600" i="9"/>
  <c r="I17601" i="9"/>
  <c r="I17602" i="9"/>
  <c r="I17603" i="9"/>
  <c r="I17604" i="9"/>
  <c r="I17605" i="9"/>
  <c r="I17606" i="9"/>
  <c r="I17607" i="9"/>
  <c r="I17608" i="9"/>
  <c r="I17609" i="9"/>
  <c r="I17610" i="9"/>
  <c r="I17611" i="9"/>
  <c r="I17612" i="9"/>
  <c r="I17613" i="9"/>
  <c r="I17614" i="9"/>
  <c r="I17615" i="9"/>
  <c r="I17616" i="9"/>
  <c r="I17617" i="9"/>
  <c r="I17618" i="9"/>
  <c r="I17619" i="9"/>
  <c r="I17620" i="9"/>
  <c r="I17621" i="9"/>
  <c r="I17622" i="9"/>
  <c r="I17623" i="9"/>
  <c r="I17624" i="9"/>
  <c r="I17625" i="9"/>
  <c r="I17626" i="9"/>
  <c r="I17627" i="9"/>
  <c r="I17628" i="9"/>
  <c r="I17629" i="9"/>
  <c r="I17630" i="9"/>
  <c r="I17631" i="9"/>
  <c r="I17632" i="9"/>
  <c r="I17633" i="9"/>
  <c r="I17634" i="9"/>
  <c r="I17635" i="9"/>
  <c r="I17636" i="9"/>
  <c r="I17637" i="9"/>
  <c r="I17638" i="9"/>
  <c r="I17639" i="9"/>
  <c r="I17640" i="9"/>
  <c r="I17641" i="9"/>
  <c r="I17642" i="9"/>
  <c r="I17643" i="9"/>
  <c r="I17644" i="9"/>
  <c r="I17645" i="9"/>
  <c r="I17646" i="9"/>
  <c r="I17647" i="9"/>
  <c r="I17648" i="9"/>
  <c r="I17649" i="9"/>
  <c r="I17650" i="9"/>
  <c r="I17651" i="9"/>
  <c r="I17652" i="9"/>
  <c r="I17653" i="9"/>
  <c r="I17654" i="9"/>
  <c r="I17655" i="9"/>
  <c r="I17656" i="9"/>
  <c r="I17657" i="9"/>
  <c r="I17658" i="9"/>
  <c r="I17659" i="9"/>
  <c r="I17660" i="9"/>
  <c r="I17661" i="9"/>
  <c r="I17662" i="9"/>
  <c r="I17663" i="9"/>
  <c r="I17664" i="9"/>
  <c r="I17665" i="9"/>
  <c r="I17666" i="9"/>
  <c r="I17667" i="9"/>
  <c r="I17668" i="9"/>
  <c r="I17669" i="9"/>
  <c r="I17670" i="9"/>
  <c r="I17671" i="9"/>
  <c r="I17672" i="9"/>
  <c r="I17673" i="9"/>
  <c r="I17674" i="9"/>
  <c r="I17675" i="9"/>
  <c r="I17676" i="9"/>
  <c r="I17677" i="9"/>
  <c r="I17678" i="9"/>
  <c r="I17679" i="9"/>
  <c r="I17680" i="9"/>
  <c r="I17681" i="9"/>
  <c r="I17682" i="9"/>
  <c r="I17683" i="9"/>
  <c r="I17684" i="9"/>
  <c r="I17685" i="9"/>
  <c r="I17686" i="9"/>
  <c r="I17687" i="9"/>
  <c r="I17688" i="9"/>
  <c r="I17689" i="9"/>
  <c r="I17690" i="9"/>
  <c r="I17691" i="9"/>
  <c r="I17692" i="9"/>
  <c r="I17693" i="9"/>
  <c r="I17694" i="9"/>
  <c r="I17695" i="9"/>
  <c r="I17696" i="9"/>
  <c r="I17697" i="9"/>
  <c r="I17698" i="9"/>
  <c r="I17699" i="9"/>
  <c r="I17700" i="9"/>
  <c r="I17701" i="9"/>
  <c r="I17702" i="9"/>
  <c r="I17703" i="9"/>
  <c r="I17704" i="9"/>
  <c r="I17705" i="9"/>
  <c r="I17706" i="9"/>
  <c r="I17707" i="9"/>
  <c r="I17708" i="9"/>
  <c r="I17709" i="9"/>
  <c r="I17710" i="9"/>
  <c r="I17711" i="9"/>
  <c r="I17712" i="9"/>
  <c r="I17713" i="9"/>
  <c r="I17714" i="9"/>
  <c r="I17715" i="9"/>
  <c r="I17716" i="9"/>
  <c r="I17717" i="9"/>
  <c r="I17718" i="9"/>
  <c r="I17719" i="9"/>
  <c r="I17720" i="9"/>
  <c r="I17721" i="9"/>
  <c r="I17722" i="9"/>
  <c r="I17723" i="9"/>
  <c r="I17724" i="9"/>
  <c r="I17725" i="9"/>
  <c r="I17726" i="9"/>
  <c r="I17727" i="9"/>
  <c r="I17728" i="9"/>
  <c r="I17729" i="9"/>
  <c r="I17730" i="9"/>
  <c r="I17731" i="9"/>
  <c r="I17732" i="9"/>
  <c r="I17733" i="9"/>
  <c r="I17734" i="9"/>
  <c r="I17735" i="9"/>
  <c r="I17736" i="9"/>
  <c r="I17737" i="9"/>
  <c r="I17738" i="9"/>
  <c r="I17739" i="9"/>
  <c r="I17740" i="9"/>
  <c r="I17741" i="9"/>
  <c r="I17742" i="9"/>
  <c r="I17743" i="9"/>
  <c r="I17744" i="9"/>
  <c r="I17745" i="9"/>
  <c r="I17746" i="9"/>
  <c r="I17747" i="9"/>
  <c r="I17748" i="9"/>
  <c r="I17749" i="9"/>
  <c r="I17750" i="9"/>
  <c r="I17751" i="9"/>
  <c r="I17752" i="9"/>
  <c r="I17753" i="9"/>
  <c r="I17754" i="9"/>
  <c r="I17755" i="9"/>
  <c r="I17756" i="9"/>
  <c r="I17757" i="9"/>
  <c r="I17758" i="9"/>
  <c r="I17759" i="9"/>
  <c r="I17760" i="9"/>
  <c r="I17761" i="9"/>
  <c r="I17762" i="9"/>
  <c r="I17763" i="9"/>
  <c r="I17764" i="9"/>
  <c r="I17765" i="9"/>
  <c r="I17766" i="9"/>
  <c r="I17767" i="9"/>
  <c r="I17768" i="9"/>
  <c r="I17769" i="9"/>
  <c r="I17770" i="9"/>
  <c r="I17771" i="9"/>
  <c r="I17772" i="9"/>
  <c r="I17773" i="9"/>
  <c r="I17774" i="9"/>
  <c r="I17775" i="9"/>
  <c r="I17776" i="9"/>
  <c r="I17777" i="9"/>
  <c r="I17778" i="9"/>
  <c r="I17779" i="9"/>
  <c r="I17780" i="9"/>
  <c r="I17781" i="9"/>
  <c r="I17782" i="9"/>
  <c r="I17783" i="9"/>
  <c r="I17784" i="9"/>
  <c r="I17785" i="9"/>
  <c r="I17786" i="9"/>
  <c r="I17787" i="9"/>
  <c r="I17788" i="9"/>
  <c r="I17789" i="9"/>
  <c r="I17790" i="9"/>
  <c r="I17791" i="9"/>
  <c r="I17792" i="9"/>
  <c r="I17793" i="9"/>
  <c r="I17794" i="9"/>
  <c r="I17795" i="9"/>
  <c r="I17796" i="9"/>
  <c r="I17797" i="9"/>
  <c r="I17798" i="9"/>
  <c r="I17799" i="9"/>
  <c r="I17800" i="9"/>
  <c r="I17801" i="9"/>
  <c r="I17802" i="9"/>
  <c r="I17803" i="9"/>
  <c r="I17804" i="9"/>
  <c r="I17805" i="9"/>
  <c r="I17806" i="9"/>
  <c r="I17807" i="9"/>
  <c r="I17808" i="9"/>
  <c r="I17809" i="9"/>
  <c r="I17810" i="9"/>
  <c r="I17811" i="9"/>
  <c r="I17812" i="9"/>
  <c r="I17813" i="9"/>
  <c r="I17814" i="9"/>
  <c r="I17815" i="9"/>
  <c r="I17816" i="9"/>
  <c r="I17817" i="9"/>
  <c r="I17818" i="9"/>
  <c r="I17819" i="9"/>
  <c r="I17820" i="9"/>
  <c r="I17821" i="9"/>
  <c r="I17822" i="9"/>
  <c r="I17823" i="9"/>
  <c r="I17824" i="9"/>
  <c r="I17825" i="9"/>
  <c r="I17826" i="9"/>
  <c r="I17827" i="9"/>
  <c r="I17828" i="9"/>
  <c r="I17829" i="9"/>
  <c r="I17830" i="9"/>
  <c r="I17831" i="9"/>
  <c r="I17832" i="9"/>
  <c r="I17833" i="9"/>
  <c r="I17834" i="9"/>
  <c r="I17835" i="9"/>
  <c r="I17836" i="9"/>
  <c r="I17837" i="9"/>
  <c r="I17838" i="9"/>
  <c r="I17839" i="9"/>
  <c r="I17840" i="9"/>
  <c r="I17841" i="9"/>
  <c r="I17842" i="9"/>
  <c r="I17843" i="9"/>
  <c r="I17844" i="9"/>
  <c r="I17845" i="9"/>
  <c r="I17846" i="9"/>
  <c r="I17847" i="9"/>
  <c r="I17848" i="9"/>
  <c r="I17849" i="9"/>
  <c r="I17850" i="9"/>
  <c r="I17851" i="9"/>
  <c r="I17852" i="9"/>
  <c r="I17853" i="9"/>
  <c r="I17854" i="9"/>
  <c r="I17855" i="9"/>
  <c r="I17856" i="9"/>
  <c r="I17326" i="9"/>
  <c r="I17324" i="9"/>
  <c r="I17325" i="9"/>
  <c r="I17323" i="9"/>
  <c r="I17321" i="9"/>
  <c r="I17322" i="9"/>
  <c r="I17320" i="9"/>
  <c r="I17319" i="9"/>
  <c r="I17299" i="9"/>
  <c r="I17300" i="9"/>
  <c r="I17301" i="9"/>
  <c r="I17302" i="9"/>
  <c r="I17303" i="9"/>
  <c r="I17304" i="9"/>
  <c r="I17305" i="9"/>
  <c r="I17306" i="9"/>
  <c r="I17307" i="9"/>
  <c r="I17308" i="9"/>
  <c r="I17309" i="9"/>
  <c r="I17310" i="9"/>
  <c r="I17311" i="9"/>
  <c r="I17312" i="9"/>
  <c r="I17313" i="9"/>
  <c r="I17314" i="9"/>
  <c r="I17315" i="9"/>
  <c r="I17316" i="9"/>
  <c r="I17317" i="9"/>
  <c r="I17318" i="9"/>
  <c r="I17296" i="9"/>
  <c r="I17297" i="9"/>
  <c r="I17298" i="9"/>
  <c r="I17295" i="9"/>
  <c r="I17294" i="9"/>
  <c r="I17293" i="9"/>
  <c r="I17292" i="9"/>
  <c r="I17291" i="9"/>
  <c r="I17290" i="9"/>
  <c r="I17289" i="9"/>
  <c r="I17288" i="9"/>
  <c r="I17243" i="9"/>
  <c r="I17244" i="9"/>
  <c r="I17245" i="9"/>
  <c r="I17246" i="9"/>
  <c r="I17247" i="9"/>
  <c r="I17248" i="9"/>
  <c r="I17249" i="9"/>
  <c r="I17250" i="9"/>
  <c r="I17251" i="9"/>
  <c r="I17252" i="9"/>
  <c r="I17253" i="9"/>
  <c r="I17254" i="9"/>
  <c r="I17255" i="9"/>
  <c r="I17256" i="9"/>
  <c r="I17257" i="9"/>
  <c r="I17258" i="9"/>
  <c r="I17259" i="9"/>
  <c r="I17260" i="9"/>
  <c r="I17261" i="9"/>
  <c r="I17262" i="9"/>
  <c r="I17263" i="9"/>
  <c r="I17264" i="9"/>
  <c r="I17265" i="9"/>
  <c r="I17266" i="9"/>
  <c r="I17267" i="9"/>
  <c r="I17268" i="9"/>
  <c r="I17269" i="9"/>
  <c r="I17270" i="9"/>
  <c r="I17271" i="9"/>
  <c r="I17272" i="9"/>
  <c r="I17273" i="9"/>
  <c r="I17274" i="9"/>
  <c r="I17275" i="9"/>
  <c r="I17276" i="9"/>
  <c r="I17277" i="9"/>
  <c r="I17278" i="9"/>
  <c r="I17279" i="9"/>
  <c r="I17280" i="9"/>
  <c r="I17281" i="9"/>
  <c r="I17282" i="9"/>
  <c r="I17283" i="9"/>
  <c r="I17284" i="9"/>
  <c r="I17285" i="9"/>
  <c r="I17286" i="9"/>
  <c r="I17287" i="9"/>
  <c r="I17222" i="9"/>
  <c r="I17223" i="9"/>
  <c r="I17224" i="9"/>
  <c r="I17225" i="9"/>
  <c r="I17226" i="9"/>
  <c r="I17227" i="9"/>
  <c r="I17228" i="9"/>
  <c r="I17229" i="9"/>
  <c r="I17230" i="9"/>
  <c r="I17231" i="9"/>
  <c r="I17232" i="9"/>
  <c r="I17233" i="9"/>
  <c r="I17234" i="9"/>
  <c r="I17235" i="9"/>
  <c r="I17236" i="9"/>
  <c r="I17237" i="9"/>
  <c r="I17238" i="9"/>
  <c r="I17239" i="9"/>
  <c r="I17240" i="9"/>
  <c r="I17241" i="9"/>
  <c r="I17242" i="9"/>
  <c r="I17215" i="9"/>
  <c r="I17216" i="9"/>
  <c r="I17217" i="9"/>
  <c r="I17218" i="9"/>
  <c r="I17219" i="9"/>
  <c r="I17220" i="9"/>
  <c r="I17221" i="9"/>
  <c r="I17213" i="9"/>
  <c r="I17214" i="9"/>
  <c r="I17206" i="9"/>
  <c r="I17207" i="9"/>
  <c r="I17208" i="9"/>
  <c r="I17209" i="9"/>
  <c r="I17210" i="9"/>
  <c r="I17211" i="9"/>
  <c r="I17212" i="9"/>
  <c r="I17205" i="9"/>
  <c r="I17204" i="9"/>
  <c r="I17199" i="9"/>
  <c r="I17200" i="9"/>
  <c r="I17201" i="9"/>
  <c r="I17202" i="9"/>
  <c r="I17203" i="9"/>
  <c r="I17198" i="9"/>
  <c r="I17197" i="9"/>
  <c r="I17196" i="9"/>
  <c r="I17195" i="9"/>
  <c r="I17189" i="9"/>
  <c r="I17190" i="9"/>
  <c r="I17191" i="9"/>
  <c r="I17192" i="9"/>
  <c r="I17193" i="9"/>
  <c r="I17194" i="9"/>
  <c r="I17188" i="9"/>
  <c r="I17187" i="9"/>
  <c r="I17184" i="9"/>
  <c r="I17185" i="9"/>
  <c r="I17186" i="9"/>
  <c r="I17175" i="9"/>
  <c r="I17176" i="9"/>
  <c r="I17177" i="9"/>
  <c r="I17178" i="9"/>
  <c r="I17179" i="9"/>
  <c r="I17180" i="9"/>
  <c r="I17181" i="9"/>
  <c r="I17182" i="9"/>
  <c r="I17183" i="9"/>
  <c r="I17173" i="9"/>
  <c r="I17174" i="9"/>
  <c r="I17167" i="9"/>
  <c r="I17168" i="9"/>
  <c r="I17169" i="9"/>
  <c r="I17170" i="9"/>
  <c r="I17171" i="9"/>
  <c r="I17172" i="9"/>
  <c r="I17166" i="9"/>
  <c r="I17159" i="9"/>
  <c r="I17160" i="9"/>
  <c r="I17161" i="9"/>
  <c r="I17162" i="9"/>
  <c r="I17163" i="9"/>
  <c r="I17164" i="9"/>
  <c r="I17165" i="9"/>
  <c r="I17156" i="9"/>
  <c r="I17157" i="9"/>
  <c r="I17158" i="9"/>
  <c r="I17155" i="9"/>
  <c r="I17149" i="9"/>
  <c r="I17150" i="9"/>
  <c r="I17151" i="9"/>
  <c r="I17152" i="9"/>
  <c r="I17153" i="9"/>
  <c r="I17154" i="9"/>
  <c r="I17147" i="9"/>
  <c r="I17148" i="9"/>
  <c r="I17145" i="9"/>
  <c r="I17146" i="9"/>
  <c r="I17143" i="9"/>
  <c r="I17144" i="9"/>
  <c r="I17142" i="9"/>
  <c r="I17140" i="9"/>
  <c r="I17141" i="9"/>
  <c r="I17123" i="9"/>
  <c r="I17124" i="9"/>
  <c r="I17125" i="9"/>
  <c r="I17126" i="9"/>
  <c r="I17127" i="9"/>
  <c r="I17128" i="9"/>
  <c r="I17129" i="9"/>
  <c r="I17130" i="9"/>
  <c r="I17131" i="9"/>
  <c r="I17132" i="9"/>
  <c r="I17133" i="9"/>
  <c r="I17134" i="9"/>
  <c r="I17135" i="9"/>
  <c r="I17136" i="9"/>
  <c r="I17137" i="9"/>
  <c r="I17138" i="9"/>
  <c r="I17139" i="9"/>
  <c r="I17122" i="9"/>
  <c r="I17120" i="9"/>
  <c r="I17121" i="9"/>
  <c r="I17112" i="9"/>
  <c r="I17113" i="9"/>
  <c r="I17114" i="9"/>
  <c r="I17115" i="9"/>
  <c r="I17116" i="9"/>
  <c r="I17117" i="9"/>
  <c r="I17118" i="9"/>
  <c r="I17119" i="9"/>
  <c r="I17110" i="9"/>
  <c r="I17111" i="9"/>
  <c r="I17109" i="9"/>
  <c r="I17108" i="9"/>
  <c r="I17107" i="9"/>
  <c r="I17103" i="9"/>
  <c r="I17104" i="9"/>
  <c r="I17105" i="9"/>
  <c r="I17106" i="9"/>
  <c r="I17099" i="9"/>
  <c r="I17100" i="9"/>
  <c r="I17101" i="9"/>
  <c r="I17102" i="9"/>
  <c r="I17072" i="9"/>
  <c r="I17073" i="9"/>
  <c r="I17074" i="9"/>
  <c r="I17075" i="9"/>
  <c r="I17076" i="9"/>
  <c r="I17077" i="9"/>
  <c r="I17078" i="9"/>
  <c r="I17079" i="9"/>
  <c r="I17080" i="9"/>
  <c r="I17081" i="9"/>
  <c r="I17082" i="9"/>
  <c r="I17083" i="9"/>
  <c r="I17084" i="9"/>
  <c r="I17085" i="9"/>
  <c r="I17086" i="9"/>
  <c r="I17087" i="9"/>
  <c r="I17088" i="9"/>
  <c r="I17089" i="9"/>
  <c r="I17090" i="9"/>
  <c r="I17091" i="9"/>
  <c r="I17092" i="9"/>
  <c r="I17093" i="9"/>
  <c r="I17094" i="9"/>
  <c r="I17095" i="9"/>
  <c r="I17096" i="9"/>
  <c r="I17097" i="9"/>
  <c r="I17098" i="9"/>
  <c r="I17070" i="9"/>
  <c r="I17071" i="9"/>
  <c r="I17069" i="9"/>
  <c r="I17068" i="9"/>
  <c r="I17067" i="9"/>
  <c r="I17066" i="9"/>
  <c r="I17058" i="9"/>
  <c r="I17059" i="9"/>
  <c r="I17060" i="9"/>
  <c r="I17061" i="9"/>
  <c r="I17062" i="9"/>
  <c r="I17063" i="9"/>
  <c r="I17064" i="9"/>
  <c r="I17065" i="9"/>
  <c r="I17053" i="9"/>
  <c r="I17054" i="9"/>
  <c r="I17055" i="9"/>
  <c r="I17056" i="9"/>
  <c r="I17057" i="9"/>
  <c r="I17051" i="9"/>
  <c r="I17052" i="9"/>
  <c r="I17050" i="9"/>
  <c r="I17049" i="9"/>
  <c r="I17048" i="9"/>
  <c r="I17046" i="9"/>
  <c r="I17047" i="9"/>
  <c r="I17045" i="9"/>
  <c r="I17042" i="9"/>
  <c r="I17043" i="9"/>
  <c r="I17044" i="9"/>
  <c r="I17041" i="9"/>
  <c r="I17040" i="9"/>
  <c r="I17039" i="9"/>
  <c r="I17038" i="9"/>
  <c r="I16484" i="9" l="1"/>
  <c r="I16485" i="9"/>
  <c r="I16486" i="9"/>
  <c r="I16487" i="9"/>
  <c r="I16488" i="9"/>
  <c r="I16489" i="9"/>
  <c r="I16490" i="9"/>
  <c r="I16491" i="9"/>
  <c r="I16492" i="9"/>
  <c r="I16493" i="9"/>
  <c r="I16494" i="9"/>
  <c r="I16495" i="9"/>
  <c r="I16496" i="9"/>
  <c r="I16497" i="9"/>
  <c r="I16498" i="9"/>
  <c r="I16499" i="9"/>
  <c r="I16500" i="9"/>
  <c r="I16501" i="9"/>
  <c r="I16502" i="9"/>
  <c r="I16503" i="9"/>
  <c r="I16504" i="9"/>
  <c r="I16505" i="9"/>
  <c r="I16506" i="9"/>
  <c r="I16507" i="9"/>
  <c r="I16508" i="9"/>
  <c r="I16509" i="9"/>
  <c r="I16510" i="9"/>
  <c r="I16511" i="9"/>
  <c r="I16512" i="9"/>
  <c r="I16513" i="9"/>
  <c r="I16514" i="9"/>
  <c r="I16515" i="9"/>
  <c r="I16516" i="9"/>
  <c r="I16517" i="9"/>
  <c r="I16518" i="9"/>
  <c r="I16519" i="9"/>
  <c r="I16520" i="9"/>
  <c r="I16521" i="9"/>
  <c r="I16522" i="9"/>
  <c r="I16523" i="9"/>
  <c r="I16524" i="9"/>
  <c r="I16525" i="9"/>
  <c r="I16526" i="9"/>
  <c r="I16527" i="9"/>
  <c r="I16528" i="9"/>
  <c r="I16529" i="9"/>
  <c r="I16530" i="9"/>
  <c r="I16531" i="9"/>
  <c r="I16532" i="9"/>
  <c r="I16533" i="9"/>
  <c r="I16534" i="9"/>
  <c r="I16535" i="9"/>
  <c r="I16536" i="9"/>
  <c r="I16537" i="9"/>
  <c r="I16538" i="9"/>
  <c r="I16539" i="9"/>
  <c r="I16540" i="9"/>
  <c r="I16541" i="9"/>
  <c r="I16542" i="9"/>
  <c r="I16543" i="9"/>
  <c r="I16544" i="9"/>
  <c r="I16545" i="9"/>
  <c r="I16546" i="9"/>
  <c r="I16547" i="9"/>
  <c r="I16548" i="9"/>
  <c r="I16549" i="9"/>
  <c r="I16550" i="9"/>
  <c r="I16551" i="9"/>
  <c r="I16552" i="9"/>
  <c r="I16553" i="9"/>
  <c r="I16554" i="9"/>
  <c r="I16555" i="9"/>
  <c r="I16556" i="9"/>
  <c r="I16557" i="9"/>
  <c r="I16558" i="9"/>
  <c r="I16559" i="9"/>
  <c r="I16560" i="9"/>
  <c r="I16561" i="9"/>
  <c r="I16562" i="9"/>
  <c r="I16563" i="9"/>
  <c r="I16564" i="9"/>
  <c r="I16565" i="9"/>
  <c r="I16566" i="9"/>
  <c r="I16567" i="9"/>
  <c r="I16568" i="9"/>
  <c r="I16569" i="9"/>
  <c r="I16570" i="9"/>
  <c r="I16571" i="9"/>
  <c r="I16572" i="9"/>
  <c r="I16573" i="9"/>
  <c r="I16574" i="9"/>
  <c r="I16575" i="9"/>
  <c r="I16576" i="9"/>
  <c r="I16577" i="9"/>
  <c r="I16578" i="9"/>
  <c r="I16579" i="9"/>
  <c r="I16580" i="9"/>
  <c r="I16581" i="9"/>
  <c r="I16582" i="9"/>
  <c r="I16583" i="9"/>
  <c r="I16584" i="9"/>
  <c r="I16585" i="9"/>
  <c r="I16586" i="9"/>
  <c r="I16587" i="9"/>
  <c r="I16588" i="9"/>
  <c r="I16589" i="9"/>
  <c r="I16590" i="9"/>
  <c r="I16591" i="9"/>
  <c r="I16592" i="9"/>
  <c r="I16593" i="9"/>
  <c r="I16594" i="9"/>
  <c r="I16595" i="9"/>
  <c r="I16596" i="9"/>
  <c r="I16597" i="9"/>
  <c r="I16598" i="9"/>
  <c r="I16599" i="9"/>
  <c r="I16600" i="9"/>
  <c r="I16601" i="9"/>
  <c r="I16602" i="9"/>
  <c r="I16603" i="9"/>
  <c r="I16604" i="9"/>
  <c r="I16605" i="9"/>
  <c r="I16606" i="9"/>
  <c r="I16607" i="9"/>
  <c r="I16608" i="9"/>
  <c r="I16609" i="9"/>
  <c r="I16610" i="9"/>
  <c r="I16611" i="9"/>
  <c r="I16612" i="9"/>
  <c r="I16613" i="9"/>
  <c r="I16614" i="9"/>
  <c r="I16615" i="9"/>
  <c r="I16616" i="9"/>
  <c r="I16617" i="9"/>
  <c r="I16618" i="9"/>
  <c r="I16619" i="9"/>
  <c r="I16620" i="9"/>
  <c r="I16621" i="9"/>
  <c r="I16622" i="9"/>
  <c r="I16623" i="9"/>
  <c r="I16624" i="9"/>
  <c r="I16625" i="9"/>
  <c r="I16626" i="9"/>
  <c r="I16627" i="9"/>
  <c r="I16628" i="9"/>
  <c r="I16629" i="9"/>
  <c r="I16630" i="9"/>
  <c r="I16631" i="9"/>
  <c r="I16632" i="9"/>
  <c r="I16633" i="9"/>
  <c r="I16634" i="9"/>
  <c r="I16635" i="9"/>
  <c r="I16636" i="9"/>
  <c r="I16637" i="9"/>
  <c r="I16638" i="9"/>
  <c r="I16639" i="9"/>
  <c r="I16640" i="9"/>
  <c r="I16641" i="9"/>
  <c r="I16642" i="9"/>
  <c r="I16643" i="9"/>
  <c r="I16644" i="9"/>
  <c r="I16645" i="9"/>
  <c r="I16646" i="9"/>
  <c r="I16647" i="9"/>
  <c r="I16648" i="9"/>
  <c r="I16649" i="9"/>
  <c r="I16650" i="9"/>
  <c r="I16651" i="9"/>
  <c r="I16652" i="9"/>
  <c r="I16653" i="9"/>
  <c r="I16654" i="9"/>
  <c r="I16655" i="9"/>
  <c r="I16656" i="9"/>
  <c r="I16657" i="9"/>
  <c r="I16658" i="9"/>
  <c r="I16659" i="9"/>
  <c r="I16660" i="9"/>
  <c r="I16661" i="9"/>
  <c r="I16662" i="9"/>
  <c r="I16663" i="9"/>
  <c r="I16664" i="9"/>
  <c r="I16665" i="9"/>
  <c r="I16666" i="9"/>
  <c r="I16667" i="9"/>
  <c r="I16668" i="9"/>
  <c r="I16669" i="9"/>
  <c r="I16670" i="9"/>
  <c r="I16671" i="9"/>
  <c r="I16672" i="9"/>
  <c r="I16673" i="9"/>
  <c r="I16674" i="9"/>
  <c r="I16675" i="9"/>
  <c r="I16676" i="9"/>
  <c r="I16677" i="9"/>
  <c r="I16678" i="9"/>
  <c r="I16679" i="9"/>
  <c r="I16680" i="9"/>
  <c r="I16681" i="9"/>
  <c r="I16682" i="9"/>
  <c r="I16683" i="9"/>
  <c r="I16684" i="9"/>
  <c r="I16685" i="9"/>
  <c r="I16686" i="9"/>
  <c r="I16687" i="9"/>
  <c r="I16688" i="9"/>
  <c r="I16689" i="9"/>
  <c r="I16690" i="9"/>
  <c r="I16691" i="9"/>
  <c r="I16692" i="9"/>
  <c r="I16693" i="9"/>
  <c r="I16694" i="9"/>
  <c r="I16695" i="9"/>
  <c r="I16696" i="9"/>
  <c r="I16697" i="9"/>
  <c r="I16698" i="9"/>
  <c r="I16699" i="9"/>
  <c r="I16700" i="9"/>
  <c r="I16701" i="9"/>
  <c r="I16702" i="9"/>
  <c r="I16703" i="9"/>
  <c r="I16704" i="9"/>
  <c r="I16705" i="9"/>
  <c r="I16706" i="9"/>
  <c r="I16707" i="9"/>
  <c r="I16708" i="9"/>
  <c r="I16709" i="9"/>
  <c r="I16710" i="9"/>
  <c r="I16711" i="9"/>
  <c r="I16712" i="9"/>
  <c r="I16713" i="9"/>
  <c r="I16714" i="9"/>
  <c r="I16715" i="9"/>
  <c r="I16716" i="9"/>
  <c r="I16717" i="9"/>
  <c r="I16718" i="9"/>
  <c r="I16719" i="9"/>
  <c r="I16720" i="9"/>
  <c r="I16721" i="9"/>
  <c r="I16722" i="9"/>
  <c r="I16723" i="9"/>
  <c r="I16724" i="9"/>
  <c r="I16725" i="9"/>
  <c r="I16726" i="9"/>
  <c r="I16727" i="9"/>
  <c r="I16728" i="9"/>
  <c r="I16729" i="9"/>
  <c r="I16730" i="9"/>
  <c r="I16731" i="9"/>
  <c r="I16732" i="9"/>
  <c r="I16733" i="9"/>
  <c r="I16734" i="9"/>
  <c r="I16735" i="9"/>
  <c r="I16736" i="9"/>
  <c r="I16737" i="9"/>
  <c r="I16738" i="9"/>
  <c r="I16739" i="9"/>
  <c r="I16740" i="9"/>
  <c r="I16741" i="9"/>
  <c r="I16742" i="9"/>
  <c r="I16743" i="9"/>
  <c r="I16744" i="9"/>
  <c r="I16745" i="9"/>
  <c r="I16746" i="9"/>
  <c r="I16747" i="9"/>
  <c r="I16748" i="9"/>
  <c r="I16749" i="9"/>
  <c r="I16750" i="9"/>
  <c r="I16751" i="9"/>
  <c r="I16752" i="9"/>
  <c r="I16753" i="9"/>
  <c r="I16754" i="9"/>
  <c r="I16755" i="9"/>
  <c r="I16756" i="9"/>
  <c r="I16757" i="9"/>
  <c r="I16758" i="9"/>
  <c r="I16759" i="9"/>
  <c r="I16760" i="9"/>
  <c r="I16761" i="9"/>
  <c r="I16762" i="9"/>
  <c r="I16763" i="9"/>
  <c r="I16764" i="9"/>
  <c r="I16765" i="9"/>
  <c r="I16766" i="9"/>
  <c r="I16767" i="9"/>
  <c r="I16768" i="9"/>
  <c r="I16769" i="9"/>
  <c r="I16770" i="9"/>
  <c r="I16771" i="9"/>
  <c r="I16772" i="9"/>
  <c r="I16773" i="9"/>
  <c r="I16774" i="9"/>
  <c r="I16775" i="9"/>
  <c r="I16776" i="9"/>
  <c r="I16777" i="9"/>
  <c r="I16778" i="9"/>
  <c r="I16779" i="9"/>
  <c r="I16780" i="9"/>
  <c r="I16781" i="9"/>
  <c r="I16782" i="9"/>
  <c r="I16783" i="9"/>
  <c r="I16784" i="9"/>
  <c r="I16785" i="9"/>
  <c r="I16786" i="9"/>
  <c r="I16787" i="9"/>
  <c r="I16788" i="9"/>
  <c r="I16789" i="9"/>
  <c r="I16790" i="9"/>
  <c r="I16791" i="9"/>
  <c r="I16792" i="9"/>
  <c r="I16793" i="9"/>
  <c r="I16794" i="9"/>
  <c r="I16795" i="9"/>
  <c r="I16796" i="9"/>
  <c r="I16797" i="9"/>
  <c r="I16798" i="9"/>
  <c r="I16799" i="9"/>
  <c r="I16800" i="9"/>
  <c r="I16801" i="9"/>
  <c r="I16802" i="9"/>
  <c r="I16803" i="9"/>
  <c r="I16804" i="9"/>
  <c r="I16805" i="9"/>
  <c r="I16806" i="9"/>
  <c r="I16807" i="9"/>
  <c r="I16808" i="9"/>
  <c r="I16809" i="9"/>
  <c r="I16810" i="9"/>
  <c r="I16811" i="9"/>
  <c r="I16812" i="9"/>
  <c r="I16813" i="9"/>
  <c r="I16814" i="9"/>
  <c r="I16815" i="9"/>
  <c r="I16816" i="9"/>
  <c r="I16817" i="9"/>
  <c r="I16818" i="9"/>
  <c r="I16819" i="9"/>
  <c r="I16820" i="9"/>
  <c r="I16821" i="9"/>
  <c r="I16822" i="9"/>
  <c r="I16823" i="9"/>
  <c r="I16824" i="9"/>
  <c r="I16825" i="9"/>
  <c r="I16826" i="9"/>
  <c r="I16827" i="9"/>
  <c r="I16828" i="9"/>
  <c r="I16829" i="9"/>
  <c r="I16830" i="9"/>
  <c r="I16831" i="9"/>
  <c r="I16832" i="9"/>
  <c r="I16833" i="9"/>
  <c r="I16834" i="9"/>
  <c r="I16835" i="9"/>
  <c r="I16836" i="9"/>
  <c r="I16837" i="9"/>
  <c r="I16838" i="9"/>
  <c r="I16839" i="9"/>
  <c r="I16840" i="9"/>
  <c r="I16841" i="9"/>
  <c r="I16842" i="9"/>
  <c r="I16843" i="9"/>
  <c r="I16844" i="9"/>
  <c r="I16845" i="9"/>
  <c r="I16846" i="9"/>
  <c r="I16847" i="9"/>
  <c r="I16848" i="9"/>
  <c r="I16849" i="9"/>
  <c r="I16850" i="9"/>
  <c r="I16851" i="9"/>
  <c r="I16852" i="9"/>
  <c r="I16853" i="9"/>
  <c r="I16854" i="9"/>
  <c r="I16855" i="9"/>
  <c r="I16856" i="9"/>
  <c r="I16857" i="9"/>
  <c r="I16858" i="9"/>
  <c r="I16859" i="9"/>
  <c r="I16860" i="9"/>
  <c r="I16861" i="9"/>
  <c r="I16862" i="9"/>
  <c r="I16863" i="9"/>
  <c r="I16864" i="9"/>
  <c r="I16865" i="9"/>
  <c r="I16866" i="9"/>
  <c r="I16867" i="9"/>
  <c r="I16868" i="9"/>
  <c r="I16869" i="9"/>
  <c r="I16870" i="9"/>
  <c r="I16871" i="9"/>
  <c r="I16872" i="9"/>
  <c r="I16873" i="9"/>
  <c r="I16874" i="9"/>
  <c r="I16875" i="9"/>
  <c r="I16876" i="9"/>
  <c r="I16877" i="9"/>
  <c r="I16878" i="9"/>
  <c r="I16879" i="9"/>
  <c r="I16880" i="9"/>
  <c r="I16881" i="9"/>
  <c r="I16882" i="9"/>
  <c r="I16883" i="9"/>
  <c r="I16884" i="9"/>
  <c r="I16885" i="9"/>
  <c r="I16886" i="9"/>
  <c r="I16887" i="9"/>
  <c r="I16888" i="9"/>
  <c r="I16889" i="9"/>
  <c r="I16890" i="9"/>
  <c r="I16891" i="9"/>
  <c r="I16892" i="9"/>
  <c r="I16893" i="9"/>
  <c r="I16894" i="9"/>
  <c r="I16895" i="9"/>
  <c r="I16896" i="9"/>
  <c r="I16897" i="9"/>
  <c r="I16898" i="9"/>
  <c r="I16899" i="9"/>
  <c r="I16900" i="9"/>
  <c r="I16901" i="9"/>
  <c r="I16902" i="9"/>
  <c r="I16903" i="9"/>
  <c r="I16904" i="9"/>
  <c r="I16905" i="9"/>
  <c r="I16906" i="9"/>
  <c r="I16907" i="9"/>
  <c r="I16908" i="9"/>
  <c r="I16909" i="9"/>
  <c r="I16910" i="9"/>
  <c r="I16911" i="9"/>
  <c r="I16912" i="9"/>
  <c r="I16913" i="9"/>
  <c r="I16914" i="9"/>
  <c r="I16915" i="9"/>
  <c r="I16916" i="9"/>
  <c r="I16917" i="9"/>
  <c r="I16918" i="9"/>
  <c r="I16919" i="9"/>
  <c r="I16920" i="9"/>
  <c r="I16921" i="9"/>
  <c r="I16922" i="9"/>
  <c r="I16923" i="9"/>
  <c r="I16924" i="9"/>
  <c r="I16925" i="9"/>
  <c r="I16926" i="9"/>
  <c r="I16927" i="9"/>
  <c r="I16928" i="9"/>
  <c r="I16929" i="9"/>
  <c r="I16930" i="9"/>
  <c r="I16931" i="9"/>
  <c r="I16932" i="9"/>
  <c r="I16933" i="9"/>
  <c r="I16934" i="9"/>
  <c r="I16935" i="9"/>
  <c r="I16936" i="9"/>
  <c r="I16937" i="9"/>
  <c r="I16938" i="9"/>
  <c r="I16939" i="9"/>
  <c r="I16940" i="9"/>
  <c r="I16941" i="9"/>
  <c r="I16942" i="9"/>
  <c r="I16943" i="9"/>
  <c r="I16944" i="9"/>
  <c r="I16945" i="9"/>
  <c r="I16946" i="9"/>
  <c r="I16947" i="9"/>
  <c r="I16948" i="9"/>
  <c r="I16949" i="9"/>
  <c r="I16950" i="9"/>
  <c r="I16951" i="9"/>
  <c r="I16952" i="9"/>
  <c r="I16953" i="9"/>
  <c r="I16954" i="9"/>
  <c r="I16955" i="9"/>
  <c r="I16956" i="9"/>
  <c r="I16957" i="9"/>
  <c r="I16958" i="9"/>
  <c r="I16959" i="9"/>
  <c r="I16960" i="9"/>
  <c r="I16961" i="9"/>
  <c r="I16962" i="9"/>
  <c r="I16963" i="9"/>
  <c r="I16964" i="9"/>
  <c r="I16965" i="9"/>
  <c r="I16966" i="9"/>
  <c r="I16967" i="9"/>
  <c r="I16968" i="9"/>
  <c r="I16969" i="9"/>
  <c r="I16970" i="9"/>
  <c r="I16971" i="9"/>
  <c r="I16972" i="9"/>
  <c r="I16973" i="9"/>
  <c r="I16974" i="9"/>
  <c r="I16975" i="9"/>
  <c r="I16976" i="9"/>
  <c r="I16977" i="9"/>
  <c r="I16978" i="9"/>
  <c r="I16979" i="9"/>
  <c r="I16980" i="9"/>
  <c r="I16981" i="9"/>
  <c r="I16982" i="9"/>
  <c r="I16983" i="9"/>
  <c r="I16984" i="9"/>
  <c r="I16985" i="9"/>
  <c r="I16986" i="9"/>
  <c r="I16987" i="9"/>
  <c r="I16988" i="9"/>
  <c r="I16989" i="9"/>
  <c r="I16990" i="9"/>
  <c r="I16991" i="9"/>
  <c r="I16992" i="9"/>
  <c r="I16993" i="9"/>
  <c r="I16994" i="9"/>
  <c r="I16995" i="9"/>
  <c r="I16996" i="9"/>
  <c r="I16997" i="9"/>
  <c r="I16998" i="9"/>
  <c r="I16999" i="9"/>
  <c r="I17000" i="9"/>
  <c r="I17001" i="9"/>
  <c r="I17002" i="9"/>
  <c r="I17003" i="9"/>
  <c r="I17004" i="9"/>
  <c r="I17005" i="9"/>
  <c r="I17006" i="9"/>
  <c r="I17007" i="9"/>
  <c r="I17008" i="9"/>
  <c r="I17009" i="9"/>
  <c r="I17010" i="9"/>
  <c r="I17011" i="9"/>
  <c r="I17012" i="9"/>
  <c r="I17013" i="9"/>
  <c r="I17014" i="9"/>
  <c r="I17015" i="9"/>
  <c r="I17016" i="9"/>
  <c r="I17017" i="9"/>
  <c r="I17018" i="9"/>
  <c r="I17019" i="9"/>
  <c r="I17020" i="9"/>
  <c r="I17021" i="9"/>
  <c r="I17022" i="9"/>
  <c r="I17023" i="9"/>
  <c r="I17024" i="9"/>
  <c r="I17025" i="9"/>
  <c r="I17026" i="9"/>
  <c r="I17027" i="9"/>
  <c r="I17028" i="9"/>
  <c r="I17029" i="9"/>
  <c r="I17030" i="9"/>
  <c r="I17031" i="9"/>
  <c r="I17032" i="9"/>
  <c r="I17033" i="9"/>
  <c r="I17034" i="9"/>
  <c r="I17035" i="9"/>
  <c r="I17036" i="9"/>
  <c r="I17037" i="9"/>
  <c r="I16483" i="9"/>
  <c r="I16482" i="9"/>
  <c r="I16481" i="9"/>
  <c r="I16479" i="9"/>
  <c r="I16480" i="9"/>
  <c r="I16478" i="9"/>
  <c r="I16475" i="9"/>
  <c r="I16476" i="9"/>
  <c r="I16477" i="9"/>
  <c r="I15804" i="9"/>
  <c r="I15805" i="9"/>
  <c r="I15806" i="9"/>
  <c r="I15807" i="9"/>
  <c r="I15808" i="9"/>
  <c r="I15809" i="9"/>
  <c r="I15810" i="9"/>
  <c r="I15811" i="9"/>
  <c r="I15812" i="9"/>
  <c r="I15813" i="9"/>
  <c r="I15814" i="9"/>
  <c r="I15815" i="9"/>
  <c r="I15816" i="9"/>
  <c r="I15817" i="9"/>
  <c r="I15818" i="9"/>
  <c r="I15819" i="9"/>
  <c r="I15820" i="9"/>
  <c r="I15821" i="9"/>
  <c r="I15822" i="9"/>
  <c r="I15823" i="9"/>
  <c r="I15824" i="9"/>
  <c r="I15825" i="9"/>
  <c r="I15826" i="9"/>
  <c r="I15827" i="9"/>
  <c r="I15828" i="9"/>
  <c r="I15829" i="9"/>
  <c r="I15830" i="9"/>
  <c r="I15831" i="9"/>
  <c r="I15832" i="9"/>
  <c r="I15833" i="9"/>
  <c r="I15834" i="9"/>
  <c r="I15835" i="9"/>
  <c r="I15836" i="9"/>
  <c r="I15837" i="9"/>
  <c r="I15838" i="9"/>
  <c r="I15839" i="9"/>
  <c r="I15840" i="9"/>
  <c r="I15841" i="9"/>
  <c r="I15842" i="9"/>
  <c r="I15843" i="9"/>
  <c r="I15844" i="9"/>
  <c r="I15845" i="9"/>
  <c r="I15846" i="9"/>
  <c r="I15847" i="9"/>
  <c r="I15848" i="9"/>
  <c r="I15849" i="9"/>
  <c r="I15850" i="9"/>
  <c r="I15851" i="9"/>
  <c r="I15852" i="9"/>
  <c r="I15853" i="9"/>
  <c r="I15854" i="9"/>
  <c r="I15855" i="9"/>
  <c r="I15856" i="9"/>
  <c r="I15857" i="9"/>
  <c r="I15858" i="9"/>
  <c r="I15859" i="9"/>
  <c r="I15860" i="9"/>
  <c r="I15861" i="9"/>
  <c r="I15862" i="9"/>
  <c r="I15863" i="9"/>
  <c r="I15864" i="9"/>
  <c r="I15865" i="9"/>
  <c r="I15866" i="9"/>
  <c r="I15867" i="9"/>
  <c r="I15868" i="9"/>
  <c r="I15869" i="9"/>
  <c r="I15870" i="9"/>
  <c r="I15871" i="9"/>
  <c r="I15872" i="9"/>
  <c r="I15873" i="9"/>
  <c r="I15874" i="9"/>
  <c r="I15875" i="9"/>
  <c r="I15876" i="9"/>
  <c r="I15877" i="9"/>
  <c r="I15878" i="9"/>
  <c r="I15879" i="9"/>
  <c r="I15880" i="9"/>
  <c r="I15881" i="9"/>
  <c r="I15882" i="9"/>
  <c r="I15883" i="9"/>
  <c r="I15884" i="9"/>
  <c r="I15885" i="9"/>
  <c r="I15886" i="9"/>
  <c r="I15887" i="9"/>
  <c r="I15888" i="9"/>
  <c r="I15889" i="9"/>
  <c r="I15890" i="9"/>
  <c r="I15891" i="9"/>
  <c r="I15892" i="9"/>
  <c r="I15893" i="9"/>
  <c r="I15894" i="9"/>
  <c r="I15895" i="9"/>
  <c r="I15896" i="9"/>
  <c r="I15897" i="9"/>
  <c r="I15898" i="9"/>
  <c r="I15899" i="9"/>
  <c r="I15900" i="9"/>
  <c r="I15901" i="9"/>
  <c r="I15902" i="9"/>
  <c r="I15903" i="9"/>
  <c r="I15904" i="9"/>
  <c r="I15905" i="9"/>
  <c r="I15906" i="9"/>
  <c r="I15907" i="9"/>
  <c r="I15908" i="9"/>
  <c r="I15909" i="9"/>
  <c r="I15910" i="9"/>
  <c r="I15911" i="9"/>
  <c r="I15912" i="9"/>
  <c r="I15913" i="9"/>
  <c r="I15914" i="9"/>
  <c r="I15915" i="9"/>
  <c r="I15916" i="9"/>
  <c r="I15917" i="9"/>
  <c r="I15918" i="9"/>
  <c r="I15919" i="9"/>
  <c r="I15920" i="9"/>
  <c r="I15921" i="9"/>
  <c r="I15922" i="9"/>
  <c r="I15923" i="9"/>
  <c r="I15924" i="9"/>
  <c r="I15925" i="9"/>
  <c r="I15926" i="9"/>
  <c r="I15927" i="9"/>
  <c r="I15928" i="9"/>
  <c r="I15929" i="9"/>
  <c r="I15930" i="9"/>
  <c r="I15931" i="9"/>
  <c r="I15932" i="9"/>
  <c r="I15933" i="9"/>
  <c r="I15934" i="9"/>
  <c r="I15935" i="9"/>
  <c r="I15936" i="9"/>
  <c r="I15937" i="9"/>
  <c r="I15938" i="9"/>
  <c r="I15939" i="9"/>
  <c r="I15940" i="9"/>
  <c r="I15941" i="9"/>
  <c r="I15942" i="9"/>
  <c r="I15943" i="9"/>
  <c r="I15944" i="9"/>
  <c r="I15945" i="9"/>
  <c r="I15946" i="9"/>
  <c r="I15947" i="9"/>
  <c r="I15948" i="9"/>
  <c r="I15949" i="9"/>
  <c r="I15950" i="9"/>
  <c r="I15951" i="9"/>
  <c r="I15952" i="9"/>
  <c r="I15953" i="9"/>
  <c r="I15954" i="9"/>
  <c r="I15955" i="9"/>
  <c r="I15956" i="9"/>
  <c r="I15957" i="9"/>
  <c r="I15958" i="9"/>
  <c r="I15959" i="9"/>
  <c r="I15960" i="9"/>
  <c r="I15961" i="9"/>
  <c r="I15962" i="9"/>
  <c r="I15963" i="9"/>
  <c r="I15964" i="9"/>
  <c r="I15965" i="9"/>
  <c r="I15966" i="9"/>
  <c r="I15967" i="9"/>
  <c r="I15968" i="9"/>
  <c r="I15969" i="9"/>
  <c r="I15970" i="9"/>
  <c r="I15971" i="9"/>
  <c r="I15972" i="9"/>
  <c r="I15973" i="9"/>
  <c r="I15974" i="9"/>
  <c r="I15975" i="9"/>
  <c r="I15976" i="9"/>
  <c r="I15977" i="9"/>
  <c r="I15978" i="9"/>
  <c r="I15979" i="9"/>
  <c r="I15980" i="9"/>
  <c r="I15981" i="9"/>
  <c r="I15982" i="9"/>
  <c r="I15983" i="9"/>
  <c r="I15984" i="9"/>
  <c r="I15985" i="9"/>
  <c r="I15986" i="9"/>
  <c r="I15987" i="9"/>
  <c r="I15988" i="9"/>
  <c r="I15989" i="9"/>
  <c r="I15990" i="9"/>
  <c r="I15991" i="9"/>
  <c r="I15992" i="9"/>
  <c r="I15993" i="9"/>
  <c r="I15994" i="9"/>
  <c r="I15995" i="9"/>
  <c r="I15996" i="9"/>
  <c r="I15997" i="9"/>
  <c r="I15998" i="9"/>
  <c r="I15999" i="9"/>
  <c r="I16000" i="9"/>
  <c r="I16001" i="9"/>
  <c r="I16002" i="9"/>
  <c r="I16003" i="9"/>
  <c r="I16004" i="9"/>
  <c r="I16005" i="9"/>
  <c r="I16006" i="9"/>
  <c r="I16007" i="9"/>
  <c r="I16008" i="9"/>
  <c r="I16009" i="9"/>
  <c r="I16010" i="9"/>
  <c r="I16011" i="9"/>
  <c r="I16012" i="9"/>
  <c r="I16013" i="9"/>
  <c r="I16014" i="9"/>
  <c r="I16015" i="9"/>
  <c r="I16016" i="9"/>
  <c r="I16017" i="9"/>
  <c r="I16018" i="9"/>
  <c r="I16019" i="9"/>
  <c r="I16020" i="9"/>
  <c r="I16021" i="9"/>
  <c r="I16022" i="9"/>
  <c r="I16023" i="9"/>
  <c r="I16024" i="9"/>
  <c r="I16025" i="9"/>
  <c r="I16026" i="9"/>
  <c r="I16027" i="9"/>
  <c r="I16028" i="9"/>
  <c r="I16029" i="9"/>
  <c r="I16030" i="9"/>
  <c r="I16031" i="9"/>
  <c r="I16032" i="9"/>
  <c r="I16033" i="9"/>
  <c r="I16034" i="9"/>
  <c r="I16035" i="9"/>
  <c r="I16036" i="9"/>
  <c r="I16037" i="9"/>
  <c r="I16038" i="9"/>
  <c r="I16039" i="9"/>
  <c r="I16040" i="9"/>
  <c r="I16041" i="9"/>
  <c r="I16042" i="9"/>
  <c r="I16043" i="9"/>
  <c r="I16044" i="9"/>
  <c r="I16045" i="9"/>
  <c r="I16046" i="9"/>
  <c r="I16047" i="9"/>
  <c r="I16048" i="9"/>
  <c r="I16049" i="9"/>
  <c r="I16050" i="9"/>
  <c r="I16051" i="9"/>
  <c r="I16052" i="9"/>
  <c r="I16053" i="9"/>
  <c r="I16054" i="9"/>
  <c r="I16055" i="9"/>
  <c r="I16056" i="9"/>
  <c r="I16057" i="9"/>
  <c r="I16058" i="9"/>
  <c r="I16059" i="9"/>
  <c r="I16060" i="9"/>
  <c r="I16061" i="9"/>
  <c r="I16062" i="9"/>
  <c r="I16063" i="9"/>
  <c r="I16064" i="9"/>
  <c r="I16065" i="9"/>
  <c r="I16066" i="9"/>
  <c r="I16067" i="9"/>
  <c r="I16068" i="9"/>
  <c r="I16069" i="9"/>
  <c r="I16070" i="9"/>
  <c r="I16071" i="9"/>
  <c r="I16072" i="9"/>
  <c r="I16073" i="9"/>
  <c r="I16074" i="9"/>
  <c r="I16075" i="9"/>
  <c r="I16076" i="9"/>
  <c r="I16077" i="9"/>
  <c r="I16078" i="9"/>
  <c r="I16079" i="9"/>
  <c r="I16080" i="9"/>
  <c r="I16081" i="9"/>
  <c r="I16082" i="9"/>
  <c r="I16083" i="9"/>
  <c r="I16084" i="9"/>
  <c r="I16085" i="9"/>
  <c r="I16086" i="9"/>
  <c r="I16087" i="9"/>
  <c r="I16088" i="9"/>
  <c r="I16089" i="9"/>
  <c r="I16090" i="9"/>
  <c r="I16091" i="9"/>
  <c r="I16092" i="9"/>
  <c r="I16093" i="9"/>
  <c r="I16094" i="9"/>
  <c r="I16095" i="9"/>
  <c r="I16096" i="9"/>
  <c r="I16097" i="9"/>
  <c r="I16098" i="9"/>
  <c r="I16099" i="9"/>
  <c r="I16100" i="9"/>
  <c r="I16101" i="9"/>
  <c r="I16102" i="9"/>
  <c r="I16103" i="9"/>
  <c r="I16104" i="9"/>
  <c r="I16105" i="9"/>
  <c r="I16106" i="9"/>
  <c r="I16107" i="9"/>
  <c r="I16108" i="9"/>
  <c r="I16109" i="9"/>
  <c r="I16110" i="9"/>
  <c r="I16111" i="9"/>
  <c r="I16112" i="9"/>
  <c r="I16113" i="9"/>
  <c r="I16114" i="9"/>
  <c r="I16115" i="9"/>
  <c r="I16116" i="9"/>
  <c r="I16117" i="9"/>
  <c r="I16118" i="9"/>
  <c r="I16119" i="9"/>
  <c r="I16120" i="9"/>
  <c r="I16121" i="9"/>
  <c r="I16122" i="9"/>
  <c r="I16123" i="9"/>
  <c r="I16124" i="9"/>
  <c r="I16125" i="9"/>
  <c r="I16126" i="9"/>
  <c r="I16127" i="9"/>
  <c r="I16128" i="9"/>
  <c r="I16129" i="9"/>
  <c r="I16130" i="9"/>
  <c r="I16131" i="9"/>
  <c r="I16132" i="9"/>
  <c r="I16133" i="9"/>
  <c r="I16134" i="9"/>
  <c r="I16135" i="9"/>
  <c r="I16136" i="9"/>
  <c r="I16137" i="9"/>
  <c r="I16138" i="9"/>
  <c r="I16139" i="9"/>
  <c r="I16140" i="9"/>
  <c r="I16141" i="9"/>
  <c r="I16142" i="9"/>
  <c r="I16143" i="9"/>
  <c r="I16144" i="9"/>
  <c r="I16145" i="9"/>
  <c r="I16146" i="9"/>
  <c r="I16147" i="9"/>
  <c r="I16148" i="9"/>
  <c r="I16149" i="9"/>
  <c r="I16150" i="9"/>
  <c r="I16151" i="9"/>
  <c r="I16152" i="9"/>
  <c r="I16153" i="9"/>
  <c r="I16154" i="9"/>
  <c r="I16155" i="9"/>
  <c r="I16156" i="9"/>
  <c r="I16157" i="9"/>
  <c r="I16158" i="9"/>
  <c r="I16159" i="9"/>
  <c r="I16160" i="9"/>
  <c r="I16161" i="9"/>
  <c r="I16162" i="9"/>
  <c r="I16163" i="9"/>
  <c r="I16164" i="9"/>
  <c r="I16165" i="9"/>
  <c r="I16166" i="9"/>
  <c r="I16167" i="9"/>
  <c r="I16168" i="9"/>
  <c r="I16169" i="9"/>
  <c r="I16170" i="9"/>
  <c r="I16171" i="9"/>
  <c r="I16172" i="9"/>
  <c r="I16173" i="9"/>
  <c r="I16174" i="9"/>
  <c r="I16175" i="9"/>
  <c r="I16176" i="9"/>
  <c r="I16177" i="9"/>
  <c r="I16178" i="9"/>
  <c r="I16179" i="9"/>
  <c r="I16180" i="9"/>
  <c r="I16181" i="9"/>
  <c r="I16182" i="9"/>
  <c r="I16183" i="9"/>
  <c r="I16184" i="9"/>
  <c r="I16185" i="9"/>
  <c r="I16186" i="9"/>
  <c r="I16187" i="9"/>
  <c r="I16188" i="9"/>
  <c r="I16189" i="9"/>
  <c r="I16190" i="9"/>
  <c r="I16191" i="9"/>
  <c r="I16192" i="9"/>
  <c r="I16193" i="9"/>
  <c r="I16194" i="9"/>
  <c r="I16195" i="9"/>
  <c r="I16196" i="9"/>
  <c r="I16197" i="9"/>
  <c r="I16198" i="9"/>
  <c r="I16199" i="9"/>
  <c r="I16200" i="9"/>
  <c r="I16201" i="9"/>
  <c r="I16202" i="9"/>
  <c r="I16203" i="9"/>
  <c r="I16204" i="9"/>
  <c r="I16205" i="9"/>
  <c r="I16206" i="9"/>
  <c r="I16207" i="9"/>
  <c r="I16208" i="9"/>
  <c r="I16209" i="9"/>
  <c r="I16210" i="9"/>
  <c r="I16211" i="9"/>
  <c r="I16212" i="9"/>
  <c r="I16213" i="9"/>
  <c r="I16214" i="9"/>
  <c r="I16215" i="9"/>
  <c r="I16216" i="9"/>
  <c r="I16217" i="9"/>
  <c r="I16218" i="9"/>
  <c r="I16219" i="9"/>
  <c r="I16220" i="9"/>
  <c r="I16221" i="9"/>
  <c r="I16222" i="9"/>
  <c r="I16223" i="9"/>
  <c r="I16224" i="9"/>
  <c r="I16225" i="9"/>
  <c r="I16226" i="9"/>
  <c r="I16227" i="9"/>
  <c r="I16228" i="9"/>
  <c r="I16229" i="9"/>
  <c r="I16230" i="9"/>
  <c r="I16231" i="9"/>
  <c r="I16232" i="9"/>
  <c r="I16233" i="9"/>
  <c r="I16234" i="9"/>
  <c r="I16235" i="9"/>
  <c r="I16236" i="9"/>
  <c r="I16237" i="9"/>
  <c r="I16238" i="9"/>
  <c r="I16239" i="9"/>
  <c r="I16240" i="9"/>
  <c r="I16241" i="9"/>
  <c r="I16242" i="9"/>
  <c r="I16243" i="9"/>
  <c r="I16244" i="9"/>
  <c r="I16245" i="9"/>
  <c r="I16246" i="9"/>
  <c r="I16247" i="9"/>
  <c r="I16248" i="9"/>
  <c r="I16249" i="9"/>
  <c r="I16250" i="9"/>
  <c r="I16251" i="9"/>
  <c r="I16252" i="9"/>
  <c r="I16253" i="9"/>
  <c r="I16254" i="9"/>
  <c r="I16255" i="9"/>
  <c r="I16256" i="9"/>
  <c r="I16257" i="9"/>
  <c r="I16258" i="9"/>
  <c r="I16259" i="9"/>
  <c r="I16260" i="9"/>
  <c r="I16261" i="9"/>
  <c r="I16262" i="9"/>
  <c r="I16263" i="9"/>
  <c r="I16264" i="9"/>
  <c r="I16265" i="9"/>
  <c r="I16266" i="9"/>
  <c r="I16267" i="9"/>
  <c r="I16268" i="9"/>
  <c r="I16269" i="9"/>
  <c r="I16270" i="9"/>
  <c r="I16271" i="9"/>
  <c r="I16272" i="9"/>
  <c r="I16273" i="9"/>
  <c r="I16274" i="9"/>
  <c r="I16275" i="9"/>
  <c r="I16276" i="9"/>
  <c r="I16277" i="9"/>
  <c r="I16278" i="9"/>
  <c r="I16279" i="9"/>
  <c r="I16280" i="9"/>
  <c r="I16281" i="9"/>
  <c r="I16282" i="9"/>
  <c r="I16283" i="9"/>
  <c r="I16284" i="9"/>
  <c r="I16285" i="9"/>
  <c r="I16286" i="9"/>
  <c r="I16287" i="9"/>
  <c r="I16288" i="9"/>
  <c r="I16289" i="9"/>
  <c r="I16290" i="9"/>
  <c r="I16291" i="9"/>
  <c r="I16292" i="9"/>
  <c r="I16293" i="9"/>
  <c r="I16294" i="9"/>
  <c r="I16295" i="9"/>
  <c r="I16296" i="9"/>
  <c r="I16297" i="9"/>
  <c r="I16298" i="9"/>
  <c r="I16299" i="9"/>
  <c r="I16300" i="9"/>
  <c r="I16301" i="9"/>
  <c r="I16302" i="9"/>
  <c r="I16303" i="9"/>
  <c r="I16304" i="9"/>
  <c r="I16305" i="9"/>
  <c r="I16306" i="9"/>
  <c r="I16307" i="9"/>
  <c r="I16308" i="9"/>
  <c r="I16309" i="9"/>
  <c r="I16310" i="9"/>
  <c r="I16311" i="9"/>
  <c r="I16312" i="9"/>
  <c r="I16313" i="9"/>
  <c r="I16314" i="9"/>
  <c r="I16315" i="9"/>
  <c r="I16316" i="9"/>
  <c r="I16317" i="9"/>
  <c r="I16318" i="9"/>
  <c r="I16319" i="9"/>
  <c r="I16320" i="9"/>
  <c r="I16321" i="9"/>
  <c r="I16322" i="9"/>
  <c r="I16323" i="9"/>
  <c r="I16324" i="9"/>
  <c r="I16325" i="9"/>
  <c r="I16326" i="9"/>
  <c r="I16327" i="9"/>
  <c r="I16328" i="9"/>
  <c r="I16329" i="9"/>
  <c r="I16330" i="9"/>
  <c r="I16331" i="9"/>
  <c r="I16332" i="9"/>
  <c r="I16333" i="9"/>
  <c r="I16334" i="9"/>
  <c r="I16335" i="9"/>
  <c r="I16336" i="9"/>
  <c r="I16337" i="9"/>
  <c r="I16338" i="9"/>
  <c r="I16339" i="9"/>
  <c r="I16340" i="9"/>
  <c r="I16341" i="9"/>
  <c r="I16342" i="9"/>
  <c r="I16343" i="9"/>
  <c r="I16344" i="9"/>
  <c r="I16345" i="9"/>
  <c r="I16346" i="9"/>
  <c r="I16347" i="9"/>
  <c r="I16348" i="9"/>
  <c r="I16349" i="9"/>
  <c r="I16350" i="9"/>
  <c r="I16351" i="9"/>
  <c r="I16352" i="9"/>
  <c r="I16353" i="9"/>
  <c r="I16354" i="9"/>
  <c r="I16355" i="9"/>
  <c r="I16356" i="9"/>
  <c r="I16357" i="9"/>
  <c r="I16358" i="9"/>
  <c r="I16359" i="9"/>
  <c r="I16360" i="9"/>
  <c r="I16361" i="9"/>
  <c r="I16362" i="9"/>
  <c r="I16363" i="9"/>
  <c r="I16364" i="9"/>
  <c r="I16365" i="9"/>
  <c r="I16366" i="9"/>
  <c r="I16367" i="9"/>
  <c r="I16368" i="9"/>
  <c r="I16369" i="9"/>
  <c r="I16370" i="9"/>
  <c r="I16371" i="9"/>
  <c r="I16372" i="9"/>
  <c r="I16373" i="9"/>
  <c r="I16374" i="9"/>
  <c r="I16375" i="9"/>
  <c r="I16376" i="9"/>
  <c r="I16377" i="9"/>
  <c r="I16378" i="9"/>
  <c r="I16379" i="9"/>
  <c r="I16380" i="9"/>
  <c r="I16381" i="9"/>
  <c r="I16382" i="9"/>
  <c r="I16383" i="9"/>
  <c r="I16384" i="9"/>
  <c r="I16385" i="9"/>
  <c r="I16386" i="9"/>
  <c r="I16387" i="9"/>
  <c r="I16388" i="9"/>
  <c r="I16389" i="9"/>
  <c r="I16390" i="9"/>
  <c r="I16391" i="9"/>
  <c r="I16392" i="9"/>
  <c r="I16393" i="9"/>
  <c r="I16394" i="9"/>
  <c r="I16395" i="9"/>
  <c r="I16396" i="9"/>
  <c r="I16397" i="9"/>
  <c r="I16398" i="9"/>
  <c r="I16399" i="9"/>
  <c r="I16400" i="9"/>
  <c r="I16401" i="9"/>
  <c r="I16402" i="9"/>
  <c r="I16403" i="9"/>
  <c r="I16404" i="9"/>
  <c r="I16405" i="9"/>
  <c r="I16406" i="9"/>
  <c r="I16407" i="9"/>
  <c r="I16408" i="9"/>
  <c r="I16409" i="9"/>
  <c r="I16410" i="9"/>
  <c r="I16411" i="9"/>
  <c r="I16412" i="9"/>
  <c r="I16413" i="9"/>
  <c r="I16414" i="9"/>
  <c r="I16415" i="9"/>
  <c r="I16416" i="9"/>
  <c r="I16417" i="9"/>
  <c r="I16418" i="9"/>
  <c r="I16419" i="9"/>
  <c r="I16420" i="9"/>
  <c r="I16421" i="9"/>
  <c r="I16422" i="9"/>
  <c r="I16423" i="9"/>
  <c r="I16424" i="9"/>
  <c r="I16425" i="9"/>
  <c r="I16426" i="9"/>
  <c r="I16427" i="9"/>
  <c r="I16428" i="9"/>
  <c r="I16429" i="9"/>
  <c r="I16430" i="9"/>
  <c r="I16431" i="9"/>
  <c r="I16432" i="9"/>
  <c r="I16433" i="9"/>
  <c r="I16434" i="9"/>
  <c r="I16435" i="9"/>
  <c r="I16436" i="9"/>
  <c r="I16437" i="9"/>
  <c r="I16438" i="9"/>
  <c r="I16439" i="9"/>
  <c r="I16440" i="9"/>
  <c r="I16441" i="9"/>
  <c r="I16442" i="9"/>
  <c r="I16443" i="9"/>
  <c r="I16444" i="9"/>
  <c r="I16445" i="9"/>
  <c r="I16446" i="9"/>
  <c r="I16447" i="9"/>
  <c r="I16448" i="9"/>
  <c r="I16449" i="9"/>
  <c r="I16450" i="9"/>
  <c r="I16451" i="9"/>
  <c r="I16452" i="9"/>
  <c r="I16453" i="9"/>
  <c r="I16454" i="9"/>
  <c r="I16455" i="9"/>
  <c r="I16456" i="9"/>
  <c r="I16457" i="9"/>
  <c r="I16458" i="9"/>
  <c r="I16459" i="9"/>
  <c r="I16460" i="9"/>
  <c r="I16461" i="9"/>
  <c r="I16462" i="9"/>
  <c r="I16463" i="9"/>
  <c r="I16464" i="9"/>
  <c r="I16465" i="9"/>
  <c r="I16466" i="9"/>
  <c r="I16467" i="9"/>
  <c r="I16468" i="9"/>
  <c r="I16469" i="9"/>
  <c r="I16470" i="9"/>
  <c r="I16471" i="9"/>
  <c r="I16472" i="9"/>
  <c r="I16473" i="9"/>
  <c r="I16474" i="9"/>
  <c r="I15802" i="9"/>
  <c r="I15803" i="9"/>
  <c r="I15801" i="9"/>
  <c r="I15800" i="9"/>
  <c r="I15799" i="9"/>
  <c r="I15798" i="9"/>
  <c r="I15797" i="9"/>
  <c r="I15796" i="9"/>
  <c r="I15795" i="9"/>
  <c r="I15794" i="9"/>
  <c r="I15793" i="9"/>
  <c r="I15792" i="9"/>
  <c r="I15791" i="9"/>
  <c r="I15790" i="9"/>
  <c r="I15789" i="9"/>
  <c r="I15788" i="9"/>
  <c r="I15787" i="9"/>
  <c r="I15786" i="9"/>
  <c r="I15785" i="9"/>
  <c r="I15784" i="9"/>
  <c r="I15783" i="9"/>
  <c r="I15782" i="9"/>
  <c r="I15781" i="9"/>
  <c r="I15780" i="9"/>
  <c r="I15778" i="9"/>
  <c r="I15779" i="9"/>
  <c r="I15777" i="9"/>
  <c r="I15776" i="9"/>
  <c r="I15775" i="9"/>
  <c r="I15701" i="9"/>
  <c r="I15702" i="9"/>
  <c r="I15703" i="9"/>
  <c r="I15704" i="9"/>
  <c r="I15705" i="9"/>
  <c r="I15706" i="9"/>
  <c r="I15707" i="9"/>
  <c r="I15708" i="9"/>
  <c r="I15709" i="9"/>
  <c r="I15710" i="9"/>
  <c r="I15711" i="9"/>
  <c r="I15712" i="9"/>
  <c r="I15713" i="9"/>
  <c r="I15714" i="9"/>
  <c r="I15715" i="9"/>
  <c r="I15716" i="9"/>
  <c r="I15717" i="9"/>
  <c r="I15718" i="9"/>
  <c r="I15719" i="9"/>
  <c r="I15720" i="9"/>
  <c r="I15721" i="9"/>
  <c r="I15722" i="9"/>
  <c r="I15723" i="9"/>
  <c r="I15724" i="9"/>
  <c r="I15725" i="9"/>
  <c r="I15726" i="9"/>
  <c r="I15727" i="9"/>
  <c r="I15728" i="9"/>
  <c r="I15729" i="9"/>
  <c r="I15730" i="9"/>
  <c r="I15731" i="9"/>
  <c r="I15732" i="9"/>
  <c r="I15733" i="9"/>
  <c r="I15734" i="9"/>
  <c r="I15735" i="9"/>
  <c r="I15736" i="9"/>
  <c r="I15737" i="9"/>
  <c r="I15738" i="9"/>
  <c r="I15739" i="9"/>
  <c r="I15740" i="9"/>
  <c r="I15741" i="9"/>
  <c r="I15742" i="9"/>
  <c r="I15743" i="9"/>
  <c r="I15744" i="9"/>
  <c r="I15745" i="9"/>
  <c r="I15746" i="9"/>
  <c r="I15747" i="9"/>
  <c r="I15748" i="9"/>
  <c r="I15749" i="9"/>
  <c r="I15750" i="9"/>
  <c r="I15751" i="9"/>
  <c r="I15752" i="9"/>
  <c r="I15753" i="9"/>
  <c r="I15754" i="9"/>
  <c r="I15755" i="9"/>
  <c r="I15756" i="9"/>
  <c r="I15757" i="9"/>
  <c r="I15758" i="9"/>
  <c r="I15759" i="9"/>
  <c r="I15760" i="9"/>
  <c r="I15761" i="9"/>
  <c r="I15762" i="9"/>
  <c r="I15763" i="9"/>
  <c r="I15764" i="9"/>
  <c r="I15765" i="9"/>
  <c r="I15766" i="9"/>
  <c r="I15767" i="9"/>
  <c r="I15768" i="9"/>
  <c r="I15769" i="9"/>
  <c r="I15770" i="9"/>
  <c r="I15771" i="9"/>
  <c r="I15772" i="9"/>
  <c r="I15773" i="9"/>
  <c r="I15774" i="9"/>
  <c r="I15699" i="9"/>
  <c r="I15700" i="9"/>
  <c r="I15698" i="9"/>
  <c r="I15577" i="9"/>
  <c r="I15578" i="9"/>
  <c r="I15579" i="9"/>
  <c r="I15580" i="9"/>
  <c r="I15581" i="9"/>
  <c r="I15582" i="9"/>
  <c r="I15583" i="9"/>
  <c r="I15584" i="9"/>
  <c r="I15585" i="9"/>
  <c r="I15586" i="9"/>
  <c r="I15587" i="9"/>
  <c r="I15588" i="9"/>
  <c r="I15589" i="9"/>
  <c r="I15590" i="9"/>
  <c r="I15591" i="9"/>
  <c r="I15592" i="9"/>
  <c r="I15593" i="9"/>
  <c r="I15594" i="9"/>
  <c r="I15595" i="9"/>
  <c r="I15596" i="9"/>
  <c r="I15597" i="9"/>
  <c r="I15598" i="9"/>
  <c r="I15599" i="9"/>
  <c r="I15600" i="9"/>
  <c r="I15601" i="9"/>
  <c r="I15602" i="9"/>
  <c r="I15603" i="9"/>
  <c r="I15604" i="9"/>
  <c r="I15605" i="9"/>
  <c r="I15606" i="9"/>
  <c r="I15607" i="9"/>
  <c r="I15608" i="9"/>
  <c r="I15609" i="9"/>
  <c r="I15610" i="9"/>
  <c r="I15611" i="9"/>
  <c r="I15612" i="9"/>
  <c r="I15613" i="9"/>
  <c r="I15614" i="9"/>
  <c r="I15615" i="9"/>
  <c r="I15616" i="9"/>
  <c r="I15617" i="9"/>
  <c r="I15618" i="9"/>
  <c r="I15619" i="9"/>
  <c r="I15620" i="9"/>
  <c r="I15621" i="9"/>
  <c r="I15622" i="9"/>
  <c r="I15623" i="9"/>
  <c r="I15624" i="9"/>
  <c r="I15625" i="9"/>
  <c r="I15626" i="9"/>
  <c r="I15627" i="9"/>
  <c r="I15628" i="9"/>
  <c r="I15629" i="9"/>
  <c r="I15630" i="9"/>
  <c r="I15631" i="9"/>
  <c r="I15632" i="9"/>
  <c r="I15633" i="9"/>
  <c r="I15634" i="9"/>
  <c r="I15635" i="9"/>
  <c r="I15636" i="9"/>
  <c r="I15637" i="9"/>
  <c r="I15638" i="9"/>
  <c r="I15639" i="9"/>
  <c r="I15640" i="9"/>
  <c r="I15641" i="9"/>
  <c r="I15642" i="9"/>
  <c r="I15643" i="9"/>
  <c r="I15644" i="9"/>
  <c r="I15645" i="9"/>
  <c r="I15646" i="9"/>
  <c r="I15647" i="9"/>
  <c r="I15648" i="9"/>
  <c r="I15649" i="9"/>
  <c r="I15650" i="9"/>
  <c r="I15651" i="9"/>
  <c r="I15652" i="9"/>
  <c r="I15653" i="9"/>
  <c r="I15654" i="9"/>
  <c r="I15655" i="9"/>
  <c r="I15656" i="9"/>
  <c r="I15657" i="9"/>
  <c r="I15658" i="9"/>
  <c r="I15659" i="9"/>
  <c r="I15660" i="9"/>
  <c r="I15661" i="9"/>
  <c r="I15662" i="9"/>
  <c r="I15663" i="9"/>
  <c r="I15664" i="9"/>
  <c r="I15665" i="9"/>
  <c r="I15666" i="9"/>
  <c r="I15667" i="9"/>
  <c r="I15668" i="9"/>
  <c r="I15669" i="9"/>
  <c r="I15670" i="9"/>
  <c r="I15671" i="9"/>
  <c r="I15672" i="9"/>
  <c r="I15673" i="9"/>
  <c r="I15674" i="9"/>
  <c r="I15675" i="9"/>
  <c r="I15676" i="9"/>
  <c r="I15677" i="9"/>
  <c r="I15678" i="9"/>
  <c r="I15679" i="9"/>
  <c r="I15680" i="9"/>
  <c r="I15681" i="9"/>
  <c r="I15682" i="9"/>
  <c r="I15683" i="9"/>
  <c r="I15684" i="9"/>
  <c r="I15685" i="9"/>
  <c r="I15686" i="9"/>
  <c r="I15687" i="9"/>
  <c r="I15688" i="9"/>
  <c r="I15689" i="9"/>
  <c r="I15690" i="9"/>
  <c r="I15691" i="9"/>
  <c r="I15692" i="9"/>
  <c r="I15693" i="9"/>
  <c r="I15694" i="9"/>
  <c r="I15695" i="9"/>
  <c r="I15696" i="9"/>
  <c r="I15697" i="9"/>
  <c r="I15576" i="9"/>
  <c r="I15574" i="9"/>
  <c r="I15575" i="9"/>
  <c r="I15573" i="9"/>
  <c r="I15572" i="9"/>
  <c r="I15571" i="9"/>
  <c r="I15570" i="9"/>
  <c r="I15568" i="9"/>
  <c r="I15569" i="9"/>
  <c r="I15567" i="9"/>
  <c r="I15566" i="9"/>
  <c r="I15565" i="9"/>
  <c r="I15563" i="9"/>
  <c r="I15564" i="9"/>
  <c r="I15562" i="9"/>
  <c r="I15560" i="9"/>
  <c r="I15561" i="9"/>
  <c r="I15558" i="9"/>
  <c r="I15559" i="9"/>
  <c r="I15557" i="9"/>
  <c r="I15556" i="9"/>
  <c r="I15387" i="9"/>
  <c r="I15388" i="9"/>
  <c r="I15389" i="9"/>
  <c r="I15390" i="9"/>
  <c r="I15391" i="9"/>
  <c r="I15392" i="9"/>
  <c r="I15393" i="9"/>
  <c r="I15394" i="9"/>
  <c r="I15395" i="9"/>
  <c r="I15396" i="9"/>
  <c r="I15397" i="9"/>
  <c r="I15398" i="9"/>
  <c r="I15399" i="9"/>
  <c r="I15400" i="9"/>
  <c r="I15401" i="9"/>
  <c r="I15402" i="9"/>
  <c r="I15403" i="9"/>
  <c r="I15404" i="9"/>
  <c r="I15405" i="9"/>
  <c r="I15406" i="9"/>
  <c r="I15407" i="9"/>
  <c r="I15408" i="9"/>
  <c r="I15409" i="9"/>
  <c r="I15410" i="9"/>
  <c r="I15411" i="9"/>
  <c r="I15412" i="9"/>
  <c r="I15413" i="9"/>
  <c r="I15414" i="9"/>
  <c r="I15415" i="9"/>
  <c r="I15416" i="9"/>
  <c r="I15417" i="9"/>
  <c r="I15418" i="9"/>
  <c r="I15419" i="9"/>
  <c r="I15420" i="9"/>
  <c r="I15421" i="9"/>
  <c r="I15422" i="9"/>
  <c r="I15423" i="9"/>
  <c r="I15424" i="9"/>
  <c r="I15425" i="9"/>
  <c r="I15426" i="9"/>
  <c r="I15427" i="9"/>
  <c r="I15428" i="9"/>
  <c r="I15429" i="9"/>
  <c r="I15430" i="9"/>
  <c r="I15431" i="9"/>
  <c r="I15432" i="9"/>
  <c r="I15433" i="9"/>
  <c r="I15434" i="9"/>
  <c r="I15435" i="9"/>
  <c r="I15436" i="9"/>
  <c r="I15437" i="9"/>
  <c r="I15438" i="9"/>
  <c r="I15439" i="9"/>
  <c r="I15440" i="9"/>
  <c r="I15441" i="9"/>
  <c r="I15442" i="9"/>
  <c r="I15443" i="9"/>
  <c r="I15444" i="9"/>
  <c r="I15445" i="9"/>
  <c r="I15446" i="9"/>
  <c r="I15447" i="9"/>
  <c r="I15448" i="9"/>
  <c r="I15449" i="9"/>
  <c r="I15450" i="9"/>
  <c r="I15451" i="9"/>
  <c r="I15452" i="9"/>
  <c r="I15453" i="9"/>
  <c r="I15454" i="9"/>
  <c r="I15455" i="9"/>
  <c r="I15456" i="9"/>
  <c r="I15457" i="9"/>
  <c r="I15458" i="9"/>
  <c r="I15459" i="9"/>
  <c r="I15460" i="9"/>
  <c r="I15461" i="9"/>
  <c r="I15462" i="9"/>
  <c r="I15463" i="9"/>
  <c r="I15464" i="9"/>
  <c r="I15465" i="9"/>
  <c r="I15466" i="9"/>
  <c r="I15467" i="9"/>
  <c r="I15468" i="9"/>
  <c r="I15469" i="9"/>
  <c r="I15470" i="9"/>
  <c r="I15471" i="9"/>
  <c r="I15472" i="9"/>
  <c r="I15473" i="9"/>
  <c r="I15474" i="9"/>
  <c r="I15475" i="9"/>
  <c r="I15476" i="9"/>
  <c r="I15477" i="9"/>
  <c r="I15478" i="9"/>
  <c r="I15479" i="9"/>
  <c r="I15480" i="9"/>
  <c r="I15481" i="9"/>
  <c r="I15482" i="9"/>
  <c r="I15483" i="9"/>
  <c r="I15484" i="9"/>
  <c r="I15485" i="9"/>
  <c r="I15486" i="9"/>
  <c r="I15487" i="9"/>
  <c r="I15488" i="9"/>
  <c r="I15489" i="9"/>
  <c r="I15490" i="9"/>
  <c r="I15491" i="9"/>
  <c r="I15492" i="9"/>
  <c r="I15493" i="9"/>
  <c r="I15494" i="9"/>
  <c r="I15495" i="9"/>
  <c r="I15496" i="9"/>
  <c r="I15497" i="9"/>
  <c r="I15498" i="9"/>
  <c r="I15499" i="9"/>
  <c r="I15500" i="9"/>
  <c r="I15501" i="9"/>
  <c r="I15502" i="9"/>
  <c r="I15503" i="9"/>
  <c r="I15504" i="9"/>
  <c r="I15505" i="9"/>
  <c r="I15506" i="9"/>
  <c r="I15507" i="9"/>
  <c r="I15508" i="9"/>
  <c r="I15509" i="9"/>
  <c r="I15510" i="9"/>
  <c r="I15511" i="9"/>
  <c r="I15512" i="9"/>
  <c r="I15513" i="9"/>
  <c r="I15514" i="9"/>
  <c r="I15515" i="9"/>
  <c r="I15516" i="9"/>
  <c r="I15517" i="9"/>
  <c r="I15518" i="9"/>
  <c r="I15519" i="9"/>
  <c r="I15520" i="9"/>
  <c r="I15521" i="9"/>
  <c r="I15522" i="9"/>
  <c r="I15523" i="9"/>
  <c r="I15524" i="9"/>
  <c r="I15525" i="9"/>
  <c r="I15526" i="9"/>
  <c r="I15527" i="9"/>
  <c r="I15528" i="9"/>
  <c r="I15529" i="9"/>
  <c r="I15530" i="9"/>
  <c r="I15531" i="9"/>
  <c r="I15532" i="9"/>
  <c r="I15533" i="9"/>
  <c r="I15534" i="9"/>
  <c r="I15535" i="9"/>
  <c r="I15536" i="9"/>
  <c r="I15537" i="9"/>
  <c r="I15538" i="9"/>
  <c r="I15539" i="9"/>
  <c r="I15540" i="9"/>
  <c r="I15541" i="9"/>
  <c r="I15542" i="9"/>
  <c r="I15543" i="9"/>
  <c r="I15544" i="9"/>
  <c r="I15545" i="9"/>
  <c r="I15546" i="9"/>
  <c r="I15547" i="9"/>
  <c r="I15548" i="9"/>
  <c r="I15549" i="9"/>
  <c r="I15550" i="9"/>
  <c r="I15551" i="9"/>
  <c r="I15552" i="9"/>
  <c r="I15553" i="9"/>
  <c r="I15554" i="9"/>
  <c r="I15555" i="9"/>
  <c r="I15385" i="9"/>
  <c r="I15386" i="9"/>
  <c r="I13651" i="9"/>
  <c r="I13652" i="9"/>
  <c r="I13653" i="9"/>
  <c r="I13654" i="9"/>
  <c r="I13655" i="9"/>
  <c r="I13656" i="9"/>
  <c r="I13657" i="9"/>
  <c r="I13658" i="9"/>
  <c r="I13659" i="9"/>
  <c r="I13660" i="9"/>
  <c r="I13661" i="9"/>
  <c r="I13662" i="9"/>
  <c r="I13663" i="9"/>
  <c r="I13664" i="9"/>
  <c r="I13665" i="9"/>
  <c r="I13666" i="9"/>
  <c r="I13667" i="9"/>
  <c r="I13668" i="9"/>
  <c r="I13669" i="9"/>
  <c r="I13670" i="9"/>
  <c r="I13671" i="9"/>
  <c r="I13672" i="9"/>
  <c r="I13673" i="9"/>
  <c r="I13674" i="9"/>
  <c r="I13675" i="9"/>
  <c r="I13676" i="9"/>
  <c r="I13677" i="9"/>
  <c r="I13678" i="9"/>
  <c r="I13679" i="9"/>
  <c r="I13680" i="9"/>
  <c r="I13681" i="9"/>
  <c r="I13682" i="9"/>
  <c r="I13683" i="9"/>
  <c r="I13684" i="9"/>
  <c r="I13685" i="9"/>
  <c r="I13686" i="9"/>
  <c r="I13687" i="9"/>
  <c r="I13688" i="9"/>
  <c r="I13689" i="9"/>
  <c r="I13690" i="9"/>
  <c r="I13691" i="9"/>
  <c r="I13692" i="9"/>
  <c r="I13693" i="9"/>
  <c r="I13694" i="9"/>
  <c r="I13695" i="9"/>
  <c r="I13696" i="9"/>
  <c r="I13697" i="9"/>
  <c r="I13698" i="9"/>
  <c r="I13699" i="9"/>
  <c r="I13700" i="9"/>
  <c r="I13701" i="9"/>
  <c r="I13702" i="9"/>
  <c r="I13703" i="9"/>
  <c r="I13704" i="9"/>
  <c r="I13705" i="9"/>
  <c r="I13706" i="9"/>
  <c r="I13707" i="9"/>
  <c r="I13708" i="9"/>
  <c r="I13709" i="9"/>
  <c r="I13710" i="9"/>
  <c r="I13711" i="9"/>
  <c r="I13712" i="9"/>
  <c r="I13713" i="9"/>
  <c r="I13714" i="9"/>
  <c r="I13715" i="9"/>
  <c r="I13716" i="9"/>
  <c r="I13717" i="9"/>
  <c r="I13718" i="9"/>
  <c r="I13719" i="9"/>
  <c r="I13720" i="9"/>
  <c r="I13721" i="9"/>
  <c r="I13722" i="9"/>
  <c r="I13723" i="9"/>
  <c r="I13724" i="9"/>
  <c r="I13725" i="9"/>
  <c r="I13726" i="9"/>
  <c r="I13727" i="9"/>
  <c r="I13728" i="9"/>
  <c r="I13729" i="9"/>
  <c r="I13730" i="9"/>
  <c r="I13731" i="9"/>
  <c r="I13732" i="9"/>
  <c r="I13733" i="9"/>
  <c r="I13734" i="9"/>
  <c r="I13735" i="9"/>
  <c r="I13736" i="9"/>
  <c r="I13737" i="9"/>
  <c r="I13738" i="9"/>
  <c r="I13739" i="9"/>
  <c r="I13740" i="9"/>
  <c r="I13741" i="9"/>
  <c r="I13742" i="9"/>
  <c r="I13743" i="9"/>
  <c r="I13744" i="9"/>
  <c r="I13745" i="9"/>
  <c r="I13746" i="9"/>
  <c r="I13747" i="9"/>
  <c r="I13748" i="9"/>
  <c r="I13749" i="9"/>
  <c r="I13750" i="9"/>
  <c r="I13751" i="9"/>
  <c r="I13752" i="9"/>
  <c r="I13753" i="9"/>
  <c r="I13754" i="9"/>
  <c r="I13755" i="9"/>
  <c r="I13756" i="9"/>
  <c r="I13757" i="9"/>
  <c r="I13758" i="9"/>
  <c r="I13759" i="9"/>
  <c r="I13760" i="9"/>
  <c r="I13761" i="9"/>
  <c r="I13762" i="9"/>
  <c r="I13763" i="9"/>
  <c r="I13764" i="9"/>
  <c r="I13765" i="9"/>
  <c r="I13766" i="9"/>
  <c r="I13767" i="9"/>
  <c r="I13768" i="9"/>
  <c r="I13769" i="9"/>
  <c r="I13770" i="9"/>
  <c r="I13771" i="9"/>
  <c r="I13772" i="9"/>
  <c r="I13773" i="9"/>
  <c r="I13774" i="9"/>
  <c r="I13775" i="9"/>
  <c r="I13776" i="9"/>
  <c r="I13777" i="9"/>
  <c r="I13778" i="9"/>
  <c r="I13779" i="9"/>
  <c r="I13780" i="9"/>
  <c r="I13781" i="9"/>
  <c r="I13782" i="9"/>
  <c r="I13783" i="9"/>
  <c r="I13784" i="9"/>
  <c r="I13785" i="9"/>
  <c r="I13786" i="9"/>
  <c r="I13787" i="9"/>
  <c r="I13788" i="9"/>
  <c r="I13789" i="9"/>
  <c r="I13790" i="9"/>
  <c r="I13791" i="9"/>
  <c r="I13792" i="9"/>
  <c r="I13793" i="9"/>
  <c r="I13794" i="9"/>
  <c r="I13795" i="9"/>
  <c r="I13796" i="9"/>
  <c r="I13797" i="9"/>
  <c r="I13798" i="9"/>
  <c r="I13799" i="9"/>
  <c r="I13800" i="9"/>
  <c r="I13801" i="9"/>
  <c r="I13802" i="9"/>
  <c r="I13803" i="9"/>
  <c r="I13804" i="9"/>
  <c r="I13805" i="9"/>
  <c r="I13806" i="9"/>
  <c r="I13807" i="9"/>
  <c r="I13808" i="9"/>
  <c r="I13809" i="9"/>
  <c r="I13810" i="9"/>
  <c r="I13811" i="9"/>
  <c r="I13812" i="9"/>
  <c r="I13813" i="9"/>
  <c r="I13814" i="9"/>
  <c r="I13815" i="9"/>
  <c r="I13816" i="9"/>
  <c r="I13817" i="9"/>
  <c r="I13818" i="9"/>
  <c r="I13819" i="9"/>
  <c r="I13820" i="9"/>
  <c r="I13821" i="9"/>
  <c r="I13822" i="9"/>
  <c r="I13823" i="9"/>
  <c r="I13824" i="9"/>
  <c r="I13825" i="9"/>
  <c r="I13826" i="9"/>
  <c r="I13827" i="9"/>
  <c r="I13828" i="9"/>
  <c r="I13829" i="9"/>
  <c r="I13830" i="9"/>
  <c r="I13831" i="9"/>
  <c r="I13832" i="9"/>
  <c r="I13833" i="9"/>
  <c r="I13834" i="9"/>
  <c r="I13835" i="9"/>
  <c r="I13836" i="9"/>
  <c r="I13837" i="9"/>
  <c r="I13838" i="9"/>
  <c r="I13839" i="9"/>
  <c r="I13840" i="9"/>
  <c r="I13841" i="9"/>
  <c r="I13842" i="9"/>
  <c r="I13843" i="9"/>
  <c r="I13844" i="9"/>
  <c r="I13845" i="9"/>
  <c r="I13846" i="9"/>
  <c r="I13847" i="9"/>
  <c r="I13848" i="9"/>
  <c r="I13849" i="9"/>
  <c r="I13850" i="9"/>
  <c r="I13851" i="9"/>
  <c r="I13852" i="9"/>
  <c r="I13853" i="9"/>
  <c r="I13854" i="9"/>
  <c r="I13855" i="9"/>
  <c r="I13856" i="9"/>
  <c r="I13857" i="9"/>
  <c r="I13858" i="9"/>
  <c r="I13859" i="9"/>
  <c r="I13860" i="9"/>
  <c r="I13861" i="9"/>
  <c r="I13862" i="9"/>
  <c r="I13863" i="9"/>
  <c r="I13864" i="9"/>
  <c r="I13865" i="9"/>
  <c r="I13866" i="9"/>
  <c r="I13867" i="9"/>
  <c r="I13868" i="9"/>
  <c r="I13869" i="9"/>
  <c r="I13870" i="9"/>
  <c r="I13871" i="9"/>
  <c r="I13872" i="9"/>
  <c r="I13873" i="9"/>
  <c r="I13874" i="9"/>
  <c r="I13875" i="9"/>
  <c r="I13876" i="9"/>
  <c r="I13877" i="9"/>
  <c r="I13878" i="9"/>
  <c r="I13879" i="9"/>
  <c r="I13880" i="9"/>
  <c r="I13881" i="9"/>
  <c r="I13882" i="9"/>
  <c r="I13883" i="9"/>
  <c r="I13884" i="9"/>
  <c r="I13885" i="9"/>
  <c r="I13886" i="9"/>
  <c r="I13887" i="9"/>
  <c r="I13888" i="9"/>
  <c r="I13889" i="9"/>
  <c r="I13890" i="9"/>
  <c r="I13891" i="9"/>
  <c r="I13892" i="9"/>
  <c r="I13893" i="9"/>
  <c r="I13894" i="9"/>
  <c r="I13895" i="9"/>
  <c r="I13896" i="9"/>
  <c r="I13897" i="9"/>
  <c r="I13898" i="9"/>
  <c r="I13899" i="9"/>
  <c r="I13900" i="9"/>
  <c r="I13901" i="9"/>
  <c r="I13902" i="9"/>
  <c r="I13903" i="9"/>
  <c r="I13904" i="9"/>
  <c r="I13905" i="9"/>
  <c r="I13906" i="9"/>
  <c r="I13907" i="9"/>
  <c r="I13908" i="9"/>
  <c r="I13909" i="9"/>
  <c r="I13910" i="9"/>
  <c r="I13911" i="9"/>
  <c r="I13912" i="9"/>
  <c r="I13913" i="9"/>
  <c r="I13914" i="9"/>
  <c r="I13915" i="9"/>
  <c r="I13916" i="9"/>
  <c r="I13917" i="9"/>
  <c r="I13918" i="9"/>
  <c r="I13919" i="9"/>
  <c r="I13920" i="9"/>
  <c r="I13921" i="9"/>
  <c r="I13922" i="9"/>
  <c r="I13923" i="9"/>
  <c r="I13924" i="9"/>
  <c r="I13925" i="9"/>
  <c r="I13926" i="9"/>
  <c r="I13927" i="9"/>
  <c r="I13928" i="9"/>
  <c r="I13929" i="9"/>
  <c r="I13930" i="9"/>
  <c r="I13931" i="9"/>
  <c r="I13932" i="9"/>
  <c r="I13933" i="9"/>
  <c r="I13934" i="9"/>
  <c r="I13935" i="9"/>
  <c r="I13936" i="9"/>
  <c r="I13937" i="9"/>
  <c r="I13938" i="9"/>
  <c r="I13939" i="9"/>
  <c r="I13940" i="9"/>
  <c r="I13941" i="9"/>
  <c r="I13942" i="9"/>
  <c r="I13943" i="9"/>
  <c r="I13944" i="9"/>
  <c r="I13945" i="9"/>
  <c r="I13946" i="9"/>
  <c r="I13947" i="9"/>
  <c r="I13948" i="9"/>
  <c r="I13949" i="9"/>
  <c r="I13950" i="9"/>
  <c r="I13951" i="9"/>
  <c r="I13952" i="9"/>
  <c r="I13953" i="9"/>
  <c r="I13954" i="9"/>
  <c r="I13955" i="9"/>
  <c r="I13956" i="9"/>
  <c r="I13957" i="9"/>
  <c r="I13958" i="9"/>
  <c r="I13959" i="9"/>
  <c r="I13960" i="9"/>
  <c r="I13961" i="9"/>
  <c r="I13962" i="9"/>
  <c r="I13963" i="9"/>
  <c r="I13964" i="9"/>
  <c r="I13965" i="9"/>
  <c r="I13966" i="9"/>
  <c r="I13967" i="9"/>
  <c r="I13968" i="9"/>
  <c r="I13969" i="9"/>
  <c r="I13970" i="9"/>
  <c r="I13971" i="9"/>
  <c r="I13972" i="9"/>
  <c r="I13973" i="9"/>
  <c r="I13974" i="9"/>
  <c r="I13975" i="9"/>
  <c r="I13976" i="9"/>
  <c r="I13977" i="9"/>
  <c r="I13978" i="9"/>
  <c r="I13979" i="9"/>
  <c r="I13980" i="9"/>
  <c r="I13981" i="9"/>
  <c r="I13982" i="9"/>
  <c r="I13983" i="9"/>
  <c r="I13984" i="9"/>
  <c r="I13985" i="9"/>
  <c r="I13986" i="9"/>
  <c r="I13987" i="9"/>
  <c r="I13988" i="9"/>
  <c r="I13989" i="9"/>
  <c r="I13990" i="9"/>
  <c r="I13991" i="9"/>
  <c r="I13992" i="9"/>
  <c r="I13993" i="9"/>
  <c r="I13994" i="9"/>
  <c r="I13995" i="9"/>
  <c r="I13996" i="9"/>
  <c r="I13997" i="9"/>
  <c r="I13998" i="9"/>
  <c r="I13999" i="9"/>
  <c r="I14000" i="9"/>
  <c r="I14001" i="9"/>
  <c r="I14002" i="9"/>
  <c r="I14003" i="9"/>
  <c r="I14004" i="9"/>
  <c r="I14005" i="9"/>
  <c r="I14006" i="9"/>
  <c r="I14007" i="9"/>
  <c r="I14008" i="9"/>
  <c r="I14009" i="9"/>
  <c r="I14010" i="9"/>
  <c r="I14011" i="9"/>
  <c r="I14012" i="9"/>
  <c r="I14013" i="9"/>
  <c r="I14014" i="9"/>
  <c r="I14015" i="9"/>
  <c r="I14016" i="9"/>
  <c r="I14017" i="9"/>
  <c r="I14018" i="9"/>
  <c r="I14019" i="9"/>
  <c r="I14020" i="9"/>
  <c r="I14021" i="9"/>
  <c r="I14022" i="9"/>
  <c r="I14023" i="9"/>
  <c r="I14024" i="9"/>
  <c r="I14025" i="9"/>
  <c r="I14026" i="9"/>
  <c r="I14027" i="9"/>
  <c r="I14028" i="9"/>
  <c r="I14029" i="9"/>
  <c r="I14030" i="9"/>
  <c r="I14031" i="9"/>
  <c r="I14032" i="9"/>
  <c r="I14033" i="9"/>
  <c r="I14034" i="9"/>
  <c r="I14035" i="9"/>
  <c r="I14036" i="9"/>
  <c r="I14037" i="9"/>
  <c r="I14038" i="9"/>
  <c r="I14039" i="9"/>
  <c r="I14040" i="9"/>
  <c r="I14041" i="9"/>
  <c r="I14042" i="9"/>
  <c r="I14043" i="9"/>
  <c r="I14044" i="9"/>
  <c r="I14045" i="9"/>
  <c r="I14046" i="9"/>
  <c r="I14047" i="9"/>
  <c r="I14048" i="9"/>
  <c r="I14049" i="9"/>
  <c r="I14050" i="9"/>
  <c r="I14051" i="9"/>
  <c r="I14052" i="9"/>
  <c r="I14053" i="9"/>
  <c r="I14054" i="9"/>
  <c r="I14055" i="9"/>
  <c r="I14056" i="9"/>
  <c r="I14057" i="9"/>
  <c r="I14058" i="9"/>
  <c r="I14059" i="9"/>
  <c r="I14060" i="9"/>
  <c r="I14061" i="9"/>
  <c r="I14062" i="9"/>
  <c r="I14063" i="9"/>
  <c r="I14064" i="9"/>
  <c r="I14065" i="9"/>
  <c r="I14066" i="9"/>
  <c r="I14067" i="9"/>
  <c r="I14068" i="9"/>
  <c r="I14069" i="9"/>
  <c r="I14070" i="9"/>
  <c r="I14071" i="9"/>
  <c r="I14072" i="9"/>
  <c r="I14073" i="9"/>
  <c r="I14074" i="9"/>
  <c r="I14075" i="9"/>
  <c r="I14076" i="9"/>
  <c r="I14077" i="9"/>
  <c r="I14078" i="9"/>
  <c r="I14079" i="9"/>
  <c r="I14080" i="9"/>
  <c r="I14081" i="9"/>
  <c r="I14082" i="9"/>
  <c r="I14083" i="9"/>
  <c r="I14084" i="9"/>
  <c r="I14085" i="9"/>
  <c r="I14086" i="9"/>
  <c r="I14087" i="9"/>
  <c r="I14088" i="9"/>
  <c r="I14089" i="9"/>
  <c r="I14090" i="9"/>
  <c r="I14091" i="9"/>
  <c r="I14092" i="9"/>
  <c r="I14093" i="9"/>
  <c r="I14094" i="9"/>
  <c r="I14095" i="9"/>
  <c r="I14096" i="9"/>
  <c r="I14097" i="9"/>
  <c r="I14098" i="9"/>
  <c r="I14099" i="9"/>
  <c r="I14100" i="9"/>
  <c r="I14101" i="9"/>
  <c r="I14102" i="9"/>
  <c r="I14103" i="9"/>
  <c r="I14104" i="9"/>
  <c r="I14105" i="9"/>
  <c r="I14106" i="9"/>
  <c r="I14107" i="9"/>
  <c r="I14108" i="9"/>
  <c r="I14109" i="9"/>
  <c r="I14110" i="9"/>
  <c r="I14111" i="9"/>
  <c r="I14112" i="9"/>
  <c r="I14113" i="9"/>
  <c r="I14114" i="9"/>
  <c r="I14115" i="9"/>
  <c r="I14116" i="9"/>
  <c r="I14117" i="9"/>
  <c r="I14118" i="9"/>
  <c r="I14119" i="9"/>
  <c r="I14120" i="9"/>
  <c r="I14121" i="9"/>
  <c r="I14122" i="9"/>
  <c r="I14123" i="9"/>
  <c r="I14124" i="9"/>
  <c r="I14125" i="9"/>
  <c r="I14126" i="9"/>
  <c r="I14127" i="9"/>
  <c r="I14128" i="9"/>
  <c r="I14129" i="9"/>
  <c r="I14130" i="9"/>
  <c r="I14131" i="9"/>
  <c r="I14132" i="9"/>
  <c r="I14133" i="9"/>
  <c r="I14134" i="9"/>
  <c r="I14135" i="9"/>
  <c r="I14136" i="9"/>
  <c r="I14137" i="9"/>
  <c r="I14138" i="9"/>
  <c r="I14139" i="9"/>
  <c r="I14140" i="9"/>
  <c r="I14141" i="9"/>
  <c r="I14142" i="9"/>
  <c r="I14143" i="9"/>
  <c r="I14144" i="9"/>
  <c r="I14145" i="9"/>
  <c r="I14146" i="9"/>
  <c r="I14147" i="9"/>
  <c r="I14148" i="9"/>
  <c r="I14149" i="9"/>
  <c r="I14150" i="9"/>
  <c r="I14151" i="9"/>
  <c r="I14152" i="9"/>
  <c r="I14153" i="9"/>
  <c r="I14154" i="9"/>
  <c r="I14155" i="9"/>
  <c r="I14156" i="9"/>
  <c r="I14157" i="9"/>
  <c r="I14158" i="9"/>
  <c r="I14159" i="9"/>
  <c r="I14160" i="9"/>
  <c r="I14161" i="9"/>
  <c r="I14162" i="9"/>
  <c r="I14163" i="9"/>
  <c r="I14164" i="9"/>
  <c r="I14165" i="9"/>
  <c r="I14166" i="9"/>
  <c r="I14167" i="9"/>
  <c r="I14168" i="9"/>
  <c r="I14169" i="9"/>
  <c r="I14170" i="9"/>
  <c r="I14171" i="9"/>
  <c r="I14172" i="9"/>
  <c r="I14173" i="9"/>
  <c r="I14174" i="9"/>
  <c r="I14175" i="9"/>
  <c r="I14176" i="9"/>
  <c r="I14177" i="9"/>
  <c r="I14178" i="9"/>
  <c r="I14179" i="9"/>
  <c r="I14180" i="9"/>
  <c r="I14181" i="9"/>
  <c r="I14182" i="9"/>
  <c r="I14183" i="9"/>
  <c r="I14184" i="9"/>
  <c r="I14185" i="9"/>
  <c r="I14186" i="9"/>
  <c r="I14187" i="9"/>
  <c r="I14188" i="9"/>
  <c r="I14189" i="9"/>
  <c r="I14190" i="9"/>
  <c r="I14191" i="9"/>
  <c r="I14192" i="9"/>
  <c r="I14193" i="9"/>
  <c r="I14194" i="9"/>
  <c r="I14195" i="9"/>
  <c r="I14196" i="9"/>
  <c r="I14197" i="9"/>
  <c r="I14198" i="9"/>
  <c r="I14199" i="9"/>
  <c r="I14200" i="9"/>
  <c r="I14201" i="9"/>
  <c r="I14202" i="9"/>
  <c r="I14203" i="9"/>
  <c r="I14204" i="9"/>
  <c r="I14205" i="9"/>
  <c r="I14206" i="9"/>
  <c r="I14207" i="9"/>
  <c r="I14208" i="9"/>
  <c r="I14209" i="9"/>
  <c r="I14210" i="9"/>
  <c r="I14211" i="9"/>
  <c r="I14212" i="9"/>
  <c r="I14213" i="9"/>
  <c r="I14214" i="9"/>
  <c r="I14215" i="9"/>
  <c r="I14216" i="9"/>
  <c r="I14217" i="9"/>
  <c r="I14218" i="9"/>
  <c r="I14219" i="9"/>
  <c r="I14220" i="9"/>
  <c r="I14221" i="9"/>
  <c r="I14222" i="9"/>
  <c r="I14223" i="9"/>
  <c r="I14224" i="9"/>
  <c r="I14225" i="9"/>
  <c r="I14226" i="9"/>
  <c r="I14227" i="9"/>
  <c r="I14228" i="9"/>
  <c r="I14229" i="9"/>
  <c r="I14230" i="9"/>
  <c r="I14231" i="9"/>
  <c r="I14232" i="9"/>
  <c r="I14233" i="9"/>
  <c r="I14234" i="9"/>
  <c r="I14235" i="9"/>
  <c r="I14236" i="9"/>
  <c r="I14237" i="9"/>
  <c r="I14238" i="9"/>
  <c r="I14239" i="9"/>
  <c r="I14240" i="9"/>
  <c r="I14241" i="9"/>
  <c r="I14242" i="9"/>
  <c r="I14243" i="9"/>
  <c r="I14244" i="9"/>
  <c r="I14245" i="9"/>
  <c r="I14246" i="9"/>
  <c r="I14247" i="9"/>
  <c r="I14248" i="9"/>
  <c r="I14249" i="9"/>
  <c r="I14250" i="9"/>
  <c r="I14251" i="9"/>
  <c r="I14252" i="9"/>
  <c r="I14253" i="9"/>
  <c r="I14254" i="9"/>
  <c r="I14255" i="9"/>
  <c r="I14256" i="9"/>
  <c r="I14257" i="9"/>
  <c r="I14258" i="9"/>
  <c r="I14259" i="9"/>
  <c r="I14260" i="9"/>
  <c r="I14261" i="9"/>
  <c r="I14262" i="9"/>
  <c r="I14263" i="9"/>
  <c r="I14264" i="9"/>
  <c r="I14265" i="9"/>
  <c r="I14266" i="9"/>
  <c r="I14267" i="9"/>
  <c r="I14268" i="9"/>
  <c r="I14269" i="9"/>
  <c r="I14270" i="9"/>
  <c r="I14271" i="9"/>
  <c r="I14272" i="9"/>
  <c r="I14273" i="9"/>
  <c r="I14274" i="9"/>
  <c r="I14275" i="9"/>
  <c r="I14276" i="9"/>
  <c r="I14277" i="9"/>
  <c r="I14278" i="9"/>
  <c r="I14279" i="9"/>
  <c r="I14280" i="9"/>
  <c r="I14281" i="9"/>
  <c r="I14282" i="9"/>
  <c r="I14283" i="9"/>
  <c r="I14284" i="9"/>
  <c r="I14285" i="9"/>
  <c r="I14286" i="9"/>
  <c r="I14287" i="9"/>
  <c r="I14288" i="9"/>
  <c r="I14289" i="9"/>
  <c r="I14290" i="9"/>
  <c r="I14291" i="9"/>
  <c r="I14292" i="9"/>
  <c r="I14293" i="9"/>
  <c r="I14294" i="9"/>
  <c r="I14295" i="9"/>
  <c r="I14296" i="9"/>
  <c r="I14297" i="9"/>
  <c r="I14298" i="9"/>
  <c r="I14299" i="9"/>
  <c r="I14300" i="9"/>
  <c r="I14301" i="9"/>
  <c r="I14302" i="9"/>
  <c r="I14303" i="9"/>
  <c r="I14304" i="9"/>
  <c r="I14305" i="9"/>
  <c r="I14306" i="9"/>
  <c r="I14307" i="9"/>
  <c r="I14308" i="9"/>
  <c r="I14309" i="9"/>
  <c r="I14310" i="9"/>
  <c r="I14311" i="9"/>
  <c r="I14312" i="9"/>
  <c r="I14313" i="9"/>
  <c r="I14314" i="9"/>
  <c r="I14315" i="9"/>
  <c r="I14316" i="9"/>
  <c r="I14317" i="9"/>
  <c r="I14318" i="9"/>
  <c r="I14319" i="9"/>
  <c r="I14320" i="9"/>
  <c r="I14321" i="9"/>
  <c r="I14322" i="9"/>
  <c r="I14323" i="9"/>
  <c r="I14324" i="9"/>
  <c r="I14325" i="9"/>
  <c r="I14326" i="9"/>
  <c r="I14327" i="9"/>
  <c r="I14328" i="9"/>
  <c r="I14329" i="9"/>
  <c r="I14330" i="9"/>
  <c r="I14331" i="9"/>
  <c r="I14332" i="9"/>
  <c r="I14333" i="9"/>
  <c r="I14334" i="9"/>
  <c r="I14335" i="9"/>
  <c r="I14336" i="9"/>
  <c r="I14337" i="9"/>
  <c r="I14338" i="9"/>
  <c r="I14339" i="9"/>
  <c r="I14340" i="9"/>
  <c r="I14341" i="9"/>
  <c r="I14342" i="9"/>
  <c r="I14343" i="9"/>
  <c r="I14344" i="9"/>
  <c r="I14345" i="9"/>
  <c r="I14346" i="9"/>
  <c r="I14347" i="9"/>
  <c r="I14348" i="9"/>
  <c r="I14349" i="9"/>
  <c r="I14350" i="9"/>
  <c r="I14351" i="9"/>
  <c r="I14352" i="9"/>
  <c r="I14353" i="9"/>
  <c r="I14354" i="9"/>
  <c r="I14355" i="9"/>
  <c r="I14356" i="9"/>
  <c r="I14357" i="9"/>
  <c r="I14358" i="9"/>
  <c r="I14359" i="9"/>
  <c r="I14360" i="9"/>
  <c r="I14361" i="9"/>
  <c r="I14362" i="9"/>
  <c r="I14363" i="9"/>
  <c r="I14364" i="9"/>
  <c r="I14365" i="9"/>
  <c r="I14366" i="9"/>
  <c r="I14367" i="9"/>
  <c r="I14368" i="9"/>
  <c r="I14369" i="9"/>
  <c r="I14370" i="9"/>
  <c r="I14371" i="9"/>
  <c r="I14372" i="9"/>
  <c r="I14373" i="9"/>
  <c r="I14374" i="9"/>
  <c r="I14375" i="9"/>
  <c r="I14376" i="9"/>
  <c r="I14377" i="9"/>
  <c r="I14378" i="9"/>
  <c r="I14379" i="9"/>
  <c r="I14380" i="9"/>
  <c r="I14381" i="9"/>
  <c r="I14382" i="9"/>
  <c r="I14383" i="9"/>
  <c r="I14384" i="9"/>
  <c r="I14385" i="9"/>
  <c r="I14386" i="9"/>
  <c r="I14387" i="9"/>
  <c r="I14388" i="9"/>
  <c r="I14389" i="9"/>
  <c r="I14390" i="9"/>
  <c r="I14391" i="9"/>
  <c r="I14392" i="9"/>
  <c r="I14393" i="9"/>
  <c r="I14394" i="9"/>
  <c r="I14395" i="9"/>
  <c r="I14396" i="9"/>
  <c r="I14397" i="9"/>
  <c r="I14398" i="9"/>
  <c r="I14399" i="9"/>
  <c r="I14400" i="9"/>
  <c r="I14401" i="9"/>
  <c r="I14402" i="9"/>
  <c r="I14403" i="9"/>
  <c r="I14404" i="9"/>
  <c r="I14405" i="9"/>
  <c r="I14406" i="9"/>
  <c r="I14407" i="9"/>
  <c r="I14408" i="9"/>
  <c r="I14409" i="9"/>
  <c r="I14410" i="9"/>
  <c r="I14411" i="9"/>
  <c r="I14412" i="9"/>
  <c r="I14413" i="9"/>
  <c r="I14414" i="9"/>
  <c r="I14415" i="9"/>
  <c r="I14416" i="9"/>
  <c r="I14417" i="9"/>
  <c r="I14418" i="9"/>
  <c r="I14419" i="9"/>
  <c r="I14420" i="9"/>
  <c r="I14421" i="9"/>
  <c r="I14422" i="9"/>
  <c r="I14423" i="9"/>
  <c r="I14424" i="9"/>
  <c r="I14425" i="9"/>
  <c r="I14426" i="9"/>
  <c r="I14427" i="9"/>
  <c r="I14428" i="9"/>
  <c r="I14429" i="9"/>
  <c r="I14430" i="9"/>
  <c r="I14431" i="9"/>
  <c r="I14432" i="9"/>
  <c r="I14433" i="9"/>
  <c r="I14434" i="9"/>
  <c r="I14435" i="9"/>
  <c r="I14436" i="9"/>
  <c r="I14437" i="9"/>
  <c r="I14438" i="9"/>
  <c r="I14439" i="9"/>
  <c r="I14440" i="9"/>
  <c r="I14441" i="9"/>
  <c r="I14442" i="9"/>
  <c r="I14443" i="9"/>
  <c r="I14444" i="9"/>
  <c r="I14445" i="9"/>
  <c r="I14446" i="9"/>
  <c r="I14447" i="9"/>
  <c r="I14448" i="9"/>
  <c r="I14449" i="9"/>
  <c r="I14450" i="9"/>
  <c r="I14451" i="9"/>
  <c r="I14452" i="9"/>
  <c r="I14453" i="9"/>
  <c r="I14454" i="9"/>
  <c r="I14455" i="9"/>
  <c r="I14456" i="9"/>
  <c r="I14457" i="9"/>
  <c r="I14458" i="9"/>
  <c r="I14459" i="9"/>
  <c r="I14460" i="9"/>
  <c r="I14461" i="9"/>
  <c r="I14462" i="9"/>
  <c r="I14463" i="9"/>
  <c r="I14464" i="9"/>
  <c r="I14465" i="9"/>
  <c r="I14466" i="9"/>
  <c r="I14467" i="9"/>
  <c r="I14468" i="9"/>
  <c r="I14469" i="9"/>
  <c r="I14470" i="9"/>
  <c r="I14471" i="9"/>
  <c r="I14472" i="9"/>
  <c r="I14473" i="9"/>
  <c r="I14474" i="9"/>
  <c r="I14475" i="9"/>
  <c r="I14476" i="9"/>
  <c r="I14477" i="9"/>
  <c r="I14478" i="9"/>
  <c r="I14479" i="9"/>
  <c r="I14480" i="9"/>
  <c r="I14481" i="9"/>
  <c r="I14482" i="9"/>
  <c r="I14483" i="9"/>
  <c r="I14484" i="9"/>
  <c r="I14485" i="9"/>
  <c r="I14486" i="9"/>
  <c r="I14487" i="9"/>
  <c r="I14488" i="9"/>
  <c r="I14489" i="9"/>
  <c r="I14490" i="9"/>
  <c r="I14491" i="9"/>
  <c r="I14492" i="9"/>
  <c r="I14493" i="9"/>
  <c r="I14494" i="9"/>
  <c r="I14495" i="9"/>
  <c r="I14496" i="9"/>
  <c r="I14497" i="9"/>
  <c r="I14498" i="9"/>
  <c r="I14499" i="9"/>
  <c r="I14500" i="9"/>
  <c r="I14501" i="9"/>
  <c r="I14502" i="9"/>
  <c r="I14503" i="9"/>
  <c r="I14504" i="9"/>
  <c r="I14505" i="9"/>
  <c r="I14506" i="9"/>
  <c r="I14507" i="9"/>
  <c r="I14508" i="9"/>
  <c r="I14509" i="9"/>
  <c r="I14510" i="9"/>
  <c r="I14511" i="9"/>
  <c r="I14512" i="9"/>
  <c r="I14513" i="9"/>
  <c r="I14514" i="9"/>
  <c r="I14515" i="9"/>
  <c r="I14516" i="9"/>
  <c r="I14517" i="9"/>
  <c r="I14518" i="9"/>
  <c r="I14519" i="9"/>
  <c r="I14520" i="9"/>
  <c r="I14521" i="9"/>
  <c r="I14522" i="9"/>
  <c r="I14523" i="9"/>
  <c r="I14524" i="9"/>
  <c r="I14525" i="9"/>
  <c r="I14526" i="9"/>
  <c r="I14527" i="9"/>
  <c r="I14528" i="9"/>
  <c r="I14529" i="9"/>
  <c r="I14530" i="9"/>
  <c r="I14531" i="9"/>
  <c r="I14532" i="9"/>
  <c r="I14533" i="9"/>
  <c r="I14534" i="9"/>
  <c r="I14535" i="9"/>
  <c r="I14536" i="9"/>
  <c r="I14537" i="9"/>
  <c r="I14538" i="9"/>
  <c r="I14539" i="9"/>
  <c r="I14540" i="9"/>
  <c r="I14541" i="9"/>
  <c r="I14542" i="9"/>
  <c r="I14543" i="9"/>
  <c r="I14544" i="9"/>
  <c r="I14545" i="9"/>
  <c r="I14546" i="9"/>
  <c r="I14547" i="9"/>
  <c r="I14548" i="9"/>
  <c r="I14549" i="9"/>
  <c r="I14550" i="9"/>
  <c r="I14551" i="9"/>
  <c r="I14552" i="9"/>
  <c r="I14553" i="9"/>
  <c r="I14554" i="9"/>
  <c r="I14555" i="9"/>
  <c r="I14556" i="9"/>
  <c r="I14557" i="9"/>
  <c r="I14558" i="9"/>
  <c r="I14559" i="9"/>
  <c r="I14560" i="9"/>
  <c r="I14561" i="9"/>
  <c r="I14562" i="9"/>
  <c r="I14563" i="9"/>
  <c r="I14564" i="9"/>
  <c r="I14565" i="9"/>
  <c r="I14566" i="9"/>
  <c r="I14567" i="9"/>
  <c r="I14568" i="9"/>
  <c r="I14569" i="9"/>
  <c r="I14570" i="9"/>
  <c r="I14571" i="9"/>
  <c r="I14572" i="9"/>
  <c r="I14573" i="9"/>
  <c r="I14574" i="9"/>
  <c r="I14575" i="9"/>
  <c r="I14576" i="9"/>
  <c r="I14577" i="9"/>
  <c r="I14578" i="9"/>
  <c r="I14579" i="9"/>
  <c r="I14580" i="9"/>
  <c r="I14581" i="9"/>
  <c r="I14582" i="9"/>
  <c r="I14583" i="9"/>
  <c r="I14584" i="9"/>
  <c r="I14585" i="9"/>
  <c r="I14586" i="9"/>
  <c r="I14587" i="9"/>
  <c r="I14588" i="9"/>
  <c r="I14589" i="9"/>
  <c r="I14590" i="9"/>
  <c r="I14591" i="9"/>
  <c r="I14592" i="9"/>
  <c r="I14593" i="9"/>
  <c r="I14594" i="9"/>
  <c r="I14595" i="9"/>
  <c r="I14596" i="9"/>
  <c r="I14597" i="9"/>
  <c r="I14598" i="9"/>
  <c r="I14599" i="9"/>
  <c r="I14600" i="9"/>
  <c r="I14601" i="9"/>
  <c r="I14602" i="9"/>
  <c r="I14603" i="9"/>
  <c r="I14604" i="9"/>
  <c r="I14605" i="9"/>
  <c r="I14606" i="9"/>
  <c r="I14607" i="9"/>
  <c r="I14608" i="9"/>
  <c r="I14609" i="9"/>
  <c r="I14610" i="9"/>
  <c r="I14611" i="9"/>
  <c r="I14612" i="9"/>
  <c r="I14613" i="9"/>
  <c r="I14614" i="9"/>
  <c r="I14615" i="9"/>
  <c r="I14616" i="9"/>
  <c r="I14617" i="9"/>
  <c r="I14618" i="9"/>
  <c r="I14619" i="9"/>
  <c r="I14620" i="9"/>
  <c r="I14621" i="9"/>
  <c r="I14622" i="9"/>
  <c r="I14623" i="9"/>
  <c r="I14624" i="9"/>
  <c r="I14625" i="9"/>
  <c r="I14626" i="9"/>
  <c r="I14627" i="9"/>
  <c r="I14628" i="9"/>
  <c r="I14629" i="9"/>
  <c r="I14630" i="9"/>
  <c r="I14631" i="9"/>
  <c r="I14632" i="9"/>
  <c r="I14633" i="9"/>
  <c r="I14634" i="9"/>
  <c r="I14635" i="9"/>
  <c r="I14636" i="9"/>
  <c r="I14637" i="9"/>
  <c r="I14638" i="9"/>
  <c r="I14639" i="9"/>
  <c r="I14640" i="9"/>
  <c r="I14641" i="9"/>
  <c r="I14642" i="9"/>
  <c r="I14643" i="9"/>
  <c r="I14644" i="9"/>
  <c r="I14645" i="9"/>
  <c r="I14646" i="9"/>
  <c r="I14647" i="9"/>
  <c r="I14648" i="9"/>
  <c r="I14649" i="9"/>
  <c r="I14650" i="9"/>
  <c r="I14651" i="9"/>
  <c r="I14652" i="9"/>
  <c r="I14653" i="9"/>
  <c r="I14654" i="9"/>
  <c r="I14655" i="9"/>
  <c r="I14656" i="9"/>
  <c r="I14657" i="9"/>
  <c r="I14658" i="9"/>
  <c r="I14659" i="9"/>
  <c r="I14660" i="9"/>
  <c r="I14661" i="9"/>
  <c r="I14662" i="9"/>
  <c r="I14663" i="9"/>
  <c r="I14664" i="9"/>
  <c r="I14665" i="9"/>
  <c r="I14666" i="9"/>
  <c r="I14667" i="9"/>
  <c r="I14668" i="9"/>
  <c r="I14669" i="9"/>
  <c r="I14670" i="9"/>
  <c r="I14671" i="9"/>
  <c r="I14672" i="9"/>
  <c r="I14673" i="9"/>
  <c r="I14674" i="9"/>
  <c r="I14675" i="9"/>
  <c r="I14676" i="9"/>
  <c r="I14677" i="9"/>
  <c r="I14678" i="9"/>
  <c r="I14679" i="9"/>
  <c r="I14680" i="9"/>
  <c r="I14681" i="9"/>
  <c r="I14682" i="9"/>
  <c r="I14683" i="9"/>
  <c r="I14684" i="9"/>
  <c r="I14685" i="9"/>
  <c r="I14686" i="9"/>
  <c r="I14687" i="9"/>
  <c r="I14688" i="9"/>
  <c r="I14689" i="9"/>
  <c r="I14690" i="9"/>
  <c r="I14691" i="9"/>
  <c r="I14692" i="9"/>
  <c r="I14693" i="9"/>
  <c r="I14694" i="9"/>
  <c r="I14695" i="9"/>
  <c r="I14696" i="9"/>
  <c r="I14697" i="9"/>
  <c r="I14698" i="9"/>
  <c r="I14699" i="9"/>
  <c r="I14700" i="9"/>
  <c r="I14701" i="9"/>
  <c r="I14702" i="9"/>
  <c r="I14703" i="9"/>
  <c r="I14704" i="9"/>
  <c r="I14705" i="9"/>
  <c r="I14706" i="9"/>
  <c r="I14707" i="9"/>
  <c r="I14708" i="9"/>
  <c r="I14709" i="9"/>
  <c r="I14710" i="9"/>
  <c r="I14711" i="9"/>
  <c r="I14712" i="9"/>
  <c r="I14713" i="9"/>
  <c r="I14714" i="9"/>
  <c r="I14715" i="9"/>
  <c r="I14716" i="9"/>
  <c r="I14717" i="9"/>
  <c r="I14718" i="9"/>
  <c r="I14719" i="9"/>
  <c r="I14720" i="9"/>
  <c r="I14721" i="9"/>
  <c r="I14722" i="9"/>
  <c r="I14723" i="9"/>
  <c r="I14724" i="9"/>
  <c r="I14725" i="9"/>
  <c r="I14726" i="9"/>
  <c r="I14727" i="9"/>
  <c r="I14728" i="9"/>
  <c r="I14729" i="9"/>
  <c r="I14730" i="9"/>
  <c r="I14731" i="9"/>
  <c r="I14732" i="9"/>
  <c r="I14733" i="9"/>
  <c r="I14734" i="9"/>
  <c r="I14735" i="9"/>
  <c r="I14736" i="9"/>
  <c r="I14737" i="9"/>
  <c r="I14738" i="9"/>
  <c r="I14739" i="9"/>
  <c r="I14740" i="9"/>
  <c r="I14741" i="9"/>
  <c r="I14742" i="9"/>
  <c r="I14743" i="9"/>
  <c r="I14744" i="9"/>
  <c r="I14745" i="9"/>
  <c r="I14746" i="9"/>
  <c r="I14747" i="9"/>
  <c r="I14748" i="9"/>
  <c r="I14749" i="9"/>
  <c r="I14750" i="9"/>
  <c r="I14751" i="9"/>
  <c r="I14752" i="9"/>
  <c r="I14753" i="9"/>
  <c r="I14754" i="9"/>
  <c r="I14755" i="9"/>
  <c r="I14756" i="9"/>
  <c r="I14757" i="9"/>
  <c r="I14758" i="9"/>
  <c r="I14759" i="9"/>
  <c r="I14760" i="9"/>
  <c r="I14761" i="9"/>
  <c r="I14762" i="9"/>
  <c r="I14763" i="9"/>
  <c r="I14764" i="9"/>
  <c r="I14765" i="9"/>
  <c r="I14766" i="9"/>
  <c r="I14767" i="9"/>
  <c r="I14768" i="9"/>
  <c r="I14769" i="9"/>
  <c r="I14770" i="9"/>
  <c r="I14771" i="9"/>
  <c r="I14772" i="9"/>
  <c r="I14773" i="9"/>
  <c r="I14774" i="9"/>
  <c r="I14775" i="9"/>
  <c r="I14776" i="9"/>
  <c r="I14777" i="9"/>
  <c r="I14778" i="9"/>
  <c r="I14779" i="9"/>
  <c r="I14780" i="9"/>
  <c r="I14781" i="9"/>
  <c r="I14782" i="9"/>
  <c r="I14783" i="9"/>
  <c r="I14784" i="9"/>
  <c r="I14785" i="9"/>
  <c r="I14786" i="9"/>
  <c r="I14787" i="9"/>
  <c r="I14788" i="9"/>
  <c r="I14789" i="9"/>
  <c r="I14790" i="9"/>
  <c r="I14791" i="9"/>
  <c r="I14792" i="9"/>
  <c r="I14793" i="9"/>
  <c r="I14794" i="9"/>
  <c r="I14795" i="9"/>
  <c r="I14796" i="9"/>
  <c r="I14797" i="9"/>
  <c r="I14798" i="9"/>
  <c r="I14799" i="9"/>
  <c r="I14800" i="9"/>
  <c r="I14801" i="9"/>
  <c r="I14802" i="9"/>
  <c r="I14803" i="9"/>
  <c r="I14804" i="9"/>
  <c r="I14805" i="9"/>
  <c r="I14806" i="9"/>
  <c r="I14807" i="9"/>
  <c r="I14808" i="9"/>
  <c r="I14809" i="9"/>
  <c r="I14810" i="9"/>
  <c r="I14811" i="9"/>
  <c r="I14812" i="9"/>
  <c r="I14813" i="9"/>
  <c r="I14814" i="9"/>
  <c r="I14815" i="9"/>
  <c r="I14816" i="9"/>
  <c r="I14817" i="9"/>
  <c r="I14818" i="9"/>
  <c r="I14819" i="9"/>
  <c r="I14820" i="9"/>
  <c r="I14821" i="9"/>
  <c r="I14822" i="9"/>
  <c r="I14823" i="9"/>
  <c r="I14824" i="9"/>
  <c r="I14825" i="9"/>
  <c r="I14826" i="9"/>
  <c r="I14827" i="9"/>
  <c r="I14828" i="9"/>
  <c r="I14829" i="9"/>
  <c r="I14830" i="9"/>
  <c r="I14831" i="9"/>
  <c r="I14832" i="9"/>
  <c r="I14833" i="9"/>
  <c r="I14834" i="9"/>
  <c r="I14835" i="9"/>
  <c r="I14836" i="9"/>
  <c r="I14837" i="9"/>
  <c r="I14838" i="9"/>
  <c r="I14839" i="9"/>
  <c r="I14840" i="9"/>
  <c r="I14841" i="9"/>
  <c r="I14842" i="9"/>
  <c r="I14843" i="9"/>
  <c r="I14844" i="9"/>
  <c r="I14845" i="9"/>
  <c r="I14846" i="9"/>
  <c r="I14847" i="9"/>
  <c r="I14848" i="9"/>
  <c r="I14849" i="9"/>
  <c r="I14850" i="9"/>
  <c r="I14851" i="9"/>
  <c r="I14852" i="9"/>
  <c r="I14853" i="9"/>
  <c r="I14854" i="9"/>
  <c r="I14855" i="9"/>
  <c r="I14856" i="9"/>
  <c r="I14857" i="9"/>
  <c r="I14858" i="9"/>
  <c r="I14859" i="9"/>
  <c r="I14860" i="9"/>
  <c r="I14861" i="9"/>
  <c r="I14862" i="9"/>
  <c r="I14863" i="9"/>
  <c r="I14864" i="9"/>
  <c r="I14865" i="9"/>
  <c r="I14866" i="9"/>
  <c r="I14867" i="9"/>
  <c r="I14868" i="9"/>
  <c r="I14869" i="9"/>
  <c r="I14870" i="9"/>
  <c r="I14871" i="9"/>
  <c r="I14872" i="9"/>
  <c r="I14873" i="9"/>
  <c r="I14874" i="9"/>
  <c r="I14875" i="9"/>
  <c r="I14876" i="9"/>
  <c r="I14877" i="9"/>
  <c r="I14878" i="9"/>
  <c r="I14879" i="9"/>
  <c r="I14880" i="9"/>
  <c r="I14881" i="9"/>
  <c r="I14882" i="9"/>
  <c r="I14883" i="9"/>
  <c r="I14884" i="9"/>
  <c r="I14885" i="9"/>
  <c r="I14886" i="9"/>
  <c r="I14887" i="9"/>
  <c r="I14888" i="9"/>
  <c r="I14889" i="9"/>
  <c r="I14890" i="9"/>
  <c r="I14891" i="9"/>
  <c r="I14892" i="9"/>
  <c r="I14893" i="9"/>
  <c r="I14894" i="9"/>
  <c r="I14895" i="9"/>
  <c r="I14896" i="9"/>
  <c r="I14897" i="9"/>
  <c r="I14898" i="9"/>
  <c r="I14899" i="9"/>
  <c r="I14900" i="9"/>
  <c r="I14901" i="9"/>
  <c r="I14902" i="9"/>
  <c r="I14903" i="9"/>
  <c r="I14904" i="9"/>
  <c r="I14905" i="9"/>
  <c r="I14906" i="9"/>
  <c r="I14907" i="9"/>
  <c r="I14908" i="9"/>
  <c r="I14909" i="9"/>
  <c r="I14910" i="9"/>
  <c r="I14911" i="9"/>
  <c r="I14912" i="9"/>
  <c r="I14913" i="9"/>
  <c r="I14914" i="9"/>
  <c r="I14915" i="9"/>
  <c r="I14916" i="9"/>
  <c r="I14917" i="9"/>
  <c r="I14918" i="9"/>
  <c r="I14919" i="9"/>
  <c r="I14920" i="9"/>
  <c r="I14921" i="9"/>
  <c r="I14922" i="9"/>
  <c r="I14923" i="9"/>
  <c r="I14924" i="9"/>
  <c r="I14925" i="9"/>
  <c r="I14926" i="9"/>
  <c r="I14927" i="9"/>
  <c r="I14928" i="9"/>
  <c r="I14929" i="9"/>
  <c r="I14930" i="9"/>
  <c r="I14931" i="9"/>
  <c r="I14932" i="9"/>
  <c r="I14933" i="9"/>
  <c r="I14934" i="9"/>
  <c r="I14935" i="9"/>
  <c r="I14936" i="9"/>
  <c r="I14937" i="9"/>
  <c r="I14938" i="9"/>
  <c r="I14939" i="9"/>
  <c r="I14940" i="9"/>
  <c r="I14941" i="9"/>
  <c r="I14942" i="9"/>
  <c r="I14943" i="9"/>
  <c r="I14944" i="9"/>
  <c r="I14945" i="9"/>
  <c r="I14946" i="9"/>
  <c r="I14947" i="9"/>
  <c r="I14948" i="9"/>
  <c r="I14949" i="9"/>
  <c r="I14950" i="9"/>
  <c r="I14951" i="9"/>
  <c r="I14952" i="9"/>
  <c r="I14953" i="9"/>
  <c r="I14954" i="9"/>
  <c r="I14955" i="9"/>
  <c r="I14956" i="9"/>
  <c r="I14957" i="9"/>
  <c r="I14958" i="9"/>
  <c r="I14959" i="9"/>
  <c r="I14960" i="9"/>
  <c r="I14961" i="9"/>
  <c r="I14962" i="9"/>
  <c r="I14963" i="9"/>
  <c r="I14964" i="9"/>
  <c r="I14965" i="9"/>
  <c r="I14966" i="9"/>
  <c r="I14967" i="9"/>
  <c r="I14968" i="9"/>
  <c r="I14969" i="9"/>
  <c r="I14970" i="9"/>
  <c r="I14971" i="9"/>
  <c r="I14972" i="9"/>
  <c r="I14973" i="9"/>
  <c r="I14974" i="9"/>
  <c r="I14975" i="9"/>
  <c r="I14976" i="9"/>
  <c r="I14977" i="9"/>
  <c r="I14978" i="9"/>
  <c r="I14979" i="9"/>
  <c r="I14980" i="9"/>
  <c r="I14981" i="9"/>
  <c r="I14982" i="9"/>
  <c r="I14983" i="9"/>
  <c r="I14984" i="9"/>
  <c r="I14985" i="9"/>
  <c r="I14986" i="9"/>
  <c r="I14987" i="9"/>
  <c r="I14988" i="9"/>
  <c r="I14989" i="9"/>
  <c r="I14990" i="9"/>
  <c r="I14991" i="9"/>
  <c r="I14992" i="9"/>
  <c r="I14993" i="9"/>
  <c r="I14994" i="9"/>
  <c r="I14995" i="9"/>
  <c r="I14996" i="9"/>
  <c r="I14997" i="9"/>
  <c r="I14998" i="9"/>
  <c r="I14999" i="9"/>
  <c r="I15000" i="9"/>
  <c r="I15001" i="9"/>
  <c r="I15002" i="9"/>
  <c r="I15003" i="9"/>
  <c r="I15004" i="9"/>
  <c r="I15005" i="9"/>
  <c r="I15006" i="9"/>
  <c r="I15007" i="9"/>
  <c r="I15008" i="9"/>
  <c r="I15009" i="9"/>
  <c r="I15010" i="9"/>
  <c r="I15011" i="9"/>
  <c r="I15012" i="9"/>
  <c r="I15013" i="9"/>
  <c r="I15014" i="9"/>
  <c r="I15015" i="9"/>
  <c r="I15016" i="9"/>
  <c r="I15017" i="9"/>
  <c r="I15018" i="9"/>
  <c r="I15019" i="9"/>
  <c r="I15020" i="9"/>
  <c r="I15021" i="9"/>
  <c r="I15022" i="9"/>
  <c r="I15023" i="9"/>
  <c r="I15024" i="9"/>
  <c r="I15025" i="9"/>
  <c r="I15026" i="9"/>
  <c r="I15027" i="9"/>
  <c r="I15028" i="9"/>
  <c r="I15029" i="9"/>
  <c r="I15030" i="9"/>
  <c r="I15031" i="9"/>
  <c r="I15032" i="9"/>
  <c r="I15033" i="9"/>
  <c r="I15034" i="9"/>
  <c r="I15035" i="9"/>
  <c r="I15036" i="9"/>
  <c r="I15037" i="9"/>
  <c r="I15038" i="9"/>
  <c r="I15039" i="9"/>
  <c r="I15040" i="9"/>
  <c r="I15041" i="9"/>
  <c r="I15042" i="9"/>
  <c r="I15043" i="9"/>
  <c r="I15044" i="9"/>
  <c r="I15045" i="9"/>
  <c r="I15046" i="9"/>
  <c r="I15047" i="9"/>
  <c r="I15048" i="9"/>
  <c r="I15049" i="9"/>
  <c r="I15050" i="9"/>
  <c r="I15051" i="9"/>
  <c r="I15052" i="9"/>
  <c r="I15053" i="9"/>
  <c r="I15054" i="9"/>
  <c r="I15055" i="9"/>
  <c r="I15056" i="9"/>
  <c r="I15057" i="9"/>
  <c r="I15058" i="9"/>
  <c r="I15059" i="9"/>
  <c r="I15060" i="9"/>
  <c r="I15061" i="9"/>
  <c r="I15062" i="9"/>
  <c r="I15063" i="9"/>
  <c r="I15064" i="9"/>
  <c r="I15065" i="9"/>
  <c r="I15066" i="9"/>
  <c r="I15067" i="9"/>
  <c r="I15068" i="9"/>
  <c r="I15069" i="9"/>
  <c r="I15070" i="9"/>
  <c r="I15071" i="9"/>
  <c r="I15072" i="9"/>
  <c r="I15073" i="9"/>
  <c r="I15074" i="9"/>
  <c r="I15075" i="9"/>
  <c r="I15076" i="9"/>
  <c r="I15077" i="9"/>
  <c r="I15078" i="9"/>
  <c r="I15079" i="9"/>
  <c r="I15080" i="9"/>
  <c r="I15081" i="9"/>
  <c r="I15082" i="9"/>
  <c r="I15083" i="9"/>
  <c r="I15084" i="9"/>
  <c r="I15085" i="9"/>
  <c r="I15086" i="9"/>
  <c r="I15087" i="9"/>
  <c r="I15088" i="9"/>
  <c r="I15089" i="9"/>
  <c r="I15090" i="9"/>
  <c r="I15091" i="9"/>
  <c r="I15092" i="9"/>
  <c r="I15093" i="9"/>
  <c r="I15094" i="9"/>
  <c r="I15095" i="9"/>
  <c r="I15096" i="9"/>
  <c r="I15097" i="9"/>
  <c r="I15098" i="9"/>
  <c r="I15099" i="9"/>
  <c r="I15100" i="9"/>
  <c r="I15101" i="9"/>
  <c r="I15102" i="9"/>
  <c r="I15103" i="9"/>
  <c r="I15104" i="9"/>
  <c r="I15105" i="9"/>
  <c r="I15106" i="9"/>
  <c r="I15107" i="9"/>
  <c r="I15108" i="9"/>
  <c r="I15109" i="9"/>
  <c r="I15110" i="9"/>
  <c r="I15111" i="9"/>
  <c r="I15112" i="9"/>
  <c r="I15113" i="9"/>
  <c r="I15114" i="9"/>
  <c r="I15115" i="9"/>
  <c r="I15116" i="9"/>
  <c r="I15117" i="9"/>
  <c r="I15118" i="9"/>
  <c r="I15119" i="9"/>
  <c r="I15120" i="9"/>
  <c r="I15121" i="9"/>
  <c r="I15122" i="9"/>
  <c r="I15123" i="9"/>
  <c r="I15124" i="9"/>
  <c r="I15125" i="9"/>
  <c r="I15126" i="9"/>
  <c r="I15127" i="9"/>
  <c r="I15128" i="9"/>
  <c r="I15129" i="9"/>
  <c r="I15130" i="9"/>
  <c r="I15131" i="9"/>
  <c r="I15132" i="9"/>
  <c r="I15133" i="9"/>
  <c r="I15134" i="9"/>
  <c r="I15135" i="9"/>
  <c r="I15136" i="9"/>
  <c r="I15137" i="9"/>
  <c r="I15138" i="9"/>
  <c r="I15139" i="9"/>
  <c r="I15140" i="9"/>
  <c r="I15141" i="9"/>
  <c r="I15142" i="9"/>
  <c r="I15143" i="9"/>
  <c r="I15144" i="9"/>
  <c r="I15145" i="9"/>
  <c r="I15146" i="9"/>
  <c r="I15147" i="9"/>
  <c r="I15148" i="9"/>
  <c r="I15149" i="9"/>
  <c r="I15150" i="9"/>
  <c r="I15151" i="9"/>
  <c r="I15152" i="9"/>
  <c r="I15153" i="9"/>
  <c r="I15154" i="9"/>
  <c r="I15155" i="9"/>
  <c r="I15156" i="9"/>
  <c r="I15157" i="9"/>
  <c r="I15158" i="9"/>
  <c r="I15159" i="9"/>
  <c r="I15160" i="9"/>
  <c r="I15161" i="9"/>
  <c r="I15162" i="9"/>
  <c r="I15163" i="9"/>
  <c r="I15164" i="9"/>
  <c r="I15165" i="9"/>
  <c r="I15166" i="9"/>
  <c r="I15167" i="9"/>
  <c r="I15168" i="9"/>
  <c r="I15169" i="9"/>
  <c r="I15170" i="9"/>
  <c r="I15171" i="9"/>
  <c r="I15172" i="9"/>
  <c r="I15173" i="9"/>
  <c r="I15174" i="9"/>
  <c r="I15175" i="9"/>
  <c r="I15176" i="9"/>
  <c r="I15177" i="9"/>
  <c r="I15178" i="9"/>
  <c r="I15179" i="9"/>
  <c r="I15180" i="9"/>
  <c r="I15181" i="9"/>
  <c r="I15182" i="9"/>
  <c r="I15183" i="9"/>
  <c r="I15184" i="9"/>
  <c r="I15185" i="9"/>
  <c r="I15186" i="9"/>
  <c r="I15187" i="9"/>
  <c r="I15188" i="9"/>
  <c r="I15189" i="9"/>
  <c r="I15190" i="9"/>
  <c r="I15191" i="9"/>
  <c r="I15192" i="9"/>
  <c r="I15193" i="9"/>
  <c r="I15194" i="9"/>
  <c r="I15195" i="9"/>
  <c r="I15196" i="9"/>
  <c r="I15197" i="9"/>
  <c r="I15198" i="9"/>
  <c r="I15199" i="9"/>
  <c r="I15200" i="9"/>
  <c r="I15201" i="9"/>
  <c r="I15202" i="9"/>
  <c r="I15203" i="9"/>
  <c r="I15204" i="9"/>
  <c r="I15205" i="9"/>
  <c r="I15206" i="9"/>
  <c r="I15207" i="9"/>
  <c r="I15208" i="9"/>
  <c r="I15209" i="9"/>
  <c r="I15210" i="9"/>
  <c r="I15211" i="9"/>
  <c r="I15212" i="9"/>
  <c r="I15213" i="9"/>
  <c r="I15214" i="9"/>
  <c r="I15215" i="9"/>
  <c r="I15216" i="9"/>
  <c r="I15217" i="9"/>
  <c r="I15218" i="9"/>
  <c r="I15219" i="9"/>
  <c r="I15220" i="9"/>
  <c r="I15221" i="9"/>
  <c r="I15222" i="9"/>
  <c r="I15223" i="9"/>
  <c r="I15224" i="9"/>
  <c r="I15225" i="9"/>
  <c r="I15226" i="9"/>
  <c r="I15227" i="9"/>
  <c r="I15228" i="9"/>
  <c r="I15229" i="9"/>
  <c r="I15230" i="9"/>
  <c r="I15231" i="9"/>
  <c r="I15232" i="9"/>
  <c r="I15233" i="9"/>
  <c r="I15234" i="9"/>
  <c r="I15235" i="9"/>
  <c r="I15236" i="9"/>
  <c r="I15237" i="9"/>
  <c r="I15238" i="9"/>
  <c r="I15239" i="9"/>
  <c r="I15240" i="9"/>
  <c r="I15241" i="9"/>
  <c r="I15242" i="9"/>
  <c r="I15243" i="9"/>
  <c r="I15244" i="9"/>
  <c r="I15245" i="9"/>
  <c r="I15246" i="9"/>
  <c r="I15247" i="9"/>
  <c r="I15248" i="9"/>
  <c r="I15249" i="9"/>
  <c r="I15250" i="9"/>
  <c r="I15251" i="9"/>
  <c r="I15252" i="9"/>
  <c r="I15253" i="9"/>
  <c r="I15254" i="9"/>
  <c r="I15255" i="9"/>
  <c r="I15256" i="9"/>
  <c r="I15257" i="9"/>
  <c r="I15258" i="9"/>
  <c r="I15259" i="9"/>
  <c r="I15260" i="9"/>
  <c r="I15261" i="9"/>
  <c r="I15262" i="9"/>
  <c r="I15263" i="9"/>
  <c r="I15264" i="9"/>
  <c r="I15265" i="9"/>
  <c r="I15266" i="9"/>
  <c r="I15267" i="9"/>
  <c r="I15268" i="9"/>
  <c r="I15269" i="9"/>
  <c r="I15270" i="9"/>
  <c r="I15271" i="9"/>
  <c r="I15272" i="9"/>
  <c r="I15273" i="9"/>
  <c r="I15274" i="9"/>
  <c r="I15275" i="9"/>
  <c r="I15276" i="9"/>
  <c r="I15277" i="9"/>
  <c r="I15278" i="9"/>
  <c r="I15279" i="9"/>
  <c r="I15280" i="9"/>
  <c r="I15281" i="9"/>
  <c r="I15282" i="9"/>
  <c r="I15283" i="9"/>
  <c r="I15284" i="9"/>
  <c r="I15285" i="9"/>
  <c r="I15286" i="9"/>
  <c r="I15287" i="9"/>
  <c r="I15288" i="9"/>
  <c r="I15289" i="9"/>
  <c r="I15290" i="9"/>
  <c r="I15291" i="9"/>
  <c r="I15292" i="9"/>
  <c r="I15293" i="9"/>
  <c r="I15294" i="9"/>
  <c r="I15295" i="9"/>
  <c r="I15296" i="9"/>
  <c r="I15297" i="9"/>
  <c r="I15298" i="9"/>
  <c r="I15299" i="9"/>
  <c r="I15300" i="9"/>
  <c r="I15301" i="9"/>
  <c r="I15302" i="9"/>
  <c r="I15303" i="9"/>
  <c r="I15304" i="9"/>
  <c r="I15305" i="9"/>
  <c r="I15306" i="9"/>
  <c r="I15307" i="9"/>
  <c r="I15308" i="9"/>
  <c r="I15309" i="9"/>
  <c r="I15310" i="9"/>
  <c r="I15311" i="9"/>
  <c r="I15312" i="9"/>
  <c r="I15313" i="9"/>
  <c r="I15314" i="9"/>
  <c r="I15315" i="9"/>
  <c r="I15316" i="9"/>
  <c r="I15317" i="9"/>
  <c r="I15318" i="9"/>
  <c r="I15319" i="9"/>
  <c r="I15320" i="9"/>
  <c r="I15321" i="9"/>
  <c r="I15322" i="9"/>
  <c r="I15323" i="9"/>
  <c r="I15324" i="9"/>
  <c r="I15325" i="9"/>
  <c r="I15326" i="9"/>
  <c r="I15327" i="9"/>
  <c r="I15328" i="9"/>
  <c r="I15329" i="9"/>
  <c r="I15330" i="9"/>
  <c r="I15331" i="9"/>
  <c r="I15332" i="9"/>
  <c r="I15333" i="9"/>
  <c r="I15334" i="9"/>
  <c r="I15335" i="9"/>
  <c r="I15336" i="9"/>
  <c r="I15337" i="9"/>
  <c r="I15338" i="9"/>
  <c r="I15339" i="9"/>
  <c r="I15340" i="9"/>
  <c r="I15341" i="9"/>
  <c r="I15342" i="9"/>
  <c r="I15343" i="9"/>
  <c r="I15344" i="9"/>
  <c r="I15345" i="9"/>
  <c r="I15346" i="9"/>
  <c r="I15347" i="9"/>
  <c r="I15348" i="9"/>
  <c r="I15349" i="9"/>
  <c r="I15350" i="9"/>
  <c r="I15351" i="9"/>
  <c r="I15352" i="9"/>
  <c r="I15353" i="9"/>
  <c r="I15354" i="9"/>
  <c r="I15355" i="9"/>
  <c r="I15356" i="9"/>
  <c r="I15357" i="9"/>
  <c r="I15358" i="9"/>
  <c r="I15359" i="9"/>
  <c r="I15360" i="9"/>
  <c r="I15361" i="9"/>
  <c r="I15362" i="9"/>
  <c r="I15363" i="9"/>
  <c r="I15364" i="9"/>
  <c r="I15365" i="9"/>
  <c r="I15366" i="9"/>
  <c r="I15367" i="9"/>
  <c r="I15368" i="9"/>
  <c r="I15369" i="9"/>
  <c r="I15370" i="9"/>
  <c r="I15371" i="9"/>
  <c r="I15372" i="9"/>
  <c r="I15373" i="9"/>
  <c r="I15374" i="9"/>
  <c r="I15375" i="9"/>
  <c r="I15376" i="9"/>
  <c r="I15377" i="9"/>
  <c r="I15378" i="9"/>
  <c r="I15379" i="9"/>
  <c r="I15380" i="9"/>
  <c r="I15381" i="9"/>
  <c r="I15382" i="9"/>
  <c r="I15383" i="9"/>
  <c r="I15384" i="9"/>
  <c r="I12946" i="9"/>
  <c r="I12947" i="9"/>
  <c r="I12948" i="9"/>
  <c r="I12949" i="9"/>
  <c r="I12950" i="9"/>
  <c r="I12951" i="9"/>
  <c r="I12952" i="9"/>
  <c r="I12953" i="9"/>
  <c r="I12954" i="9"/>
  <c r="I12955" i="9"/>
  <c r="I12956" i="9"/>
  <c r="I12957" i="9"/>
  <c r="I12958" i="9"/>
  <c r="I12959" i="9"/>
  <c r="I12960" i="9"/>
  <c r="I12961" i="9"/>
  <c r="I12962" i="9"/>
  <c r="I12963" i="9"/>
  <c r="I12964" i="9"/>
  <c r="I12965" i="9"/>
  <c r="I12966" i="9"/>
  <c r="I12967" i="9"/>
  <c r="I12968" i="9"/>
  <c r="I12969" i="9"/>
  <c r="I12970" i="9"/>
  <c r="I12971" i="9"/>
  <c r="I12972" i="9"/>
  <c r="I12973" i="9"/>
  <c r="I12974" i="9"/>
  <c r="I12975" i="9"/>
  <c r="I12976" i="9"/>
  <c r="I12977" i="9"/>
  <c r="I12978" i="9"/>
  <c r="I12979" i="9"/>
  <c r="I12980" i="9"/>
  <c r="I12981" i="9"/>
  <c r="I12982" i="9"/>
  <c r="I12983" i="9"/>
  <c r="I12984" i="9"/>
  <c r="I12985" i="9"/>
  <c r="I12986" i="9"/>
  <c r="I12987" i="9"/>
  <c r="I12988" i="9"/>
  <c r="I12989" i="9"/>
  <c r="I12990" i="9"/>
  <c r="I12991" i="9"/>
  <c r="I12992" i="9"/>
  <c r="I12993" i="9"/>
  <c r="I12994" i="9"/>
  <c r="I12995" i="9"/>
  <c r="I12996" i="9"/>
  <c r="I12997" i="9"/>
  <c r="I12998" i="9"/>
  <c r="I12999" i="9"/>
  <c r="I13000" i="9"/>
  <c r="I13001" i="9"/>
  <c r="I13002" i="9"/>
  <c r="I13003" i="9"/>
  <c r="I13004" i="9"/>
  <c r="I13005" i="9"/>
  <c r="I13006" i="9"/>
  <c r="I13007" i="9"/>
  <c r="I13008" i="9"/>
  <c r="I13009" i="9"/>
  <c r="I13010" i="9"/>
  <c r="I13011" i="9"/>
  <c r="I13012" i="9"/>
  <c r="I13013" i="9"/>
  <c r="I13014" i="9"/>
  <c r="I13015" i="9"/>
  <c r="I13016" i="9"/>
  <c r="I13017" i="9"/>
  <c r="I13018" i="9"/>
  <c r="I13019" i="9"/>
  <c r="I13020" i="9"/>
  <c r="I13021" i="9"/>
  <c r="I13022" i="9"/>
  <c r="I13023" i="9"/>
  <c r="I13024" i="9"/>
  <c r="I13025" i="9"/>
  <c r="I13026" i="9"/>
  <c r="I13027" i="9"/>
  <c r="I13028" i="9"/>
  <c r="I13029" i="9"/>
  <c r="I13030" i="9"/>
  <c r="I13031" i="9"/>
  <c r="I13032" i="9"/>
  <c r="I13033" i="9"/>
  <c r="I13034" i="9"/>
  <c r="I13035" i="9"/>
  <c r="I13036" i="9"/>
  <c r="I13037" i="9"/>
  <c r="I13038" i="9"/>
  <c r="I13039" i="9"/>
  <c r="I13040" i="9"/>
  <c r="I13041" i="9"/>
  <c r="I13042" i="9"/>
  <c r="I13043" i="9"/>
  <c r="I13044" i="9"/>
  <c r="I13045" i="9"/>
  <c r="I13046" i="9"/>
  <c r="I13047" i="9"/>
  <c r="I13048" i="9"/>
  <c r="I13049" i="9"/>
  <c r="I13050" i="9"/>
  <c r="I13051" i="9"/>
  <c r="I13052" i="9"/>
  <c r="I13053" i="9"/>
  <c r="I13054" i="9"/>
  <c r="I13055" i="9"/>
  <c r="I13056" i="9"/>
  <c r="I13057" i="9"/>
  <c r="I13058" i="9"/>
  <c r="I13059" i="9"/>
  <c r="I13060" i="9"/>
  <c r="I13061" i="9"/>
  <c r="I13062" i="9"/>
  <c r="I13063" i="9"/>
  <c r="I13064" i="9"/>
  <c r="I13065" i="9"/>
  <c r="I13066" i="9"/>
  <c r="I13067" i="9"/>
  <c r="I13068" i="9"/>
  <c r="I13069" i="9"/>
  <c r="I13070" i="9"/>
  <c r="I13071" i="9"/>
  <c r="I13072" i="9"/>
  <c r="I13073" i="9"/>
  <c r="I13074" i="9"/>
  <c r="I13075" i="9"/>
  <c r="I13076" i="9"/>
  <c r="I13077" i="9"/>
  <c r="I13078" i="9"/>
  <c r="I13079" i="9"/>
  <c r="I13080" i="9"/>
  <c r="I13081" i="9"/>
  <c r="I13082" i="9"/>
  <c r="I13083" i="9"/>
  <c r="I13084" i="9"/>
  <c r="I13085" i="9"/>
  <c r="I13086" i="9"/>
  <c r="I13087" i="9"/>
  <c r="I13088" i="9"/>
  <c r="I13089" i="9"/>
  <c r="I13090" i="9"/>
  <c r="I13091" i="9"/>
  <c r="I13092" i="9"/>
  <c r="I13093" i="9"/>
  <c r="I13094" i="9"/>
  <c r="I13095" i="9"/>
  <c r="I13096" i="9"/>
  <c r="I13097" i="9"/>
  <c r="I13098" i="9"/>
  <c r="I13099" i="9"/>
  <c r="I13100" i="9"/>
  <c r="I13101" i="9"/>
  <c r="I13102" i="9"/>
  <c r="I13103" i="9"/>
  <c r="I13104" i="9"/>
  <c r="I13105" i="9"/>
  <c r="I13106" i="9"/>
  <c r="I13107" i="9"/>
  <c r="I13108" i="9"/>
  <c r="I13109" i="9"/>
  <c r="I13110" i="9"/>
  <c r="I13111" i="9"/>
  <c r="I13112" i="9"/>
  <c r="I13113" i="9"/>
  <c r="I13114" i="9"/>
  <c r="I13115" i="9"/>
  <c r="I13116" i="9"/>
  <c r="I13117" i="9"/>
  <c r="I13118" i="9"/>
  <c r="I13119" i="9"/>
  <c r="I13120" i="9"/>
  <c r="I13121" i="9"/>
  <c r="I13122" i="9"/>
  <c r="I13123" i="9"/>
  <c r="I13124" i="9"/>
  <c r="I13125" i="9"/>
  <c r="I13126" i="9"/>
  <c r="I13127" i="9"/>
  <c r="I13128" i="9"/>
  <c r="I13129" i="9"/>
  <c r="I13130" i="9"/>
  <c r="I13131" i="9"/>
  <c r="I13132" i="9"/>
  <c r="I13133" i="9"/>
  <c r="I13134" i="9"/>
  <c r="I13135" i="9"/>
  <c r="I13136" i="9"/>
  <c r="I13137" i="9"/>
  <c r="I13138" i="9"/>
  <c r="I13139" i="9"/>
  <c r="I13140" i="9"/>
  <c r="I13141" i="9"/>
  <c r="I13142" i="9"/>
  <c r="I13143" i="9"/>
  <c r="I13144" i="9"/>
  <c r="I13145" i="9"/>
  <c r="I13146" i="9"/>
  <c r="I13147" i="9"/>
  <c r="I13148" i="9"/>
  <c r="I13149" i="9"/>
  <c r="I13150" i="9"/>
  <c r="I13151" i="9"/>
  <c r="I13152" i="9"/>
  <c r="I13153" i="9"/>
  <c r="I13154" i="9"/>
  <c r="I13155" i="9"/>
  <c r="I13156" i="9"/>
  <c r="I13157" i="9"/>
  <c r="I13158" i="9"/>
  <c r="I13159" i="9"/>
  <c r="I13160" i="9"/>
  <c r="I13161" i="9"/>
  <c r="I13162" i="9"/>
  <c r="I13163" i="9"/>
  <c r="I13164" i="9"/>
  <c r="I13165" i="9"/>
  <c r="I13166" i="9"/>
  <c r="I13167" i="9"/>
  <c r="I13168" i="9"/>
  <c r="I13169" i="9"/>
  <c r="I13170" i="9"/>
  <c r="I13171" i="9"/>
  <c r="I13172" i="9"/>
  <c r="I13173" i="9"/>
  <c r="I13174" i="9"/>
  <c r="I13175" i="9"/>
  <c r="I13176" i="9"/>
  <c r="I13177" i="9"/>
  <c r="I13178" i="9"/>
  <c r="I13179" i="9"/>
  <c r="I13180" i="9"/>
  <c r="I13181" i="9"/>
  <c r="I13182" i="9"/>
  <c r="I13183" i="9"/>
  <c r="I13184" i="9"/>
  <c r="I13185" i="9"/>
  <c r="I13186" i="9"/>
  <c r="I13187" i="9"/>
  <c r="I13188" i="9"/>
  <c r="I13189" i="9"/>
  <c r="I13190" i="9"/>
  <c r="I13191" i="9"/>
  <c r="I13192" i="9"/>
  <c r="I13193" i="9"/>
  <c r="I13194" i="9"/>
  <c r="I13195" i="9"/>
  <c r="I13196" i="9"/>
  <c r="I13197" i="9"/>
  <c r="I13198" i="9"/>
  <c r="I13199" i="9"/>
  <c r="I13200" i="9"/>
  <c r="I13201" i="9"/>
  <c r="I13202" i="9"/>
  <c r="I13203" i="9"/>
  <c r="I13204" i="9"/>
  <c r="I13205" i="9"/>
  <c r="I13206" i="9"/>
  <c r="I13207" i="9"/>
  <c r="I13208" i="9"/>
  <c r="I13209" i="9"/>
  <c r="I13210" i="9"/>
  <c r="I13211" i="9"/>
  <c r="I13212" i="9"/>
  <c r="I13213" i="9"/>
  <c r="I13214" i="9"/>
  <c r="I13215" i="9"/>
  <c r="I13216" i="9"/>
  <c r="I13217" i="9"/>
  <c r="I13218" i="9"/>
  <c r="I13219" i="9"/>
  <c r="I13220" i="9"/>
  <c r="I13221" i="9"/>
  <c r="I13222" i="9"/>
  <c r="I13223" i="9"/>
  <c r="I13224" i="9"/>
  <c r="I13225" i="9"/>
  <c r="I13226" i="9"/>
  <c r="I13227" i="9"/>
  <c r="I13228" i="9"/>
  <c r="I13229" i="9"/>
  <c r="I13230" i="9"/>
  <c r="I13231" i="9"/>
  <c r="I13232" i="9"/>
  <c r="I13233" i="9"/>
  <c r="I13234" i="9"/>
  <c r="I13235" i="9"/>
  <c r="I13236" i="9"/>
  <c r="I13237" i="9"/>
  <c r="I13238" i="9"/>
  <c r="I13239" i="9"/>
  <c r="I13240" i="9"/>
  <c r="I13241" i="9"/>
  <c r="I13242" i="9"/>
  <c r="I13243" i="9"/>
  <c r="I13244" i="9"/>
  <c r="I13245" i="9"/>
  <c r="I13246" i="9"/>
  <c r="I13247" i="9"/>
  <c r="I13248" i="9"/>
  <c r="I13249" i="9"/>
  <c r="I13250" i="9"/>
  <c r="I13251" i="9"/>
  <c r="I13252" i="9"/>
  <c r="I13253" i="9"/>
  <c r="I13254" i="9"/>
  <c r="I13255" i="9"/>
  <c r="I13256" i="9"/>
  <c r="I13257" i="9"/>
  <c r="I13258" i="9"/>
  <c r="I13259" i="9"/>
  <c r="I13260" i="9"/>
  <c r="I13261" i="9"/>
  <c r="I13262" i="9"/>
  <c r="I13263" i="9"/>
  <c r="I13264" i="9"/>
  <c r="I13265" i="9"/>
  <c r="I13266" i="9"/>
  <c r="I13267" i="9"/>
  <c r="I13268" i="9"/>
  <c r="I13269" i="9"/>
  <c r="I13270" i="9"/>
  <c r="I13271" i="9"/>
  <c r="I13272" i="9"/>
  <c r="I13273" i="9"/>
  <c r="I13274" i="9"/>
  <c r="I13275" i="9"/>
  <c r="I13276" i="9"/>
  <c r="I13277" i="9"/>
  <c r="I13278" i="9"/>
  <c r="I13279" i="9"/>
  <c r="I13280" i="9"/>
  <c r="I13281" i="9"/>
  <c r="I13282" i="9"/>
  <c r="I13283" i="9"/>
  <c r="I13284" i="9"/>
  <c r="I13285" i="9"/>
  <c r="I13286" i="9"/>
  <c r="I13287" i="9"/>
  <c r="I13288" i="9"/>
  <c r="I13289" i="9"/>
  <c r="I13290" i="9"/>
  <c r="I13291" i="9"/>
  <c r="I13292" i="9"/>
  <c r="I13293" i="9"/>
  <c r="I13294" i="9"/>
  <c r="I13295" i="9"/>
  <c r="I13296" i="9"/>
  <c r="I13297" i="9"/>
  <c r="I13298" i="9"/>
  <c r="I13299" i="9"/>
  <c r="I13300" i="9"/>
  <c r="I13301" i="9"/>
  <c r="I13302" i="9"/>
  <c r="I13303" i="9"/>
  <c r="I13304" i="9"/>
  <c r="I13305" i="9"/>
  <c r="I13306" i="9"/>
  <c r="I13307" i="9"/>
  <c r="I13308" i="9"/>
  <c r="I13309" i="9"/>
  <c r="I13310" i="9"/>
  <c r="I13311" i="9"/>
  <c r="I13312" i="9"/>
  <c r="I13313" i="9"/>
  <c r="I13314" i="9"/>
  <c r="I13315" i="9"/>
  <c r="I13316" i="9"/>
  <c r="I13317" i="9"/>
  <c r="I13318" i="9"/>
  <c r="I13319" i="9"/>
  <c r="I13320" i="9"/>
  <c r="I13321" i="9"/>
  <c r="I13322" i="9"/>
  <c r="I13323" i="9"/>
  <c r="I13324" i="9"/>
  <c r="I13325" i="9"/>
  <c r="I13326" i="9"/>
  <c r="I13327" i="9"/>
  <c r="I13328" i="9"/>
  <c r="I13329" i="9"/>
  <c r="I13330" i="9"/>
  <c r="I13331" i="9"/>
  <c r="I13332" i="9"/>
  <c r="I13333" i="9"/>
  <c r="I13334" i="9"/>
  <c r="I13335" i="9"/>
  <c r="I13336" i="9"/>
  <c r="I13337" i="9"/>
  <c r="I13338" i="9"/>
  <c r="I13339" i="9"/>
  <c r="I13340" i="9"/>
  <c r="I13341" i="9"/>
  <c r="I13342" i="9"/>
  <c r="I13343" i="9"/>
  <c r="I13344" i="9"/>
  <c r="I13345" i="9"/>
  <c r="I13346" i="9"/>
  <c r="I13347" i="9"/>
  <c r="I13348" i="9"/>
  <c r="I13349" i="9"/>
  <c r="I13350" i="9"/>
  <c r="I13351" i="9"/>
  <c r="I13352" i="9"/>
  <c r="I13353" i="9"/>
  <c r="I13354" i="9"/>
  <c r="I13355" i="9"/>
  <c r="I13356" i="9"/>
  <c r="I13357" i="9"/>
  <c r="I13358" i="9"/>
  <c r="I13359" i="9"/>
  <c r="I13360" i="9"/>
  <c r="I13361" i="9"/>
  <c r="I13362" i="9"/>
  <c r="I13363" i="9"/>
  <c r="I13364" i="9"/>
  <c r="I13365" i="9"/>
  <c r="I13366" i="9"/>
  <c r="I13367" i="9"/>
  <c r="I13368" i="9"/>
  <c r="I13369" i="9"/>
  <c r="I13370" i="9"/>
  <c r="I13371" i="9"/>
  <c r="I13372" i="9"/>
  <c r="I13373" i="9"/>
  <c r="I13374" i="9"/>
  <c r="I13375" i="9"/>
  <c r="I13376" i="9"/>
  <c r="I13377" i="9"/>
  <c r="I13378" i="9"/>
  <c r="I13379" i="9"/>
  <c r="I13380" i="9"/>
  <c r="I13381" i="9"/>
  <c r="I13382" i="9"/>
  <c r="I13383" i="9"/>
  <c r="I13384" i="9"/>
  <c r="I13385" i="9"/>
  <c r="I13386" i="9"/>
  <c r="I13387" i="9"/>
  <c r="I13388" i="9"/>
  <c r="I13389" i="9"/>
  <c r="I13390" i="9"/>
  <c r="I13391" i="9"/>
  <c r="I13392" i="9"/>
  <c r="I13393" i="9"/>
  <c r="I13394" i="9"/>
  <c r="I13395" i="9"/>
  <c r="I13396" i="9"/>
  <c r="I13397" i="9"/>
  <c r="I13398" i="9"/>
  <c r="I13399" i="9"/>
  <c r="I13400" i="9"/>
  <c r="I13401" i="9"/>
  <c r="I13402" i="9"/>
  <c r="I13403" i="9"/>
  <c r="I13404" i="9"/>
  <c r="I13405" i="9"/>
  <c r="I13406" i="9"/>
  <c r="I13407" i="9"/>
  <c r="I13408" i="9"/>
  <c r="I13409" i="9"/>
  <c r="I13410" i="9"/>
  <c r="I13411" i="9"/>
  <c r="I13412" i="9"/>
  <c r="I13413" i="9"/>
  <c r="I13414" i="9"/>
  <c r="I13415" i="9"/>
  <c r="I13416" i="9"/>
  <c r="I13417" i="9"/>
  <c r="I13418" i="9"/>
  <c r="I13419" i="9"/>
  <c r="I13420" i="9"/>
  <c r="I13421" i="9"/>
  <c r="I13422" i="9"/>
  <c r="I13423" i="9"/>
  <c r="I13424" i="9"/>
  <c r="I13425" i="9"/>
  <c r="I13426" i="9"/>
  <c r="I13427" i="9"/>
  <c r="I13428" i="9"/>
  <c r="I13429" i="9"/>
  <c r="I13430" i="9"/>
  <c r="I13431" i="9"/>
  <c r="I13432" i="9"/>
  <c r="I13433" i="9"/>
  <c r="I13434" i="9"/>
  <c r="I13435" i="9"/>
  <c r="I13436" i="9"/>
  <c r="I13437" i="9"/>
  <c r="I13438" i="9"/>
  <c r="I13439" i="9"/>
  <c r="I13440" i="9"/>
  <c r="I13441" i="9"/>
  <c r="I13442" i="9"/>
  <c r="I13443" i="9"/>
  <c r="I13444" i="9"/>
  <c r="I13445" i="9"/>
  <c r="I13446" i="9"/>
  <c r="I13447" i="9"/>
  <c r="I13448" i="9"/>
  <c r="I13449" i="9"/>
  <c r="I13450" i="9"/>
  <c r="I13451" i="9"/>
  <c r="I13452" i="9"/>
  <c r="I13453" i="9"/>
  <c r="I13454" i="9"/>
  <c r="I13455" i="9"/>
  <c r="I13456" i="9"/>
  <c r="I13457" i="9"/>
  <c r="I13458" i="9"/>
  <c r="I13459" i="9"/>
  <c r="I13460" i="9"/>
  <c r="I13461" i="9"/>
  <c r="I13462" i="9"/>
  <c r="I13463" i="9"/>
  <c r="I13464" i="9"/>
  <c r="I13465" i="9"/>
  <c r="I13466" i="9"/>
  <c r="I13467" i="9"/>
  <c r="I13468" i="9"/>
  <c r="I13469" i="9"/>
  <c r="I13470" i="9"/>
  <c r="I13471" i="9"/>
  <c r="I13472" i="9"/>
  <c r="I13473" i="9"/>
  <c r="I13474" i="9"/>
  <c r="I13475" i="9"/>
  <c r="I13476" i="9"/>
  <c r="I13477" i="9"/>
  <c r="I13478" i="9"/>
  <c r="I13479" i="9"/>
  <c r="I13480" i="9"/>
  <c r="I13481" i="9"/>
  <c r="I13482" i="9"/>
  <c r="I13483" i="9"/>
  <c r="I13484" i="9"/>
  <c r="I13485" i="9"/>
  <c r="I13486" i="9"/>
  <c r="I13487" i="9"/>
  <c r="I13488" i="9"/>
  <c r="I13489" i="9"/>
  <c r="I13490" i="9"/>
  <c r="I13491" i="9"/>
  <c r="I13492" i="9"/>
  <c r="I13493" i="9"/>
  <c r="I13494" i="9"/>
  <c r="I13495" i="9"/>
  <c r="I13496" i="9"/>
  <c r="I13497" i="9"/>
  <c r="I13498" i="9"/>
  <c r="I13499" i="9"/>
  <c r="I13500" i="9"/>
  <c r="I13501" i="9"/>
  <c r="I13502" i="9"/>
  <c r="I13503" i="9"/>
  <c r="I13504" i="9"/>
  <c r="I13505" i="9"/>
  <c r="I13506" i="9"/>
  <c r="I13507" i="9"/>
  <c r="I13508" i="9"/>
  <c r="I13509" i="9"/>
  <c r="I13510" i="9"/>
  <c r="I13511" i="9"/>
  <c r="I13512" i="9"/>
  <c r="I13513" i="9"/>
  <c r="I13514" i="9"/>
  <c r="I13515" i="9"/>
  <c r="I13516" i="9"/>
  <c r="I13517" i="9"/>
  <c r="I13518" i="9"/>
  <c r="I13519" i="9"/>
  <c r="I13520" i="9"/>
  <c r="I13521" i="9"/>
  <c r="I13522" i="9"/>
  <c r="I13523" i="9"/>
  <c r="I13524" i="9"/>
  <c r="I13525" i="9"/>
  <c r="I13526" i="9"/>
  <c r="I13527" i="9"/>
  <c r="I13528" i="9"/>
  <c r="I13529" i="9"/>
  <c r="I13530" i="9"/>
  <c r="I13531" i="9"/>
  <c r="I13532" i="9"/>
  <c r="I13533" i="9"/>
  <c r="I13534" i="9"/>
  <c r="I13535" i="9"/>
  <c r="I13536" i="9"/>
  <c r="I13537" i="9"/>
  <c r="I13538" i="9"/>
  <c r="I13539" i="9"/>
  <c r="I13540" i="9"/>
  <c r="I13541" i="9"/>
  <c r="I13542" i="9"/>
  <c r="I13543" i="9"/>
  <c r="I13544" i="9"/>
  <c r="I13545" i="9"/>
  <c r="I13546" i="9"/>
  <c r="I13547" i="9"/>
  <c r="I13548" i="9"/>
  <c r="I13549" i="9"/>
  <c r="I13550" i="9"/>
  <c r="I13551" i="9"/>
  <c r="I13552" i="9"/>
  <c r="I13553" i="9"/>
  <c r="I13554" i="9"/>
  <c r="I13555" i="9"/>
  <c r="I13556" i="9"/>
  <c r="I13557" i="9"/>
  <c r="I13558" i="9"/>
  <c r="I13559" i="9"/>
  <c r="I13560" i="9"/>
  <c r="I13561" i="9"/>
  <c r="I13562" i="9"/>
  <c r="I13563" i="9"/>
  <c r="I13564" i="9"/>
  <c r="I13565" i="9"/>
  <c r="I13566" i="9"/>
  <c r="I13567" i="9"/>
  <c r="I13568" i="9"/>
  <c r="I13569" i="9"/>
  <c r="I13570" i="9"/>
  <c r="I13571" i="9"/>
  <c r="I13572" i="9"/>
  <c r="I13573" i="9"/>
  <c r="I13574" i="9"/>
  <c r="I13575" i="9"/>
  <c r="I13576" i="9"/>
  <c r="I13577" i="9"/>
  <c r="I13578" i="9"/>
  <c r="I13579" i="9"/>
  <c r="I13580" i="9"/>
  <c r="I13581" i="9"/>
  <c r="I13582" i="9"/>
  <c r="I13583" i="9"/>
  <c r="I13584" i="9"/>
  <c r="I13585" i="9"/>
  <c r="I13586" i="9"/>
  <c r="I13587" i="9"/>
  <c r="I13588" i="9"/>
  <c r="I13589" i="9"/>
  <c r="I13590" i="9"/>
  <c r="I13591" i="9"/>
  <c r="I13592" i="9"/>
  <c r="I13593" i="9"/>
  <c r="I13594" i="9"/>
  <c r="I13595" i="9"/>
  <c r="I13596" i="9"/>
  <c r="I13597" i="9"/>
  <c r="I13598" i="9"/>
  <c r="I13599" i="9"/>
  <c r="I13600" i="9"/>
  <c r="I13601" i="9"/>
  <c r="I13602" i="9"/>
  <c r="I13603" i="9"/>
  <c r="I13604" i="9"/>
  <c r="I13605" i="9"/>
  <c r="I13606" i="9"/>
  <c r="I13607" i="9"/>
  <c r="I13608" i="9"/>
  <c r="I13609" i="9"/>
  <c r="I13610" i="9"/>
  <c r="I13611" i="9"/>
  <c r="I13612" i="9"/>
  <c r="I13613" i="9"/>
  <c r="I13614" i="9"/>
  <c r="I13615" i="9"/>
  <c r="I13616" i="9"/>
  <c r="I13617" i="9"/>
  <c r="I13618" i="9"/>
  <c r="I13619" i="9"/>
  <c r="I13620" i="9"/>
  <c r="I13621" i="9"/>
  <c r="I13622" i="9"/>
  <c r="I13623" i="9"/>
  <c r="I13624" i="9"/>
  <c r="I13625" i="9"/>
  <c r="I13626" i="9"/>
  <c r="I13627" i="9"/>
  <c r="I13628" i="9"/>
  <c r="I13629" i="9"/>
  <c r="I13630" i="9"/>
  <c r="I13631" i="9"/>
  <c r="I13632" i="9"/>
  <c r="I13633" i="9"/>
  <c r="I13634" i="9"/>
  <c r="I13635" i="9"/>
  <c r="I13636" i="9"/>
  <c r="I13637" i="9"/>
  <c r="I13638" i="9"/>
  <c r="I13639" i="9"/>
  <c r="I13640" i="9"/>
  <c r="I13641" i="9"/>
  <c r="I13642" i="9"/>
  <c r="I13643" i="9"/>
  <c r="I13644" i="9"/>
  <c r="I13645" i="9"/>
  <c r="I13646" i="9"/>
  <c r="I13647" i="9"/>
  <c r="I13648" i="9"/>
  <c r="I13649" i="9"/>
  <c r="I13650" i="9"/>
  <c r="I12945" i="9"/>
  <c r="I12940" i="9"/>
  <c r="I12941" i="9"/>
  <c r="I12942" i="9"/>
  <c r="I12943" i="9"/>
  <c r="I12944" i="9"/>
  <c r="I12939" i="9"/>
  <c r="I12938" i="9"/>
  <c r="I12937" i="9"/>
  <c r="I12936" i="9"/>
  <c r="I12935" i="9"/>
  <c r="I12934" i="9"/>
  <c r="I12904" i="9"/>
  <c r="I12905" i="9"/>
  <c r="I12906" i="9"/>
  <c r="I12907" i="9"/>
  <c r="I12908" i="9"/>
  <c r="I12909" i="9"/>
  <c r="I12910" i="9"/>
  <c r="I12911" i="9"/>
  <c r="I12912" i="9"/>
  <c r="I12913" i="9"/>
  <c r="I12914" i="9"/>
  <c r="I12915" i="9"/>
  <c r="I12916" i="9"/>
  <c r="I12917" i="9"/>
  <c r="I12918" i="9"/>
  <c r="I12919" i="9"/>
  <c r="I12920" i="9"/>
  <c r="I12921" i="9"/>
  <c r="I12922" i="9"/>
  <c r="I12923" i="9"/>
  <c r="I12924" i="9"/>
  <c r="I12925" i="9"/>
  <c r="I12926" i="9"/>
  <c r="I12927" i="9"/>
  <c r="I12928" i="9"/>
  <c r="I12929" i="9"/>
  <c r="I12930" i="9"/>
  <c r="I12931" i="9"/>
  <c r="I12932" i="9"/>
  <c r="I12933" i="9"/>
  <c r="I12903" i="9"/>
  <c r="I12902" i="9"/>
  <c r="I12901" i="9"/>
  <c r="I12900" i="9"/>
  <c r="I12897" i="9"/>
  <c r="I12898" i="9"/>
  <c r="I12899" i="9"/>
  <c r="I12896" i="9"/>
  <c r="I12895" i="9"/>
  <c r="I12894" i="9"/>
  <c r="I12893" i="9"/>
  <c r="I12880" i="9"/>
  <c r="I12881" i="9"/>
  <c r="I12882" i="9"/>
  <c r="I12883" i="9"/>
  <c r="I12884" i="9"/>
  <c r="I12885" i="9"/>
  <c r="I12886" i="9"/>
  <c r="I12887" i="9"/>
  <c r="I12888" i="9"/>
  <c r="I12889" i="9"/>
  <c r="I12890" i="9"/>
  <c r="I12891" i="9"/>
  <c r="I12892" i="9"/>
  <c r="I12879" i="9"/>
  <c r="I12878" i="9"/>
  <c r="I12877" i="9"/>
  <c r="I12733" i="9"/>
  <c r="I12734" i="9"/>
  <c r="I12735" i="9"/>
  <c r="I12736" i="9"/>
  <c r="I12737" i="9"/>
  <c r="I12738" i="9"/>
  <c r="I12739" i="9"/>
  <c r="I12740" i="9"/>
  <c r="I12741" i="9"/>
  <c r="I12742" i="9"/>
  <c r="I12743" i="9"/>
  <c r="I12744" i="9"/>
  <c r="I12745" i="9"/>
  <c r="I12746" i="9"/>
  <c r="I12747" i="9"/>
  <c r="I12748" i="9"/>
  <c r="I12749" i="9"/>
  <c r="I12750" i="9"/>
  <c r="I12751" i="9"/>
  <c r="I12752" i="9"/>
  <c r="I12753" i="9"/>
  <c r="I12754" i="9"/>
  <c r="I12755" i="9"/>
  <c r="I12756" i="9"/>
  <c r="I12757" i="9"/>
  <c r="I12758" i="9"/>
  <c r="I12759" i="9"/>
  <c r="I12760" i="9"/>
  <c r="I12761" i="9"/>
  <c r="I12762" i="9"/>
  <c r="I12763" i="9"/>
  <c r="I12764" i="9"/>
  <c r="I12765" i="9"/>
  <c r="I12766" i="9"/>
  <c r="I12767" i="9"/>
  <c r="I12768" i="9"/>
  <c r="I12769" i="9"/>
  <c r="I12770" i="9"/>
  <c r="I12771" i="9"/>
  <c r="I12772" i="9"/>
  <c r="I12773" i="9"/>
  <c r="I12774" i="9"/>
  <c r="I12775" i="9"/>
  <c r="I12776" i="9"/>
  <c r="I12777" i="9"/>
  <c r="I12778" i="9"/>
  <c r="I12779" i="9"/>
  <c r="I12780" i="9"/>
  <c r="I12781" i="9"/>
  <c r="I12782" i="9"/>
  <c r="I12783" i="9"/>
  <c r="I12784" i="9"/>
  <c r="I12785" i="9"/>
  <c r="I12786" i="9"/>
  <c r="I12787" i="9"/>
  <c r="I12788" i="9"/>
  <c r="I12789" i="9"/>
  <c r="I12790" i="9"/>
  <c r="I12791" i="9"/>
  <c r="I12792" i="9"/>
  <c r="I12793" i="9"/>
  <c r="I12794" i="9"/>
  <c r="I12795" i="9"/>
  <c r="I12796" i="9"/>
  <c r="I12797" i="9"/>
  <c r="I12798" i="9"/>
  <c r="I12799" i="9"/>
  <c r="I12800" i="9"/>
  <c r="I12801" i="9"/>
  <c r="I12802" i="9"/>
  <c r="I12803" i="9"/>
  <c r="I12804" i="9"/>
  <c r="I12805" i="9"/>
  <c r="I12806" i="9"/>
  <c r="I12807" i="9"/>
  <c r="I12808" i="9"/>
  <c r="I12809" i="9"/>
  <c r="I12810" i="9"/>
  <c r="I12811" i="9"/>
  <c r="I12812" i="9"/>
  <c r="I12813" i="9"/>
  <c r="I12814" i="9"/>
  <c r="I12815" i="9"/>
  <c r="I12816" i="9"/>
  <c r="I12817" i="9"/>
  <c r="I12818" i="9"/>
  <c r="I12819" i="9"/>
  <c r="I12820" i="9"/>
  <c r="I12821" i="9"/>
  <c r="I12822" i="9"/>
  <c r="I12823" i="9"/>
  <c r="I12824" i="9"/>
  <c r="I12825" i="9"/>
  <c r="I12826" i="9"/>
  <c r="I12827" i="9"/>
  <c r="I12828" i="9"/>
  <c r="I12829" i="9"/>
  <c r="I12830" i="9"/>
  <c r="I12831" i="9"/>
  <c r="I12832" i="9"/>
  <c r="I12833" i="9"/>
  <c r="I12834" i="9"/>
  <c r="I12835" i="9"/>
  <c r="I12836" i="9"/>
  <c r="I12837" i="9"/>
  <c r="I12838" i="9"/>
  <c r="I12839" i="9"/>
  <c r="I12840" i="9"/>
  <c r="I12841" i="9"/>
  <c r="I12842" i="9"/>
  <c r="I12843" i="9"/>
  <c r="I12844" i="9"/>
  <c r="I12845" i="9"/>
  <c r="I12846" i="9"/>
  <c r="I12847" i="9"/>
  <c r="I12848" i="9"/>
  <c r="I12849" i="9"/>
  <c r="I12850" i="9"/>
  <c r="I12851" i="9"/>
  <c r="I12852" i="9"/>
  <c r="I12853" i="9"/>
  <c r="I12854" i="9"/>
  <c r="I12855" i="9"/>
  <c r="I12856" i="9"/>
  <c r="I12857" i="9"/>
  <c r="I12858" i="9"/>
  <c r="I12859" i="9"/>
  <c r="I12860" i="9"/>
  <c r="I12861" i="9"/>
  <c r="I12862" i="9"/>
  <c r="I12863" i="9"/>
  <c r="I12864" i="9"/>
  <c r="I12865" i="9"/>
  <c r="I12866" i="9"/>
  <c r="I12867" i="9"/>
  <c r="I12868" i="9"/>
  <c r="I12869" i="9"/>
  <c r="I12870" i="9"/>
  <c r="I12871" i="9"/>
  <c r="I12872" i="9"/>
  <c r="I12873" i="9"/>
  <c r="I12874" i="9"/>
  <c r="I12875" i="9"/>
  <c r="I12876" i="9"/>
  <c r="I12731" i="9"/>
  <c r="I12732" i="9"/>
  <c r="I12730" i="9"/>
  <c r="I12729" i="9"/>
  <c r="I12338" i="9"/>
  <c r="I12339" i="9"/>
  <c r="I12340" i="9"/>
  <c r="I12341" i="9"/>
  <c r="I12342" i="9"/>
  <c r="I12343" i="9"/>
  <c r="I12344" i="9"/>
  <c r="I12345" i="9"/>
  <c r="I12346" i="9"/>
  <c r="I12347" i="9"/>
  <c r="I12348" i="9"/>
  <c r="I12349" i="9"/>
  <c r="I12350" i="9"/>
  <c r="I12351" i="9"/>
  <c r="I12352" i="9"/>
  <c r="I12353" i="9"/>
  <c r="I12354" i="9"/>
  <c r="I12355" i="9"/>
  <c r="I12356" i="9"/>
  <c r="I12357" i="9"/>
  <c r="I12358" i="9"/>
  <c r="I12359" i="9"/>
  <c r="I12360" i="9"/>
  <c r="I12361" i="9"/>
  <c r="I12362" i="9"/>
  <c r="I12363" i="9"/>
  <c r="I12364" i="9"/>
  <c r="I12365" i="9"/>
  <c r="I12366" i="9"/>
  <c r="I12367" i="9"/>
  <c r="I12368" i="9"/>
  <c r="I12369" i="9"/>
  <c r="I12370" i="9"/>
  <c r="I12371" i="9"/>
  <c r="I12372" i="9"/>
  <c r="I12373" i="9"/>
  <c r="I12374" i="9"/>
  <c r="I12375" i="9"/>
  <c r="I12376" i="9"/>
  <c r="I12377" i="9"/>
  <c r="I12378" i="9"/>
  <c r="I12379" i="9"/>
  <c r="I12380" i="9"/>
  <c r="I12381" i="9"/>
  <c r="I12382" i="9"/>
  <c r="I12383" i="9"/>
  <c r="I12384" i="9"/>
  <c r="I12385" i="9"/>
  <c r="I12386" i="9"/>
  <c r="I12387" i="9"/>
  <c r="I12388" i="9"/>
  <c r="I12389" i="9"/>
  <c r="I12390" i="9"/>
  <c r="I12391" i="9"/>
  <c r="I12392" i="9"/>
  <c r="I12393" i="9"/>
  <c r="I12394" i="9"/>
  <c r="I12395" i="9"/>
  <c r="I12396" i="9"/>
  <c r="I12397" i="9"/>
  <c r="I12398" i="9"/>
  <c r="I12399" i="9"/>
  <c r="I12400" i="9"/>
  <c r="I12401" i="9"/>
  <c r="I12402" i="9"/>
  <c r="I12403" i="9"/>
  <c r="I12404" i="9"/>
  <c r="I12405" i="9"/>
  <c r="I12406" i="9"/>
  <c r="I12407" i="9"/>
  <c r="I12408" i="9"/>
  <c r="I12409" i="9"/>
  <c r="I12410" i="9"/>
  <c r="I12411" i="9"/>
  <c r="I12412" i="9"/>
  <c r="I12413" i="9"/>
  <c r="I12414" i="9"/>
  <c r="I12415" i="9"/>
  <c r="I12416" i="9"/>
  <c r="I12417" i="9"/>
  <c r="I12418" i="9"/>
  <c r="I12419" i="9"/>
  <c r="I12420" i="9"/>
  <c r="I12421" i="9"/>
  <c r="I12422" i="9"/>
  <c r="I12423" i="9"/>
  <c r="I12424" i="9"/>
  <c r="I12425" i="9"/>
  <c r="I12426" i="9"/>
  <c r="I12427" i="9"/>
  <c r="I12428" i="9"/>
  <c r="I12429" i="9"/>
  <c r="I12430" i="9"/>
  <c r="I12431" i="9"/>
  <c r="I12432" i="9"/>
  <c r="I12433" i="9"/>
  <c r="I12434" i="9"/>
  <c r="I12435" i="9"/>
  <c r="I12436" i="9"/>
  <c r="I12437" i="9"/>
  <c r="I12438" i="9"/>
  <c r="I12439" i="9"/>
  <c r="I12440" i="9"/>
  <c r="I12441" i="9"/>
  <c r="I12442" i="9"/>
  <c r="I12443" i="9"/>
  <c r="I12444" i="9"/>
  <c r="I12445" i="9"/>
  <c r="I12446" i="9"/>
  <c r="I12447" i="9"/>
  <c r="I12448" i="9"/>
  <c r="I12449" i="9"/>
  <c r="I12450" i="9"/>
  <c r="I12451" i="9"/>
  <c r="I12452" i="9"/>
  <c r="I12453" i="9"/>
  <c r="I12454" i="9"/>
  <c r="I12455" i="9"/>
  <c r="I12456" i="9"/>
  <c r="I12457" i="9"/>
  <c r="I12458" i="9"/>
  <c r="I12459" i="9"/>
  <c r="I12460" i="9"/>
  <c r="I12461" i="9"/>
  <c r="I12462" i="9"/>
  <c r="I12463" i="9"/>
  <c r="I12464" i="9"/>
  <c r="I12465" i="9"/>
  <c r="I12466" i="9"/>
  <c r="I12467" i="9"/>
  <c r="I12468" i="9"/>
  <c r="I12469" i="9"/>
  <c r="I12470" i="9"/>
  <c r="I12471" i="9"/>
  <c r="I12472" i="9"/>
  <c r="I12473" i="9"/>
  <c r="I12474" i="9"/>
  <c r="I12475" i="9"/>
  <c r="I12476" i="9"/>
  <c r="I12477" i="9"/>
  <c r="I12478" i="9"/>
  <c r="I12479" i="9"/>
  <c r="I12480" i="9"/>
  <c r="I12481" i="9"/>
  <c r="I12482" i="9"/>
  <c r="I12483" i="9"/>
  <c r="I12484" i="9"/>
  <c r="I12485" i="9"/>
  <c r="I12486" i="9"/>
  <c r="I12487" i="9"/>
  <c r="I12488" i="9"/>
  <c r="I12489" i="9"/>
  <c r="I12490" i="9"/>
  <c r="I12491" i="9"/>
  <c r="I12492" i="9"/>
  <c r="I12493" i="9"/>
  <c r="I12494" i="9"/>
  <c r="I12495" i="9"/>
  <c r="I12496" i="9"/>
  <c r="I12497" i="9"/>
  <c r="I12498" i="9"/>
  <c r="I12499" i="9"/>
  <c r="I12500" i="9"/>
  <c r="I12501" i="9"/>
  <c r="I12502" i="9"/>
  <c r="I12503" i="9"/>
  <c r="I12504" i="9"/>
  <c r="I12505" i="9"/>
  <c r="I12506" i="9"/>
  <c r="I12507" i="9"/>
  <c r="I12508" i="9"/>
  <c r="I12509" i="9"/>
  <c r="I12510" i="9"/>
  <c r="I12511" i="9"/>
  <c r="I12512" i="9"/>
  <c r="I12513" i="9"/>
  <c r="I12514" i="9"/>
  <c r="I12515" i="9"/>
  <c r="I12516" i="9"/>
  <c r="I12517" i="9"/>
  <c r="I12518" i="9"/>
  <c r="I12519" i="9"/>
  <c r="I12520" i="9"/>
  <c r="I12521" i="9"/>
  <c r="I12522" i="9"/>
  <c r="I12523" i="9"/>
  <c r="I12524" i="9"/>
  <c r="I12525" i="9"/>
  <c r="I12526" i="9"/>
  <c r="I12527" i="9"/>
  <c r="I12528" i="9"/>
  <c r="I12529" i="9"/>
  <c r="I12530" i="9"/>
  <c r="I12531" i="9"/>
  <c r="I12532" i="9"/>
  <c r="I12533" i="9"/>
  <c r="I12534" i="9"/>
  <c r="I12535" i="9"/>
  <c r="I12536" i="9"/>
  <c r="I12537" i="9"/>
  <c r="I12538" i="9"/>
  <c r="I12539" i="9"/>
  <c r="I12540" i="9"/>
  <c r="I12541" i="9"/>
  <c r="I12542" i="9"/>
  <c r="I12543" i="9"/>
  <c r="I12544" i="9"/>
  <c r="I12545" i="9"/>
  <c r="I12546" i="9"/>
  <c r="I12547" i="9"/>
  <c r="I12548" i="9"/>
  <c r="I12549" i="9"/>
  <c r="I12550" i="9"/>
  <c r="I12551" i="9"/>
  <c r="I12552" i="9"/>
  <c r="I12553" i="9"/>
  <c r="I12554" i="9"/>
  <c r="I12555" i="9"/>
  <c r="I12556" i="9"/>
  <c r="I12557" i="9"/>
  <c r="I12558" i="9"/>
  <c r="I12559" i="9"/>
  <c r="I12560" i="9"/>
  <c r="I12561" i="9"/>
  <c r="I12562" i="9"/>
  <c r="I12563" i="9"/>
  <c r="I12564" i="9"/>
  <c r="I12565" i="9"/>
  <c r="I12566" i="9"/>
  <c r="I12567" i="9"/>
  <c r="I12568" i="9"/>
  <c r="I12569" i="9"/>
  <c r="I12570" i="9"/>
  <c r="I12571" i="9"/>
  <c r="I12572" i="9"/>
  <c r="I12573" i="9"/>
  <c r="I12574" i="9"/>
  <c r="I12575" i="9"/>
  <c r="I12576" i="9"/>
  <c r="I12577" i="9"/>
  <c r="I12578" i="9"/>
  <c r="I12579" i="9"/>
  <c r="I12580" i="9"/>
  <c r="I12581" i="9"/>
  <c r="I12582" i="9"/>
  <c r="I12583" i="9"/>
  <c r="I12584" i="9"/>
  <c r="I12585" i="9"/>
  <c r="I12586" i="9"/>
  <c r="I12587" i="9"/>
  <c r="I12588" i="9"/>
  <c r="I12589" i="9"/>
  <c r="I12590" i="9"/>
  <c r="I12591" i="9"/>
  <c r="I12592" i="9"/>
  <c r="I12593" i="9"/>
  <c r="I12594" i="9"/>
  <c r="I12595" i="9"/>
  <c r="I12596" i="9"/>
  <c r="I12597" i="9"/>
  <c r="I12598" i="9"/>
  <c r="I12599" i="9"/>
  <c r="I12600" i="9"/>
  <c r="I12601" i="9"/>
  <c r="I12602" i="9"/>
  <c r="I12603" i="9"/>
  <c r="I12604" i="9"/>
  <c r="I12605" i="9"/>
  <c r="I12606" i="9"/>
  <c r="I12607" i="9"/>
  <c r="I12608" i="9"/>
  <c r="I12609" i="9"/>
  <c r="I12610" i="9"/>
  <c r="I12611" i="9"/>
  <c r="I12612" i="9"/>
  <c r="I12613" i="9"/>
  <c r="I12614" i="9"/>
  <c r="I12615" i="9"/>
  <c r="I12616" i="9"/>
  <c r="I12617" i="9"/>
  <c r="I12618" i="9"/>
  <c r="I12619" i="9"/>
  <c r="I12620" i="9"/>
  <c r="I12621" i="9"/>
  <c r="I12622" i="9"/>
  <c r="I12623" i="9"/>
  <c r="I12624" i="9"/>
  <c r="I12625" i="9"/>
  <c r="I12626" i="9"/>
  <c r="I12627" i="9"/>
  <c r="I12628" i="9"/>
  <c r="I12629" i="9"/>
  <c r="I12630" i="9"/>
  <c r="I12631" i="9"/>
  <c r="I12632" i="9"/>
  <c r="I12633" i="9"/>
  <c r="I12634" i="9"/>
  <c r="I12635" i="9"/>
  <c r="I12636" i="9"/>
  <c r="I12637" i="9"/>
  <c r="I12638" i="9"/>
  <c r="I12639" i="9"/>
  <c r="I12640" i="9"/>
  <c r="I12641" i="9"/>
  <c r="I12642" i="9"/>
  <c r="I12643" i="9"/>
  <c r="I12644" i="9"/>
  <c r="I12645" i="9"/>
  <c r="I12646" i="9"/>
  <c r="I12647" i="9"/>
  <c r="I12648" i="9"/>
  <c r="I12649" i="9"/>
  <c r="I12650" i="9"/>
  <c r="I12651" i="9"/>
  <c r="I12652" i="9"/>
  <c r="I12653" i="9"/>
  <c r="I12654" i="9"/>
  <c r="I12655" i="9"/>
  <c r="I12656" i="9"/>
  <c r="I12657" i="9"/>
  <c r="I12658" i="9"/>
  <c r="I12659" i="9"/>
  <c r="I12660" i="9"/>
  <c r="I12661" i="9"/>
  <c r="I12662" i="9"/>
  <c r="I12663" i="9"/>
  <c r="I12664" i="9"/>
  <c r="I12665" i="9"/>
  <c r="I12666" i="9"/>
  <c r="I12667" i="9"/>
  <c r="I12668" i="9"/>
  <c r="I12669" i="9"/>
  <c r="I12670" i="9"/>
  <c r="I12671" i="9"/>
  <c r="I12672" i="9"/>
  <c r="I12673" i="9"/>
  <c r="I12674" i="9"/>
  <c r="I12675" i="9"/>
  <c r="I12676" i="9"/>
  <c r="I12677" i="9"/>
  <c r="I12678" i="9"/>
  <c r="I12679" i="9"/>
  <c r="I12680" i="9"/>
  <c r="I12681" i="9"/>
  <c r="I12682" i="9"/>
  <c r="I12683" i="9"/>
  <c r="I12684" i="9"/>
  <c r="I12685" i="9"/>
  <c r="I12686" i="9"/>
  <c r="I12687" i="9"/>
  <c r="I12688" i="9"/>
  <c r="I12689" i="9"/>
  <c r="I12690" i="9"/>
  <c r="I12691" i="9"/>
  <c r="I12692" i="9"/>
  <c r="I12693" i="9"/>
  <c r="I12694" i="9"/>
  <c r="I12695" i="9"/>
  <c r="I12696" i="9"/>
  <c r="I12697" i="9"/>
  <c r="I12698" i="9"/>
  <c r="I12699" i="9"/>
  <c r="I12700" i="9"/>
  <c r="I12701" i="9"/>
  <c r="I12702" i="9"/>
  <c r="I12703" i="9"/>
  <c r="I12704" i="9"/>
  <c r="I12705" i="9"/>
  <c r="I12706" i="9"/>
  <c r="I12707" i="9"/>
  <c r="I12708" i="9"/>
  <c r="I12709" i="9"/>
  <c r="I12710" i="9"/>
  <c r="I12711" i="9"/>
  <c r="I12712" i="9"/>
  <c r="I12713" i="9"/>
  <c r="I12714" i="9"/>
  <c r="I12715" i="9"/>
  <c r="I12716" i="9"/>
  <c r="I12717" i="9"/>
  <c r="I12718" i="9"/>
  <c r="I12719" i="9"/>
  <c r="I12720" i="9"/>
  <c r="I12721" i="9"/>
  <c r="I12722" i="9"/>
  <c r="I12723" i="9"/>
  <c r="I12724" i="9"/>
  <c r="I12725" i="9"/>
  <c r="I12726" i="9"/>
  <c r="I12727" i="9"/>
  <c r="I12728" i="9"/>
  <c r="I12327" i="9"/>
  <c r="I12328" i="9"/>
  <c r="I12329" i="9"/>
  <c r="I12330" i="9"/>
  <c r="I12331" i="9"/>
  <c r="I12332" i="9"/>
  <c r="I12333" i="9"/>
  <c r="I12334" i="9"/>
  <c r="I12335" i="9"/>
  <c r="I12336" i="9"/>
  <c r="I12337" i="9"/>
  <c r="I12002" i="9"/>
  <c r="I12003" i="9"/>
  <c r="I12004" i="9"/>
  <c r="I12005" i="9"/>
  <c r="I12006" i="9"/>
  <c r="I12007" i="9"/>
  <c r="I12008" i="9"/>
  <c r="I12009" i="9"/>
  <c r="I12010" i="9"/>
  <c r="I12011" i="9"/>
  <c r="I12012" i="9"/>
  <c r="I12013" i="9"/>
  <c r="I12014" i="9"/>
  <c r="I12015" i="9"/>
  <c r="I12016" i="9"/>
  <c r="I12017" i="9"/>
  <c r="I12018" i="9"/>
  <c r="I12019" i="9"/>
  <c r="I12020" i="9"/>
  <c r="I12021" i="9"/>
  <c r="I12022" i="9"/>
  <c r="I12023" i="9"/>
  <c r="I12024" i="9"/>
  <c r="I12025" i="9"/>
  <c r="I12026" i="9"/>
  <c r="I12027" i="9"/>
  <c r="I12028" i="9"/>
  <c r="I12029" i="9"/>
  <c r="I12030" i="9"/>
  <c r="I12031" i="9"/>
  <c r="I12032" i="9"/>
  <c r="I12033" i="9"/>
  <c r="I12034" i="9"/>
  <c r="I12035" i="9"/>
  <c r="I12036" i="9"/>
  <c r="I12037" i="9"/>
  <c r="I12038" i="9"/>
  <c r="I12039" i="9"/>
  <c r="I12040" i="9"/>
  <c r="I12041" i="9"/>
  <c r="I12042" i="9"/>
  <c r="I12043" i="9"/>
  <c r="I12044" i="9"/>
  <c r="I12045" i="9"/>
  <c r="I12046" i="9"/>
  <c r="I12047" i="9"/>
  <c r="I12048" i="9"/>
  <c r="I12049" i="9"/>
  <c r="I12050" i="9"/>
  <c r="I12051" i="9"/>
  <c r="I12052" i="9"/>
  <c r="I12053" i="9"/>
  <c r="I12054" i="9"/>
  <c r="I12055" i="9"/>
  <c r="I12056" i="9"/>
  <c r="I12057" i="9"/>
  <c r="I12058" i="9"/>
  <c r="I12059" i="9"/>
  <c r="I12060" i="9"/>
  <c r="I12061" i="9"/>
  <c r="I12062" i="9"/>
  <c r="I12063" i="9"/>
  <c r="I12064" i="9"/>
  <c r="I12065" i="9"/>
  <c r="I12066" i="9"/>
  <c r="I12067" i="9"/>
  <c r="I12068" i="9"/>
  <c r="I12069" i="9"/>
  <c r="I12070" i="9"/>
  <c r="I12071" i="9"/>
  <c r="I12072" i="9"/>
  <c r="I12073" i="9"/>
  <c r="I12074" i="9"/>
  <c r="I12075" i="9"/>
  <c r="I12076" i="9"/>
  <c r="I12077" i="9"/>
  <c r="I12078" i="9"/>
  <c r="I12079" i="9"/>
  <c r="I12080" i="9"/>
  <c r="I12081" i="9"/>
  <c r="I12082" i="9"/>
  <c r="I12083" i="9"/>
  <c r="I12084" i="9"/>
  <c r="I12085" i="9"/>
  <c r="I12086" i="9"/>
  <c r="I12087" i="9"/>
  <c r="I12088" i="9"/>
  <c r="I12089" i="9"/>
  <c r="I12090" i="9"/>
  <c r="I12091" i="9"/>
  <c r="I12092" i="9"/>
  <c r="I12093" i="9"/>
  <c r="I12094" i="9"/>
  <c r="I12095" i="9"/>
  <c r="I12096" i="9"/>
  <c r="I12097" i="9"/>
  <c r="I12098" i="9"/>
  <c r="I12099" i="9"/>
  <c r="I12100" i="9"/>
  <c r="I12101" i="9"/>
  <c r="I12102" i="9"/>
  <c r="I12103" i="9"/>
  <c r="I12104" i="9"/>
  <c r="I12105" i="9"/>
  <c r="I12106" i="9"/>
  <c r="I12107" i="9"/>
  <c r="I12108" i="9"/>
  <c r="I12109" i="9"/>
  <c r="I12110" i="9"/>
  <c r="I12111" i="9"/>
  <c r="I12112" i="9"/>
  <c r="I12113" i="9"/>
  <c r="I12114" i="9"/>
  <c r="I12115" i="9"/>
  <c r="I12116" i="9"/>
  <c r="I12117" i="9"/>
  <c r="I12118" i="9"/>
  <c r="I12119" i="9"/>
  <c r="I12120" i="9"/>
  <c r="I12121" i="9"/>
  <c r="I12122" i="9"/>
  <c r="I12123" i="9"/>
  <c r="I12124" i="9"/>
  <c r="I12125" i="9"/>
  <c r="I12126" i="9"/>
  <c r="I12127" i="9"/>
  <c r="I12128" i="9"/>
  <c r="I12129" i="9"/>
  <c r="I12130" i="9"/>
  <c r="I12131" i="9"/>
  <c r="I12132" i="9"/>
  <c r="I12133" i="9"/>
  <c r="I12134" i="9"/>
  <c r="I12135" i="9"/>
  <c r="I12136" i="9"/>
  <c r="I12137" i="9"/>
  <c r="I12138" i="9"/>
  <c r="I12139" i="9"/>
  <c r="I12140" i="9"/>
  <c r="I12141" i="9"/>
  <c r="I12142" i="9"/>
  <c r="I12143" i="9"/>
  <c r="I12144" i="9"/>
  <c r="I12145" i="9"/>
  <c r="I12146" i="9"/>
  <c r="I12147" i="9"/>
  <c r="I12148" i="9"/>
  <c r="I12149" i="9"/>
  <c r="I12150" i="9"/>
  <c r="I12151" i="9"/>
  <c r="I12152" i="9"/>
  <c r="I12153" i="9"/>
  <c r="I12154" i="9"/>
  <c r="I12155" i="9"/>
  <c r="I12156" i="9"/>
  <c r="I12157" i="9"/>
  <c r="I12158" i="9"/>
  <c r="I12159" i="9"/>
  <c r="I12160" i="9"/>
  <c r="I12161" i="9"/>
  <c r="I12162" i="9"/>
  <c r="I12163" i="9"/>
  <c r="I12164" i="9"/>
  <c r="I12165" i="9"/>
  <c r="I12166" i="9"/>
  <c r="I12167" i="9"/>
  <c r="I12168" i="9"/>
  <c r="I12169" i="9"/>
  <c r="I12170" i="9"/>
  <c r="I12171" i="9"/>
  <c r="I12172" i="9"/>
  <c r="I12173" i="9"/>
  <c r="I12174" i="9"/>
  <c r="I12175" i="9"/>
  <c r="I12176" i="9"/>
  <c r="I12177" i="9"/>
  <c r="I12178" i="9"/>
  <c r="I12179" i="9"/>
  <c r="I12180" i="9"/>
  <c r="I12181" i="9"/>
  <c r="I12182" i="9"/>
  <c r="I12183" i="9"/>
  <c r="I12184" i="9"/>
  <c r="I12185" i="9"/>
  <c r="I12186" i="9"/>
  <c r="I12187" i="9"/>
  <c r="I12188" i="9"/>
  <c r="I12189" i="9"/>
  <c r="I12190" i="9"/>
  <c r="I12191" i="9"/>
  <c r="I12192" i="9"/>
  <c r="I12193" i="9"/>
  <c r="I12194" i="9"/>
  <c r="I12195" i="9"/>
  <c r="I12196" i="9"/>
  <c r="I12197" i="9"/>
  <c r="I12198" i="9"/>
  <c r="I12199" i="9"/>
  <c r="I12200" i="9"/>
  <c r="I12201" i="9"/>
  <c r="I12202" i="9"/>
  <c r="I12203" i="9"/>
  <c r="I12204" i="9"/>
  <c r="I12205" i="9"/>
  <c r="I12206" i="9"/>
  <c r="I12207" i="9"/>
  <c r="I12208" i="9"/>
  <c r="I12209" i="9"/>
  <c r="I12210" i="9"/>
  <c r="I12211" i="9"/>
  <c r="I12212" i="9"/>
  <c r="I12213" i="9"/>
  <c r="I12214" i="9"/>
  <c r="I12215" i="9"/>
  <c r="I12216" i="9"/>
  <c r="I12217" i="9"/>
  <c r="I12218" i="9"/>
  <c r="I12219" i="9"/>
  <c r="I12220" i="9"/>
  <c r="I12221" i="9"/>
  <c r="I12222" i="9"/>
  <c r="I12223" i="9"/>
  <c r="I12224" i="9"/>
  <c r="I12225" i="9"/>
  <c r="I12226" i="9"/>
  <c r="I12227" i="9"/>
  <c r="I12228" i="9"/>
  <c r="I12229" i="9"/>
  <c r="I12230" i="9"/>
  <c r="I12231" i="9"/>
  <c r="I12232" i="9"/>
  <c r="I12233" i="9"/>
  <c r="I12234" i="9"/>
  <c r="I12235" i="9"/>
  <c r="I12236" i="9"/>
  <c r="I12237" i="9"/>
  <c r="I12238" i="9"/>
  <c r="I12239" i="9"/>
  <c r="I12240" i="9"/>
  <c r="I12241" i="9"/>
  <c r="I12242" i="9"/>
  <c r="I12243" i="9"/>
  <c r="I12244" i="9"/>
  <c r="I12245" i="9"/>
  <c r="I12246" i="9"/>
  <c r="I12247" i="9"/>
  <c r="I12248" i="9"/>
  <c r="I12249" i="9"/>
  <c r="I12250" i="9"/>
  <c r="I12251" i="9"/>
  <c r="I12252" i="9"/>
  <c r="I12253" i="9"/>
  <c r="I12254" i="9"/>
  <c r="I12255" i="9"/>
  <c r="I12256" i="9"/>
  <c r="I12257" i="9"/>
  <c r="I12258" i="9"/>
  <c r="I12259" i="9"/>
  <c r="I12260" i="9"/>
  <c r="I12261" i="9"/>
  <c r="I12262" i="9"/>
  <c r="I12263" i="9"/>
  <c r="I12264" i="9"/>
  <c r="I12265" i="9"/>
  <c r="I12266" i="9"/>
  <c r="I12267" i="9"/>
  <c r="I12268" i="9"/>
  <c r="I12269" i="9"/>
  <c r="I12270" i="9"/>
  <c r="I12271" i="9"/>
  <c r="I12272" i="9"/>
  <c r="I12273" i="9"/>
  <c r="I12274" i="9"/>
  <c r="I12275" i="9"/>
  <c r="I12276" i="9"/>
  <c r="I12277" i="9"/>
  <c r="I12278" i="9"/>
  <c r="I12279" i="9"/>
  <c r="I12280" i="9"/>
  <c r="I12281" i="9"/>
  <c r="I12282" i="9"/>
  <c r="I12283" i="9"/>
  <c r="I12284" i="9"/>
  <c r="I12285" i="9"/>
  <c r="I12286" i="9"/>
  <c r="I12287" i="9"/>
  <c r="I12288" i="9"/>
  <c r="I12289" i="9"/>
  <c r="I12290" i="9"/>
  <c r="I12291" i="9"/>
  <c r="I12292" i="9"/>
  <c r="I12293" i="9"/>
  <c r="I12294" i="9"/>
  <c r="I12295" i="9"/>
  <c r="I12296" i="9"/>
  <c r="I12297" i="9"/>
  <c r="I12298" i="9"/>
  <c r="I12299" i="9"/>
  <c r="I12300" i="9"/>
  <c r="I12301" i="9"/>
  <c r="I12302" i="9"/>
  <c r="I12303" i="9"/>
  <c r="I12304" i="9"/>
  <c r="I12305" i="9"/>
  <c r="I12306" i="9"/>
  <c r="I12307" i="9"/>
  <c r="I12308" i="9"/>
  <c r="I12309" i="9"/>
  <c r="I12310" i="9"/>
  <c r="I12311" i="9"/>
  <c r="I12312" i="9"/>
  <c r="I12313" i="9"/>
  <c r="I12314" i="9"/>
  <c r="I12315" i="9"/>
  <c r="I12316" i="9"/>
  <c r="I12317" i="9"/>
  <c r="I12318" i="9"/>
  <c r="I12319" i="9"/>
  <c r="I12320" i="9"/>
  <c r="I12321" i="9"/>
  <c r="I12322" i="9"/>
  <c r="I12323" i="9"/>
  <c r="I12324" i="9"/>
  <c r="I12325" i="9"/>
  <c r="I12326" i="9"/>
  <c r="I11994" i="9"/>
  <c r="I11995" i="9"/>
  <c r="I11996" i="9"/>
  <c r="I11997" i="9"/>
  <c r="I11998" i="9"/>
  <c r="I11999" i="9"/>
  <c r="I12000" i="9"/>
  <c r="I12001" i="9"/>
  <c r="I11993" i="9"/>
  <c r="I11992" i="9"/>
  <c r="I11991" i="9"/>
  <c r="I11988" i="9"/>
  <c r="I11989" i="9"/>
  <c r="I11990" i="9"/>
  <c r="I11987" i="9"/>
  <c r="I11985" i="9"/>
  <c r="I11986" i="9"/>
  <c r="I11984" i="9"/>
  <c r="I11983" i="9"/>
  <c r="I11976" i="9"/>
  <c r="I11977" i="9"/>
  <c r="I11978" i="9"/>
  <c r="I11979" i="9"/>
  <c r="I11980" i="9"/>
  <c r="I11981" i="9"/>
  <c r="I11982" i="9"/>
  <c r="I11975" i="9"/>
  <c r="I11974" i="9"/>
  <c r="I11973" i="9"/>
  <c r="I11972" i="9"/>
  <c r="I11971" i="9"/>
  <c r="I11969" i="9"/>
  <c r="I11970" i="9"/>
  <c r="I11968" i="9"/>
  <c r="I11967" i="9"/>
  <c r="I11965" i="9"/>
  <c r="I11966" i="9"/>
  <c r="I11964" i="9"/>
  <c r="I11963" i="9"/>
  <c r="I11962" i="9"/>
  <c r="I11961" i="9"/>
  <c r="I11960" i="9"/>
  <c r="I11959" i="9"/>
  <c r="I11957" i="9"/>
  <c r="I11958" i="9"/>
  <c r="I11956" i="9"/>
  <c r="I11955" i="9"/>
  <c r="I11954" i="9"/>
  <c r="I11953" i="9"/>
  <c r="I11952" i="9"/>
  <c r="I11951" i="9"/>
  <c r="I11950" i="9"/>
  <c r="I11949" i="9"/>
  <c r="I11948" i="9"/>
  <c r="I11947" i="9"/>
  <c r="I11945" i="9"/>
  <c r="I11946" i="9"/>
  <c r="I11944" i="9"/>
  <c r="I11943" i="9"/>
  <c r="I11942" i="9"/>
  <c r="I11941" i="9"/>
  <c r="I11940" i="9"/>
  <c r="I11939" i="9"/>
  <c r="I11937" i="9"/>
  <c r="I11938" i="9"/>
  <c r="I11936" i="9"/>
  <c r="I11935" i="9"/>
  <c r="I11934" i="9"/>
  <c r="I11933" i="9"/>
  <c r="I11932" i="9"/>
  <c r="I11931" i="9"/>
  <c r="I11930" i="9"/>
  <c r="I11929" i="9"/>
  <c r="I11926" i="9"/>
  <c r="I11927" i="9"/>
  <c r="I11928" i="9"/>
  <c r="I11924" i="9"/>
  <c r="I11925" i="9"/>
  <c r="I11923" i="9"/>
  <c r="I11922" i="9"/>
  <c r="I11921" i="9"/>
  <c r="I11906" i="9"/>
  <c r="I11907" i="9"/>
  <c r="I11908" i="9"/>
  <c r="I11909" i="9"/>
  <c r="I11910" i="9"/>
  <c r="I11911" i="9"/>
  <c r="I11912" i="9"/>
  <c r="I11913" i="9"/>
  <c r="I11914" i="9"/>
  <c r="I11915" i="9"/>
  <c r="I11916" i="9"/>
  <c r="I11917" i="9"/>
  <c r="I11918" i="9"/>
  <c r="I11919" i="9"/>
  <c r="I11920" i="9"/>
  <c r="I11903" i="9"/>
  <c r="I11904" i="9"/>
  <c r="I11905" i="9"/>
  <c r="I11901" i="9"/>
  <c r="I11902" i="9"/>
  <c r="I11899" i="9"/>
  <c r="I11900" i="9"/>
  <c r="I11898" i="9"/>
  <c r="I11896" i="9"/>
  <c r="I11897" i="9"/>
  <c r="I11894" i="9"/>
  <c r="I11895" i="9"/>
  <c r="I11892" i="9"/>
  <c r="I11893" i="9"/>
  <c r="I11891" i="9"/>
  <c r="I11889" i="9"/>
  <c r="I11890" i="9"/>
  <c r="I11888" i="9"/>
  <c r="I11887" i="9"/>
  <c r="I11886" i="9"/>
  <c r="I11885" i="9"/>
  <c r="I11884" i="9"/>
  <c r="I11883" i="9"/>
  <c r="I11882" i="9"/>
  <c r="I11881" i="9"/>
  <c r="I11880" i="9"/>
  <c r="I11878" i="9"/>
  <c r="I11879" i="9"/>
  <c r="I11877" i="9"/>
  <c r="I11876" i="9"/>
  <c r="I11875" i="9"/>
  <c r="I11874" i="9"/>
  <c r="I11873" i="9"/>
  <c r="I11872" i="9"/>
  <c r="I11871" i="9"/>
  <c r="I11869" i="9"/>
  <c r="I11870" i="9"/>
  <c r="I11868" i="9"/>
  <c r="I11867" i="9"/>
  <c r="I11866" i="9"/>
  <c r="I11865" i="9"/>
  <c r="I11864" i="9"/>
  <c r="I11862" i="9"/>
  <c r="I11863" i="9"/>
  <c r="I11861" i="9"/>
  <c r="I11860" i="9"/>
  <c r="I11859" i="9"/>
  <c r="I11858" i="9"/>
  <c r="I11857" i="9"/>
  <c r="I11856" i="9"/>
  <c r="I11854" i="9"/>
  <c r="I11855" i="9"/>
  <c r="I2" i="9"/>
  <c r="I3" i="9"/>
  <c r="I4" i="9"/>
  <c r="I5" i="9"/>
  <c r="I6" i="9"/>
  <c r="I7" i="9"/>
  <c r="I8" i="9"/>
  <c r="I9" i="9"/>
  <c r="I10" i="9"/>
  <c r="I11" i="9"/>
  <c r="I12" i="9"/>
  <c r="I13" i="9"/>
  <c r="I14" i="9"/>
  <c r="I15" i="9"/>
  <c r="I16" i="9"/>
  <c r="I17" i="9"/>
  <c r="I18" i="9"/>
  <c r="I19" i="9"/>
  <c r="I20" i="9"/>
  <c r="I21" i="9"/>
  <c r="I22" i="9"/>
  <c r="I23" i="9"/>
  <c r="I24" i="9"/>
  <c r="I25" i="9"/>
  <c r="I26" i="9"/>
  <c r="I27" i="9"/>
  <c r="I28" i="9"/>
  <c r="I29" i="9"/>
  <c r="I30" i="9"/>
  <c r="I31" i="9"/>
  <c r="I32" i="9"/>
  <c r="I33" i="9"/>
  <c r="I34" i="9"/>
  <c r="I35" i="9"/>
  <c r="I36" i="9"/>
  <c r="I37" i="9"/>
  <c r="I38" i="9"/>
  <c r="I39" i="9"/>
  <c r="I40" i="9"/>
  <c r="I41" i="9"/>
  <c r="I42" i="9"/>
  <c r="I43" i="9"/>
  <c r="I44" i="9"/>
  <c r="I45" i="9"/>
  <c r="I46" i="9"/>
  <c r="I47" i="9"/>
  <c r="I48" i="9"/>
  <c r="I49" i="9"/>
  <c r="I50" i="9"/>
  <c r="I51" i="9"/>
  <c r="I52" i="9"/>
  <c r="I53" i="9"/>
  <c r="I54" i="9"/>
  <c r="I55" i="9"/>
  <c r="I56" i="9"/>
  <c r="I57" i="9"/>
  <c r="I58" i="9"/>
  <c r="I59" i="9"/>
  <c r="I60" i="9"/>
  <c r="I61" i="9"/>
  <c r="I62" i="9"/>
  <c r="I63" i="9"/>
  <c r="I64" i="9"/>
  <c r="I65" i="9"/>
  <c r="I66" i="9"/>
  <c r="I67" i="9"/>
  <c r="I68" i="9"/>
  <c r="I69" i="9"/>
  <c r="I70" i="9"/>
  <c r="I71" i="9"/>
  <c r="I72" i="9"/>
  <c r="I73" i="9"/>
  <c r="I74" i="9"/>
  <c r="I75" i="9"/>
  <c r="I76" i="9"/>
  <c r="I77" i="9"/>
  <c r="I78" i="9"/>
  <c r="I79" i="9"/>
  <c r="I80" i="9"/>
  <c r="I81" i="9"/>
  <c r="I82" i="9"/>
  <c r="I83" i="9"/>
  <c r="I84" i="9"/>
  <c r="I85" i="9"/>
  <c r="I86" i="9"/>
  <c r="I87" i="9"/>
  <c r="I88" i="9"/>
  <c r="I89" i="9"/>
  <c r="I90" i="9"/>
  <c r="I91" i="9"/>
  <c r="I92" i="9"/>
  <c r="I93" i="9"/>
  <c r="I94" i="9"/>
  <c r="I95" i="9"/>
  <c r="I96" i="9"/>
  <c r="I97" i="9"/>
  <c r="I98" i="9"/>
  <c r="I99" i="9"/>
  <c r="I100" i="9"/>
  <c r="I101" i="9"/>
  <c r="I102" i="9"/>
  <c r="I103" i="9"/>
  <c r="I104" i="9"/>
  <c r="I105" i="9"/>
  <c r="I106" i="9"/>
  <c r="I107" i="9"/>
  <c r="I108" i="9"/>
  <c r="I109" i="9"/>
  <c r="I110" i="9"/>
  <c r="I111" i="9"/>
  <c r="I112" i="9"/>
  <c r="I113" i="9"/>
  <c r="I114" i="9"/>
  <c r="I115" i="9"/>
  <c r="I116" i="9"/>
  <c r="I117" i="9"/>
  <c r="I118" i="9"/>
  <c r="I119" i="9"/>
  <c r="I120" i="9"/>
  <c r="I121" i="9"/>
  <c r="I122" i="9"/>
  <c r="I123" i="9"/>
  <c r="I124" i="9"/>
  <c r="I125" i="9"/>
  <c r="I126" i="9"/>
  <c r="I127" i="9"/>
  <c r="I128" i="9"/>
  <c r="I129" i="9"/>
  <c r="I130" i="9"/>
  <c r="I131" i="9"/>
  <c r="I132" i="9"/>
  <c r="I133" i="9"/>
  <c r="I134" i="9"/>
  <c r="I135" i="9"/>
  <c r="I136" i="9"/>
  <c r="I137" i="9"/>
  <c r="I138" i="9"/>
  <c r="I139" i="9"/>
  <c r="I140" i="9"/>
  <c r="I141" i="9"/>
  <c r="I142" i="9"/>
  <c r="I143" i="9"/>
  <c r="I144" i="9"/>
  <c r="I145" i="9"/>
  <c r="I146" i="9"/>
  <c r="I147" i="9"/>
  <c r="I148" i="9"/>
  <c r="I149" i="9"/>
  <c r="I150" i="9"/>
  <c r="I151" i="9"/>
  <c r="I152" i="9"/>
  <c r="I153" i="9"/>
  <c r="I154" i="9"/>
  <c r="I155" i="9"/>
  <c r="I156" i="9"/>
  <c r="I157" i="9"/>
  <c r="I158" i="9"/>
  <c r="I159" i="9"/>
  <c r="I160" i="9"/>
  <c r="I161" i="9"/>
  <c r="I162" i="9"/>
  <c r="I163" i="9"/>
  <c r="I164" i="9"/>
  <c r="I165" i="9"/>
  <c r="I166" i="9"/>
  <c r="I167" i="9"/>
  <c r="I168" i="9"/>
  <c r="I169" i="9"/>
  <c r="I170" i="9"/>
  <c r="I171" i="9"/>
  <c r="I172" i="9"/>
  <c r="I173" i="9"/>
  <c r="I174" i="9"/>
  <c r="I175" i="9"/>
  <c r="I176" i="9"/>
  <c r="I177" i="9"/>
  <c r="I178" i="9"/>
  <c r="I179" i="9"/>
  <c r="I180" i="9"/>
  <c r="I181" i="9"/>
  <c r="I182" i="9"/>
  <c r="I183" i="9"/>
  <c r="I184" i="9"/>
  <c r="I185" i="9"/>
  <c r="I186" i="9"/>
  <c r="I187" i="9"/>
  <c r="I188" i="9"/>
  <c r="I189" i="9"/>
  <c r="I190" i="9"/>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002" i="9"/>
  <c r="I1003" i="9"/>
  <c r="I1004" i="9"/>
  <c r="I1005" i="9"/>
  <c r="I1006" i="9"/>
  <c r="I1007" i="9"/>
  <c r="I1008" i="9"/>
  <c r="I1009" i="9"/>
  <c r="I1010" i="9"/>
  <c r="I1011" i="9"/>
  <c r="I1012" i="9"/>
  <c r="I1013" i="9"/>
  <c r="I1014" i="9"/>
  <c r="I1015" i="9"/>
  <c r="I1016" i="9"/>
  <c r="I1017" i="9"/>
  <c r="I1018" i="9"/>
  <c r="I1019" i="9"/>
  <c r="I1020" i="9"/>
  <c r="I1021" i="9"/>
  <c r="I1022" i="9"/>
  <c r="I1023" i="9"/>
  <c r="I1024" i="9"/>
  <c r="I1025" i="9"/>
  <c r="I1026" i="9"/>
  <c r="I1027" i="9"/>
  <c r="I1028" i="9"/>
  <c r="I1029" i="9"/>
  <c r="I1030" i="9"/>
  <c r="I1031" i="9"/>
  <c r="I1032" i="9"/>
  <c r="I1033" i="9"/>
  <c r="I1034" i="9"/>
  <c r="I1035" i="9"/>
  <c r="I1036" i="9"/>
  <c r="I1037" i="9"/>
  <c r="I1038" i="9"/>
  <c r="I1039" i="9"/>
  <c r="I1040" i="9"/>
  <c r="I1041" i="9"/>
  <c r="I1042" i="9"/>
  <c r="I1043" i="9"/>
  <c r="I1044" i="9"/>
  <c r="I1045" i="9"/>
  <c r="I1046" i="9"/>
  <c r="I1047" i="9"/>
  <c r="I1048" i="9"/>
  <c r="I1049" i="9"/>
  <c r="I1050" i="9"/>
  <c r="I1051" i="9"/>
  <c r="I1052" i="9"/>
  <c r="I1053" i="9"/>
  <c r="I1054" i="9"/>
  <c r="I1055" i="9"/>
  <c r="I1056" i="9"/>
  <c r="I1057" i="9"/>
  <c r="I1058" i="9"/>
  <c r="I1059" i="9"/>
  <c r="I1060" i="9"/>
  <c r="I1061" i="9"/>
  <c r="I1062" i="9"/>
  <c r="I1063" i="9"/>
  <c r="I1064" i="9"/>
  <c r="I1065" i="9"/>
  <c r="I1066" i="9"/>
  <c r="I1067" i="9"/>
  <c r="I1068" i="9"/>
  <c r="I1069" i="9"/>
  <c r="I1070" i="9"/>
  <c r="I1071" i="9"/>
  <c r="I1072" i="9"/>
  <c r="I1073" i="9"/>
  <c r="I1074" i="9"/>
  <c r="I1075" i="9"/>
  <c r="I1076" i="9"/>
  <c r="I1077" i="9"/>
  <c r="I1078" i="9"/>
  <c r="I1079" i="9"/>
  <c r="I1080" i="9"/>
  <c r="I1081" i="9"/>
  <c r="I1082" i="9"/>
  <c r="I1083" i="9"/>
  <c r="I1084" i="9"/>
  <c r="I1085" i="9"/>
  <c r="I1086" i="9"/>
  <c r="I1087" i="9"/>
  <c r="I1088" i="9"/>
  <c r="I1089" i="9"/>
  <c r="I1090" i="9"/>
  <c r="I1091" i="9"/>
  <c r="I1092" i="9"/>
  <c r="I1093" i="9"/>
  <c r="I1094" i="9"/>
  <c r="I1095" i="9"/>
  <c r="I1096" i="9"/>
  <c r="I1097" i="9"/>
  <c r="I1098" i="9"/>
  <c r="I1099" i="9"/>
  <c r="I1100" i="9"/>
  <c r="I1101" i="9"/>
  <c r="I1102" i="9"/>
  <c r="I1103" i="9"/>
  <c r="I1104" i="9"/>
  <c r="I1105" i="9"/>
  <c r="I1106" i="9"/>
  <c r="I1107" i="9"/>
  <c r="I1108" i="9"/>
  <c r="I1109" i="9"/>
  <c r="I1110" i="9"/>
  <c r="I1111" i="9"/>
  <c r="I1112" i="9"/>
  <c r="I1113" i="9"/>
  <c r="I1114" i="9"/>
  <c r="I1115" i="9"/>
  <c r="I1116" i="9"/>
  <c r="I1117" i="9"/>
  <c r="I1118" i="9"/>
  <c r="I1119" i="9"/>
  <c r="I1120" i="9"/>
  <c r="I1121" i="9"/>
  <c r="I1122" i="9"/>
  <c r="I1123" i="9"/>
  <c r="I1124" i="9"/>
  <c r="I1125" i="9"/>
  <c r="I1126" i="9"/>
  <c r="I1127" i="9"/>
  <c r="I1128" i="9"/>
  <c r="I1129" i="9"/>
  <c r="I1130" i="9"/>
  <c r="I1131" i="9"/>
  <c r="I1132" i="9"/>
  <c r="I1133" i="9"/>
  <c r="I1134" i="9"/>
  <c r="I1135" i="9"/>
  <c r="I1136" i="9"/>
  <c r="I1137" i="9"/>
  <c r="I1138" i="9"/>
  <c r="I1139" i="9"/>
  <c r="I1140" i="9"/>
  <c r="I1141" i="9"/>
  <c r="I1142" i="9"/>
  <c r="I1143" i="9"/>
  <c r="I1144" i="9"/>
  <c r="I1145" i="9"/>
  <c r="I1146" i="9"/>
  <c r="I1147" i="9"/>
  <c r="I1148" i="9"/>
  <c r="I1149" i="9"/>
  <c r="I1150" i="9"/>
  <c r="I1151" i="9"/>
  <c r="I1152" i="9"/>
  <c r="I1153" i="9"/>
  <c r="I1154" i="9"/>
  <c r="I1155" i="9"/>
  <c r="I1156" i="9"/>
  <c r="I1157" i="9"/>
  <c r="I1158" i="9"/>
  <c r="I1159" i="9"/>
  <c r="I1160" i="9"/>
  <c r="I1161" i="9"/>
  <c r="I1162" i="9"/>
  <c r="I1163" i="9"/>
  <c r="I1164" i="9"/>
  <c r="I1165" i="9"/>
  <c r="I1166" i="9"/>
  <c r="I1167" i="9"/>
  <c r="I1168" i="9"/>
  <c r="I1169" i="9"/>
  <c r="I1170" i="9"/>
  <c r="I1171" i="9"/>
  <c r="I1172" i="9"/>
  <c r="I1173" i="9"/>
  <c r="I1174" i="9"/>
  <c r="I1175" i="9"/>
  <c r="I1176" i="9"/>
  <c r="I1177" i="9"/>
  <c r="I1178" i="9"/>
  <c r="I1179" i="9"/>
  <c r="I1180" i="9"/>
  <c r="I1181" i="9"/>
  <c r="I1182" i="9"/>
  <c r="I1183" i="9"/>
  <c r="I1184" i="9"/>
  <c r="I1185" i="9"/>
  <c r="I1186" i="9"/>
  <c r="I1187" i="9"/>
  <c r="I1188" i="9"/>
  <c r="I1189" i="9"/>
  <c r="I1190" i="9"/>
  <c r="I1191" i="9"/>
  <c r="I1192" i="9"/>
  <c r="I1193" i="9"/>
  <c r="I1194" i="9"/>
  <c r="I1195" i="9"/>
  <c r="I1196" i="9"/>
  <c r="I1197" i="9"/>
  <c r="I1198" i="9"/>
  <c r="I1199" i="9"/>
  <c r="I1200" i="9"/>
  <c r="I1201" i="9"/>
  <c r="I1202" i="9"/>
  <c r="I1203" i="9"/>
  <c r="I1204" i="9"/>
  <c r="I1205" i="9"/>
  <c r="I1206" i="9"/>
  <c r="I1207" i="9"/>
  <c r="I1208" i="9"/>
  <c r="I1209" i="9"/>
  <c r="I1210" i="9"/>
  <c r="I1211" i="9"/>
  <c r="I1212" i="9"/>
  <c r="I1213" i="9"/>
  <c r="I1214" i="9"/>
  <c r="I1215" i="9"/>
  <c r="I1216" i="9"/>
  <c r="I1217" i="9"/>
  <c r="I1218" i="9"/>
  <c r="I1219" i="9"/>
  <c r="I1220" i="9"/>
  <c r="I1221" i="9"/>
  <c r="I1222" i="9"/>
  <c r="I1223" i="9"/>
  <c r="I1224" i="9"/>
  <c r="I1225" i="9"/>
  <c r="I1226" i="9"/>
  <c r="I1227" i="9"/>
  <c r="I1228" i="9"/>
  <c r="I1229" i="9"/>
  <c r="I1230" i="9"/>
  <c r="I1231" i="9"/>
  <c r="I1232" i="9"/>
  <c r="I1233" i="9"/>
  <c r="I1234" i="9"/>
  <c r="I1235" i="9"/>
  <c r="I1236" i="9"/>
  <c r="I1237" i="9"/>
  <c r="I1238" i="9"/>
  <c r="I1239" i="9"/>
  <c r="I1240" i="9"/>
  <c r="I1241" i="9"/>
  <c r="I1242" i="9"/>
  <c r="I1243" i="9"/>
  <c r="I1244" i="9"/>
  <c r="I1245" i="9"/>
  <c r="I1246" i="9"/>
  <c r="I1247" i="9"/>
  <c r="I1248" i="9"/>
  <c r="I1249" i="9"/>
  <c r="I1250" i="9"/>
  <c r="I1251" i="9"/>
  <c r="I1252" i="9"/>
  <c r="I1253" i="9"/>
  <c r="I1254" i="9"/>
  <c r="I1255" i="9"/>
  <c r="I1256" i="9"/>
  <c r="I1257" i="9"/>
  <c r="I1258" i="9"/>
  <c r="I1259" i="9"/>
  <c r="I1260" i="9"/>
  <c r="I1261" i="9"/>
  <c r="I1262" i="9"/>
  <c r="I1263" i="9"/>
  <c r="I1264" i="9"/>
  <c r="I1265" i="9"/>
  <c r="I1266" i="9"/>
  <c r="I1267" i="9"/>
  <c r="I1268" i="9"/>
  <c r="I1269" i="9"/>
  <c r="I1270" i="9"/>
  <c r="I1271" i="9"/>
  <c r="I1272" i="9"/>
  <c r="I1273" i="9"/>
  <c r="I1274" i="9"/>
  <c r="I1275" i="9"/>
  <c r="I1276" i="9"/>
  <c r="I1277" i="9"/>
  <c r="I1278" i="9"/>
  <c r="I1279" i="9"/>
  <c r="I1280" i="9"/>
  <c r="I1281" i="9"/>
  <c r="I1282" i="9"/>
  <c r="I1283" i="9"/>
  <c r="I1284" i="9"/>
  <c r="I1285" i="9"/>
  <c r="I1286" i="9"/>
  <c r="I1287" i="9"/>
  <c r="I1288" i="9"/>
  <c r="I1289" i="9"/>
  <c r="I1290" i="9"/>
  <c r="I1291" i="9"/>
  <c r="I1292" i="9"/>
  <c r="I1293" i="9"/>
  <c r="I1294" i="9"/>
  <c r="I1295" i="9"/>
  <c r="I1296" i="9"/>
  <c r="I1297" i="9"/>
  <c r="I1298" i="9"/>
  <c r="I1299" i="9"/>
  <c r="I1300" i="9"/>
  <c r="I1301" i="9"/>
  <c r="I1302" i="9"/>
  <c r="I1303" i="9"/>
  <c r="I1304" i="9"/>
  <c r="I1305" i="9"/>
  <c r="I1306" i="9"/>
  <c r="I1307" i="9"/>
  <c r="I1308" i="9"/>
  <c r="I1309" i="9"/>
  <c r="I1310" i="9"/>
  <c r="I1311" i="9"/>
  <c r="I1312" i="9"/>
  <c r="I1313" i="9"/>
  <c r="I1314" i="9"/>
  <c r="I1315" i="9"/>
  <c r="I1316" i="9"/>
  <c r="I1317" i="9"/>
  <c r="I1318" i="9"/>
  <c r="I1319" i="9"/>
  <c r="I1320" i="9"/>
  <c r="I1321" i="9"/>
  <c r="I1322" i="9"/>
  <c r="I1323" i="9"/>
  <c r="I1324" i="9"/>
  <c r="I1325" i="9"/>
  <c r="I1326" i="9"/>
  <c r="I1327" i="9"/>
  <c r="I1328" i="9"/>
  <c r="I1329" i="9"/>
  <c r="I1330" i="9"/>
  <c r="I1331" i="9"/>
  <c r="I1332" i="9"/>
  <c r="I1333" i="9"/>
  <c r="I1334" i="9"/>
  <c r="I1335" i="9"/>
  <c r="I1336" i="9"/>
  <c r="I1337" i="9"/>
  <c r="I1338" i="9"/>
  <c r="I1339" i="9"/>
  <c r="I1340" i="9"/>
  <c r="I1341" i="9"/>
  <c r="I1342" i="9"/>
  <c r="I1343" i="9"/>
  <c r="I1344" i="9"/>
  <c r="I1345" i="9"/>
  <c r="I1346" i="9"/>
  <c r="I1347" i="9"/>
  <c r="I1348" i="9"/>
  <c r="I1349" i="9"/>
  <c r="I1350" i="9"/>
  <c r="I1351" i="9"/>
  <c r="I1352" i="9"/>
  <c r="I1353" i="9"/>
  <c r="I1354" i="9"/>
  <c r="I1355" i="9"/>
  <c r="I1356" i="9"/>
  <c r="I1357" i="9"/>
  <c r="I1358" i="9"/>
  <c r="I1359" i="9"/>
  <c r="I1360" i="9"/>
  <c r="I1361" i="9"/>
  <c r="I1362" i="9"/>
  <c r="I1363" i="9"/>
  <c r="I1364" i="9"/>
  <c r="I1365" i="9"/>
  <c r="I1366" i="9"/>
  <c r="I1367" i="9"/>
  <c r="I1368" i="9"/>
  <c r="I1369" i="9"/>
  <c r="I1370" i="9"/>
  <c r="I1371" i="9"/>
  <c r="I1372" i="9"/>
  <c r="I1373" i="9"/>
  <c r="I1374" i="9"/>
  <c r="I1375" i="9"/>
  <c r="I1376" i="9"/>
  <c r="I1377" i="9"/>
  <c r="I1378" i="9"/>
  <c r="I1379" i="9"/>
  <c r="I1380" i="9"/>
  <c r="I1381" i="9"/>
  <c r="I1382" i="9"/>
  <c r="I1383" i="9"/>
  <c r="I1384" i="9"/>
  <c r="I1385" i="9"/>
  <c r="I1386" i="9"/>
  <c r="I1387" i="9"/>
  <c r="I1388" i="9"/>
  <c r="I1389" i="9"/>
  <c r="I1390" i="9"/>
  <c r="I1391" i="9"/>
  <c r="I1392" i="9"/>
  <c r="I1393" i="9"/>
  <c r="I1394" i="9"/>
  <c r="I1395" i="9"/>
  <c r="I1396" i="9"/>
  <c r="I1397" i="9"/>
  <c r="I1398" i="9"/>
  <c r="I1399" i="9"/>
  <c r="I1400" i="9"/>
  <c r="I1401" i="9"/>
  <c r="I1402" i="9"/>
  <c r="I1403" i="9"/>
  <c r="I1404" i="9"/>
  <c r="I1405" i="9"/>
  <c r="I1406" i="9"/>
  <c r="I1407" i="9"/>
  <c r="I1408" i="9"/>
  <c r="I1409" i="9"/>
  <c r="I1410" i="9"/>
  <c r="I1411" i="9"/>
  <c r="I1412" i="9"/>
  <c r="I1413" i="9"/>
  <c r="I1414" i="9"/>
  <c r="I1415" i="9"/>
  <c r="I1416" i="9"/>
  <c r="I1417" i="9"/>
  <c r="I1418" i="9"/>
  <c r="I1419" i="9"/>
  <c r="I1420" i="9"/>
  <c r="I1421" i="9"/>
  <c r="I1422" i="9"/>
  <c r="I1423" i="9"/>
  <c r="I1424" i="9"/>
  <c r="I1425" i="9"/>
  <c r="I1426" i="9"/>
  <c r="I1427" i="9"/>
  <c r="I1428" i="9"/>
  <c r="I1429" i="9"/>
  <c r="I1430" i="9"/>
  <c r="I1431" i="9"/>
  <c r="I1432" i="9"/>
  <c r="I1433" i="9"/>
  <c r="I1434" i="9"/>
  <c r="I1435" i="9"/>
  <c r="I1436" i="9"/>
  <c r="I1437" i="9"/>
  <c r="I1438" i="9"/>
  <c r="I1439" i="9"/>
  <c r="I1440" i="9"/>
  <c r="I1441" i="9"/>
  <c r="I1442" i="9"/>
  <c r="I1443" i="9"/>
  <c r="I1444" i="9"/>
  <c r="I1445" i="9"/>
  <c r="I1446" i="9"/>
  <c r="I1447" i="9"/>
  <c r="I1448" i="9"/>
  <c r="I1449" i="9"/>
  <c r="I1450" i="9"/>
  <c r="I1451" i="9"/>
  <c r="I1452" i="9"/>
  <c r="I1453" i="9"/>
  <c r="I1454" i="9"/>
  <c r="I1455" i="9"/>
  <c r="I1456" i="9"/>
  <c r="I1457" i="9"/>
  <c r="I1458" i="9"/>
  <c r="I1459" i="9"/>
  <c r="I1460" i="9"/>
  <c r="I1461" i="9"/>
  <c r="I1462" i="9"/>
  <c r="I1463" i="9"/>
  <c r="I1464" i="9"/>
  <c r="I1465" i="9"/>
  <c r="I1466" i="9"/>
  <c r="I1467" i="9"/>
  <c r="I1468" i="9"/>
  <c r="I1469" i="9"/>
  <c r="I1470" i="9"/>
  <c r="I1471" i="9"/>
  <c r="I1472" i="9"/>
  <c r="I1473" i="9"/>
  <c r="I1474" i="9"/>
  <c r="I1475" i="9"/>
  <c r="I1476" i="9"/>
  <c r="I1477" i="9"/>
  <c r="I1478" i="9"/>
  <c r="I1479" i="9"/>
  <c r="I1480" i="9"/>
  <c r="I1481" i="9"/>
  <c r="I1482" i="9"/>
  <c r="I1483" i="9"/>
  <c r="I1484" i="9"/>
  <c r="I1485" i="9"/>
  <c r="I1486" i="9"/>
  <c r="I1487" i="9"/>
  <c r="I1488" i="9"/>
  <c r="I1489" i="9"/>
  <c r="I1490" i="9"/>
  <c r="I1491" i="9"/>
  <c r="I1492" i="9"/>
  <c r="I1493" i="9"/>
  <c r="I1494" i="9"/>
  <c r="I1495" i="9"/>
  <c r="I1496" i="9"/>
  <c r="I1497" i="9"/>
  <c r="I1498" i="9"/>
  <c r="I1499" i="9"/>
  <c r="I1500" i="9"/>
  <c r="I1501" i="9"/>
  <c r="I1502" i="9"/>
  <c r="I1503" i="9"/>
  <c r="I1504" i="9"/>
  <c r="I1505" i="9"/>
  <c r="I1506" i="9"/>
  <c r="I1507" i="9"/>
  <c r="I1508" i="9"/>
  <c r="I1509" i="9"/>
  <c r="I1510" i="9"/>
  <c r="I1511" i="9"/>
  <c r="I1512" i="9"/>
  <c r="I1513" i="9"/>
  <c r="I1514" i="9"/>
  <c r="I1515" i="9"/>
  <c r="I1516" i="9"/>
  <c r="I1517" i="9"/>
  <c r="I1518" i="9"/>
  <c r="I1519" i="9"/>
  <c r="I1520" i="9"/>
  <c r="I1521" i="9"/>
  <c r="I1522" i="9"/>
  <c r="I1523" i="9"/>
  <c r="I1524" i="9"/>
  <c r="I1525" i="9"/>
  <c r="I1526" i="9"/>
  <c r="I1527" i="9"/>
  <c r="I1528" i="9"/>
  <c r="I1529" i="9"/>
  <c r="I1530" i="9"/>
  <c r="I1531" i="9"/>
  <c r="I1532" i="9"/>
  <c r="I1533" i="9"/>
  <c r="I1534" i="9"/>
  <c r="I1535" i="9"/>
  <c r="I1536" i="9"/>
  <c r="I1537" i="9"/>
  <c r="I1538" i="9"/>
  <c r="I1539" i="9"/>
  <c r="I1540" i="9"/>
  <c r="I1541" i="9"/>
  <c r="I1542" i="9"/>
  <c r="I1543" i="9"/>
  <c r="I1544" i="9"/>
  <c r="I1545" i="9"/>
  <c r="I1546" i="9"/>
  <c r="I1547" i="9"/>
  <c r="I1548" i="9"/>
  <c r="I1549" i="9"/>
  <c r="I1550" i="9"/>
  <c r="I1551" i="9"/>
  <c r="I1552" i="9"/>
  <c r="I1553" i="9"/>
  <c r="I1554" i="9"/>
  <c r="I1555" i="9"/>
  <c r="I1556" i="9"/>
  <c r="I1557" i="9"/>
  <c r="I1558" i="9"/>
  <c r="I1559" i="9"/>
  <c r="I1560" i="9"/>
  <c r="I1561" i="9"/>
  <c r="I1562" i="9"/>
  <c r="I1563" i="9"/>
  <c r="I1564" i="9"/>
  <c r="I1565" i="9"/>
  <c r="I1566" i="9"/>
  <c r="I1567" i="9"/>
  <c r="I1568" i="9"/>
  <c r="I1569" i="9"/>
  <c r="I1570" i="9"/>
  <c r="I1571" i="9"/>
  <c r="I1572" i="9"/>
  <c r="I1573" i="9"/>
  <c r="I1574" i="9"/>
  <c r="I1575" i="9"/>
  <c r="I1576" i="9"/>
  <c r="I1577" i="9"/>
  <c r="I1578" i="9"/>
  <c r="I1579" i="9"/>
  <c r="I1580" i="9"/>
  <c r="I1581" i="9"/>
  <c r="I1582" i="9"/>
  <c r="I1583" i="9"/>
  <c r="I1584" i="9"/>
  <c r="I1585" i="9"/>
  <c r="I1586" i="9"/>
  <c r="I1587" i="9"/>
  <c r="I1588" i="9"/>
  <c r="I1589" i="9"/>
  <c r="I1590" i="9"/>
  <c r="I1591" i="9"/>
  <c r="I1592" i="9"/>
  <c r="I1593" i="9"/>
  <c r="I1594" i="9"/>
  <c r="I1595" i="9"/>
  <c r="I1596" i="9"/>
  <c r="I1597" i="9"/>
  <c r="I1598" i="9"/>
  <c r="I1599" i="9"/>
  <c r="I1600" i="9"/>
  <c r="I1601" i="9"/>
  <c r="I1602" i="9"/>
  <c r="I1603" i="9"/>
  <c r="I1604" i="9"/>
  <c r="I1605" i="9"/>
  <c r="I1606" i="9"/>
  <c r="I1607" i="9"/>
  <c r="I1608" i="9"/>
  <c r="I1609" i="9"/>
  <c r="I1610" i="9"/>
  <c r="I1611" i="9"/>
  <c r="I1612" i="9"/>
  <c r="I1613" i="9"/>
  <c r="I1614" i="9"/>
  <c r="I1615" i="9"/>
  <c r="I1616" i="9"/>
  <c r="I1617" i="9"/>
  <c r="I1618" i="9"/>
  <c r="I1619" i="9"/>
  <c r="I1620" i="9"/>
  <c r="I1621" i="9"/>
  <c r="I1622" i="9"/>
  <c r="I1623" i="9"/>
  <c r="I1624" i="9"/>
  <c r="I1625" i="9"/>
  <c r="I1626" i="9"/>
  <c r="I1627" i="9"/>
  <c r="I1628" i="9"/>
  <c r="I1629" i="9"/>
  <c r="I1630" i="9"/>
  <c r="I1631" i="9"/>
  <c r="I1632" i="9"/>
  <c r="I1633" i="9"/>
  <c r="I1634" i="9"/>
  <c r="I1635" i="9"/>
  <c r="I1636" i="9"/>
  <c r="I1637" i="9"/>
  <c r="I1638" i="9"/>
  <c r="I1639" i="9"/>
  <c r="I1640" i="9"/>
  <c r="I1641" i="9"/>
  <c r="I1642" i="9"/>
  <c r="I1643" i="9"/>
  <c r="I1644" i="9"/>
  <c r="I1645" i="9"/>
  <c r="I1646" i="9"/>
  <c r="I1647" i="9"/>
  <c r="I1648" i="9"/>
  <c r="I1649" i="9"/>
  <c r="I1650" i="9"/>
  <c r="I1651" i="9"/>
  <c r="I1652" i="9"/>
  <c r="I1653" i="9"/>
  <c r="I1654" i="9"/>
  <c r="I1655" i="9"/>
  <c r="I1656" i="9"/>
  <c r="I1657" i="9"/>
  <c r="I1658" i="9"/>
  <c r="I1659" i="9"/>
  <c r="I1660" i="9"/>
  <c r="I1661" i="9"/>
  <c r="I1662" i="9"/>
  <c r="I1663" i="9"/>
  <c r="I1664" i="9"/>
  <c r="I1665" i="9"/>
  <c r="I1666" i="9"/>
  <c r="I1667" i="9"/>
  <c r="I1668" i="9"/>
  <c r="I1669" i="9"/>
  <c r="I1670" i="9"/>
  <c r="I1671" i="9"/>
  <c r="I1672" i="9"/>
  <c r="I1673" i="9"/>
  <c r="I1674" i="9"/>
  <c r="I1675" i="9"/>
  <c r="I1676" i="9"/>
  <c r="I1677" i="9"/>
  <c r="I1678" i="9"/>
  <c r="I1679" i="9"/>
  <c r="I1680" i="9"/>
  <c r="I1681" i="9"/>
  <c r="I1682" i="9"/>
  <c r="I1683" i="9"/>
  <c r="I1684" i="9"/>
  <c r="I1685" i="9"/>
  <c r="I1686" i="9"/>
  <c r="I1687" i="9"/>
  <c r="I1688" i="9"/>
  <c r="I1689" i="9"/>
  <c r="I1690" i="9"/>
  <c r="I1691" i="9"/>
  <c r="I1692" i="9"/>
  <c r="I1693" i="9"/>
  <c r="I1694" i="9"/>
  <c r="I1695" i="9"/>
  <c r="I1696" i="9"/>
  <c r="I1697" i="9"/>
  <c r="I1698" i="9"/>
  <c r="I1699" i="9"/>
  <c r="I1700" i="9"/>
  <c r="I1701" i="9"/>
  <c r="I1702" i="9"/>
  <c r="I1703" i="9"/>
  <c r="I1704" i="9"/>
  <c r="I1705" i="9"/>
  <c r="I1706" i="9"/>
  <c r="I1707" i="9"/>
  <c r="I1708" i="9"/>
  <c r="I1709" i="9"/>
  <c r="I1710" i="9"/>
  <c r="I1711" i="9"/>
  <c r="I1712" i="9"/>
  <c r="I1713" i="9"/>
  <c r="I1714" i="9"/>
  <c r="I1715" i="9"/>
  <c r="I1716" i="9"/>
  <c r="I1717" i="9"/>
  <c r="I1718" i="9"/>
  <c r="I1719" i="9"/>
  <c r="I1720" i="9"/>
  <c r="I1721" i="9"/>
  <c r="I1722" i="9"/>
  <c r="I1723" i="9"/>
  <c r="I1724" i="9"/>
  <c r="I1725" i="9"/>
  <c r="I1726" i="9"/>
  <c r="I1727" i="9"/>
  <c r="I1728" i="9"/>
  <c r="I1729" i="9"/>
  <c r="I1730" i="9"/>
  <c r="I1731" i="9"/>
  <c r="I1732" i="9"/>
  <c r="I1733" i="9"/>
  <c r="I1734" i="9"/>
  <c r="I1735" i="9"/>
  <c r="I1736" i="9"/>
  <c r="I1737" i="9"/>
  <c r="I1738" i="9"/>
  <c r="I1739" i="9"/>
  <c r="I1740" i="9"/>
  <c r="I1741" i="9"/>
  <c r="I1742" i="9"/>
  <c r="I1743" i="9"/>
  <c r="I1744" i="9"/>
  <c r="I1745" i="9"/>
  <c r="I1746" i="9"/>
  <c r="I1747" i="9"/>
  <c r="I1748" i="9"/>
  <c r="I1749" i="9"/>
  <c r="I1750" i="9"/>
  <c r="I1751" i="9"/>
  <c r="I1752" i="9"/>
  <c r="I1753" i="9"/>
  <c r="I1754" i="9"/>
  <c r="I1755" i="9"/>
  <c r="I1756" i="9"/>
  <c r="I1757" i="9"/>
  <c r="I1758" i="9"/>
  <c r="I1759" i="9"/>
  <c r="I1760" i="9"/>
  <c r="I1761" i="9"/>
  <c r="I1762" i="9"/>
  <c r="I1763" i="9"/>
  <c r="I1764" i="9"/>
  <c r="I1765" i="9"/>
  <c r="I1766" i="9"/>
  <c r="I1767" i="9"/>
  <c r="I1768" i="9"/>
  <c r="I1769" i="9"/>
  <c r="I1770" i="9"/>
  <c r="I1771" i="9"/>
  <c r="I1772" i="9"/>
  <c r="I1773" i="9"/>
  <c r="I1774" i="9"/>
  <c r="I1775" i="9"/>
  <c r="I1776" i="9"/>
  <c r="I1777" i="9"/>
  <c r="I1778" i="9"/>
  <c r="I1779" i="9"/>
  <c r="I1780" i="9"/>
  <c r="I1781" i="9"/>
  <c r="I1782" i="9"/>
  <c r="I1783" i="9"/>
  <c r="I1784" i="9"/>
  <c r="I1785" i="9"/>
  <c r="I1786" i="9"/>
  <c r="I1787" i="9"/>
  <c r="I1788" i="9"/>
  <c r="I1789" i="9"/>
  <c r="I1790" i="9"/>
  <c r="I1791" i="9"/>
  <c r="I1792" i="9"/>
  <c r="I1793" i="9"/>
  <c r="I1794" i="9"/>
  <c r="I1795" i="9"/>
  <c r="I1796" i="9"/>
  <c r="I1797" i="9"/>
  <c r="I1798" i="9"/>
  <c r="I1799" i="9"/>
  <c r="I1800" i="9"/>
  <c r="I1801" i="9"/>
  <c r="I1802" i="9"/>
  <c r="I1803" i="9"/>
  <c r="I1804" i="9"/>
  <c r="I1805" i="9"/>
  <c r="I1806" i="9"/>
  <c r="I1807" i="9"/>
  <c r="I1808" i="9"/>
  <c r="I1809" i="9"/>
  <c r="I1810" i="9"/>
  <c r="I1811" i="9"/>
  <c r="I1812" i="9"/>
  <c r="I1813" i="9"/>
  <c r="I1814" i="9"/>
  <c r="I1815" i="9"/>
  <c r="I1816" i="9"/>
  <c r="I1817" i="9"/>
  <c r="I1818" i="9"/>
  <c r="I1819" i="9"/>
  <c r="I1820" i="9"/>
  <c r="I1821" i="9"/>
  <c r="I1822" i="9"/>
  <c r="I1823" i="9"/>
  <c r="I1824" i="9"/>
  <c r="I1825" i="9"/>
  <c r="I1826" i="9"/>
  <c r="I1827" i="9"/>
  <c r="I1828" i="9"/>
  <c r="I1829" i="9"/>
  <c r="I1830" i="9"/>
  <c r="I1831" i="9"/>
  <c r="I1832" i="9"/>
  <c r="I1833" i="9"/>
  <c r="I1834" i="9"/>
  <c r="I1835" i="9"/>
  <c r="I1836" i="9"/>
  <c r="I1837" i="9"/>
  <c r="I1838" i="9"/>
  <c r="I1839" i="9"/>
  <c r="I1840" i="9"/>
  <c r="I1841" i="9"/>
  <c r="I1842" i="9"/>
  <c r="I1843" i="9"/>
  <c r="I1844" i="9"/>
  <c r="I1845" i="9"/>
  <c r="I1846" i="9"/>
  <c r="I1847" i="9"/>
  <c r="I1848" i="9"/>
  <c r="I1849" i="9"/>
  <c r="I1850" i="9"/>
  <c r="I1851" i="9"/>
  <c r="I1852" i="9"/>
  <c r="I1853" i="9"/>
  <c r="I1854" i="9"/>
  <c r="I1855" i="9"/>
  <c r="I1856" i="9"/>
  <c r="I1857" i="9"/>
  <c r="I1858" i="9"/>
  <c r="I1859" i="9"/>
  <c r="I1860" i="9"/>
  <c r="I1861" i="9"/>
  <c r="I1862" i="9"/>
  <c r="I1863" i="9"/>
  <c r="I1864" i="9"/>
  <c r="I1865" i="9"/>
  <c r="I1866" i="9"/>
  <c r="I1867" i="9"/>
  <c r="I1868" i="9"/>
  <c r="I1869" i="9"/>
  <c r="I1870" i="9"/>
  <c r="I1871" i="9"/>
  <c r="I1872" i="9"/>
  <c r="I1873" i="9"/>
  <c r="I1874" i="9"/>
  <c r="I1875" i="9"/>
  <c r="I1876" i="9"/>
  <c r="I1877" i="9"/>
  <c r="I1878" i="9"/>
  <c r="I1879" i="9"/>
  <c r="I1880" i="9"/>
  <c r="I1881" i="9"/>
  <c r="I1882" i="9"/>
  <c r="I1883" i="9"/>
  <c r="I1884" i="9"/>
  <c r="I1885" i="9"/>
  <c r="I1886" i="9"/>
  <c r="I1887" i="9"/>
  <c r="I1888" i="9"/>
  <c r="I1889" i="9"/>
  <c r="I1890" i="9"/>
  <c r="I1891" i="9"/>
  <c r="I1892" i="9"/>
  <c r="I1893" i="9"/>
  <c r="I1894" i="9"/>
  <c r="I1895" i="9"/>
  <c r="I1896" i="9"/>
  <c r="I1897" i="9"/>
  <c r="I1898" i="9"/>
  <c r="I1899" i="9"/>
  <c r="I1900" i="9"/>
  <c r="I1901" i="9"/>
  <c r="I1902" i="9"/>
  <c r="I1903" i="9"/>
  <c r="I1904" i="9"/>
  <c r="I1905" i="9"/>
  <c r="I1906" i="9"/>
  <c r="I1907" i="9"/>
  <c r="I1908" i="9"/>
  <c r="I1909" i="9"/>
  <c r="I1910" i="9"/>
  <c r="I1911" i="9"/>
  <c r="I1912" i="9"/>
  <c r="I1913" i="9"/>
  <c r="I1914" i="9"/>
  <c r="I1915" i="9"/>
  <c r="I1916" i="9"/>
  <c r="I1917" i="9"/>
  <c r="I1918" i="9"/>
  <c r="I1919" i="9"/>
  <c r="I1920" i="9"/>
  <c r="I1921" i="9"/>
  <c r="I1922" i="9"/>
  <c r="I1923" i="9"/>
  <c r="I1924" i="9"/>
  <c r="I1925" i="9"/>
  <c r="I1926" i="9"/>
  <c r="I1927" i="9"/>
  <c r="I1928" i="9"/>
  <c r="I1929" i="9"/>
  <c r="I1930" i="9"/>
  <c r="I1931" i="9"/>
  <c r="I1932" i="9"/>
  <c r="I1933" i="9"/>
  <c r="I1934" i="9"/>
  <c r="I1935" i="9"/>
  <c r="I1936" i="9"/>
  <c r="I1937" i="9"/>
  <c r="I1938" i="9"/>
  <c r="I1939" i="9"/>
  <c r="I1940" i="9"/>
  <c r="I1941" i="9"/>
  <c r="I1942" i="9"/>
  <c r="I1943" i="9"/>
  <c r="I1944" i="9"/>
  <c r="I1945" i="9"/>
  <c r="I1946" i="9"/>
  <c r="I1947" i="9"/>
  <c r="I1948" i="9"/>
  <c r="I1949" i="9"/>
  <c r="I1950" i="9"/>
  <c r="I1951" i="9"/>
  <c r="I1952" i="9"/>
  <c r="I1953" i="9"/>
  <c r="I1954" i="9"/>
  <c r="I1955" i="9"/>
  <c r="I1956" i="9"/>
  <c r="I1957" i="9"/>
  <c r="I1958" i="9"/>
  <c r="I1959" i="9"/>
  <c r="I1960" i="9"/>
  <c r="I1961" i="9"/>
  <c r="I1962" i="9"/>
  <c r="I1963" i="9"/>
  <c r="I1964" i="9"/>
  <c r="I1965" i="9"/>
  <c r="I1966" i="9"/>
  <c r="I1967" i="9"/>
  <c r="I1968" i="9"/>
  <c r="I1969" i="9"/>
  <c r="I1970" i="9"/>
  <c r="I1971" i="9"/>
  <c r="I1972" i="9"/>
  <c r="I1973" i="9"/>
  <c r="I1974" i="9"/>
  <c r="I1975" i="9"/>
  <c r="I1976" i="9"/>
  <c r="I1977" i="9"/>
  <c r="I1978" i="9"/>
  <c r="I1979" i="9"/>
  <c r="I1980" i="9"/>
  <c r="I1981" i="9"/>
  <c r="I1982" i="9"/>
  <c r="I1983" i="9"/>
  <c r="I1984" i="9"/>
  <c r="I1985" i="9"/>
  <c r="I1986" i="9"/>
  <c r="I1987" i="9"/>
  <c r="I1988" i="9"/>
  <c r="I1989" i="9"/>
  <c r="I1990" i="9"/>
  <c r="I1991" i="9"/>
  <c r="I1992" i="9"/>
  <c r="I1993" i="9"/>
  <c r="I1994" i="9"/>
  <c r="I1995" i="9"/>
  <c r="I1996" i="9"/>
  <c r="I1997" i="9"/>
  <c r="I1998" i="9"/>
  <c r="I1999" i="9"/>
  <c r="I2000" i="9"/>
  <c r="I2001" i="9"/>
  <c r="I2002" i="9"/>
  <c r="I2003" i="9"/>
  <c r="I2004" i="9"/>
  <c r="I2005" i="9"/>
  <c r="I2006" i="9"/>
  <c r="I2007" i="9"/>
  <c r="I2008" i="9"/>
  <c r="I2009" i="9"/>
  <c r="I2010" i="9"/>
  <c r="I2011" i="9"/>
  <c r="I2012" i="9"/>
  <c r="I2013" i="9"/>
  <c r="I2014" i="9"/>
  <c r="I2015" i="9"/>
  <c r="I2016" i="9"/>
  <c r="I2017" i="9"/>
  <c r="I2018" i="9"/>
  <c r="I2019" i="9"/>
  <c r="I2020" i="9"/>
  <c r="I2021" i="9"/>
  <c r="I2022" i="9"/>
  <c r="I2023" i="9"/>
  <c r="I2024" i="9"/>
  <c r="I2025" i="9"/>
  <c r="I2026" i="9"/>
  <c r="I2027" i="9"/>
  <c r="I2028" i="9"/>
  <c r="I2029" i="9"/>
  <c r="I2030" i="9"/>
  <c r="I2031" i="9"/>
  <c r="I2032" i="9"/>
  <c r="I2033" i="9"/>
  <c r="I2034" i="9"/>
  <c r="I2035" i="9"/>
  <c r="I2036" i="9"/>
  <c r="I2037" i="9"/>
  <c r="I2038" i="9"/>
  <c r="I2039" i="9"/>
  <c r="I2040" i="9"/>
  <c r="I2041" i="9"/>
  <c r="I2042" i="9"/>
  <c r="I2043" i="9"/>
  <c r="I2044" i="9"/>
  <c r="I2045" i="9"/>
  <c r="I2046" i="9"/>
  <c r="I2047" i="9"/>
  <c r="I2048" i="9"/>
  <c r="I2049" i="9"/>
  <c r="I2050" i="9"/>
  <c r="I2051" i="9"/>
  <c r="I2052" i="9"/>
  <c r="I2053" i="9"/>
  <c r="I2054" i="9"/>
  <c r="I2055" i="9"/>
  <c r="I2056" i="9"/>
  <c r="I2057" i="9"/>
  <c r="I2058" i="9"/>
  <c r="I2059" i="9"/>
  <c r="I2060" i="9"/>
  <c r="I2061" i="9"/>
  <c r="I2062" i="9"/>
  <c r="I2063" i="9"/>
  <c r="I2064" i="9"/>
  <c r="I2065" i="9"/>
  <c r="I2066" i="9"/>
  <c r="I2067" i="9"/>
  <c r="I2068" i="9"/>
  <c r="I2069" i="9"/>
  <c r="I2070" i="9"/>
  <c r="I2071" i="9"/>
  <c r="I2072" i="9"/>
  <c r="I2073" i="9"/>
  <c r="I2074" i="9"/>
  <c r="I2075" i="9"/>
  <c r="I2076" i="9"/>
  <c r="I2077" i="9"/>
  <c r="I2078" i="9"/>
  <c r="I2079" i="9"/>
  <c r="I2080" i="9"/>
  <c r="I2081" i="9"/>
  <c r="I2082" i="9"/>
  <c r="I2083" i="9"/>
  <c r="I2084" i="9"/>
  <c r="I2085" i="9"/>
  <c r="I2086" i="9"/>
  <c r="I2087" i="9"/>
  <c r="I2088" i="9"/>
  <c r="I2089" i="9"/>
  <c r="I2090" i="9"/>
  <c r="I2091" i="9"/>
  <c r="I2092" i="9"/>
  <c r="I2093" i="9"/>
  <c r="I2094" i="9"/>
  <c r="I2095" i="9"/>
  <c r="I2096" i="9"/>
  <c r="I2097" i="9"/>
  <c r="I2098" i="9"/>
  <c r="I2099" i="9"/>
  <c r="I2100" i="9"/>
  <c r="I2101" i="9"/>
  <c r="I2102" i="9"/>
  <c r="I2103" i="9"/>
  <c r="I2104" i="9"/>
  <c r="I2105" i="9"/>
  <c r="I2106" i="9"/>
  <c r="I2107" i="9"/>
  <c r="I2108" i="9"/>
  <c r="I2109" i="9"/>
  <c r="I2110" i="9"/>
  <c r="I2111" i="9"/>
  <c r="I2112" i="9"/>
  <c r="I2113" i="9"/>
  <c r="I2114" i="9"/>
  <c r="I2115" i="9"/>
  <c r="I2116" i="9"/>
  <c r="I2117" i="9"/>
  <c r="I2118" i="9"/>
  <c r="I2119" i="9"/>
  <c r="I2120" i="9"/>
  <c r="I2121" i="9"/>
  <c r="I2122" i="9"/>
  <c r="I2123" i="9"/>
  <c r="I2124" i="9"/>
  <c r="I2125" i="9"/>
  <c r="I2126" i="9"/>
  <c r="I2127" i="9"/>
  <c r="I2128" i="9"/>
  <c r="I2129" i="9"/>
  <c r="I2130" i="9"/>
  <c r="I2131" i="9"/>
  <c r="I2132" i="9"/>
  <c r="I2133" i="9"/>
  <c r="I2134" i="9"/>
  <c r="I2135" i="9"/>
  <c r="I2136" i="9"/>
  <c r="I2137" i="9"/>
  <c r="I2138" i="9"/>
  <c r="I2139" i="9"/>
  <c r="I2140" i="9"/>
  <c r="I2141" i="9"/>
  <c r="I2142" i="9"/>
  <c r="I2143" i="9"/>
  <c r="I2144" i="9"/>
  <c r="I2145" i="9"/>
  <c r="I2146" i="9"/>
  <c r="I2147" i="9"/>
  <c r="I2148" i="9"/>
  <c r="I2149" i="9"/>
  <c r="I2150" i="9"/>
  <c r="I2151" i="9"/>
  <c r="I2152" i="9"/>
  <c r="I2153" i="9"/>
  <c r="I2154" i="9"/>
  <c r="I2155" i="9"/>
  <c r="I2156" i="9"/>
  <c r="I2157" i="9"/>
  <c r="I2158" i="9"/>
  <c r="I2159" i="9"/>
  <c r="I2160" i="9"/>
  <c r="I2161" i="9"/>
  <c r="I2162" i="9"/>
  <c r="I2163" i="9"/>
  <c r="I2164" i="9"/>
  <c r="I2165" i="9"/>
  <c r="I2166" i="9"/>
  <c r="I2167" i="9"/>
  <c r="I2168" i="9"/>
  <c r="I2169" i="9"/>
  <c r="I2170" i="9"/>
  <c r="I2171" i="9"/>
  <c r="I2172" i="9"/>
  <c r="I2173" i="9"/>
  <c r="I2174" i="9"/>
  <c r="I2175" i="9"/>
  <c r="I2176" i="9"/>
  <c r="I2177" i="9"/>
  <c r="I2178" i="9"/>
  <c r="I2179" i="9"/>
  <c r="I2180" i="9"/>
  <c r="I2181" i="9"/>
  <c r="I2182" i="9"/>
  <c r="I2183" i="9"/>
  <c r="I2184" i="9"/>
  <c r="I2185" i="9"/>
  <c r="I2186" i="9"/>
  <c r="I2187" i="9"/>
  <c r="I2188" i="9"/>
  <c r="I2189" i="9"/>
  <c r="I2190" i="9"/>
  <c r="I2191" i="9"/>
  <c r="I2192" i="9"/>
  <c r="I2193" i="9"/>
  <c r="I2194" i="9"/>
  <c r="I2195" i="9"/>
  <c r="I2196" i="9"/>
  <c r="I2197" i="9"/>
  <c r="I2198" i="9"/>
  <c r="I2199" i="9"/>
  <c r="I2200" i="9"/>
  <c r="I2201" i="9"/>
  <c r="I2202" i="9"/>
  <c r="I2203" i="9"/>
  <c r="I2204" i="9"/>
  <c r="I2205" i="9"/>
  <c r="I2206" i="9"/>
  <c r="I2207" i="9"/>
  <c r="I2208" i="9"/>
  <c r="I2209" i="9"/>
  <c r="I2210" i="9"/>
  <c r="I2211" i="9"/>
  <c r="I2212" i="9"/>
  <c r="I2213" i="9"/>
  <c r="I2214" i="9"/>
  <c r="I2215" i="9"/>
  <c r="I2216" i="9"/>
  <c r="I2217" i="9"/>
  <c r="I2218" i="9"/>
  <c r="I2219" i="9"/>
  <c r="I2220" i="9"/>
  <c r="I2221" i="9"/>
  <c r="I2222" i="9"/>
  <c r="I2223" i="9"/>
  <c r="I2224" i="9"/>
  <c r="I2225" i="9"/>
  <c r="I2226" i="9"/>
  <c r="I2227" i="9"/>
  <c r="I2228" i="9"/>
  <c r="I2229" i="9"/>
  <c r="I2230" i="9"/>
  <c r="I2231" i="9"/>
  <c r="I2232" i="9"/>
  <c r="I2233" i="9"/>
  <c r="I2234" i="9"/>
  <c r="I2235" i="9"/>
  <c r="I2236" i="9"/>
  <c r="I2237" i="9"/>
  <c r="I2238" i="9"/>
  <c r="I2239" i="9"/>
  <c r="I2240" i="9"/>
  <c r="I2241" i="9"/>
  <c r="I2242" i="9"/>
  <c r="I2243" i="9"/>
  <c r="I2244" i="9"/>
  <c r="I2245" i="9"/>
  <c r="I2246" i="9"/>
  <c r="I2247" i="9"/>
  <c r="I2248" i="9"/>
  <c r="I2249" i="9"/>
  <c r="I2250" i="9"/>
  <c r="I2251" i="9"/>
  <c r="I2252" i="9"/>
  <c r="I2253" i="9"/>
  <c r="I2254" i="9"/>
  <c r="I2255" i="9"/>
  <c r="I2256" i="9"/>
  <c r="I2257" i="9"/>
  <c r="I2258" i="9"/>
  <c r="I2259" i="9"/>
  <c r="I2260" i="9"/>
  <c r="I2261" i="9"/>
  <c r="I2262" i="9"/>
  <c r="I2263" i="9"/>
  <c r="I2264" i="9"/>
  <c r="I2265" i="9"/>
  <c r="I2266" i="9"/>
  <c r="I2267" i="9"/>
  <c r="I2268" i="9"/>
  <c r="I2269" i="9"/>
  <c r="I2270" i="9"/>
  <c r="I2271" i="9"/>
  <c r="I2272" i="9"/>
  <c r="I2273" i="9"/>
  <c r="I2274" i="9"/>
  <c r="I2275" i="9"/>
  <c r="I2276" i="9"/>
  <c r="I2277" i="9"/>
  <c r="I2278" i="9"/>
  <c r="I2279" i="9"/>
  <c r="I2280" i="9"/>
  <c r="I2281" i="9"/>
  <c r="I2282" i="9"/>
  <c r="I2283" i="9"/>
  <c r="I2284" i="9"/>
  <c r="I2285" i="9"/>
  <c r="I2286" i="9"/>
  <c r="I2287" i="9"/>
  <c r="I2288" i="9"/>
  <c r="I2289" i="9"/>
  <c r="I2290" i="9"/>
  <c r="I2291" i="9"/>
  <c r="I2292" i="9"/>
  <c r="I2293" i="9"/>
  <c r="I2294" i="9"/>
  <c r="I2295" i="9"/>
  <c r="I2296" i="9"/>
  <c r="I2297" i="9"/>
  <c r="I2298" i="9"/>
  <c r="I2299" i="9"/>
  <c r="I2300" i="9"/>
  <c r="I2301" i="9"/>
  <c r="I2302" i="9"/>
  <c r="I2303" i="9"/>
  <c r="I2304" i="9"/>
  <c r="I2305" i="9"/>
  <c r="I2306" i="9"/>
  <c r="I2307" i="9"/>
  <c r="I2308" i="9"/>
  <c r="I2309" i="9"/>
  <c r="I2310" i="9"/>
  <c r="I2311" i="9"/>
  <c r="I2312" i="9"/>
  <c r="I2313" i="9"/>
  <c r="I2314" i="9"/>
  <c r="I2315" i="9"/>
  <c r="I2316" i="9"/>
  <c r="I2317" i="9"/>
  <c r="I2318" i="9"/>
  <c r="I2319" i="9"/>
  <c r="I2320" i="9"/>
  <c r="I2321" i="9"/>
  <c r="I2322" i="9"/>
  <c r="I2323" i="9"/>
  <c r="I2324" i="9"/>
  <c r="I2325" i="9"/>
  <c r="I2326" i="9"/>
  <c r="I2327" i="9"/>
  <c r="I2328" i="9"/>
  <c r="I2329" i="9"/>
  <c r="I2330" i="9"/>
  <c r="I2331" i="9"/>
  <c r="I2332" i="9"/>
  <c r="I2333" i="9"/>
  <c r="I2334" i="9"/>
  <c r="I2335" i="9"/>
  <c r="I2336" i="9"/>
  <c r="I2337" i="9"/>
  <c r="I2338" i="9"/>
  <c r="I2339" i="9"/>
  <c r="I2340" i="9"/>
  <c r="I2341" i="9"/>
  <c r="I2342" i="9"/>
  <c r="I2343" i="9"/>
  <c r="I2344" i="9"/>
  <c r="I2345" i="9"/>
  <c r="I2346" i="9"/>
  <c r="I2347" i="9"/>
  <c r="I2348" i="9"/>
  <c r="I2349" i="9"/>
  <c r="I2350" i="9"/>
  <c r="I2351" i="9"/>
  <c r="I2352" i="9"/>
  <c r="I2353" i="9"/>
  <c r="I2354" i="9"/>
  <c r="I2355" i="9"/>
  <c r="I2356" i="9"/>
  <c r="I2357" i="9"/>
  <c r="I2358" i="9"/>
  <c r="I2359" i="9"/>
  <c r="I2360" i="9"/>
  <c r="I2361" i="9"/>
  <c r="I2362" i="9"/>
  <c r="I2363" i="9"/>
  <c r="I2364" i="9"/>
  <c r="I2365" i="9"/>
  <c r="I2366" i="9"/>
  <c r="I2367" i="9"/>
  <c r="I2368" i="9"/>
  <c r="I2369" i="9"/>
  <c r="I2370" i="9"/>
  <c r="I2371" i="9"/>
  <c r="I2372" i="9"/>
  <c r="I2373" i="9"/>
  <c r="I2374" i="9"/>
  <c r="I2375" i="9"/>
  <c r="I2376" i="9"/>
  <c r="I2377" i="9"/>
  <c r="I2378" i="9"/>
  <c r="I2379" i="9"/>
  <c r="I2380" i="9"/>
  <c r="I2381" i="9"/>
  <c r="I2382" i="9"/>
  <c r="I2383" i="9"/>
  <c r="I2384" i="9"/>
  <c r="I2385" i="9"/>
  <c r="I2386" i="9"/>
  <c r="I2387" i="9"/>
  <c r="I2388" i="9"/>
  <c r="I2389" i="9"/>
  <c r="I2390" i="9"/>
  <c r="I2391" i="9"/>
  <c r="I2392" i="9"/>
  <c r="I2393" i="9"/>
  <c r="I2394" i="9"/>
  <c r="I2395" i="9"/>
  <c r="I2396" i="9"/>
  <c r="I2397" i="9"/>
  <c r="I2398" i="9"/>
  <c r="I2399" i="9"/>
  <c r="I2400" i="9"/>
  <c r="I2401" i="9"/>
  <c r="I2402" i="9"/>
  <c r="I2403" i="9"/>
  <c r="I2404" i="9"/>
  <c r="I2405" i="9"/>
  <c r="I2406" i="9"/>
  <c r="I2407" i="9"/>
  <c r="I2408" i="9"/>
  <c r="I2409" i="9"/>
  <c r="I2410" i="9"/>
  <c r="I2411" i="9"/>
  <c r="I2412" i="9"/>
  <c r="I2413" i="9"/>
  <c r="I2414" i="9"/>
  <c r="I2415" i="9"/>
  <c r="I2416" i="9"/>
  <c r="I2417" i="9"/>
  <c r="I2418" i="9"/>
  <c r="I2419" i="9"/>
  <c r="I2420" i="9"/>
  <c r="I2421" i="9"/>
  <c r="I2422" i="9"/>
  <c r="I2423" i="9"/>
  <c r="I2424" i="9"/>
  <c r="I2425" i="9"/>
  <c r="I2426" i="9"/>
  <c r="I2427" i="9"/>
  <c r="I2428" i="9"/>
  <c r="I2429" i="9"/>
  <c r="I2430" i="9"/>
  <c r="I2431" i="9"/>
  <c r="I2432" i="9"/>
  <c r="I2433" i="9"/>
  <c r="I2434" i="9"/>
  <c r="I2435" i="9"/>
  <c r="I2436" i="9"/>
  <c r="I2437" i="9"/>
  <c r="I2438" i="9"/>
  <c r="I2439" i="9"/>
  <c r="I2440" i="9"/>
  <c r="I2441" i="9"/>
  <c r="I2442" i="9"/>
  <c r="I2443" i="9"/>
  <c r="I2444" i="9"/>
  <c r="I2445" i="9"/>
  <c r="I2446" i="9"/>
  <c r="I2447" i="9"/>
  <c r="I2448" i="9"/>
  <c r="I2449" i="9"/>
  <c r="I2450" i="9"/>
  <c r="I2451" i="9"/>
  <c r="I2452" i="9"/>
  <c r="I2453" i="9"/>
  <c r="I2454" i="9"/>
  <c r="I2455" i="9"/>
  <c r="I2456" i="9"/>
  <c r="I2457" i="9"/>
  <c r="I2458" i="9"/>
  <c r="I2459" i="9"/>
  <c r="I2460" i="9"/>
  <c r="I2461" i="9"/>
  <c r="I2462" i="9"/>
  <c r="I2463" i="9"/>
  <c r="I2464" i="9"/>
  <c r="I2465" i="9"/>
  <c r="I2466" i="9"/>
  <c r="I2467" i="9"/>
  <c r="I2468" i="9"/>
  <c r="I2469" i="9"/>
  <c r="I2470" i="9"/>
  <c r="I2471" i="9"/>
  <c r="I2472" i="9"/>
  <c r="I2473" i="9"/>
  <c r="I2474" i="9"/>
  <c r="I2475" i="9"/>
  <c r="I2476" i="9"/>
  <c r="I2477" i="9"/>
  <c r="I2478" i="9"/>
  <c r="I2479" i="9"/>
  <c r="I2480" i="9"/>
  <c r="I2481" i="9"/>
  <c r="I2482" i="9"/>
  <c r="I2483" i="9"/>
  <c r="I2484" i="9"/>
  <c r="I2485" i="9"/>
  <c r="I2486" i="9"/>
  <c r="I2487" i="9"/>
  <c r="I2488" i="9"/>
  <c r="I2489" i="9"/>
  <c r="I2490" i="9"/>
  <c r="I2491" i="9"/>
  <c r="I2492" i="9"/>
  <c r="I2493" i="9"/>
  <c r="I2494" i="9"/>
  <c r="I2495" i="9"/>
  <c r="I2496" i="9"/>
  <c r="I2497" i="9"/>
  <c r="I2498" i="9"/>
  <c r="I2499" i="9"/>
  <c r="I2500" i="9"/>
  <c r="I2501" i="9"/>
  <c r="I2502" i="9"/>
  <c r="I2503" i="9"/>
  <c r="I2504" i="9"/>
  <c r="I2505" i="9"/>
  <c r="I2506" i="9"/>
  <c r="I2507" i="9"/>
  <c r="I2508" i="9"/>
  <c r="I2509" i="9"/>
  <c r="I2510" i="9"/>
  <c r="I2511" i="9"/>
  <c r="I2512" i="9"/>
  <c r="I2513" i="9"/>
  <c r="I2514" i="9"/>
  <c r="I2515" i="9"/>
  <c r="I2516" i="9"/>
  <c r="I2517" i="9"/>
  <c r="I2518" i="9"/>
  <c r="I2519" i="9"/>
  <c r="I2520" i="9"/>
  <c r="I2521" i="9"/>
  <c r="I2522" i="9"/>
  <c r="I2523" i="9"/>
  <c r="I2524" i="9"/>
  <c r="I2525" i="9"/>
  <c r="I2526" i="9"/>
  <c r="I2527" i="9"/>
  <c r="I2528" i="9"/>
  <c r="I2529" i="9"/>
  <c r="I2530" i="9"/>
  <c r="I2531" i="9"/>
  <c r="I2532" i="9"/>
  <c r="I2533" i="9"/>
  <c r="I2534" i="9"/>
  <c r="I2535" i="9"/>
  <c r="I2536" i="9"/>
  <c r="I2537" i="9"/>
  <c r="I2538" i="9"/>
  <c r="I2539" i="9"/>
  <c r="I2540" i="9"/>
  <c r="I2541" i="9"/>
  <c r="I2542" i="9"/>
  <c r="I2543" i="9"/>
  <c r="I2544" i="9"/>
  <c r="I2545" i="9"/>
  <c r="I2546" i="9"/>
  <c r="I2547" i="9"/>
  <c r="I2548" i="9"/>
  <c r="I2549" i="9"/>
  <c r="I2550" i="9"/>
  <c r="I2551" i="9"/>
  <c r="I2552" i="9"/>
  <c r="I2553" i="9"/>
  <c r="I2554" i="9"/>
  <c r="I2555" i="9"/>
  <c r="I2556" i="9"/>
  <c r="I2557" i="9"/>
  <c r="I2558" i="9"/>
  <c r="I2559" i="9"/>
  <c r="I2560" i="9"/>
  <c r="I2561" i="9"/>
  <c r="I2562" i="9"/>
  <c r="I2563" i="9"/>
  <c r="I2564" i="9"/>
  <c r="I2565" i="9"/>
  <c r="I2566" i="9"/>
  <c r="I2567" i="9"/>
  <c r="I2568" i="9"/>
  <c r="I2569" i="9"/>
  <c r="I2570" i="9"/>
  <c r="I2571" i="9"/>
  <c r="I2572" i="9"/>
  <c r="I2573" i="9"/>
  <c r="I2574" i="9"/>
  <c r="I2575" i="9"/>
  <c r="I2576" i="9"/>
  <c r="I2577" i="9"/>
  <c r="I2578" i="9"/>
  <c r="I2579" i="9"/>
  <c r="I2580" i="9"/>
  <c r="I2581" i="9"/>
  <c r="I2582" i="9"/>
  <c r="I2583" i="9"/>
  <c r="I2584" i="9"/>
  <c r="I2585" i="9"/>
  <c r="I2586" i="9"/>
  <c r="I2587" i="9"/>
  <c r="I2588" i="9"/>
  <c r="I2589" i="9"/>
  <c r="I2590" i="9"/>
  <c r="I2591" i="9"/>
  <c r="I2592" i="9"/>
  <c r="I2593" i="9"/>
  <c r="I2594" i="9"/>
  <c r="I2595" i="9"/>
  <c r="I2596" i="9"/>
  <c r="I2597" i="9"/>
  <c r="I2598" i="9"/>
  <c r="I2599" i="9"/>
  <c r="I2600" i="9"/>
  <c r="I2601" i="9"/>
  <c r="I2602" i="9"/>
  <c r="I2603" i="9"/>
  <c r="I2604" i="9"/>
  <c r="I2605" i="9"/>
  <c r="I2606" i="9"/>
  <c r="I2607" i="9"/>
  <c r="I2608" i="9"/>
  <c r="I2609" i="9"/>
  <c r="I2610" i="9"/>
  <c r="I2611" i="9"/>
  <c r="I2612" i="9"/>
  <c r="I2613" i="9"/>
  <c r="I2614" i="9"/>
  <c r="I2615" i="9"/>
  <c r="I2616" i="9"/>
  <c r="I2617" i="9"/>
  <c r="I2618" i="9"/>
  <c r="I2619" i="9"/>
  <c r="I2620" i="9"/>
  <c r="I2621" i="9"/>
  <c r="I2622" i="9"/>
  <c r="I2623" i="9"/>
  <c r="I2624" i="9"/>
  <c r="I2625" i="9"/>
  <c r="I2626" i="9"/>
  <c r="I2627" i="9"/>
  <c r="I2628" i="9"/>
  <c r="I2629" i="9"/>
  <c r="I2630" i="9"/>
  <c r="I2631" i="9"/>
  <c r="I2632" i="9"/>
  <c r="I2633" i="9"/>
  <c r="I2634" i="9"/>
  <c r="I2635" i="9"/>
  <c r="I2636" i="9"/>
  <c r="I2637" i="9"/>
  <c r="I2638" i="9"/>
  <c r="I2639" i="9"/>
  <c r="I2640" i="9"/>
  <c r="I2641" i="9"/>
  <c r="I2642" i="9"/>
  <c r="I2643" i="9"/>
  <c r="I2644" i="9"/>
  <c r="I2645" i="9"/>
  <c r="I2646" i="9"/>
  <c r="I2647" i="9"/>
  <c r="I2648" i="9"/>
  <c r="I2649" i="9"/>
  <c r="I2650" i="9"/>
  <c r="I2651" i="9"/>
  <c r="I2652" i="9"/>
  <c r="I2653" i="9"/>
  <c r="I2654" i="9"/>
  <c r="I2655" i="9"/>
  <c r="I2656" i="9"/>
  <c r="I2657" i="9"/>
  <c r="I2658" i="9"/>
  <c r="I2659" i="9"/>
  <c r="I2660" i="9"/>
  <c r="I2661" i="9"/>
  <c r="I2662" i="9"/>
  <c r="I2663" i="9"/>
  <c r="I2664" i="9"/>
  <c r="I2665" i="9"/>
  <c r="I2666" i="9"/>
  <c r="I2667" i="9"/>
  <c r="I2668" i="9"/>
  <c r="I2669" i="9"/>
  <c r="I2670" i="9"/>
  <c r="I2671" i="9"/>
  <c r="I2672" i="9"/>
  <c r="I2673" i="9"/>
  <c r="I2674" i="9"/>
  <c r="I2675" i="9"/>
  <c r="I2676" i="9"/>
  <c r="I2677" i="9"/>
  <c r="I2678" i="9"/>
  <c r="I2679" i="9"/>
  <c r="I2680" i="9"/>
  <c r="I2681" i="9"/>
  <c r="I2682" i="9"/>
  <c r="I2683" i="9"/>
  <c r="I2684" i="9"/>
  <c r="I2685" i="9"/>
  <c r="I2686" i="9"/>
  <c r="I2687" i="9"/>
  <c r="I2688" i="9"/>
  <c r="I2689" i="9"/>
  <c r="I2690" i="9"/>
  <c r="I2691" i="9"/>
  <c r="I2692" i="9"/>
  <c r="I2693" i="9"/>
  <c r="I2694" i="9"/>
  <c r="I2695" i="9"/>
  <c r="I2696" i="9"/>
  <c r="I2697" i="9"/>
  <c r="I2698" i="9"/>
  <c r="I2699" i="9"/>
  <c r="I2700" i="9"/>
  <c r="I2701" i="9"/>
  <c r="I2702" i="9"/>
  <c r="I2703" i="9"/>
  <c r="I2704" i="9"/>
  <c r="I2705" i="9"/>
  <c r="I2706" i="9"/>
  <c r="I2707" i="9"/>
  <c r="I2708" i="9"/>
  <c r="I2709" i="9"/>
  <c r="I2710" i="9"/>
  <c r="I2711" i="9"/>
  <c r="I2712" i="9"/>
  <c r="I2713" i="9"/>
  <c r="I2714" i="9"/>
  <c r="I2715" i="9"/>
  <c r="I2716" i="9"/>
  <c r="I2717" i="9"/>
  <c r="I2718" i="9"/>
  <c r="I2719" i="9"/>
  <c r="I2720" i="9"/>
  <c r="I2721" i="9"/>
  <c r="I2722" i="9"/>
  <c r="I2723" i="9"/>
  <c r="I2724" i="9"/>
  <c r="I2725" i="9"/>
  <c r="I2726" i="9"/>
  <c r="I2727" i="9"/>
  <c r="I2728" i="9"/>
  <c r="I2729" i="9"/>
  <c r="I2730" i="9"/>
  <c r="I2731" i="9"/>
  <c r="I2732" i="9"/>
  <c r="I2733" i="9"/>
  <c r="I2734" i="9"/>
  <c r="I2735" i="9"/>
  <c r="I2736" i="9"/>
  <c r="I2737" i="9"/>
  <c r="I2738" i="9"/>
  <c r="I2739" i="9"/>
  <c r="I2740" i="9"/>
  <c r="I2741" i="9"/>
  <c r="I2742" i="9"/>
  <c r="I2743" i="9"/>
  <c r="I2744" i="9"/>
  <c r="I2745" i="9"/>
  <c r="I2746" i="9"/>
  <c r="I2747" i="9"/>
  <c r="I2748" i="9"/>
  <c r="I2749" i="9"/>
  <c r="I2750" i="9"/>
  <c r="I2751" i="9"/>
  <c r="I2752" i="9"/>
  <c r="I2753" i="9"/>
  <c r="I2754" i="9"/>
  <c r="I2755" i="9"/>
  <c r="I2756" i="9"/>
  <c r="I2757" i="9"/>
  <c r="I2758" i="9"/>
  <c r="I2759" i="9"/>
  <c r="I2760" i="9"/>
  <c r="I2761" i="9"/>
  <c r="I2762" i="9"/>
  <c r="I2763" i="9"/>
  <c r="I2764" i="9"/>
  <c r="I2765" i="9"/>
  <c r="I2766" i="9"/>
  <c r="I2767" i="9"/>
  <c r="I2768" i="9"/>
  <c r="I2769" i="9"/>
  <c r="I2770" i="9"/>
  <c r="I2771" i="9"/>
  <c r="I2772" i="9"/>
  <c r="I2773" i="9"/>
  <c r="I2774" i="9"/>
  <c r="I2775" i="9"/>
  <c r="I2776" i="9"/>
  <c r="I2777" i="9"/>
  <c r="I2778" i="9"/>
  <c r="I2779" i="9"/>
  <c r="I2780" i="9"/>
  <c r="I2781" i="9"/>
  <c r="I2782" i="9"/>
  <c r="I2783" i="9"/>
  <c r="I2784" i="9"/>
  <c r="I2785" i="9"/>
  <c r="I2786" i="9"/>
  <c r="I2787" i="9"/>
  <c r="I2788" i="9"/>
  <c r="I2789" i="9"/>
  <c r="I2790" i="9"/>
  <c r="I2791" i="9"/>
  <c r="I2792" i="9"/>
  <c r="I2793" i="9"/>
  <c r="I2794" i="9"/>
  <c r="I2795" i="9"/>
  <c r="I2796" i="9"/>
  <c r="I2797" i="9"/>
  <c r="I2798" i="9"/>
  <c r="I2799" i="9"/>
  <c r="I2800" i="9"/>
  <c r="I2801" i="9"/>
  <c r="I2802" i="9"/>
  <c r="I2803" i="9"/>
  <c r="I2804" i="9"/>
  <c r="I2805" i="9"/>
  <c r="I2806" i="9"/>
  <c r="I2807" i="9"/>
  <c r="I2808" i="9"/>
  <c r="I2809" i="9"/>
  <c r="I2810" i="9"/>
  <c r="I2811" i="9"/>
  <c r="I2812" i="9"/>
  <c r="I2813" i="9"/>
  <c r="I2814" i="9"/>
  <c r="I2815" i="9"/>
  <c r="I2816" i="9"/>
  <c r="I2817" i="9"/>
  <c r="I2818" i="9"/>
  <c r="I2819" i="9"/>
  <c r="I2820" i="9"/>
  <c r="I2821" i="9"/>
  <c r="I2822" i="9"/>
  <c r="I2823" i="9"/>
  <c r="I2824" i="9"/>
  <c r="I2825" i="9"/>
  <c r="I2826" i="9"/>
  <c r="I2827" i="9"/>
  <c r="I2828" i="9"/>
  <c r="I2829" i="9"/>
  <c r="I2830" i="9"/>
  <c r="I2831" i="9"/>
  <c r="I2832" i="9"/>
  <c r="I2833" i="9"/>
  <c r="I2834" i="9"/>
  <c r="I2835" i="9"/>
  <c r="I2836" i="9"/>
  <c r="I2837" i="9"/>
  <c r="I2838" i="9"/>
  <c r="I2839" i="9"/>
  <c r="I2840" i="9"/>
  <c r="I2841" i="9"/>
  <c r="I2842" i="9"/>
  <c r="I2843" i="9"/>
  <c r="I2844" i="9"/>
  <c r="I2845" i="9"/>
  <c r="I2846" i="9"/>
  <c r="I2847" i="9"/>
  <c r="I2848" i="9"/>
  <c r="I2849" i="9"/>
  <c r="I2850" i="9"/>
  <c r="I2851" i="9"/>
  <c r="I2852" i="9"/>
  <c r="I2853" i="9"/>
  <c r="I2854" i="9"/>
  <c r="I2855" i="9"/>
  <c r="I2856" i="9"/>
  <c r="I2857" i="9"/>
  <c r="I2858" i="9"/>
  <c r="I2859" i="9"/>
  <c r="I2860" i="9"/>
  <c r="I2861" i="9"/>
  <c r="I2862" i="9"/>
  <c r="I2863" i="9"/>
  <c r="I2864" i="9"/>
  <c r="I2865" i="9"/>
  <c r="I2866" i="9"/>
  <c r="I2867" i="9"/>
  <c r="I2868" i="9"/>
  <c r="I2869" i="9"/>
  <c r="I2870" i="9"/>
  <c r="I2871" i="9"/>
  <c r="I2872" i="9"/>
  <c r="I2873" i="9"/>
  <c r="I2874" i="9"/>
  <c r="I2875" i="9"/>
  <c r="I2876" i="9"/>
  <c r="I2877" i="9"/>
  <c r="I2878" i="9"/>
  <c r="I2879" i="9"/>
  <c r="I2880" i="9"/>
  <c r="I2881" i="9"/>
  <c r="I2882" i="9"/>
  <c r="I2883" i="9"/>
  <c r="I2884" i="9"/>
  <c r="I2885" i="9"/>
  <c r="I2886" i="9"/>
  <c r="I2887" i="9"/>
  <c r="I2888" i="9"/>
  <c r="I2889" i="9"/>
  <c r="I2890" i="9"/>
  <c r="I2891" i="9"/>
  <c r="I2892" i="9"/>
  <c r="I2893" i="9"/>
  <c r="I2894" i="9"/>
  <c r="I2895" i="9"/>
  <c r="I2896" i="9"/>
  <c r="I2897" i="9"/>
  <c r="I2898" i="9"/>
  <c r="I2899" i="9"/>
  <c r="I2900" i="9"/>
  <c r="I2901" i="9"/>
  <c r="I2902" i="9"/>
  <c r="I2903" i="9"/>
  <c r="I2904" i="9"/>
  <c r="I2905" i="9"/>
  <c r="I2906" i="9"/>
  <c r="I2907" i="9"/>
  <c r="I2908" i="9"/>
  <c r="I2909" i="9"/>
  <c r="I2910" i="9"/>
  <c r="I2911" i="9"/>
  <c r="I2912" i="9"/>
  <c r="I2913" i="9"/>
  <c r="I2914" i="9"/>
  <c r="I2915" i="9"/>
  <c r="I2916" i="9"/>
  <c r="I2917" i="9"/>
  <c r="I2918" i="9"/>
  <c r="I2919" i="9"/>
  <c r="I2920" i="9"/>
  <c r="I2921" i="9"/>
  <c r="I2922" i="9"/>
  <c r="I2923" i="9"/>
  <c r="I2924" i="9"/>
  <c r="I2925" i="9"/>
  <c r="I2926" i="9"/>
  <c r="I2927" i="9"/>
  <c r="I2928" i="9"/>
  <c r="I2929" i="9"/>
  <c r="I2930" i="9"/>
  <c r="I2931" i="9"/>
  <c r="I2932" i="9"/>
  <c r="I2933" i="9"/>
  <c r="I2934" i="9"/>
  <c r="I2935" i="9"/>
  <c r="I2936" i="9"/>
  <c r="I2937" i="9"/>
  <c r="I2938" i="9"/>
  <c r="I2939" i="9"/>
  <c r="I2940" i="9"/>
  <c r="I2941" i="9"/>
  <c r="I2942" i="9"/>
  <c r="I2943" i="9"/>
  <c r="I2944" i="9"/>
  <c r="I2945" i="9"/>
  <c r="I2946" i="9"/>
  <c r="I2947" i="9"/>
  <c r="I2948" i="9"/>
  <c r="I2949" i="9"/>
  <c r="I2950" i="9"/>
  <c r="I2951" i="9"/>
  <c r="I2952" i="9"/>
  <c r="I2953" i="9"/>
  <c r="I2954" i="9"/>
  <c r="I2955" i="9"/>
  <c r="I2956" i="9"/>
  <c r="I2957" i="9"/>
  <c r="I2958" i="9"/>
  <c r="I2959" i="9"/>
  <c r="I2960" i="9"/>
  <c r="I2961" i="9"/>
  <c r="I2962" i="9"/>
  <c r="I2963" i="9"/>
  <c r="I2964" i="9"/>
  <c r="I2965" i="9"/>
  <c r="I2966" i="9"/>
  <c r="I2967" i="9"/>
  <c r="I2968" i="9"/>
  <c r="I2969" i="9"/>
  <c r="I2970" i="9"/>
  <c r="I2971" i="9"/>
  <c r="I2972" i="9"/>
  <c r="I2973" i="9"/>
  <c r="I2974" i="9"/>
  <c r="I2975" i="9"/>
  <c r="I2976" i="9"/>
  <c r="I2977" i="9"/>
  <c r="I2978" i="9"/>
  <c r="I2979" i="9"/>
  <c r="I2980" i="9"/>
  <c r="I2981" i="9"/>
  <c r="I2982" i="9"/>
  <c r="I2983" i="9"/>
  <c r="I2984" i="9"/>
  <c r="I2985" i="9"/>
  <c r="I2986" i="9"/>
  <c r="I2987" i="9"/>
  <c r="I2988" i="9"/>
  <c r="I2989" i="9"/>
  <c r="I2990" i="9"/>
  <c r="I2991" i="9"/>
  <c r="I2992" i="9"/>
  <c r="I2993" i="9"/>
  <c r="I2994" i="9"/>
  <c r="I2995" i="9"/>
  <c r="I2996" i="9"/>
  <c r="I2997" i="9"/>
  <c r="I2998" i="9"/>
  <c r="I2999" i="9"/>
  <c r="I3000" i="9"/>
  <c r="I3001" i="9"/>
  <c r="I3002" i="9"/>
  <c r="I3003" i="9"/>
  <c r="I3004" i="9"/>
  <c r="I3005" i="9"/>
  <c r="I3006" i="9"/>
  <c r="I3007" i="9"/>
  <c r="I3008" i="9"/>
  <c r="I3009" i="9"/>
  <c r="I3010" i="9"/>
  <c r="I3011" i="9"/>
  <c r="I3012" i="9"/>
  <c r="I3013" i="9"/>
  <c r="I3014" i="9"/>
  <c r="I3015" i="9"/>
  <c r="I3016" i="9"/>
  <c r="I3017" i="9"/>
  <c r="I3018" i="9"/>
  <c r="I3019" i="9"/>
  <c r="I3020" i="9"/>
  <c r="I3021" i="9"/>
  <c r="I3022" i="9"/>
  <c r="I3023" i="9"/>
  <c r="I3024" i="9"/>
  <c r="I3025" i="9"/>
  <c r="I3026" i="9"/>
  <c r="I3027" i="9"/>
  <c r="I3028" i="9"/>
  <c r="I3029" i="9"/>
  <c r="I3030" i="9"/>
  <c r="I3031" i="9"/>
  <c r="I3032" i="9"/>
  <c r="I3033" i="9"/>
  <c r="I3034" i="9"/>
  <c r="I3035" i="9"/>
  <c r="I3036" i="9"/>
  <c r="I3037" i="9"/>
  <c r="I3038" i="9"/>
  <c r="I3039" i="9"/>
  <c r="I3040" i="9"/>
  <c r="I3041" i="9"/>
  <c r="I3042" i="9"/>
  <c r="I3043" i="9"/>
  <c r="I3044" i="9"/>
  <c r="I3045" i="9"/>
  <c r="I3046" i="9"/>
  <c r="I3047" i="9"/>
  <c r="I3048" i="9"/>
  <c r="I3049" i="9"/>
  <c r="I3050" i="9"/>
  <c r="I3051" i="9"/>
  <c r="I3052" i="9"/>
  <c r="I3053" i="9"/>
  <c r="I3054" i="9"/>
  <c r="I3055" i="9"/>
  <c r="I3056" i="9"/>
  <c r="I3057" i="9"/>
  <c r="I3058" i="9"/>
  <c r="I3059" i="9"/>
  <c r="I3060" i="9"/>
  <c r="I3061" i="9"/>
  <c r="I3062" i="9"/>
  <c r="I3063" i="9"/>
  <c r="I3064" i="9"/>
  <c r="I3065" i="9"/>
  <c r="I3066" i="9"/>
  <c r="I3067" i="9"/>
  <c r="I3068" i="9"/>
  <c r="I3069" i="9"/>
  <c r="I3070" i="9"/>
  <c r="I3071" i="9"/>
  <c r="I3072" i="9"/>
  <c r="I3073" i="9"/>
  <c r="I3074" i="9"/>
  <c r="I3075" i="9"/>
  <c r="I3076" i="9"/>
  <c r="I3077" i="9"/>
  <c r="I3078" i="9"/>
  <c r="I3079" i="9"/>
  <c r="I3080" i="9"/>
  <c r="I3081" i="9"/>
  <c r="I3082" i="9"/>
  <c r="I3083" i="9"/>
  <c r="I3084" i="9"/>
  <c r="I3085" i="9"/>
  <c r="I3086" i="9"/>
  <c r="I3087" i="9"/>
  <c r="I3088" i="9"/>
  <c r="I3089" i="9"/>
  <c r="I3090" i="9"/>
  <c r="I3091" i="9"/>
  <c r="I3092" i="9"/>
  <c r="I3093" i="9"/>
  <c r="I3094" i="9"/>
  <c r="I3095" i="9"/>
  <c r="I3096" i="9"/>
  <c r="I3097" i="9"/>
  <c r="I3098" i="9"/>
  <c r="I3099" i="9"/>
  <c r="I3100" i="9"/>
  <c r="I3101" i="9"/>
  <c r="I3102" i="9"/>
  <c r="I3103" i="9"/>
  <c r="I3104" i="9"/>
  <c r="I3105" i="9"/>
  <c r="I3106" i="9"/>
  <c r="I3107" i="9"/>
  <c r="I3108" i="9"/>
  <c r="I3109" i="9"/>
  <c r="I3110" i="9"/>
  <c r="I3111" i="9"/>
  <c r="I3112" i="9"/>
  <c r="I3113" i="9"/>
  <c r="I3114" i="9"/>
  <c r="I3115" i="9"/>
  <c r="I3116" i="9"/>
  <c r="I3117" i="9"/>
  <c r="I3118" i="9"/>
  <c r="I3119" i="9"/>
  <c r="I3120" i="9"/>
  <c r="I3121" i="9"/>
  <c r="I3122" i="9"/>
  <c r="I3123" i="9"/>
  <c r="I3124" i="9"/>
  <c r="I3125" i="9"/>
  <c r="I3126" i="9"/>
  <c r="I3127" i="9"/>
  <c r="I3128" i="9"/>
  <c r="I3129" i="9"/>
  <c r="I3130" i="9"/>
  <c r="I3131" i="9"/>
  <c r="I3132" i="9"/>
  <c r="I3133" i="9"/>
  <c r="I3134" i="9"/>
  <c r="I3135" i="9"/>
  <c r="I3136" i="9"/>
  <c r="I3137" i="9"/>
  <c r="I3138" i="9"/>
  <c r="I3139" i="9"/>
  <c r="I3140" i="9"/>
  <c r="I3141" i="9"/>
  <c r="I3142" i="9"/>
  <c r="I3143" i="9"/>
  <c r="I3144" i="9"/>
  <c r="I3145" i="9"/>
  <c r="I3146" i="9"/>
  <c r="I3147" i="9"/>
  <c r="I3148" i="9"/>
  <c r="I3149" i="9"/>
  <c r="I3150" i="9"/>
  <c r="I3151" i="9"/>
  <c r="I3152" i="9"/>
  <c r="I3153" i="9"/>
  <c r="I3154" i="9"/>
  <c r="I3155" i="9"/>
  <c r="I3156" i="9"/>
  <c r="I3157" i="9"/>
  <c r="I3158" i="9"/>
  <c r="I3159" i="9"/>
  <c r="I3160" i="9"/>
  <c r="I3161" i="9"/>
  <c r="I3162" i="9"/>
  <c r="I3163" i="9"/>
  <c r="I3164" i="9"/>
  <c r="I3165" i="9"/>
  <c r="I3166" i="9"/>
  <c r="I3167" i="9"/>
  <c r="I3168" i="9"/>
  <c r="I3169" i="9"/>
  <c r="I3170" i="9"/>
  <c r="I3171" i="9"/>
  <c r="I3172" i="9"/>
  <c r="I3173" i="9"/>
  <c r="I3174" i="9"/>
  <c r="I3175" i="9"/>
  <c r="I3176" i="9"/>
  <c r="I3177" i="9"/>
  <c r="I3178" i="9"/>
  <c r="I3179" i="9"/>
  <c r="I3180" i="9"/>
  <c r="I3181" i="9"/>
  <c r="I3182" i="9"/>
  <c r="I3183" i="9"/>
  <c r="I3184" i="9"/>
  <c r="I3185" i="9"/>
  <c r="I3186" i="9"/>
  <c r="I3187" i="9"/>
  <c r="I3188" i="9"/>
  <c r="I3189" i="9"/>
  <c r="I3190" i="9"/>
  <c r="I3191" i="9"/>
  <c r="I3192" i="9"/>
  <c r="I3193" i="9"/>
  <c r="I3194" i="9"/>
  <c r="I3195" i="9"/>
  <c r="I3196" i="9"/>
  <c r="I3197" i="9"/>
  <c r="I3198" i="9"/>
  <c r="I3199" i="9"/>
  <c r="I3200" i="9"/>
  <c r="I3201" i="9"/>
  <c r="I3202" i="9"/>
  <c r="I3203" i="9"/>
  <c r="I3204" i="9"/>
  <c r="I3205" i="9"/>
  <c r="I3206" i="9"/>
  <c r="I3207" i="9"/>
  <c r="I3208" i="9"/>
  <c r="I3209" i="9"/>
  <c r="I3210" i="9"/>
  <c r="I3211" i="9"/>
  <c r="I3212" i="9"/>
  <c r="I3213" i="9"/>
  <c r="I3214" i="9"/>
  <c r="I3215" i="9"/>
  <c r="I3216" i="9"/>
  <c r="I3217" i="9"/>
  <c r="I3218" i="9"/>
  <c r="I3219" i="9"/>
  <c r="I3220" i="9"/>
  <c r="I3221" i="9"/>
  <c r="I3222" i="9"/>
  <c r="I3223" i="9"/>
  <c r="I3224" i="9"/>
  <c r="I3225" i="9"/>
  <c r="I3226" i="9"/>
  <c r="I3227" i="9"/>
  <c r="I3228" i="9"/>
  <c r="I3229" i="9"/>
  <c r="I3230" i="9"/>
  <c r="I3231" i="9"/>
  <c r="I3232" i="9"/>
  <c r="I3233" i="9"/>
  <c r="I3234" i="9"/>
  <c r="I3235" i="9"/>
  <c r="I3236" i="9"/>
  <c r="I3237" i="9"/>
  <c r="I3238" i="9"/>
  <c r="I3239" i="9"/>
  <c r="I3240" i="9"/>
  <c r="I3241" i="9"/>
  <c r="I3242" i="9"/>
  <c r="I3243" i="9"/>
  <c r="I3244" i="9"/>
  <c r="I3245" i="9"/>
  <c r="I3246" i="9"/>
  <c r="I3247" i="9"/>
  <c r="I3248" i="9"/>
  <c r="I3249" i="9"/>
  <c r="I3250" i="9"/>
  <c r="I3251" i="9"/>
  <c r="I3252" i="9"/>
  <c r="I3253" i="9"/>
  <c r="I3254" i="9"/>
  <c r="I3255" i="9"/>
  <c r="I3256" i="9"/>
  <c r="I3257" i="9"/>
  <c r="I3258" i="9"/>
  <c r="I3259" i="9"/>
  <c r="I3260" i="9"/>
  <c r="I3261" i="9"/>
  <c r="I3262" i="9"/>
  <c r="I3263" i="9"/>
  <c r="I3264" i="9"/>
  <c r="I3265" i="9"/>
  <c r="I3266" i="9"/>
  <c r="I3267" i="9"/>
  <c r="I3268" i="9"/>
  <c r="I3269" i="9"/>
  <c r="I3270" i="9"/>
  <c r="I3271" i="9"/>
  <c r="I3272" i="9"/>
  <c r="I3273" i="9"/>
  <c r="I3274" i="9"/>
  <c r="I3275" i="9"/>
  <c r="I3276" i="9"/>
  <c r="I3277" i="9"/>
  <c r="I3278" i="9"/>
  <c r="I3279" i="9"/>
  <c r="I3280" i="9"/>
  <c r="I3281" i="9"/>
  <c r="I3282" i="9"/>
  <c r="I3283" i="9"/>
  <c r="I3284" i="9"/>
  <c r="I3285" i="9"/>
  <c r="I3286" i="9"/>
  <c r="I3287" i="9"/>
  <c r="I3288" i="9"/>
  <c r="I3289" i="9"/>
  <c r="I3290" i="9"/>
  <c r="I3291" i="9"/>
  <c r="I3292" i="9"/>
  <c r="I3293" i="9"/>
  <c r="I3294" i="9"/>
  <c r="I3295" i="9"/>
  <c r="I3296" i="9"/>
  <c r="I3297" i="9"/>
  <c r="I3298" i="9"/>
  <c r="I3299" i="9"/>
  <c r="I3300" i="9"/>
  <c r="I3301" i="9"/>
  <c r="I3302" i="9"/>
  <c r="I3303" i="9"/>
  <c r="I3304" i="9"/>
  <c r="I3305" i="9"/>
  <c r="I3306" i="9"/>
  <c r="I3307" i="9"/>
  <c r="I3308" i="9"/>
  <c r="I3309" i="9"/>
  <c r="I3310" i="9"/>
  <c r="I3311" i="9"/>
  <c r="I3312" i="9"/>
  <c r="I3313" i="9"/>
  <c r="I3314" i="9"/>
  <c r="I3315" i="9"/>
  <c r="I3316" i="9"/>
  <c r="I3317" i="9"/>
  <c r="I3318" i="9"/>
  <c r="I3319" i="9"/>
  <c r="I3320" i="9"/>
  <c r="I3321" i="9"/>
  <c r="I3322" i="9"/>
  <c r="I3323" i="9"/>
  <c r="I3324" i="9"/>
  <c r="I3325" i="9"/>
  <c r="I3326" i="9"/>
  <c r="I3327" i="9"/>
  <c r="I3328" i="9"/>
  <c r="I3329" i="9"/>
  <c r="I3330" i="9"/>
  <c r="I3331" i="9"/>
  <c r="I3332" i="9"/>
  <c r="I3333" i="9"/>
  <c r="I3334" i="9"/>
  <c r="I3335" i="9"/>
  <c r="I3336" i="9"/>
  <c r="I3337" i="9"/>
  <c r="I3338" i="9"/>
  <c r="I3339" i="9"/>
  <c r="I3340" i="9"/>
  <c r="I3341" i="9"/>
  <c r="I3342" i="9"/>
  <c r="I3343" i="9"/>
  <c r="I3344" i="9"/>
  <c r="I3345" i="9"/>
  <c r="I3346" i="9"/>
  <c r="I3347" i="9"/>
  <c r="I3348" i="9"/>
  <c r="I3349" i="9"/>
  <c r="I3350" i="9"/>
  <c r="I3351" i="9"/>
  <c r="I3352" i="9"/>
  <c r="I3353" i="9"/>
  <c r="I3354" i="9"/>
  <c r="I3355" i="9"/>
  <c r="I3356" i="9"/>
  <c r="I3357" i="9"/>
  <c r="I3358" i="9"/>
  <c r="I3359" i="9"/>
  <c r="I3360" i="9"/>
  <c r="I3361" i="9"/>
  <c r="I3362" i="9"/>
  <c r="I3363" i="9"/>
  <c r="I3364" i="9"/>
  <c r="I3365" i="9"/>
  <c r="I3366" i="9"/>
  <c r="I3367" i="9"/>
  <c r="I3368" i="9"/>
  <c r="I3369" i="9"/>
  <c r="I3370" i="9"/>
  <c r="I3371" i="9"/>
  <c r="I3372" i="9"/>
  <c r="I3373" i="9"/>
  <c r="I3374" i="9"/>
  <c r="I3375" i="9"/>
  <c r="I3376" i="9"/>
  <c r="I3377" i="9"/>
  <c r="I3378" i="9"/>
  <c r="I3379" i="9"/>
  <c r="I3380" i="9"/>
  <c r="I3381" i="9"/>
  <c r="I3382" i="9"/>
  <c r="I3383" i="9"/>
  <c r="I3384" i="9"/>
  <c r="I3385" i="9"/>
  <c r="I3386" i="9"/>
  <c r="I3387" i="9"/>
  <c r="I3388" i="9"/>
  <c r="I3389" i="9"/>
  <c r="I3390" i="9"/>
  <c r="I3391" i="9"/>
  <c r="I3392" i="9"/>
  <c r="I3393" i="9"/>
  <c r="I3394" i="9"/>
  <c r="I3395" i="9"/>
  <c r="I3396" i="9"/>
  <c r="I3397" i="9"/>
  <c r="I3398" i="9"/>
  <c r="I3399" i="9"/>
  <c r="I3400" i="9"/>
  <c r="I3401" i="9"/>
  <c r="I3402" i="9"/>
  <c r="I3403" i="9"/>
  <c r="I3404" i="9"/>
  <c r="I3405" i="9"/>
  <c r="I3406" i="9"/>
  <c r="I3407" i="9"/>
  <c r="I3408" i="9"/>
  <c r="I3409" i="9"/>
  <c r="I3410" i="9"/>
  <c r="I3411" i="9"/>
  <c r="I3412" i="9"/>
  <c r="I3413" i="9"/>
  <c r="I3414" i="9"/>
  <c r="I3415" i="9"/>
  <c r="I3416" i="9"/>
  <c r="I3417" i="9"/>
  <c r="I3418" i="9"/>
  <c r="I3419" i="9"/>
  <c r="I3420" i="9"/>
  <c r="I3421" i="9"/>
  <c r="I3422" i="9"/>
  <c r="I3423" i="9"/>
  <c r="I3424" i="9"/>
  <c r="I3425" i="9"/>
  <c r="I3426" i="9"/>
  <c r="I3427" i="9"/>
  <c r="I3428" i="9"/>
  <c r="I3429" i="9"/>
  <c r="I3430" i="9"/>
  <c r="I3431" i="9"/>
  <c r="I3432" i="9"/>
  <c r="I3433" i="9"/>
  <c r="I3434" i="9"/>
  <c r="I3435" i="9"/>
  <c r="I3436" i="9"/>
  <c r="I3437" i="9"/>
  <c r="I3438" i="9"/>
  <c r="I3439" i="9"/>
  <c r="I3440" i="9"/>
  <c r="I3441" i="9"/>
  <c r="I3442" i="9"/>
  <c r="I3443" i="9"/>
  <c r="I3444" i="9"/>
  <c r="I3445" i="9"/>
  <c r="I3446" i="9"/>
  <c r="I3447" i="9"/>
  <c r="I3448" i="9"/>
  <c r="I3449" i="9"/>
  <c r="I3450" i="9"/>
  <c r="I3451" i="9"/>
  <c r="I3452" i="9"/>
  <c r="I3453" i="9"/>
  <c r="I3454" i="9"/>
  <c r="I3455" i="9"/>
  <c r="I3456" i="9"/>
  <c r="I3457" i="9"/>
  <c r="I3458" i="9"/>
  <c r="I3459" i="9"/>
  <c r="I3460" i="9"/>
  <c r="I3461" i="9"/>
  <c r="I3462" i="9"/>
  <c r="I3463" i="9"/>
  <c r="I3464" i="9"/>
  <c r="I3465" i="9"/>
  <c r="I3466" i="9"/>
  <c r="I3467" i="9"/>
  <c r="I3468" i="9"/>
  <c r="I3469" i="9"/>
  <c r="I3470" i="9"/>
  <c r="I3471" i="9"/>
  <c r="I3472" i="9"/>
  <c r="I3473" i="9"/>
  <c r="I3474" i="9"/>
  <c r="I3475" i="9"/>
  <c r="I3476" i="9"/>
  <c r="I3477" i="9"/>
  <c r="I3478" i="9"/>
  <c r="I3479" i="9"/>
  <c r="I3480" i="9"/>
  <c r="I3481" i="9"/>
  <c r="I3482" i="9"/>
  <c r="I3483" i="9"/>
  <c r="I3484" i="9"/>
  <c r="I3485" i="9"/>
  <c r="I3486" i="9"/>
  <c r="I3487" i="9"/>
  <c r="I3488" i="9"/>
  <c r="I3489" i="9"/>
  <c r="I3490" i="9"/>
  <c r="I3491" i="9"/>
  <c r="I3492" i="9"/>
  <c r="I3493" i="9"/>
  <c r="I3494" i="9"/>
  <c r="I3495" i="9"/>
  <c r="I3496" i="9"/>
  <c r="I3497" i="9"/>
  <c r="I3498" i="9"/>
  <c r="I3499" i="9"/>
  <c r="I3500" i="9"/>
  <c r="I3501" i="9"/>
  <c r="I3502" i="9"/>
  <c r="I3503" i="9"/>
  <c r="I3504" i="9"/>
  <c r="I3505" i="9"/>
  <c r="I3506" i="9"/>
  <c r="I3507" i="9"/>
  <c r="I3508" i="9"/>
  <c r="I3509" i="9"/>
  <c r="I3510" i="9"/>
  <c r="I3511" i="9"/>
  <c r="I3512" i="9"/>
  <c r="I3513" i="9"/>
  <c r="I3514" i="9"/>
  <c r="I3515" i="9"/>
  <c r="I3516" i="9"/>
  <c r="I3517" i="9"/>
  <c r="I3518" i="9"/>
  <c r="I3519" i="9"/>
  <c r="I3520" i="9"/>
  <c r="I3521" i="9"/>
  <c r="I3522" i="9"/>
  <c r="I3523" i="9"/>
  <c r="I3524" i="9"/>
  <c r="I3525" i="9"/>
  <c r="I3526" i="9"/>
  <c r="I3527" i="9"/>
  <c r="I3528" i="9"/>
  <c r="I3529" i="9"/>
  <c r="I3530" i="9"/>
  <c r="I3531" i="9"/>
  <c r="I3532" i="9"/>
  <c r="I3533" i="9"/>
  <c r="I3534" i="9"/>
  <c r="I3535" i="9"/>
  <c r="I3536" i="9"/>
  <c r="I3537" i="9"/>
  <c r="I3538" i="9"/>
  <c r="I3539" i="9"/>
  <c r="I3540" i="9"/>
  <c r="I3541" i="9"/>
  <c r="I3542" i="9"/>
  <c r="I3543" i="9"/>
  <c r="I3544" i="9"/>
  <c r="I3545" i="9"/>
  <c r="I3546" i="9"/>
  <c r="I3547" i="9"/>
  <c r="I3548" i="9"/>
  <c r="I3549" i="9"/>
  <c r="I3550" i="9"/>
  <c r="I3551" i="9"/>
  <c r="I3552" i="9"/>
  <c r="I3553" i="9"/>
  <c r="I3554" i="9"/>
  <c r="I3555" i="9"/>
  <c r="I3556" i="9"/>
  <c r="I3557" i="9"/>
  <c r="I3558" i="9"/>
  <c r="I3559" i="9"/>
  <c r="I3560" i="9"/>
  <c r="I3561" i="9"/>
  <c r="I3562" i="9"/>
  <c r="I3563" i="9"/>
  <c r="I3564" i="9"/>
  <c r="I3565" i="9"/>
  <c r="I3566" i="9"/>
  <c r="I3567" i="9"/>
  <c r="I3568" i="9"/>
  <c r="I3569" i="9"/>
  <c r="I3570" i="9"/>
  <c r="I3571" i="9"/>
  <c r="I3572" i="9"/>
  <c r="I3573" i="9"/>
  <c r="I3574" i="9"/>
  <c r="I3575" i="9"/>
  <c r="I3576" i="9"/>
  <c r="I3577" i="9"/>
  <c r="I3578" i="9"/>
  <c r="I3579" i="9"/>
  <c r="I3580" i="9"/>
  <c r="I3581" i="9"/>
  <c r="I3582" i="9"/>
  <c r="I3583" i="9"/>
  <c r="I3584" i="9"/>
  <c r="I3585" i="9"/>
  <c r="I3586" i="9"/>
  <c r="I3587" i="9"/>
  <c r="I3588" i="9"/>
  <c r="I3589" i="9"/>
  <c r="I3590" i="9"/>
  <c r="I3591" i="9"/>
  <c r="I3592" i="9"/>
  <c r="I3593" i="9"/>
  <c r="I3594" i="9"/>
  <c r="I3595" i="9"/>
  <c r="I3596" i="9"/>
  <c r="I3597" i="9"/>
  <c r="I3598" i="9"/>
  <c r="I3599" i="9"/>
  <c r="I3600" i="9"/>
  <c r="I3601" i="9"/>
  <c r="I3602" i="9"/>
  <c r="I3603" i="9"/>
  <c r="I3604" i="9"/>
  <c r="I3605" i="9"/>
  <c r="I3606" i="9"/>
  <c r="I3607" i="9"/>
  <c r="I3608" i="9"/>
  <c r="I3609" i="9"/>
  <c r="I3610" i="9"/>
  <c r="I3611" i="9"/>
  <c r="I3612" i="9"/>
  <c r="I3613" i="9"/>
  <c r="I3614" i="9"/>
  <c r="I3615" i="9"/>
  <c r="I3616" i="9"/>
  <c r="I3617" i="9"/>
  <c r="I3618" i="9"/>
  <c r="I3619" i="9"/>
  <c r="I3620" i="9"/>
  <c r="I3621" i="9"/>
  <c r="I3622" i="9"/>
  <c r="I3623" i="9"/>
  <c r="I3624" i="9"/>
  <c r="I3625" i="9"/>
  <c r="I3626" i="9"/>
  <c r="I3627" i="9"/>
  <c r="I3628" i="9"/>
  <c r="I3629" i="9"/>
  <c r="I3630" i="9"/>
  <c r="I3631" i="9"/>
  <c r="I3632" i="9"/>
  <c r="I3633" i="9"/>
  <c r="I3634" i="9"/>
  <c r="I3635" i="9"/>
  <c r="I3636" i="9"/>
  <c r="I3637" i="9"/>
  <c r="I3638" i="9"/>
  <c r="I3639" i="9"/>
  <c r="I3640" i="9"/>
  <c r="I3641" i="9"/>
  <c r="I3642" i="9"/>
  <c r="I3643" i="9"/>
  <c r="I3644" i="9"/>
  <c r="I3645" i="9"/>
  <c r="I3646" i="9"/>
  <c r="I3647" i="9"/>
  <c r="I3648" i="9"/>
  <c r="I3649" i="9"/>
  <c r="I3650" i="9"/>
  <c r="I3651" i="9"/>
  <c r="I3652" i="9"/>
  <c r="I3653" i="9"/>
  <c r="I3654" i="9"/>
  <c r="I3655" i="9"/>
  <c r="I3656" i="9"/>
  <c r="I3657" i="9"/>
  <c r="I3658" i="9"/>
  <c r="I3659" i="9"/>
  <c r="I3660" i="9"/>
  <c r="I3661" i="9"/>
  <c r="I3662" i="9"/>
  <c r="I3663" i="9"/>
  <c r="I3664" i="9"/>
  <c r="I3665" i="9"/>
  <c r="I3666" i="9"/>
  <c r="I3667" i="9"/>
  <c r="I3668" i="9"/>
  <c r="I3669" i="9"/>
  <c r="I3670" i="9"/>
  <c r="I3671" i="9"/>
  <c r="I3672" i="9"/>
  <c r="I3673" i="9"/>
  <c r="I3674" i="9"/>
  <c r="I3675" i="9"/>
  <c r="I3676" i="9"/>
  <c r="I3677" i="9"/>
  <c r="I3678" i="9"/>
  <c r="I3679" i="9"/>
  <c r="I3680" i="9"/>
  <c r="I3681" i="9"/>
  <c r="I3682" i="9"/>
  <c r="I3683" i="9"/>
  <c r="I3684" i="9"/>
  <c r="I3685" i="9"/>
  <c r="I3686" i="9"/>
  <c r="I3687" i="9"/>
  <c r="I3688" i="9"/>
  <c r="I3689" i="9"/>
  <c r="I3690" i="9"/>
  <c r="I3691" i="9"/>
  <c r="I3692" i="9"/>
  <c r="I3693" i="9"/>
  <c r="I3694" i="9"/>
  <c r="I3695" i="9"/>
  <c r="I3696" i="9"/>
  <c r="I3697" i="9"/>
  <c r="I3698" i="9"/>
  <c r="I3699" i="9"/>
  <c r="I3700" i="9"/>
  <c r="I3701" i="9"/>
  <c r="I3702" i="9"/>
  <c r="I3703" i="9"/>
  <c r="I3704" i="9"/>
  <c r="I3705" i="9"/>
  <c r="I3706" i="9"/>
  <c r="I3707" i="9"/>
  <c r="I3708" i="9"/>
  <c r="I3709" i="9"/>
  <c r="I3710" i="9"/>
  <c r="I3711" i="9"/>
  <c r="I3712" i="9"/>
  <c r="I3713" i="9"/>
  <c r="I3714" i="9"/>
  <c r="I3715" i="9"/>
  <c r="I3716" i="9"/>
  <c r="I3717" i="9"/>
  <c r="I3718" i="9"/>
  <c r="I3719" i="9"/>
  <c r="I3720" i="9"/>
  <c r="I3721" i="9"/>
  <c r="I3722" i="9"/>
  <c r="I3723" i="9"/>
  <c r="I3724" i="9"/>
  <c r="I3725" i="9"/>
  <c r="I3726" i="9"/>
  <c r="I3727" i="9"/>
  <c r="I3728" i="9"/>
  <c r="I3729" i="9"/>
  <c r="I3730" i="9"/>
  <c r="I3731" i="9"/>
  <c r="I3732" i="9"/>
  <c r="I3733" i="9"/>
  <c r="I3734" i="9"/>
  <c r="I3735" i="9"/>
  <c r="I3736" i="9"/>
  <c r="I3737" i="9"/>
  <c r="I3738" i="9"/>
  <c r="I3739" i="9"/>
  <c r="I3740" i="9"/>
  <c r="I3741" i="9"/>
  <c r="I3742" i="9"/>
  <c r="I3743" i="9"/>
  <c r="I3744" i="9"/>
  <c r="I3745" i="9"/>
  <c r="I3746" i="9"/>
  <c r="I3747" i="9"/>
  <c r="I3748" i="9"/>
  <c r="I3749" i="9"/>
  <c r="I3750" i="9"/>
  <c r="I3751" i="9"/>
  <c r="I3752" i="9"/>
  <c r="I3753" i="9"/>
  <c r="I3754" i="9"/>
  <c r="I3755" i="9"/>
  <c r="I3756" i="9"/>
  <c r="I3757" i="9"/>
  <c r="I3758" i="9"/>
  <c r="I3759" i="9"/>
  <c r="I3760" i="9"/>
  <c r="I3761" i="9"/>
  <c r="I3762" i="9"/>
  <c r="I3763" i="9"/>
  <c r="I3764" i="9"/>
  <c r="I3765" i="9"/>
  <c r="I3766" i="9"/>
  <c r="I3767" i="9"/>
  <c r="I3768" i="9"/>
  <c r="I3769" i="9"/>
  <c r="I3770" i="9"/>
  <c r="I3771" i="9"/>
  <c r="I3772" i="9"/>
  <c r="I3773" i="9"/>
  <c r="I3774" i="9"/>
  <c r="I3775" i="9"/>
  <c r="I3776" i="9"/>
  <c r="I3777" i="9"/>
  <c r="I3778" i="9"/>
  <c r="I3779" i="9"/>
  <c r="I3780" i="9"/>
  <c r="I3781" i="9"/>
  <c r="I3782" i="9"/>
  <c r="I3783" i="9"/>
  <c r="I3784" i="9"/>
  <c r="I3785" i="9"/>
  <c r="I3786" i="9"/>
  <c r="I3787" i="9"/>
  <c r="I3788" i="9"/>
  <c r="I3789" i="9"/>
  <c r="I3790" i="9"/>
  <c r="I3791" i="9"/>
  <c r="I3792" i="9"/>
  <c r="I3793" i="9"/>
  <c r="I3794" i="9"/>
  <c r="I3795" i="9"/>
  <c r="I3796" i="9"/>
  <c r="I3797" i="9"/>
  <c r="I3798" i="9"/>
  <c r="I3799" i="9"/>
  <c r="I3800" i="9"/>
  <c r="I3801" i="9"/>
  <c r="I3802" i="9"/>
  <c r="I3803" i="9"/>
  <c r="I3804" i="9"/>
  <c r="I3805" i="9"/>
  <c r="I3806" i="9"/>
  <c r="I3807" i="9"/>
  <c r="I3808" i="9"/>
  <c r="I3809" i="9"/>
  <c r="I3810" i="9"/>
  <c r="I3811" i="9"/>
  <c r="I3812" i="9"/>
  <c r="I3813" i="9"/>
  <c r="I3814" i="9"/>
  <c r="I3815" i="9"/>
  <c r="I3816" i="9"/>
  <c r="I3817" i="9"/>
  <c r="I3818" i="9"/>
  <c r="I3819" i="9"/>
  <c r="I3820" i="9"/>
  <c r="I3821" i="9"/>
  <c r="I3822" i="9"/>
  <c r="I3823" i="9"/>
  <c r="I3824" i="9"/>
  <c r="I3825" i="9"/>
  <c r="I3826" i="9"/>
  <c r="I3827" i="9"/>
  <c r="I3828" i="9"/>
  <c r="I3829" i="9"/>
  <c r="I3830" i="9"/>
  <c r="I3831" i="9"/>
  <c r="I3832" i="9"/>
  <c r="I3833" i="9"/>
  <c r="I3834" i="9"/>
  <c r="I3835" i="9"/>
  <c r="I3836" i="9"/>
  <c r="I3837" i="9"/>
  <c r="I3838" i="9"/>
  <c r="I3839" i="9"/>
  <c r="I3840" i="9"/>
  <c r="I3841" i="9"/>
  <c r="I3842" i="9"/>
  <c r="I3843" i="9"/>
  <c r="I3844" i="9"/>
  <c r="I3845" i="9"/>
  <c r="I3846" i="9"/>
  <c r="I3847" i="9"/>
  <c r="I3848" i="9"/>
  <c r="I3849" i="9"/>
  <c r="I3850" i="9"/>
  <c r="I3851" i="9"/>
  <c r="I3852" i="9"/>
  <c r="I3853" i="9"/>
  <c r="I3854" i="9"/>
  <c r="I3855" i="9"/>
  <c r="I3856" i="9"/>
  <c r="I3857" i="9"/>
  <c r="I3858" i="9"/>
  <c r="I3859" i="9"/>
  <c r="I3860" i="9"/>
  <c r="I3861" i="9"/>
  <c r="I3862" i="9"/>
  <c r="I3863" i="9"/>
  <c r="I3864" i="9"/>
  <c r="I3865" i="9"/>
  <c r="I3866" i="9"/>
  <c r="I3867" i="9"/>
  <c r="I3868" i="9"/>
  <c r="I3869" i="9"/>
  <c r="I3870" i="9"/>
  <c r="I3871" i="9"/>
  <c r="I3872" i="9"/>
  <c r="I3873" i="9"/>
  <c r="I3874" i="9"/>
  <c r="I3875" i="9"/>
  <c r="I3876" i="9"/>
  <c r="I3877" i="9"/>
  <c r="I3878" i="9"/>
  <c r="I3879" i="9"/>
  <c r="I3880" i="9"/>
  <c r="I3881" i="9"/>
  <c r="I3882" i="9"/>
  <c r="I3883" i="9"/>
  <c r="I3884" i="9"/>
  <c r="I3885" i="9"/>
  <c r="I3886" i="9"/>
  <c r="I3887" i="9"/>
  <c r="I3888" i="9"/>
  <c r="I3889" i="9"/>
  <c r="I3890" i="9"/>
  <c r="I3891" i="9"/>
  <c r="I3892" i="9"/>
  <c r="I3893" i="9"/>
  <c r="I3894" i="9"/>
  <c r="I3895" i="9"/>
  <c r="I3896" i="9"/>
  <c r="I3897" i="9"/>
  <c r="I3898" i="9"/>
  <c r="I3899" i="9"/>
  <c r="I3900" i="9"/>
  <c r="I3901" i="9"/>
  <c r="I3902" i="9"/>
  <c r="I3903" i="9"/>
  <c r="I3904" i="9"/>
  <c r="I3905" i="9"/>
  <c r="I3906" i="9"/>
  <c r="I3907" i="9"/>
  <c r="I3908" i="9"/>
  <c r="I3909" i="9"/>
  <c r="I3910" i="9"/>
  <c r="I3911" i="9"/>
  <c r="I3912" i="9"/>
  <c r="I3913" i="9"/>
  <c r="I3914" i="9"/>
  <c r="I3915" i="9"/>
  <c r="I3916" i="9"/>
  <c r="I3917" i="9"/>
  <c r="I3918" i="9"/>
  <c r="I3919" i="9"/>
  <c r="I3920" i="9"/>
  <c r="I3921" i="9"/>
  <c r="I3922" i="9"/>
  <c r="I3923" i="9"/>
  <c r="I3924" i="9"/>
  <c r="I3925" i="9"/>
  <c r="I3926" i="9"/>
  <c r="I3927" i="9"/>
  <c r="I3928" i="9"/>
  <c r="I3929" i="9"/>
  <c r="I3930" i="9"/>
  <c r="I3931" i="9"/>
  <c r="I3932" i="9"/>
  <c r="I3933" i="9"/>
  <c r="I3934" i="9"/>
  <c r="I3935" i="9"/>
  <c r="I3936" i="9"/>
  <c r="I3937" i="9"/>
  <c r="I3938" i="9"/>
  <c r="I3939" i="9"/>
  <c r="I3940" i="9"/>
  <c r="I3941" i="9"/>
  <c r="I3942" i="9"/>
  <c r="I3943" i="9"/>
  <c r="I3944" i="9"/>
  <c r="I3945" i="9"/>
  <c r="I3946" i="9"/>
  <c r="I3947" i="9"/>
  <c r="I3948" i="9"/>
  <c r="I3949" i="9"/>
  <c r="I3950" i="9"/>
  <c r="I3951" i="9"/>
  <c r="I3952" i="9"/>
  <c r="I3953" i="9"/>
  <c r="I3954" i="9"/>
  <c r="I3955" i="9"/>
  <c r="I3956" i="9"/>
  <c r="I3957" i="9"/>
  <c r="I3958" i="9"/>
  <c r="I3959" i="9"/>
  <c r="I3960" i="9"/>
  <c r="I3961" i="9"/>
  <c r="I3962" i="9"/>
  <c r="I3963" i="9"/>
  <c r="I3964" i="9"/>
  <c r="I3965" i="9"/>
  <c r="I3966" i="9"/>
  <c r="I3967" i="9"/>
  <c r="I3968" i="9"/>
  <c r="I3969" i="9"/>
  <c r="I3970" i="9"/>
  <c r="I3971" i="9"/>
  <c r="I3972" i="9"/>
  <c r="I3973" i="9"/>
  <c r="I3974" i="9"/>
  <c r="I3975" i="9"/>
  <c r="I3976" i="9"/>
  <c r="I3977" i="9"/>
  <c r="I3978" i="9"/>
  <c r="I3979" i="9"/>
  <c r="I3980" i="9"/>
  <c r="I3981" i="9"/>
  <c r="I3982" i="9"/>
  <c r="I3983" i="9"/>
  <c r="I3984" i="9"/>
  <c r="I3985" i="9"/>
  <c r="I3986" i="9"/>
  <c r="I3987" i="9"/>
  <c r="I3988" i="9"/>
  <c r="I3989" i="9"/>
  <c r="I3990" i="9"/>
  <c r="I3991" i="9"/>
  <c r="I3992" i="9"/>
  <c r="I3993" i="9"/>
  <c r="I3994" i="9"/>
  <c r="I3995" i="9"/>
  <c r="I3996" i="9"/>
  <c r="I3997" i="9"/>
  <c r="I3998" i="9"/>
  <c r="I3999" i="9"/>
  <c r="I4000" i="9"/>
  <c r="I4001" i="9"/>
  <c r="I4002" i="9"/>
  <c r="I4003" i="9"/>
  <c r="I4004" i="9"/>
  <c r="I4005" i="9"/>
  <c r="I4006" i="9"/>
  <c r="I4007" i="9"/>
  <c r="I4008" i="9"/>
  <c r="I4009" i="9"/>
  <c r="I4010" i="9"/>
  <c r="I4011" i="9"/>
  <c r="I4012" i="9"/>
  <c r="I4013" i="9"/>
  <c r="I4014" i="9"/>
  <c r="I4015" i="9"/>
  <c r="I4016" i="9"/>
  <c r="I4017" i="9"/>
  <c r="I4018" i="9"/>
  <c r="I4019" i="9"/>
  <c r="I4020" i="9"/>
  <c r="I4021" i="9"/>
  <c r="I4022" i="9"/>
  <c r="I4023" i="9"/>
  <c r="I4024" i="9"/>
  <c r="I4025" i="9"/>
  <c r="I4026" i="9"/>
  <c r="I4027" i="9"/>
  <c r="I4028" i="9"/>
  <c r="I4029" i="9"/>
  <c r="I4030" i="9"/>
  <c r="I4031" i="9"/>
  <c r="I4032" i="9"/>
  <c r="I4033" i="9"/>
  <c r="I4034" i="9"/>
  <c r="I4035" i="9"/>
  <c r="I4036" i="9"/>
  <c r="I4037" i="9"/>
  <c r="I4038" i="9"/>
  <c r="I4039" i="9"/>
  <c r="I4040" i="9"/>
  <c r="I4041" i="9"/>
  <c r="I4042" i="9"/>
  <c r="I4043" i="9"/>
  <c r="I4044" i="9"/>
  <c r="I4045" i="9"/>
  <c r="I4046" i="9"/>
  <c r="I4047" i="9"/>
  <c r="I4048" i="9"/>
  <c r="I4049" i="9"/>
  <c r="I4050" i="9"/>
  <c r="I4051" i="9"/>
  <c r="I4052" i="9"/>
  <c r="I4053" i="9"/>
  <c r="I4054" i="9"/>
  <c r="I4055" i="9"/>
  <c r="I4056" i="9"/>
  <c r="I4057" i="9"/>
  <c r="I4058" i="9"/>
  <c r="I4059" i="9"/>
  <c r="I4060" i="9"/>
  <c r="I4061" i="9"/>
  <c r="I4062" i="9"/>
  <c r="I4063" i="9"/>
  <c r="I4064" i="9"/>
  <c r="I4065" i="9"/>
  <c r="I4066" i="9"/>
  <c r="I4067" i="9"/>
  <c r="I4068" i="9"/>
  <c r="I4069" i="9"/>
  <c r="I4070" i="9"/>
  <c r="I4071" i="9"/>
  <c r="I4072" i="9"/>
  <c r="I4073" i="9"/>
  <c r="I4074" i="9"/>
  <c r="I4075" i="9"/>
  <c r="I4076" i="9"/>
  <c r="I4077" i="9"/>
  <c r="I4078" i="9"/>
  <c r="I4079" i="9"/>
  <c r="I4080" i="9"/>
  <c r="I4081" i="9"/>
  <c r="I4082" i="9"/>
  <c r="I4083" i="9"/>
  <c r="I4084" i="9"/>
  <c r="I4085" i="9"/>
  <c r="I4086" i="9"/>
  <c r="I4087" i="9"/>
  <c r="I4088" i="9"/>
  <c r="I4089" i="9"/>
  <c r="I4090" i="9"/>
  <c r="I4091" i="9"/>
  <c r="I4092" i="9"/>
  <c r="I4093" i="9"/>
  <c r="I4094" i="9"/>
  <c r="I4095" i="9"/>
  <c r="I4096" i="9"/>
  <c r="I4097" i="9"/>
  <c r="I4098" i="9"/>
  <c r="I4099" i="9"/>
  <c r="I4100" i="9"/>
  <c r="I4101" i="9"/>
  <c r="I4102" i="9"/>
  <c r="I4103" i="9"/>
  <c r="I4104" i="9"/>
  <c r="I4105" i="9"/>
  <c r="I4106" i="9"/>
  <c r="I4107" i="9"/>
  <c r="I4108" i="9"/>
  <c r="I4109" i="9"/>
  <c r="I4110" i="9"/>
  <c r="I4111" i="9"/>
  <c r="I4112" i="9"/>
  <c r="I4113" i="9"/>
  <c r="I4114" i="9"/>
  <c r="I4115" i="9"/>
  <c r="I4116" i="9"/>
  <c r="I4117" i="9"/>
  <c r="I4118" i="9"/>
  <c r="I4119" i="9"/>
  <c r="I4120" i="9"/>
  <c r="I4121" i="9"/>
  <c r="I4122" i="9"/>
  <c r="I4123" i="9"/>
  <c r="I4124" i="9"/>
  <c r="I4125" i="9"/>
  <c r="I4126" i="9"/>
  <c r="I4127" i="9"/>
  <c r="I4128" i="9"/>
  <c r="I4129" i="9"/>
  <c r="I4130" i="9"/>
  <c r="I4131" i="9"/>
  <c r="I4132" i="9"/>
  <c r="I4133" i="9"/>
  <c r="I4134" i="9"/>
  <c r="I4135" i="9"/>
  <c r="I4136" i="9"/>
  <c r="I4137" i="9"/>
  <c r="I4138" i="9"/>
  <c r="I4139" i="9"/>
  <c r="I4140" i="9"/>
  <c r="I4141" i="9"/>
  <c r="I4142" i="9"/>
  <c r="I4143" i="9"/>
  <c r="I4144" i="9"/>
  <c r="I4145" i="9"/>
  <c r="I4146" i="9"/>
  <c r="I4147" i="9"/>
  <c r="I4148" i="9"/>
  <c r="I4149" i="9"/>
  <c r="I4150" i="9"/>
  <c r="I4151" i="9"/>
  <c r="I4152" i="9"/>
  <c r="I4153" i="9"/>
  <c r="I4154" i="9"/>
  <c r="I4155" i="9"/>
  <c r="I4156" i="9"/>
  <c r="I4157" i="9"/>
  <c r="I4158" i="9"/>
  <c r="I4159" i="9"/>
  <c r="I4160" i="9"/>
  <c r="I4161" i="9"/>
  <c r="I4162" i="9"/>
  <c r="I4163" i="9"/>
  <c r="I4164" i="9"/>
  <c r="I4165" i="9"/>
  <c r="I4166" i="9"/>
  <c r="I4167" i="9"/>
  <c r="I4168" i="9"/>
  <c r="I4169" i="9"/>
  <c r="I4170" i="9"/>
  <c r="I4171" i="9"/>
  <c r="I4172" i="9"/>
  <c r="I4173" i="9"/>
  <c r="I4174" i="9"/>
  <c r="I4175" i="9"/>
  <c r="I4176" i="9"/>
  <c r="I4177" i="9"/>
  <c r="I4178" i="9"/>
  <c r="I4179" i="9"/>
  <c r="I4180" i="9"/>
  <c r="I4181" i="9"/>
  <c r="I4182" i="9"/>
  <c r="I4183" i="9"/>
  <c r="I4184" i="9"/>
  <c r="I4185" i="9"/>
  <c r="I4186" i="9"/>
  <c r="I4187" i="9"/>
  <c r="I4188" i="9"/>
  <c r="I4189" i="9"/>
  <c r="I4190" i="9"/>
  <c r="I4191" i="9"/>
  <c r="I4192" i="9"/>
  <c r="I4193" i="9"/>
  <c r="I4194" i="9"/>
  <c r="I4195" i="9"/>
  <c r="I4196" i="9"/>
  <c r="I4197" i="9"/>
  <c r="I4198" i="9"/>
  <c r="I4199" i="9"/>
  <c r="I4200" i="9"/>
  <c r="I4201" i="9"/>
  <c r="I4202" i="9"/>
  <c r="I4203" i="9"/>
  <c r="I4204" i="9"/>
  <c r="I4205" i="9"/>
  <c r="I4206" i="9"/>
  <c r="I4207" i="9"/>
  <c r="I4208" i="9"/>
  <c r="I4209" i="9"/>
  <c r="I4210" i="9"/>
  <c r="I4211" i="9"/>
  <c r="I4212" i="9"/>
  <c r="I4213" i="9"/>
  <c r="I4214" i="9"/>
  <c r="I4215" i="9"/>
  <c r="I4216" i="9"/>
  <c r="I4217" i="9"/>
  <c r="I4218" i="9"/>
  <c r="I4219" i="9"/>
  <c r="I4220" i="9"/>
  <c r="I4221" i="9"/>
  <c r="I4222" i="9"/>
  <c r="I4223" i="9"/>
  <c r="I4224" i="9"/>
  <c r="I4225" i="9"/>
  <c r="I4226" i="9"/>
  <c r="I4227" i="9"/>
  <c r="I4228" i="9"/>
  <c r="I4229" i="9"/>
  <c r="I4230" i="9"/>
  <c r="I4231" i="9"/>
  <c r="I4232" i="9"/>
  <c r="I4233" i="9"/>
  <c r="I4234" i="9"/>
  <c r="I4235" i="9"/>
  <c r="I4236" i="9"/>
  <c r="I4237" i="9"/>
  <c r="I4238" i="9"/>
  <c r="I4239" i="9"/>
  <c r="I4240" i="9"/>
  <c r="I4241" i="9"/>
  <c r="I4242" i="9"/>
  <c r="I4243" i="9"/>
  <c r="I4244" i="9"/>
  <c r="I4245" i="9"/>
  <c r="I4246" i="9"/>
  <c r="I4247" i="9"/>
  <c r="I4248" i="9"/>
  <c r="I4249" i="9"/>
  <c r="I4250" i="9"/>
  <c r="I4251" i="9"/>
  <c r="I4252" i="9"/>
  <c r="I4253" i="9"/>
  <c r="I4254" i="9"/>
  <c r="I4255" i="9"/>
  <c r="I4256" i="9"/>
  <c r="I4257" i="9"/>
  <c r="I4258" i="9"/>
  <c r="I4259" i="9"/>
  <c r="I4260" i="9"/>
  <c r="I4261" i="9"/>
  <c r="I4262" i="9"/>
  <c r="I4263" i="9"/>
  <c r="I4264" i="9"/>
  <c r="I4265" i="9"/>
  <c r="I4266" i="9"/>
  <c r="I4267" i="9"/>
  <c r="I4268" i="9"/>
  <c r="I4269" i="9"/>
  <c r="I4270" i="9"/>
  <c r="I4271" i="9"/>
  <c r="I4272" i="9"/>
  <c r="I4273" i="9"/>
  <c r="I4274" i="9"/>
  <c r="I4275" i="9"/>
  <c r="I4276" i="9"/>
  <c r="I4277" i="9"/>
  <c r="I4278" i="9"/>
  <c r="I4279" i="9"/>
  <c r="I4280" i="9"/>
  <c r="I4281" i="9"/>
  <c r="I4282" i="9"/>
  <c r="I4283" i="9"/>
  <c r="I4284" i="9"/>
  <c r="I4285" i="9"/>
  <c r="I4286" i="9"/>
  <c r="I4287" i="9"/>
  <c r="I4288" i="9"/>
  <c r="I4289" i="9"/>
  <c r="I4290" i="9"/>
  <c r="I4291" i="9"/>
  <c r="I4292" i="9"/>
  <c r="I4293" i="9"/>
  <c r="I4294" i="9"/>
  <c r="I4295" i="9"/>
  <c r="I4296" i="9"/>
  <c r="I4297" i="9"/>
  <c r="I4298" i="9"/>
  <c r="I4299" i="9"/>
  <c r="I4300" i="9"/>
  <c r="I4301" i="9"/>
  <c r="I4302" i="9"/>
  <c r="I4303" i="9"/>
  <c r="I4304" i="9"/>
  <c r="I4305" i="9"/>
  <c r="I4306" i="9"/>
  <c r="I4307" i="9"/>
  <c r="I4308" i="9"/>
  <c r="I4309" i="9"/>
  <c r="I4310" i="9"/>
  <c r="I4311" i="9"/>
  <c r="I4312" i="9"/>
  <c r="I4313" i="9"/>
  <c r="I4314" i="9"/>
  <c r="I4315" i="9"/>
  <c r="I4316" i="9"/>
  <c r="I4317" i="9"/>
  <c r="I4318" i="9"/>
  <c r="I4319" i="9"/>
  <c r="I4320" i="9"/>
  <c r="I4321" i="9"/>
  <c r="I4322" i="9"/>
  <c r="I4323" i="9"/>
  <c r="I4324" i="9"/>
  <c r="I4325" i="9"/>
  <c r="I4326" i="9"/>
  <c r="I4327" i="9"/>
  <c r="I4328" i="9"/>
  <c r="I4329" i="9"/>
  <c r="I4330" i="9"/>
  <c r="I4331" i="9"/>
  <c r="I4332" i="9"/>
  <c r="I4333" i="9"/>
  <c r="I4334" i="9"/>
  <c r="I4335" i="9"/>
  <c r="I4336" i="9"/>
  <c r="I4337" i="9"/>
  <c r="I4338" i="9"/>
  <c r="I4339" i="9"/>
  <c r="I4340" i="9"/>
  <c r="I4341" i="9"/>
  <c r="I4342" i="9"/>
  <c r="I4343" i="9"/>
  <c r="I4344" i="9"/>
  <c r="I4345" i="9"/>
  <c r="I4346" i="9"/>
  <c r="I4347" i="9"/>
  <c r="I4348" i="9"/>
  <c r="I4349" i="9"/>
  <c r="I4350" i="9"/>
  <c r="I4351" i="9"/>
  <c r="I4352" i="9"/>
  <c r="I4353" i="9"/>
  <c r="I4354" i="9"/>
  <c r="I4355" i="9"/>
  <c r="I4356" i="9"/>
  <c r="I4357" i="9"/>
  <c r="I4358" i="9"/>
  <c r="I4359" i="9"/>
  <c r="I4360" i="9"/>
  <c r="I4361" i="9"/>
  <c r="I4362" i="9"/>
  <c r="I4363" i="9"/>
  <c r="I4364" i="9"/>
  <c r="I4365" i="9"/>
  <c r="I4366" i="9"/>
  <c r="I4367" i="9"/>
  <c r="I4368" i="9"/>
  <c r="I4369" i="9"/>
  <c r="I4370" i="9"/>
  <c r="I4371" i="9"/>
  <c r="I4372" i="9"/>
  <c r="I4373" i="9"/>
  <c r="I4374" i="9"/>
  <c r="I4375" i="9"/>
  <c r="I4376" i="9"/>
  <c r="I4377" i="9"/>
  <c r="I4378" i="9"/>
  <c r="I4379" i="9"/>
  <c r="I4380" i="9"/>
  <c r="I4381" i="9"/>
  <c r="I4382" i="9"/>
  <c r="I4383" i="9"/>
  <c r="I4384" i="9"/>
  <c r="I4385" i="9"/>
  <c r="I4386" i="9"/>
  <c r="I4387" i="9"/>
  <c r="I4388" i="9"/>
  <c r="I4389" i="9"/>
  <c r="I4390" i="9"/>
  <c r="I4391" i="9"/>
  <c r="I4392" i="9"/>
  <c r="I4393" i="9"/>
  <c r="I4394" i="9"/>
  <c r="I4395" i="9"/>
  <c r="I4396" i="9"/>
  <c r="I4397" i="9"/>
  <c r="I4398" i="9"/>
  <c r="I4399" i="9"/>
  <c r="I4400" i="9"/>
  <c r="I4401" i="9"/>
  <c r="I4402" i="9"/>
  <c r="I4403" i="9"/>
  <c r="I4404" i="9"/>
  <c r="I4405" i="9"/>
  <c r="I4406" i="9"/>
  <c r="I4407" i="9"/>
  <c r="I4408" i="9"/>
  <c r="I4409" i="9"/>
  <c r="I4410" i="9"/>
  <c r="I4411" i="9"/>
  <c r="I4412" i="9"/>
  <c r="I4413" i="9"/>
  <c r="I4414" i="9"/>
  <c r="I4415" i="9"/>
  <c r="I4416" i="9"/>
  <c r="I4417" i="9"/>
  <c r="I4418" i="9"/>
  <c r="I4419" i="9"/>
  <c r="I4420" i="9"/>
  <c r="I4421" i="9"/>
  <c r="I4422" i="9"/>
  <c r="I4423" i="9"/>
  <c r="I4424" i="9"/>
  <c r="I4425" i="9"/>
  <c r="I4426" i="9"/>
  <c r="I4427" i="9"/>
  <c r="I4428" i="9"/>
  <c r="I4429" i="9"/>
  <c r="I4430" i="9"/>
  <c r="I4431" i="9"/>
  <c r="I4432" i="9"/>
  <c r="I4433" i="9"/>
  <c r="I4434" i="9"/>
  <c r="I4435" i="9"/>
  <c r="I4436" i="9"/>
  <c r="I4437" i="9"/>
  <c r="I4438" i="9"/>
  <c r="I4439" i="9"/>
  <c r="I4440" i="9"/>
  <c r="I4441" i="9"/>
  <c r="I4442" i="9"/>
  <c r="I4443" i="9"/>
  <c r="I4444" i="9"/>
  <c r="I4445" i="9"/>
  <c r="I4446" i="9"/>
  <c r="I4447" i="9"/>
  <c r="I4448" i="9"/>
  <c r="I4449" i="9"/>
  <c r="I4450" i="9"/>
  <c r="I4451" i="9"/>
  <c r="I4452" i="9"/>
  <c r="I4453" i="9"/>
  <c r="I4454" i="9"/>
  <c r="I4455" i="9"/>
  <c r="I4456" i="9"/>
  <c r="I4457" i="9"/>
  <c r="I4458" i="9"/>
  <c r="I4459" i="9"/>
  <c r="I4460" i="9"/>
  <c r="I4461" i="9"/>
  <c r="I4462" i="9"/>
  <c r="I4463" i="9"/>
  <c r="I4464" i="9"/>
  <c r="I4465" i="9"/>
  <c r="I4466" i="9"/>
  <c r="I4467" i="9"/>
  <c r="I4468" i="9"/>
  <c r="I4469" i="9"/>
  <c r="I4470" i="9"/>
  <c r="I4471" i="9"/>
  <c r="I4472" i="9"/>
  <c r="I4473" i="9"/>
  <c r="I4474" i="9"/>
  <c r="I4475" i="9"/>
  <c r="I4476" i="9"/>
  <c r="I4477" i="9"/>
  <c r="I4478" i="9"/>
  <c r="I4479" i="9"/>
  <c r="I4480" i="9"/>
  <c r="I4481" i="9"/>
  <c r="I4482" i="9"/>
  <c r="I4483" i="9"/>
  <c r="I4484" i="9"/>
  <c r="I4485" i="9"/>
  <c r="I4486" i="9"/>
  <c r="I4487" i="9"/>
  <c r="I4488" i="9"/>
  <c r="I4489" i="9"/>
  <c r="I4490" i="9"/>
  <c r="I4491" i="9"/>
  <c r="I4492" i="9"/>
  <c r="I4493" i="9"/>
  <c r="I4494" i="9"/>
  <c r="I4495" i="9"/>
  <c r="I4496" i="9"/>
  <c r="I4497" i="9"/>
  <c r="I4498" i="9"/>
  <c r="I4499" i="9"/>
  <c r="I4500" i="9"/>
  <c r="I4501" i="9"/>
  <c r="I4502" i="9"/>
  <c r="I4503" i="9"/>
  <c r="I4504" i="9"/>
  <c r="I4505" i="9"/>
  <c r="I4506" i="9"/>
  <c r="I4507" i="9"/>
  <c r="I4508" i="9"/>
  <c r="I4509" i="9"/>
  <c r="I4510" i="9"/>
  <c r="I4511" i="9"/>
  <c r="I4512" i="9"/>
  <c r="I4513" i="9"/>
  <c r="I4514" i="9"/>
  <c r="I4515" i="9"/>
  <c r="I4516" i="9"/>
  <c r="I4517" i="9"/>
  <c r="I4518" i="9"/>
  <c r="I4519" i="9"/>
  <c r="I4520" i="9"/>
  <c r="I4521" i="9"/>
  <c r="I4522" i="9"/>
  <c r="I4523" i="9"/>
  <c r="I4524" i="9"/>
  <c r="I4525" i="9"/>
  <c r="I4526" i="9"/>
  <c r="I4527" i="9"/>
  <c r="I4528" i="9"/>
  <c r="I4529" i="9"/>
  <c r="I4530" i="9"/>
  <c r="I4531" i="9"/>
  <c r="I4532" i="9"/>
  <c r="I4533" i="9"/>
  <c r="I4534" i="9"/>
  <c r="I4535" i="9"/>
  <c r="I4536" i="9"/>
  <c r="I4537" i="9"/>
  <c r="I4538" i="9"/>
  <c r="I4539" i="9"/>
  <c r="I4540" i="9"/>
  <c r="I4541" i="9"/>
  <c r="I4542" i="9"/>
  <c r="I4543" i="9"/>
  <c r="I4544" i="9"/>
  <c r="I4545" i="9"/>
  <c r="I4546" i="9"/>
  <c r="I4547" i="9"/>
  <c r="I4548" i="9"/>
  <c r="I4549" i="9"/>
  <c r="I4550" i="9"/>
  <c r="I4551" i="9"/>
  <c r="I4552" i="9"/>
  <c r="I4553" i="9"/>
  <c r="I4554" i="9"/>
  <c r="I4555" i="9"/>
  <c r="I4556" i="9"/>
  <c r="I4557" i="9"/>
  <c r="I4558" i="9"/>
  <c r="I4559" i="9"/>
  <c r="I4560" i="9"/>
  <c r="I4561" i="9"/>
  <c r="I4562" i="9"/>
  <c r="I4563" i="9"/>
  <c r="I4564" i="9"/>
  <c r="I4565" i="9"/>
  <c r="I4566" i="9"/>
  <c r="I4567" i="9"/>
  <c r="I4568" i="9"/>
  <c r="I4569" i="9"/>
  <c r="I4570" i="9"/>
  <c r="I4571" i="9"/>
  <c r="I4572" i="9"/>
  <c r="I4573" i="9"/>
  <c r="I4574" i="9"/>
  <c r="I4575" i="9"/>
  <c r="I4576" i="9"/>
  <c r="I4577" i="9"/>
  <c r="I4578" i="9"/>
  <c r="I4579" i="9"/>
  <c r="I4580" i="9"/>
  <c r="I4581" i="9"/>
  <c r="I4582" i="9"/>
  <c r="I4583" i="9"/>
  <c r="I4584" i="9"/>
  <c r="I4585" i="9"/>
  <c r="I4586" i="9"/>
  <c r="I4587" i="9"/>
  <c r="I4588" i="9"/>
  <c r="I4589" i="9"/>
  <c r="I4590" i="9"/>
  <c r="I4591" i="9"/>
  <c r="I4592" i="9"/>
  <c r="I4593" i="9"/>
  <c r="I4594" i="9"/>
  <c r="I4595" i="9"/>
  <c r="I4596" i="9"/>
  <c r="I4597" i="9"/>
  <c r="I4598" i="9"/>
  <c r="I4599" i="9"/>
  <c r="I4600" i="9"/>
  <c r="I4601" i="9"/>
  <c r="I4602" i="9"/>
  <c r="I4603" i="9"/>
  <c r="I4604" i="9"/>
  <c r="I4605" i="9"/>
  <c r="I4606" i="9"/>
  <c r="I4607" i="9"/>
  <c r="I4608" i="9"/>
  <c r="I4609" i="9"/>
  <c r="I4610" i="9"/>
  <c r="I4611" i="9"/>
  <c r="I4612" i="9"/>
  <c r="I4613" i="9"/>
  <c r="I4614" i="9"/>
  <c r="I4615" i="9"/>
  <c r="I4616" i="9"/>
  <c r="I4617" i="9"/>
  <c r="I4618" i="9"/>
  <c r="I4619" i="9"/>
  <c r="I4620" i="9"/>
  <c r="I4621" i="9"/>
  <c r="I4622" i="9"/>
  <c r="I4623" i="9"/>
  <c r="I4624" i="9"/>
  <c r="I4625" i="9"/>
  <c r="I4626" i="9"/>
  <c r="I4627" i="9"/>
  <c r="I4628" i="9"/>
  <c r="I4629" i="9"/>
  <c r="I4630" i="9"/>
  <c r="I4631" i="9"/>
  <c r="I4632" i="9"/>
  <c r="I4633" i="9"/>
  <c r="I4634" i="9"/>
  <c r="I4635" i="9"/>
  <c r="I4636" i="9"/>
  <c r="I4637" i="9"/>
  <c r="I4638" i="9"/>
  <c r="I4639" i="9"/>
  <c r="I4640" i="9"/>
  <c r="I4641" i="9"/>
  <c r="I4642" i="9"/>
  <c r="I4643" i="9"/>
  <c r="I4644" i="9"/>
  <c r="I4645" i="9"/>
  <c r="I4646" i="9"/>
  <c r="I4647" i="9"/>
  <c r="I4648" i="9"/>
  <c r="I4649" i="9"/>
  <c r="I4650" i="9"/>
  <c r="I4651" i="9"/>
  <c r="I4652" i="9"/>
  <c r="I4653" i="9"/>
  <c r="I4654" i="9"/>
  <c r="I4655" i="9"/>
  <c r="I4656" i="9"/>
  <c r="I4657" i="9"/>
  <c r="I4658" i="9"/>
  <c r="I4659" i="9"/>
  <c r="I4660" i="9"/>
  <c r="I4661" i="9"/>
  <c r="I4662" i="9"/>
  <c r="I4663" i="9"/>
  <c r="I4664" i="9"/>
  <c r="I4665" i="9"/>
  <c r="I4666" i="9"/>
  <c r="I4667" i="9"/>
  <c r="I4668" i="9"/>
  <c r="I4669" i="9"/>
  <c r="I4670" i="9"/>
  <c r="I4671" i="9"/>
  <c r="I4672" i="9"/>
  <c r="I4673" i="9"/>
  <c r="I4674" i="9"/>
  <c r="I4675" i="9"/>
  <c r="I4676" i="9"/>
  <c r="I4677" i="9"/>
  <c r="I4678" i="9"/>
  <c r="I4679" i="9"/>
  <c r="I4680" i="9"/>
  <c r="I4681" i="9"/>
  <c r="I4682" i="9"/>
  <c r="I4683" i="9"/>
  <c r="I4684" i="9"/>
  <c r="I4685" i="9"/>
  <c r="I4686" i="9"/>
  <c r="I4687" i="9"/>
  <c r="I4688" i="9"/>
  <c r="I4689" i="9"/>
  <c r="I4690" i="9"/>
  <c r="I4691" i="9"/>
  <c r="I4692" i="9"/>
  <c r="I4693" i="9"/>
  <c r="I4694" i="9"/>
  <c r="I4695" i="9"/>
  <c r="I4696" i="9"/>
  <c r="I4697" i="9"/>
  <c r="I4698" i="9"/>
  <c r="I4699" i="9"/>
  <c r="I4700" i="9"/>
  <c r="I4701" i="9"/>
  <c r="I4702" i="9"/>
  <c r="I4703" i="9"/>
  <c r="I4704" i="9"/>
  <c r="I4705" i="9"/>
  <c r="I4706" i="9"/>
  <c r="I4707" i="9"/>
  <c r="I4708" i="9"/>
  <c r="I4709" i="9"/>
  <c r="I4710" i="9"/>
  <c r="I4711" i="9"/>
  <c r="I4712" i="9"/>
  <c r="I4713" i="9"/>
  <c r="I4714" i="9"/>
  <c r="I4715" i="9"/>
  <c r="I4716" i="9"/>
  <c r="I4717" i="9"/>
  <c r="I4718" i="9"/>
  <c r="I4719" i="9"/>
  <c r="I4720" i="9"/>
  <c r="I4721" i="9"/>
  <c r="I4722" i="9"/>
  <c r="I4723" i="9"/>
  <c r="I4724" i="9"/>
  <c r="I4725" i="9"/>
  <c r="I4726" i="9"/>
  <c r="I4727" i="9"/>
  <c r="I4728" i="9"/>
  <c r="I4729" i="9"/>
  <c r="I4730" i="9"/>
  <c r="I4731" i="9"/>
  <c r="I4732" i="9"/>
  <c r="I4733" i="9"/>
  <c r="I4734" i="9"/>
  <c r="I4735" i="9"/>
  <c r="I4736" i="9"/>
  <c r="I4737" i="9"/>
  <c r="I4738" i="9"/>
  <c r="I4739" i="9"/>
  <c r="I4740" i="9"/>
  <c r="I4741" i="9"/>
  <c r="I4742" i="9"/>
  <c r="I4743" i="9"/>
  <c r="I4744" i="9"/>
  <c r="I4745" i="9"/>
  <c r="I4746" i="9"/>
  <c r="I4747" i="9"/>
  <c r="I4748" i="9"/>
  <c r="I4749" i="9"/>
  <c r="I4750" i="9"/>
  <c r="I4751" i="9"/>
  <c r="I4752" i="9"/>
  <c r="I4753" i="9"/>
  <c r="I4754" i="9"/>
  <c r="I4755" i="9"/>
  <c r="I4756" i="9"/>
  <c r="I4757" i="9"/>
  <c r="I4758" i="9"/>
  <c r="I4759" i="9"/>
  <c r="I4760" i="9"/>
  <c r="I4761" i="9"/>
  <c r="I4762" i="9"/>
  <c r="I4763" i="9"/>
  <c r="I4764" i="9"/>
  <c r="I4765" i="9"/>
  <c r="I4766" i="9"/>
  <c r="I4767" i="9"/>
  <c r="I4768" i="9"/>
  <c r="I4769" i="9"/>
  <c r="I4770" i="9"/>
  <c r="I4771" i="9"/>
  <c r="I4772" i="9"/>
  <c r="I4773" i="9"/>
  <c r="I4774" i="9"/>
  <c r="I4775" i="9"/>
  <c r="I4776" i="9"/>
  <c r="I4777" i="9"/>
  <c r="I4778" i="9"/>
  <c r="I4779" i="9"/>
  <c r="I4780" i="9"/>
  <c r="I4781" i="9"/>
  <c r="I4782" i="9"/>
  <c r="I4783" i="9"/>
  <c r="I4784" i="9"/>
  <c r="I4785" i="9"/>
  <c r="I4786" i="9"/>
  <c r="I4787" i="9"/>
  <c r="I4788" i="9"/>
  <c r="I4789" i="9"/>
  <c r="I4790" i="9"/>
  <c r="I4791" i="9"/>
  <c r="I4792" i="9"/>
  <c r="I4793" i="9"/>
  <c r="I4794" i="9"/>
  <c r="I4795" i="9"/>
  <c r="I4796" i="9"/>
  <c r="I4797" i="9"/>
  <c r="I4798" i="9"/>
  <c r="I4799" i="9"/>
  <c r="I4800" i="9"/>
  <c r="I4801" i="9"/>
  <c r="I4802" i="9"/>
  <c r="I4803" i="9"/>
  <c r="I4804" i="9"/>
  <c r="I4805" i="9"/>
  <c r="I4806" i="9"/>
  <c r="I4807" i="9"/>
  <c r="I4808" i="9"/>
  <c r="I4809" i="9"/>
  <c r="I4810" i="9"/>
  <c r="I4811" i="9"/>
  <c r="I4812" i="9"/>
  <c r="I4813" i="9"/>
  <c r="I4814" i="9"/>
  <c r="I4815" i="9"/>
  <c r="I4816" i="9"/>
  <c r="I4817" i="9"/>
  <c r="I4818" i="9"/>
  <c r="I4819" i="9"/>
  <c r="I4820" i="9"/>
  <c r="I4821" i="9"/>
  <c r="I4822" i="9"/>
  <c r="I4823" i="9"/>
  <c r="I4824" i="9"/>
  <c r="I4825" i="9"/>
  <c r="I4826" i="9"/>
  <c r="I4827" i="9"/>
  <c r="I4828" i="9"/>
  <c r="I4829" i="9"/>
  <c r="I4830" i="9"/>
  <c r="I4831" i="9"/>
  <c r="I4832" i="9"/>
  <c r="I4833" i="9"/>
  <c r="I4834" i="9"/>
  <c r="I4835" i="9"/>
  <c r="I4836" i="9"/>
  <c r="I4837" i="9"/>
  <c r="I4838" i="9"/>
  <c r="I4839" i="9"/>
  <c r="I4840" i="9"/>
  <c r="I4841" i="9"/>
  <c r="I4842" i="9"/>
  <c r="I4843" i="9"/>
  <c r="I4844" i="9"/>
  <c r="I4845" i="9"/>
  <c r="I4846" i="9"/>
  <c r="I4847" i="9"/>
  <c r="I4848" i="9"/>
  <c r="I4849" i="9"/>
  <c r="I4850" i="9"/>
  <c r="I4851" i="9"/>
  <c r="I4852" i="9"/>
  <c r="I4853" i="9"/>
  <c r="I4854" i="9"/>
  <c r="I4855" i="9"/>
  <c r="I4856" i="9"/>
  <c r="I4857" i="9"/>
  <c r="I4858" i="9"/>
  <c r="I4859" i="9"/>
  <c r="I4860" i="9"/>
  <c r="I4861" i="9"/>
  <c r="I4862" i="9"/>
  <c r="I4863" i="9"/>
  <c r="I4864" i="9"/>
  <c r="I4865" i="9"/>
  <c r="I4866" i="9"/>
  <c r="I4867" i="9"/>
  <c r="I4868" i="9"/>
  <c r="I4869" i="9"/>
  <c r="I4870" i="9"/>
  <c r="I4871" i="9"/>
  <c r="I4872" i="9"/>
  <c r="I4873" i="9"/>
  <c r="I4874" i="9"/>
  <c r="I4875" i="9"/>
  <c r="I4876" i="9"/>
  <c r="I4877" i="9"/>
  <c r="I4878" i="9"/>
  <c r="I4879" i="9"/>
  <c r="I4880" i="9"/>
  <c r="I4881" i="9"/>
  <c r="I4882" i="9"/>
  <c r="I4883" i="9"/>
  <c r="I4884" i="9"/>
  <c r="I4885" i="9"/>
  <c r="I4886" i="9"/>
  <c r="I4887" i="9"/>
  <c r="I4888" i="9"/>
  <c r="I4889" i="9"/>
  <c r="I4890" i="9"/>
  <c r="I4891" i="9"/>
  <c r="I4892" i="9"/>
  <c r="I4893" i="9"/>
  <c r="I4894" i="9"/>
  <c r="I4895" i="9"/>
  <c r="I4896" i="9"/>
  <c r="I4897" i="9"/>
  <c r="I4898" i="9"/>
  <c r="I4899" i="9"/>
  <c r="I4900" i="9"/>
  <c r="I4901" i="9"/>
  <c r="I4902" i="9"/>
  <c r="I4903" i="9"/>
  <c r="I4904" i="9"/>
  <c r="I4905" i="9"/>
  <c r="I4906" i="9"/>
  <c r="I4907" i="9"/>
  <c r="I4908" i="9"/>
  <c r="I4909" i="9"/>
  <c r="I4910" i="9"/>
  <c r="I4911" i="9"/>
  <c r="I4912" i="9"/>
  <c r="I4913" i="9"/>
  <c r="I4914" i="9"/>
  <c r="I4915" i="9"/>
  <c r="I4916" i="9"/>
  <c r="I4917" i="9"/>
  <c r="I4918" i="9"/>
  <c r="I4919" i="9"/>
  <c r="I4920" i="9"/>
  <c r="I4921" i="9"/>
  <c r="I4922" i="9"/>
  <c r="I4923" i="9"/>
  <c r="I4924" i="9"/>
  <c r="I4925" i="9"/>
  <c r="I4926" i="9"/>
  <c r="I4927" i="9"/>
  <c r="I4928" i="9"/>
  <c r="I4929" i="9"/>
  <c r="I4930" i="9"/>
  <c r="I4931" i="9"/>
  <c r="I4932" i="9"/>
  <c r="I4933" i="9"/>
  <c r="I4934" i="9"/>
  <c r="I4935" i="9"/>
  <c r="I4936" i="9"/>
  <c r="I4937" i="9"/>
  <c r="I4938" i="9"/>
  <c r="I4939" i="9"/>
  <c r="I4940" i="9"/>
  <c r="I4941" i="9"/>
  <c r="I4942" i="9"/>
  <c r="I4943" i="9"/>
  <c r="I4944" i="9"/>
  <c r="I4945" i="9"/>
  <c r="I4946" i="9"/>
  <c r="I4947" i="9"/>
  <c r="I4948" i="9"/>
  <c r="I4949" i="9"/>
  <c r="I4950" i="9"/>
  <c r="I4951" i="9"/>
  <c r="I4952" i="9"/>
  <c r="I4953" i="9"/>
  <c r="I4954" i="9"/>
  <c r="I4955" i="9"/>
  <c r="I4956" i="9"/>
  <c r="I4957" i="9"/>
  <c r="I4958" i="9"/>
  <c r="I4959" i="9"/>
  <c r="I4960" i="9"/>
  <c r="I4961" i="9"/>
  <c r="I4962" i="9"/>
  <c r="I4963" i="9"/>
  <c r="I4964" i="9"/>
  <c r="I4965" i="9"/>
  <c r="I4966" i="9"/>
  <c r="I4967" i="9"/>
  <c r="I4968" i="9"/>
  <c r="I4969" i="9"/>
  <c r="I4970" i="9"/>
  <c r="I4971" i="9"/>
  <c r="I4972" i="9"/>
  <c r="I4973" i="9"/>
  <c r="I4974" i="9"/>
  <c r="I4975" i="9"/>
  <c r="I4976" i="9"/>
  <c r="I4977" i="9"/>
  <c r="I4978" i="9"/>
  <c r="I4979" i="9"/>
  <c r="I4980" i="9"/>
  <c r="I4981" i="9"/>
  <c r="I4982" i="9"/>
  <c r="I4983" i="9"/>
  <c r="I4984" i="9"/>
  <c r="I4985" i="9"/>
  <c r="I4986" i="9"/>
  <c r="I4987" i="9"/>
  <c r="I4988" i="9"/>
  <c r="I4989" i="9"/>
  <c r="I4990" i="9"/>
  <c r="I4991" i="9"/>
  <c r="I4992" i="9"/>
  <c r="I4993" i="9"/>
  <c r="I4994" i="9"/>
  <c r="I4995" i="9"/>
  <c r="I4996" i="9"/>
  <c r="I4997" i="9"/>
  <c r="I4998" i="9"/>
  <c r="I4999" i="9"/>
  <c r="I5000" i="9"/>
  <c r="I5001" i="9"/>
  <c r="I5002" i="9"/>
  <c r="I5003" i="9"/>
  <c r="I5004" i="9"/>
  <c r="I5005" i="9"/>
  <c r="I5006" i="9"/>
  <c r="I5007" i="9"/>
  <c r="I5008" i="9"/>
  <c r="I5009" i="9"/>
  <c r="I5010" i="9"/>
  <c r="I5011" i="9"/>
  <c r="I5012" i="9"/>
  <c r="I5013" i="9"/>
  <c r="I5014" i="9"/>
  <c r="I5015" i="9"/>
  <c r="I5016" i="9"/>
  <c r="I5017" i="9"/>
  <c r="I5018" i="9"/>
  <c r="I5019" i="9"/>
  <c r="I5020" i="9"/>
  <c r="I5021" i="9"/>
  <c r="I5022" i="9"/>
  <c r="I5023" i="9"/>
  <c r="I5024" i="9"/>
  <c r="I5025" i="9"/>
  <c r="I5026" i="9"/>
  <c r="I5027" i="9"/>
  <c r="I5028" i="9"/>
  <c r="I5029" i="9"/>
  <c r="I5030" i="9"/>
  <c r="I5031" i="9"/>
  <c r="I5032" i="9"/>
  <c r="I5033" i="9"/>
  <c r="I5034" i="9"/>
  <c r="I5035" i="9"/>
  <c r="I5036" i="9"/>
  <c r="I5037" i="9"/>
  <c r="I5038" i="9"/>
  <c r="I5039" i="9"/>
  <c r="I5040" i="9"/>
  <c r="I5041" i="9"/>
  <c r="I5042" i="9"/>
  <c r="I5043" i="9"/>
  <c r="I5044" i="9"/>
  <c r="I5045" i="9"/>
  <c r="I5046" i="9"/>
  <c r="I5047" i="9"/>
  <c r="I5048" i="9"/>
  <c r="I5049" i="9"/>
  <c r="I5050" i="9"/>
  <c r="I5051" i="9"/>
  <c r="I5052" i="9"/>
  <c r="I5053" i="9"/>
  <c r="I5054" i="9"/>
  <c r="I5055" i="9"/>
  <c r="I5056" i="9"/>
  <c r="I5057" i="9"/>
  <c r="I5058" i="9"/>
  <c r="I5059" i="9"/>
  <c r="I5060" i="9"/>
  <c r="I5061" i="9"/>
  <c r="I5062" i="9"/>
  <c r="I5063" i="9"/>
  <c r="I5064" i="9"/>
  <c r="I5065" i="9"/>
  <c r="I5066" i="9"/>
  <c r="I5067" i="9"/>
  <c r="I5068" i="9"/>
  <c r="I5069" i="9"/>
  <c r="I5070" i="9"/>
  <c r="I5071" i="9"/>
  <c r="I5072" i="9"/>
  <c r="I5073" i="9"/>
  <c r="I5074" i="9"/>
  <c r="I5075" i="9"/>
  <c r="I5076" i="9"/>
  <c r="I5077" i="9"/>
  <c r="I5078" i="9"/>
  <c r="I5079" i="9"/>
  <c r="I5080" i="9"/>
  <c r="I5081" i="9"/>
  <c r="I5082" i="9"/>
  <c r="I5083" i="9"/>
  <c r="I5084" i="9"/>
  <c r="I5085" i="9"/>
  <c r="I5086" i="9"/>
  <c r="I5087" i="9"/>
  <c r="I5088" i="9"/>
  <c r="I5089" i="9"/>
  <c r="I5090" i="9"/>
  <c r="I5091" i="9"/>
  <c r="I5092" i="9"/>
  <c r="I5093" i="9"/>
  <c r="I5094" i="9"/>
  <c r="I5095" i="9"/>
  <c r="I5096" i="9"/>
  <c r="I5097" i="9"/>
  <c r="I5098" i="9"/>
  <c r="I5099" i="9"/>
  <c r="I5100" i="9"/>
  <c r="I5101" i="9"/>
  <c r="I5102" i="9"/>
  <c r="I5103" i="9"/>
  <c r="I5104" i="9"/>
  <c r="I5105" i="9"/>
  <c r="I5106" i="9"/>
  <c r="I5107" i="9"/>
  <c r="I5108" i="9"/>
  <c r="I5109" i="9"/>
  <c r="I5110" i="9"/>
  <c r="I5111" i="9"/>
  <c r="I5112" i="9"/>
  <c r="I5113" i="9"/>
  <c r="I5114" i="9"/>
  <c r="I5115" i="9"/>
  <c r="I5116" i="9"/>
  <c r="I5117" i="9"/>
  <c r="I5118" i="9"/>
  <c r="I5119" i="9"/>
  <c r="I5120" i="9"/>
  <c r="I5121" i="9"/>
  <c r="I5122" i="9"/>
  <c r="I5123" i="9"/>
  <c r="I5124" i="9"/>
  <c r="I5125" i="9"/>
  <c r="I5126" i="9"/>
  <c r="I5127" i="9"/>
  <c r="I5128" i="9"/>
  <c r="I5129" i="9"/>
  <c r="I5130" i="9"/>
  <c r="I5131" i="9"/>
  <c r="I5132" i="9"/>
  <c r="I5133" i="9"/>
  <c r="I5134" i="9"/>
  <c r="I5135" i="9"/>
  <c r="I5136" i="9"/>
  <c r="I5137" i="9"/>
  <c r="I5138" i="9"/>
  <c r="I5139" i="9"/>
  <c r="I5140" i="9"/>
  <c r="I5141" i="9"/>
  <c r="I5142" i="9"/>
  <c r="I5143" i="9"/>
  <c r="I5144" i="9"/>
  <c r="I5145" i="9"/>
  <c r="I5146" i="9"/>
  <c r="I5147" i="9"/>
  <c r="I5148" i="9"/>
  <c r="I5149" i="9"/>
  <c r="I5150" i="9"/>
  <c r="I5151" i="9"/>
  <c r="I5152" i="9"/>
  <c r="I5153" i="9"/>
  <c r="I5154" i="9"/>
  <c r="I5155" i="9"/>
  <c r="I5156" i="9"/>
  <c r="I5157" i="9"/>
  <c r="I5158" i="9"/>
  <c r="I5159" i="9"/>
  <c r="I5160" i="9"/>
  <c r="I5161" i="9"/>
  <c r="I5162" i="9"/>
  <c r="I5163" i="9"/>
  <c r="I5164" i="9"/>
  <c r="I5165" i="9"/>
  <c r="I5166" i="9"/>
  <c r="I5167" i="9"/>
  <c r="I5168" i="9"/>
  <c r="I5169" i="9"/>
  <c r="I5170" i="9"/>
  <c r="I5171" i="9"/>
  <c r="I5172" i="9"/>
  <c r="I5173" i="9"/>
  <c r="I5174" i="9"/>
  <c r="I5175" i="9"/>
  <c r="I5176" i="9"/>
  <c r="I5177" i="9"/>
  <c r="I5178" i="9"/>
  <c r="I5179" i="9"/>
  <c r="I5180" i="9"/>
  <c r="I5181" i="9"/>
  <c r="I5182" i="9"/>
  <c r="I5183" i="9"/>
  <c r="I5184" i="9"/>
  <c r="I5185" i="9"/>
  <c r="I5186" i="9"/>
  <c r="I5187" i="9"/>
  <c r="I5188" i="9"/>
  <c r="I5189" i="9"/>
  <c r="I5190" i="9"/>
  <c r="I5191" i="9"/>
  <c r="I5192" i="9"/>
  <c r="I5193" i="9"/>
  <c r="I5194" i="9"/>
  <c r="I5195" i="9"/>
  <c r="I5196" i="9"/>
  <c r="I5197" i="9"/>
  <c r="I5198" i="9"/>
  <c r="I5199" i="9"/>
  <c r="I5200" i="9"/>
  <c r="I5201" i="9"/>
  <c r="I5202" i="9"/>
  <c r="I5203" i="9"/>
  <c r="I5204" i="9"/>
  <c r="I5205" i="9"/>
  <c r="I5206" i="9"/>
  <c r="I5207" i="9"/>
  <c r="I5208" i="9"/>
  <c r="I5209" i="9"/>
  <c r="I5210" i="9"/>
  <c r="I5211" i="9"/>
  <c r="I5212" i="9"/>
  <c r="I5213" i="9"/>
  <c r="I5214" i="9"/>
  <c r="I5215" i="9"/>
  <c r="I5216" i="9"/>
  <c r="I5217" i="9"/>
  <c r="I5218" i="9"/>
  <c r="I5219" i="9"/>
  <c r="I5220" i="9"/>
  <c r="I5221" i="9"/>
  <c r="I5222" i="9"/>
  <c r="I5223" i="9"/>
  <c r="I5224" i="9"/>
  <c r="I5225" i="9"/>
  <c r="I5226" i="9"/>
  <c r="I5227" i="9"/>
  <c r="I5228" i="9"/>
  <c r="I5229" i="9"/>
  <c r="I5230" i="9"/>
  <c r="I5231" i="9"/>
  <c r="I5232" i="9"/>
  <c r="I5233" i="9"/>
  <c r="I5234" i="9"/>
  <c r="I5235" i="9"/>
  <c r="I5236" i="9"/>
  <c r="I5237" i="9"/>
  <c r="I5238" i="9"/>
  <c r="I5239" i="9"/>
  <c r="I5240" i="9"/>
  <c r="I5241" i="9"/>
  <c r="I5242" i="9"/>
  <c r="I5243" i="9"/>
  <c r="I5244" i="9"/>
  <c r="I5245" i="9"/>
  <c r="I5246" i="9"/>
  <c r="I5247" i="9"/>
  <c r="I5248" i="9"/>
  <c r="I5249" i="9"/>
  <c r="I5250" i="9"/>
  <c r="I5251" i="9"/>
  <c r="I5252" i="9"/>
  <c r="I5253" i="9"/>
  <c r="I5254" i="9"/>
  <c r="I5255" i="9"/>
  <c r="I5256" i="9"/>
  <c r="I5257" i="9"/>
  <c r="I5258" i="9"/>
  <c r="I5259" i="9"/>
  <c r="I5260" i="9"/>
  <c r="I5261" i="9"/>
  <c r="I5262" i="9"/>
  <c r="I5263" i="9"/>
  <c r="I5264" i="9"/>
  <c r="I5265" i="9"/>
  <c r="I5266" i="9"/>
  <c r="I5267" i="9"/>
  <c r="I5268" i="9"/>
  <c r="I5269" i="9"/>
  <c r="I5270" i="9"/>
  <c r="I5271" i="9"/>
  <c r="I5272" i="9"/>
  <c r="I5273" i="9"/>
  <c r="I5274" i="9"/>
  <c r="I5275" i="9"/>
  <c r="I5276" i="9"/>
  <c r="I5277" i="9"/>
  <c r="I5278" i="9"/>
  <c r="I5279" i="9"/>
  <c r="I5280" i="9"/>
  <c r="I5281" i="9"/>
  <c r="I5282" i="9"/>
  <c r="I5283" i="9"/>
  <c r="I5284" i="9"/>
  <c r="I5285" i="9"/>
  <c r="I5286" i="9"/>
  <c r="I5287" i="9"/>
  <c r="I5288" i="9"/>
  <c r="I5289" i="9"/>
  <c r="I5290" i="9"/>
  <c r="I5291" i="9"/>
  <c r="I5292" i="9"/>
  <c r="I5293" i="9"/>
  <c r="I5294" i="9"/>
  <c r="I5295" i="9"/>
  <c r="I5296" i="9"/>
  <c r="I5297" i="9"/>
  <c r="I5298" i="9"/>
  <c r="I5299" i="9"/>
  <c r="I5300" i="9"/>
  <c r="I5301" i="9"/>
  <c r="I5302" i="9"/>
  <c r="I5303" i="9"/>
  <c r="I5304" i="9"/>
  <c r="I5305" i="9"/>
  <c r="I5306" i="9"/>
  <c r="I5307" i="9"/>
  <c r="I5308" i="9"/>
  <c r="I5309" i="9"/>
  <c r="I5310" i="9"/>
  <c r="I5311" i="9"/>
  <c r="I5312" i="9"/>
  <c r="I5313" i="9"/>
  <c r="I5314" i="9"/>
  <c r="I5315" i="9"/>
  <c r="I5316" i="9"/>
  <c r="I5317" i="9"/>
  <c r="I5318" i="9"/>
  <c r="I5319" i="9"/>
  <c r="I5320" i="9"/>
  <c r="I5321" i="9"/>
  <c r="I5322" i="9"/>
  <c r="I5323" i="9"/>
  <c r="I5324" i="9"/>
  <c r="I5325" i="9"/>
  <c r="I5326" i="9"/>
  <c r="I5327" i="9"/>
  <c r="I5328" i="9"/>
  <c r="I5329" i="9"/>
  <c r="I5330" i="9"/>
  <c r="I5331" i="9"/>
  <c r="I5332" i="9"/>
  <c r="I5333" i="9"/>
  <c r="I5334" i="9"/>
  <c r="I5335" i="9"/>
  <c r="I5336" i="9"/>
  <c r="I5337" i="9"/>
  <c r="I5338" i="9"/>
  <c r="I5339" i="9"/>
  <c r="I5340" i="9"/>
  <c r="I5341" i="9"/>
  <c r="I5342" i="9"/>
  <c r="I5343" i="9"/>
  <c r="I5344" i="9"/>
  <c r="I5345" i="9"/>
  <c r="I5346" i="9"/>
  <c r="I5347" i="9"/>
  <c r="I5348" i="9"/>
  <c r="I5349" i="9"/>
  <c r="I5350" i="9"/>
  <c r="I5351" i="9"/>
  <c r="I5352" i="9"/>
  <c r="I5353" i="9"/>
  <c r="I5354" i="9"/>
  <c r="I5355" i="9"/>
  <c r="I5356" i="9"/>
  <c r="I5357" i="9"/>
  <c r="I5358" i="9"/>
  <c r="I5359" i="9"/>
  <c r="I5360" i="9"/>
  <c r="I5361" i="9"/>
  <c r="I5362" i="9"/>
  <c r="I5363" i="9"/>
  <c r="I5364" i="9"/>
  <c r="I5365" i="9"/>
  <c r="I5366" i="9"/>
  <c r="I5367" i="9"/>
  <c r="I5368" i="9"/>
  <c r="I5369" i="9"/>
  <c r="I5370" i="9"/>
  <c r="I5371" i="9"/>
  <c r="I5372" i="9"/>
  <c r="I5373" i="9"/>
  <c r="I5374" i="9"/>
  <c r="I5375" i="9"/>
  <c r="I5376" i="9"/>
  <c r="I5377" i="9"/>
  <c r="I5378" i="9"/>
  <c r="I5379" i="9"/>
  <c r="I5380" i="9"/>
  <c r="I5381" i="9"/>
  <c r="I5382" i="9"/>
  <c r="I5383" i="9"/>
  <c r="I5384" i="9"/>
  <c r="I5385" i="9"/>
  <c r="I5386" i="9"/>
  <c r="I5387" i="9"/>
  <c r="I5388" i="9"/>
  <c r="I5389" i="9"/>
  <c r="I5390" i="9"/>
  <c r="I5391" i="9"/>
  <c r="I5392" i="9"/>
  <c r="I5393" i="9"/>
  <c r="I5394" i="9"/>
  <c r="I5395" i="9"/>
  <c r="I5396" i="9"/>
  <c r="I5397" i="9"/>
  <c r="I5398" i="9"/>
  <c r="I5399" i="9"/>
  <c r="I5400" i="9"/>
  <c r="I5401" i="9"/>
  <c r="I5402" i="9"/>
  <c r="I5403" i="9"/>
  <c r="I5404" i="9"/>
  <c r="I5405" i="9"/>
  <c r="I5406" i="9"/>
  <c r="I5407" i="9"/>
  <c r="I5408" i="9"/>
  <c r="I5409" i="9"/>
  <c r="I5410" i="9"/>
  <c r="I5411" i="9"/>
  <c r="I5412" i="9"/>
  <c r="I5413" i="9"/>
  <c r="I5414" i="9"/>
  <c r="I5415" i="9"/>
  <c r="I5416" i="9"/>
  <c r="I5417" i="9"/>
  <c r="I5418" i="9"/>
  <c r="I5419" i="9"/>
  <c r="I5420" i="9"/>
  <c r="I5421" i="9"/>
  <c r="I5422" i="9"/>
  <c r="I5423" i="9"/>
  <c r="I5424" i="9"/>
  <c r="I5425" i="9"/>
  <c r="I5426" i="9"/>
  <c r="I5427" i="9"/>
  <c r="I5428" i="9"/>
  <c r="I5429" i="9"/>
  <c r="I5430" i="9"/>
  <c r="I5431" i="9"/>
  <c r="I5432" i="9"/>
  <c r="I5433" i="9"/>
  <c r="I5434" i="9"/>
  <c r="I5435" i="9"/>
  <c r="I5436" i="9"/>
  <c r="I5437" i="9"/>
  <c r="I5438" i="9"/>
  <c r="I5439" i="9"/>
  <c r="I5440" i="9"/>
  <c r="I5441" i="9"/>
  <c r="I5442" i="9"/>
  <c r="I5443" i="9"/>
  <c r="I5444" i="9"/>
  <c r="I5445" i="9"/>
  <c r="I5446" i="9"/>
  <c r="I5447" i="9"/>
  <c r="I5448" i="9"/>
  <c r="I5449" i="9"/>
  <c r="I5450" i="9"/>
  <c r="I5451" i="9"/>
  <c r="I5452" i="9"/>
  <c r="I5453" i="9"/>
  <c r="I5454" i="9"/>
  <c r="I5455" i="9"/>
  <c r="I5456" i="9"/>
  <c r="I5457" i="9"/>
  <c r="I5458" i="9"/>
  <c r="I5459" i="9"/>
  <c r="I5460" i="9"/>
  <c r="I5461" i="9"/>
  <c r="I5462" i="9"/>
  <c r="I5463" i="9"/>
  <c r="I5464" i="9"/>
  <c r="I5465" i="9"/>
  <c r="I5466" i="9"/>
  <c r="I5467" i="9"/>
  <c r="I5468" i="9"/>
  <c r="I5469" i="9"/>
  <c r="I5470" i="9"/>
  <c r="I5471" i="9"/>
  <c r="I5472" i="9"/>
  <c r="I5473" i="9"/>
  <c r="I5474" i="9"/>
  <c r="I5475" i="9"/>
  <c r="I5476" i="9"/>
  <c r="I5477" i="9"/>
  <c r="I5478" i="9"/>
  <c r="I5479" i="9"/>
  <c r="I5480" i="9"/>
  <c r="I5481" i="9"/>
  <c r="I5482" i="9"/>
  <c r="I5483" i="9"/>
  <c r="I5484" i="9"/>
  <c r="I5485" i="9"/>
  <c r="I5486" i="9"/>
  <c r="I5487" i="9"/>
  <c r="I5488" i="9"/>
  <c r="I5489" i="9"/>
  <c r="I5490" i="9"/>
  <c r="I5491" i="9"/>
  <c r="I5492" i="9"/>
  <c r="I5493" i="9"/>
  <c r="I5494" i="9"/>
  <c r="I5495" i="9"/>
  <c r="I5496" i="9"/>
  <c r="I5497" i="9"/>
  <c r="I5498" i="9"/>
  <c r="I5499" i="9"/>
  <c r="I5500" i="9"/>
  <c r="I5501" i="9"/>
  <c r="I5502" i="9"/>
  <c r="I5503" i="9"/>
  <c r="I5504" i="9"/>
  <c r="I5505" i="9"/>
  <c r="I5506" i="9"/>
  <c r="I5507" i="9"/>
  <c r="I5508" i="9"/>
  <c r="I5509" i="9"/>
  <c r="I5510" i="9"/>
  <c r="I5511" i="9"/>
  <c r="I5512" i="9"/>
  <c r="I5513" i="9"/>
  <c r="I5514" i="9"/>
  <c r="I5515" i="9"/>
  <c r="I5516" i="9"/>
  <c r="I5517" i="9"/>
  <c r="I5518" i="9"/>
  <c r="I5519" i="9"/>
  <c r="I5520" i="9"/>
  <c r="I5521" i="9"/>
  <c r="I5522" i="9"/>
  <c r="I5523" i="9"/>
  <c r="I5524" i="9"/>
  <c r="I5525" i="9"/>
  <c r="I5526" i="9"/>
  <c r="I5527" i="9"/>
  <c r="I5528" i="9"/>
  <c r="I5529" i="9"/>
  <c r="I5530" i="9"/>
  <c r="I5531" i="9"/>
  <c r="I5532" i="9"/>
  <c r="I5533" i="9"/>
  <c r="I5534" i="9"/>
  <c r="I5535" i="9"/>
  <c r="I5536" i="9"/>
  <c r="I5537" i="9"/>
  <c r="I5538" i="9"/>
  <c r="I5539" i="9"/>
  <c r="I5540" i="9"/>
  <c r="I5541" i="9"/>
  <c r="I5542" i="9"/>
  <c r="I5543" i="9"/>
  <c r="I5544" i="9"/>
  <c r="I5545" i="9"/>
  <c r="I5546" i="9"/>
  <c r="I5547" i="9"/>
  <c r="I5548" i="9"/>
  <c r="I5549" i="9"/>
  <c r="I5550" i="9"/>
  <c r="I5551" i="9"/>
  <c r="I5552" i="9"/>
  <c r="I5553" i="9"/>
  <c r="I5554" i="9"/>
  <c r="I5555" i="9"/>
  <c r="I5556" i="9"/>
  <c r="I5557" i="9"/>
  <c r="I5558" i="9"/>
  <c r="I5559" i="9"/>
  <c r="I5560" i="9"/>
  <c r="I5561" i="9"/>
  <c r="I5562" i="9"/>
  <c r="I5563" i="9"/>
  <c r="I5564" i="9"/>
  <c r="I5565" i="9"/>
  <c r="I5566" i="9"/>
  <c r="I5567" i="9"/>
  <c r="I5568" i="9"/>
  <c r="I5569" i="9"/>
  <c r="I5570" i="9"/>
  <c r="I5571" i="9"/>
  <c r="I5572" i="9"/>
  <c r="I5573" i="9"/>
  <c r="I5574" i="9"/>
  <c r="I5575" i="9"/>
  <c r="I5576" i="9"/>
  <c r="I5577" i="9"/>
  <c r="I5578" i="9"/>
  <c r="I5579" i="9"/>
  <c r="I5580" i="9"/>
  <c r="I5581" i="9"/>
  <c r="I5582" i="9"/>
  <c r="I5583" i="9"/>
  <c r="I5584" i="9"/>
  <c r="I5585" i="9"/>
  <c r="I5586" i="9"/>
  <c r="I5587" i="9"/>
  <c r="I5588" i="9"/>
  <c r="I5589" i="9"/>
  <c r="I5590" i="9"/>
  <c r="I5591" i="9"/>
  <c r="I5592" i="9"/>
  <c r="I5593" i="9"/>
  <c r="I5594" i="9"/>
  <c r="I5595" i="9"/>
  <c r="I5596" i="9"/>
  <c r="I5597" i="9"/>
  <c r="I5598" i="9"/>
  <c r="I5599" i="9"/>
  <c r="I5600" i="9"/>
  <c r="I5601" i="9"/>
  <c r="I5602" i="9"/>
  <c r="I5603" i="9"/>
  <c r="I5604" i="9"/>
  <c r="I5605" i="9"/>
  <c r="I5606" i="9"/>
  <c r="I5607" i="9"/>
  <c r="I5608" i="9"/>
  <c r="I5609" i="9"/>
  <c r="I5610" i="9"/>
  <c r="I5611" i="9"/>
  <c r="I5612" i="9"/>
  <c r="I5613" i="9"/>
  <c r="I5614" i="9"/>
  <c r="I5615" i="9"/>
  <c r="I5616" i="9"/>
  <c r="I5617" i="9"/>
  <c r="I5618" i="9"/>
  <c r="I5619" i="9"/>
  <c r="I5620" i="9"/>
  <c r="I5621" i="9"/>
  <c r="I5622" i="9"/>
  <c r="I5623" i="9"/>
  <c r="I5624" i="9"/>
  <c r="I5625" i="9"/>
  <c r="I5626" i="9"/>
  <c r="I5627" i="9"/>
  <c r="I5628" i="9"/>
  <c r="I5629" i="9"/>
  <c r="I5630" i="9"/>
  <c r="I5631" i="9"/>
  <c r="I5632" i="9"/>
  <c r="I5633" i="9"/>
  <c r="I5634" i="9"/>
  <c r="I5635" i="9"/>
  <c r="I5636" i="9"/>
  <c r="I5637" i="9"/>
  <c r="I5638" i="9"/>
  <c r="I5639" i="9"/>
  <c r="I5640" i="9"/>
  <c r="I5641" i="9"/>
  <c r="I5642" i="9"/>
  <c r="I5643" i="9"/>
  <c r="I5644" i="9"/>
  <c r="I5645" i="9"/>
  <c r="I5646" i="9"/>
  <c r="I5647" i="9"/>
  <c r="I5648" i="9"/>
  <c r="I5649" i="9"/>
  <c r="I5650" i="9"/>
  <c r="I5651" i="9"/>
  <c r="I5652" i="9"/>
  <c r="I5653" i="9"/>
  <c r="I5654" i="9"/>
  <c r="I5655" i="9"/>
  <c r="I5656" i="9"/>
  <c r="I5657" i="9"/>
  <c r="I5658" i="9"/>
  <c r="I5659" i="9"/>
  <c r="I5660" i="9"/>
  <c r="I5661" i="9"/>
  <c r="I5662" i="9"/>
  <c r="I5663" i="9"/>
  <c r="I5664" i="9"/>
  <c r="I5665" i="9"/>
  <c r="I5666" i="9"/>
  <c r="I5667" i="9"/>
  <c r="I5668" i="9"/>
  <c r="I5669" i="9"/>
  <c r="I5670" i="9"/>
  <c r="I5671" i="9"/>
  <c r="I5672" i="9"/>
  <c r="I5673" i="9"/>
  <c r="I5674" i="9"/>
  <c r="I5675" i="9"/>
  <c r="I5676" i="9"/>
  <c r="I5677" i="9"/>
  <c r="I5678" i="9"/>
  <c r="I5679" i="9"/>
  <c r="I5680" i="9"/>
  <c r="I5681" i="9"/>
  <c r="I5682" i="9"/>
  <c r="I5683" i="9"/>
  <c r="I5684" i="9"/>
  <c r="I5685" i="9"/>
  <c r="I5686" i="9"/>
  <c r="I5687" i="9"/>
  <c r="I5688" i="9"/>
  <c r="I5689" i="9"/>
  <c r="I5690" i="9"/>
  <c r="I5691" i="9"/>
  <c r="I5692" i="9"/>
  <c r="I5693" i="9"/>
  <c r="I5694" i="9"/>
  <c r="I5695" i="9"/>
  <c r="I5696" i="9"/>
  <c r="I5697" i="9"/>
  <c r="I5698" i="9"/>
  <c r="I5699" i="9"/>
  <c r="I5700" i="9"/>
  <c r="I5701" i="9"/>
  <c r="I5702" i="9"/>
  <c r="I5703" i="9"/>
  <c r="I5704" i="9"/>
  <c r="I5705" i="9"/>
  <c r="I5706" i="9"/>
  <c r="I5707" i="9"/>
  <c r="I5708" i="9"/>
  <c r="I5709" i="9"/>
  <c r="I5710" i="9"/>
  <c r="I5711" i="9"/>
  <c r="I5712" i="9"/>
  <c r="I5713" i="9"/>
  <c r="I5714" i="9"/>
  <c r="I5715" i="9"/>
  <c r="I5716" i="9"/>
  <c r="I5717" i="9"/>
  <c r="I5718" i="9"/>
  <c r="I5719" i="9"/>
  <c r="I5720" i="9"/>
  <c r="I5721" i="9"/>
  <c r="I5722" i="9"/>
  <c r="I5723" i="9"/>
  <c r="I5724" i="9"/>
  <c r="I5725" i="9"/>
  <c r="I5726" i="9"/>
  <c r="I5727" i="9"/>
  <c r="I5728" i="9"/>
  <c r="I5729" i="9"/>
  <c r="I5730" i="9"/>
  <c r="I5731" i="9"/>
  <c r="I5732" i="9"/>
  <c r="I5733" i="9"/>
  <c r="I5734" i="9"/>
  <c r="I5735" i="9"/>
  <c r="I5736" i="9"/>
  <c r="I5737" i="9"/>
  <c r="I5738" i="9"/>
  <c r="I5739" i="9"/>
  <c r="I5740" i="9"/>
  <c r="I5741" i="9"/>
  <c r="I5742" i="9"/>
  <c r="I5743" i="9"/>
  <c r="I5744" i="9"/>
  <c r="I5745" i="9"/>
  <c r="I5746" i="9"/>
  <c r="I5747" i="9"/>
  <c r="I5748" i="9"/>
  <c r="I5749" i="9"/>
  <c r="I5750" i="9"/>
  <c r="I5751" i="9"/>
  <c r="I5752" i="9"/>
  <c r="I5753" i="9"/>
  <c r="I5754" i="9"/>
  <c r="I5755" i="9"/>
  <c r="I5756" i="9"/>
  <c r="I5757" i="9"/>
  <c r="I5758" i="9"/>
  <c r="I5759" i="9"/>
  <c r="I5760" i="9"/>
  <c r="I5761" i="9"/>
  <c r="I5762" i="9"/>
  <c r="I5763" i="9"/>
  <c r="I5764" i="9"/>
  <c r="I5765" i="9"/>
  <c r="I5766" i="9"/>
  <c r="I5767" i="9"/>
  <c r="I5768" i="9"/>
  <c r="I5769" i="9"/>
  <c r="I5770" i="9"/>
  <c r="I5771" i="9"/>
  <c r="I5772" i="9"/>
  <c r="I5773" i="9"/>
  <c r="I5774" i="9"/>
  <c r="I5775" i="9"/>
  <c r="I5776" i="9"/>
  <c r="I5777" i="9"/>
  <c r="I5778" i="9"/>
  <c r="I5779" i="9"/>
  <c r="I5780" i="9"/>
  <c r="I5781" i="9"/>
  <c r="I5782" i="9"/>
  <c r="I5783" i="9"/>
  <c r="I5784" i="9"/>
  <c r="I5785" i="9"/>
  <c r="I5786" i="9"/>
  <c r="I5787" i="9"/>
  <c r="I5788" i="9"/>
  <c r="I5789" i="9"/>
  <c r="I5790" i="9"/>
  <c r="I5791" i="9"/>
  <c r="I5792" i="9"/>
  <c r="I5793" i="9"/>
  <c r="I5794" i="9"/>
  <c r="I5795" i="9"/>
  <c r="I5796" i="9"/>
  <c r="I5797" i="9"/>
  <c r="I5798" i="9"/>
  <c r="I5799" i="9"/>
  <c r="I5800" i="9"/>
  <c r="I5801" i="9"/>
  <c r="I5802" i="9"/>
  <c r="I5803" i="9"/>
  <c r="I5804" i="9"/>
  <c r="I5805" i="9"/>
  <c r="I5806" i="9"/>
  <c r="I5807" i="9"/>
  <c r="I5808" i="9"/>
  <c r="I5809" i="9"/>
  <c r="I5810" i="9"/>
  <c r="I5811" i="9"/>
  <c r="I5812" i="9"/>
  <c r="I5813" i="9"/>
  <c r="I5814" i="9"/>
  <c r="I5815" i="9"/>
  <c r="I5816" i="9"/>
  <c r="I5817" i="9"/>
  <c r="I5818" i="9"/>
  <c r="I5819" i="9"/>
  <c r="I5820" i="9"/>
  <c r="I5821" i="9"/>
  <c r="I5822" i="9"/>
  <c r="I5823" i="9"/>
  <c r="I5824" i="9"/>
  <c r="I5825" i="9"/>
  <c r="I5826" i="9"/>
  <c r="I5827" i="9"/>
  <c r="I5828" i="9"/>
  <c r="I5829" i="9"/>
  <c r="I5830" i="9"/>
  <c r="I5831" i="9"/>
  <c r="I5832" i="9"/>
  <c r="I5833" i="9"/>
  <c r="I5834" i="9"/>
  <c r="I5835" i="9"/>
  <c r="I5836" i="9"/>
  <c r="I5837" i="9"/>
  <c r="I5838" i="9"/>
  <c r="I5839" i="9"/>
  <c r="I5840" i="9"/>
  <c r="I5841" i="9"/>
  <c r="I5842" i="9"/>
  <c r="I5843" i="9"/>
  <c r="I5844" i="9"/>
  <c r="I5845" i="9"/>
  <c r="I5846" i="9"/>
  <c r="I5847" i="9"/>
  <c r="I5848" i="9"/>
  <c r="I5849" i="9"/>
  <c r="I5850" i="9"/>
  <c r="I5851" i="9"/>
  <c r="I5852" i="9"/>
  <c r="I5853" i="9"/>
  <c r="I5854" i="9"/>
  <c r="I5855" i="9"/>
  <c r="I5856" i="9"/>
  <c r="I5857" i="9"/>
  <c r="I5858" i="9"/>
  <c r="I5859" i="9"/>
  <c r="I5860" i="9"/>
  <c r="I5861" i="9"/>
  <c r="I5862" i="9"/>
  <c r="I5863" i="9"/>
  <c r="I5864" i="9"/>
  <c r="I5865" i="9"/>
  <c r="I5866" i="9"/>
  <c r="I5867" i="9"/>
  <c r="I5868" i="9"/>
  <c r="I5869" i="9"/>
  <c r="I5870" i="9"/>
  <c r="I5871" i="9"/>
  <c r="I5872" i="9"/>
  <c r="I5873" i="9"/>
  <c r="I5874" i="9"/>
  <c r="I5875" i="9"/>
  <c r="I5876" i="9"/>
  <c r="I5877" i="9"/>
  <c r="I5878" i="9"/>
  <c r="I5879" i="9"/>
  <c r="I5880" i="9"/>
  <c r="I5881" i="9"/>
  <c r="I5882" i="9"/>
  <c r="I5883" i="9"/>
  <c r="I5884" i="9"/>
  <c r="I5885" i="9"/>
  <c r="I5886" i="9"/>
  <c r="I5887" i="9"/>
  <c r="I5888" i="9"/>
  <c r="I5889" i="9"/>
  <c r="I5890" i="9"/>
  <c r="I5891" i="9"/>
  <c r="I5892" i="9"/>
  <c r="I5893" i="9"/>
  <c r="I5894" i="9"/>
  <c r="I5895" i="9"/>
  <c r="I5896" i="9"/>
  <c r="I5897" i="9"/>
  <c r="I5898" i="9"/>
  <c r="I5899" i="9"/>
  <c r="I5900" i="9"/>
  <c r="I5901" i="9"/>
  <c r="I5902" i="9"/>
  <c r="I5903" i="9"/>
  <c r="I5904" i="9"/>
  <c r="I5905" i="9"/>
  <c r="I5906" i="9"/>
  <c r="I5907" i="9"/>
  <c r="I5908" i="9"/>
  <c r="I5909" i="9"/>
  <c r="I5910" i="9"/>
  <c r="I5911" i="9"/>
  <c r="I5912" i="9"/>
  <c r="I5913" i="9"/>
  <c r="I5914" i="9"/>
  <c r="I5915" i="9"/>
  <c r="I5916" i="9"/>
  <c r="I5917" i="9"/>
  <c r="I5918" i="9"/>
  <c r="I5919" i="9"/>
  <c r="I5920" i="9"/>
  <c r="I5921" i="9"/>
  <c r="I5922" i="9"/>
  <c r="I5923" i="9"/>
  <c r="I5924" i="9"/>
  <c r="I5925" i="9"/>
  <c r="I5926" i="9"/>
  <c r="I5927" i="9"/>
  <c r="I5928" i="9"/>
  <c r="I5929" i="9"/>
  <c r="I5930" i="9"/>
  <c r="I5931" i="9"/>
  <c r="I5932" i="9"/>
  <c r="I5933" i="9"/>
  <c r="I5934" i="9"/>
  <c r="I5935" i="9"/>
  <c r="I5936" i="9"/>
  <c r="I5937" i="9"/>
  <c r="I5938" i="9"/>
  <c r="I5939" i="9"/>
  <c r="I5940" i="9"/>
  <c r="I5941" i="9"/>
  <c r="I5942" i="9"/>
  <c r="I5943" i="9"/>
  <c r="I5944" i="9"/>
  <c r="I5945" i="9"/>
  <c r="I5946" i="9"/>
  <c r="I5947" i="9"/>
  <c r="I5948" i="9"/>
  <c r="I5949" i="9"/>
  <c r="I5950" i="9"/>
  <c r="I5951" i="9"/>
  <c r="I5952" i="9"/>
  <c r="I5953" i="9"/>
  <c r="I5954" i="9"/>
  <c r="I5955" i="9"/>
  <c r="I5956" i="9"/>
  <c r="I5957" i="9"/>
  <c r="I5958" i="9"/>
  <c r="I5959" i="9"/>
  <c r="I5960" i="9"/>
  <c r="I5961" i="9"/>
  <c r="I5962" i="9"/>
  <c r="I5963" i="9"/>
  <c r="I5964" i="9"/>
  <c r="I5965" i="9"/>
  <c r="I5966" i="9"/>
  <c r="I5967" i="9"/>
  <c r="I5968" i="9"/>
  <c r="I5969" i="9"/>
  <c r="I5970" i="9"/>
  <c r="I5971" i="9"/>
  <c r="I5972" i="9"/>
  <c r="I5973" i="9"/>
  <c r="I5974" i="9"/>
  <c r="I5975" i="9"/>
  <c r="I5976" i="9"/>
  <c r="I5977" i="9"/>
  <c r="I5978" i="9"/>
  <c r="I5979" i="9"/>
  <c r="I5980" i="9"/>
  <c r="I5981" i="9"/>
  <c r="I5982" i="9"/>
  <c r="I5983" i="9"/>
  <c r="I5984" i="9"/>
  <c r="I5985" i="9"/>
  <c r="I5986" i="9"/>
  <c r="I5987" i="9"/>
  <c r="I5988" i="9"/>
  <c r="I5989" i="9"/>
  <c r="I5990" i="9"/>
  <c r="I5991" i="9"/>
  <c r="I5992" i="9"/>
  <c r="I5993" i="9"/>
  <c r="I5994" i="9"/>
  <c r="I5995" i="9"/>
  <c r="I5996" i="9"/>
  <c r="I5997" i="9"/>
  <c r="I5998" i="9"/>
  <c r="I5999" i="9"/>
  <c r="I6000" i="9"/>
  <c r="I6001" i="9"/>
  <c r="I6002" i="9"/>
  <c r="I6003" i="9"/>
  <c r="I6004" i="9"/>
  <c r="I6005" i="9"/>
  <c r="I6006" i="9"/>
  <c r="I6007" i="9"/>
  <c r="I6008" i="9"/>
  <c r="I6009" i="9"/>
  <c r="I6010" i="9"/>
  <c r="I6011" i="9"/>
  <c r="I6012" i="9"/>
  <c r="I6013" i="9"/>
  <c r="I6014" i="9"/>
  <c r="I6015" i="9"/>
  <c r="I6016" i="9"/>
  <c r="I6017" i="9"/>
  <c r="I6018" i="9"/>
  <c r="I6019" i="9"/>
  <c r="I6020" i="9"/>
  <c r="I6021" i="9"/>
  <c r="I6022" i="9"/>
  <c r="I6023" i="9"/>
  <c r="I6024" i="9"/>
  <c r="I6025" i="9"/>
  <c r="I6026" i="9"/>
  <c r="I6027" i="9"/>
  <c r="I6028" i="9"/>
  <c r="I6029" i="9"/>
  <c r="I6030" i="9"/>
  <c r="I6031" i="9"/>
  <c r="I6032" i="9"/>
  <c r="I6033" i="9"/>
  <c r="I6034" i="9"/>
  <c r="I6035" i="9"/>
  <c r="I6036" i="9"/>
  <c r="I6037" i="9"/>
  <c r="I6038" i="9"/>
  <c r="I6039" i="9"/>
  <c r="I6040" i="9"/>
  <c r="I6041" i="9"/>
  <c r="I6042" i="9"/>
  <c r="I6043" i="9"/>
  <c r="I6044" i="9"/>
  <c r="I6045" i="9"/>
  <c r="I6046" i="9"/>
  <c r="I6047" i="9"/>
  <c r="I6048" i="9"/>
  <c r="I6049" i="9"/>
  <c r="I6050" i="9"/>
  <c r="I6051" i="9"/>
  <c r="I6052" i="9"/>
  <c r="I6053" i="9"/>
  <c r="I6054" i="9"/>
  <c r="I6055" i="9"/>
  <c r="I6056" i="9"/>
  <c r="I6057" i="9"/>
  <c r="I6058" i="9"/>
  <c r="I6059" i="9"/>
  <c r="I6060" i="9"/>
  <c r="I6061" i="9"/>
  <c r="I6062" i="9"/>
  <c r="I6063" i="9"/>
  <c r="I6064" i="9"/>
  <c r="I6065" i="9"/>
  <c r="I6066" i="9"/>
  <c r="I6067" i="9"/>
  <c r="I6068" i="9"/>
  <c r="I6069" i="9"/>
  <c r="I6070" i="9"/>
  <c r="I6071" i="9"/>
  <c r="I6072" i="9"/>
  <c r="I6073" i="9"/>
  <c r="I6074" i="9"/>
  <c r="I6075" i="9"/>
  <c r="I6076" i="9"/>
  <c r="I6077" i="9"/>
  <c r="I6078" i="9"/>
  <c r="I6079" i="9"/>
  <c r="I6080" i="9"/>
  <c r="I6081" i="9"/>
  <c r="I6082" i="9"/>
  <c r="I6083" i="9"/>
  <c r="I6084" i="9"/>
  <c r="I6085" i="9"/>
  <c r="I6086" i="9"/>
  <c r="I6087" i="9"/>
  <c r="I6088" i="9"/>
  <c r="I6089" i="9"/>
  <c r="I6090" i="9"/>
  <c r="I6091" i="9"/>
  <c r="I6092" i="9"/>
  <c r="I6093" i="9"/>
  <c r="I6094" i="9"/>
  <c r="I6095" i="9"/>
  <c r="I6096" i="9"/>
  <c r="I6097" i="9"/>
  <c r="I6098" i="9"/>
  <c r="I6099" i="9"/>
  <c r="I6100" i="9"/>
  <c r="I6101" i="9"/>
  <c r="I6102" i="9"/>
  <c r="I6103" i="9"/>
  <c r="I6104" i="9"/>
  <c r="I6105" i="9"/>
  <c r="I6106" i="9"/>
  <c r="I6107" i="9"/>
  <c r="I6108" i="9"/>
  <c r="I6109" i="9"/>
  <c r="I6110" i="9"/>
  <c r="I6111" i="9"/>
  <c r="I6112" i="9"/>
  <c r="I6113" i="9"/>
  <c r="I6114" i="9"/>
  <c r="I6115" i="9"/>
  <c r="I6116" i="9"/>
  <c r="I6117" i="9"/>
  <c r="I6118" i="9"/>
  <c r="I6119" i="9"/>
  <c r="I6120" i="9"/>
  <c r="I6121" i="9"/>
  <c r="I6122" i="9"/>
  <c r="I6123" i="9"/>
  <c r="I6124" i="9"/>
  <c r="I6125" i="9"/>
  <c r="I6126" i="9"/>
  <c r="I6127" i="9"/>
  <c r="I6128" i="9"/>
  <c r="I6129" i="9"/>
  <c r="I6130" i="9"/>
  <c r="I6131" i="9"/>
  <c r="I6132" i="9"/>
  <c r="I6133" i="9"/>
  <c r="I6134" i="9"/>
  <c r="I6135" i="9"/>
  <c r="I6136" i="9"/>
  <c r="I6137" i="9"/>
  <c r="I6138" i="9"/>
  <c r="I6139" i="9"/>
  <c r="I6140" i="9"/>
  <c r="I6141" i="9"/>
  <c r="I6142" i="9"/>
  <c r="I6143" i="9"/>
  <c r="I6144" i="9"/>
  <c r="I6145" i="9"/>
  <c r="I6146" i="9"/>
  <c r="I6147" i="9"/>
  <c r="I6148" i="9"/>
  <c r="I6149" i="9"/>
  <c r="I6150" i="9"/>
  <c r="I6151" i="9"/>
  <c r="I6152" i="9"/>
  <c r="I6153" i="9"/>
  <c r="I6154" i="9"/>
  <c r="I6155" i="9"/>
  <c r="I6156" i="9"/>
  <c r="I6157" i="9"/>
  <c r="I6158" i="9"/>
  <c r="I6159" i="9"/>
  <c r="I6160" i="9"/>
  <c r="I6161" i="9"/>
  <c r="I6162" i="9"/>
  <c r="I6163" i="9"/>
  <c r="I6164" i="9"/>
  <c r="I6165" i="9"/>
  <c r="I6166" i="9"/>
  <c r="I6167" i="9"/>
  <c r="I6168" i="9"/>
  <c r="I6169" i="9"/>
  <c r="I6170" i="9"/>
  <c r="I6171" i="9"/>
  <c r="I6172" i="9"/>
  <c r="I6173" i="9"/>
  <c r="I6174" i="9"/>
  <c r="I6175" i="9"/>
  <c r="I6176" i="9"/>
  <c r="I6177" i="9"/>
  <c r="I6178" i="9"/>
  <c r="I6179" i="9"/>
  <c r="I6180" i="9"/>
  <c r="I6181" i="9"/>
  <c r="I6182" i="9"/>
  <c r="I6183" i="9"/>
  <c r="I6184" i="9"/>
  <c r="I6185" i="9"/>
  <c r="I6186" i="9"/>
  <c r="I6187" i="9"/>
  <c r="I6188" i="9"/>
  <c r="I6189" i="9"/>
  <c r="I6190" i="9"/>
  <c r="I6191" i="9"/>
  <c r="I6192" i="9"/>
  <c r="I6193" i="9"/>
  <c r="I6194" i="9"/>
  <c r="I6195" i="9"/>
  <c r="I6196" i="9"/>
  <c r="I6197" i="9"/>
  <c r="I6198" i="9"/>
  <c r="I6199" i="9"/>
  <c r="I6200" i="9"/>
  <c r="I6201" i="9"/>
  <c r="I6202" i="9"/>
  <c r="I6203" i="9"/>
  <c r="I6204" i="9"/>
  <c r="I6205" i="9"/>
  <c r="I6206" i="9"/>
  <c r="I6207" i="9"/>
  <c r="I6208" i="9"/>
  <c r="I6209" i="9"/>
  <c r="I6210" i="9"/>
  <c r="I6211" i="9"/>
  <c r="I6212" i="9"/>
  <c r="I6213" i="9"/>
  <c r="I6214" i="9"/>
  <c r="I6215" i="9"/>
  <c r="I6216" i="9"/>
  <c r="I6217" i="9"/>
  <c r="I6218" i="9"/>
  <c r="I6219" i="9"/>
  <c r="I6220" i="9"/>
  <c r="I6221" i="9"/>
  <c r="I6222" i="9"/>
  <c r="I6223" i="9"/>
  <c r="I6224" i="9"/>
  <c r="I6225" i="9"/>
  <c r="I6226" i="9"/>
  <c r="I6227" i="9"/>
  <c r="I6228" i="9"/>
  <c r="I6229" i="9"/>
  <c r="I6230" i="9"/>
  <c r="I6231" i="9"/>
  <c r="I6232" i="9"/>
  <c r="I6233" i="9"/>
  <c r="I6234" i="9"/>
  <c r="I6235" i="9"/>
  <c r="I6236" i="9"/>
  <c r="I6237" i="9"/>
  <c r="I6238" i="9"/>
  <c r="I6239" i="9"/>
  <c r="I6240" i="9"/>
  <c r="I6241" i="9"/>
  <c r="I6242" i="9"/>
  <c r="I6243" i="9"/>
  <c r="I6244" i="9"/>
  <c r="I6245" i="9"/>
  <c r="I6246" i="9"/>
  <c r="I6247" i="9"/>
  <c r="I6248" i="9"/>
  <c r="I6249" i="9"/>
  <c r="I6250" i="9"/>
  <c r="I6251" i="9"/>
  <c r="I6252" i="9"/>
  <c r="I6253" i="9"/>
  <c r="I6254" i="9"/>
  <c r="I6255" i="9"/>
  <c r="I6256" i="9"/>
  <c r="I6257" i="9"/>
  <c r="I6258" i="9"/>
  <c r="I6259" i="9"/>
  <c r="I6260" i="9"/>
  <c r="I6261" i="9"/>
  <c r="I6262" i="9"/>
  <c r="I6263" i="9"/>
  <c r="I6264" i="9"/>
  <c r="I6265" i="9"/>
  <c r="I6266" i="9"/>
  <c r="I6267" i="9"/>
  <c r="I6268" i="9"/>
  <c r="I6269" i="9"/>
  <c r="I6270" i="9"/>
  <c r="I6271" i="9"/>
  <c r="I6272" i="9"/>
  <c r="I6273" i="9"/>
  <c r="I6274" i="9"/>
  <c r="I6275" i="9"/>
  <c r="I6276" i="9"/>
  <c r="I6277" i="9"/>
  <c r="I6278" i="9"/>
  <c r="I6279" i="9"/>
  <c r="I6280" i="9"/>
  <c r="I6281" i="9"/>
  <c r="I6282" i="9"/>
  <c r="I6283" i="9"/>
  <c r="I6284" i="9"/>
  <c r="I6285" i="9"/>
  <c r="I6286" i="9"/>
  <c r="I6287" i="9"/>
  <c r="I6288" i="9"/>
  <c r="I6289" i="9"/>
  <c r="I6290" i="9"/>
  <c r="I6291" i="9"/>
  <c r="I6292" i="9"/>
  <c r="I6293" i="9"/>
  <c r="I6294" i="9"/>
  <c r="I6295" i="9"/>
  <c r="I6296" i="9"/>
  <c r="I6297" i="9"/>
  <c r="I6298" i="9"/>
  <c r="I6299" i="9"/>
  <c r="I6300" i="9"/>
  <c r="I6301" i="9"/>
  <c r="I6302" i="9"/>
  <c r="I6303" i="9"/>
  <c r="I6304" i="9"/>
  <c r="I6305" i="9"/>
  <c r="I6306" i="9"/>
  <c r="I6307" i="9"/>
  <c r="I6308" i="9"/>
  <c r="I6309" i="9"/>
  <c r="I6310" i="9"/>
  <c r="I6311" i="9"/>
  <c r="I6312" i="9"/>
  <c r="I6313" i="9"/>
  <c r="I6314" i="9"/>
  <c r="I6315" i="9"/>
  <c r="I6316" i="9"/>
  <c r="I6317" i="9"/>
  <c r="I6318" i="9"/>
  <c r="I6319" i="9"/>
  <c r="I6320" i="9"/>
  <c r="I6321" i="9"/>
  <c r="I6322" i="9"/>
  <c r="I6323" i="9"/>
  <c r="I6324" i="9"/>
  <c r="I6325" i="9"/>
  <c r="I6326" i="9"/>
  <c r="I6327" i="9"/>
  <c r="I6328" i="9"/>
  <c r="I6329" i="9"/>
  <c r="I6330" i="9"/>
  <c r="I6331" i="9"/>
  <c r="I6332" i="9"/>
  <c r="I6333" i="9"/>
  <c r="I6334" i="9"/>
  <c r="I6335" i="9"/>
  <c r="I6336" i="9"/>
  <c r="I6337" i="9"/>
  <c r="I6338" i="9"/>
  <c r="I6339" i="9"/>
  <c r="I6340" i="9"/>
  <c r="I6341" i="9"/>
  <c r="I6342" i="9"/>
  <c r="I6343" i="9"/>
  <c r="I6344" i="9"/>
  <c r="I6345" i="9"/>
  <c r="I6346" i="9"/>
  <c r="I6347" i="9"/>
  <c r="I6348" i="9"/>
  <c r="I6349" i="9"/>
  <c r="I6350" i="9"/>
  <c r="I6351" i="9"/>
  <c r="I6352" i="9"/>
  <c r="I6353" i="9"/>
  <c r="I6354" i="9"/>
  <c r="I6355" i="9"/>
  <c r="I6356" i="9"/>
  <c r="I6357" i="9"/>
  <c r="I6358" i="9"/>
  <c r="I6359" i="9"/>
  <c r="I6360" i="9"/>
  <c r="I6361" i="9"/>
  <c r="I6362" i="9"/>
  <c r="I6363" i="9"/>
  <c r="I6364" i="9"/>
  <c r="I6365" i="9"/>
  <c r="I6366" i="9"/>
  <c r="I6367" i="9"/>
  <c r="I6368" i="9"/>
  <c r="I6369" i="9"/>
  <c r="I6370" i="9"/>
  <c r="I6371" i="9"/>
  <c r="I6372" i="9"/>
  <c r="I6373" i="9"/>
  <c r="I6374" i="9"/>
  <c r="I6375" i="9"/>
  <c r="I6376" i="9"/>
  <c r="I6377" i="9"/>
  <c r="I6378" i="9"/>
  <c r="I6379" i="9"/>
  <c r="I6380" i="9"/>
  <c r="I6381" i="9"/>
  <c r="I6382" i="9"/>
  <c r="I6383" i="9"/>
  <c r="I6384" i="9"/>
  <c r="I6385" i="9"/>
  <c r="I6386" i="9"/>
  <c r="I6387" i="9"/>
  <c r="I6388" i="9"/>
  <c r="I6389" i="9"/>
  <c r="I6390" i="9"/>
  <c r="I6391" i="9"/>
  <c r="I6392" i="9"/>
  <c r="I6393" i="9"/>
  <c r="I6394" i="9"/>
  <c r="I6395" i="9"/>
  <c r="I6396" i="9"/>
  <c r="I6397" i="9"/>
  <c r="I6398" i="9"/>
  <c r="I6399" i="9"/>
  <c r="I6400" i="9"/>
  <c r="I6401" i="9"/>
  <c r="I6402" i="9"/>
  <c r="I6403" i="9"/>
  <c r="I6404" i="9"/>
  <c r="I6405" i="9"/>
  <c r="I6406" i="9"/>
  <c r="I6407" i="9"/>
  <c r="I6408" i="9"/>
  <c r="I6409" i="9"/>
  <c r="I6410" i="9"/>
  <c r="I6411" i="9"/>
  <c r="I6412" i="9"/>
  <c r="I6413" i="9"/>
  <c r="I6414" i="9"/>
  <c r="I6415" i="9"/>
  <c r="I6416" i="9"/>
  <c r="I6417" i="9"/>
  <c r="I6418" i="9"/>
  <c r="I6419" i="9"/>
  <c r="I6420" i="9"/>
  <c r="I6421" i="9"/>
  <c r="I6422" i="9"/>
  <c r="I6423" i="9"/>
  <c r="I6424" i="9"/>
  <c r="I6425" i="9"/>
  <c r="I6426" i="9"/>
  <c r="I6427" i="9"/>
  <c r="I6428" i="9"/>
  <c r="I6429" i="9"/>
  <c r="I6430" i="9"/>
  <c r="I6431" i="9"/>
  <c r="I6432" i="9"/>
  <c r="I6433" i="9"/>
  <c r="I6434" i="9"/>
  <c r="I6435" i="9"/>
  <c r="I6436" i="9"/>
  <c r="I6437" i="9"/>
  <c r="I6438" i="9"/>
  <c r="I6439" i="9"/>
  <c r="I6440" i="9"/>
  <c r="I6441" i="9"/>
  <c r="I6442" i="9"/>
  <c r="I6443" i="9"/>
  <c r="I6444" i="9"/>
  <c r="I6445" i="9"/>
  <c r="I6446" i="9"/>
  <c r="I6447" i="9"/>
  <c r="I6448" i="9"/>
  <c r="I6449" i="9"/>
  <c r="I6450" i="9"/>
  <c r="I6451" i="9"/>
  <c r="I6452" i="9"/>
  <c r="I6453" i="9"/>
  <c r="I6454" i="9"/>
  <c r="I6455" i="9"/>
  <c r="I6456" i="9"/>
  <c r="I6457" i="9"/>
  <c r="I6458" i="9"/>
  <c r="I6459" i="9"/>
  <c r="I6460" i="9"/>
  <c r="I6461" i="9"/>
  <c r="I6462" i="9"/>
  <c r="I6463" i="9"/>
  <c r="I6464" i="9"/>
  <c r="I6465" i="9"/>
  <c r="I6466" i="9"/>
  <c r="I6467" i="9"/>
  <c r="I6468" i="9"/>
  <c r="I6469" i="9"/>
  <c r="I6470" i="9"/>
  <c r="I6471" i="9"/>
  <c r="I6472" i="9"/>
  <c r="I6473" i="9"/>
  <c r="I6474" i="9"/>
  <c r="I6475" i="9"/>
  <c r="I6476" i="9"/>
  <c r="I6477" i="9"/>
  <c r="I6478" i="9"/>
  <c r="I6479" i="9"/>
  <c r="I6480" i="9"/>
  <c r="I6481" i="9"/>
  <c r="I6482" i="9"/>
  <c r="I6483" i="9"/>
  <c r="I6484" i="9"/>
  <c r="I6485" i="9"/>
  <c r="I6486" i="9"/>
  <c r="I6487" i="9"/>
  <c r="I6488" i="9"/>
  <c r="I6489" i="9"/>
  <c r="I6490" i="9"/>
  <c r="I6491" i="9"/>
  <c r="I6492" i="9"/>
  <c r="I6493" i="9"/>
  <c r="I6494" i="9"/>
  <c r="I6495" i="9"/>
  <c r="I6496" i="9"/>
  <c r="I6497" i="9"/>
  <c r="I6498" i="9"/>
  <c r="I6499" i="9"/>
  <c r="I6500" i="9"/>
  <c r="I6501" i="9"/>
  <c r="I6502" i="9"/>
  <c r="I6503" i="9"/>
  <c r="I6504" i="9"/>
  <c r="I6505" i="9"/>
  <c r="I6506" i="9"/>
  <c r="I6507" i="9"/>
  <c r="I6508" i="9"/>
  <c r="I6509" i="9"/>
  <c r="I6510" i="9"/>
  <c r="I6511" i="9"/>
  <c r="I6512" i="9"/>
  <c r="I6513" i="9"/>
  <c r="I6514" i="9"/>
  <c r="I6515" i="9"/>
  <c r="I6516" i="9"/>
  <c r="I6517" i="9"/>
  <c r="I6518" i="9"/>
  <c r="I6519" i="9"/>
  <c r="I6520" i="9"/>
  <c r="I6521" i="9"/>
  <c r="I6522" i="9"/>
  <c r="I6523" i="9"/>
  <c r="I6524" i="9"/>
  <c r="I6525" i="9"/>
  <c r="I6526" i="9"/>
  <c r="I6527" i="9"/>
  <c r="I6528" i="9"/>
  <c r="I6529" i="9"/>
  <c r="I6530" i="9"/>
  <c r="I6531" i="9"/>
  <c r="I6532" i="9"/>
  <c r="I6533" i="9"/>
  <c r="I6534" i="9"/>
  <c r="I6535" i="9"/>
  <c r="I6536" i="9"/>
  <c r="I6537" i="9"/>
  <c r="I6538" i="9"/>
  <c r="I6539" i="9"/>
  <c r="I6540" i="9"/>
  <c r="I6541" i="9"/>
  <c r="I6542" i="9"/>
  <c r="I6543" i="9"/>
  <c r="I6544" i="9"/>
  <c r="I6545" i="9"/>
  <c r="I6546" i="9"/>
  <c r="I6547" i="9"/>
  <c r="I6548" i="9"/>
  <c r="I6549" i="9"/>
  <c r="I6550" i="9"/>
  <c r="I6551" i="9"/>
  <c r="I6552" i="9"/>
  <c r="I6553" i="9"/>
  <c r="I6554" i="9"/>
  <c r="I6555" i="9"/>
  <c r="I6556" i="9"/>
  <c r="I6557" i="9"/>
  <c r="I6558" i="9"/>
  <c r="I6559" i="9"/>
  <c r="I6560" i="9"/>
  <c r="I6561" i="9"/>
  <c r="I6562" i="9"/>
  <c r="I6563" i="9"/>
  <c r="I6564" i="9"/>
  <c r="I6565" i="9"/>
  <c r="I6566" i="9"/>
  <c r="I6567" i="9"/>
  <c r="I6568" i="9"/>
  <c r="I6569" i="9"/>
  <c r="I6570" i="9"/>
  <c r="I6571" i="9"/>
  <c r="I6572" i="9"/>
  <c r="I6573" i="9"/>
  <c r="I6574" i="9"/>
  <c r="I6575" i="9"/>
  <c r="I6576" i="9"/>
  <c r="I6577" i="9"/>
  <c r="I6578" i="9"/>
  <c r="I6579" i="9"/>
  <c r="I6580" i="9"/>
  <c r="I6581" i="9"/>
  <c r="I6582" i="9"/>
  <c r="I6583" i="9"/>
  <c r="I6584" i="9"/>
  <c r="I6585" i="9"/>
  <c r="I6586" i="9"/>
  <c r="I6587" i="9"/>
  <c r="I6588" i="9"/>
  <c r="I6589" i="9"/>
  <c r="I6590" i="9"/>
  <c r="I6591" i="9"/>
  <c r="I6592" i="9"/>
  <c r="I6593" i="9"/>
  <c r="I6594" i="9"/>
  <c r="I6595" i="9"/>
  <c r="I6596" i="9"/>
  <c r="I6597" i="9"/>
  <c r="I6598" i="9"/>
  <c r="I6599" i="9"/>
  <c r="I6600" i="9"/>
  <c r="I6601" i="9"/>
  <c r="I6602" i="9"/>
  <c r="I6603" i="9"/>
  <c r="I6604" i="9"/>
  <c r="I6605" i="9"/>
  <c r="I6606" i="9"/>
  <c r="I6607" i="9"/>
  <c r="I6608" i="9"/>
  <c r="I6609" i="9"/>
  <c r="I6610" i="9"/>
  <c r="I6611" i="9"/>
  <c r="I6612" i="9"/>
  <c r="I6613" i="9"/>
  <c r="I6614" i="9"/>
  <c r="I6615" i="9"/>
  <c r="I6616" i="9"/>
  <c r="I6617" i="9"/>
  <c r="I6618" i="9"/>
  <c r="I6619" i="9"/>
  <c r="I6620" i="9"/>
  <c r="I6621" i="9"/>
  <c r="I6622" i="9"/>
  <c r="I6623" i="9"/>
  <c r="I6624" i="9"/>
  <c r="I6625" i="9"/>
  <c r="I6626" i="9"/>
  <c r="I6627" i="9"/>
  <c r="I6628" i="9"/>
  <c r="I6629" i="9"/>
  <c r="I6630" i="9"/>
  <c r="I6631" i="9"/>
  <c r="I6632" i="9"/>
  <c r="I6633" i="9"/>
  <c r="I6634" i="9"/>
  <c r="I6635" i="9"/>
  <c r="I6636" i="9"/>
  <c r="I6637" i="9"/>
  <c r="I6638" i="9"/>
  <c r="I6639" i="9"/>
  <c r="I6640" i="9"/>
  <c r="I6641" i="9"/>
  <c r="I6642" i="9"/>
  <c r="I6643" i="9"/>
  <c r="I6644" i="9"/>
  <c r="I6645" i="9"/>
  <c r="I6646" i="9"/>
  <c r="I6647" i="9"/>
  <c r="I6648" i="9"/>
  <c r="I6649" i="9"/>
  <c r="I6650" i="9"/>
  <c r="I6651" i="9"/>
  <c r="I6652" i="9"/>
  <c r="I6653" i="9"/>
  <c r="I6654" i="9"/>
  <c r="I6655" i="9"/>
  <c r="I6656" i="9"/>
  <c r="I6657" i="9"/>
  <c r="I6658" i="9"/>
  <c r="I6659" i="9"/>
  <c r="I6660" i="9"/>
  <c r="I6661" i="9"/>
  <c r="I6662" i="9"/>
  <c r="I6663" i="9"/>
  <c r="I6664" i="9"/>
  <c r="I6665" i="9"/>
  <c r="I6666" i="9"/>
  <c r="I6667" i="9"/>
  <c r="I6668" i="9"/>
  <c r="I6669" i="9"/>
  <c r="I6670" i="9"/>
  <c r="I6671" i="9"/>
  <c r="I6672" i="9"/>
  <c r="I6673" i="9"/>
  <c r="I6674" i="9"/>
  <c r="I6675" i="9"/>
  <c r="I6676" i="9"/>
  <c r="I6677" i="9"/>
  <c r="I6678" i="9"/>
  <c r="I6679" i="9"/>
  <c r="I6680" i="9"/>
  <c r="I6681" i="9"/>
  <c r="I6682" i="9"/>
  <c r="I6683" i="9"/>
  <c r="I6684" i="9"/>
  <c r="I6685" i="9"/>
  <c r="I6686" i="9"/>
  <c r="I6687" i="9"/>
  <c r="I6688" i="9"/>
  <c r="I6689" i="9"/>
  <c r="I6690" i="9"/>
  <c r="I6691" i="9"/>
  <c r="I6692" i="9"/>
  <c r="I6693" i="9"/>
  <c r="I6694" i="9"/>
  <c r="I6695" i="9"/>
  <c r="I6696" i="9"/>
  <c r="I6697" i="9"/>
  <c r="I6698" i="9"/>
  <c r="I6699" i="9"/>
  <c r="I6700" i="9"/>
  <c r="I6701" i="9"/>
  <c r="I6702" i="9"/>
  <c r="I6703" i="9"/>
  <c r="I6704" i="9"/>
  <c r="I6705" i="9"/>
  <c r="I6706" i="9"/>
  <c r="I6707" i="9"/>
  <c r="I6708" i="9"/>
  <c r="I6709" i="9"/>
  <c r="I6710" i="9"/>
  <c r="I6711" i="9"/>
  <c r="I6712" i="9"/>
  <c r="I6713" i="9"/>
  <c r="I6714" i="9"/>
  <c r="I6715" i="9"/>
  <c r="I6716" i="9"/>
  <c r="I6717" i="9"/>
  <c r="I6718" i="9"/>
  <c r="I6719" i="9"/>
  <c r="I6720" i="9"/>
  <c r="I6721" i="9"/>
  <c r="I6722" i="9"/>
  <c r="I6723" i="9"/>
  <c r="I6724" i="9"/>
  <c r="I6725" i="9"/>
  <c r="I6726" i="9"/>
  <c r="I6727" i="9"/>
  <c r="I6728" i="9"/>
  <c r="I6729" i="9"/>
  <c r="I6730" i="9"/>
  <c r="I6731" i="9"/>
  <c r="I6732" i="9"/>
  <c r="I6733" i="9"/>
  <c r="I6734" i="9"/>
  <c r="I6735" i="9"/>
  <c r="I6736" i="9"/>
  <c r="I6737" i="9"/>
  <c r="I6738" i="9"/>
  <c r="I6739" i="9"/>
  <c r="I6740" i="9"/>
  <c r="I6741" i="9"/>
  <c r="I6742" i="9"/>
  <c r="I6743" i="9"/>
  <c r="I6744" i="9"/>
  <c r="I6745" i="9"/>
  <c r="I6746" i="9"/>
  <c r="I6747" i="9"/>
  <c r="I6748" i="9"/>
  <c r="I6749" i="9"/>
  <c r="I6750" i="9"/>
  <c r="I6751" i="9"/>
  <c r="I6752" i="9"/>
  <c r="I6753" i="9"/>
  <c r="I6754" i="9"/>
  <c r="I6755" i="9"/>
  <c r="I6756" i="9"/>
  <c r="I6757" i="9"/>
  <c r="I6758" i="9"/>
  <c r="I6759" i="9"/>
  <c r="I6760" i="9"/>
  <c r="I6761" i="9"/>
  <c r="I6762" i="9"/>
  <c r="I6763" i="9"/>
  <c r="I6764" i="9"/>
  <c r="I6765" i="9"/>
  <c r="I6766" i="9"/>
  <c r="I6767" i="9"/>
  <c r="I6768" i="9"/>
  <c r="I6769" i="9"/>
  <c r="I6770" i="9"/>
  <c r="I6771" i="9"/>
  <c r="I6772" i="9"/>
  <c r="I6773" i="9"/>
  <c r="I6774" i="9"/>
  <c r="I6775" i="9"/>
  <c r="I6776" i="9"/>
  <c r="I6777" i="9"/>
  <c r="I6778" i="9"/>
  <c r="I6779" i="9"/>
  <c r="I6780" i="9"/>
  <c r="I6781" i="9"/>
  <c r="I6782" i="9"/>
  <c r="I6783" i="9"/>
  <c r="I6784" i="9"/>
  <c r="I6785" i="9"/>
  <c r="I6786" i="9"/>
  <c r="I6787" i="9"/>
  <c r="I6788" i="9"/>
  <c r="I6789" i="9"/>
  <c r="I6790" i="9"/>
  <c r="I6791" i="9"/>
  <c r="I6792" i="9"/>
  <c r="I6793" i="9"/>
  <c r="I6794" i="9"/>
  <c r="I6795" i="9"/>
  <c r="I6796" i="9"/>
  <c r="I6797" i="9"/>
  <c r="I6798" i="9"/>
  <c r="I6799" i="9"/>
  <c r="I6800" i="9"/>
  <c r="I6801" i="9"/>
  <c r="I6802" i="9"/>
  <c r="I6803" i="9"/>
  <c r="I6804" i="9"/>
  <c r="I6805" i="9"/>
  <c r="I6806" i="9"/>
  <c r="I6807" i="9"/>
  <c r="I6808" i="9"/>
  <c r="I6809" i="9"/>
  <c r="I6810" i="9"/>
  <c r="I6811" i="9"/>
  <c r="I6812" i="9"/>
  <c r="I6813" i="9"/>
  <c r="I6814" i="9"/>
  <c r="I6815" i="9"/>
  <c r="I6816" i="9"/>
  <c r="I6817" i="9"/>
  <c r="I6818" i="9"/>
  <c r="I6819" i="9"/>
  <c r="I6820" i="9"/>
  <c r="I6821" i="9"/>
  <c r="I6822" i="9"/>
  <c r="I6823" i="9"/>
  <c r="I6824" i="9"/>
  <c r="I6825" i="9"/>
  <c r="I6826" i="9"/>
  <c r="I6827" i="9"/>
  <c r="I6828" i="9"/>
  <c r="I6829" i="9"/>
  <c r="I6830" i="9"/>
  <c r="I6831" i="9"/>
  <c r="I6832" i="9"/>
  <c r="I6833" i="9"/>
  <c r="I6834" i="9"/>
  <c r="I6835" i="9"/>
  <c r="I6836" i="9"/>
  <c r="I6837" i="9"/>
  <c r="I6838" i="9"/>
  <c r="I6839" i="9"/>
  <c r="I6840" i="9"/>
  <c r="I6841" i="9"/>
  <c r="I6842" i="9"/>
  <c r="I6843" i="9"/>
  <c r="I6844" i="9"/>
  <c r="I6845" i="9"/>
  <c r="I6846" i="9"/>
  <c r="I6847" i="9"/>
  <c r="I6848" i="9"/>
  <c r="I6849" i="9"/>
  <c r="I6850" i="9"/>
  <c r="I6851" i="9"/>
  <c r="I6852" i="9"/>
  <c r="I6853" i="9"/>
  <c r="I6854" i="9"/>
  <c r="I6855" i="9"/>
  <c r="I6856" i="9"/>
  <c r="I6857" i="9"/>
  <c r="I6858" i="9"/>
  <c r="I6859" i="9"/>
  <c r="I6860" i="9"/>
  <c r="I6861" i="9"/>
  <c r="I6862" i="9"/>
  <c r="I6863" i="9"/>
  <c r="I6864" i="9"/>
  <c r="I6865" i="9"/>
  <c r="I6866" i="9"/>
  <c r="I6867" i="9"/>
  <c r="I6868" i="9"/>
  <c r="I6869" i="9"/>
  <c r="I6870" i="9"/>
  <c r="I6871" i="9"/>
  <c r="I6872" i="9"/>
  <c r="I6873" i="9"/>
  <c r="I6874" i="9"/>
  <c r="I6875" i="9"/>
  <c r="I6876" i="9"/>
  <c r="I6877" i="9"/>
  <c r="I6878" i="9"/>
  <c r="I6879" i="9"/>
  <c r="I6880" i="9"/>
  <c r="I6881" i="9"/>
  <c r="I6882" i="9"/>
  <c r="I6883" i="9"/>
  <c r="I6884" i="9"/>
  <c r="I6885" i="9"/>
  <c r="I6886" i="9"/>
  <c r="I6887" i="9"/>
  <c r="I6888" i="9"/>
  <c r="I6889" i="9"/>
  <c r="I6890" i="9"/>
  <c r="I6891" i="9"/>
  <c r="I6892" i="9"/>
  <c r="I6893" i="9"/>
  <c r="I6894" i="9"/>
  <c r="I6895" i="9"/>
  <c r="I6896" i="9"/>
  <c r="I6897" i="9"/>
  <c r="I6898" i="9"/>
  <c r="I6899" i="9"/>
  <c r="I6900" i="9"/>
  <c r="I6901" i="9"/>
  <c r="I6902" i="9"/>
  <c r="I6903" i="9"/>
  <c r="I6904" i="9"/>
  <c r="I6905" i="9"/>
  <c r="I6906" i="9"/>
  <c r="I6907" i="9"/>
  <c r="I6908" i="9"/>
  <c r="I6909" i="9"/>
  <c r="I6910" i="9"/>
  <c r="I6911" i="9"/>
  <c r="I6912" i="9"/>
  <c r="I6913" i="9"/>
  <c r="I6914" i="9"/>
  <c r="I6915" i="9"/>
  <c r="I6916" i="9"/>
  <c r="I6917" i="9"/>
  <c r="I6918" i="9"/>
  <c r="I6919" i="9"/>
  <c r="I6920" i="9"/>
  <c r="I6921" i="9"/>
  <c r="I6922" i="9"/>
  <c r="I6923" i="9"/>
  <c r="I6924" i="9"/>
  <c r="I6925" i="9"/>
  <c r="I6926" i="9"/>
  <c r="I6927" i="9"/>
  <c r="I6928" i="9"/>
  <c r="I6929" i="9"/>
  <c r="I6930" i="9"/>
  <c r="I6931" i="9"/>
  <c r="I6932" i="9"/>
  <c r="I6933" i="9"/>
  <c r="I6934" i="9"/>
  <c r="I6935" i="9"/>
  <c r="I6936" i="9"/>
  <c r="I6937" i="9"/>
  <c r="I6938" i="9"/>
  <c r="I6939" i="9"/>
  <c r="I6940" i="9"/>
  <c r="I6941" i="9"/>
  <c r="I6942" i="9"/>
  <c r="I6943" i="9"/>
  <c r="I6944" i="9"/>
  <c r="I6945" i="9"/>
  <c r="I6946" i="9"/>
  <c r="I6947" i="9"/>
  <c r="I6948" i="9"/>
  <c r="I6949" i="9"/>
  <c r="I6950" i="9"/>
  <c r="I6951" i="9"/>
  <c r="I6952" i="9"/>
  <c r="I6953" i="9"/>
  <c r="I6954" i="9"/>
  <c r="I6955" i="9"/>
  <c r="I6956" i="9"/>
  <c r="I6957" i="9"/>
  <c r="I6958" i="9"/>
  <c r="I6959" i="9"/>
  <c r="I6960" i="9"/>
  <c r="I6961" i="9"/>
  <c r="I6962" i="9"/>
  <c r="I6963" i="9"/>
  <c r="I6964" i="9"/>
  <c r="I6965" i="9"/>
  <c r="I6966" i="9"/>
  <c r="I6967" i="9"/>
  <c r="I6968" i="9"/>
  <c r="I6969" i="9"/>
  <c r="I6970" i="9"/>
  <c r="I6971" i="9"/>
  <c r="I6972" i="9"/>
  <c r="I6973" i="9"/>
  <c r="I6974" i="9"/>
  <c r="I6975" i="9"/>
  <c r="I6976" i="9"/>
  <c r="I6977" i="9"/>
  <c r="I6978" i="9"/>
  <c r="I6979" i="9"/>
  <c r="I6980" i="9"/>
  <c r="I6981" i="9"/>
  <c r="I6982" i="9"/>
  <c r="I6983" i="9"/>
  <c r="I6984" i="9"/>
  <c r="I6985" i="9"/>
  <c r="I6986" i="9"/>
  <c r="I6987" i="9"/>
  <c r="I6988" i="9"/>
  <c r="I6989" i="9"/>
  <c r="I6990" i="9"/>
  <c r="I6991" i="9"/>
  <c r="I6992" i="9"/>
  <c r="I6993" i="9"/>
  <c r="I6994" i="9"/>
  <c r="I6995" i="9"/>
  <c r="I6996" i="9"/>
  <c r="I6997" i="9"/>
  <c r="I6998" i="9"/>
  <c r="I6999" i="9"/>
  <c r="I7000" i="9"/>
  <c r="I7001" i="9"/>
  <c r="I7002" i="9"/>
  <c r="I7003" i="9"/>
  <c r="I7004" i="9"/>
  <c r="I7005" i="9"/>
  <c r="I7006" i="9"/>
  <c r="I7007" i="9"/>
  <c r="I7008" i="9"/>
  <c r="I7009" i="9"/>
  <c r="I7010" i="9"/>
  <c r="I7011" i="9"/>
  <c r="I7012" i="9"/>
  <c r="I7013" i="9"/>
  <c r="I7014" i="9"/>
  <c r="I7015" i="9"/>
  <c r="I7016" i="9"/>
  <c r="I7017" i="9"/>
  <c r="I7018" i="9"/>
  <c r="I7019" i="9"/>
  <c r="I7020" i="9"/>
  <c r="I7021" i="9"/>
  <c r="I7022" i="9"/>
  <c r="I7023" i="9"/>
  <c r="I7024" i="9"/>
  <c r="I7025" i="9"/>
  <c r="I7026" i="9"/>
  <c r="I7027" i="9"/>
  <c r="I7028" i="9"/>
  <c r="I7029" i="9"/>
  <c r="I7030" i="9"/>
  <c r="I7031" i="9"/>
  <c r="I7032" i="9"/>
  <c r="I7033" i="9"/>
  <c r="I7034" i="9"/>
  <c r="I7035" i="9"/>
  <c r="I7036" i="9"/>
  <c r="I7037" i="9"/>
  <c r="I7038" i="9"/>
  <c r="I7039" i="9"/>
  <c r="I7040" i="9"/>
  <c r="I7041" i="9"/>
  <c r="I7042" i="9"/>
  <c r="I7043" i="9"/>
  <c r="I7044" i="9"/>
  <c r="I7045" i="9"/>
  <c r="I7046" i="9"/>
  <c r="I7047" i="9"/>
  <c r="I7048" i="9"/>
  <c r="I7049" i="9"/>
  <c r="I7050" i="9"/>
  <c r="I7051" i="9"/>
  <c r="I7052" i="9"/>
  <c r="I7053" i="9"/>
  <c r="I7054" i="9"/>
  <c r="I7055" i="9"/>
  <c r="I7056" i="9"/>
  <c r="I7057" i="9"/>
  <c r="I7058" i="9"/>
  <c r="I7059" i="9"/>
  <c r="I7060" i="9"/>
  <c r="I7061" i="9"/>
  <c r="I7062" i="9"/>
  <c r="I7063" i="9"/>
  <c r="I7064" i="9"/>
  <c r="I7065" i="9"/>
  <c r="I7066" i="9"/>
  <c r="I7067" i="9"/>
  <c r="I7068" i="9"/>
  <c r="I7069" i="9"/>
  <c r="I7070" i="9"/>
  <c r="I7071" i="9"/>
  <c r="I7072" i="9"/>
  <c r="I7073" i="9"/>
  <c r="I7074" i="9"/>
  <c r="I7075" i="9"/>
  <c r="I7076" i="9"/>
  <c r="I7077" i="9"/>
  <c r="I7078" i="9"/>
  <c r="I7079" i="9"/>
  <c r="I7080" i="9"/>
  <c r="I7081" i="9"/>
  <c r="I7082" i="9"/>
  <c r="I7083" i="9"/>
  <c r="I7084" i="9"/>
  <c r="I7085" i="9"/>
  <c r="I7086" i="9"/>
  <c r="I7087" i="9"/>
  <c r="I7088" i="9"/>
  <c r="I7089" i="9"/>
  <c r="I7090" i="9"/>
  <c r="I7091" i="9"/>
  <c r="I7092" i="9"/>
  <c r="I7093" i="9"/>
  <c r="I7094" i="9"/>
  <c r="I7095" i="9"/>
  <c r="I7096" i="9"/>
  <c r="I7097" i="9"/>
  <c r="I7098" i="9"/>
  <c r="I7099" i="9"/>
  <c r="I7100" i="9"/>
  <c r="I7101" i="9"/>
  <c r="I7102" i="9"/>
  <c r="I7103" i="9"/>
  <c r="I7104" i="9"/>
  <c r="I7105" i="9"/>
  <c r="I7106" i="9"/>
  <c r="I7107" i="9"/>
  <c r="I7108" i="9"/>
  <c r="I7109" i="9"/>
  <c r="I7110" i="9"/>
  <c r="I7111" i="9"/>
  <c r="I7112" i="9"/>
  <c r="I7113" i="9"/>
  <c r="I7114" i="9"/>
  <c r="I7115" i="9"/>
  <c r="I7116" i="9"/>
  <c r="I7117" i="9"/>
  <c r="I7118" i="9"/>
  <c r="I7119" i="9"/>
  <c r="I7120" i="9"/>
  <c r="I7121" i="9"/>
  <c r="I7122" i="9"/>
  <c r="I7123" i="9"/>
  <c r="I7124" i="9"/>
  <c r="I7125" i="9"/>
  <c r="I7126" i="9"/>
  <c r="I7127" i="9"/>
  <c r="I7128" i="9"/>
  <c r="I7129" i="9"/>
  <c r="I7130" i="9"/>
  <c r="I7131" i="9"/>
  <c r="I7132" i="9"/>
  <c r="I7133" i="9"/>
  <c r="I7134" i="9"/>
  <c r="I7135" i="9"/>
  <c r="I7136" i="9"/>
  <c r="I7137" i="9"/>
  <c r="I7138" i="9"/>
  <c r="I7139" i="9"/>
  <c r="I7140" i="9"/>
  <c r="I7141" i="9"/>
  <c r="I7142" i="9"/>
  <c r="I7143" i="9"/>
  <c r="I7144" i="9"/>
  <c r="I7145" i="9"/>
  <c r="I7146" i="9"/>
  <c r="I7147" i="9"/>
  <c r="I7148" i="9"/>
  <c r="I7149" i="9"/>
  <c r="I7150" i="9"/>
  <c r="I7151" i="9"/>
  <c r="I7152" i="9"/>
  <c r="I7153" i="9"/>
  <c r="I7154" i="9"/>
  <c r="I7155" i="9"/>
  <c r="I7156" i="9"/>
  <c r="I7157" i="9"/>
  <c r="I7158" i="9"/>
  <c r="I7159" i="9"/>
  <c r="I7160" i="9"/>
  <c r="I7161" i="9"/>
  <c r="I7162" i="9"/>
  <c r="I7163" i="9"/>
  <c r="I7164" i="9"/>
  <c r="I7165" i="9"/>
  <c r="I7166" i="9"/>
  <c r="I7167" i="9"/>
  <c r="I7168" i="9"/>
  <c r="I7169" i="9"/>
  <c r="I7170" i="9"/>
  <c r="I7171" i="9"/>
  <c r="I7172" i="9"/>
  <c r="I7173" i="9"/>
  <c r="I7174" i="9"/>
  <c r="I7175" i="9"/>
  <c r="I7176" i="9"/>
  <c r="I7177" i="9"/>
  <c r="I7178" i="9"/>
  <c r="I7179" i="9"/>
  <c r="I7180" i="9"/>
  <c r="I7181" i="9"/>
  <c r="I7182" i="9"/>
  <c r="I7183" i="9"/>
  <c r="I7184" i="9"/>
  <c r="I7185" i="9"/>
  <c r="I7186" i="9"/>
  <c r="I7187" i="9"/>
  <c r="I7188" i="9"/>
  <c r="I7189" i="9"/>
  <c r="I7190" i="9"/>
  <c r="I7191" i="9"/>
  <c r="I7192" i="9"/>
  <c r="I7193" i="9"/>
  <c r="I7194" i="9"/>
  <c r="I7195" i="9"/>
  <c r="I7196" i="9"/>
  <c r="I7197" i="9"/>
  <c r="I7198" i="9"/>
  <c r="I7199" i="9"/>
  <c r="I7200" i="9"/>
  <c r="I7201" i="9"/>
  <c r="I7202" i="9"/>
  <c r="I7203" i="9"/>
  <c r="I7204" i="9"/>
  <c r="I7205" i="9"/>
  <c r="I7206" i="9"/>
  <c r="I7207" i="9"/>
  <c r="I7208" i="9"/>
  <c r="I7209" i="9"/>
  <c r="I7210" i="9"/>
  <c r="I7211" i="9"/>
  <c r="I7212" i="9"/>
  <c r="I7213" i="9"/>
  <c r="I7214" i="9"/>
  <c r="I7215" i="9"/>
  <c r="I7216" i="9"/>
  <c r="I7217" i="9"/>
  <c r="I7218" i="9"/>
  <c r="I7219" i="9"/>
  <c r="I7220" i="9"/>
  <c r="I7221" i="9"/>
  <c r="I7222" i="9"/>
  <c r="I7223" i="9"/>
  <c r="I7224" i="9"/>
  <c r="I7225" i="9"/>
  <c r="I7226" i="9"/>
  <c r="I7227" i="9"/>
  <c r="I7228" i="9"/>
  <c r="I7229" i="9"/>
  <c r="I7230" i="9"/>
  <c r="I7231" i="9"/>
  <c r="I7232" i="9"/>
  <c r="I7233" i="9"/>
  <c r="I7234" i="9"/>
  <c r="I7235" i="9"/>
  <c r="I7236" i="9"/>
  <c r="I7237" i="9"/>
  <c r="I7238" i="9"/>
  <c r="I7239" i="9"/>
  <c r="I7240" i="9"/>
  <c r="I7241" i="9"/>
  <c r="I7242" i="9"/>
  <c r="I7243" i="9"/>
  <c r="I7244" i="9"/>
  <c r="I7245" i="9"/>
  <c r="I7246" i="9"/>
  <c r="I7247" i="9"/>
  <c r="I7248" i="9"/>
  <c r="I7249" i="9"/>
  <c r="I7250" i="9"/>
  <c r="I7251" i="9"/>
  <c r="I7252" i="9"/>
  <c r="I7253" i="9"/>
  <c r="I7254" i="9"/>
  <c r="I7255" i="9"/>
  <c r="I7256" i="9"/>
  <c r="I7257" i="9"/>
  <c r="I7258" i="9"/>
  <c r="I7259" i="9"/>
  <c r="I7260" i="9"/>
  <c r="I7261" i="9"/>
  <c r="I7262" i="9"/>
  <c r="I7263" i="9"/>
  <c r="I7264" i="9"/>
  <c r="I7265" i="9"/>
  <c r="I7266" i="9"/>
  <c r="I7267" i="9"/>
  <c r="I7268" i="9"/>
  <c r="I7269" i="9"/>
  <c r="I7270" i="9"/>
  <c r="I7271" i="9"/>
  <c r="I7272" i="9"/>
  <c r="I7273" i="9"/>
  <c r="I7274" i="9"/>
  <c r="I7275" i="9"/>
  <c r="I7276" i="9"/>
  <c r="I7277" i="9"/>
  <c r="I7278" i="9"/>
  <c r="I7279" i="9"/>
  <c r="I7280" i="9"/>
  <c r="I7281" i="9"/>
  <c r="I7282" i="9"/>
  <c r="I7283" i="9"/>
  <c r="I7284" i="9"/>
  <c r="I7285" i="9"/>
  <c r="I7286" i="9"/>
  <c r="I7287" i="9"/>
  <c r="I7288" i="9"/>
  <c r="I7289" i="9"/>
  <c r="I7290" i="9"/>
  <c r="I7291" i="9"/>
  <c r="I7292" i="9"/>
  <c r="I7293" i="9"/>
  <c r="I7294" i="9"/>
  <c r="I7295" i="9"/>
  <c r="I7296" i="9"/>
  <c r="I7297" i="9"/>
  <c r="I7298" i="9"/>
  <c r="I7299" i="9"/>
  <c r="I7300" i="9"/>
  <c r="I7301" i="9"/>
  <c r="I7302" i="9"/>
  <c r="I7303" i="9"/>
  <c r="I7304" i="9"/>
  <c r="I7305" i="9"/>
  <c r="I7306" i="9"/>
  <c r="I7307" i="9"/>
  <c r="I7308" i="9"/>
  <c r="I7309" i="9"/>
  <c r="I7310" i="9"/>
  <c r="I7311" i="9"/>
  <c r="I7312" i="9"/>
  <c r="I7313" i="9"/>
  <c r="I7314" i="9"/>
  <c r="I7315" i="9"/>
  <c r="I7316" i="9"/>
  <c r="I7317" i="9"/>
  <c r="I7318" i="9"/>
  <c r="I7319" i="9"/>
  <c r="I7320" i="9"/>
  <c r="I7321" i="9"/>
  <c r="I7322" i="9"/>
  <c r="I7323" i="9"/>
  <c r="I7324" i="9"/>
  <c r="I7325" i="9"/>
  <c r="I7326" i="9"/>
  <c r="I7327" i="9"/>
  <c r="I7328" i="9"/>
  <c r="I7329" i="9"/>
  <c r="I7330" i="9"/>
  <c r="I7331" i="9"/>
  <c r="I7332" i="9"/>
  <c r="I7333" i="9"/>
  <c r="I7334" i="9"/>
  <c r="I7335" i="9"/>
  <c r="I7336" i="9"/>
  <c r="I7337" i="9"/>
  <c r="I7338" i="9"/>
  <c r="I7339" i="9"/>
  <c r="I7340" i="9"/>
  <c r="I7341" i="9"/>
  <c r="I7342" i="9"/>
  <c r="I7343" i="9"/>
  <c r="I7344" i="9"/>
  <c r="I7345" i="9"/>
  <c r="I7346" i="9"/>
  <c r="I7347" i="9"/>
  <c r="I7348" i="9"/>
  <c r="I7349" i="9"/>
  <c r="I7350" i="9"/>
  <c r="I7351" i="9"/>
  <c r="I7352" i="9"/>
  <c r="I7353" i="9"/>
  <c r="I7354" i="9"/>
  <c r="I7355" i="9"/>
  <c r="I7356" i="9"/>
  <c r="I7357" i="9"/>
  <c r="I7358" i="9"/>
  <c r="I7359" i="9"/>
  <c r="I7360" i="9"/>
  <c r="I7361" i="9"/>
  <c r="I7362" i="9"/>
  <c r="I7363" i="9"/>
  <c r="I7364" i="9"/>
  <c r="I7365" i="9"/>
  <c r="I7366" i="9"/>
  <c r="I7367" i="9"/>
  <c r="I7368" i="9"/>
  <c r="I7369" i="9"/>
  <c r="I7370" i="9"/>
  <c r="I7371" i="9"/>
  <c r="I7372" i="9"/>
  <c r="I7373" i="9"/>
  <c r="I7374" i="9"/>
  <c r="I7375" i="9"/>
  <c r="I7376" i="9"/>
  <c r="I7377" i="9"/>
  <c r="I7378" i="9"/>
  <c r="I7379" i="9"/>
  <c r="I7380" i="9"/>
  <c r="I7381" i="9"/>
  <c r="I7382" i="9"/>
  <c r="I7383" i="9"/>
  <c r="I7384" i="9"/>
  <c r="I7385" i="9"/>
  <c r="I7386" i="9"/>
  <c r="I7387" i="9"/>
  <c r="I7388" i="9"/>
  <c r="I7389" i="9"/>
  <c r="I7390" i="9"/>
  <c r="I7391" i="9"/>
  <c r="I7392" i="9"/>
  <c r="I7393" i="9"/>
  <c r="I7394" i="9"/>
  <c r="I7395" i="9"/>
  <c r="I7396" i="9"/>
  <c r="I7397" i="9"/>
  <c r="I7398" i="9"/>
  <c r="I7399" i="9"/>
  <c r="I7400" i="9"/>
  <c r="I7401" i="9"/>
  <c r="I7402" i="9"/>
  <c r="I7403" i="9"/>
  <c r="I7404" i="9"/>
  <c r="I7405" i="9"/>
  <c r="I7406" i="9"/>
  <c r="I7407" i="9"/>
  <c r="I7408" i="9"/>
  <c r="I7409" i="9"/>
  <c r="I7410" i="9"/>
  <c r="I7411" i="9"/>
  <c r="I7412" i="9"/>
  <c r="I7413" i="9"/>
  <c r="I7414" i="9"/>
  <c r="I7415" i="9"/>
  <c r="I7416" i="9"/>
  <c r="I7417" i="9"/>
  <c r="I7418" i="9"/>
  <c r="I7419" i="9"/>
  <c r="I7420" i="9"/>
  <c r="I7421" i="9"/>
  <c r="I7422" i="9"/>
  <c r="I7423" i="9"/>
  <c r="I7424" i="9"/>
  <c r="I7425" i="9"/>
  <c r="I7426" i="9"/>
  <c r="I7427" i="9"/>
  <c r="I7428" i="9"/>
  <c r="I7429" i="9"/>
  <c r="I7430" i="9"/>
  <c r="I7431" i="9"/>
  <c r="I7432" i="9"/>
  <c r="I7433" i="9"/>
  <c r="I7434" i="9"/>
  <c r="I7435" i="9"/>
  <c r="I7436" i="9"/>
  <c r="I7437" i="9"/>
  <c r="I7438" i="9"/>
  <c r="I7439" i="9"/>
  <c r="I7440" i="9"/>
  <c r="I7441" i="9"/>
  <c r="I7442" i="9"/>
  <c r="I7443" i="9"/>
  <c r="I7444" i="9"/>
  <c r="I7445" i="9"/>
  <c r="I7446" i="9"/>
  <c r="I7447" i="9"/>
  <c r="I7448" i="9"/>
  <c r="I7449" i="9"/>
  <c r="I7450" i="9"/>
  <c r="I7451" i="9"/>
  <c r="I7452" i="9"/>
  <c r="I7453" i="9"/>
  <c r="I7454" i="9"/>
  <c r="I7455" i="9"/>
  <c r="I7456" i="9"/>
  <c r="I7457" i="9"/>
  <c r="I7458" i="9"/>
  <c r="I7459" i="9"/>
  <c r="I7460" i="9"/>
  <c r="I7461" i="9"/>
  <c r="I7462" i="9"/>
  <c r="I7463" i="9"/>
  <c r="I7464" i="9"/>
  <c r="I7465" i="9"/>
  <c r="I7466" i="9"/>
  <c r="I7467" i="9"/>
  <c r="I7468" i="9"/>
  <c r="I7469" i="9"/>
  <c r="I7470" i="9"/>
  <c r="I7471" i="9"/>
  <c r="I7472" i="9"/>
  <c r="I7473" i="9"/>
  <c r="I7474" i="9"/>
  <c r="I7475" i="9"/>
  <c r="I7476" i="9"/>
  <c r="I7477" i="9"/>
  <c r="I7478" i="9"/>
  <c r="I7479" i="9"/>
  <c r="I7480" i="9"/>
  <c r="I7481" i="9"/>
  <c r="I7482" i="9"/>
  <c r="I7483" i="9"/>
  <c r="I7484" i="9"/>
  <c r="I7485" i="9"/>
  <c r="I7486" i="9"/>
  <c r="I7487" i="9"/>
  <c r="I7488" i="9"/>
  <c r="I7489" i="9"/>
  <c r="I7490" i="9"/>
  <c r="I7491" i="9"/>
  <c r="I7492" i="9"/>
  <c r="I7493" i="9"/>
  <c r="I7494" i="9"/>
  <c r="I7495" i="9"/>
  <c r="I7496" i="9"/>
  <c r="I7497" i="9"/>
  <c r="I7498" i="9"/>
  <c r="I7499" i="9"/>
  <c r="I7500" i="9"/>
  <c r="I7501" i="9"/>
  <c r="I7502" i="9"/>
  <c r="I7503" i="9"/>
  <c r="I7504" i="9"/>
  <c r="I7505" i="9"/>
  <c r="I7506" i="9"/>
  <c r="I7507" i="9"/>
  <c r="I7508" i="9"/>
  <c r="I7509" i="9"/>
  <c r="I7510" i="9"/>
  <c r="I7511" i="9"/>
  <c r="I7512" i="9"/>
  <c r="I7513" i="9"/>
  <c r="I7514" i="9"/>
  <c r="I7515" i="9"/>
  <c r="I7516" i="9"/>
  <c r="I7517" i="9"/>
  <c r="I7518" i="9"/>
  <c r="I7519" i="9"/>
  <c r="I7520" i="9"/>
  <c r="I7521" i="9"/>
  <c r="I7522" i="9"/>
  <c r="I7523" i="9"/>
  <c r="I7524" i="9"/>
  <c r="I7525" i="9"/>
  <c r="I7526" i="9"/>
  <c r="I7527" i="9"/>
  <c r="I7528" i="9"/>
  <c r="I7529" i="9"/>
  <c r="I7530" i="9"/>
  <c r="I7531" i="9"/>
  <c r="I7532" i="9"/>
  <c r="I7533" i="9"/>
  <c r="I7534" i="9"/>
  <c r="I7535" i="9"/>
  <c r="I7536" i="9"/>
  <c r="I7537" i="9"/>
  <c r="I7538" i="9"/>
  <c r="I7539" i="9"/>
  <c r="I7540" i="9"/>
  <c r="I7541" i="9"/>
  <c r="I7542" i="9"/>
  <c r="I7543" i="9"/>
  <c r="I7544" i="9"/>
  <c r="I7545" i="9"/>
  <c r="I7546" i="9"/>
  <c r="I7547" i="9"/>
  <c r="I7548" i="9"/>
  <c r="I7549" i="9"/>
  <c r="I7550" i="9"/>
  <c r="I7551" i="9"/>
  <c r="I7552" i="9"/>
  <c r="I7553" i="9"/>
  <c r="I7554" i="9"/>
  <c r="I7555" i="9"/>
  <c r="I7556" i="9"/>
  <c r="I7557" i="9"/>
  <c r="I7558" i="9"/>
  <c r="I7559" i="9"/>
  <c r="I7560" i="9"/>
  <c r="I7561" i="9"/>
  <c r="I7562" i="9"/>
  <c r="I7563" i="9"/>
  <c r="I7564" i="9"/>
  <c r="I7565" i="9"/>
  <c r="I7566" i="9"/>
  <c r="I7567" i="9"/>
  <c r="I7568" i="9"/>
  <c r="I7569" i="9"/>
  <c r="I7570" i="9"/>
  <c r="I7571" i="9"/>
  <c r="I7572" i="9"/>
  <c r="I7573" i="9"/>
  <c r="I7574" i="9"/>
  <c r="I7575" i="9"/>
  <c r="I7576" i="9"/>
  <c r="I7577" i="9"/>
  <c r="I7578" i="9"/>
  <c r="I7579" i="9"/>
  <c r="I7580" i="9"/>
  <c r="I7581" i="9"/>
  <c r="I7582" i="9"/>
  <c r="I7583" i="9"/>
  <c r="I7584" i="9"/>
  <c r="I7585" i="9"/>
  <c r="I7586" i="9"/>
  <c r="I7587" i="9"/>
  <c r="I7588" i="9"/>
  <c r="I7589" i="9"/>
  <c r="I7590" i="9"/>
  <c r="I7591" i="9"/>
  <c r="I7592" i="9"/>
  <c r="I7593" i="9"/>
  <c r="I7594" i="9"/>
  <c r="I7595" i="9"/>
  <c r="I7596" i="9"/>
  <c r="I7597" i="9"/>
  <c r="I7598" i="9"/>
  <c r="I7599" i="9"/>
  <c r="I7600" i="9"/>
  <c r="I7601" i="9"/>
  <c r="I7602" i="9"/>
  <c r="I7603" i="9"/>
  <c r="I7604" i="9"/>
  <c r="I7605" i="9"/>
  <c r="I7606" i="9"/>
  <c r="I7607" i="9"/>
  <c r="I7608" i="9"/>
  <c r="I7609" i="9"/>
  <c r="I7610" i="9"/>
  <c r="I7611" i="9"/>
  <c r="I7612" i="9"/>
  <c r="I7613" i="9"/>
  <c r="I7614" i="9"/>
  <c r="I7615" i="9"/>
  <c r="I7616" i="9"/>
  <c r="I7617" i="9"/>
  <c r="I7618" i="9"/>
  <c r="I7619" i="9"/>
  <c r="I7620" i="9"/>
  <c r="I7621" i="9"/>
  <c r="I7622" i="9"/>
  <c r="I7623" i="9"/>
  <c r="I7624" i="9"/>
  <c r="I7625" i="9"/>
  <c r="I7626" i="9"/>
  <c r="I7627" i="9"/>
  <c r="I7628" i="9"/>
  <c r="I7629" i="9"/>
  <c r="I7630" i="9"/>
  <c r="I7631" i="9"/>
  <c r="I7632" i="9"/>
  <c r="I7633" i="9"/>
  <c r="I7634" i="9"/>
  <c r="I7635" i="9"/>
  <c r="I7636" i="9"/>
  <c r="I7637" i="9"/>
  <c r="I7638" i="9"/>
  <c r="I7639" i="9"/>
  <c r="I7640" i="9"/>
  <c r="I7641" i="9"/>
  <c r="I7642" i="9"/>
  <c r="I7643" i="9"/>
  <c r="I7644" i="9"/>
  <c r="I7645" i="9"/>
  <c r="I7646" i="9"/>
  <c r="I7647" i="9"/>
  <c r="I7648" i="9"/>
  <c r="I7649" i="9"/>
  <c r="I7650" i="9"/>
  <c r="I7651" i="9"/>
  <c r="I7652" i="9"/>
  <c r="I7653" i="9"/>
  <c r="I7654" i="9"/>
  <c r="I7655" i="9"/>
  <c r="I7656" i="9"/>
  <c r="I7657" i="9"/>
  <c r="I7658" i="9"/>
  <c r="I7659" i="9"/>
  <c r="I7660" i="9"/>
  <c r="I7661" i="9"/>
  <c r="I7662" i="9"/>
  <c r="I7663" i="9"/>
  <c r="I7664" i="9"/>
  <c r="I7665" i="9"/>
  <c r="I7666" i="9"/>
  <c r="I7667" i="9"/>
  <c r="I7668" i="9"/>
  <c r="I7669" i="9"/>
  <c r="I7670" i="9"/>
  <c r="I7671" i="9"/>
  <c r="I7672" i="9"/>
  <c r="I7673" i="9"/>
  <c r="I7674" i="9"/>
  <c r="I7675" i="9"/>
  <c r="I7676" i="9"/>
  <c r="I7677" i="9"/>
  <c r="I7678" i="9"/>
  <c r="I7679" i="9"/>
  <c r="I7680" i="9"/>
  <c r="I7681" i="9"/>
  <c r="I7682" i="9"/>
  <c r="I7683" i="9"/>
  <c r="I7684" i="9"/>
  <c r="I7685" i="9"/>
  <c r="I7686" i="9"/>
  <c r="I7687" i="9"/>
  <c r="I7688" i="9"/>
  <c r="I7689" i="9"/>
  <c r="I7690" i="9"/>
  <c r="I7691" i="9"/>
  <c r="I7692" i="9"/>
  <c r="I7693" i="9"/>
  <c r="I7694" i="9"/>
  <c r="I7695" i="9"/>
  <c r="I7696" i="9"/>
  <c r="I7697" i="9"/>
  <c r="I7698" i="9"/>
  <c r="I7699" i="9"/>
  <c r="I7700" i="9"/>
  <c r="I7701" i="9"/>
  <c r="I7702" i="9"/>
  <c r="I7703" i="9"/>
  <c r="I7704" i="9"/>
  <c r="I7705" i="9"/>
  <c r="I7706" i="9"/>
  <c r="I7707" i="9"/>
  <c r="I7708" i="9"/>
  <c r="I7709" i="9"/>
  <c r="I7710" i="9"/>
  <c r="I7711" i="9"/>
  <c r="I7712" i="9"/>
  <c r="I7713" i="9"/>
  <c r="I7714" i="9"/>
  <c r="I7715" i="9"/>
  <c r="I7716" i="9"/>
  <c r="I7717" i="9"/>
  <c r="I7718" i="9"/>
  <c r="I7719" i="9"/>
  <c r="I7720" i="9"/>
  <c r="I7721" i="9"/>
  <c r="I7722" i="9"/>
  <c r="I7723" i="9"/>
  <c r="I7724" i="9"/>
  <c r="I7725" i="9"/>
  <c r="I7726" i="9"/>
  <c r="I7727" i="9"/>
  <c r="I7728" i="9"/>
  <c r="I7729" i="9"/>
  <c r="I7730" i="9"/>
  <c r="I7731" i="9"/>
  <c r="I7732" i="9"/>
  <c r="I7733" i="9"/>
  <c r="I7734" i="9"/>
  <c r="I7735" i="9"/>
  <c r="I7736" i="9"/>
  <c r="I7737" i="9"/>
  <c r="I7738" i="9"/>
  <c r="I7739" i="9"/>
  <c r="I7740" i="9"/>
  <c r="I7741" i="9"/>
  <c r="I7742" i="9"/>
  <c r="I7743" i="9"/>
  <c r="I7744" i="9"/>
  <c r="I7745" i="9"/>
  <c r="I7746" i="9"/>
  <c r="I7747" i="9"/>
  <c r="I7748" i="9"/>
  <c r="I7749" i="9"/>
  <c r="I7750" i="9"/>
  <c r="I7751" i="9"/>
  <c r="I7752" i="9"/>
  <c r="I7753" i="9"/>
  <c r="I7754" i="9"/>
  <c r="I7755" i="9"/>
  <c r="I7756" i="9"/>
  <c r="I7757" i="9"/>
  <c r="I7758" i="9"/>
  <c r="I7759" i="9"/>
  <c r="I7760" i="9"/>
  <c r="I7761" i="9"/>
  <c r="I7762" i="9"/>
  <c r="I7763" i="9"/>
  <c r="I7764" i="9"/>
  <c r="I7765" i="9"/>
  <c r="I7766" i="9"/>
  <c r="I7767" i="9"/>
  <c r="I7768" i="9"/>
  <c r="I7769" i="9"/>
  <c r="I7770" i="9"/>
  <c r="I7771" i="9"/>
  <c r="I7772" i="9"/>
  <c r="I7773" i="9"/>
  <c r="I7774" i="9"/>
  <c r="I7775" i="9"/>
  <c r="I7776" i="9"/>
  <c r="I7777" i="9"/>
  <c r="I7778" i="9"/>
  <c r="I7779" i="9"/>
  <c r="I7780" i="9"/>
  <c r="I7781" i="9"/>
  <c r="I7782" i="9"/>
  <c r="I7783" i="9"/>
  <c r="I7784" i="9"/>
  <c r="I7785" i="9"/>
  <c r="I7786" i="9"/>
  <c r="I7787" i="9"/>
  <c r="I7788" i="9"/>
  <c r="I7789" i="9"/>
  <c r="I7790" i="9"/>
  <c r="I7791" i="9"/>
  <c r="I7792" i="9"/>
  <c r="I7793" i="9"/>
  <c r="I7794" i="9"/>
  <c r="I7795" i="9"/>
  <c r="I7796" i="9"/>
  <c r="I7797" i="9"/>
  <c r="I7798" i="9"/>
  <c r="I7799" i="9"/>
  <c r="I7800" i="9"/>
  <c r="I7801" i="9"/>
  <c r="I7802" i="9"/>
  <c r="I7803" i="9"/>
  <c r="I7804" i="9"/>
  <c r="I7805" i="9"/>
  <c r="I7806" i="9"/>
  <c r="I7807" i="9"/>
  <c r="I7808" i="9"/>
  <c r="I7809" i="9"/>
  <c r="I7810" i="9"/>
  <c r="I7811" i="9"/>
  <c r="I7812" i="9"/>
  <c r="I7813" i="9"/>
  <c r="I7814" i="9"/>
  <c r="I7815" i="9"/>
  <c r="I7816" i="9"/>
  <c r="I7817" i="9"/>
  <c r="I7818" i="9"/>
  <c r="I7819" i="9"/>
  <c r="I7820" i="9"/>
  <c r="I7821" i="9"/>
  <c r="I7822" i="9"/>
  <c r="I7823" i="9"/>
  <c r="I7824" i="9"/>
  <c r="I7825" i="9"/>
  <c r="I7826" i="9"/>
  <c r="I7827" i="9"/>
  <c r="I7828" i="9"/>
  <c r="I7829" i="9"/>
  <c r="I7830" i="9"/>
  <c r="I7831" i="9"/>
  <c r="I7832" i="9"/>
  <c r="I7833" i="9"/>
  <c r="I7834" i="9"/>
  <c r="I7835" i="9"/>
  <c r="I7836" i="9"/>
  <c r="I7837" i="9"/>
  <c r="I7838" i="9"/>
  <c r="I7839" i="9"/>
  <c r="I7840" i="9"/>
  <c r="I7841" i="9"/>
  <c r="I7842" i="9"/>
  <c r="I7843" i="9"/>
  <c r="I7844" i="9"/>
  <c r="I7845" i="9"/>
  <c r="I7846" i="9"/>
  <c r="I7847" i="9"/>
  <c r="I7848" i="9"/>
  <c r="I7849" i="9"/>
  <c r="I7850" i="9"/>
  <c r="I7851" i="9"/>
  <c r="I7852" i="9"/>
  <c r="I7853" i="9"/>
  <c r="I7854" i="9"/>
  <c r="I7855" i="9"/>
  <c r="I7856" i="9"/>
  <c r="I7857" i="9"/>
  <c r="I7858" i="9"/>
  <c r="I7859" i="9"/>
  <c r="I7860" i="9"/>
  <c r="I7861" i="9"/>
  <c r="I7862" i="9"/>
  <c r="I7863" i="9"/>
  <c r="I7864" i="9"/>
  <c r="I7865" i="9"/>
  <c r="I7866" i="9"/>
  <c r="I7867" i="9"/>
  <c r="I7868" i="9"/>
  <c r="I7869" i="9"/>
  <c r="I7870" i="9"/>
  <c r="I7871" i="9"/>
  <c r="I7872" i="9"/>
  <c r="I7873" i="9"/>
  <c r="I7874" i="9"/>
  <c r="I7875" i="9"/>
  <c r="I7876" i="9"/>
  <c r="I7877" i="9"/>
  <c r="I7878" i="9"/>
  <c r="I7879" i="9"/>
  <c r="I7880" i="9"/>
  <c r="I7881" i="9"/>
  <c r="I7882" i="9"/>
  <c r="I7883" i="9"/>
  <c r="I7884" i="9"/>
  <c r="I7885" i="9"/>
  <c r="I7886" i="9"/>
  <c r="I7887" i="9"/>
  <c r="I7888" i="9"/>
  <c r="I7889" i="9"/>
  <c r="I7890" i="9"/>
  <c r="I7891" i="9"/>
  <c r="I7892" i="9"/>
  <c r="I7893" i="9"/>
  <c r="I7894" i="9"/>
  <c r="I7895" i="9"/>
  <c r="I7896" i="9"/>
  <c r="I7897" i="9"/>
  <c r="I7898" i="9"/>
  <c r="I7899" i="9"/>
  <c r="I7900" i="9"/>
  <c r="I7901" i="9"/>
  <c r="I7902" i="9"/>
  <c r="I7903" i="9"/>
  <c r="I7904" i="9"/>
  <c r="I7905" i="9"/>
  <c r="I7906" i="9"/>
  <c r="I7907" i="9"/>
  <c r="I7908" i="9"/>
  <c r="I7909" i="9"/>
  <c r="I7910" i="9"/>
  <c r="I7911" i="9"/>
  <c r="I7912" i="9"/>
  <c r="I7913" i="9"/>
  <c r="I7914" i="9"/>
  <c r="I7915" i="9"/>
  <c r="I7916" i="9"/>
  <c r="I7917" i="9"/>
  <c r="I7918" i="9"/>
  <c r="I7919" i="9"/>
  <c r="I7920" i="9"/>
  <c r="I7921" i="9"/>
  <c r="I7922" i="9"/>
  <c r="I7923" i="9"/>
  <c r="I7924" i="9"/>
  <c r="I7925" i="9"/>
  <c r="I7926" i="9"/>
  <c r="I7927" i="9"/>
  <c r="I7928" i="9"/>
  <c r="I7929" i="9"/>
  <c r="I7930" i="9"/>
  <c r="I7931" i="9"/>
  <c r="I7932" i="9"/>
  <c r="I7933" i="9"/>
  <c r="I7934" i="9"/>
  <c r="I7935" i="9"/>
  <c r="I7936" i="9"/>
  <c r="I7937" i="9"/>
  <c r="I7938" i="9"/>
  <c r="I7939" i="9"/>
  <c r="I7940" i="9"/>
  <c r="I7941" i="9"/>
  <c r="I7942" i="9"/>
  <c r="I7943" i="9"/>
  <c r="I7944" i="9"/>
  <c r="I7945" i="9"/>
  <c r="I7946" i="9"/>
  <c r="I7947" i="9"/>
  <c r="I7948" i="9"/>
  <c r="I7949" i="9"/>
  <c r="I7950" i="9"/>
  <c r="I7951" i="9"/>
  <c r="I7952" i="9"/>
  <c r="I7953" i="9"/>
  <c r="I7954" i="9"/>
  <c r="I7955" i="9"/>
  <c r="I7956" i="9"/>
  <c r="I7957" i="9"/>
  <c r="I7958" i="9"/>
  <c r="I7959" i="9"/>
  <c r="I7960" i="9"/>
  <c r="I7961" i="9"/>
  <c r="I7962" i="9"/>
  <c r="I7963" i="9"/>
  <c r="I7964" i="9"/>
  <c r="I7965" i="9"/>
  <c r="I7966" i="9"/>
  <c r="I7967" i="9"/>
  <c r="I7968" i="9"/>
  <c r="I7969" i="9"/>
  <c r="I7970" i="9"/>
  <c r="I7971" i="9"/>
  <c r="I7972" i="9"/>
  <c r="I7973" i="9"/>
  <c r="I7974" i="9"/>
  <c r="I7975" i="9"/>
  <c r="I7976" i="9"/>
  <c r="I7977" i="9"/>
  <c r="I7978" i="9"/>
  <c r="I7979" i="9"/>
  <c r="I7980" i="9"/>
  <c r="I7981" i="9"/>
  <c r="I7982" i="9"/>
  <c r="I7983" i="9"/>
  <c r="I7984" i="9"/>
  <c r="I7985" i="9"/>
  <c r="I7986" i="9"/>
  <c r="I7987" i="9"/>
  <c r="I7988" i="9"/>
  <c r="I7989" i="9"/>
  <c r="I7990" i="9"/>
  <c r="I7991" i="9"/>
  <c r="I7992" i="9"/>
  <c r="I7993" i="9"/>
  <c r="I7994" i="9"/>
  <c r="I7995" i="9"/>
  <c r="I7996" i="9"/>
  <c r="I7997" i="9"/>
  <c r="I7998" i="9"/>
  <c r="I7999" i="9"/>
  <c r="I8000" i="9"/>
  <c r="I8001" i="9"/>
  <c r="I8002" i="9"/>
  <c r="I8003" i="9"/>
  <c r="I8004" i="9"/>
  <c r="I8005" i="9"/>
  <c r="I8006" i="9"/>
  <c r="I8007" i="9"/>
  <c r="I8008" i="9"/>
  <c r="I8009" i="9"/>
  <c r="I8010" i="9"/>
  <c r="I8011" i="9"/>
  <c r="I8012" i="9"/>
  <c r="I8013" i="9"/>
  <c r="I8014" i="9"/>
  <c r="I8015" i="9"/>
  <c r="I8016" i="9"/>
  <c r="I8017" i="9"/>
  <c r="I8018" i="9"/>
  <c r="I8019" i="9"/>
  <c r="I8020" i="9"/>
  <c r="I8021" i="9"/>
  <c r="I8022" i="9"/>
  <c r="I8023" i="9"/>
  <c r="I8024" i="9"/>
  <c r="I8025" i="9"/>
  <c r="I8026" i="9"/>
  <c r="I8027" i="9"/>
  <c r="I8028" i="9"/>
  <c r="I8029" i="9"/>
  <c r="I8030" i="9"/>
  <c r="I8031" i="9"/>
  <c r="I8032" i="9"/>
  <c r="I8033" i="9"/>
  <c r="I8034" i="9"/>
  <c r="I8035" i="9"/>
  <c r="I8036" i="9"/>
  <c r="I8037" i="9"/>
  <c r="I8038" i="9"/>
  <c r="I8039" i="9"/>
  <c r="I8040" i="9"/>
  <c r="I8041" i="9"/>
  <c r="I8042" i="9"/>
  <c r="I8043" i="9"/>
  <c r="I8044" i="9"/>
  <c r="I8045" i="9"/>
  <c r="I8046" i="9"/>
  <c r="I8047" i="9"/>
  <c r="I8048" i="9"/>
  <c r="I8049" i="9"/>
  <c r="I8050" i="9"/>
  <c r="I8051" i="9"/>
  <c r="I8052" i="9"/>
  <c r="I8053" i="9"/>
  <c r="I8054" i="9"/>
  <c r="I8055" i="9"/>
  <c r="I8056" i="9"/>
  <c r="I8057" i="9"/>
  <c r="I8058" i="9"/>
  <c r="I8059" i="9"/>
  <c r="I8060" i="9"/>
  <c r="I8061" i="9"/>
  <c r="I8062" i="9"/>
  <c r="I8063" i="9"/>
  <c r="I8064" i="9"/>
  <c r="I8065" i="9"/>
  <c r="I8066" i="9"/>
  <c r="I8067" i="9"/>
  <c r="I8068" i="9"/>
  <c r="I8069" i="9"/>
  <c r="I8070" i="9"/>
  <c r="I8071" i="9"/>
  <c r="I8072" i="9"/>
  <c r="I8073" i="9"/>
  <c r="I8074" i="9"/>
  <c r="I8075" i="9"/>
  <c r="I8076" i="9"/>
  <c r="I8077" i="9"/>
  <c r="I8078" i="9"/>
  <c r="I8079" i="9"/>
  <c r="I8080" i="9"/>
  <c r="I8081" i="9"/>
  <c r="I8082" i="9"/>
  <c r="I8083" i="9"/>
  <c r="I8084" i="9"/>
  <c r="I8085" i="9"/>
  <c r="I8086" i="9"/>
  <c r="I8087" i="9"/>
  <c r="I8088" i="9"/>
  <c r="I8089" i="9"/>
  <c r="I8090" i="9"/>
  <c r="I8091" i="9"/>
  <c r="I8092" i="9"/>
  <c r="I8093" i="9"/>
  <c r="I8094" i="9"/>
  <c r="I8095" i="9"/>
  <c r="I8096" i="9"/>
  <c r="I8097" i="9"/>
  <c r="I8098" i="9"/>
  <c r="I8099" i="9"/>
  <c r="I8100" i="9"/>
  <c r="I8101" i="9"/>
  <c r="I8102" i="9"/>
  <c r="I8103" i="9"/>
  <c r="I8104" i="9"/>
  <c r="I8105" i="9"/>
  <c r="I8106" i="9"/>
  <c r="I8107" i="9"/>
  <c r="I8108" i="9"/>
  <c r="I8109" i="9"/>
  <c r="I8110" i="9"/>
  <c r="I8111" i="9"/>
  <c r="I8112" i="9"/>
  <c r="I8113" i="9"/>
  <c r="I8114" i="9"/>
  <c r="I8115" i="9"/>
  <c r="I8116" i="9"/>
  <c r="I8117" i="9"/>
  <c r="I8118" i="9"/>
  <c r="I8119" i="9"/>
  <c r="I8120" i="9"/>
  <c r="I8121" i="9"/>
  <c r="I8122" i="9"/>
  <c r="I8123" i="9"/>
  <c r="I8124" i="9"/>
  <c r="I8125" i="9"/>
  <c r="I8126" i="9"/>
  <c r="I8127" i="9"/>
  <c r="I8128" i="9"/>
  <c r="I8129" i="9"/>
  <c r="I8130" i="9"/>
  <c r="I8131" i="9"/>
  <c r="I8132" i="9"/>
  <c r="I8133" i="9"/>
  <c r="I8134" i="9"/>
  <c r="I8135" i="9"/>
  <c r="I8136" i="9"/>
  <c r="I8137" i="9"/>
  <c r="I8138" i="9"/>
  <c r="I8139" i="9"/>
  <c r="I8140" i="9"/>
  <c r="I8141" i="9"/>
  <c r="I8142" i="9"/>
  <c r="I8143" i="9"/>
  <c r="I8144" i="9"/>
  <c r="I8145" i="9"/>
  <c r="I8146" i="9"/>
  <c r="I8147" i="9"/>
  <c r="I8148" i="9"/>
  <c r="I8149" i="9"/>
  <c r="I8150" i="9"/>
  <c r="I8151" i="9"/>
  <c r="I8152" i="9"/>
  <c r="I8153" i="9"/>
  <c r="I8154" i="9"/>
  <c r="I8155" i="9"/>
  <c r="I8156" i="9"/>
  <c r="I8157" i="9"/>
  <c r="I8158" i="9"/>
  <c r="I8159" i="9"/>
  <c r="I8160" i="9"/>
  <c r="I8161" i="9"/>
  <c r="I8162" i="9"/>
  <c r="I8163" i="9"/>
  <c r="I8164" i="9"/>
  <c r="I8165" i="9"/>
  <c r="I8166" i="9"/>
  <c r="I8167" i="9"/>
  <c r="I8168" i="9"/>
  <c r="I8169" i="9"/>
  <c r="I8170" i="9"/>
  <c r="I8171" i="9"/>
  <c r="I8172" i="9"/>
  <c r="I8173" i="9"/>
  <c r="I8174" i="9"/>
  <c r="I8175" i="9"/>
  <c r="I8176" i="9"/>
  <c r="I8177" i="9"/>
  <c r="I8178" i="9"/>
  <c r="I8179" i="9"/>
  <c r="I8180" i="9"/>
  <c r="I8181" i="9"/>
  <c r="I8182" i="9"/>
  <c r="I8183" i="9"/>
  <c r="I8184" i="9"/>
  <c r="I8185" i="9"/>
  <c r="I8186" i="9"/>
  <c r="I8187" i="9"/>
  <c r="I8188" i="9"/>
  <c r="I8189" i="9"/>
  <c r="I8190" i="9"/>
  <c r="I8191" i="9"/>
  <c r="I8192" i="9"/>
  <c r="I8193" i="9"/>
  <c r="I8194" i="9"/>
  <c r="I8195" i="9"/>
  <c r="I8196" i="9"/>
  <c r="I8197" i="9"/>
  <c r="I8198" i="9"/>
  <c r="I8199" i="9"/>
  <c r="I8200" i="9"/>
  <c r="I8201" i="9"/>
  <c r="I8202" i="9"/>
  <c r="I8203" i="9"/>
  <c r="I8204" i="9"/>
  <c r="I8205" i="9"/>
  <c r="I8206" i="9"/>
  <c r="I8207" i="9"/>
  <c r="I8208" i="9"/>
  <c r="I8209" i="9"/>
  <c r="I8210" i="9"/>
  <c r="I8211" i="9"/>
  <c r="I8212" i="9"/>
  <c r="I8213" i="9"/>
  <c r="I8214" i="9"/>
  <c r="I8215" i="9"/>
  <c r="I8216" i="9"/>
  <c r="I8217" i="9"/>
  <c r="I8218" i="9"/>
  <c r="I8219" i="9"/>
  <c r="I8220" i="9"/>
  <c r="I8221" i="9"/>
  <c r="I8222" i="9"/>
  <c r="I8223" i="9"/>
  <c r="I8224" i="9"/>
  <c r="I8225" i="9"/>
  <c r="I8226" i="9"/>
  <c r="I8227" i="9"/>
  <c r="I8228" i="9"/>
  <c r="I8229" i="9"/>
  <c r="I8230" i="9"/>
  <c r="I8231" i="9"/>
  <c r="I8232" i="9"/>
  <c r="I8233" i="9"/>
  <c r="I8234" i="9"/>
  <c r="I8235" i="9"/>
  <c r="I8236" i="9"/>
  <c r="I8237" i="9"/>
  <c r="I8238" i="9"/>
  <c r="I8239" i="9"/>
  <c r="I8240" i="9"/>
  <c r="I8241" i="9"/>
  <c r="I8242" i="9"/>
  <c r="I8243" i="9"/>
  <c r="I8244" i="9"/>
  <c r="I8245" i="9"/>
  <c r="I8246" i="9"/>
  <c r="I8247" i="9"/>
  <c r="I8248" i="9"/>
  <c r="I8249" i="9"/>
  <c r="I8250" i="9"/>
  <c r="I8251" i="9"/>
  <c r="I8252" i="9"/>
  <c r="I8253" i="9"/>
  <c r="I8254" i="9"/>
  <c r="I8255" i="9"/>
  <c r="I8256" i="9"/>
  <c r="I8257" i="9"/>
  <c r="I8258" i="9"/>
  <c r="I8259" i="9"/>
  <c r="I8260" i="9"/>
  <c r="I8261" i="9"/>
  <c r="I8262" i="9"/>
  <c r="I8263" i="9"/>
  <c r="I8264" i="9"/>
  <c r="I8265" i="9"/>
  <c r="I8266" i="9"/>
  <c r="I8267" i="9"/>
  <c r="I8268" i="9"/>
  <c r="I8269" i="9"/>
  <c r="I8270" i="9"/>
  <c r="I8271" i="9"/>
  <c r="I8272" i="9"/>
  <c r="I8273" i="9"/>
  <c r="I8274" i="9"/>
  <c r="I8275" i="9"/>
  <c r="I8276" i="9"/>
  <c r="I8277" i="9"/>
  <c r="I8278" i="9"/>
  <c r="I8279" i="9"/>
  <c r="I8280" i="9"/>
  <c r="I8281" i="9"/>
  <c r="I8282" i="9"/>
  <c r="I8283" i="9"/>
  <c r="I8284" i="9"/>
  <c r="I8285" i="9"/>
  <c r="I8286" i="9"/>
  <c r="I8287" i="9"/>
  <c r="I8288" i="9"/>
  <c r="I8289" i="9"/>
  <c r="I8290" i="9"/>
  <c r="I8291" i="9"/>
  <c r="I8292" i="9"/>
  <c r="I8293" i="9"/>
  <c r="I8294" i="9"/>
  <c r="I8295" i="9"/>
  <c r="I8296" i="9"/>
  <c r="I8297" i="9"/>
  <c r="I8298" i="9"/>
  <c r="I8299" i="9"/>
  <c r="I8300" i="9"/>
  <c r="I8301" i="9"/>
  <c r="I8302" i="9"/>
  <c r="I8303" i="9"/>
  <c r="I8304" i="9"/>
  <c r="I8305" i="9"/>
  <c r="I8306" i="9"/>
  <c r="I8307" i="9"/>
  <c r="I8308" i="9"/>
  <c r="I8309" i="9"/>
  <c r="I8310" i="9"/>
  <c r="I8311" i="9"/>
  <c r="I8312" i="9"/>
  <c r="I8313" i="9"/>
  <c r="I8314" i="9"/>
  <c r="I8315" i="9"/>
  <c r="I8316" i="9"/>
  <c r="I8317" i="9"/>
  <c r="I8318" i="9"/>
  <c r="I8319" i="9"/>
  <c r="I8320" i="9"/>
  <c r="I8321" i="9"/>
  <c r="I8322" i="9"/>
  <c r="I8323" i="9"/>
  <c r="I8324" i="9"/>
  <c r="I8325" i="9"/>
  <c r="I8326" i="9"/>
  <c r="I8327" i="9"/>
  <c r="I8328" i="9"/>
  <c r="I8329" i="9"/>
  <c r="I8330" i="9"/>
  <c r="I8331" i="9"/>
  <c r="I8332" i="9"/>
  <c r="I8333" i="9"/>
  <c r="I8334" i="9"/>
  <c r="I8335" i="9"/>
  <c r="I8336" i="9"/>
  <c r="I8337" i="9"/>
  <c r="I8338" i="9"/>
  <c r="I8339" i="9"/>
  <c r="I8340" i="9"/>
  <c r="I8341" i="9"/>
  <c r="I8342" i="9"/>
  <c r="I8343" i="9"/>
  <c r="I8344" i="9"/>
  <c r="I8345" i="9"/>
  <c r="I8346" i="9"/>
  <c r="I8347" i="9"/>
  <c r="I8348" i="9"/>
  <c r="I8349" i="9"/>
  <c r="I8350" i="9"/>
  <c r="I8351" i="9"/>
  <c r="I8352" i="9"/>
  <c r="I8353" i="9"/>
  <c r="I8354" i="9"/>
  <c r="I8355" i="9"/>
  <c r="I8356" i="9"/>
  <c r="I8357" i="9"/>
  <c r="I8358" i="9"/>
  <c r="I8359" i="9"/>
  <c r="I8360" i="9"/>
  <c r="I8361" i="9"/>
  <c r="I8362" i="9"/>
  <c r="I8363" i="9"/>
  <c r="I8364" i="9"/>
  <c r="I8365" i="9"/>
  <c r="I8366" i="9"/>
  <c r="I8367" i="9"/>
  <c r="I8368" i="9"/>
  <c r="I8369" i="9"/>
  <c r="I8370" i="9"/>
  <c r="I8371" i="9"/>
  <c r="I8372" i="9"/>
  <c r="I8373" i="9"/>
  <c r="I8374" i="9"/>
  <c r="I8375" i="9"/>
  <c r="I8376" i="9"/>
  <c r="I8377" i="9"/>
  <c r="I8378" i="9"/>
  <c r="I8379" i="9"/>
  <c r="I8380" i="9"/>
  <c r="I8381" i="9"/>
  <c r="I8382" i="9"/>
  <c r="I8383" i="9"/>
  <c r="I8384" i="9"/>
  <c r="I8385" i="9"/>
  <c r="I8386" i="9"/>
  <c r="I8387" i="9"/>
  <c r="I8388" i="9"/>
  <c r="I8389" i="9"/>
  <c r="I8390" i="9"/>
  <c r="I8391" i="9"/>
  <c r="I8392" i="9"/>
  <c r="I8393" i="9"/>
  <c r="I8394" i="9"/>
  <c r="I8395" i="9"/>
  <c r="I8396" i="9"/>
  <c r="I8397" i="9"/>
  <c r="I8398" i="9"/>
  <c r="I8399" i="9"/>
  <c r="I8400" i="9"/>
  <c r="I8401" i="9"/>
  <c r="I8402" i="9"/>
  <c r="I8403" i="9"/>
  <c r="I8404" i="9"/>
  <c r="I8405" i="9"/>
  <c r="I8406" i="9"/>
  <c r="I8407" i="9"/>
  <c r="I8408" i="9"/>
  <c r="I8409" i="9"/>
  <c r="I8410" i="9"/>
  <c r="I8411" i="9"/>
  <c r="I8412" i="9"/>
  <c r="I8413" i="9"/>
  <c r="I8414" i="9"/>
  <c r="I8415" i="9"/>
  <c r="I8416" i="9"/>
  <c r="I8417" i="9"/>
  <c r="I8418" i="9"/>
  <c r="I8419" i="9"/>
  <c r="I8420" i="9"/>
  <c r="I8421" i="9"/>
  <c r="I8422" i="9"/>
  <c r="I8423" i="9"/>
  <c r="I8424" i="9"/>
  <c r="I8425" i="9"/>
  <c r="I8426" i="9"/>
  <c r="I8427" i="9"/>
  <c r="I8428" i="9"/>
  <c r="I8429" i="9"/>
  <c r="I8430" i="9"/>
  <c r="I8431" i="9"/>
  <c r="I8432" i="9"/>
  <c r="I8433" i="9"/>
  <c r="I8434" i="9"/>
  <c r="I8435" i="9"/>
  <c r="I8436" i="9"/>
  <c r="I8437" i="9"/>
  <c r="I8438" i="9"/>
  <c r="I8439" i="9"/>
  <c r="I8440" i="9"/>
  <c r="I8441" i="9"/>
  <c r="I8442" i="9"/>
  <c r="I8443" i="9"/>
  <c r="I8444" i="9"/>
  <c r="I8445" i="9"/>
  <c r="I8446" i="9"/>
  <c r="I8447" i="9"/>
  <c r="I8448" i="9"/>
  <c r="I8449" i="9"/>
  <c r="I8450" i="9"/>
  <c r="I8451" i="9"/>
  <c r="I8452" i="9"/>
  <c r="I8453" i="9"/>
  <c r="I8454" i="9"/>
  <c r="I8455" i="9"/>
  <c r="I8456" i="9"/>
  <c r="I8457" i="9"/>
  <c r="I8458" i="9"/>
  <c r="I8459" i="9"/>
  <c r="I8460" i="9"/>
  <c r="I8461" i="9"/>
  <c r="I8462" i="9"/>
  <c r="I8463" i="9"/>
  <c r="I8464" i="9"/>
  <c r="I8465" i="9"/>
  <c r="I8466" i="9"/>
  <c r="I8467" i="9"/>
  <c r="I8468" i="9"/>
  <c r="I8469" i="9"/>
  <c r="I8470" i="9"/>
  <c r="I8471" i="9"/>
  <c r="I8472" i="9"/>
  <c r="I8473" i="9"/>
  <c r="I8474" i="9"/>
  <c r="I8475" i="9"/>
  <c r="I8476" i="9"/>
  <c r="I8477" i="9"/>
  <c r="I8478" i="9"/>
  <c r="I8479" i="9"/>
  <c r="I8480" i="9"/>
  <c r="I8481" i="9"/>
  <c r="I8482" i="9"/>
  <c r="I8483" i="9"/>
  <c r="I8484" i="9"/>
  <c r="I8485" i="9"/>
  <c r="I8486" i="9"/>
  <c r="I8487" i="9"/>
  <c r="I8488" i="9"/>
  <c r="I8489" i="9"/>
  <c r="I8490" i="9"/>
  <c r="I8491" i="9"/>
  <c r="I8492" i="9"/>
  <c r="I8493" i="9"/>
  <c r="I8494" i="9"/>
  <c r="I8495" i="9"/>
  <c r="I8496" i="9"/>
  <c r="I8497" i="9"/>
  <c r="I8498" i="9"/>
  <c r="I8499" i="9"/>
  <c r="I8500" i="9"/>
  <c r="I8501" i="9"/>
  <c r="I8502" i="9"/>
  <c r="I8503" i="9"/>
  <c r="I8504" i="9"/>
  <c r="I8505" i="9"/>
  <c r="I8506" i="9"/>
  <c r="I8507" i="9"/>
  <c r="I8508" i="9"/>
  <c r="I8509" i="9"/>
  <c r="I8510" i="9"/>
  <c r="I8511" i="9"/>
  <c r="I8512" i="9"/>
  <c r="I8513" i="9"/>
  <c r="I8514" i="9"/>
  <c r="I8515" i="9"/>
  <c r="I8516" i="9"/>
  <c r="I8517" i="9"/>
  <c r="I8518" i="9"/>
  <c r="I8519" i="9"/>
  <c r="I8520" i="9"/>
  <c r="I8521" i="9"/>
  <c r="I8522" i="9"/>
  <c r="I8523" i="9"/>
  <c r="I8524" i="9"/>
  <c r="I8525" i="9"/>
  <c r="I8526" i="9"/>
  <c r="I8527" i="9"/>
  <c r="I8528" i="9"/>
  <c r="I8529" i="9"/>
  <c r="I8530" i="9"/>
  <c r="I8531" i="9"/>
  <c r="I8532" i="9"/>
  <c r="I8533" i="9"/>
  <c r="I8534" i="9"/>
  <c r="I8535" i="9"/>
  <c r="I8536" i="9"/>
  <c r="I8537" i="9"/>
  <c r="I8538" i="9"/>
  <c r="I8539" i="9"/>
  <c r="I8540" i="9"/>
  <c r="I8541" i="9"/>
  <c r="I8542" i="9"/>
  <c r="I8543" i="9"/>
  <c r="I8544" i="9"/>
  <c r="I8545" i="9"/>
  <c r="I8546" i="9"/>
  <c r="I8547" i="9"/>
  <c r="I8548" i="9"/>
  <c r="I8549" i="9"/>
  <c r="I8550" i="9"/>
  <c r="I8551" i="9"/>
  <c r="I8552" i="9"/>
  <c r="I8553" i="9"/>
  <c r="I8554" i="9"/>
  <c r="I8555" i="9"/>
  <c r="I8556" i="9"/>
  <c r="I8557" i="9"/>
  <c r="I8558" i="9"/>
  <c r="I8559" i="9"/>
  <c r="I8560" i="9"/>
  <c r="I8561" i="9"/>
  <c r="I8562" i="9"/>
  <c r="I8563" i="9"/>
  <c r="I8564" i="9"/>
  <c r="I8565" i="9"/>
  <c r="I8566" i="9"/>
  <c r="I8567" i="9"/>
  <c r="I8568" i="9"/>
  <c r="I8569" i="9"/>
  <c r="I8570" i="9"/>
  <c r="I8571" i="9"/>
  <c r="I8572" i="9"/>
  <c r="I8573" i="9"/>
  <c r="I8574" i="9"/>
  <c r="I8575" i="9"/>
  <c r="I8576" i="9"/>
  <c r="I8577" i="9"/>
  <c r="I8578" i="9"/>
  <c r="I8579" i="9"/>
  <c r="I8580" i="9"/>
  <c r="I8581" i="9"/>
  <c r="I8582" i="9"/>
  <c r="I8583" i="9"/>
  <c r="I8584" i="9"/>
  <c r="I8585" i="9"/>
  <c r="I8586" i="9"/>
  <c r="I8587" i="9"/>
  <c r="I8588" i="9"/>
  <c r="I8589" i="9"/>
  <c r="I8590" i="9"/>
  <c r="I8591" i="9"/>
  <c r="I8592" i="9"/>
  <c r="I8593" i="9"/>
  <c r="I8594" i="9"/>
  <c r="I8595" i="9"/>
  <c r="I8596" i="9"/>
  <c r="I8597" i="9"/>
  <c r="I8598" i="9"/>
  <c r="I8599" i="9"/>
  <c r="I8600" i="9"/>
  <c r="I8601" i="9"/>
  <c r="I8602" i="9"/>
  <c r="I8603" i="9"/>
  <c r="I8604" i="9"/>
  <c r="I8605" i="9"/>
  <c r="I8606" i="9"/>
  <c r="I8607" i="9"/>
  <c r="I8608" i="9"/>
  <c r="I8609" i="9"/>
  <c r="I8610" i="9"/>
  <c r="I8611" i="9"/>
  <c r="I8612" i="9"/>
  <c r="I8613" i="9"/>
  <c r="I8614" i="9"/>
  <c r="I8615" i="9"/>
  <c r="I8616" i="9"/>
  <c r="I8617" i="9"/>
  <c r="I8618" i="9"/>
  <c r="I8619" i="9"/>
  <c r="I8620" i="9"/>
  <c r="I8621" i="9"/>
  <c r="I8622" i="9"/>
  <c r="I8623" i="9"/>
  <c r="I8624" i="9"/>
  <c r="I8625" i="9"/>
  <c r="I8626" i="9"/>
  <c r="I8627" i="9"/>
  <c r="I8628" i="9"/>
  <c r="I8629" i="9"/>
  <c r="I8630" i="9"/>
  <c r="I8631" i="9"/>
  <c r="I8632" i="9"/>
  <c r="I8633" i="9"/>
  <c r="I8634" i="9"/>
  <c r="I8635" i="9"/>
  <c r="I8636" i="9"/>
  <c r="I8637" i="9"/>
  <c r="I8638" i="9"/>
  <c r="I8639" i="9"/>
  <c r="I8640" i="9"/>
  <c r="I8641" i="9"/>
  <c r="I8642" i="9"/>
  <c r="I8643" i="9"/>
  <c r="I8644" i="9"/>
  <c r="I8645" i="9"/>
  <c r="I8646" i="9"/>
  <c r="I8647" i="9"/>
  <c r="I8648" i="9"/>
  <c r="I8649" i="9"/>
  <c r="I8650" i="9"/>
  <c r="I8651" i="9"/>
  <c r="I8652" i="9"/>
  <c r="I8653" i="9"/>
  <c r="I8654" i="9"/>
  <c r="I8655" i="9"/>
  <c r="I8656" i="9"/>
  <c r="I8657" i="9"/>
  <c r="I8658" i="9"/>
  <c r="I8659" i="9"/>
  <c r="I8660" i="9"/>
  <c r="I8661" i="9"/>
  <c r="I8662" i="9"/>
  <c r="I8663" i="9"/>
  <c r="I8664" i="9"/>
  <c r="I8665" i="9"/>
  <c r="I8666" i="9"/>
  <c r="I8667" i="9"/>
  <c r="I8668" i="9"/>
  <c r="I8669" i="9"/>
  <c r="I8670" i="9"/>
  <c r="I8671" i="9"/>
  <c r="I8672" i="9"/>
  <c r="I8673" i="9"/>
  <c r="I8674" i="9"/>
  <c r="I8675" i="9"/>
  <c r="I8676" i="9"/>
  <c r="I8677" i="9"/>
  <c r="I8678" i="9"/>
  <c r="I8679" i="9"/>
  <c r="I8680" i="9"/>
  <c r="I8681" i="9"/>
  <c r="I8682" i="9"/>
  <c r="I8683" i="9"/>
  <c r="I8684" i="9"/>
  <c r="I8685" i="9"/>
  <c r="I8686" i="9"/>
  <c r="I8687" i="9"/>
  <c r="I8688" i="9"/>
  <c r="I8689" i="9"/>
  <c r="I8690" i="9"/>
  <c r="I8691" i="9"/>
  <c r="I8692" i="9"/>
  <c r="I8693" i="9"/>
  <c r="I8694" i="9"/>
  <c r="I8695" i="9"/>
  <c r="I8696" i="9"/>
  <c r="I8697" i="9"/>
  <c r="I8698" i="9"/>
  <c r="I8699" i="9"/>
  <c r="I8700" i="9"/>
  <c r="I8701" i="9"/>
  <c r="I8702" i="9"/>
  <c r="I8703" i="9"/>
  <c r="I8704" i="9"/>
  <c r="I8705" i="9"/>
  <c r="I8706" i="9"/>
  <c r="I8707" i="9"/>
  <c r="I8708" i="9"/>
  <c r="I8709" i="9"/>
  <c r="I8710" i="9"/>
  <c r="I8711" i="9"/>
  <c r="I8712" i="9"/>
  <c r="I8713" i="9"/>
  <c r="I8714" i="9"/>
  <c r="I8715" i="9"/>
  <c r="I8716" i="9"/>
  <c r="I8717" i="9"/>
  <c r="I8718" i="9"/>
  <c r="I8719" i="9"/>
  <c r="I8720" i="9"/>
  <c r="I8721" i="9"/>
  <c r="I8722" i="9"/>
  <c r="I8723" i="9"/>
  <c r="I8724" i="9"/>
  <c r="I8725" i="9"/>
  <c r="I8726" i="9"/>
  <c r="I8727" i="9"/>
  <c r="I8728" i="9"/>
  <c r="I8729" i="9"/>
  <c r="I8730" i="9"/>
  <c r="I8731" i="9"/>
  <c r="I8732" i="9"/>
  <c r="I8733" i="9"/>
  <c r="I8734" i="9"/>
  <c r="I8735" i="9"/>
  <c r="I8736" i="9"/>
  <c r="I8737" i="9"/>
  <c r="I8738" i="9"/>
  <c r="I8739" i="9"/>
  <c r="I8740" i="9"/>
  <c r="I8741" i="9"/>
  <c r="I8742" i="9"/>
  <c r="I8743" i="9"/>
  <c r="I8744" i="9"/>
  <c r="I8745" i="9"/>
  <c r="I8746" i="9"/>
  <c r="I8747" i="9"/>
  <c r="I8748" i="9"/>
  <c r="I8749" i="9"/>
  <c r="I8750" i="9"/>
  <c r="I8751" i="9"/>
  <c r="I8752" i="9"/>
  <c r="I8753" i="9"/>
  <c r="I8754" i="9"/>
  <c r="I8755" i="9"/>
  <c r="I8756" i="9"/>
  <c r="I8757" i="9"/>
  <c r="I8758" i="9"/>
  <c r="I8759" i="9"/>
  <c r="I8760" i="9"/>
  <c r="I8761" i="9"/>
  <c r="I8762" i="9"/>
  <c r="I8763" i="9"/>
  <c r="I8764" i="9"/>
  <c r="I8765" i="9"/>
  <c r="I8766" i="9"/>
  <c r="I8767" i="9"/>
  <c r="I8768" i="9"/>
  <c r="I8769" i="9"/>
  <c r="I8770" i="9"/>
  <c r="I8771" i="9"/>
  <c r="I8772" i="9"/>
  <c r="I8773" i="9"/>
  <c r="I8774" i="9"/>
  <c r="I8775" i="9"/>
  <c r="I8776" i="9"/>
  <c r="I8777" i="9"/>
  <c r="I8778" i="9"/>
  <c r="I8779" i="9"/>
  <c r="I8780" i="9"/>
  <c r="I8781" i="9"/>
  <c r="I8782" i="9"/>
  <c r="I8783" i="9"/>
  <c r="I8784" i="9"/>
  <c r="I8785" i="9"/>
  <c r="I8786" i="9"/>
  <c r="I8787" i="9"/>
  <c r="I8788" i="9"/>
  <c r="I8789" i="9"/>
  <c r="I8790" i="9"/>
  <c r="I8791" i="9"/>
  <c r="I8792" i="9"/>
  <c r="I8793" i="9"/>
  <c r="I8794" i="9"/>
  <c r="I8795" i="9"/>
  <c r="I8796" i="9"/>
  <c r="I8797" i="9"/>
  <c r="I8798" i="9"/>
  <c r="I8799" i="9"/>
  <c r="I8800" i="9"/>
  <c r="I8801" i="9"/>
  <c r="I8802" i="9"/>
  <c r="I8803" i="9"/>
  <c r="I8804" i="9"/>
  <c r="I8805" i="9"/>
  <c r="I8806" i="9"/>
  <c r="I8807" i="9"/>
  <c r="I8808" i="9"/>
  <c r="I8809" i="9"/>
  <c r="I8810" i="9"/>
  <c r="I8811" i="9"/>
  <c r="I8812" i="9"/>
  <c r="I8813" i="9"/>
  <c r="I8814" i="9"/>
  <c r="I8815" i="9"/>
  <c r="I8816" i="9"/>
  <c r="I8817" i="9"/>
  <c r="I8818" i="9"/>
  <c r="I8819" i="9"/>
  <c r="I8820" i="9"/>
  <c r="I8821" i="9"/>
  <c r="I8822" i="9"/>
  <c r="I8823" i="9"/>
  <c r="I8824" i="9"/>
  <c r="I8825" i="9"/>
  <c r="I8826" i="9"/>
  <c r="I8827" i="9"/>
  <c r="I8828" i="9"/>
  <c r="I8829" i="9"/>
  <c r="I8830" i="9"/>
  <c r="I8831" i="9"/>
  <c r="I8832" i="9"/>
  <c r="I8833" i="9"/>
  <c r="I8834" i="9"/>
  <c r="I8835" i="9"/>
  <c r="I8836" i="9"/>
  <c r="I8837" i="9"/>
  <c r="I8838" i="9"/>
  <c r="I8839" i="9"/>
  <c r="I8840" i="9"/>
  <c r="I8841" i="9"/>
  <c r="I8842" i="9"/>
  <c r="I8843" i="9"/>
  <c r="I8844" i="9"/>
  <c r="I8845" i="9"/>
  <c r="I8846" i="9"/>
  <c r="I8847" i="9"/>
  <c r="I8848" i="9"/>
  <c r="I8849" i="9"/>
  <c r="I8850" i="9"/>
  <c r="I8851" i="9"/>
  <c r="I8852" i="9"/>
  <c r="I8853" i="9"/>
  <c r="I8854" i="9"/>
  <c r="I8855" i="9"/>
  <c r="I8856" i="9"/>
  <c r="I8857" i="9"/>
  <c r="I8858" i="9"/>
  <c r="I8859" i="9"/>
  <c r="I8860" i="9"/>
  <c r="I8861" i="9"/>
  <c r="I8862" i="9"/>
  <c r="I8863" i="9"/>
  <c r="I8864" i="9"/>
  <c r="I8865" i="9"/>
  <c r="I8866" i="9"/>
  <c r="I8867" i="9"/>
  <c r="I8868" i="9"/>
  <c r="I8869" i="9"/>
  <c r="I8870" i="9"/>
  <c r="I8871" i="9"/>
  <c r="I8872" i="9"/>
  <c r="I8873" i="9"/>
  <c r="I8874" i="9"/>
  <c r="I8875" i="9"/>
  <c r="I8876" i="9"/>
  <c r="I8877" i="9"/>
  <c r="I8878" i="9"/>
  <c r="I8879" i="9"/>
  <c r="I8880" i="9"/>
  <c r="I8881" i="9"/>
  <c r="I8882" i="9"/>
  <c r="I8883" i="9"/>
  <c r="I8884" i="9"/>
  <c r="I8885" i="9"/>
  <c r="I8886" i="9"/>
  <c r="I8887" i="9"/>
  <c r="I8888" i="9"/>
  <c r="I8889" i="9"/>
  <c r="I8890" i="9"/>
  <c r="I8891" i="9"/>
  <c r="I8892" i="9"/>
  <c r="I8893" i="9"/>
  <c r="I8894" i="9"/>
  <c r="I8895" i="9"/>
  <c r="I8896" i="9"/>
  <c r="I8897" i="9"/>
  <c r="I8898" i="9"/>
  <c r="I8899" i="9"/>
  <c r="I8900" i="9"/>
  <c r="I8901" i="9"/>
  <c r="I8902" i="9"/>
  <c r="I8903" i="9"/>
  <c r="I8904" i="9"/>
  <c r="I8905" i="9"/>
  <c r="I8906" i="9"/>
  <c r="I8907" i="9"/>
  <c r="I8908" i="9"/>
  <c r="I8909" i="9"/>
  <c r="I8910" i="9"/>
  <c r="I8911" i="9"/>
  <c r="I8912" i="9"/>
  <c r="I8913" i="9"/>
  <c r="I8914" i="9"/>
  <c r="I8915" i="9"/>
  <c r="I8916" i="9"/>
  <c r="I8917" i="9"/>
  <c r="I8918" i="9"/>
  <c r="I8919" i="9"/>
  <c r="I8920" i="9"/>
  <c r="I8921" i="9"/>
  <c r="I8922" i="9"/>
  <c r="I8923" i="9"/>
  <c r="I8924" i="9"/>
  <c r="I8925" i="9"/>
  <c r="I8926" i="9"/>
  <c r="I8927" i="9"/>
  <c r="I8928" i="9"/>
  <c r="I8929" i="9"/>
  <c r="I8930" i="9"/>
  <c r="I8931" i="9"/>
  <c r="I8932" i="9"/>
  <c r="I8933" i="9"/>
  <c r="I8934" i="9"/>
  <c r="I8935" i="9"/>
  <c r="I8936" i="9"/>
  <c r="I8937" i="9"/>
  <c r="I8938" i="9"/>
  <c r="I8939" i="9"/>
  <c r="I8940" i="9"/>
  <c r="I8941" i="9"/>
  <c r="I8942" i="9"/>
  <c r="I8943" i="9"/>
  <c r="I8944" i="9"/>
  <c r="I8945" i="9"/>
  <c r="I8946" i="9"/>
  <c r="I8947" i="9"/>
  <c r="I8948" i="9"/>
  <c r="I8949" i="9"/>
  <c r="I8950" i="9"/>
  <c r="I8951" i="9"/>
  <c r="I8952" i="9"/>
  <c r="I8953" i="9"/>
  <c r="I8954" i="9"/>
  <c r="I8955" i="9"/>
  <c r="I8956" i="9"/>
  <c r="I8957" i="9"/>
  <c r="I8958" i="9"/>
  <c r="I8959" i="9"/>
  <c r="I8960" i="9"/>
  <c r="I8961" i="9"/>
  <c r="I8962" i="9"/>
  <c r="I8963" i="9"/>
  <c r="I8964" i="9"/>
  <c r="I8965" i="9"/>
  <c r="I8966" i="9"/>
  <c r="I8967" i="9"/>
  <c r="I8968" i="9"/>
  <c r="I8969" i="9"/>
  <c r="I8970" i="9"/>
  <c r="I8971" i="9"/>
  <c r="I8972" i="9"/>
  <c r="I8973" i="9"/>
  <c r="I8974" i="9"/>
  <c r="I8975" i="9"/>
  <c r="I8976" i="9"/>
  <c r="I8977" i="9"/>
  <c r="I8978" i="9"/>
  <c r="I8979" i="9"/>
  <c r="I8980" i="9"/>
  <c r="I8981" i="9"/>
  <c r="I8982" i="9"/>
  <c r="I8983" i="9"/>
  <c r="I8984" i="9"/>
  <c r="I8985" i="9"/>
  <c r="I8986" i="9"/>
  <c r="I8987" i="9"/>
  <c r="I8988" i="9"/>
  <c r="I8989" i="9"/>
  <c r="I8990" i="9"/>
  <c r="I8991" i="9"/>
  <c r="I8992" i="9"/>
  <c r="I8993" i="9"/>
  <c r="I8994" i="9"/>
  <c r="I8995" i="9"/>
  <c r="I8996" i="9"/>
  <c r="I8997" i="9"/>
  <c r="I8998" i="9"/>
  <c r="I8999" i="9"/>
  <c r="I9000" i="9"/>
  <c r="I9001" i="9"/>
  <c r="I9002" i="9"/>
  <c r="I9003" i="9"/>
  <c r="I9004" i="9"/>
  <c r="I9005" i="9"/>
  <c r="I9006" i="9"/>
  <c r="I9007" i="9"/>
  <c r="I9008" i="9"/>
  <c r="I9009" i="9"/>
  <c r="I9010" i="9"/>
  <c r="I9011" i="9"/>
  <c r="I9012" i="9"/>
  <c r="I9013" i="9"/>
  <c r="I9014" i="9"/>
  <c r="I9015" i="9"/>
  <c r="I9016" i="9"/>
  <c r="I9017" i="9"/>
  <c r="I9018" i="9"/>
  <c r="I9019" i="9"/>
  <c r="I9020" i="9"/>
  <c r="I9021" i="9"/>
  <c r="I9022" i="9"/>
  <c r="I9023" i="9"/>
  <c r="I9024" i="9"/>
  <c r="I9025" i="9"/>
  <c r="I9026" i="9"/>
  <c r="I9027" i="9"/>
  <c r="I9028" i="9"/>
  <c r="I9029" i="9"/>
  <c r="I9030" i="9"/>
  <c r="I9031" i="9"/>
  <c r="I9032" i="9"/>
  <c r="I9033" i="9"/>
  <c r="I9034" i="9"/>
  <c r="I9035" i="9"/>
  <c r="I9036" i="9"/>
  <c r="I9037" i="9"/>
  <c r="I9038" i="9"/>
  <c r="I9039" i="9"/>
  <c r="I9040" i="9"/>
  <c r="I9041" i="9"/>
  <c r="I9042" i="9"/>
  <c r="I9043" i="9"/>
  <c r="I9044" i="9"/>
  <c r="I9045" i="9"/>
  <c r="I9046" i="9"/>
  <c r="I9047" i="9"/>
  <c r="I9048" i="9"/>
  <c r="I9049" i="9"/>
  <c r="I9050" i="9"/>
  <c r="I9051" i="9"/>
  <c r="I9052" i="9"/>
  <c r="I9053" i="9"/>
  <c r="I9054" i="9"/>
  <c r="I9055" i="9"/>
  <c r="I9056" i="9"/>
  <c r="I9057" i="9"/>
  <c r="I9058" i="9"/>
  <c r="I9059" i="9"/>
  <c r="I9060" i="9"/>
  <c r="I9061" i="9"/>
  <c r="I9062" i="9"/>
  <c r="I9063" i="9"/>
  <c r="I9064" i="9"/>
  <c r="I9065" i="9"/>
  <c r="I9066" i="9"/>
  <c r="I9067" i="9"/>
  <c r="I9068" i="9"/>
  <c r="I9069" i="9"/>
  <c r="I9070" i="9"/>
  <c r="I9071" i="9"/>
  <c r="I9072" i="9"/>
  <c r="I9073" i="9"/>
  <c r="I9074" i="9"/>
  <c r="I9075" i="9"/>
  <c r="I9076" i="9"/>
  <c r="I9077" i="9"/>
  <c r="I9078" i="9"/>
  <c r="I9079" i="9"/>
  <c r="I9080" i="9"/>
  <c r="I9081" i="9"/>
  <c r="I9082" i="9"/>
  <c r="I9083" i="9"/>
  <c r="I9084" i="9"/>
  <c r="I9085" i="9"/>
  <c r="I9086" i="9"/>
  <c r="I9087" i="9"/>
  <c r="I9088" i="9"/>
  <c r="I9089" i="9"/>
  <c r="I9090" i="9"/>
  <c r="I9091" i="9"/>
  <c r="I9092" i="9"/>
  <c r="I9093" i="9"/>
  <c r="I9094" i="9"/>
  <c r="I9095" i="9"/>
  <c r="I9096" i="9"/>
  <c r="I9097" i="9"/>
  <c r="I9098" i="9"/>
  <c r="I9099" i="9"/>
  <c r="I9100" i="9"/>
  <c r="I9101" i="9"/>
  <c r="I9102" i="9"/>
  <c r="I9103" i="9"/>
  <c r="I9104" i="9"/>
  <c r="I9105" i="9"/>
  <c r="I9106" i="9"/>
  <c r="I9107" i="9"/>
  <c r="I9108" i="9"/>
  <c r="I9109" i="9"/>
  <c r="I9110" i="9"/>
  <c r="I9111" i="9"/>
  <c r="I9112" i="9"/>
  <c r="I9113" i="9"/>
  <c r="I9114" i="9"/>
  <c r="I9115" i="9"/>
  <c r="I9116" i="9"/>
  <c r="I9117" i="9"/>
  <c r="I9118" i="9"/>
  <c r="I9119" i="9"/>
  <c r="I9120" i="9"/>
  <c r="I9121" i="9"/>
  <c r="I9122" i="9"/>
  <c r="I9123" i="9"/>
  <c r="I9124" i="9"/>
  <c r="I9125" i="9"/>
  <c r="I9126" i="9"/>
  <c r="I9127" i="9"/>
  <c r="I9128" i="9"/>
  <c r="I9129" i="9"/>
  <c r="I9130" i="9"/>
  <c r="I9131" i="9"/>
  <c r="I9132" i="9"/>
  <c r="I9133" i="9"/>
  <c r="I9134" i="9"/>
  <c r="I9135" i="9"/>
  <c r="I9136" i="9"/>
  <c r="I9137" i="9"/>
  <c r="I9138" i="9"/>
  <c r="I9139" i="9"/>
  <c r="I9140" i="9"/>
  <c r="I9141" i="9"/>
  <c r="I9142" i="9"/>
  <c r="I9143" i="9"/>
  <c r="I9144" i="9"/>
  <c r="I9145" i="9"/>
  <c r="I9146" i="9"/>
  <c r="I9147" i="9"/>
  <c r="I9148" i="9"/>
  <c r="I9149" i="9"/>
  <c r="I9150" i="9"/>
  <c r="I9151" i="9"/>
  <c r="I9152" i="9"/>
  <c r="I9153" i="9"/>
  <c r="I9154" i="9"/>
  <c r="I9155" i="9"/>
  <c r="I9156" i="9"/>
  <c r="I9157" i="9"/>
  <c r="I9158" i="9"/>
  <c r="I9159" i="9"/>
  <c r="I9160" i="9"/>
  <c r="I9161" i="9"/>
  <c r="I9162" i="9"/>
  <c r="I9163" i="9"/>
  <c r="I9164" i="9"/>
  <c r="I9165" i="9"/>
  <c r="I9166" i="9"/>
  <c r="I9167" i="9"/>
  <c r="I9168" i="9"/>
  <c r="I9169" i="9"/>
  <c r="I9170" i="9"/>
  <c r="I9171" i="9"/>
  <c r="I9172" i="9"/>
  <c r="I9173" i="9"/>
  <c r="I9174" i="9"/>
  <c r="I9175" i="9"/>
  <c r="I9176" i="9"/>
  <c r="I9177" i="9"/>
  <c r="I9178" i="9"/>
  <c r="I9179" i="9"/>
  <c r="I9180" i="9"/>
  <c r="I9181" i="9"/>
  <c r="I9182" i="9"/>
  <c r="I9183" i="9"/>
  <c r="I9184" i="9"/>
  <c r="I9185" i="9"/>
  <c r="I9186" i="9"/>
  <c r="I9187" i="9"/>
  <c r="I9188" i="9"/>
  <c r="I9189" i="9"/>
  <c r="I9190" i="9"/>
  <c r="I9191" i="9"/>
  <c r="I9192" i="9"/>
  <c r="I9193" i="9"/>
  <c r="I9194" i="9"/>
  <c r="I9195" i="9"/>
  <c r="I9196" i="9"/>
  <c r="I9197" i="9"/>
  <c r="I9198" i="9"/>
  <c r="I9199" i="9"/>
  <c r="I9200" i="9"/>
  <c r="I9201" i="9"/>
  <c r="I9202" i="9"/>
  <c r="I9203" i="9"/>
  <c r="I9204" i="9"/>
  <c r="I9205" i="9"/>
  <c r="I9206" i="9"/>
  <c r="I9207" i="9"/>
  <c r="I9208" i="9"/>
  <c r="I9209" i="9"/>
  <c r="I9210" i="9"/>
  <c r="I9211" i="9"/>
  <c r="I9212" i="9"/>
  <c r="I9213" i="9"/>
  <c r="I9214" i="9"/>
  <c r="I9215" i="9"/>
  <c r="I9216" i="9"/>
  <c r="I9217" i="9"/>
  <c r="I9218" i="9"/>
  <c r="I9219" i="9"/>
  <c r="I9220" i="9"/>
  <c r="I9221" i="9"/>
  <c r="I9222" i="9"/>
  <c r="I9223" i="9"/>
  <c r="I9224" i="9"/>
  <c r="I9225" i="9"/>
  <c r="I9226" i="9"/>
  <c r="I9227" i="9"/>
  <c r="I9228" i="9"/>
  <c r="I9229" i="9"/>
  <c r="I9230" i="9"/>
  <c r="I9231" i="9"/>
  <c r="I9232" i="9"/>
  <c r="I9233" i="9"/>
  <c r="I9234" i="9"/>
  <c r="I9235" i="9"/>
  <c r="I9236" i="9"/>
  <c r="I9237" i="9"/>
  <c r="I9238" i="9"/>
  <c r="I9239" i="9"/>
  <c r="I9240" i="9"/>
  <c r="I9241" i="9"/>
  <c r="I9242" i="9"/>
  <c r="I9243" i="9"/>
  <c r="I9244" i="9"/>
  <c r="I9245" i="9"/>
  <c r="I9246" i="9"/>
  <c r="I9247" i="9"/>
  <c r="I9248" i="9"/>
  <c r="I9249" i="9"/>
  <c r="I9250" i="9"/>
  <c r="I9251" i="9"/>
  <c r="I9252" i="9"/>
  <c r="I9253" i="9"/>
  <c r="I9254" i="9"/>
  <c r="I9255" i="9"/>
  <c r="I9256" i="9"/>
  <c r="I9257" i="9"/>
  <c r="I9258" i="9"/>
  <c r="I9259" i="9"/>
  <c r="I9260" i="9"/>
  <c r="I9261" i="9"/>
  <c r="I9262" i="9"/>
  <c r="I9263" i="9"/>
  <c r="I9264" i="9"/>
  <c r="I9265" i="9"/>
  <c r="I9266" i="9"/>
  <c r="I9267" i="9"/>
  <c r="I9268" i="9"/>
  <c r="I9269" i="9"/>
  <c r="I9270" i="9"/>
  <c r="I9271" i="9"/>
  <c r="I9272" i="9"/>
  <c r="I9273" i="9"/>
  <c r="I9274" i="9"/>
  <c r="I9275" i="9"/>
  <c r="I9276" i="9"/>
  <c r="I9277" i="9"/>
  <c r="I9278" i="9"/>
  <c r="I9279" i="9"/>
  <c r="I9280" i="9"/>
  <c r="I9281" i="9"/>
  <c r="I9282" i="9"/>
  <c r="I9283" i="9"/>
  <c r="I9284" i="9"/>
  <c r="I9285" i="9"/>
  <c r="I9286" i="9"/>
  <c r="I9287" i="9"/>
  <c r="I9288" i="9"/>
  <c r="I9289" i="9"/>
  <c r="I9290" i="9"/>
  <c r="I9291" i="9"/>
  <c r="I9292" i="9"/>
  <c r="I9293" i="9"/>
  <c r="I9294" i="9"/>
  <c r="I9295" i="9"/>
  <c r="I9296" i="9"/>
  <c r="I9297" i="9"/>
  <c r="I9298" i="9"/>
  <c r="I9299" i="9"/>
  <c r="I9300" i="9"/>
  <c r="I9301" i="9"/>
  <c r="I9302" i="9"/>
  <c r="I9303" i="9"/>
  <c r="I9304" i="9"/>
  <c r="I9305" i="9"/>
  <c r="I9306" i="9"/>
  <c r="I9307" i="9"/>
  <c r="I9308" i="9"/>
  <c r="I9309" i="9"/>
  <c r="I9310" i="9"/>
  <c r="I9311" i="9"/>
  <c r="I9312" i="9"/>
  <c r="I9313" i="9"/>
  <c r="I9314" i="9"/>
  <c r="I9315" i="9"/>
  <c r="I9316" i="9"/>
  <c r="I9317" i="9"/>
  <c r="I9318" i="9"/>
  <c r="I9319" i="9"/>
  <c r="I9320" i="9"/>
  <c r="I9321" i="9"/>
  <c r="I9322" i="9"/>
  <c r="I9323" i="9"/>
  <c r="I9324" i="9"/>
  <c r="I9325" i="9"/>
  <c r="I9326" i="9"/>
  <c r="I9327" i="9"/>
  <c r="I9328" i="9"/>
  <c r="I9329" i="9"/>
  <c r="I9330" i="9"/>
  <c r="I9331" i="9"/>
  <c r="I9332" i="9"/>
  <c r="I9333" i="9"/>
  <c r="I9334" i="9"/>
  <c r="I9335" i="9"/>
  <c r="I9336" i="9"/>
  <c r="I9337" i="9"/>
  <c r="I9338" i="9"/>
  <c r="I9339" i="9"/>
  <c r="I9340" i="9"/>
  <c r="I9341" i="9"/>
  <c r="I9342" i="9"/>
  <c r="I9343" i="9"/>
  <c r="I9344" i="9"/>
  <c r="I9345" i="9"/>
  <c r="I9346" i="9"/>
  <c r="I9347" i="9"/>
  <c r="I9348" i="9"/>
  <c r="I9349" i="9"/>
  <c r="I9350" i="9"/>
  <c r="I9351" i="9"/>
  <c r="I9352" i="9"/>
  <c r="I9353" i="9"/>
  <c r="I9354" i="9"/>
  <c r="I9355" i="9"/>
  <c r="I9356" i="9"/>
  <c r="I9357" i="9"/>
  <c r="I9358" i="9"/>
  <c r="I9359" i="9"/>
  <c r="I9360" i="9"/>
  <c r="I9361" i="9"/>
  <c r="I9362" i="9"/>
  <c r="I9363" i="9"/>
  <c r="I9364" i="9"/>
  <c r="I9365" i="9"/>
  <c r="I9366" i="9"/>
  <c r="I9367" i="9"/>
  <c r="I9368" i="9"/>
  <c r="I9369" i="9"/>
  <c r="I9370" i="9"/>
  <c r="I9371" i="9"/>
  <c r="I9372" i="9"/>
  <c r="I9373" i="9"/>
  <c r="I9374" i="9"/>
  <c r="I9375" i="9"/>
  <c r="I9376" i="9"/>
  <c r="I9377" i="9"/>
  <c r="I9378" i="9"/>
  <c r="I9379" i="9"/>
  <c r="I9380" i="9"/>
  <c r="I9381" i="9"/>
  <c r="I9382" i="9"/>
  <c r="I9383" i="9"/>
  <c r="I9384" i="9"/>
  <c r="I9385" i="9"/>
  <c r="I9386" i="9"/>
  <c r="I9387" i="9"/>
  <c r="I9388" i="9"/>
  <c r="I9389" i="9"/>
  <c r="I9390" i="9"/>
  <c r="I9391" i="9"/>
  <c r="I9392" i="9"/>
  <c r="I9393" i="9"/>
  <c r="I9394" i="9"/>
  <c r="I9395" i="9"/>
  <c r="I9396" i="9"/>
  <c r="I9397" i="9"/>
  <c r="I9398" i="9"/>
  <c r="I9399" i="9"/>
  <c r="I9400" i="9"/>
  <c r="I9401" i="9"/>
  <c r="I9402" i="9"/>
  <c r="I9403" i="9"/>
  <c r="I9404" i="9"/>
  <c r="I9405" i="9"/>
  <c r="I9406" i="9"/>
  <c r="I9407" i="9"/>
  <c r="I9408" i="9"/>
  <c r="I9409" i="9"/>
  <c r="I9410" i="9"/>
  <c r="I9411" i="9"/>
  <c r="I9412" i="9"/>
  <c r="I9413" i="9"/>
  <c r="I9414" i="9"/>
  <c r="I9415" i="9"/>
  <c r="I9416" i="9"/>
  <c r="I9417" i="9"/>
  <c r="I9418" i="9"/>
  <c r="I9419" i="9"/>
  <c r="I9420" i="9"/>
  <c r="I9421" i="9"/>
  <c r="I9422" i="9"/>
  <c r="I9423" i="9"/>
  <c r="I9424" i="9"/>
  <c r="I9425" i="9"/>
  <c r="I9426" i="9"/>
  <c r="I9427" i="9"/>
  <c r="I9428" i="9"/>
  <c r="I9429" i="9"/>
  <c r="I9430" i="9"/>
  <c r="I9431" i="9"/>
  <c r="I9432" i="9"/>
  <c r="I9433" i="9"/>
  <c r="I9434" i="9"/>
  <c r="I9435" i="9"/>
  <c r="I9436" i="9"/>
  <c r="I9437" i="9"/>
  <c r="I9438" i="9"/>
  <c r="I9439" i="9"/>
  <c r="I9440" i="9"/>
  <c r="I9441" i="9"/>
  <c r="I9442" i="9"/>
  <c r="I9443" i="9"/>
  <c r="I9444" i="9"/>
  <c r="I9445" i="9"/>
  <c r="I9446" i="9"/>
  <c r="I9447" i="9"/>
  <c r="I9448" i="9"/>
  <c r="I9449" i="9"/>
  <c r="I9450" i="9"/>
  <c r="I9451" i="9"/>
  <c r="I9452" i="9"/>
  <c r="I9453" i="9"/>
  <c r="I9454" i="9"/>
  <c r="I9455" i="9"/>
  <c r="I9456" i="9"/>
  <c r="I9457" i="9"/>
  <c r="I9458" i="9"/>
  <c r="I9459" i="9"/>
  <c r="I9460" i="9"/>
  <c r="I9461" i="9"/>
  <c r="I9462" i="9"/>
  <c r="I9463" i="9"/>
  <c r="I9464" i="9"/>
  <c r="I9465" i="9"/>
  <c r="I9466" i="9"/>
  <c r="I9467" i="9"/>
  <c r="I9468" i="9"/>
  <c r="I9469" i="9"/>
  <c r="I9470" i="9"/>
  <c r="I9471" i="9"/>
  <c r="I9472" i="9"/>
  <c r="I9473" i="9"/>
  <c r="I9474" i="9"/>
  <c r="I9475" i="9"/>
  <c r="I9476" i="9"/>
  <c r="I9477" i="9"/>
  <c r="I9478" i="9"/>
  <c r="I9479" i="9"/>
  <c r="I9480" i="9"/>
  <c r="I9481" i="9"/>
  <c r="I9482" i="9"/>
  <c r="I9483" i="9"/>
  <c r="I9484" i="9"/>
  <c r="I9485" i="9"/>
  <c r="I9486" i="9"/>
  <c r="I9487" i="9"/>
  <c r="I9488" i="9"/>
  <c r="I9489" i="9"/>
  <c r="I9490" i="9"/>
  <c r="I9491" i="9"/>
  <c r="I9492" i="9"/>
  <c r="I9493" i="9"/>
  <c r="I9494" i="9"/>
  <c r="I9495" i="9"/>
  <c r="I9496" i="9"/>
  <c r="I9497" i="9"/>
  <c r="I9498" i="9"/>
  <c r="I9499" i="9"/>
  <c r="I9500" i="9"/>
  <c r="I9501" i="9"/>
  <c r="I9502" i="9"/>
  <c r="I9503" i="9"/>
  <c r="I9504" i="9"/>
  <c r="I9505" i="9"/>
  <c r="I9506" i="9"/>
  <c r="I9507" i="9"/>
  <c r="I9508" i="9"/>
  <c r="I9509" i="9"/>
  <c r="I9510" i="9"/>
  <c r="I9511" i="9"/>
  <c r="I9512" i="9"/>
  <c r="I9513" i="9"/>
  <c r="I9514" i="9"/>
  <c r="I9515" i="9"/>
  <c r="I9516" i="9"/>
  <c r="I9517" i="9"/>
  <c r="I9518" i="9"/>
  <c r="I9519" i="9"/>
  <c r="I9520" i="9"/>
  <c r="I9521" i="9"/>
  <c r="I9522" i="9"/>
  <c r="I9523" i="9"/>
  <c r="I9524" i="9"/>
  <c r="I9525" i="9"/>
  <c r="I9526" i="9"/>
  <c r="I9527" i="9"/>
  <c r="I9528" i="9"/>
  <c r="I9529" i="9"/>
  <c r="I9530" i="9"/>
  <c r="I9531" i="9"/>
  <c r="I9532" i="9"/>
  <c r="I9533" i="9"/>
  <c r="I9534" i="9"/>
  <c r="I9535" i="9"/>
  <c r="I9536" i="9"/>
  <c r="I9537" i="9"/>
  <c r="I9538" i="9"/>
  <c r="I9539" i="9"/>
  <c r="I9540" i="9"/>
  <c r="I9541" i="9"/>
  <c r="I9542" i="9"/>
  <c r="I9543" i="9"/>
  <c r="I9544" i="9"/>
  <c r="I9545" i="9"/>
  <c r="I9546" i="9"/>
  <c r="I9547" i="9"/>
  <c r="I9548" i="9"/>
  <c r="I9549" i="9"/>
  <c r="I9550" i="9"/>
  <c r="I9551" i="9"/>
  <c r="I9552" i="9"/>
  <c r="I9553" i="9"/>
  <c r="I9554" i="9"/>
  <c r="I9555" i="9"/>
  <c r="I9556" i="9"/>
  <c r="I9557" i="9"/>
  <c r="I9558" i="9"/>
  <c r="I9559" i="9"/>
  <c r="I9560" i="9"/>
  <c r="I9561" i="9"/>
  <c r="I9562" i="9"/>
  <c r="I9563" i="9"/>
  <c r="I9564" i="9"/>
  <c r="I9565" i="9"/>
  <c r="I9566" i="9"/>
  <c r="I9567" i="9"/>
  <c r="I9568" i="9"/>
  <c r="I9569" i="9"/>
  <c r="I9570" i="9"/>
  <c r="I9571" i="9"/>
  <c r="I9572" i="9"/>
  <c r="I9573" i="9"/>
  <c r="I9574" i="9"/>
  <c r="I9575" i="9"/>
  <c r="I9576" i="9"/>
  <c r="I9577" i="9"/>
  <c r="I9578" i="9"/>
  <c r="I9579" i="9"/>
  <c r="I9580" i="9"/>
  <c r="I9581" i="9"/>
  <c r="I9582" i="9"/>
  <c r="I9583" i="9"/>
  <c r="I9584" i="9"/>
  <c r="I9585" i="9"/>
  <c r="I9586" i="9"/>
  <c r="I9587" i="9"/>
  <c r="I9588" i="9"/>
  <c r="I9589" i="9"/>
  <c r="I9590" i="9"/>
  <c r="I9591" i="9"/>
  <c r="I9592" i="9"/>
  <c r="I9593" i="9"/>
  <c r="I9594" i="9"/>
  <c r="I9595" i="9"/>
  <c r="I9596" i="9"/>
  <c r="I9597" i="9"/>
  <c r="I9598" i="9"/>
  <c r="I9599" i="9"/>
  <c r="I9600" i="9"/>
  <c r="I9601" i="9"/>
  <c r="I9602" i="9"/>
  <c r="I9603" i="9"/>
  <c r="I9604" i="9"/>
  <c r="I9605" i="9"/>
  <c r="I9606" i="9"/>
  <c r="I9607" i="9"/>
  <c r="I9608" i="9"/>
  <c r="I9609" i="9"/>
  <c r="I9610" i="9"/>
  <c r="I9611" i="9"/>
  <c r="I9612" i="9"/>
  <c r="I9613" i="9"/>
  <c r="I9614" i="9"/>
  <c r="I9615" i="9"/>
  <c r="I9616" i="9"/>
  <c r="I9617" i="9"/>
  <c r="I9618" i="9"/>
  <c r="I9619" i="9"/>
  <c r="I9620" i="9"/>
  <c r="I9621" i="9"/>
  <c r="I9622" i="9"/>
  <c r="I9623" i="9"/>
  <c r="I9624" i="9"/>
  <c r="I9625" i="9"/>
  <c r="I9626" i="9"/>
  <c r="I9627" i="9"/>
  <c r="I9628" i="9"/>
  <c r="I9629" i="9"/>
  <c r="I9630" i="9"/>
  <c r="I9631" i="9"/>
  <c r="I9632" i="9"/>
  <c r="I9633" i="9"/>
  <c r="I9634" i="9"/>
  <c r="I9635" i="9"/>
  <c r="I9636" i="9"/>
  <c r="I9637" i="9"/>
  <c r="I9638" i="9"/>
  <c r="I9639" i="9"/>
  <c r="I9640" i="9"/>
  <c r="I9641" i="9"/>
  <c r="I9642" i="9"/>
  <c r="I9643" i="9"/>
  <c r="I9644" i="9"/>
  <c r="I9645" i="9"/>
  <c r="I9646" i="9"/>
  <c r="I9647" i="9"/>
  <c r="I9648" i="9"/>
  <c r="I9649" i="9"/>
  <c r="I9650" i="9"/>
  <c r="I9651" i="9"/>
  <c r="I9652" i="9"/>
  <c r="I9653" i="9"/>
  <c r="I9654" i="9"/>
  <c r="I9655" i="9"/>
  <c r="I9656" i="9"/>
  <c r="I9657" i="9"/>
  <c r="I9658" i="9"/>
  <c r="I9659" i="9"/>
  <c r="I9660" i="9"/>
  <c r="I9661" i="9"/>
  <c r="I9662" i="9"/>
  <c r="I9663" i="9"/>
  <c r="I9664" i="9"/>
  <c r="I9665" i="9"/>
  <c r="I9666" i="9"/>
  <c r="I9667" i="9"/>
  <c r="I9668" i="9"/>
  <c r="I9669" i="9"/>
  <c r="I9670" i="9"/>
  <c r="I9671" i="9"/>
  <c r="I9672" i="9"/>
  <c r="I9673" i="9"/>
  <c r="I9674" i="9"/>
  <c r="I9675" i="9"/>
  <c r="I9676" i="9"/>
  <c r="I9677" i="9"/>
  <c r="I9678" i="9"/>
  <c r="I9679" i="9"/>
  <c r="I9680" i="9"/>
  <c r="I9681" i="9"/>
  <c r="I9682" i="9"/>
  <c r="I9683" i="9"/>
  <c r="I9684" i="9"/>
  <c r="I9685" i="9"/>
  <c r="I9686" i="9"/>
  <c r="I9687" i="9"/>
  <c r="I9688" i="9"/>
  <c r="I9689" i="9"/>
  <c r="I9690" i="9"/>
  <c r="I9691" i="9"/>
  <c r="I9692" i="9"/>
  <c r="I9693" i="9"/>
  <c r="I9694" i="9"/>
  <c r="I9695" i="9"/>
  <c r="I9696" i="9"/>
  <c r="I9697" i="9"/>
  <c r="I9698" i="9"/>
  <c r="I9699" i="9"/>
  <c r="I9700" i="9"/>
  <c r="I9701" i="9"/>
  <c r="I9702" i="9"/>
  <c r="I9703" i="9"/>
  <c r="I9704" i="9"/>
  <c r="I9705" i="9"/>
  <c r="I9706" i="9"/>
  <c r="I9707" i="9"/>
  <c r="I9708" i="9"/>
  <c r="I9709" i="9"/>
  <c r="I9710" i="9"/>
  <c r="I9711" i="9"/>
  <c r="I9712" i="9"/>
  <c r="I9713" i="9"/>
  <c r="I9714" i="9"/>
  <c r="I9715" i="9"/>
  <c r="I9716" i="9"/>
  <c r="I9717" i="9"/>
  <c r="I9718" i="9"/>
  <c r="I9719" i="9"/>
  <c r="I9720" i="9"/>
  <c r="I9721" i="9"/>
  <c r="I9722" i="9"/>
  <c r="I9723" i="9"/>
  <c r="I9724" i="9"/>
  <c r="I9725" i="9"/>
  <c r="I9726" i="9"/>
  <c r="I9727" i="9"/>
  <c r="I9728" i="9"/>
  <c r="I9729" i="9"/>
  <c r="I9730" i="9"/>
  <c r="I9731" i="9"/>
  <c r="I9732" i="9"/>
  <c r="I9733" i="9"/>
  <c r="I9734" i="9"/>
  <c r="I9735" i="9"/>
  <c r="I9736" i="9"/>
  <c r="I9737" i="9"/>
  <c r="I9738" i="9"/>
  <c r="I9739" i="9"/>
  <c r="I9740" i="9"/>
  <c r="I9741" i="9"/>
  <c r="I9742" i="9"/>
  <c r="I9743" i="9"/>
  <c r="I9744" i="9"/>
  <c r="I9745" i="9"/>
  <c r="I9746" i="9"/>
  <c r="I9747" i="9"/>
  <c r="I9748" i="9"/>
  <c r="I9749" i="9"/>
  <c r="I9750" i="9"/>
  <c r="I9751" i="9"/>
  <c r="I9752" i="9"/>
  <c r="I9753" i="9"/>
  <c r="I9754" i="9"/>
  <c r="I9755" i="9"/>
  <c r="I9756" i="9"/>
  <c r="I9757" i="9"/>
  <c r="I9758" i="9"/>
  <c r="I9759" i="9"/>
  <c r="I9760" i="9"/>
  <c r="I9761" i="9"/>
  <c r="I9762" i="9"/>
  <c r="I9763" i="9"/>
  <c r="I9764" i="9"/>
  <c r="I9765" i="9"/>
  <c r="I9766" i="9"/>
  <c r="I9767" i="9"/>
  <c r="I9768" i="9"/>
  <c r="I9769" i="9"/>
  <c r="I9770" i="9"/>
  <c r="I9771" i="9"/>
  <c r="I9772" i="9"/>
  <c r="I9773" i="9"/>
  <c r="I9774" i="9"/>
  <c r="I9775" i="9"/>
  <c r="I9776" i="9"/>
  <c r="I9777" i="9"/>
  <c r="I9778" i="9"/>
  <c r="I9779" i="9"/>
  <c r="I9780" i="9"/>
  <c r="I9781" i="9"/>
  <c r="I9782" i="9"/>
  <c r="I9783" i="9"/>
  <c r="I9784" i="9"/>
  <c r="I9785" i="9"/>
  <c r="I9786" i="9"/>
  <c r="I9787" i="9"/>
  <c r="I9788" i="9"/>
  <c r="I9789" i="9"/>
  <c r="I9790" i="9"/>
  <c r="I9791" i="9"/>
  <c r="I9792" i="9"/>
  <c r="I9793" i="9"/>
  <c r="I9794" i="9"/>
  <c r="I9795" i="9"/>
  <c r="I9796" i="9"/>
  <c r="I9797" i="9"/>
  <c r="I9798" i="9"/>
  <c r="I9799" i="9"/>
  <c r="I9800" i="9"/>
  <c r="I9801" i="9"/>
  <c r="I9802" i="9"/>
  <c r="I9803" i="9"/>
  <c r="I9804" i="9"/>
  <c r="I9805" i="9"/>
  <c r="I9806" i="9"/>
  <c r="I9807" i="9"/>
  <c r="I9808" i="9"/>
  <c r="I9809" i="9"/>
  <c r="I9810" i="9"/>
  <c r="I9811" i="9"/>
  <c r="I9812" i="9"/>
  <c r="I9813" i="9"/>
  <c r="I9814" i="9"/>
  <c r="I9815" i="9"/>
  <c r="I9816" i="9"/>
  <c r="I9817" i="9"/>
  <c r="I9818" i="9"/>
  <c r="I9819" i="9"/>
  <c r="I9820" i="9"/>
  <c r="I9821" i="9"/>
  <c r="I9822" i="9"/>
  <c r="I9823" i="9"/>
  <c r="I9824" i="9"/>
  <c r="I9825" i="9"/>
  <c r="I9826" i="9"/>
  <c r="I9827" i="9"/>
  <c r="I9828" i="9"/>
  <c r="I9829" i="9"/>
  <c r="I9830" i="9"/>
  <c r="I9831" i="9"/>
  <c r="I9832" i="9"/>
  <c r="I9833" i="9"/>
  <c r="I9834" i="9"/>
  <c r="I9835" i="9"/>
  <c r="I9836" i="9"/>
  <c r="I9837" i="9"/>
  <c r="I9838" i="9"/>
  <c r="I9839" i="9"/>
  <c r="I9840" i="9"/>
  <c r="I9841" i="9"/>
  <c r="I9842" i="9"/>
  <c r="I9843" i="9"/>
  <c r="I9844" i="9"/>
  <c r="I9845" i="9"/>
  <c r="I9846" i="9"/>
  <c r="I9847" i="9"/>
  <c r="I9848" i="9"/>
  <c r="I9849" i="9"/>
  <c r="I9850" i="9"/>
  <c r="I9851" i="9"/>
  <c r="I9852" i="9"/>
  <c r="I9853" i="9"/>
  <c r="I9854" i="9"/>
  <c r="I9855" i="9"/>
  <c r="I9856" i="9"/>
  <c r="I9857" i="9"/>
  <c r="I9858" i="9"/>
  <c r="I9859" i="9"/>
  <c r="I9860" i="9"/>
  <c r="I9861" i="9"/>
  <c r="I9862" i="9"/>
  <c r="I9863" i="9"/>
  <c r="I9864" i="9"/>
  <c r="I9865" i="9"/>
  <c r="I9866" i="9"/>
  <c r="I9867" i="9"/>
  <c r="I9868" i="9"/>
  <c r="I9869" i="9"/>
  <c r="I9870" i="9"/>
  <c r="I9871" i="9"/>
  <c r="I9872" i="9"/>
  <c r="I9873" i="9"/>
  <c r="I9874" i="9"/>
  <c r="I9875" i="9"/>
  <c r="I9876" i="9"/>
  <c r="I9877" i="9"/>
  <c r="I9878" i="9"/>
  <c r="I9879" i="9"/>
  <c r="I9880" i="9"/>
  <c r="I9881" i="9"/>
  <c r="I9882" i="9"/>
  <c r="I9883" i="9"/>
  <c r="I9884" i="9"/>
  <c r="I9885" i="9"/>
  <c r="I9886" i="9"/>
  <c r="I9887" i="9"/>
  <c r="I9888" i="9"/>
  <c r="I9889" i="9"/>
  <c r="I9890" i="9"/>
  <c r="I9891" i="9"/>
  <c r="I9892" i="9"/>
  <c r="I9893" i="9"/>
  <c r="I9894" i="9"/>
  <c r="I9895" i="9"/>
  <c r="I9896" i="9"/>
  <c r="I9897" i="9"/>
  <c r="I9898" i="9"/>
  <c r="I9899" i="9"/>
  <c r="I9900" i="9"/>
  <c r="I9901" i="9"/>
  <c r="I9902" i="9"/>
  <c r="I9903" i="9"/>
  <c r="I9904" i="9"/>
  <c r="I9905" i="9"/>
  <c r="I9906" i="9"/>
  <c r="I9907" i="9"/>
  <c r="I9908" i="9"/>
  <c r="I9909" i="9"/>
  <c r="I9910" i="9"/>
  <c r="I9911" i="9"/>
  <c r="I9912" i="9"/>
  <c r="I9913" i="9"/>
  <c r="I9914" i="9"/>
  <c r="I9915" i="9"/>
  <c r="I9916" i="9"/>
  <c r="I9917" i="9"/>
  <c r="I9918" i="9"/>
  <c r="I9919" i="9"/>
  <c r="I9920" i="9"/>
  <c r="I9921" i="9"/>
  <c r="I9922" i="9"/>
  <c r="I9923" i="9"/>
  <c r="I9924" i="9"/>
  <c r="I9925" i="9"/>
  <c r="I9926" i="9"/>
  <c r="I9927" i="9"/>
  <c r="I9928" i="9"/>
  <c r="I9929" i="9"/>
  <c r="I9930" i="9"/>
  <c r="I9931" i="9"/>
  <c r="I9932" i="9"/>
  <c r="I9933" i="9"/>
  <c r="I9934" i="9"/>
  <c r="I9935" i="9"/>
  <c r="I9936" i="9"/>
  <c r="I9937" i="9"/>
  <c r="I9938" i="9"/>
  <c r="I9939" i="9"/>
  <c r="I9940" i="9"/>
  <c r="I9941" i="9"/>
  <c r="I9942" i="9"/>
  <c r="I9943" i="9"/>
  <c r="I9944" i="9"/>
  <c r="I9945" i="9"/>
  <c r="I9946" i="9"/>
  <c r="I9947" i="9"/>
  <c r="I9948" i="9"/>
  <c r="I9949" i="9"/>
  <c r="I9950" i="9"/>
  <c r="I9951" i="9"/>
  <c r="I9952" i="9"/>
  <c r="I9953" i="9"/>
  <c r="I9954" i="9"/>
  <c r="I9955" i="9"/>
  <c r="I9956" i="9"/>
  <c r="I9957" i="9"/>
  <c r="I9958" i="9"/>
  <c r="I9959" i="9"/>
  <c r="I9960" i="9"/>
  <c r="I9961" i="9"/>
  <c r="I9962" i="9"/>
  <c r="I9963" i="9"/>
  <c r="I9964" i="9"/>
  <c r="I9965" i="9"/>
  <c r="I9966" i="9"/>
  <c r="I9967" i="9"/>
  <c r="I9968" i="9"/>
  <c r="I9969" i="9"/>
  <c r="I9970" i="9"/>
  <c r="I9971" i="9"/>
  <c r="I9972" i="9"/>
  <c r="I9973" i="9"/>
  <c r="I9974" i="9"/>
  <c r="I9975" i="9"/>
  <c r="I9976" i="9"/>
  <c r="I9977" i="9"/>
  <c r="I9978" i="9"/>
  <c r="I9979" i="9"/>
  <c r="I9980" i="9"/>
  <c r="I9981" i="9"/>
  <c r="I9982" i="9"/>
  <c r="I9983" i="9"/>
  <c r="I9984" i="9"/>
  <c r="I9985" i="9"/>
  <c r="I9986" i="9"/>
  <c r="I9987" i="9"/>
  <c r="I9988" i="9"/>
  <c r="I9989" i="9"/>
  <c r="I9990" i="9"/>
  <c r="I9991" i="9"/>
  <c r="I9992" i="9"/>
  <c r="I9993" i="9"/>
  <c r="I9994" i="9"/>
  <c r="I9995" i="9"/>
  <c r="I9996" i="9"/>
  <c r="I9997" i="9"/>
  <c r="I9998" i="9"/>
  <c r="I9999" i="9"/>
  <c r="I10000" i="9"/>
  <c r="I10001" i="9"/>
  <c r="I10002" i="9"/>
  <c r="I10003" i="9"/>
  <c r="I10004" i="9"/>
  <c r="I10005" i="9"/>
  <c r="I10006" i="9"/>
  <c r="I10007" i="9"/>
  <c r="I10008" i="9"/>
  <c r="I10009" i="9"/>
  <c r="I10010" i="9"/>
  <c r="I10011" i="9"/>
  <c r="I10012" i="9"/>
  <c r="I10013" i="9"/>
  <c r="I10014" i="9"/>
  <c r="I10015" i="9"/>
  <c r="I10016" i="9"/>
  <c r="I10017" i="9"/>
  <c r="I10018" i="9"/>
  <c r="I10019" i="9"/>
  <c r="I10020" i="9"/>
  <c r="I10021" i="9"/>
  <c r="I10022" i="9"/>
  <c r="I10023" i="9"/>
  <c r="I10024" i="9"/>
  <c r="I10025" i="9"/>
  <c r="I10026" i="9"/>
  <c r="I10027" i="9"/>
  <c r="I10028" i="9"/>
  <c r="I10029" i="9"/>
  <c r="I10030" i="9"/>
  <c r="I10031" i="9"/>
  <c r="I10032" i="9"/>
  <c r="I10033" i="9"/>
  <c r="I10034" i="9"/>
  <c r="I10035" i="9"/>
  <c r="I10036" i="9"/>
  <c r="I10037" i="9"/>
  <c r="I10038" i="9"/>
  <c r="I10039" i="9"/>
  <c r="I10040" i="9"/>
  <c r="I10041" i="9"/>
  <c r="I10042" i="9"/>
  <c r="I10043" i="9"/>
  <c r="I10044" i="9"/>
  <c r="I10045" i="9"/>
  <c r="I10046" i="9"/>
  <c r="I10047" i="9"/>
  <c r="I10048" i="9"/>
  <c r="I10049" i="9"/>
  <c r="I10050" i="9"/>
  <c r="I10051" i="9"/>
  <c r="I10052" i="9"/>
  <c r="I10053" i="9"/>
  <c r="I10054" i="9"/>
  <c r="I10055" i="9"/>
  <c r="I10056" i="9"/>
  <c r="I10057" i="9"/>
  <c r="I10058" i="9"/>
  <c r="I10059" i="9"/>
  <c r="I10060" i="9"/>
  <c r="I10061" i="9"/>
  <c r="I10062" i="9"/>
  <c r="I10063" i="9"/>
  <c r="I10064" i="9"/>
  <c r="I10065" i="9"/>
  <c r="I10066" i="9"/>
  <c r="I10067" i="9"/>
  <c r="I10068" i="9"/>
  <c r="I10069" i="9"/>
  <c r="I10070" i="9"/>
  <c r="I10071" i="9"/>
  <c r="I10072" i="9"/>
  <c r="I10073" i="9"/>
  <c r="I10074" i="9"/>
  <c r="I10075" i="9"/>
  <c r="I10076" i="9"/>
  <c r="I10077" i="9"/>
  <c r="I10078" i="9"/>
  <c r="I10079" i="9"/>
  <c r="I10080" i="9"/>
  <c r="I10081" i="9"/>
  <c r="I10082" i="9"/>
  <c r="I10083" i="9"/>
  <c r="I10084" i="9"/>
  <c r="I10085" i="9"/>
  <c r="I10086" i="9"/>
  <c r="I10087" i="9"/>
  <c r="I10088" i="9"/>
  <c r="I10089" i="9"/>
  <c r="I10090" i="9"/>
  <c r="I10091" i="9"/>
  <c r="I10092" i="9"/>
  <c r="I10093" i="9"/>
  <c r="I10094" i="9"/>
  <c r="I10095" i="9"/>
  <c r="I10096" i="9"/>
  <c r="I10097" i="9"/>
  <c r="I10098" i="9"/>
  <c r="I10099" i="9"/>
  <c r="I10100" i="9"/>
  <c r="I10101" i="9"/>
  <c r="I10102" i="9"/>
  <c r="I10103" i="9"/>
  <c r="I10104" i="9"/>
  <c r="I10105" i="9"/>
  <c r="I10106" i="9"/>
  <c r="I10107" i="9"/>
  <c r="I10108" i="9"/>
  <c r="I10109" i="9"/>
  <c r="I10110" i="9"/>
  <c r="I10111" i="9"/>
  <c r="I10112" i="9"/>
  <c r="I10113" i="9"/>
  <c r="I10114" i="9"/>
  <c r="I10115" i="9"/>
  <c r="I10116" i="9"/>
  <c r="I10117" i="9"/>
  <c r="I10118" i="9"/>
  <c r="I10119" i="9"/>
  <c r="I10120" i="9"/>
  <c r="I10121" i="9"/>
  <c r="I10122" i="9"/>
  <c r="I10123" i="9"/>
  <c r="I10124" i="9"/>
  <c r="I10125" i="9"/>
  <c r="I10126" i="9"/>
  <c r="I10127" i="9"/>
  <c r="I10128" i="9"/>
  <c r="I10129" i="9"/>
  <c r="I10130" i="9"/>
  <c r="I10131" i="9"/>
  <c r="I10132" i="9"/>
  <c r="I10133" i="9"/>
  <c r="I10134" i="9"/>
  <c r="I10135" i="9"/>
  <c r="I10136" i="9"/>
  <c r="I10137" i="9"/>
  <c r="I10138" i="9"/>
  <c r="I10139" i="9"/>
  <c r="I10140" i="9"/>
  <c r="I10141" i="9"/>
  <c r="I10142" i="9"/>
  <c r="I10143" i="9"/>
  <c r="I10144" i="9"/>
  <c r="I10145" i="9"/>
  <c r="I10146" i="9"/>
  <c r="I10147" i="9"/>
  <c r="I10148" i="9"/>
  <c r="I10149" i="9"/>
  <c r="I10150" i="9"/>
  <c r="I10151" i="9"/>
  <c r="I10152" i="9"/>
  <c r="I10153" i="9"/>
  <c r="I10154" i="9"/>
  <c r="I10155" i="9"/>
  <c r="I10156" i="9"/>
  <c r="I10157" i="9"/>
  <c r="I10158" i="9"/>
  <c r="I10159" i="9"/>
  <c r="I10160" i="9"/>
  <c r="I10161" i="9"/>
  <c r="I10162" i="9"/>
  <c r="I10163" i="9"/>
  <c r="I10164" i="9"/>
  <c r="I10165" i="9"/>
  <c r="I10166" i="9"/>
  <c r="I10167" i="9"/>
  <c r="I10168" i="9"/>
  <c r="I10169" i="9"/>
  <c r="I10170" i="9"/>
  <c r="I10171" i="9"/>
  <c r="I10172" i="9"/>
  <c r="I10173" i="9"/>
  <c r="I10174" i="9"/>
  <c r="I10175" i="9"/>
  <c r="I10176" i="9"/>
  <c r="I10177" i="9"/>
  <c r="I10178" i="9"/>
  <c r="I10179" i="9"/>
  <c r="I10180" i="9"/>
  <c r="I10181" i="9"/>
  <c r="I10182" i="9"/>
  <c r="I10183" i="9"/>
  <c r="I10184" i="9"/>
  <c r="I10185" i="9"/>
  <c r="I10186" i="9"/>
  <c r="I10187" i="9"/>
  <c r="I10188" i="9"/>
  <c r="I10189" i="9"/>
  <c r="I10190" i="9"/>
  <c r="I10191" i="9"/>
  <c r="I10192" i="9"/>
  <c r="I10193" i="9"/>
  <c r="I10194" i="9"/>
  <c r="I10195" i="9"/>
  <c r="I10196" i="9"/>
  <c r="I10197" i="9"/>
  <c r="I10198" i="9"/>
  <c r="I10199" i="9"/>
  <c r="I10200" i="9"/>
  <c r="I10201" i="9"/>
  <c r="I10202" i="9"/>
  <c r="I10203" i="9"/>
  <c r="I10204" i="9"/>
  <c r="I10205" i="9"/>
  <c r="I10206" i="9"/>
  <c r="I10207" i="9"/>
  <c r="I10208" i="9"/>
  <c r="I10209" i="9"/>
  <c r="I10210" i="9"/>
  <c r="I10211" i="9"/>
  <c r="I10212" i="9"/>
  <c r="I10213" i="9"/>
  <c r="I10214" i="9"/>
  <c r="I10215" i="9"/>
  <c r="I10216" i="9"/>
  <c r="I10217" i="9"/>
  <c r="I10218" i="9"/>
  <c r="I10219" i="9"/>
  <c r="I10220" i="9"/>
  <c r="I10221" i="9"/>
  <c r="I10222" i="9"/>
  <c r="I10223" i="9"/>
  <c r="I10224" i="9"/>
  <c r="I10225" i="9"/>
  <c r="I10226" i="9"/>
  <c r="I10227" i="9"/>
  <c r="I10228" i="9"/>
  <c r="I10229" i="9"/>
  <c r="I10230" i="9"/>
  <c r="I10231" i="9"/>
  <c r="I10232" i="9"/>
  <c r="I10233" i="9"/>
  <c r="I10234" i="9"/>
  <c r="I10235" i="9"/>
  <c r="I10236" i="9"/>
  <c r="I10237" i="9"/>
  <c r="I10238" i="9"/>
  <c r="I10239" i="9"/>
  <c r="I10240" i="9"/>
  <c r="I10241" i="9"/>
  <c r="I10242" i="9"/>
  <c r="I10243" i="9"/>
  <c r="I10244" i="9"/>
  <c r="I10245" i="9"/>
  <c r="I10246" i="9"/>
  <c r="I10247" i="9"/>
  <c r="I10248" i="9"/>
  <c r="I10249" i="9"/>
  <c r="I10250" i="9"/>
  <c r="I10251" i="9"/>
  <c r="I10252" i="9"/>
  <c r="I10253" i="9"/>
  <c r="I10254" i="9"/>
  <c r="I10255" i="9"/>
  <c r="I10256" i="9"/>
  <c r="I10257" i="9"/>
  <c r="I10258" i="9"/>
  <c r="I10259" i="9"/>
  <c r="I10260" i="9"/>
  <c r="I10261" i="9"/>
  <c r="I10262" i="9"/>
  <c r="I10263" i="9"/>
  <c r="I10264" i="9"/>
  <c r="I10265" i="9"/>
  <c r="I10266" i="9"/>
  <c r="I10267" i="9"/>
  <c r="I10268" i="9"/>
  <c r="I10269" i="9"/>
  <c r="I10270" i="9"/>
  <c r="I10271" i="9"/>
  <c r="I10272" i="9"/>
  <c r="I10273" i="9"/>
  <c r="I10274" i="9"/>
  <c r="I10275" i="9"/>
  <c r="I10276" i="9"/>
  <c r="I10277" i="9"/>
  <c r="I10278" i="9"/>
  <c r="I10279" i="9"/>
  <c r="I10280" i="9"/>
  <c r="I10281" i="9"/>
  <c r="I10282" i="9"/>
  <c r="I10283" i="9"/>
  <c r="I10284" i="9"/>
  <c r="I10285" i="9"/>
  <c r="I10286" i="9"/>
  <c r="I10287" i="9"/>
  <c r="I10288" i="9"/>
  <c r="I10289" i="9"/>
  <c r="I10290" i="9"/>
  <c r="I10291" i="9"/>
  <c r="I10292" i="9"/>
  <c r="I10293" i="9"/>
  <c r="I10294" i="9"/>
  <c r="I10295" i="9"/>
  <c r="I10296" i="9"/>
  <c r="I10297" i="9"/>
  <c r="I10298" i="9"/>
  <c r="I10299" i="9"/>
  <c r="I10300" i="9"/>
  <c r="I10301" i="9"/>
  <c r="I10302" i="9"/>
  <c r="I10303" i="9"/>
  <c r="I10304" i="9"/>
  <c r="I10305" i="9"/>
  <c r="I10306" i="9"/>
  <c r="I10307" i="9"/>
  <c r="I10308" i="9"/>
  <c r="I10309" i="9"/>
  <c r="I10310" i="9"/>
  <c r="I10311" i="9"/>
  <c r="I10312" i="9"/>
  <c r="I10313" i="9"/>
  <c r="I10314" i="9"/>
  <c r="I10315" i="9"/>
  <c r="I10316" i="9"/>
  <c r="I10317" i="9"/>
  <c r="I10318" i="9"/>
  <c r="I10319" i="9"/>
  <c r="I10320" i="9"/>
  <c r="I10321" i="9"/>
  <c r="I10322" i="9"/>
  <c r="I10323" i="9"/>
  <c r="I10324" i="9"/>
  <c r="I10325" i="9"/>
  <c r="I10326" i="9"/>
  <c r="I10327" i="9"/>
  <c r="I10328" i="9"/>
  <c r="I10329" i="9"/>
  <c r="I10330" i="9"/>
  <c r="I10331" i="9"/>
  <c r="I10332" i="9"/>
  <c r="I10333" i="9"/>
  <c r="I10334" i="9"/>
  <c r="I10335" i="9"/>
  <c r="I10336" i="9"/>
  <c r="I10337" i="9"/>
  <c r="I10338" i="9"/>
  <c r="I10339" i="9"/>
  <c r="I10340" i="9"/>
  <c r="I10341" i="9"/>
  <c r="I10342" i="9"/>
  <c r="I10343" i="9"/>
  <c r="I10344" i="9"/>
  <c r="I10345" i="9"/>
  <c r="I10346" i="9"/>
  <c r="I10347" i="9"/>
  <c r="I10348" i="9"/>
  <c r="I10349" i="9"/>
  <c r="I10350" i="9"/>
  <c r="I10351" i="9"/>
  <c r="I10352" i="9"/>
  <c r="I10353" i="9"/>
  <c r="I10354" i="9"/>
  <c r="I10355" i="9"/>
  <c r="I10356" i="9"/>
  <c r="I10357" i="9"/>
  <c r="I10358" i="9"/>
  <c r="I10359" i="9"/>
  <c r="I10360" i="9"/>
  <c r="I10361" i="9"/>
  <c r="I10362" i="9"/>
  <c r="I10363" i="9"/>
  <c r="I10364" i="9"/>
  <c r="I10365" i="9"/>
  <c r="I10366" i="9"/>
  <c r="I10367" i="9"/>
  <c r="I10368" i="9"/>
  <c r="I10369" i="9"/>
  <c r="I10370" i="9"/>
  <c r="I10371" i="9"/>
  <c r="I10372" i="9"/>
  <c r="I10373" i="9"/>
  <c r="I10374" i="9"/>
  <c r="I10375" i="9"/>
  <c r="I10376" i="9"/>
  <c r="I10377" i="9"/>
  <c r="I10378" i="9"/>
  <c r="I10379" i="9"/>
  <c r="I10380" i="9"/>
  <c r="I10381" i="9"/>
  <c r="I10382" i="9"/>
  <c r="I10383" i="9"/>
  <c r="I10384" i="9"/>
  <c r="I10385" i="9"/>
  <c r="I10386" i="9"/>
  <c r="I10387" i="9"/>
  <c r="I10388" i="9"/>
  <c r="I10389" i="9"/>
  <c r="I10390" i="9"/>
  <c r="I10391" i="9"/>
  <c r="I10392" i="9"/>
  <c r="I10393" i="9"/>
  <c r="I10394" i="9"/>
  <c r="I10395" i="9"/>
  <c r="I10396" i="9"/>
  <c r="I10397" i="9"/>
  <c r="I10398" i="9"/>
  <c r="I10399" i="9"/>
  <c r="I10400" i="9"/>
  <c r="I10401" i="9"/>
  <c r="I10402" i="9"/>
  <c r="I10403" i="9"/>
  <c r="I10404" i="9"/>
  <c r="I10405" i="9"/>
  <c r="I10406" i="9"/>
  <c r="I10407" i="9"/>
  <c r="I10408" i="9"/>
  <c r="I10409" i="9"/>
  <c r="I10410" i="9"/>
  <c r="I10411" i="9"/>
  <c r="I10412" i="9"/>
  <c r="I10413" i="9"/>
  <c r="I10414" i="9"/>
  <c r="I10415" i="9"/>
  <c r="I10416" i="9"/>
  <c r="I10417" i="9"/>
  <c r="I10418" i="9"/>
  <c r="I10419" i="9"/>
  <c r="I10420" i="9"/>
  <c r="I10421" i="9"/>
  <c r="I10422" i="9"/>
  <c r="I10423" i="9"/>
  <c r="I10424" i="9"/>
  <c r="I10425" i="9"/>
  <c r="I10426" i="9"/>
  <c r="I10427" i="9"/>
  <c r="I10428" i="9"/>
  <c r="I10429" i="9"/>
  <c r="I10430" i="9"/>
  <c r="I10431" i="9"/>
  <c r="I10432" i="9"/>
  <c r="I10433" i="9"/>
  <c r="I10434" i="9"/>
  <c r="I10435" i="9"/>
  <c r="I10436" i="9"/>
  <c r="I10437" i="9"/>
  <c r="I10438" i="9"/>
  <c r="I10439" i="9"/>
  <c r="I10440" i="9"/>
  <c r="I10441" i="9"/>
  <c r="I10442" i="9"/>
  <c r="I10443" i="9"/>
  <c r="I10444" i="9"/>
  <c r="I10445" i="9"/>
  <c r="I10446" i="9"/>
  <c r="I10447" i="9"/>
  <c r="I10448" i="9"/>
  <c r="I10449" i="9"/>
  <c r="I10450" i="9"/>
  <c r="I10451" i="9"/>
  <c r="I10452" i="9"/>
  <c r="I10453" i="9"/>
  <c r="I10454" i="9"/>
  <c r="I10455" i="9"/>
  <c r="I10456" i="9"/>
  <c r="I10457" i="9"/>
  <c r="I10458" i="9"/>
  <c r="I10459" i="9"/>
  <c r="I10460" i="9"/>
  <c r="I10461" i="9"/>
  <c r="I10462" i="9"/>
  <c r="I10463" i="9"/>
  <c r="I10464" i="9"/>
  <c r="I10465" i="9"/>
  <c r="I10466" i="9"/>
  <c r="I10467" i="9"/>
  <c r="I10468" i="9"/>
  <c r="I10469" i="9"/>
  <c r="I10470" i="9"/>
  <c r="I10471" i="9"/>
  <c r="I10472" i="9"/>
  <c r="I10473" i="9"/>
  <c r="I10474" i="9"/>
  <c r="I10475" i="9"/>
  <c r="I10476" i="9"/>
  <c r="I10477" i="9"/>
  <c r="I10478" i="9"/>
  <c r="I10479" i="9"/>
  <c r="I10480" i="9"/>
  <c r="I10481" i="9"/>
  <c r="I10482" i="9"/>
  <c r="I10483" i="9"/>
  <c r="I10484" i="9"/>
  <c r="I10485" i="9"/>
  <c r="I10486" i="9"/>
  <c r="I10487" i="9"/>
  <c r="I10488" i="9"/>
  <c r="I10489" i="9"/>
  <c r="I10490" i="9"/>
  <c r="I10491" i="9"/>
  <c r="I10492" i="9"/>
  <c r="I10493" i="9"/>
  <c r="I10494" i="9"/>
  <c r="I10495" i="9"/>
  <c r="I10496" i="9"/>
  <c r="I10497" i="9"/>
  <c r="I10498" i="9"/>
  <c r="I10499" i="9"/>
  <c r="I10500" i="9"/>
  <c r="I10501" i="9"/>
  <c r="I10502" i="9"/>
  <c r="I10503" i="9"/>
  <c r="I10504" i="9"/>
  <c r="I10505" i="9"/>
  <c r="I10506" i="9"/>
  <c r="I10507" i="9"/>
  <c r="I10508" i="9"/>
  <c r="I10509" i="9"/>
  <c r="I10510" i="9"/>
  <c r="I10511" i="9"/>
  <c r="I10512" i="9"/>
  <c r="I10513" i="9"/>
  <c r="I10514" i="9"/>
  <c r="I10515" i="9"/>
  <c r="I10516" i="9"/>
  <c r="I10517" i="9"/>
  <c r="I10518" i="9"/>
  <c r="I10519" i="9"/>
  <c r="I10520" i="9"/>
  <c r="I10521" i="9"/>
  <c r="I10522" i="9"/>
  <c r="I10523" i="9"/>
  <c r="I10524" i="9"/>
  <c r="I10525" i="9"/>
  <c r="I10526" i="9"/>
  <c r="I10527" i="9"/>
  <c r="I10528" i="9"/>
  <c r="I10529" i="9"/>
  <c r="I10530" i="9"/>
  <c r="I10531" i="9"/>
  <c r="I10532" i="9"/>
  <c r="I10533" i="9"/>
  <c r="I10534" i="9"/>
  <c r="I10535" i="9"/>
  <c r="I10536" i="9"/>
  <c r="I10537" i="9"/>
  <c r="I10538" i="9"/>
  <c r="I10539" i="9"/>
  <c r="I10540" i="9"/>
  <c r="I10541" i="9"/>
  <c r="I10542" i="9"/>
  <c r="I10543" i="9"/>
  <c r="I10544" i="9"/>
  <c r="I10545" i="9"/>
  <c r="I10546" i="9"/>
  <c r="I10547" i="9"/>
  <c r="I10548" i="9"/>
  <c r="I10549" i="9"/>
  <c r="I10550" i="9"/>
  <c r="I10551" i="9"/>
  <c r="I10552" i="9"/>
  <c r="I10553" i="9"/>
  <c r="I10554" i="9"/>
  <c r="I10555" i="9"/>
  <c r="I10556" i="9"/>
  <c r="I10557" i="9"/>
  <c r="I10558" i="9"/>
  <c r="I10559" i="9"/>
  <c r="I10560" i="9"/>
  <c r="I10561" i="9"/>
  <c r="I10562" i="9"/>
  <c r="I10563" i="9"/>
  <c r="I10564" i="9"/>
  <c r="I10565" i="9"/>
  <c r="I10566" i="9"/>
  <c r="I10567" i="9"/>
  <c r="I10568" i="9"/>
  <c r="I10569" i="9"/>
  <c r="I10570" i="9"/>
  <c r="I10571" i="9"/>
  <c r="I10572" i="9"/>
  <c r="I10573" i="9"/>
  <c r="I10574" i="9"/>
  <c r="I10575" i="9"/>
  <c r="I10576" i="9"/>
  <c r="I10577" i="9"/>
  <c r="I10578" i="9"/>
  <c r="I10579" i="9"/>
  <c r="I10580" i="9"/>
  <c r="I10581" i="9"/>
  <c r="I10582" i="9"/>
  <c r="I10583" i="9"/>
  <c r="I10584" i="9"/>
  <c r="I10585" i="9"/>
  <c r="I10586" i="9"/>
  <c r="I10587" i="9"/>
  <c r="I10588" i="9"/>
  <c r="I10589" i="9"/>
  <c r="I10590" i="9"/>
  <c r="I10591" i="9"/>
  <c r="I10592" i="9"/>
  <c r="I10593" i="9"/>
  <c r="I10594" i="9"/>
  <c r="I10595" i="9"/>
  <c r="I10596" i="9"/>
  <c r="I10597" i="9"/>
  <c r="I10598" i="9"/>
  <c r="I10599" i="9"/>
  <c r="I10600" i="9"/>
  <c r="I10601" i="9"/>
  <c r="I10602" i="9"/>
  <c r="I10603" i="9"/>
  <c r="I10604" i="9"/>
  <c r="I10605" i="9"/>
  <c r="I10606" i="9"/>
  <c r="I10607" i="9"/>
  <c r="I10608" i="9"/>
  <c r="I10609" i="9"/>
  <c r="I10610" i="9"/>
  <c r="I10611" i="9"/>
  <c r="I10612" i="9"/>
  <c r="I10613" i="9"/>
  <c r="I10614" i="9"/>
  <c r="I10615" i="9"/>
  <c r="I10616" i="9"/>
  <c r="I10617" i="9"/>
  <c r="I10618" i="9"/>
  <c r="I10619" i="9"/>
  <c r="I10620" i="9"/>
  <c r="I10621" i="9"/>
  <c r="I10622" i="9"/>
  <c r="I10623" i="9"/>
  <c r="I10624" i="9"/>
  <c r="I10625" i="9"/>
  <c r="I10626" i="9"/>
  <c r="I10627" i="9"/>
  <c r="I10628" i="9"/>
  <c r="I10629" i="9"/>
  <c r="I10630" i="9"/>
  <c r="I10631" i="9"/>
  <c r="I10632" i="9"/>
  <c r="I10633" i="9"/>
  <c r="I10634" i="9"/>
  <c r="I10635" i="9"/>
  <c r="I10636" i="9"/>
  <c r="I10637" i="9"/>
  <c r="I10638" i="9"/>
  <c r="I10639" i="9"/>
  <c r="I10640" i="9"/>
  <c r="I10641" i="9"/>
  <c r="I10642" i="9"/>
  <c r="I10643" i="9"/>
  <c r="I10644" i="9"/>
  <c r="I10645" i="9"/>
  <c r="I10646" i="9"/>
  <c r="I10647" i="9"/>
  <c r="I10648" i="9"/>
  <c r="I10649" i="9"/>
  <c r="I10650" i="9"/>
  <c r="I10651" i="9"/>
  <c r="I10652" i="9"/>
  <c r="I10653" i="9"/>
  <c r="I10654" i="9"/>
  <c r="I10655" i="9"/>
  <c r="I10656" i="9"/>
  <c r="I10657" i="9"/>
  <c r="I10658" i="9"/>
  <c r="I10659" i="9"/>
  <c r="I10660" i="9"/>
  <c r="I10661" i="9"/>
  <c r="I10662" i="9"/>
  <c r="I10663" i="9"/>
  <c r="I10664" i="9"/>
  <c r="I10665" i="9"/>
  <c r="I10666" i="9"/>
  <c r="I10667" i="9"/>
  <c r="I10668" i="9"/>
  <c r="I10669" i="9"/>
  <c r="I10670" i="9"/>
  <c r="I10671" i="9"/>
  <c r="I10672" i="9"/>
  <c r="I10673" i="9"/>
  <c r="I10674" i="9"/>
  <c r="I10675" i="9"/>
  <c r="I10676" i="9"/>
  <c r="I10677" i="9"/>
  <c r="I10678" i="9"/>
  <c r="I10679" i="9"/>
  <c r="I10680" i="9"/>
  <c r="I10681" i="9"/>
  <c r="I10682" i="9"/>
  <c r="I10683" i="9"/>
  <c r="I10684" i="9"/>
  <c r="I10685" i="9"/>
  <c r="I10686" i="9"/>
  <c r="I10687" i="9"/>
  <c r="I10688" i="9"/>
  <c r="I10689" i="9"/>
  <c r="I10690" i="9"/>
  <c r="I10691" i="9"/>
  <c r="I10692" i="9"/>
  <c r="I10693" i="9"/>
  <c r="I10694" i="9"/>
  <c r="I10695" i="9"/>
  <c r="I10696" i="9"/>
  <c r="I10697" i="9"/>
  <c r="I10698" i="9"/>
  <c r="I10699" i="9"/>
  <c r="I10700" i="9"/>
  <c r="I10701" i="9"/>
  <c r="I10702" i="9"/>
  <c r="I10703" i="9"/>
  <c r="I10704" i="9"/>
  <c r="I10705" i="9"/>
  <c r="I10706" i="9"/>
  <c r="I10707" i="9"/>
  <c r="I10708" i="9"/>
  <c r="I10709" i="9"/>
  <c r="I10710" i="9"/>
  <c r="I10711" i="9"/>
  <c r="I10712" i="9"/>
  <c r="I10713" i="9"/>
  <c r="I10714" i="9"/>
  <c r="I10715" i="9"/>
  <c r="I10716" i="9"/>
  <c r="I10717" i="9"/>
  <c r="I10718" i="9"/>
  <c r="I10719" i="9"/>
  <c r="I10720" i="9"/>
  <c r="I10721" i="9"/>
  <c r="I10722" i="9"/>
  <c r="I10723" i="9"/>
  <c r="I10724" i="9"/>
  <c r="I10725" i="9"/>
  <c r="I10726" i="9"/>
  <c r="I10727" i="9"/>
  <c r="I10728" i="9"/>
  <c r="I10729" i="9"/>
  <c r="I10730" i="9"/>
  <c r="I10731" i="9"/>
  <c r="I10732" i="9"/>
  <c r="I10733" i="9"/>
  <c r="I10734" i="9"/>
  <c r="I10735" i="9"/>
  <c r="I10736" i="9"/>
  <c r="I10737" i="9"/>
  <c r="I10738" i="9"/>
  <c r="I10739" i="9"/>
  <c r="I10740" i="9"/>
  <c r="I10741" i="9"/>
  <c r="I10742" i="9"/>
  <c r="I10743" i="9"/>
  <c r="I10744" i="9"/>
  <c r="I10745" i="9"/>
  <c r="I10746" i="9"/>
  <c r="I10747" i="9"/>
  <c r="I10748" i="9"/>
  <c r="I10749" i="9"/>
  <c r="I10750" i="9"/>
  <c r="I10751" i="9"/>
  <c r="I10752" i="9"/>
  <c r="I10753" i="9"/>
  <c r="I10754" i="9"/>
  <c r="I10755" i="9"/>
  <c r="I10756" i="9"/>
  <c r="I10757" i="9"/>
  <c r="I10758" i="9"/>
  <c r="I10759" i="9"/>
  <c r="I10760" i="9"/>
  <c r="I10761" i="9"/>
  <c r="I10762" i="9"/>
  <c r="I10763" i="9"/>
  <c r="I10764" i="9"/>
  <c r="I10765" i="9"/>
  <c r="I10766" i="9"/>
  <c r="I10767" i="9"/>
  <c r="I10768" i="9"/>
  <c r="I10769" i="9"/>
  <c r="I10770" i="9"/>
  <c r="I10771" i="9"/>
  <c r="I10772" i="9"/>
  <c r="I10773" i="9"/>
  <c r="I10774" i="9"/>
  <c r="I10775" i="9"/>
  <c r="I10776" i="9"/>
  <c r="I10777" i="9"/>
  <c r="I10778" i="9"/>
  <c r="I10779" i="9"/>
  <c r="I10780" i="9"/>
  <c r="I10781" i="9"/>
  <c r="I10782" i="9"/>
  <c r="I10783" i="9"/>
  <c r="I10784" i="9"/>
  <c r="I10785" i="9"/>
  <c r="I10786" i="9"/>
  <c r="I10787" i="9"/>
  <c r="I10788" i="9"/>
  <c r="I10789" i="9"/>
  <c r="I10790" i="9"/>
  <c r="I10791" i="9"/>
  <c r="I10792" i="9"/>
  <c r="I10793" i="9"/>
  <c r="I10794" i="9"/>
  <c r="I10795" i="9"/>
  <c r="I10796" i="9"/>
  <c r="I10797" i="9"/>
  <c r="I10798" i="9"/>
  <c r="I10799" i="9"/>
  <c r="I10800" i="9"/>
  <c r="I10801" i="9"/>
  <c r="I10802" i="9"/>
  <c r="I10803" i="9"/>
  <c r="I10804" i="9"/>
  <c r="I10805" i="9"/>
  <c r="I10806" i="9"/>
  <c r="I10807" i="9"/>
  <c r="I10808" i="9"/>
  <c r="I10809" i="9"/>
  <c r="I10810" i="9"/>
  <c r="I10811" i="9"/>
  <c r="I10812" i="9"/>
  <c r="I10813" i="9"/>
  <c r="I10814" i="9"/>
  <c r="I10815" i="9"/>
  <c r="I10816" i="9"/>
  <c r="I10817" i="9"/>
  <c r="I10818" i="9"/>
  <c r="I10819" i="9"/>
  <c r="I10820" i="9"/>
  <c r="I10821" i="9"/>
  <c r="I10822" i="9"/>
  <c r="I10823" i="9"/>
  <c r="I10824" i="9"/>
  <c r="I10825" i="9"/>
  <c r="I10826" i="9"/>
  <c r="I10827" i="9"/>
  <c r="I10828" i="9"/>
  <c r="I10829" i="9"/>
  <c r="I10830" i="9"/>
  <c r="I10831" i="9"/>
  <c r="I10832" i="9"/>
  <c r="I10833" i="9"/>
  <c r="I10834" i="9"/>
  <c r="I10835" i="9"/>
  <c r="I10836" i="9"/>
  <c r="I10837" i="9"/>
  <c r="I10838" i="9"/>
  <c r="I10839" i="9"/>
  <c r="I10840" i="9"/>
  <c r="I10841" i="9"/>
  <c r="I10842" i="9"/>
  <c r="I10843" i="9"/>
  <c r="I10844" i="9"/>
  <c r="I10845" i="9"/>
  <c r="I10846" i="9"/>
  <c r="I10847" i="9"/>
  <c r="I10848" i="9"/>
  <c r="I10849" i="9"/>
  <c r="I10850" i="9"/>
  <c r="I10851" i="9"/>
  <c r="I10852" i="9"/>
  <c r="I10853" i="9"/>
  <c r="I10854" i="9"/>
  <c r="I10855" i="9"/>
  <c r="I10856" i="9"/>
  <c r="I10857" i="9"/>
  <c r="I10858" i="9"/>
  <c r="I10859" i="9"/>
  <c r="I10860" i="9"/>
  <c r="I10861" i="9"/>
  <c r="I10862" i="9"/>
  <c r="I10863" i="9"/>
  <c r="I10864" i="9"/>
  <c r="I10865" i="9"/>
  <c r="I10866" i="9"/>
  <c r="I10867" i="9"/>
  <c r="I10868" i="9"/>
  <c r="I10869" i="9"/>
  <c r="I10870" i="9"/>
  <c r="I10871" i="9"/>
  <c r="I10872" i="9"/>
  <c r="I10873" i="9"/>
  <c r="I10874" i="9"/>
  <c r="I10875" i="9"/>
  <c r="I10876" i="9"/>
  <c r="I10877" i="9"/>
  <c r="I10878" i="9"/>
  <c r="I10879" i="9"/>
  <c r="I10880" i="9"/>
  <c r="I10881" i="9"/>
  <c r="I10882" i="9"/>
  <c r="I10883" i="9"/>
  <c r="I10884" i="9"/>
  <c r="I10885" i="9"/>
  <c r="I10886" i="9"/>
  <c r="I10887" i="9"/>
  <c r="I10888" i="9"/>
  <c r="I10889" i="9"/>
  <c r="I10890" i="9"/>
  <c r="I10891" i="9"/>
  <c r="I10892" i="9"/>
  <c r="I10893" i="9"/>
  <c r="I10894" i="9"/>
  <c r="I10895" i="9"/>
  <c r="I10896" i="9"/>
  <c r="I10897" i="9"/>
  <c r="I10898" i="9"/>
  <c r="I10899" i="9"/>
  <c r="I10900" i="9"/>
  <c r="I10901" i="9"/>
  <c r="I10902" i="9"/>
  <c r="I10903" i="9"/>
  <c r="I10904" i="9"/>
  <c r="I10905" i="9"/>
  <c r="I10906" i="9"/>
  <c r="I10907" i="9"/>
  <c r="I10908" i="9"/>
  <c r="I10909" i="9"/>
  <c r="I10910" i="9"/>
  <c r="I10911" i="9"/>
  <c r="I10912" i="9"/>
  <c r="I10913" i="9"/>
  <c r="I10914" i="9"/>
  <c r="I10915" i="9"/>
  <c r="I10916" i="9"/>
  <c r="I10917" i="9"/>
  <c r="I10918" i="9"/>
  <c r="I10919" i="9"/>
  <c r="I10920" i="9"/>
  <c r="I10921" i="9"/>
  <c r="I10922" i="9"/>
  <c r="I10923" i="9"/>
  <c r="I10924" i="9"/>
  <c r="I10925" i="9"/>
  <c r="I10926" i="9"/>
  <c r="I10927" i="9"/>
  <c r="I10928" i="9"/>
  <c r="I10929" i="9"/>
  <c r="I10930" i="9"/>
  <c r="I10931" i="9"/>
  <c r="I10932" i="9"/>
  <c r="I10933" i="9"/>
  <c r="I10934" i="9"/>
  <c r="I10935" i="9"/>
  <c r="I10936" i="9"/>
  <c r="I10937" i="9"/>
  <c r="I10938" i="9"/>
  <c r="I10939" i="9"/>
  <c r="I10940" i="9"/>
  <c r="I10941" i="9"/>
  <c r="I10942" i="9"/>
  <c r="I10943" i="9"/>
  <c r="I10944" i="9"/>
  <c r="I10945" i="9"/>
  <c r="I10946" i="9"/>
  <c r="I10947" i="9"/>
  <c r="I10948" i="9"/>
  <c r="I10949" i="9"/>
  <c r="I10950" i="9"/>
  <c r="I10951" i="9"/>
  <c r="I10952" i="9"/>
  <c r="I10953" i="9"/>
  <c r="I10954" i="9"/>
  <c r="I10955" i="9"/>
  <c r="I10956" i="9"/>
  <c r="I10957" i="9"/>
  <c r="I10958" i="9"/>
  <c r="I10959" i="9"/>
  <c r="I10960" i="9"/>
  <c r="I10961" i="9"/>
  <c r="I10962" i="9"/>
  <c r="I10963" i="9"/>
  <c r="I10964" i="9"/>
  <c r="I10965" i="9"/>
  <c r="I10966" i="9"/>
  <c r="I10967" i="9"/>
  <c r="I10968" i="9"/>
  <c r="I10969" i="9"/>
  <c r="I10970" i="9"/>
  <c r="I10971" i="9"/>
  <c r="I10972" i="9"/>
  <c r="I10973" i="9"/>
  <c r="I10974" i="9"/>
  <c r="I10975" i="9"/>
  <c r="I10976" i="9"/>
  <c r="I10977" i="9"/>
  <c r="I10978" i="9"/>
  <c r="I10979" i="9"/>
  <c r="I10980" i="9"/>
  <c r="I10981" i="9"/>
  <c r="I10982" i="9"/>
  <c r="I10983" i="9"/>
  <c r="I10984" i="9"/>
  <c r="I10985" i="9"/>
  <c r="I10986" i="9"/>
  <c r="I10987" i="9"/>
  <c r="I10988" i="9"/>
  <c r="I10989" i="9"/>
  <c r="I10990" i="9"/>
  <c r="I10991" i="9"/>
  <c r="I10992" i="9"/>
  <c r="I10993" i="9"/>
  <c r="I10994" i="9"/>
  <c r="I10995" i="9"/>
  <c r="I10996" i="9"/>
  <c r="I10997" i="9"/>
  <c r="I10998" i="9"/>
  <c r="I10999" i="9"/>
  <c r="I11000" i="9"/>
  <c r="I11001" i="9"/>
  <c r="I11002" i="9"/>
  <c r="I11003" i="9"/>
  <c r="I11004" i="9"/>
  <c r="I11005" i="9"/>
  <c r="I11006" i="9"/>
  <c r="I11007" i="9"/>
  <c r="I11008" i="9"/>
  <c r="I11009" i="9"/>
  <c r="I11010" i="9"/>
  <c r="I11011" i="9"/>
  <c r="I11012" i="9"/>
  <c r="I11013" i="9"/>
  <c r="I11014" i="9"/>
  <c r="I11015" i="9"/>
  <c r="I11016" i="9"/>
  <c r="I11017" i="9"/>
  <c r="I11018" i="9"/>
  <c r="I11019" i="9"/>
  <c r="I11020" i="9"/>
  <c r="I11021" i="9"/>
  <c r="I11022" i="9"/>
  <c r="I11023" i="9"/>
  <c r="I11024" i="9"/>
  <c r="I11025" i="9"/>
  <c r="I11026" i="9"/>
  <c r="I11027" i="9"/>
  <c r="I11028" i="9"/>
  <c r="I11029" i="9"/>
  <c r="I11030" i="9"/>
  <c r="I11031" i="9"/>
  <c r="I11032" i="9"/>
  <c r="I11033" i="9"/>
  <c r="I11034" i="9"/>
  <c r="I11035" i="9"/>
  <c r="I11036" i="9"/>
  <c r="I11037" i="9"/>
  <c r="I11038" i="9"/>
  <c r="I11039" i="9"/>
  <c r="I11040" i="9"/>
  <c r="I11041" i="9"/>
  <c r="I11042" i="9"/>
  <c r="I11043" i="9"/>
  <c r="I11044" i="9"/>
  <c r="I11045" i="9"/>
  <c r="I11046" i="9"/>
  <c r="I11047" i="9"/>
  <c r="I11048" i="9"/>
  <c r="I11049" i="9"/>
  <c r="I11050" i="9"/>
  <c r="I11051" i="9"/>
  <c r="I11052" i="9"/>
  <c r="I11053" i="9"/>
  <c r="I11054" i="9"/>
  <c r="I11055" i="9"/>
  <c r="I11056" i="9"/>
  <c r="I11057" i="9"/>
  <c r="I11058" i="9"/>
  <c r="I11059" i="9"/>
  <c r="I11060" i="9"/>
  <c r="I11061" i="9"/>
  <c r="I11062" i="9"/>
  <c r="I11063" i="9"/>
  <c r="I11064" i="9"/>
  <c r="I11065" i="9"/>
  <c r="I11066" i="9"/>
  <c r="I11067" i="9"/>
  <c r="I11068" i="9"/>
  <c r="I11069" i="9"/>
  <c r="I11070" i="9"/>
  <c r="I11071" i="9"/>
  <c r="I11072" i="9"/>
  <c r="I11073" i="9"/>
  <c r="I11074" i="9"/>
  <c r="I11075" i="9"/>
  <c r="I11076" i="9"/>
  <c r="I11077" i="9"/>
  <c r="I11078" i="9"/>
  <c r="I11079" i="9"/>
  <c r="I11080" i="9"/>
  <c r="I11081" i="9"/>
  <c r="I11082" i="9"/>
  <c r="I11083" i="9"/>
  <c r="I11084" i="9"/>
  <c r="I11085" i="9"/>
  <c r="I11086" i="9"/>
  <c r="I11087" i="9"/>
  <c r="I11088" i="9"/>
  <c r="I11089" i="9"/>
  <c r="I11090" i="9"/>
  <c r="I11091" i="9"/>
  <c r="I11092" i="9"/>
  <c r="I11093" i="9"/>
  <c r="I11094" i="9"/>
  <c r="I11095" i="9"/>
  <c r="I11096" i="9"/>
  <c r="I11097" i="9"/>
  <c r="I11098" i="9"/>
  <c r="I11099" i="9"/>
  <c r="I11100" i="9"/>
  <c r="I11101" i="9"/>
  <c r="I11102" i="9"/>
  <c r="I11103" i="9"/>
  <c r="I11104" i="9"/>
  <c r="I11105" i="9"/>
  <c r="I11106" i="9"/>
  <c r="I11107" i="9"/>
  <c r="I11108" i="9"/>
  <c r="I11109" i="9"/>
  <c r="I11110" i="9"/>
  <c r="I11111" i="9"/>
  <c r="I11112" i="9"/>
  <c r="I11113" i="9"/>
  <c r="I11114" i="9"/>
  <c r="I11115" i="9"/>
  <c r="I11116" i="9"/>
  <c r="I11117" i="9"/>
  <c r="I11118" i="9"/>
  <c r="I11119" i="9"/>
  <c r="I11120" i="9"/>
  <c r="I11121" i="9"/>
  <c r="I11122" i="9"/>
  <c r="I11123" i="9"/>
  <c r="I11124" i="9"/>
  <c r="I11125" i="9"/>
  <c r="I11126" i="9"/>
  <c r="I11127" i="9"/>
  <c r="I11128" i="9"/>
  <c r="I11129" i="9"/>
  <c r="I11130" i="9"/>
  <c r="I11131" i="9"/>
  <c r="I11132" i="9"/>
  <c r="I11133" i="9"/>
  <c r="I11134" i="9"/>
  <c r="I11135" i="9"/>
  <c r="I11136" i="9"/>
  <c r="I11137" i="9"/>
  <c r="I11138" i="9"/>
  <c r="I11139" i="9"/>
  <c r="I11140" i="9"/>
  <c r="I11141" i="9"/>
  <c r="I11142" i="9"/>
  <c r="I11143" i="9"/>
  <c r="I11144" i="9"/>
  <c r="I11145" i="9"/>
  <c r="I11146" i="9"/>
  <c r="I11147" i="9"/>
  <c r="I11148" i="9"/>
  <c r="I11149" i="9"/>
  <c r="I11150" i="9"/>
  <c r="I11151" i="9"/>
  <c r="I11152" i="9"/>
  <c r="I11153" i="9"/>
  <c r="I11154" i="9"/>
  <c r="I11155" i="9"/>
  <c r="I11156" i="9"/>
  <c r="I11157" i="9"/>
  <c r="I11158" i="9"/>
  <c r="I11159" i="9"/>
  <c r="I11160" i="9"/>
  <c r="I11161" i="9"/>
  <c r="I11162" i="9"/>
  <c r="I11163" i="9"/>
  <c r="I11164" i="9"/>
  <c r="I11165" i="9"/>
  <c r="I11166" i="9"/>
  <c r="I11167" i="9"/>
  <c r="I11168" i="9"/>
  <c r="I11169" i="9"/>
  <c r="I11170" i="9"/>
  <c r="I11171" i="9"/>
  <c r="I11172" i="9"/>
  <c r="I11173" i="9"/>
  <c r="I11174" i="9"/>
  <c r="I11175" i="9"/>
  <c r="I11176" i="9"/>
  <c r="I11177" i="9"/>
  <c r="I11178" i="9"/>
  <c r="I11179" i="9"/>
  <c r="I11180" i="9"/>
  <c r="I11181" i="9"/>
  <c r="I11182" i="9"/>
  <c r="I11183" i="9"/>
  <c r="I11184" i="9"/>
  <c r="I11185" i="9"/>
  <c r="I11186" i="9"/>
  <c r="I11187" i="9"/>
  <c r="I11188" i="9"/>
  <c r="I11189" i="9"/>
  <c r="I11190" i="9"/>
  <c r="I11191" i="9"/>
  <c r="I11192" i="9"/>
  <c r="I11193" i="9"/>
  <c r="I11194" i="9"/>
  <c r="I11195" i="9"/>
  <c r="I11196" i="9"/>
  <c r="I11197" i="9"/>
  <c r="I11198" i="9"/>
  <c r="I11199" i="9"/>
  <c r="I11200" i="9"/>
  <c r="I11201" i="9"/>
  <c r="I11202" i="9"/>
  <c r="I11203" i="9"/>
  <c r="I11204" i="9"/>
  <c r="I11205" i="9"/>
  <c r="I11206" i="9"/>
  <c r="I11207" i="9"/>
  <c r="I11208" i="9"/>
  <c r="I11209" i="9"/>
  <c r="I11210" i="9"/>
  <c r="I11211" i="9"/>
  <c r="I11212" i="9"/>
  <c r="I11213" i="9"/>
  <c r="I11214" i="9"/>
  <c r="I11215" i="9"/>
  <c r="I11216" i="9"/>
  <c r="I11217" i="9"/>
  <c r="I11218" i="9"/>
  <c r="I11219" i="9"/>
  <c r="I11220" i="9"/>
  <c r="I11221" i="9"/>
  <c r="I11222" i="9"/>
  <c r="I11223" i="9"/>
  <c r="I11224" i="9"/>
  <c r="I11225" i="9"/>
  <c r="I11226" i="9"/>
  <c r="I11227" i="9"/>
  <c r="I11228" i="9"/>
  <c r="I11229" i="9"/>
  <c r="I11230" i="9"/>
  <c r="I11231" i="9"/>
  <c r="I11232" i="9"/>
  <c r="I11233" i="9"/>
  <c r="I11234" i="9"/>
  <c r="I11235" i="9"/>
  <c r="I11236" i="9"/>
  <c r="I11237" i="9"/>
  <c r="I11238" i="9"/>
  <c r="I11239" i="9"/>
  <c r="I11240" i="9"/>
  <c r="I11241" i="9"/>
  <c r="I11242" i="9"/>
  <c r="I11243" i="9"/>
  <c r="I11244" i="9"/>
  <c r="I11245" i="9"/>
  <c r="I11246" i="9"/>
  <c r="I11247" i="9"/>
  <c r="I11248" i="9"/>
  <c r="I11249" i="9"/>
  <c r="I11250" i="9"/>
  <c r="I11251" i="9"/>
  <c r="I11252" i="9"/>
  <c r="I11253" i="9"/>
  <c r="I11254" i="9"/>
  <c r="I11255" i="9"/>
  <c r="I11256" i="9"/>
  <c r="I11257" i="9"/>
  <c r="I11258" i="9"/>
  <c r="I11259" i="9"/>
  <c r="I11260" i="9"/>
  <c r="I11261" i="9"/>
  <c r="I11262" i="9"/>
  <c r="I11263" i="9"/>
  <c r="I11264" i="9"/>
  <c r="I11265" i="9"/>
  <c r="I11266" i="9"/>
  <c r="I11267" i="9"/>
  <c r="I11268" i="9"/>
  <c r="I11269" i="9"/>
  <c r="I11270" i="9"/>
  <c r="I11271" i="9"/>
  <c r="I11272" i="9"/>
  <c r="I11273" i="9"/>
  <c r="I11274" i="9"/>
  <c r="I11275" i="9"/>
  <c r="I11276" i="9"/>
  <c r="I11277" i="9"/>
  <c r="I11278" i="9"/>
  <c r="I11279" i="9"/>
  <c r="I11280" i="9"/>
  <c r="I11281" i="9"/>
  <c r="I11282" i="9"/>
  <c r="I11283" i="9"/>
  <c r="I11284" i="9"/>
  <c r="I11285" i="9"/>
  <c r="I11286" i="9"/>
  <c r="I11287" i="9"/>
  <c r="I11288" i="9"/>
  <c r="I11289" i="9"/>
  <c r="I11290" i="9"/>
  <c r="I11291" i="9"/>
  <c r="I11292" i="9"/>
  <c r="I11293" i="9"/>
  <c r="I11294" i="9"/>
  <c r="I11295" i="9"/>
  <c r="I11296" i="9"/>
  <c r="I11297" i="9"/>
  <c r="I11298" i="9"/>
  <c r="I11299" i="9"/>
  <c r="I11300" i="9"/>
  <c r="I11301" i="9"/>
  <c r="I11302" i="9"/>
  <c r="I11303" i="9"/>
  <c r="I11304" i="9"/>
  <c r="I11305" i="9"/>
  <c r="I11306" i="9"/>
  <c r="I11307" i="9"/>
  <c r="I11308" i="9"/>
  <c r="I11309" i="9"/>
  <c r="I11310" i="9"/>
  <c r="I11311" i="9"/>
  <c r="I11312" i="9"/>
  <c r="I11313" i="9"/>
  <c r="I11314" i="9"/>
  <c r="I11315" i="9"/>
  <c r="I11316" i="9"/>
  <c r="I11317" i="9"/>
  <c r="I11318" i="9"/>
  <c r="I11319" i="9"/>
  <c r="I11320" i="9"/>
  <c r="I11321" i="9"/>
  <c r="I11322" i="9"/>
  <c r="I11323" i="9"/>
  <c r="I11324" i="9"/>
  <c r="I11325" i="9"/>
  <c r="I11326" i="9"/>
  <c r="I11327" i="9"/>
  <c r="I11328" i="9"/>
  <c r="I11329" i="9"/>
  <c r="I11330" i="9"/>
  <c r="I11331" i="9"/>
  <c r="I11332" i="9"/>
  <c r="I11333" i="9"/>
  <c r="I11334" i="9"/>
  <c r="I11335" i="9"/>
  <c r="I11336" i="9"/>
  <c r="I11337" i="9"/>
  <c r="I11338" i="9"/>
  <c r="I11339" i="9"/>
  <c r="I11340" i="9"/>
  <c r="I11341" i="9"/>
  <c r="I11342" i="9"/>
  <c r="I11343" i="9"/>
  <c r="I11344" i="9"/>
  <c r="I11345" i="9"/>
  <c r="I11346" i="9"/>
  <c r="I11347" i="9"/>
  <c r="I11348" i="9"/>
  <c r="I11349" i="9"/>
  <c r="I11350" i="9"/>
  <c r="I11351" i="9"/>
  <c r="I11352" i="9"/>
  <c r="I11353" i="9"/>
  <c r="I11354" i="9"/>
  <c r="I11355" i="9"/>
  <c r="I11356" i="9"/>
  <c r="I11357" i="9"/>
  <c r="I11358" i="9"/>
  <c r="I11359" i="9"/>
  <c r="I11360" i="9"/>
  <c r="I11361" i="9"/>
  <c r="I11362" i="9"/>
  <c r="I11363" i="9"/>
  <c r="I11364" i="9"/>
  <c r="I11365" i="9"/>
  <c r="I11366" i="9"/>
  <c r="I11367" i="9"/>
  <c r="I11368" i="9"/>
  <c r="I11369" i="9"/>
  <c r="I11370" i="9"/>
  <c r="I11371" i="9"/>
  <c r="I11372" i="9"/>
  <c r="I11373" i="9"/>
  <c r="I11374" i="9"/>
  <c r="I11375" i="9"/>
  <c r="I11376" i="9"/>
  <c r="I11377" i="9"/>
  <c r="I11378" i="9"/>
  <c r="I11379" i="9"/>
  <c r="I11380" i="9"/>
  <c r="I11381" i="9"/>
  <c r="I11382" i="9"/>
  <c r="I11383" i="9"/>
  <c r="I11384" i="9"/>
  <c r="I11385" i="9"/>
  <c r="I11386" i="9"/>
  <c r="I11387" i="9"/>
  <c r="I11388" i="9"/>
  <c r="I11389" i="9"/>
  <c r="I11390" i="9"/>
  <c r="I11391" i="9"/>
  <c r="I11392" i="9"/>
  <c r="I11393" i="9"/>
  <c r="I11394" i="9"/>
  <c r="I11395" i="9"/>
  <c r="I11396" i="9"/>
  <c r="I11397" i="9"/>
  <c r="I11398" i="9"/>
  <c r="I11399" i="9"/>
  <c r="I11400" i="9"/>
  <c r="I11401" i="9"/>
  <c r="I11402" i="9"/>
  <c r="I11403" i="9"/>
  <c r="I11404" i="9"/>
  <c r="I11405" i="9"/>
  <c r="I11406" i="9"/>
  <c r="I11407" i="9"/>
  <c r="I11408" i="9"/>
  <c r="I11409" i="9"/>
  <c r="I11410" i="9"/>
  <c r="I11411" i="9"/>
  <c r="I11412" i="9"/>
  <c r="I11413" i="9"/>
  <c r="I11414" i="9"/>
  <c r="I11415" i="9"/>
  <c r="I11416" i="9"/>
  <c r="I11417" i="9"/>
  <c r="I11418" i="9"/>
  <c r="I11419" i="9"/>
  <c r="I11420" i="9"/>
  <c r="I11421" i="9"/>
  <c r="I11422" i="9"/>
  <c r="I11423" i="9"/>
  <c r="I11424" i="9"/>
  <c r="I11425" i="9"/>
  <c r="I11426" i="9"/>
  <c r="I11427" i="9"/>
  <c r="I11428" i="9"/>
  <c r="I11429" i="9"/>
  <c r="I11430" i="9"/>
  <c r="I11431" i="9"/>
  <c r="I11432" i="9"/>
  <c r="I11433" i="9"/>
  <c r="I11434" i="9"/>
  <c r="I11435" i="9"/>
  <c r="I11436" i="9"/>
  <c r="I11437" i="9"/>
  <c r="I11438" i="9"/>
  <c r="I11439" i="9"/>
  <c r="I11440" i="9"/>
  <c r="I11441" i="9"/>
  <c r="I11442" i="9"/>
  <c r="I11443" i="9"/>
  <c r="I11444" i="9"/>
  <c r="I11445" i="9"/>
  <c r="I11446" i="9"/>
  <c r="I11447" i="9"/>
  <c r="I11448" i="9"/>
  <c r="I11449" i="9"/>
  <c r="I11450" i="9"/>
  <c r="I11451" i="9"/>
  <c r="I11452" i="9"/>
  <c r="I11453" i="9"/>
  <c r="I11454" i="9"/>
  <c r="I11455" i="9"/>
  <c r="I11456" i="9"/>
  <c r="I11457" i="9"/>
  <c r="I11458" i="9"/>
  <c r="I11459" i="9"/>
  <c r="I11460" i="9"/>
  <c r="I11461" i="9"/>
  <c r="I11462" i="9"/>
  <c r="I11463" i="9"/>
  <c r="I11464" i="9"/>
  <c r="I11465" i="9"/>
  <c r="I11466" i="9"/>
  <c r="I11467" i="9"/>
  <c r="I11468" i="9"/>
  <c r="I11469" i="9"/>
  <c r="I11470" i="9"/>
  <c r="I11471" i="9"/>
  <c r="I11472" i="9"/>
  <c r="I11473" i="9"/>
  <c r="I11474" i="9"/>
  <c r="I11475" i="9"/>
  <c r="I11476" i="9"/>
  <c r="I11477" i="9"/>
  <c r="I11478" i="9"/>
  <c r="I11479" i="9"/>
  <c r="I11480" i="9"/>
  <c r="I11481" i="9"/>
  <c r="I11482" i="9"/>
  <c r="I11483" i="9"/>
  <c r="I11484" i="9"/>
  <c r="I11485" i="9"/>
  <c r="I11486" i="9"/>
  <c r="I11487" i="9"/>
  <c r="I11488" i="9"/>
  <c r="I11489" i="9"/>
  <c r="I11490" i="9"/>
  <c r="I11491" i="9"/>
  <c r="I11492" i="9"/>
  <c r="I11493" i="9"/>
  <c r="I11494" i="9"/>
  <c r="I11495" i="9"/>
  <c r="I11496" i="9"/>
  <c r="I11497" i="9"/>
  <c r="I11498" i="9"/>
  <c r="I11499" i="9"/>
  <c r="I11500" i="9"/>
  <c r="I11501" i="9"/>
  <c r="I11502" i="9"/>
  <c r="I11503" i="9"/>
  <c r="I11504" i="9"/>
  <c r="I11505" i="9"/>
  <c r="I11506" i="9"/>
  <c r="I11507" i="9"/>
  <c r="I11508" i="9"/>
  <c r="I11509" i="9"/>
  <c r="I11510" i="9"/>
  <c r="I11511" i="9"/>
  <c r="I11512" i="9"/>
  <c r="I11513" i="9"/>
  <c r="I11514" i="9"/>
  <c r="I11515" i="9"/>
  <c r="I11516" i="9"/>
  <c r="I11517" i="9"/>
  <c r="I11518" i="9"/>
  <c r="I11519" i="9"/>
  <c r="I11520" i="9"/>
  <c r="I11521" i="9"/>
  <c r="I11522" i="9"/>
  <c r="I11523" i="9"/>
  <c r="I11524" i="9"/>
  <c r="I11525" i="9"/>
  <c r="I11526" i="9"/>
  <c r="I11527" i="9"/>
  <c r="I11528" i="9"/>
  <c r="I11529" i="9"/>
  <c r="I11530" i="9"/>
  <c r="I11531" i="9"/>
  <c r="I11532" i="9"/>
  <c r="I11533" i="9"/>
  <c r="I11534" i="9"/>
  <c r="I11535" i="9"/>
  <c r="I11536" i="9"/>
  <c r="I11537" i="9"/>
  <c r="I11538" i="9"/>
  <c r="I11539" i="9"/>
  <c r="I11540" i="9"/>
  <c r="I11541" i="9"/>
  <c r="I11542" i="9"/>
  <c r="I11543" i="9"/>
  <c r="I11544" i="9"/>
  <c r="I11545" i="9"/>
  <c r="I11546" i="9"/>
  <c r="I11547" i="9"/>
  <c r="I11548" i="9"/>
  <c r="I11549" i="9"/>
  <c r="I11550" i="9"/>
  <c r="I11551" i="9"/>
  <c r="I11552" i="9"/>
  <c r="I11553" i="9"/>
  <c r="I11554" i="9"/>
  <c r="I11555" i="9"/>
  <c r="I11556" i="9"/>
  <c r="I11557" i="9"/>
  <c r="I11558" i="9"/>
  <c r="I11559" i="9"/>
  <c r="I11560" i="9"/>
  <c r="I11561" i="9"/>
  <c r="I11562" i="9"/>
  <c r="I11563" i="9"/>
  <c r="I11564" i="9"/>
  <c r="I11565" i="9"/>
  <c r="I11566" i="9"/>
  <c r="I11567" i="9"/>
  <c r="I11568" i="9"/>
  <c r="I11569" i="9"/>
  <c r="I11570" i="9"/>
  <c r="I11571" i="9"/>
  <c r="I11572" i="9"/>
  <c r="I11573" i="9"/>
  <c r="I11574" i="9"/>
  <c r="I11575" i="9"/>
  <c r="I11576" i="9"/>
  <c r="I11577" i="9"/>
  <c r="I11578" i="9"/>
  <c r="I11579" i="9"/>
  <c r="I11580" i="9"/>
  <c r="I11581" i="9"/>
  <c r="I11582" i="9"/>
  <c r="I11583" i="9"/>
  <c r="I11584" i="9"/>
  <c r="I11585" i="9"/>
  <c r="I11586" i="9"/>
  <c r="I11587" i="9"/>
  <c r="I11588" i="9"/>
  <c r="I11589" i="9"/>
  <c r="I11590" i="9"/>
  <c r="I11591" i="9"/>
  <c r="I11592" i="9"/>
  <c r="I11593" i="9"/>
  <c r="I11594" i="9"/>
  <c r="I11595" i="9"/>
  <c r="I11596" i="9"/>
  <c r="I11597" i="9"/>
  <c r="I11598" i="9"/>
  <c r="I11599" i="9"/>
  <c r="I11600" i="9"/>
  <c r="I11601" i="9"/>
  <c r="I11602" i="9"/>
  <c r="I11603" i="9"/>
  <c r="I11604" i="9"/>
  <c r="I11605" i="9"/>
  <c r="I11606" i="9"/>
  <c r="I11607" i="9"/>
  <c r="I11608" i="9"/>
  <c r="I11609" i="9"/>
  <c r="I11610" i="9"/>
  <c r="I11611" i="9"/>
  <c r="I11612" i="9"/>
  <c r="I11613" i="9"/>
  <c r="I11614" i="9"/>
  <c r="I11615" i="9"/>
  <c r="I11616" i="9"/>
  <c r="I11617" i="9"/>
  <c r="I11618" i="9"/>
  <c r="I11619" i="9"/>
  <c r="I11620" i="9"/>
  <c r="I11621" i="9"/>
  <c r="I11622" i="9"/>
  <c r="I11623" i="9"/>
  <c r="I11624" i="9"/>
  <c r="I11625" i="9"/>
  <c r="I11626" i="9"/>
  <c r="I11627" i="9"/>
  <c r="I11628" i="9"/>
  <c r="I11629" i="9"/>
  <c r="I11630" i="9"/>
  <c r="I11631" i="9"/>
  <c r="I11632" i="9"/>
  <c r="I11633" i="9"/>
  <c r="I11634" i="9"/>
  <c r="I11635" i="9"/>
  <c r="I11636" i="9"/>
  <c r="I11637" i="9"/>
  <c r="I11638" i="9"/>
  <c r="I11639" i="9"/>
  <c r="I11640" i="9"/>
  <c r="I11641" i="9"/>
  <c r="I11642" i="9"/>
  <c r="I11643" i="9"/>
  <c r="I11644" i="9"/>
  <c r="I11645" i="9"/>
  <c r="I11646" i="9"/>
  <c r="I11647" i="9"/>
  <c r="I11648" i="9"/>
  <c r="I11649" i="9"/>
  <c r="I11650" i="9"/>
  <c r="I11651" i="9"/>
  <c r="I11652" i="9"/>
  <c r="I11653" i="9"/>
  <c r="I11654" i="9"/>
  <c r="I11655" i="9"/>
  <c r="I11656" i="9"/>
  <c r="I11657" i="9"/>
  <c r="I11658" i="9"/>
  <c r="I11659" i="9"/>
  <c r="I11660" i="9"/>
  <c r="I11661" i="9"/>
  <c r="I11662" i="9"/>
  <c r="I11663" i="9"/>
  <c r="I11664" i="9"/>
  <c r="I11665" i="9"/>
  <c r="I11666" i="9"/>
  <c r="I11667" i="9"/>
  <c r="I11668" i="9"/>
  <c r="I11669" i="9"/>
  <c r="I11670" i="9"/>
  <c r="I11671" i="9"/>
  <c r="I11672" i="9"/>
  <c r="I11673" i="9"/>
  <c r="I11674" i="9"/>
  <c r="I11675" i="9"/>
  <c r="I11676" i="9"/>
  <c r="I11677" i="9"/>
  <c r="I11678" i="9"/>
  <c r="I11679" i="9"/>
  <c r="I11680" i="9"/>
  <c r="I11681" i="9"/>
  <c r="I11682" i="9"/>
  <c r="I11683" i="9"/>
  <c r="I11684" i="9"/>
  <c r="I11685" i="9"/>
  <c r="I11686" i="9"/>
  <c r="I11687" i="9"/>
  <c r="I11688" i="9"/>
  <c r="I11689" i="9"/>
  <c r="I11690" i="9"/>
  <c r="I11691" i="9"/>
  <c r="I11692" i="9"/>
  <c r="I11693" i="9"/>
  <c r="I11694" i="9"/>
  <c r="I11695" i="9"/>
  <c r="I11696" i="9"/>
  <c r="I11697" i="9"/>
  <c r="I11698" i="9"/>
  <c r="I11699" i="9"/>
  <c r="I11700" i="9"/>
  <c r="I11701" i="9"/>
  <c r="I11702" i="9"/>
  <c r="I11703" i="9"/>
  <c r="I11704" i="9"/>
  <c r="I11705" i="9"/>
  <c r="I11706" i="9"/>
  <c r="I11707" i="9"/>
  <c r="I11708" i="9"/>
  <c r="I11709" i="9"/>
  <c r="I11710" i="9"/>
  <c r="I11711" i="9"/>
  <c r="I11712" i="9"/>
  <c r="I11713" i="9"/>
  <c r="I11714" i="9"/>
  <c r="I11715" i="9"/>
  <c r="I11716" i="9"/>
  <c r="I11717" i="9"/>
  <c r="I11718" i="9"/>
  <c r="I11719" i="9"/>
  <c r="I11720" i="9"/>
  <c r="I11721" i="9"/>
  <c r="I11722" i="9"/>
  <c r="I11723" i="9"/>
  <c r="I11724" i="9"/>
  <c r="I11725" i="9"/>
  <c r="I11726" i="9"/>
  <c r="I11727" i="9"/>
  <c r="I11728" i="9"/>
  <c r="I11729" i="9"/>
  <c r="I11730" i="9"/>
  <c r="I11731" i="9"/>
  <c r="I11732" i="9"/>
  <c r="I11733" i="9"/>
  <c r="I11734" i="9"/>
  <c r="I11735" i="9"/>
  <c r="I11736" i="9"/>
  <c r="I11737" i="9"/>
  <c r="I11738" i="9"/>
  <c r="I11739" i="9"/>
  <c r="I11740" i="9"/>
  <c r="I11741" i="9"/>
  <c r="I11742" i="9"/>
  <c r="I11743" i="9"/>
  <c r="I11744" i="9"/>
  <c r="I11745" i="9"/>
  <c r="I11746" i="9"/>
  <c r="I11747" i="9"/>
  <c r="I11748" i="9"/>
  <c r="I11749" i="9"/>
  <c r="I11750" i="9"/>
  <c r="I11751" i="9"/>
  <c r="I11752" i="9"/>
  <c r="I11753" i="9"/>
  <c r="I11754" i="9"/>
  <c r="I11755" i="9"/>
  <c r="I11756" i="9"/>
  <c r="I11757" i="9"/>
  <c r="I11758" i="9"/>
  <c r="I11759" i="9"/>
  <c r="I11760" i="9"/>
  <c r="I11761" i="9"/>
  <c r="I11762" i="9"/>
  <c r="I11763" i="9"/>
  <c r="I11764" i="9"/>
  <c r="I11765" i="9"/>
  <c r="I11766" i="9"/>
  <c r="I11767" i="9"/>
  <c r="I11768" i="9"/>
  <c r="I11769" i="9"/>
  <c r="I11770" i="9"/>
  <c r="I11771" i="9"/>
  <c r="I11772" i="9"/>
  <c r="I11773" i="9"/>
  <c r="I11774" i="9"/>
  <c r="I11775" i="9"/>
  <c r="I11776" i="9"/>
  <c r="I11777" i="9"/>
  <c r="I11778" i="9"/>
  <c r="I11779" i="9"/>
  <c r="I11780" i="9"/>
  <c r="I11781" i="9"/>
  <c r="I11782" i="9"/>
  <c r="I11783" i="9"/>
  <c r="I11784" i="9"/>
  <c r="I11785" i="9"/>
  <c r="I11786" i="9"/>
  <c r="I11787" i="9"/>
  <c r="I11788" i="9"/>
  <c r="I11789" i="9"/>
  <c r="I11790" i="9"/>
  <c r="I11791" i="9"/>
  <c r="I11792" i="9"/>
  <c r="I11793" i="9"/>
  <c r="I11794" i="9"/>
  <c r="I11795" i="9"/>
  <c r="I11796" i="9"/>
  <c r="I11797" i="9"/>
  <c r="I11798" i="9"/>
  <c r="I11799" i="9"/>
  <c r="I11800" i="9"/>
  <c r="I11801" i="9"/>
  <c r="I11802" i="9"/>
  <c r="I11803" i="9"/>
  <c r="I11804" i="9"/>
  <c r="I11805" i="9"/>
  <c r="I11806" i="9"/>
  <c r="I11807" i="9"/>
  <c r="I11808" i="9"/>
  <c r="I11809" i="9"/>
  <c r="I11810" i="9"/>
  <c r="I11811" i="9"/>
  <c r="I11812" i="9"/>
  <c r="I11813" i="9"/>
  <c r="I11814" i="9"/>
  <c r="I11815" i="9"/>
  <c r="I11816" i="9"/>
  <c r="I11817" i="9"/>
  <c r="I11818" i="9"/>
  <c r="I11819" i="9"/>
  <c r="I11820" i="9"/>
  <c r="I11821" i="9"/>
  <c r="I11822" i="9"/>
  <c r="I11823" i="9"/>
  <c r="I11824" i="9"/>
  <c r="I11825" i="9"/>
  <c r="I11826" i="9"/>
  <c r="I11827" i="9"/>
  <c r="I11828" i="9"/>
  <c r="I11829" i="9"/>
  <c r="I11830" i="9"/>
  <c r="I11831" i="9"/>
  <c r="I11832" i="9"/>
  <c r="I11833" i="9"/>
  <c r="I11834" i="9"/>
  <c r="I11835" i="9"/>
  <c r="I11836" i="9"/>
  <c r="I11837" i="9"/>
  <c r="I11838" i="9"/>
  <c r="I11839" i="9"/>
  <c r="I11840" i="9"/>
  <c r="I11841" i="9"/>
  <c r="I11842" i="9"/>
  <c r="I11843" i="9"/>
  <c r="I11844" i="9"/>
  <c r="I11845" i="9"/>
  <c r="I11846" i="9"/>
  <c r="I11847" i="9"/>
  <c r="I11848" i="9"/>
  <c r="I11849" i="9"/>
  <c r="I11850" i="9"/>
  <c r="I11851" i="9"/>
  <c r="I11852" i="9"/>
  <c r="I11853" i="9"/>
  <c r="A1967" i="4" l="1"/>
  <c r="A1966" i="4"/>
  <c r="C1966" i="4"/>
  <c r="C1967" i="4"/>
  <c r="E1966" i="4"/>
  <c r="E1967" i="4"/>
  <c r="F1966" i="4"/>
  <c r="F1967" i="4"/>
  <c r="H6" i="9"/>
  <c r="H7" i="9"/>
  <c r="H8" i="9"/>
  <c r="H9" i="9"/>
  <c r="H10" i="9"/>
  <c r="H11" i="9"/>
  <c r="H12" i="9"/>
  <c r="H13" i="9"/>
  <c r="H14" i="9"/>
  <c r="H15" i="9"/>
  <c r="H16" i="9"/>
  <c r="H17" i="9"/>
  <c r="H18" i="9"/>
  <c r="H19" i="9"/>
  <c r="H20" i="9"/>
  <c r="H21" i="9"/>
  <c r="H22" i="9"/>
  <c r="H23" i="9"/>
  <c r="H24" i="9"/>
  <c r="H25" i="9"/>
  <c r="H26" i="9"/>
  <c r="H27" i="9"/>
  <c r="H28" i="9"/>
  <c r="H29" i="9"/>
  <c r="H30" i="9"/>
  <c r="H31" i="9"/>
  <c r="H5" i="9"/>
  <c r="H4" i="9"/>
  <c r="C1963" i="4" l="1"/>
  <c r="E1963" i="4"/>
  <c r="F1963" i="4"/>
  <c r="C1964" i="4"/>
  <c r="E1964" i="4"/>
  <c r="F1964" i="4"/>
  <c r="C1965" i="4"/>
  <c r="E1965" i="4"/>
  <c r="F1965" i="4"/>
  <c r="A1963" i="4"/>
  <c r="A1964" i="4"/>
  <c r="A1965" i="4"/>
  <c r="E612" i="7"/>
  <c r="E611" i="7"/>
  <c r="A1937" i="4"/>
  <c r="A1938" i="4"/>
  <c r="A1939" i="4"/>
  <c r="A1940" i="4"/>
  <c r="A1941" i="4"/>
  <c r="A1942" i="4"/>
  <c r="A1943" i="4"/>
  <c r="A1944" i="4"/>
  <c r="A1945" i="4"/>
  <c r="A1946" i="4"/>
  <c r="A1947" i="4"/>
  <c r="A1948" i="4"/>
  <c r="A1949" i="4"/>
  <c r="A1950" i="4"/>
  <c r="A1951" i="4"/>
  <c r="A1952" i="4"/>
  <c r="A1953" i="4"/>
  <c r="A1954" i="4"/>
  <c r="A1955" i="4"/>
  <c r="A1956" i="4"/>
  <c r="A1957" i="4"/>
  <c r="A1958" i="4"/>
  <c r="A1959" i="4"/>
  <c r="A1960" i="4"/>
  <c r="A1961" i="4"/>
  <c r="A1962"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F1937" i="4"/>
  <c r="F1938" i="4"/>
  <c r="F1939" i="4"/>
  <c r="F1940" i="4"/>
  <c r="F1941" i="4"/>
  <c r="F1942" i="4"/>
  <c r="F1943" i="4"/>
  <c r="F1944" i="4"/>
  <c r="F1945" i="4"/>
  <c r="F1946" i="4"/>
  <c r="F1947" i="4"/>
  <c r="F1948" i="4"/>
  <c r="F1949" i="4"/>
  <c r="F1950" i="4"/>
  <c r="F1951" i="4"/>
  <c r="F1952" i="4"/>
  <c r="F1953" i="4"/>
  <c r="F1954" i="4"/>
  <c r="F1955" i="4"/>
  <c r="F1956" i="4"/>
  <c r="F1957" i="4"/>
  <c r="F1958" i="4"/>
  <c r="F1959" i="4"/>
  <c r="F1960" i="4"/>
  <c r="F1961" i="4"/>
  <c r="F1962" i="4"/>
  <c r="E15" i="7"/>
  <c r="A1936" i="4"/>
  <c r="A1935" i="4"/>
  <c r="A1934" i="4"/>
  <c r="A1933" i="4"/>
  <c r="A1932" i="4"/>
  <c r="A1931" i="4"/>
  <c r="A1930" i="4"/>
  <c r="A1929" i="4"/>
  <c r="A1928" i="4"/>
  <c r="A1927" i="4"/>
  <c r="A1926" i="4"/>
  <c r="A1925" i="4"/>
  <c r="A1924" i="4"/>
  <c r="A1923" i="4"/>
  <c r="A1922" i="4"/>
  <c r="A1921" i="4"/>
  <c r="A1920" i="4"/>
  <c r="A1919" i="4"/>
  <c r="A1918" i="4"/>
  <c r="A1917" i="4"/>
  <c r="A1916" i="4"/>
  <c r="A1915" i="4"/>
  <c r="C1915" i="4"/>
  <c r="C1916" i="4"/>
  <c r="C1917" i="4"/>
  <c r="C1918" i="4"/>
  <c r="C1919" i="4"/>
  <c r="C1920" i="4"/>
  <c r="C1921" i="4"/>
  <c r="C1922" i="4"/>
  <c r="C1923" i="4"/>
  <c r="C1924" i="4"/>
  <c r="C1925" i="4"/>
  <c r="C1926" i="4"/>
  <c r="C1927" i="4"/>
  <c r="C1928" i="4"/>
  <c r="C1929" i="4"/>
  <c r="C1930" i="4"/>
  <c r="C1931" i="4"/>
  <c r="C1932" i="4"/>
  <c r="C1933" i="4"/>
  <c r="C1934" i="4"/>
  <c r="C1935" i="4"/>
  <c r="C1936" i="4"/>
  <c r="E1915" i="4"/>
  <c r="E1916" i="4"/>
  <c r="E1917" i="4"/>
  <c r="E1918" i="4"/>
  <c r="E1919" i="4"/>
  <c r="E1920" i="4"/>
  <c r="E1921" i="4"/>
  <c r="E1922" i="4"/>
  <c r="E1923" i="4"/>
  <c r="E1924" i="4"/>
  <c r="E1925" i="4"/>
  <c r="E1926" i="4"/>
  <c r="E1927" i="4"/>
  <c r="E1928" i="4"/>
  <c r="E1929" i="4"/>
  <c r="E1930" i="4"/>
  <c r="E1931" i="4"/>
  <c r="E1932" i="4"/>
  <c r="E1933" i="4"/>
  <c r="E1934" i="4"/>
  <c r="E1935" i="4"/>
  <c r="E1936" i="4"/>
  <c r="F1915" i="4"/>
  <c r="F1916" i="4"/>
  <c r="F1917" i="4"/>
  <c r="F1918" i="4"/>
  <c r="F1919" i="4"/>
  <c r="F1920" i="4"/>
  <c r="F1921" i="4"/>
  <c r="F1922" i="4"/>
  <c r="F1923" i="4"/>
  <c r="F1924" i="4"/>
  <c r="F1925" i="4"/>
  <c r="F1926" i="4"/>
  <c r="F1927" i="4"/>
  <c r="F1928" i="4"/>
  <c r="F1929" i="4"/>
  <c r="F1930" i="4"/>
  <c r="F1931" i="4"/>
  <c r="F1932" i="4"/>
  <c r="F1933" i="4"/>
  <c r="F1934" i="4"/>
  <c r="F1935" i="4"/>
  <c r="F1936" i="4"/>
  <c r="A1914" i="4" l="1"/>
  <c r="C1914" i="4"/>
  <c r="E1914" i="4"/>
  <c r="F1914" i="4"/>
  <c r="A1913" i="4" l="1"/>
  <c r="A1912" i="4"/>
  <c r="C1913" i="4"/>
  <c r="E1913" i="4"/>
  <c r="F1913" i="4"/>
  <c r="C1912" i="4"/>
  <c r="E1912" i="4"/>
  <c r="F1912" i="4"/>
  <c r="H2" i="9" l="1"/>
  <c r="H3" i="9"/>
  <c r="A1911" i="4"/>
  <c r="C1911" i="4"/>
  <c r="E1911" i="4"/>
  <c r="F1911" i="4"/>
  <c r="A1910" i="4"/>
  <c r="A1909" i="4"/>
  <c r="A1908" i="4"/>
  <c r="A1907" i="4"/>
  <c r="A1906" i="4"/>
  <c r="A1905" i="4"/>
  <c r="A1904" i="4"/>
  <c r="A1903" i="4"/>
  <c r="A1902" i="4"/>
  <c r="A1901" i="4"/>
  <c r="A1900" i="4"/>
  <c r="C1900" i="4"/>
  <c r="C1901" i="4"/>
  <c r="C1902" i="4"/>
  <c r="C1903" i="4"/>
  <c r="C1904" i="4"/>
  <c r="C1905" i="4"/>
  <c r="C1906" i="4"/>
  <c r="C1907" i="4"/>
  <c r="C1908" i="4"/>
  <c r="C1909" i="4"/>
  <c r="C1910" i="4"/>
  <c r="E1900" i="4"/>
  <c r="E1901" i="4"/>
  <c r="E1902" i="4"/>
  <c r="E1903" i="4"/>
  <c r="E1904" i="4"/>
  <c r="E1905" i="4"/>
  <c r="E1906" i="4"/>
  <c r="E1907" i="4"/>
  <c r="E1908" i="4"/>
  <c r="E1909" i="4"/>
  <c r="E1910" i="4"/>
  <c r="F1900" i="4"/>
  <c r="F1901" i="4"/>
  <c r="F1902" i="4"/>
  <c r="F1903" i="4"/>
  <c r="F1904" i="4"/>
  <c r="F1905" i="4"/>
  <c r="F1906" i="4"/>
  <c r="F1907" i="4"/>
  <c r="F1908" i="4"/>
  <c r="F1909" i="4"/>
  <c r="F1910" i="4"/>
  <c r="A22" i="2" l="1"/>
  <c r="J22" i="2" s="1"/>
  <c r="A21" i="2"/>
  <c r="J21" i="2" s="1"/>
  <c r="A20" i="2"/>
  <c r="J20" i="2" s="1"/>
  <c r="A19" i="2"/>
  <c r="J19" i="2" s="1"/>
  <c r="A18" i="2"/>
  <c r="J18" i="2" s="1"/>
  <c r="A17" i="2"/>
  <c r="J17" i="2" s="1"/>
  <c r="A16" i="2"/>
  <c r="J16" i="2" s="1"/>
  <c r="A15" i="2"/>
  <c r="J15" i="2" s="1"/>
  <c r="A14" i="2"/>
  <c r="J14" i="2" s="1"/>
  <c r="A13" i="2"/>
  <c r="J13" i="2" s="1"/>
  <c r="A12" i="2"/>
  <c r="J12" i="2" s="1"/>
  <c r="A11" i="2"/>
  <c r="J11" i="2" s="1"/>
  <c r="A10" i="2"/>
  <c r="J10" i="2" s="1"/>
  <c r="A9" i="2"/>
  <c r="J9" i="2" s="1"/>
  <c r="A8" i="2"/>
  <c r="J8" i="2" s="1"/>
  <c r="A7" i="2"/>
  <c r="J7" i="2" s="1"/>
  <c r="A6" i="2"/>
  <c r="J6" i="2" s="1"/>
  <c r="A5" i="2"/>
  <c r="J5" i="2" s="1"/>
  <c r="A4" i="2"/>
  <c r="J4" i="2" s="1"/>
  <c r="A3" i="2"/>
  <c r="J3" i="2" s="1"/>
  <c r="A2" i="2"/>
  <c r="J2" i="2" s="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 r="F1899" i="4"/>
  <c r="E1899" i="4"/>
  <c r="C1899" i="4"/>
  <c r="A1899" i="4"/>
  <c r="F1898" i="4"/>
  <c r="E1898" i="4"/>
  <c r="C1898" i="4"/>
  <c r="A1898" i="4"/>
  <c r="F1897" i="4"/>
  <c r="E1897" i="4"/>
  <c r="C1897" i="4"/>
  <c r="A1897" i="4"/>
  <c r="F1896" i="4"/>
  <c r="E1896" i="4"/>
  <c r="C1896" i="4"/>
  <c r="A1896" i="4"/>
  <c r="F1895" i="4"/>
  <c r="E1895" i="4"/>
  <c r="C1895" i="4"/>
  <c r="A1895" i="4"/>
  <c r="F1894" i="4"/>
  <c r="E1894" i="4"/>
  <c r="C1894" i="4"/>
  <c r="A1894" i="4"/>
  <c r="F1893" i="4"/>
  <c r="E1893" i="4"/>
  <c r="C1893" i="4"/>
  <c r="A1893" i="4"/>
  <c r="F1892" i="4"/>
  <c r="E1892" i="4"/>
  <c r="C1892" i="4"/>
  <c r="A1892" i="4"/>
  <c r="F1891" i="4"/>
  <c r="E1891" i="4"/>
  <c r="C1891" i="4"/>
  <c r="A1891" i="4"/>
  <c r="F1890" i="4"/>
  <c r="E1890" i="4"/>
  <c r="C1890" i="4"/>
  <c r="A1890" i="4"/>
  <c r="F1889" i="4"/>
  <c r="E1889" i="4"/>
  <c r="C1889" i="4"/>
  <c r="A1889" i="4"/>
  <c r="F1888" i="4"/>
  <c r="E1888" i="4"/>
  <c r="C1888" i="4"/>
  <c r="A1888" i="4"/>
  <c r="F1887" i="4"/>
  <c r="E1887" i="4"/>
  <c r="C1887" i="4"/>
  <c r="A1887" i="4"/>
  <c r="F1886" i="4"/>
  <c r="E1886" i="4"/>
  <c r="C1886" i="4"/>
  <c r="A1886" i="4"/>
  <c r="F1885" i="4"/>
  <c r="E1885" i="4"/>
  <c r="C1885" i="4"/>
  <c r="A1885" i="4"/>
  <c r="F1884" i="4"/>
  <c r="E1884" i="4"/>
  <c r="C1884" i="4"/>
  <c r="A1884" i="4"/>
  <c r="F1883" i="4"/>
  <c r="E1883" i="4"/>
  <c r="C1883" i="4"/>
  <c r="A1883" i="4"/>
  <c r="F1882" i="4"/>
  <c r="E1882" i="4"/>
  <c r="C1882" i="4"/>
  <c r="A1882" i="4"/>
  <c r="F1881" i="4"/>
  <c r="E1881" i="4"/>
  <c r="C1881" i="4"/>
  <c r="A1881" i="4"/>
  <c r="F1880" i="4"/>
  <c r="E1880" i="4"/>
  <c r="C1880" i="4"/>
  <c r="A1880" i="4"/>
  <c r="F1879" i="4"/>
  <c r="E1879" i="4"/>
  <c r="C1879" i="4"/>
  <c r="A1879" i="4"/>
  <c r="F1878" i="4"/>
  <c r="E1878" i="4"/>
  <c r="C1878" i="4"/>
  <c r="A1878" i="4"/>
  <c r="F1877" i="4"/>
  <c r="E1877" i="4"/>
  <c r="C1877" i="4"/>
  <c r="A1877" i="4"/>
  <c r="F1876" i="4"/>
  <c r="E1876" i="4"/>
  <c r="C1876" i="4"/>
  <c r="A1876" i="4"/>
  <c r="F1875" i="4"/>
  <c r="E1875" i="4"/>
  <c r="C1875" i="4"/>
  <c r="A1875" i="4"/>
  <c r="F1874" i="4"/>
  <c r="E1874" i="4"/>
  <c r="C1874" i="4"/>
  <c r="A1874" i="4"/>
  <c r="F1873" i="4"/>
  <c r="E1873" i="4"/>
  <c r="C1873" i="4"/>
  <c r="A1873" i="4"/>
  <c r="F1872" i="4"/>
  <c r="E1872" i="4"/>
  <c r="C1872" i="4"/>
  <c r="A1872" i="4"/>
  <c r="F1871" i="4"/>
  <c r="E1871" i="4"/>
  <c r="C1871" i="4"/>
  <c r="A1871" i="4"/>
  <c r="F1870" i="4"/>
  <c r="E1870" i="4"/>
  <c r="C1870" i="4"/>
  <c r="A1870" i="4"/>
  <c r="F1869" i="4"/>
  <c r="E1869" i="4"/>
  <c r="C1869" i="4"/>
  <c r="A1869" i="4"/>
  <c r="F1868" i="4"/>
  <c r="E1868" i="4"/>
  <c r="C1868" i="4"/>
  <c r="A1868" i="4"/>
  <c r="F1867" i="4"/>
  <c r="E1867" i="4"/>
  <c r="C1867" i="4"/>
  <c r="A1867" i="4"/>
  <c r="F1866" i="4"/>
  <c r="E1866" i="4"/>
  <c r="C1866" i="4"/>
  <c r="A1866" i="4"/>
  <c r="F1865" i="4"/>
  <c r="E1865" i="4"/>
  <c r="C1865" i="4"/>
  <c r="A1865" i="4"/>
  <c r="F1864" i="4"/>
  <c r="E1864" i="4"/>
  <c r="C1864" i="4"/>
  <c r="A1864" i="4"/>
  <c r="F1863" i="4"/>
  <c r="E1863" i="4"/>
  <c r="C1863" i="4"/>
  <c r="A1863" i="4"/>
  <c r="F1862" i="4"/>
  <c r="E1862" i="4"/>
  <c r="C1862" i="4"/>
  <c r="A1862" i="4"/>
  <c r="F1861" i="4"/>
  <c r="E1861" i="4"/>
  <c r="C1861" i="4"/>
  <c r="A1861" i="4"/>
  <c r="F1860" i="4"/>
  <c r="E1860" i="4"/>
  <c r="C1860" i="4"/>
  <c r="A1860" i="4"/>
  <c r="F1859" i="4"/>
  <c r="E1859" i="4"/>
  <c r="C1859" i="4"/>
  <c r="A1859" i="4"/>
  <c r="F1858" i="4"/>
  <c r="E1858" i="4"/>
  <c r="C1858" i="4"/>
  <c r="A1858" i="4"/>
  <c r="F1857" i="4"/>
  <c r="E1857" i="4"/>
  <c r="C1857" i="4"/>
  <c r="A1857" i="4"/>
  <c r="F1856" i="4"/>
  <c r="E1856" i="4"/>
  <c r="C1856" i="4"/>
  <c r="A1856" i="4"/>
  <c r="F1855" i="4"/>
  <c r="E1855" i="4"/>
  <c r="C1855" i="4"/>
  <c r="A1855" i="4"/>
  <c r="F1854" i="4"/>
  <c r="E1854" i="4"/>
  <c r="C1854" i="4"/>
  <c r="A1854" i="4"/>
  <c r="F1853" i="4"/>
  <c r="E1853" i="4"/>
  <c r="C1853" i="4"/>
  <c r="A1853" i="4"/>
  <c r="F1852" i="4"/>
  <c r="E1852" i="4"/>
  <c r="C1852" i="4"/>
  <c r="A1852" i="4"/>
  <c r="F1851" i="4"/>
  <c r="E1851" i="4"/>
  <c r="C1851" i="4"/>
  <c r="A1851" i="4"/>
  <c r="F1850" i="4"/>
  <c r="E1850" i="4"/>
  <c r="C1850" i="4"/>
  <c r="A1850" i="4"/>
  <c r="F1849" i="4"/>
  <c r="E1849" i="4"/>
  <c r="C1849" i="4"/>
  <c r="A1849" i="4"/>
  <c r="F1848" i="4"/>
  <c r="E1848" i="4"/>
  <c r="C1848" i="4"/>
  <c r="A1848" i="4"/>
  <c r="F1847" i="4"/>
  <c r="E1847" i="4"/>
  <c r="C1847" i="4"/>
  <c r="A1847" i="4"/>
  <c r="F1846" i="4"/>
  <c r="E1846" i="4"/>
  <c r="C1846" i="4"/>
  <c r="A1846" i="4"/>
  <c r="F1845" i="4"/>
  <c r="E1845" i="4"/>
  <c r="C1845" i="4"/>
  <c r="A1845" i="4"/>
  <c r="F1844" i="4"/>
  <c r="E1844" i="4"/>
  <c r="C1844" i="4"/>
  <c r="A1844" i="4"/>
  <c r="F1843" i="4"/>
  <c r="E1843" i="4"/>
  <c r="C1843" i="4"/>
  <c r="A1843" i="4"/>
  <c r="F1842" i="4"/>
  <c r="E1842" i="4"/>
  <c r="C1842" i="4"/>
  <c r="A1842" i="4"/>
  <c r="F1841" i="4"/>
  <c r="E1841" i="4"/>
  <c r="C1841" i="4"/>
  <c r="A1841" i="4"/>
  <c r="F1840" i="4"/>
  <c r="E1840" i="4"/>
  <c r="C1840" i="4"/>
  <c r="A1840" i="4"/>
  <c r="F1839" i="4"/>
  <c r="E1839" i="4"/>
  <c r="C1839" i="4"/>
  <c r="A1839" i="4"/>
  <c r="F1838" i="4"/>
  <c r="E1838" i="4"/>
  <c r="C1838" i="4"/>
  <c r="A1838" i="4"/>
  <c r="F1837" i="4"/>
  <c r="E1837" i="4"/>
  <c r="C1837" i="4"/>
  <c r="A1837" i="4"/>
  <c r="F1836" i="4"/>
  <c r="E1836" i="4"/>
  <c r="C1836" i="4"/>
  <c r="A1836" i="4"/>
  <c r="F1835" i="4"/>
  <c r="E1835" i="4"/>
  <c r="C1835" i="4"/>
  <c r="A1835" i="4"/>
  <c r="F1834" i="4"/>
  <c r="E1834" i="4"/>
  <c r="C1834" i="4"/>
  <c r="A1834" i="4"/>
  <c r="F1833" i="4"/>
  <c r="E1833" i="4"/>
  <c r="C1833" i="4"/>
  <c r="A1833" i="4"/>
  <c r="F1832" i="4"/>
  <c r="E1832" i="4"/>
  <c r="C1832" i="4"/>
  <c r="A1832" i="4"/>
  <c r="F1831" i="4"/>
  <c r="E1831" i="4"/>
  <c r="C1831" i="4"/>
  <c r="A1831" i="4"/>
  <c r="F1830" i="4"/>
  <c r="E1830" i="4"/>
  <c r="C1830" i="4"/>
  <c r="A1830" i="4"/>
  <c r="F1829" i="4"/>
  <c r="E1829" i="4"/>
  <c r="C1829" i="4"/>
  <c r="A1829" i="4"/>
  <c r="F1828" i="4"/>
  <c r="E1828" i="4"/>
  <c r="C1828" i="4"/>
  <c r="A1828" i="4"/>
  <c r="F1827" i="4"/>
  <c r="E1827" i="4"/>
  <c r="C1827" i="4"/>
  <c r="A1827" i="4"/>
  <c r="F1826" i="4"/>
  <c r="E1826" i="4"/>
  <c r="C1826" i="4"/>
  <c r="A1826" i="4"/>
  <c r="F1825" i="4"/>
  <c r="E1825" i="4"/>
  <c r="C1825" i="4"/>
  <c r="A1825" i="4"/>
  <c r="F1824" i="4"/>
  <c r="E1824" i="4"/>
  <c r="C1824" i="4"/>
  <c r="A1824" i="4"/>
  <c r="F1823" i="4"/>
  <c r="E1823" i="4"/>
  <c r="C1823" i="4"/>
  <c r="A1823" i="4"/>
  <c r="F1822" i="4"/>
  <c r="E1822" i="4"/>
  <c r="C1822" i="4"/>
  <c r="A1822" i="4"/>
  <c r="F1821" i="4"/>
  <c r="E1821" i="4"/>
  <c r="C1821" i="4"/>
  <c r="A1821" i="4"/>
  <c r="F1820" i="4"/>
  <c r="E1820" i="4"/>
  <c r="C1820" i="4"/>
  <c r="A1820" i="4"/>
  <c r="F1819" i="4"/>
  <c r="E1819" i="4"/>
  <c r="C1819" i="4"/>
  <c r="A1819" i="4"/>
  <c r="F1818" i="4"/>
  <c r="E1818" i="4"/>
  <c r="C1818" i="4"/>
  <c r="A1818" i="4"/>
  <c r="F1817" i="4"/>
  <c r="E1817" i="4"/>
  <c r="C1817" i="4"/>
  <c r="A1817" i="4"/>
  <c r="F1816" i="4"/>
  <c r="E1816" i="4"/>
  <c r="C1816" i="4"/>
  <c r="A1816" i="4"/>
  <c r="F1815" i="4"/>
  <c r="E1815" i="4"/>
  <c r="C1815" i="4"/>
  <c r="A1815" i="4"/>
  <c r="F1814" i="4"/>
  <c r="E1814" i="4"/>
  <c r="C1814" i="4"/>
  <c r="A1814" i="4"/>
  <c r="F1813" i="4"/>
  <c r="E1813" i="4"/>
  <c r="C1813" i="4"/>
  <c r="A1813" i="4"/>
  <c r="F1812" i="4"/>
  <c r="E1812" i="4"/>
  <c r="C1812" i="4"/>
  <c r="A1812" i="4"/>
  <c r="F1811" i="4"/>
  <c r="E1811" i="4"/>
  <c r="C1811" i="4"/>
  <c r="A1811" i="4"/>
  <c r="F1810" i="4"/>
  <c r="E1810" i="4"/>
  <c r="C1810" i="4"/>
  <c r="A1810" i="4"/>
  <c r="F1809" i="4"/>
  <c r="E1809" i="4"/>
  <c r="C1809" i="4"/>
  <c r="A1809" i="4"/>
  <c r="F1808" i="4"/>
  <c r="E1808" i="4"/>
  <c r="C1808" i="4"/>
  <c r="A1808" i="4"/>
  <c r="F1807" i="4"/>
  <c r="E1807" i="4"/>
  <c r="C1807" i="4"/>
  <c r="A1807" i="4"/>
  <c r="F1806" i="4"/>
  <c r="E1806" i="4"/>
  <c r="C1806" i="4"/>
  <c r="A1806" i="4"/>
  <c r="F1805" i="4"/>
  <c r="E1805" i="4"/>
  <c r="C1805" i="4"/>
  <c r="A1805" i="4"/>
  <c r="F1804" i="4"/>
  <c r="E1804" i="4"/>
  <c r="C1804" i="4"/>
  <c r="A1804" i="4"/>
  <c r="F1803" i="4"/>
  <c r="E1803" i="4"/>
  <c r="C1803" i="4"/>
  <c r="A1803" i="4"/>
  <c r="F1802" i="4"/>
  <c r="E1802" i="4"/>
  <c r="C1802" i="4"/>
  <c r="A1802" i="4"/>
  <c r="F1801" i="4"/>
  <c r="E1801" i="4"/>
  <c r="C1801" i="4"/>
  <c r="A1801" i="4"/>
  <c r="F1800" i="4"/>
  <c r="E1800" i="4"/>
  <c r="C1800" i="4"/>
  <c r="A1800" i="4"/>
  <c r="F1799" i="4"/>
  <c r="E1799" i="4"/>
  <c r="C1799" i="4"/>
  <c r="A1799" i="4"/>
  <c r="F1798" i="4"/>
  <c r="E1798" i="4"/>
  <c r="C1798" i="4"/>
  <c r="A1798" i="4"/>
  <c r="F1797" i="4"/>
  <c r="E1797" i="4"/>
  <c r="C1797" i="4"/>
  <c r="A1797" i="4"/>
  <c r="F1796" i="4"/>
  <c r="E1796" i="4"/>
  <c r="C1796" i="4"/>
  <c r="A1796" i="4"/>
  <c r="F1795" i="4"/>
  <c r="E1795" i="4"/>
  <c r="C1795" i="4"/>
  <c r="A1795" i="4"/>
  <c r="F1794" i="4"/>
  <c r="E1794" i="4"/>
  <c r="C1794" i="4"/>
  <c r="A1794" i="4"/>
  <c r="F1793" i="4"/>
  <c r="E1793" i="4"/>
  <c r="C1793" i="4"/>
  <c r="A1793" i="4"/>
  <c r="F1792" i="4"/>
  <c r="E1792" i="4"/>
  <c r="C1792" i="4"/>
  <c r="A1792" i="4"/>
  <c r="F1791" i="4"/>
  <c r="E1791" i="4"/>
  <c r="C1791" i="4"/>
  <c r="A1791" i="4"/>
  <c r="F1790" i="4"/>
  <c r="E1790" i="4"/>
  <c r="C1790" i="4"/>
  <c r="A1790" i="4"/>
  <c r="F1789" i="4"/>
  <c r="E1789" i="4"/>
  <c r="C1789" i="4"/>
  <c r="A1789" i="4"/>
  <c r="F1788" i="4"/>
  <c r="E1788" i="4"/>
  <c r="C1788" i="4"/>
  <c r="A1788" i="4"/>
  <c r="F1787" i="4"/>
  <c r="E1787" i="4"/>
  <c r="C1787" i="4"/>
  <c r="A1787" i="4"/>
  <c r="F1786" i="4"/>
  <c r="E1786" i="4"/>
  <c r="C1786" i="4"/>
  <c r="A1786" i="4"/>
  <c r="F1785" i="4"/>
  <c r="E1785" i="4"/>
  <c r="C1785" i="4"/>
  <c r="A1785" i="4"/>
  <c r="F1784" i="4"/>
  <c r="E1784" i="4"/>
  <c r="C1784" i="4"/>
  <c r="A1784" i="4"/>
  <c r="F1783" i="4"/>
  <c r="E1783" i="4"/>
  <c r="C1783" i="4"/>
  <c r="A1783" i="4"/>
  <c r="F1782" i="4"/>
  <c r="E1782" i="4"/>
  <c r="C1782" i="4"/>
  <c r="A1782" i="4"/>
  <c r="F1781" i="4"/>
  <c r="E1781" i="4"/>
  <c r="C1781" i="4"/>
  <c r="A1781" i="4"/>
  <c r="F1780" i="4"/>
  <c r="E1780" i="4"/>
  <c r="C1780" i="4"/>
  <c r="A1780" i="4"/>
  <c r="F1779" i="4"/>
  <c r="E1779" i="4"/>
  <c r="C1779" i="4"/>
  <c r="A1779" i="4"/>
  <c r="F1778" i="4"/>
  <c r="E1778" i="4"/>
  <c r="C1778" i="4"/>
  <c r="A1778" i="4"/>
  <c r="F1777" i="4"/>
  <c r="E1777" i="4"/>
  <c r="C1777" i="4"/>
  <c r="A1777" i="4"/>
  <c r="F1776" i="4"/>
  <c r="E1776" i="4"/>
  <c r="C1776" i="4"/>
  <c r="A1776" i="4"/>
  <c r="F1775" i="4"/>
  <c r="E1775" i="4"/>
  <c r="C1775" i="4"/>
  <c r="A1775" i="4"/>
  <c r="F1774" i="4"/>
  <c r="E1774" i="4"/>
  <c r="C1774" i="4"/>
  <c r="A1774" i="4"/>
  <c r="F1773" i="4"/>
  <c r="E1773" i="4"/>
  <c r="C1773" i="4"/>
  <c r="A1773" i="4"/>
  <c r="F1772" i="4"/>
  <c r="E1772" i="4"/>
  <c r="C1772" i="4"/>
  <c r="A1772" i="4"/>
  <c r="F1771" i="4"/>
  <c r="E1771" i="4"/>
  <c r="C1771" i="4"/>
  <c r="A1771" i="4"/>
  <c r="F1770" i="4"/>
  <c r="E1770" i="4"/>
  <c r="C1770" i="4"/>
  <c r="A1770" i="4"/>
  <c r="F1769" i="4"/>
  <c r="E1769" i="4"/>
  <c r="C1769" i="4"/>
  <c r="A1769" i="4"/>
  <c r="F1768" i="4"/>
  <c r="E1768" i="4"/>
  <c r="C1768" i="4"/>
  <c r="A1768" i="4"/>
  <c r="F1767" i="4"/>
  <c r="E1767" i="4"/>
  <c r="C1767" i="4"/>
  <c r="A1767" i="4"/>
  <c r="F1766" i="4"/>
  <c r="E1766" i="4"/>
  <c r="C1766" i="4"/>
  <c r="A1766" i="4"/>
  <c r="F1765" i="4"/>
  <c r="E1765" i="4"/>
  <c r="C1765" i="4"/>
  <c r="A1765" i="4"/>
  <c r="F1764" i="4"/>
  <c r="E1764" i="4"/>
  <c r="C1764" i="4"/>
  <c r="A1764" i="4"/>
  <c r="F1763" i="4"/>
  <c r="E1763" i="4"/>
  <c r="C1763" i="4"/>
  <c r="A1763" i="4"/>
  <c r="F1762" i="4"/>
  <c r="E1762" i="4"/>
  <c r="C1762" i="4"/>
  <c r="A1762" i="4"/>
  <c r="F1761" i="4"/>
  <c r="E1761" i="4"/>
  <c r="C1761" i="4"/>
  <c r="A1761" i="4"/>
  <c r="F1760" i="4"/>
  <c r="E1760" i="4"/>
  <c r="C1760" i="4"/>
  <c r="A1760" i="4"/>
  <c r="F1759" i="4"/>
  <c r="E1759" i="4"/>
  <c r="C1759" i="4"/>
  <c r="A1759" i="4"/>
  <c r="F1758" i="4"/>
  <c r="E1758" i="4"/>
  <c r="C1758" i="4"/>
  <c r="A1758" i="4"/>
  <c r="F1757" i="4"/>
  <c r="E1757" i="4"/>
  <c r="C1757" i="4"/>
  <c r="A1757" i="4"/>
  <c r="F1756" i="4"/>
  <c r="E1756" i="4"/>
  <c r="C1756" i="4"/>
  <c r="A1756" i="4"/>
  <c r="F1755" i="4"/>
  <c r="E1755" i="4"/>
  <c r="C1755" i="4"/>
  <c r="A1755" i="4"/>
  <c r="F1754" i="4"/>
  <c r="E1754" i="4"/>
  <c r="C1754" i="4"/>
  <c r="A1754" i="4"/>
  <c r="F1753" i="4"/>
  <c r="E1753" i="4"/>
  <c r="C1753" i="4"/>
  <c r="A1753" i="4"/>
  <c r="F1752" i="4"/>
  <c r="E1752" i="4"/>
  <c r="C1752" i="4"/>
  <c r="A1752" i="4"/>
  <c r="F1751" i="4"/>
  <c r="E1751" i="4"/>
  <c r="C1751" i="4"/>
  <c r="A1751" i="4"/>
  <c r="F1750" i="4"/>
  <c r="E1750" i="4"/>
  <c r="C1750" i="4"/>
  <c r="A1750" i="4"/>
  <c r="F1749" i="4"/>
  <c r="E1749" i="4"/>
  <c r="C1749" i="4"/>
  <c r="A1749" i="4"/>
  <c r="F1748" i="4"/>
  <c r="E1748" i="4"/>
  <c r="C1748" i="4"/>
  <c r="A1748" i="4"/>
  <c r="F1747" i="4"/>
  <c r="E1747" i="4"/>
  <c r="C1747" i="4"/>
  <c r="A1747" i="4"/>
  <c r="F1746" i="4"/>
  <c r="E1746" i="4"/>
  <c r="C1746" i="4"/>
  <c r="A1746" i="4"/>
  <c r="F1745" i="4"/>
  <c r="E1745" i="4"/>
  <c r="C1745" i="4"/>
  <c r="A1745" i="4"/>
  <c r="F1744" i="4"/>
  <c r="E1744" i="4"/>
  <c r="C1744" i="4"/>
  <c r="A1744" i="4"/>
  <c r="F1743" i="4"/>
  <c r="E1743" i="4"/>
  <c r="C1743" i="4"/>
  <c r="A1743" i="4"/>
  <c r="F1742" i="4"/>
  <c r="E1742" i="4"/>
  <c r="C1742" i="4"/>
  <c r="A1742" i="4"/>
  <c r="F1741" i="4"/>
  <c r="E1741" i="4"/>
  <c r="C1741" i="4"/>
  <c r="A1741" i="4"/>
  <c r="F1740" i="4"/>
  <c r="E1740" i="4"/>
  <c r="C1740" i="4"/>
  <c r="A1740" i="4"/>
  <c r="F1739" i="4"/>
  <c r="E1739" i="4"/>
  <c r="C1739" i="4"/>
  <c r="A1739" i="4"/>
  <c r="F1738" i="4"/>
  <c r="E1738" i="4"/>
  <c r="C1738" i="4"/>
  <c r="A1738" i="4"/>
  <c r="F1737" i="4"/>
  <c r="E1737" i="4"/>
  <c r="C1737" i="4"/>
  <c r="A1737" i="4"/>
  <c r="F1736" i="4"/>
  <c r="E1736" i="4"/>
  <c r="C1736" i="4"/>
  <c r="A1736" i="4"/>
  <c r="F1735" i="4"/>
  <c r="E1735" i="4"/>
  <c r="C1735" i="4"/>
  <c r="A1735" i="4"/>
  <c r="F1734" i="4"/>
  <c r="E1734" i="4"/>
  <c r="C1734" i="4"/>
  <c r="A1734" i="4"/>
  <c r="F1733" i="4"/>
  <c r="E1733" i="4"/>
  <c r="C1733" i="4"/>
  <c r="A1733" i="4"/>
  <c r="F1732" i="4"/>
  <c r="E1732" i="4"/>
  <c r="C1732" i="4"/>
  <c r="A1732" i="4"/>
  <c r="F1731" i="4"/>
  <c r="E1731" i="4"/>
  <c r="C1731" i="4"/>
  <c r="A1731" i="4"/>
  <c r="F1730" i="4"/>
  <c r="E1730" i="4"/>
  <c r="C1730" i="4"/>
  <c r="A1730" i="4"/>
  <c r="F1729" i="4"/>
  <c r="E1729" i="4"/>
  <c r="C1729" i="4"/>
  <c r="A1729" i="4"/>
  <c r="F1728" i="4"/>
  <c r="E1728" i="4"/>
  <c r="C1728" i="4"/>
  <c r="A1728" i="4"/>
  <c r="F1727" i="4"/>
  <c r="E1727" i="4"/>
  <c r="C1727" i="4"/>
  <c r="A1727" i="4"/>
  <c r="F1726" i="4"/>
  <c r="E1726" i="4"/>
  <c r="C1726" i="4"/>
  <c r="A1726" i="4"/>
  <c r="F1725" i="4"/>
  <c r="E1725" i="4"/>
  <c r="C1725" i="4"/>
  <c r="A1725" i="4"/>
  <c r="F1724" i="4"/>
  <c r="E1724" i="4"/>
  <c r="C1724" i="4"/>
  <c r="A1724" i="4"/>
  <c r="F1723" i="4"/>
  <c r="E1723" i="4"/>
  <c r="C1723" i="4"/>
  <c r="A1723" i="4"/>
  <c r="F1722" i="4"/>
  <c r="E1722" i="4"/>
  <c r="C1722" i="4"/>
  <c r="A1722" i="4"/>
  <c r="F1721" i="4"/>
  <c r="E1721" i="4"/>
  <c r="C1721" i="4"/>
  <c r="A1721" i="4"/>
  <c r="F1720" i="4"/>
  <c r="E1720" i="4"/>
  <c r="C1720" i="4"/>
  <c r="A1720" i="4"/>
  <c r="F1719" i="4"/>
  <c r="E1719" i="4"/>
  <c r="C1719" i="4"/>
  <c r="A1719" i="4"/>
  <c r="F1718" i="4"/>
  <c r="E1718" i="4"/>
  <c r="C1718" i="4"/>
  <c r="A1718" i="4"/>
  <c r="F1717" i="4"/>
  <c r="E1717" i="4"/>
  <c r="C1717" i="4"/>
  <c r="A1717" i="4"/>
  <c r="F1716" i="4"/>
  <c r="E1716" i="4"/>
  <c r="C1716" i="4"/>
  <c r="A1716" i="4"/>
  <c r="F1715" i="4"/>
  <c r="E1715" i="4"/>
  <c r="C1715" i="4"/>
  <c r="A1715" i="4"/>
  <c r="F1714" i="4"/>
  <c r="E1714" i="4"/>
  <c r="C1714" i="4"/>
  <c r="A1714" i="4"/>
  <c r="F1713" i="4"/>
  <c r="E1713" i="4"/>
  <c r="C1713" i="4"/>
  <c r="A1713" i="4"/>
  <c r="F1712" i="4"/>
  <c r="E1712" i="4"/>
  <c r="C1712" i="4"/>
  <c r="A1712" i="4"/>
  <c r="F1711" i="4"/>
  <c r="E1711" i="4"/>
  <c r="C1711" i="4"/>
  <c r="A1711" i="4"/>
  <c r="F1710" i="4"/>
  <c r="E1710" i="4"/>
  <c r="C1710" i="4"/>
  <c r="A1710" i="4"/>
  <c r="F1709" i="4"/>
  <c r="E1709" i="4"/>
  <c r="C1709" i="4"/>
  <c r="A1709" i="4"/>
  <c r="F1708" i="4"/>
  <c r="E1708" i="4"/>
  <c r="C1708" i="4"/>
  <c r="A1708" i="4"/>
  <c r="F1707" i="4"/>
  <c r="E1707" i="4"/>
  <c r="C1707" i="4"/>
  <c r="A1707" i="4"/>
  <c r="F1706" i="4"/>
  <c r="E1706" i="4"/>
  <c r="C1706" i="4"/>
  <c r="A1706" i="4"/>
  <c r="F1705" i="4"/>
  <c r="E1705" i="4"/>
  <c r="C1705" i="4"/>
  <c r="A1705" i="4"/>
  <c r="F1704" i="4"/>
  <c r="E1704" i="4"/>
  <c r="C1704" i="4"/>
  <c r="A1704" i="4"/>
  <c r="F1703" i="4"/>
  <c r="E1703" i="4"/>
  <c r="C1703" i="4"/>
  <c r="A1703" i="4"/>
  <c r="F1702" i="4"/>
  <c r="E1702" i="4"/>
  <c r="C1702" i="4"/>
  <c r="A1702" i="4"/>
  <c r="F1701" i="4"/>
  <c r="E1701" i="4"/>
  <c r="C1701" i="4"/>
  <c r="A1701" i="4"/>
  <c r="F1700" i="4"/>
  <c r="E1700" i="4"/>
  <c r="C1700" i="4"/>
  <c r="A1700" i="4"/>
  <c r="F1699" i="4"/>
  <c r="E1699" i="4"/>
  <c r="C1699" i="4"/>
  <c r="A1699" i="4"/>
  <c r="F1698" i="4"/>
  <c r="E1698" i="4"/>
  <c r="C1698" i="4"/>
  <c r="A1698" i="4"/>
  <c r="F1697" i="4"/>
  <c r="E1697" i="4"/>
  <c r="C1697" i="4"/>
  <c r="A1697" i="4"/>
  <c r="F1696" i="4"/>
  <c r="E1696" i="4"/>
  <c r="C1696" i="4"/>
  <c r="A1696" i="4"/>
  <c r="F1695" i="4"/>
  <c r="E1695" i="4"/>
  <c r="C1695" i="4"/>
  <c r="A1695" i="4"/>
  <c r="F1694" i="4"/>
  <c r="E1694" i="4"/>
  <c r="C1694" i="4"/>
  <c r="A1694" i="4"/>
  <c r="F1693" i="4"/>
  <c r="E1693" i="4"/>
  <c r="C1693" i="4"/>
  <c r="A1693" i="4"/>
  <c r="F1692" i="4"/>
  <c r="E1692" i="4"/>
  <c r="C1692" i="4"/>
  <c r="A1692" i="4"/>
  <c r="F1691" i="4"/>
  <c r="E1691" i="4"/>
  <c r="C1691" i="4"/>
  <c r="A1691" i="4"/>
  <c r="F1690" i="4"/>
  <c r="E1690" i="4"/>
  <c r="C1690" i="4"/>
  <c r="A1690" i="4"/>
  <c r="F1689" i="4"/>
  <c r="E1689" i="4"/>
  <c r="C1689" i="4"/>
  <c r="A1689" i="4"/>
  <c r="F1688" i="4"/>
  <c r="E1688" i="4"/>
  <c r="C1688" i="4"/>
  <c r="A1688" i="4"/>
  <c r="F1687" i="4"/>
  <c r="E1687" i="4"/>
  <c r="C1687" i="4"/>
  <c r="A1687" i="4"/>
  <c r="F1686" i="4"/>
  <c r="E1686" i="4"/>
  <c r="C1686" i="4"/>
  <c r="A1686" i="4"/>
  <c r="F1685" i="4"/>
  <c r="E1685" i="4"/>
  <c r="C1685" i="4"/>
  <c r="A1685" i="4"/>
  <c r="F1684" i="4"/>
  <c r="E1684" i="4"/>
  <c r="C1684" i="4"/>
  <c r="A1684" i="4"/>
  <c r="F1683" i="4"/>
  <c r="E1683" i="4"/>
  <c r="C1683" i="4"/>
  <c r="A1683" i="4"/>
  <c r="F1682" i="4"/>
  <c r="E1682" i="4"/>
  <c r="C1682" i="4"/>
  <c r="A1682" i="4"/>
  <c r="F1681" i="4"/>
  <c r="E1681" i="4"/>
  <c r="C1681" i="4"/>
  <c r="A1681" i="4"/>
  <c r="F1680" i="4"/>
  <c r="E1680" i="4"/>
  <c r="C1680" i="4"/>
  <c r="A1680" i="4"/>
  <c r="F1679" i="4"/>
  <c r="E1679" i="4"/>
  <c r="C1679" i="4"/>
  <c r="A1679" i="4"/>
  <c r="F1678" i="4"/>
  <c r="E1678" i="4"/>
  <c r="C1678" i="4"/>
  <c r="A1678" i="4"/>
  <c r="F1677" i="4"/>
  <c r="E1677" i="4"/>
  <c r="C1677" i="4"/>
  <c r="A1677" i="4"/>
  <c r="F1676" i="4"/>
  <c r="E1676" i="4"/>
  <c r="C1676" i="4"/>
  <c r="A1676" i="4"/>
  <c r="F1675" i="4"/>
  <c r="E1675" i="4"/>
  <c r="C1675" i="4"/>
  <c r="A1675" i="4"/>
  <c r="F1674" i="4"/>
  <c r="E1674" i="4"/>
  <c r="C1674" i="4"/>
  <c r="A1674" i="4"/>
  <c r="F1673" i="4"/>
  <c r="E1673" i="4"/>
  <c r="C1673" i="4"/>
  <c r="A1673" i="4"/>
  <c r="F1672" i="4"/>
  <c r="E1672" i="4"/>
  <c r="C1672" i="4"/>
  <c r="A1672" i="4"/>
  <c r="F1671" i="4"/>
  <c r="E1671" i="4"/>
  <c r="C1671" i="4"/>
  <c r="A1671" i="4"/>
  <c r="F1670" i="4"/>
  <c r="E1670" i="4"/>
  <c r="C1670" i="4"/>
  <c r="A1670" i="4"/>
  <c r="F1669" i="4"/>
  <c r="E1669" i="4"/>
  <c r="C1669" i="4"/>
  <c r="A1669" i="4"/>
  <c r="F1668" i="4"/>
  <c r="E1668" i="4"/>
  <c r="C1668" i="4"/>
  <c r="A1668" i="4"/>
  <c r="F1667" i="4"/>
  <c r="E1667" i="4"/>
  <c r="C1667" i="4"/>
  <c r="A1667" i="4"/>
  <c r="F1666" i="4"/>
  <c r="E1666" i="4"/>
  <c r="C1666" i="4"/>
  <c r="A1666" i="4"/>
  <c r="F1665" i="4"/>
  <c r="E1665" i="4"/>
  <c r="C1665" i="4"/>
  <c r="A1665" i="4"/>
  <c r="F1664" i="4"/>
  <c r="E1664" i="4"/>
  <c r="C1664" i="4"/>
  <c r="A1664" i="4"/>
  <c r="F1663" i="4"/>
  <c r="E1663" i="4"/>
  <c r="C1663" i="4"/>
  <c r="A1663" i="4"/>
  <c r="F1662" i="4"/>
  <c r="E1662" i="4"/>
  <c r="C1662" i="4"/>
  <c r="A1662" i="4"/>
  <c r="F1661" i="4"/>
  <c r="E1661" i="4"/>
  <c r="C1661" i="4"/>
  <c r="A1661" i="4"/>
  <c r="F1660" i="4"/>
  <c r="E1660" i="4"/>
  <c r="C1660" i="4"/>
  <c r="A1660" i="4"/>
  <c r="F1659" i="4"/>
  <c r="E1659" i="4"/>
  <c r="C1659" i="4"/>
  <c r="A1659" i="4"/>
  <c r="F1658" i="4"/>
  <c r="E1658" i="4"/>
  <c r="C1658" i="4"/>
  <c r="A1658" i="4"/>
  <c r="F1657" i="4"/>
  <c r="E1657" i="4"/>
  <c r="C1657" i="4"/>
  <c r="A1657" i="4"/>
  <c r="F1656" i="4"/>
  <c r="E1656" i="4"/>
  <c r="C1656" i="4"/>
  <c r="A1656" i="4"/>
  <c r="F1655" i="4"/>
  <c r="E1655" i="4"/>
  <c r="C1655" i="4"/>
  <c r="A1655" i="4"/>
  <c r="F1654" i="4"/>
  <c r="E1654" i="4"/>
  <c r="C1654" i="4"/>
  <c r="A1654" i="4"/>
  <c r="F1653" i="4"/>
  <c r="E1653" i="4"/>
  <c r="C1653" i="4"/>
  <c r="A1653" i="4"/>
  <c r="F1652" i="4"/>
  <c r="E1652" i="4"/>
  <c r="C1652" i="4"/>
  <c r="A1652" i="4"/>
  <c r="F1651" i="4"/>
  <c r="E1651" i="4"/>
  <c r="C1651" i="4"/>
  <c r="A1651" i="4"/>
  <c r="F1650" i="4"/>
  <c r="E1650" i="4"/>
  <c r="C1650" i="4"/>
  <c r="A1650" i="4"/>
  <c r="F1649" i="4"/>
  <c r="E1649" i="4"/>
  <c r="C1649" i="4"/>
  <c r="A1649" i="4"/>
  <c r="F1648" i="4"/>
  <c r="E1648" i="4"/>
  <c r="C1648" i="4"/>
  <c r="A1648" i="4"/>
  <c r="F1647" i="4"/>
  <c r="E1647" i="4"/>
  <c r="C1647" i="4"/>
  <c r="A1647" i="4"/>
  <c r="F1646" i="4"/>
  <c r="E1646" i="4"/>
  <c r="C1646" i="4"/>
  <c r="A1646" i="4"/>
  <c r="F1645" i="4"/>
  <c r="E1645" i="4"/>
  <c r="C1645" i="4"/>
  <c r="A1645" i="4"/>
  <c r="F1644" i="4"/>
  <c r="E1644" i="4"/>
  <c r="C1644" i="4"/>
  <c r="A1644" i="4"/>
  <c r="F1643" i="4"/>
  <c r="E1643" i="4"/>
  <c r="C1643" i="4"/>
  <c r="A1643" i="4"/>
  <c r="F1642" i="4"/>
  <c r="E1642" i="4"/>
  <c r="C1642" i="4"/>
  <c r="A1642" i="4"/>
  <c r="F1641" i="4"/>
  <c r="E1641" i="4"/>
  <c r="C1641" i="4"/>
  <c r="A1641" i="4"/>
  <c r="F1640" i="4"/>
  <c r="E1640" i="4"/>
  <c r="C1640" i="4"/>
  <c r="A1640" i="4"/>
  <c r="F1639" i="4"/>
  <c r="E1639" i="4"/>
  <c r="C1639" i="4"/>
  <c r="A1639" i="4"/>
  <c r="F1638" i="4"/>
  <c r="E1638" i="4"/>
  <c r="C1638" i="4"/>
  <c r="A1638" i="4"/>
  <c r="F1637" i="4"/>
  <c r="E1637" i="4"/>
  <c r="C1637" i="4"/>
  <c r="A1637" i="4"/>
  <c r="F1636" i="4"/>
  <c r="E1636" i="4"/>
  <c r="C1636" i="4"/>
  <c r="A1636" i="4"/>
  <c r="F1635" i="4"/>
  <c r="E1635" i="4"/>
  <c r="C1635" i="4"/>
  <c r="A1635" i="4"/>
  <c r="F1634" i="4"/>
  <c r="E1634" i="4"/>
  <c r="C1634" i="4"/>
  <c r="A1634" i="4"/>
  <c r="F1633" i="4"/>
  <c r="E1633" i="4"/>
  <c r="C1633" i="4"/>
  <c r="A1633" i="4"/>
  <c r="F1632" i="4"/>
  <c r="E1632" i="4"/>
  <c r="C1632" i="4"/>
  <c r="A1632" i="4"/>
  <c r="F1631" i="4"/>
  <c r="E1631" i="4"/>
  <c r="C1631" i="4"/>
  <c r="A1631" i="4"/>
  <c r="F1630" i="4"/>
  <c r="E1630" i="4"/>
  <c r="C1630" i="4"/>
  <c r="A1630" i="4"/>
  <c r="F1629" i="4"/>
  <c r="E1629" i="4"/>
  <c r="C1629" i="4"/>
  <c r="A1629" i="4"/>
  <c r="F1628" i="4"/>
  <c r="E1628" i="4"/>
  <c r="C1628" i="4"/>
  <c r="A1628" i="4"/>
  <c r="F1627" i="4"/>
  <c r="E1627" i="4"/>
  <c r="C1627" i="4"/>
  <c r="A1627" i="4"/>
  <c r="F1626" i="4"/>
  <c r="E1626" i="4"/>
  <c r="C1626" i="4"/>
  <c r="A1626" i="4"/>
  <c r="F1625" i="4"/>
  <c r="E1625" i="4"/>
  <c r="C1625" i="4"/>
  <c r="A1625" i="4"/>
  <c r="F1624" i="4"/>
  <c r="E1624" i="4"/>
  <c r="C1624" i="4"/>
  <c r="A1624" i="4"/>
  <c r="F1623" i="4"/>
  <c r="E1623" i="4"/>
  <c r="C1623" i="4"/>
  <c r="A1623" i="4"/>
  <c r="F1622" i="4"/>
  <c r="E1622" i="4"/>
  <c r="C1622" i="4"/>
  <c r="A1622" i="4"/>
  <c r="F1621" i="4"/>
  <c r="E1621" i="4"/>
  <c r="C1621" i="4"/>
  <c r="A1621" i="4"/>
  <c r="F1620" i="4"/>
  <c r="E1620" i="4"/>
  <c r="C1620" i="4"/>
  <c r="A1620" i="4"/>
  <c r="F1619" i="4"/>
  <c r="E1619" i="4"/>
  <c r="C1619" i="4"/>
  <c r="A1619" i="4"/>
  <c r="F1618" i="4"/>
  <c r="E1618" i="4"/>
  <c r="C1618" i="4"/>
  <c r="A1618" i="4"/>
  <c r="F1617" i="4"/>
  <c r="E1617" i="4"/>
  <c r="C1617" i="4"/>
  <c r="A1617" i="4"/>
  <c r="F1616" i="4"/>
  <c r="E1616" i="4"/>
  <c r="C1616" i="4"/>
  <c r="A1616" i="4"/>
  <c r="F1615" i="4"/>
  <c r="E1615" i="4"/>
  <c r="C1615" i="4"/>
  <c r="A1615" i="4"/>
  <c r="F1614" i="4"/>
  <c r="E1614" i="4"/>
  <c r="C1614" i="4"/>
  <c r="A1614" i="4"/>
  <c r="F1613" i="4"/>
  <c r="E1613" i="4"/>
  <c r="C1613" i="4"/>
  <c r="A1613" i="4"/>
  <c r="F1612" i="4"/>
  <c r="E1612" i="4"/>
  <c r="C1612" i="4"/>
  <c r="A1612" i="4"/>
  <c r="F1611" i="4"/>
  <c r="E1611" i="4"/>
  <c r="C1611" i="4"/>
  <c r="A1611" i="4"/>
  <c r="F1610" i="4"/>
  <c r="E1610" i="4"/>
  <c r="C1610" i="4"/>
  <c r="A1610" i="4"/>
  <c r="F1609" i="4"/>
  <c r="E1609" i="4"/>
  <c r="C1609" i="4"/>
  <c r="A1609" i="4"/>
  <c r="F1608" i="4"/>
  <c r="E1608" i="4"/>
  <c r="C1608" i="4"/>
  <c r="A1608" i="4"/>
  <c r="F1607" i="4"/>
  <c r="E1607" i="4"/>
  <c r="C1607" i="4"/>
  <c r="A1607" i="4"/>
  <c r="F1606" i="4"/>
  <c r="E1606" i="4"/>
  <c r="C1606" i="4"/>
  <c r="A1606" i="4"/>
  <c r="F1605" i="4"/>
  <c r="E1605" i="4"/>
  <c r="C1605" i="4"/>
  <c r="A1605" i="4"/>
  <c r="F1604" i="4"/>
  <c r="E1604" i="4"/>
  <c r="C1604" i="4"/>
  <c r="A1604" i="4"/>
  <c r="F1603" i="4"/>
  <c r="E1603" i="4"/>
  <c r="C1603" i="4"/>
  <c r="A1603" i="4"/>
  <c r="F1602" i="4"/>
  <c r="E1602" i="4"/>
  <c r="C1602" i="4"/>
  <c r="A1602" i="4"/>
  <c r="F1601" i="4"/>
  <c r="E1601" i="4"/>
  <c r="C1601" i="4"/>
  <c r="A1601" i="4"/>
  <c r="F1600" i="4"/>
  <c r="E1600" i="4"/>
  <c r="C1600" i="4"/>
  <c r="A1600" i="4"/>
  <c r="F1599" i="4"/>
  <c r="E1599" i="4"/>
  <c r="C1599" i="4"/>
  <c r="A1599" i="4"/>
  <c r="F1598" i="4"/>
  <c r="E1598" i="4"/>
  <c r="C1598" i="4"/>
  <c r="A1598" i="4"/>
  <c r="F1597" i="4"/>
  <c r="E1597" i="4"/>
  <c r="C1597" i="4"/>
  <c r="A1597" i="4"/>
  <c r="F1596" i="4"/>
  <c r="E1596" i="4"/>
  <c r="C1596" i="4"/>
  <c r="A1596" i="4"/>
  <c r="F1595" i="4"/>
  <c r="E1595" i="4"/>
  <c r="C1595" i="4"/>
  <c r="A1595" i="4"/>
  <c r="F1594" i="4"/>
  <c r="E1594" i="4"/>
  <c r="C1594" i="4"/>
  <c r="A1594" i="4"/>
  <c r="F1593" i="4"/>
  <c r="E1593" i="4"/>
  <c r="C1593" i="4"/>
  <c r="A1593" i="4"/>
  <c r="F1592" i="4"/>
  <c r="E1592" i="4"/>
  <c r="C1592" i="4"/>
  <c r="A1592" i="4"/>
  <c r="F1591" i="4"/>
  <c r="E1591" i="4"/>
  <c r="C1591" i="4"/>
  <c r="A1591" i="4"/>
  <c r="F1590" i="4"/>
  <c r="E1590" i="4"/>
  <c r="C1590" i="4"/>
  <c r="A1590" i="4"/>
  <c r="F1589" i="4"/>
  <c r="E1589" i="4"/>
  <c r="C1589" i="4"/>
  <c r="A1589" i="4"/>
  <c r="F1588" i="4"/>
  <c r="E1588" i="4"/>
  <c r="C1588" i="4"/>
  <c r="A1588" i="4"/>
  <c r="F1587" i="4"/>
  <c r="E1587" i="4"/>
  <c r="C1587" i="4"/>
  <c r="A1587" i="4"/>
  <c r="F1586" i="4"/>
  <c r="E1586" i="4"/>
  <c r="C1586" i="4"/>
  <c r="A1586" i="4"/>
  <c r="F1585" i="4"/>
  <c r="E1585" i="4"/>
  <c r="C1585" i="4"/>
  <c r="A1585" i="4"/>
  <c r="F1584" i="4"/>
  <c r="E1584" i="4"/>
  <c r="C1584" i="4"/>
  <c r="A1584" i="4"/>
  <c r="F1583" i="4"/>
  <c r="E1583" i="4"/>
  <c r="C1583" i="4"/>
  <c r="A1583" i="4"/>
  <c r="F1582" i="4"/>
  <c r="E1582" i="4"/>
  <c r="C1582" i="4"/>
  <c r="A1582" i="4"/>
  <c r="F1581" i="4"/>
  <c r="E1581" i="4"/>
  <c r="C1581" i="4"/>
  <c r="A1581" i="4"/>
  <c r="F1580" i="4"/>
  <c r="E1580" i="4"/>
  <c r="C1580" i="4"/>
  <c r="A1580" i="4"/>
  <c r="F1579" i="4"/>
  <c r="E1579" i="4"/>
  <c r="C1579" i="4"/>
  <c r="A1579" i="4"/>
  <c r="F1578" i="4"/>
  <c r="E1578" i="4"/>
  <c r="C1578" i="4"/>
  <c r="A1578" i="4"/>
  <c r="F1577" i="4"/>
  <c r="E1577" i="4"/>
  <c r="C1577" i="4"/>
  <c r="A1577" i="4"/>
  <c r="F1576" i="4"/>
  <c r="E1576" i="4"/>
  <c r="C1576" i="4"/>
  <c r="A1576" i="4"/>
  <c r="F1575" i="4"/>
  <c r="E1575" i="4"/>
  <c r="C1575" i="4"/>
  <c r="A1575" i="4"/>
  <c r="F1574" i="4"/>
  <c r="E1574" i="4"/>
  <c r="C1574" i="4"/>
  <c r="A1574" i="4"/>
  <c r="F1573" i="4"/>
  <c r="E1573" i="4"/>
  <c r="C1573" i="4"/>
  <c r="A1573" i="4"/>
  <c r="F1572" i="4"/>
  <c r="E1572" i="4"/>
  <c r="C1572" i="4"/>
  <c r="A1572" i="4"/>
  <c r="F1571" i="4"/>
  <c r="E1571" i="4"/>
  <c r="C1571" i="4"/>
  <c r="A1571" i="4"/>
  <c r="F1570" i="4"/>
  <c r="E1570" i="4"/>
  <c r="C1570" i="4"/>
  <c r="A1570" i="4"/>
  <c r="F1569" i="4"/>
  <c r="E1569" i="4"/>
  <c r="C1569" i="4"/>
  <c r="A1569" i="4"/>
  <c r="F1568" i="4"/>
  <c r="E1568" i="4"/>
  <c r="C1568" i="4"/>
  <c r="A1568" i="4"/>
  <c r="F1567" i="4"/>
  <c r="E1567" i="4"/>
  <c r="C1567" i="4"/>
  <c r="A1567" i="4"/>
  <c r="F1566" i="4"/>
  <c r="E1566" i="4"/>
  <c r="C1566" i="4"/>
  <c r="A1566" i="4"/>
  <c r="F1565" i="4"/>
  <c r="E1565" i="4"/>
  <c r="C1565" i="4"/>
  <c r="A1565" i="4"/>
  <c r="F1564" i="4"/>
  <c r="E1564" i="4"/>
  <c r="C1564" i="4"/>
  <c r="A1564" i="4"/>
  <c r="F1563" i="4"/>
  <c r="E1563" i="4"/>
  <c r="C1563" i="4"/>
  <c r="A1563" i="4"/>
  <c r="F1562" i="4"/>
  <c r="E1562" i="4"/>
  <c r="C1562" i="4"/>
  <c r="A1562" i="4"/>
  <c r="F1561" i="4"/>
  <c r="E1561" i="4"/>
  <c r="C1561" i="4"/>
  <c r="A1561" i="4"/>
  <c r="F1560" i="4"/>
  <c r="E1560" i="4"/>
  <c r="C1560" i="4"/>
  <c r="A1560" i="4"/>
  <c r="F1559" i="4"/>
  <c r="E1559" i="4"/>
  <c r="C1559" i="4"/>
  <c r="A1559" i="4"/>
  <c r="F1558" i="4"/>
  <c r="E1558" i="4"/>
  <c r="C1558" i="4"/>
  <c r="A1558" i="4"/>
  <c r="F1557" i="4"/>
  <c r="E1557" i="4"/>
  <c r="C1557" i="4"/>
  <c r="A1557" i="4"/>
  <c r="F1556" i="4"/>
  <c r="E1556" i="4"/>
  <c r="C1556" i="4"/>
  <c r="A1556" i="4"/>
  <c r="F1555" i="4"/>
  <c r="E1555" i="4"/>
  <c r="C1555" i="4"/>
  <c r="A1555" i="4"/>
  <c r="F1554" i="4"/>
  <c r="E1554" i="4"/>
  <c r="C1554" i="4"/>
  <c r="A1554" i="4"/>
  <c r="F1553" i="4"/>
  <c r="E1553" i="4"/>
  <c r="C1553" i="4"/>
  <c r="A1553" i="4"/>
  <c r="F1552" i="4"/>
  <c r="E1552" i="4"/>
  <c r="C1552" i="4"/>
  <c r="A1552" i="4"/>
  <c r="F1551" i="4"/>
  <c r="E1551" i="4"/>
  <c r="C1551" i="4"/>
  <c r="A1551" i="4"/>
  <c r="F1550" i="4"/>
  <c r="E1550" i="4"/>
  <c r="C1550" i="4"/>
  <c r="A1550" i="4"/>
  <c r="B1549" i="4"/>
  <c r="E1549" i="4" s="1"/>
  <c r="B1548" i="4"/>
  <c r="C1548" i="4" s="1"/>
  <c r="B1547" i="4"/>
  <c r="B1546" i="4"/>
  <c r="B1545" i="4"/>
  <c r="B1544" i="4"/>
  <c r="C1544" i="4" s="1"/>
  <c r="B1543" i="4"/>
  <c r="E1543" i="4" s="1"/>
  <c r="B1542" i="4"/>
  <c r="E1542" i="4" s="1"/>
  <c r="B1541" i="4"/>
  <c r="F1541" i="4" s="1"/>
  <c r="B1540" i="4"/>
  <c r="C1540" i="4" s="1"/>
  <c r="B1539" i="4"/>
  <c r="E1539" i="4" s="1"/>
  <c r="B1538" i="4"/>
  <c r="F1538" i="4" s="1"/>
  <c r="B1537" i="4"/>
  <c r="F1537" i="4" s="1"/>
  <c r="B1536" i="4"/>
  <c r="F1536" i="4" s="1"/>
  <c r="B1535" i="4"/>
  <c r="F1535" i="4" s="1"/>
  <c r="B1534" i="4"/>
  <c r="C1534" i="4" s="1"/>
  <c r="B1533" i="4"/>
  <c r="E1533" i="4" s="1"/>
  <c r="B1532" i="4"/>
  <c r="C1532" i="4" s="1"/>
  <c r="B1531" i="4"/>
  <c r="B1530" i="4"/>
  <c r="E1530" i="4" s="1"/>
  <c r="B1529" i="4"/>
  <c r="B1528" i="4"/>
  <c r="C1528" i="4" s="1"/>
  <c r="B1527" i="4"/>
  <c r="E1527" i="4" s="1"/>
  <c r="B1526" i="4"/>
  <c r="E1526" i="4" s="1"/>
  <c r="B1525" i="4"/>
  <c r="E1525" i="4" s="1"/>
  <c r="B1524" i="4"/>
  <c r="C1524" i="4" s="1"/>
  <c r="B1523" i="4"/>
  <c r="E1523" i="4" s="1"/>
  <c r="B1522" i="4"/>
  <c r="F1522" i="4" s="1"/>
  <c r="B1521" i="4"/>
  <c r="F1521" i="4" s="1"/>
  <c r="B1520" i="4"/>
  <c r="F1520" i="4" s="1"/>
  <c r="B1519" i="4"/>
  <c r="F1519" i="4" s="1"/>
  <c r="B1518" i="4"/>
  <c r="C1518" i="4" s="1"/>
  <c r="B1517" i="4"/>
  <c r="E1517" i="4" s="1"/>
  <c r="B1516" i="4"/>
  <c r="C1516" i="4" s="1"/>
  <c r="B1515" i="4"/>
  <c r="B1514" i="4"/>
  <c r="B1513" i="4"/>
  <c r="B1512" i="4"/>
  <c r="C1512" i="4" s="1"/>
  <c r="B1511" i="4"/>
  <c r="E1511" i="4" s="1"/>
  <c r="B1510" i="4"/>
  <c r="E1510" i="4" s="1"/>
  <c r="B1509" i="4"/>
  <c r="F1509" i="4" s="1"/>
  <c r="B1508" i="4"/>
  <c r="C1508" i="4" s="1"/>
  <c r="B1507" i="4"/>
  <c r="E1507" i="4" s="1"/>
  <c r="B1506" i="4"/>
  <c r="E1506" i="4" s="1"/>
  <c r="B1505" i="4"/>
  <c r="F1505" i="4" s="1"/>
  <c r="B1504" i="4"/>
  <c r="F1504" i="4" s="1"/>
  <c r="B1503" i="4"/>
  <c r="F1503" i="4" s="1"/>
  <c r="B1502" i="4"/>
  <c r="B1501" i="4"/>
  <c r="E1501" i="4" s="1"/>
  <c r="B1500" i="4"/>
  <c r="B1499" i="4"/>
  <c r="B1498" i="4"/>
  <c r="E1498" i="4" s="1"/>
  <c r="B1497" i="4"/>
  <c r="B1496" i="4"/>
  <c r="C1496" i="4" s="1"/>
  <c r="B1495" i="4"/>
  <c r="E1495" i="4" s="1"/>
  <c r="B1494" i="4"/>
  <c r="E1494" i="4" s="1"/>
  <c r="B1493" i="4"/>
  <c r="F1493" i="4" s="1"/>
  <c r="B1492" i="4"/>
  <c r="C1492" i="4" s="1"/>
  <c r="B1491" i="4"/>
  <c r="C1491" i="4" s="1"/>
  <c r="B1490" i="4"/>
  <c r="C1490" i="4" s="1"/>
  <c r="B1489" i="4"/>
  <c r="F1489" i="4" s="1"/>
  <c r="B1488" i="4"/>
  <c r="E1488" i="4" s="1"/>
  <c r="B1487" i="4"/>
  <c r="F1487" i="4" s="1"/>
  <c r="B1486" i="4"/>
  <c r="C1486" i="4" s="1"/>
  <c r="B1485" i="4"/>
  <c r="E1485" i="4" s="1"/>
  <c r="B1484" i="4"/>
  <c r="B1483" i="4"/>
  <c r="B1482" i="4"/>
  <c r="B1481" i="4"/>
  <c r="B1480" i="4"/>
  <c r="C1480" i="4" s="1"/>
  <c r="B1479" i="4"/>
  <c r="E1479" i="4" s="1"/>
  <c r="B1478" i="4"/>
  <c r="E1478" i="4" s="1"/>
  <c r="B1477" i="4"/>
  <c r="F1477" i="4" s="1"/>
  <c r="B1476" i="4"/>
  <c r="C1476" i="4" s="1"/>
  <c r="B1475" i="4"/>
  <c r="C1475" i="4" s="1"/>
  <c r="B1474" i="4"/>
  <c r="F1474" i="4" s="1"/>
  <c r="B1473" i="4"/>
  <c r="F1473" i="4" s="1"/>
  <c r="B1472" i="4"/>
  <c r="C1472" i="4" s="1"/>
  <c r="B1471" i="4"/>
  <c r="F1471" i="4" s="1"/>
  <c r="B1470" i="4"/>
  <c r="C1470" i="4" s="1"/>
  <c r="B1469" i="4"/>
  <c r="E1469" i="4" s="1"/>
  <c r="B1468" i="4"/>
  <c r="B1467" i="4"/>
  <c r="B1466" i="4"/>
  <c r="B1465" i="4"/>
  <c r="B1464" i="4"/>
  <c r="C1464" i="4" s="1"/>
  <c r="B1463" i="4"/>
  <c r="E1463" i="4" s="1"/>
  <c r="B1462" i="4"/>
  <c r="E1462" i="4" s="1"/>
  <c r="B1461" i="4"/>
  <c r="E1461" i="4" s="1"/>
  <c r="B1460" i="4"/>
  <c r="B1459" i="4"/>
  <c r="C1459" i="4" s="1"/>
  <c r="B1458" i="4"/>
  <c r="E1458" i="4" s="1"/>
  <c r="B1457" i="4"/>
  <c r="F1457" i="4" s="1"/>
  <c r="B1456" i="4"/>
  <c r="F1456" i="4" s="1"/>
  <c r="B1455" i="4"/>
  <c r="F1455" i="4" s="1"/>
  <c r="B1454" i="4"/>
  <c r="B1453" i="4"/>
  <c r="E1453" i="4" s="1"/>
  <c r="F1452" i="4"/>
  <c r="E1452" i="4"/>
  <c r="C1452" i="4"/>
  <c r="A1452" i="4"/>
  <c r="F1451" i="4"/>
  <c r="E1451" i="4"/>
  <c r="C1451" i="4"/>
  <c r="A1451" i="4"/>
  <c r="F1450" i="4"/>
  <c r="E1450" i="4"/>
  <c r="C1450" i="4"/>
  <c r="A1450" i="4"/>
  <c r="F1449" i="4"/>
  <c r="E1449" i="4"/>
  <c r="C1449" i="4"/>
  <c r="A1449" i="4"/>
  <c r="F1448" i="4"/>
  <c r="E1448" i="4"/>
  <c r="C1448" i="4"/>
  <c r="A1448" i="4"/>
  <c r="F1447" i="4"/>
  <c r="E1447" i="4"/>
  <c r="C1447" i="4"/>
  <c r="A1447" i="4"/>
  <c r="F1446" i="4"/>
  <c r="E1446" i="4"/>
  <c r="C1446" i="4"/>
  <c r="A1446" i="4"/>
  <c r="F1445" i="4"/>
  <c r="E1445" i="4"/>
  <c r="C1445" i="4"/>
  <c r="A1445" i="4"/>
  <c r="F1444" i="4"/>
  <c r="E1444" i="4"/>
  <c r="C1444" i="4"/>
  <c r="A1444" i="4"/>
  <c r="F1443" i="4"/>
  <c r="E1443" i="4"/>
  <c r="C1443" i="4"/>
  <c r="A1443" i="4"/>
  <c r="F1442" i="4"/>
  <c r="E1442" i="4"/>
  <c r="C1442" i="4"/>
  <c r="A1442" i="4"/>
  <c r="F1441" i="4"/>
  <c r="E1441" i="4"/>
  <c r="C1441" i="4"/>
  <c r="A1441" i="4"/>
  <c r="F1440" i="4"/>
  <c r="E1440" i="4"/>
  <c r="C1440" i="4"/>
  <c r="A1440" i="4"/>
  <c r="F1439" i="4"/>
  <c r="E1439" i="4"/>
  <c r="C1439" i="4"/>
  <c r="A1439" i="4"/>
  <c r="F1438" i="4"/>
  <c r="E1438" i="4"/>
  <c r="C1438" i="4"/>
  <c r="A1438" i="4"/>
  <c r="F1437" i="4"/>
  <c r="E1437" i="4"/>
  <c r="C1437" i="4"/>
  <c r="A1437" i="4"/>
  <c r="F1436" i="4"/>
  <c r="E1436" i="4"/>
  <c r="C1436" i="4"/>
  <c r="A1436" i="4"/>
  <c r="F1435" i="4"/>
  <c r="E1435" i="4"/>
  <c r="C1435" i="4"/>
  <c r="A1435" i="4"/>
  <c r="F1434" i="4"/>
  <c r="E1434" i="4"/>
  <c r="C1434" i="4"/>
  <c r="A1434" i="4"/>
  <c r="F1433" i="4"/>
  <c r="E1433" i="4"/>
  <c r="C1433" i="4"/>
  <c r="A1433" i="4"/>
  <c r="F1432" i="4"/>
  <c r="E1432" i="4"/>
  <c r="C1432" i="4"/>
  <c r="A1432" i="4"/>
  <c r="F1431" i="4"/>
  <c r="E1431" i="4"/>
  <c r="C1431" i="4"/>
  <c r="A1431" i="4"/>
  <c r="F1430" i="4"/>
  <c r="E1430" i="4"/>
  <c r="C1430" i="4"/>
  <c r="A1430" i="4"/>
  <c r="F1429" i="4"/>
  <c r="E1429" i="4"/>
  <c r="C1429" i="4"/>
  <c r="A1429" i="4"/>
  <c r="F1428" i="4"/>
  <c r="E1428" i="4"/>
  <c r="C1428" i="4"/>
  <c r="A1428" i="4"/>
  <c r="F1427" i="4"/>
  <c r="E1427" i="4"/>
  <c r="C1427" i="4"/>
  <c r="A1427" i="4"/>
  <c r="F1426" i="4"/>
  <c r="E1426" i="4"/>
  <c r="C1426" i="4"/>
  <c r="A1426" i="4"/>
  <c r="F1425" i="4"/>
  <c r="E1425" i="4"/>
  <c r="C1425" i="4"/>
  <c r="A1425" i="4"/>
  <c r="F1424" i="4"/>
  <c r="E1424" i="4"/>
  <c r="C1424" i="4"/>
  <c r="A1424" i="4"/>
  <c r="F1423" i="4"/>
  <c r="E1423" i="4"/>
  <c r="C1423" i="4"/>
  <c r="A1423" i="4"/>
  <c r="F1422" i="4"/>
  <c r="E1422" i="4"/>
  <c r="C1422" i="4"/>
  <c r="A1422" i="4"/>
  <c r="F1421" i="4"/>
  <c r="E1421" i="4"/>
  <c r="C1421" i="4"/>
  <c r="A1421" i="4"/>
  <c r="F1420" i="4"/>
  <c r="E1420" i="4"/>
  <c r="C1420" i="4"/>
  <c r="A1420" i="4"/>
  <c r="F1419" i="4"/>
  <c r="E1419" i="4"/>
  <c r="C1419" i="4"/>
  <c r="A1419" i="4"/>
  <c r="F1418" i="4"/>
  <c r="E1418" i="4"/>
  <c r="C1418" i="4"/>
  <c r="A1418" i="4"/>
  <c r="F1417" i="4"/>
  <c r="E1417" i="4"/>
  <c r="C1417" i="4"/>
  <c r="A1417" i="4"/>
  <c r="F1416" i="4"/>
  <c r="E1416" i="4"/>
  <c r="C1416" i="4"/>
  <c r="A1416" i="4"/>
  <c r="F1415" i="4"/>
  <c r="E1415" i="4"/>
  <c r="C1415" i="4"/>
  <c r="A1415" i="4"/>
  <c r="F1414" i="4"/>
  <c r="E1414" i="4"/>
  <c r="C1414" i="4"/>
  <c r="A1414" i="4"/>
  <c r="F1413" i="4"/>
  <c r="E1413" i="4"/>
  <c r="C1413" i="4"/>
  <c r="A1413" i="4"/>
  <c r="F1412" i="4"/>
  <c r="E1412" i="4"/>
  <c r="C1412" i="4"/>
  <c r="A1412" i="4"/>
  <c r="F1411" i="4"/>
  <c r="E1411" i="4"/>
  <c r="C1411" i="4"/>
  <c r="A1411" i="4"/>
  <c r="F1410" i="4"/>
  <c r="E1410" i="4"/>
  <c r="C1410" i="4"/>
  <c r="A1410" i="4"/>
  <c r="F1409" i="4"/>
  <c r="E1409" i="4"/>
  <c r="C1409" i="4"/>
  <c r="A1409" i="4"/>
  <c r="F1408" i="4"/>
  <c r="E1408" i="4"/>
  <c r="C1408" i="4"/>
  <c r="A1408" i="4"/>
  <c r="F1407" i="4"/>
  <c r="E1407" i="4"/>
  <c r="C1407" i="4"/>
  <c r="A1407" i="4"/>
  <c r="F1406" i="4"/>
  <c r="E1406" i="4"/>
  <c r="C1406" i="4"/>
  <c r="A1406" i="4"/>
  <c r="F1405" i="4"/>
  <c r="E1405" i="4"/>
  <c r="C1405" i="4"/>
  <c r="A1405" i="4"/>
  <c r="F1404" i="4"/>
  <c r="E1404" i="4"/>
  <c r="C1404" i="4"/>
  <c r="A1404" i="4"/>
  <c r="F1403" i="4"/>
  <c r="E1403" i="4"/>
  <c r="C1403" i="4"/>
  <c r="A1403" i="4"/>
  <c r="F1402" i="4"/>
  <c r="E1402" i="4"/>
  <c r="C1402" i="4"/>
  <c r="A1402" i="4"/>
  <c r="F1401" i="4"/>
  <c r="E1401" i="4"/>
  <c r="C1401" i="4"/>
  <c r="A1401" i="4"/>
  <c r="F1400" i="4"/>
  <c r="E1400" i="4"/>
  <c r="C1400" i="4"/>
  <c r="A1400" i="4"/>
  <c r="F1399" i="4"/>
  <c r="E1399" i="4"/>
  <c r="C1399" i="4"/>
  <c r="A1399" i="4"/>
  <c r="F1398" i="4"/>
  <c r="E1398" i="4"/>
  <c r="C1398" i="4"/>
  <c r="A1398" i="4"/>
  <c r="F1397" i="4"/>
  <c r="E1397" i="4"/>
  <c r="C1397" i="4"/>
  <c r="A1397" i="4"/>
  <c r="F1396" i="4"/>
  <c r="E1396" i="4"/>
  <c r="C1396" i="4"/>
  <c r="A1396" i="4"/>
  <c r="F1395" i="4"/>
  <c r="E1395" i="4"/>
  <c r="C1395" i="4"/>
  <c r="A1395" i="4"/>
  <c r="F1394" i="4"/>
  <c r="E1394" i="4"/>
  <c r="C1394" i="4"/>
  <c r="A1394" i="4"/>
  <c r="F1393" i="4"/>
  <c r="E1393" i="4"/>
  <c r="C1393" i="4"/>
  <c r="A1393" i="4"/>
  <c r="F1392" i="4"/>
  <c r="E1392" i="4"/>
  <c r="C1392" i="4"/>
  <c r="A1392" i="4"/>
  <c r="F1391" i="4"/>
  <c r="E1391" i="4"/>
  <c r="C1391" i="4"/>
  <c r="A1391" i="4"/>
  <c r="F1390" i="4"/>
  <c r="E1390" i="4"/>
  <c r="C1390" i="4"/>
  <c r="A1390" i="4"/>
  <c r="F1389" i="4"/>
  <c r="E1389" i="4"/>
  <c r="C1389" i="4"/>
  <c r="A1389" i="4"/>
  <c r="F1388" i="4"/>
  <c r="E1388" i="4"/>
  <c r="C1388" i="4"/>
  <c r="A1388" i="4"/>
  <c r="F1387" i="4"/>
  <c r="E1387" i="4"/>
  <c r="C1387" i="4"/>
  <c r="A1387" i="4"/>
  <c r="F1386" i="4"/>
  <c r="E1386" i="4"/>
  <c r="C1386" i="4"/>
  <c r="A1386" i="4"/>
  <c r="F1385" i="4"/>
  <c r="E1385" i="4"/>
  <c r="C1385" i="4"/>
  <c r="A1385" i="4"/>
  <c r="F1384" i="4"/>
  <c r="E1384" i="4"/>
  <c r="C1384" i="4"/>
  <c r="A1384" i="4"/>
  <c r="F1383" i="4"/>
  <c r="E1383" i="4"/>
  <c r="C1383" i="4"/>
  <c r="A1383" i="4"/>
  <c r="F1382" i="4"/>
  <c r="E1382" i="4"/>
  <c r="C1382" i="4"/>
  <c r="A1382" i="4"/>
  <c r="F1381" i="4"/>
  <c r="E1381" i="4"/>
  <c r="C1381" i="4"/>
  <c r="A1381" i="4"/>
  <c r="F1380" i="4"/>
  <c r="E1380" i="4"/>
  <c r="C1380" i="4"/>
  <c r="A1380" i="4"/>
  <c r="F1379" i="4"/>
  <c r="E1379" i="4"/>
  <c r="C1379" i="4"/>
  <c r="A1379" i="4"/>
  <c r="F1378" i="4"/>
  <c r="E1378" i="4"/>
  <c r="C1378" i="4"/>
  <c r="A1378" i="4"/>
  <c r="F1377" i="4"/>
  <c r="E1377" i="4"/>
  <c r="C1377" i="4"/>
  <c r="A1377" i="4"/>
  <c r="F1376" i="4"/>
  <c r="E1376" i="4"/>
  <c r="C1376" i="4"/>
  <c r="A1376" i="4"/>
  <c r="F1375" i="4"/>
  <c r="E1375" i="4"/>
  <c r="C1375" i="4"/>
  <c r="A1375" i="4"/>
  <c r="F1374" i="4"/>
  <c r="E1374" i="4"/>
  <c r="C1374" i="4"/>
  <c r="A1374" i="4"/>
  <c r="F1373" i="4"/>
  <c r="E1373" i="4"/>
  <c r="C1373" i="4"/>
  <c r="A1373" i="4"/>
  <c r="F1372" i="4"/>
  <c r="E1372" i="4"/>
  <c r="C1372" i="4"/>
  <c r="A1372" i="4"/>
  <c r="F1371" i="4"/>
  <c r="E1371" i="4"/>
  <c r="C1371" i="4"/>
  <c r="A1371" i="4"/>
  <c r="F1370" i="4"/>
  <c r="E1370" i="4"/>
  <c r="C1370" i="4"/>
  <c r="A1370" i="4"/>
  <c r="F1369" i="4"/>
  <c r="E1369" i="4"/>
  <c r="C1369" i="4"/>
  <c r="A1369" i="4"/>
  <c r="F1368" i="4"/>
  <c r="E1368" i="4"/>
  <c r="C1368" i="4"/>
  <c r="A1368" i="4"/>
  <c r="F1367" i="4"/>
  <c r="E1367" i="4"/>
  <c r="C1367" i="4"/>
  <c r="A1367" i="4"/>
  <c r="F1366" i="4"/>
  <c r="E1366" i="4"/>
  <c r="C1366" i="4"/>
  <c r="A1366" i="4"/>
  <c r="F1365" i="4"/>
  <c r="E1365" i="4"/>
  <c r="C1365" i="4"/>
  <c r="A1365" i="4"/>
  <c r="F1364" i="4"/>
  <c r="E1364" i="4"/>
  <c r="C1364" i="4"/>
  <c r="A1364" i="4"/>
  <c r="F1363" i="4"/>
  <c r="E1363" i="4"/>
  <c r="C1363" i="4"/>
  <c r="A1363" i="4"/>
  <c r="F1362" i="4"/>
  <c r="E1362" i="4"/>
  <c r="C1362" i="4"/>
  <c r="A1362" i="4"/>
  <c r="F1361" i="4"/>
  <c r="E1361" i="4"/>
  <c r="C1361" i="4"/>
  <c r="A1361" i="4"/>
  <c r="F1360" i="4"/>
  <c r="E1360" i="4"/>
  <c r="C1360" i="4"/>
  <c r="A1360" i="4"/>
  <c r="F1359" i="4"/>
  <c r="E1359" i="4"/>
  <c r="C1359" i="4"/>
  <c r="A1359" i="4"/>
  <c r="F1358" i="4"/>
  <c r="E1358" i="4"/>
  <c r="C1358" i="4"/>
  <c r="A1358" i="4"/>
  <c r="F1357" i="4"/>
  <c r="E1357" i="4"/>
  <c r="C1357" i="4"/>
  <c r="A1357" i="4"/>
  <c r="F1356" i="4"/>
  <c r="E1356" i="4"/>
  <c r="C1356" i="4"/>
  <c r="A1356" i="4"/>
  <c r="F1355" i="4"/>
  <c r="E1355" i="4"/>
  <c r="C1355" i="4"/>
  <c r="A1355" i="4"/>
  <c r="F1354" i="4"/>
  <c r="E1354" i="4"/>
  <c r="C1354" i="4"/>
  <c r="A1354" i="4"/>
  <c r="F1353" i="4"/>
  <c r="E1353" i="4"/>
  <c r="C1353" i="4"/>
  <c r="A1353" i="4"/>
  <c r="F1352" i="4"/>
  <c r="E1352" i="4"/>
  <c r="C1352" i="4"/>
  <c r="A1352" i="4"/>
  <c r="F1351" i="4"/>
  <c r="E1351" i="4"/>
  <c r="C1351" i="4"/>
  <c r="A1351" i="4"/>
  <c r="F1350" i="4"/>
  <c r="E1350" i="4"/>
  <c r="C1350" i="4"/>
  <c r="A1350" i="4"/>
  <c r="F1349" i="4"/>
  <c r="E1349" i="4"/>
  <c r="C1349" i="4"/>
  <c r="A1349" i="4"/>
  <c r="F1348" i="4"/>
  <c r="E1348" i="4"/>
  <c r="C1348" i="4"/>
  <c r="A1348" i="4"/>
  <c r="F1347" i="4"/>
  <c r="E1347" i="4"/>
  <c r="C1347" i="4"/>
  <c r="A1347" i="4"/>
  <c r="F1346" i="4"/>
  <c r="E1346" i="4"/>
  <c r="C1346" i="4"/>
  <c r="A1346" i="4"/>
  <c r="F1345" i="4"/>
  <c r="E1345" i="4"/>
  <c r="C1345" i="4"/>
  <c r="A1345" i="4"/>
  <c r="F1344" i="4"/>
  <c r="E1344" i="4"/>
  <c r="C1344" i="4"/>
  <c r="A1344" i="4"/>
  <c r="F1343" i="4"/>
  <c r="E1343" i="4"/>
  <c r="C1343" i="4"/>
  <c r="A1343" i="4"/>
  <c r="F1342" i="4"/>
  <c r="E1342" i="4"/>
  <c r="C1342" i="4"/>
  <c r="A1342" i="4"/>
  <c r="F1341" i="4"/>
  <c r="E1341" i="4"/>
  <c r="C1341" i="4"/>
  <c r="A1341" i="4"/>
  <c r="F1340" i="4"/>
  <c r="E1340" i="4"/>
  <c r="C1340" i="4"/>
  <c r="A1340" i="4"/>
  <c r="F1339" i="4"/>
  <c r="E1339" i="4"/>
  <c r="C1339" i="4"/>
  <c r="A1339" i="4"/>
  <c r="F1338" i="4"/>
  <c r="E1338" i="4"/>
  <c r="C1338" i="4"/>
  <c r="A1338" i="4"/>
  <c r="F1337" i="4"/>
  <c r="E1337" i="4"/>
  <c r="C1337" i="4"/>
  <c r="A1337" i="4"/>
  <c r="F1336" i="4"/>
  <c r="E1336" i="4"/>
  <c r="C1336" i="4"/>
  <c r="A1336" i="4"/>
  <c r="F1335" i="4"/>
  <c r="E1335" i="4"/>
  <c r="C1335" i="4"/>
  <c r="A1335" i="4"/>
  <c r="F1334" i="4"/>
  <c r="E1334" i="4"/>
  <c r="C1334" i="4"/>
  <c r="A1334" i="4"/>
  <c r="F1333" i="4"/>
  <c r="E1333" i="4"/>
  <c r="C1333" i="4"/>
  <c r="A1333" i="4"/>
  <c r="F1332" i="4"/>
  <c r="E1332" i="4"/>
  <c r="C1332" i="4"/>
  <c r="A1332" i="4"/>
  <c r="F1331" i="4"/>
  <c r="E1331" i="4"/>
  <c r="C1331" i="4"/>
  <c r="A1331" i="4"/>
  <c r="F1330" i="4"/>
  <c r="E1330" i="4"/>
  <c r="C1330" i="4"/>
  <c r="A1330" i="4"/>
  <c r="F1329" i="4"/>
  <c r="E1329" i="4"/>
  <c r="C1329" i="4"/>
  <c r="A1329" i="4"/>
  <c r="F1328" i="4"/>
  <c r="E1328" i="4"/>
  <c r="C1328" i="4"/>
  <c r="A1328" i="4"/>
  <c r="F1327" i="4"/>
  <c r="E1327" i="4"/>
  <c r="C1327" i="4"/>
  <c r="A1327" i="4"/>
  <c r="F1326" i="4"/>
  <c r="E1326" i="4"/>
  <c r="C1326" i="4"/>
  <c r="A1326" i="4"/>
  <c r="F1325" i="4"/>
  <c r="E1325" i="4"/>
  <c r="C1325" i="4"/>
  <c r="A1325" i="4"/>
  <c r="F1324" i="4"/>
  <c r="E1324" i="4"/>
  <c r="C1324" i="4"/>
  <c r="A1324" i="4"/>
  <c r="F1323" i="4"/>
  <c r="E1323" i="4"/>
  <c r="C1323" i="4"/>
  <c r="A1323" i="4"/>
  <c r="F1322" i="4"/>
  <c r="E1322" i="4"/>
  <c r="C1322" i="4"/>
  <c r="A1322" i="4"/>
  <c r="F1321" i="4"/>
  <c r="E1321" i="4"/>
  <c r="C1321" i="4"/>
  <c r="A1321" i="4"/>
  <c r="F1320" i="4"/>
  <c r="E1320" i="4"/>
  <c r="C1320" i="4"/>
  <c r="A1320" i="4"/>
  <c r="F1319" i="4"/>
  <c r="E1319" i="4"/>
  <c r="C1319" i="4"/>
  <c r="A1319" i="4"/>
  <c r="F1318" i="4"/>
  <c r="E1318" i="4"/>
  <c r="C1318" i="4"/>
  <c r="A1318" i="4"/>
  <c r="F1317" i="4"/>
  <c r="E1317" i="4"/>
  <c r="C1317" i="4"/>
  <c r="A1317" i="4"/>
  <c r="F1316" i="4"/>
  <c r="E1316" i="4"/>
  <c r="C1316" i="4"/>
  <c r="A1316" i="4"/>
  <c r="F1315" i="4"/>
  <c r="E1315" i="4"/>
  <c r="C1315" i="4"/>
  <c r="A1315" i="4"/>
  <c r="F1314" i="4"/>
  <c r="E1314" i="4"/>
  <c r="C1314" i="4"/>
  <c r="A1314" i="4"/>
  <c r="F1313" i="4"/>
  <c r="E1313" i="4"/>
  <c r="C1313" i="4"/>
  <c r="A1313" i="4"/>
  <c r="F1312" i="4"/>
  <c r="E1312" i="4"/>
  <c r="C1312" i="4"/>
  <c r="A1312" i="4"/>
  <c r="F1311" i="4"/>
  <c r="E1311" i="4"/>
  <c r="C1311" i="4"/>
  <c r="A1311" i="4"/>
  <c r="F1310" i="4"/>
  <c r="E1310" i="4"/>
  <c r="C1310" i="4"/>
  <c r="A1310" i="4"/>
  <c r="F1309" i="4"/>
  <c r="E1309" i="4"/>
  <c r="C1309" i="4"/>
  <c r="A1309" i="4"/>
  <c r="F1308" i="4"/>
  <c r="E1308" i="4"/>
  <c r="C1308" i="4"/>
  <c r="A1308" i="4"/>
  <c r="F1307" i="4"/>
  <c r="E1307" i="4"/>
  <c r="C1307" i="4"/>
  <c r="A1307" i="4"/>
  <c r="F1306" i="4"/>
  <c r="E1306" i="4"/>
  <c r="C1306" i="4"/>
  <c r="A1306" i="4"/>
  <c r="F1305" i="4"/>
  <c r="E1305" i="4"/>
  <c r="C1305" i="4"/>
  <c r="A1305" i="4"/>
  <c r="F1304" i="4"/>
  <c r="E1304" i="4"/>
  <c r="C1304" i="4"/>
  <c r="A1304" i="4"/>
  <c r="F1303" i="4"/>
  <c r="E1303" i="4"/>
  <c r="C1303" i="4"/>
  <c r="A1303" i="4"/>
  <c r="F1302" i="4"/>
  <c r="E1302" i="4"/>
  <c r="C1302" i="4"/>
  <c r="A1302" i="4"/>
  <c r="F1301" i="4"/>
  <c r="E1301" i="4"/>
  <c r="C1301" i="4"/>
  <c r="A1301" i="4"/>
  <c r="F1300" i="4"/>
  <c r="E1300" i="4"/>
  <c r="C1300" i="4"/>
  <c r="A1300" i="4"/>
  <c r="F1299" i="4"/>
  <c r="E1299" i="4"/>
  <c r="C1299" i="4"/>
  <c r="A1299" i="4"/>
  <c r="F1298" i="4"/>
  <c r="E1298" i="4"/>
  <c r="C1298" i="4"/>
  <c r="A1298" i="4"/>
  <c r="F1297" i="4"/>
  <c r="E1297" i="4"/>
  <c r="C1297" i="4"/>
  <c r="A1297" i="4"/>
  <c r="F1296" i="4"/>
  <c r="E1296" i="4"/>
  <c r="C1296" i="4"/>
  <c r="A1296" i="4"/>
  <c r="F1295" i="4"/>
  <c r="E1295" i="4"/>
  <c r="C1295" i="4"/>
  <c r="A1295" i="4"/>
  <c r="F1294" i="4"/>
  <c r="E1294" i="4"/>
  <c r="C1294" i="4"/>
  <c r="A1294" i="4"/>
  <c r="F1293" i="4"/>
  <c r="E1293" i="4"/>
  <c r="C1293" i="4"/>
  <c r="A1293" i="4"/>
  <c r="F1292" i="4"/>
  <c r="E1292" i="4"/>
  <c r="C1292" i="4"/>
  <c r="A1292" i="4"/>
  <c r="F1291" i="4"/>
  <c r="E1291" i="4"/>
  <c r="C1291" i="4"/>
  <c r="A1291" i="4"/>
  <c r="F1290" i="4"/>
  <c r="E1290" i="4"/>
  <c r="C1290" i="4"/>
  <c r="A1290" i="4"/>
  <c r="F1289" i="4"/>
  <c r="E1289" i="4"/>
  <c r="C1289" i="4"/>
  <c r="A1289" i="4"/>
  <c r="F1288" i="4"/>
  <c r="E1288" i="4"/>
  <c r="C1288" i="4"/>
  <c r="A1288" i="4"/>
  <c r="F1287" i="4"/>
  <c r="E1287" i="4"/>
  <c r="C1287" i="4"/>
  <c r="A1287" i="4"/>
  <c r="F1286" i="4"/>
  <c r="E1286" i="4"/>
  <c r="C1286" i="4"/>
  <c r="A1286" i="4"/>
  <c r="F1285" i="4"/>
  <c r="E1285" i="4"/>
  <c r="C1285" i="4"/>
  <c r="A1285" i="4"/>
  <c r="F1284" i="4"/>
  <c r="E1284" i="4"/>
  <c r="C1284" i="4"/>
  <c r="A1284" i="4"/>
  <c r="F1283" i="4"/>
  <c r="E1283" i="4"/>
  <c r="C1283" i="4"/>
  <c r="A1283" i="4"/>
  <c r="F1282" i="4"/>
  <c r="E1282" i="4"/>
  <c r="C1282" i="4"/>
  <c r="A1282" i="4"/>
  <c r="F1281" i="4"/>
  <c r="E1281" i="4"/>
  <c r="C1281" i="4"/>
  <c r="A1281" i="4"/>
  <c r="F1280" i="4"/>
  <c r="E1280" i="4"/>
  <c r="C1280" i="4"/>
  <c r="A1280" i="4"/>
  <c r="F1279" i="4"/>
  <c r="E1279" i="4"/>
  <c r="C1279" i="4"/>
  <c r="A1279" i="4"/>
  <c r="F1278" i="4"/>
  <c r="E1278" i="4"/>
  <c r="C1278" i="4"/>
  <c r="A1278" i="4"/>
  <c r="F1277" i="4"/>
  <c r="E1277" i="4"/>
  <c r="C1277" i="4"/>
  <c r="A1277" i="4"/>
  <c r="F1276" i="4"/>
  <c r="E1276" i="4"/>
  <c r="C1276" i="4"/>
  <c r="A1276" i="4"/>
  <c r="F1275" i="4"/>
  <c r="E1275" i="4"/>
  <c r="C1275" i="4"/>
  <c r="A1275" i="4"/>
  <c r="F1274" i="4"/>
  <c r="E1274" i="4"/>
  <c r="C1274" i="4"/>
  <c r="A1274" i="4"/>
  <c r="F1273" i="4"/>
  <c r="E1273" i="4"/>
  <c r="C1273" i="4"/>
  <c r="A1273" i="4"/>
  <c r="F1272" i="4"/>
  <c r="E1272" i="4"/>
  <c r="C1272" i="4"/>
  <c r="A1272" i="4"/>
  <c r="F1271" i="4"/>
  <c r="E1271" i="4"/>
  <c r="C1271" i="4"/>
  <c r="A1271" i="4"/>
  <c r="F1270" i="4"/>
  <c r="E1270" i="4"/>
  <c r="C1270" i="4"/>
  <c r="A1270" i="4"/>
  <c r="F1269" i="4"/>
  <c r="E1269" i="4"/>
  <c r="C1269" i="4"/>
  <c r="A1269" i="4"/>
  <c r="F1268" i="4"/>
  <c r="E1268" i="4"/>
  <c r="C1268" i="4"/>
  <c r="A1268" i="4"/>
  <c r="F1267" i="4"/>
  <c r="E1267" i="4"/>
  <c r="C1267" i="4"/>
  <c r="A1267" i="4"/>
  <c r="F1266" i="4"/>
  <c r="E1266" i="4"/>
  <c r="C1266" i="4"/>
  <c r="A1266" i="4"/>
  <c r="F1265" i="4"/>
  <c r="E1265" i="4"/>
  <c r="C1265" i="4"/>
  <c r="A1265" i="4"/>
  <c r="F1264" i="4"/>
  <c r="E1264" i="4"/>
  <c r="C1264" i="4"/>
  <c r="A1264" i="4"/>
  <c r="F1263" i="4"/>
  <c r="E1263" i="4"/>
  <c r="C1263" i="4"/>
  <c r="A1263" i="4"/>
  <c r="F1262" i="4"/>
  <c r="E1262" i="4"/>
  <c r="C1262" i="4"/>
  <c r="A1262" i="4"/>
  <c r="F1261" i="4"/>
  <c r="E1261" i="4"/>
  <c r="C1261" i="4"/>
  <c r="A1261" i="4"/>
  <c r="F1260" i="4"/>
  <c r="E1260" i="4"/>
  <c r="C1260" i="4"/>
  <c r="A1260" i="4"/>
  <c r="F1259" i="4"/>
  <c r="E1259" i="4"/>
  <c r="C1259" i="4"/>
  <c r="A1259" i="4"/>
  <c r="F1258" i="4"/>
  <c r="E1258" i="4"/>
  <c r="C1258" i="4"/>
  <c r="A1258" i="4"/>
  <c r="F1257" i="4"/>
  <c r="E1257" i="4"/>
  <c r="C1257" i="4"/>
  <c r="A1257" i="4"/>
  <c r="F1256" i="4"/>
  <c r="E1256" i="4"/>
  <c r="C1256" i="4"/>
  <c r="A1256" i="4"/>
  <c r="F1255" i="4"/>
  <c r="E1255" i="4"/>
  <c r="C1255" i="4"/>
  <c r="A1255" i="4"/>
  <c r="F1254" i="4"/>
  <c r="E1254" i="4"/>
  <c r="C1254" i="4"/>
  <c r="A1254" i="4"/>
  <c r="F1253" i="4"/>
  <c r="E1253" i="4"/>
  <c r="C1253" i="4"/>
  <c r="A1253" i="4"/>
  <c r="F1252" i="4"/>
  <c r="E1252" i="4"/>
  <c r="C1252" i="4"/>
  <c r="A1252" i="4"/>
  <c r="F1251" i="4"/>
  <c r="E1251" i="4"/>
  <c r="C1251" i="4"/>
  <c r="A1251" i="4"/>
  <c r="F1250" i="4"/>
  <c r="E1250" i="4"/>
  <c r="C1250" i="4"/>
  <c r="A1250" i="4"/>
  <c r="F1249" i="4"/>
  <c r="E1249" i="4"/>
  <c r="C1249" i="4"/>
  <c r="A1249" i="4"/>
  <c r="F1248" i="4"/>
  <c r="E1248" i="4"/>
  <c r="C1248" i="4"/>
  <c r="A1248" i="4"/>
  <c r="F1247" i="4"/>
  <c r="E1247" i="4"/>
  <c r="C1247" i="4"/>
  <c r="A1247" i="4"/>
  <c r="F1246" i="4"/>
  <c r="E1246" i="4"/>
  <c r="C1246" i="4"/>
  <c r="A1246" i="4"/>
  <c r="F1245" i="4"/>
  <c r="E1245" i="4"/>
  <c r="C1245" i="4"/>
  <c r="A1245" i="4"/>
  <c r="F1244" i="4"/>
  <c r="E1244" i="4"/>
  <c r="C1244" i="4"/>
  <c r="A1244" i="4"/>
  <c r="F1243" i="4"/>
  <c r="E1243" i="4"/>
  <c r="C1243" i="4"/>
  <c r="A1243" i="4"/>
  <c r="F1242" i="4"/>
  <c r="E1242" i="4"/>
  <c r="C1242" i="4"/>
  <c r="A1242" i="4"/>
  <c r="F1241" i="4"/>
  <c r="E1241" i="4"/>
  <c r="C1241" i="4"/>
  <c r="A1241" i="4"/>
  <c r="F1240" i="4"/>
  <c r="E1240" i="4"/>
  <c r="C1240" i="4"/>
  <c r="A1240" i="4"/>
  <c r="F1239" i="4"/>
  <c r="E1239" i="4"/>
  <c r="C1239" i="4"/>
  <c r="A1239" i="4"/>
  <c r="F1238" i="4"/>
  <c r="E1238" i="4"/>
  <c r="C1238" i="4"/>
  <c r="A1238" i="4"/>
  <c r="F1237" i="4"/>
  <c r="E1237" i="4"/>
  <c r="C1237" i="4"/>
  <c r="A1237" i="4"/>
  <c r="F1236" i="4"/>
  <c r="E1236" i="4"/>
  <c r="C1236" i="4"/>
  <c r="A1236" i="4"/>
  <c r="F1235" i="4"/>
  <c r="E1235" i="4"/>
  <c r="C1235" i="4"/>
  <c r="A1235" i="4"/>
  <c r="F1234" i="4"/>
  <c r="E1234" i="4"/>
  <c r="C1234" i="4"/>
  <c r="A1234" i="4"/>
  <c r="F1233" i="4"/>
  <c r="E1233" i="4"/>
  <c r="C1233" i="4"/>
  <c r="A1233" i="4"/>
  <c r="F1232" i="4"/>
  <c r="E1232" i="4"/>
  <c r="C1232" i="4"/>
  <c r="A1232" i="4"/>
  <c r="F1231" i="4"/>
  <c r="E1231" i="4"/>
  <c r="C1231" i="4"/>
  <c r="A1231" i="4"/>
  <c r="F1230" i="4"/>
  <c r="E1230" i="4"/>
  <c r="C1230" i="4"/>
  <c r="A1230" i="4"/>
  <c r="F1229" i="4"/>
  <c r="E1229" i="4"/>
  <c r="C1229" i="4"/>
  <c r="A1229" i="4"/>
  <c r="F1228" i="4"/>
  <c r="E1228" i="4"/>
  <c r="C1228" i="4"/>
  <c r="A1228" i="4"/>
  <c r="F1227" i="4"/>
  <c r="E1227" i="4"/>
  <c r="C1227" i="4"/>
  <c r="A1227" i="4"/>
  <c r="F1226" i="4"/>
  <c r="E1226" i="4"/>
  <c r="C1226" i="4"/>
  <c r="A1226" i="4"/>
  <c r="F1225" i="4"/>
  <c r="E1225" i="4"/>
  <c r="C1225" i="4"/>
  <c r="A1225" i="4"/>
  <c r="F1224" i="4"/>
  <c r="E1224" i="4"/>
  <c r="C1224" i="4"/>
  <c r="A1224" i="4"/>
  <c r="F1223" i="4"/>
  <c r="E1223" i="4"/>
  <c r="C1223" i="4"/>
  <c r="A1223" i="4"/>
  <c r="F1222" i="4"/>
  <c r="E1222" i="4"/>
  <c r="C1222" i="4"/>
  <c r="A1222" i="4"/>
  <c r="F1221" i="4"/>
  <c r="E1221" i="4"/>
  <c r="C1221" i="4"/>
  <c r="A1221" i="4"/>
  <c r="F1220" i="4"/>
  <c r="E1220" i="4"/>
  <c r="C1220" i="4"/>
  <c r="A1220" i="4"/>
  <c r="F1219" i="4"/>
  <c r="E1219" i="4"/>
  <c r="C1219" i="4"/>
  <c r="A1219" i="4"/>
  <c r="F1218" i="4"/>
  <c r="E1218" i="4"/>
  <c r="C1218" i="4"/>
  <c r="A1218" i="4"/>
  <c r="F1217" i="4"/>
  <c r="E1217" i="4"/>
  <c r="C1217" i="4"/>
  <c r="A1217" i="4"/>
  <c r="F1216" i="4"/>
  <c r="E1216" i="4"/>
  <c r="C1216" i="4"/>
  <c r="A1216" i="4"/>
  <c r="F1215" i="4"/>
  <c r="E1215" i="4"/>
  <c r="C1215" i="4"/>
  <c r="A1215" i="4"/>
  <c r="F1214" i="4"/>
  <c r="E1214" i="4"/>
  <c r="C1214" i="4"/>
  <c r="A1214" i="4"/>
  <c r="F1213" i="4"/>
  <c r="E1213" i="4"/>
  <c r="C1213" i="4"/>
  <c r="A1213" i="4"/>
  <c r="F1212" i="4"/>
  <c r="E1212" i="4"/>
  <c r="C1212" i="4"/>
  <c r="A1212" i="4"/>
  <c r="F1211" i="4"/>
  <c r="E1211" i="4"/>
  <c r="C1211" i="4"/>
  <c r="A1211" i="4"/>
  <c r="F1210" i="4"/>
  <c r="E1210" i="4"/>
  <c r="C1210" i="4"/>
  <c r="A1210" i="4"/>
  <c r="F1209" i="4"/>
  <c r="E1209" i="4"/>
  <c r="C1209" i="4"/>
  <c r="A1209" i="4"/>
  <c r="F1208" i="4"/>
  <c r="E1208" i="4"/>
  <c r="C1208" i="4"/>
  <c r="A1208" i="4"/>
  <c r="F1207" i="4"/>
  <c r="E1207" i="4"/>
  <c r="C1207" i="4"/>
  <c r="A1207" i="4"/>
  <c r="F1206" i="4"/>
  <c r="E1206" i="4"/>
  <c r="C1206" i="4"/>
  <c r="A1206" i="4"/>
  <c r="F1205" i="4"/>
  <c r="E1205" i="4"/>
  <c r="C1205" i="4"/>
  <c r="A1205" i="4"/>
  <c r="F1204" i="4"/>
  <c r="E1204" i="4"/>
  <c r="C1204" i="4"/>
  <c r="A1204" i="4"/>
  <c r="F1203" i="4"/>
  <c r="E1203" i="4"/>
  <c r="C1203" i="4"/>
  <c r="A1203" i="4"/>
  <c r="F1202" i="4"/>
  <c r="E1202" i="4"/>
  <c r="C1202" i="4"/>
  <c r="A1202" i="4"/>
  <c r="F1201" i="4"/>
  <c r="E1201" i="4"/>
  <c r="C1201" i="4"/>
  <c r="A1201" i="4"/>
  <c r="F1200" i="4"/>
  <c r="E1200" i="4"/>
  <c r="C1200" i="4"/>
  <c r="A1200" i="4"/>
  <c r="F1199" i="4"/>
  <c r="E1199" i="4"/>
  <c r="C1199" i="4"/>
  <c r="A1199" i="4"/>
  <c r="F1198" i="4"/>
  <c r="E1198" i="4"/>
  <c r="C1198" i="4"/>
  <c r="A1198" i="4"/>
  <c r="F1197" i="4"/>
  <c r="E1197" i="4"/>
  <c r="C1197" i="4"/>
  <c r="A1197" i="4"/>
  <c r="F1196" i="4"/>
  <c r="E1196" i="4"/>
  <c r="C1196" i="4"/>
  <c r="A1196" i="4"/>
  <c r="F1195" i="4"/>
  <c r="E1195" i="4"/>
  <c r="C1195" i="4"/>
  <c r="A1195" i="4"/>
  <c r="F1194" i="4"/>
  <c r="E1194" i="4"/>
  <c r="C1194" i="4"/>
  <c r="A1194" i="4"/>
  <c r="F1193" i="4"/>
  <c r="E1193" i="4"/>
  <c r="C1193" i="4"/>
  <c r="A1193" i="4"/>
  <c r="F1192" i="4"/>
  <c r="E1192" i="4"/>
  <c r="C1192" i="4"/>
  <c r="A1192" i="4"/>
  <c r="F1191" i="4"/>
  <c r="E1191" i="4"/>
  <c r="C1191" i="4"/>
  <c r="A1191" i="4"/>
  <c r="F1190" i="4"/>
  <c r="E1190" i="4"/>
  <c r="C1190" i="4"/>
  <c r="A1190" i="4"/>
  <c r="F1189" i="4"/>
  <c r="E1189" i="4"/>
  <c r="C1189" i="4"/>
  <c r="A1189" i="4"/>
  <c r="F1188" i="4"/>
  <c r="E1188" i="4"/>
  <c r="C1188" i="4"/>
  <c r="A1188" i="4"/>
  <c r="F1187" i="4"/>
  <c r="E1187" i="4"/>
  <c r="C1187" i="4"/>
  <c r="A1187" i="4"/>
  <c r="F1186" i="4"/>
  <c r="E1186" i="4"/>
  <c r="C1186" i="4"/>
  <c r="A1186" i="4"/>
  <c r="F1185" i="4"/>
  <c r="E1185" i="4"/>
  <c r="C1185" i="4"/>
  <c r="A1185" i="4"/>
  <c r="F1184" i="4"/>
  <c r="E1184" i="4"/>
  <c r="C1184" i="4"/>
  <c r="A1184" i="4"/>
  <c r="F1183" i="4"/>
  <c r="E1183" i="4"/>
  <c r="C1183" i="4"/>
  <c r="A1183" i="4"/>
  <c r="F1182" i="4"/>
  <c r="E1182" i="4"/>
  <c r="C1182" i="4"/>
  <c r="A1182" i="4"/>
  <c r="F1181" i="4"/>
  <c r="E1181" i="4"/>
  <c r="C1181" i="4"/>
  <c r="A1181" i="4"/>
  <c r="F1180" i="4"/>
  <c r="E1180" i="4"/>
  <c r="C1180" i="4"/>
  <c r="A1180" i="4"/>
  <c r="F1179" i="4"/>
  <c r="E1179" i="4"/>
  <c r="C1179" i="4"/>
  <c r="A1179" i="4"/>
  <c r="F1178" i="4"/>
  <c r="E1178" i="4"/>
  <c r="C1178" i="4"/>
  <c r="A1178" i="4"/>
  <c r="F1177" i="4"/>
  <c r="E1177" i="4"/>
  <c r="C1177" i="4"/>
  <c r="A1177" i="4"/>
  <c r="F1176" i="4"/>
  <c r="E1176" i="4"/>
  <c r="C1176" i="4"/>
  <c r="A1176" i="4"/>
  <c r="F1175" i="4"/>
  <c r="E1175" i="4"/>
  <c r="C1175" i="4"/>
  <c r="A1175" i="4"/>
  <c r="F1174" i="4"/>
  <c r="E1174" i="4"/>
  <c r="C1174" i="4"/>
  <c r="A1174" i="4"/>
  <c r="F1173" i="4"/>
  <c r="E1173" i="4"/>
  <c r="C1173" i="4"/>
  <c r="A1173" i="4"/>
  <c r="F1172" i="4"/>
  <c r="E1172" i="4"/>
  <c r="C1172" i="4"/>
  <c r="A1172" i="4"/>
  <c r="F1171" i="4"/>
  <c r="E1171" i="4"/>
  <c r="C1171" i="4"/>
  <c r="A1171" i="4"/>
  <c r="F1170" i="4"/>
  <c r="E1170" i="4"/>
  <c r="C1170" i="4"/>
  <c r="A1170" i="4"/>
  <c r="F1169" i="4"/>
  <c r="E1169" i="4"/>
  <c r="C1169" i="4"/>
  <c r="A1169" i="4"/>
  <c r="F1168" i="4"/>
  <c r="E1168" i="4"/>
  <c r="C1168" i="4"/>
  <c r="A1168" i="4"/>
  <c r="F1167" i="4"/>
  <c r="E1167" i="4"/>
  <c r="C1167" i="4"/>
  <c r="A1167" i="4"/>
  <c r="F1166" i="4"/>
  <c r="E1166" i="4"/>
  <c r="C1166" i="4"/>
  <c r="A1166" i="4"/>
  <c r="F1165" i="4"/>
  <c r="E1165" i="4"/>
  <c r="C1165" i="4"/>
  <c r="A1165" i="4"/>
  <c r="F1164" i="4"/>
  <c r="E1164" i="4"/>
  <c r="C1164" i="4"/>
  <c r="A1164" i="4"/>
  <c r="F1163" i="4"/>
  <c r="E1163" i="4"/>
  <c r="C1163" i="4"/>
  <c r="A1163" i="4"/>
  <c r="F1162" i="4"/>
  <c r="E1162" i="4"/>
  <c r="C1162" i="4"/>
  <c r="A1162" i="4"/>
  <c r="F1161" i="4"/>
  <c r="E1161" i="4"/>
  <c r="C1161" i="4"/>
  <c r="A1161" i="4"/>
  <c r="F1160" i="4"/>
  <c r="E1160" i="4"/>
  <c r="C1160" i="4"/>
  <c r="A1160" i="4"/>
  <c r="F1159" i="4"/>
  <c r="E1159" i="4"/>
  <c r="C1159" i="4"/>
  <c r="A1159" i="4"/>
  <c r="F1158" i="4"/>
  <c r="E1158" i="4"/>
  <c r="C1158" i="4"/>
  <c r="A1158" i="4"/>
  <c r="F1157" i="4"/>
  <c r="E1157" i="4"/>
  <c r="C1157" i="4"/>
  <c r="A1157" i="4"/>
  <c r="F1156" i="4"/>
  <c r="E1156" i="4"/>
  <c r="C1156" i="4"/>
  <c r="A1156" i="4"/>
  <c r="F1155" i="4"/>
  <c r="E1155" i="4"/>
  <c r="C1155" i="4"/>
  <c r="A1155" i="4"/>
  <c r="F1154" i="4"/>
  <c r="E1154" i="4"/>
  <c r="C1154" i="4"/>
  <c r="A1154" i="4"/>
  <c r="F1153" i="4"/>
  <c r="E1153" i="4"/>
  <c r="C1153" i="4"/>
  <c r="A1153" i="4"/>
  <c r="F1152" i="4"/>
  <c r="E1152" i="4"/>
  <c r="C1152" i="4"/>
  <c r="A1152" i="4"/>
  <c r="F1151" i="4"/>
  <c r="E1151" i="4"/>
  <c r="C1151" i="4"/>
  <c r="A1151" i="4"/>
  <c r="F1150" i="4"/>
  <c r="E1150" i="4"/>
  <c r="C1150" i="4"/>
  <c r="A1150" i="4"/>
  <c r="F1149" i="4"/>
  <c r="E1149" i="4"/>
  <c r="C1149" i="4"/>
  <c r="A1149" i="4"/>
  <c r="F1148" i="4"/>
  <c r="E1148" i="4"/>
  <c r="C1148" i="4"/>
  <c r="A1148" i="4"/>
  <c r="F1147" i="4"/>
  <c r="E1147" i="4"/>
  <c r="C1147" i="4"/>
  <c r="A1147" i="4"/>
  <c r="F1146" i="4"/>
  <c r="E1146" i="4"/>
  <c r="C1146" i="4"/>
  <c r="A1146" i="4"/>
  <c r="F1145" i="4"/>
  <c r="E1145" i="4"/>
  <c r="C1145" i="4"/>
  <c r="A1145" i="4"/>
  <c r="F1144" i="4"/>
  <c r="E1144" i="4"/>
  <c r="C1144" i="4"/>
  <c r="A1144" i="4"/>
  <c r="F1143" i="4"/>
  <c r="E1143" i="4"/>
  <c r="C1143" i="4"/>
  <c r="A1143" i="4"/>
  <c r="F1142" i="4"/>
  <c r="E1142" i="4"/>
  <c r="C1142" i="4"/>
  <c r="A1142" i="4"/>
  <c r="F1141" i="4"/>
  <c r="E1141" i="4"/>
  <c r="C1141" i="4"/>
  <c r="A1141" i="4"/>
  <c r="F1140" i="4"/>
  <c r="E1140" i="4"/>
  <c r="C1140" i="4"/>
  <c r="A1140" i="4"/>
  <c r="F1139" i="4"/>
  <c r="E1139" i="4"/>
  <c r="C1139" i="4"/>
  <c r="A1139" i="4"/>
  <c r="F1138" i="4"/>
  <c r="E1138" i="4"/>
  <c r="C1138" i="4"/>
  <c r="A1138" i="4"/>
  <c r="F1137" i="4"/>
  <c r="E1137" i="4"/>
  <c r="C1137" i="4"/>
  <c r="A1137" i="4"/>
  <c r="F1136" i="4"/>
  <c r="E1136" i="4"/>
  <c r="C1136" i="4"/>
  <c r="A1136" i="4"/>
  <c r="F1135" i="4"/>
  <c r="E1135" i="4"/>
  <c r="C1135" i="4"/>
  <c r="A1135" i="4"/>
  <c r="F1134" i="4"/>
  <c r="E1134" i="4"/>
  <c r="C1134" i="4"/>
  <c r="A1134" i="4"/>
  <c r="F1133" i="4"/>
  <c r="E1133" i="4"/>
  <c r="C1133" i="4"/>
  <c r="A1133" i="4"/>
  <c r="F1132" i="4"/>
  <c r="E1132" i="4"/>
  <c r="C1132" i="4"/>
  <c r="A1132" i="4"/>
  <c r="F1131" i="4"/>
  <c r="E1131" i="4"/>
  <c r="C1131" i="4"/>
  <c r="A1131" i="4"/>
  <c r="F1130" i="4"/>
  <c r="E1130" i="4"/>
  <c r="C1130" i="4"/>
  <c r="A1130" i="4"/>
  <c r="F1129" i="4"/>
  <c r="E1129" i="4"/>
  <c r="C1129" i="4"/>
  <c r="A1129" i="4"/>
  <c r="F1128" i="4"/>
  <c r="E1128" i="4"/>
  <c r="C1128" i="4"/>
  <c r="A1128" i="4"/>
  <c r="F1127" i="4"/>
  <c r="E1127" i="4"/>
  <c r="C1127" i="4"/>
  <c r="A1127" i="4"/>
  <c r="F1126" i="4"/>
  <c r="E1126" i="4"/>
  <c r="C1126" i="4"/>
  <c r="A1126" i="4"/>
  <c r="F1125" i="4"/>
  <c r="E1125" i="4"/>
  <c r="C1125" i="4"/>
  <c r="A1125" i="4"/>
  <c r="F1124" i="4"/>
  <c r="E1124" i="4"/>
  <c r="C1124" i="4"/>
  <c r="A1124" i="4"/>
  <c r="F1123" i="4"/>
  <c r="E1123" i="4"/>
  <c r="C1123" i="4"/>
  <c r="A1123" i="4"/>
  <c r="F1122" i="4"/>
  <c r="E1122" i="4"/>
  <c r="C1122" i="4"/>
  <c r="A1122" i="4"/>
  <c r="F1121" i="4"/>
  <c r="E1121" i="4"/>
  <c r="C1121" i="4"/>
  <c r="A1121" i="4"/>
  <c r="F1120" i="4"/>
  <c r="E1120" i="4"/>
  <c r="C1120" i="4"/>
  <c r="A1120" i="4"/>
  <c r="F1119" i="4"/>
  <c r="E1119" i="4"/>
  <c r="C1119" i="4"/>
  <c r="A1119" i="4"/>
  <c r="F1118" i="4"/>
  <c r="E1118" i="4"/>
  <c r="C1118" i="4"/>
  <c r="A1118" i="4"/>
  <c r="F1117" i="4"/>
  <c r="E1117" i="4"/>
  <c r="C1117" i="4"/>
  <c r="A1117" i="4"/>
  <c r="F1116" i="4"/>
  <c r="E1116" i="4"/>
  <c r="C1116" i="4"/>
  <c r="A1116" i="4"/>
  <c r="F1115" i="4"/>
  <c r="E1115" i="4"/>
  <c r="C1115" i="4"/>
  <c r="A1115" i="4"/>
  <c r="F1114" i="4"/>
  <c r="E1114" i="4"/>
  <c r="C1114" i="4"/>
  <c r="A1114" i="4"/>
  <c r="F1113" i="4"/>
  <c r="E1113" i="4"/>
  <c r="C1113" i="4"/>
  <c r="A1113" i="4"/>
  <c r="F1112" i="4"/>
  <c r="E1112" i="4"/>
  <c r="C1112" i="4"/>
  <c r="A1112" i="4"/>
  <c r="F1111" i="4"/>
  <c r="E1111" i="4"/>
  <c r="C1111" i="4"/>
  <c r="A1111" i="4"/>
  <c r="F1110" i="4"/>
  <c r="E1110" i="4"/>
  <c r="C1110" i="4"/>
  <c r="A1110" i="4"/>
  <c r="F1109" i="4"/>
  <c r="E1109" i="4"/>
  <c r="C1109" i="4"/>
  <c r="A1109" i="4"/>
  <c r="F1108" i="4"/>
  <c r="E1108" i="4"/>
  <c r="C1108" i="4"/>
  <c r="A1108" i="4"/>
  <c r="F1107" i="4"/>
  <c r="E1107" i="4"/>
  <c r="C1107" i="4"/>
  <c r="A1107" i="4"/>
  <c r="F1106" i="4"/>
  <c r="E1106" i="4"/>
  <c r="C1106" i="4"/>
  <c r="A1106" i="4"/>
  <c r="F1105" i="4"/>
  <c r="E1105" i="4"/>
  <c r="C1105" i="4"/>
  <c r="A1105" i="4"/>
  <c r="F1104" i="4"/>
  <c r="E1104" i="4"/>
  <c r="C1104" i="4"/>
  <c r="A1104" i="4"/>
  <c r="F1103" i="4"/>
  <c r="E1103" i="4"/>
  <c r="C1103" i="4"/>
  <c r="A1103" i="4"/>
  <c r="F1102" i="4"/>
  <c r="E1102" i="4"/>
  <c r="C1102" i="4"/>
  <c r="A1102" i="4"/>
  <c r="F1101" i="4"/>
  <c r="E1101" i="4"/>
  <c r="C1101" i="4"/>
  <c r="A1101" i="4"/>
  <c r="F1100" i="4"/>
  <c r="E1100" i="4"/>
  <c r="C1100" i="4"/>
  <c r="A1100" i="4"/>
  <c r="F1099" i="4"/>
  <c r="E1099" i="4"/>
  <c r="C1099" i="4"/>
  <c r="A1099" i="4"/>
  <c r="F1098" i="4"/>
  <c r="E1098" i="4"/>
  <c r="C1098" i="4"/>
  <c r="A1098" i="4"/>
  <c r="F1097" i="4"/>
  <c r="E1097" i="4"/>
  <c r="C1097" i="4"/>
  <c r="A1097" i="4"/>
  <c r="F1096" i="4"/>
  <c r="E1096" i="4"/>
  <c r="C1096" i="4"/>
  <c r="A1096" i="4"/>
  <c r="F1095" i="4"/>
  <c r="E1095" i="4"/>
  <c r="C1095" i="4"/>
  <c r="A1095" i="4"/>
  <c r="F1094" i="4"/>
  <c r="E1094" i="4"/>
  <c r="C1094" i="4"/>
  <c r="A1094" i="4"/>
  <c r="F1093" i="4"/>
  <c r="E1093" i="4"/>
  <c r="C1093" i="4"/>
  <c r="A1093" i="4"/>
  <c r="F1092" i="4"/>
  <c r="E1092" i="4"/>
  <c r="C1092" i="4"/>
  <c r="A1092" i="4"/>
  <c r="F1091" i="4"/>
  <c r="E1091" i="4"/>
  <c r="C1091" i="4"/>
  <c r="A1091" i="4"/>
  <c r="F1090" i="4"/>
  <c r="E1090" i="4"/>
  <c r="C1090" i="4"/>
  <c r="A1090" i="4"/>
  <c r="F1089" i="4"/>
  <c r="E1089" i="4"/>
  <c r="C1089" i="4"/>
  <c r="A1089" i="4"/>
  <c r="F1088" i="4"/>
  <c r="E1088" i="4"/>
  <c r="C1088" i="4"/>
  <c r="A1088" i="4"/>
  <c r="F1087" i="4"/>
  <c r="E1087" i="4"/>
  <c r="C1087" i="4"/>
  <c r="A1087" i="4"/>
  <c r="F1086" i="4"/>
  <c r="E1086" i="4"/>
  <c r="C1086" i="4"/>
  <c r="A1086" i="4"/>
  <c r="F1085" i="4"/>
  <c r="E1085" i="4"/>
  <c r="C1085" i="4"/>
  <c r="A1085" i="4"/>
  <c r="F1084" i="4"/>
  <c r="E1084" i="4"/>
  <c r="C1084" i="4"/>
  <c r="A1084" i="4"/>
  <c r="F1083" i="4"/>
  <c r="E1083" i="4"/>
  <c r="C1083" i="4"/>
  <c r="A1083" i="4"/>
  <c r="F1082" i="4"/>
  <c r="E1082" i="4"/>
  <c r="C1082" i="4"/>
  <c r="A1082" i="4"/>
  <c r="F1081" i="4"/>
  <c r="E1081" i="4"/>
  <c r="C1081" i="4"/>
  <c r="A1081" i="4"/>
  <c r="F1080" i="4"/>
  <c r="E1080" i="4"/>
  <c r="C1080" i="4"/>
  <c r="A1080" i="4"/>
  <c r="F1079" i="4"/>
  <c r="E1079" i="4"/>
  <c r="C1079" i="4"/>
  <c r="A1079" i="4"/>
  <c r="F1078" i="4"/>
  <c r="E1078" i="4"/>
  <c r="C1078" i="4"/>
  <c r="A1078" i="4"/>
  <c r="F1077" i="4"/>
  <c r="E1077" i="4"/>
  <c r="C1077" i="4"/>
  <c r="A1077" i="4"/>
  <c r="F1076" i="4"/>
  <c r="E1076" i="4"/>
  <c r="C1076" i="4"/>
  <c r="A1076" i="4"/>
  <c r="F1075" i="4"/>
  <c r="E1075" i="4"/>
  <c r="C1075" i="4"/>
  <c r="A1075" i="4"/>
  <c r="F1074" i="4"/>
  <c r="E1074" i="4"/>
  <c r="C1074" i="4"/>
  <c r="A1074" i="4"/>
  <c r="F1073" i="4"/>
  <c r="E1073" i="4"/>
  <c r="C1073" i="4"/>
  <c r="A1073" i="4"/>
  <c r="F1072" i="4"/>
  <c r="E1072" i="4"/>
  <c r="C1072" i="4"/>
  <c r="A1072" i="4"/>
  <c r="F1071" i="4"/>
  <c r="E1071" i="4"/>
  <c r="C1071" i="4"/>
  <c r="A1071" i="4"/>
  <c r="F1070" i="4"/>
  <c r="E1070" i="4"/>
  <c r="C1070" i="4"/>
  <c r="A1070" i="4"/>
  <c r="F1069" i="4"/>
  <c r="E1069" i="4"/>
  <c r="C1069" i="4"/>
  <c r="A1069" i="4"/>
  <c r="F1068" i="4"/>
  <c r="E1068" i="4"/>
  <c r="C1068" i="4"/>
  <c r="A1068" i="4"/>
  <c r="F1067" i="4"/>
  <c r="E1067" i="4"/>
  <c r="C1067" i="4"/>
  <c r="A1067" i="4"/>
  <c r="F1066" i="4"/>
  <c r="E1066" i="4"/>
  <c r="C1066" i="4"/>
  <c r="A1066" i="4"/>
  <c r="F1065" i="4"/>
  <c r="E1065" i="4"/>
  <c r="C1065" i="4"/>
  <c r="A1065" i="4"/>
  <c r="F1064" i="4"/>
  <c r="E1064" i="4"/>
  <c r="C1064" i="4"/>
  <c r="A1064" i="4"/>
  <c r="F1063" i="4"/>
  <c r="E1063" i="4"/>
  <c r="C1063" i="4"/>
  <c r="A1063" i="4"/>
  <c r="F1062" i="4"/>
  <c r="E1062" i="4"/>
  <c r="C1062" i="4"/>
  <c r="A1062" i="4"/>
  <c r="F1061" i="4"/>
  <c r="E1061" i="4"/>
  <c r="C1061" i="4"/>
  <c r="A1061" i="4"/>
  <c r="F1060" i="4"/>
  <c r="E1060" i="4"/>
  <c r="C1060" i="4"/>
  <c r="A1060" i="4"/>
  <c r="F1059" i="4"/>
  <c r="E1059" i="4"/>
  <c r="C1059" i="4"/>
  <c r="A1059" i="4"/>
  <c r="F1058" i="4"/>
  <c r="E1058" i="4"/>
  <c r="C1058" i="4"/>
  <c r="A1058" i="4"/>
  <c r="F1057" i="4"/>
  <c r="E1057" i="4"/>
  <c r="C1057" i="4"/>
  <c r="A1057" i="4"/>
  <c r="F1056" i="4"/>
  <c r="E1056" i="4"/>
  <c r="C1056" i="4"/>
  <c r="A1056" i="4"/>
  <c r="F1055" i="4"/>
  <c r="E1055" i="4"/>
  <c r="C1055" i="4"/>
  <c r="A1055" i="4"/>
  <c r="F1054" i="4"/>
  <c r="E1054" i="4"/>
  <c r="C1054" i="4"/>
  <c r="A1054" i="4"/>
  <c r="F1053" i="4"/>
  <c r="E1053" i="4"/>
  <c r="C1053" i="4"/>
  <c r="A1053" i="4"/>
  <c r="F1052" i="4"/>
  <c r="E1052" i="4"/>
  <c r="C1052" i="4"/>
  <c r="A1052" i="4"/>
  <c r="F1051" i="4"/>
  <c r="E1051" i="4"/>
  <c r="C1051" i="4"/>
  <c r="A1051" i="4"/>
  <c r="F1050" i="4"/>
  <c r="E1050" i="4"/>
  <c r="C1050" i="4"/>
  <c r="A1050" i="4"/>
  <c r="F1049" i="4"/>
  <c r="E1049" i="4"/>
  <c r="C1049" i="4"/>
  <c r="A1049" i="4"/>
  <c r="F1048" i="4"/>
  <c r="E1048" i="4"/>
  <c r="C1048" i="4"/>
  <c r="A1048" i="4"/>
  <c r="F1047" i="4"/>
  <c r="E1047" i="4"/>
  <c r="C1047" i="4"/>
  <c r="A1047" i="4"/>
  <c r="F1046" i="4"/>
  <c r="E1046" i="4"/>
  <c r="C1046" i="4"/>
  <c r="A1046" i="4"/>
  <c r="F1045" i="4"/>
  <c r="E1045" i="4"/>
  <c r="C1045" i="4"/>
  <c r="A1045" i="4"/>
  <c r="F1044" i="4"/>
  <c r="E1044" i="4"/>
  <c r="C1044" i="4"/>
  <c r="A1044" i="4"/>
  <c r="F1043" i="4"/>
  <c r="E1043" i="4"/>
  <c r="C1043" i="4"/>
  <c r="A1043" i="4"/>
  <c r="F1042" i="4"/>
  <c r="E1042" i="4"/>
  <c r="C1042" i="4"/>
  <c r="A1042" i="4"/>
  <c r="F1041" i="4"/>
  <c r="E1041" i="4"/>
  <c r="C1041" i="4"/>
  <c r="A1041" i="4"/>
  <c r="F1040" i="4"/>
  <c r="E1040" i="4"/>
  <c r="C1040" i="4"/>
  <c r="A1040" i="4"/>
  <c r="F1039" i="4"/>
  <c r="E1039" i="4"/>
  <c r="C1039" i="4"/>
  <c r="A1039" i="4"/>
  <c r="F1038" i="4"/>
  <c r="E1038" i="4"/>
  <c r="C1038" i="4"/>
  <c r="A1038" i="4"/>
  <c r="F1037" i="4"/>
  <c r="E1037" i="4"/>
  <c r="C1037" i="4"/>
  <c r="A1037" i="4"/>
  <c r="F1036" i="4"/>
  <c r="E1036" i="4"/>
  <c r="C1036" i="4"/>
  <c r="A1036" i="4"/>
  <c r="F1035" i="4"/>
  <c r="E1035" i="4"/>
  <c r="C1035" i="4"/>
  <c r="A1035" i="4"/>
  <c r="F1034" i="4"/>
  <c r="E1034" i="4"/>
  <c r="C1034" i="4"/>
  <c r="A1034" i="4"/>
  <c r="F1033" i="4"/>
  <c r="E1033" i="4"/>
  <c r="C1033" i="4"/>
  <c r="A1033" i="4"/>
  <c r="F1032" i="4"/>
  <c r="E1032" i="4"/>
  <c r="C1032" i="4"/>
  <c r="A1032" i="4"/>
  <c r="F1031" i="4"/>
  <c r="E1031" i="4"/>
  <c r="C1031" i="4"/>
  <c r="A1031" i="4"/>
  <c r="F1030" i="4"/>
  <c r="E1030" i="4"/>
  <c r="C1030" i="4"/>
  <c r="A1030" i="4"/>
  <c r="F1029" i="4"/>
  <c r="E1029" i="4"/>
  <c r="C1029" i="4"/>
  <c r="A1029" i="4"/>
  <c r="F1028" i="4"/>
  <c r="E1028" i="4"/>
  <c r="C1028" i="4"/>
  <c r="A1028" i="4"/>
  <c r="F1027" i="4"/>
  <c r="E1027" i="4"/>
  <c r="C1027" i="4"/>
  <c r="A1027" i="4"/>
  <c r="F1026" i="4"/>
  <c r="E1026" i="4"/>
  <c r="C1026" i="4"/>
  <c r="A1026" i="4"/>
  <c r="F1025" i="4"/>
  <c r="E1025" i="4"/>
  <c r="C1025" i="4"/>
  <c r="A1025" i="4"/>
  <c r="F1024" i="4"/>
  <c r="E1024" i="4"/>
  <c r="C1024" i="4"/>
  <c r="A1024" i="4"/>
  <c r="F1023" i="4"/>
  <c r="E1023" i="4"/>
  <c r="C1023" i="4"/>
  <c r="A1023" i="4"/>
  <c r="F1022" i="4"/>
  <c r="E1022" i="4"/>
  <c r="C1022" i="4"/>
  <c r="A1022" i="4"/>
  <c r="F1021" i="4"/>
  <c r="E1021" i="4"/>
  <c r="C1021" i="4"/>
  <c r="A1021" i="4"/>
  <c r="F1020" i="4"/>
  <c r="E1020" i="4"/>
  <c r="C1020" i="4"/>
  <c r="A1020" i="4"/>
  <c r="F1019" i="4"/>
  <c r="E1019" i="4"/>
  <c r="C1019" i="4"/>
  <c r="A1019" i="4"/>
  <c r="F1018" i="4"/>
  <c r="E1018" i="4"/>
  <c r="C1018" i="4"/>
  <c r="A1018" i="4"/>
  <c r="F1017" i="4"/>
  <c r="E1017" i="4"/>
  <c r="C1017" i="4"/>
  <c r="A1017" i="4"/>
  <c r="F1016" i="4"/>
  <c r="E1016" i="4"/>
  <c r="C1016" i="4"/>
  <c r="A1016" i="4"/>
  <c r="F1015" i="4"/>
  <c r="E1015" i="4"/>
  <c r="C1015" i="4"/>
  <c r="A1015" i="4"/>
  <c r="F1014" i="4"/>
  <c r="E1014" i="4"/>
  <c r="C1014" i="4"/>
  <c r="A1014" i="4"/>
  <c r="F1013" i="4"/>
  <c r="E1013" i="4"/>
  <c r="C1013" i="4"/>
  <c r="A1013" i="4"/>
  <c r="F1012" i="4"/>
  <c r="E1012" i="4"/>
  <c r="C1012" i="4"/>
  <c r="A1012" i="4"/>
  <c r="F1011" i="4"/>
  <c r="E1011" i="4"/>
  <c r="C1011" i="4"/>
  <c r="A1011" i="4"/>
  <c r="F1010" i="4"/>
  <c r="E1010" i="4"/>
  <c r="C1010" i="4"/>
  <c r="A1010" i="4"/>
  <c r="F1009" i="4"/>
  <c r="E1009" i="4"/>
  <c r="C1009" i="4"/>
  <c r="A1009" i="4"/>
  <c r="F1008" i="4"/>
  <c r="E1008" i="4"/>
  <c r="C1008" i="4"/>
  <c r="A1008" i="4"/>
  <c r="F1007" i="4"/>
  <c r="E1007" i="4"/>
  <c r="C1007" i="4"/>
  <c r="A1007" i="4"/>
  <c r="F1006" i="4"/>
  <c r="E1006" i="4"/>
  <c r="C1006" i="4"/>
  <c r="A1006" i="4"/>
  <c r="F1005" i="4"/>
  <c r="E1005" i="4"/>
  <c r="C1005" i="4"/>
  <c r="A1005" i="4"/>
  <c r="F1004" i="4"/>
  <c r="E1004" i="4"/>
  <c r="C1004" i="4"/>
  <c r="A1004" i="4"/>
  <c r="F1003" i="4"/>
  <c r="E1003" i="4"/>
  <c r="C1003" i="4"/>
  <c r="A1003" i="4"/>
  <c r="F1002" i="4"/>
  <c r="E1002" i="4"/>
  <c r="C1002" i="4"/>
  <c r="A1002" i="4"/>
  <c r="F1001" i="4"/>
  <c r="E1001" i="4"/>
  <c r="C1001" i="4"/>
  <c r="A1001" i="4"/>
  <c r="F1000" i="4"/>
  <c r="E1000" i="4"/>
  <c r="C1000" i="4"/>
  <c r="A1000" i="4"/>
  <c r="F999" i="4"/>
  <c r="E999" i="4"/>
  <c r="C999" i="4"/>
  <c r="A999" i="4"/>
  <c r="F998" i="4"/>
  <c r="E998" i="4"/>
  <c r="C998" i="4"/>
  <c r="A998" i="4"/>
  <c r="F997" i="4"/>
  <c r="E997" i="4"/>
  <c r="C997" i="4"/>
  <c r="A997" i="4"/>
  <c r="F996" i="4"/>
  <c r="E996" i="4"/>
  <c r="C996" i="4"/>
  <c r="A996" i="4"/>
  <c r="F995" i="4"/>
  <c r="E995" i="4"/>
  <c r="C995" i="4"/>
  <c r="A995" i="4"/>
  <c r="F994" i="4"/>
  <c r="E994" i="4"/>
  <c r="C994" i="4"/>
  <c r="A994" i="4"/>
  <c r="F993" i="4"/>
  <c r="E993" i="4"/>
  <c r="C993" i="4"/>
  <c r="A993" i="4"/>
  <c r="F992" i="4"/>
  <c r="E992" i="4"/>
  <c r="C992" i="4"/>
  <c r="A992" i="4"/>
  <c r="F991" i="4"/>
  <c r="E991" i="4"/>
  <c r="C991" i="4"/>
  <c r="A991" i="4"/>
  <c r="F990" i="4"/>
  <c r="E990" i="4"/>
  <c r="C990" i="4"/>
  <c r="A990" i="4"/>
  <c r="F989" i="4"/>
  <c r="E989" i="4"/>
  <c r="C989" i="4"/>
  <c r="A989" i="4"/>
  <c r="F988" i="4"/>
  <c r="E988" i="4"/>
  <c r="C988" i="4"/>
  <c r="A988" i="4"/>
  <c r="F987" i="4"/>
  <c r="E987" i="4"/>
  <c r="C987" i="4"/>
  <c r="A987" i="4"/>
  <c r="F986" i="4"/>
  <c r="E986" i="4"/>
  <c r="C986" i="4"/>
  <c r="A986" i="4"/>
  <c r="F985" i="4"/>
  <c r="E985" i="4"/>
  <c r="C985" i="4"/>
  <c r="A985" i="4"/>
  <c r="F984" i="4"/>
  <c r="E984" i="4"/>
  <c r="C984" i="4"/>
  <c r="A984" i="4"/>
  <c r="F983" i="4"/>
  <c r="E983" i="4"/>
  <c r="C983" i="4"/>
  <c r="A983" i="4"/>
  <c r="F982" i="4"/>
  <c r="E982" i="4"/>
  <c r="C982" i="4"/>
  <c r="A982" i="4"/>
  <c r="F981" i="4"/>
  <c r="E981" i="4"/>
  <c r="C981" i="4"/>
  <c r="A981" i="4"/>
  <c r="F980" i="4"/>
  <c r="E980" i="4"/>
  <c r="C980" i="4"/>
  <c r="A980" i="4"/>
  <c r="F979" i="4"/>
  <c r="E979" i="4"/>
  <c r="C979" i="4"/>
  <c r="A979" i="4"/>
  <c r="F978" i="4"/>
  <c r="E978" i="4"/>
  <c r="C978" i="4"/>
  <c r="A978" i="4"/>
  <c r="F977" i="4"/>
  <c r="E977" i="4"/>
  <c r="C977" i="4"/>
  <c r="A977" i="4"/>
  <c r="F976" i="4"/>
  <c r="E976" i="4"/>
  <c r="C976" i="4"/>
  <c r="A976" i="4"/>
  <c r="F975" i="4"/>
  <c r="E975" i="4"/>
  <c r="C975" i="4"/>
  <c r="A975" i="4"/>
  <c r="F974" i="4"/>
  <c r="E974" i="4"/>
  <c r="C974" i="4"/>
  <c r="A974" i="4"/>
  <c r="F973" i="4"/>
  <c r="E973" i="4"/>
  <c r="C973" i="4"/>
  <c r="A973" i="4"/>
  <c r="F972" i="4"/>
  <c r="E972" i="4"/>
  <c r="C972" i="4"/>
  <c r="A972" i="4"/>
  <c r="F971" i="4"/>
  <c r="E971" i="4"/>
  <c r="C971" i="4"/>
  <c r="A971" i="4"/>
  <c r="F970" i="4"/>
  <c r="E970" i="4"/>
  <c r="C970" i="4"/>
  <c r="A970" i="4"/>
  <c r="F969" i="4"/>
  <c r="E969" i="4"/>
  <c r="C969" i="4"/>
  <c r="A969" i="4"/>
  <c r="F968" i="4"/>
  <c r="E968" i="4"/>
  <c r="C968" i="4"/>
  <c r="A968" i="4"/>
  <c r="F967" i="4"/>
  <c r="E967" i="4"/>
  <c r="C967" i="4"/>
  <c r="A967" i="4"/>
  <c r="F966" i="4"/>
  <c r="E966" i="4"/>
  <c r="C966" i="4"/>
  <c r="A966" i="4"/>
  <c r="F965" i="4"/>
  <c r="E965" i="4"/>
  <c r="C965" i="4"/>
  <c r="A965" i="4"/>
  <c r="F964" i="4"/>
  <c r="E964" i="4"/>
  <c r="C964" i="4"/>
  <c r="A964" i="4"/>
  <c r="F963" i="4"/>
  <c r="E963" i="4"/>
  <c r="C963" i="4"/>
  <c r="A963" i="4"/>
  <c r="F962" i="4"/>
  <c r="E962" i="4"/>
  <c r="C962" i="4"/>
  <c r="A962" i="4"/>
  <c r="F961" i="4"/>
  <c r="E961" i="4"/>
  <c r="C961" i="4"/>
  <c r="A961" i="4"/>
  <c r="F960" i="4"/>
  <c r="E960" i="4"/>
  <c r="C960" i="4"/>
  <c r="A960" i="4"/>
  <c r="F959" i="4"/>
  <c r="E959" i="4"/>
  <c r="C959" i="4"/>
  <c r="A959" i="4"/>
  <c r="F958" i="4"/>
  <c r="E958" i="4"/>
  <c r="C958" i="4"/>
  <c r="A958" i="4"/>
  <c r="F957" i="4"/>
  <c r="E957" i="4"/>
  <c r="C957" i="4"/>
  <c r="A957" i="4"/>
  <c r="F956" i="4"/>
  <c r="E956" i="4"/>
  <c r="C956" i="4"/>
  <c r="A956" i="4"/>
  <c r="F955" i="4"/>
  <c r="E955" i="4"/>
  <c r="C955" i="4"/>
  <c r="A955" i="4"/>
  <c r="F954" i="4"/>
  <c r="E954" i="4"/>
  <c r="C954" i="4"/>
  <c r="A954" i="4"/>
  <c r="F953" i="4"/>
  <c r="E953" i="4"/>
  <c r="C953" i="4"/>
  <c r="A953" i="4"/>
  <c r="F952" i="4"/>
  <c r="E952" i="4"/>
  <c r="C952" i="4"/>
  <c r="A952" i="4"/>
  <c r="F951" i="4"/>
  <c r="E951" i="4"/>
  <c r="C951" i="4"/>
  <c r="A951" i="4"/>
  <c r="F950" i="4"/>
  <c r="E950" i="4"/>
  <c r="C950" i="4"/>
  <c r="A950" i="4"/>
  <c r="F949" i="4"/>
  <c r="E949" i="4"/>
  <c r="C949" i="4"/>
  <c r="A949" i="4"/>
  <c r="F948" i="4"/>
  <c r="E948" i="4"/>
  <c r="C948" i="4"/>
  <c r="A948" i="4"/>
  <c r="F947" i="4"/>
  <c r="E947" i="4"/>
  <c r="C947" i="4"/>
  <c r="A947" i="4"/>
  <c r="F946" i="4"/>
  <c r="E946" i="4"/>
  <c r="C946" i="4"/>
  <c r="A946" i="4"/>
  <c r="F945" i="4"/>
  <c r="E945" i="4"/>
  <c r="C945" i="4"/>
  <c r="A945" i="4"/>
  <c r="F944" i="4"/>
  <c r="E944" i="4"/>
  <c r="C944" i="4"/>
  <c r="A944" i="4"/>
  <c r="F943" i="4"/>
  <c r="E943" i="4"/>
  <c r="C943" i="4"/>
  <c r="A943" i="4"/>
  <c r="F942" i="4"/>
  <c r="E942" i="4"/>
  <c r="C942" i="4"/>
  <c r="A942" i="4"/>
  <c r="F941" i="4"/>
  <c r="E941" i="4"/>
  <c r="C941" i="4"/>
  <c r="A941" i="4"/>
  <c r="F940" i="4"/>
  <c r="E940" i="4"/>
  <c r="C940" i="4"/>
  <c r="A940" i="4"/>
  <c r="F939" i="4"/>
  <c r="E939" i="4"/>
  <c r="C939" i="4"/>
  <c r="A939" i="4"/>
  <c r="F938" i="4"/>
  <c r="E938" i="4"/>
  <c r="C938" i="4"/>
  <c r="A938" i="4"/>
  <c r="F937" i="4"/>
  <c r="E937" i="4"/>
  <c r="C937" i="4"/>
  <c r="A937" i="4"/>
  <c r="F936" i="4"/>
  <c r="E936" i="4"/>
  <c r="C936" i="4"/>
  <c r="A936" i="4"/>
  <c r="F935" i="4"/>
  <c r="E935" i="4"/>
  <c r="C935" i="4"/>
  <c r="A935" i="4"/>
  <c r="F934" i="4"/>
  <c r="E934" i="4"/>
  <c r="C934" i="4"/>
  <c r="A934" i="4"/>
  <c r="F933" i="4"/>
  <c r="E933" i="4"/>
  <c r="C933" i="4"/>
  <c r="A933" i="4"/>
  <c r="F932" i="4"/>
  <c r="E932" i="4"/>
  <c r="C932" i="4"/>
  <c r="A932" i="4"/>
  <c r="F931" i="4"/>
  <c r="E931" i="4"/>
  <c r="C931" i="4"/>
  <c r="A931" i="4"/>
  <c r="F930" i="4"/>
  <c r="E930" i="4"/>
  <c r="C930" i="4"/>
  <c r="A930" i="4"/>
  <c r="F929" i="4"/>
  <c r="E929" i="4"/>
  <c r="C929" i="4"/>
  <c r="A929" i="4"/>
  <c r="F928" i="4"/>
  <c r="E928" i="4"/>
  <c r="C928" i="4"/>
  <c r="A928" i="4"/>
  <c r="F927" i="4"/>
  <c r="E927" i="4"/>
  <c r="C927" i="4"/>
  <c r="A927" i="4"/>
  <c r="F926" i="4"/>
  <c r="E926" i="4"/>
  <c r="C926" i="4"/>
  <c r="A926" i="4"/>
  <c r="F925" i="4"/>
  <c r="E925" i="4"/>
  <c r="C925" i="4"/>
  <c r="A925" i="4"/>
  <c r="F924" i="4"/>
  <c r="E924" i="4"/>
  <c r="C924" i="4"/>
  <c r="A924" i="4"/>
  <c r="F923" i="4"/>
  <c r="E923" i="4"/>
  <c r="C923" i="4"/>
  <c r="A923" i="4"/>
  <c r="F922" i="4"/>
  <c r="E922" i="4"/>
  <c r="C922" i="4"/>
  <c r="A922" i="4"/>
  <c r="F921" i="4"/>
  <c r="E921" i="4"/>
  <c r="C921" i="4"/>
  <c r="A921" i="4"/>
  <c r="F920" i="4"/>
  <c r="E920" i="4"/>
  <c r="C920" i="4"/>
  <c r="A920" i="4"/>
  <c r="F919" i="4"/>
  <c r="E919" i="4"/>
  <c r="C919" i="4"/>
  <c r="A919" i="4"/>
  <c r="F918" i="4"/>
  <c r="E918" i="4"/>
  <c r="C918" i="4"/>
  <c r="A918" i="4"/>
  <c r="F917" i="4"/>
  <c r="E917" i="4"/>
  <c r="C917" i="4"/>
  <c r="A917" i="4"/>
  <c r="F916" i="4"/>
  <c r="E916" i="4"/>
  <c r="C916" i="4"/>
  <c r="A916" i="4"/>
  <c r="F915" i="4"/>
  <c r="E915" i="4"/>
  <c r="C915" i="4"/>
  <c r="A915" i="4"/>
  <c r="F914" i="4"/>
  <c r="E914" i="4"/>
  <c r="C914" i="4"/>
  <c r="A914" i="4"/>
  <c r="F913" i="4"/>
  <c r="E913" i="4"/>
  <c r="C913" i="4"/>
  <c r="A913" i="4"/>
  <c r="F912" i="4"/>
  <c r="E912" i="4"/>
  <c r="C912" i="4"/>
  <c r="A912" i="4"/>
  <c r="F911" i="4"/>
  <c r="E911" i="4"/>
  <c r="C911" i="4"/>
  <c r="A911" i="4"/>
  <c r="F910" i="4"/>
  <c r="E910" i="4"/>
  <c r="C910" i="4"/>
  <c r="A910" i="4"/>
  <c r="F909" i="4"/>
  <c r="E909" i="4"/>
  <c r="C909" i="4"/>
  <c r="A909" i="4"/>
  <c r="F908" i="4"/>
  <c r="E908" i="4"/>
  <c r="C908" i="4"/>
  <c r="A908" i="4"/>
  <c r="F907" i="4"/>
  <c r="E907" i="4"/>
  <c r="C907" i="4"/>
  <c r="A907" i="4"/>
  <c r="F906" i="4"/>
  <c r="E906" i="4"/>
  <c r="C906" i="4"/>
  <c r="A906" i="4"/>
  <c r="F905" i="4"/>
  <c r="E905" i="4"/>
  <c r="C905" i="4"/>
  <c r="A905" i="4"/>
  <c r="F904" i="4"/>
  <c r="E904" i="4"/>
  <c r="C904" i="4"/>
  <c r="A904" i="4"/>
  <c r="F903" i="4"/>
  <c r="E903" i="4"/>
  <c r="C903" i="4"/>
  <c r="A903" i="4"/>
  <c r="F902" i="4"/>
  <c r="E902" i="4"/>
  <c r="C902" i="4"/>
  <c r="A902" i="4"/>
  <c r="F901" i="4"/>
  <c r="E901" i="4"/>
  <c r="C901" i="4"/>
  <c r="A901" i="4"/>
  <c r="F900" i="4"/>
  <c r="E900" i="4"/>
  <c r="C900" i="4"/>
  <c r="A900" i="4"/>
  <c r="F899" i="4"/>
  <c r="E899" i="4"/>
  <c r="C899" i="4"/>
  <c r="A899" i="4"/>
  <c r="F898" i="4"/>
  <c r="E898" i="4"/>
  <c r="C898" i="4"/>
  <c r="A898" i="4"/>
  <c r="F897" i="4"/>
  <c r="E897" i="4"/>
  <c r="C897" i="4"/>
  <c r="A897" i="4"/>
  <c r="F896" i="4"/>
  <c r="E896" i="4"/>
  <c r="C896" i="4"/>
  <c r="A896" i="4"/>
  <c r="F895" i="4"/>
  <c r="E895" i="4"/>
  <c r="C895" i="4"/>
  <c r="A895" i="4"/>
  <c r="F894" i="4"/>
  <c r="E894" i="4"/>
  <c r="C894" i="4"/>
  <c r="A894" i="4"/>
  <c r="F893" i="4"/>
  <c r="E893" i="4"/>
  <c r="C893" i="4"/>
  <c r="A893" i="4"/>
  <c r="F892" i="4"/>
  <c r="E892" i="4"/>
  <c r="C892" i="4"/>
  <c r="A892" i="4"/>
  <c r="F891" i="4"/>
  <c r="E891" i="4"/>
  <c r="C891" i="4"/>
  <c r="A891" i="4"/>
  <c r="F890" i="4"/>
  <c r="E890" i="4"/>
  <c r="C890" i="4"/>
  <c r="A890" i="4"/>
  <c r="F889" i="4"/>
  <c r="E889" i="4"/>
  <c r="C889" i="4"/>
  <c r="A889" i="4"/>
  <c r="F888" i="4"/>
  <c r="E888" i="4"/>
  <c r="C888" i="4"/>
  <c r="A888" i="4"/>
  <c r="F887" i="4"/>
  <c r="E887" i="4"/>
  <c r="C887" i="4"/>
  <c r="A887" i="4"/>
  <c r="F886" i="4"/>
  <c r="E886" i="4"/>
  <c r="C886" i="4"/>
  <c r="A886" i="4"/>
  <c r="F885" i="4"/>
  <c r="E885" i="4"/>
  <c r="C885" i="4"/>
  <c r="A885" i="4"/>
  <c r="F884" i="4"/>
  <c r="E884" i="4"/>
  <c r="C884" i="4"/>
  <c r="A884" i="4"/>
  <c r="F883" i="4"/>
  <c r="E883" i="4"/>
  <c r="C883" i="4"/>
  <c r="A883" i="4"/>
  <c r="F882" i="4"/>
  <c r="E882" i="4"/>
  <c r="C882" i="4"/>
  <c r="A882" i="4"/>
  <c r="F881" i="4"/>
  <c r="E881" i="4"/>
  <c r="C881" i="4"/>
  <c r="A881" i="4"/>
  <c r="F880" i="4"/>
  <c r="E880" i="4"/>
  <c r="C880" i="4"/>
  <c r="A880" i="4"/>
  <c r="F879" i="4"/>
  <c r="E879" i="4"/>
  <c r="C879" i="4"/>
  <c r="A879" i="4"/>
  <c r="F878" i="4"/>
  <c r="E878" i="4"/>
  <c r="C878" i="4"/>
  <c r="A878" i="4"/>
  <c r="F877" i="4"/>
  <c r="E877" i="4"/>
  <c r="C877" i="4"/>
  <c r="A877" i="4"/>
  <c r="F876" i="4"/>
  <c r="E876" i="4"/>
  <c r="C876" i="4"/>
  <c r="A876" i="4"/>
  <c r="F875" i="4"/>
  <c r="E875" i="4"/>
  <c r="C875" i="4"/>
  <c r="A875" i="4"/>
  <c r="F874" i="4"/>
  <c r="E874" i="4"/>
  <c r="C874" i="4"/>
  <c r="A874" i="4"/>
  <c r="F873" i="4"/>
  <c r="E873" i="4"/>
  <c r="C873" i="4"/>
  <c r="A873" i="4"/>
  <c r="F872" i="4"/>
  <c r="E872" i="4"/>
  <c r="C872" i="4"/>
  <c r="A872" i="4"/>
  <c r="F871" i="4"/>
  <c r="E871" i="4"/>
  <c r="C871" i="4"/>
  <c r="A871" i="4"/>
  <c r="F870" i="4"/>
  <c r="E870" i="4"/>
  <c r="C870" i="4"/>
  <c r="A870" i="4"/>
  <c r="F869" i="4"/>
  <c r="E869" i="4"/>
  <c r="C869" i="4"/>
  <c r="A869" i="4"/>
  <c r="F868" i="4"/>
  <c r="E868" i="4"/>
  <c r="C868" i="4"/>
  <c r="A868" i="4"/>
  <c r="F867" i="4"/>
  <c r="E867" i="4"/>
  <c r="C867" i="4"/>
  <c r="A867" i="4"/>
  <c r="F866" i="4"/>
  <c r="E866" i="4"/>
  <c r="C866" i="4"/>
  <c r="A866" i="4"/>
  <c r="F865" i="4"/>
  <c r="E865" i="4"/>
  <c r="C865" i="4"/>
  <c r="A865" i="4"/>
  <c r="F864" i="4"/>
  <c r="E864" i="4"/>
  <c r="C864" i="4"/>
  <c r="A864" i="4"/>
  <c r="F863" i="4"/>
  <c r="E863" i="4"/>
  <c r="C863" i="4"/>
  <c r="A863" i="4"/>
  <c r="F862" i="4"/>
  <c r="E862" i="4"/>
  <c r="C862" i="4"/>
  <c r="A862" i="4"/>
  <c r="F861" i="4"/>
  <c r="E861" i="4"/>
  <c r="C861" i="4"/>
  <c r="A861" i="4"/>
  <c r="F860" i="4"/>
  <c r="E860" i="4"/>
  <c r="C860" i="4"/>
  <c r="A860" i="4"/>
  <c r="F859" i="4"/>
  <c r="E859" i="4"/>
  <c r="C859" i="4"/>
  <c r="A859" i="4"/>
  <c r="F858" i="4"/>
  <c r="E858" i="4"/>
  <c r="C858" i="4"/>
  <c r="A858" i="4"/>
  <c r="F857" i="4"/>
  <c r="E857" i="4"/>
  <c r="C857" i="4"/>
  <c r="A857" i="4"/>
  <c r="F856" i="4"/>
  <c r="E856" i="4"/>
  <c r="C856" i="4"/>
  <c r="A856" i="4"/>
  <c r="F855" i="4"/>
  <c r="E855" i="4"/>
  <c r="C855" i="4"/>
  <c r="A855" i="4"/>
  <c r="F854" i="4"/>
  <c r="E854" i="4"/>
  <c r="C854" i="4"/>
  <c r="A854" i="4"/>
  <c r="F853" i="4"/>
  <c r="E853" i="4"/>
  <c r="C853" i="4"/>
  <c r="A853" i="4"/>
  <c r="F852" i="4"/>
  <c r="E852" i="4"/>
  <c r="C852" i="4"/>
  <c r="A852" i="4"/>
  <c r="F851" i="4"/>
  <c r="E851" i="4"/>
  <c r="C851" i="4"/>
  <c r="A851" i="4"/>
  <c r="F850" i="4"/>
  <c r="E850" i="4"/>
  <c r="C850" i="4"/>
  <c r="A850" i="4"/>
  <c r="F849" i="4"/>
  <c r="E849" i="4"/>
  <c r="C849" i="4"/>
  <c r="A849" i="4"/>
  <c r="F848" i="4"/>
  <c r="E848" i="4"/>
  <c r="C848" i="4"/>
  <c r="A848" i="4"/>
  <c r="F847" i="4"/>
  <c r="E847" i="4"/>
  <c r="C847" i="4"/>
  <c r="A847" i="4"/>
  <c r="F846" i="4"/>
  <c r="E846" i="4"/>
  <c r="C846" i="4"/>
  <c r="A846" i="4"/>
  <c r="F845" i="4"/>
  <c r="E845" i="4"/>
  <c r="C845" i="4"/>
  <c r="A845" i="4"/>
  <c r="F844" i="4"/>
  <c r="E844" i="4"/>
  <c r="C844" i="4"/>
  <c r="A844" i="4"/>
  <c r="F843" i="4"/>
  <c r="E843" i="4"/>
  <c r="C843" i="4"/>
  <c r="A843" i="4"/>
  <c r="F842" i="4"/>
  <c r="E842" i="4"/>
  <c r="C842" i="4"/>
  <c r="A842" i="4"/>
  <c r="F841" i="4"/>
  <c r="E841" i="4"/>
  <c r="C841" i="4"/>
  <c r="A841" i="4"/>
  <c r="F840" i="4"/>
  <c r="E840" i="4"/>
  <c r="C840" i="4"/>
  <c r="A840" i="4"/>
  <c r="F839" i="4"/>
  <c r="E839" i="4"/>
  <c r="C839" i="4"/>
  <c r="A839" i="4"/>
  <c r="F838" i="4"/>
  <c r="E838" i="4"/>
  <c r="C838" i="4"/>
  <c r="A838" i="4"/>
  <c r="F837" i="4"/>
  <c r="E837" i="4"/>
  <c r="C837" i="4"/>
  <c r="A837" i="4"/>
  <c r="F836" i="4"/>
  <c r="E836" i="4"/>
  <c r="C836" i="4"/>
  <c r="A836" i="4"/>
  <c r="F835" i="4"/>
  <c r="E835" i="4"/>
  <c r="C835" i="4"/>
  <c r="A835" i="4"/>
  <c r="F834" i="4"/>
  <c r="E834" i="4"/>
  <c r="C834" i="4"/>
  <c r="A834" i="4"/>
  <c r="F833" i="4"/>
  <c r="E833" i="4"/>
  <c r="C833" i="4"/>
  <c r="A833" i="4"/>
  <c r="F832" i="4"/>
  <c r="E832" i="4"/>
  <c r="C832" i="4"/>
  <c r="A832" i="4"/>
  <c r="F831" i="4"/>
  <c r="E831" i="4"/>
  <c r="C831" i="4"/>
  <c r="A831" i="4"/>
  <c r="F830" i="4"/>
  <c r="E830" i="4"/>
  <c r="C830" i="4"/>
  <c r="A830" i="4"/>
  <c r="F829" i="4"/>
  <c r="E829" i="4"/>
  <c r="C829" i="4"/>
  <c r="A829" i="4"/>
  <c r="F828" i="4"/>
  <c r="E828" i="4"/>
  <c r="C828" i="4"/>
  <c r="A828" i="4"/>
  <c r="F827" i="4"/>
  <c r="E827" i="4"/>
  <c r="C827" i="4"/>
  <c r="A827" i="4"/>
  <c r="F826" i="4"/>
  <c r="E826" i="4"/>
  <c r="C826" i="4"/>
  <c r="A826" i="4"/>
  <c r="F825" i="4"/>
  <c r="E825" i="4"/>
  <c r="C825" i="4"/>
  <c r="A825" i="4"/>
  <c r="F824" i="4"/>
  <c r="E824" i="4"/>
  <c r="C824" i="4"/>
  <c r="A824" i="4"/>
  <c r="F823" i="4"/>
  <c r="E823" i="4"/>
  <c r="C823" i="4"/>
  <c r="A823" i="4"/>
  <c r="F822" i="4"/>
  <c r="E822" i="4"/>
  <c r="C822" i="4"/>
  <c r="A822" i="4"/>
  <c r="F821" i="4"/>
  <c r="E821" i="4"/>
  <c r="C821" i="4"/>
  <c r="A821" i="4"/>
  <c r="F820" i="4"/>
  <c r="E820" i="4"/>
  <c r="C820" i="4"/>
  <c r="A820" i="4"/>
  <c r="F819" i="4"/>
  <c r="E819" i="4"/>
  <c r="C819" i="4"/>
  <c r="A819" i="4"/>
  <c r="F818" i="4"/>
  <c r="E818" i="4"/>
  <c r="C818" i="4"/>
  <c r="A818" i="4"/>
  <c r="F817" i="4"/>
  <c r="E817" i="4"/>
  <c r="C817" i="4"/>
  <c r="A817" i="4"/>
  <c r="F816" i="4"/>
  <c r="E816" i="4"/>
  <c r="C816" i="4"/>
  <c r="A816" i="4"/>
  <c r="F815" i="4"/>
  <c r="E815" i="4"/>
  <c r="C815" i="4"/>
  <c r="A815" i="4"/>
  <c r="F814" i="4"/>
  <c r="E814" i="4"/>
  <c r="C814" i="4"/>
  <c r="A814" i="4"/>
  <c r="F813" i="4"/>
  <c r="E813" i="4"/>
  <c r="C813" i="4"/>
  <c r="A813" i="4"/>
  <c r="F812" i="4"/>
  <c r="E812" i="4"/>
  <c r="C812" i="4"/>
  <c r="A812" i="4"/>
  <c r="F811" i="4"/>
  <c r="E811" i="4"/>
  <c r="C811" i="4"/>
  <c r="A811" i="4"/>
  <c r="F810" i="4"/>
  <c r="E810" i="4"/>
  <c r="C810" i="4"/>
  <c r="A810" i="4"/>
  <c r="F809" i="4"/>
  <c r="E809" i="4"/>
  <c r="C809" i="4"/>
  <c r="A809" i="4"/>
  <c r="F808" i="4"/>
  <c r="E808" i="4"/>
  <c r="C808" i="4"/>
  <c r="A808" i="4"/>
  <c r="F807" i="4"/>
  <c r="E807" i="4"/>
  <c r="C807" i="4"/>
  <c r="A807" i="4"/>
  <c r="F806" i="4"/>
  <c r="E806" i="4"/>
  <c r="C806" i="4"/>
  <c r="A806" i="4"/>
  <c r="F805" i="4"/>
  <c r="E805" i="4"/>
  <c r="C805" i="4"/>
  <c r="A805" i="4"/>
  <c r="F804" i="4"/>
  <c r="E804" i="4"/>
  <c r="C804" i="4"/>
  <c r="A804" i="4"/>
  <c r="F803" i="4"/>
  <c r="E803" i="4"/>
  <c r="C803" i="4"/>
  <c r="A803" i="4"/>
  <c r="F802" i="4"/>
  <c r="E802" i="4"/>
  <c r="C802" i="4"/>
  <c r="A802" i="4"/>
  <c r="F801" i="4"/>
  <c r="E801" i="4"/>
  <c r="C801" i="4"/>
  <c r="A801" i="4"/>
  <c r="F800" i="4"/>
  <c r="E800" i="4"/>
  <c r="C800" i="4"/>
  <c r="A800" i="4"/>
  <c r="F799" i="4"/>
  <c r="E799" i="4"/>
  <c r="C799" i="4"/>
  <c r="A799" i="4"/>
  <c r="F798" i="4"/>
  <c r="E798" i="4"/>
  <c r="C798" i="4"/>
  <c r="A798" i="4"/>
  <c r="F797" i="4"/>
  <c r="E797" i="4"/>
  <c r="C797" i="4"/>
  <c r="A797" i="4"/>
  <c r="F796" i="4"/>
  <c r="E796" i="4"/>
  <c r="C796" i="4"/>
  <c r="A796" i="4"/>
  <c r="F795" i="4"/>
  <c r="E795" i="4"/>
  <c r="C795" i="4"/>
  <c r="A795" i="4"/>
  <c r="F794" i="4"/>
  <c r="E794" i="4"/>
  <c r="C794" i="4"/>
  <c r="A794" i="4"/>
  <c r="F793" i="4"/>
  <c r="E793" i="4"/>
  <c r="C793" i="4"/>
  <c r="A793" i="4"/>
  <c r="F792" i="4"/>
  <c r="E792" i="4"/>
  <c r="C792" i="4"/>
  <c r="A792" i="4"/>
  <c r="F791" i="4"/>
  <c r="E791" i="4"/>
  <c r="C791" i="4"/>
  <c r="A791" i="4"/>
  <c r="F790" i="4"/>
  <c r="E790" i="4"/>
  <c r="C790" i="4"/>
  <c r="A790" i="4"/>
  <c r="F789" i="4"/>
  <c r="E789" i="4"/>
  <c r="C789" i="4"/>
  <c r="A789" i="4"/>
  <c r="F788" i="4"/>
  <c r="E788" i="4"/>
  <c r="C788" i="4"/>
  <c r="A788" i="4"/>
  <c r="F787" i="4"/>
  <c r="E787" i="4"/>
  <c r="C787" i="4"/>
  <c r="A787" i="4"/>
  <c r="F786" i="4"/>
  <c r="E786" i="4"/>
  <c r="C786" i="4"/>
  <c r="A786" i="4"/>
  <c r="F785" i="4"/>
  <c r="E785" i="4"/>
  <c r="C785" i="4"/>
  <c r="A785" i="4"/>
  <c r="F784" i="4"/>
  <c r="E784" i="4"/>
  <c r="C784" i="4"/>
  <c r="A784" i="4"/>
  <c r="F783" i="4"/>
  <c r="E783" i="4"/>
  <c r="C783" i="4"/>
  <c r="A783" i="4"/>
  <c r="F782" i="4"/>
  <c r="E782" i="4"/>
  <c r="C782" i="4"/>
  <c r="A782" i="4"/>
  <c r="F781" i="4"/>
  <c r="E781" i="4"/>
  <c r="C781" i="4"/>
  <c r="A781" i="4"/>
  <c r="F780" i="4"/>
  <c r="E780" i="4"/>
  <c r="C780" i="4"/>
  <c r="A780" i="4"/>
  <c r="F779" i="4"/>
  <c r="E779" i="4"/>
  <c r="C779" i="4"/>
  <c r="A779" i="4"/>
  <c r="F778" i="4"/>
  <c r="E778" i="4"/>
  <c r="C778" i="4"/>
  <c r="A778" i="4"/>
  <c r="F777" i="4"/>
  <c r="E777" i="4"/>
  <c r="C777" i="4"/>
  <c r="A777" i="4"/>
  <c r="F776" i="4"/>
  <c r="E776" i="4"/>
  <c r="C776" i="4"/>
  <c r="A776" i="4"/>
  <c r="F775" i="4"/>
  <c r="E775" i="4"/>
  <c r="C775" i="4"/>
  <c r="A775" i="4"/>
  <c r="F774" i="4"/>
  <c r="E774" i="4"/>
  <c r="C774" i="4"/>
  <c r="A774" i="4"/>
  <c r="F773" i="4"/>
  <c r="E773" i="4"/>
  <c r="C773" i="4"/>
  <c r="A773" i="4"/>
  <c r="F772" i="4"/>
  <c r="E772" i="4"/>
  <c r="C772" i="4"/>
  <c r="A772" i="4"/>
  <c r="F771" i="4"/>
  <c r="E771" i="4"/>
  <c r="C771" i="4"/>
  <c r="A771" i="4"/>
  <c r="F770" i="4"/>
  <c r="E770" i="4"/>
  <c r="C770" i="4"/>
  <c r="A770" i="4"/>
  <c r="F769" i="4"/>
  <c r="E769" i="4"/>
  <c r="C769" i="4"/>
  <c r="A769" i="4"/>
  <c r="F768" i="4"/>
  <c r="E768" i="4"/>
  <c r="C768" i="4"/>
  <c r="A768" i="4"/>
  <c r="F767" i="4"/>
  <c r="E767" i="4"/>
  <c r="C767" i="4"/>
  <c r="A767" i="4"/>
  <c r="F766" i="4"/>
  <c r="E766" i="4"/>
  <c r="C766" i="4"/>
  <c r="A766" i="4"/>
  <c r="F765" i="4"/>
  <c r="E765" i="4"/>
  <c r="C765" i="4"/>
  <c r="A765" i="4"/>
  <c r="F764" i="4"/>
  <c r="E764" i="4"/>
  <c r="C764" i="4"/>
  <c r="A764" i="4"/>
  <c r="F763" i="4"/>
  <c r="E763" i="4"/>
  <c r="C763" i="4"/>
  <c r="A763" i="4"/>
  <c r="F762" i="4"/>
  <c r="E762" i="4"/>
  <c r="C762" i="4"/>
  <c r="A762" i="4"/>
  <c r="F761" i="4"/>
  <c r="E761" i="4"/>
  <c r="C761" i="4"/>
  <c r="A761" i="4"/>
  <c r="F760" i="4"/>
  <c r="E760" i="4"/>
  <c r="C760" i="4"/>
  <c r="A760" i="4"/>
  <c r="F759" i="4"/>
  <c r="E759" i="4"/>
  <c r="C759" i="4"/>
  <c r="A759" i="4"/>
  <c r="F758" i="4"/>
  <c r="E758" i="4"/>
  <c r="C758" i="4"/>
  <c r="F757" i="4"/>
  <c r="E757" i="4"/>
  <c r="C757" i="4"/>
  <c r="A757" i="4"/>
  <c r="F756" i="4"/>
  <c r="E756" i="4"/>
  <c r="C756" i="4"/>
  <c r="A756" i="4"/>
  <c r="F755" i="4"/>
  <c r="E755" i="4"/>
  <c r="C755" i="4"/>
  <c r="A755" i="4"/>
  <c r="F754" i="4"/>
  <c r="E754" i="4"/>
  <c r="C754" i="4"/>
  <c r="A754" i="4"/>
  <c r="F753" i="4"/>
  <c r="E753" i="4"/>
  <c r="C753" i="4"/>
  <c r="A753" i="4"/>
  <c r="F752" i="4"/>
  <c r="E752" i="4"/>
  <c r="C752" i="4"/>
  <c r="A752" i="4"/>
  <c r="F751" i="4"/>
  <c r="E751" i="4"/>
  <c r="C751" i="4"/>
  <c r="A751" i="4"/>
  <c r="F750" i="4"/>
  <c r="E750" i="4"/>
  <c r="C750" i="4"/>
  <c r="A750" i="4"/>
  <c r="F749" i="4"/>
  <c r="E749" i="4"/>
  <c r="C749" i="4"/>
  <c r="A749" i="4"/>
  <c r="F748" i="4"/>
  <c r="E748" i="4"/>
  <c r="C748" i="4"/>
  <c r="A748" i="4"/>
  <c r="F747" i="4"/>
  <c r="E747" i="4"/>
  <c r="C747" i="4"/>
  <c r="A747" i="4"/>
  <c r="F746" i="4"/>
  <c r="E746" i="4"/>
  <c r="C746" i="4"/>
  <c r="A746" i="4"/>
  <c r="F745" i="4"/>
  <c r="E745" i="4"/>
  <c r="C745" i="4"/>
  <c r="A745" i="4"/>
  <c r="F744" i="4"/>
  <c r="E744" i="4"/>
  <c r="C744" i="4"/>
  <c r="A744" i="4"/>
  <c r="F743" i="4"/>
  <c r="E743" i="4"/>
  <c r="C743" i="4"/>
  <c r="A743" i="4"/>
  <c r="F742" i="4"/>
  <c r="E742" i="4"/>
  <c r="C742" i="4"/>
  <c r="A742" i="4"/>
  <c r="F741" i="4"/>
  <c r="E741" i="4"/>
  <c r="C741" i="4"/>
  <c r="A741" i="4"/>
  <c r="F740" i="4"/>
  <c r="E740" i="4"/>
  <c r="C740" i="4"/>
  <c r="A740" i="4"/>
  <c r="F739" i="4"/>
  <c r="E739" i="4"/>
  <c r="C739" i="4"/>
  <c r="A739" i="4"/>
  <c r="F738" i="4"/>
  <c r="E738" i="4"/>
  <c r="C738" i="4"/>
  <c r="A738" i="4"/>
  <c r="F737" i="4"/>
  <c r="E737" i="4"/>
  <c r="C737" i="4"/>
  <c r="A737" i="4"/>
  <c r="F736" i="4"/>
  <c r="E736" i="4"/>
  <c r="C736" i="4"/>
  <c r="A736" i="4"/>
  <c r="F735" i="4"/>
  <c r="E735" i="4"/>
  <c r="C735" i="4"/>
  <c r="A735" i="4"/>
  <c r="F734" i="4"/>
  <c r="E734" i="4"/>
  <c r="C734" i="4"/>
  <c r="A734" i="4"/>
  <c r="F733" i="4"/>
  <c r="E733" i="4"/>
  <c r="C733" i="4"/>
  <c r="A733" i="4"/>
  <c r="F732" i="4"/>
  <c r="E732" i="4"/>
  <c r="C732" i="4"/>
  <c r="A732" i="4"/>
  <c r="F731" i="4"/>
  <c r="E731" i="4"/>
  <c r="C731" i="4"/>
  <c r="A731" i="4"/>
  <c r="F730" i="4"/>
  <c r="E730" i="4"/>
  <c r="C730" i="4"/>
  <c r="A730" i="4"/>
  <c r="F729" i="4"/>
  <c r="E729" i="4"/>
  <c r="C729" i="4"/>
  <c r="A729" i="4"/>
  <c r="F728" i="4"/>
  <c r="E728" i="4"/>
  <c r="C728" i="4"/>
  <c r="A728" i="4"/>
  <c r="F727" i="4"/>
  <c r="E727" i="4"/>
  <c r="C727" i="4"/>
  <c r="A727" i="4"/>
  <c r="F726" i="4"/>
  <c r="E726" i="4"/>
  <c r="C726" i="4"/>
  <c r="A726" i="4"/>
  <c r="F725" i="4"/>
  <c r="E725" i="4"/>
  <c r="C725" i="4"/>
  <c r="A725" i="4"/>
  <c r="F724" i="4"/>
  <c r="E724" i="4"/>
  <c r="C724" i="4"/>
  <c r="A724" i="4"/>
  <c r="F723" i="4"/>
  <c r="E723" i="4"/>
  <c r="C723" i="4"/>
  <c r="A723" i="4"/>
  <c r="F722" i="4"/>
  <c r="E722" i="4"/>
  <c r="C722" i="4"/>
  <c r="A722" i="4"/>
  <c r="F721" i="4"/>
  <c r="E721" i="4"/>
  <c r="C721" i="4"/>
  <c r="A721" i="4"/>
  <c r="F720" i="4"/>
  <c r="E720" i="4"/>
  <c r="C720" i="4"/>
  <c r="A720" i="4"/>
  <c r="F719" i="4"/>
  <c r="E719" i="4"/>
  <c r="C719" i="4"/>
  <c r="A719" i="4"/>
  <c r="F718" i="4"/>
  <c r="E718" i="4"/>
  <c r="C718" i="4"/>
  <c r="A718" i="4"/>
  <c r="F717" i="4"/>
  <c r="E717" i="4"/>
  <c r="C717" i="4"/>
  <c r="A717" i="4"/>
  <c r="F716" i="4"/>
  <c r="E716" i="4"/>
  <c r="C716" i="4"/>
  <c r="A716" i="4"/>
  <c r="F715" i="4"/>
  <c r="E715" i="4"/>
  <c r="C715" i="4"/>
  <c r="A715" i="4"/>
  <c r="F714" i="4"/>
  <c r="E714" i="4"/>
  <c r="C714" i="4"/>
  <c r="A714" i="4"/>
  <c r="F713" i="4"/>
  <c r="E713" i="4"/>
  <c r="C713" i="4"/>
  <c r="A713" i="4"/>
  <c r="F712" i="4"/>
  <c r="E712" i="4"/>
  <c r="C712" i="4"/>
  <c r="A712" i="4"/>
  <c r="F711" i="4"/>
  <c r="E711" i="4"/>
  <c r="C711" i="4"/>
  <c r="A711" i="4"/>
  <c r="F710" i="4"/>
  <c r="E710" i="4"/>
  <c r="C710" i="4"/>
  <c r="A710" i="4"/>
  <c r="F709" i="4"/>
  <c r="E709" i="4"/>
  <c r="C709" i="4"/>
  <c r="A709" i="4"/>
  <c r="F708" i="4"/>
  <c r="E708" i="4"/>
  <c r="C708" i="4"/>
  <c r="A708" i="4"/>
  <c r="F707" i="4"/>
  <c r="E707" i="4"/>
  <c r="C707" i="4"/>
  <c r="A707" i="4"/>
  <c r="F706" i="4"/>
  <c r="E706" i="4"/>
  <c r="C706" i="4"/>
  <c r="A706" i="4"/>
  <c r="F705" i="4"/>
  <c r="E705" i="4"/>
  <c r="C705" i="4"/>
  <c r="A705" i="4"/>
  <c r="F704" i="4"/>
  <c r="E704" i="4"/>
  <c r="C704" i="4"/>
  <c r="A704" i="4"/>
  <c r="F703" i="4"/>
  <c r="E703" i="4"/>
  <c r="C703" i="4"/>
  <c r="A703" i="4"/>
  <c r="F702" i="4"/>
  <c r="E702" i="4"/>
  <c r="C702" i="4"/>
  <c r="A702" i="4"/>
  <c r="F701" i="4"/>
  <c r="E701" i="4"/>
  <c r="C701" i="4"/>
  <c r="A701" i="4"/>
  <c r="F700" i="4"/>
  <c r="E700" i="4"/>
  <c r="C700" i="4"/>
  <c r="A700" i="4"/>
  <c r="F699" i="4"/>
  <c r="E699" i="4"/>
  <c r="C699" i="4"/>
  <c r="A699" i="4"/>
  <c r="F698" i="4"/>
  <c r="E698" i="4"/>
  <c r="C698" i="4"/>
  <c r="A698" i="4"/>
  <c r="F697" i="4"/>
  <c r="E697" i="4"/>
  <c r="C697" i="4"/>
  <c r="A697" i="4"/>
  <c r="F696" i="4"/>
  <c r="E696" i="4"/>
  <c r="C696" i="4"/>
  <c r="A696" i="4"/>
  <c r="F695" i="4"/>
  <c r="E695" i="4"/>
  <c r="C695" i="4"/>
  <c r="A695" i="4"/>
  <c r="F694" i="4"/>
  <c r="E694" i="4"/>
  <c r="C694" i="4"/>
  <c r="A694" i="4"/>
  <c r="F693" i="4"/>
  <c r="E693" i="4"/>
  <c r="C693" i="4"/>
  <c r="A693" i="4"/>
  <c r="F692" i="4"/>
  <c r="E692" i="4"/>
  <c r="C692" i="4"/>
  <c r="A692" i="4"/>
  <c r="F691" i="4"/>
  <c r="E691" i="4"/>
  <c r="C691" i="4"/>
  <c r="A691" i="4"/>
  <c r="F690" i="4"/>
  <c r="E690" i="4"/>
  <c r="C690" i="4"/>
  <c r="A690" i="4"/>
  <c r="F689" i="4"/>
  <c r="E689" i="4"/>
  <c r="C689" i="4"/>
  <c r="A689" i="4"/>
  <c r="F688" i="4"/>
  <c r="E688" i="4"/>
  <c r="C688" i="4"/>
  <c r="A688" i="4"/>
  <c r="F687" i="4"/>
  <c r="E687" i="4"/>
  <c r="C687" i="4"/>
  <c r="A687" i="4"/>
  <c r="F686" i="4"/>
  <c r="E686" i="4"/>
  <c r="C686" i="4"/>
  <c r="A686" i="4"/>
  <c r="F685" i="4"/>
  <c r="E685" i="4"/>
  <c r="C685" i="4"/>
  <c r="A685" i="4"/>
  <c r="F684" i="4"/>
  <c r="E684" i="4"/>
  <c r="C684" i="4"/>
  <c r="A684" i="4"/>
  <c r="F683" i="4"/>
  <c r="E683" i="4"/>
  <c r="C683" i="4"/>
  <c r="A683" i="4"/>
  <c r="F682" i="4"/>
  <c r="E682" i="4"/>
  <c r="C682" i="4"/>
  <c r="A682" i="4"/>
  <c r="F681" i="4"/>
  <c r="E681" i="4"/>
  <c r="C681" i="4"/>
  <c r="A681" i="4"/>
  <c r="F680" i="4"/>
  <c r="E680" i="4"/>
  <c r="C680" i="4"/>
  <c r="A680" i="4"/>
  <c r="F679" i="4"/>
  <c r="E679" i="4"/>
  <c r="C679" i="4"/>
  <c r="A679" i="4"/>
  <c r="F678" i="4"/>
  <c r="E678" i="4"/>
  <c r="C678" i="4"/>
  <c r="A678" i="4"/>
  <c r="F677" i="4"/>
  <c r="E677" i="4"/>
  <c r="C677" i="4"/>
  <c r="A677" i="4"/>
  <c r="F676" i="4"/>
  <c r="E676" i="4"/>
  <c r="C676" i="4"/>
  <c r="A676" i="4"/>
  <c r="F675" i="4"/>
  <c r="E675" i="4"/>
  <c r="C675" i="4"/>
  <c r="A675" i="4"/>
  <c r="F674" i="4"/>
  <c r="E674" i="4"/>
  <c r="C674" i="4"/>
  <c r="A674" i="4"/>
  <c r="F673" i="4"/>
  <c r="E673" i="4"/>
  <c r="C673" i="4"/>
  <c r="A673" i="4"/>
  <c r="F672" i="4"/>
  <c r="E672" i="4"/>
  <c r="C672" i="4"/>
  <c r="A672" i="4"/>
  <c r="F671" i="4"/>
  <c r="E671" i="4"/>
  <c r="C671" i="4"/>
  <c r="A671" i="4"/>
  <c r="F670" i="4"/>
  <c r="E670" i="4"/>
  <c r="C670" i="4"/>
  <c r="A670" i="4"/>
  <c r="F669" i="4"/>
  <c r="E669" i="4"/>
  <c r="C669" i="4"/>
  <c r="A669" i="4"/>
  <c r="F668" i="4"/>
  <c r="E668" i="4"/>
  <c r="C668" i="4"/>
  <c r="A668" i="4"/>
  <c r="F667" i="4"/>
  <c r="E667" i="4"/>
  <c r="C667" i="4"/>
  <c r="A667" i="4"/>
  <c r="F666" i="4"/>
  <c r="E666" i="4"/>
  <c r="C666" i="4"/>
  <c r="A666" i="4"/>
  <c r="F665" i="4"/>
  <c r="E665" i="4"/>
  <c r="C665" i="4"/>
  <c r="A665" i="4"/>
  <c r="F664" i="4"/>
  <c r="E664" i="4"/>
  <c r="C664" i="4"/>
  <c r="A664" i="4"/>
  <c r="F663" i="4"/>
  <c r="E663" i="4"/>
  <c r="C663" i="4"/>
  <c r="A663" i="4"/>
  <c r="F662" i="4"/>
  <c r="E662" i="4"/>
  <c r="C662" i="4"/>
  <c r="A662" i="4"/>
  <c r="F661" i="4"/>
  <c r="E661" i="4"/>
  <c r="C661" i="4"/>
  <c r="A661" i="4"/>
  <c r="F660" i="4"/>
  <c r="E660" i="4"/>
  <c r="C660" i="4"/>
  <c r="A660" i="4"/>
  <c r="F659" i="4"/>
  <c r="E659" i="4"/>
  <c r="C659" i="4"/>
  <c r="A659" i="4"/>
  <c r="F658" i="4"/>
  <c r="E658" i="4"/>
  <c r="C658" i="4"/>
  <c r="A658" i="4"/>
  <c r="F657" i="4"/>
  <c r="E657" i="4"/>
  <c r="C657" i="4"/>
  <c r="A657" i="4"/>
  <c r="F656" i="4"/>
  <c r="E656" i="4"/>
  <c r="C656" i="4"/>
  <c r="A656" i="4"/>
  <c r="F655" i="4"/>
  <c r="E655" i="4"/>
  <c r="C655" i="4"/>
  <c r="A655" i="4"/>
  <c r="F654" i="4"/>
  <c r="E654" i="4"/>
  <c r="C654" i="4"/>
  <c r="A654" i="4"/>
  <c r="F653" i="4"/>
  <c r="E653" i="4"/>
  <c r="C653" i="4"/>
  <c r="A653" i="4"/>
  <c r="F652" i="4"/>
  <c r="E652" i="4"/>
  <c r="C652" i="4"/>
  <c r="A652" i="4"/>
  <c r="F651" i="4"/>
  <c r="E651" i="4"/>
  <c r="C651" i="4"/>
  <c r="A651" i="4"/>
  <c r="F650" i="4"/>
  <c r="E650" i="4"/>
  <c r="C650" i="4"/>
  <c r="A650" i="4"/>
  <c r="F649" i="4"/>
  <c r="E649" i="4"/>
  <c r="C649" i="4"/>
  <c r="A649" i="4"/>
  <c r="F648" i="4"/>
  <c r="E648" i="4"/>
  <c r="C648" i="4"/>
  <c r="A648" i="4"/>
  <c r="F647" i="4"/>
  <c r="E647" i="4"/>
  <c r="C647" i="4"/>
  <c r="A647" i="4"/>
  <c r="F646" i="4"/>
  <c r="E646" i="4"/>
  <c r="C646" i="4"/>
  <c r="A646" i="4"/>
  <c r="F645" i="4"/>
  <c r="E645" i="4"/>
  <c r="C645" i="4"/>
  <c r="A645" i="4"/>
  <c r="F644" i="4"/>
  <c r="E644" i="4"/>
  <c r="C644" i="4"/>
  <c r="A644" i="4"/>
  <c r="F643" i="4"/>
  <c r="E643" i="4"/>
  <c r="C643" i="4"/>
  <c r="A643" i="4"/>
  <c r="F642" i="4"/>
  <c r="E642" i="4"/>
  <c r="C642" i="4"/>
  <c r="A642" i="4"/>
  <c r="F641" i="4"/>
  <c r="E641" i="4"/>
  <c r="C641" i="4"/>
  <c r="A641" i="4"/>
  <c r="F640" i="4"/>
  <c r="E640" i="4"/>
  <c r="C640" i="4"/>
  <c r="A640" i="4"/>
  <c r="F639" i="4"/>
  <c r="E639" i="4"/>
  <c r="C639" i="4"/>
  <c r="A639" i="4"/>
  <c r="F638" i="4"/>
  <c r="E638" i="4"/>
  <c r="C638" i="4"/>
  <c r="A638" i="4"/>
  <c r="F637" i="4"/>
  <c r="E637" i="4"/>
  <c r="C637" i="4"/>
  <c r="A637" i="4"/>
  <c r="F636" i="4"/>
  <c r="E636" i="4"/>
  <c r="C636" i="4"/>
  <c r="A636" i="4"/>
  <c r="F635" i="4"/>
  <c r="E635" i="4"/>
  <c r="C635" i="4"/>
  <c r="A635" i="4"/>
  <c r="F634" i="4"/>
  <c r="E634" i="4"/>
  <c r="C634" i="4"/>
  <c r="A634" i="4"/>
  <c r="F633" i="4"/>
  <c r="E633" i="4"/>
  <c r="C633" i="4"/>
  <c r="A633" i="4"/>
  <c r="F632" i="4"/>
  <c r="E632" i="4"/>
  <c r="C632" i="4"/>
  <c r="A632" i="4"/>
  <c r="F631" i="4"/>
  <c r="E631" i="4"/>
  <c r="C631" i="4"/>
  <c r="A631" i="4"/>
  <c r="F630" i="4"/>
  <c r="E630" i="4"/>
  <c r="C630" i="4"/>
  <c r="A630" i="4"/>
  <c r="F629" i="4"/>
  <c r="E629" i="4"/>
  <c r="C629" i="4"/>
  <c r="A629" i="4"/>
  <c r="F628" i="4"/>
  <c r="E628" i="4"/>
  <c r="C628" i="4"/>
  <c r="A628" i="4"/>
  <c r="F627" i="4"/>
  <c r="E627" i="4"/>
  <c r="C627" i="4"/>
  <c r="A627" i="4"/>
  <c r="F626" i="4"/>
  <c r="E626" i="4"/>
  <c r="C626" i="4"/>
  <c r="A626" i="4"/>
  <c r="F625" i="4"/>
  <c r="E625" i="4"/>
  <c r="C625" i="4"/>
  <c r="A625" i="4"/>
  <c r="F624" i="4"/>
  <c r="E624" i="4"/>
  <c r="C624" i="4"/>
  <c r="A624" i="4"/>
  <c r="F623" i="4"/>
  <c r="E623" i="4"/>
  <c r="C623" i="4"/>
  <c r="A623" i="4"/>
  <c r="F622" i="4"/>
  <c r="E622" i="4"/>
  <c r="C622" i="4"/>
  <c r="A622" i="4"/>
  <c r="F621" i="4"/>
  <c r="E621" i="4"/>
  <c r="C621" i="4"/>
  <c r="A621" i="4"/>
  <c r="F620" i="4"/>
  <c r="E620" i="4"/>
  <c r="C620" i="4"/>
  <c r="A620" i="4"/>
  <c r="F619" i="4"/>
  <c r="E619" i="4"/>
  <c r="C619" i="4"/>
  <c r="A619" i="4"/>
  <c r="F618" i="4"/>
  <c r="E618" i="4"/>
  <c r="C618" i="4"/>
  <c r="A618" i="4"/>
  <c r="F617" i="4"/>
  <c r="E617" i="4"/>
  <c r="C617" i="4"/>
  <c r="A617" i="4"/>
  <c r="F616" i="4"/>
  <c r="E616" i="4"/>
  <c r="C616" i="4"/>
  <c r="A616" i="4"/>
  <c r="F615" i="4"/>
  <c r="E615" i="4"/>
  <c r="C615" i="4"/>
  <c r="A615" i="4"/>
  <c r="F614" i="4"/>
  <c r="E614" i="4"/>
  <c r="C614" i="4"/>
  <c r="A614" i="4"/>
  <c r="F613" i="4"/>
  <c r="E613" i="4"/>
  <c r="C613" i="4"/>
  <c r="A613" i="4"/>
  <c r="F612" i="4"/>
  <c r="E612" i="4"/>
  <c r="C612" i="4"/>
  <c r="A612" i="4"/>
  <c r="F611" i="4"/>
  <c r="E611" i="4"/>
  <c r="C611" i="4"/>
  <c r="A611" i="4"/>
  <c r="F610" i="4"/>
  <c r="E610" i="4"/>
  <c r="C610" i="4"/>
  <c r="A610" i="4"/>
  <c r="F609" i="4"/>
  <c r="E609" i="4"/>
  <c r="C609" i="4"/>
  <c r="A609" i="4"/>
  <c r="F608" i="4"/>
  <c r="E608" i="4"/>
  <c r="C608" i="4"/>
  <c r="A608" i="4"/>
  <c r="F607" i="4"/>
  <c r="E607" i="4"/>
  <c r="C607" i="4"/>
  <c r="A607" i="4"/>
  <c r="F606" i="4"/>
  <c r="E606" i="4"/>
  <c r="C606" i="4"/>
  <c r="A606" i="4"/>
  <c r="F605" i="4"/>
  <c r="E605" i="4"/>
  <c r="C605" i="4"/>
  <c r="A605" i="4"/>
  <c r="F604" i="4"/>
  <c r="E604" i="4"/>
  <c r="C604" i="4"/>
  <c r="A604" i="4"/>
  <c r="F603" i="4"/>
  <c r="E603" i="4"/>
  <c r="C603" i="4"/>
  <c r="A603" i="4"/>
  <c r="F602" i="4"/>
  <c r="E602" i="4"/>
  <c r="C602" i="4"/>
  <c r="A602" i="4"/>
  <c r="F601" i="4"/>
  <c r="E601" i="4"/>
  <c r="C601" i="4"/>
  <c r="A601" i="4"/>
  <c r="F600" i="4"/>
  <c r="E600" i="4"/>
  <c r="C600" i="4"/>
  <c r="A600" i="4"/>
  <c r="F599" i="4"/>
  <c r="E599" i="4"/>
  <c r="C599" i="4"/>
  <c r="A599" i="4"/>
  <c r="F598" i="4"/>
  <c r="E598" i="4"/>
  <c r="C598" i="4"/>
  <c r="A598" i="4"/>
  <c r="F597" i="4"/>
  <c r="E597" i="4"/>
  <c r="C597" i="4"/>
  <c r="A597" i="4"/>
  <c r="F596" i="4"/>
  <c r="E596" i="4"/>
  <c r="C596" i="4"/>
  <c r="A596" i="4"/>
  <c r="F595" i="4"/>
  <c r="E595" i="4"/>
  <c r="C595" i="4"/>
  <c r="A595" i="4"/>
  <c r="F594" i="4"/>
  <c r="E594" i="4"/>
  <c r="C594" i="4"/>
  <c r="A594" i="4"/>
  <c r="F593" i="4"/>
  <c r="E593" i="4"/>
  <c r="C593" i="4"/>
  <c r="A593" i="4"/>
  <c r="F592" i="4"/>
  <c r="E592" i="4"/>
  <c r="C592" i="4"/>
  <c r="A592" i="4"/>
  <c r="F591" i="4"/>
  <c r="E591" i="4"/>
  <c r="C591" i="4"/>
  <c r="A591" i="4"/>
  <c r="F590" i="4"/>
  <c r="E590" i="4"/>
  <c r="C590" i="4"/>
  <c r="A590" i="4"/>
  <c r="F589" i="4"/>
  <c r="E589" i="4"/>
  <c r="C589" i="4"/>
  <c r="A589" i="4"/>
  <c r="F588" i="4"/>
  <c r="E588" i="4"/>
  <c r="C588" i="4"/>
  <c r="A588" i="4"/>
  <c r="F587" i="4"/>
  <c r="E587" i="4"/>
  <c r="C587" i="4"/>
  <c r="A587" i="4"/>
  <c r="F586" i="4"/>
  <c r="E586" i="4"/>
  <c r="C586" i="4"/>
  <c r="A586" i="4"/>
  <c r="F585" i="4"/>
  <c r="E585" i="4"/>
  <c r="C585" i="4"/>
  <c r="A585" i="4"/>
  <c r="F584" i="4"/>
  <c r="E584" i="4"/>
  <c r="C584" i="4"/>
  <c r="A584" i="4"/>
  <c r="F583" i="4"/>
  <c r="E583" i="4"/>
  <c r="C583" i="4"/>
  <c r="A583" i="4"/>
  <c r="F582" i="4"/>
  <c r="E582" i="4"/>
  <c r="C582" i="4"/>
  <c r="A582" i="4"/>
  <c r="F581" i="4"/>
  <c r="E581" i="4"/>
  <c r="C581" i="4"/>
  <c r="A581" i="4"/>
  <c r="F580" i="4"/>
  <c r="E580" i="4"/>
  <c r="C580" i="4"/>
  <c r="A580" i="4"/>
  <c r="F579" i="4"/>
  <c r="E579" i="4"/>
  <c r="C579" i="4"/>
  <c r="A579" i="4"/>
  <c r="F578" i="4"/>
  <c r="E578" i="4"/>
  <c r="C578" i="4"/>
  <c r="A578" i="4"/>
  <c r="F577" i="4"/>
  <c r="E577" i="4"/>
  <c r="C577" i="4"/>
  <c r="A577" i="4"/>
  <c r="F576" i="4"/>
  <c r="E576" i="4"/>
  <c r="C576" i="4"/>
  <c r="A576" i="4"/>
  <c r="F575" i="4"/>
  <c r="E575" i="4"/>
  <c r="C575" i="4"/>
  <c r="A575" i="4"/>
  <c r="F574" i="4"/>
  <c r="E574" i="4"/>
  <c r="C574" i="4"/>
  <c r="A574" i="4"/>
  <c r="F573" i="4"/>
  <c r="E573" i="4"/>
  <c r="C573" i="4"/>
  <c r="A573" i="4"/>
  <c r="F572" i="4"/>
  <c r="E572" i="4"/>
  <c r="C572" i="4"/>
  <c r="A572" i="4"/>
  <c r="F571" i="4"/>
  <c r="E571" i="4"/>
  <c r="C571" i="4"/>
  <c r="A571" i="4"/>
  <c r="F570" i="4"/>
  <c r="E570" i="4"/>
  <c r="C570" i="4"/>
  <c r="A570" i="4"/>
  <c r="F569" i="4"/>
  <c r="E569" i="4"/>
  <c r="C569" i="4"/>
  <c r="A569" i="4"/>
  <c r="F568" i="4"/>
  <c r="E568" i="4"/>
  <c r="C568" i="4"/>
  <c r="A568" i="4"/>
  <c r="F567" i="4"/>
  <c r="E567" i="4"/>
  <c r="C567" i="4"/>
  <c r="A567" i="4"/>
  <c r="F566" i="4"/>
  <c r="E566" i="4"/>
  <c r="C566" i="4"/>
  <c r="A566" i="4"/>
  <c r="F565" i="4"/>
  <c r="E565" i="4"/>
  <c r="C565" i="4"/>
  <c r="A565" i="4"/>
  <c r="F564" i="4"/>
  <c r="E564" i="4"/>
  <c r="C564" i="4"/>
  <c r="A564" i="4"/>
  <c r="F563" i="4"/>
  <c r="E563" i="4"/>
  <c r="C563" i="4"/>
  <c r="A563" i="4"/>
  <c r="F562" i="4"/>
  <c r="E562" i="4"/>
  <c r="C562" i="4"/>
  <c r="A562" i="4"/>
  <c r="F561" i="4"/>
  <c r="E561" i="4"/>
  <c r="C561" i="4"/>
  <c r="A561" i="4"/>
  <c r="F560" i="4"/>
  <c r="E560" i="4"/>
  <c r="C560" i="4"/>
  <c r="A560" i="4"/>
  <c r="F559" i="4"/>
  <c r="E559" i="4"/>
  <c r="C559" i="4"/>
  <c r="A559" i="4"/>
  <c r="F558" i="4"/>
  <c r="E558" i="4"/>
  <c r="C558" i="4"/>
  <c r="A558" i="4"/>
  <c r="F557" i="4"/>
  <c r="E557" i="4"/>
  <c r="C557" i="4"/>
  <c r="A557" i="4"/>
  <c r="F556" i="4"/>
  <c r="E556" i="4"/>
  <c r="C556" i="4"/>
  <c r="A556" i="4"/>
  <c r="F555" i="4"/>
  <c r="E555" i="4"/>
  <c r="C555" i="4"/>
  <c r="A555" i="4"/>
  <c r="F554" i="4"/>
  <c r="E554" i="4"/>
  <c r="C554" i="4"/>
  <c r="A554" i="4"/>
  <c r="F553" i="4"/>
  <c r="E553" i="4"/>
  <c r="C553" i="4"/>
  <c r="A553" i="4"/>
  <c r="F552" i="4"/>
  <c r="E552" i="4"/>
  <c r="C552" i="4"/>
  <c r="A552" i="4"/>
  <c r="F551" i="4"/>
  <c r="E551" i="4"/>
  <c r="C551" i="4"/>
  <c r="A551" i="4"/>
  <c r="F550" i="4"/>
  <c r="E550" i="4"/>
  <c r="C550" i="4"/>
  <c r="A550" i="4"/>
  <c r="F549" i="4"/>
  <c r="E549" i="4"/>
  <c r="C549" i="4"/>
  <c r="A549" i="4"/>
  <c r="F548" i="4"/>
  <c r="E548" i="4"/>
  <c r="C548" i="4"/>
  <c r="A548" i="4"/>
  <c r="F547" i="4"/>
  <c r="E547" i="4"/>
  <c r="C547" i="4"/>
  <c r="A547" i="4"/>
  <c r="F546" i="4"/>
  <c r="E546" i="4"/>
  <c r="C546" i="4"/>
  <c r="A546" i="4"/>
  <c r="F545" i="4"/>
  <c r="E545" i="4"/>
  <c r="C545" i="4"/>
  <c r="A545" i="4"/>
  <c r="F544" i="4"/>
  <c r="E544" i="4"/>
  <c r="C544" i="4"/>
  <c r="A544" i="4"/>
  <c r="F543" i="4"/>
  <c r="E543" i="4"/>
  <c r="C543" i="4"/>
  <c r="A543" i="4"/>
  <c r="F542" i="4"/>
  <c r="E542" i="4"/>
  <c r="C542" i="4"/>
  <c r="A542" i="4"/>
  <c r="F541" i="4"/>
  <c r="E541" i="4"/>
  <c r="C541" i="4"/>
  <c r="A541" i="4"/>
  <c r="F540" i="4"/>
  <c r="E540" i="4"/>
  <c r="C540" i="4"/>
  <c r="A540" i="4"/>
  <c r="F539" i="4"/>
  <c r="E539" i="4"/>
  <c r="C539" i="4"/>
  <c r="A539" i="4"/>
  <c r="F538" i="4"/>
  <c r="E538" i="4"/>
  <c r="C538" i="4"/>
  <c r="A538" i="4"/>
  <c r="F537" i="4"/>
  <c r="E537" i="4"/>
  <c r="C537" i="4"/>
  <c r="A537" i="4"/>
  <c r="F536" i="4"/>
  <c r="E536" i="4"/>
  <c r="C536" i="4"/>
  <c r="A536" i="4"/>
  <c r="F535" i="4"/>
  <c r="E535" i="4"/>
  <c r="C535" i="4"/>
  <c r="A535" i="4"/>
  <c r="F534" i="4"/>
  <c r="E534" i="4"/>
  <c r="C534" i="4"/>
  <c r="A534" i="4"/>
  <c r="F533" i="4"/>
  <c r="E533" i="4"/>
  <c r="C533" i="4"/>
  <c r="A533" i="4"/>
  <c r="F532" i="4"/>
  <c r="E532" i="4"/>
  <c r="C532" i="4"/>
  <c r="A532" i="4"/>
  <c r="F531" i="4"/>
  <c r="E531" i="4"/>
  <c r="C531" i="4"/>
  <c r="A531" i="4"/>
  <c r="F530" i="4"/>
  <c r="E530" i="4"/>
  <c r="C530" i="4"/>
  <c r="A530" i="4"/>
  <c r="F529" i="4"/>
  <c r="E529" i="4"/>
  <c r="C529" i="4"/>
  <c r="A529" i="4"/>
  <c r="F528" i="4"/>
  <c r="E528" i="4"/>
  <c r="C528" i="4"/>
  <c r="A528" i="4"/>
  <c r="F527" i="4"/>
  <c r="E527" i="4"/>
  <c r="C527" i="4"/>
  <c r="A527" i="4"/>
  <c r="F526" i="4"/>
  <c r="E526" i="4"/>
  <c r="C526" i="4"/>
  <c r="A526" i="4"/>
  <c r="F525" i="4"/>
  <c r="E525" i="4"/>
  <c r="C525" i="4"/>
  <c r="A525" i="4"/>
  <c r="F524" i="4"/>
  <c r="E524" i="4"/>
  <c r="C524" i="4"/>
  <c r="A524" i="4"/>
  <c r="F523" i="4"/>
  <c r="E523" i="4"/>
  <c r="C523" i="4"/>
  <c r="A523" i="4"/>
  <c r="F522" i="4"/>
  <c r="E522" i="4"/>
  <c r="C522" i="4"/>
  <c r="A522" i="4"/>
  <c r="F521" i="4"/>
  <c r="E521" i="4"/>
  <c r="C521" i="4"/>
  <c r="A521" i="4"/>
  <c r="F520" i="4"/>
  <c r="E520" i="4"/>
  <c r="C520" i="4"/>
  <c r="A520" i="4"/>
  <c r="F519" i="4"/>
  <c r="E519" i="4"/>
  <c r="C519" i="4"/>
  <c r="A519" i="4"/>
  <c r="F518" i="4"/>
  <c r="E518" i="4"/>
  <c r="C518" i="4"/>
  <c r="A518" i="4"/>
  <c r="F517" i="4"/>
  <c r="E517" i="4"/>
  <c r="C517" i="4"/>
  <c r="A517" i="4"/>
  <c r="F516" i="4"/>
  <c r="E516" i="4"/>
  <c r="C516" i="4"/>
  <c r="A516" i="4"/>
  <c r="F515" i="4"/>
  <c r="E515" i="4"/>
  <c r="C515" i="4"/>
  <c r="A515" i="4"/>
  <c r="F514" i="4"/>
  <c r="E514" i="4"/>
  <c r="C514" i="4"/>
  <c r="A514" i="4"/>
  <c r="F513" i="4"/>
  <c r="E513" i="4"/>
  <c r="C513" i="4"/>
  <c r="A513" i="4"/>
  <c r="F512" i="4"/>
  <c r="E512" i="4"/>
  <c r="C512" i="4"/>
  <c r="A512" i="4"/>
  <c r="F511" i="4"/>
  <c r="E511" i="4"/>
  <c r="C511" i="4"/>
  <c r="A511" i="4"/>
  <c r="F510" i="4"/>
  <c r="E510" i="4"/>
  <c r="C510" i="4"/>
  <c r="A510" i="4"/>
  <c r="F509" i="4"/>
  <c r="E509" i="4"/>
  <c r="C509" i="4"/>
  <c r="A509" i="4"/>
  <c r="F508" i="4"/>
  <c r="E508" i="4"/>
  <c r="C508" i="4"/>
  <c r="A508" i="4"/>
  <c r="F507" i="4"/>
  <c r="E507" i="4"/>
  <c r="C507" i="4"/>
  <c r="A507" i="4"/>
  <c r="F506" i="4"/>
  <c r="E506" i="4"/>
  <c r="C506" i="4"/>
  <c r="A506" i="4"/>
  <c r="F505" i="4"/>
  <c r="E505" i="4"/>
  <c r="C505" i="4"/>
  <c r="A505" i="4"/>
  <c r="F504" i="4"/>
  <c r="E504" i="4"/>
  <c r="C504" i="4"/>
  <c r="A504" i="4"/>
  <c r="F503" i="4"/>
  <c r="E503" i="4"/>
  <c r="C503" i="4"/>
  <c r="A503" i="4"/>
  <c r="F502" i="4"/>
  <c r="E502" i="4"/>
  <c r="C502" i="4"/>
  <c r="A502" i="4"/>
  <c r="F501" i="4"/>
  <c r="E501" i="4"/>
  <c r="C501" i="4"/>
  <c r="A501" i="4"/>
  <c r="F500" i="4"/>
  <c r="E500" i="4"/>
  <c r="C500" i="4"/>
  <c r="A500" i="4"/>
  <c r="F499" i="4"/>
  <c r="E499" i="4"/>
  <c r="C499" i="4"/>
  <c r="A499" i="4"/>
  <c r="F498" i="4"/>
  <c r="E498" i="4"/>
  <c r="C498" i="4"/>
  <c r="A498" i="4"/>
  <c r="F497" i="4"/>
  <c r="E497" i="4"/>
  <c r="C497" i="4"/>
  <c r="A497" i="4"/>
  <c r="F496" i="4"/>
  <c r="E496" i="4"/>
  <c r="C496" i="4"/>
  <c r="A496" i="4"/>
  <c r="F495" i="4"/>
  <c r="E495" i="4"/>
  <c r="C495" i="4"/>
  <c r="A495" i="4"/>
  <c r="F494" i="4"/>
  <c r="E494" i="4"/>
  <c r="C494" i="4"/>
  <c r="A494" i="4"/>
  <c r="F493" i="4"/>
  <c r="E493" i="4"/>
  <c r="C493" i="4"/>
  <c r="A493" i="4"/>
  <c r="F492" i="4"/>
  <c r="E492" i="4"/>
  <c r="C492" i="4"/>
  <c r="A492" i="4"/>
  <c r="F491" i="4"/>
  <c r="E491" i="4"/>
  <c r="C491" i="4"/>
  <c r="A491" i="4"/>
  <c r="F490" i="4"/>
  <c r="E490" i="4"/>
  <c r="C490" i="4"/>
  <c r="A490" i="4"/>
  <c r="F489" i="4"/>
  <c r="E489" i="4"/>
  <c r="C489" i="4"/>
  <c r="A489" i="4"/>
  <c r="F488" i="4"/>
  <c r="E488" i="4"/>
  <c r="C488" i="4"/>
  <c r="A488" i="4"/>
  <c r="F487" i="4"/>
  <c r="E487" i="4"/>
  <c r="C487" i="4"/>
  <c r="A487" i="4"/>
  <c r="F486" i="4"/>
  <c r="E486" i="4"/>
  <c r="C486" i="4"/>
  <c r="A486" i="4"/>
  <c r="F485" i="4"/>
  <c r="E485" i="4"/>
  <c r="C485" i="4"/>
  <c r="A485" i="4"/>
  <c r="F484" i="4"/>
  <c r="E484" i="4"/>
  <c r="C484" i="4"/>
  <c r="A484" i="4"/>
  <c r="F483" i="4"/>
  <c r="E483" i="4"/>
  <c r="C483" i="4"/>
  <c r="A483" i="4"/>
  <c r="F482" i="4"/>
  <c r="E482" i="4"/>
  <c r="C482" i="4"/>
  <c r="A482" i="4"/>
  <c r="F481" i="4"/>
  <c r="E481" i="4"/>
  <c r="C481" i="4"/>
  <c r="A481" i="4"/>
  <c r="F480" i="4"/>
  <c r="E480" i="4"/>
  <c r="C480" i="4"/>
  <c r="A480" i="4"/>
  <c r="F479" i="4"/>
  <c r="E479" i="4"/>
  <c r="C479" i="4"/>
  <c r="A479" i="4"/>
  <c r="F478" i="4"/>
  <c r="E478" i="4"/>
  <c r="C478" i="4"/>
  <c r="A478" i="4"/>
  <c r="F477" i="4"/>
  <c r="E477" i="4"/>
  <c r="C477" i="4"/>
  <c r="A477" i="4"/>
  <c r="F476" i="4"/>
  <c r="E476" i="4"/>
  <c r="C476" i="4"/>
  <c r="A476" i="4"/>
  <c r="F475" i="4"/>
  <c r="E475" i="4"/>
  <c r="C475" i="4"/>
  <c r="A475" i="4"/>
  <c r="F474" i="4"/>
  <c r="E474" i="4"/>
  <c r="C474" i="4"/>
  <c r="A474" i="4"/>
  <c r="F473" i="4"/>
  <c r="E473" i="4"/>
  <c r="C473" i="4"/>
  <c r="A473" i="4"/>
  <c r="F472" i="4"/>
  <c r="E472" i="4"/>
  <c r="C472" i="4"/>
  <c r="A472" i="4"/>
  <c r="F471" i="4"/>
  <c r="E471" i="4"/>
  <c r="C471" i="4"/>
  <c r="A471" i="4"/>
  <c r="F470" i="4"/>
  <c r="E470" i="4"/>
  <c r="C470" i="4"/>
  <c r="A470" i="4"/>
  <c r="F469" i="4"/>
  <c r="E469" i="4"/>
  <c r="C469" i="4"/>
  <c r="A469" i="4"/>
  <c r="F468" i="4"/>
  <c r="E468" i="4"/>
  <c r="C468" i="4"/>
  <c r="A468" i="4"/>
  <c r="F467" i="4"/>
  <c r="E467" i="4"/>
  <c r="C467" i="4"/>
  <c r="A467" i="4"/>
  <c r="F466" i="4"/>
  <c r="E466" i="4"/>
  <c r="C466" i="4"/>
  <c r="A466" i="4"/>
  <c r="F465" i="4"/>
  <c r="E465" i="4"/>
  <c r="C465" i="4"/>
  <c r="A465" i="4"/>
  <c r="F464" i="4"/>
  <c r="E464" i="4"/>
  <c r="C464" i="4"/>
  <c r="A464" i="4"/>
  <c r="F463" i="4"/>
  <c r="E463" i="4"/>
  <c r="C463" i="4"/>
  <c r="A463" i="4"/>
  <c r="F462" i="4"/>
  <c r="E462" i="4"/>
  <c r="C462" i="4"/>
  <c r="A462" i="4"/>
  <c r="F461" i="4"/>
  <c r="E461" i="4"/>
  <c r="C461" i="4"/>
  <c r="A461" i="4"/>
  <c r="F460" i="4"/>
  <c r="E460" i="4"/>
  <c r="C460" i="4"/>
  <c r="A460" i="4"/>
  <c r="F459" i="4"/>
  <c r="E459" i="4"/>
  <c r="C459" i="4"/>
  <c r="A459" i="4"/>
  <c r="F458" i="4"/>
  <c r="E458" i="4"/>
  <c r="C458" i="4"/>
  <c r="A458" i="4"/>
  <c r="F457" i="4"/>
  <c r="E457" i="4"/>
  <c r="C457" i="4"/>
  <c r="A457" i="4"/>
  <c r="F456" i="4"/>
  <c r="E456" i="4"/>
  <c r="C456" i="4"/>
  <c r="A456" i="4"/>
  <c r="F455" i="4"/>
  <c r="E455" i="4"/>
  <c r="C455" i="4"/>
  <c r="A455" i="4"/>
  <c r="F454" i="4"/>
  <c r="E454" i="4"/>
  <c r="C454" i="4"/>
  <c r="A454" i="4"/>
  <c r="F453" i="4"/>
  <c r="E453" i="4"/>
  <c r="C453" i="4"/>
  <c r="A453" i="4"/>
  <c r="F452" i="4"/>
  <c r="E452" i="4"/>
  <c r="C452" i="4"/>
  <c r="A452" i="4"/>
  <c r="F451" i="4"/>
  <c r="E451" i="4"/>
  <c r="C451" i="4"/>
  <c r="A451" i="4"/>
  <c r="F450" i="4"/>
  <c r="E450" i="4"/>
  <c r="C450" i="4"/>
  <c r="A450" i="4"/>
  <c r="F449" i="4"/>
  <c r="E449" i="4"/>
  <c r="C449" i="4"/>
  <c r="A449" i="4"/>
  <c r="F448" i="4"/>
  <c r="E448" i="4"/>
  <c r="C448" i="4"/>
  <c r="A448" i="4"/>
  <c r="F447" i="4"/>
  <c r="E447" i="4"/>
  <c r="C447" i="4"/>
  <c r="A447" i="4"/>
  <c r="F446" i="4"/>
  <c r="E446" i="4"/>
  <c r="C446" i="4"/>
  <c r="A446" i="4"/>
  <c r="F445" i="4"/>
  <c r="E445" i="4"/>
  <c r="C445" i="4"/>
  <c r="A445" i="4"/>
  <c r="F444" i="4"/>
  <c r="E444" i="4"/>
  <c r="C444" i="4"/>
  <c r="A444" i="4"/>
  <c r="F443" i="4"/>
  <c r="E443" i="4"/>
  <c r="C443" i="4"/>
  <c r="A443" i="4"/>
  <c r="F442" i="4"/>
  <c r="E442" i="4"/>
  <c r="C442" i="4"/>
  <c r="A442" i="4"/>
  <c r="F441" i="4"/>
  <c r="E441" i="4"/>
  <c r="C441" i="4"/>
  <c r="A441" i="4"/>
  <c r="F440" i="4"/>
  <c r="E440" i="4"/>
  <c r="C440" i="4"/>
  <c r="A440" i="4"/>
  <c r="F439" i="4"/>
  <c r="E439" i="4"/>
  <c r="C439" i="4"/>
  <c r="A439" i="4"/>
  <c r="F438" i="4"/>
  <c r="E438" i="4"/>
  <c r="C438" i="4"/>
  <c r="A438" i="4"/>
  <c r="F437" i="4"/>
  <c r="E437" i="4"/>
  <c r="C437" i="4"/>
  <c r="A437" i="4"/>
  <c r="F436" i="4"/>
  <c r="E436" i="4"/>
  <c r="C436" i="4"/>
  <c r="A436" i="4"/>
  <c r="F435" i="4"/>
  <c r="E435" i="4"/>
  <c r="C435" i="4"/>
  <c r="A435" i="4"/>
  <c r="F434" i="4"/>
  <c r="E434" i="4"/>
  <c r="C434" i="4"/>
  <c r="A434" i="4"/>
  <c r="F433" i="4"/>
  <c r="E433" i="4"/>
  <c r="C433" i="4"/>
  <c r="A433" i="4"/>
  <c r="F432" i="4"/>
  <c r="E432" i="4"/>
  <c r="C432" i="4"/>
  <c r="A432" i="4"/>
  <c r="F431" i="4"/>
  <c r="E431" i="4"/>
  <c r="C431" i="4"/>
  <c r="A431" i="4"/>
  <c r="F430" i="4"/>
  <c r="E430" i="4"/>
  <c r="C430" i="4"/>
  <c r="A430" i="4"/>
  <c r="F429" i="4"/>
  <c r="E429" i="4"/>
  <c r="C429" i="4"/>
  <c r="A429" i="4"/>
  <c r="F428" i="4"/>
  <c r="E428" i="4"/>
  <c r="C428" i="4"/>
  <c r="A428" i="4"/>
  <c r="F427" i="4"/>
  <c r="E427" i="4"/>
  <c r="C427" i="4"/>
  <c r="A427" i="4"/>
  <c r="F426" i="4"/>
  <c r="E426" i="4"/>
  <c r="C426" i="4"/>
  <c r="A426" i="4"/>
  <c r="F425" i="4"/>
  <c r="E425" i="4"/>
  <c r="C425" i="4"/>
  <c r="A425" i="4"/>
  <c r="F424" i="4"/>
  <c r="E424" i="4"/>
  <c r="C424" i="4"/>
  <c r="A424" i="4"/>
  <c r="F423" i="4"/>
  <c r="E423" i="4"/>
  <c r="C423" i="4"/>
  <c r="A423" i="4"/>
  <c r="F422" i="4"/>
  <c r="E422" i="4"/>
  <c r="C422" i="4"/>
  <c r="A422" i="4"/>
  <c r="F421" i="4"/>
  <c r="E421" i="4"/>
  <c r="C421" i="4"/>
  <c r="A421" i="4"/>
  <c r="F420" i="4"/>
  <c r="E420" i="4"/>
  <c r="C420" i="4"/>
  <c r="A420" i="4"/>
  <c r="F419" i="4"/>
  <c r="E419" i="4"/>
  <c r="C419" i="4"/>
  <c r="A419" i="4"/>
  <c r="F418" i="4"/>
  <c r="E418" i="4"/>
  <c r="C418" i="4"/>
  <c r="A418" i="4"/>
  <c r="F417" i="4"/>
  <c r="E417" i="4"/>
  <c r="C417" i="4"/>
  <c r="A417" i="4"/>
  <c r="F416" i="4"/>
  <c r="E416" i="4"/>
  <c r="C416" i="4"/>
  <c r="A416" i="4"/>
  <c r="F415" i="4"/>
  <c r="E415" i="4"/>
  <c r="C415" i="4"/>
  <c r="A415" i="4"/>
  <c r="F414" i="4"/>
  <c r="E414" i="4"/>
  <c r="C414" i="4"/>
  <c r="A414" i="4"/>
  <c r="F413" i="4"/>
  <c r="E413" i="4"/>
  <c r="C413" i="4"/>
  <c r="A413" i="4"/>
  <c r="F412" i="4"/>
  <c r="E412" i="4"/>
  <c r="C412" i="4"/>
  <c r="A412" i="4"/>
  <c r="F411" i="4"/>
  <c r="E411" i="4"/>
  <c r="C411" i="4"/>
  <c r="A411" i="4"/>
  <c r="F410" i="4"/>
  <c r="E410" i="4"/>
  <c r="C410" i="4"/>
  <c r="A410" i="4"/>
  <c r="F409" i="4"/>
  <c r="E409" i="4"/>
  <c r="C409" i="4"/>
  <c r="A409" i="4"/>
  <c r="F408" i="4"/>
  <c r="E408" i="4"/>
  <c r="C408" i="4"/>
  <c r="A408" i="4"/>
  <c r="F407" i="4"/>
  <c r="E407" i="4"/>
  <c r="C407" i="4"/>
  <c r="A407" i="4"/>
  <c r="F406" i="4"/>
  <c r="E406" i="4"/>
  <c r="C406" i="4"/>
  <c r="A406" i="4"/>
  <c r="F405" i="4"/>
  <c r="E405" i="4"/>
  <c r="C405" i="4"/>
  <c r="A405" i="4"/>
  <c r="F404" i="4"/>
  <c r="E404" i="4"/>
  <c r="C404" i="4"/>
  <c r="A404" i="4"/>
  <c r="F403" i="4"/>
  <c r="E403" i="4"/>
  <c r="C403" i="4"/>
  <c r="A403" i="4"/>
  <c r="F402" i="4"/>
  <c r="E402" i="4"/>
  <c r="C402" i="4"/>
  <c r="A402" i="4"/>
  <c r="F401" i="4"/>
  <c r="E401" i="4"/>
  <c r="C401" i="4"/>
  <c r="A401" i="4"/>
  <c r="F400" i="4"/>
  <c r="E400" i="4"/>
  <c r="C400" i="4"/>
  <c r="A400" i="4"/>
  <c r="F399" i="4"/>
  <c r="E399" i="4"/>
  <c r="C399" i="4"/>
  <c r="A399" i="4"/>
  <c r="F398" i="4"/>
  <c r="E398" i="4"/>
  <c r="C398" i="4"/>
  <c r="A398" i="4"/>
  <c r="F397" i="4"/>
  <c r="E397" i="4"/>
  <c r="C397" i="4"/>
  <c r="A397" i="4"/>
  <c r="F396" i="4"/>
  <c r="E396" i="4"/>
  <c r="C396" i="4"/>
  <c r="A396" i="4"/>
  <c r="F395" i="4"/>
  <c r="E395" i="4"/>
  <c r="C395" i="4"/>
  <c r="A395" i="4"/>
  <c r="F394" i="4"/>
  <c r="E394" i="4"/>
  <c r="C394" i="4"/>
  <c r="A394" i="4"/>
  <c r="F393" i="4"/>
  <c r="E393" i="4"/>
  <c r="C393" i="4"/>
  <c r="A393" i="4"/>
  <c r="F392" i="4"/>
  <c r="E392" i="4"/>
  <c r="C392" i="4"/>
  <c r="A392" i="4"/>
  <c r="F391" i="4"/>
  <c r="E391" i="4"/>
  <c r="C391" i="4"/>
  <c r="A391" i="4"/>
  <c r="F390" i="4"/>
  <c r="E390" i="4"/>
  <c r="C390" i="4"/>
  <c r="A390" i="4"/>
  <c r="F389" i="4"/>
  <c r="E389" i="4"/>
  <c r="C389" i="4"/>
  <c r="A389" i="4"/>
  <c r="F388" i="4"/>
  <c r="E388" i="4"/>
  <c r="C388" i="4"/>
  <c r="A388" i="4"/>
  <c r="F387" i="4"/>
  <c r="E387" i="4"/>
  <c r="C387" i="4"/>
  <c r="A387" i="4"/>
  <c r="F386" i="4"/>
  <c r="E386" i="4"/>
  <c r="C386" i="4"/>
  <c r="A386" i="4"/>
  <c r="F385" i="4"/>
  <c r="E385" i="4"/>
  <c r="C385" i="4"/>
  <c r="A385" i="4"/>
  <c r="F384" i="4"/>
  <c r="E384" i="4"/>
  <c r="C384" i="4"/>
  <c r="A384" i="4"/>
  <c r="F383" i="4"/>
  <c r="E383" i="4"/>
  <c r="C383" i="4"/>
  <c r="A383" i="4"/>
  <c r="F382" i="4"/>
  <c r="E382" i="4"/>
  <c r="C382" i="4"/>
  <c r="A382" i="4"/>
  <c r="F381" i="4"/>
  <c r="E381" i="4"/>
  <c r="C381" i="4"/>
  <c r="A381" i="4"/>
  <c r="F380" i="4"/>
  <c r="E380" i="4"/>
  <c r="C380" i="4"/>
  <c r="A380" i="4"/>
  <c r="F379" i="4"/>
  <c r="E379" i="4"/>
  <c r="C379" i="4"/>
  <c r="A379" i="4"/>
  <c r="F378" i="4"/>
  <c r="E378" i="4"/>
  <c r="C378" i="4"/>
  <c r="A378" i="4"/>
  <c r="F377" i="4"/>
  <c r="E377" i="4"/>
  <c r="C377" i="4"/>
  <c r="A377" i="4"/>
  <c r="F376" i="4"/>
  <c r="E376" i="4"/>
  <c r="C376" i="4"/>
  <c r="A376" i="4"/>
  <c r="F375" i="4"/>
  <c r="E375" i="4"/>
  <c r="C375" i="4"/>
  <c r="A375" i="4"/>
  <c r="F374" i="4"/>
  <c r="E374" i="4"/>
  <c r="C374" i="4"/>
  <c r="A374" i="4"/>
  <c r="F373" i="4"/>
  <c r="E373" i="4"/>
  <c r="C373" i="4"/>
  <c r="A373" i="4"/>
  <c r="F372" i="4"/>
  <c r="E372" i="4"/>
  <c r="C372" i="4"/>
  <c r="A372" i="4"/>
  <c r="F371" i="4"/>
  <c r="E371" i="4"/>
  <c r="C371" i="4"/>
  <c r="A371" i="4"/>
  <c r="F370" i="4"/>
  <c r="E370" i="4"/>
  <c r="C370" i="4"/>
  <c r="A370" i="4"/>
  <c r="F369" i="4"/>
  <c r="E369" i="4"/>
  <c r="C369" i="4"/>
  <c r="A369" i="4"/>
  <c r="F368" i="4"/>
  <c r="E368" i="4"/>
  <c r="C368" i="4"/>
  <c r="A368" i="4"/>
  <c r="F367" i="4"/>
  <c r="E367" i="4"/>
  <c r="C367" i="4"/>
  <c r="A367" i="4"/>
  <c r="F366" i="4"/>
  <c r="E366" i="4"/>
  <c r="C366" i="4"/>
  <c r="A366" i="4"/>
  <c r="F365" i="4"/>
  <c r="E365" i="4"/>
  <c r="C365" i="4"/>
  <c r="A365" i="4"/>
  <c r="F364" i="4"/>
  <c r="E364" i="4"/>
  <c r="C364" i="4"/>
  <c r="A364" i="4"/>
  <c r="F363" i="4"/>
  <c r="E363" i="4"/>
  <c r="C363" i="4"/>
  <c r="A363" i="4"/>
  <c r="F362" i="4"/>
  <c r="E362" i="4"/>
  <c r="C362" i="4"/>
  <c r="A362" i="4"/>
  <c r="F361" i="4"/>
  <c r="E361" i="4"/>
  <c r="C361" i="4"/>
  <c r="A361" i="4"/>
  <c r="F360" i="4"/>
  <c r="E360" i="4"/>
  <c r="C360" i="4"/>
  <c r="A360" i="4"/>
  <c r="F359" i="4"/>
  <c r="E359" i="4"/>
  <c r="C359" i="4"/>
  <c r="A359" i="4"/>
  <c r="F358" i="4"/>
  <c r="E358" i="4"/>
  <c r="C358" i="4"/>
  <c r="A358" i="4"/>
  <c r="F357" i="4"/>
  <c r="E357" i="4"/>
  <c r="C357" i="4"/>
  <c r="A357" i="4"/>
  <c r="F356" i="4"/>
  <c r="E356" i="4"/>
  <c r="C356" i="4"/>
  <c r="A356" i="4"/>
  <c r="F355" i="4"/>
  <c r="E355" i="4"/>
  <c r="C355" i="4"/>
  <c r="A355" i="4"/>
  <c r="F354" i="4"/>
  <c r="E354" i="4"/>
  <c r="C354" i="4"/>
  <c r="A354" i="4"/>
  <c r="F353" i="4"/>
  <c r="E353" i="4"/>
  <c r="C353" i="4"/>
  <c r="A353" i="4"/>
  <c r="F352" i="4"/>
  <c r="E352" i="4"/>
  <c r="C352" i="4"/>
  <c r="A352" i="4"/>
  <c r="F351" i="4"/>
  <c r="E351" i="4"/>
  <c r="C351" i="4"/>
  <c r="A351" i="4"/>
  <c r="F350" i="4"/>
  <c r="E350" i="4"/>
  <c r="C350" i="4"/>
  <c r="A350" i="4"/>
  <c r="F349" i="4"/>
  <c r="E349" i="4"/>
  <c r="C349" i="4"/>
  <c r="A349" i="4"/>
  <c r="F348" i="4"/>
  <c r="E348" i="4"/>
  <c r="C348" i="4"/>
  <c r="A348" i="4"/>
  <c r="F347" i="4"/>
  <c r="E347" i="4"/>
  <c r="C347" i="4"/>
  <c r="A347" i="4"/>
  <c r="F346" i="4"/>
  <c r="E346" i="4"/>
  <c r="C346" i="4"/>
  <c r="A346" i="4"/>
  <c r="F345" i="4"/>
  <c r="E345" i="4"/>
  <c r="C345" i="4"/>
  <c r="A345" i="4"/>
  <c r="F344" i="4"/>
  <c r="E344" i="4"/>
  <c r="C344" i="4"/>
  <c r="A344" i="4"/>
  <c r="F343" i="4"/>
  <c r="E343" i="4"/>
  <c r="C343" i="4"/>
  <c r="A343" i="4"/>
  <c r="F342" i="4"/>
  <c r="E342" i="4"/>
  <c r="C342" i="4"/>
  <c r="A342" i="4"/>
  <c r="F341" i="4"/>
  <c r="E341" i="4"/>
  <c r="C341" i="4"/>
  <c r="A341" i="4"/>
  <c r="F340" i="4"/>
  <c r="E340" i="4"/>
  <c r="C340" i="4"/>
  <c r="A340" i="4"/>
  <c r="F339" i="4"/>
  <c r="E339" i="4"/>
  <c r="C339" i="4"/>
  <c r="A339" i="4"/>
  <c r="F338" i="4"/>
  <c r="E338" i="4"/>
  <c r="C338" i="4"/>
  <c r="A338" i="4"/>
  <c r="F337" i="4"/>
  <c r="E337" i="4"/>
  <c r="C337" i="4"/>
  <c r="A337" i="4"/>
  <c r="F336" i="4"/>
  <c r="E336" i="4"/>
  <c r="C336" i="4"/>
  <c r="A336" i="4"/>
  <c r="F335" i="4"/>
  <c r="E335" i="4"/>
  <c r="C335" i="4"/>
  <c r="A335" i="4"/>
  <c r="F334" i="4"/>
  <c r="E334" i="4"/>
  <c r="C334" i="4"/>
  <c r="A334" i="4"/>
  <c r="F333" i="4"/>
  <c r="E333" i="4"/>
  <c r="C333" i="4"/>
  <c r="A333" i="4"/>
  <c r="F332" i="4"/>
  <c r="E332" i="4"/>
  <c r="C332" i="4"/>
  <c r="A332" i="4"/>
  <c r="F331" i="4"/>
  <c r="E331" i="4"/>
  <c r="C331" i="4"/>
  <c r="A331" i="4"/>
  <c r="F330" i="4"/>
  <c r="E330" i="4"/>
  <c r="C330" i="4"/>
  <c r="A330" i="4"/>
  <c r="F329" i="4"/>
  <c r="E329" i="4"/>
  <c r="C329" i="4"/>
  <c r="A329" i="4"/>
  <c r="F328" i="4"/>
  <c r="E328" i="4"/>
  <c r="C328" i="4"/>
  <c r="A328" i="4"/>
  <c r="F327" i="4"/>
  <c r="E327" i="4"/>
  <c r="C327" i="4"/>
  <c r="A327" i="4"/>
  <c r="F326" i="4"/>
  <c r="E326" i="4"/>
  <c r="C326" i="4"/>
  <c r="A326" i="4"/>
  <c r="F325" i="4"/>
  <c r="E325" i="4"/>
  <c r="C325" i="4"/>
  <c r="A325" i="4"/>
  <c r="F324" i="4"/>
  <c r="E324" i="4"/>
  <c r="C324" i="4"/>
  <c r="A324" i="4"/>
  <c r="F323" i="4"/>
  <c r="E323" i="4"/>
  <c r="C323" i="4"/>
  <c r="A323" i="4"/>
  <c r="F322" i="4"/>
  <c r="E322" i="4"/>
  <c r="C322" i="4"/>
  <c r="A322" i="4"/>
  <c r="F321" i="4"/>
  <c r="E321" i="4"/>
  <c r="C321" i="4"/>
  <c r="A321" i="4"/>
  <c r="F320" i="4"/>
  <c r="E320" i="4"/>
  <c r="C320" i="4"/>
  <c r="A320" i="4"/>
  <c r="F319" i="4"/>
  <c r="E319" i="4"/>
  <c r="C319" i="4"/>
  <c r="A319" i="4"/>
  <c r="F318" i="4"/>
  <c r="E318" i="4"/>
  <c r="C318" i="4"/>
  <c r="A318" i="4"/>
  <c r="F317" i="4"/>
  <c r="E317" i="4"/>
  <c r="C317" i="4"/>
  <c r="A317" i="4"/>
  <c r="F316" i="4"/>
  <c r="E316" i="4"/>
  <c r="C316" i="4"/>
  <c r="A316" i="4"/>
  <c r="F315" i="4"/>
  <c r="E315" i="4"/>
  <c r="C315" i="4"/>
  <c r="A315" i="4"/>
  <c r="F314" i="4"/>
  <c r="E314" i="4"/>
  <c r="C314" i="4"/>
  <c r="A314" i="4"/>
  <c r="F313" i="4"/>
  <c r="E313" i="4"/>
  <c r="C313" i="4"/>
  <c r="A313" i="4"/>
  <c r="F312" i="4"/>
  <c r="E312" i="4"/>
  <c r="C312" i="4"/>
  <c r="A312" i="4"/>
  <c r="F311" i="4"/>
  <c r="E311" i="4"/>
  <c r="C311" i="4"/>
  <c r="A311" i="4"/>
  <c r="F310" i="4"/>
  <c r="E310" i="4"/>
  <c r="C310" i="4"/>
  <c r="A310" i="4"/>
  <c r="F309" i="4"/>
  <c r="E309" i="4"/>
  <c r="C309" i="4"/>
  <c r="A309" i="4"/>
  <c r="F308" i="4"/>
  <c r="E308" i="4"/>
  <c r="C308" i="4"/>
  <c r="A308" i="4"/>
  <c r="F307" i="4"/>
  <c r="E307" i="4"/>
  <c r="C307" i="4"/>
  <c r="A307" i="4"/>
  <c r="F306" i="4"/>
  <c r="E306" i="4"/>
  <c r="C306" i="4"/>
  <c r="A306" i="4"/>
  <c r="F305" i="4"/>
  <c r="E305" i="4"/>
  <c r="C305" i="4"/>
  <c r="A305" i="4"/>
  <c r="F304" i="4"/>
  <c r="E304" i="4"/>
  <c r="C304" i="4"/>
  <c r="A304" i="4"/>
  <c r="F303" i="4"/>
  <c r="E303" i="4"/>
  <c r="C303" i="4"/>
  <c r="A303" i="4"/>
  <c r="F302" i="4"/>
  <c r="E302" i="4"/>
  <c r="C302" i="4"/>
  <c r="A302" i="4"/>
  <c r="F301" i="4"/>
  <c r="E301" i="4"/>
  <c r="C301" i="4"/>
  <c r="A301" i="4"/>
  <c r="F300" i="4"/>
  <c r="E300" i="4"/>
  <c r="C300" i="4"/>
  <c r="A300" i="4"/>
  <c r="F299" i="4"/>
  <c r="E299" i="4"/>
  <c r="C299" i="4"/>
  <c r="A299" i="4"/>
  <c r="F298" i="4"/>
  <c r="E298" i="4"/>
  <c r="C298" i="4"/>
  <c r="A298" i="4"/>
  <c r="F297" i="4"/>
  <c r="E297" i="4"/>
  <c r="C297" i="4"/>
  <c r="A297" i="4"/>
  <c r="F296" i="4"/>
  <c r="E296" i="4"/>
  <c r="C296" i="4"/>
  <c r="A296" i="4"/>
  <c r="F295" i="4"/>
  <c r="E295" i="4"/>
  <c r="C295" i="4"/>
  <c r="A295" i="4"/>
  <c r="F294" i="4"/>
  <c r="E294" i="4"/>
  <c r="C294" i="4"/>
  <c r="A294" i="4"/>
  <c r="F293" i="4"/>
  <c r="E293" i="4"/>
  <c r="C293" i="4"/>
  <c r="A293" i="4"/>
  <c r="F292" i="4"/>
  <c r="E292" i="4"/>
  <c r="C292" i="4"/>
  <c r="A292" i="4"/>
  <c r="F291" i="4"/>
  <c r="E291" i="4"/>
  <c r="C291" i="4"/>
  <c r="A291" i="4"/>
  <c r="F290" i="4"/>
  <c r="E290" i="4"/>
  <c r="C290" i="4"/>
  <c r="A290" i="4"/>
  <c r="F289" i="4"/>
  <c r="E289" i="4"/>
  <c r="C289" i="4"/>
  <c r="A289" i="4"/>
  <c r="F288" i="4"/>
  <c r="E288" i="4"/>
  <c r="C288" i="4"/>
  <c r="A288" i="4"/>
  <c r="F287" i="4"/>
  <c r="E287" i="4"/>
  <c r="C287" i="4"/>
  <c r="A287" i="4"/>
  <c r="F286" i="4"/>
  <c r="E286" i="4"/>
  <c r="C286" i="4"/>
  <c r="A286" i="4"/>
  <c r="F285" i="4"/>
  <c r="E285" i="4"/>
  <c r="C285" i="4"/>
  <c r="A285" i="4"/>
  <c r="F284" i="4"/>
  <c r="E284" i="4"/>
  <c r="C284" i="4"/>
  <c r="A284" i="4"/>
  <c r="F283" i="4"/>
  <c r="E283" i="4"/>
  <c r="C283" i="4"/>
  <c r="A283" i="4"/>
  <c r="F282" i="4"/>
  <c r="E282" i="4"/>
  <c r="C282" i="4"/>
  <c r="A282" i="4"/>
  <c r="F281" i="4"/>
  <c r="E281" i="4"/>
  <c r="C281" i="4"/>
  <c r="A281" i="4"/>
  <c r="F280" i="4"/>
  <c r="E280" i="4"/>
  <c r="C280" i="4"/>
  <c r="A280" i="4"/>
  <c r="F279" i="4"/>
  <c r="E279" i="4"/>
  <c r="C279" i="4"/>
  <c r="A279" i="4"/>
  <c r="F278" i="4"/>
  <c r="E278" i="4"/>
  <c r="C278" i="4"/>
  <c r="A278" i="4"/>
  <c r="F277" i="4"/>
  <c r="E277" i="4"/>
  <c r="C277" i="4"/>
  <c r="A277" i="4"/>
  <c r="F276" i="4"/>
  <c r="E276" i="4"/>
  <c r="C276" i="4"/>
  <c r="A276" i="4"/>
  <c r="F275" i="4"/>
  <c r="E275" i="4"/>
  <c r="C275" i="4"/>
  <c r="A275" i="4"/>
  <c r="F274" i="4"/>
  <c r="E274" i="4"/>
  <c r="C274" i="4"/>
  <c r="A274" i="4"/>
  <c r="F273" i="4"/>
  <c r="E273" i="4"/>
  <c r="C273" i="4"/>
  <c r="A273" i="4"/>
  <c r="F272" i="4"/>
  <c r="E272" i="4"/>
  <c r="C272" i="4"/>
  <c r="A272" i="4"/>
  <c r="F271" i="4"/>
  <c r="E271" i="4"/>
  <c r="C271" i="4"/>
  <c r="A271" i="4"/>
  <c r="F270" i="4"/>
  <c r="E270" i="4"/>
  <c r="C270" i="4"/>
  <c r="A270" i="4"/>
  <c r="F269" i="4"/>
  <c r="E269" i="4"/>
  <c r="C269" i="4"/>
  <c r="A269" i="4"/>
  <c r="F268" i="4"/>
  <c r="E268" i="4"/>
  <c r="C268" i="4"/>
  <c r="A268" i="4"/>
  <c r="F267" i="4"/>
  <c r="E267" i="4"/>
  <c r="C267" i="4"/>
  <c r="A267" i="4"/>
  <c r="F266" i="4"/>
  <c r="E266" i="4"/>
  <c r="C266" i="4"/>
  <c r="A266" i="4"/>
  <c r="F265" i="4"/>
  <c r="E265" i="4"/>
  <c r="C265" i="4"/>
  <c r="A265" i="4"/>
  <c r="F264" i="4"/>
  <c r="E264" i="4"/>
  <c r="C264" i="4"/>
  <c r="A264" i="4"/>
  <c r="F263" i="4"/>
  <c r="E263" i="4"/>
  <c r="C263" i="4"/>
  <c r="A263" i="4"/>
  <c r="F262" i="4"/>
  <c r="E262" i="4"/>
  <c r="C262" i="4"/>
  <c r="A262" i="4"/>
  <c r="F261" i="4"/>
  <c r="E261" i="4"/>
  <c r="C261" i="4"/>
  <c r="A261" i="4"/>
  <c r="F260" i="4"/>
  <c r="E260" i="4"/>
  <c r="C260" i="4"/>
  <c r="A260" i="4"/>
  <c r="F259" i="4"/>
  <c r="E259" i="4"/>
  <c r="C259" i="4"/>
  <c r="A259" i="4"/>
  <c r="F258" i="4"/>
  <c r="E258" i="4"/>
  <c r="C258" i="4"/>
  <c r="A258" i="4"/>
  <c r="F257" i="4"/>
  <c r="E257" i="4"/>
  <c r="C257" i="4"/>
  <c r="A257" i="4"/>
  <c r="F256" i="4"/>
  <c r="E256" i="4"/>
  <c r="C256" i="4"/>
  <c r="A256" i="4"/>
  <c r="F255" i="4"/>
  <c r="E255" i="4"/>
  <c r="C255" i="4"/>
  <c r="A255" i="4"/>
  <c r="F254" i="4"/>
  <c r="E254" i="4"/>
  <c r="C254" i="4"/>
  <c r="A254" i="4"/>
  <c r="F253" i="4"/>
  <c r="E253" i="4"/>
  <c r="C253" i="4"/>
  <c r="A253" i="4"/>
  <c r="F252" i="4"/>
  <c r="E252" i="4"/>
  <c r="C252" i="4"/>
  <c r="A252" i="4"/>
  <c r="F251" i="4"/>
  <c r="E251" i="4"/>
  <c r="C251" i="4"/>
  <c r="A251" i="4"/>
  <c r="F250" i="4"/>
  <c r="E250" i="4"/>
  <c r="C250" i="4"/>
  <c r="A250" i="4"/>
  <c r="F249" i="4"/>
  <c r="E249" i="4"/>
  <c r="C249" i="4"/>
  <c r="A249" i="4"/>
  <c r="F248" i="4"/>
  <c r="E248" i="4"/>
  <c r="C248" i="4"/>
  <c r="A248" i="4"/>
  <c r="F247" i="4"/>
  <c r="E247" i="4"/>
  <c r="C247" i="4"/>
  <c r="A247" i="4"/>
  <c r="F246" i="4"/>
  <c r="E246" i="4"/>
  <c r="C246" i="4"/>
  <c r="A246" i="4"/>
  <c r="F245" i="4"/>
  <c r="E245" i="4"/>
  <c r="C245" i="4"/>
  <c r="A245" i="4"/>
  <c r="F244" i="4"/>
  <c r="E244" i="4"/>
  <c r="C244" i="4"/>
  <c r="A244" i="4"/>
  <c r="F243" i="4"/>
  <c r="E243" i="4"/>
  <c r="C243" i="4"/>
  <c r="A243" i="4"/>
  <c r="F242" i="4"/>
  <c r="E242" i="4"/>
  <c r="C242" i="4"/>
  <c r="A242" i="4"/>
  <c r="F241" i="4"/>
  <c r="E241" i="4"/>
  <c r="C241" i="4"/>
  <c r="A241" i="4"/>
  <c r="F240" i="4"/>
  <c r="E240" i="4"/>
  <c r="C240" i="4"/>
  <c r="A240" i="4"/>
  <c r="F239" i="4"/>
  <c r="E239" i="4"/>
  <c r="C239" i="4"/>
  <c r="A239" i="4"/>
  <c r="F238" i="4"/>
  <c r="E238" i="4"/>
  <c r="C238" i="4"/>
  <c r="A238" i="4"/>
  <c r="F237" i="4"/>
  <c r="E237" i="4"/>
  <c r="C237" i="4"/>
  <c r="A237" i="4"/>
  <c r="F236" i="4"/>
  <c r="E236" i="4"/>
  <c r="C236" i="4"/>
  <c r="A236" i="4"/>
  <c r="F235" i="4"/>
  <c r="E235" i="4"/>
  <c r="C235" i="4"/>
  <c r="A235" i="4"/>
  <c r="F234" i="4"/>
  <c r="E234" i="4"/>
  <c r="C234" i="4"/>
  <c r="A234" i="4"/>
  <c r="F233" i="4"/>
  <c r="E233" i="4"/>
  <c r="C233" i="4"/>
  <c r="A233" i="4"/>
  <c r="F232" i="4"/>
  <c r="E232" i="4"/>
  <c r="C232" i="4"/>
  <c r="A232" i="4"/>
  <c r="F231" i="4"/>
  <c r="E231" i="4"/>
  <c r="C231" i="4"/>
  <c r="A231" i="4"/>
  <c r="F230" i="4"/>
  <c r="E230" i="4"/>
  <c r="C230" i="4"/>
  <c r="A230" i="4"/>
  <c r="F229" i="4"/>
  <c r="E229" i="4"/>
  <c r="C229" i="4"/>
  <c r="A229" i="4"/>
  <c r="F228" i="4"/>
  <c r="E228" i="4"/>
  <c r="C228" i="4"/>
  <c r="A228" i="4"/>
  <c r="F227" i="4"/>
  <c r="E227" i="4"/>
  <c r="C227" i="4"/>
  <c r="A227" i="4"/>
  <c r="F226" i="4"/>
  <c r="E226" i="4"/>
  <c r="C226" i="4"/>
  <c r="A226" i="4"/>
  <c r="F225" i="4"/>
  <c r="E225" i="4"/>
  <c r="C225" i="4"/>
  <c r="A225" i="4"/>
  <c r="F224" i="4"/>
  <c r="E224" i="4"/>
  <c r="C224" i="4"/>
  <c r="A224" i="4"/>
  <c r="F223" i="4"/>
  <c r="E223" i="4"/>
  <c r="C223" i="4"/>
  <c r="A223" i="4"/>
  <c r="F222" i="4"/>
  <c r="E222" i="4"/>
  <c r="C222" i="4"/>
  <c r="A222" i="4"/>
  <c r="F221" i="4"/>
  <c r="E221" i="4"/>
  <c r="C221" i="4"/>
  <c r="A221" i="4"/>
  <c r="F220" i="4"/>
  <c r="E220" i="4"/>
  <c r="C220" i="4"/>
  <c r="A220" i="4"/>
  <c r="F219" i="4"/>
  <c r="E219" i="4"/>
  <c r="C219" i="4"/>
  <c r="A219" i="4"/>
  <c r="F218" i="4"/>
  <c r="E218" i="4"/>
  <c r="C218" i="4"/>
  <c r="A218" i="4"/>
  <c r="F217" i="4"/>
  <c r="E217" i="4"/>
  <c r="C217" i="4"/>
  <c r="A217" i="4"/>
  <c r="F216" i="4"/>
  <c r="E216" i="4"/>
  <c r="C216" i="4"/>
  <c r="A216" i="4"/>
  <c r="F215" i="4"/>
  <c r="E215" i="4"/>
  <c r="C215" i="4"/>
  <c r="A215" i="4"/>
  <c r="F214" i="4"/>
  <c r="E214" i="4"/>
  <c r="C214" i="4"/>
  <c r="A214" i="4"/>
  <c r="F213" i="4"/>
  <c r="E213" i="4"/>
  <c r="C213" i="4"/>
  <c r="A213" i="4"/>
  <c r="F212" i="4"/>
  <c r="E212" i="4"/>
  <c r="C212" i="4"/>
  <c r="A212" i="4"/>
  <c r="F211" i="4"/>
  <c r="E211" i="4"/>
  <c r="C211" i="4"/>
  <c r="A211" i="4"/>
  <c r="F210" i="4"/>
  <c r="E210" i="4"/>
  <c r="C210" i="4"/>
  <c r="A210" i="4"/>
  <c r="F209" i="4"/>
  <c r="E209" i="4"/>
  <c r="C209" i="4"/>
  <c r="A209" i="4"/>
  <c r="F208" i="4"/>
  <c r="E208" i="4"/>
  <c r="C208" i="4"/>
  <c r="A208" i="4"/>
  <c r="F207" i="4"/>
  <c r="E207" i="4"/>
  <c r="C207" i="4"/>
  <c r="A207" i="4"/>
  <c r="F206" i="4"/>
  <c r="E206" i="4"/>
  <c r="C206" i="4"/>
  <c r="A206" i="4"/>
  <c r="F205" i="4"/>
  <c r="E205" i="4"/>
  <c r="C205" i="4"/>
  <c r="A205" i="4"/>
  <c r="F204" i="4"/>
  <c r="E204" i="4"/>
  <c r="C204" i="4"/>
  <c r="A204" i="4"/>
  <c r="F203" i="4"/>
  <c r="E203" i="4"/>
  <c r="C203" i="4"/>
  <c r="A203" i="4"/>
  <c r="F202" i="4"/>
  <c r="E202" i="4"/>
  <c r="C202" i="4"/>
  <c r="A202" i="4"/>
  <c r="F201" i="4"/>
  <c r="E201" i="4"/>
  <c r="C201" i="4"/>
  <c r="A201" i="4"/>
  <c r="F200" i="4"/>
  <c r="E200" i="4"/>
  <c r="C200" i="4"/>
  <c r="A200" i="4"/>
  <c r="F199" i="4"/>
  <c r="E199" i="4"/>
  <c r="C199" i="4"/>
  <c r="A199" i="4"/>
  <c r="F198" i="4"/>
  <c r="E198" i="4"/>
  <c r="C198" i="4"/>
  <c r="A198" i="4"/>
  <c r="F197" i="4"/>
  <c r="E197" i="4"/>
  <c r="C197" i="4"/>
  <c r="A197" i="4"/>
  <c r="F196" i="4"/>
  <c r="E196" i="4"/>
  <c r="C196" i="4"/>
  <c r="A196" i="4"/>
  <c r="F195" i="4"/>
  <c r="E195" i="4"/>
  <c r="C195" i="4"/>
  <c r="A195" i="4"/>
  <c r="F194" i="4"/>
  <c r="E194" i="4"/>
  <c r="C194" i="4"/>
  <c r="A194" i="4"/>
  <c r="F193" i="4"/>
  <c r="E193" i="4"/>
  <c r="C193" i="4"/>
  <c r="A193" i="4"/>
  <c r="F192" i="4"/>
  <c r="E192" i="4"/>
  <c r="C192" i="4"/>
  <c r="A192" i="4"/>
  <c r="F191" i="4"/>
  <c r="E191" i="4"/>
  <c r="C191" i="4"/>
  <c r="A191" i="4"/>
  <c r="F190" i="4"/>
  <c r="E190" i="4"/>
  <c r="C190" i="4"/>
  <c r="A190" i="4"/>
  <c r="F189" i="4"/>
  <c r="E189" i="4"/>
  <c r="C189" i="4"/>
  <c r="A189" i="4"/>
  <c r="F188" i="4"/>
  <c r="E188" i="4"/>
  <c r="C188" i="4"/>
  <c r="A188" i="4"/>
  <c r="F187" i="4"/>
  <c r="E187" i="4"/>
  <c r="C187" i="4"/>
  <c r="A187" i="4"/>
  <c r="F186" i="4"/>
  <c r="E186" i="4"/>
  <c r="C186" i="4"/>
  <c r="A186" i="4"/>
  <c r="F185" i="4"/>
  <c r="E185" i="4"/>
  <c r="C185" i="4"/>
  <c r="A185" i="4"/>
  <c r="F184" i="4"/>
  <c r="E184" i="4"/>
  <c r="C184" i="4"/>
  <c r="A184" i="4"/>
  <c r="F183" i="4"/>
  <c r="E183" i="4"/>
  <c r="C183" i="4"/>
  <c r="A183" i="4"/>
  <c r="F182" i="4"/>
  <c r="E182" i="4"/>
  <c r="C182" i="4"/>
  <c r="A182" i="4"/>
  <c r="F181" i="4"/>
  <c r="E181" i="4"/>
  <c r="C181" i="4"/>
  <c r="A181" i="4"/>
  <c r="F180" i="4"/>
  <c r="E180" i="4"/>
  <c r="C180" i="4"/>
  <c r="A180" i="4"/>
  <c r="F179" i="4"/>
  <c r="E179" i="4"/>
  <c r="C179" i="4"/>
  <c r="A179" i="4"/>
  <c r="F178" i="4"/>
  <c r="E178" i="4"/>
  <c r="C178" i="4"/>
  <c r="A178" i="4"/>
  <c r="F177" i="4"/>
  <c r="E177" i="4"/>
  <c r="C177" i="4"/>
  <c r="A177" i="4"/>
  <c r="F176" i="4"/>
  <c r="E176" i="4"/>
  <c r="C176" i="4"/>
  <c r="A176" i="4"/>
  <c r="F175" i="4"/>
  <c r="E175" i="4"/>
  <c r="C175" i="4"/>
  <c r="A175" i="4"/>
  <c r="F174" i="4"/>
  <c r="E174" i="4"/>
  <c r="C174" i="4"/>
  <c r="A174" i="4"/>
  <c r="F173" i="4"/>
  <c r="E173" i="4"/>
  <c r="C173" i="4"/>
  <c r="A173" i="4"/>
  <c r="F172" i="4"/>
  <c r="E172" i="4"/>
  <c r="C172" i="4"/>
  <c r="A172" i="4"/>
  <c r="F171" i="4"/>
  <c r="E171" i="4"/>
  <c r="C171" i="4"/>
  <c r="A171" i="4"/>
  <c r="F170" i="4"/>
  <c r="E170" i="4"/>
  <c r="C170" i="4"/>
  <c r="A170" i="4"/>
  <c r="F169" i="4"/>
  <c r="E169" i="4"/>
  <c r="C169" i="4"/>
  <c r="A169" i="4"/>
  <c r="F168" i="4"/>
  <c r="E168" i="4"/>
  <c r="C168" i="4"/>
  <c r="A168" i="4"/>
  <c r="F167" i="4"/>
  <c r="E167" i="4"/>
  <c r="C167" i="4"/>
  <c r="A167" i="4"/>
  <c r="F166" i="4"/>
  <c r="E166" i="4"/>
  <c r="C166" i="4"/>
  <c r="A166" i="4"/>
  <c r="F165" i="4"/>
  <c r="E165" i="4"/>
  <c r="C165" i="4"/>
  <c r="A165" i="4"/>
  <c r="F164" i="4"/>
  <c r="E164" i="4"/>
  <c r="C164" i="4"/>
  <c r="A164" i="4"/>
  <c r="F163" i="4"/>
  <c r="E163" i="4"/>
  <c r="C163" i="4"/>
  <c r="A163" i="4"/>
  <c r="F162" i="4"/>
  <c r="E162" i="4"/>
  <c r="C162" i="4"/>
  <c r="A162" i="4"/>
  <c r="F161" i="4"/>
  <c r="E161" i="4"/>
  <c r="C161" i="4"/>
  <c r="A161" i="4"/>
  <c r="F160" i="4"/>
  <c r="E160" i="4"/>
  <c r="C160" i="4"/>
  <c r="A160" i="4"/>
  <c r="F159" i="4"/>
  <c r="E159" i="4"/>
  <c r="C159" i="4"/>
  <c r="A159" i="4"/>
  <c r="F158" i="4"/>
  <c r="E158" i="4"/>
  <c r="C158" i="4"/>
  <c r="A158" i="4"/>
  <c r="F157" i="4"/>
  <c r="E157" i="4"/>
  <c r="C157" i="4"/>
  <c r="A157" i="4"/>
  <c r="F156" i="4"/>
  <c r="E156" i="4"/>
  <c r="C156" i="4"/>
  <c r="A156" i="4"/>
  <c r="F155" i="4"/>
  <c r="E155" i="4"/>
  <c r="C155" i="4"/>
  <c r="A155" i="4"/>
  <c r="F154" i="4"/>
  <c r="E154" i="4"/>
  <c r="C154" i="4"/>
  <c r="A154" i="4"/>
  <c r="F153" i="4"/>
  <c r="E153" i="4"/>
  <c r="C153" i="4"/>
  <c r="A153" i="4"/>
  <c r="F152" i="4"/>
  <c r="E152" i="4"/>
  <c r="C152" i="4"/>
  <c r="A152" i="4"/>
  <c r="F151" i="4"/>
  <c r="E151" i="4"/>
  <c r="C151" i="4"/>
  <c r="A151" i="4"/>
  <c r="F150" i="4"/>
  <c r="E150" i="4"/>
  <c r="C150" i="4"/>
  <c r="A150" i="4"/>
  <c r="F149" i="4"/>
  <c r="E149" i="4"/>
  <c r="C149" i="4"/>
  <c r="A149" i="4"/>
  <c r="F148" i="4"/>
  <c r="E148" i="4"/>
  <c r="C148" i="4"/>
  <c r="A148" i="4"/>
  <c r="F147" i="4"/>
  <c r="E147" i="4"/>
  <c r="C147" i="4"/>
  <c r="A147" i="4"/>
  <c r="F146" i="4"/>
  <c r="E146" i="4"/>
  <c r="C146" i="4"/>
  <c r="A146" i="4"/>
  <c r="F145" i="4"/>
  <c r="E145" i="4"/>
  <c r="C145" i="4"/>
  <c r="A145" i="4"/>
  <c r="F144" i="4"/>
  <c r="E144" i="4"/>
  <c r="C144" i="4"/>
  <c r="A144" i="4"/>
  <c r="F143" i="4"/>
  <c r="E143" i="4"/>
  <c r="C143" i="4"/>
  <c r="A143" i="4"/>
  <c r="F142" i="4"/>
  <c r="E142" i="4"/>
  <c r="C142" i="4"/>
  <c r="A142" i="4"/>
  <c r="F141" i="4"/>
  <c r="E141" i="4"/>
  <c r="C141" i="4"/>
  <c r="A141" i="4"/>
  <c r="F140" i="4"/>
  <c r="E140" i="4"/>
  <c r="C140" i="4"/>
  <c r="A140" i="4"/>
  <c r="F139" i="4"/>
  <c r="E139" i="4"/>
  <c r="C139" i="4"/>
  <c r="A139" i="4"/>
  <c r="F138" i="4"/>
  <c r="E138" i="4"/>
  <c r="C138" i="4"/>
  <c r="A138" i="4"/>
  <c r="F137" i="4"/>
  <c r="E137" i="4"/>
  <c r="C137" i="4"/>
  <c r="A137" i="4"/>
  <c r="F136" i="4"/>
  <c r="E136" i="4"/>
  <c r="C136" i="4"/>
  <c r="A136" i="4"/>
  <c r="F135" i="4"/>
  <c r="E135" i="4"/>
  <c r="C135" i="4"/>
  <c r="A135" i="4"/>
  <c r="F134" i="4"/>
  <c r="E134" i="4"/>
  <c r="C134" i="4"/>
  <c r="A134" i="4"/>
  <c r="F133" i="4"/>
  <c r="E133" i="4"/>
  <c r="C133" i="4"/>
  <c r="A133" i="4"/>
  <c r="F132" i="4"/>
  <c r="E132" i="4"/>
  <c r="C132" i="4"/>
  <c r="A132" i="4"/>
  <c r="F131" i="4"/>
  <c r="E131" i="4"/>
  <c r="C131" i="4"/>
  <c r="A131" i="4"/>
  <c r="F130" i="4"/>
  <c r="E130" i="4"/>
  <c r="C130" i="4"/>
  <c r="A130" i="4"/>
  <c r="F129" i="4"/>
  <c r="E129" i="4"/>
  <c r="C129" i="4"/>
  <c r="A129" i="4"/>
  <c r="F128" i="4"/>
  <c r="E128" i="4"/>
  <c r="C128" i="4"/>
  <c r="A128" i="4"/>
  <c r="F127" i="4"/>
  <c r="E127" i="4"/>
  <c r="C127" i="4"/>
  <c r="A127" i="4"/>
  <c r="F126" i="4"/>
  <c r="E126" i="4"/>
  <c r="C126" i="4"/>
  <c r="A126" i="4"/>
  <c r="F125" i="4"/>
  <c r="E125" i="4"/>
  <c r="C125" i="4"/>
  <c r="A125" i="4"/>
  <c r="F124" i="4"/>
  <c r="E124" i="4"/>
  <c r="C124" i="4"/>
  <c r="A124" i="4"/>
  <c r="F123" i="4"/>
  <c r="E123" i="4"/>
  <c r="C123" i="4"/>
  <c r="A123" i="4"/>
  <c r="F122" i="4"/>
  <c r="E122" i="4"/>
  <c r="C122" i="4"/>
  <c r="A122" i="4"/>
  <c r="F121" i="4"/>
  <c r="E121" i="4"/>
  <c r="C121" i="4"/>
  <c r="A121" i="4"/>
  <c r="F120" i="4"/>
  <c r="E120" i="4"/>
  <c r="C120" i="4"/>
  <c r="A120" i="4"/>
  <c r="F119" i="4"/>
  <c r="E119" i="4"/>
  <c r="C119" i="4"/>
  <c r="A119" i="4"/>
  <c r="F118" i="4"/>
  <c r="E118" i="4"/>
  <c r="C118" i="4"/>
  <c r="A118" i="4"/>
  <c r="F117" i="4"/>
  <c r="E117" i="4"/>
  <c r="C117" i="4"/>
  <c r="A117" i="4"/>
  <c r="F116" i="4"/>
  <c r="E116" i="4"/>
  <c r="C116" i="4"/>
  <c r="A116" i="4"/>
  <c r="F115" i="4"/>
  <c r="E115" i="4"/>
  <c r="C115" i="4"/>
  <c r="A115" i="4"/>
  <c r="F114" i="4"/>
  <c r="E114" i="4"/>
  <c r="C114" i="4"/>
  <c r="A114" i="4"/>
  <c r="F113" i="4"/>
  <c r="E113" i="4"/>
  <c r="C113" i="4"/>
  <c r="A113" i="4"/>
  <c r="F112" i="4"/>
  <c r="E112" i="4"/>
  <c r="C112" i="4"/>
  <c r="A112" i="4"/>
  <c r="F111" i="4"/>
  <c r="E111" i="4"/>
  <c r="C111" i="4"/>
  <c r="A111" i="4"/>
  <c r="F110" i="4"/>
  <c r="E110" i="4"/>
  <c r="C110" i="4"/>
  <c r="A110" i="4"/>
  <c r="F109" i="4"/>
  <c r="E109" i="4"/>
  <c r="C109" i="4"/>
  <c r="A109" i="4"/>
  <c r="F108" i="4"/>
  <c r="E108" i="4"/>
  <c r="C108" i="4"/>
  <c r="A108" i="4"/>
  <c r="F107" i="4"/>
  <c r="E107" i="4"/>
  <c r="C107" i="4"/>
  <c r="A107" i="4"/>
  <c r="F106" i="4"/>
  <c r="E106" i="4"/>
  <c r="C106" i="4"/>
  <c r="A106" i="4"/>
  <c r="F105" i="4"/>
  <c r="E105" i="4"/>
  <c r="C105" i="4"/>
  <c r="A105" i="4"/>
  <c r="F104" i="4"/>
  <c r="E104" i="4"/>
  <c r="C104" i="4"/>
  <c r="A104" i="4"/>
  <c r="F103" i="4"/>
  <c r="E103" i="4"/>
  <c r="C103" i="4"/>
  <c r="A103" i="4"/>
  <c r="F102" i="4"/>
  <c r="E102" i="4"/>
  <c r="C102" i="4"/>
  <c r="A102" i="4"/>
  <c r="F101" i="4"/>
  <c r="E101" i="4"/>
  <c r="C101" i="4"/>
  <c r="A101" i="4"/>
  <c r="F100" i="4"/>
  <c r="E100" i="4"/>
  <c r="C100" i="4"/>
  <c r="A100" i="4"/>
  <c r="F99" i="4"/>
  <c r="E99" i="4"/>
  <c r="C99" i="4"/>
  <c r="A99" i="4"/>
  <c r="F98" i="4"/>
  <c r="E98" i="4"/>
  <c r="C98" i="4"/>
  <c r="A98" i="4"/>
  <c r="F97" i="4"/>
  <c r="E97" i="4"/>
  <c r="C97" i="4"/>
  <c r="A97" i="4"/>
  <c r="F96" i="4"/>
  <c r="E96" i="4"/>
  <c r="C96" i="4"/>
  <c r="A96" i="4"/>
  <c r="F95" i="4"/>
  <c r="E95" i="4"/>
  <c r="C95" i="4"/>
  <c r="A95" i="4"/>
  <c r="F94" i="4"/>
  <c r="E94" i="4"/>
  <c r="C94" i="4"/>
  <c r="A94" i="4"/>
  <c r="F93" i="4"/>
  <c r="E93" i="4"/>
  <c r="C93" i="4"/>
  <c r="A93" i="4"/>
  <c r="F92" i="4"/>
  <c r="E92" i="4"/>
  <c r="C92" i="4"/>
  <c r="A92" i="4"/>
  <c r="F91" i="4"/>
  <c r="E91" i="4"/>
  <c r="C91" i="4"/>
  <c r="A91" i="4"/>
  <c r="F90" i="4"/>
  <c r="E90" i="4"/>
  <c r="C90" i="4"/>
  <c r="A90" i="4"/>
  <c r="F89" i="4"/>
  <c r="E89" i="4"/>
  <c r="C89" i="4"/>
  <c r="A89" i="4"/>
  <c r="F88" i="4"/>
  <c r="E88" i="4"/>
  <c r="C88" i="4"/>
  <c r="A88" i="4"/>
  <c r="F87" i="4"/>
  <c r="E87" i="4"/>
  <c r="C87" i="4"/>
  <c r="A87" i="4"/>
  <c r="F86" i="4"/>
  <c r="E86" i="4"/>
  <c r="C86" i="4"/>
  <c r="A86" i="4"/>
  <c r="F85" i="4"/>
  <c r="E85" i="4"/>
  <c r="C85" i="4"/>
  <c r="A85" i="4"/>
  <c r="F84" i="4"/>
  <c r="E84" i="4"/>
  <c r="C84" i="4"/>
  <c r="A84" i="4"/>
  <c r="F83" i="4"/>
  <c r="E83" i="4"/>
  <c r="C83" i="4"/>
  <c r="A83" i="4"/>
  <c r="F82" i="4"/>
  <c r="E82" i="4"/>
  <c r="C82" i="4"/>
  <c r="A82" i="4"/>
  <c r="F81" i="4"/>
  <c r="E81" i="4"/>
  <c r="C81" i="4"/>
  <c r="A81" i="4"/>
  <c r="F80" i="4"/>
  <c r="E80" i="4"/>
  <c r="C80" i="4"/>
  <c r="A80" i="4"/>
  <c r="F79" i="4"/>
  <c r="E79" i="4"/>
  <c r="C79" i="4"/>
  <c r="A79" i="4"/>
  <c r="F78" i="4"/>
  <c r="E78" i="4"/>
  <c r="C78" i="4"/>
  <c r="A78" i="4"/>
  <c r="F77" i="4"/>
  <c r="E77" i="4"/>
  <c r="C77" i="4"/>
  <c r="A77" i="4"/>
  <c r="F76" i="4"/>
  <c r="E76" i="4"/>
  <c r="C76" i="4"/>
  <c r="A76" i="4"/>
  <c r="F75" i="4"/>
  <c r="E75" i="4"/>
  <c r="C75" i="4"/>
  <c r="A75" i="4"/>
  <c r="F74" i="4"/>
  <c r="E74" i="4"/>
  <c r="C74" i="4"/>
  <c r="A74" i="4"/>
  <c r="F73" i="4"/>
  <c r="E73" i="4"/>
  <c r="C73" i="4"/>
  <c r="A73" i="4"/>
  <c r="F72" i="4"/>
  <c r="E72" i="4"/>
  <c r="C72" i="4"/>
  <c r="A72" i="4"/>
  <c r="F71" i="4"/>
  <c r="E71" i="4"/>
  <c r="C71" i="4"/>
  <c r="A71" i="4"/>
  <c r="F70" i="4"/>
  <c r="E70" i="4"/>
  <c r="C70" i="4"/>
  <c r="A70" i="4"/>
  <c r="F69" i="4"/>
  <c r="E69" i="4"/>
  <c r="C69" i="4"/>
  <c r="A69" i="4"/>
  <c r="F68" i="4"/>
  <c r="E68" i="4"/>
  <c r="C68" i="4"/>
  <c r="A68" i="4"/>
  <c r="F67" i="4"/>
  <c r="E67" i="4"/>
  <c r="C67" i="4"/>
  <c r="A67" i="4"/>
  <c r="F66" i="4"/>
  <c r="E66" i="4"/>
  <c r="C66" i="4"/>
  <c r="A66" i="4"/>
  <c r="F65" i="4"/>
  <c r="E65" i="4"/>
  <c r="C65" i="4"/>
  <c r="A65" i="4"/>
  <c r="F64" i="4"/>
  <c r="E64" i="4"/>
  <c r="C64" i="4"/>
  <c r="A64" i="4"/>
  <c r="F63" i="4"/>
  <c r="E63" i="4"/>
  <c r="C63" i="4"/>
  <c r="A63" i="4"/>
  <c r="F62" i="4"/>
  <c r="E62" i="4"/>
  <c r="C62" i="4"/>
  <c r="A62" i="4"/>
  <c r="F61" i="4"/>
  <c r="E61" i="4"/>
  <c r="C61" i="4"/>
  <c r="A61" i="4"/>
  <c r="F60" i="4"/>
  <c r="E60" i="4"/>
  <c r="C60" i="4"/>
  <c r="A60" i="4"/>
  <c r="F59" i="4"/>
  <c r="E59" i="4"/>
  <c r="C59" i="4"/>
  <c r="A59" i="4"/>
  <c r="F58" i="4"/>
  <c r="E58" i="4"/>
  <c r="C58" i="4"/>
  <c r="A58" i="4"/>
  <c r="F57" i="4"/>
  <c r="E57" i="4"/>
  <c r="C57" i="4"/>
  <c r="A57" i="4"/>
  <c r="F56" i="4"/>
  <c r="E56" i="4"/>
  <c r="C56" i="4"/>
  <c r="A56" i="4"/>
  <c r="F55" i="4"/>
  <c r="E55" i="4"/>
  <c r="C55" i="4"/>
  <c r="A55" i="4"/>
  <c r="F54" i="4"/>
  <c r="E54" i="4"/>
  <c r="C54" i="4"/>
  <c r="A54" i="4"/>
  <c r="F53" i="4"/>
  <c r="E53" i="4"/>
  <c r="C53" i="4"/>
  <c r="A53" i="4"/>
  <c r="F52" i="4"/>
  <c r="E52" i="4"/>
  <c r="C52" i="4"/>
  <c r="A52" i="4"/>
  <c r="F51" i="4"/>
  <c r="E51" i="4"/>
  <c r="C51" i="4"/>
  <c r="A51" i="4"/>
  <c r="F50" i="4"/>
  <c r="E50" i="4"/>
  <c r="C50" i="4"/>
  <c r="A50" i="4"/>
  <c r="F49" i="4"/>
  <c r="E49" i="4"/>
  <c r="C49" i="4"/>
  <c r="A49" i="4"/>
  <c r="F48" i="4"/>
  <c r="E48" i="4"/>
  <c r="C48" i="4"/>
  <c r="A48" i="4"/>
  <c r="F47" i="4"/>
  <c r="E47" i="4"/>
  <c r="C47" i="4"/>
  <c r="A47" i="4"/>
  <c r="F46" i="4"/>
  <c r="E46" i="4"/>
  <c r="C46" i="4"/>
  <c r="A46" i="4"/>
  <c r="F45" i="4"/>
  <c r="E45" i="4"/>
  <c r="C45" i="4"/>
  <c r="A45" i="4"/>
  <c r="F44" i="4"/>
  <c r="E44" i="4"/>
  <c r="C44" i="4"/>
  <c r="A44" i="4"/>
  <c r="F43" i="4"/>
  <c r="E43" i="4"/>
  <c r="C43" i="4"/>
  <c r="A43" i="4"/>
  <c r="F42" i="4"/>
  <c r="E42" i="4"/>
  <c r="C42" i="4"/>
  <c r="A42" i="4"/>
  <c r="F41" i="4"/>
  <c r="E41" i="4"/>
  <c r="C41" i="4"/>
  <c r="A41" i="4"/>
  <c r="F40" i="4"/>
  <c r="E40" i="4"/>
  <c r="C40" i="4"/>
  <c r="A40" i="4"/>
  <c r="F39" i="4"/>
  <c r="E39" i="4"/>
  <c r="C39" i="4"/>
  <c r="A39" i="4"/>
  <c r="F38" i="4"/>
  <c r="E38" i="4"/>
  <c r="C38" i="4"/>
  <c r="A38" i="4"/>
  <c r="F37" i="4"/>
  <c r="E37" i="4"/>
  <c r="C37" i="4"/>
  <c r="A37" i="4"/>
  <c r="F36" i="4"/>
  <c r="E36" i="4"/>
  <c r="C36" i="4"/>
  <c r="A36" i="4"/>
  <c r="F35" i="4"/>
  <c r="E35" i="4"/>
  <c r="C35" i="4"/>
  <c r="A35" i="4"/>
  <c r="F34" i="4"/>
  <c r="E34" i="4"/>
  <c r="C34" i="4"/>
  <c r="A34" i="4"/>
  <c r="F33" i="4"/>
  <c r="E33" i="4"/>
  <c r="C33" i="4"/>
  <c r="A33" i="4"/>
  <c r="F32" i="4"/>
  <c r="E32" i="4"/>
  <c r="C32" i="4"/>
  <c r="A32" i="4"/>
  <c r="F31" i="4"/>
  <c r="E31" i="4"/>
  <c r="C31" i="4"/>
  <c r="A31" i="4"/>
  <c r="F30" i="4"/>
  <c r="E30" i="4"/>
  <c r="C30" i="4"/>
  <c r="A30" i="4"/>
  <c r="F29" i="4"/>
  <c r="E29" i="4"/>
  <c r="C29" i="4"/>
  <c r="A29" i="4"/>
  <c r="F28" i="4"/>
  <c r="E28" i="4"/>
  <c r="C28" i="4"/>
  <c r="A28" i="4"/>
  <c r="F27" i="4"/>
  <c r="E27" i="4"/>
  <c r="C27" i="4"/>
  <c r="A27" i="4"/>
  <c r="F26" i="4"/>
  <c r="E26" i="4"/>
  <c r="C26" i="4"/>
  <c r="A26" i="4"/>
  <c r="F25" i="4"/>
  <c r="E25" i="4"/>
  <c r="C25" i="4"/>
  <c r="A25" i="4"/>
  <c r="F24" i="4"/>
  <c r="E24" i="4"/>
  <c r="C24" i="4"/>
  <c r="A24" i="4"/>
  <c r="F23" i="4"/>
  <c r="E23" i="4"/>
  <c r="C23" i="4"/>
  <c r="A23" i="4"/>
  <c r="F22" i="4"/>
  <c r="E22" i="4"/>
  <c r="C22" i="4"/>
  <c r="A22" i="4"/>
  <c r="F21" i="4"/>
  <c r="E21" i="4"/>
  <c r="C21" i="4"/>
  <c r="A21" i="4"/>
  <c r="F20" i="4"/>
  <c r="E20" i="4"/>
  <c r="C20" i="4"/>
  <c r="A20" i="4"/>
  <c r="F19" i="4"/>
  <c r="E19" i="4"/>
  <c r="C19" i="4"/>
  <c r="A19" i="4"/>
  <c r="F18" i="4"/>
  <c r="E18" i="4"/>
  <c r="C18" i="4"/>
  <c r="A18" i="4"/>
  <c r="F17" i="4"/>
  <c r="E17" i="4"/>
  <c r="C17" i="4"/>
  <c r="A17" i="4"/>
  <c r="F16" i="4"/>
  <c r="E16" i="4"/>
  <c r="C16" i="4"/>
  <c r="A16" i="4"/>
  <c r="B8" i="4"/>
  <c r="B7" i="4"/>
  <c r="B6" i="4"/>
  <c r="B5" i="4"/>
  <c r="B4" i="4"/>
  <c r="B3" i="4"/>
  <c r="F2" i="12"/>
  <c r="E2" i="12"/>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B3" i="5"/>
  <c r="B2" i="5"/>
  <c r="B717" i="6"/>
  <c r="C717" i="6" s="1"/>
  <c r="B716" i="6"/>
  <c r="C716" i="6" s="1"/>
  <c r="B715" i="6"/>
  <c r="C715" i="6" s="1"/>
  <c r="B714" i="6"/>
  <c r="C714" i="6" s="1"/>
  <c r="B713" i="6"/>
  <c r="C713" i="6" s="1"/>
  <c r="B712" i="6"/>
  <c r="C712" i="6" s="1"/>
  <c r="B711" i="6"/>
  <c r="C711" i="6" s="1"/>
  <c r="B710" i="6"/>
  <c r="C710" i="6" s="1"/>
  <c r="B709" i="6"/>
  <c r="C709" i="6" s="1"/>
  <c r="B708" i="6"/>
  <c r="C708" i="6" s="1"/>
  <c r="B707" i="6"/>
  <c r="C707" i="6" s="1"/>
  <c r="B706" i="6"/>
  <c r="C706" i="6" s="1"/>
  <c r="B705" i="6"/>
  <c r="C705" i="6" s="1"/>
  <c r="B704" i="6"/>
  <c r="C704" i="6" s="1"/>
  <c r="B703" i="6"/>
  <c r="C703" i="6" s="1"/>
  <c r="B702" i="6"/>
  <c r="C702" i="6" s="1"/>
  <c r="B701" i="6"/>
  <c r="C701" i="6" s="1"/>
  <c r="B700" i="6"/>
  <c r="C700" i="6" s="1"/>
  <c r="B699" i="6"/>
  <c r="C699" i="6" s="1"/>
  <c r="B698" i="6"/>
  <c r="C698" i="6" s="1"/>
  <c r="B697" i="6"/>
  <c r="C697" i="6" s="1"/>
  <c r="B696" i="6"/>
  <c r="C696" i="6" s="1"/>
  <c r="B695" i="6"/>
  <c r="C695" i="6" s="1"/>
  <c r="B694" i="6"/>
  <c r="C694" i="6" s="1"/>
  <c r="B693" i="6"/>
  <c r="C693" i="6" s="1"/>
  <c r="B692" i="6"/>
  <c r="C692" i="6" s="1"/>
  <c r="B691" i="6"/>
  <c r="C691" i="6" s="1"/>
  <c r="B690" i="6"/>
  <c r="C690" i="6" s="1"/>
  <c r="B689" i="6"/>
  <c r="C689" i="6" s="1"/>
  <c r="B688" i="6"/>
  <c r="C688" i="6" s="1"/>
  <c r="B687" i="6"/>
  <c r="C687" i="6" s="1"/>
  <c r="B686" i="6"/>
  <c r="C686" i="6" s="1"/>
  <c r="B685" i="6"/>
  <c r="C685" i="6" s="1"/>
  <c r="B684" i="6"/>
  <c r="C684" i="6" s="1"/>
  <c r="B683" i="6"/>
  <c r="C683" i="6" s="1"/>
  <c r="B682" i="6"/>
  <c r="C682" i="6" s="1"/>
  <c r="B681" i="6"/>
  <c r="C681" i="6" s="1"/>
  <c r="B680" i="6"/>
  <c r="C680" i="6" s="1"/>
  <c r="B679" i="6"/>
  <c r="C679" i="6" s="1"/>
  <c r="B678" i="6"/>
  <c r="C678" i="6" s="1"/>
  <c r="B677" i="6"/>
  <c r="C677" i="6" s="1"/>
  <c r="B676" i="6"/>
  <c r="C676" i="6" s="1"/>
  <c r="B675" i="6"/>
  <c r="C675" i="6" s="1"/>
  <c r="B674" i="6"/>
  <c r="C674" i="6" s="1"/>
  <c r="B673" i="6"/>
  <c r="C673" i="6" s="1"/>
  <c r="B672" i="6"/>
  <c r="C672" i="6" s="1"/>
  <c r="B671" i="6"/>
  <c r="C671" i="6" s="1"/>
  <c r="B670" i="6"/>
  <c r="C670" i="6" s="1"/>
  <c r="B669" i="6"/>
  <c r="C669" i="6" s="1"/>
  <c r="B668" i="6"/>
  <c r="C668" i="6" s="1"/>
  <c r="B667" i="6"/>
  <c r="C667" i="6" s="1"/>
  <c r="B666" i="6"/>
  <c r="C666" i="6" s="1"/>
  <c r="B665" i="6"/>
  <c r="C665" i="6" s="1"/>
  <c r="B664" i="6"/>
  <c r="C664" i="6" s="1"/>
  <c r="B663" i="6"/>
  <c r="C663" i="6" s="1"/>
  <c r="B662" i="6"/>
  <c r="C662" i="6" s="1"/>
  <c r="B661" i="6"/>
  <c r="C661" i="6" s="1"/>
  <c r="B660" i="6"/>
  <c r="C660" i="6" s="1"/>
  <c r="B659" i="6"/>
  <c r="C659" i="6" s="1"/>
  <c r="B658" i="6"/>
  <c r="C658" i="6" s="1"/>
  <c r="B657" i="6"/>
  <c r="C657" i="6" s="1"/>
  <c r="B656" i="6"/>
  <c r="C656" i="6" s="1"/>
  <c r="B655" i="6"/>
  <c r="C655" i="6" s="1"/>
  <c r="B654" i="6"/>
  <c r="C654" i="6" s="1"/>
  <c r="B653" i="6"/>
  <c r="C653" i="6" s="1"/>
  <c r="B652" i="6"/>
  <c r="C652" i="6" s="1"/>
  <c r="B651" i="6"/>
  <c r="C651" i="6" s="1"/>
  <c r="B650" i="6"/>
  <c r="C650" i="6" s="1"/>
  <c r="B649" i="6"/>
  <c r="C649" i="6" s="1"/>
  <c r="B648" i="6"/>
  <c r="C648" i="6" s="1"/>
  <c r="B647" i="6"/>
  <c r="C647" i="6" s="1"/>
  <c r="B646" i="6"/>
  <c r="C646" i="6" s="1"/>
  <c r="B645" i="6"/>
  <c r="C645" i="6" s="1"/>
  <c r="B644" i="6"/>
  <c r="C644" i="6" s="1"/>
  <c r="B643" i="6"/>
  <c r="C643" i="6" s="1"/>
  <c r="B642" i="6"/>
  <c r="C642" i="6" s="1"/>
  <c r="B641" i="6"/>
  <c r="C641" i="6" s="1"/>
  <c r="B640" i="6"/>
  <c r="C640" i="6" s="1"/>
  <c r="B639" i="6"/>
  <c r="C639" i="6" s="1"/>
  <c r="B638" i="6"/>
  <c r="C638" i="6" s="1"/>
  <c r="B637" i="6"/>
  <c r="C637" i="6" s="1"/>
  <c r="B636" i="6"/>
  <c r="C636" i="6" s="1"/>
  <c r="B635" i="6"/>
  <c r="C635" i="6" s="1"/>
  <c r="B634" i="6"/>
  <c r="C634" i="6" s="1"/>
  <c r="B633" i="6"/>
  <c r="C633" i="6" s="1"/>
  <c r="B632" i="6"/>
  <c r="C632" i="6" s="1"/>
  <c r="B631" i="6"/>
  <c r="C631" i="6" s="1"/>
  <c r="B630" i="6"/>
  <c r="C630" i="6" s="1"/>
  <c r="B629" i="6"/>
  <c r="C629" i="6" s="1"/>
  <c r="B628" i="6"/>
  <c r="C628" i="6" s="1"/>
  <c r="B627" i="6"/>
  <c r="C627" i="6" s="1"/>
  <c r="B626" i="6"/>
  <c r="C626" i="6" s="1"/>
  <c r="B625" i="6"/>
  <c r="C625" i="6" s="1"/>
  <c r="B624" i="6"/>
  <c r="C624" i="6" s="1"/>
  <c r="B623" i="6"/>
  <c r="C623" i="6" s="1"/>
  <c r="B622" i="6"/>
  <c r="C622" i="6" s="1"/>
  <c r="B621" i="6"/>
  <c r="C621" i="6" s="1"/>
  <c r="B620" i="6"/>
  <c r="C620" i="6" s="1"/>
  <c r="B619" i="6"/>
  <c r="C619" i="6" s="1"/>
  <c r="B618" i="6"/>
  <c r="C618" i="6" s="1"/>
  <c r="B617" i="6"/>
  <c r="C617" i="6" s="1"/>
  <c r="B616" i="6"/>
  <c r="C616" i="6" s="1"/>
  <c r="B615" i="6"/>
  <c r="C615" i="6" s="1"/>
  <c r="B614" i="6"/>
  <c r="C614" i="6" s="1"/>
  <c r="B613" i="6"/>
  <c r="C613" i="6" s="1"/>
  <c r="B612" i="6"/>
  <c r="C612" i="6" s="1"/>
  <c r="B611" i="6"/>
  <c r="C611" i="6" s="1"/>
  <c r="B610" i="6"/>
  <c r="C610" i="6" s="1"/>
  <c r="B609" i="6"/>
  <c r="C609" i="6" s="1"/>
  <c r="B608" i="6"/>
  <c r="C608" i="6" s="1"/>
  <c r="B607" i="6"/>
  <c r="C607" i="6" s="1"/>
  <c r="B606" i="6"/>
  <c r="C606" i="6" s="1"/>
  <c r="B605" i="6"/>
  <c r="C605" i="6" s="1"/>
  <c r="B604" i="6"/>
  <c r="C604" i="6" s="1"/>
  <c r="B603" i="6"/>
  <c r="C603" i="6" s="1"/>
  <c r="B602" i="6"/>
  <c r="C602" i="6" s="1"/>
  <c r="B601" i="6"/>
  <c r="C601" i="6" s="1"/>
  <c r="B600" i="6"/>
  <c r="C600" i="6" s="1"/>
  <c r="B599" i="6"/>
  <c r="C599" i="6" s="1"/>
  <c r="B598" i="6"/>
  <c r="C598" i="6" s="1"/>
  <c r="B597" i="6"/>
  <c r="C597" i="6" s="1"/>
  <c r="B596" i="6"/>
  <c r="C596" i="6" s="1"/>
  <c r="B595" i="6"/>
  <c r="C595" i="6" s="1"/>
  <c r="B594" i="6"/>
  <c r="C594" i="6" s="1"/>
  <c r="B593" i="6"/>
  <c r="C593" i="6" s="1"/>
  <c r="B592" i="6"/>
  <c r="C592" i="6" s="1"/>
  <c r="B591" i="6"/>
  <c r="C591" i="6" s="1"/>
  <c r="B590" i="6"/>
  <c r="C590" i="6" s="1"/>
  <c r="B589" i="6"/>
  <c r="C589" i="6" s="1"/>
  <c r="B588" i="6"/>
  <c r="C588" i="6" s="1"/>
  <c r="B587" i="6"/>
  <c r="C587" i="6" s="1"/>
  <c r="B586" i="6"/>
  <c r="C586" i="6" s="1"/>
  <c r="B585" i="6"/>
  <c r="C585" i="6" s="1"/>
  <c r="B584" i="6"/>
  <c r="C584" i="6" s="1"/>
  <c r="B583" i="6"/>
  <c r="C583" i="6" s="1"/>
  <c r="B582" i="6"/>
  <c r="C582" i="6" s="1"/>
  <c r="B581" i="6"/>
  <c r="C581" i="6" s="1"/>
  <c r="B580" i="6"/>
  <c r="C580" i="6" s="1"/>
  <c r="B579" i="6"/>
  <c r="C579" i="6" s="1"/>
  <c r="B578" i="6"/>
  <c r="C578" i="6" s="1"/>
  <c r="B577" i="6"/>
  <c r="C577" i="6" s="1"/>
  <c r="B576" i="6"/>
  <c r="C576" i="6" s="1"/>
  <c r="B575" i="6"/>
  <c r="C575" i="6" s="1"/>
  <c r="B574" i="6"/>
  <c r="C574" i="6" s="1"/>
  <c r="B573" i="6"/>
  <c r="C573" i="6" s="1"/>
  <c r="B572" i="6"/>
  <c r="C572" i="6" s="1"/>
  <c r="B571" i="6"/>
  <c r="C571" i="6" s="1"/>
  <c r="B570" i="6"/>
  <c r="C570" i="6" s="1"/>
  <c r="B569" i="6"/>
  <c r="C569" i="6" s="1"/>
  <c r="B568" i="6"/>
  <c r="C568" i="6" s="1"/>
  <c r="B567" i="6"/>
  <c r="C567" i="6" s="1"/>
  <c r="B566" i="6"/>
  <c r="C566" i="6" s="1"/>
  <c r="B565" i="6"/>
  <c r="C565" i="6" s="1"/>
  <c r="B564" i="6"/>
  <c r="C564" i="6" s="1"/>
  <c r="B563" i="6"/>
  <c r="C563" i="6" s="1"/>
  <c r="B562" i="6"/>
  <c r="C562" i="6" s="1"/>
  <c r="B561" i="6"/>
  <c r="C561" i="6" s="1"/>
  <c r="B560" i="6"/>
  <c r="C560" i="6" s="1"/>
  <c r="B559" i="6"/>
  <c r="C559" i="6" s="1"/>
  <c r="B558" i="6"/>
  <c r="C558" i="6" s="1"/>
  <c r="B557" i="6"/>
  <c r="C557" i="6" s="1"/>
  <c r="B556" i="6"/>
  <c r="C556" i="6" s="1"/>
  <c r="B555" i="6"/>
  <c r="C555" i="6" s="1"/>
  <c r="B554" i="6"/>
  <c r="C554" i="6" s="1"/>
  <c r="B553" i="6"/>
  <c r="C553" i="6" s="1"/>
  <c r="B552" i="6"/>
  <c r="C552" i="6" s="1"/>
  <c r="B551" i="6"/>
  <c r="C551" i="6" s="1"/>
  <c r="B550" i="6"/>
  <c r="C550" i="6" s="1"/>
  <c r="B549" i="6"/>
  <c r="C549" i="6" s="1"/>
  <c r="B548" i="6"/>
  <c r="C548" i="6" s="1"/>
  <c r="B547" i="6"/>
  <c r="C547" i="6" s="1"/>
  <c r="B546" i="6"/>
  <c r="C546" i="6" s="1"/>
  <c r="B545" i="6"/>
  <c r="C545" i="6" s="1"/>
  <c r="B544" i="6"/>
  <c r="C544" i="6" s="1"/>
  <c r="B543" i="6"/>
  <c r="C543" i="6" s="1"/>
  <c r="B542" i="6"/>
  <c r="C542" i="6" s="1"/>
  <c r="B541" i="6"/>
  <c r="C541" i="6" s="1"/>
  <c r="B540" i="6"/>
  <c r="C540" i="6" s="1"/>
  <c r="B539" i="6"/>
  <c r="C539" i="6" s="1"/>
  <c r="B538" i="6"/>
  <c r="C538" i="6" s="1"/>
  <c r="B537" i="6"/>
  <c r="C537" i="6" s="1"/>
  <c r="B536" i="6"/>
  <c r="C536" i="6" s="1"/>
  <c r="B535" i="6"/>
  <c r="C535" i="6" s="1"/>
  <c r="B534" i="6"/>
  <c r="C534" i="6" s="1"/>
  <c r="B533" i="6"/>
  <c r="C533" i="6" s="1"/>
  <c r="B532" i="6"/>
  <c r="C532" i="6" s="1"/>
  <c r="B531" i="6"/>
  <c r="C531" i="6" s="1"/>
  <c r="B530" i="6"/>
  <c r="C530" i="6" s="1"/>
  <c r="B529" i="6"/>
  <c r="C529" i="6" s="1"/>
  <c r="B528" i="6"/>
  <c r="C528" i="6" s="1"/>
  <c r="B527" i="6"/>
  <c r="C527" i="6" s="1"/>
  <c r="B526" i="6"/>
  <c r="C526" i="6" s="1"/>
  <c r="B525" i="6"/>
  <c r="C525" i="6" s="1"/>
  <c r="B524" i="6"/>
  <c r="C524" i="6" s="1"/>
  <c r="B523" i="6"/>
  <c r="C523" i="6" s="1"/>
  <c r="B522" i="6"/>
  <c r="C522" i="6" s="1"/>
  <c r="B521" i="6"/>
  <c r="C521" i="6" s="1"/>
  <c r="B520" i="6"/>
  <c r="C520" i="6" s="1"/>
  <c r="B519" i="6"/>
  <c r="C519" i="6" s="1"/>
  <c r="B518" i="6"/>
  <c r="C518" i="6" s="1"/>
  <c r="B517" i="6"/>
  <c r="C517" i="6" s="1"/>
  <c r="B516" i="6"/>
  <c r="C516" i="6" s="1"/>
  <c r="B515" i="6"/>
  <c r="C515" i="6" s="1"/>
  <c r="B514" i="6"/>
  <c r="C514" i="6" s="1"/>
  <c r="B513" i="6"/>
  <c r="C513" i="6" s="1"/>
  <c r="B512" i="6"/>
  <c r="C512" i="6" s="1"/>
  <c r="B511" i="6"/>
  <c r="C511" i="6" s="1"/>
  <c r="B510" i="6"/>
  <c r="C510" i="6" s="1"/>
  <c r="B509" i="6"/>
  <c r="C509" i="6" s="1"/>
  <c r="B508" i="6"/>
  <c r="C508" i="6" s="1"/>
  <c r="B507" i="6"/>
  <c r="C507" i="6" s="1"/>
  <c r="B506" i="6"/>
  <c r="C506" i="6" s="1"/>
  <c r="B505" i="6"/>
  <c r="C505" i="6" s="1"/>
  <c r="B504" i="6"/>
  <c r="C504" i="6" s="1"/>
  <c r="B503" i="6"/>
  <c r="C503" i="6" s="1"/>
  <c r="B502" i="6"/>
  <c r="C502" i="6" s="1"/>
  <c r="B501" i="6"/>
  <c r="C501" i="6" s="1"/>
  <c r="B500" i="6"/>
  <c r="C500" i="6" s="1"/>
  <c r="B499" i="6"/>
  <c r="C499" i="6" s="1"/>
  <c r="B498" i="6"/>
  <c r="C498" i="6" s="1"/>
  <c r="B497" i="6"/>
  <c r="C497" i="6" s="1"/>
  <c r="B496" i="6"/>
  <c r="C496" i="6" s="1"/>
  <c r="B495" i="6"/>
  <c r="C495" i="6" s="1"/>
  <c r="B494" i="6"/>
  <c r="C494" i="6" s="1"/>
  <c r="B493" i="6"/>
  <c r="C493" i="6" s="1"/>
  <c r="B492" i="6"/>
  <c r="C492" i="6" s="1"/>
  <c r="B491" i="6"/>
  <c r="C491" i="6" s="1"/>
  <c r="B490" i="6"/>
  <c r="C490" i="6" s="1"/>
  <c r="B489" i="6"/>
  <c r="C489" i="6" s="1"/>
  <c r="B488" i="6"/>
  <c r="C488" i="6" s="1"/>
  <c r="B487" i="6"/>
  <c r="C487" i="6" s="1"/>
  <c r="B486" i="6"/>
  <c r="C486" i="6" s="1"/>
  <c r="B485" i="6"/>
  <c r="C485" i="6" s="1"/>
  <c r="B484" i="6"/>
  <c r="C484" i="6" s="1"/>
  <c r="B483" i="6"/>
  <c r="C483" i="6" s="1"/>
  <c r="B482" i="6"/>
  <c r="C482" i="6" s="1"/>
  <c r="B481" i="6"/>
  <c r="C481" i="6" s="1"/>
  <c r="B480" i="6"/>
  <c r="C480" i="6" s="1"/>
  <c r="B479" i="6"/>
  <c r="C479" i="6" s="1"/>
  <c r="B478" i="6"/>
  <c r="C478" i="6" s="1"/>
  <c r="B477" i="6"/>
  <c r="C477" i="6" s="1"/>
  <c r="B476" i="6"/>
  <c r="C476" i="6" s="1"/>
  <c r="B475" i="6"/>
  <c r="C475" i="6" s="1"/>
  <c r="B474" i="6"/>
  <c r="C474" i="6" s="1"/>
  <c r="B473" i="6"/>
  <c r="C473" i="6" s="1"/>
  <c r="B472" i="6"/>
  <c r="C472" i="6" s="1"/>
  <c r="B471" i="6"/>
  <c r="C471" i="6" s="1"/>
  <c r="B470" i="6"/>
  <c r="C470" i="6" s="1"/>
  <c r="B469" i="6"/>
  <c r="C469" i="6" s="1"/>
  <c r="B468" i="6"/>
  <c r="C468" i="6" s="1"/>
  <c r="B467" i="6"/>
  <c r="C467" i="6" s="1"/>
  <c r="B466" i="6"/>
  <c r="C466" i="6" s="1"/>
  <c r="B465" i="6"/>
  <c r="C465" i="6" s="1"/>
  <c r="B464" i="6"/>
  <c r="C464" i="6" s="1"/>
  <c r="B463" i="6"/>
  <c r="C463" i="6" s="1"/>
  <c r="B462" i="6"/>
  <c r="C462" i="6" s="1"/>
  <c r="B461" i="6"/>
  <c r="C461" i="6" s="1"/>
  <c r="B460" i="6"/>
  <c r="C460" i="6" s="1"/>
  <c r="B459" i="6"/>
  <c r="C459" i="6" s="1"/>
  <c r="B458" i="6"/>
  <c r="C458" i="6" s="1"/>
  <c r="B457" i="6"/>
  <c r="C457" i="6" s="1"/>
  <c r="B456" i="6"/>
  <c r="C456" i="6" s="1"/>
  <c r="B455" i="6"/>
  <c r="C455" i="6" s="1"/>
  <c r="B454" i="6"/>
  <c r="C454" i="6" s="1"/>
  <c r="B453" i="6"/>
  <c r="C453" i="6" s="1"/>
  <c r="B452" i="6"/>
  <c r="C452" i="6" s="1"/>
  <c r="B451" i="6"/>
  <c r="C451" i="6" s="1"/>
  <c r="B450" i="6"/>
  <c r="C450" i="6" s="1"/>
  <c r="B449" i="6"/>
  <c r="C449" i="6" s="1"/>
  <c r="B448" i="6"/>
  <c r="C448" i="6" s="1"/>
  <c r="B447" i="6"/>
  <c r="C447" i="6" s="1"/>
  <c r="B446" i="6"/>
  <c r="C446" i="6" s="1"/>
  <c r="B445" i="6"/>
  <c r="C445" i="6" s="1"/>
  <c r="B444" i="6"/>
  <c r="C444" i="6" s="1"/>
  <c r="B443" i="6"/>
  <c r="C443" i="6" s="1"/>
  <c r="B442" i="6"/>
  <c r="C442" i="6" s="1"/>
  <c r="B441" i="6"/>
  <c r="C441" i="6" s="1"/>
  <c r="B440" i="6"/>
  <c r="C440" i="6" s="1"/>
  <c r="B439" i="6"/>
  <c r="C439" i="6" s="1"/>
  <c r="B438" i="6"/>
  <c r="C438" i="6" s="1"/>
  <c r="B437" i="6"/>
  <c r="C437" i="6" s="1"/>
  <c r="B436" i="6"/>
  <c r="C436" i="6" s="1"/>
  <c r="B435" i="6"/>
  <c r="C435" i="6" s="1"/>
  <c r="B434" i="6"/>
  <c r="C434" i="6" s="1"/>
  <c r="B433" i="6"/>
  <c r="C433" i="6" s="1"/>
  <c r="B432" i="6"/>
  <c r="C432" i="6" s="1"/>
  <c r="B431" i="6"/>
  <c r="C431" i="6" s="1"/>
  <c r="B430" i="6"/>
  <c r="C430" i="6" s="1"/>
  <c r="B429" i="6"/>
  <c r="C429" i="6" s="1"/>
  <c r="B428" i="6"/>
  <c r="C428" i="6" s="1"/>
  <c r="B427" i="6"/>
  <c r="C427" i="6" s="1"/>
  <c r="B426" i="6"/>
  <c r="C426" i="6" s="1"/>
  <c r="B425" i="6"/>
  <c r="C425" i="6" s="1"/>
  <c r="B424" i="6"/>
  <c r="C424" i="6" s="1"/>
  <c r="B423" i="6"/>
  <c r="C423" i="6" s="1"/>
  <c r="B422" i="6"/>
  <c r="C422" i="6" s="1"/>
  <c r="B421" i="6"/>
  <c r="C421" i="6" s="1"/>
  <c r="B420" i="6"/>
  <c r="C420" i="6" s="1"/>
  <c r="B419" i="6"/>
  <c r="C419" i="6" s="1"/>
  <c r="B418" i="6"/>
  <c r="C418" i="6" s="1"/>
  <c r="B417" i="6"/>
  <c r="C417" i="6" s="1"/>
  <c r="B416" i="6"/>
  <c r="C416" i="6" s="1"/>
  <c r="B415" i="6"/>
  <c r="C415" i="6" s="1"/>
  <c r="B414" i="6"/>
  <c r="C414" i="6" s="1"/>
  <c r="B413" i="6"/>
  <c r="C413" i="6" s="1"/>
  <c r="B412" i="6"/>
  <c r="C412" i="6" s="1"/>
  <c r="B411" i="6"/>
  <c r="C411" i="6" s="1"/>
  <c r="B410" i="6"/>
  <c r="C410" i="6" s="1"/>
  <c r="B409" i="6"/>
  <c r="C409" i="6" s="1"/>
  <c r="B408" i="6"/>
  <c r="C408" i="6" s="1"/>
  <c r="B407" i="6"/>
  <c r="C407" i="6" s="1"/>
  <c r="B406" i="6"/>
  <c r="C406" i="6" s="1"/>
  <c r="B405" i="6"/>
  <c r="C405" i="6" s="1"/>
  <c r="B404" i="6"/>
  <c r="C404" i="6" s="1"/>
  <c r="B403" i="6"/>
  <c r="C403" i="6" s="1"/>
  <c r="B402" i="6"/>
  <c r="C402" i="6" s="1"/>
  <c r="B401" i="6"/>
  <c r="C401" i="6" s="1"/>
  <c r="B400" i="6"/>
  <c r="C400" i="6" s="1"/>
  <c r="B399" i="6"/>
  <c r="C399" i="6" s="1"/>
  <c r="B398" i="6"/>
  <c r="C398" i="6" s="1"/>
  <c r="B397" i="6"/>
  <c r="C397" i="6" s="1"/>
  <c r="B396" i="6"/>
  <c r="C396" i="6" s="1"/>
  <c r="B395" i="6"/>
  <c r="C395" i="6" s="1"/>
  <c r="B394" i="6"/>
  <c r="C394" i="6" s="1"/>
  <c r="B393" i="6"/>
  <c r="C393" i="6" s="1"/>
  <c r="B392" i="6"/>
  <c r="C392" i="6" s="1"/>
  <c r="B391" i="6"/>
  <c r="C391" i="6" s="1"/>
  <c r="B390" i="6"/>
  <c r="C390" i="6" s="1"/>
  <c r="B389" i="6"/>
  <c r="C389" i="6" s="1"/>
  <c r="B388" i="6"/>
  <c r="C388" i="6" s="1"/>
  <c r="B387" i="6"/>
  <c r="C387" i="6" s="1"/>
  <c r="B386" i="6"/>
  <c r="C386" i="6" s="1"/>
  <c r="B385" i="6"/>
  <c r="C385" i="6" s="1"/>
  <c r="B384" i="6"/>
  <c r="C384" i="6" s="1"/>
  <c r="B383" i="6"/>
  <c r="C383" i="6" s="1"/>
  <c r="B382" i="6"/>
  <c r="C382" i="6" s="1"/>
  <c r="B381" i="6"/>
  <c r="C381" i="6" s="1"/>
  <c r="B380" i="6"/>
  <c r="C380" i="6" s="1"/>
  <c r="B379" i="6"/>
  <c r="C379" i="6" s="1"/>
  <c r="B378" i="6"/>
  <c r="C378" i="6" s="1"/>
  <c r="B377" i="6"/>
  <c r="C377" i="6" s="1"/>
  <c r="B376" i="6"/>
  <c r="C376" i="6" s="1"/>
  <c r="B375" i="6"/>
  <c r="C375" i="6" s="1"/>
  <c r="B374" i="6"/>
  <c r="C374" i="6" s="1"/>
  <c r="B373" i="6"/>
  <c r="C373" i="6" s="1"/>
  <c r="B372" i="6"/>
  <c r="C372" i="6" s="1"/>
  <c r="B371" i="6"/>
  <c r="C371" i="6" s="1"/>
  <c r="B370" i="6"/>
  <c r="C370" i="6" s="1"/>
  <c r="B369" i="6"/>
  <c r="C369" i="6" s="1"/>
  <c r="B368" i="6"/>
  <c r="C368" i="6" s="1"/>
  <c r="B367" i="6"/>
  <c r="C367" i="6" s="1"/>
  <c r="B366" i="6"/>
  <c r="C366" i="6" s="1"/>
  <c r="B365" i="6"/>
  <c r="C365" i="6" s="1"/>
  <c r="B364" i="6"/>
  <c r="C364" i="6" s="1"/>
  <c r="B363" i="6"/>
  <c r="C363" i="6" s="1"/>
  <c r="B362" i="6"/>
  <c r="C362" i="6" s="1"/>
  <c r="B361" i="6"/>
  <c r="C361" i="6" s="1"/>
  <c r="B360" i="6"/>
  <c r="C360" i="6" s="1"/>
  <c r="B359" i="6"/>
  <c r="C359" i="6" s="1"/>
  <c r="B358" i="6"/>
  <c r="C358" i="6" s="1"/>
  <c r="B357" i="6"/>
  <c r="C357" i="6" s="1"/>
  <c r="B356" i="6"/>
  <c r="C356" i="6" s="1"/>
  <c r="B355" i="6"/>
  <c r="C355" i="6" s="1"/>
  <c r="B354" i="6"/>
  <c r="C354" i="6" s="1"/>
  <c r="B353" i="6"/>
  <c r="C353" i="6" s="1"/>
  <c r="B352" i="6"/>
  <c r="C352" i="6" s="1"/>
  <c r="B351" i="6"/>
  <c r="C351" i="6" s="1"/>
  <c r="B350" i="6"/>
  <c r="C350" i="6" s="1"/>
  <c r="B349" i="6"/>
  <c r="C349" i="6" s="1"/>
  <c r="B348" i="6"/>
  <c r="C348" i="6" s="1"/>
  <c r="B347" i="6"/>
  <c r="C347" i="6" s="1"/>
  <c r="B346" i="6"/>
  <c r="C346" i="6" s="1"/>
  <c r="B345" i="6"/>
  <c r="C345" i="6" s="1"/>
  <c r="B344" i="6"/>
  <c r="C344" i="6" s="1"/>
  <c r="B343" i="6"/>
  <c r="C343" i="6" s="1"/>
  <c r="B342" i="6"/>
  <c r="C342" i="6" s="1"/>
  <c r="B341" i="6"/>
  <c r="C341" i="6" s="1"/>
  <c r="B340" i="6"/>
  <c r="C340" i="6" s="1"/>
  <c r="B339" i="6"/>
  <c r="C339" i="6" s="1"/>
  <c r="B338" i="6"/>
  <c r="C338" i="6" s="1"/>
  <c r="B337" i="6"/>
  <c r="C337" i="6" s="1"/>
  <c r="B336" i="6"/>
  <c r="C336" i="6" s="1"/>
  <c r="B335" i="6"/>
  <c r="C335" i="6" s="1"/>
  <c r="B334" i="6"/>
  <c r="C334" i="6" s="1"/>
  <c r="B333" i="6"/>
  <c r="C333" i="6" s="1"/>
  <c r="B332" i="6"/>
  <c r="C332" i="6" s="1"/>
  <c r="B331" i="6"/>
  <c r="C331" i="6" s="1"/>
  <c r="B330" i="6"/>
  <c r="C330" i="6" s="1"/>
  <c r="B329" i="6"/>
  <c r="C329" i="6" s="1"/>
  <c r="B328" i="6"/>
  <c r="C328" i="6" s="1"/>
  <c r="B327" i="6"/>
  <c r="C327" i="6" s="1"/>
  <c r="B326" i="6"/>
  <c r="C326" i="6" s="1"/>
  <c r="B325" i="6"/>
  <c r="C325" i="6" s="1"/>
  <c r="B324" i="6"/>
  <c r="C324" i="6" s="1"/>
  <c r="B323" i="6"/>
  <c r="C323" i="6" s="1"/>
  <c r="B322" i="6"/>
  <c r="C322" i="6" s="1"/>
  <c r="B321" i="6"/>
  <c r="C321" i="6" s="1"/>
  <c r="B320" i="6"/>
  <c r="C320" i="6" s="1"/>
  <c r="B319" i="6"/>
  <c r="C319" i="6" s="1"/>
  <c r="B318" i="6"/>
  <c r="C318" i="6" s="1"/>
  <c r="B317" i="6"/>
  <c r="C317" i="6" s="1"/>
  <c r="B316" i="6"/>
  <c r="C316" i="6" s="1"/>
  <c r="B315" i="6"/>
  <c r="C315" i="6" s="1"/>
  <c r="B314" i="6"/>
  <c r="C314" i="6" s="1"/>
  <c r="B313" i="6"/>
  <c r="C313" i="6" s="1"/>
  <c r="B312" i="6"/>
  <c r="C312" i="6" s="1"/>
  <c r="B311" i="6"/>
  <c r="C311" i="6" s="1"/>
  <c r="B310" i="6"/>
  <c r="C310" i="6" s="1"/>
  <c r="B309" i="6"/>
  <c r="C309" i="6" s="1"/>
  <c r="B308" i="6"/>
  <c r="C308" i="6" s="1"/>
  <c r="B307" i="6"/>
  <c r="C307" i="6" s="1"/>
  <c r="B306" i="6"/>
  <c r="C306" i="6" s="1"/>
  <c r="B305" i="6"/>
  <c r="C305" i="6" s="1"/>
  <c r="B304" i="6"/>
  <c r="C304" i="6" s="1"/>
  <c r="B303" i="6"/>
  <c r="C303" i="6" s="1"/>
  <c r="B302" i="6"/>
  <c r="C302" i="6" s="1"/>
  <c r="B301" i="6"/>
  <c r="C301" i="6" s="1"/>
  <c r="B300" i="6"/>
  <c r="C300" i="6" s="1"/>
  <c r="B299" i="6"/>
  <c r="C299" i="6" s="1"/>
  <c r="B298" i="6"/>
  <c r="C298" i="6" s="1"/>
  <c r="B297" i="6"/>
  <c r="C297" i="6" s="1"/>
  <c r="B296" i="6"/>
  <c r="C296" i="6" s="1"/>
  <c r="B295" i="6"/>
  <c r="C295" i="6" s="1"/>
  <c r="B294" i="6"/>
  <c r="C294" i="6" s="1"/>
  <c r="B293" i="6"/>
  <c r="C293" i="6" s="1"/>
  <c r="B292" i="6"/>
  <c r="C292" i="6" s="1"/>
  <c r="B291" i="6"/>
  <c r="C291" i="6" s="1"/>
  <c r="B290" i="6"/>
  <c r="C290" i="6" s="1"/>
  <c r="B289" i="6"/>
  <c r="C289" i="6" s="1"/>
  <c r="B288" i="6"/>
  <c r="C288" i="6" s="1"/>
  <c r="B287" i="6"/>
  <c r="C287" i="6" s="1"/>
  <c r="B286" i="6"/>
  <c r="C286" i="6" s="1"/>
  <c r="B285" i="6"/>
  <c r="C285" i="6" s="1"/>
  <c r="B284" i="6"/>
  <c r="C284" i="6" s="1"/>
  <c r="B283" i="6"/>
  <c r="C283" i="6" s="1"/>
  <c r="B282" i="6"/>
  <c r="C282" i="6" s="1"/>
  <c r="B281" i="6"/>
  <c r="C281" i="6" s="1"/>
  <c r="B280" i="6"/>
  <c r="C280" i="6" s="1"/>
  <c r="B279" i="6"/>
  <c r="C279" i="6" s="1"/>
  <c r="B278" i="6"/>
  <c r="C278" i="6" s="1"/>
  <c r="B277" i="6"/>
  <c r="C277" i="6" s="1"/>
  <c r="B276" i="6"/>
  <c r="C276" i="6" s="1"/>
  <c r="B275" i="6"/>
  <c r="C275" i="6" s="1"/>
  <c r="B274" i="6"/>
  <c r="C274" i="6" s="1"/>
  <c r="B273" i="6"/>
  <c r="C273" i="6" s="1"/>
  <c r="B272" i="6"/>
  <c r="C272" i="6" s="1"/>
  <c r="B271" i="6"/>
  <c r="C271" i="6" s="1"/>
  <c r="B270" i="6"/>
  <c r="C270" i="6" s="1"/>
  <c r="B269" i="6"/>
  <c r="C269" i="6" s="1"/>
  <c r="B268" i="6"/>
  <c r="C268" i="6" s="1"/>
  <c r="B267" i="6"/>
  <c r="C267" i="6" s="1"/>
  <c r="B266" i="6"/>
  <c r="C266" i="6" s="1"/>
  <c r="B265" i="6"/>
  <c r="C265" i="6" s="1"/>
  <c r="B264" i="6"/>
  <c r="C264" i="6" s="1"/>
  <c r="B263" i="6"/>
  <c r="C263" i="6" s="1"/>
  <c r="B262" i="6"/>
  <c r="C262" i="6" s="1"/>
  <c r="B261" i="6"/>
  <c r="C261" i="6" s="1"/>
  <c r="B260" i="6"/>
  <c r="C260" i="6" s="1"/>
  <c r="B259" i="6"/>
  <c r="C259" i="6" s="1"/>
  <c r="B258" i="6"/>
  <c r="C258" i="6" s="1"/>
  <c r="B257" i="6"/>
  <c r="C257" i="6" s="1"/>
  <c r="B256" i="6"/>
  <c r="C256" i="6" s="1"/>
  <c r="B255" i="6"/>
  <c r="C255" i="6" s="1"/>
  <c r="B254" i="6"/>
  <c r="C254" i="6" s="1"/>
  <c r="B253" i="6"/>
  <c r="C253" i="6" s="1"/>
  <c r="B252" i="6"/>
  <c r="C252" i="6" s="1"/>
  <c r="B251" i="6"/>
  <c r="C251" i="6" s="1"/>
  <c r="B250" i="6"/>
  <c r="C250" i="6" s="1"/>
  <c r="B249" i="6"/>
  <c r="C249" i="6" s="1"/>
  <c r="B248" i="6"/>
  <c r="C248" i="6" s="1"/>
  <c r="B247" i="6"/>
  <c r="C247" i="6" s="1"/>
  <c r="B246" i="6"/>
  <c r="C246" i="6" s="1"/>
  <c r="B245" i="6"/>
  <c r="C245" i="6" s="1"/>
  <c r="B244" i="6"/>
  <c r="C244" i="6" s="1"/>
  <c r="B243" i="6"/>
  <c r="C243" i="6" s="1"/>
  <c r="B242" i="6"/>
  <c r="C242" i="6" s="1"/>
  <c r="B241" i="6"/>
  <c r="C241" i="6" s="1"/>
  <c r="B240" i="6"/>
  <c r="C240" i="6" s="1"/>
  <c r="B239" i="6"/>
  <c r="C239" i="6" s="1"/>
  <c r="B238" i="6"/>
  <c r="C238" i="6" s="1"/>
  <c r="B237" i="6"/>
  <c r="C237" i="6" s="1"/>
  <c r="B236" i="6"/>
  <c r="C236" i="6" s="1"/>
  <c r="B235" i="6"/>
  <c r="C235" i="6" s="1"/>
  <c r="B234" i="6"/>
  <c r="C234" i="6" s="1"/>
  <c r="B233" i="6"/>
  <c r="C233" i="6" s="1"/>
  <c r="B232" i="6"/>
  <c r="C232" i="6" s="1"/>
  <c r="B231" i="6"/>
  <c r="C231" i="6" s="1"/>
  <c r="B230" i="6"/>
  <c r="C230" i="6" s="1"/>
  <c r="B229" i="6"/>
  <c r="C229" i="6" s="1"/>
  <c r="B228" i="6"/>
  <c r="C228" i="6" s="1"/>
  <c r="B227" i="6"/>
  <c r="C227" i="6" s="1"/>
  <c r="B226" i="6"/>
  <c r="C226" i="6" s="1"/>
  <c r="B225" i="6"/>
  <c r="C225" i="6" s="1"/>
  <c r="B224" i="6"/>
  <c r="C224" i="6" s="1"/>
  <c r="B223" i="6"/>
  <c r="C223" i="6" s="1"/>
  <c r="B222" i="6"/>
  <c r="C222" i="6" s="1"/>
  <c r="B221" i="6"/>
  <c r="C221" i="6" s="1"/>
  <c r="B220" i="6"/>
  <c r="C220" i="6" s="1"/>
  <c r="B219" i="6"/>
  <c r="C219" i="6" s="1"/>
  <c r="B218" i="6"/>
  <c r="C218" i="6" s="1"/>
  <c r="B217" i="6"/>
  <c r="C217" i="6" s="1"/>
  <c r="B216" i="6"/>
  <c r="C216" i="6" s="1"/>
  <c r="B215" i="6"/>
  <c r="C215" i="6" s="1"/>
  <c r="B214" i="6"/>
  <c r="C214" i="6" s="1"/>
  <c r="B213" i="6"/>
  <c r="C213" i="6" s="1"/>
  <c r="B212" i="6"/>
  <c r="C212" i="6" s="1"/>
  <c r="B211" i="6"/>
  <c r="C211" i="6" s="1"/>
  <c r="B210" i="6"/>
  <c r="C210" i="6" s="1"/>
  <c r="B209" i="6"/>
  <c r="C209" i="6" s="1"/>
  <c r="B208" i="6"/>
  <c r="C208" i="6" s="1"/>
  <c r="B207" i="6"/>
  <c r="C207" i="6" s="1"/>
  <c r="B206" i="6"/>
  <c r="C206" i="6" s="1"/>
  <c r="B205" i="6"/>
  <c r="C205" i="6" s="1"/>
  <c r="B204" i="6"/>
  <c r="C204" i="6" s="1"/>
  <c r="B203" i="6"/>
  <c r="C203" i="6" s="1"/>
  <c r="B202" i="6"/>
  <c r="C202" i="6" s="1"/>
  <c r="B201" i="6"/>
  <c r="C201" i="6" s="1"/>
  <c r="B200" i="6"/>
  <c r="C200" i="6" s="1"/>
  <c r="B199" i="6"/>
  <c r="C199" i="6" s="1"/>
  <c r="B198" i="6"/>
  <c r="C198" i="6" s="1"/>
  <c r="B197" i="6"/>
  <c r="C197" i="6" s="1"/>
  <c r="B196" i="6"/>
  <c r="C196" i="6" s="1"/>
  <c r="B195" i="6"/>
  <c r="C195" i="6" s="1"/>
  <c r="B194" i="6"/>
  <c r="C194" i="6" s="1"/>
  <c r="B193" i="6"/>
  <c r="C193" i="6" s="1"/>
  <c r="B192" i="6"/>
  <c r="C192" i="6" s="1"/>
  <c r="B191" i="6"/>
  <c r="C191" i="6" s="1"/>
  <c r="B190" i="6"/>
  <c r="C190" i="6" s="1"/>
  <c r="B189" i="6"/>
  <c r="C189" i="6" s="1"/>
  <c r="B188" i="6"/>
  <c r="C188" i="6" s="1"/>
  <c r="B187" i="6"/>
  <c r="C187" i="6" s="1"/>
  <c r="B186" i="6"/>
  <c r="C186" i="6" s="1"/>
  <c r="B185" i="6"/>
  <c r="C185" i="6" s="1"/>
  <c r="B184" i="6"/>
  <c r="C184" i="6" s="1"/>
  <c r="B183" i="6"/>
  <c r="C183" i="6" s="1"/>
  <c r="B182" i="6"/>
  <c r="C182" i="6" s="1"/>
  <c r="B181" i="6"/>
  <c r="C181" i="6" s="1"/>
  <c r="B180" i="6"/>
  <c r="C180" i="6" s="1"/>
  <c r="B179" i="6"/>
  <c r="C179" i="6" s="1"/>
  <c r="B178" i="6"/>
  <c r="C178" i="6" s="1"/>
  <c r="B177" i="6"/>
  <c r="C177" i="6" s="1"/>
  <c r="B176" i="6"/>
  <c r="C176" i="6" s="1"/>
  <c r="B175" i="6"/>
  <c r="C175" i="6" s="1"/>
  <c r="B174" i="6"/>
  <c r="C174" i="6" s="1"/>
  <c r="B173" i="6"/>
  <c r="C173" i="6" s="1"/>
  <c r="B172" i="6"/>
  <c r="C172" i="6" s="1"/>
  <c r="B171" i="6"/>
  <c r="C171" i="6" s="1"/>
  <c r="B170" i="6"/>
  <c r="C170" i="6" s="1"/>
  <c r="B169" i="6"/>
  <c r="C169" i="6" s="1"/>
  <c r="B168" i="6"/>
  <c r="C168" i="6" s="1"/>
  <c r="B167" i="6"/>
  <c r="C167" i="6" s="1"/>
  <c r="B166" i="6"/>
  <c r="C166" i="6" s="1"/>
  <c r="B165" i="6"/>
  <c r="C165" i="6" s="1"/>
  <c r="B164" i="6"/>
  <c r="C164" i="6" s="1"/>
  <c r="B163" i="6"/>
  <c r="C163" i="6" s="1"/>
  <c r="B162" i="6"/>
  <c r="C162" i="6" s="1"/>
  <c r="B161" i="6"/>
  <c r="C161" i="6" s="1"/>
  <c r="B160" i="6"/>
  <c r="C160" i="6" s="1"/>
  <c r="B159" i="6"/>
  <c r="C159" i="6" s="1"/>
  <c r="B158" i="6"/>
  <c r="C158" i="6" s="1"/>
  <c r="B157" i="6"/>
  <c r="C157" i="6" s="1"/>
  <c r="B156" i="6"/>
  <c r="C156" i="6" s="1"/>
  <c r="B155" i="6"/>
  <c r="C155" i="6" s="1"/>
  <c r="B154" i="6"/>
  <c r="C154" i="6" s="1"/>
  <c r="B153" i="6"/>
  <c r="C153" i="6" s="1"/>
  <c r="B152" i="6"/>
  <c r="C152" i="6" s="1"/>
  <c r="B151" i="6"/>
  <c r="C151" i="6" s="1"/>
  <c r="B150" i="6"/>
  <c r="C150" i="6" s="1"/>
  <c r="B149" i="6"/>
  <c r="C149" i="6" s="1"/>
  <c r="B148" i="6"/>
  <c r="C148" i="6" s="1"/>
  <c r="B147" i="6"/>
  <c r="C147" i="6" s="1"/>
  <c r="B146" i="6"/>
  <c r="C146" i="6" s="1"/>
  <c r="B145" i="6"/>
  <c r="C145" i="6" s="1"/>
  <c r="B144" i="6"/>
  <c r="C144" i="6" s="1"/>
  <c r="B143" i="6"/>
  <c r="C143" i="6" s="1"/>
  <c r="B142" i="6"/>
  <c r="C142" i="6" s="1"/>
  <c r="B141" i="6"/>
  <c r="C141" i="6" s="1"/>
  <c r="B140" i="6"/>
  <c r="C140" i="6" s="1"/>
  <c r="B139" i="6"/>
  <c r="C139" i="6" s="1"/>
  <c r="B138" i="6"/>
  <c r="C138" i="6" s="1"/>
  <c r="B137" i="6"/>
  <c r="C137" i="6" s="1"/>
  <c r="B136" i="6"/>
  <c r="C136" i="6" s="1"/>
  <c r="B135" i="6"/>
  <c r="C135" i="6" s="1"/>
  <c r="B134" i="6"/>
  <c r="C134" i="6" s="1"/>
  <c r="B133" i="6"/>
  <c r="C133" i="6" s="1"/>
  <c r="B132" i="6"/>
  <c r="C132" i="6" s="1"/>
  <c r="B131" i="6"/>
  <c r="C131" i="6" s="1"/>
  <c r="B130" i="6"/>
  <c r="C130" i="6" s="1"/>
  <c r="B129" i="6"/>
  <c r="C129" i="6" s="1"/>
  <c r="B128" i="6"/>
  <c r="C128" i="6" s="1"/>
  <c r="B127" i="6"/>
  <c r="C127" i="6" s="1"/>
  <c r="B126" i="6"/>
  <c r="C126" i="6" s="1"/>
  <c r="B125" i="6"/>
  <c r="C125" i="6" s="1"/>
  <c r="B124" i="6"/>
  <c r="C124" i="6" s="1"/>
  <c r="B123" i="6"/>
  <c r="C123" i="6" s="1"/>
  <c r="B122" i="6"/>
  <c r="C122" i="6" s="1"/>
  <c r="B121" i="6"/>
  <c r="C121" i="6" s="1"/>
  <c r="B120" i="6"/>
  <c r="C120" i="6" s="1"/>
  <c r="B119" i="6"/>
  <c r="C119" i="6" s="1"/>
  <c r="B118" i="6"/>
  <c r="C118" i="6" s="1"/>
  <c r="B117" i="6"/>
  <c r="C117" i="6" s="1"/>
  <c r="B116" i="6"/>
  <c r="C116" i="6" s="1"/>
  <c r="B115" i="6"/>
  <c r="C115" i="6" s="1"/>
  <c r="B114" i="6"/>
  <c r="C114" i="6" s="1"/>
  <c r="B113" i="6"/>
  <c r="C113" i="6" s="1"/>
  <c r="B112" i="6"/>
  <c r="C112" i="6" s="1"/>
  <c r="B111" i="6"/>
  <c r="C111" i="6" s="1"/>
  <c r="B110" i="6"/>
  <c r="C110" i="6" s="1"/>
  <c r="B109" i="6"/>
  <c r="C109" i="6" s="1"/>
  <c r="B108" i="6"/>
  <c r="C108" i="6" s="1"/>
  <c r="B107" i="6"/>
  <c r="C107" i="6" s="1"/>
  <c r="B106" i="6"/>
  <c r="C106" i="6" s="1"/>
  <c r="B105" i="6"/>
  <c r="C105" i="6" s="1"/>
  <c r="B104" i="6"/>
  <c r="C104" i="6" s="1"/>
  <c r="B103" i="6"/>
  <c r="C103" i="6" s="1"/>
  <c r="B102" i="6"/>
  <c r="C102" i="6" s="1"/>
  <c r="B101" i="6"/>
  <c r="C101" i="6" s="1"/>
  <c r="B100" i="6"/>
  <c r="C100" i="6" s="1"/>
  <c r="B99" i="6"/>
  <c r="C99" i="6" s="1"/>
  <c r="B98" i="6"/>
  <c r="C98" i="6" s="1"/>
  <c r="B97" i="6"/>
  <c r="C97" i="6" s="1"/>
  <c r="B96" i="6"/>
  <c r="C96" i="6" s="1"/>
  <c r="B95" i="6"/>
  <c r="C95" i="6" s="1"/>
  <c r="B94" i="6"/>
  <c r="C94" i="6" s="1"/>
  <c r="B93" i="6"/>
  <c r="C93" i="6" s="1"/>
  <c r="B92" i="6"/>
  <c r="C92" i="6" s="1"/>
  <c r="B91" i="6"/>
  <c r="C91" i="6" s="1"/>
  <c r="B90" i="6"/>
  <c r="C90" i="6" s="1"/>
  <c r="B89" i="6"/>
  <c r="C89" i="6" s="1"/>
  <c r="B88" i="6"/>
  <c r="C88" i="6" s="1"/>
  <c r="B87" i="6"/>
  <c r="C87" i="6" s="1"/>
  <c r="B86" i="6"/>
  <c r="C86" i="6" s="1"/>
  <c r="B85" i="6"/>
  <c r="C85" i="6" s="1"/>
  <c r="B84" i="6"/>
  <c r="C84" i="6" s="1"/>
  <c r="B83" i="6"/>
  <c r="C83" i="6" s="1"/>
  <c r="B82" i="6"/>
  <c r="C82" i="6" s="1"/>
  <c r="B81" i="6"/>
  <c r="C81" i="6" s="1"/>
  <c r="B80" i="6"/>
  <c r="C80" i="6" s="1"/>
  <c r="B79" i="6"/>
  <c r="C79" i="6" s="1"/>
  <c r="B78" i="6"/>
  <c r="C78" i="6" s="1"/>
  <c r="B77" i="6"/>
  <c r="C77" i="6" s="1"/>
  <c r="B76" i="6"/>
  <c r="C76" i="6" s="1"/>
  <c r="B75" i="6"/>
  <c r="C75" i="6" s="1"/>
  <c r="B74" i="6"/>
  <c r="C74" i="6" s="1"/>
  <c r="B73" i="6"/>
  <c r="C73" i="6" s="1"/>
  <c r="B72" i="6"/>
  <c r="C72" i="6" s="1"/>
  <c r="B71" i="6"/>
  <c r="C71" i="6" s="1"/>
  <c r="B70" i="6"/>
  <c r="C70" i="6" s="1"/>
  <c r="B69" i="6"/>
  <c r="C69" i="6" s="1"/>
  <c r="B68" i="6"/>
  <c r="C68" i="6" s="1"/>
  <c r="B67" i="6"/>
  <c r="C67" i="6" s="1"/>
  <c r="B66" i="6"/>
  <c r="C66" i="6" s="1"/>
  <c r="B65" i="6"/>
  <c r="C65" i="6" s="1"/>
  <c r="B64" i="6"/>
  <c r="C64" i="6" s="1"/>
  <c r="B63" i="6"/>
  <c r="C63" i="6" s="1"/>
  <c r="B62" i="6"/>
  <c r="C62" i="6" s="1"/>
  <c r="B61" i="6"/>
  <c r="C61" i="6" s="1"/>
  <c r="B60" i="6"/>
  <c r="C60" i="6" s="1"/>
  <c r="B59" i="6"/>
  <c r="C59" i="6" s="1"/>
  <c r="B58" i="6"/>
  <c r="C58" i="6" s="1"/>
  <c r="B57" i="6"/>
  <c r="C57" i="6" s="1"/>
  <c r="B56" i="6"/>
  <c r="C56" i="6" s="1"/>
  <c r="B55" i="6"/>
  <c r="C55" i="6" s="1"/>
  <c r="B54" i="6"/>
  <c r="C54" i="6" s="1"/>
  <c r="B53" i="6"/>
  <c r="C53" i="6" s="1"/>
  <c r="B52" i="6"/>
  <c r="C52" i="6" s="1"/>
  <c r="B51" i="6"/>
  <c r="C51" i="6" s="1"/>
  <c r="B50" i="6"/>
  <c r="C50" i="6" s="1"/>
  <c r="B49" i="6"/>
  <c r="C49" i="6" s="1"/>
  <c r="B48" i="6"/>
  <c r="C48" i="6" s="1"/>
  <c r="B47" i="6"/>
  <c r="C47" i="6" s="1"/>
  <c r="B46" i="6"/>
  <c r="C46" i="6" s="1"/>
  <c r="B45" i="6"/>
  <c r="C45" i="6" s="1"/>
  <c r="B44" i="6"/>
  <c r="C44" i="6" s="1"/>
  <c r="B43" i="6"/>
  <c r="C43" i="6" s="1"/>
  <c r="B42" i="6"/>
  <c r="C42" i="6" s="1"/>
  <c r="B41" i="6"/>
  <c r="C41" i="6" s="1"/>
  <c r="B40" i="6"/>
  <c r="C40" i="6" s="1"/>
  <c r="B39" i="6"/>
  <c r="C39" i="6" s="1"/>
  <c r="B38" i="6"/>
  <c r="C38" i="6" s="1"/>
  <c r="B37" i="6"/>
  <c r="C37" i="6" s="1"/>
  <c r="B36" i="6"/>
  <c r="C36" i="6" s="1"/>
  <c r="B35" i="6"/>
  <c r="C35" i="6" s="1"/>
  <c r="B34" i="6"/>
  <c r="C34" i="6" s="1"/>
  <c r="B33" i="6"/>
  <c r="C33" i="6" s="1"/>
  <c r="B32" i="6"/>
  <c r="C32" i="6" s="1"/>
  <c r="B31" i="6"/>
  <c r="C31" i="6" s="1"/>
  <c r="B30" i="6"/>
  <c r="C30" i="6" s="1"/>
  <c r="B29" i="6"/>
  <c r="C29" i="6" s="1"/>
  <c r="B28" i="6"/>
  <c r="C28" i="6" s="1"/>
  <c r="B27" i="6"/>
  <c r="C27" i="6" s="1"/>
  <c r="B26" i="6"/>
  <c r="C26" i="6" s="1"/>
  <c r="B25" i="6"/>
  <c r="C25" i="6" s="1"/>
  <c r="B24" i="6"/>
  <c r="C24" i="6" s="1"/>
  <c r="B23" i="6"/>
  <c r="C23" i="6" s="1"/>
  <c r="B22" i="6"/>
  <c r="C22" i="6" s="1"/>
  <c r="B21" i="6"/>
  <c r="C21" i="6" s="1"/>
  <c r="B20" i="6"/>
  <c r="C20" i="6" s="1"/>
  <c r="B19" i="6"/>
  <c r="C19" i="6" s="1"/>
  <c r="B18" i="6"/>
  <c r="C18" i="6" s="1"/>
  <c r="B17" i="6"/>
  <c r="C17" i="6" s="1"/>
  <c r="B16" i="6"/>
  <c r="C16" i="6" s="1"/>
  <c r="B15" i="6"/>
  <c r="C15" i="6" s="1"/>
  <c r="B14" i="6"/>
  <c r="C14" i="6" s="1"/>
  <c r="B13" i="6"/>
  <c r="C13" i="6" s="1"/>
  <c r="B12" i="6"/>
  <c r="C12" i="6" s="1"/>
  <c r="B11" i="6"/>
  <c r="C11" i="6" s="1"/>
  <c r="B10" i="6"/>
  <c r="C10" i="6" s="1"/>
  <c r="B9" i="6"/>
  <c r="C9" i="6" s="1"/>
  <c r="B8" i="6"/>
  <c r="C8" i="6" s="1"/>
  <c r="B7" i="6"/>
  <c r="C7" i="6" s="1"/>
  <c r="B6" i="6"/>
  <c r="C6" i="6" s="1"/>
  <c r="B5" i="6"/>
  <c r="C5" i="6" s="1"/>
  <c r="B4" i="6"/>
  <c r="C4" i="6" s="1"/>
  <c r="B3" i="6"/>
  <c r="C3" i="6" s="1"/>
  <c r="B2" i="6"/>
  <c r="C2" i="6" s="1"/>
  <c r="I967" i="10"/>
  <c r="C967" i="10"/>
  <c r="I966" i="10"/>
  <c r="C966" i="10"/>
  <c r="I965" i="10"/>
  <c r="C965" i="10"/>
  <c r="I964" i="10"/>
  <c r="C964" i="10"/>
  <c r="I963" i="10"/>
  <c r="C963" i="10"/>
  <c r="I962" i="10"/>
  <c r="C962" i="10"/>
  <c r="I961" i="10"/>
  <c r="C961" i="10"/>
  <c r="I960" i="10"/>
  <c r="C960" i="10"/>
  <c r="I959" i="10"/>
  <c r="C959" i="10"/>
  <c r="I958" i="10"/>
  <c r="C958" i="10"/>
  <c r="I957" i="10"/>
  <c r="C957" i="10"/>
  <c r="I956" i="10"/>
  <c r="C956" i="10"/>
  <c r="I955" i="10"/>
  <c r="C955" i="10"/>
  <c r="I954" i="10"/>
  <c r="C954" i="10"/>
  <c r="I953" i="10"/>
  <c r="C953" i="10"/>
  <c r="I952" i="10"/>
  <c r="C952" i="10"/>
  <c r="I951" i="10"/>
  <c r="C951" i="10"/>
  <c r="I950" i="10"/>
  <c r="C950" i="10"/>
  <c r="I949" i="10"/>
  <c r="C949" i="10"/>
  <c r="I948" i="10"/>
  <c r="C948" i="10"/>
  <c r="I947" i="10"/>
  <c r="C947" i="10"/>
  <c r="I946" i="10"/>
  <c r="C946" i="10"/>
  <c r="I945" i="10"/>
  <c r="C945" i="10"/>
  <c r="I944" i="10"/>
  <c r="C944" i="10"/>
  <c r="I943" i="10"/>
  <c r="C943" i="10"/>
  <c r="I942" i="10"/>
  <c r="C942" i="10"/>
  <c r="I941" i="10"/>
  <c r="C941" i="10"/>
  <c r="I940" i="10"/>
  <c r="C940" i="10"/>
  <c r="I939" i="10"/>
  <c r="C939" i="10"/>
  <c r="I938" i="10"/>
  <c r="C938" i="10"/>
  <c r="I937" i="10"/>
  <c r="C937" i="10"/>
  <c r="I936" i="10"/>
  <c r="C936" i="10"/>
  <c r="I935" i="10"/>
  <c r="C935" i="10"/>
  <c r="I934" i="10"/>
  <c r="C934" i="10"/>
  <c r="I933" i="10"/>
  <c r="C933" i="10"/>
  <c r="I932" i="10"/>
  <c r="C932" i="10"/>
  <c r="I931" i="10"/>
  <c r="C931" i="10"/>
  <c r="I930" i="10"/>
  <c r="C930" i="10"/>
  <c r="I929" i="10"/>
  <c r="C929" i="10"/>
  <c r="I928" i="10"/>
  <c r="C928" i="10"/>
  <c r="I927" i="10"/>
  <c r="C927" i="10"/>
  <c r="I926" i="10"/>
  <c r="C926" i="10"/>
  <c r="I925" i="10"/>
  <c r="C925" i="10"/>
  <c r="I924" i="10"/>
  <c r="C924" i="10"/>
  <c r="I923" i="10"/>
  <c r="C923" i="10"/>
  <c r="I922" i="10"/>
  <c r="C922" i="10"/>
  <c r="I921" i="10"/>
  <c r="C921" i="10"/>
  <c r="I920" i="10"/>
  <c r="C920" i="10"/>
  <c r="I919" i="10"/>
  <c r="C919" i="10"/>
  <c r="I918" i="10"/>
  <c r="C918" i="10"/>
  <c r="I917" i="10"/>
  <c r="C917" i="10"/>
  <c r="I916" i="10"/>
  <c r="C916" i="10"/>
  <c r="I915" i="10"/>
  <c r="C915" i="10"/>
  <c r="I914" i="10"/>
  <c r="C914" i="10"/>
  <c r="I913" i="10"/>
  <c r="C913" i="10"/>
  <c r="I912" i="10"/>
  <c r="C912" i="10"/>
  <c r="I911" i="10"/>
  <c r="C911" i="10"/>
  <c r="I910" i="10"/>
  <c r="C910" i="10"/>
  <c r="I909" i="10"/>
  <c r="C909" i="10"/>
  <c r="I908" i="10"/>
  <c r="C908" i="10"/>
  <c r="I907" i="10"/>
  <c r="C907" i="10"/>
  <c r="I906" i="10"/>
  <c r="C906" i="10"/>
  <c r="I905" i="10"/>
  <c r="C905" i="10"/>
  <c r="I904" i="10"/>
  <c r="C904" i="10"/>
  <c r="I903" i="10"/>
  <c r="C903" i="10"/>
  <c r="I902" i="10"/>
  <c r="C902" i="10"/>
  <c r="I901" i="10"/>
  <c r="C901" i="10"/>
  <c r="I900" i="10"/>
  <c r="C900" i="10"/>
  <c r="I899" i="10"/>
  <c r="C899" i="10"/>
  <c r="I898" i="10"/>
  <c r="C898" i="10"/>
  <c r="I897" i="10"/>
  <c r="C897" i="10"/>
  <c r="I896" i="10"/>
  <c r="C896" i="10"/>
  <c r="I895" i="10"/>
  <c r="C895" i="10"/>
  <c r="I894" i="10"/>
  <c r="C894" i="10"/>
  <c r="I893" i="10"/>
  <c r="C893" i="10"/>
  <c r="I892" i="10"/>
  <c r="C892" i="10"/>
  <c r="I891" i="10"/>
  <c r="C891" i="10"/>
  <c r="I890" i="10"/>
  <c r="C890" i="10"/>
  <c r="I889" i="10"/>
  <c r="C889" i="10"/>
  <c r="I888" i="10"/>
  <c r="C888" i="10"/>
  <c r="I887" i="10"/>
  <c r="C887" i="10"/>
  <c r="I886" i="10"/>
  <c r="C886" i="10"/>
  <c r="I885" i="10"/>
  <c r="C885" i="10"/>
  <c r="I884" i="10"/>
  <c r="C884" i="10"/>
  <c r="I883" i="10"/>
  <c r="C883" i="10"/>
  <c r="I882" i="10"/>
  <c r="C882" i="10"/>
  <c r="I881" i="10"/>
  <c r="C881" i="10"/>
  <c r="I880" i="10"/>
  <c r="C880" i="10"/>
  <c r="I879" i="10"/>
  <c r="C879" i="10"/>
  <c r="I878" i="10"/>
  <c r="C878" i="10"/>
  <c r="I877" i="10"/>
  <c r="C877" i="10"/>
  <c r="I876" i="10"/>
  <c r="C876" i="10"/>
  <c r="I875" i="10"/>
  <c r="C875" i="10"/>
  <c r="I874" i="10"/>
  <c r="C874" i="10"/>
  <c r="I873" i="10"/>
  <c r="C873" i="10"/>
  <c r="I872" i="10"/>
  <c r="C872" i="10"/>
  <c r="I871" i="10"/>
  <c r="C871" i="10"/>
  <c r="I870" i="10"/>
  <c r="C870" i="10"/>
  <c r="I869" i="10"/>
  <c r="C869" i="10"/>
  <c r="I868" i="10"/>
  <c r="C868" i="10"/>
  <c r="I867" i="10"/>
  <c r="C867" i="10"/>
  <c r="I866" i="10"/>
  <c r="C866" i="10"/>
  <c r="I865" i="10"/>
  <c r="C865" i="10"/>
  <c r="I864" i="10"/>
  <c r="C864" i="10"/>
  <c r="I863" i="10"/>
  <c r="C863" i="10"/>
  <c r="I862" i="10"/>
  <c r="C862" i="10"/>
  <c r="I861" i="10"/>
  <c r="C861" i="10"/>
  <c r="I860" i="10"/>
  <c r="C860" i="10"/>
  <c r="I859" i="10"/>
  <c r="C859" i="10"/>
  <c r="I858" i="10"/>
  <c r="C858" i="10"/>
  <c r="I857" i="10"/>
  <c r="C857" i="10"/>
  <c r="I856" i="10"/>
  <c r="C856" i="10"/>
  <c r="I855" i="10"/>
  <c r="C855" i="10"/>
  <c r="I854" i="10"/>
  <c r="C854" i="10"/>
  <c r="I853" i="10"/>
  <c r="C853" i="10"/>
  <c r="I852" i="10"/>
  <c r="C852" i="10"/>
  <c r="I851" i="10"/>
  <c r="C851" i="10"/>
  <c r="I850" i="10"/>
  <c r="C850" i="10"/>
  <c r="I849" i="10"/>
  <c r="C849" i="10"/>
  <c r="I848" i="10"/>
  <c r="C848" i="10"/>
  <c r="I847" i="10"/>
  <c r="C847" i="10"/>
  <c r="I846" i="10"/>
  <c r="C846" i="10"/>
  <c r="I845" i="10"/>
  <c r="C845" i="10"/>
  <c r="I844" i="10"/>
  <c r="C844" i="10"/>
  <c r="I843" i="10"/>
  <c r="C843" i="10"/>
  <c r="I842" i="10"/>
  <c r="C842" i="10"/>
  <c r="I841" i="10"/>
  <c r="C841" i="10"/>
  <c r="I840" i="10"/>
  <c r="C840" i="10"/>
  <c r="I839" i="10"/>
  <c r="C839" i="10"/>
  <c r="I838" i="10"/>
  <c r="C838" i="10"/>
  <c r="I837" i="10"/>
  <c r="C837" i="10"/>
  <c r="I836" i="10"/>
  <c r="C836" i="10"/>
  <c r="I835" i="10"/>
  <c r="C835" i="10"/>
  <c r="I834" i="10"/>
  <c r="C834" i="10"/>
  <c r="I833" i="10"/>
  <c r="C833" i="10"/>
  <c r="I832" i="10"/>
  <c r="C832" i="10"/>
  <c r="I831" i="10"/>
  <c r="C831" i="10"/>
  <c r="I830" i="10"/>
  <c r="C830" i="10"/>
  <c r="I829" i="10"/>
  <c r="C829" i="10"/>
  <c r="I828" i="10"/>
  <c r="C828" i="10"/>
  <c r="I827" i="10"/>
  <c r="C827" i="10"/>
  <c r="I826" i="10"/>
  <c r="C826" i="10"/>
  <c r="I825" i="10"/>
  <c r="C825" i="10"/>
  <c r="I824" i="10"/>
  <c r="C824" i="10"/>
  <c r="I823" i="10"/>
  <c r="C823" i="10"/>
  <c r="I822" i="10"/>
  <c r="C822" i="10"/>
  <c r="I821" i="10"/>
  <c r="C821" i="10"/>
  <c r="I820" i="10"/>
  <c r="C820" i="10"/>
  <c r="I819" i="10"/>
  <c r="C819" i="10"/>
  <c r="I818" i="10"/>
  <c r="C818" i="10"/>
  <c r="I817" i="10"/>
  <c r="C817" i="10"/>
  <c r="I816" i="10"/>
  <c r="C816" i="10"/>
  <c r="I815" i="10"/>
  <c r="C815" i="10"/>
  <c r="I814" i="10"/>
  <c r="C814" i="10"/>
  <c r="I813" i="10"/>
  <c r="C813" i="10"/>
  <c r="I812" i="10"/>
  <c r="C812" i="10"/>
  <c r="I811" i="10"/>
  <c r="C811" i="10"/>
  <c r="I810" i="10"/>
  <c r="C810" i="10"/>
  <c r="I809" i="10"/>
  <c r="C809" i="10"/>
  <c r="I808" i="10"/>
  <c r="C808" i="10"/>
  <c r="I807" i="10"/>
  <c r="C807" i="10"/>
  <c r="I806" i="10"/>
  <c r="C806" i="10"/>
  <c r="I805" i="10"/>
  <c r="C805" i="10"/>
  <c r="I804" i="10"/>
  <c r="C804" i="10"/>
  <c r="I803" i="10"/>
  <c r="C803" i="10"/>
  <c r="I802" i="10"/>
  <c r="C802" i="10"/>
  <c r="I801" i="10"/>
  <c r="C801" i="10"/>
  <c r="I800" i="10"/>
  <c r="C800" i="10"/>
  <c r="I799" i="10"/>
  <c r="C799" i="10"/>
  <c r="I798" i="10"/>
  <c r="C798" i="10"/>
  <c r="I797" i="10"/>
  <c r="C797" i="10"/>
  <c r="I796" i="10"/>
  <c r="C796" i="10"/>
  <c r="I795" i="10"/>
  <c r="C795" i="10"/>
  <c r="I794" i="10"/>
  <c r="C794" i="10"/>
  <c r="I793" i="10"/>
  <c r="C793" i="10"/>
  <c r="I792" i="10"/>
  <c r="C792" i="10"/>
  <c r="I791" i="10"/>
  <c r="C791" i="10"/>
  <c r="I790" i="10"/>
  <c r="C790" i="10"/>
  <c r="I789" i="10"/>
  <c r="C789" i="10"/>
  <c r="I788" i="10"/>
  <c r="C788" i="10"/>
  <c r="I787" i="10"/>
  <c r="C787" i="10"/>
  <c r="I786" i="10"/>
  <c r="C786" i="10"/>
  <c r="I785" i="10"/>
  <c r="C785" i="10"/>
  <c r="I784" i="10"/>
  <c r="C784" i="10"/>
  <c r="I783" i="10"/>
  <c r="C783" i="10"/>
  <c r="I782" i="10"/>
  <c r="C782" i="10"/>
  <c r="I781" i="10"/>
  <c r="C781" i="10"/>
  <c r="I780" i="10"/>
  <c r="C780" i="10"/>
  <c r="I779" i="10"/>
  <c r="C779" i="10"/>
  <c r="I778" i="10"/>
  <c r="C778" i="10"/>
  <c r="I777" i="10"/>
  <c r="C777" i="10"/>
  <c r="I776" i="10"/>
  <c r="C776" i="10"/>
  <c r="I775" i="10"/>
  <c r="C775" i="10"/>
  <c r="I774" i="10"/>
  <c r="C774" i="10"/>
  <c r="I773" i="10"/>
  <c r="C773" i="10"/>
  <c r="I772" i="10"/>
  <c r="C772" i="10"/>
  <c r="I771" i="10"/>
  <c r="C771" i="10"/>
  <c r="I770" i="10"/>
  <c r="C770" i="10"/>
  <c r="I769" i="10"/>
  <c r="C769" i="10"/>
  <c r="I768" i="10"/>
  <c r="C768" i="10"/>
  <c r="I767" i="10"/>
  <c r="C767" i="10"/>
  <c r="I766" i="10"/>
  <c r="C766" i="10"/>
  <c r="I765" i="10"/>
  <c r="C765" i="10"/>
  <c r="I764" i="10"/>
  <c r="C764" i="10"/>
  <c r="I763" i="10"/>
  <c r="C763" i="10"/>
  <c r="I762" i="10"/>
  <c r="C762" i="10"/>
  <c r="I761" i="10"/>
  <c r="C761" i="10"/>
  <c r="I760" i="10"/>
  <c r="C760" i="10"/>
  <c r="I759" i="10"/>
  <c r="C759" i="10"/>
  <c r="I758" i="10"/>
  <c r="C758" i="10"/>
  <c r="I757" i="10"/>
  <c r="C757" i="10"/>
  <c r="I756" i="10"/>
  <c r="C756" i="10"/>
  <c r="I755" i="10"/>
  <c r="C755" i="10"/>
  <c r="I754" i="10"/>
  <c r="C754" i="10"/>
  <c r="I753" i="10"/>
  <c r="C753" i="10"/>
  <c r="I752" i="10"/>
  <c r="C752" i="10"/>
  <c r="I751" i="10"/>
  <c r="C751" i="10"/>
  <c r="I750" i="10"/>
  <c r="C750" i="10"/>
  <c r="I749" i="10"/>
  <c r="C749" i="10"/>
  <c r="I748" i="10"/>
  <c r="C748" i="10"/>
  <c r="I747" i="10"/>
  <c r="C747" i="10"/>
  <c r="I746" i="10"/>
  <c r="C746" i="10"/>
  <c r="I745" i="10"/>
  <c r="C745" i="10"/>
  <c r="I744" i="10"/>
  <c r="C744" i="10"/>
  <c r="I743" i="10"/>
  <c r="C743" i="10"/>
  <c r="I742" i="10"/>
  <c r="C742" i="10"/>
  <c r="I741" i="10"/>
  <c r="C741" i="10"/>
  <c r="I740" i="10"/>
  <c r="C740" i="10"/>
  <c r="I739" i="10"/>
  <c r="C739" i="10"/>
  <c r="I738" i="10"/>
  <c r="C738" i="10"/>
  <c r="I737" i="10"/>
  <c r="C737" i="10"/>
  <c r="I736" i="10"/>
  <c r="C736" i="10"/>
  <c r="I735" i="10"/>
  <c r="C735" i="10"/>
  <c r="I734" i="10"/>
  <c r="C734" i="10"/>
  <c r="I733" i="10"/>
  <c r="C733" i="10"/>
  <c r="I732" i="10"/>
  <c r="C732" i="10"/>
  <c r="I731" i="10"/>
  <c r="C731" i="10"/>
  <c r="I730" i="10"/>
  <c r="C730" i="10"/>
  <c r="I729" i="10"/>
  <c r="C729" i="10"/>
  <c r="I728" i="10"/>
  <c r="C728" i="10"/>
  <c r="I727" i="10"/>
  <c r="C727" i="10"/>
  <c r="I726" i="10"/>
  <c r="C726" i="10"/>
  <c r="I725" i="10"/>
  <c r="C725" i="10"/>
  <c r="I724" i="10"/>
  <c r="C724" i="10"/>
  <c r="I723" i="10"/>
  <c r="C723" i="10"/>
  <c r="I722" i="10"/>
  <c r="C722" i="10"/>
  <c r="I721" i="10"/>
  <c r="C721" i="10"/>
  <c r="I720" i="10"/>
  <c r="C720" i="10"/>
  <c r="I719" i="10"/>
  <c r="C719" i="10"/>
  <c r="I718" i="10"/>
  <c r="C718" i="10"/>
  <c r="I717" i="10"/>
  <c r="C717" i="10"/>
  <c r="I716" i="10"/>
  <c r="C716" i="10"/>
  <c r="I715" i="10"/>
  <c r="C715" i="10"/>
  <c r="I714" i="10"/>
  <c r="C714" i="10"/>
  <c r="I713" i="10"/>
  <c r="C713" i="10"/>
  <c r="I712" i="10"/>
  <c r="C712" i="10"/>
  <c r="I711" i="10"/>
  <c r="C711" i="10"/>
  <c r="I710" i="10"/>
  <c r="C710" i="10"/>
  <c r="I709" i="10"/>
  <c r="C709" i="10"/>
  <c r="I708" i="10"/>
  <c r="C708" i="10"/>
  <c r="I707" i="10"/>
  <c r="C707" i="10"/>
  <c r="I706" i="10"/>
  <c r="C706" i="10"/>
  <c r="I705" i="10"/>
  <c r="C705" i="10"/>
  <c r="I704" i="10"/>
  <c r="C704" i="10"/>
  <c r="I703" i="10"/>
  <c r="C703" i="10"/>
  <c r="I702" i="10"/>
  <c r="C702" i="10"/>
  <c r="I701" i="10"/>
  <c r="C701" i="10"/>
  <c r="I700" i="10"/>
  <c r="C700" i="10"/>
  <c r="I699" i="10"/>
  <c r="C699" i="10"/>
  <c r="I698" i="10"/>
  <c r="C698" i="10"/>
  <c r="I697" i="10"/>
  <c r="C697" i="10"/>
  <c r="I696" i="10"/>
  <c r="C696" i="10"/>
  <c r="I695" i="10"/>
  <c r="C695" i="10"/>
  <c r="I694" i="10"/>
  <c r="C694" i="10"/>
  <c r="I693" i="10"/>
  <c r="C693" i="10"/>
  <c r="I692" i="10"/>
  <c r="C692" i="10"/>
  <c r="I691" i="10"/>
  <c r="C691" i="10"/>
  <c r="I690" i="10"/>
  <c r="C690" i="10"/>
  <c r="I689" i="10"/>
  <c r="C689" i="10"/>
  <c r="I688" i="10"/>
  <c r="C688" i="10"/>
  <c r="I687" i="10"/>
  <c r="C687" i="10"/>
  <c r="I686" i="10"/>
  <c r="C686" i="10"/>
  <c r="I685" i="10"/>
  <c r="C685" i="10"/>
  <c r="I684" i="10"/>
  <c r="C684" i="10"/>
  <c r="I683" i="10"/>
  <c r="C683" i="10"/>
  <c r="I682" i="10"/>
  <c r="C682" i="10"/>
  <c r="I681" i="10"/>
  <c r="C681" i="10"/>
  <c r="I680" i="10"/>
  <c r="C680" i="10"/>
  <c r="I679" i="10"/>
  <c r="C679" i="10"/>
  <c r="I678" i="10"/>
  <c r="C678" i="10"/>
  <c r="I677" i="10"/>
  <c r="C677" i="10"/>
  <c r="I676" i="10"/>
  <c r="C676" i="10"/>
  <c r="I675" i="10"/>
  <c r="C675" i="10"/>
  <c r="I674" i="10"/>
  <c r="C674" i="10"/>
  <c r="I673" i="10"/>
  <c r="C673" i="10"/>
  <c r="I672" i="10"/>
  <c r="C672" i="10"/>
  <c r="I671" i="10"/>
  <c r="C671" i="10"/>
  <c r="I670" i="10"/>
  <c r="C670" i="10"/>
  <c r="I669" i="10"/>
  <c r="C669" i="10"/>
  <c r="I668" i="10"/>
  <c r="C668" i="10"/>
  <c r="I667" i="10"/>
  <c r="C667" i="10"/>
  <c r="I666" i="10"/>
  <c r="C666" i="10"/>
  <c r="I665" i="10"/>
  <c r="C665" i="10"/>
  <c r="I664" i="10"/>
  <c r="C664" i="10"/>
  <c r="I663" i="10"/>
  <c r="C663" i="10"/>
  <c r="I662" i="10"/>
  <c r="C662" i="10"/>
  <c r="I661" i="10"/>
  <c r="C661" i="10"/>
  <c r="I660" i="10"/>
  <c r="C660" i="10"/>
  <c r="I659" i="10"/>
  <c r="C659" i="10"/>
  <c r="I658" i="10"/>
  <c r="C658" i="10"/>
  <c r="I657" i="10"/>
  <c r="C657" i="10"/>
  <c r="I656" i="10"/>
  <c r="C656" i="10"/>
  <c r="I655" i="10"/>
  <c r="C655" i="10"/>
  <c r="I654" i="10"/>
  <c r="C654" i="10"/>
  <c r="I653" i="10"/>
  <c r="C653" i="10"/>
  <c r="I652" i="10"/>
  <c r="C652" i="10"/>
  <c r="I651" i="10"/>
  <c r="C651" i="10"/>
  <c r="I650" i="10"/>
  <c r="C650" i="10"/>
  <c r="I649" i="10"/>
  <c r="C649" i="10"/>
  <c r="I648" i="10"/>
  <c r="C648" i="10"/>
  <c r="I647" i="10"/>
  <c r="C647" i="10"/>
  <c r="I646" i="10"/>
  <c r="C646" i="10"/>
  <c r="I645" i="10"/>
  <c r="C645" i="10"/>
  <c r="I644" i="10"/>
  <c r="C644" i="10"/>
  <c r="I643" i="10"/>
  <c r="C643" i="10"/>
  <c r="I642" i="10"/>
  <c r="C642" i="10"/>
  <c r="I641" i="10"/>
  <c r="C641" i="10"/>
  <c r="I640" i="10"/>
  <c r="C640" i="10"/>
  <c r="I639" i="10"/>
  <c r="C639" i="10"/>
  <c r="I638" i="10"/>
  <c r="C638" i="10"/>
  <c r="I637" i="10"/>
  <c r="C637" i="10"/>
  <c r="I636" i="10"/>
  <c r="C636" i="10"/>
  <c r="I635" i="10"/>
  <c r="C635" i="10"/>
  <c r="I634" i="10"/>
  <c r="C634" i="10"/>
  <c r="I633" i="10"/>
  <c r="C633" i="10"/>
  <c r="I632" i="10"/>
  <c r="C632" i="10"/>
  <c r="I631" i="10"/>
  <c r="C631" i="10"/>
  <c r="I630" i="10"/>
  <c r="C630" i="10"/>
  <c r="I629" i="10"/>
  <c r="C629" i="10"/>
  <c r="I628" i="10"/>
  <c r="C628" i="10"/>
  <c r="I627" i="10"/>
  <c r="C627" i="10"/>
  <c r="I626" i="10"/>
  <c r="C626" i="10"/>
  <c r="I625" i="10"/>
  <c r="C625" i="10"/>
  <c r="I624" i="10"/>
  <c r="C624" i="10"/>
  <c r="I623" i="10"/>
  <c r="C623" i="10"/>
  <c r="I622" i="10"/>
  <c r="C622" i="10"/>
  <c r="I621" i="10"/>
  <c r="C621" i="10"/>
  <c r="I620" i="10"/>
  <c r="C620" i="10"/>
  <c r="I619" i="10"/>
  <c r="C619" i="10"/>
  <c r="I618" i="10"/>
  <c r="C618" i="10"/>
  <c r="I617" i="10"/>
  <c r="C617" i="10"/>
  <c r="I616" i="10"/>
  <c r="C616" i="10"/>
  <c r="I615" i="10"/>
  <c r="C615" i="10"/>
  <c r="I614" i="10"/>
  <c r="C614" i="10"/>
  <c r="I613" i="10"/>
  <c r="C613" i="10"/>
  <c r="I612" i="10"/>
  <c r="C612" i="10"/>
  <c r="I611" i="10"/>
  <c r="C611" i="10"/>
  <c r="I610" i="10"/>
  <c r="C610" i="10"/>
  <c r="I609" i="10"/>
  <c r="C609" i="10"/>
  <c r="I608" i="10"/>
  <c r="C608" i="10"/>
  <c r="I607" i="10"/>
  <c r="C607" i="10"/>
  <c r="I606" i="10"/>
  <c r="C606" i="10"/>
  <c r="I605" i="10"/>
  <c r="C605" i="10"/>
  <c r="I604" i="10"/>
  <c r="C604" i="10"/>
  <c r="I603" i="10"/>
  <c r="C603" i="10"/>
  <c r="I602" i="10"/>
  <c r="C602" i="10"/>
  <c r="I601" i="10"/>
  <c r="C601" i="10"/>
  <c r="I600" i="10"/>
  <c r="C600" i="10"/>
  <c r="I599" i="10"/>
  <c r="C599" i="10"/>
  <c r="I598" i="10"/>
  <c r="C598" i="10"/>
  <c r="I597" i="10"/>
  <c r="C597" i="10"/>
  <c r="I596" i="10"/>
  <c r="C596" i="10"/>
  <c r="I595" i="10"/>
  <c r="C595" i="10"/>
  <c r="I594" i="10"/>
  <c r="C594" i="10"/>
  <c r="I593" i="10"/>
  <c r="C593" i="10"/>
  <c r="I592" i="10"/>
  <c r="C592" i="10"/>
  <c r="I591" i="10"/>
  <c r="C591" i="10"/>
  <c r="I590" i="10"/>
  <c r="C590" i="10"/>
  <c r="I589" i="10"/>
  <c r="C589" i="10"/>
  <c r="I588" i="10"/>
  <c r="C588" i="10"/>
  <c r="I587" i="10"/>
  <c r="C587" i="10"/>
  <c r="I586" i="10"/>
  <c r="C586" i="10"/>
  <c r="I585" i="10"/>
  <c r="C585" i="10"/>
  <c r="I584" i="10"/>
  <c r="C584" i="10"/>
  <c r="I583" i="10"/>
  <c r="C583" i="10"/>
  <c r="I582" i="10"/>
  <c r="C582" i="10"/>
  <c r="I581" i="10"/>
  <c r="C581" i="10"/>
  <c r="I580" i="10"/>
  <c r="C580" i="10"/>
  <c r="I579" i="10"/>
  <c r="C579" i="10"/>
  <c r="I578" i="10"/>
  <c r="C578" i="10"/>
  <c r="I577" i="10"/>
  <c r="C577" i="10"/>
  <c r="I576" i="10"/>
  <c r="C576" i="10"/>
  <c r="I575" i="10"/>
  <c r="C575" i="10"/>
  <c r="I574" i="10"/>
  <c r="C574" i="10"/>
  <c r="I573" i="10"/>
  <c r="C573" i="10"/>
  <c r="I572" i="10"/>
  <c r="C572" i="10"/>
  <c r="I571" i="10"/>
  <c r="C571" i="10"/>
  <c r="I570" i="10"/>
  <c r="C570" i="10"/>
  <c r="I569" i="10"/>
  <c r="C569" i="10"/>
  <c r="I568" i="10"/>
  <c r="C568" i="10"/>
  <c r="I567" i="10"/>
  <c r="C567" i="10"/>
  <c r="I566" i="10"/>
  <c r="C566" i="10"/>
  <c r="I565" i="10"/>
  <c r="C565" i="10"/>
  <c r="I564" i="10"/>
  <c r="C564" i="10"/>
  <c r="I563" i="10"/>
  <c r="C563" i="10"/>
  <c r="I562" i="10"/>
  <c r="C562" i="10"/>
  <c r="I561" i="10"/>
  <c r="C561" i="10"/>
  <c r="I560" i="10"/>
  <c r="C560" i="10"/>
  <c r="I559" i="10"/>
  <c r="C559" i="10"/>
  <c r="I558" i="10"/>
  <c r="C558" i="10"/>
  <c r="I557" i="10"/>
  <c r="C557" i="10"/>
  <c r="I556" i="10"/>
  <c r="C556" i="10"/>
  <c r="I555" i="10"/>
  <c r="C555" i="10"/>
  <c r="I554" i="10"/>
  <c r="C554" i="10"/>
  <c r="I553" i="10"/>
  <c r="C553" i="10"/>
  <c r="I552" i="10"/>
  <c r="C552" i="10"/>
  <c r="I551" i="10"/>
  <c r="C551" i="10"/>
  <c r="I550" i="10"/>
  <c r="C550" i="10"/>
  <c r="I549" i="10"/>
  <c r="C549" i="10"/>
  <c r="I548" i="10"/>
  <c r="C548" i="10"/>
  <c r="I547" i="10"/>
  <c r="C547" i="10"/>
  <c r="I546" i="10"/>
  <c r="C546" i="10"/>
  <c r="I545" i="10"/>
  <c r="C545" i="10"/>
  <c r="I544" i="10"/>
  <c r="C544" i="10"/>
  <c r="I543" i="10"/>
  <c r="C543" i="10"/>
  <c r="I542" i="10"/>
  <c r="C542" i="10"/>
  <c r="I541" i="10"/>
  <c r="C541" i="10"/>
  <c r="I540" i="10"/>
  <c r="C540" i="10"/>
  <c r="I539" i="10"/>
  <c r="C539" i="10"/>
  <c r="I538" i="10"/>
  <c r="C538" i="10"/>
  <c r="I537" i="10"/>
  <c r="C537" i="10"/>
  <c r="I536" i="10"/>
  <c r="C536" i="10"/>
  <c r="I535" i="10"/>
  <c r="C535" i="10"/>
  <c r="I534" i="10"/>
  <c r="C534" i="10"/>
  <c r="I533" i="10"/>
  <c r="C533" i="10"/>
  <c r="I532" i="10"/>
  <c r="C532" i="10"/>
  <c r="I531" i="10"/>
  <c r="C531" i="10"/>
  <c r="I530" i="10"/>
  <c r="C530" i="10"/>
  <c r="I529" i="10"/>
  <c r="C529" i="10"/>
  <c r="I528" i="10"/>
  <c r="C528" i="10"/>
  <c r="I527" i="10"/>
  <c r="C527" i="10"/>
  <c r="I526" i="10"/>
  <c r="C526" i="10"/>
  <c r="I525" i="10"/>
  <c r="C525" i="10"/>
  <c r="I524" i="10"/>
  <c r="C524" i="10"/>
  <c r="I523" i="10"/>
  <c r="C523" i="10"/>
  <c r="I522" i="10"/>
  <c r="C522" i="10"/>
  <c r="I521" i="10"/>
  <c r="C521" i="10"/>
  <c r="I520" i="10"/>
  <c r="C520" i="10"/>
  <c r="I519" i="10"/>
  <c r="C519" i="10"/>
  <c r="I518" i="10"/>
  <c r="C518" i="10"/>
  <c r="I517" i="10"/>
  <c r="C517" i="10"/>
  <c r="I516" i="10"/>
  <c r="C516" i="10"/>
  <c r="I515" i="10"/>
  <c r="C515" i="10"/>
  <c r="I514" i="10"/>
  <c r="C514" i="10"/>
  <c r="I513" i="10"/>
  <c r="C513" i="10"/>
  <c r="I512" i="10"/>
  <c r="C512" i="10"/>
  <c r="I511" i="10"/>
  <c r="C511" i="10"/>
  <c r="I510" i="10"/>
  <c r="C510" i="10"/>
  <c r="I509" i="10"/>
  <c r="C509" i="10"/>
  <c r="I508" i="10"/>
  <c r="C508" i="10"/>
  <c r="I507" i="10"/>
  <c r="C507" i="10"/>
  <c r="I506" i="10"/>
  <c r="C506" i="10"/>
  <c r="I505" i="10"/>
  <c r="C505" i="10"/>
  <c r="I504" i="10"/>
  <c r="C504" i="10"/>
  <c r="I503" i="10"/>
  <c r="C503" i="10"/>
  <c r="I502" i="10"/>
  <c r="C502" i="10"/>
  <c r="I501" i="10"/>
  <c r="C501" i="10"/>
  <c r="I500" i="10"/>
  <c r="C500" i="10"/>
  <c r="I499" i="10"/>
  <c r="C499" i="10"/>
  <c r="I498" i="10"/>
  <c r="C498" i="10"/>
  <c r="I497" i="10"/>
  <c r="C497" i="10"/>
  <c r="I496" i="10"/>
  <c r="C496" i="10"/>
  <c r="I495" i="10"/>
  <c r="C495" i="10"/>
  <c r="I494" i="10"/>
  <c r="C494" i="10"/>
  <c r="I493" i="10"/>
  <c r="C493" i="10"/>
  <c r="I492" i="10"/>
  <c r="C492" i="10"/>
  <c r="I491" i="10"/>
  <c r="C491" i="10"/>
  <c r="I490" i="10"/>
  <c r="C490" i="10"/>
  <c r="I489" i="10"/>
  <c r="C489" i="10"/>
  <c r="I488" i="10"/>
  <c r="C488" i="10"/>
  <c r="I487" i="10"/>
  <c r="C487" i="10"/>
  <c r="I486" i="10"/>
  <c r="C486" i="10"/>
  <c r="I485" i="10"/>
  <c r="C485" i="10"/>
  <c r="I484" i="10"/>
  <c r="C484" i="10"/>
  <c r="I483" i="10"/>
  <c r="C483" i="10"/>
  <c r="I482" i="10"/>
  <c r="C482" i="10"/>
  <c r="I481" i="10"/>
  <c r="C481" i="10"/>
  <c r="I480" i="10"/>
  <c r="C480" i="10"/>
  <c r="I479" i="10"/>
  <c r="C479" i="10"/>
  <c r="I478" i="10"/>
  <c r="C478" i="10"/>
  <c r="I477" i="10"/>
  <c r="C477" i="10"/>
  <c r="I476" i="10"/>
  <c r="C476" i="10"/>
  <c r="I475" i="10"/>
  <c r="C475" i="10"/>
  <c r="I474" i="10"/>
  <c r="C474" i="10"/>
  <c r="I473" i="10"/>
  <c r="C473" i="10"/>
  <c r="I472" i="10"/>
  <c r="C472" i="10"/>
  <c r="I471" i="10"/>
  <c r="C471" i="10"/>
  <c r="I470" i="10"/>
  <c r="C470" i="10"/>
  <c r="I469" i="10"/>
  <c r="C469" i="10"/>
  <c r="I468" i="10"/>
  <c r="C468" i="10"/>
  <c r="I467" i="10"/>
  <c r="C467" i="10"/>
  <c r="I466" i="10"/>
  <c r="C466" i="10"/>
  <c r="I465" i="10"/>
  <c r="C465" i="10"/>
  <c r="I464" i="10"/>
  <c r="C464" i="10"/>
  <c r="I463" i="10"/>
  <c r="C463" i="10"/>
  <c r="I462" i="10"/>
  <c r="C462" i="10"/>
  <c r="I461" i="10"/>
  <c r="C461" i="10"/>
  <c r="I460" i="10"/>
  <c r="C460" i="10"/>
  <c r="I459" i="10"/>
  <c r="C459" i="10"/>
  <c r="I458" i="10"/>
  <c r="C458" i="10"/>
  <c r="I457" i="10"/>
  <c r="C457" i="10"/>
  <c r="I456" i="10"/>
  <c r="C456" i="10"/>
  <c r="I455" i="10"/>
  <c r="C455" i="10"/>
  <c r="I454" i="10"/>
  <c r="C454" i="10"/>
  <c r="I453" i="10"/>
  <c r="C453" i="10"/>
  <c r="I452" i="10"/>
  <c r="C452" i="10"/>
  <c r="I451" i="10"/>
  <c r="C451" i="10"/>
  <c r="I450" i="10"/>
  <c r="C450" i="10"/>
  <c r="I449" i="10"/>
  <c r="C449" i="10"/>
  <c r="I448" i="10"/>
  <c r="C448" i="10"/>
  <c r="I447" i="10"/>
  <c r="C447" i="10"/>
  <c r="I446" i="10"/>
  <c r="C446" i="10"/>
  <c r="I445" i="10"/>
  <c r="C445" i="10"/>
  <c r="I444" i="10"/>
  <c r="C444" i="10"/>
  <c r="I443" i="10"/>
  <c r="C443" i="10"/>
  <c r="I442" i="10"/>
  <c r="C442" i="10"/>
  <c r="I441" i="10"/>
  <c r="C441" i="10"/>
  <c r="I440" i="10"/>
  <c r="C440" i="10"/>
  <c r="I439" i="10"/>
  <c r="C439" i="10"/>
  <c r="I438" i="10"/>
  <c r="C438" i="10"/>
  <c r="I437" i="10"/>
  <c r="C437" i="10"/>
  <c r="I436" i="10"/>
  <c r="C436" i="10"/>
  <c r="I435" i="10"/>
  <c r="C435" i="10"/>
  <c r="I434" i="10"/>
  <c r="C434" i="10"/>
  <c r="I433" i="10"/>
  <c r="C433" i="10"/>
  <c r="I432" i="10"/>
  <c r="C432" i="10"/>
  <c r="I431" i="10"/>
  <c r="C431" i="10"/>
  <c r="I430" i="10"/>
  <c r="C430" i="10"/>
  <c r="I429" i="10"/>
  <c r="C429" i="10"/>
  <c r="I428" i="10"/>
  <c r="C428" i="10"/>
  <c r="I427" i="10"/>
  <c r="C427" i="10"/>
  <c r="I426" i="10"/>
  <c r="C426" i="10"/>
  <c r="I425" i="10"/>
  <c r="C425" i="10"/>
  <c r="I424" i="10"/>
  <c r="C424" i="10"/>
  <c r="I423" i="10"/>
  <c r="C423" i="10"/>
  <c r="I422" i="10"/>
  <c r="C422" i="10"/>
  <c r="I421" i="10"/>
  <c r="C421" i="10"/>
  <c r="I420" i="10"/>
  <c r="C420" i="10"/>
  <c r="I419" i="10"/>
  <c r="C419" i="10"/>
  <c r="I418" i="10"/>
  <c r="C418" i="10"/>
  <c r="I417" i="10"/>
  <c r="C417" i="10"/>
  <c r="I416" i="10"/>
  <c r="C416" i="10"/>
  <c r="I415" i="10"/>
  <c r="C415" i="10"/>
  <c r="I414" i="10"/>
  <c r="C414" i="10"/>
  <c r="I413" i="10"/>
  <c r="C413" i="10"/>
  <c r="I412" i="10"/>
  <c r="C412" i="10"/>
  <c r="I411" i="10"/>
  <c r="C411" i="10"/>
  <c r="I410" i="10"/>
  <c r="C410" i="10"/>
  <c r="I409" i="10"/>
  <c r="C409" i="10"/>
  <c r="I408" i="10"/>
  <c r="C408" i="10"/>
  <c r="I407" i="10"/>
  <c r="C407" i="10"/>
  <c r="I406" i="10"/>
  <c r="C406" i="10"/>
  <c r="I405" i="10"/>
  <c r="C405" i="10"/>
  <c r="I404" i="10"/>
  <c r="C404" i="10"/>
  <c r="I403" i="10"/>
  <c r="C403" i="10"/>
  <c r="I402" i="10"/>
  <c r="C402" i="10"/>
  <c r="I401" i="10"/>
  <c r="C401" i="10"/>
  <c r="I400" i="10"/>
  <c r="C400" i="10"/>
  <c r="I399" i="10"/>
  <c r="C399" i="10"/>
  <c r="I398" i="10"/>
  <c r="C398" i="10"/>
  <c r="I397" i="10"/>
  <c r="C397" i="10"/>
  <c r="I396" i="10"/>
  <c r="C396" i="10"/>
  <c r="I395" i="10"/>
  <c r="C395" i="10"/>
  <c r="I394" i="10"/>
  <c r="C394" i="10"/>
  <c r="I393" i="10"/>
  <c r="C393" i="10"/>
  <c r="I392" i="10"/>
  <c r="C392" i="10"/>
  <c r="I391" i="10"/>
  <c r="C391" i="10"/>
  <c r="I390" i="10"/>
  <c r="C390" i="10"/>
  <c r="I389" i="10"/>
  <c r="C389" i="10"/>
  <c r="I388" i="10"/>
  <c r="C388" i="10"/>
  <c r="I387" i="10"/>
  <c r="C387" i="10"/>
  <c r="I386" i="10"/>
  <c r="C386" i="10"/>
  <c r="I385" i="10"/>
  <c r="C385" i="10"/>
  <c r="I384" i="10"/>
  <c r="C384" i="10"/>
  <c r="I383" i="10"/>
  <c r="C383" i="10"/>
  <c r="I382" i="10"/>
  <c r="C382" i="10"/>
  <c r="I381" i="10"/>
  <c r="C381" i="10"/>
  <c r="I380" i="10"/>
  <c r="C380" i="10"/>
  <c r="I379" i="10"/>
  <c r="C379" i="10"/>
  <c r="I378" i="10"/>
  <c r="C378" i="10"/>
  <c r="I377" i="10"/>
  <c r="C377" i="10"/>
  <c r="I376" i="10"/>
  <c r="C376" i="10"/>
  <c r="I375" i="10"/>
  <c r="C375" i="10"/>
  <c r="I374" i="10"/>
  <c r="C374" i="10"/>
  <c r="I373" i="10"/>
  <c r="C373" i="10"/>
  <c r="I372" i="10"/>
  <c r="C372" i="10"/>
  <c r="I371" i="10"/>
  <c r="C371" i="10"/>
  <c r="I370" i="10"/>
  <c r="C370" i="10"/>
  <c r="I369" i="10"/>
  <c r="C369" i="10"/>
  <c r="I368" i="10"/>
  <c r="C368" i="10"/>
  <c r="I367" i="10"/>
  <c r="C367" i="10"/>
  <c r="I366" i="10"/>
  <c r="C366" i="10"/>
  <c r="I365" i="10"/>
  <c r="C365" i="10"/>
  <c r="I364" i="10"/>
  <c r="C364" i="10"/>
  <c r="I363" i="10"/>
  <c r="C363" i="10"/>
  <c r="I362" i="10"/>
  <c r="C362" i="10"/>
  <c r="I361" i="10"/>
  <c r="C361" i="10"/>
  <c r="I360" i="10"/>
  <c r="C360" i="10"/>
  <c r="I359" i="10"/>
  <c r="C359" i="10"/>
  <c r="I358" i="10"/>
  <c r="C358" i="10"/>
  <c r="I357" i="10"/>
  <c r="C357" i="10"/>
  <c r="I356" i="10"/>
  <c r="C356" i="10"/>
  <c r="I355" i="10"/>
  <c r="C355" i="10"/>
  <c r="I354" i="10"/>
  <c r="C354" i="10"/>
  <c r="I353" i="10"/>
  <c r="C353" i="10"/>
  <c r="I352" i="10"/>
  <c r="C352" i="10"/>
  <c r="I351" i="10"/>
  <c r="C351" i="10"/>
  <c r="I350" i="10"/>
  <c r="C350" i="10"/>
  <c r="I349" i="10"/>
  <c r="C349" i="10"/>
  <c r="I348" i="10"/>
  <c r="C348" i="10"/>
  <c r="I347" i="10"/>
  <c r="C347" i="10"/>
  <c r="I346" i="10"/>
  <c r="C346" i="10"/>
  <c r="I345" i="10"/>
  <c r="C345" i="10"/>
  <c r="I344" i="10"/>
  <c r="C344" i="10"/>
  <c r="I343" i="10"/>
  <c r="C343" i="10"/>
  <c r="I342" i="10"/>
  <c r="C342" i="10"/>
  <c r="I341" i="10"/>
  <c r="C341" i="10"/>
  <c r="I340" i="10"/>
  <c r="C340" i="10"/>
  <c r="I339" i="10"/>
  <c r="C339" i="10"/>
  <c r="I338" i="10"/>
  <c r="C338" i="10"/>
  <c r="I337" i="10"/>
  <c r="C337" i="10"/>
  <c r="I336" i="10"/>
  <c r="C336" i="10"/>
  <c r="I335" i="10"/>
  <c r="C335" i="10"/>
  <c r="I334" i="10"/>
  <c r="C334" i="10"/>
  <c r="I333" i="10"/>
  <c r="C333" i="10"/>
  <c r="I332" i="10"/>
  <c r="C332" i="10"/>
  <c r="I331" i="10"/>
  <c r="C331" i="10"/>
  <c r="I330" i="10"/>
  <c r="C330" i="10"/>
  <c r="I329" i="10"/>
  <c r="C329" i="10"/>
  <c r="I328" i="10"/>
  <c r="C328" i="10"/>
  <c r="I327" i="10"/>
  <c r="C327" i="10"/>
  <c r="I326" i="10"/>
  <c r="C326" i="10"/>
  <c r="I325" i="10"/>
  <c r="C325" i="10"/>
  <c r="I324" i="10"/>
  <c r="C324" i="10"/>
  <c r="I323" i="10"/>
  <c r="C323" i="10"/>
  <c r="I322" i="10"/>
  <c r="C322" i="10"/>
  <c r="I321" i="10"/>
  <c r="C321" i="10"/>
  <c r="I320" i="10"/>
  <c r="C320" i="10"/>
  <c r="I319" i="10"/>
  <c r="C319" i="10"/>
  <c r="I318" i="10"/>
  <c r="C318" i="10"/>
  <c r="I317" i="10"/>
  <c r="C317" i="10"/>
  <c r="I316" i="10"/>
  <c r="C316" i="10"/>
  <c r="I315" i="10"/>
  <c r="C315" i="10"/>
  <c r="I314" i="10"/>
  <c r="C314" i="10"/>
  <c r="I313" i="10"/>
  <c r="C313" i="10"/>
  <c r="I312" i="10"/>
  <c r="C312" i="10"/>
  <c r="I311" i="10"/>
  <c r="C311" i="10"/>
  <c r="I310" i="10"/>
  <c r="C310" i="10"/>
  <c r="I309" i="10"/>
  <c r="C309" i="10"/>
  <c r="I308" i="10"/>
  <c r="C308" i="10"/>
  <c r="I307" i="10"/>
  <c r="C307" i="10"/>
  <c r="I306" i="10"/>
  <c r="C306" i="10"/>
  <c r="I305" i="10"/>
  <c r="C305" i="10"/>
  <c r="I304" i="10"/>
  <c r="C304" i="10"/>
  <c r="I303" i="10"/>
  <c r="C303" i="10"/>
  <c r="I302" i="10"/>
  <c r="C302" i="10"/>
  <c r="I301" i="10"/>
  <c r="C301" i="10"/>
  <c r="I300" i="10"/>
  <c r="C300" i="10"/>
  <c r="I299" i="10"/>
  <c r="C299" i="10"/>
  <c r="I298" i="10"/>
  <c r="C298" i="10"/>
  <c r="I297" i="10"/>
  <c r="C297" i="10"/>
  <c r="I296" i="10"/>
  <c r="C296" i="10"/>
  <c r="I295" i="10"/>
  <c r="C295" i="10"/>
  <c r="I294" i="10"/>
  <c r="C294" i="10"/>
  <c r="I293" i="10"/>
  <c r="C293" i="10"/>
  <c r="I292" i="10"/>
  <c r="C292" i="10"/>
  <c r="I291" i="10"/>
  <c r="C291" i="10"/>
  <c r="I290" i="10"/>
  <c r="C290" i="10"/>
  <c r="I289" i="10"/>
  <c r="C289" i="10"/>
  <c r="I288" i="10"/>
  <c r="C288" i="10"/>
  <c r="I287" i="10"/>
  <c r="C287" i="10"/>
  <c r="I286" i="10"/>
  <c r="C286" i="10"/>
  <c r="I285" i="10"/>
  <c r="C285" i="10"/>
  <c r="I284" i="10"/>
  <c r="C284" i="10"/>
  <c r="I283" i="10"/>
  <c r="C283" i="10"/>
  <c r="I282" i="10"/>
  <c r="C282" i="10"/>
  <c r="I281" i="10"/>
  <c r="C281" i="10"/>
  <c r="I280" i="10"/>
  <c r="C280" i="10"/>
  <c r="I279" i="10"/>
  <c r="C279" i="10"/>
  <c r="I278" i="10"/>
  <c r="C278" i="10"/>
  <c r="I277" i="10"/>
  <c r="C277" i="10"/>
  <c r="I276" i="10"/>
  <c r="C276" i="10"/>
  <c r="I275" i="10"/>
  <c r="C275" i="10"/>
  <c r="I274" i="10"/>
  <c r="C274" i="10"/>
  <c r="I273" i="10"/>
  <c r="C273" i="10"/>
  <c r="I272" i="10"/>
  <c r="C272" i="10"/>
  <c r="I271" i="10"/>
  <c r="C271" i="10"/>
  <c r="I270" i="10"/>
  <c r="C270" i="10"/>
  <c r="I269" i="10"/>
  <c r="C269" i="10"/>
  <c r="I268" i="10"/>
  <c r="C268" i="10"/>
  <c r="I267" i="10"/>
  <c r="C267" i="10"/>
  <c r="I266" i="10"/>
  <c r="C266" i="10"/>
  <c r="I265" i="10"/>
  <c r="C265" i="10"/>
  <c r="I264" i="10"/>
  <c r="C264" i="10"/>
  <c r="I263" i="10"/>
  <c r="C263" i="10"/>
  <c r="I262" i="10"/>
  <c r="C262" i="10"/>
  <c r="I261" i="10"/>
  <c r="C261" i="10"/>
  <c r="I260" i="10"/>
  <c r="C260" i="10"/>
  <c r="I259" i="10"/>
  <c r="C259" i="10"/>
  <c r="I258" i="10"/>
  <c r="C258" i="10"/>
  <c r="I257" i="10"/>
  <c r="C257" i="10"/>
  <c r="I256" i="10"/>
  <c r="C256" i="10"/>
  <c r="I255" i="10"/>
  <c r="C255" i="10"/>
  <c r="I254" i="10"/>
  <c r="C254" i="10"/>
  <c r="I253" i="10"/>
  <c r="C253" i="10"/>
  <c r="I252" i="10"/>
  <c r="C252" i="10"/>
  <c r="I251" i="10"/>
  <c r="C251" i="10"/>
  <c r="I250" i="10"/>
  <c r="C250" i="10"/>
  <c r="I249" i="10"/>
  <c r="C249" i="10"/>
  <c r="I248" i="10"/>
  <c r="C248" i="10"/>
  <c r="I247" i="10"/>
  <c r="C247" i="10"/>
  <c r="I246" i="10"/>
  <c r="C246" i="10"/>
  <c r="I245" i="10"/>
  <c r="C245" i="10"/>
  <c r="I244" i="10"/>
  <c r="C244" i="10"/>
  <c r="I243" i="10"/>
  <c r="C243" i="10"/>
  <c r="I242" i="10"/>
  <c r="C242" i="10"/>
  <c r="I241" i="10"/>
  <c r="C241" i="10"/>
  <c r="I240" i="10"/>
  <c r="C240" i="10"/>
  <c r="I239" i="10"/>
  <c r="C239" i="10"/>
  <c r="I238" i="10"/>
  <c r="C238" i="10"/>
  <c r="I237" i="10"/>
  <c r="C237" i="10"/>
  <c r="I236" i="10"/>
  <c r="C236" i="10"/>
  <c r="I235" i="10"/>
  <c r="C235" i="10"/>
  <c r="I234" i="10"/>
  <c r="C234" i="10"/>
  <c r="I233" i="10"/>
  <c r="C233" i="10"/>
  <c r="I232" i="10"/>
  <c r="C232" i="10"/>
  <c r="I231" i="10"/>
  <c r="C231" i="10"/>
  <c r="I230" i="10"/>
  <c r="C230" i="10"/>
  <c r="I229" i="10"/>
  <c r="C229" i="10"/>
  <c r="I228" i="10"/>
  <c r="C228" i="10"/>
  <c r="I227" i="10"/>
  <c r="C227" i="10"/>
  <c r="I226" i="10"/>
  <c r="C226" i="10"/>
  <c r="I225" i="10"/>
  <c r="C225" i="10"/>
  <c r="I224" i="10"/>
  <c r="C224" i="10"/>
  <c r="I223" i="10"/>
  <c r="C223" i="10"/>
  <c r="I222" i="10"/>
  <c r="C222" i="10"/>
  <c r="I221" i="10"/>
  <c r="C221" i="10"/>
  <c r="I220" i="10"/>
  <c r="C220" i="10"/>
  <c r="I219" i="10"/>
  <c r="C219" i="10"/>
  <c r="I218" i="10"/>
  <c r="C218" i="10"/>
  <c r="I217" i="10"/>
  <c r="C217" i="10"/>
  <c r="I216" i="10"/>
  <c r="C216" i="10"/>
  <c r="I215" i="10"/>
  <c r="C215" i="10"/>
  <c r="I214" i="10"/>
  <c r="C214" i="10"/>
  <c r="I213" i="10"/>
  <c r="C213" i="10"/>
  <c r="I212" i="10"/>
  <c r="C212" i="10"/>
  <c r="I211" i="10"/>
  <c r="C211" i="10"/>
  <c r="I210" i="10"/>
  <c r="C210" i="10"/>
  <c r="I209" i="10"/>
  <c r="C209" i="10"/>
  <c r="I208" i="10"/>
  <c r="C208" i="10"/>
  <c r="I207" i="10"/>
  <c r="C207" i="10"/>
  <c r="I206" i="10"/>
  <c r="C206" i="10"/>
  <c r="I205" i="10"/>
  <c r="C205" i="10"/>
  <c r="I204" i="10"/>
  <c r="C204" i="10"/>
  <c r="I203" i="10"/>
  <c r="C203" i="10"/>
  <c r="I202" i="10"/>
  <c r="C202" i="10"/>
  <c r="I201" i="10"/>
  <c r="C201" i="10"/>
  <c r="I200" i="10"/>
  <c r="C200" i="10"/>
  <c r="I199" i="10"/>
  <c r="C199" i="10"/>
  <c r="I198" i="10"/>
  <c r="C198" i="10"/>
  <c r="I197" i="10"/>
  <c r="C197" i="10"/>
  <c r="I196" i="10"/>
  <c r="C196" i="10"/>
  <c r="I195" i="10"/>
  <c r="C195" i="10"/>
  <c r="I194" i="10"/>
  <c r="C194" i="10"/>
  <c r="I193" i="10"/>
  <c r="C193" i="10"/>
  <c r="I192" i="10"/>
  <c r="C192" i="10"/>
  <c r="I191" i="10"/>
  <c r="C191" i="10"/>
  <c r="I190" i="10"/>
  <c r="C190" i="10"/>
  <c r="I189" i="10"/>
  <c r="C189" i="10"/>
  <c r="I188" i="10"/>
  <c r="C188" i="10"/>
  <c r="I187" i="10"/>
  <c r="C187" i="10"/>
  <c r="I186" i="10"/>
  <c r="C186" i="10"/>
  <c r="I185" i="10"/>
  <c r="C185" i="10"/>
  <c r="I184" i="10"/>
  <c r="C184" i="10"/>
  <c r="I183" i="10"/>
  <c r="C183" i="10"/>
  <c r="I182" i="10"/>
  <c r="C182" i="10"/>
  <c r="I181" i="10"/>
  <c r="C181" i="10"/>
  <c r="I180" i="10"/>
  <c r="C180" i="10"/>
  <c r="I179" i="10"/>
  <c r="C179" i="10"/>
  <c r="I178" i="10"/>
  <c r="C178" i="10"/>
  <c r="I177" i="10"/>
  <c r="C177" i="10"/>
  <c r="I176" i="10"/>
  <c r="C176" i="10"/>
  <c r="I175" i="10"/>
  <c r="C175" i="10"/>
  <c r="I174" i="10"/>
  <c r="C174" i="10"/>
  <c r="I173" i="10"/>
  <c r="C173" i="10"/>
  <c r="I172" i="10"/>
  <c r="C172" i="10"/>
  <c r="I171" i="10"/>
  <c r="C171" i="10"/>
  <c r="I170" i="10"/>
  <c r="C170" i="10"/>
  <c r="I169" i="10"/>
  <c r="C169" i="10"/>
  <c r="I168" i="10"/>
  <c r="C168" i="10"/>
  <c r="I167" i="10"/>
  <c r="C167" i="10"/>
  <c r="I166" i="10"/>
  <c r="C166" i="10"/>
  <c r="I165" i="10"/>
  <c r="C165" i="10"/>
  <c r="I164" i="10"/>
  <c r="C164" i="10"/>
  <c r="I163" i="10"/>
  <c r="C163" i="10"/>
  <c r="I162" i="10"/>
  <c r="C162" i="10"/>
  <c r="I161" i="10"/>
  <c r="C161" i="10"/>
  <c r="I160" i="10"/>
  <c r="C160" i="10"/>
  <c r="I159" i="10"/>
  <c r="C159" i="10"/>
  <c r="I158" i="10"/>
  <c r="C158" i="10"/>
  <c r="I157" i="10"/>
  <c r="C157" i="10"/>
  <c r="I156" i="10"/>
  <c r="C156" i="10"/>
  <c r="I155" i="10"/>
  <c r="C155" i="10"/>
  <c r="I154" i="10"/>
  <c r="C154" i="10"/>
  <c r="I153" i="10"/>
  <c r="C153" i="10"/>
  <c r="I152" i="10"/>
  <c r="C152" i="10"/>
  <c r="I151" i="10"/>
  <c r="C151" i="10"/>
  <c r="I150" i="10"/>
  <c r="C150" i="10"/>
  <c r="I149" i="10"/>
  <c r="C149" i="10"/>
  <c r="I148" i="10"/>
  <c r="C148" i="10"/>
  <c r="I147" i="10"/>
  <c r="C147" i="10"/>
  <c r="I146" i="10"/>
  <c r="C146" i="10"/>
  <c r="I145" i="10"/>
  <c r="C145" i="10"/>
  <c r="I144" i="10"/>
  <c r="C144" i="10"/>
  <c r="I143" i="10"/>
  <c r="C143" i="10"/>
  <c r="I142" i="10"/>
  <c r="C142" i="10"/>
  <c r="I141" i="10"/>
  <c r="C141" i="10"/>
  <c r="I140" i="10"/>
  <c r="C140" i="10"/>
  <c r="I139" i="10"/>
  <c r="C139" i="10"/>
  <c r="I138" i="10"/>
  <c r="C138" i="10"/>
  <c r="I137" i="10"/>
  <c r="C137" i="10"/>
  <c r="I136" i="10"/>
  <c r="C136" i="10"/>
  <c r="I135" i="10"/>
  <c r="C135" i="10"/>
  <c r="I134" i="10"/>
  <c r="C134" i="10"/>
  <c r="I133" i="10"/>
  <c r="C133" i="10"/>
  <c r="I132" i="10"/>
  <c r="C132" i="10"/>
  <c r="I131" i="10"/>
  <c r="C131" i="10"/>
  <c r="I130" i="10"/>
  <c r="C130" i="10"/>
  <c r="I129" i="10"/>
  <c r="C129" i="10"/>
  <c r="I128" i="10"/>
  <c r="C128" i="10"/>
  <c r="I127" i="10"/>
  <c r="C127" i="10"/>
  <c r="I126" i="10"/>
  <c r="C126" i="10"/>
  <c r="I125" i="10"/>
  <c r="C125" i="10"/>
  <c r="I124" i="10"/>
  <c r="C124" i="10"/>
  <c r="I123" i="10"/>
  <c r="C123" i="10"/>
  <c r="I122" i="10"/>
  <c r="C122" i="10"/>
  <c r="I121" i="10"/>
  <c r="C121" i="10"/>
  <c r="I120" i="10"/>
  <c r="C120" i="10"/>
  <c r="I119" i="10"/>
  <c r="C119" i="10"/>
  <c r="I118" i="10"/>
  <c r="C118" i="10"/>
  <c r="I117" i="10"/>
  <c r="C117" i="10"/>
  <c r="I116" i="10"/>
  <c r="C116" i="10"/>
  <c r="I115" i="10"/>
  <c r="C115" i="10"/>
  <c r="I114" i="10"/>
  <c r="C114" i="10"/>
  <c r="I113" i="10"/>
  <c r="C113" i="10"/>
  <c r="I112" i="10"/>
  <c r="C112" i="10"/>
  <c r="I111" i="10"/>
  <c r="C111" i="10"/>
  <c r="I110" i="10"/>
  <c r="C110" i="10"/>
  <c r="I109" i="10"/>
  <c r="C109" i="10"/>
  <c r="I108" i="10"/>
  <c r="C108" i="10"/>
  <c r="I107" i="10"/>
  <c r="C107" i="10"/>
  <c r="I106" i="10"/>
  <c r="C106" i="10"/>
  <c r="I105" i="10"/>
  <c r="C105" i="10"/>
  <c r="I104" i="10"/>
  <c r="C104" i="10"/>
  <c r="I103" i="10"/>
  <c r="C103" i="10"/>
  <c r="I102" i="10"/>
  <c r="C102" i="10"/>
  <c r="I101" i="10"/>
  <c r="C101" i="10"/>
  <c r="I100" i="10"/>
  <c r="C100" i="10"/>
  <c r="I99" i="10"/>
  <c r="C99" i="10"/>
  <c r="I98" i="10"/>
  <c r="C98" i="10"/>
  <c r="I97" i="10"/>
  <c r="C97" i="10"/>
  <c r="I96" i="10"/>
  <c r="C96" i="10"/>
  <c r="I95" i="10"/>
  <c r="C95" i="10"/>
  <c r="I94" i="10"/>
  <c r="C94" i="10"/>
  <c r="I93" i="10"/>
  <c r="C93" i="10"/>
  <c r="I92" i="10"/>
  <c r="C92" i="10"/>
  <c r="I91" i="10"/>
  <c r="C91" i="10"/>
  <c r="I90" i="10"/>
  <c r="C90" i="10"/>
  <c r="I89" i="10"/>
  <c r="C89" i="10"/>
  <c r="I88" i="10"/>
  <c r="C88" i="10"/>
  <c r="I87" i="10"/>
  <c r="C87" i="10"/>
  <c r="I86" i="10"/>
  <c r="C86" i="10"/>
  <c r="I85" i="10"/>
  <c r="C85" i="10"/>
  <c r="I84" i="10"/>
  <c r="C84" i="10"/>
  <c r="I83" i="10"/>
  <c r="C83" i="10"/>
  <c r="I82" i="10"/>
  <c r="C82" i="10"/>
  <c r="I81" i="10"/>
  <c r="C81" i="10"/>
  <c r="I80" i="10"/>
  <c r="C80" i="10"/>
  <c r="I79" i="10"/>
  <c r="C79" i="10"/>
  <c r="I78" i="10"/>
  <c r="C78" i="10"/>
  <c r="I77" i="10"/>
  <c r="C77" i="10"/>
  <c r="I76" i="10"/>
  <c r="C76" i="10"/>
  <c r="I75" i="10"/>
  <c r="C75" i="10"/>
  <c r="I74" i="10"/>
  <c r="C74" i="10"/>
  <c r="I73" i="10"/>
  <c r="C73" i="10"/>
  <c r="I72" i="10"/>
  <c r="C72" i="10"/>
  <c r="I71" i="10"/>
  <c r="C71" i="10"/>
  <c r="I70" i="10"/>
  <c r="C70" i="10"/>
  <c r="I69" i="10"/>
  <c r="C69" i="10"/>
  <c r="I68" i="10"/>
  <c r="C68" i="10"/>
  <c r="I67" i="10"/>
  <c r="C67" i="10"/>
  <c r="I66" i="10"/>
  <c r="C66" i="10"/>
  <c r="I65" i="10"/>
  <c r="C65" i="10"/>
  <c r="I64" i="10"/>
  <c r="C64" i="10"/>
  <c r="I63" i="10"/>
  <c r="C63" i="10"/>
  <c r="I62" i="10"/>
  <c r="C62" i="10"/>
  <c r="I61" i="10"/>
  <c r="C61" i="10"/>
  <c r="I60" i="10"/>
  <c r="C60" i="10"/>
  <c r="I59" i="10"/>
  <c r="C59" i="10"/>
  <c r="I58" i="10"/>
  <c r="C58" i="10"/>
  <c r="I57" i="10"/>
  <c r="C57" i="10"/>
  <c r="I56" i="10"/>
  <c r="C56" i="10"/>
  <c r="I55" i="10"/>
  <c r="C55" i="10"/>
  <c r="I54" i="10"/>
  <c r="C54" i="10"/>
  <c r="I53" i="10"/>
  <c r="C53" i="10"/>
  <c r="I52" i="10"/>
  <c r="C52" i="10"/>
  <c r="I51" i="10"/>
  <c r="C51" i="10"/>
  <c r="I50" i="10"/>
  <c r="C50" i="10"/>
  <c r="I49" i="10"/>
  <c r="C49" i="10"/>
  <c r="I48" i="10"/>
  <c r="C48" i="10"/>
  <c r="I47" i="10"/>
  <c r="C47" i="10"/>
  <c r="I46" i="10"/>
  <c r="C46" i="10"/>
  <c r="I45" i="10"/>
  <c r="C45" i="10"/>
  <c r="I44" i="10"/>
  <c r="C44" i="10"/>
  <c r="I43" i="10"/>
  <c r="C43" i="10"/>
  <c r="I42" i="10"/>
  <c r="C42" i="10"/>
  <c r="I41" i="10"/>
  <c r="C41" i="10"/>
  <c r="I40" i="10"/>
  <c r="C40" i="10"/>
  <c r="I39" i="10"/>
  <c r="C39" i="10"/>
  <c r="I38" i="10"/>
  <c r="C38" i="10"/>
  <c r="I37" i="10"/>
  <c r="C37" i="10"/>
  <c r="I36" i="10"/>
  <c r="C36" i="10"/>
  <c r="I35" i="10"/>
  <c r="C35" i="10"/>
  <c r="I34" i="10"/>
  <c r="C34" i="10"/>
  <c r="I33" i="10"/>
  <c r="C33" i="10"/>
  <c r="I32" i="10"/>
  <c r="C32" i="10"/>
  <c r="I31" i="10"/>
  <c r="C31" i="10"/>
  <c r="I30" i="10"/>
  <c r="C30" i="10"/>
  <c r="I29" i="10"/>
  <c r="C29" i="10"/>
  <c r="I28" i="10"/>
  <c r="C28" i="10"/>
  <c r="I27" i="10"/>
  <c r="C27" i="10"/>
  <c r="I26" i="10"/>
  <c r="C26" i="10"/>
  <c r="I25" i="10"/>
  <c r="C25" i="10"/>
  <c r="I24" i="10"/>
  <c r="C24" i="10"/>
  <c r="I23" i="10"/>
  <c r="C23" i="10"/>
  <c r="I22" i="10"/>
  <c r="C22" i="10"/>
  <c r="I21" i="10"/>
  <c r="C21" i="10"/>
  <c r="I20" i="10"/>
  <c r="C20" i="10"/>
  <c r="I19" i="10"/>
  <c r="C19" i="10"/>
  <c r="I18" i="10"/>
  <c r="C18" i="10"/>
  <c r="I17" i="10"/>
  <c r="C17" i="10"/>
  <c r="I16" i="10"/>
  <c r="C16" i="10"/>
  <c r="I15" i="10"/>
  <c r="C15" i="10"/>
  <c r="I14" i="10"/>
  <c r="C14" i="10"/>
  <c r="I13" i="10"/>
  <c r="C13" i="10"/>
  <c r="I12" i="10"/>
  <c r="C12" i="10"/>
  <c r="I11" i="10"/>
  <c r="C11" i="10"/>
  <c r="I10" i="10"/>
  <c r="C10" i="10"/>
  <c r="I9" i="10"/>
  <c r="C9" i="10"/>
  <c r="I8" i="10"/>
  <c r="C8" i="10"/>
  <c r="I7" i="10"/>
  <c r="C7" i="10"/>
  <c r="I6" i="10"/>
  <c r="C6" i="10"/>
  <c r="I5" i="10"/>
  <c r="C5" i="10"/>
  <c r="I4" i="10"/>
  <c r="C4" i="10"/>
  <c r="I3" i="10"/>
  <c r="C3" i="10"/>
  <c r="I2" i="10"/>
  <c r="C2" i="10"/>
  <c r="E610" i="7"/>
  <c r="E609" i="7"/>
  <c r="E608" i="7"/>
  <c r="E607" i="7"/>
  <c r="E606" i="7"/>
  <c r="E605" i="7"/>
  <c r="E604" i="7"/>
  <c r="E603" i="7"/>
  <c r="E602" i="7"/>
  <c r="E601" i="7"/>
  <c r="E600" i="7"/>
  <c r="E599" i="7"/>
  <c r="E598" i="7"/>
  <c r="E597" i="7"/>
  <c r="E596" i="7"/>
  <c r="E595" i="7"/>
  <c r="E594" i="7"/>
  <c r="E593" i="7"/>
  <c r="E592" i="7"/>
  <c r="E591" i="7"/>
  <c r="E590" i="7"/>
  <c r="E589" i="7"/>
  <c r="E588" i="7"/>
  <c r="E587" i="7"/>
  <c r="A586" i="7"/>
  <c r="A585" i="7"/>
  <c r="E584" i="7"/>
  <c r="E583" i="7"/>
  <c r="E582" i="7"/>
  <c r="E581" i="7"/>
  <c r="E580" i="7"/>
  <c r="E579" i="7"/>
  <c r="E578" i="7"/>
  <c r="E577" i="7"/>
  <c r="E576" i="7"/>
  <c r="E575" i="7"/>
  <c r="E574" i="7"/>
  <c r="E573" i="7"/>
  <c r="E572" i="7"/>
  <c r="E571" i="7"/>
  <c r="E570" i="7"/>
  <c r="E569" i="7"/>
  <c r="E568" i="7"/>
  <c r="E567" i="7"/>
  <c r="E566" i="7"/>
  <c r="E565" i="7"/>
  <c r="E564" i="7"/>
  <c r="E563" i="7"/>
  <c r="E562" i="7"/>
  <c r="E561" i="7"/>
  <c r="E560" i="7"/>
  <c r="E559" i="7"/>
  <c r="E558" i="7"/>
  <c r="E557" i="7"/>
  <c r="E556" i="7"/>
  <c r="E555" i="7"/>
  <c r="E554" i="7"/>
  <c r="E553" i="7"/>
  <c r="E552" i="7"/>
  <c r="E551" i="7"/>
  <c r="E550" i="7"/>
  <c r="E549" i="7"/>
  <c r="E548" i="7"/>
  <c r="E547" i="7"/>
  <c r="E546" i="7"/>
  <c r="E545" i="7"/>
  <c r="E544" i="7"/>
  <c r="E543" i="7"/>
  <c r="E542" i="7"/>
  <c r="E541" i="7"/>
  <c r="E540" i="7"/>
  <c r="E539" i="7"/>
  <c r="E538" i="7"/>
  <c r="E537" i="7"/>
  <c r="E536" i="7"/>
  <c r="E535" i="7"/>
  <c r="E534" i="7"/>
  <c r="E533" i="7"/>
  <c r="E532" i="7"/>
  <c r="E531" i="7"/>
  <c r="E530" i="7"/>
  <c r="E529" i="7"/>
  <c r="E528" i="7"/>
  <c r="E527" i="7"/>
  <c r="E526" i="7"/>
  <c r="E525" i="7"/>
  <c r="E524" i="7"/>
  <c r="E523" i="7"/>
  <c r="E522" i="7"/>
  <c r="E521" i="7"/>
  <c r="E520" i="7"/>
  <c r="E519" i="7"/>
  <c r="E518" i="7"/>
  <c r="E517" i="7"/>
  <c r="E516" i="7"/>
  <c r="E515" i="7"/>
  <c r="E514" i="7"/>
  <c r="E513" i="7"/>
  <c r="E512" i="7"/>
  <c r="E511" i="7"/>
  <c r="E510" i="7"/>
  <c r="E509" i="7"/>
  <c r="E508" i="7"/>
  <c r="E507" i="7"/>
  <c r="E506" i="7"/>
  <c r="E505" i="7"/>
  <c r="E504" i="7"/>
  <c r="E503" i="7"/>
  <c r="E502" i="7"/>
  <c r="E501" i="7"/>
  <c r="E500" i="7"/>
  <c r="E499" i="7"/>
  <c r="E498" i="7"/>
  <c r="E497" i="7"/>
  <c r="E496" i="7"/>
  <c r="E495" i="7"/>
  <c r="E494" i="7"/>
  <c r="E493" i="7"/>
  <c r="E492" i="7"/>
  <c r="E491" i="7"/>
  <c r="E490" i="7"/>
  <c r="E489" i="7"/>
  <c r="E488" i="7"/>
  <c r="E487" i="7"/>
  <c r="E486" i="7"/>
  <c r="E485" i="7"/>
  <c r="E484" i="7"/>
  <c r="E483" i="7"/>
  <c r="E482" i="7"/>
  <c r="E481" i="7"/>
  <c r="E480" i="7"/>
  <c r="E479" i="7"/>
  <c r="E478" i="7"/>
  <c r="E477" i="7"/>
  <c r="E476" i="7"/>
  <c r="E475" i="7"/>
  <c r="E474" i="7"/>
  <c r="E473" i="7"/>
  <c r="E472" i="7"/>
  <c r="E471" i="7"/>
  <c r="E470" i="7"/>
  <c r="E469" i="7"/>
  <c r="E468" i="7"/>
  <c r="E467" i="7"/>
  <c r="E466" i="7"/>
  <c r="E465" i="7"/>
  <c r="E464" i="7"/>
  <c r="E463" i="7"/>
  <c r="E462" i="7"/>
  <c r="E461" i="7"/>
  <c r="E460" i="7"/>
  <c r="E459" i="7"/>
  <c r="E458" i="7"/>
  <c r="E457" i="7"/>
  <c r="E456" i="7"/>
  <c r="E455" i="7"/>
  <c r="E454" i="7"/>
  <c r="E453" i="7"/>
  <c r="E452" i="7"/>
  <c r="E451" i="7"/>
  <c r="E450" i="7"/>
  <c r="E449" i="7"/>
  <c r="E448" i="7"/>
  <c r="E447" i="7"/>
  <c r="E446" i="7"/>
  <c r="E445" i="7"/>
  <c r="E444" i="7"/>
  <c r="E443" i="7"/>
  <c r="E442" i="7"/>
  <c r="E441" i="7"/>
  <c r="E440" i="7"/>
  <c r="E439" i="7"/>
  <c r="E438" i="7"/>
  <c r="E437" i="7"/>
  <c r="E436" i="7"/>
  <c r="E435" i="7"/>
  <c r="E434" i="7"/>
  <c r="E433" i="7"/>
  <c r="E432" i="7"/>
  <c r="E431" i="7"/>
  <c r="E430" i="7"/>
  <c r="E429" i="7"/>
  <c r="E428" i="7"/>
  <c r="E427" i="7"/>
  <c r="E426" i="7"/>
  <c r="E425" i="7"/>
  <c r="E424" i="7"/>
  <c r="E423" i="7"/>
  <c r="E422" i="7"/>
  <c r="E421" i="7"/>
  <c r="E420" i="7"/>
  <c r="E419" i="7"/>
  <c r="E418" i="7"/>
  <c r="E417" i="7"/>
  <c r="E416" i="7"/>
  <c r="E415" i="7"/>
  <c r="E414" i="7"/>
  <c r="E413" i="7"/>
  <c r="E412" i="7"/>
  <c r="E411" i="7"/>
  <c r="E410" i="7"/>
  <c r="E409" i="7"/>
  <c r="E408" i="7"/>
  <c r="E407" i="7"/>
  <c r="E406" i="7"/>
  <c r="E405" i="7"/>
  <c r="E404" i="7"/>
  <c r="E403" i="7"/>
  <c r="E402" i="7"/>
  <c r="E401" i="7"/>
  <c r="E400" i="7"/>
  <c r="E399" i="7"/>
  <c r="E398" i="7"/>
  <c r="E397" i="7"/>
  <c r="E396" i="7"/>
  <c r="E395" i="7"/>
  <c r="E394" i="7"/>
  <c r="E393" i="7"/>
  <c r="E392" i="7"/>
  <c r="E391" i="7"/>
  <c r="E390" i="7"/>
  <c r="E389" i="7"/>
  <c r="E388" i="7"/>
  <c r="E387" i="7"/>
  <c r="E386" i="7"/>
  <c r="E385" i="7"/>
  <c r="E384" i="7"/>
  <c r="E383" i="7"/>
  <c r="E382" i="7"/>
  <c r="E381" i="7"/>
  <c r="E380" i="7"/>
  <c r="E379" i="7"/>
  <c r="E378" i="7"/>
  <c r="E377" i="7"/>
  <c r="E376" i="7"/>
  <c r="E375" i="7"/>
  <c r="E374" i="7"/>
  <c r="E373" i="7"/>
  <c r="E372" i="7"/>
  <c r="E371" i="7"/>
  <c r="E370" i="7"/>
  <c r="E369" i="7"/>
  <c r="E368" i="7"/>
  <c r="E367" i="7"/>
  <c r="E366" i="7"/>
  <c r="E365" i="7"/>
  <c r="E364" i="7"/>
  <c r="E363" i="7"/>
  <c r="E362" i="7"/>
  <c r="E361" i="7"/>
  <c r="E360" i="7"/>
  <c r="E359" i="7"/>
  <c r="E358" i="7"/>
  <c r="E357" i="7"/>
  <c r="E356" i="7"/>
  <c r="E355" i="7"/>
  <c r="E354" i="7"/>
  <c r="E353" i="7"/>
  <c r="E352" i="7"/>
  <c r="E351" i="7"/>
  <c r="E350" i="7"/>
  <c r="E349" i="7"/>
  <c r="E348" i="7"/>
  <c r="E347" i="7"/>
  <c r="E346" i="7"/>
  <c r="E345" i="7"/>
  <c r="E344" i="7"/>
  <c r="E343" i="7"/>
  <c r="E342" i="7"/>
  <c r="E341" i="7"/>
  <c r="E340" i="7"/>
  <c r="E339" i="7"/>
  <c r="E338" i="7"/>
  <c r="E337" i="7"/>
  <c r="E336" i="7"/>
  <c r="E335" i="7"/>
  <c r="E334" i="7"/>
  <c r="E333" i="7"/>
  <c r="E332" i="7"/>
  <c r="E331" i="7"/>
  <c r="E330" i="7"/>
  <c r="E329" i="7"/>
  <c r="E328" i="7"/>
  <c r="E327" i="7"/>
  <c r="E326" i="7"/>
  <c r="E325" i="7"/>
  <c r="E324" i="7"/>
  <c r="E323" i="7"/>
  <c r="E322" i="7"/>
  <c r="E321" i="7"/>
  <c r="E320" i="7"/>
  <c r="E319" i="7"/>
  <c r="E318" i="7"/>
  <c r="E317" i="7"/>
  <c r="E316" i="7"/>
  <c r="E315" i="7"/>
  <c r="E314" i="7"/>
  <c r="E313" i="7"/>
  <c r="E312" i="7"/>
  <c r="E311" i="7"/>
  <c r="E310" i="7"/>
  <c r="E309" i="7"/>
  <c r="E308" i="7"/>
  <c r="E307" i="7"/>
  <c r="E306" i="7"/>
  <c r="E305" i="7"/>
  <c r="E304" i="7"/>
  <c r="E303" i="7"/>
  <c r="E302" i="7"/>
  <c r="E301" i="7"/>
  <c r="E300" i="7"/>
  <c r="E299" i="7"/>
  <c r="E298" i="7"/>
  <c r="E297" i="7"/>
  <c r="E296" i="7"/>
  <c r="E295" i="7"/>
  <c r="E294" i="7"/>
  <c r="E293" i="7"/>
  <c r="E292" i="7"/>
  <c r="E291" i="7"/>
  <c r="E290" i="7"/>
  <c r="E289" i="7"/>
  <c r="E288" i="7"/>
  <c r="E287" i="7"/>
  <c r="E286" i="7"/>
  <c r="E285" i="7"/>
  <c r="E284" i="7"/>
  <c r="E283" i="7"/>
  <c r="E282" i="7"/>
  <c r="E281" i="7"/>
  <c r="E280" i="7"/>
  <c r="E279" i="7"/>
  <c r="E278" i="7"/>
  <c r="E277" i="7"/>
  <c r="E276" i="7"/>
  <c r="E275" i="7"/>
  <c r="E274" i="7"/>
  <c r="E273" i="7"/>
  <c r="E272" i="7"/>
  <c r="E271" i="7"/>
  <c r="E270" i="7"/>
  <c r="E269" i="7"/>
  <c r="E268" i="7"/>
  <c r="E267" i="7"/>
  <c r="E266" i="7"/>
  <c r="E265" i="7"/>
  <c r="E264" i="7"/>
  <c r="E263" i="7"/>
  <c r="E262" i="7"/>
  <c r="E261" i="7"/>
  <c r="E260" i="7"/>
  <c r="E259" i="7"/>
  <c r="E258" i="7"/>
  <c r="E257" i="7"/>
  <c r="E256" i="7"/>
  <c r="E255" i="7"/>
  <c r="E254" i="7"/>
  <c r="E253" i="7"/>
  <c r="E252" i="7"/>
  <c r="E251" i="7"/>
  <c r="E250" i="7"/>
  <c r="E249" i="7"/>
  <c r="E248" i="7"/>
  <c r="E247" i="7"/>
  <c r="E246" i="7"/>
  <c r="E245" i="7"/>
  <c r="E244" i="7"/>
  <c r="E243" i="7"/>
  <c r="E242" i="7"/>
  <c r="E241" i="7"/>
  <c r="E240" i="7"/>
  <c r="E239" i="7"/>
  <c r="E238" i="7"/>
  <c r="E237" i="7"/>
  <c r="E236" i="7"/>
  <c r="E235" i="7"/>
  <c r="E234" i="7"/>
  <c r="E233" i="7"/>
  <c r="E232" i="7"/>
  <c r="E231" i="7"/>
  <c r="E230" i="7"/>
  <c r="E229" i="7"/>
  <c r="E228" i="7"/>
  <c r="E227" i="7"/>
  <c r="E226" i="7"/>
  <c r="E225" i="7"/>
  <c r="E224" i="7"/>
  <c r="E223" i="7"/>
  <c r="E222" i="7"/>
  <c r="E221" i="7"/>
  <c r="E220" i="7"/>
  <c r="E219" i="7"/>
  <c r="E218" i="7"/>
  <c r="E217" i="7"/>
  <c r="E216" i="7"/>
  <c r="E215" i="7"/>
  <c r="E214" i="7"/>
  <c r="E213" i="7"/>
  <c r="E212" i="7"/>
  <c r="E211" i="7"/>
  <c r="E210" i="7"/>
  <c r="E209" i="7"/>
  <c r="E208" i="7"/>
  <c r="E207" i="7"/>
  <c r="E206" i="7"/>
  <c r="E205" i="7"/>
  <c r="E204" i="7"/>
  <c r="E203" i="7"/>
  <c r="E202" i="7"/>
  <c r="E201" i="7"/>
  <c r="E200" i="7"/>
  <c r="E199" i="7"/>
  <c r="E198" i="7"/>
  <c r="E197" i="7"/>
  <c r="E196" i="7"/>
  <c r="E195" i="7"/>
  <c r="E194" i="7"/>
  <c r="E193" i="7"/>
  <c r="E192" i="7"/>
  <c r="E191" i="7"/>
  <c r="E190" i="7"/>
  <c r="E189" i="7"/>
  <c r="E188" i="7"/>
  <c r="E187" i="7"/>
  <c r="E186" i="7"/>
  <c r="E185" i="7"/>
  <c r="E184" i="7"/>
  <c r="E183" i="7"/>
  <c r="E182" i="7"/>
  <c r="E181" i="7"/>
  <c r="E180" i="7"/>
  <c r="E179" i="7"/>
  <c r="E178" i="7"/>
  <c r="E177" i="7"/>
  <c r="E176" i="7"/>
  <c r="E175" i="7"/>
  <c r="E174" i="7"/>
  <c r="E173" i="7"/>
  <c r="E172" i="7"/>
  <c r="E171" i="7"/>
  <c r="E170" i="7"/>
  <c r="E169" i="7"/>
  <c r="E168" i="7"/>
  <c r="E167" i="7"/>
  <c r="E166" i="7"/>
  <c r="E165" i="7"/>
  <c r="E164" i="7"/>
  <c r="E163" i="7"/>
  <c r="E162" i="7"/>
  <c r="E161" i="7"/>
  <c r="E160" i="7"/>
  <c r="E159" i="7"/>
  <c r="E158" i="7"/>
  <c r="E157" i="7"/>
  <c r="E156" i="7"/>
  <c r="E155" i="7"/>
  <c r="E154" i="7"/>
  <c r="E153" i="7"/>
  <c r="E152" i="7"/>
  <c r="E151" i="7"/>
  <c r="E150" i="7"/>
  <c r="E149" i="7"/>
  <c r="E148" i="7"/>
  <c r="E147" i="7"/>
  <c r="E146" i="7"/>
  <c r="E145" i="7"/>
  <c r="E144" i="7"/>
  <c r="E143" i="7"/>
  <c r="E142" i="7"/>
  <c r="E141" i="7"/>
  <c r="E140" i="7"/>
  <c r="E139" i="7"/>
  <c r="E138" i="7"/>
  <c r="E137" i="7"/>
  <c r="E136" i="7"/>
  <c r="E135" i="7"/>
  <c r="E134" i="7"/>
  <c r="E133" i="7"/>
  <c r="E132" i="7"/>
  <c r="E131" i="7"/>
  <c r="E130" i="7"/>
  <c r="E129" i="7"/>
  <c r="E128" i="7"/>
  <c r="E127" i="7"/>
  <c r="E126" i="7"/>
  <c r="E125" i="7"/>
  <c r="E124" i="7"/>
  <c r="E123" i="7"/>
  <c r="E122" i="7"/>
  <c r="E121" i="7"/>
  <c r="E120" i="7"/>
  <c r="E119" i="7"/>
  <c r="E118" i="7"/>
  <c r="E117" i="7"/>
  <c r="E116" i="7"/>
  <c r="E115" i="7"/>
  <c r="E114" i="7"/>
  <c r="E113" i="7"/>
  <c r="E112" i="7"/>
  <c r="E111" i="7"/>
  <c r="E110" i="7"/>
  <c r="E109" i="7"/>
  <c r="E108" i="7"/>
  <c r="E107" i="7"/>
  <c r="E106" i="7"/>
  <c r="E105" i="7"/>
  <c r="E104" i="7"/>
  <c r="E103" i="7"/>
  <c r="E102" i="7"/>
  <c r="E101" i="7"/>
  <c r="E100" i="7"/>
  <c r="E99" i="7"/>
  <c r="E98" i="7"/>
  <c r="E97" i="7"/>
  <c r="E96" i="7"/>
  <c r="E95" i="7"/>
  <c r="E94" i="7"/>
  <c r="E93" i="7"/>
  <c r="E92" i="7"/>
  <c r="E91" i="7"/>
  <c r="E90" i="7"/>
  <c r="E89" i="7"/>
  <c r="E88" i="7"/>
  <c r="E87" i="7"/>
  <c r="E86" i="7"/>
  <c r="E85" i="7"/>
  <c r="E84" i="7"/>
  <c r="E83" i="7"/>
  <c r="E82" i="7"/>
  <c r="E81" i="7"/>
  <c r="E80" i="7"/>
  <c r="E79" i="7"/>
  <c r="E78" i="7"/>
  <c r="E77" i="7"/>
  <c r="E76" i="7"/>
  <c r="E75" i="7"/>
  <c r="E74" i="7"/>
  <c r="E73" i="7"/>
  <c r="E72" i="7"/>
  <c r="E71" i="7"/>
  <c r="E70" i="7"/>
  <c r="E69" i="7"/>
  <c r="E68" i="7"/>
  <c r="E67" i="7"/>
  <c r="E66" i="7"/>
  <c r="E65" i="7"/>
  <c r="E64" i="7"/>
  <c r="E63" i="7"/>
  <c r="E62" i="7"/>
  <c r="E61" i="7"/>
  <c r="E60" i="7"/>
  <c r="E59" i="7"/>
  <c r="E58" i="7"/>
  <c r="E57" i="7"/>
  <c r="E56" i="7"/>
  <c r="E55" i="7"/>
  <c r="E54" i="7"/>
  <c r="E53" i="7"/>
  <c r="E52" i="7"/>
  <c r="E51" i="7"/>
  <c r="E50" i="7"/>
  <c r="E49" i="7"/>
  <c r="E48" i="7"/>
  <c r="E47" i="7"/>
  <c r="E46" i="7"/>
  <c r="E45" i="7"/>
  <c r="E44" i="7"/>
  <c r="E43" i="7"/>
  <c r="E42" i="7"/>
  <c r="E41" i="7"/>
  <c r="E40" i="7"/>
  <c r="E39" i="7"/>
  <c r="E38" i="7"/>
  <c r="E37" i="7"/>
  <c r="E36" i="7"/>
  <c r="E35" i="7"/>
  <c r="E34" i="7"/>
  <c r="E33" i="7"/>
  <c r="E32" i="7"/>
  <c r="E31" i="7"/>
  <c r="E30" i="7"/>
  <c r="E29" i="7"/>
  <c r="E28" i="7"/>
  <c r="E27" i="7"/>
  <c r="E26" i="7"/>
  <c r="E25" i="7"/>
  <c r="E24" i="7"/>
  <c r="E23" i="7"/>
  <c r="E22" i="7"/>
  <c r="E21" i="7"/>
  <c r="E20" i="7"/>
  <c r="E19" i="7"/>
  <c r="E18" i="7"/>
  <c r="E17" i="7"/>
  <c r="E16" i="7"/>
  <c r="E14" i="7"/>
  <c r="E13" i="7"/>
  <c r="E12" i="7"/>
  <c r="E11" i="7"/>
  <c r="E10" i="7"/>
  <c r="E9" i="7"/>
  <c r="E8" i="7"/>
  <c r="E7" i="7"/>
  <c r="E6" i="7"/>
  <c r="E5" i="7"/>
  <c r="E4" i="7"/>
  <c r="E3" i="7"/>
  <c r="E2" i="7"/>
  <c r="G1977" i="4" l="1"/>
  <c r="G1976" i="4"/>
  <c r="G1970" i="4"/>
  <c r="G1971" i="4"/>
  <c r="G1968" i="4"/>
  <c r="G1973" i="4"/>
  <c r="G1975" i="4"/>
  <c r="G1974" i="4"/>
  <c r="G1969" i="4"/>
  <c r="G1972" i="4"/>
  <c r="G1966" i="4"/>
  <c r="G1967" i="4"/>
  <c r="G1964" i="4"/>
  <c r="G1963" i="4"/>
  <c r="G1965" i="4"/>
  <c r="G1943" i="4"/>
  <c r="G1945" i="4"/>
  <c r="G1956" i="4"/>
  <c r="G1946" i="4"/>
  <c r="G1959" i="4"/>
  <c r="G1937" i="4"/>
  <c r="G1947" i="4"/>
  <c r="G1962" i="4"/>
  <c r="G1939" i="4"/>
  <c r="G1949" i="4"/>
  <c r="G1940" i="4"/>
  <c r="G1951" i="4"/>
  <c r="G1941" i="4"/>
  <c r="G1953" i="4"/>
  <c r="G1948" i="4"/>
  <c r="G1944" i="4"/>
  <c r="G1958" i="4"/>
  <c r="G1950" i="4"/>
  <c r="G1961" i="4"/>
  <c r="G1942" i="4"/>
  <c r="G1938" i="4"/>
  <c r="G1954" i="4"/>
  <c r="G1957" i="4"/>
  <c r="G1960" i="4"/>
  <c r="G1955" i="4"/>
  <c r="G1952" i="4"/>
  <c r="G1914" i="4"/>
  <c r="G1915" i="4"/>
  <c r="G1919" i="4"/>
  <c r="G1921" i="4"/>
  <c r="G1924" i="4"/>
  <c r="G1920" i="4"/>
  <c r="G1922" i="4"/>
  <c r="G1923" i="4"/>
  <c r="G1934" i="4"/>
  <c r="G1927" i="4"/>
  <c r="G1926" i="4"/>
  <c r="G1918" i="4"/>
  <c r="G1916" i="4"/>
  <c r="G1917" i="4"/>
  <c r="G1930" i="4"/>
  <c r="G1933" i="4"/>
  <c r="G1925" i="4"/>
  <c r="G1932" i="4"/>
  <c r="G1929" i="4"/>
  <c r="G1928" i="4"/>
  <c r="G1936" i="4"/>
  <c r="G1935" i="4"/>
  <c r="G1931" i="4"/>
  <c r="G1910" i="4"/>
  <c r="G1913" i="4"/>
  <c r="G1912" i="4"/>
  <c r="F1464" i="4"/>
  <c r="G1911" i="4"/>
  <c r="F1458" i="4"/>
  <c r="E1459" i="4"/>
  <c r="C1489" i="4"/>
  <c r="E1492" i="4"/>
  <c r="E1508" i="4"/>
  <c r="C1455" i="4"/>
  <c r="E1455" i="4"/>
  <c r="E1528" i="4"/>
  <c r="G1900" i="4"/>
  <c r="G1902" i="4"/>
  <c r="G1903" i="4"/>
  <c r="G1904" i="4"/>
  <c r="G1905" i="4"/>
  <c r="G1906" i="4"/>
  <c r="G1907" i="4"/>
  <c r="G1908" i="4"/>
  <c r="G1909" i="4"/>
  <c r="G1901" i="4"/>
  <c r="F1479" i="4"/>
  <c r="F1492" i="4"/>
  <c r="F1507" i="4"/>
  <c r="E1522" i="4"/>
  <c r="F1469" i="4"/>
  <c r="C1525" i="4"/>
  <c r="C1485" i="4"/>
  <c r="F1525" i="4"/>
  <c r="C1462" i="4"/>
  <c r="E1541" i="4"/>
  <c r="F1480" i="4"/>
  <c r="F1542" i="4"/>
  <c r="C1543" i="4"/>
  <c r="C1488" i="4"/>
  <c r="C1535" i="4"/>
  <c r="F1488" i="4"/>
  <c r="C1479" i="4"/>
  <c r="F1508" i="4"/>
  <c r="C1519" i="4"/>
  <c r="C1526" i="4"/>
  <c r="C1461" i="4"/>
  <c r="E1509" i="4"/>
  <c r="C1520" i="4"/>
  <c r="C1538" i="4"/>
  <c r="F1461" i="4"/>
  <c r="E1520" i="4"/>
  <c r="E1538" i="4"/>
  <c r="F1510" i="4"/>
  <c r="F1528" i="4"/>
  <c r="C1474" i="4"/>
  <c r="E1504" i="4"/>
  <c r="C1511" i="4"/>
  <c r="C1521" i="4"/>
  <c r="F1539" i="4"/>
  <c r="E1474" i="4"/>
  <c r="E1521" i="4"/>
  <c r="E1456" i="4"/>
  <c r="E1464" i="4"/>
  <c r="E1493" i="4"/>
  <c r="E1505" i="4"/>
  <c r="E1457" i="4"/>
  <c r="E1475" i="4"/>
  <c r="F1494" i="4"/>
  <c r="C1506" i="4"/>
  <c r="F1475" i="4"/>
  <c r="F1506" i="4"/>
  <c r="C1458" i="4"/>
  <c r="E1487" i="4"/>
  <c r="C1495" i="4"/>
  <c r="G17" i="4"/>
  <c r="G110" i="4"/>
  <c r="G127" i="4"/>
  <c r="G16" i="4"/>
  <c r="G126" i="4"/>
  <c r="E1472" i="4"/>
  <c r="E1490" i="4"/>
  <c r="F1512" i="4"/>
  <c r="F1527" i="4"/>
  <c r="F1533" i="4"/>
  <c r="E1537" i="4"/>
  <c r="G18" i="4"/>
  <c r="G21" i="4"/>
  <c r="G24" i="4"/>
  <c r="G36" i="4"/>
  <c r="G39" i="4"/>
  <c r="G42" i="4"/>
  <c r="G45" i="4"/>
  <c r="G51" i="4"/>
  <c r="G54" i="4"/>
  <c r="G57" i="4"/>
  <c r="G63" i="4"/>
  <c r="G69" i="4"/>
  <c r="G81" i="4"/>
  <c r="G84" i="4"/>
  <c r="G87" i="4"/>
  <c r="G96" i="4"/>
  <c r="G102" i="4"/>
  <c r="G117" i="4"/>
  <c r="C1457" i="4"/>
  <c r="F1472" i="4"/>
  <c r="F1476" i="4"/>
  <c r="E1480" i="4"/>
  <c r="C1487" i="4"/>
  <c r="F1490" i="4"/>
  <c r="C1494" i="4"/>
  <c r="C1505" i="4"/>
  <c r="C1509" i="4"/>
  <c r="F1523" i="4"/>
  <c r="C1542" i="4"/>
  <c r="G27" i="4"/>
  <c r="G30" i="4"/>
  <c r="G48" i="4"/>
  <c r="G60" i="4"/>
  <c r="G72" i="4"/>
  <c r="G75" i="4"/>
  <c r="G105" i="4"/>
  <c r="G108" i="4"/>
  <c r="C1473" i="4"/>
  <c r="C1477" i="4"/>
  <c r="E1491" i="4"/>
  <c r="C1501" i="4"/>
  <c r="C1549" i="4"/>
  <c r="E1473" i="4"/>
  <c r="E1477" i="4"/>
  <c r="F1491" i="4"/>
  <c r="F1501" i="4"/>
  <c r="F1549" i="4"/>
  <c r="G19" i="4"/>
  <c r="G22" i="4"/>
  <c r="G25" i="4"/>
  <c r="G31" i="4"/>
  <c r="G34" i="4"/>
  <c r="G37" i="4"/>
  <c r="G40" i="4"/>
  <c r="G52" i="4"/>
  <c r="G55" i="4"/>
  <c r="G58" i="4"/>
  <c r="G61" i="4"/>
  <c r="G70" i="4"/>
  <c r="G76" i="4"/>
  <c r="G79" i="4"/>
  <c r="G91" i="4"/>
  <c r="G94" i="4"/>
  <c r="G100" i="4"/>
  <c r="G109" i="4"/>
  <c r="G112" i="4"/>
  <c r="G133" i="4"/>
  <c r="F1462" i="4"/>
  <c r="C1469" i="4"/>
  <c r="F1495" i="4"/>
  <c r="C1510" i="4"/>
  <c r="E1535" i="4"/>
  <c r="F1543" i="4"/>
  <c r="G1543" i="4" s="1"/>
  <c r="G28" i="4"/>
  <c r="G43" i="4"/>
  <c r="G46" i="4"/>
  <c r="G64" i="4"/>
  <c r="G73" i="4"/>
  <c r="G88" i="4"/>
  <c r="G97" i="4"/>
  <c r="G118" i="4"/>
  <c r="G121" i="4"/>
  <c r="C1463" i="4"/>
  <c r="C1478" i="4"/>
  <c r="E1496" i="4"/>
  <c r="E1503" i="4"/>
  <c r="C1517" i="4"/>
  <c r="C1536" i="4"/>
  <c r="E1544" i="4"/>
  <c r="F1463" i="4"/>
  <c r="F1478" i="4"/>
  <c r="F1496" i="4"/>
  <c r="F1517" i="4"/>
  <c r="E1536" i="4"/>
  <c r="F1544" i="4"/>
  <c r="G143" i="4"/>
  <c r="G20" i="4"/>
  <c r="G23" i="4"/>
  <c r="G26" i="4"/>
  <c r="G29" i="4"/>
  <c r="G35" i="4"/>
  <c r="G38" i="4"/>
  <c r="G41" i="4"/>
  <c r="G47" i="4"/>
  <c r="G50" i="4"/>
  <c r="G53" i="4"/>
  <c r="G56" i="4"/>
  <c r="G68" i="4"/>
  <c r="G71" i="4"/>
  <c r="G74" i="4"/>
  <c r="G80" i="4"/>
  <c r="G83" i="4"/>
  <c r="G92" i="4"/>
  <c r="G95" i="4"/>
  <c r="G104" i="4"/>
  <c r="G107" i="4"/>
  <c r="C1456" i="4"/>
  <c r="F1459" i="4"/>
  <c r="F1485" i="4"/>
  <c r="E1489" i="4"/>
  <c r="C1493" i="4"/>
  <c r="C1504" i="4"/>
  <c r="F1511" i="4"/>
  <c r="C1522" i="4"/>
  <c r="F1526" i="4"/>
  <c r="C1541" i="4"/>
  <c r="G32" i="4"/>
  <c r="G44" i="4"/>
  <c r="G59" i="4"/>
  <c r="G62" i="4"/>
  <c r="G77" i="4"/>
  <c r="G86" i="4"/>
  <c r="G89" i="4"/>
  <c r="G101" i="4"/>
  <c r="G113" i="4"/>
  <c r="E1512" i="4"/>
  <c r="C1527" i="4"/>
  <c r="C1533" i="4"/>
  <c r="C1537" i="4"/>
  <c r="G106" i="4"/>
  <c r="G130" i="4"/>
  <c r="G137" i="4"/>
  <c r="G160" i="4"/>
  <c r="G164" i="4"/>
  <c r="G168" i="4"/>
  <c r="G172" i="4"/>
  <c r="G176" i="4"/>
  <c r="G180" i="4"/>
  <c r="G184" i="4"/>
  <c r="G188" i="4"/>
  <c r="G192" i="4"/>
  <c r="G196" i="4"/>
  <c r="G200" i="4"/>
  <c r="G204" i="4"/>
  <c r="G208" i="4"/>
  <c r="G224" i="4"/>
  <c r="G228" i="4"/>
  <c r="G232" i="4"/>
  <c r="G236" i="4"/>
  <c r="G240" i="4"/>
  <c r="G244" i="4"/>
  <c r="G248" i="4"/>
  <c r="G252" i="4"/>
  <c r="G304" i="4"/>
  <c r="G308" i="4"/>
  <c r="G312" i="4"/>
  <c r="G316" i="4"/>
  <c r="G320" i="4"/>
  <c r="G324" i="4"/>
  <c r="G328" i="4"/>
  <c r="G332" i="4"/>
  <c r="G336" i="4"/>
  <c r="G340" i="4"/>
  <c r="G344" i="4"/>
  <c r="G348" i="4"/>
  <c r="G352" i="4"/>
  <c r="G356" i="4"/>
  <c r="G360" i="4"/>
  <c r="G364" i="4"/>
  <c r="G368" i="4"/>
  <c r="G372" i="4"/>
  <c r="G376" i="4"/>
  <c r="G380" i="4"/>
  <c r="G384" i="4"/>
  <c r="G388" i="4"/>
  <c r="G392" i="4"/>
  <c r="G396" i="4"/>
  <c r="G400" i="4"/>
  <c r="G404" i="4"/>
  <c r="G408" i="4"/>
  <c r="G412" i="4"/>
  <c r="G416" i="4"/>
  <c r="G420" i="4"/>
  <c r="G424" i="4"/>
  <c r="G428" i="4"/>
  <c r="G432" i="4"/>
  <c r="G436" i="4"/>
  <c r="G440" i="4"/>
  <c r="G444" i="4"/>
  <c r="G448" i="4"/>
  <c r="G452" i="4"/>
  <c r="G116" i="4"/>
  <c r="G120" i="4"/>
  <c r="G138" i="4"/>
  <c r="G141" i="4"/>
  <c r="G90" i="4"/>
  <c r="G67" i="4"/>
  <c r="G93" i="4"/>
  <c r="G103" i="4"/>
  <c r="G131" i="4"/>
  <c r="G134" i="4"/>
  <c r="G145" i="4"/>
  <c r="G149" i="4"/>
  <c r="G153" i="4"/>
  <c r="G124" i="4"/>
  <c r="G135" i="4"/>
  <c r="G139" i="4"/>
  <c r="G142" i="4"/>
  <c r="G146" i="4"/>
  <c r="G157" i="4"/>
  <c r="G114" i="4"/>
  <c r="G128" i="4"/>
  <c r="G150" i="4"/>
  <c r="G205" i="4"/>
  <c r="G217" i="4"/>
  <c r="G178" i="4"/>
  <c r="G182" i="4"/>
  <c r="G186" i="4"/>
  <c r="G306" i="4"/>
  <c r="G310" i="4"/>
  <c r="G314" i="4"/>
  <c r="G322" i="4"/>
  <c r="G326" i="4"/>
  <c r="G330" i="4"/>
  <c r="G338" i="4"/>
  <c r="G342" i="4"/>
  <c r="G346" i="4"/>
  <c r="G354" i="4"/>
  <c r="G358" i="4"/>
  <c r="G362" i="4"/>
  <c r="G370" i="4"/>
  <c r="G374" i="4"/>
  <c r="G378" i="4"/>
  <c r="G386" i="4"/>
  <c r="G98" i="4"/>
  <c r="G136" i="4"/>
  <c r="G147" i="4"/>
  <c r="G158" i="4"/>
  <c r="G174" i="4"/>
  <c r="G190" i="4"/>
  <c r="G33" i="4"/>
  <c r="G49" i="4"/>
  <c r="G65" i="4"/>
  <c r="G78" i="4"/>
  <c r="G111" i="4"/>
  <c r="G115" i="4"/>
  <c r="G122" i="4"/>
  <c r="G125" i="4"/>
  <c r="G151" i="4"/>
  <c r="G155" i="4"/>
  <c r="G238" i="4"/>
  <c r="G270" i="4"/>
  <c r="G1651" i="4"/>
  <c r="G1887" i="4"/>
  <c r="G1871" i="4"/>
  <c r="G1855" i="4"/>
  <c r="G1839" i="4"/>
  <c r="G1823" i="4"/>
  <c r="G1807" i="4"/>
  <c r="G1791" i="4"/>
  <c r="G1775" i="4"/>
  <c r="G1759" i="4"/>
  <c r="G1743" i="4"/>
  <c r="G1727" i="4"/>
  <c r="G1711" i="4"/>
  <c r="G1695" i="4"/>
  <c r="G1679" i="4"/>
  <c r="G1663" i="4"/>
  <c r="G1880" i="4"/>
  <c r="G1864" i="4"/>
  <c r="G1848" i="4"/>
  <c r="G1832" i="4"/>
  <c r="G1816" i="4"/>
  <c r="G1800" i="4"/>
  <c r="G1784" i="4"/>
  <c r="G1768" i="4"/>
  <c r="G1752" i="4"/>
  <c r="G1736" i="4"/>
  <c r="G1720" i="4"/>
  <c r="G1704" i="4"/>
  <c r="G1688" i="4"/>
  <c r="G1672" i="4"/>
  <c r="G1739" i="4"/>
  <c r="G1723" i="4"/>
  <c r="G1707" i="4"/>
  <c r="G1691" i="4"/>
  <c r="G1675" i="4"/>
  <c r="G1643" i="4"/>
  <c r="G1627" i="4"/>
  <c r="G1886" i="4"/>
  <c r="G1870" i="4"/>
  <c r="G1854" i="4"/>
  <c r="G1838" i="4"/>
  <c r="G1611" i="4"/>
  <c r="G1640" i="4"/>
  <c r="G1622" i="4"/>
  <c r="G1355" i="4"/>
  <c r="G1098" i="4"/>
  <c r="G1600" i="4"/>
  <c r="G1557" i="4"/>
  <c r="G1435" i="4"/>
  <c r="G1400" i="4"/>
  <c r="G1331" i="4"/>
  <c r="G1272" i="4"/>
  <c r="G1139" i="4"/>
  <c r="G1607" i="4"/>
  <c r="G1403" i="4"/>
  <c r="G1275" i="4"/>
  <c r="G1449" i="4"/>
  <c r="G1632" i="4"/>
  <c r="G1592" i="4"/>
  <c r="G1563" i="4"/>
  <c r="G1424" i="4"/>
  <c r="G1365" i="4"/>
  <c r="G1351" i="4"/>
  <c r="G1344" i="4"/>
  <c r="G1337" i="4"/>
  <c r="G1323" i="4"/>
  <c r="G1251" i="4"/>
  <c r="G1179" i="4"/>
  <c r="G1574" i="4"/>
  <c r="G1368" i="4"/>
  <c r="G1097" i="4"/>
  <c r="G1080" i="4"/>
  <c r="G1624" i="4"/>
  <c r="G1595" i="4"/>
  <c r="G1371" i="4"/>
  <c r="G1271" i="4"/>
  <c r="G1254" i="4"/>
  <c r="G1083" i="4"/>
  <c r="G1606" i="4"/>
  <c r="G1448" i="4"/>
  <c r="G1416" i="4"/>
  <c r="G1333" i="4"/>
  <c r="G1319" i="4"/>
  <c r="G1312" i="4"/>
  <c r="G1305" i="4"/>
  <c r="G1291" i="4"/>
  <c r="G1243" i="4"/>
  <c r="G1226" i="4"/>
  <c r="G1451" i="4"/>
  <c r="G1419" i="4"/>
  <c r="G1395" i="4"/>
  <c r="G1336" i="4"/>
  <c r="G1195" i="4"/>
  <c r="G1161" i="4"/>
  <c r="G1144" i="4"/>
  <c r="G1638" i="4"/>
  <c r="G1339" i="4"/>
  <c r="G1433" i="4"/>
  <c r="G1558" i="4"/>
  <c r="G1440" i="4"/>
  <c r="G1408" i="4"/>
  <c r="G1401" i="4"/>
  <c r="G1387" i="4"/>
  <c r="G1273" i="4"/>
  <c r="G1626" i="4"/>
  <c r="G1608" i="4"/>
  <c r="G1579" i="4"/>
  <c r="G1648" i="4"/>
  <c r="G1590" i="4"/>
  <c r="G1450" i="4"/>
  <c r="G1418" i="4"/>
  <c r="G1349" i="4"/>
  <c r="G1321" i="4"/>
  <c r="G1307" i="4"/>
  <c r="G1211" i="4"/>
  <c r="G1194" i="4"/>
  <c r="G1177" i="4"/>
  <c r="G1160" i="4"/>
  <c r="G1215" i="4"/>
  <c r="G1162" i="4"/>
  <c r="G1136" i="4"/>
  <c r="G1035" i="4"/>
  <c r="G1021" i="4"/>
  <c r="G1192" i="4"/>
  <c r="G1158" i="4"/>
  <c r="G1007" i="4"/>
  <c r="G1447" i="4"/>
  <c r="G1143" i="4"/>
  <c r="G1128" i="4"/>
  <c r="G1094" i="4"/>
  <c r="G1415" i="4"/>
  <c r="G1304" i="4"/>
  <c r="G1222" i="4"/>
  <c r="G1184" i="4"/>
  <c r="G1109" i="4"/>
  <c r="G1003" i="4"/>
  <c r="G966" i="4"/>
  <c r="G959" i="4"/>
  <c r="G939" i="4"/>
  <c r="G926" i="4"/>
  <c r="G880" i="4"/>
  <c r="G867" i="4"/>
  <c r="G1363" i="4"/>
  <c r="G1150" i="4"/>
  <c r="G1067" i="4"/>
  <c r="G969" i="4"/>
  <c r="G1034" i="4"/>
  <c r="G996" i="4"/>
  <c r="G989" i="4"/>
  <c r="G952" i="4"/>
  <c r="G942" i="4"/>
  <c r="G896" i="4"/>
  <c r="G883" i="4"/>
  <c r="G1311" i="4"/>
  <c r="G1225" i="4"/>
  <c r="G1191" i="4"/>
  <c r="G1168" i="4"/>
  <c r="G1157" i="4"/>
  <c r="G1070" i="4"/>
  <c r="G1059" i="4"/>
  <c r="G935" i="4"/>
  <c r="G912" i="4"/>
  <c r="G899" i="4"/>
  <c r="G889" i="4"/>
  <c r="G850" i="4"/>
  <c r="G834" i="4"/>
  <c r="G818" i="4"/>
  <c r="G802" i="4"/>
  <c r="G786" i="4"/>
  <c r="G770" i="4"/>
  <c r="G757" i="4"/>
  <c r="G741" i="4"/>
  <c r="G725" i="4"/>
  <c r="G709" i="4"/>
  <c r="G693" i="4"/>
  <c r="G677" i="4"/>
  <c r="G661" i="4"/>
  <c r="G645" i="4"/>
  <c r="G629" i="4"/>
  <c r="G613" i="4"/>
  <c r="G597" i="4"/>
  <c r="G581" i="4"/>
  <c r="G565" i="4"/>
  <c r="G549" i="4"/>
  <c r="G533" i="4"/>
  <c r="G517" i="4"/>
  <c r="G501" i="4"/>
  <c r="G485" i="4"/>
  <c r="G469" i="4"/>
  <c r="G453" i="4"/>
  <c r="G437" i="4"/>
  <c r="G421" i="4"/>
  <c r="G405" i="4"/>
  <c r="G389" i="4"/>
  <c r="G373" i="4"/>
  <c r="G357" i="4"/>
  <c r="G341" i="4"/>
  <c r="G325" i="4"/>
  <c r="G309" i="4"/>
  <c r="G293" i="4"/>
  <c r="G277" i="4"/>
  <c r="G261" i="4"/>
  <c r="G245" i="4"/>
  <c r="G229" i="4"/>
  <c r="G213" i="4"/>
  <c r="G197" i="4"/>
  <c r="G181" i="4"/>
  <c r="G165" i="4"/>
  <c r="G1198" i="4"/>
  <c r="G1175" i="4"/>
  <c r="G1104" i="4"/>
  <c r="G1081" i="4"/>
  <c r="G985" i="4"/>
  <c r="G1318" i="4"/>
  <c r="G1259" i="4"/>
  <c r="G1209" i="4"/>
  <c r="G1145" i="4"/>
  <c r="G1134" i="4"/>
  <c r="G1119" i="4"/>
  <c r="G1077" i="4"/>
  <c r="G1111" i="4"/>
  <c r="G1167" i="4"/>
  <c r="G1141" i="4"/>
  <c r="G1126" i="4"/>
  <c r="G1022" i="4"/>
  <c r="G998" i="4"/>
  <c r="G971" i="4"/>
  <c r="G954" i="4"/>
  <c r="G944" i="4"/>
  <c r="G931" i="4"/>
  <c r="G921" i="4"/>
  <c r="G885" i="4"/>
  <c r="G875" i="4"/>
  <c r="G862" i="4"/>
  <c r="G846" i="4"/>
  <c r="G830" i="4"/>
  <c r="G814" i="4"/>
  <c r="G798" i="4"/>
  <c r="G782" i="4"/>
  <c r="G766" i="4"/>
  <c r="G753" i="4"/>
  <c r="G737" i="4"/>
  <c r="G721" i="4"/>
  <c r="G705" i="4"/>
  <c r="G689" i="4"/>
  <c r="G673" i="4"/>
  <c r="G657" i="4"/>
  <c r="G641" i="4"/>
  <c r="G625" i="4"/>
  <c r="G609" i="4"/>
  <c r="G593" i="4"/>
  <c r="G577" i="4"/>
  <c r="G561" i="4"/>
  <c r="G545" i="4"/>
  <c r="G529" i="4"/>
  <c r="G513" i="4"/>
  <c r="G497" i="4"/>
  <c r="G481" i="4"/>
  <c r="G465" i="4"/>
  <c r="G449" i="4"/>
  <c r="G433" i="4"/>
  <c r="G417" i="4"/>
  <c r="G401" i="4"/>
  <c r="G385" i="4"/>
  <c r="G369" i="4"/>
  <c r="G353" i="4"/>
  <c r="G337" i="4"/>
  <c r="G321" i="4"/>
  <c r="G305" i="4"/>
  <c r="G289" i="4"/>
  <c r="G273" i="4"/>
  <c r="G257" i="4"/>
  <c r="G241" i="4"/>
  <c r="G225" i="4"/>
  <c r="G209" i="4"/>
  <c r="G193" i="4"/>
  <c r="G177" i="4"/>
  <c r="G1290" i="4"/>
  <c r="G1047" i="4"/>
  <c r="G1174" i="4"/>
  <c r="G1208" i="4"/>
  <c r="G1242" i="4"/>
  <c r="G1151" i="4"/>
  <c r="G1087" i="4"/>
  <c r="G1039" i="4"/>
  <c r="G1011" i="4"/>
  <c r="G950" i="4"/>
  <c r="G917" i="4"/>
  <c r="G907" i="4"/>
  <c r="G894" i="4"/>
  <c r="G871" i="4"/>
  <c r="G858" i="4"/>
  <c r="G842" i="4"/>
  <c r="G826" i="4"/>
  <c r="G810" i="4"/>
  <c r="G794" i="4"/>
  <c r="G778" i="4"/>
  <c r="G762" i="4"/>
  <c r="G749" i="4"/>
  <c r="G733" i="4"/>
  <c r="G717" i="4"/>
  <c r="G701" i="4"/>
  <c r="G685" i="4"/>
  <c r="G669" i="4"/>
  <c r="G653" i="4"/>
  <c r="G637" i="4"/>
  <c r="G621" i="4"/>
  <c r="G605" i="4"/>
  <c r="G589" i="4"/>
  <c r="G573" i="4"/>
  <c r="G557" i="4"/>
  <c r="G541" i="4"/>
  <c r="G525" i="4"/>
  <c r="G509" i="4"/>
  <c r="G493" i="4"/>
  <c r="G477" i="4"/>
  <c r="G461" i="4"/>
  <c r="G445" i="4"/>
  <c r="G429" i="4"/>
  <c r="G413" i="4"/>
  <c r="G397" i="4"/>
  <c r="G381" i="4"/>
  <c r="G365" i="4"/>
  <c r="G349" i="4"/>
  <c r="G333" i="4"/>
  <c r="G317" i="4"/>
  <c r="G173" i="4"/>
  <c r="G161" i="4"/>
  <c r="G301" i="4"/>
  <c r="G285" i="4"/>
  <c r="G269" i="4"/>
  <c r="G253" i="4"/>
  <c r="G237" i="4"/>
  <c r="G221" i="4"/>
  <c r="G189" i="4"/>
  <c r="G82" i="4"/>
  <c r="G163" i="4"/>
  <c r="G167" i="4"/>
  <c r="G171" i="4"/>
  <c r="G195" i="4"/>
  <c r="G199" i="4"/>
  <c r="G203" i="4"/>
  <c r="G66" i="4"/>
  <c r="G85" i="4"/>
  <c r="G140" i="4"/>
  <c r="G144" i="4"/>
  <c r="G159" i="4"/>
  <c r="G175" i="4"/>
  <c r="G191" i="4"/>
  <c r="G211" i="4"/>
  <c r="G215" i="4"/>
  <c r="G219" i="4"/>
  <c r="G243" i="4"/>
  <c r="G247" i="4"/>
  <c r="G251" i="4"/>
  <c r="G259" i="4"/>
  <c r="G263" i="4"/>
  <c r="G267" i="4"/>
  <c r="G307" i="4"/>
  <c r="G311" i="4"/>
  <c r="G315" i="4"/>
  <c r="G323" i="4"/>
  <c r="G327" i="4"/>
  <c r="G331" i="4"/>
  <c r="G339" i="4"/>
  <c r="G343" i="4"/>
  <c r="G347" i="4"/>
  <c r="G355" i="4"/>
  <c r="G359" i="4"/>
  <c r="G363" i="4"/>
  <c r="G371" i="4"/>
  <c r="G375" i="4"/>
  <c r="G379" i="4"/>
  <c r="G387" i="4"/>
  <c r="G391" i="4"/>
  <c r="G395" i="4"/>
  <c r="G403" i="4"/>
  <c r="G407" i="4"/>
  <c r="G411" i="4"/>
  <c r="G419" i="4"/>
  <c r="G423" i="4"/>
  <c r="G427" i="4"/>
  <c r="G435" i="4"/>
  <c r="G439" i="4"/>
  <c r="G443" i="4"/>
  <c r="G451" i="4"/>
  <c r="G455" i="4"/>
  <c r="G99" i="4"/>
  <c r="G119" i="4"/>
  <c r="G129" i="4"/>
  <c r="G148" i="4"/>
  <c r="G207" i="4"/>
  <c r="G223" i="4"/>
  <c r="G239" i="4"/>
  <c r="G287" i="4"/>
  <c r="G123" i="4"/>
  <c r="G152" i="4"/>
  <c r="G156" i="4"/>
  <c r="G162" i="4"/>
  <c r="G166" i="4"/>
  <c r="G170" i="4"/>
  <c r="G201" i="4"/>
  <c r="G288" i="4"/>
  <c r="G292" i="4"/>
  <c r="G296" i="4"/>
  <c r="G300" i="4"/>
  <c r="G760" i="4"/>
  <c r="G768" i="4"/>
  <c r="G772" i="4"/>
  <c r="G776" i="4"/>
  <c r="G784" i="4"/>
  <c r="G788" i="4"/>
  <c r="G792" i="4"/>
  <c r="G800" i="4"/>
  <c r="G804" i="4"/>
  <c r="G808" i="4"/>
  <c r="G816" i="4"/>
  <c r="G820" i="4"/>
  <c r="G824" i="4"/>
  <c r="G832" i="4"/>
  <c r="G836" i="4"/>
  <c r="G840" i="4"/>
  <c r="G848" i="4"/>
  <c r="G852" i="4"/>
  <c r="G856" i="4"/>
  <c r="G864" i="4"/>
  <c r="G868" i="4"/>
  <c r="G884" i="4"/>
  <c r="G900" i="4"/>
  <c r="G916" i="4"/>
  <c r="G928" i="4"/>
  <c r="G932" i="4"/>
  <c r="G948" i="4"/>
  <c r="G964" i="4"/>
  <c r="G980" i="4"/>
  <c r="G992" i="4"/>
  <c r="G1008" i="4"/>
  <c r="G1056"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620" i="4"/>
  <c r="G624" i="4"/>
  <c r="G628" i="4"/>
  <c r="G632" i="4"/>
  <c r="G636" i="4"/>
  <c r="G640" i="4"/>
  <c r="G644" i="4"/>
  <c r="G648" i="4"/>
  <c r="G652" i="4"/>
  <c r="G656" i="4"/>
  <c r="G660" i="4"/>
  <c r="G664" i="4"/>
  <c r="G668" i="4"/>
  <c r="G672" i="4"/>
  <c r="G676" i="4"/>
  <c r="G680" i="4"/>
  <c r="G684" i="4"/>
  <c r="G688" i="4"/>
  <c r="G692" i="4"/>
  <c r="G696" i="4"/>
  <c r="G700" i="4"/>
  <c r="G704" i="4"/>
  <c r="G708" i="4"/>
  <c r="G712" i="4"/>
  <c r="G716" i="4"/>
  <c r="G720" i="4"/>
  <c r="G724" i="4"/>
  <c r="G728" i="4"/>
  <c r="G732" i="4"/>
  <c r="G736" i="4"/>
  <c r="G740" i="4"/>
  <c r="G744" i="4"/>
  <c r="G748" i="4"/>
  <c r="G752" i="4"/>
  <c r="G756" i="4"/>
  <c r="G764" i="4"/>
  <c r="G780" i="4"/>
  <c r="G796" i="4"/>
  <c r="G812" i="4"/>
  <c r="G828" i="4"/>
  <c r="G844" i="4"/>
  <c r="G860" i="4"/>
  <c r="G920" i="4"/>
  <c r="G976" i="4"/>
  <c r="G194" i="4"/>
  <c r="G198" i="4"/>
  <c r="G202" i="4"/>
  <c r="G233" i="4"/>
  <c r="G872" i="4"/>
  <c r="G888" i="4"/>
  <c r="G904" i="4"/>
  <c r="G936" i="4"/>
  <c r="G968" i="4"/>
  <c r="G984" i="4"/>
  <c r="G1024" i="4"/>
  <c r="G1040" i="4"/>
  <c r="G1064" i="4"/>
  <c r="G1232" i="4"/>
  <c r="G1256" i="4"/>
  <c r="G210" i="4"/>
  <c r="G214" i="4"/>
  <c r="G218" i="4"/>
  <c r="G249" i="4"/>
  <c r="G226" i="4"/>
  <c r="G230" i="4"/>
  <c r="G234" i="4"/>
  <c r="G265" i="4"/>
  <c r="G761" i="4"/>
  <c r="G765" i="4"/>
  <c r="G769" i="4"/>
  <c r="G773" i="4"/>
  <c r="G777" i="4"/>
  <c r="G781" i="4"/>
  <c r="G785" i="4"/>
  <c r="G789" i="4"/>
  <c r="G793" i="4"/>
  <c r="G797" i="4"/>
  <c r="G801" i="4"/>
  <c r="G805" i="4"/>
  <c r="G809" i="4"/>
  <c r="G813" i="4"/>
  <c r="G817" i="4"/>
  <c r="G821" i="4"/>
  <c r="G825" i="4"/>
  <c r="G829" i="4"/>
  <c r="G833" i="4"/>
  <c r="G837" i="4"/>
  <c r="G841" i="4"/>
  <c r="G845" i="4"/>
  <c r="G849" i="4"/>
  <c r="G853" i="4"/>
  <c r="G857" i="4"/>
  <c r="G861" i="4"/>
  <c r="G869" i="4"/>
  <c r="G877" i="4"/>
  <c r="G893" i="4"/>
  <c r="G901" i="4"/>
  <c r="G905" i="4"/>
  <c r="G909" i="4"/>
  <c r="G925" i="4"/>
  <c r="G933" i="4"/>
  <c r="G937" i="4"/>
  <c r="G949" i="4"/>
  <c r="G957" i="4"/>
  <c r="G965" i="4"/>
  <c r="G973" i="4"/>
  <c r="G981" i="4"/>
  <c r="G1013" i="4"/>
  <c r="G1029" i="4"/>
  <c r="G179" i="4"/>
  <c r="G183" i="4"/>
  <c r="G187" i="4"/>
  <c r="G206" i="4"/>
  <c r="G242" i="4"/>
  <c r="G246" i="4"/>
  <c r="G250" i="4"/>
  <c r="G281" i="4"/>
  <c r="G873" i="4"/>
  <c r="G953" i="4"/>
  <c r="G997" i="4"/>
  <c r="G1001" i="4"/>
  <c r="G1017" i="4"/>
  <c r="G1049" i="4"/>
  <c r="G222" i="4"/>
  <c r="G258" i="4"/>
  <c r="G262" i="4"/>
  <c r="G266" i="4"/>
  <c r="G297" i="4"/>
  <c r="G941" i="4"/>
  <c r="G1205" i="4"/>
  <c r="G274" i="4"/>
  <c r="G278" i="4"/>
  <c r="G282" i="4"/>
  <c r="G313" i="4"/>
  <c r="G329" i="4"/>
  <c r="G345" i="4"/>
  <c r="G361" i="4"/>
  <c r="G377" i="4"/>
  <c r="G393" i="4"/>
  <c r="G409" i="4"/>
  <c r="G425" i="4"/>
  <c r="G441" i="4"/>
  <c r="G457" i="4"/>
  <c r="G473" i="4"/>
  <c r="G489" i="4"/>
  <c r="G505" i="4"/>
  <c r="G521" i="4"/>
  <c r="G537" i="4"/>
  <c r="G553" i="4"/>
  <c r="G569" i="4"/>
  <c r="G585" i="4"/>
  <c r="G601" i="4"/>
  <c r="G617" i="4"/>
  <c r="G633" i="4"/>
  <c r="G649" i="4"/>
  <c r="G665" i="4"/>
  <c r="G681" i="4"/>
  <c r="G697" i="4"/>
  <c r="G713" i="4"/>
  <c r="G729" i="4"/>
  <c r="G745" i="4"/>
  <c r="G227" i="4"/>
  <c r="G231" i="4"/>
  <c r="G235" i="4"/>
  <c r="G254" i="4"/>
  <c r="G290" i="4"/>
  <c r="G294" i="4"/>
  <c r="G298" i="4"/>
  <c r="G866" i="4"/>
  <c r="G870" i="4"/>
  <c r="G874" i="4"/>
  <c r="G878" i="4"/>
  <c r="G882" i="4"/>
  <c r="G886" i="4"/>
  <c r="G890" i="4"/>
  <c r="G898" i="4"/>
  <c r="G902" i="4"/>
  <c r="G906" i="4"/>
  <c r="G910" i="4"/>
  <c r="G922" i="4"/>
  <c r="G930" i="4"/>
  <c r="G934" i="4"/>
  <c r="G938" i="4"/>
  <c r="G958" i="4"/>
  <c r="G982" i="4"/>
  <c r="G1002" i="4"/>
  <c r="G1006" i="4"/>
  <c r="G1018" i="4"/>
  <c r="G1030" i="4"/>
  <c r="G1046" i="4"/>
  <c r="G1050" i="4"/>
  <c r="G1102" i="4"/>
  <c r="G390" i="4"/>
  <c r="G394" i="4"/>
  <c r="G402" i="4"/>
  <c r="G406" i="4"/>
  <c r="G410" i="4"/>
  <c r="G418" i="4"/>
  <c r="G422" i="4"/>
  <c r="G426" i="4"/>
  <c r="G434" i="4"/>
  <c r="G438" i="4"/>
  <c r="G442" i="4"/>
  <c r="G450" i="4"/>
  <c r="G454" i="4"/>
  <c r="G458" i="4"/>
  <c r="G466" i="4"/>
  <c r="G470" i="4"/>
  <c r="G474" i="4"/>
  <c r="G482" i="4"/>
  <c r="G486" i="4"/>
  <c r="G490" i="4"/>
  <c r="G498" i="4"/>
  <c r="G502" i="4"/>
  <c r="G506" i="4"/>
  <c r="G514" i="4"/>
  <c r="G518" i="4"/>
  <c r="G522" i="4"/>
  <c r="G530" i="4"/>
  <c r="G534" i="4"/>
  <c r="G538" i="4"/>
  <c r="G546" i="4"/>
  <c r="G550" i="4"/>
  <c r="G554" i="4"/>
  <c r="G562" i="4"/>
  <c r="G566" i="4"/>
  <c r="G570" i="4"/>
  <c r="G578" i="4"/>
  <c r="G582" i="4"/>
  <c r="G586" i="4"/>
  <c r="G594" i="4"/>
  <c r="G598" i="4"/>
  <c r="G602" i="4"/>
  <c r="G610" i="4"/>
  <c r="G614" i="4"/>
  <c r="G618" i="4"/>
  <c r="G626" i="4"/>
  <c r="G630" i="4"/>
  <c r="G634" i="4"/>
  <c r="G642" i="4"/>
  <c r="G646" i="4"/>
  <c r="G650" i="4"/>
  <c r="G658" i="4"/>
  <c r="G662" i="4"/>
  <c r="G666" i="4"/>
  <c r="G674" i="4"/>
  <c r="G678" i="4"/>
  <c r="G682" i="4"/>
  <c r="G690" i="4"/>
  <c r="G694" i="4"/>
  <c r="G698" i="4"/>
  <c r="G706" i="4"/>
  <c r="G710" i="4"/>
  <c r="G714" i="4"/>
  <c r="G718" i="4"/>
  <c r="G722" i="4"/>
  <c r="G726" i="4"/>
  <c r="G730" i="4"/>
  <c r="G734" i="4"/>
  <c r="G738" i="4"/>
  <c r="G742" i="4"/>
  <c r="G746" i="4"/>
  <c r="G750" i="4"/>
  <c r="G754" i="4"/>
  <c r="G758" i="4"/>
  <c r="G774" i="4"/>
  <c r="G790" i="4"/>
  <c r="G806" i="4"/>
  <c r="G822" i="4"/>
  <c r="G838" i="4"/>
  <c r="G854" i="4"/>
  <c r="G974" i="4"/>
  <c r="G986" i="4"/>
  <c r="G286" i="4"/>
  <c r="G914" i="4"/>
  <c r="G918" i="4"/>
  <c r="G1014" i="4"/>
  <c r="G212" i="4"/>
  <c r="G216" i="4"/>
  <c r="G220" i="4"/>
  <c r="G255" i="4"/>
  <c r="G275" i="4"/>
  <c r="G279" i="4"/>
  <c r="G283" i="4"/>
  <c r="G302" i="4"/>
  <c r="G318" i="4"/>
  <c r="G334" i="4"/>
  <c r="G350" i="4"/>
  <c r="G366" i="4"/>
  <c r="G382" i="4"/>
  <c r="G398" i="4"/>
  <c r="G414" i="4"/>
  <c r="G430" i="4"/>
  <c r="G446" i="4"/>
  <c r="G462" i="4"/>
  <c r="G478" i="4"/>
  <c r="G494" i="4"/>
  <c r="G510" i="4"/>
  <c r="G526" i="4"/>
  <c r="G542" i="4"/>
  <c r="G558" i="4"/>
  <c r="G574" i="4"/>
  <c r="G590" i="4"/>
  <c r="G606" i="4"/>
  <c r="G622" i="4"/>
  <c r="G638" i="4"/>
  <c r="G654" i="4"/>
  <c r="G670" i="4"/>
  <c r="G686" i="4"/>
  <c r="G702" i="4"/>
  <c r="G271" i="4"/>
  <c r="G291" i="4"/>
  <c r="G295" i="4"/>
  <c r="G299" i="4"/>
  <c r="G759" i="4"/>
  <c r="G767" i="4"/>
  <c r="G771" i="4"/>
  <c r="G775" i="4"/>
  <c r="G783" i="4"/>
  <c r="G787" i="4"/>
  <c r="G791" i="4"/>
  <c r="G795" i="4"/>
  <c r="G799" i="4"/>
  <c r="G803" i="4"/>
  <c r="G807" i="4"/>
  <c r="G811" i="4"/>
  <c r="G815" i="4"/>
  <c r="G819" i="4"/>
  <c r="G823" i="4"/>
  <c r="G827" i="4"/>
  <c r="G831" i="4"/>
  <c r="G835" i="4"/>
  <c r="G839" i="4"/>
  <c r="G843" i="4"/>
  <c r="G847" i="4"/>
  <c r="G851" i="4"/>
  <c r="G855" i="4"/>
  <c r="G859" i="4"/>
  <c r="G863" i="4"/>
  <c r="G879" i="4"/>
  <c r="G887" i="4"/>
  <c r="G891" i="4"/>
  <c r="G911" i="4"/>
  <c r="G923" i="4"/>
  <c r="G943" i="4"/>
  <c r="G955" i="4"/>
  <c r="G975" i="4"/>
  <c r="G983" i="4"/>
  <c r="G991" i="4"/>
  <c r="G1015" i="4"/>
  <c r="G1023" i="4"/>
  <c r="G1063" i="4"/>
  <c r="G459" i="4"/>
  <c r="G467" i="4"/>
  <c r="G471" i="4"/>
  <c r="G475" i="4"/>
  <c r="G483" i="4"/>
  <c r="G487" i="4"/>
  <c r="G491" i="4"/>
  <c r="G499" i="4"/>
  <c r="G503" i="4"/>
  <c r="G507" i="4"/>
  <c r="G515" i="4"/>
  <c r="G519" i="4"/>
  <c r="G523" i="4"/>
  <c r="G531" i="4"/>
  <c r="G535" i="4"/>
  <c r="G539" i="4"/>
  <c r="G547" i="4"/>
  <c r="G551" i="4"/>
  <c r="G555" i="4"/>
  <c r="G563" i="4"/>
  <c r="G567" i="4"/>
  <c r="G571" i="4"/>
  <c r="G579" i="4"/>
  <c r="G583" i="4"/>
  <c r="G587" i="4"/>
  <c r="G595" i="4"/>
  <c r="G599" i="4"/>
  <c r="G603" i="4"/>
  <c r="G611" i="4"/>
  <c r="G615" i="4"/>
  <c r="G619" i="4"/>
  <c r="G627" i="4"/>
  <c r="G631" i="4"/>
  <c r="G635" i="4"/>
  <c r="G643" i="4"/>
  <c r="G647" i="4"/>
  <c r="G651" i="4"/>
  <c r="G659" i="4"/>
  <c r="G663" i="4"/>
  <c r="G667" i="4"/>
  <c r="G675" i="4"/>
  <c r="G679" i="4"/>
  <c r="G683" i="4"/>
  <c r="G691" i="4"/>
  <c r="G695" i="4"/>
  <c r="G699" i="4"/>
  <c r="G707" i="4"/>
  <c r="G711" i="4"/>
  <c r="G715" i="4"/>
  <c r="G723" i="4"/>
  <c r="G727" i="4"/>
  <c r="G731" i="4"/>
  <c r="G739" i="4"/>
  <c r="G743" i="4"/>
  <c r="G747" i="4"/>
  <c r="G755" i="4"/>
  <c r="G903" i="4"/>
  <c r="G919" i="4"/>
  <c r="G967" i="4"/>
  <c r="G154" i="4"/>
  <c r="G169" i="4"/>
  <c r="G256" i="4"/>
  <c r="G260" i="4"/>
  <c r="G264" i="4"/>
  <c r="G268" i="4"/>
  <c r="G303" i="4"/>
  <c r="G319" i="4"/>
  <c r="G335" i="4"/>
  <c r="G351" i="4"/>
  <c r="G367" i="4"/>
  <c r="G383" i="4"/>
  <c r="G399" i="4"/>
  <c r="G415" i="4"/>
  <c r="G431" i="4"/>
  <c r="G447" i="4"/>
  <c r="G463" i="4"/>
  <c r="G479" i="4"/>
  <c r="G495" i="4"/>
  <c r="G511" i="4"/>
  <c r="G527" i="4"/>
  <c r="G543" i="4"/>
  <c r="G559" i="4"/>
  <c r="G575" i="4"/>
  <c r="G591" i="4"/>
  <c r="G607" i="4"/>
  <c r="G623" i="4"/>
  <c r="G639" i="4"/>
  <c r="G655" i="4"/>
  <c r="G671" i="4"/>
  <c r="G687" i="4"/>
  <c r="G703" i="4"/>
  <c r="G719" i="4"/>
  <c r="G735" i="4"/>
  <c r="G751" i="4"/>
  <c r="G763" i="4"/>
  <c r="G779" i="4"/>
  <c r="G895" i="4"/>
  <c r="G915" i="4"/>
  <c r="G927" i="4"/>
  <c r="G947" i="4"/>
  <c r="G951" i="4"/>
  <c r="G963" i="4"/>
  <c r="G979" i="4"/>
  <c r="G987" i="4"/>
  <c r="G995" i="4"/>
  <c r="G999" i="4"/>
  <c r="G1019" i="4"/>
  <c r="G1031" i="4"/>
  <c r="G1051" i="4"/>
  <c r="G1075" i="4"/>
  <c r="G1123" i="4"/>
  <c r="G1239" i="4"/>
  <c r="G132" i="4"/>
  <c r="G185" i="4"/>
  <c r="G272" i="4"/>
  <c r="G276" i="4"/>
  <c r="G280" i="4"/>
  <c r="G284" i="4"/>
  <c r="G865" i="4"/>
  <c r="G924" i="4"/>
  <c r="G1054" i="4"/>
  <c r="G1091" i="4"/>
  <c r="G1103" i="4"/>
  <c r="G1129" i="4"/>
  <c r="G1148" i="4"/>
  <c r="G1212" i="4"/>
  <c r="G1223" i="4"/>
  <c r="G1262" i="4"/>
  <c r="G1270" i="4"/>
  <c r="G1274" i="4"/>
  <c r="G1286" i="4"/>
  <c r="G1432" i="4"/>
  <c r="G1560" i="4"/>
  <c r="G1576" i="4"/>
  <c r="G1032" i="4"/>
  <c r="G1036" i="4"/>
  <c r="G1043" i="4"/>
  <c r="G1065" i="4"/>
  <c r="G1084" i="4"/>
  <c r="G1099" i="4"/>
  <c r="G1137" i="4"/>
  <c r="G1178" i="4"/>
  <c r="G1182" i="4"/>
  <c r="G1193" i="4"/>
  <c r="G1227" i="4"/>
  <c r="G1302" i="4"/>
  <c r="G1317" i="4"/>
  <c r="G1353" i="4"/>
  <c r="G908" i="4"/>
  <c r="G961" i="4"/>
  <c r="G978" i="4"/>
  <c r="G1005" i="4"/>
  <c r="G1012" i="4"/>
  <c r="G1062" i="4"/>
  <c r="G1073" i="4"/>
  <c r="G1088" i="4"/>
  <c r="G1156" i="4"/>
  <c r="G1159" i="4"/>
  <c r="G1190" i="4"/>
  <c r="G1235" i="4"/>
  <c r="G1247" i="4"/>
  <c r="G1255" i="4"/>
  <c r="G1306" i="4"/>
  <c r="G1369" i="4"/>
  <c r="G1385" i="4"/>
  <c r="G988" i="4"/>
  <c r="G1044" i="4"/>
  <c r="G1107" i="4"/>
  <c r="G1130" i="4"/>
  <c r="G1163" i="4"/>
  <c r="G1216" i="4"/>
  <c r="G1381" i="4"/>
  <c r="G1397" i="4"/>
  <c r="G1413" i="4"/>
  <c r="G1417" i="4"/>
  <c r="G1573" i="4"/>
  <c r="G892" i="4"/>
  <c r="G1026" i="4"/>
  <c r="G1033" i="4"/>
  <c r="G1055" i="4"/>
  <c r="G1066" i="4"/>
  <c r="G1096" i="4"/>
  <c r="G1149" i="4"/>
  <c r="G1152" i="4"/>
  <c r="G1213" i="4"/>
  <c r="G1224" i="4"/>
  <c r="G1236" i="4"/>
  <c r="G1263" i="4"/>
  <c r="G1279" i="4"/>
  <c r="G1322" i="4"/>
  <c r="G1334" i="4"/>
  <c r="G1338" i="4"/>
  <c r="G1350" i="4"/>
  <c r="G1354" i="4"/>
  <c r="G1429" i="4"/>
  <c r="G1445" i="4"/>
  <c r="G1589" i="4"/>
  <c r="G1605" i="4"/>
  <c r="G1621" i="4"/>
  <c r="G1637" i="4"/>
  <c r="G1009" i="4"/>
  <c r="G1037" i="4"/>
  <c r="G1085" i="4"/>
  <c r="G1115" i="4"/>
  <c r="G1138" i="4"/>
  <c r="G1164" i="4"/>
  <c r="G1171" i="4"/>
  <c r="G1183" i="4"/>
  <c r="G1202" i="4"/>
  <c r="G1221" i="4"/>
  <c r="G1295" i="4"/>
  <c r="G1303" i="4"/>
  <c r="G1366" i="4"/>
  <c r="G1370" i="4"/>
  <c r="G1382" i="4"/>
  <c r="G1386" i="4"/>
  <c r="G1398" i="4"/>
  <c r="G1414" i="4"/>
  <c r="C1460" i="4"/>
  <c r="F1460" i="4"/>
  <c r="E1460" i="4"/>
  <c r="G876" i="4"/>
  <c r="G945" i="4"/>
  <c r="G962" i="4"/>
  <c r="G972" i="4"/>
  <c r="G1074" i="4"/>
  <c r="G1089" i="4"/>
  <c r="G1093" i="4"/>
  <c r="G1127" i="4"/>
  <c r="G1142" i="4"/>
  <c r="G1206" i="4"/>
  <c r="G1248" i="4"/>
  <c r="G1267" i="4"/>
  <c r="G1283" i="4"/>
  <c r="G1287" i="4"/>
  <c r="G1402" i="4"/>
  <c r="G1016" i="4"/>
  <c r="G1041" i="4"/>
  <c r="G1045" i="4"/>
  <c r="G1048" i="4"/>
  <c r="G1116" i="4"/>
  <c r="G1229" i="4"/>
  <c r="G1240" i="4"/>
  <c r="G1299" i="4"/>
  <c r="G1434" i="4"/>
  <c r="G1562" i="4"/>
  <c r="G1578" i="4"/>
  <c r="G1594" i="4"/>
  <c r="G1610" i="4"/>
  <c r="G1642" i="4"/>
  <c r="G929" i="4"/>
  <c r="G1020" i="4"/>
  <c r="G1078" i="4"/>
  <c r="G1120" i="4"/>
  <c r="G1135" i="4"/>
  <c r="G1146" i="4"/>
  <c r="G1187" i="4"/>
  <c r="G1210" i="4"/>
  <c r="G1214" i="4"/>
  <c r="G1237" i="4"/>
  <c r="G1284" i="4"/>
  <c r="G1327" i="4"/>
  <c r="G1335" i="4"/>
  <c r="G1343" i="4"/>
  <c r="G1359" i="4"/>
  <c r="G1430" i="4"/>
  <c r="G1446" i="4"/>
  <c r="F1500" i="4"/>
  <c r="E1500" i="4"/>
  <c r="C1500" i="4"/>
  <c r="G1010" i="4"/>
  <c r="G1038" i="4"/>
  <c r="G1082" i="4"/>
  <c r="G1086" i="4"/>
  <c r="G1112" i="4"/>
  <c r="G1131" i="4"/>
  <c r="G1199" i="4"/>
  <c r="G1264" i="4"/>
  <c r="G1296" i="4"/>
  <c r="G1315" i="4"/>
  <c r="G1367" i="4"/>
  <c r="G1375" i="4"/>
  <c r="G1383" i="4"/>
  <c r="G1391" i="4"/>
  <c r="G1399" i="4"/>
  <c r="G1407" i="4"/>
  <c r="G913" i="4"/>
  <c r="G946" i="4"/>
  <c r="G993" i="4"/>
  <c r="G1027" i="4"/>
  <c r="G1060" i="4"/>
  <c r="G1071" i="4"/>
  <c r="G1154" i="4"/>
  <c r="G1207" i="4"/>
  <c r="G1241" i="4"/>
  <c r="G1253" i="4"/>
  <c r="G1280" i="4"/>
  <c r="G1288" i="4"/>
  <c r="G1347" i="4"/>
  <c r="G1431" i="4"/>
  <c r="G1559" i="4"/>
  <c r="G1591" i="4"/>
  <c r="G1639" i="4"/>
  <c r="G956" i="4"/>
  <c r="G1173" i="4"/>
  <c r="G1176" i="4"/>
  <c r="G1203" i="4"/>
  <c r="G1230" i="4"/>
  <c r="G1379" i="4"/>
  <c r="G897" i="4"/>
  <c r="G990" i="4"/>
  <c r="G1028" i="4"/>
  <c r="G1053" i="4"/>
  <c r="G1079" i="4"/>
  <c r="G1113" i="4"/>
  <c r="G1238" i="4"/>
  <c r="G1257" i="4"/>
  <c r="G1328" i="4"/>
  <c r="G1360" i="4"/>
  <c r="G1575" i="4"/>
  <c r="G1623" i="4"/>
  <c r="G970" i="4"/>
  <c r="G1000" i="4"/>
  <c r="G1106" i="4"/>
  <c r="G1125" i="4"/>
  <c r="G1166" i="4"/>
  <c r="G1200" i="4"/>
  <c r="G1285" i="4"/>
  <c r="G1289" i="4"/>
  <c r="G1376" i="4"/>
  <c r="G1392" i="4"/>
  <c r="G881" i="4"/>
  <c r="G940" i="4"/>
  <c r="G960" i="4"/>
  <c r="G977" i="4"/>
  <c r="G1004" i="4"/>
  <c r="G1061" i="4"/>
  <c r="G1072" i="4"/>
  <c r="G1110" i="4"/>
  <c r="G1147" i="4"/>
  <c r="G1189" i="4"/>
  <c r="G1246" i="4"/>
  <c r="G1269" i="4"/>
  <c r="G1320" i="4"/>
  <c r="G1352" i="4"/>
  <c r="F1515" i="4"/>
  <c r="E1515" i="4"/>
  <c r="C1515" i="4"/>
  <c r="G1095" i="4"/>
  <c r="G1114" i="4"/>
  <c r="G1118" i="4"/>
  <c r="G1155" i="4"/>
  <c r="G1219" i="4"/>
  <c r="G1231" i="4"/>
  <c r="G1258" i="4"/>
  <c r="G1301" i="4"/>
  <c r="G1384" i="4"/>
  <c r="G1552" i="4"/>
  <c r="G1568" i="4"/>
  <c r="G1584" i="4"/>
  <c r="G1616" i="4"/>
  <c r="G1181" i="4"/>
  <c r="G1188" i="4"/>
  <c r="G1294" i="4"/>
  <c r="G1325" i="4"/>
  <c r="G1346" i="4"/>
  <c r="G1356" i="4"/>
  <c r="G1377" i="4"/>
  <c r="G1412" i="4"/>
  <c r="G1426" i="4"/>
  <c r="G1444" i="4"/>
  <c r="F1470" i="4"/>
  <c r="E1470" i="4"/>
  <c r="C1530" i="4"/>
  <c r="F1530" i="4"/>
  <c r="G1565" i="4"/>
  <c r="G1619" i="4"/>
  <c r="G1634" i="4"/>
  <c r="F1545" i="4"/>
  <c r="E1545" i="4"/>
  <c r="C1545" i="4"/>
  <c r="G1551" i="4"/>
  <c r="G1569" i="4"/>
  <c r="G1612" i="4"/>
  <c r="G1641" i="4"/>
  <c r="G1645" i="4"/>
  <c r="G1277" i="4"/>
  <c r="G1298" i="4"/>
  <c r="G1308" i="4"/>
  <c r="G1329" i="4"/>
  <c r="G1374" i="4"/>
  <c r="G1405" i="4"/>
  <c r="C1546" i="4"/>
  <c r="F1546" i="4"/>
  <c r="G1587" i="4"/>
  <c r="G1598" i="4"/>
  <c r="G1620" i="4"/>
  <c r="G1649" i="4"/>
  <c r="G1653" i="4"/>
  <c r="G1657" i="4"/>
  <c r="G1661" i="4"/>
  <c r="G1665" i="4"/>
  <c r="G1673" i="4"/>
  <c r="G1677" i="4"/>
  <c r="G1681" i="4"/>
  <c r="G1685" i="4"/>
  <c r="G1689" i="4"/>
  <c r="G1693" i="4"/>
  <c r="G1697" i="4"/>
  <c r="G1701" i="4"/>
  <c r="G1705" i="4"/>
  <c r="G1709" i="4"/>
  <c r="G1713" i="4"/>
  <c r="G1717" i="4"/>
  <c r="G1721" i="4"/>
  <c r="G1725" i="4"/>
  <c r="G1729" i="4"/>
  <c r="G1733" i="4"/>
  <c r="G1737" i="4"/>
  <c r="G1741" i="4"/>
  <c r="G1745" i="4"/>
  <c r="G1749" i="4"/>
  <c r="G1753" i="4"/>
  <c r="G1757" i="4"/>
  <c r="G1761" i="4"/>
  <c r="G1765" i="4"/>
  <c r="G1769" i="4"/>
  <c r="G1773" i="4"/>
  <c r="G1777" i="4"/>
  <c r="G1781" i="4"/>
  <c r="G1785" i="4"/>
  <c r="G1789" i="4"/>
  <c r="G1793" i="4"/>
  <c r="G1797" i="4"/>
  <c r="G1801" i="4"/>
  <c r="G1805" i="4"/>
  <c r="G1809" i="4"/>
  <c r="G1813" i="4"/>
  <c r="G1817" i="4"/>
  <c r="G1821" i="4"/>
  <c r="G1825" i="4"/>
  <c r="G1829" i="4"/>
  <c r="G1837" i="4"/>
  <c r="G1841" i="4"/>
  <c r="G1845" i="4"/>
  <c r="G1853" i="4"/>
  <c r="G1857" i="4"/>
  <c r="G1861" i="4"/>
  <c r="G1869" i="4"/>
  <c r="G1873" i="4"/>
  <c r="G1877" i="4"/>
  <c r="G1885" i="4"/>
  <c r="G1889" i="4"/>
  <c r="G1893" i="4"/>
  <c r="G1897" i="4"/>
  <c r="G1069" i="4"/>
  <c r="G1076" i="4"/>
  <c r="G1185" i="4"/>
  <c r="G1250" i="4"/>
  <c r="G1260" i="4"/>
  <c r="G1364" i="4"/>
  <c r="G1423" i="4"/>
  <c r="G1437" i="4"/>
  <c r="C1471" i="4"/>
  <c r="F1486" i="4"/>
  <c r="E1486" i="4"/>
  <c r="F1516" i="4"/>
  <c r="E1516" i="4"/>
  <c r="F1531" i="4"/>
  <c r="E1531" i="4"/>
  <c r="C1531" i="4"/>
  <c r="E1546" i="4"/>
  <c r="G1580" i="4"/>
  <c r="G1602" i="4"/>
  <c r="G1631" i="4"/>
  <c r="G1025" i="4"/>
  <c r="G1042" i="4"/>
  <c r="G1052" i="4"/>
  <c r="G1117" i="4"/>
  <c r="G1124" i="4"/>
  <c r="G1233" i="4"/>
  <c r="G1281" i="4"/>
  <c r="G1326" i="4"/>
  <c r="G1357" i="4"/>
  <c r="G1378" i="4"/>
  <c r="G1388" i="4"/>
  <c r="G1409" i="4"/>
  <c r="G1441" i="4"/>
  <c r="E1471" i="4"/>
  <c r="G1555" i="4"/>
  <c r="G1566" i="4"/>
  <c r="G1588" i="4"/>
  <c r="G1609" i="4"/>
  <c r="G1669" i="4"/>
  <c r="G1833" i="4"/>
  <c r="G1849" i="4"/>
  <c r="G1865" i="4"/>
  <c r="G1881" i="4"/>
  <c r="G1090" i="4"/>
  <c r="G1100" i="4"/>
  <c r="G1165" i="4"/>
  <c r="G1172" i="4"/>
  <c r="G1316" i="4"/>
  <c r="F1465" i="4"/>
  <c r="E1465" i="4"/>
  <c r="C1465" i="4"/>
  <c r="E1476" i="4"/>
  <c r="F1532" i="4"/>
  <c r="E1532" i="4"/>
  <c r="F1547" i="4"/>
  <c r="E1547" i="4"/>
  <c r="C1547" i="4"/>
  <c r="G1570" i="4"/>
  <c r="G1613" i="4"/>
  <c r="G1646" i="4"/>
  <c r="G1220" i="4"/>
  <c r="G1278" i="4"/>
  <c r="G1309" i="4"/>
  <c r="G1330" i="4"/>
  <c r="G1340" i="4"/>
  <c r="G1361" i="4"/>
  <c r="G1406" i="4"/>
  <c r="G1427" i="4"/>
  <c r="C1466" i="4"/>
  <c r="F1466" i="4"/>
  <c r="F1502" i="4"/>
  <c r="E1502" i="4"/>
  <c r="G1556" i="4"/>
  <c r="G1577" i="4"/>
  <c r="G1599" i="4"/>
  <c r="G1617" i="4"/>
  <c r="G1635" i="4"/>
  <c r="G1650" i="4"/>
  <c r="G1654" i="4"/>
  <c r="G1658" i="4"/>
  <c r="G1662" i="4"/>
  <c r="G1666" i="4"/>
  <c r="G1670" i="4"/>
  <c r="G1678" i="4"/>
  <c r="G1682" i="4"/>
  <c r="G1686" i="4"/>
  <c r="G1694" i="4"/>
  <c r="G1698" i="4"/>
  <c r="G1702" i="4"/>
  <c r="G1710" i="4"/>
  <c r="G1714" i="4"/>
  <c r="G1718" i="4"/>
  <c r="G1726" i="4"/>
  <c r="G1730" i="4"/>
  <c r="G1734" i="4"/>
  <c r="G1742" i="4"/>
  <c r="G1746" i="4"/>
  <c r="G1750" i="4"/>
  <c r="G1758" i="4"/>
  <c r="G1762" i="4"/>
  <c r="G1766" i="4"/>
  <c r="G1778" i="4"/>
  <c r="G1782" i="4"/>
  <c r="G1790" i="4"/>
  <c r="G1794" i="4"/>
  <c r="G1798" i="4"/>
  <c r="G1806" i="4"/>
  <c r="G1810" i="4"/>
  <c r="G1814" i="4"/>
  <c r="G1826" i="4"/>
  <c r="G1830" i="4"/>
  <c r="G1842" i="4"/>
  <c r="G1846" i="4"/>
  <c r="G1858" i="4"/>
  <c r="G1862" i="4"/>
  <c r="G1874" i="4"/>
  <c r="G1878" i="4"/>
  <c r="G1890" i="4"/>
  <c r="G1894" i="4"/>
  <c r="G1898" i="4"/>
  <c r="G1121" i="4"/>
  <c r="G1186" i="4"/>
  <c r="G1196" i="4"/>
  <c r="G1261" i="4"/>
  <c r="G1268" i="4"/>
  <c r="G1396" i="4"/>
  <c r="G1420" i="4"/>
  <c r="G1438" i="4"/>
  <c r="G1452" i="4"/>
  <c r="E1466" i="4"/>
  <c r="C1502" i="4"/>
  <c r="F1548" i="4"/>
  <c r="E1548" i="4"/>
  <c r="G1581" i="4"/>
  <c r="G1628" i="4"/>
  <c r="G1774" i="4"/>
  <c r="G1822" i="4"/>
  <c r="G1169" i="4"/>
  <c r="G1234" i="4"/>
  <c r="G1244" i="4"/>
  <c r="G1282" i="4"/>
  <c r="G1292" i="4"/>
  <c r="G1313" i="4"/>
  <c r="G1358" i="4"/>
  <c r="G1389" i="4"/>
  <c r="G1410" i="4"/>
  <c r="G1428" i="4"/>
  <c r="G1442" i="4"/>
  <c r="F1481" i="4"/>
  <c r="E1481" i="4"/>
  <c r="C1481" i="4"/>
  <c r="F1518" i="4"/>
  <c r="E1518" i="4"/>
  <c r="G1567" i="4"/>
  <c r="G1585" i="4"/>
  <c r="G1636" i="4"/>
  <c r="G1674" i="4"/>
  <c r="G1690" i="4"/>
  <c r="G1706" i="4"/>
  <c r="G1722" i="4"/>
  <c r="G1738" i="4"/>
  <c r="G1754" i="4"/>
  <c r="G1770" i="4"/>
  <c r="G1786" i="4"/>
  <c r="G1802" i="4"/>
  <c r="G1818" i="4"/>
  <c r="G1834" i="4"/>
  <c r="G1850" i="4"/>
  <c r="G1866" i="4"/>
  <c r="G1882" i="4"/>
  <c r="G1101" i="4"/>
  <c r="G1108" i="4"/>
  <c r="G1217" i="4"/>
  <c r="G1348" i="4"/>
  <c r="F1467" i="4"/>
  <c r="E1467" i="4"/>
  <c r="C1467" i="4"/>
  <c r="C1482" i="4"/>
  <c r="F1482" i="4"/>
  <c r="C1503" i="4"/>
  <c r="G1603" i="4"/>
  <c r="G1614" i="4"/>
  <c r="G1647" i="4"/>
  <c r="G1265" i="4"/>
  <c r="G1310" i="4"/>
  <c r="G1341" i="4"/>
  <c r="G1362" i="4"/>
  <c r="G1372" i="4"/>
  <c r="G1393" i="4"/>
  <c r="E1482" i="4"/>
  <c r="F1534" i="4"/>
  <c r="E1534" i="4"/>
  <c r="G1553" i="4"/>
  <c r="G1596" i="4"/>
  <c r="G1618" i="4"/>
  <c r="G1655" i="4"/>
  <c r="G1659" i="4"/>
  <c r="G1667" i="4"/>
  <c r="G1671" i="4"/>
  <c r="G1683" i="4"/>
  <c r="G1687" i="4"/>
  <c r="G1699" i="4"/>
  <c r="G1703" i="4"/>
  <c r="G1715" i="4"/>
  <c r="G1719" i="4"/>
  <c r="G1731" i="4"/>
  <c r="G1735" i="4"/>
  <c r="G1747" i="4"/>
  <c r="G1751" i="4"/>
  <c r="G1763" i="4"/>
  <c r="G1767" i="4"/>
  <c r="G1779" i="4"/>
  <c r="G1783" i="4"/>
  <c r="G1795" i="4"/>
  <c r="G1799" i="4"/>
  <c r="G1811" i="4"/>
  <c r="G1815" i="4"/>
  <c r="G1827" i="4"/>
  <c r="G1831" i="4"/>
  <c r="G1843" i="4"/>
  <c r="G1847" i="4"/>
  <c r="G1859" i="4"/>
  <c r="G1875" i="4"/>
  <c r="G1891" i="4"/>
  <c r="G1895" i="4"/>
  <c r="G1899" i="4"/>
  <c r="G1057" i="4"/>
  <c r="G1122" i="4"/>
  <c r="G1132" i="4"/>
  <c r="G1197" i="4"/>
  <c r="G1204" i="4"/>
  <c r="G1300" i="4"/>
  <c r="G1421" i="4"/>
  <c r="G1439" i="4"/>
  <c r="C1453" i="4"/>
  <c r="F1468" i="4"/>
  <c r="E1468" i="4"/>
  <c r="F1497" i="4"/>
  <c r="E1497" i="4"/>
  <c r="C1497" i="4"/>
  <c r="G1571" i="4"/>
  <c r="G1582" i="4"/>
  <c r="G1604" i="4"/>
  <c r="G1625" i="4"/>
  <c r="G1629" i="4"/>
  <c r="G1105" i="4"/>
  <c r="G1170" i="4"/>
  <c r="G1180" i="4"/>
  <c r="G1245" i="4"/>
  <c r="G1252" i="4"/>
  <c r="G1293" i="4"/>
  <c r="G1314" i="4"/>
  <c r="G1324" i="4"/>
  <c r="G1345" i="4"/>
  <c r="G1390" i="4"/>
  <c r="G1425" i="4"/>
  <c r="F1453" i="4"/>
  <c r="C1468" i="4"/>
  <c r="F1483" i="4"/>
  <c r="E1483" i="4"/>
  <c r="C1483" i="4"/>
  <c r="C1498" i="4"/>
  <c r="F1498" i="4"/>
  <c r="E1519" i="4"/>
  <c r="E1524" i="4"/>
  <c r="G1564" i="4"/>
  <c r="G1586" i="4"/>
  <c r="G1633" i="4"/>
  <c r="G1755" i="4"/>
  <c r="G1771" i="4"/>
  <c r="G1787" i="4"/>
  <c r="G1803" i="4"/>
  <c r="G1819" i="4"/>
  <c r="G1835" i="4"/>
  <c r="G1851" i="4"/>
  <c r="G1863" i="4"/>
  <c r="G1867" i="4"/>
  <c r="G1879" i="4"/>
  <c r="G1883" i="4"/>
  <c r="G1153" i="4"/>
  <c r="G1218" i="4"/>
  <c r="G1228" i="4"/>
  <c r="G1380" i="4"/>
  <c r="F1454" i="4"/>
  <c r="E1454" i="4"/>
  <c r="F1513" i="4"/>
  <c r="E1513" i="4"/>
  <c r="C1513" i="4"/>
  <c r="F1524" i="4"/>
  <c r="G1550" i="4"/>
  <c r="G1572" i="4"/>
  <c r="G1593" i="4"/>
  <c r="G1615" i="4"/>
  <c r="G1644" i="4"/>
  <c r="G1092" i="4"/>
  <c r="G1201" i="4"/>
  <c r="G1266" i="4"/>
  <c r="G1276" i="4"/>
  <c r="G1297" i="4"/>
  <c r="G1342" i="4"/>
  <c r="G1373" i="4"/>
  <c r="G1394" i="4"/>
  <c r="G1404" i="4"/>
  <c r="G1411" i="4"/>
  <c r="G1443" i="4"/>
  <c r="C1454" i="4"/>
  <c r="F1484" i="4"/>
  <c r="E1484" i="4"/>
  <c r="C1514" i="4"/>
  <c r="F1514" i="4"/>
  <c r="E1540" i="4"/>
  <c r="G1554" i="4"/>
  <c r="G1597" i="4"/>
  <c r="G1652" i="4"/>
  <c r="G1656" i="4"/>
  <c r="G1660" i="4"/>
  <c r="G1664" i="4"/>
  <c r="G1668" i="4"/>
  <c r="G1676" i="4"/>
  <c r="G1680" i="4"/>
  <c r="G1684" i="4"/>
  <c r="G1692" i="4"/>
  <c r="G1696" i="4"/>
  <c r="G1700" i="4"/>
  <c r="G1708" i="4"/>
  <c r="G1712" i="4"/>
  <c r="G1716" i="4"/>
  <c r="G1724" i="4"/>
  <c r="G1728" i="4"/>
  <c r="G1732" i="4"/>
  <c r="G1740" i="4"/>
  <c r="G1744" i="4"/>
  <c r="G1748" i="4"/>
  <c r="G1756" i="4"/>
  <c r="G1760" i="4"/>
  <c r="G1764" i="4"/>
  <c r="G1772" i="4"/>
  <c r="G1776" i="4"/>
  <c r="G1780" i="4"/>
  <c r="G1788" i="4"/>
  <c r="G1792" i="4"/>
  <c r="G1796" i="4"/>
  <c r="G1804" i="4"/>
  <c r="G1808" i="4"/>
  <c r="G1812" i="4"/>
  <c r="G1820" i="4"/>
  <c r="G1824" i="4"/>
  <c r="G1828" i="4"/>
  <c r="G1836" i="4"/>
  <c r="G1840" i="4"/>
  <c r="G1844" i="4"/>
  <c r="G1852" i="4"/>
  <c r="G1856" i="4"/>
  <c r="G1860" i="4"/>
  <c r="G1868" i="4"/>
  <c r="G1872" i="4"/>
  <c r="G1876" i="4"/>
  <c r="G1884" i="4"/>
  <c r="G1888" i="4"/>
  <c r="G1892" i="4"/>
  <c r="G1896" i="4"/>
  <c r="G994" i="4"/>
  <c r="G1058" i="4"/>
  <c r="G1068" i="4"/>
  <c r="G1133" i="4"/>
  <c r="G1140" i="4"/>
  <c r="G1249" i="4"/>
  <c r="G1332" i="4"/>
  <c r="G1422" i="4"/>
  <c r="G1436" i="4"/>
  <c r="C1484" i="4"/>
  <c r="F1499" i="4"/>
  <c r="E1499" i="4"/>
  <c r="C1499" i="4"/>
  <c r="E1514" i="4"/>
  <c r="F1529" i="4"/>
  <c r="E1529" i="4"/>
  <c r="C1529" i="4"/>
  <c r="F1540" i="4"/>
  <c r="G1561" i="4"/>
  <c r="G1583" i="4"/>
  <c r="G1601" i="4"/>
  <c r="G1630" i="4"/>
  <c r="C1507" i="4"/>
  <c r="C1523" i="4"/>
  <c r="C1539" i="4"/>
  <c r="G1458" i="4" l="1"/>
  <c r="G1472" i="4"/>
  <c r="G1507" i="4"/>
  <c r="G1519" i="4"/>
  <c r="G1522" i="4"/>
  <c r="G1526" i="4"/>
  <c r="G1492" i="4"/>
  <c r="G1493" i="4"/>
  <c r="G1485" i="4"/>
  <c r="G1475" i="4"/>
  <c r="G1464" i="4"/>
  <c r="G1509" i="4"/>
  <c r="G1528" i="4"/>
  <c r="G1541" i="4"/>
  <c r="G1474" i="4"/>
  <c r="G1535" i="4"/>
  <c r="G1520" i="4"/>
  <c r="G1508" i="4"/>
  <c r="G1469" i="4"/>
  <c r="G1517" i="4"/>
  <c r="G1549" i="4"/>
  <c r="G1461" i="4"/>
  <c r="G1539" i="4"/>
  <c r="G1455" i="4"/>
  <c r="G1456" i="4"/>
  <c r="G1521" i="4"/>
  <c r="G1457" i="4"/>
  <c r="G1487" i="4"/>
  <c r="G1488" i="4"/>
  <c r="G1479" i="4"/>
  <c r="G1506" i="4"/>
  <c r="G1459" i="4"/>
  <c r="G1489" i="4"/>
  <c r="G1478" i="4"/>
  <c r="G1525" i="4"/>
  <c r="G1462" i="4"/>
  <c r="G1511" i="4"/>
  <c r="G1476" i="4"/>
  <c r="G1533" i="4"/>
  <c r="G1537" i="4"/>
  <c r="G1510" i="4"/>
  <c r="G1538" i="4"/>
  <c r="G1480" i="4"/>
  <c r="G1542" i="4"/>
  <c r="G1477" i="4"/>
  <c r="G1503" i="4"/>
  <c r="G1512" i="4"/>
  <c r="G1463" i="4"/>
  <c r="G1495" i="4"/>
  <c r="G1504" i="4"/>
  <c r="G1490" i="4"/>
  <c r="G1505" i="4"/>
  <c r="G1494" i="4"/>
  <c r="G1496" i="4"/>
  <c r="G1491" i="4"/>
  <c r="G1527" i="4"/>
  <c r="G1486" i="4"/>
  <c r="G1544" i="4"/>
  <c r="G1501" i="4"/>
  <c r="G1524" i="4"/>
  <c r="G1540" i="4"/>
  <c r="G1532" i="4"/>
  <c r="G1536" i="4"/>
  <c r="G1470" i="4"/>
  <c r="G1473" i="4"/>
  <c r="G1548" i="4"/>
  <c r="G1518" i="4"/>
  <c r="G1534" i="4"/>
  <c r="G1516" i="4"/>
  <c r="G1523" i="4"/>
  <c r="G1482" i="4"/>
  <c r="G1453" i="4"/>
  <c r="G1502" i="4"/>
  <c r="G1468" i="4"/>
  <c r="G1499" i="4"/>
  <c r="G1465" i="4"/>
  <c r="G1529" i="4"/>
  <c r="G1513" i="4"/>
  <c r="G1471" i="4"/>
  <c r="G1497" i="4"/>
  <c r="G1545" i="4"/>
  <c r="G1481" i="4"/>
  <c r="G1460" i="4"/>
  <c r="G1515" i="4"/>
  <c r="G1514" i="4"/>
  <c r="G1484" i="4"/>
  <c r="G1467" i="4"/>
  <c r="G1546" i="4"/>
  <c r="G1547" i="4"/>
  <c r="G1531" i="4"/>
  <c r="G1498" i="4"/>
  <c r="G1530" i="4"/>
  <c r="G1483" i="4"/>
  <c r="G1454" i="4"/>
  <c r="G1466" i="4"/>
  <c r="G1500" i="4"/>
</calcChain>
</file>

<file path=xl/sharedStrings.xml><?xml version="1.0" encoding="utf-8"?>
<sst xmlns="http://schemas.openxmlformats.org/spreadsheetml/2006/main" count="13744" uniqueCount="5972">
  <si>
    <t>CEST</t>
  </si>
  <si>
    <t>NCM</t>
  </si>
  <si>
    <t>Código para fórmula</t>
  </si>
  <si>
    <t>ST</t>
  </si>
  <si>
    <t>MVA</t>
  </si>
  <si>
    <t>Redução ICMS</t>
  </si>
  <si>
    <t>03.021.00</t>
  </si>
  <si>
    <t>NCM22030000</t>
  </si>
  <si>
    <t>03.022.00</t>
  </si>
  <si>
    <t>NCM22029100</t>
  </si>
  <si>
    <t>NCM21069010</t>
  </si>
  <si>
    <t>03.001.00</t>
  </si>
  <si>
    <t>NCM22011000</t>
  </si>
  <si>
    <t>03.006.00</t>
  </si>
  <si>
    <t>NCM22019000</t>
  </si>
  <si>
    <t>10.015.00</t>
  </si>
  <si>
    <t>NCM39251000</t>
  </si>
  <si>
    <t>06.001.00</t>
  </si>
  <si>
    <t>NCM22071010</t>
  </si>
  <si>
    <t>06.016.00</t>
  </si>
  <si>
    <t>NCM38260000</t>
  </si>
  <si>
    <t>06.002.00</t>
  </si>
  <si>
    <t>NCM27101259</t>
  </si>
  <si>
    <t>06.011.00</t>
  </si>
  <si>
    <t>NCM27111910</t>
  </si>
  <si>
    <t>06.014.00</t>
  </si>
  <si>
    <t>NCM27112990</t>
  </si>
  <si>
    <t>06.012.00</t>
  </si>
  <si>
    <t>NCM27111100</t>
  </si>
  <si>
    <t>06.013.00</t>
  </si>
  <si>
    <t>NCM27112100</t>
  </si>
  <si>
    <t>NCM22071090</t>
  </si>
  <si>
    <t>06.003.00</t>
  </si>
  <si>
    <t>NCM27101251</t>
  </si>
  <si>
    <t>06.005.00</t>
  </si>
  <si>
    <t>NCM27101911</t>
  </si>
  <si>
    <t>06.006.11</t>
  </si>
  <si>
    <t>NCM27101922</t>
  </si>
  <si>
    <t>06.004.00</t>
  </si>
  <si>
    <t>NCM27101919</t>
  </si>
  <si>
    <t>06.018.00</t>
  </si>
  <si>
    <t>NCM27102000</t>
  </si>
  <si>
    <t>25.001.00</t>
  </si>
  <si>
    <t>NCM87021000</t>
  </si>
  <si>
    <t>25.022.00</t>
  </si>
  <si>
    <t>NCM87022000</t>
  </si>
  <si>
    <t>25.023.00</t>
  </si>
  <si>
    <t>NCM87023000</t>
  </si>
  <si>
    <t>25.002.00</t>
  </si>
  <si>
    <t>NCM87024090</t>
  </si>
  <si>
    <t>25.024.00</t>
  </si>
  <si>
    <t>NCM87029000</t>
  </si>
  <si>
    <t>25.003.00</t>
  </si>
  <si>
    <t>NCM87032100</t>
  </si>
  <si>
    <t>25.004.00</t>
  </si>
  <si>
    <t>NCM87032210</t>
  </si>
  <si>
    <t>25.005.00</t>
  </si>
  <si>
    <t>NCM87032290</t>
  </si>
  <si>
    <t>25.006.00</t>
  </si>
  <si>
    <t>NCM87032310</t>
  </si>
  <si>
    <t>25.007.00</t>
  </si>
  <si>
    <t>NCM87032390</t>
  </si>
  <si>
    <t>25.008.00</t>
  </si>
  <si>
    <t>NCM87032410</t>
  </si>
  <si>
    <t>25.009.00</t>
  </si>
  <si>
    <t>NCM87032490</t>
  </si>
  <si>
    <t>25.010.00</t>
  </si>
  <si>
    <t>NCM87033210</t>
  </si>
  <si>
    <t>25.011.00</t>
  </si>
  <si>
    <t>NCM87033290</t>
  </si>
  <si>
    <t>25.012.00</t>
  </si>
  <si>
    <t>NCM87033310</t>
  </si>
  <si>
    <t>25.013.00</t>
  </si>
  <si>
    <t>NCM87033390</t>
  </si>
  <si>
    <t>25.025.00</t>
  </si>
  <si>
    <t>NCM87034000</t>
  </si>
  <si>
    <t>25.026.00</t>
  </si>
  <si>
    <t>NCM87035000</t>
  </si>
  <si>
    <t>25.027.00</t>
  </si>
  <si>
    <t>NCM87036000</t>
  </si>
  <si>
    <t>25.028.00</t>
  </si>
  <si>
    <t>NCM87037000</t>
  </si>
  <si>
    <t>25.029.00</t>
  </si>
  <si>
    <t>NCM87038000</t>
  </si>
  <si>
    <t>25.014.00</t>
  </si>
  <si>
    <t>NCM87042110</t>
  </si>
  <si>
    <t>25.015.00</t>
  </si>
  <si>
    <t>NCM87042120</t>
  </si>
  <si>
    <t>25.016.00</t>
  </si>
  <si>
    <t>NCM87042130</t>
  </si>
  <si>
    <t>25.017.00</t>
  </si>
  <si>
    <t>NCM87042190</t>
  </si>
  <si>
    <t>25.018.00</t>
  </si>
  <si>
    <t>NCM87043110</t>
  </si>
  <si>
    <t>25.019.00</t>
  </si>
  <si>
    <t>NCM87043120</t>
  </si>
  <si>
    <t>25.020.00</t>
  </si>
  <si>
    <t>NCM87043130</t>
  </si>
  <si>
    <t>25.021.00</t>
  </si>
  <si>
    <t>NCM87043190</t>
  </si>
  <si>
    <t>16.001.00</t>
  </si>
  <si>
    <t>NCM40111000</t>
  </si>
  <si>
    <t>16.003.00</t>
  </si>
  <si>
    <t>NCM40114000</t>
  </si>
  <si>
    <t>24.001.00</t>
  </si>
  <si>
    <t>24.003.00</t>
  </si>
  <si>
    <t>NCM82121020</t>
  </si>
  <si>
    <t>09.003.00</t>
  </si>
  <si>
    <t>NCM85041000</t>
  </si>
  <si>
    <t>09.005.00</t>
  </si>
  <si>
    <t>NCM85395000</t>
  </si>
  <si>
    <t>NCM85078000</t>
  </si>
  <si>
    <t>21.053.01</t>
  </si>
  <si>
    <t>NCM85171231</t>
  </si>
  <si>
    <t>21.063.00</t>
  </si>
  <si>
    <t>NCM85235200</t>
  </si>
  <si>
    <t>23.001.00</t>
  </si>
  <si>
    <t>23.002.00</t>
  </si>
  <si>
    <t>NCM21050012</t>
  </si>
  <si>
    <t>NCM27101932</t>
  </si>
  <si>
    <t>NCM82122010</t>
  </si>
  <si>
    <t>NCM85393100</t>
  </si>
  <si>
    <t>NCM85392200</t>
  </si>
  <si>
    <t>04.001.00</t>
  </si>
  <si>
    <t>NCM24022000</t>
  </si>
  <si>
    <t>04.002.00</t>
  </si>
  <si>
    <t>NCM24031900</t>
  </si>
  <si>
    <t>NCM85392190</t>
  </si>
  <si>
    <t>NCM27101931</t>
  </si>
  <si>
    <t>Código concatenado</t>
  </si>
  <si>
    <t>Movimento</t>
  </si>
  <si>
    <t>Natureza</t>
  </si>
  <si>
    <t>Destino</t>
  </si>
  <si>
    <t>Local</t>
  </si>
  <si>
    <t>CFOP</t>
  </si>
  <si>
    <t>Destaque de ST</t>
  </si>
  <si>
    <t>CST</t>
  </si>
  <si>
    <t>Saída</t>
  </si>
  <si>
    <t>Venda</t>
  </si>
  <si>
    <t>Revenda</t>
  </si>
  <si>
    <t>Intra</t>
  </si>
  <si>
    <t>nãoST</t>
  </si>
  <si>
    <t>Não</t>
  </si>
  <si>
    <t>Cons. Final</t>
  </si>
  <si>
    <t>Inter</t>
  </si>
  <si>
    <t>Sim</t>
  </si>
  <si>
    <t>Devolução</t>
  </si>
  <si>
    <t>Entradas</t>
  </si>
  <si>
    <t>Compra</t>
  </si>
  <si>
    <t>Produto</t>
  </si>
  <si>
    <t>ST?</t>
  </si>
  <si>
    <t>Alíquota</t>
  </si>
  <si>
    <t>Isenção</t>
  </si>
  <si>
    <t>NÃOST</t>
  </si>
  <si>
    <t>Fórmula PBI</t>
  </si>
  <si>
    <t>REDUÇÃO ECONET</t>
  </si>
  <si>
    <t>ISENÇÃO</t>
  </si>
  <si>
    <t>NÃO REDUÇÃO</t>
  </si>
  <si>
    <t>SEM ISENÇÃO</t>
  </si>
  <si>
    <t>REDUÇÃO</t>
  </si>
  <si>
    <t>ncm</t>
  </si>
  <si>
    <t>NCM84145990</t>
  </si>
  <si>
    <t>NCM08052100</t>
  </si>
  <si>
    <t>NCM07019000</t>
  </si>
  <si>
    <t>NCM02031900</t>
  </si>
  <si>
    <t>NCM08039000</t>
  </si>
  <si>
    <t>NCM38089419</t>
  </si>
  <si>
    <t>NCM08011200</t>
  </si>
  <si>
    <t>NCM22029900</t>
  </si>
  <si>
    <t>NCM11062000</t>
  </si>
  <si>
    <t>NCM07032090</t>
  </si>
  <si>
    <t>NCM08055000</t>
  </si>
  <si>
    <t>NCM19059090</t>
  </si>
  <si>
    <t>NCM16023210</t>
  </si>
  <si>
    <t>NCM36050000</t>
  </si>
  <si>
    <t>NCM04011010</t>
  </si>
  <si>
    <t>NCM04072100</t>
  </si>
  <si>
    <t>NCM04029900</t>
  </si>
  <si>
    <t>NCM04061090</t>
  </si>
  <si>
    <t>NCM04031000</t>
  </si>
  <si>
    <t>NCM15171000</t>
  </si>
  <si>
    <t>NCM04061010</t>
  </si>
  <si>
    <t>NCM02013000</t>
  </si>
  <si>
    <t>NCM09012100</t>
  </si>
  <si>
    <t>NCM15079011</t>
  </si>
  <si>
    <t>NCM07142000</t>
  </si>
  <si>
    <t>NCM20055100</t>
  </si>
  <si>
    <t>NCM08045010</t>
  </si>
  <si>
    <t>NCM21039021</t>
  </si>
  <si>
    <t>NCM04012090</t>
  </si>
  <si>
    <t>NCM02071100</t>
  </si>
  <si>
    <t>NCM08109015</t>
  </si>
  <si>
    <t>NCM21050010</t>
  </si>
  <si>
    <t>NCM08071900</t>
  </si>
  <si>
    <t>NCM08031000</t>
  </si>
  <si>
    <t>NCM21069090</t>
  </si>
  <si>
    <t>NCM48181000</t>
  </si>
  <si>
    <t>NCM04039000</t>
  </si>
  <si>
    <t>NCM33051000</t>
  </si>
  <si>
    <t>NCM19021900</t>
  </si>
  <si>
    <t>NCM19023000</t>
  </si>
  <si>
    <t>NCM19021100</t>
  </si>
  <si>
    <t>NCM96032100</t>
  </si>
  <si>
    <t>NCM07133399</t>
  </si>
  <si>
    <t>NCM10063021</t>
  </si>
  <si>
    <t>NCM96190000</t>
  </si>
  <si>
    <t>NCM03038953</t>
  </si>
  <si>
    <t>NCM17019900</t>
  </si>
  <si>
    <t>NCM28289011</t>
  </si>
  <si>
    <t>NCM07051900</t>
  </si>
  <si>
    <t>NCM96031000</t>
  </si>
  <si>
    <t>NCM34011900</t>
  </si>
  <si>
    <t>NCM04051000</t>
  </si>
  <si>
    <t>NCM33061000</t>
  </si>
  <si>
    <t>NCM02012020</t>
  </si>
  <si>
    <t>NCM34011190</t>
  </si>
  <si>
    <t>NCM07099919</t>
  </si>
  <si>
    <t>NCM04062000</t>
  </si>
  <si>
    <t>NCM11010010</t>
  </si>
  <si>
    <t>NCM11022000</t>
  </si>
  <si>
    <t>NCM28470000</t>
  </si>
  <si>
    <t>NCM20058000</t>
  </si>
  <si>
    <t>NCM21023000</t>
  </si>
  <si>
    <t>NCM34013000</t>
  </si>
  <si>
    <t>NCM22029000</t>
  </si>
  <si>
    <t>NCM02071400</t>
  </si>
  <si>
    <t>NCM07089000</t>
  </si>
  <si>
    <t>NCM04012010</t>
  </si>
  <si>
    <t>NCM25010020</t>
  </si>
  <si>
    <t>NCM63079090</t>
  </si>
  <si>
    <t>NCM02062200</t>
  </si>
  <si>
    <t>NCM35051000</t>
  </si>
  <si>
    <t>NCM07143000</t>
  </si>
  <si>
    <t>NCM22090000</t>
  </si>
  <si>
    <t>NCM10059010</t>
  </si>
  <si>
    <t>NCM39241000</t>
  </si>
  <si>
    <t>NCM22021000</t>
  </si>
  <si>
    <t>NCM02061000</t>
  </si>
  <si>
    <t>NCM03048990</t>
  </si>
  <si>
    <t>NCM11081400</t>
  </si>
  <si>
    <t>NCM33072010</t>
  </si>
  <si>
    <t>NCM04072900</t>
  </si>
  <si>
    <t>NCM17011400</t>
  </si>
  <si>
    <t>NCM02071300</t>
  </si>
  <si>
    <t>NCM33059000</t>
  </si>
  <si>
    <t>NCM21039091</t>
  </si>
  <si>
    <t>NCM09030090</t>
  </si>
  <si>
    <t>NCM21069029</t>
  </si>
  <si>
    <t>NCM04069020</t>
  </si>
  <si>
    <t>NCM02012010</t>
  </si>
  <si>
    <t>NCM21069021</t>
  </si>
  <si>
    <t>NCM03055100</t>
  </si>
  <si>
    <t>NCM02071200</t>
  </si>
  <si>
    <t>NCM03038955</t>
  </si>
  <si>
    <t>NCM39249000</t>
  </si>
  <si>
    <t>NCM17039000</t>
  </si>
  <si>
    <t>NCM33072090</t>
  </si>
  <si>
    <t>NCM08101000</t>
  </si>
  <si>
    <t>NCM07149000</t>
  </si>
  <si>
    <t>NCM15179010</t>
  </si>
  <si>
    <t>NCM15121911</t>
  </si>
  <si>
    <t>NCM02062990</t>
  </si>
  <si>
    <t>NCM03038963</t>
  </si>
  <si>
    <t>NCM21011110</t>
  </si>
  <si>
    <t>NCM09030010</t>
  </si>
  <si>
    <t>NCM03043100</t>
  </si>
  <si>
    <t>NCM09102000</t>
  </si>
  <si>
    <t>NCM15152910</t>
  </si>
  <si>
    <t>NCM10063011</t>
  </si>
  <si>
    <t>NCM12119090</t>
  </si>
  <si>
    <t>NCM07133319</t>
  </si>
  <si>
    <t>NCM25010011</t>
  </si>
  <si>
    <t>NCM03035300</t>
  </si>
  <si>
    <t>NCM03038961</t>
  </si>
  <si>
    <t>NCM03038990</t>
  </si>
  <si>
    <t>NCM95059000</t>
  </si>
  <si>
    <t>NCM04069010</t>
  </si>
  <si>
    <t>NCM20081900</t>
  </si>
  <si>
    <t>NCM04021000</t>
  </si>
  <si>
    <t>NCM34022000</t>
  </si>
  <si>
    <t>NCM33079000</t>
  </si>
  <si>
    <t>NCM03046100</t>
  </si>
  <si>
    <t>NCM39233000</t>
  </si>
  <si>
    <t>NCM02062100</t>
  </si>
  <si>
    <t>NCM07097000</t>
  </si>
  <si>
    <t>NCM04071900</t>
  </si>
  <si>
    <t>NCM25010090</t>
  </si>
  <si>
    <t>NCM07133590</t>
  </si>
  <si>
    <t>NCM20054000</t>
  </si>
  <si>
    <t>NCM03047400</t>
  </si>
  <si>
    <t>NCM33071000</t>
  </si>
  <si>
    <t>NCM15141910</t>
  </si>
  <si>
    <t>NCM02062910</t>
  </si>
  <si>
    <t>NCM02102000</t>
  </si>
  <si>
    <t>NCM20098921</t>
  </si>
  <si>
    <t>NCM44219900</t>
  </si>
  <si>
    <t>NCM29141100</t>
  </si>
  <si>
    <t>NCM93000000</t>
  </si>
  <si>
    <t>NCM04022000</t>
  </si>
  <si>
    <t>NCM15099090</t>
  </si>
  <si>
    <t>NCM09096210</t>
  </si>
  <si>
    <t>NCM56012110</t>
  </si>
  <si>
    <t>NCM39100012</t>
  </si>
  <si>
    <t>NCM20088000</t>
  </si>
  <si>
    <t>NCM19052099</t>
  </si>
  <si>
    <t>NCM04021090</t>
  </si>
  <si>
    <t>NCM20083000</t>
  </si>
  <si>
    <t>NCM20060000</t>
  </si>
  <si>
    <t>NCM04022111</t>
  </si>
  <si>
    <t>NCM15211000</t>
  </si>
  <si>
    <t>NCM16100000</t>
  </si>
  <si>
    <t>NCM21061000</t>
  </si>
  <si>
    <t>NCM16024100</t>
  </si>
  <si>
    <t>NCM09061100</t>
  </si>
  <si>
    <t>NCM35071000</t>
  </si>
  <si>
    <t>NCM56039290</t>
  </si>
  <si>
    <t>NCM68053010</t>
  </si>
  <si>
    <t>NCM21039029</t>
  </si>
  <si>
    <t>NCM16029000</t>
  </si>
  <si>
    <t>NCM34029031</t>
  </si>
  <si>
    <t>NCM21039019</t>
  </si>
  <si>
    <t>NCM48059100</t>
  </si>
  <si>
    <t>NCM11042200</t>
  </si>
  <si>
    <t>NCM33029090</t>
  </si>
  <si>
    <t>NCM85437020</t>
  </si>
  <si>
    <t>NCM85094010</t>
  </si>
  <si>
    <t>NCM96163000</t>
  </si>
  <si>
    <t>NCM85444900</t>
  </si>
  <si>
    <t>NCM07139010</t>
  </si>
  <si>
    <t>NCM20079100</t>
  </si>
  <si>
    <t>NCM10062020</t>
  </si>
  <si>
    <t>NCM85061011</t>
  </si>
  <si>
    <t>NCM23023010</t>
  </si>
  <si>
    <t>NCM21021090</t>
  </si>
  <si>
    <t>NCM85073011</t>
  </si>
  <si>
    <t>NCM19051000</t>
  </si>
  <si>
    <t>NCM84143019</t>
  </si>
  <si>
    <t>NCM02011000</t>
  </si>
  <si>
    <t>NCM11043000</t>
  </si>
  <si>
    <t>NCM15099010</t>
  </si>
  <si>
    <t>NCM34012010</t>
  </si>
  <si>
    <t>NCM69109000</t>
  </si>
  <si>
    <t>NCM29239050</t>
  </si>
  <si>
    <t>NCM38089999</t>
  </si>
  <si>
    <t>NCM07011000</t>
  </si>
  <si>
    <t>NCM02020202</t>
  </si>
  <si>
    <t>NCM33021000</t>
  </si>
  <si>
    <t>NCM11061000</t>
  </si>
  <si>
    <t>NCM16041600</t>
  </si>
  <si>
    <t>NCM04079000</t>
  </si>
  <si>
    <t>NCM28369913</t>
  </si>
  <si>
    <t>NCM39046910</t>
  </si>
  <si>
    <t>NCM02031200</t>
  </si>
  <si>
    <t>NCM11051000</t>
  </si>
  <si>
    <t>NCM11031300</t>
  </si>
  <si>
    <t>NCM38140090</t>
  </si>
  <si>
    <t>NCM52083200</t>
  </si>
  <si>
    <t>NCM07104000</t>
  </si>
  <si>
    <t>NCM39234000</t>
  </si>
  <si>
    <t>NCM23069090</t>
  </si>
  <si>
    <t>NCM96162000</t>
  </si>
  <si>
    <t>NCM30049099</t>
  </si>
  <si>
    <t>NCM61159600</t>
  </si>
  <si>
    <t>NCM20071000</t>
  </si>
  <si>
    <t>NCM11081900</t>
  </si>
  <si>
    <t>NCM48054010</t>
  </si>
  <si>
    <t>NCM76071110</t>
  </si>
  <si>
    <t>NCM38089411</t>
  </si>
  <si>
    <t>NCM89039200</t>
  </si>
  <si>
    <t>NCM34070010</t>
  </si>
  <si>
    <t>NCM02050000</t>
  </si>
  <si>
    <t>NCM85167100</t>
  </si>
  <si>
    <t>NCM38089919</t>
  </si>
  <si>
    <t>NCM64019200</t>
  </si>
  <si>
    <t>NCM22083090</t>
  </si>
  <si>
    <t>NCM90112010</t>
  </si>
  <si>
    <t>NCM84099921</t>
  </si>
  <si>
    <t>NCM10063029</t>
  </si>
  <si>
    <t>NCM09022000</t>
  </si>
  <si>
    <t>NCM38084010</t>
  </si>
  <si>
    <t>NCM48115122</t>
  </si>
  <si>
    <t>NCM87168000</t>
  </si>
  <si>
    <t>NCM21032090</t>
  </si>
  <si>
    <t>NCM84212100</t>
  </si>
  <si>
    <t>NCM28332100</t>
  </si>
  <si>
    <t>NCM28061020</t>
  </si>
  <si>
    <t>NCM48064000</t>
  </si>
  <si>
    <t>NCM15111000</t>
  </si>
  <si>
    <t>NCM94041000</t>
  </si>
  <si>
    <t>NCM30059019</t>
  </si>
  <si>
    <t>NCM85065010</t>
  </si>
  <si>
    <t>NCM03027100</t>
  </si>
  <si>
    <t>NCM12584785</t>
  </si>
  <si>
    <t>NCM84811000</t>
  </si>
  <si>
    <t>NCM85061019</t>
  </si>
  <si>
    <t>NCM34021300</t>
  </si>
  <si>
    <t>NCM08111000</t>
  </si>
  <si>
    <t>NCM08012200</t>
  </si>
  <si>
    <t>NCM85365090</t>
  </si>
  <si>
    <t>NCM39039010</t>
  </si>
  <si>
    <t>NCM29309041</t>
  </si>
  <si>
    <t>NCM71171900</t>
  </si>
  <si>
    <t>NCM58061000</t>
  </si>
  <si>
    <t>NCM30059090</t>
  </si>
  <si>
    <t>NCM96082000</t>
  </si>
  <si>
    <t>NCM12141000</t>
  </si>
  <si>
    <t>NCM03059000</t>
  </si>
  <si>
    <t>NCM28352600</t>
  </si>
  <si>
    <t>NCM84382090</t>
  </si>
  <si>
    <t>NCM73181500</t>
  </si>
  <si>
    <t>NCM09095000</t>
  </si>
  <si>
    <t>NCM73259910</t>
  </si>
  <si>
    <t>NCM20005200</t>
  </si>
  <si>
    <t>NCM73102190</t>
  </si>
  <si>
    <t>NCM48025499</t>
  </si>
  <si>
    <t>NCM29214100</t>
  </si>
  <si>
    <t>NCM07112090</t>
  </si>
  <si>
    <t>NCM27101999</t>
  </si>
  <si>
    <t>NCM10082990</t>
  </si>
  <si>
    <t>NCM09093000</t>
  </si>
  <si>
    <t>NCM85369020</t>
  </si>
  <si>
    <t>NCM32041100</t>
  </si>
  <si>
    <t>NCM38249941</t>
  </si>
  <si>
    <t>NCM76161000</t>
  </si>
  <si>
    <t>NCM38089429</t>
  </si>
  <si>
    <t>NCM22042211</t>
  </si>
  <si>
    <t>NCM69111090</t>
  </si>
  <si>
    <t>NCM87089990</t>
  </si>
  <si>
    <t>NCM44199000</t>
  </si>
  <si>
    <t>NCM84231000</t>
  </si>
  <si>
    <t>NCM97019000</t>
  </si>
  <si>
    <t>NCM08021200</t>
  </si>
  <si>
    <t>NCM06039000</t>
  </si>
  <si>
    <t>NCM08135000</t>
  </si>
  <si>
    <t>NCM84729040</t>
  </si>
  <si>
    <t>NCM94051099</t>
  </si>
  <si>
    <t>NCM12019000</t>
  </si>
  <si>
    <t>NCM76169900</t>
  </si>
  <si>
    <t>NCM82119390</t>
  </si>
  <si>
    <t>NCM44189000</t>
  </si>
  <si>
    <t>NCM41141000</t>
  </si>
  <si>
    <t> Descrição</t>
  </si>
  <si>
    <t>-</t>
  </si>
  <si>
    <t/>
  </si>
  <si>
    <t>Preservativo</t>
  </si>
  <si>
    <t>Insumos agropecuários: enzima preparada para decomposição de matéria orgânica animal</t>
  </si>
  <si>
    <t>ncm08044000</t>
  </si>
  <si>
    <t>Abacate</t>
  </si>
  <si>
    <t>ncm08043000</t>
  </si>
  <si>
    <t>Abacaxi</t>
  </si>
  <si>
    <t>ncm07099090</t>
  </si>
  <si>
    <t>Outros produtos hortícolas, frescos ou refrigerados</t>
  </si>
  <si>
    <t>ncm07099300</t>
  </si>
  <si>
    <t>Abobora</t>
  </si>
  <si>
    <t>ncm07099000</t>
  </si>
  <si>
    <t>Acelga</t>
  </si>
  <si>
    <t>Alface</t>
  </si>
  <si>
    <t>ncm07051900</t>
  </si>
  <si>
    <t>Ameixa</t>
  </si>
  <si>
    <t>ncm08030000</t>
  </si>
  <si>
    <t>Banana</t>
  </si>
  <si>
    <t>ncm07101000</t>
  </si>
  <si>
    <t>Batata</t>
  </si>
  <si>
    <t>ncm07093000</t>
  </si>
  <si>
    <t>Berinjela</t>
  </si>
  <si>
    <t>ncm06049100</t>
  </si>
  <si>
    <t>0604 - Folhagem, folhas, ramos e outras partes de plantas, sem flores nem botões de flores, e ervas, musgos e líquens, para buquês ou para ornamentação, frescos, secos, branqueados, tingidos, impregnados ou preparados de outro modo / outros / frecos</t>
  </si>
  <si>
    <t>ncm07041000</t>
  </si>
  <si>
    <t>Brocolis</t>
  </si>
  <si>
    <t>ncm08107000</t>
  </si>
  <si>
    <t>Caqui</t>
  </si>
  <si>
    <t>ncm07049000</t>
  </si>
  <si>
    <t>Catalonia</t>
  </si>
  <si>
    <t>Cebola</t>
  </si>
  <si>
    <t>ncm07061000</t>
  </si>
  <si>
    <t>Cenoura</t>
  </si>
  <si>
    <t>ncm08081000</t>
  </si>
  <si>
    <t>Cereja</t>
  </si>
  <si>
    <t>ncm07052900</t>
  </si>
  <si>
    <t>Chicoria</t>
  </si>
  <si>
    <t>ncm07139090</t>
  </si>
  <si>
    <t>Chuchu</t>
  </si>
  <si>
    <t>ncm07099990</t>
  </si>
  <si>
    <t>Coentro</t>
  </si>
  <si>
    <t>ncm07103000</t>
  </si>
  <si>
    <t>Espinafre</t>
  </si>
  <si>
    <t>ncm06039000</t>
  </si>
  <si>
    <t>Flor</t>
  </si>
  <si>
    <t>ncm06031400</t>
  </si>
  <si>
    <t>ncm06012000</t>
  </si>
  <si>
    <t>ncm09101000</t>
  </si>
  <si>
    <t>Gengibre</t>
  </si>
  <si>
    <t>ncm09101100</t>
  </si>
  <si>
    <t>Goiaba</t>
  </si>
  <si>
    <t>ncm08105000</t>
  </si>
  <si>
    <t>Kiwi</t>
  </si>
  <si>
    <t>ncm08051000</t>
  </si>
  <si>
    <t>Laranjas</t>
  </si>
  <si>
    <t>ncm08072000</t>
  </si>
  <si>
    <t>Mamao</t>
  </si>
  <si>
    <t>ncm07141000</t>
  </si>
  <si>
    <t>Mandioca</t>
  </si>
  <si>
    <t>ncm08045020</t>
  </si>
  <si>
    <t>Manga</t>
  </si>
  <si>
    <t>Maracuja</t>
  </si>
  <si>
    <t>ncm08071100</t>
  </si>
  <si>
    <t>Melancia</t>
  </si>
  <si>
    <t>ncm08052100</t>
  </si>
  <si>
    <t>Mexerica (mandarinas)</t>
  </si>
  <si>
    <t>Milho</t>
  </si>
  <si>
    <t>ncm08093020</t>
  </si>
  <si>
    <t>Nectarina</t>
  </si>
  <si>
    <t>Ovos</t>
  </si>
  <si>
    <t>ncm07070000</t>
  </si>
  <si>
    <t>Pepino</t>
  </si>
  <si>
    <t>ncm08083000</t>
  </si>
  <si>
    <t>Pera</t>
  </si>
  <si>
    <t>ncm08093010</t>
  </si>
  <si>
    <t>Pessego</t>
  </si>
  <si>
    <t>ncm07039090</t>
  </si>
  <si>
    <t>Pimenta</t>
  </si>
  <si>
    <t>ncm07096000</t>
  </si>
  <si>
    <t>Pimentao</t>
  </si>
  <si>
    <t>ncm07069000</t>
  </si>
  <si>
    <t>Rabanete</t>
  </si>
  <si>
    <t>ncm07031019</t>
  </si>
  <si>
    <t>Salsa</t>
  </si>
  <si>
    <t>ncm07020000</t>
  </si>
  <si>
    <t>Tomate</t>
  </si>
  <si>
    <t>ncm08061000</t>
  </si>
  <si>
    <t>Uva</t>
  </si>
  <si>
    <t>Batata inglesa</t>
  </si>
  <si>
    <t>banana Maça</t>
  </si>
  <si>
    <t>limão</t>
  </si>
  <si>
    <t>batata doce</t>
  </si>
  <si>
    <t>Melão</t>
  </si>
  <si>
    <t>Banana terra</t>
  </si>
  <si>
    <t>Vagem</t>
  </si>
  <si>
    <t>Inhame</t>
  </si>
  <si>
    <t>Morango</t>
  </si>
  <si>
    <t>Açafrao</t>
  </si>
  <si>
    <t>NCM07051100</t>
  </si>
  <si>
    <t>CHEIRO VERDE</t>
  </si>
  <si>
    <t>NCM08119000</t>
  </si>
  <si>
    <t>Raízes de mandioca</t>
  </si>
  <si>
    <t>Ovo</t>
  </si>
  <si>
    <t>Plantas</t>
  </si>
  <si>
    <t>NCM06031300</t>
  </si>
  <si>
    <t>NCM06031900</t>
  </si>
  <si>
    <t>NCM06029029</t>
  </si>
  <si>
    <t>NCM12099100</t>
  </si>
  <si>
    <t>NCM06029090</t>
  </si>
  <si>
    <t>NCM06031100</t>
  </si>
  <si>
    <t>NCM04014010</t>
  </si>
  <si>
    <t>NCM08094000</t>
  </si>
  <si>
    <t>NCM09092100</t>
  </si>
  <si>
    <t>NCM06024000</t>
  </si>
  <si>
    <t>NCM06023000</t>
  </si>
  <si>
    <t>Operações</t>
  </si>
  <si>
    <t>Redução Aplicável</t>
  </si>
  <si>
    <t>Base Legal da Redução</t>
  </si>
  <si>
    <t>Observação 1</t>
  </si>
  <si>
    <t>Observação 2</t>
  </si>
  <si>
    <t>Observação 3</t>
  </si>
  <si>
    <t>Observação 4</t>
  </si>
  <si>
    <t>Observação 5</t>
  </si>
  <si>
    <t>Observação 6</t>
  </si>
  <si>
    <t>Observação 7</t>
  </si>
  <si>
    <t>Observação 8</t>
  </si>
  <si>
    <t>Observação 9</t>
  </si>
  <si>
    <t>Observação 10</t>
  </si>
  <si>
    <t>Observação 11</t>
  </si>
  <si>
    <t>Observação 12</t>
  </si>
  <si>
    <t>Observação 13</t>
  </si>
  <si>
    <t>Observação 14</t>
  </si>
  <si>
    <t>Observação 15</t>
  </si>
  <si>
    <t>Vide observações</t>
  </si>
  <si>
    <t>Manutenção do crédito do imposto em relação às entradas.</t>
  </si>
  <si>
    <t>Interestaduais</t>
  </si>
  <si>
    <t>Internas</t>
  </si>
  <si>
    <t>Carga tributária de 9%</t>
  </si>
  <si>
    <t>Artigo 8º, inciso XXXIV, do Anexo IX do RCTE/GO</t>
  </si>
  <si>
    <t>A redução de base de cálculo aplica-se na saída interna com fralda descartável, produzida no Estado de Goiás, classificada nos códigos 4818.40.10, 5601.10.00, 6111.20.00, 6111.90.00 e 6209 da NBM/SH vigente em 31.12.96.</t>
  </si>
  <si>
    <t>Este benefício fiscal foi reinstituído pelo Estado de Goiás através da Lei nº 20.367/2018, devendo a sua fruição limitar-se aos prazos máximos de que trata a cláusula décima do Convênio ICMS 190/2017.</t>
  </si>
  <si>
    <t>Benefício válido até 31.10.2020, conforme disposto no Artigo 9º, §1º, do anexo IX do RCTE/GO.</t>
  </si>
  <si>
    <t>Carga tributária de 12%</t>
  </si>
  <si>
    <t>Internas e interestaduais</t>
  </si>
  <si>
    <t>Carga tributária de 8,80%</t>
  </si>
  <si>
    <t>Artigo 9º, inciso I, alínea "a", do Anexo IX do RCTE/GO</t>
  </si>
  <si>
    <t>Deve ser observado que, para efeito de exigência do ICMS devido em razão do diferencial de alíquotas, a base de cálculo deve ser reduzida de forma tal que a carga tributária total corresponda ao percentual previsto para a respectiva operação interna.</t>
  </si>
  <si>
    <t>Benefício válido até 31.12.2020.</t>
  </si>
  <si>
    <t>A fruição deste benefício fiscal está condicionada a que o contribuinte efetue o recolhimento em favor do Fundo de Proteção Social do Estado de Goiás (PROTEGE GOIÁS), de 15% da diferença entre o valor do imposto calculado com aplicação da tributação integral e o calculado com utilização de benefício fiscal, conforme previsto no Artigo 1º,</t>
  </si>
  <si>
    <t>§3º, inciso I, alínea "b", do Anexo IX do RCTE/GO.</t>
  </si>
  <si>
    <t>Carga tributária de 7%</t>
  </si>
  <si>
    <t>Artigo 8º, inciso XXXIII, do Anexo IX do RCTE/GO</t>
  </si>
  <si>
    <t>Redução de 60%</t>
  </si>
  <si>
    <t>Artigo 9º, inciso I, alínea "b", do Anexo IX do RCTE/GO</t>
  </si>
  <si>
    <t>Nas operações internas, a base de cálculo será reduzida de modo que a carga tributária resulte 5,60%.</t>
  </si>
  <si>
    <t>Nas operações interestaduais, a base de cálculo será reduzida de modo que a carga tributária resulte 7%.</t>
  </si>
  <si>
    <t>NCM61112000</t>
  </si>
  <si>
    <t>Vestuário e seus acessórios, de malha, para bebês, de algodão</t>
  </si>
  <si>
    <t>NCM69041000</t>
  </si>
  <si>
    <t>Carga tributária de 12,85%</t>
  </si>
  <si>
    <t>Tijolo cerâmico, não esmaltado nem vitrificado</t>
  </si>
  <si>
    <t>Artigo 9º, inciso V, alínea "a", do Anexo IX do RCTE/GO</t>
  </si>
  <si>
    <t>NCM69049000</t>
  </si>
  <si>
    <t>Tijoleira (peça oca para teto e pavimento) e tapa-viga (complemento da tijoleira) de cerâmica não esmaltada nem vitrificada</t>
  </si>
  <si>
    <t>Artigo 9º, inciso V, alínea "b", do Anexo IX do RCTE/GO</t>
  </si>
  <si>
    <t>NCM69051000</t>
  </si>
  <si>
    <t>Telha cerâmica, não esmaltada nem vitrificada</t>
  </si>
  <si>
    <t>Artigo 9º, inciso V, alínea "c", do Anexo IX do RCTE/GO</t>
  </si>
  <si>
    <t>NCM73071920</t>
  </si>
  <si>
    <t>Máquinas, aparelhos e equipamentos industriais: Cabeça de poço para perfuração de poços de petróleo</t>
  </si>
  <si>
    <t>Produto constante do item 1 do Apêndice V do Anexo IX do RCTE/GO.</t>
  </si>
  <si>
    <t>NCM73090090</t>
  </si>
  <si>
    <t>Máquinas e equipamentos rodoviários: sistema de aquecimento de asfalto e combustível (tancagem)</t>
  </si>
  <si>
    <t>Artigo 8º, inciso XXVII, do Anexo IX do RCTE/GO</t>
  </si>
  <si>
    <t>Produto constante no item 21 do Apêndice XII do Anexo IX do RCTE/GO.</t>
  </si>
  <si>
    <t>NCM82071900</t>
  </si>
  <si>
    <t>Máquinas, aparelhos e equipamentos industriais: Brocas</t>
  </si>
  <si>
    <t>Produto constante do item 3 do Apêndice V do Anexo IX do RCTE/GO.</t>
  </si>
  <si>
    <t>NCM82073000</t>
  </si>
  <si>
    <t>Máquinas, aparelhos e equipamentos industriais: Ferramentas de embutir, de estampar ou de puncionar</t>
  </si>
  <si>
    <t>Produto constante do item 2 do Apêndice V do Anexo IX do RCTE/GO.</t>
  </si>
  <si>
    <t>NCM84021100</t>
  </si>
  <si>
    <t>Máquinas, aparelhos e equipamentos industriais: Caldeiras aquatubulares com produção de vapor superior a 45 toneladas por hora</t>
  </si>
  <si>
    <t>Produto constante do item 4.1 do Apêndice V do Anexo IX do RCTE/GO.</t>
  </si>
  <si>
    <t>NCM84021200</t>
  </si>
  <si>
    <t>Máquinas, aparelhos e equipamentos industriais: Caldeiras aquatubulares com produção de vapor não superior a 45 toneladas por hora</t>
  </si>
  <si>
    <t>Produto constante do item 4.2 do Apêndice V do Anexo IX do RCTE/GO.</t>
  </si>
  <si>
    <t>NCM84021900</t>
  </si>
  <si>
    <t>Máquinas, aparelhos e equipamentos industriais: Outras caldeiras para produção de vapor, incluídas as caldeiras mistas</t>
  </si>
  <si>
    <t>Produto constante do item 4.3 do Apêndice V do Anexo IX do RCTE/GO.</t>
  </si>
  <si>
    <t>NCM84022000</t>
  </si>
  <si>
    <t>Máquinas, aparelhos e equipamentos industriais: Caldeiras denominadas 'de água superaquecida'</t>
  </si>
  <si>
    <t>Produto constante do item 4.4 do Apêndice V do Anexo IX do RCTE/GO.</t>
  </si>
  <si>
    <t>NCM84041010</t>
  </si>
  <si>
    <t>Máquinas, aparelhos e equipamentos industriais: Aparelhos auxiliares para caldeiras das posições 84.02</t>
  </si>
  <si>
    <t>Produto constante do item 5.1 do Apêndice V do Anexo IX do RCTE/GO.</t>
  </si>
  <si>
    <t>NCM84042000</t>
  </si>
  <si>
    <t>Máquinas, aparelhos e equipamentos industriais: Condensadores para máquinas a vapor</t>
  </si>
  <si>
    <t>Produto constante do item 5.2 do Apêndice V do Anexo IX do RCTE/GO.</t>
  </si>
  <si>
    <t>NCM84051000</t>
  </si>
  <si>
    <t>Máquinas, aparelhos e equipamentos industriais: Geradores de gás de ar (gás pobre) ou de gás de água, com ou sem depuradores; geradores de acetileno e geradores semelhantes de gás, operados a água, com ou sem depuradores</t>
  </si>
  <si>
    <t>Produto constante do item 6 do Apêndice V do Anexo IX do RCTE/GO.</t>
  </si>
  <si>
    <t>NCM84061000</t>
  </si>
  <si>
    <t>Máquinas, aparelhos e equipamentos industriais: Turbinas para propulsão de embarcações</t>
  </si>
  <si>
    <t>Produto constante do item 7.1 do Apêndice V do Anexo IX do RCTE/GO.</t>
  </si>
  <si>
    <t>NCM84068100</t>
  </si>
  <si>
    <t>Máquinas, aparelhos e equipamentos industriais: Outras de potência superior a 40MW</t>
  </si>
  <si>
    <t>Produto constante do item 7.2 do Apêndice V do Anexo IX do RCTE/GO.</t>
  </si>
  <si>
    <t>NCM84068200</t>
  </si>
  <si>
    <t>Máquinas, aparelhos e equipamentos industriais: Outras de potência não superior a 40MW</t>
  </si>
  <si>
    <t>Produto constante do item 7.3 do Apêndice V do Anexo IX do RCTE/GO.</t>
  </si>
  <si>
    <t>NCM84101100</t>
  </si>
  <si>
    <t>Máquinas, aparelhos e equipamentos industriais: Turbinas e rodas hidráulicas de potência não superior a 1.000kW</t>
  </si>
  <si>
    <t>Produto constante do item 8.1 do Apêndice V do Anexo IX do RCTE/GO.</t>
  </si>
  <si>
    <t>NCM84101200</t>
  </si>
  <si>
    <t>Máquinas, aparelhos e equipamentos industriais: Turbinas e rodas hidráulicas de potência superior a 1.000kW, mas não superior a 10.000kW</t>
  </si>
  <si>
    <t>Produto constante do item 8.2 do Apêndice V do Anexo IX do RCTE/GO.</t>
  </si>
  <si>
    <t>NCM84101300</t>
  </si>
  <si>
    <t>Máquinas, aparelhos e equipamentos industriais: Turbinas e rodas hidráulicas de potência superior a 10.000kW</t>
  </si>
  <si>
    <t>Produto constante do item 8.3 do Apêndice V do Anexo IX do RCTE/GO.</t>
  </si>
  <si>
    <t>NCM84109000</t>
  </si>
  <si>
    <t>Máquinas, aparelhos e equipamentos industriais: Reguladores</t>
  </si>
  <si>
    <t>Produto constante do item 8.4 do Apêndice V do Anexo IX do RCTE/GO.</t>
  </si>
  <si>
    <t>NCM84137010</t>
  </si>
  <si>
    <t>Máquinas, aparelhos e equipamentos industriais: Eletrobombas submersíveis</t>
  </si>
  <si>
    <t>Produto constante do item 10.1 do Apêndice V do Anexo IX do RCTE/GO.</t>
  </si>
  <si>
    <t>NCM84137080</t>
  </si>
  <si>
    <t>Máquinas, aparelhos e equipamentos industriais: Bombas centrífugas, de vazão inferior ou igual a 300 litros por minuto</t>
  </si>
  <si>
    <t>Produto constante do item 10.2 do Apêndice V do Anexo IX do RCTE/GO.</t>
  </si>
  <si>
    <t>NCM84137090</t>
  </si>
  <si>
    <t>Máquinas, aparelhos e equipamentos industriais: Outras bombas centrífugas</t>
  </si>
  <si>
    <t>Produto constante do item 10.3 do Apêndice V do Anexo IX do RCTE/GO.</t>
  </si>
  <si>
    <t>Máquinas e implementos agrícolas: Ventiladores</t>
  </si>
  <si>
    <t>Produto constante no item 7.1 do Apêndice VI do Anexo IX do RCTE/GO.</t>
  </si>
  <si>
    <t>NCM84148012</t>
  </si>
  <si>
    <t>Máquinas, aparelhos e equipamentos industriais: Compressores de ar de parafuso</t>
  </si>
  <si>
    <t>Produto constante do item 11.1 do Apêndice V do Anexo IX do RCTE/GO.</t>
  </si>
  <si>
    <t>NCM84148013</t>
  </si>
  <si>
    <t>Máquinas, aparelhos e equipamentos industriais: Compressores de ar de lóbulos paralelos (tipo 'Roots')</t>
  </si>
  <si>
    <t>Produto constante do item 11.2 do Apêndice V do Anexo IX do RCTE/GO.</t>
  </si>
  <si>
    <t>NCM84148031</t>
  </si>
  <si>
    <t>Máquinas, aparelhos e equipamentos industriais: Compressores de gases, exceto ar, de pistão</t>
  </si>
  <si>
    <t>Produto constante do item 11.4 do Apêndice V do Anexo IX do RCTE/GO.</t>
  </si>
  <si>
    <t>NCM84148032</t>
  </si>
  <si>
    <t>Máquinas, aparelhos e equipamentos industriais: Compressores de gases exceto ar, de parafuso</t>
  </si>
  <si>
    <t>Produto constante do item 11.5 do Apêndice V do Anexo IX do RCTE/GO.</t>
  </si>
  <si>
    <t>NCM84148033</t>
  </si>
  <si>
    <t>Máquinas, aparelhos e equipamentos industriais: Compressores de gases exceto ar, centrífugos, de vazão máxima inferior a 22.000m3/h</t>
  </si>
  <si>
    <t>Produto constante do item 11.6 do Apêndice V do Anexo IX do RCTE/GO.</t>
  </si>
  <si>
    <t>NCM84148038</t>
  </si>
  <si>
    <t>Máquinas, aparelhos e equipamentos industriais: Outros compressores centrífugos radiais</t>
  </si>
  <si>
    <t>Produto constante do item 11.7 do Apêndice V do Anexo IX do RCTE/GO.</t>
  </si>
  <si>
    <t>NCM84148039</t>
  </si>
  <si>
    <t>Máquinas, aparelhos e equipamentos industriais: Outros compressores de gases, exceto ar, inclusive axiais</t>
  </si>
  <si>
    <t>Produto constante do item 11.8 do Apêndice V do Anexo IX do RCTE/GO.</t>
  </si>
  <si>
    <t>NCM84162010</t>
  </si>
  <si>
    <t>Máquinas, aparelhos e equipamentos industriais: Outros queimadores, incluídos os mistos, de gases</t>
  </si>
  <si>
    <t>Produto constante do item 12.2 do Apêndice V do Anexo IX do RCTE/GO.</t>
  </si>
  <si>
    <t>NCM84162090</t>
  </si>
  <si>
    <t>Máquinas, aparelhos e equipamentos industriais: Outros queimadores, inclusive de carvão pulverizado</t>
  </si>
  <si>
    <t>Produto constante do item 12.3 do Apêndice V do Anexo IX do RCTE/GO.</t>
  </si>
  <si>
    <t>NCM84163000</t>
  </si>
  <si>
    <t>Máquinas, aparelhos e equipamentos industriais: Fornalhas automáticas, incluídas as antefornalhas, grelhas mecânicas, descarregadores mecânicos de cinzas e dispositivos semelhantes</t>
  </si>
  <si>
    <t>Produto constante do item 12.4 do Apêndice V do Anexo IX do RCTE/GO.</t>
  </si>
  <si>
    <t>NCM84169000</t>
  </si>
  <si>
    <t>Máquinas, aparelhos e equipamentos industriais: Ventaneiras</t>
  </si>
  <si>
    <t>Produto constante do item 12.5 do Apêndice V do Anexo IX do RCTE/GO.</t>
  </si>
  <si>
    <t>NCM84171010</t>
  </si>
  <si>
    <t>Máquinas, aparelhos e equipamentos industriais: Fornos industriais para fusão de metais</t>
  </si>
  <si>
    <t>Produto constante do item 13.1 do Apêndice V do Anexo IX do RCTE/GO.</t>
  </si>
  <si>
    <t>NCM84171020</t>
  </si>
  <si>
    <t>Máquinas, aparelhos e equipamentos industriais: Fornos industriais para tratamento térmico de metais</t>
  </si>
  <si>
    <t>Produto constante do item 13.2 do Apêndice V do Anexo IX do RCTE/GO.</t>
  </si>
  <si>
    <t>NCM84171090</t>
  </si>
  <si>
    <t>Máquinas, aparelhos e equipamentos industriais: Outros fornos para tratamento térmico de minérios ou de metais</t>
  </si>
  <si>
    <t>Produto constante do item 13.3 do Apêndice V do Anexo IX do RCTE/GO.</t>
  </si>
  <si>
    <t>NCM84172000</t>
  </si>
  <si>
    <t>Máquinas, aparelhos e equipamentos industriais: Fornos de padaria, pastelaria ou para a indústria de bolachas e biscoito</t>
  </si>
  <si>
    <t>Produto constante do item 13.4 do Apêndice V do Anexo IX do RCTE/GO.</t>
  </si>
  <si>
    <t>NCM84178010</t>
  </si>
  <si>
    <t>Máquinas, aparelhos e equipamentos industriais: Fornos industriais para cerâmica</t>
  </si>
  <si>
    <t>Produto constante do item 13.5 do Apêndice V do Anexo IX do RCTE/GO.</t>
  </si>
  <si>
    <t>NCM84178090</t>
  </si>
  <si>
    <t>Máquinas, aparelhos e equipamentos industriais: Outros fornos industriais. </t>
  </si>
  <si>
    <t>Produto constante do item 13.7 do Apêndice V do Anexo IX do RCTE/GO.</t>
  </si>
  <si>
    <t>NCM84186910</t>
  </si>
  <si>
    <t>Máquinas, aparelhos e equipamentos industriais: Sorveteiras industriais</t>
  </si>
  <si>
    <t>Produto constante do item 14.1 do Apêndice V do Anexo IX do RCTE/GO.</t>
  </si>
  <si>
    <t>NCM84186920</t>
  </si>
  <si>
    <t>Máquinas, aparelhos e equipamentos industriais: Resfriadores de leite  </t>
  </si>
  <si>
    <t>Produto constante do item 14.3 do Apêndice V do Anexo IX do RCTE/GO.</t>
  </si>
  <si>
    <t>NCM84186999</t>
  </si>
  <si>
    <t>NCM84193200</t>
  </si>
  <si>
    <t>Máquinas, aparelhos e equipamentos industriais: Secadores para madeiras, pastas de papel, papéis ou cartões</t>
  </si>
  <si>
    <t>Produto constante do item 15.1 do Apêndice V do Anexo IX do RCTE/GO.</t>
  </si>
  <si>
    <t>NCM84193900</t>
  </si>
  <si>
    <t>Máquinas, aparelhos e equipamentos industriais: Outros secadores exceto para produtos agrícolas</t>
  </si>
  <si>
    <t>Produto constante do item 15.2 do Apêndice V do Anexo IX do RCTE/GO.</t>
  </si>
  <si>
    <t>NCM84194010</t>
  </si>
  <si>
    <t>Máquinas, aparelhos e equipamentos industriais: Aparelhos de destilação de água</t>
  </si>
  <si>
    <t>Produto constante do item 15.3 do Apêndice V do Anexo IX do RCTE/GO.</t>
  </si>
  <si>
    <t>NCM84194020</t>
  </si>
  <si>
    <t>Máquinas, aparelhos e equipamentos industriais: Aparelhos de destilação ou retificação de álcoois e outros fluídos voláteis ou de hidrocarbonetos</t>
  </si>
  <si>
    <t>Produto constante do item 15.4 do Apêndice V do Anexo IX do RCTE/GO.</t>
  </si>
  <si>
    <t>NCM84194090</t>
  </si>
  <si>
    <t>Máquinas, aparelhos e equipamentos industriais: Outros aparelhos de destilação ou de retificação</t>
  </si>
  <si>
    <t>Produto constante do item 15.5 do Apêndice V do Anexo IX do RCTE/GO.</t>
  </si>
  <si>
    <t>NCM84195010</t>
  </si>
  <si>
    <t>Máquinas, aparelhos e equipamentos industriais: Trocadores de calor de placas</t>
  </si>
  <si>
    <t>Produto constante do item 15.6 do Apêndice V do Anexo IX do RCTE/GO.</t>
  </si>
  <si>
    <t>NCM84195029</t>
  </si>
  <si>
    <t>Máquinas, aparelhos e equipamentos industriais: Outros trocadores de calor tubulares</t>
  </si>
  <si>
    <t>Produto constante do item 15.9 do Apêndice V do Anexo IX do RCTE/GO.</t>
  </si>
  <si>
    <t>NCM84196000</t>
  </si>
  <si>
    <t>Máquinas, aparelhos e equipamentos industriais: Aparelhos e dispositivos para liquefação do ar ou de outros gases</t>
  </si>
  <si>
    <t>Produto constante do item 15.11 do Apêndice V do Anexo IX do RCTE/GO.</t>
  </si>
  <si>
    <t>NCM84198110</t>
  </si>
  <si>
    <t>Máquinas, aparelhos e equipamentos industriais: Autoclaves</t>
  </si>
  <si>
    <t>Produto constante do item 15.12 do Apêndice V do Anexo IX do RCTE/GO.</t>
  </si>
  <si>
    <t>NCM84198190</t>
  </si>
  <si>
    <t>Máquinas, aparelhos e equipamentos industriais: Outros aparelhos para preparação de bebidas quentes ou para cozimento ou aquecimento de alimentos</t>
  </si>
  <si>
    <t>Produto constante do item 15.13 do Apêndice V do Anexo IX do RCTE/GO.</t>
  </si>
  <si>
    <t>NCM84198911</t>
  </si>
  <si>
    <t>Máquinas, aparelhos e equipamentos industriais: Esterilizadores de alimentos, mediante Ultra Alta Temperatura (UHT - 'Ultra High Temperature') por injeção direta de vapor, com capacidade superior ou igual a 6.500l/h</t>
  </si>
  <si>
    <t>Produto constante do item 15.14 do Apêndice V do Anexo IX do RCTE/GO.</t>
  </si>
  <si>
    <t>NCM84198919</t>
  </si>
  <si>
    <t>Máquinas, aparelhos e equipamentos industriais: Outros esterilizadores</t>
  </si>
  <si>
    <t>Produto constante do item 15.15 do Apêndice V do Anexo IX do RCTE/GO.</t>
  </si>
  <si>
    <t>NCM84198920</t>
  </si>
  <si>
    <t>Máquinas, aparelhos e equipamentos industriais: Estufas</t>
  </si>
  <si>
    <t>Produto constante do item 15.16 do Apêndice V do Anexo IX do RCTE/GO.</t>
  </si>
  <si>
    <t>NCM84198930</t>
  </si>
  <si>
    <t>Máquinas, aparelhos e equipamentos industriais: Torrefadores</t>
  </si>
  <si>
    <t>Produto constante do item 15.17 do Apêndice V do Anexo IX do RCTE/GO.</t>
  </si>
  <si>
    <t>NCM84198940</t>
  </si>
  <si>
    <t>Máquinas, aparelhos e equipamentos industriais: Evaporadores</t>
  </si>
  <si>
    <t>Produto constante do item 15.18 do Apêndice V do Anexo IX do RCTE/GO.</t>
  </si>
  <si>
    <t>NCM84201010</t>
  </si>
  <si>
    <t>Máquinas, aparelhos e equipamentos industriais: Calandras e laminadores para papel ou cartão</t>
  </si>
  <si>
    <t>Produto constante do item 16.1 do Apêndice V do Anexo IX do RCTE/GO.</t>
  </si>
  <si>
    <t>NCM84201090</t>
  </si>
  <si>
    <t>Máquinas, aparelhos e equipamentos industriais: Outras calandras e laminadores</t>
  </si>
  <si>
    <t>Produto constante do item 16.2 do Apêndice V do Anexo IX do RCTE/GO.</t>
  </si>
  <si>
    <t>NCM84209100</t>
  </si>
  <si>
    <t>Máquinas, aparelhos e equipamentos industriais: Cilindros</t>
  </si>
  <si>
    <t>Produto constante do item 16.3 do Apêndice V do Anexo IX do RCTE/GO.</t>
  </si>
  <si>
    <t>NCM84211110</t>
  </si>
  <si>
    <t>Máquinas, aparelhos e equipamentos industriais: Desnatadeiras com capacidade de processamento de leite superior ou igual a 30.000 litros por hora</t>
  </si>
  <si>
    <t>Produto constante do item 17.1 do Apêndice V do Anexo IX do RCTE/GO.</t>
  </si>
  <si>
    <t>NCM84211190</t>
  </si>
  <si>
    <t>Máquinas, aparelhos e equipamentos industriais: Outras desnatadeiras</t>
  </si>
  <si>
    <t>Produto constante do item 17.2 do Apêndice V do Anexo IX do RCTE/GO.</t>
  </si>
  <si>
    <t>NCM84211290</t>
  </si>
  <si>
    <t>Máquinas, aparelhos e equipamentos industriais: Secadores de roupa para lavanderia, exceto as do código 8421.12.10</t>
  </si>
  <si>
    <t>Produto constante do item 17.3 do Apêndice V do Anexo IX do RCTE/GO.</t>
  </si>
  <si>
    <t>NCM84211910</t>
  </si>
  <si>
    <t>Máquinas, aparelhos e equipamentos industriais: Centrifugadores para laboratórios</t>
  </si>
  <si>
    <t>Produto constante do item 17.4 do Apêndice V do Anexo IX do RCTE/GO.</t>
  </si>
  <si>
    <t>NCM84222000</t>
  </si>
  <si>
    <t>Máquinas, aparelhos e equipamentos industriais: Máquinas e aparelhos para limpar ou secar garrafas e outros recipientes</t>
  </si>
  <si>
    <t>Produto constante do item 18.1 do Apêndice V do Anexo IX do RCTE/GO.</t>
  </si>
  <si>
    <t>NCM84223010</t>
  </si>
  <si>
    <t>Máquinas, aparelhos e equipamentos industriais: Máquinas e aparelhos para encher, fechar, capsular ou rotular garrafas</t>
  </si>
  <si>
    <t>Produto constante do item 18.2 do Apêndice V do Anexo IX do RCTE/GO.</t>
  </si>
  <si>
    <t>NCM84223021</t>
  </si>
  <si>
    <t>Máquinas, aparelhos e equipamentos industriais: Máquinas e aparelhos para encher caixas ou sacos com pó ou grãos</t>
  </si>
  <si>
    <t>Produto constante do item 18.3 do Apêndice V do Anexo IX do RCTE/GO.</t>
  </si>
  <si>
    <t>NCM84223022</t>
  </si>
  <si>
    <t>Máquinas, aparelhos e equipamentos industriais: Máquinas e aparelhos para encher e fechar embalagens confeccionadas com papel ou cartão dos códigos 4811.51.22 ou 4811.59.23, mesmo com dispositivo de rotulagem</t>
  </si>
  <si>
    <t>Produto constante do item 18.4 do Apêndice V do Anexo IX do RCTE/GO.</t>
  </si>
  <si>
    <t>NCM84223023</t>
  </si>
  <si>
    <t>Máquinas, aparelhos e equipamentos industriais: Máquinas e aparelhos para encher e fechar recipientes tubulares flexíveis (bisnagas), com capacidade superior ou igual a 100 unidades por minuto</t>
  </si>
  <si>
    <t>Produto constante do item 18.5 do Apêndice V do Anexo IX do RCTE/GO.</t>
  </si>
  <si>
    <t>NCM84223029</t>
  </si>
  <si>
    <t>Máquinas, aparelhos e equipamentos industriais: Máquinas e aparelhos para encher e fechar ampolas de vidro; outras máquinas e aparelhos para encher, fechar, arrolhar ou rotular caixas, latas, sacos ou outros recipientes, capsular vasos, tubos e recipientes semelhantes</t>
  </si>
  <si>
    <t>Produto constante do item 18.6 do Apêndice V do Anexo IX do RCTE/GO.</t>
  </si>
  <si>
    <t>NCM84224010</t>
  </si>
  <si>
    <t>Máquinas, aparelhos e equipamentos industriais: Máquinas e aparelhos para empacotar ou embalar mercadorias horizontais, próprias para empacotamento de massas alimentícias longas (comprimento superior a 200mm) em pacotes tipo almofadas ('pillow pack'), com capacidade de produção superior a 100 pacotes por minuto e controlador lógico programável (CLP)</t>
  </si>
  <si>
    <t>Produto constante do item 18.7 do Apêndice V do Anexo IX do RCTE/GO.</t>
  </si>
  <si>
    <t>NCM84224020</t>
  </si>
  <si>
    <t>Máquinas, aparelhos e equipamentos industriais: Máquinas e aparelhos para empacotar ou embalar mercadorias automática, para embalar tubos ou barras de metal, em atados de peso inferior ou igual a 2.000kg e comprimento inferior ou igual a 12m</t>
  </si>
  <si>
    <t>Produto constante do item 18.8 do Apêndice V do Anexo IX do RCTE/GO.</t>
  </si>
  <si>
    <t>NCM84224030</t>
  </si>
  <si>
    <t>Máquinas, aparelhos e equipamentos industriais: Máquinas e aparelhos para empacotar ou embalar mercadorias de empacotar embalagens confeccionadas com papel ou cartão dos subitens 4811.51.22 ou 4811.59.23 em caixas ou bandejas de papel ou cartão dobráveis, com capacidade superior ou igual a 5.000 embalagens por hora</t>
  </si>
  <si>
    <t>Produto constante do item 18.9 do Apêndice V do Anexo IX do RCTE/GO.</t>
  </si>
  <si>
    <t>NCM84224090</t>
  </si>
  <si>
    <t>Máquinas, aparelhos e equipamentos industriais: Outras máquinas e aparelhos para empacotar ou embalar mercadorias</t>
  </si>
  <si>
    <t>Produto constante do item 18.10 do Apêndice V do Anexo IX do RCTE/GO.</t>
  </si>
  <si>
    <t>NCM84232000</t>
  </si>
  <si>
    <t>Máquinas, aparelhos e equipamentos industriais: Básculas de pesagem contínua em transportadores</t>
  </si>
  <si>
    <t>Produto constante do item 19.1 do Apêndice V do Anexo IX do RCTE/GO.</t>
  </si>
  <si>
    <t>NCM84233011</t>
  </si>
  <si>
    <t>Máquinas, aparelhos e equipamentos industriais: Balanças ou básculas dosadoras com aparelhos periféricos, que constituam unidade funcional</t>
  </si>
  <si>
    <t>Produto constante do item 19.2 do Apêndice V do Anexo IX do RCTE/GO.</t>
  </si>
  <si>
    <t>NCM84233019</t>
  </si>
  <si>
    <t>Máquinas, aparelhos e equipamentos industriais: Outros dosadores</t>
  </si>
  <si>
    <t>Produto constante do item 19.3 do Apêndice V do Anexo IX do RCTE/GO.</t>
  </si>
  <si>
    <t>NCM84233090</t>
  </si>
  <si>
    <t>Máquinas, aparelhos e equipamentos industriais: Básculas de pesagem constante de grão ou líquido; outros aparelhos de pesagem constante e ensacadores</t>
  </si>
  <si>
    <t>Produto constante do item 19.4 do Apêndice V do Anexo IX do RCTE/GO.</t>
  </si>
  <si>
    <t>NCM84238110</t>
  </si>
  <si>
    <t>Máquinas, aparelhos e equipamentos industriais: Aparelhos e instrumentos de pesagem de capacidade não superior a 30kg de mesa, com dispositivo registrador ou impressor de etiquetas</t>
  </si>
  <si>
    <t>Produto constante do item 19.5 do Apêndice V do Anexo IX do RCTE/GO.</t>
  </si>
  <si>
    <t>NCM84238190</t>
  </si>
  <si>
    <t>Máquinas, aparelhos e equipamentos industriais: Aparelhos verificadores de excesso ou deficiência de peso em relação a um padrão; outros aparelhos e instrumentos de pesagem de capacidade não superior a 30kg</t>
  </si>
  <si>
    <t>Produto constante do item 19.6 do Apêndice V do Anexo IX do RCTE/GO.</t>
  </si>
  <si>
    <t>Máquinas, aparelhos e equipamentos industriais: Aparelhos para controlar a gramatura de tecido, papel ou qualquer outro material, durante a fabricação</t>
  </si>
  <si>
    <t>Produto constante do item 19.7 do Apêndice V do Anexo IX do RCTE/GO.</t>
  </si>
  <si>
    <t>NCM84238900</t>
  </si>
  <si>
    <t>NCM84242000</t>
  </si>
  <si>
    <t>Máquinas, aparelhos e equipamentos industriais: Pistolas aerográficas e aparelhos semelhantes</t>
  </si>
  <si>
    <t>Produto constante do item 20.1 do Apêndice V do Anexo IX do RCTE/GO.</t>
  </si>
  <si>
    <t>NCM84243010</t>
  </si>
  <si>
    <t>Máquinas, aparelhos e equipamentos industriais: Máquinas e aparelhos de desobstrução de tubulação por jato de água</t>
  </si>
  <si>
    <t>Produto constante do item 20.2 do Apêndice V do Anexo IX do RCTE/GO.</t>
  </si>
  <si>
    <t>NCM84243020</t>
  </si>
  <si>
    <t>Máquinas, aparelhos e equipamentos industriais: Máquinas e aparelhos de jato de areia </t>
  </si>
  <si>
    <t>Produto constante do item 20.3 do Apêndice V do Anexo IX do RCTE/GO.</t>
  </si>
  <si>
    <t>NCM84243030</t>
  </si>
  <si>
    <t>Máquinas, aparelhos e equipamentos industriais: Perfuradoras por jato de água com pressão de trabalho máxima superior ou igual a 10MPa</t>
  </si>
  <si>
    <t>Produto constante do item 20.4 do Apêndice V do Anexo IX do RCTE/GO.</t>
  </si>
  <si>
    <t>NCM84243090</t>
  </si>
  <si>
    <t>Máquinas, aparelhos e equipamentos industriais: Outras máquinas e aparelhos de jato de areia, de jato de vapor ou qualquer outro abrasivo e aparelhos de jato semelhantes Alterado pelo Decreto n° 7.150 /2010 (DOE de 21.09.2010) vigência a partir de 23.04.2010 Redação Anterior</t>
  </si>
  <si>
    <t>Produto constante do item 20.5 do Apêndice V do Anexo IX do RCTE/GO.</t>
  </si>
  <si>
    <t>Em relação a esta mercadoria, a legislação estadual faz referência ao código 8424.81.11. Todavia, o referido código foi alterado para 8424.41.00, desde 2017.</t>
  </si>
  <si>
    <t>NCM84248990</t>
  </si>
  <si>
    <t>Máquinas, aparelhos e equipamentos industriais: Pulverizadores ("Sprinklers") para equipamentos automáticos de combate a incêndio; outros aparelhos de pulverização</t>
  </si>
  <si>
    <t>Produto constante do item 20.6 do Apêndice V do Anexo IX do RCTE/GO.</t>
  </si>
  <si>
    <t>NCM84251100</t>
  </si>
  <si>
    <t>Máquinas, aparelhos e equipamentos industriais: Talhas, cadernais e moitões de motor elétrico</t>
  </si>
  <si>
    <t>Produto constante do item 21.1 do Apêndice V do Anexo IX do RCTE/GO.</t>
  </si>
  <si>
    <t>NCM84251910</t>
  </si>
  <si>
    <t>Máquinas, aparelhos e equipamentos industriais: Talhas, cadernais e moitões, manuais</t>
  </si>
  <si>
    <t>Produto constante do item 21.2 do Apêndice V do Anexo IX do RCTE/GO.</t>
  </si>
  <si>
    <t>NCM84251990</t>
  </si>
  <si>
    <t>NCM84253110</t>
  </si>
  <si>
    <t>Máquinas, aparelhos e equipamentos industriais: Guinchos e cabrestantes de motor elétrico com capacidade inferior ou igual a 100 toneladas</t>
  </si>
  <si>
    <t>Produto constante do item 21.4 do Apêndice V do Anexo IX do RCTE/GO.</t>
  </si>
  <si>
    <t>NCM84253190</t>
  </si>
  <si>
    <t>Máquinas, aparelhos e equipamentos industriais: Outros guinchos e cabrestantes de motor elétrico </t>
  </si>
  <si>
    <t>Produto constante do item 21.5 do Apêndice V do Anexo IX do RCTE/GO.</t>
  </si>
  <si>
    <t>NCM84253910</t>
  </si>
  <si>
    <t>Máquinas, aparelhos e equipamentos industriais: Outros guinchos e cabrestantes com capacidade inferior ou igual a 100 toneladas </t>
  </si>
  <si>
    <t>Produto constante do item 21.6 do Apêndice V do Anexo IX do RCTE/GO.</t>
  </si>
  <si>
    <t>NCM84253990</t>
  </si>
  <si>
    <t>Máquinas, aparelhos e equipamentos industriais: Outros guinchos e cabrestantes </t>
  </si>
  <si>
    <t>Produto constante do item 21.7 do Apêndice V do Anexo IX do RCTE/GO.</t>
  </si>
  <si>
    <t>NCM84261100</t>
  </si>
  <si>
    <t>Máquinas, aparelhos e equipamentos industriais: Pontes e vigas, rolantes, de suportes fixos</t>
  </si>
  <si>
    <t>Produto constante do item 22.1 do Apêndice V do Anexo IX do RCTE/GO.</t>
  </si>
  <si>
    <t>NCM84262000</t>
  </si>
  <si>
    <t>Máquinas, aparelhos e equipamentos industriais: Guindastes de torre</t>
  </si>
  <si>
    <t>Produto constante do item 22.2 do Apêndice V do Anexo IX do RCTE/GO.</t>
  </si>
  <si>
    <t>NCM84263000</t>
  </si>
  <si>
    <t>Máquinas, aparelhos e equipamentos industriais: Guindastes de pórtico</t>
  </si>
  <si>
    <t>Produto constante do item 22.3 do Apêndice V do Anexo IX do RCTE/GO.</t>
  </si>
  <si>
    <t>NCM84269900</t>
  </si>
  <si>
    <t>Máquinas, aparelhos e equipamentos industriais: Outros guindastes</t>
  </si>
  <si>
    <t>Produto constante do item 22.4 do Apêndice V do Anexo IX do RCTE/GO.</t>
  </si>
  <si>
    <t>NCM84281000</t>
  </si>
  <si>
    <t>Máquinas, aparelhos e equipamentos industriais: Elevadores de carga de uso industrial e monta-cargas</t>
  </si>
  <si>
    <t>Produto constante do item 24.1 do Apêndice V do Anexo IX do RCTE/GO.</t>
  </si>
  <si>
    <t>NCM84282010</t>
  </si>
  <si>
    <t>Máquinas, aparelhos e equipamentos industriais: Transportadores tubulares (transvasadores) móveis, acionados com motor de potência superior a 90kW (120HP)</t>
  </si>
  <si>
    <t>Produto constante do item 24.2 do Apêndice V do Anexo IX do RCTE/GO.</t>
  </si>
  <si>
    <t>NCM84282090</t>
  </si>
  <si>
    <t>Máquinas, aparelhos e equipamentos industriais: Outros aparelhos elevadores ou transportadores, pneumáticos</t>
  </si>
  <si>
    <t>Produto constante do item 24.3 do Apêndice V do Anexo IX do RCTE/GO.</t>
  </si>
  <si>
    <t>NCM84283100</t>
  </si>
  <si>
    <t>Máquinas, aparelhos e equipamentos industriais: Outros aparelhos elevadores ou transportadores, de ação contínua, para mercadorias, especialmente concebidos para uso subterrâneo</t>
  </si>
  <si>
    <t>Produto constante do item 24.4 do Apêndice V do Anexo IX do RCTE/GO.</t>
  </si>
  <si>
    <t>NCM84283200</t>
  </si>
  <si>
    <t>Máquinas, aparelhos e equipamentos industriais: Outros aparelhos elevadores ou transportadores, de ação contínua, para mercadorias de caçamba</t>
  </si>
  <si>
    <t>Produto constante do item 24.5 do Apêndice V do Anexo IX do RCTE/GO.</t>
  </si>
  <si>
    <t>NCM84283300</t>
  </si>
  <si>
    <t>Máquinas, aparelhos e equipamentos industriais: Outros aparelhos elevadores ou transportadores, de ação contínua, para mercadorias de tira ou correia</t>
  </si>
  <si>
    <t>Produto constante do item 24.6 do Apêndice V do Anexo IX do RCTE/GO.</t>
  </si>
  <si>
    <t>NCM84283910</t>
  </si>
  <si>
    <t>Máquinas, aparelhos e equipamentos industriais: Outros aparelhos elevadores ou transportadores, de ação contínua, para mercadorias de correntes</t>
  </si>
  <si>
    <t>Produto constante do item 24.7 do Apêndice V do Anexo IX do RCTE/GO.</t>
  </si>
  <si>
    <t>NCM84283920</t>
  </si>
  <si>
    <t>Máquinas, aparelhos e equipamentos industriais: Outros aparelhos elevadores ou transportadores, de ação contínua, para mercadorias de rolos motores</t>
  </si>
  <si>
    <t>Produto constante do item 24.8 do Apêndice V do Anexo IX do RCTE/GO.</t>
  </si>
  <si>
    <t>NCM84283930</t>
  </si>
  <si>
    <t>Máquinas, aparelhos e equipamentos industriais: Outros aparelhos elevadores ou transportadores, de ação contínua, para mercadorias de pinças laterais, do tipo dos utilizados para o transporte de jornais</t>
  </si>
  <si>
    <t>Produto constante do item 24.9 do Apêndice V do Anexo IX do RCTE/GO.</t>
  </si>
  <si>
    <t>NCM84283990</t>
  </si>
  <si>
    <t>Máquinas, aparelhos e equipamentos industriais: Outros aparelhos elevadores ou transportadores, de ação contínua, para mercadorias</t>
  </si>
  <si>
    <t>Produto constante do item 24.10 do Apêndice V do Anexo IX do RCTE/GO.</t>
  </si>
  <si>
    <t>NCM84314100</t>
  </si>
  <si>
    <t>Máquinas e equipamentos rodoviários: caçambas, mesmo de mandíbulas, pás, ganchos e tenazes </t>
  </si>
  <si>
    <t>Produto constante no item 25 do Apêndice XII do Anexo IX do RCTE/GO.</t>
  </si>
  <si>
    <t>NCM84314929</t>
  </si>
  <si>
    <t>Máquinas e equipamentos rodoviários: partes das máquinas e aparelhos das posições 84.29 ou 84.30 </t>
  </si>
  <si>
    <t>Produto constante no item 26 do Apêndice XII do Anexo IX do RCTE/GO.</t>
  </si>
  <si>
    <t>NCM84342010</t>
  </si>
  <si>
    <t>Máquinas, aparelhos e equipamentos industriais: Aparelhos homogeneizadores de leite</t>
  </si>
  <si>
    <t>Produto constante do item 25.1 do Apêndice V do Anexo IX do RCTE/GO.</t>
  </si>
  <si>
    <t>NCM84342090</t>
  </si>
  <si>
    <t>Máquinas, aparelhos e equipamentos industriais: Outras máquinas para tratamento de leite</t>
  </si>
  <si>
    <t>Produto constante do item 25.2 do Apêndice V do Anexo IX do RCTE/GO.</t>
  </si>
  <si>
    <t>NCM84351000</t>
  </si>
  <si>
    <t>NCM84371000</t>
  </si>
  <si>
    <t>Máquinas, aparelhos e equipamentos industriais: Máquinas para limpeza, seleção ou peneiração de grãos ou de produtos hortícolas secos</t>
  </si>
  <si>
    <t>Produto constante do item 27.1 do Apêndice V do Anexo IX do RCTE/GO.</t>
  </si>
  <si>
    <t>NCM84378010</t>
  </si>
  <si>
    <t>Máquinas, aparelhos e equipamentos industriais: Máquinas para trituração, esmagamento ou moagem de grãos</t>
  </si>
  <si>
    <t>Produto constante do item 27.2 do Apêndice V do Anexo IX do RCTE/GO.</t>
  </si>
  <si>
    <t>NCM84378090</t>
  </si>
  <si>
    <t>Máquinas, aparelhos e equipamentos industriais: Máquinas para seleção e separação das farinhas e de outros produtos da moagem dos grãos</t>
  </si>
  <si>
    <t>Produto constante do item 27.3 do Apêndice V do Anexo IX do RCTE/GO.</t>
  </si>
  <si>
    <t>NCM84381000</t>
  </si>
  <si>
    <t>Máquinas, aparelhos e equipamentos industriais: Máquinas e aparelhos para as indústrias de panificação, pastelaria, bolachas e biscoitos e de massas alimentícias</t>
  </si>
  <si>
    <t>Produto constante do item 28.1 do Apêndice V do Anexo IX do RCTE/GO.</t>
  </si>
  <si>
    <t>NCM84382011</t>
  </si>
  <si>
    <t>Máquinas, aparelhos e equipamentos industriais: Para fabricar bombons de chocolate por moldagem, de capacidade de produção superior ou igual a 150kg/h</t>
  </si>
  <si>
    <t>Produto constante do item 28.2 do Apêndice V do Anexo IX do RCTE/GO.</t>
  </si>
  <si>
    <t>NCM84382019</t>
  </si>
  <si>
    <t>Máquinas, aparelhos e equipamentos industriais: Outras máquinas e aparelhos para as indústrias de confeitaria</t>
  </si>
  <si>
    <t>Produto constante do item 28.3 do Apêndice V do Anexo IX do RCTE/GO.</t>
  </si>
  <si>
    <t>Máquinas, aparelhos e equipamentos industriais: Outras máquinas e aparelhos para as indústrias de cacau e de chocolate</t>
  </si>
  <si>
    <t>Produto constante do item 28.4 do Apêndice V do Anexo IX do RCTE/GO.</t>
  </si>
  <si>
    <t>NCM84384000</t>
  </si>
  <si>
    <t>Máquinas, aparelhos e equipamentos industriais: Máquinas e aparelhos para a indústria cervejeira</t>
  </si>
  <si>
    <t>Produto constante do item 28.6 do Apêndice V do Anexo IX do RCTE/GO.</t>
  </si>
  <si>
    <t>NCM84385000</t>
  </si>
  <si>
    <t>Máquinas, aparelhos e equipamentos industriais: Máquinas e aparelhos para a preparação de carnes</t>
  </si>
  <si>
    <t>Produto constante do item 28.7 do Apêndice V do Anexo IX do RCTE/GO.</t>
  </si>
  <si>
    <t>NCM84386000</t>
  </si>
  <si>
    <t>Máquinas, aparelhos e equipamentos industriais: Máquinas e aparelhos para preparação de frutas ou de produtos hortícolas</t>
  </si>
  <si>
    <t>Produto constante do item 28.8 do Apêndice V do Anexo IX do RCTE/GO.</t>
  </si>
  <si>
    <t>NCM84388020</t>
  </si>
  <si>
    <t>Máquinas, aparelhos e equipamentos industriais: Máquinas e aparelhos para a preparação de peixes, moluscos e crustáceos</t>
  </si>
  <si>
    <t>Produto constante do item 28.9 do Apêndice V do Anexo IX do RCTE/GO.</t>
  </si>
  <si>
    <t>NCM84388090</t>
  </si>
  <si>
    <t>NCM84391010</t>
  </si>
  <si>
    <t>Máquinas, aparelhos e equipamentos industriais: Máquinas para a fabricação de pasta de matérias fibrosas celulósicas para tratamento preliminar das matérias primas</t>
  </si>
  <si>
    <t>Produto constante do item 29.1 do Apêndice V do Anexo IX do RCTE/GO.</t>
  </si>
  <si>
    <t>NCM84391020</t>
  </si>
  <si>
    <t>Máquinas, aparelhos e equipamentos industriais: Classificadoras e classificadoras-depuradoras de pasta</t>
  </si>
  <si>
    <t>Produto constante do item 29.2 do Apêndice V do Anexo IX do RCTE/GO.</t>
  </si>
  <si>
    <t>NCM84391030</t>
  </si>
  <si>
    <t>Máquinas, aparelhos e equipamentos industriais: Refinadoras</t>
  </si>
  <si>
    <t>Produto constante do item 29.3 do Apêndice V do Anexo IX do RCTE/GO.</t>
  </si>
  <si>
    <t>NCM84391090</t>
  </si>
  <si>
    <t>Máquinas, aparelhos e equipamentos industriais: Outras máquinas e aparelhos para fabricação de pasta de matérias fibrosas celulósicas</t>
  </si>
  <si>
    <t>Produto constante do item 29.4 do Apêndice V do Anexo IX do RCTE/GO.</t>
  </si>
  <si>
    <t>NCM84392000</t>
  </si>
  <si>
    <t>Máquinas, aparelhos e equipamentos industriais: Máquinas e aparelhos para fabricação de papel ou cartão</t>
  </si>
  <si>
    <t>Produto constante do item 29.5 do Apêndice V do Anexo IX do RCTE/GO.</t>
  </si>
  <si>
    <t>NCM84393010</t>
  </si>
  <si>
    <t>Máquinas, aparelhos e equipamentos industriais: Bobinadoras-esticadoras</t>
  </si>
  <si>
    <t>Produto constante do item 29.6 do Apêndice V do Anexo IX do RCTE/GO.</t>
  </si>
  <si>
    <t>NCM84393020</t>
  </si>
  <si>
    <t>Máquinas, aparelhos e equipamentos industriais: Máquinas para impregnar</t>
  </si>
  <si>
    <t>Produto constante do item 29.7 do Apêndice V do Anexo IX do RCTE/GO.</t>
  </si>
  <si>
    <t>NCM84393030</t>
  </si>
  <si>
    <t>Máquinas, aparelhos e equipamentos industriais: Máquinas para ondular papel ou cartão </t>
  </si>
  <si>
    <t>Produto constante do item 29.8 do Apêndice V do Anexo IX do RCTE/GO.</t>
  </si>
  <si>
    <t>NCM84393090</t>
  </si>
  <si>
    <t>Máquinas, aparelhos e equipamentos industriais: Outras máquinas e aparelhos para acabamento de papel ou cartão</t>
  </si>
  <si>
    <t>Produto constante do item 29.9 do Apêndice V do Anexo IX do RCTE/GO.</t>
  </si>
  <si>
    <t>NCM84401011</t>
  </si>
  <si>
    <t>Máquinas, aparelhos e equipamentos industriais: Máquinas de costurar (coser) cadernos</t>
  </si>
  <si>
    <t>Produto constante do item 29.10 do Apêndice V do Anexo IX do RCTE/GO.</t>
  </si>
  <si>
    <t>NCM84401019</t>
  </si>
  <si>
    <t>NCM84401020</t>
  </si>
  <si>
    <t>Máquinas, aparelhos e equipamentos industriais: Máquinas para fabricar capas de papelão, com dispositivo de colagem e capacidade de produção superior a 60 unidades por minuto</t>
  </si>
  <si>
    <t>Produto constante do item 29.11 do Apêndice V do Anexo IX do RCTE/GO.</t>
  </si>
  <si>
    <t>NCM84401090</t>
  </si>
  <si>
    <t>Máquinas, aparelhos e equipamentos industriais: Outras máquinas e aparelhos para brochura ou encadernação</t>
  </si>
  <si>
    <t>Produto constante do item 29.12 do Apêndice V do Anexo IX do RCTE/GO.</t>
  </si>
  <si>
    <t>NCM84411010</t>
  </si>
  <si>
    <t>Máquinas, aparelhos e equipamentos industriais: Cortadeiras bobinadoras com velocidade de bobinado superior a 2.000m/min</t>
  </si>
  <si>
    <t>Produto constante do item 30.1 do Apêndice V do Anexo IX do RCTE/GO.</t>
  </si>
  <si>
    <t>NCM84411090</t>
  </si>
  <si>
    <t>Máquinas, aparelhos e equipamentos industriais: Outras cortadeiras</t>
  </si>
  <si>
    <t>Produto constante do item 30.2 do Apêndice V do Anexo IX do RCTE/GO.</t>
  </si>
  <si>
    <t>NCM84412000</t>
  </si>
  <si>
    <t>Máquinas, aparelhos e equipamentos industriais: Máquinas para fabricação de sacos de quaisquer dimensões ou de envelopes</t>
  </si>
  <si>
    <t>Produto constante do item 30.3 do Apêndice V do Anexo IX do RCTE/GO.</t>
  </si>
  <si>
    <t>NCM84413010</t>
  </si>
  <si>
    <t>Máquinas, aparelhos e equipamentos industriais: Máquinas de dobrar e colar, para fabricação de caixas</t>
  </si>
  <si>
    <t>Produto constante do item 30.4 do Apêndice V do Anexo IX do RCTE/GO.</t>
  </si>
  <si>
    <t>NCM84413090</t>
  </si>
  <si>
    <t>Máquinas, aparelhos e equipamentos industriais: Outras máquinas para fabricação de caixas, tubos, tambores ou recipientes semelhantes por qualquer processo, exceto moldagem</t>
  </si>
  <si>
    <t>Produto constante do item 30.5 do Apêndice V do Anexo IX do RCTE/GO.</t>
  </si>
  <si>
    <t>NCM84414000</t>
  </si>
  <si>
    <t>Máquinas, aparelhos e equipamentos industriais: Máquinas de moldar artigos de pasta de papel, papel ou de cartão</t>
  </si>
  <si>
    <t>Produto constante do item 30.6 do Apêndice V do Anexo IX do RCTE/GO.</t>
  </si>
  <si>
    <t>NCM84418000</t>
  </si>
  <si>
    <t>Máquinas, aparelhos e equipamentos industriais: Máquinas de perfurar, picotar e serrilhar linhas de corte; máquinas especiais de grampear caixas e artefatos semelhantes</t>
  </si>
  <si>
    <t>Produto constante do item 30.7 do Apêndice V do Anexo IX do RCTE/GO.</t>
  </si>
  <si>
    <t>NCM84423010</t>
  </si>
  <si>
    <t>Máquinas, aparelhos e equipamentos industriais: Máquinas de compor por processo fotográfico</t>
  </si>
  <si>
    <t>Produto constante do item 31.1 do Apêndice V do Anexo IX do RCTE/GO.</t>
  </si>
  <si>
    <t>NCM84423020</t>
  </si>
  <si>
    <t>Máquinas, aparelhos e equipamentos industriais: Máquinas e aparelhos de compor caracteres tipográficos por outros processos, mesmo com dispositivo de fundir</t>
  </si>
  <si>
    <t>Produto constante do item 31.2 do Apêndice V do Anexo IX do RCTE/GO.</t>
  </si>
  <si>
    <t>NCM84431110</t>
  </si>
  <si>
    <t>Máquinas, aparelhos e equipamentos industriais: Máquinas e aparelhos de impressão, por ofsete, alimentados por bobinas, para impressão multicolor de jornais, de largura superior ou igual a 900mm, com unidades de impressão em configuração torre e dispositivos automáticos de emendar bobinas</t>
  </si>
  <si>
    <t>Produto constante do item 32.1 do Apêndice V do Anexo IX do RCTE/GO.</t>
  </si>
  <si>
    <t>NCM84431190</t>
  </si>
  <si>
    <t>Máquinas, aparelhos e equipamentos industriais: Outras máquinas e aparelhos de impressão, por ofsete, alimentados por bobinas</t>
  </si>
  <si>
    <t>Produto constante do item 32.2 do Apêndice V do Anexo IX do RCTE/GO.</t>
  </si>
  <si>
    <t>NCM84431200</t>
  </si>
  <si>
    <t>Máquinas, aparelhos e equipamentos industriais: Máquinas e aparelhos de impressão, por ofsete, dos tipos utilizados em escritórios, alimentados por folhas de formato não superior a 22cm x 36cm, quando não dobradas</t>
  </si>
  <si>
    <t>Produto constante do item 32.3 do Apêndice V do Anexo IX do RCTE/GO.</t>
  </si>
  <si>
    <t>NCM84431310</t>
  </si>
  <si>
    <t>Máquinas, aparelhos e equipamentos industriais: Máquinas e aparelhos para impressão multicolor de recipientes de matérias plásticas, cilíndricos, cônicos ou de faces planas</t>
  </si>
  <si>
    <t>Produto constante do item 32.4 do Apêndice V do Anexo IX do RCTE/GO.</t>
  </si>
  <si>
    <t>NCM84431321</t>
  </si>
  <si>
    <t>Máquinas, aparelhos e equipamentos industriais: Outras máquinas e aparelhos de impressão, por ofsete, alimentados por folhas de formato inferior ou igual a 37,5cm x 51cm, com velocidade de impressão superior ou igual a 12.000 folhas por hora</t>
  </si>
  <si>
    <t>Produto constante do item 32.5 do Apêndice V do Anexo IX do RCTE/GO.</t>
  </si>
  <si>
    <t>NCM84431329</t>
  </si>
  <si>
    <t>Máquinas, aparelhos e equipamentos industriais: Outros alimentados por folhas de formato inferior ou igual a 37,5cm x 51cm</t>
  </si>
  <si>
    <t>Produto constante do item 32.6 do Apêndice V do Anexo IX do RCTE/GO.</t>
  </si>
  <si>
    <t>NCM84431390</t>
  </si>
  <si>
    <t>Máquinas, aparelhos e equipamentos industriais: Outras máquinas e aparelhos de impressão, por ofsete</t>
  </si>
  <si>
    <t>Produto constante do item 32.7 do Apêndice V do Anexo IX do RCTE/GO.</t>
  </si>
  <si>
    <t>NCM84431400</t>
  </si>
  <si>
    <t>Máquinas, aparelhos e equipamentos industriais: Máquinas e aparelhos de impressão, tipográficos, alimentados por bobinas, exceto máquinas e aparelhos flexográficos</t>
  </si>
  <si>
    <t>Produto constante do item 32.8 do Apêndice V do Anexo IX do RCTE/GO.</t>
  </si>
  <si>
    <t>NCM84431500</t>
  </si>
  <si>
    <t>Máquinas, aparelhos e equipamentos industriais: Máquinas e aparelhos de impressão, tipográficos, não alimentados por bobinas, exceto máquinas e aparelhos flexográficos</t>
  </si>
  <si>
    <t>Produto constante do item 32.9 do Apêndice V do Anexo IX do RCTE/GO.</t>
  </si>
  <si>
    <t>NCM84431600</t>
  </si>
  <si>
    <t>Máquinas, aparelhos e equipamentos industriais: Máquinas e aparelhos de impressão, flexográficos</t>
  </si>
  <si>
    <t>Produto constante do item 32.10 do Apêndice V do Anexo IX do RCTE/GO.</t>
  </si>
  <si>
    <t>NCM84431710</t>
  </si>
  <si>
    <t>Máquinas, aparelhos e equipamentos industriais: Máquinas rotativas para heliogravura</t>
  </si>
  <si>
    <t>Produto constante do item 32.11 do Apêndice V do Anexo IX do RCTE/GO.</t>
  </si>
  <si>
    <t>NCM84431790</t>
  </si>
  <si>
    <t>Máquinas, aparelhos e equipamentos industriais: Outras máquinas e aparelhos de impressão, heliográficos</t>
  </si>
  <si>
    <t>Produto constante do item 32.12 do Apêndice V do Anexo IX do RCTE/GO.</t>
  </si>
  <si>
    <t>NCM84431990</t>
  </si>
  <si>
    <t>Máquinas, aparelhos e equipamentos industriais: Máquinas rotativas para rotogravura; outras máquinas e aparelhos de impressão por meio de blocos, cilindros e outros elementos de impressão da posição 84.42</t>
  </si>
  <si>
    <t>Produto constante do item 32.13 do Apêndice V do Anexo IX do RCTE/GO.</t>
  </si>
  <si>
    <t>NCM84433111</t>
  </si>
  <si>
    <t>Produtos de informática, telecomunicação ou automação: Máquinas que executem pelo menos duas das seguintes funções: impressão, cópia ou transmissão de telecópia (fax), capazes de ser conectadas a uma máquina automática para processamento de dados ou a uma rede</t>
  </si>
  <si>
    <t>Artigo 8º, inciso XIII, do Anexo IX do RCTE/GO</t>
  </si>
  <si>
    <t>Em relação a esta mercadoria, a legislação estadual faz referência ao código 8443.31.00. Todavia, o referido código foi alterado para 8443.31.11, 8443.31.12, 8443.31.13, 8443.31.14, 8443.31.15, 8443.31.16, 8443.31.19, 8443.31.91 e 8443.31.99, desde 2012.</t>
  </si>
  <si>
    <t>Produto constante no item 1 do Apêndice IV do Anexo IX do RCTE/GO.</t>
  </si>
  <si>
    <t>É mantido o crédito do imposto até o limite de 7%.</t>
  </si>
  <si>
    <t>O benefício não se aplica ao diferencial de alíquotas.</t>
  </si>
  <si>
    <t>NCM84433112</t>
  </si>
  <si>
    <t>NCM84433113</t>
  </si>
  <si>
    <t>NCM84433114</t>
  </si>
  <si>
    <t>NCM84433115</t>
  </si>
  <si>
    <t>NCM84433116</t>
  </si>
  <si>
    <t>NCM84433119</t>
  </si>
  <si>
    <t>NCM84433191</t>
  </si>
  <si>
    <t>NCM84433199</t>
  </si>
  <si>
    <t>NCM84433221</t>
  </si>
  <si>
    <t>Produtos de informática, telecomunicação ou automação: Impressora de impacto de linha</t>
  </si>
  <si>
    <t>Produto constante no item 6 do Apêndice IV do Anexo IX do RCTE/GO.</t>
  </si>
  <si>
    <t>NCM84433223</t>
  </si>
  <si>
    <t>Produtos de informática, telecomunicação ou automação: Impressora de impacto matricial por ponto.</t>
  </si>
  <si>
    <t>Produto constante no item 7 do Apêndice IV do Anexo IX do RCTE/GO.</t>
  </si>
  <si>
    <t>NCM84433231</t>
  </si>
  <si>
    <t>Produtos de informática, telecomunicação ou automação: Impressora, com velocidade de impressão inferior a 30 páginas por minuto a jato de tinta líquida, com largura de impressão inferior ou igual a 420mm</t>
  </si>
  <si>
    <t>Produto constante no item 8 do Apêndice IV do Anexo IX do RCTE/GO.</t>
  </si>
  <si>
    <t>NCM84433232</t>
  </si>
  <si>
    <t>Produtos de informática, telecomunicação ou automação: Impressora, com velocidade de impressão inferior a 30 páginas por minuto de transferência térmica de cera sólida</t>
  </si>
  <si>
    <t>Produto constante no item 9 do Apêndice IV do Anexo IX do RCTE/GO.</t>
  </si>
  <si>
    <t>NCM84433233</t>
  </si>
  <si>
    <t>Produtos de informática, telecomunicação ou automação: Impressora, com velocidade de impressão inferior a 30 páginas por minuto a "laser", LED (Diodos Emissores de Luz) ou LCS (Sistema de Cristal Líquido), monocromáticas, com largura de impressão superior a 230mm e resolução superior ou igual 600 x 600 pontos por polegada (dpi)</t>
  </si>
  <si>
    <t>Produto constante no item 10 do Apêndice IV do Anexo IX do RCTE/GO.</t>
  </si>
  <si>
    <t>NCM84433234</t>
  </si>
  <si>
    <t>Produtos de informática, telecomunicação ou automação: Impressora, com velocidade de impressão inferior a 30 páginas por minuto a "laser", LED (Diodos Emissores de Luz) ou LCS (Sistema de Cristal Líquido), policromáticas</t>
  </si>
  <si>
    <t>Produto constante no item 11 do Apêndice IV do Anexo IX do RCTE/GO.</t>
  </si>
  <si>
    <t>NCM84433235</t>
  </si>
  <si>
    <t>Produtos de informática, telecomunicação ou automação: Impressora, com velocidade de impressão inferior a 30 páginas por minuto a "laser", LED (Diodos Emissores de Luz) ou LCS (Sistema de Cristal Líquido), monocromáticas, com largura de impressão inferior ou igual a 420mm</t>
  </si>
  <si>
    <t>Produto constante no item 12 do Apêndice IV do Anexo IX do RCTE/GO.</t>
  </si>
  <si>
    <t>NCM84433236</t>
  </si>
  <si>
    <t>Produtos de informática, telecomunicação ou automação: Impressora, com velocidade de impressão inferior a 30 páginas por minuto com largura de impressão superior a 420mm</t>
  </si>
  <si>
    <t>Produto constante no item 13 do Apêndice IV do Anexo IX do RCTE/GO.</t>
  </si>
  <si>
    <t>NCM84433239</t>
  </si>
  <si>
    <t>Produtos de informática, telecomunicação ou automação: Outra impressora com velocidade de impressão inferior a 30 páginas por minuto</t>
  </si>
  <si>
    <t>Produto constante no item 14 do Apêndice IV do Anexo IX do RCTE/GO.</t>
  </si>
  <si>
    <t>NCM84433240</t>
  </si>
  <si>
    <t>Produtos de informática, telecomunicação ou automação: Outras impressoras alimentadas por folhas com velocidade de impressão superior ou igual a 30 páginas por minuto</t>
  </si>
  <si>
    <t>Produto constante no item 15 do Apêndice IV do Anexo IX do RCTE/GO.</t>
  </si>
  <si>
    <t>NCM84433251</t>
  </si>
  <si>
    <t>Produtos de informática, telecomunicação ou automação: Traçador gráfico ("plotter") por meio de penas</t>
  </si>
  <si>
    <t>Produto constante no item 16 do Apêndice IV do Anexo IX do RCTE/GO.</t>
  </si>
  <si>
    <t>NCM84433252</t>
  </si>
  <si>
    <t>Produtos de informática, telecomunicação ou automação: Traçador gráfico ("plotter") com largura de impressão superior a 580mm, exceto por meio de penas</t>
  </si>
  <si>
    <t>Produto constante no item 17 do Apêndice IV do Anexo IX do RCTE/GO.</t>
  </si>
  <si>
    <t>NCM84433259</t>
  </si>
  <si>
    <t>Produtos de informática, telecomunicação ou automação: Outro tipo de traçador gráfico ("plotter")</t>
  </si>
  <si>
    <t>Produto constante no item 18 do Apêndice IV do Anexo IX do RCTE/GO.</t>
  </si>
  <si>
    <t>NCM84433299</t>
  </si>
  <si>
    <t>Produtos de informática, telecomunicação ou automação: Telecopiadore com impressão por sistema laser (fax)</t>
  </si>
  <si>
    <t>Em relação a esta mercadoria, a legislação estadual faz referência ao código 8443.32.12. Todavia, o referido código foi alterado para 8443.32.99, desde 2012.</t>
  </si>
  <si>
    <t>Produto constante no item 3 do Apêndice IV do Anexo IX do RCTE/GO.</t>
  </si>
  <si>
    <t>NCM84433910</t>
  </si>
  <si>
    <t>Máquinas, aparelhos e equipamentos industriais: Máquinas de impressão por jato de tinta, de uso industrial </t>
  </si>
  <si>
    <t>Produto constante do item 32.17 do Apêndice V do Anexo IX do RCTE/GO.</t>
  </si>
  <si>
    <t>NCM84439191</t>
  </si>
  <si>
    <t>Máquinas, aparelhos e equipamentos industriais: Dobradoras</t>
  </si>
  <si>
    <t>Produto constante do item 32.14 do Apêndice V do Anexo IX do RCTE/GO.</t>
  </si>
  <si>
    <t>NCM84439192</t>
  </si>
  <si>
    <t>Máquinas, aparelhos e equipamentos industriais: Numeradores automáticos</t>
  </si>
  <si>
    <t>Produto constante do item 32.15 do Apêndice V do Anexo IX do RCTE/GO.</t>
  </si>
  <si>
    <t>NCM84439199</t>
  </si>
  <si>
    <t>Máquinas, aparelhos e equipamentos industriais: Outros acessórios de máquinas e aparelhos de impressão que operem por meio de blocos, cilindros e outros elementos de impressão da posição 84.42</t>
  </si>
  <si>
    <t>Produto constante do item 32.16 do Apêndice V do Anexo IX do RCTE/GO.</t>
  </si>
  <si>
    <t>NCM84439911</t>
  </si>
  <si>
    <t>Produtos de informática, telecomunicação ou automação: Circuito impresso com componente elétrico ou eletrônico montados</t>
  </si>
  <si>
    <t>Produto constante no item 20 do Apêndice IV do Anexo IX do RCTE/GO.</t>
  </si>
  <si>
    <t>Para este item, o RCTE/GO não estabelece uma descrição para o código da NCM indicado.</t>
  </si>
  <si>
    <t>NCM84439921</t>
  </si>
  <si>
    <t>Produtos de informática, telecomunicação ou automação: Mecanismo completo de impressora matricial (por pontos) ou de impressora ou traçador gráfico ("plotters"), a jato de tinta, montado</t>
  </si>
  <si>
    <t>Produto constante no item 22 do Apêndice IV do Anexo IX do RCTE/GO.</t>
  </si>
  <si>
    <t>NCM84439922</t>
  </si>
  <si>
    <t>Produtos de informática, telecomunicação ou automação: Mecanismo completo de impressora a "laser", LED (Diodos Emissores de Luz) ou LCS (Sistema de Cristal Líquido), montado</t>
  </si>
  <si>
    <t>NCM84439923</t>
  </si>
  <si>
    <t>Produtos de informática, telecomunicação ou automação: Martelo de impressão e bancos de martelos</t>
  </si>
  <si>
    <t>Produto constante no item 23 do Apêndice IV do Anexo IX do RCTE/GO.</t>
  </si>
  <si>
    <t>NCM84439929</t>
  </si>
  <si>
    <t>Produtos de informática, telecomunicação ou automação: Cabeça de impressão, exceto a térmica ou a de jato de tinta</t>
  </si>
  <si>
    <t>Em relação a esta mercadoria, a legislação estadual faz referência ao código 8443.99.24. Todavia, o referido código foi alterado para 8443.99.29, desde 2012.</t>
  </si>
  <si>
    <t>Produto constante no item 24 do Apêndice IV do Anexo IX do RCTE/GO.</t>
  </si>
  <si>
    <t>NCM84439931</t>
  </si>
  <si>
    <t>Produtos de informática, telecomunicação ou automação: Cilindros recobertos de matéria semicondutora fotoelétrica de selênio ou suas ligas, para os aparelhos de fotocópia eletrostáticos por processo indireto</t>
  </si>
  <si>
    <t>Produto constante no item 29 do Apêndice IV do Anexo IX do RCTE/GO.</t>
  </si>
  <si>
    <t>NCM84439932</t>
  </si>
  <si>
    <t>Produtos de informática, telecomunicação ou automação: Cilindros recobertos de matéria semicondutora fotoelétrica</t>
  </si>
  <si>
    <t>Produto constante no item 30 do Apêndice IV do Anexo IX do RCTE/GO.</t>
  </si>
  <si>
    <t>NCM84439933</t>
  </si>
  <si>
    <t>Produtos de informática, telecomunicação ou automação: Cartuchos de revelador ou de produtos para viragem ("toners")</t>
  </si>
  <si>
    <t>Produto constante no item 31 do Apêndice IV do Anexo IX do RCTE/GO.</t>
  </si>
  <si>
    <t>NCM84439939</t>
  </si>
  <si>
    <t>Produtos de informática, telecomunicação ou automação: Outros tipos de cartuchos</t>
  </si>
  <si>
    <t>Produto constante no item 32 do Apêndice IV do Anexo IX do RCTE/GO.</t>
  </si>
  <si>
    <t>NCM84439970</t>
  </si>
  <si>
    <t>Produtos de informática, telecomunicação ou automação: Bandejas e gavetas, suas partes e acessórios</t>
  </si>
  <si>
    <t>Produto constante no item 33 do Apêndice IV do Anexo IX do RCTE/GO.</t>
  </si>
  <si>
    <t>NCM84440010</t>
  </si>
  <si>
    <t>Máquinas, aparelhos e equipamentos industriais: Máquinas e aparelhos para extrudar</t>
  </si>
  <si>
    <t>Produto constante do item 33.1 do Apêndice V do Anexo IX do RCTE/GO.</t>
  </si>
  <si>
    <t>NCM84440020</t>
  </si>
  <si>
    <t>Máquinas, aparelhos e equipamentos industriais: Máquinas e aparelhos para corte ou ruptura de fibras</t>
  </si>
  <si>
    <t>Produto constante do item 33.2 do Apêndice V do Anexo IX do RCTE/GO.</t>
  </si>
  <si>
    <t>NCM84440090</t>
  </si>
  <si>
    <t>Máquinas, aparelhos e equipamentos industriais: Outras máquinas para extrudar, estirar, texturizar ou cortar matérias têxteis sintéticas ou artificiais</t>
  </si>
  <si>
    <t>Produto constante do item 33.3 do Apêndice V do Anexo IX do RCTE/GO.</t>
  </si>
  <si>
    <t>NCM84451110</t>
  </si>
  <si>
    <t>Máquinas, aparelhos e equipamentos industriais: Cardas para lã</t>
  </si>
  <si>
    <t>Produto constante do item 34.1 do Apêndice V do Anexo IX do RCTE/GO.</t>
  </si>
  <si>
    <t>NCM84451120</t>
  </si>
  <si>
    <t>Máquinas, aparelhos e equipamentos industriais: Cardas para fibras do Capítulo 53</t>
  </si>
  <si>
    <t>Produto constante do item 34.2 do Apêndice V do Anexo IX do RCTE/GO.</t>
  </si>
  <si>
    <t>NCM84451190</t>
  </si>
  <si>
    <t>Máquinas, aparelhos e equipamentos industriais: Outras cardas</t>
  </si>
  <si>
    <t>Produto constante do item 34.3 do Apêndice V do Anexo IX do RCTE/GO.</t>
  </si>
  <si>
    <t>NCM84451200</t>
  </si>
  <si>
    <t>Máquinas, aparelhos e equipamentos industriais: Penteadoras</t>
  </si>
  <si>
    <t>Produto constante do item 34.4 do Apêndice V do Anexo IX do RCTE/GO.</t>
  </si>
  <si>
    <t>NCM84451300</t>
  </si>
  <si>
    <t>Máquinas, aparelhos e equipamentos industriais: Bancas de estiramento (bancas de fusos)</t>
  </si>
  <si>
    <t>Produto constante do item 34.5 do Apêndice V do Anexo IX do RCTE/GO.</t>
  </si>
  <si>
    <t>NCM84451910</t>
  </si>
  <si>
    <t>Máquinas, aparelhos e equipamentos industriais: Máquinas para a preparação da seda</t>
  </si>
  <si>
    <t>Produto constante do item 34.6 do Apêndice V do Anexo IX do RCTE/GO.</t>
  </si>
  <si>
    <t>NCM84451921</t>
  </si>
  <si>
    <t>Máquinas, aparelhos e equipamentos industriais: Máquinas para recuperação de cordas, fios, trapos ou qualquer outro desperdício, transformando-os em fibras adequadas para cardagem</t>
  </si>
  <si>
    <t>Produto constante do item 34.7 do Apêndice V do Anexo IX do RCTE/GO.</t>
  </si>
  <si>
    <t>NCM84451922</t>
  </si>
  <si>
    <t>Máquinas, aparelhos e equipamentos industriais: Descaroçadeiras e deslintadeiras de algodão</t>
  </si>
  <si>
    <t>Produto constante do item 34.8 do Apêndice V do Anexo IX do RCTE/GO.</t>
  </si>
  <si>
    <t>NCM84451923</t>
  </si>
  <si>
    <t>Máquinas, aparelhos e equipamentos industriais: Máquinas para desengordurar, lavar, alvejar ou tingir fibras têxteis em massa ou rama</t>
  </si>
  <si>
    <t>Produto constante do item 34.9 do Apêndice V do Anexo IX do RCTE/GO.</t>
  </si>
  <si>
    <t>NCM84451924</t>
  </si>
  <si>
    <t>Máquinas, aparelhos e equipamentos industriais: Abridoras de fibras de lã</t>
  </si>
  <si>
    <t>Produto constante do item 34.10 do Apêndice V do Anexo IX do RCTE/GO.</t>
  </si>
  <si>
    <t>NCM84451925</t>
  </si>
  <si>
    <t>Máquinas, aparelhos e equipamentos industriais: Abridoras de fibras do Capítulo 53</t>
  </si>
  <si>
    <t>Produto constante do item 34.11 do Apêndice V do Anexo IX do RCTE/GO.</t>
  </si>
  <si>
    <t>NCM84451926</t>
  </si>
  <si>
    <t>Máquinas, aparelhos e equipamentos industriais: Máquinas de carbonizar a lã</t>
  </si>
  <si>
    <t>Produto constante do item 34.12 do Apêndice V do Anexo IX do RCTE/GO.</t>
  </si>
  <si>
    <t>NCM84451927</t>
  </si>
  <si>
    <t>Máquinas, aparelhos e equipamentos industriais: Máquinas para estirar a lã</t>
  </si>
  <si>
    <t>Produto constante do item 34.13 do Apêndice V do Anexo IX do RCTE/GO.</t>
  </si>
  <si>
    <t>NCM84451929</t>
  </si>
  <si>
    <t>Máquinas, aparelhos e equipamentos industriais: Batedores e abridores-batedores; abridores de fardos e carregadores automáticos; outras máquinas para a preparação de outras matérias têxteis</t>
  </si>
  <si>
    <t>Produto constante do item 34.14 do Apêndice V do Anexo IX do RCTE/GO.</t>
  </si>
  <si>
    <t>NCM84452000</t>
  </si>
  <si>
    <t>Máquinas, aparelhos e equipamentos industriais: Máquinas para fiação de matérias têxteis</t>
  </si>
  <si>
    <t>Produto constante do item 34.15 do Apêndice V do Anexo IX do RCTE/GO.</t>
  </si>
  <si>
    <t>NCM84453010</t>
  </si>
  <si>
    <t>Máquinas, aparelhos e equipamentos industriais: Retorcedeiras</t>
  </si>
  <si>
    <t>Produto constante do item 34.16 do Apêndice V do Anexo IX do RCTE/GO.</t>
  </si>
  <si>
    <t>NCM84453090</t>
  </si>
  <si>
    <t>Máquinas, aparelhos e equipamentos industriais: Máquinas para fabricação de barbantes, cordões e semelhantes; outras máquinas para dobragem ou torção, de matérias têxteis</t>
  </si>
  <si>
    <t>Produto constante do item 34.17 do Apêndice V do Anexo IX do RCTE/GO.</t>
  </si>
  <si>
    <t>NCM84454011</t>
  </si>
  <si>
    <t>Máquinas, aparelhos e equipamentos industriais: Bobinadeiras automáticas de trama</t>
  </si>
  <si>
    <t>Produto constante do item 34.18 do Apêndice V do Anexo IX do RCTE/GO.</t>
  </si>
  <si>
    <t>NCM84454012</t>
  </si>
  <si>
    <t>Máquinas, aparelhos e equipamentos industriais: Bobinadeiras automáticas para fios elastanos</t>
  </si>
  <si>
    <t>Produto constante do item 34.19 do Apêndice V do Anexo IX do RCTE/GO.</t>
  </si>
  <si>
    <t>NCM84454018</t>
  </si>
  <si>
    <t>Máquinas, aparelhos e equipamentos industriais: Outras bobinadeiras automáticas, com atador automático</t>
  </si>
  <si>
    <t>Produto constante do item 34.20 do Apêndice V do Anexo IX do RCTE/GO.</t>
  </si>
  <si>
    <t>NCM84454019</t>
  </si>
  <si>
    <t>Máquinas, aparelhos e equipamentos industriais: Outras bobinadeiras automáticas</t>
  </si>
  <si>
    <t>Produto constante do item 34.21 do Apêndice V do Anexo IX do RCTE/GO.</t>
  </si>
  <si>
    <t>NCM84454021</t>
  </si>
  <si>
    <t>Máquinas, aparelhos e equipamentos industriais: Bobinadoras não automáticas com velocidade de bobinado superior ou igual a 4.000m/min</t>
  </si>
  <si>
    <t>Produto constante do item 34.22 do Apêndice V do Anexo IX do RCTE/GO.</t>
  </si>
  <si>
    <t>NCM84454029</t>
  </si>
  <si>
    <t>Máquinas, aparelhos e equipamentos industriais: Outras bobinadeiras não automáticas</t>
  </si>
  <si>
    <t>Produto constante do item 34.23 do Apêndice V do Anexo IX do RCTE/GO.</t>
  </si>
  <si>
    <t>NCM84454031</t>
  </si>
  <si>
    <t>Máquinas, aparelhos e equipamentos industriais: Meadeiras com controle de comprimento ou peso e atador automático</t>
  </si>
  <si>
    <t>Produto constante do item 34.24 do Apêndice V do Anexo IX do RCTE/GO.</t>
  </si>
  <si>
    <t>NCM84454039</t>
  </si>
  <si>
    <t>Máquinas, aparelhos e equipamentos industriais: Outras meadeiras</t>
  </si>
  <si>
    <t>Produto constante do item 34.25 do Apêndice V do Anexo IX do RCTE/GO.</t>
  </si>
  <si>
    <t>NCM84454040</t>
  </si>
  <si>
    <t>Máquinas, aparelhos e equipamentos industriais: Noveleiras automáticas</t>
  </si>
  <si>
    <t>Produto constante do item 34.26 do Apêndice V do Anexo IX do RCTE/GO.</t>
  </si>
  <si>
    <t>NCM84454090</t>
  </si>
  <si>
    <t>Máquinas, aparelhos e equipamentos industriais: Outras máquinas de bobinar (incluídas as bobinadeiras de trama) ou de dobar, matérias têxteis</t>
  </si>
  <si>
    <t>Produto constante do item 34.27 do Apêndice V do Anexo IX do RCTE/GO.</t>
  </si>
  <si>
    <t>NCM84459010</t>
  </si>
  <si>
    <t>Máquinas, aparelhos e equipamentos industriais: Urdideiras</t>
  </si>
  <si>
    <t>Produto constante do item 34.28 do Apêndice V do Anexo IX do RCTE/GO.</t>
  </si>
  <si>
    <t>NCM84459020</t>
  </si>
  <si>
    <t>Máquinas, aparelhos e equipamentos industriais: Passadeiras para liço e pente</t>
  </si>
  <si>
    <t>Produto constante do item 34.29 do Apêndice V do Anexo IX do RCTE/GO.</t>
  </si>
  <si>
    <t>NCM84459030</t>
  </si>
  <si>
    <t>Máquinas, aparelhos e equipamentos industriais: Máquinas automáticas para atar urdiduras</t>
  </si>
  <si>
    <t>Produto constante do item 34.30 do Apêndice V do Anexo IX do RCTE/GO.</t>
  </si>
  <si>
    <t>NCM84459040</t>
  </si>
  <si>
    <t>Máquinas, aparelhos e equipamentos industriais: Máquinas automáticas para colocar lamela</t>
  </si>
  <si>
    <t>Produto constante do item 34.31 do Apêndice V do Anexo IX do RCTE/GO.</t>
  </si>
  <si>
    <t>NCM84459090</t>
  </si>
  <si>
    <t>Máquinas, aparelhos e equipamentos industriais: Engomadeiras de fio; outras máquinas para preparação de matérias têxteis</t>
  </si>
  <si>
    <t>Produto constante do item 34.32 do Apêndice V do Anexo IX do RCTE/GO.</t>
  </si>
  <si>
    <t>NCM84461010</t>
  </si>
  <si>
    <t>Máquinas, aparelhos e equipamentos industriais: Teares para tecidos de largura não superior a 30cm, com mecanismo "Jacquard"</t>
  </si>
  <si>
    <t>Produto constante do item 35.1 do Apêndice V do Anexo IX do RCTE/GO.</t>
  </si>
  <si>
    <t>NCM84461090</t>
  </si>
  <si>
    <t>Máquinas, aparelhos e equipamentos industriais: Outros teares para tecidos de largura não superior a 30cm</t>
  </si>
  <si>
    <t>Produto constante do item 35.2 do Apêndice V do Anexo IX do RCTE/GO.</t>
  </si>
  <si>
    <t>NCM84462100</t>
  </si>
  <si>
    <t>Máquinas, aparelhos e equipamentos industriais: Teares para tecidos de largura superior a 30cm, de lançadeiras, a motor</t>
  </si>
  <si>
    <t>Produto constante do item 35.3 do Apêndice V do Anexo IX do RCTE/GO.</t>
  </si>
  <si>
    <t>NCM84462900</t>
  </si>
  <si>
    <t>Máquinas, aparelhos e equipamentos industriais: Outros teares para tecidos de largura superior a 30cm, de lançadeiras</t>
  </si>
  <si>
    <t>Produto constante do item 35.4 do Apêndice V do Anexo IX do RCTE/GO.</t>
  </si>
  <si>
    <t>NCM84463010</t>
  </si>
  <si>
    <t>Máquinas, aparelhos e equipamentos industriais: Teares para tecidos de largura superior a 30cm, sem lançadeiras, a jato de ar</t>
  </si>
  <si>
    <t>Produto constante do item 35.5 do Apêndice V do Anexo IX do RCTE/GO.</t>
  </si>
  <si>
    <t>NCM84463020</t>
  </si>
  <si>
    <t>Máquinas, aparelhos e equipamentos industriais: Teares para tecidos de largura superior a 30cm, sem lançadeiras, a jato de água</t>
  </si>
  <si>
    <t>Produto constante do item 35.6 do Apêndice V do Anexo IX do RCTE/GO.</t>
  </si>
  <si>
    <t>NCM84463030</t>
  </si>
  <si>
    <t>Máquinas, aparelhos e equipamentos industriais: Teares para tecidos de largura superior a 30cm, sem lançadeiras, de projétil</t>
  </si>
  <si>
    <t>Produto constante do item 35.7 do Apêndice V do Anexo IX do RCTE/GO.</t>
  </si>
  <si>
    <t>NCM84463040</t>
  </si>
  <si>
    <t>Máquinas, aparelhos e equipamentos industriais: Teares para tecidos de largura superior a 30cm, sem lançadeiras, de pinças</t>
  </si>
  <si>
    <t>Produto constante do item 35.8 do Apêndice V do Anexo IX do RCTE/GO.</t>
  </si>
  <si>
    <t>NCM84463090</t>
  </si>
  <si>
    <t>Máquinas, aparelhos e equipamentos industriais: Outros teares para tecidos de largura superior a 30cm, sem lançadeiras</t>
  </si>
  <si>
    <t>Produto constante do item 35.9 do Apêndice V do Anexo IX do RCTE/GO.</t>
  </si>
  <si>
    <t>NCM84471100</t>
  </si>
  <si>
    <t>Máquinas, aparelhos e equipamentos industriais: Teares circulares para malhas com cilindro de diâmetro não superior a 165mm</t>
  </si>
  <si>
    <t>Produto constante do item 36.1 do Apêndice V do Anexo IX do RCTE/GO.</t>
  </si>
  <si>
    <t>NCM84471200</t>
  </si>
  <si>
    <t>Máquinas, aparelhos e equipamentos industriais: Teares circulares para malhas com cilindro de diâmetro superior a 165mm</t>
  </si>
  <si>
    <t>Produto constante do item 36.2 do Apêndice V do Anexo IX do RCTE/GO.</t>
  </si>
  <si>
    <t>NCM84472021</t>
  </si>
  <si>
    <t>Máquinas, aparelhos e equipamentos industriais: Teares retilíneos para malhas; máquinas de costura por entrelaçamento ('couture-tricotage'), motorizados, para fabricação de malhas de urdidura</t>
  </si>
  <si>
    <t>Produto constante do item 36.3 do Apêndice V do Anexo IX do RCTE/GO.</t>
  </si>
  <si>
    <t>NCM84472029</t>
  </si>
  <si>
    <t>Máquinas, aparelhos e equipamentos industriais: Outros teares motorizados; máquinas tipo "Cotton" e semelhantes, para fabricação de meias, funcionando com agulha de flape; máquinas para fabricação de "Jersey" e semelhantes, funcionando com agulha de flape; máquinas dos tipos "Raschell", milanês ou outro, para fabricação de tecido de malha indesmalhável</t>
  </si>
  <si>
    <t>Produto constante do item 36.4 do Apêndice V do Anexo IX do RCTE/GO.</t>
  </si>
  <si>
    <t>NCM84472030</t>
  </si>
  <si>
    <t>Máquinas, aparelhos e equipamentos industriais: Máquinas de costura por entrelaçamento ("couture tricotage")</t>
  </si>
  <si>
    <t>Produto constante do item 36.5 do Apêndice V do Anexo IX do RCTE/GO.</t>
  </si>
  <si>
    <t>NCM84479010</t>
  </si>
  <si>
    <t>Máquinas, aparelhos e equipamentos industriais: Máquinas retilíneas para fabricação de cortinados, "filet", filó e rede</t>
  </si>
  <si>
    <t>Produto constante do item 36.6 do Apêndice V do Anexo IX do RCTE/GO.</t>
  </si>
  <si>
    <t>NCM84479020</t>
  </si>
  <si>
    <t>Máquinas, aparelhos e equipamentos industriais: Máquinas automáticas para bordado</t>
  </si>
  <si>
    <t>Produto constante do item 36.7 do Apêndice V do Anexo IX do RCTE/GO.</t>
  </si>
  <si>
    <t>NCM84479090</t>
  </si>
  <si>
    <t>Máquinas, aparelhos e equipamentos industriais: Outros teares para fabricar malhas</t>
  </si>
  <si>
    <t>Produto constante do item 36.8 do Apêndice V do Anexo IX do RCTE/GO.</t>
  </si>
  <si>
    <t>NCM84481110</t>
  </si>
  <si>
    <t>Máquinas, aparelhos e equipamentos industriais: Ratleras (maquinetas) para liços</t>
  </si>
  <si>
    <t>Produto constante do item 37.1 do Apêndice V do Anexo IX do RCTE/GO.</t>
  </si>
  <si>
    <t>NCM84481120</t>
  </si>
  <si>
    <t>Máquinas, aparelhos e equipamentos industriais: Mecanismos "Jacquard"</t>
  </si>
  <si>
    <t>Produto constante do item 37.2 do Apêndice V do Anexo IX do RCTE/GO.</t>
  </si>
  <si>
    <t>NCM84481190</t>
  </si>
  <si>
    <t>Máquinas, aparelhos e equipamentos industriais: Outras ratieras e mecanismos 'Jacquard'; redutores, perfuradores e copiadores de cartões; máquinas para enlaçar cartões após perfuração</t>
  </si>
  <si>
    <t>Produto constante do item 37.3 do Apêndice V do Anexo IX do RCTE/GO.</t>
  </si>
  <si>
    <t>NCM84481900</t>
  </si>
  <si>
    <t>Máquinas, aparelhos e equipamentos industriais: Outras máquinas e aparelhos auxiliares para as máquinas das posições 84.44, 84.45, 84.46 ou 84.47; mecanismos troca-lançadeiras; mecanismos troca-espulas; máquinas automáticas de atar fios</t>
  </si>
  <si>
    <t>Produto constante do item 37.4 do Apêndice V do Anexo IX do RCTE/GO.</t>
  </si>
  <si>
    <t>NCM84490010</t>
  </si>
  <si>
    <t>Máquinas, aparelhos e equipamentos industriais: Máquinas e aparelhos para fabricação ou acabamento de feltro</t>
  </si>
  <si>
    <t>Produto constante do item 38.1 do Apêndice V do Anexo IX do RCTE/GO.</t>
  </si>
  <si>
    <t>NCM84490020</t>
  </si>
  <si>
    <t>Máquinas, aparelhos e equipamentos industriais: Máquinas e aparelhos para fabricação de falsos tecidos</t>
  </si>
  <si>
    <t>Produto constante do item 38.2 do Apêndice V do Anexo IX do RCTE/GO.</t>
  </si>
  <si>
    <t>NCM84490080</t>
  </si>
  <si>
    <t>Máquinas, aparelhos e equipamentos industriais: Outras máquinas e aparelhos para fabricação de chapéus de feltro</t>
  </si>
  <si>
    <t>Produto constante do item 38.3 do Apêndice V do Anexo IX do RCTE/GO.</t>
  </si>
  <si>
    <t>NCM84502010</t>
  </si>
  <si>
    <t>Máquinas, aparelhos e equipamentos industriais: Máquinas de capacidade superior a 10kg, em peso de roupa seca, túneis contínuos</t>
  </si>
  <si>
    <t>Produto constante do item 39.4 do Apêndice V do Anexo IX do RCTE/GO.</t>
  </si>
  <si>
    <t>NCM84502090</t>
  </si>
  <si>
    <t>Máquinas, aparelhos e equipamentos industriais: Outras máquinas de lavar de capacidade superior a 20 kg, em peso de roupa de uso não doméstico </t>
  </si>
  <si>
    <t>Produto constante do item 39.5 do Apêndice V do Anexo IX do RCTE/GO.</t>
  </si>
  <si>
    <t>NCM84511000</t>
  </si>
  <si>
    <t>Máquinas, aparelhos e equipamentos industriais: Máquina para lavar a seco; máquinas industriais para lavar a seco</t>
  </si>
  <si>
    <t>Produto constante do item 40.1 do Apêndice V do Anexo IX do RCTE/GO.</t>
  </si>
  <si>
    <t>NCM84512910</t>
  </si>
  <si>
    <t>Máquinas, aparelhos e equipamentos industriais: Outras máquinas de secar que funcionem por meio de ondas eletromagnéticas (microondas), cuja produção seja superior ou igual a 120kg/h de produto seco</t>
  </si>
  <si>
    <t>Produto constante do item 40.3 do Apêndice V do Anexo IX do RCTE/GO.</t>
  </si>
  <si>
    <t>NCM84512990</t>
  </si>
  <si>
    <t>Máquinas, aparelhos e equipamentos industriais: Outras máquinas de secar, com capacidade superior a 15 kg, de uso não doméstico </t>
  </si>
  <si>
    <t>Produto constante do item 40.4 do Apêndice V do Anexo IX do RCTE/GO.</t>
  </si>
  <si>
    <t>NCM84513010</t>
  </si>
  <si>
    <t>Máquinas, aparelhos e equipamentos industriais: Máquinas e prensas para passar, incluídas as prensas fixadoras, automáticas</t>
  </si>
  <si>
    <t>Produto constante do item 40.5 do Apêndice V do Anexo IX do RCTE/GO.</t>
  </si>
  <si>
    <t>NCM84513091</t>
  </si>
  <si>
    <t>Máquinas, aparelhos e equipamentos industriais: Prensas para passar de peso inferior ou igual a 14kg</t>
  </si>
  <si>
    <t>Produto constante do item 40.6 do Apêndice V do Anexo IX do RCTE/GO.</t>
  </si>
  <si>
    <t>NCM84513099</t>
  </si>
  <si>
    <t>Máquinas, aparelhos e equipamentos industriais: Outras máquinas e prensas para passar</t>
  </si>
  <si>
    <t>Produto constante do item 40.7 do Apêndice V do Anexo IX do RCTE/GO.</t>
  </si>
  <si>
    <t>NCM84514010</t>
  </si>
  <si>
    <t>Máquinas, aparelhos e equipamentos industriais: Máquinas para lavar, com capacidade superior a 15 kg, de uso não doméstico </t>
  </si>
  <si>
    <t>Produto constante do item 40.8 do Apêndice V do Anexo IX do RCTE/GO.</t>
  </si>
  <si>
    <t>NCM84514021</t>
  </si>
  <si>
    <t>Máquinas, aparelhos e equipamentos industriais: Máquina para tingir tecidos em rolos; para tingir por pressão estática, com molinete (rotor de pás), jato de água (jet) ou combinada</t>
  </si>
  <si>
    <t>Produto constante do item 40.9 do Apêndice V do Anexo IX do RCTE/GO.</t>
  </si>
  <si>
    <t>NCM84514029</t>
  </si>
  <si>
    <t>Máquinas, aparelhos e equipamentos industriais: Outras máquinas para tingir ou branquear fios ou tecidos</t>
  </si>
  <si>
    <t>Produto constante do item 40.10 do Apêndice V do Anexo IX do RCTE/GO.</t>
  </si>
  <si>
    <t>NCM84514090</t>
  </si>
  <si>
    <t>Máquinas, aparelhos e equipamentos industriais: Outras máquinas lavar, branquear ou tingir</t>
  </si>
  <si>
    <t>Produto constante do item 40.11 do Apêndice V do Anexo IX do RCTE/GO.</t>
  </si>
  <si>
    <t>NCM84515010</t>
  </si>
  <si>
    <t>Máquinas, aparelhos e equipamentos industriais: Máquinas para inspecionar tecidos</t>
  </si>
  <si>
    <t>Produto constante do item 40.12 do Apêndice V do Anexo IX do RCTE/GO.</t>
  </si>
  <si>
    <t>NCM84515020</t>
  </si>
  <si>
    <t>Máquinas, aparelhos e equipamentos industriais: Máquinas automáticas, para enfestar ou cortar</t>
  </si>
  <si>
    <t>Produto constante do item 40.13 do Apêndice V do Anexo IX do RCTE/GO.</t>
  </si>
  <si>
    <t>NCM84515090</t>
  </si>
  <si>
    <t>Máquinas, aparelhos e equipamentos industriais: Outras máquinas para enrolar, desenrolar, dobrar, cortar ou dentear tecidos</t>
  </si>
  <si>
    <t>Produto constante do item 40.14 do Apêndice V do Anexo IX do RCTE/GO.</t>
  </si>
  <si>
    <t>NCM84518000</t>
  </si>
  <si>
    <t>Máquinas, aparelhos e equipamentos industriais: Máquinas de mercerizar fios; máquinas de mercerizar tecidos; máquinas de carbonizar ou chamuscar fio ou tecido; alargadoras ou ramas; tosadouras; outras máquinas e aparelhos</t>
  </si>
  <si>
    <t>Produto constante do item 40.15 do Apêndice V do Anexo IX do RCTE/GO.</t>
  </si>
  <si>
    <t>NCM84522110</t>
  </si>
  <si>
    <t>Máquinas, aparelhos e equipamentos industriais: Unidades automáticas para costurar couros ou peles</t>
  </si>
  <si>
    <t>Produto constante do item 41.1 do Apêndice V do Anexo IX do RCTE/GO.</t>
  </si>
  <si>
    <t>NCM84522120</t>
  </si>
  <si>
    <t>Máquinas, aparelhos e equipamentos industriais: Unidades automáticas para costurar tecidos</t>
  </si>
  <si>
    <t>Produto constante do item 41.2 do Apêndice V do Anexo IX do RCTE/GO.</t>
  </si>
  <si>
    <t>NCM84522190</t>
  </si>
  <si>
    <t>Máquinas, aparelhos e equipamentos industriais: Outras máquinas de costura</t>
  </si>
  <si>
    <t>Produto constante do item 41.3 do Apêndice V do Anexo IX do RCTE/GO.</t>
  </si>
  <si>
    <t>NCM84522910</t>
  </si>
  <si>
    <t>Máquinas, aparelhos e equipamentos industriais: Outras máquinas para costurar couro ou pele e seus artigos</t>
  </si>
  <si>
    <t>Produto constante do item 41.4 do Apêndice V do Anexo IX do RCTE/GO.</t>
  </si>
  <si>
    <t>NCM84522921</t>
  </si>
  <si>
    <t>Máquinas, aparelhos e equipamentos industriais: Remalhadeiras</t>
  </si>
  <si>
    <t>Produto constante do item 41.5 do Apêndice V do Anexo IX do RCTE/GO.</t>
  </si>
  <si>
    <t>NCM84522922</t>
  </si>
  <si>
    <t>Máquinas, aparelhos e equipamentos industriais: Máquinas para casear</t>
  </si>
  <si>
    <t>Produto constante do item 41.6 do Apêndice V do Anexo IX do RCTE/GO.</t>
  </si>
  <si>
    <t>NCM84522923</t>
  </si>
  <si>
    <t>Máquinas, aparelhos e equipamentos industriais: Máquinas tipo zigue-zague para inserir elástico</t>
  </si>
  <si>
    <t>Produto constante do item 41.7 do Apêndice V do Anexo IX do RCTE/GO.</t>
  </si>
  <si>
    <t>NCM84522924</t>
  </si>
  <si>
    <t>Máquinas, aparelhos e equipamentos industriais: Máquinas de costura reta </t>
  </si>
  <si>
    <t>Produto constante do item 41.9 do Apêndice V do Anexo IX do RCTE/GO.</t>
  </si>
  <si>
    <t>NCM84522925</t>
  </si>
  <si>
    <t>Máquinas, aparelhos e equipamentos industriais: Galoneiras </t>
  </si>
  <si>
    <t>Produto constante do item 41.10 do Apêndice V do Anexo IX do RCTE/GO.</t>
  </si>
  <si>
    <t>NCM84522929</t>
  </si>
  <si>
    <t>Máquinas, aparelhos e equipamentos industriais: Outras máquinas de costurar tecidos</t>
  </si>
  <si>
    <t>Produto constante do item 41.8 do Apêndice V do Anexo IX do RCTE/GO.</t>
  </si>
  <si>
    <t>NCM84531010</t>
  </si>
  <si>
    <t>Máquinas, aparelhos e equipamentos industriais: Máquinas para dividir couros com largura útil inferior ou igual a 3.000mm, com lâmina sem fim, com controle eletrônico programável</t>
  </si>
  <si>
    <t>Produto constante do item 42.1 do Apêndice V do Anexo IX do RCTE/GO.</t>
  </si>
  <si>
    <t>NCM84531090</t>
  </si>
  <si>
    <t>Máquinas, aparelhos e equipamentos industriais: Máquinas e aparelhos para preparar, curtir ou trabalhar couros ou peles; máquinas e aparelhos para amaciar, bufiar, escovar, granear, lixar, lustrar, ou rebaixar couro ou pele; máquinas e aparelhos para descarnar, dividir, estirar, pelar ou purgar couro ou pele; máquinas e aparelhos para cilindrar, enxugar ou prensar couro ou pele</t>
  </si>
  <si>
    <t>Produto constante do item 42.2 do Apêndice V do Anexo IX do RCTE/GO.</t>
  </si>
  <si>
    <t>NCM84532000</t>
  </si>
  <si>
    <t>Máquinas, aparelhos e equipamentos industriais: Máquinas e aparelhos para fabricar ou consertar calçados</t>
  </si>
  <si>
    <t>Produto constante do item 42.3 do Apêndice V do Anexo IX do RCTE/GO.</t>
  </si>
  <si>
    <t>NCM84538000</t>
  </si>
  <si>
    <t>Máquinas, aparelhos e equipamentos industriais: Outras máquinas e aparelhos para preparar, curtir ou trabalhar couros ou peles, ou para fabricar ou consertar calçado e outras obras de couro ou de pele, exceto máquinas de costura</t>
  </si>
  <si>
    <t>Produto constante do item 42.4 do Apêndice V do Anexo IX do RCTE/GO.</t>
  </si>
  <si>
    <t>NCM84541000</t>
  </si>
  <si>
    <t>Máquinas, aparelhos e equipamentos industriais: Conversores</t>
  </si>
  <si>
    <t>Produto constante do item 43.1 do Apêndice V do Anexo IX do RCTE/GO.</t>
  </si>
  <si>
    <t>NCM84542010</t>
  </si>
  <si>
    <t>Máquinas, aparelhos e equipamentos industriais: Lingoteiras</t>
  </si>
  <si>
    <t>Produto constante do item 43.2 do Apêndice V do Anexo IX do RCTE/GO.</t>
  </si>
  <si>
    <t>NCM84542090</t>
  </si>
  <si>
    <t>Máquinas, aparelhos e equipamentos industriais: Colheres de fundição</t>
  </si>
  <si>
    <t>Produto constante do item 43.3 do Apêndice V do Anexo IX do RCTE/GO.</t>
  </si>
  <si>
    <t>NCM84543010</t>
  </si>
  <si>
    <t>Máquinas, aparelhos e equipamentos industriais: Máquinas de vazar sob pressão</t>
  </si>
  <si>
    <t>Produto constante do item 43.4 do Apêndice V do Anexo IX do RCTE/GO.</t>
  </si>
  <si>
    <t>NCM84543020</t>
  </si>
  <si>
    <t>Máquinas, aparelhos e equipamentos industriais: Máquinas de moldar por centrifugação</t>
  </si>
  <si>
    <t>Produto constante do item 43.5 do Apêndice V do Anexo IX do RCTE/GO.</t>
  </si>
  <si>
    <t>NCM84543090</t>
  </si>
  <si>
    <t>Máquinas, aparelhos e equipamentos industriais: Outras máquinas de vazar (moldar)</t>
  </si>
  <si>
    <t>Produto constante do item 43.6 do Apêndice V do Anexo IX do RCTE/GO.</t>
  </si>
  <si>
    <t>NCM84549010</t>
  </si>
  <si>
    <t>Máquinas, aparelhos e equipamentos industriais: Agitador eletrônico de aço líquido (stirring)</t>
  </si>
  <si>
    <t>Produto constante do item 43.7 do Apêndice V do Anexo IX do RCTE/GO.</t>
  </si>
  <si>
    <t>NCM84549090</t>
  </si>
  <si>
    <t>Máquinas, aparelhos e equipamentos industriais: Impulsionador de tarugos com rolos acionados</t>
  </si>
  <si>
    <t>Produto constante do item 43.8 do Apêndice V do Anexo IX do RCTE/GO.</t>
  </si>
  <si>
    <t>NCM84551000</t>
  </si>
  <si>
    <t>Máquinas, aparelhos e equipamentos industriais: Laminadores de tubos</t>
  </si>
  <si>
    <t>Produto constante do item 44.1 do Apêndice V do Anexo IX do RCTE/GO.</t>
  </si>
  <si>
    <t>NCM84552110</t>
  </si>
  <si>
    <t>Máquinas, aparelhos e equipamentos industriais: Laminadores a quente e laminadores a quente e a frio de cilindros lisos</t>
  </si>
  <si>
    <t>Produto constante do item 44.2 do Apêndice V do Anexo IX do RCTE/GO.</t>
  </si>
  <si>
    <t>NCM84552190</t>
  </si>
  <si>
    <t>Máquinas, aparelhos e equipamentos industriais: Outros laminadores a quente e laminadores a quente e a frio, para chapas, para fios</t>
  </si>
  <si>
    <t>Produto constante do item 44.3 do Apêndice V do Anexo IX do RCTE/GO.</t>
  </si>
  <si>
    <t>NCM84552210</t>
  </si>
  <si>
    <t>Máquinas, aparelhos e equipamentos industriais: Laminadores a frio de cilindros lisos</t>
  </si>
  <si>
    <t>Produto constante do item 44.4 do Apêndice V do Anexo IX do RCTE/GO.</t>
  </si>
  <si>
    <t>NCM84552290</t>
  </si>
  <si>
    <t>Máquinas, aparelhos e equipamentos industriais: Outros laminadores a frio, para chapa, para fios</t>
  </si>
  <si>
    <t>Produto constante do item 44.5 do Apêndice V do Anexo IX do RCTE/GO.</t>
  </si>
  <si>
    <t>NCM84553010</t>
  </si>
  <si>
    <t>Máquinas, aparelhos e equipamentos industriais: Cilindros de laminadores fundidos, de aço ou ferro fundido nodular</t>
  </si>
  <si>
    <t>Produto constante do item 44.6 do Apêndice V do Anexo IX do RCTE/GO.</t>
  </si>
  <si>
    <t>NCM84553020</t>
  </si>
  <si>
    <t>Máquinas, aparelhos e equipamentos industriais: Cilindros de laminadores forjados, de aço de corte rápido, com um teor, em peso, de carbono superior ou igual a 0,80% e inferior ou igual a 0,90%, de cromo superior ou igual a 3,50% e inferior ou igual a 4%, de vanádio superior ou igual a 1,60% e inferior ou igual a 2,30%, de molibdênio inferior ou igual a 8,50% e de tungstênio inferior ou igual a 7%</t>
  </si>
  <si>
    <t>Produto constante do item 44.7 do Apêndice V do Anexo IX do RCTE/GO.</t>
  </si>
  <si>
    <t>NCM84553090</t>
  </si>
  <si>
    <t>Máquinas, aparelhos e equipamentos industriais: Outros cilindros laminadores</t>
  </si>
  <si>
    <t>Produto constante do item 44.8 do Apêndice V do Anexo IX do RCTE/GO.</t>
  </si>
  <si>
    <t>NCM84559000</t>
  </si>
  <si>
    <t>Máquinas, aparelhos e equipamentos industriais: Outras partes de laminadores de metais e seus cilindros; guias roletadas para laminação de redondos, perfis e "multi slit"; tesoura corte frio com embreagem ou acionamento por corrente contínua para corte de laminados; bobinadeira "laving head" para bitolas de diâmetro 5,50 a 25 mm; enroladeira/bobinadeira "recoiller" para bitolas de diâmetro 20 a 50mm</t>
  </si>
  <si>
    <t>Produto constante do item 44.9 do Apêndice V do Anexo IX do RCTE/GO.</t>
  </si>
  <si>
    <t>NCM84563011</t>
  </si>
  <si>
    <t>Máquinas, aparelhos e equipamentos industriais: Máquinas-ferramentas de comando numérico para texturizar superfícies cilíndricas</t>
  </si>
  <si>
    <t>Produto constante do item 45.1 do Apêndice V do Anexo IX do RCTE/GO.</t>
  </si>
  <si>
    <t>NCM84563019</t>
  </si>
  <si>
    <t>Máquinas, aparelhos e equipamentos industriais: Outras máquinas-ferramentas de comando numérico</t>
  </si>
  <si>
    <t>Produto constante do item 45.2 do Apêndice V do Anexo IX do RCTE/GO.</t>
  </si>
  <si>
    <t>NCM84563090</t>
  </si>
  <si>
    <t>Máquinas, aparelhos e equipamentos industriais: Outras máquinas-ferramentas operando por eletroerosão</t>
  </si>
  <si>
    <t>Produto constante do item 45.3 do Apêndice V do Anexo IX do RCTE/GO.</t>
  </si>
  <si>
    <t>NCM84571000</t>
  </si>
  <si>
    <t>Máquinas, aparelhos e equipamentos industriais: Centros de usinagem</t>
  </si>
  <si>
    <t>Produto constante do item 46.1 do Apêndice V do Anexo IX do RCTE/GO.</t>
  </si>
  <si>
    <t>NCM84572010</t>
  </si>
  <si>
    <t>Máquinas, aparelhos e equipamentos industriais: Máquinas de sistema monostático ('single station'), de comando numérico</t>
  </si>
  <si>
    <t>Produto constante do item 46.2 do Apêndice V do Anexo IX do RCTE/GO.</t>
  </si>
  <si>
    <t>NCM84572090</t>
  </si>
  <si>
    <t>Máquinas, aparelhos e equipamentos industriais: Outras máquinas de sistema monostático ('single station')</t>
  </si>
  <si>
    <t>Produto constante do item 46.3 do Apêndice V do Anexo IX do RCTE/GO.</t>
  </si>
  <si>
    <t>NCM84573010</t>
  </si>
  <si>
    <t>Máquinas, aparelhos e equipamentos industriais: Máquinas de estações múltiplas, de comando numérico</t>
  </si>
  <si>
    <t>Produto constante do item 46.4 do Apêndice V do Anexo IX do RCTE/GO.</t>
  </si>
  <si>
    <t>NCM84573090</t>
  </si>
  <si>
    <t>Máquinas, aparelhos e equipamentos industriais: Outras máquinas de estações múltiplas</t>
  </si>
  <si>
    <t>Produto constante do item 46.5 do Apêndice V do Anexo IX do RCTE/GO.</t>
  </si>
  <si>
    <t>NCM84581110</t>
  </si>
  <si>
    <t>Máquinas, aparelhos e equipamentos industriais: Tornos horizontais, de comando numérico, revólver</t>
  </si>
  <si>
    <t>Produto constante do item 47.1 do Apêndice V do Anexo IX do RCTE/GO.</t>
  </si>
  <si>
    <t>NCM84581191</t>
  </si>
  <si>
    <t>Máquinas, aparelhos e equipamentos industriais: Outros tornos horizontais, de comando numérico, de 6 ou mais fusos porta-peças</t>
  </si>
  <si>
    <t>Produto constante do item 47.2 do Apêndice V do Anexo IX do RCTE/GO.</t>
  </si>
  <si>
    <t>NCM84581199</t>
  </si>
  <si>
    <t>Máquinas, aparelhos e equipamentos industriais: Outros tornos horizontais, de comando numérico</t>
  </si>
  <si>
    <t>Produto constante do item 47.3 do Apêndice V do Anexo IX do RCTE/GO.</t>
  </si>
  <si>
    <t>NCM84581910</t>
  </si>
  <si>
    <t>Máquinas, aparelhos e equipamentos industriais: Outros tornos horizontais de revólver</t>
  </si>
  <si>
    <t>Produto constante do item 47.4 do Apêndice V do Anexo IX do RCTE/GO.</t>
  </si>
  <si>
    <t>NCM84581990</t>
  </si>
  <si>
    <t>Máquinas, aparelhos e equipamentos industriais: Outros tornos horizontais</t>
  </si>
  <si>
    <t>Produto constante do item 47.5 do Apêndice V do Anexo IX do RCTE/GO.</t>
  </si>
  <si>
    <t>NCM84589100</t>
  </si>
  <si>
    <t>Máquinas, aparelhos e equipamentos industriais: Outros tornos de comando numérico</t>
  </si>
  <si>
    <t>Produto constante do item 47.6 do Apêndice V do Anexo IX do RCTE/GO.</t>
  </si>
  <si>
    <t>NCM84589900</t>
  </si>
  <si>
    <t>Máquinas, aparelhos e equipamentos industriais: Outros tornos</t>
  </si>
  <si>
    <t>Produto constante do item 47.7 do Apêndice V do Anexo IX do RCTE/GO.</t>
  </si>
  <si>
    <t>NCM84591000</t>
  </si>
  <si>
    <t>Máquinas, aparelhos e equipamentos industriais: Unidades com cabeça deslizante</t>
  </si>
  <si>
    <t>Produto constante do item 48.1 do Apêndice V do Anexo IX do RCTE/GO.</t>
  </si>
  <si>
    <t>NCM84592110</t>
  </si>
  <si>
    <t>Máquinas, aparelhos e equipamentos industriais: Outras máquinas para furar de comando numérico, radiais</t>
  </si>
  <si>
    <t>Produto constante do item 48.2 do Apêndice V do Anexo IX do RCTE/GO.</t>
  </si>
  <si>
    <t>NCM84592191</t>
  </si>
  <si>
    <t>Máquinas, aparelhos e equipamentos industriais: Outras máquinas para furar de comando numérico de mais de um cabeçote mono ou multifuso</t>
  </si>
  <si>
    <t>Produto constante do item 48.3 do Apêndice V do Anexo IX do RCTE/GO.</t>
  </si>
  <si>
    <t>NCM84592199</t>
  </si>
  <si>
    <t>Máquinas, aparelhos e equipamentos industriais: Outras máquinas para furar de comando numérico</t>
  </si>
  <si>
    <t>Produto constante do item 48.4 do Apêndice V do Anexo IX do RCTE/GO.</t>
  </si>
  <si>
    <t>NCM84592900</t>
  </si>
  <si>
    <t>Máquinas, aparelhos e equipamentos industriais: Outras máquinas de furar</t>
  </si>
  <si>
    <t>Produto constante do item 48.5 do Apêndice V do Anexo IX do RCTE/GO.</t>
  </si>
  <si>
    <t>NCM84593100</t>
  </si>
  <si>
    <t>Máquinas, aparelhos e equipamentos industriais: Outras mandriladoras-fresadoras, de comando numérico</t>
  </si>
  <si>
    <t>Produto constante do item 48.6 do Apêndice V do Anexo IX do RCTE/GO.</t>
  </si>
  <si>
    <t>NCM84593900</t>
  </si>
  <si>
    <t>Máquinas, aparelhos e equipamentos industriais: Outras mandriladoras-fresadoras</t>
  </si>
  <si>
    <t>Produto constante do item 48.7 do Apêndice V do Anexo IX do RCTE/GO.</t>
  </si>
  <si>
    <t>NCM84594100</t>
  </si>
  <si>
    <t>Máquinas, aparelhos e equipamentos industriais: Outras máquinas para mandrilar</t>
  </si>
  <si>
    <t>Em relação a esta mercadoria, a legislação estadual faz referência ao código 8459.40.00. Todavia, o referido código foi alterado para 8459.41.00, desde 2017.</t>
  </si>
  <si>
    <t>Produto constante do item 48.8 do Apêndice V do Anexo IX do RCTE/GO.</t>
  </si>
  <si>
    <t>NCM84594900</t>
  </si>
  <si>
    <t>Em relação a esta mercadoria, a legislação estadual faz referência ao código 8459.40.00. Todavia, o referido código foi alterado para 8459.49.00, desde 2017.</t>
  </si>
  <si>
    <t>NCM84595100</t>
  </si>
  <si>
    <t>Máquinas, aparelhos e equipamentos industriais: Máquinas para fresar, de console, de comando numérico</t>
  </si>
  <si>
    <t>Produto constante do item 48.9 do Apêndice V do Anexo IX do RCTE/GO.</t>
  </si>
  <si>
    <t>NCM84595900</t>
  </si>
  <si>
    <t>Máquinas, aparelhos e equipamentos industriais: Outras máquinas para fresar, de console</t>
  </si>
  <si>
    <t>Produto constante do item 48.10 do Apêndice V do Anexo IX do RCTE/GO.</t>
  </si>
  <si>
    <t>NCM84596100</t>
  </si>
  <si>
    <t>Máquinas, aparelhos e equipamentos industriais: Outras máquinas para fresar, de comando numérico</t>
  </si>
  <si>
    <t>Produto constante do item 48.11 do Apêndice V do Anexo IX do RCTE/GO.</t>
  </si>
  <si>
    <t>NCM84596900</t>
  </si>
  <si>
    <t>Máquinas, aparelhos e equipamentos industriais: Outras máquinas para fresar</t>
  </si>
  <si>
    <t>Produto constante do item 48.12 do Apêndice V do Anexo IX do RCTE/GO.</t>
  </si>
  <si>
    <t>NCM84597000</t>
  </si>
  <si>
    <t>Máquinas, aparelhos e equipamentos industriais: Outras máquinas para roscar interior ou exteriormente</t>
  </si>
  <si>
    <t>Produto constante do item 48.13 do Apêndice V do Anexo IX do RCTE/GO.</t>
  </si>
  <si>
    <t>NCM84601200</t>
  </si>
  <si>
    <t>Máquinas, aparelhos e equipamentos industriais: Máquinas para retificar superfícies planas, cujo posicionamento sobre qualquer dos eixos pode ser estabelecido com precisão de pelo menos 0,01mm, de comando numérico</t>
  </si>
  <si>
    <t>Em relação a esta mercadoria, a legislação estadual faz referência ao código 8432.30.10. Todavia, o referido código foi alterado para 8432.31.10, desde 2017.</t>
  </si>
  <si>
    <t>Produto constante do item 49.1 do Apêndice V do Anexo IX do RCTE/GO.</t>
  </si>
  <si>
    <t>NCM84601900</t>
  </si>
  <si>
    <t>Máquinas, aparelhos e equipamentos industriais: Outras máquinas para retificar superfícies planas, cujo posicionamento sobre qualquer dos eixos pode ser estabelecido com precisão de pelo menos 0,01mm</t>
  </si>
  <si>
    <t>Produto constante do item 49.2 do Apêndice V do Anexo IX do RCTE/GO.</t>
  </si>
  <si>
    <t>NCM84602200</t>
  </si>
  <si>
    <t>Máquinas, aparelhos e equipamentos industriais: Outras máquinas para retificar, cujo posicionamento sobre qualquer dos eixos pode ser estabelecido com precisão de pelo menos 0,01mm, de comando numérico</t>
  </si>
  <si>
    <t>Em relação a esta mercadoria, a legislação estadual faz referência ao código 8460.21.00. Todavia, o referido código foi alterado para 8460.22.00, desde 2017.</t>
  </si>
  <si>
    <t>Produto constante do item 49.3 do Apêndice V do Anexo IX do RCTE/GO.</t>
  </si>
  <si>
    <t>NCM84602300</t>
  </si>
  <si>
    <t>Em relação a esta mercadoria, a legislação estadual faz referência ao código 8460.21.00. Todavia, o referido código foi alterado para 8460.23.00, desde 2017.</t>
  </si>
  <si>
    <t>NCM84602400</t>
  </si>
  <si>
    <t>Em relação a esta mercadoria, a legislação estadual faz referência ao código 8460.21.00. Todavia, o referido código foi alterado para 8460.24.00, desde 2017.</t>
  </si>
  <si>
    <t>NCM84602900</t>
  </si>
  <si>
    <t>Máquinas, aparelhos e equipamentos industriais: Outras máquinas para retificar, cujo posicionamento sobre qualquer dos eixos pode ser estabelecido com precisão de pelo menos 0,01mm</t>
  </si>
  <si>
    <t>Produto constante do item 49.4 do Apêndice V do Anexo IX do RCTE/GO.</t>
  </si>
  <si>
    <t>NCM84603100</t>
  </si>
  <si>
    <t>Máquinas, aparelhos e equipamentos industriais: Máquinas para afiar, de comando numérico</t>
  </si>
  <si>
    <t>Produto constante do item 49.5 do Apêndice V do Anexo IX do RCTE/GO.</t>
  </si>
  <si>
    <t>NCM84603900</t>
  </si>
  <si>
    <t>Máquinas, aparelhos e equipamentos industriais: Outras máquinas para afiar</t>
  </si>
  <si>
    <t>Produto constante do item 49.6 do Apêndice V do Anexo IX do RCTE/GO.</t>
  </si>
  <si>
    <t>NCM84604011</t>
  </si>
  <si>
    <t>Máquinas, aparelhos e equipamentos industriais: Brunidoras de comando numérico, para cilindros de diâmetro inferior ou igual a 312mm</t>
  </si>
  <si>
    <t>Produto constante do item 49.7 do Apêndice V do Anexo IX do RCTE/GO.</t>
  </si>
  <si>
    <t>NCM84604019</t>
  </si>
  <si>
    <t>Máquinas, aparelhos e equipamentos industriais: Outras brunidoras de comando numérico</t>
  </si>
  <si>
    <t>Produto constante do item 49.8 do Apêndice V do Anexo IX do RCTE/GO.</t>
  </si>
  <si>
    <t>NCM84604091</t>
  </si>
  <si>
    <t>Máquinas, aparelhos e equipamentos industriais: Brunidoras para cilindros de diâmetro inferior ou igual a 312mm</t>
  </si>
  <si>
    <t>Produto constante do item 49.9 do Apêndice V do Anexo IX do RCTE/GO.</t>
  </si>
  <si>
    <t>NCM84604099</t>
  </si>
  <si>
    <t>Máquinas, aparelhos e equipamentos industriais: Outras brunidoras</t>
  </si>
  <si>
    <t>Produto constante do item 49.10 do Apêndice V do Anexo IX do RCTE/GO.</t>
  </si>
  <si>
    <t>NCM84609011</t>
  </si>
  <si>
    <t>Máquinas, aparelhos e equipamentos industriais: Máquinas-ferramentas, de comando numérico, de polir, com cinco ou mais cabeças e porta -peças rotativo</t>
  </si>
  <si>
    <t>Produto constante do item 49.11 do Apêndice V do Anexo IX do RCTE/GO.</t>
  </si>
  <si>
    <t>NCM84609012</t>
  </si>
  <si>
    <t>Máquinas, aparelhos e equipamentos industriais: Máquinas-ferramentas, de comando numérico, de esmerilhar, com duas ou mais cabeças e porta-peças rotativo</t>
  </si>
  <si>
    <t>Produto constante do item 49.12 do Apêndice V do Anexo IX do RCTE/GO.</t>
  </si>
  <si>
    <t>NCM84609019</t>
  </si>
  <si>
    <t>Máquinas, aparelhos e equipamentos industriais: Outras máquinas-ferramentas para rebarbar, afiar, amolar, retificar, brunir, polir ou realizar outras operações de acabamento em metais ou ceramais, de comando numérico</t>
  </si>
  <si>
    <t>Produto constante do item 49.13 do Apêndice V do Anexo IX do RCTE/GO.</t>
  </si>
  <si>
    <t>NCM84609090</t>
  </si>
  <si>
    <t>Máquinas, aparelhos e equipamentos industriais: Outras máquinas-ferramentas para rebarbar, afiar, amolar, retificar, brunir, polir ou realizar outras operações de acabamento em metais ou ceramais</t>
  </si>
  <si>
    <t>Produto constante do item 49.14 do Apêndice V do Anexo IX do RCTE/GO.</t>
  </si>
  <si>
    <t>NCM84612010</t>
  </si>
  <si>
    <t>Máquinas, aparelhos e equipamentos industriais: Plainas-limadoras e máquinas para escatelar</t>
  </si>
  <si>
    <t>Produto constante do item 50.1 do Apêndice V do Anexo IX do RCTE/GO.</t>
  </si>
  <si>
    <t>NCM84612090</t>
  </si>
  <si>
    <t>Máquinas, aparelhos e equipamentos industriais: Outras plainas-limadoras e máquinas para escatelar</t>
  </si>
  <si>
    <t>Produto constante do item 50.2 do Apêndice V do Anexo IX do RCTE/GO.</t>
  </si>
  <si>
    <t>NCM84613010</t>
  </si>
  <si>
    <t>Máquinas, aparelhos e equipamentos industriais: Máquinas para brochar, de comando numérico</t>
  </si>
  <si>
    <t>Produto constante do item 50.3 do Apêndice V do Anexo IX do RCTE/GO.</t>
  </si>
  <si>
    <t>NCM84613090</t>
  </si>
  <si>
    <t>Máquinas, aparelhos e equipamentos industriais: Mandriladeiras</t>
  </si>
  <si>
    <t>Produto constante do item 50.4 do Apêndice V do Anexo IX do RCTE/GO.</t>
  </si>
  <si>
    <t>NCM84614010</t>
  </si>
  <si>
    <t>Máquinas, aparelhos e equipamentos industriais: Máquinas para cortar ou acabar engrenagens, de comando numérico</t>
  </si>
  <si>
    <t>Produto constante do item 50.5 do Apêndice V do Anexo IX do RCTE/GO.</t>
  </si>
  <si>
    <t>NCM84614091</t>
  </si>
  <si>
    <t>Máquinas, aparelhos e equipamentos industriais: Redondeadoras de dentes</t>
  </si>
  <si>
    <t>Produto constante do item 50.6 do Apêndice V do Anexo IX do RCTE/GO.</t>
  </si>
  <si>
    <t>NCM84614099</t>
  </si>
  <si>
    <t>Máquinas, aparelhos e equipamentos industriais: Outras máquinas para cortar ou acabar engrenagens</t>
  </si>
  <si>
    <t>Produto constante do item 50.7 do Apêndice V do Anexo IX do RCTE/GO.</t>
  </si>
  <si>
    <t>NCM84615010</t>
  </si>
  <si>
    <t>Máquinas, aparelhos e equipamentos industriais: Máquinas para serrar ou seccionar, de fitas sem fim</t>
  </si>
  <si>
    <t>Produto constante do item 50.8 do Apêndice V do Anexo IX do RCTE/GO.</t>
  </si>
  <si>
    <t>NCM84615020</t>
  </si>
  <si>
    <t>Máquinas, aparelhos e equipamentos industriais: Máquinas para serrar ou seccionar, circulares</t>
  </si>
  <si>
    <t>Produto constante do item 50.9 do Apêndice V do Anexo IX do RCTE/GO.</t>
  </si>
  <si>
    <t>NCM84615090</t>
  </si>
  <si>
    <t>Máquinas, aparelhos e equipamentos industriais: Outras máquinas para serrar ou seccionar; serra de fita, alternativa; cortadeiras</t>
  </si>
  <si>
    <t>Produto constante do item 50.10 do Apêndice V do Anexo IX do RCTE/GO.</t>
  </si>
  <si>
    <t>NCM84619010</t>
  </si>
  <si>
    <t>Máquinas, aparelhos e equipamentos industriais: Outras máquinas-ferramentas para aplainar, de comando numérico</t>
  </si>
  <si>
    <t>Produto constante do item 50.11 do Apêndice V do Anexo IX do RCTE/GO.</t>
  </si>
  <si>
    <t>NCM84619090</t>
  </si>
  <si>
    <t>Máquinas, aparelhos e equipamentos industriais: Outras máquinas-ferramentas para aplainar; desbastadeiras; filetadeiras</t>
  </si>
  <si>
    <t>Produto constante do item 50.12 do Apêndice V do Anexo IX do RCTE/GO.</t>
  </si>
  <si>
    <t>NCM84621011</t>
  </si>
  <si>
    <t>Máquinas, aparelhos e equipamentos industriais: Máquinas para estampar</t>
  </si>
  <si>
    <t>Produto constante do item 51.1 do Apêndice V do Anexo IX do RCTE/GO.</t>
  </si>
  <si>
    <t>NCM84621019</t>
  </si>
  <si>
    <t>Máquinas, aparelhos e equipamentos industriais: Outras máquinas (incluídas as prensas) para forjar ou estampar, martelos, martelos-pilões e martinetes, de comando numérico</t>
  </si>
  <si>
    <t>Produto constante do item 51.2 do Apêndice V do Anexo IX do RCTE/GO.</t>
  </si>
  <si>
    <t>NCM84621090</t>
  </si>
  <si>
    <t>Máquinas, aparelhos e equipamentos industriais: Outras máquinas (incluídas as prensas) para forjar ou estampar, martelos, martelos-pilões e martinetes</t>
  </si>
  <si>
    <t>Produto constante do item 51.3 do Apêndice V do Anexo IX do RCTE/GO.</t>
  </si>
  <si>
    <t>NCM84622100</t>
  </si>
  <si>
    <t>Máquinas, aparelhos e equipamentos industriais: Máquinas (incluídas as prensas) para enrolar, arquear, dobrar, endireitar ou aplanar, de comando numérico</t>
  </si>
  <si>
    <t>Produto constante do item 51.4 do Apêndice V do Anexo IX do RCTE/GO.</t>
  </si>
  <si>
    <t>NCM84622900</t>
  </si>
  <si>
    <t>Máquinas, aparelhos e equipamentos industriais: Outras máquinas (incluídas as prensas) para enrolar, arquear, dobrar, endireitar ou aplanar</t>
  </si>
  <si>
    <t>Produto constante do item 51.5 do Apêndice V do Anexo IX do RCTE/GO.</t>
  </si>
  <si>
    <t>NCM84623100</t>
  </si>
  <si>
    <t>Máquinas, aparelhos e equipamentos industriais: Máquinas (incluídas as prensas) para cisalhar, exceto as máquinas combinadas de puncionar e cisalhar, de comando numérico</t>
  </si>
  <si>
    <t>Produto constante do item 51.6 do Apêndice V do Anexo IX do RCTE/GO.</t>
  </si>
  <si>
    <t>NCM84623910</t>
  </si>
  <si>
    <t>Máquinas, aparelhos e equipamentos industriais: Máquinas (incluídas as prensas) para cisalhar, exceto as máquinas combinadas de puncionar e cisalhar, tipo guilhotina</t>
  </si>
  <si>
    <t>Produto constante do item 51.7 do Apêndice V do Anexo IX do RCTE/GO.</t>
  </si>
  <si>
    <t>NCM84623990</t>
  </si>
  <si>
    <t>Máquinas, aparelhos e equipamentos industriais: Outras máquinas (incluídas as prensas) para cisalhar, exceto as máquinas combinadas de puncionar e cisalhar</t>
  </si>
  <si>
    <t>Produto constante do item 51.8 do Apêndice V do Anexo IX do RCTE/GO.</t>
  </si>
  <si>
    <t>NCM84624100</t>
  </si>
  <si>
    <t>Máquinas, aparelhos e equipamentos industriais: Máquinas (incluídas as prensas) para puncionar ou para chanfrar, incluídas as máquinas combinadas de puncionar e cisalhar, de comando numérico</t>
  </si>
  <si>
    <t>Produto constante do item 51.9 do Apêndice V do Anexo IX do RCTE/GO.</t>
  </si>
  <si>
    <t>NCM84624900</t>
  </si>
  <si>
    <t>Máquinas, aparelhos e equipamentos industriais: Outras máquinas (incluídas as prensas) para puncionar ou para chanfrar, incluídas as máquinas combinadas de puncionar e cisalhar</t>
  </si>
  <si>
    <t>Produto constante do item 51.10 do Apêndice V do Anexo IX do RCTE/GO.</t>
  </si>
  <si>
    <t>NCM84629111</t>
  </si>
  <si>
    <t>Máquinas, aparelhos e equipamentos industriais: Prensas hidráulicas de capacidade igual ou inferior a 35.000kN, para moldagem de pós metálicos por sinterização</t>
  </si>
  <si>
    <t>Produto constante do item 51.11 do Apêndice V do Anexo IX do RCTE/GO.</t>
  </si>
  <si>
    <t>NCM84629119</t>
  </si>
  <si>
    <t>Máquinas, aparelhos e equipamentos industriais: Outras prensas hidráulicas de capacidade igual ou inferior a 35.000 kN</t>
  </si>
  <si>
    <t>Produto constante do item 51.13 do Apêndice V do Anexo IX do RCTE/GO.</t>
  </si>
  <si>
    <t>NCM84629191</t>
  </si>
  <si>
    <t>Máquinas, aparelhos e equipamentos industriais: Outras prensas hidráulicas, para moldagem de pós metálicos por sinterização</t>
  </si>
  <si>
    <t>Produto constante do item 51.12 do Apêndice V do Anexo IX do RCTE/GO.</t>
  </si>
  <si>
    <t>NCM84629199</t>
  </si>
  <si>
    <t>Máquinas, aparelhos e equipamentos industriais: Outras prensas hidráulicas</t>
  </si>
  <si>
    <t>Produto constante do item 51.14 do Apêndice V do Anexo IX do RCTE/GO.</t>
  </si>
  <si>
    <t>NCM84629910</t>
  </si>
  <si>
    <t>Máquinas, aparelhos e equipamentos industriais: Prensas para moldagem de pós metálicos por sinterização</t>
  </si>
  <si>
    <t>Produto constante do item 51.15 do Apêndice V do Anexo IX do RCTE/GO.</t>
  </si>
  <si>
    <t>NCM84629920</t>
  </si>
  <si>
    <t>Máquinas, aparelhos e equipamentos industriais: Prensas para extrusão</t>
  </si>
  <si>
    <t>Produto constante do item 51.16 do Apêndice V do Anexo IX do RCTE/GO.</t>
  </si>
  <si>
    <t>NCM84629990</t>
  </si>
  <si>
    <t>Máquinas, aparelhos e equipamentos industriais: Outras prensas</t>
  </si>
  <si>
    <t>Produto constante do item 51.17 do Apêndice V do Anexo IX do RCTE/GO.</t>
  </si>
  <si>
    <t>NCM84631010</t>
  </si>
  <si>
    <t>Máquinas, aparelhos e equipamentos industriais: Bancas para estirar tubos</t>
  </si>
  <si>
    <t>Produto constante do item 52.1 do Apêndice V do Anexo IX do RCTE/GO.</t>
  </si>
  <si>
    <t>NCM84631090</t>
  </si>
  <si>
    <t>Máquinas, aparelhos e equipamentos industriais: Outras bancas para estirar barras, perfis, fios ou semelhantes</t>
  </si>
  <si>
    <t>Produto constante do item 52.2 do Apêndice V do Anexo IX do RCTE/GO.</t>
  </si>
  <si>
    <t>NCM84632010</t>
  </si>
  <si>
    <t>Máquinas, aparelhos e equipamentos industriais: Máquinas para fazer roscas internas ou externas por laminagem, de comando hidráulico</t>
  </si>
  <si>
    <t>Produto constante do item 52.3 do Apêndice V do Anexo IX do RCTE/GO.</t>
  </si>
  <si>
    <t>NCM84632091</t>
  </si>
  <si>
    <t>Máquinas, aparelhos e equipamentos industriais: Máquinas para fazer roscas internas ou externas por laminagem de pente plano, com capacidade de produção superior ou igual a 160 unidades por minuto, de diâmetro de rosca compreendido entre 3mm e 10mm</t>
  </si>
  <si>
    <t>Produto constante do item 52.4 do Apêndice V do Anexo IX do RCTE/GO.</t>
  </si>
  <si>
    <t>NCM84632099</t>
  </si>
  <si>
    <t>Máquinas, aparelhos e equipamentos industriais: Outras máquinas para fazer roscas internas ou externas por laminagem</t>
  </si>
  <si>
    <t>Produto constante do item 52.5 do Apêndice V do Anexo IX do RCTE/GO.</t>
  </si>
  <si>
    <t>NCM84633000</t>
  </si>
  <si>
    <t>Máquinas, aparelhos e equipamentos industriais: Máquinas para trabalhar arames e fios de metal</t>
  </si>
  <si>
    <t>Produto constante do item 52.6 do Apêndice V do Anexo IX do RCTE/GO.</t>
  </si>
  <si>
    <t>NCM84639010</t>
  </si>
  <si>
    <t>Máquinas, aparelhos e equipamentos industriais: Outras máquinas-ferramentas para trabalhar metais ou ceramais, de comando numérico</t>
  </si>
  <si>
    <t>Produto constante do item 52.7 do Apêndice V do Anexo IX do RCTE/GO.</t>
  </si>
  <si>
    <t>NCM84639090</t>
  </si>
  <si>
    <t>Máquinas, aparelhos e equipamentos industriais: Outras máquinas-ferramentas para trabalhar metais ou ceramais</t>
  </si>
  <si>
    <t>Produto constante do item 52.8 do Apêndice V do Anexo IX do RCTE/GO.</t>
  </si>
  <si>
    <t>NCM84641000</t>
  </si>
  <si>
    <t>Máquinas, aparelhos e equipamentos industriais: Máquinas para serrar</t>
  </si>
  <si>
    <t>Produto constante do item 53.1 do Apêndice V do Anexo IX do RCTE/GO.</t>
  </si>
  <si>
    <t>NCM84642010</t>
  </si>
  <si>
    <t>Máquinas, aparelhos e equipamentos industriais: Máquinas para esmerilar ou polir, para vidro</t>
  </si>
  <si>
    <t>Produto constante do item 53.2 do Apêndice V do Anexo IX do RCTE/GO.</t>
  </si>
  <si>
    <t>NCM84642021</t>
  </si>
  <si>
    <t>Máquinas, aparelhos e equipamentos industriais: Máquinas de polir placas, para pavimentação ou revestimento, com oito ou mais cabeças, para cerâmica</t>
  </si>
  <si>
    <t>Produto constante do item 53.3 do Apêndice V do Anexo IX do RCTE/GO.</t>
  </si>
  <si>
    <t>NCM84642029</t>
  </si>
  <si>
    <t>Máquinas, aparelhos e equipamentos industriais: Outras máquinas para esmerilar ou polir, para cerâmica</t>
  </si>
  <si>
    <t>Produto constante do item 53.4 do Apêndice V do Anexo IX do RCTE/GO.</t>
  </si>
  <si>
    <t>NCM84642090</t>
  </si>
  <si>
    <t>Máquinas, aparelhos e equipamentos industriais: Outras máquinas para esmerilar ou polir</t>
  </si>
  <si>
    <t>Produto constante do item 53.5 do Apêndice V do Anexo IX do RCTE/GO.</t>
  </si>
  <si>
    <t>NCM84649011</t>
  </si>
  <si>
    <t>Máquinas, aparelhos e equipamentos industriais: Máquinas-ferramentas para o trabalho a frio do vidro, de comando numérico, para retificar, fresar e perfurar</t>
  </si>
  <si>
    <t>Produto constante do item 53.6 do Apêndice V do Anexo IX do RCTE/GO.</t>
  </si>
  <si>
    <t>NCM84649019</t>
  </si>
  <si>
    <t>Máquinas, aparelhos e equipamentos industriais: Outras máquinas-ferramentas para o trabalho a frio do vidro</t>
  </si>
  <si>
    <t>Produto constante do item 53.7 do Apêndice V do Anexo IX do RCTE/GO.</t>
  </si>
  <si>
    <t>NCM84649090</t>
  </si>
  <si>
    <t>Máquinas, aparelhos e equipamentos industriais: Outras máquinas-ferramentas para trabalhar pedra, produtos cerâmicos, concreto, fibrocimento ou matérias minerais semelhantes</t>
  </si>
  <si>
    <t>Produto constante do item 53.8 do Apêndice V do Anexo IX do RCTE/GO.</t>
  </si>
  <si>
    <t>NCM84651000</t>
  </si>
  <si>
    <t>Máquinas, aparelhos e equipamentos industriais: Máquinas-ferramentas capazes de efetuar diferentes tipos de operações sem troca de ferramentas; plaina combinada (desengrossadeira-desempenadeira)</t>
  </si>
  <si>
    <t>Produto constante do item 54.1 do Apêndice V do Anexo IX do RCTE/GO.</t>
  </si>
  <si>
    <t>NCM84659110</t>
  </si>
  <si>
    <t>Máquinas, aparelhos e equipamentos industriais: Máquinas de serrar de fita sem fim</t>
  </si>
  <si>
    <t>Produto constante do item 54.2 do Apêndice V do Anexo IX do RCTE/GO.</t>
  </si>
  <si>
    <t>NCM84659120</t>
  </si>
  <si>
    <t>Máquinas, aparelhos e equipamentos industriais: Máquinas de serrar circulares</t>
  </si>
  <si>
    <t>Produto constante do item 54.3 do Apêndice V do Anexo IX do RCTE/GO.</t>
  </si>
  <si>
    <t>NCM84659190</t>
  </si>
  <si>
    <t>Máquinas, aparelhos e equipamentos industriais: Outras máquinas de serrar; serra de desdobro e serras de folhas múltiplas</t>
  </si>
  <si>
    <t>Produto constante do item 54.4 do Apêndice V do Anexo IX do RCTE/GO.</t>
  </si>
  <si>
    <t>NCM84659211</t>
  </si>
  <si>
    <t>Máquinas, aparelhos e equipamentos industriais: Fresadoras</t>
  </si>
  <si>
    <t>Produto constante do item 54.5 do Apêndice V do Anexo IX do RCTE/GO.</t>
  </si>
  <si>
    <t>NCM84659219</t>
  </si>
  <si>
    <t>Máquinas, aparelhos e equipamentos industriais: Outras máquinas para desbastar ou aplainar; máquinas para fresar ou moldurar, de comando numérico</t>
  </si>
  <si>
    <t>Produto constante do item 54.6 do Apêndice V do Anexo IX do RCTE/GO.</t>
  </si>
  <si>
    <t>NCM84659290</t>
  </si>
  <si>
    <t>Máquinas, aparelhos e equipamentos industriais: Outras máquinas para desbastar ou aplainar; máquinas para fresar ou moldurar; respigadeiras, molduradeiras e talhadeiras; plaina de 3 ou 4 faces; tupias</t>
  </si>
  <si>
    <t>Produto constante do item 54.7 do Apêndice V do Anexo IX do RCTE/GO.</t>
  </si>
  <si>
    <t>NCM84659310</t>
  </si>
  <si>
    <t>Máquinas, aparelhos e equipamentos industriais: Lixadeiras</t>
  </si>
  <si>
    <t>Produto constante do item 54.8 do Apêndice V do Anexo IX do RCTE/GO.</t>
  </si>
  <si>
    <t>NCM84659390</t>
  </si>
  <si>
    <t>Máquinas, aparelhos e equipamentos industriais: Outras máquinas para esmerilar, lixar ou polir</t>
  </si>
  <si>
    <t>Produto constante do item 54.9 do Apêndice V do Anexo IX do RCTE/GO.</t>
  </si>
  <si>
    <t>NCM84659400</t>
  </si>
  <si>
    <t>Máquinas, aparelhos e equipamentos industriais: Máquinas para arquear ou para reunir; prensas para produção de madeira compensada ou placada, com placas aquecidas</t>
  </si>
  <si>
    <t>Produto constante do item 54.10 do Apêndice V do Anexo IX do RCTE/GO.</t>
  </si>
  <si>
    <t>NCM84659511</t>
  </si>
  <si>
    <t>Máquinas, aparelhos e equipamentos industriais: Máquinas para furar, de comando numérico</t>
  </si>
  <si>
    <t>Produto constante do item 54.11 do Apêndice V do Anexo IX do RCTE/GO.</t>
  </si>
  <si>
    <t>NCM84659512</t>
  </si>
  <si>
    <t>Máquinas, aparelhos e equipamentos industriais: Máquinas para escatelar, de comando numérico</t>
  </si>
  <si>
    <t>Produto constante do item 54.12 do Apêndice V do Anexo IX do RCTE/GO.</t>
  </si>
  <si>
    <t>NCM84659591</t>
  </si>
  <si>
    <t>Máquinas, aparelhos e equipamentos industriais: Outras máquinas para furar</t>
  </si>
  <si>
    <t>Produto constante do item 54.13 do Apêndice V do Anexo IX do RCTE/GO.</t>
  </si>
  <si>
    <t>NCM84659592</t>
  </si>
  <si>
    <t>Máquinas, aparelhos e equipamentos industriais: Outras máquinas para escatelar</t>
  </si>
  <si>
    <t>Produto constante do item 54.14 do Apêndice V do Anexo IX do RCTE/GO.</t>
  </si>
  <si>
    <t>NCM84659600</t>
  </si>
  <si>
    <t>Máquinas, aparelhos e equipamentos industriais: Máquinas para fender, seccionar ou desenrolar</t>
  </si>
  <si>
    <t>Produto constante do item 54.15 do Apêndice V do Anexo IX do RCTE/GO.</t>
  </si>
  <si>
    <t>NCM84659900</t>
  </si>
  <si>
    <t>Máquinas, aparelhos e equipamentos industriais: Outras máquinas para descascar madeira; máquinas para fabricação de lã ou palha de madeira; torno tipicamente copiador; qualquer outro torno; máquinas para copiar ou reproduzir; moinhos para fabricação de farinha de madeira; máquinas para fabricação de botões de madeira</t>
  </si>
  <si>
    <t>Produto constante do item 54.16 do Apêndice V do Anexo IX do RCTE/GO.</t>
  </si>
  <si>
    <t>NCM84662010</t>
  </si>
  <si>
    <t>Máquinas, aparelhos e equipamentos industriais: Porta-peças, para tornos</t>
  </si>
  <si>
    <t>Produto constante do item 55.1 do Apêndice V do Anexo IX do RCTE/GO.</t>
  </si>
  <si>
    <t>NCM84663000</t>
  </si>
  <si>
    <t>Máquinas, aparelhos e equipamentos industriais: Dispositivos divisores e outros dispositivos especiais, para máquinas-ferramentas</t>
  </si>
  <si>
    <t>Produto constante do item 55.2 do Apêndice V do Anexo IX do RCTE/GO.</t>
  </si>
  <si>
    <t>NCM84669100</t>
  </si>
  <si>
    <t>Máquinas, aparelhos e equipamentos industriais: Outros acessórios, partes para máquinas da posição 84.64 </t>
  </si>
  <si>
    <t>Produto constante do item 55.3 do Apêndice V do Anexo IX do RCTE/GO.</t>
  </si>
  <si>
    <t>NCM84669200</t>
  </si>
  <si>
    <t>Máquinas, aparelhos e equipamentos industriais: Outros acessórios e partes para máquinas da posição 84.65 </t>
  </si>
  <si>
    <t>Produto constante do item 55.4 do Apêndice V do Anexo IX do RCTE/GO.</t>
  </si>
  <si>
    <t>NCM84669319</t>
  </si>
  <si>
    <t>Máquinas, aparelhos e equipamentos industriais: Outros acessórios e partes para máquinas para usinagem de metais ou carbonetos metálicos da posição 84.56 </t>
  </si>
  <si>
    <t>Produto constante do item 55.5 do Apêndice V do Anexo IX do RCTE/GO.</t>
  </si>
  <si>
    <t>NCM84669320</t>
  </si>
  <si>
    <t>Máquinas, aparelhos e equipamentos industriais: Outros acessórios e partes para máquinas da posição 84.57 </t>
  </si>
  <si>
    <t>Produto constante do item 55.6 do Apêndice V do Anexo IX do RCTE/GO.</t>
  </si>
  <si>
    <t>NCM84669330</t>
  </si>
  <si>
    <t>Máquinas, aparelhos e equipamentos industriais: Outros acessórios e partes para máquinas da posição 84.58 </t>
  </si>
  <si>
    <t>Produto constante do item 55.7 do Apêndice V do Anexo IX do RCTE/GO.</t>
  </si>
  <si>
    <t>NCM84669340</t>
  </si>
  <si>
    <t>Máquinas, aparelhos e equipamentos industriais: Outros acessórios e partes para máquinas da posição 84.59 </t>
  </si>
  <si>
    <t>Produto constante do item 55.8 do Apêndice V do Anexo IX do RCTE/GO.</t>
  </si>
  <si>
    <t>NCM84669350</t>
  </si>
  <si>
    <t>Máquinas, aparelhos e equipamentos industriais: Outros acessórios e partes para máquinas da posição 84.60 </t>
  </si>
  <si>
    <t>Produto constante do item 55.9 do Apêndice V do Anexo IX do RCTE/GO.</t>
  </si>
  <si>
    <t>NCM84669360</t>
  </si>
  <si>
    <t>Máquinas, aparelhos e equipamentos industriais: Outros acessórios e partes para máquinas da posição 84.61 </t>
  </si>
  <si>
    <t>Produto constante do item 55.10 do Apêndice V do Anexo IX do RCTE/GO.</t>
  </si>
  <si>
    <t>NCM84669410</t>
  </si>
  <si>
    <t>Máquinas, aparelhos e equipamentos industriais: Outros acessórios e partes para máquinas da posição 8462.10 </t>
  </si>
  <si>
    <t>Produto constante do item 55.11 do Apêndice V do Anexo IX do RCTE/GO.</t>
  </si>
  <si>
    <t>NCM84669420</t>
  </si>
  <si>
    <t>Máquinas, aparelhos e equipamentos industriais: Outros acessórios e partes para máquinas das subposições 8462.21 ou 8462.29 </t>
  </si>
  <si>
    <t>Produto constante do item 55.12 do Apêndice V do Anexo IX do RCTE/GO.</t>
  </si>
  <si>
    <t>NCM84669430</t>
  </si>
  <si>
    <t>Máquinas, aparelhos e equipamentos industriais: Outros acessórios e partes para prensas para extrusão </t>
  </si>
  <si>
    <t>Produto constante do item 55.13 do Apêndice V do Anexo IX do RCTE/GO.</t>
  </si>
  <si>
    <t>NCM84669490</t>
  </si>
  <si>
    <t>Máquinas, aparelhos e equipamentos industriais: Outros acessórios e partes para máquinas: de estirar fios ou tubos; de cisalhar (incluídas as prensas), exceto as máquinas combinadas de puncionar e cisalhar; de puncionar ou chanfrar, incluídas as máquinas combinadas de puncionar e cisalhar; de fazer roscas internas ou externas por rolagem ou laminagem; de trabalhar arames e fios de metal; de trefiladeiras manuais; estiradoras ou trefiladoras para fios; extrusoras e para outras máquinas da posição 84.63, não especificadas </t>
  </si>
  <si>
    <t>Produto constante do item 55.14 do Apêndice V do Anexo IX do RCTE/GO.</t>
  </si>
  <si>
    <t>NCM84671110</t>
  </si>
  <si>
    <t>Máquinas, aparelhos e equipamentos industriais: Furadeiras</t>
  </si>
  <si>
    <t>Produto constante do item 56.1 do Apêndice V do Anexo IX do RCTE/GO.</t>
  </si>
  <si>
    <t>NCM84671190</t>
  </si>
  <si>
    <t>Máquinas, aparelhos e equipamentos industriais: Outras ferramentas pneumáticas rotativas</t>
  </si>
  <si>
    <t>Produto constante do item 56.2 do Apêndice V do Anexo IX do RCTE/GO.</t>
  </si>
  <si>
    <t>NCM84671900</t>
  </si>
  <si>
    <t>Máquinas, aparelhos e equipamentos industriais: Outras ferramentas pneumáticas; martelos ou marteletes; pistolas de ar comprimido para lubrificação</t>
  </si>
  <si>
    <t>Produto constante do item 56.3 do Apêndice V do Anexo IX do RCTE/GO.</t>
  </si>
  <si>
    <t>Máquinas, aparelhos e equipamentos industriais: Outras ferramentas com motor elétrico ou não elétrico incorporado, de uso manual </t>
  </si>
  <si>
    <t>Produto constante do item 56.5 do Apêndice V do Anexo IX do RCTE/GO.</t>
  </si>
  <si>
    <t>NCM84681000</t>
  </si>
  <si>
    <t>Máquinas, aparelhos e equipamentos industriais: Maçaricos de uso manual</t>
  </si>
  <si>
    <t>Produto constante do item 57.1 do Apêndice V do Anexo IX do RCTE/GO.</t>
  </si>
  <si>
    <t>NCM84682000</t>
  </si>
  <si>
    <t>Máquinas, aparelhos e equipamentos industriais: Outras máquinas e aparelhos a gás para soldar matérias termo-plásticas; qualquer outro aparelho para soldar ou cortar; aparelhos manuais ou pistolas para têmpera superficial; qualquer outro aparelho para têmpera superficial</t>
  </si>
  <si>
    <t>Produto constante do item 57.2 do Apêndice V do Anexo IX do RCTE/GO.</t>
  </si>
  <si>
    <t>NCM84688010</t>
  </si>
  <si>
    <t>Máquinas, aparelhos e equipamentos industriais: Outras máquinas e aparelhos para soldar por fricção</t>
  </si>
  <si>
    <t>Produto constante do item 57.3 do Apêndice V do Anexo IX do RCTE/GO.</t>
  </si>
  <si>
    <t>NCM84688090</t>
  </si>
  <si>
    <t>Máquinas, aparelhos e equipamentos industriais: Outras máquinas e aparelhos para soldar</t>
  </si>
  <si>
    <t>Produto constante do item 57.4 do Apêndice V do Anexo IX do RCTE/GO.</t>
  </si>
  <si>
    <t>NCM84713012</t>
  </si>
  <si>
    <t>Produtos de informática, telecomunicação ou automação: Máquina automática para processamento de dados, digitais, portáteis, de peso inferior a 3,5kg, com teclado alfanumérico de no mínimo 70 teclas e com uma tela ("écran") de área superior a 140cm2 e inferior a 560cm2 (Notebook)</t>
  </si>
  <si>
    <t>Produto constante no item 34 do Apêndice IV do Anexo IX do RCTE/GO.</t>
  </si>
  <si>
    <t>NCM84713019</t>
  </si>
  <si>
    <t>Produtos de informática, telecomunicação ou automação: Máquina automática digital para processamento de dados, contendo, no mesmo corpo, pelo menos uma unidade central de processamento e, mesmo combinada, uma unidade de entrada e uma unidade de saída</t>
  </si>
  <si>
    <t>Produto constante no item 35 do Apêndice IV do Anexo IX do RCTE/GO.</t>
  </si>
  <si>
    <t>NCM84714110</t>
  </si>
  <si>
    <t>Produtos de informática, telecomunicação ou automação: Máquina automática digital para processamento de dados contendo, no mesmo corpo, pelo menos uma unidade central de processamento e, mesmo combinadas, uma unidade de entrada e uma unidade de saída, de peso inferior a 750g, sem teclado, com reconhecimento de escrita, entrada de dados e de comandos por meio de uma tela ("écran") de área inferior a 280cm2 (Palm)</t>
  </si>
  <si>
    <t>Produto constante no item 36 do Apêndice IV do Anexo IX do RCTE/GO.</t>
  </si>
  <si>
    <t>NCM84714190</t>
  </si>
  <si>
    <t>Produtos de informática, telecomunicação ou automação: Máquina automática para processamento de dados, analógica ou híbrida</t>
  </si>
  <si>
    <t>Produto constante no item 37 do Apêndice IV do Anexo IX do RCTE/GO.</t>
  </si>
  <si>
    <t>NCM84714900</t>
  </si>
  <si>
    <t>NCM84715010</t>
  </si>
  <si>
    <t>Produtos de informática, telecomunicação ou automação: Unidade digital de processamento, mesmo apresentada com o restante de um sistema e podendo conter, no mesmo corpo, um ou dois dos tipos de unidades seguintes: de memória, de entrada e de saída com elemento aritmético e lógico baseados em microprocessador</t>
  </si>
  <si>
    <t>Produto constante no item 38 do Apêndice IV do Anexo IX do RCTE/GO.</t>
  </si>
  <si>
    <t>NCM84715020</t>
  </si>
  <si>
    <t>Produtos de informática, telecomunicação ou automação: Unidade central de processamento de grande porte</t>
  </si>
  <si>
    <t>Produto constante no item 39 do Apêndice IV do Anexo IX do RCTE/GO.</t>
  </si>
  <si>
    <t>NCM84716052</t>
  </si>
  <si>
    <t>Produtos de informática, telecomunicação ou automação: Teclado</t>
  </si>
  <si>
    <t>Produto constante no item 40 do Apêndice IV do Anexo IX do RCTE/GO.</t>
  </si>
  <si>
    <t>NCM84716053</t>
  </si>
  <si>
    <t>Produtos de informática, telecomunicação ou automação: Indicador ou apontador ("mouse" e "track-ball")</t>
  </si>
  <si>
    <t>Produto constante no item 41 do Apêndice IV do Anexo IX do RCTE/GO.</t>
  </si>
  <si>
    <t>NCM84716054</t>
  </si>
  <si>
    <t>Produtos de informática, telecomunicação ou automação: Mesa digitalizadora</t>
  </si>
  <si>
    <t>Produto constante no item 42 do Apêndice IV do Anexo IX do RCTE/GO.</t>
  </si>
  <si>
    <t>NCM84716059</t>
  </si>
  <si>
    <t>Produtos de informática, telecomunicação ou automação: Outras unidades de entrada</t>
  </si>
  <si>
    <t>Produto constante no item 43 do Apêndice IV do Anexo IX do RCTE/GO.</t>
  </si>
  <si>
    <t>NCM84716061</t>
  </si>
  <si>
    <t>Produtos de informática, telecomunicação ou automação: Aparelho terminal que tenha, pelo menos, uma unidade de entrada por teclado alfanumérico e uma unidade de saída por vídeo (terminal de vídeo), com unidade de saída por vídeo monocromático</t>
  </si>
  <si>
    <t>Produto constante no item 44 do Apêndice IV do Anexo IX do RCTE/GO.</t>
  </si>
  <si>
    <t>NCM84716062</t>
  </si>
  <si>
    <t>Produtos de informática, telecomunicação ou automação: Aparelho terminal que tenha, pelo menos, uma unidade de entrada por teclado alfanumérico e uma unidade de saída por vídeo (terminal de vídeo), com unidade de saída por vídeo policromático</t>
  </si>
  <si>
    <t>Produto constante no item 45 do Apêndice IV do Anexo IX do RCTE/GO.</t>
  </si>
  <si>
    <t>NCM84717011</t>
  </si>
  <si>
    <t>Produtos de informática, telecomunicação ou automação: Unidade de disco magnético para disco flexível</t>
  </si>
  <si>
    <t>Produto constante no item 46 do Apêndice IV do Anexo IX do RCTE/GO.</t>
  </si>
  <si>
    <t>NCM84717012</t>
  </si>
  <si>
    <t>Produtos de informática, telecomunicação ou automação: Unidade de disco magnético para disco rígido, com um só conjunto cabeça-disco (HDA - "Head Disk Assembly")</t>
  </si>
  <si>
    <t>Produto constante no item 47 do Apêndice IV do Anexo IX do RCTE/GO.</t>
  </si>
  <si>
    <t>NCM84717019</t>
  </si>
  <si>
    <t>Produtos de informática, telecomunicação ou automação: Outras unidades de memórias</t>
  </si>
  <si>
    <t>Produto constante no item 48 do Apêndice IV do Anexo IX do RCTE/GO.</t>
  </si>
  <si>
    <t>NCM84717021</t>
  </si>
  <si>
    <t>Produtos de informática, telecomunicação ou automação: Unidade de disco óptico para leitura ou gravação de dados por meio óptico, exceto sistema de sensores para controle de qualidade em linha de embalagem, exclusivamente para leitura</t>
  </si>
  <si>
    <t>Produto constante no item 49 do Apêndice IV do Anexo IX do RCTE/GO.</t>
  </si>
  <si>
    <t>NCM84717029</t>
  </si>
  <si>
    <t>Produtos de informática, telecomunicação ou automação: Unidade de disco óptico para leitura ou gravação de dados por meio óptico, exceto sistema de sensor para controle de qualidade em linha de embalagem, exclusivamente para leitora de código de barras</t>
  </si>
  <si>
    <t>Produto constante no item 50 do Apêndice IV do Anexo IX do RCTE/GO.</t>
  </si>
  <si>
    <t>NCM84717032</t>
  </si>
  <si>
    <t>Produtos de informática, telecomunicação ou automação: Unidade de fita magnética para cartucho</t>
  </si>
  <si>
    <t>Produto constante no item 51 do Apêndice IV do Anexo IX do RCTE/GO.</t>
  </si>
  <si>
    <t>NCM84717033</t>
  </si>
  <si>
    <t>Produtos de informática, telecomunicação ou automação: Unidade de fita magnética para cassete</t>
  </si>
  <si>
    <t>Produto constante no item 52 do Apêndice IV do Anexo IX do RCTE/GO.</t>
  </si>
  <si>
    <t>NCM84717039</t>
  </si>
  <si>
    <t>Produtos de informática, telecomunicação ou automação: Unidade de fita magnética, inclusive "streamer"</t>
  </si>
  <si>
    <t>Produto constante no item 53 do Apêndice IV do Anexo IX do RCTE/GO.</t>
  </si>
  <si>
    <t>NCM84718000</t>
  </si>
  <si>
    <t>Produtos de informática, telecomunicação ou automação: Controlodara de disco rígido e flexível</t>
  </si>
  <si>
    <t>Produto constante no item 54 do Apêndice IV do Anexo IX do RCTE/GO.</t>
  </si>
  <si>
    <t>NCM84719011</t>
  </si>
  <si>
    <t>Produtos de informática, telecomunicação ou automação: Leitor e gravador de cartão magnético</t>
  </si>
  <si>
    <t>Produto constante no item 56 do Apêndice IV do Anexo IX do RCTE/GO.</t>
  </si>
  <si>
    <t>NCM84719012</t>
  </si>
  <si>
    <t>Produtos de informática, telecomunicação ou automação: Leitor de código de barras</t>
  </si>
  <si>
    <t>Produto constante no item 57 do Apêndice IV do Anexo IX do RCTE/GO.</t>
  </si>
  <si>
    <t>NCM84719013</t>
  </si>
  <si>
    <t>Produtos de informática, telecomunicação ou automação: Leitor de caracter magnetizável</t>
  </si>
  <si>
    <t>Produto constante no item 58 do Apêndice IV do Anexo IX do RCTE/GO.</t>
  </si>
  <si>
    <t>NCM84719014</t>
  </si>
  <si>
    <t>Produtos de informática, telecomunicação ou automação: Digitalizadores de imagens (scanners)</t>
  </si>
  <si>
    <t>Produto constante no item 59 do Apêndice IV do Anexo IX do RCTE/GO.</t>
  </si>
  <si>
    <t>NCM84719019</t>
  </si>
  <si>
    <t>Produtos de informática, telecomunicação ou automação: Leitora e/ou marcador de caracter (CMC-7)</t>
  </si>
  <si>
    <t>Produto constante no item 60 do Apêndice IV do Anexo IX do RCTE/GO.</t>
  </si>
  <si>
    <t>NCM84719090</t>
  </si>
  <si>
    <t>Produtos de informática, telecomunicação ou automação: Leitor magnético ou óptico não compreendido em outra posição ou subposição desta lista</t>
  </si>
  <si>
    <t>Produto constante no item 61 do Apêndice IV do Anexo IX do RCTE/GO.</t>
  </si>
  <si>
    <t>NCM84729021</t>
  </si>
  <si>
    <t>Produtos de informática, telecomunicação ou automação: Máquina eletrônica, com capacidade de comunicação bidirecional com computador ou outra máquina digital</t>
  </si>
  <si>
    <t>Produto constante no item 62 do Apêndice IV do Anexo IX do RCTE/GO.</t>
  </si>
  <si>
    <t>NCM84729030</t>
  </si>
  <si>
    <t>Produtos de informática, telecomunicação ou automação: Máquina para selecionar e contar moeda ou papel-moeda</t>
  </si>
  <si>
    <t>Produto constante no item 63 do Apêndice IV do Anexo IX do RCTE/GO.</t>
  </si>
  <si>
    <t>NCM84729099</t>
  </si>
  <si>
    <t>Produtos de informática, telecomunicação ou automação: Máquina para preenchimento de cheque e também boleto ou recibo</t>
  </si>
  <si>
    <t>Produto constante no item 19 do Apêndice IV do Anexo IX do RCTE/GO.</t>
  </si>
  <si>
    <t>NCM84732990</t>
  </si>
  <si>
    <t>Produtos de informática, telecomunicação ou automação: Fita para impressora matricial</t>
  </si>
  <si>
    <t>Produto constante no item 64 do Apêndice IV do Anexo IX do RCTE/GO.</t>
  </si>
  <si>
    <t>NCM84733011</t>
  </si>
  <si>
    <t>Produtos de informática, telecomunicação ou automação: Gabinete, com ou sem módulo "display" numérico, fonte de alimentação incorporada ou ambos com fonte de alimentação, com ou sem módulo "display" numérico</t>
  </si>
  <si>
    <t>Produto constante no item 65 do Apêndice IV do Anexo IX do RCTE/GO.</t>
  </si>
  <si>
    <t>NCM84733019</t>
  </si>
  <si>
    <t>Produtos de informática, telecomunicação ou automação: Parte e acessório de impressoras</t>
  </si>
  <si>
    <t>Produto constante no item 66 do Apêndice IV do Anexo IX do RCTE/GO.</t>
  </si>
  <si>
    <t>NCM84733039</t>
  </si>
  <si>
    <t>Produtos de informática, telecomunicação ou automação: Outras partes e acessórios de unidades de discos magnéticos ou de fitas magnéticas</t>
  </si>
  <si>
    <t>Produto constante no item 67 do Apêndice IV do Anexo IX do RCTE/GO.</t>
  </si>
  <si>
    <t>NCM84733041</t>
  </si>
  <si>
    <t>Produtos de informática, telecomunicação ou automação: Placa-mãe ("mother boards")</t>
  </si>
  <si>
    <t>Produto constante no item 68 do Apêndice IV do Anexo IX do RCTE/GO.</t>
  </si>
  <si>
    <t>NCM84733042</t>
  </si>
  <si>
    <t>Produtos de informática, telecomunicação ou automação: Placa (módulo) de memória com uma superfície inferior ou igual a 50cm2</t>
  </si>
  <si>
    <t>Produto constante no item 69 do Apêndice IV do Anexo IX do RCTE/GO.</t>
  </si>
  <si>
    <t>NCM84733043</t>
  </si>
  <si>
    <t>Produtos de informática, telecomunicação ou automação: Placas de microprocessamento com dispositivo de dissipação de calor, inclusive em cartuchos</t>
  </si>
  <si>
    <t>Produto constante no item 70 do Apêndice IV do Anexo IX do RCTE/GO.</t>
  </si>
  <si>
    <t>NCM84733049</t>
  </si>
  <si>
    <t>Produtos de informática, telecomunicação ou automação: Circuito impresso com componente elétrico ou eletrônico, montado</t>
  </si>
  <si>
    <t>Produto constante no item 71 do Apêndice IV do Anexo IX do RCTE/GO.</t>
  </si>
  <si>
    <t>NCM84733092</t>
  </si>
  <si>
    <t>Produtos de informática, telecomunicação ou automação: Tela ("écran") para microcomputador portátil, policromática (tela antireflexiva)</t>
  </si>
  <si>
    <t>Produto constante no item 72 do Apêndice IV do Anexo IX do RCTE/GO.</t>
  </si>
  <si>
    <t>NCM84733099</t>
  </si>
  <si>
    <t>Produtos de informática, telecomunicação ou automação: Controlador e/ou formatador para disco magnético tipo flexível</t>
  </si>
  <si>
    <t>Produto constante no item 73 do Apêndice IV do Anexo IX do RCTE/GO.</t>
  </si>
  <si>
    <t>NCM84734070</t>
  </si>
  <si>
    <t>Produtos de informática, telecomunicação ou automação: Apoio para digitação</t>
  </si>
  <si>
    <t>Produto constante no item 74 do Apêndice IV do Anexo IX do RCTE/GO.</t>
  </si>
  <si>
    <t>NCM84734090</t>
  </si>
  <si>
    <t>Produtos de informática, telecomunicação ou automação: Alimentador de formulário</t>
  </si>
  <si>
    <t>Produto constante no item 75 do Apêndice IV do Anexo IX do RCTE/GO.</t>
  </si>
  <si>
    <t>NCM84735034</t>
  </si>
  <si>
    <t>Produtos de informática, telecomunicação ou automação: Cinta de caracter para uso em computador ou em outro tipo de máquina</t>
  </si>
  <si>
    <t>Produto constante no item 76 do Apêndice IV do Anexo IX do RCTE/GO.</t>
  </si>
  <si>
    <t>NCM84735035</t>
  </si>
  <si>
    <t>Produtos de informática, telecomunicação ou automação: Cartucho de tinta para uso em impressora ou outro tipo de máquina de impressão</t>
  </si>
  <si>
    <t>Produto constante no item 77 do Apêndice IV do Anexo IX do RCTE/GO.</t>
  </si>
  <si>
    <t>NCM84735040</t>
  </si>
  <si>
    <t>Produtos de informática, telecomunicação ou automação: Cabeça magnética</t>
  </si>
  <si>
    <t>Produto constante no item 78 do Apêndice IV do Anexo IX do RCTE/GO.</t>
  </si>
  <si>
    <t>NCM84735050</t>
  </si>
  <si>
    <t>Produtos de informática, telecomunicação ou automação: Placa (módulos) de memória com uma superfície inferior ou igual a 50cm2.</t>
  </si>
  <si>
    <t>Produto constante no item 79 do Apêndice IV do Anexo IX do RCTE/GO.</t>
  </si>
  <si>
    <t>NCM84735090</t>
  </si>
  <si>
    <t>Produtos de informática, telecomunicação ou automação: Servidor de impressão</t>
  </si>
  <si>
    <t>Produto constante no item 80 do Apêndice IV do Anexo IX do RCTE/GO.</t>
  </si>
  <si>
    <t>NCM84741000</t>
  </si>
  <si>
    <t>Máquinas, aparelhos e equipamentos industriais: Máquinas e aparelhos para selecionar, peneirar, separar ou lavar</t>
  </si>
  <si>
    <t>Produto constante do item 58.1 do Apêndice V do Anexo IX do RCTE/GO.</t>
  </si>
  <si>
    <t>NCM84742010</t>
  </si>
  <si>
    <t>Máquinas, aparelhos e equipamentos industriais: Máquinas e aparelhos para esmagar, moer ou pulverizar, de bolas</t>
  </si>
  <si>
    <t>Produto constante do item 58.2 do Apêndice V do Anexo IX do RCTE/GO.</t>
  </si>
  <si>
    <t>NCM84742090</t>
  </si>
  <si>
    <t>Máquinas, aparelhos e equipamentos industriais: Outras máquinas e aparelhos para esmagar, moer ou pulverizar</t>
  </si>
  <si>
    <t>Produto constante do item 58.3 do Apêndice V do Anexo IX do RCTE/GO.</t>
  </si>
  <si>
    <t>NCM84743100</t>
  </si>
  <si>
    <t>Máquinas, aparelhos e equipamentos industriais: Betoneiras e aparelhos para amassar cimento</t>
  </si>
  <si>
    <t>Produto constante do item 58.4 do Apêndice V do Anexo IX do RCTE/GO.</t>
  </si>
  <si>
    <t>NCM84748010</t>
  </si>
  <si>
    <t>Máquinas, aparelhos e equipamentos industriais: Outras máquinas e aparelhos para fabricação de moldes de areia para fundição</t>
  </si>
  <si>
    <t>Produto constante do item 58.7 do Apêndice V do Anexo IX do RCTE/GO.</t>
  </si>
  <si>
    <t>NCM84748090</t>
  </si>
  <si>
    <t>Máquinas, aparelhos e equipamentos industriais: Outras máquinas e aparelhos para selecionar, peneirar, separar, lavar, esmagar, moer, misturar ou amassar terras, pedras, minérios ou outras substâncias minerais sólidas; máquinas para fabricar tijolos</t>
  </si>
  <si>
    <t>Produto constante do item 58.8 do Apêndice V do Anexo IX do RCTE/GO.</t>
  </si>
  <si>
    <t>NCM84751000</t>
  </si>
  <si>
    <t>Máquinas, aparelhos e equipamentos industriais: Máquinas para montagem de lâmpadas, tubos ou válvulas, elétricos ou eletrônicos, ou de lâmpadas de luz relâmpago ('flash'), que tenham invólucro de vidro</t>
  </si>
  <si>
    <t>Produto constante do item 59.1 do Apêndice V do Anexo IX do RCTE/GO.</t>
  </si>
  <si>
    <t>NCM84752100</t>
  </si>
  <si>
    <t>Máquinas, aparelhos e equipamentos industriais: Máquinas para fabricação de fibras ópticas e de seus esboços</t>
  </si>
  <si>
    <t>Produto constante do item 59.2 do Apêndice V do Anexo IX do RCTE/GO.</t>
  </si>
  <si>
    <t>NCM84752910</t>
  </si>
  <si>
    <t>Máquinas, aparelhos e equipamentos industriais: Outra máquinas para fabricação de recipientes da posição 70.10, exceto ampolas</t>
  </si>
  <si>
    <t>Produto constante do item 59.3 do Apêndice V do Anexo IX do RCTE/GO.</t>
  </si>
  <si>
    <t>NCM84752990</t>
  </si>
  <si>
    <t>Máquinas, aparelhos e equipamentos industriais: Outras máquinas para fabricação ou trabalho a quente do vidro ou das suas obras; máquinas para moldagem de lâmpadas, válvulas e semelhantes</t>
  </si>
  <si>
    <t>Produto constante do item 59.4 do Apêndice V do Anexo IX do RCTE/GO.</t>
  </si>
  <si>
    <t>NCM84771011</t>
  </si>
  <si>
    <t>Máquinas, aparelhos e equipamentos industriais: Monocolor, para materiais termoplásticos, com capacidade de injeção inferior ou igual a 5.000g e força de fechamento inferior ou igual a 12.000kN</t>
  </si>
  <si>
    <t>Produto constante do item 60.1 do Apêndice V do Anexo IX do RCTE/GO.</t>
  </si>
  <si>
    <t>NCM84771019</t>
  </si>
  <si>
    <t>Máquinas, aparelhos e equipamentos industriais: Outras máquinas de moldar por injeção, horizontais, de comando numérico</t>
  </si>
  <si>
    <t>Produto constante do item 60.2 do Apêndice V do Anexo IX do RCTE/GO.</t>
  </si>
  <si>
    <t>NCM84771021</t>
  </si>
  <si>
    <t>Produto constante do item 60.3 do Apêndice V do Anexo IX do RCTE/GO.</t>
  </si>
  <si>
    <t>NCM84771029</t>
  </si>
  <si>
    <t>Máquinas, aparelhos e equipamentos industriais: Outras máquinas de moldar por injeção, horizontais</t>
  </si>
  <si>
    <t>Produto constante do item 60.4 do Apêndice V do Anexo IX do RCTE/GO.</t>
  </si>
  <si>
    <t>NCM84771091</t>
  </si>
  <si>
    <t>Máquinas, aparelhos e equipamentos industriais: Outras máquinas de moldar por injeção, de comando numérico</t>
  </si>
  <si>
    <t>Produto constante do item 60.5 do Apêndice V do Anexo IX do RCTE/GO.</t>
  </si>
  <si>
    <t>NCM84771099</t>
  </si>
  <si>
    <t>Máquinas, aparelhos e equipamentos industriais: Outras máquinas de moldar por injeção</t>
  </si>
  <si>
    <t>Produto constante do item 60.6 do Apêndice V do Anexo IX do RCTE/GO.</t>
  </si>
  <si>
    <t>NCM84772010</t>
  </si>
  <si>
    <t>Máquinas, aparelhos e equipamentos industriais: Extrusoras, para materiais termoplásticos, com diâmetro da rosca inferior ou igual a 300mm</t>
  </si>
  <si>
    <t>Produto constante do item 60.7 do Apêndice V do Anexo IX do RCTE/GO.</t>
  </si>
  <si>
    <t>NCM84772090</t>
  </si>
  <si>
    <t>Máquinas, aparelhos e equipamentos industriais: Outras extrusoras</t>
  </si>
  <si>
    <t>Produto constante do item 60.8 do Apêndice V do Anexo IX do RCTE/GO.</t>
  </si>
  <si>
    <t>NCM84773010</t>
  </si>
  <si>
    <t>Máquinas, aparelhos e equipamentos industriais: Máquinas de moldar por insuflação para fabricação de recipientes termoplásticos de capacidade inferior ou igual a 5 litros, com uma produção inferior ou igual a 1.000 unidades por hora, referente a recipiente de 1 litro</t>
  </si>
  <si>
    <t>Produto constante do item 60.9 do Apêndice V do Anexo IX do RCTE/GO.</t>
  </si>
  <si>
    <t>NCM84773090</t>
  </si>
  <si>
    <t>Máquinas, aparelhos e equipamentos industriais: Outras máquinas de moldar por insuflação</t>
  </si>
  <si>
    <t>Produto constante do item 60.10 do Apêndice V do Anexo IX do RCTE/GO.</t>
  </si>
  <si>
    <t>NCM84774010</t>
  </si>
  <si>
    <t>Máquinas, aparelhos e equipamentos industriais: Máquina de moldar a vácuo poliestireno expandido (EPS) ou polipropileno expandido (EPP)</t>
  </si>
  <si>
    <t>Produto constante do item 60.11 do Apêndice V do Anexo IX do RCTE/GO.</t>
  </si>
  <si>
    <t>NCM84774090</t>
  </si>
  <si>
    <t>Máquinas, aparelhos e equipamentos industriais: Outras máquinas de moldar a vácuo e outras máquinas de termoformar</t>
  </si>
  <si>
    <t>Produto constante do item 60.12 do Apêndice V do Anexo IX do RCTE/GO.</t>
  </si>
  <si>
    <t>NCM84775100</t>
  </si>
  <si>
    <t>Máquinas, aparelhos e equipamentos industriais: Máquina para moldar ou recauchutar pneumáticos ou para moldar ou dar forma a câmaras-de-ar</t>
  </si>
  <si>
    <t>Produto constante do item 60.13 do Apêndice V do Anexo IX do RCTE/GO.</t>
  </si>
  <si>
    <t>NCM84775911</t>
  </si>
  <si>
    <t>Máquinas, aparelhos e equipamentos industriais: Prensa com capacidade inferior ou igual a 30.000kN</t>
  </si>
  <si>
    <t>Produto constante do item 60.14 do Apêndice V do Anexo IX do RCTE/GO.</t>
  </si>
  <si>
    <t>NCM84775919</t>
  </si>
  <si>
    <t>Produto constante do item 60.15 do Apêndice V do Anexo IX do RCTE/GO.</t>
  </si>
  <si>
    <t>NCM84775990</t>
  </si>
  <si>
    <t>Máquinas, aparelhos e equipamentos industriais: Outras máquinas e aparelhos para moldar ou dar forma</t>
  </si>
  <si>
    <t>Produto constante do item 60.16 do Apêndice V do Anexo IX do RCTE/GO.</t>
  </si>
  <si>
    <t>NCM84778010</t>
  </si>
  <si>
    <t>Máquinas, aparelhos e equipamentos industriais: Máquina de unir lâminas de borracha entre si ou com tecidos com borracha, para fabricação de pneumáticos</t>
  </si>
  <si>
    <t>Produto constante do item 60.17 do Apêndice V do Anexo IX do RCTE/GO.</t>
  </si>
  <si>
    <t>NCM84778090</t>
  </si>
  <si>
    <t>Máquinas, aparelhos e equipamentos industriais: Outras máquinas e aparelhos para trabalhar borracha ou plásticos ou para fabricação de produtos dessas matérias</t>
  </si>
  <si>
    <t>Produto constante do item 60.18 do Apêndice V do Anexo IX do RCTE/GO.</t>
  </si>
  <si>
    <t>NCM84781090</t>
  </si>
  <si>
    <t>Máquinas, aparelhos e equipamentos industriais: Outras máquinas e aparelhos para preparar ou transformar tabaco; máquinas para fabricar cigarros, charutos, cigarrilhas e semelhantes; máquinas debulhadoras de tabaco em folha; máquinas separadoras lineares de tabaco em folha; máquinas classificadoras de lâmina de tabaco em folhas; distribuidora tipo "Splitter" para tabaco em folha; cilindros condicionados de tabaco em folha; cilindros rotativos com peneiras para tabaco em folha</t>
  </si>
  <si>
    <t>Produto constante do item 61 do Apêndice V do Anexo IX do RCTE/GO.</t>
  </si>
  <si>
    <t>NCM84791010</t>
  </si>
  <si>
    <t>Máquinas e equipamentos rodoviários: vibro acabadora de asfalto</t>
  </si>
  <si>
    <t>Produto constante no item 13 do Apêndice XII do Anexo IX do RCTE/GO.</t>
  </si>
  <si>
    <t>NCM84791090</t>
  </si>
  <si>
    <t>Máquinas e equipamentos rodoviários: distribuidor de agregados</t>
  </si>
  <si>
    <t>Produto constante no item 15 do Apêndice XII do Anexo IX do RCTE/GO.</t>
  </si>
  <si>
    <t>NCM84792000</t>
  </si>
  <si>
    <t>Máquinas, aparelhos e equipamentos industriais: Máquinas e aparelhos para extração ou preparação de óleos ou gorduras vegetais fixos ou de óleos ou gorduras animais</t>
  </si>
  <si>
    <t>Produto constante do item 62.1 do Apêndice V do Anexo IX do RCTE/GO.</t>
  </si>
  <si>
    <t>NCM84793000</t>
  </si>
  <si>
    <t>Máquinas, aparelhos e equipamentos industriais: Prensas para fabricação de painéis de partículas, de fibras de madeira ou de outras matérias lenhosas, e outras máquinas e aparelhos para tratamento de madeira ou de cortiça</t>
  </si>
  <si>
    <t>Produto constante do item 62.2 do Apêndice V do Anexo IX do RCTE/GO.</t>
  </si>
  <si>
    <t>NCM84794000</t>
  </si>
  <si>
    <t>Máquinas, aparelhos e equipamentos industriais: Máquinas para fabricação de cordas ou cabos</t>
  </si>
  <si>
    <t>Produto constante do item 62.3 do Apêndice V do Anexo IX do RCTE/GO.</t>
  </si>
  <si>
    <t>NCM84798110</t>
  </si>
  <si>
    <t>Máquinas, aparelhos e equipamentos industriais: Diferenciadores das tensões de tração de entrada e saída da chapa, em instalações de galvanoplastia</t>
  </si>
  <si>
    <t>Produto constante do item 62.4 do Apêndice V do Anexo IX do RCTE/GO.</t>
  </si>
  <si>
    <t>NCM84798190</t>
  </si>
  <si>
    <t>Máquinas, aparelhos e equipamentos industriais: Outras máquinas e aparelhos para tratamento de metais, incluídas as bobinadoras para enrolamentos elétricos</t>
  </si>
  <si>
    <t>Produto constante do item 62.5 do Apêndice V do Anexo IX do RCTE/GO.</t>
  </si>
  <si>
    <t>NCM84798922</t>
  </si>
  <si>
    <t>Máquinas, aparelhos e equipamentos industriais: Máquinas e aparelhos para fabricação de pincéis, brochas ou escovas</t>
  </si>
  <si>
    <t>Produto constante do item 62.6 do Apêndice V do Anexo IX do RCTE/GO.</t>
  </si>
  <si>
    <t>NCM84801000</t>
  </si>
  <si>
    <t>Máquinas, aparelhos e equipamentos industriais: Caixas de fundição</t>
  </si>
  <si>
    <t>Produto constante do item 63.1 do Apêndice V do Anexo IX do RCTE/GO.</t>
  </si>
  <si>
    <t>NCM84803000</t>
  </si>
  <si>
    <t>Máquinas, aparelhos e equipamentos industriais: Modelos para moldes: de madeira, de alumínio, de ferro, ferro fundido ou aço, de cobre, bronze ou latão, de níquel, de chumbo, de zinco, outros</t>
  </si>
  <si>
    <t>Produto constante do item 63.2 do Apêndice V do Anexo IX do RCTE/GO.</t>
  </si>
  <si>
    <t>NCM84804100</t>
  </si>
  <si>
    <t>Máquinas, aparelhos e equipamentos industriais: Moldes para metais ou carbonetos metálicos, para moldagem por injeção ou por compressão</t>
  </si>
  <si>
    <t>Produto constante do item 63.3 do Apêndice V do Anexo IX do RCTE/GO.</t>
  </si>
  <si>
    <t>NCM84804910</t>
  </si>
  <si>
    <t>Máquinas, aparelhos e equipamentos industriais: Coquilhas</t>
  </si>
  <si>
    <t>Produto constante do item 63.4 do Apêndice V do Anexo IX do RCTE/GO.</t>
  </si>
  <si>
    <t>NCM84804990</t>
  </si>
  <si>
    <t>Máquinas, aparelhos e equipamentos industriais: Outros moldes para metais ou carbonetos metálicos; moldes de tipografia</t>
  </si>
  <si>
    <t>Produto constante do item 63.5 do Apêndice V do Anexo IX do RCTE/GO.</t>
  </si>
  <si>
    <t>NCM84805000</t>
  </si>
  <si>
    <t>Máquinas, aparelhos e equipamentos industriais: Moldes para vidro</t>
  </si>
  <si>
    <t>Produto constante do item 63.6 do Apêndice V do Anexo IX do RCTE/GO.</t>
  </si>
  <si>
    <t>NCM84806000</t>
  </si>
  <si>
    <t>Máquinas, aparelhos e equipamentos industriais: Moldes para matérias minerais</t>
  </si>
  <si>
    <t>Produto constante do item 63.7 do Apêndice V do Anexo IX do RCTE/GO.</t>
  </si>
  <si>
    <t>NCM84807100</t>
  </si>
  <si>
    <t>Máquinas, aparelhos e equipamentos industriais: Moldes para borracha ou plásticos, para moldagem por injeção ou por compressão</t>
  </si>
  <si>
    <t>Produto constante do item 63.8 do Apêndice V do Anexo IX do RCTE/GO.</t>
  </si>
  <si>
    <t>NCM84807900</t>
  </si>
  <si>
    <t>NCM84818093</t>
  </si>
  <si>
    <t>NCM84818095</t>
  </si>
  <si>
    <t>Máquinas, aparelhos e equipamentos industriais: Válvulas tipo esfera</t>
  </si>
  <si>
    <t>Produto constante do item 64.2 do Apêndice V do Anexo IX do RCTE/GO.</t>
  </si>
  <si>
    <t>NCM84818097</t>
  </si>
  <si>
    <t>Máquinas, aparelhos e equipamentos industriais: Válvulas tipo borboleta</t>
  </si>
  <si>
    <t>Produto constante do item 64.3 do Apêndice V do Anexo IX do RCTE/GO.</t>
  </si>
  <si>
    <t>NCM84818099</t>
  </si>
  <si>
    <t>NCM84834010</t>
  </si>
  <si>
    <t>Máquinas, aparelhos e equipamentos industriais: Caixas de transmissão, redutores, multiplicadores e variadores de velocidade, incluídos os conversores de torques</t>
  </si>
  <si>
    <t>Produto constante do item 65.1 do Apêndice V do Anexo IX do RCTE/GO.</t>
  </si>
  <si>
    <t>NCM84834090</t>
  </si>
  <si>
    <t>Máquinas, aparelhos e equipamentos industriais: Outros eixos de esferas ou de roletes; engrenagens e rodas de fricção</t>
  </si>
  <si>
    <t>Produto constante do item 65.2 do Apêndice V do Anexo IX do RCTE/GO.</t>
  </si>
  <si>
    <t>NCM85044021</t>
  </si>
  <si>
    <t>Produtos de informática, telecomunicação ou automação: Conversores estáticos - de cristal (semicondutores)</t>
  </si>
  <si>
    <t>Produto constante no item 82 do Apêndice IV do Anexo IX do RCTE/GO.</t>
  </si>
  <si>
    <t>NCM85044029</t>
  </si>
  <si>
    <t>Produtos de informática, telecomunicação ou automação: Outros conversores estáticos</t>
  </si>
  <si>
    <t>Produto constante no item 83 do Apêndice IV do Anexo IX do RCTE/GO.</t>
  </si>
  <si>
    <t>NCM85044040</t>
  </si>
  <si>
    <t>Produtos de informática, telecomunicação ou automação: Equipamento de alimentação ininterrupta de energia (UPS ou "no break")</t>
  </si>
  <si>
    <t>Produto constante no item 84 do Apêndice IV do Anexo IX do RCTE/GO.</t>
  </si>
  <si>
    <t>NCM85049040</t>
  </si>
  <si>
    <t>Produtos de informática, telecomunicação ou automação: Partes de conversores estáticos, exceto de carregadores de acumuladores e de retificadores</t>
  </si>
  <si>
    <t>Produto constante no item 86 do Apêndice IV do Anexo IX do RCTE/GO.</t>
  </si>
  <si>
    <t>NCM85049090</t>
  </si>
  <si>
    <t>Produtos de informática, telecomunicação ou automação: Estabilizador de voltagem de potência não superior a 15kVA</t>
  </si>
  <si>
    <t>Produto constante no item 87 do Apêndice IV do Anexo IX do RCTE/GO.</t>
  </si>
  <si>
    <t>NCM85072010</t>
  </si>
  <si>
    <t>Produtos de informática, telecomunicação ou automação: Outros acumuladores de chumbo - de peso inferior ou igual a 1.000kg</t>
  </si>
  <si>
    <t>Produto constante no item 88 do Apêndice IV do Anexo IX do RCTE/GO.</t>
  </si>
  <si>
    <t>NCM85141010</t>
  </si>
  <si>
    <t>NCM85142011</t>
  </si>
  <si>
    <t>Máquinas, aparelhos e equipamentos industriais: Fornos que funcionam por indução, industriais</t>
  </si>
  <si>
    <t>Produto constante do item 67.2 do Apêndice V do Anexo IX do RCTE/GO.</t>
  </si>
  <si>
    <t>NCM85142020</t>
  </si>
  <si>
    <t>Máquinas, aparelhos e equipamentos industriais: Fornos que funcionam por perdas dielétricas</t>
  </si>
  <si>
    <t>Produto constante do item 67.3 do Apêndice V do Anexo IX do RCTE/GO.</t>
  </si>
  <si>
    <t>NCM85143011</t>
  </si>
  <si>
    <t>Máquinas, aparelhos e equipamentos industriais: Fornos de resistência, de aquecimento direto, industriais</t>
  </si>
  <si>
    <t>Produto constante do item 67.4 do Apêndice V do Anexo IX do RCTE/GO.</t>
  </si>
  <si>
    <t>NCM85143021</t>
  </si>
  <si>
    <t>Máquinas, aparelhos e equipamentos industriais: Fornos de arco voltaico, industriais</t>
  </si>
  <si>
    <t>Produto constante do item 67.5 do Apêndice V do Anexo IX do RCTE/GO.</t>
  </si>
  <si>
    <t>NCM85143090</t>
  </si>
  <si>
    <t>Máquinas, aparelhos e equipamentos industriais: Outros fornos elétricos industriais; fornos industriais de banho; fornos industriais de raios infra-vermelhos</t>
  </si>
  <si>
    <t>Produto constante do item 67.6 do Apêndice V do Anexo IX do RCTE/GO.</t>
  </si>
  <si>
    <t>NCM85149000</t>
  </si>
  <si>
    <t>Máquinas, aparelhos e equipamentos industriais: Partes e peças para fornos industriais; controlador eletrônico para forno à arco; estrutura metálica para forno à arco (superestrutura); braços de suporte de eletrodos para forno à arco com sistema de fixação e abertura por cilindros hidráulicos/molas pratos</t>
  </si>
  <si>
    <t>Produto constante do item 67.7 do Apêndice V do Anexo IX do RCTE/GO.</t>
  </si>
  <si>
    <t>NCM85152100</t>
  </si>
  <si>
    <t>Máquinas, aparelhos e equipamentos industriais: Máquinas e aparelhos para soldar metais por resistência Inteira ou parcialmente automáticos</t>
  </si>
  <si>
    <t>Produto constante do item 68.1 do Apêndice V do Anexo IX do RCTE/GO.</t>
  </si>
  <si>
    <t>NCM85153110</t>
  </si>
  <si>
    <t>Máquinas, aparelhos e equipamentos industriais: Robôs para soldar, por arco, em atmosfera inerte (MIG -'Metal Inert Gas') ou atmosfera ativa (MAG -'Metal Active Gas'), de comando numérico</t>
  </si>
  <si>
    <t>Produto constante do item 68.2 do Apêndice V do Anexo IX do RCTE/GO.</t>
  </si>
  <si>
    <t>NCM85153190</t>
  </si>
  <si>
    <t>Máquinas, aparelhos e equipamentos industriais: Outras máquinas e aparelhos para soldar metais por arco ou jato de plasma, inteira ou parcialmente automáticos</t>
  </si>
  <si>
    <t>Produto constante do item 68.3 do Apêndice V do Anexo IX do RCTE/GO.</t>
  </si>
  <si>
    <t>NCM85153900</t>
  </si>
  <si>
    <t>Máquinas, aparelhos e equipamentos industriais: Outras máquinas e aparelhos para soldar metais por arco ou jato de plasma</t>
  </si>
  <si>
    <t>Produto constante do item 68.4 do Apêndice V do Anexo IX do RCTE/GO.</t>
  </si>
  <si>
    <t>NCM85158010</t>
  </si>
  <si>
    <t>Máquinas, aparelhos e equipamentos industriais: Outras máquinas e aparelhos para soldar a "laser"</t>
  </si>
  <si>
    <t>Produto constante do item 68.5 do Apêndice V do Anexo IX do RCTE/GO.</t>
  </si>
  <si>
    <t>NCM85158090</t>
  </si>
  <si>
    <t>Máquinas, aparelhos e equipamentos industriais: Outros máquinas e aparelhos para soldar</t>
  </si>
  <si>
    <t>Produto constante do item 68.6 do Apêndice V do Anexo IX do RCTE/GO.</t>
  </si>
  <si>
    <t>NCM85176239</t>
  </si>
  <si>
    <t>Produtos de informática, telecomunicação ou automação: Unidade de máquina automática para processamento de dados, controlador e/ ou formatador para disco magnético</t>
  </si>
  <si>
    <t>Produto constante no item 55 do Apêndice IV do Anexo IX do RCTE/GO.</t>
  </si>
  <si>
    <t>A base de cálculo é reduzida nas saídas internas com os produtos de informática, telecomunicação ou automação relacionados no Apêndice IV do Anexo IX do RICMS/GO, de tal forma que resulte a aplicação sobre o valor da operação do equivalente ao percentual de 7%. O assunto encontra-se disciplinado no artigo 8º, inciso XIII, do Anexo IX do RICMS/GO.</t>
  </si>
  <si>
    <t>NCM85176241</t>
  </si>
  <si>
    <t>Produtos de informática, telecomunicação ou automação: Roteadores digitais, em redes com ou sem fio - com capacidade de conexão sem fio</t>
  </si>
  <si>
    <t>Produto constante no item 90 do Apêndice IV do Anexo IX do RCTE/GO.</t>
  </si>
  <si>
    <t>NCM85176248</t>
  </si>
  <si>
    <t>Produtos de informática, telecomunicação ou automação: Roteador digital com velocidade de interface serial de pelo menos 4Mbits/s, próprio para interconexão de rede local com protocolos distintos</t>
  </si>
  <si>
    <t>Produto constante no item 91 do Apêndice IV do Anexo IX do RCTE/GO.</t>
  </si>
  <si>
    <t>NCM85176249</t>
  </si>
  <si>
    <t>Produtos de informática, telecomunicação ou automação: Roteador digital com velocidade de interface serial menor que 4Mbits/s, próprio para interconexão de rede local com protocolos distintos.</t>
  </si>
  <si>
    <t>Produto constante no item 92 do Apêndice IV do Anexo IX do RCTE/GO.</t>
  </si>
  <si>
    <t>NCM85176251</t>
  </si>
  <si>
    <t>Produtos de informática, telecomunicação ou automação: Terminais ou repetidores sobre linhas metálicas</t>
  </si>
  <si>
    <t>Produto constante no item 93 do Apêndice IV do Anexo IX do RCTE/GO.</t>
  </si>
  <si>
    <t>NCM85176254</t>
  </si>
  <si>
    <t>Produtos de informática, telecomunicação ou automação: Distribuidor de conexão para rede ("hub")</t>
  </si>
  <si>
    <t>Produto constante no item 94 do Apêndice IV do Anexo IX do RCTE/GO.</t>
  </si>
  <si>
    <t>NCM85176255</t>
  </si>
  <si>
    <t>Produtos de informática, telecomunicação ou automação: Modulador/demodulador (Modem)</t>
  </si>
  <si>
    <t>Produto constante no item 95 do Apêndice IV do Anexo IX do RCTE/GO.</t>
  </si>
  <si>
    <t>NCM85176259</t>
  </si>
  <si>
    <t>NCM85176277</t>
  </si>
  <si>
    <t>Produtos de informática, telecomunicação ou automação: Aparelhos transmissores (emissores) com aparelho receptor incorporado do tipo modulador-demodulador (rádio modem).</t>
  </si>
  <si>
    <t>Produto constante no item 97 do Apêndice IV do Anexo IX do RCTE/GO.</t>
  </si>
  <si>
    <t>NCM85176278</t>
  </si>
  <si>
    <t>NCM85176294</t>
  </si>
  <si>
    <t>Produtos de informática, telecomunicação ou automação: Tradutor (conversor) de protocolo para interconexão de rede ("gateway")</t>
  </si>
  <si>
    <t>Produto constante no item 98 do Apêndice IV do Anexo IX do RCTE/GO.</t>
  </si>
  <si>
    <t>NCM85177010</t>
  </si>
  <si>
    <t>NCM85269200</t>
  </si>
  <si>
    <t>Produtos de informática, telecomunicação ou automação: Aparelhos de radiotelecomando</t>
  </si>
  <si>
    <t>Produto constante no item 100 do Apêndice IV do Anexo IX do RCTE/GO.</t>
  </si>
  <si>
    <t>NCM85284210</t>
  </si>
  <si>
    <t>Produtos de informática, telecomunicação ou automação: Unidade de saída por vídeo ("monitor") com tubo de raios catódicos, monocromática</t>
  </si>
  <si>
    <t>Em relação a esta mercadoria, a legislação estadual faz referência ao código 4421.90.00. Todavia, o referido código foi alterado para 4421.91.00, desde 2017.</t>
  </si>
  <si>
    <t>Produto constante no item 101 do Apêndice IV do Anexo IX do RCTE/GO.</t>
  </si>
  <si>
    <t>NCM85284220</t>
  </si>
  <si>
    <t>Produtos de informática, telecomunicação ou automação: Unidade de saída por vídeo ("monitor") com tubo de raios catódicos, policromática</t>
  </si>
  <si>
    <t>Em relação a esta mercadoria, a legislação estadual faz referência ao código 4421.90.00. Todavia, o referido código foi alterado para 4421.99.00, desde 2017.</t>
  </si>
  <si>
    <t>Produto constante no item 102 do Apêndice IV do Anexo IX do RCTE/GO.</t>
  </si>
  <si>
    <t>NCM85285210</t>
  </si>
  <si>
    <t>Produtos de informática, telecomunicação ou automação: Outra unidade de saída por vídeo ("monitor") com tubo de raios catódicos, monocromática</t>
  </si>
  <si>
    <t>Em relação a esta mercadoria, a legislação estadual faz referência ao código 4421.90.00. Todavia, o referido código foi alterado para 9620.00.00, desde 2017.</t>
  </si>
  <si>
    <t>Produto constante no item 103 do Apêndice IV do Anexo IX do RCTE/GO.</t>
  </si>
  <si>
    <t>NCM85285220</t>
  </si>
  <si>
    <t>Produtos de informática, telecomunicação ou automação: Outra unidade de saída por vídeo ("monitor") com tubo de raios catódicos, policromática</t>
  </si>
  <si>
    <t>Produto constante no item 104 do Apêndice IV do Anexo IX do RCTE/GO.</t>
  </si>
  <si>
    <t>NCM85322111</t>
  </si>
  <si>
    <t>Produtos de informática, telecomunicação ou automação: Condensador fixo de tântalo próprio para montagem em superfície (SMD-"Surface Mounted Device")</t>
  </si>
  <si>
    <t>Produto constante no item 105 do Apêndice IV do Anexo IX do RCTE/GO.</t>
  </si>
  <si>
    <t>NCM85322310</t>
  </si>
  <si>
    <t>Produtos de informática, telecomunicação ou automação: Condensador fixo com dielétrico de cerâmica de uma só camada próprio para montagem em superfície (SMD-"Surface Mounted Device")</t>
  </si>
  <si>
    <t>Produto constante no item 106 do Apêndice IV do Anexo IX do RCTE/GO.</t>
  </si>
  <si>
    <t>NCM85322410</t>
  </si>
  <si>
    <t>Produtos de informática, telecomunicação ou automação: Condensador fixo com dielétrico de cerâmica de camadas múltiplas próprio para montagem em superfície (SMD-"Surface Mounted Device")</t>
  </si>
  <si>
    <t>Produto constante no item 107 do Apêndice IV do Anexo IX do RCTE/GO.</t>
  </si>
  <si>
    <t>NCM85322510</t>
  </si>
  <si>
    <t>Produtos de informática, telecomunicação ou automação: Condensador fixo com dielétrico de papel ou de plástico próprio para montagem em superfície (SMD-"Surface Mounted Device")</t>
  </si>
  <si>
    <t>Produto constante no item 108 do Apêndice IV do Anexo IX do RCTE/GO.</t>
  </si>
  <si>
    <t>NCM85323010</t>
  </si>
  <si>
    <t>Produtos de informática, telecomunicação ou automação: Condensador variável ou ajustável próprio para montagem em superfície (SMD-"Surface Mounted Device")</t>
  </si>
  <si>
    <t>Produto constante no item 109 do Apêndice IV do Anexo IX do RCTE/GO.</t>
  </si>
  <si>
    <t>NCM85340011</t>
  </si>
  <si>
    <t>Em relação a esta mercadoria, a legislação estadual faz referência ao código 8534.00.00. Todavia, o referido código foi alterado para 8534.00.11, 8534.00.12, 8534.00.13, 8534.00.19, 8534.00.20, 8534.00.31, 8534.00.32, 8534.00.33, 8534.00.39, 8534.00.40, 8534.00.51 e 8534.00.59, desde 2012.</t>
  </si>
  <si>
    <t>Produto constante no item 110 do Apêndice IV do Anexo IX do RCTE/GO.</t>
  </si>
  <si>
    <t>NCM85340012</t>
  </si>
  <si>
    <t>NCM85340013</t>
  </si>
  <si>
    <t>NCM85340019</t>
  </si>
  <si>
    <t>NCM85340020</t>
  </si>
  <si>
    <t>NCM85340031</t>
  </si>
  <si>
    <t>NCM85340032</t>
  </si>
  <si>
    <t>NCM85340033</t>
  </si>
  <si>
    <t>NCM85340039</t>
  </si>
  <si>
    <t>NCM85340040</t>
  </si>
  <si>
    <t>NCM85340051</t>
  </si>
  <si>
    <t>NCM85340059</t>
  </si>
  <si>
    <t>NCM85363000</t>
  </si>
  <si>
    <t>Produtos de informática, telecomunicação ou automação: Aparelho de proteção para circuito elétrico, de potência até 1kVA</t>
  </si>
  <si>
    <t>Em relação a esta mercadoria, a legislação estadual faz referência ao código 8536.30.00. Todavia, o referido código foi alterado para 8536.30.00, 8536.30.10 e 8536.30.90, desde 2017.</t>
  </si>
  <si>
    <t>Produto constante no item 111 do Apêndice IV do Anexo IX do RCTE/GO.</t>
  </si>
  <si>
    <t>NCM85363010</t>
  </si>
  <si>
    <t>NCM85363090</t>
  </si>
  <si>
    <t>NCM85364100</t>
  </si>
  <si>
    <t>Produtos de informática, telecomunicação ou automação: Relés para tensão não superior a 60V para máquina elétrica</t>
  </si>
  <si>
    <t>Produto constante no item 112 do Apêndice IV do Anexo IX do RCTE/GO.</t>
  </si>
  <si>
    <t>NCM85364900</t>
  </si>
  <si>
    <t>Produtos de informática, telecomunicação ou automação: Relés, exclusivamente digital para energia elétrica</t>
  </si>
  <si>
    <t>Produto constante no item 113 do Apêndice IV do Anexo IX do RCTE/GO.</t>
  </si>
  <si>
    <t>NCM85371011</t>
  </si>
  <si>
    <t>Produtos de informática, telecomunicação ou automação: Aparelho, exclusivamente para comando numérico computadorizado para tensão não superior a 1000V (CNC), com processador e barramento de 32 bits ou superior, incorporando recurso gráfico e execução de macro, resolução inferior ou igual a 1micrometro e capacidade de conexão digital para servo-acionamento, com monitor policromático</t>
  </si>
  <si>
    <t>Produto constante no item 114 do Apêndice IV do Anexo IX do RCTE/GO.</t>
  </si>
  <si>
    <t>NCM85411011</t>
  </si>
  <si>
    <t>Produtos de informática, telecomunicação ou automação: Diodo não montado, exceto fotodiodo e diodo emissor de luz ("zener")</t>
  </si>
  <si>
    <t>Produto constante no item 115 do Apêndice IV do Anexo IX do RCTE/GO.</t>
  </si>
  <si>
    <t>NCM85411012</t>
  </si>
  <si>
    <t>Produtos de informática, telecomunicação ou automação: Diodo não montado, exceto fotodiodo e diodo emissor de luz de intensidade de corrente inferior ou igual a 3A</t>
  </si>
  <si>
    <t>Produto constante no item 116 do Apêndice IV do Anexo IX do RCTE/GO.</t>
  </si>
  <si>
    <t>NCM85412110</t>
  </si>
  <si>
    <t>Produtos de informática, telecomunicação ou automação: Transistor, não montado, exceto fototransistor com capacidade de dissipação inferior a 1W</t>
  </si>
  <si>
    <t>Produto constante no item 117 do Apêndice IV do Anexo IX do RCTE/GO.</t>
  </si>
  <si>
    <t>NCM85412910</t>
  </si>
  <si>
    <t>Produtos de informática, telecomunicação ou automação: Transistor, não montado, exceto fototransistor com capacidade de dissipação superior a 1W e inferior a 10W</t>
  </si>
  <si>
    <t>Produto constante no item 118 do Apêndice IV do Anexo IX do RCTE/GO.</t>
  </si>
  <si>
    <t>NCM85413011</t>
  </si>
  <si>
    <t>Produtos de informática, telecomunicação ou automação: Tiristores , "diacs" e "triacs", exceto os dispositivos fotossensíveis, não montado de intensidade de corrente inferior ou igual a 3A</t>
  </si>
  <si>
    <t>Produto constante no item 119 do Apêndice IV do Anexo IX do RCTE/GO.</t>
  </si>
  <si>
    <t>NCM85423110</t>
  </si>
  <si>
    <t>Produtos de informática, telecomunicação ou automação: Circuito integrado monolítico digital de semicondutor de óxido metálico (tecnologia MOS) não montado</t>
  </si>
  <si>
    <t>Produto constante no item 120 do Apêndice IV do Anexo IX do RCTE/GO.</t>
  </si>
  <si>
    <t>NCM85423120</t>
  </si>
  <si>
    <t>Produtos de informática, telecomunicação ou automação: Microprocessador de semicondutor de óxido metálico (tecnologia MOS), montado, próprio para montagem em superfície (SMD - "Surface Mounted Device")</t>
  </si>
  <si>
    <t>Produto constante no item 121 do Apêndice IV do Anexo IX do RCTE/GO.</t>
  </si>
  <si>
    <t>NCM85423190</t>
  </si>
  <si>
    <t>Produtos de informática, telecomunicação ou automação: Outro microprocessador de semicondutor de óxido metálico (tecnologia MOS)</t>
  </si>
  <si>
    <t>Produto constante no item 122 do Apêndice IV do Anexo IX do RCTE/GO.</t>
  </si>
  <si>
    <t>NCM85423199</t>
  </si>
  <si>
    <t>Produtos de informática, telecomunicação ou automação: Outra memória incluída aquela obtida por associação das tecnologias MOS e bipolar (tecnologia BIMOS)</t>
  </si>
  <si>
    <t>Produto constante no item 123 do Apêndice IV do Anexo IX do RCTE/GO.</t>
  </si>
  <si>
    <t>NCM85423229</t>
  </si>
  <si>
    <t>Produtos de informática, telecomunicação ou automação: Outras memórias</t>
  </si>
  <si>
    <t>Produto constante no item 124 do Apêndice IV do Anexo IX do RCTE/GO.</t>
  </si>
  <si>
    <t>NCM85423291</t>
  </si>
  <si>
    <t>Produtos de informática, telecomunicação ou automação: Dos tipos RAM estáticas (SRAM) com tempo de acesso inferior ou igual a 25ns, EPROM, EEPROM, PROM, ROM e FLASH</t>
  </si>
  <si>
    <t>Produto constante no item 125 do Apêndice IV do Anexo IX do RCTE/GO.</t>
  </si>
  <si>
    <t>NCM85423390</t>
  </si>
  <si>
    <t>Produtos de informática, telecomunicação ou automação: Outro circuito integrado híbrido</t>
  </si>
  <si>
    <t>Produto constante no item 126 do Apêndice IV do Anexo IX do RCTE/GO.</t>
  </si>
  <si>
    <t>NCM85423911</t>
  </si>
  <si>
    <t>Produtos de informática, telecomunicação ou automação: Circuito integrado híbrido de espessura de camada inferior ou igual a 1 micrometro (mícron)</t>
  </si>
  <si>
    <t>Produto constante no item 127 do Apêndice IV do Anexo IX do RCTE/GO.</t>
  </si>
  <si>
    <t>NCM85423931</t>
  </si>
  <si>
    <t>Produtos de informática, telecomunicação ou automação: "Chipset" de semicondutor de óxido metálico (tecnologia MOS), montado, próprio para montagem em superfície (SMD - "Surface Mounted Device")</t>
  </si>
  <si>
    <t>Produto constante no item 128 do Apêndice IV do Anexo IX do RCTE/GO.</t>
  </si>
  <si>
    <t>NCM85423991</t>
  </si>
  <si>
    <t>Produtos de informática, telecomunicação ou automação: Outro "chipset" de semicondutor de óxido metálico (tecnologia MOS)</t>
  </si>
  <si>
    <t>Produto constante no item 129 do Apêndice IV do Anexo IX do RCTE/GO.</t>
  </si>
  <si>
    <t>NCM85429010</t>
  </si>
  <si>
    <t>Produtos de informática, telecomunicação ou automação: Suporte-conecto apresentado em tiras ("lead frames")</t>
  </si>
  <si>
    <t>Produto constante no item 130 do Apêndice IV do Anexo IX do RCTE/GO.</t>
  </si>
  <si>
    <t>NCM85429020</t>
  </si>
  <si>
    <t>Produtos de informática, telecomunicação ou automação: Cobertura para encapsulamento (cápsulas)</t>
  </si>
  <si>
    <t>Produto constante no item 131 do Apêndice IV do Anexo IX do RCTE/GO.</t>
  </si>
  <si>
    <t>NCM85429090</t>
  </si>
  <si>
    <t>Produtos de informática, telecomunicação ou automação: Outra parte de circuito integrado eletrônico</t>
  </si>
  <si>
    <t>Produto constante no item 132 do Apêndice IV do Anexo IX do RCTE/GO.</t>
  </si>
  <si>
    <t>NCM85433000</t>
  </si>
  <si>
    <t>Máquinas, aparelhos e equipamentos industriais: Instalação contínua de galvanoplastia eletrolítica de fios de aço, por processo de alta densidade de corrente, com unidades de decapagem eletrolítica, de lavagem e de estanhagem, com controlador de processo</t>
  </si>
  <si>
    <t>Produto constante do item 69 do Apêndice V do Anexo IX do RCTE/GO.</t>
  </si>
  <si>
    <t>NCM85437036</t>
  </si>
  <si>
    <t>Produtos de informática, telecomunicação ou automação: Controlador e/ou formatador de fita magnética e comutador de dados ("switches")</t>
  </si>
  <si>
    <t>Produto constante no item 133 do Apêndice IV do Anexo IX do RCTE/GO.</t>
  </si>
  <si>
    <t>NCM86071919</t>
  </si>
  <si>
    <t>Máquinas, aparelhos e equipamentos industriais: Mancal de bronze para locomotiva</t>
  </si>
  <si>
    <t>Produto constante do item 70 do Apêndice V do Anexo IX do RCTE/GO.</t>
  </si>
  <si>
    <t>NCM87164000</t>
  </si>
  <si>
    <t>Máquinas e equipamentos rodoviários: semi-reboque(plataforma)</t>
  </si>
  <si>
    <t>Produto constante no item 19 do Apêndice XII do Anexo IX do RCTE/GO.</t>
  </si>
  <si>
    <t>NCM90241090</t>
  </si>
  <si>
    <t>Máquinas, aparelhos e equipamentos industriais: Máquinas e aparelhos para ensaios de metais - câmara para teste de correção denominada "Salt Spray"</t>
  </si>
  <si>
    <t>Produto constante do item 71 do Apêndice V do Anexo IX do RCTE/GO.</t>
  </si>
  <si>
    <t>NCM90328911</t>
  </si>
  <si>
    <t>Produtos de informática, telecomunicação ou automação: Reguladores de voltagem - eletrônicos</t>
  </si>
  <si>
    <t>Produto constante no item 134 do Apêndice IV do Anexo IX do RCTE/GO.</t>
  </si>
  <si>
    <t>NCM90328919</t>
  </si>
  <si>
    <t>Produtos de informática, telecomunicação ou automação: Outros instrumentos e aparelhos para regulação ou controle, automáticos</t>
  </si>
  <si>
    <t>Produto constante no item 135 do Apêndice IV do Anexo IX do RCTE/GO.</t>
  </si>
  <si>
    <t>ncm84672910</t>
  </si>
  <si>
    <t>ncm84672991</t>
  </si>
  <si>
    <t>ncm84672992</t>
  </si>
  <si>
    <t>ncm84672993</t>
  </si>
  <si>
    <t>ncm84672999</t>
  </si>
  <si>
    <t>Artigo 9º, inciso VII, alínea "j", do Anexo IX do RCTE/GO</t>
  </si>
  <si>
    <t>ncm35079042</t>
  </si>
  <si>
    <t>ncm35079049</t>
  </si>
  <si>
    <t>interestaduais</t>
  </si>
  <si>
    <t>NCM44219000</t>
  </si>
  <si>
    <t>ncm11029000</t>
  </si>
  <si>
    <t>ncm11022000</t>
  </si>
  <si>
    <t>Farinha Milho</t>
  </si>
  <si>
    <t>Carne bovina</t>
  </si>
  <si>
    <t>NCM07099990</t>
  </si>
  <si>
    <t>Feijão</t>
  </si>
  <si>
    <t>internas</t>
  </si>
  <si>
    <t>Mate</t>
  </si>
  <si>
    <t>Coluna2</t>
  </si>
  <si>
    <t>NomeNCM</t>
  </si>
  <si>
    <t>Cod. Ncm</t>
  </si>
  <si>
    <t>ID NCM OPERACAO</t>
  </si>
  <si>
    <t>Coluna1</t>
  </si>
  <si>
    <t>Código NCM</t>
  </si>
  <si>
    <t>Alíquota Efetiva</t>
  </si>
  <si>
    <t>Descrição</t>
  </si>
  <si>
    <t>Aguardente</t>
  </si>
  <si>
    <t>Revólveres e pistolas (exceto os das posições 9303 ou 9304)</t>
  </si>
  <si>
    <t>Outras armas (por exemplo: espingardas, carabinas e pistolas, de mola, de ar comprimido ou de gás, cassetetes), exceto as da posição 9307</t>
  </si>
  <si>
    <t>Outros cartuchos e suas partes</t>
  </si>
  <si>
    <t>Cachimbos (incluídos os seus fornilhos) e piteiras (boquilhas), e suas partes</t>
  </si>
  <si>
    <t>Açúcar</t>
  </si>
  <si>
    <t>Café</t>
  </si>
  <si>
    <t>Iogurte</t>
  </si>
  <si>
    <t>Manteiga de leite</t>
  </si>
  <si>
    <t>Rapadura</t>
  </si>
  <si>
    <t>Vinagre</t>
  </si>
  <si>
    <t>Leite em estado natural, pasteurizado ou esterilizado (UHT)</t>
  </si>
  <si>
    <t>Gás natural ou liquefeito de petróleo para uso doméstico</t>
  </si>
  <si>
    <t>Fósforo</t>
  </si>
  <si>
    <t>Papel higiênico</t>
  </si>
  <si>
    <t>Pasta dental</t>
  </si>
  <si>
    <t>Sabonete</t>
  </si>
  <si>
    <t>Metais comuns folheados ou chapeados (plaquê) de prata, em formas brutas ou semimanufaturadas</t>
  </si>
  <si>
    <t>Metais comuns ou prata, folheados ou chapeados (plaquê) de ouro, em formas brutas ou semimanufaturadas</t>
  </si>
  <si>
    <t>Metais comuns, prata ou ouro, folheados ou chapeados (plaquê) de platina, em formas brutas ou semimanufaturadas</t>
  </si>
  <si>
    <t>NCM22042100</t>
  </si>
  <si>
    <t>ncm22041010</t>
  </si>
  <si>
    <t>Vinhos de uvas frescas, incluídos os vinhos enriquecidos com álcool: mostos de uvas, excluídos os da posição 2009</t>
  </si>
  <si>
    <t>ncm22041090</t>
  </si>
  <si>
    <t>ncm22042100</t>
  </si>
  <si>
    <t>ncm22042211</t>
  </si>
  <si>
    <t>ncm22042219</t>
  </si>
  <si>
    <t>ncm22042220</t>
  </si>
  <si>
    <t>ncm22042910</t>
  </si>
  <si>
    <t>ncm22042911</t>
  </si>
  <si>
    <t>ncm22042919</t>
  </si>
  <si>
    <t>ncm22042920</t>
  </si>
  <si>
    <t>ncm22043000</t>
  </si>
  <si>
    <t>ncm22051000</t>
  </si>
  <si>
    <t>Vermutes e outros vinhos de uvas frescas aromatizadas por plantas ou substâncias aromáticas</t>
  </si>
  <si>
    <t>ncm22059000</t>
  </si>
  <si>
    <t>ncm22082000</t>
  </si>
  <si>
    <t>Álcool etílico não desnaturado, com um teor alcoólico, em volume, inferior a 80% vol.; aguardentes, licores e outras bebidas espirituosas (alcoólicas), excluído o álcool etílico de uso doméstico, farmacêutico ou medicinal</t>
  </si>
  <si>
    <t>ncm22083010</t>
  </si>
  <si>
    <t>ncm22083020</t>
  </si>
  <si>
    <t>ncm22083090</t>
  </si>
  <si>
    <t>ncm22084000</t>
  </si>
  <si>
    <t>ncm22085000</t>
  </si>
  <si>
    <t>ncm22086000</t>
  </si>
  <si>
    <t>ncm22087000</t>
  </si>
  <si>
    <t>ncm22089000</t>
  </si>
  <si>
    <t>ncm93031000</t>
  </si>
  <si>
    <t>Outras armas de fogo e aparelhos semelhantes que utilizem a deflagração da pólvora (por exemplo: espingardas e carabinas, de caça, armas de fogo carregáveis exclusivamente pela boca, pistolas lança-foguetes e outros aparelhos concebidos apenas para lançar foguetes de sinalização, pistolas e revólveres para tiro de festim (tiro sem bala), pistolas de êmbolo cativo para abater animais, canhões lança-amarras)</t>
  </si>
  <si>
    <t>ncm93032000</t>
  </si>
  <si>
    <t>ncm93033000</t>
  </si>
  <si>
    <t>ncm93039000</t>
  </si>
  <si>
    <t>ncm93051000</t>
  </si>
  <si>
    <t>Partes e acessórios dos artigos das posições 9301 a 9304</t>
  </si>
  <si>
    <t>ncm93052000</t>
  </si>
  <si>
    <t>ncm93059100</t>
  </si>
  <si>
    <t>ncm93059900</t>
  </si>
  <si>
    <t>ncm33011210</t>
  </si>
  <si>
    <t>Óleos essenciais (desterpenados ou não), incluídos os chamados concretos ou absolutos; resinóides; oleorresinas de extração; soluções concentradas de óleos essenciais em gorduras, em óleos fixos, em ceras ou em matérias análogas, obtidas por tratamento de flores através de substâncias gordas ou por maceração; subprodutos terpênicos residuais da desterpenação dos óleos essenciais; águas destiladas aromáticas e soluções aquosas de óleos essenciais</t>
  </si>
  <si>
    <t>ncm33011290</t>
  </si>
  <si>
    <t>ncm33011300</t>
  </si>
  <si>
    <t>ncm33011910</t>
  </si>
  <si>
    <t>ncm33011990</t>
  </si>
  <si>
    <t>ncm33012400</t>
  </si>
  <si>
    <t>ncm33012510</t>
  </si>
  <si>
    <t>ncm33012520</t>
  </si>
  <si>
    <t>ncm33012590</t>
  </si>
  <si>
    <t>ncm33012911</t>
  </si>
  <si>
    <t>ncm33012912</t>
  </si>
  <si>
    <t>ncm33012913</t>
  </si>
  <si>
    <t>ncm33012914</t>
  </si>
  <si>
    <t>ncm33012915</t>
  </si>
  <si>
    <t>ncm33012916</t>
  </si>
  <si>
    <t>ncm33012917</t>
  </si>
  <si>
    <t>ncm33012918</t>
  </si>
  <si>
    <t>ncm33012919</t>
  </si>
  <si>
    <t>ncm33012922</t>
  </si>
  <si>
    <t>ncm33013000</t>
  </si>
  <si>
    <t>ncm33019010</t>
  </si>
  <si>
    <t>ncm33019020</t>
  </si>
  <si>
    <t>ncm33019030</t>
  </si>
  <si>
    <t>ncm33019040</t>
  </si>
  <si>
    <t>Misturas de substâncias odoríferas e misturas (incluídas as soluções alcoólicas) à base de uma ou mais destas substâncias, dos tipos utilizados como matérias básicas para a indústria; outras preparações á base de substâncias odoríferas, dos tipos utilizados para a fabricação de bebidas</t>
  </si>
  <si>
    <t>ncm33029011</t>
  </si>
  <si>
    <t>ncm33029019</t>
  </si>
  <si>
    <t>ncm33029090</t>
  </si>
  <si>
    <t>ncm33041000</t>
  </si>
  <si>
    <t>Produtos de beleza ou de maquilagem preparados e preparações para conservação ou cuidados da pele (exceto medicamentos), incluídas as preparações anti-solares e os bronzeadores; preparações para manicuros e pedicuros</t>
  </si>
  <si>
    <t>ncm33042010</t>
  </si>
  <si>
    <t>ncm33042090</t>
  </si>
  <si>
    <t>ncm33049079</t>
  </si>
  <si>
    <t>ncm33049100</t>
  </si>
  <si>
    <t>ncm33049910</t>
  </si>
  <si>
    <t>ncm33049990</t>
  </si>
  <si>
    <t>ncm33051000</t>
  </si>
  <si>
    <t>Preparações capilares</t>
  </si>
  <si>
    <t>ncm33052000</t>
  </si>
  <si>
    <t>ncm33053000</t>
  </si>
  <si>
    <t>ncm33059000</t>
  </si>
  <si>
    <t>ncm33071000</t>
  </si>
  <si>
    <t>Preparações para barbear (antes, durante ou após), desodorantes corporais, preparações para banhos, depilatórios, outros produtos de perfumaria ou de tocador preparados e outras preparações cosméticas, não especificados nem compreendidos em outras posições; desodorantes de ambientes, preparados, mesmo não perfumados, com ou sem propriedades desinfetantes</t>
  </si>
  <si>
    <t>ncm33072010</t>
  </si>
  <si>
    <t>ncm33072090</t>
  </si>
  <si>
    <t>ncm33073000</t>
  </si>
  <si>
    <t>ncm33074100</t>
  </si>
  <si>
    <t>ncm33074900</t>
  </si>
  <si>
    <t>ncm33079000</t>
  </si>
  <si>
    <t>ncm71011000</t>
  </si>
  <si>
    <t>Pérolas naturais ou cultivadas, mesmo trabalhadas ou combinadas, mas não enfiadas, nem montadas, nem engastadas; pérolas naturais ou cultivadas, enfiadas temporariamente para facilidade de transporte</t>
  </si>
  <si>
    <t>ncm71012100</t>
  </si>
  <si>
    <t>ncm71012200</t>
  </si>
  <si>
    <t>ncm71021000</t>
  </si>
  <si>
    <t>Diamantes, mesmo trabalhados, mas não montados nem engastados</t>
  </si>
  <si>
    <t>ncm71022100</t>
  </si>
  <si>
    <t>ncm71022900</t>
  </si>
  <si>
    <t>ncm71023100</t>
  </si>
  <si>
    <t>ncm71023900</t>
  </si>
  <si>
    <t>ncm71031000</t>
  </si>
  <si>
    <t>Pedras preciosas (exceto diamantes) ou semipreciosas, mesmo trabalhadas ou combinadas, mas não enfiadas, nem montadas, nem engastadas; pedras preciosas (exceto diamantes) ou semipreciosas, não combinadas, enfiados temporariamente para facilidade de transporte</t>
  </si>
  <si>
    <t>ncm71039100</t>
  </si>
  <si>
    <t>ncm71039900</t>
  </si>
  <si>
    <t>ncm71041000</t>
  </si>
  <si>
    <t>Pedras sintéticas ou reconstituídas, mesmo trabalhadas ou combinadas, mas não enfiadas, nem montadas, nem engastadas; pedras sintéticas ou reconstituídas, não combinadas, enfiadas temporariamente para facilidade de transporte</t>
  </si>
  <si>
    <t>ncm71042010</t>
  </si>
  <si>
    <t>ncm71042090</t>
  </si>
  <si>
    <t>ncm71049000</t>
  </si>
  <si>
    <t>ncm71061000</t>
  </si>
  <si>
    <t>Prata (incluída a prata dourada ou platinada), em formas brutas ou semimanufaturadas, ou em pó</t>
  </si>
  <si>
    <t>ncm71069100</t>
  </si>
  <si>
    <t>ncm71069210</t>
  </si>
  <si>
    <t>ncm71069220</t>
  </si>
  <si>
    <t>ncm71069290</t>
  </si>
  <si>
    <t>ncm71101100</t>
  </si>
  <si>
    <t>Platina, em formas brutas ou semimanufaturadas, ou em pó</t>
  </si>
  <si>
    <t>ncm71101910</t>
  </si>
  <si>
    <t>ncm71101990</t>
  </si>
  <si>
    <t>ncm71102100</t>
  </si>
  <si>
    <t>ncm71102900</t>
  </si>
  <si>
    <t>ncm71103100</t>
  </si>
  <si>
    <t>ncm71103900</t>
  </si>
  <si>
    <t>ncm71104100</t>
  </si>
  <si>
    <t>ncm71104900</t>
  </si>
  <si>
    <t>ncm71123010</t>
  </si>
  <si>
    <t>Desperdícios e resíduos, de metais preciosos ou de metais folheados ou chapeados de metais preciosos (plaquê); outros desperdícios e resíduos que contenham metais preciosos, do tipo dos utilizados principalmente para a recuperação de metais preciosos</t>
  </si>
  <si>
    <t>ncm71123020</t>
  </si>
  <si>
    <t>ncm71123090</t>
  </si>
  <si>
    <t>ncm71129100</t>
  </si>
  <si>
    <t>ncm71129200</t>
  </si>
  <si>
    <t>ncm71129900</t>
  </si>
  <si>
    <t>ncm71131100</t>
  </si>
  <si>
    <t>Artefatos de joalharia e suas partes, de metais preciosos ou de metais folheados ou chapeados de metais preciosos (plaquê)</t>
  </si>
  <si>
    <t>ncm71131900</t>
  </si>
  <si>
    <t>ncm71132000</t>
  </si>
  <si>
    <t>ncm71141100</t>
  </si>
  <si>
    <t>Artefatos de ourivesaria e suas partes, de metais preciosos ou de metais folheados ou chapeados de metais preciosos (plaquê)</t>
  </si>
  <si>
    <t>ncm71141900</t>
  </si>
  <si>
    <t>ncm71142000</t>
  </si>
  <si>
    <t>ncm71151000</t>
  </si>
  <si>
    <t>Outras obras de metais preciosos ou de metais folheados ou chapeados de metais preciosos (plaquê)</t>
  </si>
  <si>
    <t>ncm71159000</t>
  </si>
  <si>
    <t>ncm71161000</t>
  </si>
  <si>
    <t>Obras de pérolas naturais ou cultivadas, de pedras preciosas ou semipreciosas, de pedras sintéticas ou reconstituídas</t>
  </si>
  <si>
    <t>ncm71162010</t>
  </si>
  <si>
    <t>ncm71162020</t>
  </si>
  <si>
    <t>ncm71162090</t>
  </si>
  <si>
    <t>ncm71171100</t>
  </si>
  <si>
    <t>Bijuterias</t>
  </si>
  <si>
    <t>ncm71171900</t>
  </si>
  <si>
    <t>ncm71179000</t>
  </si>
  <si>
    <t>ncm93062100</t>
  </si>
  <si>
    <t>Cartuchos e suas partes, para espingardas ou carabinas de cano liso; chumbos para carabinas de ar comprimido</t>
  </si>
  <si>
    <t>ncm93062900</t>
  </si>
  <si>
    <t>ncm71081100</t>
  </si>
  <si>
    <t>Ouro (incluído o ouro platinado), em formas brutas ou semimanufaturadas, ou em pó, para uso não monetários</t>
  </si>
  <si>
    <t>ncm71081210</t>
  </si>
  <si>
    <t>ncm71081290</t>
  </si>
  <si>
    <t>ncm71081310</t>
  </si>
  <si>
    <t>ncm71081390</t>
  </si>
  <si>
    <t>ncm22060010</t>
  </si>
  <si>
    <t>Outras bebidas fermentadas (sidra, perada, hidromel, por exemplo); misturas de bebidas fermentadas e misturas de bebidas fermentadas com bebidas não alcoólicas, não especificadas nem compreendidas em outras posições da NCM</t>
  </si>
  <si>
    <t>ncm22060090</t>
  </si>
  <si>
    <t>Perfumes e águas-de-colônia</t>
  </si>
  <si>
    <t>Carne de frango</t>
  </si>
  <si>
    <t>Peixe</t>
  </si>
  <si>
    <t>NCM02023000</t>
  </si>
  <si>
    <t>ncm02011000</t>
  </si>
  <si>
    <t>ncm02012090</t>
  </si>
  <si>
    <t>ncm02021000</t>
  </si>
  <si>
    <t>ncm02022010</t>
  </si>
  <si>
    <t>ncm02022020</t>
  </si>
  <si>
    <t>ncm02022090</t>
  </si>
  <si>
    <t>ncm02072400</t>
  </si>
  <si>
    <t>ncm02072500</t>
  </si>
  <si>
    <t>ncm02072600</t>
  </si>
  <si>
    <t>ncm02072700</t>
  </si>
  <si>
    <t>ncm02074100</t>
  </si>
  <si>
    <t>ncm02074200</t>
  </si>
  <si>
    <t>ncm02074300</t>
  </si>
  <si>
    <t>ncm02074400</t>
  </si>
  <si>
    <t>ncm02074500</t>
  </si>
  <si>
    <t>ncm02075100</t>
  </si>
  <si>
    <t>ncm02075200</t>
  </si>
  <si>
    <t>ncm02075300</t>
  </si>
  <si>
    <t>ncm02075400</t>
  </si>
  <si>
    <t>ncm02075500</t>
  </si>
  <si>
    <t>ncm02076000</t>
  </si>
  <si>
    <t>ncm02109911</t>
  </si>
  <si>
    <t>ncm02109920</t>
  </si>
  <si>
    <t>NCM03038956</t>
  </si>
  <si>
    <t>ncm22072020</t>
  </si>
  <si>
    <t>ncm93020000</t>
  </si>
  <si>
    <t>ncm93040000</t>
  </si>
  <si>
    <t>ncm93063000</t>
  </si>
  <si>
    <t>ncm96140000</t>
  </si>
  <si>
    <t>ncm71070000</t>
  </si>
  <si>
    <t>ncm71090000</t>
  </si>
  <si>
    <t>ncm71110000</t>
  </si>
  <si>
    <t>UF ORIGEM</t>
  </si>
  <si>
    <t>UF DESTINO</t>
  </si>
  <si>
    <t>ALIQUOTA</t>
  </si>
  <si>
    <t>GO</t>
  </si>
  <si>
    <t>AC</t>
  </si>
  <si>
    <t>AL</t>
  </si>
  <si>
    <t>AM</t>
  </si>
  <si>
    <t>AP</t>
  </si>
  <si>
    <t>BA</t>
  </si>
  <si>
    <t>CE</t>
  </si>
  <si>
    <t>DF</t>
  </si>
  <si>
    <t>ES</t>
  </si>
  <si>
    <t>MA</t>
  </si>
  <si>
    <t>MT</t>
  </si>
  <si>
    <t>MS</t>
  </si>
  <si>
    <t>MG</t>
  </si>
  <si>
    <t>PA</t>
  </si>
  <si>
    <t>PB</t>
  </si>
  <si>
    <t>PR</t>
  </si>
  <si>
    <t>PE</t>
  </si>
  <si>
    <t>PI</t>
  </si>
  <si>
    <t>RN</t>
  </si>
  <si>
    <t>RS</t>
  </si>
  <si>
    <t>RJ</t>
  </si>
  <si>
    <t>RO</t>
  </si>
  <si>
    <t>RR</t>
  </si>
  <si>
    <t>SC</t>
  </si>
  <si>
    <t>SP</t>
  </si>
  <si>
    <t>SE</t>
  </si>
  <si>
    <t>TO</t>
  </si>
  <si>
    <t>IDIcmsTab</t>
  </si>
  <si>
    <t>GO-AC</t>
  </si>
  <si>
    <t>GO-AL</t>
  </si>
  <si>
    <t>GO-AM</t>
  </si>
  <si>
    <t>GO-AP</t>
  </si>
  <si>
    <t>GO-BA</t>
  </si>
  <si>
    <t>GO-CE</t>
  </si>
  <si>
    <t>GO-DF</t>
  </si>
  <si>
    <t>GO-ES</t>
  </si>
  <si>
    <t>GO-MA</t>
  </si>
  <si>
    <t>GO-MT</t>
  </si>
  <si>
    <t>GO-MS</t>
  </si>
  <si>
    <t>GO-MG</t>
  </si>
  <si>
    <t>GO-PA</t>
  </si>
  <si>
    <t>GO-PB</t>
  </si>
  <si>
    <t>GO-PR</t>
  </si>
  <si>
    <t>GO-PE</t>
  </si>
  <si>
    <t>GO-PI</t>
  </si>
  <si>
    <t>GO-RN</t>
  </si>
  <si>
    <t>GO-RS</t>
  </si>
  <si>
    <t>GO-RJ</t>
  </si>
  <si>
    <t>GO-RO</t>
  </si>
  <si>
    <t>GO-RR</t>
  </si>
  <si>
    <t>GO-SC</t>
  </si>
  <si>
    <t>GO-SP</t>
  </si>
  <si>
    <t>GO-SE</t>
  </si>
  <si>
    <t>GO-TO</t>
  </si>
  <si>
    <t>GO-</t>
  </si>
  <si>
    <t>Classificação</t>
  </si>
  <si>
    <t>Regime Emitente</t>
  </si>
  <si>
    <t>Regime Destinatário</t>
  </si>
  <si>
    <t>Pis</t>
  </si>
  <si>
    <t>Cofins</t>
  </si>
  <si>
    <t>Alíquota 0</t>
  </si>
  <si>
    <t>CodBarras</t>
  </si>
  <si>
    <t>Regime</t>
  </si>
  <si>
    <t>Monofásico</t>
  </si>
  <si>
    <t>NCM07041000</t>
  </si>
  <si>
    <t>NCM08045020</t>
  </si>
  <si>
    <t>NCM07031019</t>
  </si>
  <si>
    <t>NCM08044000</t>
  </si>
  <si>
    <t>NCM08081000</t>
  </si>
  <si>
    <t>NCM07061000</t>
  </si>
  <si>
    <t>NCM08051000</t>
  </si>
  <si>
    <t>NCM07020000</t>
  </si>
  <si>
    <t>NCM08072000</t>
  </si>
  <si>
    <t>NCM07141000</t>
  </si>
  <si>
    <t>NCM07049000</t>
  </si>
  <si>
    <t>NCM07099300</t>
  </si>
  <si>
    <t>NCM08011100</t>
  </si>
  <si>
    <t>NCM07069000</t>
  </si>
  <si>
    <t>NCM08043000</t>
  </si>
  <si>
    <t>NCM08061000</t>
  </si>
  <si>
    <t>NCM08071100</t>
  </si>
  <si>
    <t>NCM07093000</t>
  </si>
  <si>
    <t>NCM08132020</t>
  </si>
  <si>
    <t>NCM07122000</t>
  </si>
  <si>
    <t>NCM08105000</t>
  </si>
  <si>
    <t>NCM08062000</t>
  </si>
  <si>
    <t>NCM16024900</t>
  </si>
  <si>
    <t>NCM19022000</t>
  </si>
  <si>
    <t>NCM11041900</t>
  </si>
  <si>
    <t>NCM02101900</t>
  </si>
  <si>
    <t>NCM21011200</t>
  </si>
  <si>
    <t>NCM07096000</t>
  </si>
  <si>
    <t>NCM04022110</t>
  </si>
  <si>
    <t>NCM08083000</t>
  </si>
  <si>
    <t>NCM38089119</t>
  </si>
  <si>
    <t>NCM07070000</t>
  </si>
  <si>
    <t>NCM38089996</t>
  </si>
  <si>
    <t>NCM15091000</t>
  </si>
  <si>
    <t>NCM08093010</t>
  </si>
  <si>
    <t>NCM07052900</t>
  </si>
  <si>
    <t>NCM38089199</t>
  </si>
  <si>
    <t>ncm27111910</t>
  </si>
  <si>
    <t>ncm22071000</t>
  </si>
  <si>
    <t>ncm30012010</t>
  </si>
  <si>
    <t>ncm30012090</t>
  </si>
  <si>
    <t>ncm30019010</t>
  </si>
  <si>
    <t>ncm30019020</t>
  </si>
  <si>
    <t>ncm30019031</t>
  </si>
  <si>
    <t>ncm30019039</t>
  </si>
  <si>
    <t>ncm30019090</t>
  </si>
  <si>
    <t>ncm30031011</t>
  </si>
  <si>
    <t>ncm30031012</t>
  </si>
  <si>
    <t>ncm30031013</t>
  </si>
  <si>
    <t>ncm30031014</t>
  </si>
  <si>
    <t>ncm30031015</t>
  </si>
  <si>
    <t>ncm30031019</t>
  </si>
  <si>
    <t>ncm30031020</t>
  </si>
  <si>
    <t>ncm30032011</t>
  </si>
  <si>
    <t>ncm30032019</t>
  </si>
  <si>
    <t>ncm30032021</t>
  </si>
  <si>
    <t>ncm30032029</t>
  </si>
  <si>
    <t>ncm30032031</t>
  </si>
  <si>
    <t>ncm30032032</t>
  </si>
  <si>
    <t>ncm30032039</t>
  </si>
  <si>
    <t>ncm30032041</t>
  </si>
  <si>
    <t>ncm30032049</t>
  </si>
  <si>
    <t>ncm30032051</t>
  </si>
  <si>
    <t>ncm30032052</t>
  </si>
  <si>
    <t>ncm30032059</t>
  </si>
  <si>
    <t>ncm30032061</t>
  </si>
  <si>
    <t>ncm30032062</t>
  </si>
  <si>
    <t>ncm30032063</t>
  </si>
  <si>
    <t>ncm30032069</t>
  </si>
  <si>
    <t>ncm30032071</t>
  </si>
  <si>
    <t>ncm30032072</t>
  </si>
  <si>
    <t>ncm30032073</t>
  </si>
  <si>
    <t>ncm30032079</t>
  </si>
  <si>
    <t>ncm30032091</t>
  </si>
  <si>
    <t>ncm30032092</t>
  </si>
  <si>
    <t>ncm30032093</t>
  </si>
  <si>
    <t>ncm30032094</t>
  </si>
  <si>
    <t>ncm30032095</t>
  </si>
  <si>
    <t>ncm30032099</t>
  </si>
  <si>
    <t>ncm30033100</t>
  </si>
  <si>
    <t>ncm30033911</t>
  </si>
  <si>
    <t>ncm30033912</t>
  </si>
  <si>
    <t>ncm30033913</t>
  </si>
  <si>
    <t>ncm30033914</t>
  </si>
  <si>
    <t>ncm30033915</t>
  </si>
  <si>
    <t>ncm30033916</t>
  </si>
  <si>
    <t>ncm30033917</t>
  </si>
  <si>
    <t>ncm30033918</t>
  </si>
  <si>
    <t>ncm30033919</t>
  </si>
  <si>
    <t>ncm30033921</t>
  </si>
  <si>
    <t>ncm30033922</t>
  </si>
  <si>
    <t>ncm30033923</t>
  </si>
  <si>
    <t>ncm30033924</t>
  </si>
  <si>
    <t>ncm30033925</t>
  </si>
  <si>
    <t>ncm30033926</t>
  </si>
  <si>
    <t>ncm30033927</t>
  </si>
  <si>
    <t>ncm30033929</t>
  </si>
  <si>
    <t>ncm30033931</t>
  </si>
  <si>
    <t>ncm30033932</t>
  </si>
  <si>
    <t>ncm30033933</t>
  </si>
  <si>
    <t>ncm30033934</t>
  </si>
  <si>
    <t>ncm30033935</t>
  </si>
  <si>
    <t>ncm30033936</t>
  </si>
  <si>
    <t>ncm30033937</t>
  </si>
  <si>
    <t>ncm30033939</t>
  </si>
  <si>
    <t>ncm30033981</t>
  </si>
  <si>
    <t>ncm30033982</t>
  </si>
  <si>
    <t>ncm30033991</t>
  </si>
  <si>
    <t>ncm30033992</t>
  </si>
  <si>
    <t>ncm30033994</t>
  </si>
  <si>
    <t>ncm30033995</t>
  </si>
  <si>
    <t>ncm30033999</t>
  </si>
  <si>
    <t>ncm30034100</t>
  </si>
  <si>
    <t>ncm30034200</t>
  </si>
  <si>
    <t>ncm30034300</t>
  </si>
  <si>
    <t>ncm30034910</t>
  </si>
  <si>
    <t>ncm30034920</t>
  </si>
  <si>
    <t>ncm30034930</t>
  </si>
  <si>
    <t>ncm30034940</t>
  </si>
  <si>
    <t>ncm30034950</t>
  </si>
  <si>
    <t>ncm30034990</t>
  </si>
  <si>
    <t>ncm30036000</t>
  </si>
  <si>
    <t>ncm30039011</t>
  </si>
  <si>
    <t>ncm30039012</t>
  </si>
  <si>
    <t>ncm30039013</t>
  </si>
  <si>
    <t>ncm30039014</t>
  </si>
  <si>
    <t>ncm30039015</t>
  </si>
  <si>
    <t>ncm30039016</t>
  </si>
  <si>
    <t>ncm30039017</t>
  </si>
  <si>
    <t>ncm30039019</t>
  </si>
  <si>
    <t>ncm30039021</t>
  </si>
  <si>
    <t>ncm30039022</t>
  </si>
  <si>
    <t>ncm30039023</t>
  </si>
  <si>
    <t>ncm30039024</t>
  </si>
  <si>
    <t>ncm30039029</t>
  </si>
  <si>
    <t>ncm30039031</t>
  </si>
  <si>
    <t>ncm30039032</t>
  </si>
  <si>
    <t>ncm30039033</t>
  </si>
  <si>
    <t>ncm30039034</t>
  </si>
  <si>
    <t>ncm30039035</t>
  </si>
  <si>
    <t>ncm30039036</t>
  </si>
  <si>
    <t>ncm30039037</t>
  </si>
  <si>
    <t>ncm30039038</t>
  </si>
  <si>
    <t>ncm30039039</t>
  </si>
  <si>
    <t>ncm30039041</t>
  </si>
  <si>
    <t>ncm30039042</t>
  </si>
  <si>
    <t>ncm30039043</t>
  </si>
  <si>
    <t>ncm30039044</t>
  </si>
  <si>
    <t>ncm30039045</t>
  </si>
  <si>
    <t>ncm30039046</t>
  </si>
  <si>
    <t>ncm30039047</t>
  </si>
  <si>
    <t>ncm30039048</t>
  </si>
  <si>
    <t>ncm30039049</t>
  </si>
  <si>
    <t>ncm30039051</t>
  </si>
  <si>
    <t>ncm30039052</t>
  </si>
  <si>
    <t>ncm30039053</t>
  </si>
  <si>
    <t>ncm30039054</t>
  </si>
  <si>
    <t>ncm30039055</t>
  </si>
  <si>
    <t>ncm30039057</t>
  </si>
  <si>
    <t>ncm30039058</t>
  </si>
  <si>
    <t>ncm30039059</t>
  </si>
  <si>
    <t>ncm30039061</t>
  </si>
  <si>
    <t>ncm30039062</t>
  </si>
  <si>
    <t>ncm30039063</t>
  </si>
  <si>
    <t>ncm30039064</t>
  </si>
  <si>
    <t>ncm30039065</t>
  </si>
  <si>
    <t>ncm30039066</t>
  </si>
  <si>
    <t>ncm30039067</t>
  </si>
  <si>
    <t>ncm30039069</t>
  </si>
  <si>
    <t>ncm30039071</t>
  </si>
  <si>
    <t>ncm30039072</t>
  </si>
  <si>
    <t>ncm30039073</t>
  </si>
  <si>
    <t>ncm30039074</t>
  </si>
  <si>
    <t>ncm30039075</t>
  </si>
  <si>
    <t>ncm30039076</t>
  </si>
  <si>
    <t>ncm30039077</t>
  </si>
  <si>
    <t>ncm30039078</t>
  </si>
  <si>
    <t>ncm30039079</t>
  </si>
  <si>
    <t>ncm30039081</t>
  </si>
  <si>
    <t>ncm30039082</t>
  </si>
  <si>
    <t>ncm30039083</t>
  </si>
  <si>
    <t>ncm30039084</t>
  </si>
  <si>
    <t>ncm30039085</t>
  </si>
  <si>
    <t>ncm30039086</t>
  </si>
  <si>
    <t>ncm30039087</t>
  </si>
  <si>
    <t>ncm30039088</t>
  </si>
  <si>
    <t>ncm30039089</t>
  </si>
  <si>
    <t>ncm30039091</t>
  </si>
  <si>
    <t>ncm30039092</t>
  </si>
  <si>
    <t>ncm30039093</t>
  </si>
  <si>
    <t>ncm30039094</t>
  </si>
  <si>
    <t>ncm30039095</t>
  </si>
  <si>
    <t>ncm30039096</t>
  </si>
  <si>
    <t>ncm30039097</t>
  </si>
  <si>
    <t>ncm30039099</t>
  </si>
  <si>
    <t>ncm30041011</t>
  </si>
  <si>
    <t>ncm30041012</t>
  </si>
  <si>
    <t>ncm30041013</t>
  </si>
  <si>
    <t>ncm30041014</t>
  </si>
  <si>
    <t>ncm30041015</t>
  </si>
  <si>
    <t>ncm30041019</t>
  </si>
  <si>
    <t>ncm30041020</t>
  </si>
  <si>
    <t>ncm30042011</t>
  </si>
  <si>
    <t>ncm30042019</t>
  </si>
  <si>
    <t>ncm30042021</t>
  </si>
  <si>
    <t>ncm30042029</t>
  </si>
  <si>
    <t>ncm30042031</t>
  </si>
  <si>
    <t>ncm30042032</t>
  </si>
  <si>
    <t>ncm30042039</t>
  </si>
  <si>
    <t>ncm30042041</t>
  </si>
  <si>
    <t>ncm30042049</t>
  </si>
  <si>
    <t>ncm30042051</t>
  </si>
  <si>
    <t>ncm30042052</t>
  </si>
  <si>
    <t>ncm30042059</t>
  </si>
  <si>
    <t>ncm30042061</t>
  </si>
  <si>
    <t>ncm30042062</t>
  </si>
  <si>
    <t>ncm30042063</t>
  </si>
  <si>
    <t>ncm30042069</t>
  </si>
  <si>
    <t>ncm30042071</t>
  </si>
  <si>
    <t>ncm30042072</t>
  </si>
  <si>
    <t>ncm30042073</t>
  </si>
  <si>
    <t>ncm30042079</t>
  </si>
  <si>
    <t>ncm30042091</t>
  </si>
  <si>
    <t>ncm30042092</t>
  </si>
  <si>
    <t>ncm30042093</t>
  </si>
  <si>
    <t>ncm30042094</t>
  </si>
  <si>
    <t>ncm30042095</t>
  </si>
  <si>
    <t>ncm30042099</t>
  </si>
  <si>
    <t>ncm30043100</t>
  </si>
  <si>
    <t>ncm30043210</t>
  </si>
  <si>
    <t>ncm30043220</t>
  </si>
  <si>
    <t>ncm30043290</t>
  </si>
  <si>
    <t>ncm30043911</t>
  </si>
  <si>
    <t>ncm30043912</t>
  </si>
  <si>
    <t>ncm30043913</t>
  </si>
  <si>
    <t>ncm30043914</t>
  </si>
  <si>
    <t>ncm30043915</t>
  </si>
  <si>
    <t>ncm30043916</t>
  </si>
  <si>
    <t>ncm30043917</t>
  </si>
  <si>
    <t>ncm30043918</t>
  </si>
  <si>
    <t>ncm30043919</t>
  </si>
  <si>
    <t>ncm30043921</t>
  </si>
  <si>
    <t>ncm30043922</t>
  </si>
  <si>
    <t>ncm30043923</t>
  </si>
  <si>
    <t>ncm30043924</t>
  </si>
  <si>
    <t>ncm30043925</t>
  </si>
  <si>
    <t>ncm30043926</t>
  </si>
  <si>
    <t>ncm30043927</t>
  </si>
  <si>
    <t>ncm30043928</t>
  </si>
  <si>
    <t>ncm30043929</t>
  </si>
  <si>
    <t>ncm30043931</t>
  </si>
  <si>
    <t>ncm30043932</t>
  </si>
  <si>
    <t>ncm30043933</t>
  </si>
  <si>
    <t>ncm30043934</t>
  </si>
  <si>
    <t>ncm30043935</t>
  </si>
  <si>
    <t>ncm30043936</t>
  </si>
  <si>
    <t>ncm30043937</t>
  </si>
  <si>
    <t>ncm30043939</t>
  </si>
  <si>
    <t>ncm30043981</t>
  </si>
  <si>
    <t>ncm30043982</t>
  </si>
  <si>
    <t>ncm30043991</t>
  </si>
  <si>
    <t>ncm30043992</t>
  </si>
  <si>
    <t>ncm30043994</t>
  </si>
  <si>
    <t>ncm30043999</t>
  </si>
  <si>
    <t>ncm30044100</t>
  </si>
  <si>
    <t>ncm30044200</t>
  </si>
  <si>
    <t>ncm30044300</t>
  </si>
  <si>
    <t>ncm30044910</t>
  </si>
  <si>
    <t>ncm30044920</t>
  </si>
  <si>
    <t>ncm30044930</t>
  </si>
  <si>
    <t>ncm30044940</t>
  </si>
  <si>
    <t>ncm30044950</t>
  </si>
  <si>
    <t>ncm30044990</t>
  </si>
  <si>
    <t>ncm30045010</t>
  </si>
  <si>
    <t>ncm30045020</t>
  </si>
  <si>
    <t>ncm30045030</t>
  </si>
  <si>
    <t>ncm30045040</t>
  </si>
  <si>
    <t>ncm30045050</t>
  </si>
  <si>
    <t>ncm30045060</t>
  </si>
  <si>
    <t>ncm30045090</t>
  </si>
  <si>
    <t>ncm30046000</t>
  </si>
  <si>
    <t>ncm30049011</t>
  </si>
  <si>
    <t>ncm30049012</t>
  </si>
  <si>
    <t>ncm30049013</t>
  </si>
  <si>
    <t>ncm30049014</t>
  </si>
  <si>
    <t>ncm30049019</t>
  </si>
  <si>
    <t>ncm30049021</t>
  </si>
  <si>
    <t>ncm30049022</t>
  </si>
  <si>
    <t>ncm30049023</t>
  </si>
  <si>
    <t>ncm30049024</t>
  </si>
  <si>
    <t>ncm30049025</t>
  </si>
  <si>
    <t>ncm30049026</t>
  </si>
  <si>
    <t>ncm30049027</t>
  </si>
  <si>
    <t>ncm30049028</t>
  </si>
  <si>
    <t>ncm30049029</t>
  </si>
  <si>
    <t>ncm30049031</t>
  </si>
  <si>
    <t>ncm30049032</t>
  </si>
  <si>
    <t>ncm30049033</t>
  </si>
  <si>
    <t>ncm30049034</t>
  </si>
  <si>
    <t>ncm30049035</t>
  </si>
  <si>
    <t>ncm30049036</t>
  </si>
  <si>
    <t>ncm30049037</t>
  </si>
  <si>
    <t>ncm30049038</t>
  </si>
  <si>
    <t>ncm30049039</t>
  </si>
  <si>
    <t>ncm30049041</t>
  </si>
  <si>
    <t>ncm30049042</t>
  </si>
  <si>
    <t>ncm30049043</t>
  </si>
  <si>
    <t>ncm30049044</t>
  </si>
  <si>
    <t>ncm30049045</t>
  </si>
  <si>
    <t>ncm30049047</t>
  </si>
  <si>
    <t>ncm30049048</t>
  </si>
  <si>
    <t>ncm30049049</t>
  </si>
  <si>
    <t>ncm30049051</t>
  </si>
  <si>
    <t>ncm30049052</t>
  </si>
  <si>
    <t>ncm30049053</t>
  </si>
  <si>
    <t>ncm30049054</t>
  </si>
  <si>
    <t>ncm30049055</t>
  </si>
  <si>
    <t>ncm30049057</t>
  </si>
  <si>
    <t>ncm30049058</t>
  </si>
  <si>
    <t>ncm30049059</t>
  </si>
  <si>
    <t>ncm30049061</t>
  </si>
  <si>
    <t>ncm30049062</t>
  </si>
  <si>
    <t>ncm30049063</t>
  </si>
  <si>
    <t>ncm30049064</t>
  </si>
  <si>
    <t>ncm30049065</t>
  </si>
  <si>
    <t>ncm30049066</t>
  </si>
  <si>
    <t>ncm30049067</t>
  </si>
  <si>
    <t>ncm30049068</t>
  </si>
  <si>
    <t>ncm30049069</t>
  </si>
  <si>
    <t>ncm30049071</t>
  </si>
  <si>
    <t>ncm30049072</t>
  </si>
  <si>
    <t>ncm30049073</t>
  </si>
  <si>
    <t>ncm30049074</t>
  </si>
  <si>
    <t>ncm30049075</t>
  </si>
  <si>
    <t>ncm30049076</t>
  </si>
  <si>
    <t>ncm30049077</t>
  </si>
  <si>
    <t>ncm30049078</t>
  </si>
  <si>
    <t>ncm30049079</t>
  </si>
  <si>
    <t>ncm30049091</t>
  </si>
  <si>
    <t>ncm30049092</t>
  </si>
  <si>
    <t>ncm30049093</t>
  </si>
  <si>
    <t>ncm30049094</t>
  </si>
  <si>
    <t>ncm30049095</t>
  </si>
  <si>
    <t>ncm30049096</t>
  </si>
  <si>
    <t>ncm30049097</t>
  </si>
  <si>
    <t>ncm30049099</t>
  </si>
  <si>
    <t>ncm22072019</t>
  </si>
  <si>
    <t>ncm30051010</t>
  </si>
  <si>
    <t>ncm30066000</t>
  </si>
  <si>
    <t>ncm33030010</t>
  </si>
  <si>
    <t>ncm33030020</t>
  </si>
  <si>
    <t>ncm34012010</t>
  </si>
  <si>
    <t>ncm96032100</t>
  </si>
  <si>
    <t>ncm40111000</t>
  </si>
  <si>
    <t>ncm40112010</t>
  </si>
  <si>
    <t>ncm40112090</t>
  </si>
  <si>
    <t>ncm40113000</t>
  </si>
  <si>
    <t>ncm40114000</t>
  </si>
  <si>
    <t>ncm40115000</t>
  </si>
  <si>
    <t>ncm40117010</t>
  </si>
  <si>
    <t>ncm40117090</t>
  </si>
  <si>
    <t>ncm40118010</t>
  </si>
  <si>
    <t>ncm40118020</t>
  </si>
  <si>
    <t>ncm40118090</t>
  </si>
  <si>
    <t>ncm40119010</t>
  </si>
  <si>
    <t>ncm40119090</t>
  </si>
  <si>
    <t>ncm40131010</t>
  </si>
  <si>
    <t>ncm40131090</t>
  </si>
  <si>
    <t>ncm40132000</t>
  </si>
  <si>
    <t>ncm40139000</t>
  </si>
  <si>
    <t>NCM02012090</t>
  </si>
  <si>
    <t>NCM02021000</t>
  </si>
  <si>
    <t>NCM02022010</t>
  </si>
  <si>
    <t>NCM02022020</t>
  </si>
  <si>
    <t>NCM02022090</t>
  </si>
  <si>
    <t>NCM02031100</t>
  </si>
  <si>
    <t>NCM02032100</t>
  </si>
  <si>
    <t>NCM02032200</t>
  </si>
  <si>
    <t>NCM02032900</t>
  </si>
  <si>
    <t>NCM02063000</t>
  </si>
  <si>
    <t>NCM02064100</t>
  </si>
  <si>
    <t>NCM02064900</t>
  </si>
  <si>
    <t>NCM02068000</t>
  </si>
  <si>
    <t>NCM02072400</t>
  </si>
  <si>
    <t>NCM02072500</t>
  </si>
  <si>
    <t>NCM02072600</t>
  </si>
  <si>
    <t>NCM02072700</t>
  </si>
  <si>
    <t>NCM02074100</t>
  </si>
  <si>
    <t>NCM02074200</t>
  </si>
  <si>
    <t>NCM02074300</t>
  </si>
  <si>
    <t>NCM02074400</t>
  </si>
  <si>
    <t>NCM02074500</t>
  </si>
  <si>
    <t>NCM02075100</t>
  </si>
  <si>
    <t>NCM02075200</t>
  </si>
  <si>
    <t>NCM02075300</t>
  </si>
  <si>
    <t>NCM02075400</t>
  </si>
  <si>
    <t>NCM02075500</t>
  </si>
  <si>
    <t>NCM02076000</t>
  </si>
  <si>
    <t>NCM02091011</t>
  </si>
  <si>
    <t>NCM02091019</t>
  </si>
  <si>
    <t>NCM02091021</t>
  </si>
  <si>
    <t>NCM02091029</t>
  </si>
  <si>
    <t>NCM02099000</t>
  </si>
  <si>
    <t>NCM02101000</t>
  </si>
  <si>
    <t>NCM02101100</t>
  </si>
  <si>
    <t>NCM02101200</t>
  </si>
  <si>
    <t>NCM03021100</t>
  </si>
  <si>
    <t>NCM03021300</t>
  </si>
  <si>
    <t>NCM03021400</t>
  </si>
  <si>
    <t>NCM03021900</t>
  </si>
  <si>
    <t>NCM03022100</t>
  </si>
  <si>
    <t>NCM03022200</t>
  </si>
  <si>
    <t>NCM03022300</t>
  </si>
  <si>
    <t>NCM03022400</t>
  </si>
  <si>
    <t>NCM03022900</t>
  </si>
  <si>
    <t>NCM03023100</t>
  </si>
  <si>
    <t>NCM03023200</t>
  </si>
  <si>
    <t>NCM03023300</t>
  </si>
  <si>
    <t>NCM03023400</t>
  </si>
  <si>
    <t>NCM03023500</t>
  </si>
  <si>
    <t>NCM03023600</t>
  </si>
  <si>
    <t>NCM03023900</t>
  </si>
  <si>
    <t>NCM03024100</t>
  </si>
  <si>
    <t>NCM03024210</t>
  </si>
  <si>
    <t>NCM03024290</t>
  </si>
  <si>
    <t>NCM03024300</t>
  </si>
  <si>
    <t>NCM03024400</t>
  </si>
  <si>
    <t>NCM03024500</t>
  </si>
  <si>
    <t>NCM03024600</t>
  </si>
  <si>
    <t>NCM03024700</t>
  </si>
  <si>
    <t>NCM03024910</t>
  </si>
  <si>
    <t>NCM03024990</t>
  </si>
  <si>
    <t>NCM03025100</t>
  </si>
  <si>
    <t>NCM03025200</t>
  </si>
  <si>
    <t>NCM03025300</t>
  </si>
  <si>
    <t>NCM03025400</t>
  </si>
  <si>
    <t>NCM03025500</t>
  </si>
  <si>
    <t>NCM03025600</t>
  </si>
  <si>
    <t>NCM03025900</t>
  </si>
  <si>
    <t>NCM03027210</t>
  </si>
  <si>
    <t>NCM03027290</t>
  </si>
  <si>
    <t>NCM03027300</t>
  </si>
  <si>
    <t>NCM03027400</t>
  </si>
  <si>
    <t>NCM03027900</t>
  </si>
  <si>
    <t>NCM03028100</t>
  </si>
  <si>
    <t>NCM03028200</t>
  </si>
  <si>
    <t>NCM03028310</t>
  </si>
  <si>
    <t>NCM03028320</t>
  </si>
  <si>
    <t>NCM03028400</t>
  </si>
  <si>
    <t>NCM03028500</t>
  </si>
  <si>
    <t>NCM03028910</t>
  </si>
  <si>
    <t>NCM03028921</t>
  </si>
  <si>
    <t>NCM03028922</t>
  </si>
  <si>
    <t>NCM03028923</t>
  </si>
  <si>
    <t>NCM03028924</t>
  </si>
  <si>
    <t>NCM03028931</t>
  </si>
  <si>
    <t>NCM03028932</t>
  </si>
  <si>
    <t>NCM03028933</t>
  </si>
  <si>
    <t>NCM03028934</t>
  </si>
  <si>
    <t>NCM03028935</t>
  </si>
  <si>
    <t>NCM03028936</t>
  </si>
  <si>
    <t>NCM03028937</t>
  </si>
  <si>
    <t>NCM03028938</t>
  </si>
  <si>
    <t>NCM03028941</t>
  </si>
  <si>
    <t>NCM03028942</t>
  </si>
  <si>
    <t>NCM03028943</t>
  </si>
  <si>
    <t>NCM03028944</t>
  </si>
  <si>
    <t>NCM03028945</t>
  </si>
  <si>
    <t>NCM03028990</t>
  </si>
  <si>
    <t>NCM03029900</t>
  </si>
  <si>
    <t>NCM03031100</t>
  </si>
  <si>
    <t>NCM03031200</t>
  </si>
  <si>
    <t>NCM03031300</t>
  </si>
  <si>
    <t>NCM03031400</t>
  </si>
  <si>
    <t>NCM03031900</t>
  </si>
  <si>
    <t>NCM03032300</t>
  </si>
  <si>
    <t>NCM03032410</t>
  </si>
  <si>
    <t>NCM03032490</t>
  </si>
  <si>
    <t>NCM03032500</t>
  </si>
  <si>
    <t>NCM03032600</t>
  </si>
  <si>
    <t>NCM03032900</t>
  </si>
  <si>
    <t>NCM03033100</t>
  </si>
  <si>
    <t>NCM03033200</t>
  </si>
  <si>
    <t>NCM03033300</t>
  </si>
  <si>
    <t>NCM03033400</t>
  </si>
  <si>
    <t>NCM03033900</t>
  </si>
  <si>
    <t>NCM03034100</t>
  </si>
  <si>
    <t>NCM03034200</t>
  </si>
  <si>
    <t>NCM03034300</t>
  </si>
  <si>
    <t>NCM03034400</t>
  </si>
  <si>
    <t>NCM03034500</t>
  </si>
  <si>
    <t>NCM03034600</t>
  </si>
  <si>
    <t>NCM03034900</t>
  </si>
  <si>
    <t>NCM03035100</t>
  </si>
  <si>
    <t>NCM03035400</t>
  </si>
  <si>
    <t>NCM03035500</t>
  </si>
  <si>
    <t>NCM03035600</t>
  </si>
  <si>
    <t>NCM03035700</t>
  </si>
  <si>
    <t>NCM03035910</t>
  </si>
  <si>
    <t>NCM03035920</t>
  </si>
  <si>
    <t>NCM03035990</t>
  </si>
  <si>
    <t>NCM03036300</t>
  </si>
  <si>
    <t>NCM03036400</t>
  </si>
  <si>
    <t>NCM03036500</t>
  </si>
  <si>
    <t>NCM03036600</t>
  </si>
  <si>
    <t>NCM03036700</t>
  </si>
  <si>
    <t>NCM03036800</t>
  </si>
  <si>
    <t>NCM03036910</t>
  </si>
  <si>
    <t>NCM03036990</t>
  </si>
  <si>
    <t>NCM03037961</t>
  </si>
  <si>
    <t>NCM03038111</t>
  </si>
  <si>
    <t>NCM03038112</t>
  </si>
  <si>
    <t>NCM03038113</t>
  </si>
  <si>
    <t>NCM03038114</t>
  </si>
  <si>
    <t>NCM03038119</t>
  </si>
  <si>
    <t>NCM03038190</t>
  </si>
  <si>
    <t>NCM03038200</t>
  </si>
  <si>
    <t>NCM03038311</t>
  </si>
  <si>
    <t>NCM03038319</t>
  </si>
  <si>
    <t>NCM03038321</t>
  </si>
  <si>
    <t>NCM03038329</t>
  </si>
  <si>
    <t>NCM03038400</t>
  </si>
  <si>
    <t>NCM03038910</t>
  </si>
  <si>
    <t>NCM03038920</t>
  </si>
  <si>
    <t>NCM03038932</t>
  </si>
  <si>
    <t>NCM03038933</t>
  </si>
  <si>
    <t>NCM03038941</t>
  </si>
  <si>
    <t>NCM03038942</t>
  </si>
  <si>
    <t>NCM03038943</t>
  </si>
  <si>
    <t>NCM03038944</t>
  </si>
  <si>
    <t>NCM03038945</t>
  </si>
  <si>
    <t>NCM03038946</t>
  </si>
  <si>
    <t>NCM03038951</t>
  </si>
  <si>
    <t>NCM03038952</t>
  </si>
  <si>
    <t>NCM03038954</t>
  </si>
  <si>
    <t>NCM03038962</t>
  </si>
  <si>
    <t>NCM03038964</t>
  </si>
  <si>
    <t>NCM03038965</t>
  </si>
  <si>
    <t>NCM03039100</t>
  </si>
  <si>
    <t>NCM03039200</t>
  </si>
  <si>
    <t>NCM03039910</t>
  </si>
  <si>
    <t>NCM03039920</t>
  </si>
  <si>
    <t>NCM03039990</t>
  </si>
  <si>
    <t>NCM03043210</t>
  </si>
  <si>
    <t>NCM03043290</t>
  </si>
  <si>
    <t>NCM03043300</t>
  </si>
  <si>
    <t>NCM03043900</t>
  </si>
  <si>
    <t>NCM03044100</t>
  </si>
  <si>
    <t>NCM03044200</t>
  </si>
  <si>
    <t>NCM03044300</t>
  </si>
  <si>
    <t>NCM03044400</t>
  </si>
  <si>
    <t>NCM03044500</t>
  </si>
  <si>
    <t>NCM03044600</t>
  </si>
  <si>
    <t>NCM03044700</t>
  </si>
  <si>
    <t>NCM03044800</t>
  </si>
  <si>
    <t>NCM03044910</t>
  </si>
  <si>
    <t>NCM03044920</t>
  </si>
  <si>
    <t>NCM03044990</t>
  </si>
  <si>
    <t>NCM03045100</t>
  </si>
  <si>
    <t>NCM03045200</t>
  </si>
  <si>
    <t>NCM03045300</t>
  </si>
  <si>
    <t>NCM03045400</t>
  </si>
  <si>
    <t>NCM03045500</t>
  </si>
  <si>
    <t>NCM03045600</t>
  </si>
  <si>
    <t>NCM03045700</t>
  </si>
  <si>
    <t>NCM03045900</t>
  </si>
  <si>
    <t>NCM03046210</t>
  </si>
  <si>
    <t>NCM03046290</t>
  </si>
  <si>
    <t>NCM03046300</t>
  </si>
  <si>
    <t>NCM03046900</t>
  </si>
  <si>
    <t>NCM03047100</t>
  </si>
  <si>
    <t>NCM03047200</t>
  </si>
  <si>
    <t>NCM03047300</t>
  </si>
  <si>
    <t>NCM03047500</t>
  </si>
  <si>
    <t>NCM03047900</t>
  </si>
  <si>
    <t>NCM03048100</t>
  </si>
  <si>
    <t>NCM03048200</t>
  </si>
  <si>
    <t>NCM03048300</t>
  </si>
  <si>
    <t>NCM03048400</t>
  </si>
  <si>
    <t>NCM03048510</t>
  </si>
  <si>
    <t>NCM03048520</t>
  </si>
  <si>
    <t>NCM03048600</t>
  </si>
  <si>
    <t>NCM03048700</t>
  </si>
  <si>
    <t>NCM03048810</t>
  </si>
  <si>
    <t>NCM03048890</t>
  </si>
  <si>
    <t>NCM03048910</t>
  </si>
  <si>
    <t>NCM03048920</t>
  </si>
  <si>
    <t>NCM03048930</t>
  </si>
  <si>
    <t>NCM03049100</t>
  </si>
  <si>
    <t>NCM03049211</t>
  </si>
  <si>
    <t>NCM03049212</t>
  </si>
  <si>
    <t>NCM03049219</t>
  </si>
  <si>
    <t>NCM03049221</t>
  </si>
  <si>
    <t>NCM03049222</t>
  </si>
  <si>
    <t>NCM03049229</t>
  </si>
  <si>
    <t>NCM03049300</t>
  </si>
  <si>
    <t>NCM03049400</t>
  </si>
  <si>
    <t>NCM03049500</t>
  </si>
  <si>
    <t>NCM03049600</t>
  </si>
  <si>
    <t>NCM03049700</t>
  </si>
  <si>
    <t>NCM03049900</t>
  </si>
  <si>
    <t>NCM04015010</t>
  </si>
  <si>
    <t>NCM04021010</t>
  </si>
  <si>
    <t>NCM04022120</t>
  </si>
  <si>
    <t>NCM04022910</t>
  </si>
  <si>
    <t>NCM04022920</t>
  </si>
  <si>
    <t>NCM04069030</t>
  </si>
  <si>
    <t>NCM04069090</t>
  </si>
  <si>
    <t>NCM04070011</t>
  </si>
  <si>
    <t>NCM05069000</t>
  </si>
  <si>
    <t>NCM07039090</t>
  </si>
  <si>
    <t>NCM07095100</t>
  </si>
  <si>
    <t>NCM07099090</t>
  </si>
  <si>
    <t>NCM07101000</t>
  </si>
  <si>
    <t>NCM07102100</t>
  </si>
  <si>
    <t>NCM07108000</t>
  </si>
  <si>
    <t>NCM07112010</t>
  </si>
  <si>
    <t>NCM07129010</t>
  </si>
  <si>
    <t>NCM07129090</t>
  </si>
  <si>
    <t>NCM07131090</t>
  </si>
  <si>
    <t>NCM07132090</t>
  </si>
  <si>
    <t>NCM07133329</t>
  </si>
  <si>
    <t>NCM07134090</t>
  </si>
  <si>
    <t>NCM07139090</t>
  </si>
  <si>
    <t>NCM08011900</t>
  </si>
  <si>
    <t>NCM08013100</t>
  </si>
  <si>
    <t>NCM08013200</t>
  </si>
  <si>
    <t>NCM08023200</t>
  </si>
  <si>
    <t>NCM08093020</t>
  </si>
  <si>
    <t>NCM08107000</t>
  </si>
  <si>
    <t>NCM08109090</t>
  </si>
  <si>
    <t>NCM08131000</t>
  </si>
  <si>
    <t>NCM08132010</t>
  </si>
  <si>
    <t>NCM08134090</t>
  </si>
  <si>
    <t>NCM09011110</t>
  </si>
  <si>
    <t>NCM09011190</t>
  </si>
  <si>
    <t>NCM09011200</t>
  </si>
  <si>
    <t>NCM09012200</t>
  </si>
  <si>
    <t>NCM09019000</t>
  </si>
  <si>
    <t>NCM10019900</t>
  </si>
  <si>
    <t>NCM10062010</t>
  </si>
  <si>
    <t>NCM10063019</t>
  </si>
  <si>
    <t>NCM12081000</t>
  </si>
  <si>
    <t>NCM15021011</t>
  </si>
  <si>
    <t>NCM15021012</t>
  </si>
  <si>
    <t>NCM15021019</t>
  </si>
  <si>
    <t>NCM15071000</t>
  </si>
  <si>
    <t>NCM15079019</t>
  </si>
  <si>
    <t>NCM15079090</t>
  </si>
  <si>
    <t>NCM15081000</t>
  </si>
  <si>
    <t>NCM15089000</t>
  </si>
  <si>
    <t>NCM15119000</t>
  </si>
  <si>
    <t>NCM15131900</t>
  </si>
  <si>
    <t>NCM15141100</t>
  </si>
  <si>
    <t>NCM15141990</t>
  </si>
  <si>
    <t>NCM15149100</t>
  </si>
  <si>
    <t>NCM15149910</t>
  </si>
  <si>
    <t>NCM15149990</t>
  </si>
  <si>
    <t>NCM19011010</t>
  </si>
  <si>
    <t>NCM19011020</t>
  </si>
  <si>
    <t>NCM19011030</t>
  </si>
  <si>
    <t>NCM19011090</t>
  </si>
  <si>
    <t>NCM21011190</t>
  </si>
  <si>
    <t>Álcool etílico não desnaturado, com um teor alcoólico, em volume, igual ou superior a 80 % vol; álcool etílico e aguardentes, desnaturados, com qualquer teor alcoólico.</t>
  </si>
  <si>
    <t>ncm22071010</t>
  </si>
  <si>
    <t>Álcool etílico não desnaturado, com um teor alcoólico, em volume, igual ou superior a 80 % vol; álcool etílico e aguardentes, desnaturados, com qualquer teor alcoólico. / Com um teor de água inferior ou igual a 1 % vol</t>
  </si>
  <si>
    <t>ncm22072011</t>
  </si>
  <si>
    <t xml:space="preserve">	Com um teor de água inferior ou igual a 1 % vol</t>
  </si>
  <si>
    <t xml:space="preserve">	Gás liquefeito de petróleo (GLP)</t>
  </si>
  <si>
    <t xml:space="preserve">	Ampicilina ou seus sais</t>
  </si>
  <si>
    <t xml:space="preserve">	Amoxicilina ou seus sais</t>
  </si>
  <si>
    <t xml:space="preserve">	Penicilina G benzatínica</t>
  </si>
  <si>
    <t xml:space="preserve">	Penicilina G potássica</t>
  </si>
  <si>
    <t>Penicilina G procaínica</t>
  </si>
  <si>
    <t>NCM31052000</t>
  </si>
  <si>
    <t>NCM33041000</t>
  </si>
  <si>
    <t>NCM33042010</t>
  </si>
  <si>
    <t>NCM33042090</t>
  </si>
  <si>
    <t>NCM33043000</t>
  </si>
  <si>
    <t>NCM33049100</t>
  </si>
  <si>
    <t>NCM33049910</t>
  </si>
  <si>
    <t>NCM33049990</t>
  </si>
  <si>
    <t>NCM33062000</t>
  </si>
  <si>
    <t>NCM33069000</t>
  </si>
  <si>
    <t>NCM49019100</t>
  </si>
  <si>
    <t>NCM49019900</t>
  </si>
  <si>
    <t>NCM07082000</t>
  </si>
  <si>
    <t>NCM07095900</t>
  </si>
  <si>
    <t>NCM07133392</t>
  </si>
  <si>
    <t>NCM08010000</t>
  </si>
  <si>
    <t>NCM08045000</t>
  </si>
  <si>
    <t>Frutas</t>
  </si>
  <si>
    <t>NCM08109000</t>
  </si>
  <si>
    <t>NCM08133000</t>
  </si>
  <si>
    <t>NCM10059090</t>
  </si>
  <si>
    <t>NCM10082190</t>
  </si>
  <si>
    <t>Painço:</t>
  </si>
  <si>
    <t>NCM10083090</t>
  </si>
  <si>
    <t>NCM35061090</t>
  </si>
  <si>
    <t>NCM35069110</t>
  </si>
  <si>
    <t>NCM04011090</t>
  </si>
  <si>
    <t>NCM07102900</t>
  </si>
  <si>
    <t>NCM07114000</t>
  </si>
  <si>
    <t>NCM07123100</t>
  </si>
  <si>
    <t>NCM07134010</t>
  </si>
  <si>
    <t>NCM08029000</t>
  </si>
  <si>
    <t>NCM08059000</t>
  </si>
  <si>
    <t>NCM08092900</t>
  </si>
  <si>
    <t>NCM15100000</t>
  </si>
  <si>
    <t>NCM85071090</t>
  </si>
  <si>
    <t>ncm17011200</t>
  </si>
  <si>
    <t>ncm17011300</t>
  </si>
  <si>
    <t>ncm17011400</t>
  </si>
  <si>
    <t>ncm17019100</t>
  </si>
  <si>
    <t>ncm17019900</t>
  </si>
  <si>
    <t>NCM11029000</t>
  </si>
  <si>
    <t>Fubá ou farinha de milho</t>
  </si>
  <si>
    <t>NCM15121110</t>
  </si>
  <si>
    <t>Sal iodado 12% / Outros: 17%</t>
  </si>
  <si>
    <t>Pão francês 12% / Outros: 17%</t>
  </si>
  <si>
    <t>ncm09102000</t>
  </si>
  <si>
    <t>ncm27111100</t>
  </si>
  <si>
    <t>Absorvente higiênico 12% / Outros: 17%</t>
  </si>
  <si>
    <t>Água sanitária: 12% / outros 17%</t>
  </si>
  <si>
    <t>NCM28289019</t>
  </si>
  <si>
    <t>NCM28289090</t>
  </si>
  <si>
    <t>Sabão em barra e sabonete: 12% / Outros: 17%</t>
  </si>
  <si>
    <t>NCM33030020</t>
  </si>
  <si>
    <t>NCM33030010</t>
  </si>
  <si>
    <t>Queijo e Requijão</t>
  </si>
  <si>
    <t>Carnes de peru</t>
  </si>
  <si>
    <t>Carnes de pato</t>
  </si>
  <si>
    <t>Carnes de ganso</t>
  </si>
  <si>
    <t>Carnes de galinha da angola</t>
  </si>
  <si>
    <t>Carnes de frango</t>
  </si>
  <si>
    <t>Carnes bovina</t>
  </si>
  <si>
    <t>NCM04063000</t>
  </si>
  <si>
    <t>NCM22042900</t>
  </si>
  <si>
    <t>NCM04064000</t>
  </si>
  <si>
    <t>Canjica e fubá: 12% / Outros 17%</t>
  </si>
  <si>
    <t>NCM11042300</t>
  </si>
  <si>
    <t>Canjica e milho para pipoca</t>
  </si>
  <si>
    <t>Farinha de trigo</t>
  </si>
  <si>
    <t>Farinha de milho</t>
  </si>
  <si>
    <t>Macarrão: 12% / Outros: 17%</t>
  </si>
  <si>
    <t>Margarina vegetal: 12% / outros: 17%</t>
  </si>
  <si>
    <t>NCM15179090</t>
  </si>
  <si>
    <t>Milho de pipoca: 12% / Outros produtos: 17%</t>
  </si>
  <si>
    <t>Farinha de mandioca: 12% / Farofas e outros: 17%</t>
  </si>
  <si>
    <t>NCM03011110</t>
  </si>
  <si>
    <t>NCM03011190</t>
  </si>
  <si>
    <t>NCM03011900</t>
  </si>
  <si>
    <t>NCM03019110</t>
  </si>
  <si>
    <t>NCM03019190</t>
  </si>
  <si>
    <t>NCM03019210</t>
  </si>
  <si>
    <t>NCM03019290</t>
  </si>
  <si>
    <t>NCM03019310</t>
  </si>
  <si>
    <t>NCM03019390</t>
  </si>
  <si>
    <t>NCM03019410</t>
  </si>
  <si>
    <t>NCM03019490</t>
  </si>
  <si>
    <t>NCM03019510</t>
  </si>
  <si>
    <t>NCM03019590</t>
  </si>
  <si>
    <t>NCM03019911</t>
  </si>
  <si>
    <t>NCM03019912</t>
  </si>
  <si>
    <t>NCM03019919</t>
  </si>
  <si>
    <t>NCM03019991</t>
  </si>
  <si>
    <t>NCM03019992</t>
  </si>
  <si>
    <t>NCM03019999</t>
  </si>
  <si>
    <t>NCM03029100</t>
  </si>
  <si>
    <t>NCM03029200</t>
  </si>
  <si>
    <t>NCM03051000</t>
  </si>
  <si>
    <t>NCM03052000</t>
  </si>
  <si>
    <t>NCM03053100</t>
  </si>
  <si>
    <t>NCM03053210</t>
  </si>
  <si>
    <t>NCM03053220</t>
  </si>
  <si>
    <t>NCM03053230</t>
  </si>
  <si>
    <t>NCM03053290</t>
  </si>
  <si>
    <t>NCM03053900</t>
  </si>
  <si>
    <t>NCM03054100</t>
  </si>
  <si>
    <t>NCM03054200</t>
  </si>
  <si>
    <t>NCM03054300</t>
  </si>
  <si>
    <t>NCM03054400</t>
  </si>
  <si>
    <t>NCM03054910</t>
  </si>
  <si>
    <t>NCM03054920</t>
  </si>
  <si>
    <t>NCM03054990</t>
  </si>
  <si>
    <t>NCM03055200</t>
  </si>
  <si>
    <t>NCM03055310</t>
  </si>
  <si>
    <t>NCM03055390</t>
  </si>
  <si>
    <t>NCM03055400</t>
  </si>
  <si>
    <t>NCM03055900</t>
  </si>
  <si>
    <t>NCM03056100</t>
  </si>
  <si>
    <t>NCM03056200</t>
  </si>
  <si>
    <t>NCM03056300</t>
  </si>
  <si>
    <t>NCM03056400</t>
  </si>
  <si>
    <t>NCM03056910</t>
  </si>
  <si>
    <t>NCM03056990</t>
  </si>
  <si>
    <t>NCM03057100</t>
  </si>
  <si>
    <t>NCM03057200</t>
  </si>
  <si>
    <t>NCM03057900</t>
  </si>
  <si>
    <t>NCM03061110</t>
  </si>
  <si>
    <t>NCM03061190</t>
  </si>
  <si>
    <t>NCM03061200</t>
  </si>
  <si>
    <t>NCM03061400</t>
  </si>
  <si>
    <t>NCM03061500</t>
  </si>
  <si>
    <t>NCM03061610</t>
  </si>
  <si>
    <t>NCM03061710</t>
  </si>
  <si>
    <t>NCM03061790</t>
  </si>
  <si>
    <t>NCM03061910</t>
  </si>
  <si>
    <t>NCM03061990</t>
  </si>
  <si>
    <t>NCM03063100</t>
  </si>
  <si>
    <t>NCM03063200</t>
  </si>
  <si>
    <t>NCM03063300</t>
  </si>
  <si>
    <t>NCM03063400</t>
  </si>
  <si>
    <t>NCM03063500</t>
  </si>
  <si>
    <t>NCM03063600</t>
  </si>
  <si>
    <t>NCM03063910</t>
  </si>
  <si>
    <t>NCM03063990</t>
  </si>
  <si>
    <t>NCM03069100</t>
  </si>
  <si>
    <t>NCM03069200</t>
  </si>
  <si>
    <t>NCM03069300</t>
  </si>
  <si>
    <t>NCM03069400</t>
  </si>
  <si>
    <t>NCM03069500</t>
  </si>
  <si>
    <t>NCM03069910</t>
  </si>
  <si>
    <t>NCM03069990</t>
  </si>
  <si>
    <t>NCM03071100</t>
  </si>
  <si>
    <t>NCM03071200</t>
  </si>
  <si>
    <t>NCM03071900</t>
  </si>
  <si>
    <t>NCM03072100</t>
  </si>
  <si>
    <t>NCM03072200</t>
  </si>
  <si>
    <t>NCM03072900</t>
  </si>
  <si>
    <t>NCM03073100</t>
  </si>
  <si>
    <t>NCM03073200</t>
  </si>
  <si>
    <t>NCM03073900</t>
  </si>
  <si>
    <t>NCM03074200</t>
  </si>
  <si>
    <t>NCM03074310</t>
  </si>
  <si>
    <t>NCM03074320</t>
  </si>
  <si>
    <t>NCM03075100</t>
  </si>
  <si>
    <t>NCM03075200</t>
  </si>
  <si>
    <t>NCM03075900</t>
  </si>
  <si>
    <t>NCM03076000</t>
  </si>
  <si>
    <t>NCM03077100</t>
  </si>
  <si>
    <t>NCM03077200</t>
  </si>
  <si>
    <t>NCM03077900</t>
  </si>
  <si>
    <t>NCM03078100</t>
  </si>
  <si>
    <t>NCM03078200</t>
  </si>
  <si>
    <t>NCM03078300</t>
  </si>
  <si>
    <t>NCM03078400</t>
  </si>
  <si>
    <t>NCM03078700</t>
  </si>
  <si>
    <t>NCM03078800</t>
  </si>
  <si>
    <t>NCM03079100</t>
  </si>
  <si>
    <t>NCM03079200</t>
  </si>
  <si>
    <t>NCM03079900</t>
  </si>
  <si>
    <t>NCM03081100</t>
  </si>
  <si>
    <t>NCM03081200</t>
  </si>
  <si>
    <t>NCM03081900</t>
  </si>
  <si>
    <t>NCM03082100</t>
  </si>
  <si>
    <t>NCM03082200</t>
  </si>
  <si>
    <t>NCM03082900</t>
  </si>
  <si>
    <t>NCM03083000</t>
  </si>
  <si>
    <t>NCM03089000</t>
  </si>
  <si>
    <t>Particularidades</t>
  </si>
  <si>
    <t>NCM84244900</t>
  </si>
  <si>
    <t>NCM84244100</t>
  </si>
  <si>
    <t>NCM40169200</t>
  </si>
  <si>
    <t>NCM48202000</t>
  </si>
  <si>
    <t>NCM96081000</t>
  </si>
  <si>
    <t>NCM96091000</t>
  </si>
  <si>
    <t>NCM07133290</t>
  </si>
  <si>
    <t>NCM07133990</t>
  </si>
  <si>
    <t>NCM17011300</t>
  </si>
  <si>
    <t>NCM10064000</t>
  </si>
  <si>
    <t>NCM96039000</t>
  </si>
  <si>
    <t>NCM15131100</t>
  </si>
  <si>
    <t>NCM15132120</t>
  </si>
  <si>
    <t>NCM15132930</t>
  </si>
  <si>
    <t>NCM21022000</t>
  </si>
  <si>
    <t>Açucar: 7%, exceto Açucar mascavo</t>
  </si>
  <si>
    <t>Café torrado ou moído</t>
  </si>
  <si>
    <t>Farinha de trigo prod. em GO: 7% / prod. em outro estado: trib. Integral</t>
  </si>
  <si>
    <t>Margarina vegetal: 7% / Outros: trib. Integral</t>
  </si>
  <si>
    <t>Óleo Vegetal: 7% / de Oliva: trib. Integral</t>
  </si>
  <si>
    <t>Escova de dente (exceto a elétrica)</t>
  </si>
  <si>
    <t>Água Sanitária: 7% / Outros Produtos: trib. Integral</t>
  </si>
  <si>
    <t>Desinfetante de uso doméstico</t>
  </si>
  <si>
    <t>Sabão em barra e sabonete: 7% / Outros: Trib. Integral</t>
  </si>
  <si>
    <t>Vassoura: 7% / outras: Trib. Integral</t>
  </si>
  <si>
    <t>Fubáe e Farinha Arroz: 7% / Outras: Trib. Integral</t>
  </si>
  <si>
    <t>Macarrão: 7% / Outros: Trib. Integral</t>
  </si>
  <si>
    <t>Arroz: 7% / Arroz integral: trib. Integral</t>
  </si>
  <si>
    <t>Sabonete: 7% / Outros: Trib. Integral</t>
  </si>
  <si>
    <t>Sal Iodado: 7% / Outros: Trib. Integral</t>
  </si>
  <si>
    <t>Polvilho</t>
  </si>
  <si>
    <t>Queijo Minas, Frescal ou Requeijão: 7% / Outros: Trib. Integral</t>
  </si>
  <si>
    <t>Polvilho: 7% / Outros: Trib. Integral</t>
  </si>
  <si>
    <t>Azeite dende</t>
  </si>
  <si>
    <t>Oleo de coco comestível: 7% / Outros: Trib. Integral</t>
  </si>
  <si>
    <t>Fermento</t>
  </si>
  <si>
    <t>Gelatina: 12% / Outros: Trib. Integral</t>
  </si>
  <si>
    <t>Borracha de apagar</t>
  </si>
  <si>
    <t>Caderno</t>
  </si>
  <si>
    <t>Caneta</t>
  </si>
  <si>
    <t>Lápis de escrever: 12% / Lápis de cor: Trib. Integral</t>
  </si>
  <si>
    <t>Farinha de mandioca: 7% / Farofas: Trib. Integral</t>
  </si>
  <si>
    <t>Pão francês: 7% /  Outros: Trib. Integral</t>
  </si>
  <si>
    <t>Dentifrício</t>
  </si>
  <si>
    <t>Água Sanitária: 7% / Dsinfetante: 7% / Outros Produtos: trib. Integral</t>
  </si>
  <si>
    <t>NCM40141000</t>
  </si>
  <si>
    <t>NCM06049000</t>
  </si>
  <si>
    <t>NCM08041010</t>
  </si>
  <si>
    <t>NCM09101100</t>
  </si>
  <si>
    <t>NCM04071100</t>
  </si>
  <si>
    <t>NCM07052100</t>
  </si>
  <si>
    <t>NCM04090000</t>
  </si>
  <si>
    <t>NCM09041100</t>
  </si>
  <si>
    <t>NCM09041200</t>
  </si>
  <si>
    <t>NCM09042100</t>
  </si>
  <si>
    <t>NCM09042200</t>
  </si>
  <si>
    <t>NCM06011000</t>
  </si>
  <si>
    <t>NCM06021000</t>
  </si>
  <si>
    <t>NCM06022000</t>
  </si>
  <si>
    <t>NCM06029010</t>
  </si>
  <si>
    <t>NCM06029021</t>
  </si>
  <si>
    <t>NCM06029081</t>
  </si>
  <si>
    <t>NCM06029082</t>
  </si>
  <si>
    <t>NCM06029083</t>
  </si>
  <si>
    <t>NCM06029089</t>
  </si>
  <si>
    <t>NCM06031200</t>
  </si>
  <si>
    <t>NCM06031500</t>
  </si>
  <si>
    <t>NCM06042000</t>
  </si>
  <si>
    <t>OVO</t>
  </si>
  <si>
    <t>GOIABA</t>
  </si>
  <si>
    <t>OUTRAS FRUTAS</t>
  </si>
  <si>
    <t>GEMGIBRE</t>
  </si>
  <si>
    <t>AMEIXA</t>
  </si>
  <si>
    <t>MAÇA</t>
  </si>
  <si>
    <t>COGUMELOS</t>
  </si>
  <si>
    <t>limião</t>
  </si>
  <si>
    <t>Pementão</t>
  </si>
  <si>
    <t>Planta</t>
  </si>
  <si>
    <t>Hortifrutícula</t>
  </si>
  <si>
    <t>NCM70134900</t>
  </si>
  <si>
    <t>NCM09092200</t>
  </si>
  <si>
    <t>NCM09109100</t>
  </si>
  <si>
    <t>NCM96170010</t>
  </si>
  <si>
    <t>NCM63029100</t>
  </si>
  <si>
    <t>NCM16010000</t>
  </si>
  <si>
    <t>NCM21042000</t>
  </si>
  <si>
    <t>NCM34052000</t>
  </si>
  <si>
    <t>NCM83052000</t>
  </si>
  <si>
    <t>NCM22084000</t>
  </si>
  <si>
    <t>NCM21032010</t>
  </si>
  <si>
    <t>NCM73218900</t>
  </si>
  <si>
    <t>NCM19059010</t>
  </si>
  <si>
    <t>NCM16025000</t>
  </si>
  <si>
    <t>NCM16021000</t>
  </si>
  <si>
    <t>NCM12345678</t>
  </si>
  <si>
    <t>NCM39232190</t>
  </si>
  <si>
    <t>NCM76151000</t>
  </si>
  <si>
    <t>NCM19019090</t>
  </si>
  <si>
    <t>NCM46021900</t>
  </si>
  <si>
    <t>NCM56074900</t>
  </si>
  <si>
    <t>NCM17049020</t>
  </si>
  <si>
    <t>NCM17041000</t>
  </si>
  <si>
    <t>NCM34021190</t>
  </si>
  <si>
    <t>NCM11042900</t>
  </si>
  <si>
    <t>NCM19041000</t>
  </si>
  <si>
    <t>NCM18069000</t>
  </si>
  <si>
    <t>NCM33074900</t>
  </si>
  <si>
    <t>NCM82111000</t>
  </si>
  <si>
    <t>NCM82159910</t>
  </si>
  <si>
    <t>NCM82119210</t>
  </si>
  <si>
    <t>NCM82055100</t>
  </si>
  <si>
    <t>NCM16023290</t>
  </si>
  <si>
    <t>NCM22089000</t>
  </si>
  <si>
    <t>NCM20098910</t>
  </si>
  <si>
    <t>NCM56012190</t>
  </si>
  <si>
    <t>NCM19019020</t>
  </si>
  <si>
    <t>NCM19053100</t>
  </si>
  <si>
    <t>NCM33053000</t>
  </si>
  <si>
    <t>NCM48182000</t>
  </si>
  <si>
    <t>NCM38099190</t>
  </si>
  <si>
    <t>NCM70133700</t>
  </si>
  <si>
    <t>NCM21041011</t>
  </si>
  <si>
    <t>NCM21033021</t>
  </si>
  <si>
    <t>NCM23091000</t>
  </si>
  <si>
    <t>NCM96032900</t>
  </si>
  <si>
    <t>NCM70134290</t>
  </si>
  <si>
    <t>NCM85161000</t>
  </si>
  <si>
    <t>NCM64022000</t>
  </si>
  <si>
    <t>NCM48183000</t>
  </si>
  <si>
    <t>NCM30051090</t>
  </si>
  <si>
    <t>NCM20052000</t>
  </si>
  <si>
    <t>NCM19053200</t>
  </si>
  <si>
    <t>NCM21039011</t>
  </si>
  <si>
    <t>NCM20079910</t>
  </si>
  <si>
    <t>NCM85131010</t>
  </si>
  <si>
    <t>NCM96131000</t>
  </si>
  <si>
    <t>NCM20057000</t>
  </si>
  <si>
    <t>NCM19052010</t>
  </si>
  <si>
    <t>NCM38249089</t>
  </si>
  <si>
    <t>NCM48025610</t>
  </si>
  <si>
    <t>NCM96159000</t>
  </si>
  <si>
    <t>NCM48209000</t>
  </si>
  <si>
    <t>NCM16042010</t>
  </si>
  <si>
    <t>NCM16041410</t>
  </si>
  <si>
    <t>NCM09021000</t>
  </si>
  <si>
    <t>NCM48189090</t>
  </si>
  <si>
    <t>NCM16023230</t>
  </si>
  <si>
    <t>NCM20079990</t>
  </si>
  <si>
    <t>NCM06012000</t>
  </si>
  <si>
    <t>NCM20029090</t>
  </si>
  <si>
    <t>NCM16023100</t>
  </si>
  <si>
    <t>NCM63071000</t>
  </si>
  <si>
    <t>NCM34054000</t>
  </si>
  <si>
    <t>NCM12040090</t>
  </si>
  <si>
    <t>NCM12074090</t>
  </si>
  <si>
    <t>NCM10085090</t>
  </si>
  <si>
    <t>NCM12089000</t>
  </si>
  <si>
    <t>NCM11041200</t>
  </si>
  <si>
    <t>NCM12079990</t>
  </si>
  <si>
    <t>NCM36069000</t>
  </si>
  <si>
    <t>NCM22072019</t>
  </si>
  <si>
    <t>NCM22086000</t>
  </si>
  <si>
    <t>NCM41152000</t>
  </si>
  <si>
    <t>NCM42050000</t>
  </si>
  <si>
    <t>NCM39269090</t>
  </si>
  <si>
    <t>NCM95030099</t>
  </si>
  <si>
    <t>NCM19042000</t>
  </si>
  <si>
    <t>NCM19012000</t>
  </si>
  <si>
    <t>NCM68053090</t>
  </si>
  <si>
    <t>NCM22087000</t>
  </si>
  <si>
    <t>NCM96170020</t>
  </si>
  <si>
    <t>NCM20096100</t>
  </si>
  <si>
    <t>NCM20091200</t>
  </si>
  <si>
    <t>NCM73231000</t>
  </si>
  <si>
    <t>NCM20094100</t>
  </si>
  <si>
    <t>NCM20093100</t>
  </si>
  <si>
    <t>NCM17049090</t>
  </si>
  <si>
    <t>NCM18063110</t>
  </si>
  <si>
    <t>NCM19059020</t>
  </si>
  <si>
    <t>NCM34029039</t>
  </si>
  <si>
    <t>NCM18063120</t>
  </si>
  <si>
    <t>NCM18063210</t>
  </si>
  <si>
    <t>NCM17049010</t>
  </si>
  <si>
    <t>NCM21069050</t>
  </si>
  <si>
    <t>NCM11031100</t>
  </si>
  <si>
    <t>NCM71179000</t>
  </si>
  <si>
    <t>NCM34012090</t>
  </si>
  <si>
    <t>NCM20081100</t>
  </si>
  <si>
    <t>NCM49090000</t>
  </si>
  <si>
    <t>NCM20089100</t>
  </si>
  <si>
    <t>NCM12024200</t>
  </si>
  <si>
    <t>NCM16023220</t>
  </si>
  <si>
    <t>NCM28272090</t>
  </si>
  <si>
    <t>NCM11081200</t>
  </si>
  <si>
    <t>NCM33012919</t>
  </si>
  <si>
    <t>NCM33012921</t>
  </si>
  <si>
    <t>NCM38021000</t>
  </si>
  <si>
    <t>NCM19019010</t>
  </si>
  <si>
    <t>NCM20098990</t>
  </si>
  <si>
    <t>NCM20098100</t>
  </si>
  <si>
    <t>NCM82159990</t>
  </si>
  <si>
    <t>NCM82152000</t>
  </si>
  <si>
    <t>NCM82130000</t>
  </si>
  <si>
    <t>NCM22083020</t>
  </si>
  <si>
    <t>NCM40149090</t>
  </si>
  <si>
    <t>NCM20021000</t>
  </si>
  <si>
    <t>NCM39204390</t>
  </si>
  <si>
    <t>NCM34029090</t>
  </si>
  <si>
    <t>NCM20098912</t>
  </si>
  <si>
    <t>NCM73269090</t>
  </si>
  <si>
    <t>NCM73199000</t>
  </si>
  <si>
    <t>NCM40161090</t>
  </si>
  <si>
    <t>NCM82054000</t>
  </si>
  <si>
    <t>NCM39229000</t>
  </si>
  <si>
    <t>NCM85366910</t>
  </si>
  <si>
    <t>NCM39174090</t>
  </si>
  <si>
    <t>NCM85444200</t>
  </si>
  <si>
    <t>NCM39191020</t>
  </si>
  <si>
    <t>NCM73181300</t>
  </si>
  <si>
    <t>NCM25041000</t>
  </si>
  <si>
    <t>NCM73170020</t>
  </si>
  <si>
    <t>NCM96151900</t>
  </si>
  <si>
    <t>NCM73181200</t>
  </si>
  <si>
    <t>NCM68043000</t>
  </si>
  <si>
    <t>NCM84814000</t>
  </si>
  <si>
    <t>NCM85366990</t>
  </si>
  <si>
    <t>NCM85369090</t>
  </si>
  <si>
    <t>NCM73170090</t>
  </si>
  <si>
    <t>NCM73249000</t>
  </si>
  <si>
    <t>NCM85366100</t>
  </si>
  <si>
    <t>NCM85168010</t>
  </si>
  <si>
    <t>NCM96034010</t>
  </si>
  <si>
    <t>NCM84818019</t>
  </si>
  <si>
    <t>NCM90178010</t>
  </si>
  <si>
    <t>NCM39191000</t>
  </si>
  <si>
    <t>NCM53013000</t>
  </si>
  <si>
    <t>NCM48232099</t>
  </si>
  <si>
    <t>NCM40151900</t>
  </si>
  <si>
    <t>NCM84818039</t>
  </si>
  <si>
    <t>NCM32141010</t>
  </si>
  <si>
    <t>NCM56079090</t>
  </si>
  <si>
    <t>NCM73239300</t>
  </si>
  <si>
    <t>NCM96040000</t>
  </si>
  <si>
    <t>NCM44190000</t>
  </si>
  <si>
    <t>NCM90303390</t>
  </si>
  <si>
    <t>NCM19052090</t>
  </si>
  <si>
    <t>NCM19030000</t>
  </si>
  <si>
    <t>NCM20041000</t>
  </si>
  <si>
    <t>NCM82142000</t>
  </si>
  <si>
    <t>NCM25131000</t>
  </si>
  <si>
    <t>NCM96151100</t>
  </si>
  <si>
    <t>NCM82032090</t>
  </si>
  <si>
    <t>NCM65069100</t>
  </si>
  <si>
    <t>NCM28151200</t>
  </si>
  <si>
    <t>NCM22060090</t>
  </si>
  <si>
    <t>NCM34059000</t>
  </si>
  <si>
    <t>NCM39173900</t>
  </si>
  <si>
    <t>NCM20049000</t>
  </si>
  <si>
    <t>NCM27101230</t>
  </si>
  <si>
    <t>NCM04022930</t>
  </si>
  <si>
    <t>NCM20059900</t>
  </si>
  <si>
    <t>NCM19054000</t>
  </si>
  <si>
    <t>NCM95030022</t>
  </si>
  <si>
    <t>NCM39201090</t>
  </si>
  <si>
    <t>NCM32041700</t>
  </si>
  <si>
    <t>NCM21012010</t>
  </si>
  <si>
    <t>NCM06031400</t>
  </si>
  <si>
    <t>NCM48062000</t>
  </si>
  <si>
    <t>NCM39239000</t>
  </si>
  <si>
    <t>NCM76071190</t>
  </si>
  <si>
    <t>NCM20055900</t>
  </si>
  <si>
    <t>NCM21031010</t>
  </si>
  <si>
    <t>NCM95030031</t>
  </si>
  <si>
    <t>NCM57033000</t>
  </si>
  <si>
    <t>NCM20011000</t>
  </si>
  <si>
    <t>NCM63052000</t>
  </si>
  <si>
    <t>NCM04100000</t>
  </si>
  <si>
    <t>NCM70132800</t>
  </si>
  <si>
    <t>NCM95030039</t>
  </si>
  <si>
    <t>NCM21069030</t>
  </si>
  <si>
    <t>NCM38249989</t>
  </si>
  <si>
    <t>NCM34029019</t>
  </si>
  <si>
    <t>NCM34053000</t>
  </si>
  <si>
    <t>NCM39100090</t>
  </si>
  <si>
    <t>NCM18063220</t>
  </si>
  <si>
    <t>NCM21069060</t>
  </si>
  <si>
    <t>NCM85061030</t>
  </si>
  <si>
    <t>NCM85061010</t>
  </si>
  <si>
    <t>NCM48236900</t>
  </si>
  <si>
    <t>NCM84501900</t>
  </si>
  <si>
    <t>NCM85129000</t>
  </si>
  <si>
    <t>NCM20086010</t>
  </si>
  <si>
    <t>NCM19049000</t>
  </si>
  <si>
    <t>NCM57050000</t>
  </si>
  <si>
    <t>NCM73262000</t>
  </si>
  <si>
    <t>NCM18062000</t>
  </si>
  <si>
    <t>NCM61071100</t>
  </si>
  <si>
    <t>NCM21012020</t>
  </si>
  <si>
    <t>NCM20089900</t>
  </si>
  <si>
    <t>NCM85164000</t>
  </si>
  <si>
    <t>NCM04049000</t>
  </si>
  <si>
    <t>NCM09023000</t>
  </si>
  <si>
    <t>NCM70099200</t>
  </si>
  <si>
    <t>NCM04089900</t>
  </si>
  <si>
    <t>NCM20019000</t>
  </si>
  <si>
    <t>NCM17031000</t>
  </si>
  <si>
    <t>NCM20096900</t>
  </si>
  <si>
    <t>NCM09096190</t>
  </si>
  <si>
    <t>NCM22041090</t>
  </si>
  <si>
    <t>NCM04015021</t>
  </si>
  <si>
    <t>NCM33012990</t>
  </si>
  <si>
    <t>NCM34060000</t>
  </si>
  <si>
    <t>NCM55095300</t>
  </si>
  <si>
    <t>NCM76071990</t>
  </si>
  <si>
    <t>NCM63079010</t>
  </si>
  <si>
    <t>NCM33012911</t>
  </si>
  <si>
    <t>NCM95066200</t>
  </si>
  <si>
    <t>NCM20097100</t>
  </si>
  <si>
    <t>NCM21039099</t>
  </si>
  <si>
    <t>NCM32041913</t>
  </si>
  <si>
    <t>NCM20031000</t>
  </si>
  <si>
    <t>NCM69111010</t>
  </si>
  <si>
    <t>NCM39191010</t>
  </si>
  <si>
    <t>NCM33052000</t>
  </si>
  <si>
    <t>NCM35079049</t>
  </si>
  <si>
    <t>NCM33029019</t>
  </si>
  <si>
    <t>NCM22051000</t>
  </si>
  <si>
    <t>NCM94049000</t>
  </si>
  <si>
    <t>NCM20091900</t>
  </si>
  <si>
    <t>NCM28363000</t>
  </si>
  <si>
    <t>NCM96033000</t>
  </si>
  <si>
    <t>NCM82032010</t>
  </si>
  <si>
    <t>NCM85168090</t>
  </si>
  <si>
    <t>NCM20099000</t>
  </si>
  <si>
    <t>NCM39269040</t>
  </si>
  <si>
    <t>NCM34051000</t>
  </si>
  <si>
    <t>NCM20087010</t>
  </si>
  <si>
    <t>NCM30067000</t>
  </si>
  <si>
    <t>NCM29029020</t>
  </si>
  <si>
    <t>NCM14049090</t>
  </si>
  <si>
    <t>NCM39231090</t>
  </si>
  <si>
    <t>NCM18050000</t>
  </si>
  <si>
    <t>NCM82159100</t>
  </si>
  <si>
    <t>NCM73239900</t>
  </si>
  <si>
    <t>NCM40169100</t>
  </si>
  <si>
    <t>NCM16041310</t>
  </si>
  <si>
    <t>NCM63026000</t>
  </si>
  <si>
    <t>NCM95030050</t>
  </si>
  <si>
    <t>NCM48239099</t>
  </si>
  <si>
    <t>NCM19024000</t>
  </si>
  <si>
    <t>NCM09062000</t>
  </si>
  <si>
    <t>NCM17029000</t>
  </si>
  <si>
    <t>NCM11063000</t>
  </si>
  <si>
    <t>NCM15155000</t>
  </si>
  <si>
    <t>NCM21041021</t>
  </si>
  <si>
    <t>NCM48053000</t>
  </si>
  <si>
    <t>NCM96061000</t>
  </si>
  <si>
    <t>NCM96092000</t>
  </si>
  <si>
    <t>NCM96084000</t>
  </si>
  <si>
    <t>NCM38249929</t>
  </si>
  <si>
    <t>NCM04015029</t>
  </si>
  <si>
    <t>NCM44029000</t>
  </si>
  <si>
    <t>NCM61159500</t>
  </si>
  <si>
    <t>NCM15011000</t>
  </si>
  <si>
    <t>NCM20093900</t>
  </si>
  <si>
    <t>NCM38089299</t>
  </si>
  <si>
    <t>NCM38089192</t>
  </si>
  <si>
    <t>NCM38089324</t>
  </si>
  <si>
    <t>NCM38089196</t>
  </si>
  <si>
    <t>NCM84159010</t>
  </si>
  <si>
    <t>NCM22085000</t>
  </si>
  <si>
    <t>NCM94037000</t>
  </si>
  <si>
    <t>NCM44211000</t>
  </si>
  <si>
    <t>NCM28151100</t>
  </si>
  <si>
    <t>NCM61130000</t>
  </si>
  <si>
    <t>NCM57019000</t>
  </si>
  <si>
    <t>NCM82055900</t>
  </si>
  <si>
    <t>NCM39172900</t>
  </si>
  <si>
    <t>NCM96034090</t>
  </si>
  <si>
    <t>NCM40169990</t>
  </si>
  <si>
    <t>NCM40169300</t>
  </si>
  <si>
    <t>NCM76090000</t>
  </si>
  <si>
    <t>NCM23099010</t>
  </si>
  <si>
    <t>NCM48114110</t>
  </si>
  <si>
    <t>NCM82029100</t>
  </si>
  <si>
    <t>NCM39172300</t>
  </si>
  <si>
    <t>NCM44191900</t>
  </si>
  <si>
    <t>NCM20082010</t>
  </si>
  <si>
    <t>NCM73121090</t>
  </si>
  <si>
    <t>NCM09109900</t>
  </si>
  <si>
    <t>NCM68052000</t>
  </si>
  <si>
    <t>NCM18061000</t>
  </si>
  <si>
    <t>NCM52042000</t>
  </si>
  <si>
    <t>NCM35061010</t>
  </si>
  <si>
    <t>NCM63021000</t>
  </si>
  <si>
    <t>NCM63029300</t>
  </si>
  <si>
    <t>NCM39232990</t>
  </si>
  <si>
    <t>NCM20089790</t>
  </si>
  <si>
    <t>NCM39202019</t>
  </si>
  <si>
    <t>NCM40091100</t>
  </si>
  <si>
    <t>NCM48219000</t>
  </si>
  <si>
    <t>NCM73181900</t>
  </si>
  <si>
    <t>NCM39232910</t>
  </si>
  <si>
    <t>NCM16042030</t>
  </si>
  <si>
    <t>NCM85166000</t>
  </si>
  <si>
    <t>NCM85167990</t>
  </si>
  <si>
    <t>NCM64039190</t>
  </si>
  <si>
    <t>NCM64059000</t>
  </si>
  <si>
    <t>NCM22082000</t>
  </si>
  <si>
    <t>NCM63014000</t>
  </si>
  <si>
    <t>NCM76061290</t>
  </si>
  <si>
    <t>NCM83021000</t>
  </si>
  <si>
    <t>NCM15200010</t>
  </si>
  <si>
    <t>NCM76072000</t>
  </si>
  <si>
    <t>NCM39232110</t>
  </si>
  <si>
    <t>NCM38241000</t>
  </si>
  <si>
    <t>NCM20082090</t>
  </si>
  <si>
    <t>NCM95030080</t>
  </si>
  <si>
    <t>NCM85163100</t>
  </si>
  <si>
    <t>NCM20056000</t>
  </si>
  <si>
    <t>NCM64029990</t>
  </si>
  <si>
    <t>NCM44011200</t>
  </si>
  <si>
    <t>NCM96138000</t>
  </si>
  <si>
    <t>NCM84145190</t>
  </si>
  <si>
    <t>NCM40021110</t>
  </si>
  <si>
    <t>NCM39100019</t>
  </si>
  <si>
    <t>NCM23099090</t>
  </si>
  <si>
    <t>NCM25059000</t>
  </si>
  <si>
    <t>NCM29054900</t>
  </si>
  <si>
    <t>NCM16042090</t>
  </si>
  <si>
    <t>NCM29224420</t>
  </si>
  <si>
    <t>NCM48211000</t>
  </si>
  <si>
    <t>NCM21041019</t>
  </si>
  <si>
    <t>NCM09071000</t>
  </si>
  <si>
    <t>NCM12119010</t>
  </si>
  <si>
    <t>NCM09081200</t>
  </si>
  <si>
    <t>NCM09101200</t>
  </si>
  <si>
    <t>NCM09093200</t>
  </si>
  <si>
    <t>NCM09061900</t>
  </si>
  <si>
    <t>NCM09096110</t>
  </si>
  <si>
    <t>NCM09081100</t>
  </si>
  <si>
    <t>NCM15162000</t>
  </si>
  <si>
    <t>NCM17026020</t>
  </si>
  <si>
    <t>NCM32041400</t>
  </si>
  <si>
    <t>NCM28092090</t>
  </si>
  <si>
    <t>NCM32064100</t>
  </si>
  <si>
    <t>NCM32041990</t>
  </si>
  <si>
    <t>NCM25049000</t>
  </si>
  <si>
    <t>NCM39201010</t>
  </si>
  <si>
    <t>NCM39211200</t>
  </si>
  <si>
    <t>NCM96099000</t>
  </si>
  <si>
    <t>NCM35069120</t>
  </si>
  <si>
    <t>NCM12060090</t>
  </si>
  <si>
    <t>NCM42029200</t>
  </si>
  <si>
    <t>NCM10082900</t>
  </si>
  <si>
    <t>NCM63062200</t>
  </si>
  <si>
    <t>NCM95069900</t>
  </si>
  <si>
    <t>NCM23099030</t>
  </si>
  <si>
    <t>NCM94018000</t>
  </si>
  <si>
    <t>NCM82141000</t>
  </si>
  <si>
    <t>NCM83011000</t>
  </si>
  <si>
    <t>NCM95044000</t>
  </si>
  <si>
    <t>NCM48131000</t>
  </si>
  <si>
    <t>NCM40159000</t>
  </si>
  <si>
    <t>NCM56031390</t>
  </si>
  <si>
    <t>NCM28141000</t>
  </si>
  <si>
    <t>NCM29224220</t>
  </si>
  <si>
    <t>NCM22059000</t>
  </si>
  <si>
    <t>NCM59061000</t>
  </si>
  <si>
    <t>NCM29157020</t>
  </si>
  <si>
    <t>NCM28142000</t>
  </si>
  <si>
    <t>NCM08129000</t>
  </si>
  <si>
    <t>NCM08041020</t>
  </si>
  <si>
    <t>NCM69120000</t>
  </si>
  <si>
    <t>NCM52051100</t>
  </si>
  <si>
    <t>NCM08022100</t>
  </si>
  <si>
    <t>NCM48109290</t>
  </si>
  <si>
    <t>NCM34021900</t>
  </si>
  <si>
    <t>NCM39173229</t>
  </si>
  <si>
    <t>NCM44170090</t>
  </si>
  <si>
    <t>NCM63025100</t>
  </si>
  <si>
    <t>NCM85369030</t>
  </si>
  <si>
    <t>NCM85414022</t>
  </si>
  <si>
    <t>NCM95079000</t>
  </si>
  <si>
    <t>NCM63025990</t>
  </si>
  <si>
    <t>NCM30049021</t>
  </si>
  <si>
    <t>NCM58050010</t>
  </si>
  <si>
    <t>NCM39261000</t>
  </si>
  <si>
    <t>NCM85094040</t>
  </si>
  <si>
    <t>NCM48115129</t>
  </si>
  <si>
    <t>NCM72082790</t>
  </si>
  <si>
    <t>NCM22060010</t>
  </si>
  <si>
    <t>NCM73239400</t>
  </si>
  <si>
    <t>NCM56041000</t>
  </si>
  <si>
    <t>NCM10081010</t>
  </si>
  <si>
    <t>NCM84819090</t>
  </si>
  <si>
    <t>NCM48114190</t>
  </si>
  <si>
    <t>NCM34021140</t>
  </si>
  <si>
    <t>NCM39191090</t>
  </si>
  <si>
    <t>NCM39206900</t>
  </si>
  <si>
    <t>NCM36041000</t>
  </si>
  <si>
    <t>NCM74181000</t>
  </si>
  <si>
    <t>NCM39269069</t>
  </si>
  <si>
    <t>NCM16042020</t>
  </si>
  <si>
    <t>NCM73043910</t>
  </si>
  <si>
    <t>NCM39173100</t>
  </si>
  <si>
    <t>NCM32082011</t>
  </si>
  <si>
    <t>NCM38249979</t>
  </si>
  <si>
    <t>NCM76152000</t>
  </si>
  <si>
    <t>NCM56031290</t>
  </si>
  <si>
    <t>NCM59031000</t>
  </si>
  <si>
    <t>NCM56075011</t>
  </si>
  <si>
    <t>NCM82011000</t>
  </si>
  <si>
    <t>NCM38190000</t>
  </si>
  <si>
    <t>NCM73239100</t>
  </si>
  <si>
    <t>NCM73191000</t>
  </si>
  <si>
    <t>NCM09024000</t>
  </si>
  <si>
    <t>NCM54041990</t>
  </si>
  <si>
    <t>NCM85167910</t>
  </si>
  <si>
    <t>NCM12343212</t>
  </si>
  <si>
    <t>NCM39100021</t>
  </si>
  <si>
    <t>NCM64041100</t>
  </si>
  <si>
    <t>NCM60062100</t>
  </si>
  <si>
    <t>NCM35079026</t>
  </si>
  <si>
    <t>NCM21031090</t>
  </si>
  <si>
    <t>NCM64035190</t>
  </si>
  <si>
    <t>NCM82151000</t>
  </si>
  <si>
    <t>NCM38089198</t>
  </si>
  <si>
    <t>NCM82100010</t>
  </si>
  <si>
    <t>NCM83014000</t>
  </si>
  <si>
    <t>NCM59090000</t>
  </si>
  <si>
    <t>NCM21050090</t>
  </si>
  <si>
    <t>NCM84099929</t>
  </si>
  <si>
    <t>NCM21032000</t>
  </si>
  <si>
    <t>NCM15850060</t>
  </si>
  <si>
    <t>NCM73219000</t>
  </si>
  <si>
    <t>NCM08091000</t>
  </si>
  <si>
    <t>NCM79012090</t>
  </si>
  <si>
    <t>NCM84248111</t>
  </si>
  <si>
    <t>NCM85234110</t>
  </si>
  <si>
    <t>NCM48184010</t>
  </si>
  <si>
    <t>NCM85479000</t>
  </si>
  <si>
    <t>NCM85163200</t>
  </si>
  <si>
    <t>NCM01012900</t>
  </si>
  <si>
    <t>NCM39262000</t>
  </si>
  <si>
    <t>NCM23080000</t>
  </si>
  <si>
    <t>NCM64051010</t>
  </si>
  <si>
    <t>NCM32082019</t>
  </si>
  <si>
    <t>NCM48025799</t>
  </si>
  <si>
    <t>NCM35022000</t>
  </si>
  <si>
    <t>NCM56031230</t>
  </si>
  <si>
    <t>NCM19052000</t>
  </si>
  <si>
    <t>NCM27111300</t>
  </si>
  <si>
    <t>NCM63025300</t>
  </si>
  <si>
    <t>NCM48169010</t>
  </si>
  <si>
    <t>NCM20098000</t>
  </si>
  <si>
    <t>NCM78060010</t>
  </si>
  <si>
    <t>NCM39095012</t>
  </si>
  <si>
    <t>NCM94032000</t>
  </si>
  <si>
    <t>NCM48171000</t>
  </si>
  <si>
    <t>NCM35069190</t>
  </si>
  <si>
    <t>NCM82119100</t>
  </si>
  <si>
    <t>NCM63023200</t>
  </si>
  <si>
    <t>NCM42010090</t>
  </si>
  <si>
    <t>NCM28092019</t>
  </si>
  <si>
    <t>NCM82119290</t>
  </si>
  <si>
    <t>NCM56039220</t>
  </si>
  <si>
    <t>NCM63022100</t>
  </si>
  <si>
    <t>NCM39209990</t>
  </si>
  <si>
    <t>NCM39204310</t>
  </si>
  <si>
    <t>NCM84701000</t>
  </si>
  <si>
    <t>NCM48081000</t>
  </si>
  <si>
    <t>NCM85061020</t>
  </si>
  <si>
    <t>NCM10039090</t>
  </si>
  <si>
    <t>NCM95073000</t>
  </si>
  <si>
    <t>NCM52053100</t>
  </si>
  <si>
    <t>NCM52071000</t>
  </si>
  <si>
    <t>NCM28369919</t>
  </si>
  <si>
    <t>NCM25309090</t>
  </si>
  <si>
    <t>NCM31010000</t>
  </si>
  <si>
    <t>NCM94017900</t>
  </si>
  <si>
    <t>NCM58019000</t>
  </si>
  <si>
    <t>NCM85167200</t>
  </si>
  <si>
    <t>NCM20079921</t>
  </si>
  <si>
    <t>NCM14042090</t>
  </si>
  <si>
    <t>NCM95030097</t>
  </si>
  <si>
    <t>NCM48201000</t>
  </si>
  <si>
    <t>NCM41151000</t>
  </si>
  <si>
    <t>NCM95072000</t>
  </si>
  <si>
    <t>NCM46029000</t>
  </si>
  <si>
    <t>NCM90172000</t>
  </si>
  <si>
    <t>NCM42010010</t>
  </si>
  <si>
    <t>NCM58110000</t>
  </si>
  <si>
    <t>NCM84818011</t>
  </si>
  <si>
    <t>NCM42029900</t>
  </si>
  <si>
    <t>NCM85102000</t>
  </si>
  <si>
    <t>NCM79070090</t>
  </si>
  <si>
    <t>NCM61152100</t>
  </si>
  <si>
    <t>NCM42021210</t>
  </si>
  <si>
    <t>NCM32131000</t>
  </si>
  <si>
    <t>NCM65020010</t>
  </si>
  <si>
    <t>NCM11031900</t>
  </si>
  <si>
    <t>NCM57039000</t>
  </si>
  <si>
    <t>NCM70131000</t>
  </si>
  <si>
    <t>NCM72172090</t>
  </si>
  <si>
    <t>NCM95071000</t>
  </si>
  <si>
    <t>NCM83059000</t>
  </si>
  <si>
    <t>NCM09103000</t>
  </si>
  <si>
    <t>NCM39221000</t>
  </si>
  <si>
    <t>NCM84248129</t>
  </si>
  <si>
    <t>NCM39199000</t>
  </si>
  <si>
    <t>NCM70139110</t>
  </si>
  <si>
    <t>NCM65040010</t>
  </si>
  <si>
    <t>NCM39211900</t>
  </si>
  <si>
    <t>NCM56031190</t>
  </si>
  <si>
    <t>NCM45041000</t>
  </si>
  <si>
    <t>NCM61071200</t>
  </si>
  <si>
    <t>NCM48194000</t>
  </si>
  <si>
    <t>NCM76151900</t>
  </si>
  <si>
    <t>NCM62089100</t>
  </si>
  <si>
    <t>NCM95030010</t>
  </si>
  <si>
    <t>NCM39206219</t>
  </si>
  <si>
    <t>NCM61151022</t>
  </si>
  <si>
    <t>NCM35030019</t>
  </si>
  <si>
    <t>NCM39264000</t>
  </si>
  <si>
    <t>NCM48237000</t>
  </si>
  <si>
    <t>NCM58062000</t>
  </si>
  <si>
    <t>NCM63022200</t>
  </si>
  <si>
    <t>NCM85234190</t>
  </si>
  <si>
    <t>NCM39019090</t>
  </si>
  <si>
    <t>NCM90178090</t>
  </si>
  <si>
    <t>NCM63023100</t>
  </si>
  <si>
    <t>NCM58063200</t>
  </si>
  <si>
    <t>NCM84322900</t>
  </si>
  <si>
    <t>NCM44201000</t>
  </si>
  <si>
    <t>NCM53050090</t>
  </si>
  <si>
    <t>NCM31059090</t>
  </si>
  <si>
    <t>NCM48089000</t>
  </si>
  <si>
    <t>NCM63023900</t>
  </si>
  <si>
    <t>NCM42023200</t>
  </si>
  <si>
    <t>NCM62029900</t>
  </si>
  <si>
    <t>NCM05119999</t>
  </si>
  <si>
    <t>NCM90318099</t>
  </si>
  <si>
    <t>NCM82052000</t>
  </si>
  <si>
    <t>NCM69149000</t>
  </si>
  <si>
    <t>NCM82019000</t>
  </si>
  <si>
    <t>NCM62079100</t>
  </si>
  <si>
    <t>NCM70139900</t>
  </si>
  <si>
    <t>NCM85094090</t>
  </si>
  <si>
    <t>NCM92093000</t>
  </si>
  <si>
    <t>NCM70134100</t>
  </si>
  <si>
    <t>NCM95030070</t>
  </si>
  <si>
    <t>NCM44013100</t>
  </si>
  <si>
    <t>NCM48025899</t>
  </si>
  <si>
    <t>NCM83040000</t>
  </si>
  <si>
    <t>NCM40069000</t>
  </si>
  <si>
    <t>NCM85235190</t>
  </si>
  <si>
    <t>NCM15151900</t>
  </si>
  <si>
    <t>NCM62122000</t>
  </si>
  <si>
    <t>NCM40029990</t>
  </si>
  <si>
    <t>NCM48101390</t>
  </si>
  <si>
    <t>NCM48192000</t>
  </si>
  <si>
    <t>NCM62132000</t>
  </si>
  <si>
    <t>NCM84248910</t>
  </si>
  <si>
    <t>NCM73194000</t>
  </si>
  <si>
    <t>NCM59019000</t>
  </si>
  <si>
    <t>NCM61089200</t>
  </si>
  <si>
    <t>NCM61079910</t>
  </si>
  <si>
    <t>NCM95030060</t>
  </si>
  <si>
    <t>NCM39172200</t>
  </si>
  <si>
    <t>NCM44209000</t>
  </si>
  <si>
    <t>NCM84523000</t>
  </si>
  <si>
    <t>NCM07119000</t>
  </si>
  <si>
    <t>NCM61152200</t>
  </si>
  <si>
    <t>NCM63072000</t>
  </si>
  <si>
    <t>NCM85094020</t>
  </si>
  <si>
    <t>NCM32151900</t>
  </si>
  <si>
    <t>NCM96050000</t>
  </si>
  <si>
    <t>NCM91052100</t>
  </si>
  <si>
    <t>NCM67029000</t>
  </si>
  <si>
    <t>NCM64062000</t>
  </si>
  <si>
    <t>NCM95051000</t>
  </si>
  <si>
    <t>NCM67049000</t>
  </si>
  <si>
    <t>NCM63013000</t>
  </si>
  <si>
    <t>NCM91031000</t>
  </si>
  <si>
    <t>NCM82041100</t>
  </si>
  <si>
    <t>NCM48184090</t>
  </si>
  <si>
    <t>NCM48115929</t>
  </si>
  <si>
    <t>NCM63049200</t>
  </si>
  <si>
    <t>NCM52054100</t>
  </si>
  <si>
    <t>NCM69139000</t>
  </si>
  <si>
    <t>NCM44140000</t>
  </si>
  <si>
    <t>NCM95030098</t>
  </si>
  <si>
    <t>NCM67021000</t>
  </si>
  <si>
    <t>NCM95030091</t>
  </si>
  <si>
    <t>NCM82119320</t>
  </si>
  <si>
    <t>NCM62099090</t>
  </si>
  <si>
    <t>NCM54026900</t>
  </si>
  <si>
    <t>NCM93062900</t>
  </si>
  <si>
    <t>NCM42022220</t>
  </si>
  <si>
    <t>NCM54060010</t>
  </si>
  <si>
    <t>NCM61143000</t>
  </si>
  <si>
    <t>NCM65050012</t>
  </si>
  <si>
    <t>NCM96062900</t>
  </si>
  <si>
    <t>NCM72082690</t>
  </si>
  <si>
    <t>NCM61091000</t>
  </si>
  <si>
    <t>NCM64019990</t>
  </si>
  <si>
    <t>NCM73211100</t>
  </si>
  <si>
    <t>NCM90041000</t>
  </si>
  <si>
    <t>NCM29171110</t>
  </si>
  <si>
    <t>NCM94019090</t>
  </si>
  <si>
    <t>NCM83063000</t>
  </si>
  <si>
    <t>NCM96122000</t>
  </si>
  <si>
    <t>NCM82119220</t>
  </si>
  <si>
    <t>NCM64041900</t>
  </si>
  <si>
    <t>NCM48195000</t>
  </si>
  <si>
    <t>NCM39231010</t>
  </si>
  <si>
    <t>NCM82075011</t>
  </si>
  <si>
    <t>NCM84148090</t>
  </si>
  <si>
    <t>NCM82031010</t>
  </si>
  <si>
    <t>NCM63041990</t>
  </si>
  <si>
    <t>NCM93040000</t>
  </si>
  <si>
    <t>NCM73261900</t>
  </si>
  <si>
    <t>NCM56081100</t>
  </si>
  <si>
    <t>NCM95030021</t>
  </si>
  <si>
    <t>NCM94042900</t>
  </si>
  <si>
    <t>NCM47062000</t>
  </si>
  <si>
    <t>NCM09093100</t>
  </si>
  <si>
    <t>NCM22041010</t>
  </si>
  <si>
    <t>NCM52105990</t>
  </si>
  <si>
    <t>NCM65069900</t>
  </si>
  <si>
    <t>NCM82089000</t>
  </si>
  <si>
    <t>NCM85442000</t>
  </si>
  <si>
    <t>NCM70690000</t>
  </si>
  <si>
    <t>NCM10987654</t>
  </si>
  <si>
    <t>NCM02212090</t>
  </si>
  <si>
    <t>NCM20072019</t>
  </si>
  <si>
    <t>NCM63080000</t>
  </si>
  <si>
    <t>NCM56029000</t>
  </si>
  <si>
    <t>NCM19043000</t>
  </si>
  <si>
    <t>NCM08030000</t>
  </si>
  <si>
    <t>NCM56031250</t>
  </si>
  <si>
    <t>NCM19059000</t>
  </si>
  <si>
    <t>NCM12093000</t>
  </si>
  <si>
    <t>NCM01060000</t>
  </si>
  <si>
    <t>NCM44020000</t>
  </si>
  <si>
    <t>NCM21013000</t>
  </si>
  <si>
    <t>NCM09096290</t>
  </si>
  <si>
    <t>NCM97030000</t>
  </si>
  <si>
    <t>NCM59112010</t>
  </si>
  <si>
    <t>NCM44219100</t>
  </si>
  <si>
    <t>NCM56079010</t>
  </si>
  <si>
    <t>NCM52029900</t>
  </si>
  <si>
    <t>NCM40021911</t>
  </si>
  <si>
    <t>NCM48102990</t>
  </si>
  <si>
    <t>NCM85183000</t>
  </si>
  <si>
    <t>NCM85272100</t>
  </si>
  <si>
    <t>NCM20087090</t>
  </si>
  <si>
    <t>NCM52082100</t>
  </si>
  <si>
    <t>NCM17019100</t>
  </si>
  <si>
    <t>NCM24029000</t>
  </si>
  <si>
    <t>NCM76071910</t>
  </si>
  <si>
    <t>NCM10089090</t>
  </si>
  <si>
    <t>NCM52021000</t>
  </si>
  <si>
    <t>NCM60012100</t>
  </si>
  <si>
    <t>NCM85044010</t>
  </si>
  <si>
    <t>NCM39211390</t>
  </si>
  <si>
    <t>NCM35069900</t>
  </si>
  <si>
    <t>NCM84818029</t>
  </si>
  <si>
    <t>NCM18040000</t>
  </si>
  <si>
    <t>NCM44013900</t>
  </si>
  <si>
    <t>NCM39211400</t>
  </si>
  <si>
    <t>NCM34049029</t>
  </si>
  <si>
    <t>NCM90303990</t>
  </si>
  <si>
    <t>NCM12122100</t>
  </si>
  <si>
    <t>NCM33019010</t>
  </si>
  <si>
    <t>NCM84248221</t>
  </si>
  <si>
    <t>NCM19021000</t>
  </si>
  <si>
    <t>NCM38086100</t>
  </si>
  <si>
    <t>NCM16024200</t>
  </si>
  <si>
    <t>NCM24011090</t>
  </si>
  <si>
    <t>NCM09072000</t>
  </si>
  <si>
    <t>NCM55081000</t>
  </si>
  <si>
    <t>NCM56031350</t>
  </si>
  <si>
    <t>NCM09096120</t>
  </si>
  <si>
    <t>NCM34029029</t>
  </si>
  <si>
    <t>NCM22072020</t>
  </si>
  <si>
    <t>NCM49111090</t>
  </si>
  <si>
    <t>NCM13021930</t>
  </si>
  <si>
    <t>NCM28271000</t>
  </si>
  <si>
    <t>NCM85061031</t>
  </si>
  <si>
    <t>NCM52029100</t>
  </si>
  <si>
    <t>NCM95066900</t>
  </si>
  <si>
    <t>NCM56074100</t>
  </si>
  <si>
    <t>NCM20098900</t>
  </si>
  <si>
    <t>NCM20059000</t>
  </si>
  <si>
    <t>NCM41128010</t>
  </si>
  <si>
    <t>NCM13021910</t>
  </si>
  <si>
    <t>NCM71420000</t>
  </si>
  <si>
    <t>NCM38085910</t>
  </si>
  <si>
    <t>NCM38085010</t>
  </si>
  <si>
    <t>NCM85443000</t>
  </si>
  <si>
    <t>NCM44191100</t>
  </si>
  <si>
    <t>NCM14011000</t>
  </si>
  <si>
    <t>NCM95010000</t>
  </si>
  <si>
    <t>NCM95030020</t>
  </si>
  <si>
    <t>NCM07115100</t>
  </si>
  <si>
    <t>NCM36049090</t>
  </si>
  <si>
    <t>NCM64034000</t>
  </si>
  <si>
    <t>NCM39199090</t>
  </si>
  <si>
    <t>NCM09061000</t>
  </si>
  <si>
    <t>NCM40700900</t>
  </si>
  <si>
    <t>NCM15012010</t>
  </si>
  <si>
    <t>NCM99999900</t>
  </si>
  <si>
    <t>NCM56031330</t>
  </si>
  <si>
    <t>NCM87059010</t>
  </si>
  <si>
    <t>NCM70109022</t>
  </si>
  <si>
    <t>NCM90184912</t>
  </si>
  <si>
    <t>NCM48025599</t>
  </si>
  <si>
    <t>NCM87013000</t>
  </si>
  <si>
    <t>NCM90011011</t>
  </si>
  <si>
    <t>NCM17026010</t>
  </si>
  <si>
    <t>NCM65050090</t>
  </si>
  <si>
    <t>NCM85167920</t>
  </si>
  <si>
    <t>NCM01021010</t>
  </si>
  <si>
    <t>NCM57011012</t>
  </si>
  <si>
    <t>NCM04022130</t>
  </si>
  <si>
    <t>NCM85437099</t>
  </si>
  <si>
    <t>NCM85362000</t>
  </si>
  <si>
    <t>NCM62123000</t>
  </si>
  <si>
    <t>NCM39259090</t>
  </si>
  <si>
    <t>NCM90183910</t>
  </si>
  <si>
    <t>NCM56090010</t>
  </si>
  <si>
    <t>NCM82100090</t>
  </si>
  <si>
    <t>NCM56031310</t>
  </si>
  <si>
    <t>NCM38085929</t>
  </si>
  <si>
    <t>NCM34070090</t>
  </si>
  <si>
    <t>NCM39222000</t>
  </si>
  <si>
    <t>NCM85171221</t>
  </si>
  <si>
    <t>NCM30029091</t>
  </si>
  <si>
    <t>NCM63019000</t>
  </si>
  <si>
    <t>NCM85238000</t>
  </si>
  <si>
    <t>NCM84145110</t>
  </si>
  <si>
    <t>NCM62071100</t>
  </si>
  <si>
    <t>NCM38249029</t>
  </si>
  <si>
    <t>NCM64032000</t>
  </si>
  <si>
    <t>NCM56031490</t>
  </si>
  <si>
    <t>NCM57032000</t>
  </si>
  <si>
    <t>NCM39100030</t>
  </si>
  <si>
    <t>NCM48051900</t>
  </si>
  <si>
    <t>NCM61151014</t>
  </si>
  <si>
    <t>NCM61061000</t>
  </si>
  <si>
    <t>NCM49029000</t>
  </si>
  <si>
    <t>NCM25132000</t>
  </si>
  <si>
    <t>NCM48102290</t>
  </si>
  <si>
    <t>NCM69119000</t>
  </si>
  <si>
    <t>NCM95063200</t>
  </si>
  <si>
    <t>NCM85287200</t>
  </si>
  <si>
    <t>NCM29252990</t>
  </si>
  <si>
    <t>NCM62092000</t>
  </si>
  <si>
    <t>NCM48022090</t>
  </si>
  <si>
    <t>NCM61153010</t>
  </si>
  <si>
    <t>NCM62032200</t>
  </si>
  <si>
    <t>NCM32091010</t>
  </si>
  <si>
    <t>NCM32089031</t>
  </si>
  <si>
    <t>NCM62064000</t>
  </si>
  <si>
    <t>NCM62171000</t>
  </si>
  <si>
    <t>NCM62034200</t>
  </si>
  <si>
    <t>NCM61044200</t>
  </si>
  <si>
    <t>NCM32100010</t>
  </si>
  <si>
    <t>NCM61159900</t>
  </si>
  <si>
    <t>NCM90039090</t>
  </si>
  <si>
    <t>NCM73259990</t>
  </si>
  <si>
    <t>NCM62121000</t>
  </si>
  <si>
    <t>NCM58012200</t>
  </si>
  <si>
    <t>NCM63039200</t>
  </si>
  <si>
    <t>NCM61046200</t>
  </si>
  <si>
    <t>NCM85165000</t>
  </si>
  <si>
    <t>NCM96089990</t>
  </si>
  <si>
    <t>NCM30089100</t>
  </si>
  <si>
    <t>NCM62042200</t>
  </si>
  <si>
    <t>NCM84796000</t>
  </si>
  <si>
    <t>NCM85372090</t>
  </si>
  <si>
    <t>NCM62046200</t>
  </si>
  <si>
    <t>NCM61051000</t>
  </si>
  <si>
    <t>NCM33012590</t>
  </si>
  <si>
    <t>NCM84219999</t>
  </si>
  <si>
    <t>NCM44079990</t>
  </si>
  <si>
    <t>NCM85447090</t>
  </si>
  <si>
    <t>NCM63041910</t>
  </si>
  <si>
    <t>NCM62063000</t>
  </si>
  <si>
    <t>NCM62034900</t>
  </si>
  <si>
    <t>NCM85182200</t>
  </si>
  <si>
    <t>NCM40012990</t>
  </si>
  <si>
    <t>NCM61082200</t>
  </si>
  <si>
    <t>NCM42023900</t>
  </si>
  <si>
    <t>NCM73102110</t>
  </si>
  <si>
    <t>NCM39219012</t>
  </si>
  <si>
    <t>NCM30051020</t>
  </si>
  <si>
    <t>NCM61062000</t>
  </si>
  <si>
    <t>NCM61142000</t>
  </si>
  <si>
    <t>NCM85171100</t>
  </si>
  <si>
    <t>NCM54023219</t>
  </si>
  <si>
    <t>NCM84679900</t>
  </si>
  <si>
    <t>NCM96020090</t>
  </si>
  <si>
    <t>NCM85182100</t>
  </si>
  <si>
    <t>NCM64029190</t>
  </si>
  <si>
    <t>NCM92029000</t>
  </si>
  <si>
    <t>NCM42033000</t>
  </si>
  <si>
    <t>NCM05021019</t>
  </si>
  <si>
    <t>NCM03055990</t>
  </si>
  <si>
    <t>NCM49119100</t>
  </si>
  <si>
    <t>NCM48205000</t>
  </si>
  <si>
    <t>NCM85235110</t>
  </si>
  <si>
    <t>NCM38088419</t>
  </si>
  <si>
    <t>NCM30049049</t>
  </si>
  <si>
    <t>NCM87120010</t>
  </si>
  <si>
    <t>Óleo vegetal comestível: 12% / outros: 17</t>
  </si>
  <si>
    <t>Carne suína</t>
  </si>
  <si>
    <t>NCM21021000</t>
  </si>
  <si>
    <t>NCM08052000</t>
  </si>
  <si>
    <t>NCM08082010</t>
  </si>
  <si>
    <t>NCM08109011</t>
  </si>
  <si>
    <t>COCO SECO</t>
  </si>
  <si>
    <t>Mexerica</t>
  </si>
  <si>
    <t>Carambola</t>
  </si>
  <si>
    <t>NCM32081010</t>
  </si>
  <si>
    <t>NCM32081020</t>
  </si>
  <si>
    <t>NCM32081030</t>
  </si>
  <si>
    <t>NCM32082020</t>
  </si>
  <si>
    <t>NCM32082030</t>
  </si>
  <si>
    <t>NCM32089010</t>
  </si>
  <si>
    <t>NCM32089021</t>
  </si>
  <si>
    <t>NCM32089029</t>
  </si>
  <si>
    <t>NCM32089039</t>
  </si>
  <si>
    <t>NCM32091020</t>
  </si>
  <si>
    <t>NCM32099011</t>
  </si>
  <si>
    <t>NCM32099019</t>
  </si>
  <si>
    <t>NCM32099020</t>
  </si>
  <si>
    <t>NCM32100020</t>
  </si>
  <si>
    <t>NCM32100030</t>
  </si>
  <si>
    <t>NCM32041210</t>
  </si>
  <si>
    <t>NCM32041220</t>
  </si>
  <si>
    <t>NCM32041300</t>
  </si>
  <si>
    <t>NCM32041510</t>
  </si>
  <si>
    <t>NCM32041520</t>
  </si>
  <si>
    <t>NCM32041530</t>
  </si>
  <si>
    <t>NCM32041590</t>
  </si>
  <si>
    <t>NCM32041600</t>
  </si>
  <si>
    <t>NCM32041911</t>
  </si>
  <si>
    <t>NCM32041912</t>
  </si>
  <si>
    <t>NCM32041919</t>
  </si>
  <si>
    <t>NCM32041920</t>
  </si>
  <si>
    <t>NCM32041930</t>
  </si>
  <si>
    <t>NCM32042011</t>
  </si>
  <si>
    <t>NCM32042019</t>
  </si>
  <si>
    <t>NCM32042090</t>
  </si>
  <si>
    <t>NCM32049000</t>
  </si>
  <si>
    <t>NCM32061110</t>
  </si>
  <si>
    <t>NCM32061111</t>
  </si>
  <si>
    <t>NCM32061119</t>
  </si>
  <si>
    <t>NCM32061120</t>
  </si>
  <si>
    <t>NCM32061130</t>
  </si>
  <si>
    <t>NCM32061910</t>
  </si>
  <si>
    <t>NCM32061990</t>
  </si>
  <si>
    <t>NCM32062000</t>
  </si>
  <si>
    <t>NCM32064210</t>
  </si>
  <si>
    <t>NCM32064290</t>
  </si>
  <si>
    <t>NCM32064910</t>
  </si>
  <si>
    <t>NCM32064920</t>
  </si>
  <si>
    <t>NCM32064990</t>
  </si>
  <si>
    <t>NCM32065011</t>
  </si>
  <si>
    <t>NCM32065019</t>
  </si>
  <si>
    <t>NCM32065021</t>
  </si>
  <si>
    <t>NCM32065029</t>
  </si>
  <si>
    <t>NCM32121000</t>
  </si>
  <si>
    <t>NCM32129010</t>
  </si>
  <si>
    <t>NCM32129090</t>
  </si>
  <si>
    <t>NCM32050000</t>
  </si>
  <si>
    <t>NCM21069040</t>
  </si>
  <si>
    <t>NCM82122020</t>
  </si>
  <si>
    <t>NCM82129000</t>
  </si>
  <si>
    <t>NCM17011200</t>
  </si>
  <si>
    <t>NCM08109099</t>
  </si>
  <si>
    <t>NCM99900132</t>
  </si>
  <si>
    <t>NCM07136010</t>
  </si>
  <si>
    <t>NCM14049000</t>
  </si>
  <si>
    <t>NCM34011110</t>
  </si>
  <si>
    <t>NCM12112000</t>
  </si>
  <si>
    <t>NCM63079990</t>
  </si>
  <si>
    <t>NCM63109000</t>
  </si>
  <si>
    <t>NCM07123900</t>
  </si>
  <si>
    <t>NCM18069004</t>
  </si>
  <si>
    <t>NCM73158900</t>
  </si>
  <si>
    <t>NCM54011012</t>
  </si>
  <si>
    <t>NCM39173290</t>
  </si>
  <si>
    <t>NCM22043000</t>
  </si>
  <si>
    <t>NCM34021290</t>
  </si>
  <si>
    <t>NCM63059000</t>
  </si>
  <si>
    <t>NCM96161000</t>
  </si>
  <si>
    <t>NCM73089010</t>
  </si>
  <si>
    <t>NCM29033011</t>
  </si>
  <si>
    <t>NCM05040013</t>
  </si>
  <si>
    <t>NCM20098911</t>
  </si>
  <si>
    <t>NCM44191200</t>
  </si>
  <si>
    <t>NCM17049002</t>
  </si>
  <si>
    <t>NCM33013000</t>
  </si>
  <si>
    <t>NCM73241000</t>
  </si>
  <si>
    <t>NCM94055000</t>
  </si>
  <si>
    <t>NCM16041390</t>
  </si>
  <si>
    <t>NCM32139000</t>
  </si>
  <si>
    <t>NCM20086090</t>
  </si>
  <si>
    <t>NCM66019110</t>
  </si>
  <si>
    <t>NCM62114200</t>
  </si>
  <si>
    <t>NCM92024200</t>
  </si>
  <si>
    <t>NCM39201099</t>
  </si>
  <si>
    <t>Cod. Barras Tratado</t>
  </si>
  <si>
    <t>Códigodebarras</t>
  </si>
  <si>
    <t>NCM90261029</t>
  </si>
  <si>
    <t>NCM90049020</t>
  </si>
  <si>
    <t>NCM32149000</t>
  </si>
  <si>
    <t>NCM10061092</t>
  </si>
  <si>
    <t>NCM39235000</t>
  </si>
  <si>
    <t>NCM08103000</t>
  </si>
  <si>
    <t>NCM76081000</t>
  </si>
  <si>
    <t>NCM59119000</t>
  </si>
  <si>
    <t>NCM14049010</t>
  </si>
  <si>
    <t>NCM70109090</t>
  </si>
  <si>
    <t>NCM48030090</t>
  </si>
  <si>
    <t>NCM22042910</t>
  </si>
  <si>
    <t>NCM62114300</t>
  </si>
  <si>
    <t>NCM73181400</t>
  </si>
  <si>
    <t>NCM39204900</t>
  </si>
  <si>
    <t>NCM64039990</t>
  </si>
  <si>
    <t>NCM29021100</t>
  </si>
  <si>
    <t>NCM54011090</t>
  </si>
  <si>
    <t>NCM12024100</t>
  </si>
  <si>
    <t>NCM48025699</t>
  </si>
  <si>
    <t>NCM84819010</t>
  </si>
  <si>
    <t>NCM23065000</t>
  </si>
  <si>
    <t>NCM48101391</t>
  </si>
  <si>
    <t>NCM83099000</t>
  </si>
  <si>
    <t>NCM35052000</t>
  </si>
  <si>
    <t>NCM55113000</t>
  </si>
  <si>
    <t>NCM95049090</t>
  </si>
  <si>
    <t>NCM32159000</t>
  </si>
  <si>
    <t>NCM38249919</t>
  </si>
  <si>
    <t>NCM68042290</t>
  </si>
  <si>
    <t>NCM56090090</t>
  </si>
  <si>
    <t>NCM56075090</t>
  </si>
  <si>
    <t>NCM29051100</t>
  </si>
  <si>
    <t>NCM70109011</t>
  </si>
  <si>
    <t>NCM39051200</t>
  </si>
  <si>
    <t>NCM94054090</t>
  </si>
  <si>
    <t>NCM90049090</t>
  </si>
  <si>
    <t>Outras frutas frescas</t>
  </si>
  <si>
    <t>muda de planta</t>
  </si>
  <si>
    <t>Protege</t>
  </si>
  <si>
    <t>GO-GO</t>
  </si>
  <si>
    <t>Carne</t>
  </si>
  <si>
    <t>Carne cordeiro</t>
  </si>
  <si>
    <t>02044200</t>
  </si>
  <si>
    <t>03074900</t>
  </si>
  <si>
    <t>07092000</t>
  </si>
  <si>
    <t>08021100</t>
  </si>
  <si>
    <t>Aspargos</t>
  </si>
  <si>
    <t>NCM07092000</t>
  </si>
  <si>
    <t>NCM07103000</t>
  </si>
  <si>
    <t>Regra Geral</t>
  </si>
  <si>
    <t>02109900</t>
  </si>
  <si>
    <t>NCM02044200</t>
  </si>
  <si>
    <t>NCM24031000</t>
  </si>
  <si>
    <t>NCM85393900</t>
  </si>
  <si>
    <t>NCM04070090</t>
  </si>
  <si>
    <t>Semente</t>
  </si>
  <si>
    <t>65051000</t>
  </si>
  <si>
    <t>39174010</t>
  </si>
  <si>
    <t>23024000</t>
  </si>
  <si>
    <t>10082090</t>
  </si>
  <si>
    <t>73160000</t>
  </si>
  <si>
    <t>12010090</t>
  </si>
  <si>
    <t>23050000</t>
  </si>
  <si>
    <t>84249010</t>
  </si>
  <si>
    <t>38249024</t>
  </si>
  <si>
    <t>04014029</t>
  </si>
  <si>
    <t>48054090</t>
  </si>
  <si>
    <t>38089329</t>
  </si>
  <si>
    <t>34049021</t>
  </si>
  <si>
    <t>84349000</t>
  </si>
  <si>
    <t>75089090</t>
  </si>
  <si>
    <t>09081000</t>
  </si>
  <si>
    <t>82015000</t>
  </si>
  <si>
    <t>38249079</t>
  </si>
  <si>
    <t>12022090</t>
  </si>
  <si>
    <t>09042000</t>
  </si>
  <si>
    <t>16023900</t>
  </si>
  <si>
    <t>84306990</t>
  </si>
  <si>
    <t>84195022</t>
  </si>
  <si>
    <t>85481090</t>
  </si>
  <si>
    <t>90189095</t>
  </si>
  <si>
    <t>85441100</t>
  </si>
  <si>
    <t>84138100</t>
  </si>
  <si>
    <t>20085000</t>
  </si>
  <si>
    <t>38099290</t>
  </si>
  <si>
    <t>39173300</t>
  </si>
  <si>
    <t>90022090</t>
  </si>
  <si>
    <t>84212930</t>
  </si>
  <si>
    <t>62139090</t>
  </si>
  <si>
    <t>39189000</t>
  </si>
  <si>
    <t>35040020</t>
  </si>
  <si>
    <t>15010000</t>
  </si>
  <si>
    <t>12060010</t>
  </si>
  <si>
    <t>10030099</t>
  </si>
  <si>
    <t>09091010</t>
  </si>
  <si>
    <t>08025000</t>
  </si>
  <si>
    <t>52079000</t>
  </si>
  <si>
    <t>76129090</t>
  </si>
  <si>
    <t>57021000</t>
  </si>
  <si>
    <t>48191000</t>
  </si>
  <si>
    <t>76129019</t>
  </si>
  <si>
    <t>09101000</t>
  </si>
  <si>
    <t>03061690</t>
  </si>
  <si>
    <t>05040090</t>
  </si>
  <si>
    <t>48184020</t>
  </si>
  <si>
    <t>17011100</t>
  </si>
  <si>
    <t>10011090</t>
  </si>
  <si>
    <t>07099200</t>
  </si>
  <si>
    <t>08011110</t>
  </si>
  <si>
    <t>04029100</t>
  </si>
  <si>
    <t>91021110</t>
  </si>
  <si>
    <t>23040090</t>
  </si>
  <si>
    <t>03042090</t>
  </si>
  <si>
    <t>07099000</t>
  </si>
  <si>
    <t>07109000</t>
  </si>
  <si>
    <t>07081000</t>
  </si>
  <si>
    <t>84713012</t>
  </si>
  <si>
    <t>49011000</t>
  </si>
  <si>
    <t>02090011</t>
  </si>
  <si>
    <t>08012100</t>
  </si>
  <si>
    <t>49030000</t>
  </si>
  <si>
    <t>85393900</t>
  </si>
  <si>
    <t>32061119</t>
  </si>
  <si>
    <t>85101000</t>
  </si>
  <si>
    <t>85219090</t>
  </si>
  <si>
    <t>84689090</t>
  </si>
  <si>
    <t>85131090</t>
  </si>
  <si>
    <t>24031000</t>
  </si>
  <si>
    <t>22072011</t>
  </si>
  <si>
    <t>30049059</t>
  </si>
  <si>
    <t>02068000</t>
  </si>
  <si>
    <t>02063000</t>
  </si>
  <si>
    <t>03045500</t>
  </si>
  <si>
    <t>03048100</t>
  </si>
  <si>
    <t>06022000</t>
  </si>
  <si>
    <t>04070090</t>
  </si>
  <si>
    <t>96162000</t>
  </si>
  <si>
    <t>Milho verde</t>
  </si>
  <si>
    <t>NCM08012100</t>
  </si>
  <si>
    <t>castanha</t>
  </si>
  <si>
    <t>NCM02090011</t>
  </si>
  <si>
    <t>NCM3042090</t>
  </si>
  <si>
    <t>NCM03042090</t>
  </si>
  <si>
    <t>NCM05040090</t>
  </si>
  <si>
    <t>Açucar: 7%, exceto Açucar o glaçular</t>
  </si>
  <si>
    <t>NCM17011100</t>
  </si>
  <si>
    <t>NCM73102990</t>
  </si>
  <si>
    <t>NCM21021010</t>
  </si>
  <si>
    <t>NCM20095000</t>
  </si>
  <si>
    <t>NCM82031090</t>
  </si>
  <si>
    <t>NCM16041100</t>
  </si>
  <si>
    <t>NCM15122910</t>
  </si>
  <si>
    <t>NCM35030012</t>
  </si>
  <si>
    <t>NCM42032900</t>
  </si>
  <si>
    <t>NCM11052000</t>
  </si>
  <si>
    <t>NCM56072900</t>
  </si>
  <si>
    <t>NCM45039000</t>
  </si>
  <si>
    <t>NCM29339920</t>
  </si>
  <si>
    <t>NCM90192020</t>
  </si>
  <si>
    <t>NCM85061032</t>
  </si>
  <si>
    <t>NCM29336919</t>
  </si>
  <si>
    <t>NCM11081300</t>
  </si>
  <si>
    <t>NCM04059090</t>
  </si>
  <si>
    <t>NCM02109911</t>
  </si>
  <si>
    <t>NCM08109012</t>
  </si>
  <si>
    <t>NCM24021000</t>
  </si>
  <si>
    <t>NCM24031100</t>
  </si>
  <si>
    <t>Desc Validado</t>
  </si>
  <si>
    <t>NCM21039020</t>
  </si>
  <si>
    <t>NCM99999999</t>
  </si>
  <si>
    <t>NCM21033029</t>
  </si>
  <si>
    <t>NCM70191290</t>
  </si>
  <si>
    <t>NCM33019030</t>
  </si>
  <si>
    <t>NCM27121000</t>
  </si>
  <si>
    <t>NCM19053010</t>
  </si>
  <si>
    <t>NCM56039490</t>
  </si>
  <si>
    <t>NCM48044200</t>
  </si>
  <si>
    <t>NCM20079924</t>
  </si>
  <si>
    <t>NCM20078990</t>
  </si>
  <si>
    <t>NCM56049021</t>
  </si>
  <si>
    <t>NCM49119900</t>
  </si>
  <si>
    <t>NCM84715090</t>
  </si>
  <si>
    <t>NCM01106000</t>
  </si>
  <si>
    <t>Pinha</t>
  </si>
  <si>
    <t>NCM85185000</t>
  </si>
  <si>
    <t>NCM34011199</t>
  </si>
  <si>
    <t>NCM49021000</t>
  </si>
  <si>
    <t>JORNAIS</t>
  </si>
  <si>
    <t>Kino</t>
  </si>
  <si>
    <t>NCM08045030</t>
  </si>
  <si>
    <t>Livro</t>
  </si>
  <si>
    <t>Absorvente</t>
  </si>
  <si>
    <t>NCM69131000</t>
  </si>
  <si>
    <t>NCM63062990</t>
  </si>
  <si>
    <t>NCM85081100</t>
  </si>
  <si>
    <t>NCM82041200</t>
  </si>
  <si>
    <t>NCM73158200</t>
  </si>
  <si>
    <t>NCM83062900</t>
  </si>
  <si>
    <t>RV: Art. 1º, XIX, "a", da Lei nº 10.925/2004: Carnes bovina, frescas ou refrigeradas - Carcaças e meias-carcaças</t>
  </si>
  <si>
    <t>RV: Art. 1º, XIX, "a", da Lei nº 10.925/2004: Carnes bovina, frescas ou refrigeradas - Quartos dianteiros</t>
  </si>
  <si>
    <t>RV: Art. 1º, XIX, "a", da Lei nº 10.925/2004: Carnes bovina, frescas ou refrigeradas - Quartos traseiros</t>
  </si>
  <si>
    <t>RV: Art. 1º, XIX, "a", da Lei nº 10.925/2004: Carnes bovina, frescas ou refrigeradas - Outras</t>
  </si>
  <si>
    <t>RV: Art. 1º, XIX, "a", da Lei nº 10.925/2004: Carnes bovina, frescas ou refrigeradas - Desossadas</t>
  </si>
  <si>
    <t>RV: Art. 1º, XIX, "a", da Lei nº 10.925/2004: Carnes bovina, Congeladas - Carcaças e meias-carcaças</t>
  </si>
  <si>
    <t>RV: Art. 1º, XIX, "a", da Lei nº 10.925/2004: Carnes bovina, Congeladas - Quartos dianteiros</t>
  </si>
  <si>
    <t>RV: Art. 1º, XIX, "a", da Lei nº 10.925/2004: Carnes bovina, Congeladas - Quartos traseiros</t>
  </si>
  <si>
    <t>RV: Art. 1º, XIX, "a", da Lei nº 10.925/2004: Carnes bovina, Congeladas - Outras</t>
  </si>
  <si>
    <t>RV: Art. 1º, XIX, "a", da Lei nº 10.925/2004: Carnes bovina, Congeladas - Desossadas</t>
  </si>
  <si>
    <t>RV: Art. 1º, XIX, "b", da Lei nº 10.925/2004: Carnes suína Frescas ou refrigeradas Carcaças e meias-carcaças</t>
  </si>
  <si>
    <t>RV: Art. 1º, XIX, "b", da Lei nº 10.925/2004: Carnes suína Frescas ou refrigeradas Pernas, pás e respectivos pedaços, não desossados</t>
  </si>
  <si>
    <t>RV: Art. 1º, XIX, "b", da Lei nº 10.925/2004: Carnes suína Frescas ou refrigeradas Outras</t>
  </si>
  <si>
    <t>RV: Art. 1º, XIX, "b", da Lei nº 10.925/2004: Carnes suína Congeladas Carcaças e meias-carcaças</t>
  </si>
  <si>
    <t>RV: Art. 1º, XIX, "b", da Lei nº 10.925/2004: Carnes suína Congeladas Pernas, pás e respectivos pedaços, não desossados</t>
  </si>
  <si>
    <t>RV: Art. 1º, XIX, "b", da Lei nº 10.925/2004: Carnes suína Congeladas Outras</t>
  </si>
  <si>
    <t>RV: Art. 1º, XIX, "d", da Lei nº 10.925/2004: Ovina ou caprina Outras peças não desossadas</t>
  </si>
  <si>
    <t>RV: Art. 1º, XIX, "a", da Lei nº 10.925/2004: Miudezas Da espécie bovina, frescas ou refrigeradas</t>
  </si>
  <si>
    <t>RV: Art. 1º, XIX, "a", da Lei nº 10.925/2004: Línguas Da espécie bovina, congeladas:</t>
  </si>
  <si>
    <t>RV: Art. 1º, XIX, "a", da Lei nº 10.925/2004: Fígados Da espécie bovina, congeladas:</t>
  </si>
  <si>
    <t>RV: Art. 1º, XIX, "a", da Lei nº 10.925/2004: Rabos Da espécie bovina, congeladas:</t>
  </si>
  <si>
    <t>RV: Art. 1º, XIX, "a", da Lei nº 10.925/2004: Outros Da espécie bovina, congeladas:</t>
  </si>
  <si>
    <t>RV: Art. 1º, XIX, "b", da Lei nº 10.925/2004: Miudezas Da espécie suína, frescas ou refrigeradas</t>
  </si>
  <si>
    <t>RV: Art. 1º, XIX, "b", da Lei nº 10.925/2004: Fígados suíno</t>
  </si>
  <si>
    <t>RV: Art. 1º, XIX, "b", da Lei nº 10.925/2004: Outras Miudezas suínas</t>
  </si>
  <si>
    <t>RV: Art. 1º, XIX, "a", da Lei nº 10.925/2004: Miúdo de caprino resfriado</t>
  </si>
  <si>
    <t>RV: Art. 1º, XIX, "b", da Lei nº 10.925/2004: Aves da espécie Gallus domesticus Não cortadas em pedaços, frescas ou refrigeradas</t>
  </si>
  <si>
    <t>RV: Art. 1º, XIX, "b", da Lei nº 10.925/2004: Aves da espécie Gallus domesticus Não cortadas em pedaços, congeladas</t>
  </si>
  <si>
    <t>RV: Art. 1º, XIX, "b", da Lei nº 10.925/2004: Aves da espécie Gallus domesticus Pedaços e miudezas, frescos ou refrigerados</t>
  </si>
  <si>
    <t>RV: Art. 1º, XIX, "b", da Lei nº 10.925/2004: Aves da espécie Gallus domesticus Pedaços e miudezas, congelados</t>
  </si>
  <si>
    <t>RV: Art. 1º, XIX, "b", da Lei nº 10.925/2004: Perus Não cortadas em pedaços, frescas ou refrigeradas</t>
  </si>
  <si>
    <t>RV: Art. 1º, XIX, "b", da Lei nº 10.925/2004: Perus Não cortadas em pedaços, congeladas</t>
  </si>
  <si>
    <t>RV: Art. 1º, XIX, "b", da Lei nº 10.925/2004: Perus Pedaços e miudezas, frescos ou refrigerados</t>
  </si>
  <si>
    <t>RV: Art. 1º, XIX, "b", da Lei nº 10.925/2004: Perus Pedaços e miudezas, congelados</t>
  </si>
  <si>
    <t>RV: Art. 1º, XIX, "b", da Lei nº 10.925/2004: Patos Não cortadas em pedaços, frescas ou refrigeradas</t>
  </si>
  <si>
    <t>RV: Art. 1º, XIX, "b", da Lei nº 10.925/2004: Patos Não cortadas em pedaços, congeladas</t>
  </si>
  <si>
    <t>RV: Art. 1º, XIX, "b", da Lei nº 10.925/2004: Patos Fígados gordos (foies gras), frescos ou refrigerados</t>
  </si>
  <si>
    <t>RV: Art. 1º, XIX, "b", da Lei nº 10.925/2004: Patos Outras, frescas ou refrigeradas</t>
  </si>
  <si>
    <t>RV: Art. 1º, XIX, "b", da Lei nº 10.925/2004: Patos Outras, congeladas</t>
  </si>
  <si>
    <t>RV: Art. 1º, XIX, "b", da Lei nº 10.925/2004: Gansos Não cortadas em pedaços, frescas ou refrigeradas</t>
  </si>
  <si>
    <t>RV: Art. 1º, XIX, "b", da Lei nº 10.925/2004: Gansos  Não cortadas em pedaços, congeladas</t>
  </si>
  <si>
    <t>RV: Art. 1º, XIX, "b", da Lei nº 10.925/2004: Gansos Fígados gordos (foies gras), frescos ou refrigerados</t>
  </si>
  <si>
    <t>RV: Art. 1º, XIX, "b", da Lei nº 10.925/2004: Gansos Outras, frescas ou refrigeradas</t>
  </si>
  <si>
    <t>RV: Art. 1º, XIX, "b", da Lei nº 10.925/2004: Gansos Outras, congeladas</t>
  </si>
  <si>
    <t>RV: Art. 1º, XIX, "b", da Lei nº 10.925/2004:  Carne De galinhas-d'angola (pintadas)</t>
  </si>
  <si>
    <t>RV: Art. 1º, XIX, "b", da Lei nº 10.925/2004: Toucinho De porco</t>
  </si>
  <si>
    <t>RV: Art. 1º, XIX, "b", da Lei nº 10.925/2004: Gordura De porco</t>
  </si>
  <si>
    <t>RV: Art. 1º, XIX, "b", da Lei nº 10.925/2004: Miúdo de caprino resfriado</t>
  </si>
  <si>
    <t>RV: Art. 1º, XIX, "b", da Lei nº 10.925/2004: utros Toucinho sem parte magra, gordura de porco e de ave</t>
  </si>
  <si>
    <t>RV: Art. 1º, XIX, "b", da Lei nº 10.925/2004: Pernas, pás e respectivos pedaços, não desossados suína</t>
  </si>
  <si>
    <t>RV: Art. 1º, XIX, "b", da Lei nº 10.925/2004: Toucinhos entremeados (Barrigas (entremeadas)*) e seus pedaços suína</t>
  </si>
  <si>
    <t xml:space="preserve">RV: Art. 1º, XIX, "b", da Lei nº 10.925/2004: Outras Carnes da espécie suína </t>
  </si>
  <si>
    <t>RV: Art. 1º, XIX, "a", da Lei nº 10.925/2004: Carnes e miudezas bovina, comestíveis, salgadas ou em salmoura, secas ou defumadas (fumadas); farinhas e pós, comestíveis, de carnes ou de miudezas.</t>
  </si>
  <si>
    <t>RV: Art. 1º, XX da Lei nº 10.925/2004: PEIXE:Trutas</t>
  </si>
  <si>
    <t>RV: : PEIXE:Salmões-do-pacífico</t>
  </si>
  <si>
    <t>RV: : PEIXE:Salmão-do-atlântico</t>
  </si>
  <si>
    <t>RV: : PEIXE:Salmonídeos</t>
  </si>
  <si>
    <t>RV: : PEIXE:Linguados-gigantes</t>
  </si>
  <si>
    <t>RV: : PEIXE:Solha</t>
  </si>
  <si>
    <t>RV: : PEIXE:Linguados</t>
  </si>
  <si>
    <t>RV: : PEIXE:Pregado</t>
  </si>
  <si>
    <t>RV: : PEIXE: Peixes chatos</t>
  </si>
  <si>
    <t>RV: : PEIXE:Albacora-branca (Atum*</t>
  </si>
  <si>
    <t>RV: : PEIXE:Albacora-laje (Atum</t>
  </si>
  <si>
    <t>RV: : PEIXE:Bonito-listrado (Gaiado*)</t>
  </si>
  <si>
    <t xml:space="preserve">RV: : PEIXE:Albacora-bandolim (Atum*) </t>
  </si>
  <si>
    <t>RV: : PEIXE:Atuns-azuis</t>
  </si>
  <si>
    <t>RV: : PEIXE:Atum-azul do sul</t>
  </si>
  <si>
    <t>RV: : PEIXE:Atuns</t>
  </si>
  <si>
    <t>RV: : PEIXE:Arenques</t>
  </si>
  <si>
    <t>RV: : PEIXE:Anchoita (Engraulis anchoita)</t>
  </si>
  <si>
    <t>RV: : PEIXE:Sardinhas</t>
  </si>
  <si>
    <t>RV: : PEIXE:Cavalinhas</t>
  </si>
  <si>
    <t>RV: : PEIXE:Carapaus</t>
  </si>
  <si>
    <t>RV: : PEIXE:Bijupirá (Cobia*)</t>
  </si>
  <si>
    <t>RV: : PEIXE:Espadarte</t>
  </si>
  <si>
    <t>RV: : PEIXE:Espadins, marlins, veleiros</t>
  </si>
  <si>
    <t>RV: : PEIXE:Outros Peixe</t>
  </si>
  <si>
    <t>RV: : PEIXE:Bacalhau-do-atlântico</t>
  </si>
  <si>
    <t>RV: : PEIXE:Haddock ou lubina</t>
  </si>
  <si>
    <t>RV: : PEIXE:Saithe (Escamudo*)</t>
  </si>
  <si>
    <t>RV: : PEIXE:Merluzas (Pescadas*) e abróteas</t>
  </si>
  <si>
    <t>RV: : PEIXE:Polaca-do-alasca (Escamudo-do-alasca*)</t>
  </si>
  <si>
    <t>RV: : PEIXE:Verdinhos</t>
  </si>
  <si>
    <t>RV: : PEIXE:Peixes</t>
  </si>
  <si>
    <t>RV: : PEIXE:Tilápias</t>
  </si>
  <si>
    <t>RV: : PEIXE:Bagre americano</t>
  </si>
  <si>
    <t>RV: : PEIXE:Carpas</t>
  </si>
  <si>
    <t>RV: : PEIXE:Enguias</t>
  </si>
  <si>
    <t>RV: : PEIXE:Bagres (Peixes-gato*)</t>
  </si>
  <si>
    <t>RV: : PEIXE:Cação e outros tubarões</t>
  </si>
  <si>
    <t>RV: : PEIXE:Raias</t>
  </si>
  <si>
    <t>RV: : PEIXE:Merluza negra</t>
  </si>
  <si>
    <t>RV: : PEIXE:Merluza antártica</t>
  </si>
  <si>
    <t>RV: : PEIXE:Robalos</t>
  </si>
  <si>
    <t>RV: : PEIXE:Esparídeos</t>
  </si>
  <si>
    <t>RV: : PEIXE:Pargo</t>
  </si>
  <si>
    <t>RV: : PEIXE:Cherne-poveiro</t>
  </si>
  <si>
    <t>RV: : PEIXE:Garoupas</t>
  </si>
  <si>
    <t>RV: : PEIXE:Esturjão</t>
  </si>
  <si>
    <t>RV: : PEIXE:Peixes-rei</t>
  </si>
  <si>
    <t>RV: : PEIXE:Curimatãs (Prochilodus spp.)</t>
  </si>
  <si>
    <t>RV: : PEIXE:Tilápias (Tilapia spp., Sarotherodon spp., Danakilia spp.; seus híbridos)</t>
  </si>
  <si>
    <t>RV: : PEIXE:Surubins (Pseudoplatystoma spp.)</t>
  </si>
  <si>
    <t>RV: : PEIXE:Traíra (Hoplias malabaricus &amp; H. cf. lacerdae)</t>
  </si>
  <si>
    <t>RV: : PEIXE:Piaus (Leporinus spp.)</t>
  </si>
  <si>
    <t>RV: : PEIXE:Tainhas (Mugil spp.)</t>
  </si>
  <si>
    <t>RV: : PEIXE:Pirarucu (Arapaima gigas)</t>
  </si>
  <si>
    <t>RV: : PEIXE:Pescadas (Cynoscion spp.)</t>
  </si>
  <si>
    <t>RV: : PEIXE:Piramutaba (Brachyplatystoma vaillantii)</t>
  </si>
  <si>
    <t>RV: : PEIXE:Dourada (Brachyplatystoma flavicans)</t>
  </si>
  <si>
    <t>RV: : PEIXE:Pacu (Piaractus mesopotamicus)</t>
  </si>
  <si>
    <t>RV: : PEIXE:Tambaqui (Colossoma macropomum)</t>
  </si>
  <si>
    <t>RV: : PEIXE:Tambacu (híbrido de tambaqui e pacu)</t>
  </si>
  <si>
    <t>RV: : PEIXE:Salmão-do-pacífico</t>
  </si>
  <si>
    <t>RV: : PEIXE:Outros salmões-do-pacífico</t>
  </si>
  <si>
    <t>RV: : PEIXE:Trutas</t>
  </si>
  <si>
    <t>RV: : PEIXE:Bagres</t>
  </si>
  <si>
    <t>RV: : PEIXE:Outros Peixes</t>
  </si>
  <si>
    <t>RV: : PEIXE:Linguados-gigantes (Alabotes*)</t>
  </si>
  <si>
    <t>RV: : PEIXE:Albacora-branca (Atum*)</t>
  </si>
  <si>
    <t>RV: : PEIXE:Albacora-laje (Atum*)</t>
  </si>
  <si>
    <t>RV: : PEIXE:Albacora-bandolim (Atum*)</t>
  </si>
  <si>
    <t>RV: : PEIXE:Atuns-azuis (Atuns*)</t>
  </si>
  <si>
    <t>RV: : PEIXE:Atum-azul do sul (Atum*)</t>
  </si>
  <si>
    <t>RV: : PEIXE:Cavalinhas (Sardas e cavalas*)</t>
  </si>
  <si>
    <t>RV: : PEIXE:Espadins, marlins, veleiros (Istiophoridae)</t>
  </si>
  <si>
    <t xml:space="preserve">RV: : PEIXE:Bacalhau-do-atlântico </t>
  </si>
  <si>
    <t>RV: : PEIXE:Haddock ou lubina (Arinca*)</t>
  </si>
  <si>
    <t xml:space="preserve">RV: : PEIXE:Verdinhos </t>
  </si>
  <si>
    <t>RV: : PEIXE:Merluza rosada (Macruronus magellanicus)</t>
  </si>
  <si>
    <t>RV: : PEIXE:Tubarão-azul</t>
  </si>
  <si>
    <t>RV: : PEIXE:Evisceradas, sem cabeça e sem cauda</t>
  </si>
  <si>
    <t>RV: : PEIXE:Merluza</t>
  </si>
  <si>
    <t>RV: : PEIXE:Corvina</t>
  </si>
  <si>
    <t>RV: : PEIXE:Pescadas</t>
  </si>
  <si>
    <t>RV: : PEIXE:Peixe-sapo</t>
  </si>
  <si>
    <t>RV: : PEIXE:Tainhas</t>
  </si>
  <si>
    <t>RV: : PEIXE:Esturjões</t>
  </si>
  <si>
    <t>RV: : PEIXE:Nototenias</t>
  </si>
  <si>
    <t>RV: : PEIXE:Curimatãs</t>
  </si>
  <si>
    <t>RV: : PEIXE:Surubins</t>
  </si>
  <si>
    <t>RV: : PEIXE:Traíra</t>
  </si>
  <si>
    <t>RV: : PEIXE:Piaus</t>
  </si>
  <si>
    <t>RV: : PEIXE:Pirarucu</t>
  </si>
  <si>
    <t>RV: : PEIXE:Piramutaba</t>
  </si>
  <si>
    <t>RV: : PEIXE:Dourada</t>
  </si>
  <si>
    <t>RV: : PEIXE:Pacu</t>
  </si>
  <si>
    <t>RV: : PEIXE:Tambaqui</t>
  </si>
  <si>
    <t>RV: : PEIXE:Tambacu</t>
  </si>
  <si>
    <t>RV: : PEIXE:Fígados, ovas e gônadas masculinas</t>
  </si>
  <si>
    <t>RV: : PEIXE:Barbatanas de tubarão</t>
  </si>
  <si>
    <t>RV: : PEIXE:Cabeças de Merluza negra</t>
  </si>
  <si>
    <t>RV: : PEIXE:Cabeças de Merluza antártica</t>
  </si>
  <si>
    <t>RV: : PEIXE:Perca-do-nilo</t>
  </si>
  <si>
    <t>RV: : PEIXE:Peixes chatos</t>
  </si>
  <si>
    <t>RV: : PEIXE:Peixes das famílias Bregmacerotidae, Euclichthyidae, Gadidae, Macrouridae, Melanonidae, Merlucciidae, Moridae e Muraenolepididae</t>
  </si>
  <si>
    <t>RV: : PEIXE:Merluza negra e merluza antártica (Marlongas*)</t>
  </si>
  <si>
    <t>RV: : PEIXE:Raias (Rajidae)</t>
  </si>
  <si>
    <t>RV: : PEIXE:Tilápias (Oreochromis spp.), bagres (peixes-gato*)</t>
  </si>
  <si>
    <t>RV: : PEIXE:Bacalhau-do-atlântico, bacalhau-da-groelândia e bacalhau-do-pacífico</t>
  </si>
  <si>
    <t>RV: : PEIXE:Polaca-do-alasca</t>
  </si>
  <si>
    <t>RV: : PEIXE:Truta</t>
  </si>
  <si>
    <t>RV: : PEIXE:Espadarte (Xiphias gladius)</t>
  </si>
  <si>
    <t>RV: : PEIXE:Merluza negra (Dissostichus eleginoides)</t>
  </si>
  <si>
    <t>RV: : PEIXE:Merluza antártica (Dissostichus mawsoni)</t>
  </si>
  <si>
    <t>RV: : PEIXE:Arenque</t>
  </si>
  <si>
    <t>RV: : PEIXE:Atuns (do gênero Thunnus), bonito-listrado (gaiado*)</t>
  </si>
  <si>
    <t>RV: : PEIXE:Tubarão-azul (Prionace glauca)</t>
  </si>
  <si>
    <t>RV: : PEIXE:Bochechas</t>
  </si>
  <si>
    <t>RV: : PEIXE:Colares</t>
  </si>
  <si>
    <t>RV: : PEIXE:Bochechas (cheeks)</t>
  </si>
  <si>
    <t>RV: : PEIXE:Colares (collars)</t>
  </si>
  <si>
    <t>RV: : PEIXE:Peixes das famílias Bregmacerotidae, Euclichthyidae, Gadidae, Macrouridae, Melanonidae, Merlucciidae, Moridae e Muraenolepididae, exceto a polaca-do-alasca (escamudo-do-alasca*)</t>
  </si>
  <si>
    <t>RV: : PEIXE:Raia</t>
  </si>
  <si>
    <t>RV: Art. 1º, XI, da Lei nº 10.925/2004: Leite UHT (Ultra High Temperature)</t>
  </si>
  <si>
    <t>RV: Art. 1º, XI, da Lei nº 10.925/2004: Leite Alq 0 // Creme de leite Regra geral</t>
  </si>
  <si>
    <t>RV: Art. 1º, XI, da Lei nº 10.925/2004: 	Leite UHT (Ultra High Temperature)</t>
  </si>
  <si>
    <t xml:space="preserve">RV: Art. 1º, XI, da Lei nº 10.925/2004: Leite </t>
  </si>
  <si>
    <t>RV: Art. 1º, XI, da Lei nº 10.925/2004: Leite em pó</t>
  </si>
  <si>
    <t>RV: Art. 1º, XI, da Lei nº 10.925/2004: Leite em pó e compostos lácteos</t>
  </si>
  <si>
    <t>RV: Art. 1º, XI, da Lei nº 10.925/2004: 	Leite parcialmente desnatado</t>
  </si>
  <si>
    <t>RV: Art. 1º, XI, da Lei nº 10.925/2004: Iogurte</t>
  </si>
  <si>
    <t>RV: Art. 1º, XI, da Lei nº 10.925/2004: Bebida láctea, coalhada, leite fermentado Alq 0 // Outros Regra geral</t>
  </si>
  <si>
    <t>RV: Art. 1º, XXIV da Lei nº 10.925/2004	: Manteiga</t>
  </si>
  <si>
    <t>RV: Art. 1º, XII, da Lei nº 10.925/2004: Queijo Muzarela</t>
  </si>
  <si>
    <t>RV: Art. 1º, XII, da Lei nº 10.925/2004: Minas, Prato, Coalho, Ricota, Requeijão, Provolone, Parmesão, Fresco, Do Reino Alq 0 // Outros: Regra geral</t>
  </si>
  <si>
    <t>RV: Art. 28, III, da Lei nº 10.865/2004: Ovos</t>
  </si>
  <si>
    <t>NCM: 
Art. 28, III, da Lei nº 10.865/2004: Outras batatas</t>
  </si>
  <si>
    <t>NCM: 
Art. 28, III, da Lei nº 10.865/2004: Tomates, frescos ou refrigerados.</t>
  </si>
  <si>
    <t>NCM: 
Art. 28, III, da Lei nº 10.865/2004: Outras Cebolas</t>
  </si>
  <si>
    <t>NCM: 
Art. 28, III, da Lei nº 10.865/2004: Alhos Outros</t>
  </si>
  <si>
    <t>NCM: 
Art. 28, III, da Lei nº 10.865/2004: Outros Alhos-porros</t>
  </si>
  <si>
    <t>NCM: 
Art. 28, III, da Lei nº 10.865/2004: Couve-flor e brócolis (var. botrytis L.)</t>
  </si>
  <si>
    <t>NCM: 
Art. 28, III, da Lei nº 10.865/2004: Outros Couves</t>
  </si>
  <si>
    <t>NCM: 
Art. 28, III, da Lei nº 10.865/2004: Alface Repolhuda</t>
  </si>
  <si>
    <t>NCM: 
Art. 28, III, da Lei nº 10.865/2004: Outra Alface</t>
  </si>
  <si>
    <t>NCM: 
Art. 28, III, da Lei nº 10.865/2004: Chicórias</t>
  </si>
  <si>
    <t>NCM: 
Art. 28, III, da Lei nº 10.865/2004: Cenouras e nabos</t>
  </si>
  <si>
    <t>NCM: 
Art. 28, III, da Lei nº 10.865/2004: Outros raízes comestíveis</t>
  </si>
  <si>
    <t>NCM: 
Art. 28, III, da Lei nº 10.865/2004: Pepinos e pepininhos, frescos ou refrigerados.</t>
  </si>
  <si>
    <t>NCM: 
Art. 28, III, da Lei nº 10.865/2004: Feijões</t>
  </si>
  <si>
    <t>NCM: 
Art. 28, III, da Lei nº 10.865/2004: Outros legumes de vagem</t>
  </si>
  <si>
    <t>NCM: 
Art. 28, III, da Lei nº 10.865/2004: Aspargos</t>
  </si>
  <si>
    <t>NCM: 
Art. 28, III, da Lei nº 10.865/2004: Berinjelas</t>
  </si>
  <si>
    <t>NCM: 
Art. 28, III, da Lei nº 10.865/2004: Cogumelos do gênero Agaricus</t>
  </si>
  <si>
    <t>NCM: 
Art. 28, III, da Lei nº 10.865/2004: Outros Cogumelos e trufas</t>
  </si>
  <si>
    <t>NCM: 
Art. 28, III, da Lei nº 10.865/2004: Pimentões e pimentas do gênero Capsicum ou do gênero Pimenta</t>
  </si>
  <si>
    <t>NCM: 
Art. 28, III, da Lei nº 10.865/2004: Espinafres, espinafres-da-nova-zelândia e espinafres gigantes</t>
  </si>
  <si>
    <t>NCM: Art. 28, III, da Lei nº 10.865/2004: Outros produtos hortícolas, frescos ou refrigerados</t>
  </si>
  <si>
    <t>NCM: 
Art. 28, III, da Lei nº 10.865/2004: Abóboras, abobrinhas e cabaças (Cucurbita spp.)</t>
  </si>
  <si>
    <t>NCM: 
Art. 28, III, da Lei nº 10.865/2004: Outros Milho doce</t>
  </si>
  <si>
    <t>NCM: 
Art. 28, III, da Lei nº 10.865/2004: Batatas não cozidos ou cozidos em água ou vapor, congelados.</t>
  </si>
  <si>
    <t>NCM: 
Art. 28, III, da Lei nº 10.865/2004: Ervilhas não cozidos ou cozidos em água ou vapor, congelados.</t>
  </si>
  <si>
    <t>NCM: 
Art. 28, III, da Lei nº 10.865/2004: Outros Legumes de vagem não cozidos ou cozidos em água ou vapor, congelados.</t>
  </si>
  <si>
    <t>NCM: 
Art. 28, III, da Lei nº 10.865/2004: Espinafres, espinafres-da-nova-zelândia e espinafres gigantes não cozidos ou cozidos em água ou vapor, congelados.</t>
  </si>
  <si>
    <t>NCM: 
Art. 28, III, da Lei nº 10.865/2004: Milho doce não cozidos ou cozidos em água ou vapor, congelados.</t>
  </si>
  <si>
    <t>NCM: 
Art. 28, III, da Lei nº 10.865/2004: Outros produtos hortícolas não cozidos ou cozidos em água ou vapor, congelados.</t>
  </si>
  <si>
    <t>NCM: 
Art. 28, III, da Lei nº 10.865/2004: Azeitonas Com água salgada</t>
  </si>
  <si>
    <t>NCM: 
Art. 28, III, da Lei nº 10.865/2004: Pepinos e pepininhos em conserva</t>
  </si>
  <si>
    <t>NCM: 
Art. 28, III, da Lei nº 10.865/2004: Cebolas Secas</t>
  </si>
  <si>
    <t>NCM: 
Art. 28, III, da Lei nº 10.865/2004: Cogumelos do gênero Agaricus secos</t>
  </si>
  <si>
    <t>NCM: 
Art. 28, III, da Lei nº 10.865/2004: Alho em pó</t>
  </si>
  <si>
    <t>NCM: 
Art. 28, III, da Lei nº 10.865/2004: Outros produtos secos</t>
  </si>
  <si>
    <t>NCM: 
Art. 28, III, da Lei nº 10.865/2004: Outras Ervilhas</t>
  </si>
  <si>
    <t>NCM: 
Art. 28, III, da Lei nº 10.865/2004: Outros Grão-de-bico</t>
  </si>
  <si>
    <t>RV: Art. 1º, V, da Lei nº 10.925/2004: Feijão</t>
  </si>
  <si>
    <t>RV: Art. 1º, V, da Lei nº 10.925/2004: Outros Feijões</t>
  </si>
  <si>
    <t>NCM: 
Art. 28, III, da Lei nº 10.865/2004: Outros Feijão-fradinho</t>
  </si>
  <si>
    <t>NCM: 
Art. 28, III, da Lei nº 10.865/2004: Lentilhas Para semeadura</t>
  </si>
  <si>
    <t>NCM: 
Art. 28, III, da Lei nº 10.865/2004: Outras Lentilhas</t>
  </si>
  <si>
    <t>NCM: 
Art. 28, III, da Lei nº 10.865/2004: Outros Feijão</t>
  </si>
  <si>
    <t>NCM: 
Art. 28, III, da Lei nº 10.865/2004: Raízes de mandioca</t>
  </si>
  <si>
    <t>NCM: 
Art. 28, III, da Lei nº 10.865/2004: Batatas-doces</t>
  </si>
  <si>
    <t>NCM: 
Art. 28, III, da Lei nº 10.865/2004: Inhames</t>
  </si>
  <si>
    <t>NCM: 
Art. 28, III, da Lei nº 10.865/2004: Outros raízes</t>
  </si>
  <si>
    <t>NCM: 
Art. 28, III, da Lei nº 10.865/2004: Cocos Dessecados</t>
  </si>
  <si>
    <t>NCM: 
Art. 28, III, da Lei nº 10.865/2004: Cocos Na casca interna (endocarpo)</t>
  </si>
  <si>
    <t>NCM: 
Art. 28, III, da Lei nº 10.865/2004: Outros cocos</t>
  </si>
  <si>
    <t>NCM: 
Art. 28, III, da Lei nº 10.865/2004: Castanha-do-brasil (castanha-do-pará) Sem casca</t>
  </si>
  <si>
    <t>NCM: 
Art. 28, III, da Lei nº 10.865/2004: Castanha de caju Com casca</t>
  </si>
  <si>
    <t>NCM: 
Art. 28, III, da Lei nº 10.865/2004: Castanha de cajuSem casca</t>
  </si>
  <si>
    <t>NCM: 
Art. 28, III, da Lei nº 10.865/2004: Amêndoas: Sem casca</t>
  </si>
  <si>
    <t>NCM: 
Art. 28, III, da Lei nº 10.865/2004: Nozes Sem casca</t>
  </si>
  <si>
    <t>NCM: 
Art. 28, III, da Lei nº 10.865/2004: Outra Nozes</t>
  </si>
  <si>
    <t>NCM: Art. 28, III, da Lei nº 10.865/2004: Bananas</t>
  </si>
  <si>
    <t>NCM: 
Art. 28, III, da Lei nº 10.865/2004: Bananas-da-terra</t>
  </si>
  <si>
    <t>NCM: 
Art. 28, III, da Lei nº 10.865/2004: Outras bananas</t>
  </si>
  <si>
    <t>NCM: 
Art. 28, III, da Lei nº 10.865/2004: Tâmaras Frescas</t>
  </si>
  <si>
    <t>NCM: 
Art. 28, III, da Lei nº 10.865/2004: Tâmaras Secas</t>
  </si>
  <si>
    <t>NCM: 
Art. 28, III, da Lei nº 10.865/2004: Abacaxis</t>
  </si>
  <si>
    <t>NCM: 
Art. 28, III, da Lei nº 10.865/2004: Abacates</t>
  </si>
  <si>
    <t>NCM: Art. 28, III, da Lei nº 10.865/2004: Goiabas, Mangas E Mangostoes, Frescos Ou Secos</t>
  </si>
  <si>
    <t>NCM: 
Art. 28, III, da Lei nº 10.865/2004: Goiabas</t>
  </si>
  <si>
    <t>NCM: 
Art. 28, III, da Lei nº 10.865/2004: Mangas</t>
  </si>
  <si>
    <t>NCM: 
Art. 28, III, da Lei nº 10.865/2004: Laranjas</t>
  </si>
  <si>
    <t>NCM: 
Art. 28, III, da Lei nº 10.865/2004: Mandarinas</t>
  </si>
  <si>
    <t>NCM: 
Art. 28, III, da Lei nº 10.865/2004: Limões e limas</t>
  </si>
  <si>
    <t>NCM: 
Art. 28, III, da Lei nº 10.865/2004: Outros Citricos</t>
  </si>
  <si>
    <t>NCM: 
Art. 28, III, da Lei nº 10.865/2004: Uvas Frescas</t>
  </si>
  <si>
    <t>NCM: 
Art. 28, III, da Lei nº 10.865/2004: Uvas Secas (passas)</t>
  </si>
  <si>
    <t>NCM: 
Art. 28, III, da Lei nº 10.865/2004: Melancias</t>
  </si>
  <si>
    <t>NCM: 
Art. 28, III, da Lei nº 10.865/2004: Outros melões e  melancias</t>
  </si>
  <si>
    <t>NCM: 
Art. 28, III, da Lei nº 10.865/2004: Mamões (papaias)</t>
  </si>
  <si>
    <t>NCM: 
Art. 28, III, da Lei nº 10.865/2004: Maçãs</t>
  </si>
  <si>
    <t>NCM: 
Art. 28, III, da Lei nº 10.865/2004: Peras</t>
  </si>
  <si>
    <t>NCM: 
Art. 28, III, da Lei nº 10.865/2004: Damascos</t>
  </si>
  <si>
    <t>NCM: 
Art. 28, III, da Lei nº 10.865/2004: Cerejas</t>
  </si>
  <si>
    <t>NCM: 
Art. 28, III, da Lei nº 10.865/2004: Pêssegos</t>
  </si>
  <si>
    <t>NCM: 
Art. 28, III, da Lei nº 10.865/2004: Nectarinas</t>
  </si>
  <si>
    <t>NCM: 
Art. 28, III, da Lei nº 10.865/2004: Ameixas e abrunhos</t>
  </si>
  <si>
    <t>NCM: 
Art. 28, III, da Lei nº 10.865/2004: Morangos</t>
  </si>
  <si>
    <t>NCM: 
Art. 28, III, da Lei nº 10.865/2004: Kiwis (quivis)</t>
  </si>
  <si>
    <t>NCM: 
Art. 28, III, da Lei nº 10.865/2004: Caquis (dióspiros)</t>
  </si>
  <si>
    <t>NCM:  Art. 28, III, da Lei nº 10.865/2004: Outras frutas frescas</t>
  </si>
  <si>
    <t>NCM: 
Art. 28, III, da Lei nº 10.865/2004: Maracujás</t>
  </si>
  <si>
    <t>NCM: 
Art. 28, III, da Lei nº 10.865/2004: Outra frutas</t>
  </si>
  <si>
    <t>NCM: 
Art. 28, III, da Lei nº 10.865/2004: Morangos Fruta, não cozida ou cozida em água ou vapor, congelada, mesmo adicionada de açúcar ou de outros edulcorantes.</t>
  </si>
  <si>
    <t>NCM: 
Art. 28, III, da Lei nº 10.865/2004: Outra Fruta, não cozida ou cozida em água ou vapor, congelada, mesmo adicionada de açúcar ou de outros edulcorantes.</t>
  </si>
  <si>
    <t>NCM: 
Art. 28, III, da Lei nº 10.865/2004: Damascos secas</t>
  </si>
  <si>
    <t>NCM: 
Art. 28, III, da Lei nº 10.865/2004: Ameixas secas Com caroço</t>
  </si>
  <si>
    <t>NCM: 
Art. 28, III, da Lei nº 10.865/2004: Ameixas sem caroço</t>
  </si>
  <si>
    <t>NCM: 
Art. 28, III, da Lei nº 10.865/2004: Maçãs secas</t>
  </si>
  <si>
    <t>RV: Art. 1º, XXI da Lei nº 10.925/2004: Café não torrado: Em grão</t>
  </si>
  <si>
    <t>RV: Art. 1º, XXI da Lei nº 10.925/2004: Café não torrado: Outros</t>
  </si>
  <si>
    <t>RV: Art. 1º, XXI da Lei nº 10.925/2004: Café não torrado: Descafeinado</t>
  </si>
  <si>
    <t>RV: Art. 1º, XXI da Lei nº 10.925/2004: Café torrado: Não descafeinado</t>
  </si>
  <si>
    <t>RV: Art. 1º, XXI da Lei nº 10.925/2004: Café torrado: Descafeinado</t>
  </si>
  <si>
    <t>RV: Art. 1º, XXI da Lei nº 10.925/2004: Café torrado: Outros</t>
  </si>
  <si>
    <t>RV: Art. 1º, XV, da Lei nº 10.925/2004: Outros Trigo duro</t>
  </si>
  <si>
    <t>NCM10011100</t>
  </si>
  <si>
    <t>RV: Art. 1º, XV, da Lei nº 10.925/2004: Trigo duro Para semeadura</t>
  </si>
  <si>
    <t>NCM10011900</t>
  </si>
  <si>
    <t>NCM10019100</t>
  </si>
  <si>
    <t>RV: Art. 1º, V, da Lei nº 10.925/2004: Arroz parbolizado</t>
  </si>
  <si>
    <t>RV: Art. 1º, V, da Lei nº 10.925/2004: Arroz não parbolizado</t>
  </si>
  <si>
    <t>RV: Art. 1º, V, da Lei nº 10.925/2004: Arroz semibranqueado ou branqueado Polido ou brunido Parbolizado</t>
  </si>
  <si>
    <t>RV: Art. 1º, V, da Lei nº 10.925/2004: Arroz semibranqueado ou branqueado Polido ou brunido - Outros</t>
  </si>
  <si>
    <t>RV: Art. 1º, V, da Lei nº 10.925/2004: Arroz semibranqueado ou branqueado Polido ou brunido não Parbolizado</t>
  </si>
  <si>
    <t>RV: Art. 1º, V, da Lei nº 10.925/2004: Arroz semibranqueado ou branqueado Polido ou brunido - Outros não parbolizados</t>
  </si>
  <si>
    <t>RV: Art. 1º, III, da Lei nº 10.925/2004: Painçol</t>
  </si>
  <si>
    <t> Alpiste</t>
  </si>
  <si>
    <t>RV: Art. 1º, III, da Lei nº 10.925/2004: Alpiste</t>
  </si>
  <si>
    <t>RV: Art. 1º, XIV, da Lei nº 10.925/2004: Farinha de trigo</t>
  </si>
  <si>
    <t>RV: Art. 1º, IX, da Lei nº 10.925/2004: Farinha de milho</t>
  </si>
  <si>
    <t>RV: Art. 1º, IX, da Lei nº 10.925/2004: Grumos e sêmolas de milho</t>
  </si>
  <si>
    <t>RV: Art. 1º, IX, da Lei nº 10.925/2004: Grâos esmagados de milho Aliq 0 // Outros cereais Regra Geral</t>
  </si>
  <si>
    <t>Revisadao: Art. 1º, V, da Lei nº 10.925/2004: Farinha</t>
  </si>
  <si>
    <t>RV: Art. 29, da Lei nº 12.865/2013: Soja para semeadura</t>
  </si>
  <si>
    <t>RV: Art. 1º, XIX, "a", da Lei nº 10.925/2004: Sebo bovino</t>
  </si>
  <si>
    <t>RV: Art. 1º, XXIII da Lei nº 10.925/2004: Óleo de soja</t>
  </si>
  <si>
    <t>RV: Art. 1º, XXIII da Lei nº 10.925/2004: Óleo de amendoim</t>
  </si>
  <si>
    <t>RV: Art. 1º, XXIII da Lei nº 10.925/2004: Azeite de oliva</t>
  </si>
  <si>
    <t>RV: Art. 1º, XXIII da Lei nº 10.925/2004: Outros óleos e respectivas frações, obtidos exclusivamente a partir de azeitonas, mesmo refinados, mas não quimicamente modificados, e misturas desses óleos ou frações com óleos ou frações da posição 15.09.</t>
  </si>
  <si>
    <t xml:space="preserve">RV: Art. 1º, XXIII da Lei nº 10.925/2004: Óleo de dendê </t>
  </si>
  <si>
    <t>RV: Art. 1º, XXIII da Lei nº 10.925/2004: Óleo De girassol</t>
  </si>
  <si>
    <t xml:space="preserve">RV: Art. 1º, XXIII da Lei nº 10.925/2004: Óleo de coco </t>
  </si>
  <si>
    <t>RV: Art. 1º, XXIII da Lei nº 10.925/2004: Óleos de nabo silvestre, de colza ou de mostarda</t>
  </si>
  <si>
    <t>RV: Art. 1º, XXIII da Lei nº 10.925/2004: Outros Óleos</t>
  </si>
  <si>
    <t>RV: Art. 1º, XXV da Lei nº 10.925/2004	: Margarina, exceto a margarina líquida</t>
  </si>
  <si>
    <t>RV: Art. 1º, XXII da Lei nº 10.925/2004: Açúcares de cana ou de beterraba e sacarose quimicamente pura, no estado sólido. / Açúcares brutos sem adição de aromatizantes ou de corantes: /  Outros açúcares de cana</t>
  </si>
  <si>
    <t>RV: Art. 1º, XXII da Lei nº 10.925/2004: Açúcares de cana ou de beterraba e sacarose quimicamente pura, no estado sólido. / Outros: / Outros</t>
  </si>
  <si>
    <t>RV: Art. 1º, XI, da Lei nº 10.925/2004: Leite em pó modificado</t>
  </si>
  <si>
    <t>RV: Art. 1º, XVIII, da Lei nº 10.925/2004: Massas alimentícias não cozidas, nem recheadas, nem preparadas de outro modo: Que contenham ovos</t>
  </si>
  <si>
    <t>RV: Art. 1º, XVIII, da Lei nº 10.925/2004: Massas alimentícias não cozidas, nem recheadas, nem preparadas de outro modo: Outras</t>
  </si>
  <si>
    <t>RV: Art. 1º, XVIII, da Lei nº 10.925/2004: Massas alimentícias recheadas (mesmo cozidas ou preparadas de outro modo)</t>
  </si>
  <si>
    <t>RV: Art. 1º, XVIII, da Lei nº 10.925/2004: Massas alimentícias não cozidas, nem recheadas, nem preparadas de outro modo: Outras massas alimentícias</t>
  </si>
  <si>
    <t>RV: Art. 1º, XXI da Lei nº 10.925/2004: Extratos, essências e concentrados - 	Café solúvel, mesmo descafeinado (SOMENTE CAFÉ)</t>
  </si>
  <si>
    <t>RV: Art. 76 da Lei nº 12.715/2012: Água</t>
  </si>
  <si>
    <t>Gelo</t>
  </si>
  <si>
    <t>RV: GELO</t>
  </si>
  <si>
    <t>RV: Art. 28 da Lei 13.097/2015: Energét, isotônico, chá, Refri, refresco, beb láctea // Outros: Regra geral</t>
  </si>
  <si>
    <t>RV: Art. 28 da Lei 13.097/2015: Cerveja sem álcool</t>
  </si>
  <si>
    <t>ncm22029900</t>
  </si>
  <si>
    <t>RV: Art. 28 da Lei 13.097/2015: Cerveja</t>
  </si>
  <si>
    <t>Revisado: Alccol</t>
  </si>
  <si>
    <t>Alcool</t>
  </si>
  <si>
    <t>RV: Art. 3º da LC 70/1991, Art. 5º da Lei nº 9.715/1998 e Art. 1º, § 3º, III da Lei nº 10.637/2002: 2402.20.00 - Cigarros que contenham tabaco</t>
  </si>
  <si>
    <t>RV: Art. 3º da LC 70/1991, Art. 5º da Lei nº 9.715/1998 e Art. 1º, § 3º, III da Lei nº 10.637/2002 :2402 - Charutos, cigarrilhas e cigarros, de tabaco ou dos seus sucedâneos.</t>
  </si>
  <si>
    <t>RV: Art. 42, I, da Medida Provisória nº 2.158-35/2001: Gás GLP</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</si>
  <si>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Extratos de glândulas ou de outros órgãos ou das suas secreções / De fígado</t>
  </si>
  <si>
    <t>RV: Art. 2º da Lei nº 10.147/2000:Glândulas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Extratos de glândulas ou de outros órgãos ou das suas secreções / Outros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</si>
  <si>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Heparina e seus sais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</si>
  <si>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Pedaços de pericárdio de origem bovina ou suína</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</si>
  <si>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Glândulas e outros órgãos, dessecados, mesmo em pó / 	Fígados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</si>
  <si>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Glândulas e outros órgãos, dessecados, mesmo em pó / 	Outros</t>
  </si>
  <si>
    <t>RV: Art. 2º da Lei nº 10.147/2000: Glândulas e outros órgãos para usos opoterápicos, dessecados, mesmo em pó; extratos de glândulas ou de outros órgãos ou das suas secreções, para usos opoterápicos; heparina e seus sais; outras substâncias humanas ou animais preparadas para fins terapêuticos ou profiláticos, não especificadas nem compreendidas noutras posições. /  Outros / 	Outros</t>
  </si>
  <si>
    <t>RV: Art. 2º da Lei nº 10.147/2000: Ampicilina ou seus sais</t>
  </si>
  <si>
    <t>RV: Art. 2º da Lei nº 10.147/2000: Amoxicilina ou seus sais</t>
  </si>
  <si>
    <t>RV: Art. 2º da Lei nº 10.147/2000: Penicilina G benzatínica</t>
  </si>
  <si>
    <t>RV: Art. 2º da Lei nº 10.147/2000: Penicilina G potássica</t>
  </si>
  <si>
    <t>RV: Art. 2º da Lei nº 10.147/2000: Penicilina G procaínica</t>
  </si>
  <si>
    <t>RV: Art. 2º da Lei nº 10.147/2000: Outros</t>
  </si>
  <si>
    <t>RV: Art. 2º da Lei nº 10.147/2000: Que contenham estreptomicinas ou seus derivados</t>
  </si>
  <si>
    <t>RV: Art. 2º da Lei nº 10.147/2000: Cloranfenicol, seu palmitato, seu succinato ou seu hemissuccinato</t>
  </si>
  <si>
    <t>RV: Art. 2º da Lei nº 10.147/2000: Eritromicina ou seus sais</t>
  </si>
  <si>
    <t>RV: Art. 2º da Lei nº 10.147/2000: Rifamicina SV sódica</t>
  </si>
  <si>
    <t>RV: Art. 2º da Lei nº 10.147/2000: Rifampicina</t>
  </si>
  <si>
    <t>RV: Art. 2º da Lei nº 10.147/2000: Cloridrato de lincomicina</t>
  </si>
  <si>
    <t>RV: Art. 2º da Lei nº 10.147/2000: Cefalotina sódica</t>
  </si>
  <si>
    <t>RV: Art. 2º da Lei nº 10.147/2000: Cefaclor ou cefalexina monoidratados</t>
  </si>
  <si>
    <t>RV: Art. 2º da Lei nº 10.147/2000: Sulfato de gentamicina</t>
  </si>
  <si>
    <t>RV: Art. 2º da Lei nº 10.147/2000: Daunorubicina</t>
  </si>
  <si>
    <t>RV: Art. 2º da Lei nº 10.147/2000: Idarubicina; pirarubicina</t>
  </si>
  <si>
    <t>RV: Art. 2º da Lei nº 10.147/2000: Vancomicina</t>
  </si>
  <si>
    <t>RV: Art. 2º da Lei nº 10.147/2000: Actinomicinas</t>
  </si>
  <si>
    <t>RV: Art. 2º da Lei nº 10.147/2000: Ciclosporina A</t>
  </si>
  <si>
    <t>RV: Art. 2º da Lei nº 10.147/2000: Mitomicina</t>
  </si>
  <si>
    <t>RV: Art. 2º da Lei nº 10.147/2000: Fumarato de tiamulina</t>
  </si>
  <si>
    <t>RV: Art. 2º da Lei nº 10.147/2000: Bleomicinas ou seus sais</t>
  </si>
  <si>
    <t>RV: Art. 2º da Lei nº 10.147/2000: Imipenem</t>
  </si>
  <si>
    <t>RV: Art. 2º da Lei nº 10.147/2000: Anfotericina B em lipossomas</t>
  </si>
  <si>
    <t>RV: Art. 2º da Lei nº 10.147/2000: -- Que contenham insulina</t>
  </si>
  <si>
    <t>RV: Art. 2º da Lei nº 10.147/2000: Somatotropina</t>
  </si>
  <si>
    <t>RV: Art. 2º da Lei nº 10.147/2000: Gonadotropina coriônica (hCG)</t>
  </si>
  <si>
    <t>RV: Art. 2º da Lei nº 10.147/2000: Menotropinas</t>
  </si>
  <si>
    <t>RV: Art. 2º da Lei nº 10.147/2000: Corticotropina (ACTH)</t>
  </si>
  <si>
    <t>RV: Art. 2º da Lei nº 10.147/2000: Gonadotropina sérica (PMSG)</t>
  </si>
  <si>
    <t>RV: Art. 2º da Lei nº 10.147/2000: Somatostatina ou seus sais</t>
  </si>
  <si>
    <t>RV: Art. 2º da Lei nº 10.147/2000: Buserelina ou seu acetato</t>
  </si>
  <si>
    <t>RV: Art. 2º da Lei nº 10.147/2000: Triptorelina ou seus sais</t>
  </si>
  <si>
    <t>RV: Art. 2º da Lei nº 10.147/2000: Leuprolida ou seu acetato</t>
  </si>
  <si>
    <t>RV: Art. 2º da Lei nº 10.147/2000: LH-RH (gonadorelina)</t>
  </si>
  <si>
    <t>RV: Art. 2º da Lei nº 10.147/2000: Oxitocina</t>
  </si>
  <si>
    <t>RV: Art. 2º da Lei nº 10.147/2000: Sais de insulina</t>
  </si>
  <si>
    <t>RV: Art. 2º da Lei nº 10.147/2000: Timosinas</t>
  </si>
  <si>
    <t>RV: Art. 2º da Lei nº 10.147/2000: Octreotida</t>
  </si>
  <si>
    <t>RV: Art. 2º da Lei nº 10.147/2000: Goserelina ou seu acetato</t>
  </si>
  <si>
    <t>RV: Art. 2º da Lei nº 10.147/2000: Nafarelina ou seu acetato</t>
  </si>
  <si>
    <t>RV: Art. 2º da Lei nº 10.147/2000: Hemissuccinato de estradiol</t>
  </si>
  <si>
    <t>RV: Art. 2º da Lei nº 10.147/2000: Fempropionato de estradiol</t>
  </si>
  <si>
    <t>RV: Art. 2º da Lei nº 10.147/2000: Estriol ou seu succinato</t>
  </si>
  <si>
    <t>RV: Art. 2º da Lei nº 10.147/2000: Alilestrenol</t>
  </si>
  <si>
    <t>RV: Art. 2º da Lei nº 10.147/2000: Linestrenol</t>
  </si>
  <si>
    <t>RV: Art. 2º da Lei nº 10.147/2000: Acetato de megestrol; formestano; fulvestranto</t>
  </si>
  <si>
    <t>RV: Art. 2º da Lei nº 10.147/2000: Desogestrel</t>
  </si>
  <si>
    <t>RV: Art. 2º da Lei nº 10.147/2000: Levotiroxina sódica</t>
  </si>
  <si>
    <t>RV: Art. 2º da Lei nº 10.147/2000: Liotironina sódica</t>
  </si>
  <si>
    <t>RV: Art. 2º da Lei nº 10.147/2000: Sal sódico ou éster metílico do ácido 9,11,15-triidroxi-16-(3-clorofenoxi)prosta-5,13-dien-1-óico (derivado da prostaglandina F2alfa)</t>
  </si>
  <si>
    <t>RV: Art. 2º da Lei nº 10.147/2000: Tiratricol (triac) ou seu sal sódico</t>
  </si>
  <si>
    <t>RV: Art. 2º da Lei nº 10.147/2000: Espironolactona</t>
  </si>
  <si>
    <t>RV: Art. 2º da Lei nº 10.147/2000: Exemestano</t>
  </si>
  <si>
    <t>RV: Art. 2º da Lei nº 10.147/2000: -- Que contenham efedrina ou seus sais</t>
  </si>
  <si>
    <t>RV: Art. 2º da Lei nº 10.147/2000: -- Que contenham pseudoefedrina (DCI) ou seus sais</t>
  </si>
  <si>
    <t>RV: Art. 2º da Lei nº 10.147/2000: -- Que contenham norefedrina ou seus sais</t>
  </si>
  <si>
    <t>RV: Art. 2º da Lei nº 10.147/2000: Vimblastina; vincristina; derivados destes produtos; topotecan ou seu cloridrato</t>
  </si>
  <si>
    <t>RV: Art. 2º da Lei nº 10.147/2000: Pilocarpina, seu nitrato ou seu cloridrato</t>
  </si>
  <si>
    <t>RV: Art. 2º da Lei nº 10.147/2000: Metanossulfonato de diidroergocristina</t>
  </si>
  <si>
    <t>RV: Art. 2º da Lei nº 10.147/2000: Codeína ou seus sais</t>
  </si>
  <si>
    <t>RV: Art. 2º da Lei nº 10.147/2000: Granisetron; tropisetrona ou seu cloridrato</t>
  </si>
  <si>
    <t>RV: Art. 2º da Lei nº 10.147/2000: - Outros, que contenham princípios ativos antimaláricos (antipalúdicos) descritos na Nota de subposições 2 do presente Capítulo</t>
  </si>
  <si>
    <t>RV: Art. 2º da Lei nº 10.147/2000: Folinato de cálcio (leucovorina)</t>
  </si>
  <si>
    <t>RV: Art. 2º da Lei nº 10.147/2000: Nicotinamida</t>
  </si>
  <si>
    <t>RV: Art. 2º da Lei nº 10.147/2000: Hidroxocobalamina ou seus sais; cianocobalamina</t>
  </si>
  <si>
    <t>RV: Art. 2º da Lei nº 10.147/2000: Vitamina A1 (retinol) ou seus derivados, exceto o ácido retinóico</t>
  </si>
  <si>
    <t>RV: Art. 2º da Lei nº 10.147/2000: D-Pantotenato de cálcio; vitamina D3 (colecalciferol)</t>
  </si>
  <si>
    <t>RV: Art. 2º da Lei nº 10.147/2000: Ésteres das vitaminas A e D3, em concentração igual ou superior a 1.500.000 UI/g de vitamina A e igual ou superior a 50.000 UI/g de vitamina D3</t>
  </si>
  <si>
    <t>RV: Art. 2º da Lei nº 10.147/2000: Ácido retinóico (tretinoína)</t>
  </si>
  <si>
    <t>RV: Art. 2º da Lei nº 10.147/2000: Estreptoquinase</t>
  </si>
  <si>
    <t>RV: Art. 2º da Lei nº 10.147/2000: L-Asparaginase</t>
  </si>
  <si>
    <t>RV: Art. 2º da Lei nº 10.147/2000: Deoxirribonuclease</t>
  </si>
  <si>
    <t>RV: Art. 2º da Lei nº 10.147/2000: Idursulfase</t>
  </si>
  <si>
    <t>RV: Art. 2º da Lei nº 10.147/2000: Permetrina; nitrato de propatila; benzoato de benzila; dioctilsulfossuccinato de sódio</t>
  </si>
  <si>
    <t>RV: Art. 2º da Lei nº 10.147/2000: Ácido cólico; ácido deoxicólico; sal magnésico do ácido deidrocólico</t>
  </si>
  <si>
    <t>RV: Art. 2º da Lei nº 10.147/2000: Ácido glucônico, seus sais ou seus ésteres</t>
  </si>
  <si>
    <t>RV: Art. 2º da Lei nº 10.147/2000: Ácido o-acetilsalicílico; o-acetilsalicilato de alumínio; salicilato de metila; diclorvós</t>
  </si>
  <si>
    <t>RV: Art. 2º da Lei nº 10.147/2000: Lactofosfato de cálcio</t>
  </si>
  <si>
    <t>RV: Art. 2º da Lei nº 10.147/2000: Ácido láctico, seus sais ou seus ésteres; ácido 4-(4-hidroxifenoxi)-3,5-diiodofenilacético</t>
  </si>
  <si>
    <t>RV: Art. 2º da Lei nº 10.147/2000: Ácido fumárico, seus sais ou seus ésteres</t>
  </si>
  <si>
    <t>RV: Art. 2º da Lei nº 10.147/2000: Etretinato; fosfestrol ou seus sais de di ou tetrassódio</t>
  </si>
  <si>
    <t>RV: Art. 2º da Lei nº 10.147/2000: Sulfato de tranilcipromina; dietilpropiona</t>
  </si>
  <si>
    <t>RV: Art. 2º da Lei nº 10.147/2000: Cloridrato de ketamina</t>
  </si>
  <si>
    <t>RV: Art. 2º da Lei nº 10.147/2000: Clembuterol ou seu cloridrato</t>
  </si>
  <si>
    <t>RV: Art. 2º da Lei nº 10.147/2000: Tamoxifen ou seu citrato</t>
  </si>
  <si>
    <t>RV: Art. 2º da Lei nº 10.147/2000: Levodopa; alfa-metildopa</t>
  </si>
  <si>
    <t>RV: Art. 2º da Lei nº 10.147/2000: Cloridrato de fenilefrina; mirtecaína; propranolol ou seus sais</t>
  </si>
  <si>
    <t>RV: Art. 2º da Lei nº 10.147/2000: Diclofenaco de sódio; diclofenaco de potássio; diclofenaco de dietilamônio</t>
  </si>
  <si>
    <t>RV: Art. 2º da Lei nº 10.147/2000: Clorambucil; clormetina (DCI) ou seu cloridrato; melfalano; toremifene ou seu citrato</t>
  </si>
  <si>
    <t>RV: Art. 2º da Lei nº 10.147/2000: Metoclopramida ou seu cloridrato; closantel</t>
  </si>
  <si>
    <t>RV: Art. 2º da Lei nº 10.147/2000: Atenolol; prilocaína ou seu cloridrato; talidomida</t>
  </si>
  <si>
    <t>RV: Art. 2º da Lei nº 10.147/2000: Lidocaína ou seu cloridrato; flutamida</t>
  </si>
  <si>
    <t>RV: Art. 2º da Lei nº 10.147/2000: Femproporex</t>
  </si>
  <si>
    <t>RV: Art. 2º da Lei nº 10.147/2000: Paracetamol; bromoprida</t>
  </si>
  <si>
    <t>RV: Art. 2º da Lei nº 10.147/2000: Clorexidina ou seus sais; isetionato de pentamidina</t>
  </si>
  <si>
    <t>RV: Art. 2º da Lei nº 10.147/2000: Aminoglutetimida; carmustina; deferoxamina (desferrioxamina B) ou seus sais, derivados destes produtos; lomustina</t>
  </si>
  <si>
    <t>RV: Art. 2º da Lei nº 10.147/2000: Quercetina</t>
  </si>
  <si>
    <t>RV: Art. 2º da Lei nº 10.147/2000: Tiaprida</t>
  </si>
  <si>
    <t>RV: Art. 2º da Lei nº 10.147/2000: Etidronato dissódico</t>
  </si>
  <si>
    <t>RV: Art. 2º da Lei nº 10.147/2000: Cloridrato de amiodarona</t>
  </si>
  <si>
    <t>RV: Art. 2º da Lei nº 10.147/2000: Nitrovin; moxidectina</t>
  </si>
  <si>
    <t>RV: Art. 2º da Lei nº 10.147/2000: Ácido clodrônico ou seu sal dissódico; estreptozocina; fotemustina</t>
  </si>
  <si>
    <t>RV: Art. 2º da Lei nº 10.147/2000: Carbocisteína; sulfiram</t>
  </si>
  <si>
    <t>RV: Art. 2º da Lei nº 10.147/2000: Terfenadina; talniflumato; malato ácido de cleboprida; econazol ou seu nitrato; nitrato de isoconazol; flubendazol; cloridrato de mepivacaína; trimetoprima; cloridrato de bupivacaína</t>
  </si>
  <si>
    <t>RV: Art. 2º da Lei nº 10.147/2000: Cloridrato de loperamida; fembendazol; ketorolac trometamina; nifedipina; nimodipina; nitrendipina</t>
  </si>
  <si>
    <t>RV: Art. 2º da Lei nº 10.147/2000: Albendazol ou seu sulfóxido; mebendazol; 6-mercaptopurina; metilsulfato de amezínio; oxifendazol; praziquantel</t>
  </si>
  <si>
    <t>RV: Art. 2º da Lei nº 10.147/2000: Alprazolam; bromazepam; clordiazepóxido; cloridrato de petidina; diazepam; droperidol; mazindol; triazolam</t>
  </si>
  <si>
    <t>RV: Art. 2º da Lei nº 10.147/2000: Benzetimida ou seu cloridrato; fenitoína ou seu sal sódico; isoniazida; pirazinamida</t>
  </si>
  <si>
    <t>RV: Art. 2º da Lei nº 10.147/2000: Ácido 2-(2-metil-3-cloroanilina)nicotínico ou seu sal de lisina; metronidazol ou seus sais; azatioprina; nitrato de miconazol</t>
  </si>
  <si>
    <t>RV: Art. 2º da Lei nº 10.147/2000: Enrofloxacina; maleato de enalapril; maleato de pirilamina; nicarbazina; norfloxacina; sais de piperazina</t>
  </si>
  <si>
    <t>RV: Art. 2º da Lei nº 10.147/2000: Altretamina; bortezomib; cloridrato de erlotinibe; dacarbazina; disoproxilfumarato de tenofovir; enfuvirtida; fluspirileno; letrozol; lopinavir; mesilato de imatinib; nelfinavir ou seu mesilato; nevirapine; pemetrexed; saquinavir; sulfato de abacavir; sulfato de atazanavir; sulfato de indinavir; temozolomida; tioguanina; tiopental sódico; trietilenotiofosforamida; trimetrexato; uracil e tegafur; verteporfin</t>
  </si>
  <si>
    <t>RV: Art. 2º da Lei nº 10.147/2000: Levamisol ou seus sais; tetramisol</t>
  </si>
  <si>
    <t>RV: Art. 2º da Lei nº 10.147/2000: Sulfadiazina ou seu sal sódico; sulfametoxazol</t>
  </si>
  <si>
    <t>RV: Art. 2º da Lei nº 10.147/2000: Cloxazolam; ketazolam; piroxicam; tenoxicam</t>
  </si>
  <si>
    <t>RV: Art. 2º da Lei nº 10.147/2000: Ftalilsulfatiazol; inosina</t>
  </si>
  <si>
    <t>RV: Art. 2º da Lei nº 10.147/2000: Enantato de flufenazina; prometazina; gliburida; rutosídio; deslanosídio</t>
  </si>
  <si>
    <t>RV: Art. 2º da Lei nº 10.147/2000: Clortalidona; furosemida</t>
  </si>
  <si>
    <t>RV: Art. 2º da Lei nº 10.147/2000: Cloridrato de tizanidina; cetoconazol; furazolidona</t>
  </si>
  <si>
    <t>RV: Art. 2º da Lei nº 10.147/2000: Amprenavir; aprepitanto; delavirdina ou seu mesilato; efavirenz; emtricitabina; etopósido; everolimus; fosamprenavir cálcico; fosfato de fludarabina; gencitabina ou seu cloridrato; raltitrexida; ritonavir; temsirolimus; tenipósido sirolimus; tacrolimus; temsirolimus; tenipósido; tipranavir</t>
  </si>
  <si>
    <t>RV: Art. 2º da Lei nº 10.147/2000: Extrato de pólen</t>
  </si>
  <si>
    <t>RV: Art. 2º da Lei nº 10.147/2000: Crisarobina; disofenol</t>
  </si>
  <si>
    <t>RV: Art. 2º da Lei nº 10.147/2000: Diclofenaco resinato</t>
  </si>
  <si>
    <t>RV: Art. 2º da Lei nº 10.147/2000: Silimarina</t>
  </si>
  <si>
    <t>RV: Art. 2º da Lei nº 10.147/2000: Bussulfano; dexormaplatina; dietilestilbestrol ou seu dipropionato; enloplatina; iproplatina; lobaplatina; miboplatina; miltefosina; mitotano; ormaplatina; procarbazina ou seu cloridrato; propofol; sebriplatina; zeniplatina</t>
  </si>
  <si>
    <t>RV: Art. 2º da Lei nº 10.147/2000: Complexo de ferro dextrana</t>
  </si>
  <si>
    <t>RV: Art. 2º da Lei nº 10.147/2000: Sevoflurano Nota ECONET: Código NCM instituído, a partir de 01.01.2019, por meio do ADE RFB nº 008/2018, em decorrência da Resolução CAMEX nº 071/2018</t>
  </si>
  <si>
    <t>RV: Art. 2º da Lei nº 10.147/2000: Hormônios corticosteroides</t>
  </si>
  <si>
    <t>RV: Art. 2º da Lei nº 10.147/2000: Calcitonina</t>
  </si>
  <si>
    <t>RV: Art. 2º da Lei nº 10.147/2000: Ácido láctico, seus sais ou seus ésteres; ácido 4-(4-hidroxifenoxi)-3,5-diiodofenilacético; ácido fumárico, seus sais ou seus ésteres</t>
  </si>
  <si>
    <t>RV: Art. 2º da Lei nº 10.147/2000: Nitroglicerina, destinada a ser administrada por via percutânea</t>
  </si>
  <si>
    <t>NCM30049046</t>
  </si>
  <si>
    <t>RV: Art. 2º da Lei nº 10.147/2000: Amitraz; cipermetrina</t>
  </si>
  <si>
    <t>RV: Art. 2º da Lei nº 10.147/2000: Cloridrato de loperamida; fembendazol; ketorolac trometamina; nifedipina nimodipina; nitrendipina</t>
  </si>
  <si>
    <t>RV: Art. 2º da Lei nº 10.147/2000: Amprenavir; aprepitanto; delavirdina ou seu mesilato; efavirenz; emtricitabina; etopósido; everolimus; fosamprenavir cálcico; fosfato de fludarabina; gencitabina ou seu temsirolimus; tenipósido cloridrato; raltitrexida; ritonavir; sirolimus; tacrolimus; temsirolimus; tenipósido; tipranavir</t>
  </si>
  <si>
    <t>RV: Art. 2º da Lei nº 10.147/2000: Curativos (pensos) adesivos e outros artigos com uma camada adesiva - Impregnados ou recobertos de substâncias farmacêuticas</t>
  </si>
  <si>
    <t>RV: Art. 2º da Lei nº 10.147/2000: Outros: Preparações químicas contraceptivas à base de hormônios, de outros produtos da posição 29.37 ou de espermicidas</t>
  </si>
  <si>
    <t>RV: LEI Nº 10.925, DE 23 DE JULHO DE 2004: 	Adubos (fertilizantes) minerais ou químicos, que contenham dois ou três dos seguintes elementos fertilizantes: nitrogênio (azoto), fósforo e potássio; outros adubos (fertilizantes); produtos do presente Capítulo apresentados em tabletes ou formas semelhantes, ou ainda em embalagens de peso bruto não superior a 10 kg. / Adubos (fertilizantes) minerais ou químicos, que contenham os três elementos fertilizantes: nitrogênio</t>
  </si>
  <si>
    <t>NCM33011910</t>
  </si>
  <si>
    <t>RV: Art. 2º da Lei nº 10.147/2000: Perfumes (extratos)</t>
  </si>
  <si>
    <t>RV: Art. 2º da Lei nº 10.147/2000: Águas-de-colônia</t>
  </si>
  <si>
    <t>RV: Art. 2º da Lei nº 10.147/2000: - Produtos de maquiagem para os lábios</t>
  </si>
  <si>
    <t>RV: Art. 2º da Lei nº 10.147/2000: Sombra, delineador, lápis para sobrancelhas e rímel</t>
  </si>
  <si>
    <t>RV: Art. 2º da Lei nº 10.147/2000: Produtos de maquiagem para os olhos - Outros</t>
  </si>
  <si>
    <t>RV: Art. 2º da Lei nº 10.147/2000: - Preparações para manicuros e pedicuros</t>
  </si>
  <si>
    <t>RV: Art. 2º da Lei nº 10.147/2000: -- Pós, incluindo os compactos</t>
  </si>
  <si>
    <t>RV: Art. 2º da Lei nº 10.147/2000: Cremes de beleza e cremes nutritivos; loções tônicas</t>
  </si>
  <si>
    <t>RV: Art. 2º da Lei nº 10.147/2000: Produtos de beleza ou de maquiagem preparados e preparações para conservação ou cuidados da pele (exceto medicamentos), incluindo as preparações antissolares e os bronzeadores; preparações para manicuros e pedicuros. - Outros</t>
  </si>
  <si>
    <t>RV: Art. 2º da Lei nº 10.147/2000: - Xampus</t>
  </si>
  <si>
    <t>RV: Art. 2º da Lei nº 10.147/2000: - Preparações para ondulação ou alisamento, permanentes</t>
  </si>
  <si>
    <t>RV: Art. 2º da Lei nº 10.147/2000: - Laquês (Lacas*) para o cabelo</t>
  </si>
  <si>
    <t>RV: Art. 2º da Lei nº 10.147/2000: Preparações capilares. - Outras</t>
  </si>
  <si>
    <t>RV: Art. 2º da Lei nº 10.147/2000: - Dentifrícios (dentífricos)</t>
  </si>
  <si>
    <t>RV: Art. 2º da Lei nº 10.147/2000: - Fios utilizados para limpar os espaços interdentais (fios dentais)</t>
  </si>
  <si>
    <t>RV: Art. 2º da Lei nº 10.147/2000: Preparações para higiene bucal ou dentária, incluindo os pós e cremes para facilitar a aderência de dentaduras; fios utilizados para limpar os espaços interdentais (fios dentais), em embalagens individuais para venda a retalho</t>
  </si>
  <si>
    <t>RV: Art. 2º da Lei nº 10.147/2000: - Preparações para barbear (antes, durante ou após)</t>
  </si>
  <si>
    <t>RV: Art. 2º da Lei nº 10.147/2000: Desodorantes (desodorizantes) corporais e antiperspirantes - Líquidos</t>
  </si>
  <si>
    <t>RV: Art. 2º da Lei nº 10.147/2000: Desodorantes (desodorizantes) corporais e antiperspirantes - Outros</t>
  </si>
  <si>
    <t>RV: Art. 2º da Lei nº 10.147/2000: Desodorantes (desodorizantes) corporais e antiperspirantes - Sais perfumados e outras preparações para banhos</t>
  </si>
  <si>
    <t>RV: Art. 2º da Lei nº 10.147/2000: -- Agarbate e outras preparações odoríferas que atuem por combustão</t>
  </si>
  <si>
    <t>RV: Art. 2º da Lei nº 10.147/2000: Preparações para perfumar ou para desodorizar ambientes, incluindo as preparações odoríferas para cerimônias religiosas: -- Outras</t>
  </si>
  <si>
    <t>RV: Art. 2º da Lei nº 10.147/2000: Preparações para barbear (antes, durante ou após), desodorantes (desodorizantes) corporais, preparações para banhos, depilatórios, outros produtos de perfumaria ou de toucador preparados e outras preparações cosméticas, não especificados nem compreendidos noutras posições; desodorantes (desodorizantes) de ambiente, preparados, mesmo não perfumados, mesmo com propriedades desinfetantes. - Outros</t>
  </si>
  <si>
    <t>Revisado: Sabonete</t>
  </si>
  <si>
    <t>Pneus</t>
  </si>
  <si>
    <t xml:space="preserve">RV: Art. 5º, parágrafo único, da Lei nº 10.485/2002:Pneus novos de borracha - </t>
  </si>
  <si>
    <t>RV: Art. 5º, parágrafo único, da Lei nº 10.485/2002:  Câmaras de ar de borracha</t>
  </si>
  <si>
    <t>RV: Art. 1º, XXVIII da Lei nº 10.925/2004	: Papel Higiênico</t>
  </si>
  <si>
    <t>RV: Art. 28, VI, da Lei nº 10.865/2004: Livros</t>
  </si>
  <si>
    <t>RV: Art. 2º da Lei nº 10.147/2000: Escovas de dentes, incluindo as escovas para dentaduras</t>
  </si>
  <si>
    <t>RV: Adubos (fertilizantes) EXCETO PRODUTOS DE USO VETERINÁRIOS</t>
  </si>
  <si>
    <t>NCM31021010</t>
  </si>
  <si>
    <t>NCM31021090</t>
  </si>
  <si>
    <t>NCM31022100</t>
  </si>
  <si>
    <t>NCM31022910</t>
  </si>
  <si>
    <t>NCM31022990</t>
  </si>
  <si>
    <t>NCM31023000</t>
  </si>
  <si>
    <t>NCM31024000</t>
  </si>
  <si>
    <t>NCM31025011</t>
  </si>
  <si>
    <t>NCM31025019</t>
  </si>
  <si>
    <t>NCM31025090</t>
  </si>
  <si>
    <t>NCM31026000</t>
  </si>
  <si>
    <t>NCM31028000</t>
  </si>
  <si>
    <t>NCM31029000</t>
  </si>
  <si>
    <t>NCM31031100</t>
  </si>
  <si>
    <t>NCM31031900</t>
  </si>
  <si>
    <t>NCM31039011</t>
  </si>
  <si>
    <t>NCM31039019</t>
  </si>
  <si>
    <t>NCM31039090</t>
  </si>
  <si>
    <t>NCM31042010</t>
  </si>
  <si>
    <t>NCM31042090</t>
  </si>
  <si>
    <t>NCM31043010</t>
  </si>
  <si>
    <t>NCM31043090</t>
  </si>
  <si>
    <t>NCM31049010</t>
  </si>
  <si>
    <t>NCM31049090</t>
  </si>
  <si>
    <t>NCM31051000</t>
  </si>
  <si>
    <t>NCM31053000</t>
  </si>
  <si>
    <t>NCM31054000</t>
  </si>
  <si>
    <t>NCM31055100</t>
  </si>
  <si>
    <t>NCM31055900</t>
  </si>
  <si>
    <t>NCM31056000</t>
  </si>
  <si>
    <t>NCM31059011</t>
  </si>
  <si>
    <t>NCM31059019</t>
  </si>
  <si>
    <t>RV: Extratos, essências e concentrados - Outros (SE FOR CAFÉ PURO ALÍQUOTA ZERO</t>
  </si>
  <si>
    <t>RV: Extratos, essências e concentrados - Preparações à base de extratos, essências ou concentrados ou à base de café (SE FOR CAFÉ PURO ALÍQUOTA ZERO</t>
  </si>
  <si>
    <t>NCM15121120</t>
  </si>
  <si>
    <t>RV: Art. 1º, XXIII da Lei nº 10.925/2004: Óleo De cártamo</t>
  </si>
  <si>
    <t>NCM15121919</t>
  </si>
  <si>
    <t>RV: Art. 1º, XXIII da Lei nº 10.925/2004: Outros óleos</t>
  </si>
  <si>
    <t>NCM15121920</t>
  </si>
  <si>
    <t>NCM15122100</t>
  </si>
  <si>
    <t>RV: Art. 1º, XXIII da Lei nº 10.925/2004: Óleo de algodão</t>
  </si>
  <si>
    <t>NCM15122990</t>
  </si>
  <si>
    <t>NCM15132110</t>
  </si>
  <si>
    <t xml:space="preserve">RV: Art. 1º, XXIII da Lei nº 10.925/2004: Óleos de amêndoa </t>
  </si>
  <si>
    <t>RV: Art. 1º, XXIII da Lei nº 10.925/2004: Óleos De babaçu</t>
  </si>
  <si>
    <t>NCM15132910</t>
  </si>
  <si>
    <t>NCM15132920</t>
  </si>
  <si>
    <t>RV: Cuzcuz</t>
  </si>
  <si>
    <t>NCM05100010</t>
  </si>
  <si>
    <t>RV: Pâncreas de bovino</t>
  </si>
  <si>
    <t>NCM015021011</t>
  </si>
  <si>
    <t>RV: Gorduras bovina Em bruto</t>
  </si>
  <si>
    <t>NCM015021012</t>
  </si>
  <si>
    <t>RV: Gorduras bovina Fundido (incluindo o premier jus</t>
  </si>
  <si>
    <t>NCM015021019</t>
  </si>
  <si>
    <t>RV: Gorduras bovina Outros</t>
  </si>
  <si>
    <t>NCM002099000</t>
  </si>
  <si>
    <t>RV: Toucinho sem partes magras, gorduras de porco e de aves, não fundidas nem extraídas de outro modo, frescos, refrigerados, congelados, salgados ou em salmoura, secos ou defumados (fumados).</t>
  </si>
  <si>
    <t>NCM02041000</t>
  </si>
  <si>
    <t>RV: Art. 1º, XIX, "d", da Lei nº 10.925/2004: Ovina ou caprina Carcaças e meias-carcaças de cordeiro, frescas ou refrigeradas</t>
  </si>
  <si>
    <t>NCM02042100</t>
  </si>
  <si>
    <t>RV: Art. 1º, XIX, "d", da Lei nº 10.925/2004: Ovina ou caprina Carcaças e meias-carcaças</t>
  </si>
  <si>
    <t>NCM02042300</t>
  </si>
  <si>
    <t>RV: Art. 1º, XIX, "d", da Lei nº 10.925/2004: Ovina ou caprina Desossadas</t>
  </si>
  <si>
    <t>NCM02043000</t>
  </si>
  <si>
    <t>RV: Art. 1º, XIX, "d", da Lei nº 10.925/2004: Ovina ou caprina Carcaças e meias-carcaças de cordeiro, congeladas</t>
  </si>
  <si>
    <t>NCM02044100</t>
  </si>
  <si>
    <t>NCM02044300</t>
  </si>
  <si>
    <t>NCM02045000</t>
  </si>
  <si>
    <t>RV: Art. 1º, XIX, "d", da Lei nº 10.925/2004: Ovina ou caprina Carnes de animais da espécie caprina</t>
  </si>
  <si>
    <t>Regra geral</t>
  </si>
  <si>
    <t>RV: Pão comum Alq 0 Art. 1º, XVI, da Lei nº 10.925/2004 // Demais produtos: Regra geral</t>
  </si>
  <si>
    <t>RV: Pré misturas para Pão comum Alq 0 Art. 1º, XVI, da Lei nº 10.925/2004 // Demais produtos: Regra geral</t>
  </si>
  <si>
    <t>NCM04029100</t>
  </si>
  <si>
    <t>RV: Art. 1º, XI, da Lei nº 10.925/2004: Leite, nata, Iogurte Alq0 // Outros: Regra geral</t>
  </si>
  <si>
    <t>NCM: 
Art. 28, III, da Lei nº 10.865/2004: Batata-semente</t>
  </si>
  <si>
    <t>NCM07031011</t>
  </si>
  <si>
    <t>NCM: 
Art. 28, III, da Lei nº 10.865/2004: Cebolas Para semeadura</t>
  </si>
  <si>
    <t>NCM07031021</t>
  </si>
  <si>
    <t>NCM: 
Art. 28, III, da Lei nº 10.865/2004: Chalotas Para semeadura</t>
  </si>
  <si>
    <t>NCM07031029</t>
  </si>
  <si>
    <t>NCM: 
Art. 28, III, da Lei nº 10.865/2004: Outras Chalotas</t>
  </si>
  <si>
    <t>NCM07032010</t>
  </si>
  <si>
    <t>NCM: 
Art. 28, III, da Lei nº 10.865/2004: Alhos Para semeadura</t>
  </si>
  <si>
    <t>NCM07039010</t>
  </si>
  <si>
    <t>NCM: 
Art. 28, III, da Lei nº 10.865/2004: Alhos-porros Para semeadura</t>
  </si>
  <si>
    <t>NCM07042000</t>
  </si>
  <si>
    <t>NCM: 
Art. 28, III, da Lei nº 10.865/2004: Couve-de-bruxelas</t>
  </si>
  <si>
    <t>NCM07081000</t>
  </si>
  <si>
    <t>NCM: 
Art. 28, III, da Lei nº 10.865/2004: Ervilhas</t>
  </si>
  <si>
    <t>NCM07094000</t>
  </si>
  <si>
    <t>NCM: 
Art. 28, III, da Lei nº 10.865/2004: Aipo, exceto aipo-rábano</t>
  </si>
  <si>
    <t>NCM07099100</t>
  </si>
  <si>
    <t>NCM: 
Art. 28, III, da Lei nº 10.865/2004: Alcachofras</t>
  </si>
  <si>
    <t>NCM07099200</t>
  </si>
  <si>
    <t>NCM: 
Art. 28, III, da Lei nº 10.865/2004: Azeitonas</t>
  </si>
  <si>
    <t>NCM07099911</t>
  </si>
  <si>
    <t>NCM: 
Art. 28, III, da Lei nº 10.865/2004: Milho doce Para semeadura</t>
  </si>
  <si>
    <t>NCM07102200</t>
  </si>
  <si>
    <t>NCM: 
Art. 28, III, da Lei nº 10.865/2004: Feijões não cozidos ou cozidos em água ou vapor, congelados.</t>
  </si>
  <si>
    <t>NCM07109000</t>
  </si>
  <si>
    <t>NCM: 
Art. 28, III, da Lei nº 10.865/2004: Misturas de produtos hortícolas não cozidos ou cozidos em água ou vapor, congelados.</t>
  </si>
  <si>
    <t>NCM07112020</t>
  </si>
  <si>
    <t>NCM: 
Art. 28, III, da Lei nº 10.865/2004: Azeitonas Com água sulfurada ou adicionada de outras substâncias</t>
  </si>
  <si>
    <t>NCM: 
Art. 28, III, da Lei nº 10.865/2004: Outras Azeitonas</t>
  </si>
  <si>
    <t>NCM: 
Art. 28, III, da Lei nº 10.865/2004: Cogumelos do gênero Agaricus em conserva</t>
  </si>
  <si>
    <t>NCM07115900</t>
  </si>
  <si>
    <t>NCM: 
Art. 28, III, da Lei nº 10.865/2004: Outros cogumelos em conserva</t>
  </si>
  <si>
    <t>NCM: 
Art. 28, III, da Lei nº 10.865/2004: Outros produtos hortícolas; misturas de produtos hortícolas em conserva</t>
  </si>
  <si>
    <t>NCM07123200</t>
  </si>
  <si>
    <t>NCM: 
Art. 28, III, da Lei nº 10.865/2004: Orelhas-de-judas secos</t>
  </si>
  <si>
    <t>NCM07123300</t>
  </si>
  <si>
    <t>NCM: 
Art. 28, III, da Lei nº 10.865/2004: Tremelas secos</t>
  </si>
  <si>
    <t>NCM: 
Art. 28, III, da Lei nº 10.865/2004: Outros Cogumelos secos</t>
  </si>
  <si>
    <t>NCM07131010</t>
  </si>
  <si>
    <t>NCM: 
Art. 28, III, da Lei nº 10.865/2004: Ervilhas Para semeadura</t>
  </si>
  <si>
    <t>NCM07132010</t>
  </si>
  <si>
    <t xml:space="preserve">NCM: 
Art. 28, III, da Lei nº 10.865/2004: Grão-de-bico Para semeadura </t>
  </si>
  <si>
    <t>NCM07133110</t>
  </si>
  <si>
    <t>NCM: 
Art. 28, III, da Lei nº 10.865/2004: Feijões Para semeadura</t>
  </si>
  <si>
    <t>NCM07133190</t>
  </si>
  <si>
    <t>NCM: 
Art. 28, III, da Lei nº 10.865/2004: Outros Feijões</t>
  </si>
  <si>
    <t>NCM07133210</t>
  </si>
  <si>
    <t>NCM: 
Art. 28, III, da Lei nº 10.865/2004: Feijão Para semeadura</t>
  </si>
  <si>
    <t>NCM07133311</t>
  </si>
  <si>
    <t>NCM: 
Art. 28, III, da Lei nº 10.865/2004: Feijão comum Para semeadura</t>
  </si>
  <si>
    <t>NCM07133321</t>
  </si>
  <si>
    <t>NCM: 
Art. 28, III, da Lei nº 10.865/2004: Feijão Branco Para semeadura</t>
  </si>
  <si>
    <t>NCM07133391</t>
  </si>
  <si>
    <t>NCM: 
Art. 28, III, da Lei nº 10.865/2004: Outros feijões Para semeadura</t>
  </si>
  <si>
    <t>NCM07133410</t>
  </si>
  <si>
    <t>NCM: 
Art. 28, III, da Lei nº 10.865/2004: Feijão-bambara Para semeadura</t>
  </si>
  <si>
    <t>NCM07133490</t>
  </si>
  <si>
    <t>NCM: 
Art. 28, III, da Lei nº 10.865/2004: Outros Feijão-bambara</t>
  </si>
  <si>
    <t>NCM07133510</t>
  </si>
  <si>
    <t>NCM: 
Art. 28, III, da Lei nº 10.865/2004: Feijão-fradinho Para semeadura</t>
  </si>
  <si>
    <t>NCM07133910</t>
  </si>
  <si>
    <t>NCM: 
Art. 28, III, da Lei nº 10.865/2004: Outos feijões Para semeadura</t>
  </si>
  <si>
    <t>NCM07135010</t>
  </si>
  <si>
    <t>NCM: 
Art. 28, III, da Lei nº 10.865/2004: Favas Para semeadura</t>
  </si>
  <si>
    <t>NCM07135090</t>
  </si>
  <si>
    <t>NCM: 
Art. 28, III, da Lei nº 10.865/2004: Outras Favas</t>
  </si>
  <si>
    <t>NCM: 
Art. 28, III, da Lei nº 10.865/2004: Feijão-guando (Ervilha-de-angola*) Para semeadura</t>
  </si>
  <si>
    <t>NCM07136090</t>
  </si>
  <si>
    <t>NCM: 
Art. 28, III, da Lei nº 10.865/2004: OutrosFeijão-guando (Ervilha-de-angola*)</t>
  </si>
  <si>
    <t>NCM07144000</t>
  </si>
  <si>
    <t>NCM: 
Art. 28, III, da Lei nº 10.865/2004: Taros (inhames-brancos)</t>
  </si>
  <si>
    <t>NCM07145000</t>
  </si>
  <si>
    <t>NCM: 
Art. 28, III, da Lei nº 10.865/2004: Mangaritos (Orelhas-de-elefante*)</t>
  </si>
  <si>
    <t>NCM: 
Art. 28, III, da Lei nº 10.865/2004: Castanha-do-brasil (castanha-do-pará) Com casca</t>
  </si>
  <si>
    <t>NCM08021100</t>
  </si>
  <si>
    <t>NCM: 
Art. 28, III, da Lei nº 10.865/2004: Amêndoas: Com casca</t>
  </si>
  <si>
    <t>NCM: 
Art. 28, III, da Lei nº 10.865/2004: Avelãs Com casca</t>
  </si>
  <si>
    <t>NCM08022200</t>
  </si>
  <si>
    <t>NCM: 
Art. 28, III, da Lei nº 10.865/2004: Avelãs Sem casca</t>
  </si>
  <si>
    <t>NCM08023100</t>
  </si>
  <si>
    <t>NCM: 
Art. 28, III, da Lei nº 10.865/2004: Nozes Com casca</t>
  </si>
  <si>
    <t>NCM08024100</t>
  </si>
  <si>
    <t>NCM: 
Art. 28, III, da Lei nº 10.865/2004: Castanhas Com casca</t>
  </si>
  <si>
    <t>NCM08024200</t>
  </si>
  <si>
    <t>NCM: 
Art. 28, III, da Lei nº 10.865/2004: Castanhas Sem casca</t>
  </si>
  <si>
    <t>NCM08025100</t>
  </si>
  <si>
    <t>NCM: 
Art. 28, III, da Lei nº 10.865/2004: Pistácios: Com casca</t>
  </si>
  <si>
    <t>NCM08025200</t>
  </si>
  <si>
    <t>NCM: 
Art. 28, III, da Lei nº 10.865/2004: Sem casca</t>
  </si>
  <si>
    <t>NCM08026100</t>
  </si>
  <si>
    <t>NCM: 
Art. 28, III, da Lei nº 10.865/2004: Nozes macadâmia Com casca</t>
  </si>
  <si>
    <t>NCM08026200</t>
  </si>
  <si>
    <t>NCM: 
Art. 28, III, da Lei nº 10.865/2004: Nozes macadâmia Sem casca</t>
  </si>
  <si>
    <t>NCM08027000</t>
  </si>
  <si>
    <t>NCM: 
Art. 28, III, da Lei nº 10.865/2004: Nozes-de-cola</t>
  </si>
  <si>
    <t>NCM08028000</t>
  </si>
  <si>
    <t>NCM: 
Art. 28, III, da Lei nº 10.865/2004: Nozes-de-areca</t>
  </si>
  <si>
    <t>NCM08042010</t>
  </si>
  <si>
    <t>NCM: 
Art. 28, III, da Lei nº 10.865/2004: Figos Frescos</t>
  </si>
  <si>
    <t>NCM08042020</t>
  </si>
  <si>
    <t>NCM: 
Art. 28, III, da Lei nº 10.865/2004: Figos Secos</t>
  </si>
  <si>
    <t>NCM: 
Art. 28, III, da Lei nº 10.865/2004: Mangostões</t>
  </si>
  <si>
    <t>NCM08052200</t>
  </si>
  <si>
    <t>NCM: 
Art. 28, III, da Lei nº 10.865/2004: Clementinas</t>
  </si>
  <si>
    <t>NCM08052900</t>
  </si>
  <si>
    <t>NCM: 
Art. 28, III, da Lei nº 10.865/2004: outros Mandarinas</t>
  </si>
  <si>
    <t>NCM08054000</t>
  </si>
  <si>
    <t>NCM: 
Art. 28, III, da Lei nº 10.865/2004: Toranjas e pomelos</t>
  </si>
  <si>
    <t>NCM08084000</t>
  </si>
  <si>
    <t>NCM: 
Art. 28, III, da Lei nº 10.865/2004: Marmelos</t>
  </si>
  <si>
    <t>NCM08092100</t>
  </si>
  <si>
    <t>NCM08102000</t>
  </si>
  <si>
    <t>NCM: 
Art. 28, III, da Lei nº 10.865/2004: Framboesas, amoras, incluindo as silvestres, e amoras-framboesas</t>
  </si>
  <si>
    <t>NCM: 
Art. 28, III, da Lei nº 10.865/2004: Groselhas, incluindo o cassis</t>
  </si>
  <si>
    <t>NCM08104000</t>
  </si>
  <si>
    <t>NCM: 
Art. 28, III, da Lei nº 10.865/2004: Airelas, mirtilos e outra fruta do gênero Vaccinium</t>
  </si>
  <si>
    <t>NCM08106000</t>
  </si>
  <si>
    <t>NCM: 
Art. 28, III, da Lei nº 10.865/2004: Duriões (duriangos)</t>
  </si>
  <si>
    <t>NCM: 
Art. 28, III, da Lei nº 10.865/2004: Carambolas</t>
  </si>
  <si>
    <t>NCM: 
Art. 28, III, da Lei nº 10.865/2004: Anonas e outras frutas do gênero Annona</t>
  </si>
  <si>
    <t>NCM08109013</t>
  </si>
  <si>
    <t>NCM: 
Art. 28, III, da Lei nº 10.865/2004: Jacas</t>
  </si>
  <si>
    <t>NCM08109014</t>
  </si>
  <si>
    <t>NCM: 
Art. 28, III, da Lei nº 10.865/2004: Lechia</t>
  </si>
  <si>
    <t>NCM08109016</t>
  </si>
  <si>
    <t>NCM: 
Art. 28, III, da Lei nº 10.865/2004: Pitaias</t>
  </si>
  <si>
    <t>NCM08109017</t>
  </si>
  <si>
    <t>NCM: 
Art. 28, III, da Lei nº 10.865/2004: Tamarindos</t>
  </si>
  <si>
    <t>NCM08112000</t>
  </si>
  <si>
    <t>NCM: 
Art. 28, III, da Lei nº 10.865/2004: Framboesas, amoras, incluindo as silvestres, amoras-framboesas e groselhas Fruta, não cozida ou cozida em água ou vapor, congelada, mesmo adicionada de açúcar ou de outros edulcorantes.</t>
  </si>
  <si>
    <t>NCM08121000</t>
  </si>
  <si>
    <t>NCM: 
Art. 28, III, da Lei nº 10.865/2004: Cerejas conservadas</t>
  </si>
  <si>
    <t>NCM: 
Art. 28, III, da Lei nº 10.865/2004: Outra frutas conservadas</t>
  </si>
  <si>
    <t>NCM08134010</t>
  </si>
  <si>
    <t>NCM: 
Art. 28, III, da Lei nº 10.865/2004: Pêras</t>
  </si>
  <si>
    <t>NCM: 
Art. 28, III, da Lei nº 10.865/2004: Misturas de fruta seca ou de fruta de casca rija, do presente Capítulo</t>
  </si>
  <si>
    <t>NCM08140000</t>
  </si>
  <si>
    <t>NCM: 
Art. 28, III, da Lei nº 10.865/2004: Cascas de citros (citrinos*), de melões ou de melancias, frescas, secas, congeladas ou apresentadas em água salgada, sulfurada ou adicionada de outras substâncias destinadas a assegurar transitoriamente a sua conservação.</t>
  </si>
  <si>
    <t>RV: Art. 1º, III, da Lei nº 10.925/2004: Sementes</t>
  </si>
  <si>
    <t>NCM73110000</t>
  </si>
  <si>
    <t>NCM85399090</t>
  </si>
  <si>
    <t>NCM85094050</t>
  </si>
  <si>
    <t>NCM39202090</t>
  </si>
  <si>
    <t>NCM61169300</t>
  </si>
  <si>
    <t>NCM64035990</t>
  </si>
  <si>
    <t>NCM65070000</t>
  </si>
  <si>
    <t>NCM66019900</t>
  </si>
  <si>
    <t>NCM38112120</t>
  </si>
  <si>
    <t>NCM42022100</t>
  </si>
  <si>
    <t>NCM56039240</t>
  </si>
  <si>
    <t>NCM57029200</t>
  </si>
  <si>
    <t>NCM62160000</t>
  </si>
  <si>
    <t>NCM83024900</t>
  </si>
  <si>
    <t>NCM96019000</t>
  </si>
  <si>
    <t>NCM48043990</t>
  </si>
  <si>
    <t>Toucinho suíno</t>
  </si>
  <si>
    <t>NCM20079923</t>
  </si>
  <si>
    <t>NCM39211100</t>
  </si>
  <si>
    <t>NCM84818094</t>
  </si>
  <si>
    <t>NCM25302000</t>
  </si>
  <si>
    <t>NCM27101249</t>
  </si>
  <si>
    <t>NCM38249949</t>
  </si>
  <si>
    <t>NCM52081100</t>
  </si>
  <si>
    <t>NCM54021990</t>
  </si>
  <si>
    <t>NCM61034200</t>
  </si>
  <si>
    <t>NCM73211900</t>
  </si>
  <si>
    <t>NCM85061039</t>
  </si>
  <si>
    <t>NCM02350000</t>
  </si>
  <si>
    <t>NCM03041000</t>
  </si>
  <si>
    <t>NCM03053990</t>
  </si>
  <si>
    <t>NCM04013021</t>
  </si>
  <si>
    <t>NCM07032000</t>
  </si>
  <si>
    <t>NCM08045600</t>
  </si>
  <si>
    <t>NCM09041101</t>
  </si>
  <si>
    <t>NCM09070000</t>
  </si>
  <si>
    <t>NCM09092000</t>
  </si>
  <si>
    <t>NCM09105000</t>
  </si>
  <si>
    <t>NCM40310000</t>
  </si>
  <si>
    <t>NCM40390000</t>
  </si>
  <si>
    <t>NCM40630000</t>
  </si>
  <si>
    <t>Couve Flor</t>
  </si>
  <si>
    <t>Pipino</t>
  </si>
  <si>
    <t>Pitaia</t>
  </si>
  <si>
    <t>NCM10081090</t>
  </si>
  <si>
    <t>NCM11063029</t>
  </si>
  <si>
    <t>NCM16020000</t>
  </si>
  <si>
    <t>NCM17021900</t>
  </si>
  <si>
    <t>NCM20039000</t>
  </si>
  <si>
    <t>NCM22083000</t>
  </si>
  <si>
    <t>NCM29251100</t>
  </si>
  <si>
    <t>NCM34042010</t>
  </si>
  <si>
    <t>NCM35030090</t>
  </si>
  <si>
    <t>NCM35079019</t>
  </si>
  <si>
    <t>NCM38091090</t>
  </si>
  <si>
    <t>NCM48021000</t>
  </si>
  <si>
    <t>NCM48190000</t>
  </si>
  <si>
    <t>NCM52083300</t>
  </si>
  <si>
    <t>NCM57024100</t>
  </si>
  <si>
    <t>NCM63029990</t>
  </si>
  <si>
    <t>NCM63049900</t>
  </si>
  <si>
    <t>NCM64021900</t>
  </si>
  <si>
    <t>NCM68042190</t>
  </si>
  <si>
    <t>NCM73261100</t>
  </si>
  <si>
    <t>NCM82051000</t>
  </si>
  <si>
    <t>NCM82149090</t>
  </si>
  <si>
    <t>NCM84812090</t>
  </si>
  <si>
    <t>NCM85162900</t>
  </si>
  <si>
    <t>NCM85171219</t>
  </si>
  <si>
    <t>NCM85271990</t>
  </si>
  <si>
    <t>NCM85352900</t>
  </si>
  <si>
    <t>NCM90173090</t>
  </si>
  <si>
    <t>NCM01059900</t>
  </si>
  <si>
    <t>NCM05090000</t>
  </si>
  <si>
    <t>NCM11010020</t>
  </si>
  <si>
    <t>NCM12075010</t>
  </si>
  <si>
    <t>NCM13021960</t>
  </si>
  <si>
    <t>NCM20051000</t>
  </si>
  <si>
    <t>NCM23011090</t>
  </si>
  <si>
    <t>NCM24013000</t>
  </si>
  <si>
    <t>NCM24039910</t>
  </si>
  <si>
    <t>NCM28047020</t>
  </si>
  <si>
    <t>NCM28332200</t>
  </si>
  <si>
    <t>NCM28362010</t>
  </si>
  <si>
    <t>NCM29333352</t>
  </si>
  <si>
    <t>NCM33073000</t>
  </si>
  <si>
    <t>NCM39029000</t>
  </si>
  <si>
    <t>NCM40022010</t>
  </si>
  <si>
    <t>NCM40129090</t>
  </si>
  <si>
    <t>NCM44185000</t>
  </si>
  <si>
    <t>NCM46021100</t>
  </si>
  <si>
    <t>NCM48139000</t>
  </si>
  <si>
    <t>NCM48232010</t>
  </si>
  <si>
    <t>NCM68129100</t>
  </si>
  <si>
    <t>NCM72179000</t>
  </si>
  <si>
    <t>NCM82013000</t>
  </si>
  <si>
    <t>NCM82014000</t>
  </si>
  <si>
    <t>NCM84132000</t>
  </si>
  <si>
    <t>NCM84186940</t>
  </si>
  <si>
    <t>NCM85061012</t>
  </si>
  <si>
    <t>NCM96200000</t>
  </si>
  <si>
    <t>COCO KG</t>
  </si>
  <si>
    <t>Muchiba bovina</t>
  </si>
  <si>
    <t>NCM02042200</t>
  </si>
  <si>
    <t>NCM02109919</t>
  </si>
  <si>
    <t>NCM16023200</t>
  </si>
  <si>
    <t>NCM16041900</t>
  </si>
  <si>
    <t>NCM17023020</t>
  </si>
  <si>
    <t>NCM25322000</t>
  </si>
  <si>
    <t>NCM40690200</t>
  </si>
  <si>
    <t>NCM48020100</t>
  </si>
  <si>
    <t>NCM48101399</t>
  </si>
  <si>
    <t>NCM48193000</t>
  </si>
  <si>
    <t>NCM52041131</t>
  </si>
  <si>
    <t>NCM61169900</t>
  </si>
  <si>
    <t>NCM63069900</t>
  </si>
  <si>
    <t>NCM69010000</t>
  </si>
  <si>
    <t>NCM84303110</t>
  </si>
  <si>
    <t>NCM03042960</t>
  </si>
  <si>
    <t>NCM03061399</t>
  </si>
  <si>
    <t>NCM04022100</t>
  </si>
  <si>
    <t>NCM11062001</t>
  </si>
  <si>
    <t>NCM22029090</t>
  </si>
  <si>
    <t>NCM22071000</t>
  </si>
  <si>
    <t>NCM23011010</t>
  </si>
  <si>
    <t>NCM29033012</t>
  </si>
  <si>
    <t>NCM29141929</t>
  </si>
  <si>
    <t>NCM32030019</t>
  </si>
  <si>
    <t>NCM34600000</t>
  </si>
  <si>
    <t>NCM39012019</t>
  </si>
  <si>
    <t>NCM39041090</t>
  </si>
  <si>
    <t>NCM39159000</t>
  </si>
  <si>
    <t>NCM39253000</t>
  </si>
  <si>
    <t>NCM39424900</t>
  </si>
  <si>
    <t>NCM40070019</t>
  </si>
  <si>
    <t>NCM48142000</t>
  </si>
  <si>
    <t>NCM58006000</t>
  </si>
  <si>
    <t>NCM63022900</t>
  </si>
  <si>
    <t>NCM63052001</t>
  </si>
  <si>
    <t>NCM76151100</t>
  </si>
  <si>
    <t>NCM34031900</t>
  </si>
  <si>
    <t>NCM39123119</t>
  </si>
  <si>
    <t>NCM40070020</t>
  </si>
  <si>
    <t>NCM52030000</t>
  </si>
  <si>
    <t>NCM70132900</t>
  </si>
  <si>
    <t>NCM84368000</t>
  </si>
  <si>
    <t>Linchia</t>
  </si>
  <si>
    <t>Maçarico</t>
  </si>
  <si>
    <t>NCM40118090</t>
  </si>
  <si>
    <t>NCM40139000</t>
  </si>
  <si>
    <t>NCM05040011</t>
  </si>
  <si>
    <t>NCM09076000</t>
  </si>
  <si>
    <t>NCM20098913</t>
  </si>
  <si>
    <t>NCM21039000</t>
  </si>
  <si>
    <t>NCM25081000</t>
  </si>
  <si>
    <t>NCM27150000</t>
  </si>
  <si>
    <t>NCM30045090</t>
  </si>
  <si>
    <t>NCM39011010</t>
  </si>
  <si>
    <t>NCM39079100</t>
  </si>
  <si>
    <t>NCM40115000</t>
  </si>
  <si>
    <t>NCM53081000</t>
  </si>
  <si>
    <t>NCM61161000</t>
  </si>
  <si>
    <t>NCM62011300</t>
  </si>
  <si>
    <t>NCM68042119</t>
  </si>
  <si>
    <t>NCM68042219</t>
  </si>
  <si>
    <t>NCM68071000</t>
  </si>
  <si>
    <t>NCM72292000</t>
  </si>
  <si>
    <t>NCM73144100</t>
  </si>
  <si>
    <t>NCM82023900</t>
  </si>
  <si>
    <t>NCM82082000</t>
  </si>
  <si>
    <t>NCM83111000</t>
  </si>
  <si>
    <t>NCM84254200</t>
  </si>
  <si>
    <t>NCM84521000</t>
  </si>
  <si>
    <t>NCM84672999</t>
  </si>
  <si>
    <t>NCM85122022</t>
  </si>
  <si>
    <t>NCM85381000</t>
  </si>
  <si>
    <t>NCM87141000</t>
  </si>
  <si>
    <t>Alho poro</t>
  </si>
  <si>
    <t>Pulverizador</t>
  </si>
  <si>
    <t>NCM34049910</t>
  </si>
  <si>
    <t>NCM61179000</t>
  </si>
  <si>
    <t>NCM62052000</t>
  </si>
  <si>
    <t>NCM63022600</t>
  </si>
  <si>
    <t>melancia</t>
  </si>
  <si>
    <t>ovos de codorna</t>
  </si>
  <si>
    <t>NCM12099900</t>
  </si>
  <si>
    <t>NCM42022210</t>
  </si>
  <si>
    <t>NCM64041190</t>
  </si>
  <si>
    <t>NCM95039090</t>
  </si>
  <si>
    <t>NCM23021000</t>
  </si>
  <si>
    <t>NCM32072010</t>
  </si>
  <si>
    <t>NCM36049010</t>
  </si>
  <si>
    <t>NCM38084029</t>
  </si>
  <si>
    <t>NCM42021900</t>
  </si>
  <si>
    <t>NCM48099000</t>
  </si>
  <si>
    <t>NCM54049000</t>
  </si>
  <si>
    <t>NCM68080000</t>
  </si>
  <si>
    <t>NCM70109021</t>
  </si>
  <si>
    <t>NCM84248119</t>
  </si>
  <si>
    <t>NCM85299020</t>
  </si>
  <si>
    <t>NCM95089090</t>
  </si>
  <si>
    <t>NCM01039200</t>
  </si>
  <si>
    <t>NCM42021220</t>
  </si>
  <si>
    <t>NCM48204000</t>
  </si>
  <si>
    <t>NCM63053900</t>
  </si>
  <si>
    <t>NCM85249100</t>
  </si>
  <si>
    <t>NCM20079000</t>
  </si>
  <si>
    <t>NCM20089710</t>
  </si>
  <si>
    <t>NCM30051030</t>
  </si>
  <si>
    <t>NCM72169100</t>
  </si>
  <si>
    <t>NCM34021130</t>
  </si>
  <si>
    <t>NCM58063900</t>
  </si>
  <si>
    <t>NCM08011110</t>
  </si>
  <si>
    <t>NCM08011190</t>
  </si>
  <si>
    <t>NCM04014021</t>
  </si>
  <si>
    <t>NCM04041000</t>
  </si>
  <si>
    <t>NCM11032000</t>
  </si>
  <si>
    <t>NCM27101290</t>
  </si>
  <si>
    <t>NCM27101991</t>
  </si>
  <si>
    <t>NCM34039900</t>
  </si>
  <si>
    <t>NCM44034900</t>
  </si>
  <si>
    <t>NCM44039900</t>
  </si>
  <si>
    <t>NCM52122200</t>
  </si>
  <si>
    <t>NCM53011000</t>
  </si>
  <si>
    <t>NCM56022900</t>
  </si>
  <si>
    <t>NCM84213100</t>
  </si>
  <si>
    <t>NCM84336010</t>
  </si>
  <si>
    <t>NCM02109990</t>
  </si>
  <si>
    <t>NCM33019040</t>
  </si>
  <si>
    <t>NCM57023200</t>
  </si>
  <si>
    <t>NCM76109000</t>
  </si>
  <si>
    <t>NCM84149010</t>
  </si>
  <si>
    <t>NCM24039100</t>
  </si>
  <si>
    <t>NCM02069000</t>
  </si>
  <si>
    <t>NCM12040010</t>
  </si>
  <si>
    <t>NCM20029010</t>
  </si>
  <si>
    <t>NCM38085029</t>
  </si>
  <si>
    <t>NCM39031900</t>
  </si>
  <si>
    <t>NCM39169010</t>
  </si>
  <si>
    <t>NCM39199010</t>
  </si>
  <si>
    <t>NCM40051090</t>
  </si>
  <si>
    <t>NCM54050000</t>
  </si>
  <si>
    <t>NCM56039340</t>
  </si>
  <si>
    <t>NCM56049090</t>
  </si>
  <si>
    <t>NCM58064000</t>
  </si>
  <si>
    <t>NCM61071900</t>
  </si>
  <si>
    <t>NCM61082900</t>
  </si>
  <si>
    <t>NCM61169200</t>
  </si>
  <si>
    <t>NCM64051090</t>
  </si>
  <si>
    <t>NCM65050039</t>
  </si>
  <si>
    <t>NCM68042211</t>
  </si>
  <si>
    <t>NCM68051000</t>
  </si>
  <si>
    <t>NCM68053020</t>
  </si>
  <si>
    <t>NCM73130000</t>
  </si>
  <si>
    <t>NCM80012000</t>
  </si>
  <si>
    <t>NCM82021000</t>
  </si>
  <si>
    <t>NCM84189900</t>
  </si>
  <si>
    <t>NCM85099000</t>
  </si>
  <si>
    <t>NCM96020020</t>
  </si>
  <si>
    <t>Arroz</t>
  </si>
  <si>
    <t>Desifetante</t>
  </si>
  <si>
    <t>Escova de Dente</t>
  </si>
  <si>
    <t>NCM54060020</t>
  </si>
  <si>
    <t>NCM73071910</t>
  </si>
  <si>
    <t>NCM59080000</t>
  </si>
  <si>
    <t>NCM49089000</t>
  </si>
  <si>
    <t>NCM12130000</t>
  </si>
  <si>
    <t>NCM34070020</t>
  </si>
  <si>
    <t>NCM39233090</t>
  </si>
  <si>
    <t>NCM46019900</t>
  </si>
  <si>
    <t>NCM48130000</t>
  </si>
  <si>
    <t>NCM76011000</t>
  </si>
  <si>
    <t>NCM82060000</t>
  </si>
  <si>
    <t>NCM82121010</t>
  </si>
  <si>
    <t>NCM85121000</t>
  </si>
  <si>
    <t>NCM44129900</t>
  </si>
  <si>
    <t>NCM43022000</t>
  </si>
  <si>
    <t>NCM91051100</t>
  </si>
  <si>
    <t>NCM03037100</t>
  </si>
  <si>
    <t>NCM10039080</t>
  </si>
  <si>
    <t>NCM17101100</t>
  </si>
  <si>
    <t>NCM19011000</t>
  </si>
  <si>
    <t>NCM23063010</t>
  </si>
  <si>
    <t>NCM24039990</t>
  </si>
  <si>
    <t>NCM27100062</t>
  </si>
  <si>
    <t>NCM29331111</t>
  </si>
  <si>
    <t>NCM30049029</t>
  </si>
  <si>
    <t>NCM30049069</t>
  </si>
  <si>
    <t>NCM33051090</t>
  </si>
  <si>
    <t>NCM34049019</t>
  </si>
  <si>
    <t>NCM39032000</t>
  </si>
  <si>
    <t>NCM40011000</t>
  </si>
  <si>
    <t>NCM41033000</t>
  </si>
  <si>
    <t>NCM42121210</t>
  </si>
  <si>
    <t>NCM59060999</t>
  </si>
  <si>
    <t>NCM63063900</t>
  </si>
  <si>
    <t>NCM73191900</t>
  </si>
  <si>
    <t>NCM84138200</t>
  </si>
  <si>
    <t>NCM84672200</t>
  </si>
  <si>
    <t>NCM95030090</t>
  </si>
  <si>
    <t>NCM04032000</t>
  </si>
  <si>
    <t>NCM38086290</t>
  </si>
  <si>
    <t>NCM15092000</t>
  </si>
  <si>
    <t>NCM20029000</t>
  </si>
  <si>
    <t>NCM84139190</t>
  </si>
  <si>
    <t>NCM34025000</t>
  </si>
  <si>
    <t>NCM34023990</t>
  </si>
  <si>
    <t>NCM48119010</t>
  </si>
  <si>
    <t>NCM09096220</t>
  </si>
  <si>
    <t>NCM32021000</t>
  </si>
  <si>
    <t>NCM34042020</t>
  </si>
  <si>
    <t>NCM54023900</t>
  </si>
  <si>
    <t>NCM73151290</t>
  </si>
  <si>
    <t>NCM55152900</t>
  </si>
  <si>
    <t>NCM39100013</t>
  </si>
  <si>
    <t>NCM44130000</t>
  </si>
  <si>
    <t>NCM64029110</t>
  </si>
  <si>
    <t>NCM68159990</t>
  </si>
  <si>
    <t>NCM85432000</t>
  </si>
  <si>
    <t>NCM32041830</t>
  </si>
  <si>
    <t>NCM39239090</t>
  </si>
  <si>
    <t>NCM73089090</t>
  </si>
  <si>
    <t>NCM76082090</t>
  </si>
  <si>
    <t>NCM84249090</t>
  </si>
  <si>
    <t>NCM91052900</t>
  </si>
  <si>
    <t>NCM30049019</t>
  </si>
  <si>
    <t>NCM57033900</t>
  </si>
  <si>
    <t>NCM65050021</t>
  </si>
  <si>
    <t>PAO DE QUEIJO KG</t>
  </si>
  <si>
    <t>NCM84133030</t>
  </si>
  <si>
    <t>NCM27100061</t>
  </si>
  <si>
    <t>CBNEF</t>
  </si>
  <si>
    <t>MISTURA P/ BOLO CHOCOLATE KODI</t>
  </si>
  <si>
    <t>MISTURA P/BOLO FLEISCHMANN CHOCOLATE 390G</t>
  </si>
  <si>
    <t>MISTURA P/BOLO FLEISCHMANN CENOURA 390G</t>
  </si>
  <si>
    <t>MISTURA P/BOLO FLEISCHMANN CHO</t>
  </si>
  <si>
    <t>MISTURA DE BOLO CHOCOMOUSSE FLEISCHMANM 390GR</t>
  </si>
  <si>
    <t>MISTURA FLEISCHMAN DE BOLO COO</t>
  </si>
  <si>
    <t>MISTURA P/ BOLO ADORALLE CHOCOLATE 400G</t>
  </si>
  <si>
    <t>MISTURA P/ BOLO ADORALLE COCO 400G</t>
  </si>
  <si>
    <t>MISTURA P/ BOLO ADORALLE LIMAO 400G</t>
  </si>
  <si>
    <t>MISTURA P/ BOLO ADORALLE LARAN</t>
  </si>
  <si>
    <t>MISTURA P/ BOLO ADORALLE FESTA 400G</t>
  </si>
  <si>
    <t>Substituição Tributária</t>
  </si>
  <si>
    <t>MISTURA P/ BOLO ADORALLE BAUNI</t>
  </si>
  <si>
    <t>NCM42034000</t>
  </si>
  <si>
    <t>NCM32030030</t>
  </si>
  <si>
    <t>NCM84672100</t>
  </si>
  <si>
    <t>NCM94051990</t>
  </si>
  <si>
    <t>NCM83022000</t>
  </si>
  <si>
    <t>NCM96035000</t>
  </si>
  <si>
    <t>NCM65040090</t>
  </si>
  <si>
    <t>NCM39169090</t>
  </si>
  <si>
    <t>NCM15151100</t>
  </si>
  <si>
    <t>NCM85393119</t>
  </si>
  <si>
    <t>MISTURA DE BOLO CHOCOLATE FLEI</t>
  </si>
  <si>
    <t>BOLO DE CANECA DR.OETKER CHOCO</t>
  </si>
  <si>
    <t>PO PREPARO BOLO DE CHOC ZERO R</t>
  </si>
  <si>
    <t>BOLO CHIA C/LARANJA SEM GLUTEN</t>
  </si>
  <si>
    <t>MISTURA BOLO AVEIA AMARANTO E</t>
  </si>
  <si>
    <t>CB7898331012549</t>
  </si>
  <si>
    <t>CB7898331012532</t>
  </si>
  <si>
    <t>CB7898331012563</t>
  </si>
  <si>
    <t>CB7898331012556</t>
  </si>
  <si>
    <t>CB7898331012570</t>
  </si>
  <si>
    <t>CB7898331012525</t>
  </si>
  <si>
    <t>CB7898331012969</t>
  </si>
  <si>
    <t>CB7898331012822</t>
  </si>
  <si>
    <t>CB7898331012761</t>
  </si>
  <si>
    <t>CB7898331012815</t>
  </si>
  <si>
    <t>CB7898331013072</t>
  </si>
  <si>
    <t>CB7899667282309</t>
  </si>
  <si>
    <t>CB7898331013270</t>
  </si>
  <si>
    <t>CB7898331013263</t>
  </si>
  <si>
    <t>CB7896292002418</t>
  </si>
  <si>
    <t>CB7898568900756</t>
  </si>
  <si>
    <t>CB7898568900749</t>
  </si>
  <si>
    <t>CB7896035931050</t>
  </si>
  <si>
    <t>CB7891048070215</t>
  </si>
  <si>
    <t>CB7896256065749</t>
  </si>
  <si>
    <t>CB7898956947387</t>
  </si>
  <si>
    <t>CB7898956947394</t>
  </si>
  <si>
    <t>CB7898956947400</t>
  </si>
  <si>
    <t>CB7897309408575</t>
  </si>
  <si>
    <t>CB7897309408599</t>
  </si>
  <si>
    <t>MISTURA P/ BOLO ADORALLE FESTA</t>
  </si>
  <si>
    <t>MISTURA P/ BOLO ADORALLE LARANJA 400G</t>
  </si>
  <si>
    <t>MISTURA P/ BOLO ADORALLE LIMAO</t>
  </si>
  <si>
    <t>MISTURA P/ BOLO FLEISCHMANM M</t>
  </si>
  <si>
    <t>MISTURA P/ BOLO FLEISCHMANM L</t>
  </si>
  <si>
    <t>MISTURA P/ BOLO FLEISCHMANN L</t>
  </si>
  <si>
    <t>MISTURA P/ BOLO FLEISCHMANN LARANJA 390G</t>
  </si>
  <si>
    <t>MISTURA P/ BOLO FLEISCHMANN CO</t>
  </si>
  <si>
    <t>MISTURA P/ BOLO FLEISCHMANN COCO 390G</t>
  </si>
  <si>
    <t>MISTURA P/BOLO FLEISCHMANN CHOCOMOUSE EXTRA CREMOSO 390G</t>
  </si>
  <si>
    <t>MISTURA P/ BOLO FLEISCH AIPIM</t>
  </si>
  <si>
    <t>MISTURA P/ BOLO FLEISCH AIPIM 390G</t>
  </si>
  <si>
    <t>MISTURA P/ BOLO FLEISCHMANM B</t>
  </si>
  <si>
    <t>MISTURA P/ BOLO FLEISCHMANM BROWNIE 390G</t>
  </si>
  <si>
    <t>MISTURA P/ BOLO FESTA FLEISCHM</t>
  </si>
  <si>
    <t>MISTURA P/ BOLO FESTA FLEISCHMANM BAUNILHA 390G</t>
  </si>
  <si>
    <t>MISTURA DE BOLO CHOCOMOUSSE FL</t>
  </si>
  <si>
    <t>MISTURA P/ BOLO FUBA FLEISCHMA</t>
  </si>
  <si>
    <t>MISTURA P/ BOLO FUBA FLEISCHMANM 390GR</t>
  </si>
  <si>
    <t>PAO DE QUEIJO VO DELAIDE 800G</t>
  </si>
  <si>
    <t>MISTURA P/BOLO FLEISCHMANN CEN</t>
  </si>
  <si>
    <t>MISTURA DE BOLO CHOCOLATE FLEISCHMANN 390GR</t>
  </si>
  <si>
    <t>MISTURA P/ PAO DE QUEIJO AMAFIL 1KG</t>
  </si>
  <si>
    <t>MISTURA P/ BOLO ADORALLE BAUNILHA 400G</t>
  </si>
  <si>
    <t>MISTURA P/ BOLO ADORALLE CHOCO</t>
  </si>
  <si>
    <t>MISTURA P/ BOLO ADORALLE COCO</t>
  </si>
  <si>
    <t>MISTURA P/BOLO FLEISCHMANM PET</t>
  </si>
  <si>
    <t>MISTURA P/BOLO FLEISCHMANM PETITGATAU 350G</t>
  </si>
  <si>
    <t>19012090</t>
  </si>
  <si>
    <t>19059090</t>
  </si>
  <si>
    <t>nãost</t>
  </si>
  <si>
    <t>GO811010</t>
  </si>
  <si>
    <t>REFRIGERANTE</t>
  </si>
  <si>
    <t>st</t>
  </si>
  <si>
    <t>PANELA DE PRESSÃO</t>
  </si>
  <si>
    <t>PERA</t>
  </si>
  <si>
    <t>PRESERVATIVO PRUDENCE</t>
  </si>
  <si>
    <t>GO812014</t>
  </si>
  <si>
    <t>SEMENTE PARA PLANTIO GIRASSOL</t>
  </si>
  <si>
    <t>GO812015</t>
  </si>
  <si>
    <t>LÂMPADA</t>
  </si>
  <si>
    <t>SABÃO EM PÓ OMMO</t>
  </si>
  <si>
    <t>CHICLETE BIG BIG</t>
  </si>
  <si>
    <t>DESINFETANTE PARA USO GERAL PINHO SOL</t>
  </si>
  <si>
    <t>red</t>
  </si>
  <si>
    <t>GO821019</t>
  </si>
  <si>
    <t>CÂMARA DE AR</t>
  </si>
  <si>
    <t>LEITE CONDENSADO</t>
  </si>
  <si>
    <t>POLVILHO</t>
  </si>
  <si>
    <t>INSUMO AGROPECUÁRIO NATURAL</t>
  </si>
  <si>
    <t>CIGARRO</t>
  </si>
  <si>
    <t>ESCOVA DE DENTE</t>
  </si>
  <si>
    <t>FUBÁ</t>
  </si>
  <si>
    <t>VASSOURA</t>
  </si>
  <si>
    <t>FEIJAO INDUSTRIALIZADO EM GOIÁS</t>
  </si>
  <si>
    <t>BORRACHA ESCOLAR PARA APAGAR</t>
  </si>
  <si>
    <t>GO821022</t>
  </si>
  <si>
    <t>LÁPIS DE ESCREVER PRETO</t>
  </si>
  <si>
    <t>BARRA DE CEREAL EMBALADA</t>
  </si>
  <si>
    <t>SHAMPOO SEDA</t>
  </si>
  <si>
    <t>SHAMPOO E CONDICIONADOR SALON LINE</t>
  </si>
  <si>
    <t>SKOL BEATS</t>
  </si>
  <si>
    <t>VINHO MISTO COM ÁLCOOL</t>
  </si>
  <si>
    <t>PAPEL TOALHA</t>
  </si>
  <si>
    <t>GO800004</t>
  </si>
  <si>
    <t>JORNAL</t>
  </si>
  <si>
    <t>REVISTA</t>
  </si>
  <si>
    <t>LIVRO PARA COLORIR</t>
  </si>
  <si>
    <t>TABUADA</t>
  </si>
  <si>
    <t>ISOTÔNICO</t>
  </si>
  <si>
    <t>CodBarras2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</si>
</sst>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_ ;[Red]\-#,##0.00\ "/>
  </numFmts>
  <fonts count="32" x14ac:knownFonts="1">
    <font>
      <sz val="11"/>
      <color theme="1"/>
      <name val="Calibri"/>
      <family val="2"/>
      <scheme val="minor"/>
    </font>
    <font>
      <b/>
      <sz val="11"/>
      <color theme="0"/>
      <name val="Calibri"/>
      <family val="2"/>
      <scheme val="minor"/>
    </font>
    <font>
      <b/>
      <sz val="11"/>
      <color theme="1"/>
      <name val="Calibri"/>
      <family val="2"/>
      <scheme val="minor"/>
    </font>
    <font>
      <sz val="9"/>
      <color theme="1"/>
      <name val="Arial"/>
      <family val="2"/>
    </font>
    <font>
      <sz val="9"/>
      <color theme="1"/>
      <name val="Times New Roman"/>
      <family val="1"/>
    </font>
    <font>
      <b/>
      <sz val="11"/>
      <color rgb="FFFF0000"/>
      <name val="Calibri"/>
      <family val="2"/>
      <scheme val="minor"/>
    </font>
    <font>
      <u/>
      <sz val="11"/>
      <color theme="10"/>
      <name val="Calibri"/>
      <family val="2"/>
      <scheme val="minor"/>
    </font>
    <font>
      <sz val="10"/>
      <color theme="1"/>
      <name val="Calibri"/>
      <family val="2"/>
      <scheme val="minor"/>
    </font>
    <font>
      <sz val="10"/>
      <color theme="1"/>
      <name val="Arial"/>
      <family val="2"/>
    </font>
    <font>
      <sz val="10"/>
      <color rgb="FFFF0000"/>
      <name val="Arial"/>
      <family val="2"/>
    </font>
    <font>
      <sz val="10"/>
      <color rgb="FFFF0000"/>
      <name val="Calibri"/>
      <family val="2"/>
      <scheme val="minor"/>
    </font>
    <font>
      <u/>
      <sz val="10"/>
      <color theme="10"/>
      <name val="Calibri"/>
      <family val="2"/>
      <scheme val="minor"/>
    </font>
    <font>
      <sz val="11"/>
      <color theme="1"/>
      <name val="Calibri"/>
      <family val="2"/>
      <scheme val="minor"/>
    </font>
    <font>
      <sz val="11"/>
      <color rgb="FFFF0000"/>
      <name val="Calibri"/>
      <family val="2"/>
      <scheme val="minor"/>
    </font>
    <font>
      <sz val="8"/>
      <name val="Calibri"/>
      <family val="2"/>
      <scheme val="minor"/>
    </font>
    <font>
      <sz val="9"/>
      <color rgb="FF333333"/>
      <name val="Arial"/>
      <family val="2"/>
    </font>
    <font>
      <sz val="9"/>
      <name val="Arial"/>
      <family val="2"/>
    </font>
    <font>
      <sz val="11"/>
      <name val="Calibri"/>
      <family val="2"/>
      <scheme val="minor"/>
    </font>
    <font>
      <sz val="10"/>
      <name val="Arial"/>
      <family val="2"/>
    </font>
    <font>
      <b/>
      <sz val="8"/>
      <color rgb="FFFF0000"/>
      <name val="Calibri"/>
      <family val="2"/>
      <scheme val="minor"/>
    </font>
    <font>
      <b/>
      <sz val="10"/>
      <color rgb="FFFF0000"/>
      <name val="Arial"/>
      <family val="2"/>
    </font>
    <font>
      <sz val="8"/>
      <color theme="1"/>
      <name val="Calibri"/>
      <family val="2"/>
      <scheme val="minor"/>
    </font>
    <font>
      <sz val="8"/>
      <color rgb="FF333333"/>
      <name val="Arial"/>
      <family val="2"/>
    </font>
    <font>
      <sz val="11"/>
      <color indexed="8"/>
      <name val="Calibri"/>
      <family val="2"/>
    </font>
    <font>
      <sz val="11"/>
      <color theme="2"/>
      <name val="Calibri"/>
      <family val="2"/>
      <scheme val="minor"/>
    </font>
    <font>
      <u/>
      <sz val="11"/>
      <color theme="2"/>
      <name val="Calibri"/>
      <family val="2"/>
      <scheme val="minor"/>
    </font>
    <font>
      <sz val="11"/>
      <color theme="2"/>
      <name val="Calibri"/>
      <family val="2"/>
      <scheme val="minor"/>
    </font>
    <font>
      <sz val="11"/>
      <color theme="0"/>
      <name val="Calibri"/>
      <family val="2"/>
      <scheme val="minor"/>
    </font>
    <font>
      <sz val="11"/>
      <color theme="2"/>
      <name val="Calibri"/>
      <family val="2"/>
      <scheme val="minor"/>
    </font>
    <font>
      <sz val="11"/>
      <color theme="0"/>
      <name val="Calibri"/>
      <family val="2"/>
      <scheme val="minor"/>
    </font>
    <font>
      <b/>
      <sz val="11"/>
      <color theme="7"/>
      <name val="Calibri"/>
      <family val="2"/>
      <scheme val="minor"/>
    </font>
    <font>
      <sz val="11"/>
      <color theme="7"/>
      <name val="Calibri"/>
      <family val="2"/>
      <scheme val="minor"/>
    </font>
  </fonts>
  <fills count="13">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1"/>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theme="4"/>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style="thin">
        <color theme="4"/>
      </bottom>
      <diagonal/>
    </border>
    <border>
      <left/>
      <right style="thin">
        <color theme="4"/>
      </right>
      <top/>
      <bottom style="thin">
        <color theme="4"/>
      </bottom>
      <diagonal/>
    </border>
    <border>
      <left style="thin">
        <color theme="4"/>
      </left>
      <right style="thin">
        <color theme="4"/>
      </right>
      <top/>
      <bottom style="thin">
        <color theme="4"/>
      </bottom>
      <diagonal/>
    </border>
    <border>
      <left style="thin">
        <color theme="4"/>
      </left>
      <right/>
      <top/>
      <bottom style="thin">
        <color theme="4"/>
      </bottom>
      <diagonal/>
    </border>
    <border>
      <left style="thin">
        <color theme="4"/>
      </left>
      <right style="thin">
        <color theme="4"/>
      </right>
      <top style="thin">
        <color theme="4"/>
      </top>
      <bottom/>
      <diagonal/>
    </border>
  </borders>
  <cellStyleXfs count="3">
    <xf numFmtId="0" fontId="0" fillId="0" borderId="0"/>
    <xf numFmtId="0" fontId="6" fillId="0" borderId="0" applyNumberFormat="0" applyFill="0" applyBorder="0" applyAlignment="0" applyProtection="0"/>
    <xf numFmtId="9" fontId="12" fillId="0" borderId="0" applyFont="0" applyFill="0" applyBorder="0" applyAlignment="0" applyProtection="0"/>
  </cellStyleXfs>
  <cellXfs count="230">
    <xf numFmtId="0" fontId="0" fillId="0" borderId="0" xfId="0"/>
    <xf numFmtId="0" fontId="3" fillId="0" borderId="1" xfId="0" applyFont="1" applyBorder="1" applyAlignment="1">
      <alignment horizontal="center" vertical="center" wrapText="1"/>
    </xf>
    <xf numFmtId="0" fontId="3" fillId="3" borderId="1" xfId="0" applyFont="1" applyFill="1" applyBorder="1" applyAlignment="1">
      <alignment horizontal="center" vertical="center" wrapText="1"/>
    </xf>
    <xf numFmtId="0" fontId="0" fillId="0" borderId="1" xfId="0" applyBorder="1" applyAlignment="1">
      <alignment horizontal="center"/>
    </xf>
    <xf numFmtId="0" fontId="0" fillId="0" borderId="1" xfId="0" applyBorder="1"/>
    <xf numFmtId="0" fontId="4" fillId="0" borderId="1" xfId="0" applyFont="1" applyBorder="1" applyAlignment="1">
      <alignment horizontal="center" vertical="center" wrapText="1"/>
    </xf>
    <xf numFmtId="0" fontId="0" fillId="3" borderId="0" xfId="0" applyFill="1" applyAlignment="1">
      <alignment horizontal="center"/>
    </xf>
    <xf numFmtId="0" fontId="0" fillId="0" borderId="0" xfId="0" applyAlignment="1">
      <alignment horizontal="center"/>
    </xf>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5" xfId="0" applyFont="1" applyFill="1" applyBorder="1"/>
    <xf numFmtId="0" fontId="1" fillId="2" borderId="2" xfId="0" applyFont="1" applyFill="1" applyBorder="1"/>
    <xf numFmtId="0" fontId="1" fillId="2" borderId="6" xfId="0" applyFont="1" applyFill="1" applyBorder="1" applyAlignment="1">
      <alignment horizontal="center" vertical="center"/>
    </xf>
    <xf numFmtId="0" fontId="0" fillId="0" borderId="7" xfId="0" applyBorder="1"/>
    <xf numFmtId="0" fontId="0" fillId="4" borderId="0" xfId="0" applyFill="1"/>
    <xf numFmtId="0" fontId="0" fillId="0" borderId="2" xfId="0" applyBorder="1"/>
    <xf numFmtId="0" fontId="1" fillId="2" borderId="1" xfId="0" applyFont="1" applyFill="1" applyBorder="1" applyAlignment="1">
      <alignment horizontal="center"/>
    </xf>
    <xf numFmtId="0" fontId="0" fillId="0" borderId="0" xfId="0" applyAlignment="1">
      <alignment horizontal="left"/>
    </xf>
    <xf numFmtId="0" fontId="0" fillId="3" borderId="1" xfId="0" applyFill="1" applyBorder="1" applyAlignment="1">
      <alignment horizontal="center"/>
    </xf>
    <xf numFmtId="0" fontId="0" fillId="0" borderId="0" xfId="0" quotePrefix="1"/>
    <xf numFmtId="0" fontId="0" fillId="0" borderId="0" xfId="0" applyAlignment="1">
      <alignment wrapText="1"/>
    </xf>
    <xf numFmtId="0" fontId="7" fillId="0" borderId="1" xfId="0" applyFont="1" applyBorder="1"/>
    <xf numFmtId="0" fontId="8" fillId="0" borderId="1" xfId="0" applyFont="1" applyBorder="1" applyAlignment="1">
      <alignment horizontal="center" vertical="center" wrapText="1"/>
    </xf>
    <xf numFmtId="0" fontId="7" fillId="0" borderId="1" xfId="0" applyFont="1" applyBorder="1" applyAlignment="1">
      <alignment wrapText="1"/>
    </xf>
    <xf numFmtId="0" fontId="9" fillId="0" borderId="1" xfId="0" applyFont="1" applyBorder="1" applyAlignment="1">
      <alignment horizontal="center" vertical="center" wrapText="1"/>
    </xf>
    <xf numFmtId="0" fontId="10" fillId="0" borderId="1" xfId="0" applyFont="1" applyBorder="1" applyAlignment="1">
      <alignment wrapText="1"/>
    </xf>
    <xf numFmtId="0" fontId="11" fillId="0" borderId="1" xfId="1" applyFont="1" applyBorder="1" applyAlignment="1">
      <alignment horizontal="center" vertical="center" wrapText="1"/>
    </xf>
    <xf numFmtId="0" fontId="0" fillId="3" borderId="4" xfId="0" applyFill="1" applyBorder="1" applyAlignment="1">
      <alignment horizontal="center"/>
    </xf>
    <xf numFmtId="0" fontId="1" fillId="2" borderId="2" xfId="0" applyFont="1" applyFill="1" applyBorder="1" applyAlignment="1">
      <alignment horizontal="center"/>
    </xf>
    <xf numFmtId="0" fontId="1" fillId="2" borderId="6" xfId="0" applyFont="1" applyFill="1" applyBorder="1" applyAlignment="1">
      <alignment horizontal="center"/>
    </xf>
    <xf numFmtId="0" fontId="0" fillId="0" borderId="0" xfId="2" applyNumberFormat="1" applyFont="1" applyAlignment="1">
      <alignment horizontal="center"/>
    </xf>
    <xf numFmtId="0" fontId="2" fillId="5" borderId="1" xfId="0" applyFont="1" applyFill="1" applyBorder="1"/>
    <xf numFmtId="0" fontId="2" fillId="5" borderId="1" xfId="0" applyFont="1" applyFill="1" applyBorder="1" applyAlignment="1">
      <alignment horizontal="center"/>
    </xf>
    <xf numFmtId="1" fontId="7" fillId="0" borderId="1" xfId="0" applyNumberFormat="1" applyFont="1" applyBorder="1"/>
    <xf numFmtId="1" fontId="7" fillId="6" borderId="1" xfId="0" applyNumberFormat="1" applyFont="1" applyFill="1" applyBorder="1"/>
    <xf numFmtId="0" fontId="2" fillId="5" borderId="7" xfId="0" applyFont="1" applyFill="1" applyBorder="1"/>
    <xf numFmtId="0" fontId="2" fillId="5" borderId="7" xfId="0" applyFont="1" applyFill="1" applyBorder="1" applyAlignment="1">
      <alignment horizontal="center"/>
    </xf>
    <xf numFmtId="1" fontId="7" fillId="0" borderId="7" xfId="0" applyNumberFormat="1" applyFont="1" applyBorder="1"/>
    <xf numFmtId="0" fontId="0" fillId="7" borderId="0" xfId="0" applyFill="1"/>
    <xf numFmtId="0" fontId="0" fillId="0" borderId="0" xfId="0" applyAlignment="1">
      <alignment horizontal="center" vertical="center"/>
    </xf>
    <xf numFmtId="0" fontId="20" fillId="0" borderId="1" xfId="0" applyFont="1" applyBorder="1" applyAlignment="1">
      <alignment horizontal="center" vertical="center" wrapText="1"/>
    </xf>
    <xf numFmtId="0" fontId="0" fillId="0" borderId="1" xfId="0" applyBorder="1" applyAlignment="1">
      <alignment horizontal="center" vertical="center"/>
    </xf>
    <xf numFmtId="0" fontId="21" fillId="8" borderId="1" xfId="0" applyFont="1" applyFill="1" applyBorder="1" applyAlignment="1">
      <alignment horizontal="center" wrapText="1" shrinkToFit="1"/>
    </xf>
    <xf numFmtId="0" fontId="0" fillId="8" borderId="1" xfId="0" applyFill="1" applyBorder="1" applyAlignment="1">
      <alignment horizontal="center"/>
    </xf>
    <xf numFmtId="0" fontId="17" fillId="0" borderId="1" xfId="0" applyFont="1" applyBorder="1" applyAlignment="1">
      <alignment horizontal="center" vertical="center"/>
    </xf>
    <xf numFmtId="0" fontId="0" fillId="8" borderId="1" xfId="0" applyFill="1" applyBorder="1"/>
    <xf numFmtId="0" fontId="8" fillId="8" borderId="1" xfId="0" applyFont="1" applyFill="1" applyBorder="1" applyAlignment="1">
      <alignment horizontal="center" vertical="center" wrapText="1"/>
    </xf>
    <xf numFmtId="49" fontId="0" fillId="0" borderId="0" xfId="0" applyNumberFormat="1"/>
    <xf numFmtId="0" fontId="23" fillId="0" borderId="0" xfId="0" applyFont="1"/>
    <xf numFmtId="0" fontId="0" fillId="0" borderId="7" xfId="0"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2" fontId="0" fillId="0" borderId="0" xfId="0" applyNumberFormat="1"/>
    <xf numFmtId="0" fontId="2" fillId="9" borderId="1" xfId="0" applyFont="1" applyFill="1" applyBorder="1" applyAlignment="1">
      <alignment horizontal="center"/>
    </xf>
    <xf numFmtId="0" fontId="0" fillId="9" borderId="0" xfId="0" applyFill="1"/>
    <xf numFmtId="0" fontId="2" fillId="9" borderId="9" xfId="0" applyFont="1" applyFill="1" applyBorder="1" applyAlignment="1">
      <alignment horizontal="center"/>
    </xf>
    <xf numFmtId="0" fontId="0" fillId="9" borderId="0" xfId="0" applyFill="1" applyAlignment="1">
      <alignment horizontal="center"/>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wrapText="1"/>
    </xf>
    <xf numFmtId="0" fontId="3" fillId="0" borderId="3" xfId="0" applyFont="1" applyBorder="1" applyAlignment="1">
      <alignment horizontal="center" vertical="center" wrapText="1"/>
    </xf>
    <xf numFmtId="0" fontId="0" fillId="0" borderId="4" xfId="0" applyBorder="1"/>
    <xf numFmtId="0" fontId="4" fillId="0" borderId="3" xfId="0" applyFont="1" applyBorder="1" applyAlignment="1">
      <alignment horizontal="center" vertical="center" wrapText="1"/>
    </xf>
    <xf numFmtId="0" fontId="0" fillId="0" borderId="3" xfId="0" applyBorder="1"/>
    <xf numFmtId="0" fontId="3" fillId="0" borderId="10" xfId="0" applyFont="1" applyBorder="1" applyAlignment="1">
      <alignment horizontal="center" vertical="center" wrapText="1"/>
    </xf>
    <xf numFmtId="0" fontId="0" fillId="0" borderId="8" xfId="0" applyBorder="1"/>
    <xf numFmtId="0" fontId="0" fillId="0" borderId="10" xfId="0" applyBorder="1"/>
    <xf numFmtId="0" fontId="0" fillId="8" borderId="3" xfId="0" applyFill="1" applyBorder="1"/>
    <xf numFmtId="0" fontId="0" fillId="8" borderId="4" xfId="0" applyFill="1" applyBorder="1" applyAlignment="1">
      <alignment horizontal="center" vertical="center"/>
    </xf>
    <xf numFmtId="0" fontId="0" fillId="8" borderId="7" xfId="0" applyFill="1" applyBorder="1"/>
    <xf numFmtId="0" fontId="0" fillId="8" borderId="8" xfId="0" applyFill="1" applyBorder="1" applyAlignment="1">
      <alignment horizontal="center" vertical="center"/>
    </xf>
    <xf numFmtId="0" fontId="0" fillId="8" borderId="10" xfId="0" applyFill="1" applyBorder="1"/>
    <xf numFmtId="0" fontId="0" fillId="7" borderId="4" xfId="0" applyFill="1" applyBorder="1" applyAlignment="1">
      <alignment wrapText="1"/>
    </xf>
    <xf numFmtId="0" fontId="17" fillId="7" borderId="4" xfId="0" applyFont="1" applyFill="1" applyBorder="1" applyAlignment="1">
      <alignment wrapText="1"/>
    </xf>
    <xf numFmtId="0" fontId="0" fillId="7" borderId="8" xfId="0" applyFill="1" applyBorder="1" applyAlignment="1">
      <alignment wrapText="1"/>
    </xf>
    <xf numFmtId="0" fontId="8" fillId="0" borderId="1" xfId="0" applyFont="1" applyBorder="1" applyAlignment="1">
      <alignment wrapText="1"/>
    </xf>
    <xf numFmtId="0" fontId="8" fillId="0" borderId="1" xfId="0" applyFont="1" applyBorder="1" applyAlignment="1">
      <alignment horizontal="center"/>
    </xf>
    <xf numFmtId="0" fontId="1" fillId="9" borderId="2" xfId="0" applyFont="1" applyFill="1" applyBorder="1" applyAlignment="1">
      <alignment horizontal="center" vertical="center" wrapText="1"/>
    </xf>
    <xf numFmtId="0" fontId="1" fillId="9" borderId="2" xfId="2" applyNumberFormat="1" applyFont="1" applyFill="1" applyBorder="1" applyAlignment="1">
      <alignment horizontal="center" vertical="center" wrapText="1"/>
    </xf>
    <xf numFmtId="0" fontId="1" fillId="9" borderId="6" xfId="0" applyFont="1" applyFill="1" applyBorder="1" applyAlignment="1">
      <alignment horizontal="center" vertical="center" wrapText="1"/>
    </xf>
    <xf numFmtId="0" fontId="1" fillId="9" borderId="5" xfId="0" applyFont="1" applyFill="1" applyBorder="1" applyAlignment="1">
      <alignment horizontal="center"/>
    </xf>
    <xf numFmtId="0" fontId="1" fillId="9" borderId="5" xfId="0" applyFont="1" applyFill="1" applyBorder="1" applyAlignment="1">
      <alignment horizontal="center" vertical="center"/>
    </xf>
    <xf numFmtId="0" fontId="0" fillId="0" borderId="3" xfId="0" applyBorder="1" applyAlignment="1">
      <alignment horizontal="center"/>
    </xf>
    <xf numFmtId="9" fontId="15" fillId="0" borderId="1" xfId="0" applyNumberFormat="1"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2" applyNumberFormat="1" applyFont="1" applyFill="1" applyBorder="1" applyAlignment="1">
      <alignment horizontal="center" vertical="center" wrapText="1"/>
    </xf>
    <xf numFmtId="0" fontId="0" fillId="0" borderId="1" xfId="0" applyBorder="1" applyAlignment="1">
      <alignment horizontal="left" vertical="center" wrapText="1"/>
    </xf>
    <xf numFmtId="0" fontId="0" fillId="0" borderId="4" xfId="0" applyBorder="1" applyAlignment="1">
      <alignment horizontal="left"/>
    </xf>
    <xf numFmtId="0" fontId="13" fillId="0" borderId="1" xfId="0" applyFont="1" applyBorder="1" applyAlignment="1">
      <alignment horizontal="left" vertical="center" wrapText="1"/>
    </xf>
    <xf numFmtId="9" fontId="16" fillId="0" borderId="1" xfId="0" applyNumberFormat="1" applyFont="1" applyBorder="1" applyAlignment="1">
      <alignment horizontal="center" vertical="center" wrapText="1"/>
    </xf>
    <xf numFmtId="0" fontId="16" fillId="0" borderId="1" xfId="2" applyNumberFormat="1" applyFont="1" applyFill="1" applyBorder="1" applyAlignment="1">
      <alignment horizontal="center" vertical="center" wrapText="1"/>
    </xf>
    <xf numFmtId="0" fontId="17" fillId="0" borderId="1" xfId="0" applyFont="1" applyBorder="1" applyAlignment="1">
      <alignment horizontal="left" vertical="center" wrapText="1"/>
    </xf>
    <xf numFmtId="0" fontId="0" fillId="0" borderId="1" xfId="2" applyNumberFormat="1" applyFont="1" applyFill="1" applyBorder="1" applyAlignment="1">
      <alignment horizontal="center"/>
    </xf>
    <xf numFmtId="0" fontId="0" fillId="0" borderId="1" xfId="0" applyBorder="1" applyAlignment="1">
      <alignment horizontal="left"/>
    </xf>
    <xf numFmtId="0" fontId="0" fillId="0" borderId="10" xfId="0" applyBorder="1" applyAlignment="1">
      <alignment horizontal="center"/>
    </xf>
    <xf numFmtId="0" fontId="0" fillId="0" borderId="7" xfId="2" applyNumberFormat="1" applyFont="1" applyFill="1" applyBorder="1" applyAlignment="1">
      <alignment horizontal="center"/>
    </xf>
    <xf numFmtId="0" fontId="15" fillId="0" borderId="7" xfId="0" applyFont="1" applyBorder="1" applyAlignment="1">
      <alignment horizontal="center" vertical="center" wrapText="1"/>
    </xf>
    <xf numFmtId="0" fontId="0" fillId="0" borderId="7" xfId="0" applyBorder="1" applyAlignment="1">
      <alignment horizontal="left"/>
    </xf>
    <xf numFmtId="0" fontId="0" fillId="0" borderId="8" xfId="0" applyBorder="1" applyAlignment="1">
      <alignment horizontal="left"/>
    </xf>
    <xf numFmtId="49" fontId="1" fillId="9" borderId="1" xfId="0" applyNumberFormat="1" applyFont="1" applyFill="1" applyBorder="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1" xfId="0" applyFont="1" applyFill="1" applyBorder="1" applyAlignment="1">
      <alignment horizontal="center" vertical="center" wrapText="1" shrinkToFit="1"/>
    </xf>
    <xf numFmtId="0" fontId="1" fillId="9" borderId="2" xfId="0" quotePrefix="1" applyFont="1" applyFill="1" applyBorder="1" applyAlignment="1">
      <alignment horizontal="center" vertical="center" wrapText="1"/>
    </xf>
    <xf numFmtId="0" fontId="1" fillId="9" borderId="2" xfId="0" applyFont="1" applyFill="1" applyBorder="1" applyAlignment="1">
      <alignment wrapText="1"/>
    </xf>
    <xf numFmtId="0" fontId="1" fillId="9" borderId="2" xfId="0" applyFont="1" applyFill="1" applyBorder="1" applyAlignment="1">
      <alignment horizontal="center"/>
    </xf>
    <xf numFmtId="0" fontId="1" fillId="9" borderId="6" xfId="0" applyFont="1" applyFill="1" applyBorder="1" applyAlignment="1">
      <alignment horizontal="center" wrapText="1"/>
    </xf>
    <xf numFmtId="1" fontId="0" fillId="0" borderId="0" xfId="0" applyNumberFormat="1" applyAlignment="1">
      <alignment horizontal="center"/>
    </xf>
    <xf numFmtId="1" fontId="23" fillId="0" borderId="0" xfId="0" applyNumberFormat="1" applyFont="1"/>
    <xf numFmtId="2" fontId="2" fillId="9" borderId="1" xfId="0" applyNumberFormat="1" applyFont="1" applyFill="1" applyBorder="1" applyAlignment="1">
      <alignment horizontal="center"/>
    </xf>
    <xf numFmtId="2" fontId="0" fillId="0" borderId="1" xfId="0" applyNumberFormat="1" applyBorder="1"/>
    <xf numFmtId="49" fontId="0" fillId="0" borderId="1" xfId="0" applyNumberFormat="1" applyBorder="1"/>
    <xf numFmtId="49" fontId="1" fillId="9" borderId="2" xfId="0" applyNumberFormat="1" applyFont="1" applyFill="1" applyBorder="1" applyAlignment="1">
      <alignment horizontal="center"/>
    </xf>
    <xf numFmtId="49" fontId="0" fillId="0" borderId="7" xfId="0" applyNumberFormat="1" applyBorder="1"/>
    <xf numFmtId="1" fontId="7" fillId="6" borderId="7" xfId="0" applyNumberFormat="1" applyFont="1" applyFill="1" applyBorder="1"/>
    <xf numFmtId="49" fontId="0" fillId="0" borderId="0" xfId="0" applyNumberFormat="1" applyAlignment="1">
      <alignment horizontal="left"/>
    </xf>
    <xf numFmtId="0" fontId="0" fillId="0" borderId="8" xfId="0" applyBorder="1" applyAlignment="1">
      <alignment wrapText="1"/>
    </xf>
    <xf numFmtId="0" fontId="7" fillId="0" borderId="7" xfId="0" applyFont="1" applyBorder="1"/>
    <xf numFmtId="49" fontId="23" fillId="0" borderId="0" xfId="0" applyNumberFormat="1" applyFont="1"/>
    <xf numFmtId="0" fontId="0" fillId="0" borderId="7" xfId="0" applyBorder="1" applyAlignment="1">
      <alignment wrapText="1"/>
    </xf>
    <xf numFmtId="2" fontId="1" fillId="2" borderId="2" xfId="0" applyNumberFormat="1" applyFont="1" applyFill="1" applyBorder="1" applyAlignment="1">
      <alignment horizontal="center"/>
    </xf>
    <xf numFmtId="2" fontId="0" fillId="0" borderId="1" xfId="0" applyNumberFormat="1" applyBorder="1" applyAlignment="1">
      <alignment horizontal="center"/>
    </xf>
    <xf numFmtId="2" fontId="0" fillId="0" borderId="0" xfId="0" applyNumberFormat="1" applyAlignment="1">
      <alignment horizontal="center"/>
    </xf>
    <xf numFmtId="49" fontId="0" fillId="0" borderId="0" xfId="0" applyNumberFormat="1" applyAlignment="1">
      <alignment horizontal="center"/>
    </xf>
    <xf numFmtId="0" fontId="0" fillId="0" borderId="11" xfId="0" applyBorder="1" applyAlignment="1">
      <alignment horizontal="center"/>
    </xf>
    <xf numFmtId="49" fontId="0" fillId="10" borderId="1" xfId="0" applyNumberFormat="1" applyFill="1" applyBorder="1" applyAlignment="1">
      <alignment vertical="center"/>
    </xf>
    <xf numFmtId="0" fontId="0" fillId="10" borderId="1" xfId="0" applyFill="1" applyBorder="1" applyAlignment="1">
      <alignment horizontal="center" vertical="center"/>
    </xf>
    <xf numFmtId="0" fontId="17" fillId="10" borderId="1" xfId="0" applyFont="1" applyFill="1" applyBorder="1" applyAlignment="1">
      <alignment horizontal="center" vertical="center"/>
    </xf>
    <xf numFmtId="0" fontId="21" fillId="10" borderId="1" xfId="0" applyFont="1" applyFill="1" applyBorder="1" applyAlignment="1">
      <alignment wrapText="1" shrinkToFit="1"/>
    </xf>
    <xf numFmtId="0" fontId="0" fillId="10" borderId="1" xfId="0" applyFill="1" applyBorder="1"/>
    <xf numFmtId="0" fontId="0" fillId="10" borderId="1" xfId="0" applyFill="1" applyBorder="1" applyAlignment="1">
      <alignment wrapText="1"/>
    </xf>
    <xf numFmtId="49" fontId="0" fillId="10" borderId="1" xfId="0" applyNumberFormat="1" applyFill="1" applyBorder="1"/>
    <xf numFmtId="0" fontId="21" fillId="10" borderId="1" xfId="0" applyFont="1" applyFill="1" applyBorder="1" applyAlignment="1">
      <alignment vertical="center" wrapText="1" shrinkToFit="1"/>
    </xf>
    <xf numFmtId="0" fontId="0" fillId="10" borderId="1" xfId="0" applyFill="1" applyBorder="1" applyAlignment="1">
      <alignment vertical="center"/>
    </xf>
    <xf numFmtId="49" fontId="5" fillId="10" borderId="1" xfId="0" applyNumberFormat="1" applyFont="1" applyFill="1" applyBorder="1" applyAlignment="1">
      <alignment vertical="center"/>
    </xf>
    <xf numFmtId="0" fontId="5" fillId="10" borderId="1" xfId="0" applyFont="1" applyFill="1" applyBorder="1" applyAlignment="1">
      <alignment horizontal="center" vertical="center"/>
    </xf>
    <xf numFmtId="0" fontId="19" fillId="10" borderId="1" xfId="0" applyFont="1" applyFill="1" applyBorder="1" applyAlignment="1">
      <alignment wrapText="1" shrinkToFit="1"/>
    </xf>
    <xf numFmtId="0" fontId="5" fillId="10" borderId="1" xfId="0" applyFont="1" applyFill="1" applyBorder="1"/>
    <xf numFmtId="0" fontId="19" fillId="10" borderId="1" xfId="0" applyFont="1" applyFill="1" applyBorder="1" applyAlignment="1">
      <alignment vertical="center" wrapText="1" shrinkToFit="1"/>
    </xf>
    <xf numFmtId="0" fontId="5" fillId="10" borderId="1" xfId="0" applyFont="1" applyFill="1" applyBorder="1" applyAlignment="1">
      <alignment vertical="center"/>
    </xf>
    <xf numFmtId="0" fontId="5" fillId="10" borderId="1" xfId="0" applyFont="1" applyFill="1" applyBorder="1" applyAlignment="1">
      <alignment wrapText="1"/>
    </xf>
    <xf numFmtId="0" fontId="0" fillId="10" borderId="7" xfId="0" applyFill="1" applyBorder="1"/>
    <xf numFmtId="0" fontId="15" fillId="10" borderId="1" xfId="0" applyFont="1" applyFill="1" applyBorder="1"/>
    <xf numFmtId="0" fontId="0" fillId="10" borderId="1" xfId="0" applyFill="1" applyBorder="1" applyAlignment="1">
      <alignment horizontal="left" vertical="center" wrapText="1"/>
    </xf>
    <xf numFmtId="49" fontId="17" fillId="10" borderId="1" xfId="0" applyNumberFormat="1" applyFont="1" applyFill="1" applyBorder="1" applyAlignment="1">
      <alignment vertical="center"/>
    </xf>
    <xf numFmtId="0" fontId="14" fillId="10" borderId="1" xfId="0" applyFont="1" applyFill="1" applyBorder="1" applyAlignment="1">
      <alignment vertical="center" wrapText="1" shrinkToFit="1"/>
    </xf>
    <xf numFmtId="0" fontId="17" fillId="10" borderId="1" xfId="0" applyFont="1" applyFill="1" applyBorder="1"/>
    <xf numFmtId="0" fontId="0" fillId="10" borderId="1" xfId="0" applyFill="1" applyBorder="1" applyAlignment="1">
      <alignment vertical="center" wrapText="1"/>
    </xf>
    <xf numFmtId="0" fontId="17" fillId="0" borderId="1" xfId="0" applyFont="1" applyBorder="1" applyAlignment="1">
      <alignment horizontal="center"/>
    </xf>
    <xf numFmtId="49" fontId="0" fillId="10" borderId="3" xfId="0" applyNumberFormat="1" applyFill="1" applyBorder="1" applyAlignment="1">
      <alignment vertical="center"/>
    </xf>
    <xf numFmtId="0" fontId="21" fillId="10" borderId="1" xfId="0" applyFont="1" applyFill="1" applyBorder="1" applyAlignment="1">
      <alignment horizontal="center" wrapText="1" shrinkToFit="1"/>
    </xf>
    <xf numFmtId="0" fontId="0" fillId="10" borderId="1" xfId="0" applyFill="1" applyBorder="1" applyAlignment="1">
      <alignment horizontal="center"/>
    </xf>
    <xf numFmtId="0" fontId="5" fillId="10" borderId="1" xfId="0" applyFont="1" applyFill="1" applyBorder="1" applyAlignment="1">
      <alignment vertical="center" wrapText="1"/>
    </xf>
    <xf numFmtId="49" fontId="15" fillId="10" borderId="1" xfId="0" applyNumberFormat="1" applyFont="1" applyFill="1" applyBorder="1" applyAlignment="1">
      <alignment horizontal="left" vertical="center" wrapText="1"/>
    </xf>
    <xf numFmtId="0" fontId="22" fillId="10" borderId="1" xfId="0" applyFont="1" applyFill="1" applyBorder="1" applyAlignment="1">
      <alignment horizontal="justify" vertical="center" wrapText="1" shrinkToFit="1"/>
    </xf>
    <xf numFmtId="49" fontId="0" fillId="11" borderId="3" xfId="0" applyNumberFormat="1" applyFill="1" applyBorder="1" applyAlignment="1">
      <alignment vertical="center"/>
    </xf>
    <xf numFmtId="0" fontId="0" fillId="11" borderId="1" xfId="0" applyFill="1" applyBorder="1" applyAlignment="1">
      <alignment horizontal="center" vertical="center"/>
    </xf>
    <xf numFmtId="0" fontId="21" fillId="11" borderId="1" xfId="0" applyFont="1" applyFill="1" applyBorder="1" applyAlignment="1">
      <alignment horizontal="center" wrapText="1" shrinkToFit="1"/>
    </xf>
    <xf numFmtId="0" fontId="0" fillId="11" borderId="1" xfId="0" applyFill="1" applyBorder="1" applyAlignment="1">
      <alignment horizontal="center"/>
    </xf>
    <xf numFmtId="0" fontId="0" fillId="11" borderId="1" xfId="0" applyFill="1" applyBorder="1" applyAlignment="1">
      <alignment horizontal="left"/>
    </xf>
    <xf numFmtId="164" fontId="0" fillId="8" borderId="1" xfId="0" applyNumberFormat="1" applyFill="1" applyBorder="1" applyAlignment="1">
      <alignment horizontal="center" vertical="center"/>
    </xf>
    <xf numFmtId="0" fontId="21" fillId="11" borderId="1" xfId="0" applyFont="1" applyFill="1" applyBorder="1" applyAlignment="1">
      <alignment wrapText="1" shrinkToFit="1"/>
    </xf>
    <xf numFmtId="0" fontId="0" fillId="11" borderId="1" xfId="0" applyFill="1" applyBorder="1"/>
    <xf numFmtId="0" fontId="0" fillId="8" borderId="1" xfId="0" applyFill="1" applyBorder="1" applyAlignment="1">
      <alignment horizontal="center" vertical="center"/>
    </xf>
    <xf numFmtId="0" fontId="0" fillId="10" borderId="1" xfId="0" applyFill="1" applyBorder="1" applyAlignment="1">
      <alignment horizontal="left"/>
    </xf>
    <xf numFmtId="0" fontId="0" fillId="10" borderId="1" xfId="0" applyFill="1" applyBorder="1" applyAlignment="1">
      <alignment horizontal="left" wrapText="1"/>
    </xf>
    <xf numFmtId="49" fontId="0" fillId="0" borderId="3" xfId="0" applyNumberFormat="1" applyBorder="1"/>
    <xf numFmtId="49" fontId="0" fillId="0" borderId="3" xfId="0" applyNumberFormat="1" applyBorder="1" applyAlignment="1">
      <alignment vertical="center"/>
    </xf>
    <xf numFmtId="0" fontId="0" fillId="8" borderId="1" xfId="0" applyFill="1" applyBorder="1" applyAlignment="1">
      <alignment horizontal="left"/>
    </xf>
    <xf numFmtId="0" fontId="18" fillId="8" borderId="1" xfId="0" applyFont="1" applyFill="1" applyBorder="1" applyAlignment="1">
      <alignment horizontal="center" vertical="center" wrapText="1"/>
    </xf>
    <xf numFmtId="49" fontId="0" fillId="10" borderId="10" xfId="0" applyNumberFormat="1" applyFill="1" applyBorder="1" applyAlignment="1">
      <alignment vertical="center"/>
    </xf>
    <xf numFmtId="0" fontId="0" fillId="10" borderId="7" xfId="0" applyFill="1" applyBorder="1" applyAlignment="1">
      <alignment horizontal="center" vertical="center"/>
    </xf>
    <xf numFmtId="0" fontId="21" fillId="10" borderId="7" xfId="0" applyFont="1" applyFill="1" applyBorder="1" applyAlignment="1">
      <alignment horizontal="center" wrapText="1" shrinkToFit="1"/>
    </xf>
    <xf numFmtId="0" fontId="0" fillId="10" borderId="7" xfId="0" applyFill="1" applyBorder="1" applyAlignment="1">
      <alignment horizontal="center"/>
    </xf>
    <xf numFmtId="164" fontId="0" fillId="8" borderId="7" xfId="0" applyNumberFormat="1" applyFill="1" applyBorder="1" applyAlignment="1">
      <alignment horizontal="center" vertical="center"/>
    </xf>
    <xf numFmtId="0" fontId="21" fillId="10" borderId="7" xfId="0" applyFont="1" applyFill="1" applyBorder="1" applyAlignment="1">
      <alignment wrapText="1" shrinkToFit="1"/>
    </xf>
    <xf numFmtId="0" fontId="0" fillId="10" borderId="7" xfId="0" applyFill="1" applyBorder="1" applyAlignment="1">
      <alignment horizontal="left" vertical="center" wrapText="1"/>
    </xf>
    <xf numFmtId="0" fontId="8" fillId="0" borderId="7" xfId="0" applyFont="1" applyBorder="1" applyAlignment="1">
      <alignment horizontal="center" vertical="center" wrapText="1"/>
    </xf>
    <xf numFmtId="49" fontId="0" fillId="10" borderId="10" xfId="0" applyNumberFormat="1" applyFill="1" applyBorder="1" applyAlignment="1">
      <alignment horizontal="left" vertical="center"/>
    </xf>
    <xf numFmtId="0" fontId="21" fillId="10" borderId="7" xfId="0" applyFont="1" applyFill="1" applyBorder="1" applyAlignment="1">
      <alignment horizontal="left" vertical="center" wrapText="1" shrinkToFit="1"/>
    </xf>
    <xf numFmtId="0" fontId="0" fillId="10" borderId="7" xfId="0" applyFill="1" applyBorder="1" applyAlignment="1">
      <alignment horizontal="left" vertical="center"/>
    </xf>
    <xf numFmtId="0" fontId="0" fillId="10" borderId="7" xfId="0" applyFill="1" applyBorder="1" applyAlignment="1">
      <alignment vertical="center"/>
    </xf>
    <xf numFmtId="49" fontId="5" fillId="10" borderId="10" xfId="0" applyNumberFormat="1" applyFont="1" applyFill="1" applyBorder="1"/>
    <xf numFmtId="0" fontId="5" fillId="10" borderId="8" xfId="0" applyFont="1" applyFill="1" applyBorder="1" applyAlignment="1">
      <alignment horizontal="center"/>
    </xf>
    <xf numFmtId="0" fontId="5" fillId="10" borderId="10" xfId="0" applyFont="1" applyFill="1" applyBorder="1"/>
    <xf numFmtId="0" fontId="5" fillId="10" borderId="7" xfId="0" applyFont="1" applyFill="1" applyBorder="1"/>
    <xf numFmtId="49" fontId="5" fillId="10" borderId="10" xfId="0" applyNumberFormat="1" applyFont="1" applyFill="1" applyBorder="1" applyAlignment="1">
      <alignment vertical="center"/>
    </xf>
    <xf numFmtId="0" fontId="5" fillId="10" borderId="8" xfId="0" applyFont="1" applyFill="1" applyBorder="1" applyAlignment="1">
      <alignment horizontal="center" vertical="center"/>
    </xf>
    <xf numFmtId="0" fontId="5" fillId="10" borderId="7" xfId="0" applyFont="1" applyFill="1" applyBorder="1" applyAlignment="1">
      <alignment wrapText="1"/>
    </xf>
    <xf numFmtId="49" fontId="0" fillId="10" borderId="10" xfId="0" applyNumberFormat="1" applyFill="1" applyBorder="1"/>
    <xf numFmtId="0" fontId="0" fillId="10" borderId="10" xfId="0" applyFill="1" applyBorder="1"/>
    <xf numFmtId="49" fontId="0" fillId="10" borderId="3" xfId="0" applyNumberFormat="1" applyFill="1" applyBorder="1"/>
    <xf numFmtId="0" fontId="0" fillId="10" borderId="3" xfId="0" applyFill="1" applyBorder="1"/>
    <xf numFmtId="49" fontId="0" fillId="10" borderId="7" xfId="0" applyNumberFormat="1" applyFill="1" applyBorder="1" applyAlignment="1">
      <alignment vertical="center"/>
    </xf>
    <xf numFmtId="0" fontId="17" fillId="10" borderId="7" xfId="0" applyFont="1" applyFill="1" applyBorder="1" applyAlignment="1">
      <alignment horizontal="center" vertical="center"/>
    </xf>
    <xf numFmtId="49" fontId="0" fillId="0" borderId="0" xfId="0" quotePrefix="1" applyNumberFormat="1"/>
    <xf numFmtId="9" fontId="0" fillId="0" borderId="7" xfId="0" applyNumberFormat="1" applyBorder="1" applyAlignment="1">
      <alignment horizontal="center"/>
    </xf>
    <xf numFmtId="49" fontId="0" fillId="0" borderId="11" xfId="0" applyNumberFormat="1" applyBorder="1" applyAlignment="1">
      <alignment horizontal="center"/>
    </xf>
    <xf numFmtId="9" fontId="0" fillId="0" borderId="7" xfId="2" applyFont="1" applyFill="1" applyBorder="1" applyAlignment="1">
      <alignment horizontal="center"/>
    </xf>
    <xf numFmtId="0" fontId="24" fillId="12" borderId="0" xfId="0" applyFont="1" applyFill="1"/>
    <xf numFmtId="49" fontId="24" fillId="12" borderId="0" xfId="0" applyNumberFormat="1" applyFont="1" applyFill="1" applyAlignment="1">
      <alignment horizontal="left"/>
    </xf>
    <xf numFmtId="0" fontId="25" fillId="12" borderId="0" xfId="0" applyFont="1" applyFill="1"/>
    <xf numFmtId="2" fontId="2" fillId="9" borderId="17" xfId="0" applyNumberFormat="1" applyFont="1" applyFill="1" applyBorder="1" applyAlignment="1">
      <alignment horizontal="left"/>
    </xf>
    <xf numFmtId="0" fontId="2" fillId="9" borderId="18" xfId="0" applyFont="1" applyFill="1" applyBorder="1" applyAlignment="1">
      <alignment horizontal="center"/>
    </xf>
    <xf numFmtId="0" fontId="0" fillId="9" borderId="18" xfId="0" applyFill="1" applyBorder="1" applyAlignment="1">
      <alignment horizontal="center"/>
    </xf>
    <xf numFmtId="0" fontId="2" fillId="9" borderId="19" xfId="0" applyFont="1" applyFill="1" applyBorder="1" applyAlignment="1">
      <alignment horizontal="center"/>
    </xf>
    <xf numFmtId="1" fontId="27" fillId="12" borderId="15" xfId="0" applyNumberFormat="1" applyFont="1" applyFill="1" applyBorder="1" applyAlignment="1">
      <alignment horizontal="left"/>
    </xf>
    <xf numFmtId="0" fontId="24" fillId="12" borderId="16" xfId="0" applyFont="1" applyFill="1" applyBorder="1"/>
    <xf numFmtId="0" fontId="24" fillId="12" borderId="16" xfId="0" applyFont="1" applyFill="1" applyBorder="1" applyAlignment="1">
      <alignment horizontal="center"/>
    </xf>
    <xf numFmtId="0" fontId="24" fillId="12" borderId="16" xfId="0" applyNumberFormat="1" applyFont="1" applyFill="1" applyBorder="1"/>
    <xf numFmtId="2" fontId="27" fillId="12" borderId="14" xfId="0" applyNumberFormat="1" applyFont="1" applyFill="1" applyBorder="1"/>
    <xf numFmtId="1" fontId="24" fillId="12" borderId="15" xfId="0" applyNumberFormat="1" applyFont="1" applyFill="1" applyBorder="1" applyAlignment="1">
      <alignment horizontal="left"/>
    </xf>
    <xf numFmtId="1" fontId="26" fillId="12" borderId="15" xfId="0" applyNumberFormat="1" applyFont="1" applyFill="1" applyBorder="1" applyAlignment="1">
      <alignment horizontal="left"/>
    </xf>
    <xf numFmtId="0" fontId="26" fillId="12" borderId="16" xfId="0" applyFont="1" applyFill="1" applyBorder="1"/>
    <xf numFmtId="0" fontId="26" fillId="12" borderId="16" xfId="0" applyFont="1" applyFill="1" applyBorder="1" applyAlignment="1">
      <alignment horizontal="center"/>
    </xf>
    <xf numFmtId="0" fontId="26" fillId="12" borderId="16" xfId="0" applyNumberFormat="1" applyFont="1" applyFill="1" applyBorder="1"/>
    <xf numFmtId="1" fontId="28" fillId="12" borderId="15" xfId="0" applyNumberFormat="1" applyFont="1" applyFill="1" applyBorder="1" applyAlignment="1">
      <alignment horizontal="left"/>
    </xf>
    <xf numFmtId="0" fontId="28" fillId="12" borderId="16" xfId="0" applyFont="1" applyFill="1" applyBorder="1"/>
    <xf numFmtId="0" fontId="28" fillId="12" borderId="16" xfId="0" applyFont="1" applyFill="1" applyBorder="1" applyAlignment="1">
      <alignment horizontal="center"/>
    </xf>
    <xf numFmtId="0" fontId="28" fillId="12" borderId="16" xfId="0" applyNumberFormat="1" applyFont="1" applyFill="1" applyBorder="1"/>
    <xf numFmtId="2" fontId="29" fillId="12" borderId="14" xfId="0" applyNumberFormat="1" applyFont="1" applyFill="1" applyBorder="1"/>
    <xf numFmtId="1" fontId="28" fillId="12" borderId="13" xfId="0" applyNumberFormat="1" applyFont="1" applyFill="1" applyBorder="1" applyAlignment="1">
      <alignment horizontal="left"/>
    </xf>
    <xf numFmtId="0" fontId="28" fillId="12" borderId="20" xfId="0" applyFont="1" applyFill="1" applyBorder="1"/>
    <xf numFmtId="0" fontId="28" fillId="12" borderId="20" xfId="0" applyFont="1" applyFill="1" applyBorder="1" applyAlignment="1">
      <alignment horizontal="center"/>
    </xf>
    <xf numFmtId="0" fontId="28" fillId="12" borderId="20" xfId="0" applyNumberFormat="1" applyFont="1" applyFill="1" applyBorder="1"/>
    <xf numFmtId="2" fontId="29" fillId="12" borderId="12" xfId="0" applyNumberFormat="1" applyFont="1" applyFill="1" applyBorder="1"/>
    <xf numFmtId="0" fontId="30" fillId="12" borderId="16" xfId="0" applyFont="1" applyFill="1" applyBorder="1" applyAlignment="1">
      <alignment horizontal="center" vertical="center"/>
    </xf>
    <xf numFmtId="0" fontId="30" fillId="12" borderId="16" xfId="0" applyFont="1" applyFill="1" applyBorder="1" applyAlignment="1">
      <alignment horizontal="center" vertical="center" wrapText="1"/>
    </xf>
    <xf numFmtId="0" fontId="31" fillId="12" borderId="16" xfId="0" applyFont="1" applyFill="1" applyBorder="1"/>
    <xf numFmtId="1" fontId="31" fillId="12" borderId="16" xfId="0" applyNumberFormat="1" applyFont="1" applyFill="1" applyBorder="1" applyAlignment="1">
      <alignment horizontal="center"/>
    </xf>
    <xf numFmtId="0" fontId="31" fillId="12" borderId="16" xfId="0" applyFont="1" applyFill="1" applyBorder="1" applyAlignment="1">
      <alignment horizontal="center"/>
    </xf>
  </cellXfs>
  <cellStyles count="3">
    <cellStyle name="Hiperlink" xfId="1" builtinId="8"/>
    <cellStyle name="Normal" xfId="0" builtinId="0"/>
    <cellStyle name="Porcentagem" xfId="2" builtinId="5"/>
  </cellStyles>
  <dxfs count="19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0"/>
        <name val="Calibri"/>
        <scheme val="minor"/>
      </font>
      <numFmt numFmtId="2" formatCode="0.00"/>
      <fill>
        <patternFill>
          <fgColor indexed="64"/>
          <bgColor theme="1"/>
        </patternFill>
      </fill>
      <border diagonalUp="0" diagonalDown="0">
        <left style="thin">
          <color theme="4"/>
        </left>
        <right/>
        <top style="thin">
          <color theme="4"/>
        </top>
        <bottom style="thin">
          <color theme="4"/>
        </bottom>
        <vertical style="thin">
          <color theme="4"/>
        </vertical>
        <horizontal style="thin">
          <color theme="4"/>
        </horizontal>
      </border>
    </dxf>
    <dxf>
      <border diagonalUp="0" diagonalDown="0">
        <left style="thin">
          <color indexed="64"/>
        </left>
        <right style="thin">
          <color indexed="64"/>
        </right>
        <top style="thin">
          <color indexed="64"/>
        </top>
        <bottom style="thin">
          <color indexed="64"/>
        </bottom>
        <vertical/>
        <horizontal/>
      </border>
    </dxf>
    <dxf>
      <fill>
        <patternFill>
          <fgColor indexed="64"/>
          <bgColor theme="0"/>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style="thin">
          <color indexed="64"/>
        </left>
        <right style="thin">
          <color indexed="64"/>
        </right>
        <top style="thin">
          <color indexed="64"/>
        </top>
        <bottom style="thin">
          <color indexed="64"/>
        </bottom>
      </border>
    </dxf>
    <dxf>
      <fill>
        <patternFill>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Arial"/>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outline="0">
        <left style="thin">
          <color indexed="64"/>
        </left>
      </border>
    </dxf>
    <dxf>
      <numFmt numFmtId="2" formatCode="0.00"/>
      <alignment horizontal="center" vertical="bottom" textRotation="0" wrapText="0" indent="0" justifyLastLine="0" shrinkToFit="0" readingOrder="0"/>
    </dxf>
    <dxf>
      <border outline="0">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Calibri"/>
        <scheme val="minor"/>
      </font>
      <numFmt numFmtId="1" formatCode="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scheme val="minor"/>
      </font>
      <fill>
        <patternFill patternType="solid">
          <fgColor indexed="64"/>
          <bgColor theme="0" tint="-0.14999847407452621"/>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solid">
          <fgColor indexed="64"/>
          <bgColor theme="3" tint="-0.499984740745262"/>
        </patternFill>
      </fill>
    </dxf>
    <dxf>
      <font>
        <b val="0"/>
        <i val="0"/>
        <strike val="0"/>
        <condense val="0"/>
        <extend val="0"/>
        <outline val="0"/>
        <shadow val="0"/>
        <u val="none"/>
        <vertAlign val="baseline"/>
        <sz val="11"/>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indexed="8"/>
        <name val="Calibri"/>
        <scheme val="none"/>
      </font>
      <numFmt numFmtId="1" formatCode="0"/>
      <fill>
        <patternFill patternType="none">
          <fgColor indexed="64"/>
          <bgColor indexed="65"/>
        </patternFill>
      </fill>
      <alignment horizontal="general" vertical="bottom" textRotation="0" wrapText="0" indent="0" justifyLastLine="0" shrinkToFit="0" readingOrder="0"/>
      <protection locked="1" hidden="0"/>
    </dxf>
    <dxf>
      <numFmt numFmtId="30" formatCode="@"/>
    </dxf>
    <dxf>
      <fill>
        <patternFill patternType="solid">
          <fgColor indexed="64"/>
          <bgColor theme="3" tint="-0.499984740745262"/>
        </patternFill>
      </fill>
    </dxf>
    <dxf>
      <numFmt numFmtId="2" formatCode="0.00"/>
    </dxf>
    <dxf>
      <numFmt numFmtId="0" formatCode="General"/>
      <fill>
        <patternFill patternType="solid">
          <fgColor indexed="64"/>
          <bgColor theme="2" tint="-9.9978637043366805E-2"/>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dxf>
    <dxf>
      <font>
        <b/>
        <i val="0"/>
        <strike val="0"/>
        <condense val="0"/>
        <extend val="0"/>
        <outline val="0"/>
        <shadow val="0"/>
        <u val="none"/>
        <vertAlign val="baseline"/>
        <sz val="11"/>
        <color theme="1"/>
        <name val="Calibri"/>
        <scheme val="minor"/>
      </font>
      <fill>
        <patternFill patternType="solid">
          <fgColor indexed="64"/>
          <bgColor theme="3" tint="-0.499984740745262"/>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1"/>
        <color theme="2"/>
        <name val="Calibri"/>
        <scheme val="minor"/>
      </font>
      <fill>
        <patternFill patternType="solid">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numFmt numFmtId="0" formatCode="General"/>
      <fill>
        <patternFill patternType="solid">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alignment horizontal="center" vertical="bottom" textRotation="0" wrapText="0" indent="0" justifyLastLine="0" shrinkToFit="0" readingOrder="0"/>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alignment horizontal="center" vertical="bottom" textRotation="0" wrapText="0" indent="0" justifyLastLine="0" shrinkToFit="0" readingOrder="0"/>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fill>
        <patternFill>
          <fgColor indexed="64"/>
          <bgColor theme="1"/>
        </patternFill>
      </fill>
      <border diagonalUp="0" diagonalDown="0">
        <left style="thin">
          <color theme="4"/>
        </left>
        <right style="thin">
          <color theme="4"/>
        </right>
        <top style="thin">
          <color theme="4"/>
        </top>
        <bottom style="thin">
          <color theme="4"/>
        </bottom>
        <vertical style="thin">
          <color theme="4"/>
        </vertical>
        <horizontal style="thin">
          <color theme="4"/>
        </horizontal>
      </border>
    </dxf>
    <dxf>
      <font>
        <strike val="0"/>
        <outline val="0"/>
        <shadow val="0"/>
        <vertAlign val="baseline"/>
        <sz val="11"/>
        <color theme="2"/>
        <name val="Calibri"/>
        <scheme val="minor"/>
      </font>
      <numFmt numFmtId="1" formatCode="0"/>
      <fill>
        <patternFill>
          <fgColor indexed="64"/>
          <bgColor theme="1"/>
        </patternFill>
      </fill>
      <alignment horizontal="left" vertical="bottom" textRotation="0" wrapText="0" indent="0" justifyLastLine="0" shrinkToFit="0" readingOrder="0"/>
      <border diagonalUp="0" diagonalDown="0">
        <left/>
        <right style="thin">
          <color theme="4"/>
        </right>
        <top style="thin">
          <color theme="4"/>
        </top>
        <bottom style="thin">
          <color theme="4"/>
        </bottom>
        <vertical style="thin">
          <color theme="4"/>
        </vertical>
        <horizontal style="thin">
          <color theme="4"/>
        </horizontal>
      </border>
    </dxf>
    <dxf>
      <border>
        <top style="thin">
          <color theme="4"/>
        </top>
      </border>
    </dxf>
    <dxf>
      <border diagonalUp="0" diagonalDown="0">
        <left style="thin">
          <color theme="4"/>
        </left>
        <right style="thin">
          <color theme="4"/>
        </right>
        <top style="thin">
          <color theme="4"/>
        </top>
        <bottom style="thin">
          <color theme="4"/>
        </bottom>
      </border>
    </dxf>
    <dxf>
      <font>
        <strike val="0"/>
        <outline val="0"/>
        <shadow val="0"/>
        <vertAlign val="baseline"/>
        <sz val="11"/>
        <color theme="2"/>
        <name val="Calibri"/>
        <scheme val="minor"/>
      </font>
      <fill>
        <patternFill>
          <fgColor indexed="64"/>
          <bgColor theme="1"/>
        </patternFill>
      </fill>
    </dxf>
    <dxf>
      <border>
        <bottom style="thin">
          <color theme="4"/>
        </bottom>
      </border>
    </dxf>
    <dxf>
      <font>
        <b/>
        <i val="0"/>
        <strike val="0"/>
        <condense val="0"/>
        <extend val="0"/>
        <outline val="0"/>
        <shadow val="0"/>
        <u val="none"/>
        <vertAlign val="baseline"/>
        <sz val="11"/>
        <color theme="1"/>
        <name val="Calibri"/>
        <scheme val="minor"/>
      </font>
      <fill>
        <patternFill patternType="solid">
          <fgColor indexed="64"/>
          <bgColor theme="3" tint="-0.499984740745262"/>
        </patternFill>
      </fill>
      <alignment horizontal="center" vertical="bottom" textRotation="0" wrapText="0" indent="0" justifyLastLine="0" shrinkToFit="0" readingOrder="0"/>
      <border diagonalUp="0" diagonalDown="0">
        <left style="thin">
          <color theme="4"/>
        </left>
        <right style="thin">
          <color theme="4"/>
        </right>
        <top/>
        <bottom/>
        <vertical style="thin">
          <color theme="4"/>
        </vertical>
        <horizontal style="thin">
          <color theme="4"/>
        </horizontal>
      </border>
    </dxf>
    <dxf>
      <font>
        <strike val="0"/>
        <outline val="0"/>
        <shadow val="0"/>
        <u val="none"/>
        <vertAlign val="baseline"/>
        <sz val="11"/>
        <color theme="7"/>
        <name val="Calibri"/>
        <scheme val="minor"/>
      </font>
      <numFmt numFmtId="0" formatCode="General"/>
      <fill>
        <patternFill>
          <fgColor indexed="64"/>
          <bgColor theme="1"/>
        </patternFill>
      </fill>
      <border diagonalUp="0" diagonalDown="0" outline="0">
        <left style="thin">
          <color theme="4"/>
        </left>
        <right/>
        <top style="thin">
          <color theme="4"/>
        </top>
        <bottom style="thin">
          <color theme="4"/>
        </bottom>
      </border>
    </dxf>
    <dxf>
      <font>
        <strike val="0"/>
        <outline val="0"/>
        <shadow val="0"/>
        <u val="none"/>
        <vertAlign val="baseline"/>
        <sz val="11"/>
        <color theme="7"/>
        <name val="Calibri"/>
        <scheme val="minor"/>
      </font>
      <numFmt numFmtId="0" formatCode="General"/>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alignment horizontal="center" vertical="bottom" textRotation="0" wrapText="0" indent="0" justifyLastLine="0" shrinkToFit="0" readingOrder="0"/>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alignment horizontal="center" vertical="bottom" textRotation="0" wrapText="0" indent="0" justifyLastLine="0" shrinkToFit="0" readingOrder="0"/>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fill>
        <patternFill>
          <fgColor indexed="64"/>
          <bgColor theme="1"/>
        </patternFill>
      </fill>
      <border diagonalUp="0" diagonalDown="0" outline="0">
        <left style="thin">
          <color theme="4"/>
        </left>
        <right style="thin">
          <color theme="4"/>
        </right>
        <top style="thin">
          <color theme="4"/>
        </top>
        <bottom style="thin">
          <color theme="4"/>
        </bottom>
      </border>
    </dxf>
    <dxf>
      <font>
        <strike val="0"/>
        <outline val="0"/>
        <shadow val="0"/>
        <u val="none"/>
        <vertAlign val="baseline"/>
        <sz val="11"/>
        <color theme="7"/>
        <name val="Calibri"/>
        <scheme val="minor"/>
      </font>
      <numFmt numFmtId="1" formatCode="0"/>
      <fill>
        <patternFill>
          <fgColor indexed="64"/>
          <bgColor theme="1"/>
        </patternFill>
      </fill>
      <alignment horizontal="center" textRotation="0" wrapText="0" indent="0" justifyLastLine="0" shrinkToFit="0" readingOrder="0"/>
      <border diagonalUp="0" diagonalDown="0" outline="0">
        <left/>
        <right style="thin">
          <color theme="4"/>
        </right>
        <top style="thin">
          <color theme="4"/>
        </top>
        <bottom style="thin">
          <color theme="4"/>
        </bottom>
      </border>
    </dxf>
    <dxf>
      <border outline="0">
        <top style="thin">
          <color indexed="64"/>
        </top>
      </border>
    </dxf>
    <dxf>
      <font>
        <strike val="0"/>
        <outline val="0"/>
        <shadow val="0"/>
        <u val="none"/>
        <vertAlign val="baseline"/>
        <sz val="11"/>
        <color theme="7"/>
        <name val="Calibri"/>
        <scheme val="minor"/>
      </font>
      <fill>
        <patternFill>
          <fgColor indexed="64"/>
          <bgColor theme="1"/>
        </patternFill>
      </fill>
    </dxf>
    <dxf>
      <border outline="0">
        <bottom style="thin">
          <color indexed="64"/>
        </bottom>
      </border>
    </dxf>
    <dxf>
      <font>
        <b/>
        <i val="0"/>
        <strike val="0"/>
        <condense val="0"/>
        <extend val="0"/>
        <outline val="0"/>
        <shadow val="0"/>
        <u val="none"/>
        <vertAlign val="baseline"/>
        <sz val="11"/>
        <color theme="7"/>
        <name val="Calibri"/>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theme="4"/>
        </left>
        <right style="thin">
          <color theme="4"/>
        </right>
        <top/>
        <bottom/>
      </border>
    </dxf>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 formatCode="@"/>
      <border diagonalUp="0" diagonalDown="0" outline="0">
        <left style="thin">
          <color indexed="64"/>
        </left>
        <right style="thin">
          <color indexed="64"/>
        </right>
        <top style="thin">
          <color indexed="64"/>
        </top>
        <bottom style="thin">
          <color indexed="64"/>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ill>
        <patternFill patternType="solid">
          <fgColor indexed="64"/>
          <bgColor theme="3" tint="-0.499984740745262"/>
        </patternFill>
      </fill>
      <alignment horizontal="center" vertical="bottom" textRotation="0" indent="0" justifyLastLine="0" shrinkToFit="0" readingOrder="0"/>
      <border diagonalUp="0" diagonalDown="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Calibri"/>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general" vertical="bottom" textRotation="0" wrapText="1" indent="0" justifyLastLine="0" shrinkToFit="0" readingOrder="0"/>
      <border diagonalUp="0" diagonalDown="0">
        <left style="thin">
          <color indexed="64"/>
        </left>
        <right style="thin">
          <color indexed="64"/>
        </right>
        <top/>
        <bottom/>
      </border>
    </dxf>
    <dxf>
      <numFmt numFmtId="0" formatCode="General"/>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scheme val="minor"/>
      </font>
      <fill>
        <patternFill patternType="solid">
          <fgColor indexed="64"/>
          <bgColor theme="9" tint="0.59999389629810485"/>
        </patternFill>
      </fill>
      <alignment horizontal="general" vertical="bottom" textRotation="0" wrapText="1" indent="0" justifyLastLine="0" shrinkToFit="1" readingOrder="0"/>
      <border diagonalUp="0" diagonalDown="0">
        <left style="thin">
          <color indexed="64"/>
        </left>
        <right style="thin">
          <color indexed="64"/>
        </right>
        <top style="thin">
          <color indexed="64"/>
        </top>
        <bottom style="thin">
          <color indexed="64"/>
        </bottom>
        <vertical/>
        <horizontal/>
      </border>
    </dxf>
    <dxf>
      <font>
        <color auto="1"/>
      </font>
      <numFmt numFmtId="0" formatCode="General"/>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0" formatCode="@"/>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alignment horizontal="left" textRotation="0" indent="0" justifyLastLine="0" shrinkToFit="0" readingOrder="0"/>
      <border diagonalUp="0" diagonalDown="0" outline="0">
        <left style="thin">
          <color indexed="64"/>
        </left>
        <right/>
        <top style="thin">
          <color indexed="64"/>
        </top>
        <bottom style="thin">
          <color indexed="64"/>
        </bottom>
      </border>
    </dxf>
    <dxf>
      <fill>
        <patternFill patternType="none">
          <fgColor indexed="64"/>
          <bgColor auto="1"/>
        </patternFill>
      </fill>
      <alignment horizontal="left"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theme="3"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id="7" name="PartcAliqIcms" displayName="PartcAliqIcms" ref="A1:G612" totalsRowShown="0" headerRowDxfId="189" dataDxfId="187" headerRowBorderDxfId="188" tableBorderDxfId="186" totalsRowBorderDxfId="185">
  <autoFilter ref="A1:G612"/>
  <tableColumns count="7">
    <tableColumn id="1" name="Código NCM" dataDxfId="184"/>
    <tableColumn id="2" name="Alíquota" dataDxfId="183"/>
    <tableColumn id="3" name="Protege" dataDxfId="182"/>
    <tableColumn id="4" name="Alíquota Efetiva" dataDxfId="181" dataCellStyle="Porcentagem"/>
    <tableColumn id="5" name="NCM" dataDxfId="180">
      <calculatedColumnFormula>RIGHT(PartcAliqIcms[[#This Row],[Código NCM]],8)</calculatedColumnFormula>
    </tableColumn>
    <tableColumn id="6" name="Descrição" dataDxfId="179"/>
    <tableColumn id="7" name="Particularidades" dataDxfId="178"/>
  </tableColumns>
  <tableStyleInfo name="TableStyleMedium2" showFirstColumn="0" showLastColumn="0" showRowStripes="1" showColumnStripes="0"/>
</table>
</file>

<file path=xl/tables/table2.xml><?xml version="1.0" encoding="utf-8"?>
<table xmlns="http://schemas.openxmlformats.org/spreadsheetml/2006/main" id="10" name="PisCofinsAliquot" displayName="PisCofinsAliquot" ref="A1:I967" totalsRowShown="0" headerRowDxfId="177" headerRowBorderDxfId="176" tableBorderDxfId="175">
  <autoFilter ref="A1:I967"/>
  <tableColumns count="9">
    <tableColumn id="1" name="Código NCM" dataDxfId="174"/>
    <tableColumn id="2" name="Classificação" dataDxfId="173"/>
    <tableColumn id="8" name="NCM" dataDxfId="172">
      <calculatedColumnFormula>RIGHT(PisCofinsAliquot[[#This Row],[Código NCM]],8)</calculatedColumnFormula>
    </tableColumn>
    <tableColumn id="3" name="Descrição" dataDxfId="171"/>
    <tableColumn id="4" name="Regime Emitente" dataDxfId="170"/>
    <tableColumn id="5" name="Particularidades" dataDxfId="169"/>
    <tableColumn id="6" name="Pis" dataDxfId="168"/>
    <tableColumn id="7" name="Cofins" dataDxfId="167"/>
    <tableColumn id="9" name="CST" dataDxfId="166">
      <calculatedColumnFormula>IF(PisCofinsAliquot[[#This Row],[Classificação]]="Alíquota 0",6,IF(PisCofinsAliquot[[#This Row],[Classificação]]="Monofásico",4,IF(PisCofinsAliquot[[#This Row],[Classificação]]="Regra Geral",1,IF(PisCofinsAliquot[[#This Row],[Classificação]]="ST",5))))</calculatedColumnFormula>
    </tableColumn>
  </tableColumns>
  <tableStyleInfo name="TableStyleLight9" showFirstColumn="0" showLastColumn="0" showRowStripes="1" showColumnStripes="0"/>
</table>
</file>

<file path=xl/tables/table3.xml><?xml version="1.0" encoding="utf-8"?>
<table xmlns="http://schemas.openxmlformats.org/spreadsheetml/2006/main" id="5" name="Tabela5" displayName="Tabela5" ref="A1:X717" totalsRowShown="0" headerRowDxfId="165" headerRowBorderDxfId="164" tableBorderDxfId="163">
  <autoFilter ref="A1:X717"/>
  <tableColumns count="24">
    <tableColumn id="1" name="NCM" dataDxfId="162"/>
    <tableColumn id="2" name="Cod. Ncm" dataDxfId="161">
      <calculatedColumnFormula>RIGHT(A2,8)</calculatedColumnFormula>
    </tableColumn>
    <tableColumn id="23" name="ID NCM OPERACAO" dataDxfId="160">
      <calculatedColumnFormula>Tabela5[[#This Row],[Cod. Ncm]]&amp;"-"&amp;Tabela5[[#This Row],[Operações]]</calculatedColumnFormula>
    </tableColumn>
    <tableColumn id="3" name="Operações" dataDxfId="159"/>
    <tableColumn id="4" name="Redução Aplicável" dataDxfId="158"/>
    <tableColumn id="5" name="REDUÇÃO" dataDxfId="157"/>
    <tableColumn id="6" name=" Descrição" dataDxfId="156"/>
    <tableColumn id="7" name="Base Legal da Redução" dataDxfId="155"/>
    <tableColumn id="8" name="Observação 1" dataDxfId="154"/>
    <tableColumn id="9" name="Observação 2" dataDxfId="153"/>
    <tableColumn id="10" name="Observação 3" dataDxfId="152"/>
    <tableColumn id="11" name="Observação 4" dataDxfId="151"/>
    <tableColumn id="12" name="Observação 5" dataDxfId="150"/>
    <tableColumn id="13" name="Observação 6" dataDxfId="149"/>
    <tableColumn id="14" name="Observação 7" dataDxfId="148"/>
    <tableColumn id="15" name="Observação 8" dataDxfId="147"/>
    <tableColumn id="16" name="Observação 9" dataDxfId="146"/>
    <tableColumn id="17" name="Observação 10" dataDxfId="145"/>
    <tableColumn id="18" name="Observação 11" dataDxfId="144"/>
    <tableColumn id="19" name="Observação 12" dataDxfId="143"/>
    <tableColumn id="20" name="Observação 13" dataDxfId="142"/>
    <tableColumn id="21" name="Observação 14" dataDxfId="141"/>
    <tableColumn id="22" name="Observação 15" dataDxfId="140"/>
    <tableColumn id="24" name="Particularidades" dataDxfId="139"/>
  </tableColumns>
  <tableStyleInfo name="TableStyleLight9" showFirstColumn="0" showLastColumn="0" showRowStripes="1" showColumnStripes="0"/>
</table>
</file>

<file path=xl/tables/table4.xml><?xml version="1.0" encoding="utf-8"?>
<table xmlns="http://schemas.openxmlformats.org/spreadsheetml/2006/main" id="6" name="ISENCOES" displayName="ISENCOES" ref="A1:D140" totalsRowShown="0" headerRowDxfId="138" headerRowBorderDxfId="137" tableBorderDxfId="136" totalsRowBorderDxfId="135">
  <autoFilter ref="A1:D140"/>
  <tableColumns count="4">
    <tableColumn id="1" name="Coluna1" dataDxfId="134"/>
    <tableColumn id="2" name="NCM" dataDxfId="133"/>
    <tableColumn id="4" name="Isenção" dataDxfId="132"/>
    <tableColumn id="3" name=" Descrição" dataDxfId="131"/>
  </tableColumns>
  <tableStyleInfo name="TableStyleLight9" showFirstColumn="0" showLastColumn="0" showRowStripes="1" showColumnStripes="0"/>
</table>
</file>

<file path=xl/tables/table5.xml><?xml version="1.0" encoding="utf-8"?>
<table xmlns="http://schemas.openxmlformats.org/spreadsheetml/2006/main" id="9" name="excPisCofins" displayName="excPisCofins" ref="A1:I26591" totalsRowShown="0" headerRowDxfId="130" dataDxfId="128" headerRowBorderDxfId="129" tableBorderDxfId="127">
  <autoFilter ref="A1:I26591"/>
  <tableColumns count="9">
    <tableColumn id="1" name="CodBarras2" dataDxfId="126"/>
    <tableColumn id="2" name="Classificação" dataDxfId="125"/>
    <tableColumn id="3" name="Regime" dataDxfId="124"/>
    <tableColumn id="4" name="Regime Emitente" dataDxfId="123"/>
    <tableColumn id="5" name="Regime Destinatário" dataDxfId="122"/>
    <tableColumn id="6" name="Pis" dataDxfId="121"/>
    <tableColumn id="7" name="Cofins" dataDxfId="120"/>
    <tableColumn id="8" name="CST" dataDxfId="119">
      <calculatedColumnFormula>IF(excPisCofins[[#This Row],[Regime]]="Alíquota 0",6,IF(excPisCofins[[#This Row],[Regime]]="Monofásico",4,IF(excPisCofins[[#This Row],[Regime]]="Regra Geral",1,IF(excPisCofins[[#This Row],[Regime]]="Substituição Tributária",5,"erro"))))</calculatedColumnFormula>
    </tableColumn>
    <tableColumn id="9" name="CodBarras" dataDxfId="118">
      <calculatedColumnFormula>MID(excPisCofins[[#This Row],[CodBarras2]],2,50)</calculatedColumnFormula>
    </tableColumn>
  </tableColumns>
  <tableStyleInfo name="TableStyleLight9" showFirstColumn="0" showLastColumn="0" showRowStripes="1" showColumnStripes="0"/>
</table>
</file>

<file path=xl/tables/table6.xml><?xml version="1.0" encoding="utf-8"?>
<table xmlns="http://schemas.openxmlformats.org/spreadsheetml/2006/main" id="14" name="Tabela3" displayName="Tabela3" ref="A1:G32" totalsRowShown="0" headerRowDxfId="117" dataDxfId="115" headerRowBorderDxfId="116" tableBorderDxfId="114" totalsRowBorderDxfId="113">
  <autoFilter ref="A1:G32"/>
  <sortState ref="A812:H2628">
    <sortCondition ref="B1:B3706"/>
  </sortState>
  <tableColumns count="7">
    <tableColumn id="1" name="Códigodebarras" dataDxfId="112"/>
    <tableColumn id="2" name="Produto" dataDxfId="111"/>
    <tableColumn id="3" name="ST?" dataDxfId="110"/>
    <tableColumn id="4" name="Alíquota" dataDxfId="109"/>
    <tableColumn id="5" name="Isenção" dataDxfId="108">
      <calculatedColumnFormula>IF(D2="","",IF(Tabela3[[#This Row],[ST?]]="Red","Redução",IF(AND(D2=0,C2="nãost"),"isenção","sem isenção")))</calculatedColumnFormula>
    </tableColumn>
    <tableColumn id="8" name="CBNEF" dataDxfId="107"/>
    <tableColumn id="6" name="Cod. Barras Tratado" dataDxfId="56"/>
  </tableColumns>
  <tableStyleInfo name="TableStyleLight9" showFirstColumn="0" showLastColumn="0" showRowStripes="1" showColumnStripes="0"/>
</table>
</file>

<file path=xl/tables/table7.xml><?xml version="1.0" encoding="utf-8"?>
<table xmlns="http://schemas.openxmlformats.org/spreadsheetml/2006/main" id="12" name="ExcecoesInter" displayName="ExcecoesInter" ref="A1:F2" totalsRowShown="0" headerRowDxfId="106">
  <tableColumns count="6">
    <tableColumn id="1" name="Códigodebarras" dataDxfId="105"/>
    <tableColumn id="2" name="Produto"/>
    <tableColumn id="3" name="ST?" dataDxfId="104"/>
    <tableColumn id="4" name="Alíquota" dataDxfId="103"/>
    <tableColumn id="5" name="Isenção" dataDxfId="102">
      <calculatedColumnFormula>IF(D2="","",IF(AND(D2=0,C2="nãost"),"isenção","sem isenção"))</calculatedColumnFormula>
    </tableColumn>
    <tableColumn id="6" name="Cod. Barras Tratado" dataDxfId="101">
      <calculatedColumnFormula>IF(ExcecoesInter[[#This Row],[Códigodebarras]]="",RAND(),ExcecoesInter[[#This Row],[Códigodebarras]])</calculatedColumnFormula>
    </tableColumn>
  </tableColumns>
  <tableStyleInfo name="TableStyleLight9" showFirstColumn="0" showLastColumn="0" showRowStripes="1" showColumnStripes="0"/>
</table>
</file>

<file path=xl/tables/table8.xml><?xml version="1.0" encoding="utf-8"?>
<table xmlns="http://schemas.openxmlformats.org/spreadsheetml/2006/main" id="11" name="CheckNCM" displayName="CheckNCM" ref="A1:D5230" totalsRowShown="0" headerRowDxfId="100">
  <autoFilter ref="A1:D5230"/>
  <tableColumns count="4">
    <tableColumn id="1" name="NCM" dataDxfId="99"/>
    <tableColumn id="2" name="CodBarras" dataDxfId="98"/>
    <tableColumn id="3" name="Produto" dataDxfId="97"/>
    <tableColumn id="4" name="Desc Validado" dataDxfId="96"/>
  </tableColumns>
  <tableStyleInfo name="TableStyleMedium2" showFirstColumn="0" showLastColumn="0" showRowStripes="1" showColumnStripes="0"/>
</table>
</file>

<file path=xl/tables/table9.xml><?xml version="1.0" encoding="utf-8"?>
<table xmlns="http://schemas.openxmlformats.org/spreadsheetml/2006/main" id="8" name="tabICMS" displayName="tabICMS" ref="A1:D29" totalsRowShown="0" headerRowDxfId="95" tableBorderDxfId="94">
  <autoFilter ref="A1:D29"/>
  <tableColumns count="4">
    <tableColumn id="1" name="UF ORIGEM" dataDxfId="93"/>
    <tableColumn id="2" name="UF DESTINO" dataDxfId="92"/>
    <tableColumn id="3" name="ALIQUOTA" dataDxfId="91"/>
    <tableColumn id="4" name="IDIcmsTab"/>
  </tableColumns>
  <tableStyleInfo name="TableStyleLight9" showFirstColumn="0" showLastColumn="0" showRowStripes="1" showColumnStripes="0"/>
</table>
</file>

<file path=xl/tables/table10.xml><?xml version="1.0" encoding="utf-8"?>
<table xmlns="http://schemas.openxmlformats.org/spreadsheetml/2006/main" id="4" name="CSTABLE" displayName="CSTABLE" ref="A15:G1977" totalsRowShown="0" headerRowDxfId="90" headerRowBorderDxfId="89" tableBorderDxfId="88">
  <autoFilter ref="A15:G1977"/>
  <tableColumns count="7">
    <tableColumn id="1" name="ncm" dataDxfId="87"/>
    <tableColumn id="2" name="NomeNCM" dataDxfId="86"/>
    <tableColumn id="3" name="ST" dataDxfId="85">
      <calculatedColumnFormula>IFERROR(VLOOKUP(B16,ST!C:D,2,0),"NÃOST")</calculatedColumnFormula>
    </tableColumn>
    <tableColumn id="4" name="Coluna2" dataDxfId="84"/>
    <tableColumn id="5" name="ISENÇÃO" dataDxfId="83">
      <calculatedColumnFormula>IF(COUNTIF(ISENÇÕES!A:A,CST!B16)&gt;0,"ISENÇÃO","SEM ISENÇÃO")</calculatedColumnFormula>
    </tableColumn>
    <tableColumn id="6" name="REDUÇÃO ECONET" dataDxfId="82">
      <calculatedColumnFormula>IF(COUNTIF(REDUÇÕES!A:A,CST!B16)&gt;0,"REDUÇÃO","NÃO REDUÇÃO")</calculatedColumnFormula>
    </tableColumn>
    <tableColumn id="7" name="CST" dataDxfId="81">
      <calculatedColumnFormula>VLOOKUP(C16&amp;F16&amp;E16,$B$3:$F$10,5,0)</calculatedColumnFormula>
    </tableColumn>
  </tableColumns>
  <tableStyleInfo name="TableStyleLight9" showFirstColumn="0" showLastColumn="0" showRowStripes="1" showColumnStripes="0"/>
</table>
</file>

<file path=xl/tables/table11.xml><?xml version="1.0" encoding="utf-8"?>
<table xmlns="http://schemas.openxmlformats.org/spreadsheetml/2006/main" id="1" name="Tabela1" displayName="Tabela1" ref="A1:F158" totalsRowShown="0" headerRowDxfId="80" headerRowBorderDxfId="79" tableBorderDxfId="78" totalsRowBorderDxfId="77">
  <autoFilter ref="A1:F158"/>
  <tableColumns count="6">
    <tableColumn id="1" name="CEST" dataDxfId="76"/>
    <tableColumn id="2" name="NCM" dataDxfId="75">
      <calculatedColumnFormula>RIGHT(Tabela1[[#This Row],[Código para fórmula]],8)</calculatedColumnFormula>
    </tableColumn>
    <tableColumn id="3" name="Código para fórmula" dataDxfId="74"/>
    <tableColumn id="4" name="ST" dataDxfId="73"/>
    <tableColumn id="5" name="MVA" dataDxfId="72"/>
    <tableColumn id="6" name="Redução ICMS" dataDxfId="71"/>
  </tableColumns>
  <tableStyleInfo name="TableStyleLight9" showFirstColumn="0" showLastColumn="0" showRowStripes="1" showColumnStripes="0"/>
</table>
</file>

<file path=xl/tables/table12.xml><?xml version="1.0" encoding="utf-8"?>
<table xmlns="http://schemas.openxmlformats.org/spreadsheetml/2006/main" id="2" name="Tabela2" displayName="Tabela2" ref="A1:J22" totalsRowShown="0" headerRowDxfId="70" headerRowBorderDxfId="69" tableBorderDxfId="68" totalsRowBorderDxfId="67">
  <autoFilter ref="A1:J22"/>
  <tableColumns count="10">
    <tableColumn id="1" name="Código concatenado" dataDxfId="66">
      <calculatedColumnFormula>CONCATENATE("""",B2,C2,D2,E2,F2,"""")</calculatedColumnFormula>
    </tableColumn>
    <tableColumn id="2" name="Movimento" dataDxfId="65"/>
    <tableColumn id="3" name="Natureza" dataDxfId="64"/>
    <tableColumn id="4" name="Destino" dataDxfId="63"/>
    <tableColumn id="5" name="Local" dataDxfId="62"/>
    <tableColumn id="6" name="ST" dataDxfId="61"/>
    <tableColumn id="7" name="CFOP" dataDxfId="60"/>
    <tableColumn id="8" name="Destaque de ST" dataDxfId="59"/>
    <tableColumn id="9" name="CST" dataDxfId="58"/>
    <tableColumn id="10" name="Fórmula PBI" dataDxfId="57">
      <calculatedColumnFormula>Tabela2[[#This Row],[Código concatenado]]&amp;"; "&amp;Tabela2[[#This Row],[CFOP]]&amp;";"</calculatedColumnFormula>
    </tableColumn>
  </tableColumns>
  <tableStyleInfo name="TableStyleLight9" showFirstColumn="0" showLastColumn="0" showRowStripes="1" showColumnStripes="0"/>
</table>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dimension ref="A1:G612"/>
  <sheetViews>
    <sheetView showGridLines="0" zoomScaleNormal="100" workbookViewId="0"/>
  </sheetViews>
  <sheetFormatPr defaultRowHeight="15" x14ac:dyDescent="0.25"/>
  <cols>
    <col min="1" max="1" width="15.42578125" style="7" customWidth="1"/>
    <col min="2" max="2" width="9.7109375" style="7" customWidth="1"/>
    <col min="3" max="3" width="10.85546875" style="7" customWidth="1"/>
    <col min="4" max="4" width="15.5703125" style="30" customWidth="1"/>
    <col min="5" max="5" width="16.28515625" style="7" customWidth="1"/>
    <col min="6" max="6" width="94.85546875" style="17" customWidth="1"/>
    <col min="7" max="7" width="43.140625" style="17" customWidth="1"/>
  </cols>
  <sheetData>
    <row r="1" spans="1:7" x14ac:dyDescent="0.25">
      <c r="A1" s="80" t="s">
        <v>2419</v>
      </c>
      <c r="B1" s="76" t="s">
        <v>151</v>
      </c>
      <c r="C1" s="76" t="s">
        <v>4623</v>
      </c>
      <c r="D1" s="77" t="s">
        <v>2420</v>
      </c>
      <c r="E1" s="76" t="s">
        <v>1</v>
      </c>
      <c r="F1" s="76" t="s">
        <v>2421</v>
      </c>
      <c r="G1" s="78" t="s">
        <v>3565</v>
      </c>
    </row>
    <row r="2" spans="1:7" x14ac:dyDescent="0.25">
      <c r="A2" s="81" t="s">
        <v>2630</v>
      </c>
      <c r="B2" s="82">
        <v>0.25</v>
      </c>
      <c r="C2" s="83">
        <v>0.02</v>
      </c>
      <c r="D2" s="84">
        <v>27</v>
      </c>
      <c r="E2" s="83" t="str">
        <f>RIGHT(PartcAliqIcms[[#This Row],[Código NCM]],8)</f>
        <v>22072020</v>
      </c>
      <c r="F2" s="85" t="s">
        <v>2422</v>
      </c>
      <c r="G2" s="86"/>
    </row>
    <row r="3" spans="1:7" x14ac:dyDescent="0.25">
      <c r="A3" s="81" t="s">
        <v>2631</v>
      </c>
      <c r="B3" s="82">
        <v>0.25</v>
      </c>
      <c r="C3" s="83">
        <v>0.02</v>
      </c>
      <c r="D3" s="84">
        <v>27</v>
      </c>
      <c r="E3" s="83" t="str">
        <f>RIGHT(PartcAliqIcms[[#This Row],[Código NCM]],8)</f>
        <v>93020000</v>
      </c>
      <c r="F3" s="85" t="s">
        <v>2423</v>
      </c>
      <c r="G3" s="86"/>
    </row>
    <row r="4" spans="1:7" ht="30" x14ac:dyDescent="0.25">
      <c r="A4" s="81" t="s">
        <v>2632</v>
      </c>
      <c r="B4" s="82">
        <v>0.25</v>
      </c>
      <c r="C4" s="83">
        <v>0.02</v>
      </c>
      <c r="D4" s="84">
        <v>27</v>
      </c>
      <c r="E4" s="83" t="str">
        <f>RIGHT(PartcAliqIcms[[#This Row],[Código NCM]],8)</f>
        <v>93040000</v>
      </c>
      <c r="F4" s="85" t="s">
        <v>2424</v>
      </c>
      <c r="G4" s="86"/>
    </row>
    <row r="5" spans="1:7" x14ac:dyDescent="0.25">
      <c r="A5" s="81" t="s">
        <v>2633</v>
      </c>
      <c r="B5" s="82">
        <v>0.25</v>
      </c>
      <c r="C5" s="82">
        <v>0.02</v>
      </c>
      <c r="D5" s="84">
        <v>27</v>
      </c>
      <c r="E5" s="83" t="str">
        <f>RIGHT(PartcAliqIcms[[#This Row],[Código NCM]],8)</f>
        <v>93063000</v>
      </c>
      <c r="F5" s="85" t="s">
        <v>2425</v>
      </c>
      <c r="G5" s="86"/>
    </row>
    <row r="6" spans="1:7" x14ac:dyDescent="0.25">
      <c r="A6" s="81" t="s">
        <v>2634</v>
      </c>
      <c r="B6" s="82">
        <v>0.25</v>
      </c>
      <c r="C6" s="82">
        <v>0.02</v>
      </c>
      <c r="D6" s="84">
        <v>27</v>
      </c>
      <c r="E6" s="83" t="str">
        <f>RIGHT(PartcAliqIcms[[#This Row],[Código NCM]],8)</f>
        <v>96140000</v>
      </c>
      <c r="F6" s="85" t="s">
        <v>2426</v>
      </c>
      <c r="G6" s="86"/>
    </row>
    <row r="7" spans="1:7" x14ac:dyDescent="0.25">
      <c r="A7" s="81" t="s">
        <v>3415</v>
      </c>
      <c r="B7" s="82">
        <v>0.12</v>
      </c>
      <c r="C7" s="82" t="s">
        <v>442</v>
      </c>
      <c r="D7" s="84">
        <v>12</v>
      </c>
      <c r="E7" s="83" t="str">
        <f>RIGHT(PartcAliqIcms[[#This Row],[Código NCM]],8)</f>
        <v>17011200</v>
      </c>
      <c r="F7" s="85" t="s">
        <v>2427</v>
      </c>
      <c r="G7" s="86"/>
    </row>
    <row r="8" spans="1:7" x14ac:dyDescent="0.25">
      <c r="A8" s="81" t="s">
        <v>3416</v>
      </c>
      <c r="B8" s="82">
        <v>0.12</v>
      </c>
      <c r="C8" s="82" t="s">
        <v>442</v>
      </c>
      <c r="D8" s="84">
        <v>12</v>
      </c>
      <c r="E8" s="83" t="str">
        <f>RIGHT(PartcAliqIcms[[#This Row],[Código NCM]],8)</f>
        <v>17011300</v>
      </c>
      <c r="F8" s="85" t="s">
        <v>2427</v>
      </c>
      <c r="G8" s="86"/>
    </row>
    <row r="9" spans="1:7" x14ac:dyDescent="0.25">
      <c r="A9" s="81" t="s">
        <v>3417</v>
      </c>
      <c r="B9" s="82">
        <v>0.12</v>
      </c>
      <c r="C9" s="82" t="s">
        <v>442</v>
      </c>
      <c r="D9" s="84">
        <v>12</v>
      </c>
      <c r="E9" s="83" t="str">
        <f>RIGHT(PartcAliqIcms[[#This Row],[Código NCM]],8)</f>
        <v>17011400</v>
      </c>
      <c r="F9" s="85" t="s">
        <v>2427</v>
      </c>
      <c r="G9" s="86"/>
    </row>
    <row r="10" spans="1:7" x14ac:dyDescent="0.25">
      <c r="A10" s="81" t="s">
        <v>3418</v>
      </c>
      <c r="B10" s="82">
        <v>0.12</v>
      </c>
      <c r="C10" s="82" t="s">
        <v>442</v>
      </c>
      <c r="D10" s="84">
        <v>12</v>
      </c>
      <c r="E10" s="83" t="str">
        <f>RIGHT(PartcAliqIcms[[#This Row],[Código NCM]],8)</f>
        <v>17019100</v>
      </c>
      <c r="F10" s="85" t="s">
        <v>2427</v>
      </c>
      <c r="G10" s="86"/>
    </row>
    <row r="11" spans="1:7" x14ac:dyDescent="0.25">
      <c r="A11" s="81" t="s">
        <v>3419</v>
      </c>
      <c r="B11" s="82">
        <v>0.12</v>
      </c>
      <c r="C11" s="82" t="s">
        <v>442</v>
      </c>
      <c r="D11" s="84">
        <v>12</v>
      </c>
      <c r="E11" s="83" t="str">
        <f>RIGHT(PartcAliqIcms[[#This Row],[Código NCM]],8)</f>
        <v>17019900</v>
      </c>
      <c r="F11" s="85" t="s">
        <v>2427</v>
      </c>
      <c r="G11" s="86"/>
    </row>
    <row r="12" spans="1:7" x14ac:dyDescent="0.25">
      <c r="A12" s="81" t="s">
        <v>183</v>
      </c>
      <c r="B12" s="82">
        <v>0.12</v>
      </c>
      <c r="C12" s="83" t="s">
        <v>442</v>
      </c>
      <c r="D12" s="84">
        <v>12</v>
      </c>
      <c r="E12" s="83" t="str">
        <f>RIGHT(PartcAliqIcms[[#This Row],[Código NCM]],8)</f>
        <v>09012100</v>
      </c>
      <c r="F12" s="85" t="s">
        <v>2428</v>
      </c>
      <c r="G12" s="86"/>
    </row>
    <row r="13" spans="1:7" x14ac:dyDescent="0.25">
      <c r="A13" s="81" t="s">
        <v>3420</v>
      </c>
      <c r="B13" s="82">
        <v>0.12</v>
      </c>
      <c r="C13" s="83" t="s">
        <v>442</v>
      </c>
      <c r="D13" s="84">
        <v>12</v>
      </c>
      <c r="E13" s="83" t="str">
        <f>RIGHT(PartcAliqIcms[[#This Row],[Código NCM]],8)</f>
        <v>11029000</v>
      </c>
      <c r="F13" s="85" t="s">
        <v>3421</v>
      </c>
      <c r="G13" s="86"/>
    </row>
    <row r="14" spans="1:7" x14ac:dyDescent="0.25">
      <c r="A14" s="81" t="s">
        <v>179</v>
      </c>
      <c r="B14" s="82">
        <v>0.12</v>
      </c>
      <c r="C14" s="83" t="s">
        <v>442</v>
      </c>
      <c r="D14" s="84">
        <v>12</v>
      </c>
      <c r="E14" s="83" t="str">
        <f>RIGHT(PartcAliqIcms[[#This Row],[Código NCM]],8)</f>
        <v>04031000</v>
      </c>
      <c r="F14" s="85" t="s">
        <v>2429</v>
      </c>
      <c r="G14" s="86"/>
    </row>
    <row r="15" spans="1:7" x14ac:dyDescent="0.25">
      <c r="A15" s="81" t="s">
        <v>5816</v>
      </c>
      <c r="B15" s="82">
        <v>0.12</v>
      </c>
      <c r="C15" s="83" t="s">
        <v>442</v>
      </c>
      <c r="D15" s="84">
        <v>12</v>
      </c>
      <c r="E15" s="83" t="str">
        <f>RIGHT(PartcAliqIcms[[#This Row],[Código NCM]],8)</f>
        <v>04032000</v>
      </c>
      <c r="F15" s="85" t="s">
        <v>2429</v>
      </c>
      <c r="G15" s="86"/>
    </row>
    <row r="16" spans="1:7" x14ac:dyDescent="0.25">
      <c r="A16" s="81" t="s">
        <v>212</v>
      </c>
      <c r="B16" s="82">
        <v>0.12</v>
      </c>
      <c r="C16" s="83" t="s">
        <v>442</v>
      </c>
      <c r="D16" s="84">
        <v>12</v>
      </c>
      <c r="E16" s="83" t="str">
        <f>RIGHT(PartcAliqIcms[[#This Row],[Código NCM]],8)</f>
        <v>04051000</v>
      </c>
      <c r="F16" s="85" t="s">
        <v>2430</v>
      </c>
      <c r="G16" s="86"/>
    </row>
    <row r="17" spans="1:7" x14ac:dyDescent="0.25">
      <c r="A17" s="81" t="s">
        <v>234</v>
      </c>
      <c r="B17" s="82">
        <v>0.12</v>
      </c>
      <c r="C17" s="83" t="s">
        <v>442</v>
      </c>
      <c r="D17" s="84">
        <v>12</v>
      </c>
      <c r="E17" s="83" t="str">
        <f>RIGHT(PartcAliqIcms[[#This Row],[Código NCM]],8)</f>
        <v>10059010</v>
      </c>
      <c r="F17" s="85" t="s">
        <v>509</v>
      </c>
      <c r="G17" s="86"/>
    </row>
    <row r="18" spans="1:7" x14ac:dyDescent="0.25">
      <c r="A18" s="81" t="s">
        <v>357</v>
      </c>
      <c r="B18" s="82"/>
      <c r="C18" s="83"/>
      <c r="D18" s="84">
        <v>12</v>
      </c>
      <c r="E18" s="83" t="str">
        <f>RIGHT(PartcAliqIcms[[#This Row],[Código NCM]],8)</f>
        <v>07104000</v>
      </c>
      <c r="F18" s="85" t="s">
        <v>509</v>
      </c>
      <c r="G18" s="86"/>
    </row>
    <row r="19" spans="1:7" x14ac:dyDescent="0.25">
      <c r="A19" s="81" t="s">
        <v>3399</v>
      </c>
      <c r="B19" s="82"/>
      <c r="C19" s="83"/>
      <c r="D19" s="84">
        <v>12</v>
      </c>
      <c r="E19" s="83" t="str">
        <f>RIGHT(PartcAliqIcms[[#This Row],[Código NCM]],8)</f>
        <v>10059090</v>
      </c>
      <c r="F19" s="85" t="s">
        <v>509</v>
      </c>
      <c r="G19" s="86"/>
    </row>
    <row r="20" spans="1:7" x14ac:dyDescent="0.25">
      <c r="A20" s="81" t="s">
        <v>184</v>
      </c>
      <c r="B20" s="82"/>
      <c r="C20" s="83"/>
      <c r="D20" s="84">
        <v>12</v>
      </c>
      <c r="E20" s="83" t="str">
        <f>RIGHT(PartcAliqIcms[[#This Row],[Código NCM]],8)</f>
        <v>15079011</v>
      </c>
      <c r="F20" s="85" t="s">
        <v>4483</v>
      </c>
      <c r="G20" s="86" t="s">
        <v>4483</v>
      </c>
    </row>
    <row r="21" spans="1:7" x14ac:dyDescent="0.25">
      <c r="A21" s="81" t="s">
        <v>259</v>
      </c>
      <c r="B21" s="82"/>
      <c r="C21" s="83"/>
      <c r="D21" s="84">
        <v>12</v>
      </c>
      <c r="E21" s="83" t="str">
        <f>RIGHT(PartcAliqIcms[[#This Row],[Código NCM]],8)</f>
        <v>15179010</v>
      </c>
      <c r="F21" s="85" t="s">
        <v>4483</v>
      </c>
      <c r="G21" s="86" t="s">
        <v>4483</v>
      </c>
    </row>
    <row r="22" spans="1:7" x14ac:dyDescent="0.25">
      <c r="A22" s="81" t="s">
        <v>267</v>
      </c>
      <c r="B22" s="82"/>
      <c r="C22" s="83"/>
      <c r="D22" s="84">
        <v>12</v>
      </c>
      <c r="E22" s="83" t="str">
        <f>RIGHT(PartcAliqIcms[[#This Row],[Código NCM]],8)</f>
        <v>15152910</v>
      </c>
      <c r="F22" s="85" t="s">
        <v>4483</v>
      </c>
      <c r="G22" s="86" t="s">
        <v>4483</v>
      </c>
    </row>
    <row r="23" spans="1:7" x14ac:dyDescent="0.25">
      <c r="A23" s="81" t="s">
        <v>291</v>
      </c>
      <c r="B23" s="82"/>
      <c r="C23" s="83"/>
      <c r="D23" s="84">
        <v>12</v>
      </c>
      <c r="E23" s="83" t="str">
        <f>RIGHT(PartcAliqIcms[[#This Row],[Código NCM]],8)</f>
        <v>15141910</v>
      </c>
      <c r="F23" s="85" t="s">
        <v>4483</v>
      </c>
      <c r="G23" s="86" t="s">
        <v>4483</v>
      </c>
    </row>
    <row r="24" spans="1:7" x14ac:dyDescent="0.25">
      <c r="A24" s="81" t="s">
        <v>3422</v>
      </c>
      <c r="B24" s="82"/>
      <c r="C24" s="83"/>
      <c r="D24" s="84">
        <v>12</v>
      </c>
      <c r="E24" s="83" t="str">
        <f>RIGHT(PartcAliqIcms[[#This Row],[Código NCM]],8)</f>
        <v>15121110</v>
      </c>
      <c r="F24" s="85" t="s">
        <v>4483</v>
      </c>
      <c r="G24" s="86" t="s">
        <v>4483</v>
      </c>
    </row>
    <row r="25" spans="1:7" x14ac:dyDescent="0.25">
      <c r="A25" s="81" t="s">
        <v>260</v>
      </c>
      <c r="B25" s="82"/>
      <c r="C25" s="83"/>
      <c r="D25" s="84">
        <v>12</v>
      </c>
      <c r="E25" s="83" t="str">
        <f>RIGHT(PartcAliqIcms[[#This Row],[Código NCM]],8)</f>
        <v>15121911</v>
      </c>
      <c r="F25" s="85" t="s">
        <v>4483</v>
      </c>
      <c r="G25" s="86" t="s">
        <v>4483</v>
      </c>
    </row>
    <row r="26" spans="1:7" x14ac:dyDescent="0.25">
      <c r="A26" s="81" t="s">
        <v>2738</v>
      </c>
      <c r="B26" s="82"/>
      <c r="C26" s="83"/>
      <c r="D26" s="84">
        <v>12</v>
      </c>
      <c r="E26" s="83" t="str">
        <f>RIGHT(PartcAliqIcms[[#This Row],[Código NCM]],8)</f>
        <v>15091000</v>
      </c>
      <c r="F26" s="85" t="s">
        <v>4483</v>
      </c>
      <c r="G26" s="86" t="s">
        <v>4483</v>
      </c>
    </row>
    <row r="27" spans="1:7" x14ac:dyDescent="0.25">
      <c r="A27" s="81" t="s">
        <v>3359</v>
      </c>
      <c r="B27" s="82"/>
      <c r="C27" s="83"/>
      <c r="D27" s="84">
        <v>12</v>
      </c>
      <c r="E27" s="83" t="str">
        <f>RIGHT(PartcAliqIcms[[#This Row],[Código NCM]],8)</f>
        <v>15141990</v>
      </c>
      <c r="F27" s="85" t="s">
        <v>4483</v>
      </c>
      <c r="G27" s="86" t="s">
        <v>4483</v>
      </c>
    </row>
    <row r="28" spans="1:7" x14ac:dyDescent="0.25">
      <c r="A28" s="81" t="s">
        <v>255</v>
      </c>
      <c r="B28" s="82">
        <v>0.12</v>
      </c>
      <c r="C28" s="83" t="s">
        <v>442</v>
      </c>
      <c r="D28" s="84">
        <v>12</v>
      </c>
      <c r="E28" s="83" t="str">
        <f>RIGHT(PartcAliqIcms[[#This Row],[Código NCM]],8)</f>
        <v>17039000</v>
      </c>
      <c r="F28" s="85" t="s">
        <v>2431</v>
      </c>
      <c r="G28" s="86"/>
    </row>
    <row r="29" spans="1:7" x14ac:dyDescent="0.25">
      <c r="A29" s="81" t="s">
        <v>228</v>
      </c>
      <c r="B29" s="82">
        <v>0.12</v>
      </c>
      <c r="C29" s="83" t="s">
        <v>442</v>
      </c>
      <c r="D29" s="84">
        <v>12</v>
      </c>
      <c r="E29" s="83" t="str">
        <f>RIGHT(PartcAliqIcms[[#This Row],[Código NCM]],8)</f>
        <v>25010020</v>
      </c>
      <c r="F29" s="85" t="s">
        <v>3423</v>
      </c>
      <c r="G29" s="86" t="s">
        <v>3423</v>
      </c>
    </row>
    <row r="30" spans="1:7" x14ac:dyDescent="0.25">
      <c r="A30" s="81" t="s">
        <v>271</v>
      </c>
      <c r="B30" s="82">
        <v>0.12</v>
      </c>
      <c r="C30" s="83" t="s">
        <v>442</v>
      </c>
      <c r="D30" s="84">
        <v>12</v>
      </c>
      <c r="E30" s="83" t="str">
        <f>RIGHT(PartcAliqIcms[[#This Row],[Código NCM]],8)</f>
        <v>25010011</v>
      </c>
      <c r="F30" s="85" t="s">
        <v>3423</v>
      </c>
      <c r="G30" s="86" t="s">
        <v>3423</v>
      </c>
    </row>
    <row r="31" spans="1:7" x14ac:dyDescent="0.25">
      <c r="A31" s="81" t="s">
        <v>286</v>
      </c>
      <c r="B31" s="82">
        <v>0.12</v>
      </c>
      <c r="C31" s="83" t="s">
        <v>442</v>
      </c>
      <c r="D31" s="84">
        <v>12</v>
      </c>
      <c r="E31" s="83" t="str">
        <f>RIGHT(PartcAliqIcms[[#This Row],[Código NCM]],8)</f>
        <v>25010090</v>
      </c>
      <c r="F31" s="85" t="s">
        <v>3423</v>
      </c>
      <c r="G31" s="86" t="s">
        <v>3423</v>
      </c>
    </row>
    <row r="32" spans="1:7" x14ac:dyDescent="0.25">
      <c r="A32" s="81" t="s">
        <v>233</v>
      </c>
      <c r="B32" s="82">
        <v>0.12</v>
      </c>
      <c r="C32" s="83" t="s">
        <v>442</v>
      </c>
      <c r="D32" s="84">
        <v>12</v>
      </c>
      <c r="E32" s="83" t="str">
        <f>RIGHT(PartcAliqIcms[[#This Row],[Código NCM]],8)</f>
        <v>22090000</v>
      </c>
      <c r="F32" s="85" t="s">
        <v>2432</v>
      </c>
      <c r="G32" s="86"/>
    </row>
    <row r="33" spans="1:7" x14ac:dyDescent="0.25">
      <c r="A33" s="81" t="s">
        <v>492</v>
      </c>
      <c r="B33" s="82">
        <v>0.12</v>
      </c>
      <c r="C33" s="83" t="s">
        <v>442</v>
      </c>
      <c r="D33" s="84">
        <v>12</v>
      </c>
      <c r="E33" s="83" t="str">
        <f>RIGHT(PartcAliqIcms[[#This Row],[Código NCM]],8)</f>
        <v>09101100</v>
      </c>
      <c r="F33" s="85" t="s">
        <v>545</v>
      </c>
      <c r="G33" s="86"/>
    </row>
    <row r="34" spans="1:7" x14ac:dyDescent="0.25">
      <c r="A34" s="81" t="s">
        <v>3425</v>
      </c>
      <c r="B34" s="82">
        <v>0.12</v>
      </c>
      <c r="C34" s="83" t="s">
        <v>442</v>
      </c>
      <c r="D34" s="84">
        <v>12</v>
      </c>
      <c r="E34" s="83" t="str">
        <f>RIGHT(PartcAliqIcms[[#This Row],[Código NCM]],8)</f>
        <v>09102000</v>
      </c>
      <c r="F34" s="85" t="s">
        <v>545</v>
      </c>
      <c r="G34" s="86"/>
    </row>
    <row r="35" spans="1:7" x14ac:dyDescent="0.25">
      <c r="A35" s="81" t="s">
        <v>175</v>
      </c>
      <c r="B35" s="82">
        <v>0.12</v>
      </c>
      <c r="C35" s="83" t="s">
        <v>442</v>
      </c>
      <c r="D35" s="84">
        <v>12</v>
      </c>
      <c r="E35" s="83" t="str">
        <f>RIGHT(PartcAliqIcms[[#This Row],[Código NCM]],8)</f>
        <v>04011010</v>
      </c>
      <c r="F35" s="85" t="s">
        <v>2433</v>
      </c>
      <c r="G35" s="86"/>
    </row>
    <row r="36" spans="1:7" x14ac:dyDescent="0.25">
      <c r="A36" s="81" t="s">
        <v>3426</v>
      </c>
      <c r="B36" s="82">
        <v>0.12</v>
      </c>
      <c r="C36" s="83" t="s">
        <v>442</v>
      </c>
      <c r="D36" s="84">
        <v>12</v>
      </c>
      <c r="E36" s="83" t="str">
        <f>RIGHT(PartcAliqIcms[[#This Row],[Código NCM]],8)</f>
        <v>27111100</v>
      </c>
      <c r="F36" s="85" t="s">
        <v>2434</v>
      </c>
      <c r="G36" s="86"/>
    </row>
    <row r="37" spans="1:7" x14ac:dyDescent="0.25">
      <c r="A37" s="81" t="s">
        <v>205</v>
      </c>
      <c r="B37" s="82">
        <v>0.12</v>
      </c>
      <c r="C37" s="83" t="s">
        <v>442</v>
      </c>
      <c r="D37" s="84">
        <v>12</v>
      </c>
      <c r="E37" s="83" t="str">
        <f>RIGHT(PartcAliqIcms[[#This Row],[Código NCM]],8)</f>
        <v>96190000</v>
      </c>
      <c r="F37" s="85" t="s">
        <v>3427</v>
      </c>
      <c r="G37" s="86" t="s">
        <v>3427</v>
      </c>
    </row>
    <row r="38" spans="1:7" x14ac:dyDescent="0.25">
      <c r="A38" s="81" t="s">
        <v>208</v>
      </c>
      <c r="B38" s="82">
        <v>0.12</v>
      </c>
      <c r="C38" s="83" t="s">
        <v>442</v>
      </c>
      <c r="D38" s="84">
        <v>12</v>
      </c>
      <c r="E38" s="83" t="str">
        <f>RIGHT(PartcAliqIcms[[#This Row],[Código NCM]],8)</f>
        <v>28289011</v>
      </c>
      <c r="F38" s="85" t="s">
        <v>3428</v>
      </c>
      <c r="G38" s="86" t="s">
        <v>3428</v>
      </c>
    </row>
    <row r="39" spans="1:7" x14ac:dyDescent="0.25">
      <c r="A39" s="81" t="s">
        <v>3429</v>
      </c>
      <c r="B39" s="82">
        <v>0.12</v>
      </c>
      <c r="C39" s="82" t="s">
        <v>442</v>
      </c>
      <c r="D39" s="84">
        <v>12</v>
      </c>
      <c r="E39" s="83" t="str">
        <f>RIGHT(PartcAliqIcms[[#This Row],[Código NCM]],8)</f>
        <v>28289019</v>
      </c>
      <c r="F39" s="85" t="s">
        <v>3428</v>
      </c>
      <c r="G39" s="86" t="s">
        <v>3428</v>
      </c>
    </row>
    <row r="40" spans="1:7" x14ac:dyDescent="0.25">
      <c r="A40" s="81" t="s">
        <v>3430</v>
      </c>
      <c r="B40" s="82">
        <v>0.12</v>
      </c>
      <c r="C40" s="82" t="s">
        <v>442</v>
      </c>
      <c r="D40" s="84">
        <v>12</v>
      </c>
      <c r="E40" s="83" t="str">
        <f>RIGHT(PartcAliqIcms[[#This Row],[Código NCM]],8)</f>
        <v>28289090</v>
      </c>
      <c r="F40" s="85" t="s">
        <v>3428</v>
      </c>
      <c r="G40" s="86" t="s">
        <v>3428</v>
      </c>
    </row>
    <row r="41" spans="1:7" x14ac:dyDescent="0.25">
      <c r="A41" s="81" t="s">
        <v>174</v>
      </c>
      <c r="B41" s="82">
        <v>0.12</v>
      </c>
      <c r="C41" s="82" t="s">
        <v>442</v>
      </c>
      <c r="D41" s="84">
        <v>12</v>
      </c>
      <c r="E41" s="83" t="str">
        <f>RIGHT(PartcAliqIcms[[#This Row],[Código NCM]],8)</f>
        <v>36050000</v>
      </c>
      <c r="F41" s="85" t="s">
        <v>2435</v>
      </c>
      <c r="G41" s="86"/>
    </row>
    <row r="42" spans="1:7" x14ac:dyDescent="0.25">
      <c r="A42" s="81" t="s">
        <v>196</v>
      </c>
      <c r="B42" s="82">
        <v>0.12</v>
      </c>
      <c r="C42" s="82" t="s">
        <v>442</v>
      </c>
      <c r="D42" s="84">
        <v>12</v>
      </c>
      <c r="E42" s="83" t="str">
        <f>RIGHT(PartcAliqIcms[[#This Row],[Código NCM]],8)</f>
        <v>48181000</v>
      </c>
      <c r="F42" s="85" t="s">
        <v>2436</v>
      </c>
      <c r="G42" s="86"/>
    </row>
    <row r="43" spans="1:7" x14ac:dyDescent="0.25">
      <c r="A43" s="81" t="s">
        <v>213</v>
      </c>
      <c r="B43" s="82">
        <v>0.12</v>
      </c>
      <c r="C43" s="83" t="s">
        <v>442</v>
      </c>
      <c r="D43" s="84">
        <v>12</v>
      </c>
      <c r="E43" s="83" t="str">
        <f>RIGHT(PartcAliqIcms[[#This Row],[Código NCM]],8)</f>
        <v>33061000</v>
      </c>
      <c r="F43" s="85" t="s">
        <v>2437</v>
      </c>
      <c r="G43" s="86"/>
    </row>
    <row r="44" spans="1:7" x14ac:dyDescent="0.25">
      <c r="A44" s="81" t="s">
        <v>211</v>
      </c>
      <c r="B44" s="82">
        <v>0.12</v>
      </c>
      <c r="C44" s="83" t="s">
        <v>442</v>
      </c>
      <c r="D44" s="84">
        <v>12</v>
      </c>
      <c r="E44" s="83" t="str">
        <f>RIGHT(PartcAliqIcms[[#This Row],[Código NCM]],8)</f>
        <v>34011900</v>
      </c>
      <c r="F44" s="85" t="s">
        <v>3431</v>
      </c>
      <c r="G44" s="86" t="s">
        <v>3431</v>
      </c>
    </row>
    <row r="45" spans="1:7" x14ac:dyDescent="0.25">
      <c r="A45" s="81" t="s">
        <v>223</v>
      </c>
      <c r="B45" s="82">
        <v>0.12</v>
      </c>
      <c r="C45" s="82" t="s">
        <v>442</v>
      </c>
      <c r="D45" s="84">
        <v>12</v>
      </c>
      <c r="E45" s="83" t="str">
        <f>RIGHT(PartcAliqIcms[[#This Row],[Código NCM]],8)</f>
        <v>34013000</v>
      </c>
      <c r="F45" s="85" t="s">
        <v>2438</v>
      </c>
      <c r="G45" s="86"/>
    </row>
    <row r="46" spans="1:7" x14ac:dyDescent="0.25">
      <c r="A46" s="81" t="s">
        <v>215</v>
      </c>
      <c r="B46" s="82">
        <v>0.12</v>
      </c>
      <c r="C46" s="82" t="s">
        <v>442</v>
      </c>
      <c r="D46" s="84">
        <v>12</v>
      </c>
      <c r="E46" s="83" t="str">
        <f>RIGHT(PartcAliqIcms[[#This Row],[Código NCM]],8)</f>
        <v>34011190</v>
      </c>
      <c r="F46" s="85" t="s">
        <v>2438</v>
      </c>
      <c r="G46" s="86"/>
    </row>
    <row r="47" spans="1:7" x14ac:dyDescent="0.25">
      <c r="A47" s="81" t="s">
        <v>340</v>
      </c>
      <c r="B47" s="82">
        <v>0.12</v>
      </c>
      <c r="C47" s="82" t="s">
        <v>442</v>
      </c>
      <c r="D47" s="84">
        <v>12</v>
      </c>
      <c r="E47" s="83" t="str">
        <f>RIGHT(PartcAliqIcms[[#This Row],[Código NCM]],8)</f>
        <v>34012010</v>
      </c>
      <c r="F47" s="85" t="s">
        <v>2438</v>
      </c>
      <c r="G47" s="86"/>
    </row>
    <row r="48" spans="1:7" x14ac:dyDescent="0.25">
      <c r="A48" s="81" t="s">
        <v>2635</v>
      </c>
      <c r="B48" s="82">
        <v>0.17</v>
      </c>
      <c r="C48" s="82">
        <v>0.02</v>
      </c>
      <c r="D48" s="84">
        <v>19</v>
      </c>
      <c r="E48" s="83" t="str">
        <f>RIGHT(PartcAliqIcms[[#This Row],[Código NCM]],8)</f>
        <v>71070000</v>
      </c>
      <c r="F48" s="85" t="s">
        <v>2439</v>
      </c>
      <c r="G48" s="86"/>
    </row>
    <row r="49" spans="1:7" ht="30" x14ac:dyDescent="0.25">
      <c r="A49" s="81" t="s">
        <v>2636</v>
      </c>
      <c r="B49" s="82">
        <v>0.17</v>
      </c>
      <c r="C49" s="82">
        <v>0.02</v>
      </c>
      <c r="D49" s="84">
        <v>19</v>
      </c>
      <c r="E49" s="83" t="str">
        <f>RIGHT(PartcAliqIcms[[#This Row],[Código NCM]],8)</f>
        <v>71090000</v>
      </c>
      <c r="F49" s="85" t="s">
        <v>2440</v>
      </c>
      <c r="G49" s="86"/>
    </row>
    <row r="50" spans="1:7" ht="30" x14ac:dyDescent="0.25">
      <c r="A50" s="81" t="s">
        <v>2637</v>
      </c>
      <c r="B50" s="82">
        <v>0.17</v>
      </c>
      <c r="C50" s="82">
        <v>0.02</v>
      </c>
      <c r="D50" s="84">
        <v>19</v>
      </c>
      <c r="E50" s="83" t="str">
        <f>RIGHT(PartcAliqIcms[[#This Row],[Código NCM]],8)</f>
        <v>71110000</v>
      </c>
      <c r="F50" s="85" t="s">
        <v>2441</v>
      </c>
      <c r="G50" s="86"/>
    </row>
    <row r="51" spans="1:7" ht="30" x14ac:dyDescent="0.25">
      <c r="A51" s="81" t="s">
        <v>2443</v>
      </c>
      <c r="B51" s="82">
        <v>0.25</v>
      </c>
      <c r="C51" s="82">
        <v>0.02</v>
      </c>
      <c r="D51" s="84">
        <v>27</v>
      </c>
      <c r="E51" s="83" t="str">
        <f>RIGHT(PartcAliqIcms[[#This Row],[Código NCM]],8)</f>
        <v>22041010</v>
      </c>
      <c r="F51" s="85" t="s">
        <v>2444</v>
      </c>
      <c r="G51" s="86"/>
    </row>
    <row r="52" spans="1:7" ht="30" x14ac:dyDescent="0.25">
      <c r="A52" s="81" t="s">
        <v>2445</v>
      </c>
      <c r="B52" s="82">
        <v>0.25</v>
      </c>
      <c r="C52" s="82">
        <v>0.02</v>
      </c>
      <c r="D52" s="84">
        <v>27</v>
      </c>
      <c r="E52" s="83" t="str">
        <f>RIGHT(PartcAliqIcms[[#This Row],[Código NCM]],8)</f>
        <v>22041090</v>
      </c>
      <c r="F52" s="85" t="s">
        <v>2444</v>
      </c>
      <c r="G52" s="86"/>
    </row>
    <row r="53" spans="1:7" ht="30" x14ac:dyDescent="0.25">
      <c r="A53" s="81" t="s">
        <v>2446</v>
      </c>
      <c r="B53" s="82">
        <v>0.25</v>
      </c>
      <c r="C53" s="82">
        <v>0.02</v>
      </c>
      <c r="D53" s="84">
        <v>27</v>
      </c>
      <c r="E53" s="83" t="str">
        <f>RIGHT(PartcAliqIcms[[#This Row],[Código NCM]],8)</f>
        <v>22042100</v>
      </c>
      <c r="F53" s="85" t="s">
        <v>2444</v>
      </c>
      <c r="G53" s="86"/>
    </row>
    <row r="54" spans="1:7" ht="30" x14ac:dyDescent="0.25">
      <c r="A54" s="81" t="s">
        <v>2447</v>
      </c>
      <c r="B54" s="82">
        <v>0.25</v>
      </c>
      <c r="C54" s="82">
        <v>0.02</v>
      </c>
      <c r="D54" s="84">
        <v>27</v>
      </c>
      <c r="E54" s="83" t="str">
        <f>RIGHT(PartcAliqIcms[[#This Row],[Código NCM]],8)</f>
        <v>22042211</v>
      </c>
      <c r="F54" s="85" t="s">
        <v>2444</v>
      </c>
      <c r="G54" s="86"/>
    </row>
    <row r="55" spans="1:7" ht="30" x14ac:dyDescent="0.25">
      <c r="A55" s="81" t="s">
        <v>2448</v>
      </c>
      <c r="B55" s="82">
        <v>0.25</v>
      </c>
      <c r="C55" s="82">
        <v>0.02</v>
      </c>
      <c r="D55" s="84">
        <v>27</v>
      </c>
      <c r="E55" s="83" t="str">
        <f>RIGHT(PartcAliqIcms[[#This Row],[Código NCM]],8)</f>
        <v>22042219</v>
      </c>
      <c r="F55" s="85" t="s">
        <v>2444</v>
      </c>
      <c r="G55" s="86"/>
    </row>
    <row r="56" spans="1:7" ht="30" x14ac:dyDescent="0.25">
      <c r="A56" s="81" t="s">
        <v>2449</v>
      </c>
      <c r="B56" s="82">
        <v>0.25</v>
      </c>
      <c r="C56" s="82">
        <v>0.02</v>
      </c>
      <c r="D56" s="84">
        <v>27</v>
      </c>
      <c r="E56" s="83" t="str">
        <f>RIGHT(PartcAliqIcms[[#This Row],[Código NCM]],8)</f>
        <v>22042220</v>
      </c>
      <c r="F56" s="85" t="s">
        <v>2444</v>
      </c>
      <c r="G56" s="86"/>
    </row>
    <row r="57" spans="1:7" ht="30" x14ac:dyDescent="0.25">
      <c r="A57" s="81" t="s">
        <v>2450</v>
      </c>
      <c r="B57" s="82">
        <v>0.25</v>
      </c>
      <c r="C57" s="82">
        <v>0.02</v>
      </c>
      <c r="D57" s="84">
        <v>27</v>
      </c>
      <c r="E57" s="83" t="str">
        <f>RIGHT(PartcAliqIcms[[#This Row],[Código NCM]],8)</f>
        <v>22042910</v>
      </c>
      <c r="F57" s="85" t="s">
        <v>2444</v>
      </c>
      <c r="G57" s="86"/>
    </row>
    <row r="58" spans="1:7" ht="30" x14ac:dyDescent="0.25">
      <c r="A58" s="81" t="s">
        <v>2451</v>
      </c>
      <c r="B58" s="82">
        <v>0.25</v>
      </c>
      <c r="C58" s="82">
        <v>0.02</v>
      </c>
      <c r="D58" s="84">
        <v>27</v>
      </c>
      <c r="E58" s="83" t="str">
        <f>RIGHT(PartcAliqIcms[[#This Row],[Código NCM]],8)</f>
        <v>22042911</v>
      </c>
      <c r="F58" s="85" t="s">
        <v>2444</v>
      </c>
      <c r="G58" s="86"/>
    </row>
    <row r="59" spans="1:7" ht="30" x14ac:dyDescent="0.25">
      <c r="A59" s="81" t="s">
        <v>2452</v>
      </c>
      <c r="B59" s="82">
        <v>0.25</v>
      </c>
      <c r="C59" s="82">
        <v>0.02</v>
      </c>
      <c r="D59" s="84">
        <v>27</v>
      </c>
      <c r="E59" s="83" t="str">
        <f>RIGHT(PartcAliqIcms[[#This Row],[Código NCM]],8)</f>
        <v>22042919</v>
      </c>
      <c r="F59" s="85" t="s">
        <v>2444</v>
      </c>
      <c r="G59" s="86"/>
    </row>
    <row r="60" spans="1:7" ht="30" x14ac:dyDescent="0.25">
      <c r="A60" s="81" t="s">
        <v>2453</v>
      </c>
      <c r="B60" s="82">
        <v>0.25</v>
      </c>
      <c r="C60" s="82">
        <v>0.02</v>
      </c>
      <c r="D60" s="84">
        <v>27</v>
      </c>
      <c r="E60" s="83" t="str">
        <f>RIGHT(PartcAliqIcms[[#This Row],[Código NCM]],8)</f>
        <v>22042920</v>
      </c>
      <c r="F60" s="85" t="s">
        <v>2444</v>
      </c>
      <c r="G60" s="86"/>
    </row>
    <row r="61" spans="1:7" ht="30" x14ac:dyDescent="0.25">
      <c r="A61" s="81" t="s">
        <v>2454</v>
      </c>
      <c r="B61" s="82">
        <v>0.25</v>
      </c>
      <c r="C61" s="82">
        <v>0.02</v>
      </c>
      <c r="D61" s="84">
        <v>27</v>
      </c>
      <c r="E61" s="83" t="str">
        <f>RIGHT(PartcAliqIcms[[#This Row],[Código NCM]],8)</f>
        <v>22043000</v>
      </c>
      <c r="F61" s="85" t="s">
        <v>2444</v>
      </c>
      <c r="G61" s="86"/>
    </row>
    <row r="62" spans="1:7" x14ac:dyDescent="0.25">
      <c r="A62" s="81" t="s">
        <v>2455</v>
      </c>
      <c r="B62" s="82">
        <v>0.25</v>
      </c>
      <c r="C62" s="82">
        <v>0.02</v>
      </c>
      <c r="D62" s="84">
        <v>27</v>
      </c>
      <c r="E62" s="83" t="str">
        <f>RIGHT(PartcAliqIcms[[#This Row],[Código NCM]],8)</f>
        <v>22051000</v>
      </c>
      <c r="F62" s="85" t="s">
        <v>2456</v>
      </c>
      <c r="G62" s="86"/>
    </row>
    <row r="63" spans="1:7" x14ac:dyDescent="0.25">
      <c r="A63" s="81" t="s">
        <v>2457</v>
      </c>
      <c r="B63" s="82">
        <v>0.25</v>
      </c>
      <c r="C63" s="82">
        <v>0.02</v>
      </c>
      <c r="D63" s="84">
        <v>27</v>
      </c>
      <c r="E63" s="83" t="str">
        <f>RIGHT(PartcAliqIcms[[#This Row],[Código NCM]],8)</f>
        <v>22059000</v>
      </c>
      <c r="F63" s="85" t="s">
        <v>2456</v>
      </c>
      <c r="G63" s="86"/>
    </row>
    <row r="64" spans="1:7" ht="45" x14ac:dyDescent="0.25">
      <c r="A64" s="81" t="s">
        <v>2458</v>
      </c>
      <c r="B64" s="82">
        <v>0.25</v>
      </c>
      <c r="C64" s="82">
        <v>0.02</v>
      </c>
      <c r="D64" s="84">
        <v>27</v>
      </c>
      <c r="E64" s="83" t="str">
        <f>RIGHT(PartcAliqIcms[[#This Row],[Código NCM]],8)</f>
        <v>22082000</v>
      </c>
      <c r="F64" s="85" t="s">
        <v>2459</v>
      </c>
      <c r="G64" s="86"/>
    </row>
    <row r="65" spans="1:7" ht="45" x14ac:dyDescent="0.25">
      <c r="A65" s="81" t="s">
        <v>2460</v>
      </c>
      <c r="B65" s="82">
        <v>0.25</v>
      </c>
      <c r="C65" s="82">
        <v>0.02</v>
      </c>
      <c r="D65" s="84">
        <v>27</v>
      </c>
      <c r="E65" s="83" t="str">
        <f>RIGHT(PartcAliqIcms[[#This Row],[Código NCM]],8)</f>
        <v>22083010</v>
      </c>
      <c r="F65" s="85" t="s">
        <v>2459</v>
      </c>
      <c r="G65" s="86"/>
    </row>
    <row r="66" spans="1:7" ht="45" x14ac:dyDescent="0.25">
      <c r="A66" s="81" t="s">
        <v>2461</v>
      </c>
      <c r="B66" s="82">
        <v>0.25</v>
      </c>
      <c r="C66" s="82">
        <v>0.02</v>
      </c>
      <c r="D66" s="84">
        <v>27</v>
      </c>
      <c r="E66" s="83" t="str">
        <f>RIGHT(PartcAliqIcms[[#This Row],[Código NCM]],8)</f>
        <v>22083020</v>
      </c>
      <c r="F66" s="85" t="s">
        <v>2459</v>
      </c>
      <c r="G66" s="86"/>
    </row>
    <row r="67" spans="1:7" ht="45" x14ac:dyDescent="0.25">
      <c r="A67" s="81" t="s">
        <v>2462</v>
      </c>
      <c r="B67" s="82">
        <v>0.25</v>
      </c>
      <c r="C67" s="82">
        <v>0.02</v>
      </c>
      <c r="D67" s="84">
        <v>27</v>
      </c>
      <c r="E67" s="83" t="str">
        <f>RIGHT(PartcAliqIcms[[#This Row],[Código NCM]],8)</f>
        <v>22083090</v>
      </c>
      <c r="F67" s="85" t="s">
        <v>2459</v>
      </c>
      <c r="G67" s="86"/>
    </row>
    <row r="68" spans="1:7" ht="45" x14ac:dyDescent="0.25">
      <c r="A68" s="81" t="s">
        <v>2463</v>
      </c>
      <c r="B68" s="82">
        <v>0.25</v>
      </c>
      <c r="C68" s="82">
        <v>0.02</v>
      </c>
      <c r="D68" s="84">
        <v>27</v>
      </c>
      <c r="E68" s="83" t="str">
        <f>RIGHT(PartcAliqIcms[[#This Row],[Código NCM]],8)</f>
        <v>22084000</v>
      </c>
      <c r="F68" s="85" t="s">
        <v>2459</v>
      </c>
      <c r="G68" s="86"/>
    </row>
    <row r="69" spans="1:7" ht="45" x14ac:dyDescent="0.25">
      <c r="A69" s="81" t="s">
        <v>2464</v>
      </c>
      <c r="B69" s="82">
        <v>0.25</v>
      </c>
      <c r="C69" s="82">
        <v>0.02</v>
      </c>
      <c r="D69" s="84">
        <v>27</v>
      </c>
      <c r="E69" s="83" t="str">
        <f>RIGHT(PartcAliqIcms[[#This Row],[Código NCM]],8)</f>
        <v>22085000</v>
      </c>
      <c r="F69" s="85" t="s">
        <v>2459</v>
      </c>
      <c r="G69" s="86"/>
    </row>
    <row r="70" spans="1:7" ht="45" x14ac:dyDescent="0.25">
      <c r="A70" s="81" t="s">
        <v>2465</v>
      </c>
      <c r="B70" s="82">
        <v>0.25</v>
      </c>
      <c r="C70" s="82">
        <v>0.02</v>
      </c>
      <c r="D70" s="84">
        <v>27</v>
      </c>
      <c r="E70" s="83" t="str">
        <f>RIGHT(PartcAliqIcms[[#This Row],[Código NCM]],8)</f>
        <v>22086000</v>
      </c>
      <c r="F70" s="85" t="s">
        <v>2459</v>
      </c>
      <c r="G70" s="86"/>
    </row>
    <row r="71" spans="1:7" ht="45" x14ac:dyDescent="0.25">
      <c r="A71" s="81" t="s">
        <v>2466</v>
      </c>
      <c r="B71" s="82">
        <v>0.25</v>
      </c>
      <c r="C71" s="82">
        <v>0.02</v>
      </c>
      <c r="D71" s="84">
        <v>27</v>
      </c>
      <c r="E71" s="83" t="str">
        <f>RIGHT(PartcAliqIcms[[#This Row],[Código NCM]],8)</f>
        <v>22087000</v>
      </c>
      <c r="F71" s="85" t="s">
        <v>2459</v>
      </c>
      <c r="G71" s="86"/>
    </row>
    <row r="72" spans="1:7" ht="45" x14ac:dyDescent="0.25">
      <c r="A72" s="81" t="s">
        <v>2467</v>
      </c>
      <c r="B72" s="82">
        <v>0.25</v>
      </c>
      <c r="C72" s="82">
        <v>0.02</v>
      </c>
      <c r="D72" s="84">
        <v>27</v>
      </c>
      <c r="E72" s="83" t="str">
        <f>RIGHT(PartcAliqIcms[[#This Row],[Código NCM]],8)</f>
        <v>22089000</v>
      </c>
      <c r="F72" s="85" t="s">
        <v>2459</v>
      </c>
      <c r="G72" s="86"/>
    </row>
    <row r="73" spans="1:7" ht="75" x14ac:dyDescent="0.25">
      <c r="A73" s="81" t="s">
        <v>2468</v>
      </c>
      <c r="B73" s="82">
        <v>0.25</v>
      </c>
      <c r="C73" s="82">
        <v>0.02</v>
      </c>
      <c r="D73" s="84">
        <v>27</v>
      </c>
      <c r="E73" s="83" t="str">
        <f>RIGHT(PartcAliqIcms[[#This Row],[Código NCM]],8)</f>
        <v>93031000</v>
      </c>
      <c r="F73" s="85" t="s">
        <v>2469</v>
      </c>
      <c r="G73" s="86"/>
    </row>
    <row r="74" spans="1:7" ht="75" x14ac:dyDescent="0.25">
      <c r="A74" s="81" t="s">
        <v>2470</v>
      </c>
      <c r="B74" s="82">
        <v>0.25</v>
      </c>
      <c r="C74" s="82">
        <v>0.02</v>
      </c>
      <c r="D74" s="84">
        <v>27</v>
      </c>
      <c r="E74" s="83" t="str">
        <f>RIGHT(PartcAliqIcms[[#This Row],[Código NCM]],8)</f>
        <v>93032000</v>
      </c>
      <c r="F74" s="85" t="s">
        <v>2469</v>
      </c>
      <c r="G74" s="86"/>
    </row>
    <row r="75" spans="1:7" ht="75" x14ac:dyDescent="0.25">
      <c r="A75" s="81" t="s">
        <v>2471</v>
      </c>
      <c r="B75" s="82">
        <v>0.25</v>
      </c>
      <c r="C75" s="82">
        <v>0.02</v>
      </c>
      <c r="D75" s="84">
        <v>27</v>
      </c>
      <c r="E75" s="83" t="str">
        <f>RIGHT(PartcAliqIcms[[#This Row],[Código NCM]],8)</f>
        <v>93033000</v>
      </c>
      <c r="F75" s="85" t="s">
        <v>2469</v>
      </c>
      <c r="G75" s="86"/>
    </row>
    <row r="76" spans="1:7" ht="75" x14ac:dyDescent="0.25">
      <c r="A76" s="81" t="s">
        <v>2472</v>
      </c>
      <c r="B76" s="82">
        <v>0.25</v>
      </c>
      <c r="C76" s="82">
        <v>0.02</v>
      </c>
      <c r="D76" s="84">
        <v>27</v>
      </c>
      <c r="E76" s="83" t="str">
        <f>RIGHT(PartcAliqIcms[[#This Row],[Código NCM]],8)</f>
        <v>93039000</v>
      </c>
      <c r="F76" s="85" t="s">
        <v>2469</v>
      </c>
      <c r="G76" s="86"/>
    </row>
    <row r="77" spans="1:7" x14ac:dyDescent="0.25">
      <c r="A77" s="81" t="s">
        <v>2473</v>
      </c>
      <c r="B77" s="82">
        <v>0.25</v>
      </c>
      <c r="C77" s="82">
        <v>0.02</v>
      </c>
      <c r="D77" s="84">
        <v>27</v>
      </c>
      <c r="E77" s="83" t="str">
        <f>RIGHT(PartcAliqIcms[[#This Row],[Código NCM]],8)</f>
        <v>93051000</v>
      </c>
      <c r="F77" s="85" t="s">
        <v>2474</v>
      </c>
      <c r="G77" s="86"/>
    </row>
    <row r="78" spans="1:7" x14ac:dyDescent="0.25">
      <c r="A78" s="81" t="s">
        <v>2475</v>
      </c>
      <c r="B78" s="82">
        <v>0.25</v>
      </c>
      <c r="C78" s="82">
        <v>0.02</v>
      </c>
      <c r="D78" s="84">
        <v>27</v>
      </c>
      <c r="E78" s="83" t="str">
        <f>RIGHT(PartcAliqIcms[[#This Row],[Código NCM]],8)</f>
        <v>93052000</v>
      </c>
      <c r="F78" s="85" t="s">
        <v>2474</v>
      </c>
      <c r="G78" s="86"/>
    </row>
    <row r="79" spans="1:7" x14ac:dyDescent="0.25">
      <c r="A79" s="81" t="s">
        <v>2476</v>
      </c>
      <c r="B79" s="82">
        <v>0.25</v>
      </c>
      <c r="C79" s="82">
        <v>0.02</v>
      </c>
      <c r="D79" s="84">
        <v>27</v>
      </c>
      <c r="E79" s="83" t="str">
        <f>RIGHT(PartcAliqIcms[[#This Row],[Código NCM]],8)</f>
        <v>93059100</v>
      </c>
      <c r="F79" s="85" t="s">
        <v>2474</v>
      </c>
      <c r="G79" s="86"/>
    </row>
    <row r="80" spans="1:7" x14ac:dyDescent="0.25">
      <c r="A80" s="81" t="s">
        <v>2477</v>
      </c>
      <c r="B80" s="82">
        <v>0.25</v>
      </c>
      <c r="C80" s="82">
        <v>0.02</v>
      </c>
      <c r="D80" s="84">
        <v>27</v>
      </c>
      <c r="E80" s="83" t="str">
        <f>RIGHT(PartcAliqIcms[[#This Row],[Código NCM]],8)</f>
        <v>93059900</v>
      </c>
      <c r="F80" s="85" t="s">
        <v>2474</v>
      </c>
      <c r="G80" s="86"/>
    </row>
    <row r="81" spans="1:7" ht="75" x14ac:dyDescent="0.25">
      <c r="A81" s="81" t="s">
        <v>2478</v>
      </c>
      <c r="B81" s="82">
        <v>0.17</v>
      </c>
      <c r="C81" s="82">
        <v>0.02</v>
      </c>
      <c r="D81" s="84">
        <v>19</v>
      </c>
      <c r="E81" s="83" t="str">
        <f>RIGHT(PartcAliqIcms[[#This Row],[Código NCM]],8)</f>
        <v>33011210</v>
      </c>
      <c r="F81" s="85" t="s">
        <v>2479</v>
      </c>
      <c r="G81" s="86"/>
    </row>
    <row r="82" spans="1:7" ht="75" x14ac:dyDescent="0.25">
      <c r="A82" s="81" t="s">
        <v>2480</v>
      </c>
      <c r="B82" s="82">
        <v>0.17</v>
      </c>
      <c r="C82" s="82">
        <v>0.02</v>
      </c>
      <c r="D82" s="84">
        <v>19</v>
      </c>
      <c r="E82" s="83" t="str">
        <f>RIGHT(PartcAliqIcms[[#This Row],[Código NCM]],8)</f>
        <v>33011290</v>
      </c>
      <c r="F82" s="85" t="s">
        <v>2479</v>
      </c>
      <c r="G82" s="86"/>
    </row>
    <row r="83" spans="1:7" ht="75" x14ac:dyDescent="0.25">
      <c r="A83" s="81" t="s">
        <v>2481</v>
      </c>
      <c r="B83" s="82">
        <v>0.17</v>
      </c>
      <c r="C83" s="82">
        <v>0.02</v>
      </c>
      <c r="D83" s="84">
        <v>19</v>
      </c>
      <c r="E83" s="83" t="str">
        <f>RIGHT(PartcAliqIcms[[#This Row],[Código NCM]],8)</f>
        <v>33011300</v>
      </c>
      <c r="F83" s="85" t="s">
        <v>2479</v>
      </c>
      <c r="G83" s="86"/>
    </row>
    <row r="84" spans="1:7" ht="75" x14ac:dyDescent="0.25">
      <c r="A84" s="81" t="s">
        <v>2482</v>
      </c>
      <c r="B84" s="82">
        <v>0.17</v>
      </c>
      <c r="C84" s="82">
        <v>0.02</v>
      </c>
      <c r="D84" s="84">
        <v>19</v>
      </c>
      <c r="E84" s="83" t="str">
        <f>RIGHT(PartcAliqIcms[[#This Row],[Código NCM]],8)</f>
        <v>33011910</v>
      </c>
      <c r="F84" s="85" t="s">
        <v>2479</v>
      </c>
      <c r="G84" s="86"/>
    </row>
    <row r="85" spans="1:7" ht="75" x14ac:dyDescent="0.25">
      <c r="A85" s="81" t="s">
        <v>2483</v>
      </c>
      <c r="B85" s="82">
        <v>0.17</v>
      </c>
      <c r="C85" s="82">
        <v>0.02</v>
      </c>
      <c r="D85" s="84">
        <v>19</v>
      </c>
      <c r="E85" s="83" t="str">
        <f>RIGHT(PartcAliqIcms[[#This Row],[Código NCM]],8)</f>
        <v>33011990</v>
      </c>
      <c r="F85" s="85" t="s">
        <v>2479</v>
      </c>
      <c r="G85" s="86"/>
    </row>
    <row r="86" spans="1:7" ht="75" x14ac:dyDescent="0.25">
      <c r="A86" s="81" t="s">
        <v>2484</v>
      </c>
      <c r="B86" s="82">
        <v>0.17</v>
      </c>
      <c r="C86" s="82">
        <v>0.02</v>
      </c>
      <c r="D86" s="84">
        <v>19</v>
      </c>
      <c r="E86" s="83" t="str">
        <f>RIGHT(PartcAliqIcms[[#This Row],[Código NCM]],8)</f>
        <v>33012400</v>
      </c>
      <c r="F86" s="85" t="s">
        <v>2479</v>
      </c>
      <c r="G86" s="86"/>
    </row>
    <row r="87" spans="1:7" ht="75" x14ac:dyDescent="0.25">
      <c r="A87" s="81" t="s">
        <v>2485</v>
      </c>
      <c r="B87" s="82">
        <v>0.17</v>
      </c>
      <c r="C87" s="82">
        <v>0.02</v>
      </c>
      <c r="D87" s="84">
        <v>19</v>
      </c>
      <c r="E87" s="83" t="str">
        <f>RIGHT(PartcAliqIcms[[#This Row],[Código NCM]],8)</f>
        <v>33012510</v>
      </c>
      <c r="F87" s="85" t="s">
        <v>2479</v>
      </c>
      <c r="G87" s="86"/>
    </row>
    <row r="88" spans="1:7" ht="75" x14ac:dyDescent="0.25">
      <c r="A88" s="81" t="s">
        <v>2486</v>
      </c>
      <c r="B88" s="82">
        <v>0.17</v>
      </c>
      <c r="C88" s="82">
        <v>0.02</v>
      </c>
      <c r="D88" s="84">
        <v>19</v>
      </c>
      <c r="E88" s="83" t="str">
        <f>RIGHT(PartcAliqIcms[[#This Row],[Código NCM]],8)</f>
        <v>33012520</v>
      </c>
      <c r="F88" s="85" t="s">
        <v>2479</v>
      </c>
      <c r="G88" s="86"/>
    </row>
    <row r="89" spans="1:7" ht="75" x14ac:dyDescent="0.25">
      <c r="A89" s="81" t="s">
        <v>2487</v>
      </c>
      <c r="B89" s="82">
        <v>0.17</v>
      </c>
      <c r="C89" s="82">
        <v>0.02</v>
      </c>
      <c r="D89" s="84">
        <v>19</v>
      </c>
      <c r="E89" s="83" t="str">
        <f>RIGHT(PartcAliqIcms[[#This Row],[Código NCM]],8)</f>
        <v>33012590</v>
      </c>
      <c r="F89" s="85" t="s">
        <v>2479</v>
      </c>
      <c r="G89" s="86"/>
    </row>
    <row r="90" spans="1:7" ht="75" x14ac:dyDescent="0.25">
      <c r="A90" s="81" t="s">
        <v>2488</v>
      </c>
      <c r="B90" s="82">
        <v>0.17</v>
      </c>
      <c r="C90" s="82">
        <v>0.02</v>
      </c>
      <c r="D90" s="84">
        <v>19</v>
      </c>
      <c r="E90" s="83" t="str">
        <f>RIGHT(PartcAliqIcms[[#This Row],[Código NCM]],8)</f>
        <v>33012911</v>
      </c>
      <c r="F90" s="85" t="s">
        <v>2479</v>
      </c>
      <c r="G90" s="86"/>
    </row>
    <row r="91" spans="1:7" ht="75" x14ac:dyDescent="0.25">
      <c r="A91" s="81" t="s">
        <v>2489</v>
      </c>
      <c r="B91" s="82">
        <v>0.17</v>
      </c>
      <c r="C91" s="82">
        <v>0.02</v>
      </c>
      <c r="D91" s="84">
        <v>19</v>
      </c>
      <c r="E91" s="83" t="str">
        <f>RIGHT(PartcAliqIcms[[#This Row],[Código NCM]],8)</f>
        <v>33012912</v>
      </c>
      <c r="F91" s="85" t="s">
        <v>2479</v>
      </c>
      <c r="G91" s="86"/>
    </row>
    <row r="92" spans="1:7" ht="75" x14ac:dyDescent="0.25">
      <c r="A92" s="81" t="s">
        <v>2490</v>
      </c>
      <c r="B92" s="82">
        <v>0.17</v>
      </c>
      <c r="C92" s="82">
        <v>0.02</v>
      </c>
      <c r="D92" s="84">
        <v>19</v>
      </c>
      <c r="E92" s="83" t="str">
        <f>RIGHT(PartcAliqIcms[[#This Row],[Código NCM]],8)</f>
        <v>33012913</v>
      </c>
      <c r="F92" s="85" t="s">
        <v>2479</v>
      </c>
      <c r="G92" s="86"/>
    </row>
    <row r="93" spans="1:7" ht="75" x14ac:dyDescent="0.25">
      <c r="A93" s="81" t="s">
        <v>2491</v>
      </c>
      <c r="B93" s="82">
        <v>0.17</v>
      </c>
      <c r="C93" s="82">
        <v>0.02</v>
      </c>
      <c r="D93" s="84">
        <v>19</v>
      </c>
      <c r="E93" s="83" t="str">
        <f>RIGHT(PartcAliqIcms[[#This Row],[Código NCM]],8)</f>
        <v>33012914</v>
      </c>
      <c r="F93" s="85" t="s">
        <v>2479</v>
      </c>
      <c r="G93" s="86"/>
    </row>
    <row r="94" spans="1:7" ht="75" x14ac:dyDescent="0.25">
      <c r="A94" s="81" t="s">
        <v>2492</v>
      </c>
      <c r="B94" s="82">
        <v>0.17</v>
      </c>
      <c r="C94" s="82">
        <v>0.02</v>
      </c>
      <c r="D94" s="84">
        <v>19</v>
      </c>
      <c r="E94" s="83" t="str">
        <f>RIGHT(PartcAliqIcms[[#This Row],[Código NCM]],8)</f>
        <v>33012915</v>
      </c>
      <c r="F94" s="85" t="s">
        <v>2479</v>
      </c>
      <c r="G94" s="86"/>
    </row>
    <row r="95" spans="1:7" ht="75" x14ac:dyDescent="0.25">
      <c r="A95" s="81" t="s">
        <v>2493</v>
      </c>
      <c r="B95" s="82">
        <v>0.17</v>
      </c>
      <c r="C95" s="82">
        <v>0.02</v>
      </c>
      <c r="D95" s="84">
        <v>19</v>
      </c>
      <c r="E95" s="83" t="str">
        <f>RIGHT(PartcAliqIcms[[#This Row],[Código NCM]],8)</f>
        <v>33012916</v>
      </c>
      <c r="F95" s="85" t="s">
        <v>2479</v>
      </c>
      <c r="G95" s="86"/>
    </row>
    <row r="96" spans="1:7" ht="75" x14ac:dyDescent="0.25">
      <c r="A96" s="81" t="s">
        <v>2494</v>
      </c>
      <c r="B96" s="82">
        <v>0.17</v>
      </c>
      <c r="C96" s="82">
        <v>0.02</v>
      </c>
      <c r="D96" s="84">
        <v>19</v>
      </c>
      <c r="E96" s="83" t="str">
        <f>RIGHT(PartcAliqIcms[[#This Row],[Código NCM]],8)</f>
        <v>33012917</v>
      </c>
      <c r="F96" s="85" t="s">
        <v>2479</v>
      </c>
      <c r="G96" s="86"/>
    </row>
    <row r="97" spans="1:7" ht="75" x14ac:dyDescent="0.25">
      <c r="A97" s="81" t="s">
        <v>2495</v>
      </c>
      <c r="B97" s="82">
        <v>0.17</v>
      </c>
      <c r="C97" s="82">
        <v>0.02</v>
      </c>
      <c r="D97" s="84">
        <v>19</v>
      </c>
      <c r="E97" s="83" t="str">
        <f>RIGHT(PartcAliqIcms[[#This Row],[Código NCM]],8)</f>
        <v>33012918</v>
      </c>
      <c r="F97" s="85" t="s">
        <v>2479</v>
      </c>
      <c r="G97" s="86"/>
    </row>
    <row r="98" spans="1:7" ht="75" x14ac:dyDescent="0.25">
      <c r="A98" s="81" t="s">
        <v>2496</v>
      </c>
      <c r="B98" s="82">
        <v>0.17</v>
      </c>
      <c r="C98" s="82">
        <v>0.02</v>
      </c>
      <c r="D98" s="84">
        <v>19</v>
      </c>
      <c r="E98" s="83" t="str">
        <f>RIGHT(PartcAliqIcms[[#This Row],[Código NCM]],8)</f>
        <v>33012919</v>
      </c>
      <c r="F98" s="85" t="s">
        <v>2479</v>
      </c>
      <c r="G98" s="86"/>
    </row>
    <row r="99" spans="1:7" ht="75" x14ac:dyDescent="0.25">
      <c r="A99" s="81" t="s">
        <v>2497</v>
      </c>
      <c r="B99" s="82">
        <v>0.17</v>
      </c>
      <c r="C99" s="82">
        <v>0.02</v>
      </c>
      <c r="D99" s="84">
        <v>19</v>
      </c>
      <c r="E99" s="83" t="str">
        <f>RIGHT(PartcAliqIcms[[#This Row],[Código NCM]],8)</f>
        <v>33012922</v>
      </c>
      <c r="F99" s="85" t="s">
        <v>2479</v>
      </c>
      <c r="G99" s="86"/>
    </row>
    <row r="100" spans="1:7" ht="75" x14ac:dyDescent="0.25">
      <c r="A100" s="81" t="s">
        <v>2498</v>
      </c>
      <c r="B100" s="82">
        <v>0.17</v>
      </c>
      <c r="C100" s="82">
        <v>0.02</v>
      </c>
      <c r="D100" s="84">
        <v>19</v>
      </c>
      <c r="E100" s="83" t="str">
        <f>RIGHT(PartcAliqIcms[[#This Row],[Código NCM]],8)</f>
        <v>33013000</v>
      </c>
      <c r="F100" s="85" t="s">
        <v>2479</v>
      </c>
      <c r="G100" s="86"/>
    </row>
    <row r="101" spans="1:7" ht="75" x14ac:dyDescent="0.25">
      <c r="A101" s="81" t="s">
        <v>2499</v>
      </c>
      <c r="B101" s="82">
        <v>0.17</v>
      </c>
      <c r="C101" s="82">
        <v>0.02</v>
      </c>
      <c r="D101" s="84">
        <v>19</v>
      </c>
      <c r="E101" s="83" t="str">
        <f>RIGHT(PartcAliqIcms[[#This Row],[Código NCM]],8)</f>
        <v>33019010</v>
      </c>
      <c r="F101" s="85" t="s">
        <v>2479</v>
      </c>
      <c r="G101" s="86"/>
    </row>
    <row r="102" spans="1:7" ht="75" x14ac:dyDescent="0.25">
      <c r="A102" s="81" t="s">
        <v>2500</v>
      </c>
      <c r="B102" s="82">
        <v>0.17</v>
      </c>
      <c r="C102" s="82">
        <v>0.02</v>
      </c>
      <c r="D102" s="84">
        <v>19</v>
      </c>
      <c r="E102" s="83" t="str">
        <f>RIGHT(PartcAliqIcms[[#This Row],[Código NCM]],8)</f>
        <v>33019020</v>
      </c>
      <c r="F102" s="85" t="s">
        <v>2479</v>
      </c>
      <c r="G102" s="86"/>
    </row>
    <row r="103" spans="1:7" ht="75" x14ac:dyDescent="0.25">
      <c r="A103" s="81" t="s">
        <v>2501</v>
      </c>
      <c r="B103" s="82">
        <v>0.17</v>
      </c>
      <c r="C103" s="82">
        <v>0.02</v>
      </c>
      <c r="D103" s="84">
        <v>19</v>
      </c>
      <c r="E103" s="83" t="str">
        <f>RIGHT(PartcAliqIcms[[#This Row],[Código NCM]],8)</f>
        <v>33019030</v>
      </c>
      <c r="F103" s="85" t="s">
        <v>2479</v>
      </c>
      <c r="G103" s="86"/>
    </row>
    <row r="104" spans="1:7" ht="75" x14ac:dyDescent="0.25">
      <c r="A104" s="81" t="s">
        <v>2502</v>
      </c>
      <c r="B104" s="82">
        <v>0.17</v>
      </c>
      <c r="C104" s="82">
        <v>0.02</v>
      </c>
      <c r="D104" s="84">
        <v>19</v>
      </c>
      <c r="E104" s="83" t="str">
        <f>RIGHT(PartcAliqIcms[[#This Row],[Código NCM]],8)</f>
        <v>33019040</v>
      </c>
      <c r="F104" s="85" t="s">
        <v>2479</v>
      </c>
      <c r="G104" s="86"/>
    </row>
    <row r="105" spans="1:7" ht="45" x14ac:dyDescent="0.25">
      <c r="A105" s="81" t="s">
        <v>2504</v>
      </c>
      <c r="B105" s="82">
        <v>0.17</v>
      </c>
      <c r="C105" s="82">
        <v>0.02</v>
      </c>
      <c r="D105" s="84">
        <v>19</v>
      </c>
      <c r="E105" s="83" t="str">
        <f>RIGHT(PartcAliqIcms[[#This Row],[Código NCM]],8)</f>
        <v>33029011</v>
      </c>
      <c r="F105" s="85" t="s">
        <v>2503</v>
      </c>
      <c r="G105" s="86"/>
    </row>
    <row r="106" spans="1:7" ht="45" x14ac:dyDescent="0.25">
      <c r="A106" s="81" t="s">
        <v>2505</v>
      </c>
      <c r="B106" s="82">
        <v>0.17</v>
      </c>
      <c r="C106" s="82">
        <v>0.02</v>
      </c>
      <c r="D106" s="84">
        <v>19</v>
      </c>
      <c r="E106" s="83" t="str">
        <f>RIGHT(PartcAliqIcms[[#This Row],[Código NCM]],8)</f>
        <v>33029019</v>
      </c>
      <c r="F106" s="85" t="s">
        <v>2503</v>
      </c>
      <c r="G106" s="86"/>
    </row>
    <row r="107" spans="1:7" ht="45" x14ac:dyDescent="0.25">
      <c r="A107" s="81" t="s">
        <v>2506</v>
      </c>
      <c r="B107" s="82">
        <v>0.17</v>
      </c>
      <c r="C107" s="82">
        <v>0.02</v>
      </c>
      <c r="D107" s="84">
        <v>19</v>
      </c>
      <c r="E107" s="83" t="str">
        <f>RIGHT(PartcAliqIcms[[#This Row],[Código NCM]],8)</f>
        <v>33029090</v>
      </c>
      <c r="F107" s="85" t="s">
        <v>2503</v>
      </c>
      <c r="G107" s="86"/>
    </row>
    <row r="108" spans="1:7" ht="45" x14ac:dyDescent="0.25">
      <c r="A108" s="81" t="s">
        <v>2507</v>
      </c>
      <c r="B108" s="82">
        <v>0.17</v>
      </c>
      <c r="C108" s="82">
        <v>0.02</v>
      </c>
      <c r="D108" s="84">
        <v>19</v>
      </c>
      <c r="E108" s="83" t="str">
        <f>RIGHT(PartcAliqIcms[[#This Row],[Código NCM]],8)</f>
        <v>33041000</v>
      </c>
      <c r="F108" s="85" t="s">
        <v>2508</v>
      </c>
      <c r="G108" s="86" t="s">
        <v>2508</v>
      </c>
    </row>
    <row r="109" spans="1:7" ht="45" x14ac:dyDescent="0.25">
      <c r="A109" s="81" t="s">
        <v>2509</v>
      </c>
      <c r="B109" s="82">
        <v>0.17</v>
      </c>
      <c r="C109" s="82">
        <v>0.02</v>
      </c>
      <c r="D109" s="84">
        <v>19</v>
      </c>
      <c r="E109" s="83" t="str">
        <f>RIGHT(PartcAliqIcms[[#This Row],[Código NCM]],8)</f>
        <v>33042010</v>
      </c>
      <c r="F109" s="85" t="s">
        <v>2508</v>
      </c>
      <c r="G109" s="86"/>
    </row>
    <row r="110" spans="1:7" ht="45" x14ac:dyDescent="0.25">
      <c r="A110" s="81" t="s">
        <v>2510</v>
      </c>
      <c r="B110" s="82">
        <v>0.17</v>
      </c>
      <c r="C110" s="82">
        <v>0.02</v>
      </c>
      <c r="D110" s="84">
        <v>19</v>
      </c>
      <c r="E110" s="83" t="str">
        <f>RIGHT(PartcAliqIcms[[#This Row],[Código NCM]],8)</f>
        <v>33042090</v>
      </c>
      <c r="F110" s="85" t="s">
        <v>2508</v>
      </c>
      <c r="G110" s="86"/>
    </row>
    <row r="111" spans="1:7" ht="45" x14ac:dyDescent="0.25">
      <c r="A111" s="81" t="s">
        <v>2511</v>
      </c>
      <c r="B111" s="82">
        <v>0.17</v>
      </c>
      <c r="C111" s="82">
        <v>0.02</v>
      </c>
      <c r="D111" s="84">
        <v>19</v>
      </c>
      <c r="E111" s="83" t="str">
        <f>RIGHT(PartcAliqIcms[[#This Row],[Código NCM]],8)</f>
        <v>33049079</v>
      </c>
      <c r="F111" s="85" t="s">
        <v>2508</v>
      </c>
      <c r="G111" s="86"/>
    </row>
    <row r="112" spans="1:7" ht="45" x14ac:dyDescent="0.25">
      <c r="A112" s="81" t="s">
        <v>2512</v>
      </c>
      <c r="B112" s="82">
        <v>0.17</v>
      </c>
      <c r="C112" s="82">
        <v>0.02</v>
      </c>
      <c r="D112" s="84">
        <v>19</v>
      </c>
      <c r="E112" s="83" t="str">
        <f>RIGHT(PartcAliqIcms[[#This Row],[Código NCM]],8)</f>
        <v>33049100</v>
      </c>
      <c r="F112" s="85" t="s">
        <v>2508</v>
      </c>
      <c r="G112" s="86"/>
    </row>
    <row r="113" spans="1:7" ht="45" x14ac:dyDescent="0.25">
      <c r="A113" s="81" t="s">
        <v>2513</v>
      </c>
      <c r="B113" s="82">
        <v>0.17</v>
      </c>
      <c r="C113" s="82">
        <v>0.02</v>
      </c>
      <c r="D113" s="84">
        <v>19</v>
      </c>
      <c r="E113" s="83" t="str">
        <f>RIGHT(PartcAliqIcms[[#This Row],[Código NCM]],8)</f>
        <v>33049910</v>
      </c>
      <c r="F113" s="85" t="s">
        <v>2508</v>
      </c>
      <c r="G113" s="86"/>
    </row>
    <row r="114" spans="1:7" ht="45" x14ac:dyDescent="0.25">
      <c r="A114" s="81" t="s">
        <v>2514</v>
      </c>
      <c r="B114" s="82">
        <v>0.17</v>
      </c>
      <c r="C114" s="82">
        <v>0.02</v>
      </c>
      <c r="D114" s="84">
        <v>19</v>
      </c>
      <c r="E114" s="83" t="str">
        <f>RIGHT(PartcAliqIcms[[#This Row],[Código NCM]],8)</f>
        <v>33049990</v>
      </c>
      <c r="F114" s="85" t="s">
        <v>2508</v>
      </c>
      <c r="G114" s="86"/>
    </row>
    <row r="115" spans="1:7" x14ac:dyDescent="0.25">
      <c r="A115" s="81" t="s">
        <v>2515</v>
      </c>
      <c r="B115" s="82">
        <v>0.17</v>
      </c>
      <c r="C115" s="82">
        <v>0.02</v>
      </c>
      <c r="D115" s="84">
        <v>19</v>
      </c>
      <c r="E115" s="83" t="str">
        <f>RIGHT(PartcAliqIcms[[#This Row],[Código NCM]],8)</f>
        <v>33051000</v>
      </c>
      <c r="F115" s="85" t="s">
        <v>2516</v>
      </c>
      <c r="G115" s="86"/>
    </row>
    <row r="116" spans="1:7" x14ac:dyDescent="0.25">
      <c r="A116" s="81" t="s">
        <v>2517</v>
      </c>
      <c r="B116" s="82">
        <v>0.17</v>
      </c>
      <c r="C116" s="82">
        <v>0.02</v>
      </c>
      <c r="D116" s="84">
        <v>19</v>
      </c>
      <c r="E116" s="83" t="str">
        <f>RIGHT(PartcAliqIcms[[#This Row],[Código NCM]],8)</f>
        <v>33052000</v>
      </c>
      <c r="F116" s="85" t="s">
        <v>2516</v>
      </c>
      <c r="G116" s="86"/>
    </row>
    <row r="117" spans="1:7" x14ac:dyDescent="0.25">
      <c r="A117" s="81" t="s">
        <v>2518</v>
      </c>
      <c r="B117" s="82">
        <v>0.17</v>
      </c>
      <c r="C117" s="82">
        <v>0.02</v>
      </c>
      <c r="D117" s="84">
        <v>19</v>
      </c>
      <c r="E117" s="83" t="str">
        <f>RIGHT(PartcAliqIcms[[#This Row],[Código NCM]],8)</f>
        <v>33053000</v>
      </c>
      <c r="F117" s="85" t="s">
        <v>2516</v>
      </c>
      <c r="G117" s="86"/>
    </row>
    <row r="118" spans="1:7" x14ac:dyDescent="0.25">
      <c r="A118" s="81" t="s">
        <v>2519</v>
      </c>
      <c r="B118" s="82">
        <v>0.17</v>
      </c>
      <c r="C118" s="82">
        <v>0.02</v>
      </c>
      <c r="D118" s="84">
        <v>19</v>
      </c>
      <c r="E118" s="83" t="str">
        <f>RIGHT(PartcAliqIcms[[#This Row],[Código NCM]],8)</f>
        <v>33059000</v>
      </c>
      <c r="F118" s="85" t="s">
        <v>2516</v>
      </c>
      <c r="G118" s="86"/>
    </row>
    <row r="119" spans="1:7" ht="60" x14ac:dyDescent="0.25">
      <c r="A119" s="81" t="s">
        <v>2520</v>
      </c>
      <c r="B119" s="82">
        <v>0.17</v>
      </c>
      <c r="C119" s="82">
        <v>0.02</v>
      </c>
      <c r="D119" s="84">
        <v>19</v>
      </c>
      <c r="E119" s="83" t="str">
        <f>RIGHT(PartcAliqIcms[[#This Row],[Código NCM]],8)</f>
        <v>33071000</v>
      </c>
      <c r="F119" s="85" t="s">
        <v>2521</v>
      </c>
      <c r="G119" s="86"/>
    </row>
    <row r="120" spans="1:7" ht="60" x14ac:dyDescent="0.25">
      <c r="A120" s="81" t="s">
        <v>2522</v>
      </c>
      <c r="B120" s="82">
        <v>0.17</v>
      </c>
      <c r="C120" s="82">
        <v>0.02</v>
      </c>
      <c r="D120" s="84">
        <v>19</v>
      </c>
      <c r="E120" s="83" t="str">
        <f>RIGHT(PartcAliqIcms[[#This Row],[Código NCM]],8)</f>
        <v>33072010</v>
      </c>
      <c r="F120" s="85" t="s">
        <v>2521</v>
      </c>
      <c r="G120" s="86"/>
    </row>
    <row r="121" spans="1:7" ht="60" x14ac:dyDescent="0.25">
      <c r="A121" s="81" t="s">
        <v>2523</v>
      </c>
      <c r="B121" s="82">
        <v>0.17</v>
      </c>
      <c r="C121" s="82">
        <v>0.02</v>
      </c>
      <c r="D121" s="84">
        <v>19</v>
      </c>
      <c r="E121" s="83" t="str">
        <f>RIGHT(PartcAliqIcms[[#This Row],[Código NCM]],8)</f>
        <v>33072090</v>
      </c>
      <c r="F121" s="85" t="s">
        <v>2521</v>
      </c>
      <c r="G121" s="86"/>
    </row>
    <row r="122" spans="1:7" ht="60" x14ac:dyDescent="0.25">
      <c r="A122" s="81" t="s">
        <v>2524</v>
      </c>
      <c r="B122" s="82">
        <v>0.17</v>
      </c>
      <c r="C122" s="82">
        <v>0.02</v>
      </c>
      <c r="D122" s="84">
        <v>19</v>
      </c>
      <c r="E122" s="83" t="str">
        <f>RIGHT(PartcAliqIcms[[#This Row],[Código NCM]],8)</f>
        <v>33073000</v>
      </c>
      <c r="F122" s="85" t="s">
        <v>2521</v>
      </c>
      <c r="G122" s="86"/>
    </row>
    <row r="123" spans="1:7" ht="60" x14ac:dyDescent="0.25">
      <c r="A123" s="81" t="s">
        <v>2525</v>
      </c>
      <c r="B123" s="82">
        <v>0.17</v>
      </c>
      <c r="C123" s="82">
        <v>0.02</v>
      </c>
      <c r="D123" s="84">
        <v>19</v>
      </c>
      <c r="E123" s="83" t="str">
        <f>RIGHT(PartcAliqIcms[[#This Row],[Código NCM]],8)</f>
        <v>33074100</v>
      </c>
      <c r="F123" s="85" t="s">
        <v>2521</v>
      </c>
      <c r="G123" s="86"/>
    </row>
    <row r="124" spans="1:7" ht="60" x14ac:dyDescent="0.25">
      <c r="A124" s="81" t="s">
        <v>2526</v>
      </c>
      <c r="B124" s="82">
        <v>0.17</v>
      </c>
      <c r="C124" s="82">
        <v>0.02</v>
      </c>
      <c r="D124" s="84">
        <v>19</v>
      </c>
      <c r="E124" s="83" t="str">
        <f>RIGHT(PartcAliqIcms[[#This Row],[Código NCM]],8)</f>
        <v>33074900</v>
      </c>
      <c r="F124" s="85" t="s">
        <v>2521</v>
      </c>
      <c r="G124" s="86"/>
    </row>
    <row r="125" spans="1:7" ht="60" x14ac:dyDescent="0.25">
      <c r="A125" s="81" t="s">
        <v>2527</v>
      </c>
      <c r="B125" s="82">
        <v>0.17</v>
      </c>
      <c r="C125" s="82">
        <v>0.02</v>
      </c>
      <c r="D125" s="84">
        <v>19</v>
      </c>
      <c r="E125" s="83" t="str">
        <f>RIGHT(PartcAliqIcms[[#This Row],[Código NCM]],8)</f>
        <v>33079000</v>
      </c>
      <c r="F125" s="85" t="s">
        <v>2521</v>
      </c>
      <c r="G125" s="86"/>
    </row>
    <row r="126" spans="1:7" ht="45" x14ac:dyDescent="0.25">
      <c r="A126" s="81" t="s">
        <v>2528</v>
      </c>
      <c r="B126" s="82">
        <v>0.17</v>
      </c>
      <c r="C126" s="82">
        <v>0.02</v>
      </c>
      <c r="D126" s="84">
        <v>19</v>
      </c>
      <c r="E126" s="83" t="str">
        <f>RIGHT(PartcAliqIcms[[#This Row],[Código NCM]],8)</f>
        <v>71011000</v>
      </c>
      <c r="F126" s="85" t="s">
        <v>2529</v>
      </c>
      <c r="G126" s="86"/>
    </row>
    <row r="127" spans="1:7" ht="45" x14ac:dyDescent="0.25">
      <c r="A127" s="81" t="s">
        <v>2530</v>
      </c>
      <c r="B127" s="82">
        <v>0.17</v>
      </c>
      <c r="C127" s="82">
        <v>0.02</v>
      </c>
      <c r="D127" s="84">
        <v>19</v>
      </c>
      <c r="E127" s="83" t="str">
        <f>RIGHT(PartcAliqIcms[[#This Row],[Código NCM]],8)</f>
        <v>71012100</v>
      </c>
      <c r="F127" s="85" t="s">
        <v>2529</v>
      </c>
      <c r="G127" s="86"/>
    </row>
    <row r="128" spans="1:7" ht="45" x14ac:dyDescent="0.25">
      <c r="A128" s="81" t="s">
        <v>2531</v>
      </c>
      <c r="B128" s="82">
        <v>0.17</v>
      </c>
      <c r="C128" s="82">
        <v>0.02</v>
      </c>
      <c r="D128" s="84">
        <v>19</v>
      </c>
      <c r="E128" s="83" t="str">
        <f>RIGHT(PartcAliqIcms[[#This Row],[Código NCM]],8)</f>
        <v>71012200</v>
      </c>
      <c r="F128" s="85" t="s">
        <v>2529</v>
      </c>
      <c r="G128" s="86"/>
    </row>
    <row r="129" spans="1:7" x14ac:dyDescent="0.25">
      <c r="A129" s="81" t="s">
        <v>2532</v>
      </c>
      <c r="B129" s="82">
        <v>0.17</v>
      </c>
      <c r="C129" s="82">
        <v>0.02</v>
      </c>
      <c r="D129" s="84">
        <v>19</v>
      </c>
      <c r="E129" s="83" t="str">
        <f>RIGHT(PartcAliqIcms[[#This Row],[Código NCM]],8)</f>
        <v>71021000</v>
      </c>
      <c r="F129" s="85" t="s">
        <v>2533</v>
      </c>
      <c r="G129" s="86"/>
    </row>
    <row r="130" spans="1:7" x14ac:dyDescent="0.25">
      <c r="A130" s="81" t="s">
        <v>2534</v>
      </c>
      <c r="B130" s="82">
        <v>0.17</v>
      </c>
      <c r="C130" s="82">
        <v>0.02</v>
      </c>
      <c r="D130" s="84">
        <v>19</v>
      </c>
      <c r="E130" s="83" t="str">
        <f>RIGHT(PartcAliqIcms[[#This Row],[Código NCM]],8)</f>
        <v>71022100</v>
      </c>
      <c r="F130" s="85" t="s">
        <v>2533</v>
      </c>
      <c r="G130" s="86"/>
    </row>
    <row r="131" spans="1:7" x14ac:dyDescent="0.25">
      <c r="A131" s="81" t="s">
        <v>2535</v>
      </c>
      <c r="B131" s="82">
        <v>0.17</v>
      </c>
      <c r="C131" s="82">
        <v>0.02</v>
      </c>
      <c r="D131" s="84">
        <v>19</v>
      </c>
      <c r="E131" s="83" t="str">
        <f>RIGHT(PartcAliqIcms[[#This Row],[Código NCM]],8)</f>
        <v>71022900</v>
      </c>
      <c r="F131" s="85" t="s">
        <v>2533</v>
      </c>
      <c r="G131" s="86"/>
    </row>
    <row r="132" spans="1:7" x14ac:dyDescent="0.25">
      <c r="A132" s="81" t="s">
        <v>2536</v>
      </c>
      <c r="B132" s="82">
        <v>0.17</v>
      </c>
      <c r="C132" s="82">
        <v>0.02</v>
      </c>
      <c r="D132" s="84">
        <v>19</v>
      </c>
      <c r="E132" s="83" t="str">
        <f>RIGHT(PartcAliqIcms[[#This Row],[Código NCM]],8)</f>
        <v>71023100</v>
      </c>
      <c r="F132" s="85" t="s">
        <v>2533</v>
      </c>
      <c r="G132" s="86"/>
    </row>
    <row r="133" spans="1:7" x14ac:dyDescent="0.25">
      <c r="A133" s="81" t="s">
        <v>2537</v>
      </c>
      <c r="B133" s="82">
        <v>0.17</v>
      </c>
      <c r="C133" s="82">
        <v>0.02</v>
      </c>
      <c r="D133" s="84">
        <v>19</v>
      </c>
      <c r="E133" s="83" t="str">
        <f>RIGHT(PartcAliqIcms[[#This Row],[Código NCM]],8)</f>
        <v>71023900</v>
      </c>
      <c r="F133" s="85" t="s">
        <v>2533</v>
      </c>
      <c r="G133" s="86"/>
    </row>
    <row r="134" spans="1:7" ht="45" x14ac:dyDescent="0.25">
      <c r="A134" s="81" t="s">
        <v>2538</v>
      </c>
      <c r="B134" s="82">
        <v>0.17</v>
      </c>
      <c r="C134" s="82">
        <v>0.02</v>
      </c>
      <c r="D134" s="84">
        <v>19</v>
      </c>
      <c r="E134" s="83" t="str">
        <f>RIGHT(PartcAliqIcms[[#This Row],[Código NCM]],8)</f>
        <v>71031000</v>
      </c>
      <c r="F134" s="87" t="s">
        <v>2539</v>
      </c>
      <c r="G134" s="86"/>
    </row>
    <row r="135" spans="1:7" ht="45" x14ac:dyDescent="0.25">
      <c r="A135" s="81" t="s">
        <v>2540</v>
      </c>
      <c r="B135" s="82">
        <v>0.17</v>
      </c>
      <c r="C135" s="82">
        <v>0.02</v>
      </c>
      <c r="D135" s="84">
        <v>19</v>
      </c>
      <c r="E135" s="83" t="str">
        <f>RIGHT(PartcAliqIcms[[#This Row],[Código NCM]],8)</f>
        <v>71039100</v>
      </c>
      <c r="F135" s="85" t="s">
        <v>2539</v>
      </c>
      <c r="G135" s="86"/>
    </row>
    <row r="136" spans="1:7" ht="45" x14ac:dyDescent="0.25">
      <c r="A136" s="81" t="s">
        <v>2541</v>
      </c>
      <c r="B136" s="82">
        <v>0.17</v>
      </c>
      <c r="C136" s="82">
        <v>0.02</v>
      </c>
      <c r="D136" s="84">
        <v>19</v>
      </c>
      <c r="E136" s="83" t="str">
        <f>RIGHT(PartcAliqIcms[[#This Row],[Código NCM]],8)</f>
        <v>71039900</v>
      </c>
      <c r="F136" s="85" t="s">
        <v>2539</v>
      </c>
      <c r="G136" s="86"/>
    </row>
    <row r="137" spans="1:7" ht="45" x14ac:dyDescent="0.25">
      <c r="A137" s="81" t="s">
        <v>2542</v>
      </c>
      <c r="B137" s="82">
        <v>0.17</v>
      </c>
      <c r="C137" s="82">
        <v>0.02</v>
      </c>
      <c r="D137" s="84">
        <v>19</v>
      </c>
      <c r="E137" s="83" t="str">
        <f>RIGHT(PartcAliqIcms[[#This Row],[Código NCM]],8)</f>
        <v>71041000</v>
      </c>
      <c r="F137" s="85" t="s">
        <v>2543</v>
      </c>
      <c r="G137" s="86"/>
    </row>
    <row r="138" spans="1:7" ht="45" x14ac:dyDescent="0.25">
      <c r="A138" s="81" t="s">
        <v>2544</v>
      </c>
      <c r="B138" s="82">
        <v>0.17</v>
      </c>
      <c r="C138" s="82">
        <v>0.02</v>
      </c>
      <c r="D138" s="84">
        <v>19</v>
      </c>
      <c r="E138" s="83" t="str">
        <f>RIGHT(PartcAliqIcms[[#This Row],[Código NCM]],8)</f>
        <v>71042010</v>
      </c>
      <c r="F138" s="85" t="s">
        <v>2543</v>
      </c>
      <c r="G138" s="86"/>
    </row>
    <row r="139" spans="1:7" ht="45" x14ac:dyDescent="0.25">
      <c r="A139" s="81" t="s">
        <v>2545</v>
      </c>
      <c r="B139" s="82">
        <v>0.17</v>
      </c>
      <c r="C139" s="82">
        <v>0.02</v>
      </c>
      <c r="D139" s="84">
        <v>19</v>
      </c>
      <c r="E139" s="83" t="str">
        <f>RIGHT(PartcAliqIcms[[#This Row],[Código NCM]],8)</f>
        <v>71042090</v>
      </c>
      <c r="F139" s="85" t="s">
        <v>2543</v>
      </c>
      <c r="G139" s="86"/>
    </row>
    <row r="140" spans="1:7" ht="45" x14ac:dyDescent="0.25">
      <c r="A140" s="81" t="s">
        <v>2546</v>
      </c>
      <c r="B140" s="82">
        <v>0.17</v>
      </c>
      <c r="C140" s="82">
        <v>0.02</v>
      </c>
      <c r="D140" s="84">
        <v>19</v>
      </c>
      <c r="E140" s="83" t="str">
        <f>RIGHT(PartcAliqIcms[[#This Row],[Código NCM]],8)</f>
        <v>71049000</v>
      </c>
      <c r="F140" s="85" t="s">
        <v>2543</v>
      </c>
      <c r="G140" s="86"/>
    </row>
    <row r="141" spans="1:7" x14ac:dyDescent="0.25">
      <c r="A141" s="81" t="s">
        <v>2547</v>
      </c>
      <c r="B141" s="82">
        <v>0.17</v>
      </c>
      <c r="C141" s="82">
        <v>0.02</v>
      </c>
      <c r="D141" s="84">
        <v>19</v>
      </c>
      <c r="E141" s="83" t="str">
        <f>RIGHT(PartcAliqIcms[[#This Row],[Código NCM]],8)</f>
        <v>71061000</v>
      </c>
      <c r="F141" s="85" t="s">
        <v>2548</v>
      </c>
      <c r="G141" s="86"/>
    </row>
    <row r="142" spans="1:7" x14ac:dyDescent="0.25">
      <c r="A142" s="81" t="s">
        <v>2549</v>
      </c>
      <c r="B142" s="82">
        <v>0.17</v>
      </c>
      <c r="C142" s="82">
        <v>0.02</v>
      </c>
      <c r="D142" s="84">
        <v>19</v>
      </c>
      <c r="E142" s="83" t="str">
        <f>RIGHT(PartcAliqIcms[[#This Row],[Código NCM]],8)</f>
        <v>71069100</v>
      </c>
      <c r="F142" s="85" t="s">
        <v>2548</v>
      </c>
      <c r="G142" s="86"/>
    </row>
    <row r="143" spans="1:7" x14ac:dyDescent="0.25">
      <c r="A143" s="81" t="s">
        <v>2550</v>
      </c>
      <c r="B143" s="82">
        <v>0.17</v>
      </c>
      <c r="C143" s="82">
        <v>0.02</v>
      </c>
      <c r="D143" s="84">
        <v>19</v>
      </c>
      <c r="E143" s="83" t="str">
        <f>RIGHT(PartcAliqIcms[[#This Row],[Código NCM]],8)</f>
        <v>71069210</v>
      </c>
      <c r="F143" s="85" t="s">
        <v>2548</v>
      </c>
      <c r="G143" s="86"/>
    </row>
    <row r="144" spans="1:7" x14ac:dyDescent="0.25">
      <c r="A144" s="81" t="s">
        <v>2551</v>
      </c>
      <c r="B144" s="82">
        <v>0.17</v>
      </c>
      <c r="C144" s="82">
        <v>0.02</v>
      </c>
      <c r="D144" s="84">
        <v>19</v>
      </c>
      <c r="E144" s="83" t="str">
        <f>RIGHT(PartcAliqIcms[[#This Row],[Código NCM]],8)</f>
        <v>71069220</v>
      </c>
      <c r="F144" s="85" t="s">
        <v>2548</v>
      </c>
      <c r="G144" s="86"/>
    </row>
    <row r="145" spans="1:7" x14ac:dyDescent="0.25">
      <c r="A145" s="81" t="s">
        <v>2552</v>
      </c>
      <c r="B145" s="82">
        <v>0.17</v>
      </c>
      <c r="C145" s="82">
        <v>0.02</v>
      </c>
      <c r="D145" s="84">
        <v>19</v>
      </c>
      <c r="E145" s="83" t="str">
        <f>RIGHT(PartcAliqIcms[[#This Row],[Código NCM]],8)</f>
        <v>71069290</v>
      </c>
      <c r="F145" s="85" t="s">
        <v>2548</v>
      </c>
      <c r="G145" s="86"/>
    </row>
    <row r="146" spans="1:7" x14ac:dyDescent="0.25">
      <c r="A146" s="81" t="s">
        <v>2553</v>
      </c>
      <c r="B146" s="82">
        <v>0.17</v>
      </c>
      <c r="C146" s="82">
        <v>0.02</v>
      </c>
      <c r="D146" s="84">
        <v>19</v>
      </c>
      <c r="E146" s="83" t="str">
        <f>RIGHT(PartcAliqIcms[[#This Row],[Código NCM]],8)</f>
        <v>71101100</v>
      </c>
      <c r="F146" s="85" t="s">
        <v>2554</v>
      </c>
      <c r="G146" s="86"/>
    </row>
    <row r="147" spans="1:7" x14ac:dyDescent="0.25">
      <c r="A147" s="81" t="s">
        <v>2555</v>
      </c>
      <c r="B147" s="82">
        <v>0.17</v>
      </c>
      <c r="C147" s="82">
        <v>0.02</v>
      </c>
      <c r="D147" s="84">
        <v>19</v>
      </c>
      <c r="E147" s="83" t="str">
        <f>RIGHT(PartcAliqIcms[[#This Row],[Código NCM]],8)</f>
        <v>71101910</v>
      </c>
      <c r="F147" s="85" t="s">
        <v>2554</v>
      </c>
      <c r="G147" s="86"/>
    </row>
    <row r="148" spans="1:7" x14ac:dyDescent="0.25">
      <c r="A148" s="81" t="s">
        <v>2556</v>
      </c>
      <c r="B148" s="82">
        <v>0.17</v>
      </c>
      <c r="C148" s="82">
        <v>0.02</v>
      </c>
      <c r="D148" s="84">
        <v>19</v>
      </c>
      <c r="E148" s="83" t="str">
        <f>RIGHT(PartcAliqIcms[[#This Row],[Código NCM]],8)</f>
        <v>71101990</v>
      </c>
      <c r="F148" s="85" t="s">
        <v>2554</v>
      </c>
      <c r="G148" s="86"/>
    </row>
    <row r="149" spans="1:7" x14ac:dyDescent="0.25">
      <c r="A149" s="81" t="s">
        <v>2557</v>
      </c>
      <c r="B149" s="82">
        <v>0.17</v>
      </c>
      <c r="C149" s="82">
        <v>0.02</v>
      </c>
      <c r="D149" s="84">
        <v>19</v>
      </c>
      <c r="E149" s="83" t="str">
        <f>RIGHT(PartcAliqIcms[[#This Row],[Código NCM]],8)</f>
        <v>71102100</v>
      </c>
      <c r="F149" s="85" t="s">
        <v>2554</v>
      </c>
      <c r="G149" s="86"/>
    </row>
    <row r="150" spans="1:7" x14ac:dyDescent="0.25">
      <c r="A150" s="81" t="s">
        <v>2558</v>
      </c>
      <c r="B150" s="82">
        <v>0.17</v>
      </c>
      <c r="C150" s="82">
        <v>0.02</v>
      </c>
      <c r="D150" s="84">
        <v>19</v>
      </c>
      <c r="E150" s="83" t="str">
        <f>RIGHT(PartcAliqIcms[[#This Row],[Código NCM]],8)</f>
        <v>71102900</v>
      </c>
      <c r="F150" s="85" t="s">
        <v>2554</v>
      </c>
      <c r="G150" s="86"/>
    </row>
    <row r="151" spans="1:7" x14ac:dyDescent="0.25">
      <c r="A151" s="81" t="s">
        <v>2559</v>
      </c>
      <c r="B151" s="82">
        <v>0.17</v>
      </c>
      <c r="C151" s="82">
        <v>0.02</v>
      </c>
      <c r="D151" s="84">
        <v>19</v>
      </c>
      <c r="E151" s="83" t="str">
        <f>RIGHT(PartcAliqIcms[[#This Row],[Código NCM]],8)</f>
        <v>71103100</v>
      </c>
      <c r="F151" s="85" t="s">
        <v>2554</v>
      </c>
      <c r="G151" s="86"/>
    </row>
    <row r="152" spans="1:7" x14ac:dyDescent="0.25">
      <c r="A152" s="81" t="s">
        <v>2560</v>
      </c>
      <c r="B152" s="82">
        <v>0.17</v>
      </c>
      <c r="C152" s="82">
        <v>0.02</v>
      </c>
      <c r="D152" s="84">
        <v>19</v>
      </c>
      <c r="E152" s="83" t="str">
        <f>RIGHT(PartcAliqIcms[[#This Row],[Código NCM]],8)</f>
        <v>71103900</v>
      </c>
      <c r="F152" s="85" t="s">
        <v>2554</v>
      </c>
      <c r="G152" s="86"/>
    </row>
    <row r="153" spans="1:7" x14ac:dyDescent="0.25">
      <c r="A153" s="81" t="s">
        <v>2561</v>
      </c>
      <c r="B153" s="88">
        <v>0.17</v>
      </c>
      <c r="C153" s="88">
        <v>0.02</v>
      </c>
      <c r="D153" s="89">
        <v>19</v>
      </c>
      <c r="E153" s="83" t="str">
        <f>RIGHT(PartcAliqIcms[[#This Row],[Código NCM]],8)</f>
        <v>71104100</v>
      </c>
      <c r="F153" s="90" t="s">
        <v>2554</v>
      </c>
      <c r="G153" s="86"/>
    </row>
    <row r="154" spans="1:7" x14ac:dyDescent="0.25">
      <c r="A154" s="81" t="s">
        <v>2562</v>
      </c>
      <c r="B154" s="88">
        <v>0.17</v>
      </c>
      <c r="C154" s="88">
        <v>0.02</v>
      </c>
      <c r="D154" s="89">
        <v>19</v>
      </c>
      <c r="E154" s="83" t="str">
        <f>RIGHT(PartcAliqIcms[[#This Row],[Código NCM]],8)</f>
        <v>71104900</v>
      </c>
      <c r="F154" s="90" t="s">
        <v>2554</v>
      </c>
      <c r="G154" s="86"/>
    </row>
    <row r="155" spans="1:7" ht="45" x14ac:dyDescent="0.25">
      <c r="A155" s="81" t="s">
        <v>2563</v>
      </c>
      <c r="B155" s="88">
        <v>0.17</v>
      </c>
      <c r="C155" s="88">
        <v>0.02</v>
      </c>
      <c r="D155" s="89">
        <v>19</v>
      </c>
      <c r="E155" s="83" t="str">
        <f>RIGHT(PartcAliqIcms[[#This Row],[Código NCM]],8)</f>
        <v>71123010</v>
      </c>
      <c r="F155" s="90" t="s">
        <v>2564</v>
      </c>
      <c r="G155" s="86"/>
    </row>
    <row r="156" spans="1:7" ht="45" x14ac:dyDescent="0.25">
      <c r="A156" s="81" t="s">
        <v>2565</v>
      </c>
      <c r="B156" s="88">
        <v>0.17</v>
      </c>
      <c r="C156" s="88">
        <v>0.02</v>
      </c>
      <c r="D156" s="89">
        <v>19</v>
      </c>
      <c r="E156" s="83" t="str">
        <f>RIGHT(PartcAliqIcms[[#This Row],[Código NCM]],8)</f>
        <v>71123020</v>
      </c>
      <c r="F156" s="90" t="s">
        <v>2564</v>
      </c>
      <c r="G156" s="86"/>
    </row>
    <row r="157" spans="1:7" ht="45" x14ac:dyDescent="0.25">
      <c r="A157" s="81" t="s">
        <v>2566</v>
      </c>
      <c r="B157" s="88">
        <v>0.17</v>
      </c>
      <c r="C157" s="88">
        <v>0.02</v>
      </c>
      <c r="D157" s="89">
        <v>19</v>
      </c>
      <c r="E157" s="83" t="str">
        <f>RIGHT(PartcAliqIcms[[#This Row],[Código NCM]],8)</f>
        <v>71123090</v>
      </c>
      <c r="F157" s="90" t="s">
        <v>2564</v>
      </c>
      <c r="G157" s="86"/>
    </row>
    <row r="158" spans="1:7" ht="45" x14ac:dyDescent="0.25">
      <c r="A158" s="81" t="s">
        <v>2567</v>
      </c>
      <c r="B158" s="88">
        <v>0.17</v>
      </c>
      <c r="C158" s="88">
        <v>0.02</v>
      </c>
      <c r="D158" s="89">
        <v>19</v>
      </c>
      <c r="E158" s="83" t="str">
        <f>RIGHT(PartcAliqIcms[[#This Row],[Código NCM]],8)</f>
        <v>71129100</v>
      </c>
      <c r="F158" s="90" t="s">
        <v>2564</v>
      </c>
      <c r="G158" s="86"/>
    </row>
    <row r="159" spans="1:7" ht="45" x14ac:dyDescent="0.25">
      <c r="A159" s="81" t="s">
        <v>2568</v>
      </c>
      <c r="B159" s="88">
        <v>0.17</v>
      </c>
      <c r="C159" s="88">
        <v>0.02</v>
      </c>
      <c r="D159" s="89">
        <v>19</v>
      </c>
      <c r="E159" s="83" t="str">
        <f>RIGHT(PartcAliqIcms[[#This Row],[Código NCM]],8)</f>
        <v>71129200</v>
      </c>
      <c r="F159" s="90" t="s">
        <v>2564</v>
      </c>
      <c r="G159" s="86"/>
    </row>
    <row r="160" spans="1:7" ht="45" x14ac:dyDescent="0.25">
      <c r="A160" s="81" t="s">
        <v>2569</v>
      </c>
      <c r="B160" s="88">
        <v>0.17</v>
      </c>
      <c r="C160" s="88">
        <v>0.02</v>
      </c>
      <c r="D160" s="89">
        <v>19</v>
      </c>
      <c r="E160" s="83" t="str">
        <f>RIGHT(PartcAliqIcms[[#This Row],[Código NCM]],8)</f>
        <v>71129900</v>
      </c>
      <c r="F160" s="90" t="s">
        <v>2564</v>
      </c>
      <c r="G160" s="86"/>
    </row>
    <row r="161" spans="1:7" ht="30" x14ac:dyDescent="0.25">
      <c r="A161" s="81" t="s">
        <v>2570</v>
      </c>
      <c r="B161" s="82">
        <v>0.17</v>
      </c>
      <c r="C161" s="82">
        <v>0.02</v>
      </c>
      <c r="D161" s="84">
        <v>19</v>
      </c>
      <c r="E161" s="83" t="str">
        <f>RIGHT(PartcAliqIcms[[#This Row],[Código NCM]],8)</f>
        <v>71131100</v>
      </c>
      <c r="F161" s="85" t="s">
        <v>2571</v>
      </c>
      <c r="G161" s="86"/>
    </row>
    <row r="162" spans="1:7" ht="30" x14ac:dyDescent="0.25">
      <c r="A162" s="81" t="s">
        <v>2572</v>
      </c>
      <c r="B162" s="82">
        <v>0.17</v>
      </c>
      <c r="C162" s="82">
        <v>0.02</v>
      </c>
      <c r="D162" s="84">
        <v>19</v>
      </c>
      <c r="E162" s="83" t="str">
        <f>RIGHT(PartcAliqIcms[[#This Row],[Código NCM]],8)</f>
        <v>71131900</v>
      </c>
      <c r="F162" s="85" t="s">
        <v>2571</v>
      </c>
      <c r="G162" s="86"/>
    </row>
    <row r="163" spans="1:7" ht="30" x14ac:dyDescent="0.25">
      <c r="A163" s="81" t="s">
        <v>2573</v>
      </c>
      <c r="B163" s="82">
        <v>0.17</v>
      </c>
      <c r="C163" s="82">
        <v>0.02</v>
      </c>
      <c r="D163" s="84">
        <v>19</v>
      </c>
      <c r="E163" s="83" t="str">
        <f>RIGHT(PartcAliqIcms[[#This Row],[Código NCM]],8)</f>
        <v>71132000</v>
      </c>
      <c r="F163" s="85" t="s">
        <v>2571</v>
      </c>
      <c r="G163" s="86"/>
    </row>
    <row r="164" spans="1:7" ht="30" x14ac:dyDescent="0.25">
      <c r="A164" s="81" t="s">
        <v>2574</v>
      </c>
      <c r="B164" s="82">
        <v>0.17</v>
      </c>
      <c r="C164" s="82">
        <v>0.02</v>
      </c>
      <c r="D164" s="84">
        <v>19</v>
      </c>
      <c r="E164" s="83" t="str">
        <f>RIGHT(PartcAliqIcms[[#This Row],[Código NCM]],8)</f>
        <v>71141100</v>
      </c>
      <c r="F164" s="85" t="s">
        <v>2575</v>
      </c>
      <c r="G164" s="86"/>
    </row>
    <row r="165" spans="1:7" ht="30" x14ac:dyDescent="0.25">
      <c r="A165" s="81" t="s">
        <v>2576</v>
      </c>
      <c r="B165" s="82">
        <v>0.17</v>
      </c>
      <c r="C165" s="82">
        <v>0.02</v>
      </c>
      <c r="D165" s="84">
        <v>19</v>
      </c>
      <c r="E165" s="83" t="str">
        <f>RIGHT(PartcAliqIcms[[#This Row],[Código NCM]],8)</f>
        <v>71141900</v>
      </c>
      <c r="F165" s="85" t="s">
        <v>2575</v>
      </c>
      <c r="G165" s="86"/>
    </row>
    <row r="166" spans="1:7" ht="30" x14ac:dyDescent="0.25">
      <c r="A166" s="81" t="s">
        <v>2577</v>
      </c>
      <c r="B166" s="82">
        <v>0.17</v>
      </c>
      <c r="C166" s="82">
        <v>0.02</v>
      </c>
      <c r="D166" s="84">
        <v>19</v>
      </c>
      <c r="E166" s="83" t="str">
        <f>RIGHT(PartcAliqIcms[[#This Row],[Código NCM]],8)</f>
        <v>71142000</v>
      </c>
      <c r="F166" s="85" t="s">
        <v>2575</v>
      </c>
      <c r="G166" s="86"/>
    </row>
    <row r="167" spans="1:7" x14ac:dyDescent="0.25">
      <c r="A167" s="81" t="s">
        <v>2578</v>
      </c>
      <c r="B167" s="82">
        <v>0.17</v>
      </c>
      <c r="C167" s="82">
        <v>0.02</v>
      </c>
      <c r="D167" s="84">
        <v>19</v>
      </c>
      <c r="E167" s="83" t="str">
        <f>RIGHT(PartcAliqIcms[[#This Row],[Código NCM]],8)</f>
        <v>71151000</v>
      </c>
      <c r="F167" s="85" t="s">
        <v>2579</v>
      </c>
      <c r="G167" s="86"/>
    </row>
    <row r="168" spans="1:7" x14ac:dyDescent="0.25">
      <c r="A168" s="81" t="s">
        <v>2580</v>
      </c>
      <c r="B168" s="82">
        <v>0.17</v>
      </c>
      <c r="C168" s="82">
        <v>0.02</v>
      </c>
      <c r="D168" s="84">
        <v>19</v>
      </c>
      <c r="E168" s="83" t="str">
        <f>RIGHT(PartcAliqIcms[[#This Row],[Código NCM]],8)</f>
        <v>71159000</v>
      </c>
      <c r="F168" s="85" t="s">
        <v>2579</v>
      </c>
      <c r="G168" s="86"/>
    </row>
    <row r="169" spans="1:7" ht="30" x14ac:dyDescent="0.25">
      <c r="A169" s="81" t="s">
        <v>2581</v>
      </c>
      <c r="B169" s="82">
        <v>0.17</v>
      </c>
      <c r="C169" s="82">
        <v>0.02</v>
      </c>
      <c r="D169" s="84">
        <v>19</v>
      </c>
      <c r="E169" s="83" t="str">
        <f>RIGHT(PartcAliqIcms[[#This Row],[Código NCM]],8)</f>
        <v>71161000</v>
      </c>
      <c r="F169" s="85" t="s">
        <v>2582</v>
      </c>
      <c r="G169" s="86"/>
    </row>
    <row r="170" spans="1:7" ht="30" x14ac:dyDescent="0.25">
      <c r="A170" s="81" t="s">
        <v>2583</v>
      </c>
      <c r="B170" s="82">
        <v>0.17</v>
      </c>
      <c r="C170" s="82">
        <v>0.02</v>
      </c>
      <c r="D170" s="84">
        <v>19</v>
      </c>
      <c r="E170" s="83" t="str">
        <f>RIGHT(PartcAliqIcms[[#This Row],[Código NCM]],8)</f>
        <v>71162010</v>
      </c>
      <c r="F170" s="85" t="s">
        <v>2582</v>
      </c>
      <c r="G170" s="86"/>
    </row>
    <row r="171" spans="1:7" ht="30" x14ac:dyDescent="0.25">
      <c r="A171" s="81" t="s">
        <v>2584</v>
      </c>
      <c r="B171" s="82">
        <v>0.17</v>
      </c>
      <c r="C171" s="82">
        <v>0.02</v>
      </c>
      <c r="D171" s="84">
        <v>19</v>
      </c>
      <c r="E171" s="83" t="str">
        <f>RIGHT(PartcAliqIcms[[#This Row],[Código NCM]],8)</f>
        <v>71162020</v>
      </c>
      <c r="F171" s="85" t="s">
        <v>2582</v>
      </c>
      <c r="G171" s="86"/>
    </row>
    <row r="172" spans="1:7" ht="30" x14ac:dyDescent="0.25">
      <c r="A172" s="81" t="s">
        <v>2585</v>
      </c>
      <c r="B172" s="82">
        <v>0.17</v>
      </c>
      <c r="C172" s="82">
        <v>0.02</v>
      </c>
      <c r="D172" s="84">
        <v>19</v>
      </c>
      <c r="E172" s="83" t="str">
        <f>RIGHT(PartcAliqIcms[[#This Row],[Código NCM]],8)</f>
        <v>71162090</v>
      </c>
      <c r="F172" s="85" t="s">
        <v>2582</v>
      </c>
      <c r="G172" s="86"/>
    </row>
    <row r="173" spans="1:7" x14ac:dyDescent="0.25">
      <c r="A173" s="81" t="s">
        <v>2586</v>
      </c>
      <c r="B173" s="82">
        <v>0.17</v>
      </c>
      <c r="C173" s="82">
        <v>0.02</v>
      </c>
      <c r="D173" s="84">
        <v>19</v>
      </c>
      <c r="E173" s="83" t="str">
        <f>RIGHT(PartcAliqIcms[[#This Row],[Código NCM]],8)</f>
        <v>71171100</v>
      </c>
      <c r="F173" s="85" t="s">
        <v>2587</v>
      </c>
      <c r="G173" s="86"/>
    </row>
    <row r="174" spans="1:7" x14ac:dyDescent="0.25">
      <c r="A174" s="81" t="s">
        <v>2588</v>
      </c>
      <c r="B174" s="82">
        <v>0.17</v>
      </c>
      <c r="C174" s="82">
        <v>0.02</v>
      </c>
      <c r="D174" s="84">
        <v>19</v>
      </c>
      <c r="E174" s="83" t="str">
        <f>RIGHT(PartcAliqIcms[[#This Row],[Código NCM]],8)</f>
        <v>71171900</v>
      </c>
      <c r="F174" s="85" t="s">
        <v>2587</v>
      </c>
      <c r="G174" s="86"/>
    </row>
    <row r="175" spans="1:7" x14ac:dyDescent="0.25">
      <c r="A175" s="81" t="s">
        <v>2589</v>
      </c>
      <c r="B175" s="82">
        <v>0.17</v>
      </c>
      <c r="C175" s="82">
        <v>0.02</v>
      </c>
      <c r="D175" s="84">
        <v>19</v>
      </c>
      <c r="E175" s="83" t="str">
        <f>RIGHT(PartcAliqIcms[[#This Row],[Código NCM]],8)</f>
        <v>71179000</v>
      </c>
      <c r="F175" s="85" t="s">
        <v>2587</v>
      </c>
      <c r="G175" s="86"/>
    </row>
    <row r="176" spans="1:7" ht="30" x14ac:dyDescent="0.25">
      <c r="A176" s="81" t="s">
        <v>2590</v>
      </c>
      <c r="B176" s="82">
        <v>0.25</v>
      </c>
      <c r="C176" s="82">
        <v>0.02</v>
      </c>
      <c r="D176" s="84">
        <v>27</v>
      </c>
      <c r="E176" s="83" t="str">
        <f>RIGHT(PartcAliqIcms[[#This Row],[Código NCM]],8)</f>
        <v>93062100</v>
      </c>
      <c r="F176" s="85" t="s">
        <v>2591</v>
      </c>
      <c r="G176" s="86"/>
    </row>
    <row r="177" spans="1:7" ht="30" x14ac:dyDescent="0.25">
      <c r="A177" s="81" t="s">
        <v>2592</v>
      </c>
      <c r="B177" s="82">
        <v>0.25</v>
      </c>
      <c r="C177" s="82">
        <v>0.02</v>
      </c>
      <c r="D177" s="84">
        <v>27</v>
      </c>
      <c r="E177" s="83" t="str">
        <f>RIGHT(PartcAliqIcms[[#This Row],[Código NCM]],8)</f>
        <v>93062900</v>
      </c>
      <c r="F177" s="85" t="s">
        <v>2591</v>
      </c>
      <c r="G177" s="86"/>
    </row>
    <row r="178" spans="1:7" ht="30" x14ac:dyDescent="0.25">
      <c r="A178" s="81" t="s">
        <v>2593</v>
      </c>
      <c r="B178" s="82">
        <v>0.17</v>
      </c>
      <c r="C178" s="82">
        <v>0.02</v>
      </c>
      <c r="D178" s="84">
        <v>19</v>
      </c>
      <c r="E178" s="83" t="str">
        <f>RIGHT(PartcAliqIcms[[#This Row],[Código NCM]],8)</f>
        <v>71081100</v>
      </c>
      <c r="F178" s="85" t="s">
        <v>2594</v>
      </c>
      <c r="G178" s="86"/>
    </row>
    <row r="179" spans="1:7" ht="30" x14ac:dyDescent="0.25">
      <c r="A179" s="81" t="s">
        <v>2595</v>
      </c>
      <c r="B179" s="82">
        <v>0.17</v>
      </c>
      <c r="C179" s="82">
        <v>0.02</v>
      </c>
      <c r="D179" s="84">
        <v>19</v>
      </c>
      <c r="E179" s="83" t="str">
        <f>RIGHT(PartcAliqIcms[[#This Row],[Código NCM]],8)</f>
        <v>71081210</v>
      </c>
      <c r="F179" s="85" t="s">
        <v>2594</v>
      </c>
      <c r="G179" s="86"/>
    </row>
    <row r="180" spans="1:7" ht="30" x14ac:dyDescent="0.25">
      <c r="A180" s="81" t="s">
        <v>2596</v>
      </c>
      <c r="B180" s="82">
        <v>0.17</v>
      </c>
      <c r="C180" s="82">
        <v>0.02</v>
      </c>
      <c r="D180" s="84">
        <v>19</v>
      </c>
      <c r="E180" s="83" t="str">
        <f>RIGHT(PartcAliqIcms[[#This Row],[Código NCM]],8)</f>
        <v>71081290</v>
      </c>
      <c r="F180" s="85" t="s">
        <v>2594</v>
      </c>
      <c r="G180" s="86"/>
    </row>
    <row r="181" spans="1:7" ht="30" x14ac:dyDescent="0.25">
      <c r="A181" s="81" t="s">
        <v>2597</v>
      </c>
      <c r="B181" s="82">
        <v>0.17</v>
      </c>
      <c r="C181" s="82">
        <v>0.02</v>
      </c>
      <c r="D181" s="84">
        <v>19</v>
      </c>
      <c r="E181" s="83" t="str">
        <f>RIGHT(PartcAliqIcms[[#This Row],[Código NCM]],8)</f>
        <v>71081310</v>
      </c>
      <c r="F181" s="85" t="s">
        <v>2594</v>
      </c>
      <c r="G181" s="86"/>
    </row>
    <row r="182" spans="1:7" ht="30" x14ac:dyDescent="0.25">
      <c r="A182" s="81" t="s">
        <v>2598</v>
      </c>
      <c r="B182" s="82">
        <v>0.17</v>
      </c>
      <c r="C182" s="82">
        <v>0.02</v>
      </c>
      <c r="D182" s="84">
        <v>19</v>
      </c>
      <c r="E182" s="83" t="str">
        <f>RIGHT(PartcAliqIcms[[#This Row],[Código NCM]],8)</f>
        <v>71081390</v>
      </c>
      <c r="F182" s="85" t="s">
        <v>2594</v>
      </c>
      <c r="G182" s="86"/>
    </row>
    <row r="183" spans="1:7" ht="45" x14ac:dyDescent="0.25">
      <c r="A183" s="81" t="s">
        <v>2599</v>
      </c>
      <c r="B183" s="82">
        <v>0.25</v>
      </c>
      <c r="C183" s="82">
        <v>0.02</v>
      </c>
      <c r="D183" s="84">
        <v>27</v>
      </c>
      <c r="E183" s="83" t="str">
        <f>RIGHT(PartcAliqIcms[[#This Row],[Código NCM]],8)</f>
        <v>22060010</v>
      </c>
      <c r="F183" s="85" t="s">
        <v>2600</v>
      </c>
      <c r="G183" s="86"/>
    </row>
    <row r="184" spans="1:7" ht="45" x14ac:dyDescent="0.25">
      <c r="A184" s="81" t="s">
        <v>2601</v>
      </c>
      <c r="B184" s="82">
        <v>0.25</v>
      </c>
      <c r="C184" s="82">
        <v>0.02</v>
      </c>
      <c r="D184" s="84">
        <v>27</v>
      </c>
      <c r="E184" s="83" t="str">
        <f>RIGHT(PartcAliqIcms[[#This Row],[Código NCM]],8)</f>
        <v>22060090</v>
      </c>
      <c r="F184" s="85" t="s">
        <v>2600</v>
      </c>
      <c r="G184" s="86"/>
    </row>
    <row r="185" spans="1:7" x14ac:dyDescent="0.25">
      <c r="A185" s="81" t="s">
        <v>3432</v>
      </c>
      <c r="B185" s="82">
        <v>0.17</v>
      </c>
      <c r="C185" s="82">
        <v>0.02</v>
      </c>
      <c r="D185" s="84">
        <v>19</v>
      </c>
      <c r="E185" s="83" t="str">
        <f>RIGHT(PartcAliqIcms[[#This Row],[Código NCM]],8)</f>
        <v>33030020</v>
      </c>
      <c r="F185" s="85" t="s">
        <v>2602</v>
      </c>
      <c r="G185" s="86"/>
    </row>
    <row r="186" spans="1:7" x14ac:dyDescent="0.25">
      <c r="A186" s="81" t="s">
        <v>3433</v>
      </c>
      <c r="B186" s="82">
        <v>0.17</v>
      </c>
      <c r="C186" s="82">
        <v>0.02</v>
      </c>
      <c r="D186" s="84">
        <v>19</v>
      </c>
      <c r="E186" s="83" t="str">
        <f>RIGHT(PartcAliqIcms[[#This Row],[Código NCM]],8)</f>
        <v>33030010</v>
      </c>
      <c r="F186" s="85" t="s">
        <v>2602</v>
      </c>
      <c r="G186" s="86"/>
    </row>
    <row r="187" spans="1:7" x14ac:dyDescent="0.25">
      <c r="A187" s="81" t="s">
        <v>181</v>
      </c>
      <c r="B187" s="82"/>
      <c r="C187" s="82"/>
      <c r="D187" s="84">
        <v>12</v>
      </c>
      <c r="E187" s="83" t="str">
        <f>RIGHT(PartcAliqIcms[[#This Row],[Código NCM]],8)</f>
        <v>04061010</v>
      </c>
      <c r="F187" s="85" t="s">
        <v>3434</v>
      </c>
      <c r="G187" s="86"/>
    </row>
    <row r="188" spans="1:7" x14ac:dyDescent="0.25">
      <c r="A188" s="81" t="s">
        <v>182</v>
      </c>
      <c r="B188" s="82"/>
      <c r="C188" s="82"/>
      <c r="D188" s="84">
        <v>12</v>
      </c>
      <c r="E188" s="83" t="str">
        <f>RIGHT(PartcAliqIcms[[#This Row],[Código NCM]],8)</f>
        <v>02013000</v>
      </c>
      <c r="F188" s="85" t="s">
        <v>2409</v>
      </c>
      <c r="G188" s="86"/>
    </row>
    <row r="189" spans="1:7" x14ac:dyDescent="0.25">
      <c r="A189" s="81" t="s">
        <v>248</v>
      </c>
      <c r="B189" s="82"/>
      <c r="C189" s="82"/>
      <c r="D189" s="84">
        <v>12</v>
      </c>
      <c r="E189" s="83" t="str">
        <f>RIGHT(PartcAliqIcms[[#This Row],[Código NCM]],8)</f>
        <v>04069020</v>
      </c>
      <c r="F189" s="85" t="s">
        <v>3434</v>
      </c>
      <c r="G189" s="86"/>
    </row>
    <row r="190" spans="1:7" x14ac:dyDescent="0.25">
      <c r="A190" s="81" t="s">
        <v>190</v>
      </c>
      <c r="B190" s="82"/>
      <c r="C190" s="82"/>
      <c r="D190" s="84">
        <v>12</v>
      </c>
      <c r="E190" s="83" t="str">
        <f>RIGHT(PartcAliqIcms[[#This Row],[Código NCM]],8)</f>
        <v>02071100</v>
      </c>
      <c r="F190" s="85" t="s">
        <v>2603</v>
      </c>
      <c r="G190" s="86"/>
    </row>
    <row r="191" spans="1:7" x14ac:dyDescent="0.25">
      <c r="A191" s="81" t="s">
        <v>214</v>
      </c>
      <c r="B191" s="82"/>
      <c r="C191" s="82"/>
      <c r="D191" s="84">
        <v>12</v>
      </c>
      <c r="E191" s="83" t="str">
        <f>RIGHT(PartcAliqIcms[[#This Row],[Código NCM]],8)</f>
        <v>02012020</v>
      </c>
      <c r="F191" s="85" t="s">
        <v>2409</v>
      </c>
      <c r="G191" s="86"/>
    </row>
    <row r="192" spans="1:7" x14ac:dyDescent="0.25">
      <c r="A192" s="81" t="s">
        <v>217</v>
      </c>
      <c r="B192" s="82"/>
      <c r="C192" s="82"/>
      <c r="D192" s="84">
        <v>12</v>
      </c>
      <c r="E192" s="83" t="str">
        <f>RIGHT(PartcAliqIcms[[#This Row],[Código NCM]],8)</f>
        <v>04062000</v>
      </c>
      <c r="F192" s="85" t="s">
        <v>3434</v>
      </c>
      <c r="G192" s="86"/>
    </row>
    <row r="193" spans="1:7" x14ac:dyDescent="0.25">
      <c r="A193" s="81" t="s">
        <v>225</v>
      </c>
      <c r="B193" s="82"/>
      <c r="C193" s="82"/>
      <c r="D193" s="84">
        <v>12</v>
      </c>
      <c r="E193" s="83" t="str">
        <f>RIGHT(PartcAliqIcms[[#This Row],[Código NCM]],8)</f>
        <v>02071400</v>
      </c>
      <c r="F193" s="85" t="s">
        <v>2603</v>
      </c>
      <c r="G193" s="86"/>
    </row>
    <row r="194" spans="1:7" x14ac:dyDescent="0.25">
      <c r="A194" s="81" t="s">
        <v>227</v>
      </c>
      <c r="B194" s="82"/>
      <c r="C194" s="82"/>
      <c r="D194" s="84">
        <v>12</v>
      </c>
      <c r="E194" s="83" t="str">
        <f>RIGHT(PartcAliqIcms[[#This Row],[Código NCM]],8)</f>
        <v>04012010</v>
      </c>
      <c r="F194" s="85" t="s">
        <v>2433</v>
      </c>
      <c r="G194" s="86"/>
    </row>
    <row r="195" spans="1:7" x14ac:dyDescent="0.25">
      <c r="A195" s="81" t="s">
        <v>230</v>
      </c>
      <c r="B195" s="82"/>
      <c r="C195" s="82"/>
      <c r="D195" s="84">
        <v>12</v>
      </c>
      <c r="E195" s="83" t="str">
        <f>RIGHT(PartcAliqIcms[[#This Row],[Código NCM]],8)</f>
        <v>02062200</v>
      </c>
      <c r="F195" s="85" t="s">
        <v>2409</v>
      </c>
      <c r="G195" s="86"/>
    </row>
    <row r="196" spans="1:7" x14ac:dyDescent="0.25">
      <c r="A196" s="81" t="s">
        <v>237</v>
      </c>
      <c r="B196" s="82"/>
      <c r="C196" s="82"/>
      <c r="D196" s="84">
        <v>12</v>
      </c>
      <c r="E196" s="83" t="str">
        <f>RIGHT(PartcAliqIcms[[#This Row],[Código NCM]],8)</f>
        <v>02061000</v>
      </c>
      <c r="F196" s="85" t="s">
        <v>2409</v>
      </c>
      <c r="G196" s="86"/>
    </row>
    <row r="197" spans="1:7" x14ac:dyDescent="0.25">
      <c r="A197" s="81" t="s">
        <v>243</v>
      </c>
      <c r="B197" s="82"/>
      <c r="C197" s="82"/>
      <c r="D197" s="84">
        <v>12</v>
      </c>
      <c r="E197" s="83" t="str">
        <f>RIGHT(PartcAliqIcms[[#This Row],[Código NCM]],8)</f>
        <v>02071300</v>
      </c>
      <c r="F197" s="85" t="s">
        <v>2603</v>
      </c>
      <c r="G197" s="86"/>
    </row>
    <row r="198" spans="1:7" x14ac:dyDescent="0.25">
      <c r="A198" s="81" t="s">
        <v>249</v>
      </c>
      <c r="B198" s="82"/>
      <c r="C198" s="82"/>
      <c r="D198" s="84">
        <v>12</v>
      </c>
      <c r="E198" s="83" t="str">
        <f>RIGHT(PartcAliqIcms[[#This Row],[Código NCM]],8)</f>
        <v>02012010</v>
      </c>
      <c r="F198" s="85" t="s">
        <v>2409</v>
      </c>
      <c r="G198" s="86"/>
    </row>
    <row r="199" spans="1:7" x14ac:dyDescent="0.25">
      <c r="A199" s="81" t="s">
        <v>252</v>
      </c>
      <c r="B199" s="82"/>
      <c r="C199" s="82"/>
      <c r="D199" s="84">
        <v>12</v>
      </c>
      <c r="E199" s="83" t="str">
        <f>RIGHT(PartcAliqIcms[[#This Row],[Código NCM]],8)</f>
        <v>02071200</v>
      </c>
      <c r="F199" s="85" t="s">
        <v>2603</v>
      </c>
      <c r="G199" s="86"/>
    </row>
    <row r="200" spans="1:7" x14ac:dyDescent="0.25">
      <c r="A200" s="81" t="s">
        <v>261</v>
      </c>
      <c r="B200" s="82"/>
      <c r="C200" s="82"/>
      <c r="D200" s="84">
        <v>12</v>
      </c>
      <c r="E200" s="83" t="str">
        <f>RIGHT(PartcAliqIcms[[#This Row],[Código NCM]],8)</f>
        <v>02062990</v>
      </c>
      <c r="F200" s="85" t="s">
        <v>2409</v>
      </c>
      <c r="G200" s="86"/>
    </row>
    <row r="201" spans="1:7" x14ac:dyDescent="0.25">
      <c r="A201" s="81" t="s">
        <v>283</v>
      </c>
      <c r="B201" s="82"/>
      <c r="C201" s="82"/>
      <c r="D201" s="84">
        <v>12</v>
      </c>
      <c r="E201" s="83" t="str">
        <f>RIGHT(PartcAliqIcms[[#This Row],[Código NCM]],8)</f>
        <v>02062100</v>
      </c>
      <c r="F201" s="85" t="s">
        <v>2409</v>
      </c>
      <c r="G201" s="86"/>
    </row>
    <row r="202" spans="1:7" x14ac:dyDescent="0.25">
      <c r="A202" s="81" t="s">
        <v>292</v>
      </c>
      <c r="B202" s="82"/>
      <c r="C202" s="82"/>
      <c r="D202" s="84">
        <v>12</v>
      </c>
      <c r="E202" s="83" t="str">
        <f>RIGHT(PartcAliqIcms[[#This Row],[Código NCM]],8)</f>
        <v>02062910</v>
      </c>
      <c r="F202" s="85" t="s">
        <v>2409</v>
      </c>
      <c r="G202" s="86"/>
    </row>
    <row r="203" spans="1:7" x14ac:dyDescent="0.25">
      <c r="A203" s="81" t="s">
        <v>2605</v>
      </c>
      <c r="B203" s="82"/>
      <c r="C203" s="82"/>
      <c r="D203" s="84">
        <v>12</v>
      </c>
      <c r="E203" s="83" t="str">
        <f>RIGHT(PartcAliqIcms[[#This Row],[Código NCM]],8)</f>
        <v>02023000</v>
      </c>
      <c r="F203" s="85" t="s">
        <v>2409</v>
      </c>
      <c r="G203" s="86"/>
    </row>
    <row r="204" spans="1:7" x14ac:dyDescent="0.25">
      <c r="A204" s="81" t="s">
        <v>2606</v>
      </c>
      <c r="B204" s="82"/>
      <c r="C204" s="82"/>
      <c r="D204" s="84">
        <v>12</v>
      </c>
      <c r="E204" s="83" t="str">
        <f>RIGHT(PartcAliqIcms[[#This Row],[Código NCM]],8)</f>
        <v>02011000</v>
      </c>
      <c r="F204" s="85" t="s">
        <v>2409</v>
      </c>
      <c r="G204" s="86"/>
    </row>
    <row r="205" spans="1:7" x14ac:dyDescent="0.25">
      <c r="A205" s="81" t="s">
        <v>2607</v>
      </c>
      <c r="B205" s="82"/>
      <c r="C205" s="82"/>
      <c r="D205" s="84">
        <v>12</v>
      </c>
      <c r="E205" s="83" t="str">
        <f>RIGHT(PartcAliqIcms[[#This Row],[Código NCM]],8)</f>
        <v>02012090</v>
      </c>
      <c r="F205" s="85" t="s">
        <v>2409</v>
      </c>
      <c r="G205" s="86"/>
    </row>
    <row r="206" spans="1:7" x14ac:dyDescent="0.25">
      <c r="A206" s="81" t="s">
        <v>2608</v>
      </c>
      <c r="B206" s="82"/>
      <c r="C206" s="82"/>
      <c r="D206" s="84">
        <v>12</v>
      </c>
      <c r="E206" s="83" t="str">
        <f>RIGHT(PartcAliqIcms[[#This Row],[Código NCM]],8)</f>
        <v>02021000</v>
      </c>
      <c r="F206" s="85" t="s">
        <v>2409</v>
      </c>
      <c r="G206" s="86"/>
    </row>
    <row r="207" spans="1:7" x14ac:dyDescent="0.25">
      <c r="A207" s="81" t="s">
        <v>2609</v>
      </c>
      <c r="B207" s="82"/>
      <c r="C207" s="82"/>
      <c r="D207" s="84">
        <v>12</v>
      </c>
      <c r="E207" s="83" t="str">
        <f>RIGHT(PartcAliqIcms[[#This Row],[Código NCM]],8)</f>
        <v>02022010</v>
      </c>
      <c r="F207" s="85" t="s">
        <v>2409</v>
      </c>
      <c r="G207" s="86"/>
    </row>
    <row r="208" spans="1:7" x14ac:dyDescent="0.25">
      <c r="A208" s="81" t="s">
        <v>2610</v>
      </c>
      <c r="B208" s="82"/>
      <c r="C208" s="82"/>
      <c r="D208" s="84">
        <v>12</v>
      </c>
      <c r="E208" s="83" t="str">
        <f>RIGHT(PartcAliqIcms[[#This Row],[Código NCM]],8)</f>
        <v>02022020</v>
      </c>
      <c r="F208" s="85" t="s">
        <v>2409</v>
      </c>
      <c r="G208" s="86"/>
    </row>
    <row r="209" spans="1:7" x14ac:dyDescent="0.25">
      <c r="A209" s="81" t="s">
        <v>2611</v>
      </c>
      <c r="B209" s="82"/>
      <c r="C209" s="82"/>
      <c r="D209" s="84">
        <v>12</v>
      </c>
      <c r="E209" s="83" t="str">
        <f>RIGHT(PartcAliqIcms[[#This Row],[Código NCM]],8)</f>
        <v>02022090</v>
      </c>
      <c r="F209" s="85" t="s">
        <v>2409</v>
      </c>
      <c r="G209" s="86"/>
    </row>
    <row r="210" spans="1:7" x14ac:dyDescent="0.25">
      <c r="A210" s="81" t="s">
        <v>2612</v>
      </c>
      <c r="B210" s="82"/>
      <c r="C210" s="82"/>
      <c r="D210" s="84">
        <v>12</v>
      </c>
      <c r="E210" s="83" t="str">
        <f>RIGHT(PartcAliqIcms[[#This Row],[Código NCM]],8)</f>
        <v>02072400</v>
      </c>
      <c r="F210" s="85" t="s">
        <v>3435</v>
      </c>
      <c r="G210" s="86"/>
    </row>
    <row r="211" spans="1:7" x14ac:dyDescent="0.25">
      <c r="A211" s="81" t="s">
        <v>2613</v>
      </c>
      <c r="B211" s="82"/>
      <c r="C211" s="82"/>
      <c r="D211" s="84">
        <v>12</v>
      </c>
      <c r="E211" s="83" t="str">
        <f>RIGHT(PartcAliqIcms[[#This Row],[Código NCM]],8)</f>
        <v>02072500</v>
      </c>
      <c r="F211" s="85" t="s">
        <v>3435</v>
      </c>
      <c r="G211" s="86"/>
    </row>
    <row r="212" spans="1:7" x14ac:dyDescent="0.25">
      <c r="A212" s="81" t="s">
        <v>2614</v>
      </c>
      <c r="B212" s="82"/>
      <c r="C212" s="82"/>
      <c r="D212" s="84">
        <v>12</v>
      </c>
      <c r="E212" s="83" t="str">
        <f>RIGHT(PartcAliqIcms[[#This Row],[Código NCM]],8)</f>
        <v>02072600</v>
      </c>
      <c r="F212" s="85" t="s">
        <v>3435</v>
      </c>
      <c r="G212" s="86"/>
    </row>
    <row r="213" spans="1:7" x14ac:dyDescent="0.25">
      <c r="A213" s="81" t="s">
        <v>2615</v>
      </c>
      <c r="B213" s="82"/>
      <c r="C213" s="82"/>
      <c r="D213" s="84">
        <v>12</v>
      </c>
      <c r="E213" s="83" t="str">
        <f>RIGHT(PartcAliqIcms[[#This Row],[Código NCM]],8)</f>
        <v>02072700</v>
      </c>
      <c r="F213" s="85" t="s">
        <v>3435</v>
      </c>
      <c r="G213" s="86"/>
    </row>
    <row r="214" spans="1:7" x14ac:dyDescent="0.25">
      <c r="A214" s="81" t="s">
        <v>2616</v>
      </c>
      <c r="B214" s="82"/>
      <c r="C214" s="82"/>
      <c r="D214" s="84">
        <v>12</v>
      </c>
      <c r="E214" s="83" t="str">
        <f>RIGHT(PartcAliqIcms[[#This Row],[Código NCM]],8)</f>
        <v>02074100</v>
      </c>
      <c r="F214" s="85" t="s">
        <v>3436</v>
      </c>
      <c r="G214" s="86"/>
    </row>
    <row r="215" spans="1:7" x14ac:dyDescent="0.25">
      <c r="A215" s="81" t="s">
        <v>2617</v>
      </c>
      <c r="B215" s="82"/>
      <c r="C215" s="82"/>
      <c r="D215" s="84">
        <v>12</v>
      </c>
      <c r="E215" s="83" t="str">
        <f>RIGHT(PartcAliqIcms[[#This Row],[Código NCM]],8)</f>
        <v>02074200</v>
      </c>
      <c r="F215" s="85" t="s">
        <v>3436</v>
      </c>
      <c r="G215" s="86"/>
    </row>
    <row r="216" spans="1:7" x14ac:dyDescent="0.25">
      <c r="A216" s="81" t="s">
        <v>2618</v>
      </c>
      <c r="B216" s="82"/>
      <c r="C216" s="82"/>
      <c r="D216" s="84">
        <v>12</v>
      </c>
      <c r="E216" s="83" t="str">
        <f>RIGHT(PartcAliqIcms[[#This Row],[Código NCM]],8)</f>
        <v>02074300</v>
      </c>
      <c r="F216" s="85" t="s">
        <v>3436</v>
      </c>
      <c r="G216" s="86"/>
    </row>
    <row r="217" spans="1:7" x14ac:dyDescent="0.25">
      <c r="A217" s="81" t="s">
        <v>2619</v>
      </c>
      <c r="B217" s="82"/>
      <c r="C217" s="82"/>
      <c r="D217" s="84">
        <v>12</v>
      </c>
      <c r="E217" s="83" t="str">
        <f>RIGHT(PartcAliqIcms[[#This Row],[Código NCM]],8)</f>
        <v>02074400</v>
      </c>
      <c r="F217" s="85" t="s">
        <v>3436</v>
      </c>
      <c r="G217" s="86"/>
    </row>
    <row r="218" spans="1:7" x14ac:dyDescent="0.25">
      <c r="A218" s="81" t="s">
        <v>2620</v>
      </c>
      <c r="B218" s="82"/>
      <c r="C218" s="82"/>
      <c r="D218" s="84">
        <v>12</v>
      </c>
      <c r="E218" s="83" t="str">
        <f>RIGHT(PartcAliqIcms[[#This Row],[Código NCM]],8)</f>
        <v>02074500</v>
      </c>
      <c r="F218" s="85" t="s">
        <v>3436</v>
      </c>
      <c r="G218" s="86"/>
    </row>
    <row r="219" spans="1:7" x14ac:dyDescent="0.25">
      <c r="A219" s="81" t="s">
        <v>2621</v>
      </c>
      <c r="B219" s="82"/>
      <c r="C219" s="82"/>
      <c r="D219" s="84">
        <v>12</v>
      </c>
      <c r="E219" s="83" t="str">
        <f>RIGHT(PartcAliqIcms[[#This Row],[Código NCM]],8)</f>
        <v>02075100</v>
      </c>
      <c r="F219" s="85" t="s">
        <v>3437</v>
      </c>
      <c r="G219" s="86"/>
    </row>
    <row r="220" spans="1:7" x14ac:dyDescent="0.25">
      <c r="A220" s="81" t="s">
        <v>2622</v>
      </c>
      <c r="B220" s="82"/>
      <c r="C220" s="82"/>
      <c r="D220" s="84">
        <v>12</v>
      </c>
      <c r="E220" s="83" t="str">
        <f>RIGHT(PartcAliqIcms[[#This Row],[Código NCM]],8)</f>
        <v>02075200</v>
      </c>
      <c r="F220" s="85" t="s">
        <v>3437</v>
      </c>
      <c r="G220" s="86"/>
    </row>
    <row r="221" spans="1:7" x14ac:dyDescent="0.25">
      <c r="A221" s="81" t="s">
        <v>2623</v>
      </c>
      <c r="B221" s="82"/>
      <c r="C221" s="82"/>
      <c r="D221" s="84">
        <v>12</v>
      </c>
      <c r="E221" s="83" t="str">
        <f>RIGHT(PartcAliqIcms[[#This Row],[Código NCM]],8)</f>
        <v>02075300</v>
      </c>
      <c r="F221" s="85" t="s">
        <v>3437</v>
      </c>
      <c r="G221" s="86"/>
    </row>
    <row r="222" spans="1:7" x14ac:dyDescent="0.25">
      <c r="A222" s="81" t="s">
        <v>2624</v>
      </c>
      <c r="B222" s="82"/>
      <c r="C222" s="82"/>
      <c r="D222" s="84">
        <v>12</v>
      </c>
      <c r="E222" s="83" t="str">
        <f>RIGHT(PartcAliqIcms[[#This Row],[Código NCM]],8)</f>
        <v>02075400</v>
      </c>
      <c r="F222" s="85" t="s">
        <v>3437</v>
      </c>
      <c r="G222" s="86"/>
    </row>
    <row r="223" spans="1:7" x14ac:dyDescent="0.25">
      <c r="A223" s="81" t="s">
        <v>2625</v>
      </c>
      <c r="B223" s="82"/>
      <c r="C223" s="82"/>
      <c r="D223" s="84">
        <v>12</v>
      </c>
      <c r="E223" s="83" t="str">
        <f>RIGHT(PartcAliqIcms[[#This Row],[Código NCM]],8)</f>
        <v>02075500</v>
      </c>
      <c r="F223" s="85" t="s">
        <v>3437</v>
      </c>
      <c r="G223" s="86"/>
    </row>
    <row r="224" spans="1:7" x14ac:dyDescent="0.25">
      <c r="A224" s="81" t="s">
        <v>2626</v>
      </c>
      <c r="B224" s="82"/>
      <c r="C224" s="82"/>
      <c r="D224" s="84">
        <v>12</v>
      </c>
      <c r="E224" s="83" t="str">
        <f>RIGHT(PartcAliqIcms[[#This Row],[Código NCM]],8)</f>
        <v>02076000</v>
      </c>
      <c r="F224" s="85" t="s">
        <v>3438</v>
      </c>
      <c r="G224" s="86"/>
    </row>
    <row r="225" spans="1:7" x14ac:dyDescent="0.25">
      <c r="A225" s="81" t="s">
        <v>2627</v>
      </c>
      <c r="B225" s="82"/>
      <c r="C225" s="82"/>
      <c r="D225" s="84">
        <v>12</v>
      </c>
      <c r="E225" s="83" t="str">
        <f>RIGHT(PartcAliqIcms[[#This Row],[Código NCM]],8)</f>
        <v>02109911</v>
      </c>
      <c r="F225" s="85" t="s">
        <v>3439</v>
      </c>
      <c r="G225" s="86"/>
    </row>
    <row r="226" spans="1:7" x14ac:dyDescent="0.25">
      <c r="A226" s="81" t="s">
        <v>2628</v>
      </c>
      <c r="B226" s="82"/>
      <c r="C226" s="82"/>
      <c r="D226" s="84">
        <v>12</v>
      </c>
      <c r="E226" s="83" t="str">
        <f>RIGHT(PartcAliqIcms[[#This Row],[Código NCM]],8)</f>
        <v>02109920</v>
      </c>
      <c r="F226" s="85" t="s">
        <v>3440</v>
      </c>
      <c r="G226" s="86"/>
    </row>
    <row r="227" spans="1:7" x14ac:dyDescent="0.25">
      <c r="A227" s="81" t="s">
        <v>3441</v>
      </c>
      <c r="B227" s="82"/>
      <c r="C227" s="82"/>
      <c r="D227" s="84">
        <v>12</v>
      </c>
      <c r="E227" s="83" t="str">
        <f>RIGHT(PartcAliqIcms[[#This Row],[Código NCM]],8)</f>
        <v>04063000</v>
      </c>
      <c r="F227" s="85" t="s">
        <v>3434</v>
      </c>
      <c r="G227" s="86"/>
    </row>
    <row r="228" spans="1:7" x14ac:dyDescent="0.25">
      <c r="A228" s="81" t="s">
        <v>276</v>
      </c>
      <c r="B228" s="82"/>
      <c r="C228" s="82"/>
      <c r="D228" s="84">
        <v>12</v>
      </c>
      <c r="E228" s="83" t="str">
        <f>RIGHT(PartcAliqIcms[[#This Row],[Código NCM]],8)</f>
        <v>04069010</v>
      </c>
      <c r="F228" s="85" t="s">
        <v>3434</v>
      </c>
      <c r="G228" s="86"/>
    </row>
    <row r="229" spans="1:7" x14ac:dyDescent="0.25">
      <c r="A229" s="81" t="s">
        <v>3312</v>
      </c>
      <c r="B229" s="82"/>
      <c r="C229" s="82"/>
      <c r="D229" s="84">
        <v>12</v>
      </c>
      <c r="E229" s="83" t="str">
        <f>RIGHT(PartcAliqIcms[[#This Row],[Código NCM]],8)</f>
        <v>04069090</v>
      </c>
      <c r="F229" s="85" t="s">
        <v>3434</v>
      </c>
      <c r="G229" s="86"/>
    </row>
    <row r="230" spans="1:7" ht="30" x14ac:dyDescent="0.25">
      <c r="A230" s="81" t="s">
        <v>3442</v>
      </c>
      <c r="B230" s="82">
        <v>0.25</v>
      </c>
      <c r="C230" s="82">
        <v>0.02</v>
      </c>
      <c r="D230" s="84">
        <v>27</v>
      </c>
      <c r="E230" s="83" t="str">
        <f>RIGHT(PartcAliqIcms[[#This Row],[Código NCM]],8)</f>
        <v>22042900</v>
      </c>
      <c r="F230" s="85" t="s">
        <v>2444</v>
      </c>
      <c r="G230" s="86"/>
    </row>
    <row r="231" spans="1:7" ht="45" x14ac:dyDescent="0.25">
      <c r="A231" s="81" t="s">
        <v>3383</v>
      </c>
      <c r="B231" s="82">
        <v>0.17</v>
      </c>
      <c r="C231" s="82">
        <v>0.02</v>
      </c>
      <c r="D231" s="84">
        <v>19</v>
      </c>
      <c r="E231" s="83" t="str">
        <f>RIGHT(PartcAliqIcms[[#This Row],[Código NCM]],8)</f>
        <v>33043000</v>
      </c>
      <c r="F231" s="85" t="s">
        <v>2508</v>
      </c>
      <c r="G231" s="86"/>
    </row>
    <row r="232" spans="1:7" x14ac:dyDescent="0.25">
      <c r="A232" s="81" t="s">
        <v>189</v>
      </c>
      <c r="B232" s="82"/>
      <c r="C232" s="82"/>
      <c r="D232" s="84">
        <v>12</v>
      </c>
      <c r="E232" s="83" t="str">
        <f>RIGHT(PartcAliqIcms[[#This Row],[Código NCM]],8)</f>
        <v>04012090</v>
      </c>
      <c r="F232" s="85" t="s">
        <v>2433</v>
      </c>
      <c r="G232" s="86"/>
    </row>
    <row r="233" spans="1:7" x14ac:dyDescent="0.25">
      <c r="A233" s="81" t="s">
        <v>3443</v>
      </c>
      <c r="B233" s="82"/>
      <c r="C233" s="82"/>
      <c r="D233" s="84">
        <v>12</v>
      </c>
      <c r="E233" s="83" t="str">
        <f>RIGHT(PartcAliqIcms[[#This Row],[Código NCM]],8)</f>
        <v>04064000</v>
      </c>
      <c r="F233" s="85" t="s">
        <v>3434</v>
      </c>
      <c r="G233" s="86"/>
    </row>
    <row r="234" spans="1:7" x14ac:dyDescent="0.25">
      <c r="A234" s="81" t="s">
        <v>3343</v>
      </c>
      <c r="B234" s="82"/>
      <c r="C234" s="82"/>
      <c r="D234" s="84">
        <v>12</v>
      </c>
      <c r="E234" s="83" t="str">
        <f>RIGHT(PartcAliqIcms[[#This Row],[Código NCM]],8)</f>
        <v>09019000</v>
      </c>
      <c r="F234" s="85" t="s">
        <v>2428</v>
      </c>
      <c r="G234" s="86"/>
    </row>
    <row r="235" spans="1:7" x14ac:dyDescent="0.25">
      <c r="A235" s="81" t="s">
        <v>293</v>
      </c>
      <c r="B235" s="82"/>
      <c r="C235" s="82"/>
      <c r="D235" s="84">
        <v>12</v>
      </c>
      <c r="E235" s="83" t="str">
        <f>RIGHT(PartcAliqIcms[[#This Row],[Código NCM]],8)</f>
        <v>02102000</v>
      </c>
      <c r="F235" s="85" t="s">
        <v>2409</v>
      </c>
      <c r="G235" s="86"/>
    </row>
    <row r="236" spans="1:7" x14ac:dyDescent="0.25">
      <c r="A236" s="81" t="s">
        <v>3405</v>
      </c>
      <c r="B236" s="82"/>
      <c r="C236" s="82"/>
      <c r="D236" s="84">
        <v>12</v>
      </c>
      <c r="E236" s="83" t="str">
        <f>RIGHT(PartcAliqIcms[[#This Row],[Código NCM]],8)</f>
        <v>04011090</v>
      </c>
      <c r="F236" s="85" t="s">
        <v>2433</v>
      </c>
      <c r="G236" s="86"/>
    </row>
    <row r="237" spans="1:7" x14ac:dyDescent="0.25">
      <c r="A237" s="81" t="s">
        <v>3311</v>
      </c>
      <c r="B237" s="82"/>
      <c r="C237" s="3"/>
      <c r="D237" s="91">
        <v>12</v>
      </c>
      <c r="E237" s="83" t="str">
        <f>RIGHT(PartcAliqIcms[[#This Row],[Código NCM]],8)</f>
        <v>04069030</v>
      </c>
      <c r="F237" s="92" t="s">
        <v>3434</v>
      </c>
      <c r="G237" s="86"/>
    </row>
    <row r="238" spans="1:7" x14ac:dyDescent="0.25">
      <c r="A238" s="81" t="s">
        <v>354</v>
      </c>
      <c r="B238" s="3"/>
      <c r="C238" s="3"/>
      <c r="D238" s="91">
        <v>12</v>
      </c>
      <c r="E238" s="83" t="str">
        <f>RIGHT(PartcAliqIcms[[#This Row],[Código NCM]],8)</f>
        <v>11031300</v>
      </c>
      <c r="F238" s="85" t="s">
        <v>3444</v>
      </c>
      <c r="G238" s="86" t="s">
        <v>3444</v>
      </c>
    </row>
    <row r="239" spans="1:7" x14ac:dyDescent="0.25">
      <c r="A239" s="81" t="s">
        <v>3445</v>
      </c>
      <c r="B239" s="3"/>
      <c r="C239" s="3"/>
      <c r="D239" s="91">
        <v>12</v>
      </c>
      <c r="E239" s="83" t="str">
        <f>RIGHT(PartcAliqIcms[[#This Row],[Código NCM]],8)</f>
        <v>11042300</v>
      </c>
      <c r="F239" s="92" t="s">
        <v>3446</v>
      </c>
      <c r="G239" s="86"/>
    </row>
    <row r="240" spans="1:7" x14ac:dyDescent="0.25">
      <c r="A240" s="81" t="s">
        <v>3340</v>
      </c>
      <c r="B240" s="3"/>
      <c r="C240" s="3"/>
      <c r="D240" s="91">
        <v>12</v>
      </c>
      <c r="E240" s="83" t="str">
        <f>RIGHT(PartcAliqIcms[[#This Row],[Código NCM]],8)</f>
        <v>09011190</v>
      </c>
      <c r="F240" s="85" t="s">
        <v>2428</v>
      </c>
      <c r="G240" s="86"/>
    </row>
    <row r="241" spans="1:7" x14ac:dyDescent="0.25">
      <c r="A241" s="81" t="s">
        <v>3341</v>
      </c>
      <c r="B241" s="3"/>
      <c r="C241" s="3"/>
      <c r="D241" s="91">
        <v>12</v>
      </c>
      <c r="E241" s="83" t="str">
        <f>RIGHT(PartcAliqIcms[[#This Row],[Código NCM]],8)</f>
        <v>09011200</v>
      </c>
      <c r="F241" s="92" t="s">
        <v>2428</v>
      </c>
      <c r="G241" s="86"/>
    </row>
    <row r="242" spans="1:7" x14ac:dyDescent="0.25">
      <c r="A242" s="81" t="s">
        <v>3342</v>
      </c>
      <c r="B242" s="3"/>
      <c r="C242" s="3"/>
      <c r="D242" s="91">
        <v>12</v>
      </c>
      <c r="E242" s="83" t="str">
        <f>RIGHT(PartcAliqIcms[[#This Row],[Código NCM]],8)</f>
        <v>09012200</v>
      </c>
      <c r="F242" s="92" t="s">
        <v>2428</v>
      </c>
      <c r="G242" s="86"/>
    </row>
    <row r="243" spans="1:7" x14ac:dyDescent="0.25">
      <c r="A243" s="81" t="s">
        <v>218</v>
      </c>
      <c r="B243" s="3"/>
      <c r="C243" s="3"/>
      <c r="D243" s="91">
        <v>12</v>
      </c>
      <c r="E243" s="83" t="str">
        <f>RIGHT(PartcAliqIcms[[#This Row],[Código NCM]],8)</f>
        <v>11010010</v>
      </c>
      <c r="F243" s="92" t="s">
        <v>3447</v>
      </c>
      <c r="G243" s="86"/>
    </row>
    <row r="244" spans="1:7" x14ac:dyDescent="0.25">
      <c r="A244" s="81" t="s">
        <v>219</v>
      </c>
      <c r="B244" s="3"/>
      <c r="C244" s="3"/>
      <c r="D244" s="91">
        <v>12</v>
      </c>
      <c r="E244" s="83" t="str">
        <f>RIGHT(PartcAliqIcms[[#This Row],[Código NCM]],8)</f>
        <v>11022000</v>
      </c>
      <c r="F244" s="85" t="s">
        <v>3448</v>
      </c>
      <c r="G244" s="86"/>
    </row>
    <row r="245" spans="1:7" x14ac:dyDescent="0.25">
      <c r="A245" s="81" t="s">
        <v>178</v>
      </c>
      <c r="B245" s="3"/>
      <c r="C245" s="3"/>
      <c r="D245" s="91">
        <v>12</v>
      </c>
      <c r="E245" s="83" t="str">
        <f>RIGHT(PartcAliqIcms[[#This Row],[Código NCM]],8)</f>
        <v>04061090</v>
      </c>
      <c r="F245" s="92" t="s">
        <v>3434</v>
      </c>
      <c r="G245" s="86"/>
    </row>
    <row r="246" spans="1:7" x14ac:dyDescent="0.25">
      <c r="A246" s="81" t="s">
        <v>553</v>
      </c>
      <c r="B246" s="3"/>
      <c r="C246" s="3"/>
      <c r="D246" s="91">
        <v>12</v>
      </c>
      <c r="E246" s="83" t="str">
        <f>RIGHT(PartcAliqIcms[[#This Row],[Código NCM]],8)</f>
        <v>04014010</v>
      </c>
      <c r="F246" s="92" t="s">
        <v>2433</v>
      </c>
      <c r="G246" s="86"/>
    </row>
    <row r="247" spans="1:7" x14ac:dyDescent="0.25">
      <c r="A247" s="81" t="s">
        <v>3306</v>
      </c>
      <c r="B247" s="3"/>
      <c r="C247" s="3"/>
      <c r="D247" s="91">
        <v>12</v>
      </c>
      <c r="E247" s="83" t="str">
        <f>RIGHT(PartcAliqIcms[[#This Row],[Código NCM]],8)</f>
        <v>04015010</v>
      </c>
      <c r="F247" s="85" t="s">
        <v>2433</v>
      </c>
      <c r="G247" s="86"/>
    </row>
    <row r="248" spans="1:7" x14ac:dyDescent="0.25">
      <c r="A248" s="81" t="s">
        <v>200</v>
      </c>
      <c r="B248" s="3">
        <v>0.12</v>
      </c>
      <c r="C248" s="3" t="s">
        <v>442</v>
      </c>
      <c r="D248" s="91">
        <v>12</v>
      </c>
      <c r="E248" s="83" t="str">
        <f>RIGHT(PartcAliqIcms[[#This Row],[Código NCM]],8)</f>
        <v>19023000</v>
      </c>
      <c r="F248" s="92" t="s">
        <v>3449</v>
      </c>
      <c r="G248" s="86" t="s">
        <v>3449</v>
      </c>
    </row>
    <row r="249" spans="1:7" x14ac:dyDescent="0.25">
      <c r="A249" s="81" t="s">
        <v>201</v>
      </c>
      <c r="B249" s="3">
        <v>0.12</v>
      </c>
      <c r="C249" s="3" t="s">
        <v>442</v>
      </c>
      <c r="D249" s="91">
        <v>12</v>
      </c>
      <c r="E249" s="83" t="str">
        <f>RIGHT(PartcAliqIcms[[#This Row],[Código NCM]],8)</f>
        <v>19021100</v>
      </c>
      <c r="F249" s="85" t="s">
        <v>3449</v>
      </c>
      <c r="G249" s="86" t="s">
        <v>3449</v>
      </c>
    </row>
    <row r="250" spans="1:7" x14ac:dyDescent="0.25">
      <c r="A250" s="81" t="s">
        <v>199</v>
      </c>
      <c r="B250" s="3">
        <v>0.12</v>
      </c>
      <c r="C250" s="3" t="s">
        <v>442</v>
      </c>
      <c r="D250" s="91">
        <v>12</v>
      </c>
      <c r="E250" s="83" t="str">
        <f>RIGHT(PartcAliqIcms[[#This Row],[Código NCM]],8)</f>
        <v>19021900</v>
      </c>
      <c r="F250" s="92" t="s">
        <v>3449</v>
      </c>
      <c r="G250" s="86" t="s">
        <v>3449</v>
      </c>
    </row>
    <row r="251" spans="1:7" x14ac:dyDescent="0.25">
      <c r="A251" s="81" t="s">
        <v>180</v>
      </c>
      <c r="B251" s="3">
        <v>0.12</v>
      </c>
      <c r="C251" s="3" t="s">
        <v>442</v>
      </c>
      <c r="D251" s="91">
        <v>12</v>
      </c>
      <c r="E251" s="83" t="str">
        <f>RIGHT(PartcAliqIcms[[#This Row],[Código NCM]],8)</f>
        <v>15171000</v>
      </c>
      <c r="F251" s="92" t="s">
        <v>3450</v>
      </c>
      <c r="G251" s="86" t="s">
        <v>3450</v>
      </c>
    </row>
    <row r="252" spans="1:7" x14ac:dyDescent="0.25">
      <c r="A252" s="81" t="s">
        <v>3451</v>
      </c>
      <c r="B252" s="3">
        <v>0.12</v>
      </c>
      <c r="C252" s="3" t="s">
        <v>442</v>
      </c>
      <c r="D252" s="91">
        <v>12</v>
      </c>
      <c r="E252" s="83" t="str">
        <f>RIGHT(PartcAliqIcms[[#This Row],[Código NCM]],8)</f>
        <v>15179090</v>
      </c>
      <c r="F252" s="92" t="s">
        <v>3450</v>
      </c>
      <c r="G252" s="86" t="s">
        <v>3450</v>
      </c>
    </row>
    <row r="253" spans="1:7" x14ac:dyDescent="0.25">
      <c r="A253" s="81" t="s">
        <v>277</v>
      </c>
      <c r="B253" s="3"/>
      <c r="C253" s="3"/>
      <c r="D253" s="91">
        <v>12</v>
      </c>
      <c r="E253" s="83" t="str">
        <f>RIGHT(PartcAliqIcms[[#This Row],[Código NCM]],8)</f>
        <v>20081900</v>
      </c>
      <c r="F253" s="92" t="s">
        <v>3452</v>
      </c>
      <c r="G253" s="86" t="s">
        <v>3452</v>
      </c>
    </row>
    <row r="254" spans="1:7" x14ac:dyDescent="0.25">
      <c r="A254" s="81" t="s">
        <v>169</v>
      </c>
      <c r="B254" s="3"/>
      <c r="C254" s="3"/>
      <c r="D254" s="91">
        <v>12</v>
      </c>
      <c r="E254" s="83" t="str">
        <f>RIGHT(PartcAliqIcms[[#This Row],[Código NCM]],8)</f>
        <v>11062000</v>
      </c>
      <c r="F254" s="92" t="s">
        <v>3453</v>
      </c>
      <c r="G254" s="86" t="s">
        <v>3453</v>
      </c>
    </row>
    <row r="255" spans="1:7" x14ac:dyDescent="0.25">
      <c r="A255" s="81" t="s">
        <v>3454</v>
      </c>
      <c r="B255" s="3"/>
      <c r="C255" s="3"/>
      <c r="D255" s="91">
        <v>12</v>
      </c>
      <c r="E255" s="83" t="str">
        <f>RIGHT(PartcAliqIcms[[#This Row],[Código NCM]],8)</f>
        <v>03011110</v>
      </c>
      <c r="F255" s="92" t="s">
        <v>2604</v>
      </c>
      <c r="G255" s="86"/>
    </row>
    <row r="256" spans="1:7" x14ac:dyDescent="0.25">
      <c r="A256" s="81" t="s">
        <v>3455</v>
      </c>
      <c r="B256" s="3"/>
      <c r="C256" s="3"/>
      <c r="D256" s="91">
        <v>12</v>
      </c>
      <c r="E256" s="83" t="str">
        <f>RIGHT(PartcAliqIcms[[#This Row],[Código NCM]],8)</f>
        <v>03011190</v>
      </c>
      <c r="F256" s="92" t="s">
        <v>2604</v>
      </c>
      <c r="G256" s="86"/>
    </row>
    <row r="257" spans="1:7" x14ac:dyDescent="0.25">
      <c r="A257" s="81" t="s">
        <v>3456</v>
      </c>
      <c r="B257" s="3"/>
      <c r="C257" s="3"/>
      <c r="D257" s="91">
        <v>12</v>
      </c>
      <c r="E257" s="83" t="str">
        <f>RIGHT(PartcAliqIcms[[#This Row],[Código NCM]],8)</f>
        <v>03011900</v>
      </c>
      <c r="F257" s="92" t="s">
        <v>2604</v>
      </c>
      <c r="G257" s="86"/>
    </row>
    <row r="258" spans="1:7" x14ac:dyDescent="0.25">
      <c r="A258" s="81" t="s">
        <v>3457</v>
      </c>
      <c r="B258" s="3"/>
      <c r="C258" s="3"/>
      <c r="D258" s="91">
        <v>12</v>
      </c>
      <c r="E258" s="83" t="str">
        <f>RIGHT(PartcAliqIcms[[#This Row],[Código NCM]],8)</f>
        <v>03019110</v>
      </c>
      <c r="F258" s="92" t="s">
        <v>2604</v>
      </c>
      <c r="G258" s="86"/>
    </row>
    <row r="259" spans="1:7" x14ac:dyDescent="0.25">
      <c r="A259" s="81" t="s">
        <v>3458</v>
      </c>
      <c r="B259" s="3"/>
      <c r="C259" s="3"/>
      <c r="D259" s="91">
        <v>12</v>
      </c>
      <c r="E259" s="83" t="str">
        <f>RIGHT(PartcAliqIcms[[#This Row],[Código NCM]],8)</f>
        <v>03019190</v>
      </c>
      <c r="F259" s="92" t="s">
        <v>2604</v>
      </c>
      <c r="G259" s="86"/>
    </row>
    <row r="260" spans="1:7" x14ac:dyDescent="0.25">
      <c r="A260" s="81" t="s">
        <v>3459</v>
      </c>
      <c r="B260" s="3"/>
      <c r="C260" s="3"/>
      <c r="D260" s="91">
        <v>12</v>
      </c>
      <c r="E260" s="83" t="str">
        <f>RIGHT(PartcAliqIcms[[#This Row],[Código NCM]],8)</f>
        <v>03019210</v>
      </c>
      <c r="F260" s="92" t="s">
        <v>2604</v>
      </c>
      <c r="G260" s="86"/>
    </row>
    <row r="261" spans="1:7" x14ac:dyDescent="0.25">
      <c r="A261" s="81" t="s">
        <v>3460</v>
      </c>
      <c r="B261" s="3"/>
      <c r="C261" s="3"/>
      <c r="D261" s="91">
        <v>12</v>
      </c>
      <c r="E261" s="83" t="str">
        <f>RIGHT(PartcAliqIcms[[#This Row],[Código NCM]],8)</f>
        <v>03019290</v>
      </c>
      <c r="F261" s="92" t="s">
        <v>2604</v>
      </c>
      <c r="G261" s="86"/>
    </row>
    <row r="262" spans="1:7" x14ac:dyDescent="0.25">
      <c r="A262" s="81" t="s">
        <v>3461</v>
      </c>
      <c r="B262" s="3"/>
      <c r="C262" s="3"/>
      <c r="D262" s="91">
        <v>12</v>
      </c>
      <c r="E262" s="83" t="str">
        <f>RIGHT(PartcAliqIcms[[#This Row],[Código NCM]],8)</f>
        <v>03019310</v>
      </c>
      <c r="F262" s="92" t="s">
        <v>2604</v>
      </c>
      <c r="G262" s="86"/>
    </row>
    <row r="263" spans="1:7" x14ac:dyDescent="0.25">
      <c r="A263" s="81" t="s">
        <v>3462</v>
      </c>
      <c r="B263" s="3"/>
      <c r="C263" s="3"/>
      <c r="D263" s="91">
        <v>12</v>
      </c>
      <c r="E263" s="83" t="str">
        <f>RIGHT(PartcAliqIcms[[#This Row],[Código NCM]],8)</f>
        <v>03019390</v>
      </c>
      <c r="F263" s="92" t="s">
        <v>2604</v>
      </c>
      <c r="G263" s="86"/>
    </row>
    <row r="264" spans="1:7" x14ac:dyDescent="0.25">
      <c r="A264" s="81" t="s">
        <v>3463</v>
      </c>
      <c r="B264" s="3"/>
      <c r="C264" s="3"/>
      <c r="D264" s="91">
        <v>12</v>
      </c>
      <c r="E264" s="83" t="str">
        <f>RIGHT(PartcAliqIcms[[#This Row],[Código NCM]],8)</f>
        <v>03019410</v>
      </c>
      <c r="F264" s="92" t="s">
        <v>2604</v>
      </c>
      <c r="G264" s="86"/>
    </row>
    <row r="265" spans="1:7" x14ac:dyDescent="0.25">
      <c r="A265" s="81" t="s">
        <v>3464</v>
      </c>
      <c r="B265" s="3"/>
      <c r="C265" s="3"/>
      <c r="D265" s="91">
        <v>12</v>
      </c>
      <c r="E265" s="83" t="str">
        <f>RIGHT(PartcAliqIcms[[#This Row],[Código NCM]],8)</f>
        <v>03019490</v>
      </c>
      <c r="F265" s="85" t="s">
        <v>2604</v>
      </c>
      <c r="G265" s="86"/>
    </row>
    <row r="266" spans="1:7" x14ac:dyDescent="0.25">
      <c r="A266" s="81" t="s">
        <v>3465</v>
      </c>
      <c r="B266" s="3"/>
      <c r="C266" s="3"/>
      <c r="D266" s="91">
        <v>12</v>
      </c>
      <c r="E266" s="83" t="str">
        <f>RIGHT(PartcAliqIcms[[#This Row],[Código NCM]],8)</f>
        <v>03019510</v>
      </c>
      <c r="F266" s="92" t="s">
        <v>2604</v>
      </c>
      <c r="G266" s="86"/>
    </row>
    <row r="267" spans="1:7" x14ac:dyDescent="0.25">
      <c r="A267" s="81" t="s">
        <v>3466</v>
      </c>
      <c r="B267" s="3"/>
      <c r="C267" s="3"/>
      <c r="D267" s="91">
        <v>12</v>
      </c>
      <c r="E267" s="83" t="str">
        <f>RIGHT(PartcAliqIcms[[#This Row],[Código NCM]],8)</f>
        <v>03019590</v>
      </c>
      <c r="F267" s="92" t="s">
        <v>2604</v>
      </c>
      <c r="G267" s="86"/>
    </row>
    <row r="268" spans="1:7" x14ac:dyDescent="0.25">
      <c r="A268" s="81" t="s">
        <v>3467</v>
      </c>
      <c r="B268" s="3"/>
      <c r="C268" s="3"/>
      <c r="D268" s="91">
        <v>12</v>
      </c>
      <c r="E268" s="83" t="str">
        <f>RIGHT(PartcAliqIcms[[#This Row],[Código NCM]],8)</f>
        <v>03019911</v>
      </c>
      <c r="F268" s="92" t="s">
        <v>2604</v>
      </c>
      <c r="G268" s="86"/>
    </row>
    <row r="269" spans="1:7" x14ac:dyDescent="0.25">
      <c r="A269" s="81" t="s">
        <v>3468</v>
      </c>
      <c r="B269" s="3"/>
      <c r="C269" s="3"/>
      <c r="D269" s="91">
        <v>12</v>
      </c>
      <c r="E269" s="83" t="str">
        <f>RIGHT(PartcAliqIcms[[#This Row],[Código NCM]],8)</f>
        <v>03019912</v>
      </c>
      <c r="F269" s="92" t="s">
        <v>2604</v>
      </c>
      <c r="G269" s="86"/>
    </row>
    <row r="270" spans="1:7" x14ac:dyDescent="0.25">
      <c r="A270" s="81" t="s">
        <v>3469</v>
      </c>
      <c r="B270" s="3"/>
      <c r="C270" s="3"/>
      <c r="D270" s="91">
        <v>12</v>
      </c>
      <c r="E270" s="83" t="str">
        <f>RIGHT(PartcAliqIcms[[#This Row],[Código NCM]],8)</f>
        <v>03019919</v>
      </c>
      <c r="F270" s="92" t="s">
        <v>2604</v>
      </c>
      <c r="G270" s="86"/>
    </row>
    <row r="271" spans="1:7" x14ac:dyDescent="0.25">
      <c r="A271" s="81" t="s">
        <v>3470</v>
      </c>
      <c r="B271" s="3"/>
      <c r="C271" s="3"/>
      <c r="D271" s="91">
        <v>12</v>
      </c>
      <c r="E271" s="83" t="str">
        <f>RIGHT(PartcAliqIcms[[#This Row],[Código NCM]],8)</f>
        <v>03019991</v>
      </c>
      <c r="F271" s="92" t="s">
        <v>2604</v>
      </c>
      <c r="G271" s="86"/>
    </row>
    <row r="272" spans="1:7" x14ac:dyDescent="0.25">
      <c r="A272" s="81" t="s">
        <v>3471</v>
      </c>
      <c r="B272" s="3"/>
      <c r="C272" s="3"/>
      <c r="D272" s="91">
        <v>12</v>
      </c>
      <c r="E272" s="83" t="str">
        <f>RIGHT(PartcAliqIcms[[#This Row],[Código NCM]],8)</f>
        <v>03019992</v>
      </c>
      <c r="F272" s="92" t="s">
        <v>2604</v>
      </c>
      <c r="G272" s="86"/>
    </row>
    <row r="273" spans="1:7" x14ac:dyDescent="0.25">
      <c r="A273" s="81" t="s">
        <v>3472</v>
      </c>
      <c r="B273" s="3"/>
      <c r="C273" s="3"/>
      <c r="D273" s="91">
        <v>12</v>
      </c>
      <c r="E273" s="83" t="str">
        <f>RIGHT(PartcAliqIcms[[#This Row],[Código NCM]],8)</f>
        <v>03019999</v>
      </c>
      <c r="F273" s="92" t="s">
        <v>2604</v>
      </c>
      <c r="G273" s="86"/>
    </row>
    <row r="274" spans="1:7" x14ac:dyDescent="0.25">
      <c r="A274" s="81" t="s">
        <v>3111</v>
      </c>
      <c r="B274" s="3"/>
      <c r="C274" s="3"/>
      <c r="D274" s="91">
        <v>12</v>
      </c>
      <c r="E274" s="83" t="str">
        <f>RIGHT(PartcAliqIcms[[#This Row],[Código NCM]],8)</f>
        <v>03021100</v>
      </c>
      <c r="F274" s="92" t="s">
        <v>2604</v>
      </c>
      <c r="G274" s="86"/>
    </row>
    <row r="275" spans="1:7" x14ac:dyDescent="0.25">
      <c r="A275" s="81" t="s">
        <v>3112</v>
      </c>
      <c r="B275" s="3"/>
      <c r="C275" s="3"/>
      <c r="D275" s="91">
        <v>12</v>
      </c>
      <c r="E275" s="83" t="str">
        <f>RIGHT(PartcAliqIcms[[#This Row],[Código NCM]],8)</f>
        <v>03021300</v>
      </c>
      <c r="F275" s="92" t="s">
        <v>2604</v>
      </c>
      <c r="G275" s="86"/>
    </row>
    <row r="276" spans="1:7" x14ac:dyDescent="0.25">
      <c r="A276" s="81" t="s">
        <v>3113</v>
      </c>
      <c r="B276" s="3"/>
      <c r="C276" s="3"/>
      <c r="D276" s="91">
        <v>12</v>
      </c>
      <c r="E276" s="83" t="str">
        <f>RIGHT(PartcAliqIcms[[#This Row],[Código NCM]],8)</f>
        <v>03021400</v>
      </c>
      <c r="F276" s="92" t="s">
        <v>2604</v>
      </c>
      <c r="G276" s="86"/>
    </row>
    <row r="277" spans="1:7" x14ac:dyDescent="0.25">
      <c r="A277" s="81" t="s">
        <v>3114</v>
      </c>
      <c r="B277" s="3"/>
      <c r="C277" s="3"/>
      <c r="D277" s="91">
        <v>12</v>
      </c>
      <c r="E277" s="83" t="str">
        <f>RIGHT(PartcAliqIcms[[#This Row],[Código NCM]],8)</f>
        <v>03021900</v>
      </c>
      <c r="F277" s="92" t="s">
        <v>2604</v>
      </c>
      <c r="G277" s="86"/>
    </row>
    <row r="278" spans="1:7" x14ac:dyDescent="0.25">
      <c r="A278" s="81" t="s">
        <v>3115</v>
      </c>
      <c r="B278" s="3"/>
      <c r="C278" s="3"/>
      <c r="D278" s="91">
        <v>12</v>
      </c>
      <c r="E278" s="83" t="str">
        <f>RIGHT(PartcAliqIcms[[#This Row],[Código NCM]],8)</f>
        <v>03022100</v>
      </c>
      <c r="F278" s="92" t="s">
        <v>2604</v>
      </c>
      <c r="G278" s="86"/>
    </row>
    <row r="279" spans="1:7" x14ac:dyDescent="0.25">
      <c r="A279" s="81" t="s">
        <v>3116</v>
      </c>
      <c r="B279" s="3"/>
      <c r="C279" s="3"/>
      <c r="D279" s="91">
        <v>12</v>
      </c>
      <c r="E279" s="83" t="str">
        <f>RIGHT(PartcAliqIcms[[#This Row],[Código NCM]],8)</f>
        <v>03022200</v>
      </c>
      <c r="F279" s="92" t="s">
        <v>2604</v>
      </c>
      <c r="G279" s="86"/>
    </row>
    <row r="280" spans="1:7" x14ac:dyDescent="0.25">
      <c r="A280" s="81" t="s">
        <v>3117</v>
      </c>
      <c r="B280" s="3"/>
      <c r="C280" s="3"/>
      <c r="D280" s="91">
        <v>12</v>
      </c>
      <c r="E280" s="83" t="str">
        <f>RIGHT(PartcAliqIcms[[#This Row],[Código NCM]],8)</f>
        <v>03022300</v>
      </c>
      <c r="F280" s="92" t="s">
        <v>2604</v>
      </c>
      <c r="G280" s="86"/>
    </row>
    <row r="281" spans="1:7" x14ac:dyDescent="0.25">
      <c r="A281" s="81" t="s">
        <v>3118</v>
      </c>
      <c r="B281" s="3"/>
      <c r="C281" s="3"/>
      <c r="D281" s="91">
        <v>12</v>
      </c>
      <c r="E281" s="83" t="str">
        <f>RIGHT(PartcAliqIcms[[#This Row],[Código NCM]],8)</f>
        <v>03022400</v>
      </c>
      <c r="F281" s="92" t="s">
        <v>2604</v>
      </c>
      <c r="G281" s="86"/>
    </row>
    <row r="282" spans="1:7" x14ac:dyDescent="0.25">
      <c r="A282" s="81" t="s">
        <v>3119</v>
      </c>
      <c r="B282" s="3"/>
      <c r="C282" s="3"/>
      <c r="D282" s="91">
        <v>12</v>
      </c>
      <c r="E282" s="83" t="str">
        <f>RIGHT(PartcAliqIcms[[#This Row],[Código NCM]],8)</f>
        <v>03022900</v>
      </c>
      <c r="F282" s="92" t="s">
        <v>2604</v>
      </c>
      <c r="G282" s="86"/>
    </row>
    <row r="283" spans="1:7" x14ac:dyDescent="0.25">
      <c r="A283" s="81" t="s">
        <v>3120</v>
      </c>
      <c r="B283" s="3"/>
      <c r="C283" s="3"/>
      <c r="D283" s="91">
        <v>12</v>
      </c>
      <c r="E283" s="83" t="str">
        <f>RIGHT(PartcAliqIcms[[#This Row],[Código NCM]],8)</f>
        <v>03023100</v>
      </c>
      <c r="F283" s="92" t="s">
        <v>2604</v>
      </c>
      <c r="G283" s="86"/>
    </row>
    <row r="284" spans="1:7" x14ac:dyDescent="0.25">
      <c r="A284" s="81" t="s">
        <v>3121</v>
      </c>
      <c r="B284" s="3"/>
      <c r="C284" s="3"/>
      <c r="D284" s="91">
        <v>12</v>
      </c>
      <c r="E284" s="83" t="str">
        <f>RIGHT(PartcAliqIcms[[#This Row],[Código NCM]],8)</f>
        <v>03023200</v>
      </c>
      <c r="F284" s="92" t="s">
        <v>2604</v>
      </c>
      <c r="G284" s="86"/>
    </row>
    <row r="285" spans="1:7" x14ac:dyDescent="0.25">
      <c r="A285" s="81" t="s">
        <v>3122</v>
      </c>
      <c r="B285" s="3"/>
      <c r="C285" s="3"/>
      <c r="D285" s="91">
        <v>12</v>
      </c>
      <c r="E285" s="83" t="str">
        <f>RIGHT(PartcAliqIcms[[#This Row],[Código NCM]],8)</f>
        <v>03023300</v>
      </c>
      <c r="F285" s="92" t="s">
        <v>2604</v>
      </c>
      <c r="G285" s="86"/>
    </row>
    <row r="286" spans="1:7" x14ac:dyDescent="0.25">
      <c r="A286" s="81" t="s">
        <v>3123</v>
      </c>
      <c r="B286" s="3"/>
      <c r="C286" s="3"/>
      <c r="D286" s="91">
        <v>12</v>
      </c>
      <c r="E286" s="83" t="str">
        <f>RIGHT(PartcAliqIcms[[#This Row],[Código NCM]],8)</f>
        <v>03023400</v>
      </c>
      <c r="F286" s="92" t="s">
        <v>2604</v>
      </c>
      <c r="G286" s="86"/>
    </row>
    <row r="287" spans="1:7" x14ac:dyDescent="0.25">
      <c r="A287" s="81" t="s">
        <v>3124</v>
      </c>
      <c r="B287" s="3"/>
      <c r="C287" s="3"/>
      <c r="D287" s="91">
        <v>12</v>
      </c>
      <c r="E287" s="83" t="str">
        <f>RIGHT(PartcAliqIcms[[#This Row],[Código NCM]],8)</f>
        <v>03023500</v>
      </c>
      <c r="F287" s="92" t="s">
        <v>2604</v>
      </c>
      <c r="G287" s="86"/>
    </row>
    <row r="288" spans="1:7" x14ac:dyDescent="0.25">
      <c r="A288" s="81" t="s">
        <v>3125</v>
      </c>
      <c r="B288" s="3"/>
      <c r="C288" s="3"/>
      <c r="D288" s="91">
        <v>12</v>
      </c>
      <c r="E288" s="83" t="str">
        <f>RIGHT(PartcAliqIcms[[#This Row],[Código NCM]],8)</f>
        <v>03023600</v>
      </c>
      <c r="F288" s="92" t="s">
        <v>2604</v>
      </c>
      <c r="G288" s="86"/>
    </row>
    <row r="289" spans="1:7" x14ac:dyDescent="0.25">
      <c r="A289" s="81" t="s">
        <v>3126</v>
      </c>
      <c r="B289" s="3"/>
      <c r="C289" s="3"/>
      <c r="D289" s="91">
        <v>12</v>
      </c>
      <c r="E289" s="83" t="str">
        <f>RIGHT(PartcAliqIcms[[#This Row],[Código NCM]],8)</f>
        <v>03023900</v>
      </c>
      <c r="F289" s="92" t="s">
        <v>2604</v>
      </c>
      <c r="G289" s="86"/>
    </row>
    <row r="290" spans="1:7" x14ac:dyDescent="0.25">
      <c r="A290" s="81" t="s">
        <v>3127</v>
      </c>
      <c r="B290" s="3"/>
      <c r="C290" s="3"/>
      <c r="D290" s="91">
        <v>12</v>
      </c>
      <c r="E290" s="83" t="str">
        <f>RIGHT(PartcAliqIcms[[#This Row],[Código NCM]],8)</f>
        <v>03024100</v>
      </c>
      <c r="F290" s="92" t="s">
        <v>2604</v>
      </c>
      <c r="G290" s="86"/>
    </row>
    <row r="291" spans="1:7" x14ac:dyDescent="0.25">
      <c r="A291" s="81" t="s">
        <v>3128</v>
      </c>
      <c r="B291" s="3"/>
      <c r="C291" s="3"/>
      <c r="D291" s="91">
        <v>12</v>
      </c>
      <c r="E291" s="83" t="str">
        <f>RIGHT(PartcAliqIcms[[#This Row],[Código NCM]],8)</f>
        <v>03024210</v>
      </c>
      <c r="F291" s="92" t="s">
        <v>2604</v>
      </c>
      <c r="G291" s="86"/>
    </row>
    <row r="292" spans="1:7" x14ac:dyDescent="0.25">
      <c r="A292" s="81" t="s">
        <v>3129</v>
      </c>
      <c r="B292" s="3"/>
      <c r="C292" s="3"/>
      <c r="D292" s="91">
        <v>12</v>
      </c>
      <c r="E292" s="83" t="str">
        <f>RIGHT(PartcAliqIcms[[#This Row],[Código NCM]],8)</f>
        <v>03024290</v>
      </c>
      <c r="F292" s="92" t="s">
        <v>2604</v>
      </c>
      <c r="G292" s="86"/>
    </row>
    <row r="293" spans="1:7" x14ac:dyDescent="0.25">
      <c r="A293" s="81" t="s">
        <v>3130</v>
      </c>
      <c r="B293" s="3"/>
      <c r="C293" s="3"/>
      <c r="D293" s="91">
        <v>12</v>
      </c>
      <c r="E293" s="83" t="str">
        <f>RIGHT(PartcAliqIcms[[#This Row],[Código NCM]],8)</f>
        <v>03024300</v>
      </c>
      <c r="F293" s="92" t="s">
        <v>2604</v>
      </c>
      <c r="G293" s="86"/>
    </row>
    <row r="294" spans="1:7" x14ac:dyDescent="0.25">
      <c r="A294" s="81" t="s">
        <v>3131</v>
      </c>
      <c r="B294" s="3"/>
      <c r="C294" s="3"/>
      <c r="D294" s="91">
        <v>12</v>
      </c>
      <c r="E294" s="83" t="str">
        <f>RIGHT(PartcAliqIcms[[#This Row],[Código NCM]],8)</f>
        <v>03024400</v>
      </c>
      <c r="F294" s="92" t="s">
        <v>2604</v>
      </c>
      <c r="G294" s="86"/>
    </row>
    <row r="295" spans="1:7" x14ac:dyDescent="0.25">
      <c r="A295" s="81" t="s">
        <v>3132</v>
      </c>
      <c r="B295" s="3"/>
      <c r="C295" s="3"/>
      <c r="D295" s="91">
        <v>12</v>
      </c>
      <c r="E295" s="83" t="str">
        <f>RIGHT(PartcAliqIcms[[#This Row],[Código NCM]],8)</f>
        <v>03024500</v>
      </c>
      <c r="F295" s="92" t="s">
        <v>2604</v>
      </c>
      <c r="G295" s="86"/>
    </row>
    <row r="296" spans="1:7" x14ac:dyDescent="0.25">
      <c r="A296" s="81" t="s">
        <v>3133</v>
      </c>
      <c r="B296" s="3"/>
      <c r="C296" s="3"/>
      <c r="D296" s="91">
        <v>12</v>
      </c>
      <c r="E296" s="83" t="str">
        <f>RIGHT(PartcAliqIcms[[#This Row],[Código NCM]],8)</f>
        <v>03024600</v>
      </c>
      <c r="F296" s="92" t="s">
        <v>2604</v>
      </c>
      <c r="G296" s="86"/>
    </row>
    <row r="297" spans="1:7" x14ac:dyDescent="0.25">
      <c r="A297" s="81" t="s">
        <v>3134</v>
      </c>
      <c r="B297" s="3"/>
      <c r="C297" s="3"/>
      <c r="D297" s="91">
        <v>12</v>
      </c>
      <c r="E297" s="83" t="str">
        <f>RIGHT(PartcAliqIcms[[#This Row],[Código NCM]],8)</f>
        <v>03024700</v>
      </c>
      <c r="F297" s="92" t="s">
        <v>2604</v>
      </c>
      <c r="G297" s="86"/>
    </row>
    <row r="298" spans="1:7" x14ac:dyDescent="0.25">
      <c r="A298" s="81" t="s">
        <v>3135</v>
      </c>
      <c r="B298" s="3"/>
      <c r="C298" s="3"/>
      <c r="D298" s="91">
        <v>12</v>
      </c>
      <c r="E298" s="83" t="str">
        <f>RIGHT(PartcAliqIcms[[#This Row],[Código NCM]],8)</f>
        <v>03024910</v>
      </c>
      <c r="F298" s="92" t="s">
        <v>2604</v>
      </c>
      <c r="G298" s="86"/>
    </row>
    <row r="299" spans="1:7" x14ac:dyDescent="0.25">
      <c r="A299" s="81" t="s">
        <v>3136</v>
      </c>
      <c r="B299" s="3"/>
      <c r="C299" s="3"/>
      <c r="D299" s="91">
        <v>12</v>
      </c>
      <c r="E299" s="83" t="str">
        <f>RIGHT(PartcAliqIcms[[#This Row],[Código NCM]],8)</f>
        <v>03024990</v>
      </c>
      <c r="F299" s="92" t="s">
        <v>2604</v>
      </c>
      <c r="G299" s="86"/>
    </row>
    <row r="300" spans="1:7" x14ac:dyDescent="0.25">
      <c r="A300" s="81" t="s">
        <v>3137</v>
      </c>
      <c r="B300" s="3"/>
      <c r="C300" s="3"/>
      <c r="D300" s="91">
        <v>12</v>
      </c>
      <c r="E300" s="83" t="str">
        <f>RIGHT(PartcAliqIcms[[#This Row],[Código NCM]],8)</f>
        <v>03025100</v>
      </c>
      <c r="F300" s="92" t="s">
        <v>2604</v>
      </c>
      <c r="G300" s="86"/>
    </row>
    <row r="301" spans="1:7" x14ac:dyDescent="0.25">
      <c r="A301" s="81" t="s">
        <v>3138</v>
      </c>
      <c r="B301" s="3"/>
      <c r="C301" s="3"/>
      <c r="D301" s="91">
        <v>12</v>
      </c>
      <c r="E301" s="83" t="str">
        <f>RIGHT(PartcAliqIcms[[#This Row],[Código NCM]],8)</f>
        <v>03025200</v>
      </c>
      <c r="F301" s="92" t="s">
        <v>2604</v>
      </c>
      <c r="G301" s="86"/>
    </row>
    <row r="302" spans="1:7" x14ac:dyDescent="0.25">
      <c r="A302" s="81" t="s">
        <v>3139</v>
      </c>
      <c r="B302" s="3"/>
      <c r="C302" s="3"/>
      <c r="D302" s="91">
        <v>12</v>
      </c>
      <c r="E302" s="83" t="str">
        <f>RIGHT(PartcAliqIcms[[#This Row],[Código NCM]],8)</f>
        <v>03025300</v>
      </c>
      <c r="F302" s="92" t="s">
        <v>2604</v>
      </c>
      <c r="G302" s="86"/>
    </row>
    <row r="303" spans="1:7" x14ac:dyDescent="0.25">
      <c r="A303" s="81" t="s">
        <v>3140</v>
      </c>
      <c r="B303" s="3"/>
      <c r="C303" s="3"/>
      <c r="D303" s="91">
        <v>12</v>
      </c>
      <c r="E303" s="83" t="str">
        <f>RIGHT(PartcAliqIcms[[#This Row],[Código NCM]],8)</f>
        <v>03025400</v>
      </c>
      <c r="F303" s="92" t="s">
        <v>2604</v>
      </c>
      <c r="G303" s="86"/>
    </row>
    <row r="304" spans="1:7" x14ac:dyDescent="0.25">
      <c r="A304" s="81" t="s">
        <v>3141</v>
      </c>
      <c r="B304" s="3"/>
      <c r="C304" s="3"/>
      <c r="D304" s="91">
        <v>12</v>
      </c>
      <c r="E304" s="83" t="str">
        <f>RIGHT(PartcAliqIcms[[#This Row],[Código NCM]],8)</f>
        <v>03025500</v>
      </c>
      <c r="F304" s="92" t="s">
        <v>2604</v>
      </c>
      <c r="G304" s="86"/>
    </row>
    <row r="305" spans="1:7" x14ac:dyDescent="0.25">
      <c r="A305" s="81" t="s">
        <v>3142</v>
      </c>
      <c r="B305" s="3"/>
      <c r="C305" s="3"/>
      <c r="D305" s="91">
        <v>12</v>
      </c>
      <c r="E305" s="83" t="str">
        <f>RIGHT(PartcAliqIcms[[#This Row],[Código NCM]],8)</f>
        <v>03025600</v>
      </c>
      <c r="F305" s="92" t="s">
        <v>2604</v>
      </c>
      <c r="G305" s="86"/>
    </row>
    <row r="306" spans="1:7" x14ac:dyDescent="0.25">
      <c r="A306" s="81" t="s">
        <v>3143</v>
      </c>
      <c r="B306" s="3"/>
      <c r="C306" s="3"/>
      <c r="D306" s="91">
        <v>12</v>
      </c>
      <c r="E306" s="83" t="str">
        <f>RIGHT(PartcAliqIcms[[#This Row],[Código NCM]],8)</f>
        <v>03025900</v>
      </c>
      <c r="F306" s="92" t="s">
        <v>2604</v>
      </c>
      <c r="G306" s="86"/>
    </row>
    <row r="307" spans="1:7" x14ac:dyDescent="0.25">
      <c r="A307" s="81" t="s">
        <v>391</v>
      </c>
      <c r="B307" s="3"/>
      <c r="C307" s="3"/>
      <c r="D307" s="91">
        <v>12</v>
      </c>
      <c r="E307" s="83" t="str">
        <f>RIGHT(PartcAliqIcms[[#This Row],[Código NCM]],8)</f>
        <v>03027100</v>
      </c>
      <c r="F307" s="92" t="s">
        <v>2604</v>
      </c>
      <c r="G307" s="86"/>
    </row>
    <row r="308" spans="1:7" x14ac:dyDescent="0.25">
      <c r="A308" s="81" t="s">
        <v>3144</v>
      </c>
      <c r="B308" s="3"/>
      <c r="C308" s="3"/>
      <c r="D308" s="91">
        <v>12</v>
      </c>
      <c r="E308" s="83" t="str">
        <f>RIGHT(PartcAliqIcms[[#This Row],[Código NCM]],8)</f>
        <v>03027210</v>
      </c>
      <c r="F308" s="92" t="s">
        <v>2604</v>
      </c>
      <c r="G308" s="86"/>
    </row>
    <row r="309" spans="1:7" x14ac:dyDescent="0.25">
      <c r="A309" s="81" t="s">
        <v>3145</v>
      </c>
      <c r="B309" s="3"/>
      <c r="C309" s="3"/>
      <c r="D309" s="91">
        <v>12</v>
      </c>
      <c r="E309" s="83" t="str">
        <f>RIGHT(PartcAliqIcms[[#This Row],[Código NCM]],8)</f>
        <v>03027290</v>
      </c>
      <c r="F309" s="92" t="s">
        <v>2604</v>
      </c>
      <c r="G309" s="86"/>
    </row>
    <row r="310" spans="1:7" x14ac:dyDescent="0.25">
      <c r="A310" s="81" t="s">
        <v>3146</v>
      </c>
      <c r="B310" s="3"/>
      <c r="C310" s="3"/>
      <c r="D310" s="91">
        <v>12</v>
      </c>
      <c r="E310" s="83" t="str">
        <f>RIGHT(PartcAliqIcms[[#This Row],[Código NCM]],8)</f>
        <v>03027300</v>
      </c>
      <c r="F310" s="92" t="s">
        <v>2604</v>
      </c>
      <c r="G310" s="86"/>
    </row>
    <row r="311" spans="1:7" x14ac:dyDescent="0.25">
      <c r="A311" s="81" t="s">
        <v>3147</v>
      </c>
      <c r="B311" s="3"/>
      <c r="C311" s="3"/>
      <c r="D311" s="91">
        <v>12</v>
      </c>
      <c r="E311" s="83" t="str">
        <f>RIGHT(PartcAliqIcms[[#This Row],[Código NCM]],8)</f>
        <v>03027400</v>
      </c>
      <c r="F311" s="92" t="s">
        <v>2604</v>
      </c>
      <c r="G311" s="86"/>
    </row>
    <row r="312" spans="1:7" x14ac:dyDescent="0.25">
      <c r="A312" s="81" t="s">
        <v>3148</v>
      </c>
      <c r="B312" s="3"/>
      <c r="C312" s="3"/>
      <c r="D312" s="91">
        <v>12</v>
      </c>
      <c r="E312" s="83" t="str">
        <f>RIGHT(PartcAliqIcms[[#This Row],[Código NCM]],8)</f>
        <v>03027900</v>
      </c>
      <c r="F312" s="92" t="s">
        <v>2604</v>
      </c>
      <c r="G312" s="86"/>
    </row>
    <row r="313" spans="1:7" x14ac:dyDescent="0.25">
      <c r="A313" s="81" t="s">
        <v>3149</v>
      </c>
      <c r="B313" s="3"/>
      <c r="C313" s="3"/>
      <c r="D313" s="91">
        <v>12</v>
      </c>
      <c r="E313" s="83" t="str">
        <f>RIGHT(PartcAliqIcms[[#This Row],[Código NCM]],8)</f>
        <v>03028100</v>
      </c>
      <c r="F313" s="92" t="s">
        <v>2604</v>
      </c>
      <c r="G313" s="86"/>
    </row>
    <row r="314" spans="1:7" x14ac:dyDescent="0.25">
      <c r="A314" s="81" t="s">
        <v>3150</v>
      </c>
      <c r="B314" s="3"/>
      <c r="C314" s="3"/>
      <c r="D314" s="91">
        <v>12</v>
      </c>
      <c r="E314" s="83" t="str">
        <f>RIGHT(PartcAliqIcms[[#This Row],[Código NCM]],8)</f>
        <v>03028200</v>
      </c>
      <c r="F314" s="92" t="s">
        <v>2604</v>
      </c>
      <c r="G314" s="86"/>
    </row>
    <row r="315" spans="1:7" x14ac:dyDescent="0.25">
      <c r="A315" s="81" t="s">
        <v>3151</v>
      </c>
      <c r="B315" s="3"/>
      <c r="C315" s="3"/>
      <c r="D315" s="91">
        <v>12</v>
      </c>
      <c r="E315" s="83" t="str">
        <f>RIGHT(PartcAliqIcms[[#This Row],[Código NCM]],8)</f>
        <v>03028310</v>
      </c>
      <c r="F315" s="92" t="s">
        <v>2604</v>
      </c>
      <c r="G315" s="86"/>
    </row>
    <row r="316" spans="1:7" x14ac:dyDescent="0.25">
      <c r="A316" s="81" t="s">
        <v>3152</v>
      </c>
      <c r="B316" s="3"/>
      <c r="C316" s="3"/>
      <c r="D316" s="91">
        <v>12</v>
      </c>
      <c r="E316" s="83" t="str">
        <f>RIGHT(PartcAliqIcms[[#This Row],[Código NCM]],8)</f>
        <v>03028320</v>
      </c>
      <c r="F316" s="92" t="s">
        <v>2604</v>
      </c>
      <c r="G316" s="86"/>
    </row>
    <row r="317" spans="1:7" x14ac:dyDescent="0.25">
      <c r="A317" s="81" t="s">
        <v>3153</v>
      </c>
      <c r="B317" s="3"/>
      <c r="C317" s="3"/>
      <c r="D317" s="91">
        <v>12</v>
      </c>
      <c r="E317" s="83" t="str">
        <f>RIGHT(PartcAliqIcms[[#This Row],[Código NCM]],8)</f>
        <v>03028400</v>
      </c>
      <c r="F317" s="92" t="s">
        <v>2604</v>
      </c>
      <c r="G317" s="86"/>
    </row>
    <row r="318" spans="1:7" x14ac:dyDescent="0.25">
      <c r="A318" s="81" t="s">
        <v>3154</v>
      </c>
      <c r="B318" s="3"/>
      <c r="C318" s="3"/>
      <c r="D318" s="91">
        <v>12</v>
      </c>
      <c r="E318" s="83" t="str">
        <f>RIGHT(PartcAliqIcms[[#This Row],[Código NCM]],8)</f>
        <v>03028500</v>
      </c>
      <c r="F318" s="92" t="s">
        <v>2604</v>
      </c>
      <c r="G318" s="86"/>
    </row>
    <row r="319" spans="1:7" x14ac:dyDescent="0.25">
      <c r="A319" s="81" t="s">
        <v>3155</v>
      </c>
      <c r="B319" s="3"/>
      <c r="C319" s="3"/>
      <c r="D319" s="91">
        <v>12</v>
      </c>
      <c r="E319" s="83" t="str">
        <f>RIGHT(PartcAliqIcms[[#This Row],[Código NCM]],8)</f>
        <v>03028910</v>
      </c>
      <c r="F319" s="92" t="s">
        <v>2604</v>
      </c>
      <c r="G319" s="86"/>
    </row>
    <row r="320" spans="1:7" x14ac:dyDescent="0.25">
      <c r="A320" s="81" t="s">
        <v>3156</v>
      </c>
      <c r="B320" s="3"/>
      <c r="C320" s="3"/>
      <c r="D320" s="91">
        <v>12</v>
      </c>
      <c r="E320" s="83" t="str">
        <f>RIGHT(PartcAliqIcms[[#This Row],[Código NCM]],8)</f>
        <v>03028921</v>
      </c>
      <c r="F320" s="92" t="s">
        <v>2604</v>
      </c>
      <c r="G320" s="86"/>
    </row>
    <row r="321" spans="1:7" x14ac:dyDescent="0.25">
      <c r="A321" s="81" t="s">
        <v>3157</v>
      </c>
      <c r="B321" s="3"/>
      <c r="C321" s="3"/>
      <c r="D321" s="91">
        <v>12</v>
      </c>
      <c r="E321" s="83" t="str">
        <f>RIGHT(PartcAliqIcms[[#This Row],[Código NCM]],8)</f>
        <v>03028922</v>
      </c>
      <c r="F321" s="92" t="s">
        <v>2604</v>
      </c>
      <c r="G321" s="86"/>
    </row>
    <row r="322" spans="1:7" x14ac:dyDescent="0.25">
      <c r="A322" s="81" t="s">
        <v>3158</v>
      </c>
      <c r="B322" s="3"/>
      <c r="C322" s="3"/>
      <c r="D322" s="91">
        <v>12</v>
      </c>
      <c r="E322" s="83" t="str">
        <f>RIGHT(PartcAliqIcms[[#This Row],[Código NCM]],8)</f>
        <v>03028923</v>
      </c>
      <c r="F322" s="92" t="s">
        <v>2604</v>
      </c>
      <c r="G322" s="86"/>
    </row>
    <row r="323" spans="1:7" x14ac:dyDescent="0.25">
      <c r="A323" s="81" t="s">
        <v>3159</v>
      </c>
      <c r="B323" s="3"/>
      <c r="C323" s="3"/>
      <c r="D323" s="91">
        <v>12</v>
      </c>
      <c r="E323" s="83" t="str">
        <f>RIGHT(PartcAliqIcms[[#This Row],[Código NCM]],8)</f>
        <v>03028924</v>
      </c>
      <c r="F323" s="92" t="s">
        <v>2604</v>
      </c>
      <c r="G323" s="86"/>
    </row>
    <row r="324" spans="1:7" x14ac:dyDescent="0.25">
      <c r="A324" s="81" t="s">
        <v>3160</v>
      </c>
      <c r="B324" s="3"/>
      <c r="C324" s="3"/>
      <c r="D324" s="91">
        <v>12</v>
      </c>
      <c r="E324" s="83" t="str">
        <f>RIGHT(PartcAliqIcms[[#This Row],[Código NCM]],8)</f>
        <v>03028931</v>
      </c>
      <c r="F324" s="92" t="s">
        <v>2604</v>
      </c>
      <c r="G324" s="86"/>
    </row>
    <row r="325" spans="1:7" x14ac:dyDescent="0.25">
      <c r="A325" s="81" t="s">
        <v>3161</v>
      </c>
      <c r="B325" s="3"/>
      <c r="C325" s="3"/>
      <c r="D325" s="91">
        <v>12</v>
      </c>
      <c r="E325" s="83" t="str">
        <f>RIGHT(PartcAliqIcms[[#This Row],[Código NCM]],8)</f>
        <v>03028932</v>
      </c>
      <c r="F325" s="92" t="s">
        <v>2604</v>
      </c>
      <c r="G325" s="86"/>
    </row>
    <row r="326" spans="1:7" x14ac:dyDescent="0.25">
      <c r="A326" s="81" t="s">
        <v>3162</v>
      </c>
      <c r="B326" s="3"/>
      <c r="C326" s="3"/>
      <c r="D326" s="91">
        <v>12</v>
      </c>
      <c r="E326" s="83" t="str">
        <f>RIGHT(PartcAliqIcms[[#This Row],[Código NCM]],8)</f>
        <v>03028933</v>
      </c>
      <c r="F326" s="92" t="s">
        <v>2604</v>
      </c>
      <c r="G326" s="86"/>
    </row>
    <row r="327" spans="1:7" x14ac:dyDescent="0.25">
      <c r="A327" s="81" t="s">
        <v>3163</v>
      </c>
      <c r="B327" s="3"/>
      <c r="C327" s="3"/>
      <c r="D327" s="91">
        <v>12</v>
      </c>
      <c r="E327" s="83" t="str">
        <f>RIGHT(PartcAliqIcms[[#This Row],[Código NCM]],8)</f>
        <v>03028934</v>
      </c>
      <c r="F327" s="92" t="s">
        <v>2604</v>
      </c>
      <c r="G327" s="86"/>
    </row>
    <row r="328" spans="1:7" x14ac:dyDescent="0.25">
      <c r="A328" s="81" t="s">
        <v>3164</v>
      </c>
      <c r="B328" s="3"/>
      <c r="C328" s="3"/>
      <c r="D328" s="91">
        <v>12</v>
      </c>
      <c r="E328" s="83" t="str">
        <f>RIGHT(PartcAliqIcms[[#This Row],[Código NCM]],8)</f>
        <v>03028935</v>
      </c>
      <c r="F328" s="92" t="s">
        <v>2604</v>
      </c>
      <c r="G328" s="86"/>
    </row>
    <row r="329" spans="1:7" x14ac:dyDescent="0.25">
      <c r="A329" s="81" t="s">
        <v>3165</v>
      </c>
      <c r="B329" s="3"/>
      <c r="C329" s="3"/>
      <c r="D329" s="91">
        <v>12</v>
      </c>
      <c r="E329" s="83" t="str">
        <f>RIGHT(PartcAliqIcms[[#This Row],[Código NCM]],8)</f>
        <v>03028936</v>
      </c>
      <c r="F329" s="92" t="s">
        <v>2604</v>
      </c>
      <c r="G329" s="86"/>
    </row>
    <row r="330" spans="1:7" x14ac:dyDescent="0.25">
      <c r="A330" s="81" t="s">
        <v>3166</v>
      </c>
      <c r="B330" s="3"/>
      <c r="C330" s="3"/>
      <c r="D330" s="91">
        <v>12</v>
      </c>
      <c r="E330" s="83" t="str">
        <f>RIGHT(PartcAliqIcms[[#This Row],[Código NCM]],8)</f>
        <v>03028937</v>
      </c>
      <c r="F330" s="92" t="s">
        <v>2604</v>
      </c>
      <c r="G330" s="86"/>
    </row>
    <row r="331" spans="1:7" x14ac:dyDescent="0.25">
      <c r="A331" s="81" t="s">
        <v>3167</v>
      </c>
      <c r="B331" s="3"/>
      <c r="C331" s="3"/>
      <c r="D331" s="91">
        <v>12</v>
      </c>
      <c r="E331" s="83" t="str">
        <f>RIGHT(PartcAliqIcms[[#This Row],[Código NCM]],8)</f>
        <v>03028938</v>
      </c>
      <c r="F331" s="92" t="s">
        <v>2604</v>
      </c>
      <c r="G331" s="86"/>
    </row>
    <row r="332" spans="1:7" x14ac:dyDescent="0.25">
      <c r="A332" s="81" t="s">
        <v>3168</v>
      </c>
      <c r="B332" s="3"/>
      <c r="C332" s="3"/>
      <c r="D332" s="91">
        <v>12</v>
      </c>
      <c r="E332" s="83" t="str">
        <f>RIGHT(PartcAliqIcms[[#This Row],[Código NCM]],8)</f>
        <v>03028941</v>
      </c>
      <c r="F332" s="92" t="s">
        <v>2604</v>
      </c>
      <c r="G332" s="86"/>
    </row>
    <row r="333" spans="1:7" x14ac:dyDescent="0.25">
      <c r="A333" s="81" t="s">
        <v>3169</v>
      </c>
      <c r="B333" s="3"/>
      <c r="C333" s="3"/>
      <c r="D333" s="91">
        <v>12</v>
      </c>
      <c r="E333" s="83" t="str">
        <f>RIGHT(PartcAliqIcms[[#This Row],[Código NCM]],8)</f>
        <v>03028942</v>
      </c>
      <c r="F333" s="92" t="s">
        <v>2604</v>
      </c>
      <c r="G333" s="86"/>
    </row>
    <row r="334" spans="1:7" x14ac:dyDescent="0.25">
      <c r="A334" s="81" t="s">
        <v>3170</v>
      </c>
      <c r="B334" s="3"/>
      <c r="C334" s="3"/>
      <c r="D334" s="91">
        <v>12</v>
      </c>
      <c r="E334" s="83" t="str">
        <f>RIGHT(PartcAliqIcms[[#This Row],[Código NCM]],8)</f>
        <v>03028943</v>
      </c>
      <c r="F334" s="92" t="s">
        <v>2604</v>
      </c>
      <c r="G334" s="86"/>
    </row>
    <row r="335" spans="1:7" x14ac:dyDescent="0.25">
      <c r="A335" s="81" t="s">
        <v>3171</v>
      </c>
      <c r="B335" s="3"/>
      <c r="C335" s="3"/>
      <c r="D335" s="91">
        <v>12</v>
      </c>
      <c r="E335" s="83" t="str">
        <f>RIGHT(PartcAliqIcms[[#This Row],[Código NCM]],8)</f>
        <v>03028944</v>
      </c>
      <c r="F335" s="92" t="s">
        <v>2604</v>
      </c>
      <c r="G335" s="86"/>
    </row>
    <row r="336" spans="1:7" x14ac:dyDescent="0.25">
      <c r="A336" s="81" t="s">
        <v>3172</v>
      </c>
      <c r="B336" s="3"/>
      <c r="C336" s="3"/>
      <c r="D336" s="91">
        <v>12</v>
      </c>
      <c r="E336" s="83" t="str">
        <f>RIGHT(PartcAliqIcms[[#This Row],[Código NCM]],8)</f>
        <v>03028945</v>
      </c>
      <c r="F336" s="92" t="s">
        <v>2604</v>
      </c>
      <c r="G336" s="86"/>
    </row>
    <row r="337" spans="1:7" x14ac:dyDescent="0.25">
      <c r="A337" s="81" t="s">
        <v>3173</v>
      </c>
      <c r="B337" s="3"/>
      <c r="C337" s="3"/>
      <c r="D337" s="91">
        <v>12</v>
      </c>
      <c r="E337" s="83" t="str">
        <f>RIGHT(PartcAliqIcms[[#This Row],[Código NCM]],8)</f>
        <v>03028990</v>
      </c>
      <c r="F337" s="92" t="s">
        <v>2604</v>
      </c>
      <c r="G337" s="86"/>
    </row>
    <row r="338" spans="1:7" x14ac:dyDescent="0.25">
      <c r="A338" s="81" t="s">
        <v>3473</v>
      </c>
      <c r="B338" s="3"/>
      <c r="C338" s="3"/>
      <c r="D338" s="91">
        <v>12</v>
      </c>
      <c r="E338" s="83" t="str">
        <f>RIGHT(PartcAliqIcms[[#This Row],[Código NCM]],8)</f>
        <v>03029100</v>
      </c>
      <c r="F338" s="92" t="s">
        <v>2604</v>
      </c>
      <c r="G338" s="86"/>
    </row>
    <row r="339" spans="1:7" x14ac:dyDescent="0.25">
      <c r="A339" s="81" t="s">
        <v>3474</v>
      </c>
      <c r="B339" s="3"/>
      <c r="C339" s="3"/>
      <c r="D339" s="91">
        <v>12</v>
      </c>
      <c r="E339" s="83" t="str">
        <f>RIGHT(PartcAliqIcms[[#This Row],[Código NCM]],8)</f>
        <v>03029200</v>
      </c>
      <c r="F339" s="92" t="s">
        <v>2604</v>
      </c>
      <c r="G339" s="86"/>
    </row>
    <row r="340" spans="1:7" x14ac:dyDescent="0.25">
      <c r="A340" s="81" t="s">
        <v>3174</v>
      </c>
      <c r="B340" s="3"/>
      <c r="C340" s="3"/>
      <c r="D340" s="91">
        <v>12</v>
      </c>
      <c r="E340" s="83" t="str">
        <f>RIGHT(PartcAliqIcms[[#This Row],[Código NCM]],8)</f>
        <v>03029900</v>
      </c>
      <c r="F340" s="92" t="s">
        <v>2604</v>
      </c>
      <c r="G340" s="86"/>
    </row>
    <row r="341" spans="1:7" x14ac:dyDescent="0.25">
      <c r="A341" s="81" t="s">
        <v>3175</v>
      </c>
      <c r="B341" s="3"/>
      <c r="C341" s="3"/>
      <c r="D341" s="91">
        <v>12</v>
      </c>
      <c r="E341" s="83" t="str">
        <f>RIGHT(PartcAliqIcms[[#This Row],[Código NCM]],8)</f>
        <v>03031100</v>
      </c>
      <c r="F341" s="92" t="s">
        <v>2604</v>
      </c>
      <c r="G341" s="86"/>
    </row>
    <row r="342" spans="1:7" x14ac:dyDescent="0.25">
      <c r="A342" s="81" t="s">
        <v>3176</v>
      </c>
      <c r="B342" s="3"/>
      <c r="C342" s="3"/>
      <c r="D342" s="91">
        <v>12</v>
      </c>
      <c r="E342" s="83" t="str">
        <f>RIGHT(PartcAliqIcms[[#This Row],[Código NCM]],8)</f>
        <v>03031200</v>
      </c>
      <c r="F342" s="92" t="s">
        <v>2604</v>
      </c>
      <c r="G342" s="86"/>
    </row>
    <row r="343" spans="1:7" x14ac:dyDescent="0.25">
      <c r="A343" s="81" t="s">
        <v>3177</v>
      </c>
      <c r="B343" s="3"/>
      <c r="C343" s="3"/>
      <c r="D343" s="91">
        <v>12</v>
      </c>
      <c r="E343" s="83" t="str">
        <f>RIGHT(PartcAliqIcms[[#This Row],[Código NCM]],8)</f>
        <v>03031300</v>
      </c>
      <c r="F343" s="92" t="s">
        <v>2604</v>
      </c>
      <c r="G343" s="86"/>
    </row>
    <row r="344" spans="1:7" x14ac:dyDescent="0.25">
      <c r="A344" s="81" t="s">
        <v>3178</v>
      </c>
      <c r="B344" s="3"/>
      <c r="C344" s="3"/>
      <c r="D344" s="91">
        <v>12</v>
      </c>
      <c r="E344" s="83" t="str">
        <f>RIGHT(PartcAliqIcms[[#This Row],[Código NCM]],8)</f>
        <v>03031400</v>
      </c>
      <c r="F344" s="92" t="s">
        <v>2604</v>
      </c>
      <c r="G344" s="86"/>
    </row>
    <row r="345" spans="1:7" x14ac:dyDescent="0.25">
      <c r="A345" s="81" t="s">
        <v>3179</v>
      </c>
      <c r="B345" s="3"/>
      <c r="C345" s="3"/>
      <c r="D345" s="91">
        <v>12</v>
      </c>
      <c r="E345" s="83" t="str">
        <f>RIGHT(PartcAliqIcms[[#This Row],[Código NCM]],8)</f>
        <v>03031900</v>
      </c>
      <c r="F345" s="92" t="s">
        <v>2604</v>
      </c>
      <c r="G345" s="86"/>
    </row>
    <row r="346" spans="1:7" x14ac:dyDescent="0.25">
      <c r="A346" s="81" t="s">
        <v>3180</v>
      </c>
      <c r="B346" s="3"/>
      <c r="C346" s="3"/>
      <c r="D346" s="91">
        <v>12</v>
      </c>
      <c r="E346" s="83" t="str">
        <f>RIGHT(PartcAliqIcms[[#This Row],[Código NCM]],8)</f>
        <v>03032300</v>
      </c>
      <c r="F346" s="92" t="s">
        <v>2604</v>
      </c>
      <c r="G346" s="86"/>
    </row>
    <row r="347" spans="1:7" x14ac:dyDescent="0.25">
      <c r="A347" s="81" t="s">
        <v>3181</v>
      </c>
      <c r="B347" s="3"/>
      <c r="C347" s="3"/>
      <c r="D347" s="91">
        <v>12</v>
      </c>
      <c r="E347" s="83" t="str">
        <f>RIGHT(PartcAliqIcms[[#This Row],[Código NCM]],8)</f>
        <v>03032410</v>
      </c>
      <c r="F347" s="92" t="s">
        <v>2604</v>
      </c>
      <c r="G347" s="86"/>
    </row>
    <row r="348" spans="1:7" x14ac:dyDescent="0.25">
      <c r="A348" s="81" t="s">
        <v>3182</v>
      </c>
      <c r="B348" s="3"/>
      <c r="C348" s="3"/>
      <c r="D348" s="91">
        <v>12</v>
      </c>
      <c r="E348" s="83" t="str">
        <f>RIGHT(PartcAliqIcms[[#This Row],[Código NCM]],8)</f>
        <v>03032490</v>
      </c>
      <c r="F348" s="92" t="s">
        <v>2604</v>
      </c>
      <c r="G348" s="86"/>
    </row>
    <row r="349" spans="1:7" x14ac:dyDescent="0.25">
      <c r="A349" s="81" t="s">
        <v>3183</v>
      </c>
      <c r="B349" s="3"/>
      <c r="C349" s="3"/>
      <c r="D349" s="91">
        <v>12</v>
      </c>
      <c r="E349" s="83" t="str">
        <f>RIGHT(PartcAliqIcms[[#This Row],[Código NCM]],8)</f>
        <v>03032500</v>
      </c>
      <c r="F349" s="92" t="s">
        <v>2604</v>
      </c>
      <c r="G349" s="86"/>
    </row>
    <row r="350" spans="1:7" x14ac:dyDescent="0.25">
      <c r="A350" s="81" t="s">
        <v>3184</v>
      </c>
      <c r="B350" s="3"/>
      <c r="C350" s="3"/>
      <c r="D350" s="91">
        <v>12</v>
      </c>
      <c r="E350" s="83" t="str">
        <f>RIGHT(PartcAliqIcms[[#This Row],[Código NCM]],8)</f>
        <v>03032600</v>
      </c>
      <c r="F350" s="92" t="s">
        <v>2604</v>
      </c>
      <c r="G350" s="86"/>
    </row>
    <row r="351" spans="1:7" x14ac:dyDescent="0.25">
      <c r="A351" s="81" t="s">
        <v>3185</v>
      </c>
      <c r="B351" s="3"/>
      <c r="C351" s="3"/>
      <c r="D351" s="91">
        <v>12</v>
      </c>
      <c r="E351" s="83" t="str">
        <f>RIGHT(PartcAliqIcms[[#This Row],[Código NCM]],8)</f>
        <v>03032900</v>
      </c>
      <c r="F351" s="92" t="s">
        <v>2604</v>
      </c>
      <c r="G351" s="86"/>
    </row>
    <row r="352" spans="1:7" x14ac:dyDescent="0.25">
      <c r="A352" s="81" t="s">
        <v>3186</v>
      </c>
      <c r="B352" s="3"/>
      <c r="C352" s="3"/>
      <c r="D352" s="91">
        <v>12</v>
      </c>
      <c r="E352" s="83" t="str">
        <f>RIGHT(PartcAliqIcms[[#This Row],[Código NCM]],8)</f>
        <v>03033100</v>
      </c>
      <c r="F352" s="92" t="s">
        <v>2604</v>
      </c>
      <c r="G352" s="86"/>
    </row>
    <row r="353" spans="1:7" x14ac:dyDescent="0.25">
      <c r="A353" s="81" t="s">
        <v>3187</v>
      </c>
      <c r="B353" s="3"/>
      <c r="C353" s="3"/>
      <c r="D353" s="91">
        <v>12</v>
      </c>
      <c r="E353" s="83" t="str">
        <f>RIGHT(PartcAliqIcms[[#This Row],[Código NCM]],8)</f>
        <v>03033200</v>
      </c>
      <c r="F353" s="92" t="s">
        <v>2604</v>
      </c>
      <c r="G353" s="86"/>
    </row>
    <row r="354" spans="1:7" x14ac:dyDescent="0.25">
      <c r="A354" s="81" t="s">
        <v>3188</v>
      </c>
      <c r="B354" s="3"/>
      <c r="C354" s="3"/>
      <c r="D354" s="91">
        <v>12</v>
      </c>
      <c r="E354" s="83" t="str">
        <f>RIGHT(PartcAliqIcms[[#This Row],[Código NCM]],8)</f>
        <v>03033300</v>
      </c>
      <c r="F354" s="92" t="s">
        <v>2604</v>
      </c>
      <c r="G354" s="86"/>
    </row>
    <row r="355" spans="1:7" x14ac:dyDescent="0.25">
      <c r="A355" s="81" t="s">
        <v>3189</v>
      </c>
      <c r="B355" s="3"/>
      <c r="C355" s="3"/>
      <c r="D355" s="91">
        <v>12</v>
      </c>
      <c r="E355" s="83" t="str">
        <f>RIGHT(PartcAliqIcms[[#This Row],[Código NCM]],8)</f>
        <v>03033400</v>
      </c>
      <c r="F355" s="92" t="s">
        <v>2604</v>
      </c>
      <c r="G355" s="86"/>
    </row>
    <row r="356" spans="1:7" x14ac:dyDescent="0.25">
      <c r="A356" s="81" t="s">
        <v>3190</v>
      </c>
      <c r="B356" s="3"/>
      <c r="C356" s="3"/>
      <c r="D356" s="91">
        <v>12</v>
      </c>
      <c r="E356" s="83" t="str">
        <f>RIGHT(PartcAliqIcms[[#This Row],[Código NCM]],8)</f>
        <v>03033900</v>
      </c>
      <c r="F356" s="92" t="s">
        <v>2604</v>
      </c>
      <c r="G356" s="86"/>
    </row>
    <row r="357" spans="1:7" x14ac:dyDescent="0.25">
      <c r="A357" s="81" t="s">
        <v>3191</v>
      </c>
      <c r="B357" s="3"/>
      <c r="C357" s="3"/>
      <c r="D357" s="91">
        <v>12</v>
      </c>
      <c r="E357" s="83" t="str">
        <f>RIGHT(PartcAliqIcms[[#This Row],[Código NCM]],8)</f>
        <v>03034100</v>
      </c>
      <c r="F357" s="92" t="s">
        <v>2604</v>
      </c>
      <c r="G357" s="86"/>
    </row>
    <row r="358" spans="1:7" x14ac:dyDescent="0.25">
      <c r="A358" s="81" t="s">
        <v>3192</v>
      </c>
      <c r="B358" s="3"/>
      <c r="C358" s="3"/>
      <c r="D358" s="91">
        <v>12</v>
      </c>
      <c r="E358" s="83" t="str">
        <f>RIGHT(PartcAliqIcms[[#This Row],[Código NCM]],8)</f>
        <v>03034200</v>
      </c>
      <c r="F358" s="92" t="s">
        <v>2604</v>
      </c>
      <c r="G358" s="86"/>
    </row>
    <row r="359" spans="1:7" x14ac:dyDescent="0.25">
      <c r="A359" s="81" t="s">
        <v>3193</v>
      </c>
      <c r="B359" s="3"/>
      <c r="C359" s="3"/>
      <c r="D359" s="91">
        <v>12</v>
      </c>
      <c r="E359" s="83" t="str">
        <f>RIGHT(PartcAliqIcms[[#This Row],[Código NCM]],8)</f>
        <v>03034300</v>
      </c>
      <c r="F359" s="92" t="s">
        <v>2604</v>
      </c>
      <c r="G359" s="86"/>
    </row>
    <row r="360" spans="1:7" x14ac:dyDescent="0.25">
      <c r="A360" s="81" t="s">
        <v>3194</v>
      </c>
      <c r="B360" s="3"/>
      <c r="C360" s="3"/>
      <c r="D360" s="91">
        <v>12</v>
      </c>
      <c r="E360" s="83" t="str">
        <f>RIGHT(PartcAliqIcms[[#This Row],[Código NCM]],8)</f>
        <v>03034400</v>
      </c>
      <c r="F360" s="92" t="s">
        <v>2604</v>
      </c>
      <c r="G360" s="86"/>
    </row>
    <row r="361" spans="1:7" x14ac:dyDescent="0.25">
      <c r="A361" s="81" t="s">
        <v>3195</v>
      </c>
      <c r="B361" s="3"/>
      <c r="C361" s="3"/>
      <c r="D361" s="91">
        <v>12</v>
      </c>
      <c r="E361" s="83" t="str">
        <f>RIGHT(PartcAliqIcms[[#This Row],[Código NCM]],8)</f>
        <v>03034500</v>
      </c>
      <c r="F361" s="92" t="s">
        <v>2604</v>
      </c>
      <c r="G361" s="86"/>
    </row>
    <row r="362" spans="1:7" x14ac:dyDescent="0.25">
      <c r="A362" s="81" t="s">
        <v>3196</v>
      </c>
      <c r="B362" s="3"/>
      <c r="C362" s="3"/>
      <c r="D362" s="91">
        <v>12</v>
      </c>
      <c r="E362" s="83" t="str">
        <f>RIGHT(PartcAliqIcms[[#This Row],[Código NCM]],8)</f>
        <v>03034600</v>
      </c>
      <c r="F362" s="92" t="s">
        <v>2604</v>
      </c>
      <c r="G362" s="86"/>
    </row>
    <row r="363" spans="1:7" x14ac:dyDescent="0.25">
      <c r="A363" s="81" t="s">
        <v>3197</v>
      </c>
      <c r="B363" s="3"/>
      <c r="C363" s="3"/>
      <c r="D363" s="91">
        <v>12</v>
      </c>
      <c r="E363" s="83" t="str">
        <f>RIGHT(PartcAliqIcms[[#This Row],[Código NCM]],8)</f>
        <v>03034900</v>
      </c>
      <c r="F363" s="92" t="s">
        <v>2604</v>
      </c>
      <c r="G363" s="86"/>
    </row>
    <row r="364" spans="1:7" x14ac:dyDescent="0.25">
      <c r="A364" s="81" t="s">
        <v>3198</v>
      </c>
      <c r="B364" s="3"/>
      <c r="C364" s="3"/>
      <c r="D364" s="91">
        <v>12</v>
      </c>
      <c r="E364" s="83" t="str">
        <f>RIGHT(PartcAliqIcms[[#This Row],[Código NCM]],8)</f>
        <v>03035100</v>
      </c>
      <c r="F364" s="92" t="s">
        <v>2604</v>
      </c>
      <c r="G364" s="86"/>
    </row>
    <row r="365" spans="1:7" x14ac:dyDescent="0.25">
      <c r="A365" s="81" t="s">
        <v>272</v>
      </c>
      <c r="B365" s="3"/>
      <c r="C365" s="3"/>
      <c r="D365" s="91">
        <v>12</v>
      </c>
      <c r="E365" s="83" t="str">
        <f>RIGHT(PartcAliqIcms[[#This Row],[Código NCM]],8)</f>
        <v>03035300</v>
      </c>
      <c r="F365" s="92" t="s">
        <v>2604</v>
      </c>
      <c r="G365" s="86"/>
    </row>
    <row r="366" spans="1:7" x14ac:dyDescent="0.25">
      <c r="A366" s="81" t="s">
        <v>3199</v>
      </c>
      <c r="B366" s="3"/>
      <c r="C366" s="3"/>
      <c r="D366" s="91">
        <v>12</v>
      </c>
      <c r="E366" s="83" t="str">
        <f>RIGHT(PartcAliqIcms[[#This Row],[Código NCM]],8)</f>
        <v>03035400</v>
      </c>
      <c r="F366" s="92" t="s">
        <v>2604</v>
      </c>
      <c r="G366" s="86"/>
    </row>
    <row r="367" spans="1:7" x14ac:dyDescent="0.25">
      <c r="A367" s="81" t="s">
        <v>3200</v>
      </c>
      <c r="B367" s="3"/>
      <c r="C367" s="3"/>
      <c r="D367" s="91">
        <v>12</v>
      </c>
      <c r="E367" s="83" t="str">
        <f>RIGHT(PartcAliqIcms[[#This Row],[Código NCM]],8)</f>
        <v>03035500</v>
      </c>
      <c r="F367" s="92" t="s">
        <v>2604</v>
      </c>
      <c r="G367" s="86"/>
    </row>
    <row r="368" spans="1:7" x14ac:dyDescent="0.25">
      <c r="A368" s="81" t="s">
        <v>3201</v>
      </c>
      <c r="B368" s="3"/>
      <c r="C368" s="3"/>
      <c r="D368" s="91">
        <v>12</v>
      </c>
      <c r="E368" s="83" t="str">
        <f>RIGHT(PartcAliqIcms[[#This Row],[Código NCM]],8)</f>
        <v>03035600</v>
      </c>
      <c r="F368" s="92" t="s">
        <v>2604</v>
      </c>
      <c r="G368" s="86"/>
    </row>
    <row r="369" spans="1:7" x14ac:dyDescent="0.25">
      <c r="A369" s="81" t="s">
        <v>3202</v>
      </c>
      <c r="B369" s="3"/>
      <c r="C369" s="3"/>
      <c r="D369" s="91">
        <v>12</v>
      </c>
      <c r="E369" s="83" t="str">
        <f>RIGHT(PartcAliqIcms[[#This Row],[Código NCM]],8)</f>
        <v>03035700</v>
      </c>
      <c r="F369" s="92" t="s">
        <v>2604</v>
      </c>
      <c r="G369" s="86"/>
    </row>
    <row r="370" spans="1:7" x14ac:dyDescent="0.25">
      <c r="A370" s="81" t="s">
        <v>3203</v>
      </c>
      <c r="B370" s="3"/>
      <c r="C370" s="3"/>
      <c r="D370" s="91">
        <v>12</v>
      </c>
      <c r="E370" s="83" t="str">
        <f>RIGHT(PartcAliqIcms[[#This Row],[Código NCM]],8)</f>
        <v>03035910</v>
      </c>
      <c r="F370" s="92" t="s">
        <v>2604</v>
      </c>
      <c r="G370" s="86"/>
    </row>
    <row r="371" spans="1:7" x14ac:dyDescent="0.25">
      <c r="A371" s="81" t="s">
        <v>3204</v>
      </c>
      <c r="B371" s="3"/>
      <c r="C371" s="3"/>
      <c r="D371" s="91">
        <v>12</v>
      </c>
      <c r="E371" s="83" t="str">
        <f>RIGHT(PartcAliqIcms[[#This Row],[Código NCM]],8)</f>
        <v>03035920</v>
      </c>
      <c r="F371" s="92" t="s">
        <v>2604</v>
      </c>
      <c r="G371" s="86"/>
    </row>
    <row r="372" spans="1:7" x14ac:dyDescent="0.25">
      <c r="A372" s="81" t="s">
        <v>3205</v>
      </c>
      <c r="B372" s="3"/>
      <c r="C372" s="3"/>
      <c r="D372" s="91">
        <v>12</v>
      </c>
      <c r="E372" s="83" t="str">
        <f>RIGHT(PartcAliqIcms[[#This Row],[Código NCM]],8)</f>
        <v>03035990</v>
      </c>
      <c r="F372" s="92" t="s">
        <v>2604</v>
      </c>
      <c r="G372" s="86"/>
    </row>
    <row r="373" spans="1:7" x14ac:dyDescent="0.25">
      <c r="A373" s="81" t="s">
        <v>3206</v>
      </c>
      <c r="B373" s="3"/>
      <c r="C373" s="3"/>
      <c r="D373" s="91">
        <v>12</v>
      </c>
      <c r="E373" s="83" t="str">
        <f>RIGHT(PartcAliqIcms[[#This Row],[Código NCM]],8)</f>
        <v>03036300</v>
      </c>
      <c r="F373" s="92" t="s">
        <v>2604</v>
      </c>
      <c r="G373" s="86"/>
    </row>
    <row r="374" spans="1:7" x14ac:dyDescent="0.25">
      <c r="A374" s="81" t="s">
        <v>3207</v>
      </c>
      <c r="B374" s="3"/>
      <c r="C374" s="3"/>
      <c r="D374" s="91">
        <v>12</v>
      </c>
      <c r="E374" s="83" t="str">
        <f>RIGHT(PartcAliqIcms[[#This Row],[Código NCM]],8)</f>
        <v>03036400</v>
      </c>
      <c r="F374" s="92" t="s">
        <v>2604</v>
      </c>
      <c r="G374" s="86"/>
    </row>
    <row r="375" spans="1:7" x14ac:dyDescent="0.25">
      <c r="A375" s="81" t="s">
        <v>3208</v>
      </c>
      <c r="B375" s="3"/>
      <c r="C375" s="3"/>
      <c r="D375" s="91">
        <v>12</v>
      </c>
      <c r="E375" s="83" t="str">
        <f>RIGHT(PartcAliqIcms[[#This Row],[Código NCM]],8)</f>
        <v>03036500</v>
      </c>
      <c r="F375" s="92" t="s">
        <v>2604</v>
      </c>
      <c r="G375" s="86"/>
    </row>
    <row r="376" spans="1:7" x14ac:dyDescent="0.25">
      <c r="A376" s="81" t="s">
        <v>3209</v>
      </c>
      <c r="B376" s="3"/>
      <c r="C376" s="3"/>
      <c r="D376" s="91">
        <v>12</v>
      </c>
      <c r="E376" s="83" t="str">
        <f>RIGHT(PartcAliqIcms[[#This Row],[Código NCM]],8)</f>
        <v>03036600</v>
      </c>
      <c r="F376" s="92" t="s">
        <v>2604</v>
      </c>
      <c r="G376" s="86"/>
    </row>
    <row r="377" spans="1:7" x14ac:dyDescent="0.25">
      <c r="A377" s="81" t="s">
        <v>3210</v>
      </c>
      <c r="B377" s="3"/>
      <c r="C377" s="3"/>
      <c r="D377" s="91">
        <v>12</v>
      </c>
      <c r="E377" s="83" t="str">
        <f>RIGHT(PartcAliqIcms[[#This Row],[Código NCM]],8)</f>
        <v>03036700</v>
      </c>
      <c r="F377" s="92" t="s">
        <v>2604</v>
      </c>
      <c r="G377" s="86"/>
    </row>
    <row r="378" spans="1:7" x14ac:dyDescent="0.25">
      <c r="A378" s="81" t="s">
        <v>3211</v>
      </c>
      <c r="B378" s="3"/>
      <c r="C378" s="3"/>
      <c r="D378" s="91">
        <v>12</v>
      </c>
      <c r="E378" s="83" t="str">
        <f>RIGHT(PartcAliqIcms[[#This Row],[Código NCM]],8)</f>
        <v>03036800</v>
      </c>
      <c r="F378" s="92" t="s">
        <v>2604</v>
      </c>
      <c r="G378" s="86"/>
    </row>
    <row r="379" spans="1:7" x14ac:dyDescent="0.25">
      <c r="A379" s="81" t="s">
        <v>3212</v>
      </c>
      <c r="B379" s="3"/>
      <c r="C379" s="3"/>
      <c r="D379" s="91">
        <v>12</v>
      </c>
      <c r="E379" s="83" t="str">
        <f>RIGHT(PartcAliqIcms[[#This Row],[Código NCM]],8)</f>
        <v>03036910</v>
      </c>
      <c r="F379" s="92" t="s">
        <v>2604</v>
      </c>
      <c r="G379" s="86"/>
    </row>
    <row r="380" spans="1:7" x14ac:dyDescent="0.25">
      <c r="A380" s="81" t="s">
        <v>3213</v>
      </c>
      <c r="B380" s="3"/>
      <c r="C380" s="3"/>
      <c r="D380" s="91">
        <v>12</v>
      </c>
      <c r="E380" s="83" t="str">
        <f>RIGHT(PartcAliqIcms[[#This Row],[Código NCM]],8)</f>
        <v>03036990</v>
      </c>
      <c r="F380" s="92" t="s">
        <v>2604</v>
      </c>
      <c r="G380" s="86"/>
    </row>
    <row r="381" spans="1:7" x14ac:dyDescent="0.25">
      <c r="A381" s="81" t="s">
        <v>3215</v>
      </c>
      <c r="B381" s="3"/>
      <c r="C381" s="3"/>
      <c r="D381" s="91">
        <v>12</v>
      </c>
      <c r="E381" s="83" t="str">
        <f>RIGHT(PartcAliqIcms[[#This Row],[Código NCM]],8)</f>
        <v>03038111</v>
      </c>
      <c r="F381" s="92" t="s">
        <v>2604</v>
      </c>
      <c r="G381" s="86"/>
    </row>
    <row r="382" spans="1:7" x14ac:dyDescent="0.25">
      <c r="A382" s="81" t="s">
        <v>3216</v>
      </c>
      <c r="B382" s="3"/>
      <c r="C382" s="3"/>
      <c r="D382" s="91">
        <v>12</v>
      </c>
      <c r="E382" s="83" t="str">
        <f>RIGHT(PartcAliqIcms[[#This Row],[Código NCM]],8)</f>
        <v>03038112</v>
      </c>
      <c r="F382" s="92" t="s">
        <v>2604</v>
      </c>
      <c r="G382" s="86"/>
    </row>
    <row r="383" spans="1:7" x14ac:dyDescent="0.25">
      <c r="A383" s="81" t="s">
        <v>3217</v>
      </c>
      <c r="B383" s="3"/>
      <c r="C383" s="3"/>
      <c r="D383" s="91">
        <v>12</v>
      </c>
      <c r="E383" s="83" t="str">
        <f>RIGHT(PartcAliqIcms[[#This Row],[Código NCM]],8)</f>
        <v>03038113</v>
      </c>
      <c r="F383" s="92" t="s">
        <v>2604</v>
      </c>
      <c r="G383" s="86"/>
    </row>
    <row r="384" spans="1:7" x14ac:dyDescent="0.25">
      <c r="A384" s="81" t="s">
        <v>3218</v>
      </c>
      <c r="B384" s="3"/>
      <c r="C384" s="3"/>
      <c r="D384" s="91">
        <v>12</v>
      </c>
      <c r="E384" s="83" t="str">
        <f>RIGHT(PartcAliqIcms[[#This Row],[Código NCM]],8)</f>
        <v>03038114</v>
      </c>
      <c r="F384" s="92" t="s">
        <v>2604</v>
      </c>
      <c r="G384" s="86"/>
    </row>
    <row r="385" spans="1:7" x14ac:dyDescent="0.25">
      <c r="A385" s="81" t="s">
        <v>3219</v>
      </c>
      <c r="B385" s="3"/>
      <c r="C385" s="3"/>
      <c r="D385" s="91">
        <v>12</v>
      </c>
      <c r="E385" s="83" t="str">
        <f>RIGHT(PartcAliqIcms[[#This Row],[Código NCM]],8)</f>
        <v>03038119</v>
      </c>
      <c r="F385" s="92" t="s">
        <v>2604</v>
      </c>
      <c r="G385" s="86"/>
    </row>
    <row r="386" spans="1:7" x14ac:dyDescent="0.25">
      <c r="A386" s="81" t="s">
        <v>3220</v>
      </c>
      <c r="B386" s="3"/>
      <c r="C386" s="3"/>
      <c r="D386" s="91">
        <v>12</v>
      </c>
      <c r="E386" s="83" t="str">
        <f>RIGHT(PartcAliqIcms[[#This Row],[Código NCM]],8)</f>
        <v>03038190</v>
      </c>
      <c r="F386" s="92" t="s">
        <v>2604</v>
      </c>
      <c r="G386" s="86"/>
    </row>
    <row r="387" spans="1:7" x14ac:dyDescent="0.25">
      <c r="A387" s="81" t="s">
        <v>3221</v>
      </c>
      <c r="B387" s="3"/>
      <c r="C387" s="3"/>
      <c r="D387" s="91">
        <v>12</v>
      </c>
      <c r="E387" s="83" t="str">
        <f>RIGHT(PartcAliqIcms[[#This Row],[Código NCM]],8)</f>
        <v>03038200</v>
      </c>
      <c r="F387" s="92" t="s">
        <v>2604</v>
      </c>
      <c r="G387" s="86"/>
    </row>
    <row r="388" spans="1:7" x14ac:dyDescent="0.25">
      <c r="A388" s="81" t="s">
        <v>3222</v>
      </c>
      <c r="B388" s="3"/>
      <c r="C388" s="3"/>
      <c r="D388" s="91">
        <v>12</v>
      </c>
      <c r="E388" s="83" t="str">
        <f>RIGHT(PartcAliqIcms[[#This Row],[Código NCM]],8)</f>
        <v>03038311</v>
      </c>
      <c r="F388" s="92" t="s">
        <v>2604</v>
      </c>
      <c r="G388" s="86"/>
    </row>
    <row r="389" spans="1:7" x14ac:dyDescent="0.25">
      <c r="A389" s="81" t="s">
        <v>3223</v>
      </c>
      <c r="B389" s="3"/>
      <c r="C389" s="3"/>
      <c r="D389" s="91">
        <v>12</v>
      </c>
      <c r="E389" s="83" t="str">
        <f>RIGHT(PartcAliqIcms[[#This Row],[Código NCM]],8)</f>
        <v>03038319</v>
      </c>
      <c r="F389" s="92" t="s">
        <v>2604</v>
      </c>
      <c r="G389" s="86"/>
    </row>
    <row r="390" spans="1:7" x14ac:dyDescent="0.25">
      <c r="A390" s="81" t="s">
        <v>3224</v>
      </c>
      <c r="B390" s="3"/>
      <c r="C390" s="3"/>
      <c r="D390" s="91">
        <v>12</v>
      </c>
      <c r="E390" s="83" t="str">
        <f>RIGHT(PartcAliqIcms[[#This Row],[Código NCM]],8)</f>
        <v>03038321</v>
      </c>
      <c r="F390" s="92" t="s">
        <v>2604</v>
      </c>
      <c r="G390" s="86"/>
    </row>
    <row r="391" spans="1:7" x14ac:dyDescent="0.25">
      <c r="A391" s="81" t="s">
        <v>3225</v>
      </c>
      <c r="B391" s="3"/>
      <c r="C391" s="3"/>
      <c r="D391" s="91">
        <v>12</v>
      </c>
      <c r="E391" s="83" t="str">
        <f>RIGHT(PartcAliqIcms[[#This Row],[Código NCM]],8)</f>
        <v>03038329</v>
      </c>
      <c r="F391" s="92" t="s">
        <v>2604</v>
      </c>
      <c r="G391" s="86"/>
    </row>
    <row r="392" spans="1:7" x14ac:dyDescent="0.25">
      <c r="A392" s="81" t="s">
        <v>3226</v>
      </c>
      <c r="B392" s="3"/>
      <c r="C392" s="3"/>
      <c r="D392" s="91">
        <v>12</v>
      </c>
      <c r="E392" s="83" t="str">
        <f>RIGHT(PartcAliqIcms[[#This Row],[Código NCM]],8)</f>
        <v>03038400</v>
      </c>
      <c r="F392" s="92" t="s">
        <v>2604</v>
      </c>
      <c r="G392" s="86"/>
    </row>
    <row r="393" spans="1:7" x14ac:dyDescent="0.25">
      <c r="A393" s="81" t="s">
        <v>3227</v>
      </c>
      <c r="B393" s="3"/>
      <c r="C393" s="3"/>
      <c r="D393" s="91">
        <v>12</v>
      </c>
      <c r="E393" s="83" t="str">
        <f>RIGHT(PartcAliqIcms[[#This Row],[Código NCM]],8)</f>
        <v>03038910</v>
      </c>
      <c r="F393" s="92" t="s">
        <v>2604</v>
      </c>
      <c r="G393" s="86"/>
    </row>
    <row r="394" spans="1:7" x14ac:dyDescent="0.25">
      <c r="A394" s="81" t="s">
        <v>3228</v>
      </c>
      <c r="B394" s="3"/>
      <c r="C394" s="3"/>
      <c r="D394" s="91">
        <v>12</v>
      </c>
      <c r="E394" s="83" t="str">
        <f>RIGHT(PartcAliqIcms[[#This Row],[Código NCM]],8)</f>
        <v>03038920</v>
      </c>
      <c r="F394" s="92" t="s">
        <v>2604</v>
      </c>
      <c r="G394" s="86"/>
    </row>
    <row r="395" spans="1:7" x14ac:dyDescent="0.25">
      <c r="A395" s="81" t="s">
        <v>3229</v>
      </c>
      <c r="B395" s="3"/>
      <c r="C395" s="3"/>
      <c r="D395" s="91">
        <v>12</v>
      </c>
      <c r="E395" s="83" t="str">
        <f>RIGHT(PartcAliqIcms[[#This Row],[Código NCM]],8)</f>
        <v>03038932</v>
      </c>
      <c r="F395" s="92" t="s">
        <v>2604</v>
      </c>
      <c r="G395" s="86"/>
    </row>
    <row r="396" spans="1:7" x14ac:dyDescent="0.25">
      <c r="A396" s="81" t="s">
        <v>3230</v>
      </c>
      <c r="B396" s="3"/>
      <c r="C396" s="3"/>
      <c r="D396" s="91">
        <v>12</v>
      </c>
      <c r="E396" s="83" t="str">
        <f>RIGHT(PartcAliqIcms[[#This Row],[Código NCM]],8)</f>
        <v>03038933</v>
      </c>
      <c r="F396" s="92" t="s">
        <v>2604</v>
      </c>
      <c r="G396" s="86"/>
    </row>
    <row r="397" spans="1:7" x14ac:dyDescent="0.25">
      <c r="A397" s="81" t="s">
        <v>3231</v>
      </c>
      <c r="B397" s="3"/>
      <c r="C397" s="3"/>
      <c r="D397" s="91">
        <v>12</v>
      </c>
      <c r="E397" s="83" t="str">
        <f>RIGHT(PartcAliqIcms[[#This Row],[Código NCM]],8)</f>
        <v>03038941</v>
      </c>
      <c r="F397" s="92" t="s">
        <v>2604</v>
      </c>
      <c r="G397" s="86"/>
    </row>
    <row r="398" spans="1:7" x14ac:dyDescent="0.25">
      <c r="A398" s="81" t="s">
        <v>3232</v>
      </c>
      <c r="B398" s="3"/>
      <c r="C398" s="3"/>
      <c r="D398" s="91">
        <v>12</v>
      </c>
      <c r="E398" s="83" t="str">
        <f>RIGHT(PartcAliqIcms[[#This Row],[Código NCM]],8)</f>
        <v>03038942</v>
      </c>
      <c r="F398" s="92" t="s">
        <v>2604</v>
      </c>
      <c r="G398" s="86"/>
    </row>
    <row r="399" spans="1:7" x14ac:dyDescent="0.25">
      <c r="A399" s="81" t="s">
        <v>3233</v>
      </c>
      <c r="B399" s="3"/>
      <c r="C399" s="3"/>
      <c r="D399" s="91">
        <v>12</v>
      </c>
      <c r="E399" s="83" t="str">
        <f>RIGHT(PartcAliqIcms[[#This Row],[Código NCM]],8)</f>
        <v>03038943</v>
      </c>
      <c r="F399" s="92" t="s">
        <v>2604</v>
      </c>
      <c r="G399" s="86"/>
    </row>
    <row r="400" spans="1:7" x14ac:dyDescent="0.25">
      <c r="A400" s="81" t="s">
        <v>3234</v>
      </c>
      <c r="B400" s="3"/>
      <c r="C400" s="3"/>
      <c r="D400" s="91">
        <v>12</v>
      </c>
      <c r="E400" s="83" t="str">
        <f>RIGHT(PartcAliqIcms[[#This Row],[Código NCM]],8)</f>
        <v>03038944</v>
      </c>
      <c r="F400" s="92" t="s">
        <v>2604</v>
      </c>
      <c r="G400" s="86"/>
    </row>
    <row r="401" spans="1:7" x14ac:dyDescent="0.25">
      <c r="A401" s="81" t="s">
        <v>3235</v>
      </c>
      <c r="B401" s="3"/>
      <c r="C401" s="3"/>
      <c r="D401" s="91">
        <v>12</v>
      </c>
      <c r="E401" s="83" t="str">
        <f>RIGHT(PartcAliqIcms[[#This Row],[Código NCM]],8)</f>
        <v>03038945</v>
      </c>
      <c r="F401" s="92" t="s">
        <v>2604</v>
      </c>
      <c r="G401" s="86"/>
    </row>
    <row r="402" spans="1:7" x14ac:dyDescent="0.25">
      <c r="A402" s="81" t="s">
        <v>3236</v>
      </c>
      <c r="B402" s="3"/>
      <c r="C402" s="3"/>
      <c r="D402" s="91">
        <v>12</v>
      </c>
      <c r="E402" s="83" t="str">
        <f>RIGHT(PartcAliqIcms[[#This Row],[Código NCM]],8)</f>
        <v>03038946</v>
      </c>
      <c r="F402" s="92" t="s">
        <v>2604</v>
      </c>
      <c r="G402" s="86"/>
    </row>
    <row r="403" spans="1:7" x14ac:dyDescent="0.25">
      <c r="A403" s="81" t="s">
        <v>3237</v>
      </c>
      <c r="B403" s="3"/>
      <c r="C403" s="3"/>
      <c r="D403" s="91">
        <v>12</v>
      </c>
      <c r="E403" s="83" t="str">
        <f>RIGHT(PartcAliqIcms[[#This Row],[Código NCM]],8)</f>
        <v>03038951</v>
      </c>
      <c r="F403" s="92" t="s">
        <v>2604</v>
      </c>
      <c r="G403" s="86"/>
    </row>
    <row r="404" spans="1:7" x14ac:dyDescent="0.25">
      <c r="A404" s="81" t="s">
        <v>3238</v>
      </c>
      <c r="B404" s="3"/>
      <c r="C404" s="3"/>
      <c r="D404" s="91">
        <v>12</v>
      </c>
      <c r="E404" s="83" t="str">
        <f>RIGHT(PartcAliqIcms[[#This Row],[Código NCM]],8)</f>
        <v>03038952</v>
      </c>
      <c r="F404" s="92" t="s">
        <v>2604</v>
      </c>
      <c r="G404" s="86"/>
    </row>
    <row r="405" spans="1:7" x14ac:dyDescent="0.25">
      <c r="A405" s="81" t="s">
        <v>206</v>
      </c>
      <c r="B405" s="3"/>
      <c r="C405" s="3"/>
      <c r="D405" s="91">
        <v>12</v>
      </c>
      <c r="E405" s="83" t="str">
        <f>RIGHT(PartcAliqIcms[[#This Row],[Código NCM]],8)</f>
        <v>03038953</v>
      </c>
      <c r="F405" s="92" t="s">
        <v>2604</v>
      </c>
      <c r="G405" s="86"/>
    </row>
    <row r="406" spans="1:7" x14ac:dyDescent="0.25">
      <c r="A406" s="81" t="s">
        <v>3239</v>
      </c>
      <c r="B406" s="3"/>
      <c r="C406" s="3"/>
      <c r="D406" s="91">
        <v>12</v>
      </c>
      <c r="E406" s="83" t="str">
        <f>RIGHT(PartcAliqIcms[[#This Row],[Código NCM]],8)</f>
        <v>03038954</v>
      </c>
      <c r="F406" s="92" t="s">
        <v>2604</v>
      </c>
      <c r="G406" s="86"/>
    </row>
    <row r="407" spans="1:7" x14ac:dyDescent="0.25">
      <c r="A407" s="81" t="s">
        <v>253</v>
      </c>
      <c r="B407" s="3"/>
      <c r="C407" s="3"/>
      <c r="D407" s="91">
        <v>12</v>
      </c>
      <c r="E407" s="83" t="str">
        <f>RIGHT(PartcAliqIcms[[#This Row],[Código NCM]],8)</f>
        <v>03038955</v>
      </c>
      <c r="F407" s="92" t="s">
        <v>2604</v>
      </c>
      <c r="G407" s="86"/>
    </row>
    <row r="408" spans="1:7" x14ac:dyDescent="0.25">
      <c r="A408" s="81" t="s">
        <v>2629</v>
      </c>
      <c r="B408" s="3"/>
      <c r="C408" s="3"/>
      <c r="D408" s="91">
        <v>12</v>
      </c>
      <c r="E408" s="83" t="str">
        <f>RIGHT(PartcAliqIcms[[#This Row],[Código NCM]],8)</f>
        <v>03038956</v>
      </c>
      <c r="F408" s="92" t="s">
        <v>2604</v>
      </c>
      <c r="G408" s="86"/>
    </row>
    <row r="409" spans="1:7" x14ac:dyDescent="0.25">
      <c r="A409" s="81" t="s">
        <v>273</v>
      </c>
      <c r="B409" s="3"/>
      <c r="C409" s="3"/>
      <c r="D409" s="91">
        <v>12</v>
      </c>
      <c r="E409" s="83" t="str">
        <f>RIGHT(PartcAliqIcms[[#This Row],[Código NCM]],8)</f>
        <v>03038961</v>
      </c>
      <c r="F409" s="92" t="s">
        <v>2604</v>
      </c>
      <c r="G409" s="86"/>
    </row>
    <row r="410" spans="1:7" x14ac:dyDescent="0.25">
      <c r="A410" s="81" t="s">
        <v>3240</v>
      </c>
      <c r="B410" s="3"/>
      <c r="C410" s="3"/>
      <c r="D410" s="91">
        <v>12</v>
      </c>
      <c r="E410" s="83" t="str">
        <f>RIGHT(PartcAliqIcms[[#This Row],[Código NCM]],8)</f>
        <v>03038962</v>
      </c>
      <c r="F410" s="92" t="s">
        <v>2604</v>
      </c>
      <c r="G410" s="86"/>
    </row>
    <row r="411" spans="1:7" x14ac:dyDescent="0.25">
      <c r="A411" s="81" t="s">
        <v>262</v>
      </c>
      <c r="B411" s="3"/>
      <c r="C411" s="3"/>
      <c r="D411" s="91">
        <v>12</v>
      </c>
      <c r="E411" s="83" t="str">
        <f>RIGHT(PartcAliqIcms[[#This Row],[Código NCM]],8)</f>
        <v>03038963</v>
      </c>
      <c r="F411" s="92" t="s">
        <v>2604</v>
      </c>
      <c r="G411" s="86"/>
    </row>
    <row r="412" spans="1:7" x14ac:dyDescent="0.25">
      <c r="A412" s="81" t="s">
        <v>3241</v>
      </c>
      <c r="B412" s="3"/>
      <c r="C412" s="3"/>
      <c r="D412" s="91">
        <v>12</v>
      </c>
      <c r="E412" s="83" t="str">
        <f>RIGHT(PartcAliqIcms[[#This Row],[Código NCM]],8)</f>
        <v>03038964</v>
      </c>
      <c r="F412" s="92" t="s">
        <v>2604</v>
      </c>
      <c r="G412" s="86"/>
    </row>
    <row r="413" spans="1:7" x14ac:dyDescent="0.25">
      <c r="A413" s="81" t="s">
        <v>3242</v>
      </c>
      <c r="B413" s="3"/>
      <c r="C413" s="3"/>
      <c r="D413" s="91">
        <v>12</v>
      </c>
      <c r="E413" s="83" t="str">
        <f>RIGHT(PartcAliqIcms[[#This Row],[Código NCM]],8)</f>
        <v>03038965</v>
      </c>
      <c r="F413" s="92" t="s">
        <v>2604</v>
      </c>
      <c r="G413" s="86"/>
    </row>
    <row r="414" spans="1:7" x14ac:dyDescent="0.25">
      <c r="A414" s="81" t="s">
        <v>274</v>
      </c>
      <c r="B414" s="3"/>
      <c r="C414" s="3"/>
      <c r="D414" s="91">
        <v>12</v>
      </c>
      <c r="E414" s="83" t="str">
        <f>RIGHT(PartcAliqIcms[[#This Row],[Código NCM]],8)</f>
        <v>03038990</v>
      </c>
      <c r="F414" s="92" t="s">
        <v>2604</v>
      </c>
      <c r="G414" s="86"/>
    </row>
    <row r="415" spans="1:7" x14ac:dyDescent="0.25">
      <c r="A415" s="81" t="s">
        <v>3243</v>
      </c>
      <c r="B415" s="3"/>
      <c r="C415" s="3"/>
      <c r="D415" s="91">
        <v>12</v>
      </c>
      <c r="E415" s="83" t="str">
        <f>RIGHT(PartcAliqIcms[[#This Row],[Código NCM]],8)</f>
        <v>03039100</v>
      </c>
      <c r="F415" s="92" t="s">
        <v>2604</v>
      </c>
      <c r="G415" s="86"/>
    </row>
    <row r="416" spans="1:7" x14ac:dyDescent="0.25">
      <c r="A416" s="81" t="s">
        <v>3244</v>
      </c>
      <c r="B416" s="3"/>
      <c r="C416" s="3"/>
      <c r="D416" s="91">
        <v>12</v>
      </c>
      <c r="E416" s="83" t="str">
        <f>RIGHT(PartcAliqIcms[[#This Row],[Código NCM]],8)</f>
        <v>03039200</v>
      </c>
      <c r="F416" s="92" t="s">
        <v>2604</v>
      </c>
      <c r="G416" s="86"/>
    </row>
    <row r="417" spans="1:7" x14ac:dyDescent="0.25">
      <c r="A417" s="81" t="s">
        <v>3245</v>
      </c>
      <c r="B417" s="3"/>
      <c r="C417" s="3"/>
      <c r="D417" s="91">
        <v>12</v>
      </c>
      <c r="E417" s="83" t="str">
        <f>RIGHT(PartcAliqIcms[[#This Row],[Código NCM]],8)</f>
        <v>03039910</v>
      </c>
      <c r="F417" s="92" t="s">
        <v>2604</v>
      </c>
      <c r="G417" s="86"/>
    </row>
    <row r="418" spans="1:7" x14ac:dyDescent="0.25">
      <c r="A418" s="81" t="s">
        <v>3246</v>
      </c>
      <c r="B418" s="3"/>
      <c r="C418" s="3"/>
      <c r="D418" s="91">
        <v>12</v>
      </c>
      <c r="E418" s="83" t="str">
        <f>RIGHT(PartcAliqIcms[[#This Row],[Código NCM]],8)</f>
        <v>03039920</v>
      </c>
      <c r="F418" s="92" t="s">
        <v>2604</v>
      </c>
      <c r="G418" s="86"/>
    </row>
    <row r="419" spans="1:7" x14ac:dyDescent="0.25">
      <c r="A419" s="81" t="s">
        <v>3247</v>
      </c>
      <c r="B419" s="3"/>
      <c r="C419" s="3"/>
      <c r="D419" s="91">
        <v>12</v>
      </c>
      <c r="E419" s="83" t="str">
        <f>RIGHT(PartcAliqIcms[[#This Row],[Código NCM]],8)</f>
        <v>03039990</v>
      </c>
      <c r="F419" s="92" t="s">
        <v>2604</v>
      </c>
      <c r="G419" s="86"/>
    </row>
    <row r="420" spans="1:7" x14ac:dyDescent="0.25">
      <c r="A420" s="81" t="s">
        <v>265</v>
      </c>
      <c r="B420" s="3"/>
      <c r="C420" s="3"/>
      <c r="D420" s="91">
        <v>12</v>
      </c>
      <c r="E420" s="83" t="str">
        <f>RIGHT(PartcAliqIcms[[#This Row],[Código NCM]],8)</f>
        <v>03043100</v>
      </c>
      <c r="F420" s="92" t="s">
        <v>2604</v>
      </c>
      <c r="G420" s="86"/>
    </row>
    <row r="421" spans="1:7" x14ac:dyDescent="0.25">
      <c r="A421" s="81" t="s">
        <v>3248</v>
      </c>
      <c r="B421" s="3"/>
      <c r="C421" s="3"/>
      <c r="D421" s="91">
        <v>12</v>
      </c>
      <c r="E421" s="83" t="str">
        <f>RIGHT(PartcAliqIcms[[#This Row],[Código NCM]],8)</f>
        <v>03043210</v>
      </c>
      <c r="F421" s="92" t="s">
        <v>2604</v>
      </c>
      <c r="G421" s="86"/>
    </row>
    <row r="422" spans="1:7" x14ac:dyDescent="0.25">
      <c r="A422" s="81" t="s">
        <v>3249</v>
      </c>
      <c r="B422" s="3"/>
      <c r="C422" s="3"/>
      <c r="D422" s="91">
        <v>12</v>
      </c>
      <c r="E422" s="83" t="str">
        <f>RIGHT(PartcAliqIcms[[#This Row],[Código NCM]],8)</f>
        <v>03043290</v>
      </c>
      <c r="F422" s="92" t="s">
        <v>2604</v>
      </c>
      <c r="G422" s="86"/>
    </row>
    <row r="423" spans="1:7" x14ac:dyDescent="0.25">
      <c r="A423" s="81" t="s">
        <v>3250</v>
      </c>
      <c r="B423" s="3"/>
      <c r="C423" s="3"/>
      <c r="D423" s="91">
        <v>12</v>
      </c>
      <c r="E423" s="83" t="str">
        <f>RIGHT(PartcAliqIcms[[#This Row],[Código NCM]],8)</f>
        <v>03043300</v>
      </c>
      <c r="F423" s="92" t="s">
        <v>2604</v>
      </c>
      <c r="G423" s="86"/>
    </row>
    <row r="424" spans="1:7" x14ac:dyDescent="0.25">
      <c r="A424" s="81" t="s">
        <v>3251</v>
      </c>
      <c r="B424" s="3"/>
      <c r="C424" s="3"/>
      <c r="D424" s="91">
        <v>12</v>
      </c>
      <c r="E424" s="83" t="str">
        <f>RIGHT(PartcAliqIcms[[#This Row],[Código NCM]],8)</f>
        <v>03043900</v>
      </c>
      <c r="F424" s="92" t="s">
        <v>2604</v>
      </c>
      <c r="G424" s="86"/>
    </row>
    <row r="425" spans="1:7" x14ac:dyDescent="0.25">
      <c r="A425" s="81" t="s">
        <v>3252</v>
      </c>
      <c r="B425" s="3"/>
      <c r="C425" s="3"/>
      <c r="D425" s="91">
        <v>12</v>
      </c>
      <c r="E425" s="83" t="str">
        <f>RIGHT(PartcAliqIcms[[#This Row],[Código NCM]],8)</f>
        <v>03044100</v>
      </c>
      <c r="F425" s="92" t="s">
        <v>2604</v>
      </c>
      <c r="G425" s="86"/>
    </row>
    <row r="426" spans="1:7" x14ac:dyDescent="0.25">
      <c r="A426" s="81" t="s">
        <v>3253</v>
      </c>
      <c r="B426" s="3"/>
      <c r="C426" s="3"/>
      <c r="D426" s="91">
        <v>12</v>
      </c>
      <c r="E426" s="83" t="str">
        <f>RIGHT(PartcAliqIcms[[#This Row],[Código NCM]],8)</f>
        <v>03044200</v>
      </c>
      <c r="F426" s="92" t="s">
        <v>2604</v>
      </c>
      <c r="G426" s="86"/>
    </row>
    <row r="427" spans="1:7" x14ac:dyDescent="0.25">
      <c r="A427" s="81" t="s">
        <v>3254</v>
      </c>
      <c r="B427" s="3"/>
      <c r="C427" s="3"/>
      <c r="D427" s="91">
        <v>12</v>
      </c>
      <c r="E427" s="83" t="str">
        <f>RIGHT(PartcAliqIcms[[#This Row],[Código NCM]],8)</f>
        <v>03044300</v>
      </c>
      <c r="F427" s="92" t="s">
        <v>2604</v>
      </c>
      <c r="G427" s="86"/>
    </row>
    <row r="428" spans="1:7" x14ac:dyDescent="0.25">
      <c r="A428" s="81" t="s">
        <v>3255</v>
      </c>
      <c r="B428" s="3"/>
      <c r="C428" s="3"/>
      <c r="D428" s="91">
        <v>12</v>
      </c>
      <c r="E428" s="83" t="str">
        <f>RIGHT(PartcAliqIcms[[#This Row],[Código NCM]],8)</f>
        <v>03044400</v>
      </c>
      <c r="F428" s="92" t="s">
        <v>2604</v>
      </c>
      <c r="G428" s="86"/>
    </row>
    <row r="429" spans="1:7" x14ac:dyDescent="0.25">
      <c r="A429" s="81" t="s">
        <v>3256</v>
      </c>
      <c r="B429" s="3"/>
      <c r="C429" s="3"/>
      <c r="D429" s="91">
        <v>12</v>
      </c>
      <c r="E429" s="83" t="str">
        <f>RIGHT(PartcAliqIcms[[#This Row],[Código NCM]],8)</f>
        <v>03044500</v>
      </c>
      <c r="F429" s="92" t="s">
        <v>2604</v>
      </c>
      <c r="G429" s="86"/>
    </row>
    <row r="430" spans="1:7" x14ac:dyDescent="0.25">
      <c r="A430" s="81" t="s">
        <v>3257</v>
      </c>
      <c r="B430" s="3"/>
      <c r="C430" s="3"/>
      <c r="D430" s="91">
        <v>12</v>
      </c>
      <c r="E430" s="83" t="str">
        <f>RIGHT(PartcAliqIcms[[#This Row],[Código NCM]],8)</f>
        <v>03044600</v>
      </c>
      <c r="F430" s="92" t="s">
        <v>2604</v>
      </c>
      <c r="G430" s="86"/>
    </row>
    <row r="431" spans="1:7" x14ac:dyDescent="0.25">
      <c r="A431" s="81" t="s">
        <v>3258</v>
      </c>
      <c r="B431" s="3"/>
      <c r="C431" s="3"/>
      <c r="D431" s="91">
        <v>12</v>
      </c>
      <c r="E431" s="83" t="str">
        <f>RIGHT(PartcAliqIcms[[#This Row],[Código NCM]],8)</f>
        <v>03044700</v>
      </c>
      <c r="F431" s="92" t="s">
        <v>2604</v>
      </c>
      <c r="G431" s="86"/>
    </row>
    <row r="432" spans="1:7" x14ac:dyDescent="0.25">
      <c r="A432" s="81" t="s">
        <v>3259</v>
      </c>
      <c r="B432" s="3"/>
      <c r="C432" s="3"/>
      <c r="D432" s="91">
        <v>12</v>
      </c>
      <c r="E432" s="83" t="str">
        <f>RIGHT(PartcAliqIcms[[#This Row],[Código NCM]],8)</f>
        <v>03044800</v>
      </c>
      <c r="F432" s="92" t="s">
        <v>2604</v>
      </c>
      <c r="G432" s="86"/>
    </row>
    <row r="433" spans="1:7" x14ac:dyDescent="0.25">
      <c r="A433" s="81" t="s">
        <v>3260</v>
      </c>
      <c r="B433" s="3"/>
      <c r="C433" s="3"/>
      <c r="D433" s="91">
        <v>12</v>
      </c>
      <c r="E433" s="83" t="str">
        <f>RIGHT(PartcAliqIcms[[#This Row],[Código NCM]],8)</f>
        <v>03044910</v>
      </c>
      <c r="F433" s="92" t="s">
        <v>2604</v>
      </c>
      <c r="G433" s="86"/>
    </row>
    <row r="434" spans="1:7" x14ac:dyDescent="0.25">
      <c r="A434" s="81" t="s">
        <v>3261</v>
      </c>
      <c r="B434" s="3"/>
      <c r="C434" s="3"/>
      <c r="D434" s="91">
        <v>12</v>
      </c>
      <c r="E434" s="83" t="str">
        <f>RIGHT(PartcAliqIcms[[#This Row],[Código NCM]],8)</f>
        <v>03044920</v>
      </c>
      <c r="F434" s="92" t="s">
        <v>2604</v>
      </c>
      <c r="G434" s="86"/>
    </row>
    <row r="435" spans="1:7" x14ac:dyDescent="0.25">
      <c r="A435" s="81" t="s">
        <v>3262</v>
      </c>
      <c r="B435" s="3"/>
      <c r="C435" s="3"/>
      <c r="D435" s="91">
        <v>12</v>
      </c>
      <c r="E435" s="83" t="str">
        <f>RIGHT(PartcAliqIcms[[#This Row],[Código NCM]],8)</f>
        <v>03044990</v>
      </c>
      <c r="F435" s="92" t="s">
        <v>2604</v>
      </c>
      <c r="G435" s="86"/>
    </row>
    <row r="436" spans="1:7" x14ac:dyDescent="0.25">
      <c r="A436" s="81" t="s">
        <v>3263</v>
      </c>
      <c r="B436" s="3"/>
      <c r="C436" s="3"/>
      <c r="D436" s="91">
        <v>12</v>
      </c>
      <c r="E436" s="83" t="str">
        <f>RIGHT(PartcAliqIcms[[#This Row],[Código NCM]],8)</f>
        <v>03045100</v>
      </c>
      <c r="F436" s="92" t="s">
        <v>2604</v>
      </c>
      <c r="G436" s="86"/>
    </row>
    <row r="437" spans="1:7" x14ac:dyDescent="0.25">
      <c r="A437" s="81" t="s">
        <v>3264</v>
      </c>
      <c r="B437" s="3"/>
      <c r="C437" s="3"/>
      <c r="D437" s="91">
        <v>12</v>
      </c>
      <c r="E437" s="83" t="str">
        <f>RIGHT(PartcAliqIcms[[#This Row],[Código NCM]],8)</f>
        <v>03045200</v>
      </c>
      <c r="F437" s="92" t="s">
        <v>2604</v>
      </c>
      <c r="G437" s="86"/>
    </row>
    <row r="438" spans="1:7" x14ac:dyDescent="0.25">
      <c r="A438" s="81" t="s">
        <v>3265</v>
      </c>
      <c r="B438" s="3"/>
      <c r="C438" s="3"/>
      <c r="D438" s="91">
        <v>12</v>
      </c>
      <c r="E438" s="83" t="str">
        <f>RIGHT(PartcAliqIcms[[#This Row],[Código NCM]],8)</f>
        <v>03045300</v>
      </c>
      <c r="F438" s="92" t="s">
        <v>2604</v>
      </c>
      <c r="G438" s="86"/>
    </row>
    <row r="439" spans="1:7" x14ac:dyDescent="0.25">
      <c r="A439" s="81" t="s">
        <v>3266</v>
      </c>
      <c r="B439" s="3"/>
      <c r="C439" s="3"/>
      <c r="D439" s="91">
        <v>12</v>
      </c>
      <c r="E439" s="83" t="str">
        <f>RIGHT(PartcAliqIcms[[#This Row],[Código NCM]],8)</f>
        <v>03045400</v>
      </c>
      <c r="F439" s="92" t="s">
        <v>2604</v>
      </c>
      <c r="G439" s="86"/>
    </row>
    <row r="440" spans="1:7" x14ac:dyDescent="0.25">
      <c r="A440" s="81" t="s">
        <v>3267</v>
      </c>
      <c r="B440" s="3"/>
      <c r="C440" s="3"/>
      <c r="D440" s="91">
        <v>12</v>
      </c>
      <c r="E440" s="83" t="str">
        <f>RIGHT(PartcAliqIcms[[#This Row],[Código NCM]],8)</f>
        <v>03045500</v>
      </c>
      <c r="F440" s="92" t="s">
        <v>2604</v>
      </c>
      <c r="G440" s="86"/>
    </row>
    <row r="441" spans="1:7" x14ac:dyDescent="0.25">
      <c r="A441" s="81" t="s">
        <v>3268</v>
      </c>
      <c r="B441" s="3"/>
      <c r="C441" s="3"/>
      <c r="D441" s="91">
        <v>12</v>
      </c>
      <c r="E441" s="83" t="str">
        <f>RIGHT(PartcAliqIcms[[#This Row],[Código NCM]],8)</f>
        <v>03045600</v>
      </c>
      <c r="F441" s="92" t="s">
        <v>2604</v>
      </c>
      <c r="G441" s="86"/>
    </row>
    <row r="442" spans="1:7" x14ac:dyDescent="0.25">
      <c r="A442" s="81" t="s">
        <v>3269</v>
      </c>
      <c r="B442" s="3"/>
      <c r="C442" s="3"/>
      <c r="D442" s="91">
        <v>12</v>
      </c>
      <c r="E442" s="83" t="str">
        <f>RIGHT(PartcAliqIcms[[#This Row],[Código NCM]],8)</f>
        <v>03045700</v>
      </c>
      <c r="F442" s="92" t="s">
        <v>2604</v>
      </c>
      <c r="G442" s="86"/>
    </row>
    <row r="443" spans="1:7" x14ac:dyDescent="0.25">
      <c r="A443" s="81" t="s">
        <v>3270</v>
      </c>
      <c r="B443" s="3"/>
      <c r="C443" s="3"/>
      <c r="D443" s="91">
        <v>12</v>
      </c>
      <c r="E443" s="83" t="str">
        <f>RIGHT(PartcAliqIcms[[#This Row],[Código NCM]],8)</f>
        <v>03045900</v>
      </c>
      <c r="F443" s="92" t="s">
        <v>2604</v>
      </c>
      <c r="G443" s="86"/>
    </row>
    <row r="444" spans="1:7" x14ac:dyDescent="0.25">
      <c r="A444" s="81" t="s">
        <v>281</v>
      </c>
      <c r="B444" s="3"/>
      <c r="C444" s="3"/>
      <c r="D444" s="91">
        <v>12</v>
      </c>
      <c r="E444" s="83" t="str">
        <f>RIGHT(PartcAliqIcms[[#This Row],[Código NCM]],8)</f>
        <v>03046100</v>
      </c>
      <c r="F444" s="92" t="s">
        <v>2604</v>
      </c>
      <c r="G444" s="86"/>
    </row>
    <row r="445" spans="1:7" x14ac:dyDescent="0.25">
      <c r="A445" s="81" t="s">
        <v>3271</v>
      </c>
      <c r="B445" s="3"/>
      <c r="C445" s="3"/>
      <c r="D445" s="91">
        <v>12</v>
      </c>
      <c r="E445" s="83" t="str">
        <f>RIGHT(PartcAliqIcms[[#This Row],[Código NCM]],8)</f>
        <v>03046210</v>
      </c>
      <c r="F445" s="92" t="s">
        <v>2604</v>
      </c>
      <c r="G445" s="86"/>
    </row>
    <row r="446" spans="1:7" x14ac:dyDescent="0.25">
      <c r="A446" s="81" t="s">
        <v>3272</v>
      </c>
      <c r="B446" s="3"/>
      <c r="C446" s="3"/>
      <c r="D446" s="91">
        <v>12</v>
      </c>
      <c r="E446" s="83" t="str">
        <f>RIGHT(PartcAliqIcms[[#This Row],[Código NCM]],8)</f>
        <v>03046290</v>
      </c>
      <c r="F446" s="92" t="s">
        <v>2604</v>
      </c>
      <c r="G446" s="86"/>
    </row>
    <row r="447" spans="1:7" x14ac:dyDescent="0.25">
      <c r="A447" s="81" t="s">
        <v>3273</v>
      </c>
      <c r="B447" s="3"/>
      <c r="C447" s="3"/>
      <c r="D447" s="91">
        <v>12</v>
      </c>
      <c r="E447" s="83" t="str">
        <f>RIGHT(PartcAliqIcms[[#This Row],[Código NCM]],8)</f>
        <v>03046300</v>
      </c>
      <c r="F447" s="92" t="s">
        <v>2604</v>
      </c>
      <c r="G447" s="86"/>
    </row>
    <row r="448" spans="1:7" x14ac:dyDescent="0.25">
      <c r="A448" s="81" t="s">
        <v>3274</v>
      </c>
      <c r="B448" s="3"/>
      <c r="C448" s="3"/>
      <c r="D448" s="91">
        <v>12</v>
      </c>
      <c r="E448" s="83" t="str">
        <f>RIGHT(PartcAliqIcms[[#This Row],[Código NCM]],8)</f>
        <v>03046900</v>
      </c>
      <c r="F448" s="92" t="s">
        <v>2604</v>
      </c>
      <c r="G448" s="86"/>
    </row>
    <row r="449" spans="1:7" x14ac:dyDescent="0.25">
      <c r="A449" s="81" t="s">
        <v>3275</v>
      </c>
      <c r="B449" s="3"/>
      <c r="C449" s="3"/>
      <c r="D449" s="91">
        <v>12</v>
      </c>
      <c r="E449" s="83" t="str">
        <f>RIGHT(PartcAliqIcms[[#This Row],[Código NCM]],8)</f>
        <v>03047100</v>
      </c>
      <c r="F449" s="92" t="s">
        <v>2604</v>
      </c>
      <c r="G449" s="86"/>
    </row>
    <row r="450" spans="1:7" x14ac:dyDescent="0.25">
      <c r="A450" s="81" t="s">
        <v>3276</v>
      </c>
      <c r="B450" s="3"/>
      <c r="C450" s="3"/>
      <c r="D450" s="91">
        <v>12</v>
      </c>
      <c r="E450" s="83" t="str">
        <f>RIGHT(PartcAliqIcms[[#This Row],[Código NCM]],8)</f>
        <v>03047200</v>
      </c>
      <c r="F450" s="92" t="s">
        <v>2604</v>
      </c>
      <c r="G450" s="86"/>
    </row>
    <row r="451" spans="1:7" x14ac:dyDescent="0.25">
      <c r="A451" s="81" t="s">
        <v>3277</v>
      </c>
      <c r="B451" s="3"/>
      <c r="C451" s="3"/>
      <c r="D451" s="91">
        <v>12</v>
      </c>
      <c r="E451" s="83" t="str">
        <f>RIGHT(PartcAliqIcms[[#This Row],[Código NCM]],8)</f>
        <v>03047300</v>
      </c>
      <c r="F451" s="92" t="s">
        <v>2604</v>
      </c>
      <c r="G451" s="86"/>
    </row>
    <row r="452" spans="1:7" x14ac:dyDescent="0.25">
      <c r="A452" s="81" t="s">
        <v>289</v>
      </c>
      <c r="B452" s="3"/>
      <c r="C452" s="3"/>
      <c r="D452" s="91">
        <v>12</v>
      </c>
      <c r="E452" s="83" t="str">
        <f>RIGHT(PartcAliqIcms[[#This Row],[Código NCM]],8)</f>
        <v>03047400</v>
      </c>
      <c r="F452" s="92" t="s">
        <v>2604</v>
      </c>
      <c r="G452" s="86"/>
    </row>
    <row r="453" spans="1:7" x14ac:dyDescent="0.25">
      <c r="A453" s="81" t="s">
        <v>3278</v>
      </c>
      <c r="B453" s="3"/>
      <c r="C453" s="3"/>
      <c r="D453" s="91">
        <v>12</v>
      </c>
      <c r="E453" s="83" t="str">
        <f>RIGHT(PartcAliqIcms[[#This Row],[Código NCM]],8)</f>
        <v>03047500</v>
      </c>
      <c r="F453" s="92" t="s">
        <v>2604</v>
      </c>
      <c r="G453" s="86"/>
    </row>
    <row r="454" spans="1:7" x14ac:dyDescent="0.25">
      <c r="A454" s="81" t="s">
        <v>3279</v>
      </c>
      <c r="B454" s="3"/>
      <c r="C454" s="3"/>
      <c r="D454" s="91">
        <v>12</v>
      </c>
      <c r="E454" s="83" t="str">
        <f>RIGHT(PartcAliqIcms[[#This Row],[Código NCM]],8)</f>
        <v>03047900</v>
      </c>
      <c r="F454" s="92" t="s">
        <v>2604</v>
      </c>
      <c r="G454" s="86"/>
    </row>
    <row r="455" spans="1:7" x14ac:dyDescent="0.25">
      <c r="A455" s="81" t="s">
        <v>3280</v>
      </c>
      <c r="B455" s="3"/>
      <c r="C455" s="3"/>
      <c r="D455" s="91">
        <v>12</v>
      </c>
      <c r="E455" s="83" t="str">
        <f>RIGHT(PartcAliqIcms[[#This Row],[Código NCM]],8)</f>
        <v>03048100</v>
      </c>
      <c r="F455" s="92" t="s">
        <v>2604</v>
      </c>
      <c r="G455" s="86"/>
    </row>
    <row r="456" spans="1:7" x14ac:dyDescent="0.25">
      <c r="A456" s="81" t="s">
        <v>3281</v>
      </c>
      <c r="B456" s="3"/>
      <c r="C456" s="3"/>
      <c r="D456" s="91">
        <v>12</v>
      </c>
      <c r="E456" s="83" t="str">
        <f>RIGHT(PartcAliqIcms[[#This Row],[Código NCM]],8)</f>
        <v>03048200</v>
      </c>
      <c r="F456" s="92" t="s">
        <v>2604</v>
      </c>
      <c r="G456" s="86"/>
    </row>
    <row r="457" spans="1:7" x14ac:dyDescent="0.25">
      <c r="A457" s="81" t="s">
        <v>3282</v>
      </c>
      <c r="B457" s="3"/>
      <c r="C457" s="3"/>
      <c r="D457" s="91">
        <v>12</v>
      </c>
      <c r="E457" s="83" t="str">
        <f>RIGHT(PartcAliqIcms[[#This Row],[Código NCM]],8)</f>
        <v>03048300</v>
      </c>
      <c r="F457" s="92" t="s">
        <v>2604</v>
      </c>
      <c r="G457" s="86"/>
    </row>
    <row r="458" spans="1:7" x14ac:dyDescent="0.25">
      <c r="A458" s="81" t="s">
        <v>3283</v>
      </c>
      <c r="B458" s="3"/>
      <c r="C458" s="3"/>
      <c r="D458" s="91">
        <v>12</v>
      </c>
      <c r="E458" s="83" t="str">
        <f>RIGHT(PartcAliqIcms[[#This Row],[Código NCM]],8)</f>
        <v>03048400</v>
      </c>
      <c r="F458" s="92" t="s">
        <v>2604</v>
      </c>
      <c r="G458" s="86"/>
    </row>
    <row r="459" spans="1:7" x14ac:dyDescent="0.25">
      <c r="A459" s="81" t="s">
        <v>3284</v>
      </c>
      <c r="B459" s="3"/>
      <c r="C459" s="3"/>
      <c r="D459" s="91">
        <v>12</v>
      </c>
      <c r="E459" s="83" t="str">
        <f>RIGHT(PartcAliqIcms[[#This Row],[Código NCM]],8)</f>
        <v>03048510</v>
      </c>
      <c r="F459" s="92" t="s">
        <v>2604</v>
      </c>
      <c r="G459" s="86"/>
    </row>
    <row r="460" spans="1:7" x14ac:dyDescent="0.25">
      <c r="A460" s="81" t="s">
        <v>3285</v>
      </c>
      <c r="B460" s="3"/>
      <c r="C460" s="3"/>
      <c r="D460" s="91">
        <v>12</v>
      </c>
      <c r="E460" s="83" t="str">
        <f>RIGHT(PartcAliqIcms[[#This Row],[Código NCM]],8)</f>
        <v>03048520</v>
      </c>
      <c r="F460" s="92" t="s">
        <v>2604</v>
      </c>
      <c r="G460" s="86"/>
    </row>
    <row r="461" spans="1:7" x14ac:dyDescent="0.25">
      <c r="A461" s="81" t="s">
        <v>3286</v>
      </c>
      <c r="B461" s="3"/>
      <c r="C461" s="3"/>
      <c r="D461" s="91">
        <v>12</v>
      </c>
      <c r="E461" s="83" t="str">
        <f>RIGHT(PartcAliqIcms[[#This Row],[Código NCM]],8)</f>
        <v>03048600</v>
      </c>
      <c r="F461" s="92" t="s">
        <v>2604</v>
      </c>
      <c r="G461" s="86"/>
    </row>
    <row r="462" spans="1:7" x14ac:dyDescent="0.25">
      <c r="A462" s="81" t="s">
        <v>3287</v>
      </c>
      <c r="B462" s="3"/>
      <c r="C462" s="3"/>
      <c r="D462" s="91">
        <v>12</v>
      </c>
      <c r="E462" s="83" t="str">
        <f>RIGHT(PartcAliqIcms[[#This Row],[Código NCM]],8)</f>
        <v>03048700</v>
      </c>
      <c r="F462" s="92" t="s">
        <v>2604</v>
      </c>
      <c r="G462" s="86"/>
    </row>
    <row r="463" spans="1:7" x14ac:dyDescent="0.25">
      <c r="A463" s="81" t="s">
        <v>3288</v>
      </c>
      <c r="B463" s="3"/>
      <c r="C463" s="3"/>
      <c r="D463" s="91">
        <v>12</v>
      </c>
      <c r="E463" s="83" t="str">
        <f>RIGHT(PartcAliqIcms[[#This Row],[Código NCM]],8)</f>
        <v>03048810</v>
      </c>
      <c r="F463" s="92" t="s">
        <v>2604</v>
      </c>
      <c r="G463" s="86"/>
    </row>
    <row r="464" spans="1:7" x14ac:dyDescent="0.25">
      <c r="A464" s="81" t="s">
        <v>3289</v>
      </c>
      <c r="B464" s="3"/>
      <c r="C464" s="3"/>
      <c r="D464" s="91">
        <v>12</v>
      </c>
      <c r="E464" s="83" t="str">
        <f>RIGHT(PartcAliqIcms[[#This Row],[Código NCM]],8)</f>
        <v>03048890</v>
      </c>
      <c r="F464" s="92" t="s">
        <v>2604</v>
      </c>
      <c r="G464" s="86"/>
    </row>
    <row r="465" spans="1:7" x14ac:dyDescent="0.25">
      <c r="A465" s="81" t="s">
        <v>3290</v>
      </c>
      <c r="B465" s="3"/>
      <c r="C465" s="3"/>
      <c r="D465" s="91">
        <v>12</v>
      </c>
      <c r="E465" s="83" t="str">
        <f>RIGHT(PartcAliqIcms[[#This Row],[Código NCM]],8)</f>
        <v>03048910</v>
      </c>
      <c r="F465" s="92" t="s">
        <v>2604</v>
      </c>
      <c r="G465" s="86"/>
    </row>
    <row r="466" spans="1:7" x14ac:dyDescent="0.25">
      <c r="A466" s="81" t="s">
        <v>3291</v>
      </c>
      <c r="B466" s="3"/>
      <c r="C466" s="3"/>
      <c r="D466" s="91">
        <v>12</v>
      </c>
      <c r="E466" s="83" t="str">
        <f>RIGHT(PartcAliqIcms[[#This Row],[Código NCM]],8)</f>
        <v>03048920</v>
      </c>
      <c r="F466" s="92" t="s">
        <v>2604</v>
      </c>
      <c r="G466" s="86"/>
    </row>
    <row r="467" spans="1:7" x14ac:dyDescent="0.25">
      <c r="A467" s="81" t="s">
        <v>3292</v>
      </c>
      <c r="B467" s="3"/>
      <c r="C467" s="3"/>
      <c r="D467" s="91">
        <v>12</v>
      </c>
      <c r="E467" s="83" t="str">
        <f>RIGHT(PartcAliqIcms[[#This Row],[Código NCM]],8)</f>
        <v>03048930</v>
      </c>
      <c r="F467" s="92" t="s">
        <v>2604</v>
      </c>
      <c r="G467" s="86"/>
    </row>
    <row r="468" spans="1:7" x14ac:dyDescent="0.25">
      <c r="A468" s="81" t="s">
        <v>238</v>
      </c>
      <c r="B468" s="3"/>
      <c r="C468" s="3"/>
      <c r="D468" s="91">
        <v>12</v>
      </c>
      <c r="E468" s="83" t="str">
        <f>RIGHT(PartcAliqIcms[[#This Row],[Código NCM]],8)</f>
        <v>03048990</v>
      </c>
      <c r="F468" s="92" t="s">
        <v>2604</v>
      </c>
      <c r="G468" s="86"/>
    </row>
    <row r="469" spans="1:7" x14ac:dyDescent="0.25">
      <c r="A469" s="81" t="s">
        <v>3293</v>
      </c>
      <c r="B469" s="3"/>
      <c r="C469" s="3"/>
      <c r="D469" s="91">
        <v>12</v>
      </c>
      <c r="E469" s="83" t="str">
        <f>RIGHT(PartcAliqIcms[[#This Row],[Código NCM]],8)</f>
        <v>03049100</v>
      </c>
      <c r="F469" s="92" t="s">
        <v>2604</v>
      </c>
      <c r="G469" s="86"/>
    </row>
    <row r="470" spans="1:7" x14ac:dyDescent="0.25">
      <c r="A470" s="81" t="s">
        <v>3294</v>
      </c>
      <c r="B470" s="3"/>
      <c r="C470" s="3"/>
      <c r="D470" s="91">
        <v>12</v>
      </c>
      <c r="E470" s="83" t="str">
        <f>RIGHT(PartcAliqIcms[[#This Row],[Código NCM]],8)</f>
        <v>03049211</v>
      </c>
      <c r="F470" s="92" t="s">
        <v>2604</v>
      </c>
      <c r="G470" s="86"/>
    </row>
    <row r="471" spans="1:7" x14ac:dyDescent="0.25">
      <c r="A471" s="81" t="s">
        <v>3295</v>
      </c>
      <c r="B471" s="3"/>
      <c r="C471" s="3"/>
      <c r="D471" s="91">
        <v>12</v>
      </c>
      <c r="E471" s="83" t="str">
        <f>RIGHT(PartcAliqIcms[[#This Row],[Código NCM]],8)</f>
        <v>03049212</v>
      </c>
      <c r="F471" s="92" t="s">
        <v>2604</v>
      </c>
      <c r="G471" s="86"/>
    </row>
    <row r="472" spans="1:7" x14ac:dyDescent="0.25">
      <c r="A472" s="81" t="s">
        <v>3296</v>
      </c>
      <c r="B472" s="3"/>
      <c r="C472" s="3"/>
      <c r="D472" s="91">
        <v>12</v>
      </c>
      <c r="E472" s="83" t="str">
        <f>RIGHT(PartcAliqIcms[[#This Row],[Código NCM]],8)</f>
        <v>03049219</v>
      </c>
      <c r="F472" s="92" t="s">
        <v>2604</v>
      </c>
      <c r="G472" s="86"/>
    </row>
    <row r="473" spans="1:7" x14ac:dyDescent="0.25">
      <c r="A473" s="81" t="s">
        <v>3297</v>
      </c>
      <c r="B473" s="3"/>
      <c r="C473" s="3"/>
      <c r="D473" s="91">
        <v>12</v>
      </c>
      <c r="E473" s="83" t="str">
        <f>RIGHT(PartcAliqIcms[[#This Row],[Código NCM]],8)</f>
        <v>03049221</v>
      </c>
      <c r="F473" s="92" t="s">
        <v>2604</v>
      </c>
      <c r="G473" s="86"/>
    </row>
    <row r="474" spans="1:7" x14ac:dyDescent="0.25">
      <c r="A474" s="81" t="s">
        <v>3298</v>
      </c>
      <c r="B474" s="3"/>
      <c r="C474" s="3"/>
      <c r="D474" s="91">
        <v>12</v>
      </c>
      <c r="E474" s="83" t="str">
        <f>RIGHT(PartcAliqIcms[[#This Row],[Código NCM]],8)</f>
        <v>03049222</v>
      </c>
      <c r="F474" s="92" t="s">
        <v>2604</v>
      </c>
      <c r="G474" s="86"/>
    </row>
    <row r="475" spans="1:7" x14ac:dyDescent="0.25">
      <c r="A475" s="81" t="s">
        <v>3299</v>
      </c>
      <c r="B475" s="3"/>
      <c r="C475" s="3"/>
      <c r="D475" s="91">
        <v>12</v>
      </c>
      <c r="E475" s="83" t="str">
        <f>RIGHT(PartcAliqIcms[[#This Row],[Código NCM]],8)</f>
        <v>03049229</v>
      </c>
      <c r="F475" s="92" t="s">
        <v>2604</v>
      </c>
      <c r="G475" s="86"/>
    </row>
    <row r="476" spans="1:7" x14ac:dyDescent="0.25">
      <c r="A476" s="81" t="s">
        <v>3300</v>
      </c>
      <c r="B476" s="3"/>
      <c r="C476" s="3"/>
      <c r="D476" s="91">
        <v>12</v>
      </c>
      <c r="E476" s="83" t="str">
        <f>RIGHT(PartcAliqIcms[[#This Row],[Código NCM]],8)</f>
        <v>03049300</v>
      </c>
      <c r="F476" s="92" t="s">
        <v>2604</v>
      </c>
      <c r="G476" s="86"/>
    </row>
    <row r="477" spans="1:7" x14ac:dyDescent="0.25">
      <c r="A477" s="81" t="s">
        <v>3301</v>
      </c>
      <c r="B477" s="3"/>
      <c r="C477" s="3"/>
      <c r="D477" s="91">
        <v>12</v>
      </c>
      <c r="E477" s="83" t="str">
        <f>RIGHT(PartcAliqIcms[[#This Row],[Código NCM]],8)</f>
        <v>03049400</v>
      </c>
      <c r="F477" s="92" t="s">
        <v>2604</v>
      </c>
      <c r="G477" s="86"/>
    </row>
    <row r="478" spans="1:7" x14ac:dyDescent="0.25">
      <c r="A478" s="81" t="s">
        <v>3302</v>
      </c>
      <c r="B478" s="3"/>
      <c r="C478" s="3"/>
      <c r="D478" s="91">
        <v>12</v>
      </c>
      <c r="E478" s="83" t="str">
        <f>RIGHT(PartcAliqIcms[[#This Row],[Código NCM]],8)</f>
        <v>03049500</v>
      </c>
      <c r="F478" s="92" t="s">
        <v>2604</v>
      </c>
      <c r="G478" s="86"/>
    </row>
    <row r="479" spans="1:7" x14ac:dyDescent="0.25">
      <c r="A479" s="81" t="s">
        <v>3303</v>
      </c>
      <c r="B479" s="3"/>
      <c r="C479" s="3"/>
      <c r="D479" s="91">
        <v>12</v>
      </c>
      <c r="E479" s="83" t="str">
        <f>RIGHT(PartcAliqIcms[[#This Row],[Código NCM]],8)</f>
        <v>03049600</v>
      </c>
      <c r="F479" s="92" t="s">
        <v>2604</v>
      </c>
      <c r="G479" s="86"/>
    </row>
    <row r="480" spans="1:7" x14ac:dyDescent="0.25">
      <c r="A480" s="81" t="s">
        <v>3304</v>
      </c>
      <c r="B480" s="3"/>
      <c r="C480" s="3"/>
      <c r="D480" s="91">
        <v>12</v>
      </c>
      <c r="E480" s="83" t="str">
        <f>RIGHT(PartcAliqIcms[[#This Row],[Código NCM]],8)</f>
        <v>03049700</v>
      </c>
      <c r="F480" s="92" t="s">
        <v>2604</v>
      </c>
      <c r="G480" s="86"/>
    </row>
    <row r="481" spans="1:7" x14ac:dyDescent="0.25">
      <c r="A481" s="81" t="s">
        <v>3305</v>
      </c>
      <c r="B481" s="3"/>
      <c r="C481" s="3"/>
      <c r="D481" s="91">
        <v>12</v>
      </c>
      <c r="E481" s="83" t="str">
        <f>RIGHT(PartcAliqIcms[[#This Row],[Código NCM]],8)</f>
        <v>03049900</v>
      </c>
      <c r="F481" s="92" t="s">
        <v>2604</v>
      </c>
      <c r="G481" s="86"/>
    </row>
    <row r="482" spans="1:7" x14ac:dyDescent="0.25">
      <c r="A482" s="81" t="s">
        <v>3475</v>
      </c>
      <c r="B482" s="3"/>
      <c r="C482" s="3"/>
      <c r="D482" s="91">
        <v>12</v>
      </c>
      <c r="E482" s="83" t="str">
        <f>RIGHT(PartcAliqIcms[[#This Row],[Código NCM]],8)</f>
        <v>03051000</v>
      </c>
      <c r="F482" s="92" t="s">
        <v>2604</v>
      </c>
      <c r="G482" s="86"/>
    </row>
    <row r="483" spans="1:7" x14ac:dyDescent="0.25">
      <c r="A483" s="81" t="s">
        <v>3476</v>
      </c>
      <c r="B483" s="3"/>
      <c r="C483" s="3"/>
      <c r="D483" s="91">
        <v>12</v>
      </c>
      <c r="E483" s="83" t="str">
        <f>RIGHT(PartcAliqIcms[[#This Row],[Código NCM]],8)</f>
        <v>03052000</v>
      </c>
      <c r="F483" s="92" t="s">
        <v>2604</v>
      </c>
      <c r="G483" s="86"/>
    </row>
    <row r="484" spans="1:7" x14ac:dyDescent="0.25">
      <c r="A484" s="81" t="s">
        <v>3477</v>
      </c>
      <c r="B484" s="3"/>
      <c r="C484" s="3"/>
      <c r="D484" s="91">
        <v>12</v>
      </c>
      <c r="E484" s="83" t="str">
        <f>RIGHT(PartcAliqIcms[[#This Row],[Código NCM]],8)</f>
        <v>03053100</v>
      </c>
      <c r="F484" s="92" t="s">
        <v>2604</v>
      </c>
      <c r="G484" s="86"/>
    </row>
    <row r="485" spans="1:7" x14ac:dyDescent="0.25">
      <c r="A485" s="81" t="s">
        <v>3478</v>
      </c>
      <c r="B485" s="3"/>
      <c r="C485" s="3"/>
      <c r="D485" s="91">
        <v>12</v>
      </c>
      <c r="E485" s="83" t="str">
        <f>RIGHT(PartcAliqIcms[[#This Row],[Código NCM]],8)</f>
        <v>03053210</v>
      </c>
      <c r="F485" s="92" t="s">
        <v>2604</v>
      </c>
      <c r="G485" s="86"/>
    </row>
    <row r="486" spans="1:7" x14ac:dyDescent="0.25">
      <c r="A486" s="81" t="s">
        <v>3479</v>
      </c>
      <c r="B486" s="3"/>
      <c r="C486" s="3"/>
      <c r="D486" s="91">
        <v>12</v>
      </c>
      <c r="E486" s="83" t="str">
        <f>RIGHT(PartcAliqIcms[[#This Row],[Código NCM]],8)</f>
        <v>03053220</v>
      </c>
      <c r="F486" s="92" t="s">
        <v>2604</v>
      </c>
      <c r="G486" s="86"/>
    </row>
    <row r="487" spans="1:7" x14ac:dyDescent="0.25">
      <c r="A487" s="81" t="s">
        <v>3480</v>
      </c>
      <c r="B487" s="3"/>
      <c r="C487" s="3"/>
      <c r="D487" s="91">
        <v>12</v>
      </c>
      <c r="E487" s="83" t="str">
        <f>RIGHT(PartcAliqIcms[[#This Row],[Código NCM]],8)</f>
        <v>03053230</v>
      </c>
      <c r="F487" s="92" t="s">
        <v>2604</v>
      </c>
      <c r="G487" s="86"/>
    </row>
    <row r="488" spans="1:7" x14ac:dyDescent="0.25">
      <c r="A488" s="81" t="s">
        <v>3481</v>
      </c>
      <c r="B488" s="3"/>
      <c r="C488" s="3"/>
      <c r="D488" s="91">
        <v>12</v>
      </c>
      <c r="E488" s="83" t="str">
        <f>RIGHT(PartcAliqIcms[[#This Row],[Código NCM]],8)</f>
        <v>03053290</v>
      </c>
      <c r="F488" s="92" t="s">
        <v>2604</v>
      </c>
      <c r="G488" s="86"/>
    </row>
    <row r="489" spans="1:7" x14ac:dyDescent="0.25">
      <c r="A489" s="81" t="s">
        <v>3482</v>
      </c>
      <c r="B489" s="3"/>
      <c r="C489" s="3"/>
      <c r="D489" s="91">
        <v>12</v>
      </c>
      <c r="E489" s="83" t="str">
        <f>RIGHT(PartcAliqIcms[[#This Row],[Código NCM]],8)</f>
        <v>03053900</v>
      </c>
      <c r="F489" s="92" t="s">
        <v>2604</v>
      </c>
      <c r="G489" s="86"/>
    </row>
    <row r="490" spans="1:7" x14ac:dyDescent="0.25">
      <c r="A490" s="81" t="s">
        <v>3483</v>
      </c>
      <c r="B490" s="3"/>
      <c r="C490" s="3"/>
      <c r="D490" s="91">
        <v>12</v>
      </c>
      <c r="E490" s="83" t="str">
        <f>RIGHT(PartcAliqIcms[[#This Row],[Código NCM]],8)</f>
        <v>03054100</v>
      </c>
      <c r="F490" s="92" t="s">
        <v>2604</v>
      </c>
      <c r="G490" s="86"/>
    </row>
    <row r="491" spans="1:7" x14ac:dyDescent="0.25">
      <c r="A491" s="81" t="s">
        <v>3484</v>
      </c>
      <c r="B491" s="3"/>
      <c r="C491" s="3"/>
      <c r="D491" s="91">
        <v>12</v>
      </c>
      <c r="E491" s="83" t="str">
        <f>RIGHT(PartcAliqIcms[[#This Row],[Código NCM]],8)</f>
        <v>03054200</v>
      </c>
      <c r="F491" s="92" t="s">
        <v>2604</v>
      </c>
      <c r="G491" s="86"/>
    </row>
    <row r="492" spans="1:7" x14ac:dyDescent="0.25">
      <c r="A492" s="81" t="s">
        <v>3485</v>
      </c>
      <c r="B492" s="3"/>
      <c r="C492" s="3"/>
      <c r="D492" s="91">
        <v>12</v>
      </c>
      <c r="E492" s="83" t="str">
        <f>RIGHT(PartcAliqIcms[[#This Row],[Código NCM]],8)</f>
        <v>03054300</v>
      </c>
      <c r="F492" s="92" t="s">
        <v>2604</v>
      </c>
      <c r="G492" s="86"/>
    </row>
    <row r="493" spans="1:7" x14ac:dyDescent="0.25">
      <c r="A493" s="81" t="s">
        <v>3486</v>
      </c>
      <c r="B493" s="3"/>
      <c r="C493" s="3"/>
      <c r="D493" s="91">
        <v>12</v>
      </c>
      <c r="E493" s="83" t="str">
        <f>RIGHT(PartcAliqIcms[[#This Row],[Código NCM]],8)</f>
        <v>03054400</v>
      </c>
      <c r="F493" s="92" t="s">
        <v>2604</v>
      </c>
      <c r="G493" s="86"/>
    </row>
    <row r="494" spans="1:7" x14ac:dyDescent="0.25">
      <c r="A494" s="81" t="s">
        <v>3487</v>
      </c>
      <c r="B494" s="3"/>
      <c r="C494" s="3"/>
      <c r="D494" s="91">
        <v>12</v>
      </c>
      <c r="E494" s="83" t="str">
        <f>RIGHT(PartcAliqIcms[[#This Row],[Código NCM]],8)</f>
        <v>03054910</v>
      </c>
      <c r="F494" s="92" t="s">
        <v>2604</v>
      </c>
      <c r="G494" s="86"/>
    </row>
    <row r="495" spans="1:7" x14ac:dyDescent="0.25">
      <c r="A495" s="81" t="s">
        <v>3488</v>
      </c>
      <c r="B495" s="3"/>
      <c r="C495" s="3"/>
      <c r="D495" s="91">
        <v>12</v>
      </c>
      <c r="E495" s="83" t="str">
        <f>RIGHT(PartcAliqIcms[[#This Row],[Código NCM]],8)</f>
        <v>03054920</v>
      </c>
      <c r="F495" s="92" t="s">
        <v>2604</v>
      </c>
      <c r="G495" s="86"/>
    </row>
    <row r="496" spans="1:7" x14ac:dyDescent="0.25">
      <c r="A496" s="81" t="s">
        <v>3489</v>
      </c>
      <c r="B496" s="3"/>
      <c r="C496" s="3"/>
      <c r="D496" s="91">
        <v>12</v>
      </c>
      <c r="E496" s="83" t="str">
        <f>RIGHT(PartcAliqIcms[[#This Row],[Código NCM]],8)</f>
        <v>03054990</v>
      </c>
      <c r="F496" s="92" t="s">
        <v>2604</v>
      </c>
      <c r="G496" s="86"/>
    </row>
    <row r="497" spans="1:7" x14ac:dyDescent="0.25">
      <c r="A497" s="81" t="s">
        <v>251</v>
      </c>
      <c r="B497" s="3"/>
      <c r="C497" s="3"/>
      <c r="D497" s="91">
        <v>12</v>
      </c>
      <c r="E497" s="83" t="str">
        <f>RIGHT(PartcAliqIcms[[#This Row],[Código NCM]],8)</f>
        <v>03055100</v>
      </c>
      <c r="F497" s="92" t="s">
        <v>2604</v>
      </c>
      <c r="G497" s="86"/>
    </row>
    <row r="498" spans="1:7" x14ac:dyDescent="0.25">
      <c r="A498" s="81" t="s">
        <v>3490</v>
      </c>
      <c r="B498" s="3"/>
      <c r="C498" s="3"/>
      <c r="D498" s="91">
        <v>12</v>
      </c>
      <c r="E498" s="83" t="str">
        <f>RIGHT(PartcAliqIcms[[#This Row],[Código NCM]],8)</f>
        <v>03055200</v>
      </c>
      <c r="F498" s="92" t="s">
        <v>2604</v>
      </c>
      <c r="G498" s="86"/>
    </row>
    <row r="499" spans="1:7" x14ac:dyDescent="0.25">
      <c r="A499" s="81" t="s">
        <v>3491</v>
      </c>
      <c r="B499" s="3"/>
      <c r="C499" s="3"/>
      <c r="D499" s="91">
        <v>12</v>
      </c>
      <c r="E499" s="83" t="str">
        <f>RIGHT(PartcAliqIcms[[#This Row],[Código NCM]],8)</f>
        <v>03055310</v>
      </c>
      <c r="F499" s="92" t="s">
        <v>2604</v>
      </c>
      <c r="G499" s="86"/>
    </row>
    <row r="500" spans="1:7" x14ac:dyDescent="0.25">
      <c r="A500" s="81" t="s">
        <v>3492</v>
      </c>
      <c r="B500" s="3"/>
      <c r="C500" s="3"/>
      <c r="D500" s="91">
        <v>12</v>
      </c>
      <c r="E500" s="83" t="str">
        <f>RIGHT(PartcAliqIcms[[#This Row],[Código NCM]],8)</f>
        <v>03055390</v>
      </c>
      <c r="F500" s="92" t="s">
        <v>2604</v>
      </c>
      <c r="G500" s="86"/>
    </row>
    <row r="501" spans="1:7" x14ac:dyDescent="0.25">
      <c r="A501" s="81" t="s">
        <v>3493</v>
      </c>
      <c r="B501" s="3"/>
      <c r="C501" s="3"/>
      <c r="D501" s="91">
        <v>12</v>
      </c>
      <c r="E501" s="83" t="str">
        <f>RIGHT(PartcAliqIcms[[#This Row],[Código NCM]],8)</f>
        <v>03055400</v>
      </c>
      <c r="F501" s="92" t="s">
        <v>2604</v>
      </c>
      <c r="G501" s="86"/>
    </row>
    <row r="502" spans="1:7" x14ac:dyDescent="0.25">
      <c r="A502" s="81" t="s">
        <v>3494</v>
      </c>
      <c r="B502" s="3"/>
      <c r="C502" s="3"/>
      <c r="D502" s="91">
        <v>12</v>
      </c>
      <c r="E502" s="83" t="str">
        <f>RIGHT(PartcAliqIcms[[#This Row],[Código NCM]],8)</f>
        <v>03055900</v>
      </c>
      <c r="F502" s="92" t="s">
        <v>2604</v>
      </c>
      <c r="G502" s="86"/>
    </row>
    <row r="503" spans="1:7" x14ac:dyDescent="0.25">
      <c r="A503" s="81" t="s">
        <v>3495</v>
      </c>
      <c r="B503" s="3"/>
      <c r="C503" s="3"/>
      <c r="D503" s="91">
        <v>12</v>
      </c>
      <c r="E503" s="83" t="str">
        <f>RIGHT(PartcAliqIcms[[#This Row],[Código NCM]],8)</f>
        <v>03056100</v>
      </c>
      <c r="F503" s="92" t="s">
        <v>2604</v>
      </c>
      <c r="G503" s="86"/>
    </row>
    <row r="504" spans="1:7" x14ac:dyDescent="0.25">
      <c r="A504" s="81" t="s">
        <v>3496</v>
      </c>
      <c r="B504" s="3"/>
      <c r="C504" s="3"/>
      <c r="D504" s="91">
        <v>12</v>
      </c>
      <c r="E504" s="83" t="str">
        <f>RIGHT(PartcAliqIcms[[#This Row],[Código NCM]],8)</f>
        <v>03056200</v>
      </c>
      <c r="F504" s="92" t="s">
        <v>2604</v>
      </c>
      <c r="G504" s="86"/>
    </row>
    <row r="505" spans="1:7" x14ac:dyDescent="0.25">
      <c r="A505" s="81" t="s">
        <v>3497</v>
      </c>
      <c r="B505" s="3"/>
      <c r="C505" s="3"/>
      <c r="D505" s="91">
        <v>12</v>
      </c>
      <c r="E505" s="83" t="str">
        <f>RIGHT(PartcAliqIcms[[#This Row],[Código NCM]],8)</f>
        <v>03056300</v>
      </c>
      <c r="F505" s="92" t="s">
        <v>2604</v>
      </c>
      <c r="G505" s="86"/>
    </row>
    <row r="506" spans="1:7" x14ac:dyDescent="0.25">
      <c r="A506" s="81" t="s">
        <v>3498</v>
      </c>
      <c r="B506" s="3"/>
      <c r="C506" s="3"/>
      <c r="D506" s="91">
        <v>12</v>
      </c>
      <c r="E506" s="83" t="str">
        <f>RIGHT(PartcAliqIcms[[#This Row],[Código NCM]],8)</f>
        <v>03056400</v>
      </c>
      <c r="F506" s="92" t="s">
        <v>2604</v>
      </c>
      <c r="G506" s="86"/>
    </row>
    <row r="507" spans="1:7" x14ac:dyDescent="0.25">
      <c r="A507" s="81" t="s">
        <v>3499</v>
      </c>
      <c r="B507" s="3"/>
      <c r="C507" s="3"/>
      <c r="D507" s="91">
        <v>12</v>
      </c>
      <c r="E507" s="83" t="str">
        <f>RIGHT(PartcAliqIcms[[#This Row],[Código NCM]],8)</f>
        <v>03056910</v>
      </c>
      <c r="F507" s="92" t="s">
        <v>2604</v>
      </c>
      <c r="G507" s="86"/>
    </row>
    <row r="508" spans="1:7" x14ac:dyDescent="0.25">
      <c r="A508" s="81" t="s">
        <v>3500</v>
      </c>
      <c r="B508" s="3"/>
      <c r="C508" s="3"/>
      <c r="D508" s="91">
        <v>12</v>
      </c>
      <c r="E508" s="83" t="str">
        <f>RIGHT(PartcAliqIcms[[#This Row],[Código NCM]],8)</f>
        <v>03056990</v>
      </c>
      <c r="F508" s="92" t="s">
        <v>2604</v>
      </c>
      <c r="G508" s="86"/>
    </row>
    <row r="509" spans="1:7" x14ac:dyDescent="0.25">
      <c r="A509" s="81" t="s">
        <v>3501</v>
      </c>
      <c r="B509" s="3"/>
      <c r="C509" s="3"/>
      <c r="D509" s="91">
        <v>12</v>
      </c>
      <c r="E509" s="83" t="str">
        <f>RIGHT(PartcAliqIcms[[#This Row],[Código NCM]],8)</f>
        <v>03057100</v>
      </c>
      <c r="F509" s="92" t="s">
        <v>2604</v>
      </c>
      <c r="G509" s="86"/>
    </row>
    <row r="510" spans="1:7" x14ac:dyDescent="0.25">
      <c r="A510" s="81" t="s">
        <v>3502</v>
      </c>
      <c r="B510" s="3"/>
      <c r="C510" s="3"/>
      <c r="D510" s="91">
        <v>12</v>
      </c>
      <c r="E510" s="83" t="str">
        <f>RIGHT(PartcAliqIcms[[#This Row],[Código NCM]],8)</f>
        <v>03057200</v>
      </c>
      <c r="F510" s="92" t="s">
        <v>2604</v>
      </c>
      <c r="G510" s="86"/>
    </row>
    <row r="511" spans="1:7" x14ac:dyDescent="0.25">
      <c r="A511" s="81" t="s">
        <v>3503</v>
      </c>
      <c r="B511" s="3"/>
      <c r="C511" s="3"/>
      <c r="D511" s="91">
        <v>12</v>
      </c>
      <c r="E511" s="83" t="str">
        <f>RIGHT(PartcAliqIcms[[#This Row],[Código NCM]],8)</f>
        <v>03057900</v>
      </c>
      <c r="F511" s="92" t="s">
        <v>2604</v>
      </c>
      <c r="G511" s="86"/>
    </row>
    <row r="512" spans="1:7" x14ac:dyDescent="0.25">
      <c r="A512" s="81" t="s">
        <v>3504</v>
      </c>
      <c r="B512" s="3"/>
      <c r="C512" s="3"/>
      <c r="D512" s="91">
        <v>12</v>
      </c>
      <c r="E512" s="83" t="str">
        <f>RIGHT(PartcAliqIcms[[#This Row],[Código NCM]],8)</f>
        <v>03061110</v>
      </c>
      <c r="F512" s="92" t="s">
        <v>2604</v>
      </c>
      <c r="G512" s="86"/>
    </row>
    <row r="513" spans="1:7" x14ac:dyDescent="0.25">
      <c r="A513" s="81" t="s">
        <v>3505</v>
      </c>
      <c r="B513" s="3"/>
      <c r="C513" s="3"/>
      <c r="D513" s="91">
        <v>12</v>
      </c>
      <c r="E513" s="83" t="str">
        <f>RIGHT(PartcAliqIcms[[#This Row],[Código NCM]],8)</f>
        <v>03061190</v>
      </c>
      <c r="F513" s="92" t="s">
        <v>2604</v>
      </c>
      <c r="G513" s="86"/>
    </row>
    <row r="514" spans="1:7" x14ac:dyDescent="0.25">
      <c r="A514" s="81" t="s">
        <v>3506</v>
      </c>
      <c r="B514" s="3"/>
      <c r="C514" s="3"/>
      <c r="D514" s="91">
        <v>12</v>
      </c>
      <c r="E514" s="83" t="str">
        <f>RIGHT(PartcAliqIcms[[#This Row],[Código NCM]],8)</f>
        <v>03061200</v>
      </c>
      <c r="F514" s="92" t="s">
        <v>2604</v>
      </c>
      <c r="G514" s="86"/>
    </row>
    <row r="515" spans="1:7" x14ac:dyDescent="0.25">
      <c r="A515" s="81" t="s">
        <v>3507</v>
      </c>
      <c r="B515" s="3"/>
      <c r="C515" s="3"/>
      <c r="D515" s="91">
        <v>12</v>
      </c>
      <c r="E515" s="83" t="str">
        <f>RIGHT(PartcAliqIcms[[#This Row],[Código NCM]],8)</f>
        <v>03061400</v>
      </c>
      <c r="F515" s="92" t="s">
        <v>2604</v>
      </c>
      <c r="G515" s="86"/>
    </row>
    <row r="516" spans="1:7" x14ac:dyDescent="0.25">
      <c r="A516" s="81" t="s">
        <v>3508</v>
      </c>
      <c r="B516" s="3"/>
      <c r="C516" s="3"/>
      <c r="D516" s="91">
        <v>12</v>
      </c>
      <c r="E516" s="83" t="str">
        <f>RIGHT(PartcAliqIcms[[#This Row],[Código NCM]],8)</f>
        <v>03061500</v>
      </c>
      <c r="F516" s="92" t="s">
        <v>2604</v>
      </c>
      <c r="G516" s="86"/>
    </row>
    <row r="517" spans="1:7" x14ac:dyDescent="0.25">
      <c r="A517" s="81" t="s">
        <v>3512</v>
      </c>
      <c r="B517" s="3"/>
      <c r="C517" s="3"/>
      <c r="D517" s="91">
        <v>12</v>
      </c>
      <c r="E517" s="83" t="str">
        <f>RIGHT(PartcAliqIcms[[#This Row],[Código NCM]],8)</f>
        <v>03061910</v>
      </c>
      <c r="F517" s="92" t="s">
        <v>2604</v>
      </c>
      <c r="G517" s="86"/>
    </row>
    <row r="518" spans="1:7" x14ac:dyDescent="0.25">
      <c r="A518" s="81" t="s">
        <v>3513</v>
      </c>
      <c r="B518" s="3"/>
      <c r="C518" s="3"/>
      <c r="D518" s="91">
        <v>12</v>
      </c>
      <c r="E518" s="83" t="str">
        <f>RIGHT(PartcAliqIcms[[#This Row],[Código NCM]],8)</f>
        <v>03061990</v>
      </c>
      <c r="F518" s="92" t="s">
        <v>2604</v>
      </c>
      <c r="G518" s="86"/>
    </row>
    <row r="519" spans="1:7" x14ac:dyDescent="0.25">
      <c r="A519" s="81" t="s">
        <v>3514</v>
      </c>
      <c r="B519" s="3"/>
      <c r="C519" s="3"/>
      <c r="D519" s="91">
        <v>12</v>
      </c>
      <c r="E519" s="83" t="str">
        <f>RIGHT(PartcAliqIcms[[#This Row],[Código NCM]],8)</f>
        <v>03063100</v>
      </c>
      <c r="F519" s="92" t="s">
        <v>2604</v>
      </c>
      <c r="G519" s="86"/>
    </row>
    <row r="520" spans="1:7" x14ac:dyDescent="0.25">
      <c r="A520" s="81" t="s">
        <v>3515</v>
      </c>
      <c r="B520" s="3"/>
      <c r="C520" s="3"/>
      <c r="D520" s="91">
        <v>12</v>
      </c>
      <c r="E520" s="83" t="str">
        <f>RIGHT(PartcAliqIcms[[#This Row],[Código NCM]],8)</f>
        <v>03063200</v>
      </c>
      <c r="F520" s="92" t="s">
        <v>2604</v>
      </c>
      <c r="G520" s="86"/>
    </row>
    <row r="521" spans="1:7" x14ac:dyDescent="0.25">
      <c r="A521" s="81" t="s">
        <v>3516</v>
      </c>
      <c r="B521" s="3"/>
      <c r="C521" s="3"/>
      <c r="D521" s="91">
        <v>12</v>
      </c>
      <c r="E521" s="83" t="str">
        <f>RIGHT(PartcAliqIcms[[#This Row],[Código NCM]],8)</f>
        <v>03063300</v>
      </c>
      <c r="F521" s="92" t="s">
        <v>2604</v>
      </c>
      <c r="G521" s="86"/>
    </row>
    <row r="522" spans="1:7" x14ac:dyDescent="0.25">
      <c r="A522" s="81" t="s">
        <v>3517</v>
      </c>
      <c r="B522" s="3"/>
      <c r="C522" s="3"/>
      <c r="D522" s="91">
        <v>12</v>
      </c>
      <c r="E522" s="83" t="str">
        <f>RIGHT(PartcAliqIcms[[#This Row],[Código NCM]],8)</f>
        <v>03063400</v>
      </c>
      <c r="F522" s="92" t="s">
        <v>2604</v>
      </c>
      <c r="G522" s="86"/>
    </row>
    <row r="523" spans="1:7" x14ac:dyDescent="0.25">
      <c r="A523" s="81" t="s">
        <v>3518</v>
      </c>
      <c r="B523" s="3"/>
      <c r="C523" s="3"/>
      <c r="D523" s="91">
        <v>12</v>
      </c>
      <c r="E523" s="83" t="str">
        <f>RIGHT(PartcAliqIcms[[#This Row],[Código NCM]],8)</f>
        <v>03063500</v>
      </c>
      <c r="F523" s="92" t="s">
        <v>2604</v>
      </c>
      <c r="G523" s="86"/>
    </row>
    <row r="524" spans="1:7" x14ac:dyDescent="0.25">
      <c r="A524" s="81" t="s">
        <v>3519</v>
      </c>
      <c r="B524" s="3"/>
      <c r="C524" s="3"/>
      <c r="D524" s="91">
        <v>12</v>
      </c>
      <c r="E524" s="83" t="str">
        <f>RIGHT(PartcAliqIcms[[#This Row],[Código NCM]],8)</f>
        <v>03063600</v>
      </c>
      <c r="F524" s="92" t="s">
        <v>2604</v>
      </c>
      <c r="G524" s="86"/>
    </row>
    <row r="525" spans="1:7" x14ac:dyDescent="0.25">
      <c r="A525" s="81" t="s">
        <v>3520</v>
      </c>
      <c r="B525" s="3"/>
      <c r="C525" s="3"/>
      <c r="D525" s="91">
        <v>12</v>
      </c>
      <c r="E525" s="83" t="str">
        <f>RIGHT(PartcAliqIcms[[#This Row],[Código NCM]],8)</f>
        <v>03063910</v>
      </c>
      <c r="F525" s="92" t="s">
        <v>2604</v>
      </c>
      <c r="G525" s="86"/>
    </row>
    <row r="526" spans="1:7" x14ac:dyDescent="0.25">
      <c r="A526" s="81" t="s">
        <v>3521</v>
      </c>
      <c r="B526" s="3"/>
      <c r="C526" s="3"/>
      <c r="D526" s="91">
        <v>12</v>
      </c>
      <c r="E526" s="83" t="str">
        <f>RIGHT(PartcAliqIcms[[#This Row],[Código NCM]],8)</f>
        <v>03063990</v>
      </c>
      <c r="F526" s="92" t="s">
        <v>2604</v>
      </c>
      <c r="G526" s="86"/>
    </row>
    <row r="527" spans="1:7" x14ac:dyDescent="0.25">
      <c r="A527" s="81" t="s">
        <v>3522</v>
      </c>
      <c r="B527" s="3"/>
      <c r="C527" s="3"/>
      <c r="D527" s="91">
        <v>12</v>
      </c>
      <c r="E527" s="83" t="str">
        <f>RIGHT(PartcAliqIcms[[#This Row],[Código NCM]],8)</f>
        <v>03069100</v>
      </c>
      <c r="F527" s="92" t="s">
        <v>2604</v>
      </c>
      <c r="G527" s="86"/>
    </row>
    <row r="528" spans="1:7" x14ac:dyDescent="0.25">
      <c r="A528" s="81" t="s">
        <v>3523</v>
      </c>
      <c r="B528" s="3"/>
      <c r="C528" s="3"/>
      <c r="D528" s="91">
        <v>12</v>
      </c>
      <c r="E528" s="83" t="str">
        <f>RIGHT(PartcAliqIcms[[#This Row],[Código NCM]],8)</f>
        <v>03069200</v>
      </c>
      <c r="F528" s="92" t="s">
        <v>2604</v>
      </c>
      <c r="G528" s="86"/>
    </row>
    <row r="529" spans="1:7" x14ac:dyDescent="0.25">
      <c r="A529" s="81" t="s">
        <v>3524</v>
      </c>
      <c r="B529" s="3"/>
      <c r="C529" s="3"/>
      <c r="D529" s="91">
        <v>12</v>
      </c>
      <c r="E529" s="83" t="str">
        <f>RIGHT(PartcAliqIcms[[#This Row],[Código NCM]],8)</f>
        <v>03069300</v>
      </c>
      <c r="F529" s="92" t="s">
        <v>2604</v>
      </c>
      <c r="G529" s="86"/>
    </row>
    <row r="530" spans="1:7" x14ac:dyDescent="0.25">
      <c r="A530" s="81" t="s">
        <v>3525</v>
      </c>
      <c r="B530" s="3"/>
      <c r="C530" s="3"/>
      <c r="D530" s="91">
        <v>12</v>
      </c>
      <c r="E530" s="83" t="str">
        <f>RIGHT(PartcAliqIcms[[#This Row],[Código NCM]],8)</f>
        <v>03069400</v>
      </c>
      <c r="F530" s="92" t="s">
        <v>2604</v>
      </c>
      <c r="G530" s="86"/>
    </row>
    <row r="531" spans="1:7" x14ac:dyDescent="0.25">
      <c r="A531" s="81" t="s">
        <v>3526</v>
      </c>
      <c r="B531" s="3"/>
      <c r="C531" s="3"/>
      <c r="D531" s="91">
        <v>12</v>
      </c>
      <c r="E531" s="83" t="str">
        <f>RIGHT(PartcAliqIcms[[#This Row],[Código NCM]],8)</f>
        <v>03069500</v>
      </c>
      <c r="F531" s="92" t="s">
        <v>2604</v>
      </c>
      <c r="G531" s="86"/>
    </row>
    <row r="532" spans="1:7" x14ac:dyDescent="0.25">
      <c r="A532" s="81" t="s">
        <v>3527</v>
      </c>
      <c r="B532" s="3"/>
      <c r="C532" s="3"/>
      <c r="D532" s="91">
        <v>12</v>
      </c>
      <c r="E532" s="83" t="str">
        <f>RIGHT(PartcAliqIcms[[#This Row],[Código NCM]],8)</f>
        <v>03069910</v>
      </c>
      <c r="F532" s="92" t="s">
        <v>2604</v>
      </c>
      <c r="G532" s="86"/>
    </row>
    <row r="533" spans="1:7" x14ac:dyDescent="0.25">
      <c r="A533" s="81" t="s">
        <v>3528</v>
      </c>
      <c r="B533" s="3"/>
      <c r="C533" s="3"/>
      <c r="D533" s="91">
        <v>12</v>
      </c>
      <c r="E533" s="83" t="str">
        <f>RIGHT(PartcAliqIcms[[#This Row],[Código NCM]],8)</f>
        <v>03069990</v>
      </c>
      <c r="F533" s="92" t="s">
        <v>2604</v>
      </c>
      <c r="G533" s="86"/>
    </row>
    <row r="534" spans="1:7" x14ac:dyDescent="0.25">
      <c r="A534" s="81" t="s">
        <v>3529</v>
      </c>
      <c r="B534" s="3"/>
      <c r="C534" s="3"/>
      <c r="D534" s="91">
        <v>12</v>
      </c>
      <c r="E534" s="83" t="str">
        <f>RIGHT(PartcAliqIcms[[#This Row],[Código NCM]],8)</f>
        <v>03071100</v>
      </c>
      <c r="F534" s="92" t="s">
        <v>2604</v>
      </c>
      <c r="G534" s="86"/>
    </row>
    <row r="535" spans="1:7" x14ac:dyDescent="0.25">
      <c r="A535" s="81" t="s">
        <v>3530</v>
      </c>
      <c r="B535" s="3"/>
      <c r="C535" s="3"/>
      <c r="D535" s="91">
        <v>12</v>
      </c>
      <c r="E535" s="83" t="str">
        <f>RIGHT(PartcAliqIcms[[#This Row],[Código NCM]],8)</f>
        <v>03071200</v>
      </c>
      <c r="F535" s="92" t="s">
        <v>2604</v>
      </c>
      <c r="G535" s="86"/>
    </row>
    <row r="536" spans="1:7" x14ac:dyDescent="0.25">
      <c r="A536" s="81" t="s">
        <v>3531</v>
      </c>
      <c r="B536" s="3"/>
      <c r="C536" s="3"/>
      <c r="D536" s="91">
        <v>12</v>
      </c>
      <c r="E536" s="83" t="str">
        <f>RIGHT(PartcAliqIcms[[#This Row],[Código NCM]],8)</f>
        <v>03071900</v>
      </c>
      <c r="F536" s="92" t="s">
        <v>2604</v>
      </c>
      <c r="G536" s="86"/>
    </row>
    <row r="537" spans="1:7" x14ac:dyDescent="0.25">
      <c r="A537" s="81" t="s">
        <v>3532</v>
      </c>
      <c r="B537" s="3"/>
      <c r="C537" s="3"/>
      <c r="D537" s="91">
        <v>12</v>
      </c>
      <c r="E537" s="83" t="str">
        <f>RIGHT(PartcAliqIcms[[#This Row],[Código NCM]],8)</f>
        <v>03072100</v>
      </c>
      <c r="F537" s="92" t="s">
        <v>2604</v>
      </c>
      <c r="G537" s="86"/>
    </row>
    <row r="538" spans="1:7" x14ac:dyDescent="0.25">
      <c r="A538" s="81" t="s">
        <v>3533</v>
      </c>
      <c r="B538" s="3"/>
      <c r="C538" s="3"/>
      <c r="D538" s="91">
        <v>12</v>
      </c>
      <c r="E538" s="83" t="str">
        <f>RIGHT(PartcAliqIcms[[#This Row],[Código NCM]],8)</f>
        <v>03072200</v>
      </c>
      <c r="F538" s="92" t="s">
        <v>2604</v>
      </c>
      <c r="G538" s="86"/>
    </row>
    <row r="539" spans="1:7" x14ac:dyDescent="0.25">
      <c r="A539" s="81" t="s">
        <v>3534</v>
      </c>
      <c r="B539" s="3"/>
      <c r="C539" s="3"/>
      <c r="D539" s="91">
        <v>12</v>
      </c>
      <c r="E539" s="83" t="str">
        <f>RIGHT(PartcAliqIcms[[#This Row],[Código NCM]],8)</f>
        <v>03072900</v>
      </c>
      <c r="F539" s="92" t="s">
        <v>2604</v>
      </c>
      <c r="G539" s="86"/>
    </row>
    <row r="540" spans="1:7" x14ac:dyDescent="0.25">
      <c r="A540" s="81" t="s">
        <v>3535</v>
      </c>
      <c r="B540" s="3"/>
      <c r="C540" s="3"/>
      <c r="D540" s="91">
        <v>12</v>
      </c>
      <c r="E540" s="83" t="str">
        <f>RIGHT(PartcAliqIcms[[#This Row],[Código NCM]],8)</f>
        <v>03073100</v>
      </c>
      <c r="F540" s="92" t="s">
        <v>2604</v>
      </c>
      <c r="G540" s="86"/>
    </row>
    <row r="541" spans="1:7" x14ac:dyDescent="0.25">
      <c r="A541" s="81" t="s">
        <v>3536</v>
      </c>
      <c r="B541" s="3"/>
      <c r="C541" s="3"/>
      <c r="D541" s="91">
        <v>12</v>
      </c>
      <c r="E541" s="83" t="str">
        <f>RIGHT(PartcAliqIcms[[#This Row],[Código NCM]],8)</f>
        <v>03073200</v>
      </c>
      <c r="F541" s="92" t="s">
        <v>2604</v>
      </c>
      <c r="G541" s="86"/>
    </row>
    <row r="542" spans="1:7" x14ac:dyDescent="0.25">
      <c r="A542" s="81" t="s">
        <v>3537</v>
      </c>
      <c r="B542" s="3"/>
      <c r="C542" s="3"/>
      <c r="D542" s="91">
        <v>12</v>
      </c>
      <c r="E542" s="83" t="str">
        <f>RIGHT(PartcAliqIcms[[#This Row],[Código NCM]],8)</f>
        <v>03073900</v>
      </c>
      <c r="F542" s="92" t="s">
        <v>2604</v>
      </c>
      <c r="G542" s="86"/>
    </row>
    <row r="543" spans="1:7" x14ac:dyDescent="0.25">
      <c r="A543" s="81" t="s">
        <v>3538</v>
      </c>
      <c r="B543" s="3"/>
      <c r="C543" s="3"/>
      <c r="D543" s="91">
        <v>12</v>
      </c>
      <c r="E543" s="83" t="str">
        <f>RIGHT(PartcAliqIcms[[#This Row],[Código NCM]],8)</f>
        <v>03074200</v>
      </c>
      <c r="F543" s="92" t="s">
        <v>2604</v>
      </c>
      <c r="G543" s="86"/>
    </row>
    <row r="544" spans="1:7" x14ac:dyDescent="0.25">
      <c r="A544" s="81" t="s">
        <v>3539</v>
      </c>
      <c r="B544" s="3"/>
      <c r="C544" s="3"/>
      <c r="D544" s="91">
        <v>12</v>
      </c>
      <c r="E544" s="83" t="str">
        <f>RIGHT(PartcAliqIcms[[#This Row],[Código NCM]],8)</f>
        <v>03074310</v>
      </c>
      <c r="F544" s="92" t="s">
        <v>2604</v>
      </c>
      <c r="G544" s="86"/>
    </row>
    <row r="545" spans="1:7" x14ac:dyDescent="0.25">
      <c r="A545" s="81" t="s">
        <v>3540</v>
      </c>
      <c r="B545" s="3"/>
      <c r="C545" s="3"/>
      <c r="D545" s="91">
        <v>12</v>
      </c>
      <c r="E545" s="83" t="str">
        <f>RIGHT(PartcAliqIcms[[#This Row],[Código NCM]],8)</f>
        <v>03074320</v>
      </c>
      <c r="F545" s="92" t="s">
        <v>2604</v>
      </c>
      <c r="G545" s="86"/>
    </row>
    <row r="546" spans="1:7" x14ac:dyDescent="0.25">
      <c r="A546" s="81" t="s">
        <v>3541</v>
      </c>
      <c r="B546" s="3"/>
      <c r="C546" s="3"/>
      <c r="D546" s="91">
        <v>12</v>
      </c>
      <c r="E546" s="83" t="str">
        <f>RIGHT(PartcAliqIcms[[#This Row],[Código NCM]],8)</f>
        <v>03075100</v>
      </c>
      <c r="F546" s="92" t="s">
        <v>2604</v>
      </c>
      <c r="G546" s="86"/>
    </row>
    <row r="547" spans="1:7" x14ac:dyDescent="0.25">
      <c r="A547" s="81" t="s">
        <v>3542</v>
      </c>
      <c r="B547" s="3"/>
      <c r="C547" s="3"/>
      <c r="D547" s="91">
        <v>12</v>
      </c>
      <c r="E547" s="83" t="str">
        <f>RIGHT(PartcAliqIcms[[#This Row],[Código NCM]],8)</f>
        <v>03075200</v>
      </c>
      <c r="F547" s="92" t="s">
        <v>2604</v>
      </c>
      <c r="G547" s="86"/>
    </row>
    <row r="548" spans="1:7" x14ac:dyDescent="0.25">
      <c r="A548" s="81" t="s">
        <v>3543</v>
      </c>
      <c r="B548" s="3"/>
      <c r="C548" s="3"/>
      <c r="D548" s="91">
        <v>12</v>
      </c>
      <c r="E548" s="83" t="str">
        <f>RIGHT(PartcAliqIcms[[#This Row],[Código NCM]],8)</f>
        <v>03075900</v>
      </c>
      <c r="F548" s="92" t="s">
        <v>2604</v>
      </c>
      <c r="G548" s="86"/>
    </row>
    <row r="549" spans="1:7" x14ac:dyDescent="0.25">
      <c r="A549" s="81" t="s">
        <v>3544</v>
      </c>
      <c r="B549" s="3"/>
      <c r="C549" s="3"/>
      <c r="D549" s="91">
        <v>12</v>
      </c>
      <c r="E549" s="83" t="str">
        <f>RIGHT(PartcAliqIcms[[#This Row],[Código NCM]],8)</f>
        <v>03076000</v>
      </c>
      <c r="F549" s="92" t="s">
        <v>2604</v>
      </c>
      <c r="G549" s="86"/>
    </row>
    <row r="550" spans="1:7" x14ac:dyDescent="0.25">
      <c r="A550" s="81" t="s">
        <v>3545</v>
      </c>
      <c r="B550" s="3"/>
      <c r="C550" s="3"/>
      <c r="D550" s="91">
        <v>12</v>
      </c>
      <c r="E550" s="83" t="str">
        <f>RIGHT(PartcAliqIcms[[#This Row],[Código NCM]],8)</f>
        <v>03077100</v>
      </c>
      <c r="F550" s="92" t="s">
        <v>2604</v>
      </c>
      <c r="G550" s="86"/>
    </row>
    <row r="551" spans="1:7" x14ac:dyDescent="0.25">
      <c r="A551" s="81" t="s">
        <v>3546</v>
      </c>
      <c r="B551" s="3"/>
      <c r="C551" s="3"/>
      <c r="D551" s="91">
        <v>12</v>
      </c>
      <c r="E551" s="83" t="str">
        <f>RIGHT(PartcAliqIcms[[#This Row],[Código NCM]],8)</f>
        <v>03077200</v>
      </c>
      <c r="F551" s="92" t="s">
        <v>2604</v>
      </c>
      <c r="G551" s="86"/>
    </row>
    <row r="552" spans="1:7" x14ac:dyDescent="0.25">
      <c r="A552" s="81" t="s">
        <v>3547</v>
      </c>
      <c r="B552" s="3"/>
      <c r="C552" s="3"/>
      <c r="D552" s="91">
        <v>12</v>
      </c>
      <c r="E552" s="83" t="str">
        <f>RIGHT(PartcAliqIcms[[#This Row],[Código NCM]],8)</f>
        <v>03077900</v>
      </c>
      <c r="F552" s="92" t="s">
        <v>2604</v>
      </c>
      <c r="G552" s="86"/>
    </row>
    <row r="553" spans="1:7" x14ac:dyDescent="0.25">
      <c r="A553" s="81" t="s">
        <v>3548</v>
      </c>
      <c r="B553" s="3"/>
      <c r="C553" s="3"/>
      <c r="D553" s="91">
        <v>12</v>
      </c>
      <c r="E553" s="83" t="str">
        <f>RIGHT(PartcAliqIcms[[#This Row],[Código NCM]],8)</f>
        <v>03078100</v>
      </c>
      <c r="F553" s="92" t="s">
        <v>2604</v>
      </c>
      <c r="G553" s="86"/>
    </row>
    <row r="554" spans="1:7" x14ac:dyDescent="0.25">
      <c r="A554" s="81" t="s">
        <v>3549</v>
      </c>
      <c r="B554" s="3"/>
      <c r="C554" s="3"/>
      <c r="D554" s="91">
        <v>12</v>
      </c>
      <c r="E554" s="83" t="str">
        <f>RIGHT(PartcAliqIcms[[#This Row],[Código NCM]],8)</f>
        <v>03078200</v>
      </c>
      <c r="F554" s="92" t="s">
        <v>2604</v>
      </c>
      <c r="G554" s="86"/>
    </row>
    <row r="555" spans="1:7" x14ac:dyDescent="0.25">
      <c r="A555" s="81" t="s">
        <v>3550</v>
      </c>
      <c r="B555" s="3"/>
      <c r="C555" s="3"/>
      <c r="D555" s="91">
        <v>12</v>
      </c>
      <c r="E555" s="83" t="str">
        <f>RIGHT(PartcAliqIcms[[#This Row],[Código NCM]],8)</f>
        <v>03078300</v>
      </c>
      <c r="F555" s="92" t="s">
        <v>2604</v>
      </c>
      <c r="G555" s="86"/>
    </row>
    <row r="556" spans="1:7" x14ac:dyDescent="0.25">
      <c r="A556" s="81" t="s">
        <v>3551</v>
      </c>
      <c r="B556" s="3"/>
      <c r="C556" s="3"/>
      <c r="D556" s="91">
        <v>12</v>
      </c>
      <c r="E556" s="83" t="str">
        <f>RIGHT(PartcAliqIcms[[#This Row],[Código NCM]],8)</f>
        <v>03078400</v>
      </c>
      <c r="F556" s="92" t="s">
        <v>2604</v>
      </c>
      <c r="G556" s="86"/>
    </row>
    <row r="557" spans="1:7" x14ac:dyDescent="0.25">
      <c r="A557" s="81" t="s">
        <v>3552</v>
      </c>
      <c r="B557" s="3"/>
      <c r="C557" s="3"/>
      <c r="D557" s="91">
        <v>12</v>
      </c>
      <c r="E557" s="83" t="str">
        <f>RIGHT(PartcAliqIcms[[#This Row],[Código NCM]],8)</f>
        <v>03078700</v>
      </c>
      <c r="F557" s="92" t="s">
        <v>2604</v>
      </c>
      <c r="G557" s="86"/>
    </row>
    <row r="558" spans="1:7" x14ac:dyDescent="0.25">
      <c r="A558" s="81" t="s">
        <v>3553</v>
      </c>
      <c r="B558" s="3"/>
      <c r="C558" s="3"/>
      <c r="D558" s="91">
        <v>12</v>
      </c>
      <c r="E558" s="83" t="str">
        <f>RIGHT(PartcAliqIcms[[#This Row],[Código NCM]],8)</f>
        <v>03078800</v>
      </c>
      <c r="F558" s="92" t="s">
        <v>2604</v>
      </c>
      <c r="G558" s="86"/>
    </row>
    <row r="559" spans="1:7" x14ac:dyDescent="0.25">
      <c r="A559" s="81" t="s">
        <v>3554</v>
      </c>
      <c r="B559" s="3"/>
      <c r="C559" s="3"/>
      <c r="D559" s="91">
        <v>12</v>
      </c>
      <c r="E559" s="83" t="str">
        <f>RIGHT(PartcAliqIcms[[#This Row],[Código NCM]],8)</f>
        <v>03079100</v>
      </c>
      <c r="F559" s="92" t="s">
        <v>2604</v>
      </c>
      <c r="G559" s="86"/>
    </row>
    <row r="560" spans="1:7" x14ac:dyDescent="0.25">
      <c r="A560" s="81" t="s">
        <v>3555</v>
      </c>
      <c r="B560" s="3"/>
      <c r="C560" s="3"/>
      <c r="D560" s="91">
        <v>12</v>
      </c>
      <c r="E560" s="83" t="str">
        <f>RIGHT(PartcAliqIcms[[#This Row],[Código NCM]],8)</f>
        <v>03079200</v>
      </c>
      <c r="F560" s="92" t="s">
        <v>2604</v>
      </c>
      <c r="G560" s="86"/>
    </row>
    <row r="561" spans="1:7" x14ac:dyDescent="0.25">
      <c r="A561" s="81" t="s">
        <v>3556</v>
      </c>
      <c r="B561" s="3"/>
      <c r="C561" s="3"/>
      <c r="D561" s="91">
        <v>12</v>
      </c>
      <c r="E561" s="83" t="str">
        <f>RIGHT(PartcAliqIcms[[#This Row],[Código NCM]],8)</f>
        <v>03079900</v>
      </c>
      <c r="F561" s="92" t="s">
        <v>2604</v>
      </c>
      <c r="G561" s="86"/>
    </row>
    <row r="562" spans="1:7" x14ac:dyDescent="0.25">
      <c r="A562" s="81" t="s">
        <v>3557</v>
      </c>
      <c r="B562" s="3"/>
      <c r="C562" s="3"/>
      <c r="D562" s="91">
        <v>12</v>
      </c>
      <c r="E562" s="83" t="str">
        <f>RIGHT(PartcAliqIcms[[#This Row],[Código NCM]],8)</f>
        <v>03081100</v>
      </c>
      <c r="F562" s="92" t="s">
        <v>2604</v>
      </c>
      <c r="G562" s="86"/>
    </row>
    <row r="563" spans="1:7" x14ac:dyDescent="0.25">
      <c r="A563" s="81" t="s">
        <v>3558</v>
      </c>
      <c r="B563" s="3"/>
      <c r="C563" s="3"/>
      <c r="D563" s="91">
        <v>12</v>
      </c>
      <c r="E563" s="83" t="str">
        <f>RIGHT(PartcAliqIcms[[#This Row],[Código NCM]],8)</f>
        <v>03081200</v>
      </c>
      <c r="F563" s="92" t="s">
        <v>2604</v>
      </c>
      <c r="G563" s="86"/>
    </row>
    <row r="564" spans="1:7" x14ac:dyDescent="0.25">
      <c r="A564" s="81" t="s">
        <v>3559</v>
      </c>
      <c r="B564" s="3"/>
      <c r="C564" s="3"/>
      <c r="D564" s="91">
        <v>12</v>
      </c>
      <c r="E564" s="83" t="str">
        <f>RIGHT(PartcAliqIcms[[#This Row],[Código NCM]],8)</f>
        <v>03081900</v>
      </c>
      <c r="F564" s="92" t="s">
        <v>2604</v>
      </c>
      <c r="G564" s="86"/>
    </row>
    <row r="565" spans="1:7" x14ac:dyDescent="0.25">
      <c r="A565" s="81" t="s">
        <v>3560</v>
      </c>
      <c r="B565" s="3"/>
      <c r="C565" s="3"/>
      <c r="D565" s="91">
        <v>12</v>
      </c>
      <c r="E565" s="83" t="str">
        <f>RIGHT(PartcAliqIcms[[#This Row],[Código NCM]],8)</f>
        <v>03082100</v>
      </c>
      <c r="F565" s="92" t="s">
        <v>2604</v>
      </c>
      <c r="G565" s="86"/>
    </row>
    <row r="566" spans="1:7" x14ac:dyDescent="0.25">
      <c r="A566" s="81" t="s">
        <v>3561</v>
      </c>
      <c r="B566" s="3"/>
      <c r="C566" s="3"/>
      <c r="D566" s="91">
        <v>12</v>
      </c>
      <c r="E566" s="83" t="str">
        <f>RIGHT(PartcAliqIcms[[#This Row],[Código NCM]],8)</f>
        <v>03082200</v>
      </c>
      <c r="F566" s="92" t="s">
        <v>2604</v>
      </c>
      <c r="G566" s="86"/>
    </row>
    <row r="567" spans="1:7" x14ac:dyDescent="0.25">
      <c r="A567" s="81" t="s">
        <v>3562</v>
      </c>
      <c r="B567" s="3"/>
      <c r="C567" s="3"/>
      <c r="D567" s="91">
        <v>12</v>
      </c>
      <c r="E567" s="83" t="str">
        <f>RIGHT(PartcAliqIcms[[#This Row],[Código NCM]],8)</f>
        <v>03082900</v>
      </c>
      <c r="F567" s="92" t="s">
        <v>2604</v>
      </c>
      <c r="G567" s="86"/>
    </row>
    <row r="568" spans="1:7" x14ac:dyDescent="0.25">
      <c r="A568" s="81" t="s">
        <v>3563</v>
      </c>
      <c r="B568" s="3"/>
      <c r="C568" s="3"/>
      <c r="D568" s="91">
        <v>12</v>
      </c>
      <c r="E568" s="83" t="str">
        <f>RIGHT(PartcAliqIcms[[#This Row],[Código NCM]],8)</f>
        <v>03083000</v>
      </c>
      <c r="F568" s="92" t="s">
        <v>2604</v>
      </c>
      <c r="G568" s="86"/>
    </row>
    <row r="569" spans="1:7" x14ac:dyDescent="0.25">
      <c r="A569" s="81" t="s">
        <v>3564</v>
      </c>
      <c r="B569" s="3"/>
      <c r="C569" s="3"/>
      <c r="D569" s="91">
        <v>12</v>
      </c>
      <c r="E569" s="83" t="str">
        <f>RIGHT(PartcAliqIcms[[#This Row],[Código NCM]],8)</f>
        <v>03089000</v>
      </c>
      <c r="F569" s="92" t="s">
        <v>2604</v>
      </c>
      <c r="G569" s="86"/>
    </row>
    <row r="570" spans="1:7" x14ac:dyDescent="0.25">
      <c r="A570" s="81" t="s">
        <v>2729</v>
      </c>
      <c r="B570" s="3"/>
      <c r="C570" s="3"/>
      <c r="D570" s="91">
        <v>12</v>
      </c>
      <c r="E570" s="83" t="str">
        <f>RIGHT(PartcAliqIcms[[#This Row],[Código NCM]],8)</f>
        <v>11041900</v>
      </c>
      <c r="F570" s="92" t="s">
        <v>3448</v>
      </c>
      <c r="G570" s="86"/>
    </row>
    <row r="571" spans="1:7" x14ac:dyDescent="0.25">
      <c r="A571" s="81" t="s">
        <v>3080</v>
      </c>
      <c r="B571" s="3"/>
      <c r="C571" s="3"/>
      <c r="D571" s="91">
        <v>12</v>
      </c>
      <c r="E571" s="83" t="str">
        <f>RIGHT(PartcAliqIcms[[#This Row],[Código NCM]],8)</f>
        <v>02031100</v>
      </c>
      <c r="F571" s="92" t="s">
        <v>4484</v>
      </c>
      <c r="G571" s="86"/>
    </row>
    <row r="572" spans="1:7" x14ac:dyDescent="0.25">
      <c r="A572" s="81" t="s">
        <v>352</v>
      </c>
      <c r="B572" s="3"/>
      <c r="C572" s="3"/>
      <c r="D572" s="91">
        <v>12</v>
      </c>
      <c r="E572" s="83" t="str">
        <f>RIGHT(PartcAliqIcms[[#This Row],[Código NCM]],8)</f>
        <v>02031200</v>
      </c>
      <c r="F572" s="92" t="s">
        <v>4484</v>
      </c>
      <c r="G572" s="86"/>
    </row>
    <row r="573" spans="1:7" x14ac:dyDescent="0.25">
      <c r="A573" s="81" t="s">
        <v>164</v>
      </c>
      <c r="B573" s="3"/>
      <c r="C573" s="3"/>
      <c r="D573" s="91">
        <v>12</v>
      </c>
      <c r="E573" s="83" t="str">
        <f>RIGHT(PartcAliqIcms[[#This Row],[Código NCM]],8)</f>
        <v>02031900</v>
      </c>
      <c r="F573" s="92" t="s">
        <v>4484</v>
      </c>
      <c r="G573" s="86"/>
    </row>
    <row r="574" spans="1:7" x14ac:dyDescent="0.25">
      <c r="A574" s="81" t="s">
        <v>3081</v>
      </c>
      <c r="B574" s="3"/>
      <c r="C574" s="3"/>
      <c r="D574" s="91">
        <v>12</v>
      </c>
      <c r="E574" s="83" t="str">
        <f>RIGHT(PartcAliqIcms[[#This Row],[Código NCM]],8)</f>
        <v>02032100</v>
      </c>
      <c r="F574" s="92" t="s">
        <v>4484</v>
      </c>
      <c r="G574" s="86"/>
    </row>
    <row r="575" spans="1:7" x14ac:dyDescent="0.25">
      <c r="A575" s="81" t="s">
        <v>3082</v>
      </c>
      <c r="B575" s="3"/>
      <c r="C575" s="3"/>
      <c r="D575" s="91">
        <v>12</v>
      </c>
      <c r="E575" s="83" t="str">
        <f>RIGHT(PartcAliqIcms[[#This Row],[Código NCM]],8)</f>
        <v>02032200</v>
      </c>
      <c r="F575" s="92" t="s">
        <v>4484</v>
      </c>
      <c r="G575" s="86"/>
    </row>
    <row r="576" spans="1:7" x14ac:dyDescent="0.25">
      <c r="A576" s="81" t="s">
        <v>3083</v>
      </c>
      <c r="B576" s="3"/>
      <c r="C576" s="3"/>
      <c r="D576" s="91">
        <v>12</v>
      </c>
      <c r="E576" s="83" t="str">
        <f>RIGHT(PartcAliqIcms[[#This Row],[Código NCM]],8)</f>
        <v>02032900</v>
      </c>
      <c r="F576" s="92" t="s">
        <v>4484</v>
      </c>
      <c r="G576" s="86"/>
    </row>
    <row r="577" spans="1:7" x14ac:dyDescent="0.25">
      <c r="A577" s="81" t="s">
        <v>3084</v>
      </c>
      <c r="B577" s="3"/>
      <c r="C577" s="3"/>
      <c r="D577" s="91">
        <v>12</v>
      </c>
      <c r="E577" s="83" t="str">
        <f>RIGHT(PartcAliqIcms[[#This Row],[Código NCM]],8)</f>
        <v>02063000</v>
      </c>
      <c r="F577" s="92" t="s">
        <v>4484</v>
      </c>
      <c r="G577" s="86"/>
    </row>
    <row r="578" spans="1:7" x14ac:dyDescent="0.25">
      <c r="A578" s="81" t="s">
        <v>3357</v>
      </c>
      <c r="B578" s="3"/>
      <c r="C578" s="3"/>
      <c r="D578" s="91">
        <v>12</v>
      </c>
      <c r="E578" s="83" t="str">
        <f>RIGHT(PartcAliqIcms[[#This Row],[Código NCM]],8)</f>
        <v>15131900</v>
      </c>
      <c r="F578" s="92" t="s">
        <v>4483</v>
      </c>
      <c r="G578" s="86" t="s">
        <v>4483</v>
      </c>
    </row>
    <row r="579" spans="1:7" x14ac:dyDescent="0.25">
      <c r="A579" s="81" t="s">
        <v>3919</v>
      </c>
      <c r="B579" s="3"/>
      <c r="C579" s="3"/>
      <c r="D579" s="91">
        <v>12</v>
      </c>
      <c r="E579" s="83" t="str">
        <f>RIGHT(PartcAliqIcms[[#This Row],[Código NCM]],8)</f>
        <v>15155000</v>
      </c>
      <c r="F579" s="92" t="s">
        <v>4483</v>
      </c>
      <c r="G579" s="86" t="s">
        <v>4483</v>
      </c>
    </row>
    <row r="580" spans="1:7" x14ac:dyDescent="0.25">
      <c r="A580" s="81" t="s">
        <v>3356</v>
      </c>
      <c r="B580" s="3"/>
      <c r="C580" s="3"/>
      <c r="D580" s="91">
        <v>12</v>
      </c>
      <c r="E580" s="83" t="str">
        <f>RIGHT(PartcAliqIcms[[#This Row],[Código NCM]],8)</f>
        <v>15119000</v>
      </c>
      <c r="F580" s="92" t="s">
        <v>4483</v>
      </c>
      <c r="G580" s="86" t="s">
        <v>4483</v>
      </c>
    </row>
    <row r="581" spans="1:7" x14ac:dyDescent="0.25">
      <c r="A581" s="93" t="s">
        <v>2730</v>
      </c>
      <c r="B581" s="49"/>
      <c r="C581" s="49"/>
      <c r="D581" s="94">
        <v>12</v>
      </c>
      <c r="E581" s="95" t="str">
        <f>RIGHT(PartcAliqIcms[[#This Row],[Código NCM]],8)</f>
        <v>02101900</v>
      </c>
      <c r="F581" s="96" t="s">
        <v>4484</v>
      </c>
      <c r="G581" s="97"/>
    </row>
    <row r="582" spans="1:7" x14ac:dyDescent="0.25">
      <c r="A582" s="93" t="s">
        <v>4636</v>
      </c>
      <c r="B582" s="49"/>
      <c r="C582" s="49"/>
      <c r="D582" s="94">
        <v>12</v>
      </c>
      <c r="E582" s="95" t="str">
        <f>RIGHT(PartcAliqIcms[[#This Row],[Código NCM]],8)</f>
        <v>02044200</v>
      </c>
      <c r="F582" s="96" t="s">
        <v>4626</v>
      </c>
      <c r="G582" s="97"/>
    </row>
    <row r="583" spans="1:7" x14ac:dyDescent="0.25">
      <c r="A583" s="93" t="s">
        <v>3086</v>
      </c>
      <c r="B583" s="49"/>
      <c r="C583" s="49"/>
      <c r="D583" s="94">
        <v>12</v>
      </c>
      <c r="E583" s="95" t="str">
        <f>RIGHT(PartcAliqIcms[[#This Row],[Código NCM]],8)</f>
        <v>02064900</v>
      </c>
      <c r="F583" s="96" t="s">
        <v>4625</v>
      </c>
      <c r="G583" s="97"/>
    </row>
    <row r="584" spans="1:7" x14ac:dyDescent="0.25">
      <c r="A584" s="93" t="s">
        <v>3103</v>
      </c>
      <c r="B584" s="49"/>
      <c r="C584" s="49"/>
      <c r="D584" s="94">
        <v>12</v>
      </c>
      <c r="E584" s="95" t="str">
        <f>RIGHT(PartcAliqIcms[[#This Row],[Código NCM]],8)</f>
        <v>02091011</v>
      </c>
      <c r="F584" s="96" t="s">
        <v>4625</v>
      </c>
      <c r="G584" s="97"/>
    </row>
    <row r="585" spans="1:7" ht="45" x14ac:dyDescent="0.25">
      <c r="A585" s="93" t="str">
        <f>"NCM"&amp;PartcAliqIcms[[#This Row],[NCM]]</f>
        <v>NCM18040000</v>
      </c>
      <c r="B585" s="82">
        <v>0.17</v>
      </c>
      <c r="C585" s="82">
        <v>0.02</v>
      </c>
      <c r="D585" s="84">
        <v>19</v>
      </c>
      <c r="E585" s="49">
        <v>18040000</v>
      </c>
      <c r="F585" s="85" t="s">
        <v>2508</v>
      </c>
      <c r="G585" s="97"/>
    </row>
    <row r="586" spans="1:7" ht="60" x14ac:dyDescent="0.25">
      <c r="A586" s="93" t="str">
        <f>"NCM"&amp;PartcAliqIcms[[#This Row],[NCM]]</f>
        <v>NCM30049099</v>
      </c>
      <c r="B586" s="49"/>
      <c r="C586" s="49"/>
      <c r="D586" s="94"/>
      <c r="E586" s="49">
        <v>30049099</v>
      </c>
      <c r="F586" s="85" t="s">
        <v>2521</v>
      </c>
      <c r="G586" s="97"/>
    </row>
    <row r="587" spans="1:7" x14ac:dyDescent="0.25">
      <c r="A587" s="81" t="s">
        <v>4725</v>
      </c>
      <c r="B587" s="3"/>
      <c r="C587" s="3"/>
      <c r="D587" s="94">
        <v>12</v>
      </c>
      <c r="E587" s="95" t="str">
        <f>RIGHT(PartcAliqIcms[[#This Row],[Código NCM]],8)</f>
        <v>02090011</v>
      </c>
      <c r="F587" s="96" t="s">
        <v>4625</v>
      </c>
      <c r="G587" s="86"/>
    </row>
    <row r="588" spans="1:7" x14ac:dyDescent="0.25">
      <c r="A588" s="93" t="s">
        <v>4726</v>
      </c>
      <c r="B588" s="49"/>
      <c r="C588" s="49"/>
      <c r="D588" s="94">
        <v>12</v>
      </c>
      <c r="E588" s="95" t="str">
        <f>RIGHT(PartcAliqIcms[[#This Row],[Código NCM]],8)</f>
        <v>M3042090</v>
      </c>
      <c r="F588" s="96" t="s">
        <v>4625</v>
      </c>
      <c r="G588" s="97"/>
    </row>
    <row r="589" spans="1:7" x14ac:dyDescent="0.25">
      <c r="A589" s="93" t="s">
        <v>4727</v>
      </c>
      <c r="B589" s="49"/>
      <c r="C589" s="49"/>
      <c r="D589" s="91">
        <v>12</v>
      </c>
      <c r="E589" s="49" t="str">
        <f>RIGHT(PartcAliqIcms[[#This Row],[Código NCM]],8)</f>
        <v>03042090</v>
      </c>
      <c r="F589" s="92" t="s">
        <v>2604</v>
      </c>
      <c r="G589" s="97"/>
    </row>
    <row r="590" spans="1:7" x14ac:dyDescent="0.25">
      <c r="A590" s="93" t="s">
        <v>4728</v>
      </c>
      <c r="B590" s="49"/>
      <c r="C590" s="49"/>
      <c r="D590" s="94">
        <v>12</v>
      </c>
      <c r="E590" s="49" t="str">
        <f>RIGHT(PartcAliqIcms[[#This Row],[Código NCM]],8)</f>
        <v>05040090</v>
      </c>
      <c r="F590" s="96" t="s">
        <v>4625</v>
      </c>
      <c r="G590" s="97"/>
    </row>
    <row r="591" spans="1:7" x14ac:dyDescent="0.25">
      <c r="A591" s="93" t="s">
        <v>263</v>
      </c>
      <c r="B591" s="49"/>
      <c r="C591" s="49"/>
      <c r="D591" s="94">
        <v>12</v>
      </c>
      <c r="E591" s="49" t="str">
        <f>RIGHT(PartcAliqIcms[[#This Row],[Código NCM]],8)</f>
        <v>21011110</v>
      </c>
      <c r="F591" s="92" t="s">
        <v>2428</v>
      </c>
      <c r="G591" s="97"/>
    </row>
    <row r="592" spans="1:7" ht="60" x14ac:dyDescent="0.25">
      <c r="A592" s="93" t="s">
        <v>346</v>
      </c>
      <c r="B592" s="49"/>
      <c r="C592" s="49"/>
      <c r="D592" s="94">
        <v>19</v>
      </c>
      <c r="E592" s="49" t="str">
        <f>RIGHT(PartcAliqIcms[[#This Row],[Código NCM]],8)</f>
        <v>33021000</v>
      </c>
      <c r="F592" s="85" t="s">
        <v>2521</v>
      </c>
      <c r="G592" s="97"/>
    </row>
    <row r="593" spans="1:7" x14ac:dyDescent="0.25">
      <c r="A593" s="93" t="s">
        <v>4736</v>
      </c>
      <c r="B593" s="49"/>
      <c r="C593" s="49"/>
      <c r="D593" s="94">
        <v>12</v>
      </c>
      <c r="E593" s="83" t="str">
        <f>RIGHT(PartcAliqIcms[[#This Row],[Código NCM]],8)</f>
        <v>15122910</v>
      </c>
      <c r="F593" s="92" t="s">
        <v>4483</v>
      </c>
      <c r="G593" s="86" t="s">
        <v>4483</v>
      </c>
    </row>
    <row r="594" spans="1:7" x14ac:dyDescent="0.25">
      <c r="A594" s="93" t="s">
        <v>3110</v>
      </c>
      <c r="B594" s="49"/>
      <c r="C594" s="49"/>
      <c r="D594" s="94">
        <v>12</v>
      </c>
      <c r="E594" s="49" t="str">
        <f>RIGHT(PartcAliqIcms[[#This Row],[Código NCM]],8)</f>
        <v>02101200</v>
      </c>
      <c r="F594" s="96" t="s">
        <v>5532</v>
      </c>
      <c r="G594" s="97"/>
    </row>
    <row r="595" spans="1:7" x14ac:dyDescent="0.25">
      <c r="A595" s="93" t="s">
        <v>172</v>
      </c>
      <c r="B595" s="82">
        <v>0.12</v>
      </c>
      <c r="C595" s="49" t="s">
        <v>442</v>
      </c>
      <c r="D595" s="84">
        <v>12</v>
      </c>
      <c r="E595" s="49" t="str">
        <f>RIGHT(PartcAliqIcms[[#This Row],[Código NCM]],8)</f>
        <v>19059090</v>
      </c>
      <c r="F595" s="85" t="s">
        <v>3424</v>
      </c>
      <c r="G595" s="97"/>
    </row>
    <row r="596" spans="1:7" x14ac:dyDescent="0.25">
      <c r="A596" s="93" t="s">
        <v>5588</v>
      </c>
      <c r="B596" s="49"/>
      <c r="C596" s="49"/>
      <c r="D596" s="94">
        <v>12</v>
      </c>
      <c r="E596" s="49" t="str">
        <f>RIGHT(PartcAliqIcms[[#This Row],[Código NCM]],8)</f>
        <v>01059900</v>
      </c>
      <c r="F596" s="96" t="s">
        <v>5618</v>
      </c>
      <c r="G596" s="97"/>
    </row>
    <row r="597" spans="1:7" x14ac:dyDescent="0.25">
      <c r="A597" s="93" t="s">
        <v>5619</v>
      </c>
      <c r="B597" s="49"/>
      <c r="C597" s="49"/>
      <c r="D597" s="94">
        <v>12</v>
      </c>
      <c r="E597" s="49" t="str">
        <f>RIGHT(PartcAliqIcms[[#This Row],[Código NCM]],8)</f>
        <v>02042200</v>
      </c>
      <c r="F597" s="96" t="s">
        <v>4625</v>
      </c>
      <c r="G597" s="97"/>
    </row>
    <row r="598" spans="1:7" x14ac:dyDescent="0.25">
      <c r="A598" s="93" t="s">
        <v>5634</v>
      </c>
      <c r="B598" s="49"/>
      <c r="C598" s="49"/>
      <c r="D598" s="94">
        <v>12</v>
      </c>
      <c r="E598" s="49" t="str">
        <f>RIGHT(PartcAliqIcms[[#This Row],[Código NCM]],8)</f>
        <v>03042960</v>
      </c>
      <c r="F598" s="96" t="s">
        <v>2604</v>
      </c>
      <c r="G598" s="97"/>
    </row>
    <row r="599" spans="1:7" x14ac:dyDescent="0.25">
      <c r="A599" s="93" t="s">
        <v>5635</v>
      </c>
      <c r="B599" s="49"/>
      <c r="C599" s="49"/>
      <c r="D599" s="94">
        <v>12</v>
      </c>
      <c r="E599" s="49" t="str">
        <f>RIGHT(PartcAliqIcms[[#This Row],[Código NCM]],8)</f>
        <v>03061399</v>
      </c>
      <c r="F599" s="96" t="s">
        <v>2604</v>
      </c>
      <c r="G599" s="97"/>
    </row>
    <row r="600" spans="1:7" x14ac:dyDescent="0.25">
      <c r="A600" s="93" t="s">
        <v>5706</v>
      </c>
      <c r="B600" s="49"/>
      <c r="C600" s="49"/>
      <c r="D600" s="94">
        <v>19</v>
      </c>
      <c r="E600" s="49" t="str">
        <f>RIGHT(PartcAliqIcms[[#This Row],[Código NCM]],8)</f>
        <v>32072010</v>
      </c>
      <c r="F600" s="96"/>
      <c r="G600" s="97"/>
    </row>
    <row r="601" spans="1:7" x14ac:dyDescent="0.25">
      <c r="A601" s="93" t="s">
        <v>3109</v>
      </c>
      <c r="B601" s="49"/>
      <c r="C601" s="49"/>
      <c r="D601" s="94">
        <v>12</v>
      </c>
      <c r="E601" s="49" t="str">
        <f>RIGHT(PartcAliqIcms[[#This Row],[Código NCM]],8)</f>
        <v>02101100</v>
      </c>
      <c r="F601" s="96"/>
      <c r="G601" s="97"/>
    </row>
    <row r="602" spans="1:7" x14ac:dyDescent="0.25">
      <c r="A602" s="93" t="s">
        <v>5620</v>
      </c>
      <c r="B602" s="49"/>
      <c r="C602" s="49"/>
      <c r="D602" s="94">
        <v>12</v>
      </c>
      <c r="E602" s="49" t="str">
        <f>RIGHT(PartcAliqIcms[[#This Row],[Código NCM]],8)</f>
        <v>02109919</v>
      </c>
      <c r="F602" s="96"/>
      <c r="G602" s="97"/>
    </row>
    <row r="603" spans="1:7" x14ac:dyDescent="0.25">
      <c r="A603" s="93" t="s">
        <v>3876</v>
      </c>
      <c r="B603" s="49"/>
      <c r="C603" s="49"/>
      <c r="D603" s="94">
        <v>19</v>
      </c>
      <c r="E603" s="49" t="str">
        <f>RIGHT(PartcAliqIcms[[#This Row],[Código NCM]],8)</f>
        <v>33012990</v>
      </c>
      <c r="F603" s="96"/>
      <c r="G603" s="97"/>
    </row>
    <row r="604" spans="1:7" x14ac:dyDescent="0.25">
      <c r="A604" s="93" t="s">
        <v>5743</v>
      </c>
      <c r="B604" s="49"/>
      <c r="C604" s="49"/>
      <c r="D604" s="94">
        <v>12</v>
      </c>
      <c r="E604" s="49" t="str">
        <f>RIGHT(PartcAliqIcms[[#This Row],[Código NCM]],8)</f>
        <v>02109990</v>
      </c>
      <c r="F604" s="96"/>
      <c r="G604" s="97"/>
    </row>
    <row r="605" spans="1:7" x14ac:dyDescent="0.25">
      <c r="A605" s="93" t="s">
        <v>204</v>
      </c>
      <c r="B605" s="195">
        <v>7.0000000000000007E-2</v>
      </c>
      <c r="C605" s="49"/>
      <c r="D605" s="94">
        <v>12</v>
      </c>
      <c r="E605" s="49" t="str">
        <f>RIGHT(PartcAliqIcms[[#This Row],[Código NCM]],8)</f>
        <v>10063021</v>
      </c>
      <c r="F605" s="96" t="s">
        <v>5775</v>
      </c>
      <c r="G605" s="97"/>
    </row>
    <row r="606" spans="1:7" x14ac:dyDescent="0.25">
      <c r="A606" s="93" t="s">
        <v>330</v>
      </c>
      <c r="B606" s="195">
        <v>7.0000000000000007E-2</v>
      </c>
      <c r="C606" s="49"/>
      <c r="D606" s="94">
        <v>12</v>
      </c>
      <c r="E606" s="49" t="str">
        <f>RIGHT(PartcAliqIcms[[#This Row],[Código NCM]],8)</f>
        <v>10062020</v>
      </c>
      <c r="F606" s="96" t="s">
        <v>5775</v>
      </c>
      <c r="G606" s="97"/>
    </row>
    <row r="607" spans="1:7" x14ac:dyDescent="0.25">
      <c r="A607" s="93" t="s">
        <v>166</v>
      </c>
      <c r="B607" s="195">
        <v>7.0000000000000007E-2</v>
      </c>
      <c r="C607" s="49"/>
      <c r="D607" s="94">
        <v>12</v>
      </c>
      <c r="E607" s="49" t="str">
        <f>RIGHT(PartcAliqIcms[[#This Row],[Código NCM]],8)</f>
        <v>38089419</v>
      </c>
      <c r="F607" s="96" t="s">
        <v>5776</v>
      </c>
      <c r="G607" s="97"/>
    </row>
    <row r="608" spans="1:7" x14ac:dyDescent="0.25">
      <c r="A608" s="93" t="s">
        <v>270</v>
      </c>
      <c r="B608" s="195">
        <v>7.0000000000000007E-2</v>
      </c>
      <c r="C608" s="49"/>
      <c r="D608" s="94">
        <v>12</v>
      </c>
      <c r="E608" s="49" t="str">
        <f>RIGHT(PartcAliqIcms[[#This Row],[Código NCM]],8)</f>
        <v>07133319</v>
      </c>
      <c r="F608" s="96" t="s">
        <v>2411</v>
      </c>
      <c r="G608" s="97"/>
    </row>
    <row r="609" spans="1:7" x14ac:dyDescent="0.25">
      <c r="A609" s="93" t="s">
        <v>203</v>
      </c>
      <c r="B609" s="195">
        <v>7.0000000000000007E-2</v>
      </c>
      <c r="C609" s="49"/>
      <c r="D609" s="94">
        <v>12</v>
      </c>
      <c r="E609" s="49" t="str">
        <f>RIGHT(PartcAliqIcms[[#This Row],[Código NCM]],8)</f>
        <v>07133399</v>
      </c>
      <c r="F609" s="96" t="s">
        <v>2411</v>
      </c>
      <c r="G609" s="97"/>
    </row>
    <row r="610" spans="1:7" x14ac:dyDescent="0.25">
      <c r="A610" s="93" t="s">
        <v>202</v>
      </c>
      <c r="B610" s="195">
        <v>7.0000000000000007E-2</v>
      </c>
      <c r="C610" s="49"/>
      <c r="D610" s="94">
        <v>17</v>
      </c>
      <c r="E610" s="49" t="str">
        <f>RIGHT(PartcAliqIcms[[#This Row],[Código NCM]],8)</f>
        <v>96032100</v>
      </c>
      <c r="F610" s="96" t="s">
        <v>5777</v>
      </c>
      <c r="G610" s="97"/>
    </row>
    <row r="611" spans="1:7" x14ac:dyDescent="0.25">
      <c r="A611" s="93" t="s">
        <v>3573</v>
      </c>
      <c r="B611" s="197">
        <v>7.0000000000000007E-2</v>
      </c>
      <c r="C611" s="49"/>
      <c r="D611" s="94">
        <v>12</v>
      </c>
      <c r="E611" s="49" t="str">
        <f>RIGHT(PartcAliqIcms[[#This Row],[Código NCM]],8)</f>
        <v>07133990</v>
      </c>
      <c r="F611" s="96" t="s">
        <v>2411</v>
      </c>
      <c r="G611" s="97"/>
    </row>
    <row r="612" spans="1:7" x14ac:dyDescent="0.25">
      <c r="A612" s="93" t="s">
        <v>239</v>
      </c>
      <c r="B612" s="197">
        <v>7.0000000000000007E-2</v>
      </c>
      <c r="C612" s="49"/>
      <c r="D612" s="94">
        <v>12</v>
      </c>
      <c r="E612" s="49" t="str">
        <f>RIGHT(PartcAliqIcms[[#This Row],[Código NCM]],8)</f>
        <v>11081400</v>
      </c>
      <c r="F612" s="96" t="s">
        <v>3596</v>
      </c>
      <c r="G612" s="97"/>
    </row>
  </sheetData>
  <phoneticPr fontId="14" type="noConversion"/>
  <conditionalFormatting sqref="A2:A14 A16:A610">
    <cfRule type="duplicateValues" dxfId="55" priority="4160"/>
  </conditionalFormatting>
  <conditionalFormatting sqref="A15">
    <cfRule type="duplicateValues" dxfId="54" priority="1"/>
  </conditionalFormatting>
  <pageMargins left="0.511811024" right="0.511811024" top="0.78740157499999996" bottom="0.78740157499999996" header="0.31496062000000002" footer="0.31496062000000002"/>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dimension ref="A1:I967"/>
  <sheetViews>
    <sheetView showGridLines="0" zoomScaleNormal="100" workbookViewId="0">
      <selection activeCell="B2" sqref="B2"/>
    </sheetView>
  </sheetViews>
  <sheetFormatPr defaultColWidth="13.5703125" defaultRowHeight="15" x14ac:dyDescent="0.25"/>
  <cols>
    <col min="1" max="1" width="16.5703125" style="47" bestFit="1" customWidth="1"/>
    <col min="2" max="2" width="16.7109375" bestFit="1" customWidth="1"/>
    <col min="3" max="3" width="10" bestFit="1" customWidth="1"/>
    <col min="4" max="4" width="25.5703125" customWidth="1"/>
    <col min="5" max="5" width="21" bestFit="1" customWidth="1"/>
    <col min="6" max="6" width="31.28515625" bestFit="1" customWidth="1"/>
    <col min="7" max="7" width="8.140625" bestFit="1" customWidth="1"/>
    <col min="8" max="8" width="11.140625" bestFit="1" customWidth="1"/>
  </cols>
  <sheetData>
    <row r="1" spans="1:9" s="39" customFormat="1" x14ac:dyDescent="0.25">
      <c r="A1" s="98" t="s">
        <v>2419</v>
      </c>
      <c r="B1" s="99" t="s">
        <v>2696</v>
      </c>
      <c r="C1" s="99" t="s">
        <v>1</v>
      </c>
      <c r="D1" s="101" t="s">
        <v>2421</v>
      </c>
      <c r="E1" s="100" t="s">
        <v>2697</v>
      </c>
      <c r="F1" s="100" t="s">
        <v>3565</v>
      </c>
      <c r="G1" s="100" t="s">
        <v>2699</v>
      </c>
      <c r="H1" s="100" t="s">
        <v>2700</v>
      </c>
      <c r="I1" s="76" t="s">
        <v>136</v>
      </c>
    </row>
    <row r="2" spans="1:9" ht="60" x14ac:dyDescent="0.25">
      <c r="A2" s="124" t="s">
        <v>337</v>
      </c>
      <c r="B2" s="125" t="s">
        <v>2701</v>
      </c>
      <c r="C2" s="126" t="str">
        <f>RIGHT(PisCofinsAliquot[[#This Row],[Código NCM]],8)</f>
        <v>02011000</v>
      </c>
      <c r="D2" s="127"/>
      <c r="E2" s="128"/>
      <c r="F2" s="129" t="s">
        <v>4783</v>
      </c>
      <c r="G2" s="22">
        <v>0</v>
      </c>
      <c r="H2" s="22">
        <v>0</v>
      </c>
      <c r="I2" s="14">
        <f>IF(PisCofinsAliquot[[#This Row],[Classificação]]="Alíquota 0",6,IF(PisCofinsAliquot[[#This Row],[Classificação]]="Monofásico",4,IF(PisCofinsAliquot[[#This Row],[Classificação]]="Regra Geral",1,IF(PisCofinsAliquot[[#This Row],[Classificação]]="ST",5))))</f>
        <v>6</v>
      </c>
    </row>
    <row r="3" spans="1:9" ht="60" x14ac:dyDescent="0.25">
      <c r="A3" s="124" t="s">
        <v>249</v>
      </c>
      <c r="B3" s="125" t="s">
        <v>2701</v>
      </c>
      <c r="C3" s="126" t="str">
        <f>RIGHT(PisCofinsAliquot[[#This Row],[Código NCM]],8)</f>
        <v>02012010</v>
      </c>
      <c r="D3" s="127"/>
      <c r="E3" s="128"/>
      <c r="F3" s="129" t="s">
        <v>4784</v>
      </c>
      <c r="G3" s="22">
        <v>0</v>
      </c>
      <c r="H3" s="22">
        <v>0</v>
      </c>
      <c r="I3">
        <f>IF(PisCofinsAliquot[[#This Row],[Classificação]]="Alíquota 0",6,IF(PisCofinsAliquot[[#This Row],[Classificação]]="Monofásico",4,IF(PisCofinsAliquot[[#This Row],[Classificação]]="Regra Geral",1,IF(PisCofinsAliquot[[#This Row],[Classificação]]="ST",5))))</f>
        <v>6</v>
      </c>
    </row>
    <row r="4" spans="1:9" ht="60" x14ac:dyDescent="0.25">
      <c r="A4" s="124" t="s">
        <v>214</v>
      </c>
      <c r="B4" s="125" t="s">
        <v>2701</v>
      </c>
      <c r="C4" s="126" t="str">
        <f>RIGHT(PisCofinsAliquot[[#This Row],[Código NCM]],8)</f>
        <v>02012020</v>
      </c>
      <c r="D4" s="127"/>
      <c r="E4" s="128"/>
      <c r="F4" s="129" t="s">
        <v>4785</v>
      </c>
      <c r="G4" s="22">
        <v>0</v>
      </c>
      <c r="H4" s="22">
        <v>0</v>
      </c>
      <c r="I4">
        <f>IF(PisCofinsAliquot[[#This Row],[Classificação]]="Alíquota 0",6,IF(PisCofinsAliquot[[#This Row],[Classificação]]="Monofásico",4,IF(PisCofinsAliquot[[#This Row],[Classificação]]="Regra Geral",1,IF(PisCofinsAliquot[[#This Row],[Classificação]]="ST",5))))</f>
        <v>6</v>
      </c>
    </row>
    <row r="5" spans="1:9" ht="45" x14ac:dyDescent="0.25">
      <c r="A5" s="124" t="s">
        <v>3075</v>
      </c>
      <c r="B5" s="125" t="s">
        <v>2701</v>
      </c>
      <c r="C5" s="126" t="str">
        <f>RIGHT(PisCofinsAliquot[[#This Row],[Código NCM]],8)</f>
        <v>02012090</v>
      </c>
      <c r="D5" s="127"/>
      <c r="E5" s="128"/>
      <c r="F5" s="129" t="s">
        <v>4786</v>
      </c>
      <c r="G5" s="22">
        <v>0</v>
      </c>
      <c r="H5" s="22">
        <v>0</v>
      </c>
      <c r="I5">
        <f>IF(PisCofinsAliquot[[#This Row],[Classificação]]="Alíquota 0",6,IF(PisCofinsAliquot[[#This Row],[Classificação]]="Monofásico",4,IF(PisCofinsAliquot[[#This Row],[Classificação]]="Regra Geral",1,IF(PisCofinsAliquot[[#This Row],[Classificação]]="ST",5))))</f>
        <v>6</v>
      </c>
    </row>
    <row r="6" spans="1:9" ht="60" x14ac:dyDescent="0.25">
      <c r="A6" s="124" t="s">
        <v>182</v>
      </c>
      <c r="B6" s="125" t="s">
        <v>2701</v>
      </c>
      <c r="C6" s="126" t="str">
        <f>RIGHT(PisCofinsAliquot[[#This Row],[Código NCM]],8)</f>
        <v>02013000</v>
      </c>
      <c r="D6" s="127"/>
      <c r="E6" s="128"/>
      <c r="F6" s="129" t="s">
        <v>4787</v>
      </c>
      <c r="G6" s="22">
        <v>0</v>
      </c>
      <c r="H6" s="22">
        <v>0</v>
      </c>
      <c r="I6">
        <f>IF(PisCofinsAliquot[[#This Row],[Classificação]]="Alíquota 0",6,IF(PisCofinsAliquot[[#This Row],[Classificação]]="Monofásico",4,IF(PisCofinsAliquot[[#This Row],[Classificação]]="Regra Geral",1,IF(PisCofinsAliquot[[#This Row],[Classificação]]="ST",5))))</f>
        <v>6</v>
      </c>
    </row>
    <row r="7" spans="1:9" ht="60" x14ac:dyDescent="0.25">
      <c r="A7" s="124" t="s">
        <v>3076</v>
      </c>
      <c r="B7" s="125" t="s">
        <v>2701</v>
      </c>
      <c r="C7" s="126" t="str">
        <f>RIGHT(PisCofinsAliquot[[#This Row],[Código NCM]],8)</f>
        <v>02021000</v>
      </c>
      <c r="D7" s="127"/>
      <c r="E7" s="128"/>
      <c r="F7" s="129" t="s">
        <v>4788</v>
      </c>
      <c r="G7" s="22">
        <v>0</v>
      </c>
      <c r="H7" s="22">
        <v>0</v>
      </c>
      <c r="I7">
        <f>IF(PisCofinsAliquot[[#This Row],[Classificação]]="Alíquota 0",6,IF(PisCofinsAliquot[[#This Row],[Classificação]]="Monofásico",4,IF(PisCofinsAliquot[[#This Row],[Classificação]]="Regra Geral",1,IF(PisCofinsAliquot[[#This Row],[Classificação]]="ST",5))))</f>
        <v>6</v>
      </c>
    </row>
    <row r="8" spans="1:9" ht="45" x14ac:dyDescent="0.25">
      <c r="A8" s="124" t="s">
        <v>3077</v>
      </c>
      <c r="B8" s="125" t="s">
        <v>2701</v>
      </c>
      <c r="C8" s="126" t="str">
        <f>RIGHT(PisCofinsAliquot[[#This Row],[Código NCM]],8)</f>
        <v>02022010</v>
      </c>
      <c r="D8" s="127"/>
      <c r="E8" s="128"/>
      <c r="F8" s="129" t="s">
        <v>4789</v>
      </c>
      <c r="G8" s="22">
        <v>0</v>
      </c>
      <c r="H8" s="22">
        <v>0</v>
      </c>
      <c r="I8">
        <f>IF(PisCofinsAliquot[[#This Row],[Classificação]]="Alíquota 0",6,IF(PisCofinsAliquot[[#This Row],[Classificação]]="Monofásico",4,IF(PisCofinsAliquot[[#This Row],[Classificação]]="Regra Geral",1,IF(PisCofinsAliquot[[#This Row],[Classificação]]="ST",5))))</f>
        <v>6</v>
      </c>
    </row>
    <row r="9" spans="1:9" ht="45" x14ac:dyDescent="0.25">
      <c r="A9" s="124" t="s">
        <v>3078</v>
      </c>
      <c r="B9" s="125" t="s">
        <v>2701</v>
      </c>
      <c r="C9" s="126" t="str">
        <f>RIGHT(PisCofinsAliquot[[#This Row],[Código NCM]],8)</f>
        <v>02022020</v>
      </c>
      <c r="D9" s="127"/>
      <c r="E9" s="128"/>
      <c r="F9" s="129" t="s">
        <v>4790</v>
      </c>
      <c r="G9" s="22">
        <v>0</v>
      </c>
      <c r="H9" s="22">
        <v>0</v>
      </c>
      <c r="I9">
        <f>IF(PisCofinsAliquot[[#This Row],[Classificação]]="Alíquota 0",6,IF(PisCofinsAliquot[[#This Row],[Classificação]]="Monofásico",4,IF(PisCofinsAliquot[[#This Row],[Classificação]]="Regra Geral",1,IF(PisCofinsAliquot[[#This Row],[Classificação]]="ST",5))))</f>
        <v>6</v>
      </c>
    </row>
    <row r="10" spans="1:9" ht="45" x14ac:dyDescent="0.25">
      <c r="A10" s="124" t="s">
        <v>3079</v>
      </c>
      <c r="B10" s="125" t="s">
        <v>2701</v>
      </c>
      <c r="C10" s="126" t="str">
        <f>RIGHT(PisCofinsAliquot[[#This Row],[Código NCM]],8)</f>
        <v>02022090</v>
      </c>
      <c r="D10" s="127"/>
      <c r="E10" s="128"/>
      <c r="F10" s="129" t="s">
        <v>4791</v>
      </c>
      <c r="G10" s="22">
        <v>0</v>
      </c>
      <c r="H10" s="22">
        <v>0</v>
      </c>
      <c r="I10">
        <f>IF(PisCofinsAliquot[[#This Row],[Classificação]]="Alíquota 0",6,IF(PisCofinsAliquot[[#This Row],[Classificação]]="Monofásico",4,IF(PisCofinsAliquot[[#This Row],[Classificação]]="Regra Geral",1,IF(PisCofinsAliquot[[#This Row],[Classificação]]="ST",5))))</f>
        <v>6</v>
      </c>
    </row>
    <row r="11" spans="1:9" ht="45" x14ac:dyDescent="0.25">
      <c r="A11" s="124" t="s">
        <v>2605</v>
      </c>
      <c r="B11" s="125" t="s">
        <v>2701</v>
      </c>
      <c r="C11" s="126" t="str">
        <f>RIGHT(PisCofinsAliquot[[#This Row],[Código NCM]],8)</f>
        <v>02023000</v>
      </c>
      <c r="D11" s="127"/>
      <c r="E11" s="128"/>
      <c r="F11" s="129" t="s">
        <v>4792</v>
      </c>
      <c r="G11" s="22">
        <v>0</v>
      </c>
      <c r="H11" s="22">
        <v>0</v>
      </c>
      <c r="I11">
        <f>IF(PisCofinsAliquot[[#This Row],[Classificação]]="Alíquota 0",6,IF(PisCofinsAliquot[[#This Row],[Classificação]]="Monofásico",4,IF(PisCofinsAliquot[[#This Row],[Classificação]]="Regra Geral",1,IF(PisCofinsAliquot[[#This Row],[Classificação]]="ST",5))))</f>
        <v>6</v>
      </c>
    </row>
    <row r="12" spans="1:9" ht="60" x14ac:dyDescent="0.25">
      <c r="A12" s="124" t="s">
        <v>3080</v>
      </c>
      <c r="B12" s="125" t="s">
        <v>2701</v>
      </c>
      <c r="C12" s="126" t="str">
        <f>RIGHT(PisCofinsAliquot[[#This Row],[Código NCM]],8)</f>
        <v>02031100</v>
      </c>
      <c r="D12" s="127"/>
      <c r="E12" s="128"/>
      <c r="F12" s="129" t="s">
        <v>4793</v>
      </c>
      <c r="G12" s="22">
        <v>0</v>
      </c>
      <c r="H12" s="22">
        <v>0</v>
      </c>
      <c r="I12">
        <f>IF(PisCofinsAliquot[[#This Row],[Classificação]]="Alíquota 0",6,IF(PisCofinsAliquot[[#This Row],[Classificação]]="Monofásico",4,IF(PisCofinsAliquot[[#This Row],[Classificação]]="Regra Geral",1,IF(PisCofinsAliquot[[#This Row],[Classificação]]="ST",5))))</f>
        <v>6</v>
      </c>
    </row>
    <row r="13" spans="1:9" ht="75" x14ac:dyDescent="0.25">
      <c r="A13" s="124" t="s">
        <v>352</v>
      </c>
      <c r="B13" s="125" t="s">
        <v>2701</v>
      </c>
      <c r="C13" s="126" t="str">
        <f>RIGHT(PisCofinsAliquot[[#This Row],[Código NCM]],8)</f>
        <v>02031200</v>
      </c>
      <c r="D13" s="127"/>
      <c r="E13" s="128"/>
      <c r="F13" s="129" t="s">
        <v>4794</v>
      </c>
      <c r="G13" s="22">
        <v>0</v>
      </c>
      <c r="H13" s="22">
        <v>0</v>
      </c>
      <c r="I13">
        <f>IF(PisCofinsAliquot[[#This Row],[Classificação]]="Alíquota 0",6,IF(PisCofinsAliquot[[#This Row],[Classificação]]="Monofásico",4,IF(PisCofinsAliquot[[#This Row],[Classificação]]="Regra Geral",1,IF(PisCofinsAliquot[[#This Row],[Classificação]]="ST",5))))</f>
        <v>6</v>
      </c>
    </row>
    <row r="14" spans="1:9" ht="45" x14ac:dyDescent="0.25">
      <c r="A14" s="124" t="s">
        <v>164</v>
      </c>
      <c r="B14" s="125" t="s">
        <v>2701</v>
      </c>
      <c r="C14" s="126" t="str">
        <f>RIGHT(PisCofinsAliquot[[#This Row],[Código NCM]],8)</f>
        <v>02031900</v>
      </c>
      <c r="D14" s="127"/>
      <c r="E14" s="128"/>
      <c r="F14" s="129" t="s">
        <v>4795</v>
      </c>
      <c r="G14" s="22">
        <v>0</v>
      </c>
      <c r="H14" s="22">
        <v>0</v>
      </c>
      <c r="I14">
        <f>IF(PisCofinsAliquot[[#This Row],[Classificação]]="Alíquota 0",6,IF(PisCofinsAliquot[[#This Row],[Classificação]]="Monofásico",4,IF(PisCofinsAliquot[[#This Row],[Classificação]]="Regra Geral",1,IF(PisCofinsAliquot[[#This Row],[Classificação]]="ST",5))))</f>
        <v>6</v>
      </c>
    </row>
    <row r="15" spans="1:9" ht="60" x14ac:dyDescent="0.25">
      <c r="A15" s="124" t="s">
        <v>3081</v>
      </c>
      <c r="B15" s="125" t="s">
        <v>2701</v>
      </c>
      <c r="C15" s="126" t="str">
        <f>RIGHT(PisCofinsAliquot[[#This Row],[Código NCM]],8)</f>
        <v>02032100</v>
      </c>
      <c r="D15" s="127"/>
      <c r="E15" s="128"/>
      <c r="F15" s="129" t="s">
        <v>4796</v>
      </c>
      <c r="G15" s="22">
        <v>0</v>
      </c>
      <c r="H15" s="22">
        <v>0</v>
      </c>
      <c r="I15">
        <f>IF(PisCofinsAliquot[[#This Row],[Classificação]]="Alíquota 0",6,IF(PisCofinsAliquot[[#This Row],[Classificação]]="Monofásico",4,IF(PisCofinsAliquot[[#This Row],[Classificação]]="Regra Geral",1,IF(PisCofinsAliquot[[#This Row],[Classificação]]="ST",5))))</f>
        <v>6</v>
      </c>
    </row>
    <row r="16" spans="1:9" ht="75" x14ac:dyDescent="0.25">
      <c r="A16" s="124" t="s">
        <v>3082</v>
      </c>
      <c r="B16" s="125" t="s">
        <v>2701</v>
      </c>
      <c r="C16" s="126" t="str">
        <f>RIGHT(PisCofinsAliquot[[#This Row],[Código NCM]],8)</f>
        <v>02032200</v>
      </c>
      <c r="D16" s="127"/>
      <c r="E16" s="128"/>
      <c r="F16" s="129" t="s">
        <v>4797</v>
      </c>
      <c r="G16" s="22">
        <v>0</v>
      </c>
      <c r="H16" s="22">
        <v>0</v>
      </c>
      <c r="I16">
        <f>IF(PisCofinsAliquot[[#This Row],[Classificação]]="Alíquota 0",6,IF(PisCofinsAliquot[[#This Row],[Classificação]]="Monofásico",4,IF(PisCofinsAliquot[[#This Row],[Classificação]]="Regra Geral",1,IF(PisCofinsAliquot[[#This Row],[Classificação]]="ST",5))))</f>
        <v>6</v>
      </c>
    </row>
    <row r="17" spans="1:9" ht="45" x14ac:dyDescent="0.25">
      <c r="A17" s="124" t="s">
        <v>3083</v>
      </c>
      <c r="B17" s="125" t="s">
        <v>2701</v>
      </c>
      <c r="C17" s="126" t="str">
        <f>RIGHT(PisCofinsAliquot[[#This Row],[Código NCM]],8)</f>
        <v>02032900</v>
      </c>
      <c r="D17" s="127"/>
      <c r="E17" s="128"/>
      <c r="F17" s="129" t="s">
        <v>4798</v>
      </c>
      <c r="G17" s="22">
        <v>0</v>
      </c>
      <c r="H17" s="22">
        <v>0</v>
      </c>
      <c r="I17">
        <f>IF(PisCofinsAliquot[[#This Row],[Classificação]]="Alíquota 0",6,IF(PisCofinsAliquot[[#This Row],[Classificação]]="Monofásico",4,IF(PisCofinsAliquot[[#This Row],[Classificação]]="Regra Geral",1,IF(PisCofinsAliquot[[#This Row],[Classificação]]="ST",5))))</f>
        <v>6</v>
      </c>
    </row>
    <row r="18" spans="1:9" ht="45" x14ac:dyDescent="0.25">
      <c r="A18" s="130" t="s">
        <v>4636</v>
      </c>
      <c r="B18" s="125" t="s">
        <v>2701</v>
      </c>
      <c r="C18" s="126" t="str">
        <f>RIGHT(PisCofinsAliquot[[#This Row],[Código NCM]],8)</f>
        <v>02044200</v>
      </c>
      <c r="D18" s="128"/>
      <c r="E18" s="128"/>
      <c r="F18" s="129" t="s">
        <v>4799</v>
      </c>
      <c r="G18" s="22"/>
      <c r="H18" s="22"/>
      <c r="I18">
        <f>IF(PisCofinsAliquot[[#This Row],[Classificação]]="Alíquota 0",6,IF(PisCofinsAliquot[[#This Row],[Classificação]]="Monofásico",4,IF(PisCofinsAliquot[[#This Row],[Classificação]]="Regra Geral",1,IF(PisCofinsAliquot[[#This Row],[Classificação]]="ST",5))))</f>
        <v>6</v>
      </c>
    </row>
    <row r="19" spans="1:9" ht="60" x14ac:dyDescent="0.25">
      <c r="A19" s="124" t="s">
        <v>237</v>
      </c>
      <c r="B19" s="125" t="s">
        <v>2701</v>
      </c>
      <c r="C19" s="126" t="str">
        <f>RIGHT(PisCofinsAliquot[[#This Row],[Código NCM]],8)</f>
        <v>02061000</v>
      </c>
      <c r="D19" s="131"/>
      <c r="E19" s="132"/>
      <c r="F19" s="129" t="s">
        <v>4800</v>
      </c>
      <c r="G19" s="22">
        <v>0</v>
      </c>
      <c r="H19" s="22">
        <v>0</v>
      </c>
      <c r="I19">
        <f>IF(PisCofinsAliquot[[#This Row],[Classificação]]="Alíquota 0",6,IF(PisCofinsAliquot[[#This Row],[Classificação]]="Monofásico",4,IF(PisCofinsAliquot[[#This Row],[Classificação]]="Regra Geral",1,IF(PisCofinsAliquot[[#This Row],[Classificação]]="ST",5))))</f>
        <v>6</v>
      </c>
    </row>
    <row r="20" spans="1:9" ht="45" x14ac:dyDescent="0.25">
      <c r="A20" s="124" t="s">
        <v>283</v>
      </c>
      <c r="B20" s="125" t="s">
        <v>2701</v>
      </c>
      <c r="C20" s="126" t="str">
        <f>RIGHT(PisCofinsAliquot[[#This Row],[Código NCM]],8)</f>
        <v>02062100</v>
      </c>
      <c r="D20" s="131"/>
      <c r="E20" s="132"/>
      <c r="F20" s="129" t="s">
        <v>4801</v>
      </c>
      <c r="G20" s="22">
        <v>0</v>
      </c>
      <c r="H20" s="22">
        <v>0</v>
      </c>
      <c r="I20">
        <f>IF(PisCofinsAliquot[[#This Row],[Classificação]]="Alíquota 0",6,IF(PisCofinsAliquot[[#This Row],[Classificação]]="Monofásico",4,IF(PisCofinsAliquot[[#This Row],[Classificação]]="Regra Geral",1,IF(PisCofinsAliquot[[#This Row],[Classificação]]="ST",5))))</f>
        <v>6</v>
      </c>
    </row>
    <row r="21" spans="1:9" ht="45" x14ac:dyDescent="0.25">
      <c r="A21" s="124" t="s">
        <v>230</v>
      </c>
      <c r="B21" s="125" t="s">
        <v>2701</v>
      </c>
      <c r="C21" s="126" t="str">
        <f>RIGHT(PisCofinsAliquot[[#This Row],[Código NCM]],8)</f>
        <v>02062200</v>
      </c>
      <c r="D21" s="131"/>
      <c r="E21" s="132"/>
      <c r="F21" s="129" t="s">
        <v>4802</v>
      </c>
      <c r="G21" s="22">
        <v>0</v>
      </c>
      <c r="H21" s="22">
        <v>0</v>
      </c>
      <c r="I21">
        <f>IF(PisCofinsAliquot[[#This Row],[Classificação]]="Alíquota 0",6,IF(PisCofinsAliquot[[#This Row],[Classificação]]="Monofásico",4,IF(PisCofinsAliquot[[#This Row],[Classificação]]="Regra Geral",1,IF(PisCofinsAliquot[[#This Row],[Classificação]]="ST",5))))</f>
        <v>6</v>
      </c>
    </row>
    <row r="22" spans="1:9" ht="45" x14ac:dyDescent="0.25">
      <c r="A22" s="124" t="s">
        <v>292</v>
      </c>
      <c r="B22" s="125" t="s">
        <v>2701</v>
      </c>
      <c r="C22" s="126" t="str">
        <f>RIGHT(PisCofinsAliquot[[#This Row],[Código NCM]],8)</f>
        <v>02062910</v>
      </c>
      <c r="D22" s="131"/>
      <c r="E22" s="132"/>
      <c r="F22" s="129" t="s">
        <v>4803</v>
      </c>
      <c r="G22" s="22">
        <v>0</v>
      </c>
      <c r="H22" s="22">
        <v>0</v>
      </c>
      <c r="I22">
        <f>IF(PisCofinsAliquot[[#This Row],[Classificação]]="Alíquota 0",6,IF(PisCofinsAliquot[[#This Row],[Classificação]]="Monofásico",4,IF(PisCofinsAliquot[[#This Row],[Classificação]]="Regra Geral",1,IF(PisCofinsAliquot[[#This Row],[Classificação]]="ST",5))))</f>
        <v>6</v>
      </c>
    </row>
    <row r="23" spans="1:9" ht="45" x14ac:dyDescent="0.25">
      <c r="A23" s="124" t="s">
        <v>261</v>
      </c>
      <c r="B23" s="125" t="s">
        <v>2701</v>
      </c>
      <c r="C23" s="126" t="str">
        <f>RIGHT(PisCofinsAliquot[[#This Row],[Código NCM]],8)</f>
        <v>02062990</v>
      </c>
      <c r="D23" s="131"/>
      <c r="E23" s="132"/>
      <c r="F23" s="129" t="s">
        <v>4804</v>
      </c>
      <c r="G23" s="22">
        <v>0</v>
      </c>
      <c r="H23" s="22">
        <v>0</v>
      </c>
      <c r="I23">
        <f>IF(PisCofinsAliquot[[#This Row],[Classificação]]="Alíquota 0",6,IF(PisCofinsAliquot[[#This Row],[Classificação]]="Monofásico",4,IF(PisCofinsAliquot[[#This Row],[Classificação]]="Regra Geral",1,IF(PisCofinsAliquot[[#This Row],[Classificação]]="ST",5))))</f>
        <v>6</v>
      </c>
    </row>
    <row r="24" spans="1:9" ht="60" x14ac:dyDescent="0.25">
      <c r="A24" s="124" t="s">
        <v>3084</v>
      </c>
      <c r="B24" s="125" t="s">
        <v>2701</v>
      </c>
      <c r="C24" s="126" t="str">
        <f>RIGHT(PisCofinsAliquot[[#This Row],[Código NCM]],8)</f>
        <v>02063000</v>
      </c>
      <c r="D24" s="131"/>
      <c r="E24" s="132"/>
      <c r="F24" s="129" t="s">
        <v>4805</v>
      </c>
      <c r="G24" s="22">
        <v>0</v>
      </c>
      <c r="H24" s="22">
        <v>0</v>
      </c>
      <c r="I24">
        <f>IF(PisCofinsAliquot[[#This Row],[Classificação]]="Alíquota 0",6,IF(PisCofinsAliquot[[#This Row],[Classificação]]="Monofásico",4,IF(PisCofinsAliquot[[#This Row],[Classificação]]="Regra Geral",1,IF(PisCofinsAliquot[[#This Row],[Classificação]]="ST",5))))</f>
        <v>6</v>
      </c>
    </row>
    <row r="25" spans="1:9" ht="30" x14ac:dyDescent="0.25">
      <c r="A25" s="124" t="s">
        <v>3085</v>
      </c>
      <c r="B25" s="125" t="s">
        <v>2701</v>
      </c>
      <c r="C25" s="126" t="str">
        <f>RIGHT(PisCofinsAliquot[[#This Row],[Código NCM]],8)</f>
        <v>02064100</v>
      </c>
      <c r="D25" s="131"/>
      <c r="E25" s="132"/>
      <c r="F25" s="129" t="s">
        <v>4806</v>
      </c>
      <c r="G25" s="22">
        <v>0</v>
      </c>
      <c r="H25" s="22">
        <v>0</v>
      </c>
      <c r="I25">
        <f>IF(PisCofinsAliquot[[#This Row],[Classificação]]="Alíquota 0",6,IF(PisCofinsAliquot[[#This Row],[Classificação]]="Monofásico",4,IF(PisCofinsAliquot[[#This Row],[Classificação]]="Regra Geral",1,IF(PisCofinsAliquot[[#This Row],[Classificação]]="ST",5))))</f>
        <v>6</v>
      </c>
    </row>
    <row r="26" spans="1:9" ht="45" x14ac:dyDescent="0.25">
      <c r="A26" s="124" t="s">
        <v>3086</v>
      </c>
      <c r="B26" s="125" t="s">
        <v>2701</v>
      </c>
      <c r="C26" s="126" t="str">
        <f>RIGHT(PisCofinsAliquot[[#This Row],[Código NCM]],8)</f>
        <v>02064900</v>
      </c>
      <c r="D26" s="131"/>
      <c r="E26" s="132"/>
      <c r="F26" s="129" t="s">
        <v>4807</v>
      </c>
      <c r="G26" s="22">
        <v>0</v>
      </c>
      <c r="H26" s="22">
        <v>0</v>
      </c>
      <c r="I26">
        <f>IF(PisCofinsAliquot[[#This Row],[Classificação]]="Alíquota 0",6,IF(PisCofinsAliquot[[#This Row],[Classificação]]="Monofásico",4,IF(PisCofinsAliquot[[#This Row],[Classificação]]="Regra Geral",1,IF(PisCofinsAliquot[[#This Row],[Classificação]]="ST",5))))</f>
        <v>6</v>
      </c>
    </row>
    <row r="27" spans="1:9" ht="45" x14ac:dyDescent="0.25">
      <c r="A27" s="124" t="s">
        <v>3087</v>
      </c>
      <c r="B27" s="125" t="s">
        <v>2701</v>
      </c>
      <c r="C27" s="126" t="str">
        <f>RIGHT(PisCofinsAliquot[[#This Row],[Código NCM]],8)</f>
        <v>02068000</v>
      </c>
      <c r="D27" s="131"/>
      <c r="E27" s="132"/>
      <c r="F27" s="129" t="s">
        <v>4808</v>
      </c>
      <c r="G27" s="22">
        <v>0</v>
      </c>
      <c r="H27" s="22">
        <v>0</v>
      </c>
      <c r="I27">
        <f>IF(PisCofinsAliquot[[#This Row],[Classificação]]="Alíquota 0",6,IF(PisCofinsAliquot[[#This Row],[Classificação]]="Monofásico",4,IF(PisCofinsAliquot[[#This Row],[Classificação]]="Regra Geral",1,IF(PisCofinsAliquot[[#This Row],[Classificação]]="ST",5))))</f>
        <v>6</v>
      </c>
    </row>
    <row r="28" spans="1:9" ht="75" x14ac:dyDescent="0.25">
      <c r="A28" s="124" t="s">
        <v>190</v>
      </c>
      <c r="B28" s="125" t="s">
        <v>2701</v>
      </c>
      <c r="C28" s="126" t="str">
        <f>RIGHT(PisCofinsAliquot[[#This Row],[Código NCM]],8)</f>
        <v>02071100</v>
      </c>
      <c r="D28" s="131"/>
      <c r="E28" s="132"/>
      <c r="F28" s="129" t="s">
        <v>4809</v>
      </c>
      <c r="G28" s="22">
        <v>0</v>
      </c>
      <c r="H28" s="22">
        <v>0</v>
      </c>
      <c r="I28">
        <f>IF(PisCofinsAliquot[[#This Row],[Classificação]]="Alíquota 0",6,IF(PisCofinsAliquot[[#This Row],[Classificação]]="Monofásico",4,IF(PisCofinsAliquot[[#This Row],[Classificação]]="Regra Geral",1,IF(PisCofinsAliquot[[#This Row],[Classificação]]="ST",5))))</f>
        <v>6</v>
      </c>
    </row>
    <row r="29" spans="1:9" ht="60" x14ac:dyDescent="0.25">
      <c r="A29" s="124" t="s">
        <v>252</v>
      </c>
      <c r="B29" s="125" t="s">
        <v>2701</v>
      </c>
      <c r="C29" s="126" t="str">
        <f>RIGHT(PisCofinsAliquot[[#This Row],[Código NCM]],8)</f>
        <v>02071200</v>
      </c>
      <c r="D29" s="131"/>
      <c r="E29" s="132"/>
      <c r="F29" s="129" t="s">
        <v>4810</v>
      </c>
      <c r="G29" s="22">
        <v>0</v>
      </c>
      <c r="H29" s="22">
        <v>0</v>
      </c>
      <c r="I29">
        <f>IF(PisCofinsAliquot[[#This Row],[Classificação]]="Alíquota 0",6,IF(PisCofinsAliquot[[#This Row],[Classificação]]="Monofásico",4,IF(PisCofinsAliquot[[#This Row],[Classificação]]="Regra Geral",1,IF(PisCofinsAliquot[[#This Row],[Classificação]]="ST",5))))</f>
        <v>6</v>
      </c>
    </row>
    <row r="30" spans="1:9" ht="75" x14ac:dyDescent="0.25">
      <c r="A30" s="124" t="s">
        <v>243</v>
      </c>
      <c r="B30" s="125" t="s">
        <v>2701</v>
      </c>
      <c r="C30" s="126" t="str">
        <f>RIGHT(PisCofinsAliquot[[#This Row],[Código NCM]],8)</f>
        <v>02071300</v>
      </c>
      <c r="D30" s="131"/>
      <c r="E30" s="132"/>
      <c r="F30" s="129" t="s">
        <v>4811</v>
      </c>
      <c r="G30" s="22">
        <v>0</v>
      </c>
      <c r="H30" s="22">
        <v>0</v>
      </c>
      <c r="I30">
        <f>IF(PisCofinsAliquot[[#This Row],[Classificação]]="Alíquota 0",6,IF(PisCofinsAliquot[[#This Row],[Classificação]]="Monofásico",4,IF(PisCofinsAliquot[[#This Row],[Classificação]]="Regra Geral",1,IF(PisCofinsAliquot[[#This Row],[Classificação]]="ST",5))))</f>
        <v>6</v>
      </c>
    </row>
    <row r="31" spans="1:9" ht="60" x14ac:dyDescent="0.25">
      <c r="A31" s="124" t="s">
        <v>225</v>
      </c>
      <c r="B31" s="125" t="s">
        <v>2701</v>
      </c>
      <c r="C31" s="126" t="str">
        <f>RIGHT(PisCofinsAliquot[[#This Row],[Código NCM]],8)</f>
        <v>02071400</v>
      </c>
      <c r="D31" s="131"/>
      <c r="E31" s="132"/>
      <c r="F31" s="129" t="s">
        <v>4812</v>
      </c>
      <c r="G31" s="22">
        <v>0</v>
      </c>
      <c r="H31" s="22">
        <v>0</v>
      </c>
      <c r="I31">
        <f>IF(PisCofinsAliquot[[#This Row],[Classificação]]="Alíquota 0",6,IF(PisCofinsAliquot[[#This Row],[Classificação]]="Monofásico",4,IF(PisCofinsAliquot[[#This Row],[Classificação]]="Regra Geral",1,IF(PisCofinsAliquot[[#This Row],[Classificação]]="ST",5))))</f>
        <v>6</v>
      </c>
    </row>
    <row r="32" spans="1:9" ht="60" x14ac:dyDescent="0.25">
      <c r="A32" s="124" t="s">
        <v>3088</v>
      </c>
      <c r="B32" s="125" t="s">
        <v>2701</v>
      </c>
      <c r="C32" s="126" t="str">
        <f>RIGHT(PisCofinsAliquot[[#This Row],[Código NCM]],8)</f>
        <v>02072400</v>
      </c>
      <c r="D32" s="127"/>
      <c r="E32" s="128"/>
      <c r="F32" s="129" t="s">
        <v>4813</v>
      </c>
      <c r="G32" s="22">
        <v>0</v>
      </c>
      <c r="H32" s="22">
        <v>0</v>
      </c>
      <c r="I32">
        <f>IF(PisCofinsAliquot[[#This Row],[Classificação]]="Alíquota 0",6,IF(PisCofinsAliquot[[#This Row],[Classificação]]="Monofásico",4,IF(PisCofinsAliquot[[#This Row],[Classificação]]="Regra Geral",1,IF(PisCofinsAliquot[[#This Row],[Classificação]]="ST",5))))</f>
        <v>6</v>
      </c>
    </row>
    <row r="33" spans="1:9" ht="45" x14ac:dyDescent="0.25">
      <c r="A33" s="124" t="s">
        <v>3089</v>
      </c>
      <c r="B33" s="125" t="s">
        <v>2701</v>
      </c>
      <c r="C33" s="126" t="str">
        <f>RIGHT(PisCofinsAliquot[[#This Row],[Código NCM]],8)</f>
        <v>02072500</v>
      </c>
      <c r="D33" s="127"/>
      <c r="E33" s="128"/>
      <c r="F33" s="129" t="s">
        <v>4814</v>
      </c>
      <c r="G33" s="22">
        <v>0</v>
      </c>
      <c r="H33" s="22">
        <v>0</v>
      </c>
      <c r="I33">
        <f>IF(PisCofinsAliquot[[#This Row],[Classificação]]="Alíquota 0",6,IF(PisCofinsAliquot[[#This Row],[Classificação]]="Monofásico",4,IF(PisCofinsAliquot[[#This Row],[Classificação]]="Regra Geral",1,IF(PisCofinsAliquot[[#This Row],[Classificação]]="ST",5))))</f>
        <v>6</v>
      </c>
    </row>
    <row r="34" spans="1:9" ht="60" x14ac:dyDescent="0.25">
      <c r="A34" s="124" t="s">
        <v>3090</v>
      </c>
      <c r="B34" s="125" t="s">
        <v>2701</v>
      </c>
      <c r="C34" s="126" t="str">
        <f>RIGHT(PisCofinsAliquot[[#This Row],[Código NCM]],8)</f>
        <v>02072600</v>
      </c>
      <c r="D34" s="127"/>
      <c r="E34" s="128"/>
      <c r="F34" s="129" t="s">
        <v>4815</v>
      </c>
      <c r="G34" s="22">
        <v>0</v>
      </c>
      <c r="H34" s="22">
        <v>0</v>
      </c>
      <c r="I34">
        <f>IF(PisCofinsAliquot[[#This Row],[Classificação]]="Alíquota 0",6,IF(PisCofinsAliquot[[#This Row],[Classificação]]="Monofásico",4,IF(PisCofinsAliquot[[#This Row],[Classificação]]="Regra Geral",1,IF(PisCofinsAliquot[[#This Row],[Classificação]]="ST",5))))</f>
        <v>6</v>
      </c>
    </row>
    <row r="35" spans="1:9" ht="45" x14ac:dyDescent="0.25">
      <c r="A35" s="124" t="s">
        <v>3091</v>
      </c>
      <c r="B35" s="125" t="s">
        <v>2701</v>
      </c>
      <c r="C35" s="126" t="str">
        <f>RIGHT(PisCofinsAliquot[[#This Row],[Código NCM]],8)</f>
        <v>02072700</v>
      </c>
      <c r="D35" s="127"/>
      <c r="E35" s="128"/>
      <c r="F35" s="129" t="s">
        <v>4816</v>
      </c>
      <c r="G35" s="22">
        <v>0</v>
      </c>
      <c r="H35" s="22">
        <v>0</v>
      </c>
      <c r="I35">
        <f>IF(PisCofinsAliquot[[#This Row],[Classificação]]="Alíquota 0",6,IF(PisCofinsAliquot[[#This Row],[Classificação]]="Monofásico",4,IF(PisCofinsAliquot[[#This Row],[Classificação]]="Regra Geral",1,IF(PisCofinsAliquot[[#This Row],[Classificação]]="ST",5))))</f>
        <v>6</v>
      </c>
    </row>
    <row r="36" spans="1:9" ht="60" x14ac:dyDescent="0.25">
      <c r="A36" s="124" t="s">
        <v>3092</v>
      </c>
      <c r="B36" s="125" t="s">
        <v>2701</v>
      </c>
      <c r="C36" s="126" t="str">
        <f>RIGHT(PisCofinsAliquot[[#This Row],[Código NCM]],8)</f>
        <v>02074100</v>
      </c>
      <c r="D36" s="127"/>
      <c r="E36" s="128"/>
      <c r="F36" s="129" t="s">
        <v>4817</v>
      </c>
      <c r="G36" s="22">
        <v>0</v>
      </c>
      <c r="H36" s="22">
        <v>0</v>
      </c>
      <c r="I36">
        <f>IF(PisCofinsAliquot[[#This Row],[Classificação]]="Alíquota 0",6,IF(PisCofinsAliquot[[#This Row],[Classificação]]="Monofásico",4,IF(PisCofinsAliquot[[#This Row],[Classificação]]="Regra Geral",1,IF(PisCofinsAliquot[[#This Row],[Classificação]]="ST",5))))</f>
        <v>6</v>
      </c>
    </row>
    <row r="37" spans="1:9" ht="45" x14ac:dyDescent="0.25">
      <c r="A37" s="124" t="s">
        <v>3093</v>
      </c>
      <c r="B37" s="125" t="s">
        <v>2701</v>
      </c>
      <c r="C37" s="126" t="str">
        <f>RIGHT(PisCofinsAliquot[[#This Row],[Código NCM]],8)</f>
        <v>02074200</v>
      </c>
      <c r="D37" s="127"/>
      <c r="E37" s="128"/>
      <c r="F37" s="129" t="s">
        <v>4818</v>
      </c>
      <c r="G37" s="22">
        <v>0</v>
      </c>
      <c r="H37" s="22">
        <v>0</v>
      </c>
      <c r="I37">
        <f>IF(PisCofinsAliquot[[#This Row],[Classificação]]="Alíquota 0",6,IF(PisCofinsAliquot[[#This Row],[Classificação]]="Monofásico",4,IF(PisCofinsAliquot[[#This Row],[Classificação]]="Regra Geral",1,IF(PisCofinsAliquot[[#This Row],[Classificação]]="ST",5))))</f>
        <v>6</v>
      </c>
    </row>
    <row r="38" spans="1:9" ht="60" x14ac:dyDescent="0.25">
      <c r="A38" s="124" t="s">
        <v>3094</v>
      </c>
      <c r="B38" s="125" t="s">
        <v>2701</v>
      </c>
      <c r="C38" s="126" t="str">
        <f>RIGHT(PisCofinsAliquot[[#This Row],[Código NCM]],8)</f>
        <v>02074300</v>
      </c>
      <c r="D38" s="127"/>
      <c r="E38" s="128"/>
      <c r="F38" s="129" t="s">
        <v>4819</v>
      </c>
      <c r="G38" s="22">
        <v>0</v>
      </c>
      <c r="H38" s="22">
        <v>0</v>
      </c>
      <c r="I38">
        <f>IF(PisCofinsAliquot[[#This Row],[Classificação]]="Alíquota 0",6,IF(PisCofinsAliquot[[#This Row],[Classificação]]="Monofásico",4,IF(PisCofinsAliquot[[#This Row],[Classificação]]="Regra Geral",1,IF(PisCofinsAliquot[[#This Row],[Classificação]]="ST",5))))</f>
        <v>6</v>
      </c>
    </row>
    <row r="39" spans="1:9" ht="45" x14ac:dyDescent="0.25">
      <c r="A39" s="124" t="s">
        <v>3095</v>
      </c>
      <c r="B39" s="125" t="s">
        <v>2701</v>
      </c>
      <c r="C39" s="126" t="str">
        <f>RIGHT(PisCofinsAliquot[[#This Row],[Código NCM]],8)</f>
        <v>02074400</v>
      </c>
      <c r="D39" s="127"/>
      <c r="E39" s="128"/>
      <c r="F39" s="129" t="s">
        <v>4820</v>
      </c>
      <c r="G39" s="22">
        <v>0</v>
      </c>
      <c r="H39" s="22">
        <v>0</v>
      </c>
      <c r="I39">
        <f>IF(PisCofinsAliquot[[#This Row],[Classificação]]="Alíquota 0",6,IF(PisCofinsAliquot[[#This Row],[Classificação]]="Monofásico",4,IF(PisCofinsAliquot[[#This Row],[Classificação]]="Regra Geral",1,IF(PisCofinsAliquot[[#This Row],[Classificação]]="ST",5))))</f>
        <v>6</v>
      </c>
    </row>
    <row r="40" spans="1:9" ht="45" x14ac:dyDescent="0.25">
      <c r="A40" s="124" t="s">
        <v>3096</v>
      </c>
      <c r="B40" s="125" t="s">
        <v>2701</v>
      </c>
      <c r="C40" s="126" t="str">
        <f>RIGHT(PisCofinsAliquot[[#This Row],[Código NCM]],8)</f>
        <v>02074500</v>
      </c>
      <c r="D40" s="127"/>
      <c r="E40" s="128"/>
      <c r="F40" s="129" t="s">
        <v>4821</v>
      </c>
      <c r="G40" s="22">
        <v>0</v>
      </c>
      <c r="H40" s="22">
        <v>0</v>
      </c>
      <c r="I40">
        <f>IF(PisCofinsAliquot[[#This Row],[Classificação]]="Alíquota 0",6,IF(PisCofinsAliquot[[#This Row],[Classificação]]="Monofásico",4,IF(PisCofinsAliquot[[#This Row],[Classificação]]="Regra Geral",1,IF(PisCofinsAliquot[[#This Row],[Classificação]]="ST",5))))</f>
        <v>6</v>
      </c>
    </row>
    <row r="41" spans="1:9" ht="60" x14ac:dyDescent="0.25">
      <c r="A41" s="124" t="s">
        <v>3097</v>
      </c>
      <c r="B41" s="125" t="s">
        <v>2701</v>
      </c>
      <c r="C41" s="126" t="str">
        <f>RIGHT(PisCofinsAliquot[[#This Row],[Código NCM]],8)</f>
        <v>02075100</v>
      </c>
      <c r="D41" s="127"/>
      <c r="E41" s="128"/>
      <c r="F41" s="129" t="s">
        <v>4822</v>
      </c>
      <c r="G41" s="22">
        <v>0</v>
      </c>
      <c r="H41" s="22">
        <v>0</v>
      </c>
      <c r="I41">
        <f>IF(PisCofinsAliquot[[#This Row],[Classificação]]="Alíquota 0",6,IF(PisCofinsAliquot[[#This Row],[Classificação]]="Monofásico",4,IF(PisCofinsAliquot[[#This Row],[Classificação]]="Regra Geral",1,IF(PisCofinsAliquot[[#This Row],[Classificação]]="ST",5))))</f>
        <v>6</v>
      </c>
    </row>
    <row r="42" spans="1:9" ht="45" x14ac:dyDescent="0.25">
      <c r="A42" s="124" t="s">
        <v>3098</v>
      </c>
      <c r="B42" s="125" t="s">
        <v>2701</v>
      </c>
      <c r="C42" s="126" t="str">
        <f>RIGHT(PisCofinsAliquot[[#This Row],[Código NCM]],8)</f>
        <v>02075200</v>
      </c>
      <c r="D42" s="127"/>
      <c r="E42" s="128"/>
      <c r="F42" s="129" t="s">
        <v>4823</v>
      </c>
      <c r="G42" s="22">
        <v>0</v>
      </c>
      <c r="H42" s="22">
        <v>0</v>
      </c>
      <c r="I42">
        <f>IF(PisCofinsAliquot[[#This Row],[Classificação]]="Alíquota 0",6,IF(PisCofinsAliquot[[#This Row],[Classificação]]="Monofásico",4,IF(PisCofinsAliquot[[#This Row],[Classificação]]="Regra Geral",1,IF(PisCofinsAliquot[[#This Row],[Classificação]]="ST",5))))</f>
        <v>6</v>
      </c>
    </row>
    <row r="43" spans="1:9" ht="60" x14ac:dyDescent="0.25">
      <c r="A43" s="124" t="s">
        <v>3099</v>
      </c>
      <c r="B43" s="125" t="s">
        <v>2701</v>
      </c>
      <c r="C43" s="126" t="str">
        <f>RIGHT(PisCofinsAliquot[[#This Row],[Código NCM]],8)</f>
        <v>02075300</v>
      </c>
      <c r="D43" s="127"/>
      <c r="E43" s="128"/>
      <c r="F43" s="129" t="s">
        <v>4824</v>
      </c>
      <c r="G43" s="22">
        <v>0</v>
      </c>
      <c r="H43" s="22">
        <v>0</v>
      </c>
      <c r="I43">
        <f>IF(PisCofinsAliquot[[#This Row],[Classificação]]="Alíquota 0",6,IF(PisCofinsAliquot[[#This Row],[Classificação]]="Monofásico",4,IF(PisCofinsAliquot[[#This Row],[Classificação]]="Regra Geral",1,IF(PisCofinsAliquot[[#This Row],[Classificação]]="ST",5))))</f>
        <v>6</v>
      </c>
    </row>
    <row r="44" spans="1:9" ht="45" x14ac:dyDescent="0.25">
      <c r="A44" s="124" t="s">
        <v>3100</v>
      </c>
      <c r="B44" s="125" t="s">
        <v>2701</v>
      </c>
      <c r="C44" s="126" t="str">
        <f>RIGHT(PisCofinsAliquot[[#This Row],[Código NCM]],8)</f>
        <v>02075400</v>
      </c>
      <c r="D44" s="127"/>
      <c r="E44" s="128"/>
      <c r="F44" s="129" t="s">
        <v>4825</v>
      </c>
      <c r="G44" s="22">
        <v>0</v>
      </c>
      <c r="H44" s="22">
        <v>0</v>
      </c>
      <c r="I44">
        <f>IF(PisCofinsAliquot[[#This Row],[Classificação]]="Alíquota 0",6,IF(PisCofinsAliquot[[#This Row],[Classificação]]="Monofásico",4,IF(PisCofinsAliquot[[#This Row],[Classificação]]="Regra Geral",1,IF(PisCofinsAliquot[[#This Row],[Classificação]]="ST",5))))</f>
        <v>6</v>
      </c>
    </row>
    <row r="45" spans="1:9" ht="45" x14ac:dyDescent="0.25">
      <c r="A45" s="124" t="s">
        <v>3101</v>
      </c>
      <c r="B45" s="125" t="s">
        <v>2701</v>
      </c>
      <c r="C45" s="126" t="str">
        <f>RIGHT(PisCofinsAliquot[[#This Row],[Código NCM]],8)</f>
        <v>02075500</v>
      </c>
      <c r="D45" s="127"/>
      <c r="E45" s="128"/>
      <c r="F45" s="129" t="s">
        <v>4826</v>
      </c>
      <c r="G45" s="22">
        <v>0</v>
      </c>
      <c r="H45" s="22">
        <v>0</v>
      </c>
      <c r="I45">
        <f>IF(PisCofinsAliquot[[#This Row],[Classificação]]="Alíquota 0",6,IF(PisCofinsAliquot[[#This Row],[Classificação]]="Monofásico",4,IF(PisCofinsAliquot[[#This Row],[Classificação]]="Regra Geral",1,IF(PisCofinsAliquot[[#This Row],[Classificação]]="ST",5))))</f>
        <v>6</v>
      </c>
    </row>
    <row r="46" spans="1:9" ht="45" x14ac:dyDescent="0.25">
      <c r="A46" s="124" t="s">
        <v>3102</v>
      </c>
      <c r="B46" s="125" t="s">
        <v>2701</v>
      </c>
      <c r="C46" s="126" t="str">
        <f>RIGHT(PisCofinsAliquot[[#This Row],[Código NCM]],8)</f>
        <v>02076000</v>
      </c>
      <c r="D46" s="127"/>
      <c r="E46" s="128"/>
      <c r="F46" s="129" t="s">
        <v>4827</v>
      </c>
      <c r="G46" s="22">
        <v>0</v>
      </c>
      <c r="H46" s="22">
        <v>0</v>
      </c>
      <c r="I46">
        <f>IF(PisCofinsAliquot[[#This Row],[Classificação]]="Alíquota 0",6,IF(PisCofinsAliquot[[#This Row],[Classificação]]="Monofásico",4,IF(PisCofinsAliquot[[#This Row],[Classificação]]="Regra Geral",1,IF(PisCofinsAliquot[[#This Row],[Classificação]]="ST",5))))</f>
        <v>6</v>
      </c>
    </row>
    <row r="47" spans="1:9" ht="30" x14ac:dyDescent="0.25">
      <c r="A47" s="124" t="s">
        <v>3103</v>
      </c>
      <c r="B47" s="125" t="s">
        <v>2701</v>
      </c>
      <c r="C47" s="126" t="str">
        <f>RIGHT(PisCofinsAliquot[[#This Row],[Código NCM]],8)</f>
        <v>02091011</v>
      </c>
      <c r="D47" s="127"/>
      <c r="E47" s="128"/>
      <c r="F47" s="129" t="s">
        <v>4828</v>
      </c>
      <c r="G47" s="22">
        <v>0</v>
      </c>
      <c r="H47" s="22">
        <v>0</v>
      </c>
      <c r="I47">
        <f>IF(PisCofinsAliquot[[#This Row],[Classificação]]="Alíquota 0",6,IF(PisCofinsAliquot[[#This Row],[Classificação]]="Monofásico",4,IF(PisCofinsAliquot[[#This Row],[Classificação]]="Regra Geral",1,IF(PisCofinsAliquot[[#This Row],[Classificação]]="ST",5))))</f>
        <v>6</v>
      </c>
    </row>
    <row r="48" spans="1:9" ht="30" x14ac:dyDescent="0.25">
      <c r="A48" s="124" t="s">
        <v>3104</v>
      </c>
      <c r="B48" s="125" t="s">
        <v>2701</v>
      </c>
      <c r="C48" s="126" t="str">
        <f>RIGHT(PisCofinsAliquot[[#This Row],[Código NCM]],8)</f>
        <v>02091019</v>
      </c>
      <c r="D48" s="127"/>
      <c r="E48" s="128"/>
      <c r="F48" s="129" t="s">
        <v>4828</v>
      </c>
      <c r="G48" s="22">
        <v>0</v>
      </c>
      <c r="H48" s="22">
        <v>0</v>
      </c>
      <c r="I48">
        <f>IF(PisCofinsAliquot[[#This Row],[Classificação]]="Alíquota 0",6,IF(PisCofinsAliquot[[#This Row],[Classificação]]="Monofásico",4,IF(PisCofinsAliquot[[#This Row],[Classificação]]="Regra Geral",1,IF(PisCofinsAliquot[[#This Row],[Classificação]]="ST",5))))</f>
        <v>6</v>
      </c>
    </row>
    <row r="49" spans="1:9" ht="30" x14ac:dyDescent="0.25">
      <c r="A49" s="124" t="s">
        <v>3105</v>
      </c>
      <c r="B49" s="125" t="s">
        <v>2701</v>
      </c>
      <c r="C49" s="126" t="str">
        <f>RIGHT(PisCofinsAliquot[[#This Row],[Código NCM]],8)</f>
        <v>02091021</v>
      </c>
      <c r="D49" s="127"/>
      <c r="E49" s="128"/>
      <c r="F49" s="129" t="s">
        <v>4829</v>
      </c>
      <c r="G49" s="22">
        <v>0</v>
      </c>
      <c r="H49" s="22">
        <v>0</v>
      </c>
      <c r="I49">
        <f>IF(PisCofinsAliquot[[#This Row],[Classificação]]="Alíquota 0",6,IF(PisCofinsAliquot[[#This Row],[Classificação]]="Monofásico",4,IF(PisCofinsAliquot[[#This Row],[Classificação]]="Regra Geral",1,IF(PisCofinsAliquot[[#This Row],[Classificação]]="ST",5))))</f>
        <v>6</v>
      </c>
    </row>
    <row r="50" spans="1:9" ht="30" x14ac:dyDescent="0.25">
      <c r="A50" s="124" t="s">
        <v>3106</v>
      </c>
      <c r="B50" s="125" t="s">
        <v>2701</v>
      </c>
      <c r="C50" s="126" t="str">
        <f>RIGHT(PisCofinsAliquot[[#This Row],[Código NCM]],8)</f>
        <v>02091029</v>
      </c>
      <c r="D50" s="127"/>
      <c r="E50" s="128"/>
      <c r="F50" s="129" t="s">
        <v>4829</v>
      </c>
      <c r="G50" s="22">
        <v>0</v>
      </c>
      <c r="H50" s="22">
        <v>0</v>
      </c>
      <c r="I50">
        <f>IF(PisCofinsAliquot[[#This Row],[Classificação]]="Alíquota 0",6,IF(PisCofinsAliquot[[#This Row],[Classificação]]="Monofásico",4,IF(PisCofinsAliquot[[#This Row],[Classificação]]="Regra Geral",1,IF(PisCofinsAliquot[[#This Row],[Classificação]]="ST",5))))</f>
        <v>6</v>
      </c>
    </row>
    <row r="51" spans="1:9" ht="45" x14ac:dyDescent="0.25">
      <c r="A51" s="124" t="s">
        <v>3107</v>
      </c>
      <c r="B51" s="125" t="s">
        <v>2701</v>
      </c>
      <c r="C51" s="126" t="str">
        <f>RIGHT(PisCofinsAliquot[[#This Row],[Código NCM]],8)</f>
        <v>02099000</v>
      </c>
      <c r="D51" s="127"/>
      <c r="E51" s="128"/>
      <c r="F51" s="129" t="s">
        <v>4830</v>
      </c>
      <c r="G51" s="22">
        <v>0</v>
      </c>
      <c r="H51" s="22">
        <v>0</v>
      </c>
      <c r="I51">
        <f>IF(PisCofinsAliquot[[#This Row],[Classificação]]="Alíquota 0",6,IF(PisCofinsAliquot[[#This Row],[Classificação]]="Monofásico",4,IF(PisCofinsAliquot[[#This Row],[Classificação]]="Regra Geral",1,IF(PisCofinsAliquot[[#This Row],[Classificação]]="ST",5))))</f>
        <v>6</v>
      </c>
    </row>
    <row r="52" spans="1:9" ht="60" x14ac:dyDescent="0.25">
      <c r="A52" s="124" t="s">
        <v>3108</v>
      </c>
      <c r="B52" s="125" t="s">
        <v>2701</v>
      </c>
      <c r="C52" s="126" t="str">
        <f>RIGHT(PisCofinsAliquot[[#This Row],[Código NCM]],8)</f>
        <v>02101000</v>
      </c>
      <c r="D52" s="127"/>
      <c r="E52" s="128"/>
      <c r="F52" s="129" t="s">
        <v>4831</v>
      </c>
      <c r="G52" s="22">
        <v>0</v>
      </c>
      <c r="H52" s="22">
        <v>0</v>
      </c>
      <c r="I52">
        <f>IF(PisCofinsAliquot[[#This Row],[Classificação]]="Alíquota 0",6,IF(PisCofinsAliquot[[#This Row],[Classificação]]="Monofásico",4,IF(PisCofinsAliquot[[#This Row],[Classificação]]="Regra Geral",1,IF(PisCofinsAliquot[[#This Row],[Classificação]]="ST",5))))</f>
        <v>6</v>
      </c>
    </row>
    <row r="53" spans="1:9" ht="60" x14ac:dyDescent="0.25">
      <c r="A53" s="124" t="s">
        <v>3109</v>
      </c>
      <c r="B53" s="125" t="s">
        <v>2701</v>
      </c>
      <c r="C53" s="126" t="str">
        <f>RIGHT(PisCofinsAliquot[[#This Row],[Código NCM]],8)</f>
        <v>02101100</v>
      </c>
      <c r="D53" s="127"/>
      <c r="E53" s="128"/>
      <c r="F53" s="129" t="s">
        <v>4832</v>
      </c>
      <c r="G53" s="22">
        <v>0</v>
      </c>
      <c r="H53" s="22">
        <v>0</v>
      </c>
      <c r="I53">
        <f>IF(PisCofinsAliquot[[#This Row],[Classificação]]="Alíquota 0",6,IF(PisCofinsAliquot[[#This Row],[Classificação]]="Monofásico",4,IF(PisCofinsAliquot[[#This Row],[Classificação]]="Regra Geral",1,IF(PisCofinsAliquot[[#This Row],[Classificação]]="ST",5))))</f>
        <v>6</v>
      </c>
    </row>
    <row r="54" spans="1:9" ht="75" x14ac:dyDescent="0.25">
      <c r="A54" s="124" t="s">
        <v>3110</v>
      </c>
      <c r="B54" s="125" t="s">
        <v>2701</v>
      </c>
      <c r="C54" s="126" t="str">
        <f>RIGHT(PisCofinsAliquot[[#This Row],[Código NCM]],8)</f>
        <v>02101200</v>
      </c>
      <c r="D54" s="127"/>
      <c r="E54" s="128"/>
      <c r="F54" s="129" t="s">
        <v>4833</v>
      </c>
      <c r="G54" s="3">
        <v>0</v>
      </c>
      <c r="H54" s="3">
        <v>0</v>
      </c>
      <c r="I54">
        <f>IF(PisCofinsAliquot[[#This Row],[Classificação]]="Alíquota 0",6,IF(PisCofinsAliquot[[#This Row],[Classificação]]="Monofásico",4,IF(PisCofinsAliquot[[#This Row],[Classificação]]="Regra Geral",1,IF(PisCofinsAliquot[[#This Row],[Classificação]]="ST",5))))</f>
        <v>6</v>
      </c>
    </row>
    <row r="55" spans="1:9" ht="45" x14ac:dyDescent="0.25">
      <c r="A55" s="124" t="s">
        <v>2730</v>
      </c>
      <c r="B55" s="125" t="s">
        <v>2701</v>
      </c>
      <c r="C55" s="126" t="str">
        <f>RIGHT(PisCofinsAliquot[[#This Row],[Código NCM]],8)</f>
        <v>02101900</v>
      </c>
      <c r="D55" s="127"/>
      <c r="E55" s="128"/>
      <c r="F55" s="129" t="s">
        <v>4834</v>
      </c>
      <c r="G55" s="22">
        <v>0</v>
      </c>
      <c r="H55" s="22">
        <v>0</v>
      </c>
      <c r="I55">
        <f>IF(PisCofinsAliquot[[#This Row],[Classificação]]="Alíquota 0",6,IF(PisCofinsAliquot[[#This Row],[Classificação]]="Monofásico",4,IF(PisCofinsAliquot[[#This Row],[Classificação]]="Regra Geral",1,IF(PisCofinsAliquot[[#This Row],[Classificação]]="ST",5))))</f>
        <v>6</v>
      </c>
    </row>
    <row r="56" spans="1:9" ht="105" x14ac:dyDescent="0.25">
      <c r="A56" s="124" t="s">
        <v>293</v>
      </c>
      <c r="B56" s="125" t="s">
        <v>2701</v>
      </c>
      <c r="C56" s="126" t="str">
        <f>RIGHT(PisCofinsAliquot[[#This Row],[Código NCM]],8)</f>
        <v>02102000</v>
      </c>
      <c r="D56" s="127"/>
      <c r="E56" s="128"/>
      <c r="F56" s="129" t="s">
        <v>4835</v>
      </c>
      <c r="G56" s="22">
        <v>0</v>
      </c>
      <c r="H56" s="22">
        <v>0</v>
      </c>
      <c r="I56">
        <f>IF(PisCofinsAliquot[[#This Row],[Classificação]]="Alíquota 0",6,IF(PisCofinsAliquot[[#This Row],[Classificação]]="Monofásico",4,IF(PisCofinsAliquot[[#This Row],[Classificação]]="Regra Geral",1,IF(PisCofinsAliquot[[#This Row],[Classificação]]="ST",5))))</f>
        <v>6</v>
      </c>
    </row>
    <row r="57" spans="1:9" x14ac:dyDescent="0.25">
      <c r="A57" s="124" t="s">
        <v>3111</v>
      </c>
      <c r="B57" s="125" t="s">
        <v>2701</v>
      </c>
      <c r="C57" s="126" t="str">
        <f>RIGHT(PisCofinsAliquot[[#This Row],[Código NCM]],8)</f>
        <v>03021100</v>
      </c>
      <c r="D57" s="127"/>
      <c r="E57" s="128"/>
      <c r="F57" s="128" t="s">
        <v>4836</v>
      </c>
      <c r="G57" s="22">
        <v>0</v>
      </c>
      <c r="H57" s="22">
        <v>0</v>
      </c>
      <c r="I57">
        <f>IF(PisCofinsAliquot[[#This Row],[Classificação]]="Alíquota 0",6,IF(PisCofinsAliquot[[#This Row],[Classificação]]="Monofásico",4,IF(PisCofinsAliquot[[#This Row],[Classificação]]="Regra Geral",1,IF(PisCofinsAliquot[[#This Row],[Classificação]]="ST",5))))</f>
        <v>6</v>
      </c>
    </row>
    <row r="58" spans="1:9" x14ac:dyDescent="0.25">
      <c r="A58" s="124" t="s">
        <v>3112</v>
      </c>
      <c r="B58" s="125" t="s">
        <v>2701</v>
      </c>
      <c r="C58" s="126" t="str">
        <f>RIGHT(PisCofinsAliquot[[#This Row],[Código NCM]],8)</f>
        <v>03021300</v>
      </c>
      <c r="D58" s="127"/>
      <c r="E58" s="128"/>
      <c r="F58" s="128" t="s">
        <v>4837</v>
      </c>
      <c r="G58" s="22">
        <v>0</v>
      </c>
      <c r="H58" s="22">
        <v>0</v>
      </c>
      <c r="I58">
        <f>IF(PisCofinsAliquot[[#This Row],[Classificação]]="Alíquota 0",6,IF(PisCofinsAliquot[[#This Row],[Classificação]]="Monofásico",4,IF(PisCofinsAliquot[[#This Row],[Classificação]]="Regra Geral",1,IF(PisCofinsAliquot[[#This Row],[Classificação]]="ST",5))))</f>
        <v>6</v>
      </c>
    </row>
    <row r="59" spans="1:9" x14ac:dyDescent="0.25">
      <c r="A59" s="124" t="s">
        <v>3113</v>
      </c>
      <c r="B59" s="125" t="s">
        <v>2701</v>
      </c>
      <c r="C59" s="126" t="str">
        <f>RIGHT(PisCofinsAliquot[[#This Row],[Código NCM]],8)</f>
        <v>03021400</v>
      </c>
      <c r="D59" s="127"/>
      <c r="E59" s="128"/>
      <c r="F59" s="128" t="s">
        <v>4838</v>
      </c>
      <c r="G59" s="22">
        <v>0</v>
      </c>
      <c r="H59" s="22">
        <v>0</v>
      </c>
      <c r="I59">
        <f>IF(PisCofinsAliquot[[#This Row],[Classificação]]="Alíquota 0",6,IF(PisCofinsAliquot[[#This Row],[Classificação]]="Monofásico",4,IF(PisCofinsAliquot[[#This Row],[Classificação]]="Regra Geral",1,IF(PisCofinsAliquot[[#This Row],[Classificação]]="ST",5))))</f>
        <v>6</v>
      </c>
    </row>
    <row r="60" spans="1:9" x14ac:dyDescent="0.25">
      <c r="A60" s="124" t="s">
        <v>3114</v>
      </c>
      <c r="B60" s="125" t="s">
        <v>2701</v>
      </c>
      <c r="C60" s="126" t="str">
        <f>RIGHT(PisCofinsAliquot[[#This Row],[Código NCM]],8)</f>
        <v>03021900</v>
      </c>
      <c r="D60" s="127"/>
      <c r="E60" s="128"/>
      <c r="F60" s="128" t="s">
        <v>4839</v>
      </c>
      <c r="G60" s="22">
        <v>0</v>
      </c>
      <c r="H60" s="22">
        <v>0</v>
      </c>
      <c r="I60">
        <f>IF(PisCofinsAliquot[[#This Row],[Classificação]]="Alíquota 0",6,IF(PisCofinsAliquot[[#This Row],[Classificação]]="Monofásico",4,IF(PisCofinsAliquot[[#This Row],[Classificação]]="Regra Geral",1,IF(PisCofinsAliquot[[#This Row],[Classificação]]="ST",5))))</f>
        <v>6</v>
      </c>
    </row>
    <row r="61" spans="1:9" x14ac:dyDescent="0.25">
      <c r="A61" s="124" t="s">
        <v>3115</v>
      </c>
      <c r="B61" s="125" t="s">
        <v>2701</v>
      </c>
      <c r="C61" s="126" t="str">
        <f>RIGHT(PisCofinsAliquot[[#This Row],[Código NCM]],8)</f>
        <v>03022100</v>
      </c>
      <c r="D61" s="127"/>
      <c r="E61" s="128"/>
      <c r="F61" s="128" t="s">
        <v>4840</v>
      </c>
      <c r="G61" s="22">
        <v>0</v>
      </c>
      <c r="H61" s="22">
        <v>0</v>
      </c>
      <c r="I61">
        <f>IF(PisCofinsAliquot[[#This Row],[Classificação]]="Alíquota 0",6,IF(PisCofinsAliquot[[#This Row],[Classificação]]="Monofásico",4,IF(PisCofinsAliquot[[#This Row],[Classificação]]="Regra Geral",1,IF(PisCofinsAliquot[[#This Row],[Classificação]]="ST",5))))</f>
        <v>6</v>
      </c>
    </row>
    <row r="62" spans="1:9" x14ac:dyDescent="0.25">
      <c r="A62" s="124" t="s">
        <v>3116</v>
      </c>
      <c r="B62" s="125" t="s">
        <v>2701</v>
      </c>
      <c r="C62" s="126" t="str">
        <f>RIGHT(PisCofinsAliquot[[#This Row],[Código NCM]],8)</f>
        <v>03022200</v>
      </c>
      <c r="D62" s="127"/>
      <c r="E62" s="128"/>
      <c r="F62" s="128" t="s">
        <v>4841</v>
      </c>
      <c r="G62" s="22">
        <v>0</v>
      </c>
      <c r="H62" s="22">
        <v>0</v>
      </c>
      <c r="I62">
        <f>IF(PisCofinsAliquot[[#This Row],[Classificação]]="Alíquota 0",6,IF(PisCofinsAliquot[[#This Row],[Classificação]]="Monofásico",4,IF(PisCofinsAliquot[[#This Row],[Classificação]]="Regra Geral",1,IF(PisCofinsAliquot[[#This Row],[Classificação]]="ST",5))))</f>
        <v>6</v>
      </c>
    </row>
    <row r="63" spans="1:9" x14ac:dyDescent="0.25">
      <c r="A63" s="124" t="s">
        <v>3117</v>
      </c>
      <c r="B63" s="125" t="s">
        <v>2701</v>
      </c>
      <c r="C63" s="126" t="str">
        <f>RIGHT(PisCofinsAliquot[[#This Row],[Código NCM]],8)</f>
        <v>03022300</v>
      </c>
      <c r="D63" s="127"/>
      <c r="E63" s="128"/>
      <c r="F63" s="128" t="s">
        <v>4842</v>
      </c>
      <c r="G63" s="22">
        <v>0</v>
      </c>
      <c r="H63" s="22">
        <v>0</v>
      </c>
      <c r="I63">
        <f>IF(PisCofinsAliquot[[#This Row],[Classificação]]="Alíquota 0",6,IF(PisCofinsAliquot[[#This Row],[Classificação]]="Monofásico",4,IF(PisCofinsAliquot[[#This Row],[Classificação]]="Regra Geral",1,IF(PisCofinsAliquot[[#This Row],[Classificação]]="ST",5))))</f>
        <v>6</v>
      </c>
    </row>
    <row r="64" spans="1:9" x14ac:dyDescent="0.25">
      <c r="A64" s="124" t="s">
        <v>3118</v>
      </c>
      <c r="B64" s="125" t="s">
        <v>2701</v>
      </c>
      <c r="C64" s="126" t="str">
        <f>RIGHT(PisCofinsAliquot[[#This Row],[Código NCM]],8)</f>
        <v>03022400</v>
      </c>
      <c r="D64" s="127"/>
      <c r="E64" s="128"/>
      <c r="F64" s="128" t="s">
        <v>4843</v>
      </c>
      <c r="G64" s="22">
        <v>0</v>
      </c>
      <c r="H64" s="22">
        <v>0</v>
      </c>
      <c r="I64">
        <f>IF(PisCofinsAliquot[[#This Row],[Classificação]]="Alíquota 0",6,IF(PisCofinsAliquot[[#This Row],[Classificação]]="Monofásico",4,IF(PisCofinsAliquot[[#This Row],[Classificação]]="Regra Geral",1,IF(PisCofinsAliquot[[#This Row],[Classificação]]="ST",5))))</f>
        <v>6</v>
      </c>
    </row>
    <row r="65" spans="1:9" x14ac:dyDescent="0.25">
      <c r="A65" s="124" t="s">
        <v>3119</v>
      </c>
      <c r="B65" s="125" t="s">
        <v>2701</v>
      </c>
      <c r="C65" s="126" t="str">
        <f>RIGHT(PisCofinsAliquot[[#This Row],[Código NCM]],8)</f>
        <v>03022900</v>
      </c>
      <c r="D65" s="127"/>
      <c r="E65" s="128"/>
      <c r="F65" s="128" t="s">
        <v>4844</v>
      </c>
      <c r="G65" s="22">
        <v>0</v>
      </c>
      <c r="H65" s="22">
        <v>0</v>
      </c>
      <c r="I65">
        <f>IF(PisCofinsAliquot[[#This Row],[Classificação]]="Alíquota 0",6,IF(PisCofinsAliquot[[#This Row],[Classificação]]="Monofásico",4,IF(PisCofinsAliquot[[#This Row],[Classificação]]="Regra Geral",1,IF(PisCofinsAliquot[[#This Row],[Classificação]]="ST",5))))</f>
        <v>6</v>
      </c>
    </row>
    <row r="66" spans="1:9" x14ac:dyDescent="0.25">
      <c r="A66" s="124" t="s">
        <v>3120</v>
      </c>
      <c r="B66" s="125" t="s">
        <v>2701</v>
      </c>
      <c r="C66" s="126" t="str">
        <f>RIGHT(PisCofinsAliquot[[#This Row],[Código NCM]],8)</f>
        <v>03023100</v>
      </c>
      <c r="D66" s="127"/>
      <c r="E66" s="128"/>
      <c r="F66" s="128" t="s">
        <v>4845</v>
      </c>
      <c r="G66" s="22">
        <v>0</v>
      </c>
      <c r="H66" s="22">
        <v>0</v>
      </c>
      <c r="I66">
        <f>IF(PisCofinsAliquot[[#This Row],[Classificação]]="Alíquota 0",6,IF(PisCofinsAliquot[[#This Row],[Classificação]]="Monofásico",4,IF(PisCofinsAliquot[[#This Row],[Classificação]]="Regra Geral",1,IF(PisCofinsAliquot[[#This Row],[Classificação]]="ST",5))))</f>
        <v>6</v>
      </c>
    </row>
    <row r="67" spans="1:9" x14ac:dyDescent="0.25">
      <c r="A67" s="124" t="s">
        <v>3121</v>
      </c>
      <c r="B67" s="125" t="s">
        <v>2701</v>
      </c>
      <c r="C67" s="126" t="str">
        <f>RIGHT(PisCofinsAliquot[[#This Row],[Código NCM]],8)</f>
        <v>03023200</v>
      </c>
      <c r="D67" s="127"/>
      <c r="E67" s="128"/>
      <c r="F67" s="128" t="s">
        <v>4846</v>
      </c>
      <c r="G67" s="22">
        <v>0</v>
      </c>
      <c r="H67" s="22">
        <v>0</v>
      </c>
      <c r="I67">
        <f>IF(PisCofinsAliquot[[#This Row],[Classificação]]="Alíquota 0",6,IF(PisCofinsAliquot[[#This Row],[Classificação]]="Monofásico",4,IF(PisCofinsAliquot[[#This Row],[Classificação]]="Regra Geral",1,IF(PisCofinsAliquot[[#This Row],[Classificação]]="ST",5))))</f>
        <v>6</v>
      </c>
    </row>
    <row r="68" spans="1:9" x14ac:dyDescent="0.25">
      <c r="A68" s="124" t="s">
        <v>3122</v>
      </c>
      <c r="B68" s="125" t="s">
        <v>2701</v>
      </c>
      <c r="C68" s="126" t="str">
        <f>RIGHT(PisCofinsAliquot[[#This Row],[Código NCM]],8)</f>
        <v>03023300</v>
      </c>
      <c r="D68" s="127"/>
      <c r="E68" s="128"/>
      <c r="F68" s="128" t="s">
        <v>4847</v>
      </c>
      <c r="G68" s="22">
        <v>0</v>
      </c>
      <c r="H68" s="22">
        <v>0</v>
      </c>
      <c r="I68">
        <f>IF(PisCofinsAliquot[[#This Row],[Classificação]]="Alíquota 0",6,IF(PisCofinsAliquot[[#This Row],[Classificação]]="Monofásico",4,IF(PisCofinsAliquot[[#This Row],[Classificação]]="Regra Geral",1,IF(PisCofinsAliquot[[#This Row],[Classificação]]="ST",5))))</f>
        <v>6</v>
      </c>
    </row>
    <row r="69" spans="1:9" x14ac:dyDescent="0.25">
      <c r="A69" s="124" t="s">
        <v>3123</v>
      </c>
      <c r="B69" s="125" t="s">
        <v>2701</v>
      </c>
      <c r="C69" s="126" t="str">
        <f>RIGHT(PisCofinsAliquot[[#This Row],[Código NCM]],8)</f>
        <v>03023400</v>
      </c>
      <c r="D69" s="127"/>
      <c r="E69" s="128"/>
      <c r="F69" s="128" t="s">
        <v>4848</v>
      </c>
      <c r="G69" s="22">
        <v>0</v>
      </c>
      <c r="H69" s="22">
        <v>0</v>
      </c>
      <c r="I69">
        <f>IF(PisCofinsAliquot[[#This Row],[Classificação]]="Alíquota 0",6,IF(PisCofinsAliquot[[#This Row],[Classificação]]="Monofásico",4,IF(PisCofinsAliquot[[#This Row],[Classificação]]="Regra Geral",1,IF(PisCofinsAliquot[[#This Row],[Classificação]]="ST",5))))</f>
        <v>6</v>
      </c>
    </row>
    <row r="70" spans="1:9" x14ac:dyDescent="0.25">
      <c r="A70" s="124" t="s">
        <v>3124</v>
      </c>
      <c r="B70" s="125" t="s">
        <v>2701</v>
      </c>
      <c r="C70" s="126" t="str">
        <f>RIGHT(PisCofinsAliquot[[#This Row],[Código NCM]],8)</f>
        <v>03023500</v>
      </c>
      <c r="D70" s="127"/>
      <c r="E70" s="128"/>
      <c r="F70" s="128" t="s">
        <v>4849</v>
      </c>
      <c r="G70" s="22">
        <v>0</v>
      </c>
      <c r="H70" s="22">
        <v>0</v>
      </c>
      <c r="I70">
        <f>IF(PisCofinsAliquot[[#This Row],[Classificação]]="Alíquota 0",6,IF(PisCofinsAliquot[[#This Row],[Classificação]]="Monofásico",4,IF(PisCofinsAliquot[[#This Row],[Classificação]]="Regra Geral",1,IF(PisCofinsAliquot[[#This Row],[Classificação]]="ST",5))))</f>
        <v>6</v>
      </c>
    </row>
    <row r="71" spans="1:9" x14ac:dyDescent="0.25">
      <c r="A71" s="124" t="s">
        <v>3125</v>
      </c>
      <c r="B71" s="125" t="s">
        <v>2701</v>
      </c>
      <c r="C71" s="126" t="str">
        <f>RIGHT(PisCofinsAliquot[[#This Row],[Código NCM]],8)</f>
        <v>03023600</v>
      </c>
      <c r="D71" s="127"/>
      <c r="E71" s="128"/>
      <c r="F71" s="128" t="s">
        <v>4850</v>
      </c>
      <c r="G71" s="22">
        <v>0</v>
      </c>
      <c r="H71" s="22">
        <v>0</v>
      </c>
      <c r="I71">
        <f>IF(PisCofinsAliquot[[#This Row],[Classificação]]="Alíquota 0",6,IF(PisCofinsAliquot[[#This Row],[Classificação]]="Monofásico",4,IF(PisCofinsAliquot[[#This Row],[Classificação]]="Regra Geral",1,IF(PisCofinsAliquot[[#This Row],[Classificação]]="ST",5))))</f>
        <v>6</v>
      </c>
    </row>
    <row r="72" spans="1:9" x14ac:dyDescent="0.25">
      <c r="A72" s="124" t="s">
        <v>3126</v>
      </c>
      <c r="B72" s="125" t="s">
        <v>2701</v>
      </c>
      <c r="C72" s="126" t="str">
        <f>RIGHT(PisCofinsAliquot[[#This Row],[Código NCM]],8)</f>
        <v>03023900</v>
      </c>
      <c r="D72" s="127"/>
      <c r="E72" s="128"/>
      <c r="F72" s="128" t="s">
        <v>4851</v>
      </c>
      <c r="G72" s="22">
        <v>0</v>
      </c>
      <c r="H72" s="22">
        <v>0</v>
      </c>
      <c r="I72">
        <f>IF(PisCofinsAliquot[[#This Row],[Classificação]]="Alíquota 0",6,IF(PisCofinsAliquot[[#This Row],[Classificação]]="Monofásico",4,IF(PisCofinsAliquot[[#This Row],[Classificação]]="Regra Geral",1,IF(PisCofinsAliquot[[#This Row],[Classificação]]="ST",5))))</f>
        <v>6</v>
      </c>
    </row>
    <row r="73" spans="1:9" x14ac:dyDescent="0.25">
      <c r="A73" s="124" t="s">
        <v>3127</v>
      </c>
      <c r="B73" s="125" t="s">
        <v>2701</v>
      </c>
      <c r="C73" s="126" t="str">
        <f>RIGHT(PisCofinsAliquot[[#This Row],[Código NCM]],8)</f>
        <v>03024100</v>
      </c>
      <c r="D73" s="127"/>
      <c r="E73" s="128"/>
      <c r="F73" s="128" t="s">
        <v>4852</v>
      </c>
      <c r="G73" s="22">
        <v>0</v>
      </c>
      <c r="H73" s="22">
        <v>0</v>
      </c>
      <c r="I73">
        <f>IF(PisCofinsAliquot[[#This Row],[Classificação]]="Alíquota 0",6,IF(PisCofinsAliquot[[#This Row],[Classificação]]="Monofásico",4,IF(PisCofinsAliquot[[#This Row],[Classificação]]="Regra Geral",1,IF(PisCofinsAliquot[[#This Row],[Classificação]]="ST",5))))</f>
        <v>6</v>
      </c>
    </row>
    <row r="74" spans="1:9" x14ac:dyDescent="0.25">
      <c r="A74" s="124" t="s">
        <v>3128</v>
      </c>
      <c r="B74" s="125" t="s">
        <v>2701</v>
      </c>
      <c r="C74" s="126" t="str">
        <f>RIGHT(PisCofinsAliquot[[#This Row],[Código NCM]],8)</f>
        <v>03024210</v>
      </c>
      <c r="D74" s="127"/>
      <c r="E74" s="128"/>
      <c r="F74" s="128" t="s">
        <v>4853</v>
      </c>
      <c r="G74" s="22">
        <v>0</v>
      </c>
      <c r="H74" s="22">
        <v>0</v>
      </c>
      <c r="I74">
        <f>IF(PisCofinsAliquot[[#This Row],[Classificação]]="Alíquota 0",6,IF(PisCofinsAliquot[[#This Row],[Classificação]]="Monofásico",4,IF(PisCofinsAliquot[[#This Row],[Classificação]]="Regra Geral",1,IF(PisCofinsAliquot[[#This Row],[Classificação]]="ST",5))))</f>
        <v>6</v>
      </c>
    </row>
    <row r="75" spans="1:9" x14ac:dyDescent="0.25">
      <c r="A75" s="124" t="s">
        <v>3129</v>
      </c>
      <c r="B75" s="125" t="s">
        <v>2701</v>
      </c>
      <c r="C75" s="126" t="str">
        <f>RIGHT(PisCofinsAliquot[[#This Row],[Código NCM]],8)</f>
        <v>03024290</v>
      </c>
      <c r="D75" s="127"/>
      <c r="E75" s="128"/>
      <c r="F75" s="128" t="s">
        <v>4852</v>
      </c>
      <c r="G75" s="22">
        <v>0</v>
      </c>
      <c r="H75" s="22">
        <v>0</v>
      </c>
      <c r="I75">
        <f>IF(PisCofinsAliquot[[#This Row],[Classificação]]="Alíquota 0",6,IF(PisCofinsAliquot[[#This Row],[Classificação]]="Monofásico",4,IF(PisCofinsAliquot[[#This Row],[Classificação]]="Regra Geral",1,IF(PisCofinsAliquot[[#This Row],[Classificação]]="ST",5))))</f>
        <v>6</v>
      </c>
    </row>
    <row r="76" spans="1:9" x14ac:dyDescent="0.25">
      <c r="A76" s="124" t="s">
        <v>3130</v>
      </c>
      <c r="B76" s="125" t="s">
        <v>2701</v>
      </c>
      <c r="C76" s="126" t="str">
        <f>RIGHT(PisCofinsAliquot[[#This Row],[Código NCM]],8)</f>
        <v>03024300</v>
      </c>
      <c r="D76" s="127"/>
      <c r="E76" s="128"/>
      <c r="F76" s="128" t="s">
        <v>4854</v>
      </c>
      <c r="G76" s="22">
        <v>0</v>
      </c>
      <c r="H76" s="22">
        <v>0</v>
      </c>
      <c r="I76">
        <f>IF(PisCofinsAliquot[[#This Row],[Classificação]]="Alíquota 0",6,IF(PisCofinsAliquot[[#This Row],[Classificação]]="Monofásico",4,IF(PisCofinsAliquot[[#This Row],[Classificação]]="Regra Geral",1,IF(PisCofinsAliquot[[#This Row],[Classificação]]="ST",5))))</f>
        <v>6</v>
      </c>
    </row>
    <row r="77" spans="1:9" x14ac:dyDescent="0.25">
      <c r="A77" s="124" t="s">
        <v>3131</v>
      </c>
      <c r="B77" s="125" t="s">
        <v>2701</v>
      </c>
      <c r="C77" s="126" t="str">
        <f>RIGHT(PisCofinsAliquot[[#This Row],[Código NCM]],8)</f>
        <v>03024400</v>
      </c>
      <c r="D77" s="127"/>
      <c r="E77" s="128"/>
      <c r="F77" s="128" t="s">
        <v>4855</v>
      </c>
      <c r="G77" s="22">
        <v>0</v>
      </c>
      <c r="H77" s="22">
        <v>0</v>
      </c>
      <c r="I77">
        <f>IF(PisCofinsAliquot[[#This Row],[Classificação]]="Alíquota 0",6,IF(PisCofinsAliquot[[#This Row],[Classificação]]="Monofásico",4,IF(PisCofinsAliquot[[#This Row],[Classificação]]="Regra Geral",1,IF(PisCofinsAliquot[[#This Row],[Classificação]]="ST",5))))</f>
        <v>6</v>
      </c>
    </row>
    <row r="78" spans="1:9" x14ac:dyDescent="0.25">
      <c r="A78" s="124" t="s">
        <v>3132</v>
      </c>
      <c r="B78" s="125" t="s">
        <v>2701</v>
      </c>
      <c r="C78" s="126" t="str">
        <f>RIGHT(PisCofinsAliquot[[#This Row],[Código NCM]],8)</f>
        <v>03024500</v>
      </c>
      <c r="D78" s="127"/>
      <c r="E78" s="128"/>
      <c r="F78" s="128" t="s">
        <v>4856</v>
      </c>
      <c r="G78" s="22">
        <v>0</v>
      </c>
      <c r="H78" s="22">
        <v>0</v>
      </c>
      <c r="I78">
        <f>IF(PisCofinsAliquot[[#This Row],[Classificação]]="Alíquota 0",6,IF(PisCofinsAliquot[[#This Row],[Classificação]]="Monofásico",4,IF(PisCofinsAliquot[[#This Row],[Classificação]]="Regra Geral",1,IF(PisCofinsAliquot[[#This Row],[Classificação]]="ST",5))))</f>
        <v>6</v>
      </c>
    </row>
    <row r="79" spans="1:9" x14ac:dyDescent="0.25">
      <c r="A79" s="124" t="s">
        <v>3133</v>
      </c>
      <c r="B79" s="125" t="s">
        <v>2701</v>
      </c>
      <c r="C79" s="126" t="str">
        <f>RIGHT(PisCofinsAliquot[[#This Row],[Código NCM]],8)</f>
        <v>03024600</v>
      </c>
      <c r="D79" s="127"/>
      <c r="E79" s="128"/>
      <c r="F79" s="128" t="s">
        <v>4857</v>
      </c>
      <c r="G79" s="22">
        <v>0</v>
      </c>
      <c r="H79" s="22">
        <v>0</v>
      </c>
      <c r="I79">
        <f>IF(PisCofinsAliquot[[#This Row],[Classificação]]="Alíquota 0",6,IF(PisCofinsAliquot[[#This Row],[Classificação]]="Monofásico",4,IF(PisCofinsAliquot[[#This Row],[Classificação]]="Regra Geral",1,IF(PisCofinsAliquot[[#This Row],[Classificação]]="ST",5))))</f>
        <v>6</v>
      </c>
    </row>
    <row r="80" spans="1:9" x14ac:dyDescent="0.25">
      <c r="A80" s="124" t="s">
        <v>3134</v>
      </c>
      <c r="B80" s="125" t="s">
        <v>2701</v>
      </c>
      <c r="C80" s="126" t="str">
        <f>RIGHT(PisCofinsAliquot[[#This Row],[Código NCM]],8)</f>
        <v>03024700</v>
      </c>
      <c r="D80" s="127"/>
      <c r="E80" s="128"/>
      <c r="F80" s="128" t="s">
        <v>4858</v>
      </c>
      <c r="G80" s="22">
        <v>0</v>
      </c>
      <c r="H80" s="22">
        <v>0</v>
      </c>
      <c r="I80">
        <f>IF(PisCofinsAliquot[[#This Row],[Classificação]]="Alíquota 0",6,IF(PisCofinsAliquot[[#This Row],[Classificação]]="Monofásico",4,IF(PisCofinsAliquot[[#This Row],[Classificação]]="Regra Geral",1,IF(PisCofinsAliquot[[#This Row],[Classificação]]="ST",5))))</f>
        <v>6</v>
      </c>
    </row>
    <row r="81" spans="1:9" x14ac:dyDescent="0.25">
      <c r="A81" s="124" t="s">
        <v>3135</v>
      </c>
      <c r="B81" s="125" t="s">
        <v>2701</v>
      </c>
      <c r="C81" s="126" t="str">
        <f>RIGHT(PisCofinsAliquot[[#This Row],[Código NCM]],8)</f>
        <v>03024910</v>
      </c>
      <c r="D81" s="127"/>
      <c r="E81" s="128"/>
      <c r="F81" s="128" t="s">
        <v>4859</v>
      </c>
      <c r="G81" s="22">
        <v>0</v>
      </c>
      <c r="H81" s="22">
        <v>0</v>
      </c>
      <c r="I81">
        <f>IF(PisCofinsAliquot[[#This Row],[Classificação]]="Alíquota 0",6,IF(PisCofinsAliquot[[#This Row],[Classificação]]="Monofásico",4,IF(PisCofinsAliquot[[#This Row],[Classificação]]="Regra Geral",1,IF(PisCofinsAliquot[[#This Row],[Classificação]]="ST",5))))</f>
        <v>6</v>
      </c>
    </row>
    <row r="82" spans="1:9" x14ac:dyDescent="0.25">
      <c r="A82" s="124" t="s">
        <v>3136</v>
      </c>
      <c r="B82" s="125" t="s">
        <v>2701</v>
      </c>
      <c r="C82" s="126" t="str">
        <f>RIGHT(PisCofinsAliquot[[#This Row],[Código NCM]],8)</f>
        <v>03024990</v>
      </c>
      <c r="D82" s="127"/>
      <c r="E82" s="128"/>
      <c r="F82" s="128" t="s">
        <v>4860</v>
      </c>
      <c r="G82" s="22">
        <v>0</v>
      </c>
      <c r="H82" s="22">
        <v>0</v>
      </c>
      <c r="I82">
        <f>IF(PisCofinsAliquot[[#This Row],[Classificação]]="Alíquota 0",6,IF(PisCofinsAliquot[[#This Row],[Classificação]]="Monofásico",4,IF(PisCofinsAliquot[[#This Row],[Classificação]]="Regra Geral",1,IF(PisCofinsAliquot[[#This Row],[Classificação]]="ST",5))))</f>
        <v>6</v>
      </c>
    </row>
    <row r="83" spans="1:9" x14ac:dyDescent="0.25">
      <c r="A83" s="124" t="s">
        <v>3137</v>
      </c>
      <c r="B83" s="125" t="s">
        <v>2701</v>
      </c>
      <c r="C83" s="126" t="str">
        <f>RIGHT(PisCofinsAliquot[[#This Row],[Código NCM]],8)</f>
        <v>03025100</v>
      </c>
      <c r="D83" s="127"/>
      <c r="E83" s="128"/>
      <c r="F83" s="128" t="s">
        <v>4861</v>
      </c>
      <c r="G83" s="22">
        <v>0</v>
      </c>
      <c r="H83" s="22">
        <v>0</v>
      </c>
      <c r="I83">
        <f>IF(PisCofinsAliquot[[#This Row],[Classificação]]="Alíquota 0",6,IF(PisCofinsAliquot[[#This Row],[Classificação]]="Monofásico",4,IF(PisCofinsAliquot[[#This Row],[Classificação]]="Regra Geral",1,IF(PisCofinsAliquot[[#This Row],[Classificação]]="ST",5))))</f>
        <v>6</v>
      </c>
    </row>
    <row r="84" spans="1:9" x14ac:dyDescent="0.25">
      <c r="A84" s="124" t="s">
        <v>3138</v>
      </c>
      <c r="B84" s="125" t="s">
        <v>2701</v>
      </c>
      <c r="C84" s="126" t="str">
        <f>RIGHT(PisCofinsAliquot[[#This Row],[Código NCM]],8)</f>
        <v>03025200</v>
      </c>
      <c r="D84" s="127"/>
      <c r="E84" s="128"/>
      <c r="F84" s="128" t="s">
        <v>4862</v>
      </c>
      <c r="G84" s="22">
        <v>0</v>
      </c>
      <c r="H84" s="22">
        <v>0</v>
      </c>
      <c r="I84">
        <f>IF(PisCofinsAliquot[[#This Row],[Classificação]]="Alíquota 0",6,IF(PisCofinsAliquot[[#This Row],[Classificação]]="Monofásico",4,IF(PisCofinsAliquot[[#This Row],[Classificação]]="Regra Geral",1,IF(PisCofinsAliquot[[#This Row],[Classificação]]="ST",5))))</f>
        <v>6</v>
      </c>
    </row>
    <row r="85" spans="1:9" x14ac:dyDescent="0.25">
      <c r="A85" s="124" t="s">
        <v>3139</v>
      </c>
      <c r="B85" s="125" t="s">
        <v>2701</v>
      </c>
      <c r="C85" s="126" t="str">
        <f>RIGHT(PisCofinsAliquot[[#This Row],[Código NCM]],8)</f>
        <v>03025300</v>
      </c>
      <c r="D85" s="127"/>
      <c r="E85" s="128"/>
      <c r="F85" s="128" t="s">
        <v>4863</v>
      </c>
      <c r="G85" s="22">
        <v>0</v>
      </c>
      <c r="H85" s="22">
        <v>0</v>
      </c>
      <c r="I85">
        <f>IF(PisCofinsAliquot[[#This Row],[Classificação]]="Alíquota 0",6,IF(PisCofinsAliquot[[#This Row],[Classificação]]="Monofásico",4,IF(PisCofinsAliquot[[#This Row],[Classificação]]="Regra Geral",1,IF(PisCofinsAliquot[[#This Row],[Classificação]]="ST",5))))</f>
        <v>6</v>
      </c>
    </row>
    <row r="86" spans="1:9" x14ac:dyDescent="0.25">
      <c r="A86" s="124" t="s">
        <v>3140</v>
      </c>
      <c r="B86" s="125" t="s">
        <v>2701</v>
      </c>
      <c r="C86" s="126" t="str">
        <f>RIGHT(PisCofinsAliquot[[#This Row],[Código NCM]],8)</f>
        <v>03025400</v>
      </c>
      <c r="D86" s="127"/>
      <c r="E86" s="128"/>
      <c r="F86" s="128" t="s">
        <v>4864</v>
      </c>
      <c r="G86" s="22">
        <v>0</v>
      </c>
      <c r="H86" s="22">
        <v>0</v>
      </c>
      <c r="I86">
        <f>IF(PisCofinsAliquot[[#This Row],[Classificação]]="Alíquota 0",6,IF(PisCofinsAliquot[[#This Row],[Classificação]]="Monofásico",4,IF(PisCofinsAliquot[[#This Row],[Classificação]]="Regra Geral",1,IF(PisCofinsAliquot[[#This Row],[Classificação]]="ST",5))))</f>
        <v>6</v>
      </c>
    </row>
    <row r="87" spans="1:9" x14ac:dyDescent="0.25">
      <c r="A87" s="124" t="s">
        <v>3141</v>
      </c>
      <c r="B87" s="125" t="s">
        <v>2701</v>
      </c>
      <c r="C87" s="126" t="str">
        <f>RIGHT(PisCofinsAliquot[[#This Row],[Código NCM]],8)</f>
        <v>03025500</v>
      </c>
      <c r="D87" s="127"/>
      <c r="E87" s="128"/>
      <c r="F87" s="128" t="s">
        <v>4865</v>
      </c>
      <c r="G87" s="22">
        <v>0</v>
      </c>
      <c r="H87" s="22">
        <v>0</v>
      </c>
      <c r="I87">
        <f>IF(PisCofinsAliquot[[#This Row],[Classificação]]="Alíquota 0",6,IF(PisCofinsAliquot[[#This Row],[Classificação]]="Monofásico",4,IF(PisCofinsAliquot[[#This Row],[Classificação]]="Regra Geral",1,IF(PisCofinsAliquot[[#This Row],[Classificação]]="ST",5))))</f>
        <v>6</v>
      </c>
    </row>
    <row r="88" spans="1:9" x14ac:dyDescent="0.25">
      <c r="A88" s="124" t="s">
        <v>3142</v>
      </c>
      <c r="B88" s="125" t="s">
        <v>2701</v>
      </c>
      <c r="C88" s="126" t="str">
        <f>RIGHT(PisCofinsAliquot[[#This Row],[Código NCM]],8)</f>
        <v>03025600</v>
      </c>
      <c r="D88" s="127"/>
      <c r="E88" s="128"/>
      <c r="F88" s="128" t="s">
        <v>4866</v>
      </c>
      <c r="G88" s="22">
        <v>0</v>
      </c>
      <c r="H88" s="22">
        <v>0</v>
      </c>
      <c r="I88">
        <f>IF(PisCofinsAliquot[[#This Row],[Classificação]]="Alíquota 0",6,IF(PisCofinsAliquot[[#This Row],[Classificação]]="Monofásico",4,IF(PisCofinsAliquot[[#This Row],[Classificação]]="Regra Geral",1,IF(PisCofinsAliquot[[#This Row],[Classificação]]="ST",5))))</f>
        <v>6</v>
      </c>
    </row>
    <row r="89" spans="1:9" x14ac:dyDescent="0.25">
      <c r="A89" s="124" t="s">
        <v>3143</v>
      </c>
      <c r="B89" s="125" t="s">
        <v>2701</v>
      </c>
      <c r="C89" s="126" t="str">
        <f>RIGHT(PisCofinsAliquot[[#This Row],[Código NCM]],8)</f>
        <v>03025900</v>
      </c>
      <c r="D89" s="127"/>
      <c r="E89" s="128"/>
      <c r="F89" s="128" t="s">
        <v>4867</v>
      </c>
      <c r="G89" s="22">
        <v>0</v>
      </c>
      <c r="H89" s="22">
        <v>0</v>
      </c>
      <c r="I89">
        <f>IF(PisCofinsAliquot[[#This Row],[Classificação]]="Alíquota 0",6,IF(PisCofinsAliquot[[#This Row],[Classificação]]="Monofásico",4,IF(PisCofinsAliquot[[#This Row],[Classificação]]="Regra Geral",1,IF(PisCofinsAliquot[[#This Row],[Classificação]]="ST",5))))</f>
        <v>6</v>
      </c>
    </row>
    <row r="90" spans="1:9" x14ac:dyDescent="0.25">
      <c r="A90" s="124" t="s">
        <v>391</v>
      </c>
      <c r="B90" s="125" t="s">
        <v>2701</v>
      </c>
      <c r="C90" s="126" t="str">
        <f>RIGHT(PisCofinsAliquot[[#This Row],[Código NCM]],8)</f>
        <v>03027100</v>
      </c>
      <c r="D90" s="127"/>
      <c r="E90" s="128"/>
      <c r="F90" s="128" t="s">
        <v>4868</v>
      </c>
      <c r="G90" s="22">
        <v>0</v>
      </c>
      <c r="H90" s="22">
        <v>0</v>
      </c>
      <c r="I90">
        <f>IF(PisCofinsAliquot[[#This Row],[Classificação]]="Alíquota 0",6,IF(PisCofinsAliquot[[#This Row],[Classificação]]="Monofásico",4,IF(PisCofinsAliquot[[#This Row],[Classificação]]="Regra Geral",1,IF(PisCofinsAliquot[[#This Row],[Classificação]]="ST",5))))</f>
        <v>6</v>
      </c>
    </row>
    <row r="91" spans="1:9" x14ac:dyDescent="0.25">
      <c r="A91" s="124" t="s">
        <v>3144</v>
      </c>
      <c r="B91" s="125" t="s">
        <v>2701</v>
      </c>
      <c r="C91" s="126" t="str">
        <f>RIGHT(PisCofinsAliquot[[#This Row],[Código NCM]],8)</f>
        <v>03027210</v>
      </c>
      <c r="D91" s="127"/>
      <c r="E91" s="128"/>
      <c r="F91" s="128" t="s">
        <v>4869</v>
      </c>
      <c r="G91" s="22">
        <v>0</v>
      </c>
      <c r="H91" s="22">
        <v>0</v>
      </c>
      <c r="I91">
        <f>IF(PisCofinsAliquot[[#This Row],[Classificação]]="Alíquota 0",6,IF(PisCofinsAliquot[[#This Row],[Classificação]]="Monofásico",4,IF(PisCofinsAliquot[[#This Row],[Classificação]]="Regra Geral",1,IF(PisCofinsAliquot[[#This Row],[Classificação]]="ST",5))))</f>
        <v>6</v>
      </c>
    </row>
    <row r="92" spans="1:9" x14ac:dyDescent="0.25">
      <c r="A92" s="124" t="s">
        <v>3145</v>
      </c>
      <c r="B92" s="125" t="s">
        <v>2701</v>
      </c>
      <c r="C92" s="126" t="str">
        <f>RIGHT(PisCofinsAliquot[[#This Row],[Código NCM]],8)</f>
        <v>03027290</v>
      </c>
      <c r="D92" s="127"/>
      <c r="E92" s="128"/>
      <c r="F92" s="128" t="s">
        <v>4868</v>
      </c>
      <c r="G92" s="22">
        <v>0</v>
      </c>
      <c r="H92" s="22">
        <v>0</v>
      </c>
      <c r="I92">
        <f>IF(PisCofinsAliquot[[#This Row],[Classificação]]="Alíquota 0",6,IF(PisCofinsAliquot[[#This Row],[Classificação]]="Monofásico",4,IF(PisCofinsAliquot[[#This Row],[Classificação]]="Regra Geral",1,IF(PisCofinsAliquot[[#This Row],[Classificação]]="ST",5))))</f>
        <v>6</v>
      </c>
    </row>
    <row r="93" spans="1:9" x14ac:dyDescent="0.25">
      <c r="A93" s="124" t="s">
        <v>3146</v>
      </c>
      <c r="B93" s="125" t="s">
        <v>2701</v>
      </c>
      <c r="C93" s="126" t="str">
        <f>RIGHT(PisCofinsAliquot[[#This Row],[Código NCM]],8)</f>
        <v>03027300</v>
      </c>
      <c r="D93" s="127"/>
      <c r="E93" s="128"/>
      <c r="F93" s="128" t="s">
        <v>4870</v>
      </c>
      <c r="G93" s="22">
        <v>0</v>
      </c>
      <c r="H93" s="22">
        <v>0</v>
      </c>
      <c r="I93">
        <f>IF(PisCofinsAliquot[[#This Row],[Classificação]]="Alíquota 0",6,IF(PisCofinsAliquot[[#This Row],[Classificação]]="Monofásico",4,IF(PisCofinsAliquot[[#This Row],[Classificação]]="Regra Geral",1,IF(PisCofinsAliquot[[#This Row],[Classificação]]="ST",5))))</f>
        <v>6</v>
      </c>
    </row>
    <row r="94" spans="1:9" x14ac:dyDescent="0.25">
      <c r="A94" s="124" t="s">
        <v>3147</v>
      </c>
      <c r="B94" s="125" t="s">
        <v>2701</v>
      </c>
      <c r="C94" s="126" t="str">
        <f>RIGHT(PisCofinsAliquot[[#This Row],[Código NCM]],8)</f>
        <v>03027400</v>
      </c>
      <c r="D94" s="127"/>
      <c r="E94" s="128"/>
      <c r="F94" s="128" t="s">
        <v>4871</v>
      </c>
      <c r="G94" s="22">
        <v>0</v>
      </c>
      <c r="H94" s="22">
        <v>0</v>
      </c>
      <c r="I94">
        <f>IF(PisCofinsAliquot[[#This Row],[Classificação]]="Alíquota 0",6,IF(PisCofinsAliquot[[#This Row],[Classificação]]="Monofásico",4,IF(PisCofinsAliquot[[#This Row],[Classificação]]="Regra Geral",1,IF(PisCofinsAliquot[[#This Row],[Classificação]]="ST",5))))</f>
        <v>6</v>
      </c>
    </row>
    <row r="95" spans="1:9" x14ac:dyDescent="0.25">
      <c r="A95" s="124" t="s">
        <v>3148</v>
      </c>
      <c r="B95" s="125" t="s">
        <v>2701</v>
      </c>
      <c r="C95" s="126" t="str">
        <f>RIGHT(PisCofinsAliquot[[#This Row],[Código NCM]],8)</f>
        <v>03027900</v>
      </c>
      <c r="D95" s="127"/>
      <c r="E95" s="128"/>
      <c r="F95" s="128" t="s">
        <v>4872</v>
      </c>
      <c r="G95" s="22">
        <v>0</v>
      </c>
      <c r="H95" s="22">
        <v>0</v>
      </c>
      <c r="I95">
        <f>IF(PisCofinsAliquot[[#This Row],[Classificação]]="Alíquota 0",6,IF(PisCofinsAliquot[[#This Row],[Classificação]]="Monofásico",4,IF(PisCofinsAliquot[[#This Row],[Classificação]]="Regra Geral",1,IF(PisCofinsAliquot[[#This Row],[Classificação]]="ST",5))))</f>
        <v>6</v>
      </c>
    </row>
    <row r="96" spans="1:9" x14ac:dyDescent="0.25">
      <c r="A96" s="124" t="s">
        <v>3149</v>
      </c>
      <c r="B96" s="125" t="s">
        <v>2701</v>
      </c>
      <c r="C96" s="126" t="str">
        <f>RIGHT(PisCofinsAliquot[[#This Row],[Código NCM]],8)</f>
        <v>03028100</v>
      </c>
      <c r="D96" s="127"/>
      <c r="E96" s="128"/>
      <c r="F96" s="128" t="s">
        <v>4873</v>
      </c>
      <c r="G96" s="22">
        <v>0</v>
      </c>
      <c r="H96" s="22">
        <v>0</v>
      </c>
      <c r="I96">
        <f>IF(PisCofinsAliquot[[#This Row],[Classificação]]="Alíquota 0",6,IF(PisCofinsAliquot[[#This Row],[Classificação]]="Monofásico",4,IF(PisCofinsAliquot[[#This Row],[Classificação]]="Regra Geral",1,IF(PisCofinsAliquot[[#This Row],[Classificação]]="ST",5))))</f>
        <v>6</v>
      </c>
    </row>
    <row r="97" spans="1:9" x14ac:dyDescent="0.25">
      <c r="A97" s="124" t="s">
        <v>3150</v>
      </c>
      <c r="B97" s="125" t="s">
        <v>2701</v>
      </c>
      <c r="C97" s="126" t="str">
        <f>RIGHT(PisCofinsAliquot[[#This Row],[Código NCM]],8)</f>
        <v>03028200</v>
      </c>
      <c r="D97" s="127"/>
      <c r="E97" s="128"/>
      <c r="F97" s="128" t="s">
        <v>4874</v>
      </c>
      <c r="G97" s="22">
        <v>0</v>
      </c>
      <c r="H97" s="22">
        <v>0</v>
      </c>
      <c r="I97">
        <f>IF(PisCofinsAliquot[[#This Row],[Classificação]]="Alíquota 0",6,IF(PisCofinsAliquot[[#This Row],[Classificação]]="Monofásico",4,IF(PisCofinsAliquot[[#This Row],[Classificação]]="Regra Geral",1,IF(PisCofinsAliquot[[#This Row],[Classificação]]="ST",5))))</f>
        <v>6</v>
      </c>
    </row>
    <row r="98" spans="1:9" x14ac:dyDescent="0.25">
      <c r="A98" s="124" t="s">
        <v>3151</v>
      </c>
      <c r="B98" s="125" t="s">
        <v>2701</v>
      </c>
      <c r="C98" s="126" t="str">
        <f>RIGHT(PisCofinsAliquot[[#This Row],[Código NCM]],8)</f>
        <v>03028310</v>
      </c>
      <c r="D98" s="127"/>
      <c r="E98" s="128"/>
      <c r="F98" s="128" t="s">
        <v>4875</v>
      </c>
      <c r="G98" s="22">
        <v>0</v>
      </c>
      <c r="H98" s="22">
        <v>0</v>
      </c>
      <c r="I98">
        <f>IF(PisCofinsAliquot[[#This Row],[Classificação]]="Alíquota 0",6,IF(PisCofinsAliquot[[#This Row],[Classificação]]="Monofásico",4,IF(PisCofinsAliquot[[#This Row],[Classificação]]="Regra Geral",1,IF(PisCofinsAliquot[[#This Row],[Classificação]]="ST",5))))</f>
        <v>6</v>
      </c>
    </row>
    <row r="99" spans="1:9" x14ac:dyDescent="0.25">
      <c r="A99" s="124" t="s">
        <v>3152</v>
      </c>
      <c r="B99" s="125" t="s">
        <v>2701</v>
      </c>
      <c r="C99" s="126" t="str">
        <f>RIGHT(PisCofinsAliquot[[#This Row],[Código NCM]],8)</f>
        <v>03028320</v>
      </c>
      <c r="D99" s="127"/>
      <c r="E99" s="128"/>
      <c r="F99" s="128" t="s">
        <v>4876</v>
      </c>
      <c r="G99" s="22">
        <v>0</v>
      </c>
      <c r="H99" s="22">
        <v>0</v>
      </c>
      <c r="I99">
        <f>IF(PisCofinsAliquot[[#This Row],[Classificação]]="Alíquota 0",6,IF(PisCofinsAliquot[[#This Row],[Classificação]]="Monofásico",4,IF(PisCofinsAliquot[[#This Row],[Classificação]]="Regra Geral",1,IF(PisCofinsAliquot[[#This Row],[Classificação]]="ST",5))))</f>
        <v>6</v>
      </c>
    </row>
    <row r="100" spans="1:9" x14ac:dyDescent="0.25">
      <c r="A100" s="124" t="s">
        <v>3153</v>
      </c>
      <c r="B100" s="125" t="s">
        <v>2701</v>
      </c>
      <c r="C100" s="126" t="str">
        <f>RIGHT(PisCofinsAliquot[[#This Row],[Código NCM]],8)</f>
        <v>03028400</v>
      </c>
      <c r="D100" s="127"/>
      <c r="E100" s="128"/>
      <c r="F100" s="128" t="s">
        <v>4877</v>
      </c>
      <c r="G100" s="22">
        <v>0</v>
      </c>
      <c r="H100" s="22">
        <v>0</v>
      </c>
      <c r="I100">
        <f>IF(PisCofinsAliquot[[#This Row],[Classificação]]="Alíquota 0",6,IF(PisCofinsAliquot[[#This Row],[Classificação]]="Monofásico",4,IF(PisCofinsAliquot[[#This Row],[Classificação]]="Regra Geral",1,IF(PisCofinsAliquot[[#This Row],[Classificação]]="ST",5))))</f>
        <v>6</v>
      </c>
    </row>
    <row r="101" spans="1:9" x14ac:dyDescent="0.25">
      <c r="A101" s="124" t="s">
        <v>3154</v>
      </c>
      <c r="B101" s="125" t="s">
        <v>2701</v>
      </c>
      <c r="C101" s="126" t="str">
        <f>RIGHT(PisCofinsAliquot[[#This Row],[Código NCM]],8)</f>
        <v>03028500</v>
      </c>
      <c r="D101" s="127"/>
      <c r="E101" s="128"/>
      <c r="F101" s="128" t="s">
        <v>4878</v>
      </c>
      <c r="G101" s="22">
        <v>0</v>
      </c>
      <c r="H101" s="22">
        <v>0</v>
      </c>
      <c r="I101">
        <f>IF(PisCofinsAliquot[[#This Row],[Classificação]]="Alíquota 0",6,IF(PisCofinsAliquot[[#This Row],[Classificação]]="Monofásico",4,IF(PisCofinsAliquot[[#This Row],[Classificação]]="Regra Geral",1,IF(PisCofinsAliquot[[#This Row],[Classificação]]="ST",5))))</f>
        <v>6</v>
      </c>
    </row>
    <row r="102" spans="1:9" x14ac:dyDescent="0.25">
      <c r="A102" s="124" t="s">
        <v>3155</v>
      </c>
      <c r="B102" s="125" t="s">
        <v>2701</v>
      </c>
      <c r="C102" s="126" t="str">
        <f>RIGHT(PisCofinsAliquot[[#This Row],[Código NCM]],8)</f>
        <v>03028910</v>
      </c>
      <c r="D102" s="127"/>
      <c r="E102" s="128"/>
      <c r="F102" s="128" t="s">
        <v>4879</v>
      </c>
      <c r="G102" s="22">
        <v>0</v>
      </c>
      <c r="H102" s="22">
        <v>0</v>
      </c>
      <c r="I102">
        <f>IF(PisCofinsAliquot[[#This Row],[Classificação]]="Alíquota 0",6,IF(PisCofinsAliquot[[#This Row],[Classificação]]="Monofásico",4,IF(PisCofinsAliquot[[#This Row],[Classificação]]="Regra Geral",1,IF(PisCofinsAliquot[[#This Row],[Classificação]]="ST",5))))</f>
        <v>6</v>
      </c>
    </row>
    <row r="103" spans="1:9" x14ac:dyDescent="0.25">
      <c r="A103" s="124" t="s">
        <v>3156</v>
      </c>
      <c r="B103" s="125" t="s">
        <v>2701</v>
      </c>
      <c r="C103" s="126" t="str">
        <f>RIGHT(PisCofinsAliquot[[#This Row],[Código NCM]],8)</f>
        <v>03028921</v>
      </c>
      <c r="D103" s="127"/>
      <c r="E103" s="128"/>
      <c r="F103" s="128" t="s">
        <v>4880</v>
      </c>
      <c r="G103" s="22">
        <v>0</v>
      </c>
      <c r="H103" s="22">
        <v>0</v>
      </c>
      <c r="I103">
        <f>IF(PisCofinsAliquot[[#This Row],[Classificação]]="Alíquota 0",6,IF(PisCofinsAliquot[[#This Row],[Classificação]]="Monofásico",4,IF(PisCofinsAliquot[[#This Row],[Classificação]]="Regra Geral",1,IF(PisCofinsAliquot[[#This Row],[Classificação]]="ST",5))))</f>
        <v>6</v>
      </c>
    </row>
    <row r="104" spans="1:9" x14ac:dyDescent="0.25">
      <c r="A104" s="124" t="s">
        <v>3157</v>
      </c>
      <c r="B104" s="125" t="s">
        <v>2701</v>
      </c>
      <c r="C104" s="126" t="str">
        <f>RIGHT(PisCofinsAliquot[[#This Row],[Código NCM]],8)</f>
        <v>03028922</v>
      </c>
      <c r="D104" s="127"/>
      <c r="E104" s="128"/>
      <c r="F104" s="128" t="s">
        <v>4881</v>
      </c>
      <c r="G104" s="22">
        <v>0</v>
      </c>
      <c r="H104" s="22">
        <v>0</v>
      </c>
      <c r="I104">
        <f>IF(PisCofinsAliquot[[#This Row],[Classificação]]="Alíquota 0",6,IF(PisCofinsAliquot[[#This Row],[Classificação]]="Monofásico",4,IF(PisCofinsAliquot[[#This Row],[Classificação]]="Regra Geral",1,IF(PisCofinsAliquot[[#This Row],[Classificação]]="ST",5))))</f>
        <v>6</v>
      </c>
    </row>
    <row r="105" spans="1:9" x14ac:dyDescent="0.25">
      <c r="A105" s="124" t="s">
        <v>3158</v>
      </c>
      <c r="B105" s="125" t="s">
        <v>2701</v>
      </c>
      <c r="C105" s="126" t="str">
        <f>RIGHT(PisCofinsAliquot[[#This Row],[Código NCM]],8)</f>
        <v>03028923</v>
      </c>
      <c r="D105" s="127"/>
      <c r="E105" s="128"/>
      <c r="F105" s="128" t="s">
        <v>4882</v>
      </c>
      <c r="G105" s="22">
        <v>0</v>
      </c>
      <c r="H105" s="22">
        <v>0</v>
      </c>
      <c r="I105">
        <f>IF(PisCofinsAliquot[[#This Row],[Classificação]]="Alíquota 0",6,IF(PisCofinsAliquot[[#This Row],[Classificação]]="Monofásico",4,IF(PisCofinsAliquot[[#This Row],[Classificação]]="Regra Geral",1,IF(PisCofinsAliquot[[#This Row],[Classificação]]="ST",5))))</f>
        <v>6</v>
      </c>
    </row>
    <row r="106" spans="1:9" x14ac:dyDescent="0.25">
      <c r="A106" s="124" t="s">
        <v>3159</v>
      </c>
      <c r="B106" s="125" t="s">
        <v>2701</v>
      </c>
      <c r="C106" s="126" t="str">
        <f>RIGHT(PisCofinsAliquot[[#This Row],[Código NCM]],8)</f>
        <v>03028924</v>
      </c>
      <c r="D106" s="127"/>
      <c r="E106" s="128"/>
      <c r="F106" s="128" t="s">
        <v>4883</v>
      </c>
      <c r="G106" s="22">
        <v>0</v>
      </c>
      <c r="H106" s="22">
        <v>0</v>
      </c>
      <c r="I106">
        <f>IF(PisCofinsAliquot[[#This Row],[Classificação]]="Alíquota 0",6,IF(PisCofinsAliquot[[#This Row],[Classificação]]="Monofásico",4,IF(PisCofinsAliquot[[#This Row],[Classificação]]="Regra Geral",1,IF(PisCofinsAliquot[[#This Row],[Classificação]]="ST",5))))</f>
        <v>6</v>
      </c>
    </row>
    <row r="107" spans="1:9" x14ac:dyDescent="0.25">
      <c r="A107" s="124" t="s">
        <v>3160</v>
      </c>
      <c r="B107" s="125" t="s">
        <v>2701</v>
      </c>
      <c r="C107" s="126" t="str">
        <f>RIGHT(PisCofinsAliquot[[#This Row],[Código NCM]],8)</f>
        <v>03028931</v>
      </c>
      <c r="D107" s="127"/>
      <c r="E107" s="128"/>
      <c r="F107" s="128" t="s">
        <v>4884</v>
      </c>
      <c r="G107" s="22">
        <v>0</v>
      </c>
      <c r="H107" s="22">
        <v>0</v>
      </c>
      <c r="I107">
        <f>IF(PisCofinsAliquot[[#This Row],[Classificação]]="Alíquota 0",6,IF(PisCofinsAliquot[[#This Row],[Classificação]]="Monofásico",4,IF(PisCofinsAliquot[[#This Row],[Classificação]]="Regra Geral",1,IF(PisCofinsAliquot[[#This Row],[Classificação]]="ST",5))))</f>
        <v>6</v>
      </c>
    </row>
    <row r="108" spans="1:9" x14ac:dyDescent="0.25">
      <c r="A108" s="124" t="s">
        <v>3161</v>
      </c>
      <c r="B108" s="125" t="s">
        <v>2701</v>
      </c>
      <c r="C108" s="126" t="str">
        <f>RIGHT(PisCofinsAliquot[[#This Row],[Código NCM]],8)</f>
        <v>03028932</v>
      </c>
      <c r="D108" s="127"/>
      <c r="E108" s="128"/>
      <c r="F108" s="128" t="s">
        <v>4885</v>
      </c>
      <c r="G108" s="22">
        <v>0</v>
      </c>
      <c r="H108" s="22">
        <v>0</v>
      </c>
      <c r="I108">
        <f>IF(PisCofinsAliquot[[#This Row],[Classificação]]="Alíquota 0",6,IF(PisCofinsAliquot[[#This Row],[Classificação]]="Monofásico",4,IF(PisCofinsAliquot[[#This Row],[Classificação]]="Regra Geral",1,IF(PisCofinsAliquot[[#This Row],[Classificação]]="ST",5))))</f>
        <v>6</v>
      </c>
    </row>
    <row r="109" spans="1:9" x14ac:dyDescent="0.25">
      <c r="A109" s="124" t="s">
        <v>3162</v>
      </c>
      <c r="B109" s="125" t="s">
        <v>2701</v>
      </c>
      <c r="C109" s="126" t="str">
        <f>RIGHT(PisCofinsAliquot[[#This Row],[Código NCM]],8)</f>
        <v>03028933</v>
      </c>
      <c r="D109" s="127"/>
      <c r="E109" s="128"/>
      <c r="F109" s="128" t="s">
        <v>4886</v>
      </c>
      <c r="G109" s="22">
        <v>0</v>
      </c>
      <c r="H109" s="22">
        <v>0</v>
      </c>
      <c r="I109">
        <f>IF(PisCofinsAliquot[[#This Row],[Classificação]]="Alíquota 0",6,IF(PisCofinsAliquot[[#This Row],[Classificação]]="Monofásico",4,IF(PisCofinsAliquot[[#This Row],[Classificação]]="Regra Geral",1,IF(PisCofinsAliquot[[#This Row],[Classificação]]="ST",5))))</f>
        <v>6</v>
      </c>
    </row>
    <row r="110" spans="1:9" x14ac:dyDescent="0.25">
      <c r="A110" s="124" t="s">
        <v>3163</v>
      </c>
      <c r="B110" s="125" t="s">
        <v>2701</v>
      </c>
      <c r="C110" s="126" t="str">
        <f>RIGHT(PisCofinsAliquot[[#This Row],[Código NCM]],8)</f>
        <v>03028934</v>
      </c>
      <c r="D110" s="127"/>
      <c r="E110" s="128"/>
      <c r="F110" s="128" t="s">
        <v>4887</v>
      </c>
      <c r="G110" s="22">
        <v>0</v>
      </c>
      <c r="H110" s="22">
        <v>0</v>
      </c>
      <c r="I110">
        <f>IF(PisCofinsAliquot[[#This Row],[Classificação]]="Alíquota 0",6,IF(PisCofinsAliquot[[#This Row],[Classificação]]="Monofásico",4,IF(PisCofinsAliquot[[#This Row],[Classificação]]="Regra Geral",1,IF(PisCofinsAliquot[[#This Row],[Classificação]]="ST",5))))</f>
        <v>6</v>
      </c>
    </row>
    <row r="111" spans="1:9" x14ac:dyDescent="0.25">
      <c r="A111" s="124" t="s">
        <v>3164</v>
      </c>
      <c r="B111" s="125" t="s">
        <v>2701</v>
      </c>
      <c r="C111" s="126" t="str">
        <f>RIGHT(PisCofinsAliquot[[#This Row],[Código NCM]],8)</f>
        <v>03028935</v>
      </c>
      <c r="D111" s="127"/>
      <c r="E111" s="128"/>
      <c r="F111" s="128" t="s">
        <v>4888</v>
      </c>
      <c r="G111" s="22">
        <v>0</v>
      </c>
      <c r="H111" s="22">
        <v>0</v>
      </c>
      <c r="I111">
        <f>IF(PisCofinsAliquot[[#This Row],[Classificação]]="Alíquota 0",6,IF(PisCofinsAliquot[[#This Row],[Classificação]]="Monofásico",4,IF(PisCofinsAliquot[[#This Row],[Classificação]]="Regra Geral",1,IF(PisCofinsAliquot[[#This Row],[Classificação]]="ST",5))))</f>
        <v>6</v>
      </c>
    </row>
    <row r="112" spans="1:9" x14ac:dyDescent="0.25">
      <c r="A112" s="124" t="s">
        <v>3165</v>
      </c>
      <c r="B112" s="125" t="s">
        <v>2701</v>
      </c>
      <c r="C112" s="126" t="str">
        <f>RIGHT(PisCofinsAliquot[[#This Row],[Código NCM]],8)</f>
        <v>03028936</v>
      </c>
      <c r="D112" s="127"/>
      <c r="E112" s="128"/>
      <c r="F112" s="128" t="s">
        <v>4889</v>
      </c>
      <c r="G112" s="22">
        <v>0</v>
      </c>
      <c r="H112" s="22">
        <v>0</v>
      </c>
      <c r="I112">
        <f>IF(PisCofinsAliquot[[#This Row],[Classificação]]="Alíquota 0",6,IF(PisCofinsAliquot[[#This Row],[Classificação]]="Monofásico",4,IF(PisCofinsAliquot[[#This Row],[Classificação]]="Regra Geral",1,IF(PisCofinsAliquot[[#This Row],[Classificação]]="ST",5))))</f>
        <v>6</v>
      </c>
    </row>
    <row r="113" spans="1:9" x14ac:dyDescent="0.25">
      <c r="A113" s="124" t="s">
        <v>3166</v>
      </c>
      <c r="B113" s="125" t="s">
        <v>2701</v>
      </c>
      <c r="C113" s="126" t="str">
        <f>RIGHT(PisCofinsAliquot[[#This Row],[Código NCM]],8)</f>
        <v>03028937</v>
      </c>
      <c r="D113" s="127"/>
      <c r="E113" s="128"/>
      <c r="F113" s="128" t="s">
        <v>4890</v>
      </c>
      <c r="G113" s="22">
        <v>0</v>
      </c>
      <c r="H113" s="22">
        <v>0</v>
      </c>
      <c r="I113">
        <f>IF(PisCofinsAliquot[[#This Row],[Classificação]]="Alíquota 0",6,IF(PisCofinsAliquot[[#This Row],[Classificação]]="Monofásico",4,IF(PisCofinsAliquot[[#This Row],[Classificação]]="Regra Geral",1,IF(PisCofinsAliquot[[#This Row],[Classificação]]="ST",5))))</f>
        <v>6</v>
      </c>
    </row>
    <row r="114" spans="1:9" x14ac:dyDescent="0.25">
      <c r="A114" s="124" t="s">
        <v>3167</v>
      </c>
      <c r="B114" s="125" t="s">
        <v>2701</v>
      </c>
      <c r="C114" s="126" t="str">
        <f>RIGHT(PisCofinsAliquot[[#This Row],[Código NCM]],8)</f>
        <v>03028938</v>
      </c>
      <c r="D114" s="127"/>
      <c r="E114" s="128"/>
      <c r="F114" s="128" t="s">
        <v>4891</v>
      </c>
      <c r="G114" s="22">
        <v>0</v>
      </c>
      <c r="H114" s="22">
        <v>0</v>
      </c>
      <c r="I114">
        <f>IF(PisCofinsAliquot[[#This Row],[Classificação]]="Alíquota 0",6,IF(PisCofinsAliquot[[#This Row],[Classificação]]="Monofásico",4,IF(PisCofinsAliquot[[#This Row],[Classificação]]="Regra Geral",1,IF(PisCofinsAliquot[[#This Row],[Classificação]]="ST",5))))</f>
        <v>6</v>
      </c>
    </row>
    <row r="115" spans="1:9" x14ac:dyDescent="0.25">
      <c r="A115" s="124" t="s">
        <v>3168</v>
      </c>
      <c r="B115" s="125" t="s">
        <v>2701</v>
      </c>
      <c r="C115" s="126" t="str">
        <f>RIGHT(PisCofinsAliquot[[#This Row],[Código NCM]],8)</f>
        <v>03028941</v>
      </c>
      <c r="D115" s="127"/>
      <c r="E115" s="128"/>
      <c r="F115" s="128" t="s">
        <v>4892</v>
      </c>
      <c r="G115" s="22">
        <v>0</v>
      </c>
      <c r="H115" s="22">
        <v>0</v>
      </c>
      <c r="I115">
        <f>IF(PisCofinsAliquot[[#This Row],[Classificação]]="Alíquota 0",6,IF(PisCofinsAliquot[[#This Row],[Classificação]]="Monofásico",4,IF(PisCofinsAliquot[[#This Row],[Classificação]]="Regra Geral",1,IF(PisCofinsAliquot[[#This Row],[Classificação]]="ST",5))))</f>
        <v>6</v>
      </c>
    </row>
    <row r="116" spans="1:9" x14ac:dyDescent="0.25">
      <c r="A116" s="124" t="s">
        <v>3169</v>
      </c>
      <c r="B116" s="125" t="s">
        <v>2701</v>
      </c>
      <c r="C116" s="126" t="str">
        <f>RIGHT(PisCofinsAliquot[[#This Row],[Código NCM]],8)</f>
        <v>03028942</v>
      </c>
      <c r="D116" s="127"/>
      <c r="E116" s="128"/>
      <c r="F116" s="128" t="s">
        <v>4893</v>
      </c>
      <c r="G116" s="22">
        <v>0</v>
      </c>
      <c r="H116" s="22">
        <v>0</v>
      </c>
      <c r="I116">
        <f>IF(PisCofinsAliquot[[#This Row],[Classificação]]="Alíquota 0",6,IF(PisCofinsAliquot[[#This Row],[Classificação]]="Monofásico",4,IF(PisCofinsAliquot[[#This Row],[Classificação]]="Regra Geral",1,IF(PisCofinsAliquot[[#This Row],[Classificação]]="ST",5))))</f>
        <v>6</v>
      </c>
    </row>
    <row r="117" spans="1:9" x14ac:dyDescent="0.25">
      <c r="A117" s="124" t="s">
        <v>3170</v>
      </c>
      <c r="B117" s="125" t="s">
        <v>2701</v>
      </c>
      <c r="C117" s="126" t="str">
        <f>RIGHT(PisCofinsAliquot[[#This Row],[Código NCM]],8)</f>
        <v>03028943</v>
      </c>
      <c r="D117" s="127"/>
      <c r="E117" s="128"/>
      <c r="F117" s="128" t="s">
        <v>4894</v>
      </c>
      <c r="G117" s="22">
        <v>0</v>
      </c>
      <c r="H117" s="22">
        <v>0</v>
      </c>
      <c r="I117">
        <f>IF(PisCofinsAliquot[[#This Row],[Classificação]]="Alíquota 0",6,IF(PisCofinsAliquot[[#This Row],[Classificação]]="Monofásico",4,IF(PisCofinsAliquot[[#This Row],[Classificação]]="Regra Geral",1,IF(PisCofinsAliquot[[#This Row],[Classificação]]="ST",5))))</f>
        <v>6</v>
      </c>
    </row>
    <row r="118" spans="1:9" x14ac:dyDescent="0.25">
      <c r="A118" s="124" t="s">
        <v>3171</v>
      </c>
      <c r="B118" s="125" t="s">
        <v>2701</v>
      </c>
      <c r="C118" s="126" t="str">
        <f>RIGHT(PisCofinsAliquot[[#This Row],[Código NCM]],8)</f>
        <v>03028944</v>
      </c>
      <c r="D118" s="127"/>
      <c r="E118" s="128"/>
      <c r="F118" s="128" t="s">
        <v>4895</v>
      </c>
      <c r="G118" s="22">
        <v>0</v>
      </c>
      <c r="H118" s="22">
        <v>0</v>
      </c>
      <c r="I118">
        <f>IF(PisCofinsAliquot[[#This Row],[Classificação]]="Alíquota 0",6,IF(PisCofinsAliquot[[#This Row],[Classificação]]="Monofásico",4,IF(PisCofinsAliquot[[#This Row],[Classificação]]="Regra Geral",1,IF(PisCofinsAliquot[[#This Row],[Classificação]]="ST",5))))</f>
        <v>6</v>
      </c>
    </row>
    <row r="119" spans="1:9" x14ac:dyDescent="0.25">
      <c r="A119" s="124" t="s">
        <v>3172</v>
      </c>
      <c r="B119" s="125" t="s">
        <v>2701</v>
      </c>
      <c r="C119" s="126" t="str">
        <f>RIGHT(PisCofinsAliquot[[#This Row],[Código NCM]],8)</f>
        <v>03028945</v>
      </c>
      <c r="D119" s="127"/>
      <c r="E119" s="128"/>
      <c r="F119" s="128" t="s">
        <v>4896</v>
      </c>
      <c r="G119" s="22">
        <v>0</v>
      </c>
      <c r="H119" s="22">
        <v>0</v>
      </c>
      <c r="I119">
        <f>IF(PisCofinsAliquot[[#This Row],[Classificação]]="Alíquota 0",6,IF(PisCofinsAliquot[[#This Row],[Classificação]]="Monofásico",4,IF(PisCofinsAliquot[[#This Row],[Classificação]]="Regra Geral",1,IF(PisCofinsAliquot[[#This Row],[Classificação]]="ST",5))))</f>
        <v>6</v>
      </c>
    </row>
    <row r="120" spans="1:9" x14ac:dyDescent="0.25">
      <c r="A120" s="124" t="s">
        <v>3173</v>
      </c>
      <c r="B120" s="125" t="s">
        <v>2701</v>
      </c>
      <c r="C120" s="126" t="str">
        <f>RIGHT(PisCofinsAliquot[[#This Row],[Código NCM]],8)</f>
        <v>03028990</v>
      </c>
      <c r="D120" s="127"/>
      <c r="E120" s="128"/>
      <c r="F120" s="128" t="s">
        <v>4860</v>
      </c>
      <c r="G120" s="22">
        <v>0</v>
      </c>
      <c r="H120" s="22">
        <v>0</v>
      </c>
      <c r="I120">
        <f>IF(PisCofinsAliquot[[#This Row],[Classificação]]="Alíquota 0",6,IF(PisCofinsAliquot[[#This Row],[Classificação]]="Monofásico",4,IF(PisCofinsAliquot[[#This Row],[Classificação]]="Regra Geral",1,IF(PisCofinsAliquot[[#This Row],[Classificação]]="ST",5))))</f>
        <v>6</v>
      </c>
    </row>
    <row r="121" spans="1:9" x14ac:dyDescent="0.25">
      <c r="A121" s="124" t="s">
        <v>3174</v>
      </c>
      <c r="B121" s="125" t="s">
        <v>2701</v>
      </c>
      <c r="C121" s="126" t="str">
        <f>RIGHT(PisCofinsAliquot[[#This Row],[Código NCM]],8)</f>
        <v>03029900</v>
      </c>
      <c r="D121" s="127"/>
      <c r="E121" s="128"/>
      <c r="F121" s="128" t="s">
        <v>4860</v>
      </c>
      <c r="G121" s="22">
        <v>0</v>
      </c>
      <c r="H121" s="22">
        <v>0</v>
      </c>
      <c r="I121">
        <f>IF(PisCofinsAliquot[[#This Row],[Classificação]]="Alíquota 0",6,IF(PisCofinsAliquot[[#This Row],[Classificação]]="Monofásico",4,IF(PisCofinsAliquot[[#This Row],[Classificação]]="Regra Geral",1,IF(PisCofinsAliquot[[#This Row],[Classificação]]="ST",5))))</f>
        <v>6</v>
      </c>
    </row>
    <row r="122" spans="1:9" x14ac:dyDescent="0.25">
      <c r="A122" s="124" t="s">
        <v>3175</v>
      </c>
      <c r="B122" s="125" t="s">
        <v>2701</v>
      </c>
      <c r="C122" s="126" t="str">
        <f>RIGHT(PisCofinsAliquot[[#This Row],[Código NCM]],8)</f>
        <v>03031100</v>
      </c>
      <c r="D122" s="127"/>
      <c r="E122" s="128"/>
      <c r="F122" s="128" t="s">
        <v>4897</v>
      </c>
      <c r="G122" s="22">
        <v>0</v>
      </c>
      <c r="H122" s="22">
        <v>0</v>
      </c>
      <c r="I122">
        <f>IF(PisCofinsAliquot[[#This Row],[Classificação]]="Alíquota 0",6,IF(PisCofinsAliquot[[#This Row],[Classificação]]="Monofásico",4,IF(PisCofinsAliquot[[#This Row],[Classificação]]="Regra Geral",1,IF(PisCofinsAliquot[[#This Row],[Classificação]]="ST",5))))</f>
        <v>6</v>
      </c>
    </row>
    <row r="123" spans="1:9" x14ac:dyDescent="0.25">
      <c r="A123" s="124" t="s">
        <v>3176</v>
      </c>
      <c r="B123" s="125" t="s">
        <v>2701</v>
      </c>
      <c r="C123" s="126" t="str">
        <f>RIGHT(PisCofinsAliquot[[#This Row],[Código NCM]],8)</f>
        <v>03031200</v>
      </c>
      <c r="D123" s="127"/>
      <c r="E123" s="128"/>
      <c r="F123" s="128" t="s">
        <v>4898</v>
      </c>
      <c r="G123" s="22">
        <v>0</v>
      </c>
      <c r="H123" s="22">
        <v>0</v>
      </c>
      <c r="I123">
        <f>IF(PisCofinsAliquot[[#This Row],[Classificação]]="Alíquota 0",6,IF(PisCofinsAliquot[[#This Row],[Classificação]]="Monofásico",4,IF(PisCofinsAliquot[[#This Row],[Classificação]]="Regra Geral",1,IF(PisCofinsAliquot[[#This Row],[Classificação]]="ST",5))))</f>
        <v>6</v>
      </c>
    </row>
    <row r="124" spans="1:9" x14ac:dyDescent="0.25">
      <c r="A124" s="124" t="s">
        <v>3177</v>
      </c>
      <c r="B124" s="125" t="s">
        <v>2701</v>
      </c>
      <c r="C124" s="126" t="str">
        <f>RIGHT(PisCofinsAliquot[[#This Row],[Código NCM]],8)</f>
        <v>03031300</v>
      </c>
      <c r="D124" s="127"/>
      <c r="E124" s="128"/>
      <c r="F124" s="128" t="s">
        <v>4838</v>
      </c>
      <c r="G124" s="22">
        <v>0</v>
      </c>
      <c r="H124" s="22">
        <v>0</v>
      </c>
      <c r="I124">
        <f>IF(PisCofinsAliquot[[#This Row],[Classificação]]="Alíquota 0",6,IF(PisCofinsAliquot[[#This Row],[Classificação]]="Monofásico",4,IF(PisCofinsAliquot[[#This Row],[Classificação]]="Regra Geral",1,IF(PisCofinsAliquot[[#This Row],[Classificação]]="ST",5))))</f>
        <v>6</v>
      </c>
    </row>
    <row r="125" spans="1:9" x14ac:dyDescent="0.25">
      <c r="A125" s="124" t="s">
        <v>3178</v>
      </c>
      <c r="B125" s="125" t="s">
        <v>2701</v>
      </c>
      <c r="C125" s="126" t="str">
        <f>RIGHT(PisCofinsAliquot[[#This Row],[Código NCM]],8)</f>
        <v>03031400</v>
      </c>
      <c r="D125" s="127"/>
      <c r="E125" s="128"/>
      <c r="F125" s="128" t="s">
        <v>4899</v>
      </c>
      <c r="G125" s="22">
        <v>0</v>
      </c>
      <c r="H125" s="22">
        <v>0</v>
      </c>
      <c r="I125">
        <f>IF(PisCofinsAliquot[[#This Row],[Classificação]]="Alíquota 0",6,IF(PisCofinsAliquot[[#This Row],[Classificação]]="Monofásico",4,IF(PisCofinsAliquot[[#This Row],[Classificação]]="Regra Geral",1,IF(PisCofinsAliquot[[#This Row],[Classificação]]="ST",5))))</f>
        <v>6</v>
      </c>
    </row>
    <row r="126" spans="1:9" x14ac:dyDescent="0.25">
      <c r="A126" s="124" t="s">
        <v>3179</v>
      </c>
      <c r="B126" s="125" t="s">
        <v>2701</v>
      </c>
      <c r="C126" s="126" t="str">
        <f>RIGHT(PisCofinsAliquot[[#This Row],[Código NCM]],8)</f>
        <v>03031900</v>
      </c>
      <c r="D126" s="127"/>
      <c r="E126" s="128"/>
      <c r="F126" s="128" t="s">
        <v>4839</v>
      </c>
      <c r="G126" s="22">
        <v>0</v>
      </c>
      <c r="H126" s="22">
        <v>0</v>
      </c>
      <c r="I126">
        <f>IF(PisCofinsAliquot[[#This Row],[Classificação]]="Alíquota 0",6,IF(PisCofinsAliquot[[#This Row],[Classificação]]="Monofásico",4,IF(PisCofinsAliquot[[#This Row],[Classificação]]="Regra Geral",1,IF(PisCofinsAliquot[[#This Row],[Classificação]]="ST",5))))</f>
        <v>6</v>
      </c>
    </row>
    <row r="127" spans="1:9" x14ac:dyDescent="0.25">
      <c r="A127" s="124" t="s">
        <v>3180</v>
      </c>
      <c r="B127" s="125" t="s">
        <v>2701</v>
      </c>
      <c r="C127" s="126" t="str">
        <f>RIGHT(PisCofinsAliquot[[#This Row],[Código NCM]],8)</f>
        <v>03032300</v>
      </c>
      <c r="D127" s="127"/>
      <c r="E127" s="128"/>
      <c r="F127" s="128" t="s">
        <v>4868</v>
      </c>
      <c r="G127" s="22">
        <v>0</v>
      </c>
      <c r="H127" s="22">
        <v>0</v>
      </c>
      <c r="I127">
        <f>IF(PisCofinsAliquot[[#This Row],[Classificação]]="Alíquota 0",6,IF(PisCofinsAliquot[[#This Row],[Classificação]]="Monofásico",4,IF(PisCofinsAliquot[[#This Row],[Classificação]]="Regra Geral",1,IF(PisCofinsAliquot[[#This Row],[Classificação]]="ST",5))))</f>
        <v>6</v>
      </c>
    </row>
    <row r="128" spans="1:9" x14ac:dyDescent="0.25">
      <c r="A128" s="124" t="s">
        <v>3181</v>
      </c>
      <c r="B128" s="125" t="s">
        <v>2701</v>
      </c>
      <c r="C128" s="126" t="str">
        <f>RIGHT(PisCofinsAliquot[[#This Row],[Código NCM]],8)</f>
        <v>03032410</v>
      </c>
      <c r="D128" s="127"/>
      <c r="E128" s="128"/>
      <c r="F128" s="128" t="s">
        <v>4869</v>
      </c>
      <c r="G128" s="22">
        <v>0</v>
      </c>
      <c r="H128" s="22">
        <v>0</v>
      </c>
      <c r="I128">
        <f>IF(PisCofinsAliquot[[#This Row],[Classificação]]="Alíquota 0",6,IF(PisCofinsAliquot[[#This Row],[Classificação]]="Monofásico",4,IF(PisCofinsAliquot[[#This Row],[Classificação]]="Regra Geral",1,IF(PisCofinsAliquot[[#This Row],[Classificação]]="ST",5))))</f>
        <v>6</v>
      </c>
    </row>
    <row r="129" spans="1:9" x14ac:dyDescent="0.25">
      <c r="A129" s="124" t="s">
        <v>3182</v>
      </c>
      <c r="B129" s="125" t="s">
        <v>2701</v>
      </c>
      <c r="C129" s="126" t="str">
        <f>RIGHT(PisCofinsAliquot[[#This Row],[Código NCM]],8)</f>
        <v>03032490</v>
      </c>
      <c r="D129" s="127"/>
      <c r="E129" s="128"/>
      <c r="F129" s="128" t="s">
        <v>4900</v>
      </c>
      <c r="G129" s="22">
        <v>0</v>
      </c>
      <c r="H129" s="22">
        <v>0</v>
      </c>
      <c r="I129">
        <f>IF(PisCofinsAliquot[[#This Row],[Classificação]]="Alíquota 0",6,IF(PisCofinsAliquot[[#This Row],[Classificação]]="Monofásico",4,IF(PisCofinsAliquot[[#This Row],[Classificação]]="Regra Geral",1,IF(PisCofinsAliquot[[#This Row],[Classificação]]="ST",5))))</f>
        <v>6</v>
      </c>
    </row>
    <row r="130" spans="1:9" x14ac:dyDescent="0.25">
      <c r="A130" s="124" t="s">
        <v>3183</v>
      </c>
      <c r="B130" s="125" t="s">
        <v>2701</v>
      </c>
      <c r="C130" s="126" t="str">
        <f>RIGHT(PisCofinsAliquot[[#This Row],[Código NCM]],8)</f>
        <v>03032500</v>
      </c>
      <c r="D130" s="127"/>
      <c r="E130" s="128"/>
      <c r="F130" s="128" t="s">
        <v>4870</v>
      </c>
      <c r="G130" s="22">
        <v>0</v>
      </c>
      <c r="H130" s="22">
        <v>0</v>
      </c>
      <c r="I130">
        <f>IF(PisCofinsAliquot[[#This Row],[Classificação]]="Alíquota 0",6,IF(PisCofinsAliquot[[#This Row],[Classificação]]="Monofásico",4,IF(PisCofinsAliquot[[#This Row],[Classificação]]="Regra Geral",1,IF(PisCofinsAliquot[[#This Row],[Classificação]]="ST",5))))</f>
        <v>6</v>
      </c>
    </row>
    <row r="131" spans="1:9" x14ac:dyDescent="0.25">
      <c r="A131" s="124" t="s">
        <v>3184</v>
      </c>
      <c r="B131" s="125" t="s">
        <v>2701</v>
      </c>
      <c r="C131" s="126" t="str">
        <f>RIGHT(PisCofinsAliquot[[#This Row],[Código NCM]],8)</f>
        <v>03032600</v>
      </c>
      <c r="D131" s="127"/>
      <c r="E131" s="128"/>
      <c r="F131" s="128" t="s">
        <v>4871</v>
      </c>
      <c r="G131" s="22">
        <v>0</v>
      </c>
      <c r="H131" s="22">
        <v>0</v>
      </c>
      <c r="I131">
        <f>IF(PisCofinsAliquot[[#This Row],[Classificação]]="Alíquota 0",6,IF(PisCofinsAliquot[[#This Row],[Classificação]]="Monofásico",4,IF(PisCofinsAliquot[[#This Row],[Classificação]]="Regra Geral",1,IF(PisCofinsAliquot[[#This Row],[Classificação]]="ST",5))))</f>
        <v>6</v>
      </c>
    </row>
    <row r="132" spans="1:9" x14ac:dyDescent="0.25">
      <c r="A132" s="124" t="s">
        <v>3185</v>
      </c>
      <c r="B132" s="125" t="s">
        <v>2701</v>
      </c>
      <c r="C132" s="126" t="str">
        <f>RIGHT(PisCofinsAliquot[[#This Row],[Código NCM]],8)</f>
        <v>03032900</v>
      </c>
      <c r="D132" s="127"/>
      <c r="E132" s="128"/>
      <c r="F132" s="128" t="s">
        <v>4901</v>
      </c>
      <c r="G132" s="22">
        <v>0</v>
      </c>
      <c r="H132" s="22">
        <v>0</v>
      </c>
      <c r="I132">
        <f>IF(PisCofinsAliquot[[#This Row],[Classificação]]="Alíquota 0",6,IF(PisCofinsAliquot[[#This Row],[Classificação]]="Monofásico",4,IF(PisCofinsAliquot[[#This Row],[Classificação]]="Regra Geral",1,IF(PisCofinsAliquot[[#This Row],[Classificação]]="ST",5))))</f>
        <v>6</v>
      </c>
    </row>
    <row r="133" spans="1:9" x14ac:dyDescent="0.25">
      <c r="A133" s="124" t="s">
        <v>3186</v>
      </c>
      <c r="B133" s="125" t="s">
        <v>2701</v>
      </c>
      <c r="C133" s="126" t="str">
        <f>RIGHT(PisCofinsAliquot[[#This Row],[Código NCM]],8)</f>
        <v>03033100</v>
      </c>
      <c r="D133" s="127"/>
      <c r="E133" s="128"/>
      <c r="F133" s="128" t="s">
        <v>4902</v>
      </c>
      <c r="G133" s="22">
        <v>0</v>
      </c>
      <c r="H133" s="22">
        <v>0</v>
      </c>
      <c r="I133">
        <f>IF(PisCofinsAliquot[[#This Row],[Classificação]]="Alíquota 0",6,IF(PisCofinsAliquot[[#This Row],[Classificação]]="Monofásico",4,IF(PisCofinsAliquot[[#This Row],[Classificação]]="Regra Geral",1,IF(PisCofinsAliquot[[#This Row],[Classificação]]="ST",5))))</f>
        <v>6</v>
      </c>
    </row>
    <row r="134" spans="1:9" x14ac:dyDescent="0.25">
      <c r="A134" s="124" t="s">
        <v>3187</v>
      </c>
      <c r="B134" s="125" t="s">
        <v>2701</v>
      </c>
      <c r="C134" s="126" t="str">
        <f>RIGHT(PisCofinsAliquot[[#This Row],[Código NCM]],8)</f>
        <v>03033200</v>
      </c>
      <c r="D134" s="127"/>
      <c r="E134" s="128"/>
      <c r="F134" s="128" t="s">
        <v>4841</v>
      </c>
      <c r="G134" s="22">
        <v>0</v>
      </c>
      <c r="H134" s="22">
        <v>0</v>
      </c>
      <c r="I134">
        <f>IF(PisCofinsAliquot[[#This Row],[Classificação]]="Alíquota 0",6,IF(PisCofinsAliquot[[#This Row],[Classificação]]="Monofásico",4,IF(PisCofinsAliquot[[#This Row],[Classificação]]="Regra Geral",1,IF(PisCofinsAliquot[[#This Row],[Classificação]]="ST",5))))</f>
        <v>6</v>
      </c>
    </row>
    <row r="135" spans="1:9" x14ac:dyDescent="0.25">
      <c r="A135" s="124" t="s">
        <v>3188</v>
      </c>
      <c r="B135" s="125" t="s">
        <v>2701</v>
      </c>
      <c r="C135" s="126" t="str">
        <f>RIGHT(PisCofinsAliquot[[#This Row],[Código NCM]],8)</f>
        <v>03033300</v>
      </c>
      <c r="D135" s="127"/>
      <c r="E135" s="128"/>
      <c r="F135" s="128" t="s">
        <v>4842</v>
      </c>
      <c r="G135" s="22">
        <v>0</v>
      </c>
      <c r="H135" s="22">
        <v>0</v>
      </c>
      <c r="I135">
        <f>IF(PisCofinsAliquot[[#This Row],[Classificação]]="Alíquota 0",6,IF(PisCofinsAliquot[[#This Row],[Classificação]]="Monofásico",4,IF(PisCofinsAliquot[[#This Row],[Classificação]]="Regra Geral",1,IF(PisCofinsAliquot[[#This Row],[Classificação]]="ST",5))))</f>
        <v>6</v>
      </c>
    </row>
    <row r="136" spans="1:9" x14ac:dyDescent="0.25">
      <c r="A136" s="124" t="s">
        <v>3189</v>
      </c>
      <c r="B136" s="125" t="s">
        <v>2701</v>
      </c>
      <c r="C136" s="126" t="str">
        <f>RIGHT(PisCofinsAliquot[[#This Row],[Código NCM]],8)</f>
        <v>03033400</v>
      </c>
      <c r="D136" s="127"/>
      <c r="E136" s="128"/>
      <c r="F136" s="128" t="s">
        <v>4843</v>
      </c>
      <c r="G136" s="22">
        <v>0</v>
      </c>
      <c r="H136" s="22">
        <v>0</v>
      </c>
      <c r="I136">
        <f>IF(PisCofinsAliquot[[#This Row],[Classificação]]="Alíquota 0",6,IF(PisCofinsAliquot[[#This Row],[Classificação]]="Monofásico",4,IF(PisCofinsAliquot[[#This Row],[Classificação]]="Regra Geral",1,IF(PisCofinsAliquot[[#This Row],[Classificação]]="ST",5))))</f>
        <v>6</v>
      </c>
    </row>
    <row r="137" spans="1:9" x14ac:dyDescent="0.25">
      <c r="A137" s="124" t="s">
        <v>3190</v>
      </c>
      <c r="B137" s="125" t="s">
        <v>2701</v>
      </c>
      <c r="C137" s="126" t="str">
        <f>RIGHT(PisCofinsAliquot[[#This Row],[Código NCM]],8)</f>
        <v>03033900</v>
      </c>
      <c r="D137" s="127"/>
      <c r="E137" s="128"/>
      <c r="F137" s="128" t="s">
        <v>4901</v>
      </c>
      <c r="G137" s="22">
        <v>0</v>
      </c>
      <c r="H137" s="22">
        <v>0</v>
      </c>
      <c r="I137">
        <f>IF(PisCofinsAliquot[[#This Row],[Classificação]]="Alíquota 0",6,IF(PisCofinsAliquot[[#This Row],[Classificação]]="Monofásico",4,IF(PisCofinsAliquot[[#This Row],[Classificação]]="Regra Geral",1,IF(PisCofinsAliquot[[#This Row],[Classificação]]="ST",5))))</f>
        <v>6</v>
      </c>
    </row>
    <row r="138" spans="1:9" x14ac:dyDescent="0.25">
      <c r="A138" s="124" t="s">
        <v>3191</v>
      </c>
      <c r="B138" s="125" t="s">
        <v>2701</v>
      </c>
      <c r="C138" s="126" t="str">
        <f>RIGHT(PisCofinsAliquot[[#This Row],[Código NCM]],8)</f>
        <v>03034100</v>
      </c>
      <c r="D138" s="127"/>
      <c r="E138" s="128"/>
      <c r="F138" s="128" t="s">
        <v>4903</v>
      </c>
      <c r="G138" s="22">
        <v>0</v>
      </c>
      <c r="H138" s="22">
        <v>0</v>
      </c>
      <c r="I138">
        <f>IF(PisCofinsAliquot[[#This Row],[Classificação]]="Alíquota 0",6,IF(PisCofinsAliquot[[#This Row],[Classificação]]="Monofásico",4,IF(PisCofinsAliquot[[#This Row],[Classificação]]="Regra Geral",1,IF(PisCofinsAliquot[[#This Row],[Classificação]]="ST",5))))</f>
        <v>6</v>
      </c>
    </row>
    <row r="139" spans="1:9" x14ac:dyDescent="0.25">
      <c r="A139" s="124" t="s">
        <v>3192</v>
      </c>
      <c r="B139" s="125" t="s">
        <v>2701</v>
      </c>
      <c r="C139" s="126" t="str">
        <f>RIGHT(PisCofinsAliquot[[#This Row],[Código NCM]],8)</f>
        <v>03034200</v>
      </c>
      <c r="D139" s="127"/>
      <c r="E139" s="128"/>
      <c r="F139" s="128" t="s">
        <v>4904</v>
      </c>
      <c r="G139" s="22">
        <v>0</v>
      </c>
      <c r="H139" s="22">
        <v>0</v>
      </c>
      <c r="I139">
        <f>IF(PisCofinsAliquot[[#This Row],[Classificação]]="Alíquota 0",6,IF(PisCofinsAliquot[[#This Row],[Classificação]]="Monofásico",4,IF(PisCofinsAliquot[[#This Row],[Classificação]]="Regra Geral",1,IF(PisCofinsAliquot[[#This Row],[Classificação]]="ST",5))))</f>
        <v>6</v>
      </c>
    </row>
    <row r="140" spans="1:9" x14ac:dyDescent="0.25">
      <c r="A140" s="124" t="s">
        <v>3193</v>
      </c>
      <c r="B140" s="125" t="s">
        <v>2701</v>
      </c>
      <c r="C140" s="126" t="str">
        <f>RIGHT(PisCofinsAliquot[[#This Row],[Código NCM]],8)</f>
        <v>03034300</v>
      </c>
      <c r="D140" s="127"/>
      <c r="E140" s="128"/>
      <c r="F140" s="128" t="s">
        <v>4847</v>
      </c>
      <c r="G140" s="22">
        <v>0</v>
      </c>
      <c r="H140" s="22">
        <v>0</v>
      </c>
      <c r="I140">
        <f>IF(PisCofinsAliquot[[#This Row],[Classificação]]="Alíquota 0",6,IF(PisCofinsAliquot[[#This Row],[Classificação]]="Monofásico",4,IF(PisCofinsAliquot[[#This Row],[Classificação]]="Regra Geral",1,IF(PisCofinsAliquot[[#This Row],[Classificação]]="ST",5))))</f>
        <v>6</v>
      </c>
    </row>
    <row r="141" spans="1:9" x14ac:dyDescent="0.25">
      <c r="A141" s="124" t="s">
        <v>3194</v>
      </c>
      <c r="B141" s="125" t="s">
        <v>2701</v>
      </c>
      <c r="C141" s="126" t="str">
        <f>RIGHT(PisCofinsAliquot[[#This Row],[Código NCM]],8)</f>
        <v>03034400</v>
      </c>
      <c r="D141" s="127"/>
      <c r="E141" s="128"/>
      <c r="F141" s="128" t="s">
        <v>4905</v>
      </c>
      <c r="G141" s="22">
        <v>0</v>
      </c>
      <c r="H141" s="22">
        <v>0</v>
      </c>
      <c r="I141">
        <f>IF(PisCofinsAliquot[[#This Row],[Classificação]]="Alíquota 0",6,IF(PisCofinsAliquot[[#This Row],[Classificação]]="Monofásico",4,IF(PisCofinsAliquot[[#This Row],[Classificação]]="Regra Geral",1,IF(PisCofinsAliquot[[#This Row],[Classificação]]="ST",5))))</f>
        <v>6</v>
      </c>
    </row>
    <row r="142" spans="1:9" x14ac:dyDescent="0.25">
      <c r="A142" s="124" t="s">
        <v>3195</v>
      </c>
      <c r="B142" s="125" t="s">
        <v>2701</v>
      </c>
      <c r="C142" s="126" t="str">
        <f>RIGHT(PisCofinsAliquot[[#This Row],[Código NCM]],8)</f>
        <v>03034500</v>
      </c>
      <c r="D142" s="127"/>
      <c r="E142" s="128"/>
      <c r="F142" s="128" t="s">
        <v>4906</v>
      </c>
      <c r="G142" s="22">
        <v>0</v>
      </c>
      <c r="H142" s="22">
        <v>0</v>
      </c>
      <c r="I142">
        <f>IF(PisCofinsAliquot[[#This Row],[Classificação]]="Alíquota 0",6,IF(PisCofinsAliquot[[#This Row],[Classificação]]="Monofásico",4,IF(PisCofinsAliquot[[#This Row],[Classificação]]="Regra Geral",1,IF(PisCofinsAliquot[[#This Row],[Classificação]]="ST",5))))</f>
        <v>6</v>
      </c>
    </row>
    <row r="143" spans="1:9" x14ac:dyDescent="0.25">
      <c r="A143" s="124" t="s">
        <v>3196</v>
      </c>
      <c r="B143" s="125" t="s">
        <v>2701</v>
      </c>
      <c r="C143" s="126" t="str">
        <f>RIGHT(PisCofinsAliquot[[#This Row],[Código NCM]],8)</f>
        <v>03034600</v>
      </c>
      <c r="D143" s="127"/>
      <c r="E143" s="128"/>
      <c r="F143" s="128" t="s">
        <v>4907</v>
      </c>
      <c r="G143" s="22">
        <v>0</v>
      </c>
      <c r="H143" s="22">
        <v>0</v>
      </c>
      <c r="I143">
        <f>IF(PisCofinsAliquot[[#This Row],[Classificação]]="Alíquota 0",6,IF(PisCofinsAliquot[[#This Row],[Classificação]]="Monofásico",4,IF(PisCofinsAliquot[[#This Row],[Classificação]]="Regra Geral",1,IF(PisCofinsAliquot[[#This Row],[Classificação]]="ST",5))))</f>
        <v>6</v>
      </c>
    </row>
    <row r="144" spans="1:9" x14ac:dyDescent="0.25">
      <c r="A144" s="124" t="s">
        <v>3197</v>
      </c>
      <c r="B144" s="125" t="s">
        <v>2701</v>
      </c>
      <c r="C144" s="126" t="str">
        <f>RIGHT(PisCofinsAliquot[[#This Row],[Código NCM]],8)</f>
        <v>03034900</v>
      </c>
      <c r="D144" s="127"/>
      <c r="E144" s="128"/>
      <c r="F144" s="128" t="s">
        <v>4851</v>
      </c>
      <c r="G144" s="22">
        <v>0</v>
      </c>
      <c r="H144" s="22">
        <v>0</v>
      </c>
      <c r="I144">
        <f>IF(PisCofinsAliquot[[#This Row],[Classificação]]="Alíquota 0",6,IF(PisCofinsAliquot[[#This Row],[Classificação]]="Monofásico",4,IF(PisCofinsAliquot[[#This Row],[Classificação]]="Regra Geral",1,IF(PisCofinsAliquot[[#This Row],[Classificação]]="ST",5))))</f>
        <v>6</v>
      </c>
    </row>
    <row r="145" spans="1:9" x14ac:dyDescent="0.25">
      <c r="A145" s="124" t="s">
        <v>3198</v>
      </c>
      <c r="B145" s="125" t="s">
        <v>2701</v>
      </c>
      <c r="C145" s="126" t="str">
        <f>RIGHT(PisCofinsAliquot[[#This Row],[Código NCM]],8)</f>
        <v>03035100</v>
      </c>
      <c r="D145" s="127"/>
      <c r="E145" s="128"/>
      <c r="F145" s="128" t="s">
        <v>4852</v>
      </c>
      <c r="G145" s="22">
        <v>0</v>
      </c>
      <c r="H145" s="22">
        <v>0</v>
      </c>
      <c r="I145">
        <f>IF(PisCofinsAliquot[[#This Row],[Classificação]]="Alíquota 0",6,IF(PisCofinsAliquot[[#This Row],[Classificação]]="Monofásico",4,IF(PisCofinsAliquot[[#This Row],[Classificação]]="Regra Geral",1,IF(PisCofinsAliquot[[#This Row],[Classificação]]="ST",5))))</f>
        <v>6</v>
      </c>
    </row>
    <row r="146" spans="1:9" x14ac:dyDescent="0.25">
      <c r="A146" s="124" t="s">
        <v>272</v>
      </c>
      <c r="B146" s="125" t="s">
        <v>2701</v>
      </c>
      <c r="C146" s="126" t="str">
        <f>RIGHT(PisCofinsAliquot[[#This Row],[Código NCM]],8)</f>
        <v>03035300</v>
      </c>
      <c r="D146" s="127"/>
      <c r="E146" s="128"/>
      <c r="F146" s="128" t="s">
        <v>4854</v>
      </c>
      <c r="G146" s="22">
        <v>0</v>
      </c>
      <c r="H146" s="22">
        <v>0</v>
      </c>
      <c r="I146">
        <f>IF(PisCofinsAliquot[[#This Row],[Classificação]]="Alíquota 0",6,IF(PisCofinsAliquot[[#This Row],[Classificação]]="Monofásico",4,IF(PisCofinsAliquot[[#This Row],[Classificação]]="Regra Geral",1,IF(PisCofinsAliquot[[#This Row],[Classificação]]="ST",5))))</f>
        <v>6</v>
      </c>
    </row>
    <row r="147" spans="1:9" x14ac:dyDescent="0.25">
      <c r="A147" s="124" t="s">
        <v>3199</v>
      </c>
      <c r="B147" s="125" t="s">
        <v>2701</v>
      </c>
      <c r="C147" s="126" t="str">
        <f>RIGHT(PisCofinsAliquot[[#This Row],[Código NCM]],8)</f>
        <v>03035400</v>
      </c>
      <c r="D147" s="127"/>
      <c r="E147" s="128"/>
      <c r="F147" s="128" t="s">
        <v>4908</v>
      </c>
      <c r="G147" s="22">
        <v>0</v>
      </c>
      <c r="H147" s="22">
        <v>0</v>
      </c>
      <c r="I147">
        <f>IF(PisCofinsAliquot[[#This Row],[Classificação]]="Alíquota 0",6,IF(PisCofinsAliquot[[#This Row],[Classificação]]="Monofásico",4,IF(PisCofinsAliquot[[#This Row],[Classificação]]="Regra Geral",1,IF(PisCofinsAliquot[[#This Row],[Classificação]]="ST",5))))</f>
        <v>6</v>
      </c>
    </row>
    <row r="148" spans="1:9" x14ac:dyDescent="0.25">
      <c r="A148" s="124" t="s">
        <v>3200</v>
      </c>
      <c r="B148" s="125" t="s">
        <v>2701</v>
      </c>
      <c r="C148" s="126" t="str">
        <f>RIGHT(PisCofinsAliquot[[#This Row],[Código NCM]],8)</f>
        <v>03035500</v>
      </c>
      <c r="D148" s="127"/>
      <c r="E148" s="128"/>
      <c r="F148" s="128" t="s">
        <v>4856</v>
      </c>
      <c r="G148" s="22">
        <v>0</v>
      </c>
      <c r="H148" s="22">
        <v>0</v>
      </c>
      <c r="I148">
        <f>IF(PisCofinsAliquot[[#This Row],[Classificação]]="Alíquota 0",6,IF(PisCofinsAliquot[[#This Row],[Classificação]]="Monofásico",4,IF(PisCofinsAliquot[[#This Row],[Classificação]]="Regra Geral",1,IF(PisCofinsAliquot[[#This Row],[Classificação]]="ST",5))))</f>
        <v>6</v>
      </c>
    </row>
    <row r="149" spans="1:9" x14ac:dyDescent="0.25">
      <c r="A149" s="124" t="s">
        <v>3201</v>
      </c>
      <c r="B149" s="125" t="s">
        <v>2701</v>
      </c>
      <c r="C149" s="126" t="str">
        <f>RIGHT(PisCofinsAliquot[[#This Row],[Código NCM]],8)</f>
        <v>03035600</v>
      </c>
      <c r="D149" s="127"/>
      <c r="E149" s="128"/>
      <c r="F149" s="128" t="s">
        <v>4857</v>
      </c>
      <c r="G149" s="22">
        <v>0</v>
      </c>
      <c r="H149" s="22">
        <v>0</v>
      </c>
      <c r="I149">
        <f>IF(PisCofinsAliquot[[#This Row],[Classificação]]="Alíquota 0",6,IF(PisCofinsAliquot[[#This Row],[Classificação]]="Monofásico",4,IF(PisCofinsAliquot[[#This Row],[Classificação]]="Regra Geral",1,IF(PisCofinsAliquot[[#This Row],[Classificação]]="ST",5))))</f>
        <v>6</v>
      </c>
    </row>
    <row r="150" spans="1:9" x14ac:dyDescent="0.25">
      <c r="A150" s="124" t="s">
        <v>3202</v>
      </c>
      <c r="B150" s="125" t="s">
        <v>2701</v>
      </c>
      <c r="C150" s="126" t="str">
        <f>RIGHT(PisCofinsAliquot[[#This Row],[Código NCM]],8)</f>
        <v>03035700</v>
      </c>
      <c r="D150" s="127"/>
      <c r="E150" s="128"/>
      <c r="F150" s="128" t="s">
        <v>4858</v>
      </c>
      <c r="G150" s="22">
        <v>0</v>
      </c>
      <c r="H150" s="22">
        <v>0</v>
      </c>
      <c r="I150">
        <f>IF(PisCofinsAliquot[[#This Row],[Classificação]]="Alíquota 0",6,IF(PisCofinsAliquot[[#This Row],[Classificação]]="Monofásico",4,IF(PisCofinsAliquot[[#This Row],[Classificação]]="Regra Geral",1,IF(PisCofinsAliquot[[#This Row],[Classificação]]="ST",5))))</f>
        <v>6</v>
      </c>
    </row>
    <row r="151" spans="1:9" x14ac:dyDescent="0.25">
      <c r="A151" s="124" t="s">
        <v>3203</v>
      </c>
      <c r="B151" s="125" t="s">
        <v>2701</v>
      </c>
      <c r="C151" s="126" t="str">
        <f>RIGHT(PisCofinsAliquot[[#This Row],[Código NCM]],8)</f>
        <v>03035910</v>
      </c>
      <c r="D151" s="127"/>
      <c r="E151" s="128"/>
      <c r="F151" s="128" t="s">
        <v>4909</v>
      </c>
      <c r="G151" s="22">
        <v>0</v>
      </c>
      <c r="H151" s="22">
        <v>0</v>
      </c>
      <c r="I151">
        <f>IF(PisCofinsAliquot[[#This Row],[Classificação]]="Alíquota 0",6,IF(PisCofinsAliquot[[#This Row],[Classificação]]="Monofásico",4,IF(PisCofinsAliquot[[#This Row],[Classificação]]="Regra Geral",1,IF(PisCofinsAliquot[[#This Row],[Classificação]]="ST",5))))</f>
        <v>6</v>
      </c>
    </row>
    <row r="152" spans="1:9" x14ac:dyDescent="0.25">
      <c r="A152" s="124" t="s">
        <v>3204</v>
      </c>
      <c r="B152" s="125" t="s">
        <v>2701</v>
      </c>
      <c r="C152" s="126" t="str">
        <f>RIGHT(PisCofinsAliquot[[#This Row],[Código NCM]],8)</f>
        <v>03035920</v>
      </c>
      <c r="D152" s="127"/>
      <c r="E152" s="128"/>
      <c r="F152" s="128" t="s">
        <v>4853</v>
      </c>
      <c r="G152" s="22">
        <v>0</v>
      </c>
      <c r="H152" s="22">
        <v>0</v>
      </c>
      <c r="I152">
        <f>IF(PisCofinsAliquot[[#This Row],[Classificação]]="Alíquota 0",6,IF(PisCofinsAliquot[[#This Row],[Classificação]]="Monofásico",4,IF(PisCofinsAliquot[[#This Row],[Classificação]]="Regra Geral",1,IF(PisCofinsAliquot[[#This Row],[Classificação]]="ST",5))))</f>
        <v>6</v>
      </c>
    </row>
    <row r="153" spans="1:9" x14ac:dyDescent="0.25">
      <c r="A153" s="124" t="s">
        <v>3205</v>
      </c>
      <c r="B153" s="125" t="s">
        <v>2701</v>
      </c>
      <c r="C153" s="126" t="str">
        <f>RIGHT(PisCofinsAliquot[[#This Row],[Código NCM]],8)</f>
        <v>03035990</v>
      </c>
      <c r="D153" s="127"/>
      <c r="E153" s="128"/>
      <c r="F153" s="128" t="s">
        <v>4901</v>
      </c>
      <c r="G153" s="22">
        <v>0</v>
      </c>
      <c r="H153" s="22">
        <v>0</v>
      </c>
      <c r="I153">
        <f>IF(PisCofinsAliquot[[#This Row],[Classificação]]="Alíquota 0",6,IF(PisCofinsAliquot[[#This Row],[Classificação]]="Monofásico",4,IF(PisCofinsAliquot[[#This Row],[Classificação]]="Regra Geral",1,IF(PisCofinsAliquot[[#This Row],[Classificação]]="ST",5))))</f>
        <v>6</v>
      </c>
    </row>
    <row r="154" spans="1:9" x14ac:dyDescent="0.25">
      <c r="A154" s="124" t="s">
        <v>3206</v>
      </c>
      <c r="B154" s="125" t="s">
        <v>2701</v>
      </c>
      <c r="C154" s="126" t="str">
        <f>RIGHT(PisCofinsAliquot[[#This Row],[Código NCM]],8)</f>
        <v>03036300</v>
      </c>
      <c r="D154" s="127"/>
      <c r="E154" s="128"/>
      <c r="F154" s="128" t="s">
        <v>4910</v>
      </c>
      <c r="G154" s="22">
        <v>0</v>
      </c>
      <c r="H154" s="22">
        <v>0</v>
      </c>
      <c r="I154">
        <f>IF(PisCofinsAliquot[[#This Row],[Classificação]]="Alíquota 0",6,IF(PisCofinsAliquot[[#This Row],[Classificação]]="Monofásico",4,IF(PisCofinsAliquot[[#This Row],[Classificação]]="Regra Geral",1,IF(PisCofinsAliquot[[#This Row],[Classificação]]="ST",5))))</f>
        <v>6</v>
      </c>
    </row>
    <row r="155" spans="1:9" x14ac:dyDescent="0.25">
      <c r="A155" s="124" t="s">
        <v>3207</v>
      </c>
      <c r="B155" s="125" t="s">
        <v>2701</v>
      </c>
      <c r="C155" s="126" t="str">
        <f>RIGHT(PisCofinsAliquot[[#This Row],[Código NCM]],8)</f>
        <v>03036400</v>
      </c>
      <c r="D155" s="127"/>
      <c r="E155" s="128"/>
      <c r="F155" s="128" t="s">
        <v>4911</v>
      </c>
      <c r="G155" s="22">
        <v>0</v>
      </c>
      <c r="H155" s="22">
        <v>0</v>
      </c>
      <c r="I155">
        <f>IF(PisCofinsAliquot[[#This Row],[Classificação]]="Alíquota 0",6,IF(PisCofinsAliquot[[#This Row],[Classificação]]="Monofásico",4,IF(PisCofinsAliquot[[#This Row],[Classificação]]="Regra Geral",1,IF(PisCofinsAliquot[[#This Row],[Classificação]]="ST",5))))</f>
        <v>6</v>
      </c>
    </row>
    <row r="156" spans="1:9" x14ac:dyDescent="0.25">
      <c r="A156" s="124" t="s">
        <v>3208</v>
      </c>
      <c r="B156" s="125" t="s">
        <v>2701</v>
      </c>
      <c r="C156" s="126" t="str">
        <f>RIGHT(PisCofinsAliquot[[#This Row],[Código NCM]],8)</f>
        <v>03036500</v>
      </c>
      <c r="D156" s="127"/>
      <c r="E156" s="128"/>
      <c r="F156" s="128" t="s">
        <v>4863</v>
      </c>
      <c r="G156" s="22">
        <v>0</v>
      </c>
      <c r="H156" s="22">
        <v>0</v>
      </c>
      <c r="I156">
        <f>IF(PisCofinsAliquot[[#This Row],[Classificação]]="Alíquota 0",6,IF(PisCofinsAliquot[[#This Row],[Classificação]]="Monofásico",4,IF(PisCofinsAliquot[[#This Row],[Classificação]]="Regra Geral",1,IF(PisCofinsAliquot[[#This Row],[Classificação]]="ST",5))))</f>
        <v>6</v>
      </c>
    </row>
    <row r="157" spans="1:9" x14ac:dyDescent="0.25">
      <c r="A157" s="124" t="s">
        <v>3209</v>
      </c>
      <c r="B157" s="125" t="s">
        <v>2701</v>
      </c>
      <c r="C157" s="126" t="str">
        <f>RIGHT(PisCofinsAliquot[[#This Row],[Código NCM]],8)</f>
        <v>03036600</v>
      </c>
      <c r="D157" s="127"/>
      <c r="E157" s="128"/>
      <c r="F157" s="128" t="s">
        <v>4864</v>
      </c>
      <c r="G157" s="22">
        <v>0</v>
      </c>
      <c r="H157" s="22">
        <v>0</v>
      </c>
      <c r="I157">
        <f>IF(PisCofinsAliquot[[#This Row],[Classificação]]="Alíquota 0",6,IF(PisCofinsAliquot[[#This Row],[Classificação]]="Monofásico",4,IF(PisCofinsAliquot[[#This Row],[Classificação]]="Regra Geral",1,IF(PisCofinsAliquot[[#This Row],[Classificação]]="ST",5))))</f>
        <v>6</v>
      </c>
    </row>
    <row r="158" spans="1:9" x14ac:dyDescent="0.25">
      <c r="A158" s="124" t="s">
        <v>3210</v>
      </c>
      <c r="B158" s="125" t="s">
        <v>2701</v>
      </c>
      <c r="C158" s="126" t="str">
        <f>RIGHT(PisCofinsAliquot[[#This Row],[Código NCM]],8)</f>
        <v>03036700</v>
      </c>
      <c r="D158" s="127"/>
      <c r="E158" s="128"/>
      <c r="F158" s="128" t="s">
        <v>4865</v>
      </c>
      <c r="G158" s="22">
        <v>0</v>
      </c>
      <c r="H158" s="22">
        <v>0</v>
      </c>
      <c r="I158">
        <f>IF(PisCofinsAliquot[[#This Row],[Classificação]]="Alíquota 0",6,IF(PisCofinsAliquot[[#This Row],[Classificação]]="Monofásico",4,IF(PisCofinsAliquot[[#This Row],[Classificação]]="Regra Geral",1,IF(PisCofinsAliquot[[#This Row],[Classificação]]="ST",5))))</f>
        <v>6</v>
      </c>
    </row>
    <row r="159" spans="1:9" x14ac:dyDescent="0.25">
      <c r="A159" s="124" t="s">
        <v>3211</v>
      </c>
      <c r="B159" s="125" t="s">
        <v>2701</v>
      </c>
      <c r="C159" s="126" t="str">
        <f>RIGHT(PisCofinsAliquot[[#This Row],[Código NCM]],8)</f>
        <v>03036800</v>
      </c>
      <c r="D159" s="127"/>
      <c r="E159" s="128"/>
      <c r="F159" s="128" t="s">
        <v>4912</v>
      </c>
      <c r="G159" s="22">
        <v>0</v>
      </c>
      <c r="H159" s="22">
        <v>0</v>
      </c>
      <c r="I159">
        <f>IF(PisCofinsAliquot[[#This Row],[Classificação]]="Alíquota 0",6,IF(PisCofinsAliquot[[#This Row],[Classificação]]="Monofásico",4,IF(PisCofinsAliquot[[#This Row],[Classificação]]="Regra Geral",1,IF(PisCofinsAliquot[[#This Row],[Classificação]]="ST",5))))</f>
        <v>6</v>
      </c>
    </row>
    <row r="160" spans="1:9" x14ac:dyDescent="0.25">
      <c r="A160" s="124" t="s">
        <v>3212</v>
      </c>
      <c r="B160" s="125" t="s">
        <v>2701</v>
      </c>
      <c r="C160" s="126" t="str">
        <f>RIGHT(PisCofinsAliquot[[#This Row],[Código NCM]],8)</f>
        <v>03036910</v>
      </c>
      <c r="D160" s="127"/>
      <c r="E160" s="128"/>
      <c r="F160" s="128" t="s">
        <v>4913</v>
      </c>
      <c r="G160" s="22">
        <v>0</v>
      </c>
      <c r="H160" s="22">
        <v>0</v>
      </c>
      <c r="I160">
        <f>IF(PisCofinsAliquot[[#This Row],[Classificação]]="Alíquota 0",6,IF(PisCofinsAliquot[[#This Row],[Classificação]]="Monofásico",4,IF(PisCofinsAliquot[[#This Row],[Classificação]]="Regra Geral",1,IF(PisCofinsAliquot[[#This Row],[Classificação]]="ST",5))))</f>
        <v>6</v>
      </c>
    </row>
    <row r="161" spans="1:9" x14ac:dyDescent="0.25">
      <c r="A161" s="124" t="s">
        <v>3213</v>
      </c>
      <c r="B161" s="125" t="s">
        <v>2701</v>
      </c>
      <c r="C161" s="126" t="str">
        <f>RIGHT(PisCofinsAliquot[[#This Row],[Código NCM]],8)</f>
        <v>03036990</v>
      </c>
      <c r="D161" s="127"/>
      <c r="E161" s="128"/>
      <c r="F161" s="128" t="s">
        <v>4901</v>
      </c>
      <c r="G161" s="22">
        <v>0</v>
      </c>
      <c r="H161" s="22">
        <v>0</v>
      </c>
      <c r="I161">
        <f>IF(PisCofinsAliquot[[#This Row],[Classificação]]="Alíquota 0",6,IF(PisCofinsAliquot[[#This Row],[Classificação]]="Monofásico",4,IF(PisCofinsAliquot[[#This Row],[Classificação]]="Regra Geral",1,IF(PisCofinsAliquot[[#This Row],[Classificação]]="ST",5))))</f>
        <v>6</v>
      </c>
    </row>
    <row r="162" spans="1:9" x14ac:dyDescent="0.25">
      <c r="A162" s="124" t="s">
        <v>3214</v>
      </c>
      <c r="B162" s="125" t="s">
        <v>2701</v>
      </c>
      <c r="C162" s="126" t="str">
        <f>RIGHT(PisCofinsAliquot[[#This Row],[Código NCM]],8)</f>
        <v>03037961</v>
      </c>
      <c r="D162" s="127"/>
      <c r="E162" s="128"/>
      <c r="F162" s="128" t="s">
        <v>4860</v>
      </c>
      <c r="G162" s="3">
        <v>0</v>
      </c>
      <c r="H162" s="3">
        <v>0</v>
      </c>
      <c r="I162">
        <f>IF(PisCofinsAliquot[[#This Row],[Classificação]]="Alíquota 0",6,IF(PisCofinsAliquot[[#This Row],[Classificação]]="Monofásico",4,IF(PisCofinsAliquot[[#This Row],[Classificação]]="Regra Geral",1,IF(PisCofinsAliquot[[#This Row],[Classificação]]="ST",5))))</f>
        <v>6</v>
      </c>
    </row>
    <row r="163" spans="1:9" x14ac:dyDescent="0.25">
      <c r="A163" s="124" t="s">
        <v>3215</v>
      </c>
      <c r="B163" s="125" t="s">
        <v>2701</v>
      </c>
      <c r="C163" s="126" t="str">
        <f>RIGHT(PisCofinsAliquot[[#This Row],[Código NCM]],8)</f>
        <v>03038111</v>
      </c>
      <c r="D163" s="127"/>
      <c r="E163" s="128"/>
      <c r="F163" s="128" t="s">
        <v>4914</v>
      </c>
      <c r="G163" s="22">
        <v>0</v>
      </c>
      <c r="H163" s="22">
        <v>0</v>
      </c>
      <c r="I163">
        <f>IF(PisCofinsAliquot[[#This Row],[Classificação]]="Alíquota 0",6,IF(PisCofinsAliquot[[#This Row],[Classificação]]="Monofásico",4,IF(PisCofinsAliquot[[#This Row],[Classificação]]="Regra Geral",1,IF(PisCofinsAliquot[[#This Row],[Classificação]]="ST",5))))</f>
        <v>6</v>
      </c>
    </row>
    <row r="164" spans="1:9" x14ac:dyDescent="0.25">
      <c r="A164" s="124" t="s">
        <v>3216</v>
      </c>
      <c r="B164" s="125" t="s">
        <v>2701</v>
      </c>
      <c r="C164" s="126" t="str">
        <f>RIGHT(PisCofinsAliquot[[#This Row],[Código NCM]],8)</f>
        <v>03038112</v>
      </c>
      <c r="D164" s="127"/>
      <c r="E164" s="128"/>
      <c r="F164" s="128" t="s">
        <v>4914</v>
      </c>
      <c r="G164" s="22">
        <v>0</v>
      </c>
      <c r="H164" s="22">
        <v>0</v>
      </c>
      <c r="I164">
        <f>IF(PisCofinsAliquot[[#This Row],[Classificação]]="Alíquota 0",6,IF(PisCofinsAliquot[[#This Row],[Classificação]]="Monofásico",4,IF(PisCofinsAliquot[[#This Row],[Classificação]]="Regra Geral",1,IF(PisCofinsAliquot[[#This Row],[Classificação]]="ST",5))))</f>
        <v>6</v>
      </c>
    </row>
    <row r="165" spans="1:9" x14ac:dyDescent="0.25">
      <c r="A165" s="124" t="s">
        <v>3217</v>
      </c>
      <c r="B165" s="125" t="s">
        <v>2701</v>
      </c>
      <c r="C165" s="126" t="str">
        <f>RIGHT(PisCofinsAliquot[[#This Row],[Código NCM]],8)</f>
        <v>03038113</v>
      </c>
      <c r="D165" s="127"/>
      <c r="E165" s="128"/>
      <c r="F165" s="128" t="s">
        <v>4914</v>
      </c>
      <c r="G165" s="22">
        <v>0</v>
      </c>
      <c r="H165" s="22">
        <v>0</v>
      </c>
      <c r="I165">
        <f>IF(PisCofinsAliquot[[#This Row],[Classificação]]="Alíquota 0",6,IF(PisCofinsAliquot[[#This Row],[Classificação]]="Monofásico",4,IF(PisCofinsAliquot[[#This Row],[Classificação]]="Regra Geral",1,IF(PisCofinsAliquot[[#This Row],[Classificação]]="ST",5))))</f>
        <v>6</v>
      </c>
    </row>
    <row r="166" spans="1:9" x14ac:dyDescent="0.25">
      <c r="A166" s="124" t="s">
        <v>3218</v>
      </c>
      <c r="B166" s="125" t="s">
        <v>2701</v>
      </c>
      <c r="C166" s="126" t="str">
        <f>RIGHT(PisCofinsAliquot[[#This Row],[Código NCM]],8)</f>
        <v>03038114</v>
      </c>
      <c r="D166" s="127"/>
      <c r="E166" s="128"/>
      <c r="F166" s="128" t="s">
        <v>4914</v>
      </c>
      <c r="G166" s="22">
        <v>0</v>
      </c>
      <c r="H166" s="22">
        <v>0</v>
      </c>
      <c r="I166">
        <f>IF(PisCofinsAliquot[[#This Row],[Classificação]]="Alíquota 0",6,IF(PisCofinsAliquot[[#This Row],[Classificação]]="Monofásico",4,IF(PisCofinsAliquot[[#This Row],[Classificação]]="Regra Geral",1,IF(PisCofinsAliquot[[#This Row],[Classificação]]="ST",5))))</f>
        <v>6</v>
      </c>
    </row>
    <row r="167" spans="1:9" x14ac:dyDescent="0.25">
      <c r="A167" s="124" t="s">
        <v>3219</v>
      </c>
      <c r="B167" s="125" t="s">
        <v>2701</v>
      </c>
      <c r="C167" s="126" t="str">
        <f>RIGHT(PisCofinsAliquot[[#This Row],[Código NCM]],8)</f>
        <v>03038119</v>
      </c>
      <c r="D167" s="127"/>
      <c r="E167" s="128"/>
      <c r="F167" s="128" t="s">
        <v>4914</v>
      </c>
      <c r="G167" s="22">
        <v>0</v>
      </c>
      <c r="H167" s="22">
        <v>0</v>
      </c>
      <c r="I167">
        <f>IF(PisCofinsAliquot[[#This Row],[Classificação]]="Alíquota 0",6,IF(PisCofinsAliquot[[#This Row],[Classificação]]="Monofásico",4,IF(PisCofinsAliquot[[#This Row],[Classificação]]="Regra Geral",1,IF(PisCofinsAliquot[[#This Row],[Classificação]]="ST",5))))</f>
        <v>6</v>
      </c>
    </row>
    <row r="168" spans="1:9" x14ac:dyDescent="0.25">
      <c r="A168" s="124" t="s">
        <v>3220</v>
      </c>
      <c r="B168" s="125" t="s">
        <v>2701</v>
      </c>
      <c r="C168" s="126" t="str">
        <f>RIGHT(PisCofinsAliquot[[#This Row],[Código NCM]],8)</f>
        <v>03038190</v>
      </c>
      <c r="D168" s="127"/>
      <c r="E168" s="128"/>
      <c r="F168" s="128" t="s">
        <v>4914</v>
      </c>
      <c r="G168" s="22">
        <v>0</v>
      </c>
      <c r="H168" s="22">
        <v>0</v>
      </c>
      <c r="I168">
        <f>IF(PisCofinsAliquot[[#This Row],[Classificação]]="Alíquota 0",6,IF(PisCofinsAliquot[[#This Row],[Classificação]]="Monofásico",4,IF(PisCofinsAliquot[[#This Row],[Classificação]]="Regra Geral",1,IF(PisCofinsAliquot[[#This Row],[Classificação]]="ST",5))))</f>
        <v>6</v>
      </c>
    </row>
    <row r="169" spans="1:9" x14ac:dyDescent="0.25">
      <c r="A169" s="124" t="s">
        <v>3221</v>
      </c>
      <c r="B169" s="125" t="s">
        <v>2701</v>
      </c>
      <c r="C169" s="126" t="str">
        <f>RIGHT(PisCofinsAliquot[[#This Row],[Código NCM]],8)</f>
        <v>03038200</v>
      </c>
      <c r="D169" s="127"/>
      <c r="E169" s="128"/>
      <c r="F169" s="128" t="s">
        <v>4874</v>
      </c>
      <c r="G169" s="22">
        <v>0</v>
      </c>
      <c r="H169" s="22">
        <v>0</v>
      </c>
      <c r="I169">
        <f>IF(PisCofinsAliquot[[#This Row],[Classificação]]="Alíquota 0",6,IF(PisCofinsAliquot[[#This Row],[Classificação]]="Monofásico",4,IF(PisCofinsAliquot[[#This Row],[Classificação]]="Regra Geral",1,IF(PisCofinsAliquot[[#This Row],[Classificação]]="ST",5))))</f>
        <v>6</v>
      </c>
    </row>
    <row r="170" spans="1:9" x14ac:dyDescent="0.25">
      <c r="A170" s="124" t="s">
        <v>3222</v>
      </c>
      <c r="B170" s="125" t="s">
        <v>2701</v>
      </c>
      <c r="C170" s="126" t="str">
        <f>RIGHT(PisCofinsAliquot[[#This Row],[Código NCM]],8)</f>
        <v>03038311</v>
      </c>
      <c r="D170" s="127"/>
      <c r="E170" s="128"/>
      <c r="F170" s="128" t="s">
        <v>4915</v>
      </c>
      <c r="G170" s="22">
        <v>0</v>
      </c>
      <c r="H170" s="22">
        <v>0</v>
      </c>
      <c r="I170">
        <f>IF(PisCofinsAliquot[[#This Row],[Classificação]]="Alíquota 0",6,IF(PisCofinsAliquot[[#This Row],[Classificação]]="Monofásico",4,IF(PisCofinsAliquot[[#This Row],[Classificação]]="Regra Geral",1,IF(PisCofinsAliquot[[#This Row],[Classificação]]="ST",5))))</f>
        <v>6</v>
      </c>
    </row>
    <row r="171" spans="1:9" x14ac:dyDescent="0.25">
      <c r="A171" s="124" t="s">
        <v>3223</v>
      </c>
      <c r="B171" s="125" t="s">
        <v>2701</v>
      </c>
      <c r="C171" s="126" t="str">
        <f>RIGHT(PisCofinsAliquot[[#This Row],[Código NCM]],8)</f>
        <v>03038319</v>
      </c>
      <c r="D171" s="127"/>
      <c r="E171" s="128"/>
      <c r="F171" s="128" t="s">
        <v>4916</v>
      </c>
      <c r="G171" s="22">
        <v>0</v>
      </c>
      <c r="H171" s="22">
        <v>0</v>
      </c>
      <c r="I171">
        <f>IF(PisCofinsAliquot[[#This Row],[Classificação]]="Alíquota 0",6,IF(PisCofinsAliquot[[#This Row],[Classificação]]="Monofásico",4,IF(PisCofinsAliquot[[#This Row],[Classificação]]="Regra Geral",1,IF(PisCofinsAliquot[[#This Row],[Classificação]]="ST",5))))</f>
        <v>6</v>
      </c>
    </row>
    <row r="172" spans="1:9" x14ac:dyDescent="0.25">
      <c r="A172" s="124" t="s">
        <v>3224</v>
      </c>
      <c r="B172" s="125" t="s">
        <v>2701</v>
      </c>
      <c r="C172" s="126" t="str">
        <f>RIGHT(PisCofinsAliquot[[#This Row],[Código NCM]],8)</f>
        <v>03038321</v>
      </c>
      <c r="D172" s="127"/>
      <c r="E172" s="128"/>
      <c r="F172" s="128" t="s">
        <v>4915</v>
      </c>
      <c r="G172" s="22">
        <v>0</v>
      </c>
      <c r="H172" s="22">
        <v>0</v>
      </c>
      <c r="I172">
        <f>IF(PisCofinsAliquot[[#This Row],[Classificação]]="Alíquota 0",6,IF(PisCofinsAliquot[[#This Row],[Classificação]]="Monofásico",4,IF(PisCofinsAliquot[[#This Row],[Classificação]]="Regra Geral",1,IF(PisCofinsAliquot[[#This Row],[Classificação]]="ST",5))))</f>
        <v>6</v>
      </c>
    </row>
    <row r="173" spans="1:9" x14ac:dyDescent="0.25">
      <c r="A173" s="124" t="s">
        <v>3225</v>
      </c>
      <c r="B173" s="125" t="s">
        <v>2701</v>
      </c>
      <c r="C173" s="126" t="str">
        <f>RIGHT(PisCofinsAliquot[[#This Row],[Código NCM]],8)</f>
        <v>03038329</v>
      </c>
      <c r="D173" s="127"/>
      <c r="E173" s="128"/>
      <c r="F173" s="128" t="s">
        <v>4916</v>
      </c>
      <c r="G173" s="22">
        <v>0</v>
      </c>
      <c r="H173" s="22">
        <v>0</v>
      </c>
      <c r="I173">
        <f>IF(PisCofinsAliquot[[#This Row],[Classificação]]="Alíquota 0",6,IF(PisCofinsAliquot[[#This Row],[Classificação]]="Monofásico",4,IF(PisCofinsAliquot[[#This Row],[Classificação]]="Regra Geral",1,IF(PisCofinsAliquot[[#This Row],[Classificação]]="ST",5))))</f>
        <v>6</v>
      </c>
    </row>
    <row r="174" spans="1:9" x14ac:dyDescent="0.25">
      <c r="A174" s="124" t="s">
        <v>3226</v>
      </c>
      <c r="B174" s="125" t="s">
        <v>2701</v>
      </c>
      <c r="C174" s="126" t="str">
        <f>RIGHT(PisCofinsAliquot[[#This Row],[Código NCM]],8)</f>
        <v>03038400</v>
      </c>
      <c r="D174" s="127"/>
      <c r="E174" s="128"/>
      <c r="F174" s="128" t="s">
        <v>4877</v>
      </c>
      <c r="G174" s="22">
        <v>0</v>
      </c>
      <c r="H174" s="22">
        <v>0</v>
      </c>
      <c r="I174">
        <f>IF(PisCofinsAliquot[[#This Row],[Classificação]]="Alíquota 0",6,IF(PisCofinsAliquot[[#This Row],[Classificação]]="Monofásico",4,IF(PisCofinsAliquot[[#This Row],[Classificação]]="Regra Geral",1,IF(PisCofinsAliquot[[#This Row],[Classificação]]="ST",5))))</f>
        <v>6</v>
      </c>
    </row>
    <row r="175" spans="1:9" x14ac:dyDescent="0.25">
      <c r="A175" s="124" t="s">
        <v>3227</v>
      </c>
      <c r="B175" s="125" t="s">
        <v>2701</v>
      </c>
      <c r="C175" s="126" t="str">
        <f>RIGHT(PisCofinsAliquot[[#This Row],[Código NCM]],8)</f>
        <v>03038910</v>
      </c>
      <c r="D175" s="127"/>
      <c r="E175" s="128"/>
      <c r="F175" s="128" t="s">
        <v>4917</v>
      </c>
      <c r="G175" s="22">
        <v>0</v>
      </c>
      <c r="H175" s="22">
        <v>0</v>
      </c>
      <c r="I175">
        <f>IF(PisCofinsAliquot[[#This Row],[Classificação]]="Alíquota 0",6,IF(PisCofinsAliquot[[#This Row],[Classificação]]="Monofásico",4,IF(PisCofinsAliquot[[#This Row],[Classificação]]="Regra Geral",1,IF(PisCofinsAliquot[[#This Row],[Classificação]]="ST",5))))</f>
        <v>6</v>
      </c>
    </row>
    <row r="176" spans="1:9" x14ac:dyDescent="0.25">
      <c r="A176" s="124" t="s">
        <v>3228</v>
      </c>
      <c r="B176" s="125" t="s">
        <v>2701</v>
      </c>
      <c r="C176" s="126" t="str">
        <f>RIGHT(PisCofinsAliquot[[#This Row],[Código NCM]],8)</f>
        <v>03038920</v>
      </c>
      <c r="D176" s="127"/>
      <c r="E176" s="128"/>
      <c r="F176" s="128" t="s">
        <v>4918</v>
      </c>
      <c r="G176" s="22">
        <v>0</v>
      </c>
      <c r="H176" s="22">
        <v>0</v>
      </c>
      <c r="I176">
        <f>IF(PisCofinsAliquot[[#This Row],[Classificação]]="Alíquota 0",6,IF(PisCofinsAliquot[[#This Row],[Classificação]]="Monofásico",4,IF(PisCofinsAliquot[[#This Row],[Classificação]]="Regra Geral",1,IF(PisCofinsAliquot[[#This Row],[Classificação]]="ST",5))))</f>
        <v>6</v>
      </c>
    </row>
    <row r="177" spans="1:9" x14ac:dyDescent="0.25">
      <c r="A177" s="124" t="s">
        <v>3229</v>
      </c>
      <c r="B177" s="125" t="s">
        <v>2701</v>
      </c>
      <c r="C177" s="126" t="str">
        <f>RIGHT(PisCofinsAliquot[[#This Row],[Código NCM]],8)</f>
        <v>03038932</v>
      </c>
      <c r="D177" s="127"/>
      <c r="E177" s="128"/>
      <c r="F177" s="128" t="s">
        <v>4879</v>
      </c>
      <c r="G177" s="22">
        <v>0</v>
      </c>
      <c r="H177" s="22">
        <v>0</v>
      </c>
      <c r="I177">
        <f>IF(PisCofinsAliquot[[#This Row],[Classificação]]="Alíquota 0",6,IF(PisCofinsAliquot[[#This Row],[Classificação]]="Monofásico",4,IF(PisCofinsAliquot[[#This Row],[Classificação]]="Regra Geral",1,IF(PisCofinsAliquot[[#This Row],[Classificação]]="ST",5))))</f>
        <v>6</v>
      </c>
    </row>
    <row r="178" spans="1:9" x14ac:dyDescent="0.25">
      <c r="A178" s="124" t="s">
        <v>3230</v>
      </c>
      <c r="B178" s="125" t="s">
        <v>2701</v>
      </c>
      <c r="C178" s="126" t="str">
        <f>RIGHT(PisCofinsAliquot[[#This Row],[Código NCM]],8)</f>
        <v>03038933</v>
      </c>
      <c r="D178" s="127"/>
      <c r="E178" s="128"/>
      <c r="F178" s="128" t="s">
        <v>4919</v>
      </c>
      <c r="G178" s="22">
        <v>0</v>
      </c>
      <c r="H178" s="22">
        <v>0</v>
      </c>
      <c r="I178">
        <f>IF(PisCofinsAliquot[[#This Row],[Classificação]]="Alíquota 0",6,IF(PisCofinsAliquot[[#This Row],[Classificação]]="Monofásico",4,IF(PisCofinsAliquot[[#This Row],[Classificação]]="Regra Geral",1,IF(PisCofinsAliquot[[#This Row],[Classificação]]="ST",5))))</f>
        <v>6</v>
      </c>
    </row>
    <row r="179" spans="1:9" x14ac:dyDescent="0.25">
      <c r="A179" s="124" t="s">
        <v>3231</v>
      </c>
      <c r="B179" s="125" t="s">
        <v>2701</v>
      </c>
      <c r="C179" s="126" t="str">
        <f>RIGHT(PisCofinsAliquot[[#This Row],[Código NCM]],8)</f>
        <v>03038941</v>
      </c>
      <c r="D179" s="127"/>
      <c r="E179" s="128"/>
      <c r="F179" s="128" t="s">
        <v>4880</v>
      </c>
      <c r="G179" s="22">
        <v>0</v>
      </c>
      <c r="H179" s="22">
        <v>0</v>
      </c>
      <c r="I179">
        <f>IF(PisCofinsAliquot[[#This Row],[Classificação]]="Alíquota 0",6,IF(PisCofinsAliquot[[#This Row],[Classificação]]="Monofásico",4,IF(PisCofinsAliquot[[#This Row],[Classificação]]="Regra Geral",1,IF(PisCofinsAliquot[[#This Row],[Classificação]]="ST",5))))</f>
        <v>6</v>
      </c>
    </row>
    <row r="180" spans="1:9" x14ac:dyDescent="0.25">
      <c r="A180" s="124" t="s">
        <v>3232</v>
      </c>
      <c r="B180" s="125" t="s">
        <v>2701</v>
      </c>
      <c r="C180" s="126" t="str">
        <f>RIGHT(PisCofinsAliquot[[#This Row],[Código NCM]],8)</f>
        <v>03038942</v>
      </c>
      <c r="D180" s="127"/>
      <c r="E180" s="128"/>
      <c r="F180" s="128" t="s">
        <v>4881</v>
      </c>
      <c r="G180" s="22">
        <v>0</v>
      </c>
      <c r="H180" s="22">
        <v>0</v>
      </c>
      <c r="I180">
        <f>IF(PisCofinsAliquot[[#This Row],[Classificação]]="Alíquota 0",6,IF(PisCofinsAliquot[[#This Row],[Classificação]]="Monofásico",4,IF(PisCofinsAliquot[[#This Row],[Classificação]]="Regra Geral",1,IF(PisCofinsAliquot[[#This Row],[Classificação]]="ST",5))))</f>
        <v>6</v>
      </c>
    </row>
    <row r="181" spans="1:9" x14ac:dyDescent="0.25">
      <c r="A181" s="124" t="s">
        <v>3233</v>
      </c>
      <c r="B181" s="125" t="s">
        <v>2701</v>
      </c>
      <c r="C181" s="126" t="str">
        <f>RIGHT(PisCofinsAliquot[[#This Row],[Código NCM]],8)</f>
        <v>03038943</v>
      </c>
      <c r="D181" s="127"/>
      <c r="E181" s="128"/>
      <c r="F181" s="128" t="s">
        <v>4920</v>
      </c>
      <c r="G181" s="22">
        <v>0</v>
      </c>
      <c r="H181" s="22">
        <v>0</v>
      </c>
      <c r="I181">
        <f>IF(PisCofinsAliquot[[#This Row],[Classificação]]="Alíquota 0",6,IF(PisCofinsAliquot[[#This Row],[Classificação]]="Monofásico",4,IF(PisCofinsAliquot[[#This Row],[Classificação]]="Regra Geral",1,IF(PisCofinsAliquot[[#This Row],[Classificação]]="ST",5))))</f>
        <v>6</v>
      </c>
    </row>
    <row r="182" spans="1:9" x14ac:dyDescent="0.25">
      <c r="A182" s="124" t="s">
        <v>3234</v>
      </c>
      <c r="B182" s="125" t="s">
        <v>2701</v>
      </c>
      <c r="C182" s="126" t="str">
        <f>RIGHT(PisCofinsAliquot[[#This Row],[Código NCM]],8)</f>
        <v>03038944</v>
      </c>
      <c r="D182" s="127"/>
      <c r="E182" s="128"/>
      <c r="F182" s="128" t="s">
        <v>4921</v>
      </c>
      <c r="G182" s="22">
        <v>0</v>
      </c>
      <c r="H182" s="22">
        <v>0</v>
      </c>
      <c r="I182">
        <f>IF(PisCofinsAliquot[[#This Row],[Classificação]]="Alíquota 0",6,IF(PisCofinsAliquot[[#This Row],[Classificação]]="Monofásico",4,IF(PisCofinsAliquot[[#This Row],[Classificação]]="Regra Geral",1,IF(PisCofinsAliquot[[#This Row],[Classificação]]="ST",5))))</f>
        <v>6</v>
      </c>
    </row>
    <row r="183" spans="1:9" x14ac:dyDescent="0.25">
      <c r="A183" s="124" t="s">
        <v>3235</v>
      </c>
      <c r="B183" s="125" t="s">
        <v>2701</v>
      </c>
      <c r="C183" s="126" t="str">
        <f>RIGHT(PisCofinsAliquot[[#This Row],[Código NCM]],8)</f>
        <v>03038945</v>
      </c>
      <c r="D183" s="127"/>
      <c r="E183" s="128"/>
      <c r="F183" s="128" t="s">
        <v>4883</v>
      </c>
      <c r="G183" s="22">
        <v>0</v>
      </c>
      <c r="H183" s="22">
        <v>0</v>
      </c>
      <c r="I183">
        <f>IF(PisCofinsAliquot[[#This Row],[Classificação]]="Alíquota 0",6,IF(PisCofinsAliquot[[#This Row],[Classificação]]="Monofásico",4,IF(PisCofinsAliquot[[#This Row],[Classificação]]="Regra Geral",1,IF(PisCofinsAliquot[[#This Row],[Classificação]]="ST",5))))</f>
        <v>6</v>
      </c>
    </row>
    <row r="184" spans="1:9" x14ac:dyDescent="0.25">
      <c r="A184" s="124" t="s">
        <v>3236</v>
      </c>
      <c r="B184" s="125" t="s">
        <v>2701</v>
      </c>
      <c r="C184" s="126" t="str">
        <f>RIGHT(PisCofinsAliquot[[#This Row],[Código NCM]],8)</f>
        <v>03038946</v>
      </c>
      <c r="D184" s="127"/>
      <c r="E184" s="128"/>
      <c r="F184" s="128" t="s">
        <v>4922</v>
      </c>
      <c r="G184" s="22">
        <v>0</v>
      </c>
      <c r="H184" s="22">
        <v>0</v>
      </c>
      <c r="I184">
        <f>IF(PisCofinsAliquot[[#This Row],[Classificação]]="Alíquota 0",6,IF(PisCofinsAliquot[[#This Row],[Classificação]]="Monofásico",4,IF(PisCofinsAliquot[[#This Row],[Classificação]]="Regra Geral",1,IF(PisCofinsAliquot[[#This Row],[Classificação]]="ST",5))))</f>
        <v>6</v>
      </c>
    </row>
    <row r="185" spans="1:9" x14ac:dyDescent="0.25">
      <c r="A185" s="124" t="s">
        <v>3237</v>
      </c>
      <c r="B185" s="125" t="s">
        <v>2701</v>
      </c>
      <c r="C185" s="126" t="str">
        <f>RIGHT(PisCofinsAliquot[[#This Row],[Código NCM]],8)</f>
        <v>03038951</v>
      </c>
      <c r="D185" s="127"/>
      <c r="E185" s="128"/>
      <c r="F185" s="128" t="s">
        <v>4923</v>
      </c>
      <c r="G185" s="22">
        <v>0</v>
      </c>
      <c r="H185" s="22">
        <v>0</v>
      </c>
      <c r="I185">
        <f>IF(PisCofinsAliquot[[#This Row],[Classificação]]="Alíquota 0",6,IF(PisCofinsAliquot[[#This Row],[Classificação]]="Monofásico",4,IF(PisCofinsAliquot[[#This Row],[Classificação]]="Regra Geral",1,IF(PisCofinsAliquot[[#This Row],[Classificação]]="ST",5))))</f>
        <v>6</v>
      </c>
    </row>
    <row r="186" spans="1:9" x14ac:dyDescent="0.25">
      <c r="A186" s="124" t="s">
        <v>3238</v>
      </c>
      <c r="B186" s="125" t="s">
        <v>2701</v>
      </c>
      <c r="C186" s="126" t="str">
        <f>RIGHT(PisCofinsAliquot[[#This Row],[Código NCM]],8)</f>
        <v>03038952</v>
      </c>
      <c r="D186" s="127"/>
      <c r="E186" s="128"/>
      <c r="F186" s="128" t="s">
        <v>4868</v>
      </c>
      <c r="G186" s="22">
        <v>0</v>
      </c>
      <c r="H186" s="22">
        <v>0</v>
      </c>
      <c r="I186">
        <f>IF(PisCofinsAliquot[[#This Row],[Classificação]]="Alíquota 0",6,IF(PisCofinsAliquot[[#This Row],[Classificação]]="Monofásico",4,IF(PisCofinsAliquot[[#This Row],[Classificação]]="Regra Geral",1,IF(PisCofinsAliquot[[#This Row],[Classificação]]="ST",5))))</f>
        <v>6</v>
      </c>
    </row>
    <row r="187" spans="1:9" x14ac:dyDescent="0.25">
      <c r="A187" s="124" t="s">
        <v>206</v>
      </c>
      <c r="B187" s="125" t="s">
        <v>2701</v>
      </c>
      <c r="C187" s="126" t="str">
        <f>RIGHT(PisCofinsAliquot[[#This Row],[Código NCM]],8)</f>
        <v>03038953</v>
      </c>
      <c r="D187" s="127"/>
      <c r="E187" s="128"/>
      <c r="F187" s="128" t="s">
        <v>4924</v>
      </c>
      <c r="G187" s="22">
        <v>0</v>
      </c>
      <c r="H187" s="22">
        <v>0</v>
      </c>
      <c r="I187">
        <f>IF(PisCofinsAliquot[[#This Row],[Classificação]]="Alíquota 0",6,IF(PisCofinsAliquot[[#This Row],[Classificação]]="Monofásico",4,IF(PisCofinsAliquot[[#This Row],[Classificação]]="Regra Geral",1,IF(PisCofinsAliquot[[#This Row],[Classificação]]="ST",5))))</f>
        <v>6</v>
      </c>
    </row>
    <row r="188" spans="1:9" x14ac:dyDescent="0.25">
      <c r="A188" s="124" t="s">
        <v>3239</v>
      </c>
      <c r="B188" s="125" t="s">
        <v>2701</v>
      </c>
      <c r="C188" s="126" t="str">
        <f>RIGHT(PisCofinsAliquot[[#This Row],[Código NCM]],8)</f>
        <v>03038954</v>
      </c>
      <c r="D188" s="127"/>
      <c r="E188" s="128"/>
      <c r="F188" s="128" t="s">
        <v>4925</v>
      </c>
      <c r="G188" s="22">
        <v>0</v>
      </c>
      <c r="H188" s="22">
        <v>0</v>
      </c>
      <c r="I188">
        <f>IF(PisCofinsAliquot[[#This Row],[Classificação]]="Alíquota 0",6,IF(PisCofinsAliquot[[#This Row],[Classificação]]="Monofásico",4,IF(PisCofinsAliquot[[#This Row],[Classificação]]="Regra Geral",1,IF(PisCofinsAliquot[[#This Row],[Classificação]]="ST",5))))</f>
        <v>6</v>
      </c>
    </row>
    <row r="189" spans="1:9" x14ac:dyDescent="0.25">
      <c r="A189" s="124" t="s">
        <v>253</v>
      </c>
      <c r="B189" s="125" t="s">
        <v>2701</v>
      </c>
      <c r="C189" s="126" t="str">
        <f>RIGHT(PisCofinsAliquot[[#This Row],[Código NCM]],8)</f>
        <v>03038955</v>
      </c>
      <c r="D189" s="127"/>
      <c r="E189" s="128"/>
      <c r="F189" s="128" t="s">
        <v>4926</v>
      </c>
      <c r="G189" s="22">
        <v>0</v>
      </c>
      <c r="H189" s="22">
        <v>0</v>
      </c>
      <c r="I189">
        <f>IF(PisCofinsAliquot[[#This Row],[Classificação]]="Alíquota 0",6,IF(PisCofinsAliquot[[#This Row],[Classificação]]="Monofásico",4,IF(PisCofinsAliquot[[#This Row],[Classificação]]="Regra Geral",1,IF(PisCofinsAliquot[[#This Row],[Classificação]]="ST",5))))</f>
        <v>6</v>
      </c>
    </row>
    <row r="190" spans="1:9" x14ac:dyDescent="0.25">
      <c r="A190" s="124" t="s">
        <v>2629</v>
      </c>
      <c r="B190" s="125" t="s">
        <v>2701</v>
      </c>
      <c r="C190" s="126" t="str">
        <f>RIGHT(PisCofinsAliquot[[#This Row],[Código NCM]],8)</f>
        <v>03038956</v>
      </c>
      <c r="D190" s="127"/>
      <c r="E190" s="128"/>
      <c r="F190" s="128" t="s">
        <v>4927</v>
      </c>
      <c r="G190" s="22">
        <v>0</v>
      </c>
      <c r="H190" s="22">
        <v>0</v>
      </c>
      <c r="I190">
        <f>IF(PisCofinsAliquot[[#This Row],[Classificação]]="Alíquota 0",6,IF(PisCofinsAliquot[[#This Row],[Classificação]]="Monofásico",4,IF(PisCofinsAliquot[[#This Row],[Classificação]]="Regra Geral",1,IF(PisCofinsAliquot[[#This Row],[Classificação]]="ST",5))))</f>
        <v>6</v>
      </c>
    </row>
    <row r="191" spans="1:9" x14ac:dyDescent="0.25">
      <c r="A191" s="124" t="s">
        <v>273</v>
      </c>
      <c r="B191" s="125" t="s">
        <v>2701</v>
      </c>
      <c r="C191" s="126" t="str">
        <f>RIGHT(PisCofinsAliquot[[#This Row],[Código NCM]],8)</f>
        <v>03038961</v>
      </c>
      <c r="D191" s="127"/>
      <c r="E191" s="128"/>
      <c r="F191" s="128" t="s">
        <v>4928</v>
      </c>
      <c r="G191" s="22">
        <v>0</v>
      </c>
      <c r="H191" s="22">
        <v>0</v>
      </c>
      <c r="I191">
        <f>IF(PisCofinsAliquot[[#This Row],[Classificação]]="Alíquota 0",6,IF(PisCofinsAliquot[[#This Row],[Classificação]]="Monofásico",4,IF(PisCofinsAliquot[[#This Row],[Classificação]]="Regra Geral",1,IF(PisCofinsAliquot[[#This Row],[Classificação]]="ST",5))))</f>
        <v>6</v>
      </c>
    </row>
    <row r="192" spans="1:9" x14ac:dyDescent="0.25">
      <c r="A192" s="124" t="s">
        <v>3240</v>
      </c>
      <c r="B192" s="125" t="s">
        <v>2701</v>
      </c>
      <c r="C192" s="126" t="str">
        <f>RIGHT(PisCofinsAliquot[[#This Row],[Código NCM]],8)</f>
        <v>03038962</v>
      </c>
      <c r="D192" s="127"/>
      <c r="E192" s="128"/>
      <c r="F192" s="128" t="s">
        <v>4929</v>
      </c>
      <c r="G192" s="22">
        <v>0</v>
      </c>
      <c r="H192" s="22">
        <v>0</v>
      </c>
      <c r="I192">
        <f>IF(PisCofinsAliquot[[#This Row],[Classificação]]="Alíquota 0",6,IF(PisCofinsAliquot[[#This Row],[Classificação]]="Monofásico",4,IF(PisCofinsAliquot[[#This Row],[Classificação]]="Regra Geral",1,IF(PisCofinsAliquot[[#This Row],[Classificação]]="ST",5))))</f>
        <v>6</v>
      </c>
    </row>
    <row r="193" spans="1:9" x14ac:dyDescent="0.25">
      <c r="A193" s="124" t="s">
        <v>262</v>
      </c>
      <c r="B193" s="125" t="s">
        <v>2701</v>
      </c>
      <c r="C193" s="126" t="str">
        <f>RIGHT(PisCofinsAliquot[[#This Row],[Código NCM]],8)</f>
        <v>03038963</v>
      </c>
      <c r="D193" s="127"/>
      <c r="E193" s="128"/>
      <c r="F193" s="128" t="s">
        <v>4930</v>
      </c>
      <c r="G193" s="22">
        <v>0</v>
      </c>
      <c r="H193" s="22">
        <v>0</v>
      </c>
      <c r="I193">
        <f>IF(PisCofinsAliquot[[#This Row],[Classificação]]="Alíquota 0",6,IF(PisCofinsAliquot[[#This Row],[Classificação]]="Monofásico",4,IF(PisCofinsAliquot[[#This Row],[Classificação]]="Regra Geral",1,IF(PisCofinsAliquot[[#This Row],[Classificação]]="ST",5))))</f>
        <v>6</v>
      </c>
    </row>
    <row r="194" spans="1:9" x14ac:dyDescent="0.25">
      <c r="A194" s="124" t="s">
        <v>3241</v>
      </c>
      <c r="B194" s="125" t="s">
        <v>2701</v>
      </c>
      <c r="C194" s="126" t="str">
        <f>RIGHT(PisCofinsAliquot[[#This Row],[Código NCM]],8)</f>
        <v>03038964</v>
      </c>
      <c r="D194" s="127"/>
      <c r="E194" s="128"/>
      <c r="F194" s="128" t="s">
        <v>4931</v>
      </c>
      <c r="G194" s="22">
        <v>0</v>
      </c>
      <c r="H194" s="22">
        <v>0</v>
      </c>
      <c r="I194">
        <f>IF(PisCofinsAliquot[[#This Row],[Classificação]]="Alíquota 0",6,IF(PisCofinsAliquot[[#This Row],[Classificação]]="Monofásico",4,IF(PisCofinsAliquot[[#This Row],[Classificação]]="Regra Geral",1,IF(PisCofinsAliquot[[#This Row],[Classificação]]="ST",5))))</f>
        <v>6</v>
      </c>
    </row>
    <row r="195" spans="1:9" x14ac:dyDescent="0.25">
      <c r="A195" s="124" t="s">
        <v>3242</v>
      </c>
      <c r="B195" s="125" t="s">
        <v>2701</v>
      </c>
      <c r="C195" s="126" t="str">
        <f>RIGHT(PisCofinsAliquot[[#This Row],[Código NCM]],8)</f>
        <v>03038965</v>
      </c>
      <c r="D195" s="127"/>
      <c r="E195" s="128"/>
      <c r="F195" s="128" t="s">
        <v>4932</v>
      </c>
      <c r="G195" s="22">
        <v>0</v>
      </c>
      <c r="H195" s="22">
        <v>0</v>
      </c>
      <c r="I195">
        <f>IF(PisCofinsAliquot[[#This Row],[Classificação]]="Alíquota 0",6,IF(PisCofinsAliquot[[#This Row],[Classificação]]="Monofásico",4,IF(PisCofinsAliquot[[#This Row],[Classificação]]="Regra Geral",1,IF(PisCofinsAliquot[[#This Row],[Classificação]]="ST",5))))</f>
        <v>6</v>
      </c>
    </row>
    <row r="196" spans="1:9" x14ac:dyDescent="0.25">
      <c r="A196" s="124" t="s">
        <v>274</v>
      </c>
      <c r="B196" s="125" t="s">
        <v>2701</v>
      </c>
      <c r="C196" s="126" t="str">
        <f>RIGHT(PisCofinsAliquot[[#This Row],[Código NCM]],8)</f>
        <v>03038990</v>
      </c>
      <c r="D196" s="127"/>
      <c r="E196" s="128"/>
      <c r="F196" s="128" t="s">
        <v>4928</v>
      </c>
      <c r="G196" s="22">
        <v>0</v>
      </c>
      <c r="H196" s="22">
        <v>0</v>
      </c>
      <c r="I196">
        <f>IF(PisCofinsAliquot[[#This Row],[Classificação]]="Alíquota 0",6,IF(PisCofinsAliquot[[#This Row],[Classificação]]="Monofásico",4,IF(PisCofinsAliquot[[#This Row],[Classificação]]="Regra Geral",1,IF(PisCofinsAliquot[[#This Row],[Classificação]]="ST",5))))</f>
        <v>6</v>
      </c>
    </row>
    <row r="197" spans="1:9" x14ac:dyDescent="0.25">
      <c r="A197" s="124" t="s">
        <v>3243</v>
      </c>
      <c r="B197" s="125" t="s">
        <v>2701</v>
      </c>
      <c r="C197" s="126" t="str">
        <f>RIGHT(PisCofinsAliquot[[#This Row],[Código NCM]],8)</f>
        <v>03039100</v>
      </c>
      <c r="D197" s="127"/>
      <c r="E197" s="128"/>
      <c r="F197" s="128" t="s">
        <v>4933</v>
      </c>
      <c r="G197" s="22">
        <v>0</v>
      </c>
      <c r="H197" s="22">
        <v>0</v>
      </c>
      <c r="I197">
        <f>IF(PisCofinsAliquot[[#This Row],[Classificação]]="Alíquota 0",6,IF(PisCofinsAliquot[[#This Row],[Classificação]]="Monofásico",4,IF(PisCofinsAliquot[[#This Row],[Classificação]]="Regra Geral",1,IF(PisCofinsAliquot[[#This Row],[Classificação]]="ST",5))))</f>
        <v>6</v>
      </c>
    </row>
    <row r="198" spans="1:9" x14ac:dyDescent="0.25">
      <c r="A198" s="124" t="s">
        <v>3244</v>
      </c>
      <c r="B198" s="125" t="s">
        <v>2701</v>
      </c>
      <c r="C198" s="126" t="str">
        <f>RIGHT(PisCofinsAliquot[[#This Row],[Código NCM]],8)</f>
        <v>03039200</v>
      </c>
      <c r="D198" s="127"/>
      <c r="E198" s="128"/>
      <c r="F198" s="128" t="s">
        <v>4934</v>
      </c>
      <c r="G198" s="22">
        <v>0</v>
      </c>
      <c r="H198" s="22">
        <v>0</v>
      </c>
      <c r="I198">
        <f>IF(PisCofinsAliquot[[#This Row],[Classificação]]="Alíquota 0",6,IF(PisCofinsAliquot[[#This Row],[Classificação]]="Monofásico",4,IF(PisCofinsAliquot[[#This Row],[Classificação]]="Regra Geral",1,IF(PisCofinsAliquot[[#This Row],[Classificação]]="ST",5))))</f>
        <v>6</v>
      </c>
    </row>
    <row r="199" spans="1:9" x14ac:dyDescent="0.25">
      <c r="A199" s="124" t="s">
        <v>3245</v>
      </c>
      <c r="B199" s="125" t="s">
        <v>2701</v>
      </c>
      <c r="C199" s="126" t="str">
        <f>RIGHT(PisCofinsAliquot[[#This Row],[Código NCM]],8)</f>
        <v>03039910</v>
      </c>
      <c r="D199" s="127"/>
      <c r="E199" s="128"/>
      <c r="F199" s="128" t="s">
        <v>4935</v>
      </c>
      <c r="G199" s="22">
        <v>0</v>
      </c>
      <c r="H199" s="22">
        <v>0</v>
      </c>
      <c r="I199">
        <f>IF(PisCofinsAliquot[[#This Row],[Classificação]]="Alíquota 0",6,IF(PisCofinsAliquot[[#This Row],[Classificação]]="Monofásico",4,IF(PisCofinsAliquot[[#This Row],[Classificação]]="Regra Geral",1,IF(PisCofinsAliquot[[#This Row],[Classificação]]="ST",5))))</f>
        <v>6</v>
      </c>
    </row>
    <row r="200" spans="1:9" x14ac:dyDescent="0.25">
      <c r="A200" s="124" t="s">
        <v>3246</v>
      </c>
      <c r="B200" s="125" t="s">
        <v>2701</v>
      </c>
      <c r="C200" s="126" t="str">
        <f>RIGHT(PisCofinsAliquot[[#This Row],[Código NCM]],8)</f>
        <v>03039920</v>
      </c>
      <c r="D200" s="127"/>
      <c r="E200" s="128"/>
      <c r="F200" s="128" t="s">
        <v>4936</v>
      </c>
      <c r="G200" s="22">
        <v>0</v>
      </c>
      <c r="H200" s="22">
        <v>0</v>
      </c>
      <c r="I200">
        <f>IF(PisCofinsAliquot[[#This Row],[Classificação]]="Alíquota 0",6,IF(PisCofinsAliquot[[#This Row],[Classificação]]="Monofásico",4,IF(PisCofinsAliquot[[#This Row],[Classificação]]="Regra Geral",1,IF(PisCofinsAliquot[[#This Row],[Classificação]]="ST",5))))</f>
        <v>6</v>
      </c>
    </row>
    <row r="201" spans="1:9" x14ac:dyDescent="0.25">
      <c r="A201" s="124" t="s">
        <v>3247</v>
      </c>
      <c r="B201" s="125" t="s">
        <v>2701</v>
      </c>
      <c r="C201" s="126" t="str">
        <f>RIGHT(PisCofinsAliquot[[#This Row],[Código NCM]],8)</f>
        <v>03039990</v>
      </c>
      <c r="D201" s="127"/>
      <c r="E201" s="128"/>
      <c r="F201" s="128" t="s">
        <v>4901</v>
      </c>
      <c r="G201" s="22">
        <v>0</v>
      </c>
      <c r="H201" s="22">
        <v>0</v>
      </c>
      <c r="I201">
        <f>IF(PisCofinsAliquot[[#This Row],[Classificação]]="Alíquota 0",6,IF(PisCofinsAliquot[[#This Row],[Classificação]]="Monofásico",4,IF(PisCofinsAliquot[[#This Row],[Classificação]]="Regra Geral",1,IF(PisCofinsAliquot[[#This Row],[Classificação]]="ST",5))))</f>
        <v>6</v>
      </c>
    </row>
    <row r="202" spans="1:9" x14ac:dyDescent="0.25">
      <c r="A202" s="124" t="s">
        <v>265</v>
      </c>
      <c r="B202" s="125" t="s">
        <v>2701</v>
      </c>
      <c r="C202" s="126" t="str">
        <f>RIGHT(PisCofinsAliquot[[#This Row],[Código NCM]],8)</f>
        <v>03043100</v>
      </c>
      <c r="D202" s="127"/>
      <c r="E202" s="128"/>
      <c r="F202" s="128" t="s">
        <v>4868</v>
      </c>
      <c r="G202" s="22">
        <v>0</v>
      </c>
      <c r="H202" s="22">
        <v>0</v>
      </c>
      <c r="I202">
        <f>IF(PisCofinsAliquot[[#This Row],[Classificação]]="Alíquota 0",6,IF(PisCofinsAliquot[[#This Row],[Classificação]]="Monofásico",4,IF(PisCofinsAliquot[[#This Row],[Classificação]]="Regra Geral",1,IF(PisCofinsAliquot[[#This Row],[Classificação]]="ST",5))))</f>
        <v>6</v>
      </c>
    </row>
    <row r="203" spans="1:9" x14ac:dyDescent="0.25">
      <c r="A203" s="124" t="s">
        <v>3248</v>
      </c>
      <c r="B203" s="125" t="s">
        <v>2701</v>
      </c>
      <c r="C203" s="126" t="str">
        <f>RIGHT(PisCofinsAliquot[[#This Row],[Código NCM]],8)</f>
        <v>03043210</v>
      </c>
      <c r="D203" s="127"/>
      <c r="E203" s="128"/>
      <c r="F203" s="128" t="s">
        <v>4869</v>
      </c>
      <c r="G203" s="22">
        <v>0</v>
      </c>
      <c r="H203" s="22">
        <v>0</v>
      </c>
      <c r="I203">
        <f>IF(PisCofinsAliquot[[#This Row],[Classificação]]="Alíquota 0",6,IF(PisCofinsAliquot[[#This Row],[Classificação]]="Monofásico",4,IF(PisCofinsAliquot[[#This Row],[Classificação]]="Regra Geral",1,IF(PisCofinsAliquot[[#This Row],[Classificação]]="ST",5))))</f>
        <v>6</v>
      </c>
    </row>
    <row r="204" spans="1:9" x14ac:dyDescent="0.25">
      <c r="A204" s="124" t="s">
        <v>3249</v>
      </c>
      <c r="B204" s="125" t="s">
        <v>2701</v>
      </c>
      <c r="C204" s="126" t="str">
        <f>RIGHT(PisCofinsAliquot[[#This Row],[Código NCM]],8)</f>
        <v>03043290</v>
      </c>
      <c r="D204" s="127"/>
      <c r="E204" s="128"/>
      <c r="F204" s="128" t="s">
        <v>4872</v>
      </c>
      <c r="G204" s="22">
        <v>0</v>
      </c>
      <c r="H204" s="22">
        <v>0</v>
      </c>
      <c r="I204">
        <f>IF(PisCofinsAliquot[[#This Row],[Classificação]]="Alíquota 0",6,IF(PisCofinsAliquot[[#This Row],[Classificação]]="Monofásico",4,IF(PisCofinsAliquot[[#This Row],[Classificação]]="Regra Geral",1,IF(PisCofinsAliquot[[#This Row],[Classificação]]="ST",5))))</f>
        <v>6</v>
      </c>
    </row>
    <row r="205" spans="1:9" x14ac:dyDescent="0.25">
      <c r="A205" s="124" t="s">
        <v>3250</v>
      </c>
      <c r="B205" s="125" t="s">
        <v>2701</v>
      </c>
      <c r="C205" s="126" t="str">
        <f>RIGHT(PisCofinsAliquot[[#This Row],[Código NCM]],8)</f>
        <v>03043300</v>
      </c>
      <c r="D205" s="127"/>
      <c r="E205" s="128"/>
      <c r="F205" s="128" t="s">
        <v>4937</v>
      </c>
      <c r="G205" s="22">
        <v>0</v>
      </c>
      <c r="H205" s="22">
        <v>0</v>
      </c>
      <c r="I205">
        <f>IF(PisCofinsAliquot[[#This Row],[Classificação]]="Alíquota 0",6,IF(PisCofinsAliquot[[#This Row],[Classificação]]="Monofásico",4,IF(PisCofinsAliquot[[#This Row],[Classificação]]="Regra Geral",1,IF(PisCofinsAliquot[[#This Row],[Classificação]]="ST",5))))</f>
        <v>6</v>
      </c>
    </row>
    <row r="206" spans="1:9" x14ac:dyDescent="0.25">
      <c r="A206" s="124" t="s">
        <v>3251</v>
      </c>
      <c r="B206" s="125" t="s">
        <v>2701</v>
      </c>
      <c r="C206" s="126" t="str">
        <f>RIGHT(PisCofinsAliquot[[#This Row],[Código NCM]],8)</f>
        <v>03043900</v>
      </c>
      <c r="D206" s="127"/>
      <c r="E206" s="128"/>
      <c r="F206" s="128" t="s">
        <v>4937</v>
      </c>
      <c r="G206" s="22">
        <v>0</v>
      </c>
      <c r="H206" s="22">
        <v>0</v>
      </c>
      <c r="I206">
        <f>IF(PisCofinsAliquot[[#This Row],[Classificação]]="Alíquota 0",6,IF(PisCofinsAliquot[[#This Row],[Classificação]]="Monofásico",4,IF(PisCofinsAliquot[[#This Row],[Classificação]]="Regra Geral",1,IF(PisCofinsAliquot[[#This Row],[Classificação]]="ST",5))))</f>
        <v>6</v>
      </c>
    </row>
    <row r="207" spans="1:9" x14ac:dyDescent="0.25">
      <c r="A207" s="124" t="s">
        <v>3252</v>
      </c>
      <c r="B207" s="125" t="s">
        <v>2701</v>
      </c>
      <c r="C207" s="126" t="str">
        <f>RIGHT(PisCofinsAliquot[[#This Row],[Código NCM]],8)</f>
        <v>03044100</v>
      </c>
      <c r="D207" s="127"/>
      <c r="E207" s="128"/>
      <c r="F207" s="128" t="s">
        <v>4837</v>
      </c>
      <c r="G207" s="22">
        <v>0</v>
      </c>
      <c r="H207" s="22">
        <v>0</v>
      </c>
      <c r="I207">
        <f>IF(PisCofinsAliquot[[#This Row],[Classificação]]="Alíquota 0",6,IF(PisCofinsAliquot[[#This Row],[Classificação]]="Monofásico",4,IF(PisCofinsAliquot[[#This Row],[Classificação]]="Regra Geral",1,IF(PisCofinsAliquot[[#This Row],[Classificação]]="ST",5))))</f>
        <v>6</v>
      </c>
    </row>
    <row r="208" spans="1:9" x14ac:dyDescent="0.25">
      <c r="A208" s="124" t="s">
        <v>3253</v>
      </c>
      <c r="B208" s="125" t="s">
        <v>2701</v>
      </c>
      <c r="C208" s="126" t="str">
        <f>RIGHT(PisCofinsAliquot[[#This Row],[Código NCM]],8)</f>
        <v>03044200</v>
      </c>
      <c r="D208" s="127"/>
      <c r="E208" s="128"/>
      <c r="F208" s="128" t="s">
        <v>4899</v>
      </c>
      <c r="G208" s="22">
        <v>0</v>
      </c>
      <c r="H208" s="22">
        <v>0</v>
      </c>
      <c r="I208">
        <f>IF(PisCofinsAliquot[[#This Row],[Classificação]]="Alíquota 0",6,IF(PisCofinsAliquot[[#This Row],[Classificação]]="Monofásico",4,IF(PisCofinsAliquot[[#This Row],[Classificação]]="Regra Geral",1,IF(PisCofinsAliquot[[#This Row],[Classificação]]="ST",5))))</f>
        <v>6</v>
      </c>
    </row>
    <row r="209" spans="1:9" x14ac:dyDescent="0.25">
      <c r="A209" s="124" t="s">
        <v>3254</v>
      </c>
      <c r="B209" s="125" t="s">
        <v>2701</v>
      </c>
      <c r="C209" s="126" t="str">
        <f>RIGHT(PisCofinsAliquot[[#This Row],[Código NCM]],8)</f>
        <v>03044300</v>
      </c>
      <c r="D209" s="127"/>
      <c r="E209" s="128"/>
      <c r="F209" s="128" t="s">
        <v>4938</v>
      </c>
      <c r="G209" s="22">
        <v>0</v>
      </c>
      <c r="H209" s="22">
        <v>0</v>
      </c>
      <c r="I209">
        <f>IF(PisCofinsAliquot[[#This Row],[Classificação]]="Alíquota 0",6,IF(PisCofinsAliquot[[#This Row],[Classificação]]="Monofásico",4,IF(PisCofinsAliquot[[#This Row],[Classificação]]="Regra Geral",1,IF(PisCofinsAliquot[[#This Row],[Classificação]]="ST",5))))</f>
        <v>6</v>
      </c>
    </row>
    <row r="210" spans="1:9" x14ac:dyDescent="0.25">
      <c r="A210" s="124" t="s">
        <v>3255</v>
      </c>
      <c r="B210" s="125" t="s">
        <v>2701</v>
      </c>
      <c r="C210" s="126" t="str">
        <f>RIGHT(PisCofinsAliquot[[#This Row],[Código NCM]],8)</f>
        <v>03044400</v>
      </c>
      <c r="D210" s="127"/>
      <c r="E210" s="128"/>
      <c r="F210" s="128" t="s">
        <v>4939</v>
      </c>
      <c r="G210" s="22">
        <v>0</v>
      </c>
      <c r="H210" s="22">
        <v>0</v>
      </c>
      <c r="I210">
        <f>IF(PisCofinsAliquot[[#This Row],[Classificação]]="Alíquota 0",6,IF(PisCofinsAliquot[[#This Row],[Classificação]]="Monofásico",4,IF(PisCofinsAliquot[[#This Row],[Classificação]]="Regra Geral",1,IF(PisCofinsAliquot[[#This Row],[Classificação]]="ST",5))))</f>
        <v>6</v>
      </c>
    </row>
    <row r="211" spans="1:9" x14ac:dyDescent="0.25">
      <c r="A211" s="124" t="s">
        <v>3256</v>
      </c>
      <c r="B211" s="125" t="s">
        <v>2701</v>
      </c>
      <c r="C211" s="126" t="str">
        <f>RIGHT(PisCofinsAliquot[[#This Row],[Código NCM]],8)</f>
        <v>03044500</v>
      </c>
      <c r="D211" s="127"/>
      <c r="E211" s="128"/>
      <c r="F211" s="128" t="s">
        <v>4858</v>
      </c>
      <c r="G211" s="22">
        <v>0</v>
      </c>
      <c r="H211" s="22">
        <v>0</v>
      </c>
      <c r="I211">
        <f>IF(PisCofinsAliquot[[#This Row],[Classificação]]="Alíquota 0",6,IF(PisCofinsAliquot[[#This Row],[Classificação]]="Monofásico",4,IF(PisCofinsAliquot[[#This Row],[Classificação]]="Regra Geral",1,IF(PisCofinsAliquot[[#This Row],[Classificação]]="ST",5))))</f>
        <v>6</v>
      </c>
    </row>
    <row r="212" spans="1:9" x14ac:dyDescent="0.25">
      <c r="A212" s="124" t="s">
        <v>3257</v>
      </c>
      <c r="B212" s="125" t="s">
        <v>2701</v>
      </c>
      <c r="C212" s="126" t="str">
        <f>RIGHT(PisCofinsAliquot[[#This Row],[Código NCM]],8)</f>
        <v>03044600</v>
      </c>
      <c r="D212" s="127"/>
      <c r="E212" s="128"/>
      <c r="F212" s="128" t="s">
        <v>4940</v>
      </c>
      <c r="G212" s="22">
        <v>0</v>
      </c>
      <c r="H212" s="22">
        <v>0</v>
      </c>
      <c r="I212">
        <f>IF(PisCofinsAliquot[[#This Row],[Classificação]]="Alíquota 0",6,IF(PisCofinsAliquot[[#This Row],[Classificação]]="Monofásico",4,IF(PisCofinsAliquot[[#This Row],[Classificação]]="Regra Geral",1,IF(PisCofinsAliquot[[#This Row],[Classificação]]="ST",5))))</f>
        <v>6</v>
      </c>
    </row>
    <row r="213" spans="1:9" x14ac:dyDescent="0.25">
      <c r="A213" s="124" t="s">
        <v>3258</v>
      </c>
      <c r="B213" s="125" t="s">
        <v>2701</v>
      </c>
      <c r="C213" s="126" t="str">
        <f>RIGHT(PisCofinsAliquot[[#This Row],[Código NCM]],8)</f>
        <v>03044700</v>
      </c>
      <c r="D213" s="127"/>
      <c r="E213" s="128"/>
      <c r="F213" s="128" t="s">
        <v>4873</v>
      </c>
      <c r="G213" s="22">
        <v>0</v>
      </c>
      <c r="H213" s="22">
        <v>0</v>
      </c>
      <c r="I213">
        <f>IF(PisCofinsAliquot[[#This Row],[Classificação]]="Alíquota 0",6,IF(PisCofinsAliquot[[#This Row],[Classificação]]="Monofásico",4,IF(PisCofinsAliquot[[#This Row],[Classificação]]="Regra Geral",1,IF(PisCofinsAliquot[[#This Row],[Classificação]]="ST",5))))</f>
        <v>6</v>
      </c>
    </row>
    <row r="214" spans="1:9" x14ac:dyDescent="0.25">
      <c r="A214" s="124" t="s">
        <v>3259</v>
      </c>
      <c r="B214" s="125" t="s">
        <v>2701</v>
      </c>
      <c r="C214" s="126" t="str">
        <f>RIGHT(PisCofinsAliquot[[#This Row],[Código NCM]],8)</f>
        <v>03044800</v>
      </c>
      <c r="D214" s="127"/>
      <c r="E214" s="128"/>
      <c r="F214" s="128" t="s">
        <v>4941</v>
      </c>
      <c r="G214" s="22">
        <v>0</v>
      </c>
      <c r="H214" s="22">
        <v>0</v>
      </c>
      <c r="I214">
        <f>IF(PisCofinsAliquot[[#This Row],[Classificação]]="Alíquota 0",6,IF(PisCofinsAliquot[[#This Row],[Classificação]]="Monofásico",4,IF(PisCofinsAliquot[[#This Row],[Classificação]]="Regra Geral",1,IF(PisCofinsAliquot[[#This Row],[Classificação]]="ST",5))))</f>
        <v>6</v>
      </c>
    </row>
    <row r="215" spans="1:9" x14ac:dyDescent="0.25">
      <c r="A215" s="124" t="s">
        <v>3260</v>
      </c>
      <c r="B215" s="125" t="s">
        <v>2701</v>
      </c>
      <c r="C215" s="126" t="str">
        <f>RIGHT(PisCofinsAliquot[[#This Row],[Código NCM]],8)</f>
        <v>03044910</v>
      </c>
      <c r="D215" s="127"/>
      <c r="E215" s="128"/>
      <c r="F215" s="128" t="s">
        <v>4880</v>
      </c>
      <c r="G215" s="22">
        <v>0</v>
      </c>
      <c r="H215" s="22">
        <v>0</v>
      </c>
      <c r="I215">
        <f>IF(PisCofinsAliquot[[#This Row],[Classificação]]="Alíquota 0",6,IF(PisCofinsAliquot[[#This Row],[Classificação]]="Monofásico",4,IF(PisCofinsAliquot[[#This Row],[Classificação]]="Regra Geral",1,IF(PisCofinsAliquot[[#This Row],[Classificação]]="ST",5))))</f>
        <v>6</v>
      </c>
    </row>
    <row r="216" spans="1:9" x14ac:dyDescent="0.25">
      <c r="A216" s="124" t="s">
        <v>3261</v>
      </c>
      <c r="B216" s="125" t="s">
        <v>2701</v>
      </c>
      <c r="C216" s="126" t="str">
        <f>RIGHT(PisCofinsAliquot[[#This Row],[Código NCM]],8)</f>
        <v>03044920</v>
      </c>
      <c r="D216" s="127"/>
      <c r="E216" s="128"/>
      <c r="F216" s="128" t="s">
        <v>4881</v>
      </c>
      <c r="G216" s="22">
        <v>0</v>
      </c>
      <c r="H216" s="22">
        <v>0</v>
      </c>
      <c r="I216">
        <f>IF(PisCofinsAliquot[[#This Row],[Classificação]]="Alíquota 0",6,IF(PisCofinsAliquot[[#This Row],[Classificação]]="Monofásico",4,IF(PisCofinsAliquot[[#This Row],[Classificação]]="Regra Geral",1,IF(PisCofinsAliquot[[#This Row],[Classificação]]="ST",5))))</f>
        <v>6</v>
      </c>
    </row>
    <row r="217" spans="1:9" x14ac:dyDescent="0.25">
      <c r="A217" s="124" t="s">
        <v>3262</v>
      </c>
      <c r="B217" s="125" t="s">
        <v>2701</v>
      </c>
      <c r="C217" s="126" t="str">
        <f>RIGHT(PisCofinsAliquot[[#This Row],[Código NCM]],8)</f>
        <v>03044990</v>
      </c>
      <c r="D217" s="127"/>
      <c r="E217" s="128"/>
      <c r="F217" s="128" t="s">
        <v>4901</v>
      </c>
      <c r="G217" s="22">
        <v>0</v>
      </c>
      <c r="H217" s="22">
        <v>0</v>
      </c>
      <c r="I217">
        <f>IF(PisCofinsAliquot[[#This Row],[Classificação]]="Alíquota 0",6,IF(PisCofinsAliquot[[#This Row],[Classificação]]="Monofásico",4,IF(PisCofinsAliquot[[#This Row],[Classificação]]="Regra Geral",1,IF(PisCofinsAliquot[[#This Row],[Classificação]]="ST",5))))</f>
        <v>6</v>
      </c>
    </row>
    <row r="218" spans="1:9" x14ac:dyDescent="0.25">
      <c r="A218" s="124" t="s">
        <v>3263</v>
      </c>
      <c r="B218" s="125" t="s">
        <v>2701</v>
      </c>
      <c r="C218" s="126" t="str">
        <f>RIGHT(PisCofinsAliquot[[#This Row],[Código NCM]],8)</f>
        <v>03045100</v>
      </c>
      <c r="D218" s="127"/>
      <c r="E218" s="128"/>
      <c r="F218" s="128" t="s">
        <v>4942</v>
      </c>
      <c r="G218" s="22">
        <v>0</v>
      </c>
      <c r="H218" s="22">
        <v>0</v>
      </c>
      <c r="I218">
        <f>IF(PisCofinsAliquot[[#This Row],[Classificação]]="Alíquota 0",6,IF(PisCofinsAliquot[[#This Row],[Classificação]]="Monofásico",4,IF(PisCofinsAliquot[[#This Row],[Classificação]]="Regra Geral",1,IF(PisCofinsAliquot[[#This Row],[Classificação]]="ST",5))))</f>
        <v>6</v>
      </c>
    </row>
    <row r="219" spans="1:9" x14ac:dyDescent="0.25">
      <c r="A219" s="124" t="s">
        <v>3264</v>
      </c>
      <c r="B219" s="125" t="s">
        <v>2701</v>
      </c>
      <c r="C219" s="126" t="str">
        <f>RIGHT(PisCofinsAliquot[[#This Row],[Código NCM]],8)</f>
        <v>03045200</v>
      </c>
      <c r="D219" s="127"/>
      <c r="E219" s="128"/>
      <c r="F219" s="128" t="s">
        <v>4839</v>
      </c>
      <c r="G219" s="22">
        <v>0</v>
      </c>
      <c r="H219" s="22">
        <v>0</v>
      </c>
      <c r="I219">
        <f>IF(PisCofinsAliquot[[#This Row],[Classificação]]="Alíquota 0",6,IF(PisCofinsAliquot[[#This Row],[Classificação]]="Monofásico",4,IF(PisCofinsAliquot[[#This Row],[Classificação]]="Regra Geral",1,IF(PisCofinsAliquot[[#This Row],[Classificação]]="ST",5))))</f>
        <v>6</v>
      </c>
    </row>
    <row r="220" spans="1:9" x14ac:dyDescent="0.25">
      <c r="A220" s="124" t="s">
        <v>3265</v>
      </c>
      <c r="B220" s="125" t="s">
        <v>2701</v>
      </c>
      <c r="C220" s="126" t="str">
        <f>RIGHT(PisCofinsAliquot[[#This Row],[Código NCM]],8)</f>
        <v>03045300</v>
      </c>
      <c r="D220" s="127"/>
      <c r="E220" s="128"/>
      <c r="F220" s="128" t="s">
        <v>4939</v>
      </c>
      <c r="G220" s="22">
        <v>0</v>
      </c>
      <c r="H220" s="22">
        <v>0</v>
      </c>
      <c r="I220">
        <f>IF(PisCofinsAliquot[[#This Row],[Classificação]]="Alíquota 0",6,IF(PisCofinsAliquot[[#This Row],[Classificação]]="Monofásico",4,IF(PisCofinsAliquot[[#This Row],[Classificação]]="Regra Geral",1,IF(PisCofinsAliquot[[#This Row],[Classificação]]="ST",5))))</f>
        <v>6</v>
      </c>
    </row>
    <row r="221" spans="1:9" x14ac:dyDescent="0.25">
      <c r="A221" s="124" t="s">
        <v>3266</v>
      </c>
      <c r="B221" s="125" t="s">
        <v>2701</v>
      </c>
      <c r="C221" s="126" t="str">
        <f>RIGHT(PisCofinsAliquot[[#This Row],[Código NCM]],8)</f>
        <v>03045400</v>
      </c>
      <c r="D221" s="127"/>
      <c r="E221" s="128"/>
      <c r="F221" s="128" t="s">
        <v>4858</v>
      </c>
      <c r="G221" s="22">
        <v>0</v>
      </c>
      <c r="H221" s="22">
        <v>0</v>
      </c>
      <c r="I221">
        <f>IF(PisCofinsAliquot[[#This Row],[Classificação]]="Alíquota 0",6,IF(PisCofinsAliquot[[#This Row],[Classificação]]="Monofásico",4,IF(PisCofinsAliquot[[#This Row],[Classificação]]="Regra Geral",1,IF(PisCofinsAliquot[[#This Row],[Classificação]]="ST",5))))</f>
        <v>6</v>
      </c>
    </row>
    <row r="222" spans="1:9" x14ac:dyDescent="0.25">
      <c r="A222" s="124" t="s">
        <v>3267</v>
      </c>
      <c r="B222" s="125" t="s">
        <v>2701</v>
      </c>
      <c r="C222" s="126" t="str">
        <f>RIGHT(PisCofinsAliquot[[#This Row],[Código NCM]],8)</f>
        <v>03045500</v>
      </c>
      <c r="D222" s="127"/>
      <c r="E222" s="128"/>
      <c r="F222" s="128" t="s">
        <v>4940</v>
      </c>
      <c r="G222" s="22">
        <v>0</v>
      </c>
      <c r="H222" s="22">
        <v>0</v>
      </c>
      <c r="I222">
        <f>IF(PisCofinsAliquot[[#This Row],[Classificação]]="Alíquota 0",6,IF(PisCofinsAliquot[[#This Row],[Classificação]]="Monofásico",4,IF(PisCofinsAliquot[[#This Row],[Classificação]]="Regra Geral",1,IF(PisCofinsAliquot[[#This Row],[Classificação]]="ST",5))))</f>
        <v>6</v>
      </c>
    </row>
    <row r="223" spans="1:9" x14ac:dyDescent="0.25">
      <c r="A223" s="124" t="s">
        <v>3268</v>
      </c>
      <c r="B223" s="125" t="s">
        <v>2701</v>
      </c>
      <c r="C223" s="126" t="str">
        <f>RIGHT(PisCofinsAliquot[[#This Row],[Código NCM]],8)</f>
        <v>03045600</v>
      </c>
      <c r="D223" s="127"/>
      <c r="E223" s="128"/>
      <c r="F223" s="128" t="s">
        <v>4873</v>
      </c>
      <c r="G223" s="22">
        <v>0</v>
      </c>
      <c r="H223" s="22">
        <v>0</v>
      </c>
      <c r="I223">
        <f>IF(PisCofinsAliquot[[#This Row],[Classificação]]="Alíquota 0",6,IF(PisCofinsAliquot[[#This Row],[Classificação]]="Monofásico",4,IF(PisCofinsAliquot[[#This Row],[Classificação]]="Regra Geral",1,IF(PisCofinsAliquot[[#This Row],[Classificação]]="ST",5))))</f>
        <v>6</v>
      </c>
    </row>
    <row r="224" spans="1:9" x14ac:dyDescent="0.25">
      <c r="A224" s="124" t="s">
        <v>3269</v>
      </c>
      <c r="B224" s="125" t="s">
        <v>2701</v>
      </c>
      <c r="C224" s="126" t="str">
        <f>RIGHT(PisCofinsAliquot[[#This Row],[Código NCM]],8)</f>
        <v>03045700</v>
      </c>
      <c r="D224" s="127"/>
      <c r="E224" s="128"/>
      <c r="F224" s="128" t="s">
        <v>4874</v>
      </c>
      <c r="G224" s="22">
        <v>0</v>
      </c>
      <c r="H224" s="22">
        <v>0</v>
      </c>
      <c r="I224">
        <f>IF(PisCofinsAliquot[[#This Row],[Classificação]]="Alíquota 0",6,IF(PisCofinsAliquot[[#This Row],[Classificação]]="Monofásico",4,IF(PisCofinsAliquot[[#This Row],[Classificação]]="Regra Geral",1,IF(PisCofinsAliquot[[#This Row],[Classificação]]="ST",5))))</f>
        <v>6</v>
      </c>
    </row>
    <row r="225" spans="1:9" x14ac:dyDescent="0.25">
      <c r="A225" s="124" t="s">
        <v>3270</v>
      </c>
      <c r="B225" s="125" t="s">
        <v>2701</v>
      </c>
      <c r="C225" s="126" t="str">
        <f>RIGHT(PisCofinsAliquot[[#This Row],[Código NCM]],8)</f>
        <v>03045900</v>
      </c>
      <c r="D225" s="127"/>
      <c r="E225" s="128"/>
      <c r="F225" s="128" t="s">
        <v>4867</v>
      </c>
      <c r="G225" s="22">
        <v>0</v>
      </c>
      <c r="H225" s="22">
        <v>0</v>
      </c>
      <c r="I225">
        <f>IF(PisCofinsAliquot[[#This Row],[Classificação]]="Alíquota 0",6,IF(PisCofinsAliquot[[#This Row],[Classificação]]="Monofásico",4,IF(PisCofinsAliquot[[#This Row],[Classificação]]="Regra Geral",1,IF(PisCofinsAliquot[[#This Row],[Classificação]]="ST",5))))</f>
        <v>6</v>
      </c>
    </row>
    <row r="226" spans="1:9" x14ac:dyDescent="0.25">
      <c r="A226" s="124" t="s">
        <v>281</v>
      </c>
      <c r="B226" s="125" t="s">
        <v>2701</v>
      </c>
      <c r="C226" s="126" t="str">
        <f>RIGHT(PisCofinsAliquot[[#This Row],[Código NCM]],8)</f>
        <v>03046100</v>
      </c>
      <c r="D226" s="127"/>
      <c r="E226" s="128"/>
      <c r="F226" s="128" t="s">
        <v>4868</v>
      </c>
      <c r="G226" s="22">
        <v>0</v>
      </c>
      <c r="H226" s="22">
        <v>0</v>
      </c>
      <c r="I226">
        <f>IF(PisCofinsAliquot[[#This Row],[Classificação]]="Alíquota 0",6,IF(PisCofinsAliquot[[#This Row],[Classificação]]="Monofásico",4,IF(PisCofinsAliquot[[#This Row],[Classificação]]="Regra Geral",1,IF(PisCofinsAliquot[[#This Row],[Classificação]]="ST",5))))</f>
        <v>6</v>
      </c>
    </row>
    <row r="227" spans="1:9" x14ac:dyDescent="0.25">
      <c r="A227" s="124" t="s">
        <v>3271</v>
      </c>
      <c r="B227" s="125" t="s">
        <v>2701</v>
      </c>
      <c r="C227" s="126" t="str">
        <f>RIGHT(PisCofinsAliquot[[#This Row],[Código NCM]],8)</f>
        <v>03046210</v>
      </c>
      <c r="D227" s="127"/>
      <c r="E227" s="128"/>
      <c r="F227" s="128" t="s">
        <v>4869</v>
      </c>
      <c r="G227" s="22">
        <v>0</v>
      </c>
      <c r="H227" s="22">
        <v>0</v>
      </c>
      <c r="I227">
        <f>IF(PisCofinsAliquot[[#This Row],[Classificação]]="Alíquota 0",6,IF(PisCofinsAliquot[[#This Row],[Classificação]]="Monofásico",4,IF(PisCofinsAliquot[[#This Row],[Classificação]]="Regra Geral",1,IF(PisCofinsAliquot[[#This Row],[Classificação]]="ST",5))))</f>
        <v>6</v>
      </c>
    </row>
    <row r="228" spans="1:9" x14ac:dyDescent="0.25">
      <c r="A228" s="124" t="s">
        <v>3272</v>
      </c>
      <c r="B228" s="125" t="s">
        <v>2701</v>
      </c>
      <c r="C228" s="126" t="str">
        <f>RIGHT(PisCofinsAliquot[[#This Row],[Código NCM]],8)</f>
        <v>03046290</v>
      </c>
      <c r="D228" s="127"/>
      <c r="E228" s="128"/>
      <c r="F228" s="128" t="s">
        <v>4872</v>
      </c>
      <c r="G228" s="22">
        <v>0</v>
      </c>
      <c r="H228" s="22">
        <v>0</v>
      </c>
      <c r="I228">
        <f>IF(PisCofinsAliquot[[#This Row],[Classificação]]="Alíquota 0",6,IF(PisCofinsAliquot[[#This Row],[Classificação]]="Monofásico",4,IF(PisCofinsAliquot[[#This Row],[Classificação]]="Regra Geral",1,IF(PisCofinsAliquot[[#This Row],[Classificação]]="ST",5))))</f>
        <v>6</v>
      </c>
    </row>
    <row r="229" spans="1:9" x14ac:dyDescent="0.25">
      <c r="A229" s="124" t="s">
        <v>3273</v>
      </c>
      <c r="B229" s="125" t="s">
        <v>2701</v>
      </c>
      <c r="C229" s="126" t="str">
        <f>RIGHT(PisCofinsAliquot[[#This Row],[Código NCM]],8)</f>
        <v>03046300</v>
      </c>
      <c r="D229" s="127"/>
      <c r="E229" s="128"/>
      <c r="F229" s="128" t="s">
        <v>4937</v>
      </c>
      <c r="G229" s="22">
        <v>0</v>
      </c>
      <c r="H229" s="22">
        <v>0</v>
      </c>
      <c r="I229">
        <f>IF(PisCofinsAliquot[[#This Row],[Classificação]]="Alíquota 0",6,IF(PisCofinsAliquot[[#This Row],[Classificação]]="Monofásico",4,IF(PisCofinsAliquot[[#This Row],[Classificação]]="Regra Geral",1,IF(PisCofinsAliquot[[#This Row],[Classificação]]="ST",5))))</f>
        <v>6</v>
      </c>
    </row>
    <row r="230" spans="1:9" x14ac:dyDescent="0.25">
      <c r="A230" s="124" t="s">
        <v>3274</v>
      </c>
      <c r="B230" s="125" t="s">
        <v>2701</v>
      </c>
      <c r="C230" s="126" t="str">
        <f>RIGHT(PisCofinsAliquot[[#This Row],[Código NCM]],8)</f>
        <v>03046900</v>
      </c>
      <c r="D230" s="127"/>
      <c r="E230" s="128"/>
      <c r="F230" s="128" t="s">
        <v>4872</v>
      </c>
      <c r="G230" s="22">
        <v>0</v>
      </c>
      <c r="H230" s="22">
        <v>0</v>
      </c>
      <c r="I230">
        <f>IF(PisCofinsAliquot[[#This Row],[Classificação]]="Alíquota 0",6,IF(PisCofinsAliquot[[#This Row],[Classificação]]="Monofásico",4,IF(PisCofinsAliquot[[#This Row],[Classificação]]="Regra Geral",1,IF(PisCofinsAliquot[[#This Row],[Classificação]]="ST",5))))</f>
        <v>6</v>
      </c>
    </row>
    <row r="231" spans="1:9" x14ac:dyDescent="0.25">
      <c r="A231" s="124" t="s">
        <v>3275</v>
      </c>
      <c r="B231" s="125" t="s">
        <v>2701</v>
      </c>
      <c r="C231" s="126" t="str">
        <f>RIGHT(PisCofinsAliquot[[#This Row],[Código NCM]],8)</f>
        <v>03047100</v>
      </c>
      <c r="D231" s="127"/>
      <c r="E231" s="128"/>
      <c r="F231" s="128" t="s">
        <v>4943</v>
      </c>
      <c r="G231" s="22">
        <v>0</v>
      </c>
      <c r="H231" s="22">
        <v>0</v>
      </c>
      <c r="I231">
        <f>IF(PisCofinsAliquot[[#This Row],[Classificação]]="Alíquota 0",6,IF(PisCofinsAliquot[[#This Row],[Classificação]]="Monofásico",4,IF(PisCofinsAliquot[[#This Row],[Classificação]]="Regra Geral",1,IF(PisCofinsAliquot[[#This Row],[Classificação]]="ST",5))))</f>
        <v>6</v>
      </c>
    </row>
    <row r="232" spans="1:9" x14ac:dyDescent="0.25">
      <c r="A232" s="124" t="s">
        <v>3276</v>
      </c>
      <c r="B232" s="125" t="s">
        <v>2701</v>
      </c>
      <c r="C232" s="126" t="str">
        <f>RIGHT(PisCofinsAliquot[[#This Row],[Código NCM]],8)</f>
        <v>03047200</v>
      </c>
      <c r="D232" s="127"/>
      <c r="E232" s="128"/>
      <c r="F232" s="128" t="s">
        <v>4911</v>
      </c>
      <c r="G232" s="22">
        <v>0</v>
      </c>
      <c r="H232" s="22">
        <v>0</v>
      </c>
      <c r="I232">
        <f>IF(PisCofinsAliquot[[#This Row],[Classificação]]="Alíquota 0",6,IF(PisCofinsAliquot[[#This Row],[Classificação]]="Monofásico",4,IF(PisCofinsAliquot[[#This Row],[Classificação]]="Regra Geral",1,IF(PisCofinsAliquot[[#This Row],[Classificação]]="ST",5))))</f>
        <v>6</v>
      </c>
    </row>
    <row r="233" spans="1:9" x14ac:dyDescent="0.25">
      <c r="A233" s="124" t="s">
        <v>3277</v>
      </c>
      <c r="B233" s="125" t="s">
        <v>2701</v>
      </c>
      <c r="C233" s="126" t="str">
        <f>RIGHT(PisCofinsAliquot[[#This Row],[Código NCM]],8)</f>
        <v>03047300</v>
      </c>
      <c r="D233" s="127"/>
      <c r="E233" s="128"/>
      <c r="F233" s="128" t="s">
        <v>4863</v>
      </c>
      <c r="G233" s="22">
        <v>0</v>
      </c>
      <c r="H233" s="22">
        <v>0</v>
      </c>
      <c r="I233">
        <f>IF(PisCofinsAliquot[[#This Row],[Classificação]]="Alíquota 0",6,IF(PisCofinsAliquot[[#This Row],[Classificação]]="Monofásico",4,IF(PisCofinsAliquot[[#This Row],[Classificação]]="Regra Geral",1,IF(PisCofinsAliquot[[#This Row],[Classificação]]="ST",5))))</f>
        <v>6</v>
      </c>
    </row>
    <row r="234" spans="1:9" x14ac:dyDescent="0.25">
      <c r="A234" s="124" t="s">
        <v>289</v>
      </c>
      <c r="B234" s="125" t="s">
        <v>2701</v>
      </c>
      <c r="C234" s="126" t="str">
        <f>RIGHT(PisCofinsAliquot[[#This Row],[Código NCM]],8)</f>
        <v>03047400</v>
      </c>
      <c r="D234" s="127"/>
      <c r="E234" s="128"/>
      <c r="F234" s="128" t="s">
        <v>4864</v>
      </c>
      <c r="G234" s="22">
        <v>0</v>
      </c>
      <c r="H234" s="22">
        <v>0</v>
      </c>
      <c r="I234">
        <f>IF(PisCofinsAliquot[[#This Row],[Classificação]]="Alíquota 0",6,IF(PisCofinsAliquot[[#This Row],[Classificação]]="Monofásico",4,IF(PisCofinsAliquot[[#This Row],[Classificação]]="Regra Geral",1,IF(PisCofinsAliquot[[#This Row],[Classificação]]="ST",5))))</f>
        <v>6</v>
      </c>
    </row>
    <row r="235" spans="1:9" x14ac:dyDescent="0.25">
      <c r="A235" s="124" t="s">
        <v>3278</v>
      </c>
      <c r="B235" s="125" t="s">
        <v>2701</v>
      </c>
      <c r="C235" s="126" t="str">
        <f>RIGHT(PisCofinsAliquot[[#This Row],[Código NCM]],8)</f>
        <v>03047500</v>
      </c>
      <c r="D235" s="127"/>
      <c r="E235" s="128"/>
      <c r="F235" s="128" t="s">
        <v>4944</v>
      </c>
      <c r="G235" s="22">
        <v>0</v>
      </c>
      <c r="H235" s="22">
        <v>0</v>
      </c>
      <c r="I235">
        <f>IF(PisCofinsAliquot[[#This Row],[Classificação]]="Alíquota 0",6,IF(PisCofinsAliquot[[#This Row],[Classificação]]="Monofásico",4,IF(PisCofinsAliquot[[#This Row],[Classificação]]="Regra Geral",1,IF(PisCofinsAliquot[[#This Row],[Classificação]]="ST",5))))</f>
        <v>6</v>
      </c>
    </row>
    <row r="236" spans="1:9" x14ac:dyDescent="0.25">
      <c r="A236" s="124" t="s">
        <v>3279</v>
      </c>
      <c r="B236" s="125" t="s">
        <v>2701</v>
      </c>
      <c r="C236" s="126" t="str">
        <f>RIGHT(PisCofinsAliquot[[#This Row],[Código NCM]],8)</f>
        <v>03047900</v>
      </c>
      <c r="D236" s="127"/>
      <c r="E236" s="128"/>
      <c r="F236" s="128" t="s">
        <v>4901</v>
      </c>
      <c r="G236" s="22">
        <v>0</v>
      </c>
      <c r="H236" s="22">
        <v>0</v>
      </c>
      <c r="I236">
        <f>IF(PisCofinsAliquot[[#This Row],[Classificação]]="Alíquota 0",6,IF(PisCofinsAliquot[[#This Row],[Classificação]]="Monofásico",4,IF(PisCofinsAliquot[[#This Row],[Classificação]]="Regra Geral",1,IF(PisCofinsAliquot[[#This Row],[Classificação]]="ST",5))))</f>
        <v>6</v>
      </c>
    </row>
    <row r="237" spans="1:9" x14ac:dyDescent="0.25">
      <c r="A237" s="124" t="s">
        <v>3280</v>
      </c>
      <c r="B237" s="125" t="s">
        <v>2701</v>
      </c>
      <c r="C237" s="126" t="str">
        <f>RIGHT(PisCofinsAliquot[[#This Row],[Código NCM]],8)</f>
        <v>03048100</v>
      </c>
      <c r="D237" s="127"/>
      <c r="E237" s="128"/>
      <c r="F237" s="128" t="s">
        <v>4837</v>
      </c>
      <c r="G237" s="22">
        <v>0</v>
      </c>
      <c r="H237" s="22">
        <v>0</v>
      </c>
      <c r="I237">
        <f>IF(PisCofinsAliquot[[#This Row],[Classificação]]="Alíquota 0",6,IF(PisCofinsAliquot[[#This Row],[Classificação]]="Monofásico",4,IF(PisCofinsAliquot[[#This Row],[Classificação]]="Regra Geral",1,IF(PisCofinsAliquot[[#This Row],[Classificação]]="ST",5))))</f>
        <v>6</v>
      </c>
    </row>
    <row r="238" spans="1:9" x14ac:dyDescent="0.25">
      <c r="A238" s="124" t="s">
        <v>3281</v>
      </c>
      <c r="B238" s="125" t="s">
        <v>2701</v>
      </c>
      <c r="C238" s="126" t="str">
        <f>RIGHT(PisCofinsAliquot[[#This Row],[Código NCM]],8)</f>
        <v>03048200</v>
      </c>
      <c r="D238" s="127"/>
      <c r="E238" s="128"/>
      <c r="F238" s="128" t="s">
        <v>4945</v>
      </c>
      <c r="G238" s="22">
        <v>0</v>
      </c>
      <c r="H238" s="22">
        <v>0</v>
      </c>
      <c r="I238">
        <f>IF(PisCofinsAliquot[[#This Row],[Classificação]]="Alíquota 0",6,IF(PisCofinsAliquot[[#This Row],[Classificação]]="Monofásico",4,IF(PisCofinsAliquot[[#This Row],[Classificação]]="Regra Geral",1,IF(PisCofinsAliquot[[#This Row],[Classificação]]="ST",5))))</f>
        <v>6</v>
      </c>
    </row>
    <row r="239" spans="1:9" x14ac:dyDescent="0.25">
      <c r="A239" s="124" t="s">
        <v>3282</v>
      </c>
      <c r="B239" s="125" t="s">
        <v>2701</v>
      </c>
      <c r="C239" s="126" t="str">
        <f>RIGHT(PisCofinsAliquot[[#This Row],[Código NCM]],8)</f>
        <v>03048300</v>
      </c>
      <c r="D239" s="127"/>
      <c r="E239" s="128"/>
      <c r="F239" s="128" t="s">
        <v>4938</v>
      </c>
      <c r="G239" s="22">
        <v>0</v>
      </c>
      <c r="H239" s="22">
        <v>0</v>
      </c>
      <c r="I239">
        <f>IF(PisCofinsAliquot[[#This Row],[Classificação]]="Alíquota 0",6,IF(PisCofinsAliquot[[#This Row],[Classificação]]="Monofásico",4,IF(PisCofinsAliquot[[#This Row],[Classificação]]="Regra Geral",1,IF(PisCofinsAliquot[[#This Row],[Classificação]]="ST",5))))</f>
        <v>6</v>
      </c>
    </row>
    <row r="240" spans="1:9" x14ac:dyDescent="0.25">
      <c r="A240" s="124" t="s">
        <v>3283</v>
      </c>
      <c r="B240" s="125" t="s">
        <v>2701</v>
      </c>
      <c r="C240" s="126" t="str">
        <f>RIGHT(PisCofinsAliquot[[#This Row],[Código NCM]],8)</f>
        <v>03048400</v>
      </c>
      <c r="D240" s="127"/>
      <c r="E240" s="128"/>
      <c r="F240" s="128" t="s">
        <v>4946</v>
      </c>
      <c r="G240" s="22">
        <v>0</v>
      </c>
      <c r="H240" s="22">
        <v>0</v>
      </c>
      <c r="I240">
        <f>IF(PisCofinsAliquot[[#This Row],[Classificação]]="Alíquota 0",6,IF(PisCofinsAliquot[[#This Row],[Classificação]]="Monofásico",4,IF(PisCofinsAliquot[[#This Row],[Classificação]]="Regra Geral",1,IF(PisCofinsAliquot[[#This Row],[Classificação]]="ST",5))))</f>
        <v>6</v>
      </c>
    </row>
    <row r="241" spans="1:9" x14ac:dyDescent="0.25">
      <c r="A241" s="124" t="s">
        <v>3284</v>
      </c>
      <c r="B241" s="125" t="s">
        <v>2701</v>
      </c>
      <c r="C241" s="126" t="str">
        <f>RIGHT(PisCofinsAliquot[[#This Row],[Código NCM]],8)</f>
        <v>03048510</v>
      </c>
      <c r="D241" s="127"/>
      <c r="E241" s="128"/>
      <c r="F241" s="128" t="s">
        <v>4947</v>
      </c>
      <c r="G241" s="22">
        <v>0</v>
      </c>
      <c r="H241" s="22">
        <v>0</v>
      </c>
      <c r="I241">
        <f>IF(PisCofinsAliquot[[#This Row],[Classificação]]="Alíquota 0",6,IF(PisCofinsAliquot[[#This Row],[Classificação]]="Monofásico",4,IF(PisCofinsAliquot[[#This Row],[Classificação]]="Regra Geral",1,IF(PisCofinsAliquot[[#This Row],[Classificação]]="ST",5))))</f>
        <v>6</v>
      </c>
    </row>
    <row r="242" spans="1:9" x14ac:dyDescent="0.25">
      <c r="A242" s="124" t="s">
        <v>3285</v>
      </c>
      <c r="B242" s="125" t="s">
        <v>2701</v>
      </c>
      <c r="C242" s="126" t="str">
        <f>RIGHT(PisCofinsAliquot[[#This Row],[Código NCM]],8)</f>
        <v>03048520</v>
      </c>
      <c r="D242" s="127"/>
      <c r="E242" s="128"/>
      <c r="F242" s="128" t="s">
        <v>4948</v>
      </c>
      <c r="G242" s="22">
        <v>0</v>
      </c>
      <c r="H242" s="22">
        <v>0</v>
      </c>
      <c r="I242">
        <f>IF(PisCofinsAliquot[[#This Row],[Classificação]]="Alíquota 0",6,IF(PisCofinsAliquot[[#This Row],[Classificação]]="Monofásico",4,IF(PisCofinsAliquot[[#This Row],[Classificação]]="Regra Geral",1,IF(PisCofinsAliquot[[#This Row],[Classificação]]="ST",5))))</f>
        <v>6</v>
      </c>
    </row>
    <row r="243" spans="1:9" x14ac:dyDescent="0.25">
      <c r="A243" s="124" t="s">
        <v>3286</v>
      </c>
      <c r="B243" s="125" t="s">
        <v>2701</v>
      </c>
      <c r="C243" s="126" t="str">
        <f>RIGHT(PisCofinsAliquot[[#This Row],[Código NCM]],8)</f>
        <v>03048600</v>
      </c>
      <c r="D243" s="127"/>
      <c r="E243" s="128"/>
      <c r="F243" s="128" t="s">
        <v>4949</v>
      </c>
      <c r="G243" s="22">
        <v>0</v>
      </c>
      <c r="H243" s="22">
        <v>0</v>
      </c>
      <c r="I243">
        <f>IF(PisCofinsAliquot[[#This Row],[Classificação]]="Alíquota 0",6,IF(PisCofinsAliquot[[#This Row],[Classificação]]="Monofásico",4,IF(PisCofinsAliquot[[#This Row],[Classificação]]="Regra Geral",1,IF(PisCofinsAliquot[[#This Row],[Classificação]]="ST",5))))</f>
        <v>6</v>
      </c>
    </row>
    <row r="244" spans="1:9" x14ac:dyDescent="0.25">
      <c r="A244" s="124" t="s">
        <v>3287</v>
      </c>
      <c r="B244" s="125" t="s">
        <v>2701</v>
      </c>
      <c r="C244" s="126" t="str">
        <f>RIGHT(PisCofinsAliquot[[#This Row],[Código NCM]],8)</f>
        <v>03048700</v>
      </c>
      <c r="D244" s="127"/>
      <c r="E244" s="128"/>
      <c r="F244" s="128" t="s">
        <v>4950</v>
      </c>
      <c r="G244" s="22">
        <v>0</v>
      </c>
      <c r="H244" s="22">
        <v>0</v>
      </c>
      <c r="I244">
        <f>IF(PisCofinsAliquot[[#This Row],[Classificação]]="Alíquota 0",6,IF(PisCofinsAliquot[[#This Row],[Classificação]]="Monofásico",4,IF(PisCofinsAliquot[[#This Row],[Classificação]]="Regra Geral",1,IF(PisCofinsAliquot[[#This Row],[Classificação]]="ST",5))))</f>
        <v>6</v>
      </c>
    </row>
    <row r="245" spans="1:9" x14ac:dyDescent="0.25">
      <c r="A245" s="124" t="s">
        <v>3288</v>
      </c>
      <c r="B245" s="125" t="s">
        <v>2701</v>
      </c>
      <c r="C245" s="126" t="str">
        <f>RIGHT(PisCofinsAliquot[[#This Row],[Código NCM]],8)</f>
        <v>03048810</v>
      </c>
      <c r="D245" s="127"/>
      <c r="E245" s="128"/>
      <c r="F245" s="128" t="s">
        <v>4951</v>
      </c>
      <c r="G245" s="22">
        <v>0</v>
      </c>
      <c r="H245" s="22">
        <v>0</v>
      </c>
      <c r="I245">
        <f>IF(PisCofinsAliquot[[#This Row],[Classificação]]="Alíquota 0",6,IF(PisCofinsAliquot[[#This Row],[Classificação]]="Monofásico",4,IF(PisCofinsAliquot[[#This Row],[Classificação]]="Regra Geral",1,IF(PisCofinsAliquot[[#This Row],[Classificação]]="ST",5))))</f>
        <v>6</v>
      </c>
    </row>
    <row r="246" spans="1:9" x14ac:dyDescent="0.25">
      <c r="A246" s="124" t="s">
        <v>3289</v>
      </c>
      <c r="B246" s="125" t="s">
        <v>2701</v>
      </c>
      <c r="C246" s="126" t="str">
        <f>RIGHT(PisCofinsAliquot[[#This Row],[Código NCM]],8)</f>
        <v>03048890</v>
      </c>
      <c r="D246" s="127"/>
      <c r="E246" s="128"/>
      <c r="F246" s="128" t="s">
        <v>4873</v>
      </c>
      <c r="G246" s="22">
        <v>0</v>
      </c>
      <c r="H246" s="22">
        <v>0</v>
      </c>
      <c r="I246">
        <f>IF(PisCofinsAliquot[[#This Row],[Classificação]]="Alíquota 0",6,IF(PisCofinsAliquot[[#This Row],[Classificação]]="Monofásico",4,IF(PisCofinsAliquot[[#This Row],[Classificação]]="Regra Geral",1,IF(PisCofinsAliquot[[#This Row],[Classificação]]="ST",5))))</f>
        <v>6</v>
      </c>
    </row>
    <row r="247" spans="1:9" x14ac:dyDescent="0.25">
      <c r="A247" s="124" t="s">
        <v>3290</v>
      </c>
      <c r="B247" s="125" t="s">
        <v>2701</v>
      </c>
      <c r="C247" s="126" t="str">
        <f>RIGHT(PisCofinsAliquot[[#This Row],[Código NCM]],8)</f>
        <v>03048910</v>
      </c>
      <c r="D247" s="127"/>
      <c r="E247" s="128"/>
      <c r="F247" s="128" t="s">
        <v>4879</v>
      </c>
      <c r="G247" s="22">
        <v>0</v>
      </c>
      <c r="H247" s="22">
        <v>0</v>
      </c>
      <c r="I247">
        <f>IF(PisCofinsAliquot[[#This Row],[Classificação]]="Alíquota 0",6,IF(PisCofinsAliquot[[#This Row],[Classificação]]="Monofásico",4,IF(PisCofinsAliquot[[#This Row],[Classificação]]="Regra Geral",1,IF(PisCofinsAliquot[[#This Row],[Classificação]]="ST",5))))</f>
        <v>6</v>
      </c>
    </row>
    <row r="248" spans="1:9" x14ac:dyDescent="0.25">
      <c r="A248" s="124" t="s">
        <v>3291</v>
      </c>
      <c r="B248" s="125" t="s">
        <v>2701</v>
      </c>
      <c r="C248" s="126" t="str">
        <f>RIGHT(PisCofinsAliquot[[#This Row],[Código NCM]],8)</f>
        <v>03048920</v>
      </c>
      <c r="D248" s="127"/>
      <c r="E248" s="128"/>
      <c r="F248" s="128" t="s">
        <v>4880</v>
      </c>
      <c r="G248" s="22">
        <v>0</v>
      </c>
      <c r="H248" s="22">
        <v>0</v>
      </c>
      <c r="I248">
        <f>IF(PisCofinsAliquot[[#This Row],[Classificação]]="Alíquota 0",6,IF(PisCofinsAliquot[[#This Row],[Classificação]]="Monofásico",4,IF(PisCofinsAliquot[[#This Row],[Classificação]]="Regra Geral",1,IF(PisCofinsAliquot[[#This Row],[Classificação]]="ST",5))))</f>
        <v>6</v>
      </c>
    </row>
    <row r="249" spans="1:9" x14ac:dyDescent="0.25">
      <c r="A249" s="124" t="s">
        <v>3292</v>
      </c>
      <c r="B249" s="125" t="s">
        <v>2701</v>
      </c>
      <c r="C249" s="126" t="str">
        <f>RIGHT(PisCofinsAliquot[[#This Row],[Código NCM]],8)</f>
        <v>03048930</v>
      </c>
      <c r="D249" s="127"/>
      <c r="E249" s="128"/>
      <c r="F249" s="128" t="s">
        <v>4881</v>
      </c>
      <c r="G249" s="22">
        <v>0</v>
      </c>
      <c r="H249" s="22">
        <v>0</v>
      </c>
      <c r="I249">
        <f>IF(PisCofinsAliquot[[#This Row],[Classificação]]="Alíquota 0",6,IF(PisCofinsAliquot[[#This Row],[Classificação]]="Monofásico",4,IF(PisCofinsAliquot[[#This Row],[Classificação]]="Regra Geral",1,IF(PisCofinsAliquot[[#This Row],[Classificação]]="ST",5))))</f>
        <v>6</v>
      </c>
    </row>
    <row r="250" spans="1:9" x14ac:dyDescent="0.25">
      <c r="A250" s="124" t="s">
        <v>238</v>
      </c>
      <c r="B250" s="125" t="s">
        <v>2701</v>
      </c>
      <c r="C250" s="126" t="str">
        <f>RIGHT(PisCofinsAliquot[[#This Row],[Código NCM]],8)</f>
        <v>03048990</v>
      </c>
      <c r="D250" s="127"/>
      <c r="E250" s="128"/>
      <c r="F250" s="128" t="s">
        <v>4901</v>
      </c>
      <c r="G250" s="22">
        <v>0</v>
      </c>
      <c r="H250" s="22">
        <v>0</v>
      </c>
      <c r="I250">
        <f>IF(PisCofinsAliquot[[#This Row],[Classificação]]="Alíquota 0",6,IF(PisCofinsAliquot[[#This Row],[Classificação]]="Monofásico",4,IF(PisCofinsAliquot[[#This Row],[Classificação]]="Regra Geral",1,IF(PisCofinsAliquot[[#This Row],[Classificação]]="ST",5))))</f>
        <v>6</v>
      </c>
    </row>
    <row r="251" spans="1:9" x14ac:dyDescent="0.25">
      <c r="A251" s="124" t="s">
        <v>3293</v>
      </c>
      <c r="B251" s="125" t="s">
        <v>2701</v>
      </c>
      <c r="C251" s="126" t="str">
        <f>RIGHT(PisCofinsAliquot[[#This Row],[Código NCM]],8)</f>
        <v>03049100</v>
      </c>
      <c r="D251" s="127"/>
      <c r="E251" s="128"/>
      <c r="F251" s="128" t="s">
        <v>4858</v>
      </c>
      <c r="G251" s="22">
        <v>0</v>
      </c>
      <c r="H251" s="22">
        <v>0</v>
      </c>
      <c r="I251">
        <f>IF(PisCofinsAliquot[[#This Row],[Classificação]]="Alíquota 0",6,IF(PisCofinsAliquot[[#This Row],[Classificação]]="Monofásico",4,IF(PisCofinsAliquot[[#This Row],[Classificação]]="Regra Geral",1,IF(PisCofinsAliquot[[#This Row],[Classificação]]="ST",5))))</f>
        <v>6</v>
      </c>
    </row>
    <row r="252" spans="1:9" x14ac:dyDescent="0.25">
      <c r="A252" s="124" t="s">
        <v>3294</v>
      </c>
      <c r="B252" s="125" t="s">
        <v>2701</v>
      </c>
      <c r="C252" s="126" t="str">
        <f>RIGHT(PisCofinsAliquot[[#This Row],[Código NCM]],8)</f>
        <v>03049211</v>
      </c>
      <c r="D252" s="127"/>
      <c r="E252" s="128"/>
      <c r="F252" s="128" t="s">
        <v>4952</v>
      </c>
      <c r="G252" s="22">
        <v>0</v>
      </c>
      <c r="H252" s="22">
        <v>0</v>
      </c>
      <c r="I252">
        <f>IF(PisCofinsAliquot[[#This Row],[Classificação]]="Alíquota 0",6,IF(PisCofinsAliquot[[#This Row],[Classificação]]="Monofásico",4,IF(PisCofinsAliquot[[#This Row],[Classificação]]="Regra Geral",1,IF(PisCofinsAliquot[[#This Row],[Classificação]]="ST",5))))</f>
        <v>6</v>
      </c>
    </row>
    <row r="253" spans="1:9" x14ac:dyDescent="0.25">
      <c r="A253" s="124" t="s">
        <v>3295</v>
      </c>
      <c r="B253" s="125" t="s">
        <v>2701</v>
      </c>
      <c r="C253" s="126" t="str">
        <f>RIGHT(PisCofinsAliquot[[#This Row],[Código NCM]],8)</f>
        <v>03049212</v>
      </c>
      <c r="D253" s="127"/>
      <c r="E253" s="128"/>
      <c r="F253" s="128" t="s">
        <v>4953</v>
      </c>
      <c r="G253" s="22">
        <v>0</v>
      </c>
      <c r="H253" s="22">
        <v>0</v>
      </c>
      <c r="I253">
        <f>IF(PisCofinsAliquot[[#This Row],[Classificação]]="Alíquota 0",6,IF(PisCofinsAliquot[[#This Row],[Classificação]]="Monofásico",4,IF(PisCofinsAliquot[[#This Row],[Classificação]]="Regra Geral",1,IF(PisCofinsAliquot[[#This Row],[Classificação]]="ST",5))))</f>
        <v>6</v>
      </c>
    </row>
    <row r="254" spans="1:9" x14ac:dyDescent="0.25">
      <c r="A254" s="124" t="s">
        <v>3296</v>
      </c>
      <c r="B254" s="125" t="s">
        <v>2701</v>
      </c>
      <c r="C254" s="126" t="str">
        <f>RIGHT(PisCofinsAliquot[[#This Row],[Código NCM]],8)</f>
        <v>03049219</v>
      </c>
      <c r="D254" s="127"/>
      <c r="E254" s="128"/>
      <c r="F254" s="128" t="s">
        <v>4901</v>
      </c>
      <c r="G254" s="22">
        <v>0</v>
      </c>
      <c r="H254" s="22">
        <v>0</v>
      </c>
      <c r="I254">
        <f>IF(PisCofinsAliquot[[#This Row],[Classificação]]="Alíquota 0",6,IF(PisCofinsAliquot[[#This Row],[Classificação]]="Monofásico",4,IF(PisCofinsAliquot[[#This Row],[Classificação]]="Regra Geral",1,IF(PisCofinsAliquot[[#This Row],[Classificação]]="ST",5))))</f>
        <v>6</v>
      </c>
    </row>
    <row r="255" spans="1:9" x14ac:dyDescent="0.25">
      <c r="A255" s="124" t="s">
        <v>3297</v>
      </c>
      <c r="B255" s="125" t="s">
        <v>2701</v>
      </c>
      <c r="C255" s="126" t="str">
        <f>RIGHT(PisCofinsAliquot[[#This Row],[Código NCM]],8)</f>
        <v>03049221</v>
      </c>
      <c r="D255" s="127"/>
      <c r="E255" s="128"/>
      <c r="F255" s="128" t="s">
        <v>4954</v>
      </c>
      <c r="G255" s="22">
        <v>0</v>
      </c>
      <c r="H255" s="22">
        <v>0</v>
      </c>
      <c r="I255">
        <f>IF(PisCofinsAliquot[[#This Row],[Classificação]]="Alíquota 0",6,IF(PisCofinsAliquot[[#This Row],[Classificação]]="Monofásico",4,IF(PisCofinsAliquot[[#This Row],[Classificação]]="Regra Geral",1,IF(PisCofinsAliquot[[#This Row],[Classificação]]="ST",5))))</f>
        <v>6</v>
      </c>
    </row>
    <row r="256" spans="1:9" x14ac:dyDescent="0.25">
      <c r="A256" s="124" t="s">
        <v>3298</v>
      </c>
      <c r="B256" s="125" t="s">
        <v>2701</v>
      </c>
      <c r="C256" s="126" t="str">
        <f>RIGHT(PisCofinsAliquot[[#This Row],[Código NCM]],8)</f>
        <v>03049222</v>
      </c>
      <c r="D256" s="127"/>
      <c r="E256" s="128"/>
      <c r="F256" s="128" t="s">
        <v>4955</v>
      </c>
      <c r="G256" s="22">
        <v>0</v>
      </c>
      <c r="H256" s="22">
        <v>0</v>
      </c>
      <c r="I256">
        <f>IF(PisCofinsAliquot[[#This Row],[Classificação]]="Alíquota 0",6,IF(PisCofinsAliquot[[#This Row],[Classificação]]="Monofásico",4,IF(PisCofinsAliquot[[#This Row],[Classificação]]="Regra Geral",1,IF(PisCofinsAliquot[[#This Row],[Classificação]]="ST",5))))</f>
        <v>6</v>
      </c>
    </row>
    <row r="257" spans="1:9" x14ac:dyDescent="0.25">
      <c r="A257" s="124" t="s">
        <v>3299</v>
      </c>
      <c r="B257" s="125" t="s">
        <v>2701</v>
      </c>
      <c r="C257" s="126" t="str">
        <f>RIGHT(PisCofinsAliquot[[#This Row],[Código NCM]],8)</f>
        <v>03049229</v>
      </c>
      <c r="D257" s="127"/>
      <c r="E257" s="128"/>
      <c r="F257" s="128" t="s">
        <v>4901</v>
      </c>
      <c r="G257" s="22">
        <v>0</v>
      </c>
      <c r="H257" s="22">
        <v>0</v>
      </c>
      <c r="I257">
        <f>IF(PisCofinsAliquot[[#This Row],[Classificação]]="Alíquota 0",6,IF(PisCofinsAliquot[[#This Row],[Classificação]]="Monofásico",4,IF(PisCofinsAliquot[[#This Row],[Classificação]]="Regra Geral",1,IF(PisCofinsAliquot[[#This Row],[Classificação]]="ST",5))))</f>
        <v>6</v>
      </c>
    </row>
    <row r="258" spans="1:9" x14ac:dyDescent="0.25">
      <c r="A258" s="124" t="s">
        <v>3300</v>
      </c>
      <c r="B258" s="125" t="s">
        <v>2701</v>
      </c>
      <c r="C258" s="126" t="str">
        <f>RIGHT(PisCofinsAliquot[[#This Row],[Código NCM]],8)</f>
        <v>03049300</v>
      </c>
      <c r="D258" s="127"/>
      <c r="E258" s="128"/>
      <c r="F258" s="128" t="s">
        <v>4942</v>
      </c>
      <c r="G258" s="22">
        <v>0</v>
      </c>
      <c r="H258" s="22">
        <v>0</v>
      </c>
      <c r="I258">
        <f>IF(PisCofinsAliquot[[#This Row],[Classificação]]="Alíquota 0",6,IF(PisCofinsAliquot[[#This Row],[Classificação]]="Monofásico",4,IF(PisCofinsAliquot[[#This Row],[Classificação]]="Regra Geral",1,IF(PisCofinsAliquot[[#This Row],[Classificação]]="ST",5))))</f>
        <v>6</v>
      </c>
    </row>
    <row r="259" spans="1:9" x14ac:dyDescent="0.25">
      <c r="A259" s="124" t="s">
        <v>3301</v>
      </c>
      <c r="B259" s="125" t="s">
        <v>2701</v>
      </c>
      <c r="C259" s="126" t="str">
        <f>RIGHT(PisCofinsAliquot[[#This Row],[Código NCM]],8)</f>
        <v>03049400</v>
      </c>
      <c r="D259" s="127"/>
      <c r="E259" s="128"/>
      <c r="F259" s="128" t="s">
        <v>4865</v>
      </c>
      <c r="G259" s="22">
        <v>0</v>
      </c>
      <c r="H259" s="22">
        <v>0</v>
      </c>
      <c r="I259">
        <f>IF(PisCofinsAliquot[[#This Row],[Classificação]]="Alíquota 0",6,IF(PisCofinsAliquot[[#This Row],[Classificação]]="Monofásico",4,IF(PisCofinsAliquot[[#This Row],[Classificação]]="Regra Geral",1,IF(PisCofinsAliquot[[#This Row],[Classificação]]="ST",5))))</f>
        <v>6</v>
      </c>
    </row>
    <row r="260" spans="1:9" x14ac:dyDescent="0.25">
      <c r="A260" s="124" t="s">
        <v>3302</v>
      </c>
      <c r="B260" s="125" t="s">
        <v>2701</v>
      </c>
      <c r="C260" s="126" t="str">
        <f>RIGHT(PisCofinsAliquot[[#This Row],[Código NCM]],8)</f>
        <v>03049500</v>
      </c>
      <c r="D260" s="127"/>
      <c r="E260" s="128"/>
      <c r="F260" s="128" t="s">
        <v>4956</v>
      </c>
      <c r="G260" s="22">
        <v>0</v>
      </c>
      <c r="H260" s="22">
        <v>0</v>
      </c>
      <c r="I260">
        <f>IF(PisCofinsAliquot[[#This Row],[Classificação]]="Alíquota 0",6,IF(PisCofinsAliquot[[#This Row],[Classificação]]="Monofásico",4,IF(PisCofinsAliquot[[#This Row],[Classificação]]="Regra Geral",1,IF(PisCofinsAliquot[[#This Row],[Classificação]]="ST",5))))</f>
        <v>6</v>
      </c>
    </row>
    <row r="261" spans="1:9" x14ac:dyDescent="0.25">
      <c r="A261" s="124" t="s">
        <v>3303</v>
      </c>
      <c r="B261" s="125" t="s">
        <v>2701</v>
      </c>
      <c r="C261" s="126" t="str">
        <f>RIGHT(PisCofinsAliquot[[#This Row],[Código NCM]],8)</f>
        <v>03049600</v>
      </c>
      <c r="D261" s="127"/>
      <c r="E261" s="128"/>
      <c r="F261" s="128" t="s">
        <v>4873</v>
      </c>
      <c r="G261" s="22">
        <v>0</v>
      </c>
      <c r="H261" s="22">
        <v>0</v>
      </c>
      <c r="I261">
        <f>IF(PisCofinsAliquot[[#This Row],[Classificação]]="Alíquota 0",6,IF(PisCofinsAliquot[[#This Row],[Classificação]]="Monofásico",4,IF(PisCofinsAliquot[[#This Row],[Classificação]]="Regra Geral",1,IF(PisCofinsAliquot[[#This Row],[Classificação]]="ST",5))))</f>
        <v>6</v>
      </c>
    </row>
    <row r="262" spans="1:9" x14ac:dyDescent="0.25">
      <c r="A262" s="124" t="s">
        <v>3304</v>
      </c>
      <c r="B262" s="125" t="s">
        <v>2701</v>
      </c>
      <c r="C262" s="126" t="str">
        <f>RIGHT(PisCofinsAliquot[[#This Row],[Código NCM]],8)</f>
        <v>03049700</v>
      </c>
      <c r="D262" s="127"/>
      <c r="E262" s="128"/>
      <c r="F262" s="128" t="s">
        <v>4957</v>
      </c>
      <c r="G262" s="22">
        <v>0</v>
      </c>
      <c r="H262" s="22">
        <v>0</v>
      </c>
      <c r="I262">
        <f>IF(PisCofinsAliquot[[#This Row],[Classificação]]="Alíquota 0",6,IF(PisCofinsAliquot[[#This Row],[Classificação]]="Monofásico",4,IF(PisCofinsAliquot[[#This Row],[Classificação]]="Regra Geral",1,IF(PisCofinsAliquot[[#This Row],[Classificação]]="ST",5))))</f>
        <v>6</v>
      </c>
    </row>
    <row r="263" spans="1:9" x14ac:dyDescent="0.25">
      <c r="A263" s="124" t="s">
        <v>3305</v>
      </c>
      <c r="B263" s="125" t="s">
        <v>2701</v>
      </c>
      <c r="C263" s="126" t="str">
        <f>RIGHT(PisCofinsAliquot[[#This Row],[Código NCM]],8)</f>
        <v>03049900</v>
      </c>
      <c r="D263" s="127"/>
      <c r="E263" s="128"/>
      <c r="F263" s="128" t="s">
        <v>4901</v>
      </c>
      <c r="G263" s="22">
        <v>0</v>
      </c>
      <c r="H263" s="22">
        <v>0</v>
      </c>
      <c r="I263">
        <f>IF(PisCofinsAliquot[[#This Row],[Classificação]]="Alíquota 0",6,IF(PisCofinsAliquot[[#This Row],[Classificação]]="Monofásico",4,IF(PisCofinsAliquot[[#This Row],[Classificação]]="Regra Geral",1,IF(PisCofinsAliquot[[#This Row],[Classificação]]="ST",5))))</f>
        <v>6</v>
      </c>
    </row>
    <row r="264" spans="1:9" x14ac:dyDescent="0.25">
      <c r="A264" s="124" t="s">
        <v>175</v>
      </c>
      <c r="B264" s="125" t="s">
        <v>2701</v>
      </c>
      <c r="C264" s="126" t="str">
        <f>RIGHT(PisCofinsAliquot[[#This Row],[Código NCM]],8)</f>
        <v>04011010</v>
      </c>
      <c r="D264" s="127"/>
      <c r="E264" s="128"/>
      <c r="F264" s="128" t="s">
        <v>4958</v>
      </c>
      <c r="G264" s="22">
        <v>0</v>
      </c>
      <c r="H264" s="22">
        <v>0</v>
      </c>
      <c r="I264">
        <f>IF(PisCofinsAliquot[[#This Row],[Classificação]]="Alíquota 0",6,IF(PisCofinsAliquot[[#This Row],[Classificação]]="Monofásico",4,IF(PisCofinsAliquot[[#This Row],[Classificação]]="Regra Geral",1,IF(PisCofinsAliquot[[#This Row],[Classificação]]="ST",5))))</f>
        <v>6</v>
      </c>
    </row>
    <row r="265" spans="1:9" x14ac:dyDescent="0.25">
      <c r="A265" s="133" t="s">
        <v>3405</v>
      </c>
      <c r="B265" s="134" t="s">
        <v>2701</v>
      </c>
      <c r="C265" s="126" t="str">
        <f>RIGHT(PisCofinsAliquot[[#This Row],[Código NCM]],8)</f>
        <v>04011090</v>
      </c>
      <c r="D265" s="135"/>
      <c r="E265" s="136"/>
      <c r="F265" s="136" t="s">
        <v>4959</v>
      </c>
      <c r="G265" s="3"/>
      <c r="H265" s="3"/>
      <c r="I265">
        <f>IF(PisCofinsAliquot[[#This Row],[Classificação]]="Alíquota 0",6,IF(PisCofinsAliquot[[#This Row],[Classificação]]="Monofásico",4,IF(PisCofinsAliquot[[#This Row],[Classificação]]="Regra Geral",1,IF(PisCofinsAliquot[[#This Row],[Classificação]]="ST",5))))</f>
        <v>6</v>
      </c>
    </row>
    <row r="266" spans="1:9" x14ac:dyDescent="0.25">
      <c r="A266" s="124" t="s">
        <v>227</v>
      </c>
      <c r="B266" s="125" t="s">
        <v>2701</v>
      </c>
      <c r="C266" s="126" t="str">
        <f>RIGHT(PisCofinsAliquot[[#This Row],[Código NCM]],8)</f>
        <v>04012010</v>
      </c>
      <c r="D266" s="127"/>
      <c r="E266" s="128"/>
      <c r="F266" s="128" t="s">
        <v>4960</v>
      </c>
      <c r="G266" s="22">
        <v>0</v>
      </c>
      <c r="H266" s="22">
        <v>0</v>
      </c>
      <c r="I266">
        <f>IF(PisCofinsAliquot[[#This Row],[Classificação]]="Alíquota 0",6,IF(PisCofinsAliquot[[#This Row],[Classificação]]="Monofásico",4,IF(PisCofinsAliquot[[#This Row],[Classificação]]="Regra Geral",1,IF(PisCofinsAliquot[[#This Row],[Classificação]]="ST",5))))</f>
        <v>6</v>
      </c>
    </row>
    <row r="267" spans="1:9" x14ac:dyDescent="0.25">
      <c r="A267" s="133" t="s">
        <v>189</v>
      </c>
      <c r="B267" s="134" t="s">
        <v>2701</v>
      </c>
      <c r="C267" s="126" t="str">
        <f>RIGHT(PisCofinsAliquot[[#This Row],[Código NCM]],8)</f>
        <v>04012090</v>
      </c>
      <c r="D267" s="135"/>
      <c r="E267" s="136"/>
      <c r="F267" s="136" t="s">
        <v>4959</v>
      </c>
      <c r="G267" s="40">
        <v>0</v>
      </c>
      <c r="H267" s="40">
        <v>0</v>
      </c>
      <c r="I267">
        <f>IF(PisCofinsAliquot[[#This Row],[Classificação]]="Alíquota 0",6,IF(PisCofinsAliquot[[#This Row],[Classificação]]="Monofásico",4,IF(PisCofinsAliquot[[#This Row],[Classificação]]="Regra Geral",1,IF(PisCofinsAliquot[[#This Row],[Classificação]]="ST",5))))</f>
        <v>6</v>
      </c>
    </row>
    <row r="268" spans="1:9" x14ac:dyDescent="0.25">
      <c r="A268" s="124" t="s">
        <v>553</v>
      </c>
      <c r="B268" s="125" t="s">
        <v>2701</v>
      </c>
      <c r="C268" s="126" t="str">
        <f>RIGHT(PisCofinsAliquot[[#This Row],[Código NCM]],8)</f>
        <v>04014010</v>
      </c>
      <c r="D268" s="127"/>
      <c r="E268" s="128"/>
      <c r="F268" s="128" t="s">
        <v>4961</v>
      </c>
      <c r="G268" s="40">
        <v>0</v>
      </c>
      <c r="H268" s="40">
        <v>0</v>
      </c>
      <c r="I268">
        <f>IF(PisCofinsAliquot[[#This Row],[Classificação]]="Alíquota 0",6,IF(PisCofinsAliquot[[#This Row],[Classificação]]="Monofásico",4,IF(PisCofinsAliquot[[#This Row],[Classificação]]="Regra Geral",1,IF(PisCofinsAliquot[[#This Row],[Classificação]]="ST",5))))</f>
        <v>6</v>
      </c>
    </row>
    <row r="269" spans="1:9" x14ac:dyDescent="0.25">
      <c r="A269" s="124" t="s">
        <v>3306</v>
      </c>
      <c r="B269" s="125" t="s">
        <v>2701</v>
      </c>
      <c r="C269" s="126" t="str">
        <f>RIGHT(PisCofinsAliquot[[#This Row],[Código NCM]],8)</f>
        <v>04015010</v>
      </c>
      <c r="D269" s="127"/>
      <c r="E269" s="128"/>
      <c r="F269" s="128" t="s">
        <v>4961</v>
      </c>
      <c r="G269" s="40">
        <v>0</v>
      </c>
      <c r="H269" s="40">
        <v>0</v>
      </c>
      <c r="I269">
        <f>IF(PisCofinsAliquot[[#This Row],[Classificação]]="Alíquota 0",6,IF(PisCofinsAliquot[[#This Row],[Classificação]]="Monofásico",4,IF(PisCofinsAliquot[[#This Row],[Classificação]]="Regra Geral",1,IF(PisCofinsAliquot[[#This Row],[Classificação]]="ST",5))))</f>
        <v>6</v>
      </c>
    </row>
    <row r="270" spans="1:9" x14ac:dyDescent="0.25">
      <c r="A270" s="124" t="s">
        <v>3307</v>
      </c>
      <c r="B270" s="125" t="s">
        <v>2701</v>
      </c>
      <c r="C270" s="126" t="str">
        <f>RIGHT(PisCofinsAliquot[[#This Row],[Código NCM]],8)</f>
        <v>04021010</v>
      </c>
      <c r="D270" s="127"/>
      <c r="E270" s="128"/>
      <c r="F270" s="128" t="s">
        <v>4962</v>
      </c>
      <c r="G270" s="22">
        <v>0</v>
      </c>
      <c r="H270" s="22">
        <v>0</v>
      </c>
      <c r="I270">
        <f>IF(PisCofinsAliquot[[#This Row],[Classificação]]="Alíquota 0",6,IF(PisCofinsAliquot[[#This Row],[Classificação]]="Monofásico",4,IF(PisCofinsAliquot[[#This Row],[Classificação]]="Regra Geral",1,IF(PisCofinsAliquot[[#This Row],[Classificação]]="ST",5))))</f>
        <v>6</v>
      </c>
    </row>
    <row r="271" spans="1:9" x14ac:dyDescent="0.25">
      <c r="A271" s="124" t="s">
        <v>305</v>
      </c>
      <c r="B271" s="125" t="s">
        <v>2701</v>
      </c>
      <c r="C271" s="126" t="str">
        <f>RIGHT(PisCofinsAliquot[[#This Row],[Código NCM]],8)</f>
        <v>04021090</v>
      </c>
      <c r="D271" s="127"/>
      <c r="E271" s="128"/>
      <c r="F271" s="128" t="s">
        <v>4962</v>
      </c>
      <c r="G271" s="22">
        <v>0</v>
      </c>
      <c r="H271" s="22">
        <v>0</v>
      </c>
      <c r="I271">
        <f>IF(PisCofinsAliquot[[#This Row],[Classificação]]="Alíquota 0",6,IF(PisCofinsAliquot[[#This Row],[Classificação]]="Monofásico",4,IF(PisCofinsAliquot[[#This Row],[Classificação]]="Regra Geral",1,IF(PisCofinsAliquot[[#This Row],[Classificação]]="ST",5))))</f>
        <v>6</v>
      </c>
    </row>
    <row r="272" spans="1:9" x14ac:dyDescent="0.25">
      <c r="A272" s="124" t="s">
        <v>2733</v>
      </c>
      <c r="B272" s="125" t="s">
        <v>2701</v>
      </c>
      <c r="C272" s="126" t="str">
        <f>RIGHT(PisCofinsAliquot[[#This Row],[Código NCM]],8)</f>
        <v>04022110</v>
      </c>
      <c r="D272" s="127"/>
      <c r="E272" s="128"/>
      <c r="F272" s="128" t="s">
        <v>4962</v>
      </c>
      <c r="G272" s="22">
        <v>0</v>
      </c>
      <c r="H272" s="22">
        <v>0</v>
      </c>
      <c r="I272">
        <f>IF(PisCofinsAliquot[[#This Row],[Classificação]]="Alíquota 0",6,IF(PisCofinsAliquot[[#This Row],[Classificação]]="Monofásico",4,IF(PisCofinsAliquot[[#This Row],[Classificação]]="Regra Geral",1,IF(PisCofinsAliquot[[#This Row],[Classificação]]="ST",5))))</f>
        <v>6</v>
      </c>
    </row>
    <row r="273" spans="1:9" x14ac:dyDescent="0.25">
      <c r="A273" s="124" t="s">
        <v>3308</v>
      </c>
      <c r="B273" s="125" t="s">
        <v>2701</v>
      </c>
      <c r="C273" s="126" t="str">
        <f>RIGHT(PisCofinsAliquot[[#This Row],[Código NCM]],8)</f>
        <v>04022120</v>
      </c>
      <c r="D273" s="127"/>
      <c r="E273" s="128"/>
      <c r="F273" s="128" t="s">
        <v>4962</v>
      </c>
      <c r="G273" s="22">
        <v>0</v>
      </c>
      <c r="H273" s="22">
        <v>0</v>
      </c>
      <c r="I273">
        <f>IF(PisCofinsAliquot[[#This Row],[Classificação]]="Alíquota 0",6,IF(PisCofinsAliquot[[#This Row],[Classificação]]="Monofásico",4,IF(PisCofinsAliquot[[#This Row],[Classificação]]="Regra Geral",1,IF(PisCofinsAliquot[[#This Row],[Classificação]]="ST",5))))</f>
        <v>6</v>
      </c>
    </row>
    <row r="274" spans="1:9" x14ac:dyDescent="0.25">
      <c r="A274" s="124" t="s">
        <v>3309</v>
      </c>
      <c r="B274" s="125" t="s">
        <v>2701</v>
      </c>
      <c r="C274" s="126" t="str">
        <f>RIGHT(PisCofinsAliquot[[#This Row],[Código NCM]],8)</f>
        <v>04022910</v>
      </c>
      <c r="D274" s="127"/>
      <c r="E274" s="128"/>
      <c r="F274" s="128" t="s">
        <v>4963</v>
      </c>
      <c r="G274" s="22">
        <v>0</v>
      </c>
      <c r="H274" s="22">
        <v>0</v>
      </c>
      <c r="I274">
        <f>IF(PisCofinsAliquot[[#This Row],[Classificação]]="Alíquota 0",6,IF(PisCofinsAliquot[[#This Row],[Classificação]]="Monofásico",4,IF(PisCofinsAliquot[[#This Row],[Classificação]]="Regra Geral",1,IF(PisCofinsAliquot[[#This Row],[Classificação]]="ST",5))))</f>
        <v>6</v>
      </c>
    </row>
    <row r="275" spans="1:9" x14ac:dyDescent="0.25">
      <c r="A275" s="124" t="s">
        <v>3310</v>
      </c>
      <c r="B275" s="125" t="s">
        <v>2701</v>
      </c>
      <c r="C275" s="126" t="str">
        <f>RIGHT(PisCofinsAliquot[[#This Row],[Código NCM]],8)</f>
        <v>04022920</v>
      </c>
      <c r="D275" s="127"/>
      <c r="E275" s="128"/>
      <c r="F275" s="128" t="s">
        <v>4964</v>
      </c>
      <c r="G275" s="22">
        <v>0</v>
      </c>
      <c r="H275" s="22">
        <v>0</v>
      </c>
      <c r="I275">
        <f>IF(PisCofinsAliquot[[#This Row],[Classificação]]="Alíquota 0",6,IF(PisCofinsAliquot[[#This Row],[Classificação]]="Monofásico",4,IF(PisCofinsAliquot[[#This Row],[Classificação]]="Regra Geral",1,IF(PisCofinsAliquot[[#This Row],[Classificação]]="ST",5))))</f>
        <v>6</v>
      </c>
    </row>
    <row r="276" spans="1:9" x14ac:dyDescent="0.25">
      <c r="A276" s="124" t="s">
        <v>179</v>
      </c>
      <c r="B276" s="125" t="s">
        <v>2701</v>
      </c>
      <c r="C276" s="126" t="str">
        <f>RIGHT(PisCofinsAliquot[[#This Row],[Código NCM]],8)</f>
        <v>04031000</v>
      </c>
      <c r="D276" s="127"/>
      <c r="E276" s="128"/>
      <c r="F276" s="128" t="s">
        <v>4965</v>
      </c>
      <c r="G276" s="22">
        <v>0</v>
      </c>
      <c r="H276" s="22">
        <v>0</v>
      </c>
      <c r="I276">
        <f>IF(PisCofinsAliquot[[#This Row],[Classificação]]="Alíquota 0",6,IF(PisCofinsAliquot[[#This Row],[Classificação]]="Monofásico",4,IF(PisCofinsAliquot[[#This Row],[Classificação]]="Regra Geral",1,IF(PisCofinsAliquot[[#This Row],[Classificação]]="ST",5))))</f>
        <v>6</v>
      </c>
    </row>
    <row r="277" spans="1:9" x14ac:dyDescent="0.25">
      <c r="A277" s="133" t="s">
        <v>197</v>
      </c>
      <c r="B277" s="134" t="s">
        <v>2701</v>
      </c>
      <c r="C277" s="126" t="str">
        <f>RIGHT(PisCofinsAliquot[[#This Row],[Código NCM]],8)</f>
        <v>04039000</v>
      </c>
      <c r="D277" s="135"/>
      <c r="E277" s="136"/>
      <c r="F277" s="136" t="s">
        <v>4966</v>
      </c>
      <c r="G277" s="22">
        <v>0</v>
      </c>
      <c r="H277" s="22">
        <v>0</v>
      </c>
      <c r="I277">
        <f>IF(PisCofinsAliquot[[#This Row],[Classificação]]="Alíquota 0",6,IF(PisCofinsAliquot[[#This Row],[Classificação]]="Monofásico",4,IF(PisCofinsAliquot[[#This Row],[Classificação]]="Regra Geral",1,IF(PisCofinsAliquot[[#This Row],[Classificação]]="ST",5))))</f>
        <v>6</v>
      </c>
    </row>
    <row r="278" spans="1:9" ht="30" x14ac:dyDescent="0.25">
      <c r="A278" s="124" t="s">
        <v>212</v>
      </c>
      <c r="B278" s="125" t="s">
        <v>2701</v>
      </c>
      <c r="C278" s="126" t="str">
        <f>RIGHT(PisCofinsAliquot[[#This Row],[Código NCM]],8)</f>
        <v>04051000</v>
      </c>
      <c r="D278" s="127"/>
      <c r="E278" s="128"/>
      <c r="F278" s="129" t="s">
        <v>4967</v>
      </c>
      <c r="G278" s="22">
        <v>0</v>
      </c>
      <c r="H278" s="22">
        <v>0</v>
      </c>
      <c r="I278">
        <f>IF(PisCofinsAliquot[[#This Row],[Classificação]]="Alíquota 0",6,IF(PisCofinsAliquot[[#This Row],[Classificação]]="Monofásico",4,IF(PisCofinsAliquot[[#This Row],[Classificação]]="Regra Geral",1,IF(PisCofinsAliquot[[#This Row],[Classificação]]="ST",5))))</f>
        <v>6</v>
      </c>
    </row>
    <row r="279" spans="1:9" x14ac:dyDescent="0.25">
      <c r="A279" s="124" t="s">
        <v>181</v>
      </c>
      <c r="B279" s="125" t="s">
        <v>2701</v>
      </c>
      <c r="C279" s="126" t="str">
        <f>RIGHT(PisCofinsAliquot[[#This Row],[Código NCM]],8)</f>
        <v>04061010</v>
      </c>
      <c r="D279" s="127"/>
      <c r="E279" s="128"/>
      <c r="F279" s="128" t="s">
        <v>4968</v>
      </c>
      <c r="G279" s="22">
        <v>0</v>
      </c>
      <c r="H279" s="22">
        <v>0</v>
      </c>
      <c r="I279">
        <f>IF(PisCofinsAliquot[[#This Row],[Classificação]]="Alíquota 0",6,IF(PisCofinsAliquot[[#This Row],[Classificação]]="Monofásico",4,IF(PisCofinsAliquot[[#This Row],[Classificação]]="Regra Geral",1,IF(PisCofinsAliquot[[#This Row],[Classificação]]="ST",5))))</f>
        <v>6</v>
      </c>
    </row>
    <row r="280" spans="1:9" ht="75" x14ac:dyDescent="0.25">
      <c r="A280" s="133" t="s">
        <v>178</v>
      </c>
      <c r="B280" s="134" t="s">
        <v>2701</v>
      </c>
      <c r="C280" s="126" t="str">
        <f>RIGHT(PisCofinsAliquot[[#This Row],[Código NCM]],8)</f>
        <v>04061090</v>
      </c>
      <c r="D280" s="137"/>
      <c r="E280" s="138"/>
      <c r="F280" s="139" t="s">
        <v>4969</v>
      </c>
      <c r="G280" s="22">
        <v>0</v>
      </c>
      <c r="H280" s="22">
        <v>0</v>
      </c>
      <c r="I280">
        <f>IF(PisCofinsAliquot[[#This Row],[Classificação]]="Alíquota 0",6,IF(PisCofinsAliquot[[#This Row],[Classificação]]="Monofásico",4,IF(PisCofinsAliquot[[#This Row],[Classificação]]="Regra Geral",1,IF(PisCofinsAliquot[[#This Row],[Classificação]]="ST",5))))</f>
        <v>6</v>
      </c>
    </row>
    <row r="281" spans="1:9" ht="75" x14ac:dyDescent="0.25">
      <c r="A281" s="133" t="s">
        <v>217</v>
      </c>
      <c r="B281" s="134" t="s">
        <v>2701</v>
      </c>
      <c r="C281" s="126" t="str">
        <f>RIGHT(PisCofinsAliquot[[#This Row],[Código NCM]],8)</f>
        <v>04062000</v>
      </c>
      <c r="D281" s="137"/>
      <c r="E281" s="138"/>
      <c r="F281" s="139" t="s">
        <v>4969</v>
      </c>
      <c r="G281" s="22">
        <v>0</v>
      </c>
      <c r="H281" s="22">
        <v>0</v>
      </c>
      <c r="I281">
        <f>IF(PisCofinsAliquot[[#This Row],[Classificação]]="Alíquota 0",6,IF(PisCofinsAliquot[[#This Row],[Classificação]]="Monofásico",4,IF(PisCofinsAliquot[[#This Row],[Classificação]]="Regra Geral",1,IF(PisCofinsAliquot[[#This Row],[Classificação]]="ST",5))))</f>
        <v>6</v>
      </c>
    </row>
    <row r="282" spans="1:9" ht="75" x14ac:dyDescent="0.25">
      <c r="A282" s="133" t="s">
        <v>276</v>
      </c>
      <c r="B282" s="134" t="s">
        <v>2701</v>
      </c>
      <c r="C282" s="126" t="str">
        <f>RIGHT(PisCofinsAliquot[[#This Row],[Código NCM]],8)</f>
        <v>04069010</v>
      </c>
      <c r="D282" s="137"/>
      <c r="E282" s="138"/>
      <c r="F282" s="139" t="s">
        <v>4969</v>
      </c>
      <c r="G282" s="22">
        <v>0</v>
      </c>
      <c r="H282" s="22">
        <v>0</v>
      </c>
      <c r="I282">
        <f>IF(PisCofinsAliquot[[#This Row],[Classificação]]="Alíquota 0",6,IF(PisCofinsAliquot[[#This Row],[Classificação]]="Monofásico",4,IF(PisCofinsAliquot[[#This Row],[Classificação]]="Regra Geral",1,IF(PisCofinsAliquot[[#This Row],[Classificação]]="ST",5))))</f>
        <v>6</v>
      </c>
    </row>
    <row r="283" spans="1:9" ht="75" x14ac:dyDescent="0.25">
      <c r="A283" s="133" t="s">
        <v>248</v>
      </c>
      <c r="B283" s="134" t="s">
        <v>2701</v>
      </c>
      <c r="C283" s="126" t="str">
        <f>RIGHT(PisCofinsAliquot[[#This Row],[Código NCM]],8)</f>
        <v>04069020</v>
      </c>
      <c r="D283" s="137"/>
      <c r="E283" s="138"/>
      <c r="F283" s="139" t="s">
        <v>4969</v>
      </c>
      <c r="G283" s="22">
        <v>0</v>
      </c>
      <c r="H283" s="22">
        <v>0</v>
      </c>
      <c r="I283">
        <f>IF(PisCofinsAliquot[[#This Row],[Classificação]]="Alíquota 0",6,IF(PisCofinsAliquot[[#This Row],[Classificação]]="Monofásico",4,IF(PisCofinsAliquot[[#This Row],[Classificação]]="Regra Geral",1,IF(PisCofinsAliquot[[#This Row],[Classificação]]="ST",5))))</f>
        <v>6</v>
      </c>
    </row>
    <row r="284" spans="1:9" ht="75" x14ac:dyDescent="0.25">
      <c r="A284" s="133" t="s">
        <v>3311</v>
      </c>
      <c r="B284" s="134" t="s">
        <v>2701</v>
      </c>
      <c r="C284" s="126" t="str">
        <f>RIGHT(PisCofinsAliquot[[#This Row],[Código NCM]],8)</f>
        <v>04069030</v>
      </c>
      <c r="D284" s="137"/>
      <c r="E284" s="138"/>
      <c r="F284" s="139" t="s">
        <v>4969</v>
      </c>
      <c r="G284" s="3">
        <v>0</v>
      </c>
      <c r="H284" s="3">
        <v>0</v>
      </c>
      <c r="I284">
        <f>IF(PisCofinsAliquot[[#This Row],[Classificação]]="Alíquota 0",6,IF(PisCofinsAliquot[[#This Row],[Classificação]]="Monofásico",4,IF(PisCofinsAliquot[[#This Row],[Classificação]]="Regra Geral",1,IF(PisCofinsAliquot[[#This Row],[Classificação]]="ST",5))))</f>
        <v>6</v>
      </c>
    </row>
    <row r="285" spans="1:9" ht="75" x14ac:dyDescent="0.25">
      <c r="A285" s="133" t="s">
        <v>3312</v>
      </c>
      <c r="B285" s="134" t="s">
        <v>2701</v>
      </c>
      <c r="C285" s="126" t="str">
        <f>RIGHT(PisCofinsAliquot[[#This Row],[Código NCM]],8)</f>
        <v>04069090</v>
      </c>
      <c r="D285" s="137"/>
      <c r="E285" s="138"/>
      <c r="F285" s="139" t="s">
        <v>4969</v>
      </c>
      <c r="G285" s="3">
        <v>0</v>
      </c>
      <c r="H285" s="3">
        <v>0</v>
      </c>
      <c r="I285">
        <f>IF(PisCofinsAliquot[[#This Row],[Classificação]]="Alíquota 0",6,IF(PisCofinsAliquot[[#This Row],[Classificação]]="Monofásico",4,IF(PisCofinsAliquot[[#This Row],[Classificação]]="Regra Geral",1,IF(PisCofinsAliquot[[#This Row],[Classificação]]="ST",5))))</f>
        <v>6</v>
      </c>
    </row>
    <row r="286" spans="1:9" x14ac:dyDescent="0.25">
      <c r="A286" s="124" t="s">
        <v>3313</v>
      </c>
      <c r="B286" s="125" t="s">
        <v>2701</v>
      </c>
      <c r="C286" s="126" t="str">
        <f>RIGHT(PisCofinsAliquot[[#This Row],[Código NCM]],8)</f>
        <v>04070011</v>
      </c>
      <c r="D286" s="127"/>
      <c r="E286" s="128"/>
      <c r="F286" s="140" t="s">
        <v>4970</v>
      </c>
      <c r="G286" s="22">
        <v>0</v>
      </c>
      <c r="H286" s="22">
        <v>0</v>
      </c>
      <c r="I286">
        <f>IF(PisCofinsAliquot[[#This Row],[Classificação]]="Alíquota 0",6,IF(PisCofinsAliquot[[#This Row],[Classificação]]="Monofásico",4,IF(PisCofinsAliquot[[#This Row],[Classificação]]="Regra Geral",1,IF(PisCofinsAliquot[[#This Row],[Classificação]]="ST",5))))</f>
        <v>6</v>
      </c>
    </row>
    <row r="287" spans="1:9" x14ac:dyDescent="0.25">
      <c r="A287" s="124" t="s">
        <v>285</v>
      </c>
      <c r="B287" s="125" t="s">
        <v>2701</v>
      </c>
      <c r="C287" s="126" t="str">
        <f>RIGHT(PisCofinsAliquot[[#This Row],[Código NCM]],8)</f>
        <v>04071900</v>
      </c>
      <c r="D287" s="127"/>
      <c r="E287" s="128"/>
      <c r="F287" s="140" t="s">
        <v>4970</v>
      </c>
      <c r="G287" s="22">
        <v>0</v>
      </c>
      <c r="H287" s="22">
        <v>0</v>
      </c>
      <c r="I287">
        <f>IF(PisCofinsAliquot[[#This Row],[Classificação]]="Alíquota 0",6,IF(PisCofinsAliquot[[#This Row],[Classificação]]="Monofásico",4,IF(PisCofinsAliquot[[#This Row],[Classificação]]="Regra Geral",1,IF(PisCofinsAliquot[[#This Row],[Classificação]]="ST",5))))</f>
        <v>6</v>
      </c>
    </row>
    <row r="288" spans="1:9" x14ac:dyDescent="0.25">
      <c r="A288" s="124" t="s">
        <v>176</v>
      </c>
      <c r="B288" s="125" t="s">
        <v>2701</v>
      </c>
      <c r="C288" s="126" t="str">
        <f>RIGHT(PisCofinsAliquot[[#This Row],[Código NCM]],8)</f>
        <v>04072100</v>
      </c>
      <c r="D288" s="127"/>
      <c r="E288" s="128"/>
      <c r="F288" s="140" t="s">
        <v>4970</v>
      </c>
      <c r="G288" s="22">
        <v>0</v>
      </c>
      <c r="H288" s="22">
        <v>0</v>
      </c>
      <c r="I288">
        <f>IF(PisCofinsAliquot[[#This Row],[Classificação]]="Alíquota 0",6,IF(PisCofinsAliquot[[#This Row],[Classificação]]="Monofásico",4,IF(PisCofinsAliquot[[#This Row],[Classificação]]="Regra Geral",1,IF(PisCofinsAliquot[[#This Row],[Classificação]]="ST",5))))</f>
        <v>6</v>
      </c>
    </row>
    <row r="289" spans="1:9" x14ac:dyDescent="0.25">
      <c r="A289" s="124" t="s">
        <v>241</v>
      </c>
      <c r="B289" s="125" t="s">
        <v>2701</v>
      </c>
      <c r="C289" s="126" t="str">
        <f>RIGHT(PisCofinsAliquot[[#This Row],[Código NCM]],8)</f>
        <v>04072900</v>
      </c>
      <c r="D289" s="127"/>
      <c r="E289" s="128"/>
      <c r="F289" s="140" t="s">
        <v>4970</v>
      </c>
      <c r="G289" s="22">
        <v>0</v>
      </c>
      <c r="H289" s="22">
        <v>0</v>
      </c>
      <c r="I289">
        <f>IF(PisCofinsAliquot[[#This Row],[Classificação]]="Alíquota 0",6,IF(PisCofinsAliquot[[#This Row],[Classificação]]="Monofásico",4,IF(PisCofinsAliquot[[#This Row],[Classificação]]="Regra Geral",1,IF(PisCofinsAliquot[[#This Row],[Classificação]]="ST",5))))</f>
        <v>6</v>
      </c>
    </row>
    <row r="290" spans="1:9" x14ac:dyDescent="0.25">
      <c r="A290" s="124" t="s">
        <v>349</v>
      </c>
      <c r="B290" s="125" t="s">
        <v>2701</v>
      </c>
      <c r="C290" s="126" t="str">
        <f>RIGHT(PisCofinsAliquot[[#This Row],[Código NCM]],8)</f>
        <v>04079000</v>
      </c>
      <c r="D290" s="127"/>
      <c r="E290" s="128"/>
      <c r="F290" s="140" t="s">
        <v>4970</v>
      </c>
      <c r="G290" s="3"/>
      <c r="H290" s="3"/>
      <c r="I290">
        <f>IF(PisCofinsAliquot[[#This Row],[Classificação]]="Alíquota 0",6,IF(PisCofinsAliquot[[#This Row],[Classificação]]="Monofásico",4,IF(PisCofinsAliquot[[#This Row],[Classificação]]="Regra Geral",1,IF(PisCofinsAliquot[[#This Row],[Classificação]]="ST",5))))</f>
        <v>6</v>
      </c>
    </row>
    <row r="291" spans="1:9" x14ac:dyDescent="0.25">
      <c r="A291" s="124" t="s">
        <v>163</v>
      </c>
      <c r="B291" s="125" t="s">
        <v>2701</v>
      </c>
      <c r="C291" s="126" t="str">
        <f>RIGHT(PisCofinsAliquot[[#This Row],[Código NCM]],8)</f>
        <v>07019000</v>
      </c>
      <c r="D291" s="127"/>
      <c r="E291" s="128"/>
      <c r="F291" s="128" t="s">
        <v>4971</v>
      </c>
      <c r="G291" s="22">
        <v>0</v>
      </c>
      <c r="H291" s="22">
        <v>0</v>
      </c>
      <c r="I291">
        <f>IF(PisCofinsAliquot[[#This Row],[Classificação]]="Alíquota 0",6,IF(PisCofinsAliquot[[#This Row],[Classificação]]="Monofásico",4,IF(PisCofinsAliquot[[#This Row],[Classificação]]="Regra Geral",1,IF(PisCofinsAliquot[[#This Row],[Classificação]]="ST",5))))</f>
        <v>6</v>
      </c>
    </row>
    <row r="292" spans="1:9" x14ac:dyDescent="0.25">
      <c r="A292" s="124" t="s">
        <v>2712</v>
      </c>
      <c r="B292" s="125" t="s">
        <v>2701</v>
      </c>
      <c r="C292" s="126" t="str">
        <f>RIGHT(PisCofinsAliquot[[#This Row],[Código NCM]],8)</f>
        <v>07020000</v>
      </c>
      <c r="D292" s="127"/>
      <c r="E292" s="128"/>
      <c r="F292" s="128" t="s">
        <v>4972</v>
      </c>
      <c r="G292" s="22">
        <v>0</v>
      </c>
      <c r="H292" s="22">
        <v>0</v>
      </c>
      <c r="I292">
        <f>IF(PisCofinsAliquot[[#This Row],[Classificação]]="Alíquota 0",6,IF(PisCofinsAliquot[[#This Row],[Classificação]]="Monofásico",4,IF(PisCofinsAliquot[[#This Row],[Classificação]]="Regra Geral",1,IF(PisCofinsAliquot[[#This Row],[Classificação]]="ST",5))))</f>
        <v>6</v>
      </c>
    </row>
    <row r="293" spans="1:9" x14ac:dyDescent="0.25">
      <c r="A293" s="124" t="s">
        <v>2707</v>
      </c>
      <c r="B293" s="125" t="s">
        <v>2701</v>
      </c>
      <c r="C293" s="126" t="str">
        <f>RIGHT(PisCofinsAliquot[[#This Row],[Código NCM]],8)</f>
        <v>07031019</v>
      </c>
      <c r="D293" s="127"/>
      <c r="E293" s="128"/>
      <c r="F293" s="128" t="s">
        <v>4973</v>
      </c>
      <c r="G293" s="22">
        <v>0</v>
      </c>
      <c r="H293" s="22">
        <v>0</v>
      </c>
      <c r="I293">
        <f>IF(PisCofinsAliquot[[#This Row],[Classificação]]="Alíquota 0",6,IF(PisCofinsAliquot[[#This Row],[Classificação]]="Monofásico",4,IF(PisCofinsAliquot[[#This Row],[Classificação]]="Regra Geral",1,IF(PisCofinsAliquot[[#This Row],[Classificação]]="ST",5))))</f>
        <v>6</v>
      </c>
    </row>
    <row r="294" spans="1:9" x14ac:dyDescent="0.25">
      <c r="A294" s="124" t="s">
        <v>170</v>
      </c>
      <c r="B294" s="125" t="s">
        <v>2701</v>
      </c>
      <c r="C294" s="126" t="str">
        <f>RIGHT(PisCofinsAliquot[[#This Row],[Código NCM]],8)</f>
        <v>07032090</v>
      </c>
      <c r="D294" s="127"/>
      <c r="E294" s="128"/>
      <c r="F294" s="128" t="s">
        <v>4974</v>
      </c>
      <c r="G294" s="22">
        <v>0</v>
      </c>
      <c r="H294" s="22">
        <v>0</v>
      </c>
      <c r="I294">
        <f>IF(PisCofinsAliquot[[#This Row],[Classificação]]="Alíquota 0",6,IF(PisCofinsAliquot[[#This Row],[Classificação]]="Monofásico",4,IF(PisCofinsAliquot[[#This Row],[Classificação]]="Regra Geral",1,IF(PisCofinsAliquot[[#This Row],[Classificação]]="ST",5))))</f>
        <v>6</v>
      </c>
    </row>
    <row r="295" spans="1:9" x14ac:dyDescent="0.25">
      <c r="A295" s="124" t="s">
        <v>3315</v>
      </c>
      <c r="B295" s="125" t="s">
        <v>2701</v>
      </c>
      <c r="C295" s="126" t="str">
        <f>RIGHT(PisCofinsAliquot[[#This Row],[Código NCM]],8)</f>
        <v>07039090</v>
      </c>
      <c r="D295" s="127"/>
      <c r="E295" s="128"/>
      <c r="F295" s="128" t="s">
        <v>4975</v>
      </c>
      <c r="G295" s="22">
        <v>0</v>
      </c>
      <c r="H295" s="22">
        <v>0</v>
      </c>
      <c r="I295">
        <f>IF(PisCofinsAliquot[[#This Row],[Classificação]]="Alíquota 0",6,IF(PisCofinsAliquot[[#This Row],[Classificação]]="Monofásico",4,IF(PisCofinsAliquot[[#This Row],[Classificação]]="Regra Geral",1,IF(PisCofinsAliquot[[#This Row],[Classificação]]="ST",5))))</f>
        <v>6</v>
      </c>
    </row>
    <row r="296" spans="1:9" x14ac:dyDescent="0.25">
      <c r="A296" s="124" t="s">
        <v>2705</v>
      </c>
      <c r="B296" s="125" t="s">
        <v>2701</v>
      </c>
      <c r="C296" s="126" t="str">
        <f>RIGHT(PisCofinsAliquot[[#This Row],[Código NCM]],8)</f>
        <v>07041000</v>
      </c>
      <c r="D296" s="127"/>
      <c r="E296" s="128"/>
      <c r="F296" s="128" t="s">
        <v>4976</v>
      </c>
      <c r="G296" s="22">
        <v>0</v>
      </c>
      <c r="H296" s="22">
        <v>0</v>
      </c>
      <c r="I296">
        <f>IF(PisCofinsAliquot[[#This Row],[Classificação]]="Alíquota 0",6,IF(PisCofinsAliquot[[#This Row],[Classificação]]="Monofásico",4,IF(PisCofinsAliquot[[#This Row],[Classificação]]="Regra Geral",1,IF(PisCofinsAliquot[[#This Row],[Classificação]]="ST",5))))</f>
        <v>6</v>
      </c>
    </row>
    <row r="297" spans="1:9" x14ac:dyDescent="0.25">
      <c r="A297" s="124" t="s">
        <v>2715</v>
      </c>
      <c r="B297" s="125" t="s">
        <v>2701</v>
      </c>
      <c r="C297" s="126" t="str">
        <f>RIGHT(PisCofinsAliquot[[#This Row],[Código NCM]],8)</f>
        <v>07049000</v>
      </c>
      <c r="D297" s="127"/>
      <c r="E297" s="128"/>
      <c r="F297" s="128" t="s">
        <v>4977</v>
      </c>
      <c r="G297" s="22">
        <v>0</v>
      </c>
      <c r="H297" s="22">
        <v>0</v>
      </c>
      <c r="I297">
        <f>IF(PisCofinsAliquot[[#This Row],[Classificação]]="Alíquota 0",6,IF(PisCofinsAliquot[[#This Row],[Classificação]]="Monofásico",4,IF(PisCofinsAliquot[[#This Row],[Classificação]]="Regra Geral",1,IF(PisCofinsAliquot[[#This Row],[Classificação]]="ST",5))))</f>
        <v>6</v>
      </c>
    </row>
    <row r="298" spans="1:9" x14ac:dyDescent="0.25">
      <c r="A298" s="124" t="s">
        <v>541</v>
      </c>
      <c r="B298" s="125" t="s">
        <v>2701</v>
      </c>
      <c r="C298" s="126" t="str">
        <f>RIGHT(PisCofinsAliquot[[#This Row],[Código NCM]],8)</f>
        <v>07051100</v>
      </c>
      <c r="D298" s="127"/>
      <c r="E298" s="128"/>
      <c r="F298" s="128" t="s">
        <v>4978</v>
      </c>
      <c r="G298" s="22">
        <v>0</v>
      </c>
      <c r="H298" s="22">
        <v>0</v>
      </c>
      <c r="I298">
        <f>IF(PisCofinsAliquot[[#This Row],[Classificação]]="Alíquota 0",6,IF(PisCofinsAliquot[[#This Row],[Classificação]]="Monofásico",4,IF(PisCofinsAliquot[[#This Row],[Classificação]]="Regra Geral",1,IF(PisCofinsAliquot[[#This Row],[Classificação]]="ST",5))))</f>
        <v>6</v>
      </c>
    </row>
    <row r="299" spans="1:9" x14ac:dyDescent="0.25">
      <c r="A299" s="124" t="s">
        <v>209</v>
      </c>
      <c r="B299" s="125" t="s">
        <v>2701</v>
      </c>
      <c r="C299" s="126" t="str">
        <f>RIGHT(PisCofinsAliquot[[#This Row],[Código NCM]],8)</f>
        <v>07051900</v>
      </c>
      <c r="D299" s="127"/>
      <c r="E299" s="128"/>
      <c r="F299" s="128" t="s">
        <v>4979</v>
      </c>
      <c r="G299" s="22">
        <v>0</v>
      </c>
      <c r="H299" s="22">
        <v>0</v>
      </c>
      <c r="I299">
        <f>IF(PisCofinsAliquot[[#This Row],[Classificação]]="Alíquota 0",6,IF(PisCofinsAliquot[[#This Row],[Classificação]]="Monofásico",4,IF(PisCofinsAliquot[[#This Row],[Classificação]]="Regra Geral",1,IF(PisCofinsAliquot[[#This Row],[Classificação]]="ST",5))))</f>
        <v>6</v>
      </c>
    </row>
    <row r="300" spans="1:9" x14ac:dyDescent="0.25">
      <c r="A300" s="124" t="s">
        <v>2740</v>
      </c>
      <c r="B300" s="125" t="s">
        <v>2701</v>
      </c>
      <c r="C300" s="126" t="str">
        <f>RIGHT(PisCofinsAliquot[[#This Row],[Código NCM]],8)</f>
        <v>07052900</v>
      </c>
      <c r="D300" s="127"/>
      <c r="E300" s="128"/>
      <c r="F300" s="128" t="s">
        <v>4980</v>
      </c>
      <c r="G300" s="22">
        <v>0</v>
      </c>
      <c r="H300" s="22">
        <v>0</v>
      </c>
      <c r="I300">
        <f>IF(PisCofinsAliquot[[#This Row],[Classificação]]="Alíquota 0",6,IF(PisCofinsAliquot[[#This Row],[Classificação]]="Monofásico",4,IF(PisCofinsAliquot[[#This Row],[Classificação]]="Regra Geral",1,IF(PisCofinsAliquot[[#This Row],[Classificação]]="ST",5))))</f>
        <v>6</v>
      </c>
    </row>
    <row r="301" spans="1:9" x14ac:dyDescent="0.25">
      <c r="A301" s="124" t="s">
        <v>2710</v>
      </c>
      <c r="B301" s="125" t="s">
        <v>2701</v>
      </c>
      <c r="C301" s="126" t="str">
        <f>RIGHT(PisCofinsAliquot[[#This Row],[Código NCM]],8)</f>
        <v>07061000</v>
      </c>
      <c r="D301" s="127"/>
      <c r="E301" s="128"/>
      <c r="F301" s="128" t="s">
        <v>4981</v>
      </c>
      <c r="G301" s="22">
        <v>0</v>
      </c>
      <c r="H301" s="22">
        <v>0</v>
      </c>
      <c r="I301">
        <f>IF(PisCofinsAliquot[[#This Row],[Classificação]]="Alíquota 0",6,IF(PisCofinsAliquot[[#This Row],[Classificação]]="Monofásico",4,IF(PisCofinsAliquot[[#This Row],[Classificação]]="Regra Geral",1,IF(PisCofinsAliquot[[#This Row],[Classificação]]="ST",5))))</f>
        <v>6</v>
      </c>
    </row>
    <row r="302" spans="1:9" x14ac:dyDescent="0.25">
      <c r="A302" s="124" t="s">
        <v>2718</v>
      </c>
      <c r="B302" s="125" t="s">
        <v>2701</v>
      </c>
      <c r="C302" s="126" t="str">
        <f>RIGHT(PisCofinsAliquot[[#This Row],[Código NCM]],8)</f>
        <v>07069000</v>
      </c>
      <c r="D302" s="127"/>
      <c r="E302" s="128"/>
      <c r="F302" s="128" t="s">
        <v>4982</v>
      </c>
      <c r="G302" s="22">
        <v>0</v>
      </c>
      <c r="H302" s="22">
        <v>0</v>
      </c>
      <c r="I302">
        <f>IF(PisCofinsAliquot[[#This Row],[Classificação]]="Alíquota 0",6,IF(PisCofinsAliquot[[#This Row],[Classificação]]="Monofásico",4,IF(PisCofinsAliquot[[#This Row],[Classificação]]="Regra Geral",1,IF(PisCofinsAliquot[[#This Row],[Classificação]]="ST",5))))</f>
        <v>6</v>
      </c>
    </row>
    <row r="303" spans="1:9" x14ac:dyDescent="0.25">
      <c r="A303" s="124" t="s">
        <v>2736</v>
      </c>
      <c r="B303" s="125" t="s">
        <v>2701</v>
      </c>
      <c r="C303" s="126" t="str">
        <f>RIGHT(PisCofinsAliquot[[#This Row],[Código NCM]],8)</f>
        <v>07070000</v>
      </c>
      <c r="D303" s="127"/>
      <c r="E303" s="128"/>
      <c r="F303" s="128" t="s">
        <v>4983</v>
      </c>
      <c r="G303" s="22">
        <v>0</v>
      </c>
      <c r="H303" s="22">
        <v>0</v>
      </c>
      <c r="I303">
        <f>IF(PisCofinsAliquot[[#This Row],[Classificação]]="Alíquota 0",6,IF(PisCofinsAliquot[[#This Row],[Classificação]]="Monofásico",4,IF(PisCofinsAliquot[[#This Row],[Classificação]]="Regra Geral",1,IF(PisCofinsAliquot[[#This Row],[Classificação]]="ST",5))))</f>
        <v>6</v>
      </c>
    </row>
    <row r="304" spans="1:9" x14ac:dyDescent="0.25">
      <c r="A304" s="124" t="s">
        <v>3391</v>
      </c>
      <c r="B304" s="125" t="s">
        <v>2701</v>
      </c>
      <c r="C304" s="126" t="str">
        <f>RIGHT(PisCofinsAliquot[[#This Row],[Código NCM]],8)</f>
        <v>07082000</v>
      </c>
      <c r="D304" s="127"/>
      <c r="E304" s="128"/>
      <c r="F304" s="128" t="s">
        <v>4984</v>
      </c>
      <c r="G304" s="3"/>
      <c r="H304" s="3"/>
      <c r="I304">
        <f>IF(PisCofinsAliquot[[#This Row],[Classificação]]="Alíquota 0",6,IF(PisCofinsAliquot[[#This Row],[Classificação]]="Monofásico",4,IF(PisCofinsAliquot[[#This Row],[Classificação]]="Regra Geral",1,IF(PisCofinsAliquot[[#This Row],[Classificação]]="ST",5))))</f>
        <v>6</v>
      </c>
    </row>
    <row r="305" spans="1:9" x14ac:dyDescent="0.25">
      <c r="A305" s="124" t="s">
        <v>226</v>
      </c>
      <c r="B305" s="125" t="s">
        <v>2701</v>
      </c>
      <c r="C305" s="126" t="str">
        <f>RIGHT(PisCofinsAliquot[[#This Row],[Código NCM]],8)</f>
        <v>07089000</v>
      </c>
      <c r="D305" s="127"/>
      <c r="E305" s="128"/>
      <c r="F305" s="128" t="s">
        <v>4985</v>
      </c>
      <c r="G305" s="22">
        <v>0</v>
      </c>
      <c r="H305" s="22">
        <v>0</v>
      </c>
      <c r="I305">
        <f>IF(PisCofinsAliquot[[#This Row],[Classificação]]="Alíquota 0",6,IF(PisCofinsAliquot[[#This Row],[Classificação]]="Monofásico",4,IF(PisCofinsAliquot[[#This Row],[Classificação]]="Regra Geral",1,IF(PisCofinsAliquot[[#This Row],[Classificação]]="ST",5))))</f>
        <v>6</v>
      </c>
    </row>
    <row r="306" spans="1:9" x14ac:dyDescent="0.25">
      <c r="A306" s="130" t="s">
        <v>4632</v>
      </c>
      <c r="B306" s="125" t="s">
        <v>2701</v>
      </c>
      <c r="C306" s="126" t="str">
        <f>RIGHT(PisCofinsAliquot[[#This Row],[Código NCM]],8)</f>
        <v>07092000</v>
      </c>
      <c r="D306" s="128"/>
      <c r="E306" s="128"/>
      <c r="F306" s="128" t="s">
        <v>4986</v>
      </c>
      <c r="G306" s="22"/>
      <c r="H306" s="22"/>
      <c r="I306">
        <f>IF(PisCofinsAliquot[[#This Row],[Classificação]]="Alíquota 0",6,IF(PisCofinsAliquot[[#This Row],[Classificação]]="Monofásico",4,IF(PisCofinsAliquot[[#This Row],[Classificação]]="Regra Geral",1,IF(PisCofinsAliquot[[#This Row],[Classificação]]="ST",5))))</f>
        <v>6</v>
      </c>
    </row>
    <row r="307" spans="1:9" x14ac:dyDescent="0.25">
      <c r="A307" s="124" t="s">
        <v>2722</v>
      </c>
      <c r="B307" s="125" t="s">
        <v>2701</v>
      </c>
      <c r="C307" s="126" t="str">
        <f>RIGHT(PisCofinsAliquot[[#This Row],[Código NCM]],8)</f>
        <v>07093000</v>
      </c>
      <c r="D307" s="127"/>
      <c r="E307" s="128"/>
      <c r="F307" s="128" t="s">
        <v>4987</v>
      </c>
      <c r="G307" s="22">
        <v>0</v>
      </c>
      <c r="H307" s="22">
        <v>0</v>
      </c>
      <c r="I307">
        <f>IF(PisCofinsAliquot[[#This Row],[Classificação]]="Alíquota 0",6,IF(PisCofinsAliquot[[#This Row],[Classificação]]="Monofásico",4,IF(PisCofinsAliquot[[#This Row],[Classificação]]="Regra Geral",1,IF(PisCofinsAliquot[[#This Row],[Classificação]]="ST",5))))</f>
        <v>6</v>
      </c>
    </row>
    <row r="308" spans="1:9" x14ac:dyDescent="0.25">
      <c r="A308" s="124" t="s">
        <v>3316</v>
      </c>
      <c r="B308" s="125" t="s">
        <v>2701</v>
      </c>
      <c r="C308" s="126" t="str">
        <f>RIGHT(PisCofinsAliquot[[#This Row],[Código NCM]],8)</f>
        <v>07095100</v>
      </c>
      <c r="D308" s="127"/>
      <c r="E308" s="128"/>
      <c r="F308" s="128" t="s">
        <v>4988</v>
      </c>
      <c r="G308" s="3">
        <v>0</v>
      </c>
      <c r="H308" s="3">
        <v>0</v>
      </c>
      <c r="I308">
        <f>IF(PisCofinsAliquot[[#This Row],[Classificação]]="Alíquota 0",6,IF(PisCofinsAliquot[[#This Row],[Classificação]]="Monofásico",4,IF(PisCofinsAliquot[[#This Row],[Classificação]]="Regra Geral",1,IF(PisCofinsAliquot[[#This Row],[Classificação]]="ST",5))))</f>
        <v>6</v>
      </c>
    </row>
    <row r="309" spans="1:9" x14ac:dyDescent="0.25">
      <c r="A309" s="124" t="s">
        <v>3392</v>
      </c>
      <c r="B309" s="125" t="s">
        <v>2701</v>
      </c>
      <c r="C309" s="126" t="str">
        <f>RIGHT(PisCofinsAliquot[[#This Row],[Código NCM]],8)</f>
        <v>07095900</v>
      </c>
      <c r="D309" s="127"/>
      <c r="E309" s="128"/>
      <c r="F309" s="128" t="s">
        <v>4989</v>
      </c>
      <c r="G309" s="3"/>
      <c r="H309" s="3"/>
      <c r="I309">
        <f>IF(PisCofinsAliquot[[#This Row],[Classificação]]="Alíquota 0",6,IF(PisCofinsAliquot[[#This Row],[Classificação]]="Monofásico",4,IF(PisCofinsAliquot[[#This Row],[Classificação]]="Regra Geral",1,IF(PisCofinsAliquot[[#This Row],[Classificação]]="ST",5))))</f>
        <v>6</v>
      </c>
    </row>
    <row r="310" spans="1:9" x14ac:dyDescent="0.25">
      <c r="A310" s="124" t="s">
        <v>2732</v>
      </c>
      <c r="B310" s="125" t="s">
        <v>2701</v>
      </c>
      <c r="C310" s="126" t="str">
        <f>RIGHT(PisCofinsAliquot[[#This Row],[Código NCM]],8)</f>
        <v>07096000</v>
      </c>
      <c r="D310" s="127"/>
      <c r="E310" s="128"/>
      <c r="F310" s="128" t="s">
        <v>4990</v>
      </c>
      <c r="G310" s="22">
        <v>0</v>
      </c>
      <c r="H310" s="22">
        <v>0</v>
      </c>
      <c r="I310">
        <f>IF(PisCofinsAliquot[[#This Row],[Classificação]]="Alíquota 0",6,IF(PisCofinsAliquot[[#This Row],[Classificação]]="Monofásico",4,IF(PisCofinsAliquot[[#This Row],[Classificação]]="Regra Geral",1,IF(PisCofinsAliquot[[#This Row],[Classificação]]="ST",5))))</f>
        <v>6</v>
      </c>
    </row>
    <row r="311" spans="1:9" x14ac:dyDescent="0.25">
      <c r="A311" s="124" t="s">
        <v>284</v>
      </c>
      <c r="B311" s="125" t="s">
        <v>2701</v>
      </c>
      <c r="C311" s="126" t="str">
        <f>RIGHT(PisCofinsAliquot[[#This Row],[Código NCM]],8)</f>
        <v>07097000</v>
      </c>
      <c r="D311" s="127"/>
      <c r="E311" s="128"/>
      <c r="F311" s="128" t="s">
        <v>4991</v>
      </c>
      <c r="G311" s="22">
        <v>0</v>
      </c>
      <c r="H311" s="22">
        <v>0</v>
      </c>
      <c r="I311">
        <f>IF(PisCofinsAliquot[[#This Row],[Classificação]]="Alíquota 0",6,IF(PisCofinsAliquot[[#This Row],[Classificação]]="Monofásico",4,IF(PisCofinsAliquot[[#This Row],[Classificação]]="Regra Geral",1,IF(PisCofinsAliquot[[#This Row],[Classificação]]="ST",5))))</f>
        <v>6</v>
      </c>
    </row>
    <row r="312" spans="1:9" ht="60" x14ac:dyDescent="0.25">
      <c r="A312" s="124" t="s">
        <v>3317</v>
      </c>
      <c r="B312" s="125" t="s">
        <v>2701</v>
      </c>
      <c r="C312" s="126" t="str">
        <f>RIGHT(PisCofinsAliquot[[#This Row],[Código NCM]],8)</f>
        <v>07099090</v>
      </c>
      <c r="D312" s="127"/>
      <c r="E312" s="128"/>
      <c r="F312" s="129" t="s">
        <v>4992</v>
      </c>
      <c r="G312" s="22">
        <v>0</v>
      </c>
      <c r="H312" s="22">
        <v>0</v>
      </c>
      <c r="I312">
        <f>IF(PisCofinsAliquot[[#This Row],[Classificação]]="Alíquota 0",6,IF(PisCofinsAliquot[[#This Row],[Classificação]]="Monofásico",4,IF(PisCofinsAliquot[[#This Row],[Classificação]]="Regra Geral",1,IF(PisCofinsAliquot[[#This Row],[Classificação]]="ST",5))))</f>
        <v>6</v>
      </c>
    </row>
    <row r="313" spans="1:9" x14ac:dyDescent="0.25">
      <c r="A313" s="124" t="s">
        <v>2716</v>
      </c>
      <c r="B313" s="125" t="s">
        <v>2701</v>
      </c>
      <c r="C313" s="126" t="str">
        <f>RIGHT(PisCofinsAliquot[[#This Row],[Código NCM]],8)</f>
        <v>07099300</v>
      </c>
      <c r="D313" s="127"/>
      <c r="E313" s="128"/>
      <c r="F313" s="128" t="s">
        <v>4993</v>
      </c>
      <c r="G313" s="22">
        <v>0</v>
      </c>
      <c r="H313" s="22">
        <v>0</v>
      </c>
      <c r="I313">
        <f>IF(PisCofinsAliquot[[#This Row],[Classificação]]="Alíquota 0",6,IF(PisCofinsAliquot[[#This Row],[Classificação]]="Monofásico",4,IF(PisCofinsAliquot[[#This Row],[Classificação]]="Regra Geral",1,IF(PisCofinsAliquot[[#This Row],[Classificação]]="ST",5))))</f>
        <v>6</v>
      </c>
    </row>
    <row r="314" spans="1:9" x14ac:dyDescent="0.25">
      <c r="A314" s="124" t="s">
        <v>216</v>
      </c>
      <c r="B314" s="125" t="s">
        <v>2701</v>
      </c>
      <c r="C314" s="126" t="str">
        <f>RIGHT(PisCofinsAliquot[[#This Row],[Código NCM]],8)</f>
        <v>07099919</v>
      </c>
      <c r="D314" s="127"/>
      <c r="E314" s="128"/>
      <c r="F314" s="128" t="s">
        <v>4994</v>
      </c>
      <c r="G314" s="22">
        <v>0</v>
      </c>
      <c r="H314" s="22">
        <v>0</v>
      </c>
      <c r="I314">
        <f>IF(PisCofinsAliquot[[#This Row],[Classificação]]="Alíquota 0",6,IF(PisCofinsAliquot[[#This Row],[Classificação]]="Monofásico",4,IF(PisCofinsAliquot[[#This Row],[Classificação]]="Regra Geral",1,IF(PisCofinsAliquot[[#This Row],[Classificação]]="ST",5))))</f>
        <v>6</v>
      </c>
    </row>
    <row r="315" spans="1:9" x14ac:dyDescent="0.25">
      <c r="A315" s="124" t="s">
        <v>2410</v>
      </c>
      <c r="B315" s="125" t="s">
        <v>2701</v>
      </c>
      <c r="C315" s="126" t="str">
        <f>RIGHT(PisCofinsAliquot[[#This Row],[Código NCM]],8)</f>
        <v>07099990</v>
      </c>
      <c r="D315" s="127"/>
      <c r="E315" s="128"/>
      <c r="F315" s="128" t="s">
        <v>4994</v>
      </c>
      <c r="G315" s="22">
        <v>0</v>
      </c>
      <c r="H315" s="22">
        <v>0</v>
      </c>
      <c r="I315">
        <f>IF(PisCofinsAliquot[[#This Row],[Classificação]]="Alíquota 0",6,IF(PisCofinsAliquot[[#This Row],[Classificação]]="Monofásico",4,IF(PisCofinsAliquot[[#This Row],[Classificação]]="Regra Geral",1,IF(PisCofinsAliquot[[#This Row],[Classificação]]="ST",5))))</f>
        <v>6</v>
      </c>
    </row>
    <row r="316" spans="1:9" x14ac:dyDescent="0.25">
      <c r="A316" s="124" t="s">
        <v>3318</v>
      </c>
      <c r="B316" s="125" t="s">
        <v>2701</v>
      </c>
      <c r="C316" s="126" t="str">
        <f>RIGHT(PisCofinsAliquot[[#This Row],[Código NCM]],8)</f>
        <v>07101000</v>
      </c>
      <c r="D316" s="127"/>
      <c r="E316" s="128"/>
      <c r="F316" s="128" t="s">
        <v>4995</v>
      </c>
      <c r="G316" s="3">
        <v>0</v>
      </c>
      <c r="H316" s="3">
        <v>0</v>
      </c>
      <c r="I316">
        <f>IF(PisCofinsAliquot[[#This Row],[Classificação]]="Alíquota 0",6,IF(PisCofinsAliquot[[#This Row],[Classificação]]="Monofásico",4,IF(PisCofinsAliquot[[#This Row],[Classificação]]="Regra Geral",1,IF(PisCofinsAliquot[[#This Row],[Classificação]]="ST",5))))</f>
        <v>6</v>
      </c>
    </row>
    <row r="317" spans="1:9" x14ac:dyDescent="0.25">
      <c r="A317" s="124" t="s">
        <v>3319</v>
      </c>
      <c r="B317" s="125" t="s">
        <v>2701</v>
      </c>
      <c r="C317" s="126" t="str">
        <f>RIGHT(PisCofinsAliquot[[#This Row],[Código NCM]],8)</f>
        <v>07102100</v>
      </c>
      <c r="D317" s="127"/>
      <c r="E317" s="128"/>
      <c r="F317" s="128" t="s">
        <v>4996</v>
      </c>
      <c r="G317" s="3">
        <v>0</v>
      </c>
      <c r="H317" s="3">
        <v>0</v>
      </c>
      <c r="I317">
        <f>IF(PisCofinsAliquot[[#This Row],[Classificação]]="Alíquota 0",6,IF(PisCofinsAliquot[[#This Row],[Classificação]]="Monofásico",4,IF(PisCofinsAliquot[[#This Row],[Classificação]]="Regra Geral",1,IF(PisCofinsAliquot[[#This Row],[Classificação]]="ST",5))))</f>
        <v>6</v>
      </c>
    </row>
    <row r="318" spans="1:9" x14ac:dyDescent="0.25">
      <c r="A318" s="124" t="s">
        <v>3406</v>
      </c>
      <c r="B318" s="125" t="s">
        <v>2701</v>
      </c>
      <c r="C318" s="126" t="str">
        <f>RIGHT(PisCofinsAliquot[[#This Row],[Código NCM]],8)</f>
        <v>07102900</v>
      </c>
      <c r="D318" s="127"/>
      <c r="E318" s="128"/>
      <c r="F318" s="128" t="s">
        <v>4997</v>
      </c>
      <c r="G318" s="3"/>
      <c r="H318" s="3"/>
      <c r="I318">
        <f>IF(PisCofinsAliquot[[#This Row],[Classificação]]="Alíquota 0",6,IF(PisCofinsAliquot[[#This Row],[Classificação]]="Monofásico",4,IF(PisCofinsAliquot[[#This Row],[Classificação]]="Regra Geral",1,IF(PisCofinsAliquot[[#This Row],[Classificação]]="ST",5))))</f>
        <v>6</v>
      </c>
    </row>
    <row r="319" spans="1:9" x14ac:dyDescent="0.25">
      <c r="A319" s="130" t="s">
        <v>4633</v>
      </c>
      <c r="B319" s="125" t="s">
        <v>2701</v>
      </c>
      <c r="C319" s="126" t="str">
        <f>RIGHT(PisCofinsAliquot[[#This Row],[Código NCM]],8)</f>
        <v>07103000</v>
      </c>
      <c r="D319" s="128"/>
      <c r="E319" s="128"/>
      <c r="F319" s="128" t="s">
        <v>4998</v>
      </c>
      <c r="G319" s="22"/>
      <c r="H319" s="22"/>
      <c r="I319">
        <f>IF(PisCofinsAliquot[[#This Row],[Classificação]]="Alíquota 0",6,IF(PisCofinsAliquot[[#This Row],[Classificação]]="Monofásico",4,IF(PisCofinsAliquot[[#This Row],[Classificação]]="Regra Geral",1,IF(PisCofinsAliquot[[#This Row],[Classificação]]="ST",5))))</f>
        <v>6</v>
      </c>
    </row>
    <row r="320" spans="1:9" x14ac:dyDescent="0.25">
      <c r="A320" s="124" t="s">
        <v>357</v>
      </c>
      <c r="B320" s="125" t="s">
        <v>2701</v>
      </c>
      <c r="C320" s="126" t="str">
        <f>RIGHT(PisCofinsAliquot[[#This Row],[Código NCM]],8)</f>
        <v>07104000</v>
      </c>
      <c r="D320" s="127"/>
      <c r="E320" s="128"/>
      <c r="F320" s="128" t="s">
        <v>4999</v>
      </c>
      <c r="G320" s="22">
        <v>0</v>
      </c>
      <c r="H320" s="22">
        <v>0</v>
      </c>
      <c r="I320">
        <f>IF(PisCofinsAliquot[[#This Row],[Classificação]]="Alíquota 0",6,IF(PisCofinsAliquot[[#This Row],[Classificação]]="Monofásico",4,IF(PisCofinsAliquot[[#This Row],[Classificação]]="Regra Geral",1,IF(PisCofinsAliquot[[#This Row],[Classificação]]="ST",5))))</f>
        <v>6</v>
      </c>
    </row>
    <row r="321" spans="1:9" x14ac:dyDescent="0.25">
      <c r="A321" s="124" t="s">
        <v>3320</v>
      </c>
      <c r="B321" s="125" t="s">
        <v>2701</v>
      </c>
      <c r="C321" s="126" t="str">
        <f>RIGHT(PisCofinsAliquot[[#This Row],[Código NCM]],8)</f>
        <v>07108000</v>
      </c>
      <c r="D321" s="127"/>
      <c r="E321" s="128"/>
      <c r="F321" s="128" t="s">
        <v>5000</v>
      </c>
      <c r="G321" s="22">
        <v>0</v>
      </c>
      <c r="H321" s="22">
        <v>0</v>
      </c>
      <c r="I321">
        <f>IF(PisCofinsAliquot[[#This Row],[Classificação]]="Alíquota 0",6,IF(PisCofinsAliquot[[#This Row],[Classificação]]="Monofásico",4,IF(PisCofinsAliquot[[#This Row],[Classificação]]="Regra Geral",1,IF(PisCofinsAliquot[[#This Row],[Classificação]]="ST",5))))</f>
        <v>6</v>
      </c>
    </row>
    <row r="322" spans="1:9" x14ac:dyDescent="0.25">
      <c r="A322" s="124" t="s">
        <v>3321</v>
      </c>
      <c r="B322" s="125" t="s">
        <v>2701</v>
      </c>
      <c r="C322" s="126" t="str">
        <f>RIGHT(PisCofinsAliquot[[#This Row],[Código NCM]],8)</f>
        <v>07112010</v>
      </c>
      <c r="D322" s="127"/>
      <c r="E322" s="128"/>
      <c r="F322" s="128" t="s">
        <v>5001</v>
      </c>
      <c r="G322" s="3">
        <v>0</v>
      </c>
      <c r="H322" s="3">
        <v>0</v>
      </c>
      <c r="I322">
        <f>IF(PisCofinsAliquot[[#This Row],[Classificação]]="Alíquota 0",6,IF(PisCofinsAliquot[[#This Row],[Classificação]]="Monofásico",4,IF(PisCofinsAliquot[[#This Row],[Classificação]]="Regra Geral",1,IF(PisCofinsAliquot[[#This Row],[Classificação]]="ST",5))))</f>
        <v>6</v>
      </c>
    </row>
    <row r="323" spans="1:9" x14ac:dyDescent="0.25">
      <c r="A323" s="124" t="s">
        <v>3407</v>
      </c>
      <c r="B323" s="125" t="s">
        <v>2701</v>
      </c>
      <c r="C323" s="126" t="str">
        <f>RIGHT(PisCofinsAliquot[[#This Row],[Código NCM]],8)</f>
        <v>07114000</v>
      </c>
      <c r="D323" s="127"/>
      <c r="E323" s="128"/>
      <c r="F323" s="128" t="s">
        <v>5002</v>
      </c>
      <c r="G323" s="3"/>
      <c r="H323" s="3"/>
      <c r="I323">
        <f>IF(PisCofinsAliquot[[#This Row],[Classificação]]="Alíquota 0",6,IF(PisCofinsAliquot[[#This Row],[Classificação]]="Monofásico",4,IF(PisCofinsAliquot[[#This Row],[Classificação]]="Regra Geral",1,IF(PisCofinsAliquot[[#This Row],[Classificação]]="ST",5))))</f>
        <v>6</v>
      </c>
    </row>
    <row r="324" spans="1:9" x14ac:dyDescent="0.25">
      <c r="A324" s="124" t="s">
        <v>2724</v>
      </c>
      <c r="B324" s="125" t="s">
        <v>2701</v>
      </c>
      <c r="C324" s="126" t="str">
        <f>RIGHT(PisCofinsAliquot[[#This Row],[Código NCM]],8)</f>
        <v>07122000</v>
      </c>
      <c r="D324" s="127"/>
      <c r="E324" s="128"/>
      <c r="F324" s="128" t="s">
        <v>5003</v>
      </c>
      <c r="G324" s="22">
        <v>0</v>
      </c>
      <c r="H324" s="22">
        <v>0</v>
      </c>
      <c r="I324">
        <f>IF(PisCofinsAliquot[[#This Row],[Classificação]]="Alíquota 0",6,IF(PisCofinsAliquot[[#This Row],[Classificação]]="Monofásico",4,IF(PisCofinsAliquot[[#This Row],[Classificação]]="Regra Geral",1,IF(PisCofinsAliquot[[#This Row],[Classificação]]="ST",5))))</f>
        <v>6</v>
      </c>
    </row>
    <row r="325" spans="1:9" x14ac:dyDescent="0.25">
      <c r="A325" s="124" t="s">
        <v>3408</v>
      </c>
      <c r="B325" s="125" t="s">
        <v>2701</v>
      </c>
      <c r="C325" s="126" t="str">
        <f>RIGHT(PisCofinsAliquot[[#This Row],[Código NCM]],8)</f>
        <v>07123100</v>
      </c>
      <c r="D325" s="127"/>
      <c r="E325" s="128"/>
      <c r="F325" s="128" t="s">
        <v>5004</v>
      </c>
      <c r="G325" s="3"/>
      <c r="H325" s="3"/>
      <c r="I325">
        <f>IF(PisCofinsAliquot[[#This Row],[Classificação]]="Alíquota 0",6,IF(PisCofinsAliquot[[#This Row],[Classificação]]="Monofásico",4,IF(PisCofinsAliquot[[#This Row],[Classificação]]="Regra Geral",1,IF(PisCofinsAliquot[[#This Row],[Classificação]]="ST",5))))</f>
        <v>6</v>
      </c>
    </row>
    <row r="326" spans="1:9" x14ac:dyDescent="0.25">
      <c r="A326" s="124" t="s">
        <v>3322</v>
      </c>
      <c r="B326" s="125" t="s">
        <v>2701</v>
      </c>
      <c r="C326" s="126" t="str">
        <f>RIGHT(PisCofinsAliquot[[#This Row],[Código NCM]],8)</f>
        <v>07129010</v>
      </c>
      <c r="D326" s="127"/>
      <c r="E326" s="128"/>
      <c r="F326" s="128" t="s">
        <v>5005</v>
      </c>
      <c r="G326" s="3">
        <v>0</v>
      </c>
      <c r="H326" s="3">
        <v>0</v>
      </c>
      <c r="I326">
        <f>IF(PisCofinsAliquot[[#This Row],[Classificação]]="Alíquota 0",6,IF(PisCofinsAliquot[[#This Row],[Classificação]]="Monofásico",4,IF(PisCofinsAliquot[[#This Row],[Classificação]]="Regra Geral",1,IF(PisCofinsAliquot[[#This Row],[Classificação]]="ST",5))))</f>
        <v>6</v>
      </c>
    </row>
    <row r="327" spans="1:9" x14ac:dyDescent="0.25">
      <c r="A327" s="124" t="s">
        <v>3323</v>
      </c>
      <c r="B327" s="125" t="s">
        <v>2701</v>
      </c>
      <c r="C327" s="126" t="str">
        <f>RIGHT(PisCofinsAliquot[[#This Row],[Código NCM]],8)</f>
        <v>07129090</v>
      </c>
      <c r="D327" s="127"/>
      <c r="E327" s="128"/>
      <c r="F327" s="128" t="s">
        <v>5006</v>
      </c>
      <c r="G327" s="22">
        <v>0</v>
      </c>
      <c r="H327" s="22">
        <v>0</v>
      </c>
      <c r="I327">
        <f>IF(PisCofinsAliquot[[#This Row],[Classificação]]="Alíquota 0",6,IF(PisCofinsAliquot[[#This Row],[Classificação]]="Monofásico",4,IF(PisCofinsAliquot[[#This Row],[Classificação]]="Regra Geral",1,IF(PisCofinsAliquot[[#This Row],[Classificação]]="ST",5))))</f>
        <v>6</v>
      </c>
    </row>
    <row r="328" spans="1:9" x14ac:dyDescent="0.25">
      <c r="A328" s="124" t="s">
        <v>3324</v>
      </c>
      <c r="B328" s="125" t="s">
        <v>2701</v>
      </c>
      <c r="C328" s="126" t="str">
        <f>RIGHT(PisCofinsAliquot[[#This Row],[Código NCM]],8)</f>
        <v>07131090</v>
      </c>
      <c r="D328" s="127"/>
      <c r="E328" s="128"/>
      <c r="F328" s="128" t="s">
        <v>5007</v>
      </c>
      <c r="G328" s="22">
        <v>0</v>
      </c>
      <c r="H328" s="22">
        <v>0</v>
      </c>
      <c r="I328">
        <f>IF(PisCofinsAliquot[[#This Row],[Classificação]]="Alíquota 0",6,IF(PisCofinsAliquot[[#This Row],[Classificação]]="Monofásico",4,IF(PisCofinsAliquot[[#This Row],[Classificação]]="Regra Geral",1,IF(PisCofinsAliquot[[#This Row],[Classificação]]="ST",5))))</f>
        <v>6</v>
      </c>
    </row>
    <row r="329" spans="1:9" x14ac:dyDescent="0.25">
      <c r="A329" s="124" t="s">
        <v>3325</v>
      </c>
      <c r="B329" s="125" t="s">
        <v>2701</v>
      </c>
      <c r="C329" s="126" t="str">
        <f>RIGHT(PisCofinsAliquot[[#This Row],[Código NCM]],8)</f>
        <v>07132090</v>
      </c>
      <c r="D329" s="127"/>
      <c r="E329" s="128"/>
      <c r="F329" s="128" t="s">
        <v>5008</v>
      </c>
      <c r="G329" s="22">
        <v>0</v>
      </c>
      <c r="H329" s="22">
        <v>0</v>
      </c>
      <c r="I329">
        <f>IF(PisCofinsAliquot[[#This Row],[Classificação]]="Alíquota 0",6,IF(PisCofinsAliquot[[#This Row],[Classificação]]="Monofásico",4,IF(PisCofinsAliquot[[#This Row],[Classificação]]="Regra Geral",1,IF(PisCofinsAliquot[[#This Row],[Classificação]]="ST",5))))</f>
        <v>6</v>
      </c>
    </row>
    <row r="330" spans="1:9" x14ac:dyDescent="0.25">
      <c r="A330" s="124" t="s">
        <v>270</v>
      </c>
      <c r="B330" s="125" t="s">
        <v>2701</v>
      </c>
      <c r="C330" s="126" t="str">
        <f>RIGHT(PisCofinsAliquot[[#This Row],[Código NCM]],8)</f>
        <v>07133319</v>
      </c>
      <c r="D330" s="127"/>
      <c r="E330" s="128"/>
      <c r="F330" s="128" t="s">
        <v>5009</v>
      </c>
      <c r="G330" s="22">
        <v>0</v>
      </c>
      <c r="H330" s="22">
        <v>0</v>
      </c>
      <c r="I330">
        <f>IF(PisCofinsAliquot[[#This Row],[Classificação]]="Alíquota 0",6,IF(PisCofinsAliquot[[#This Row],[Classificação]]="Monofásico",4,IF(PisCofinsAliquot[[#This Row],[Classificação]]="Regra Geral",1,IF(PisCofinsAliquot[[#This Row],[Classificação]]="ST",5))))</f>
        <v>6</v>
      </c>
    </row>
    <row r="331" spans="1:9" x14ac:dyDescent="0.25">
      <c r="A331" s="124" t="s">
        <v>3326</v>
      </c>
      <c r="B331" s="125" t="s">
        <v>2701</v>
      </c>
      <c r="C331" s="126" t="str">
        <f>RIGHT(PisCofinsAliquot[[#This Row],[Código NCM]],8)</f>
        <v>07133329</v>
      </c>
      <c r="D331" s="127"/>
      <c r="E331" s="128"/>
      <c r="F331" s="128" t="s">
        <v>5010</v>
      </c>
      <c r="G331" s="22">
        <v>0</v>
      </c>
      <c r="H331" s="22">
        <v>0</v>
      </c>
      <c r="I331">
        <f>IF(PisCofinsAliquot[[#This Row],[Classificação]]="Alíquota 0",6,IF(PisCofinsAliquot[[#This Row],[Classificação]]="Monofásico",4,IF(PisCofinsAliquot[[#This Row],[Classificação]]="Regra Geral",1,IF(PisCofinsAliquot[[#This Row],[Classificação]]="ST",5))))</f>
        <v>6</v>
      </c>
    </row>
    <row r="332" spans="1:9" x14ac:dyDescent="0.25">
      <c r="A332" s="124" t="s">
        <v>203</v>
      </c>
      <c r="B332" s="125" t="s">
        <v>2701</v>
      </c>
      <c r="C332" s="126" t="str">
        <f>RIGHT(PisCofinsAliquot[[#This Row],[Código NCM]],8)</f>
        <v>07133399</v>
      </c>
      <c r="D332" s="127"/>
      <c r="E332" s="128"/>
      <c r="F332" s="128" t="s">
        <v>5010</v>
      </c>
      <c r="G332" s="22">
        <v>0</v>
      </c>
      <c r="H332" s="22">
        <v>0</v>
      </c>
      <c r="I332">
        <f>IF(PisCofinsAliquot[[#This Row],[Classificação]]="Alíquota 0",6,IF(PisCofinsAliquot[[#This Row],[Classificação]]="Monofásico",4,IF(PisCofinsAliquot[[#This Row],[Classificação]]="Regra Geral",1,IF(PisCofinsAliquot[[#This Row],[Classificação]]="ST",5))))</f>
        <v>6</v>
      </c>
    </row>
    <row r="333" spans="1:9" x14ac:dyDescent="0.25">
      <c r="A333" s="124" t="s">
        <v>287</v>
      </c>
      <c r="B333" s="125" t="s">
        <v>2701</v>
      </c>
      <c r="C333" s="126" t="str">
        <f>RIGHT(PisCofinsAliquot[[#This Row],[Código NCM]],8)</f>
        <v>07133590</v>
      </c>
      <c r="D333" s="127"/>
      <c r="E333" s="141"/>
      <c r="F333" s="128" t="s">
        <v>5011</v>
      </c>
      <c r="G333" s="22">
        <v>0</v>
      </c>
      <c r="H333" s="22">
        <v>0</v>
      </c>
      <c r="I333">
        <f>IF(PisCofinsAliquot[[#This Row],[Classificação]]="Alíquota 0",6,IF(PisCofinsAliquot[[#This Row],[Classificação]]="Monofásico",4,IF(PisCofinsAliquot[[#This Row],[Classificação]]="Regra Geral",1,IF(PisCofinsAliquot[[#This Row],[Classificação]]="ST",5))))</f>
        <v>6</v>
      </c>
    </row>
    <row r="334" spans="1:9" x14ac:dyDescent="0.25">
      <c r="A334" s="124" t="s">
        <v>3409</v>
      </c>
      <c r="B334" s="125" t="s">
        <v>2701</v>
      </c>
      <c r="C334" s="126" t="str">
        <f>RIGHT(PisCofinsAliquot[[#This Row],[Código NCM]],8)</f>
        <v>07134010</v>
      </c>
      <c r="D334" s="127"/>
      <c r="E334" s="128"/>
      <c r="F334" s="128" t="s">
        <v>5012</v>
      </c>
      <c r="G334" s="3"/>
      <c r="H334" s="3"/>
      <c r="I334">
        <f>IF(PisCofinsAliquot[[#This Row],[Classificação]]="Alíquota 0",6,IF(PisCofinsAliquot[[#This Row],[Classificação]]="Monofásico",4,IF(PisCofinsAliquot[[#This Row],[Classificação]]="Regra Geral",1,IF(PisCofinsAliquot[[#This Row],[Classificação]]="ST",5))))</f>
        <v>6</v>
      </c>
    </row>
    <row r="335" spans="1:9" x14ac:dyDescent="0.25">
      <c r="A335" s="124" t="s">
        <v>3327</v>
      </c>
      <c r="B335" s="125" t="s">
        <v>2701</v>
      </c>
      <c r="C335" s="126" t="str">
        <f>RIGHT(PisCofinsAliquot[[#This Row],[Código NCM]],8)</f>
        <v>07134090</v>
      </c>
      <c r="D335" s="127"/>
      <c r="E335" s="128"/>
      <c r="F335" s="128" t="s">
        <v>5013</v>
      </c>
      <c r="G335" s="22">
        <v>0</v>
      </c>
      <c r="H335" s="22">
        <v>0</v>
      </c>
      <c r="I335">
        <f>IF(PisCofinsAliquot[[#This Row],[Classificação]]="Alíquota 0",6,IF(PisCofinsAliquot[[#This Row],[Classificação]]="Monofásico",4,IF(PisCofinsAliquot[[#This Row],[Classificação]]="Regra Geral",1,IF(PisCofinsAliquot[[#This Row],[Classificação]]="ST",5))))</f>
        <v>6</v>
      </c>
    </row>
    <row r="336" spans="1:9" x14ac:dyDescent="0.25">
      <c r="A336" s="124" t="s">
        <v>3328</v>
      </c>
      <c r="B336" s="125" t="s">
        <v>2701</v>
      </c>
      <c r="C336" s="126" t="str">
        <f>RIGHT(PisCofinsAliquot[[#This Row],[Código NCM]],8)</f>
        <v>07139090</v>
      </c>
      <c r="D336" s="127"/>
      <c r="E336" s="128"/>
      <c r="F336" s="128" t="s">
        <v>5014</v>
      </c>
      <c r="G336" s="3">
        <v>0</v>
      </c>
      <c r="H336" s="3">
        <v>0</v>
      </c>
      <c r="I336">
        <f>IF(PisCofinsAliquot[[#This Row],[Classificação]]="Alíquota 0",6,IF(PisCofinsAliquot[[#This Row],[Classificação]]="Monofásico",4,IF(PisCofinsAliquot[[#This Row],[Classificação]]="Regra Geral",1,IF(PisCofinsAliquot[[#This Row],[Classificação]]="ST",5))))</f>
        <v>6</v>
      </c>
    </row>
    <row r="337" spans="1:9" x14ac:dyDescent="0.25">
      <c r="A337" s="124" t="s">
        <v>2714</v>
      </c>
      <c r="B337" s="125" t="s">
        <v>2701</v>
      </c>
      <c r="C337" s="126" t="str">
        <f>RIGHT(PisCofinsAliquot[[#This Row],[Código NCM]],8)</f>
        <v>07141000</v>
      </c>
      <c r="D337" s="127"/>
      <c r="E337" s="128"/>
      <c r="F337" s="128" t="s">
        <v>5015</v>
      </c>
      <c r="G337" s="22">
        <v>0</v>
      </c>
      <c r="H337" s="22">
        <v>0</v>
      </c>
      <c r="I337">
        <f>IF(PisCofinsAliquot[[#This Row],[Classificação]]="Alíquota 0",6,IF(PisCofinsAliquot[[#This Row],[Classificação]]="Monofásico",4,IF(PisCofinsAliquot[[#This Row],[Classificação]]="Regra Geral",1,IF(PisCofinsAliquot[[#This Row],[Classificação]]="ST",5))))</f>
        <v>6</v>
      </c>
    </row>
    <row r="338" spans="1:9" x14ac:dyDescent="0.25">
      <c r="A338" s="124" t="s">
        <v>185</v>
      </c>
      <c r="B338" s="125" t="s">
        <v>2701</v>
      </c>
      <c r="C338" s="126" t="str">
        <f>RIGHT(PisCofinsAliquot[[#This Row],[Código NCM]],8)</f>
        <v>07142000</v>
      </c>
      <c r="D338" s="127"/>
      <c r="E338" s="128"/>
      <c r="F338" s="128" t="s">
        <v>5016</v>
      </c>
      <c r="G338" s="22">
        <v>0</v>
      </c>
      <c r="H338" s="22">
        <v>0</v>
      </c>
      <c r="I338">
        <f>IF(PisCofinsAliquot[[#This Row],[Classificação]]="Alíquota 0",6,IF(PisCofinsAliquot[[#This Row],[Classificação]]="Monofásico",4,IF(PisCofinsAliquot[[#This Row],[Classificação]]="Regra Geral",1,IF(PisCofinsAliquot[[#This Row],[Classificação]]="ST",5))))</f>
        <v>6</v>
      </c>
    </row>
    <row r="339" spans="1:9" x14ac:dyDescent="0.25">
      <c r="A339" s="124" t="s">
        <v>232</v>
      </c>
      <c r="B339" s="125" t="s">
        <v>2701</v>
      </c>
      <c r="C339" s="126" t="str">
        <f>RIGHT(PisCofinsAliquot[[#This Row],[Código NCM]],8)</f>
        <v>07143000</v>
      </c>
      <c r="D339" s="127"/>
      <c r="E339" s="128"/>
      <c r="F339" s="128" t="s">
        <v>5017</v>
      </c>
      <c r="G339" s="22">
        <v>0</v>
      </c>
      <c r="H339" s="22">
        <v>0</v>
      </c>
      <c r="I339">
        <f>IF(PisCofinsAliquot[[#This Row],[Classificação]]="Alíquota 0",6,IF(PisCofinsAliquot[[#This Row],[Classificação]]="Monofásico",4,IF(PisCofinsAliquot[[#This Row],[Classificação]]="Regra Geral",1,IF(PisCofinsAliquot[[#This Row],[Classificação]]="ST",5))))</f>
        <v>6</v>
      </c>
    </row>
    <row r="340" spans="1:9" x14ac:dyDescent="0.25">
      <c r="A340" s="124" t="s">
        <v>258</v>
      </c>
      <c r="B340" s="125" t="s">
        <v>2701</v>
      </c>
      <c r="C340" s="126" t="str">
        <f>RIGHT(PisCofinsAliquot[[#This Row],[Código NCM]],8)</f>
        <v>07149000</v>
      </c>
      <c r="D340" s="127"/>
      <c r="E340" s="128"/>
      <c r="F340" s="128" t="s">
        <v>5018</v>
      </c>
      <c r="G340" s="22">
        <v>0</v>
      </c>
      <c r="H340" s="22">
        <v>0</v>
      </c>
      <c r="I340">
        <f>IF(PisCofinsAliquot[[#This Row],[Classificação]]="Alíquota 0",6,IF(PisCofinsAliquot[[#This Row],[Classificação]]="Monofásico",4,IF(PisCofinsAliquot[[#This Row],[Classificação]]="Regra Geral",1,IF(PisCofinsAliquot[[#This Row],[Classificação]]="ST",5))))</f>
        <v>6</v>
      </c>
    </row>
    <row r="341" spans="1:9" x14ac:dyDescent="0.25">
      <c r="A341" s="124" t="s">
        <v>2717</v>
      </c>
      <c r="B341" s="125" t="s">
        <v>2701</v>
      </c>
      <c r="C341" s="126" t="str">
        <f>RIGHT(PisCofinsAliquot[[#This Row],[Código NCM]],8)</f>
        <v>08011100</v>
      </c>
      <c r="D341" s="127"/>
      <c r="E341" s="128"/>
      <c r="F341" s="128" t="s">
        <v>5019</v>
      </c>
      <c r="G341" s="22">
        <v>0</v>
      </c>
      <c r="H341" s="22">
        <v>0</v>
      </c>
      <c r="I341">
        <f>IF(PisCofinsAliquot[[#This Row],[Classificação]]="Alíquota 0",6,IF(PisCofinsAliquot[[#This Row],[Classificação]]="Monofásico",4,IF(PisCofinsAliquot[[#This Row],[Classificação]]="Regra Geral",1,IF(PisCofinsAliquot[[#This Row],[Classificação]]="ST",5))))</f>
        <v>6</v>
      </c>
    </row>
    <row r="342" spans="1:9" x14ac:dyDescent="0.25">
      <c r="A342" s="124" t="s">
        <v>167</v>
      </c>
      <c r="B342" s="125" t="s">
        <v>2701</v>
      </c>
      <c r="C342" s="126" t="str">
        <f>RIGHT(PisCofinsAliquot[[#This Row],[Código NCM]],8)</f>
        <v>08011200</v>
      </c>
      <c r="D342" s="127"/>
      <c r="E342" s="128"/>
      <c r="F342" s="128" t="s">
        <v>5020</v>
      </c>
      <c r="G342" s="22">
        <v>0</v>
      </c>
      <c r="H342" s="22">
        <v>0</v>
      </c>
      <c r="I342">
        <f>IF(PisCofinsAliquot[[#This Row],[Classificação]]="Alíquota 0",6,IF(PisCofinsAliquot[[#This Row],[Classificação]]="Monofásico",4,IF(PisCofinsAliquot[[#This Row],[Classificação]]="Regra Geral",1,IF(PisCofinsAliquot[[#This Row],[Classificação]]="ST",5))))</f>
        <v>6</v>
      </c>
    </row>
    <row r="343" spans="1:9" x14ac:dyDescent="0.25">
      <c r="A343" s="124" t="s">
        <v>3329</v>
      </c>
      <c r="B343" s="125" t="s">
        <v>2701</v>
      </c>
      <c r="C343" s="126" t="str">
        <f>RIGHT(PisCofinsAliquot[[#This Row],[Código NCM]],8)</f>
        <v>08011900</v>
      </c>
      <c r="D343" s="127"/>
      <c r="E343" s="128"/>
      <c r="F343" s="128" t="s">
        <v>5021</v>
      </c>
      <c r="G343" s="22">
        <v>0</v>
      </c>
      <c r="H343" s="22">
        <v>0</v>
      </c>
      <c r="I343">
        <f>IF(PisCofinsAliquot[[#This Row],[Classificação]]="Alíquota 0",6,IF(PisCofinsAliquot[[#This Row],[Classificação]]="Monofásico",4,IF(PisCofinsAliquot[[#This Row],[Classificação]]="Regra Geral",1,IF(PisCofinsAliquot[[#This Row],[Classificação]]="ST",5))))</f>
        <v>6</v>
      </c>
    </row>
    <row r="344" spans="1:9" x14ac:dyDescent="0.25">
      <c r="A344" s="124" t="s">
        <v>397</v>
      </c>
      <c r="B344" s="125" t="s">
        <v>2701</v>
      </c>
      <c r="C344" s="126" t="str">
        <f>RIGHT(PisCofinsAliquot[[#This Row],[Código NCM]],8)</f>
        <v>08012200</v>
      </c>
      <c r="D344" s="127"/>
      <c r="E344" s="128"/>
      <c r="F344" s="128" t="s">
        <v>5022</v>
      </c>
      <c r="G344" s="22">
        <v>0</v>
      </c>
      <c r="H344" s="22">
        <v>0</v>
      </c>
      <c r="I344">
        <f>IF(PisCofinsAliquot[[#This Row],[Classificação]]="Alíquota 0",6,IF(PisCofinsAliquot[[#This Row],[Classificação]]="Monofásico",4,IF(PisCofinsAliquot[[#This Row],[Classificação]]="Regra Geral",1,IF(PisCofinsAliquot[[#This Row],[Classificação]]="ST",5))))</f>
        <v>6</v>
      </c>
    </row>
    <row r="345" spans="1:9" x14ac:dyDescent="0.25">
      <c r="A345" s="124" t="s">
        <v>3330</v>
      </c>
      <c r="B345" s="125" t="s">
        <v>2701</v>
      </c>
      <c r="C345" s="126" t="str">
        <f>RIGHT(PisCofinsAliquot[[#This Row],[Código NCM]],8)</f>
        <v>08013100</v>
      </c>
      <c r="D345" s="127"/>
      <c r="E345" s="128"/>
      <c r="F345" s="128" t="s">
        <v>5023</v>
      </c>
      <c r="G345" s="3">
        <v>0</v>
      </c>
      <c r="H345" s="3">
        <v>0</v>
      </c>
      <c r="I345">
        <f>IF(PisCofinsAliquot[[#This Row],[Classificação]]="Alíquota 0",6,IF(PisCofinsAliquot[[#This Row],[Classificação]]="Monofásico",4,IF(PisCofinsAliquot[[#This Row],[Classificação]]="Regra Geral",1,IF(PisCofinsAliquot[[#This Row],[Classificação]]="ST",5))))</f>
        <v>6</v>
      </c>
    </row>
    <row r="346" spans="1:9" x14ac:dyDescent="0.25">
      <c r="A346" s="124" t="s">
        <v>3331</v>
      </c>
      <c r="B346" s="125" t="s">
        <v>2701</v>
      </c>
      <c r="C346" s="126" t="str">
        <f>RIGHT(PisCofinsAliquot[[#This Row],[Código NCM]],8)</f>
        <v>08013200</v>
      </c>
      <c r="D346" s="127"/>
      <c r="E346" s="128"/>
      <c r="F346" s="128" t="s">
        <v>5024</v>
      </c>
      <c r="G346" s="3">
        <v>0</v>
      </c>
      <c r="H346" s="3">
        <v>0</v>
      </c>
      <c r="I346">
        <f>IF(PisCofinsAliquot[[#This Row],[Classificação]]="Alíquota 0",6,IF(PisCofinsAliquot[[#This Row],[Classificação]]="Monofásico",4,IF(PisCofinsAliquot[[#This Row],[Classificação]]="Regra Geral",1,IF(PisCofinsAliquot[[#This Row],[Classificação]]="ST",5))))</f>
        <v>6</v>
      </c>
    </row>
    <row r="347" spans="1:9" x14ac:dyDescent="0.25">
      <c r="A347" s="124" t="s">
        <v>431</v>
      </c>
      <c r="B347" s="125" t="s">
        <v>2701</v>
      </c>
      <c r="C347" s="126" t="str">
        <f>RIGHT(PisCofinsAliquot[[#This Row],[Código NCM]],8)</f>
        <v>08021200</v>
      </c>
      <c r="D347" s="127"/>
      <c r="E347" s="128"/>
      <c r="F347" s="128" t="s">
        <v>5025</v>
      </c>
      <c r="G347" s="22">
        <v>0</v>
      </c>
      <c r="H347" s="22">
        <v>0</v>
      </c>
      <c r="I347">
        <f>IF(PisCofinsAliquot[[#This Row],[Classificação]]="Alíquota 0",6,IF(PisCofinsAliquot[[#This Row],[Classificação]]="Monofásico",4,IF(PisCofinsAliquot[[#This Row],[Classificação]]="Regra Geral",1,IF(PisCofinsAliquot[[#This Row],[Classificação]]="ST",5))))</f>
        <v>6</v>
      </c>
    </row>
    <row r="348" spans="1:9" x14ac:dyDescent="0.25">
      <c r="A348" s="124" t="s">
        <v>3332</v>
      </c>
      <c r="B348" s="125" t="s">
        <v>2701</v>
      </c>
      <c r="C348" s="126" t="str">
        <f>RIGHT(PisCofinsAliquot[[#This Row],[Código NCM]],8)</f>
        <v>08023200</v>
      </c>
      <c r="D348" s="127"/>
      <c r="E348" s="128"/>
      <c r="F348" s="128" t="s">
        <v>5026</v>
      </c>
      <c r="G348" s="22">
        <v>0</v>
      </c>
      <c r="H348" s="22">
        <v>0</v>
      </c>
      <c r="I348">
        <f>IF(PisCofinsAliquot[[#This Row],[Classificação]]="Alíquota 0",6,IF(PisCofinsAliquot[[#This Row],[Classificação]]="Monofásico",4,IF(PisCofinsAliquot[[#This Row],[Classificação]]="Regra Geral",1,IF(PisCofinsAliquot[[#This Row],[Classificação]]="ST",5))))</f>
        <v>6</v>
      </c>
    </row>
    <row r="349" spans="1:9" x14ac:dyDescent="0.25">
      <c r="A349" s="124" t="s">
        <v>3410</v>
      </c>
      <c r="B349" s="125" t="s">
        <v>2701</v>
      </c>
      <c r="C349" s="126" t="str">
        <f>RIGHT(PisCofinsAliquot[[#This Row],[Código NCM]],8)</f>
        <v>08029000</v>
      </c>
      <c r="D349" s="127"/>
      <c r="E349" s="128"/>
      <c r="F349" s="128" t="s">
        <v>5027</v>
      </c>
      <c r="G349" s="3"/>
      <c r="H349" s="3"/>
      <c r="I349">
        <f>IF(PisCofinsAliquot[[#This Row],[Classificação]]="Alíquota 0",6,IF(PisCofinsAliquot[[#This Row],[Classificação]]="Monofásico",4,IF(PisCofinsAliquot[[#This Row],[Classificação]]="Regra Geral",1,IF(PisCofinsAliquot[[#This Row],[Classificação]]="ST",5))))</f>
        <v>6</v>
      </c>
    </row>
    <row r="350" spans="1:9" ht="30" x14ac:dyDescent="0.25">
      <c r="A350" s="130" t="s">
        <v>4306</v>
      </c>
      <c r="B350" s="125" t="s">
        <v>2701</v>
      </c>
      <c r="C350" s="126" t="str">
        <f>RIGHT(PisCofinsAliquot[[#This Row],[Código NCM]],8)</f>
        <v>08030000</v>
      </c>
      <c r="D350" s="128"/>
      <c r="E350" s="128"/>
      <c r="F350" s="129" t="s">
        <v>5028</v>
      </c>
      <c r="G350" s="22"/>
      <c r="H350" s="22"/>
      <c r="I350">
        <f>IF(PisCofinsAliquot[[#This Row],[Classificação]]="Alíquota 0",6,IF(PisCofinsAliquot[[#This Row],[Classificação]]="Monofásico",4,IF(PisCofinsAliquot[[#This Row],[Classificação]]="Regra Geral",1,IF(PisCofinsAliquot[[#This Row],[Classificação]]="ST",5))))</f>
        <v>6</v>
      </c>
    </row>
    <row r="351" spans="1:9" x14ac:dyDescent="0.25">
      <c r="A351" s="124" t="s">
        <v>194</v>
      </c>
      <c r="B351" s="125" t="s">
        <v>2701</v>
      </c>
      <c r="C351" s="126" t="str">
        <f>RIGHT(PisCofinsAliquot[[#This Row],[Código NCM]],8)</f>
        <v>08031000</v>
      </c>
      <c r="D351" s="127"/>
      <c r="E351" s="128"/>
      <c r="F351" s="128" t="s">
        <v>5029</v>
      </c>
      <c r="G351" s="22">
        <v>0</v>
      </c>
      <c r="H351" s="22">
        <v>0</v>
      </c>
      <c r="I351">
        <f>IF(PisCofinsAliquot[[#This Row],[Classificação]]="Alíquota 0",6,IF(PisCofinsAliquot[[#This Row],[Classificação]]="Monofásico",4,IF(PisCofinsAliquot[[#This Row],[Classificação]]="Regra Geral",1,IF(PisCofinsAliquot[[#This Row],[Classificação]]="ST",5))))</f>
        <v>6</v>
      </c>
    </row>
    <row r="352" spans="1:9" x14ac:dyDescent="0.25">
      <c r="A352" s="124" t="s">
        <v>165</v>
      </c>
      <c r="B352" s="125" t="s">
        <v>2701</v>
      </c>
      <c r="C352" s="126" t="str">
        <f>RIGHT(PisCofinsAliquot[[#This Row],[Código NCM]],8)</f>
        <v>08039000</v>
      </c>
      <c r="D352" s="127"/>
      <c r="E352" s="128"/>
      <c r="F352" s="128" t="s">
        <v>5030</v>
      </c>
      <c r="G352" s="22">
        <v>0</v>
      </c>
      <c r="H352" s="22">
        <v>0</v>
      </c>
      <c r="I352">
        <f>IF(PisCofinsAliquot[[#This Row],[Classificação]]="Alíquota 0",6,IF(PisCofinsAliquot[[#This Row],[Classificação]]="Monofásico",4,IF(PisCofinsAliquot[[#This Row],[Classificação]]="Regra Geral",1,IF(PisCofinsAliquot[[#This Row],[Classificação]]="ST",5))))</f>
        <v>6</v>
      </c>
    </row>
    <row r="353" spans="1:9" x14ac:dyDescent="0.25">
      <c r="A353" s="130" t="s">
        <v>3613</v>
      </c>
      <c r="B353" s="125" t="s">
        <v>2701</v>
      </c>
      <c r="C353" s="126" t="str">
        <f>RIGHT(PisCofinsAliquot[[#This Row],[Código NCM]],8)</f>
        <v>08041010</v>
      </c>
      <c r="D353" s="128"/>
      <c r="E353" s="128"/>
      <c r="F353" s="128" t="s">
        <v>5031</v>
      </c>
      <c r="G353" s="22"/>
      <c r="H353" s="22"/>
      <c r="I353">
        <f>IF(PisCofinsAliquot[[#This Row],[Classificação]]="Alíquota 0",6,IF(PisCofinsAliquot[[#This Row],[Classificação]]="Monofásico",4,IF(PisCofinsAliquot[[#This Row],[Classificação]]="Regra Geral",1,IF(PisCofinsAliquot[[#This Row],[Classificação]]="ST",5))))</f>
        <v>6</v>
      </c>
    </row>
    <row r="354" spans="1:9" x14ac:dyDescent="0.25">
      <c r="A354" s="130" t="s">
        <v>4038</v>
      </c>
      <c r="B354" s="125" t="s">
        <v>2701</v>
      </c>
      <c r="C354" s="126" t="str">
        <f>RIGHT(PisCofinsAliquot[[#This Row],[Código NCM]],8)</f>
        <v>08041020</v>
      </c>
      <c r="D354" s="128"/>
      <c r="E354" s="128"/>
      <c r="F354" s="128" t="s">
        <v>5032</v>
      </c>
      <c r="G354" s="22"/>
      <c r="H354" s="22"/>
      <c r="I354">
        <f>IF(PisCofinsAliquot[[#This Row],[Classificação]]="Alíquota 0",6,IF(PisCofinsAliquot[[#This Row],[Classificação]]="Monofásico",4,IF(PisCofinsAliquot[[#This Row],[Classificação]]="Regra Geral",1,IF(PisCofinsAliquot[[#This Row],[Classificação]]="ST",5))))</f>
        <v>6</v>
      </c>
    </row>
    <row r="355" spans="1:9" x14ac:dyDescent="0.25">
      <c r="A355" s="124" t="s">
        <v>2719</v>
      </c>
      <c r="B355" s="125" t="s">
        <v>2701</v>
      </c>
      <c r="C355" s="126" t="str">
        <f>RIGHT(PisCofinsAliquot[[#This Row],[Código NCM]],8)</f>
        <v>08043000</v>
      </c>
      <c r="D355" s="127"/>
      <c r="E355" s="128"/>
      <c r="F355" s="128" t="s">
        <v>5033</v>
      </c>
      <c r="G355" s="22">
        <v>0</v>
      </c>
      <c r="H355" s="22">
        <v>0</v>
      </c>
      <c r="I355">
        <f>IF(PisCofinsAliquot[[#This Row],[Classificação]]="Alíquota 0",6,IF(PisCofinsAliquot[[#This Row],[Classificação]]="Monofásico",4,IF(PisCofinsAliquot[[#This Row],[Classificação]]="Regra Geral",1,IF(PisCofinsAliquot[[#This Row],[Classificação]]="ST",5))))</f>
        <v>6</v>
      </c>
    </row>
    <row r="356" spans="1:9" x14ac:dyDescent="0.25">
      <c r="A356" s="124" t="s">
        <v>2708</v>
      </c>
      <c r="B356" s="125" t="s">
        <v>2701</v>
      </c>
      <c r="C356" s="126" t="str">
        <f>RIGHT(PisCofinsAliquot[[#This Row],[Código NCM]],8)</f>
        <v>08044000</v>
      </c>
      <c r="D356" s="127"/>
      <c r="E356" s="128"/>
      <c r="F356" s="128" t="s">
        <v>5034</v>
      </c>
      <c r="G356" s="22">
        <v>0</v>
      </c>
      <c r="H356" s="22">
        <v>0</v>
      </c>
      <c r="I356">
        <f>IF(PisCofinsAliquot[[#This Row],[Classificação]]="Alíquota 0",6,IF(PisCofinsAliquot[[#This Row],[Classificação]]="Monofásico",4,IF(PisCofinsAliquot[[#This Row],[Classificação]]="Regra Geral",1,IF(PisCofinsAliquot[[#This Row],[Classificação]]="ST",5))))</f>
        <v>6</v>
      </c>
    </row>
    <row r="357" spans="1:9" x14ac:dyDescent="0.25">
      <c r="A357" s="124" t="s">
        <v>3395</v>
      </c>
      <c r="B357" s="125" t="s">
        <v>2701</v>
      </c>
      <c r="C357" s="126" t="str">
        <f>RIGHT(PisCofinsAliquot[[#This Row],[Código NCM]],8)</f>
        <v>08045000</v>
      </c>
      <c r="D357" s="127"/>
      <c r="E357" s="128"/>
      <c r="F357" s="128" t="s">
        <v>5035</v>
      </c>
      <c r="G357" s="3"/>
      <c r="H357" s="3"/>
      <c r="I357">
        <f>IF(PisCofinsAliquot[[#This Row],[Classificação]]="Alíquota 0",6,IF(PisCofinsAliquot[[#This Row],[Classificação]]="Monofásico",4,IF(PisCofinsAliquot[[#This Row],[Classificação]]="Regra Geral",1,IF(PisCofinsAliquot[[#This Row],[Classificação]]="ST",5))))</f>
        <v>6</v>
      </c>
    </row>
    <row r="358" spans="1:9" x14ac:dyDescent="0.25">
      <c r="A358" s="124" t="s">
        <v>187</v>
      </c>
      <c r="B358" s="125" t="s">
        <v>2701</v>
      </c>
      <c r="C358" s="126" t="str">
        <f>RIGHT(PisCofinsAliquot[[#This Row],[Código NCM]],8)</f>
        <v>08045010</v>
      </c>
      <c r="D358" s="127"/>
      <c r="E358" s="128"/>
      <c r="F358" s="128" t="s">
        <v>5036</v>
      </c>
      <c r="G358" s="22">
        <v>0</v>
      </c>
      <c r="H358" s="22">
        <v>0</v>
      </c>
      <c r="I358">
        <f>IF(PisCofinsAliquot[[#This Row],[Classificação]]="Alíquota 0",6,IF(PisCofinsAliquot[[#This Row],[Classificação]]="Monofásico",4,IF(PisCofinsAliquot[[#This Row],[Classificação]]="Regra Geral",1,IF(PisCofinsAliquot[[#This Row],[Classificação]]="ST",5))))</f>
        <v>6</v>
      </c>
    </row>
    <row r="359" spans="1:9" x14ac:dyDescent="0.25">
      <c r="A359" s="124" t="s">
        <v>2706</v>
      </c>
      <c r="B359" s="125" t="s">
        <v>2701</v>
      </c>
      <c r="C359" s="126" t="str">
        <f>RIGHT(PisCofinsAliquot[[#This Row],[Código NCM]],8)</f>
        <v>08045020</v>
      </c>
      <c r="D359" s="127"/>
      <c r="E359" s="128"/>
      <c r="F359" s="128" t="s">
        <v>5037</v>
      </c>
      <c r="G359" s="22">
        <v>0</v>
      </c>
      <c r="H359" s="22">
        <v>0</v>
      </c>
      <c r="I359">
        <f>IF(PisCofinsAliquot[[#This Row],[Classificação]]="Alíquota 0",6,IF(PisCofinsAliquot[[#This Row],[Classificação]]="Monofásico",4,IF(PisCofinsAliquot[[#This Row],[Classificação]]="Regra Geral",1,IF(PisCofinsAliquot[[#This Row],[Classificação]]="ST",5))))</f>
        <v>6</v>
      </c>
    </row>
    <row r="360" spans="1:9" x14ac:dyDescent="0.25">
      <c r="A360" s="124" t="s">
        <v>2711</v>
      </c>
      <c r="B360" s="125" t="s">
        <v>2701</v>
      </c>
      <c r="C360" s="126" t="str">
        <f>RIGHT(PisCofinsAliquot[[#This Row],[Código NCM]],8)</f>
        <v>08051000</v>
      </c>
      <c r="D360" s="127"/>
      <c r="E360" s="128"/>
      <c r="F360" s="128" t="s">
        <v>5038</v>
      </c>
      <c r="G360" s="22">
        <v>0</v>
      </c>
      <c r="H360" s="22">
        <v>0</v>
      </c>
      <c r="I360">
        <f>IF(PisCofinsAliquot[[#This Row],[Classificação]]="Alíquota 0",6,IF(PisCofinsAliquot[[#This Row],[Classificação]]="Monofásico",4,IF(PisCofinsAliquot[[#This Row],[Classificação]]="Regra Geral",1,IF(PisCofinsAliquot[[#This Row],[Classificação]]="ST",5))))</f>
        <v>6</v>
      </c>
    </row>
    <row r="361" spans="1:9" x14ac:dyDescent="0.25">
      <c r="A361" s="124" t="s">
        <v>162</v>
      </c>
      <c r="B361" s="125" t="s">
        <v>2701</v>
      </c>
      <c r="C361" s="126" t="str">
        <f>RIGHT(PisCofinsAliquot[[#This Row],[Código NCM]],8)</f>
        <v>08052100</v>
      </c>
      <c r="D361" s="127"/>
      <c r="E361" s="128"/>
      <c r="F361" s="128" t="s">
        <v>5039</v>
      </c>
      <c r="G361" s="22">
        <v>0</v>
      </c>
      <c r="H361" s="22">
        <v>0</v>
      </c>
      <c r="I361">
        <f>IF(PisCofinsAliquot[[#This Row],[Classificação]]="Alíquota 0",6,IF(PisCofinsAliquot[[#This Row],[Classificação]]="Monofásico",4,IF(PisCofinsAliquot[[#This Row],[Classificação]]="Regra Geral",1,IF(PisCofinsAliquot[[#This Row],[Classificação]]="ST",5))))</f>
        <v>6</v>
      </c>
    </row>
    <row r="362" spans="1:9" x14ac:dyDescent="0.25">
      <c r="A362" s="124" t="s">
        <v>171</v>
      </c>
      <c r="B362" s="125" t="s">
        <v>2701</v>
      </c>
      <c r="C362" s="126" t="str">
        <f>RIGHT(PisCofinsAliquot[[#This Row],[Código NCM]],8)</f>
        <v>08055000</v>
      </c>
      <c r="D362" s="127"/>
      <c r="E362" s="128"/>
      <c r="F362" s="128" t="s">
        <v>5040</v>
      </c>
      <c r="G362" s="22">
        <v>0</v>
      </c>
      <c r="H362" s="22">
        <v>0</v>
      </c>
      <c r="I362">
        <f>IF(PisCofinsAliquot[[#This Row],[Classificação]]="Alíquota 0",6,IF(PisCofinsAliquot[[#This Row],[Classificação]]="Monofásico",4,IF(PisCofinsAliquot[[#This Row],[Classificação]]="Regra Geral",1,IF(PisCofinsAliquot[[#This Row],[Classificação]]="ST",5))))</f>
        <v>6</v>
      </c>
    </row>
    <row r="363" spans="1:9" x14ac:dyDescent="0.25">
      <c r="A363" s="124" t="s">
        <v>3411</v>
      </c>
      <c r="B363" s="125" t="s">
        <v>2701</v>
      </c>
      <c r="C363" s="126" t="str">
        <f>RIGHT(PisCofinsAliquot[[#This Row],[Código NCM]],8)</f>
        <v>08059000</v>
      </c>
      <c r="D363" s="127"/>
      <c r="E363" s="128"/>
      <c r="F363" s="128" t="s">
        <v>5041</v>
      </c>
      <c r="G363" s="3"/>
      <c r="H363" s="3"/>
      <c r="I363">
        <f>IF(PisCofinsAliquot[[#This Row],[Classificação]]="Alíquota 0",6,IF(PisCofinsAliquot[[#This Row],[Classificação]]="Monofásico",4,IF(PisCofinsAliquot[[#This Row],[Classificação]]="Regra Geral",1,IF(PisCofinsAliquot[[#This Row],[Classificação]]="ST",5))))</f>
        <v>6</v>
      </c>
    </row>
    <row r="364" spans="1:9" x14ac:dyDescent="0.25">
      <c r="A364" s="124" t="s">
        <v>2720</v>
      </c>
      <c r="B364" s="125" t="s">
        <v>2701</v>
      </c>
      <c r="C364" s="126" t="str">
        <f>RIGHT(PisCofinsAliquot[[#This Row],[Código NCM]],8)</f>
        <v>08061000</v>
      </c>
      <c r="D364" s="127"/>
      <c r="E364" s="128"/>
      <c r="F364" s="128" t="s">
        <v>5042</v>
      </c>
      <c r="G364" s="22">
        <v>0</v>
      </c>
      <c r="H364" s="22">
        <v>0</v>
      </c>
      <c r="I364">
        <f>IF(PisCofinsAliquot[[#This Row],[Classificação]]="Alíquota 0",6,IF(PisCofinsAliquot[[#This Row],[Classificação]]="Monofásico",4,IF(PisCofinsAliquot[[#This Row],[Classificação]]="Regra Geral",1,IF(PisCofinsAliquot[[#This Row],[Classificação]]="ST",5))))</f>
        <v>6</v>
      </c>
    </row>
    <row r="365" spans="1:9" x14ac:dyDescent="0.25">
      <c r="A365" s="124" t="s">
        <v>2726</v>
      </c>
      <c r="B365" s="125" t="s">
        <v>2701</v>
      </c>
      <c r="C365" s="126" t="str">
        <f>RIGHT(PisCofinsAliquot[[#This Row],[Código NCM]],8)</f>
        <v>08062000</v>
      </c>
      <c r="D365" s="127"/>
      <c r="E365" s="128"/>
      <c r="F365" s="128" t="s">
        <v>5043</v>
      </c>
      <c r="G365" s="22">
        <v>0</v>
      </c>
      <c r="H365" s="22">
        <v>0</v>
      </c>
      <c r="I365">
        <f>IF(PisCofinsAliquot[[#This Row],[Classificação]]="Alíquota 0",6,IF(PisCofinsAliquot[[#This Row],[Classificação]]="Monofásico",4,IF(PisCofinsAliquot[[#This Row],[Classificação]]="Regra Geral",1,IF(PisCofinsAliquot[[#This Row],[Classificação]]="ST",5))))</f>
        <v>6</v>
      </c>
    </row>
    <row r="366" spans="1:9" x14ac:dyDescent="0.25">
      <c r="A366" s="124" t="s">
        <v>2721</v>
      </c>
      <c r="B366" s="125" t="s">
        <v>2701</v>
      </c>
      <c r="C366" s="126" t="str">
        <f>RIGHT(PisCofinsAliquot[[#This Row],[Código NCM]],8)</f>
        <v>08071100</v>
      </c>
      <c r="D366" s="127"/>
      <c r="E366" s="128"/>
      <c r="F366" s="128" t="s">
        <v>5044</v>
      </c>
      <c r="G366" s="22">
        <v>0</v>
      </c>
      <c r="H366" s="22">
        <v>0</v>
      </c>
      <c r="I366">
        <f>IF(PisCofinsAliquot[[#This Row],[Classificação]]="Alíquota 0",6,IF(PisCofinsAliquot[[#This Row],[Classificação]]="Monofásico",4,IF(PisCofinsAliquot[[#This Row],[Classificação]]="Regra Geral",1,IF(PisCofinsAliquot[[#This Row],[Classificação]]="ST",5))))</f>
        <v>6</v>
      </c>
    </row>
    <row r="367" spans="1:9" x14ac:dyDescent="0.25">
      <c r="A367" s="124" t="s">
        <v>193</v>
      </c>
      <c r="B367" s="125" t="s">
        <v>2701</v>
      </c>
      <c r="C367" s="126" t="str">
        <f>RIGHT(PisCofinsAliquot[[#This Row],[Código NCM]],8)</f>
        <v>08071900</v>
      </c>
      <c r="D367" s="127"/>
      <c r="E367" s="128"/>
      <c r="F367" s="128" t="s">
        <v>5045</v>
      </c>
      <c r="G367" s="22">
        <v>0</v>
      </c>
      <c r="H367" s="22">
        <v>0</v>
      </c>
      <c r="I367">
        <f>IF(PisCofinsAliquot[[#This Row],[Classificação]]="Alíquota 0",6,IF(PisCofinsAliquot[[#This Row],[Classificação]]="Monofásico",4,IF(PisCofinsAliquot[[#This Row],[Classificação]]="Regra Geral",1,IF(PisCofinsAliquot[[#This Row],[Classificação]]="ST",5))))</f>
        <v>6</v>
      </c>
    </row>
    <row r="368" spans="1:9" x14ac:dyDescent="0.25">
      <c r="A368" s="124" t="s">
        <v>2713</v>
      </c>
      <c r="B368" s="125" t="s">
        <v>2701</v>
      </c>
      <c r="C368" s="126" t="str">
        <f>RIGHT(PisCofinsAliquot[[#This Row],[Código NCM]],8)</f>
        <v>08072000</v>
      </c>
      <c r="D368" s="127"/>
      <c r="E368" s="128"/>
      <c r="F368" s="128" t="s">
        <v>5046</v>
      </c>
      <c r="G368" s="22">
        <v>0</v>
      </c>
      <c r="H368" s="22">
        <v>0</v>
      </c>
      <c r="I368">
        <f>IF(PisCofinsAliquot[[#This Row],[Classificação]]="Alíquota 0",6,IF(PisCofinsAliquot[[#This Row],[Classificação]]="Monofásico",4,IF(PisCofinsAliquot[[#This Row],[Classificação]]="Regra Geral",1,IF(PisCofinsAliquot[[#This Row],[Classificação]]="ST",5))))</f>
        <v>6</v>
      </c>
    </row>
    <row r="369" spans="1:9" x14ac:dyDescent="0.25">
      <c r="A369" s="124" t="s">
        <v>2709</v>
      </c>
      <c r="B369" s="125" t="s">
        <v>2701</v>
      </c>
      <c r="C369" s="126" t="str">
        <f>RIGHT(PisCofinsAliquot[[#This Row],[Código NCM]],8)</f>
        <v>08081000</v>
      </c>
      <c r="D369" s="127"/>
      <c r="E369" s="128"/>
      <c r="F369" s="128" t="s">
        <v>5047</v>
      </c>
      <c r="G369" s="22">
        <v>0</v>
      </c>
      <c r="H369" s="22">
        <v>0</v>
      </c>
      <c r="I369">
        <f>IF(PisCofinsAliquot[[#This Row],[Classificação]]="Alíquota 0",6,IF(PisCofinsAliquot[[#This Row],[Classificação]]="Monofásico",4,IF(PisCofinsAliquot[[#This Row],[Classificação]]="Regra Geral",1,IF(PisCofinsAliquot[[#This Row],[Classificação]]="ST",5))))</f>
        <v>6</v>
      </c>
    </row>
    <row r="370" spans="1:9" x14ac:dyDescent="0.25">
      <c r="A370" s="124" t="s">
        <v>2734</v>
      </c>
      <c r="B370" s="125" t="s">
        <v>2701</v>
      </c>
      <c r="C370" s="126" t="str">
        <f>RIGHT(PisCofinsAliquot[[#This Row],[Código NCM]],8)</f>
        <v>08083000</v>
      </c>
      <c r="D370" s="127"/>
      <c r="E370" s="128"/>
      <c r="F370" s="128" t="s">
        <v>5048</v>
      </c>
      <c r="G370" s="22">
        <v>0</v>
      </c>
      <c r="H370" s="22">
        <v>0</v>
      </c>
      <c r="I370">
        <f>IF(PisCofinsAliquot[[#This Row],[Classificação]]="Alíquota 0",6,IF(PisCofinsAliquot[[#This Row],[Classificação]]="Monofásico",4,IF(PisCofinsAliquot[[#This Row],[Classificação]]="Regra Geral",1,IF(PisCofinsAliquot[[#This Row],[Classificação]]="ST",5))))</f>
        <v>6</v>
      </c>
    </row>
    <row r="371" spans="1:9" x14ac:dyDescent="0.25">
      <c r="A371" s="130" t="s">
        <v>4102</v>
      </c>
      <c r="B371" s="125" t="s">
        <v>2701</v>
      </c>
      <c r="C371" s="126" t="str">
        <f>RIGHT(PisCofinsAliquot[[#This Row],[Código NCM]],8)</f>
        <v>08091000</v>
      </c>
      <c r="D371" s="128"/>
      <c r="E371" s="128"/>
      <c r="F371" s="128" t="s">
        <v>5049</v>
      </c>
      <c r="G371" s="22"/>
      <c r="H371" s="22"/>
      <c r="I371">
        <f>IF(PisCofinsAliquot[[#This Row],[Classificação]]="Alíquota 0",6,IF(PisCofinsAliquot[[#This Row],[Classificação]]="Monofásico",4,IF(PisCofinsAliquot[[#This Row],[Classificação]]="Regra Geral",1,IF(PisCofinsAliquot[[#This Row],[Classificação]]="ST",5))))</f>
        <v>6</v>
      </c>
    </row>
    <row r="372" spans="1:9" x14ac:dyDescent="0.25">
      <c r="A372" s="124" t="s">
        <v>3412</v>
      </c>
      <c r="B372" s="125" t="s">
        <v>2701</v>
      </c>
      <c r="C372" s="126" t="str">
        <f>RIGHT(PisCofinsAliquot[[#This Row],[Código NCM]],8)</f>
        <v>08092900</v>
      </c>
      <c r="D372" s="127"/>
      <c r="E372" s="128"/>
      <c r="F372" s="128" t="s">
        <v>5050</v>
      </c>
      <c r="G372" s="3"/>
      <c r="H372" s="3"/>
      <c r="I372">
        <f>IF(PisCofinsAliquot[[#This Row],[Classificação]]="Alíquota 0",6,IF(PisCofinsAliquot[[#This Row],[Classificação]]="Monofásico",4,IF(PisCofinsAliquot[[#This Row],[Classificação]]="Regra Geral",1,IF(PisCofinsAliquot[[#This Row],[Classificação]]="ST",5))))</f>
        <v>6</v>
      </c>
    </row>
    <row r="373" spans="1:9" x14ac:dyDescent="0.25">
      <c r="A373" s="124" t="s">
        <v>2739</v>
      </c>
      <c r="B373" s="125" t="s">
        <v>2701</v>
      </c>
      <c r="C373" s="126" t="str">
        <f>RIGHT(PisCofinsAliquot[[#This Row],[Código NCM]],8)</f>
        <v>08093010</v>
      </c>
      <c r="D373" s="127"/>
      <c r="E373" s="128"/>
      <c r="F373" s="128" t="s">
        <v>5051</v>
      </c>
      <c r="G373" s="22">
        <v>0</v>
      </c>
      <c r="H373" s="22">
        <v>0</v>
      </c>
      <c r="I373">
        <f>IF(PisCofinsAliquot[[#This Row],[Classificação]]="Alíquota 0",6,IF(PisCofinsAliquot[[#This Row],[Classificação]]="Monofásico",4,IF(PisCofinsAliquot[[#This Row],[Classificação]]="Regra Geral",1,IF(PisCofinsAliquot[[#This Row],[Classificação]]="ST",5))))</f>
        <v>6</v>
      </c>
    </row>
    <row r="374" spans="1:9" x14ac:dyDescent="0.25">
      <c r="A374" s="124" t="s">
        <v>3333</v>
      </c>
      <c r="B374" s="125" t="s">
        <v>2701</v>
      </c>
      <c r="C374" s="126" t="str">
        <f>RIGHT(PisCofinsAliquot[[#This Row],[Código NCM]],8)</f>
        <v>08093020</v>
      </c>
      <c r="D374" s="127"/>
      <c r="E374" s="128"/>
      <c r="F374" s="128" t="s">
        <v>5052</v>
      </c>
      <c r="G374" s="3">
        <v>0</v>
      </c>
      <c r="H374" s="3">
        <v>0</v>
      </c>
      <c r="I374">
        <f>IF(PisCofinsAliquot[[#This Row],[Classificação]]="Alíquota 0",6,IF(PisCofinsAliquot[[#This Row],[Classificação]]="Monofásico",4,IF(PisCofinsAliquot[[#This Row],[Classificação]]="Regra Geral",1,IF(PisCofinsAliquot[[#This Row],[Classificação]]="ST",5))))</f>
        <v>6</v>
      </c>
    </row>
    <row r="375" spans="1:9" x14ac:dyDescent="0.25">
      <c r="A375" s="124" t="s">
        <v>554</v>
      </c>
      <c r="B375" s="125" t="s">
        <v>2701</v>
      </c>
      <c r="C375" s="126" t="str">
        <f>RIGHT(PisCofinsAliquot[[#This Row],[Código NCM]],8)</f>
        <v>08094000</v>
      </c>
      <c r="D375" s="127"/>
      <c r="E375" s="128"/>
      <c r="F375" s="128" t="s">
        <v>5053</v>
      </c>
      <c r="G375" s="22">
        <v>0</v>
      </c>
      <c r="H375" s="22">
        <v>0</v>
      </c>
      <c r="I375">
        <f>IF(PisCofinsAliquot[[#This Row],[Classificação]]="Alíquota 0",6,IF(PisCofinsAliquot[[#This Row],[Classificação]]="Monofásico",4,IF(PisCofinsAliquot[[#This Row],[Classificação]]="Regra Geral",1,IF(PisCofinsAliquot[[#This Row],[Classificação]]="ST",5))))</f>
        <v>6</v>
      </c>
    </row>
    <row r="376" spans="1:9" x14ac:dyDescent="0.25">
      <c r="A376" s="124" t="s">
        <v>257</v>
      </c>
      <c r="B376" s="125" t="s">
        <v>2701</v>
      </c>
      <c r="C376" s="126" t="str">
        <f>RIGHT(PisCofinsAliquot[[#This Row],[Código NCM]],8)</f>
        <v>08101000</v>
      </c>
      <c r="D376" s="127"/>
      <c r="E376" s="128"/>
      <c r="F376" s="128" t="s">
        <v>5054</v>
      </c>
      <c r="G376" s="22">
        <v>0</v>
      </c>
      <c r="H376" s="22">
        <v>0</v>
      </c>
      <c r="I376">
        <f>IF(PisCofinsAliquot[[#This Row],[Classificação]]="Alíquota 0",6,IF(PisCofinsAliquot[[#This Row],[Classificação]]="Monofásico",4,IF(PisCofinsAliquot[[#This Row],[Classificação]]="Regra Geral",1,IF(PisCofinsAliquot[[#This Row],[Classificação]]="ST",5))))</f>
        <v>6</v>
      </c>
    </row>
    <row r="377" spans="1:9" x14ac:dyDescent="0.25">
      <c r="A377" s="124" t="s">
        <v>2725</v>
      </c>
      <c r="B377" s="125" t="s">
        <v>2701</v>
      </c>
      <c r="C377" s="126" t="str">
        <f>RIGHT(PisCofinsAliquot[[#This Row],[Código NCM]],8)</f>
        <v>08105000</v>
      </c>
      <c r="D377" s="127"/>
      <c r="E377" s="128"/>
      <c r="F377" s="128" t="s">
        <v>5055</v>
      </c>
      <c r="G377" s="22">
        <v>0</v>
      </c>
      <c r="H377" s="22">
        <v>0</v>
      </c>
      <c r="I377">
        <f>IF(PisCofinsAliquot[[#This Row],[Classificação]]="Alíquota 0",6,IF(PisCofinsAliquot[[#This Row],[Classificação]]="Monofásico",4,IF(PisCofinsAliquot[[#This Row],[Classificação]]="Regra Geral",1,IF(PisCofinsAliquot[[#This Row],[Classificação]]="ST",5))))</f>
        <v>6</v>
      </c>
    </row>
    <row r="378" spans="1:9" x14ac:dyDescent="0.25">
      <c r="A378" s="124" t="s">
        <v>3334</v>
      </c>
      <c r="B378" s="125" t="s">
        <v>2701</v>
      </c>
      <c r="C378" s="126" t="str">
        <f>RIGHT(PisCofinsAliquot[[#This Row],[Código NCM]],8)</f>
        <v>08107000</v>
      </c>
      <c r="D378" s="127"/>
      <c r="E378" s="128"/>
      <c r="F378" s="128" t="s">
        <v>5056</v>
      </c>
      <c r="G378" s="22">
        <v>0</v>
      </c>
      <c r="H378" s="22">
        <v>0</v>
      </c>
      <c r="I378">
        <f>IF(PisCofinsAliquot[[#This Row],[Classificação]]="Alíquota 0",6,IF(PisCofinsAliquot[[#This Row],[Classificação]]="Monofásico",4,IF(PisCofinsAliquot[[#This Row],[Classificação]]="Regra Geral",1,IF(PisCofinsAliquot[[#This Row],[Classificação]]="ST",5))))</f>
        <v>6</v>
      </c>
    </row>
    <row r="379" spans="1:9" ht="30" x14ac:dyDescent="0.25">
      <c r="A379" s="124" t="s">
        <v>3397</v>
      </c>
      <c r="B379" s="125" t="s">
        <v>2701</v>
      </c>
      <c r="C379" s="126" t="str">
        <f>RIGHT(PisCofinsAliquot[[#This Row],[Código NCM]],8)</f>
        <v>08109000</v>
      </c>
      <c r="D379" s="127"/>
      <c r="E379" s="128"/>
      <c r="F379" s="129" t="s">
        <v>5057</v>
      </c>
      <c r="G379" s="3"/>
      <c r="H379" s="3"/>
      <c r="I379">
        <f>IF(PisCofinsAliquot[[#This Row],[Classificação]]="Alíquota 0",6,IF(PisCofinsAliquot[[#This Row],[Classificação]]="Monofásico",4,IF(PisCofinsAliquot[[#This Row],[Classificação]]="Regra Geral",1,IF(PisCofinsAliquot[[#This Row],[Classificação]]="ST",5))))</f>
        <v>6</v>
      </c>
    </row>
    <row r="380" spans="1:9" x14ac:dyDescent="0.25">
      <c r="A380" s="124" t="s">
        <v>191</v>
      </c>
      <c r="B380" s="125" t="s">
        <v>2701</v>
      </c>
      <c r="C380" s="126" t="str">
        <f>RIGHT(PisCofinsAliquot[[#This Row],[Código NCM]],8)</f>
        <v>08109015</v>
      </c>
      <c r="D380" s="127"/>
      <c r="E380" s="128"/>
      <c r="F380" s="128" t="s">
        <v>5058</v>
      </c>
      <c r="G380" s="22">
        <v>0</v>
      </c>
      <c r="H380" s="22">
        <v>0</v>
      </c>
      <c r="I380">
        <f>IF(PisCofinsAliquot[[#This Row],[Classificação]]="Alíquota 0",6,IF(PisCofinsAliquot[[#This Row],[Classificação]]="Monofásico",4,IF(PisCofinsAliquot[[#This Row],[Classificação]]="Regra Geral",1,IF(PisCofinsAliquot[[#This Row],[Classificação]]="ST",5))))</f>
        <v>6</v>
      </c>
    </row>
    <row r="381" spans="1:9" x14ac:dyDescent="0.25">
      <c r="A381" s="124" t="s">
        <v>3335</v>
      </c>
      <c r="B381" s="125" t="s">
        <v>2701</v>
      </c>
      <c r="C381" s="126" t="str">
        <f>RIGHT(PisCofinsAliquot[[#This Row],[Código NCM]],8)</f>
        <v>08109090</v>
      </c>
      <c r="D381" s="127"/>
      <c r="E381" s="128"/>
      <c r="F381" s="128" t="s">
        <v>5059</v>
      </c>
      <c r="G381" s="22">
        <v>0</v>
      </c>
      <c r="H381" s="22">
        <v>0</v>
      </c>
      <c r="I381">
        <f>IF(PisCofinsAliquot[[#This Row],[Classificação]]="Alíquota 0",6,IF(PisCofinsAliquot[[#This Row],[Classificação]]="Monofásico",4,IF(PisCofinsAliquot[[#This Row],[Classificação]]="Regra Geral",1,IF(PisCofinsAliquot[[#This Row],[Classificação]]="ST",5))))</f>
        <v>6</v>
      </c>
    </row>
    <row r="382" spans="1:9" x14ac:dyDescent="0.25">
      <c r="A382" s="124" t="s">
        <v>396</v>
      </c>
      <c r="B382" s="125" t="s">
        <v>2701</v>
      </c>
      <c r="C382" s="126" t="str">
        <f>RIGHT(PisCofinsAliquot[[#This Row],[Código NCM]],8)</f>
        <v>08111000</v>
      </c>
      <c r="D382" s="127"/>
      <c r="E382" s="128"/>
      <c r="F382" s="128" t="s">
        <v>5060</v>
      </c>
      <c r="G382" s="3">
        <v>0</v>
      </c>
      <c r="H382" s="3">
        <v>0</v>
      </c>
      <c r="I382">
        <f>IF(PisCofinsAliquot[[#This Row],[Classificação]]="Alíquota 0",6,IF(PisCofinsAliquot[[#This Row],[Classificação]]="Monofásico",4,IF(PisCofinsAliquot[[#This Row],[Classificação]]="Regra Geral",1,IF(PisCofinsAliquot[[#This Row],[Classificação]]="ST",5))))</f>
        <v>6</v>
      </c>
    </row>
    <row r="383" spans="1:9" x14ac:dyDescent="0.25">
      <c r="A383" s="124" t="s">
        <v>543</v>
      </c>
      <c r="B383" s="125" t="s">
        <v>2701</v>
      </c>
      <c r="C383" s="126" t="str">
        <f>RIGHT(PisCofinsAliquot[[#This Row],[Código NCM]],8)</f>
        <v>08119000</v>
      </c>
      <c r="D383" s="127"/>
      <c r="E383" s="128"/>
      <c r="F383" s="128" t="s">
        <v>5061</v>
      </c>
      <c r="G383" s="22">
        <v>0</v>
      </c>
      <c r="H383" s="22">
        <v>0</v>
      </c>
      <c r="I383">
        <f>IF(PisCofinsAliquot[[#This Row],[Classificação]]="Alíquota 0",6,IF(PisCofinsAliquot[[#This Row],[Classificação]]="Monofásico",4,IF(PisCofinsAliquot[[#This Row],[Classificação]]="Regra Geral",1,IF(PisCofinsAliquot[[#This Row],[Classificação]]="ST",5))))</f>
        <v>6</v>
      </c>
    </row>
    <row r="384" spans="1:9" x14ac:dyDescent="0.25">
      <c r="A384" s="124" t="s">
        <v>3336</v>
      </c>
      <c r="B384" s="125" t="s">
        <v>2701</v>
      </c>
      <c r="C384" s="126" t="str">
        <f>RIGHT(PisCofinsAliquot[[#This Row],[Código NCM]],8)</f>
        <v>08131000</v>
      </c>
      <c r="D384" s="127"/>
      <c r="E384" s="128"/>
      <c r="F384" s="128" t="s">
        <v>5062</v>
      </c>
      <c r="G384" s="22">
        <v>0</v>
      </c>
      <c r="H384" s="22">
        <v>0</v>
      </c>
      <c r="I384">
        <f>IF(PisCofinsAliquot[[#This Row],[Classificação]]="Alíquota 0",6,IF(PisCofinsAliquot[[#This Row],[Classificação]]="Monofásico",4,IF(PisCofinsAliquot[[#This Row],[Classificação]]="Regra Geral",1,IF(PisCofinsAliquot[[#This Row],[Classificação]]="ST",5))))</f>
        <v>6</v>
      </c>
    </row>
    <row r="385" spans="1:9" x14ac:dyDescent="0.25">
      <c r="A385" s="124" t="s">
        <v>3337</v>
      </c>
      <c r="B385" s="125" t="s">
        <v>2701</v>
      </c>
      <c r="C385" s="126" t="str">
        <f>RIGHT(PisCofinsAliquot[[#This Row],[Código NCM]],8)</f>
        <v>08132010</v>
      </c>
      <c r="D385" s="127"/>
      <c r="E385" s="128"/>
      <c r="F385" s="128" t="s">
        <v>5063</v>
      </c>
      <c r="G385" s="22">
        <v>0</v>
      </c>
      <c r="H385" s="22">
        <v>0</v>
      </c>
      <c r="I385">
        <f>IF(PisCofinsAliquot[[#This Row],[Classificação]]="Alíquota 0",6,IF(PisCofinsAliquot[[#This Row],[Classificação]]="Monofásico",4,IF(PisCofinsAliquot[[#This Row],[Classificação]]="Regra Geral",1,IF(PisCofinsAliquot[[#This Row],[Classificação]]="ST",5))))</f>
        <v>6</v>
      </c>
    </row>
    <row r="386" spans="1:9" x14ac:dyDescent="0.25">
      <c r="A386" s="124" t="s">
        <v>2723</v>
      </c>
      <c r="B386" s="125" t="s">
        <v>2701</v>
      </c>
      <c r="C386" s="126" t="str">
        <f>RIGHT(PisCofinsAliquot[[#This Row],[Código NCM]],8)</f>
        <v>08132020</v>
      </c>
      <c r="D386" s="127"/>
      <c r="E386" s="128"/>
      <c r="F386" s="128" t="s">
        <v>5064</v>
      </c>
      <c r="G386" s="22">
        <v>0</v>
      </c>
      <c r="H386" s="22">
        <v>0</v>
      </c>
      <c r="I386">
        <f>IF(PisCofinsAliquot[[#This Row],[Classificação]]="Alíquota 0",6,IF(PisCofinsAliquot[[#This Row],[Classificação]]="Monofásico",4,IF(PisCofinsAliquot[[#This Row],[Classificação]]="Regra Geral",1,IF(PisCofinsAliquot[[#This Row],[Classificação]]="ST",5))))</f>
        <v>6</v>
      </c>
    </row>
    <row r="387" spans="1:9" x14ac:dyDescent="0.25">
      <c r="A387" s="124" t="s">
        <v>3398</v>
      </c>
      <c r="B387" s="125" t="s">
        <v>2701</v>
      </c>
      <c r="C387" s="126" t="str">
        <f>RIGHT(PisCofinsAliquot[[#This Row],[Código NCM]],8)</f>
        <v>08133000</v>
      </c>
      <c r="D387" s="127"/>
      <c r="E387" s="128"/>
      <c r="F387" s="128" t="s">
        <v>5065</v>
      </c>
      <c r="G387" s="3"/>
      <c r="H387" s="3"/>
      <c r="I387">
        <f>IF(PisCofinsAliquot[[#This Row],[Classificação]]="Alíquota 0",6,IF(PisCofinsAliquot[[#This Row],[Classificação]]="Monofásico",4,IF(PisCofinsAliquot[[#This Row],[Classificação]]="Regra Geral",1,IF(PisCofinsAliquot[[#This Row],[Classificação]]="ST",5))))</f>
        <v>6</v>
      </c>
    </row>
    <row r="388" spans="1:9" x14ac:dyDescent="0.25">
      <c r="A388" s="124" t="s">
        <v>3338</v>
      </c>
      <c r="B388" s="125" t="s">
        <v>2701</v>
      </c>
      <c r="C388" s="126" t="str">
        <f>RIGHT(PisCofinsAliquot[[#This Row],[Código NCM]],8)</f>
        <v>08134090</v>
      </c>
      <c r="D388" s="127"/>
      <c r="E388" s="128"/>
      <c r="F388" s="128" t="s">
        <v>5059</v>
      </c>
      <c r="G388" s="22">
        <v>0</v>
      </c>
      <c r="H388" s="22">
        <v>0</v>
      </c>
      <c r="I388">
        <f>IF(PisCofinsAliquot[[#This Row],[Classificação]]="Alíquota 0",6,IF(PisCofinsAliquot[[#This Row],[Classificação]]="Monofásico",4,IF(PisCofinsAliquot[[#This Row],[Classificação]]="Regra Geral",1,IF(PisCofinsAliquot[[#This Row],[Classificação]]="ST",5))))</f>
        <v>6</v>
      </c>
    </row>
    <row r="389" spans="1:9" ht="45" x14ac:dyDescent="0.25">
      <c r="A389" s="124" t="s">
        <v>3339</v>
      </c>
      <c r="B389" s="125" t="s">
        <v>2701</v>
      </c>
      <c r="C389" s="126" t="str">
        <f>RIGHT(PisCofinsAliquot[[#This Row],[Código NCM]],8)</f>
        <v>09011110</v>
      </c>
      <c r="D389" s="127"/>
      <c r="E389" s="128"/>
      <c r="F389" s="129" t="s">
        <v>5066</v>
      </c>
      <c r="G389" s="22">
        <v>0</v>
      </c>
      <c r="H389" s="22">
        <v>0</v>
      </c>
      <c r="I389">
        <f>IF(PisCofinsAliquot[[#This Row],[Classificação]]="Alíquota 0",6,IF(PisCofinsAliquot[[#This Row],[Classificação]]="Monofásico",4,IF(PisCofinsAliquot[[#This Row],[Classificação]]="Regra Geral",1,IF(PisCofinsAliquot[[#This Row],[Classificação]]="ST",5))))</f>
        <v>6</v>
      </c>
    </row>
    <row r="390" spans="1:9" ht="45" x14ac:dyDescent="0.25">
      <c r="A390" s="124" t="s">
        <v>3340</v>
      </c>
      <c r="B390" s="125" t="s">
        <v>2701</v>
      </c>
      <c r="C390" s="126" t="str">
        <f>RIGHT(PisCofinsAliquot[[#This Row],[Código NCM]],8)</f>
        <v>09011190</v>
      </c>
      <c r="D390" s="127"/>
      <c r="E390" s="128"/>
      <c r="F390" s="129" t="s">
        <v>5067</v>
      </c>
      <c r="G390" s="22">
        <v>0</v>
      </c>
      <c r="H390" s="22">
        <v>0</v>
      </c>
      <c r="I390">
        <f>IF(PisCofinsAliquot[[#This Row],[Classificação]]="Alíquota 0",6,IF(PisCofinsAliquot[[#This Row],[Classificação]]="Monofásico",4,IF(PisCofinsAliquot[[#This Row],[Classificação]]="Regra Geral",1,IF(PisCofinsAliquot[[#This Row],[Classificação]]="ST",5))))</f>
        <v>6</v>
      </c>
    </row>
    <row r="391" spans="1:9" ht="45" x14ac:dyDescent="0.25">
      <c r="A391" s="124" t="s">
        <v>3341</v>
      </c>
      <c r="B391" s="125" t="s">
        <v>2701</v>
      </c>
      <c r="C391" s="126" t="str">
        <f>RIGHT(PisCofinsAliquot[[#This Row],[Código NCM]],8)</f>
        <v>09011200</v>
      </c>
      <c r="D391" s="127"/>
      <c r="E391" s="128"/>
      <c r="F391" s="129" t="s">
        <v>5068</v>
      </c>
      <c r="G391" s="22">
        <v>0</v>
      </c>
      <c r="H391" s="22">
        <v>0</v>
      </c>
      <c r="I391">
        <f>IF(PisCofinsAliquot[[#This Row],[Classificação]]="Alíquota 0",6,IF(PisCofinsAliquot[[#This Row],[Classificação]]="Monofásico",4,IF(PisCofinsAliquot[[#This Row],[Classificação]]="Regra Geral",1,IF(PisCofinsAliquot[[#This Row],[Classificação]]="ST",5))))</f>
        <v>6</v>
      </c>
    </row>
    <row r="392" spans="1:9" ht="45" x14ac:dyDescent="0.25">
      <c r="A392" s="124" t="s">
        <v>183</v>
      </c>
      <c r="B392" s="125" t="s">
        <v>2701</v>
      </c>
      <c r="C392" s="126" t="str">
        <f>RIGHT(PisCofinsAliquot[[#This Row],[Código NCM]],8)</f>
        <v>09012100</v>
      </c>
      <c r="D392" s="127"/>
      <c r="E392" s="128"/>
      <c r="F392" s="129" t="s">
        <v>5069</v>
      </c>
      <c r="G392" s="22">
        <v>0</v>
      </c>
      <c r="H392" s="22">
        <v>0</v>
      </c>
      <c r="I392">
        <f>IF(PisCofinsAliquot[[#This Row],[Classificação]]="Alíquota 0",6,IF(PisCofinsAliquot[[#This Row],[Classificação]]="Monofásico",4,IF(PisCofinsAliquot[[#This Row],[Classificação]]="Regra Geral",1,IF(PisCofinsAliquot[[#This Row],[Classificação]]="ST",5))))</f>
        <v>6</v>
      </c>
    </row>
    <row r="393" spans="1:9" ht="45" x14ac:dyDescent="0.25">
      <c r="A393" s="124" t="s">
        <v>3342</v>
      </c>
      <c r="B393" s="125" t="s">
        <v>2701</v>
      </c>
      <c r="C393" s="126" t="str">
        <f>RIGHT(PisCofinsAliquot[[#This Row],[Código NCM]],8)</f>
        <v>09012200</v>
      </c>
      <c r="D393" s="127"/>
      <c r="E393" s="128"/>
      <c r="F393" s="129" t="s">
        <v>5070</v>
      </c>
      <c r="G393" s="22">
        <v>0</v>
      </c>
      <c r="H393" s="22">
        <v>0</v>
      </c>
      <c r="I393">
        <f>IF(PisCofinsAliquot[[#This Row],[Classificação]]="Alíquota 0",6,IF(PisCofinsAliquot[[#This Row],[Classificação]]="Monofásico",4,IF(PisCofinsAliquot[[#This Row],[Classificação]]="Regra Geral",1,IF(PisCofinsAliquot[[#This Row],[Classificação]]="ST",5))))</f>
        <v>6</v>
      </c>
    </row>
    <row r="394" spans="1:9" ht="30" x14ac:dyDescent="0.25">
      <c r="A394" s="124" t="s">
        <v>3343</v>
      </c>
      <c r="B394" s="125" t="s">
        <v>2701</v>
      </c>
      <c r="C394" s="126" t="str">
        <f>RIGHT(PisCofinsAliquot[[#This Row],[Código NCM]],8)</f>
        <v>09019000</v>
      </c>
      <c r="D394" s="127"/>
      <c r="E394" s="128"/>
      <c r="F394" s="129" t="s">
        <v>5071</v>
      </c>
      <c r="G394" s="22">
        <v>0</v>
      </c>
      <c r="H394" s="22">
        <v>0</v>
      </c>
      <c r="I394">
        <f>IF(PisCofinsAliquot[[#This Row],[Classificação]]="Alíquota 0",6,IF(PisCofinsAliquot[[#This Row],[Classificação]]="Monofásico",4,IF(PisCofinsAliquot[[#This Row],[Classificação]]="Regra Geral",1,IF(PisCofinsAliquot[[#This Row],[Classificação]]="ST",5))))</f>
        <v>6</v>
      </c>
    </row>
    <row r="395" spans="1:9" x14ac:dyDescent="0.25">
      <c r="A395" s="124" t="s">
        <v>3344</v>
      </c>
      <c r="B395" s="125" t="s">
        <v>2701</v>
      </c>
      <c r="C395" s="126" t="str">
        <f>RIGHT(PisCofinsAliquot[[#This Row],[Código NCM]],8)</f>
        <v>10019900</v>
      </c>
      <c r="D395" s="127"/>
      <c r="E395" s="128"/>
      <c r="F395" s="128" t="s">
        <v>5072</v>
      </c>
      <c r="G395" s="22">
        <v>0</v>
      </c>
      <c r="H395" s="22">
        <v>0</v>
      </c>
      <c r="I395">
        <f>IF(PisCofinsAliquot[[#This Row],[Classificação]]="Alíquota 0",6,IF(PisCofinsAliquot[[#This Row],[Classificação]]="Monofásico",4,IF(PisCofinsAliquot[[#This Row],[Classificação]]="Regra Geral",1,IF(PisCofinsAliquot[[#This Row],[Classificação]]="ST",5))))</f>
        <v>6</v>
      </c>
    </row>
    <row r="396" spans="1:9" x14ac:dyDescent="0.25">
      <c r="A396" s="124" t="s">
        <v>5073</v>
      </c>
      <c r="B396" s="125" t="s">
        <v>2701</v>
      </c>
      <c r="C396" s="126" t="str">
        <f>RIGHT(PisCofinsAliquot[[#This Row],[Código NCM]],8)</f>
        <v>10011100</v>
      </c>
      <c r="D396" s="127"/>
      <c r="E396" s="128"/>
      <c r="F396" s="128" t="s">
        <v>5074</v>
      </c>
      <c r="G396" s="22"/>
      <c r="H396" s="22"/>
      <c r="I396">
        <f>IF(PisCofinsAliquot[[#This Row],[Classificação]]="Alíquota 0",6,IF(PisCofinsAliquot[[#This Row],[Classificação]]="Monofásico",4,IF(PisCofinsAliquot[[#This Row],[Classificação]]="Regra Geral",1,IF(PisCofinsAliquot[[#This Row],[Classificação]]="ST",5))))</f>
        <v>6</v>
      </c>
    </row>
    <row r="397" spans="1:9" x14ac:dyDescent="0.25">
      <c r="A397" s="124" t="s">
        <v>5075</v>
      </c>
      <c r="B397" s="125" t="s">
        <v>2701</v>
      </c>
      <c r="C397" s="126" t="str">
        <f>RIGHT(PisCofinsAliquot[[#This Row],[Código NCM]],8)</f>
        <v>10011900</v>
      </c>
      <c r="D397" s="127"/>
      <c r="E397" s="128"/>
      <c r="F397" s="128" t="s">
        <v>5072</v>
      </c>
      <c r="G397" s="22"/>
      <c r="H397" s="22"/>
      <c r="I397">
        <f>IF(PisCofinsAliquot[[#This Row],[Classificação]]="Alíquota 0",6,IF(PisCofinsAliquot[[#This Row],[Classificação]]="Monofásico",4,IF(PisCofinsAliquot[[#This Row],[Classificação]]="Regra Geral",1,IF(PisCofinsAliquot[[#This Row],[Classificação]]="ST",5))))</f>
        <v>6</v>
      </c>
    </row>
    <row r="398" spans="1:9" x14ac:dyDescent="0.25">
      <c r="A398" s="124" t="s">
        <v>5076</v>
      </c>
      <c r="B398" s="125" t="s">
        <v>2701</v>
      </c>
      <c r="C398" s="126" t="str">
        <f>RIGHT(PisCofinsAliquot[[#This Row],[Código NCM]],8)</f>
        <v>10019100</v>
      </c>
      <c r="D398" s="127"/>
      <c r="E398" s="128"/>
      <c r="F398" s="128" t="s">
        <v>5072</v>
      </c>
      <c r="G398" s="22"/>
      <c r="H398" s="22"/>
      <c r="I398">
        <f>IF(PisCofinsAliquot[[#This Row],[Classificação]]="Alíquota 0",6,IF(PisCofinsAliquot[[#This Row],[Classificação]]="Monofásico",4,IF(PisCofinsAliquot[[#This Row],[Classificação]]="Regra Geral",1,IF(PisCofinsAliquot[[#This Row],[Classificação]]="ST",5))))</f>
        <v>6</v>
      </c>
    </row>
    <row r="399" spans="1:9" ht="30" x14ac:dyDescent="0.25">
      <c r="A399" s="124" t="s">
        <v>3345</v>
      </c>
      <c r="B399" s="125" t="s">
        <v>2701</v>
      </c>
      <c r="C399" s="126" t="str">
        <f>RIGHT(PisCofinsAliquot[[#This Row],[Código NCM]],8)</f>
        <v>10062010</v>
      </c>
      <c r="D399" s="127"/>
      <c r="E399" s="128"/>
      <c r="F399" s="129" t="s">
        <v>5077</v>
      </c>
      <c r="G399" s="22">
        <v>0</v>
      </c>
      <c r="H399" s="22">
        <v>0</v>
      </c>
      <c r="I399">
        <f>IF(PisCofinsAliquot[[#This Row],[Classificação]]="Alíquota 0",6,IF(PisCofinsAliquot[[#This Row],[Classificação]]="Monofásico",4,IF(PisCofinsAliquot[[#This Row],[Classificação]]="Regra Geral",1,IF(PisCofinsAliquot[[#This Row],[Classificação]]="ST",5))))</f>
        <v>6</v>
      </c>
    </row>
    <row r="400" spans="1:9" ht="45" x14ac:dyDescent="0.25">
      <c r="A400" s="124" t="s">
        <v>330</v>
      </c>
      <c r="B400" s="125" t="s">
        <v>2701</v>
      </c>
      <c r="C400" s="126" t="str">
        <f>RIGHT(PisCofinsAliquot[[#This Row],[Código NCM]],8)</f>
        <v>10062020</v>
      </c>
      <c r="D400" s="127"/>
      <c r="E400" s="128"/>
      <c r="F400" s="129" t="s">
        <v>5078</v>
      </c>
      <c r="G400" s="22">
        <v>0</v>
      </c>
      <c r="H400" s="22">
        <v>0</v>
      </c>
      <c r="I400">
        <f>IF(PisCofinsAliquot[[#This Row],[Classificação]]="Alíquota 0",6,IF(PisCofinsAliquot[[#This Row],[Classificação]]="Monofásico",4,IF(PisCofinsAliquot[[#This Row],[Classificação]]="Regra Geral",1,IF(PisCofinsAliquot[[#This Row],[Classificação]]="ST",5))))</f>
        <v>6</v>
      </c>
    </row>
    <row r="401" spans="1:9" x14ac:dyDescent="0.25">
      <c r="A401" s="124" t="s">
        <v>268</v>
      </c>
      <c r="B401" s="125" t="s">
        <v>2701</v>
      </c>
      <c r="C401" s="126" t="str">
        <f>RIGHT(PisCofinsAliquot[[#This Row],[Código NCM]],8)</f>
        <v>10063011</v>
      </c>
      <c r="D401" s="127"/>
      <c r="E401" s="128"/>
      <c r="F401" s="128" t="s">
        <v>5079</v>
      </c>
      <c r="G401" s="22">
        <v>0</v>
      </c>
      <c r="H401" s="22">
        <v>0</v>
      </c>
      <c r="I401">
        <f>IF(PisCofinsAliquot[[#This Row],[Classificação]]="Alíquota 0",6,IF(PisCofinsAliquot[[#This Row],[Classificação]]="Monofásico",4,IF(PisCofinsAliquot[[#This Row],[Classificação]]="Regra Geral",1,IF(PisCofinsAliquot[[#This Row],[Classificação]]="ST",5))))</f>
        <v>6</v>
      </c>
    </row>
    <row r="402" spans="1:9" x14ac:dyDescent="0.25">
      <c r="A402" s="124" t="s">
        <v>3346</v>
      </c>
      <c r="B402" s="125" t="s">
        <v>2701</v>
      </c>
      <c r="C402" s="126" t="str">
        <f>RIGHT(PisCofinsAliquot[[#This Row],[Código NCM]],8)</f>
        <v>10063019</v>
      </c>
      <c r="D402" s="127"/>
      <c r="E402" s="128"/>
      <c r="F402" s="128" t="s">
        <v>5080</v>
      </c>
      <c r="G402" s="22">
        <v>0</v>
      </c>
      <c r="H402" s="22">
        <v>0</v>
      </c>
      <c r="I402">
        <f>IF(PisCofinsAliquot[[#This Row],[Classificação]]="Alíquota 0",6,IF(PisCofinsAliquot[[#This Row],[Classificação]]="Monofásico",4,IF(PisCofinsAliquot[[#This Row],[Classificação]]="Regra Geral",1,IF(PisCofinsAliquot[[#This Row],[Classificação]]="ST",5))))</f>
        <v>6</v>
      </c>
    </row>
    <row r="403" spans="1:9" x14ac:dyDescent="0.25">
      <c r="A403" s="124" t="s">
        <v>204</v>
      </c>
      <c r="B403" s="125" t="s">
        <v>2701</v>
      </c>
      <c r="C403" s="126" t="str">
        <f>RIGHT(PisCofinsAliquot[[#This Row],[Código NCM]],8)</f>
        <v>10063021</v>
      </c>
      <c r="D403" s="127"/>
      <c r="E403" s="128"/>
      <c r="F403" s="128" t="s">
        <v>5081</v>
      </c>
      <c r="G403" s="22">
        <v>0</v>
      </c>
      <c r="H403" s="22">
        <v>0</v>
      </c>
      <c r="I403">
        <f>IF(PisCofinsAliquot[[#This Row],[Classificação]]="Alíquota 0",6,IF(PisCofinsAliquot[[#This Row],[Classificação]]="Monofásico",4,IF(PisCofinsAliquot[[#This Row],[Classificação]]="Regra Geral",1,IF(PisCofinsAliquot[[#This Row],[Classificação]]="ST",5))))</f>
        <v>6</v>
      </c>
    </row>
    <row r="404" spans="1:9" x14ac:dyDescent="0.25">
      <c r="A404" s="124" t="s">
        <v>377</v>
      </c>
      <c r="B404" s="125" t="s">
        <v>2701</v>
      </c>
      <c r="C404" s="126" t="str">
        <f>RIGHT(PisCofinsAliquot[[#This Row],[Código NCM]],8)</f>
        <v>10063029</v>
      </c>
      <c r="D404" s="127"/>
      <c r="E404" s="128"/>
      <c r="F404" s="128" t="s">
        <v>5082</v>
      </c>
      <c r="G404" s="22">
        <v>0</v>
      </c>
      <c r="H404" s="22">
        <v>0</v>
      </c>
      <c r="I404">
        <f>IF(PisCofinsAliquot[[#This Row],[Classificação]]="Alíquota 0",6,IF(PisCofinsAliquot[[#This Row],[Classificação]]="Monofásico",4,IF(PisCofinsAliquot[[#This Row],[Classificação]]="Regra Geral",1,IF(PisCofinsAliquot[[#This Row],[Classificação]]="ST",5))))</f>
        <v>6</v>
      </c>
    </row>
    <row r="405" spans="1:9" ht="30" x14ac:dyDescent="0.25">
      <c r="A405" s="124" t="s">
        <v>3400</v>
      </c>
      <c r="B405" s="125" t="s">
        <v>2701</v>
      </c>
      <c r="C405" s="126" t="str">
        <f>RIGHT(PisCofinsAliquot[[#This Row],[Código NCM]],8)</f>
        <v>10082190</v>
      </c>
      <c r="D405" s="127" t="s">
        <v>3401</v>
      </c>
      <c r="E405" s="128"/>
      <c r="F405" s="129" t="s">
        <v>5083</v>
      </c>
      <c r="G405" s="3"/>
      <c r="H405" s="3"/>
      <c r="I405">
        <f>IF(PisCofinsAliquot[[#This Row],[Classificação]]="Alíquota 0",6,IF(PisCofinsAliquot[[#This Row],[Classificação]]="Monofásico",4,IF(PisCofinsAliquot[[#This Row],[Classificação]]="Regra Geral",1,IF(PisCofinsAliquot[[#This Row],[Classificação]]="ST",5))))</f>
        <v>6</v>
      </c>
    </row>
    <row r="406" spans="1:9" ht="30" x14ac:dyDescent="0.25">
      <c r="A406" s="124" t="s">
        <v>3402</v>
      </c>
      <c r="B406" s="125" t="s">
        <v>2701</v>
      </c>
      <c r="C406" s="126" t="str">
        <f>RIGHT(PisCofinsAliquot[[#This Row],[Código NCM]],8)</f>
        <v>10083090</v>
      </c>
      <c r="D406" s="127" t="s">
        <v>5084</v>
      </c>
      <c r="E406" s="128"/>
      <c r="F406" s="129" t="s">
        <v>5085</v>
      </c>
      <c r="G406" s="3"/>
      <c r="H406" s="3"/>
      <c r="I406">
        <f>IF(PisCofinsAliquot[[#This Row],[Classificação]]="Alíquota 0",6,IF(PisCofinsAliquot[[#This Row],[Classificação]]="Monofásico",4,IF(PisCofinsAliquot[[#This Row],[Classificação]]="Regra Geral",1,IF(PisCofinsAliquot[[#This Row],[Classificação]]="ST",5))))</f>
        <v>6</v>
      </c>
    </row>
    <row r="407" spans="1:9" x14ac:dyDescent="0.25">
      <c r="A407" s="124" t="s">
        <v>218</v>
      </c>
      <c r="B407" s="125" t="s">
        <v>2701</v>
      </c>
      <c r="C407" s="126" t="str">
        <f>RIGHT(PisCofinsAliquot[[#This Row],[Código NCM]],8)</f>
        <v>11010010</v>
      </c>
      <c r="D407" s="127"/>
      <c r="E407" s="128"/>
      <c r="F407" s="128" t="s">
        <v>5086</v>
      </c>
      <c r="G407" s="22">
        <v>0</v>
      </c>
      <c r="H407" s="22">
        <v>0</v>
      </c>
      <c r="I407">
        <f>IF(PisCofinsAliquot[[#This Row],[Classificação]]="Alíquota 0",6,IF(PisCofinsAliquot[[#This Row],[Classificação]]="Monofásico",4,IF(PisCofinsAliquot[[#This Row],[Classificação]]="Regra Geral",1,IF(PisCofinsAliquot[[#This Row],[Classificação]]="ST",5))))</f>
        <v>6</v>
      </c>
    </row>
    <row r="408" spans="1:9" x14ac:dyDescent="0.25">
      <c r="A408" s="124" t="s">
        <v>219</v>
      </c>
      <c r="B408" s="125" t="s">
        <v>2701</v>
      </c>
      <c r="C408" s="126" t="str">
        <f>RIGHT(PisCofinsAliquot[[#This Row],[Código NCM]],8)</f>
        <v>11022000</v>
      </c>
      <c r="D408" s="127"/>
      <c r="E408" s="128"/>
      <c r="F408" s="128" t="s">
        <v>5087</v>
      </c>
      <c r="G408" s="22">
        <v>0</v>
      </c>
      <c r="H408" s="22">
        <v>0</v>
      </c>
      <c r="I408">
        <f>IF(PisCofinsAliquot[[#This Row],[Classificação]]="Alíquota 0",6,IF(PisCofinsAliquot[[#This Row],[Classificação]]="Monofásico",4,IF(PisCofinsAliquot[[#This Row],[Classificação]]="Regra Geral",1,IF(PisCofinsAliquot[[#This Row],[Classificação]]="ST",5))))</f>
        <v>6</v>
      </c>
    </row>
    <row r="409" spans="1:9" x14ac:dyDescent="0.25">
      <c r="A409" s="124" t="s">
        <v>354</v>
      </c>
      <c r="B409" s="125" t="s">
        <v>2701</v>
      </c>
      <c r="C409" s="126" t="str">
        <f>RIGHT(PisCofinsAliquot[[#This Row],[Código NCM]],8)</f>
        <v>11031300</v>
      </c>
      <c r="D409" s="127"/>
      <c r="E409" s="128"/>
      <c r="F409" s="128" t="s">
        <v>5088</v>
      </c>
      <c r="G409" s="22">
        <v>0</v>
      </c>
      <c r="H409" s="22">
        <v>0</v>
      </c>
      <c r="I409">
        <f>IF(PisCofinsAliquot[[#This Row],[Classificação]]="Alíquota 0",6,IF(PisCofinsAliquot[[#This Row],[Classificação]]="Monofásico",4,IF(PisCofinsAliquot[[#This Row],[Classificação]]="Regra Geral",1,IF(PisCofinsAliquot[[#This Row],[Classificação]]="ST",5))))</f>
        <v>6</v>
      </c>
    </row>
    <row r="410" spans="1:9" x14ac:dyDescent="0.25">
      <c r="A410" s="133" t="s">
        <v>2729</v>
      </c>
      <c r="B410" s="134" t="s">
        <v>2701</v>
      </c>
      <c r="C410" s="126" t="str">
        <f>RIGHT(PisCofinsAliquot[[#This Row],[Código NCM]],8)</f>
        <v>11041900</v>
      </c>
      <c r="D410" s="135"/>
      <c r="E410" s="136"/>
      <c r="F410" s="136" t="s">
        <v>5089</v>
      </c>
      <c r="G410" s="22">
        <v>0</v>
      </c>
      <c r="H410" s="22">
        <v>0</v>
      </c>
      <c r="I410">
        <f>IF(PisCofinsAliquot[[#This Row],[Classificação]]="Alíquota 0",6,IF(PisCofinsAliquot[[#This Row],[Classificação]]="Monofásico",4,IF(PisCofinsAliquot[[#This Row],[Classificação]]="Regra Geral",1,IF(PisCofinsAliquot[[#This Row],[Classificação]]="ST",5))))</f>
        <v>6</v>
      </c>
    </row>
    <row r="411" spans="1:9" x14ac:dyDescent="0.25">
      <c r="A411" s="124" t="s">
        <v>169</v>
      </c>
      <c r="B411" s="125" t="s">
        <v>2701</v>
      </c>
      <c r="C411" s="126" t="str">
        <f>RIGHT(PisCofinsAliquot[[#This Row],[Código NCM]],8)</f>
        <v>11062000</v>
      </c>
      <c r="D411" s="127"/>
      <c r="E411" s="128"/>
      <c r="F411" s="128" t="s">
        <v>5090</v>
      </c>
      <c r="G411" s="22">
        <v>0</v>
      </c>
      <c r="H411" s="22">
        <v>0</v>
      </c>
      <c r="I411">
        <f>IF(PisCofinsAliquot[[#This Row],[Classificação]]="Alíquota 0",6,IF(PisCofinsAliquot[[#This Row],[Classificação]]="Monofásico",4,IF(PisCofinsAliquot[[#This Row],[Classificação]]="Regra Geral",1,IF(PisCofinsAliquot[[#This Row],[Classificação]]="ST",5))))</f>
        <v>6</v>
      </c>
    </row>
    <row r="412" spans="1:9" x14ac:dyDescent="0.25">
      <c r="A412" s="124" t="s">
        <v>3347</v>
      </c>
      <c r="B412" s="125" t="s">
        <v>2701</v>
      </c>
      <c r="C412" s="126" t="str">
        <f>RIGHT(PisCofinsAliquot[[#This Row],[Código NCM]],8)</f>
        <v>12081000</v>
      </c>
      <c r="D412" s="127"/>
      <c r="E412" s="128"/>
      <c r="F412" s="128" t="s">
        <v>5091</v>
      </c>
      <c r="G412" s="3">
        <v>0</v>
      </c>
      <c r="H412" s="3">
        <v>0</v>
      </c>
      <c r="I412">
        <f>IF(PisCofinsAliquot[[#This Row],[Classificação]]="Alíquota 0",6,IF(PisCofinsAliquot[[#This Row],[Classificação]]="Monofásico",4,IF(PisCofinsAliquot[[#This Row],[Classificação]]="Regra Geral",1,IF(PisCofinsAliquot[[#This Row],[Classificação]]="ST",5))))</f>
        <v>6</v>
      </c>
    </row>
    <row r="413" spans="1:9" x14ac:dyDescent="0.25">
      <c r="A413" s="130" t="s">
        <v>550</v>
      </c>
      <c r="B413" s="125" t="s">
        <v>2701</v>
      </c>
      <c r="C413" s="126" t="str">
        <f>RIGHT(PisCofinsAliquot[[#This Row],[Código NCM]],8)</f>
        <v>12099100</v>
      </c>
      <c r="D413" s="128"/>
      <c r="E413" s="128"/>
      <c r="F413" s="128" t="s">
        <v>5091</v>
      </c>
      <c r="G413" s="22"/>
      <c r="H413" s="22"/>
      <c r="I413">
        <f>IF(PisCofinsAliquot[[#This Row],[Classificação]]="Alíquota 0",6,IF(PisCofinsAliquot[[#This Row],[Classificação]]="Monofásico",4,IF(PisCofinsAliquot[[#This Row],[Classificação]]="Regra Geral",1,IF(PisCofinsAliquot[[#This Row],[Classificação]]="ST",5))))</f>
        <v>6</v>
      </c>
    </row>
    <row r="414" spans="1:9" x14ac:dyDescent="0.25">
      <c r="A414" s="130" t="s">
        <v>3348</v>
      </c>
      <c r="B414" s="125" t="s">
        <v>2701</v>
      </c>
      <c r="C414" s="126" t="str">
        <f>RIGHT(PisCofinsAliquot[[#This Row],[Código NCM]],8)</f>
        <v>15021011</v>
      </c>
      <c r="D414" s="128"/>
      <c r="E414" s="128"/>
      <c r="F414" s="128" t="s">
        <v>5092</v>
      </c>
      <c r="G414" s="22">
        <v>0</v>
      </c>
      <c r="H414" s="22">
        <v>0</v>
      </c>
      <c r="I414">
        <f>IF(PisCofinsAliquot[[#This Row],[Classificação]]="Alíquota 0",6,IF(PisCofinsAliquot[[#This Row],[Classificação]]="Monofásico",4,IF(PisCofinsAliquot[[#This Row],[Classificação]]="Regra Geral",1,IF(PisCofinsAliquot[[#This Row],[Classificação]]="ST",5))))</f>
        <v>6</v>
      </c>
    </row>
    <row r="415" spans="1:9" x14ac:dyDescent="0.25">
      <c r="A415" s="130" t="s">
        <v>3349</v>
      </c>
      <c r="B415" s="125" t="s">
        <v>2701</v>
      </c>
      <c r="C415" s="126" t="str">
        <f>RIGHT(PisCofinsAliquot[[#This Row],[Código NCM]],8)</f>
        <v>15021012</v>
      </c>
      <c r="D415" s="128"/>
      <c r="E415" s="128"/>
      <c r="F415" s="128" t="s">
        <v>5092</v>
      </c>
      <c r="G415" s="22">
        <v>0</v>
      </c>
      <c r="H415" s="22">
        <v>0</v>
      </c>
      <c r="I415">
        <f>IF(PisCofinsAliquot[[#This Row],[Classificação]]="Alíquota 0",6,IF(PisCofinsAliquot[[#This Row],[Classificação]]="Monofásico",4,IF(PisCofinsAliquot[[#This Row],[Classificação]]="Regra Geral",1,IF(PisCofinsAliquot[[#This Row],[Classificação]]="ST",5))))</f>
        <v>6</v>
      </c>
    </row>
    <row r="416" spans="1:9" x14ac:dyDescent="0.25">
      <c r="A416" s="130" t="s">
        <v>3350</v>
      </c>
      <c r="B416" s="125" t="s">
        <v>2701</v>
      </c>
      <c r="C416" s="126" t="str">
        <f>RIGHT(PisCofinsAliquot[[#This Row],[Código NCM]],8)</f>
        <v>15021019</v>
      </c>
      <c r="D416" s="128"/>
      <c r="E416" s="128"/>
      <c r="F416" s="128" t="s">
        <v>5092</v>
      </c>
      <c r="G416" s="22">
        <v>0</v>
      </c>
      <c r="H416" s="22">
        <v>0</v>
      </c>
      <c r="I416">
        <f>IF(PisCofinsAliquot[[#This Row],[Classificação]]="Alíquota 0",6,IF(PisCofinsAliquot[[#This Row],[Classificação]]="Monofásico",4,IF(PisCofinsAliquot[[#This Row],[Classificação]]="Regra Geral",1,IF(PisCofinsAliquot[[#This Row],[Classificação]]="ST",5))))</f>
        <v>6</v>
      </c>
    </row>
    <row r="417" spans="1:9" ht="30" x14ac:dyDescent="0.25">
      <c r="A417" s="124" t="s">
        <v>3351</v>
      </c>
      <c r="B417" s="125" t="s">
        <v>2701</v>
      </c>
      <c r="C417" s="126" t="str">
        <f>RIGHT(PisCofinsAliquot[[#This Row],[Código NCM]],8)</f>
        <v>15071000</v>
      </c>
      <c r="D417" s="127"/>
      <c r="E417" s="128"/>
      <c r="F417" s="129" t="s">
        <v>5093</v>
      </c>
      <c r="G417" s="22">
        <v>0</v>
      </c>
      <c r="H417" s="22">
        <v>0</v>
      </c>
      <c r="I417">
        <f>IF(PisCofinsAliquot[[#This Row],[Classificação]]="Alíquota 0",6,IF(PisCofinsAliquot[[#This Row],[Classificação]]="Monofásico",4,IF(PisCofinsAliquot[[#This Row],[Classificação]]="Regra Geral",1,IF(PisCofinsAliquot[[#This Row],[Classificação]]="ST",5))))</f>
        <v>6</v>
      </c>
    </row>
    <row r="418" spans="1:9" ht="30" x14ac:dyDescent="0.25">
      <c r="A418" s="124" t="s">
        <v>184</v>
      </c>
      <c r="B418" s="125" t="s">
        <v>2701</v>
      </c>
      <c r="C418" s="126" t="str">
        <f>RIGHT(PisCofinsAliquot[[#This Row],[Código NCM]],8)</f>
        <v>15079011</v>
      </c>
      <c r="D418" s="127"/>
      <c r="E418" s="128"/>
      <c r="F418" s="129" t="s">
        <v>5093</v>
      </c>
      <c r="G418" s="22">
        <v>0</v>
      </c>
      <c r="H418" s="22">
        <v>0</v>
      </c>
      <c r="I418">
        <f>IF(PisCofinsAliquot[[#This Row],[Classificação]]="Alíquota 0",6,IF(PisCofinsAliquot[[#This Row],[Classificação]]="Monofásico",4,IF(PisCofinsAliquot[[#This Row],[Classificação]]="Regra Geral",1,IF(PisCofinsAliquot[[#This Row],[Classificação]]="ST",5))))</f>
        <v>6</v>
      </c>
    </row>
    <row r="419" spans="1:9" ht="30" x14ac:dyDescent="0.25">
      <c r="A419" s="124" t="s">
        <v>3352</v>
      </c>
      <c r="B419" s="125" t="s">
        <v>2701</v>
      </c>
      <c r="C419" s="126" t="str">
        <f>RIGHT(PisCofinsAliquot[[#This Row],[Código NCM]],8)</f>
        <v>15079019</v>
      </c>
      <c r="D419" s="127"/>
      <c r="E419" s="128"/>
      <c r="F419" s="129" t="s">
        <v>5093</v>
      </c>
      <c r="G419" s="22">
        <v>0</v>
      </c>
      <c r="H419" s="22">
        <v>0</v>
      </c>
      <c r="I419">
        <f>IF(PisCofinsAliquot[[#This Row],[Classificação]]="Alíquota 0",6,IF(PisCofinsAliquot[[#This Row],[Classificação]]="Monofásico",4,IF(PisCofinsAliquot[[#This Row],[Classificação]]="Regra Geral",1,IF(PisCofinsAliquot[[#This Row],[Classificação]]="ST",5))))</f>
        <v>6</v>
      </c>
    </row>
    <row r="420" spans="1:9" ht="30" x14ac:dyDescent="0.25">
      <c r="A420" s="124" t="s">
        <v>3353</v>
      </c>
      <c r="B420" s="125" t="s">
        <v>2701</v>
      </c>
      <c r="C420" s="126" t="str">
        <f>RIGHT(PisCofinsAliquot[[#This Row],[Código NCM]],8)</f>
        <v>15079090</v>
      </c>
      <c r="D420" s="127"/>
      <c r="E420" s="128"/>
      <c r="F420" s="129" t="s">
        <v>5093</v>
      </c>
      <c r="G420" s="22">
        <v>0</v>
      </c>
      <c r="H420" s="22">
        <v>0</v>
      </c>
      <c r="I420">
        <f>IF(PisCofinsAliquot[[#This Row],[Classificação]]="Alíquota 0",6,IF(PisCofinsAliquot[[#This Row],[Classificação]]="Monofásico",4,IF(PisCofinsAliquot[[#This Row],[Classificação]]="Regra Geral",1,IF(PisCofinsAliquot[[#This Row],[Classificação]]="ST",5))))</f>
        <v>6</v>
      </c>
    </row>
    <row r="421" spans="1:9" ht="30" x14ac:dyDescent="0.25">
      <c r="A421" s="124" t="s">
        <v>3354</v>
      </c>
      <c r="B421" s="125" t="s">
        <v>2701</v>
      </c>
      <c r="C421" s="126" t="str">
        <f>RIGHT(PisCofinsAliquot[[#This Row],[Código NCM]],8)</f>
        <v>15081000</v>
      </c>
      <c r="D421" s="127"/>
      <c r="E421" s="128"/>
      <c r="F421" s="129" t="s">
        <v>5094</v>
      </c>
      <c r="G421" s="22">
        <v>0</v>
      </c>
      <c r="H421" s="22">
        <v>0</v>
      </c>
      <c r="I421">
        <f>IF(PisCofinsAliquot[[#This Row],[Classificação]]="Alíquota 0",6,IF(PisCofinsAliquot[[#This Row],[Classificação]]="Monofásico",4,IF(PisCofinsAliquot[[#This Row],[Classificação]]="Regra Geral",1,IF(PisCofinsAliquot[[#This Row],[Classificação]]="ST",5))))</f>
        <v>6</v>
      </c>
    </row>
    <row r="422" spans="1:9" ht="30" x14ac:dyDescent="0.25">
      <c r="A422" s="124" t="s">
        <v>3355</v>
      </c>
      <c r="B422" s="125" t="s">
        <v>2701</v>
      </c>
      <c r="C422" s="126" t="str">
        <f>RIGHT(PisCofinsAliquot[[#This Row],[Código NCM]],8)</f>
        <v>15089000</v>
      </c>
      <c r="D422" s="127"/>
      <c r="E422" s="128"/>
      <c r="F422" s="129" t="s">
        <v>5094</v>
      </c>
      <c r="G422" s="22">
        <v>0</v>
      </c>
      <c r="H422" s="22">
        <v>0</v>
      </c>
      <c r="I422">
        <f>IF(PisCofinsAliquot[[#This Row],[Classificação]]="Alíquota 0",6,IF(PisCofinsAliquot[[#This Row],[Classificação]]="Monofásico",4,IF(PisCofinsAliquot[[#This Row],[Classificação]]="Regra Geral",1,IF(PisCofinsAliquot[[#This Row],[Classificação]]="ST",5))))</f>
        <v>6</v>
      </c>
    </row>
    <row r="423" spans="1:9" ht="30" x14ac:dyDescent="0.25">
      <c r="A423" s="124" t="s">
        <v>2738</v>
      </c>
      <c r="B423" s="125" t="s">
        <v>2701</v>
      </c>
      <c r="C423" s="126" t="str">
        <f>RIGHT(PisCofinsAliquot[[#This Row],[Código NCM]],8)</f>
        <v>15091000</v>
      </c>
      <c r="D423" s="127"/>
      <c r="E423" s="128"/>
      <c r="F423" s="129" t="s">
        <v>5095</v>
      </c>
      <c r="G423" s="22">
        <v>0</v>
      </c>
      <c r="H423" s="22">
        <v>0</v>
      </c>
      <c r="I423">
        <f>IF(PisCofinsAliquot[[#This Row],[Classificação]]="Alíquota 0",6,IF(PisCofinsAliquot[[#This Row],[Classificação]]="Monofásico",4,IF(PisCofinsAliquot[[#This Row],[Classificação]]="Regra Geral",1,IF(PisCofinsAliquot[[#This Row],[Classificação]]="ST",5))))</f>
        <v>6</v>
      </c>
    </row>
    <row r="424" spans="1:9" ht="30" x14ac:dyDescent="0.25">
      <c r="A424" s="124" t="s">
        <v>339</v>
      </c>
      <c r="B424" s="125" t="s">
        <v>2701</v>
      </c>
      <c r="C424" s="126" t="str">
        <f>RIGHT(PisCofinsAliquot[[#This Row],[Código NCM]],8)</f>
        <v>15099010</v>
      </c>
      <c r="D424" s="127"/>
      <c r="E424" s="128"/>
      <c r="F424" s="129" t="s">
        <v>5095</v>
      </c>
      <c r="G424" s="22">
        <v>0</v>
      </c>
      <c r="H424" s="22">
        <v>0</v>
      </c>
      <c r="I424">
        <f>IF(PisCofinsAliquot[[#This Row],[Classificação]]="Alíquota 0",6,IF(PisCofinsAliquot[[#This Row],[Classificação]]="Monofásico",4,IF(PisCofinsAliquot[[#This Row],[Classificação]]="Regra Geral",1,IF(PisCofinsAliquot[[#This Row],[Classificação]]="ST",5))))</f>
        <v>6</v>
      </c>
    </row>
    <row r="425" spans="1:9" ht="30" x14ac:dyDescent="0.25">
      <c r="A425" s="124" t="s">
        <v>299</v>
      </c>
      <c r="B425" s="125" t="s">
        <v>2701</v>
      </c>
      <c r="C425" s="126" t="str">
        <f>RIGHT(PisCofinsAliquot[[#This Row],[Código NCM]],8)</f>
        <v>15099090</v>
      </c>
      <c r="D425" s="127"/>
      <c r="E425" s="128"/>
      <c r="F425" s="129" t="s">
        <v>5095</v>
      </c>
      <c r="G425" s="22">
        <v>0</v>
      </c>
      <c r="H425" s="22">
        <v>0</v>
      </c>
      <c r="I425">
        <f>IF(PisCofinsAliquot[[#This Row],[Classificação]]="Alíquota 0",6,IF(PisCofinsAliquot[[#This Row],[Classificação]]="Monofásico",4,IF(PisCofinsAliquot[[#This Row],[Classificação]]="Regra Geral",1,IF(PisCofinsAliquot[[#This Row],[Classificação]]="ST",5))))</f>
        <v>6</v>
      </c>
    </row>
    <row r="426" spans="1:9" ht="135" x14ac:dyDescent="0.25">
      <c r="A426" s="124" t="s">
        <v>3413</v>
      </c>
      <c r="B426" s="125" t="s">
        <v>2701</v>
      </c>
      <c r="C426" s="126" t="str">
        <f>RIGHT(PisCofinsAliquot[[#This Row],[Código NCM]],8)</f>
        <v>15100000</v>
      </c>
      <c r="D426" s="127"/>
      <c r="E426" s="128"/>
      <c r="F426" s="129" t="s">
        <v>5096</v>
      </c>
      <c r="G426" s="3"/>
      <c r="H426" s="3"/>
      <c r="I426">
        <f>IF(PisCofinsAliquot[[#This Row],[Classificação]]="Alíquota 0",6,IF(PisCofinsAliquot[[#This Row],[Classificação]]="Monofásico",4,IF(PisCofinsAliquot[[#This Row],[Classificação]]="Regra Geral",1,IF(PisCofinsAliquot[[#This Row],[Classificação]]="ST",5))))</f>
        <v>6</v>
      </c>
    </row>
    <row r="427" spans="1:9" ht="30" x14ac:dyDescent="0.25">
      <c r="A427" s="124" t="s">
        <v>387</v>
      </c>
      <c r="B427" s="125" t="s">
        <v>2701</v>
      </c>
      <c r="C427" s="126" t="str">
        <f>RIGHT(PisCofinsAliquot[[#This Row],[Código NCM]],8)</f>
        <v>15111000</v>
      </c>
      <c r="D427" s="127"/>
      <c r="E427" s="128"/>
      <c r="F427" s="129" t="s">
        <v>5097</v>
      </c>
      <c r="G427" s="3"/>
      <c r="H427" s="3"/>
      <c r="I427">
        <f>IF(PisCofinsAliquot[[#This Row],[Classificação]]="Alíquota 0",6,IF(PisCofinsAliquot[[#This Row],[Classificação]]="Monofásico",4,IF(PisCofinsAliquot[[#This Row],[Classificação]]="Regra Geral",1,IF(PisCofinsAliquot[[#This Row],[Classificação]]="ST",5))))</f>
        <v>6</v>
      </c>
    </row>
    <row r="428" spans="1:9" ht="30" x14ac:dyDescent="0.25">
      <c r="A428" s="124" t="s">
        <v>3356</v>
      </c>
      <c r="B428" s="125" t="s">
        <v>2701</v>
      </c>
      <c r="C428" s="126" t="str">
        <f>RIGHT(PisCofinsAliquot[[#This Row],[Código NCM]],8)</f>
        <v>15119000</v>
      </c>
      <c r="D428" s="127"/>
      <c r="E428" s="128"/>
      <c r="F428" s="129" t="s">
        <v>5097</v>
      </c>
      <c r="G428" s="3">
        <v>0</v>
      </c>
      <c r="H428" s="3">
        <v>0</v>
      </c>
      <c r="I428">
        <f>IF(PisCofinsAliquot[[#This Row],[Classificação]]="Alíquota 0",6,IF(PisCofinsAliquot[[#This Row],[Classificação]]="Monofásico",4,IF(PisCofinsAliquot[[#This Row],[Classificação]]="Regra Geral",1,IF(PisCofinsAliquot[[#This Row],[Classificação]]="ST",5))))</f>
        <v>6</v>
      </c>
    </row>
    <row r="429" spans="1:9" ht="30" x14ac:dyDescent="0.25">
      <c r="A429" s="124" t="s">
        <v>260</v>
      </c>
      <c r="B429" s="125" t="s">
        <v>2701</v>
      </c>
      <c r="C429" s="126" t="str">
        <f>RIGHT(PisCofinsAliquot[[#This Row],[Código NCM]],8)</f>
        <v>15121911</v>
      </c>
      <c r="D429" s="127"/>
      <c r="E429" s="128"/>
      <c r="F429" s="129" t="s">
        <v>5098</v>
      </c>
      <c r="G429" s="22">
        <v>0</v>
      </c>
      <c r="H429" s="22">
        <v>0</v>
      </c>
      <c r="I429">
        <f>IF(PisCofinsAliquot[[#This Row],[Classificação]]="Alíquota 0",6,IF(PisCofinsAliquot[[#This Row],[Classificação]]="Monofásico",4,IF(PisCofinsAliquot[[#This Row],[Classificação]]="Regra Geral",1,IF(PisCofinsAliquot[[#This Row],[Classificação]]="ST",5))))</f>
        <v>6</v>
      </c>
    </row>
    <row r="430" spans="1:9" ht="30" x14ac:dyDescent="0.25">
      <c r="A430" s="124" t="s">
        <v>3577</v>
      </c>
      <c r="B430" s="125" t="s">
        <v>2701</v>
      </c>
      <c r="C430" s="126" t="str">
        <f>RIGHT(PisCofinsAliquot[[#This Row],[Código NCM]],8)</f>
        <v>15131100</v>
      </c>
      <c r="D430" s="127"/>
      <c r="E430" s="128"/>
      <c r="F430" s="129" t="s">
        <v>5099</v>
      </c>
      <c r="G430" s="22"/>
      <c r="H430" s="22"/>
      <c r="I430">
        <f>IF(PisCofinsAliquot[[#This Row],[Classificação]]="Alíquota 0",6,IF(PisCofinsAliquot[[#This Row],[Classificação]]="Monofásico",4,IF(PisCofinsAliquot[[#This Row],[Classificação]]="Regra Geral",1,IF(PisCofinsAliquot[[#This Row],[Classificação]]="ST",5))))</f>
        <v>6</v>
      </c>
    </row>
    <row r="431" spans="1:9" ht="30" x14ac:dyDescent="0.25">
      <c r="A431" s="124" t="s">
        <v>3357</v>
      </c>
      <c r="B431" s="125" t="s">
        <v>2701</v>
      </c>
      <c r="C431" s="126" t="str">
        <f>RIGHT(PisCofinsAliquot[[#This Row],[Código NCM]],8)</f>
        <v>15131900</v>
      </c>
      <c r="D431" s="127"/>
      <c r="E431" s="128"/>
      <c r="F431" s="129" t="s">
        <v>5099</v>
      </c>
      <c r="G431" s="3">
        <v>0</v>
      </c>
      <c r="H431" s="3">
        <v>0</v>
      </c>
      <c r="I431">
        <f>IF(PisCofinsAliquot[[#This Row],[Classificação]]="Alíquota 0",6,IF(PisCofinsAliquot[[#This Row],[Classificação]]="Monofásico",4,IF(PisCofinsAliquot[[#This Row],[Classificação]]="Regra Geral",1,IF(PisCofinsAliquot[[#This Row],[Classificação]]="ST",5))))</f>
        <v>6</v>
      </c>
    </row>
    <row r="432" spans="1:9" ht="60" x14ac:dyDescent="0.25">
      <c r="A432" s="124" t="s">
        <v>3358</v>
      </c>
      <c r="B432" s="125" t="s">
        <v>2701</v>
      </c>
      <c r="C432" s="126" t="str">
        <f>RIGHT(PisCofinsAliquot[[#This Row],[Código NCM]],8)</f>
        <v>15141100</v>
      </c>
      <c r="D432" s="127"/>
      <c r="E432" s="128"/>
      <c r="F432" s="129" t="s">
        <v>5100</v>
      </c>
      <c r="G432" s="22">
        <v>0</v>
      </c>
      <c r="H432" s="22">
        <v>0</v>
      </c>
      <c r="I432">
        <f>IF(PisCofinsAliquot[[#This Row],[Classificação]]="Alíquota 0",6,IF(PisCofinsAliquot[[#This Row],[Classificação]]="Monofásico",4,IF(PisCofinsAliquot[[#This Row],[Classificação]]="Regra Geral",1,IF(PisCofinsAliquot[[#This Row],[Classificação]]="ST",5))))</f>
        <v>6</v>
      </c>
    </row>
    <row r="433" spans="1:9" ht="30" x14ac:dyDescent="0.25">
      <c r="A433" s="124" t="s">
        <v>291</v>
      </c>
      <c r="B433" s="125" t="s">
        <v>2701</v>
      </c>
      <c r="C433" s="126" t="str">
        <f>RIGHT(PisCofinsAliquot[[#This Row],[Código NCM]],8)</f>
        <v>15141910</v>
      </c>
      <c r="D433" s="127"/>
      <c r="E433" s="128"/>
      <c r="F433" s="129" t="s">
        <v>5101</v>
      </c>
      <c r="G433" s="22">
        <v>0</v>
      </c>
      <c r="H433" s="22">
        <v>0</v>
      </c>
      <c r="I433">
        <f>IF(PisCofinsAliquot[[#This Row],[Classificação]]="Alíquota 0",6,IF(PisCofinsAliquot[[#This Row],[Classificação]]="Monofásico",4,IF(PisCofinsAliquot[[#This Row],[Classificação]]="Regra Geral",1,IF(PisCofinsAliquot[[#This Row],[Classificação]]="ST",5))))</f>
        <v>6</v>
      </c>
    </row>
    <row r="434" spans="1:9" ht="30" x14ac:dyDescent="0.25">
      <c r="A434" s="124" t="s">
        <v>3359</v>
      </c>
      <c r="B434" s="125" t="s">
        <v>2701</v>
      </c>
      <c r="C434" s="126" t="str">
        <f>RIGHT(PisCofinsAliquot[[#This Row],[Código NCM]],8)</f>
        <v>15141990</v>
      </c>
      <c r="D434" s="127"/>
      <c r="E434" s="128"/>
      <c r="F434" s="129" t="s">
        <v>5101</v>
      </c>
      <c r="G434" s="22">
        <v>0</v>
      </c>
      <c r="H434" s="22">
        <v>0</v>
      </c>
      <c r="I434">
        <f>IF(PisCofinsAliquot[[#This Row],[Classificação]]="Alíquota 0",6,IF(PisCofinsAliquot[[#This Row],[Classificação]]="Monofásico",4,IF(PisCofinsAliquot[[#This Row],[Classificação]]="Regra Geral",1,IF(PisCofinsAliquot[[#This Row],[Classificação]]="ST",5))))</f>
        <v>6</v>
      </c>
    </row>
    <row r="435" spans="1:9" ht="30" x14ac:dyDescent="0.25">
      <c r="A435" s="124" t="s">
        <v>3360</v>
      </c>
      <c r="B435" s="125" t="s">
        <v>2701</v>
      </c>
      <c r="C435" s="126" t="str">
        <f>RIGHT(PisCofinsAliquot[[#This Row],[Código NCM]],8)</f>
        <v>15149100</v>
      </c>
      <c r="D435" s="127"/>
      <c r="E435" s="128"/>
      <c r="F435" s="129" t="s">
        <v>5101</v>
      </c>
      <c r="G435" s="22">
        <v>0</v>
      </c>
      <c r="H435" s="22">
        <v>0</v>
      </c>
      <c r="I435">
        <f>IF(PisCofinsAliquot[[#This Row],[Classificação]]="Alíquota 0",6,IF(PisCofinsAliquot[[#This Row],[Classificação]]="Monofásico",4,IF(PisCofinsAliquot[[#This Row],[Classificação]]="Regra Geral",1,IF(PisCofinsAliquot[[#This Row],[Classificação]]="ST",5))))</f>
        <v>6</v>
      </c>
    </row>
    <row r="436" spans="1:9" ht="30" x14ac:dyDescent="0.25">
      <c r="A436" s="124" t="s">
        <v>3361</v>
      </c>
      <c r="B436" s="125" t="s">
        <v>2701</v>
      </c>
      <c r="C436" s="126" t="str">
        <f>RIGHT(PisCofinsAliquot[[#This Row],[Código NCM]],8)</f>
        <v>15149910</v>
      </c>
      <c r="D436" s="127"/>
      <c r="E436" s="128"/>
      <c r="F436" s="129" t="s">
        <v>5101</v>
      </c>
      <c r="G436" s="22">
        <v>0</v>
      </c>
      <c r="H436" s="22">
        <v>0</v>
      </c>
      <c r="I436">
        <f>IF(PisCofinsAliquot[[#This Row],[Classificação]]="Alíquota 0",6,IF(PisCofinsAliquot[[#This Row],[Classificação]]="Monofásico",4,IF(PisCofinsAliquot[[#This Row],[Classificação]]="Regra Geral",1,IF(PisCofinsAliquot[[#This Row],[Classificação]]="ST",5))))</f>
        <v>6</v>
      </c>
    </row>
    <row r="437" spans="1:9" ht="30" x14ac:dyDescent="0.25">
      <c r="A437" s="124" t="s">
        <v>3362</v>
      </c>
      <c r="B437" s="125" t="s">
        <v>2701</v>
      </c>
      <c r="C437" s="126" t="str">
        <f>RIGHT(PisCofinsAliquot[[#This Row],[Código NCM]],8)</f>
        <v>15149990</v>
      </c>
      <c r="D437" s="127"/>
      <c r="E437" s="128"/>
      <c r="F437" s="129" t="s">
        <v>5101</v>
      </c>
      <c r="G437" s="22">
        <v>0</v>
      </c>
      <c r="H437" s="22">
        <v>0</v>
      </c>
      <c r="I437">
        <f>IF(PisCofinsAliquot[[#This Row],[Classificação]]="Alíquota 0",6,IF(PisCofinsAliquot[[#This Row],[Classificação]]="Monofásico",4,IF(PisCofinsAliquot[[#This Row],[Classificação]]="Regra Geral",1,IF(PisCofinsAliquot[[#This Row],[Classificação]]="ST",5))))</f>
        <v>6</v>
      </c>
    </row>
    <row r="438" spans="1:9" ht="45" x14ac:dyDescent="0.25">
      <c r="A438" s="124" t="s">
        <v>180</v>
      </c>
      <c r="B438" s="125" t="s">
        <v>2701</v>
      </c>
      <c r="C438" s="126" t="str">
        <f>RIGHT(PisCofinsAliquot[[#This Row],[Código NCM]],8)</f>
        <v>15171000</v>
      </c>
      <c r="D438" s="127"/>
      <c r="E438" s="128"/>
      <c r="F438" s="129" t="s">
        <v>5102</v>
      </c>
      <c r="G438" s="22">
        <v>0</v>
      </c>
      <c r="H438" s="22">
        <v>0</v>
      </c>
      <c r="I438">
        <f>IF(PisCofinsAliquot[[#This Row],[Classificação]]="Alíquota 0",6,IF(PisCofinsAliquot[[#This Row],[Classificação]]="Monofásico",4,IF(PisCofinsAliquot[[#This Row],[Classificação]]="Regra Geral",1,IF(PisCofinsAliquot[[#This Row],[Classificação]]="ST",5))))</f>
        <v>6</v>
      </c>
    </row>
    <row r="439" spans="1:9" ht="120" x14ac:dyDescent="0.25">
      <c r="A439" s="124" t="s">
        <v>242</v>
      </c>
      <c r="B439" s="125" t="s">
        <v>2701</v>
      </c>
      <c r="C439" s="126" t="str">
        <f>RIGHT(PisCofinsAliquot[[#This Row],[Código NCM]],8)</f>
        <v>17011400</v>
      </c>
      <c r="D439" s="127"/>
      <c r="E439" s="128"/>
      <c r="F439" s="129" t="s">
        <v>5103</v>
      </c>
      <c r="G439" s="22">
        <v>0</v>
      </c>
      <c r="H439" s="22">
        <v>0</v>
      </c>
      <c r="I439">
        <f>IF(PisCofinsAliquot[[#This Row],[Classificação]]="Alíquota 0",6,IF(PisCofinsAliquot[[#This Row],[Classificação]]="Monofásico",4,IF(PisCofinsAliquot[[#This Row],[Classificação]]="Regra Geral",1,IF(PisCofinsAliquot[[#This Row],[Classificação]]="ST",5))))</f>
        <v>6</v>
      </c>
    </row>
    <row r="440" spans="1:9" ht="75" x14ac:dyDescent="0.25">
      <c r="A440" s="124" t="s">
        <v>207</v>
      </c>
      <c r="B440" s="125" t="s">
        <v>2701</v>
      </c>
      <c r="C440" s="126" t="str">
        <f>RIGHT(PisCofinsAliquot[[#This Row],[Código NCM]],8)</f>
        <v>17019900</v>
      </c>
      <c r="D440" s="127"/>
      <c r="E440" s="128"/>
      <c r="F440" s="129" t="s">
        <v>5104</v>
      </c>
      <c r="G440" s="22">
        <v>0</v>
      </c>
      <c r="H440" s="22">
        <v>0</v>
      </c>
      <c r="I440">
        <f>IF(PisCofinsAliquot[[#This Row],[Classificação]]="Alíquota 0",6,IF(PisCofinsAliquot[[#This Row],[Classificação]]="Monofásico",4,IF(PisCofinsAliquot[[#This Row],[Classificação]]="Regra Geral",1,IF(PisCofinsAliquot[[#This Row],[Classificação]]="ST",5))))</f>
        <v>6</v>
      </c>
    </row>
    <row r="441" spans="1:9" ht="45" x14ac:dyDescent="0.25">
      <c r="A441" s="124" t="s">
        <v>3363</v>
      </c>
      <c r="B441" s="125" t="s">
        <v>2701</v>
      </c>
      <c r="C441" s="126" t="str">
        <f>RIGHT(PisCofinsAliquot[[#This Row],[Código NCM]],8)</f>
        <v>19011010</v>
      </c>
      <c r="D441" s="127"/>
      <c r="E441" s="128"/>
      <c r="F441" s="129" t="s">
        <v>5105</v>
      </c>
      <c r="G441" s="22">
        <v>0</v>
      </c>
      <c r="H441" s="22">
        <v>0</v>
      </c>
      <c r="I441">
        <f>IF(PisCofinsAliquot[[#This Row],[Classificação]]="Alíquota 0",6,IF(PisCofinsAliquot[[#This Row],[Classificação]]="Monofásico",4,IF(PisCofinsAliquot[[#This Row],[Classificação]]="Regra Geral",1,IF(PisCofinsAliquot[[#This Row],[Classificação]]="ST",5))))</f>
        <v>6</v>
      </c>
    </row>
    <row r="442" spans="1:9" ht="75" x14ac:dyDescent="0.25">
      <c r="A442" s="124" t="s">
        <v>201</v>
      </c>
      <c r="B442" s="125" t="s">
        <v>2701</v>
      </c>
      <c r="C442" s="126" t="str">
        <f>RIGHT(PisCofinsAliquot[[#This Row],[Código NCM]],8)</f>
        <v>19021100</v>
      </c>
      <c r="D442" s="127"/>
      <c r="E442" s="128"/>
      <c r="F442" s="129" t="s">
        <v>5106</v>
      </c>
      <c r="G442" s="22">
        <v>0</v>
      </c>
      <c r="H442" s="22">
        <v>0</v>
      </c>
      <c r="I442">
        <f>IF(PisCofinsAliquot[[#This Row],[Classificação]]="Alíquota 0",6,IF(PisCofinsAliquot[[#This Row],[Classificação]]="Monofásico",4,IF(PisCofinsAliquot[[#This Row],[Classificação]]="Regra Geral",1,IF(PisCofinsAliquot[[#This Row],[Classificação]]="ST",5))))</f>
        <v>6</v>
      </c>
    </row>
    <row r="443" spans="1:9" ht="75" x14ac:dyDescent="0.25">
      <c r="A443" s="124" t="s">
        <v>199</v>
      </c>
      <c r="B443" s="125" t="s">
        <v>2701</v>
      </c>
      <c r="C443" s="126" t="str">
        <f>RIGHT(PisCofinsAliquot[[#This Row],[Código NCM]],8)</f>
        <v>19021900</v>
      </c>
      <c r="D443" s="127"/>
      <c r="E443" s="128"/>
      <c r="F443" s="129" t="s">
        <v>5107</v>
      </c>
      <c r="G443" s="3">
        <v>0</v>
      </c>
      <c r="H443" s="3">
        <v>0</v>
      </c>
      <c r="I443">
        <f>IF(PisCofinsAliquot[[#This Row],[Classificação]]="Alíquota 0",6,IF(PisCofinsAliquot[[#This Row],[Classificação]]="Monofásico",4,IF(PisCofinsAliquot[[#This Row],[Classificação]]="Regra Geral",1,IF(PisCofinsAliquot[[#This Row],[Classificação]]="ST",5))))</f>
        <v>6</v>
      </c>
    </row>
    <row r="444" spans="1:9" ht="60" x14ac:dyDescent="0.25">
      <c r="A444" s="124" t="s">
        <v>2728</v>
      </c>
      <c r="B444" s="125" t="s">
        <v>2701</v>
      </c>
      <c r="C444" s="126" t="str">
        <f>RIGHT(PisCofinsAliquot[[#This Row],[Código NCM]],8)</f>
        <v>19022000</v>
      </c>
      <c r="D444" s="127"/>
      <c r="E444" s="128"/>
      <c r="F444" s="129" t="s">
        <v>5108</v>
      </c>
      <c r="G444" s="22">
        <v>0</v>
      </c>
      <c r="H444" s="22">
        <v>0</v>
      </c>
      <c r="I444">
        <f>IF(PisCofinsAliquot[[#This Row],[Classificação]]="Alíquota 0",6,IF(PisCofinsAliquot[[#This Row],[Classificação]]="Monofásico",4,IF(PisCofinsAliquot[[#This Row],[Classificação]]="Regra Geral",1,IF(PisCofinsAliquot[[#This Row],[Classificação]]="ST",5))))</f>
        <v>6</v>
      </c>
    </row>
    <row r="445" spans="1:9" ht="75" x14ac:dyDescent="0.25">
      <c r="A445" s="124" t="s">
        <v>200</v>
      </c>
      <c r="B445" s="125" t="s">
        <v>2701</v>
      </c>
      <c r="C445" s="126" t="str">
        <f>RIGHT(PisCofinsAliquot[[#This Row],[Código NCM]],8)</f>
        <v>19023000</v>
      </c>
      <c r="D445" s="127"/>
      <c r="E445" s="128"/>
      <c r="F445" s="129" t="s">
        <v>5109</v>
      </c>
      <c r="G445" s="22">
        <v>0</v>
      </c>
      <c r="H445" s="22">
        <v>0</v>
      </c>
      <c r="I445">
        <f>IF(PisCofinsAliquot[[#This Row],[Classificação]]="Alíquota 0",6,IF(PisCofinsAliquot[[#This Row],[Classificação]]="Monofásico",4,IF(PisCofinsAliquot[[#This Row],[Classificação]]="Regra Geral",1,IF(PisCofinsAliquot[[#This Row],[Classificação]]="ST",5))))</f>
        <v>6</v>
      </c>
    </row>
    <row r="446" spans="1:9" ht="75" x14ac:dyDescent="0.25">
      <c r="A446" s="124" t="s">
        <v>263</v>
      </c>
      <c r="B446" s="125" t="s">
        <v>2701</v>
      </c>
      <c r="C446" s="126" t="str">
        <f>RIGHT(PisCofinsAliquot[[#This Row],[Código NCM]],8)</f>
        <v>21011110</v>
      </c>
      <c r="D446" s="127"/>
      <c r="E446" s="128"/>
      <c r="F446" s="142" t="s">
        <v>5110</v>
      </c>
      <c r="G446" s="22">
        <v>0</v>
      </c>
      <c r="H446" s="22">
        <v>0</v>
      </c>
      <c r="I446">
        <f>IF(PisCofinsAliquot[[#This Row],[Classificação]]="Alíquota 0",6,IF(PisCofinsAliquot[[#This Row],[Classificação]]="Monofásico",4,IF(PisCofinsAliquot[[#This Row],[Classificação]]="Regra Geral",1,IF(PisCofinsAliquot[[#This Row],[Classificação]]="ST",5))))</f>
        <v>6</v>
      </c>
    </row>
    <row r="447" spans="1:9" ht="30" x14ac:dyDescent="0.25">
      <c r="A447" s="143" t="s">
        <v>12</v>
      </c>
      <c r="B447" s="126" t="s">
        <v>2701</v>
      </c>
      <c r="C447" s="126" t="str">
        <f>RIGHT(PisCofinsAliquot[[#This Row],[Código NCM]],8)</f>
        <v>22011000</v>
      </c>
      <c r="D447" s="144"/>
      <c r="E447" s="145"/>
      <c r="F447" s="146" t="s">
        <v>5111</v>
      </c>
      <c r="G447" s="147">
        <v>0</v>
      </c>
      <c r="H447" s="3">
        <v>0</v>
      </c>
      <c r="I447">
        <f>IF(PisCofinsAliquot[[#This Row],[Classificação]]="Alíquota 0",6,IF(PisCofinsAliquot[[#This Row],[Classificação]]="Monofásico",4,IF(PisCofinsAliquot[[#This Row],[Classificação]]="Regra Geral",1,IF(PisCofinsAliquot[[#This Row],[Classificação]]="ST",5))))</f>
        <v>6</v>
      </c>
    </row>
    <row r="448" spans="1:9" x14ac:dyDescent="0.25">
      <c r="A448" s="148" t="s">
        <v>14</v>
      </c>
      <c r="B448" s="125" t="s">
        <v>4634</v>
      </c>
      <c r="C448" s="126" t="str">
        <f>RIGHT(PisCofinsAliquot[[#This Row],[Código NCM]],8)</f>
        <v>22019000</v>
      </c>
      <c r="D448" s="149" t="s">
        <v>5112</v>
      </c>
      <c r="E448" s="150"/>
      <c r="F448" s="142" t="s">
        <v>5113</v>
      </c>
      <c r="G448" s="22">
        <v>0</v>
      </c>
      <c r="H448" s="22">
        <v>0</v>
      </c>
      <c r="I448">
        <f>IF(PisCofinsAliquot[[#This Row],[Classificação]]="Alíquota 0",6,IF(PisCofinsAliquot[[#This Row],[Classificação]]="Monofásico",4,IF(PisCofinsAliquot[[#This Row],[Classificação]]="Regra Geral",1,IF(PisCofinsAliquot[[#This Row],[Classificação]]="ST",5))))</f>
        <v>1</v>
      </c>
    </row>
    <row r="449" spans="1:9" ht="60" x14ac:dyDescent="0.25">
      <c r="A449" s="133" t="s">
        <v>236</v>
      </c>
      <c r="B449" s="134" t="s">
        <v>2701</v>
      </c>
      <c r="C449" s="126" t="str">
        <f>RIGHT(PisCofinsAliquot[[#This Row],[Código NCM]],8)</f>
        <v>22021000</v>
      </c>
      <c r="D449" s="135"/>
      <c r="E449" s="139"/>
      <c r="F449" s="151" t="s">
        <v>5114</v>
      </c>
      <c r="G449" s="3">
        <v>0</v>
      </c>
      <c r="H449" s="3">
        <v>0</v>
      </c>
      <c r="I449">
        <f>IF(PisCofinsAliquot[[#This Row],[Classificação]]="Alíquota 0",6,IF(PisCofinsAliquot[[#This Row],[Classificação]]="Monofásico",4,IF(PisCofinsAliquot[[#This Row],[Classificação]]="Regra Geral",1,IF(PisCofinsAliquot[[#This Row],[Classificação]]="ST",5))))</f>
        <v>6</v>
      </c>
    </row>
    <row r="450" spans="1:9" ht="60" x14ac:dyDescent="0.25">
      <c r="A450" s="133" t="s">
        <v>224</v>
      </c>
      <c r="B450" s="134" t="s">
        <v>2701</v>
      </c>
      <c r="C450" s="126" t="str">
        <f>RIGHT(PisCofinsAliquot[[#This Row],[Código NCM]],8)</f>
        <v>22029000</v>
      </c>
      <c r="D450" s="137"/>
      <c r="E450" s="136"/>
      <c r="F450" s="151" t="s">
        <v>5114</v>
      </c>
      <c r="G450" s="22">
        <v>0</v>
      </c>
      <c r="H450" s="22">
        <v>0</v>
      </c>
      <c r="I450">
        <f>IF(PisCofinsAliquot[[#This Row],[Classificação]]="Alíquota 0",6,IF(PisCofinsAliquot[[#This Row],[Classificação]]="Monofásico",4,IF(PisCofinsAliquot[[#This Row],[Classificação]]="Regra Geral",1,IF(PisCofinsAliquot[[#This Row],[Classificação]]="ST",5))))</f>
        <v>6</v>
      </c>
    </row>
    <row r="451" spans="1:9" ht="30" x14ac:dyDescent="0.25">
      <c r="A451" s="143" t="s">
        <v>9</v>
      </c>
      <c r="B451" s="126" t="s">
        <v>2701</v>
      </c>
      <c r="C451" s="126" t="str">
        <f>RIGHT(PisCofinsAliquot[[#This Row],[Código NCM]],8)</f>
        <v>22029100</v>
      </c>
      <c r="D451" s="127"/>
      <c r="E451" s="128"/>
      <c r="F451" s="146" t="s">
        <v>5115</v>
      </c>
      <c r="G451" s="22"/>
      <c r="H451" s="22"/>
      <c r="I451">
        <f>IF(PisCofinsAliquot[[#This Row],[Classificação]]="Alíquota 0",6,IF(PisCofinsAliquot[[#This Row],[Classificação]]="Monofásico",4,IF(PisCofinsAliquot[[#This Row],[Classificação]]="Regra Geral",1,IF(PisCofinsAliquot[[#This Row],[Classificação]]="ST",5))))</f>
        <v>6</v>
      </c>
    </row>
    <row r="452" spans="1:9" ht="60" x14ac:dyDescent="0.25">
      <c r="A452" s="133" t="s">
        <v>5116</v>
      </c>
      <c r="B452" s="134" t="s">
        <v>2701</v>
      </c>
      <c r="C452" s="126" t="str">
        <f>RIGHT(PisCofinsAliquot[[#This Row],[Código NCM]],8)</f>
        <v>22029900</v>
      </c>
      <c r="D452" s="138"/>
      <c r="E452" s="138"/>
      <c r="F452" s="151" t="s">
        <v>5114</v>
      </c>
      <c r="G452" s="22"/>
      <c r="H452" s="22"/>
      <c r="I452">
        <f>IF(PisCofinsAliquot[[#This Row],[Classificação]]="Alíquota 0",6,IF(PisCofinsAliquot[[#This Row],[Classificação]]="Monofásico",4,IF(PisCofinsAliquot[[#This Row],[Classificação]]="Regra Geral",1,IF(PisCofinsAliquot[[#This Row],[Classificação]]="ST",5))))</f>
        <v>6</v>
      </c>
    </row>
    <row r="453" spans="1:9" ht="30" x14ac:dyDescent="0.25">
      <c r="A453" s="152" t="s">
        <v>7</v>
      </c>
      <c r="B453" s="125" t="s">
        <v>2701</v>
      </c>
      <c r="C453" s="126" t="str">
        <f>RIGHT(PisCofinsAliquot[[#This Row],[Código NCM]],8)</f>
        <v>22030000</v>
      </c>
      <c r="D453" s="153"/>
      <c r="E453" s="128"/>
      <c r="F453" s="146" t="s">
        <v>5117</v>
      </c>
      <c r="G453" s="3">
        <v>0</v>
      </c>
      <c r="H453" s="3">
        <v>0</v>
      </c>
      <c r="I453">
        <f>IF(PisCofinsAliquot[[#This Row],[Classificação]]="Alíquota 0",6,IF(PisCofinsAliquot[[#This Row],[Classificação]]="Monofásico",4,IF(PisCofinsAliquot[[#This Row],[Classificação]]="Regra Geral",1,IF(PisCofinsAliquot[[#This Row],[Classificação]]="ST",5))))</f>
        <v>6</v>
      </c>
    </row>
    <row r="454" spans="1:9" ht="68.25" x14ac:dyDescent="0.25">
      <c r="A454" s="154" t="s">
        <v>2743</v>
      </c>
      <c r="B454" s="155" t="s">
        <v>2704</v>
      </c>
      <c r="C454" s="126" t="str">
        <f>RIGHT(PisCofinsAliquot[[#This Row],[Código NCM]],8)</f>
        <v>22071000</v>
      </c>
      <c r="D454" s="156" t="s">
        <v>3368</v>
      </c>
      <c r="E454" s="157"/>
      <c r="F454" s="158"/>
      <c r="G454" s="159">
        <v>0</v>
      </c>
      <c r="H454" s="159">
        <v>0</v>
      </c>
      <c r="I454">
        <f>IF(PisCofinsAliquot[[#This Row],[Classificação]]="Alíquota 0",6,IF(PisCofinsAliquot[[#This Row],[Classificação]]="Monofásico",4,IF(PisCofinsAliquot[[#This Row],[Classificação]]="Regra Geral",1,IF(PisCofinsAliquot[[#This Row],[Classificação]]="ST",5))))</f>
        <v>4</v>
      </c>
    </row>
    <row r="455" spans="1:9" ht="79.5" x14ac:dyDescent="0.25">
      <c r="A455" s="154" t="s">
        <v>3369</v>
      </c>
      <c r="B455" s="155" t="s">
        <v>2704</v>
      </c>
      <c r="C455" s="126" t="str">
        <f>RIGHT(PisCofinsAliquot[[#This Row],[Código NCM]],8)</f>
        <v>22071010</v>
      </c>
      <c r="D455" s="156" t="s">
        <v>3370</v>
      </c>
      <c r="E455" s="157"/>
      <c r="F455" s="158"/>
      <c r="G455" s="159">
        <v>0</v>
      </c>
      <c r="H455" s="159">
        <v>0</v>
      </c>
      <c r="I455">
        <f>IF(PisCofinsAliquot[[#This Row],[Classificação]]="Alíquota 0",6,IF(PisCofinsAliquot[[#This Row],[Classificação]]="Monofásico",4,IF(PisCofinsAliquot[[#This Row],[Classificação]]="Regra Geral",1,IF(PisCofinsAliquot[[#This Row],[Classificação]]="ST",5))))</f>
        <v>4</v>
      </c>
    </row>
    <row r="456" spans="1:9" ht="79.5" x14ac:dyDescent="0.25">
      <c r="A456" s="154" t="s">
        <v>31</v>
      </c>
      <c r="B456" s="155" t="s">
        <v>2704</v>
      </c>
      <c r="C456" s="126" t="str">
        <f>RIGHT(PisCofinsAliquot[[#This Row],[Código NCM]],8)</f>
        <v>22071090</v>
      </c>
      <c r="D456" s="160" t="s">
        <v>3370</v>
      </c>
      <c r="E456" s="161"/>
      <c r="F456" s="158" t="s">
        <v>5118</v>
      </c>
      <c r="G456" s="41">
        <v>0</v>
      </c>
      <c r="H456" s="41">
        <v>0</v>
      </c>
      <c r="I456">
        <f>IF(PisCofinsAliquot[[#This Row],[Classificação]]="Alíquota 0",6,IF(PisCofinsAliquot[[#This Row],[Classificação]]="Monofásico",4,IF(PisCofinsAliquot[[#This Row],[Classificação]]="Regra Geral",1,IF(PisCofinsAliquot[[#This Row],[Classificação]]="ST",5))))</f>
        <v>4</v>
      </c>
    </row>
    <row r="457" spans="1:9" ht="23.25" x14ac:dyDescent="0.25">
      <c r="A457" s="154" t="s">
        <v>3371</v>
      </c>
      <c r="B457" s="155" t="s">
        <v>2704</v>
      </c>
      <c r="C457" s="126" t="str">
        <f>RIGHT(PisCofinsAliquot[[#This Row],[Código NCM]],8)</f>
        <v>22072011</v>
      </c>
      <c r="D457" s="156" t="s">
        <v>3372</v>
      </c>
      <c r="E457" s="157"/>
      <c r="F457" s="158"/>
      <c r="G457" s="159">
        <v>0</v>
      </c>
      <c r="H457" s="159">
        <v>0</v>
      </c>
      <c r="I457">
        <f>IF(PisCofinsAliquot[[#This Row],[Classificação]]="Alíquota 0",6,IF(PisCofinsAliquot[[#This Row],[Classificação]]="Monofásico",4,IF(PisCofinsAliquot[[#This Row],[Classificação]]="Regra Geral",1,IF(PisCofinsAliquot[[#This Row],[Classificação]]="ST",5))))</f>
        <v>4</v>
      </c>
    </row>
    <row r="458" spans="1:9" x14ac:dyDescent="0.25">
      <c r="A458" s="154" t="s">
        <v>3051</v>
      </c>
      <c r="B458" s="155" t="s">
        <v>2704</v>
      </c>
      <c r="C458" s="126" t="str">
        <f>RIGHT(PisCofinsAliquot[[#This Row],[Código NCM]],8)</f>
        <v>22072019</v>
      </c>
      <c r="D458" s="156" t="s">
        <v>5119</v>
      </c>
      <c r="E458" s="157"/>
      <c r="F458" s="158" t="s">
        <v>5118</v>
      </c>
      <c r="G458" s="162">
        <v>0</v>
      </c>
      <c r="H458" s="162">
        <v>0</v>
      </c>
      <c r="I458">
        <f>IF(PisCofinsAliquot[[#This Row],[Classificação]]="Alíquota 0",6,IF(PisCofinsAliquot[[#This Row],[Classificação]]="Monofásico",4,IF(PisCofinsAliquot[[#This Row],[Classificação]]="Regra Geral",1,IF(PisCofinsAliquot[[#This Row],[Classificação]]="ST",5))))</f>
        <v>4</v>
      </c>
    </row>
    <row r="459" spans="1:9" ht="75" x14ac:dyDescent="0.25">
      <c r="A459" s="148" t="s">
        <v>124</v>
      </c>
      <c r="B459" s="125" t="s">
        <v>3</v>
      </c>
      <c r="C459" s="126" t="str">
        <f>RIGHT(PisCofinsAliquot[[#This Row],[Código NCM]],8)</f>
        <v>24022000</v>
      </c>
      <c r="D459" s="132"/>
      <c r="E459" s="132"/>
      <c r="F459" s="146" t="s">
        <v>5120</v>
      </c>
      <c r="G459" s="22"/>
      <c r="H459" s="22"/>
      <c r="I459">
        <f>IF(PisCofinsAliquot[[#This Row],[Classificação]]="Alíquota 0",6,IF(PisCofinsAliquot[[#This Row],[Classificação]]="Monofásico",4,IF(PisCofinsAliquot[[#This Row],[Classificação]]="Regra Geral",1,IF(PisCofinsAliquot[[#This Row],[Classificação]]="ST",5))))</f>
        <v>5</v>
      </c>
    </row>
    <row r="460" spans="1:9" ht="90" x14ac:dyDescent="0.25">
      <c r="A460" s="148" t="s">
        <v>4326</v>
      </c>
      <c r="B460" s="125" t="s">
        <v>3</v>
      </c>
      <c r="C460" s="126" t="str">
        <f>RIGHT(PisCofinsAliquot[[#This Row],[Código NCM]],8)</f>
        <v>24029000</v>
      </c>
      <c r="D460" s="132"/>
      <c r="E460" s="132"/>
      <c r="F460" s="146" t="s">
        <v>5121</v>
      </c>
      <c r="G460" s="22"/>
      <c r="H460" s="22"/>
      <c r="I460">
        <f>IF(PisCofinsAliquot[[#This Row],[Classificação]]="Alíquota 0",6,IF(PisCofinsAliquot[[#This Row],[Classificação]]="Monofásico",4,IF(PisCofinsAliquot[[#This Row],[Classificação]]="Regra Geral",1,IF(PisCofinsAliquot[[#This Row],[Classificação]]="ST",5))))</f>
        <v>5</v>
      </c>
    </row>
    <row r="461" spans="1:9" ht="45" x14ac:dyDescent="0.25">
      <c r="A461" s="148" t="s">
        <v>2742</v>
      </c>
      <c r="B461" s="125" t="s">
        <v>2704</v>
      </c>
      <c r="C461" s="126" t="str">
        <f>RIGHT(PisCofinsAliquot[[#This Row],[Código NCM]],8)</f>
        <v>27111910</v>
      </c>
      <c r="D461" s="149" t="s">
        <v>3373</v>
      </c>
      <c r="E461" s="150"/>
      <c r="F461" s="142" t="s">
        <v>5122</v>
      </c>
      <c r="G461" s="159">
        <v>10.199999999999999</v>
      </c>
      <c r="H461" s="159">
        <v>47.4</v>
      </c>
      <c r="I461">
        <f>IF(PisCofinsAliquot[[#This Row],[Classificação]]="Alíquota 0",6,IF(PisCofinsAliquot[[#This Row],[Classificação]]="Monofásico",4,IF(PisCofinsAliquot[[#This Row],[Classificação]]="Regra Geral",1,IF(PisCofinsAliquot[[#This Row],[Classificação]]="ST",5))))</f>
        <v>4</v>
      </c>
    </row>
    <row r="462" spans="1:9" ht="225" x14ac:dyDescent="0.25">
      <c r="A462" s="148" t="s">
        <v>2744</v>
      </c>
      <c r="B462" s="125" t="s">
        <v>2704</v>
      </c>
      <c r="C462" s="126" t="str">
        <f>RIGHT(PisCofinsAliquot[[#This Row],[Código NCM]],8)</f>
        <v>30012010</v>
      </c>
      <c r="D462" s="149"/>
      <c r="E462" s="150"/>
      <c r="F462" s="142" t="s">
        <v>5123</v>
      </c>
      <c r="G462" s="162">
        <v>2.1</v>
      </c>
      <c r="H462" s="162">
        <v>9.9</v>
      </c>
      <c r="I462">
        <f>IF(PisCofinsAliquot[[#This Row],[Classificação]]="Alíquota 0",6,IF(PisCofinsAliquot[[#This Row],[Classificação]]="Monofásico",4,IF(PisCofinsAliquot[[#This Row],[Classificação]]="Regra Geral",1,IF(PisCofinsAliquot[[#This Row],[Classificação]]="ST",5))))</f>
        <v>4</v>
      </c>
    </row>
    <row r="463" spans="1:9" ht="240" x14ac:dyDescent="0.25">
      <c r="A463" s="148" t="s">
        <v>2745</v>
      </c>
      <c r="B463" s="125" t="s">
        <v>2704</v>
      </c>
      <c r="C463" s="126" t="str">
        <f>RIGHT(PisCofinsAliquot[[#This Row],[Código NCM]],8)</f>
        <v>30012090</v>
      </c>
      <c r="D463" s="149"/>
      <c r="E463" s="150"/>
      <c r="F463" s="142" t="s">
        <v>5124</v>
      </c>
      <c r="G463" s="162">
        <v>2.1</v>
      </c>
      <c r="H463" s="162">
        <v>9.9</v>
      </c>
      <c r="I463">
        <f>IF(PisCofinsAliquot[[#This Row],[Classificação]]="Alíquota 0",6,IF(PisCofinsAliquot[[#This Row],[Classificação]]="Monofásico",4,IF(PisCofinsAliquot[[#This Row],[Classificação]]="Regra Geral",1,IF(PisCofinsAliquot[[#This Row],[Classificação]]="ST",5))))</f>
        <v>4</v>
      </c>
    </row>
    <row r="464" spans="1:9" ht="195" x14ac:dyDescent="0.25">
      <c r="A464" s="148" t="s">
        <v>2746</v>
      </c>
      <c r="B464" s="125" t="s">
        <v>2704</v>
      </c>
      <c r="C464" s="126" t="str">
        <f>RIGHT(PisCofinsAliquot[[#This Row],[Código NCM]],8)</f>
        <v>30019010</v>
      </c>
      <c r="D464" s="149"/>
      <c r="E464" s="150"/>
      <c r="F464" s="142" t="s">
        <v>5125</v>
      </c>
      <c r="G464" s="162">
        <v>2.1</v>
      </c>
      <c r="H464" s="162">
        <v>9.9</v>
      </c>
      <c r="I464">
        <f>IF(PisCofinsAliquot[[#This Row],[Classificação]]="Alíquota 0",6,IF(PisCofinsAliquot[[#This Row],[Classificação]]="Monofásico",4,IF(PisCofinsAliquot[[#This Row],[Classificação]]="Regra Geral",1,IF(PisCofinsAliquot[[#This Row],[Classificação]]="ST",5))))</f>
        <v>4</v>
      </c>
    </row>
    <row r="465" spans="1:9" ht="210" x14ac:dyDescent="0.25">
      <c r="A465" s="148" t="s">
        <v>2747</v>
      </c>
      <c r="B465" s="125" t="s">
        <v>2704</v>
      </c>
      <c r="C465" s="126" t="str">
        <f>RIGHT(PisCofinsAliquot[[#This Row],[Código NCM]],8)</f>
        <v>30019020</v>
      </c>
      <c r="D465" s="149"/>
      <c r="E465" s="150"/>
      <c r="F465" s="142" t="s">
        <v>5126</v>
      </c>
      <c r="G465" s="162">
        <v>2.1</v>
      </c>
      <c r="H465" s="162">
        <v>9.9</v>
      </c>
      <c r="I465">
        <f>IF(PisCofinsAliquot[[#This Row],[Classificação]]="Alíquota 0",6,IF(PisCofinsAliquot[[#This Row],[Classificação]]="Monofásico",4,IF(PisCofinsAliquot[[#This Row],[Classificação]]="Regra Geral",1,IF(PisCofinsAliquot[[#This Row],[Classificação]]="ST",5))))</f>
        <v>4</v>
      </c>
    </row>
    <row r="466" spans="1:9" ht="225" x14ac:dyDescent="0.25">
      <c r="A466" s="148" t="s">
        <v>2748</v>
      </c>
      <c r="B466" s="125" t="s">
        <v>2704</v>
      </c>
      <c r="C466" s="126" t="str">
        <f>RIGHT(PisCofinsAliquot[[#This Row],[Código NCM]],8)</f>
        <v>30019031</v>
      </c>
      <c r="D466" s="149"/>
      <c r="E466" s="150"/>
      <c r="F466" s="142" t="s">
        <v>5127</v>
      </c>
      <c r="G466" s="162">
        <v>2.1</v>
      </c>
      <c r="H466" s="162">
        <v>9.9</v>
      </c>
      <c r="I466">
        <f>IF(PisCofinsAliquot[[#This Row],[Classificação]]="Alíquota 0",6,IF(PisCofinsAliquot[[#This Row],[Classificação]]="Monofásico",4,IF(PisCofinsAliquot[[#This Row],[Classificação]]="Regra Geral",1,IF(PisCofinsAliquot[[#This Row],[Classificação]]="ST",5))))</f>
        <v>4</v>
      </c>
    </row>
    <row r="467" spans="1:9" ht="225" x14ac:dyDescent="0.25">
      <c r="A467" s="148" t="s">
        <v>2749</v>
      </c>
      <c r="B467" s="125" t="s">
        <v>2704</v>
      </c>
      <c r="C467" s="126" t="str">
        <f>RIGHT(PisCofinsAliquot[[#This Row],[Código NCM]],8)</f>
        <v>30019039</v>
      </c>
      <c r="D467" s="149"/>
      <c r="E467" s="150"/>
      <c r="F467" s="142" t="s">
        <v>5128</v>
      </c>
      <c r="G467" s="162">
        <v>2.1</v>
      </c>
      <c r="H467" s="162">
        <v>9.9</v>
      </c>
      <c r="I467">
        <f>IF(PisCofinsAliquot[[#This Row],[Classificação]]="Alíquota 0",6,IF(PisCofinsAliquot[[#This Row],[Classificação]]="Monofásico",4,IF(PisCofinsAliquot[[#This Row],[Classificação]]="Regra Geral",1,IF(PisCofinsAliquot[[#This Row],[Classificação]]="ST",5))))</f>
        <v>4</v>
      </c>
    </row>
    <row r="468" spans="1:9" ht="195" x14ac:dyDescent="0.25">
      <c r="A468" s="148" t="s">
        <v>2750</v>
      </c>
      <c r="B468" s="125" t="s">
        <v>2704</v>
      </c>
      <c r="C468" s="126" t="str">
        <f>RIGHT(PisCofinsAliquot[[#This Row],[Código NCM]],8)</f>
        <v>30019090</v>
      </c>
      <c r="D468" s="149"/>
      <c r="E468" s="150"/>
      <c r="F468" s="142" t="s">
        <v>5129</v>
      </c>
      <c r="G468" s="162">
        <v>2.1</v>
      </c>
      <c r="H468" s="162">
        <v>9.9</v>
      </c>
      <c r="I468">
        <f>IF(PisCofinsAliquot[[#This Row],[Classificação]]="Alíquota 0",6,IF(PisCofinsAliquot[[#This Row],[Classificação]]="Monofásico",4,IF(PisCofinsAliquot[[#This Row],[Classificação]]="Regra Geral",1,IF(PisCofinsAliquot[[#This Row],[Classificação]]="ST",5))))</f>
        <v>4</v>
      </c>
    </row>
    <row r="469" spans="1:9" x14ac:dyDescent="0.25">
      <c r="A469" s="148" t="s">
        <v>2751</v>
      </c>
      <c r="B469" s="125" t="s">
        <v>2704</v>
      </c>
      <c r="C469" s="126" t="str">
        <f>RIGHT(PisCofinsAliquot[[#This Row],[Código NCM]],8)</f>
        <v>30031011</v>
      </c>
      <c r="D469" s="149" t="s">
        <v>3374</v>
      </c>
      <c r="E469" s="150"/>
      <c r="F469" s="163" t="s">
        <v>5130</v>
      </c>
      <c r="G469" s="162">
        <v>2.1</v>
      </c>
      <c r="H469" s="162">
        <v>9.9</v>
      </c>
      <c r="I469">
        <f>IF(PisCofinsAliquot[[#This Row],[Classificação]]="Alíquota 0",6,IF(PisCofinsAliquot[[#This Row],[Classificação]]="Monofásico",4,IF(PisCofinsAliquot[[#This Row],[Classificação]]="Regra Geral",1,IF(PisCofinsAliquot[[#This Row],[Classificação]]="ST",5))))</f>
        <v>4</v>
      </c>
    </row>
    <row r="470" spans="1:9" x14ac:dyDescent="0.25">
      <c r="A470" s="148" t="s">
        <v>2752</v>
      </c>
      <c r="B470" s="125" t="s">
        <v>2704</v>
      </c>
      <c r="C470" s="126" t="str">
        <f>RIGHT(PisCofinsAliquot[[#This Row],[Código NCM]],8)</f>
        <v>30031012</v>
      </c>
      <c r="D470" s="149" t="s">
        <v>3375</v>
      </c>
      <c r="E470" s="150"/>
      <c r="F470" s="163" t="s">
        <v>5131</v>
      </c>
      <c r="G470" s="162">
        <v>2.1</v>
      </c>
      <c r="H470" s="162">
        <v>9.9</v>
      </c>
      <c r="I470">
        <f>IF(PisCofinsAliquot[[#This Row],[Classificação]]="Alíquota 0",6,IF(PisCofinsAliquot[[#This Row],[Classificação]]="Monofásico",4,IF(PisCofinsAliquot[[#This Row],[Classificação]]="Regra Geral",1,IF(PisCofinsAliquot[[#This Row],[Classificação]]="ST",5))))</f>
        <v>4</v>
      </c>
    </row>
    <row r="471" spans="1:9" x14ac:dyDescent="0.25">
      <c r="A471" s="148" t="s">
        <v>2753</v>
      </c>
      <c r="B471" s="125" t="s">
        <v>2704</v>
      </c>
      <c r="C471" s="126" t="str">
        <f>RIGHT(PisCofinsAliquot[[#This Row],[Código NCM]],8)</f>
        <v>30031013</v>
      </c>
      <c r="D471" s="149" t="s">
        <v>3376</v>
      </c>
      <c r="E471" s="150"/>
      <c r="F471" s="163" t="s">
        <v>5132</v>
      </c>
      <c r="G471" s="162">
        <v>2.1</v>
      </c>
      <c r="H471" s="162">
        <v>9.9</v>
      </c>
      <c r="I471">
        <f>IF(PisCofinsAliquot[[#This Row],[Classificação]]="Alíquota 0",6,IF(PisCofinsAliquot[[#This Row],[Classificação]]="Monofásico",4,IF(PisCofinsAliquot[[#This Row],[Classificação]]="Regra Geral",1,IF(PisCofinsAliquot[[#This Row],[Classificação]]="ST",5))))</f>
        <v>4</v>
      </c>
    </row>
    <row r="472" spans="1:9" x14ac:dyDescent="0.25">
      <c r="A472" s="148" t="s">
        <v>2754</v>
      </c>
      <c r="B472" s="125" t="s">
        <v>2704</v>
      </c>
      <c r="C472" s="126" t="str">
        <f>RIGHT(PisCofinsAliquot[[#This Row],[Código NCM]],8)</f>
        <v>30031014</v>
      </c>
      <c r="D472" s="149" t="s">
        <v>3377</v>
      </c>
      <c r="E472" s="150"/>
      <c r="F472" s="163" t="s">
        <v>5133</v>
      </c>
      <c r="G472" s="162">
        <v>2.1</v>
      </c>
      <c r="H472" s="162">
        <v>9.9</v>
      </c>
      <c r="I472">
        <f>IF(PisCofinsAliquot[[#This Row],[Classificação]]="Alíquota 0",6,IF(PisCofinsAliquot[[#This Row],[Classificação]]="Monofásico",4,IF(PisCofinsAliquot[[#This Row],[Classificação]]="Regra Geral",1,IF(PisCofinsAliquot[[#This Row],[Classificação]]="ST",5))))</f>
        <v>4</v>
      </c>
    </row>
    <row r="473" spans="1:9" x14ac:dyDescent="0.25">
      <c r="A473" s="148" t="s">
        <v>2755</v>
      </c>
      <c r="B473" s="125" t="s">
        <v>2704</v>
      </c>
      <c r="C473" s="126" t="str">
        <f>RIGHT(PisCofinsAliquot[[#This Row],[Código NCM]],8)</f>
        <v>30031015</v>
      </c>
      <c r="D473" s="149" t="s">
        <v>3378</v>
      </c>
      <c r="E473" s="150"/>
      <c r="F473" s="163" t="s">
        <v>5134</v>
      </c>
      <c r="G473" s="162">
        <v>2.1</v>
      </c>
      <c r="H473" s="162">
        <v>9.9</v>
      </c>
      <c r="I473">
        <f>IF(PisCofinsAliquot[[#This Row],[Classificação]]="Alíquota 0",6,IF(PisCofinsAliquot[[#This Row],[Classificação]]="Monofásico",4,IF(PisCofinsAliquot[[#This Row],[Classificação]]="Regra Geral",1,IF(PisCofinsAliquot[[#This Row],[Classificação]]="ST",5))))</f>
        <v>4</v>
      </c>
    </row>
    <row r="474" spans="1:9" x14ac:dyDescent="0.25">
      <c r="A474" s="148" t="s">
        <v>2756</v>
      </c>
      <c r="B474" s="125" t="s">
        <v>2704</v>
      </c>
      <c r="C474" s="126" t="str">
        <f>RIGHT(PisCofinsAliquot[[#This Row],[Código NCM]],8)</f>
        <v>30031019</v>
      </c>
      <c r="D474" s="149"/>
      <c r="E474" s="150"/>
      <c r="F474" s="163" t="s">
        <v>5135</v>
      </c>
      <c r="G474" s="162">
        <v>2.1</v>
      </c>
      <c r="H474" s="162">
        <v>9.9</v>
      </c>
      <c r="I474">
        <f>IF(PisCofinsAliquot[[#This Row],[Classificação]]="Alíquota 0",6,IF(PisCofinsAliquot[[#This Row],[Classificação]]="Monofásico",4,IF(PisCofinsAliquot[[#This Row],[Classificação]]="Regra Geral",1,IF(PisCofinsAliquot[[#This Row],[Classificação]]="ST",5))))</f>
        <v>4</v>
      </c>
    </row>
    <row r="475" spans="1:9" x14ac:dyDescent="0.25">
      <c r="A475" s="148" t="s">
        <v>2757</v>
      </c>
      <c r="B475" s="125" t="s">
        <v>2704</v>
      </c>
      <c r="C475" s="126" t="str">
        <f>RIGHT(PisCofinsAliquot[[#This Row],[Código NCM]],8)</f>
        <v>30031020</v>
      </c>
      <c r="D475" s="149"/>
      <c r="E475" s="150"/>
      <c r="F475" s="163" t="s">
        <v>5136</v>
      </c>
      <c r="G475" s="162">
        <v>2.1</v>
      </c>
      <c r="H475" s="162">
        <v>9.9</v>
      </c>
      <c r="I475">
        <f>IF(PisCofinsAliquot[[#This Row],[Classificação]]="Alíquota 0",6,IF(PisCofinsAliquot[[#This Row],[Classificação]]="Monofásico",4,IF(PisCofinsAliquot[[#This Row],[Classificação]]="Regra Geral",1,IF(PisCofinsAliquot[[#This Row],[Classificação]]="ST",5))))</f>
        <v>4</v>
      </c>
    </row>
    <row r="476" spans="1:9" x14ac:dyDescent="0.25">
      <c r="A476" s="148" t="s">
        <v>2758</v>
      </c>
      <c r="B476" s="125" t="s">
        <v>2704</v>
      </c>
      <c r="C476" s="126" t="str">
        <f>RIGHT(PisCofinsAliquot[[#This Row],[Código NCM]],8)</f>
        <v>30032011</v>
      </c>
      <c r="D476" s="149"/>
      <c r="E476" s="150"/>
      <c r="F476" s="163" t="s">
        <v>5137</v>
      </c>
      <c r="G476" s="162">
        <v>2.1</v>
      </c>
      <c r="H476" s="162">
        <v>9.9</v>
      </c>
      <c r="I476">
        <f>IF(PisCofinsAliquot[[#This Row],[Classificação]]="Alíquota 0",6,IF(PisCofinsAliquot[[#This Row],[Classificação]]="Monofásico",4,IF(PisCofinsAliquot[[#This Row],[Classificação]]="Regra Geral",1,IF(PisCofinsAliquot[[#This Row],[Classificação]]="ST",5))))</f>
        <v>4</v>
      </c>
    </row>
    <row r="477" spans="1:9" x14ac:dyDescent="0.25">
      <c r="A477" s="148" t="s">
        <v>2759</v>
      </c>
      <c r="B477" s="125" t="s">
        <v>2704</v>
      </c>
      <c r="C477" s="126" t="str">
        <f>RIGHT(PisCofinsAliquot[[#This Row],[Código NCM]],8)</f>
        <v>30032019</v>
      </c>
      <c r="D477" s="149"/>
      <c r="E477" s="150"/>
      <c r="F477" s="163" t="s">
        <v>5135</v>
      </c>
      <c r="G477" s="162">
        <v>2.1</v>
      </c>
      <c r="H477" s="162">
        <v>9.9</v>
      </c>
      <c r="I477">
        <f>IF(PisCofinsAliquot[[#This Row],[Classificação]]="Alíquota 0",6,IF(PisCofinsAliquot[[#This Row],[Classificação]]="Monofásico",4,IF(PisCofinsAliquot[[#This Row],[Classificação]]="Regra Geral",1,IF(PisCofinsAliquot[[#This Row],[Classificação]]="ST",5))))</f>
        <v>4</v>
      </c>
    </row>
    <row r="478" spans="1:9" x14ac:dyDescent="0.25">
      <c r="A478" s="148" t="s">
        <v>2760</v>
      </c>
      <c r="B478" s="125" t="s">
        <v>2704</v>
      </c>
      <c r="C478" s="126" t="str">
        <f>RIGHT(PisCofinsAliquot[[#This Row],[Código NCM]],8)</f>
        <v>30032021</v>
      </c>
      <c r="D478" s="149"/>
      <c r="E478" s="150"/>
      <c r="F478" s="163" t="s">
        <v>5138</v>
      </c>
      <c r="G478" s="162">
        <v>2.1</v>
      </c>
      <c r="H478" s="162">
        <v>9.9</v>
      </c>
      <c r="I478">
        <f>IF(PisCofinsAliquot[[#This Row],[Classificação]]="Alíquota 0",6,IF(PisCofinsAliquot[[#This Row],[Classificação]]="Monofásico",4,IF(PisCofinsAliquot[[#This Row],[Classificação]]="Regra Geral",1,IF(PisCofinsAliquot[[#This Row],[Classificação]]="ST",5))))</f>
        <v>4</v>
      </c>
    </row>
    <row r="479" spans="1:9" x14ac:dyDescent="0.25">
      <c r="A479" s="148" t="s">
        <v>2761</v>
      </c>
      <c r="B479" s="125" t="s">
        <v>2704</v>
      </c>
      <c r="C479" s="126" t="str">
        <f>RIGHT(PisCofinsAliquot[[#This Row],[Código NCM]],8)</f>
        <v>30032029</v>
      </c>
      <c r="D479" s="149"/>
      <c r="E479" s="150"/>
      <c r="F479" s="163" t="s">
        <v>5135</v>
      </c>
      <c r="G479" s="162">
        <v>2.1</v>
      </c>
      <c r="H479" s="162">
        <v>9.9</v>
      </c>
      <c r="I479">
        <f>IF(PisCofinsAliquot[[#This Row],[Classificação]]="Alíquota 0",6,IF(PisCofinsAliquot[[#This Row],[Classificação]]="Monofásico",4,IF(PisCofinsAliquot[[#This Row],[Classificação]]="Regra Geral",1,IF(PisCofinsAliquot[[#This Row],[Classificação]]="ST",5))))</f>
        <v>4</v>
      </c>
    </row>
    <row r="480" spans="1:9" x14ac:dyDescent="0.25">
      <c r="A480" s="148" t="s">
        <v>2762</v>
      </c>
      <c r="B480" s="125" t="s">
        <v>2704</v>
      </c>
      <c r="C480" s="126" t="str">
        <f>RIGHT(PisCofinsAliquot[[#This Row],[Código NCM]],8)</f>
        <v>30032031</v>
      </c>
      <c r="D480" s="149"/>
      <c r="E480" s="150"/>
      <c r="F480" s="163" t="s">
        <v>5139</v>
      </c>
      <c r="G480" s="162">
        <v>2.1</v>
      </c>
      <c r="H480" s="162">
        <v>9.9</v>
      </c>
      <c r="I480">
        <f>IF(PisCofinsAliquot[[#This Row],[Classificação]]="Alíquota 0",6,IF(PisCofinsAliquot[[#This Row],[Classificação]]="Monofásico",4,IF(PisCofinsAliquot[[#This Row],[Classificação]]="Regra Geral",1,IF(PisCofinsAliquot[[#This Row],[Classificação]]="ST",5))))</f>
        <v>4</v>
      </c>
    </row>
    <row r="481" spans="1:9" x14ac:dyDescent="0.25">
      <c r="A481" s="148" t="s">
        <v>2763</v>
      </c>
      <c r="B481" s="125" t="s">
        <v>2704</v>
      </c>
      <c r="C481" s="126" t="str">
        <f>RIGHT(PisCofinsAliquot[[#This Row],[Código NCM]],8)</f>
        <v>30032032</v>
      </c>
      <c r="D481" s="149"/>
      <c r="E481" s="150"/>
      <c r="F481" s="163" t="s">
        <v>5140</v>
      </c>
      <c r="G481" s="162">
        <v>2.1</v>
      </c>
      <c r="H481" s="162">
        <v>9.9</v>
      </c>
      <c r="I481">
        <f>IF(PisCofinsAliquot[[#This Row],[Classificação]]="Alíquota 0",6,IF(PisCofinsAliquot[[#This Row],[Classificação]]="Monofásico",4,IF(PisCofinsAliquot[[#This Row],[Classificação]]="Regra Geral",1,IF(PisCofinsAliquot[[#This Row],[Classificação]]="ST",5))))</f>
        <v>4</v>
      </c>
    </row>
    <row r="482" spans="1:9" x14ac:dyDescent="0.25">
      <c r="A482" s="148" t="s">
        <v>2764</v>
      </c>
      <c r="B482" s="125" t="s">
        <v>2704</v>
      </c>
      <c r="C482" s="126" t="str">
        <f>RIGHT(PisCofinsAliquot[[#This Row],[Código NCM]],8)</f>
        <v>30032039</v>
      </c>
      <c r="D482" s="149"/>
      <c r="E482" s="150"/>
      <c r="F482" s="163" t="s">
        <v>5135</v>
      </c>
      <c r="G482" s="162">
        <v>2.1</v>
      </c>
      <c r="H482" s="162">
        <v>9.9</v>
      </c>
      <c r="I482">
        <f>IF(PisCofinsAliquot[[#This Row],[Classificação]]="Alíquota 0",6,IF(PisCofinsAliquot[[#This Row],[Classificação]]="Monofásico",4,IF(PisCofinsAliquot[[#This Row],[Classificação]]="Regra Geral",1,IF(PisCofinsAliquot[[#This Row],[Classificação]]="ST",5))))</f>
        <v>4</v>
      </c>
    </row>
    <row r="483" spans="1:9" x14ac:dyDescent="0.25">
      <c r="A483" s="148" t="s">
        <v>2765</v>
      </c>
      <c r="B483" s="125" t="s">
        <v>2704</v>
      </c>
      <c r="C483" s="126" t="str">
        <f>RIGHT(PisCofinsAliquot[[#This Row],[Código NCM]],8)</f>
        <v>30032041</v>
      </c>
      <c r="D483" s="149"/>
      <c r="E483" s="150"/>
      <c r="F483" s="163" t="s">
        <v>5141</v>
      </c>
      <c r="G483" s="162">
        <v>2.1</v>
      </c>
      <c r="H483" s="162">
        <v>9.9</v>
      </c>
      <c r="I483">
        <f>IF(PisCofinsAliquot[[#This Row],[Classificação]]="Alíquota 0",6,IF(PisCofinsAliquot[[#This Row],[Classificação]]="Monofásico",4,IF(PisCofinsAliquot[[#This Row],[Classificação]]="Regra Geral",1,IF(PisCofinsAliquot[[#This Row],[Classificação]]="ST",5))))</f>
        <v>4</v>
      </c>
    </row>
    <row r="484" spans="1:9" x14ac:dyDescent="0.25">
      <c r="A484" s="148" t="s">
        <v>2766</v>
      </c>
      <c r="B484" s="125" t="s">
        <v>2704</v>
      </c>
      <c r="C484" s="126" t="str">
        <f>RIGHT(PisCofinsAliquot[[#This Row],[Código NCM]],8)</f>
        <v>30032049</v>
      </c>
      <c r="D484" s="149"/>
      <c r="E484" s="150"/>
      <c r="F484" s="163" t="s">
        <v>5135</v>
      </c>
      <c r="G484" s="162">
        <v>2.1</v>
      </c>
      <c r="H484" s="162">
        <v>9.9</v>
      </c>
      <c r="I484">
        <f>IF(PisCofinsAliquot[[#This Row],[Classificação]]="Alíquota 0",6,IF(PisCofinsAliquot[[#This Row],[Classificação]]="Monofásico",4,IF(PisCofinsAliquot[[#This Row],[Classificação]]="Regra Geral",1,IF(PisCofinsAliquot[[#This Row],[Classificação]]="ST",5))))</f>
        <v>4</v>
      </c>
    </row>
    <row r="485" spans="1:9" x14ac:dyDescent="0.25">
      <c r="A485" s="148" t="s">
        <v>2767</v>
      </c>
      <c r="B485" s="125" t="s">
        <v>2704</v>
      </c>
      <c r="C485" s="126" t="str">
        <f>RIGHT(PisCofinsAliquot[[#This Row],[Código NCM]],8)</f>
        <v>30032051</v>
      </c>
      <c r="D485" s="149"/>
      <c r="E485" s="150"/>
      <c r="F485" s="163" t="s">
        <v>5142</v>
      </c>
      <c r="G485" s="162">
        <v>2.1</v>
      </c>
      <c r="H485" s="162">
        <v>9.9</v>
      </c>
      <c r="I485">
        <f>IF(PisCofinsAliquot[[#This Row],[Classificação]]="Alíquota 0",6,IF(PisCofinsAliquot[[#This Row],[Classificação]]="Monofásico",4,IF(PisCofinsAliquot[[#This Row],[Classificação]]="Regra Geral",1,IF(PisCofinsAliquot[[#This Row],[Classificação]]="ST",5))))</f>
        <v>4</v>
      </c>
    </row>
    <row r="486" spans="1:9" x14ac:dyDescent="0.25">
      <c r="A486" s="148" t="s">
        <v>2768</v>
      </c>
      <c r="B486" s="125" t="s">
        <v>2704</v>
      </c>
      <c r="C486" s="126" t="str">
        <f>RIGHT(PisCofinsAliquot[[#This Row],[Código NCM]],8)</f>
        <v>30032052</v>
      </c>
      <c r="D486" s="149"/>
      <c r="E486" s="150"/>
      <c r="F486" s="163" t="s">
        <v>5143</v>
      </c>
      <c r="G486" s="162">
        <v>2.1</v>
      </c>
      <c r="H486" s="162">
        <v>9.9</v>
      </c>
      <c r="I486">
        <f>IF(PisCofinsAliquot[[#This Row],[Classificação]]="Alíquota 0",6,IF(PisCofinsAliquot[[#This Row],[Classificação]]="Monofásico",4,IF(PisCofinsAliquot[[#This Row],[Classificação]]="Regra Geral",1,IF(PisCofinsAliquot[[#This Row],[Classificação]]="ST",5))))</f>
        <v>4</v>
      </c>
    </row>
    <row r="487" spans="1:9" x14ac:dyDescent="0.25">
      <c r="A487" s="148" t="s">
        <v>2769</v>
      </c>
      <c r="B487" s="125" t="s">
        <v>2704</v>
      </c>
      <c r="C487" s="126" t="str">
        <f>RIGHT(PisCofinsAliquot[[#This Row],[Código NCM]],8)</f>
        <v>30032059</v>
      </c>
      <c r="D487" s="149"/>
      <c r="E487" s="150"/>
      <c r="F487" s="163" t="s">
        <v>5135</v>
      </c>
      <c r="G487" s="162">
        <v>2.1</v>
      </c>
      <c r="H487" s="162">
        <v>9.9</v>
      </c>
      <c r="I487">
        <f>IF(PisCofinsAliquot[[#This Row],[Classificação]]="Alíquota 0",6,IF(PisCofinsAliquot[[#This Row],[Classificação]]="Monofásico",4,IF(PisCofinsAliquot[[#This Row],[Classificação]]="Regra Geral",1,IF(PisCofinsAliquot[[#This Row],[Classificação]]="ST",5))))</f>
        <v>4</v>
      </c>
    </row>
    <row r="488" spans="1:9" x14ac:dyDescent="0.25">
      <c r="A488" s="148" t="s">
        <v>2770</v>
      </c>
      <c r="B488" s="125" t="s">
        <v>2704</v>
      </c>
      <c r="C488" s="126" t="str">
        <f>RIGHT(PisCofinsAliquot[[#This Row],[Código NCM]],8)</f>
        <v>30032061</v>
      </c>
      <c r="D488" s="149"/>
      <c r="E488" s="150"/>
      <c r="F488" s="163" t="s">
        <v>5144</v>
      </c>
      <c r="G488" s="162">
        <v>2.1</v>
      </c>
      <c r="H488" s="162">
        <v>9.9</v>
      </c>
      <c r="I488">
        <f>IF(PisCofinsAliquot[[#This Row],[Classificação]]="Alíquota 0",6,IF(PisCofinsAliquot[[#This Row],[Classificação]]="Monofásico",4,IF(PisCofinsAliquot[[#This Row],[Classificação]]="Regra Geral",1,IF(PisCofinsAliquot[[#This Row],[Classificação]]="ST",5))))</f>
        <v>4</v>
      </c>
    </row>
    <row r="489" spans="1:9" x14ac:dyDescent="0.25">
      <c r="A489" s="148" t="s">
        <v>2771</v>
      </c>
      <c r="B489" s="125" t="s">
        <v>2704</v>
      </c>
      <c r="C489" s="126" t="str">
        <f>RIGHT(PisCofinsAliquot[[#This Row],[Código NCM]],8)</f>
        <v>30032062</v>
      </c>
      <c r="D489" s="149"/>
      <c r="E489" s="150"/>
      <c r="F489" s="163" t="s">
        <v>5145</v>
      </c>
      <c r="G489" s="162">
        <v>2.1</v>
      </c>
      <c r="H489" s="162">
        <v>9.9</v>
      </c>
      <c r="I489">
        <f>IF(PisCofinsAliquot[[#This Row],[Classificação]]="Alíquota 0",6,IF(PisCofinsAliquot[[#This Row],[Classificação]]="Monofásico",4,IF(PisCofinsAliquot[[#This Row],[Classificação]]="Regra Geral",1,IF(PisCofinsAliquot[[#This Row],[Classificação]]="ST",5))))</f>
        <v>4</v>
      </c>
    </row>
    <row r="490" spans="1:9" x14ac:dyDescent="0.25">
      <c r="A490" s="148" t="s">
        <v>2772</v>
      </c>
      <c r="B490" s="125" t="s">
        <v>2704</v>
      </c>
      <c r="C490" s="126" t="str">
        <f>RIGHT(PisCofinsAliquot[[#This Row],[Código NCM]],8)</f>
        <v>30032063</v>
      </c>
      <c r="D490" s="149"/>
      <c r="E490" s="150"/>
      <c r="F490" s="163" t="s">
        <v>5146</v>
      </c>
      <c r="G490" s="162">
        <v>2.1</v>
      </c>
      <c r="H490" s="162">
        <v>9.9</v>
      </c>
      <c r="I490">
        <f>IF(PisCofinsAliquot[[#This Row],[Classificação]]="Alíquota 0",6,IF(PisCofinsAliquot[[#This Row],[Classificação]]="Monofásico",4,IF(PisCofinsAliquot[[#This Row],[Classificação]]="Regra Geral",1,IF(PisCofinsAliquot[[#This Row],[Classificação]]="ST",5))))</f>
        <v>4</v>
      </c>
    </row>
    <row r="491" spans="1:9" x14ac:dyDescent="0.25">
      <c r="A491" s="148" t="s">
        <v>2773</v>
      </c>
      <c r="B491" s="125" t="s">
        <v>2704</v>
      </c>
      <c r="C491" s="126" t="str">
        <f>RIGHT(PisCofinsAliquot[[#This Row],[Código NCM]],8)</f>
        <v>30032069</v>
      </c>
      <c r="D491" s="149"/>
      <c r="E491" s="150"/>
      <c r="F491" s="163" t="s">
        <v>5135</v>
      </c>
      <c r="G491" s="162">
        <v>2.1</v>
      </c>
      <c r="H491" s="162">
        <v>9.9</v>
      </c>
      <c r="I491">
        <f>IF(PisCofinsAliquot[[#This Row],[Classificação]]="Alíquota 0",6,IF(PisCofinsAliquot[[#This Row],[Classificação]]="Monofásico",4,IF(PisCofinsAliquot[[#This Row],[Classificação]]="Regra Geral",1,IF(PisCofinsAliquot[[#This Row],[Classificação]]="ST",5))))</f>
        <v>4</v>
      </c>
    </row>
    <row r="492" spans="1:9" x14ac:dyDescent="0.25">
      <c r="A492" s="148" t="s">
        <v>2774</v>
      </c>
      <c r="B492" s="125" t="s">
        <v>2704</v>
      </c>
      <c r="C492" s="126" t="str">
        <f>RIGHT(PisCofinsAliquot[[#This Row],[Código NCM]],8)</f>
        <v>30032071</v>
      </c>
      <c r="D492" s="149"/>
      <c r="E492" s="150"/>
      <c r="F492" s="163" t="s">
        <v>5147</v>
      </c>
      <c r="G492" s="162">
        <v>2.1</v>
      </c>
      <c r="H492" s="162">
        <v>9.9</v>
      </c>
      <c r="I492">
        <f>IF(PisCofinsAliquot[[#This Row],[Classificação]]="Alíquota 0",6,IF(PisCofinsAliquot[[#This Row],[Classificação]]="Monofásico",4,IF(PisCofinsAliquot[[#This Row],[Classificação]]="Regra Geral",1,IF(PisCofinsAliquot[[#This Row],[Classificação]]="ST",5))))</f>
        <v>4</v>
      </c>
    </row>
    <row r="493" spans="1:9" x14ac:dyDescent="0.25">
      <c r="A493" s="148" t="s">
        <v>2775</v>
      </c>
      <c r="B493" s="125" t="s">
        <v>2704</v>
      </c>
      <c r="C493" s="126" t="str">
        <f>RIGHT(PisCofinsAliquot[[#This Row],[Código NCM]],8)</f>
        <v>30032072</v>
      </c>
      <c r="D493" s="149"/>
      <c r="E493" s="150"/>
      <c r="F493" s="163" t="s">
        <v>5148</v>
      </c>
      <c r="G493" s="162">
        <v>2.1</v>
      </c>
      <c r="H493" s="162">
        <v>9.9</v>
      </c>
      <c r="I493">
        <f>IF(PisCofinsAliquot[[#This Row],[Classificação]]="Alíquota 0",6,IF(PisCofinsAliquot[[#This Row],[Classificação]]="Monofásico",4,IF(PisCofinsAliquot[[#This Row],[Classificação]]="Regra Geral",1,IF(PisCofinsAliquot[[#This Row],[Classificação]]="ST",5))))</f>
        <v>4</v>
      </c>
    </row>
    <row r="494" spans="1:9" x14ac:dyDescent="0.25">
      <c r="A494" s="148" t="s">
        <v>2776</v>
      </c>
      <c r="B494" s="125" t="s">
        <v>2704</v>
      </c>
      <c r="C494" s="126" t="str">
        <f>RIGHT(PisCofinsAliquot[[#This Row],[Código NCM]],8)</f>
        <v>30032073</v>
      </c>
      <c r="D494" s="149"/>
      <c r="E494" s="150"/>
      <c r="F494" s="163" t="s">
        <v>5149</v>
      </c>
      <c r="G494" s="162">
        <v>2.1</v>
      </c>
      <c r="H494" s="162">
        <v>9.9</v>
      </c>
      <c r="I494">
        <f>IF(PisCofinsAliquot[[#This Row],[Classificação]]="Alíquota 0",6,IF(PisCofinsAliquot[[#This Row],[Classificação]]="Monofásico",4,IF(PisCofinsAliquot[[#This Row],[Classificação]]="Regra Geral",1,IF(PisCofinsAliquot[[#This Row],[Classificação]]="ST",5))))</f>
        <v>4</v>
      </c>
    </row>
    <row r="495" spans="1:9" x14ac:dyDescent="0.25">
      <c r="A495" s="148" t="s">
        <v>2777</v>
      </c>
      <c r="B495" s="125" t="s">
        <v>2704</v>
      </c>
      <c r="C495" s="126" t="str">
        <f>RIGHT(PisCofinsAliquot[[#This Row],[Código NCM]],8)</f>
        <v>30032079</v>
      </c>
      <c r="D495" s="149"/>
      <c r="E495" s="150"/>
      <c r="F495" s="163" t="s">
        <v>5135</v>
      </c>
      <c r="G495" s="162">
        <v>2.1</v>
      </c>
      <c r="H495" s="162">
        <v>9.9</v>
      </c>
      <c r="I495">
        <f>IF(PisCofinsAliquot[[#This Row],[Classificação]]="Alíquota 0",6,IF(PisCofinsAliquot[[#This Row],[Classificação]]="Monofásico",4,IF(PisCofinsAliquot[[#This Row],[Classificação]]="Regra Geral",1,IF(PisCofinsAliquot[[#This Row],[Classificação]]="ST",5))))</f>
        <v>4</v>
      </c>
    </row>
    <row r="496" spans="1:9" x14ac:dyDescent="0.25">
      <c r="A496" s="148" t="s">
        <v>2778</v>
      </c>
      <c r="B496" s="125" t="s">
        <v>2704</v>
      </c>
      <c r="C496" s="126" t="str">
        <f>RIGHT(PisCofinsAliquot[[#This Row],[Código NCM]],8)</f>
        <v>30032091</v>
      </c>
      <c r="D496" s="149"/>
      <c r="E496" s="150"/>
      <c r="F496" s="163" t="s">
        <v>5150</v>
      </c>
      <c r="G496" s="162">
        <v>2.1</v>
      </c>
      <c r="H496" s="162">
        <v>9.9</v>
      </c>
      <c r="I496">
        <f>IF(PisCofinsAliquot[[#This Row],[Classificação]]="Alíquota 0",6,IF(PisCofinsAliquot[[#This Row],[Classificação]]="Monofásico",4,IF(PisCofinsAliquot[[#This Row],[Classificação]]="Regra Geral",1,IF(PisCofinsAliquot[[#This Row],[Classificação]]="ST",5))))</f>
        <v>4</v>
      </c>
    </row>
    <row r="497" spans="1:9" x14ac:dyDescent="0.25">
      <c r="A497" s="148" t="s">
        <v>2779</v>
      </c>
      <c r="B497" s="125" t="s">
        <v>2704</v>
      </c>
      <c r="C497" s="126" t="str">
        <f>RIGHT(PisCofinsAliquot[[#This Row],[Código NCM]],8)</f>
        <v>30032092</v>
      </c>
      <c r="D497" s="149"/>
      <c r="E497" s="150"/>
      <c r="F497" s="163" t="s">
        <v>5151</v>
      </c>
      <c r="G497" s="162">
        <v>2.1</v>
      </c>
      <c r="H497" s="162">
        <v>9.9</v>
      </c>
      <c r="I497">
        <f>IF(PisCofinsAliquot[[#This Row],[Classificação]]="Alíquota 0",6,IF(PisCofinsAliquot[[#This Row],[Classificação]]="Monofásico",4,IF(PisCofinsAliquot[[#This Row],[Classificação]]="Regra Geral",1,IF(PisCofinsAliquot[[#This Row],[Classificação]]="ST",5))))</f>
        <v>4</v>
      </c>
    </row>
    <row r="498" spans="1:9" x14ac:dyDescent="0.25">
      <c r="A498" s="148" t="s">
        <v>2780</v>
      </c>
      <c r="B498" s="125" t="s">
        <v>2704</v>
      </c>
      <c r="C498" s="126" t="str">
        <f>RIGHT(PisCofinsAliquot[[#This Row],[Código NCM]],8)</f>
        <v>30032093</v>
      </c>
      <c r="D498" s="149"/>
      <c r="E498" s="150"/>
      <c r="F498" s="163" t="s">
        <v>5152</v>
      </c>
      <c r="G498" s="162">
        <v>2.1</v>
      </c>
      <c r="H498" s="162">
        <v>9.9</v>
      </c>
      <c r="I498">
        <f>IF(PisCofinsAliquot[[#This Row],[Classificação]]="Alíquota 0",6,IF(PisCofinsAliquot[[#This Row],[Classificação]]="Monofásico",4,IF(PisCofinsAliquot[[#This Row],[Classificação]]="Regra Geral",1,IF(PisCofinsAliquot[[#This Row],[Classificação]]="ST",5))))</f>
        <v>4</v>
      </c>
    </row>
    <row r="499" spans="1:9" x14ac:dyDescent="0.25">
      <c r="A499" s="148" t="s">
        <v>2781</v>
      </c>
      <c r="B499" s="125" t="s">
        <v>2704</v>
      </c>
      <c r="C499" s="126" t="str">
        <f>RIGHT(PisCofinsAliquot[[#This Row],[Código NCM]],8)</f>
        <v>30032094</v>
      </c>
      <c r="D499" s="149"/>
      <c r="E499" s="150"/>
      <c r="F499" s="163" t="s">
        <v>5153</v>
      </c>
      <c r="G499" s="162">
        <v>2.1</v>
      </c>
      <c r="H499" s="162">
        <v>9.9</v>
      </c>
      <c r="I499">
        <f>IF(PisCofinsAliquot[[#This Row],[Classificação]]="Alíquota 0",6,IF(PisCofinsAliquot[[#This Row],[Classificação]]="Monofásico",4,IF(PisCofinsAliquot[[#This Row],[Classificação]]="Regra Geral",1,IF(PisCofinsAliquot[[#This Row],[Classificação]]="ST",5))))</f>
        <v>4</v>
      </c>
    </row>
    <row r="500" spans="1:9" x14ac:dyDescent="0.25">
      <c r="A500" s="148" t="s">
        <v>2782</v>
      </c>
      <c r="B500" s="125" t="s">
        <v>2704</v>
      </c>
      <c r="C500" s="126" t="str">
        <f>RIGHT(PisCofinsAliquot[[#This Row],[Código NCM]],8)</f>
        <v>30032095</v>
      </c>
      <c r="D500" s="149"/>
      <c r="E500" s="150"/>
      <c r="F500" s="163" t="s">
        <v>5154</v>
      </c>
      <c r="G500" s="162">
        <v>2.1</v>
      </c>
      <c r="H500" s="162">
        <v>9.9</v>
      </c>
      <c r="I500">
        <f>IF(PisCofinsAliquot[[#This Row],[Classificação]]="Alíquota 0",6,IF(PisCofinsAliquot[[#This Row],[Classificação]]="Monofásico",4,IF(PisCofinsAliquot[[#This Row],[Classificação]]="Regra Geral",1,IF(PisCofinsAliquot[[#This Row],[Classificação]]="ST",5))))</f>
        <v>4</v>
      </c>
    </row>
    <row r="501" spans="1:9" x14ac:dyDescent="0.25">
      <c r="A501" s="148" t="s">
        <v>2783</v>
      </c>
      <c r="B501" s="125" t="s">
        <v>2704</v>
      </c>
      <c r="C501" s="126" t="str">
        <f>RIGHT(PisCofinsAliquot[[#This Row],[Código NCM]],8)</f>
        <v>30032099</v>
      </c>
      <c r="D501" s="149"/>
      <c r="E501" s="150"/>
      <c r="F501" s="163" t="s">
        <v>5135</v>
      </c>
      <c r="G501" s="162">
        <v>2.1</v>
      </c>
      <c r="H501" s="162">
        <v>9.9</v>
      </c>
      <c r="I501">
        <f>IF(PisCofinsAliquot[[#This Row],[Classificação]]="Alíquota 0",6,IF(PisCofinsAliquot[[#This Row],[Classificação]]="Monofásico",4,IF(PisCofinsAliquot[[#This Row],[Classificação]]="Regra Geral",1,IF(PisCofinsAliquot[[#This Row],[Classificação]]="ST",5))))</f>
        <v>4</v>
      </c>
    </row>
    <row r="502" spans="1:9" x14ac:dyDescent="0.25">
      <c r="A502" s="148" t="s">
        <v>2784</v>
      </c>
      <c r="B502" s="125" t="s">
        <v>2704</v>
      </c>
      <c r="C502" s="126" t="str">
        <f>RIGHT(PisCofinsAliquot[[#This Row],[Código NCM]],8)</f>
        <v>30033100</v>
      </c>
      <c r="D502" s="149"/>
      <c r="E502" s="150"/>
      <c r="F502" s="163" t="s">
        <v>5155</v>
      </c>
      <c r="G502" s="162">
        <v>2.1</v>
      </c>
      <c r="H502" s="162">
        <v>9.9</v>
      </c>
      <c r="I502">
        <f>IF(PisCofinsAliquot[[#This Row],[Classificação]]="Alíquota 0",6,IF(PisCofinsAliquot[[#This Row],[Classificação]]="Monofásico",4,IF(PisCofinsAliquot[[#This Row],[Classificação]]="Regra Geral",1,IF(PisCofinsAliquot[[#This Row],[Classificação]]="ST",5))))</f>
        <v>4</v>
      </c>
    </row>
    <row r="503" spans="1:9" x14ac:dyDescent="0.25">
      <c r="A503" s="148" t="s">
        <v>2785</v>
      </c>
      <c r="B503" s="125" t="s">
        <v>2704</v>
      </c>
      <c r="C503" s="126" t="str">
        <f>RIGHT(PisCofinsAliquot[[#This Row],[Código NCM]],8)</f>
        <v>30033911</v>
      </c>
      <c r="D503" s="149"/>
      <c r="E503" s="150"/>
      <c r="F503" s="163" t="s">
        <v>5156</v>
      </c>
      <c r="G503" s="162">
        <v>2.1</v>
      </c>
      <c r="H503" s="162">
        <v>9.9</v>
      </c>
      <c r="I503">
        <f>IF(PisCofinsAliquot[[#This Row],[Classificação]]="Alíquota 0",6,IF(PisCofinsAliquot[[#This Row],[Classificação]]="Monofásico",4,IF(PisCofinsAliquot[[#This Row],[Classificação]]="Regra Geral",1,IF(PisCofinsAliquot[[#This Row],[Classificação]]="ST",5))))</f>
        <v>4</v>
      </c>
    </row>
    <row r="504" spans="1:9" x14ac:dyDescent="0.25">
      <c r="A504" s="148" t="s">
        <v>2786</v>
      </c>
      <c r="B504" s="125" t="s">
        <v>2704</v>
      </c>
      <c r="C504" s="126" t="str">
        <f>RIGHT(PisCofinsAliquot[[#This Row],[Código NCM]],8)</f>
        <v>30033912</v>
      </c>
      <c r="D504" s="149"/>
      <c r="E504" s="150"/>
      <c r="F504" s="163" t="s">
        <v>5157</v>
      </c>
      <c r="G504" s="162">
        <v>2.1</v>
      </c>
      <c r="H504" s="162">
        <v>9.9</v>
      </c>
      <c r="I504">
        <f>IF(PisCofinsAliquot[[#This Row],[Classificação]]="Alíquota 0",6,IF(PisCofinsAliquot[[#This Row],[Classificação]]="Monofásico",4,IF(PisCofinsAliquot[[#This Row],[Classificação]]="Regra Geral",1,IF(PisCofinsAliquot[[#This Row],[Classificação]]="ST",5))))</f>
        <v>4</v>
      </c>
    </row>
    <row r="505" spans="1:9" x14ac:dyDescent="0.25">
      <c r="A505" s="148" t="s">
        <v>2787</v>
      </c>
      <c r="B505" s="125" t="s">
        <v>2704</v>
      </c>
      <c r="C505" s="126" t="str">
        <f>RIGHT(PisCofinsAliquot[[#This Row],[Código NCM]],8)</f>
        <v>30033913</v>
      </c>
      <c r="D505" s="149"/>
      <c r="E505" s="150"/>
      <c r="F505" s="163" t="s">
        <v>5158</v>
      </c>
      <c r="G505" s="162">
        <v>2.1</v>
      </c>
      <c r="H505" s="162">
        <v>9.9</v>
      </c>
      <c r="I505">
        <f>IF(PisCofinsAliquot[[#This Row],[Classificação]]="Alíquota 0",6,IF(PisCofinsAliquot[[#This Row],[Classificação]]="Monofásico",4,IF(PisCofinsAliquot[[#This Row],[Classificação]]="Regra Geral",1,IF(PisCofinsAliquot[[#This Row],[Classificação]]="ST",5))))</f>
        <v>4</v>
      </c>
    </row>
    <row r="506" spans="1:9" x14ac:dyDescent="0.25">
      <c r="A506" s="148" t="s">
        <v>2788</v>
      </c>
      <c r="B506" s="125" t="s">
        <v>2704</v>
      </c>
      <c r="C506" s="126" t="str">
        <f>RIGHT(PisCofinsAliquot[[#This Row],[Código NCM]],8)</f>
        <v>30033914</v>
      </c>
      <c r="D506" s="149"/>
      <c r="E506" s="150"/>
      <c r="F506" s="163" t="s">
        <v>5159</v>
      </c>
      <c r="G506" s="162">
        <v>2.1</v>
      </c>
      <c r="H506" s="162">
        <v>9.9</v>
      </c>
      <c r="I506">
        <f>IF(PisCofinsAliquot[[#This Row],[Classificação]]="Alíquota 0",6,IF(PisCofinsAliquot[[#This Row],[Classificação]]="Monofásico",4,IF(PisCofinsAliquot[[#This Row],[Classificação]]="Regra Geral",1,IF(PisCofinsAliquot[[#This Row],[Classificação]]="ST",5))))</f>
        <v>4</v>
      </c>
    </row>
    <row r="507" spans="1:9" x14ac:dyDescent="0.25">
      <c r="A507" s="148" t="s">
        <v>2789</v>
      </c>
      <c r="B507" s="125" t="s">
        <v>2704</v>
      </c>
      <c r="C507" s="126" t="str">
        <f>RIGHT(PisCofinsAliquot[[#This Row],[Código NCM]],8)</f>
        <v>30033915</v>
      </c>
      <c r="D507" s="149"/>
      <c r="E507" s="150"/>
      <c r="F507" s="163" t="s">
        <v>5160</v>
      </c>
      <c r="G507" s="162">
        <v>2.1</v>
      </c>
      <c r="H507" s="162">
        <v>9.9</v>
      </c>
      <c r="I507">
        <f>IF(PisCofinsAliquot[[#This Row],[Classificação]]="Alíquota 0",6,IF(PisCofinsAliquot[[#This Row],[Classificação]]="Monofásico",4,IF(PisCofinsAliquot[[#This Row],[Classificação]]="Regra Geral",1,IF(PisCofinsAliquot[[#This Row],[Classificação]]="ST",5))))</f>
        <v>4</v>
      </c>
    </row>
    <row r="508" spans="1:9" x14ac:dyDescent="0.25">
      <c r="A508" s="148" t="s">
        <v>2790</v>
      </c>
      <c r="B508" s="125" t="s">
        <v>2704</v>
      </c>
      <c r="C508" s="126" t="str">
        <f>RIGHT(PisCofinsAliquot[[#This Row],[Código NCM]],8)</f>
        <v>30033916</v>
      </c>
      <c r="D508" s="149"/>
      <c r="E508" s="150"/>
      <c r="F508" s="163" t="s">
        <v>5161</v>
      </c>
      <c r="G508" s="162">
        <v>2.1</v>
      </c>
      <c r="H508" s="162">
        <v>9.9</v>
      </c>
      <c r="I508">
        <f>IF(PisCofinsAliquot[[#This Row],[Classificação]]="Alíquota 0",6,IF(PisCofinsAliquot[[#This Row],[Classificação]]="Monofásico",4,IF(PisCofinsAliquot[[#This Row],[Classificação]]="Regra Geral",1,IF(PisCofinsAliquot[[#This Row],[Classificação]]="ST",5))))</f>
        <v>4</v>
      </c>
    </row>
    <row r="509" spans="1:9" x14ac:dyDescent="0.25">
      <c r="A509" s="148" t="s">
        <v>2791</v>
      </c>
      <c r="B509" s="125" t="s">
        <v>2704</v>
      </c>
      <c r="C509" s="126" t="str">
        <f>RIGHT(PisCofinsAliquot[[#This Row],[Código NCM]],8)</f>
        <v>30033917</v>
      </c>
      <c r="D509" s="149"/>
      <c r="E509" s="150"/>
      <c r="F509" s="163" t="s">
        <v>5162</v>
      </c>
      <c r="G509" s="162">
        <v>2.1</v>
      </c>
      <c r="H509" s="162">
        <v>9.9</v>
      </c>
      <c r="I509">
        <f>IF(PisCofinsAliquot[[#This Row],[Classificação]]="Alíquota 0",6,IF(PisCofinsAliquot[[#This Row],[Classificação]]="Monofásico",4,IF(PisCofinsAliquot[[#This Row],[Classificação]]="Regra Geral",1,IF(PisCofinsAliquot[[#This Row],[Classificação]]="ST",5))))</f>
        <v>4</v>
      </c>
    </row>
    <row r="510" spans="1:9" x14ac:dyDescent="0.25">
      <c r="A510" s="148" t="s">
        <v>2792</v>
      </c>
      <c r="B510" s="125" t="s">
        <v>2704</v>
      </c>
      <c r="C510" s="126" t="str">
        <f>RIGHT(PisCofinsAliquot[[#This Row],[Código NCM]],8)</f>
        <v>30033918</v>
      </c>
      <c r="D510" s="149"/>
      <c r="E510" s="150"/>
      <c r="F510" s="163" t="s">
        <v>5163</v>
      </c>
      <c r="G510" s="162">
        <v>2.1</v>
      </c>
      <c r="H510" s="162">
        <v>9.9</v>
      </c>
      <c r="I510">
        <f>IF(PisCofinsAliquot[[#This Row],[Classificação]]="Alíquota 0",6,IF(PisCofinsAliquot[[#This Row],[Classificação]]="Monofásico",4,IF(PisCofinsAliquot[[#This Row],[Classificação]]="Regra Geral",1,IF(PisCofinsAliquot[[#This Row],[Classificação]]="ST",5))))</f>
        <v>4</v>
      </c>
    </row>
    <row r="511" spans="1:9" x14ac:dyDescent="0.25">
      <c r="A511" s="148" t="s">
        <v>2793</v>
      </c>
      <c r="B511" s="125" t="s">
        <v>2704</v>
      </c>
      <c r="C511" s="126" t="str">
        <f>RIGHT(PisCofinsAliquot[[#This Row],[Código NCM]],8)</f>
        <v>30033919</v>
      </c>
      <c r="D511" s="149"/>
      <c r="E511" s="150"/>
      <c r="F511" s="163" t="s">
        <v>5164</v>
      </c>
      <c r="G511" s="162">
        <v>2.1</v>
      </c>
      <c r="H511" s="162">
        <v>9.9</v>
      </c>
      <c r="I511">
        <f>IF(PisCofinsAliquot[[#This Row],[Classificação]]="Alíquota 0",6,IF(PisCofinsAliquot[[#This Row],[Classificação]]="Monofásico",4,IF(PisCofinsAliquot[[#This Row],[Classificação]]="Regra Geral",1,IF(PisCofinsAliquot[[#This Row],[Classificação]]="ST",5))))</f>
        <v>4</v>
      </c>
    </row>
    <row r="512" spans="1:9" x14ac:dyDescent="0.25">
      <c r="A512" s="148" t="s">
        <v>2794</v>
      </c>
      <c r="B512" s="125" t="s">
        <v>2704</v>
      </c>
      <c r="C512" s="126" t="str">
        <f>RIGHT(PisCofinsAliquot[[#This Row],[Código NCM]],8)</f>
        <v>30033921</v>
      </c>
      <c r="D512" s="149"/>
      <c r="E512" s="150"/>
      <c r="F512" s="163" t="s">
        <v>5165</v>
      </c>
      <c r="G512" s="162">
        <v>2.1</v>
      </c>
      <c r="H512" s="162">
        <v>9.9</v>
      </c>
      <c r="I512">
        <f>IF(PisCofinsAliquot[[#This Row],[Classificação]]="Alíquota 0",6,IF(PisCofinsAliquot[[#This Row],[Classificação]]="Monofásico",4,IF(PisCofinsAliquot[[#This Row],[Classificação]]="Regra Geral",1,IF(PisCofinsAliquot[[#This Row],[Classificação]]="ST",5))))</f>
        <v>4</v>
      </c>
    </row>
    <row r="513" spans="1:9" x14ac:dyDescent="0.25">
      <c r="A513" s="148" t="s">
        <v>2795</v>
      </c>
      <c r="B513" s="125" t="s">
        <v>2704</v>
      </c>
      <c r="C513" s="126" t="str">
        <f>RIGHT(PisCofinsAliquot[[#This Row],[Código NCM]],8)</f>
        <v>30033922</v>
      </c>
      <c r="D513" s="149"/>
      <c r="E513" s="150"/>
      <c r="F513" s="163" t="s">
        <v>5166</v>
      </c>
      <c r="G513" s="162">
        <v>2.1</v>
      </c>
      <c r="H513" s="162">
        <v>9.9</v>
      </c>
      <c r="I513">
        <f>IF(PisCofinsAliquot[[#This Row],[Classificação]]="Alíquota 0",6,IF(PisCofinsAliquot[[#This Row],[Classificação]]="Monofásico",4,IF(PisCofinsAliquot[[#This Row],[Classificação]]="Regra Geral",1,IF(PisCofinsAliquot[[#This Row],[Classificação]]="ST",5))))</f>
        <v>4</v>
      </c>
    </row>
    <row r="514" spans="1:9" x14ac:dyDescent="0.25">
      <c r="A514" s="148" t="s">
        <v>2796</v>
      </c>
      <c r="B514" s="125" t="s">
        <v>2704</v>
      </c>
      <c r="C514" s="126" t="str">
        <f>RIGHT(PisCofinsAliquot[[#This Row],[Código NCM]],8)</f>
        <v>30033923</v>
      </c>
      <c r="D514" s="149"/>
      <c r="E514" s="150"/>
      <c r="F514" s="163" t="s">
        <v>5167</v>
      </c>
      <c r="G514" s="162">
        <v>2.1</v>
      </c>
      <c r="H514" s="162">
        <v>9.9</v>
      </c>
      <c r="I514">
        <f>IF(PisCofinsAliquot[[#This Row],[Classificação]]="Alíquota 0",6,IF(PisCofinsAliquot[[#This Row],[Classificação]]="Monofásico",4,IF(PisCofinsAliquot[[#This Row],[Classificação]]="Regra Geral",1,IF(PisCofinsAliquot[[#This Row],[Classificação]]="ST",5))))</f>
        <v>4</v>
      </c>
    </row>
    <row r="515" spans="1:9" x14ac:dyDescent="0.25">
      <c r="A515" s="148" t="s">
        <v>2797</v>
      </c>
      <c r="B515" s="125" t="s">
        <v>2704</v>
      </c>
      <c r="C515" s="126" t="str">
        <f>RIGHT(PisCofinsAliquot[[#This Row],[Código NCM]],8)</f>
        <v>30033924</v>
      </c>
      <c r="D515" s="149"/>
      <c r="E515" s="150"/>
      <c r="F515" s="163" t="s">
        <v>5168</v>
      </c>
      <c r="G515" s="162">
        <v>2.1</v>
      </c>
      <c r="H515" s="162">
        <v>9.9</v>
      </c>
      <c r="I515">
        <f>IF(PisCofinsAliquot[[#This Row],[Classificação]]="Alíquota 0",6,IF(PisCofinsAliquot[[#This Row],[Classificação]]="Monofásico",4,IF(PisCofinsAliquot[[#This Row],[Classificação]]="Regra Geral",1,IF(PisCofinsAliquot[[#This Row],[Classificação]]="ST",5))))</f>
        <v>4</v>
      </c>
    </row>
    <row r="516" spans="1:9" x14ac:dyDescent="0.25">
      <c r="A516" s="148" t="s">
        <v>2798</v>
      </c>
      <c r="B516" s="125" t="s">
        <v>2704</v>
      </c>
      <c r="C516" s="126" t="str">
        <f>RIGHT(PisCofinsAliquot[[#This Row],[Código NCM]],8)</f>
        <v>30033925</v>
      </c>
      <c r="D516" s="149"/>
      <c r="E516" s="150"/>
      <c r="F516" s="163" t="s">
        <v>5169</v>
      </c>
      <c r="G516" s="162">
        <v>2.1</v>
      </c>
      <c r="H516" s="162">
        <v>9.9</v>
      </c>
      <c r="I516">
        <f>IF(PisCofinsAliquot[[#This Row],[Classificação]]="Alíquota 0",6,IF(PisCofinsAliquot[[#This Row],[Classificação]]="Monofásico",4,IF(PisCofinsAliquot[[#This Row],[Classificação]]="Regra Geral",1,IF(PisCofinsAliquot[[#This Row],[Classificação]]="ST",5))))</f>
        <v>4</v>
      </c>
    </row>
    <row r="517" spans="1:9" x14ac:dyDescent="0.25">
      <c r="A517" s="148" t="s">
        <v>2799</v>
      </c>
      <c r="B517" s="125" t="s">
        <v>2704</v>
      </c>
      <c r="C517" s="126" t="str">
        <f>RIGHT(PisCofinsAliquot[[#This Row],[Código NCM]],8)</f>
        <v>30033926</v>
      </c>
      <c r="D517" s="149"/>
      <c r="E517" s="150"/>
      <c r="F517" s="163" t="s">
        <v>5170</v>
      </c>
      <c r="G517" s="162">
        <v>2.1</v>
      </c>
      <c r="H517" s="162">
        <v>9.9</v>
      </c>
      <c r="I517">
        <f>IF(PisCofinsAliquot[[#This Row],[Classificação]]="Alíquota 0",6,IF(PisCofinsAliquot[[#This Row],[Classificação]]="Monofásico",4,IF(PisCofinsAliquot[[#This Row],[Classificação]]="Regra Geral",1,IF(PisCofinsAliquot[[#This Row],[Classificação]]="ST",5))))</f>
        <v>4</v>
      </c>
    </row>
    <row r="518" spans="1:9" x14ac:dyDescent="0.25">
      <c r="A518" s="148" t="s">
        <v>2800</v>
      </c>
      <c r="B518" s="125" t="s">
        <v>2704</v>
      </c>
      <c r="C518" s="126" t="str">
        <f>RIGHT(PisCofinsAliquot[[#This Row],[Código NCM]],8)</f>
        <v>30033927</v>
      </c>
      <c r="D518" s="149"/>
      <c r="E518" s="150"/>
      <c r="F518" s="163" t="s">
        <v>5171</v>
      </c>
      <c r="G518" s="162">
        <v>2.1</v>
      </c>
      <c r="H518" s="162">
        <v>9.9</v>
      </c>
      <c r="I518">
        <f>IF(PisCofinsAliquot[[#This Row],[Classificação]]="Alíquota 0",6,IF(PisCofinsAliquot[[#This Row],[Classificação]]="Monofásico",4,IF(PisCofinsAliquot[[#This Row],[Classificação]]="Regra Geral",1,IF(PisCofinsAliquot[[#This Row],[Classificação]]="ST",5))))</f>
        <v>4</v>
      </c>
    </row>
    <row r="519" spans="1:9" x14ac:dyDescent="0.25">
      <c r="A519" s="148" t="s">
        <v>2801</v>
      </c>
      <c r="B519" s="125" t="s">
        <v>2704</v>
      </c>
      <c r="C519" s="126" t="str">
        <f>RIGHT(PisCofinsAliquot[[#This Row],[Código NCM]],8)</f>
        <v>30033929</v>
      </c>
      <c r="D519" s="149"/>
      <c r="E519" s="150"/>
      <c r="F519" s="163" t="s">
        <v>5135</v>
      </c>
      <c r="G519" s="162">
        <v>2.1</v>
      </c>
      <c r="H519" s="162">
        <v>9.9</v>
      </c>
      <c r="I519">
        <f>IF(PisCofinsAliquot[[#This Row],[Classificação]]="Alíquota 0",6,IF(PisCofinsAliquot[[#This Row],[Classificação]]="Monofásico",4,IF(PisCofinsAliquot[[#This Row],[Classificação]]="Regra Geral",1,IF(PisCofinsAliquot[[#This Row],[Classificação]]="ST",5))))</f>
        <v>4</v>
      </c>
    </row>
    <row r="520" spans="1:9" x14ac:dyDescent="0.25">
      <c r="A520" s="148" t="s">
        <v>2802</v>
      </c>
      <c r="B520" s="125" t="s">
        <v>2704</v>
      </c>
      <c r="C520" s="126" t="str">
        <f>RIGHT(PisCofinsAliquot[[#This Row],[Código NCM]],8)</f>
        <v>30033931</v>
      </c>
      <c r="D520" s="149"/>
      <c r="E520" s="150"/>
      <c r="F520" s="163" t="s">
        <v>5172</v>
      </c>
      <c r="G520" s="162">
        <v>2.1</v>
      </c>
      <c r="H520" s="162">
        <v>9.9</v>
      </c>
      <c r="I520">
        <f>IF(PisCofinsAliquot[[#This Row],[Classificação]]="Alíquota 0",6,IF(PisCofinsAliquot[[#This Row],[Classificação]]="Monofásico",4,IF(PisCofinsAliquot[[#This Row],[Classificação]]="Regra Geral",1,IF(PisCofinsAliquot[[#This Row],[Classificação]]="ST",5))))</f>
        <v>4</v>
      </c>
    </row>
    <row r="521" spans="1:9" x14ac:dyDescent="0.25">
      <c r="A521" s="148" t="s">
        <v>2803</v>
      </c>
      <c r="B521" s="125" t="s">
        <v>2704</v>
      </c>
      <c r="C521" s="126" t="str">
        <f>RIGHT(PisCofinsAliquot[[#This Row],[Código NCM]],8)</f>
        <v>30033932</v>
      </c>
      <c r="D521" s="149"/>
      <c r="E521" s="150"/>
      <c r="F521" s="163" t="s">
        <v>5173</v>
      </c>
      <c r="G521" s="162">
        <v>2.1</v>
      </c>
      <c r="H521" s="162">
        <v>9.9</v>
      </c>
      <c r="I521">
        <f>IF(PisCofinsAliquot[[#This Row],[Classificação]]="Alíquota 0",6,IF(PisCofinsAliquot[[#This Row],[Classificação]]="Monofásico",4,IF(PisCofinsAliquot[[#This Row],[Classificação]]="Regra Geral",1,IF(PisCofinsAliquot[[#This Row],[Classificação]]="ST",5))))</f>
        <v>4</v>
      </c>
    </row>
    <row r="522" spans="1:9" x14ac:dyDescent="0.25">
      <c r="A522" s="148" t="s">
        <v>2804</v>
      </c>
      <c r="B522" s="125" t="s">
        <v>2704</v>
      </c>
      <c r="C522" s="126" t="str">
        <f>RIGHT(PisCofinsAliquot[[#This Row],[Código NCM]],8)</f>
        <v>30033933</v>
      </c>
      <c r="D522" s="149"/>
      <c r="E522" s="150"/>
      <c r="F522" s="163" t="s">
        <v>5174</v>
      </c>
      <c r="G522" s="162">
        <v>2.1</v>
      </c>
      <c r="H522" s="162">
        <v>9.9</v>
      </c>
      <c r="I522">
        <f>IF(PisCofinsAliquot[[#This Row],[Classificação]]="Alíquota 0",6,IF(PisCofinsAliquot[[#This Row],[Classificação]]="Monofásico",4,IF(PisCofinsAliquot[[#This Row],[Classificação]]="Regra Geral",1,IF(PisCofinsAliquot[[#This Row],[Classificação]]="ST",5))))</f>
        <v>4</v>
      </c>
    </row>
    <row r="523" spans="1:9" x14ac:dyDescent="0.25">
      <c r="A523" s="148" t="s">
        <v>2805</v>
      </c>
      <c r="B523" s="125" t="s">
        <v>2704</v>
      </c>
      <c r="C523" s="126" t="str">
        <f>RIGHT(PisCofinsAliquot[[#This Row],[Código NCM]],8)</f>
        <v>30033934</v>
      </c>
      <c r="D523" s="149"/>
      <c r="E523" s="150"/>
      <c r="F523" s="163" t="s">
        <v>5175</v>
      </c>
      <c r="G523" s="162">
        <v>2.1</v>
      </c>
      <c r="H523" s="162">
        <v>9.9</v>
      </c>
      <c r="I523">
        <f>IF(PisCofinsAliquot[[#This Row],[Classificação]]="Alíquota 0",6,IF(PisCofinsAliquot[[#This Row],[Classificação]]="Monofásico",4,IF(PisCofinsAliquot[[#This Row],[Classificação]]="Regra Geral",1,IF(PisCofinsAliquot[[#This Row],[Classificação]]="ST",5))))</f>
        <v>4</v>
      </c>
    </row>
    <row r="524" spans="1:9" x14ac:dyDescent="0.25">
      <c r="A524" s="148" t="s">
        <v>2806</v>
      </c>
      <c r="B524" s="125" t="s">
        <v>2704</v>
      </c>
      <c r="C524" s="126" t="str">
        <f>RIGHT(PisCofinsAliquot[[#This Row],[Código NCM]],8)</f>
        <v>30033935</v>
      </c>
      <c r="D524" s="149"/>
      <c r="E524" s="150"/>
      <c r="F524" s="163" t="s">
        <v>5176</v>
      </c>
      <c r="G524" s="162">
        <v>2.1</v>
      </c>
      <c r="H524" s="162">
        <v>9.9</v>
      </c>
      <c r="I524">
        <f>IF(PisCofinsAliquot[[#This Row],[Classificação]]="Alíquota 0",6,IF(PisCofinsAliquot[[#This Row],[Classificação]]="Monofásico",4,IF(PisCofinsAliquot[[#This Row],[Classificação]]="Regra Geral",1,IF(PisCofinsAliquot[[#This Row],[Classificação]]="ST",5))))</f>
        <v>4</v>
      </c>
    </row>
    <row r="525" spans="1:9" x14ac:dyDescent="0.25">
      <c r="A525" s="148" t="s">
        <v>2807</v>
      </c>
      <c r="B525" s="125" t="s">
        <v>2704</v>
      </c>
      <c r="C525" s="126" t="str">
        <f>RIGHT(PisCofinsAliquot[[#This Row],[Código NCM]],8)</f>
        <v>30033936</v>
      </c>
      <c r="D525" s="149"/>
      <c r="E525" s="150"/>
      <c r="F525" s="163" t="s">
        <v>5177</v>
      </c>
      <c r="G525" s="162">
        <v>2.1</v>
      </c>
      <c r="H525" s="162">
        <v>9.9</v>
      </c>
      <c r="I525">
        <f>IF(PisCofinsAliquot[[#This Row],[Classificação]]="Alíquota 0",6,IF(PisCofinsAliquot[[#This Row],[Classificação]]="Monofásico",4,IF(PisCofinsAliquot[[#This Row],[Classificação]]="Regra Geral",1,IF(PisCofinsAliquot[[#This Row],[Classificação]]="ST",5))))</f>
        <v>4</v>
      </c>
    </row>
    <row r="526" spans="1:9" x14ac:dyDescent="0.25">
      <c r="A526" s="148" t="s">
        <v>2808</v>
      </c>
      <c r="B526" s="125" t="s">
        <v>2704</v>
      </c>
      <c r="C526" s="126" t="str">
        <f>RIGHT(PisCofinsAliquot[[#This Row],[Código NCM]],8)</f>
        <v>30033937</v>
      </c>
      <c r="D526" s="149"/>
      <c r="E526" s="150"/>
      <c r="F526" s="163" t="s">
        <v>5178</v>
      </c>
      <c r="G526" s="162">
        <v>2.1</v>
      </c>
      <c r="H526" s="162">
        <v>9.9</v>
      </c>
      <c r="I526">
        <f>IF(PisCofinsAliquot[[#This Row],[Classificação]]="Alíquota 0",6,IF(PisCofinsAliquot[[#This Row],[Classificação]]="Monofásico",4,IF(PisCofinsAliquot[[#This Row],[Classificação]]="Regra Geral",1,IF(PisCofinsAliquot[[#This Row],[Classificação]]="ST",5))))</f>
        <v>4</v>
      </c>
    </row>
    <row r="527" spans="1:9" x14ac:dyDescent="0.25">
      <c r="A527" s="148" t="s">
        <v>2809</v>
      </c>
      <c r="B527" s="125" t="s">
        <v>2704</v>
      </c>
      <c r="C527" s="126" t="str">
        <f>RIGHT(PisCofinsAliquot[[#This Row],[Código NCM]],8)</f>
        <v>30033939</v>
      </c>
      <c r="D527" s="149"/>
      <c r="E527" s="150"/>
      <c r="F527" s="163" t="s">
        <v>5135</v>
      </c>
      <c r="G527" s="162">
        <v>2.1</v>
      </c>
      <c r="H527" s="162">
        <v>9.9</v>
      </c>
      <c r="I527">
        <f>IF(PisCofinsAliquot[[#This Row],[Classificação]]="Alíquota 0",6,IF(PisCofinsAliquot[[#This Row],[Classificação]]="Monofásico",4,IF(PisCofinsAliquot[[#This Row],[Classificação]]="Regra Geral",1,IF(PisCofinsAliquot[[#This Row],[Classificação]]="ST",5))))</f>
        <v>4</v>
      </c>
    </row>
    <row r="528" spans="1:9" x14ac:dyDescent="0.25">
      <c r="A528" s="148" t="s">
        <v>2810</v>
      </c>
      <c r="B528" s="125" t="s">
        <v>2704</v>
      </c>
      <c r="C528" s="126" t="str">
        <f>RIGHT(PisCofinsAliquot[[#This Row],[Código NCM]],8)</f>
        <v>30033981</v>
      </c>
      <c r="D528" s="149"/>
      <c r="E528" s="150"/>
      <c r="F528" s="163" t="s">
        <v>5179</v>
      </c>
      <c r="G528" s="162">
        <v>2.1</v>
      </c>
      <c r="H528" s="162">
        <v>9.9</v>
      </c>
      <c r="I528">
        <f>IF(PisCofinsAliquot[[#This Row],[Classificação]]="Alíquota 0",6,IF(PisCofinsAliquot[[#This Row],[Classificação]]="Monofásico",4,IF(PisCofinsAliquot[[#This Row],[Classificação]]="Regra Geral",1,IF(PisCofinsAliquot[[#This Row],[Classificação]]="ST",5))))</f>
        <v>4</v>
      </c>
    </row>
    <row r="529" spans="1:9" x14ac:dyDescent="0.25">
      <c r="A529" s="148" t="s">
        <v>2811</v>
      </c>
      <c r="B529" s="125" t="s">
        <v>2704</v>
      </c>
      <c r="C529" s="126" t="str">
        <f>RIGHT(PisCofinsAliquot[[#This Row],[Código NCM]],8)</f>
        <v>30033982</v>
      </c>
      <c r="D529" s="149"/>
      <c r="E529" s="150"/>
      <c r="F529" s="163" t="s">
        <v>5180</v>
      </c>
      <c r="G529" s="162">
        <v>2.1</v>
      </c>
      <c r="H529" s="162">
        <v>9.9</v>
      </c>
      <c r="I529">
        <f>IF(PisCofinsAliquot[[#This Row],[Classificação]]="Alíquota 0",6,IF(PisCofinsAliquot[[#This Row],[Classificação]]="Monofásico",4,IF(PisCofinsAliquot[[#This Row],[Classificação]]="Regra Geral",1,IF(PisCofinsAliquot[[#This Row],[Classificação]]="ST",5))))</f>
        <v>4</v>
      </c>
    </row>
    <row r="530" spans="1:9" x14ac:dyDescent="0.25">
      <c r="A530" s="148" t="s">
        <v>2812</v>
      </c>
      <c r="B530" s="125" t="s">
        <v>2704</v>
      </c>
      <c r="C530" s="126" t="str">
        <f>RIGHT(PisCofinsAliquot[[#This Row],[Código NCM]],8)</f>
        <v>30033991</v>
      </c>
      <c r="D530" s="149"/>
      <c r="E530" s="150"/>
      <c r="F530" s="163" t="s">
        <v>5181</v>
      </c>
      <c r="G530" s="162">
        <v>2.1</v>
      </c>
      <c r="H530" s="162">
        <v>9.9</v>
      </c>
      <c r="I530">
        <f>IF(PisCofinsAliquot[[#This Row],[Classificação]]="Alíquota 0",6,IF(PisCofinsAliquot[[#This Row],[Classificação]]="Monofásico",4,IF(PisCofinsAliquot[[#This Row],[Classificação]]="Regra Geral",1,IF(PisCofinsAliquot[[#This Row],[Classificação]]="ST",5))))</f>
        <v>4</v>
      </c>
    </row>
    <row r="531" spans="1:9" x14ac:dyDescent="0.25">
      <c r="A531" s="148" t="s">
        <v>2813</v>
      </c>
      <c r="B531" s="125" t="s">
        <v>2704</v>
      </c>
      <c r="C531" s="126" t="str">
        <f>RIGHT(PisCofinsAliquot[[#This Row],[Código NCM]],8)</f>
        <v>30033992</v>
      </c>
      <c r="D531" s="149"/>
      <c r="E531" s="150"/>
      <c r="F531" s="163" t="s">
        <v>5182</v>
      </c>
      <c r="G531" s="162">
        <v>2.1</v>
      </c>
      <c r="H531" s="162">
        <v>9.9</v>
      </c>
      <c r="I531">
        <f>IF(PisCofinsAliquot[[#This Row],[Classificação]]="Alíquota 0",6,IF(PisCofinsAliquot[[#This Row],[Classificação]]="Monofásico",4,IF(PisCofinsAliquot[[#This Row],[Classificação]]="Regra Geral",1,IF(PisCofinsAliquot[[#This Row],[Classificação]]="ST",5))))</f>
        <v>4</v>
      </c>
    </row>
    <row r="532" spans="1:9" x14ac:dyDescent="0.25">
      <c r="A532" s="148" t="s">
        <v>2814</v>
      </c>
      <c r="B532" s="125" t="s">
        <v>2704</v>
      </c>
      <c r="C532" s="126" t="str">
        <f>RIGHT(PisCofinsAliquot[[#This Row],[Código NCM]],8)</f>
        <v>30033994</v>
      </c>
      <c r="D532" s="149"/>
      <c r="E532" s="150"/>
      <c r="F532" s="163" t="s">
        <v>5183</v>
      </c>
      <c r="G532" s="162">
        <v>2.1</v>
      </c>
      <c r="H532" s="162">
        <v>9.9</v>
      </c>
      <c r="I532">
        <f>IF(PisCofinsAliquot[[#This Row],[Classificação]]="Alíquota 0",6,IF(PisCofinsAliquot[[#This Row],[Classificação]]="Monofásico",4,IF(PisCofinsAliquot[[#This Row],[Classificação]]="Regra Geral",1,IF(PisCofinsAliquot[[#This Row],[Classificação]]="ST",5))))</f>
        <v>4</v>
      </c>
    </row>
    <row r="533" spans="1:9" x14ac:dyDescent="0.25">
      <c r="A533" s="148" t="s">
        <v>2815</v>
      </c>
      <c r="B533" s="125" t="s">
        <v>2704</v>
      </c>
      <c r="C533" s="126" t="str">
        <f>RIGHT(PisCofinsAliquot[[#This Row],[Código NCM]],8)</f>
        <v>30033995</v>
      </c>
      <c r="D533" s="149"/>
      <c r="E533" s="150"/>
      <c r="F533" s="163" t="s">
        <v>5184</v>
      </c>
      <c r="G533" s="162">
        <v>2.1</v>
      </c>
      <c r="H533" s="162">
        <v>9.9</v>
      </c>
      <c r="I533">
        <f>IF(PisCofinsAliquot[[#This Row],[Classificação]]="Alíquota 0",6,IF(PisCofinsAliquot[[#This Row],[Classificação]]="Monofásico",4,IF(PisCofinsAliquot[[#This Row],[Classificação]]="Regra Geral",1,IF(PisCofinsAliquot[[#This Row],[Classificação]]="ST",5))))</f>
        <v>4</v>
      </c>
    </row>
    <row r="534" spans="1:9" x14ac:dyDescent="0.25">
      <c r="A534" s="148" t="s">
        <v>2816</v>
      </c>
      <c r="B534" s="125" t="s">
        <v>2704</v>
      </c>
      <c r="C534" s="126" t="str">
        <f>RIGHT(PisCofinsAliquot[[#This Row],[Código NCM]],8)</f>
        <v>30033999</v>
      </c>
      <c r="D534" s="149"/>
      <c r="E534" s="150"/>
      <c r="F534" s="163" t="s">
        <v>5135</v>
      </c>
      <c r="G534" s="162">
        <v>2.1</v>
      </c>
      <c r="H534" s="162">
        <v>9.9</v>
      </c>
      <c r="I534">
        <f>IF(PisCofinsAliquot[[#This Row],[Classificação]]="Alíquota 0",6,IF(PisCofinsAliquot[[#This Row],[Classificação]]="Monofásico",4,IF(PisCofinsAliquot[[#This Row],[Classificação]]="Regra Geral",1,IF(PisCofinsAliquot[[#This Row],[Classificação]]="ST",5))))</f>
        <v>4</v>
      </c>
    </row>
    <row r="535" spans="1:9" x14ac:dyDescent="0.25">
      <c r="A535" s="148" t="s">
        <v>2817</v>
      </c>
      <c r="B535" s="125" t="s">
        <v>2704</v>
      </c>
      <c r="C535" s="126" t="str">
        <f>RIGHT(PisCofinsAliquot[[#This Row],[Código NCM]],8)</f>
        <v>30034100</v>
      </c>
      <c r="D535" s="149"/>
      <c r="E535" s="150"/>
      <c r="F535" s="163" t="s">
        <v>5185</v>
      </c>
      <c r="G535" s="162">
        <v>2.1</v>
      </c>
      <c r="H535" s="162">
        <v>9.9</v>
      </c>
      <c r="I535">
        <f>IF(PisCofinsAliquot[[#This Row],[Classificação]]="Alíquota 0",6,IF(PisCofinsAliquot[[#This Row],[Classificação]]="Monofásico",4,IF(PisCofinsAliquot[[#This Row],[Classificação]]="Regra Geral",1,IF(PisCofinsAliquot[[#This Row],[Classificação]]="ST",5))))</f>
        <v>4</v>
      </c>
    </row>
    <row r="536" spans="1:9" x14ac:dyDescent="0.25">
      <c r="A536" s="148" t="s">
        <v>2818</v>
      </c>
      <c r="B536" s="125" t="s">
        <v>2704</v>
      </c>
      <c r="C536" s="126" t="str">
        <f>RIGHT(PisCofinsAliquot[[#This Row],[Código NCM]],8)</f>
        <v>30034200</v>
      </c>
      <c r="D536" s="149"/>
      <c r="E536" s="150"/>
      <c r="F536" s="163" t="s">
        <v>5186</v>
      </c>
      <c r="G536" s="162">
        <v>2.1</v>
      </c>
      <c r="H536" s="162">
        <v>9.9</v>
      </c>
      <c r="I536">
        <f>IF(PisCofinsAliquot[[#This Row],[Classificação]]="Alíquota 0",6,IF(PisCofinsAliquot[[#This Row],[Classificação]]="Monofásico",4,IF(PisCofinsAliquot[[#This Row],[Classificação]]="Regra Geral",1,IF(PisCofinsAliquot[[#This Row],[Classificação]]="ST",5))))</f>
        <v>4</v>
      </c>
    </row>
    <row r="537" spans="1:9" x14ac:dyDescent="0.25">
      <c r="A537" s="148" t="s">
        <v>2819</v>
      </c>
      <c r="B537" s="125" t="s">
        <v>2704</v>
      </c>
      <c r="C537" s="126" t="str">
        <f>RIGHT(PisCofinsAliquot[[#This Row],[Código NCM]],8)</f>
        <v>30034300</v>
      </c>
      <c r="D537" s="149"/>
      <c r="E537" s="150"/>
      <c r="F537" s="163" t="s">
        <v>5187</v>
      </c>
      <c r="G537" s="162">
        <v>2.1</v>
      </c>
      <c r="H537" s="162">
        <v>9.9</v>
      </c>
      <c r="I537">
        <f>IF(PisCofinsAliquot[[#This Row],[Classificação]]="Alíquota 0",6,IF(PisCofinsAliquot[[#This Row],[Classificação]]="Monofásico",4,IF(PisCofinsAliquot[[#This Row],[Classificação]]="Regra Geral",1,IF(PisCofinsAliquot[[#This Row],[Classificação]]="ST",5))))</f>
        <v>4</v>
      </c>
    </row>
    <row r="538" spans="1:9" x14ac:dyDescent="0.25">
      <c r="A538" s="148" t="s">
        <v>2820</v>
      </c>
      <c r="B538" s="125" t="s">
        <v>2704</v>
      </c>
      <c r="C538" s="126" t="str">
        <f>RIGHT(PisCofinsAliquot[[#This Row],[Código NCM]],8)</f>
        <v>30034910</v>
      </c>
      <c r="D538" s="149"/>
      <c r="E538" s="150"/>
      <c r="F538" s="163" t="s">
        <v>5188</v>
      </c>
      <c r="G538" s="162">
        <v>2.1</v>
      </c>
      <c r="H538" s="162">
        <v>9.9</v>
      </c>
      <c r="I538">
        <f>IF(PisCofinsAliquot[[#This Row],[Classificação]]="Alíquota 0",6,IF(PisCofinsAliquot[[#This Row],[Classificação]]="Monofásico",4,IF(PisCofinsAliquot[[#This Row],[Classificação]]="Regra Geral",1,IF(PisCofinsAliquot[[#This Row],[Classificação]]="ST",5))))</f>
        <v>4</v>
      </c>
    </row>
    <row r="539" spans="1:9" x14ac:dyDescent="0.25">
      <c r="A539" s="148" t="s">
        <v>2821</v>
      </c>
      <c r="B539" s="125" t="s">
        <v>2704</v>
      </c>
      <c r="C539" s="126" t="str">
        <f>RIGHT(PisCofinsAliquot[[#This Row],[Código NCM]],8)</f>
        <v>30034920</v>
      </c>
      <c r="D539" s="149"/>
      <c r="E539" s="150"/>
      <c r="F539" s="163" t="s">
        <v>5189</v>
      </c>
      <c r="G539" s="162">
        <v>2.1</v>
      </c>
      <c r="H539" s="162">
        <v>9.9</v>
      </c>
      <c r="I539">
        <f>IF(PisCofinsAliquot[[#This Row],[Classificação]]="Alíquota 0",6,IF(PisCofinsAliquot[[#This Row],[Classificação]]="Monofásico",4,IF(PisCofinsAliquot[[#This Row],[Classificação]]="Regra Geral",1,IF(PisCofinsAliquot[[#This Row],[Classificação]]="ST",5))))</f>
        <v>4</v>
      </c>
    </row>
    <row r="540" spans="1:9" x14ac:dyDescent="0.25">
      <c r="A540" s="148" t="s">
        <v>2822</v>
      </c>
      <c r="B540" s="125" t="s">
        <v>2704</v>
      </c>
      <c r="C540" s="126" t="str">
        <f>RIGHT(PisCofinsAliquot[[#This Row],[Código NCM]],8)</f>
        <v>30034930</v>
      </c>
      <c r="D540" s="149"/>
      <c r="E540" s="150"/>
      <c r="F540" s="163" t="s">
        <v>5190</v>
      </c>
      <c r="G540" s="162">
        <v>2.1</v>
      </c>
      <c r="H540" s="162">
        <v>9.9</v>
      </c>
      <c r="I540">
        <f>IF(PisCofinsAliquot[[#This Row],[Classificação]]="Alíquota 0",6,IF(PisCofinsAliquot[[#This Row],[Classificação]]="Monofásico",4,IF(PisCofinsAliquot[[#This Row],[Classificação]]="Regra Geral",1,IF(PisCofinsAliquot[[#This Row],[Classificação]]="ST",5))))</f>
        <v>4</v>
      </c>
    </row>
    <row r="541" spans="1:9" x14ac:dyDescent="0.25">
      <c r="A541" s="148" t="s">
        <v>2823</v>
      </c>
      <c r="B541" s="125" t="s">
        <v>2704</v>
      </c>
      <c r="C541" s="126" t="str">
        <f>RIGHT(PisCofinsAliquot[[#This Row],[Código NCM]],8)</f>
        <v>30034940</v>
      </c>
      <c r="D541" s="149"/>
      <c r="E541" s="150"/>
      <c r="F541" s="163" t="s">
        <v>5191</v>
      </c>
      <c r="G541" s="162">
        <v>2.1</v>
      </c>
      <c r="H541" s="162">
        <v>9.9</v>
      </c>
      <c r="I541">
        <f>IF(PisCofinsAliquot[[#This Row],[Classificação]]="Alíquota 0",6,IF(PisCofinsAliquot[[#This Row],[Classificação]]="Monofásico",4,IF(PisCofinsAliquot[[#This Row],[Classificação]]="Regra Geral",1,IF(PisCofinsAliquot[[#This Row],[Classificação]]="ST",5))))</f>
        <v>4</v>
      </c>
    </row>
    <row r="542" spans="1:9" x14ac:dyDescent="0.25">
      <c r="A542" s="148" t="s">
        <v>2824</v>
      </c>
      <c r="B542" s="125" t="s">
        <v>2704</v>
      </c>
      <c r="C542" s="126" t="str">
        <f>RIGHT(PisCofinsAliquot[[#This Row],[Código NCM]],8)</f>
        <v>30034950</v>
      </c>
      <c r="D542" s="149"/>
      <c r="E542" s="150"/>
      <c r="F542" s="163" t="s">
        <v>5192</v>
      </c>
      <c r="G542" s="162">
        <v>2.1</v>
      </c>
      <c r="H542" s="162">
        <v>9.9</v>
      </c>
      <c r="I542">
        <f>IF(PisCofinsAliquot[[#This Row],[Classificação]]="Alíquota 0",6,IF(PisCofinsAliquot[[#This Row],[Classificação]]="Monofásico",4,IF(PisCofinsAliquot[[#This Row],[Classificação]]="Regra Geral",1,IF(PisCofinsAliquot[[#This Row],[Classificação]]="ST",5))))</f>
        <v>4</v>
      </c>
    </row>
    <row r="543" spans="1:9" x14ac:dyDescent="0.25">
      <c r="A543" s="148" t="s">
        <v>2825</v>
      </c>
      <c r="B543" s="125" t="s">
        <v>2704</v>
      </c>
      <c r="C543" s="126" t="str">
        <f>RIGHT(PisCofinsAliquot[[#This Row],[Código NCM]],8)</f>
        <v>30034990</v>
      </c>
      <c r="D543" s="149"/>
      <c r="E543" s="150"/>
      <c r="F543" s="163" t="s">
        <v>5135</v>
      </c>
      <c r="G543" s="162">
        <v>2.1</v>
      </c>
      <c r="H543" s="162">
        <v>9.9</v>
      </c>
      <c r="I543">
        <f>IF(PisCofinsAliquot[[#This Row],[Classificação]]="Alíquota 0",6,IF(PisCofinsAliquot[[#This Row],[Classificação]]="Monofásico",4,IF(PisCofinsAliquot[[#This Row],[Classificação]]="Regra Geral",1,IF(PisCofinsAliquot[[#This Row],[Classificação]]="ST",5))))</f>
        <v>4</v>
      </c>
    </row>
    <row r="544" spans="1:9" x14ac:dyDescent="0.25">
      <c r="A544" s="148" t="s">
        <v>2826</v>
      </c>
      <c r="B544" s="125" t="s">
        <v>2704</v>
      </c>
      <c r="C544" s="126" t="str">
        <f>RIGHT(PisCofinsAliquot[[#This Row],[Código NCM]],8)</f>
        <v>30036000</v>
      </c>
      <c r="D544" s="149"/>
      <c r="E544" s="150"/>
      <c r="F544" s="163" t="s">
        <v>5193</v>
      </c>
      <c r="G544" s="162">
        <v>2.1</v>
      </c>
      <c r="H544" s="162">
        <v>9.9</v>
      </c>
      <c r="I544">
        <f>IF(PisCofinsAliquot[[#This Row],[Classificação]]="Alíquota 0",6,IF(PisCofinsAliquot[[#This Row],[Classificação]]="Monofásico",4,IF(PisCofinsAliquot[[#This Row],[Classificação]]="Regra Geral",1,IF(PisCofinsAliquot[[#This Row],[Classificação]]="ST",5))))</f>
        <v>4</v>
      </c>
    </row>
    <row r="545" spans="1:9" x14ac:dyDescent="0.25">
      <c r="A545" s="148" t="s">
        <v>2827</v>
      </c>
      <c r="B545" s="125" t="s">
        <v>2704</v>
      </c>
      <c r="C545" s="126" t="str">
        <f>RIGHT(PisCofinsAliquot[[#This Row],[Código NCM]],8)</f>
        <v>30039011</v>
      </c>
      <c r="D545" s="149"/>
      <c r="E545" s="150"/>
      <c r="F545" s="163" t="s">
        <v>5194</v>
      </c>
      <c r="G545" s="162">
        <v>2.1</v>
      </c>
      <c r="H545" s="162">
        <v>9.9</v>
      </c>
      <c r="I545">
        <f>IF(PisCofinsAliquot[[#This Row],[Classificação]]="Alíquota 0",6,IF(PisCofinsAliquot[[#This Row],[Classificação]]="Monofásico",4,IF(PisCofinsAliquot[[#This Row],[Classificação]]="Regra Geral",1,IF(PisCofinsAliquot[[#This Row],[Classificação]]="ST",5))))</f>
        <v>4</v>
      </c>
    </row>
    <row r="546" spans="1:9" x14ac:dyDescent="0.25">
      <c r="A546" s="148" t="s">
        <v>2828</v>
      </c>
      <c r="B546" s="125" t="s">
        <v>2704</v>
      </c>
      <c r="C546" s="126" t="str">
        <f>RIGHT(PisCofinsAliquot[[#This Row],[Código NCM]],8)</f>
        <v>30039012</v>
      </c>
      <c r="D546" s="149"/>
      <c r="E546" s="150"/>
      <c r="F546" s="163" t="s">
        <v>5195</v>
      </c>
      <c r="G546" s="162">
        <v>2.1</v>
      </c>
      <c r="H546" s="162">
        <v>9.9</v>
      </c>
      <c r="I546">
        <f>IF(PisCofinsAliquot[[#This Row],[Classificação]]="Alíquota 0",6,IF(PisCofinsAliquot[[#This Row],[Classificação]]="Monofásico",4,IF(PisCofinsAliquot[[#This Row],[Classificação]]="Regra Geral",1,IF(PisCofinsAliquot[[#This Row],[Classificação]]="ST",5))))</f>
        <v>4</v>
      </c>
    </row>
    <row r="547" spans="1:9" x14ac:dyDescent="0.25">
      <c r="A547" s="148" t="s">
        <v>2829</v>
      </c>
      <c r="B547" s="125" t="s">
        <v>2704</v>
      </c>
      <c r="C547" s="126" t="str">
        <f>RIGHT(PisCofinsAliquot[[#This Row],[Código NCM]],8)</f>
        <v>30039013</v>
      </c>
      <c r="D547" s="149"/>
      <c r="E547" s="150"/>
      <c r="F547" s="163" t="s">
        <v>5196</v>
      </c>
      <c r="G547" s="162">
        <v>2.1</v>
      </c>
      <c r="H547" s="162">
        <v>9.9</v>
      </c>
      <c r="I547">
        <f>IF(PisCofinsAliquot[[#This Row],[Classificação]]="Alíquota 0",6,IF(PisCofinsAliquot[[#This Row],[Classificação]]="Monofásico",4,IF(PisCofinsAliquot[[#This Row],[Classificação]]="Regra Geral",1,IF(PisCofinsAliquot[[#This Row],[Classificação]]="ST",5))))</f>
        <v>4</v>
      </c>
    </row>
    <row r="548" spans="1:9" x14ac:dyDescent="0.25">
      <c r="A548" s="148" t="s">
        <v>2830</v>
      </c>
      <c r="B548" s="125" t="s">
        <v>2704</v>
      </c>
      <c r="C548" s="126" t="str">
        <f>RIGHT(PisCofinsAliquot[[#This Row],[Código NCM]],8)</f>
        <v>30039014</v>
      </c>
      <c r="D548" s="149"/>
      <c r="E548" s="150"/>
      <c r="F548" s="163" t="s">
        <v>5197</v>
      </c>
      <c r="G548" s="162">
        <v>2.1</v>
      </c>
      <c r="H548" s="162">
        <v>9.9</v>
      </c>
      <c r="I548">
        <f>IF(PisCofinsAliquot[[#This Row],[Classificação]]="Alíquota 0",6,IF(PisCofinsAliquot[[#This Row],[Classificação]]="Monofásico",4,IF(PisCofinsAliquot[[#This Row],[Classificação]]="Regra Geral",1,IF(PisCofinsAliquot[[#This Row],[Classificação]]="ST",5))))</f>
        <v>4</v>
      </c>
    </row>
    <row r="549" spans="1:9" x14ac:dyDescent="0.25">
      <c r="A549" s="148" t="s">
        <v>2831</v>
      </c>
      <c r="B549" s="125" t="s">
        <v>2704</v>
      </c>
      <c r="C549" s="126" t="str">
        <f>RIGHT(PisCofinsAliquot[[#This Row],[Código NCM]],8)</f>
        <v>30039015</v>
      </c>
      <c r="D549" s="149"/>
      <c r="E549" s="150"/>
      <c r="F549" s="163" t="s">
        <v>5198</v>
      </c>
      <c r="G549" s="162">
        <v>2.1</v>
      </c>
      <c r="H549" s="162">
        <v>9.9</v>
      </c>
      <c r="I549">
        <f>IF(PisCofinsAliquot[[#This Row],[Classificação]]="Alíquota 0",6,IF(PisCofinsAliquot[[#This Row],[Classificação]]="Monofásico",4,IF(PisCofinsAliquot[[#This Row],[Classificação]]="Regra Geral",1,IF(PisCofinsAliquot[[#This Row],[Classificação]]="ST",5))))</f>
        <v>4</v>
      </c>
    </row>
    <row r="550" spans="1:9" x14ac:dyDescent="0.25">
      <c r="A550" s="148" t="s">
        <v>2832</v>
      </c>
      <c r="B550" s="125" t="s">
        <v>2704</v>
      </c>
      <c r="C550" s="126" t="str">
        <f>RIGHT(PisCofinsAliquot[[#This Row],[Código NCM]],8)</f>
        <v>30039016</v>
      </c>
      <c r="D550" s="149"/>
      <c r="E550" s="150"/>
      <c r="F550" s="163" t="s">
        <v>5199</v>
      </c>
      <c r="G550" s="162">
        <v>2.1</v>
      </c>
      <c r="H550" s="162">
        <v>9.9</v>
      </c>
      <c r="I550">
        <f>IF(PisCofinsAliquot[[#This Row],[Classificação]]="Alíquota 0",6,IF(PisCofinsAliquot[[#This Row],[Classificação]]="Monofásico",4,IF(PisCofinsAliquot[[#This Row],[Classificação]]="Regra Geral",1,IF(PisCofinsAliquot[[#This Row],[Classificação]]="ST",5))))</f>
        <v>4</v>
      </c>
    </row>
    <row r="551" spans="1:9" x14ac:dyDescent="0.25">
      <c r="A551" s="148" t="s">
        <v>2833</v>
      </c>
      <c r="B551" s="125" t="s">
        <v>2704</v>
      </c>
      <c r="C551" s="126" t="str">
        <f>RIGHT(PisCofinsAliquot[[#This Row],[Código NCM]],8)</f>
        <v>30039017</v>
      </c>
      <c r="D551" s="149"/>
      <c r="E551" s="150"/>
      <c r="F551" s="163" t="s">
        <v>5200</v>
      </c>
      <c r="G551" s="162">
        <v>2.1</v>
      </c>
      <c r="H551" s="162">
        <v>9.9</v>
      </c>
      <c r="I551">
        <f>IF(PisCofinsAliquot[[#This Row],[Classificação]]="Alíquota 0",6,IF(PisCofinsAliquot[[#This Row],[Classificação]]="Monofásico",4,IF(PisCofinsAliquot[[#This Row],[Classificação]]="Regra Geral",1,IF(PisCofinsAliquot[[#This Row],[Classificação]]="ST",5))))</f>
        <v>4</v>
      </c>
    </row>
    <row r="552" spans="1:9" x14ac:dyDescent="0.25">
      <c r="A552" s="148" t="s">
        <v>2834</v>
      </c>
      <c r="B552" s="125" t="s">
        <v>2704</v>
      </c>
      <c r="C552" s="126" t="str">
        <f>RIGHT(PisCofinsAliquot[[#This Row],[Código NCM]],8)</f>
        <v>30039019</v>
      </c>
      <c r="D552" s="149"/>
      <c r="E552" s="150"/>
      <c r="F552" s="163" t="s">
        <v>5135</v>
      </c>
      <c r="G552" s="162">
        <v>2.1</v>
      </c>
      <c r="H552" s="162">
        <v>9.9</v>
      </c>
      <c r="I552">
        <f>IF(PisCofinsAliquot[[#This Row],[Classificação]]="Alíquota 0",6,IF(PisCofinsAliquot[[#This Row],[Classificação]]="Monofásico",4,IF(PisCofinsAliquot[[#This Row],[Classificação]]="Regra Geral",1,IF(PisCofinsAliquot[[#This Row],[Classificação]]="ST",5))))</f>
        <v>4</v>
      </c>
    </row>
    <row r="553" spans="1:9" x14ac:dyDescent="0.25">
      <c r="A553" s="148" t="s">
        <v>2835</v>
      </c>
      <c r="B553" s="125" t="s">
        <v>2704</v>
      </c>
      <c r="C553" s="126" t="str">
        <f>RIGHT(PisCofinsAliquot[[#This Row],[Código NCM]],8)</f>
        <v>30039021</v>
      </c>
      <c r="D553" s="149"/>
      <c r="E553" s="150"/>
      <c r="F553" s="163" t="s">
        <v>5201</v>
      </c>
      <c r="G553" s="162">
        <v>2.1</v>
      </c>
      <c r="H553" s="162">
        <v>9.9</v>
      </c>
      <c r="I553">
        <f>IF(PisCofinsAliquot[[#This Row],[Classificação]]="Alíquota 0",6,IF(PisCofinsAliquot[[#This Row],[Classificação]]="Monofásico",4,IF(PisCofinsAliquot[[#This Row],[Classificação]]="Regra Geral",1,IF(PisCofinsAliquot[[#This Row],[Classificação]]="ST",5))))</f>
        <v>4</v>
      </c>
    </row>
    <row r="554" spans="1:9" x14ac:dyDescent="0.25">
      <c r="A554" s="148" t="s">
        <v>2836</v>
      </c>
      <c r="B554" s="125" t="s">
        <v>2704</v>
      </c>
      <c r="C554" s="126" t="str">
        <f>RIGHT(PisCofinsAliquot[[#This Row],[Código NCM]],8)</f>
        <v>30039022</v>
      </c>
      <c r="D554" s="149"/>
      <c r="E554" s="150"/>
      <c r="F554" s="163" t="s">
        <v>5202</v>
      </c>
      <c r="G554" s="162">
        <v>2.1</v>
      </c>
      <c r="H554" s="162">
        <v>9.9</v>
      </c>
      <c r="I554">
        <f>IF(PisCofinsAliquot[[#This Row],[Classificação]]="Alíquota 0",6,IF(PisCofinsAliquot[[#This Row],[Classificação]]="Monofásico",4,IF(PisCofinsAliquot[[#This Row],[Classificação]]="Regra Geral",1,IF(PisCofinsAliquot[[#This Row],[Classificação]]="ST",5))))</f>
        <v>4</v>
      </c>
    </row>
    <row r="555" spans="1:9" x14ac:dyDescent="0.25">
      <c r="A555" s="148" t="s">
        <v>2837</v>
      </c>
      <c r="B555" s="125" t="s">
        <v>2704</v>
      </c>
      <c r="C555" s="126" t="str">
        <f>RIGHT(PisCofinsAliquot[[#This Row],[Código NCM]],8)</f>
        <v>30039023</v>
      </c>
      <c r="D555" s="149"/>
      <c r="E555" s="150"/>
      <c r="F555" s="163" t="s">
        <v>5203</v>
      </c>
      <c r="G555" s="162">
        <v>2.1</v>
      </c>
      <c r="H555" s="162">
        <v>9.9</v>
      </c>
      <c r="I555">
        <f>IF(PisCofinsAliquot[[#This Row],[Classificação]]="Alíquota 0",6,IF(PisCofinsAliquot[[#This Row],[Classificação]]="Monofásico",4,IF(PisCofinsAliquot[[#This Row],[Classificação]]="Regra Geral",1,IF(PisCofinsAliquot[[#This Row],[Classificação]]="ST",5))))</f>
        <v>4</v>
      </c>
    </row>
    <row r="556" spans="1:9" x14ac:dyDescent="0.25">
      <c r="A556" s="148" t="s">
        <v>2838</v>
      </c>
      <c r="B556" s="125" t="s">
        <v>2704</v>
      </c>
      <c r="C556" s="126" t="str">
        <f>RIGHT(PisCofinsAliquot[[#This Row],[Código NCM]],8)</f>
        <v>30039024</v>
      </c>
      <c r="D556" s="149"/>
      <c r="E556" s="150"/>
      <c r="F556" s="163" t="s">
        <v>5204</v>
      </c>
      <c r="G556" s="162">
        <v>2.1</v>
      </c>
      <c r="H556" s="162">
        <v>9.9</v>
      </c>
      <c r="I556">
        <f>IF(PisCofinsAliquot[[#This Row],[Classificação]]="Alíquota 0",6,IF(PisCofinsAliquot[[#This Row],[Classificação]]="Monofásico",4,IF(PisCofinsAliquot[[#This Row],[Classificação]]="Regra Geral",1,IF(PisCofinsAliquot[[#This Row],[Classificação]]="ST",5))))</f>
        <v>4</v>
      </c>
    </row>
    <row r="557" spans="1:9" x14ac:dyDescent="0.25">
      <c r="A557" s="148" t="s">
        <v>2839</v>
      </c>
      <c r="B557" s="125" t="s">
        <v>2704</v>
      </c>
      <c r="C557" s="126" t="str">
        <f>RIGHT(PisCofinsAliquot[[#This Row],[Código NCM]],8)</f>
        <v>30039029</v>
      </c>
      <c r="D557" s="149"/>
      <c r="E557" s="150"/>
      <c r="F557" s="163" t="s">
        <v>5135</v>
      </c>
      <c r="G557" s="162">
        <v>2.1</v>
      </c>
      <c r="H557" s="162">
        <v>9.9</v>
      </c>
      <c r="I557">
        <f>IF(PisCofinsAliquot[[#This Row],[Classificação]]="Alíquota 0",6,IF(PisCofinsAliquot[[#This Row],[Classificação]]="Monofásico",4,IF(PisCofinsAliquot[[#This Row],[Classificação]]="Regra Geral",1,IF(PisCofinsAliquot[[#This Row],[Classificação]]="ST",5))))</f>
        <v>4</v>
      </c>
    </row>
    <row r="558" spans="1:9" x14ac:dyDescent="0.25">
      <c r="A558" s="148" t="s">
        <v>2840</v>
      </c>
      <c r="B558" s="125" t="s">
        <v>2704</v>
      </c>
      <c r="C558" s="126" t="str">
        <f>RIGHT(PisCofinsAliquot[[#This Row],[Código NCM]],8)</f>
        <v>30039031</v>
      </c>
      <c r="D558" s="149"/>
      <c r="E558" s="150"/>
      <c r="F558" s="163" t="s">
        <v>5205</v>
      </c>
      <c r="G558" s="162">
        <v>2.1</v>
      </c>
      <c r="H558" s="162">
        <v>9.9</v>
      </c>
      <c r="I558">
        <f>IF(PisCofinsAliquot[[#This Row],[Classificação]]="Alíquota 0",6,IF(PisCofinsAliquot[[#This Row],[Classificação]]="Monofásico",4,IF(PisCofinsAliquot[[#This Row],[Classificação]]="Regra Geral",1,IF(PisCofinsAliquot[[#This Row],[Classificação]]="ST",5))))</f>
        <v>4</v>
      </c>
    </row>
    <row r="559" spans="1:9" x14ac:dyDescent="0.25">
      <c r="A559" s="148" t="s">
        <v>2841</v>
      </c>
      <c r="B559" s="125" t="s">
        <v>2704</v>
      </c>
      <c r="C559" s="126" t="str">
        <f>RIGHT(PisCofinsAliquot[[#This Row],[Código NCM]],8)</f>
        <v>30039032</v>
      </c>
      <c r="D559" s="149"/>
      <c r="E559" s="150"/>
      <c r="F559" s="163" t="s">
        <v>5206</v>
      </c>
      <c r="G559" s="162">
        <v>2.1</v>
      </c>
      <c r="H559" s="162">
        <v>9.9</v>
      </c>
      <c r="I559">
        <f>IF(PisCofinsAliquot[[#This Row],[Classificação]]="Alíquota 0",6,IF(PisCofinsAliquot[[#This Row],[Classificação]]="Monofásico",4,IF(PisCofinsAliquot[[#This Row],[Classificação]]="Regra Geral",1,IF(PisCofinsAliquot[[#This Row],[Classificação]]="ST",5))))</f>
        <v>4</v>
      </c>
    </row>
    <row r="560" spans="1:9" x14ac:dyDescent="0.25">
      <c r="A560" s="148" t="s">
        <v>2842</v>
      </c>
      <c r="B560" s="125" t="s">
        <v>2704</v>
      </c>
      <c r="C560" s="126" t="str">
        <f>RIGHT(PisCofinsAliquot[[#This Row],[Código NCM]],8)</f>
        <v>30039033</v>
      </c>
      <c r="D560" s="149"/>
      <c r="E560" s="150"/>
      <c r="F560" s="163" t="s">
        <v>5207</v>
      </c>
      <c r="G560" s="162">
        <v>2.1</v>
      </c>
      <c r="H560" s="162">
        <v>9.9</v>
      </c>
      <c r="I560">
        <f>IF(PisCofinsAliquot[[#This Row],[Classificação]]="Alíquota 0",6,IF(PisCofinsAliquot[[#This Row],[Classificação]]="Monofásico",4,IF(PisCofinsAliquot[[#This Row],[Classificação]]="Regra Geral",1,IF(PisCofinsAliquot[[#This Row],[Classificação]]="ST",5))))</f>
        <v>4</v>
      </c>
    </row>
    <row r="561" spans="1:9" x14ac:dyDescent="0.25">
      <c r="A561" s="148" t="s">
        <v>2843</v>
      </c>
      <c r="B561" s="125" t="s">
        <v>2704</v>
      </c>
      <c r="C561" s="126" t="str">
        <f>RIGHT(PisCofinsAliquot[[#This Row],[Código NCM]],8)</f>
        <v>30039034</v>
      </c>
      <c r="D561" s="149"/>
      <c r="E561" s="150"/>
      <c r="F561" s="163" t="s">
        <v>5208</v>
      </c>
      <c r="G561" s="162">
        <v>2.1</v>
      </c>
      <c r="H561" s="162">
        <v>9.9</v>
      </c>
      <c r="I561">
        <f>IF(PisCofinsAliquot[[#This Row],[Classificação]]="Alíquota 0",6,IF(PisCofinsAliquot[[#This Row],[Classificação]]="Monofásico",4,IF(PisCofinsAliquot[[#This Row],[Classificação]]="Regra Geral",1,IF(PisCofinsAliquot[[#This Row],[Classificação]]="ST",5))))</f>
        <v>4</v>
      </c>
    </row>
    <row r="562" spans="1:9" x14ac:dyDescent="0.25">
      <c r="A562" s="148" t="s">
        <v>2844</v>
      </c>
      <c r="B562" s="125" t="s">
        <v>2704</v>
      </c>
      <c r="C562" s="126" t="str">
        <f>RIGHT(PisCofinsAliquot[[#This Row],[Código NCM]],8)</f>
        <v>30039035</v>
      </c>
      <c r="D562" s="149"/>
      <c r="E562" s="150"/>
      <c r="F562" s="163" t="s">
        <v>5209</v>
      </c>
      <c r="G562" s="162">
        <v>2.1</v>
      </c>
      <c r="H562" s="162">
        <v>9.9</v>
      </c>
      <c r="I562">
        <f>IF(PisCofinsAliquot[[#This Row],[Classificação]]="Alíquota 0",6,IF(PisCofinsAliquot[[#This Row],[Classificação]]="Monofásico",4,IF(PisCofinsAliquot[[#This Row],[Classificação]]="Regra Geral",1,IF(PisCofinsAliquot[[#This Row],[Classificação]]="ST",5))))</f>
        <v>4</v>
      </c>
    </row>
    <row r="563" spans="1:9" x14ac:dyDescent="0.25">
      <c r="A563" s="148" t="s">
        <v>2845</v>
      </c>
      <c r="B563" s="125" t="s">
        <v>2704</v>
      </c>
      <c r="C563" s="126" t="str">
        <f>RIGHT(PisCofinsAliquot[[#This Row],[Código NCM]],8)</f>
        <v>30039036</v>
      </c>
      <c r="D563" s="149"/>
      <c r="E563" s="150"/>
      <c r="F563" s="163" t="s">
        <v>5210</v>
      </c>
      <c r="G563" s="162">
        <v>2.1</v>
      </c>
      <c r="H563" s="162">
        <v>9.9</v>
      </c>
      <c r="I563">
        <f>IF(PisCofinsAliquot[[#This Row],[Classificação]]="Alíquota 0",6,IF(PisCofinsAliquot[[#This Row],[Classificação]]="Monofásico",4,IF(PisCofinsAliquot[[#This Row],[Classificação]]="Regra Geral",1,IF(PisCofinsAliquot[[#This Row],[Classificação]]="ST",5))))</f>
        <v>4</v>
      </c>
    </row>
    <row r="564" spans="1:9" x14ac:dyDescent="0.25">
      <c r="A564" s="148" t="s">
        <v>2846</v>
      </c>
      <c r="B564" s="125" t="s">
        <v>2704</v>
      </c>
      <c r="C564" s="126" t="str">
        <f>RIGHT(PisCofinsAliquot[[#This Row],[Código NCM]],8)</f>
        <v>30039037</v>
      </c>
      <c r="D564" s="149"/>
      <c r="E564" s="150"/>
      <c r="F564" s="163" t="s">
        <v>5211</v>
      </c>
      <c r="G564" s="162">
        <v>2.1</v>
      </c>
      <c r="H564" s="162">
        <v>9.9</v>
      </c>
      <c r="I564">
        <f>IF(PisCofinsAliquot[[#This Row],[Classificação]]="Alíquota 0",6,IF(PisCofinsAliquot[[#This Row],[Classificação]]="Monofásico",4,IF(PisCofinsAliquot[[#This Row],[Classificação]]="Regra Geral",1,IF(PisCofinsAliquot[[#This Row],[Classificação]]="ST",5))))</f>
        <v>4</v>
      </c>
    </row>
    <row r="565" spans="1:9" x14ac:dyDescent="0.25">
      <c r="A565" s="148" t="s">
        <v>2847</v>
      </c>
      <c r="B565" s="125" t="s">
        <v>2704</v>
      </c>
      <c r="C565" s="126" t="str">
        <f>RIGHT(PisCofinsAliquot[[#This Row],[Código NCM]],8)</f>
        <v>30039038</v>
      </c>
      <c r="D565" s="149"/>
      <c r="E565" s="150"/>
      <c r="F565" s="163" t="s">
        <v>5212</v>
      </c>
      <c r="G565" s="162">
        <v>2.1</v>
      </c>
      <c r="H565" s="162">
        <v>9.9</v>
      </c>
      <c r="I565">
        <f>IF(PisCofinsAliquot[[#This Row],[Classificação]]="Alíquota 0",6,IF(PisCofinsAliquot[[#This Row],[Classificação]]="Monofásico",4,IF(PisCofinsAliquot[[#This Row],[Classificação]]="Regra Geral",1,IF(PisCofinsAliquot[[#This Row],[Classificação]]="ST",5))))</f>
        <v>4</v>
      </c>
    </row>
    <row r="566" spans="1:9" x14ac:dyDescent="0.25">
      <c r="A566" s="148" t="s">
        <v>2848</v>
      </c>
      <c r="B566" s="125" t="s">
        <v>2704</v>
      </c>
      <c r="C566" s="126" t="str">
        <f>RIGHT(PisCofinsAliquot[[#This Row],[Código NCM]],8)</f>
        <v>30039039</v>
      </c>
      <c r="D566" s="149"/>
      <c r="E566" s="150"/>
      <c r="F566" s="163" t="s">
        <v>5135</v>
      </c>
      <c r="G566" s="162">
        <v>2.1</v>
      </c>
      <c r="H566" s="162">
        <v>9.9</v>
      </c>
      <c r="I566">
        <f>IF(PisCofinsAliquot[[#This Row],[Classificação]]="Alíquota 0",6,IF(PisCofinsAliquot[[#This Row],[Classificação]]="Monofásico",4,IF(PisCofinsAliquot[[#This Row],[Classificação]]="Regra Geral",1,IF(PisCofinsAliquot[[#This Row],[Classificação]]="ST",5))))</f>
        <v>4</v>
      </c>
    </row>
    <row r="567" spans="1:9" x14ac:dyDescent="0.25">
      <c r="A567" s="148" t="s">
        <v>2849</v>
      </c>
      <c r="B567" s="125" t="s">
        <v>2704</v>
      </c>
      <c r="C567" s="126" t="str">
        <f>RIGHT(PisCofinsAliquot[[#This Row],[Código NCM]],8)</f>
        <v>30039041</v>
      </c>
      <c r="D567" s="149"/>
      <c r="E567" s="150"/>
      <c r="F567" s="163" t="s">
        <v>5213</v>
      </c>
      <c r="G567" s="162">
        <v>2.1</v>
      </c>
      <c r="H567" s="162">
        <v>9.9</v>
      </c>
      <c r="I567">
        <f>IF(PisCofinsAliquot[[#This Row],[Classificação]]="Alíquota 0",6,IF(PisCofinsAliquot[[#This Row],[Classificação]]="Monofásico",4,IF(PisCofinsAliquot[[#This Row],[Classificação]]="Regra Geral",1,IF(PisCofinsAliquot[[#This Row],[Classificação]]="ST",5))))</f>
        <v>4</v>
      </c>
    </row>
    <row r="568" spans="1:9" x14ac:dyDescent="0.25">
      <c r="A568" s="148" t="s">
        <v>2850</v>
      </c>
      <c r="B568" s="125" t="s">
        <v>2704</v>
      </c>
      <c r="C568" s="126" t="str">
        <f>RIGHT(PisCofinsAliquot[[#This Row],[Código NCM]],8)</f>
        <v>30039042</v>
      </c>
      <c r="D568" s="149"/>
      <c r="E568" s="150"/>
      <c r="F568" s="163" t="s">
        <v>5214</v>
      </c>
      <c r="G568" s="162">
        <v>2.1</v>
      </c>
      <c r="H568" s="162">
        <v>9.9</v>
      </c>
      <c r="I568">
        <f>IF(PisCofinsAliquot[[#This Row],[Classificação]]="Alíquota 0",6,IF(PisCofinsAliquot[[#This Row],[Classificação]]="Monofásico",4,IF(PisCofinsAliquot[[#This Row],[Classificação]]="Regra Geral",1,IF(PisCofinsAliquot[[#This Row],[Classificação]]="ST",5))))</f>
        <v>4</v>
      </c>
    </row>
    <row r="569" spans="1:9" x14ac:dyDescent="0.25">
      <c r="A569" s="148" t="s">
        <v>2851</v>
      </c>
      <c r="B569" s="125" t="s">
        <v>2704</v>
      </c>
      <c r="C569" s="126" t="str">
        <f>RIGHT(PisCofinsAliquot[[#This Row],[Código NCM]],8)</f>
        <v>30039043</v>
      </c>
      <c r="D569" s="149"/>
      <c r="E569" s="150"/>
      <c r="F569" s="163" t="s">
        <v>5215</v>
      </c>
      <c r="G569" s="162">
        <v>2.1</v>
      </c>
      <c r="H569" s="162">
        <v>9.9</v>
      </c>
      <c r="I569">
        <f>IF(PisCofinsAliquot[[#This Row],[Classificação]]="Alíquota 0",6,IF(PisCofinsAliquot[[#This Row],[Classificação]]="Monofásico",4,IF(PisCofinsAliquot[[#This Row],[Classificação]]="Regra Geral",1,IF(PisCofinsAliquot[[#This Row],[Classificação]]="ST",5))))</f>
        <v>4</v>
      </c>
    </row>
    <row r="570" spans="1:9" x14ac:dyDescent="0.25">
      <c r="A570" s="148" t="s">
        <v>2852</v>
      </c>
      <c r="B570" s="125" t="s">
        <v>2704</v>
      </c>
      <c r="C570" s="126" t="str">
        <f>RIGHT(PisCofinsAliquot[[#This Row],[Código NCM]],8)</f>
        <v>30039044</v>
      </c>
      <c r="D570" s="149"/>
      <c r="E570" s="150"/>
      <c r="F570" s="163" t="s">
        <v>5216</v>
      </c>
      <c r="G570" s="162">
        <v>2.1</v>
      </c>
      <c r="H570" s="162">
        <v>9.9</v>
      </c>
      <c r="I570">
        <f>IF(PisCofinsAliquot[[#This Row],[Classificação]]="Alíquota 0",6,IF(PisCofinsAliquot[[#This Row],[Classificação]]="Monofásico",4,IF(PisCofinsAliquot[[#This Row],[Classificação]]="Regra Geral",1,IF(PisCofinsAliquot[[#This Row],[Classificação]]="ST",5))))</f>
        <v>4</v>
      </c>
    </row>
    <row r="571" spans="1:9" x14ac:dyDescent="0.25">
      <c r="A571" s="148" t="s">
        <v>2853</v>
      </c>
      <c r="B571" s="125" t="s">
        <v>2704</v>
      </c>
      <c r="C571" s="126" t="str">
        <f>RIGHT(PisCofinsAliquot[[#This Row],[Código NCM]],8)</f>
        <v>30039045</v>
      </c>
      <c r="D571" s="149"/>
      <c r="E571" s="150"/>
      <c r="F571" s="163" t="s">
        <v>5217</v>
      </c>
      <c r="G571" s="162">
        <v>2.1</v>
      </c>
      <c r="H571" s="162">
        <v>9.9</v>
      </c>
      <c r="I571">
        <f>IF(PisCofinsAliquot[[#This Row],[Classificação]]="Alíquota 0",6,IF(PisCofinsAliquot[[#This Row],[Classificação]]="Monofásico",4,IF(PisCofinsAliquot[[#This Row],[Classificação]]="Regra Geral",1,IF(PisCofinsAliquot[[#This Row],[Classificação]]="ST",5))))</f>
        <v>4</v>
      </c>
    </row>
    <row r="572" spans="1:9" x14ac:dyDescent="0.25">
      <c r="A572" s="148" t="s">
        <v>2854</v>
      </c>
      <c r="B572" s="125" t="s">
        <v>2704</v>
      </c>
      <c r="C572" s="126" t="str">
        <f>RIGHT(PisCofinsAliquot[[#This Row],[Código NCM]],8)</f>
        <v>30039046</v>
      </c>
      <c r="D572" s="149"/>
      <c r="E572" s="150"/>
      <c r="F572" s="163" t="s">
        <v>5218</v>
      </c>
      <c r="G572" s="162">
        <v>2.1</v>
      </c>
      <c r="H572" s="162">
        <v>9.9</v>
      </c>
      <c r="I572">
        <f>IF(PisCofinsAliquot[[#This Row],[Classificação]]="Alíquota 0",6,IF(PisCofinsAliquot[[#This Row],[Classificação]]="Monofásico",4,IF(PisCofinsAliquot[[#This Row],[Classificação]]="Regra Geral",1,IF(PisCofinsAliquot[[#This Row],[Classificação]]="ST",5))))</f>
        <v>4</v>
      </c>
    </row>
    <row r="573" spans="1:9" x14ac:dyDescent="0.25">
      <c r="A573" s="148" t="s">
        <v>2855</v>
      </c>
      <c r="B573" s="125" t="s">
        <v>2704</v>
      </c>
      <c r="C573" s="126" t="str">
        <f>RIGHT(PisCofinsAliquot[[#This Row],[Código NCM]],8)</f>
        <v>30039047</v>
      </c>
      <c r="D573" s="149"/>
      <c r="E573" s="150"/>
      <c r="F573" s="163" t="s">
        <v>5219</v>
      </c>
      <c r="G573" s="162">
        <v>2.1</v>
      </c>
      <c r="H573" s="162">
        <v>9.9</v>
      </c>
      <c r="I573">
        <f>IF(PisCofinsAliquot[[#This Row],[Classificação]]="Alíquota 0",6,IF(PisCofinsAliquot[[#This Row],[Classificação]]="Monofásico",4,IF(PisCofinsAliquot[[#This Row],[Classificação]]="Regra Geral",1,IF(PisCofinsAliquot[[#This Row],[Classificação]]="ST",5))))</f>
        <v>4</v>
      </c>
    </row>
    <row r="574" spans="1:9" x14ac:dyDescent="0.25">
      <c r="A574" s="148" t="s">
        <v>2856</v>
      </c>
      <c r="B574" s="125" t="s">
        <v>2704</v>
      </c>
      <c r="C574" s="126" t="str">
        <f>RIGHT(PisCofinsAliquot[[#This Row],[Código NCM]],8)</f>
        <v>30039048</v>
      </c>
      <c r="D574" s="149"/>
      <c r="E574" s="150"/>
      <c r="F574" s="163" t="s">
        <v>5220</v>
      </c>
      <c r="G574" s="162">
        <v>2.1</v>
      </c>
      <c r="H574" s="162">
        <v>9.9</v>
      </c>
      <c r="I574">
        <f>IF(PisCofinsAliquot[[#This Row],[Classificação]]="Alíquota 0",6,IF(PisCofinsAliquot[[#This Row],[Classificação]]="Monofásico",4,IF(PisCofinsAliquot[[#This Row],[Classificação]]="Regra Geral",1,IF(PisCofinsAliquot[[#This Row],[Classificação]]="ST",5))))</f>
        <v>4</v>
      </c>
    </row>
    <row r="575" spans="1:9" x14ac:dyDescent="0.25">
      <c r="A575" s="148" t="s">
        <v>2857</v>
      </c>
      <c r="B575" s="125" t="s">
        <v>2704</v>
      </c>
      <c r="C575" s="126" t="str">
        <f>RIGHT(PisCofinsAliquot[[#This Row],[Código NCM]],8)</f>
        <v>30039049</v>
      </c>
      <c r="D575" s="149"/>
      <c r="E575" s="150"/>
      <c r="F575" s="163" t="s">
        <v>5135</v>
      </c>
      <c r="G575" s="162">
        <v>2.1</v>
      </c>
      <c r="H575" s="162">
        <v>9.9</v>
      </c>
      <c r="I575">
        <f>IF(PisCofinsAliquot[[#This Row],[Classificação]]="Alíquota 0",6,IF(PisCofinsAliquot[[#This Row],[Classificação]]="Monofásico",4,IF(PisCofinsAliquot[[#This Row],[Classificação]]="Regra Geral",1,IF(PisCofinsAliquot[[#This Row],[Classificação]]="ST",5))))</f>
        <v>4</v>
      </c>
    </row>
    <row r="576" spans="1:9" x14ac:dyDescent="0.25">
      <c r="A576" s="148" t="s">
        <v>2858</v>
      </c>
      <c r="B576" s="125" t="s">
        <v>2704</v>
      </c>
      <c r="C576" s="126" t="str">
        <f>RIGHT(PisCofinsAliquot[[#This Row],[Código NCM]],8)</f>
        <v>30039051</v>
      </c>
      <c r="D576" s="149"/>
      <c r="E576" s="150"/>
      <c r="F576" s="163" t="s">
        <v>5221</v>
      </c>
      <c r="G576" s="162">
        <v>2.1</v>
      </c>
      <c r="H576" s="162">
        <v>9.9</v>
      </c>
      <c r="I576">
        <f>IF(PisCofinsAliquot[[#This Row],[Classificação]]="Alíquota 0",6,IF(PisCofinsAliquot[[#This Row],[Classificação]]="Monofásico",4,IF(PisCofinsAliquot[[#This Row],[Classificação]]="Regra Geral",1,IF(PisCofinsAliquot[[#This Row],[Classificação]]="ST",5))))</f>
        <v>4</v>
      </c>
    </row>
    <row r="577" spans="1:9" x14ac:dyDescent="0.25">
      <c r="A577" s="148" t="s">
        <v>2859</v>
      </c>
      <c r="B577" s="125" t="s">
        <v>2704</v>
      </c>
      <c r="C577" s="126" t="str">
        <f>RIGHT(PisCofinsAliquot[[#This Row],[Código NCM]],8)</f>
        <v>30039052</v>
      </c>
      <c r="D577" s="149"/>
      <c r="E577" s="150"/>
      <c r="F577" s="163" t="s">
        <v>5222</v>
      </c>
      <c r="G577" s="162">
        <v>2.1</v>
      </c>
      <c r="H577" s="162">
        <v>9.9</v>
      </c>
      <c r="I577">
        <f>IF(PisCofinsAliquot[[#This Row],[Classificação]]="Alíquota 0",6,IF(PisCofinsAliquot[[#This Row],[Classificação]]="Monofásico",4,IF(PisCofinsAliquot[[#This Row],[Classificação]]="Regra Geral",1,IF(PisCofinsAliquot[[#This Row],[Classificação]]="ST",5))))</f>
        <v>4</v>
      </c>
    </row>
    <row r="578" spans="1:9" x14ac:dyDescent="0.25">
      <c r="A578" s="148" t="s">
        <v>2860</v>
      </c>
      <c r="B578" s="125" t="s">
        <v>2704</v>
      </c>
      <c r="C578" s="126" t="str">
        <f>RIGHT(PisCofinsAliquot[[#This Row],[Código NCM]],8)</f>
        <v>30039053</v>
      </c>
      <c r="D578" s="149"/>
      <c r="E578" s="150"/>
      <c r="F578" s="163" t="s">
        <v>5223</v>
      </c>
      <c r="G578" s="162">
        <v>2.1</v>
      </c>
      <c r="H578" s="162">
        <v>9.9</v>
      </c>
      <c r="I578">
        <f>IF(PisCofinsAliquot[[#This Row],[Classificação]]="Alíquota 0",6,IF(PisCofinsAliquot[[#This Row],[Classificação]]="Monofásico",4,IF(PisCofinsAliquot[[#This Row],[Classificação]]="Regra Geral",1,IF(PisCofinsAliquot[[#This Row],[Classificação]]="ST",5))))</f>
        <v>4</v>
      </c>
    </row>
    <row r="579" spans="1:9" x14ac:dyDescent="0.25">
      <c r="A579" s="148" t="s">
        <v>2861</v>
      </c>
      <c r="B579" s="125" t="s">
        <v>2704</v>
      </c>
      <c r="C579" s="126" t="str">
        <f>RIGHT(PisCofinsAliquot[[#This Row],[Código NCM]],8)</f>
        <v>30039054</v>
      </c>
      <c r="D579" s="149"/>
      <c r="E579" s="150"/>
      <c r="F579" s="163" t="s">
        <v>5224</v>
      </c>
      <c r="G579" s="162">
        <v>2.1</v>
      </c>
      <c r="H579" s="162">
        <v>9.9</v>
      </c>
      <c r="I579">
        <f>IF(PisCofinsAliquot[[#This Row],[Classificação]]="Alíquota 0",6,IF(PisCofinsAliquot[[#This Row],[Classificação]]="Monofásico",4,IF(PisCofinsAliquot[[#This Row],[Classificação]]="Regra Geral",1,IF(PisCofinsAliquot[[#This Row],[Classificação]]="ST",5))))</f>
        <v>4</v>
      </c>
    </row>
    <row r="580" spans="1:9" x14ac:dyDescent="0.25">
      <c r="A580" s="148" t="s">
        <v>2862</v>
      </c>
      <c r="B580" s="125" t="s">
        <v>2704</v>
      </c>
      <c r="C580" s="126" t="str">
        <f>RIGHT(PisCofinsAliquot[[#This Row],[Código NCM]],8)</f>
        <v>30039055</v>
      </c>
      <c r="D580" s="149"/>
      <c r="E580" s="150"/>
      <c r="F580" s="163" t="s">
        <v>5225</v>
      </c>
      <c r="G580" s="162">
        <v>2.1</v>
      </c>
      <c r="H580" s="162">
        <v>9.9</v>
      </c>
      <c r="I580">
        <f>IF(PisCofinsAliquot[[#This Row],[Classificação]]="Alíquota 0",6,IF(PisCofinsAliquot[[#This Row],[Classificação]]="Monofásico",4,IF(PisCofinsAliquot[[#This Row],[Classificação]]="Regra Geral",1,IF(PisCofinsAliquot[[#This Row],[Classificação]]="ST",5))))</f>
        <v>4</v>
      </c>
    </row>
    <row r="581" spans="1:9" x14ac:dyDescent="0.25">
      <c r="A581" s="148" t="s">
        <v>2863</v>
      </c>
      <c r="B581" s="125" t="s">
        <v>2704</v>
      </c>
      <c r="C581" s="126" t="str">
        <f>RIGHT(PisCofinsAliquot[[#This Row],[Código NCM]],8)</f>
        <v>30039057</v>
      </c>
      <c r="D581" s="149"/>
      <c r="E581" s="150"/>
      <c r="F581" s="163" t="s">
        <v>5226</v>
      </c>
      <c r="G581" s="162">
        <v>2.1</v>
      </c>
      <c r="H581" s="162">
        <v>9.9</v>
      </c>
      <c r="I581">
        <f>IF(PisCofinsAliquot[[#This Row],[Classificação]]="Alíquota 0",6,IF(PisCofinsAliquot[[#This Row],[Classificação]]="Monofásico",4,IF(PisCofinsAliquot[[#This Row],[Classificação]]="Regra Geral",1,IF(PisCofinsAliquot[[#This Row],[Classificação]]="ST",5))))</f>
        <v>4</v>
      </c>
    </row>
    <row r="582" spans="1:9" x14ac:dyDescent="0.25">
      <c r="A582" s="148" t="s">
        <v>2864</v>
      </c>
      <c r="B582" s="125" t="s">
        <v>2704</v>
      </c>
      <c r="C582" s="126" t="str">
        <f>RIGHT(PisCofinsAliquot[[#This Row],[Código NCM]],8)</f>
        <v>30039058</v>
      </c>
      <c r="D582" s="149"/>
      <c r="E582" s="150"/>
      <c r="F582" s="163" t="s">
        <v>5227</v>
      </c>
      <c r="G582" s="162">
        <v>2.1</v>
      </c>
      <c r="H582" s="162">
        <v>9.9</v>
      </c>
      <c r="I582">
        <f>IF(PisCofinsAliquot[[#This Row],[Classificação]]="Alíquota 0",6,IF(PisCofinsAliquot[[#This Row],[Classificação]]="Monofásico",4,IF(PisCofinsAliquot[[#This Row],[Classificação]]="Regra Geral",1,IF(PisCofinsAliquot[[#This Row],[Classificação]]="ST",5))))</f>
        <v>4</v>
      </c>
    </row>
    <row r="583" spans="1:9" x14ac:dyDescent="0.25">
      <c r="A583" s="148" t="s">
        <v>2865</v>
      </c>
      <c r="B583" s="125" t="s">
        <v>2704</v>
      </c>
      <c r="C583" s="126" t="str">
        <f>RIGHT(PisCofinsAliquot[[#This Row],[Código NCM]],8)</f>
        <v>30039059</v>
      </c>
      <c r="D583" s="149"/>
      <c r="E583" s="150"/>
      <c r="F583" s="163" t="s">
        <v>5135</v>
      </c>
      <c r="G583" s="162">
        <v>2.1</v>
      </c>
      <c r="H583" s="162">
        <v>9.9</v>
      </c>
      <c r="I583">
        <f>IF(PisCofinsAliquot[[#This Row],[Classificação]]="Alíquota 0",6,IF(PisCofinsAliquot[[#This Row],[Classificação]]="Monofásico",4,IF(PisCofinsAliquot[[#This Row],[Classificação]]="Regra Geral",1,IF(PisCofinsAliquot[[#This Row],[Classificação]]="ST",5))))</f>
        <v>4</v>
      </c>
    </row>
    <row r="584" spans="1:9" x14ac:dyDescent="0.25">
      <c r="A584" s="148" t="s">
        <v>2866</v>
      </c>
      <c r="B584" s="125" t="s">
        <v>2704</v>
      </c>
      <c r="C584" s="126" t="str">
        <f>RIGHT(PisCofinsAliquot[[#This Row],[Código NCM]],8)</f>
        <v>30039061</v>
      </c>
      <c r="D584" s="149"/>
      <c r="E584" s="150"/>
      <c r="F584" s="163" t="s">
        <v>5228</v>
      </c>
      <c r="G584" s="162">
        <v>2.1</v>
      </c>
      <c r="H584" s="162">
        <v>9.9</v>
      </c>
      <c r="I584">
        <f>IF(PisCofinsAliquot[[#This Row],[Classificação]]="Alíquota 0",6,IF(PisCofinsAliquot[[#This Row],[Classificação]]="Monofásico",4,IF(PisCofinsAliquot[[#This Row],[Classificação]]="Regra Geral",1,IF(PisCofinsAliquot[[#This Row],[Classificação]]="ST",5))))</f>
        <v>4</v>
      </c>
    </row>
    <row r="585" spans="1:9" x14ac:dyDescent="0.25">
      <c r="A585" s="148" t="s">
        <v>2867</v>
      </c>
      <c r="B585" s="125" t="s">
        <v>2704</v>
      </c>
      <c r="C585" s="126" t="str">
        <f>RIGHT(PisCofinsAliquot[[#This Row],[Código NCM]],8)</f>
        <v>30039062</v>
      </c>
      <c r="D585" s="149"/>
      <c r="E585" s="150"/>
      <c r="F585" s="163" t="s">
        <v>5229</v>
      </c>
      <c r="G585" s="162">
        <v>2.1</v>
      </c>
      <c r="H585" s="162">
        <v>9.9</v>
      </c>
      <c r="I585">
        <f>IF(PisCofinsAliquot[[#This Row],[Classificação]]="Alíquota 0",6,IF(PisCofinsAliquot[[#This Row],[Classificação]]="Monofásico",4,IF(PisCofinsAliquot[[#This Row],[Classificação]]="Regra Geral",1,IF(PisCofinsAliquot[[#This Row],[Classificação]]="ST",5))))</f>
        <v>4</v>
      </c>
    </row>
    <row r="586" spans="1:9" x14ac:dyDescent="0.25">
      <c r="A586" s="148" t="s">
        <v>2868</v>
      </c>
      <c r="B586" s="125" t="s">
        <v>2704</v>
      </c>
      <c r="C586" s="126" t="str">
        <f>RIGHT(PisCofinsAliquot[[#This Row],[Código NCM]],8)</f>
        <v>30039063</v>
      </c>
      <c r="D586" s="149"/>
      <c r="E586" s="150"/>
      <c r="F586" s="163" t="s">
        <v>5230</v>
      </c>
      <c r="G586" s="162">
        <v>2.1</v>
      </c>
      <c r="H586" s="162">
        <v>9.9</v>
      </c>
      <c r="I586">
        <f>IF(PisCofinsAliquot[[#This Row],[Classificação]]="Alíquota 0",6,IF(PisCofinsAliquot[[#This Row],[Classificação]]="Monofásico",4,IF(PisCofinsAliquot[[#This Row],[Classificação]]="Regra Geral",1,IF(PisCofinsAliquot[[#This Row],[Classificação]]="ST",5))))</f>
        <v>4</v>
      </c>
    </row>
    <row r="587" spans="1:9" x14ac:dyDescent="0.25">
      <c r="A587" s="148" t="s">
        <v>2869</v>
      </c>
      <c r="B587" s="125" t="s">
        <v>2704</v>
      </c>
      <c r="C587" s="126" t="str">
        <f>RIGHT(PisCofinsAliquot[[#This Row],[Código NCM]],8)</f>
        <v>30039064</v>
      </c>
      <c r="D587" s="149"/>
      <c r="E587" s="150"/>
      <c r="F587" s="163" t="s">
        <v>5231</v>
      </c>
      <c r="G587" s="162">
        <v>2.1</v>
      </c>
      <c r="H587" s="162">
        <v>9.9</v>
      </c>
      <c r="I587">
        <f>IF(PisCofinsAliquot[[#This Row],[Classificação]]="Alíquota 0",6,IF(PisCofinsAliquot[[#This Row],[Classificação]]="Monofásico",4,IF(PisCofinsAliquot[[#This Row],[Classificação]]="Regra Geral",1,IF(PisCofinsAliquot[[#This Row],[Classificação]]="ST",5))))</f>
        <v>4</v>
      </c>
    </row>
    <row r="588" spans="1:9" x14ac:dyDescent="0.25">
      <c r="A588" s="148" t="s">
        <v>2870</v>
      </c>
      <c r="B588" s="125" t="s">
        <v>2704</v>
      </c>
      <c r="C588" s="126" t="str">
        <f>RIGHT(PisCofinsAliquot[[#This Row],[Código NCM]],8)</f>
        <v>30039065</v>
      </c>
      <c r="D588" s="149"/>
      <c r="E588" s="150"/>
      <c r="F588" s="163" t="s">
        <v>5232</v>
      </c>
      <c r="G588" s="162">
        <v>2.1</v>
      </c>
      <c r="H588" s="162">
        <v>9.9</v>
      </c>
      <c r="I588">
        <f>IF(PisCofinsAliquot[[#This Row],[Classificação]]="Alíquota 0",6,IF(PisCofinsAliquot[[#This Row],[Classificação]]="Monofásico",4,IF(PisCofinsAliquot[[#This Row],[Classificação]]="Regra Geral",1,IF(PisCofinsAliquot[[#This Row],[Classificação]]="ST",5))))</f>
        <v>4</v>
      </c>
    </row>
    <row r="589" spans="1:9" x14ac:dyDescent="0.25">
      <c r="A589" s="148" t="s">
        <v>2871</v>
      </c>
      <c r="B589" s="125" t="s">
        <v>2704</v>
      </c>
      <c r="C589" s="126" t="str">
        <f>RIGHT(PisCofinsAliquot[[#This Row],[Código NCM]],8)</f>
        <v>30039066</v>
      </c>
      <c r="D589" s="149"/>
      <c r="E589" s="150"/>
      <c r="F589" s="163" t="s">
        <v>5233</v>
      </c>
      <c r="G589" s="162">
        <v>2.1</v>
      </c>
      <c r="H589" s="162">
        <v>9.9</v>
      </c>
      <c r="I589">
        <f>IF(PisCofinsAliquot[[#This Row],[Classificação]]="Alíquota 0",6,IF(PisCofinsAliquot[[#This Row],[Classificação]]="Monofásico",4,IF(PisCofinsAliquot[[#This Row],[Classificação]]="Regra Geral",1,IF(PisCofinsAliquot[[#This Row],[Classificação]]="ST",5))))</f>
        <v>4</v>
      </c>
    </row>
    <row r="590" spans="1:9" x14ac:dyDescent="0.25">
      <c r="A590" s="148" t="s">
        <v>2872</v>
      </c>
      <c r="B590" s="125" t="s">
        <v>2704</v>
      </c>
      <c r="C590" s="126" t="str">
        <f>RIGHT(PisCofinsAliquot[[#This Row],[Código NCM]],8)</f>
        <v>30039067</v>
      </c>
      <c r="D590" s="149"/>
      <c r="E590" s="150"/>
      <c r="F590" s="163" t="s">
        <v>5234</v>
      </c>
      <c r="G590" s="162">
        <v>2.1</v>
      </c>
      <c r="H590" s="162">
        <v>9.9</v>
      </c>
      <c r="I590">
        <f>IF(PisCofinsAliquot[[#This Row],[Classificação]]="Alíquota 0",6,IF(PisCofinsAliquot[[#This Row],[Classificação]]="Monofásico",4,IF(PisCofinsAliquot[[#This Row],[Classificação]]="Regra Geral",1,IF(PisCofinsAliquot[[#This Row],[Classificação]]="ST",5))))</f>
        <v>4</v>
      </c>
    </row>
    <row r="591" spans="1:9" x14ac:dyDescent="0.25">
      <c r="A591" s="148" t="s">
        <v>2873</v>
      </c>
      <c r="B591" s="125" t="s">
        <v>2704</v>
      </c>
      <c r="C591" s="126" t="str">
        <f>RIGHT(PisCofinsAliquot[[#This Row],[Código NCM]],8)</f>
        <v>30039069</v>
      </c>
      <c r="D591" s="149"/>
      <c r="E591" s="150"/>
      <c r="F591" s="163" t="s">
        <v>5135</v>
      </c>
      <c r="G591" s="162">
        <v>2.1</v>
      </c>
      <c r="H591" s="162">
        <v>9.9</v>
      </c>
      <c r="I591">
        <f>IF(PisCofinsAliquot[[#This Row],[Classificação]]="Alíquota 0",6,IF(PisCofinsAliquot[[#This Row],[Classificação]]="Monofásico",4,IF(PisCofinsAliquot[[#This Row],[Classificação]]="Regra Geral",1,IF(PisCofinsAliquot[[#This Row],[Classificação]]="ST",5))))</f>
        <v>4</v>
      </c>
    </row>
    <row r="592" spans="1:9" x14ac:dyDescent="0.25">
      <c r="A592" s="148" t="s">
        <v>2874</v>
      </c>
      <c r="B592" s="125" t="s">
        <v>2704</v>
      </c>
      <c r="C592" s="126" t="str">
        <f>RIGHT(PisCofinsAliquot[[#This Row],[Código NCM]],8)</f>
        <v>30039071</v>
      </c>
      <c r="D592" s="149"/>
      <c r="E592" s="150"/>
      <c r="F592" s="163" t="s">
        <v>5235</v>
      </c>
      <c r="G592" s="162">
        <v>2.1</v>
      </c>
      <c r="H592" s="162">
        <v>9.9</v>
      </c>
      <c r="I592">
        <f>IF(PisCofinsAliquot[[#This Row],[Classificação]]="Alíquota 0",6,IF(PisCofinsAliquot[[#This Row],[Classificação]]="Monofásico",4,IF(PisCofinsAliquot[[#This Row],[Classificação]]="Regra Geral",1,IF(PisCofinsAliquot[[#This Row],[Classificação]]="ST",5))))</f>
        <v>4</v>
      </c>
    </row>
    <row r="593" spans="1:9" x14ac:dyDescent="0.25">
      <c r="A593" s="148" t="s">
        <v>2875</v>
      </c>
      <c r="B593" s="125" t="s">
        <v>2704</v>
      </c>
      <c r="C593" s="126" t="str">
        <f>RIGHT(PisCofinsAliquot[[#This Row],[Código NCM]],8)</f>
        <v>30039072</v>
      </c>
      <c r="D593" s="149"/>
      <c r="E593" s="150"/>
      <c r="F593" s="163" t="s">
        <v>5236</v>
      </c>
      <c r="G593" s="162">
        <v>2.1</v>
      </c>
      <c r="H593" s="162">
        <v>9.9</v>
      </c>
      <c r="I593">
        <f>IF(PisCofinsAliquot[[#This Row],[Classificação]]="Alíquota 0",6,IF(PisCofinsAliquot[[#This Row],[Classificação]]="Monofásico",4,IF(PisCofinsAliquot[[#This Row],[Classificação]]="Regra Geral",1,IF(PisCofinsAliquot[[#This Row],[Classificação]]="ST",5))))</f>
        <v>4</v>
      </c>
    </row>
    <row r="594" spans="1:9" x14ac:dyDescent="0.25">
      <c r="A594" s="148" t="s">
        <v>2876</v>
      </c>
      <c r="B594" s="125" t="s">
        <v>2704</v>
      </c>
      <c r="C594" s="126" t="str">
        <f>RIGHT(PisCofinsAliquot[[#This Row],[Código NCM]],8)</f>
        <v>30039073</v>
      </c>
      <c r="D594" s="149"/>
      <c r="E594" s="150"/>
      <c r="F594" s="163" t="s">
        <v>5237</v>
      </c>
      <c r="G594" s="162">
        <v>2.1</v>
      </c>
      <c r="H594" s="162">
        <v>9.9</v>
      </c>
      <c r="I594">
        <f>IF(PisCofinsAliquot[[#This Row],[Classificação]]="Alíquota 0",6,IF(PisCofinsAliquot[[#This Row],[Classificação]]="Monofásico",4,IF(PisCofinsAliquot[[#This Row],[Classificação]]="Regra Geral",1,IF(PisCofinsAliquot[[#This Row],[Classificação]]="ST",5))))</f>
        <v>4</v>
      </c>
    </row>
    <row r="595" spans="1:9" x14ac:dyDescent="0.25">
      <c r="A595" s="148" t="s">
        <v>2877</v>
      </c>
      <c r="B595" s="125" t="s">
        <v>2704</v>
      </c>
      <c r="C595" s="126" t="str">
        <f>RIGHT(PisCofinsAliquot[[#This Row],[Código NCM]],8)</f>
        <v>30039074</v>
      </c>
      <c r="D595" s="149"/>
      <c r="E595" s="150"/>
      <c r="F595" s="163" t="s">
        <v>5238</v>
      </c>
      <c r="G595" s="162">
        <v>2.1</v>
      </c>
      <c r="H595" s="162">
        <v>9.9</v>
      </c>
      <c r="I595">
        <f>IF(PisCofinsAliquot[[#This Row],[Classificação]]="Alíquota 0",6,IF(PisCofinsAliquot[[#This Row],[Classificação]]="Monofásico",4,IF(PisCofinsAliquot[[#This Row],[Classificação]]="Regra Geral",1,IF(PisCofinsAliquot[[#This Row],[Classificação]]="ST",5))))</f>
        <v>4</v>
      </c>
    </row>
    <row r="596" spans="1:9" x14ac:dyDescent="0.25">
      <c r="A596" s="148" t="s">
        <v>2878</v>
      </c>
      <c r="B596" s="125" t="s">
        <v>2704</v>
      </c>
      <c r="C596" s="126" t="str">
        <f>RIGHT(PisCofinsAliquot[[#This Row],[Código NCM]],8)</f>
        <v>30039075</v>
      </c>
      <c r="D596" s="149"/>
      <c r="E596" s="150"/>
      <c r="F596" s="163" t="s">
        <v>5239</v>
      </c>
      <c r="G596" s="162">
        <v>2.1</v>
      </c>
      <c r="H596" s="162">
        <v>9.9</v>
      </c>
      <c r="I596">
        <f>IF(PisCofinsAliquot[[#This Row],[Classificação]]="Alíquota 0",6,IF(PisCofinsAliquot[[#This Row],[Classificação]]="Monofásico",4,IF(PisCofinsAliquot[[#This Row],[Classificação]]="Regra Geral",1,IF(PisCofinsAliquot[[#This Row],[Classificação]]="ST",5))))</f>
        <v>4</v>
      </c>
    </row>
    <row r="597" spans="1:9" x14ac:dyDescent="0.25">
      <c r="A597" s="148" t="s">
        <v>2879</v>
      </c>
      <c r="B597" s="125" t="s">
        <v>2704</v>
      </c>
      <c r="C597" s="126" t="str">
        <f>RIGHT(PisCofinsAliquot[[#This Row],[Código NCM]],8)</f>
        <v>30039076</v>
      </c>
      <c r="D597" s="149"/>
      <c r="E597" s="150"/>
      <c r="F597" s="163" t="s">
        <v>5240</v>
      </c>
      <c r="G597" s="162">
        <v>2.1</v>
      </c>
      <c r="H597" s="162">
        <v>9.9</v>
      </c>
      <c r="I597">
        <f>IF(PisCofinsAliquot[[#This Row],[Classificação]]="Alíquota 0",6,IF(PisCofinsAliquot[[#This Row],[Classificação]]="Monofásico",4,IF(PisCofinsAliquot[[#This Row],[Classificação]]="Regra Geral",1,IF(PisCofinsAliquot[[#This Row],[Classificação]]="ST",5))))</f>
        <v>4</v>
      </c>
    </row>
    <row r="598" spans="1:9" x14ac:dyDescent="0.25">
      <c r="A598" s="148" t="s">
        <v>2880</v>
      </c>
      <c r="B598" s="125" t="s">
        <v>2704</v>
      </c>
      <c r="C598" s="126" t="str">
        <f>RIGHT(PisCofinsAliquot[[#This Row],[Código NCM]],8)</f>
        <v>30039077</v>
      </c>
      <c r="D598" s="149"/>
      <c r="E598" s="150"/>
      <c r="F598" s="163" t="s">
        <v>5241</v>
      </c>
      <c r="G598" s="162">
        <v>2.1</v>
      </c>
      <c r="H598" s="162">
        <v>9.9</v>
      </c>
      <c r="I598">
        <f>IF(PisCofinsAliquot[[#This Row],[Classificação]]="Alíquota 0",6,IF(PisCofinsAliquot[[#This Row],[Classificação]]="Monofásico",4,IF(PisCofinsAliquot[[#This Row],[Classificação]]="Regra Geral",1,IF(PisCofinsAliquot[[#This Row],[Classificação]]="ST",5))))</f>
        <v>4</v>
      </c>
    </row>
    <row r="599" spans="1:9" x14ac:dyDescent="0.25">
      <c r="A599" s="148" t="s">
        <v>2881</v>
      </c>
      <c r="B599" s="125" t="s">
        <v>2704</v>
      </c>
      <c r="C599" s="126" t="str">
        <f>RIGHT(PisCofinsAliquot[[#This Row],[Código NCM]],8)</f>
        <v>30039078</v>
      </c>
      <c r="D599" s="149"/>
      <c r="E599" s="150"/>
      <c r="F599" s="163" t="s">
        <v>5242</v>
      </c>
      <c r="G599" s="162">
        <v>2.1</v>
      </c>
      <c r="H599" s="162">
        <v>9.9</v>
      </c>
      <c r="I599">
        <f>IF(PisCofinsAliquot[[#This Row],[Classificação]]="Alíquota 0",6,IF(PisCofinsAliquot[[#This Row],[Classificação]]="Monofásico",4,IF(PisCofinsAliquot[[#This Row],[Classificação]]="Regra Geral",1,IF(PisCofinsAliquot[[#This Row],[Classificação]]="ST",5))))</f>
        <v>4</v>
      </c>
    </row>
    <row r="600" spans="1:9" x14ac:dyDescent="0.25">
      <c r="A600" s="148" t="s">
        <v>2882</v>
      </c>
      <c r="B600" s="125" t="s">
        <v>2704</v>
      </c>
      <c r="C600" s="126" t="str">
        <f>RIGHT(PisCofinsAliquot[[#This Row],[Código NCM]],8)</f>
        <v>30039079</v>
      </c>
      <c r="D600" s="149"/>
      <c r="E600" s="150"/>
      <c r="F600" s="163" t="s">
        <v>5135</v>
      </c>
      <c r="G600" s="162">
        <v>2.1</v>
      </c>
      <c r="H600" s="162">
        <v>9.9</v>
      </c>
      <c r="I600">
        <f>IF(PisCofinsAliquot[[#This Row],[Classificação]]="Alíquota 0",6,IF(PisCofinsAliquot[[#This Row],[Classificação]]="Monofásico",4,IF(PisCofinsAliquot[[#This Row],[Classificação]]="Regra Geral",1,IF(PisCofinsAliquot[[#This Row],[Classificação]]="ST",5))))</f>
        <v>4</v>
      </c>
    </row>
    <row r="601" spans="1:9" x14ac:dyDescent="0.25">
      <c r="A601" s="148" t="s">
        <v>2883</v>
      </c>
      <c r="B601" s="125" t="s">
        <v>2704</v>
      </c>
      <c r="C601" s="126" t="str">
        <f>RIGHT(PisCofinsAliquot[[#This Row],[Código NCM]],8)</f>
        <v>30039081</v>
      </c>
      <c r="D601" s="149"/>
      <c r="E601" s="150"/>
      <c r="F601" s="163" t="s">
        <v>5243</v>
      </c>
      <c r="G601" s="162">
        <v>2.1</v>
      </c>
      <c r="H601" s="162">
        <v>9.9</v>
      </c>
      <c r="I601">
        <f>IF(PisCofinsAliquot[[#This Row],[Classificação]]="Alíquota 0",6,IF(PisCofinsAliquot[[#This Row],[Classificação]]="Monofásico",4,IF(PisCofinsAliquot[[#This Row],[Classificação]]="Regra Geral",1,IF(PisCofinsAliquot[[#This Row],[Classificação]]="ST",5))))</f>
        <v>4</v>
      </c>
    </row>
    <row r="602" spans="1:9" x14ac:dyDescent="0.25">
      <c r="A602" s="148" t="s">
        <v>2884</v>
      </c>
      <c r="B602" s="125" t="s">
        <v>2704</v>
      </c>
      <c r="C602" s="126" t="str">
        <f>RIGHT(PisCofinsAliquot[[#This Row],[Código NCM]],8)</f>
        <v>30039082</v>
      </c>
      <c r="D602" s="149"/>
      <c r="E602" s="150"/>
      <c r="F602" s="163" t="s">
        <v>5244</v>
      </c>
      <c r="G602" s="162">
        <v>2.1</v>
      </c>
      <c r="H602" s="162">
        <v>9.9</v>
      </c>
      <c r="I602">
        <f>IF(PisCofinsAliquot[[#This Row],[Classificação]]="Alíquota 0",6,IF(PisCofinsAliquot[[#This Row],[Classificação]]="Monofásico",4,IF(PisCofinsAliquot[[#This Row],[Classificação]]="Regra Geral",1,IF(PisCofinsAliquot[[#This Row],[Classificação]]="ST",5))))</f>
        <v>4</v>
      </c>
    </row>
    <row r="603" spans="1:9" x14ac:dyDescent="0.25">
      <c r="A603" s="148" t="s">
        <v>2885</v>
      </c>
      <c r="B603" s="125" t="s">
        <v>2704</v>
      </c>
      <c r="C603" s="126" t="str">
        <f>RIGHT(PisCofinsAliquot[[#This Row],[Código NCM]],8)</f>
        <v>30039083</v>
      </c>
      <c r="D603" s="149"/>
      <c r="E603" s="150"/>
      <c r="F603" s="163" t="s">
        <v>5245</v>
      </c>
      <c r="G603" s="162">
        <v>2.1</v>
      </c>
      <c r="H603" s="162">
        <v>9.9</v>
      </c>
      <c r="I603">
        <f>IF(PisCofinsAliquot[[#This Row],[Classificação]]="Alíquota 0",6,IF(PisCofinsAliquot[[#This Row],[Classificação]]="Monofásico",4,IF(PisCofinsAliquot[[#This Row],[Classificação]]="Regra Geral",1,IF(PisCofinsAliquot[[#This Row],[Classificação]]="ST",5))))</f>
        <v>4</v>
      </c>
    </row>
    <row r="604" spans="1:9" x14ac:dyDescent="0.25">
      <c r="A604" s="148" t="s">
        <v>2886</v>
      </c>
      <c r="B604" s="125" t="s">
        <v>2704</v>
      </c>
      <c r="C604" s="126" t="str">
        <f>RIGHT(PisCofinsAliquot[[#This Row],[Código NCM]],8)</f>
        <v>30039084</v>
      </c>
      <c r="D604" s="149"/>
      <c r="E604" s="150"/>
      <c r="F604" s="163" t="s">
        <v>5246</v>
      </c>
      <c r="G604" s="162">
        <v>2.1</v>
      </c>
      <c r="H604" s="162">
        <v>9.9</v>
      </c>
      <c r="I604">
        <f>IF(PisCofinsAliquot[[#This Row],[Classificação]]="Alíquota 0",6,IF(PisCofinsAliquot[[#This Row],[Classificação]]="Monofásico",4,IF(PisCofinsAliquot[[#This Row],[Classificação]]="Regra Geral",1,IF(PisCofinsAliquot[[#This Row],[Classificação]]="ST",5))))</f>
        <v>4</v>
      </c>
    </row>
    <row r="605" spans="1:9" x14ac:dyDescent="0.25">
      <c r="A605" s="148" t="s">
        <v>2887</v>
      </c>
      <c r="B605" s="125" t="s">
        <v>2704</v>
      </c>
      <c r="C605" s="126" t="str">
        <f>RIGHT(PisCofinsAliquot[[#This Row],[Código NCM]],8)</f>
        <v>30039085</v>
      </c>
      <c r="D605" s="149"/>
      <c r="E605" s="150"/>
      <c r="F605" s="163" t="s">
        <v>5247</v>
      </c>
      <c r="G605" s="162">
        <v>2.1</v>
      </c>
      <c r="H605" s="162">
        <v>9.9</v>
      </c>
      <c r="I605">
        <f>IF(PisCofinsAliquot[[#This Row],[Classificação]]="Alíquota 0",6,IF(PisCofinsAliquot[[#This Row],[Classificação]]="Monofásico",4,IF(PisCofinsAliquot[[#This Row],[Classificação]]="Regra Geral",1,IF(PisCofinsAliquot[[#This Row],[Classificação]]="ST",5))))</f>
        <v>4</v>
      </c>
    </row>
    <row r="606" spans="1:9" x14ac:dyDescent="0.25">
      <c r="A606" s="148" t="s">
        <v>2888</v>
      </c>
      <c r="B606" s="125" t="s">
        <v>2704</v>
      </c>
      <c r="C606" s="126" t="str">
        <f>RIGHT(PisCofinsAliquot[[#This Row],[Código NCM]],8)</f>
        <v>30039086</v>
      </c>
      <c r="D606" s="149"/>
      <c r="E606" s="150"/>
      <c r="F606" s="163" t="s">
        <v>5248</v>
      </c>
      <c r="G606" s="162">
        <v>2.1</v>
      </c>
      <c r="H606" s="162">
        <v>9.9</v>
      </c>
      <c r="I606">
        <f>IF(PisCofinsAliquot[[#This Row],[Classificação]]="Alíquota 0",6,IF(PisCofinsAliquot[[#This Row],[Classificação]]="Monofásico",4,IF(PisCofinsAliquot[[#This Row],[Classificação]]="Regra Geral",1,IF(PisCofinsAliquot[[#This Row],[Classificação]]="ST",5))))</f>
        <v>4</v>
      </c>
    </row>
    <row r="607" spans="1:9" x14ac:dyDescent="0.25">
      <c r="A607" s="148" t="s">
        <v>2889</v>
      </c>
      <c r="B607" s="125" t="s">
        <v>2704</v>
      </c>
      <c r="C607" s="126" t="str">
        <f>RIGHT(PisCofinsAliquot[[#This Row],[Código NCM]],8)</f>
        <v>30039087</v>
      </c>
      <c r="D607" s="149"/>
      <c r="E607" s="150"/>
      <c r="F607" s="163" t="s">
        <v>5249</v>
      </c>
      <c r="G607" s="162">
        <v>2.1</v>
      </c>
      <c r="H607" s="162">
        <v>9.9</v>
      </c>
      <c r="I607">
        <f>IF(PisCofinsAliquot[[#This Row],[Classificação]]="Alíquota 0",6,IF(PisCofinsAliquot[[#This Row],[Classificação]]="Monofásico",4,IF(PisCofinsAliquot[[#This Row],[Classificação]]="Regra Geral",1,IF(PisCofinsAliquot[[#This Row],[Classificação]]="ST",5))))</f>
        <v>4</v>
      </c>
    </row>
    <row r="608" spans="1:9" x14ac:dyDescent="0.25">
      <c r="A608" s="148" t="s">
        <v>2890</v>
      </c>
      <c r="B608" s="125" t="s">
        <v>2704</v>
      </c>
      <c r="C608" s="126" t="str">
        <f>RIGHT(PisCofinsAliquot[[#This Row],[Código NCM]],8)</f>
        <v>30039088</v>
      </c>
      <c r="D608" s="149"/>
      <c r="E608" s="150"/>
      <c r="F608" s="163" t="s">
        <v>5250</v>
      </c>
      <c r="G608" s="162">
        <v>2.1</v>
      </c>
      <c r="H608" s="162">
        <v>9.9</v>
      </c>
      <c r="I608">
        <f>IF(PisCofinsAliquot[[#This Row],[Classificação]]="Alíquota 0",6,IF(PisCofinsAliquot[[#This Row],[Classificação]]="Monofásico",4,IF(PisCofinsAliquot[[#This Row],[Classificação]]="Regra Geral",1,IF(PisCofinsAliquot[[#This Row],[Classificação]]="ST",5))))</f>
        <v>4</v>
      </c>
    </row>
    <row r="609" spans="1:9" x14ac:dyDescent="0.25">
      <c r="A609" s="148" t="s">
        <v>2891</v>
      </c>
      <c r="B609" s="125" t="s">
        <v>2704</v>
      </c>
      <c r="C609" s="126" t="str">
        <f>RIGHT(PisCofinsAliquot[[#This Row],[Código NCM]],8)</f>
        <v>30039089</v>
      </c>
      <c r="D609" s="149"/>
      <c r="E609" s="150"/>
      <c r="F609" s="163" t="s">
        <v>5135</v>
      </c>
      <c r="G609" s="162">
        <v>2.1</v>
      </c>
      <c r="H609" s="162">
        <v>9.9</v>
      </c>
      <c r="I609">
        <f>IF(PisCofinsAliquot[[#This Row],[Classificação]]="Alíquota 0",6,IF(PisCofinsAliquot[[#This Row],[Classificação]]="Monofásico",4,IF(PisCofinsAliquot[[#This Row],[Classificação]]="Regra Geral",1,IF(PisCofinsAliquot[[#This Row],[Classificação]]="ST",5))))</f>
        <v>4</v>
      </c>
    </row>
    <row r="610" spans="1:9" x14ac:dyDescent="0.25">
      <c r="A610" s="148" t="s">
        <v>2892</v>
      </c>
      <c r="B610" s="125" t="s">
        <v>2704</v>
      </c>
      <c r="C610" s="126" t="str">
        <f>RIGHT(PisCofinsAliquot[[#This Row],[Código NCM]],8)</f>
        <v>30039091</v>
      </c>
      <c r="D610" s="149"/>
      <c r="E610" s="150"/>
      <c r="F610" s="163" t="s">
        <v>5251</v>
      </c>
      <c r="G610" s="162">
        <v>2.1</v>
      </c>
      <c r="H610" s="162">
        <v>9.9</v>
      </c>
      <c r="I610">
        <f>IF(PisCofinsAliquot[[#This Row],[Classificação]]="Alíquota 0",6,IF(PisCofinsAliquot[[#This Row],[Classificação]]="Monofásico",4,IF(PisCofinsAliquot[[#This Row],[Classificação]]="Regra Geral",1,IF(PisCofinsAliquot[[#This Row],[Classificação]]="ST",5))))</f>
        <v>4</v>
      </c>
    </row>
    <row r="611" spans="1:9" x14ac:dyDescent="0.25">
      <c r="A611" s="148" t="s">
        <v>2893</v>
      </c>
      <c r="B611" s="125" t="s">
        <v>2704</v>
      </c>
      <c r="C611" s="126" t="str">
        <f>RIGHT(PisCofinsAliquot[[#This Row],[Código NCM]],8)</f>
        <v>30039092</v>
      </c>
      <c r="D611" s="149"/>
      <c r="E611" s="150"/>
      <c r="F611" s="163" t="s">
        <v>5252</v>
      </c>
      <c r="G611" s="162">
        <v>2.1</v>
      </c>
      <c r="H611" s="162">
        <v>9.9</v>
      </c>
      <c r="I611">
        <f>IF(PisCofinsAliquot[[#This Row],[Classificação]]="Alíquota 0",6,IF(PisCofinsAliquot[[#This Row],[Classificação]]="Monofásico",4,IF(PisCofinsAliquot[[#This Row],[Classificação]]="Regra Geral",1,IF(PisCofinsAliquot[[#This Row],[Classificação]]="ST",5))))</f>
        <v>4</v>
      </c>
    </row>
    <row r="612" spans="1:9" x14ac:dyDescent="0.25">
      <c r="A612" s="148" t="s">
        <v>2894</v>
      </c>
      <c r="B612" s="125" t="s">
        <v>2704</v>
      </c>
      <c r="C612" s="126" t="str">
        <f>RIGHT(PisCofinsAliquot[[#This Row],[Código NCM]],8)</f>
        <v>30039093</v>
      </c>
      <c r="D612" s="149"/>
      <c r="E612" s="150"/>
      <c r="F612" s="163" t="s">
        <v>5253</v>
      </c>
      <c r="G612" s="162">
        <v>2.1</v>
      </c>
      <c r="H612" s="162">
        <v>9.9</v>
      </c>
      <c r="I612">
        <f>IF(PisCofinsAliquot[[#This Row],[Classificação]]="Alíquota 0",6,IF(PisCofinsAliquot[[#This Row],[Classificação]]="Monofásico",4,IF(PisCofinsAliquot[[#This Row],[Classificação]]="Regra Geral",1,IF(PisCofinsAliquot[[#This Row],[Classificação]]="ST",5))))</f>
        <v>4</v>
      </c>
    </row>
    <row r="613" spans="1:9" x14ac:dyDescent="0.25">
      <c r="A613" s="148" t="s">
        <v>2895</v>
      </c>
      <c r="B613" s="125" t="s">
        <v>2704</v>
      </c>
      <c r="C613" s="126" t="str">
        <f>RIGHT(PisCofinsAliquot[[#This Row],[Código NCM]],8)</f>
        <v>30039094</v>
      </c>
      <c r="D613" s="149"/>
      <c r="E613" s="150"/>
      <c r="F613" s="163" t="s">
        <v>5254</v>
      </c>
      <c r="G613" s="162">
        <v>2.1</v>
      </c>
      <c r="H613" s="162">
        <v>9.9</v>
      </c>
      <c r="I613">
        <f>IF(PisCofinsAliquot[[#This Row],[Classificação]]="Alíquota 0",6,IF(PisCofinsAliquot[[#This Row],[Classificação]]="Monofásico",4,IF(PisCofinsAliquot[[#This Row],[Classificação]]="Regra Geral",1,IF(PisCofinsAliquot[[#This Row],[Classificação]]="ST",5))))</f>
        <v>4</v>
      </c>
    </row>
    <row r="614" spans="1:9" x14ac:dyDescent="0.25">
      <c r="A614" s="148" t="s">
        <v>2896</v>
      </c>
      <c r="B614" s="125" t="s">
        <v>2704</v>
      </c>
      <c r="C614" s="126" t="str">
        <f>RIGHT(PisCofinsAliquot[[#This Row],[Código NCM]],8)</f>
        <v>30039095</v>
      </c>
      <c r="D614" s="149"/>
      <c r="E614" s="150"/>
      <c r="F614" s="163" t="s">
        <v>5255</v>
      </c>
      <c r="G614" s="162">
        <v>2.1</v>
      </c>
      <c r="H614" s="162">
        <v>9.9</v>
      </c>
      <c r="I614">
        <f>IF(PisCofinsAliquot[[#This Row],[Classificação]]="Alíquota 0",6,IF(PisCofinsAliquot[[#This Row],[Classificação]]="Monofásico",4,IF(PisCofinsAliquot[[#This Row],[Classificação]]="Regra Geral",1,IF(PisCofinsAliquot[[#This Row],[Classificação]]="ST",5))))</f>
        <v>4</v>
      </c>
    </row>
    <row r="615" spans="1:9" x14ac:dyDescent="0.25">
      <c r="A615" s="148" t="s">
        <v>2897</v>
      </c>
      <c r="B615" s="125" t="s">
        <v>2704</v>
      </c>
      <c r="C615" s="126" t="str">
        <f>RIGHT(PisCofinsAliquot[[#This Row],[Código NCM]],8)</f>
        <v>30039096</v>
      </c>
      <c r="D615" s="149"/>
      <c r="E615" s="150"/>
      <c r="F615" s="163" t="s">
        <v>5256</v>
      </c>
      <c r="G615" s="162">
        <v>2.1</v>
      </c>
      <c r="H615" s="162">
        <v>9.9</v>
      </c>
      <c r="I615">
        <f>IF(PisCofinsAliquot[[#This Row],[Classificação]]="Alíquota 0",6,IF(PisCofinsAliquot[[#This Row],[Classificação]]="Monofásico",4,IF(PisCofinsAliquot[[#This Row],[Classificação]]="Regra Geral",1,IF(PisCofinsAliquot[[#This Row],[Classificação]]="ST",5))))</f>
        <v>4</v>
      </c>
    </row>
    <row r="616" spans="1:9" x14ac:dyDescent="0.25">
      <c r="A616" s="148" t="s">
        <v>2898</v>
      </c>
      <c r="B616" s="125" t="s">
        <v>2704</v>
      </c>
      <c r="C616" s="126" t="str">
        <f>RIGHT(PisCofinsAliquot[[#This Row],[Código NCM]],8)</f>
        <v>30039097</v>
      </c>
      <c r="D616" s="149"/>
      <c r="E616" s="150"/>
      <c r="F616" s="163" t="s">
        <v>5257</v>
      </c>
      <c r="G616" s="162">
        <v>2.1</v>
      </c>
      <c r="H616" s="162">
        <v>9.9</v>
      </c>
      <c r="I616">
        <f>IF(PisCofinsAliquot[[#This Row],[Classificação]]="Alíquota 0",6,IF(PisCofinsAliquot[[#This Row],[Classificação]]="Monofásico",4,IF(PisCofinsAliquot[[#This Row],[Classificação]]="Regra Geral",1,IF(PisCofinsAliquot[[#This Row],[Classificação]]="ST",5))))</f>
        <v>4</v>
      </c>
    </row>
    <row r="617" spans="1:9" x14ac:dyDescent="0.25">
      <c r="A617" s="148" t="s">
        <v>2899</v>
      </c>
      <c r="B617" s="125" t="s">
        <v>2704</v>
      </c>
      <c r="C617" s="126" t="str">
        <f>RIGHT(PisCofinsAliquot[[#This Row],[Código NCM]],8)</f>
        <v>30039099</v>
      </c>
      <c r="D617" s="149"/>
      <c r="E617" s="150"/>
      <c r="F617" s="163" t="s">
        <v>5135</v>
      </c>
      <c r="G617" s="162">
        <v>2.1</v>
      </c>
      <c r="H617" s="162">
        <v>9.9</v>
      </c>
      <c r="I617">
        <f>IF(PisCofinsAliquot[[#This Row],[Classificação]]="Alíquota 0",6,IF(PisCofinsAliquot[[#This Row],[Classificação]]="Monofásico",4,IF(PisCofinsAliquot[[#This Row],[Classificação]]="Regra Geral",1,IF(PisCofinsAliquot[[#This Row],[Classificação]]="ST",5))))</f>
        <v>4</v>
      </c>
    </row>
    <row r="618" spans="1:9" ht="30" x14ac:dyDescent="0.25">
      <c r="A618" s="148" t="s">
        <v>2900</v>
      </c>
      <c r="B618" s="125" t="s">
        <v>2704</v>
      </c>
      <c r="C618" s="126" t="str">
        <f>RIGHT(PisCofinsAliquot[[#This Row],[Código NCM]],8)</f>
        <v>30041011</v>
      </c>
      <c r="D618" s="149"/>
      <c r="E618" s="150"/>
      <c r="F618" s="164" t="s">
        <v>5130</v>
      </c>
      <c r="G618" s="162">
        <v>2.1</v>
      </c>
      <c r="H618" s="162">
        <v>9.9</v>
      </c>
      <c r="I618">
        <f>IF(PisCofinsAliquot[[#This Row],[Classificação]]="Alíquota 0",6,IF(PisCofinsAliquot[[#This Row],[Classificação]]="Monofásico",4,IF(PisCofinsAliquot[[#This Row],[Classificação]]="Regra Geral",1,IF(PisCofinsAliquot[[#This Row],[Classificação]]="ST",5))))</f>
        <v>4</v>
      </c>
    </row>
    <row r="619" spans="1:9" ht="30" x14ac:dyDescent="0.25">
      <c r="A619" s="148" t="s">
        <v>2901</v>
      </c>
      <c r="B619" s="125" t="s">
        <v>2704</v>
      </c>
      <c r="C619" s="126" t="str">
        <f>RIGHT(PisCofinsAliquot[[#This Row],[Código NCM]],8)</f>
        <v>30041012</v>
      </c>
      <c r="D619" s="149"/>
      <c r="E619" s="150"/>
      <c r="F619" s="164" t="s">
        <v>5131</v>
      </c>
      <c r="G619" s="162">
        <v>2.1</v>
      </c>
      <c r="H619" s="162">
        <v>9.9</v>
      </c>
      <c r="I619">
        <f>IF(PisCofinsAliquot[[#This Row],[Classificação]]="Alíquota 0",6,IF(PisCofinsAliquot[[#This Row],[Classificação]]="Monofásico",4,IF(PisCofinsAliquot[[#This Row],[Classificação]]="Regra Geral",1,IF(PisCofinsAliquot[[#This Row],[Classificação]]="ST",5))))</f>
        <v>4</v>
      </c>
    </row>
    <row r="620" spans="1:9" ht="30" x14ac:dyDescent="0.25">
      <c r="A620" s="148" t="s">
        <v>2902</v>
      </c>
      <c r="B620" s="125" t="s">
        <v>2704</v>
      </c>
      <c r="C620" s="126" t="str">
        <f>RIGHT(PisCofinsAliquot[[#This Row],[Código NCM]],8)</f>
        <v>30041013</v>
      </c>
      <c r="D620" s="149"/>
      <c r="E620" s="150"/>
      <c r="F620" s="164" t="s">
        <v>5132</v>
      </c>
      <c r="G620" s="162">
        <v>2.1</v>
      </c>
      <c r="H620" s="162">
        <v>9.9</v>
      </c>
      <c r="I620">
        <f>IF(PisCofinsAliquot[[#This Row],[Classificação]]="Alíquota 0",6,IF(PisCofinsAliquot[[#This Row],[Classificação]]="Monofásico",4,IF(PisCofinsAliquot[[#This Row],[Classificação]]="Regra Geral",1,IF(PisCofinsAliquot[[#This Row],[Classificação]]="ST",5))))</f>
        <v>4</v>
      </c>
    </row>
    <row r="621" spans="1:9" ht="30" x14ac:dyDescent="0.25">
      <c r="A621" s="148" t="s">
        <v>2903</v>
      </c>
      <c r="B621" s="125" t="s">
        <v>2704</v>
      </c>
      <c r="C621" s="126" t="str">
        <f>RIGHT(PisCofinsAliquot[[#This Row],[Código NCM]],8)</f>
        <v>30041014</v>
      </c>
      <c r="D621" s="149"/>
      <c r="E621" s="150"/>
      <c r="F621" s="164" t="s">
        <v>5133</v>
      </c>
      <c r="G621" s="162">
        <v>2.1</v>
      </c>
      <c r="H621" s="162">
        <v>9.9</v>
      </c>
      <c r="I621">
        <f>IF(PisCofinsAliquot[[#This Row],[Classificação]]="Alíquota 0",6,IF(PisCofinsAliquot[[#This Row],[Classificação]]="Monofásico",4,IF(PisCofinsAliquot[[#This Row],[Classificação]]="Regra Geral",1,IF(PisCofinsAliquot[[#This Row],[Classificação]]="ST",5))))</f>
        <v>4</v>
      </c>
    </row>
    <row r="622" spans="1:9" ht="30" x14ac:dyDescent="0.25">
      <c r="A622" s="148" t="s">
        <v>2904</v>
      </c>
      <c r="B622" s="125" t="s">
        <v>2704</v>
      </c>
      <c r="C622" s="126" t="str">
        <f>RIGHT(PisCofinsAliquot[[#This Row],[Código NCM]],8)</f>
        <v>30041015</v>
      </c>
      <c r="D622" s="149"/>
      <c r="E622" s="150"/>
      <c r="F622" s="164" t="s">
        <v>5134</v>
      </c>
      <c r="G622" s="162">
        <v>2.1</v>
      </c>
      <c r="H622" s="162">
        <v>9.9</v>
      </c>
      <c r="I622">
        <f>IF(PisCofinsAliquot[[#This Row],[Classificação]]="Alíquota 0",6,IF(PisCofinsAliquot[[#This Row],[Classificação]]="Monofásico",4,IF(PisCofinsAliquot[[#This Row],[Classificação]]="Regra Geral",1,IF(PisCofinsAliquot[[#This Row],[Classificação]]="ST",5))))</f>
        <v>4</v>
      </c>
    </row>
    <row r="623" spans="1:9" ht="30" x14ac:dyDescent="0.25">
      <c r="A623" s="148" t="s">
        <v>2905</v>
      </c>
      <c r="B623" s="125" t="s">
        <v>2704</v>
      </c>
      <c r="C623" s="126" t="str">
        <f>RIGHT(PisCofinsAliquot[[#This Row],[Código NCM]],8)</f>
        <v>30041019</v>
      </c>
      <c r="D623" s="149"/>
      <c r="E623" s="150"/>
      <c r="F623" s="164" t="s">
        <v>5135</v>
      </c>
      <c r="G623" s="162">
        <v>2.1</v>
      </c>
      <c r="H623" s="162">
        <v>9.9</v>
      </c>
      <c r="I623">
        <f>IF(PisCofinsAliquot[[#This Row],[Classificação]]="Alíquota 0",6,IF(PisCofinsAliquot[[#This Row],[Classificação]]="Monofásico",4,IF(PisCofinsAliquot[[#This Row],[Classificação]]="Regra Geral",1,IF(PisCofinsAliquot[[#This Row],[Classificação]]="ST",5))))</f>
        <v>4</v>
      </c>
    </row>
    <row r="624" spans="1:9" ht="45" x14ac:dyDescent="0.25">
      <c r="A624" s="148" t="s">
        <v>2906</v>
      </c>
      <c r="B624" s="125" t="s">
        <v>2704</v>
      </c>
      <c r="C624" s="126" t="str">
        <f>RIGHT(PisCofinsAliquot[[#This Row],[Código NCM]],8)</f>
        <v>30041020</v>
      </c>
      <c r="D624" s="149"/>
      <c r="E624" s="150"/>
      <c r="F624" s="164" t="s">
        <v>5136</v>
      </c>
      <c r="G624" s="162">
        <v>2.1</v>
      </c>
      <c r="H624" s="162">
        <v>9.9</v>
      </c>
      <c r="I624">
        <f>IF(PisCofinsAliquot[[#This Row],[Classificação]]="Alíquota 0",6,IF(PisCofinsAliquot[[#This Row],[Classificação]]="Monofásico",4,IF(PisCofinsAliquot[[#This Row],[Classificação]]="Regra Geral",1,IF(PisCofinsAliquot[[#This Row],[Classificação]]="ST",5))))</f>
        <v>4</v>
      </c>
    </row>
    <row r="625" spans="1:9" ht="45" x14ac:dyDescent="0.25">
      <c r="A625" s="148" t="s">
        <v>2907</v>
      </c>
      <c r="B625" s="125" t="s">
        <v>2704</v>
      </c>
      <c r="C625" s="126" t="str">
        <f>RIGHT(PisCofinsAliquot[[#This Row],[Código NCM]],8)</f>
        <v>30042011</v>
      </c>
      <c r="D625" s="149"/>
      <c r="E625" s="150"/>
      <c r="F625" s="164" t="s">
        <v>5137</v>
      </c>
      <c r="G625" s="162">
        <v>2.1</v>
      </c>
      <c r="H625" s="162">
        <v>9.9</v>
      </c>
      <c r="I625">
        <f>IF(PisCofinsAliquot[[#This Row],[Classificação]]="Alíquota 0",6,IF(PisCofinsAliquot[[#This Row],[Classificação]]="Monofásico",4,IF(PisCofinsAliquot[[#This Row],[Classificação]]="Regra Geral",1,IF(PisCofinsAliquot[[#This Row],[Classificação]]="ST",5))))</f>
        <v>4</v>
      </c>
    </row>
    <row r="626" spans="1:9" ht="30" x14ac:dyDescent="0.25">
      <c r="A626" s="148" t="s">
        <v>2908</v>
      </c>
      <c r="B626" s="125" t="s">
        <v>2704</v>
      </c>
      <c r="C626" s="126" t="str">
        <f>RIGHT(PisCofinsAliquot[[#This Row],[Código NCM]],8)</f>
        <v>30042019</v>
      </c>
      <c r="D626" s="149"/>
      <c r="E626" s="150"/>
      <c r="F626" s="164" t="s">
        <v>5135</v>
      </c>
      <c r="G626" s="162">
        <v>2.1</v>
      </c>
      <c r="H626" s="162">
        <v>9.9</v>
      </c>
      <c r="I626">
        <f>IF(PisCofinsAliquot[[#This Row],[Classificação]]="Alíquota 0",6,IF(PisCofinsAliquot[[#This Row],[Classificação]]="Monofásico",4,IF(PisCofinsAliquot[[#This Row],[Classificação]]="Regra Geral",1,IF(PisCofinsAliquot[[#This Row],[Classificação]]="ST",5))))</f>
        <v>4</v>
      </c>
    </row>
    <row r="627" spans="1:9" ht="30" x14ac:dyDescent="0.25">
      <c r="A627" s="148" t="s">
        <v>2909</v>
      </c>
      <c r="B627" s="125" t="s">
        <v>2704</v>
      </c>
      <c r="C627" s="126" t="str">
        <f>RIGHT(PisCofinsAliquot[[#This Row],[Código NCM]],8)</f>
        <v>30042021</v>
      </c>
      <c r="D627" s="149"/>
      <c r="E627" s="150"/>
      <c r="F627" s="164" t="s">
        <v>5138</v>
      </c>
      <c r="G627" s="162">
        <v>2.1</v>
      </c>
      <c r="H627" s="162">
        <v>9.9</v>
      </c>
      <c r="I627">
        <f>IF(PisCofinsAliquot[[#This Row],[Classificação]]="Alíquota 0",6,IF(PisCofinsAliquot[[#This Row],[Classificação]]="Monofásico",4,IF(PisCofinsAliquot[[#This Row],[Classificação]]="Regra Geral",1,IF(PisCofinsAliquot[[#This Row],[Classificação]]="ST",5))))</f>
        <v>4</v>
      </c>
    </row>
    <row r="628" spans="1:9" ht="30" x14ac:dyDescent="0.25">
      <c r="A628" s="148" t="s">
        <v>2910</v>
      </c>
      <c r="B628" s="125" t="s">
        <v>2704</v>
      </c>
      <c r="C628" s="126" t="str">
        <f>RIGHT(PisCofinsAliquot[[#This Row],[Código NCM]],8)</f>
        <v>30042029</v>
      </c>
      <c r="D628" s="149"/>
      <c r="E628" s="150"/>
      <c r="F628" s="164" t="s">
        <v>5135</v>
      </c>
      <c r="G628" s="162">
        <v>2.1</v>
      </c>
      <c r="H628" s="162">
        <v>9.9</v>
      </c>
      <c r="I628">
        <f>IF(PisCofinsAliquot[[#This Row],[Classificação]]="Alíquota 0",6,IF(PisCofinsAliquot[[#This Row],[Classificação]]="Monofásico",4,IF(PisCofinsAliquot[[#This Row],[Classificação]]="Regra Geral",1,IF(PisCofinsAliquot[[#This Row],[Classificação]]="ST",5))))</f>
        <v>4</v>
      </c>
    </row>
    <row r="629" spans="1:9" ht="30" x14ac:dyDescent="0.25">
      <c r="A629" s="148" t="s">
        <v>2911</v>
      </c>
      <c r="B629" s="125" t="s">
        <v>2704</v>
      </c>
      <c r="C629" s="126" t="str">
        <f>RIGHT(PisCofinsAliquot[[#This Row],[Código NCM]],8)</f>
        <v>30042031</v>
      </c>
      <c r="D629" s="149"/>
      <c r="E629" s="150"/>
      <c r="F629" s="164" t="s">
        <v>5139</v>
      </c>
      <c r="G629" s="162">
        <v>2.1</v>
      </c>
      <c r="H629" s="162">
        <v>9.9</v>
      </c>
      <c r="I629">
        <f>IF(PisCofinsAliquot[[#This Row],[Classificação]]="Alíquota 0",6,IF(PisCofinsAliquot[[#This Row],[Classificação]]="Monofásico",4,IF(PisCofinsAliquot[[#This Row],[Classificação]]="Regra Geral",1,IF(PisCofinsAliquot[[#This Row],[Classificação]]="ST",5))))</f>
        <v>4</v>
      </c>
    </row>
    <row r="630" spans="1:9" ht="30" x14ac:dyDescent="0.25">
      <c r="A630" s="148" t="s">
        <v>2912</v>
      </c>
      <c r="B630" s="125" t="s">
        <v>2704</v>
      </c>
      <c r="C630" s="126" t="str">
        <f>RIGHT(PisCofinsAliquot[[#This Row],[Código NCM]],8)</f>
        <v>30042032</v>
      </c>
      <c r="D630" s="149"/>
      <c r="E630" s="150"/>
      <c r="F630" s="164" t="s">
        <v>5140</v>
      </c>
      <c r="G630" s="162">
        <v>2.1</v>
      </c>
      <c r="H630" s="162">
        <v>9.9</v>
      </c>
      <c r="I630">
        <f>IF(PisCofinsAliquot[[#This Row],[Classificação]]="Alíquota 0",6,IF(PisCofinsAliquot[[#This Row],[Classificação]]="Monofásico",4,IF(PisCofinsAliquot[[#This Row],[Classificação]]="Regra Geral",1,IF(PisCofinsAliquot[[#This Row],[Classificação]]="ST",5))))</f>
        <v>4</v>
      </c>
    </row>
    <row r="631" spans="1:9" ht="30" x14ac:dyDescent="0.25">
      <c r="A631" s="148" t="s">
        <v>2913</v>
      </c>
      <c r="B631" s="125" t="s">
        <v>2704</v>
      </c>
      <c r="C631" s="126" t="str">
        <f>RIGHT(PisCofinsAliquot[[#This Row],[Código NCM]],8)</f>
        <v>30042039</v>
      </c>
      <c r="D631" s="149"/>
      <c r="E631" s="150"/>
      <c r="F631" s="164" t="s">
        <v>5135</v>
      </c>
      <c r="G631" s="162">
        <v>2.1</v>
      </c>
      <c r="H631" s="162">
        <v>9.9</v>
      </c>
      <c r="I631">
        <f>IF(PisCofinsAliquot[[#This Row],[Classificação]]="Alíquota 0",6,IF(PisCofinsAliquot[[#This Row],[Classificação]]="Monofásico",4,IF(PisCofinsAliquot[[#This Row],[Classificação]]="Regra Geral",1,IF(PisCofinsAliquot[[#This Row],[Classificação]]="ST",5))))</f>
        <v>4</v>
      </c>
    </row>
    <row r="632" spans="1:9" ht="30" x14ac:dyDescent="0.25">
      <c r="A632" s="148" t="s">
        <v>2914</v>
      </c>
      <c r="B632" s="125" t="s">
        <v>2704</v>
      </c>
      <c r="C632" s="126" t="str">
        <f>RIGHT(PisCofinsAliquot[[#This Row],[Código NCM]],8)</f>
        <v>30042041</v>
      </c>
      <c r="D632" s="149"/>
      <c r="E632" s="150"/>
      <c r="F632" s="164" t="s">
        <v>5141</v>
      </c>
      <c r="G632" s="162">
        <v>2.1</v>
      </c>
      <c r="H632" s="162">
        <v>9.9</v>
      </c>
      <c r="I632">
        <f>IF(PisCofinsAliquot[[#This Row],[Classificação]]="Alíquota 0",6,IF(PisCofinsAliquot[[#This Row],[Classificação]]="Monofásico",4,IF(PisCofinsAliquot[[#This Row],[Classificação]]="Regra Geral",1,IF(PisCofinsAliquot[[#This Row],[Classificação]]="ST",5))))</f>
        <v>4</v>
      </c>
    </row>
    <row r="633" spans="1:9" ht="30" x14ac:dyDescent="0.25">
      <c r="A633" s="148" t="s">
        <v>2915</v>
      </c>
      <c r="B633" s="125" t="s">
        <v>2704</v>
      </c>
      <c r="C633" s="126" t="str">
        <f>RIGHT(PisCofinsAliquot[[#This Row],[Código NCM]],8)</f>
        <v>30042049</v>
      </c>
      <c r="D633" s="149"/>
      <c r="E633" s="150"/>
      <c r="F633" s="164" t="s">
        <v>5135</v>
      </c>
      <c r="G633" s="162">
        <v>2.1</v>
      </c>
      <c r="H633" s="162">
        <v>9.9</v>
      </c>
      <c r="I633">
        <f>IF(PisCofinsAliquot[[#This Row],[Classificação]]="Alíquota 0",6,IF(PisCofinsAliquot[[#This Row],[Classificação]]="Monofásico",4,IF(PisCofinsAliquot[[#This Row],[Classificação]]="Regra Geral",1,IF(PisCofinsAliquot[[#This Row],[Classificação]]="ST",5))))</f>
        <v>4</v>
      </c>
    </row>
    <row r="634" spans="1:9" ht="30" x14ac:dyDescent="0.25">
      <c r="A634" s="148" t="s">
        <v>2916</v>
      </c>
      <c r="B634" s="125" t="s">
        <v>2704</v>
      </c>
      <c r="C634" s="126" t="str">
        <f>RIGHT(PisCofinsAliquot[[#This Row],[Código NCM]],8)</f>
        <v>30042051</v>
      </c>
      <c r="D634" s="149"/>
      <c r="E634" s="150"/>
      <c r="F634" s="164" t="s">
        <v>5142</v>
      </c>
      <c r="G634" s="162">
        <v>2.1</v>
      </c>
      <c r="H634" s="162">
        <v>9.9</v>
      </c>
      <c r="I634">
        <f>IF(PisCofinsAliquot[[#This Row],[Classificação]]="Alíquota 0",6,IF(PisCofinsAliquot[[#This Row],[Classificação]]="Monofásico",4,IF(PisCofinsAliquot[[#This Row],[Classificação]]="Regra Geral",1,IF(PisCofinsAliquot[[#This Row],[Classificação]]="ST",5))))</f>
        <v>4</v>
      </c>
    </row>
    <row r="635" spans="1:9" ht="45" x14ac:dyDescent="0.25">
      <c r="A635" s="148" t="s">
        <v>2917</v>
      </c>
      <c r="B635" s="125" t="s">
        <v>2704</v>
      </c>
      <c r="C635" s="126" t="str">
        <f>RIGHT(PisCofinsAliquot[[#This Row],[Código NCM]],8)</f>
        <v>30042052</v>
      </c>
      <c r="D635" s="149"/>
      <c r="E635" s="150"/>
      <c r="F635" s="164" t="s">
        <v>5143</v>
      </c>
      <c r="G635" s="162">
        <v>2.1</v>
      </c>
      <c r="H635" s="162">
        <v>9.9</v>
      </c>
      <c r="I635">
        <f>IF(PisCofinsAliquot[[#This Row],[Classificação]]="Alíquota 0",6,IF(PisCofinsAliquot[[#This Row],[Classificação]]="Monofásico",4,IF(PisCofinsAliquot[[#This Row],[Classificação]]="Regra Geral",1,IF(PisCofinsAliquot[[#This Row],[Classificação]]="ST",5))))</f>
        <v>4</v>
      </c>
    </row>
    <row r="636" spans="1:9" ht="30" x14ac:dyDescent="0.25">
      <c r="A636" s="148" t="s">
        <v>2918</v>
      </c>
      <c r="B636" s="125" t="s">
        <v>2704</v>
      </c>
      <c r="C636" s="126" t="str">
        <f>RIGHT(PisCofinsAliquot[[#This Row],[Código NCM]],8)</f>
        <v>30042059</v>
      </c>
      <c r="D636" s="149"/>
      <c r="E636" s="150"/>
      <c r="F636" s="164" t="s">
        <v>5135</v>
      </c>
      <c r="G636" s="162">
        <v>2.1</v>
      </c>
      <c r="H636" s="162">
        <v>9.9</v>
      </c>
      <c r="I636">
        <f>IF(PisCofinsAliquot[[#This Row],[Classificação]]="Alíquota 0",6,IF(PisCofinsAliquot[[#This Row],[Classificação]]="Monofásico",4,IF(PisCofinsAliquot[[#This Row],[Classificação]]="Regra Geral",1,IF(PisCofinsAliquot[[#This Row],[Classificação]]="ST",5))))</f>
        <v>4</v>
      </c>
    </row>
    <row r="637" spans="1:9" ht="30" x14ac:dyDescent="0.25">
      <c r="A637" s="148" t="s">
        <v>2919</v>
      </c>
      <c r="B637" s="125" t="s">
        <v>2704</v>
      </c>
      <c r="C637" s="126" t="str">
        <f>RIGHT(PisCofinsAliquot[[#This Row],[Código NCM]],8)</f>
        <v>30042061</v>
      </c>
      <c r="D637" s="149"/>
      <c r="E637" s="150"/>
      <c r="F637" s="164" t="s">
        <v>5144</v>
      </c>
      <c r="G637" s="162">
        <v>2.1</v>
      </c>
      <c r="H637" s="162">
        <v>9.9</v>
      </c>
      <c r="I637">
        <f>IF(PisCofinsAliquot[[#This Row],[Classificação]]="Alíquota 0",6,IF(PisCofinsAliquot[[#This Row],[Classificação]]="Monofásico",4,IF(PisCofinsAliquot[[#This Row],[Classificação]]="Regra Geral",1,IF(PisCofinsAliquot[[#This Row],[Classificação]]="ST",5))))</f>
        <v>4</v>
      </c>
    </row>
    <row r="638" spans="1:9" ht="30" x14ac:dyDescent="0.25">
      <c r="A638" s="148" t="s">
        <v>2920</v>
      </c>
      <c r="B638" s="125" t="s">
        <v>2704</v>
      </c>
      <c r="C638" s="126" t="str">
        <f>RIGHT(PisCofinsAliquot[[#This Row],[Código NCM]],8)</f>
        <v>30042062</v>
      </c>
      <c r="D638" s="149"/>
      <c r="E638" s="150"/>
      <c r="F638" s="164" t="s">
        <v>5145</v>
      </c>
      <c r="G638" s="162">
        <v>2.1</v>
      </c>
      <c r="H638" s="162">
        <v>9.9</v>
      </c>
      <c r="I638">
        <f>IF(PisCofinsAliquot[[#This Row],[Classificação]]="Alíquota 0",6,IF(PisCofinsAliquot[[#This Row],[Classificação]]="Monofásico",4,IF(PisCofinsAliquot[[#This Row],[Classificação]]="Regra Geral",1,IF(PisCofinsAliquot[[#This Row],[Classificação]]="ST",5))))</f>
        <v>4</v>
      </c>
    </row>
    <row r="639" spans="1:9" ht="30" x14ac:dyDescent="0.25">
      <c r="A639" s="148" t="s">
        <v>2921</v>
      </c>
      <c r="B639" s="125" t="s">
        <v>2704</v>
      </c>
      <c r="C639" s="126" t="str">
        <f>RIGHT(PisCofinsAliquot[[#This Row],[Código NCM]],8)</f>
        <v>30042063</v>
      </c>
      <c r="D639" s="149"/>
      <c r="E639" s="150"/>
      <c r="F639" s="164" t="s">
        <v>5146</v>
      </c>
      <c r="G639" s="162">
        <v>2.1</v>
      </c>
      <c r="H639" s="162">
        <v>9.9</v>
      </c>
      <c r="I639">
        <f>IF(PisCofinsAliquot[[#This Row],[Classificação]]="Alíquota 0",6,IF(PisCofinsAliquot[[#This Row],[Classificação]]="Monofásico",4,IF(PisCofinsAliquot[[#This Row],[Classificação]]="Regra Geral",1,IF(PisCofinsAliquot[[#This Row],[Classificação]]="ST",5))))</f>
        <v>4</v>
      </c>
    </row>
    <row r="640" spans="1:9" ht="30" x14ac:dyDescent="0.25">
      <c r="A640" s="148" t="s">
        <v>2922</v>
      </c>
      <c r="B640" s="125" t="s">
        <v>2704</v>
      </c>
      <c r="C640" s="126" t="str">
        <f>RIGHT(PisCofinsAliquot[[#This Row],[Código NCM]],8)</f>
        <v>30042069</v>
      </c>
      <c r="D640" s="149"/>
      <c r="E640" s="150"/>
      <c r="F640" s="164" t="s">
        <v>5135</v>
      </c>
      <c r="G640" s="162">
        <v>2.1</v>
      </c>
      <c r="H640" s="162">
        <v>9.9</v>
      </c>
      <c r="I640">
        <f>IF(PisCofinsAliquot[[#This Row],[Classificação]]="Alíquota 0",6,IF(PisCofinsAliquot[[#This Row],[Classificação]]="Monofásico",4,IF(PisCofinsAliquot[[#This Row],[Classificação]]="Regra Geral",1,IF(PisCofinsAliquot[[#This Row],[Classificação]]="ST",5))))</f>
        <v>4</v>
      </c>
    </row>
    <row r="641" spans="1:9" ht="30" x14ac:dyDescent="0.25">
      <c r="A641" s="148" t="s">
        <v>2923</v>
      </c>
      <c r="B641" s="125" t="s">
        <v>2704</v>
      </c>
      <c r="C641" s="126" t="str">
        <f>RIGHT(PisCofinsAliquot[[#This Row],[Código NCM]],8)</f>
        <v>30042071</v>
      </c>
      <c r="D641" s="149"/>
      <c r="E641" s="150"/>
      <c r="F641" s="164" t="s">
        <v>5147</v>
      </c>
      <c r="G641" s="162">
        <v>2.1</v>
      </c>
      <c r="H641" s="162">
        <v>9.9</v>
      </c>
      <c r="I641">
        <f>IF(PisCofinsAliquot[[#This Row],[Classificação]]="Alíquota 0",6,IF(PisCofinsAliquot[[#This Row],[Classificação]]="Monofásico",4,IF(PisCofinsAliquot[[#This Row],[Classificação]]="Regra Geral",1,IF(PisCofinsAliquot[[#This Row],[Classificação]]="ST",5))))</f>
        <v>4</v>
      </c>
    </row>
    <row r="642" spans="1:9" ht="30" x14ac:dyDescent="0.25">
      <c r="A642" s="148" t="s">
        <v>2924</v>
      </c>
      <c r="B642" s="125" t="s">
        <v>2704</v>
      </c>
      <c r="C642" s="126" t="str">
        <f>RIGHT(PisCofinsAliquot[[#This Row],[Código NCM]],8)</f>
        <v>30042072</v>
      </c>
      <c r="D642" s="149"/>
      <c r="E642" s="150"/>
      <c r="F642" s="164" t="s">
        <v>5148</v>
      </c>
      <c r="G642" s="162">
        <v>2.1</v>
      </c>
      <c r="H642" s="162">
        <v>9.9</v>
      </c>
      <c r="I642">
        <f>IF(PisCofinsAliquot[[#This Row],[Classificação]]="Alíquota 0",6,IF(PisCofinsAliquot[[#This Row],[Classificação]]="Monofásico",4,IF(PisCofinsAliquot[[#This Row],[Classificação]]="Regra Geral",1,IF(PisCofinsAliquot[[#This Row],[Classificação]]="ST",5))))</f>
        <v>4</v>
      </c>
    </row>
    <row r="643" spans="1:9" ht="30" x14ac:dyDescent="0.25">
      <c r="A643" s="148" t="s">
        <v>2925</v>
      </c>
      <c r="B643" s="125" t="s">
        <v>2704</v>
      </c>
      <c r="C643" s="126" t="str">
        <f>RIGHT(PisCofinsAliquot[[#This Row],[Código NCM]],8)</f>
        <v>30042073</v>
      </c>
      <c r="D643" s="149"/>
      <c r="E643" s="150"/>
      <c r="F643" s="164" t="s">
        <v>5149</v>
      </c>
      <c r="G643" s="162">
        <v>2.1</v>
      </c>
      <c r="H643" s="162">
        <v>9.9</v>
      </c>
      <c r="I643">
        <f>IF(PisCofinsAliquot[[#This Row],[Classificação]]="Alíquota 0",6,IF(PisCofinsAliquot[[#This Row],[Classificação]]="Monofásico",4,IF(PisCofinsAliquot[[#This Row],[Classificação]]="Regra Geral",1,IF(PisCofinsAliquot[[#This Row],[Classificação]]="ST",5))))</f>
        <v>4</v>
      </c>
    </row>
    <row r="644" spans="1:9" ht="30" x14ac:dyDescent="0.25">
      <c r="A644" s="148" t="s">
        <v>2926</v>
      </c>
      <c r="B644" s="125" t="s">
        <v>2704</v>
      </c>
      <c r="C644" s="126" t="str">
        <f>RIGHT(PisCofinsAliquot[[#This Row],[Código NCM]],8)</f>
        <v>30042079</v>
      </c>
      <c r="D644" s="149"/>
      <c r="E644" s="150"/>
      <c r="F644" s="164" t="s">
        <v>5135</v>
      </c>
      <c r="G644" s="162">
        <v>2.1</v>
      </c>
      <c r="H644" s="162">
        <v>9.9</v>
      </c>
      <c r="I644">
        <f>IF(PisCofinsAliquot[[#This Row],[Classificação]]="Alíquota 0",6,IF(PisCofinsAliquot[[#This Row],[Classificação]]="Monofásico",4,IF(PisCofinsAliquot[[#This Row],[Classificação]]="Regra Geral",1,IF(PisCofinsAliquot[[#This Row],[Classificação]]="ST",5))))</f>
        <v>4</v>
      </c>
    </row>
    <row r="645" spans="1:9" ht="30" x14ac:dyDescent="0.25">
      <c r="A645" s="148" t="s">
        <v>2927</v>
      </c>
      <c r="B645" s="125" t="s">
        <v>2704</v>
      </c>
      <c r="C645" s="126" t="str">
        <f>RIGHT(PisCofinsAliquot[[#This Row],[Código NCM]],8)</f>
        <v>30042091</v>
      </c>
      <c r="D645" s="149"/>
      <c r="E645" s="150"/>
      <c r="F645" s="164" t="s">
        <v>5150</v>
      </c>
      <c r="G645" s="162">
        <v>2.1</v>
      </c>
      <c r="H645" s="162">
        <v>9.9</v>
      </c>
      <c r="I645">
        <f>IF(PisCofinsAliquot[[#This Row],[Classificação]]="Alíquota 0",6,IF(PisCofinsAliquot[[#This Row],[Classificação]]="Monofásico",4,IF(PisCofinsAliquot[[#This Row],[Classificação]]="Regra Geral",1,IF(PisCofinsAliquot[[#This Row],[Classificação]]="ST",5))))</f>
        <v>4</v>
      </c>
    </row>
    <row r="646" spans="1:9" ht="30" x14ac:dyDescent="0.25">
      <c r="A646" s="148" t="s">
        <v>2928</v>
      </c>
      <c r="B646" s="125" t="s">
        <v>2704</v>
      </c>
      <c r="C646" s="126" t="str">
        <f>RIGHT(PisCofinsAliquot[[#This Row],[Código NCM]],8)</f>
        <v>30042092</v>
      </c>
      <c r="D646" s="149"/>
      <c r="E646" s="150"/>
      <c r="F646" s="164" t="s">
        <v>5151</v>
      </c>
      <c r="G646" s="162">
        <v>2.1</v>
      </c>
      <c r="H646" s="162">
        <v>9.9</v>
      </c>
      <c r="I646">
        <f>IF(PisCofinsAliquot[[#This Row],[Classificação]]="Alíquota 0",6,IF(PisCofinsAliquot[[#This Row],[Classificação]]="Monofásico",4,IF(PisCofinsAliquot[[#This Row],[Classificação]]="Regra Geral",1,IF(PisCofinsAliquot[[#This Row],[Classificação]]="ST",5))))</f>
        <v>4</v>
      </c>
    </row>
    <row r="647" spans="1:9" ht="30" x14ac:dyDescent="0.25">
      <c r="A647" s="148" t="s">
        <v>2929</v>
      </c>
      <c r="B647" s="125" t="s">
        <v>2704</v>
      </c>
      <c r="C647" s="126" t="str">
        <f>RIGHT(PisCofinsAliquot[[#This Row],[Código NCM]],8)</f>
        <v>30042093</v>
      </c>
      <c r="D647" s="149"/>
      <c r="E647" s="150"/>
      <c r="F647" s="164" t="s">
        <v>5152</v>
      </c>
      <c r="G647" s="162">
        <v>2.1</v>
      </c>
      <c r="H647" s="162">
        <v>9.9</v>
      </c>
      <c r="I647">
        <f>IF(PisCofinsAliquot[[#This Row],[Classificação]]="Alíquota 0",6,IF(PisCofinsAliquot[[#This Row],[Classificação]]="Monofásico",4,IF(PisCofinsAliquot[[#This Row],[Classificação]]="Regra Geral",1,IF(PisCofinsAliquot[[#This Row],[Classificação]]="ST",5))))</f>
        <v>4</v>
      </c>
    </row>
    <row r="648" spans="1:9" ht="30" x14ac:dyDescent="0.25">
      <c r="A648" s="148" t="s">
        <v>2930</v>
      </c>
      <c r="B648" s="125" t="s">
        <v>2704</v>
      </c>
      <c r="C648" s="126" t="str">
        <f>RIGHT(PisCofinsAliquot[[#This Row],[Código NCM]],8)</f>
        <v>30042094</v>
      </c>
      <c r="D648" s="149"/>
      <c r="E648" s="150"/>
      <c r="F648" s="164" t="s">
        <v>5153</v>
      </c>
      <c r="G648" s="162">
        <v>2.1</v>
      </c>
      <c r="H648" s="162">
        <v>9.9</v>
      </c>
      <c r="I648">
        <f>IF(PisCofinsAliquot[[#This Row],[Classificação]]="Alíquota 0",6,IF(PisCofinsAliquot[[#This Row],[Classificação]]="Monofásico",4,IF(PisCofinsAliquot[[#This Row],[Classificação]]="Regra Geral",1,IF(PisCofinsAliquot[[#This Row],[Classificação]]="ST",5))))</f>
        <v>4</v>
      </c>
    </row>
    <row r="649" spans="1:9" ht="30" x14ac:dyDescent="0.25">
      <c r="A649" s="148" t="s">
        <v>2931</v>
      </c>
      <c r="B649" s="125" t="s">
        <v>2704</v>
      </c>
      <c r="C649" s="126" t="str">
        <f>RIGHT(PisCofinsAliquot[[#This Row],[Código NCM]],8)</f>
        <v>30042095</v>
      </c>
      <c r="D649" s="149"/>
      <c r="E649" s="150"/>
      <c r="F649" s="164" t="s">
        <v>5154</v>
      </c>
      <c r="G649" s="162">
        <v>2.1</v>
      </c>
      <c r="H649" s="162">
        <v>9.9</v>
      </c>
      <c r="I649">
        <f>IF(PisCofinsAliquot[[#This Row],[Classificação]]="Alíquota 0",6,IF(PisCofinsAliquot[[#This Row],[Classificação]]="Monofásico",4,IF(PisCofinsAliquot[[#This Row],[Classificação]]="Regra Geral",1,IF(PisCofinsAliquot[[#This Row],[Classificação]]="ST",5))))</f>
        <v>4</v>
      </c>
    </row>
    <row r="650" spans="1:9" ht="30" x14ac:dyDescent="0.25">
      <c r="A650" s="148" t="s">
        <v>2932</v>
      </c>
      <c r="B650" s="125" t="s">
        <v>2704</v>
      </c>
      <c r="C650" s="126" t="str">
        <f>RIGHT(PisCofinsAliquot[[#This Row],[Código NCM]],8)</f>
        <v>30042099</v>
      </c>
      <c r="D650" s="149"/>
      <c r="E650" s="150"/>
      <c r="F650" s="164" t="s">
        <v>5135</v>
      </c>
      <c r="G650" s="162">
        <v>2.1</v>
      </c>
      <c r="H650" s="162">
        <v>9.9</v>
      </c>
      <c r="I650">
        <f>IF(PisCofinsAliquot[[#This Row],[Classificação]]="Alíquota 0",6,IF(PisCofinsAliquot[[#This Row],[Classificação]]="Monofásico",4,IF(PisCofinsAliquot[[#This Row],[Classificação]]="Regra Geral",1,IF(PisCofinsAliquot[[#This Row],[Classificação]]="ST",5))))</f>
        <v>4</v>
      </c>
    </row>
    <row r="651" spans="1:9" ht="30" x14ac:dyDescent="0.25">
      <c r="A651" s="148" t="s">
        <v>2933</v>
      </c>
      <c r="B651" s="125" t="s">
        <v>2704</v>
      </c>
      <c r="C651" s="126" t="str">
        <f>RIGHT(PisCofinsAliquot[[#This Row],[Código NCM]],8)</f>
        <v>30043100</v>
      </c>
      <c r="D651" s="149"/>
      <c r="E651" s="150"/>
      <c r="F651" s="164" t="s">
        <v>5155</v>
      </c>
      <c r="G651" s="162">
        <v>2.1</v>
      </c>
      <c r="H651" s="162">
        <v>9.9</v>
      </c>
      <c r="I651">
        <f>IF(PisCofinsAliquot[[#This Row],[Classificação]]="Alíquota 0",6,IF(PisCofinsAliquot[[#This Row],[Classificação]]="Monofásico",4,IF(PisCofinsAliquot[[#This Row],[Classificação]]="Regra Geral",1,IF(PisCofinsAliquot[[#This Row],[Classificação]]="ST",5))))</f>
        <v>4</v>
      </c>
    </row>
    <row r="652" spans="1:9" ht="30" x14ac:dyDescent="0.25">
      <c r="A652" s="148" t="s">
        <v>2934</v>
      </c>
      <c r="B652" s="125" t="s">
        <v>2704</v>
      </c>
      <c r="C652" s="126" t="str">
        <f>RIGHT(PisCofinsAliquot[[#This Row],[Código NCM]],8)</f>
        <v>30043210</v>
      </c>
      <c r="D652" s="149"/>
      <c r="E652" s="150"/>
      <c r="F652" s="164" t="s">
        <v>5258</v>
      </c>
      <c r="G652" s="162">
        <v>2.1</v>
      </c>
      <c r="H652" s="162">
        <v>9.9</v>
      </c>
      <c r="I652">
        <f>IF(PisCofinsAliquot[[#This Row],[Classificação]]="Alíquota 0",6,IF(PisCofinsAliquot[[#This Row],[Classificação]]="Monofásico",4,IF(PisCofinsAliquot[[#This Row],[Classificação]]="Regra Geral",1,IF(PisCofinsAliquot[[#This Row],[Classificação]]="ST",5))))</f>
        <v>4</v>
      </c>
    </row>
    <row r="653" spans="1:9" ht="30" x14ac:dyDescent="0.25">
      <c r="A653" s="148" t="s">
        <v>2935</v>
      </c>
      <c r="B653" s="125" t="s">
        <v>2704</v>
      </c>
      <c r="C653" s="126" t="str">
        <f>RIGHT(PisCofinsAliquot[[#This Row],[Código NCM]],8)</f>
        <v>30043220</v>
      </c>
      <c r="D653" s="149"/>
      <c r="E653" s="150"/>
      <c r="F653" s="164" t="s">
        <v>5183</v>
      </c>
      <c r="G653" s="162">
        <v>2.1</v>
      </c>
      <c r="H653" s="162">
        <v>9.9</v>
      </c>
      <c r="I653">
        <f>IF(PisCofinsAliquot[[#This Row],[Classificação]]="Alíquota 0",6,IF(PisCofinsAliquot[[#This Row],[Classificação]]="Monofásico",4,IF(PisCofinsAliquot[[#This Row],[Classificação]]="Regra Geral",1,IF(PisCofinsAliquot[[#This Row],[Classificação]]="ST",5))))</f>
        <v>4</v>
      </c>
    </row>
    <row r="654" spans="1:9" ht="30" x14ac:dyDescent="0.25">
      <c r="A654" s="148" t="s">
        <v>2936</v>
      </c>
      <c r="B654" s="125" t="s">
        <v>2704</v>
      </c>
      <c r="C654" s="126" t="str">
        <f>RIGHT(PisCofinsAliquot[[#This Row],[Código NCM]],8)</f>
        <v>30043290</v>
      </c>
      <c r="D654" s="149"/>
      <c r="E654" s="150"/>
      <c r="F654" s="164" t="s">
        <v>5135</v>
      </c>
      <c r="G654" s="162">
        <v>2.1</v>
      </c>
      <c r="H654" s="162">
        <v>9.9</v>
      </c>
      <c r="I654">
        <f>IF(PisCofinsAliquot[[#This Row],[Classificação]]="Alíquota 0",6,IF(PisCofinsAliquot[[#This Row],[Classificação]]="Monofásico",4,IF(PisCofinsAliquot[[#This Row],[Classificação]]="Regra Geral",1,IF(PisCofinsAliquot[[#This Row],[Classificação]]="ST",5))))</f>
        <v>4</v>
      </c>
    </row>
    <row r="655" spans="1:9" ht="30" x14ac:dyDescent="0.25">
      <c r="A655" s="148" t="s">
        <v>2937</v>
      </c>
      <c r="B655" s="125" t="s">
        <v>2704</v>
      </c>
      <c r="C655" s="126" t="str">
        <f>RIGHT(PisCofinsAliquot[[#This Row],[Código NCM]],8)</f>
        <v>30043911</v>
      </c>
      <c r="D655" s="149"/>
      <c r="E655" s="150"/>
      <c r="F655" s="164" t="s">
        <v>5156</v>
      </c>
      <c r="G655" s="162">
        <v>2.1</v>
      </c>
      <c r="H655" s="162">
        <v>9.9</v>
      </c>
      <c r="I655">
        <f>IF(PisCofinsAliquot[[#This Row],[Classificação]]="Alíquota 0",6,IF(PisCofinsAliquot[[#This Row],[Classificação]]="Monofásico",4,IF(PisCofinsAliquot[[#This Row],[Classificação]]="Regra Geral",1,IF(PisCofinsAliquot[[#This Row],[Classificação]]="ST",5))))</f>
        <v>4</v>
      </c>
    </row>
    <row r="656" spans="1:9" ht="30" x14ac:dyDescent="0.25">
      <c r="A656" s="148" t="s">
        <v>2938</v>
      </c>
      <c r="B656" s="125" t="s">
        <v>2704</v>
      </c>
      <c r="C656" s="126" t="str">
        <f>RIGHT(PisCofinsAliquot[[#This Row],[Código NCM]],8)</f>
        <v>30043912</v>
      </c>
      <c r="D656" s="149"/>
      <c r="E656" s="150"/>
      <c r="F656" s="164" t="s">
        <v>5157</v>
      </c>
      <c r="G656" s="162">
        <v>2.1</v>
      </c>
      <c r="H656" s="162">
        <v>9.9</v>
      </c>
      <c r="I656">
        <f>IF(PisCofinsAliquot[[#This Row],[Classificação]]="Alíquota 0",6,IF(PisCofinsAliquot[[#This Row],[Classificação]]="Monofásico",4,IF(PisCofinsAliquot[[#This Row],[Classificação]]="Regra Geral",1,IF(PisCofinsAliquot[[#This Row],[Classificação]]="ST",5))))</f>
        <v>4</v>
      </c>
    </row>
    <row r="657" spans="1:9" ht="30" x14ac:dyDescent="0.25">
      <c r="A657" s="148" t="s">
        <v>2939</v>
      </c>
      <c r="B657" s="125" t="s">
        <v>2704</v>
      </c>
      <c r="C657" s="126" t="str">
        <f>RIGHT(PisCofinsAliquot[[#This Row],[Código NCM]],8)</f>
        <v>30043913</v>
      </c>
      <c r="D657" s="149"/>
      <c r="E657" s="150"/>
      <c r="F657" s="164" t="s">
        <v>5158</v>
      </c>
      <c r="G657" s="162">
        <v>2.1</v>
      </c>
      <c r="H657" s="162">
        <v>9.9</v>
      </c>
      <c r="I657">
        <f>IF(PisCofinsAliquot[[#This Row],[Classificação]]="Alíquota 0",6,IF(PisCofinsAliquot[[#This Row],[Classificação]]="Monofásico",4,IF(PisCofinsAliquot[[#This Row],[Classificação]]="Regra Geral",1,IF(PisCofinsAliquot[[#This Row],[Classificação]]="ST",5))))</f>
        <v>4</v>
      </c>
    </row>
    <row r="658" spans="1:9" ht="30" x14ac:dyDescent="0.25">
      <c r="A658" s="148" t="s">
        <v>2940</v>
      </c>
      <c r="B658" s="125" t="s">
        <v>2704</v>
      </c>
      <c r="C658" s="126" t="str">
        <f>RIGHT(PisCofinsAliquot[[#This Row],[Código NCM]],8)</f>
        <v>30043914</v>
      </c>
      <c r="D658" s="149"/>
      <c r="E658" s="150"/>
      <c r="F658" s="164" t="s">
        <v>5159</v>
      </c>
      <c r="G658" s="162">
        <v>2.1</v>
      </c>
      <c r="H658" s="162">
        <v>9.9</v>
      </c>
      <c r="I658">
        <f>IF(PisCofinsAliquot[[#This Row],[Classificação]]="Alíquota 0",6,IF(PisCofinsAliquot[[#This Row],[Classificação]]="Monofásico",4,IF(PisCofinsAliquot[[#This Row],[Classificação]]="Regra Geral",1,IF(PisCofinsAliquot[[#This Row],[Classificação]]="ST",5))))</f>
        <v>4</v>
      </c>
    </row>
    <row r="659" spans="1:9" ht="30" x14ac:dyDescent="0.25">
      <c r="A659" s="148" t="s">
        <v>2941</v>
      </c>
      <c r="B659" s="125" t="s">
        <v>2704</v>
      </c>
      <c r="C659" s="126" t="str">
        <f>RIGHT(PisCofinsAliquot[[#This Row],[Código NCM]],8)</f>
        <v>30043915</v>
      </c>
      <c r="D659" s="149"/>
      <c r="E659" s="150"/>
      <c r="F659" s="164" t="s">
        <v>5160</v>
      </c>
      <c r="G659" s="162">
        <v>2.1</v>
      </c>
      <c r="H659" s="162">
        <v>9.9</v>
      </c>
      <c r="I659">
        <f>IF(PisCofinsAliquot[[#This Row],[Classificação]]="Alíquota 0",6,IF(PisCofinsAliquot[[#This Row],[Classificação]]="Monofásico",4,IF(PisCofinsAliquot[[#This Row],[Classificação]]="Regra Geral",1,IF(PisCofinsAliquot[[#This Row],[Classificação]]="ST",5))))</f>
        <v>4</v>
      </c>
    </row>
    <row r="660" spans="1:9" ht="30" x14ac:dyDescent="0.25">
      <c r="A660" s="148" t="s">
        <v>2942</v>
      </c>
      <c r="B660" s="125" t="s">
        <v>2704</v>
      </c>
      <c r="C660" s="126" t="str">
        <f>RIGHT(PisCofinsAliquot[[#This Row],[Código NCM]],8)</f>
        <v>30043916</v>
      </c>
      <c r="D660" s="149"/>
      <c r="E660" s="150"/>
      <c r="F660" s="164" t="s">
        <v>5161</v>
      </c>
      <c r="G660" s="162">
        <v>2.1</v>
      </c>
      <c r="H660" s="162">
        <v>9.9</v>
      </c>
      <c r="I660">
        <f>IF(PisCofinsAliquot[[#This Row],[Classificação]]="Alíquota 0",6,IF(PisCofinsAliquot[[#This Row],[Classificação]]="Monofásico",4,IF(PisCofinsAliquot[[#This Row],[Classificação]]="Regra Geral",1,IF(PisCofinsAliquot[[#This Row],[Classificação]]="ST",5))))</f>
        <v>4</v>
      </c>
    </row>
    <row r="661" spans="1:9" ht="30" x14ac:dyDescent="0.25">
      <c r="A661" s="148" t="s">
        <v>2943</v>
      </c>
      <c r="B661" s="125" t="s">
        <v>2704</v>
      </c>
      <c r="C661" s="126" t="str">
        <f>RIGHT(PisCofinsAliquot[[#This Row],[Código NCM]],8)</f>
        <v>30043917</v>
      </c>
      <c r="D661" s="149"/>
      <c r="E661" s="150"/>
      <c r="F661" s="164" t="s">
        <v>5162</v>
      </c>
      <c r="G661" s="162">
        <v>2.1</v>
      </c>
      <c r="H661" s="162">
        <v>9.9</v>
      </c>
      <c r="I661">
        <f>IF(PisCofinsAliquot[[#This Row],[Classificação]]="Alíquota 0",6,IF(PisCofinsAliquot[[#This Row],[Classificação]]="Monofásico",4,IF(PisCofinsAliquot[[#This Row],[Classificação]]="Regra Geral",1,IF(PisCofinsAliquot[[#This Row],[Classificação]]="ST",5))))</f>
        <v>4</v>
      </c>
    </row>
    <row r="662" spans="1:9" ht="30" x14ac:dyDescent="0.25">
      <c r="A662" s="148" t="s">
        <v>2944</v>
      </c>
      <c r="B662" s="125" t="s">
        <v>2704</v>
      </c>
      <c r="C662" s="126" t="str">
        <f>RIGHT(PisCofinsAliquot[[#This Row],[Código NCM]],8)</f>
        <v>30043918</v>
      </c>
      <c r="D662" s="149"/>
      <c r="E662" s="150"/>
      <c r="F662" s="164" t="s">
        <v>5163</v>
      </c>
      <c r="G662" s="162">
        <v>2.1</v>
      </c>
      <c r="H662" s="162">
        <v>9.9</v>
      </c>
      <c r="I662">
        <f>IF(PisCofinsAliquot[[#This Row],[Classificação]]="Alíquota 0",6,IF(PisCofinsAliquot[[#This Row],[Classificação]]="Monofásico",4,IF(PisCofinsAliquot[[#This Row],[Classificação]]="Regra Geral",1,IF(PisCofinsAliquot[[#This Row],[Classificação]]="ST",5))))</f>
        <v>4</v>
      </c>
    </row>
    <row r="663" spans="1:9" ht="30" x14ac:dyDescent="0.25">
      <c r="A663" s="148" t="s">
        <v>2945</v>
      </c>
      <c r="B663" s="125" t="s">
        <v>2704</v>
      </c>
      <c r="C663" s="126" t="str">
        <f>RIGHT(PisCofinsAliquot[[#This Row],[Código NCM]],8)</f>
        <v>30043919</v>
      </c>
      <c r="D663" s="149"/>
      <c r="E663" s="150"/>
      <c r="F663" s="164" t="s">
        <v>5164</v>
      </c>
      <c r="G663" s="162">
        <v>2.1</v>
      </c>
      <c r="H663" s="162">
        <v>9.9</v>
      </c>
      <c r="I663">
        <f>IF(PisCofinsAliquot[[#This Row],[Classificação]]="Alíquota 0",6,IF(PisCofinsAliquot[[#This Row],[Classificação]]="Monofásico",4,IF(PisCofinsAliquot[[#This Row],[Classificação]]="Regra Geral",1,IF(PisCofinsAliquot[[#This Row],[Classificação]]="ST",5))))</f>
        <v>4</v>
      </c>
    </row>
    <row r="664" spans="1:9" ht="30" x14ac:dyDescent="0.25">
      <c r="A664" s="148" t="s">
        <v>2946</v>
      </c>
      <c r="B664" s="125" t="s">
        <v>2704</v>
      </c>
      <c r="C664" s="126" t="str">
        <f>RIGHT(PisCofinsAliquot[[#This Row],[Código NCM]],8)</f>
        <v>30043921</v>
      </c>
      <c r="D664" s="149"/>
      <c r="E664" s="150"/>
      <c r="F664" s="164" t="s">
        <v>5165</v>
      </c>
      <c r="G664" s="162">
        <v>2.1</v>
      </c>
      <c r="H664" s="162">
        <v>9.9</v>
      </c>
      <c r="I664">
        <f>IF(PisCofinsAliquot[[#This Row],[Classificação]]="Alíquota 0",6,IF(PisCofinsAliquot[[#This Row],[Classificação]]="Monofásico",4,IF(PisCofinsAliquot[[#This Row],[Classificação]]="Regra Geral",1,IF(PisCofinsAliquot[[#This Row],[Classificação]]="ST",5))))</f>
        <v>4</v>
      </c>
    </row>
    <row r="665" spans="1:9" ht="30" x14ac:dyDescent="0.25">
      <c r="A665" s="148" t="s">
        <v>2947</v>
      </c>
      <c r="B665" s="125" t="s">
        <v>2704</v>
      </c>
      <c r="C665" s="126" t="str">
        <f>RIGHT(PisCofinsAliquot[[#This Row],[Código NCM]],8)</f>
        <v>30043922</v>
      </c>
      <c r="D665" s="149"/>
      <c r="E665" s="150"/>
      <c r="F665" s="164" t="s">
        <v>5166</v>
      </c>
      <c r="G665" s="162">
        <v>2.1</v>
      </c>
      <c r="H665" s="162">
        <v>9.9</v>
      </c>
      <c r="I665">
        <f>IF(PisCofinsAliquot[[#This Row],[Classificação]]="Alíquota 0",6,IF(PisCofinsAliquot[[#This Row],[Classificação]]="Monofásico",4,IF(PisCofinsAliquot[[#This Row],[Classificação]]="Regra Geral",1,IF(PisCofinsAliquot[[#This Row],[Classificação]]="ST",5))))</f>
        <v>4</v>
      </c>
    </row>
    <row r="666" spans="1:9" ht="30" x14ac:dyDescent="0.25">
      <c r="A666" s="148" t="s">
        <v>2948</v>
      </c>
      <c r="B666" s="125" t="s">
        <v>2704</v>
      </c>
      <c r="C666" s="126" t="str">
        <f>RIGHT(PisCofinsAliquot[[#This Row],[Código NCM]],8)</f>
        <v>30043923</v>
      </c>
      <c r="D666" s="149"/>
      <c r="E666" s="150"/>
      <c r="F666" s="164" t="s">
        <v>5167</v>
      </c>
      <c r="G666" s="162">
        <v>2.1</v>
      </c>
      <c r="H666" s="162">
        <v>9.9</v>
      </c>
      <c r="I666">
        <f>IF(PisCofinsAliquot[[#This Row],[Classificação]]="Alíquota 0",6,IF(PisCofinsAliquot[[#This Row],[Classificação]]="Monofásico",4,IF(PisCofinsAliquot[[#This Row],[Classificação]]="Regra Geral",1,IF(PisCofinsAliquot[[#This Row],[Classificação]]="ST",5))))</f>
        <v>4</v>
      </c>
    </row>
    <row r="667" spans="1:9" ht="30" x14ac:dyDescent="0.25">
      <c r="A667" s="148" t="s">
        <v>2949</v>
      </c>
      <c r="B667" s="125" t="s">
        <v>2704</v>
      </c>
      <c r="C667" s="126" t="str">
        <f>RIGHT(PisCofinsAliquot[[#This Row],[Código NCM]],8)</f>
        <v>30043924</v>
      </c>
      <c r="D667" s="149"/>
      <c r="E667" s="150"/>
      <c r="F667" s="164" t="s">
        <v>5168</v>
      </c>
      <c r="G667" s="162">
        <v>2.1</v>
      </c>
      <c r="H667" s="162">
        <v>9.9</v>
      </c>
      <c r="I667">
        <f>IF(PisCofinsAliquot[[#This Row],[Classificação]]="Alíquota 0",6,IF(PisCofinsAliquot[[#This Row],[Classificação]]="Monofásico",4,IF(PisCofinsAliquot[[#This Row],[Classificação]]="Regra Geral",1,IF(PisCofinsAliquot[[#This Row],[Classificação]]="ST",5))))</f>
        <v>4</v>
      </c>
    </row>
    <row r="668" spans="1:9" ht="30" x14ac:dyDescent="0.25">
      <c r="A668" s="148" t="s">
        <v>2950</v>
      </c>
      <c r="B668" s="125" t="s">
        <v>2704</v>
      </c>
      <c r="C668" s="126" t="str">
        <f>RIGHT(PisCofinsAliquot[[#This Row],[Código NCM]],8)</f>
        <v>30043925</v>
      </c>
      <c r="D668" s="149"/>
      <c r="E668" s="150"/>
      <c r="F668" s="164" t="s">
        <v>5259</v>
      </c>
      <c r="G668" s="162">
        <v>2.1</v>
      </c>
      <c r="H668" s="162">
        <v>9.9</v>
      </c>
      <c r="I668">
        <f>IF(PisCofinsAliquot[[#This Row],[Classificação]]="Alíquota 0",6,IF(PisCofinsAliquot[[#This Row],[Classificação]]="Monofásico",4,IF(PisCofinsAliquot[[#This Row],[Classificação]]="Regra Geral",1,IF(PisCofinsAliquot[[#This Row],[Classificação]]="ST",5))))</f>
        <v>4</v>
      </c>
    </row>
    <row r="669" spans="1:9" ht="30" x14ac:dyDescent="0.25">
      <c r="A669" s="148" t="s">
        <v>2951</v>
      </c>
      <c r="B669" s="125" t="s">
        <v>2704</v>
      </c>
      <c r="C669" s="126" t="str">
        <f>RIGHT(PisCofinsAliquot[[#This Row],[Código NCM]],8)</f>
        <v>30043926</v>
      </c>
      <c r="D669" s="149"/>
      <c r="E669" s="150"/>
      <c r="F669" s="164" t="s">
        <v>5169</v>
      </c>
      <c r="G669" s="162">
        <v>2.1</v>
      </c>
      <c r="H669" s="162">
        <v>9.9</v>
      </c>
      <c r="I669">
        <f>IF(PisCofinsAliquot[[#This Row],[Classificação]]="Alíquota 0",6,IF(PisCofinsAliquot[[#This Row],[Classificação]]="Monofásico",4,IF(PisCofinsAliquot[[#This Row],[Classificação]]="Regra Geral",1,IF(PisCofinsAliquot[[#This Row],[Classificação]]="ST",5))))</f>
        <v>4</v>
      </c>
    </row>
    <row r="670" spans="1:9" ht="30" x14ac:dyDescent="0.25">
      <c r="A670" s="148" t="s">
        <v>2952</v>
      </c>
      <c r="B670" s="125" t="s">
        <v>2704</v>
      </c>
      <c r="C670" s="126" t="str">
        <f>RIGHT(PisCofinsAliquot[[#This Row],[Código NCM]],8)</f>
        <v>30043927</v>
      </c>
      <c r="D670" s="149"/>
      <c r="E670" s="150"/>
      <c r="F670" s="164" t="s">
        <v>5170</v>
      </c>
      <c r="G670" s="162">
        <v>2.1</v>
      </c>
      <c r="H670" s="162">
        <v>9.9</v>
      </c>
      <c r="I670">
        <f>IF(PisCofinsAliquot[[#This Row],[Classificação]]="Alíquota 0",6,IF(PisCofinsAliquot[[#This Row],[Classificação]]="Monofásico",4,IF(PisCofinsAliquot[[#This Row],[Classificação]]="Regra Geral",1,IF(PisCofinsAliquot[[#This Row],[Classificação]]="ST",5))))</f>
        <v>4</v>
      </c>
    </row>
    <row r="671" spans="1:9" ht="30" x14ac:dyDescent="0.25">
      <c r="A671" s="148" t="s">
        <v>2953</v>
      </c>
      <c r="B671" s="125" t="s">
        <v>2704</v>
      </c>
      <c r="C671" s="126" t="str">
        <f>RIGHT(PisCofinsAliquot[[#This Row],[Código NCM]],8)</f>
        <v>30043928</v>
      </c>
      <c r="D671" s="149"/>
      <c r="E671" s="150"/>
      <c r="F671" s="164" t="s">
        <v>5171</v>
      </c>
      <c r="G671" s="162">
        <v>2.1</v>
      </c>
      <c r="H671" s="162">
        <v>9.9</v>
      </c>
      <c r="I671">
        <f>IF(PisCofinsAliquot[[#This Row],[Classificação]]="Alíquota 0",6,IF(PisCofinsAliquot[[#This Row],[Classificação]]="Monofásico",4,IF(PisCofinsAliquot[[#This Row],[Classificação]]="Regra Geral",1,IF(PisCofinsAliquot[[#This Row],[Classificação]]="ST",5))))</f>
        <v>4</v>
      </c>
    </row>
    <row r="672" spans="1:9" ht="30" x14ac:dyDescent="0.25">
      <c r="A672" s="148" t="s">
        <v>2954</v>
      </c>
      <c r="B672" s="125" t="s">
        <v>2704</v>
      </c>
      <c r="C672" s="126" t="str">
        <f>RIGHT(PisCofinsAliquot[[#This Row],[Código NCM]],8)</f>
        <v>30043929</v>
      </c>
      <c r="D672" s="149"/>
      <c r="E672" s="150"/>
      <c r="F672" s="164" t="s">
        <v>5135</v>
      </c>
      <c r="G672" s="162">
        <v>2.1</v>
      </c>
      <c r="H672" s="162">
        <v>9.9</v>
      </c>
      <c r="I672">
        <f>IF(PisCofinsAliquot[[#This Row],[Classificação]]="Alíquota 0",6,IF(PisCofinsAliquot[[#This Row],[Classificação]]="Monofásico",4,IF(PisCofinsAliquot[[#This Row],[Classificação]]="Regra Geral",1,IF(PisCofinsAliquot[[#This Row],[Classificação]]="ST",5))))</f>
        <v>4</v>
      </c>
    </row>
    <row r="673" spans="1:9" ht="30" x14ac:dyDescent="0.25">
      <c r="A673" s="148" t="s">
        <v>2955</v>
      </c>
      <c r="B673" s="125" t="s">
        <v>2704</v>
      </c>
      <c r="C673" s="126" t="str">
        <f>RIGHT(PisCofinsAliquot[[#This Row],[Código NCM]],8)</f>
        <v>30043931</v>
      </c>
      <c r="D673" s="149"/>
      <c r="E673" s="150"/>
      <c r="F673" s="164" t="s">
        <v>5172</v>
      </c>
      <c r="G673" s="162">
        <v>2.1</v>
      </c>
      <c r="H673" s="162">
        <v>9.9</v>
      </c>
      <c r="I673">
        <f>IF(PisCofinsAliquot[[#This Row],[Classificação]]="Alíquota 0",6,IF(PisCofinsAliquot[[#This Row],[Classificação]]="Monofásico",4,IF(PisCofinsAliquot[[#This Row],[Classificação]]="Regra Geral",1,IF(PisCofinsAliquot[[#This Row],[Classificação]]="ST",5))))</f>
        <v>4</v>
      </c>
    </row>
    <row r="674" spans="1:9" ht="30" x14ac:dyDescent="0.25">
      <c r="A674" s="148" t="s">
        <v>2956</v>
      </c>
      <c r="B674" s="125" t="s">
        <v>2704</v>
      </c>
      <c r="C674" s="126" t="str">
        <f>RIGHT(PisCofinsAliquot[[#This Row],[Código NCM]],8)</f>
        <v>30043932</v>
      </c>
      <c r="D674" s="149"/>
      <c r="E674" s="150"/>
      <c r="F674" s="164" t="s">
        <v>5173</v>
      </c>
      <c r="G674" s="162">
        <v>2.1</v>
      </c>
      <c r="H674" s="162">
        <v>9.9</v>
      </c>
      <c r="I674">
        <f>IF(PisCofinsAliquot[[#This Row],[Classificação]]="Alíquota 0",6,IF(PisCofinsAliquot[[#This Row],[Classificação]]="Monofásico",4,IF(PisCofinsAliquot[[#This Row],[Classificação]]="Regra Geral",1,IF(PisCofinsAliquot[[#This Row],[Classificação]]="ST",5))))</f>
        <v>4</v>
      </c>
    </row>
    <row r="675" spans="1:9" ht="30" x14ac:dyDescent="0.25">
      <c r="A675" s="148" t="s">
        <v>2957</v>
      </c>
      <c r="B675" s="125" t="s">
        <v>2704</v>
      </c>
      <c r="C675" s="126" t="str">
        <f>RIGHT(PisCofinsAliquot[[#This Row],[Código NCM]],8)</f>
        <v>30043933</v>
      </c>
      <c r="D675" s="149"/>
      <c r="E675" s="150"/>
      <c r="F675" s="164" t="s">
        <v>5174</v>
      </c>
      <c r="G675" s="162">
        <v>2.1</v>
      </c>
      <c r="H675" s="162">
        <v>9.9</v>
      </c>
      <c r="I675">
        <f>IF(PisCofinsAliquot[[#This Row],[Classificação]]="Alíquota 0",6,IF(PisCofinsAliquot[[#This Row],[Classificação]]="Monofásico",4,IF(PisCofinsAliquot[[#This Row],[Classificação]]="Regra Geral",1,IF(PisCofinsAliquot[[#This Row],[Classificação]]="ST",5))))</f>
        <v>4</v>
      </c>
    </row>
    <row r="676" spans="1:9" ht="30" x14ac:dyDescent="0.25">
      <c r="A676" s="148" t="s">
        <v>2958</v>
      </c>
      <c r="B676" s="125" t="s">
        <v>2704</v>
      </c>
      <c r="C676" s="126" t="str">
        <f>RIGHT(PisCofinsAliquot[[#This Row],[Código NCM]],8)</f>
        <v>30043934</v>
      </c>
      <c r="D676" s="149"/>
      <c r="E676" s="150"/>
      <c r="F676" s="164" t="s">
        <v>5175</v>
      </c>
      <c r="G676" s="162">
        <v>2.1</v>
      </c>
      <c r="H676" s="162">
        <v>9.9</v>
      </c>
      <c r="I676">
        <f>IF(PisCofinsAliquot[[#This Row],[Classificação]]="Alíquota 0",6,IF(PisCofinsAliquot[[#This Row],[Classificação]]="Monofásico",4,IF(PisCofinsAliquot[[#This Row],[Classificação]]="Regra Geral",1,IF(PisCofinsAliquot[[#This Row],[Classificação]]="ST",5))))</f>
        <v>4</v>
      </c>
    </row>
    <row r="677" spans="1:9" ht="30" x14ac:dyDescent="0.25">
      <c r="A677" s="148" t="s">
        <v>2959</v>
      </c>
      <c r="B677" s="125" t="s">
        <v>2704</v>
      </c>
      <c r="C677" s="126" t="str">
        <f>RIGHT(PisCofinsAliquot[[#This Row],[Código NCM]],8)</f>
        <v>30043935</v>
      </c>
      <c r="D677" s="149"/>
      <c r="E677" s="150"/>
      <c r="F677" s="164" t="s">
        <v>5176</v>
      </c>
      <c r="G677" s="162">
        <v>2.1</v>
      </c>
      <c r="H677" s="162">
        <v>9.9</v>
      </c>
      <c r="I677">
        <f>IF(PisCofinsAliquot[[#This Row],[Classificação]]="Alíquota 0",6,IF(PisCofinsAliquot[[#This Row],[Classificação]]="Monofásico",4,IF(PisCofinsAliquot[[#This Row],[Classificação]]="Regra Geral",1,IF(PisCofinsAliquot[[#This Row],[Classificação]]="ST",5))))</f>
        <v>4</v>
      </c>
    </row>
    <row r="678" spans="1:9" ht="45" x14ac:dyDescent="0.25">
      <c r="A678" s="148" t="s">
        <v>2960</v>
      </c>
      <c r="B678" s="125" t="s">
        <v>2704</v>
      </c>
      <c r="C678" s="126" t="str">
        <f>RIGHT(PisCofinsAliquot[[#This Row],[Código NCM]],8)</f>
        <v>30043936</v>
      </c>
      <c r="D678" s="149"/>
      <c r="E678" s="150"/>
      <c r="F678" s="164" t="s">
        <v>5177</v>
      </c>
      <c r="G678" s="162">
        <v>2.1</v>
      </c>
      <c r="H678" s="162">
        <v>9.9</v>
      </c>
      <c r="I678">
        <f>IF(PisCofinsAliquot[[#This Row],[Classificação]]="Alíquota 0",6,IF(PisCofinsAliquot[[#This Row],[Classificação]]="Monofásico",4,IF(PisCofinsAliquot[[#This Row],[Classificação]]="Regra Geral",1,IF(PisCofinsAliquot[[#This Row],[Classificação]]="ST",5))))</f>
        <v>4</v>
      </c>
    </row>
    <row r="679" spans="1:9" ht="30" x14ac:dyDescent="0.25">
      <c r="A679" s="148" t="s">
        <v>2961</v>
      </c>
      <c r="B679" s="125" t="s">
        <v>2704</v>
      </c>
      <c r="C679" s="126" t="str">
        <f>RIGHT(PisCofinsAliquot[[#This Row],[Código NCM]],8)</f>
        <v>30043937</v>
      </c>
      <c r="D679" s="149"/>
      <c r="E679" s="150"/>
      <c r="F679" s="164" t="s">
        <v>5178</v>
      </c>
      <c r="G679" s="162">
        <v>2.1</v>
      </c>
      <c r="H679" s="162">
        <v>9.9</v>
      </c>
      <c r="I679">
        <f>IF(PisCofinsAliquot[[#This Row],[Classificação]]="Alíquota 0",6,IF(PisCofinsAliquot[[#This Row],[Classificação]]="Monofásico",4,IF(PisCofinsAliquot[[#This Row],[Classificação]]="Regra Geral",1,IF(PisCofinsAliquot[[#This Row],[Classificação]]="ST",5))))</f>
        <v>4</v>
      </c>
    </row>
    <row r="680" spans="1:9" ht="30" x14ac:dyDescent="0.25">
      <c r="A680" s="148" t="s">
        <v>2962</v>
      </c>
      <c r="B680" s="125" t="s">
        <v>2704</v>
      </c>
      <c r="C680" s="126" t="str">
        <f>RIGHT(PisCofinsAliquot[[#This Row],[Código NCM]],8)</f>
        <v>30043939</v>
      </c>
      <c r="D680" s="149"/>
      <c r="E680" s="150"/>
      <c r="F680" s="164" t="s">
        <v>5135</v>
      </c>
      <c r="G680" s="162">
        <v>2.1</v>
      </c>
      <c r="H680" s="162">
        <v>9.9</v>
      </c>
      <c r="I680">
        <f>IF(PisCofinsAliquot[[#This Row],[Classificação]]="Alíquota 0",6,IF(PisCofinsAliquot[[#This Row],[Classificação]]="Monofásico",4,IF(PisCofinsAliquot[[#This Row],[Classificação]]="Regra Geral",1,IF(PisCofinsAliquot[[#This Row],[Classificação]]="ST",5))))</f>
        <v>4</v>
      </c>
    </row>
    <row r="681" spans="1:9" ht="30" x14ac:dyDescent="0.25">
      <c r="A681" s="148" t="s">
        <v>2963</v>
      </c>
      <c r="B681" s="125" t="s">
        <v>2704</v>
      </c>
      <c r="C681" s="126" t="str">
        <f>RIGHT(PisCofinsAliquot[[#This Row],[Código NCM]],8)</f>
        <v>30043981</v>
      </c>
      <c r="D681" s="149"/>
      <c r="E681" s="150"/>
      <c r="F681" s="164" t="s">
        <v>5179</v>
      </c>
      <c r="G681" s="162">
        <v>2.1</v>
      </c>
      <c r="H681" s="162">
        <v>9.9</v>
      </c>
      <c r="I681">
        <f>IF(PisCofinsAliquot[[#This Row],[Classificação]]="Alíquota 0",6,IF(PisCofinsAliquot[[#This Row],[Classificação]]="Monofásico",4,IF(PisCofinsAliquot[[#This Row],[Classificação]]="Regra Geral",1,IF(PisCofinsAliquot[[#This Row],[Classificação]]="ST",5))))</f>
        <v>4</v>
      </c>
    </row>
    <row r="682" spans="1:9" ht="30" x14ac:dyDescent="0.25">
      <c r="A682" s="148" t="s">
        <v>2964</v>
      </c>
      <c r="B682" s="125" t="s">
        <v>2704</v>
      </c>
      <c r="C682" s="126" t="str">
        <f>RIGHT(PisCofinsAliquot[[#This Row],[Código NCM]],8)</f>
        <v>30043982</v>
      </c>
      <c r="D682" s="149"/>
      <c r="E682" s="150"/>
      <c r="F682" s="164" t="s">
        <v>5180</v>
      </c>
      <c r="G682" s="162">
        <v>2.1</v>
      </c>
      <c r="H682" s="162">
        <v>9.9</v>
      </c>
      <c r="I682">
        <f>IF(PisCofinsAliquot[[#This Row],[Classificação]]="Alíquota 0",6,IF(PisCofinsAliquot[[#This Row],[Classificação]]="Monofásico",4,IF(PisCofinsAliquot[[#This Row],[Classificação]]="Regra Geral",1,IF(PisCofinsAliquot[[#This Row],[Classificação]]="ST",5))))</f>
        <v>4</v>
      </c>
    </row>
    <row r="683" spans="1:9" ht="90" x14ac:dyDescent="0.25">
      <c r="A683" s="148" t="s">
        <v>2965</v>
      </c>
      <c r="B683" s="125" t="s">
        <v>2704</v>
      </c>
      <c r="C683" s="126" t="str">
        <f>RIGHT(PisCofinsAliquot[[#This Row],[Código NCM]],8)</f>
        <v>30043991</v>
      </c>
      <c r="D683" s="149"/>
      <c r="E683" s="150"/>
      <c r="F683" s="164" t="s">
        <v>5181</v>
      </c>
      <c r="G683" s="162">
        <v>2.1</v>
      </c>
      <c r="H683" s="162">
        <v>9.9</v>
      </c>
      <c r="I683">
        <f>IF(PisCofinsAliquot[[#This Row],[Classificação]]="Alíquota 0",6,IF(PisCofinsAliquot[[#This Row],[Classificação]]="Monofásico",4,IF(PisCofinsAliquot[[#This Row],[Classificação]]="Regra Geral",1,IF(PisCofinsAliquot[[#This Row],[Classificação]]="ST",5))))</f>
        <v>4</v>
      </c>
    </row>
    <row r="684" spans="1:9" ht="30" x14ac:dyDescent="0.25">
      <c r="A684" s="148" t="s">
        <v>2966</v>
      </c>
      <c r="B684" s="125" t="s">
        <v>2704</v>
      </c>
      <c r="C684" s="126" t="str">
        <f>RIGHT(PisCofinsAliquot[[#This Row],[Código NCM]],8)</f>
        <v>30043992</v>
      </c>
      <c r="D684" s="149"/>
      <c r="E684" s="150"/>
      <c r="F684" s="164" t="s">
        <v>5182</v>
      </c>
      <c r="G684" s="162">
        <v>2.1</v>
      </c>
      <c r="H684" s="162">
        <v>9.9</v>
      </c>
      <c r="I684">
        <f>IF(PisCofinsAliquot[[#This Row],[Classificação]]="Alíquota 0",6,IF(PisCofinsAliquot[[#This Row],[Classificação]]="Monofásico",4,IF(PisCofinsAliquot[[#This Row],[Classificação]]="Regra Geral",1,IF(PisCofinsAliquot[[#This Row],[Classificação]]="ST",5))))</f>
        <v>4</v>
      </c>
    </row>
    <row r="685" spans="1:9" ht="30" x14ac:dyDescent="0.25">
      <c r="A685" s="148" t="s">
        <v>2967</v>
      </c>
      <c r="B685" s="125" t="s">
        <v>2704</v>
      </c>
      <c r="C685" s="126" t="str">
        <f>RIGHT(PisCofinsAliquot[[#This Row],[Código NCM]],8)</f>
        <v>30043994</v>
      </c>
      <c r="D685" s="149"/>
      <c r="E685" s="150"/>
      <c r="F685" s="164" t="s">
        <v>5184</v>
      </c>
      <c r="G685" s="162">
        <v>2.1</v>
      </c>
      <c r="H685" s="162">
        <v>9.9</v>
      </c>
      <c r="I685">
        <f>IF(PisCofinsAliquot[[#This Row],[Classificação]]="Alíquota 0",6,IF(PisCofinsAliquot[[#This Row],[Classificação]]="Monofásico",4,IF(PisCofinsAliquot[[#This Row],[Classificação]]="Regra Geral",1,IF(PisCofinsAliquot[[#This Row],[Classificação]]="ST",5))))</f>
        <v>4</v>
      </c>
    </row>
    <row r="686" spans="1:9" ht="30" x14ac:dyDescent="0.25">
      <c r="A686" s="148" t="s">
        <v>2968</v>
      </c>
      <c r="B686" s="125" t="s">
        <v>2704</v>
      </c>
      <c r="C686" s="126" t="str">
        <f>RIGHT(PisCofinsAliquot[[#This Row],[Código NCM]],8)</f>
        <v>30043999</v>
      </c>
      <c r="D686" s="149"/>
      <c r="E686" s="150"/>
      <c r="F686" s="164" t="s">
        <v>5135</v>
      </c>
      <c r="G686" s="162">
        <v>2.1</v>
      </c>
      <c r="H686" s="162">
        <v>9.9</v>
      </c>
      <c r="I686">
        <f>IF(PisCofinsAliquot[[#This Row],[Classificação]]="Alíquota 0",6,IF(PisCofinsAliquot[[#This Row],[Classificação]]="Monofásico",4,IF(PisCofinsAliquot[[#This Row],[Classificação]]="Regra Geral",1,IF(PisCofinsAliquot[[#This Row],[Classificação]]="ST",5))))</f>
        <v>4</v>
      </c>
    </row>
    <row r="687" spans="1:9" ht="45" x14ac:dyDescent="0.25">
      <c r="A687" s="148" t="s">
        <v>2969</v>
      </c>
      <c r="B687" s="125" t="s">
        <v>2704</v>
      </c>
      <c r="C687" s="126" t="str">
        <f>RIGHT(PisCofinsAliquot[[#This Row],[Código NCM]],8)</f>
        <v>30044100</v>
      </c>
      <c r="D687" s="149"/>
      <c r="E687" s="150"/>
      <c r="F687" s="164" t="s">
        <v>5185</v>
      </c>
      <c r="G687" s="162">
        <v>2.1</v>
      </c>
      <c r="H687" s="162">
        <v>9.9</v>
      </c>
      <c r="I687">
        <f>IF(PisCofinsAliquot[[#This Row],[Classificação]]="Alíquota 0",6,IF(PisCofinsAliquot[[#This Row],[Classificação]]="Monofásico",4,IF(PisCofinsAliquot[[#This Row],[Classificação]]="Regra Geral",1,IF(PisCofinsAliquot[[#This Row],[Classificação]]="ST",5))))</f>
        <v>4</v>
      </c>
    </row>
    <row r="688" spans="1:9" ht="45" x14ac:dyDescent="0.25">
      <c r="A688" s="148" t="s">
        <v>2970</v>
      </c>
      <c r="B688" s="125" t="s">
        <v>2704</v>
      </c>
      <c r="C688" s="126" t="str">
        <f>RIGHT(PisCofinsAliquot[[#This Row],[Código NCM]],8)</f>
        <v>30044200</v>
      </c>
      <c r="D688" s="149"/>
      <c r="E688" s="150"/>
      <c r="F688" s="164" t="s">
        <v>5186</v>
      </c>
      <c r="G688" s="162">
        <v>2.1</v>
      </c>
      <c r="H688" s="162">
        <v>9.9</v>
      </c>
      <c r="I688">
        <f>IF(PisCofinsAliquot[[#This Row],[Classificação]]="Alíquota 0",6,IF(PisCofinsAliquot[[#This Row],[Classificação]]="Monofásico",4,IF(PisCofinsAliquot[[#This Row],[Classificação]]="Regra Geral",1,IF(PisCofinsAliquot[[#This Row],[Classificação]]="ST",5))))</f>
        <v>4</v>
      </c>
    </row>
    <row r="689" spans="1:9" ht="45" x14ac:dyDescent="0.25">
      <c r="A689" s="148" t="s">
        <v>2971</v>
      </c>
      <c r="B689" s="125" t="s">
        <v>2704</v>
      </c>
      <c r="C689" s="126" t="str">
        <f>RIGHT(PisCofinsAliquot[[#This Row],[Código NCM]],8)</f>
        <v>30044300</v>
      </c>
      <c r="D689" s="149"/>
      <c r="E689" s="150"/>
      <c r="F689" s="164" t="s">
        <v>5187</v>
      </c>
      <c r="G689" s="162">
        <v>2.1</v>
      </c>
      <c r="H689" s="162">
        <v>9.9</v>
      </c>
      <c r="I689">
        <f>IF(PisCofinsAliquot[[#This Row],[Classificação]]="Alíquota 0",6,IF(PisCofinsAliquot[[#This Row],[Classificação]]="Monofásico",4,IF(PisCofinsAliquot[[#This Row],[Classificação]]="Regra Geral",1,IF(PisCofinsAliquot[[#This Row],[Classificação]]="ST",5))))</f>
        <v>4</v>
      </c>
    </row>
    <row r="690" spans="1:9" ht="60" x14ac:dyDescent="0.25">
      <c r="A690" s="148" t="s">
        <v>2972</v>
      </c>
      <c r="B690" s="125" t="s">
        <v>2704</v>
      </c>
      <c r="C690" s="126" t="str">
        <f>RIGHT(PisCofinsAliquot[[#This Row],[Código NCM]],8)</f>
        <v>30044910</v>
      </c>
      <c r="D690" s="149"/>
      <c r="E690" s="150"/>
      <c r="F690" s="164" t="s">
        <v>5188</v>
      </c>
      <c r="G690" s="162">
        <v>2.1</v>
      </c>
      <c r="H690" s="162">
        <v>9.9</v>
      </c>
      <c r="I690">
        <f>IF(PisCofinsAliquot[[#This Row],[Classificação]]="Alíquota 0",6,IF(PisCofinsAliquot[[#This Row],[Classificação]]="Monofásico",4,IF(PisCofinsAliquot[[#This Row],[Classificação]]="Regra Geral",1,IF(PisCofinsAliquot[[#This Row],[Classificação]]="ST",5))))</f>
        <v>4</v>
      </c>
    </row>
    <row r="691" spans="1:9" ht="45" x14ac:dyDescent="0.25">
      <c r="A691" s="148" t="s">
        <v>2973</v>
      </c>
      <c r="B691" s="125" t="s">
        <v>2704</v>
      </c>
      <c r="C691" s="126" t="str">
        <f>RIGHT(PisCofinsAliquot[[#This Row],[Código NCM]],8)</f>
        <v>30044920</v>
      </c>
      <c r="D691" s="149"/>
      <c r="E691" s="150"/>
      <c r="F691" s="164" t="s">
        <v>5189</v>
      </c>
      <c r="G691" s="162">
        <v>2.1</v>
      </c>
      <c r="H691" s="162">
        <v>9.9</v>
      </c>
      <c r="I691">
        <f>IF(PisCofinsAliquot[[#This Row],[Classificação]]="Alíquota 0",6,IF(PisCofinsAliquot[[#This Row],[Classificação]]="Monofásico",4,IF(PisCofinsAliquot[[#This Row],[Classificação]]="Regra Geral",1,IF(PisCofinsAliquot[[#This Row],[Classificação]]="ST",5))))</f>
        <v>4</v>
      </c>
    </row>
    <row r="692" spans="1:9" ht="45" x14ac:dyDescent="0.25">
      <c r="A692" s="148" t="s">
        <v>2974</v>
      </c>
      <c r="B692" s="125" t="s">
        <v>2704</v>
      </c>
      <c r="C692" s="126" t="str">
        <f>RIGHT(PisCofinsAliquot[[#This Row],[Código NCM]],8)</f>
        <v>30044930</v>
      </c>
      <c r="D692" s="149"/>
      <c r="E692" s="150"/>
      <c r="F692" s="164" t="s">
        <v>5190</v>
      </c>
      <c r="G692" s="162">
        <v>2.1</v>
      </c>
      <c r="H692" s="162">
        <v>9.9</v>
      </c>
      <c r="I692">
        <f>IF(PisCofinsAliquot[[#This Row],[Classificação]]="Alíquota 0",6,IF(PisCofinsAliquot[[#This Row],[Classificação]]="Monofásico",4,IF(PisCofinsAliquot[[#This Row],[Classificação]]="Regra Geral",1,IF(PisCofinsAliquot[[#This Row],[Classificação]]="ST",5))))</f>
        <v>4</v>
      </c>
    </row>
    <row r="693" spans="1:9" ht="30" x14ac:dyDescent="0.25">
      <c r="A693" s="148" t="s">
        <v>2975</v>
      </c>
      <c r="B693" s="125" t="s">
        <v>2704</v>
      </c>
      <c r="C693" s="126" t="str">
        <f>RIGHT(PisCofinsAliquot[[#This Row],[Código NCM]],8)</f>
        <v>30044940</v>
      </c>
      <c r="D693" s="149"/>
      <c r="E693" s="150"/>
      <c r="F693" s="164" t="s">
        <v>5191</v>
      </c>
      <c r="G693" s="162">
        <v>2.1</v>
      </c>
      <c r="H693" s="162">
        <v>9.9</v>
      </c>
      <c r="I693">
        <f>IF(PisCofinsAliquot[[#This Row],[Classificação]]="Alíquota 0",6,IF(PisCofinsAliquot[[#This Row],[Classificação]]="Monofásico",4,IF(PisCofinsAliquot[[#This Row],[Classificação]]="Regra Geral",1,IF(PisCofinsAliquot[[#This Row],[Classificação]]="ST",5))))</f>
        <v>4</v>
      </c>
    </row>
    <row r="694" spans="1:9" ht="45" x14ac:dyDescent="0.25">
      <c r="A694" s="148" t="s">
        <v>2976</v>
      </c>
      <c r="B694" s="125" t="s">
        <v>2704</v>
      </c>
      <c r="C694" s="126" t="str">
        <f>RIGHT(PisCofinsAliquot[[#This Row],[Código NCM]],8)</f>
        <v>30044950</v>
      </c>
      <c r="D694" s="149"/>
      <c r="E694" s="150"/>
      <c r="F694" s="164" t="s">
        <v>5192</v>
      </c>
      <c r="G694" s="162">
        <v>2.1</v>
      </c>
      <c r="H694" s="162">
        <v>9.9</v>
      </c>
      <c r="I694">
        <f>IF(PisCofinsAliquot[[#This Row],[Classificação]]="Alíquota 0",6,IF(PisCofinsAliquot[[#This Row],[Classificação]]="Monofásico",4,IF(PisCofinsAliquot[[#This Row],[Classificação]]="Regra Geral",1,IF(PisCofinsAliquot[[#This Row],[Classificação]]="ST",5))))</f>
        <v>4</v>
      </c>
    </row>
    <row r="695" spans="1:9" ht="30" x14ac:dyDescent="0.25">
      <c r="A695" s="148" t="s">
        <v>2977</v>
      </c>
      <c r="B695" s="125" t="s">
        <v>2704</v>
      </c>
      <c r="C695" s="126" t="str">
        <f>RIGHT(PisCofinsAliquot[[#This Row],[Código NCM]],8)</f>
        <v>30044990</v>
      </c>
      <c r="D695" s="149"/>
      <c r="E695" s="150"/>
      <c r="F695" s="164" t="s">
        <v>5135</v>
      </c>
      <c r="G695" s="162">
        <v>2.1</v>
      </c>
      <c r="H695" s="162">
        <v>9.9</v>
      </c>
      <c r="I695">
        <f>IF(PisCofinsAliquot[[#This Row],[Classificação]]="Alíquota 0",6,IF(PisCofinsAliquot[[#This Row],[Classificação]]="Monofásico",4,IF(PisCofinsAliquot[[#This Row],[Classificação]]="Regra Geral",1,IF(PisCofinsAliquot[[#This Row],[Classificação]]="ST",5))))</f>
        <v>4</v>
      </c>
    </row>
    <row r="696" spans="1:9" ht="30" x14ac:dyDescent="0.25">
      <c r="A696" s="148" t="s">
        <v>2978</v>
      </c>
      <c r="B696" s="125" t="s">
        <v>2704</v>
      </c>
      <c r="C696" s="126" t="str">
        <f>RIGHT(PisCofinsAliquot[[#This Row],[Código NCM]],8)</f>
        <v>30045010</v>
      </c>
      <c r="D696" s="149"/>
      <c r="E696" s="150"/>
      <c r="F696" s="164" t="s">
        <v>5194</v>
      </c>
      <c r="G696" s="162">
        <v>2.1</v>
      </c>
      <c r="H696" s="162">
        <v>9.9</v>
      </c>
      <c r="I696">
        <f>IF(PisCofinsAliquot[[#This Row],[Classificação]]="Alíquota 0",6,IF(PisCofinsAliquot[[#This Row],[Classificação]]="Monofásico",4,IF(PisCofinsAliquot[[#This Row],[Classificação]]="Regra Geral",1,IF(PisCofinsAliquot[[#This Row],[Classificação]]="ST",5))))</f>
        <v>4</v>
      </c>
    </row>
    <row r="697" spans="1:9" ht="30" x14ac:dyDescent="0.25">
      <c r="A697" s="148" t="s">
        <v>2979</v>
      </c>
      <c r="B697" s="125" t="s">
        <v>2704</v>
      </c>
      <c r="C697" s="126" t="str">
        <f>RIGHT(PisCofinsAliquot[[#This Row],[Código NCM]],8)</f>
        <v>30045020</v>
      </c>
      <c r="D697" s="149"/>
      <c r="E697" s="150"/>
      <c r="F697" s="164" t="s">
        <v>5195</v>
      </c>
      <c r="G697" s="162">
        <v>2.1</v>
      </c>
      <c r="H697" s="162">
        <v>9.9</v>
      </c>
      <c r="I697">
        <f>IF(PisCofinsAliquot[[#This Row],[Classificação]]="Alíquota 0",6,IF(PisCofinsAliquot[[#This Row],[Classificação]]="Monofásico",4,IF(PisCofinsAliquot[[#This Row],[Classificação]]="Regra Geral",1,IF(PisCofinsAliquot[[#This Row],[Classificação]]="ST",5))))</f>
        <v>4</v>
      </c>
    </row>
    <row r="698" spans="1:9" ht="45" x14ac:dyDescent="0.25">
      <c r="A698" s="148" t="s">
        <v>2980</v>
      </c>
      <c r="B698" s="125" t="s">
        <v>2704</v>
      </c>
      <c r="C698" s="126" t="str">
        <f>RIGHT(PisCofinsAliquot[[#This Row],[Código NCM]],8)</f>
        <v>30045030</v>
      </c>
      <c r="D698" s="149"/>
      <c r="E698" s="150"/>
      <c r="F698" s="164" t="s">
        <v>5196</v>
      </c>
      <c r="G698" s="162">
        <v>2.1</v>
      </c>
      <c r="H698" s="162">
        <v>9.9</v>
      </c>
      <c r="I698">
        <f>IF(PisCofinsAliquot[[#This Row],[Classificação]]="Alíquota 0",6,IF(PisCofinsAliquot[[#This Row],[Classificação]]="Monofásico",4,IF(PisCofinsAliquot[[#This Row],[Classificação]]="Regra Geral",1,IF(PisCofinsAliquot[[#This Row],[Classificação]]="ST",5))))</f>
        <v>4</v>
      </c>
    </row>
    <row r="699" spans="1:9" ht="60" x14ac:dyDescent="0.25">
      <c r="A699" s="148" t="s">
        <v>2981</v>
      </c>
      <c r="B699" s="125" t="s">
        <v>2704</v>
      </c>
      <c r="C699" s="126" t="str">
        <f>RIGHT(PisCofinsAliquot[[#This Row],[Código NCM]],8)</f>
        <v>30045040</v>
      </c>
      <c r="D699" s="149"/>
      <c r="E699" s="150"/>
      <c r="F699" s="164" t="s">
        <v>5197</v>
      </c>
      <c r="G699" s="162">
        <v>2.1</v>
      </c>
      <c r="H699" s="162">
        <v>9.9</v>
      </c>
      <c r="I699">
        <f>IF(PisCofinsAliquot[[#This Row],[Classificação]]="Alíquota 0",6,IF(PisCofinsAliquot[[#This Row],[Classificação]]="Monofásico",4,IF(PisCofinsAliquot[[#This Row],[Classificação]]="Regra Geral",1,IF(PisCofinsAliquot[[#This Row],[Classificação]]="ST",5))))</f>
        <v>4</v>
      </c>
    </row>
    <row r="700" spans="1:9" ht="45" x14ac:dyDescent="0.25">
      <c r="A700" s="148" t="s">
        <v>2982</v>
      </c>
      <c r="B700" s="125" t="s">
        <v>2704</v>
      </c>
      <c r="C700" s="126" t="str">
        <f>RIGHT(PisCofinsAliquot[[#This Row],[Código NCM]],8)</f>
        <v>30045050</v>
      </c>
      <c r="D700" s="149"/>
      <c r="E700" s="150"/>
      <c r="F700" s="164" t="s">
        <v>5198</v>
      </c>
      <c r="G700" s="162">
        <v>2.1</v>
      </c>
      <c r="H700" s="162">
        <v>9.9</v>
      </c>
      <c r="I700">
        <f>IF(PisCofinsAliquot[[#This Row],[Classificação]]="Alíquota 0",6,IF(PisCofinsAliquot[[#This Row],[Classificação]]="Monofásico",4,IF(PisCofinsAliquot[[#This Row],[Classificação]]="Regra Geral",1,IF(PisCofinsAliquot[[#This Row],[Classificação]]="ST",5))))</f>
        <v>4</v>
      </c>
    </row>
    <row r="701" spans="1:9" ht="30" x14ac:dyDescent="0.25">
      <c r="A701" s="148" t="s">
        <v>2983</v>
      </c>
      <c r="B701" s="125" t="s">
        <v>2704</v>
      </c>
      <c r="C701" s="126" t="str">
        <f>RIGHT(PisCofinsAliquot[[#This Row],[Código NCM]],8)</f>
        <v>30045060</v>
      </c>
      <c r="D701" s="149"/>
      <c r="E701" s="150"/>
      <c r="F701" s="164" t="s">
        <v>5200</v>
      </c>
      <c r="G701" s="162">
        <v>2.1</v>
      </c>
      <c r="H701" s="162">
        <v>9.9</v>
      </c>
      <c r="I701">
        <f>IF(PisCofinsAliquot[[#This Row],[Classificação]]="Alíquota 0",6,IF(PisCofinsAliquot[[#This Row],[Classificação]]="Monofásico",4,IF(PisCofinsAliquot[[#This Row],[Classificação]]="Regra Geral",1,IF(PisCofinsAliquot[[#This Row],[Classificação]]="ST",5))))</f>
        <v>4</v>
      </c>
    </row>
    <row r="702" spans="1:9" ht="30" x14ac:dyDescent="0.25">
      <c r="A702" s="148" t="s">
        <v>2984</v>
      </c>
      <c r="B702" s="125" t="s">
        <v>2704</v>
      </c>
      <c r="C702" s="126" t="str">
        <f>RIGHT(PisCofinsAliquot[[#This Row],[Código NCM]],8)</f>
        <v>30045090</v>
      </c>
      <c r="D702" s="149"/>
      <c r="E702" s="150"/>
      <c r="F702" s="164" t="s">
        <v>5135</v>
      </c>
      <c r="G702" s="162">
        <v>2.1</v>
      </c>
      <c r="H702" s="162">
        <v>9.9</v>
      </c>
      <c r="I702">
        <f>IF(PisCofinsAliquot[[#This Row],[Classificação]]="Alíquota 0",6,IF(PisCofinsAliquot[[#This Row],[Classificação]]="Monofásico",4,IF(PisCofinsAliquot[[#This Row],[Classificação]]="Regra Geral",1,IF(PisCofinsAliquot[[#This Row],[Classificação]]="ST",5))))</f>
        <v>4</v>
      </c>
    </row>
    <row r="703" spans="1:9" ht="90" x14ac:dyDescent="0.25">
      <c r="A703" s="148" t="s">
        <v>2985</v>
      </c>
      <c r="B703" s="125" t="s">
        <v>2704</v>
      </c>
      <c r="C703" s="126" t="str">
        <f>RIGHT(PisCofinsAliquot[[#This Row],[Código NCM]],8)</f>
        <v>30046000</v>
      </c>
      <c r="D703" s="149"/>
      <c r="E703" s="150"/>
      <c r="F703" s="164" t="s">
        <v>5193</v>
      </c>
      <c r="G703" s="162">
        <v>2.1</v>
      </c>
      <c r="H703" s="162">
        <v>9.9</v>
      </c>
      <c r="I703">
        <f>IF(PisCofinsAliquot[[#This Row],[Classificação]]="Alíquota 0",6,IF(PisCofinsAliquot[[#This Row],[Classificação]]="Monofásico",4,IF(PisCofinsAliquot[[#This Row],[Classificação]]="Regra Geral",1,IF(PisCofinsAliquot[[#This Row],[Classificação]]="ST",5))))</f>
        <v>4</v>
      </c>
    </row>
    <row r="704" spans="1:9" ht="30" x14ac:dyDescent="0.25">
      <c r="A704" s="148" t="s">
        <v>2986</v>
      </c>
      <c r="B704" s="125" t="s">
        <v>2704</v>
      </c>
      <c r="C704" s="126" t="str">
        <f>RIGHT(PisCofinsAliquot[[#This Row],[Código NCM]],8)</f>
        <v>30049011</v>
      </c>
      <c r="D704" s="149"/>
      <c r="E704" s="150"/>
      <c r="F704" s="164" t="s">
        <v>5201</v>
      </c>
      <c r="G704" s="162">
        <v>2.1</v>
      </c>
      <c r="H704" s="162">
        <v>9.9</v>
      </c>
      <c r="I704">
        <f>IF(PisCofinsAliquot[[#This Row],[Classificação]]="Alíquota 0",6,IF(PisCofinsAliquot[[#This Row],[Classificação]]="Monofásico",4,IF(PisCofinsAliquot[[#This Row],[Classificação]]="Regra Geral",1,IF(PisCofinsAliquot[[#This Row],[Classificação]]="ST",5))))</f>
        <v>4</v>
      </c>
    </row>
    <row r="705" spans="1:9" ht="30" x14ac:dyDescent="0.25">
      <c r="A705" s="148" t="s">
        <v>2987</v>
      </c>
      <c r="B705" s="125" t="s">
        <v>2704</v>
      </c>
      <c r="C705" s="126" t="str">
        <f>RIGHT(PisCofinsAliquot[[#This Row],[Código NCM]],8)</f>
        <v>30049012</v>
      </c>
      <c r="D705" s="149"/>
      <c r="E705" s="150"/>
      <c r="F705" s="164" t="s">
        <v>5202</v>
      </c>
      <c r="G705" s="162">
        <v>2.1</v>
      </c>
      <c r="H705" s="162">
        <v>9.9</v>
      </c>
      <c r="I705">
        <f>IF(PisCofinsAliquot[[#This Row],[Classificação]]="Alíquota 0",6,IF(PisCofinsAliquot[[#This Row],[Classificação]]="Monofásico",4,IF(PisCofinsAliquot[[#This Row],[Classificação]]="Regra Geral",1,IF(PisCofinsAliquot[[#This Row],[Classificação]]="ST",5))))</f>
        <v>4</v>
      </c>
    </row>
    <row r="706" spans="1:9" ht="30" x14ac:dyDescent="0.25">
      <c r="A706" s="148" t="s">
        <v>2988</v>
      </c>
      <c r="B706" s="125" t="s">
        <v>2704</v>
      </c>
      <c r="C706" s="126" t="str">
        <f>RIGHT(PisCofinsAliquot[[#This Row],[Código NCM]],8)</f>
        <v>30049013</v>
      </c>
      <c r="D706" s="149"/>
      <c r="E706" s="150"/>
      <c r="F706" s="164" t="s">
        <v>5203</v>
      </c>
      <c r="G706" s="162">
        <v>2.1</v>
      </c>
      <c r="H706" s="162">
        <v>9.9</v>
      </c>
      <c r="I706">
        <f>IF(PisCofinsAliquot[[#This Row],[Classificação]]="Alíquota 0",6,IF(PisCofinsAliquot[[#This Row],[Classificação]]="Monofásico",4,IF(PisCofinsAliquot[[#This Row],[Classificação]]="Regra Geral",1,IF(PisCofinsAliquot[[#This Row],[Classificação]]="ST",5))))</f>
        <v>4</v>
      </c>
    </row>
    <row r="707" spans="1:9" ht="30" x14ac:dyDescent="0.25">
      <c r="A707" s="148" t="s">
        <v>2989</v>
      </c>
      <c r="B707" s="125" t="s">
        <v>2704</v>
      </c>
      <c r="C707" s="126" t="str">
        <f>RIGHT(PisCofinsAliquot[[#This Row],[Código NCM]],8)</f>
        <v>30049014</v>
      </c>
      <c r="D707" s="149"/>
      <c r="E707" s="150"/>
      <c r="F707" s="164" t="s">
        <v>5204</v>
      </c>
      <c r="G707" s="162">
        <v>2.1</v>
      </c>
      <c r="H707" s="162">
        <v>9.9</v>
      </c>
      <c r="I707">
        <f>IF(PisCofinsAliquot[[#This Row],[Classificação]]="Alíquota 0",6,IF(PisCofinsAliquot[[#This Row],[Classificação]]="Monofásico",4,IF(PisCofinsAliquot[[#This Row],[Classificação]]="Regra Geral",1,IF(PisCofinsAliquot[[#This Row],[Classificação]]="ST",5))))</f>
        <v>4</v>
      </c>
    </row>
    <row r="708" spans="1:9" ht="30" x14ac:dyDescent="0.25">
      <c r="A708" s="148" t="s">
        <v>2990</v>
      </c>
      <c r="B708" s="125" t="s">
        <v>2704</v>
      </c>
      <c r="C708" s="126" t="str">
        <f>RIGHT(PisCofinsAliquot[[#This Row],[Código NCM]],8)</f>
        <v>30049019</v>
      </c>
      <c r="D708" s="149"/>
      <c r="E708" s="150"/>
      <c r="F708" s="164" t="s">
        <v>5135</v>
      </c>
      <c r="G708" s="162">
        <v>2.1</v>
      </c>
      <c r="H708" s="162">
        <v>9.9</v>
      </c>
      <c r="I708">
        <f>IF(PisCofinsAliquot[[#This Row],[Classificação]]="Alíquota 0",6,IF(PisCofinsAliquot[[#This Row],[Classificação]]="Monofásico",4,IF(PisCofinsAliquot[[#This Row],[Classificação]]="Regra Geral",1,IF(PisCofinsAliquot[[#This Row],[Classificação]]="ST",5))))</f>
        <v>4</v>
      </c>
    </row>
    <row r="709" spans="1:9" ht="60" x14ac:dyDescent="0.25">
      <c r="A709" s="148" t="s">
        <v>2991</v>
      </c>
      <c r="B709" s="125" t="s">
        <v>2704</v>
      </c>
      <c r="C709" s="126" t="str">
        <f>RIGHT(PisCofinsAliquot[[#This Row],[Código NCM]],8)</f>
        <v>30049021</v>
      </c>
      <c r="D709" s="149"/>
      <c r="E709" s="150"/>
      <c r="F709" s="164" t="s">
        <v>5205</v>
      </c>
      <c r="G709" s="162">
        <v>2.1</v>
      </c>
      <c r="H709" s="162">
        <v>9.9</v>
      </c>
      <c r="I709">
        <f>IF(PisCofinsAliquot[[#This Row],[Classificação]]="Alíquota 0",6,IF(PisCofinsAliquot[[#This Row],[Classificação]]="Monofásico",4,IF(PisCofinsAliquot[[#This Row],[Classificação]]="Regra Geral",1,IF(PisCofinsAliquot[[#This Row],[Classificação]]="ST",5))))</f>
        <v>4</v>
      </c>
    </row>
    <row r="710" spans="1:9" ht="60" x14ac:dyDescent="0.25">
      <c r="A710" s="148" t="s">
        <v>2992</v>
      </c>
      <c r="B710" s="125" t="s">
        <v>2704</v>
      </c>
      <c r="C710" s="126" t="str">
        <f>RIGHT(PisCofinsAliquot[[#This Row],[Código NCM]],8)</f>
        <v>30049022</v>
      </c>
      <c r="D710" s="149"/>
      <c r="E710" s="150"/>
      <c r="F710" s="164" t="s">
        <v>5206</v>
      </c>
      <c r="G710" s="162">
        <v>2.1</v>
      </c>
      <c r="H710" s="162">
        <v>9.9</v>
      </c>
      <c r="I710">
        <f>IF(PisCofinsAliquot[[#This Row],[Classificação]]="Alíquota 0",6,IF(PisCofinsAliquot[[#This Row],[Classificação]]="Monofásico",4,IF(PisCofinsAliquot[[#This Row],[Classificação]]="Regra Geral",1,IF(PisCofinsAliquot[[#This Row],[Classificação]]="ST",5))))</f>
        <v>4</v>
      </c>
    </row>
    <row r="711" spans="1:9" ht="45" x14ac:dyDescent="0.25">
      <c r="A711" s="148" t="s">
        <v>2993</v>
      </c>
      <c r="B711" s="125" t="s">
        <v>2704</v>
      </c>
      <c r="C711" s="126" t="str">
        <f>RIGHT(PisCofinsAliquot[[#This Row],[Código NCM]],8)</f>
        <v>30049023</v>
      </c>
      <c r="D711" s="149"/>
      <c r="E711" s="150"/>
      <c r="F711" s="164" t="s">
        <v>5207</v>
      </c>
      <c r="G711" s="162">
        <v>2.1</v>
      </c>
      <c r="H711" s="162">
        <v>9.9</v>
      </c>
      <c r="I711">
        <f>IF(PisCofinsAliquot[[#This Row],[Classificação]]="Alíquota 0",6,IF(PisCofinsAliquot[[#This Row],[Classificação]]="Monofásico",4,IF(PisCofinsAliquot[[#This Row],[Classificação]]="Regra Geral",1,IF(PisCofinsAliquot[[#This Row],[Classificação]]="ST",5))))</f>
        <v>4</v>
      </c>
    </row>
    <row r="712" spans="1:9" ht="60" x14ac:dyDescent="0.25">
      <c r="A712" s="148" t="s">
        <v>2994</v>
      </c>
      <c r="B712" s="125" t="s">
        <v>2704</v>
      </c>
      <c r="C712" s="126" t="str">
        <f>RIGHT(PisCofinsAliquot[[#This Row],[Código NCM]],8)</f>
        <v>30049024</v>
      </c>
      <c r="D712" s="149"/>
      <c r="E712" s="150"/>
      <c r="F712" s="164" t="s">
        <v>5208</v>
      </c>
      <c r="G712" s="162">
        <v>2.1</v>
      </c>
      <c r="H712" s="162">
        <v>9.9</v>
      </c>
      <c r="I712">
        <f>IF(PisCofinsAliquot[[#This Row],[Classificação]]="Alíquota 0",6,IF(PisCofinsAliquot[[#This Row],[Classificação]]="Monofásico",4,IF(PisCofinsAliquot[[#This Row],[Classificação]]="Regra Geral",1,IF(PisCofinsAliquot[[#This Row],[Classificação]]="ST",5))))</f>
        <v>4</v>
      </c>
    </row>
    <row r="713" spans="1:9" ht="30" x14ac:dyDescent="0.25">
      <c r="A713" s="148" t="s">
        <v>2995</v>
      </c>
      <c r="B713" s="125" t="s">
        <v>2704</v>
      </c>
      <c r="C713" s="126" t="str">
        <f>RIGHT(PisCofinsAliquot[[#This Row],[Código NCM]],8)</f>
        <v>30049025</v>
      </c>
      <c r="D713" s="149"/>
      <c r="E713" s="150"/>
      <c r="F713" s="164" t="s">
        <v>5209</v>
      </c>
      <c r="G713" s="162">
        <v>2.1</v>
      </c>
      <c r="H713" s="162">
        <v>9.9</v>
      </c>
      <c r="I713">
        <f>IF(PisCofinsAliquot[[#This Row],[Classificação]]="Alíquota 0",6,IF(PisCofinsAliquot[[#This Row],[Classificação]]="Monofásico",4,IF(PisCofinsAliquot[[#This Row],[Classificação]]="Regra Geral",1,IF(PisCofinsAliquot[[#This Row],[Classificação]]="ST",5))))</f>
        <v>4</v>
      </c>
    </row>
    <row r="714" spans="1:9" ht="90" x14ac:dyDescent="0.25">
      <c r="A714" s="148" t="s">
        <v>2996</v>
      </c>
      <c r="B714" s="125" t="s">
        <v>2704</v>
      </c>
      <c r="C714" s="126" t="str">
        <f>RIGHT(PisCofinsAliquot[[#This Row],[Código NCM]],8)</f>
        <v>30049026</v>
      </c>
      <c r="D714" s="149"/>
      <c r="E714" s="150"/>
      <c r="F714" s="164" t="s">
        <v>5260</v>
      </c>
      <c r="G714" s="162">
        <v>2.1</v>
      </c>
      <c r="H714" s="162">
        <v>9.9</v>
      </c>
      <c r="I714">
        <f>IF(PisCofinsAliquot[[#This Row],[Classificação]]="Alíquota 0",6,IF(PisCofinsAliquot[[#This Row],[Classificação]]="Monofásico",4,IF(PisCofinsAliquot[[#This Row],[Classificação]]="Regra Geral",1,IF(PisCofinsAliquot[[#This Row],[Classificação]]="ST",5))))</f>
        <v>4</v>
      </c>
    </row>
    <row r="715" spans="1:9" ht="45" x14ac:dyDescent="0.25">
      <c r="A715" s="148" t="s">
        <v>2997</v>
      </c>
      <c r="B715" s="125" t="s">
        <v>2704</v>
      </c>
      <c r="C715" s="126" t="str">
        <f>RIGHT(PisCofinsAliquot[[#This Row],[Código NCM]],8)</f>
        <v>30049027</v>
      </c>
      <c r="D715" s="149"/>
      <c r="E715" s="150"/>
      <c r="F715" s="164" t="s">
        <v>5261</v>
      </c>
      <c r="G715" s="162">
        <v>2.1</v>
      </c>
      <c r="H715" s="162">
        <v>9.9</v>
      </c>
      <c r="I715">
        <f>IF(PisCofinsAliquot[[#This Row],[Classificação]]="Alíquota 0",6,IF(PisCofinsAliquot[[#This Row],[Classificação]]="Monofásico",4,IF(PisCofinsAliquot[[#This Row],[Classificação]]="Regra Geral",1,IF(PisCofinsAliquot[[#This Row],[Classificação]]="ST",5))))</f>
        <v>4</v>
      </c>
    </row>
    <row r="716" spans="1:9" ht="45" x14ac:dyDescent="0.25">
      <c r="A716" s="148" t="s">
        <v>2998</v>
      </c>
      <c r="B716" s="125" t="s">
        <v>2704</v>
      </c>
      <c r="C716" s="126" t="str">
        <f>RIGHT(PisCofinsAliquot[[#This Row],[Código NCM]],8)</f>
        <v>30049028</v>
      </c>
      <c r="D716" s="149"/>
      <c r="E716" s="150"/>
      <c r="F716" s="164" t="s">
        <v>5212</v>
      </c>
      <c r="G716" s="162">
        <v>2.1</v>
      </c>
      <c r="H716" s="162">
        <v>9.9</v>
      </c>
      <c r="I716">
        <f>IF(PisCofinsAliquot[[#This Row],[Classificação]]="Alíquota 0",6,IF(PisCofinsAliquot[[#This Row],[Classificação]]="Monofásico",4,IF(PisCofinsAliquot[[#This Row],[Classificação]]="Regra Geral",1,IF(PisCofinsAliquot[[#This Row],[Classificação]]="ST",5))))</f>
        <v>4</v>
      </c>
    </row>
    <row r="717" spans="1:9" ht="30" x14ac:dyDescent="0.25">
      <c r="A717" s="148" t="s">
        <v>2999</v>
      </c>
      <c r="B717" s="125" t="s">
        <v>2704</v>
      </c>
      <c r="C717" s="126" t="str">
        <f>RIGHT(PisCofinsAliquot[[#This Row],[Código NCM]],8)</f>
        <v>30049029</v>
      </c>
      <c r="D717" s="149"/>
      <c r="E717" s="150"/>
      <c r="F717" s="164" t="s">
        <v>5135</v>
      </c>
      <c r="G717" s="162">
        <v>2.1</v>
      </c>
      <c r="H717" s="162">
        <v>9.9</v>
      </c>
      <c r="I717">
        <f>IF(PisCofinsAliquot[[#This Row],[Classificação]]="Alíquota 0",6,IF(PisCofinsAliquot[[#This Row],[Classificação]]="Monofásico",4,IF(PisCofinsAliquot[[#This Row],[Classificação]]="Regra Geral",1,IF(PisCofinsAliquot[[#This Row],[Classificação]]="ST",5))))</f>
        <v>4</v>
      </c>
    </row>
    <row r="718" spans="1:9" ht="45" x14ac:dyDescent="0.25">
      <c r="A718" s="148" t="s">
        <v>3000</v>
      </c>
      <c r="B718" s="125" t="s">
        <v>2704</v>
      </c>
      <c r="C718" s="126" t="str">
        <f>RIGHT(PisCofinsAliquot[[#This Row],[Código NCM]],8)</f>
        <v>30049031</v>
      </c>
      <c r="D718" s="149"/>
      <c r="E718" s="150"/>
      <c r="F718" s="164" t="s">
        <v>5213</v>
      </c>
      <c r="G718" s="162">
        <v>2.1</v>
      </c>
      <c r="H718" s="162">
        <v>9.9</v>
      </c>
      <c r="I718">
        <f>IF(PisCofinsAliquot[[#This Row],[Classificação]]="Alíquota 0",6,IF(PisCofinsAliquot[[#This Row],[Classificação]]="Monofásico",4,IF(PisCofinsAliquot[[#This Row],[Classificação]]="Regra Geral",1,IF(PisCofinsAliquot[[#This Row],[Classificação]]="ST",5))))</f>
        <v>4</v>
      </c>
    </row>
    <row r="719" spans="1:9" ht="30" x14ac:dyDescent="0.25">
      <c r="A719" s="148" t="s">
        <v>3001</v>
      </c>
      <c r="B719" s="125" t="s">
        <v>2704</v>
      </c>
      <c r="C719" s="126" t="str">
        <f>RIGHT(PisCofinsAliquot[[#This Row],[Código NCM]],8)</f>
        <v>30049032</v>
      </c>
      <c r="D719" s="149"/>
      <c r="E719" s="150"/>
      <c r="F719" s="164" t="s">
        <v>5214</v>
      </c>
      <c r="G719" s="162">
        <v>2.1</v>
      </c>
      <c r="H719" s="162">
        <v>9.9</v>
      </c>
      <c r="I719">
        <f>IF(PisCofinsAliquot[[#This Row],[Classificação]]="Alíquota 0",6,IF(PisCofinsAliquot[[#This Row],[Classificação]]="Monofásico",4,IF(PisCofinsAliquot[[#This Row],[Classificação]]="Regra Geral",1,IF(PisCofinsAliquot[[#This Row],[Classificação]]="ST",5))))</f>
        <v>4</v>
      </c>
    </row>
    <row r="720" spans="1:9" ht="30" x14ac:dyDescent="0.25">
      <c r="A720" s="148" t="s">
        <v>3002</v>
      </c>
      <c r="B720" s="125" t="s">
        <v>2704</v>
      </c>
      <c r="C720" s="126" t="str">
        <f>RIGHT(PisCofinsAliquot[[#This Row],[Código NCM]],8)</f>
        <v>30049033</v>
      </c>
      <c r="D720" s="149"/>
      <c r="E720" s="150"/>
      <c r="F720" s="164" t="s">
        <v>5215</v>
      </c>
      <c r="G720" s="162">
        <v>2.1</v>
      </c>
      <c r="H720" s="162">
        <v>9.9</v>
      </c>
      <c r="I720">
        <f>IF(PisCofinsAliquot[[#This Row],[Classificação]]="Alíquota 0",6,IF(PisCofinsAliquot[[#This Row],[Classificação]]="Monofásico",4,IF(PisCofinsAliquot[[#This Row],[Classificação]]="Regra Geral",1,IF(PisCofinsAliquot[[#This Row],[Classificação]]="ST",5))))</f>
        <v>4</v>
      </c>
    </row>
    <row r="721" spans="1:9" ht="30" x14ac:dyDescent="0.25">
      <c r="A721" s="148" t="s">
        <v>3003</v>
      </c>
      <c r="B721" s="125" t="s">
        <v>2704</v>
      </c>
      <c r="C721" s="126" t="str">
        <f>RIGHT(PisCofinsAliquot[[#This Row],[Código NCM]],8)</f>
        <v>30049034</v>
      </c>
      <c r="D721" s="149"/>
      <c r="E721" s="150"/>
      <c r="F721" s="164" t="s">
        <v>5216</v>
      </c>
      <c r="G721" s="162">
        <v>2.1</v>
      </c>
      <c r="H721" s="162">
        <v>9.9</v>
      </c>
      <c r="I721">
        <f>IF(PisCofinsAliquot[[#This Row],[Classificação]]="Alíquota 0",6,IF(PisCofinsAliquot[[#This Row],[Classificação]]="Monofásico",4,IF(PisCofinsAliquot[[#This Row],[Classificação]]="Regra Geral",1,IF(PisCofinsAliquot[[#This Row],[Classificação]]="ST",5))))</f>
        <v>4</v>
      </c>
    </row>
    <row r="722" spans="1:9" ht="30" x14ac:dyDescent="0.25">
      <c r="A722" s="148" t="s">
        <v>3004</v>
      </c>
      <c r="B722" s="125" t="s">
        <v>2704</v>
      </c>
      <c r="C722" s="126" t="str">
        <f>RIGHT(PisCofinsAliquot[[#This Row],[Código NCM]],8)</f>
        <v>30049035</v>
      </c>
      <c r="D722" s="149"/>
      <c r="E722" s="150"/>
      <c r="F722" s="164" t="s">
        <v>5217</v>
      </c>
      <c r="G722" s="162">
        <v>2.1</v>
      </c>
      <c r="H722" s="162">
        <v>9.9</v>
      </c>
      <c r="I722">
        <f>IF(PisCofinsAliquot[[#This Row],[Classificação]]="Alíquota 0",6,IF(PisCofinsAliquot[[#This Row],[Classificação]]="Monofásico",4,IF(PisCofinsAliquot[[#This Row],[Classificação]]="Regra Geral",1,IF(PisCofinsAliquot[[#This Row],[Classificação]]="ST",5))))</f>
        <v>4</v>
      </c>
    </row>
    <row r="723" spans="1:9" ht="60" x14ac:dyDescent="0.25">
      <c r="A723" s="148" t="s">
        <v>3005</v>
      </c>
      <c r="B723" s="125" t="s">
        <v>2704</v>
      </c>
      <c r="C723" s="126" t="str">
        <f>RIGHT(PisCofinsAliquot[[#This Row],[Código NCM]],8)</f>
        <v>30049036</v>
      </c>
      <c r="D723" s="149"/>
      <c r="E723" s="150"/>
      <c r="F723" s="164" t="s">
        <v>5218</v>
      </c>
      <c r="G723" s="162">
        <v>2.1</v>
      </c>
      <c r="H723" s="162">
        <v>9.9</v>
      </c>
      <c r="I723">
        <f>IF(PisCofinsAliquot[[#This Row],[Classificação]]="Alíquota 0",6,IF(PisCofinsAliquot[[#This Row],[Classificação]]="Monofásico",4,IF(PisCofinsAliquot[[#This Row],[Classificação]]="Regra Geral",1,IF(PisCofinsAliquot[[#This Row],[Classificação]]="ST",5))))</f>
        <v>4</v>
      </c>
    </row>
    <row r="724" spans="1:9" ht="60" x14ac:dyDescent="0.25">
      <c r="A724" s="148" t="s">
        <v>3006</v>
      </c>
      <c r="B724" s="125" t="s">
        <v>2704</v>
      </c>
      <c r="C724" s="126" t="str">
        <f>RIGHT(PisCofinsAliquot[[#This Row],[Código NCM]],8)</f>
        <v>30049037</v>
      </c>
      <c r="D724" s="149"/>
      <c r="E724" s="150"/>
      <c r="F724" s="164" t="s">
        <v>5219</v>
      </c>
      <c r="G724" s="162">
        <v>2.1</v>
      </c>
      <c r="H724" s="162">
        <v>9.9</v>
      </c>
      <c r="I724">
        <f>IF(PisCofinsAliquot[[#This Row],[Classificação]]="Alíquota 0",6,IF(PisCofinsAliquot[[#This Row],[Classificação]]="Monofásico",4,IF(PisCofinsAliquot[[#This Row],[Classificação]]="Regra Geral",1,IF(PisCofinsAliquot[[#This Row],[Classificação]]="ST",5))))</f>
        <v>4</v>
      </c>
    </row>
    <row r="725" spans="1:9" ht="60" x14ac:dyDescent="0.25">
      <c r="A725" s="148" t="s">
        <v>3007</v>
      </c>
      <c r="B725" s="125" t="s">
        <v>2704</v>
      </c>
      <c r="C725" s="126" t="str">
        <f>RIGHT(PisCofinsAliquot[[#This Row],[Código NCM]],8)</f>
        <v>30049038</v>
      </c>
      <c r="D725" s="149"/>
      <c r="E725" s="150"/>
      <c r="F725" s="164" t="s">
        <v>5220</v>
      </c>
      <c r="G725" s="162">
        <v>2.1</v>
      </c>
      <c r="H725" s="162">
        <v>9.9</v>
      </c>
      <c r="I725">
        <f>IF(PisCofinsAliquot[[#This Row],[Classificação]]="Alíquota 0",6,IF(PisCofinsAliquot[[#This Row],[Classificação]]="Monofásico",4,IF(PisCofinsAliquot[[#This Row],[Classificação]]="Regra Geral",1,IF(PisCofinsAliquot[[#This Row],[Classificação]]="ST",5))))</f>
        <v>4</v>
      </c>
    </row>
    <row r="726" spans="1:9" ht="30" x14ac:dyDescent="0.25">
      <c r="A726" s="148" t="s">
        <v>3008</v>
      </c>
      <c r="B726" s="125" t="s">
        <v>2704</v>
      </c>
      <c r="C726" s="126" t="str">
        <f>RIGHT(PisCofinsAliquot[[#This Row],[Código NCM]],8)</f>
        <v>30049039</v>
      </c>
      <c r="D726" s="149"/>
      <c r="E726" s="150"/>
      <c r="F726" s="164" t="s">
        <v>5135</v>
      </c>
      <c r="G726" s="162">
        <v>2.1</v>
      </c>
      <c r="H726" s="162">
        <v>9.9</v>
      </c>
      <c r="I726">
        <f>IF(PisCofinsAliquot[[#This Row],[Classificação]]="Alíquota 0",6,IF(PisCofinsAliquot[[#This Row],[Classificação]]="Monofásico",4,IF(PisCofinsAliquot[[#This Row],[Classificação]]="Regra Geral",1,IF(PisCofinsAliquot[[#This Row],[Classificação]]="ST",5))))</f>
        <v>4</v>
      </c>
    </row>
    <row r="727" spans="1:9" ht="45" x14ac:dyDescent="0.25">
      <c r="A727" s="148" t="s">
        <v>3009</v>
      </c>
      <c r="B727" s="125" t="s">
        <v>2704</v>
      </c>
      <c r="C727" s="126" t="str">
        <f>RIGHT(PisCofinsAliquot[[#This Row],[Código NCM]],8)</f>
        <v>30049041</v>
      </c>
      <c r="D727" s="149"/>
      <c r="E727" s="150"/>
      <c r="F727" s="164" t="s">
        <v>5221</v>
      </c>
      <c r="G727" s="162">
        <v>2.1</v>
      </c>
      <c r="H727" s="162">
        <v>9.9</v>
      </c>
      <c r="I727">
        <f>IF(PisCofinsAliquot[[#This Row],[Classificação]]="Alíquota 0",6,IF(PisCofinsAliquot[[#This Row],[Classificação]]="Monofásico",4,IF(PisCofinsAliquot[[#This Row],[Classificação]]="Regra Geral",1,IF(PisCofinsAliquot[[#This Row],[Classificação]]="ST",5))))</f>
        <v>4</v>
      </c>
    </row>
    <row r="728" spans="1:9" ht="45" x14ac:dyDescent="0.25">
      <c r="A728" s="148" t="s">
        <v>3010</v>
      </c>
      <c r="B728" s="125" t="s">
        <v>2704</v>
      </c>
      <c r="C728" s="126" t="str">
        <f>RIGHT(PisCofinsAliquot[[#This Row],[Código NCM]],8)</f>
        <v>30049042</v>
      </c>
      <c r="D728" s="149"/>
      <c r="E728" s="150"/>
      <c r="F728" s="164" t="s">
        <v>5222</v>
      </c>
      <c r="G728" s="162">
        <v>2.1</v>
      </c>
      <c r="H728" s="162">
        <v>9.9</v>
      </c>
      <c r="I728">
        <f>IF(PisCofinsAliquot[[#This Row],[Classificação]]="Alíquota 0",6,IF(PisCofinsAliquot[[#This Row],[Classificação]]="Monofásico",4,IF(PisCofinsAliquot[[#This Row],[Classificação]]="Regra Geral",1,IF(PisCofinsAliquot[[#This Row],[Classificação]]="ST",5))))</f>
        <v>4</v>
      </c>
    </row>
    <row r="729" spans="1:9" ht="45" x14ac:dyDescent="0.25">
      <c r="A729" s="148" t="s">
        <v>3011</v>
      </c>
      <c r="B729" s="125" t="s">
        <v>2704</v>
      </c>
      <c r="C729" s="126" t="str">
        <f>RIGHT(PisCofinsAliquot[[#This Row],[Código NCM]],8)</f>
        <v>30049043</v>
      </c>
      <c r="D729" s="149"/>
      <c r="E729" s="150"/>
      <c r="F729" s="164" t="s">
        <v>5223</v>
      </c>
      <c r="G729" s="162">
        <v>2.1</v>
      </c>
      <c r="H729" s="162">
        <v>9.9</v>
      </c>
      <c r="I729">
        <f>IF(PisCofinsAliquot[[#This Row],[Classificação]]="Alíquota 0",6,IF(PisCofinsAliquot[[#This Row],[Classificação]]="Monofásico",4,IF(PisCofinsAliquot[[#This Row],[Classificação]]="Regra Geral",1,IF(PisCofinsAliquot[[#This Row],[Classificação]]="ST",5))))</f>
        <v>4</v>
      </c>
    </row>
    <row r="730" spans="1:9" ht="30" x14ac:dyDescent="0.25">
      <c r="A730" s="148" t="s">
        <v>3012</v>
      </c>
      <c r="B730" s="125" t="s">
        <v>2704</v>
      </c>
      <c r="C730" s="126" t="str">
        <f>RIGHT(PisCofinsAliquot[[#This Row],[Código NCM]],8)</f>
        <v>30049044</v>
      </c>
      <c r="D730" s="149"/>
      <c r="E730" s="150"/>
      <c r="F730" s="164" t="s">
        <v>5224</v>
      </c>
      <c r="G730" s="162">
        <v>2.1</v>
      </c>
      <c r="H730" s="162">
        <v>9.9</v>
      </c>
      <c r="I730">
        <f>IF(PisCofinsAliquot[[#This Row],[Classificação]]="Alíquota 0",6,IF(PisCofinsAliquot[[#This Row],[Classificação]]="Monofásico",4,IF(PisCofinsAliquot[[#This Row],[Classificação]]="Regra Geral",1,IF(PisCofinsAliquot[[#This Row],[Classificação]]="ST",5))))</f>
        <v>4</v>
      </c>
    </row>
    <row r="731" spans="1:9" ht="30" x14ac:dyDescent="0.25">
      <c r="A731" s="148" t="s">
        <v>3013</v>
      </c>
      <c r="B731" s="125" t="s">
        <v>2704</v>
      </c>
      <c r="C731" s="126" t="str">
        <f>RIGHT(PisCofinsAliquot[[#This Row],[Código NCM]],8)</f>
        <v>30049045</v>
      </c>
      <c r="D731" s="149"/>
      <c r="E731" s="150"/>
      <c r="F731" s="164" t="s">
        <v>5225</v>
      </c>
      <c r="G731" s="162">
        <v>2.1</v>
      </c>
      <c r="H731" s="162">
        <v>9.9</v>
      </c>
      <c r="I731">
        <f>IF(PisCofinsAliquot[[#This Row],[Classificação]]="Alíquota 0",6,IF(PisCofinsAliquot[[#This Row],[Classificação]]="Monofásico",4,IF(PisCofinsAliquot[[#This Row],[Classificação]]="Regra Geral",1,IF(PisCofinsAliquot[[#This Row],[Classificação]]="ST",5))))</f>
        <v>4</v>
      </c>
    </row>
    <row r="732" spans="1:9" ht="30" x14ac:dyDescent="0.25">
      <c r="A732" s="148" t="s">
        <v>5262</v>
      </c>
      <c r="B732" s="125" t="s">
        <v>2704</v>
      </c>
      <c r="C732" s="126" t="str">
        <f>RIGHT(PisCofinsAliquot[[#This Row],[Código NCM]],8)</f>
        <v>30049046</v>
      </c>
      <c r="D732" s="149"/>
      <c r="E732" s="150"/>
      <c r="F732" s="164" t="s">
        <v>5263</v>
      </c>
      <c r="G732" s="162"/>
      <c r="H732" s="162"/>
      <c r="I732">
        <f>IF(PisCofinsAliquot[[#This Row],[Classificação]]="Alíquota 0",6,IF(PisCofinsAliquot[[#This Row],[Classificação]]="Monofásico",4,IF(PisCofinsAliquot[[#This Row],[Classificação]]="Regra Geral",1,IF(PisCofinsAliquot[[#This Row],[Classificação]]="ST",5))))</f>
        <v>4</v>
      </c>
    </row>
    <row r="733" spans="1:9" ht="45" x14ac:dyDescent="0.25">
      <c r="A733" s="148" t="s">
        <v>3014</v>
      </c>
      <c r="B733" s="125" t="s">
        <v>2704</v>
      </c>
      <c r="C733" s="126" t="str">
        <f>RIGHT(PisCofinsAliquot[[#This Row],[Código NCM]],8)</f>
        <v>30049047</v>
      </c>
      <c r="D733" s="149"/>
      <c r="E733" s="150"/>
      <c r="F733" s="164" t="s">
        <v>5226</v>
      </c>
      <c r="G733" s="162">
        <v>2.1</v>
      </c>
      <c r="H733" s="162">
        <v>9.9</v>
      </c>
      <c r="I733">
        <f>IF(PisCofinsAliquot[[#This Row],[Classificação]]="Alíquota 0",6,IF(PisCofinsAliquot[[#This Row],[Classificação]]="Monofásico",4,IF(PisCofinsAliquot[[#This Row],[Classificação]]="Regra Geral",1,IF(PisCofinsAliquot[[#This Row],[Classificação]]="ST",5))))</f>
        <v>4</v>
      </c>
    </row>
    <row r="734" spans="1:9" ht="75" x14ac:dyDescent="0.25">
      <c r="A734" s="148" t="s">
        <v>3015</v>
      </c>
      <c r="B734" s="125" t="s">
        <v>2704</v>
      </c>
      <c r="C734" s="126" t="str">
        <f>RIGHT(PisCofinsAliquot[[#This Row],[Código NCM]],8)</f>
        <v>30049048</v>
      </c>
      <c r="D734" s="149"/>
      <c r="E734" s="150"/>
      <c r="F734" s="164" t="s">
        <v>5227</v>
      </c>
      <c r="G734" s="162">
        <v>2.1</v>
      </c>
      <c r="H734" s="162">
        <v>9.9</v>
      </c>
      <c r="I734">
        <f>IF(PisCofinsAliquot[[#This Row],[Classificação]]="Alíquota 0",6,IF(PisCofinsAliquot[[#This Row],[Classificação]]="Monofásico",4,IF(PisCofinsAliquot[[#This Row],[Classificação]]="Regra Geral",1,IF(PisCofinsAliquot[[#This Row],[Classificação]]="ST",5))))</f>
        <v>4</v>
      </c>
    </row>
    <row r="735" spans="1:9" ht="30" x14ac:dyDescent="0.25">
      <c r="A735" s="148" t="s">
        <v>3016</v>
      </c>
      <c r="B735" s="125" t="s">
        <v>2704</v>
      </c>
      <c r="C735" s="126" t="str">
        <f>RIGHT(PisCofinsAliquot[[#This Row],[Código NCM]],8)</f>
        <v>30049049</v>
      </c>
      <c r="D735" s="149"/>
      <c r="E735" s="150"/>
      <c r="F735" s="164" t="s">
        <v>5135</v>
      </c>
      <c r="G735" s="162">
        <v>2.1</v>
      </c>
      <c r="H735" s="162">
        <v>9.9</v>
      </c>
      <c r="I735">
        <f>IF(PisCofinsAliquot[[#This Row],[Classificação]]="Alíquota 0",6,IF(PisCofinsAliquot[[#This Row],[Classificação]]="Monofásico",4,IF(PisCofinsAliquot[[#This Row],[Classificação]]="Regra Geral",1,IF(PisCofinsAliquot[[#This Row],[Classificação]]="ST",5))))</f>
        <v>4</v>
      </c>
    </row>
    <row r="736" spans="1:9" ht="30" x14ac:dyDescent="0.25">
      <c r="A736" s="148" t="s">
        <v>3017</v>
      </c>
      <c r="B736" s="125" t="s">
        <v>2704</v>
      </c>
      <c r="C736" s="126" t="str">
        <f>RIGHT(PisCofinsAliquot[[#This Row],[Código NCM]],8)</f>
        <v>30049051</v>
      </c>
      <c r="D736" s="149"/>
      <c r="E736" s="150"/>
      <c r="F736" s="164" t="s">
        <v>5228</v>
      </c>
      <c r="G736" s="162">
        <v>2.1</v>
      </c>
      <c r="H736" s="162">
        <v>9.9</v>
      </c>
      <c r="I736">
        <f>IF(PisCofinsAliquot[[#This Row],[Classificação]]="Alíquota 0",6,IF(PisCofinsAliquot[[#This Row],[Classificação]]="Monofásico",4,IF(PisCofinsAliquot[[#This Row],[Classificação]]="Regra Geral",1,IF(PisCofinsAliquot[[#This Row],[Classificação]]="ST",5))))</f>
        <v>4</v>
      </c>
    </row>
    <row r="737" spans="1:9" ht="30" x14ac:dyDescent="0.25">
      <c r="A737" s="148" t="s">
        <v>3018</v>
      </c>
      <c r="B737" s="125" t="s">
        <v>2704</v>
      </c>
      <c r="C737" s="126" t="str">
        <f>RIGHT(PisCofinsAliquot[[#This Row],[Código NCM]],8)</f>
        <v>30049052</v>
      </c>
      <c r="D737" s="149"/>
      <c r="E737" s="150"/>
      <c r="F737" s="164" t="s">
        <v>5229</v>
      </c>
      <c r="G737" s="162">
        <v>2.1</v>
      </c>
      <c r="H737" s="162">
        <v>9.9</v>
      </c>
      <c r="I737">
        <f>IF(PisCofinsAliquot[[#This Row],[Classificação]]="Alíquota 0",6,IF(PisCofinsAliquot[[#This Row],[Classificação]]="Monofásico",4,IF(PisCofinsAliquot[[#This Row],[Classificação]]="Regra Geral",1,IF(PisCofinsAliquot[[#This Row],[Classificação]]="ST",5))))</f>
        <v>4</v>
      </c>
    </row>
    <row r="738" spans="1:9" ht="30" x14ac:dyDescent="0.25">
      <c r="A738" s="148" t="s">
        <v>3019</v>
      </c>
      <c r="B738" s="125" t="s">
        <v>2704</v>
      </c>
      <c r="C738" s="126" t="str">
        <f>RIGHT(PisCofinsAliquot[[#This Row],[Código NCM]],8)</f>
        <v>30049053</v>
      </c>
      <c r="D738" s="149"/>
      <c r="E738" s="150"/>
      <c r="F738" s="164" t="s">
        <v>5230</v>
      </c>
      <c r="G738" s="162">
        <v>2.1</v>
      </c>
      <c r="H738" s="162">
        <v>9.9</v>
      </c>
      <c r="I738">
        <f>IF(PisCofinsAliquot[[#This Row],[Classificação]]="Alíquota 0",6,IF(PisCofinsAliquot[[#This Row],[Classificação]]="Monofásico",4,IF(PisCofinsAliquot[[#This Row],[Classificação]]="Regra Geral",1,IF(PisCofinsAliquot[[#This Row],[Classificação]]="ST",5))))</f>
        <v>4</v>
      </c>
    </row>
    <row r="739" spans="1:9" ht="30" x14ac:dyDescent="0.25">
      <c r="A739" s="148" t="s">
        <v>3020</v>
      </c>
      <c r="B739" s="125" t="s">
        <v>2704</v>
      </c>
      <c r="C739" s="126" t="str">
        <f>RIGHT(PisCofinsAliquot[[#This Row],[Código NCM]],8)</f>
        <v>30049054</v>
      </c>
      <c r="D739" s="149"/>
      <c r="E739" s="150"/>
      <c r="F739" s="164" t="s">
        <v>5231</v>
      </c>
      <c r="G739" s="162">
        <v>2.1</v>
      </c>
      <c r="H739" s="162">
        <v>9.9</v>
      </c>
      <c r="I739">
        <f>IF(PisCofinsAliquot[[#This Row],[Classificação]]="Alíquota 0",6,IF(PisCofinsAliquot[[#This Row],[Classificação]]="Monofásico",4,IF(PisCofinsAliquot[[#This Row],[Classificação]]="Regra Geral",1,IF(PisCofinsAliquot[[#This Row],[Classificação]]="ST",5))))</f>
        <v>4</v>
      </c>
    </row>
    <row r="740" spans="1:9" ht="30" x14ac:dyDescent="0.25">
      <c r="A740" s="148" t="s">
        <v>3021</v>
      </c>
      <c r="B740" s="125" t="s">
        <v>2704</v>
      </c>
      <c r="C740" s="126" t="str">
        <f>RIGHT(PisCofinsAliquot[[#This Row],[Código NCM]],8)</f>
        <v>30049055</v>
      </c>
      <c r="D740" s="149"/>
      <c r="E740" s="150"/>
      <c r="F740" s="164" t="s">
        <v>5232</v>
      </c>
      <c r="G740" s="162">
        <v>2.1</v>
      </c>
      <c r="H740" s="162">
        <v>9.9</v>
      </c>
      <c r="I740">
        <f>IF(PisCofinsAliquot[[#This Row],[Classificação]]="Alíquota 0",6,IF(PisCofinsAliquot[[#This Row],[Classificação]]="Monofásico",4,IF(PisCofinsAliquot[[#This Row],[Classificação]]="Regra Geral",1,IF(PisCofinsAliquot[[#This Row],[Classificação]]="ST",5))))</f>
        <v>4</v>
      </c>
    </row>
    <row r="741" spans="1:9" ht="30" x14ac:dyDescent="0.25">
      <c r="A741" s="148" t="s">
        <v>3022</v>
      </c>
      <c r="B741" s="125" t="s">
        <v>2704</v>
      </c>
      <c r="C741" s="126" t="str">
        <f>RIGHT(PisCofinsAliquot[[#This Row],[Código NCM]],8)</f>
        <v>30049057</v>
      </c>
      <c r="D741" s="149"/>
      <c r="E741" s="150"/>
      <c r="F741" s="164" t="s">
        <v>5234</v>
      </c>
      <c r="G741" s="162">
        <v>2.1</v>
      </c>
      <c r="H741" s="162">
        <v>9.9</v>
      </c>
      <c r="I741">
        <f>IF(PisCofinsAliquot[[#This Row],[Classificação]]="Alíquota 0",6,IF(PisCofinsAliquot[[#This Row],[Classificação]]="Monofásico",4,IF(PisCofinsAliquot[[#This Row],[Classificação]]="Regra Geral",1,IF(PisCofinsAliquot[[#This Row],[Classificação]]="ST",5))))</f>
        <v>4</v>
      </c>
    </row>
    <row r="742" spans="1:9" ht="60" x14ac:dyDescent="0.25">
      <c r="A742" s="148" t="s">
        <v>3023</v>
      </c>
      <c r="B742" s="125" t="s">
        <v>2704</v>
      </c>
      <c r="C742" s="126" t="str">
        <f>RIGHT(PisCofinsAliquot[[#This Row],[Código NCM]],8)</f>
        <v>30049058</v>
      </c>
      <c r="D742" s="149"/>
      <c r="E742" s="150"/>
      <c r="F742" s="164" t="s">
        <v>5233</v>
      </c>
      <c r="G742" s="162">
        <v>2.1</v>
      </c>
      <c r="H742" s="162">
        <v>9.9</v>
      </c>
      <c r="I742">
        <f>IF(PisCofinsAliquot[[#This Row],[Classificação]]="Alíquota 0",6,IF(PisCofinsAliquot[[#This Row],[Classificação]]="Monofásico",4,IF(PisCofinsAliquot[[#This Row],[Classificação]]="Regra Geral",1,IF(PisCofinsAliquot[[#This Row],[Classificação]]="ST",5))))</f>
        <v>4</v>
      </c>
    </row>
    <row r="743" spans="1:9" ht="30" x14ac:dyDescent="0.25">
      <c r="A743" s="148" t="s">
        <v>3024</v>
      </c>
      <c r="B743" s="125" t="s">
        <v>2704</v>
      </c>
      <c r="C743" s="126" t="str">
        <f>RIGHT(PisCofinsAliquot[[#This Row],[Código NCM]],8)</f>
        <v>30049059</v>
      </c>
      <c r="D743" s="149"/>
      <c r="E743" s="150"/>
      <c r="F743" s="164" t="s">
        <v>5135</v>
      </c>
      <c r="G743" s="162">
        <v>2.1</v>
      </c>
      <c r="H743" s="162">
        <v>9.9</v>
      </c>
      <c r="I743">
        <f>IF(PisCofinsAliquot[[#This Row],[Classificação]]="Alíquota 0",6,IF(PisCofinsAliquot[[#This Row],[Classificação]]="Monofásico",4,IF(PisCofinsAliquot[[#This Row],[Classificação]]="Regra Geral",1,IF(PisCofinsAliquot[[#This Row],[Classificação]]="ST",5))))</f>
        <v>4</v>
      </c>
    </row>
    <row r="744" spans="1:9" ht="120" x14ac:dyDescent="0.25">
      <c r="A744" s="148" t="s">
        <v>3025</v>
      </c>
      <c r="B744" s="125" t="s">
        <v>2704</v>
      </c>
      <c r="C744" s="126" t="str">
        <f>RIGHT(PisCofinsAliquot[[#This Row],[Código NCM]],8)</f>
        <v>30049061</v>
      </c>
      <c r="D744" s="149"/>
      <c r="E744" s="150"/>
      <c r="F744" s="164" t="s">
        <v>5235</v>
      </c>
      <c r="G744" s="162">
        <v>2.1</v>
      </c>
      <c r="H744" s="162">
        <v>9.9</v>
      </c>
      <c r="I744">
        <f>IF(PisCofinsAliquot[[#This Row],[Classificação]]="Alíquota 0",6,IF(PisCofinsAliquot[[#This Row],[Classificação]]="Monofásico",4,IF(PisCofinsAliquot[[#This Row],[Classificação]]="Regra Geral",1,IF(PisCofinsAliquot[[#This Row],[Classificação]]="ST",5))))</f>
        <v>4</v>
      </c>
    </row>
    <row r="745" spans="1:9" ht="75" x14ac:dyDescent="0.25">
      <c r="A745" s="148" t="s">
        <v>3026</v>
      </c>
      <c r="B745" s="125" t="s">
        <v>2704</v>
      </c>
      <c r="C745" s="126" t="str">
        <f>RIGHT(PisCofinsAliquot[[#This Row],[Código NCM]],8)</f>
        <v>30049062</v>
      </c>
      <c r="D745" s="149"/>
      <c r="E745" s="150"/>
      <c r="F745" s="164" t="s">
        <v>5264</v>
      </c>
      <c r="G745" s="162">
        <v>2.1</v>
      </c>
      <c r="H745" s="162">
        <v>9.9</v>
      </c>
      <c r="I745">
        <f>IF(PisCofinsAliquot[[#This Row],[Classificação]]="Alíquota 0",6,IF(PisCofinsAliquot[[#This Row],[Classificação]]="Monofásico",4,IF(PisCofinsAliquot[[#This Row],[Classificação]]="Regra Geral",1,IF(PisCofinsAliquot[[#This Row],[Classificação]]="ST",5))))</f>
        <v>4</v>
      </c>
    </row>
    <row r="746" spans="1:9" ht="75" x14ac:dyDescent="0.25">
      <c r="A746" s="148" t="s">
        <v>3027</v>
      </c>
      <c r="B746" s="125" t="s">
        <v>2704</v>
      </c>
      <c r="C746" s="126" t="str">
        <f>RIGHT(PisCofinsAliquot[[#This Row],[Código NCM]],8)</f>
        <v>30049063</v>
      </c>
      <c r="D746" s="149"/>
      <c r="E746" s="150"/>
      <c r="F746" s="164" t="s">
        <v>5237</v>
      </c>
      <c r="G746" s="162">
        <v>2.1</v>
      </c>
      <c r="H746" s="162">
        <v>9.9</v>
      </c>
      <c r="I746">
        <f>IF(PisCofinsAliquot[[#This Row],[Classificação]]="Alíquota 0",6,IF(PisCofinsAliquot[[#This Row],[Classificação]]="Monofásico",4,IF(PisCofinsAliquot[[#This Row],[Classificação]]="Regra Geral",1,IF(PisCofinsAliquot[[#This Row],[Classificação]]="ST",5))))</f>
        <v>4</v>
      </c>
    </row>
    <row r="747" spans="1:9" ht="75" x14ac:dyDescent="0.25">
      <c r="A747" s="148" t="s">
        <v>3028</v>
      </c>
      <c r="B747" s="125" t="s">
        <v>2704</v>
      </c>
      <c r="C747" s="126" t="str">
        <f>RIGHT(PisCofinsAliquot[[#This Row],[Código NCM]],8)</f>
        <v>30049064</v>
      </c>
      <c r="D747" s="149"/>
      <c r="E747" s="150"/>
      <c r="F747" s="164" t="s">
        <v>5238</v>
      </c>
      <c r="G747" s="162">
        <v>2.1</v>
      </c>
      <c r="H747" s="162">
        <v>9.9</v>
      </c>
      <c r="I747">
        <f>IF(PisCofinsAliquot[[#This Row],[Classificação]]="Alíquota 0",6,IF(PisCofinsAliquot[[#This Row],[Classificação]]="Monofásico",4,IF(PisCofinsAliquot[[#This Row],[Classificação]]="Regra Geral",1,IF(PisCofinsAliquot[[#This Row],[Classificação]]="ST",5))))</f>
        <v>4</v>
      </c>
    </row>
    <row r="748" spans="1:9" ht="60" x14ac:dyDescent="0.25">
      <c r="A748" s="148" t="s">
        <v>3029</v>
      </c>
      <c r="B748" s="125" t="s">
        <v>2704</v>
      </c>
      <c r="C748" s="126" t="str">
        <f>RIGHT(PisCofinsAliquot[[#This Row],[Código NCM]],8)</f>
        <v>30049065</v>
      </c>
      <c r="D748" s="149"/>
      <c r="E748" s="150"/>
      <c r="F748" s="164" t="s">
        <v>5239</v>
      </c>
      <c r="G748" s="162">
        <v>2.1</v>
      </c>
      <c r="H748" s="162">
        <v>9.9</v>
      </c>
      <c r="I748">
        <f>IF(PisCofinsAliquot[[#This Row],[Classificação]]="Alíquota 0",6,IF(PisCofinsAliquot[[#This Row],[Classificação]]="Monofásico",4,IF(PisCofinsAliquot[[#This Row],[Classificação]]="Regra Geral",1,IF(PisCofinsAliquot[[#This Row],[Classificação]]="ST",5))))</f>
        <v>4</v>
      </c>
    </row>
    <row r="749" spans="1:9" ht="90" x14ac:dyDescent="0.25">
      <c r="A749" s="148" t="s">
        <v>3030</v>
      </c>
      <c r="B749" s="125" t="s">
        <v>2704</v>
      </c>
      <c r="C749" s="126" t="str">
        <f>RIGHT(PisCofinsAliquot[[#This Row],[Código NCM]],8)</f>
        <v>30049066</v>
      </c>
      <c r="D749" s="149"/>
      <c r="E749" s="150"/>
      <c r="F749" s="164" t="s">
        <v>5240</v>
      </c>
      <c r="G749" s="162">
        <v>2.1</v>
      </c>
      <c r="H749" s="162">
        <v>9.9</v>
      </c>
      <c r="I749">
        <f>IF(PisCofinsAliquot[[#This Row],[Classificação]]="Alíquota 0",6,IF(PisCofinsAliquot[[#This Row],[Classificação]]="Monofásico",4,IF(PisCofinsAliquot[[#This Row],[Classificação]]="Regra Geral",1,IF(PisCofinsAliquot[[#This Row],[Classificação]]="ST",5))))</f>
        <v>4</v>
      </c>
    </row>
    <row r="750" spans="1:9" ht="75" x14ac:dyDescent="0.25">
      <c r="A750" s="148" t="s">
        <v>3031</v>
      </c>
      <c r="B750" s="125" t="s">
        <v>2704</v>
      </c>
      <c r="C750" s="126" t="str">
        <f>RIGHT(PisCofinsAliquot[[#This Row],[Código NCM]],8)</f>
        <v>30049067</v>
      </c>
      <c r="D750" s="149"/>
      <c r="E750" s="150"/>
      <c r="F750" s="164" t="s">
        <v>5241</v>
      </c>
      <c r="G750" s="162">
        <v>2.1</v>
      </c>
      <c r="H750" s="162">
        <v>9.9</v>
      </c>
      <c r="I750">
        <f>IF(PisCofinsAliquot[[#This Row],[Classificação]]="Alíquota 0",6,IF(PisCofinsAliquot[[#This Row],[Classificação]]="Monofásico",4,IF(PisCofinsAliquot[[#This Row],[Classificação]]="Regra Geral",1,IF(PisCofinsAliquot[[#This Row],[Classificação]]="ST",5))))</f>
        <v>4</v>
      </c>
    </row>
    <row r="751" spans="1:9" ht="240" x14ac:dyDescent="0.25">
      <c r="A751" s="148" t="s">
        <v>3032</v>
      </c>
      <c r="B751" s="125" t="s">
        <v>2704</v>
      </c>
      <c r="C751" s="126" t="str">
        <f>RIGHT(PisCofinsAliquot[[#This Row],[Código NCM]],8)</f>
        <v>30049068</v>
      </c>
      <c r="D751" s="149"/>
      <c r="E751" s="150"/>
      <c r="F751" s="164" t="s">
        <v>5242</v>
      </c>
      <c r="G751" s="162">
        <v>2.1</v>
      </c>
      <c r="H751" s="162">
        <v>9.9</v>
      </c>
      <c r="I751">
        <f>IF(PisCofinsAliquot[[#This Row],[Classificação]]="Alíquota 0",6,IF(PisCofinsAliquot[[#This Row],[Classificação]]="Monofásico",4,IF(PisCofinsAliquot[[#This Row],[Classificação]]="Regra Geral",1,IF(PisCofinsAliquot[[#This Row],[Classificação]]="ST",5))))</f>
        <v>4</v>
      </c>
    </row>
    <row r="752" spans="1:9" ht="30" x14ac:dyDescent="0.25">
      <c r="A752" s="148" t="s">
        <v>3033</v>
      </c>
      <c r="B752" s="125" t="s">
        <v>2704</v>
      </c>
      <c r="C752" s="126" t="str">
        <f>RIGHT(PisCofinsAliquot[[#This Row],[Código NCM]],8)</f>
        <v>30049069</v>
      </c>
      <c r="D752" s="149"/>
      <c r="E752" s="150"/>
      <c r="F752" s="164" t="s">
        <v>5135</v>
      </c>
      <c r="G752" s="162">
        <v>2.1</v>
      </c>
      <c r="H752" s="162">
        <v>9.9</v>
      </c>
      <c r="I752">
        <f>IF(PisCofinsAliquot[[#This Row],[Classificação]]="Alíquota 0",6,IF(PisCofinsAliquot[[#This Row],[Classificação]]="Monofásico",4,IF(PisCofinsAliquot[[#This Row],[Classificação]]="Regra Geral",1,IF(PisCofinsAliquot[[#This Row],[Classificação]]="ST",5))))</f>
        <v>4</v>
      </c>
    </row>
    <row r="753" spans="1:9" ht="45" x14ac:dyDescent="0.25">
      <c r="A753" s="148" t="s">
        <v>3034</v>
      </c>
      <c r="B753" s="125" t="s">
        <v>2704</v>
      </c>
      <c r="C753" s="126" t="str">
        <f>RIGHT(PisCofinsAliquot[[#This Row],[Código NCM]],8)</f>
        <v>30049071</v>
      </c>
      <c r="D753" s="149"/>
      <c r="E753" s="150"/>
      <c r="F753" s="164" t="s">
        <v>5243</v>
      </c>
      <c r="G753" s="162">
        <v>2.1</v>
      </c>
      <c r="H753" s="162">
        <v>9.9</v>
      </c>
      <c r="I753">
        <f>IF(PisCofinsAliquot[[#This Row],[Classificação]]="Alíquota 0",6,IF(PisCofinsAliquot[[#This Row],[Classificação]]="Monofásico",4,IF(PisCofinsAliquot[[#This Row],[Classificação]]="Regra Geral",1,IF(PisCofinsAliquot[[#This Row],[Classificação]]="ST",5))))</f>
        <v>4</v>
      </c>
    </row>
    <row r="754" spans="1:9" ht="45" x14ac:dyDescent="0.25">
      <c r="A754" s="148" t="s">
        <v>3035</v>
      </c>
      <c r="B754" s="125" t="s">
        <v>2704</v>
      </c>
      <c r="C754" s="126" t="str">
        <f>RIGHT(PisCofinsAliquot[[#This Row],[Código NCM]],8)</f>
        <v>30049072</v>
      </c>
      <c r="D754" s="149"/>
      <c r="E754" s="150"/>
      <c r="F754" s="164" t="s">
        <v>5244</v>
      </c>
      <c r="G754" s="162">
        <v>2.1</v>
      </c>
      <c r="H754" s="162">
        <v>9.9</v>
      </c>
      <c r="I754">
        <f>IF(PisCofinsAliquot[[#This Row],[Classificação]]="Alíquota 0",6,IF(PisCofinsAliquot[[#This Row],[Classificação]]="Monofásico",4,IF(PisCofinsAliquot[[#This Row],[Classificação]]="Regra Geral",1,IF(PisCofinsAliquot[[#This Row],[Classificação]]="ST",5))))</f>
        <v>4</v>
      </c>
    </row>
    <row r="755" spans="1:9" ht="45" x14ac:dyDescent="0.25">
      <c r="A755" s="148" t="s">
        <v>3036</v>
      </c>
      <c r="B755" s="125" t="s">
        <v>2704</v>
      </c>
      <c r="C755" s="126" t="str">
        <f>RIGHT(PisCofinsAliquot[[#This Row],[Código NCM]],8)</f>
        <v>30049073</v>
      </c>
      <c r="D755" s="149"/>
      <c r="E755" s="150"/>
      <c r="F755" s="164" t="s">
        <v>5245</v>
      </c>
      <c r="G755" s="162">
        <v>2.1</v>
      </c>
      <c r="H755" s="162">
        <v>9.9</v>
      </c>
      <c r="I755">
        <f>IF(PisCofinsAliquot[[#This Row],[Classificação]]="Alíquota 0",6,IF(PisCofinsAliquot[[#This Row],[Classificação]]="Monofásico",4,IF(PisCofinsAliquot[[#This Row],[Classificação]]="Regra Geral",1,IF(PisCofinsAliquot[[#This Row],[Classificação]]="ST",5))))</f>
        <v>4</v>
      </c>
    </row>
    <row r="756" spans="1:9" ht="30" x14ac:dyDescent="0.25">
      <c r="A756" s="148" t="s">
        <v>3037</v>
      </c>
      <c r="B756" s="125" t="s">
        <v>2704</v>
      </c>
      <c r="C756" s="126" t="str">
        <f>RIGHT(PisCofinsAliquot[[#This Row],[Código NCM]],8)</f>
        <v>30049074</v>
      </c>
      <c r="D756" s="149"/>
      <c r="E756" s="150"/>
      <c r="F756" s="164" t="s">
        <v>5246</v>
      </c>
      <c r="G756" s="162">
        <v>2.1</v>
      </c>
      <c r="H756" s="162">
        <v>9.9</v>
      </c>
      <c r="I756">
        <f>IF(PisCofinsAliquot[[#This Row],[Classificação]]="Alíquota 0",6,IF(PisCofinsAliquot[[#This Row],[Classificação]]="Monofásico",4,IF(PisCofinsAliquot[[#This Row],[Classificação]]="Regra Geral",1,IF(PisCofinsAliquot[[#This Row],[Classificação]]="ST",5))))</f>
        <v>4</v>
      </c>
    </row>
    <row r="757" spans="1:9" ht="60" x14ac:dyDescent="0.25">
      <c r="A757" s="148" t="s">
        <v>3038</v>
      </c>
      <c r="B757" s="125" t="s">
        <v>2704</v>
      </c>
      <c r="C757" s="126" t="str">
        <f>RIGHT(PisCofinsAliquot[[#This Row],[Código NCM]],8)</f>
        <v>30049075</v>
      </c>
      <c r="D757" s="149"/>
      <c r="E757" s="150"/>
      <c r="F757" s="164" t="s">
        <v>5247</v>
      </c>
      <c r="G757" s="162">
        <v>2.1</v>
      </c>
      <c r="H757" s="162">
        <v>9.9</v>
      </c>
      <c r="I757">
        <f>IF(PisCofinsAliquot[[#This Row],[Classificação]]="Alíquota 0",6,IF(PisCofinsAliquot[[#This Row],[Classificação]]="Monofásico",4,IF(PisCofinsAliquot[[#This Row],[Classificação]]="Regra Geral",1,IF(PisCofinsAliquot[[#This Row],[Classificação]]="ST",5))))</f>
        <v>4</v>
      </c>
    </row>
    <row r="758" spans="1:9" ht="30" x14ac:dyDescent="0.25">
      <c r="A758" s="148" t="s">
        <v>3039</v>
      </c>
      <c r="B758" s="125" t="s">
        <v>2704</v>
      </c>
      <c r="C758" s="126" t="str">
        <f>RIGHT(PisCofinsAliquot[[#This Row],[Código NCM]],8)</f>
        <v>30049076</v>
      </c>
      <c r="D758" s="149"/>
      <c r="E758" s="150"/>
      <c r="F758" s="164" t="s">
        <v>5248</v>
      </c>
      <c r="G758" s="162">
        <v>2.1</v>
      </c>
      <c r="H758" s="162">
        <v>9.9</v>
      </c>
      <c r="I758">
        <f>IF(PisCofinsAliquot[[#This Row],[Classificação]]="Alíquota 0",6,IF(PisCofinsAliquot[[#This Row],[Classificação]]="Monofásico",4,IF(PisCofinsAliquot[[#This Row],[Classificação]]="Regra Geral",1,IF(PisCofinsAliquot[[#This Row],[Classificação]]="ST",5))))</f>
        <v>4</v>
      </c>
    </row>
    <row r="759" spans="1:9" ht="45" x14ac:dyDescent="0.25">
      <c r="A759" s="148" t="s">
        <v>3040</v>
      </c>
      <c r="B759" s="125" t="s">
        <v>2704</v>
      </c>
      <c r="C759" s="126" t="str">
        <f>RIGHT(PisCofinsAliquot[[#This Row],[Código NCM]],8)</f>
        <v>30049077</v>
      </c>
      <c r="D759" s="149"/>
      <c r="E759" s="150"/>
      <c r="F759" s="164" t="s">
        <v>5249</v>
      </c>
      <c r="G759" s="162">
        <v>2.1</v>
      </c>
      <c r="H759" s="162">
        <v>9.9</v>
      </c>
      <c r="I759">
        <f>IF(PisCofinsAliquot[[#This Row],[Classificação]]="Alíquota 0",6,IF(PisCofinsAliquot[[#This Row],[Classificação]]="Monofásico",4,IF(PisCofinsAliquot[[#This Row],[Classificação]]="Regra Geral",1,IF(PisCofinsAliquot[[#This Row],[Classificação]]="ST",5))))</f>
        <v>4</v>
      </c>
    </row>
    <row r="760" spans="1:9" ht="180" x14ac:dyDescent="0.25">
      <c r="A760" s="148" t="s">
        <v>3041</v>
      </c>
      <c r="B760" s="125" t="s">
        <v>2704</v>
      </c>
      <c r="C760" s="126" t="str">
        <f>RIGHT(PisCofinsAliquot[[#This Row],[Código NCM]],8)</f>
        <v>30049078</v>
      </c>
      <c r="D760" s="149"/>
      <c r="E760" s="150"/>
      <c r="F760" s="164" t="s">
        <v>5265</v>
      </c>
      <c r="G760" s="162">
        <v>2.1</v>
      </c>
      <c r="H760" s="162">
        <v>9.9</v>
      </c>
      <c r="I760">
        <f>IF(PisCofinsAliquot[[#This Row],[Classificação]]="Alíquota 0",6,IF(PisCofinsAliquot[[#This Row],[Classificação]]="Monofásico",4,IF(PisCofinsAliquot[[#This Row],[Classificação]]="Regra Geral",1,IF(PisCofinsAliquot[[#This Row],[Classificação]]="ST",5))))</f>
        <v>4</v>
      </c>
    </row>
    <row r="761" spans="1:9" ht="30" x14ac:dyDescent="0.25">
      <c r="A761" s="148" t="s">
        <v>3042</v>
      </c>
      <c r="B761" s="125" t="s">
        <v>2704</v>
      </c>
      <c r="C761" s="126" t="str">
        <f>RIGHT(PisCofinsAliquot[[#This Row],[Código NCM]],8)</f>
        <v>30049079</v>
      </c>
      <c r="D761" s="149"/>
      <c r="E761" s="150"/>
      <c r="F761" s="164" t="s">
        <v>5135</v>
      </c>
      <c r="G761" s="162">
        <v>2.1</v>
      </c>
      <c r="H761" s="162">
        <v>9.9</v>
      </c>
      <c r="I761">
        <f>IF(PisCofinsAliquot[[#This Row],[Classificação]]="Alíquota 0",6,IF(PisCofinsAliquot[[#This Row],[Classificação]]="Monofásico",4,IF(PisCofinsAliquot[[#This Row],[Classificação]]="Regra Geral",1,IF(PisCofinsAliquot[[#This Row],[Classificação]]="ST",5))))</f>
        <v>4</v>
      </c>
    </row>
    <row r="762" spans="1:9" ht="30" x14ac:dyDescent="0.25">
      <c r="A762" s="148" t="s">
        <v>3043</v>
      </c>
      <c r="B762" s="125" t="s">
        <v>2704</v>
      </c>
      <c r="C762" s="126" t="str">
        <f>RIGHT(PisCofinsAliquot[[#This Row],[Código NCM]],8)</f>
        <v>30049091</v>
      </c>
      <c r="D762" s="149"/>
      <c r="E762" s="150"/>
      <c r="F762" s="164" t="s">
        <v>5251</v>
      </c>
      <c r="G762" s="162">
        <v>2.1</v>
      </c>
      <c r="H762" s="162">
        <v>9.9</v>
      </c>
      <c r="I762">
        <f>IF(PisCofinsAliquot[[#This Row],[Classificação]]="Alíquota 0",6,IF(PisCofinsAliquot[[#This Row],[Classificação]]="Monofásico",4,IF(PisCofinsAliquot[[#This Row],[Classificação]]="Regra Geral",1,IF(PisCofinsAliquot[[#This Row],[Classificação]]="ST",5))))</f>
        <v>4</v>
      </c>
    </row>
    <row r="763" spans="1:9" ht="30" x14ac:dyDescent="0.25">
      <c r="A763" s="148" t="s">
        <v>3044</v>
      </c>
      <c r="B763" s="125" t="s">
        <v>2704</v>
      </c>
      <c r="C763" s="126" t="str">
        <f>RIGHT(PisCofinsAliquot[[#This Row],[Código NCM]],8)</f>
        <v>30049092</v>
      </c>
      <c r="D763" s="149"/>
      <c r="E763" s="150"/>
      <c r="F763" s="164" t="s">
        <v>5252</v>
      </c>
      <c r="G763" s="162">
        <v>2.1</v>
      </c>
      <c r="H763" s="162">
        <v>9.9</v>
      </c>
      <c r="I763">
        <f>IF(PisCofinsAliquot[[#This Row],[Classificação]]="Alíquota 0",6,IF(PisCofinsAliquot[[#This Row],[Classificação]]="Monofásico",4,IF(PisCofinsAliquot[[#This Row],[Classificação]]="Regra Geral",1,IF(PisCofinsAliquot[[#This Row],[Classificação]]="ST",5))))</f>
        <v>4</v>
      </c>
    </row>
    <row r="764" spans="1:9" ht="30" x14ac:dyDescent="0.25">
      <c r="A764" s="148" t="s">
        <v>3045</v>
      </c>
      <c r="B764" s="125" t="s">
        <v>2704</v>
      </c>
      <c r="C764" s="126" t="str">
        <f>RIGHT(PisCofinsAliquot[[#This Row],[Código NCM]],8)</f>
        <v>30049093</v>
      </c>
      <c r="D764" s="149"/>
      <c r="E764" s="150"/>
      <c r="F764" s="164" t="s">
        <v>5253</v>
      </c>
      <c r="G764" s="162">
        <v>2.1</v>
      </c>
      <c r="H764" s="162">
        <v>9.9</v>
      </c>
      <c r="I764">
        <f>IF(PisCofinsAliquot[[#This Row],[Classificação]]="Alíquota 0",6,IF(PisCofinsAliquot[[#This Row],[Classificação]]="Monofásico",4,IF(PisCofinsAliquot[[#This Row],[Classificação]]="Regra Geral",1,IF(PisCofinsAliquot[[#This Row],[Classificação]]="ST",5))))</f>
        <v>4</v>
      </c>
    </row>
    <row r="765" spans="1:9" ht="30" x14ac:dyDescent="0.25">
      <c r="A765" s="148" t="s">
        <v>3046</v>
      </c>
      <c r="B765" s="125" t="s">
        <v>2704</v>
      </c>
      <c r="C765" s="126" t="str">
        <f>RIGHT(PisCofinsAliquot[[#This Row],[Código NCM]],8)</f>
        <v>30049094</v>
      </c>
      <c r="D765" s="149"/>
      <c r="E765" s="150"/>
      <c r="F765" s="164" t="s">
        <v>5254</v>
      </c>
      <c r="G765" s="162">
        <v>2.1</v>
      </c>
      <c r="H765" s="162">
        <v>9.9</v>
      </c>
      <c r="I765">
        <f>IF(PisCofinsAliquot[[#This Row],[Classificação]]="Alíquota 0",6,IF(PisCofinsAliquot[[#This Row],[Classificação]]="Monofásico",4,IF(PisCofinsAliquot[[#This Row],[Classificação]]="Regra Geral",1,IF(PisCofinsAliquot[[#This Row],[Classificação]]="ST",5))))</f>
        <v>4</v>
      </c>
    </row>
    <row r="766" spans="1:9" ht="150" x14ac:dyDescent="0.25">
      <c r="A766" s="148" t="s">
        <v>3047</v>
      </c>
      <c r="B766" s="125" t="s">
        <v>2704</v>
      </c>
      <c r="C766" s="126" t="str">
        <f>RIGHT(PisCofinsAliquot[[#This Row],[Código NCM]],8)</f>
        <v>30049095</v>
      </c>
      <c r="D766" s="149"/>
      <c r="E766" s="150"/>
      <c r="F766" s="164" t="s">
        <v>5255</v>
      </c>
      <c r="G766" s="162">
        <v>2.1</v>
      </c>
      <c r="H766" s="162">
        <v>9.9</v>
      </c>
      <c r="I766">
        <f>IF(PisCofinsAliquot[[#This Row],[Classificação]]="Alíquota 0",6,IF(PisCofinsAliquot[[#This Row],[Classificação]]="Monofásico",4,IF(PisCofinsAliquot[[#This Row],[Classificação]]="Regra Geral",1,IF(PisCofinsAliquot[[#This Row],[Classificação]]="ST",5))))</f>
        <v>4</v>
      </c>
    </row>
    <row r="767" spans="1:9" ht="30" x14ac:dyDescent="0.25">
      <c r="A767" s="148" t="s">
        <v>3048</v>
      </c>
      <c r="B767" s="125" t="s">
        <v>2704</v>
      </c>
      <c r="C767" s="126" t="str">
        <f>RIGHT(PisCofinsAliquot[[#This Row],[Código NCM]],8)</f>
        <v>30049096</v>
      </c>
      <c r="D767" s="149"/>
      <c r="E767" s="150"/>
      <c r="F767" s="164" t="s">
        <v>5256</v>
      </c>
      <c r="G767" s="162">
        <v>2.1</v>
      </c>
      <c r="H767" s="162">
        <v>9.9</v>
      </c>
      <c r="I767">
        <f>IF(PisCofinsAliquot[[#This Row],[Classificação]]="Alíquota 0",6,IF(PisCofinsAliquot[[#This Row],[Classificação]]="Monofásico",4,IF(PisCofinsAliquot[[#This Row],[Classificação]]="Regra Geral",1,IF(PisCofinsAliquot[[#This Row],[Classificação]]="ST",5))))</f>
        <v>4</v>
      </c>
    </row>
    <row r="768" spans="1:9" ht="105" x14ac:dyDescent="0.25">
      <c r="A768" s="148" t="s">
        <v>3049</v>
      </c>
      <c r="B768" s="125" t="s">
        <v>2704</v>
      </c>
      <c r="C768" s="126" t="str">
        <f>RIGHT(PisCofinsAliquot[[#This Row],[Código NCM]],8)</f>
        <v>30049097</v>
      </c>
      <c r="D768" s="149"/>
      <c r="E768" s="150"/>
      <c r="F768" s="164" t="s">
        <v>5257</v>
      </c>
      <c r="G768" s="162">
        <v>2.1</v>
      </c>
      <c r="H768" s="162">
        <v>9.9</v>
      </c>
      <c r="I768">
        <f>IF(PisCofinsAliquot[[#This Row],[Classificação]]="Alíquota 0",6,IF(PisCofinsAliquot[[#This Row],[Classificação]]="Monofásico",4,IF(PisCofinsAliquot[[#This Row],[Classificação]]="Regra Geral",1,IF(PisCofinsAliquot[[#This Row],[Classificação]]="ST",5))))</f>
        <v>4</v>
      </c>
    </row>
    <row r="769" spans="1:9" ht="30" x14ac:dyDescent="0.25">
      <c r="A769" s="148" t="s">
        <v>3050</v>
      </c>
      <c r="B769" s="125" t="s">
        <v>2704</v>
      </c>
      <c r="C769" s="126" t="str">
        <f>RIGHT(PisCofinsAliquot[[#This Row],[Código NCM]],8)</f>
        <v>30049099</v>
      </c>
      <c r="D769" s="149"/>
      <c r="E769" s="150"/>
      <c r="F769" s="164" t="s">
        <v>5135</v>
      </c>
      <c r="G769" s="162">
        <v>2.1</v>
      </c>
      <c r="H769" s="162">
        <v>9.9</v>
      </c>
      <c r="I769">
        <f>IF(PisCofinsAliquot[[#This Row],[Classificação]]="Alíquota 0",6,IF(PisCofinsAliquot[[#This Row],[Classificação]]="Monofásico",4,IF(PisCofinsAliquot[[#This Row],[Classificação]]="Regra Geral",1,IF(PisCofinsAliquot[[#This Row],[Classificação]]="ST",5))))</f>
        <v>4</v>
      </c>
    </row>
    <row r="770" spans="1:9" ht="90" x14ac:dyDescent="0.25">
      <c r="A770" s="148" t="s">
        <v>3052</v>
      </c>
      <c r="B770" s="125" t="s">
        <v>2704</v>
      </c>
      <c r="C770" s="126" t="str">
        <f>RIGHT(PisCofinsAliquot[[#This Row],[Código NCM]],8)</f>
        <v>30051010</v>
      </c>
      <c r="D770" s="149"/>
      <c r="E770" s="150"/>
      <c r="F770" s="164" t="s">
        <v>5266</v>
      </c>
      <c r="G770" s="162">
        <v>2.1</v>
      </c>
      <c r="H770" s="162">
        <v>9.9</v>
      </c>
      <c r="I770">
        <f>IF(PisCofinsAliquot[[#This Row],[Classificação]]="Alíquota 0",6,IF(PisCofinsAliquot[[#This Row],[Classificação]]="Monofásico",4,IF(PisCofinsAliquot[[#This Row],[Classificação]]="Regra Geral",1,IF(PisCofinsAliquot[[#This Row],[Classificação]]="ST",5))))</f>
        <v>4</v>
      </c>
    </row>
    <row r="771" spans="1:9" ht="90" x14ac:dyDescent="0.25">
      <c r="A771" s="148" t="s">
        <v>3053</v>
      </c>
      <c r="B771" s="125" t="s">
        <v>2704</v>
      </c>
      <c r="C771" s="126" t="str">
        <f>RIGHT(PisCofinsAliquot[[#This Row],[Código NCM]],8)</f>
        <v>30066000</v>
      </c>
      <c r="D771" s="149"/>
      <c r="E771" s="150"/>
      <c r="F771" s="164" t="s">
        <v>5267</v>
      </c>
      <c r="G771" s="162">
        <v>2.1</v>
      </c>
      <c r="H771" s="162">
        <v>9.9</v>
      </c>
      <c r="I771">
        <f>IF(PisCofinsAliquot[[#This Row],[Classificação]]="Alíquota 0",6,IF(PisCofinsAliquot[[#This Row],[Classificação]]="Monofásico",4,IF(PisCofinsAliquot[[#This Row],[Classificação]]="Regra Geral",1,IF(PisCofinsAliquot[[#This Row],[Classificação]]="ST",5))))</f>
        <v>4</v>
      </c>
    </row>
    <row r="772" spans="1:9" ht="255" x14ac:dyDescent="0.25">
      <c r="A772" s="124" t="s">
        <v>3379</v>
      </c>
      <c r="B772" s="125" t="s">
        <v>2701</v>
      </c>
      <c r="C772" s="126" t="str">
        <f>RIGHT(PisCofinsAliquot[[#This Row],[Código NCM]],8)</f>
        <v>31052000</v>
      </c>
      <c r="D772" s="127"/>
      <c r="E772" s="128"/>
      <c r="F772" s="164" t="s">
        <v>5268</v>
      </c>
      <c r="G772" s="43">
        <v>0</v>
      </c>
      <c r="H772" s="43">
        <v>0</v>
      </c>
      <c r="I772">
        <f>IF(PisCofinsAliquot[[#This Row],[Classificação]]="Alíquota 0",6,IF(PisCofinsAliquot[[#This Row],[Classificação]]="Monofásico",4,IF(PisCofinsAliquot[[#This Row],[Classificação]]="Regra Geral",1,IF(PisCofinsAliquot[[#This Row],[Classificação]]="ST",5))))</f>
        <v>6</v>
      </c>
    </row>
    <row r="773" spans="1:9" ht="30" x14ac:dyDescent="0.25">
      <c r="A773" s="148" t="s">
        <v>3054</v>
      </c>
      <c r="B773" s="125" t="s">
        <v>2704</v>
      </c>
      <c r="C773" s="126" t="str">
        <f>RIGHT(PisCofinsAliquot[[#This Row],[Código NCM]],8)</f>
        <v>33030010</v>
      </c>
      <c r="D773" s="149"/>
      <c r="E773" s="150"/>
      <c r="F773" s="164" t="s">
        <v>5270</v>
      </c>
      <c r="G773" s="162">
        <v>2.2000000000000002</v>
      </c>
      <c r="H773" s="162">
        <v>10.3</v>
      </c>
      <c r="I773">
        <f>IF(PisCofinsAliquot[[#This Row],[Classificação]]="Alíquota 0",6,IF(PisCofinsAliquot[[#This Row],[Classificação]]="Monofásico",4,IF(PisCofinsAliquot[[#This Row],[Classificação]]="Regra Geral",1,IF(PisCofinsAliquot[[#This Row],[Classificação]]="ST",5))))</f>
        <v>4</v>
      </c>
    </row>
    <row r="774" spans="1:9" ht="30" x14ac:dyDescent="0.25">
      <c r="A774" s="148" t="s">
        <v>3055</v>
      </c>
      <c r="B774" s="125" t="s">
        <v>2704</v>
      </c>
      <c r="C774" s="126" t="str">
        <f>RIGHT(PisCofinsAliquot[[#This Row],[Código NCM]],8)</f>
        <v>33030020</v>
      </c>
      <c r="D774" s="149"/>
      <c r="E774" s="150"/>
      <c r="F774" s="164" t="s">
        <v>5271</v>
      </c>
      <c r="G774" s="162">
        <v>2.2000000000000002</v>
      </c>
      <c r="H774" s="162">
        <v>10.3</v>
      </c>
      <c r="I774">
        <f>IF(PisCofinsAliquot[[#This Row],[Classificação]]="Alíquota 0",6,IF(PisCofinsAliquot[[#This Row],[Classificação]]="Monofásico",4,IF(PisCofinsAliquot[[#This Row],[Classificação]]="Regra Geral",1,IF(PisCofinsAliquot[[#This Row],[Classificação]]="ST",5))))</f>
        <v>4</v>
      </c>
    </row>
    <row r="775" spans="1:9" ht="45" x14ac:dyDescent="0.25">
      <c r="A775" s="148" t="s">
        <v>3380</v>
      </c>
      <c r="B775" s="125" t="s">
        <v>2704</v>
      </c>
      <c r="C775" s="126" t="str">
        <f>RIGHT(PisCofinsAliquot[[#This Row],[Código NCM]],8)</f>
        <v>33041000</v>
      </c>
      <c r="D775" s="127"/>
      <c r="E775" s="128"/>
      <c r="F775" s="164" t="s">
        <v>5272</v>
      </c>
      <c r="G775" s="162">
        <v>0</v>
      </c>
      <c r="H775" s="162">
        <v>0</v>
      </c>
      <c r="I775">
        <f>IF(PisCofinsAliquot[[#This Row],[Classificação]]="Alíquota 0",6,IF(PisCofinsAliquot[[#This Row],[Classificação]]="Monofásico",4,IF(PisCofinsAliquot[[#This Row],[Classificação]]="Regra Geral",1,IF(PisCofinsAliquot[[#This Row],[Classificação]]="ST",5))))</f>
        <v>4</v>
      </c>
    </row>
    <row r="776" spans="1:9" ht="45" x14ac:dyDescent="0.25">
      <c r="A776" s="148" t="s">
        <v>3381</v>
      </c>
      <c r="B776" s="125" t="s">
        <v>2704</v>
      </c>
      <c r="C776" s="126" t="str">
        <f>RIGHT(PisCofinsAliquot[[#This Row],[Código NCM]],8)</f>
        <v>33042010</v>
      </c>
      <c r="D776" s="127"/>
      <c r="E776" s="128"/>
      <c r="F776" s="164" t="s">
        <v>5273</v>
      </c>
      <c r="G776" s="162">
        <v>0</v>
      </c>
      <c r="H776" s="162">
        <v>0</v>
      </c>
      <c r="I776">
        <f>IF(PisCofinsAliquot[[#This Row],[Classificação]]="Alíquota 0",6,IF(PisCofinsAliquot[[#This Row],[Classificação]]="Monofásico",4,IF(PisCofinsAliquot[[#This Row],[Classificação]]="Regra Geral",1,IF(PisCofinsAliquot[[#This Row],[Classificação]]="ST",5))))</f>
        <v>4</v>
      </c>
    </row>
    <row r="777" spans="1:9" ht="45" x14ac:dyDescent="0.25">
      <c r="A777" s="148" t="s">
        <v>3382</v>
      </c>
      <c r="B777" s="125" t="s">
        <v>2704</v>
      </c>
      <c r="C777" s="126" t="str">
        <f>RIGHT(PisCofinsAliquot[[#This Row],[Código NCM]],8)</f>
        <v>33042090</v>
      </c>
      <c r="D777" s="127"/>
      <c r="E777" s="128"/>
      <c r="F777" s="164" t="s">
        <v>5274</v>
      </c>
      <c r="G777" s="162">
        <v>0</v>
      </c>
      <c r="H777" s="162">
        <v>0</v>
      </c>
      <c r="I777">
        <f>IF(PisCofinsAliquot[[#This Row],[Classificação]]="Alíquota 0",6,IF(PisCofinsAliquot[[#This Row],[Classificação]]="Monofásico",4,IF(PisCofinsAliquot[[#This Row],[Classificação]]="Regra Geral",1,IF(PisCofinsAliquot[[#This Row],[Classificação]]="ST",5))))</f>
        <v>4</v>
      </c>
    </row>
    <row r="778" spans="1:9" ht="45" x14ac:dyDescent="0.25">
      <c r="A778" s="148" t="s">
        <v>3383</v>
      </c>
      <c r="B778" s="125" t="s">
        <v>2704</v>
      </c>
      <c r="C778" s="126" t="str">
        <f>RIGHT(PisCofinsAliquot[[#This Row],[Código NCM]],8)</f>
        <v>33043000</v>
      </c>
      <c r="D778" s="127"/>
      <c r="E778" s="128"/>
      <c r="F778" s="164" t="s">
        <v>5275</v>
      </c>
      <c r="G778" s="162">
        <v>0</v>
      </c>
      <c r="H778" s="162">
        <v>0</v>
      </c>
      <c r="I778">
        <f>IF(PisCofinsAliquot[[#This Row],[Classificação]]="Alíquota 0",6,IF(PisCofinsAliquot[[#This Row],[Classificação]]="Monofásico",4,IF(PisCofinsAliquot[[#This Row],[Classificação]]="Regra Geral",1,IF(PisCofinsAliquot[[#This Row],[Classificação]]="ST",5))))</f>
        <v>4</v>
      </c>
    </row>
    <row r="779" spans="1:9" ht="30" x14ac:dyDescent="0.25">
      <c r="A779" s="148" t="s">
        <v>3384</v>
      </c>
      <c r="B779" s="125" t="s">
        <v>2704</v>
      </c>
      <c r="C779" s="126" t="str">
        <f>RIGHT(PisCofinsAliquot[[#This Row],[Código NCM]],8)</f>
        <v>33049100</v>
      </c>
      <c r="D779" s="127"/>
      <c r="E779" s="128"/>
      <c r="F779" s="164" t="s">
        <v>5276</v>
      </c>
      <c r="G779" s="162">
        <v>0</v>
      </c>
      <c r="H779" s="162">
        <v>0</v>
      </c>
      <c r="I779">
        <f>IF(PisCofinsAliquot[[#This Row],[Classificação]]="Alíquota 0",6,IF(PisCofinsAliquot[[#This Row],[Classificação]]="Monofásico",4,IF(PisCofinsAliquot[[#This Row],[Classificação]]="Regra Geral",1,IF(PisCofinsAliquot[[#This Row],[Classificação]]="ST",5))))</f>
        <v>4</v>
      </c>
    </row>
    <row r="780" spans="1:9" ht="45" x14ac:dyDescent="0.25">
      <c r="A780" s="148" t="s">
        <v>3385</v>
      </c>
      <c r="B780" s="125" t="s">
        <v>2704</v>
      </c>
      <c r="C780" s="126" t="str">
        <f>RIGHT(PisCofinsAliquot[[#This Row],[Código NCM]],8)</f>
        <v>33049910</v>
      </c>
      <c r="D780" s="127"/>
      <c r="E780" s="128"/>
      <c r="F780" s="164" t="s">
        <v>5277</v>
      </c>
      <c r="G780" s="162">
        <v>0</v>
      </c>
      <c r="H780" s="162">
        <v>0</v>
      </c>
      <c r="I780">
        <f>IF(PisCofinsAliquot[[#This Row],[Classificação]]="Alíquota 0",6,IF(PisCofinsAliquot[[#This Row],[Classificação]]="Monofásico",4,IF(PisCofinsAliquot[[#This Row],[Classificação]]="Regra Geral",1,IF(PisCofinsAliquot[[#This Row],[Classificação]]="ST",5))))</f>
        <v>4</v>
      </c>
    </row>
    <row r="781" spans="1:9" ht="135" x14ac:dyDescent="0.25">
      <c r="A781" s="148" t="s">
        <v>3386</v>
      </c>
      <c r="B781" s="125" t="s">
        <v>2704</v>
      </c>
      <c r="C781" s="126" t="str">
        <f>RIGHT(PisCofinsAliquot[[#This Row],[Código NCM]],8)</f>
        <v>33049990</v>
      </c>
      <c r="D781" s="127"/>
      <c r="E781" s="128"/>
      <c r="F781" s="164" t="s">
        <v>5278</v>
      </c>
      <c r="G781" s="162">
        <v>0</v>
      </c>
      <c r="H781" s="162">
        <v>0</v>
      </c>
      <c r="I781">
        <f>IF(PisCofinsAliquot[[#This Row],[Classificação]]="Alíquota 0",6,IF(PisCofinsAliquot[[#This Row],[Classificação]]="Monofásico",4,IF(PisCofinsAliquot[[#This Row],[Classificação]]="Regra Geral",1,IF(PisCofinsAliquot[[#This Row],[Classificação]]="ST",5))))</f>
        <v>4</v>
      </c>
    </row>
    <row r="782" spans="1:9" ht="30" x14ac:dyDescent="0.25">
      <c r="A782" s="148" t="s">
        <v>2515</v>
      </c>
      <c r="B782" s="125" t="s">
        <v>2704</v>
      </c>
      <c r="C782" s="126" t="str">
        <f>RIGHT(PisCofinsAliquot[[#This Row],[Código NCM]],8)</f>
        <v>33051000</v>
      </c>
      <c r="D782" s="127"/>
      <c r="E782" s="150"/>
      <c r="F782" s="164" t="s">
        <v>5279</v>
      </c>
      <c r="G782" s="162">
        <v>2.2000000000000002</v>
      </c>
      <c r="H782" s="162">
        <v>10.3</v>
      </c>
      <c r="I782">
        <f>IF(PisCofinsAliquot[[#This Row],[Classificação]]="Alíquota 0",6,IF(PisCofinsAliquot[[#This Row],[Classificação]]="Monofásico",4,IF(PisCofinsAliquot[[#This Row],[Classificação]]="Regra Geral",1,IF(PisCofinsAliquot[[#This Row],[Classificação]]="ST",5))))</f>
        <v>4</v>
      </c>
    </row>
    <row r="783" spans="1:9" ht="45" x14ac:dyDescent="0.25">
      <c r="A783" s="148" t="s">
        <v>2517</v>
      </c>
      <c r="B783" s="125" t="s">
        <v>2704</v>
      </c>
      <c r="C783" s="126" t="str">
        <f>RIGHT(PisCofinsAliquot[[#This Row],[Código NCM]],8)</f>
        <v>33052000</v>
      </c>
      <c r="D783" s="127"/>
      <c r="E783" s="150"/>
      <c r="F783" s="164" t="s">
        <v>5280</v>
      </c>
      <c r="G783" s="162">
        <v>2.2000000000000002</v>
      </c>
      <c r="H783" s="162">
        <v>10.3</v>
      </c>
      <c r="I783">
        <f>IF(PisCofinsAliquot[[#This Row],[Classificação]]="Alíquota 0",6,IF(PisCofinsAliquot[[#This Row],[Classificação]]="Monofásico",4,IF(PisCofinsAliquot[[#This Row],[Classificação]]="Regra Geral",1,IF(PisCofinsAliquot[[#This Row],[Classificação]]="ST",5))))</f>
        <v>4</v>
      </c>
    </row>
    <row r="784" spans="1:9" ht="30" x14ac:dyDescent="0.25">
      <c r="A784" s="148" t="s">
        <v>2518</v>
      </c>
      <c r="B784" s="125" t="s">
        <v>2704</v>
      </c>
      <c r="C784" s="126" t="str">
        <f>RIGHT(PisCofinsAliquot[[#This Row],[Código NCM]],8)</f>
        <v>33053000</v>
      </c>
      <c r="D784" s="127"/>
      <c r="E784" s="150"/>
      <c r="F784" s="164" t="s">
        <v>5281</v>
      </c>
      <c r="G784" s="162">
        <v>2.2000000000000002</v>
      </c>
      <c r="H784" s="162">
        <v>10.3</v>
      </c>
      <c r="I784">
        <f>IF(PisCofinsAliquot[[#This Row],[Classificação]]="Alíquota 0",6,IF(PisCofinsAliquot[[#This Row],[Classificação]]="Monofásico",4,IF(PisCofinsAliquot[[#This Row],[Classificação]]="Regra Geral",1,IF(PisCofinsAliquot[[#This Row],[Classificação]]="ST",5))))</f>
        <v>4</v>
      </c>
    </row>
    <row r="785" spans="1:9" ht="30" x14ac:dyDescent="0.25">
      <c r="A785" s="148" t="s">
        <v>2519</v>
      </c>
      <c r="B785" s="125" t="s">
        <v>2704</v>
      </c>
      <c r="C785" s="126" t="str">
        <f>RIGHT(PisCofinsAliquot[[#This Row],[Código NCM]],8)</f>
        <v>33059000</v>
      </c>
      <c r="D785" s="127"/>
      <c r="E785" s="150"/>
      <c r="F785" s="164" t="s">
        <v>5282</v>
      </c>
      <c r="G785" s="162">
        <v>2.2000000000000002</v>
      </c>
      <c r="H785" s="162">
        <v>10.3</v>
      </c>
      <c r="I785">
        <f>IF(PisCofinsAliquot[[#This Row],[Classificação]]="Alíquota 0",6,IF(PisCofinsAliquot[[#This Row],[Classificação]]="Monofásico",4,IF(PisCofinsAliquot[[#This Row],[Classificação]]="Regra Geral",1,IF(PisCofinsAliquot[[#This Row],[Classificação]]="ST",5))))</f>
        <v>4</v>
      </c>
    </row>
    <row r="786" spans="1:9" ht="30" x14ac:dyDescent="0.25">
      <c r="A786" s="124" t="s">
        <v>213</v>
      </c>
      <c r="B786" s="125" t="s">
        <v>2701</v>
      </c>
      <c r="C786" s="126" t="str">
        <f>RIGHT(PisCofinsAliquot[[#This Row],[Código NCM]],8)</f>
        <v>33061000</v>
      </c>
      <c r="D786" s="127"/>
      <c r="E786" s="128"/>
      <c r="F786" s="164" t="s">
        <v>5283</v>
      </c>
      <c r="G786" s="46">
        <v>0</v>
      </c>
      <c r="H786" s="46">
        <v>0</v>
      </c>
      <c r="I786">
        <f>IF(PisCofinsAliquot[[#This Row],[Classificação]]="Alíquota 0",6,IF(PisCofinsAliquot[[#This Row],[Classificação]]="Monofásico",4,IF(PisCofinsAliquot[[#This Row],[Classificação]]="Regra Geral",1,IF(PisCofinsAliquot[[#This Row],[Classificação]]="ST",5))))</f>
        <v>6</v>
      </c>
    </row>
    <row r="787" spans="1:9" ht="60" x14ac:dyDescent="0.25">
      <c r="A787" s="124" t="s">
        <v>3387</v>
      </c>
      <c r="B787" s="125" t="s">
        <v>2701</v>
      </c>
      <c r="C787" s="126" t="str">
        <f>RIGHT(PisCofinsAliquot[[#This Row],[Código NCM]],8)</f>
        <v>33062000</v>
      </c>
      <c r="D787" s="127"/>
      <c r="E787" s="128"/>
      <c r="F787" s="164" t="s">
        <v>5284</v>
      </c>
      <c r="G787" s="46">
        <v>0</v>
      </c>
      <c r="H787" s="46">
        <v>0</v>
      </c>
      <c r="I787">
        <f>IF(PisCofinsAliquot[[#This Row],[Classificação]]="Alíquota 0",6,IF(PisCofinsAliquot[[#This Row],[Classificação]]="Monofásico",4,IF(PisCofinsAliquot[[#This Row],[Classificação]]="Regra Geral",1,IF(PisCofinsAliquot[[#This Row],[Classificação]]="ST",5))))</f>
        <v>6</v>
      </c>
    </row>
    <row r="788" spans="1:9" ht="135" x14ac:dyDescent="0.25">
      <c r="A788" s="124" t="s">
        <v>3388</v>
      </c>
      <c r="B788" s="125" t="s">
        <v>2701</v>
      </c>
      <c r="C788" s="126" t="str">
        <f>RIGHT(PisCofinsAliquot[[#This Row],[Código NCM]],8)</f>
        <v>33069000</v>
      </c>
      <c r="D788" s="127"/>
      <c r="E788" s="128"/>
      <c r="F788" s="164" t="s">
        <v>5285</v>
      </c>
      <c r="G788" s="46">
        <v>0</v>
      </c>
      <c r="H788" s="46">
        <v>0</v>
      </c>
      <c r="I788">
        <f>IF(PisCofinsAliquot[[#This Row],[Classificação]]="Alíquota 0",6,IF(PisCofinsAliquot[[#This Row],[Classificação]]="Monofásico",4,IF(PisCofinsAliquot[[#This Row],[Classificação]]="Regra Geral",1,IF(PisCofinsAliquot[[#This Row],[Classificação]]="ST",5))))</f>
        <v>6</v>
      </c>
    </row>
    <row r="789" spans="1:9" ht="45" x14ac:dyDescent="0.25">
      <c r="A789" s="148" t="s">
        <v>2520</v>
      </c>
      <c r="B789" s="125" t="s">
        <v>2704</v>
      </c>
      <c r="C789" s="126" t="str">
        <f>RIGHT(PisCofinsAliquot[[#This Row],[Código NCM]],8)</f>
        <v>33071000</v>
      </c>
      <c r="D789" s="127"/>
      <c r="E789" s="150"/>
      <c r="F789" s="164" t="s">
        <v>5286</v>
      </c>
      <c r="G789" s="162">
        <v>2.2000000000000002</v>
      </c>
      <c r="H789" s="162">
        <v>10.3</v>
      </c>
      <c r="I789">
        <f>IF(PisCofinsAliquot[[#This Row],[Classificação]]="Alíquota 0",6,IF(PisCofinsAliquot[[#This Row],[Classificação]]="Monofásico",4,IF(PisCofinsAliquot[[#This Row],[Classificação]]="Regra Geral",1,IF(PisCofinsAliquot[[#This Row],[Classificação]]="ST",5))))</f>
        <v>4</v>
      </c>
    </row>
    <row r="790" spans="1:9" ht="60" x14ac:dyDescent="0.25">
      <c r="A790" s="148" t="s">
        <v>2522</v>
      </c>
      <c r="B790" s="125" t="s">
        <v>2704</v>
      </c>
      <c r="C790" s="126" t="str">
        <f>RIGHT(PisCofinsAliquot[[#This Row],[Código NCM]],8)</f>
        <v>33072010</v>
      </c>
      <c r="D790" s="127"/>
      <c r="E790" s="150"/>
      <c r="F790" s="164" t="s">
        <v>5287</v>
      </c>
      <c r="G790" s="162">
        <v>2.2000000000000002</v>
      </c>
      <c r="H790" s="162">
        <v>10.3</v>
      </c>
      <c r="I790">
        <f>IF(PisCofinsAliquot[[#This Row],[Classificação]]="Alíquota 0",6,IF(PisCofinsAliquot[[#This Row],[Classificação]]="Monofásico",4,IF(PisCofinsAliquot[[#This Row],[Classificação]]="Regra Geral",1,IF(PisCofinsAliquot[[#This Row],[Classificação]]="ST",5))))</f>
        <v>4</v>
      </c>
    </row>
    <row r="791" spans="1:9" ht="60" x14ac:dyDescent="0.25">
      <c r="A791" s="148" t="s">
        <v>2523</v>
      </c>
      <c r="B791" s="125" t="s">
        <v>2704</v>
      </c>
      <c r="C791" s="126" t="str">
        <f>RIGHT(PisCofinsAliquot[[#This Row],[Código NCM]],8)</f>
        <v>33072090</v>
      </c>
      <c r="D791" s="127"/>
      <c r="E791" s="150"/>
      <c r="F791" s="164" t="s">
        <v>5288</v>
      </c>
      <c r="G791" s="162">
        <v>2.2000000000000002</v>
      </c>
      <c r="H791" s="162">
        <v>10.3</v>
      </c>
      <c r="I791">
        <f>IF(PisCofinsAliquot[[#This Row],[Classificação]]="Alíquota 0",6,IF(PisCofinsAliquot[[#This Row],[Classificação]]="Monofásico",4,IF(PisCofinsAliquot[[#This Row],[Classificação]]="Regra Geral",1,IF(PisCofinsAliquot[[#This Row],[Classificação]]="ST",5))))</f>
        <v>4</v>
      </c>
    </row>
    <row r="792" spans="1:9" ht="75" x14ac:dyDescent="0.25">
      <c r="A792" s="148" t="s">
        <v>2524</v>
      </c>
      <c r="B792" s="125" t="s">
        <v>2704</v>
      </c>
      <c r="C792" s="126" t="str">
        <f>RIGHT(PisCofinsAliquot[[#This Row],[Código NCM]],8)</f>
        <v>33073000</v>
      </c>
      <c r="D792" s="127"/>
      <c r="E792" s="150"/>
      <c r="F792" s="164" t="s">
        <v>5289</v>
      </c>
      <c r="G792" s="162">
        <v>2.2000000000000002</v>
      </c>
      <c r="H792" s="162">
        <v>10.3</v>
      </c>
      <c r="I792">
        <f>IF(PisCofinsAliquot[[#This Row],[Classificação]]="Alíquota 0",6,IF(PisCofinsAliquot[[#This Row],[Classificação]]="Monofásico",4,IF(PisCofinsAliquot[[#This Row],[Classificação]]="Regra Geral",1,IF(PisCofinsAliquot[[#This Row],[Classificação]]="ST",5))))</f>
        <v>4</v>
      </c>
    </row>
    <row r="793" spans="1:9" ht="60" x14ac:dyDescent="0.25">
      <c r="A793" s="148" t="s">
        <v>2525</v>
      </c>
      <c r="B793" s="125" t="s">
        <v>2704</v>
      </c>
      <c r="C793" s="126" t="str">
        <f>RIGHT(PisCofinsAliquot[[#This Row],[Código NCM]],8)</f>
        <v>33074100</v>
      </c>
      <c r="D793" s="149"/>
      <c r="E793" s="150"/>
      <c r="F793" s="164" t="s">
        <v>5290</v>
      </c>
      <c r="G793" s="162">
        <v>2.2000000000000002</v>
      </c>
      <c r="H793" s="162">
        <v>10.3</v>
      </c>
      <c r="I793">
        <f>IF(PisCofinsAliquot[[#This Row],[Classificação]]="Alíquota 0",6,IF(PisCofinsAliquot[[#This Row],[Classificação]]="Monofásico",4,IF(PisCofinsAliquot[[#This Row],[Classificação]]="Regra Geral",1,IF(PisCofinsAliquot[[#This Row],[Classificação]]="ST",5))))</f>
        <v>4</v>
      </c>
    </row>
    <row r="794" spans="1:9" ht="90" x14ac:dyDescent="0.25">
      <c r="A794" s="148" t="s">
        <v>2526</v>
      </c>
      <c r="B794" s="125" t="s">
        <v>2704</v>
      </c>
      <c r="C794" s="126" t="str">
        <f>RIGHT(PisCofinsAliquot[[#This Row],[Código NCM]],8)</f>
        <v>33074900</v>
      </c>
      <c r="D794" s="149"/>
      <c r="E794" s="150"/>
      <c r="F794" s="164" t="s">
        <v>5291</v>
      </c>
      <c r="G794" s="162">
        <v>2.2000000000000002</v>
      </c>
      <c r="H794" s="162">
        <v>10.3</v>
      </c>
      <c r="I794">
        <f>IF(PisCofinsAliquot[[#This Row],[Classificação]]="Alíquota 0",6,IF(PisCofinsAliquot[[#This Row],[Classificação]]="Monofásico",4,IF(PisCofinsAliquot[[#This Row],[Classificação]]="Regra Geral",1,IF(PisCofinsAliquot[[#This Row],[Classificação]]="ST",5))))</f>
        <v>4</v>
      </c>
    </row>
    <row r="795" spans="1:9" ht="240" x14ac:dyDescent="0.25">
      <c r="A795" s="148" t="s">
        <v>2527</v>
      </c>
      <c r="B795" s="125" t="s">
        <v>2704</v>
      </c>
      <c r="C795" s="126" t="str">
        <f>RIGHT(PisCofinsAliquot[[#This Row],[Código NCM]],8)</f>
        <v>33079000</v>
      </c>
      <c r="D795" s="149"/>
      <c r="E795" s="150"/>
      <c r="F795" s="164" t="s">
        <v>5292</v>
      </c>
      <c r="G795" s="162">
        <v>2.2000000000000002</v>
      </c>
      <c r="H795" s="162">
        <v>10.3</v>
      </c>
      <c r="I795">
        <f>IF(PisCofinsAliquot[[#This Row],[Classificação]]="Alíquota 0",6,IF(PisCofinsAliquot[[#This Row],[Classificação]]="Monofásico",4,IF(PisCofinsAliquot[[#This Row],[Classificação]]="Regra Geral",1,IF(PisCofinsAliquot[[#This Row],[Classificação]]="ST",5))))</f>
        <v>4</v>
      </c>
    </row>
    <row r="796" spans="1:9" x14ac:dyDescent="0.25">
      <c r="A796" s="165" t="s">
        <v>215</v>
      </c>
      <c r="B796" s="44" t="s">
        <v>2701</v>
      </c>
      <c r="C796" s="126" t="str">
        <f>RIGHT(PisCofinsAliquot[[#This Row],[Código NCM]],8)</f>
        <v>34011190</v>
      </c>
      <c r="D796" s="4" t="s">
        <v>2438</v>
      </c>
      <c r="E796" s="4"/>
      <c r="F796" s="92" t="s">
        <v>5293</v>
      </c>
      <c r="G796" s="22"/>
      <c r="H796" s="22"/>
      <c r="I796">
        <f>IF(PisCofinsAliquot[[#This Row],[Classificação]]="Alíquota 0",6,IF(PisCofinsAliquot[[#This Row],[Classificação]]="Monofásico",4,IF(PisCofinsAliquot[[#This Row],[Classificação]]="Regra Geral",1,IF(PisCofinsAliquot[[#This Row],[Classificação]]="ST",5))))</f>
        <v>6</v>
      </c>
    </row>
    <row r="797" spans="1:9" x14ac:dyDescent="0.25">
      <c r="A797" s="166" t="s">
        <v>3056</v>
      </c>
      <c r="B797" s="44" t="s">
        <v>2701</v>
      </c>
      <c r="C797" s="126" t="str">
        <f>RIGHT(PisCofinsAliquot[[#This Row],[Código NCM]],8)</f>
        <v>34012010</v>
      </c>
      <c r="D797" s="42"/>
      <c r="E797" s="43"/>
      <c r="F797" s="167"/>
      <c r="G797" s="162">
        <v>2.2000000000000002</v>
      </c>
      <c r="H797" s="162">
        <v>10.3</v>
      </c>
      <c r="I797">
        <f>IF(PisCofinsAliquot[[#This Row],[Classificação]]="Alíquota 0",6,IF(PisCofinsAliquot[[#This Row],[Classificação]]="Monofásico",4,IF(PisCofinsAliquot[[#This Row],[Classificação]]="Regra Geral",1,IF(PisCofinsAliquot[[#This Row],[Classificação]]="ST",5))))</f>
        <v>6</v>
      </c>
    </row>
    <row r="798" spans="1:9" ht="45" x14ac:dyDescent="0.25">
      <c r="A798" s="148" t="s">
        <v>3058</v>
      </c>
      <c r="B798" s="125" t="s">
        <v>2704</v>
      </c>
      <c r="C798" s="126" t="str">
        <f>RIGHT(PisCofinsAliquot[[#This Row],[Código NCM]],8)</f>
        <v>40111000</v>
      </c>
      <c r="D798" s="149" t="s">
        <v>5294</v>
      </c>
      <c r="E798" s="150"/>
      <c r="F798" s="164" t="s">
        <v>5295</v>
      </c>
      <c r="G798" s="168">
        <v>2</v>
      </c>
      <c r="H798" s="168">
        <v>9.5</v>
      </c>
      <c r="I798">
        <f>IF(PisCofinsAliquot[[#This Row],[Classificação]]="Alíquota 0",6,IF(PisCofinsAliquot[[#This Row],[Classificação]]="Monofásico",4,IF(PisCofinsAliquot[[#This Row],[Classificação]]="Regra Geral",1,IF(PisCofinsAliquot[[#This Row],[Classificação]]="ST",5))))</f>
        <v>4</v>
      </c>
    </row>
    <row r="799" spans="1:9" ht="45" x14ac:dyDescent="0.25">
      <c r="A799" s="148" t="s">
        <v>3059</v>
      </c>
      <c r="B799" s="125" t="s">
        <v>2704</v>
      </c>
      <c r="C799" s="126" t="str">
        <f>RIGHT(PisCofinsAliquot[[#This Row],[Código NCM]],8)</f>
        <v>40112010</v>
      </c>
      <c r="D799" s="149" t="s">
        <v>5294</v>
      </c>
      <c r="E799" s="128"/>
      <c r="F799" s="164" t="s">
        <v>5295</v>
      </c>
      <c r="G799" s="168">
        <v>2</v>
      </c>
      <c r="H799" s="168">
        <v>9.5</v>
      </c>
      <c r="I799">
        <f>IF(PisCofinsAliquot[[#This Row],[Classificação]]="Alíquota 0",6,IF(PisCofinsAliquot[[#This Row],[Classificação]]="Monofásico",4,IF(PisCofinsAliquot[[#This Row],[Classificação]]="Regra Geral",1,IF(PisCofinsAliquot[[#This Row],[Classificação]]="ST",5))))</f>
        <v>4</v>
      </c>
    </row>
    <row r="800" spans="1:9" ht="45" x14ac:dyDescent="0.25">
      <c r="A800" s="148" t="s">
        <v>3060</v>
      </c>
      <c r="B800" s="125" t="s">
        <v>2704</v>
      </c>
      <c r="C800" s="126" t="str">
        <f>RIGHT(PisCofinsAliquot[[#This Row],[Código NCM]],8)</f>
        <v>40112090</v>
      </c>
      <c r="D800" s="149" t="s">
        <v>5294</v>
      </c>
      <c r="E800" s="128"/>
      <c r="F800" s="164" t="s">
        <v>5295</v>
      </c>
      <c r="G800" s="168">
        <v>2</v>
      </c>
      <c r="H800" s="168">
        <v>9.5</v>
      </c>
      <c r="I800">
        <f>IF(PisCofinsAliquot[[#This Row],[Classificação]]="Alíquota 0",6,IF(PisCofinsAliquot[[#This Row],[Classificação]]="Monofásico",4,IF(PisCofinsAliquot[[#This Row],[Classificação]]="Regra Geral",1,IF(PisCofinsAliquot[[#This Row],[Classificação]]="ST",5))))</f>
        <v>4</v>
      </c>
    </row>
    <row r="801" spans="1:9" ht="45" x14ac:dyDescent="0.25">
      <c r="A801" s="148" t="s">
        <v>3061</v>
      </c>
      <c r="B801" s="125" t="s">
        <v>2704</v>
      </c>
      <c r="C801" s="126" t="str">
        <f>RIGHT(PisCofinsAliquot[[#This Row],[Código NCM]],8)</f>
        <v>40113000</v>
      </c>
      <c r="D801" s="149" t="s">
        <v>5294</v>
      </c>
      <c r="E801" s="128"/>
      <c r="F801" s="164" t="s">
        <v>5295</v>
      </c>
      <c r="G801" s="168">
        <v>2</v>
      </c>
      <c r="H801" s="168">
        <v>9.5</v>
      </c>
      <c r="I801">
        <f>IF(PisCofinsAliquot[[#This Row],[Classificação]]="Alíquota 0",6,IF(PisCofinsAliquot[[#This Row],[Classificação]]="Monofásico",4,IF(PisCofinsAliquot[[#This Row],[Classificação]]="Regra Geral",1,IF(PisCofinsAliquot[[#This Row],[Classificação]]="ST",5))))</f>
        <v>4</v>
      </c>
    </row>
    <row r="802" spans="1:9" ht="45" x14ac:dyDescent="0.25">
      <c r="A802" s="148" t="s">
        <v>3062</v>
      </c>
      <c r="B802" s="125" t="s">
        <v>2704</v>
      </c>
      <c r="C802" s="126" t="str">
        <f>RIGHT(PisCofinsAliquot[[#This Row],[Código NCM]],8)</f>
        <v>40114000</v>
      </c>
      <c r="D802" s="149" t="s">
        <v>5294</v>
      </c>
      <c r="E802" s="128"/>
      <c r="F802" s="164" t="s">
        <v>5295</v>
      </c>
      <c r="G802" s="168">
        <v>2</v>
      </c>
      <c r="H802" s="168">
        <v>9.5</v>
      </c>
      <c r="I802">
        <f>IF(PisCofinsAliquot[[#This Row],[Classificação]]="Alíquota 0",6,IF(PisCofinsAliquot[[#This Row],[Classificação]]="Monofásico",4,IF(PisCofinsAliquot[[#This Row],[Classificação]]="Regra Geral",1,IF(PisCofinsAliquot[[#This Row],[Classificação]]="ST",5))))</f>
        <v>4</v>
      </c>
    </row>
    <row r="803" spans="1:9" ht="45" x14ac:dyDescent="0.25">
      <c r="A803" s="148" t="s">
        <v>3063</v>
      </c>
      <c r="B803" s="125" t="s">
        <v>2704</v>
      </c>
      <c r="C803" s="126" t="str">
        <f>RIGHT(PisCofinsAliquot[[#This Row],[Código NCM]],8)</f>
        <v>40115000</v>
      </c>
      <c r="D803" s="149" t="s">
        <v>5294</v>
      </c>
      <c r="E803" s="128"/>
      <c r="F803" s="164" t="s">
        <v>5295</v>
      </c>
      <c r="G803" s="168">
        <v>2</v>
      </c>
      <c r="H803" s="168">
        <v>9.5</v>
      </c>
      <c r="I803">
        <f>IF(PisCofinsAliquot[[#This Row],[Classificação]]="Alíquota 0",6,IF(PisCofinsAliquot[[#This Row],[Classificação]]="Monofásico",4,IF(PisCofinsAliquot[[#This Row],[Classificação]]="Regra Geral",1,IF(PisCofinsAliquot[[#This Row],[Classificação]]="ST",5))))</f>
        <v>4</v>
      </c>
    </row>
    <row r="804" spans="1:9" ht="45" x14ac:dyDescent="0.25">
      <c r="A804" s="148" t="s">
        <v>3064</v>
      </c>
      <c r="B804" s="125" t="s">
        <v>2704</v>
      </c>
      <c r="C804" s="126" t="str">
        <f>RIGHT(PisCofinsAliquot[[#This Row],[Código NCM]],8)</f>
        <v>40117010</v>
      </c>
      <c r="D804" s="149" t="s">
        <v>5294</v>
      </c>
      <c r="E804" s="128"/>
      <c r="F804" s="164" t="s">
        <v>5295</v>
      </c>
      <c r="G804" s="168">
        <v>2</v>
      </c>
      <c r="H804" s="168">
        <v>9.5</v>
      </c>
      <c r="I804">
        <f>IF(PisCofinsAliquot[[#This Row],[Classificação]]="Alíquota 0",6,IF(PisCofinsAliquot[[#This Row],[Classificação]]="Monofásico",4,IF(PisCofinsAliquot[[#This Row],[Classificação]]="Regra Geral",1,IF(PisCofinsAliquot[[#This Row],[Classificação]]="ST",5))))</f>
        <v>4</v>
      </c>
    </row>
    <row r="805" spans="1:9" ht="45" x14ac:dyDescent="0.25">
      <c r="A805" s="148" t="s">
        <v>3065</v>
      </c>
      <c r="B805" s="125" t="s">
        <v>2704</v>
      </c>
      <c r="C805" s="126" t="str">
        <f>RIGHT(PisCofinsAliquot[[#This Row],[Código NCM]],8)</f>
        <v>40117090</v>
      </c>
      <c r="D805" s="149" t="s">
        <v>5294</v>
      </c>
      <c r="E805" s="128"/>
      <c r="F805" s="164" t="s">
        <v>5295</v>
      </c>
      <c r="G805" s="168">
        <v>2</v>
      </c>
      <c r="H805" s="168">
        <v>9.5</v>
      </c>
      <c r="I805">
        <f>IF(PisCofinsAliquot[[#This Row],[Classificação]]="Alíquota 0",6,IF(PisCofinsAliquot[[#This Row],[Classificação]]="Monofásico",4,IF(PisCofinsAliquot[[#This Row],[Classificação]]="Regra Geral",1,IF(PisCofinsAliquot[[#This Row],[Classificação]]="ST",5))))</f>
        <v>4</v>
      </c>
    </row>
    <row r="806" spans="1:9" ht="45" x14ac:dyDescent="0.25">
      <c r="A806" s="148" t="s">
        <v>3066</v>
      </c>
      <c r="B806" s="125" t="s">
        <v>2704</v>
      </c>
      <c r="C806" s="126" t="str">
        <f>RIGHT(PisCofinsAliquot[[#This Row],[Código NCM]],8)</f>
        <v>40118010</v>
      </c>
      <c r="D806" s="149" t="s">
        <v>5294</v>
      </c>
      <c r="E806" s="128"/>
      <c r="F806" s="164" t="s">
        <v>5295</v>
      </c>
      <c r="G806" s="168">
        <v>2</v>
      </c>
      <c r="H806" s="168">
        <v>9.5</v>
      </c>
      <c r="I806">
        <f>IF(PisCofinsAliquot[[#This Row],[Classificação]]="Alíquota 0",6,IF(PisCofinsAliquot[[#This Row],[Classificação]]="Monofásico",4,IF(PisCofinsAliquot[[#This Row],[Classificação]]="Regra Geral",1,IF(PisCofinsAliquot[[#This Row],[Classificação]]="ST",5))))</f>
        <v>4</v>
      </c>
    </row>
    <row r="807" spans="1:9" ht="45" x14ac:dyDescent="0.25">
      <c r="A807" s="148" t="s">
        <v>3067</v>
      </c>
      <c r="B807" s="125" t="s">
        <v>2704</v>
      </c>
      <c r="C807" s="126" t="str">
        <f>RIGHT(PisCofinsAliquot[[#This Row],[Código NCM]],8)</f>
        <v>40118020</v>
      </c>
      <c r="D807" s="149" t="s">
        <v>5294</v>
      </c>
      <c r="E807" s="128"/>
      <c r="F807" s="164" t="s">
        <v>5295</v>
      </c>
      <c r="G807" s="168">
        <v>2</v>
      </c>
      <c r="H807" s="168">
        <v>9.5</v>
      </c>
      <c r="I807">
        <f>IF(PisCofinsAliquot[[#This Row],[Classificação]]="Alíquota 0",6,IF(PisCofinsAliquot[[#This Row],[Classificação]]="Monofásico",4,IF(PisCofinsAliquot[[#This Row],[Classificação]]="Regra Geral",1,IF(PisCofinsAliquot[[#This Row],[Classificação]]="ST",5))))</f>
        <v>4</v>
      </c>
    </row>
    <row r="808" spans="1:9" ht="45" x14ac:dyDescent="0.25">
      <c r="A808" s="148" t="s">
        <v>3068</v>
      </c>
      <c r="B808" s="125" t="s">
        <v>2704</v>
      </c>
      <c r="C808" s="126" t="str">
        <f>RIGHT(PisCofinsAliquot[[#This Row],[Código NCM]],8)</f>
        <v>40118090</v>
      </c>
      <c r="D808" s="149" t="s">
        <v>5294</v>
      </c>
      <c r="E808" s="128"/>
      <c r="F808" s="164" t="s">
        <v>5295</v>
      </c>
      <c r="G808" s="168">
        <v>2</v>
      </c>
      <c r="H808" s="168">
        <v>9.5</v>
      </c>
      <c r="I808">
        <f>IF(PisCofinsAliquot[[#This Row],[Classificação]]="Alíquota 0",6,IF(PisCofinsAliquot[[#This Row],[Classificação]]="Monofásico",4,IF(PisCofinsAliquot[[#This Row],[Classificação]]="Regra Geral",1,IF(PisCofinsAliquot[[#This Row],[Classificação]]="ST",5))))</f>
        <v>4</v>
      </c>
    </row>
    <row r="809" spans="1:9" ht="45" x14ac:dyDescent="0.25">
      <c r="A809" s="148" t="s">
        <v>3069</v>
      </c>
      <c r="B809" s="125" t="s">
        <v>2704</v>
      </c>
      <c r="C809" s="126" t="str">
        <f>RIGHT(PisCofinsAliquot[[#This Row],[Código NCM]],8)</f>
        <v>40119010</v>
      </c>
      <c r="D809" s="149" t="s">
        <v>5294</v>
      </c>
      <c r="E809" s="128"/>
      <c r="F809" s="164" t="s">
        <v>5295</v>
      </c>
      <c r="G809" s="168">
        <v>2</v>
      </c>
      <c r="H809" s="168">
        <v>9.5</v>
      </c>
      <c r="I809">
        <f>IF(PisCofinsAliquot[[#This Row],[Classificação]]="Alíquota 0",6,IF(PisCofinsAliquot[[#This Row],[Classificação]]="Monofásico",4,IF(PisCofinsAliquot[[#This Row],[Classificação]]="Regra Geral",1,IF(PisCofinsAliquot[[#This Row],[Classificação]]="ST",5))))</f>
        <v>4</v>
      </c>
    </row>
    <row r="810" spans="1:9" ht="45" x14ac:dyDescent="0.25">
      <c r="A810" s="148" t="s">
        <v>3070</v>
      </c>
      <c r="B810" s="125" t="s">
        <v>2704</v>
      </c>
      <c r="C810" s="126" t="str">
        <f>RIGHT(PisCofinsAliquot[[#This Row],[Código NCM]],8)</f>
        <v>40119090</v>
      </c>
      <c r="D810" s="149" t="s">
        <v>5294</v>
      </c>
      <c r="E810" s="128"/>
      <c r="F810" s="164" t="s">
        <v>5295</v>
      </c>
      <c r="G810" s="168">
        <v>2</v>
      </c>
      <c r="H810" s="168">
        <v>9.5</v>
      </c>
      <c r="I810">
        <f>IF(PisCofinsAliquot[[#This Row],[Classificação]]="Alíquota 0",6,IF(PisCofinsAliquot[[#This Row],[Classificação]]="Monofásico",4,IF(PisCofinsAliquot[[#This Row],[Classificação]]="Regra Geral",1,IF(PisCofinsAliquot[[#This Row],[Classificação]]="ST",5))))</f>
        <v>4</v>
      </c>
    </row>
    <row r="811" spans="1:9" ht="45" x14ac:dyDescent="0.25">
      <c r="A811" s="148" t="s">
        <v>3071</v>
      </c>
      <c r="B811" s="125" t="s">
        <v>2704</v>
      </c>
      <c r="C811" s="126" t="str">
        <f>RIGHT(PisCofinsAliquot[[#This Row],[Código NCM]],8)</f>
        <v>40131010</v>
      </c>
      <c r="D811" s="149"/>
      <c r="E811" s="128"/>
      <c r="F811" s="164" t="s">
        <v>5296</v>
      </c>
      <c r="G811" s="168">
        <v>2</v>
      </c>
      <c r="H811" s="168">
        <v>9.5</v>
      </c>
      <c r="I811">
        <f>IF(PisCofinsAliquot[[#This Row],[Classificação]]="Alíquota 0",6,IF(PisCofinsAliquot[[#This Row],[Classificação]]="Monofásico",4,IF(PisCofinsAliquot[[#This Row],[Classificação]]="Regra Geral",1,IF(PisCofinsAliquot[[#This Row],[Classificação]]="ST",5))))</f>
        <v>4</v>
      </c>
    </row>
    <row r="812" spans="1:9" ht="45" x14ac:dyDescent="0.25">
      <c r="A812" s="148" t="s">
        <v>3072</v>
      </c>
      <c r="B812" s="125" t="s">
        <v>2704</v>
      </c>
      <c r="C812" s="126" t="str">
        <f>RIGHT(PisCofinsAliquot[[#This Row],[Código NCM]],8)</f>
        <v>40131090</v>
      </c>
      <c r="D812" s="149"/>
      <c r="E812" s="128"/>
      <c r="F812" s="164" t="s">
        <v>5296</v>
      </c>
      <c r="G812" s="168">
        <v>2</v>
      </c>
      <c r="H812" s="168">
        <v>9.5</v>
      </c>
      <c r="I812">
        <f>IF(PisCofinsAliquot[[#This Row],[Classificação]]="Alíquota 0",6,IF(PisCofinsAliquot[[#This Row],[Classificação]]="Monofásico",4,IF(PisCofinsAliquot[[#This Row],[Classificação]]="Regra Geral",1,IF(PisCofinsAliquot[[#This Row],[Classificação]]="ST",5))))</f>
        <v>4</v>
      </c>
    </row>
    <row r="813" spans="1:9" ht="45" x14ac:dyDescent="0.25">
      <c r="A813" s="148" t="s">
        <v>3073</v>
      </c>
      <c r="B813" s="125" t="s">
        <v>2704</v>
      </c>
      <c r="C813" s="126" t="str">
        <f>RIGHT(PisCofinsAliquot[[#This Row],[Código NCM]],8)</f>
        <v>40132000</v>
      </c>
      <c r="D813" s="149"/>
      <c r="E813" s="128"/>
      <c r="F813" s="164" t="s">
        <v>5296</v>
      </c>
      <c r="G813" s="168">
        <v>2</v>
      </c>
      <c r="H813" s="168">
        <v>9.5</v>
      </c>
      <c r="I813">
        <f>IF(PisCofinsAliquot[[#This Row],[Classificação]]="Alíquota 0",6,IF(PisCofinsAliquot[[#This Row],[Classificação]]="Monofásico",4,IF(PisCofinsAliquot[[#This Row],[Classificação]]="Regra Geral",1,IF(PisCofinsAliquot[[#This Row],[Classificação]]="ST",5))))</f>
        <v>4</v>
      </c>
    </row>
    <row r="814" spans="1:9" ht="45" x14ac:dyDescent="0.25">
      <c r="A814" s="148" t="s">
        <v>3074</v>
      </c>
      <c r="B814" s="125" t="s">
        <v>2704</v>
      </c>
      <c r="C814" s="126" t="str">
        <f>RIGHT(PisCofinsAliquot[[#This Row],[Código NCM]],8)</f>
        <v>40139000</v>
      </c>
      <c r="D814" s="149"/>
      <c r="E814" s="128"/>
      <c r="F814" s="164" t="s">
        <v>5296</v>
      </c>
      <c r="G814" s="168">
        <v>2</v>
      </c>
      <c r="H814" s="168">
        <v>9.5</v>
      </c>
      <c r="I814">
        <f>IF(PisCofinsAliquot[[#This Row],[Classificação]]="Alíquota 0",6,IF(PisCofinsAliquot[[#This Row],[Classificação]]="Monofásico",4,IF(PisCofinsAliquot[[#This Row],[Classificação]]="Regra Geral",1,IF(PisCofinsAliquot[[#This Row],[Classificação]]="ST",5))))</f>
        <v>4</v>
      </c>
    </row>
    <row r="815" spans="1:9" ht="30" x14ac:dyDescent="0.25">
      <c r="A815" s="124" t="s">
        <v>196</v>
      </c>
      <c r="B815" s="125" t="s">
        <v>2701</v>
      </c>
      <c r="C815" s="126" t="str">
        <f>RIGHT(PisCofinsAliquot[[#This Row],[Código NCM]],8)</f>
        <v>48181000</v>
      </c>
      <c r="D815" s="127"/>
      <c r="E815" s="128"/>
      <c r="F815" s="164" t="s">
        <v>5297</v>
      </c>
      <c r="G815" s="22">
        <v>0</v>
      </c>
      <c r="H815" s="22">
        <v>0</v>
      </c>
      <c r="I815">
        <f>IF(PisCofinsAliquot[[#This Row],[Classificação]]="Alíquota 0",6,IF(PisCofinsAliquot[[#This Row],[Classificação]]="Monofásico",4,IF(PisCofinsAliquot[[#This Row],[Classificação]]="Regra Geral",1,IF(PisCofinsAliquot[[#This Row],[Classificação]]="ST",5))))</f>
        <v>6</v>
      </c>
    </row>
    <row r="816" spans="1:9" x14ac:dyDescent="0.25">
      <c r="A816" s="124" t="s">
        <v>3389</v>
      </c>
      <c r="B816" s="125" t="s">
        <v>2701</v>
      </c>
      <c r="C816" s="126" t="str">
        <f>RIGHT(PisCofinsAliquot[[#This Row],[Código NCM]],8)</f>
        <v>49019100</v>
      </c>
      <c r="D816" s="127"/>
      <c r="E816" s="128"/>
      <c r="F816" s="128" t="s">
        <v>5298</v>
      </c>
      <c r="G816" s="3">
        <v>0</v>
      </c>
      <c r="H816" s="3">
        <v>0</v>
      </c>
      <c r="I816">
        <f>IF(PisCofinsAliquot[[#This Row],[Classificação]]="Alíquota 0",6,IF(PisCofinsAliquot[[#This Row],[Classificação]]="Monofásico",4,IF(PisCofinsAliquot[[#This Row],[Classificação]]="Regra Geral",1,IF(PisCofinsAliquot[[#This Row],[Classificação]]="ST",5))))</f>
        <v>6</v>
      </c>
    </row>
    <row r="817" spans="1:9" x14ac:dyDescent="0.25">
      <c r="A817" s="124" t="s">
        <v>3390</v>
      </c>
      <c r="B817" s="125" t="s">
        <v>2701</v>
      </c>
      <c r="C817" s="126" t="str">
        <f>RIGHT(PisCofinsAliquot[[#This Row],[Código NCM]],8)</f>
        <v>49019900</v>
      </c>
      <c r="D817" s="127"/>
      <c r="E817" s="128"/>
      <c r="F817" s="128" t="s">
        <v>5298</v>
      </c>
      <c r="G817" s="3">
        <v>0</v>
      </c>
      <c r="H817" s="3">
        <v>0</v>
      </c>
      <c r="I817">
        <f>IF(PisCofinsAliquot[[#This Row],[Classificação]]="Alíquota 0",6,IF(PisCofinsAliquot[[#This Row],[Classificação]]="Monofásico",4,IF(PisCofinsAliquot[[#This Row],[Classificação]]="Regra Geral",1,IF(PisCofinsAliquot[[#This Row],[Classificação]]="ST",5))))</f>
        <v>6</v>
      </c>
    </row>
    <row r="818" spans="1:9" ht="45" x14ac:dyDescent="0.25">
      <c r="A818" s="169" t="s">
        <v>3057</v>
      </c>
      <c r="B818" s="170" t="s">
        <v>2704</v>
      </c>
      <c r="C818" s="126" t="str">
        <f>RIGHT(PisCofinsAliquot[[#This Row],[Código NCM]],8)</f>
        <v>96032100</v>
      </c>
      <c r="D818" s="171"/>
      <c r="E818" s="172"/>
      <c r="F818" s="164" t="s">
        <v>5299</v>
      </c>
      <c r="G818" s="173">
        <v>2.2000000000000002</v>
      </c>
      <c r="H818" s="173">
        <v>10.3</v>
      </c>
      <c r="I818">
        <f>IF(PisCofinsAliquot[[#This Row],[Classificação]]="Alíquota 0",6,IF(PisCofinsAliquot[[#This Row],[Classificação]]="Monofásico",4,IF(PisCofinsAliquot[[#This Row],[Classificação]]="Regra Geral",1,IF(PisCofinsAliquot[[#This Row],[Classificação]]="ST",5))))</f>
        <v>4</v>
      </c>
    </row>
    <row r="819" spans="1:9" ht="45" x14ac:dyDescent="0.25">
      <c r="A819" s="130" t="s">
        <v>4145</v>
      </c>
      <c r="B819" s="150" t="s">
        <v>2701</v>
      </c>
      <c r="C819" s="126" t="str">
        <f>RIGHT(PisCofinsAliquot[[#This Row],[Código NCM]],8)</f>
        <v>31010000</v>
      </c>
      <c r="D819" s="128"/>
      <c r="E819" s="128"/>
      <c r="F819" s="129" t="s">
        <v>5300</v>
      </c>
      <c r="G819" s="22"/>
      <c r="H819" s="22"/>
      <c r="I819">
        <f>IF(PisCofinsAliquot[[#This Row],[Classificação]]="Alíquota 0",6,IF(PisCofinsAliquot[[#This Row],[Classificação]]="Monofásico",4,IF(PisCofinsAliquot[[#This Row],[Classificação]]="Regra Geral",1,IF(PisCofinsAliquot[[#This Row],[Classificação]]="ST",5))))</f>
        <v>6</v>
      </c>
    </row>
    <row r="820" spans="1:9" ht="45" x14ac:dyDescent="0.25">
      <c r="A820" s="130" t="s">
        <v>5301</v>
      </c>
      <c r="B820" s="150" t="s">
        <v>2701</v>
      </c>
      <c r="C820" s="126" t="str">
        <f>RIGHT(PisCofinsAliquot[[#This Row],[Código NCM]],8)</f>
        <v>31021010</v>
      </c>
      <c r="D820" s="128"/>
      <c r="E820" s="128"/>
      <c r="F820" s="129" t="s">
        <v>5300</v>
      </c>
      <c r="G820" s="22"/>
      <c r="H820" s="22"/>
      <c r="I820">
        <f>IF(PisCofinsAliquot[[#This Row],[Classificação]]="Alíquota 0",6,IF(PisCofinsAliquot[[#This Row],[Classificação]]="Monofásico",4,IF(PisCofinsAliquot[[#This Row],[Classificação]]="Regra Geral",1,IF(PisCofinsAliquot[[#This Row],[Classificação]]="ST",5))))</f>
        <v>6</v>
      </c>
    </row>
    <row r="821" spans="1:9" ht="45" x14ac:dyDescent="0.25">
      <c r="A821" s="130" t="s">
        <v>5302</v>
      </c>
      <c r="B821" s="150" t="s">
        <v>2701</v>
      </c>
      <c r="C821" s="126" t="str">
        <f>RIGHT(PisCofinsAliquot[[#This Row],[Código NCM]],8)</f>
        <v>31021090</v>
      </c>
      <c r="D821" s="128"/>
      <c r="E821" s="128"/>
      <c r="F821" s="129" t="s">
        <v>5300</v>
      </c>
      <c r="G821" s="22"/>
      <c r="H821" s="22"/>
      <c r="I821">
        <f>IF(PisCofinsAliquot[[#This Row],[Classificação]]="Alíquota 0",6,IF(PisCofinsAliquot[[#This Row],[Classificação]]="Monofásico",4,IF(PisCofinsAliquot[[#This Row],[Classificação]]="Regra Geral",1,IF(PisCofinsAliquot[[#This Row],[Classificação]]="ST",5))))</f>
        <v>6</v>
      </c>
    </row>
    <row r="822" spans="1:9" ht="45" x14ac:dyDescent="0.25">
      <c r="A822" s="130" t="s">
        <v>5303</v>
      </c>
      <c r="B822" s="150" t="s">
        <v>2701</v>
      </c>
      <c r="C822" s="126" t="str">
        <f>RIGHT(PisCofinsAliquot[[#This Row],[Código NCM]],8)</f>
        <v>31022100</v>
      </c>
      <c r="D822" s="128"/>
      <c r="E822" s="128"/>
      <c r="F822" s="129" t="s">
        <v>5300</v>
      </c>
      <c r="G822" s="22"/>
      <c r="H822" s="22"/>
      <c r="I822">
        <f>IF(PisCofinsAliquot[[#This Row],[Classificação]]="Alíquota 0",6,IF(PisCofinsAliquot[[#This Row],[Classificação]]="Monofásico",4,IF(PisCofinsAliquot[[#This Row],[Classificação]]="Regra Geral",1,IF(PisCofinsAliquot[[#This Row],[Classificação]]="ST",5))))</f>
        <v>6</v>
      </c>
    </row>
    <row r="823" spans="1:9" ht="45" x14ac:dyDescent="0.25">
      <c r="A823" s="130" t="s">
        <v>5304</v>
      </c>
      <c r="B823" s="150" t="s">
        <v>2701</v>
      </c>
      <c r="C823" s="126" t="str">
        <f>RIGHT(PisCofinsAliquot[[#This Row],[Código NCM]],8)</f>
        <v>31022910</v>
      </c>
      <c r="D823" s="128"/>
      <c r="E823" s="128"/>
      <c r="F823" s="129" t="s">
        <v>5300</v>
      </c>
      <c r="G823" s="22"/>
      <c r="H823" s="22"/>
      <c r="I823">
        <f>IF(PisCofinsAliquot[[#This Row],[Classificação]]="Alíquota 0",6,IF(PisCofinsAliquot[[#This Row],[Classificação]]="Monofásico",4,IF(PisCofinsAliquot[[#This Row],[Classificação]]="Regra Geral",1,IF(PisCofinsAliquot[[#This Row],[Classificação]]="ST",5))))</f>
        <v>6</v>
      </c>
    </row>
    <row r="824" spans="1:9" ht="45" x14ac:dyDescent="0.25">
      <c r="A824" s="130" t="s">
        <v>5305</v>
      </c>
      <c r="B824" s="150" t="s">
        <v>2701</v>
      </c>
      <c r="C824" s="126" t="str">
        <f>RIGHT(PisCofinsAliquot[[#This Row],[Código NCM]],8)</f>
        <v>31022990</v>
      </c>
      <c r="D824" s="128"/>
      <c r="E824" s="128"/>
      <c r="F824" s="129" t="s">
        <v>5300</v>
      </c>
      <c r="G824" s="22"/>
      <c r="H824" s="22"/>
      <c r="I824">
        <f>IF(PisCofinsAliquot[[#This Row],[Classificação]]="Alíquota 0",6,IF(PisCofinsAliquot[[#This Row],[Classificação]]="Monofásico",4,IF(PisCofinsAliquot[[#This Row],[Classificação]]="Regra Geral",1,IF(PisCofinsAliquot[[#This Row],[Classificação]]="ST",5))))</f>
        <v>6</v>
      </c>
    </row>
    <row r="825" spans="1:9" ht="45" x14ac:dyDescent="0.25">
      <c r="A825" s="130" t="s">
        <v>5306</v>
      </c>
      <c r="B825" s="150" t="s">
        <v>2701</v>
      </c>
      <c r="C825" s="126" t="str">
        <f>RIGHT(PisCofinsAliquot[[#This Row],[Código NCM]],8)</f>
        <v>31023000</v>
      </c>
      <c r="D825" s="128"/>
      <c r="E825" s="128"/>
      <c r="F825" s="129" t="s">
        <v>5300</v>
      </c>
      <c r="G825" s="22"/>
      <c r="H825" s="22"/>
      <c r="I825">
        <f>IF(PisCofinsAliquot[[#This Row],[Classificação]]="Alíquota 0",6,IF(PisCofinsAliquot[[#This Row],[Classificação]]="Monofásico",4,IF(PisCofinsAliquot[[#This Row],[Classificação]]="Regra Geral",1,IF(PisCofinsAliquot[[#This Row],[Classificação]]="ST",5))))</f>
        <v>6</v>
      </c>
    </row>
    <row r="826" spans="1:9" ht="45" x14ac:dyDescent="0.25">
      <c r="A826" s="130" t="s">
        <v>5307</v>
      </c>
      <c r="B826" s="150" t="s">
        <v>2701</v>
      </c>
      <c r="C826" s="126" t="str">
        <f>RIGHT(PisCofinsAliquot[[#This Row],[Código NCM]],8)</f>
        <v>31024000</v>
      </c>
      <c r="D826" s="128"/>
      <c r="E826" s="128"/>
      <c r="F826" s="129" t="s">
        <v>5300</v>
      </c>
      <c r="G826" s="22"/>
      <c r="H826" s="22"/>
      <c r="I826">
        <f>IF(PisCofinsAliquot[[#This Row],[Classificação]]="Alíquota 0",6,IF(PisCofinsAliquot[[#This Row],[Classificação]]="Monofásico",4,IF(PisCofinsAliquot[[#This Row],[Classificação]]="Regra Geral",1,IF(PisCofinsAliquot[[#This Row],[Classificação]]="ST",5))))</f>
        <v>6</v>
      </c>
    </row>
    <row r="827" spans="1:9" ht="45" x14ac:dyDescent="0.25">
      <c r="A827" s="130" t="s">
        <v>5308</v>
      </c>
      <c r="B827" s="150" t="s">
        <v>2701</v>
      </c>
      <c r="C827" s="126" t="str">
        <f>RIGHT(PisCofinsAliquot[[#This Row],[Código NCM]],8)</f>
        <v>31025011</v>
      </c>
      <c r="D827" s="128"/>
      <c r="E827" s="128"/>
      <c r="F827" s="129" t="s">
        <v>5300</v>
      </c>
      <c r="G827" s="22"/>
      <c r="H827" s="22"/>
      <c r="I827">
        <f>IF(PisCofinsAliquot[[#This Row],[Classificação]]="Alíquota 0",6,IF(PisCofinsAliquot[[#This Row],[Classificação]]="Monofásico",4,IF(PisCofinsAliquot[[#This Row],[Classificação]]="Regra Geral",1,IF(PisCofinsAliquot[[#This Row],[Classificação]]="ST",5))))</f>
        <v>6</v>
      </c>
    </row>
    <row r="828" spans="1:9" ht="45" x14ac:dyDescent="0.25">
      <c r="A828" s="130" t="s">
        <v>5309</v>
      </c>
      <c r="B828" s="150" t="s">
        <v>2701</v>
      </c>
      <c r="C828" s="126" t="str">
        <f>RIGHT(PisCofinsAliquot[[#This Row],[Código NCM]],8)</f>
        <v>31025019</v>
      </c>
      <c r="D828" s="128"/>
      <c r="E828" s="128"/>
      <c r="F828" s="129" t="s">
        <v>5300</v>
      </c>
      <c r="G828" s="22"/>
      <c r="H828" s="22"/>
      <c r="I828">
        <f>IF(PisCofinsAliquot[[#This Row],[Classificação]]="Alíquota 0",6,IF(PisCofinsAliquot[[#This Row],[Classificação]]="Monofásico",4,IF(PisCofinsAliquot[[#This Row],[Classificação]]="Regra Geral",1,IF(PisCofinsAliquot[[#This Row],[Classificação]]="ST",5))))</f>
        <v>6</v>
      </c>
    </row>
    <row r="829" spans="1:9" ht="45" x14ac:dyDescent="0.25">
      <c r="A829" s="130" t="s">
        <v>5310</v>
      </c>
      <c r="B829" s="150" t="s">
        <v>2701</v>
      </c>
      <c r="C829" s="126" t="str">
        <f>RIGHT(PisCofinsAliquot[[#This Row],[Código NCM]],8)</f>
        <v>31025090</v>
      </c>
      <c r="D829" s="128"/>
      <c r="E829" s="128"/>
      <c r="F829" s="129" t="s">
        <v>5300</v>
      </c>
      <c r="G829" s="22"/>
      <c r="H829" s="22"/>
      <c r="I829">
        <f>IF(PisCofinsAliquot[[#This Row],[Classificação]]="Alíquota 0",6,IF(PisCofinsAliquot[[#This Row],[Classificação]]="Monofásico",4,IF(PisCofinsAliquot[[#This Row],[Classificação]]="Regra Geral",1,IF(PisCofinsAliquot[[#This Row],[Classificação]]="ST",5))))</f>
        <v>6</v>
      </c>
    </row>
    <row r="830" spans="1:9" ht="45" x14ac:dyDescent="0.25">
      <c r="A830" s="130" t="s">
        <v>5311</v>
      </c>
      <c r="B830" s="150" t="s">
        <v>2701</v>
      </c>
      <c r="C830" s="126" t="str">
        <f>RIGHT(PisCofinsAliquot[[#This Row],[Código NCM]],8)</f>
        <v>31026000</v>
      </c>
      <c r="D830" s="128"/>
      <c r="E830" s="128"/>
      <c r="F830" s="129" t="s">
        <v>5300</v>
      </c>
      <c r="G830" s="22"/>
      <c r="H830" s="22"/>
      <c r="I830">
        <f>IF(PisCofinsAliquot[[#This Row],[Classificação]]="Alíquota 0",6,IF(PisCofinsAliquot[[#This Row],[Classificação]]="Monofásico",4,IF(PisCofinsAliquot[[#This Row],[Classificação]]="Regra Geral",1,IF(PisCofinsAliquot[[#This Row],[Classificação]]="ST",5))))</f>
        <v>6</v>
      </c>
    </row>
    <row r="831" spans="1:9" ht="45" x14ac:dyDescent="0.25">
      <c r="A831" s="130" t="s">
        <v>5312</v>
      </c>
      <c r="B831" s="150" t="s">
        <v>2701</v>
      </c>
      <c r="C831" s="126" t="str">
        <f>RIGHT(PisCofinsAliquot[[#This Row],[Código NCM]],8)</f>
        <v>31028000</v>
      </c>
      <c r="D831" s="128"/>
      <c r="E831" s="128"/>
      <c r="F831" s="129" t="s">
        <v>5300</v>
      </c>
      <c r="G831" s="22"/>
      <c r="H831" s="22"/>
      <c r="I831">
        <f>IF(PisCofinsAliquot[[#This Row],[Classificação]]="Alíquota 0",6,IF(PisCofinsAliquot[[#This Row],[Classificação]]="Monofásico",4,IF(PisCofinsAliquot[[#This Row],[Classificação]]="Regra Geral",1,IF(PisCofinsAliquot[[#This Row],[Classificação]]="ST",5))))</f>
        <v>6</v>
      </c>
    </row>
    <row r="832" spans="1:9" ht="45" x14ac:dyDescent="0.25">
      <c r="A832" s="130" t="s">
        <v>5313</v>
      </c>
      <c r="B832" s="150" t="s">
        <v>2701</v>
      </c>
      <c r="C832" s="126" t="str">
        <f>RIGHT(PisCofinsAliquot[[#This Row],[Código NCM]],8)</f>
        <v>31029000</v>
      </c>
      <c r="D832" s="128"/>
      <c r="E832" s="128"/>
      <c r="F832" s="129" t="s">
        <v>5300</v>
      </c>
      <c r="G832" s="22"/>
      <c r="H832" s="22"/>
      <c r="I832">
        <f>IF(PisCofinsAliquot[[#This Row],[Classificação]]="Alíquota 0",6,IF(PisCofinsAliquot[[#This Row],[Classificação]]="Monofásico",4,IF(PisCofinsAliquot[[#This Row],[Classificação]]="Regra Geral",1,IF(PisCofinsAliquot[[#This Row],[Classificação]]="ST",5))))</f>
        <v>6</v>
      </c>
    </row>
    <row r="833" spans="1:9" ht="45" x14ac:dyDescent="0.25">
      <c r="A833" s="130" t="s">
        <v>5314</v>
      </c>
      <c r="B833" s="150" t="s">
        <v>2701</v>
      </c>
      <c r="C833" s="126" t="str">
        <f>RIGHT(PisCofinsAliquot[[#This Row],[Código NCM]],8)</f>
        <v>31031100</v>
      </c>
      <c r="D833" s="128"/>
      <c r="E833" s="128"/>
      <c r="F833" s="129" t="s">
        <v>5300</v>
      </c>
      <c r="G833" s="22"/>
      <c r="H833" s="22"/>
      <c r="I833">
        <f>IF(PisCofinsAliquot[[#This Row],[Classificação]]="Alíquota 0",6,IF(PisCofinsAliquot[[#This Row],[Classificação]]="Monofásico",4,IF(PisCofinsAliquot[[#This Row],[Classificação]]="Regra Geral",1,IF(PisCofinsAliquot[[#This Row],[Classificação]]="ST",5))))</f>
        <v>6</v>
      </c>
    </row>
    <row r="834" spans="1:9" ht="45" x14ac:dyDescent="0.25">
      <c r="A834" s="130" t="s">
        <v>5315</v>
      </c>
      <c r="B834" s="150" t="s">
        <v>2701</v>
      </c>
      <c r="C834" s="126" t="str">
        <f>RIGHT(PisCofinsAliquot[[#This Row],[Código NCM]],8)</f>
        <v>31031900</v>
      </c>
      <c r="D834" s="128"/>
      <c r="E834" s="128"/>
      <c r="F834" s="129" t="s">
        <v>5300</v>
      </c>
      <c r="G834" s="22"/>
      <c r="H834" s="22"/>
      <c r="I834">
        <f>IF(PisCofinsAliquot[[#This Row],[Classificação]]="Alíquota 0",6,IF(PisCofinsAliquot[[#This Row],[Classificação]]="Monofásico",4,IF(PisCofinsAliquot[[#This Row],[Classificação]]="Regra Geral",1,IF(PisCofinsAliquot[[#This Row],[Classificação]]="ST",5))))</f>
        <v>6</v>
      </c>
    </row>
    <row r="835" spans="1:9" ht="45" x14ac:dyDescent="0.25">
      <c r="A835" s="130" t="s">
        <v>5316</v>
      </c>
      <c r="B835" s="150" t="s">
        <v>2701</v>
      </c>
      <c r="C835" s="126" t="str">
        <f>RIGHT(PisCofinsAliquot[[#This Row],[Código NCM]],8)</f>
        <v>31039011</v>
      </c>
      <c r="D835" s="128"/>
      <c r="E835" s="128"/>
      <c r="F835" s="129" t="s">
        <v>5300</v>
      </c>
      <c r="G835" s="22"/>
      <c r="H835" s="22"/>
      <c r="I835">
        <f>IF(PisCofinsAliquot[[#This Row],[Classificação]]="Alíquota 0",6,IF(PisCofinsAliquot[[#This Row],[Classificação]]="Monofásico",4,IF(PisCofinsAliquot[[#This Row],[Classificação]]="Regra Geral",1,IF(PisCofinsAliquot[[#This Row],[Classificação]]="ST",5))))</f>
        <v>6</v>
      </c>
    </row>
    <row r="836" spans="1:9" ht="45" x14ac:dyDescent="0.25">
      <c r="A836" s="130" t="s">
        <v>5317</v>
      </c>
      <c r="B836" s="150" t="s">
        <v>2701</v>
      </c>
      <c r="C836" s="126" t="str">
        <f>RIGHT(PisCofinsAliquot[[#This Row],[Código NCM]],8)</f>
        <v>31039019</v>
      </c>
      <c r="D836" s="128"/>
      <c r="E836" s="128"/>
      <c r="F836" s="129" t="s">
        <v>5300</v>
      </c>
      <c r="G836" s="22"/>
      <c r="H836" s="22"/>
      <c r="I836">
        <f>IF(PisCofinsAliquot[[#This Row],[Classificação]]="Alíquota 0",6,IF(PisCofinsAliquot[[#This Row],[Classificação]]="Monofásico",4,IF(PisCofinsAliquot[[#This Row],[Classificação]]="Regra Geral",1,IF(PisCofinsAliquot[[#This Row],[Classificação]]="ST",5))))</f>
        <v>6</v>
      </c>
    </row>
    <row r="837" spans="1:9" ht="45" x14ac:dyDescent="0.25">
      <c r="A837" s="130" t="s">
        <v>5318</v>
      </c>
      <c r="B837" s="150" t="s">
        <v>2701</v>
      </c>
      <c r="C837" s="126" t="str">
        <f>RIGHT(PisCofinsAliquot[[#This Row],[Código NCM]],8)</f>
        <v>31039090</v>
      </c>
      <c r="D837" s="128"/>
      <c r="E837" s="128"/>
      <c r="F837" s="129" t="s">
        <v>5300</v>
      </c>
      <c r="G837" s="22"/>
      <c r="H837" s="22"/>
      <c r="I837">
        <f>IF(PisCofinsAliquot[[#This Row],[Classificação]]="Alíquota 0",6,IF(PisCofinsAliquot[[#This Row],[Classificação]]="Monofásico",4,IF(PisCofinsAliquot[[#This Row],[Classificação]]="Regra Geral",1,IF(PisCofinsAliquot[[#This Row],[Classificação]]="ST",5))))</f>
        <v>6</v>
      </c>
    </row>
    <row r="838" spans="1:9" ht="45" x14ac:dyDescent="0.25">
      <c r="A838" s="130" t="s">
        <v>5319</v>
      </c>
      <c r="B838" s="150" t="s">
        <v>2701</v>
      </c>
      <c r="C838" s="126" t="str">
        <f>RIGHT(PisCofinsAliquot[[#This Row],[Código NCM]],8)</f>
        <v>31042010</v>
      </c>
      <c r="D838" s="128"/>
      <c r="E838" s="128"/>
      <c r="F838" s="129" t="s">
        <v>5300</v>
      </c>
      <c r="G838" s="22"/>
      <c r="H838" s="22"/>
      <c r="I838">
        <f>IF(PisCofinsAliquot[[#This Row],[Classificação]]="Alíquota 0",6,IF(PisCofinsAliquot[[#This Row],[Classificação]]="Monofásico",4,IF(PisCofinsAliquot[[#This Row],[Classificação]]="Regra Geral",1,IF(PisCofinsAliquot[[#This Row],[Classificação]]="ST",5))))</f>
        <v>6</v>
      </c>
    </row>
    <row r="839" spans="1:9" ht="45" x14ac:dyDescent="0.25">
      <c r="A839" s="130" t="s">
        <v>5320</v>
      </c>
      <c r="B839" s="150" t="s">
        <v>2701</v>
      </c>
      <c r="C839" s="126" t="str">
        <f>RIGHT(PisCofinsAliquot[[#This Row],[Código NCM]],8)</f>
        <v>31042090</v>
      </c>
      <c r="D839" s="128"/>
      <c r="E839" s="128"/>
      <c r="F839" s="129" t="s">
        <v>5300</v>
      </c>
      <c r="G839" s="22"/>
      <c r="H839" s="22"/>
      <c r="I839">
        <f>IF(PisCofinsAliquot[[#This Row],[Classificação]]="Alíquota 0",6,IF(PisCofinsAliquot[[#This Row],[Classificação]]="Monofásico",4,IF(PisCofinsAliquot[[#This Row],[Classificação]]="Regra Geral",1,IF(PisCofinsAliquot[[#This Row],[Classificação]]="ST",5))))</f>
        <v>6</v>
      </c>
    </row>
    <row r="840" spans="1:9" ht="45" x14ac:dyDescent="0.25">
      <c r="A840" s="130" t="s">
        <v>5321</v>
      </c>
      <c r="B840" s="150" t="s">
        <v>2701</v>
      </c>
      <c r="C840" s="126" t="str">
        <f>RIGHT(PisCofinsAliquot[[#This Row],[Código NCM]],8)</f>
        <v>31043010</v>
      </c>
      <c r="D840" s="128"/>
      <c r="E840" s="128"/>
      <c r="F840" s="129" t="s">
        <v>5300</v>
      </c>
      <c r="G840" s="22"/>
      <c r="H840" s="22"/>
      <c r="I840">
        <f>IF(PisCofinsAliquot[[#This Row],[Classificação]]="Alíquota 0",6,IF(PisCofinsAliquot[[#This Row],[Classificação]]="Monofásico",4,IF(PisCofinsAliquot[[#This Row],[Classificação]]="Regra Geral",1,IF(PisCofinsAliquot[[#This Row],[Classificação]]="ST",5))))</f>
        <v>6</v>
      </c>
    </row>
    <row r="841" spans="1:9" ht="45" x14ac:dyDescent="0.25">
      <c r="A841" s="130" t="s">
        <v>5322</v>
      </c>
      <c r="B841" s="150" t="s">
        <v>2701</v>
      </c>
      <c r="C841" s="126" t="str">
        <f>RIGHT(PisCofinsAliquot[[#This Row],[Código NCM]],8)</f>
        <v>31043090</v>
      </c>
      <c r="D841" s="128"/>
      <c r="E841" s="128"/>
      <c r="F841" s="129" t="s">
        <v>5300</v>
      </c>
      <c r="G841" s="22"/>
      <c r="H841" s="22"/>
      <c r="I841">
        <f>IF(PisCofinsAliquot[[#This Row],[Classificação]]="Alíquota 0",6,IF(PisCofinsAliquot[[#This Row],[Classificação]]="Monofásico",4,IF(PisCofinsAliquot[[#This Row],[Classificação]]="Regra Geral",1,IF(PisCofinsAliquot[[#This Row],[Classificação]]="ST",5))))</f>
        <v>6</v>
      </c>
    </row>
    <row r="842" spans="1:9" ht="45" x14ac:dyDescent="0.25">
      <c r="A842" s="130" t="s">
        <v>5323</v>
      </c>
      <c r="B842" s="150" t="s">
        <v>2701</v>
      </c>
      <c r="C842" s="126" t="str">
        <f>RIGHT(PisCofinsAliquot[[#This Row],[Código NCM]],8)</f>
        <v>31049010</v>
      </c>
      <c r="D842" s="128"/>
      <c r="E842" s="128"/>
      <c r="F842" s="129" t="s">
        <v>5300</v>
      </c>
      <c r="G842" s="22"/>
      <c r="H842" s="22"/>
      <c r="I842">
        <f>IF(PisCofinsAliquot[[#This Row],[Classificação]]="Alíquota 0",6,IF(PisCofinsAliquot[[#This Row],[Classificação]]="Monofásico",4,IF(PisCofinsAliquot[[#This Row],[Classificação]]="Regra Geral",1,IF(PisCofinsAliquot[[#This Row],[Classificação]]="ST",5))))</f>
        <v>6</v>
      </c>
    </row>
    <row r="843" spans="1:9" ht="45" x14ac:dyDescent="0.25">
      <c r="A843" s="130" t="s">
        <v>5324</v>
      </c>
      <c r="B843" s="150" t="s">
        <v>2701</v>
      </c>
      <c r="C843" s="126" t="str">
        <f>RIGHT(PisCofinsAliquot[[#This Row],[Código NCM]],8)</f>
        <v>31049090</v>
      </c>
      <c r="D843" s="128"/>
      <c r="E843" s="128"/>
      <c r="F843" s="129" t="s">
        <v>5300</v>
      </c>
      <c r="G843" s="22"/>
      <c r="H843" s="22"/>
      <c r="I843">
        <f>IF(PisCofinsAliquot[[#This Row],[Classificação]]="Alíquota 0",6,IF(PisCofinsAliquot[[#This Row],[Classificação]]="Monofásico",4,IF(PisCofinsAliquot[[#This Row],[Classificação]]="Regra Geral",1,IF(PisCofinsAliquot[[#This Row],[Classificação]]="ST",5))))</f>
        <v>6</v>
      </c>
    </row>
    <row r="844" spans="1:9" ht="45" x14ac:dyDescent="0.25">
      <c r="A844" s="130" t="s">
        <v>5325</v>
      </c>
      <c r="B844" s="150" t="s">
        <v>2701</v>
      </c>
      <c r="C844" s="126" t="str">
        <f>RIGHT(PisCofinsAliquot[[#This Row],[Código NCM]],8)</f>
        <v>31051000</v>
      </c>
      <c r="D844" s="128"/>
      <c r="E844" s="128"/>
      <c r="F844" s="129" t="s">
        <v>5300</v>
      </c>
      <c r="G844" s="22"/>
      <c r="H844" s="22"/>
      <c r="I844">
        <f>IF(PisCofinsAliquot[[#This Row],[Classificação]]="Alíquota 0",6,IF(PisCofinsAliquot[[#This Row],[Classificação]]="Monofásico",4,IF(PisCofinsAliquot[[#This Row],[Classificação]]="Regra Geral",1,IF(PisCofinsAliquot[[#This Row],[Classificação]]="ST",5))))</f>
        <v>6</v>
      </c>
    </row>
    <row r="845" spans="1:9" ht="45" x14ac:dyDescent="0.25">
      <c r="A845" s="130" t="s">
        <v>5326</v>
      </c>
      <c r="B845" s="150" t="s">
        <v>2701</v>
      </c>
      <c r="C845" s="126" t="str">
        <f>RIGHT(PisCofinsAliquot[[#This Row],[Código NCM]],8)</f>
        <v>31053000</v>
      </c>
      <c r="D845" s="128"/>
      <c r="E845" s="128"/>
      <c r="F845" s="129" t="s">
        <v>5300</v>
      </c>
      <c r="G845" s="22"/>
      <c r="H845" s="22"/>
      <c r="I845">
        <f>IF(PisCofinsAliquot[[#This Row],[Classificação]]="Alíquota 0",6,IF(PisCofinsAliquot[[#This Row],[Classificação]]="Monofásico",4,IF(PisCofinsAliquot[[#This Row],[Classificação]]="Regra Geral",1,IF(PisCofinsAliquot[[#This Row],[Classificação]]="ST",5))))</f>
        <v>6</v>
      </c>
    </row>
    <row r="846" spans="1:9" ht="45" x14ac:dyDescent="0.25">
      <c r="A846" s="130" t="s">
        <v>5327</v>
      </c>
      <c r="B846" s="150" t="s">
        <v>2701</v>
      </c>
      <c r="C846" s="126" t="str">
        <f>RIGHT(PisCofinsAliquot[[#This Row],[Código NCM]],8)</f>
        <v>31054000</v>
      </c>
      <c r="D846" s="128"/>
      <c r="E846" s="128"/>
      <c r="F846" s="129" t="s">
        <v>5300</v>
      </c>
      <c r="G846" s="22"/>
      <c r="H846" s="22"/>
      <c r="I846">
        <f>IF(PisCofinsAliquot[[#This Row],[Classificação]]="Alíquota 0",6,IF(PisCofinsAliquot[[#This Row],[Classificação]]="Monofásico",4,IF(PisCofinsAliquot[[#This Row],[Classificação]]="Regra Geral",1,IF(PisCofinsAliquot[[#This Row],[Classificação]]="ST",5))))</f>
        <v>6</v>
      </c>
    </row>
    <row r="847" spans="1:9" ht="45" x14ac:dyDescent="0.25">
      <c r="A847" s="130" t="s">
        <v>5328</v>
      </c>
      <c r="B847" s="150" t="s">
        <v>2701</v>
      </c>
      <c r="C847" s="126" t="str">
        <f>RIGHT(PisCofinsAliquot[[#This Row],[Código NCM]],8)</f>
        <v>31055100</v>
      </c>
      <c r="D847" s="128"/>
      <c r="E847" s="128"/>
      <c r="F847" s="129" t="s">
        <v>5300</v>
      </c>
      <c r="G847" s="22"/>
      <c r="H847" s="22"/>
      <c r="I847">
        <f>IF(PisCofinsAliquot[[#This Row],[Classificação]]="Alíquota 0",6,IF(PisCofinsAliquot[[#This Row],[Classificação]]="Monofásico",4,IF(PisCofinsAliquot[[#This Row],[Classificação]]="Regra Geral",1,IF(PisCofinsAliquot[[#This Row],[Classificação]]="ST",5))))</f>
        <v>6</v>
      </c>
    </row>
    <row r="848" spans="1:9" ht="45" x14ac:dyDescent="0.25">
      <c r="A848" s="130" t="s">
        <v>5329</v>
      </c>
      <c r="B848" s="150" t="s">
        <v>2701</v>
      </c>
      <c r="C848" s="126" t="str">
        <f>RIGHT(PisCofinsAliquot[[#This Row],[Código NCM]],8)</f>
        <v>31055900</v>
      </c>
      <c r="D848" s="128"/>
      <c r="E848" s="128"/>
      <c r="F848" s="129" t="s">
        <v>5300</v>
      </c>
      <c r="G848" s="22"/>
      <c r="H848" s="22"/>
      <c r="I848">
        <f>IF(PisCofinsAliquot[[#This Row],[Classificação]]="Alíquota 0",6,IF(PisCofinsAliquot[[#This Row],[Classificação]]="Monofásico",4,IF(PisCofinsAliquot[[#This Row],[Classificação]]="Regra Geral",1,IF(PisCofinsAliquot[[#This Row],[Classificação]]="ST",5))))</f>
        <v>6</v>
      </c>
    </row>
    <row r="849" spans="1:9" ht="45" x14ac:dyDescent="0.25">
      <c r="A849" s="130" t="s">
        <v>5330</v>
      </c>
      <c r="B849" s="150" t="s">
        <v>2701</v>
      </c>
      <c r="C849" s="126" t="str">
        <f>RIGHT(PisCofinsAliquot[[#This Row],[Código NCM]],8)</f>
        <v>31056000</v>
      </c>
      <c r="D849" s="128"/>
      <c r="E849" s="128"/>
      <c r="F849" s="129" t="s">
        <v>5300</v>
      </c>
      <c r="G849" s="22"/>
      <c r="H849" s="22"/>
      <c r="I849">
        <f>IF(PisCofinsAliquot[[#This Row],[Classificação]]="Alíquota 0",6,IF(PisCofinsAliquot[[#This Row],[Classificação]]="Monofásico",4,IF(PisCofinsAliquot[[#This Row],[Classificação]]="Regra Geral",1,IF(PisCofinsAliquot[[#This Row],[Classificação]]="ST",5))))</f>
        <v>6</v>
      </c>
    </row>
    <row r="850" spans="1:9" ht="45" x14ac:dyDescent="0.25">
      <c r="A850" s="130" t="s">
        <v>5331</v>
      </c>
      <c r="B850" s="150" t="s">
        <v>2701</v>
      </c>
      <c r="C850" s="126" t="str">
        <f>RIGHT(PisCofinsAliquot[[#This Row],[Código NCM]],8)</f>
        <v>31059011</v>
      </c>
      <c r="D850" s="128"/>
      <c r="E850" s="128"/>
      <c r="F850" s="129" t="s">
        <v>5300</v>
      </c>
      <c r="G850" s="22"/>
      <c r="H850" s="22"/>
      <c r="I850">
        <f>IF(PisCofinsAliquot[[#This Row],[Classificação]]="Alíquota 0",6,IF(PisCofinsAliquot[[#This Row],[Classificação]]="Monofásico",4,IF(PisCofinsAliquot[[#This Row],[Classificação]]="Regra Geral",1,IF(PisCofinsAliquot[[#This Row],[Classificação]]="ST",5))))</f>
        <v>6</v>
      </c>
    </row>
    <row r="851" spans="1:9" ht="45" x14ac:dyDescent="0.25">
      <c r="A851" s="130" t="s">
        <v>5332</v>
      </c>
      <c r="B851" s="150" t="s">
        <v>2701</v>
      </c>
      <c r="C851" s="126" t="str">
        <f>RIGHT(PisCofinsAliquot[[#This Row],[Código NCM]],8)</f>
        <v>31059019</v>
      </c>
      <c r="D851" s="128"/>
      <c r="E851" s="128"/>
      <c r="F851" s="129" t="s">
        <v>5300</v>
      </c>
      <c r="G851" s="22"/>
      <c r="H851" s="22"/>
      <c r="I851">
        <f>IF(PisCofinsAliquot[[#This Row],[Classificação]]="Alíquota 0",6,IF(PisCofinsAliquot[[#This Row],[Classificação]]="Monofásico",4,IF(PisCofinsAliquot[[#This Row],[Classificação]]="Regra Geral",1,IF(PisCofinsAliquot[[#This Row],[Classificação]]="ST",5))))</f>
        <v>6</v>
      </c>
    </row>
    <row r="852" spans="1:9" ht="45" x14ac:dyDescent="0.25">
      <c r="A852" s="130" t="s">
        <v>4202</v>
      </c>
      <c r="B852" s="150" t="s">
        <v>2701</v>
      </c>
      <c r="C852" s="126" t="str">
        <f>RIGHT(PisCofinsAliquot[[#This Row],[Código NCM]],8)</f>
        <v>31059090</v>
      </c>
      <c r="D852" s="128"/>
      <c r="E852" s="128"/>
      <c r="F852" s="129" t="s">
        <v>5300</v>
      </c>
      <c r="G852" s="22"/>
      <c r="H852" s="22"/>
      <c r="I852">
        <f>IF(PisCofinsAliquot[[#This Row],[Classificação]]="Alíquota 0",6,IF(PisCofinsAliquot[[#This Row],[Classificação]]="Monofásico",4,IF(PisCofinsAliquot[[#This Row],[Classificação]]="Regra Geral",1,IF(PisCofinsAliquot[[#This Row],[Classificação]]="ST",5))))</f>
        <v>6</v>
      </c>
    </row>
    <row r="853" spans="1:9" ht="45" x14ac:dyDescent="0.25">
      <c r="A853" s="169" t="s">
        <v>3367</v>
      </c>
      <c r="B853" s="170" t="s">
        <v>4634</v>
      </c>
      <c r="C853" s="126" t="str">
        <f>RIGHT(PisCofinsAliquot[[#This Row],[Código NCM]],8)</f>
        <v>21011190</v>
      </c>
      <c r="D853" s="174"/>
      <c r="E853" s="140"/>
      <c r="F853" s="175" t="s">
        <v>5333</v>
      </c>
      <c r="G853" s="176"/>
      <c r="H853" s="176"/>
      <c r="I853">
        <f>IF(PisCofinsAliquot[[#This Row],[Classificação]]="Alíquota 0",6,IF(PisCofinsAliquot[[#This Row],[Classificação]]="Monofásico",4,IF(PisCofinsAliquot[[#This Row],[Classificação]]="Regra Geral",1,IF(PisCofinsAliquot[[#This Row],[Classificação]]="ST",5))))</f>
        <v>1</v>
      </c>
    </row>
    <row r="854" spans="1:9" ht="90" x14ac:dyDescent="0.25">
      <c r="A854" s="177" t="s">
        <v>2731</v>
      </c>
      <c r="B854" s="170" t="s">
        <v>4634</v>
      </c>
      <c r="C854" s="126" t="str">
        <f>RIGHT(PisCofinsAliquot[[#This Row],[Código NCM]],8)</f>
        <v>21011200</v>
      </c>
      <c r="D854" s="178"/>
      <c r="E854" s="179"/>
      <c r="F854" s="175" t="s">
        <v>5334</v>
      </c>
      <c r="G854" s="176"/>
      <c r="H854" s="176"/>
      <c r="I854">
        <f>IF(PisCofinsAliquot[[#This Row],[Classificação]]="Alíquota 0",6,IF(PisCofinsAliquot[[#This Row],[Classificação]]="Monofásico",4,IF(PisCofinsAliquot[[#This Row],[Classificação]]="Regra Geral",1,IF(PisCofinsAliquot[[#This Row],[Classificação]]="ST",5))))</f>
        <v>1</v>
      </c>
    </row>
    <row r="855" spans="1:9" ht="30" x14ac:dyDescent="0.25">
      <c r="A855" s="124" t="s">
        <v>3422</v>
      </c>
      <c r="B855" s="125" t="s">
        <v>2701</v>
      </c>
      <c r="C855" s="126" t="str">
        <f>RIGHT(PisCofinsAliquot[[#This Row],[Código NCM]],8)</f>
        <v>15121110</v>
      </c>
      <c r="D855" s="127"/>
      <c r="E855" s="128"/>
      <c r="F855" s="129" t="s">
        <v>5098</v>
      </c>
      <c r="G855" s="22"/>
      <c r="H855" s="22"/>
      <c r="I855">
        <f>IF(PisCofinsAliquot[[#This Row],[Classificação]]="Alíquota 0",6,IF(PisCofinsAliquot[[#This Row],[Classificação]]="Monofásico",4,IF(PisCofinsAliquot[[#This Row],[Classificação]]="Regra Geral",1,IF(PisCofinsAliquot[[#This Row],[Classificação]]="ST",5))))</f>
        <v>6</v>
      </c>
    </row>
    <row r="856" spans="1:9" ht="30" x14ac:dyDescent="0.25">
      <c r="A856" s="124" t="s">
        <v>5335</v>
      </c>
      <c r="B856" s="125" t="s">
        <v>2701</v>
      </c>
      <c r="C856" s="126" t="str">
        <f>RIGHT(PisCofinsAliquot[[#This Row],[Código NCM]],8)</f>
        <v>15121120</v>
      </c>
      <c r="D856" s="127"/>
      <c r="E856" s="128"/>
      <c r="F856" s="129" t="s">
        <v>5336</v>
      </c>
      <c r="G856" s="22"/>
      <c r="H856" s="22"/>
      <c r="I856">
        <f>IF(PisCofinsAliquot[[#This Row],[Classificação]]="Alíquota 0",6,IF(PisCofinsAliquot[[#This Row],[Classificação]]="Monofásico",4,IF(PisCofinsAliquot[[#This Row],[Classificação]]="Regra Geral",1,IF(PisCofinsAliquot[[#This Row],[Classificação]]="ST",5))))</f>
        <v>6</v>
      </c>
    </row>
    <row r="857" spans="1:9" ht="30" x14ac:dyDescent="0.25">
      <c r="A857" s="124" t="s">
        <v>5337</v>
      </c>
      <c r="B857" s="125" t="s">
        <v>2701</v>
      </c>
      <c r="C857" s="126" t="str">
        <f>RIGHT(PisCofinsAliquot[[#This Row],[Código NCM]],8)</f>
        <v>15121919</v>
      </c>
      <c r="D857" s="127"/>
      <c r="E857" s="128"/>
      <c r="F857" s="129" t="s">
        <v>5338</v>
      </c>
      <c r="G857" s="22"/>
      <c r="H857" s="22"/>
      <c r="I857">
        <f>IF(PisCofinsAliquot[[#This Row],[Classificação]]="Alíquota 0",6,IF(PisCofinsAliquot[[#This Row],[Classificação]]="Monofásico",4,IF(PisCofinsAliquot[[#This Row],[Classificação]]="Regra Geral",1,IF(PisCofinsAliquot[[#This Row],[Classificação]]="ST",5))))</f>
        <v>6</v>
      </c>
    </row>
    <row r="858" spans="1:9" ht="30" x14ac:dyDescent="0.25">
      <c r="A858" s="124" t="s">
        <v>5339</v>
      </c>
      <c r="B858" s="125" t="s">
        <v>2701</v>
      </c>
      <c r="C858" s="126" t="str">
        <f>RIGHT(PisCofinsAliquot[[#This Row],[Código NCM]],8)</f>
        <v>15121920</v>
      </c>
      <c r="D858" s="127"/>
      <c r="E858" s="128"/>
      <c r="F858" s="129" t="s">
        <v>5336</v>
      </c>
      <c r="G858" s="22"/>
      <c r="H858" s="22"/>
      <c r="I858">
        <f>IF(PisCofinsAliquot[[#This Row],[Classificação]]="Alíquota 0",6,IF(PisCofinsAliquot[[#This Row],[Classificação]]="Monofásico",4,IF(PisCofinsAliquot[[#This Row],[Classificação]]="Regra Geral",1,IF(PisCofinsAliquot[[#This Row],[Classificação]]="ST",5))))</f>
        <v>6</v>
      </c>
    </row>
    <row r="859" spans="1:9" ht="30" x14ac:dyDescent="0.25">
      <c r="A859" s="124" t="s">
        <v>5340</v>
      </c>
      <c r="B859" s="125" t="s">
        <v>2701</v>
      </c>
      <c r="C859" s="126" t="str">
        <f>RIGHT(PisCofinsAliquot[[#This Row],[Código NCM]],8)</f>
        <v>15122100</v>
      </c>
      <c r="D859" s="127"/>
      <c r="E859" s="128"/>
      <c r="F859" s="129" t="s">
        <v>5341</v>
      </c>
      <c r="G859" s="22"/>
      <c r="H859" s="22"/>
      <c r="I859">
        <f>IF(PisCofinsAliquot[[#This Row],[Classificação]]="Alíquota 0",6,IF(PisCofinsAliquot[[#This Row],[Classificação]]="Monofásico",4,IF(PisCofinsAliquot[[#This Row],[Classificação]]="Regra Geral",1,IF(PisCofinsAliquot[[#This Row],[Classificação]]="ST",5))))</f>
        <v>6</v>
      </c>
    </row>
    <row r="860" spans="1:9" ht="30" x14ac:dyDescent="0.25">
      <c r="A860" s="124" t="s">
        <v>4736</v>
      </c>
      <c r="B860" s="125" t="s">
        <v>2701</v>
      </c>
      <c r="C860" s="126" t="str">
        <f>RIGHT(PisCofinsAliquot[[#This Row],[Código NCM]],8)</f>
        <v>15122910</v>
      </c>
      <c r="D860" s="127"/>
      <c r="E860" s="128"/>
      <c r="F860" s="129" t="s">
        <v>5341</v>
      </c>
      <c r="G860" s="22"/>
      <c r="H860" s="22"/>
      <c r="I860">
        <f>IF(PisCofinsAliquot[[#This Row],[Classificação]]="Alíquota 0",6,IF(PisCofinsAliquot[[#This Row],[Classificação]]="Monofásico",4,IF(PisCofinsAliquot[[#This Row],[Classificação]]="Regra Geral",1,IF(PisCofinsAliquot[[#This Row],[Classificação]]="ST",5))))</f>
        <v>6</v>
      </c>
    </row>
    <row r="861" spans="1:9" ht="30" x14ac:dyDescent="0.25">
      <c r="A861" s="124" t="s">
        <v>5342</v>
      </c>
      <c r="B861" s="125" t="s">
        <v>2701</v>
      </c>
      <c r="C861" s="126" t="str">
        <f>RIGHT(PisCofinsAliquot[[#This Row],[Código NCM]],8)</f>
        <v>15122990</v>
      </c>
      <c r="D861" s="127"/>
      <c r="E861" s="128"/>
      <c r="F861" s="129" t="s">
        <v>5341</v>
      </c>
      <c r="G861" s="22"/>
      <c r="H861" s="22"/>
      <c r="I861">
        <f>IF(PisCofinsAliquot[[#This Row],[Classificação]]="Alíquota 0",6,IF(PisCofinsAliquot[[#This Row],[Classificação]]="Monofásico",4,IF(PisCofinsAliquot[[#This Row],[Classificação]]="Regra Geral",1,IF(PisCofinsAliquot[[#This Row],[Classificação]]="ST",5))))</f>
        <v>6</v>
      </c>
    </row>
    <row r="862" spans="1:9" ht="30" x14ac:dyDescent="0.25">
      <c r="A862" s="124" t="s">
        <v>5343</v>
      </c>
      <c r="B862" s="125" t="s">
        <v>2701</v>
      </c>
      <c r="C862" s="126" t="str">
        <f>RIGHT(PisCofinsAliquot[[#This Row],[Código NCM]],8)</f>
        <v>15132110</v>
      </c>
      <c r="D862" s="127"/>
      <c r="E862" s="128"/>
      <c r="F862" s="129" t="s">
        <v>5344</v>
      </c>
      <c r="G862" s="22"/>
      <c r="H862" s="22"/>
      <c r="I862">
        <f>IF(PisCofinsAliquot[[#This Row],[Classificação]]="Alíquota 0",6,IF(PisCofinsAliquot[[#This Row],[Classificação]]="Monofásico",4,IF(PisCofinsAliquot[[#This Row],[Classificação]]="Regra Geral",1,IF(PisCofinsAliquot[[#This Row],[Classificação]]="ST",5))))</f>
        <v>6</v>
      </c>
    </row>
    <row r="863" spans="1:9" ht="30" x14ac:dyDescent="0.25">
      <c r="A863" s="124" t="s">
        <v>3578</v>
      </c>
      <c r="B863" s="125" t="s">
        <v>2701</v>
      </c>
      <c r="C863" s="126" t="str">
        <f>RIGHT(PisCofinsAliquot[[#This Row],[Código NCM]],8)</f>
        <v>15132120</v>
      </c>
      <c r="D863" s="127"/>
      <c r="E863" s="128"/>
      <c r="F863" s="129" t="s">
        <v>5345</v>
      </c>
      <c r="G863" s="22"/>
      <c r="H863" s="22"/>
      <c r="I863">
        <f>IF(PisCofinsAliquot[[#This Row],[Classificação]]="Alíquota 0",6,IF(PisCofinsAliquot[[#This Row],[Classificação]]="Monofásico",4,IF(PisCofinsAliquot[[#This Row],[Classificação]]="Regra Geral",1,IF(PisCofinsAliquot[[#This Row],[Classificação]]="ST",5))))</f>
        <v>6</v>
      </c>
    </row>
    <row r="864" spans="1:9" ht="30" x14ac:dyDescent="0.25">
      <c r="A864" s="124" t="s">
        <v>5346</v>
      </c>
      <c r="B864" s="125" t="s">
        <v>2701</v>
      </c>
      <c r="C864" s="126" t="str">
        <f>RIGHT(PisCofinsAliquot[[#This Row],[Código NCM]],8)</f>
        <v>15132910</v>
      </c>
      <c r="D864" s="127"/>
      <c r="E864" s="128"/>
      <c r="F864" s="129" t="s">
        <v>5344</v>
      </c>
      <c r="G864" s="22"/>
      <c r="H864" s="22"/>
      <c r="I864">
        <f>IF(PisCofinsAliquot[[#This Row],[Classificação]]="Alíquota 0",6,IF(PisCofinsAliquot[[#This Row],[Classificação]]="Monofásico",4,IF(PisCofinsAliquot[[#This Row],[Classificação]]="Regra Geral",1,IF(PisCofinsAliquot[[#This Row],[Classificação]]="ST",5))))</f>
        <v>6</v>
      </c>
    </row>
    <row r="865" spans="1:9" ht="30" x14ac:dyDescent="0.25">
      <c r="A865" s="124" t="s">
        <v>5347</v>
      </c>
      <c r="B865" s="125" t="s">
        <v>2701</v>
      </c>
      <c r="C865" s="126" t="str">
        <f>RIGHT(PisCofinsAliquot[[#This Row],[Código NCM]],8)</f>
        <v>15132920</v>
      </c>
      <c r="D865" s="127"/>
      <c r="E865" s="128"/>
      <c r="F865" s="129" t="s">
        <v>5345</v>
      </c>
      <c r="G865" s="22"/>
      <c r="H865" s="22"/>
      <c r="I865">
        <f>IF(PisCofinsAliquot[[#This Row],[Classificação]]="Alíquota 0",6,IF(PisCofinsAliquot[[#This Row],[Classificação]]="Monofásico",4,IF(PisCofinsAliquot[[#This Row],[Classificação]]="Regra Geral",1,IF(PisCofinsAliquot[[#This Row],[Classificação]]="ST",5))))</f>
        <v>6</v>
      </c>
    </row>
    <row r="866" spans="1:9" x14ac:dyDescent="0.25">
      <c r="A866" s="169" t="s">
        <v>3915</v>
      </c>
      <c r="B866" s="125" t="s">
        <v>4634</v>
      </c>
      <c r="C866" s="126" t="str">
        <f>RIGHT(PisCofinsAliquot[[#This Row],[Código NCM]],8)</f>
        <v>19024000</v>
      </c>
      <c r="D866" s="180"/>
      <c r="E866" s="180"/>
      <c r="F866" s="146" t="s">
        <v>5348</v>
      </c>
      <c r="G866" s="176"/>
      <c r="H866" s="176"/>
      <c r="I866">
        <f>IF(PisCofinsAliquot[[#This Row],[Classificação]]="Alíquota 0",6,IF(PisCofinsAliquot[[#This Row],[Classificação]]="Monofásico",4,IF(PisCofinsAliquot[[#This Row],[Classificação]]="Regra Geral",1,IF(PisCofinsAliquot[[#This Row],[Classificação]]="ST",5))))</f>
        <v>1</v>
      </c>
    </row>
    <row r="867" spans="1:9" x14ac:dyDescent="0.25">
      <c r="A867" s="124" t="s">
        <v>5349</v>
      </c>
      <c r="B867" s="125" t="s">
        <v>2701</v>
      </c>
      <c r="C867" s="126" t="str">
        <f>RIGHT(PisCofinsAliquot[[#This Row],[Código NCM]],8)</f>
        <v>05100010</v>
      </c>
      <c r="D867" s="132"/>
      <c r="E867" s="132"/>
      <c r="F867" s="146" t="s">
        <v>5350</v>
      </c>
      <c r="G867" s="22"/>
      <c r="H867" s="22"/>
      <c r="I867">
        <f>IF(PisCofinsAliquot[[#This Row],[Classificação]]="Alíquota 0",6,IF(PisCofinsAliquot[[#This Row],[Classificação]]="Monofásico",4,IF(PisCofinsAliquot[[#This Row],[Classificação]]="Regra Geral",1,IF(PisCofinsAliquot[[#This Row],[Classificação]]="ST",5))))</f>
        <v>6</v>
      </c>
    </row>
    <row r="868" spans="1:9" x14ac:dyDescent="0.25">
      <c r="A868" s="124" t="s">
        <v>5351</v>
      </c>
      <c r="B868" s="125" t="s">
        <v>2701</v>
      </c>
      <c r="C868" s="126" t="str">
        <f>RIGHT(PisCofinsAliquot[[#This Row],[Código NCM]],8)</f>
        <v>15021011</v>
      </c>
      <c r="D868" s="132"/>
      <c r="E868" s="132"/>
      <c r="F868" s="146" t="s">
        <v>5352</v>
      </c>
      <c r="G868" s="22"/>
      <c r="H868" s="22"/>
      <c r="I868">
        <f>IF(PisCofinsAliquot[[#This Row],[Classificação]]="Alíquota 0",6,IF(PisCofinsAliquot[[#This Row],[Classificação]]="Monofásico",4,IF(PisCofinsAliquot[[#This Row],[Classificação]]="Regra Geral",1,IF(PisCofinsAliquot[[#This Row],[Classificação]]="ST",5))))</f>
        <v>6</v>
      </c>
    </row>
    <row r="869" spans="1:9" ht="30" x14ac:dyDescent="0.25">
      <c r="A869" s="124" t="s">
        <v>5353</v>
      </c>
      <c r="B869" s="125" t="s">
        <v>2701</v>
      </c>
      <c r="C869" s="126" t="str">
        <f>RIGHT(PisCofinsAliquot[[#This Row],[Código NCM]],8)</f>
        <v>15021012</v>
      </c>
      <c r="D869" s="132"/>
      <c r="E869" s="132"/>
      <c r="F869" s="146" t="s">
        <v>5354</v>
      </c>
      <c r="G869" s="22"/>
      <c r="H869" s="22"/>
      <c r="I869">
        <f>IF(PisCofinsAliquot[[#This Row],[Classificação]]="Alíquota 0",6,IF(PisCofinsAliquot[[#This Row],[Classificação]]="Monofásico",4,IF(PisCofinsAliquot[[#This Row],[Classificação]]="Regra Geral",1,IF(PisCofinsAliquot[[#This Row],[Classificação]]="ST",5))))</f>
        <v>6</v>
      </c>
    </row>
    <row r="870" spans="1:9" x14ac:dyDescent="0.25">
      <c r="A870" s="124" t="s">
        <v>5355</v>
      </c>
      <c r="B870" s="125" t="s">
        <v>2701</v>
      </c>
      <c r="C870" s="126" t="str">
        <f>RIGHT(PisCofinsAliquot[[#This Row],[Código NCM]],8)</f>
        <v>15021019</v>
      </c>
      <c r="D870" s="132"/>
      <c r="E870" s="132"/>
      <c r="F870" s="146" t="s">
        <v>5356</v>
      </c>
      <c r="G870" s="22"/>
      <c r="H870" s="22"/>
      <c r="I870">
        <f>IF(PisCofinsAliquot[[#This Row],[Classificação]]="Alíquota 0",6,IF(PisCofinsAliquot[[#This Row],[Classificação]]="Monofásico",4,IF(PisCofinsAliquot[[#This Row],[Classificação]]="Regra Geral",1,IF(PisCofinsAliquot[[#This Row],[Classificação]]="ST",5))))</f>
        <v>6</v>
      </c>
    </row>
    <row r="871" spans="1:9" ht="105" x14ac:dyDescent="0.25">
      <c r="A871" s="124" t="s">
        <v>5357</v>
      </c>
      <c r="B871" s="125" t="s">
        <v>2701</v>
      </c>
      <c r="C871" s="126" t="str">
        <f>RIGHT(PisCofinsAliquot[[#This Row],[Código NCM]],8)</f>
        <v>02099000</v>
      </c>
      <c r="D871" s="132"/>
      <c r="E871" s="132"/>
      <c r="F871" s="146" t="s">
        <v>5358</v>
      </c>
      <c r="G871" s="22"/>
      <c r="H871" s="22"/>
      <c r="I871">
        <f>IF(PisCofinsAliquot[[#This Row],[Classificação]]="Alíquota 0",6,IF(PisCofinsAliquot[[#This Row],[Classificação]]="Monofásico",4,IF(PisCofinsAliquot[[#This Row],[Classificação]]="Regra Geral",1,IF(PisCofinsAliquot[[#This Row],[Classificação]]="ST",5))))</f>
        <v>6</v>
      </c>
    </row>
    <row r="872" spans="1:9" ht="60" x14ac:dyDescent="0.25">
      <c r="A872" s="124" t="s">
        <v>5359</v>
      </c>
      <c r="B872" s="125" t="s">
        <v>2701</v>
      </c>
      <c r="C872" s="126" t="str">
        <f>RIGHT(PisCofinsAliquot[[#This Row],[Código NCM]],8)</f>
        <v>02041000</v>
      </c>
      <c r="D872" s="132"/>
      <c r="E872" s="132"/>
      <c r="F872" s="129" t="s">
        <v>5360</v>
      </c>
      <c r="G872" s="22"/>
      <c r="H872" s="22"/>
      <c r="I872">
        <f>IF(PisCofinsAliquot[[#This Row],[Classificação]]="Alíquota 0",6,IF(PisCofinsAliquot[[#This Row],[Classificação]]="Monofásico",4,IF(PisCofinsAliquot[[#This Row],[Classificação]]="Regra Geral",1,IF(PisCofinsAliquot[[#This Row],[Classificação]]="ST",5))))</f>
        <v>6</v>
      </c>
    </row>
    <row r="873" spans="1:9" ht="45" x14ac:dyDescent="0.25">
      <c r="A873" s="124" t="s">
        <v>5361</v>
      </c>
      <c r="B873" s="125" t="s">
        <v>2701</v>
      </c>
      <c r="C873" s="126" t="str">
        <f>RIGHT(PisCofinsAliquot[[#This Row],[Código NCM]],8)</f>
        <v>02042100</v>
      </c>
      <c r="D873" s="132"/>
      <c r="E873" s="132"/>
      <c r="F873" s="129" t="s">
        <v>5362</v>
      </c>
      <c r="G873" s="22"/>
      <c r="H873" s="22"/>
      <c r="I873">
        <f>IF(PisCofinsAliquot[[#This Row],[Classificação]]="Alíquota 0",6,IF(PisCofinsAliquot[[#This Row],[Classificação]]="Monofásico",4,IF(PisCofinsAliquot[[#This Row],[Classificação]]="Regra Geral",1,IF(PisCofinsAliquot[[#This Row],[Classificação]]="ST",5))))</f>
        <v>6</v>
      </c>
    </row>
    <row r="874" spans="1:9" ht="45" x14ac:dyDescent="0.25">
      <c r="A874" s="124" t="s">
        <v>5363</v>
      </c>
      <c r="B874" s="125" t="s">
        <v>2701</v>
      </c>
      <c r="C874" s="126" t="str">
        <f>RIGHT(PisCofinsAliquot[[#This Row],[Código NCM]],8)</f>
        <v>02042300</v>
      </c>
      <c r="D874" s="132"/>
      <c r="E874" s="132"/>
      <c r="F874" s="129" t="s">
        <v>5364</v>
      </c>
      <c r="G874" s="22"/>
      <c r="H874" s="22"/>
      <c r="I874">
        <f>IF(PisCofinsAliquot[[#This Row],[Classificação]]="Alíquota 0",6,IF(PisCofinsAliquot[[#This Row],[Classificação]]="Monofásico",4,IF(PisCofinsAliquot[[#This Row],[Classificação]]="Regra Geral",1,IF(PisCofinsAliquot[[#This Row],[Classificação]]="ST",5))))</f>
        <v>6</v>
      </c>
    </row>
    <row r="875" spans="1:9" ht="60" x14ac:dyDescent="0.25">
      <c r="A875" s="124" t="s">
        <v>5365</v>
      </c>
      <c r="B875" s="125" t="s">
        <v>2701</v>
      </c>
      <c r="C875" s="126" t="str">
        <f>RIGHT(PisCofinsAliquot[[#This Row],[Código NCM]],8)</f>
        <v>02043000</v>
      </c>
      <c r="D875" s="132"/>
      <c r="E875" s="132"/>
      <c r="F875" s="129" t="s">
        <v>5366</v>
      </c>
      <c r="G875" s="22"/>
      <c r="H875" s="22"/>
      <c r="I875">
        <f>IF(PisCofinsAliquot[[#This Row],[Classificação]]="Alíquota 0",6,IF(PisCofinsAliquot[[#This Row],[Classificação]]="Monofásico",4,IF(PisCofinsAliquot[[#This Row],[Classificação]]="Regra Geral",1,IF(PisCofinsAliquot[[#This Row],[Classificação]]="ST",5))))</f>
        <v>6</v>
      </c>
    </row>
    <row r="876" spans="1:9" ht="45" x14ac:dyDescent="0.25">
      <c r="A876" s="124" t="s">
        <v>5367</v>
      </c>
      <c r="B876" s="125" t="s">
        <v>2701</v>
      </c>
      <c r="C876" s="126" t="str">
        <f>RIGHT(PisCofinsAliquot[[#This Row],[Código NCM]],8)</f>
        <v>02044100</v>
      </c>
      <c r="D876" s="132"/>
      <c r="E876" s="132"/>
      <c r="F876" s="129" t="s">
        <v>5362</v>
      </c>
      <c r="G876" s="22"/>
      <c r="H876" s="22"/>
      <c r="I876">
        <f>IF(PisCofinsAliquot[[#This Row],[Classificação]]="Alíquota 0",6,IF(PisCofinsAliquot[[#This Row],[Classificação]]="Monofásico",4,IF(PisCofinsAliquot[[#This Row],[Classificação]]="Regra Geral",1,IF(PisCofinsAliquot[[#This Row],[Classificação]]="ST",5))))</f>
        <v>6</v>
      </c>
    </row>
    <row r="877" spans="1:9" ht="45" x14ac:dyDescent="0.25">
      <c r="A877" s="124" t="s">
        <v>5368</v>
      </c>
      <c r="B877" s="125" t="s">
        <v>2701</v>
      </c>
      <c r="C877" s="126" t="str">
        <f>RIGHT(PisCofinsAliquot[[#This Row],[Código NCM]],8)</f>
        <v>02044300</v>
      </c>
      <c r="D877" s="132"/>
      <c r="E877" s="132"/>
      <c r="F877" s="129" t="s">
        <v>5364</v>
      </c>
      <c r="G877" s="22"/>
      <c r="H877" s="22"/>
      <c r="I877">
        <f>IF(PisCofinsAliquot[[#This Row],[Classificação]]="Alíquota 0",6,IF(PisCofinsAliquot[[#This Row],[Classificação]]="Monofásico",4,IF(PisCofinsAliquot[[#This Row],[Classificação]]="Regra Geral",1,IF(PisCofinsAliquot[[#This Row],[Classificação]]="ST",5))))</f>
        <v>6</v>
      </c>
    </row>
    <row r="878" spans="1:9" ht="60" x14ac:dyDescent="0.25">
      <c r="A878" s="124" t="s">
        <v>5369</v>
      </c>
      <c r="B878" s="125" t="s">
        <v>2701</v>
      </c>
      <c r="C878" s="126" t="str">
        <f>RIGHT(PisCofinsAliquot[[#This Row],[Código NCM]],8)</f>
        <v>02045000</v>
      </c>
      <c r="D878" s="132"/>
      <c r="E878" s="132"/>
      <c r="F878" s="129" t="s">
        <v>5370</v>
      </c>
      <c r="G878" s="22"/>
      <c r="H878" s="22"/>
      <c r="I878">
        <f>IF(PisCofinsAliquot[[#This Row],[Classificação]]="Alíquota 0",6,IF(PisCofinsAliquot[[#This Row],[Classificação]]="Monofásico",4,IF(PisCofinsAliquot[[#This Row],[Classificação]]="Regra Geral",1,IF(PisCofinsAliquot[[#This Row],[Classificação]]="ST",5))))</f>
        <v>6</v>
      </c>
    </row>
    <row r="879" spans="1:9" x14ac:dyDescent="0.25">
      <c r="A879" s="181" t="s">
        <v>172</v>
      </c>
      <c r="B879" s="182" t="s">
        <v>5371</v>
      </c>
      <c r="C879" s="126" t="str">
        <f>RIGHT(PisCofinsAliquot[[#This Row],[Código NCM]],8)</f>
        <v>19059090</v>
      </c>
      <c r="D879" s="183"/>
      <c r="E879" s="184"/>
      <c r="F879" s="184" t="s">
        <v>5372</v>
      </c>
      <c r="G879" s="176"/>
      <c r="H879" s="176"/>
      <c r="I879">
        <f>IF(PisCofinsAliquot[[#This Row],[Classificação]]="Alíquota 0",6,IF(PisCofinsAliquot[[#This Row],[Classificação]]="Monofásico",4,IF(PisCofinsAliquot[[#This Row],[Classificação]]="Regra Geral",1,IF(PisCofinsAliquot[[#This Row],[Classificação]]="ST",5))))</f>
        <v>1</v>
      </c>
    </row>
    <row r="880" spans="1:9" ht="60" x14ac:dyDescent="0.25">
      <c r="A880" s="185" t="s">
        <v>3733</v>
      </c>
      <c r="B880" s="186" t="s">
        <v>5371</v>
      </c>
      <c r="C880" s="126" t="str">
        <f>RIGHT(PisCofinsAliquot[[#This Row],[Código NCM]],8)</f>
        <v>19012000</v>
      </c>
      <c r="D880" s="183"/>
      <c r="E880" s="184"/>
      <c r="F880" s="187" t="s">
        <v>5373</v>
      </c>
      <c r="G880" s="176"/>
      <c r="H880" s="176"/>
      <c r="I880">
        <f>IF(PisCofinsAliquot[[#This Row],[Classificação]]="Alíquota 0",6,IF(PisCofinsAliquot[[#This Row],[Classificação]]="Monofásico",4,IF(PisCofinsAliquot[[#This Row],[Classificação]]="Regra Geral",1,IF(PisCofinsAliquot[[#This Row],[Classificação]]="ST",5))))</f>
        <v>1</v>
      </c>
    </row>
    <row r="881" spans="1:9" x14ac:dyDescent="0.25">
      <c r="A881" s="181" t="s">
        <v>5374</v>
      </c>
      <c r="B881" s="134" t="s">
        <v>2701</v>
      </c>
      <c r="C881" s="126" t="str">
        <f>RIGHT(PisCofinsAliquot[[#This Row],[Código NCM]],8)</f>
        <v>04029100</v>
      </c>
      <c r="D881" s="183"/>
      <c r="E881" s="184"/>
      <c r="F881" s="136" t="s">
        <v>5375</v>
      </c>
      <c r="G881" s="176"/>
      <c r="H881" s="176"/>
      <c r="I881">
        <f>IF(PisCofinsAliquot[[#This Row],[Classificação]]="Alíquota 0",6,IF(PisCofinsAliquot[[#This Row],[Classificação]]="Monofásico",4,IF(PisCofinsAliquot[[#This Row],[Classificação]]="Regra Geral",1,IF(PisCofinsAliquot[[#This Row],[Classificação]]="ST",5))))</f>
        <v>6</v>
      </c>
    </row>
    <row r="882" spans="1:9" x14ac:dyDescent="0.25">
      <c r="A882" s="188" t="s">
        <v>3615</v>
      </c>
      <c r="B882" s="126" t="s">
        <v>2701</v>
      </c>
      <c r="C882" s="126" t="str">
        <f>RIGHT(PisCofinsAliquot[[#This Row],[Código NCM]],8)</f>
        <v>04071100</v>
      </c>
      <c r="D882" s="189"/>
      <c r="E882" s="140"/>
      <c r="F882" s="140" t="s">
        <v>4970</v>
      </c>
      <c r="G882" s="176"/>
      <c r="H882" s="176"/>
      <c r="I882">
        <f>IF(PisCofinsAliquot[[#This Row],[Classificação]]="Alíquota 0",6,IF(PisCofinsAliquot[[#This Row],[Classificação]]="Monofásico",4,IF(PisCofinsAliquot[[#This Row],[Classificação]]="Regra Geral",1,IF(PisCofinsAliquot[[#This Row],[Classificação]]="ST",5))))</f>
        <v>6</v>
      </c>
    </row>
    <row r="883" spans="1:9" x14ac:dyDescent="0.25">
      <c r="A883" s="188" t="s">
        <v>344</v>
      </c>
      <c r="B883" s="125" t="s">
        <v>2701</v>
      </c>
      <c r="C883" s="126" t="str">
        <f>RIGHT(PisCofinsAliquot[[#This Row],[Código NCM]],8)</f>
        <v>07011000</v>
      </c>
      <c r="D883" s="189"/>
      <c r="E883" s="140"/>
      <c r="F883" s="140" t="s">
        <v>5376</v>
      </c>
      <c r="G883" s="176"/>
      <c r="H883" s="176"/>
      <c r="I883">
        <f>IF(PisCofinsAliquot[[#This Row],[Classificação]]="Alíquota 0",6,IF(PisCofinsAliquot[[#This Row],[Classificação]]="Monofásico",4,IF(PisCofinsAliquot[[#This Row],[Classificação]]="Regra Geral",1,IF(PisCofinsAliquot[[#This Row],[Classificação]]="ST",5))))</f>
        <v>6</v>
      </c>
    </row>
    <row r="884" spans="1:9" x14ac:dyDescent="0.25">
      <c r="A884" s="188" t="s">
        <v>5377</v>
      </c>
      <c r="B884" s="125" t="s">
        <v>2701</v>
      </c>
      <c r="C884" s="126" t="str">
        <f>RIGHT(PisCofinsAliquot[[#This Row],[Código NCM]],8)</f>
        <v>07031011</v>
      </c>
      <c r="D884" s="189"/>
      <c r="E884" s="140"/>
      <c r="F884" s="140" t="s">
        <v>5378</v>
      </c>
      <c r="G884" s="176"/>
      <c r="H884" s="176"/>
      <c r="I884">
        <f>IF(PisCofinsAliquot[[#This Row],[Classificação]]="Alíquota 0",6,IF(PisCofinsAliquot[[#This Row],[Classificação]]="Monofásico",4,IF(PisCofinsAliquot[[#This Row],[Classificação]]="Regra Geral",1,IF(PisCofinsAliquot[[#This Row],[Classificação]]="ST",5))))</f>
        <v>6</v>
      </c>
    </row>
    <row r="885" spans="1:9" x14ac:dyDescent="0.25">
      <c r="A885" s="190" t="s">
        <v>5379</v>
      </c>
      <c r="B885" s="125" t="s">
        <v>2701</v>
      </c>
      <c r="C885" s="126" t="str">
        <f>RIGHT(PisCofinsAliquot[[#This Row],[Código NCM]],8)</f>
        <v>07031021</v>
      </c>
      <c r="D885" s="191"/>
      <c r="E885" s="128"/>
      <c r="F885" s="128" t="s">
        <v>5380</v>
      </c>
      <c r="G885" s="22"/>
      <c r="H885" s="22"/>
      <c r="I885">
        <f>IF(PisCofinsAliquot[[#This Row],[Classificação]]="Alíquota 0",6,IF(PisCofinsAliquot[[#This Row],[Classificação]]="Monofásico",4,IF(PisCofinsAliquot[[#This Row],[Classificação]]="Regra Geral",1,IF(PisCofinsAliquot[[#This Row],[Classificação]]="ST",5))))</f>
        <v>6</v>
      </c>
    </row>
    <row r="886" spans="1:9" x14ac:dyDescent="0.25">
      <c r="A886" s="188" t="s">
        <v>5381</v>
      </c>
      <c r="B886" s="125" t="s">
        <v>2701</v>
      </c>
      <c r="C886" s="126" t="str">
        <f>RIGHT(PisCofinsAliquot[[#This Row],[Código NCM]],8)</f>
        <v>07031029</v>
      </c>
      <c r="D886" s="189"/>
      <c r="E886" s="140"/>
      <c r="F886" s="140" t="s">
        <v>5382</v>
      </c>
      <c r="G886" s="176"/>
      <c r="H886" s="176"/>
      <c r="I886">
        <f>IF(PisCofinsAliquot[[#This Row],[Classificação]]="Alíquota 0",6,IF(PisCofinsAliquot[[#This Row],[Classificação]]="Monofásico",4,IF(PisCofinsAliquot[[#This Row],[Classificação]]="Regra Geral",1,IF(PisCofinsAliquot[[#This Row],[Classificação]]="ST",5))))</f>
        <v>6</v>
      </c>
    </row>
    <row r="887" spans="1:9" x14ac:dyDescent="0.25">
      <c r="A887" s="188" t="s">
        <v>5383</v>
      </c>
      <c r="B887" s="125" t="s">
        <v>2701</v>
      </c>
      <c r="C887" s="126" t="str">
        <f>RIGHT(PisCofinsAliquot[[#This Row],[Código NCM]],8)</f>
        <v>07032010</v>
      </c>
      <c r="D887" s="189"/>
      <c r="E887" s="140"/>
      <c r="F887" s="140" t="s">
        <v>5384</v>
      </c>
      <c r="G887" s="176"/>
      <c r="H887" s="176"/>
      <c r="I887">
        <f>IF(PisCofinsAliquot[[#This Row],[Classificação]]="Alíquota 0",6,IF(PisCofinsAliquot[[#This Row],[Classificação]]="Monofásico",4,IF(PisCofinsAliquot[[#This Row],[Classificação]]="Regra Geral",1,IF(PisCofinsAliquot[[#This Row],[Classificação]]="ST",5))))</f>
        <v>6</v>
      </c>
    </row>
    <row r="888" spans="1:9" x14ac:dyDescent="0.25">
      <c r="A888" s="188" t="s">
        <v>5385</v>
      </c>
      <c r="B888" s="125" t="s">
        <v>2701</v>
      </c>
      <c r="C888" s="126" t="str">
        <f>RIGHT(PisCofinsAliquot[[#This Row],[Código NCM]],8)</f>
        <v>07039010</v>
      </c>
      <c r="D888" s="189"/>
      <c r="E888" s="140"/>
      <c r="F888" s="140" t="s">
        <v>5386</v>
      </c>
      <c r="G888" s="176"/>
      <c r="H888" s="176"/>
      <c r="I888">
        <f>IF(PisCofinsAliquot[[#This Row],[Classificação]]="Alíquota 0",6,IF(PisCofinsAliquot[[#This Row],[Classificação]]="Monofásico",4,IF(PisCofinsAliquot[[#This Row],[Classificação]]="Regra Geral",1,IF(PisCofinsAliquot[[#This Row],[Classificação]]="ST",5))))</f>
        <v>6</v>
      </c>
    </row>
    <row r="889" spans="1:9" x14ac:dyDescent="0.25">
      <c r="A889" s="188" t="s">
        <v>5387</v>
      </c>
      <c r="B889" s="125" t="s">
        <v>2701</v>
      </c>
      <c r="C889" s="126" t="str">
        <f>RIGHT(PisCofinsAliquot[[#This Row],[Código NCM]],8)</f>
        <v>07042000</v>
      </c>
      <c r="D889" s="189"/>
      <c r="E889" s="140"/>
      <c r="F889" s="140" t="s">
        <v>5388</v>
      </c>
      <c r="G889" s="176"/>
      <c r="H889" s="176"/>
      <c r="I889">
        <f>IF(PisCofinsAliquot[[#This Row],[Classificação]]="Alíquota 0",6,IF(PisCofinsAliquot[[#This Row],[Classificação]]="Monofásico",4,IF(PisCofinsAliquot[[#This Row],[Classificação]]="Regra Geral",1,IF(PisCofinsAliquot[[#This Row],[Classificação]]="ST",5))))</f>
        <v>6</v>
      </c>
    </row>
    <row r="890" spans="1:9" x14ac:dyDescent="0.25">
      <c r="A890" s="188" t="s">
        <v>3616</v>
      </c>
      <c r="B890" s="125" t="s">
        <v>2701</v>
      </c>
      <c r="C890" s="126" t="str">
        <f>RIGHT(PisCofinsAliquot[[#This Row],[Código NCM]],8)</f>
        <v>07052100</v>
      </c>
      <c r="D890" s="189"/>
      <c r="E890" s="140"/>
      <c r="F890" s="140" t="s">
        <v>4980</v>
      </c>
      <c r="G890" s="176"/>
      <c r="H890" s="176"/>
      <c r="I890">
        <f>IF(PisCofinsAliquot[[#This Row],[Classificação]]="Alíquota 0",6,IF(PisCofinsAliquot[[#This Row],[Classificação]]="Monofásico",4,IF(PisCofinsAliquot[[#This Row],[Classificação]]="Regra Geral",1,IF(PisCofinsAliquot[[#This Row],[Classificação]]="ST",5))))</f>
        <v>6</v>
      </c>
    </row>
    <row r="891" spans="1:9" x14ac:dyDescent="0.25">
      <c r="A891" s="188" t="s">
        <v>5389</v>
      </c>
      <c r="B891" s="125" t="s">
        <v>2701</v>
      </c>
      <c r="C891" s="126" t="str">
        <f>RIGHT(PisCofinsAliquot[[#This Row],[Código NCM]],8)</f>
        <v>07081000</v>
      </c>
      <c r="D891" s="189"/>
      <c r="E891" s="140"/>
      <c r="F891" s="140" t="s">
        <v>5390</v>
      </c>
      <c r="G891" s="176"/>
      <c r="H891" s="176"/>
      <c r="I891">
        <f>IF(PisCofinsAliquot[[#This Row],[Classificação]]="Alíquota 0",6,IF(PisCofinsAliquot[[#This Row],[Classificação]]="Monofásico",4,IF(PisCofinsAliquot[[#This Row],[Classificação]]="Regra Geral",1,IF(PisCofinsAliquot[[#This Row],[Classificação]]="ST",5))))</f>
        <v>6</v>
      </c>
    </row>
    <row r="892" spans="1:9" x14ac:dyDescent="0.25">
      <c r="A892" s="188" t="s">
        <v>5391</v>
      </c>
      <c r="B892" s="125" t="s">
        <v>2701</v>
      </c>
      <c r="C892" s="126" t="str">
        <f>RIGHT(PisCofinsAliquot[[#This Row],[Código NCM]],8)</f>
        <v>07094000</v>
      </c>
      <c r="D892" s="189"/>
      <c r="E892" s="140"/>
      <c r="F892" s="140" t="s">
        <v>5392</v>
      </c>
      <c r="G892" s="176"/>
      <c r="H892" s="176"/>
      <c r="I892">
        <f>IF(PisCofinsAliquot[[#This Row],[Classificação]]="Alíquota 0",6,IF(PisCofinsAliquot[[#This Row],[Classificação]]="Monofásico",4,IF(PisCofinsAliquot[[#This Row],[Classificação]]="Regra Geral",1,IF(PisCofinsAliquot[[#This Row],[Classificação]]="ST",5))))</f>
        <v>6</v>
      </c>
    </row>
    <row r="893" spans="1:9" x14ac:dyDescent="0.25">
      <c r="A893" s="190" t="s">
        <v>5393</v>
      </c>
      <c r="B893" s="125" t="s">
        <v>2701</v>
      </c>
      <c r="C893" s="126" t="str">
        <f>RIGHT(PisCofinsAliquot[[#This Row],[Código NCM]],8)</f>
        <v>07099100</v>
      </c>
      <c r="D893" s="191"/>
      <c r="E893" s="128"/>
      <c r="F893" s="128" t="s">
        <v>5394</v>
      </c>
      <c r="G893" s="22"/>
      <c r="H893" s="22"/>
      <c r="I893">
        <f>IF(PisCofinsAliquot[[#This Row],[Classificação]]="Alíquota 0",6,IF(PisCofinsAliquot[[#This Row],[Classificação]]="Monofásico",4,IF(PisCofinsAliquot[[#This Row],[Classificação]]="Regra Geral",1,IF(PisCofinsAliquot[[#This Row],[Classificação]]="ST",5))))</f>
        <v>6</v>
      </c>
    </row>
    <row r="894" spans="1:9" x14ac:dyDescent="0.25">
      <c r="A894" s="188" t="s">
        <v>5395</v>
      </c>
      <c r="B894" s="125" t="s">
        <v>2701</v>
      </c>
      <c r="C894" s="126" t="str">
        <f>RIGHT(PisCofinsAliquot[[#This Row],[Código NCM]],8)</f>
        <v>07099200</v>
      </c>
      <c r="D894" s="189"/>
      <c r="E894" s="140"/>
      <c r="F894" s="140" t="s">
        <v>5396</v>
      </c>
      <c r="G894" s="176"/>
      <c r="H894" s="176"/>
      <c r="I894">
        <f>IF(PisCofinsAliquot[[#This Row],[Classificação]]="Alíquota 0",6,IF(PisCofinsAliquot[[#This Row],[Classificação]]="Monofásico",4,IF(PisCofinsAliquot[[#This Row],[Classificação]]="Regra Geral",1,IF(PisCofinsAliquot[[#This Row],[Classificação]]="ST",5))))</f>
        <v>6</v>
      </c>
    </row>
    <row r="895" spans="1:9" x14ac:dyDescent="0.25">
      <c r="A895" s="188" t="s">
        <v>5397</v>
      </c>
      <c r="B895" s="125" t="s">
        <v>2701</v>
      </c>
      <c r="C895" s="126" t="str">
        <f>RIGHT(PisCofinsAliquot[[#This Row],[Código NCM]],8)</f>
        <v>07099911</v>
      </c>
      <c r="D895" s="189"/>
      <c r="E895" s="140"/>
      <c r="F895" s="140" t="s">
        <v>5398</v>
      </c>
      <c r="G895" s="176"/>
      <c r="H895" s="176"/>
      <c r="I895">
        <f>IF(PisCofinsAliquot[[#This Row],[Classificação]]="Alíquota 0",6,IF(PisCofinsAliquot[[#This Row],[Classificação]]="Monofásico",4,IF(PisCofinsAliquot[[#This Row],[Classificação]]="Regra Geral",1,IF(PisCofinsAliquot[[#This Row],[Classificação]]="ST",5))))</f>
        <v>6</v>
      </c>
    </row>
    <row r="896" spans="1:9" x14ac:dyDescent="0.25">
      <c r="A896" s="188" t="s">
        <v>5399</v>
      </c>
      <c r="B896" s="125" t="s">
        <v>2701</v>
      </c>
      <c r="C896" s="126" t="str">
        <f>RIGHT(PisCofinsAliquot[[#This Row],[Código NCM]],8)</f>
        <v>07102200</v>
      </c>
      <c r="D896" s="189"/>
      <c r="E896" s="140"/>
      <c r="F896" s="140" t="s">
        <v>5400</v>
      </c>
      <c r="G896" s="176"/>
      <c r="H896" s="176"/>
      <c r="I896">
        <f>IF(PisCofinsAliquot[[#This Row],[Classificação]]="Alíquota 0",6,IF(PisCofinsAliquot[[#This Row],[Classificação]]="Monofásico",4,IF(PisCofinsAliquot[[#This Row],[Classificação]]="Regra Geral",1,IF(PisCofinsAliquot[[#This Row],[Classificação]]="ST",5))))</f>
        <v>6</v>
      </c>
    </row>
    <row r="897" spans="1:9" x14ac:dyDescent="0.25">
      <c r="A897" s="188" t="s">
        <v>5401</v>
      </c>
      <c r="B897" s="125" t="s">
        <v>2701</v>
      </c>
      <c r="C897" s="126" t="str">
        <f>RIGHT(PisCofinsAliquot[[#This Row],[Código NCM]],8)</f>
        <v>07109000</v>
      </c>
      <c r="D897" s="189"/>
      <c r="E897" s="140"/>
      <c r="F897" s="140" t="s">
        <v>5402</v>
      </c>
      <c r="G897" s="176"/>
      <c r="H897" s="176"/>
      <c r="I897">
        <f>IF(PisCofinsAliquot[[#This Row],[Classificação]]="Alíquota 0",6,IF(PisCofinsAliquot[[#This Row],[Classificação]]="Monofásico",4,IF(PisCofinsAliquot[[#This Row],[Classificação]]="Regra Geral",1,IF(PisCofinsAliquot[[#This Row],[Classificação]]="ST",5))))</f>
        <v>6</v>
      </c>
    </row>
    <row r="898" spans="1:9" x14ac:dyDescent="0.25">
      <c r="A898" s="190" t="s">
        <v>5403</v>
      </c>
      <c r="B898" s="125" t="s">
        <v>2701</v>
      </c>
      <c r="C898" s="126" t="str">
        <f>RIGHT(PisCofinsAliquot[[#This Row],[Código NCM]],8)</f>
        <v>07112020</v>
      </c>
      <c r="D898" s="191"/>
      <c r="E898" s="128"/>
      <c r="F898" s="128" t="s">
        <v>5404</v>
      </c>
      <c r="G898" s="22"/>
      <c r="H898" s="22"/>
      <c r="I898">
        <f>IF(PisCofinsAliquot[[#This Row],[Classificação]]="Alíquota 0",6,IF(PisCofinsAliquot[[#This Row],[Classificação]]="Monofásico",4,IF(PisCofinsAliquot[[#This Row],[Classificação]]="Regra Geral",1,IF(PisCofinsAliquot[[#This Row],[Classificação]]="ST",5))))</f>
        <v>6</v>
      </c>
    </row>
    <row r="899" spans="1:9" x14ac:dyDescent="0.25">
      <c r="A899" s="188" t="s">
        <v>416</v>
      </c>
      <c r="B899" s="125" t="s">
        <v>2701</v>
      </c>
      <c r="C899" s="126" t="str">
        <f>RIGHT(PisCofinsAliquot[[#This Row],[Código NCM]],8)</f>
        <v>07112090</v>
      </c>
      <c r="D899" s="189"/>
      <c r="E899" s="140"/>
      <c r="F899" s="140" t="s">
        <v>5405</v>
      </c>
      <c r="G899" s="176"/>
      <c r="H899" s="176"/>
      <c r="I899">
        <f>IF(PisCofinsAliquot[[#This Row],[Classificação]]="Alíquota 0",6,IF(PisCofinsAliquot[[#This Row],[Classificação]]="Monofásico",4,IF(PisCofinsAliquot[[#This Row],[Classificação]]="Regra Geral",1,IF(PisCofinsAliquot[[#This Row],[Classificação]]="ST",5))))</f>
        <v>6</v>
      </c>
    </row>
    <row r="900" spans="1:9" x14ac:dyDescent="0.25">
      <c r="A900" s="190" t="s">
        <v>4372</v>
      </c>
      <c r="B900" s="125" t="s">
        <v>2701</v>
      </c>
      <c r="C900" s="126" t="str">
        <f>RIGHT(PisCofinsAliquot[[#This Row],[Código NCM]],8)</f>
        <v>07115100</v>
      </c>
      <c r="D900" s="191"/>
      <c r="E900" s="128"/>
      <c r="F900" s="128" t="s">
        <v>5406</v>
      </c>
      <c r="G900" s="22"/>
      <c r="H900" s="22"/>
      <c r="I900">
        <f>IF(PisCofinsAliquot[[#This Row],[Classificação]]="Alíquota 0",6,IF(PisCofinsAliquot[[#This Row],[Classificação]]="Monofásico",4,IF(PisCofinsAliquot[[#This Row],[Classificação]]="Regra Geral",1,IF(PisCofinsAliquot[[#This Row],[Classificação]]="ST",5))))</f>
        <v>6</v>
      </c>
    </row>
    <row r="901" spans="1:9" x14ac:dyDescent="0.25">
      <c r="A901" s="190" t="s">
        <v>5407</v>
      </c>
      <c r="B901" s="125" t="s">
        <v>2701</v>
      </c>
      <c r="C901" s="126" t="str">
        <f>RIGHT(PisCofinsAliquot[[#This Row],[Código NCM]],8)</f>
        <v>07115900</v>
      </c>
      <c r="D901" s="191"/>
      <c r="E901" s="128"/>
      <c r="F901" s="128" t="s">
        <v>5408</v>
      </c>
      <c r="G901" s="22"/>
      <c r="H901" s="22"/>
      <c r="I901">
        <f>IF(PisCofinsAliquot[[#This Row],[Classificação]]="Alíquota 0",6,IF(PisCofinsAliquot[[#This Row],[Classificação]]="Monofásico",4,IF(PisCofinsAliquot[[#This Row],[Classificação]]="Regra Geral",1,IF(PisCofinsAliquot[[#This Row],[Classificação]]="ST",5))))</f>
        <v>6</v>
      </c>
    </row>
    <row r="902" spans="1:9" x14ac:dyDescent="0.25">
      <c r="A902" s="188" t="s">
        <v>4238</v>
      </c>
      <c r="B902" s="125" t="s">
        <v>2701</v>
      </c>
      <c r="C902" s="126" t="str">
        <f>RIGHT(PisCofinsAliquot[[#This Row],[Código NCM]],8)</f>
        <v>07119000</v>
      </c>
      <c r="D902" s="189"/>
      <c r="E902" s="140"/>
      <c r="F902" s="140" t="s">
        <v>5409</v>
      </c>
      <c r="G902" s="176"/>
      <c r="H902" s="176"/>
      <c r="I902">
        <f>IF(PisCofinsAliquot[[#This Row],[Classificação]]="Alíquota 0",6,IF(PisCofinsAliquot[[#This Row],[Classificação]]="Monofásico",4,IF(PisCofinsAliquot[[#This Row],[Classificação]]="Regra Geral",1,IF(PisCofinsAliquot[[#This Row],[Classificação]]="ST",5))))</f>
        <v>6</v>
      </c>
    </row>
    <row r="903" spans="1:9" x14ac:dyDescent="0.25">
      <c r="A903" s="190" t="s">
        <v>5410</v>
      </c>
      <c r="B903" s="125" t="s">
        <v>2701</v>
      </c>
      <c r="C903" s="126" t="str">
        <f>RIGHT(PisCofinsAliquot[[#This Row],[Código NCM]],8)</f>
        <v>07123200</v>
      </c>
      <c r="D903" s="191"/>
      <c r="E903" s="128"/>
      <c r="F903" s="128" t="s">
        <v>5411</v>
      </c>
      <c r="G903" s="22"/>
      <c r="H903" s="22"/>
      <c r="I903">
        <f>IF(PisCofinsAliquot[[#This Row],[Classificação]]="Alíquota 0",6,IF(PisCofinsAliquot[[#This Row],[Classificação]]="Monofásico",4,IF(PisCofinsAliquot[[#This Row],[Classificação]]="Regra Geral",1,IF(PisCofinsAliquot[[#This Row],[Classificação]]="ST",5))))</f>
        <v>6</v>
      </c>
    </row>
    <row r="904" spans="1:9" x14ac:dyDescent="0.25">
      <c r="A904" s="190" t="s">
        <v>5412</v>
      </c>
      <c r="B904" s="125" t="s">
        <v>2701</v>
      </c>
      <c r="C904" s="126" t="str">
        <f>RIGHT(PisCofinsAliquot[[#This Row],[Código NCM]],8)</f>
        <v>07123300</v>
      </c>
      <c r="D904" s="191"/>
      <c r="E904" s="128"/>
      <c r="F904" s="128" t="s">
        <v>5413</v>
      </c>
      <c r="G904" s="22"/>
      <c r="H904" s="22"/>
      <c r="I904">
        <f>IF(PisCofinsAliquot[[#This Row],[Classificação]]="Alíquota 0",6,IF(PisCofinsAliquot[[#This Row],[Classificação]]="Monofásico",4,IF(PisCofinsAliquot[[#This Row],[Classificação]]="Regra Geral",1,IF(PisCofinsAliquot[[#This Row],[Classificação]]="ST",5))))</f>
        <v>6</v>
      </c>
    </row>
    <row r="905" spans="1:9" x14ac:dyDescent="0.25">
      <c r="A905" s="188" t="s">
        <v>4557</v>
      </c>
      <c r="B905" s="125" t="s">
        <v>2701</v>
      </c>
      <c r="C905" s="126" t="str">
        <f>RIGHT(PisCofinsAliquot[[#This Row],[Código NCM]],8)</f>
        <v>07123900</v>
      </c>
      <c r="D905" s="189"/>
      <c r="E905" s="140"/>
      <c r="F905" s="140" t="s">
        <v>5414</v>
      </c>
      <c r="G905" s="176"/>
      <c r="H905" s="176"/>
      <c r="I905">
        <f>IF(PisCofinsAliquot[[#This Row],[Classificação]]="Alíquota 0",6,IF(PisCofinsAliquot[[#This Row],[Classificação]]="Monofásico",4,IF(PisCofinsAliquot[[#This Row],[Classificação]]="Regra Geral",1,IF(PisCofinsAliquot[[#This Row],[Classificação]]="ST",5))))</f>
        <v>6</v>
      </c>
    </row>
    <row r="906" spans="1:9" x14ac:dyDescent="0.25">
      <c r="A906" s="188" t="s">
        <v>5415</v>
      </c>
      <c r="B906" s="125" t="s">
        <v>2701</v>
      </c>
      <c r="C906" s="126" t="str">
        <f>RIGHT(PisCofinsAliquot[[#This Row],[Código NCM]],8)</f>
        <v>07131010</v>
      </c>
      <c r="D906" s="189"/>
      <c r="E906" s="140"/>
      <c r="F906" s="140" t="s">
        <v>5416</v>
      </c>
      <c r="G906" s="176"/>
      <c r="H906" s="176"/>
      <c r="I906">
        <f>IF(PisCofinsAliquot[[#This Row],[Classificação]]="Alíquota 0",6,IF(PisCofinsAliquot[[#This Row],[Classificação]]="Monofásico",4,IF(PisCofinsAliquot[[#This Row],[Classificação]]="Regra Geral",1,IF(PisCofinsAliquot[[#This Row],[Classificação]]="ST",5))))</f>
        <v>6</v>
      </c>
    </row>
    <row r="907" spans="1:9" x14ac:dyDescent="0.25">
      <c r="A907" s="188" t="s">
        <v>5417</v>
      </c>
      <c r="B907" s="125" t="s">
        <v>2701</v>
      </c>
      <c r="C907" s="126" t="str">
        <f>RIGHT(PisCofinsAliquot[[#This Row],[Código NCM]],8)</f>
        <v>07132010</v>
      </c>
      <c r="D907" s="189"/>
      <c r="E907" s="140"/>
      <c r="F907" s="140" t="s">
        <v>5418</v>
      </c>
      <c r="G907" s="176"/>
      <c r="H907" s="176"/>
      <c r="I907">
        <f>IF(PisCofinsAliquot[[#This Row],[Classificação]]="Alíquota 0",6,IF(PisCofinsAliquot[[#This Row],[Classificação]]="Monofásico",4,IF(PisCofinsAliquot[[#This Row],[Classificação]]="Regra Geral",1,IF(PisCofinsAliquot[[#This Row],[Classificação]]="ST",5))))</f>
        <v>6</v>
      </c>
    </row>
    <row r="908" spans="1:9" x14ac:dyDescent="0.25">
      <c r="A908" s="190" t="s">
        <v>5419</v>
      </c>
      <c r="B908" s="125" t="s">
        <v>2701</v>
      </c>
      <c r="C908" s="126" t="str">
        <f>RIGHT(PisCofinsAliquot[[#This Row],[Código NCM]],8)</f>
        <v>07133110</v>
      </c>
      <c r="D908" s="191"/>
      <c r="E908" s="128"/>
      <c r="F908" s="128" t="s">
        <v>5420</v>
      </c>
      <c r="G908" s="22"/>
      <c r="H908" s="22"/>
      <c r="I908">
        <f>IF(PisCofinsAliquot[[#This Row],[Classificação]]="Alíquota 0",6,IF(PisCofinsAliquot[[#This Row],[Classificação]]="Monofásico",4,IF(PisCofinsAliquot[[#This Row],[Classificação]]="Regra Geral",1,IF(PisCofinsAliquot[[#This Row],[Classificação]]="ST",5))))</f>
        <v>6</v>
      </c>
    </row>
    <row r="909" spans="1:9" x14ac:dyDescent="0.25">
      <c r="A909" s="188" t="s">
        <v>5421</v>
      </c>
      <c r="B909" s="125" t="s">
        <v>2701</v>
      </c>
      <c r="C909" s="126" t="str">
        <f>RIGHT(PisCofinsAliquot[[#This Row],[Código NCM]],8)</f>
        <v>07133190</v>
      </c>
      <c r="D909" s="189"/>
      <c r="E909" s="140"/>
      <c r="F909" s="140" t="s">
        <v>5422</v>
      </c>
      <c r="G909" s="176"/>
      <c r="H909" s="176"/>
      <c r="I909">
        <f>IF(PisCofinsAliquot[[#This Row],[Classificação]]="Alíquota 0",6,IF(PisCofinsAliquot[[#This Row],[Classificação]]="Monofásico",4,IF(PisCofinsAliquot[[#This Row],[Classificação]]="Regra Geral",1,IF(PisCofinsAliquot[[#This Row],[Classificação]]="ST",5))))</f>
        <v>6</v>
      </c>
    </row>
    <row r="910" spans="1:9" x14ac:dyDescent="0.25">
      <c r="A910" s="190" t="s">
        <v>5423</v>
      </c>
      <c r="B910" s="125" t="s">
        <v>2701</v>
      </c>
      <c r="C910" s="126" t="str">
        <f>RIGHT(PisCofinsAliquot[[#This Row],[Código NCM]],8)</f>
        <v>07133210</v>
      </c>
      <c r="D910" s="191"/>
      <c r="E910" s="128"/>
      <c r="F910" s="128" t="s">
        <v>5424</v>
      </c>
      <c r="G910" s="22"/>
      <c r="H910" s="22"/>
      <c r="I910">
        <f>IF(PisCofinsAliquot[[#This Row],[Classificação]]="Alíquota 0",6,IF(PisCofinsAliquot[[#This Row],[Classificação]]="Monofásico",4,IF(PisCofinsAliquot[[#This Row],[Classificação]]="Regra Geral",1,IF(PisCofinsAliquot[[#This Row],[Classificação]]="ST",5))))</f>
        <v>6</v>
      </c>
    </row>
    <row r="911" spans="1:9" x14ac:dyDescent="0.25">
      <c r="A911" s="188" t="s">
        <v>3572</v>
      </c>
      <c r="B911" s="125" t="s">
        <v>2701</v>
      </c>
      <c r="C911" s="126" t="str">
        <f>RIGHT(PisCofinsAliquot[[#This Row],[Código NCM]],8)</f>
        <v>07133290</v>
      </c>
      <c r="D911" s="189"/>
      <c r="E911" s="140"/>
      <c r="F911" s="140" t="s">
        <v>5014</v>
      </c>
      <c r="G911" s="176"/>
      <c r="H911" s="176"/>
      <c r="I911">
        <f>IF(PisCofinsAliquot[[#This Row],[Classificação]]="Alíquota 0",6,IF(PisCofinsAliquot[[#This Row],[Classificação]]="Monofásico",4,IF(PisCofinsAliquot[[#This Row],[Classificação]]="Regra Geral",1,IF(PisCofinsAliquot[[#This Row],[Classificação]]="ST",5))))</f>
        <v>6</v>
      </c>
    </row>
    <row r="912" spans="1:9" x14ac:dyDescent="0.25">
      <c r="A912" s="188" t="s">
        <v>5425</v>
      </c>
      <c r="B912" s="125" t="s">
        <v>2701</v>
      </c>
      <c r="C912" s="126" t="str">
        <f>RIGHT(PisCofinsAliquot[[#This Row],[Código NCM]],8)</f>
        <v>07133311</v>
      </c>
      <c r="D912" s="189"/>
      <c r="E912" s="140"/>
      <c r="F912" s="140" t="s">
        <v>5426</v>
      </c>
      <c r="G912" s="176"/>
      <c r="H912" s="176"/>
      <c r="I912">
        <f>IF(PisCofinsAliquot[[#This Row],[Classificação]]="Alíquota 0",6,IF(PisCofinsAliquot[[#This Row],[Classificação]]="Monofásico",4,IF(PisCofinsAliquot[[#This Row],[Classificação]]="Regra Geral",1,IF(PisCofinsAliquot[[#This Row],[Classificação]]="ST",5))))</f>
        <v>6</v>
      </c>
    </row>
    <row r="913" spans="1:9" x14ac:dyDescent="0.25">
      <c r="A913" s="188" t="s">
        <v>5427</v>
      </c>
      <c r="B913" s="125" t="s">
        <v>2701</v>
      </c>
      <c r="C913" s="126" t="str">
        <f>RIGHT(PisCofinsAliquot[[#This Row],[Código NCM]],8)</f>
        <v>07133321</v>
      </c>
      <c r="D913" s="189"/>
      <c r="E913" s="140"/>
      <c r="F913" s="140" t="s">
        <v>5428</v>
      </c>
      <c r="G913" s="176"/>
      <c r="H913" s="176"/>
      <c r="I913">
        <f>IF(PisCofinsAliquot[[#This Row],[Classificação]]="Alíquota 0",6,IF(PisCofinsAliquot[[#This Row],[Classificação]]="Monofásico",4,IF(PisCofinsAliquot[[#This Row],[Classificação]]="Regra Geral",1,IF(PisCofinsAliquot[[#This Row],[Classificação]]="ST",5))))</f>
        <v>6</v>
      </c>
    </row>
    <row r="914" spans="1:9" x14ac:dyDescent="0.25">
      <c r="A914" s="188" t="s">
        <v>5429</v>
      </c>
      <c r="B914" s="125" t="s">
        <v>2701</v>
      </c>
      <c r="C914" s="126" t="str">
        <f>RIGHT(PisCofinsAliquot[[#This Row],[Código NCM]],8)</f>
        <v>07133391</v>
      </c>
      <c r="D914" s="189"/>
      <c r="E914" s="140"/>
      <c r="F914" s="140" t="s">
        <v>5430</v>
      </c>
      <c r="G914" s="176"/>
      <c r="H914" s="176"/>
      <c r="I914">
        <f>IF(PisCofinsAliquot[[#This Row],[Classificação]]="Alíquota 0",6,IF(PisCofinsAliquot[[#This Row],[Classificação]]="Monofásico",4,IF(PisCofinsAliquot[[#This Row],[Classificação]]="Regra Geral",1,IF(PisCofinsAliquot[[#This Row],[Classificação]]="ST",5))))</f>
        <v>6</v>
      </c>
    </row>
    <row r="915" spans="1:9" x14ac:dyDescent="0.25">
      <c r="A915" s="190" t="s">
        <v>5431</v>
      </c>
      <c r="B915" s="125" t="s">
        <v>2701</v>
      </c>
      <c r="C915" s="126" t="str">
        <f>RIGHT(PisCofinsAliquot[[#This Row],[Código NCM]],8)</f>
        <v>07133410</v>
      </c>
      <c r="D915" s="191"/>
      <c r="E915" s="128"/>
      <c r="F915" s="128" t="s">
        <v>5432</v>
      </c>
      <c r="G915" s="22"/>
      <c r="H915" s="22"/>
      <c r="I915">
        <f>IF(PisCofinsAliquot[[#This Row],[Classificação]]="Alíquota 0",6,IF(PisCofinsAliquot[[#This Row],[Classificação]]="Monofásico",4,IF(PisCofinsAliquot[[#This Row],[Classificação]]="Regra Geral",1,IF(PisCofinsAliquot[[#This Row],[Classificação]]="ST",5))))</f>
        <v>6</v>
      </c>
    </row>
    <row r="916" spans="1:9" x14ac:dyDescent="0.25">
      <c r="A916" s="188" t="s">
        <v>5433</v>
      </c>
      <c r="B916" s="125" t="s">
        <v>2701</v>
      </c>
      <c r="C916" s="126" t="str">
        <f>RIGHT(PisCofinsAliquot[[#This Row],[Código NCM]],8)</f>
        <v>07133490</v>
      </c>
      <c r="D916" s="189"/>
      <c r="E916" s="140"/>
      <c r="F916" s="140" t="s">
        <v>5434</v>
      </c>
      <c r="G916" s="176"/>
      <c r="H916" s="176"/>
      <c r="I916">
        <f>IF(PisCofinsAliquot[[#This Row],[Classificação]]="Alíquota 0",6,IF(PisCofinsAliquot[[#This Row],[Classificação]]="Monofásico",4,IF(PisCofinsAliquot[[#This Row],[Classificação]]="Regra Geral",1,IF(PisCofinsAliquot[[#This Row],[Classificação]]="ST",5))))</f>
        <v>6</v>
      </c>
    </row>
    <row r="917" spans="1:9" x14ac:dyDescent="0.25">
      <c r="A917" s="188" t="s">
        <v>5435</v>
      </c>
      <c r="B917" s="125" t="s">
        <v>2701</v>
      </c>
      <c r="C917" s="126" t="str">
        <f>RIGHT(PisCofinsAliquot[[#This Row],[Código NCM]],8)</f>
        <v>07133510</v>
      </c>
      <c r="D917" s="189"/>
      <c r="E917" s="140"/>
      <c r="F917" s="140" t="s">
        <v>5436</v>
      </c>
      <c r="G917" s="176"/>
      <c r="H917" s="176"/>
      <c r="I917">
        <f>IF(PisCofinsAliquot[[#This Row],[Classificação]]="Alíquota 0",6,IF(PisCofinsAliquot[[#This Row],[Classificação]]="Monofásico",4,IF(PisCofinsAliquot[[#This Row],[Classificação]]="Regra Geral",1,IF(PisCofinsAliquot[[#This Row],[Classificação]]="ST",5))))</f>
        <v>6</v>
      </c>
    </row>
    <row r="918" spans="1:9" x14ac:dyDescent="0.25">
      <c r="A918" s="190" t="s">
        <v>5437</v>
      </c>
      <c r="B918" s="125" t="s">
        <v>2701</v>
      </c>
      <c r="C918" s="126" t="str">
        <f>RIGHT(PisCofinsAliquot[[#This Row],[Código NCM]],8)</f>
        <v>07133910</v>
      </c>
      <c r="D918" s="191"/>
      <c r="E918" s="128"/>
      <c r="F918" s="128" t="s">
        <v>5438</v>
      </c>
      <c r="G918" s="22"/>
      <c r="H918" s="22"/>
      <c r="I918">
        <f>IF(PisCofinsAliquot[[#This Row],[Classificação]]="Alíquota 0",6,IF(PisCofinsAliquot[[#This Row],[Classificação]]="Monofásico",4,IF(PisCofinsAliquot[[#This Row],[Classificação]]="Regra Geral",1,IF(PisCofinsAliquot[[#This Row],[Classificação]]="ST",5))))</f>
        <v>6</v>
      </c>
    </row>
    <row r="919" spans="1:9" x14ac:dyDescent="0.25">
      <c r="A919" s="188" t="s">
        <v>3573</v>
      </c>
      <c r="B919" s="125" t="s">
        <v>2701</v>
      </c>
      <c r="C919" s="126" t="str">
        <f>RIGHT(PisCofinsAliquot[[#This Row],[Código NCM]],8)</f>
        <v>07133990</v>
      </c>
      <c r="D919" s="189"/>
      <c r="E919" s="140"/>
      <c r="F919" s="140" t="s">
        <v>5014</v>
      </c>
      <c r="G919" s="176"/>
      <c r="H919" s="176"/>
      <c r="I919">
        <f>IF(PisCofinsAliquot[[#This Row],[Classificação]]="Alíquota 0",6,IF(PisCofinsAliquot[[#This Row],[Classificação]]="Monofásico",4,IF(PisCofinsAliquot[[#This Row],[Classificação]]="Regra Geral",1,IF(PisCofinsAliquot[[#This Row],[Classificação]]="ST",5))))</f>
        <v>6</v>
      </c>
    </row>
    <row r="920" spans="1:9" x14ac:dyDescent="0.25">
      <c r="A920" s="190" t="s">
        <v>5439</v>
      </c>
      <c r="B920" s="125" t="s">
        <v>2701</v>
      </c>
      <c r="C920" s="126" t="str">
        <f>RIGHT(PisCofinsAliquot[[#This Row],[Código NCM]],8)</f>
        <v>07135010</v>
      </c>
      <c r="D920" s="191"/>
      <c r="E920" s="128"/>
      <c r="F920" s="128" t="s">
        <v>5440</v>
      </c>
      <c r="G920" s="22"/>
      <c r="H920" s="22"/>
      <c r="I920">
        <f>IF(PisCofinsAliquot[[#This Row],[Classificação]]="Alíquota 0",6,IF(PisCofinsAliquot[[#This Row],[Classificação]]="Monofásico",4,IF(PisCofinsAliquot[[#This Row],[Classificação]]="Regra Geral",1,IF(PisCofinsAliquot[[#This Row],[Classificação]]="ST",5))))</f>
        <v>6</v>
      </c>
    </row>
    <row r="921" spans="1:9" x14ac:dyDescent="0.25">
      <c r="A921" s="188" t="s">
        <v>5441</v>
      </c>
      <c r="B921" s="125" t="s">
        <v>2701</v>
      </c>
      <c r="C921" s="126" t="str">
        <f>RIGHT(PisCofinsAliquot[[#This Row],[Código NCM]],8)</f>
        <v>07135090</v>
      </c>
      <c r="D921" s="189"/>
      <c r="E921" s="140"/>
      <c r="F921" s="140" t="s">
        <v>5442</v>
      </c>
      <c r="G921" s="176"/>
      <c r="H921" s="176"/>
      <c r="I921">
        <f>IF(PisCofinsAliquot[[#This Row],[Classificação]]="Alíquota 0",6,IF(PisCofinsAliquot[[#This Row],[Classificação]]="Monofásico",4,IF(PisCofinsAliquot[[#This Row],[Classificação]]="Regra Geral",1,IF(PisCofinsAliquot[[#This Row],[Classificação]]="ST",5))))</f>
        <v>6</v>
      </c>
    </row>
    <row r="922" spans="1:9" x14ac:dyDescent="0.25">
      <c r="A922" s="190" t="s">
        <v>4551</v>
      </c>
      <c r="B922" s="125" t="s">
        <v>2701</v>
      </c>
      <c r="C922" s="126" t="str">
        <f>RIGHT(PisCofinsAliquot[[#This Row],[Código NCM]],8)</f>
        <v>07136010</v>
      </c>
      <c r="D922" s="191"/>
      <c r="E922" s="128"/>
      <c r="F922" s="128" t="s">
        <v>5443</v>
      </c>
      <c r="G922" s="22"/>
      <c r="H922" s="22"/>
      <c r="I922">
        <f>IF(PisCofinsAliquot[[#This Row],[Classificação]]="Alíquota 0",6,IF(PisCofinsAliquot[[#This Row],[Classificação]]="Monofásico",4,IF(PisCofinsAliquot[[#This Row],[Classificação]]="Regra Geral",1,IF(PisCofinsAliquot[[#This Row],[Classificação]]="ST",5))))</f>
        <v>6</v>
      </c>
    </row>
    <row r="923" spans="1:9" x14ac:dyDescent="0.25">
      <c r="A923" s="188" t="s">
        <v>5444</v>
      </c>
      <c r="B923" s="125" t="s">
        <v>2701</v>
      </c>
      <c r="C923" s="126" t="str">
        <f>RIGHT(PisCofinsAliquot[[#This Row],[Código NCM]],8)</f>
        <v>07136090</v>
      </c>
      <c r="D923" s="189"/>
      <c r="E923" s="140"/>
      <c r="F923" s="140" t="s">
        <v>5445</v>
      </c>
      <c r="G923" s="176"/>
      <c r="H923" s="176"/>
      <c r="I923">
        <f>IF(PisCofinsAliquot[[#This Row],[Classificação]]="Alíquota 0",6,IF(PisCofinsAliquot[[#This Row],[Classificação]]="Monofásico",4,IF(PisCofinsAliquot[[#This Row],[Classificação]]="Regra Geral",1,IF(PisCofinsAliquot[[#This Row],[Classificação]]="ST",5))))</f>
        <v>6</v>
      </c>
    </row>
    <row r="924" spans="1:9" x14ac:dyDescent="0.25">
      <c r="A924" s="188" t="s">
        <v>328</v>
      </c>
      <c r="B924" s="125" t="s">
        <v>2701</v>
      </c>
      <c r="C924" s="126" t="str">
        <f>RIGHT(PisCofinsAliquot[[#This Row],[Código NCM]],8)</f>
        <v>07139010</v>
      </c>
      <c r="D924" s="189"/>
      <c r="E924" s="140"/>
      <c r="F924" s="140" t="s">
        <v>5430</v>
      </c>
      <c r="G924" s="176"/>
      <c r="H924" s="176"/>
      <c r="I924">
        <f>IF(PisCofinsAliquot[[#This Row],[Classificação]]="Alíquota 0",6,IF(PisCofinsAliquot[[#This Row],[Classificação]]="Monofásico",4,IF(PisCofinsAliquot[[#This Row],[Classificação]]="Regra Geral",1,IF(PisCofinsAliquot[[#This Row],[Classificação]]="ST",5))))</f>
        <v>6</v>
      </c>
    </row>
    <row r="925" spans="1:9" x14ac:dyDescent="0.25">
      <c r="A925" s="190" t="s">
        <v>5446</v>
      </c>
      <c r="B925" s="125" t="s">
        <v>2701</v>
      </c>
      <c r="C925" s="126" t="str">
        <f>RIGHT(PisCofinsAliquot[[#This Row],[Código NCM]],8)</f>
        <v>07144000</v>
      </c>
      <c r="D925" s="191"/>
      <c r="E925" s="128"/>
      <c r="F925" s="128" t="s">
        <v>5447</v>
      </c>
      <c r="G925" s="22"/>
      <c r="H925" s="22"/>
      <c r="I925">
        <f>IF(PisCofinsAliquot[[#This Row],[Classificação]]="Alíquota 0",6,IF(PisCofinsAliquot[[#This Row],[Classificação]]="Monofásico",4,IF(PisCofinsAliquot[[#This Row],[Classificação]]="Regra Geral",1,IF(PisCofinsAliquot[[#This Row],[Classificação]]="ST",5))))</f>
        <v>6</v>
      </c>
    </row>
    <row r="926" spans="1:9" x14ac:dyDescent="0.25">
      <c r="A926" s="188" t="s">
        <v>5448</v>
      </c>
      <c r="B926" s="125" t="s">
        <v>2701</v>
      </c>
      <c r="C926" s="126" t="str">
        <f>RIGHT(PisCofinsAliquot[[#This Row],[Código NCM]],8)</f>
        <v>07145000</v>
      </c>
      <c r="D926" s="189"/>
      <c r="E926" s="140"/>
      <c r="F926" s="140" t="s">
        <v>5449</v>
      </c>
      <c r="G926" s="176"/>
      <c r="H926" s="176"/>
      <c r="I926">
        <f>IF(PisCofinsAliquot[[#This Row],[Classificação]]="Alíquota 0",6,IF(PisCofinsAliquot[[#This Row],[Classificação]]="Monofásico",4,IF(PisCofinsAliquot[[#This Row],[Classificação]]="Regra Geral",1,IF(PisCofinsAliquot[[#This Row],[Classificação]]="ST",5))))</f>
        <v>6</v>
      </c>
    </row>
    <row r="927" spans="1:9" x14ac:dyDescent="0.25">
      <c r="A927" s="188" t="s">
        <v>4723</v>
      </c>
      <c r="B927" s="125" t="s">
        <v>2701</v>
      </c>
      <c r="C927" s="126" t="str">
        <f>RIGHT(PisCofinsAliquot[[#This Row],[Código NCM]],8)</f>
        <v>08012100</v>
      </c>
      <c r="D927" s="189"/>
      <c r="E927" s="140"/>
      <c r="F927" s="140" t="s">
        <v>5450</v>
      </c>
      <c r="G927" s="176"/>
      <c r="H927" s="176"/>
      <c r="I927">
        <f>IF(PisCofinsAliquot[[#This Row],[Classificação]]="Alíquota 0",6,IF(PisCofinsAliquot[[#This Row],[Classificação]]="Monofásico",4,IF(PisCofinsAliquot[[#This Row],[Classificação]]="Regra Geral",1,IF(PisCofinsAliquot[[#This Row],[Classificação]]="ST",5))))</f>
        <v>6</v>
      </c>
    </row>
    <row r="928" spans="1:9" x14ac:dyDescent="0.25">
      <c r="A928" s="188" t="s">
        <v>5451</v>
      </c>
      <c r="B928" s="125" t="s">
        <v>2701</v>
      </c>
      <c r="C928" s="126" t="str">
        <f>RIGHT(PisCofinsAliquot[[#This Row],[Código NCM]],8)</f>
        <v>08021100</v>
      </c>
      <c r="D928" s="189"/>
      <c r="E928" s="140"/>
      <c r="F928" s="140" t="s">
        <v>5452</v>
      </c>
      <c r="G928" s="176"/>
      <c r="H928" s="176"/>
      <c r="I928">
        <f>IF(PisCofinsAliquot[[#This Row],[Classificação]]="Alíquota 0",6,IF(PisCofinsAliquot[[#This Row],[Classificação]]="Monofásico",4,IF(PisCofinsAliquot[[#This Row],[Classificação]]="Regra Geral",1,IF(PisCofinsAliquot[[#This Row],[Classificação]]="ST",5))))</f>
        <v>6</v>
      </c>
    </row>
    <row r="929" spans="1:9" x14ac:dyDescent="0.25">
      <c r="A929" s="190" t="s">
        <v>4041</v>
      </c>
      <c r="B929" s="125" t="s">
        <v>2701</v>
      </c>
      <c r="C929" s="126" t="str">
        <f>RIGHT(PisCofinsAliquot[[#This Row],[Código NCM]],8)</f>
        <v>08022100</v>
      </c>
      <c r="D929" s="191"/>
      <c r="E929" s="128"/>
      <c r="F929" s="128" t="s">
        <v>5453</v>
      </c>
      <c r="G929" s="22"/>
      <c r="H929" s="22"/>
      <c r="I929">
        <f>IF(PisCofinsAliquot[[#This Row],[Classificação]]="Alíquota 0",6,IF(PisCofinsAliquot[[#This Row],[Classificação]]="Monofásico",4,IF(PisCofinsAliquot[[#This Row],[Classificação]]="Regra Geral",1,IF(PisCofinsAliquot[[#This Row],[Classificação]]="ST",5))))</f>
        <v>6</v>
      </c>
    </row>
    <row r="930" spans="1:9" x14ac:dyDescent="0.25">
      <c r="A930" s="188" t="s">
        <v>5454</v>
      </c>
      <c r="B930" s="125" t="s">
        <v>2701</v>
      </c>
      <c r="C930" s="126" t="str">
        <f>RIGHT(PisCofinsAliquot[[#This Row],[Código NCM]],8)</f>
        <v>08022200</v>
      </c>
      <c r="D930" s="189"/>
      <c r="E930" s="140"/>
      <c r="F930" s="140" t="s">
        <v>5455</v>
      </c>
      <c r="G930" s="176"/>
      <c r="H930" s="176"/>
      <c r="I930">
        <f>IF(PisCofinsAliquot[[#This Row],[Classificação]]="Alíquota 0",6,IF(PisCofinsAliquot[[#This Row],[Classificação]]="Monofásico",4,IF(PisCofinsAliquot[[#This Row],[Classificação]]="Regra Geral",1,IF(PisCofinsAliquot[[#This Row],[Classificação]]="ST",5))))</f>
        <v>6</v>
      </c>
    </row>
    <row r="931" spans="1:9" x14ac:dyDescent="0.25">
      <c r="A931" s="188" t="s">
        <v>5456</v>
      </c>
      <c r="B931" s="125" t="s">
        <v>2701</v>
      </c>
      <c r="C931" s="126" t="str">
        <f>RIGHT(PisCofinsAliquot[[#This Row],[Código NCM]],8)</f>
        <v>08023100</v>
      </c>
      <c r="D931" s="189"/>
      <c r="E931" s="140"/>
      <c r="F931" s="140" t="s">
        <v>5457</v>
      </c>
      <c r="G931" s="176"/>
      <c r="H931" s="176"/>
      <c r="I931">
        <f>IF(PisCofinsAliquot[[#This Row],[Classificação]]="Alíquota 0",6,IF(PisCofinsAliquot[[#This Row],[Classificação]]="Monofásico",4,IF(PisCofinsAliquot[[#This Row],[Classificação]]="Regra Geral",1,IF(PisCofinsAliquot[[#This Row],[Classificação]]="ST",5))))</f>
        <v>6</v>
      </c>
    </row>
    <row r="932" spans="1:9" x14ac:dyDescent="0.25">
      <c r="A932" s="190" t="s">
        <v>5458</v>
      </c>
      <c r="B932" s="125" t="s">
        <v>2701</v>
      </c>
      <c r="C932" s="126" t="str">
        <f>RIGHT(PisCofinsAliquot[[#This Row],[Código NCM]],8)</f>
        <v>08024100</v>
      </c>
      <c r="D932" s="191"/>
      <c r="E932" s="128"/>
      <c r="F932" s="128" t="s">
        <v>5459</v>
      </c>
      <c r="G932" s="22"/>
      <c r="H932" s="22"/>
      <c r="I932">
        <f>IF(PisCofinsAliquot[[#This Row],[Classificação]]="Alíquota 0",6,IF(PisCofinsAliquot[[#This Row],[Classificação]]="Monofásico",4,IF(PisCofinsAliquot[[#This Row],[Classificação]]="Regra Geral",1,IF(PisCofinsAliquot[[#This Row],[Classificação]]="ST",5))))</f>
        <v>6</v>
      </c>
    </row>
    <row r="933" spans="1:9" x14ac:dyDescent="0.25">
      <c r="A933" s="188" t="s">
        <v>5460</v>
      </c>
      <c r="B933" s="125" t="s">
        <v>2701</v>
      </c>
      <c r="C933" s="126" t="str">
        <f>RIGHT(PisCofinsAliquot[[#This Row],[Código NCM]],8)</f>
        <v>08024200</v>
      </c>
      <c r="D933" s="189"/>
      <c r="E933" s="140"/>
      <c r="F933" s="140" t="s">
        <v>5461</v>
      </c>
      <c r="G933" s="176"/>
      <c r="H933" s="176"/>
      <c r="I933">
        <f>IF(PisCofinsAliquot[[#This Row],[Classificação]]="Alíquota 0",6,IF(PisCofinsAliquot[[#This Row],[Classificação]]="Monofásico",4,IF(PisCofinsAliquot[[#This Row],[Classificação]]="Regra Geral",1,IF(PisCofinsAliquot[[#This Row],[Classificação]]="ST",5))))</f>
        <v>6</v>
      </c>
    </row>
    <row r="934" spans="1:9" x14ac:dyDescent="0.25">
      <c r="A934" s="190" t="s">
        <v>5462</v>
      </c>
      <c r="B934" s="125" t="s">
        <v>2701</v>
      </c>
      <c r="C934" s="126" t="str">
        <f>RIGHT(PisCofinsAliquot[[#This Row],[Código NCM]],8)</f>
        <v>08025100</v>
      </c>
      <c r="D934" s="191"/>
      <c r="E934" s="128"/>
      <c r="F934" s="128" t="s">
        <v>5463</v>
      </c>
      <c r="G934" s="22"/>
      <c r="H934" s="22"/>
      <c r="I934">
        <f>IF(PisCofinsAliquot[[#This Row],[Classificação]]="Alíquota 0",6,IF(PisCofinsAliquot[[#This Row],[Classificação]]="Monofásico",4,IF(PisCofinsAliquot[[#This Row],[Classificação]]="Regra Geral",1,IF(PisCofinsAliquot[[#This Row],[Classificação]]="ST",5))))</f>
        <v>6</v>
      </c>
    </row>
    <row r="935" spans="1:9" x14ac:dyDescent="0.25">
      <c r="A935" s="188" t="s">
        <v>5464</v>
      </c>
      <c r="B935" s="125" t="s">
        <v>2701</v>
      </c>
      <c r="C935" s="126" t="str">
        <f>RIGHT(PisCofinsAliquot[[#This Row],[Código NCM]],8)</f>
        <v>08025200</v>
      </c>
      <c r="D935" s="189"/>
      <c r="E935" s="140"/>
      <c r="F935" s="140" t="s">
        <v>5465</v>
      </c>
      <c r="G935" s="176"/>
      <c r="H935" s="176"/>
      <c r="I935">
        <f>IF(PisCofinsAliquot[[#This Row],[Classificação]]="Alíquota 0",6,IF(PisCofinsAliquot[[#This Row],[Classificação]]="Monofásico",4,IF(PisCofinsAliquot[[#This Row],[Classificação]]="Regra Geral",1,IF(PisCofinsAliquot[[#This Row],[Classificação]]="ST",5))))</f>
        <v>6</v>
      </c>
    </row>
    <row r="936" spans="1:9" x14ac:dyDescent="0.25">
      <c r="A936" s="190" t="s">
        <v>5466</v>
      </c>
      <c r="B936" s="125" t="s">
        <v>2701</v>
      </c>
      <c r="C936" s="126" t="str">
        <f>RIGHT(PisCofinsAliquot[[#This Row],[Código NCM]],8)</f>
        <v>08026100</v>
      </c>
      <c r="D936" s="191"/>
      <c r="E936" s="128"/>
      <c r="F936" s="128" t="s">
        <v>5467</v>
      </c>
      <c r="G936" s="22"/>
      <c r="H936" s="22"/>
      <c r="I936">
        <f>IF(PisCofinsAliquot[[#This Row],[Classificação]]="Alíquota 0",6,IF(PisCofinsAliquot[[#This Row],[Classificação]]="Monofásico",4,IF(PisCofinsAliquot[[#This Row],[Classificação]]="Regra Geral",1,IF(PisCofinsAliquot[[#This Row],[Classificação]]="ST",5))))</f>
        <v>6</v>
      </c>
    </row>
    <row r="937" spans="1:9" x14ac:dyDescent="0.25">
      <c r="A937" s="190" t="s">
        <v>5468</v>
      </c>
      <c r="B937" s="125" t="s">
        <v>2701</v>
      </c>
      <c r="C937" s="126" t="str">
        <f>RIGHT(PisCofinsAliquot[[#This Row],[Código NCM]],8)</f>
        <v>08026200</v>
      </c>
      <c r="D937" s="191"/>
      <c r="E937" s="128"/>
      <c r="F937" s="128" t="s">
        <v>5469</v>
      </c>
      <c r="G937" s="22"/>
      <c r="H937" s="22"/>
      <c r="I937">
        <f>IF(PisCofinsAliquot[[#This Row],[Classificação]]="Alíquota 0",6,IF(PisCofinsAliquot[[#This Row],[Classificação]]="Monofásico",4,IF(PisCofinsAliquot[[#This Row],[Classificação]]="Regra Geral",1,IF(PisCofinsAliquot[[#This Row],[Classificação]]="ST",5))))</f>
        <v>6</v>
      </c>
    </row>
    <row r="938" spans="1:9" x14ac:dyDescent="0.25">
      <c r="A938" s="190" t="s">
        <v>5470</v>
      </c>
      <c r="B938" s="125" t="s">
        <v>2701</v>
      </c>
      <c r="C938" s="126" t="str">
        <f>RIGHT(PisCofinsAliquot[[#This Row],[Código NCM]],8)</f>
        <v>08027000</v>
      </c>
      <c r="D938" s="191"/>
      <c r="E938" s="128"/>
      <c r="F938" s="128" t="s">
        <v>5471</v>
      </c>
      <c r="G938" s="22"/>
      <c r="H938" s="22"/>
      <c r="I938">
        <f>IF(PisCofinsAliquot[[#This Row],[Classificação]]="Alíquota 0",6,IF(PisCofinsAliquot[[#This Row],[Classificação]]="Monofásico",4,IF(PisCofinsAliquot[[#This Row],[Classificação]]="Regra Geral",1,IF(PisCofinsAliquot[[#This Row],[Classificação]]="ST",5))))</f>
        <v>6</v>
      </c>
    </row>
    <row r="939" spans="1:9" x14ac:dyDescent="0.25">
      <c r="A939" s="188" t="s">
        <v>5472</v>
      </c>
      <c r="B939" s="125" t="s">
        <v>2701</v>
      </c>
      <c r="C939" s="126" t="str">
        <f>RIGHT(PisCofinsAliquot[[#This Row],[Código NCM]],8)</f>
        <v>08028000</v>
      </c>
      <c r="D939" s="189"/>
      <c r="E939" s="140"/>
      <c r="F939" s="140" t="s">
        <v>5473</v>
      </c>
      <c r="G939" s="176"/>
      <c r="H939" s="176"/>
      <c r="I939">
        <f>IF(PisCofinsAliquot[[#This Row],[Classificação]]="Alíquota 0",6,IF(PisCofinsAliquot[[#This Row],[Classificação]]="Monofásico",4,IF(PisCofinsAliquot[[#This Row],[Classificação]]="Regra Geral",1,IF(PisCofinsAliquot[[#This Row],[Classificação]]="ST",5))))</f>
        <v>6</v>
      </c>
    </row>
    <row r="940" spans="1:9" x14ac:dyDescent="0.25">
      <c r="A940" s="190" t="s">
        <v>5474</v>
      </c>
      <c r="B940" s="125" t="s">
        <v>2701</v>
      </c>
      <c r="C940" s="126" t="str">
        <f>RIGHT(PisCofinsAliquot[[#This Row],[Código NCM]],8)</f>
        <v>08042010</v>
      </c>
      <c r="D940" s="191"/>
      <c r="E940" s="128"/>
      <c r="F940" s="128" t="s">
        <v>5475</v>
      </c>
      <c r="G940" s="22"/>
      <c r="H940" s="22"/>
      <c r="I940">
        <f>IF(PisCofinsAliquot[[#This Row],[Classificação]]="Alíquota 0",6,IF(PisCofinsAliquot[[#This Row],[Classificação]]="Monofásico",4,IF(PisCofinsAliquot[[#This Row],[Classificação]]="Regra Geral",1,IF(PisCofinsAliquot[[#This Row],[Classificação]]="ST",5))))</f>
        <v>6</v>
      </c>
    </row>
    <row r="941" spans="1:9" x14ac:dyDescent="0.25">
      <c r="A941" s="188" t="s">
        <v>5476</v>
      </c>
      <c r="B941" s="125" t="s">
        <v>2701</v>
      </c>
      <c r="C941" s="126" t="str">
        <f>RIGHT(PisCofinsAliquot[[#This Row],[Código NCM]],8)</f>
        <v>08042020</v>
      </c>
      <c r="D941" s="189"/>
      <c r="E941" s="140"/>
      <c r="F941" s="140" t="s">
        <v>5477</v>
      </c>
      <c r="G941" s="176"/>
      <c r="H941" s="176"/>
      <c r="I941">
        <f>IF(PisCofinsAliquot[[#This Row],[Classificação]]="Alíquota 0",6,IF(PisCofinsAliquot[[#This Row],[Classificação]]="Monofásico",4,IF(PisCofinsAliquot[[#This Row],[Classificação]]="Regra Geral",1,IF(PisCofinsAliquot[[#This Row],[Classificação]]="ST",5))))</f>
        <v>6</v>
      </c>
    </row>
    <row r="942" spans="1:9" x14ac:dyDescent="0.25">
      <c r="A942" s="188" t="s">
        <v>4774</v>
      </c>
      <c r="B942" s="125" t="s">
        <v>2701</v>
      </c>
      <c r="C942" s="126" t="str">
        <f>RIGHT(PisCofinsAliquot[[#This Row],[Código NCM]],8)</f>
        <v>08045030</v>
      </c>
      <c r="D942" s="189"/>
      <c r="E942" s="140"/>
      <c r="F942" s="140" t="s">
        <v>5478</v>
      </c>
      <c r="G942" s="176"/>
      <c r="H942" s="176"/>
      <c r="I942">
        <f>IF(PisCofinsAliquot[[#This Row],[Classificação]]="Alíquota 0",6,IF(PisCofinsAliquot[[#This Row],[Classificação]]="Monofásico",4,IF(PisCofinsAliquot[[#This Row],[Classificação]]="Regra Geral",1,IF(PisCofinsAliquot[[#This Row],[Classificação]]="ST",5))))</f>
        <v>6</v>
      </c>
    </row>
    <row r="943" spans="1:9" x14ac:dyDescent="0.25">
      <c r="A943" s="190" t="s">
        <v>5479</v>
      </c>
      <c r="B943" s="125" t="s">
        <v>2701</v>
      </c>
      <c r="C943" s="126" t="str">
        <f>RIGHT(PisCofinsAliquot[[#This Row],[Código NCM]],8)</f>
        <v>08052200</v>
      </c>
      <c r="D943" s="191"/>
      <c r="E943" s="128"/>
      <c r="F943" s="128" t="s">
        <v>5480</v>
      </c>
      <c r="G943" s="22"/>
      <c r="H943" s="22"/>
      <c r="I943">
        <f>IF(PisCofinsAliquot[[#This Row],[Classificação]]="Alíquota 0",6,IF(PisCofinsAliquot[[#This Row],[Classificação]]="Monofásico",4,IF(PisCofinsAliquot[[#This Row],[Classificação]]="Regra Geral",1,IF(PisCofinsAliquot[[#This Row],[Classificação]]="ST",5))))</f>
        <v>6</v>
      </c>
    </row>
    <row r="944" spans="1:9" x14ac:dyDescent="0.25">
      <c r="A944" s="190" t="s">
        <v>5481</v>
      </c>
      <c r="B944" s="125" t="s">
        <v>2701</v>
      </c>
      <c r="C944" s="126" t="str">
        <f>RIGHT(PisCofinsAliquot[[#This Row],[Código NCM]],8)</f>
        <v>08052900</v>
      </c>
      <c r="D944" s="191"/>
      <c r="E944" s="128"/>
      <c r="F944" s="128" t="s">
        <v>5482</v>
      </c>
      <c r="G944" s="22"/>
      <c r="H944" s="22"/>
      <c r="I944">
        <f>IF(PisCofinsAliquot[[#This Row],[Classificação]]="Alíquota 0",6,IF(PisCofinsAliquot[[#This Row],[Classificação]]="Monofásico",4,IF(PisCofinsAliquot[[#This Row],[Classificação]]="Regra Geral",1,IF(PisCofinsAliquot[[#This Row],[Classificação]]="ST",5))))</f>
        <v>6</v>
      </c>
    </row>
    <row r="945" spans="1:9" x14ac:dyDescent="0.25">
      <c r="A945" s="188" t="s">
        <v>5483</v>
      </c>
      <c r="B945" s="125" t="s">
        <v>2701</v>
      </c>
      <c r="C945" s="126" t="str">
        <f>RIGHT(PisCofinsAliquot[[#This Row],[Código NCM]],8)</f>
        <v>08054000</v>
      </c>
      <c r="D945" s="189"/>
      <c r="E945" s="140"/>
      <c r="F945" s="140" t="s">
        <v>5484</v>
      </c>
      <c r="G945" s="176"/>
      <c r="H945" s="176"/>
      <c r="I945">
        <f>IF(PisCofinsAliquot[[#This Row],[Classificação]]="Alíquota 0",6,IF(PisCofinsAliquot[[#This Row],[Classificação]]="Monofásico",4,IF(PisCofinsAliquot[[#This Row],[Classificação]]="Regra Geral",1,IF(PisCofinsAliquot[[#This Row],[Classificação]]="ST",5))))</f>
        <v>6</v>
      </c>
    </row>
    <row r="946" spans="1:9" x14ac:dyDescent="0.25">
      <c r="A946" s="188" t="s">
        <v>5485</v>
      </c>
      <c r="B946" s="125" t="s">
        <v>2701</v>
      </c>
      <c r="C946" s="126" t="str">
        <f>RIGHT(PisCofinsAliquot[[#This Row],[Código NCM]],8)</f>
        <v>08084000</v>
      </c>
      <c r="D946" s="189"/>
      <c r="E946" s="140"/>
      <c r="F946" s="140" t="s">
        <v>5486</v>
      </c>
      <c r="G946" s="176"/>
      <c r="H946" s="176"/>
      <c r="I946">
        <f>IF(PisCofinsAliquot[[#This Row],[Classificação]]="Alíquota 0",6,IF(PisCofinsAliquot[[#This Row],[Classificação]]="Monofásico",4,IF(PisCofinsAliquot[[#This Row],[Classificação]]="Regra Geral",1,IF(PisCofinsAliquot[[#This Row],[Classificação]]="ST",5))))</f>
        <v>6</v>
      </c>
    </row>
    <row r="947" spans="1:9" x14ac:dyDescent="0.25">
      <c r="A947" s="188" t="s">
        <v>5487</v>
      </c>
      <c r="B947" s="125" t="s">
        <v>2701</v>
      </c>
      <c r="C947" s="126" t="str">
        <f>RIGHT(PisCofinsAliquot[[#This Row],[Código NCM]],8)</f>
        <v>08092100</v>
      </c>
      <c r="D947" s="189"/>
      <c r="E947" s="140"/>
      <c r="F947" s="140" t="s">
        <v>5050</v>
      </c>
      <c r="G947" s="176"/>
      <c r="H947" s="176"/>
      <c r="I947">
        <f>IF(PisCofinsAliquot[[#This Row],[Classificação]]="Alíquota 0",6,IF(PisCofinsAliquot[[#This Row],[Classificação]]="Monofásico",4,IF(PisCofinsAliquot[[#This Row],[Classificação]]="Regra Geral",1,IF(PisCofinsAliquot[[#This Row],[Classificação]]="ST",5))))</f>
        <v>6</v>
      </c>
    </row>
    <row r="948" spans="1:9" x14ac:dyDescent="0.25">
      <c r="A948" s="190" t="s">
        <v>5488</v>
      </c>
      <c r="B948" s="125" t="s">
        <v>2701</v>
      </c>
      <c r="C948" s="126" t="str">
        <f>RIGHT(PisCofinsAliquot[[#This Row],[Código NCM]],8)</f>
        <v>08102000</v>
      </c>
      <c r="D948" s="191"/>
      <c r="E948" s="128"/>
      <c r="F948" s="128" t="s">
        <v>5489</v>
      </c>
      <c r="G948" s="22"/>
      <c r="H948" s="22"/>
      <c r="I948">
        <f>IF(PisCofinsAliquot[[#This Row],[Classificação]]="Alíquota 0",6,IF(PisCofinsAliquot[[#This Row],[Classificação]]="Monofásico",4,IF(PisCofinsAliquot[[#This Row],[Classificação]]="Regra Geral",1,IF(PisCofinsAliquot[[#This Row],[Classificação]]="ST",5))))</f>
        <v>6</v>
      </c>
    </row>
    <row r="949" spans="1:9" x14ac:dyDescent="0.25">
      <c r="A949" s="190" t="s">
        <v>4589</v>
      </c>
      <c r="B949" s="125" t="s">
        <v>2701</v>
      </c>
      <c r="C949" s="126" t="str">
        <f>RIGHT(PisCofinsAliquot[[#This Row],[Código NCM]],8)</f>
        <v>08103000</v>
      </c>
      <c r="D949" s="191"/>
      <c r="E949" s="128"/>
      <c r="F949" s="128" t="s">
        <v>5490</v>
      </c>
      <c r="G949" s="22"/>
      <c r="H949" s="22"/>
      <c r="I949">
        <f>IF(PisCofinsAliquot[[#This Row],[Classificação]]="Alíquota 0",6,IF(PisCofinsAliquot[[#This Row],[Classificação]]="Monofásico",4,IF(PisCofinsAliquot[[#This Row],[Classificação]]="Regra Geral",1,IF(PisCofinsAliquot[[#This Row],[Classificação]]="ST",5))))</f>
        <v>6</v>
      </c>
    </row>
    <row r="950" spans="1:9" x14ac:dyDescent="0.25">
      <c r="A950" s="188" t="s">
        <v>5491</v>
      </c>
      <c r="B950" s="125" t="s">
        <v>2701</v>
      </c>
      <c r="C950" s="126" t="str">
        <f>RIGHT(PisCofinsAliquot[[#This Row],[Código NCM]],8)</f>
        <v>08104000</v>
      </c>
      <c r="D950" s="189"/>
      <c r="E950" s="140"/>
      <c r="F950" s="140" t="s">
        <v>5492</v>
      </c>
      <c r="G950" s="176"/>
      <c r="H950" s="176"/>
      <c r="I950">
        <f>IF(PisCofinsAliquot[[#This Row],[Classificação]]="Alíquota 0",6,IF(PisCofinsAliquot[[#This Row],[Classificação]]="Monofásico",4,IF(PisCofinsAliquot[[#This Row],[Classificação]]="Regra Geral",1,IF(PisCofinsAliquot[[#This Row],[Classificação]]="ST",5))))</f>
        <v>6</v>
      </c>
    </row>
    <row r="951" spans="1:9" x14ac:dyDescent="0.25">
      <c r="A951" s="188" t="s">
        <v>5493</v>
      </c>
      <c r="B951" s="125" t="s">
        <v>2701</v>
      </c>
      <c r="C951" s="126" t="str">
        <f>RIGHT(PisCofinsAliquot[[#This Row],[Código NCM]],8)</f>
        <v>08106000</v>
      </c>
      <c r="D951" s="189"/>
      <c r="E951" s="140"/>
      <c r="F951" s="140" t="s">
        <v>5494</v>
      </c>
      <c r="G951" s="176"/>
      <c r="H951" s="176"/>
      <c r="I951">
        <f>IF(PisCofinsAliquot[[#This Row],[Classificação]]="Alíquota 0",6,IF(PisCofinsAliquot[[#This Row],[Classificação]]="Monofásico",4,IF(PisCofinsAliquot[[#This Row],[Classificação]]="Regra Geral",1,IF(PisCofinsAliquot[[#This Row],[Classificação]]="ST",5))))</f>
        <v>6</v>
      </c>
    </row>
    <row r="952" spans="1:9" x14ac:dyDescent="0.25">
      <c r="A952" s="190" t="s">
        <v>4488</v>
      </c>
      <c r="B952" s="125" t="s">
        <v>2701</v>
      </c>
      <c r="C952" s="126" t="str">
        <f>RIGHT(PisCofinsAliquot[[#This Row],[Código NCM]],8)</f>
        <v>08109011</v>
      </c>
      <c r="D952" s="191"/>
      <c r="E952" s="128"/>
      <c r="F952" s="128" t="s">
        <v>5495</v>
      </c>
      <c r="G952" s="22"/>
      <c r="H952" s="22"/>
      <c r="I952">
        <f>IF(PisCofinsAliquot[[#This Row],[Classificação]]="Alíquota 0",6,IF(PisCofinsAliquot[[#This Row],[Classificação]]="Monofásico",4,IF(PisCofinsAliquot[[#This Row],[Classificação]]="Regra Geral",1,IF(PisCofinsAliquot[[#This Row],[Classificação]]="ST",5))))</f>
        <v>6</v>
      </c>
    </row>
    <row r="953" spans="1:9" x14ac:dyDescent="0.25">
      <c r="A953" s="190" t="s">
        <v>4749</v>
      </c>
      <c r="B953" s="125" t="s">
        <v>2701</v>
      </c>
      <c r="C953" s="126" t="str">
        <f>RIGHT(PisCofinsAliquot[[#This Row],[Código NCM]],8)</f>
        <v>08109012</v>
      </c>
      <c r="D953" s="191"/>
      <c r="E953" s="128"/>
      <c r="F953" s="128" t="s">
        <v>5496</v>
      </c>
      <c r="G953" s="22"/>
      <c r="H953" s="22"/>
      <c r="I953">
        <f>IF(PisCofinsAliquot[[#This Row],[Classificação]]="Alíquota 0",6,IF(PisCofinsAliquot[[#This Row],[Classificação]]="Monofásico",4,IF(PisCofinsAliquot[[#This Row],[Classificação]]="Regra Geral",1,IF(PisCofinsAliquot[[#This Row],[Classificação]]="ST",5))))</f>
        <v>6</v>
      </c>
    </row>
    <row r="954" spans="1:9" x14ac:dyDescent="0.25">
      <c r="A954" s="190" t="s">
        <v>5497</v>
      </c>
      <c r="B954" s="125" t="s">
        <v>2701</v>
      </c>
      <c r="C954" s="126" t="str">
        <f>RIGHT(PisCofinsAliquot[[#This Row],[Código NCM]],8)</f>
        <v>08109013</v>
      </c>
      <c r="D954" s="191"/>
      <c r="E954" s="128"/>
      <c r="F954" s="128" t="s">
        <v>5498</v>
      </c>
      <c r="G954" s="22"/>
      <c r="H954" s="22"/>
      <c r="I954">
        <f>IF(PisCofinsAliquot[[#This Row],[Classificação]]="Alíquota 0",6,IF(PisCofinsAliquot[[#This Row],[Classificação]]="Monofásico",4,IF(PisCofinsAliquot[[#This Row],[Classificação]]="Regra Geral",1,IF(PisCofinsAliquot[[#This Row],[Classificação]]="ST",5))))</f>
        <v>6</v>
      </c>
    </row>
    <row r="955" spans="1:9" x14ac:dyDescent="0.25">
      <c r="A955" s="188" t="s">
        <v>5499</v>
      </c>
      <c r="B955" s="125" t="s">
        <v>2701</v>
      </c>
      <c r="C955" s="126" t="str">
        <f>RIGHT(PisCofinsAliquot[[#This Row],[Código NCM]],8)</f>
        <v>08109014</v>
      </c>
      <c r="D955" s="189"/>
      <c r="E955" s="140"/>
      <c r="F955" s="140" t="s">
        <v>5500</v>
      </c>
      <c r="G955" s="176"/>
      <c r="H955" s="176"/>
      <c r="I955">
        <f>IF(PisCofinsAliquot[[#This Row],[Classificação]]="Alíquota 0",6,IF(PisCofinsAliquot[[#This Row],[Classificação]]="Monofásico",4,IF(PisCofinsAliquot[[#This Row],[Classificação]]="Regra Geral",1,IF(PisCofinsAliquot[[#This Row],[Classificação]]="ST",5))))</f>
        <v>6</v>
      </c>
    </row>
    <row r="956" spans="1:9" x14ac:dyDescent="0.25">
      <c r="A956" s="190" t="s">
        <v>5501</v>
      </c>
      <c r="B956" s="125" t="s">
        <v>2701</v>
      </c>
      <c r="C956" s="126" t="str">
        <f>RIGHT(PisCofinsAliquot[[#This Row],[Código NCM]],8)</f>
        <v>08109016</v>
      </c>
      <c r="D956" s="191"/>
      <c r="E956" s="128"/>
      <c r="F956" s="128" t="s">
        <v>5502</v>
      </c>
      <c r="G956" s="22"/>
      <c r="H956" s="22"/>
      <c r="I956">
        <f>IF(PisCofinsAliquot[[#This Row],[Classificação]]="Alíquota 0",6,IF(PisCofinsAliquot[[#This Row],[Classificação]]="Monofásico",4,IF(PisCofinsAliquot[[#This Row],[Classificação]]="Regra Geral",1,IF(PisCofinsAliquot[[#This Row],[Classificação]]="ST",5))))</f>
        <v>6</v>
      </c>
    </row>
    <row r="957" spans="1:9" x14ac:dyDescent="0.25">
      <c r="A957" s="188" t="s">
        <v>5503</v>
      </c>
      <c r="B957" s="125" t="s">
        <v>2701</v>
      </c>
      <c r="C957" s="126" t="str">
        <f>RIGHT(PisCofinsAliquot[[#This Row],[Código NCM]],8)</f>
        <v>08109017</v>
      </c>
      <c r="D957" s="189"/>
      <c r="E957" s="140"/>
      <c r="F957" s="140" t="s">
        <v>5504</v>
      </c>
      <c r="G957" s="176"/>
      <c r="H957" s="176"/>
      <c r="I957">
        <f>IF(PisCofinsAliquot[[#This Row],[Classificação]]="Alíquota 0",6,IF(PisCofinsAliquot[[#This Row],[Classificação]]="Monofásico",4,IF(PisCofinsAliquot[[#This Row],[Classificação]]="Regra Geral",1,IF(PisCofinsAliquot[[#This Row],[Classificação]]="ST",5))))</f>
        <v>6</v>
      </c>
    </row>
    <row r="958" spans="1:9" x14ac:dyDescent="0.25">
      <c r="A958" s="188" t="s">
        <v>5505</v>
      </c>
      <c r="B958" s="125" t="s">
        <v>2701</v>
      </c>
      <c r="C958" s="126" t="str">
        <f>RIGHT(PisCofinsAliquot[[#This Row],[Código NCM]],8)</f>
        <v>08112000</v>
      </c>
      <c r="D958" s="189"/>
      <c r="E958" s="140"/>
      <c r="F958" s="140" t="s">
        <v>5506</v>
      </c>
      <c r="G958" s="176"/>
      <c r="H958" s="176"/>
      <c r="I958">
        <f>IF(PisCofinsAliquot[[#This Row],[Classificação]]="Alíquota 0",6,IF(PisCofinsAliquot[[#This Row],[Classificação]]="Monofásico",4,IF(PisCofinsAliquot[[#This Row],[Classificação]]="Regra Geral",1,IF(PisCofinsAliquot[[#This Row],[Classificação]]="ST",5))))</f>
        <v>6</v>
      </c>
    </row>
    <row r="959" spans="1:9" x14ac:dyDescent="0.25">
      <c r="A959" s="190" t="s">
        <v>5507</v>
      </c>
      <c r="B959" s="125" t="s">
        <v>2701</v>
      </c>
      <c r="C959" s="126" t="str">
        <f>RIGHT(PisCofinsAliquot[[#This Row],[Código NCM]],8)</f>
        <v>08121000</v>
      </c>
      <c r="D959" s="191"/>
      <c r="E959" s="128"/>
      <c r="F959" s="128" t="s">
        <v>5508</v>
      </c>
      <c r="G959" s="22"/>
      <c r="H959" s="22"/>
      <c r="I959">
        <f>IF(PisCofinsAliquot[[#This Row],[Classificação]]="Alíquota 0",6,IF(PisCofinsAliquot[[#This Row],[Classificação]]="Monofásico",4,IF(PisCofinsAliquot[[#This Row],[Classificação]]="Regra Geral",1,IF(PisCofinsAliquot[[#This Row],[Classificação]]="ST",5))))</f>
        <v>6</v>
      </c>
    </row>
    <row r="960" spans="1:9" x14ac:dyDescent="0.25">
      <c r="A960" s="188" t="s">
        <v>4037</v>
      </c>
      <c r="B960" s="125" t="s">
        <v>2701</v>
      </c>
      <c r="C960" s="126" t="str">
        <f>RIGHT(PisCofinsAliquot[[#This Row],[Código NCM]],8)</f>
        <v>08129000</v>
      </c>
      <c r="D960" s="189"/>
      <c r="E960" s="140"/>
      <c r="F960" s="140" t="s">
        <v>5509</v>
      </c>
      <c r="G960" s="176"/>
      <c r="H960" s="176"/>
      <c r="I960">
        <f>IF(PisCofinsAliquot[[#This Row],[Classificação]]="Alíquota 0",6,IF(PisCofinsAliquot[[#This Row],[Classificação]]="Monofásico",4,IF(PisCofinsAliquot[[#This Row],[Classificação]]="Regra Geral",1,IF(PisCofinsAliquot[[#This Row],[Classificação]]="ST",5))))</f>
        <v>6</v>
      </c>
    </row>
    <row r="961" spans="1:9" x14ac:dyDescent="0.25">
      <c r="A961" s="188" t="s">
        <v>5510</v>
      </c>
      <c r="B961" s="125" t="s">
        <v>2701</v>
      </c>
      <c r="C961" s="126" t="str">
        <f>RIGHT(PisCofinsAliquot[[#This Row],[Código NCM]],8)</f>
        <v>08134010</v>
      </c>
      <c r="D961" s="189"/>
      <c r="E961" s="140"/>
      <c r="F961" s="140" t="s">
        <v>5511</v>
      </c>
      <c r="G961" s="176"/>
      <c r="H961" s="176"/>
      <c r="I961">
        <f>IF(PisCofinsAliquot[[#This Row],[Classificação]]="Alíquota 0",6,IF(PisCofinsAliquot[[#This Row],[Classificação]]="Monofásico",4,IF(PisCofinsAliquot[[#This Row],[Classificação]]="Regra Geral",1,IF(PisCofinsAliquot[[#This Row],[Classificação]]="ST",5))))</f>
        <v>6</v>
      </c>
    </row>
    <row r="962" spans="1:9" x14ac:dyDescent="0.25">
      <c r="A962" s="190" t="s">
        <v>433</v>
      </c>
      <c r="B962" s="125" t="s">
        <v>2701</v>
      </c>
      <c r="C962" s="126" t="str">
        <f>RIGHT(PisCofinsAliquot[[#This Row],[Código NCM]],8)</f>
        <v>08135000</v>
      </c>
      <c r="D962" s="191"/>
      <c r="E962" s="128"/>
      <c r="F962" s="128" t="s">
        <v>5512</v>
      </c>
      <c r="G962" s="22"/>
      <c r="H962" s="22"/>
      <c r="I962">
        <f>IF(PisCofinsAliquot[[#This Row],[Classificação]]="Alíquota 0",6,IF(PisCofinsAliquot[[#This Row],[Classificação]]="Monofásico",4,IF(PisCofinsAliquot[[#This Row],[Classificação]]="Regra Geral",1,IF(PisCofinsAliquot[[#This Row],[Classificação]]="ST",5))))</f>
        <v>6</v>
      </c>
    </row>
    <row r="963" spans="1:9" x14ac:dyDescent="0.25">
      <c r="A963" s="188" t="s">
        <v>5513</v>
      </c>
      <c r="B963" s="125" t="s">
        <v>2701</v>
      </c>
      <c r="C963" s="126" t="str">
        <f>RIGHT(PisCofinsAliquot[[#This Row],[Código NCM]],8)</f>
        <v>08140000</v>
      </c>
      <c r="D963" s="189"/>
      <c r="E963" s="140"/>
      <c r="F963" s="140" t="s">
        <v>5514</v>
      </c>
      <c r="G963" s="176"/>
      <c r="H963" s="176"/>
      <c r="I963">
        <f>IF(PisCofinsAliquot[[#This Row],[Classificação]]="Alíquota 0",6,IF(PisCofinsAliquot[[#This Row],[Classificação]]="Monofásico",4,IF(PisCofinsAliquot[[#This Row],[Classificação]]="Regra Geral",1,IF(PisCofinsAliquot[[#This Row],[Classificação]]="ST",5))))</f>
        <v>6</v>
      </c>
    </row>
    <row r="964" spans="1:9" x14ac:dyDescent="0.25">
      <c r="A964" s="188" t="s">
        <v>4309</v>
      </c>
      <c r="B964" s="125" t="s">
        <v>2701</v>
      </c>
      <c r="C964" s="126" t="str">
        <f>RIGHT(PisCofinsAliquot[[#This Row],[Código NCM]],8)</f>
        <v>12093000</v>
      </c>
      <c r="D964" s="189"/>
      <c r="E964" s="140"/>
      <c r="F964" s="140" t="s">
        <v>5515</v>
      </c>
      <c r="G964" s="176"/>
      <c r="H964" s="176"/>
      <c r="I964">
        <f>IF(PisCofinsAliquot[[#This Row],[Classificação]]="Alíquota 0",6,IF(PisCofinsAliquot[[#This Row],[Classificação]]="Monofásico",4,IF(PisCofinsAliquot[[#This Row],[Classificação]]="Regra Geral",1,IF(PisCofinsAliquot[[#This Row],[Classificação]]="ST",5))))</f>
        <v>6</v>
      </c>
    </row>
    <row r="965" spans="1:9" x14ac:dyDescent="0.25">
      <c r="A965" s="192" t="s">
        <v>4487</v>
      </c>
      <c r="B965" s="125" t="s">
        <v>2701</v>
      </c>
      <c r="C965" s="126" t="str">
        <f>RIGHT(PisCofinsAliquot[[#This Row],[Código NCM]],8)</f>
        <v>08082010</v>
      </c>
      <c r="D965" s="174"/>
      <c r="E965" s="140"/>
      <c r="F965" s="128" t="s">
        <v>4958</v>
      </c>
      <c r="G965" s="176"/>
      <c r="H965" s="176"/>
      <c r="I965">
        <f>IF(PisCofinsAliquot[[#This Row],[Classificação]]="Alíquota 0",6,IF(PisCofinsAliquot[[#This Row],[Classificação]]="Monofásico",4,IF(PisCofinsAliquot[[#This Row],[Classificação]]="Regra Geral",1,IF(PisCofinsAliquot[[#This Row],[Classificação]]="ST",5))))</f>
        <v>6</v>
      </c>
    </row>
    <row r="966" spans="1:9" x14ac:dyDescent="0.25">
      <c r="A966" s="192" t="s">
        <v>5728</v>
      </c>
      <c r="B966" s="125" t="s">
        <v>2701</v>
      </c>
      <c r="C966" s="193" t="str">
        <f>RIGHT(PisCofinsAliquot[[#This Row],[Código NCM]],8)</f>
        <v>08011110</v>
      </c>
      <c r="D966" s="174"/>
      <c r="E966" s="140"/>
      <c r="F966" s="140" t="s">
        <v>5450</v>
      </c>
      <c r="G966" s="176"/>
      <c r="H966" s="176"/>
      <c r="I966">
        <f>IF(PisCofinsAliquot[[#This Row],[Classificação]]="Alíquota 0",6,IF(PisCofinsAliquot[[#This Row],[Classificação]]="Monofásico",4,IF(PisCofinsAliquot[[#This Row],[Classificação]]="Regra Geral",1,IF(PisCofinsAliquot[[#This Row],[Classificação]]="ST",5))))</f>
        <v>6</v>
      </c>
    </row>
    <row r="967" spans="1:9" x14ac:dyDescent="0.25">
      <c r="A967" s="192" t="s">
        <v>5729</v>
      </c>
      <c r="B967" s="125" t="s">
        <v>2701</v>
      </c>
      <c r="C967" s="193" t="str">
        <f>RIGHT(PisCofinsAliquot[[#This Row],[Código NCM]],8)</f>
        <v>08011190</v>
      </c>
      <c r="D967" s="174"/>
      <c r="E967" s="140"/>
      <c r="F967" s="140" t="s">
        <v>5450</v>
      </c>
      <c r="G967" s="176"/>
      <c r="H967" s="176"/>
      <c r="I967">
        <f>IF(PisCofinsAliquot[[#This Row],[Classificação]]="Alíquota 0",6,IF(PisCofinsAliquot[[#This Row],[Classificação]]="Monofásico",4,IF(PisCofinsAliquot[[#This Row],[Classificação]]="Regra Geral",1,IF(PisCofinsAliquot[[#This Row],[Classificação]]="ST",5))))</f>
        <v>6</v>
      </c>
    </row>
  </sheetData>
  <conditionalFormatting sqref="A2:A963">
    <cfRule type="duplicateValues" dxfId="53" priority="3341"/>
  </conditionalFormatting>
  <conditionalFormatting sqref="A2:A967">
    <cfRule type="duplicateValues" dxfId="52" priority="3636"/>
    <cfRule type="duplicateValues" dxfId="51" priority="3637"/>
  </conditionalFormatting>
  <conditionalFormatting sqref="A266">
    <cfRule type="duplicateValues" dxfId="50" priority="17"/>
  </conditionalFormatting>
  <conditionalFormatting sqref="A267">
    <cfRule type="duplicateValues" dxfId="49" priority="16"/>
  </conditionalFormatting>
  <conditionalFormatting sqref="A268">
    <cfRule type="duplicateValues" dxfId="48" priority="15"/>
  </conditionalFormatting>
  <conditionalFormatting sqref="A269">
    <cfRule type="duplicateValues" dxfId="47" priority="14"/>
  </conditionalFormatting>
  <conditionalFormatting sqref="A271">
    <cfRule type="duplicateValues" dxfId="46" priority="13"/>
  </conditionalFormatting>
  <conditionalFormatting sqref="A277">
    <cfRule type="duplicateValues" dxfId="45" priority="12"/>
  </conditionalFormatting>
  <conditionalFormatting sqref="A281">
    <cfRule type="duplicateValues" dxfId="44" priority="11"/>
  </conditionalFormatting>
  <conditionalFormatting sqref="A282">
    <cfRule type="duplicateValues" dxfId="43" priority="10"/>
  </conditionalFormatting>
  <conditionalFormatting sqref="A283">
    <cfRule type="duplicateValues" dxfId="42" priority="9"/>
  </conditionalFormatting>
  <conditionalFormatting sqref="A284">
    <cfRule type="duplicateValues" dxfId="41" priority="8"/>
  </conditionalFormatting>
  <conditionalFormatting sqref="A285">
    <cfRule type="duplicateValues" dxfId="40" priority="7"/>
  </conditionalFormatting>
  <conditionalFormatting sqref="A390:A394">
    <cfRule type="duplicateValues" dxfId="39" priority="23"/>
  </conditionalFormatting>
  <conditionalFormatting sqref="A406">
    <cfRule type="duplicateValues" dxfId="38" priority="6"/>
  </conditionalFormatting>
  <conditionalFormatting sqref="A414:A416">
    <cfRule type="duplicateValues" dxfId="37" priority="5"/>
  </conditionalFormatting>
  <conditionalFormatting sqref="A417:A420">
    <cfRule type="duplicateValues" dxfId="36" priority="20"/>
  </conditionalFormatting>
  <conditionalFormatting sqref="A421:A437">
    <cfRule type="duplicateValues" dxfId="35" priority="19"/>
  </conditionalFormatting>
  <conditionalFormatting sqref="A439">
    <cfRule type="duplicateValues" dxfId="34" priority="25"/>
  </conditionalFormatting>
  <conditionalFormatting sqref="A440">
    <cfRule type="duplicateValues" dxfId="33" priority="24"/>
  </conditionalFormatting>
  <conditionalFormatting sqref="A448">
    <cfRule type="duplicateValues" dxfId="32" priority="27"/>
  </conditionalFormatting>
  <conditionalFormatting sqref="A461">
    <cfRule type="duplicateValues" dxfId="31" priority="29"/>
  </conditionalFormatting>
  <conditionalFormatting sqref="A772">
    <cfRule type="duplicateValues" dxfId="30" priority="26"/>
  </conditionalFormatting>
  <conditionalFormatting sqref="A811:A814">
    <cfRule type="duplicateValues" dxfId="29" priority="28"/>
  </conditionalFormatting>
  <conditionalFormatting sqref="A815:A818 A462:A771 A2:A265 A449:A460 A773:A810 A441:A447 A395:A405 A438 A270 A272:A276 A278:A280 A286:A389 A407:A413">
    <cfRule type="duplicateValues" dxfId="28" priority="30"/>
  </conditionalFormatting>
  <conditionalFormatting sqref="A853">
    <cfRule type="duplicateValues" dxfId="27" priority="22"/>
  </conditionalFormatting>
  <conditionalFormatting sqref="A854">
    <cfRule type="duplicateValues" dxfId="26" priority="21"/>
  </conditionalFormatting>
  <conditionalFormatting sqref="A855:A865">
    <cfRule type="duplicateValues" dxfId="25" priority="18"/>
  </conditionalFormatting>
  <conditionalFormatting sqref="A964">
    <cfRule type="duplicateValues" dxfId="24" priority="3"/>
  </conditionalFormatting>
  <pageMargins left="0.511811024" right="0.511811024" top="0.78740157499999996" bottom="0.78740157499999996" header="0.31496062000000002" footer="0.31496062000000002"/>
  <pageSetup paperSize="9"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tabColor theme="4" tint="-0.249977111117893"/>
  </sheetPr>
  <dimension ref="A1:X717"/>
  <sheetViews>
    <sheetView showGridLines="0" zoomScale="85" zoomScaleNormal="85" workbookViewId="0">
      <selection activeCell="H1" sqref="H1"/>
    </sheetView>
  </sheetViews>
  <sheetFormatPr defaultRowHeight="15" x14ac:dyDescent="0.25"/>
  <cols>
    <col min="1" max="1" width="13.42578125" bestFit="1" customWidth="1"/>
    <col min="2" max="2" width="14.42578125" bestFit="1" customWidth="1"/>
    <col min="3" max="3" width="30.7109375" bestFit="1" customWidth="1"/>
    <col min="4" max="4" width="21.7109375" bestFit="1" customWidth="1"/>
    <col min="5" max="5" width="23.42578125" style="20" bestFit="1" customWidth="1"/>
    <col min="6" max="6" width="17.85546875" style="7" bestFit="1" customWidth="1"/>
    <col min="7" max="7" width="65.85546875" style="7" customWidth="1"/>
    <col min="8" max="8" width="52" bestFit="1" customWidth="1"/>
    <col min="9" max="9" width="109.28515625" customWidth="1"/>
    <col min="10" max="11" width="109" bestFit="1" customWidth="1"/>
    <col min="12" max="14" width="108.7109375" bestFit="1" customWidth="1"/>
    <col min="15" max="16" width="109.28515625" customWidth="1"/>
    <col min="17" max="17" width="15.140625" bestFit="1" customWidth="1"/>
    <col min="18" max="23" width="16.28515625" bestFit="1" customWidth="1"/>
    <col min="24" max="24" width="167.42578125" bestFit="1" customWidth="1"/>
    <col min="25" max="25" width="14" customWidth="1"/>
  </cols>
  <sheetData>
    <row r="1" spans="1:24" x14ac:dyDescent="0.25">
      <c r="A1" s="102" t="s">
        <v>1</v>
      </c>
      <c r="B1" s="102" t="s">
        <v>2416</v>
      </c>
      <c r="C1" s="102" t="s">
        <v>2417</v>
      </c>
      <c r="D1" s="76" t="s">
        <v>558</v>
      </c>
      <c r="E1" s="76" t="s">
        <v>559</v>
      </c>
      <c r="F1" s="76" t="s">
        <v>159</v>
      </c>
      <c r="G1" s="76" t="s">
        <v>441</v>
      </c>
      <c r="H1" s="76" t="s">
        <v>560</v>
      </c>
      <c r="I1" s="103" t="s">
        <v>561</v>
      </c>
      <c r="J1" s="103" t="s">
        <v>562</v>
      </c>
      <c r="K1" s="103" t="s">
        <v>563</v>
      </c>
      <c r="L1" s="103" t="s">
        <v>564</v>
      </c>
      <c r="M1" s="103" t="s">
        <v>565</v>
      </c>
      <c r="N1" s="103" t="s">
        <v>566</v>
      </c>
      <c r="O1" s="103" t="s">
        <v>567</v>
      </c>
      <c r="P1" s="103" t="s">
        <v>568</v>
      </c>
      <c r="Q1" s="103" t="s">
        <v>569</v>
      </c>
      <c r="R1" s="103" t="s">
        <v>570</v>
      </c>
      <c r="S1" s="103" t="s">
        <v>571</v>
      </c>
      <c r="T1" s="103" t="s">
        <v>572</v>
      </c>
      <c r="U1" s="103" t="s">
        <v>573</v>
      </c>
      <c r="V1" s="103" t="s">
        <v>574</v>
      </c>
      <c r="W1" s="103" t="s">
        <v>575</v>
      </c>
      <c r="X1" s="103" t="s">
        <v>3565</v>
      </c>
    </row>
    <row r="2" spans="1:24" x14ac:dyDescent="0.25">
      <c r="A2" s="21" t="s">
        <v>207</v>
      </c>
      <c r="B2" s="21" t="str">
        <f>RIGHT(A2,8)</f>
        <v>17019900</v>
      </c>
      <c r="C2" s="21" t="str">
        <f>Tabela5[[#This Row],[Cod. Ncm]]&amp;"-"&amp;Tabela5[[#This Row],[Operações]]</f>
        <v>17019900-Internas</v>
      </c>
      <c r="D2" s="22" t="s">
        <v>579</v>
      </c>
      <c r="E2" s="22" t="s">
        <v>593</v>
      </c>
      <c r="F2" s="22">
        <v>7</v>
      </c>
      <c r="G2" s="22" t="s">
        <v>4729</v>
      </c>
      <c r="H2" s="22" t="s">
        <v>594</v>
      </c>
      <c r="I2" s="23"/>
      <c r="J2" s="23"/>
      <c r="K2" s="23"/>
      <c r="L2" s="23"/>
      <c r="M2" s="23"/>
      <c r="N2" s="23"/>
      <c r="O2" s="23"/>
      <c r="P2" s="23"/>
      <c r="Q2" s="23"/>
      <c r="R2" s="23"/>
      <c r="S2" s="23"/>
      <c r="T2" s="23"/>
      <c r="U2" s="23"/>
      <c r="V2" s="23"/>
      <c r="W2" s="23"/>
      <c r="X2" s="4" t="s">
        <v>3581</v>
      </c>
    </row>
    <row r="3" spans="1:24" x14ac:dyDescent="0.25">
      <c r="A3" s="21" t="s">
        <v>183</v>
      </c>
      <c r="B3" s="21" t="str">
        <f>RIGHT(A3,8)</f>
        <v>09012100</v>
      </c>
      <c r="C3" s="21" t="str">
        <f>Tabela5[[#This Row],[Cod. Ncm]]&amp;"-"&amp;Tabela5[[#This Row],[Operações]]</f>
        <v>09012100-Internas</v>
      </c>
      <c r="D3" s="22" t="s">
        <v>579</v>
      </c>
      <c r="E3" s="22" t="s">
        <v>593</v>
      </c>
      <c r="F3" s="22">
        <v>7</v>
      </c>
      <c r="G3" s="22" t="s">
        <v>3582</v>
      </c>
      <c r="H3" s="22" t="s">
        <v>594</v>
      </c>
      <c r="I3" s="23"/>
      <c r="J3" s="23"/>
      <c r="K3" s="23"/>
      <c r="L3" s="23"/>
      <c r="M3" s="23"/>
      <c r="N3" s="23"/>
      <c r="O3" s="23"/>
      <c r="P3" s="23"/>
      <c r="Q3" s="23"/>
      <c r="R3" s="23"/>
      <c r="S3" s="23"/>
      <c r="T3" s="23"/>
      <c r="U3" s="23"/>
      <c r="V3" s="23"/>
      <c r="W3" s="23"/>
      <c r="X3" s="4"/>
    </row>
    <row r="4" spans="1:24" x14ac:dyDescent="0.25">
      <c r="A4" s="21" t="s">
        <v>218</v>
      </c>
      <c r="B4" s="21" t="str">
        <f>RIGHT(A4,8)</f>
        <v>11010010</v>
      </c>
      <c r="C4" s="21" t="str">
        <f>Tabela5[[#This Row],[Cod. Ncm]]&amp;"-"&amp;Tabela5[[#This Row],[Operações]]</f>
        <v>11010010-Internas</v>
      </c>
      <c r="D4" s="22" t="s">
        <v>579</v>
      </c>
      <c r="E4" s="22" t="s">
        <v>593</v>
      </c>
      <c r="F4" s="22">
        <v>7</v>
      </c>
      <c r="G4" s="22" t="s">
        <v>3583</v>
      </c>
      <c r="H4" s="22" t="s">
        <v>594</v>
      </c>
      <c r="I4" s="23"/>
      <c r="J4" s="23"/>
      <c r="K4" s="23"/>
      <c r="L4" s="23"/>
      <c r="M4" s="23"/>
      <c r="N4" s="23"/>
      <c r="O4" s="23"/>
      <c r="P4" s="23"/>
      <c r="Q4" s="23"/>
      <c r="R4" s="23"/>
      <c r="S4" s="23"/>
      <c r="T4" s="23"/>
      <c r="U4" s="23"/>
      <c r="V4" s="23"/>
      <c r="W4" s="23"/>
      <c r="X4" s="4" t="s">
        <v>3583</v>
      </c>
    </row>
    <row r="5" spans="1:24" x14ac:dyDescent="0.25">
      <c r="A5" s="21" t="s">
        <v>180</v>
      </c>
      <c r="B5" s="21" t="str">
        <f>RIGHT(A5,8)</f>
        <v>15171000</v>
      </c>
      <c r="C5" s="21" t="str">
        <f>Tabela5[[#This Row],[Cod. Ncm]]&amp;"-"&amp;Tabela5[[#This Row],[Operações]]</f>
        <v>15171000-Internas</v>
      </c>
      <c r="D5" s="22" t="s">
        <v>579</v>
      </c>
      <c r="E5" s="22" t="s">
        <v>593</v>
      </c>
      <c r="F5" s="22">
        <v>7</v>
      </c>
      <c r="G5" s="22" t="s">
        <v>3584</v>
      </c>
      <c r="H5" s="22" t="s">
        <v>594</v>
      </c>
      <c r="I5" s="23"/>
      <c r="J5" s="23"/>
      <c r="K5" s="23"/>
      <c r="L5" s="23"/>
      <c r="M5" s="23"/>
      <c r="N5" s="23"/>
      <c r="O5" s="23"/>
      <c r="P5" s="23"/>
      <c r="Q5" s="23"/>
      <c r="R5" s="23"/>
      <c r="S5" s="23"/>
      <c r="T5" s="23"/>
      <c r="U5" s="23"/>
      <c r="V5" s="23"/>
      <c r="W5" s="23"/>
      <c r="X5" s="4" t="s">
        <v>3584</v>
      </c>
    </row>
    <row r="6" spans="1:24" x14ac:dyDescent="0.25">
      <c r="A6" s="21" t="s">
        <v>212</v>
      </c>
      <c r="B6" s="21" t="str">
        <f t="shared" ref="B6:B50" si="0">RIGHT(A6,8)</f>
        <v>04051000</v>
      </c>
      <c r="C6" s="21" t="str">
        <f>Tabela5[[#This Row],[Cod. Ncm]]&amp;"-"&amp;Tabela5[[#This Row],[Operações]]</f>
        <v>04051000-Internas</v>
      </c>
      <c r="D6" s="22" t="s">
        <v>579</v>
      </c>
      <c r="E6" s="22" t="s">
        <v>593</v>
      </c>
      <c r="F6" s="22">
        <v>7</v>
      </c>
      <c r="G6" s="22" t="s">
        <v>2430</v>
      </c>
      <c r="H6" s="22" t="s">
        <v>594</v>
      </c>
      <c r="I6" s="23"/>
      <c r="J6" s="23"/>
      <c r="K6" s="23"/>
      <c r="L6" s="23"/>
      <c r="M6" s="23"/>
      <c r="N6" s="23"/>
      <c r="O6" s="23"/>
      <c r="P6" s="23"/>
      <c r="Q6" s="23"/>
      <c r="R6" s="23"/>
      <c r="S6" s="23"/>
      <c r="T6" s="23"/>
      <c r="U6" s="23"/>
      <c r="V6" s="23"/>
      <c r="W6" s="23"/>
      <c r="X6" s="4"/>
    </row>
    <row r="7" spans="1:24" x14ac:dyDescent="0.25">
      <c r="A7" s="21" t="s">
        <v>255</v>
      </c>
      <c r="B7" s="21" t="str">
        <f t="shared" si="0"/>
        <v>17039000</v>
      </c>
      <c r="C7" s="21" t="str">
        <f>Tabela5[[#This Row],[Cod. Ncm]]&amp;"-"&amp;Tabela5[[#This Row],[Operações]]</f>
        <v>17039000-Internas</v>
      </c>
      <c r="D7" s="22" t="s">
        <v>579</v>
      </c>
      <c r="E7" s="22" t="s">
        <v>593</v>
      </c>
      <c r="F7" s="22">
        <v>7</v>
      </c>
      <c r="G7" s="22" t="s">
        <v>2431</v>
      </c>
      <c r="H7" s="22" t="s">
        <v>594</v>
      </c>
      <c r="I7" s="23"/>
      <c r="J7" s="23"/>
      <c r="K7" s="23"/>
      <c r="L7" s="23"/>
      <c r="M7" s="23"/>
      <c r="N7" s="23"/>
      <c r="O7" s="23"/>
      <c r="P7" s="23"/>
      <c r="Q7" s="23"/>
      <c r="R7" s="23"/>
      <c r="S7" s="23"/>
      <c r="T7" s="23"/>
      <c r="U7" s="23"/>
      <c r="V7" s="23"/>
      <c r="W7" s="23"/>
      <c r="X7" s="4"/>
    </row>
    <row r="8" spans="1:24" x14ac:dyDescent="0.25">
      <c r="A8" s="21" t="s">
        <v>184</v>
      </c>
      <c r="B8" s="21" t="str">
        <f t="shared" si="0"/>
        <v>15079011</v>
      </c>
      <c r="C8" s="21" t="str">
        <f>Tabela5[[#This Row],[Cod. Ncm]]&amp;"-"&amp;Tabela5[[#This Row],[Operações]]</f>
        <v>15079011-Internas</v>
      </c>
      <c r="D8" s="22" t="s">
        <v>579</v>
      </c>
      <c r="E8" s="22" t="s">
        <v>593</v>
      </c>
      <c r="F8" s="22">
        <v>7</v>
      </c>
      <c r="G8" s="22" t="s">
        <v>3585</v>
      </c>
      <c r="H8" s="22" t="s">
        <v>594</v>
      </c>
      <c r="I8" s="23"/>
      <c r="J8" s="23"/>
      <c r="K8" s="23"/>
      <c r="L8" s="23"/>
      <c r="M8" s="23"/>
      <c r="N8" s="23"/>
      <c r="O8" s="23"/>
      <c r="P8" s="23"/>
      <c r="Q8" s="23"/>
      <c r="R8" s="23"/>
      <c r="S8" s="23"/>
      <c r="T8" s="23"/>
      <c r="U8" s="23"/>
      <c r="V8" s="23"/>
      <c r="W8" s="23"/>
      <c r="X8" s="4" t="s">
        <v>3585</v>
      </c>
    </row>
    <row r="9" spans="1:24" x14ac:dyDescent="0.25">
      <c r="A9" s="21" t="s">
        <v>233</v>
      </c>
      <c r="B9" s="21" t="str">
        <f t="shared" si="0"/>
        <v>22090000</v>
      </c>
      <c r="C9" s="21" t="str">
        <f>Tabela5[[#This Row],[Cod. Ncm]]&amp;"-"&amp;Tabela5[[#This Row],[Operações]]</f>
        <v>22090000-Internas</v>
      </c>
      <c r="D9" s="22" t="s">
        <v>579</v>
      </c>
      <c r="E9" s="22" t="s">
        <v>593</v>
      </c>
      <c r="F9" s="22">
        <v>7</v>
      </c>
      <c r="G9" s="22" t="s">
        <v>2432</v>
      </c>
      <c r="H9" s="22" t="s">
        <v>594</v>
      </c>
      <c r="I9" s="23"/>
      <c r="J9" s="23"/>
      <c r="K9" s="23"/>
      <c r="L9" s="23"/>
      <c r="M9" s="23"/>
      <c r="N9" s="23"/>
      <c r="O9" s="23"/>
      <c r="P9" s="23"/>
      <c r="Q9" s="23"/>
      <c r="R9" s="23"/>
      <c r="S9" s="23"/>
      <c r="T9" s="23"/>
      <c r="U9" s="23"/>
      <c r="V9" s="23"/>
      <c r="W9" s="23"/>
      <c r="X9" s="4"/>
    </row>
    <row r="10" spans="1:24" x14ac:dyDescent="0.25">
      <c r="A10" s="21" t="s">
        <v>174</v>
      </c>
      <c r="B10" s="21" t="str">
        <f t="shared" si="0"/>
        <v>36050000</v>
      </c>
      <c r="C10" s="21" t="str">
        <f>Tabela5[[#This Row],[Cod. Ncm]]&amp;"-"&amp;Tabela5[[#This Row],[Operações]]</f>
        <v>36050000-Internas</v>
      </c>
      <c r="D10" s="22" t="s">
        <v>579</v>
      </c>
      <c r="E10" s="22" t="s">
        <v>593</v>
      </c>
      <c r="F10" s="22">
        <v>7</v>
      </c>
      <c r="G10" s="22" t="s">
        <v>2435</v>
      </c>
      <c r="H10" s="22" t="s">
        <v>594</v>
      </c>
      <c r="I10" s="23"/>
      <c r="J10" s="23"/>
      <c r="K10" s="23"/>
      <c r="L10" s="23"/>
      <c r="M10" s="23"/>
      <c r="N10" s="23"/>
      <c r="O10" s="23"/>
      <c r="P10" s="23"/>
      <c r="Q10" s="23"/>
      <c r="R10" s="23"/>
      <c r="S10" s="23"/>
      <c r="T10" s="23"/>
      <c r="U10" s="23"/>
      <c r="V10" s="23"/>
      <c r="W10" s="23"/>
      <c r="X10" s="4"/>
    </row>
    <row r="11" spans="1:24" x14ac:dyDescent="0.25">
      <c r="A11" s="21" t="s">
        <v>202</v>
      </c>
      <c r="B11" s="21" t="str">
        <f t="shared" si="0"/>
        <v>96032100</v>
      </c>
      <c r="C11" s="21" t="str">
        <f>Tabela5[[#This Row],[Cod. Ncm]]&amp;"-"&amp;Tabela5[[#This Row],[Operações]]</f>
        <v>96032100-Internas</v>
      </c>
      <c r="D11" s="22" t="s">
        <v>579</v>
      </c>
      <c r="E11" s="22" t="s">
        <v>593</v>
      </c>
      <c r="F11" s="22">
        <v>7</v>
      </c>
      <c r="G11" s="22" t="s">
        <v>3586</v>
      </c>
      <c r="H11" s="22" t="s">
        <v>594</v>
      </c>
      <c r="I11" s="23"/>
      <c r="J11" s="23"/>
      <c r="K11" s="23"/>
      <c r="L11" s="23"/>
      <c r="M11" s="23"/>
      <c r="N11" s="23"/>
      <c r="O11" s="23"/>
      <c r="P11" s="23"/>
      <c r="Q11" s="23"/>
      <c r="R11" s="23"/>
      <c r="S11" s="23"/>
      <c r="T11" s="23"/>
      <c r="U11" s="23"/>
      <c r="V11" s="23"/>
      <c r="W11" s="23"/>
      <c r="X11" s="4"/>
    </row>
    <row r="12" spans="1:24" x14ac:dyDescent="0.25">
      <c r="A12" s="21" t="s">
        <v>196</v>
      </c>
      <c r="B12" s="21" t="str">
        <f t="shared" si="0"/>
        <v>48181000</v>
      </c>
      <c r="C12" s="21" t="str">
        <f>Tabela5[[#This Row],[Cod. Ncm]]&amp;"-"&amp;Tabela5[[#This Row],[Operações]]</f>
        <v>48181000-Internas</v>
      </c>
      <c r="D12" s="22" t="s">
        <v>579</v>
      </c>
      <c r="E12" s="22" t="s">
        <v>593</v>
      </c>
      <c r="F12" s="22">
        <v>7</v>
      </c>
      <c r="G12" s="22" t="s">
        <v>2436</v>
      </c>
      <c r="H12" s="22" t="s">
        <v>594</v>
      </c>
      <c r="I12" s="23"/>
      <c r="J12" s="23"/>
      <c r="K12" s="23"/>
      <c r="L12" s="23"/>
      <c r="M12" s="23"/>
      <c r="N12" s="23"/>
      <c r="O12" s="23"/>
      <c r="P12" s="23"/>
      <c r="Q12" s="23"/>
      <c r="R12" s="23"/>
      <c r="S12" s="23"/>
      <c r="T12" s="23"/>
      <c r="U12" s="23"/>
      <c r="V12" s="23"/>
      <c r="W12" s="23"/>
      <c r="X12" s="4"/>
    </row>
    <row r="13" spans="1:24" x14ac:dyDescent="0.25">
      <c r="A13" s="21" t="s">
        <v>208</v>
      </c>
      <c r="B13" s="21" t="str">
        <f t="shared" si="0"/>
        <v>28289011</v>
      </c>
      <c r="C13" s="21" t="str">
        <f>Tabela5[[#This Row],[Cod. Ncm]]&amp;"-"&amp;Tabela5[[#This Row],[Operações]]</f>
        <v>28289011-Internas</v>
      </c>
      <c r="D13" s="22" t="s">
        <v>579</v>
      </c>
      <c r="E13" s="22" t="s">
        <v>593</v>
      </c>
      <c r="F13" s="22">
        <v>7</v>
      </c>
      <c r="G13" s="22" t="s">
        <v>3587</v>
      </c>
      <c r="H13" s="22" t="s">
        <v>594</v>
      </c>
      <c r="I13" s="23"/>
      <c r="J13" s="23"/>
      <c r="K13" s="23"/>
      <c r="L13" s="23"/>
      <c r="M13" s="23"/>
      <c r="N13" s="23"/>
      <c r="O13" s="23"/>
      <c r="P13" s="23"/>
      <c r="Q13" s="23"/>
      <c r="R13" s="23"/>
      <c r="S13" s="23"/>
      <c r="T13" s="23"/>
      <c r="U13" s="23"/>
      <c r="V13" s="23"/>
      <c r="W13" s="23"/>
      <c r="X13" s="4" t="s">
        <v>3587</v>
      </c>
    </row>
    <row r="14" spans="1:24" x14ac:dyDescent="0.25">
      <c r="A14" s="21" t="s">
        <v>166</v>
      </c>
      <c r="B14" s="21" t="str">
        <f t="shared" si="0"/>
        <v>38089419</v>
      </c>
      <c r="C14" s="21" t="str">
        <f>Tabela5[[#This Row],[Cod. Ncm]]&amp;"-"&amp;Tabela5[[#This Row],[Operações]]</f>
        <v>38089419-Internas</v>
      </c>
      <c r="D14" s="22" t="s">
        <v>579</v>
      </c>
      <c r="E14" s="22" t="s">
        <v>593</v>
      </c>
      <c r="F14" s="22">
        <v>7</v>
      </c>
      <c r="G14" s="22" t="s">
        <v>3588</v>
      </c>
      <c r="H14" s="22" t="s">
        <v>594</v>
      </c>
      <c r="I14" s="23"/>
      <c r="J14" s="23"/>
      <c r="K14" s="23"/>
      <c r="L14" s="23"/>
      <c r="M14" s="23"/>
      <c r="N14" s="23"/>
      <c r="O14" s="23"/>
      <c r="P14" s="23"/>
      <c r="Q14" s="23"/>
      <c r="R14" s="23"/>
      <c r="S14" s="23"/>
      <c r="T14" s="23"/>
      <c r="U14" s="23"/>
      <c r="V14" s="23"/>
      <c r="W14" s="23"/>
      <c r="X14" s="4"/>
    </row>
    <row r="15" spans="1:24" x14ac:dyDescent="0.25">
      <c r="A15" s="21" t="s">
        <v>211</v>
      </c>
      <c r="B15" s="21" t="str">
        <f t="shared" si="0"/>
        <v>34011900</v>
      </c>
      <c r="C15" s="21" t="str">
        <f>Tabela5[[#This Row],[Cod. Ncm]]&amp;"-"&amp;Tabela5[[#This Row],[Operações]]</f>
        <v>34011900-Internas</v>
      </c>
      <c r="D15" s="22" t="s">
        <v>579</v>
      </c>
      <c r="E15" s="22" t="s">
        <v>593</v>
      </c>
      <c r="F15" s="22">
        <v>7</v>
      </c>
      <c r="G15" s="22" t="s">
        <v>3589</v>
      </c>
      <c r="H15" s="22" t="s">
        <v>594</v>
      </c>
      <c r="I15" s="23"/>
      <c r="J15" s="23"/>
      <c r="K15" s="23"/>
      <c r="L15" s="23"/>
      <c r="M15" s="23"/>
      <c r="N15" s="23"/>
      <c r="O15" s="23"/>
      <c r="P15" s="23"/>
      <c r="Q15" s="23"/>
      <c r="R15" s="23"/>
      <c r="S15" s="23"/>
      <c r="T15" s="23"/>
      <c r="U15" s="23"/>
      <c r="V15" s="23"/>
      <c r="W15" s="23"/>
      <c r="X15" s="4" t="s">
        <v>3589</v>
      </c>
    </row>
    <row r="16" spans="1:24" x14ac:dyDescent="0.25">
      <c r="A16" s="21" t="s">
        <v>210</v>
      </c>
      <c r="B16" s="21" t="str">
        <f t="shared" si="0"/>
        <v>96031000</v>
      </c>
      <c r="C16" s="21" t="str">
        <f>Tabela5[[#This Row],[Cod. Ncm]]&amp;"-"&amp;Tabela5[[#This Row],[Operações]]</f>
        <v>96031000-Internas</v>
      </c>
      <c r="D16" s="22" t="s">
        <v>579</v>
      </c>
      <c r="E16" s="22" t="s">
        <v>593</v>
      </c>
      <c r="F16" s="22">
        <v>7</v>
      </c>
      <c r="G16" s="22" t="s">
        <v>3590</v>
      </c>
      <c r="H16" s="22" t="s">
        <v>594</v>
      </c>
      <c r="I16" s="23"/>
      <c r="J16" s="23"/>
      <c r="K16" s="23"/>
      <c r="L16" s="23"/>
      <c r="M16" s="23"/>
      <c r="N16" s="23"/>
      <c r="O16" s="23"/>
      <c r="P16" s="23"/>
      <c r="Q16" s="23"/>
      <c r="R16" s="23"/>
      <c r="S16" s="23"/>
      <c r="T16" s="23"/>
      <c r="U16" s="23"/>
      <c r="V16" s="23"/>
      <c r="W16" s="23"/>
      <c r="X16" s="4" t="s">
        <v>3590</v>
      </c>
    </row>
    <row r="17" spans="1:24" ht="26.25" x14ac:dyDescent="0.25">
      <c r="A17" s="21" t="s">
        <v>599</v>
      </c>
      <c r="B17" s="21" t="str">
        <f t="shared" si="0"/>
        <v>61112000</v>
      </c>
      <c r="C17" s="21" t="str">
        <f>Tabela5[[#This Row],[Cod. Ncm]]&amp;"-"&amp;Tabela5[[#This Row],[Operações]]</f>
        <v>61112000-Internas</v>
      </c>
      <c r="D17" s="22" t="s">
        <v>579</v>
      </c>
      <c r="E17" s="22" t="s">
        <v>580</v>
      </c>
      <c r="F17" s="22">
        <v>9</v>
      </c>
      <c r="G17" s="22" t="s">
        <v>600</v>
      </c>
      <c r="H17" s="22" t="s">
        <v>581</v>
      </c>
      <c r="I17" s="23" t="s">
        <v>582</v>
      </c>
      <c r="J17" s="23" t="s">
        <v>583</v>
      </c>
      <c r="K17" s="23"/>
      <c r="L17" s="23"/>
      <c r="M17" s="23"/>
      <c r="N17" s="23"/>
      <c r="O17" s="23"/>
      <c r="P17" s="23"/>
      <c r="Q17" s="23"/>
      <c r="R17" s="23"/>
      <c r="S17" s="23"/>
      <c r="T17" s="23"/>
      <c r="U17" s="23"/>
      <c r="V17" s="23"/>
      <c r="W17" s="23"/>
      <c r="X17" s="4"/>
    </row>
    <row r="18" spans="1:24" x14ac:dyDescent="0.25">
      <c r="A18" s="21" t="s">
        <v>601</v>
      </c>
      <c r="B18" s="21" t="str">
        <f t="shared" si="0"/>
        <v>69041000</v>
      </c>
      <c r="C18" s="21" t="str">
        <f>Tabela5[[#This Row],[Cod. Ncm]]&amp;"-"&amp;Tabela5[[#This Row],[Operações]]</f>
        <v>69041000-Internas</v>
      </c>
      <c r="D18" s="22" t="s">
        <v>579</v>
      </c>
      <c r="E18" s="22" t="s">
        <v>602</v>
      </c>
      <c r="F18" s="22">
        <v>12.85</v>
      </c>
      <c r="G18" s="22" t="s">
        <v>603</v>
      </c>
      <c r="H18" s="22" t="s">
        <v>604</v>
      </c>
      <c r="I18" s="23" t="s">
        <v>584</v>
      </c>
      <c r="J18" s="23"/>
      <c r="K18" s="23"/>
      <c r="L18" s="23"/>
      <c r="M18" s="23"/>
      <c r="N18" s="23"/>
      <c r="O18" s="23"/>
      <c r="P18" s="23"/>
      <c r="Q18" s="23"/>
      <c r="R18" s="23"/>
      <c r="S18" s="23"/>
      <c r="T18" s="23"/>
      <c r="U18" s="23"/>
      <c r="V18" s="23"/>
      <c r="W18" s="23"/>
      <c r="X18" s="4"/>
    </row>
    <row r="19" spans="1:24" ht="25.5" x14ac:dyDescent="0.25">
      <c r="A19" s="21" t="s">
        <v>605</v>
      </c>
      <c r="B19" s="21" t="str">
        <f t="shared" si="0"/>
        <v>69049000</v>
      </c>
      <c r="C19" s="21" t="str">
        <f>Tabela5[[#This Row],[Cod. Ncm]]&amp;"-"&amp;Tabela5[[#This Row],[Operações]]</f>
        <v>69049000-Internas</v>
      </c>
      <c r="D19" s="22" t="s">
        <v>579</v>
      </c>
      <c r="E19" s="22" t="s">
        <v>602</v>
      </c>
      <c r="F19" s="22">
        <v>12.85</v>
      </c>
      <c r="G19" s="22" t="s">
        <v>606</v>
      </c>
      <c r="H19" s="22" t="s">
        <v>607</v>
      </c>
      <c r="I19" s="23" t="s">
        <v>584</v>
      </c>
      <c r="J19" s="23"/>
      <c r="K19" s="23"/>
      <c r="L19" s="23"/>
      <c r="M19" s="23"/>
      <c r="N19" s="23"/>
      <c r="O19" s="23"/>
      <c r="P19" s="23"/>
      <c r="Q19" s="23"/>
      <c r="R19" s="23"/>
      <c r="S19" s="23"/>
      <c r="T19" s="23"/>
      <c r="U19" s="23"/>
      <c r="V19" s="23"/>
      <c r="W19" s="23"/>
      <c r="X19" s="4"/>
    </row>
    <row r="20" spans="1:24" x14ac:dyDescent="0.25">
      <c r="A20" s="21" t="s">
        <v>608</v>
      </c>
      <c r="B20" s="21" t="str">
        <f t="shared" si="0"/>
        <v>69051000</v>
      </c>
      <c r="C20" s="21" t="str">
        <f>Tabela5[[#This Row],[Cod. Ncm]]&amp;"-"&amp;Tabela5[[#This Row],[Operações]]</f>
        <v>69051000-Internas</v>
      </c>
      <c r="D20" s="22" t="s">
        <v>579</v>
      </c>
      <c r="E20" s="22" t="s">
        <v>602</v>
      </c>
      <c r="F20" s="22">
        <v>12.85</v>
      </c>
      <c r="G20" s="22" t="s">
        <v>609</v>
      </c>
      <c r="H20" s="22" t="s">
        <v>610</v>
      </c>
      <c r="I20" s="23" t="s">
        <v>584</v>
      </c>
      <c r="J20" s="23"/>
      <c r="K20" s="23"/>
      <c r="L20" s="23"/>
      <c r="M20" s="23"/>
      <c r="N20" s="23"/>
      <c r="O20" s="23"/>
      <c r="P20" s="23"/>
      <c r="Q20" s="23"/>
      <c r="R20" s="23"/>
      <c r="S20" s="23"/>
      <c r="T20" s="23"/>
      <c r="U20" s="23"/>
      <c r="V20" s="23"/>
      <c r="W20" s="23"/>
      <c r="X20" s="4"/>
    </row>
    <row r="21" spans="1:24" ht="26.25" x14ac:dyDescent="0.25">
      <c r="A21" s="21" t="s">
        <v>611</v>
      </c>
      <c r="B21" s="21" t="str">
        <f t="shared" si="0"/>
        <v>73071920</v>
      </c>
      <c r="C21" s="21" t="str">
        <f>Tabela5[[#This Row],[Cod. Ncm]]&amp;"-"&amp;Tabela5[[#This Row],[Operações]]</f>
        <v>73071920-Internas e interestaduais</v>
      </c>
      <c r="D21" s="22" t="s">
        <v>586</v>
      </c>
      <c r="E21" s="22" t="s">
        <v>587</v>
      </c>
      <c r="F21" s="22">
        <v>8.8000000000000007</v>
      </c>
      <c r="G21" s="22" t="s">
        <v>612</v>
      </c>
      <c r="H21" s="22" t="s">
        <v>588</v>
      </c>
      <c r="I21" s="23" t="s">
        <v>577</v>
      </c>
      <c r="J21" s="23" t="s">
        <v>613</v>
      </c>
      <c r="K21" s="23" t="s">
        <v>589</v>
      </c>
      <c r="L21" s="23" t="s">
        <v>590</v>
      </c>
      <c r="M21" s="23"/>
      <c r="N21" s="23"/>
      <c r="O21" s="23"/>
      <c r="P21" s="23"/>
      <c r="Q21" s="23"/>
      <c r="R21" s="23"/>
      <c r="S21" s="23"/>
      <c r="T21" s="23"/>
      <c r="U21" s="23"/>
      <c r="V21" s="23"/>
      <c r="W21" s="23"/>
      <c r="X21" s="4"/>
    </row>
    <row r="22" spans="1:24" ht="39" x14ac:dyDescent="0.25">
      <c r="A22" s="21" t="s">
        <v>614</v>
      </c>
      <c r="B22" s="21" t="str">
        <f t="shared" si="0"/>
        <v>73090090</v>
      </c>
      <c r="C22" s="21" t="str">
        <f>Tabela5[[#This Row],[Cod. Ncm]]&amp;"-"&amp;Tabela5[[#This Row],[Operações]]</f>
        <v>73090090-Internas</v>
      </c>
      <c r="D22" s="22" t="s">
        <v>579</v>
      </c>
      <c r="E22" s="22" t="s">
        <v>593</v>
      </c>
      <c r="F22" s="22">
        <v>7</v>
      </c>
      <c r="G22" s="22" t="s">
        <v>615</v>
      </c>
      <c r="H22" s="26" t="s">
        <v>616</v>
      </c>
      <c r="I22" s="23" t="s">
        <v>617</v>
      </c>
      <c r="J22" s="23" t="s">
        <v>577</v>
      </c>
      <c r="K22" s="23" t="s">
        <v>591</v>
      </c>
      <c r="L22" s="23" t="s">
        <v>592</v>
      </c>
      <c r="M22" s="23" t="s">
        <v>583</v>
      </c>
      <c r="N22" s="23"/>
      <c r="O22" s="23"/>
      <c r="P22" s="23"/>
      <c r="Q22" s="23"/>
      <c r="R22" s="23"/>
      <c r="S22" s="23"/>
      <c r="T22" s="23"/>
      <c r="U22" s="23"/>
      <c r="V22" s="23"/>
      <c r="W22" s="23"/>
      <c r="X22" s="4"/>
    </row>
    <row r="23" spans="1:24" ht="26.25" x14ac:dyDescent="0.25">
      <c r="A23" s="21" t="s">
        <v>618</v>
      </c>
      <c r="B23" s="21" t="str">
        <f t="shared" si="0"/>
        <v>82071900</v>
      </c>
      <c r="C23" s="21" t="str">
        <f>Tabela5[[#This Row],[Cod. Ncm]]&amp;"-"&amp;Tabela5[[#This Row],[Operações]]</f>
        <v>82071900-Internas e interestaduais</v>
      </c>
      <c r="D23" s="22" t="s">
        <v>586</v>
      </c>
      <c r="E23" s="22" t="s">
        <v>587</v>
      </c>
      <c r="F23" s="22">
        <v>8.8000000000000007</v>
      </c>
      <c r="G23" s="22" t="s">
        <v>619</v>
      </c>
      <c r="H23" s="22" t="s">
        <v>588</v>
      </c>
      <c r="I23" s="23" t="s">
        <v>577</v>
      </c>
      <c r="J23" s="23" t="s">
        <v>620</v>
      </c>
      <c r="K23" s="23" t="s">
        <v>589</v>
      </c>
      <c r="L23" s="23" t="s">
        <v>590</v>
      </c>
      <c r="M23" s="23"/>
      <c r="N23" s="23"/>
      <c r="O23" s="23"/>
      <c r="P23" s="23"/>
      <c r="Q23" s="23"/>
      <c r="R23" s="23"/>
      <c r="S23" s="23"/>
      <c r="T23" s="23"/>
      <c r="U23" s="23"/>
      <c r="V23" s="23"/>
      <c r="W23" s="23"/>
      <c r="X23" s="4"/>
    </row>
    <row r="24" spans="1:24" ht="26.25" x14ac:dyDescent="0.25">
      <c r="A24" s="21" t="s">
        <v>621</v>
      </c>
      <c r="B24" s="21" t="str">
        <f t="shared" si="0"/>
        <v>82073000</v>
      </c>
      <c r="C24" s="21" t="str">
        <f>Tabela5[[#This Row],[Cod. Ncm]]&amp;"-"&amp;Tabela5[[#This Row],[Operações]]</f>
        <v>82073000-Internas e interestaduais</v>
      </c>
      <c r="D24" s="22" t="s">
        <v>586</v>
      </c>
      <c r="E24" s="22" t="s">
        <v>587</v>
      </c>
      <c r="F24" s="22">
        <v>8.8000000000000007</v>
      </c>
      <c r="G24" s="22" t="s">
        <v>622</v>
      </c>
      <c r="H24" s="22" t="s">
        <v>588</v>
      </c>
      <c r="I24" s="23" t="s">
        <v>577</v>
      </c>
      <c r="J24" s="23" t="s">
        <v>623</v>
      </c>
      <c r="K24" s="23" t="s">
        <v>589</v>
      </c>
      <c r="L24" s="23" t="s">
        <v>590</v>
      </c>
      <c r="M24" s="23"/>
      <c r="N24" s="23"/>
      <c r="O24" s="23"/>
      <c r="P24" s="23"/>
      <c r="Q24" s="23"/>
      <c r="R24" s="23"/>
      <c r="S24" s="23"/>
      <c r="T24" s="23"/>
      <c r="U24" s="23"/>
      <c r="V24" s="23"/>
      <c r="W24" s="23"/>
      <c r="X24" s="4"/>
    </row>
    <row r="25" spans="1:24" ht="26.25" x14ac:dyDescent="0.25">
      <c r="A25" s="21" t="s">
        <v>624</v>
      </c>
      <c r="B25" s="21" t="str">
        <f t="shared" si="0"/>
        <v>84021100</v>
      </c>
      <c r="C25" s="21" t="str">
        <f>Tabela5[[#This Row],[Cod. Ncm]]&amp;"-"&amp;Tabela5[[#This Row],[Operações]]</f>
        <v>84021100-Internas e interestaduais</v>
      </c>
      <c r="D25" s="22" t="s">
        <v>586</v>
      </c>
      <c r="E25" s="22" t="s">
        <v>587</v>
      </c>
      <c r="F25" s="22">
        <v>8.8000000000000007</v>
      </c>
      <c r="G25" s="22" t="s">
        <v>625</v>
      </c>
      <c r="H25" s="22" t="s">
        <v>588</v>
      </c>
      <c r="I25" s="23" t="s">
        <v>577</v>
      </c>
      <c r="J25" s="23" t="s">
        <v>626</v>
      </c>
      <c r="K25" s="23" t="s">
        <v>589</v>
      </c>
      <c r="L25" s="23" t="s">
        <v>590</v>
      </c>
      <c r="M25" s="23"/>
      <c r="N25" s="23"/>
      <c r="O25" s="23"/>
      <c r="P25" s="23"/>
      <c r="Q25" s="23"/>
      <c r="R25" s="23"/>
      <c r="S25" s="23"/>
      <c r="T25" s="23"/>
      <c r="U25" s="23"/>
      <c r="V25" s="23"/>
      <c r="W25" s="23"/>
      <c r="X25" s="4"/>
    </row>
    <row r="26" spans="1:24" ht="26.25" x14ac:dyDescent="0.25">
      <c r="A26" s="21" t="s">
        <v>627</v>
      </c>
      <c r="B26" s="21" t="str">
        <f t="shared" si="0"/>
        <v>84021200</v>
      </c>
      <c r="C26" s="21" t="str">
        <f>Tabela5[[#This Row],[Cod. Ncm]]&amp;"-"&amp;Tabela5[[#This Row],[Operações]]</f>
        <v>84021200-Internas e interestaduais</v>
      </c>
      <c r="D26" s="22" t="s">
        <v>586</v>
      </c>
      <c r="E26" s="22" t="s">
        <v>587</v>
      </c>
      <c r="F26" s="22">
        <v>8.8000000000000007</v>
      </c>
      <c r="G26" s="22" t="s">
        <v>628</v>
      </c>
      <c r="H26" s="22" t="s">
        <v>588</v>
      </c>
      <c r="I26" s="23" t="s">
        <v>577</v>
      </c>
      <c r="J26" s="23" t="s">
        <v>629</v>
      </c>
      <c r="K26" s="23" t="s">
        <v>589</v>
      </c>
      <c r="L26" s="23" t="s">
        <v>590</v>
      </c>
      <c r="M26" s="23"/>
      <c r="N26" s="23"/>
      <c r="O26" s="23"/>
      <c r="P26" s="23"/>
      <c r="Q26" s="23"/>
      <c r="R26" s="23"/>
      <c r="S26" s="23"/>
      <c r="T26" s="23"/>
      <c r="U26" s="23"/>
      <c r="V26" s="23"/>
      <c r="W26" s="23"/>
      <c r="X26" s="4"/>
    </row>
    <row r="27" spans="1:24" ht="26.25" x14ac:dyDescent="0.25">
      <c r="A27" s="21" t="s">
        <v>630</v>
      </c>
      <c r="B27" s="21" t="str">
        <f t="shared" si="0"/>
        <v>84021900</v>
      </c>
      <c r="C27" s="21" t="str">
        <f>Tabela5[[#This Row],[Cod. Ncm]]&amp;"-"&amp;Tabela5[[#This Row],[Operações]]</f>
        <v>84021900-Internas e interestaduais</v>
      </c>
      <c r="D27" s="22" t="s">
        <v>586</v>
      </c>
      <c r="E27" s="22" t="s">
        <v>587</v>
      </c>
      <c r="F27" s="22">
        <v>8.8000000000000007</v>
      </c>
      <c r="G27" s="22" t="s">
        <v>631</v>
      </c>
      <c r="H27" s="22" t="s">
        <v>588</v>
      </c>
      <c r="I27" s="23" t="s">
        <v>577</v>
      </c>
      <c r="J27" s="23" t="s">
        <v>632</v>
      </c>
      <c r="K27" s="23" t="s">
        <v>589</v>
      </c>
      <c r="L27" s="23" t="s">
        <v>590</v>
      </c>
      <c r="M27" s="23"/>
      <c r="N27" s="23"/>
      <c r="O27" s="23"/>
      <c r="P27" s="23"/>
      <c r="Q27" s="23"/>
      <c r="R27" s="23"/>
      <c r="S27" s="23"/>
      <c r="T27" s="23"/>
      <c r="U27" s="23"/>
      <c r="V27" s="23"/>
      <c r="W27" s="23"/>
      <c r="X27" s="4"/>
    </row>
    <row r="28" spans="1:24" ht="26.25" x14ac:dyDescent="0.25">
      <c r="A28" s="21" t="s">
        <v>633</v>
      </c>
      <c r="B28" s="21" t="str">
        <f t="shared" si="0"/>
        <v>84022000</v>
      </c>
      <c r="C28" s="21" t="str">
        <f>Tabela5[[#This Row],[Cod. Ncm]]&amp;"-"&amp;Tabela5[[#This Row],[Operações]]</f>
        <v>84022000-Internas e interestaduais</v>
      </c>
      <c r="D28" s="22" t="s">
        <v>586</v>
      </c>
      <c r="E28" s="22" t="s">
        <v>587</v>
      </c>
      <c r="F28" s="22">
        <v>8.8000000000000007</v>
      </c>
      <c r="G28" s="22" t="s">
        <v>634</v>
      </c>
      <c r="H28" s="22" t="s">
        <v>588</v>
      </c>
      <c r="I28" s="23" t="s">
        <v>577</v>
      </c>
      <c r="J28" s="23" t="s">
        <v>635</v>
      </c>
      <c r="K28" s="23" t="s">
        <v>589</v>
      </c>
      <c r="L28" s="23" t="s">
        <v>590</v>
      </c>
      <c r="M28" s="23"/>
      <c r="N28" s="23"/>
      <c r="O28" s="23"/>
      <c r="P28" s="23"/>
      <c r="Q28" s="23"/>
      <c r="R28" s="23"/>
      <c r="S28" s="23"/>
      <c r="T28" s="23"/>
      <c r="U28" s="23"/>
      <c r="V28" s="23"/>
      <c r="W28" s="23"/>
      <c r="X28" s="4"/>
    </row>
    <row r="29" spans="1:24" ht="26.25" x14ac:dyDescent="0.25">
      <c r="A29" s="21" t="s">
        <v>636</v>
      </c>
      <c r="B29" s="21" t="str">
        <f t="shared" si="0"/>
        <v>84041010</v>
      </c>
      <c r="C29" s="21" t="str">
        <f>Tabela5[[#This Row],[Cod. Ncm]]&amp;"-"&amp;Tabela5[[#This Row],[Operações]]</f>
        <v>84041010-Internas e interestaduais</v>
      </c>
      <c r="D29" s="22" t="s">
        <v>586</v>
      </c>
      <c r="E29" s="22" t="s">
        <v>587</v>
      </c>
      <c r="F29" s="22">
        <v>8.8000000000000007</v>
      </c>
      <c r="G29" s="22" t="s">
        <v>637</v>
      </c>
      <c r="H29" s="22" t="s">
        <v>588</v>
      </c>
      <c r="I29" s="23" t="s">
        <v>577</v>
      </c>
      <c r="J29" s="23" t="s">
        <v>638</v>
      </c>
      <c r="K29" s="23" t="s">
        <v>589</v>
      </c>
      <c r="L29" s="23" t="s">
        <v>590</v>
      </c>
      <c r="M29" s="23"/>
      <c r="N29" s="23"/>
      <c r="O29" s="23"/>
      <c r="P29" s="23"/>
      <c r="Q29" s="23"/>
      <c r="R29" s="23"/>
      <c r="S29" s="23"/>
      <c r="T29" s="23"/>
      <c r="U29" s="23"/>
      <c r="V29" s="23"/>
      <c r="W29" s="23"/>
      <c r="X29" s="4"/>
    </row>
    <row r="30" spans="1:24" ht="26.25" x14ac:dyDescent="0.25">
      <c r="A30" s="21" t="s">
        <v>639</v>
      </c>
      <c r="B30" s="21" t="str">
        <f t="shared" si="0"/>
        <v>84042000</v>
      </c>
      <c r="C30" s="21" t="str">
        <f>Tabela5[[#This Row],[Cod. Ncm]]&amp;"-"&amp;Tabela5[[#This Row],[Operações]]</f>
        <v>84042000-Internas e interestaduais</v>
      </c>
      <c r="D30" s="22" t="s">
        <v>586</v>
      </c>
      <c r="E30" s="22" t="s">
        <v>587</v>
      </c>
      <c r="F30" s="22">
        <v>8.8000000000000007</v>
      </c>
      <c r="G30" s="22" t="s">
        <v>640</v>
      </c>
      <c r="H30" s="22" t="s">
        <v>588</v>
      </c>
      <c r="I30" s="23" t="s">
        <v>577</v>
      </c>
      <c r="J30" s="23" t="s">
        <v>641</v>
      </c>
      <c r="K30" s="23" t="s">
        <v>589</v>
      </c>
      <c r="L30" s="23" t="s">
        <v>590</v>
      </c>
      <c r="M30" s="23"/>
      <c r="N30" s="23"/>
      <c r="O30" s="23"/>
      <c r="P30" s="23"/>
      <c r="Q30" s="23"/>
      <c r="R30" s="23"/>
      <c r="S30" s="23"/>
      <c r="T30" s="23"/>
      <c r="U30" s="23"/>
      <c r="V30" s="23"/>
      <c r="W30" s="23"/>
      <c r="X30" s="4"/>
    </row>
    <row r="31" spans="1:24" ht="51" x14ac:dyDescent="0.25">
      <c r="A31" s="21" t="s">
        <v>642</v>
      </c>
      <c r="B31" s="21" t="str">
        <f t="shared" si="0"/>
        <v>84051000</v>
      </c>
      <c r="C31" s="21" t="str">
        <f>Tabela5[[#This Row],[Cod. Ncm]]&amp;"-"&amp;Tabela5[[#This Row],[Operações]]</f>
        <v>84051000-Internas e interestaduais</v>
      </c>
      <c r="D31" s="22" t="s">
        <v>586</v>
      </c>
      <c r="E31" s="22" t="s">
        <v>587</v>
      </c>
      <c r="F31" s="22">
        <v>8.8000000000000007</v>
      </c>
      <c r="G31" s="22" t="s">
        <v>643</v>
      </c>
      <c r="H31" s="22" t="s">
        <v>588</v>
      </c>
      <c r="I31" s="23" t="s">
        <v>577</v>
      </c>
      <c r="J31" s="23" t="s">
        <v>644</v>
      </c>
      <c r="K31" s="23" t="s">
        <v>589</v>
      </c>
      <c r="L31" s="23" t="s">
        <v>590</v>
      </c>
      <c r="M31" s="23"/>
      <c r="N31" s="23"/>
      <c r="O31" s="23"/>
      <c r="P31" s="23"/>
      <c r="Q31" s="23"/>
      <c r="R31" s="23"/>
      <c r="S31" s="23"/>
      <c r="T31" s="23"/>
      <c r="U31" s="23"/>
      <c r="V31" s="23"/>
      <c r="W31" s="23"/>
      <c r="X31" s="4"/>
    </row>
    <row r="32" spans="1:24" ht="26.25" x14ac:dyDescent="0.25">
      <c r="A32" s="21" t="s">
        <v>645</v>
      </c>
      <c r="B32" s="21" t="str">
        <f t="shared" si="0"/>
        <v>84061000</v>
      </c>
      <c r="C32" s="21" t="str">
        <f>Tabela5[[#This Row],[Cod. Ncm]]&amp;"-"&amp;Tabela5[[#This Row],[Operações]]</f>
        <v>84061000-Internas e interestaduais</v>
      </c>
      <c r="D32" s="22" t="s">
        <v>586</v>
      </c>
      <c r="E32" s="22" t="s">
        <v>587</v>
      </c>
      <c r="F32" s="22">
        <v>8.8000000000000007</v>
      </c>
      <c r="G32" s="22" t="s">
        <v>646</v>
      </c>
      <c r="H32" s="22" t="s">
        <v>588</v>
      </c>
      <c r="I32" s="23" t="s">
        <v>577</v>
      </c>
      <c r="J32" s="23" t="s">
        <v>647</v>
      </c>
      <c r="K32" s="23" t="s">
        <v>589</v>
      </c>
      <c r="L32" s="23" t="s">
        <v>590</v>
      </c>
      <c r="M32" s="23"/>
      <c r="N32" s="23"/>
      <c r="O32" s="23"/>
      <c r="P32" s="23"/>
      <c r="Q32" s="23"/>
      <c r="R32" s="23"/>
      <c r="S32" s="23"/>
      <c r="T32" s="23"/>
      <c r="U32" s="23"/>
      <c r="V32" s="23"/>
      <c r="W32" s="23"/>
      <c r="X32" s="4"/>
    </row>
    <row r="33" spans="1:24" ht="26.25" x14ac:dyDescent="0.25">
      <c r="A33" s="21" t="s">
        <v>648</v>
      </c>
      <c r="B33" s="21" t="str">
        <f t="shared" si="0"/>
        <v>84068100</v>
      </c>
      <c r="C33" s="21" t="str">
        <f>Tabela5[[#This Row],[Cod. Ncm]]&amp;"-"&amp;Tabela5[[#This Row],[Operações]]</f>
        <v>84068100-Internas e interestaduais</v>
      </c>
      <c r="D33" s="22" t="s">
        <v>586</v>
      </c>
      <c r="E33" s="22" t="s">
        <v>587</v>
      </c>
      <c r="F33" s="22">
        <v>8.8000000000000007</v>
      </c>
      <c r="G33" s="22" t="s">
        <v>649</v>
      </c>
      <c r="H33" s="22" t="s">
        <v>588</v>
      </c>
      <c r="I33" s="23" t="s">
        <v>577</v>
      </c>
      <c r="J33" s="23" t="s">
        <v>650</v>
      </c>
      <c r="K33" s="23" t="s">
        <v>589</v>
      </c>
      <c r="L33" s="23" t="s">
        <v>590</v>
      </c>
      <c r="M33" s="23"/>
      <c r="N33" s="23"/>
      <c r="O33" s="23"/>
      <c r="P33" s="23"/>
      <c r="Q33" s="23"/>
      <c r="R33" s="23"/>
      <c r="S33" s="23"/>
      <c r="T33" s="23"/>
      <c r="U33" s="23"/>
      <c r="V33" s="23"/>
      <c r="W33" s="23"/>
      <c r="X33" s="4"/>
    </row>
    <row r="34" spans="1:24" ht="26.25" x14ac:dyDescent="0.25">
      <c r="A34" s="21" t="s">
        <v>651</v>
      </c>
      <c r="B34" s="21" t="str">
        <f t="shared" si="0"/>
        <v>84068200</v>
      </c>
      <c r="C34" s="21" t="str">
        <f>Tabela5[[#This Row],[Cod. Ncm]]&amp;"-"&amp;Tabela5[[#This Row],[Operações]]</f>
        <v>84068200-Internas e interestaduais</v>
      </c>
      <c r="D34" s="22" t="s">
        <v>586</v>
      </c>
      <c r="E34" s="22" t="s">
        <v>587</v>
      </c>
      <c r="F34" s="22">
        <v>8.8000000000000007</v>
      </c>
      <c r="G34" s="22" t="s">
        <v>652</v>
      </c>
      <c r="H34" s="22" t="s">
        <v>588</v>
      </c>
      <c r="I34" s="23" t="s">
        <v>577</v>
      </c>
      <c r="J34" s="23" t="s">
        <v>653</v>
      </c>
      <c r="K34" s="23" t="s">
        <v>589</v>
      </c>
      <c r="L34" s="23" t="s">
        <v>590</v>
      </c>
      <c r="M34" s="23"/>
      <c r="N34" s="23"/>
      <c r="O34" s="23"/>
      <c r="P34" s="23"/>
      <c r="Q34" s="23"/>
      <c r="R34" s="23"/>
      <c r="S34" s="23"/>
      <c r="T34" s="23"/>
      <c r="U34" s="23"/>
      <c r="V34" s="23"/>
      <c r="W34" s="23"/>
      <c r="X34" s="4"/>
    </row>
    <row r="35" spans="1:24" ht="26.25" x14ac:dyDescent="0.25">
      <c r="A35" s="21" t="s">
        <v>654</v>
      </c>
      <c r="B35" s="21" t="str">
        <f t="shared" si="0"/>
        <v>84101100</v>
      </c>
      <c r="C35" s="21" t="str">
        <f>Tabela5[[#This Row],[Cod. Ncm]]&amp;"-"&amp;Tabela5[[#This Row],[Operações]]</f>
        <v>84101100-Internas e interestaduais</v>
      </c>
      <c r="D35" s="22" t="s">
        <v>586</v>
      </c>
      <c r="E35" s="22" t="s">
        <v>587</v>
      </c>
      <c r="F35" s="22">
        <v>8.8000000000000007</v>
      </c>
      <c r="G35" s="22" t="s">
        <v>655</v>
      </c>
      <c r="H35" s="22" t="s">
        <v>588</v>
      </c>
      <c r="I35" s="23" t="s">
        <v>577</v>
      </c>
      <c r="J35" s="23" t="s">
        <v>656</v>
      </c>
      <c r="K35" s="23" t="s">
        <v>589</v>
      </c>
      <c r="L35" s="23" t="s">
        <v>590</v>
      </c>
      <c r="M35" s="23"/>
      <c r="N35" s="23"/>
      <c r="O35" s="23"/>
      <c r="P35" s="23"/>
      <c r="Q35" s="23"/>
      <c r="R35" s="23"/>
      <c r="S35" s="23"/>
      <c r="T35" s="23"/>
      <c r="U35" s="23"/>
      <c r="V35" s="23"/>
      <c r="W35" s="23"/>
      <c r="X35" s="4"/>
    </row>
    <row r="36" spans="1:24" ht="26.25" x14ac:dyDescent="0.25">
      <c r="A36" s="21" t="s">
        <v>657</v>
      </c>
      <c r="B36" s="21" t="str">
        <f t="shared" si="0"/>
        <v>84101200</v>
      </c>
      <c r="C36" s="21" t="str">
        <f>Tabela5[[#This Row],[Cod. Ncm]]&amp;"-"&amp;Tabela5[[#This Row],[Operações]]</f>
        <v>84101200-Internas e interestaduais</v>
      </c>
      <c r="D36" s="22" t="s">
        <v>586</v>
      </c>
      <c r="E36" s="22" t="s">
        <v>587</v>
      </c>
      <c r="F36" s="22">
        <v>8.8000000000000007</v>
      </c>
      <c r="G36" s="22" t="s">
        <v>658</v>
      </c>
      <c r="H36" s="22" t="s">
        <v>588</v>
      </c>
      <c r="I36" s="23" t="s">
        <v>577</v>
      </c>
      <c r="J36" s="23" t="s">
        <v>659</v>
      </c>
      <c r="K36" s="23" t="s">
        <v>589</v>
      </c>
      <c r="L36" s="23" t="s">
        <v>590</v>
      </c>
      <c r="M36" s="23"/>
      <c r="N36" s="23"/>
      <c r="O36" s="23"/>
      <c r="P36" s="23"/>
      <c r="Q36" s="23"/>
      <c r="R36" s="23"/>
      <c r="S36" s="23"/>
      <c r="T36" s="23"/>
      <c r="U36" s="23"/>
      <c r="V36" s="23"/>
      <c r="W36" s="23"/>
      <c r="X36" s="4"/>
    </row>
    <row r="37" spans="1:24" ht="26.25" x14ac:dyDescent="0.25">
      <c r="A37" s="21" t="s">
        <v>660</v>
      </c>
      <c r="B37" s="21" t="str">
        <f t="shared" si="0"/>
        <v>84101300</v>
      </c>
      <c r="C37" s="21" t="str">
        <f>Tabela5[[#This Row],[Cod. Ncm]]&amp;"-"&amp;Tabela5[[#This Row],[Operações]]</f>
        <v>84101300-Internas e interestaduais</v>
      </c>
      <c r="D37" s="22" t="s">
        <v>586</v>
      </c>
      <c r="E37" s="22" t="s">
        <v>587</v>
      </c>
      <c r="F37" s="22">
        <v>8.8000000000000007</v>
      </c>
      <c r="G37" s="22" t="s">
        <v>661</v>
      </c>
      <c r="H37" s="22" t="s">
        <v>588</v>
      </c>
      <c r="I37" s="23" t="s">
        <v>577</v>
      </c>
      <c r="J37" s="23" t="s">
        <v>662</v>
      </c>
      <c r="K37" s="23" t="s">
        <v>589</v>
      </c>
      <c r="L37" s="23" t="s">
        <v>590</v>
      </c>
      <c r="M37" s="23"/>
      <c r="N37" s="23"/>
      <c r="O37" s="23"/>
      <c r="P37" s="23"/>
      <c r="Q37" s="23"/>
      <c r="R37" s="23"/>
      <c r="S37" s="23"/>
      <c r="T37" s="23"/>
      <c r="U37" s="23"/>
      <c r="V37" s="23"/>
      <c r="W37" s="23"/>
      <c r="X37" s="4"/>
    </row>
    <row r="38" spans="1:24" ht="26.25" x14ac:dyDescent="0.25">
      <c r="A38" s="21" t="s">
        <v>663</v>
      </c>
      <c r="B38" s="21" t="str">
        <f t="shared" si="0"/>
        <v>84109000</v>
      </c>
      <c r="C38" s="21" t="str">
        <f>Tabela5[[#This Row],[Cod. Ncm]]&amp;"-"&amp;Tabela5[[#This Row],[Operações]]</f>
        <v>84109000-Internas e interestaduais</v>
      </c>
      <c r="D38" s="22" t="s">
        <v>586</v>
      </c>
      <c r="E38" s="22" t="s">
        <v>587</v>
      </c>
      <c r="F38" s="22">
        <v>8.8000000000000007</v>
      </c>
      <c r="G38" s="22" t="s">
        <v>664</v>
      </c>
      <c r="H38" s="22" t="s">
        <v>588</v>
      </c>
      <c r="I38" s="23" t="s">
        <v>577</v>
      </c>
      <c r="J38" s="23" t="s">
        <v>665</v>
      </c>
      <c r="K38" s="23" t="s">
        <v>589</v>
      </c>
      <c r="L38" s="23" t="s">
        <v>590</v>
      </c>
      <c r="M38" s="23"/>
      <c r="N38" s="23"/>
      <c r="O38" s="23"/>
      <c r="P38" s="23"/>
      <c r="Q38" s="23"/>
      <c r="R38" s="23"/>
      <c r="S38" s="23"/>
      <c r="T38" s="23"/>
      <c r="U38" s="23"/>
      <c r="V38" s="23"/>
      <c r="W38" s="23"/>
      <c r="X38" s="4"/>
    </row>
    <row r="39" spans="1:24" ht="26.25" x14ac:dyDescent="0.25">
      <c r="A39" s="21" t="s">
        <v>666</v>
      </c>
      <c r="B39" s="21" t="str">
        <f t="shared" si="0"/>
        <v>84137010</v>
      </c>
      <c r="C39" s="21" t="str">
        <f>Tabela5[[#This Row],[Cod. Ncm]]&amp;"-"&amp;Tabela5[[#This Row],[Operações]]</f>
        <v>84137010-Internas e interestaduais</v>
      </c>
      <c r="D39" s="22" t="s">
        <v>586</v>
      </c>
      <c r="E39" s="22" t="s">
        <v>587</v>
      </c>
      <c r="F39" s="22">
        <v>8.8000000000000007</v>
      </c>
      <c r="G39" s="22" t="s">
        <v>667</v>
      </c>
      <c r="H39" s="22" t="s">
        <v>588</v>
      </c>
      <c r="I39" s="23" t="s">
        <v>577</v>
      </c>
      <c r="J39" s="23" t="s">
        <v>668</v>
      </c>
      <c r="K39" s="23" t="s">
        <v>589</v>
      </c>
      <c r="L39" s="23" t="s">
        <v>590</v>
      </c>
      <c r="M39" s="23"/>
      <c r="N39" s="23"/>
      <c r="O39" s="23"/>
      <c r="P39" s="23"/>
      <c r="Q39" s="23"/>
      <c r="R39" s="23"/>
      <c r="S39" s="23"/>
      <c r="T39" s="23"/>
      <c r="U39" s="23"/>
      <c r="V39" s="23"/>
      <c r="W39" s="23"/>
      <c r="X39" s="4"/>
    </row>
    <row r="40" spans="1:24" ht="26.25" x14ac:dyDescent="0.25">
      <c r="A40" s="21" t="s">
        <v>669</v>
      </c>
      <c r="B40" s="21" t="str">
        <f t="shared" si="0"/>
        <v>84137080</v>
      </c>
      <c r="C40" s="21" t="str">
        <f>Tabela5[[#This Row],[Cod. Ncm]]&amp;"-"&amp;Tabela5[[#This Row],[Operações]]</f>
        <v>84137080-Internas e interestaduais</v>
      </c>
      <c r="D40" s="22" t="s">
        <v>586</v>
      </c>
      <c r="E40" s="22" t="s">
        <v>587</v>
      </c>
      <c r="F40" s="22">
        <v>8.8000000000000007</v>
      </c>
      <c r="G40" s="22" t="s">
        <v>670</v>
      </c>
      <c r="H40" s="22" t="s">
        <v>588</v>
      </c>
      <c r="I40" s="23" t="s">
        <v>577</v>
      </c>
      <c r="J40" s="23" t="s">
        <v>671</v>
      </c>
      <c r="K40" s="23" t="s">
        <v>589</v>
      </c>
      <c r="L40" s="23" t="s">
        <v>590</v>
      </c>
      <c r="M40" s="23"/>
      <c r="N40" s="23"/>
      <c r="O40" s="23"/>
      <c r="P40" s="23"/>
      <c r="Q40" s="23"/>
      <c r="R40" s="23"/>
      <c r="S40" s="23"/>
      <c r="T40" s="23"/>
      <c r="U40" s="23"/>
      <c r="V40" s="23"/>
      <c r="W40" s="23"/>
      <c r="X40" s="4"/>
    </row>
    <row r="41" spans="1:24" ht="26.25" x14ac:dyDescent="0.25">
      <c r="A41" s="21" t="s">
        <v>672</v>
      </c>
      <c r="B41" s="21" t="str">
        <f t="shared" si="0"/>
        <v>84137090</v>
      </c>
      <c r="C41" s="21" t="str">
        <f>Tabela5[[#This Row],[Cod. Ncm]]&amp;"-"&amp;Tabela5[[#This Row],[Operações]]</f>
        <v>84137090-Internas e interestaduais</v>
      </c>
      <c r="D41" s="22" t="s">
        <v>586</v>
      </c>
      <c r="E41" s="22" t="s">
        <v>587</v>
      </c>
      <c r="F41" s="22">
        <v>8.8000000000000007</v>
      </c>
      <c r="G41" s="22" t="s">
        <v>673</v>
      </c>
      <c r="H41" s="22" t="s">
        <v>588</v>
      </c>
      <c r="I41" s="23" t="s">
        <v>577</v>
      </c>
      <c r="J41" s="23" t="s">
        <v>674</v>
      </c>
      <c r="K41" s="23" t="s">
        <v>589</v>
      </c>
      <c r="L41" s="23" t="s">
        <v>590</v>
      </c>
      <c r="M41" s="23"/>
      <c r="N41" s="23"/>
      <c r="O41" s="23"/>
      <c r="P41" s="23"/>
      <c r="Q41" s="23"/>
      <c r="R41" s="23"/>
      <c r="S41" s="23"/>
      <c r="T41" s="23"/>
      <c r="U41" s="23"/>
      <c r="V41" s="23"/>
      <c r="W41" s="23"/>
      <c r="X41" s="4"/>
    </row>
    <row r="42" spans="1:24" ht="26.25" x14ac:dyDescent="0.25">
      <c r="A42" s="21" t="s">
        <v>677</v>
      </c>
      <c r="B42" s="21" t="str">
        <f t="shared" si="0"/>
        <v>84148012</v>
      </c>
      <c r="C42" s="21" t="str">
        <f>Tabela5[[#This Row],[Cod. Ncm]]&amp;"-"&amp;Tabela5[[#This Row],[Operações]]</f>
        <v>84148012-Internas e interestaduais</v>
      </c>
      <c r="D42" s="22" t="s">
        <v>586</v>
      </c>
      <c r="E42" s="22" t="s">
        <v>587</v>
      </c>
      <c r="F42" s="22">
        <v>8.8000000000000007</v>
      </c>
      <c r="G42" s="22" t="s">
        <v>678</v>
      </c>
      <c r="H42" s="22" t="s">
        <v>588</v>
      </c>
      <c r="I42" s="23" t="s">
        <v>577</v>
      </c>
      <c r="J42" s="23" t="s">
        <v>679</v>
      </c>
      <c r="K42" s="23" t="s">
        <v>589</v>
      </c>
      <c r="L42" s="23" t="s">
        <v>590</v>
      </c>
      <c r="M42" s="23"/>
      <c r="N42" s="23"/>
      <c r="O42" s="23"/>
      <c r="P42" s="23"/>
      <c r="Q42" s="23"/>
      <c r="R42" s="23"/>
      <c r="S42" s="23"/>
      <c r="T42" s="23"/>
      <c r="U42" s="23"/>
      <c r="V42" s="23"/>
      <c r="W42" s="23"/>
      <c r="X42" s="4"/>
    </row>
    <row r="43" spans="1:24" ht="26.25" x14ac:dyDescent="0.25">
      <c r="A43" s="21" t="s">
        <v>680</v>
      </c>
      <c r="B43" s="21" t="str">
        <f t="shared" si="0"/>
        <v>84148013</v>
      </c>
      <c r="C43" s="21" t="str">
        <f>Tabela5[[#This Row],[Cod. Ncm]]&amp;"-"&amp;Tabela5[[#This Row],[Operações]]</f>
        <v>84148013-Internas e interestaduais</v>
      </c>
      <c r="D43" s="22" t="s">
        <v>586</v>
      </c>
      <c r="E43" s="22" t="s">
        <v>587</v>
      </c>
      <c r="F43" s="22">
        <v>8.8000000000000007</v>
      </c>
      <c r="G43" s="22" t="s">
        <v>681</v>
      </c>
      <c r="H43" s="22" t="s">
        <v>588</v>
      </c>
      <c r="I43" s="23" t="s">
        <v>577</v>
      </c>
      <c r="J43" s="23" t="s">
        <v>682</v>
      </c>
      <c r="K43" s="23" t="s">
        <v>589</v>
      </c>
      <c r="L43" s="23" t="s">
        <v>590</v>
      </c>
      <c r="M43" s="23"/>
      <c r="N43" s="23"/>
      <c r="O43" s="23"/>
      <c r="P43" s="23"/>
      <c r="Q43" s="23"/>
      <c r="R43" s="23"/>
      <c r="S43" s="23"/>
      <c r="T43" s="23"/>
      <c r="U43" s="23"/>
      <c r="V43" s="23"/>
      <c r="W43" s="23"/>
      <c r="X43" s="4"/>
    </row>
    <row r="44" spans="1:24" ht="26.25" x14ac:dyDescent="0.25">
      <c r="A44" s="21" t="s">
        <v>683</v>
      </c>
      <c r="B44" s="21" t="str">
        <f t="shared" si="0"/>
        <v>84148031</v>
      </c>
      <c r="C44" s="21" t="str">
        <f>Tabela5[[#This Row],[Cod. Ncm]]&amp;"-"&amp;Tabela5[[#This Row],[Operações]]</f>
        <v>84148031-Internas e interestaduais</v>
      </c>
      <c r="D44" s="22" t="s">
        <v>586</v>
      </c>
      <c r="E44" s="22" t="s">
        <v>587</v>
      </c>
      <c r="F44" s="22">
        <v>8.8000000000000007</v>
      </c>
      <c r="G44" s="22" t="s">
        <v>684</v>
      </c>
      <c r="H44" s="22" t="s">
        <v>588</v>
      </c>
      <c r="I44" s="23" t="s">
        <v>577</v>
      </c>
      <c r="J44" s="23" t="s">
        <v>685</v>
      </c>
      <c r="K44" s="23" t="s">
        <v>589</v>
      </c>
      <c r="L44" s="23" t="s">
        <v>590</v>
      </c>
      <c r="M44" s="23"/>
      <c r="N44" s="23"/>
      <c r="O44" s="23"/>
      <c r="P44" s="23"/>
      <c r="Q44" s="23"/>
      <c r="R44" s="23"/>
      <c r="S44" s="23"/>
      <c r="T44" s="23"/>
      <c r="U44" s="23"/>
      <c r="V44" s="23"/>
      <c r="W44" s="23"/>
      <c r="X44" s="4"/>
    </row>
    <row r="45" spans="1:24" ht="26.25" x14ac:dyDescent="0.25">
      <c r="A45" s="21" t="s">
        <v>686</v>
      </c>
      <c r="B45" s="21" t="str">
        <f t="shared" si="0"/>
        <v>84148032</v>
      </c>
      <c r="C45" s="21" t="str">
        <f>Tabela5[[#This Row],[Cod. Ncm]]&amp;"-"&amp;Tabela5[[#This Row],[Operações]]</f>
        <v>84148032-Internas e interestaduais</v>
      </c>
      <c r="D45" s="22" t="s">
        <v>586</v>
      </c>
      <c r="E45" s="22" t="s">
        <v>587</v>
      </c>
      <c r="F45" s="22">
        <v>8.8000000000000007</v>
      </c>
      <c r="G45" s="22" t="s">
        <v>687</v>
      </c>
      <c r="H45" s="22" t="s">
        <v>588</v>
      </c>
      <c r="I45" s="23" t="s">
        <v>577</v>
      </c>
      <c r="J45" s="23" t="s">
        <v>688</v>
      </c>
      <c r="K45" s="23" t="s">
        <v>589</v>
      </c>
      <c r="L45" s="23" t="s">
        <v>590</v>
      </c>
      <c r="M45" s="23"/>
      <c r="N45" s="23"/>
      <c r="O45" s="23"/>
      <c r="P45" s="23"/>
      <c r="Q45" s="23"/>
      <c r="R45" s="23"/>
      <c r="S45" s="23"/>
      <c r="T45" s="23"/>
      <c r="U45" s="23"/>
      <c r="V45" s="23"/>
      <c r="W45" s="23"/>
      <c r="X45" s="4"/>
    </row>
    <row r="46" spans="1:24" ht="26.25" x14ac:dyDescent="0.25">
      <c r="A46" s="21" t="s">
        <v>689</v>
      </c>
      <c r="B46" s="21" t="str">
        <f t="shared" si="0"/>
        <v>84148033</v>
      </c>
      <c r="C46" s="21" t="str">
        <f>Tabela5[[#This Row],[Cod. Ncm]]&amp;"-"&amp;Tabela5[[#This Row],[Operações]]</f>
        <v>84148033-Internas e interestaduais</v>
      </c>
      <c r="D46" s="22" t="s">
        <v>586</v>
      </c>
      <c r="E46" s="22" t="s">
        <v>587</v>
      </c>
      <c r="F46" s="22">
        <v>8.8000000000000007</v>
      </c>
      <c r="G46" s="22" t="s">
        <v>690</v>
      </c>
      <c r="H46" s="22" t="s">
        <v>588</v>
      </c>
      <c r="I46" s="23" t="s">
        <v>577</v>
      </c>
      <c r="J46" s="23" t="s">
        <v>691</v>
      </c>
      <c r="K46" s="23" t="s">
        <v>589</v>
      </c>
      <c r="L46" s="23" t="s">
        <v>590</v>
      </c>
      <c r="M46" s="23"/>
      <c r="N46" s="23"/>
      <c r="O46" s="23"/>
      <c r="P46" s="23"/>
      <c r="Q46" s="23"/>
      <c r="R46" s="23"/>
      <c r="S46" s="23"/>
      <c r="T46" s="23"/>
      <c r="U46" s="23"/>
      <c r="V46" s="23"/>
      <c r="W46" s="23"/>
      <c r="X46" s="4"/>
    </row>
    <row r="47" spans="1:24" ht="26.25" x14ac:dyDescent="0.25">
      <c r="A47" s="21" t="s">
        <v>692</v>
      </c>
      <c r="B47" s="21" t="str">
        <f t="shared" si="0"/>
        <v>84148038</v>
      </c>
      <c r="C47" s="21" t="str">
        <f>Tabela5[[#This Row],[Cod. Ncm]]&amp;"-"&amp;Tabela5[[#This Row],[Operações]]</f>
        <v>84148038-Internas e interestaduais</v>
      </c>
      <c r="D47" s="22" t="s">
        <v>586</v>
      </c>
      <c r="E47" s="22" t="s">
        <v>587</v>
      </c>
      <c r="F47" s="22">
        <v>8.8000000000000007</v>
      </c>
      <c r="G47" s="22" t="s">
        <v>693</v>
      </c>
      <c r="H47" s="22" t="s">
        <v>588</v>
      </c>
      <c r="I47" s="23" t="s">
        <v>577</v>
      </c>
      <c r="J47" s="23" t="s">
        <v>694</v>
      </c>
      <c r="K47" s="23" t="s">
        <v>589</v>
      </c>
      <c r="L47" s="23" t="s">
        <v>590</v>
      </c>
      <c r="M47" s="23"/>
      <c r="N47" s="23"/>
      <c r="O47" s="23"/>
      <c r="P47" s="23"/>
      <c r="Q47" s="23"/>
      <c r="R47" s="23"/>
      <c r="S47" s="23"/>
      <c r="T47" s="23"/>
      <c r="U47" s="23"/>
      <c r="V47" s="23"/>
      <c r="W47" s="23"/>
      <c r="X47" s="4"/>
    </row>
    <row r="48" spans="1:24" ht="26.25" x14ac:dyDescent="0.25">
      <c r="A48" s="21" t="s">
        <v>695</v>
      </c>
      <c r="B48" s="21" t="str">
        <f t="shared" si="0"/>
        <v>84148039</v>
      </c>
      <c r="C48" s="21" t="str">
        <f>Tabela5[[#This Row],[Cod. Ncm]]&amp;"-"&amp;Tabela5[[#This Row],[Operações]]</f>
        <v>84148039-Internas e interestaduais</v>
      </c>
      <c r="D48" s="22" t="s">
        <v>586</v>
      </c>
      <c r="E48" s="22" t="s">
        <v>587</v>
      </c>
      <c r="F48" s="22">
        <v>8.8000000000000007</v>
      </c>
      <c r="G48" s="22" t="s">
        <v>696</v>
      </c>
      <c r="H48" s="22" t="s">
        <v>588</v>
      </c>
      <c r="I48" s="23" t="s">
        <v>577</v>
      </c>
      <c r="J48" s="23" t="s">
        <v>697</v>
      </c>
      <c r="K48" s="23" t="s">
        <v>589</v>
      </c>
      <c r="L48" s="23" t="s">
        <v>590</v>
      </c>
      <c r="M48" s="23"/>
      <c r="N48" s="23"/>
      <c r="O48" s="23"/>
      <c r="P48" s="23"/>
      <c r="Q48" s="23"/>
      <c r="R48" s="23"/>
      <c r="S48" s="23"/>
      <c r="T48" s="23"/>
      <c r="U48" s="23"/>
      <c r="V48" s="23"/>
      <c r="W48" s="23"/>
      <c r="X48" s="4"/>
    </row>
    <row r="49" spans="1:24" ht="26.25" x14ac:dyDescent="0.25">
      <c r="A49" s="21" t="s">
        <v>698</v>
      </c>
      <c r="B49" s="21" t="str">
        <f t="shared" si="0"/>
        <v>84162010</v>
      </c>
      <c r="C49" s="21" t="str">
        <f>Tabela5[[#This Row],[Cod. Ncm]]&amp;"-"&amp;Tabela5[[#This Row],[Operações]]</f>
        <v>84162010-Internas e interestaduais</v>
      </c>
      <c r="D49" s="22" t="s">
        <v>586</v>
      </c>
      <c r="E49" s="22" t="s">
        <v>587</v>
      </c>
      <c r="F49" s="22">
        <v>8.8000000000000007</v>
      </c>
      <c r="G49" s="22" t="s">
        <v>699</v>
      </c>
      <c r="H49" s="22" t="s">
        <v>588</v>
      </c>
      <c r="I49" s="23" t="s">
        <v>577</v>
      </c>
      <c r="J49" s="23" t="s">
        <v>700</v>
      </c>
      <c r="K49" s="23" t="s">
        <v>589</v>
      </c>
      <c r="L49" s="23" t="s">
        <v>590</v>
      </c>
      <c r="M49" s="23"/>
      <c r="N49" s="23"/>
      <c r="O49" s="23"/>
      <c r="P49" s="23"/>
      <c r="Q49" s="23"/>
      <c r="R49" s="23"/>
      <c r="S49" s="23"/>
      <c r="T49" s="23"/>
      <c r="U49" s="23"/>
      <c r="V49" s="23"/>
      <c r="W49" s="23"/>
      <c r="X49" s="4"/>
    </row>
    <row r="50" spans="1:24" ht="26.25" x14ac:dyDescent="0.25">
      <c r="A50" s="21" t="s">
        <v>701</v>
      </c>
      <c r="B50" s="21" t="str">
        <f t="shared" si="0"/>
        <v>84162090</v>
      </c>
      <c r="C50" s="21" t="str">
        <f>Tabela5[[#This Row],[Cod. Ncm]]&amp;"-"&amp;Tabela5[[#This Row],[Operações]]</f>
        <v>84162090-Internas e interestaduais</v>
      </c>
      <c r="D50" s="22" t="s">
        <v>586</v>
      </c>
      <c r="E50" s="22" t="s">
        <v>587</v>
      </c>
      <c r="F50" s="22">
        <v>8.8000000000000007</v>
      </c>
      <c r="G50" s="22" t="s">
        <v>702</v>
      </c>
      <c r="H50" s="22" t="s">
        <v>588</v>
      </c>
      <c r="I50" s="23" t="s">
        <v>577</v>
      </c>
      <c r="J50" s="23" t="s">
        <v>703</v>
      </c>
      <c r="K50" s="23" t="s">
        <v>589</v>
      </c>
      <c r="L50" s="23" t="s">
        <v>590</v>
      </c>
      <c r="M50" s="23"/>
      <c r="N50" s="23"/>
      <c r="O50" s="23"/>
      <c r="P50" s="23"/>
      <c r="Q50" s="23"/>
      <c r="R50" s="23"/>
      <c r="S50" s="23"/>
      <c r="T50" s="23"/>
      <c r="U50" s="23"/>
      <c r="V50" s="23"/>
      <c r="W50" s="23"/>
      <c r="X50" s="4"/>
    </row>
    <row r="51" spans="1:24" ht="38.25" x14ac:dyDescent="0.25">
      <c r="A51" s="21" t="s">
        <v>704</v>
      </c>
      <c r="B51" s="21" t="str">
        <f t="shared" ref="B51:B113" si="1">RIGHT(A51,8)</f>
        <v>84163000</v>
      </c>
      <c r="C51" s="21" t="str">
        <f>Tabela5[[#This Row],[Cod. Ncm]]&amp;"-"&amp;Tabela5[[#This Row],[Operações]]</f>
        <v>84163000-Internas e interestaduais</v>
      </c>
      <c r="D51" s="22" t="s">
        <v>586</v>
      </c>
      <c r="E51" s="22" t="s">
        <v>587</v>
      </c>
      <c r="F51" s="22">
        <v>8.8000000000000007</v>
      </c>
      <c r="G51" s="22" t="s">
        <v>705</v>
      </c>
      <c r="H51" s="22" t="s">
        <v>588</v>
      </c>
      <c r="I51" s="23" t="s">
        <v>577</v>
      </c>
      <c r="J51" s="23" t="s">
        <v>706</v>
      </c>
      <c r="K51" s="23" t="s">
        <v>589</v>
      </c>
      <c r="L51" s="23" t="s">
        <v>590</v>
      </c>
      <c r="M51" s="23"/>
      <c r="N51" s="23"/>
      <c r="O51" s="23"/>
      <c r="P51" s="23"/>
      <c r="Q51" s="23"/>
      <c r="R51" s="23"/>
      <c r="S51" s="23"/>
      <c r="T51" s="23"/>
      <c r="U51" s="23"/>
      <c r="V51" s="23"/>
      <c r="W51" s="23"/>
      <c r="X51" s="4"/>
    </row>
    <row r="52" spans="1:24" ht="26.25" x14ac:dyDescent="0.25">
      <c r="A52" s="21" t="s">
        <v>707</v>
      </c>
      <c r="B52" s="21" t="str">
        <f t="shared" si="1"/>
        <v>84169000</v>
      </c>
      <c r="C52" s="21" t="str">
        <f>Tabela5[[#This Row],[Cod. Ncm]]&amp;"-"&amp;Tabela5[[#This Row],[Operações]]</f>
        <v>84169000-Internas e interestaduais</v>
      </c>
      <c r="D52" s="22" t="s">
        <v>586</v>
      </c>
      <c r="E52" s="22" t="s">
        <v>587</v>
      </c>
      <c r="F52" s="22">
        <v>8.8000000000000007</v>
      </c>
      <c r="G52" s="22" t="s">
        <v>708</v>
      </c>
      <c r="H52" s="22" t="s">
        <v>588</v>
      </c>
      <c r="I52" s="23" t="s">
        <v>577</v>
      </c>
      <c r="J52" s="23" t="s">
        <v>709</v>
      </c>
      <c r="K52" s="23" t="s">
        <v>589</v>
      </c>
      <c r="L52" s="23" t="s">
        <v>590</v>
      </c>
      <c r="M52" s="23"/>
      <c r="N52" s="23"/>
      <c r="O52" s="23"/>
      <c r="P52" s="23"/>
      <c r="Q52" s="23"/>
      <c r="R52" s="23"/>
      <c r="S52" s="23"/>
      <c r="T52" s="23"/>
      <c r="U52" s="23"/>
      <c r="V52" s="23"/>
      <c r="W52" s="23"/>
      <c r="X52" s="4"/>
    </row>
    <row r="53" spans="1:24" ht="26.25" x14ac:dyDescent="0.25">
      <c r="A53" s="21" t="s">
        <v>710</v>
      </c>
      <c r="B53" s="21" t="str">
        <f t="shared" si="1"/>
        <v>84171010</v>
      </c>
      <c r="C53" s="21" t="str">
        <f>Tabela5[[#This Row],[Cod. Ncm]]&amp;"-"&amp;Tabela5[[#This Row],[Operações]]</f>
        <v>84171010-Internas e interestaduais</v>
      </c>
      <c r="D53" s="22" t="s">
        <v>586</v>
      </c>
      <c r="E53" s="22" t="s">
        <v>587</v>
      </c>
      <c r="F53" s="22">
        <v>8.8000000000000007</v>
      </c>
      <c r="G53" s="22" t="s">
        <v>711</v>
      </c>
      <c r="H53" s="22" t="s">
        <v>588</v>
      </c>
      <c r="I53" s="23" t="s">
        <v>577</v>
      </c>
      <c r="J53" s="23" t="s">
        <v>712</v>
      </c>
      <c r="K53" s="23" t="s">
        <v>589</v>
      </c>
      <c r="L53" s="23" t="s">
        <v>590</v>
      </c>
      <c r="M53" s="23"/>
      <c r="N53" s="23"/>
      <c r="O53" s="23"/>
      <c r="P53" s="23"/>
      <c r="Q53" s="23"/>
      <c r="R53" s="23"/>
      <c r="S53" s="23"/>
      <c r="T53" s="23"/>
      <c r="U53" s="23"/>
      <c r="V53" s="23"/>
      <c r="W53" s="23"/>
      <c r="X53" s="4"/>
    </row>
    <row r="54" spans="1:24" ht="26.25" x14ac:dyDescent="0.25">
      <c r="A54" s="21" t="s">
        <v>713</v>
      </c>
      <c r="B54" s="21" t="str">
        <f t="shared" si="1"/>
        <v>84171020</v>
      </c>
      <c r="C54" s="21" t="str">
        <f>Tabela5[[#This Row],[Cod. Ncm]]&amp;"-"&amp;Tabela5[[#This Row],[Operações]]</f>
        <v>84171020-Internas e interestaduais</v>
      </c>
      <c r="D54" s="22" t="s">
        <v>586</v>
      </c>
      <c r="E54" s="22" t="s">
        <v>587</v>
      </c>
      <c r="F54" s="22">
        <v>8.8000000000000007</v>
      </c>
      <c r="G54" s="22" t="s">
        <v>714</v>
      </c>
      <c r="H54" s="22" t="s">
        <v>588</v>
      </c>
      <c r="I54" s="23" t="s">
        <v>577</v>
      </c>
      <c r="J54" s="23" t="s">
        <v>715</v>
      </c>
      <c r="K54" s="23" t="s">
        <v>589</v>
      </c>
      <c r="L54" s="23" t="s">
        <v>590</v>
      </c>
      <c r="M54" s="23"/>
      <c r="N54" s="23"/>
      <c r="O54" s="23"/>
      <c r="P54" s="23"/>
      <c r="Q54" s="23"/>
      <c r="R54" s="23"/>
      <c r="S54" s="23"/>
      <c r="T54" s="23"/>
      <c r="U54" s="23"/>
      <c r="V54" s="23"/>
      <c r="W54" s="23"/>
      <c r="X54" s="4"/>
    </row>
    <row r="55" spans="1:24" ht="26.25" x14ac:dyDescent="0.25">
      <c r="A55" s="21" t="s">
        <v>716</v>
      </c>
      <c r="B55" s="21" t="str">
        <f t="shared" si="1"/>
        <v>84171090</v>
      </c>
      <c r="C55" s="21" t="str">
        <f>Tabela5[[#This Row],[Cod. Ncm]]&amp;"-"&amp;Tabela5[[#This Row],[Operações]]</f>
        <v>84171090-Internas e interestaduais</v>
      </c>
      <c r="D55" s="22" t="s">
        <v>586</v>
      </c>
      <c r="E55" s="22" t="s">
        <v>587</v>
      </c>
      <c r="F55" s="22">
        <v>8.8000000000000007</v>
      </c>
      <c r="G55" s="22" t="s">
        <v>717</v>
      </c>
      <c r="H55" s="22" t="s">
        <v>588</v>
      </c>
      <c r="I55" s="23" t="s">
        <v>577</v>
      </c>
      <c r="J55" s="23" t="s">
        <v>718</v>
      </c>
      <c r="K55" s="23" t="s">
        <v>589</v>
      </c>
      <c r="L55" s="23" t="s">
        <v>590</v>
      </c>
      <c r="M55" s="23"/>
      <c r="N55" s="23"/>
      <c r="O55" s="23"/>
      <c r="P55" s="23"/>
      <c r="Q55" s="23"/>
      <c r="R55" s="23"/>
      <c r="S55" s="23"/>
      <c r="T55" s="23"/>
      <c r="U55" s="23"/>
      <c r="V55" s="23"/>
      <c r="W55" s="23"/>
      <c r="X55" s="4"/>
    </row>
    <row r="56" spans="1:24" ht="26.25" x14ac:dyDescent="0.25">
      <c r="A56" s="21" t="s">
        <v>719</v>
      </c>
      <c r="B56" s="21" t="str">
        <f t="shared" si="1"/>
        <v>84172000</v>
      </c>
      <c r="C56" s="21" t="str">
        <f>Tabela5[[#This Row],[Cod. Ncm]]&amp;"-"&amp;Tabela5[[#This Row],[Operações]]</f>
        <v>84172000-Internas e interestaduais</v>
      </c>
      <c r="D56" s="22" t="s">
        <v>586</v>
      </c>
      <c r="E56" s="22" t="s">
        <v>587</v>
      </c>
      <c r="F56" s="22">
        <v>8.8000000000000007</v>
      </c>
      <c r="G56" s="22" t="s">
        <v>720</v>
      </c>
      <c r="H56" s="22" t="s">
        <v>588</v>
      </c>
      <c r="I56" s="23" t="s">
        <v>577</v>
      </c>
      <c r="J56" s="23" t="s">
        <v>721</v>
      </c>
      <c r="K56" s="23" t="s">
        <v>589</v>
      </c>
      <c r="L56" s="23" t="s">
        <v>590</v>
      </c>
      <c r="M56" s="23"/>
      <c r="N56" s="23"/>
      <c r="O56" s="23"/>
      <c r="P56" s="23"/>
      <c r="Q56" s="23"/>
      <c r="R56" s="23"/>
      <c r="S56" s="23"/>
      <c r="T56" s="23"/>
      <c r="U56" s="23"/>
      <c r="V56" s="23"/>
      <c r="W56" s="23"/>
      <c r="X56" s="4"/>
    </row>
    <row r="57" spans="1:24" ht="26.25" x14ac:dyDescent="0.25">
      <c r="A57" s="21" t="s">
        <v>722</v>
      </c>
      <c r="B57" s="21" t="str">
        <f t="shared" si="1"/>
        <v>84178010</v>
      </c>
      <c r="C57" s="21" t="str">
        <f>Tabela5[[#This Row],[Cod. Ncm]]&amp;"-"&amp;Tabela5[[#This Row],[Operações]]</f>
        <v>84178010-Internas e interestaduais</v>
      </c>
      <c r="D57" s="22" t="s">
        <v>586</v>
      </c>
      <c r="E57" s="22" t="s">
        <v>587</v>
      </c>
      <c r="F57" s="22">
        <v>8.8000000000000007</v>
      </c>
      <c r="G57" s="22" t="s">
        <v>723</v>
      </c>
      <c r="H57" s="22" t="s">
        <v>588</v>
      </c>
      <c r="I57" s="23" t="s">
        <v>577</v>
      </c>
      <c r="J57" s="23" t="s">
        <v>724</v>
      </c>
      <c r="K57" s="23" t="s">
        <v>589</v>
      </c>
      <c r="L57" s="23" t="s">
        <v>590</v>
      </c>
      <c r="M57" s="23"/>
      <c r="N57" s="23"/>
      <c r="O57" s="23"/>
      <c r="P57" s="23"/>
      <c r="Q57" s="23"/>
      <c r="R57" s="23"/>
      <c r="S57" s="23"/>
      <c r="T57" s="23"/>
      <c r="U57" s="23"/>
      <c r="V57" s="23"/>
      <c r="W57" s="23"/>
      <c r="X57" s="4"/>
    </row>
    <row r="58" spans="1:24" ht="26.25" x14ac:dyDescent="0.25">
      <c r="A58" s="21" t="s">
        <v>725</v>
      </c>
      <c r="B58" s="21" t="str">
        <f t="shared" si="1"/>
        <v>84178090</v>
      </c>
      <c r="C58" s="21" t="str">
        <f>Tabela5[[#This Row],[Cod. Ncm]]&amp;"-"&amp;Tabela5[[#This Row],[Operações]]</f>
        <v>84178090-Internas e interestaduais</v>
      </c>
      <c r="D58" s="22" t="s">
        <v>586</v>
      </c>
      <c r="E58" s="22" t="s">
        <v>587</v>
      </c>
      <c r="F58" s="22">
        <v>8.8000000000000007</v>
      </c>
      <c r="G58" s="22" t="s">
        <v>726</v>
      </c>
      <c r="H58" s="22" t="s">
        <v>588</v>
      </c>
      <c r="I58" s="23" t="s">
        <v>577</v>
      </c>
      <c r="J58" s="23" t="s">
        <v>727</v>
      </c>
      <c r="K58" s="23" t="s">
        <v>589</v>
      </c>
      <c r="L58" s="23" t="s">
        <v>590</v>
      </c>
      <c r="M58" s="23"/>
      <c r="N58" s="23"/>
      <c r="O58" s="23"/>
      <c r="P58" s="23"/>
      <c r="Q58" s="23"/>
      <c r="R58" s="23"/>
      <c r="S58" s="23"/>
      <c r="T58" s="23"/>
      <c r="U58" s="23"/>
      <c r="V58" s="23"/>
      <c r="W58" s="23"/>
      <c r="X58" s="4"/>
    </row>
    <row r="59" spans="1:24" ht="26.25" x14ac:dyDescent="0.25">
      <c r="A59" s="21" t="s">
        <v>728</v>
      </c>
      <c r="B59" s="21" t="str">
        <f t="shared" si="1"/>
        <v>84186910</v>
      </c>
      <c r="C59" s="21" t="str">
        <f>Tabela5[[#This Row],[Cod. Ncm]]&amp;"-"&amp;Tabela5[[#This Row],[Operações]]</f>
        <v>84186910-Internas e interestaduais</v>
      </c>
      <c r="D59" s="22" t="s">
        <v>586</v>
      </c>
      <c r="E59" s="22" t="s">
        <v>587</v>
      </c>
      <c r="F59" s="22">
        <v>8.8000000000000007</v>
      </c>
      <c r="G59" s="22" t="s">
        <v>729</v>
      </c>
      <c r="H59" s="22" t="s">
        <v>588</v>
      </c>
      <c r="I59" s="23" t="s">
        <v>577</v>
      </c>
      <c r="J59" s="23" t="s">
        <v>730</v>
      </c>
      <c r="K59" s="23" t="s">
        <v>589</v>
      </c>
      <c r="L59" s="23" t="s">
        <v>590</v>
      </c>
      <c r="M59" s="23"/>
      <c r="N59" s="23"/>
      <c r="O59" s="23"/>
      <c r="P59" s="23"/>
      <c r="Q59" s="23"/>
      <c r="R59" s="23"/>
      <c r="S59" s="23"/>
      <c r="T59" s="23"/>
      <c r="U59" s="23"/>
      <c r="V59" s="23"/>
      <c r="W59" s="23"/>
      <c r="X59" s="4"/>
    </row>
    <row r="60" spans="1:24" ht="26.25" x14ac:dyDescent="0.25">
      <c r="A60" s="21" t="s">
        <v>731</v>
      </c>
      <c r="B60" s="21" t="str">
        <f t="shared" si="1"/>
        <v>84186920</v>
      </c>
      <c r="C60" s="21" t="str">
        <f>Tabela5[[#This Row],[Cod. Ncm]]&amp;"-"&amp;Tabela5[[#This Row],[Operações]]</f>
        <v>84186920-Internas e interestaduais</v>
      </c>
      <c r="D60" s="22" t="s">
        <v>586</v>
      </c>
      <c r="E60" s="22" t="s">
        <v>587</v>
      </c>
      <c r="F60" s="22">
        <v>8.8000000000000007</v>
      </c>
      <c r="G60" s="22" t="s">
        <v>732</v>
      </c>
      <c r="H60" s="22" t="s">
        <v>588</v>
      </c>
      <c r="I60" s="23" t="s">
        <v>577</v>
      </c>
      <c r="J60" s="23" t="s">
        <v>733</v>
      </c>
      <c r="K60" s="23" t="s">
        <v>589</v>
      </c>
      <c r="L60" s="23" t="s">
        <v>590</v>
      </c>
      <c r="M60" s="23"/>
      <c r="N60" s="23"/>
      <c r="O60" s="23"/>
      <c r="P60" s="23"/>
      <c r="Q60" s="23"/>
      <c r="R60" s="23"/>
      <c r="S60" s="23"/>
      <c r="T60" s="23"/>
      <c r="U60" s="23"/>
      <c r="V60" s="23"/>
      <c r="W60" s="23"/>
      <c r="X60" s="4"/>
    </row>
    <row r="61" spans="1:24" ht="26.25" x14ac:dyDescent="0.25">
      <c r="A61" s="21" t="s">
        <v>735</v>
      </c>
      <c r="B61" s="21" t="str">
        <f t="shared" si="1"/>
        <v>84193200</v>
      </c>
      <c r="C61" s="21" t="str">
        <f>Tabela5[[#This Row],[Cod. Ncm]]&amp;"-"&amp;Tabela5[[#This Row],[Operações]]</f>
        <v>84193200-Internas e interestaduais</v>
      </c>
      <c r="D61" s="22" t="s">
        <v>586</v>
      </c>
      <c r="E61" s="22" t="s">
        <v>587</v>
      </c>
      <c r="F61" s="22">
        <v>8.8000000000000007</v>
      </c>
      <c r="G61" s="22" t="s">
        <v>736</v>
      </c>
      <c r="H61" s="22" t="s">
        <v>588</v>
      </c>
      <c r="I61" s="23" t="s">
        <v>577</v>
      </c>
      <c r="J61" s="23" t="s">
        <v>737</v>
      </c>
      <c r="K61" s="23" t="s">
        <v>589</v>
      </c>
      <c r="L61" s="23" t="s">
        <v>590</v>
      </c>
      <c r="M61" s="23"/>
      <c r="N61" s="23"/>
      <c r="O61" s="23"/>
      <c r="P61" s="23"/>
      <c r="Q61" s="23"/>
      <c r="R61" s="23"/>
      <c r="S61" s="23"/>
      <c r="T61" s="23"/>
      <c r="U61" s="23"/>
      <c r="V61" s="23"/>
      <c r="W61" s="23"/>
      <c r="X61" s="4"/>
    </row>
    <row r="62" spans="1:24" ht="26.25" x14ac:dyDescent="0.25">
      <c r="A62" s="21" t="s">
        <v>738</v>
      </c>
      <c r="B62" s="21" t="str">
        <f t="shared" si="1"/>
        <v>84193900</v>
      </c>
      <c r="C62" s="21" t="str">
        <f>Tabela5[[#This Row],[Cod. Ncm]]&amp;"-"&amp;Tabela5[[#This Row],[Operações]]</f>
        <v>84193900-Internas e interestaduais</v>
      </c>
      <c r="D62" s="22" t="s">
        <v>586</v>
      </c>
      <c r="E62" s="22" t="s">
        <v>587</v>
      </c>
      <c r="F62" s="22">
        <v>8.8000000000000007</v>
      </c>
      <c r="G62" s="22" t="s">
        <v>739</v>
      </c>
      <c r="H62" s="22" t="s">
        <v>588</v>
      </c>
      <c r="I62" s="23" t="s">
        <v>577</v>
      </c>
      <c r="J62" s="23" t="s">
        <v>740</v>
      </c>
      <c r="K62" s="23" t="s">
        <v>589</v>
      </c>
      <c r="L62" s="23" t="s">
        <v>590</v>
      </c>
      <c r="M62" s="23"/>
      <c r="N62" s="23"/>
      <c r="O62" s="23"/>
      <c r="P62" s="23"/>
      <c r="Q62" s="23"/>
      <c r="R62" s="23"/>
      <c r="S62" s="23"/>
      <c r="T62" s="23"/>
      <c r="U62" s="23"/>
      <c r="V62" s="23"/>
      <c r="W62" s="23"/>
      <c r="X62" s="4"/>
    </row>
    <row r="63" spans="1:24" ht="26.25" x14ac:dyDescent="0.25">
      <c r="A63" s="21" t="s">
        <v>741</v>
      </c>
      <c r="B63" s="21" t="str">
        <f t="shared" si="1"/>
        <v>84194010</v>
      </c>
      <c r="C63" s="21" t="str">
        <f>Tabela5[[#This Row],[Cod. Ncm]]&amp;"-"&amp;Tabela5[[#This Row],[Operações]]</f>
        <v>84194010-Internas e interestaduais</v>
      </c>
      <c r="D63" s="22" t="s">
        <v>586</v>
      </c>
      <c r="E63" s="22" t="s">
        <v>587</v>
      </c>
      <c r="F63" s="22">
        <v>8.8000000000000007</v>
      </c>
      <c r="G63" s="22" t="s">
        <v>742</v>
      </c>
      <c r="H63" s="22" t="s">
        <v>588</v>
      </c>
      <c r="I63" s="23" t="s">
        <v>577</v>
      </c>
      <c r="J63" s="23" t="s">
        <v>743</v>
      </c>
      <c r="K63" s="23" t="s">
        <v>589</v>
      </c>
      <c r="L63" s="23" t="s">
        <v>590</v>
      </c>
      <c r="M63" s="23"/>
      <c r="N63" s="23"/>
      <c r="O63" s="23"/>
      <c r="P63" s="23"/>
      <c r="Q63" s="23"/>
      <c r="R63" s="23"/>
      <c r="S63" s="23"/>
      <c r="T63" s="23"/>
      <c r="U63" s="23"/>
      <c r="V63" s="23"/>
      <c r="W63" s="23"/>
      <c r="X63" s="4"/>
    </row>
    <row r="64" spans="1:24" ht="26.25" x14ac:dyDescent="0.25">
      <c r="A64" s="21" t="s">
        <v>744</v>
      </c>
      <c r="B64" s="21" t="str">
        <f t="shared" si="1"/>
        <v>84194020</v>
      </c>
      <c r="C64" s="21" t="str">
        <f>Tabela5[[#This Row],[Cod. Ncm]]&amp;"-"&amp;Tabela5[[#This Row],[Operações]]</f>
        <v>84194020-Internas e interestaduais</v>
      </c>
      <c r="D64" s="22" t="s">
        <v>586</v>
      </c>
      <c r="E64" s="22" t="s">
        <v>587</v>
      </c>
      <c r="F64" s="22">
        <v>8.8000000000000007</v>
      </c>
      <c r="G64" s="22" t="s">
        <v>745</v>
      </c>
      <c r="H64" s="22" t="s">
        <v>588</v>
      </c>
      <c r="I64" s="23" t="s">
        <v>577</v>
      </c>
      <c r="J64" s="23" t="s">
        <v>746</v>
      </c>
      <c r="K64" s="23" t="s">
        <v>589</v>
      </c>
      <c r="L64" s="23" t="s">
        <v>590</v>
      </c>
      <c r="M64" s="23"/>
      <c r="N64" s="23"/>
      <c r="O64" s="23"/>
      <c r="P64" s="23"/>
      <c r="Q64" s="23"/>
      <c r="R64" s="23"/>
      <c r="S64" s="23"/>
      <c r="T64" s="23"/>
      <c r="U64" s="23"/>
      <c r="V64" s="23"/>
      <c r="W64" s="23"/>
      <c r="X64" s="4"/>
    </row>
    <row r="65" spans="1:24" ht="26.25" x14ac:dyDescent="0.25">
      <c r="A65" s="21" t="s">
        <v>747</v>
      </c>
      <c r="B65" s="21" t="str">
        <f t="shared" si="1"/>
        <v>84194090</v>
      </c>
      <c r="C65" s="21" t="str">
        <f>Tabela5[[#This Row],[Cod. Ncm]]&amp;"-"&amp;Tabela5[[#This Row],[Operações]]</f>
        <v>84194090-Internas e interestaduais</v>
      </c>
      <c r="D65" s="22" t="s">
        <v>586</v>
      </c>
      <c r="E65" s="22" t="s">
        <v>587</v>
      </c>
      <c r="F65" s="22">
        <v>8.8000000000000007</v>
      </c>
      <c r="G65" s="22" t="s">
        <v>748</v>
      </c>
      <c r="H65" s="22" t="s">
        <v>588</v>
      </c>
      <c r="I65" s="23" t="s">
        <v>577</v>
      </c>
      <c r="J65" s="23" t="s">
        <v>749</v>
      </c>
      <c r="K65" s="23" t="s">
        <v>589</v>
      </c>
      <c r="L65" s="23" t="s">
        <v>590</v>
      </c>
      <c r="M65" s="23"/>
      <c r="N65" s="23"/>
      <c r="O65" s="23"/>
      <c r="P65" s="23"/>
      <c r="Q65" s="23"/>
      <c r="R65" s="23"/>
      <c r="S65" s="23"/>
      <c r="T65" s="23"/>
      <c r="U65" s="23"/>
      <c r="V65" s="23"/>
      <c r="W65" s="23"/>
      <c r="X65" s="4"/>
    </row>
    <row r="66" spans="1:24" ht="26.25" x14ac:dyDescent="0.25">
      <c r="A66" s="21" t="s">
        <v>750</v>
      </c>
      <c r="B66" s="21" t="str">
        <f t="shared" si="1"/>
        <v>84195010</v>
      </c>
      <c r="C66" s="21" t="str">
        <f>Tabela5[[#This Row],[Cod. Ncm]]&amp;"-"&amp;Tabela5[[#This Row],[Operações]]</f>
        <v>84195010-Internas e interestaduais</v>
      </c>
      <c r="D66" s="22" t="s">
        <v>586</v>
      </c>
      <c r="E66" s="22" t="s">
        <v>587</v>
      </c>
      <c r="F66" s="22">
        <v>8.8000000000000007</v>
      </c>
      <c r="G66" s="22" t="s">
        <v>751</v>
      </c>
      <c r="H66" s="22" t="s">
        <v>588</v>
      </c>
      <c r="I66" s="23" t="s">
        <v>577</v>
      </c>
      <c r="J66" s="23" t="s">
        <v>752</v>
      </c>
      <c r="K66" s="23" t="s">
        <v>589</v>
      </c>
      <c r="L66" s="23" t="s">
        <v>590</v>
      </c>
      <c r="M66" s="23"/>
      <c r="N66" s="23"/>
      <c r="O66" s="23"/>
      <c r="P66" s="23"/>
      <c r="Q66" s="23"/>
      <c r="R66" s="23"/>
      <c r="S66" s="23"/>
      <c r="T66" s="23"/>
      <c r="U66" s="23"/>
      <c r="V66" s="23"/>
      <c r="W66" s="23"/>
      <c r="X66" s="4"/>
    </row>
    <row r="67" spans="1:24" ht="26.25" x14ac:dyDescent="0.25">
      <c r="A67" s="21" t="s">
        <v>753</v>
      </c>
      <c r="B67" s="21" t="str">
        <f t="shared" si="1"/>
        <v>84195029</v>
      </c>
      <c r="C67" s="21" t="str">
        <f>Tabela5[[#This Row],[Cod. Ncm]]&amp;"-"&amp;Tabela5[[#This Row],[Operações]]</f>
        <v>84195029-Internas e interestaduais</v>
      </c>
      <c r="D67" s="22" t="s">
        <v>586</v>
      </c>
      <c r="E67" s="22" t="s">
        <v>587</v>
      </c>
      <c r="F67" s="22">
        <v>8.8000000000000007</v>
      </c>
      <c r="G67" s="22" t="s">
        <v>754</v>
      </c>
      <c r="H67" s="22" t="s">
        <v>588</v>
      </c>
      <c r="I67" s="23" t="s">
        <v>577</v>
      </c>
      <c r="J67" s="23" t="s">
        <v>755</v>
      </c>
      <c r="K67" s="23" t="s">
        <v>589</v>
      </c>
      <c r="L67" s="23" t="s">
        <v>590</v>
      </c>
      <c r="M67" s="23"/>
      <c r="N67" s="23"/>
      <c r="O67" s="23"/>
      <c r="P67" s="23"/>
      <c r="Q67" s="23"/>
      <c r="R67" s="23"/>
      <c r="S67" s="23"/>
      <c r="T67" s="23"/>
      <c r="U67" s="23"/>
      <c r="V67" s="23"/>
      <c r="W67" s="23"/>
      <c r="X67" s="4"/>
    </row>
    <row r="68" spans="1:24" ht="26.25" x14ac:dyDescent="0.25">
      <c r="A68" s="21" t="s">
        <v>756</v>
      </c>
      <c r="B68" s="21" t="str">
        <f t="shared" si="1"/>
        <v>84196000</v>
      </c>
      <c r="C68" s="21" t="str">
        <f>Tabela5[[#This Row],[Cod. Ncm]]&amp;"-"&amp;Tabela5[[#This Row],[Operações]]</f>
        <v>84196000-Internas e interestaduais</v>
      </c>
      <c r="D68" s="22" t="s">
        <v>586</v>
      </c>
      <c r="E68" s="22" t="s">
        <v>587</v>
      </c>
      <c r="F68" s="22">
        <v>8.8000000000000007</v>
      </c>
      <c r="G68" s="22" t="s">
        <v>757</v>
      </c>
      <c r="H68" s="22" t="s">
        <v>588</v>
      </c>
      <c r="I68" s="23" t="s">
        <v>577</v>
      </c>
      <c r="J68" s="23" t="s">
        <v>758</v>
      </c>
      <c r="K68" s="23" t="s">
        <v>589</v>
      </c>
      <c r="L68" s="23" t="s">
        <v>590</v>
      </c>
      <c r="M68" s="23"/>
      <c r="N68" s="23"/>
      <c r="O68" s="23"/>
      <c r="P68" s="23"/>
      <c r="Q68" s="23"/>
      <c r="R68" s="23"/>
      <c r="S68" s="23"/>
      <c r="T68" s="23"/>
      <c r="U68" s="23"/>
      <c r="V68" s="23"/>
      <c r="W68" s="23"/>
      <c r="X68" s="4"/>
    </row>
    <row r="69" spans="1:24" ht="26.25" x14ac:dyDescent="0.25">
      <c r="A69" s="21" t="s">
        <v>759</v>
      </c>
      <c r="B69" s="21" t="str">
        <f t="shared" si="1"/>
        <v>84198110</v>
      </c>
      <c r="C69" s="21" t="str">
        <f>Tabela5[[#This Row],[Cod. Ncm]]&amp;"-"&amp;Tabela5[[#This Row],[Operações]]</f>
        <v>84198110-Internas e interestaduais</v>
      </c>
      <c r="D69" s="22" t="s">
        <v>586</v>
      </c>
      <c r="E69" s="22" t="s">
        <v>587</v>
      </c>
      <c r="F69" s="22">
        <v>8.8000000000000007</v>
      </c>
      <c r="G69" s="22" t="s">
        <v>760</v>
      </c>
      <c r="H69" s="22" t="s">
        <v>588</v>
      </c>
      <c r="I69" s="23" t="s">
        <v>577</v>
      </c>
      <c r="J69" s="23" t="s">
        <v>761</v>
      </c>
      <c r="K69" s="23" t="s">
        <v>589</v>
      </c>
      <c r="L69" s="23" t="s">
        <v>590</v>
      </c>
      <c r="M69" s="23"/>
      <c r="N69" s="23"/>
      <c r="O69" s="23"/>
      <c r="P69" s="23"/>
      <c r="Q69" s="23"/>
      <c r="R69" s="23"/>
      <c r="S69" s="23"/>
      <c r="T69" s="23"/>
      <c r="U69" s="23"/>
      <c r="V69" s="23"/>
      <c r="W69" s="23"/>
      <c r="X69" s="4"/>
    </row>
    <row r="70" spans="1:24" ht="38.25" x14ac:dyDescent="0.25">
      <c r="A70" s="21" t="s">
        <v>762</v>
      </c>
      <c r="B70" s="21" t="str">
        <f t="shared" si="1"/>
        <v>84198190</v>
      </c>
      <c r="C70" s="21" t="str">
        <f>Tabela5[[#This Row],[Cod. Ncm]]&amp;"-"&amp;Tabela5[[#This Row],[Operações]]</f>
        <v>84198190-Internas e interestaduais</v>
      </c>
      <c r="D70" s="22" t="s">
        <v>586</v>
      </c>
      <c r="E70" s="22" t="s">
        <v>587</v>
      </c>
      <c r="F70" s="22">
        <v>8.8000000000000007</v>
      </c>
      <c r="G70" s="22" t="s">
        <v>763</v>
      </c>
      <c r="H70" s="22" t="s">
        <v>588</v>
      </c>
      <c r="I70" s="23" t="s">
        <v>577</v>
      </c>
      <c r="J70" s="23" t="s">
        <v>764</v>
      </c>
      <c r="K70" s="23" t="s">
        <v>589</v>
      </c>
      <c r="L70" s="23" t="s">
        <v>590</v>
      </c>
      <c r="M70" s="23"/>
      <c r="N70" s="23"/>
      <c r="O70" s="23"/>
      <c r="P70" s="23"/>
      <c r="Q70" s="23"/>
      <c r="R70" s="23"/>
      <c r="S70" s="23"/>
      <c r="T70" s="23"/>
      <c r="U70" s="23"/>
      <c r="V70" s="23"/>
      <c r="W70" s="23"/>
      <c r="X70" s="4"/>
    </row>
    <row r="71" spans="1:24" ht="38.25" x14ac:dyDescent="0.25">
      <c r="A71" s="21" t="s">
        <v>765</v>
      </c>
      <c r="B71" s="21" t="str">
        <f t="shared" si="1"/>
        <v>84198911</v>
      </c>
      <c r="C71" s="21" t="str">
        <f>Tabela5[[#This Row],[Cod. Ncm]]&amp;"-"&amp;Tabela5[[#This Row],[Operações]]</f>
        <v>84198911-Internas e interestaduais</v>
      </c>
      <c r="D71" s="22" t="s">
        <v>586</v>
      </c>
      <c r="E71" s="22" t="s">
        <v>587</v>
      </c>
      <c r="F71" s="22">
        <v>8.8000000000000007</v>
      </c>
      <c r="G71" s="22" t="s">
        <v>766</v>
      </c>
      <c r="H71" s="22" t="s">
        <v>588</v>
      </c>
      <c r="I71" s="23" t="s">
        <v>577</v>
      </c>
      <c r="J71" s="23" t="s">
        <v>767</v>
      </c>
      <c r="K71" s="23" t="s">
        <v>589</v>
      </c>
      <c r="L71" s="23" t="s">
        <v>590</v>
      </c>
      <c r="M71" s="23"/>
      <c r="N71" s="23"/>
      <c r="O71" s="23"/>
      <c r="P71" s="23"/>
      <c r="Q71" s="23"/>
      <c r="R71" s="23"/>
      <c r="S71" s="23"/>
      <c r="T71" s="23"/>
      <c r="U71" s="23"/>
      <c r="V71" s="23"/>
      <c r="W71" s="23"/>
      <c r="X71" s="4"/>
    </row>
    <row r="72" spans="1:24" ht="26.25" x14ac:dyDescent="0.25">
      <c r="A72" s="21" t="s">
        <v>768</v>
      </c>
      <c r="B72" s="21" t="str">
        <f t="shared" si="1"/>
        <v>84198919</v>
      </c>
      <c r="C72" s="21" t="str">
        <f>Tabela5[[#This Row],[Cod. Ncm]]&amp;"-"&amp;Tabela5[[#This Row],[Operações]]</f>
        <v>84198919-Internas e interestaduais</v>
      </c>
      <c r="D72" s="22" t="s">
        <v>586</v>
      </c>
      <c r="E72" s="22" t="s">
        <v>587</v>
      </c>
      <c r="F72" s="22">
        <v>8.8000000000000007</v>
      </c>
      <c r="G72" s="22" t="s">
        <v>769</v>
      </c>
      <c r="H72" s="22" t="s">
        <v>588</v>
      </c>
      <c r="I72" s="23" t="s">
        <v>577</v>
      </c>
      <c r="J72" s="23" t="s">
        <v>770</v>
      </c>
      <c r="K72" s="23" t="s">
        <v>589</v>
      </c>
      <c r="L72" s="23" t="s">
        <v>590</v>
      </c>
      <c r="M72" s="23"/>
      <c r="N72" s="23"/>
      <c r="O72" s="23"/>
      <c r="P72" s="23"/>
      <c r="Q72" s="23"/>
      <c r="R72" s="23"/>
      <c r="S72" s="23"/>
      <c r="T72" s="23"/>
      <c r="U72" s="23"/>
      <c r="V72" s="23"/>
      <c r="W72" s="23"/>
      <c r="X72" s="4"/>
    </row>
    <row r="73" spans="1:24" ht="26.25" x14ac:dyDescent="0.25">
      <c r="A73" s="21" t="s">
        <v>771</v>
      </c>
      <c r="B73" s="21" t="str">
        <f t="shared" si="1"/>
        <v>84198920</v>
      </c>
      <c r="C73" s="21" t="str">
        <f>Tabela5[[#This Row],[Cod. Ncm]]&amp;"-"&amp;Tabela5[[#This Row],[Operações]]</f>
        <v>84198920-Internas e interestaduais</v>
      </c>
      <c r="D73" s="22" t="s">
        <v>586</v>
      </c>
      <c r="E73" s="22" t="s">
        <v>587</v>
      </c>
      <c r="F73" s="22">
        <v>8.8000000000000007</v>
      </c>
      <c r="G73" s="22" t="s">
        <v>772</v>
      </c>
      <c r="H73" s="22" t="s">
        <v>588</v>
      </c>
      <c r="I73" s="23" t="s">
        <v>577</v>
      </c>
      <c r="J73" s="23" t="s">
        <v>773</v>
      </c>
      <c r="K73" s="23" t="s">
        <v>589</v>
      </c>
      <c r="L73" s="23" t="s">
        <v>590</v>
      </c>
      <c r="M73" s="23"/>
      <c r="N73" s="23"/>
      <c r="O73" s="23"/>
      <c r="P73" s="23"/>
      <c r="Q73" s="23"/>
      <c r="R73" s="23"/>
      <c r="S73" s="23"/>
      <c r="T73" s="23"/>
      <c r="U73" s="23"/>
      <c r="V73" s="23"/>
      <c r="W73" s="23"/>
      <c r="X73" s="4"/>
    </row>
    <row r="74" spans="1:24" ht="26.25" x14ac:dyDescent="0.25">
      <c r="A74" s="21" t="s">
        <v>774</v>
      </c>
      <c r="B74" s="21" t="str">
        <f t="shared" si="1"/>
        <v>84198930</v>
      </c>
      <c r="C74" s="21" t="str">
        <f>Tabela5[[#This Row],[Cod. Ncm]]&amp;"-"&amp;Tabela5[[#This Row],[Operações]]</f>
        <v>84198930-Internas e interestaduais</v>
      </c>
      <c r="D74" s="22" t="s">
        <v>586</v>
      </c>
      <c r="E74" s="22" t="s">
        <v>587</v>
      </c>
      <c r="F74" s="22">
        <v>8.8000000000000007</v>
      </c>
      <c r="G74" s="22" t="s">
        <v>775</v>
      </c>
      <c r="H74" s="22" t="s">
        <v>588</v>
      </c>
      <c r="I74" s="23" t="s">
        <v>577</v>
      </c>
      <c r="J74" s="23" t="s">
        <v>776</v>
      </c>
      <c r="K74" s="23" t="s">
        <v>589</v>
      </c>
      <c r="L74" s="23" t="s">
        <v>590</v>
      </c>
      <c r="M74" s="23"/>
      <c r="N74" s="23"/>
      <c r="O74" s="23"/>
      <c r="P74" s="23"/>
      <c r="Q74" s="23"/>
      <c r="R74" s="23"/>
      <c r="S74" s="23"/>
      <c r="T74" s="23"/>
      <c r="U74" s="23"/>
      <c r="V74" s="23"/>
      <c r="W74" s="23"/>
      <c r="X74" s="4"/>
    </row>
    <row r="75" spans="1:24" ht="26.25" x14ac:dyDescent="0.25">
      <c r="A75" s="21" t="s">
        <v>777</v>
      </c>
      <c r="B75" s="21" t="str">
        <f t="shared" si="1"/>
        <v>84198940</v>
      </c>
      <c r="C75" s="21" t="str">
        <f>Tabela5[[#This Row],[Cod. Ncm]]&amp;"-"&amp;Tabela5[[#This Row],[Operações]]</f>
        <v>84198940-Internas e interestaduais</v>
      </c>
      <c r="D75" s="22" t="s">
        <v>586</v>
      </c>
      <c r="E75" s="22" t="s">
        <v>587</v>
      </c>
      <c r="F75" s="22">
        <v>8.8000000000000007</v>
      </c>
      <c r="G75" s="22" t="s">
        <v>778</v>
      </c>
      <c r="H75" s="26" t="s">
        <v>588</v>
      </c>
      <c r="I75" s="23" t="s">
        <v>577</v>
      </c>
      <c r="J75" s="23" t="s">
        <v>779</v>
      </c>
      <c r="K75" s="23" t="s">
        <v>589</v>
      </c>
      <c r="L75" s="23" t="s">
        <v>590</v>
      </c>
      <c r="M75" s="23"/>
      <c r="N75" s="23"/>
      <c r="O75" s="23"/>
      <c r="P75" s="23"/>
      <c r="Q75" s="23"/>
      <c r="R75" s="23"/>
      <c r="S75" s="23"/>
      <c r="T75" s="23"/>
      <c r="U75" s="23"/>
      <c r="V75" s="23"/>
      <c r="W75" s="23"/>
      <c r="X75" s="4"/>
    </row>
    <row r="76" spans="1:24" ht="26.25" x14ac:dyDescent="0.25">
      <c r="A76" s="21" t="s">
        <v>780</v>
      </c>
      <c r="B76" s="21" t="str">
        <f t="shared" si="1"/>
        <v>84201010</v>
      </c>
      <c r="C76" s="21" t="str">
        <f>Tabela5[[#This Row],[Cod. Ncm]]&amp;"-"&amp;Tabela5[[#This Row],[Operações]]</f>
        <v>84201010-Internas e interestaduais</v>
      </c>
      <c r="D76" s="22" t="s">
        <v>586</v>
      </c>
      <c r="E76" s="22" t="s">
        <v>587</v>
      </c>
      <c r="F76" s="22">
        <v>8.8000000000000007</v>
      </c>
      <c r="G76" s="22" t="s">
        <v>781</v>
      </c>
      <c r="H76" s="26" t="s">
        <v>588</v>
      </c>
      <c r="I76" s="23" t="s">
        <v>577</v>
      </c>
      <c r="J76" s="23" t="s">
        <v>782</v>
      </c>
      <c r="K76" s="23" t="s">
        <v>589</v>
      </c>
      <c r="L76" s="23" t="s">
        <v>590</v>
      </c>
      <c r="M76" s="23"/>
      <c r="N76" s="23"/>
      <c r="O76" s="23"/>
      <c r="P76" s="23"/>
      <c r="Q76" s="23"/>
      <c r="R76" s="23"/>
      <c r="S76" s="23"/>
      <c r="T76" s="23"/>
      <c r="U76" s="23"/>
      <c r="V76" s="23"/>
      <c r="W76" s="23"/>
      <c r="X76" s="4"/>
    </row>
    <row r="77" spans="1:24" ht="26.25" x14ac:dyDescent="0.25">
      <c r="A77" s="21" t="s">
        <v>783</v>
      </c>
      <c r="B77" s="21" t="str">
        <f t="shared" si="1"/>
        <v>84201090</v>
      </c>
      <c r="C77" s="21" t="str">
        <f>Tabela5[[#This Row],[Cod. Ncm]]&amp;"-"&amp;Tabela5[[#This Row],[Operações]]</f>
        <v>84201090-Internas e interestaduais</v>
      </c>
      <c r="D77" s="22" t="s">
        <v>586</v>
      </c>
      <c r="E77" s="22" t="s">
        <v>587</v>
      </c>
      <c r="F77" s="22">
        <v>8.8000000000000007</v>
      </c>
      <c r="G77" s="22" t="s">
        <v>784</v>
      </c>
      <c r="H77" s="22" t="s">
        <v>588</v>
      </c>
      <c r="I77" s="23" t="s">
        <v>577</v>
      </c>
      <c r="J77" s="23" t="s">
        <v>785</v>
      </c>
      <c r="K77" s="23" t="s">
        <v>589</v>
      </c>
      <c r="L77" s="23" t="s">
        <v>590</v>
      </c>
      <c r="M77" s="23"/>
      <c r="N77" s="23"/>
      <c r="O77" s="23"/>
      <c r="P77" s="23"/>
      <c r="Q77" s="23"/>
      <c r="R77" s="23"/>
      <c r="S77" s="23"/>
      <c r="T77" s="23"/>
      <c r="U77" s="23"/>
      <c r="V77" s="23"/>
      <c r="W77" s="23"/>
      <c r="X77" s="4"/>
    </row>
    <row r="78" spans="1:24" ht="26.25" x14ac:dyDescent="0.25">
      <c r="A78" s="21" t="s">
        <v>786</v>
      </c>
      <c r="B78" s="21" t="str">
        <f t="shared" si="1"/>
        <v>84209100</v>
      </c>
      <c r="C78" s="21" t="str">
        <f>Tabela5[[#This Row],[Cod. Ncm]]&amp;"-"&amp;Tabela5[[#This Row],[Operações]]</f>
        <v>84209100-Internas e interestaduais</v>
      </c>
      <c r="D78" s="22" t="s">
        <v>586</v>
      </c>
      <c r="E78" s="22" t="s">
        <v>587</v>
      </c>
      <c r="F78" s="22">
        <v>8.8000000000000007</v>
      </c>
      <c r="G78" s="22" t="s">
        <v>787</v>
      </c>
      <c r="H78" s="22" t="s">
        <v>588</v>
      </c>
      <c r="I78" s="23" t="s">
        <v>577</v>
      </c>
      <c r="J78" s="23" t="s">
        <v>788</v>
      </c>
      <c r="K78" s="23" t="s">
        <v>589</v>
      </c>
      <c r="L78" s="23" t="s">
        <v>590</v>
      </c>
      <c r="M78" s="23"/>
      <c r="N78" s="23"/>
      <c r="O78" s="23"/>
      <c r="P78" s="23"/>
      <c r="Q78" s="23"/>
      <c r="R78" s="23"/>
      <c r="S78" s="23"/>
      <c r="T78" s="23"/>
      <c r="U78" s="23"/>
      <c r="V78" s="23"/>
      <c r="W78" s="23"/>
      <c r="X78" s="4"/>
    </row>
    <row r="79" spans="1:24" ht="38.25" x14ac:dyDescent="0.25">
      <c r="A79" s="21" t="s">
        <v>789</v>
      </c>
      <c r="B79" s="21" t="str">
        <f t="shared" si="1"/>
        <v>84211110</v>
      </c>
      <c r="C79" s="21" t="str">
        <f>Tabela5[[#This Row],[Cod. Ncm]]&amp;"-"&amp;Tabela5[[#This Row],[Operações]]</f>
        <v>84211110-Internas e interestaduais</v>
      </c>
      <c r="D79" s="22" t="s">
        <v>586</v>
      </c>
      <c r="E79" s="22" t="s">
        <v>587</v>
      </c>
      <c r="F79" s="22">
        <v>8.8000000000000007</v>
      </c>
      <c r="G79" s="22" t="s">
        <v>790</v>
      </c>
      <c r="H79" s="22" t="s">
        <v>588</v>
      </c>
      <c r="I79" s="23" t="s">
        <v>577</v>
      </c>
      <c r="J79" s="23" t="s">
        <v>791</v>
      </c>
      <c r="K79" s="23" t="s">
        <v>589</v>
      </c>
      <c r="L79" s="23" t="s">
        <v>590</v>
      </c>
      <c r="M79" s="23"/>
      <c r="N79" s="23"/>
      <c r="O79" s="23"/>
      <c r="P79" s="23"/>
      <c r="Q79" s="23"/>
      <c r="R79" s="23"/>
      <c r="S79" s="23"/>
      <c r="T79" s="23"/>
      <c r="U79" s="23"/>
      <c r="V79" s="23"/>
      <c r="W79" s="23"/>
      <c r="X79" s="4"/>
    </row>
    <row r="80" spans="1:24" ht="26.25" x14ac:dyDescent="0.25">
      <c r="A80" s="21" t="s">
        <v>792</v>
      </c>
      <c r="B80" s="21" t="str">
        <f t="shared" si="1"/>
        <v>84211190</v>
      </c>
      <c r="C80" s="21" t="str">
        <f>Tabela5[[#This Row],[Cod. Ncm]]&amp;"-"&amp;Tabela5[[#This Row],[Operações]]</f>
        <v>84211190-Internas e interestaduais</v>
      </c>
      <c r="D80" s="22" t="s">
        <v>586</v>
      </c>
      <c r="E80" s="22" t="s">
        <v>587</v>
      </c>
      <c r="F80" s="22">
        <v>8.8000000000000007</v>
      </c>
      <c r="G80" s="22" t="s">
        <v>793</v>
      </c>
      <c r="H80" s="22" t="s">
        <v>588</v>
      </c>
      <c r="I80" s="23" t="s">
        <v>577</v>
      </c>
      <c r="J80" s="23" t="s">
        <v>794</v>
      </c>
      <c r="K80" s="23" t="s">
        <v>589</v>
      </c>
      <c r="L80" s="23" t="s">
        <v>590</v>
      </c>
      <c r="M80" s="23"/>
      <c r="N80" s="23"/>
      <c r="O80" s="23"/>
      <c r="P80" s="23"/>
      <c r="Q80" s="23"/>
      <c r="R80" s="23"/>
      <c r="S80" s="23"/>
      <c r="T80" s="23"/>
      <c r="U80" s="23"/>
      <c r="V80" s="23"/>
      <c r="W80" s="23"/>
      <c r="X80" s="4"/>
    </row>
    <row r="81" spans="1:24" ht="26.25" x14ac:dyDescent="0.25">
      <c r="A81" s="21" t="s">
        <v>795</v>
      </c>
      <c r="B81" s="21" t="str">
        <f t="shared" si="1"/>
        <v>84211290</v>
      </c>
      <c r="C81" s="21" t="str">
        <f>Tabela5[[#This Row],[Cod. Ncm]]&amp;"-"&amp;Tabela5[[#This Row],[Operações]]</f>
        <v>84211290-Internas e interestaduais</v>
      </c>
      <c r="D81" s="22" t="s">
        <v>586</v>
      </c>
      <c r="E81" s="22" t="s">
        <v>587</v>
      </c>
      <c r="F81" s="22">
        <v>8.8000000000000007</v>
      </c>
      <c r="G81" s="22" t="s">
        <v>796</v>
      </c>
      <c r="H81" s="22" t="s">
        <v>588</v>
      </c>
      <c r="I81" s="23" t="s">
        <v>577</v>
      </c>
      <c r="J81" s="23" t="s">
        <v>797</v>
      </c>
      <c r="K81" s="23" t="s">
        <v>589</v>
      </c>
      <c r="L81" s="23" t="s">
        <v>590</v>
      </c>
      <c r="M81" s="23"/>
      <c r="N81" s="23"/>
      <c r="O81" s="23"/>
      <c r="P81" s="23"/>
      <c r="Q81" s="23"/>
      <c r="R81" s="23"/>
      <c r="S81" s="23"/>
      <c r="T81" s="23"/>
      <c r="U81" s="23"/>
      <c r="V81" s="23"/>
      <c r="W81" s="23"/>
      <c r="X81" s="4"/>
    </row>
    <row r="82" spans="1:24" ht="26.25" x14ac:dyDescent="0.25">
      <c r="A82" s="21" t="s">
        <v>798</v>
      </c>
      <c r="B82" s="21" t="str">
        <f t="shared" si="1"/>
        <v>84211910</v>
      </c>
      <c r="C82" s="21" t="str">
        <f>Tabela5[[#This Row],[Cod. Ncm]]&amp;"-"&amp;Tabela5[[#This Row],[Operações]]</f>
        <v>84211910-Internas e interestaduais</v>
      </c>
      <c r="D82" s="22" t="s">
        <v>586</v>
      </c>
      <c r="E82" s="22" t="s">
        <v>587</v>
      </c>
      <c r="F82" s="22">
        <v>8.8000000000000007</v>
      </c>
      <c r="G82" s="22" t="s">
        <v>799</v>
      </c>
      <c r="H82" s="22" t="s">
        <v>588</v>
      </c>
      <c r="I82" s="23" t="s">
        <v>577</v>
      </c>
      <c r="J82" s="23" t="s">
        <v>800</v>
      </c>
      <c r="K82" s="23" t="s">
        <v>589</v>
      </c>
      <c r="L82" s="23" t="s">
        <v>590</v>
      </c>
      <c r="M82" s="23"/>
      <c r="N82" s="23"/>
      <c r="O82" s="23"/>
      <c r="P82" s="23"/>
      <c r="Q82" s="23"/>
      <c r="R82" s="23"/>
      <c r="S82" s="23"/>
      <c r="T82" s="23"/>
      <c r="U82" s="23"/>
      <c r="V82" s="23"/>
      <c r="W82" s="23"/>
      <c r="X82" s="4"/>
    </row>
    <row r="83" spans="1:24" ht="26.25" x14ac:dyDescent="0.25">
      <c r="A83" s="21" t="s">
        <v>801</v>
      </c>
      <c r="B83" s="21" t="str">
        <f t="shared" si="1"/>
        <v>84222000</v>
      </c>
      <c r="C83" s="21" t="str">
        <f>Tabela5[[#This Row],[Cod. Ncm]]&amp;"-"&amp;Tabela5[[#This Row],[Operações]]</f>
        <v>84222000-Internas e interestaduais</v>
      </c>
      <c r="D83" s="22" t="s">
        <v>586</v>
      </c>
      <c r="E83" s="22" t="s">
        <v>587</v>
      </c>
      <c r="F83" s="22">
        <v>8.8000000000000007</v>
      </c>
      <c r="G83" s="22" t="s">
        <v>802</v>
      </c>
      <c r="H83" s="22" t="s">
        <v>588</v>
      </c>
      <c r="I83" s="23" t="s">
        <v>577</v>
      </c>
      <c r="J83" s="23" t="s">
        <v>803</v>
      </c>
      <c r="K83" s="23" t="s">
        <v>589</v>
      </c>
      <c r="L83" s="23" t="s">
        <v>590</v>
      </c>
      <c r="M83" s="23"/>
      <c r="N83" s="23"/>
      <c r="O83" s="23"/>
      <c r="P83" s="23"/>
      <c r="Q83" s="23"/>
      <c r="R83" s="23"/>
      <c r="S83" s="23"/>
      <c r="T83" s="23"/>
      <c r="U83" s="23"/>
      <c r="V83" s="23"/>
      <c r="W83" s="23"/>
      <c r="X83" s="4"/>
    </row>
    <row r="84" spans="1:24" ht="26.25" x14ac:dyDescent="0.25">
      <c r="A84" s="21" t="s">
        <v>804</v>
      </c>
      <c r="B84" s="21" t="str">
        <f t="shared" si="1"/>
        <v>84223010</v>
      </c>
      <c r="C84" s="21" t="str">
        <f>Tabela5[[#This Row],[Cod. Ncm]]&amp;"-"&amp;Tabela5[[#This Row],[Operações]]</f>
        <v>84223010-Internas e interestaduais</v>
      </c>
      <c r="D84" s="22" t="s">
        <v>586</v>
      </c>
      <c r="E84" s="22" t="s">
        <v>587</v>
      </c>
      <c r="F84" s="22">
        <v>8.8000000000000007</v>
      </c>
      <c r="G84" s="22" t="s">
        <v>805</v>
      </c>
      <c r="H84" s="22" t="s">
        <v>588</v>
      </c>
      <c r="I84" s="23" t="s">
        <v>577</v>
      </c>
      <c r="J84" s="23" t="s">
        <v>806</v>
      </c>
      <c r="K84" s="23" t="s">
        <v>589</v>
      </c>
      <c r="L84" s="23" t="s">
        <v>590</v>
      </c>
      <c r="M84" s="23"/>
      <c r="N84" s="23"/>
      <c r="O84" s="23"/>
      <c r="P84" s="23"/>
      <c r="Q84" s="23"/>
      <c r="R84" s="23"/>
      <c r="S84" s="23"/>
      <c r="T84" s="23"/>
      <c r="U84" s="23"/>
      <c r="V84" s="23"/>
      <c r="W84" s="23"/>
      <c r="X84" s="4"/>
    </row>
    <row r="85" spans="1:24" ht="26.25" x14ac:dyDescent="0.25">
      <c r="A85" s="21" t="s">
        <v>807</v>
      </c>
      <c r="B85" s="21" t="str">
        <f t="shared" si="1"/>
        <v>84223021</v>
      </c>
      <c r="C85" s="21" t="str">
        <f>Tabela5[[#This Row],[Cod. Ncm]]&amp;"-"&amp;Tabela5[[#This Row],[Operações]]</f>
        <v>84223021-Internas e interestaduais</v>
      </c>
      <c r="D85" s="22" t="s">
        <v>586</v>
      </c>
      <c r="E85" s="22" t="s">
        <v>587</v>
      </c>
      <c r="F85" s="22">
        <v>8.8000000000000007</v>
      </c>
      <c r="G85" s="22" t="s">
        <v>808</v>
      </c>
      <c r="H85" s="22" t="s">
        <v>588</v>
      </c>
      <c r="I85" s="23" t="s">
        <v>577</v>
      </c>
      <c r="J85" s="23" t="s">
        <v>809</v>
      </c>
      <c r="K85" s="23" t="s">
        <v>589</v>
      </c>
      <c r="L85" s="23" t="s">
        <v>590</v>
      </c>
      <c r="M85" s="23"/>
      <c r="N85" s="23"/>
      <c r="O85" s="23"/>
      <c r="P85" s="23"/>
      <c r="Q85" s="23"/>
      <c r="R85" s="23"/>
      <c r="S85" s="23"/>
      <c r="T85" s="23"/>
      <c r="U85" s="23"/>
      <c r="V85" s="23"/>
      <c r="W85" s="23"/>
      <c r="X85" s="4"/>
    </row>
    <row r="86" spans="1:24" ht="38.25" x14ac:dyDescent="0.25">
      <c r="A86" s="21" t="s">
        <v>810</v>
      </c>
      <c r="B86" s="21" t="str">
        <f t="shared" si="1"/>
        <v>84223022</v>
      </c>
      <c r="C86" s="21" t="str">
        <f>Tabela5[[#This Row],[Cod. Ncm]]&amp;"-"&amp;Tabela5[[#This Row],[Operações]]</f>
        <v>84223022-Internas e interestaduais</v>
      </c>
      <c r="D86" s="22" t="s">
        <v>586</v>
      </c>
      <c r="E86" s="22" t="s">
        <v>587</v>
      </c>
      <c r="F86" s="22">
        <v>8.8000000000000007</v>
      </c>
      <c r="G86" s="22" t="s">
        <v>811</v>
      </c>
      <c r="H86" s="22" t="s">
        <v>588</v>
      </c>
      <c r="I86" s="23" t="s">
        <v>577</v>
      </c>
      <c r="J86" s="23" t="s">
        <v>812</v>
      </c>
      <c r="K86" s="23" t="s">
        <v>589</v>
      </c>
      <c r="L86" s="23" t="s">
        <v>590</v>
      </c>
      <c r="M86" s="23"/>
      <c r="N86" s="23"/>
      <c r="O86" s="23"/>
      <c r="P86" s="23"/>
      <c r="Q86" s="23"/>
      <c r="R86" s="23"/>
      <c r="S86" s="23"/>
      <c r="T86" s="23"/>
      <c r="U86" s="23"/>
      <c r="V86" s="23"/>
      <c r="W86" s="23"/>
      <c r="X86" s="4"/>
    </row>
    <row r="87" spans="1:24" ht="38.25" x14ac:dyDescent="0.25">
      <c r="A87" s="21" t="s">
        <v>813</v>
      </c>
      <c r="B87" s="21" t="str">
        <f t="shared" si="1"/>
        <v>84223023</v>
      </c>
      <c r="C87" s="21" t="str">
        <f>Tabela5[[#This Row],[Cod. Ncm]]&amp;"-"&amp;Tabela5[[#This Row],[Operações]]</f>
        <v>84223023-Internas e interestaduais</v>
      </c>
      <c r="D87" s="22" t="s">
        <v>586</v>
      </c>
      <c r="E87" s="22" t="s">
        <v>587</v>
      </c>
      <c r="F87" s="22">
        <v>8.8000000000000007</v>
      </c>
      <c r="G87" s="22" t="s">
        <v>814</v>
      </c>
      <c r="H87" s="22" t="s">
        <v>588</v>
      </c>
      <c r="I87" s="23" t="s">
        <v>577</v>
      </c>
      <c r="J87" s="23" t="s">
        <v>815</v>
      </c>
      <c r="K87" s="23" t="s">
        <v>589</v>
      </c>
      <c r="L87" s="23" t="s">
        <v>590</v>
      </c>
      <c r="M87" s="23"/>
      <c r="N87" s="23"/>
      <c r="O87" s="23"/>
      <c r="P87" s="23"/>
      <c r="Q87" s="23"/>
      <c r="R87" s="23"/>
      <c r="S87" s="23"/>
      <c r="T87" s="23"/>
      <c r="U87" s="23"/>
      <c r="V87" s="23"/>
      <c r="W87" s="23"/>
      <c r="X87" s="4"/>
    </row>
    <row r="88" spans="1:24" ht="51" x14ac:dyDescent="0.25">
      <c r="A88" s="21" t="s">
        <v>816</v>
      </c>
      <c r="B88" s="21" t="str">
        <f t="shared" si="1"/>
        <v>84223029</v>
      </c>
      <c r="C88" s="21" t="str">
        <f>Tabela5[[#This Row],[Cod. Ncm]]&amp;"-"&amp;Tabela5[[#This Row],[Operações]]</f>
        <v>84223029-Internas e interestaduais</v>
      </c>
      <c r="D88" s="22" t="s">
        <v>586</v>
      </c>
      <c r="E88" s="22" t="s">
        <v>587</v>
      </c>
      <c r="F88" s="22">
        <v>8.8000000000000007</v>
      </c>
      <c r="G88" s="22" t="s">
        <v>817</v>
      </c>
      <c r="H88" s="22" t="s">
        <v>588</v>
      </c>
      <c r="I88" s="23" t="s">
        <v>577</v>
      </c>
      <c r="J88" s="23" t="s">
        <v>818</v>
      </c>
      <c r="K88" s="23" t="s">
        <v>589</v>
      </c>
      <c r="L88" s="23" t="s">
        <v>590</v>
      </c>
      <c r="M88" s="23"/>
      <c r="N88" s="23"/>
      <c r="O88" s="23"/>
      <c r="P88" s="23"/>
      <c r="Q88" s="23"/>
      <c r="R88" s="23"/>
      <c r="S88" s="23"/>
      <c r="T88" s="23"/>
      <c r="U88" s="23"/>
      <c r="V88" s="23"/>
      <c r="W88" s="23"/>
      <c r="X88" s="4"/>
    </row>
    <row r="89" spans="1:24" ht="76.5" x14ac:dyDescent="0.25">
      <c r="A89" s="21" t="s">
        <v>819</v>
      </c>
      <c r="B89" s="21" t="str">
        <f t="shared" si="1"/>
        <v>84224010</v>
      </c>
      <c r="C89" s="21" t="str">
        <f>Tabela5[[#This Row],[Cod. Ncm]]&amp;"-"&amp;Tabela5[[#This Row],[Operações]]</f>
        <v>84224010-Internas e interestaduais</v>
      </c>
      <c r="D89" s="22" t="s">
        <v>586</v>
      </c>
      <c r="E89" s="22" t="s">
        <v>587</v>
      </c>
      <c r="F89" s="22">
        <v>8.8000000000000007</v>
      </c>
      <c r="G89" s="22" t="s">
        <v>820</v>
      </c>
      <c r="H89" s="22" t="s">
        <v>588</v>
      </c>
      <c r="I89" s="23" t="s">
        <v>577</v>
      </c>
      <c r="J89" s="23" t="s">
        <v>821</v>
      </c>
      <c r="K89" s="23" t="s">
        <v>589</v>
      </c>
      <c r="L89" s="23" t="s">
        <v>590</v>
      </c>
      <c r="M89" s="23"/>
      <c r="N89" s="23"/>
      <c r="O89" s="23"/>
      <c r="P89" s="23"/>
      <c r="Q89" s="23"/>
      <c r="R89" s="23"/>
      <c r="S89" s="23"/>
      <c r="T89" s="23"/>
      <c r="U89" s="23"/>
      <c r="V89" s="23"/>
      <c r="W89" s="23"/>
      <c r="X89" s="4"/>
    </row>
    <row r="90" spans="1:24" ht="51" x14ac:dyDescent="0.25">
      <c r="A90" s="21" t="s">
        <v>822</v>
      </c>
      <c r="B90" s="21" t="str">
        <f t="shared" si="1"/>
        <v>84224020</v>
      </c>
      <c r="C90" s="21" t="str">
        <f>Tabela5[[#This Row],[Cod. Ncm]]&amp;"-"&amp;Tabela5[[#This Row],[Operações]]</f>
        <v>84224020-Internas e interestaduais</v>
      </c>
      <c r="D90" s="22" t="s">
        <v>586</v>
      </c>
      <c r="E90" s="22" t="s">
        <v>587</v>
      </c>
      <c r="F90" s="22">
        <v>8.8000000000000007</v>
      </c>
      <c r="G90" s="22" t="s">
        <v>823</v>
      </c>
      <c r="H90" s="22" t="s">
        <v>588</v>
      </c>
      <c r="I90" s="23" t="s">
        <v>577</v>
      </c>
      <c r="J90" s="23" t="s">
        <v>824</v>
      </c>
      <c r="K90" s="23" t="s">
        <v>589</v>
      </c>
      <c r="L90" s="23" t="s">
        <v>590</v>
      </c>
      <c r="M90" s="23"/>
      <c r="N90" s="23"/>
      <c r="O90" s="23"/>
      <c r="P90" s="23"/>
      <c r="Q90" s="23"/>
      <c r="R90" s="23"/>
      <c r="S90" s="23"/>
      <c r="T90" s="23"/>
      <c r="U90" s="23"/>
      <c r="V90" s="23"/>
      <c r="W90" s="23"/>
      <c r="X90" s="4"/>
    </row>
    <row r="91" spans="1:24" ht="63.75" x14ac:dyDescent="0.25">
      <c r="A91" s="21" t="s">
        <v>825</v>
      </c>
      <c r="B91" s="21" t="str">
        <f t="shared" si="1"/>
        <v>84224030</v>
      </c>
      <c r="C91" s="21" t="str">
        <f>Tabela5[[#This Row],[Cod. Ncm]]&amp;"-"&amp;Tabela5[[#This Row],[Operações]]</f>
        <v>84224030-Internas e interestaduais</v>
      </c>
      <c r="D91" s="22" t="s">
        <v>586</v>
      </c>
      <c r="E91" s="22" t="s">
        <v>587</v>
      </c>
      <c r="F91" s="22">
        <v>8.8000000000000007</v>
      </c>
      <c r="G91" s="22" t="s">
        <v>826</v>
      </c>
      <c r="H91" s="22" t="s">
        <v>588</v>
      </c>
      <c r="I91" s="23" t="s">
        <v>577</v>
      </c>
      <c r="J91" s="23" t="s">
        <v>827</v>
      </c>
      <c r="K91" s="23" t="s">
        <v>589</v>
      </c>
      <c r="L91" s="23" t="s">
        <v>590</v>
      </c>
      <c r="M91" s="23"/>
      <c r="N91" s="23"/>
      <c r="O91" s="23"/>
      <c r="P91" s="23"/>
      <c r="Q91" s="23"/>
      <c r="R91" s="23"/>
      <c r="S91" s="23"/>
      <c r="T91" s="23"/>
      <c r="U91" s="23"/>
      <c r="V91" s="23"/>
      <c r="W91" s="23"/>
      <c r="X91" s="4"/>
    </row>
    <row r="92" spans="1:24" ht="26.25" x14ac:dyDescent="0.25">
      <c r="A92" s="21" t="s">
        <v>828</v>
      </c>
      <c r="B92" s="21" t="str">
        <f t="shared" si="1"/>
        <v>84224090</v>
      </c>
      <c r="C92" s="21" t="str">
        <f>Tabela5[[#This Row],[Cod. Ncm]]&amp;"-"&amp;Tabela5[[#This Row],[Operações]]</f>
        <v>84224090-Internas e interestaduais</v>
      </c>
      <c r="D92" s="22" t="s">
        <v>586</v>
      </c>
      <c r="E92" s="22" t="s">
        <v>587</v>
      </c>
      <c r="F92" s="22">
        <v>8.8000000000000007</v>
      </c>
      <c r="G92" s="22" t="s">
        <v>829</v>
      </c>
      <c r="H92" s="22" t="s">
        <v>588</v>
      </c>
      <c r="I92" s="23" t="s">
        <v>577</v>
      </c>
      <c r="J92" s="23" t="s">
        <v>830</v>
      </c>
      <c r="K92" s="23" t="s">
        <v>589</v>
      </c>
      <c r="L92" s="23" t="s">
        <v>590</v>
      </c>
      <c r="M92" s="23"/>
      <c r="N92" s="23"/>
      <c r="O92" s="23"/>
      <c r="P92" s="23"/>
      <c r="Q92" s="23"/>
      <c r="R92" s="23"/>
      <c r="S92" s="23"/>
      <c r="T92" s="23"/>
      <c r="U92" s="23"/>
      <c r="V92" s="23"/>
      <c r="W92" s="23"/>
      <c r="X92" s="4"/>
    </row>
    <row r="93" spans="1:24" ht="26.25" x14ac:dyDescent="0.25">
      <c r="A93" s="21" t="s">
        <v>831</v>
      </c>
      <c r="B93" s="21" t="str">
        <f t="shared" si="1"/>
        <v>84232000</v>
      </c>
      <c r="C93" s="21" t="str">
        <f>Tabela5[[#This Row],[Cod. Ncm]]&amp;"-"&amp;Tabela5[[#This Row],[Operações]]</f>
        <v>84232000-Internas e interestaduais</v>
      </c>
      <c r="D93" s="22" t="s">
        <v>586</v>
      </c>
      <c r="E93" s="22" t="s">
        <v>587</v>
      </c>
      <c r="F93" s="22">
        <v>8.8000000000000007</v>
      </c>
      <c r="G93" s="22" t="s">
        <v>832</v>
      </c>
      <c r="H93" s="22" t="s">
        <v>588</v>
      </c>
      <c r="I93" s="23" t="s">
        <v>577</v>
      </c>
      <c r="J93" s="23" t="s">
        <v>833</v>
      </c>
      <c r="K93" s="23" t="s">
        <v>589</v>
      </c>
      <c r="L93" s="23" t="s">
        <v>590</v>
      </c>
      <c r="M93" s="23"/>
      <c r="N93" s="23"/>
      <c r="O93" s="23"/>
      <c r="P93" s="23"/>
      <c r="Q93" s="23"/>
      <c r="R93" s="23"/>
      <c r="S93" s="23"/>
      <c r="T93" s="23"/>
      <c r="U93" s="23"/>
      <c r="V93" s="23"/>
      <c r="W93" s="23"/>
      <c r="X93" s="4"/>
    </row>
    <row r="94" spans="1:24" ht="26.25" x14ac:dyDescent="0.25">
      <c r="A94" s="21" t="s">
        <v>834</v>
      </c>
      <c r="B94" s="21" t="str">
        <f t="shared" si="1"/>
        <v>84233011</v>
      </c>
      <c r="C94" s="21" t="str">
        <f>Tabela5[[#This Row],[Cod. Ncm]]&amp;"-"&amp;Tabela5[[#This Row],[Operações]]</f>
        <v>84233011-Internas e interestaduais</v>
      </c>
      <c r="D94" s="22" t="s">
        <v>586</v>
      </c>
      <c r="E94" s="22" t="s">
        <v>587</v>
      </c>
      <c r="F94" s="22">
        <v>8.8000000000000007</v>
      </c>
      <c r="G94" s="22" t="s">
        <v>835</v>
      </c>
      <c r="H94" s="22" t="s">
        <v>588</v>
      </c>
      <c r="I94" s="23" t="s">
        <v>577</v>
      </c>
      <c r="J94" s="23" t="s">
        <v>836</v>
      </c>
      <c r="K94" s="23" t="s">
        <v>589</v>
      </c>
      <c r="L94" s="23" t="s">
        <v>590</v>
      </c>
      <c r="M94" s="23"/>
      <c r="N94" s="23"/>
      <c r="O94" s="23"/>
      <c r="P94" s="23"/>
      <c r="Q94" s="23"/>
      <c r="R94" s="23"/>
      <c r="S94" s="23"/>
      <c r="T94" s="23"/>
      <c r="U94" s="23"/>
      <c r="V94" s="23"/>
      <c r="W94" s="23"/>
      <c r="X94" s="4"/>
    </row>
    <row r="95" spans="1:24" ht="26.25" x14ac:dyDescent="0.25">
      <c r="A95" s="21" t="s">
        <v>837</v>
      </c>
      <c r="B95" s="21" t="str">
        <f t="shared" si="1"/>
        <v>84233019</v>
      </c>
      <c r="C95" s="21" t="str">
        <f>Tabela5[[#This Row],[Cod. Ncm]]&amp;"-"&amp;Tabela5[[#This Row],[Operações]]</f>
        <v>84233019-Internas e interestaduais</v>
      </c>
      <c r="D95" s="22" t="s">
        <v>586</v>
      </c>
      <c r="E95" s="22" t="s">
        <v>587</v>
      </c>
      <c r="F95" s="22">
        <v>8.8000000000000007</v>
      </c>
      <c r="G95" s="22" t="s">
        <v>838</v>
      </c>
      <c r="H95" s="22" t="s">
        <v>588</v>
      </c>
      <c r="I95" s="23" t="s">
        <v>577</v>
      </c>
      <c r="J95" s="23" t="s">
        <v>839</v>
      </c>
      <c r="K95" s="23" t="s">
        <v>589</v>
      </c>
      <c r="L95" s="23" t="s">
        <v>590</v>
      </c>
      <c r="M95" s="23"/>
      <c r="N95" s="23"/>
      <c r="O95" s="23"/>
      <c r="P95" s="23"/>
      <c r="Q95" s="23"/>
      <c r="R95" s="23"/>
      <c r="S95" s="23"/>
      <c r="T95" s="23"/>
      <c r="U95" s="23"/>
      <c r="V95" s="23"/>
      <c r="W95" s="23"/>
      <c r="X95" s="4"/>
    </row>
    <row r="96" spans="1:24" ht="38.25" x14ac:dyDescent="0.25">
      <c r="A96" s="21" t="s">
        <v>840</v>
      </c>
      <c r="B96" s="21" t="str">
        <f t="shared" si="1"/>
        <v>84233090</v>
      </c>
      <c r="C96" s="21" t="str">
        <f>Tabela5[[#This Row],[Cod. Ncm]]&amp;"-"&amp;Tabela5[[#This Row],[Operações]]</f>
        <v>84233090-Internas e interestaduais</v>
      </c>
      <c r="D96" s="22" t="s">
        <v>586</v>
      </c>
      <c r="E96" s="22" t="s">
        <v>587</v>
      </c>
      <c r="F96" s="22">
        <v>8.8000000000000007</v>
      </c>
      <c r="G96" s="22" t="s">
        <v>841</v>
      </c>
      <c r="H96" s="22" t="s">
        <v>588</v>
      </c>
      <c r="I96" s="23" t="s">
        <v>577</v>
      </c>
      <c r="J96" s="23" t="s">
        <v>842</v>
      </c>
      <c r="K96" s="23" t="s">
        <v>589</v>
      </c>
      <c r="L96" s="23" t="s">
        <v>590</v>
      </c>
      <c r="M96" s="23"/>
      <c r="N96" s="23"/>
      <c r="O96" s="23"/>
      <c r="P96" s="23"/>
      <c r="Q96" s="23"/>
      <c r="R96" s="23"/>
      <c r="S96" s="23"/>
      <c r="T96" s="23"/>
      <c r="U96" s="23"/>
      <c r="V96" s="23"/>
      <c r="W96" s="23"/>
      <c r="X96" s="4"/>
    </row>
    <row r="97" spans="1:24" ht="38.25" x14ac:dyDescent="0.25">
      <c r="A97" s="21" t="s">
        <v>843</v>
      </c>
      <c r="B97" s="21" t="str">
        <f t="shared" si="1"/>
        <v>84238110</v>
      </c>
      <c r="C97" s="21" t="str">
        <f>Tabela5[[#This Row],[Cod. Ncm]]&amp;"-"&amp;Tabela5[[#This Row],[Operações]]</f>
        <v>84238110-Internas e interestaduais</v>
      </c>
      <c r="D97" s="22" t="s">
        <v>586</v>
      </c>
      <c r="E97" s="22" t="s">
        <v>587</v>
      </c>
      <c r="F97" s="22">
        <v>8.8000000000000007</v>
      </c>
      <c r="G97" s="22" t="s">
        <v>844</v>
      </c>
      <c r="H97" s="22" t="s">
        <v>588</v>
      </c>
      <c r="I97" s="23" t="s">
        <v>577</v>
      </c>
      <c r="J97" s="23" t="s">
        <v>845</v>
      </c>
      <c r="K97" s="23" t="s">
        <v>589</v>
      </c>
      <c r="L97" s="23" t="s">
        <v>590</v>
      </c>
      <c r="M97" s="23"/>
      <c r="N97" s="23"/>
      <c r="O97" s="23"/>
      <c r="P97" s="23"/>
      <c r="Q97" s="23"/>
      <c r="R97" s="23"/>
      <c r="S97" s="23"/>
      <c r="T97" s="23"/>
      <c r="U97" s="23"/>
      <c r="V97" s="23"/>
      <c r="W97" s="23"/>
      <c r="X97" s="4"/>
    </row>
    <row r="98" spans="1:24" ht="38.25" x14ac:dyDescent="0.25">
      <c r="A98" s="21" t="s">
        <v>846</v>
      </c>
      <c r="B98" s="21" t="str">
        <f t="shared" si="1"/>
        <v>84238190</v>
      </c>
      <c r="C98" s="21" t="str">
        <f>Tabela5[[#This Row],[Cod. Ncm]]&amp;"-"&amp;Tabela5[[#This Row],[Operações]]</f>
        <v>84238190-Internas e interestaduais</v>
      </c>
      <c r="D98" s="22" t="s">
        <v>586</v>
      </c>
      <c r="E98" s="22" t="s">
        <v>587</v>
      </c>
      <c r="F98" s="22">
        <v>8.8000000000000007</v>
      </c>
      <c r="G98" s="22" t="s">
        <v>847</v>
      </c>
      <c r="H98" s="22" t="s">
        <v>588</v>
      </c>
      <c r="I98" s="23" t="s">
        <v>577</v>
      </c>
      <c r="J98" s="23" t="s">
        <v>848</v>
      </c>
      <c r="K98" s="23" t="s">
        <v>589</v>
      </c>
      <c r="L98" s="23" t="s">
        <v>590</v>
      </c>
      <c r="M98" s="23"/>
      <c r="N98" s="23"/>
      <c r="O98" s="23"/>
      <c r="P98" s="23"/>
      <c r="Q98" s="23"/>
      <c r="R98" s="23"/>
      <c r="S98" s="23"/>
      <c r="T98" s="23"/>
      <c r="U98" s="23"/>
      <c r="V98" s="23"/>
      <c r="W98" s="23"/>
      <c r="X98" s="4"/>
    </row>
    <row r="99" spans="1:24" ht="26.25" x14ac:dyDescent="0.25">
      <c r="A99" s="21" t="s">
        <v>851</v>
      </c>
      <c r="B99" s="21" t="str">
        <f t="shared" si="1"/>
        <v>84238900</v>
      </c>
      <c r="C99" s="21" t="str">
        <f>Tabela5[[#This Row],[Cod. Ncm]]&amp;"-"&amp;Tabela5[[#This Row],[Operações]]</f>
        <v>84238900-Internas e interestaduais</v>
      </c>
      <c r="D99" s="22" t="s">
        <v>586</v>
      </c>
      <c r="E99" s="22" t="s">
        <v>587</v>
      </c>
      <c r="F99" s="22">
        <v>8.8000000000000007</v>
      </c>
      <c r="G99" s="22" t="s">
        <v>849</v>
      </c>
      <c r="H99" s="22" t="s">
        <v>588</v>
      </c>
      <c r="I99" s="23" t="s">
        <v>577</v>
      </c>
      <c r="J99" s="23" t="s">
        <v>850</v>
      </c>
      <c r="K99" s="23" t="s">
        <v>589</v>
      </c>
      <c r="L99" s="23" t="s">
        <v>590</v>
      </c>
      <c r="M99" s="23"/>
      <c r="N99" s="23"/>
      <c r="O99" s="23"/>
      <c r="P99" s="23"/>
      <c r="Q99" s="23"/>
      <c r="R99" s="23"/>
      <c r="S99" s="23"/>
      <c r="T99" s="23"/>
      <c r="U99" s="23"/>
      <c r="V99" s="23"/>
      <c r="W99" s="23"/>
      <c r="X99" s="4"/>
    </row>
    <row r="100" spans="1:24" ht="26.25" x14ac:dyDescent="0.25">
      <c r="A100" s="21" t="s">
        <v>852</v>
      </c>
      <c r="B100" s="21" t="str">
        <f t="shared" si="1"/>
        <v>84242000</v>
      </c>
      <c r="C100" s="21" t="str">
        <f>Tabela5[[#This Row],[Cod. Ncm]]&amp;"-"&amp;Tabela5[[#This Row],[Operações]]</f>
        <v>84242000-Internas e interestaduais</v>
      </c>
      <c r="D100" s="22" t="s">
        <v>586</v>
      </c>
      <c r="E100" s="22" t="s">
        <v>587</v>
      </c>
      <c r="F100" s="22">
        <v>8.8000000000000007</v>
      </c>
      <c r="G100" s="22" t="s">
        <v>853</v>
      </c>
      <c r="H100" s="22" t="s">
        <v>588</v>
      </c>
      <c r="I100" s="23" t="s">
        <v>577</v>
      </c>
      <c r="J100" s="23" t="s">
        <v>854</v>
      </c>
      <c r="K100" s="23" t="s">
        <v>589</v>
      </c>
      <c r="L100" s="23" t="s">
        <v>590</v>
      </c>
      <c r="M100" s="23"/>
      <c r="N100" s="23"/>
      <c r="O100" s="23"/>
      <c r="P100" s="23"/>
      <c r="Q100" s="23"/>
      <c r="R100" s="23"/>
      <c r="S100" s="23"/>
      <c r="T100" s="23"/>
      <c r="U100" s="23"/>
      <c r="V100" s="23"/>
      <c r="W100" s="23"/>
      <c r="X100" s="4"/>
    </row>
    <row r="101" spans="1:24" ht="26.25" x14ac:dyDescent="0.25">
      <c r="A101" s="21" t="s">
        <v>855</v>
      </c>
      <c r="B101" s="21" t="str">
        <f t="shared" si="1"/>
        <v>84243010</v>
      </c>
      <c r="C101" s="21" t="str">
        <f>Tabela5[[#This Row],[Cod. Ncm]]&amp;"-"&amp;Tabela5[[#This Row],[Operações]]</f>
        <v>84243010-Internas e interestaduais</v>
      </c>
      <c r="D101" s="22" t="s">
        <v>586</v>
      </c>
      <c r="E101" s="22" t="s">
        <v>587</v>
      </c>
      <c r="F101" s="22">
        <v>8.8000000000000007</v>
      </c>
      <c r="G101" s="22" t="s">
        <v>856</v>
      </c>
      <c r="H101" s="22" t="s">
        <v>588</v>
      </c>
      <c r="I101" s="23" t="s">
        <v>577</v>
      </c>
      <c r="J101" s="23" t="s">
        <v>857</v>
      </c>
      <c r="K101" s="23" t="s">
        <v>589</v>
      </c>
      <c r="L101" s="23" t="s">
        <v>590</v>
      </c>
      <c r="M101" s="23"/>
      <c r="N101" s="23"/>
      <c r="O101" s="23"/>
      <c r="P101" s="23"/>
      <c r="Q101" s="23"/>
      <c r="R101" s="23"/>
      <c r="S101" s="23"/>
      <c r="T101" s="23"/>
      <c r="U101" s="23"/>
      <c r="V101" s="23"/>
      <c r="W101" s="23"/>
      <c r="X101" s="4"/>
    </row>
    <row r="102" spans="1:24" ht="26.25" x14ac:dyDescent="0.25">
      <c r="A102" s="21" t="s">
        <v>858</v>
      </c>
      <c r="B102" s="21" t="str">
        <f t="shared" si="1"/>
        <v>84243020</v>
      </c>
      <c r="C102" s="21" t="str">
        <f>Tabela5[[#This Row],[Cod. Ncm]]&amp;"-"&amp;Tabela5[[#This Row],[Operações]]</f>
        <v>84243020-Internas e interestaduais</v>
      </c>
      <c r="D102" s="22" t="s">
        <v>586</v>
      </c>
      <c r="E102" s="22" t="s">
        <v>587</v>
      </c>
      <c r="F102" s="22">
        <v>8.8000000000000007</v>
      </c>
      <c r="G102" s="22" t="s">
        <v>859</v>
      </c>
      <c r="H102" s="22" t="s">
        <v>588</v>
      </c>
      <c r="I102" s="23" t="s">
        <v>577</v>
      </c>
      <c r="J102" s="23" t="s">
        <v>860</v>
      </c>
      <c r="K102" s="23" t="s">
        <v>589</v>
      </c>
      <c r="L102" s="23" t="s">
        <v>590</v>
      </c>
      <c r="M102" s="23"/>
      <c r="N102" s="23"/>
      <c r="O102" s="23"/>
      <c r="P102" s="23"/>
      <c r="Q102" s="23"/>
      <c r="R102" s="23"/>
      <c r="S102" s="23"/>
      <c r="T102" s="23"/>
      <c r="U102" s="23"/>
      <c r="V102" s="23"/>
      <c r="W102" s="23"/>
      <c r="X102" s="4"/>
    </row>
    <row r="103" spans="1:24" ht="26.25" x14ac:dyDescent="0.25">
      <c r="A103" s="21" t="s">
        <v>861</v>
      </c>
      <c r="B103" s="21" t="str">
        <f t="shared" si="1"/>
        <v>84243030</v>
      </c>
      <c r="C103" s="21" t="str">
        <f>Tabela5[[#This Row],[Cod. Ncm]]&amp;"-"&amp;Tabela5[[#This Row],[Operações]]</f>
        <v>84243030-Internas e interestaduais</v>
      </c>
      <c r="D103" s="22" t="s">
        <v>586</v>
      </c>
      <c r="E103" s="22" t="s">
        <v>587</v>
      </c>
      <c r="F103" s="22">
        <v>8.8000000000000007</v>
      </c>
      <c r="G103" s="22" t="s">
        <v>862</v>
      </c>
      <c r="H103" s="22" t="s">
        <v>588</v>
      </c>
      <c r="I103" s="23" t="s">
        <v>577</v>
      </c>
      <c r="J103" s="23" t="s">
        <v>863</v>
      </c>
      <c r="K103" s="23" t="s">
        <v>589</v>
      </c>
      <c r="L103" s="23" t="s">
        <v>590</v>
      </c>
      <c r="M103" s="23"/>
      <c r="N103" s="23"/>
      <c r="O103" s="23"/>
      <c r="P103" s="23"/>
      <c r="Q103" s="23"/>
      <c r="R103" s="23"/>
      <c r="S103" s="23"/>
      <c r="T103" s="23"/>
      <c r="U103" s="23"/>
      <c r="V103" s="23"/>
      <c r="W103" s="23"/>
      <c r="X103" s="4"/>
    </row>
    <row r="104" spans="1:24" ht="51" x14ac:dyDescent="0.25">
      <c r="A104" s="21" t="s">
        <v>864</v>
      </c>
      <c r="B104" s="21" t="str">
        <f t="shared" si="1"/>
        <v>84243090</v>
      </c>
      <c r="C104" s="21" t="str">
        <f>Tabela5[[#This Row],[Cod. Ncm]]&amp;"-"&amp;Tabela5[[#This Row],[Operações]]</f>
        <v>84243090-Internas e interestaduais</v>
      </c>
      <c r="D104" s="22" t="s">
        <v>586</v>
      </c>
      <c r="E104" s="22" t="s">
        <v>587</v>
      </c>
      <c r="F104" s="22">
        <v>8.8000000000000007</v>
      </c>
      <c r="G104" s="22" t="s">
        <v>865</v>
      </c>
      <c r="H104" s="22" t="s">
        <v>588</v>
      </c>
      <c r="I104" s="23" t="s">
        <v>577</v>
      </c>
      <c r="J104" s="23" t="s">
        <v>866</v>
      </c>
      <c r="K104" s="23" t="s">
        <v>589</v>
      </c>
      <c r="L104" s="23" t="s">
        <v>590</v>
      </c>
      <c r="M104" s="23"/>
      <c r="N104" s="23"/>
      <c r="O104" s="23"/>
      <c r="P104" s="23"/>
      <c r="Q104" s="23"/>
      <c r="R104" s="23"/>
      <c r="S104" s="23"/>
      <c r="T104" s="23"/>
      <c r="U104" s="23"/>
      <c r="V104" s="23"/>
      <c r="W104" s="23"/>
      <c r="X104" s="4"/>
    </row>
    <row r="105" spans="1:24" ht="38.25" x14ac:dyDescent="0.25">
      <c r="A105" s="21" t="s">
        <v>3566</v>
      </c>
      <c r="B105" s="21" t="str">
        <f t="shared" si="1"/>
        <v>84244900</v>
      </c>
      <c r="C105" s="21" t="str">
        <f>Tabela5[[#This Row],[Cod. Ncm]]&amp;"-"&amp;Tabela5[[#This Row],[Operações]]</f>
        <v>84244900-Internas e interestaduais</v>
      </c>
      <c r="D105" s="22" t="s">
        <v>586</v>
      </c>
      <c r="E105" s="22" t="s">
        <v>587</v>
      </c>
      <c r="F105" s="22">
        <v>8.8000000000000007</v>
      </c>
      <c r="G105" s="22" t="s">
        <v>869</v>
      </c>
      <c r="H105" s="22" t="s">
        <v>588</v>
      </c>
      <c r="I105" s="23" t="s">
        <v>577</v>
      </c>
      <c r="J105" s="23" t="s">
        <v>870</v>
      </c>
      <c r="K105" s="23" t="s">
        <v>589</v>
      </c>
      <c r="L105" s="23" t="s">
        <v>590</v>
      </c>
      <c r="M105" s="23"/>
      <c r="N105" s="23"/>
      <c r="O105" s="23"/>
      <c r="P105" s="23"/>
      <c r="Q105" s="23"/>
      <c r="R105" s="23"/>
      <c r="S105" s="23"/>
      <c r="T105" s="23"/>
      <c r="U105" s="23"/>
      <c r="V105" s="23"/>
      <c r="W105" s="23"/>
      <c r="X105" s="4"/>
    </row>
    <row r="106" spans="1:24" ht="26.25" x14ac:dyDescent="0.25">
      <c r="A106" s="21" t="s">
        <v>871</v>
      </c>
      <c r="B106" s="21" t="str">
        <f t="shared" si="1"/>
        <v>84251100</v>
      </c>
      <c r="C106" s="21" t="str">
        <f>Tabela5[[#This Row],[Cod. Ncm]]&amp;"-"&amp;Tabela5[[#This Row],[Operações]]</f>
        <v>84251100-Internas e interestaduais</v>
      </c>
      <c r="D106" s="22" t="s">
        <v>586</v>
      </c>
      <c r="E106" s="22" t="s">
        <v>587</v>
      </c>
      <c r="F106" s="22">
        <v>8.8000000000000007</v>
      </c>
      <c r="G106" s="22" t="s">
        <v>872</v>
      </c>
      <c r="H106" s="22" t="s">
        <v>588</v>
      </c>
      <c r="I106" s="23" t="s">
        <v>577</v>
      </c>
      <c r="J106" s="23" t="s">
        <v>873</v>
      </c>
      <c r="K106" s="23" t="s">
        <v>589</v>
      </c>
      <c r="L106" s="23" t="s">
        <v>590</v>
      </c>
      <c r="M106" s="23"/>
      <c r="N106" s="23"/>
      <c r="O106" s="23"/>
      <c r="P106" s="23"/>
      <c r="Q106" s="23"/>
      <c r="R106" s="23"/>
      <c r="S106" s="23"/>
      <c r="T106" s="23"/>
      <c r="U106" s="23"/>
      <c r="V106" s="23"/>
      <c r="W106" s="23"/>
      <c r="X106" s="4"/>
    </row>
    <row r="107" spans="1:24" ht="26.25" x14ac:dyDescent="0.25">
      <c r="A107" s="21" t="s">
        <v>874</v>
      </c>
      <c r="B107" s="21" t="str">
        <f t="shared" si="1"/>
        <v>84251910</v>
      </c>
      <c r="C107" s="21" t="str">
        <f>Tabela5[[#This Row],[Cod. Ncm]]&amp;"-"&amp;Tabela5[[#This Row],[Operações]]</f>
        <v>84251910-Internas e interestaduais</v>
      </c>
      <c r="D107" s="22" t="s">
        <v>586</v>
      </c>
      <c r="E107" s="22" t="s">
        <v>587</v>
      </c>
      <c r="F107" s="22">
        <v>8.8000000000000007</v>
      </c>
      <c r="G107" s="22" t="s">
        <v>875</v>
      </c>
      <c r="H107" s="22" t="s">
        <v>588</v>
      </c>
      <c r="I107" s="23" t="s">
        <v>577</v>
      </c>
      <c r="J107" s="23" t="s">
        <v>876</v>
      </c>
      <c r="K107" s="23" t="s">
        <v>589</v>
      </c>
      <c r="L107" s="23" t="s">
        <v>590</v>
      </c>
      <c r="M107" s="23"/>
      <c r="N107" s="23"/>
      <c r="O107" s="23"/>
      <c r="P107" s="23"/>
      <c r="Q107" s="23"/>
      <c r="R107" s="23"/>
      <c r="S107" s="23"/>
      <c r="T107" s="23"/>
      <c r="U107" s="23"/>
      <c r="V107" s="23"/>
      <c r="W107" s="23"/>
      <c r="X107" s="4"/>
    </row>
    <row r="108" spans="1:24" ht="26.25" x14ac:dyDescent="0.25">
      <c r="A108" s="21" t="s">
        <v>878</v>
      </c>
      <c r="B108" s="21" t="str">
        <f t="shared" si="1"/>
        <v>84253110</v>
      </c>
      <c r="C108" s="21" t="str">
        <f>Tabela5[[#This Row],[Cod. Ncm]]&amp;"-"&amp;Tabela5[[#This Row],[Operações]]</f>
        <v>84253110-Internas e interestaduais</v>
      </c>
      <c r="D108" s="22" t="s">
        <v>586</v>
      </c>
      <c r="E108" s="22" t="s">
        <v>587</v>
      </c>
      <c r="F108" s="22">
        <v>8.8000000000000007</v>
      </c>
      <c r="G108" s="22" t="s">
        <v>879</v>
      </c>
      <c r="H108" s="22" t="s">
        <v>588</v>
      </c>
      <c r="I108" s="23" t="s">
        <v>577</v>
      </c>
      <c r="J108" s="23" t="s">
        <v>880</v>
      </c>
      <c r="K108" s="23" t="s">
        <v>589</v>
      </c>
      <c r="L108" s="23" t="s">
        <v>590</v>
      </c>
      <c r="M108" s="23"/>
      <c r="N108" s="23"/>
      <c r="O108" s="23"/>
      <c r="P108" s="23"/>
      <c r="Q108" s="23"/>
      <c r="R108" s="23"/>
      <c r="S108" s="23"/>
      <c r="T108" s="23"/>
      <c r="U108" s="23"/>
      <c r="V108" s="23"/>
      <c r="W108" s="23"/>
      <c r="X108" s="4"/>
    </row>
    <row r="109" spans="1:24" ht="26.25" x14ac:dyDescent="0.25">
      <c r="A109" s="21" t="s">
        <v>881</v>
      </c>
      <c r="B109" s="21" t="str">
        <f t="shared" si="1"/>
        <v>84253190</v>
      </c>
      <c r="C109" s="21" t="str">
        <f>Tabela5[[#This Row],[Cod. Ncm]]&amp;"-"&amp;Tabela5[[#This Row],[Operações]]</f>
        <v>84253190-Internas e interestaduais</v>
      </c>
      <c r="D109" s="22" t="s">
        <v>586</v>
      </c>
      <c r="E109" s="22" t="s">
        <v>587</v>
      </c>
      <c r="F109" s="22">
        <v>8.8000000000000007</v>
      </c>
      <c r="G109" s="22" t="s">
        <v>882</v>
      </c>
      <c r="H109" s="22" t="s">
        <v>588</v>
      </c>
      <c r="I109" s="23" t="s">
        <v>577</v>
      </c>
      <c r="J109" s="23" t="s">
        <v>883</v>
      </c>
      <c r="K109" s="23" t="s">
        <v>589</v>
      </c>
      <c r="L109" s="23" t="s">
        <v>590</v>
      </c>
      <c r="M109" s="23"/>
      <c r="N109" s="23"/>
      <c r="O109" s="23"/>
      <c r="P109" s="23"/>
      <c r="Q109" s="23"/>
      <c r="R109" s="23"/>
      <c r="S109" s="23"/>
      <c r="T109" s="23"/>
      <c r="U109" s="23"/>
      <c r="V109" s="23"/>
      <c r="W109" s="23"/>
      <c r="X109" s="4"/>
    </row>
    <row r="110" spans="1:24" ht="26.25" x14ac:dyDescent="0.25">
      <c r="A110" s="21" t="s">
        <v>884</v>
      </c>
      <c r="B110" s="21" t="str">
        <f t="shared" si="1"/>
        <v>84253910</v>
      </c>
      <c r="C110" s="21" t="str">
        <f>Tabela5[[#This Row],[Cod. Ncm]]&amp;"-"&amp;Tabela5[[#This Row],[Operações]]</f>
        <v>84253910-Internas e interestaduais</v>
      </c>
      <c r="D110" s="22" t="s">
        <v>586</v>
      </c>
      <c r="E110" s="22" t="s">
        <v>587</v>
      </c>
      <c r="F110" s="22">
        <v>8.8000000000000007</v>
      </c>
      <c r="G110" s="22" t="s">
        <v>885</v>
      </c>
      <c r="H110" s="22" t="s">
        <v>588</v>
      </c>
      <c r="I110" s="23" t="s">
        <v>577</v>
      </c>
      <c r="J110" s="23" t="s">
        <v>886</v>
      </c>
      <c r="K110" s="23" t="s">
        <v>589</v>
      </c>
      <c r="L110" s="23" t="s">
        <v>590</v>
      </c>
      <c r="M110" s="23"/>
      <c r="N110" s="23"/>
      <c r="O110" s="23"/>
      <c r="P110" s="23"/>
      <c r="Q110" s="23"/>
      <c r="R110" s="23"/>
      <c r="S110" s="23"/>
      <c r="T110" s="23"/>
      <c r="U110" s="23"/>
      <c r="V110" s="23"/>
      <c r="W110" s="23"/>
      <c r="X110" s="4"/>
    </row>
    <row r="111" spans="1:24" ht="26.25" x14ac:dyDescent="0.25">
      <c r="A111" s="21" t="s">
        <v>887</v>
      </c>
      <c r="B111" s="21" t="str">
        <f t="shared" si="1"/>
        <v>84253990</v>
      </c>
      <c r="C111" s="21" t="str">
        <f>Tabela5[[#This Row],[Cod. Ncm]]&amp;"-"&amp;Tabela5[[#This Row],[Operações]]</f>
        <v>84253990-Internas e interestaduais</v>
      </c>
      <c r="D111" s="22" t="s">
        <v>586</v>
      </c>
      <c r="E111" s="22" t="s">
        <v>587</v>
      </c>
      <c r="F111" s="22">
        <v>8.8000000000000007</v>
      </c>
      <c r="G111" s="22" t="s">
        <v>888</v>
      </c>
      <c r="H111" s="22" t="s">
        <v>588</v>
      </c>
      <c r="I111" s="23" t="s">
        <v>577</v>
      </c>
      <c r="J111" s="23" t="s">
        <v>889</v>
      </c>
      <c r="K111" s="23" t="s">
        <v>589</v>
      </c>
      <c r="L111" s="23" t="s">
        <v>590</v>
      </c>
      <c r="M111" s="23"/>
      <c r="N111" s="23"/>
      <c r="O111" s="23"/>
      <c r="P111" s="23"/>
      <c r="Q111" s="23"/>
      <c r="R111" s="23"/>
      <c r="S111" s="23"/>
      <c r="T111" s="23"/>
      <c r="U111" s="23"/>
      <c r="V111" s="23"/>
      <c r="W111" s="23"/>
      <c r="X111" s="4"/>
    </row>
    <row r="112" spans="1:24" ht="26.25" x14ac:dyDescent="0.25">
      <c r="A112" s="21" t="s">
        <v>890</v>
      </c>
      <c r="B112" s="21" t="str">
        <f t="shared" si="1"/>
        <v>84261100</v>
      </c>
      <c r="C112" s="21" t="str">
        <f>Tabela5[[#This Row],[Cod. Ncm]]&amp;"-"&amp;Tabela5[[#This Row],[Operações]]</f>
        <v>84261100-Internas e interestaduais</v>
      </c>
      <c r="D112" s="22" t="s">
        <v>586</v>
      </c>
      <c r="E112" s="22" t="s">
        <v>587</v>
      </c>
      <c r="F112" s="22">
        <v>8.8000000000000007</v>
      </c>
      <c r="G112" s="22" t="s">
        <v>891</v>
      </c>
      <c r="H112" s="22" t="s">
        <v>588</v>
      </c>
      <c r="I112" s="23" t="s">
        <v>577</v>
      </c>
      <c r="J112" s="23" t="s">
        <v>892</v>
      </c>
      <c r="K112" s="23" t="s">
        <v>589</v>
      </c>
      <c r="L112" s="23" t="s">
        <v>590</v>
      </c>
      <c r="M112" s="23"/>
      <c r="N112" s="23"/>
      <c r="O112" s="23"/>
      <c r="P112" s="23"/>
      <c r="Q112" s="23"/>
      <c r="R112" s="23"/>
      <c r="S112" s="23"/>
      <c r="T112" s="23"/>
      <c r="U112" s="23"/>
      <c r="V112" s="23"/>
      <c r="W112" s="23"/>
      <c r="X112" s="4"/>
    </row>
    <row r="113" spans="1:24" ht="26.25" x14ac:dyDescent="0.25">
      <c r="A113" s="21" t="s">
        <v>893</v>
      </c>
      <c r="B113" s="21" t="str">
        <f t="shared" si="1"/>
        <v>84262000</v>
      </c>
      <c r="C113" s="21" t="str">
        <f>Tabela5[[#This Row],[Cod. Ncm]]&amp;"-"&amp;Tabela5[[#This Row],[Operações]]</f>
        <v>84262000-Internas e interestaduais</v>
      </c>
      <c r="D113" s="22" t="s">
        <v>586</v>
      </c>
      <c r="E113" s="22" t="s">
        <v>587</v>
      </c>
      <c r="F113" s="22">
        <v>8.8000000000000007</v>
      </c>
      <c r="G113" s="22" t="s">
        <v>894</v>
      </c>
      <c r="H113" s="22" t="s">
        <v>588</v>
      </c>
      <c r="I113" s="23" t="s">
        <v>577</v>
      </c>
      <c r="J113" s="23" t="s">
        <v>895</v>
      </c>
      <c r="K113" s="23" t="s">
        <v>589</v>
      </c>
      <c r="L113" s="23" t="s">
        <v>590</v>
      </c>
      <c r="M113" s="23"/>
      <c r="N113" s="23"/>
      <c r="O113" s="23"/>
      <c r="P113" s="23"/>
      <c r="Q113" s="23"/>
      <c r="R113" s="23"/>
      <c r="S113" s="23"/>
      <c r="T113" s="23"/>
      <c r="U113" s="23"/>
      <c r="V113" s="23"/>
      <c r="W113" s="23"/>
      <c r="X113" s="4"/>
    </row>
    <row r="114" spans="1:24" ht="26.25" x14ac:dyDescent="0.25">
      <c r="A114" s="21" t="s">
        <v>896</v>
      </c>
      <c r="B114" s="21" t="str">
        <f t="shared" ref="B114:B129" si="2">RIGHT(A114,8)</f>
        <v>84263000</v>
      </c>
      <c r="C114" s="21" t="str">
        <f>Tabela5[[#This Row],[Cod. Ncm]]&amp;"-"&amp;Tabela5[[#This Row],[Operações]]</f>
        <v>84263000-Internas e interestaduais</v>
      </c>
      <c r="D114" s="22" t="s">
        <v>586</v>
      </c>
      <c r="E114" s="22" t="s">
        <v>587</v>
      </c>
      <c r="F114" s="22">
        <v>8.8000000000000007</v>
      </c>
      <c r="G114" s="22" t="s">
        <v>897</v>
      </c>
      <c r="H114" s="22" t="s">
        <v>588</v>
      </c>
      <c r="I114" s="23" t="s">
        <v>577</v>
      </c>
      <c r="J114" s="23" t="s">
        <v>898</v>
      </c>
      <c r="K114" s="23" t="s">
        <v>589</v>
      </c>
      <c r="L114" s="23" t="s">
        <v>590</v>
      </c>
      <c r="M114" s="23"/>
      <c r="N114" s="23"/>
      <c r="O114" s="23"/>
      <c r="P114" s="23"/>
      <c r="Q114" s="23"/>
      <c r="R114" s="23"/>
      <c r="S114" s="23"/>
      <c r="T114" s="23"/>
      <c r="U114" s="23"/>
      <c r="V114" s="23"/>
      <c r="W114" s="23"/>
      <c r="X114" s="4"/>
    </row>
    <row r="115" spans="1:24" ht="26.25" x14ac:dyDescent="0.25">
      <c r="A115" s="21" t="s">
        <v>899</v>
      </c>
      <c r="B115" s="21" t="str">
        <f t="shared" si="2"/>
        <v>84269900</v>
      </c>
      <c r="C115" s="21" t="str">
        <f>Tabela5[[#This Row],[Cod. Ncm]]&amp;"-"&amp;Tabela5[[#This Row],[Operações]]</f>
        <v>84269900-Internas e interestaduais</v>
      </c>
      <c r="D115" s="22" t="s">
        <v>586</v>
      </c>
      <c r="E115" s="22" t="s">
        <v>587</v>
      </c>
      <c r="F115" s="22">
        <v>8.8000000000000007</v>
      </c>
      <c r="G115" s="22" t="s">
        <v>900</v>
      </c>
      <c r="H115" s="22" t="s">
        <v>588</v>
      </c>
      <c r="I115" s="23" t="s">
        <v>577</v>
      </c>
      <c r="J115" s="23" t="s">
        <v>901</v>
      </c>
      <c r="K115" s="23" t="s">
        <v>589</v>
      </c>
      <c r="L115" s="23" t="s">
        <v>590</v>
      </c>
      <c r="M115" s="23"/>
      <c r="N115" s="23"/>
      <c r="O115" s="23"/>
      <c r="P115" s="23"/>
      <c r="Q115" s="23"/>
      <c r="R115" s="23"/>
      <c r="S115" s="23"/>
      <c r="T115" s="23"/>
      <c r="U115" s="23"/>
      <c r="V115" s="23"/>
      <c r="W115" s="23"/>
      <c r="X115" s="4"/>
    </row>
    <row r="116" spans="1:24" ht="26.25" x14ac:dyDescent="0.25">
      <c r="A116" s="21" t="s">
        <v>902</v>
      </c>
      <c r="B116" s="21" t="str">
        <f t="shared" si="2"/>
        <v>84281000</v>
      </c>
      <c r="C116" s="21" t="str">
        <f>Tabela5[[#This Row],[Cod. Ncm]]&amp;"-"&amp;Tabela5[[#This Row],[Operações]]</f>
        <v>84281000-Internas e interestaduais</v>
      </c>
      <c r="D116" s="22" t="s">
        <v>586</v>
      </c>
      <c r="E116" s="22" t="s">
        <v>587</v>
      </c>
      <c r="F116" s="22">
        <v>8.8000000000000007</v>
      </c>
      <c r="G116" s="22" t="s">
        <v>903</v>
      </c>
      <c r="H116" s="22" t="s">
        <v>588</v>
      </c>
      <c r="I116" s="23" t="s">
        <v>577</v>
      </c>
      <c r="J116" s="23" t="s">
        <v>904</v>
      </c>
      <c r="K116" s="23" t="s">
        <v>589</v>
      </c>
      <c r="L116" s="23" t="s">
        <v>590</v>
      </c>
      <c r="M116" s="23"/>
      <c r="N116" s="23"/>
      <c r="O116" s="23"/>
      <c r="P116" s="23"/>
      <c r="Q116" s="23"/>
      <c r="R116" s="23"/>
      <c r="S116" s="23"/>
      <c r="T116" s="23"/>
      <c r="U116" s="23"/>
      <c r="V116" s="23"/>
      <c r="W116" s="23"/>
      <c r="X116" s="4"/>
    </row>
    <row r="117" spans="1:24" ht="38.25" x14ac:dyDescent="0.25">
      <c r="A117" s="21" t="s">
        <v>905</v>
      </c>
      <c r="B117" s="21" t="str">
        <f t="shared" si="2"/>
        <v>84282010</v>
      </c>
      <c r="C117" s="21" t="str">
        <f>Tabela5[[#This Row],[Cod. Ncm]]&amp;"-"&amp;Tabela5[[#This Row],[Operações]]</f>
        <v>84282010-Internas e interestaduais</v>
      </c>
      <c r="D117" s="22" t="s">
        <v>586</v>
      </c>
      <c r="E117" s="22" t="s">
        <v>587</v>
      </c>
      <c r="F117" s="22">
        <v>8.8000000000000007</v>
      </c>
      <c r="G117" s="22" t="s">
        <v>906</v>
      </c>
      <c r="H117" s="22" t="s">
        <v>588</v>
      </c>
      <c r="I117" s="23" t="s">
        <v>577</v>
      </c>
      <c r="J117" s="23" t="s">
        <v>907</v>
      </c>
      <c r="K117" s="23" t="s">
        <v>589</v>
      </c>
      <c r="L117" s="23" t="s">
        <v>590</v>
      </c>
      <c r="M117" s="23"/>
      <c r="N117" s="23"/>
      <c r="O117" s="23"/>
      <c r="P117" s="23"/>
      <c r="Q117" s="23"/>
      <c r="R117" s="23"/>
      <c r="S117" s="23"/>
      <c r="T117" s="23"/>
      <c r="U117" s="23"/>
      <c r="V117" s="23"/>
      <c r="W117" s="23"/>
      <c r="X117" s="4"/>
    </row>
    <row r="118" spans="1:24" ht="26.25" x14ac:dyDescent="0.25">
      <c r="A118" s="21" t="s">
        <v>908</v>
      </c>
      <c r="B118" s="21" t="str">
        <f t="shared" si="2"/>
        <v>84282090</v>
      </c>
      <c r="C118" s="21" t="str">
        <f>Tabela5[[#This Row],[Cod. Ncm]]&amp;"-"&amp;Tabela5[[#This Row],[Operações]]</f>
        <v>84282090-Internas e interestaduais</v>
      </c>
      <c r="D118" s="22" t="s">
        <v>586</v>
      </c>
      <c r="E118" s="22" t="s">
        <v>587</v>
      </c>
      <c r="F118" s="22">
        <v>8.8000000000000007</v>
      </c>
      <c r="G118" s="22" t="s">
        <v>909</v>
      </c>
      <c r="H118" s="22" t="s">
        <v>588</v>
      </c>
      <c r="I118" s="23" t="s">
        <v>577</v>
      </c>
      <c r="J118" s="23" t="s">
        <v>910</v>
      </c>
      <c r="K118" s="23" t="s">
        <v>589</v>
      </c>
      <c r="L118" s="23" t="s">
        <v>590</v>
      </c>
      <c r="M118" s="23"/>
      <c r="N118" s="23"/>
      <c r="O118" s="23"/>
      <c r="P118" s="23"/>
      <c r="Q118" s="23"/>
      <c r="R118" s="23"/>
      <c r="S118" s="23"/>
      <c r="T118" s="23"/>
      <c r="U118" s="23"/>
      <c r="V118" s="23"/>
      <c r="W118" s="23"/>
      <c r="X118" s="4"/>
    </row>
    <row r="119" spans="1:24" ht="38.25" x14ac:dyDescent="0.25">
      <c r="A119" s="21" t="s">
        <v>911</v>
      </c>
      <c r="B119" s="21" t="str">
        <f t="shared" si="2"/>
        <v>84283100</v>
      </c>
      <c r="C119" s="21" t="str">
        <f>Tabela5[[#This Row],[Cod. Ncm]]&amp;"-"&amp;Tabela5[[#This Row],[Operações]]</f>
        <v>84283100-Internas e interestaduais</v>
      </c>
      <c r="D119" s="22" t="s">
        <v>586</v>
      </c>
      <c r="E119" s="22" t="s">
        <v>587</v>
      </c>
      <c r="F119" s="22">
        <v>8.8000000000000007</v>
      </c>
      <c r="G119" s="22" t="s">
        <v>912</v>
      </c>
      <c r="H119" s="22" t="s">
        <v>588</v>
      </c>
      <c r="I119" s="23" t="s">
        <v>577</v>
      </c>
      <c r="J119" s="23" t="s">
        <v>913</v>
      </c>
      <c r="K119" s="23" t="s">
        <v>589</v>
      </c>
      <c r="L119" s="23" t="s">
        <v>590</v>
      </c>
      <c r="M119" s="23"/>
      <c r="N119" s="23"/>
      <c r="O119" s="23"/>
      <c r="P119" s="23"/>
      <c r="Q119" s="23"/>
      <c r="R119" s="23"/>
      <c r="S119" s="23"/>
      <c r="T119" s="23"/>
      <c r="U119" s="23"/>
      <c r="V119" s="23"/>
      <c r="W119" s="23"/>
      <c r="X119" s="4"/>
    </row>
    <row r="120" spans="1:24" ht="38.25" x14ac:dyDescent="0.25">
      <c r="A120" s="21" t="s">
        <v>914</v>
      </c>
      <c r="B120" s="21" t="str">
        <f t="shared" si="2"/>
        <v>84283200</v>
      </c>
      <c r="C120" s="21" t="str">
        <f>Tabela5[[#This Row],[Cod. Ncm]]&amp;"-"&amp;Tabela5[[#This Row],[Operações]]</f>
        <v>84283200-Internas e interestaduais</v>
      </c>
      <c r="D120" s="22" t="s">
        <v>586</v>
      </c>
      <c r="E120" s="22" t="s">
        <v>587</v>
      </c>
      <c r="F120" s="22">
        <v>8.8000000000000007</v>
      </c>
      <c r="G120" s="22" t="s">
        <v>915</v>
      </c>
      <c r="H120" s="22" t="s">
        <v>588</v>
      </c>
      <c r="I120" s="23" t="s">
        <v>577</v>
      </c>
      <c r="J120" s="23" t="s">
        <v>916</v>
      </c>
      <c r="K120" s="23" t="s">
        <v>589</v>
      </c>
      <c r="L120" s="23" t="s">
        <v>590</v>
      </c>
      <c r="M120" s="23"/>
      <c r="N120" s="23"/>
      <c r="O120" s="23"/>
      <c r="P120" s="23"/>
      <c r="Q120" s="23"/>
      <c r="R120" s="23"/>
      <c r="S120" s="23"/>
      <c r="T120" s="23"/>
      <c r="U120" s="23"/>
      <c r="V120" s="23"/>
      <c r="W120" s="23"/>
      <c r="X120" s="4"/>
    </row>
    <row r="121" spans="1:24" ht="38.25" x14ac:dyDescent="0.25">
      <c r="A121" s="21" t="s">
        <v>917</v>
      </c>
      <c r="B121" s="21" t="str">
        <f t="shared" si="2"/>
        <v>84283300</v>
      </c>
      <c r="C121" s="21" t="str">
        <f>Tabela5[[#This Row],[Cod. Ncm]]&amp;"-"&amp;Tabela5[[#This Row],[Operações]]</f>
        <v>84283300-Internas e interestaduais</v>
      </c>
      <c r="D121" s="22" t="s">
        <v>586</v>
      </c>
      <c r="E121" s="22" t="s">
        <v>587</v>
      </c>
      <c r="F121" s="22">
        <v>8.8000000000000007</v>
      </c>
      <c r="G121" s="22" t="s">
        <v>918</v>
      </c>
      <c r="H121" s="22" t="s">
        <v>588</v>
      </c>
      <c r="I121" s="23" t="s">
        <v>577</v>
      </c>
      <c r="J121" s="23" t="s">
        <v>919</v>
      </c>
      <c r="K121" s="23" t="s">
        <v>589</v>
      </c>
      <c r="L121" s="23" t="s">
        <v>590</v>
      </c>
      <c r="M121" s="23"/>
      <c r="N121" s="23"/>
      <c r="O121" s="23"/>
      <c r="P121" s="23"/>
      <c r="Q121" s="23"/>
      <c r="R121" s="23"/>
      <c r="S121" s="23"/>
      <c r="T121" s="23"/>
      <c r="U121" s="23"/>
      <c r="V121" s="23"/>
      <c r="W121" s="23"/>
      <c r="X121" s="4"/>
    </row>
    <row r="122" spans="1:24" ht="38.25" x14ac:dyDescent="0.25">
      <c r="A122" s="21" t="s">
        <v>920</v>
      </c>
      <c r="B122" s="21" t="str">
        <f t="shared" si="2"/>
        <v>84283910</v>
      </c>
      <c r="C122" s="21" t="str">
        <f>Tabela5[[#This Row],[Cod. Ncm]]&amp;"-"&amp;Tabela5[[#This Row],[Operações]]</f>
        <v>84283910-Internas e interestaduais</v>
      </c>
      <c r="D122" s="22" t="s">
        <v>586</v>
      </c>
      <c r="E122" s="22" t="s">
        <v>587</v>
      </c>
      <c r="F122" s="22">
        <v>8.8000000000000007</v>
      </c>
      <c r="G122" s="22" t="s">
        <v>921</v>
      </c>
      <c r="H122" s="22" t="s">
        <v>588</v>
      </c>
      <c r="I122" s="23" t="s">
        <v>577</v>
      </c>
      <c r="J122" s="23" t="s">
        <v>922</v>
      </c>
      <c r="K122" s="23" t="s">
        <v>589</v>
      </c>
      <c r="L122" s="23" t="s">
        <v>590</v>
      </c>
      <c r="M122" s="23"/>
      <c r="N122" s="23"/>
      <c r="O122" s="23"/>
      <c r="P122" s="23"/>
      <c r="Q122" s="23"/>
      <c r="R122" s="23"/>
      <c r="S122" s="23"/>
      <c r="T122" s="23"/>
      <c r="U122" s="23"/>
      <c r="V122" s="23"/>
      <c r="W122" s="23"/>
      <c r="X122" s="4"/>
    </row>
    <row r="123" spans="1:24" ht="38.25" x14ac:dyDescent="0.25">
      <c r="A123" s="21" t="s">
        <v>923</v>
      </c>
      <c r="B123" s="21" t="str">
        <f t="shared" si="2"/>
        <v>84283920</v>
      </c>
      <c r="C123" s="21" t="str">
        <f>Tabela5[[#This Row],[Cod. Ncm]]&amp;"-"&amp;Tabela5[[#This Row],[Operações]]</f>
        <v>84283920-Internas e interestaduais</v>
      </c>
      <c r="D123" s="22" t="s">
        <v>586</v>
      </c>
      <c r="E123" s="22" t="s">
        <v>587</v>
      </c>
      <c r="F123" s="22">
        <v>8.8000000000000007</v>
      </c>
      <c r="G123" s="22" t="s">
        <v>924</v>
      </c>
      <c r="H123" s="22" t="s">
        <v>588</v>
      </c>
      <c r="I123" s="23" t="s">
        <v>577</v>
      </c>
      <c r="J123" s="23" t="s">
        <v>925</v>
      </c>
      <c r="K123" s="23" t="s">
        <v>589</v>
      </c>
      <c r="L123" s="23" t="s">
        <v>590</v>
      </c>
      <c r="M123" s="23"/>
      <c r="N123" s="23"/>
      <c r="O123" s="23"/>
      <c r="P123" s="23"/>
      <c r="Q123" s="23"/>
      <c r="R123" s="23"/>
      <c r="S123" s="23"/>
      <c r="T123" s="23"/>
      <c r="U123" s="23"/>
      <c r="V123" s="23"/>
      <c r="W123" s="23"/>
      <c r="X123" s="4"/>
    </row>
    <row r="124" spans="1:24" ht="38.25" x14ac:dyDescent="0.25">
      <c r="A124" s="21" t="s">
        <v>926</v>
      </c>
      <c r="B124" s="21" t="str">
        <f t="shared" si="2"/>
        <v>84283930</v>
      </c>
      <c r="C124" s="21" t="str">
        <f>Tabela5[[#This Row],[Cod. Ncm]]&amp;"-"&amp;Tabela5[[#This Row],[Operações]]</f>
        <v>84283930-Internas e interestaduais</v>
      </c>
      <c r="D124" s="22" t="s">
        <v>586</v>
      </c>
      <c r="E124" s="22" t="s">
        <v>587</v>
      </c>
      <c r="F124" s="22">
        <v>8.8000000000000007</v>
      </c>
      <c r="G124" s="22" t="s">
        <v>927</v>
      </c>
      <c r="H124" s="22" t="s">
        <v>588</v>
      </c>
      <c r="I124" s="23" t="s">
        <v>577</v>
      </c>
      <c r="J124" s="23" t="s">
        <v>928</v>
      </c>
      <c r="K124" s="23" t="s">
        <v>589</v>
      </c>
      <c r="L124" s="23" t="s">
        <v>590</v>
      </c>
      <c r="M124" s="23"/>
      <c r="N124" s="23"/>
      <c r="O124" s="23"/>
      <c r="P124" s="23"/>
      <c r="Q124" s="23"/>
      <c r="R124" s="23"/>
      <c r="S124" s="23"/>
      <c r="T124" s="23"/>
      <c r="U124" s="23"/>
      <c r="V124" s="23"/>
      <c r="W124" s="23"/>
      <c r="X124" s="4"/>
    </row>
    <row r="125" spans="1:24" ht="26.25" x14ac:dyDescent="0.25">
      <c r="A125" s="21" t="s">
        <v>929</v>
      </c>
      <c r="B125" s="21" t="str">
        <f t="shared" si="2"/>
        <v>84283990</v>
      </c>
      <c r="C125" s="21" t="str">
        <f>Tabela5[[#This Row],[Cod. Ncm]]&amp;"-"&amp;Tabela5[[#This Row],[Operações]]</f>
        <v>84283990-Internas e interestaduais</v>
      </c>
      <c r="D125" s="22" t="s">
        <v>586</v>
      </c>
      <c r="E125" s="22" t="s">
        <v>587</v>
      </c>
      <c r="F125" s="22">
        <v>8.8000000000000007</v>
      </c>
      <c r="G125" s="22" t="s">
        <v>930</v>
      </c>
      <c r="H125" s="22" t="s">
        <v>588</v>
      </c>
      <c r="I125" s="23" t="s">
        <v>577</v>
      </c>
      <c r="J125" s="23" t="s">
        <v>931</v>
      </c>
      <c r="K125" s="23" t="s">
        <v>589</v>
      </c>
      <c r="L125" s="23" t="s">
        <v>590</v>
      </c>
      <c r="M125" s="23"/>
      <c r="N125" s="23"/>
      <c r="O125" s="23"/>
      <c r="P125" s="23"/>
      <c r="Q125" s="23"/>
      <c r="R125" s="23"/>
      <c r="S125" s="23"/>
      <c r="T125" s="23"/>
      <c r="U125" s="23"/>
      <c r="V125" s="23"/>
      <c r="W125" s="23"/>
      <c r="X125" s="4"/>
    </row>
    <row r="126" spans="1:24" ht="39" x14ac:dyDescent="0.25">
      <c r="A126" s="21" t="s">
        <v>932</v>
      </c>
      <c r="B126" s="21" t="str">
        <f t="shared" si="2"/>
        <v>84314100</v>
      </c>
      <c r="C126" s="21" t="str">
        <f>Tabela5[[#This Row],[Cod. Ncm]]&amp;"-"&amp;Tabela5[[#This Row],[Operações]]</f>
        <v>84314100-Internas</v>
      </c>
      <c r="D126" s="22" t="s">
        <v>579</v>
      </c>
      <c r="E126" s="22" t="s">
        <v>593</v>
      </c>
      <c r="F126" s="22">
        <v>7</v>
      </c>
      <c r="G126" s="22" t="s">
        <v>933</v>
      </c>
      <c r="H126" s="22" t="s">
        <v>616</v>
      </c>
      <c r="I126" s="23" t="s">
        <v>934</v>
      </c>
      <c r="J126" s="23" t="s">
        <v>577</v>
      </c>
      <c r="K126" s="23" t="s">
        <v>591</v>
      </c>
      <c r="L126" s="23" t="s">
        <v>592</v>
      </c>
      <c r="M126" s="23" t="s">
        <v>583</v>
      </c>
      <c r="N126" s="23"/>
      <c r="O126" s="23"/>
      <c r="P126" s="23"/>
      <c r="Q126" s="23"/>
      <c r="R126" s="23"/>
      <c r="S126" s="23"/>
      <c r="T126" s="23"/>
      <c r="U126" s="23"/>
      <c r="V126" s="23"/>
      <c r="W126" s="23"/>
      <c r="X126" s="4"/>
    </row>
    <row r="127" spans="1:24" ht="39" x14ac:dyDescent="0.25">
      <c r="A127" s="21" t="s">
        <v>935</v>
      </c>
      <c r="B127" s="21" t="str">
        <f t="shared" si="2"/>
        <v>84314929</v>
      </c>
      <c r="C127" s="21" t="str">
        <f>Tabela5[[#This Row],[Cod. Ncm]]&amp;"-"&amp;Tabela5[[#This Row],[Operações]]</f>
        <v>84314929-Internas</v>
      </c>
      <c r="D127" s="22" t="s">
        <v>579</v>
      </c>
      <c r="E127" s="22" t="s">
        <v>593</v>
      </c>
      <c r="F127" s="22">
        <v>7</v>
      </c>
      <c r="G127" s="22" t="s">
        <v>936</v>
      </c>
      <c r="H127" s="22" t="s">
        <v>616</v>
      </c>
      <c r="I127" s="23" t="s">
        <v>937</v>
      </c>
      <c r="J127" s="23" t="s">
        <v>577</v>
      </c>
      <c r="K127" s="23" t="s">
        <v>591</v>
      </c>
      <c r="L127" s="23" t="s">
        <v>592</v>
      </c>
      <c r="M127" s="23" t="s">
        <v>583</v>
      </c>
      <c r="N127" s="23"/>
      <c r="O127" s="23"/>
      <c r="P127" s="23"/>
      <c r="Q127" s="23"/>
      <c r="R127" s="23"/>
      <c r="S127" s="23"/>
      <c r="T127" s="23"/>
      <c r="U127" s="23"/>
      <c r="V127" s="23"/>
      <c r="W127" s="23"/>
      <c r="X127" s="4"/>
    </row>
    <row r="128" spans="1:24" ht="26.25" x14ac:dyDescent="0.25">
      <c r="A128" s="21" t="s">
        <v>938</v>
      </c>
      <c r="B128" s="21" t="str">
        <f t="shared" si="2"/>
        <v>84342010</v>
      </c>
      <c r="C128" s="21" t="str">
        <f>Tabela5[[#This Row],[Cod. Ncm]]&amp;"-"&amp;Tabela5[[#This Row],[Operações]]</f>
        <v>84342010-Internas e interestaduais</v>
      </c>
      <c r="D128" s="22" t="s">
        <v>586</v>
      </c>
      <c r="E128" s="22" t="s">
        <v>587</v>
      </c>
      <c r="F128" s="22">
        <v>8.8000000000000007</v>
      </c>
      <c r="G128" s="22" t="s">
        <v>939</v>
      </c>
      <c r="H128" s="22" t="s">
        <v>588</v>
      </c>
      <c r="I128" s="23" t="s">
        <v>577</v>
      </c>
      <c r="J128" s="23" t="s">
        <v>940</v>
      </c>
      <c r="K128" s="23" t="s">
        <v>589</v>
      </c>
      <c r="L128" s="23" t="s">
        <v>590</v>
      </c>
      <c r="M128" s="23"/>
      <c r="N128" s="23"/>
      <c r="O128" s="23"/>
      <c r="P128" s="23"/>
      <c r="Q128" s="23"/>
      <c r="R128" s="23"/>
      <c r="S128" s="23"/>
      <c r="T128" s="23"/>
      <c r="U128" s="23"/>
      <c r="V128" s="23"/>
      <c r="W128" s="23"/>
      <c r="X128" s="4"/>
    </row>
    <row r="129" spans="1:24" ht="26.25" x14ac:dyDescent="0.25">
      <c r="A129" s="21" t="s">
        <v>941</v>
      </c>
      <c r="B129" s="21" t="str">
        <f t="shared" si="2"/>
        <v>84342090</v>
      </c>
      <c r="C129" s="21" t="str">
        <f>Tabela5[[#This Row],[Cod. Ncm]]&amp;"-"&amp;Tabela5[[#This Row],[Operações]]</f>
        <v>84342090-Internas e interestaduais</v>
      </c>
      <c r="D129" s="22" t="s">
        <v>586</v>
      </c>
      <c r="E129" s="22" t="s">
        <v>587</v>
      </c>
      <c r="F129" s="22">
        <v>8.8000000000000007</v>
      </c>
      <c r="G129" s="22" t="s">
        <v>942</v>
      </c>
      <c r="H129" s="22" t="s">
        <v>588</v>
      </c>
      <c r="I129" s="23" t="s">
        <v>577</v>
      </c>
      <c r="J129" s="23" t="s">
        <v>943</v>
      </c>
      <c r="K129" s="23" t="s">
        <v>589</v>
      </c>
      <c r="L129" s="23" t="s">
        <v>590</v>
      </c>
      <c r="M129" s="23"/>
      <c r="N129" s="23"/>
      <c r="O129" s="23"/>
      <c r="P129" s="23"/>
      <c r="Q129" s="23"/>
      <c r="R129" s="23"/>
      <c r="S129" s="23"/>
      <c r="T129" s="23"/>
      <c r="U129" s="23"/>
      <c r="V129" s="23"/>
      <c r="W129" s="23"/>
      <c r="X129" s="4"/>
    </row>
    <row r="130" spans="1:24" ht="26.25" x14ac:dyDescent="0.25">
      <c r="A130" s="21" t="s">
        <v>945</v>
      </c>
      <c r="B130" s="21" t="str">
        <f>RIGHT(A130,8)</f>
        <v>84371000</v>
      </c>
      <c r="C130" s="21" t="str">
        <f>Tabela5[[#This Row],[Cod. Ncm]]&amp;"-"&amp;Tabela5[[#This Row],[Operações]]</f>
        <v>84371000-Internas e interestaduais</v>
      </c>
      <c r="D130" s="22" t="s">
        <v>586</v>
      </c>
      <c r="E130" s="22" t="s">
        <v>587</v>
      </c>
      <c r="F130" s="22">
        <v>8.8000000000000007</v>
      </c>
      <c r="G130" s="22" t="s">
        <v>946</v>
      </c>
      <c r="H130" s="22" t="s">
        <v>588</v>
      </c>
      <c r="I130" s="23" t="s">
        <v>577</v>
      </c>
      <c r="J130" s="23" t="s">
        <v>947</v>
      </c>
      <c r="K130" s="23" t="s">
        <v>589</v>
      </c>
      <c r="L130" s="23" t="s">
        <v>590</v>
      </c>
      <c r="M130" s="23"/>
      <c r="N130" s="23"/>
      <c r="O130" s="23"/>
      <c r="P130" s="23"/>
      <c r="Q130" s="23"/>
      <c r="R130" s="23"/>
      <c r="S130" s="23"/>
      <c r="T130" s="23"/>
      <c r="U130" s="23"/>
      <c r="V130" s="23"/>
      <c r="W130" s="23"/>
      <c r="X130" s="4"/>
    </row>
    <row r="131" spans="1:24" ht="26.25" x14ac:dyDescent="0.25">
      <c r="A131" s="21" t="s">
        <v>948</v>
      </c>
      <c r="B131" s="21" t="str">
        <f>RIGHT(A131,8)</f>
        <v>84378010</v>
      </c>
      <c r="C131" s="21" t="str">
        <f>Tabela5[[#This Row],[Cod. Ncm]]&amp;"-"&amp;Tabela5[[#This Row],[Operações]]</f>
        <v>84378010-Internas e interestaduais</v>
      </c>
      <c r="D131" s="22" t="s">
        <v>586</v>
      </c>
      <c r="E131" s="22" t="s">
        <v>587</v>
      </c>
      <c r="F131" s="22">
        <v>8.8000000000000007</v>
      </c>
      <c r="G131" s="22" t="s">
        <v>949</v>
      </c>
      <c r="H131" s="22" t="s">
        <v>588</v>
      </c>
      <c r="I131" s="23" t="s">
        <v>577</v>
      </c>
      <c r="J131" s="23" t="s">
        <v>950</v>
      </c>
      <c r="K131" s="23" t="s">
        <v>589</v>
      </c>
      <c r="L131" s="23" t="s">
        <v>590</v>
      </c>
      <c r="M131" s="23"/>
      <c r="N131" s="23"/>
      <c r="O131" s="23"/>
      <c r="P131" s="23"/>
      <c r="Q131" s="23"/>
      <c r="R131" s="23"/>
      <c r="S131" s="23"/>
      <c r="T131" s="23"/>
      <c r="U131" s="23"/>
      <c r="V131" s="23"/>
      <c r="W131" s="23"/>
      <c r="X131" s="4"/>
    </row>
    <row r="132" spans="1:24" ht="26.25" x14ac:dyDescent="0.25">
      <c r="A132" s="21" t="s">
        <v>951</v>
      </c>
      <c r="B132" s="21" t="str">
        <f>RIGHT(A132,8)</f>
        <v>84378090</v>
      </c>
      <c r="C132" s="21" t="str">
        <f>Tabela5[[#This Row],[Cod. Ncm]]&amp;"-"&amp;Tabela5[[#This Row],[Operações]]</f>
        <v>84378090-Internas e interestaduais</v>
      </c>
      <c r="D132" s="22" t="s">
        <v>586</v>
      </c>
      <c r="E132" s="22" t="s">
        <v>587</v>
      </c>
      <c r="F132" s="22">
        <v>8.8000000000000007</v>
      </c>
      <c r="G132" s="22" t="s">
        <v>952</v>
      </c>
      <c r="H132" s="22" t="s">
        <v>588</v>
      </c>
      <c r="I132" s="23" t="s">
        <v>577</v>
      </c>
      <c r="J132" s="23" t="s">
        <v>953</v>
      </c>
      <c r="K132" s="23" t="s">
        <v>589</v>
      </c>
      <c r="L132" s="23" t="s">
        <v>590</v>
      </c>
      <c r="M132" s="23"/>
      <c r="N132" s="23"/>
      <c r="O132" s="23"/>
      <c r="P132" s="23"/>
      <c r="Q132" s="23"/>
      <c r="R132" s="23"/>
      <c r="S132" s="23"/>
      <c r="T132" s="23"/>
      <c r="U132" s="23"/>
      <c r="V132" s="23"/>
      <c r="W132" s="23"/>
      <c r="X132" s="4"/>
    </row>
    <row r="133" spans="1:24" ht="38.25" x14ac:dyDescent="0.25">
      <c r="A133" s="21" t="s">
        <v>954</v>
      </c>
      <c r="B133" s="21" t="str">
        <f>RIGHT(A133,8)</f>
        <v>84381000</v>
      </c>
      <c r="C133" s="21" t="str">
        <f>Tabela5[[#This Row],[Cod. Ncm]]&amp;"-"&amp;Tabela5[[#This Row],[Operações]]</f>
        <v>84381000-Internas e interestaduais</v>
      </c>
      <c r="D133" s="22" t="s">
        <v>586</v>
      </c>
      <c r="E133" s="22" t="s">
        <v>587</v>
      </c>
      <c r="F133" s="22">
        <v>8.8000000000000007</v>
      </c>
      <c r="G133" s="22" t="s">
        <v>955</v>
      </c>
      <c r="H133" s="22" t="s">
        <v>588</v>
      </c>
      <c r="I133" s="23" t="s">
        <v>577</v>
      </c>
      <c r="J133" s="23" t="s">
        <v>956</v>
      </c>
      <c r="K133" s="23" t="s">
        <v>589</v>
      </c>
      <c r="L133" s="23" t="s">
        <v>590</v>
      </c>
      <c r="M133" s="23"/>
      <c r="N133" s="23"/>
      <c r="O133" s="23"/>
      <c r="P133" s="23"/>
      <c r="Q133" s="23"/>
      <c r="R133" s="23"/>
      <c r="S133" s="23"/>
      <c r="T133" s="23"/>
      <c r="U133" s="23"/>
      <c r="V133" s="23"/>
      <c r="W133" s="23"/>
      <c r="X133" s="4"/>
    </row>
    <row r="134" spans="1:24" ht="38.25" x14ac:dyDescent="0.25">
      <c r="A134" s="21" t="s">
        <v>957</v>
      </c>
      <c r="B134" s="21" t="str">
        <f>RIGHT(A134,8)</f>
        <v>84382011</v>
      </c>
      <c r="C134" s="21" t="str">
        <f>Tabela5[[#This Row],[Cod. Ncm]]&amp;"-"&amp;Tabela5[[#This Row],[Operações]]</f>
        <v>84382011-Internas e interestaduais</v>
      </c>
      <c r="D134" s="22" t="s">
        <v>586</v>
      </c>
      <c r="E134" s="22" t="s">
        <v>587</v>
      </c>
      <c r="F134" s="22">
        <v>8.8000000000000007</v>
      </c>
      <c r="G134" s="22" t="s">
        <v>958</v>
      </c>
      <c r="H134" s="22" t="s">
        <v>588</v>
      </c>
      <c r="I134" s="23" t="s">
        <v>577</v>
      </c>
      <c r="J134" s="23" t="s">
        <v>959</v>
      </c>
      <c r="K134" s="23" t="s">
        <v>589</v>
      </c>
      <c r="L134" s="23" t="s">
        <v>590</v>
      </c>
      <c r="M134" s="23"/>
      <c r="N134" s="23"/>
      <c r="O134" s="23"/>
      <c r="P134" s="23"/>
      <c r="Q134" s="23"/>
      <c r="R134" s="23"/>
      <c r="S134" s="23"/>
      <c r="T134" s="23"/>
      <c r="U134" s="23"/>
      <c r="V134" s="23"/>
      <c r="W134" s="23"/>
      <c r="X134" s="4"/>
    </row>
    <row r="135" spans="1:24" x14ac:dyDescent="0.25">
      <c r="A135" s="21" t="s">
        <v>203</v>
      </c>
      <c r="B135" s="21" t="str">
        <f t="shared" ref="B135:B198" si="3">RIGHT(A135,8)</f>
        <v>07133399</v>
      </c>
      <c r="C135" s="21" t="str">
        <f>Tabela5[[#This Row],[Cod. Ncm]]&amp;"-"&amp;Tabela5[[#This Row],[Operações]]</f>
        <v>07133399-Internas</v>
      </c>
      <c r="D135" s="22" t="s">
        <v>579</v>
      </c>
      <c r="E135" s="22"/>
      <c r="F135" s="22">
        <v>7</v>
      </c>
      <c r="G135" s="22" t="s">
        <v>2411</v>
      </c>
      <c r="H135" s="22"/>
      <c r="I135" s="23"/>
      <c r="J135" s="23"/>
      <c r="K135" s="23"/>
      <c r="L135" s="23"/>
      <c r="M135" s="23"/>
      <c r="N135" s="23"/>
      <c r="O135" s="23"/>
      <c r="P135" s="23"/>
      <c r="Q135" s="23"/>
      <c r="R135" s="23"/>
      <c r="S135" s="23"/>
      <c r="T135" s="23"/>
      <c r="U135" s="23"/>
      <c r="V135" s="23"/>
      <c r="W135" s="23"/>
      <c r="X135" s="4"/>
    </row>
    <row r="136" spans="1:24" ht="26.25" x14ac:dyDescent="0.25">
      <c r="A136" s="21" t="s">
        <v>408</v>
      </c>
      <c r="B136" s="21" t="str">
        <f t="shared" si="3"/>
        <v>84382090</v>
      </c>
      <c r="C136" s="21" t="str">
        <f>Tabela5[[#This Row],[Cod. Ncm]]&amp;"-"&amp;Tabela5[[#This Row],[Operações]]</f>
        <v>84382090-Internas e interestaduais</v>
      </c>
      <c r="D136" s="22" t="s">
        <v>586</v>
      </c>
      <c r="E136" s="22" t="s">
        <v>587</v>
      </c>
      <c r="F136" s="22">
        <v>8.8000000000000007</v>
      </c>
      <c r="G136" s="22" t="s">
        <v>963</v>
      </c>
      <c r="H136" s="22" t="s">
        <v>588</v>
      </c>
      <c r="I136" s="23" t="s">
        <v>577</v>
      </c>
      <c r="J136" s="23" t="s">
        <v>964</v>
      </c>
      <c r="K136" s="23" t="s">
        <v>589</v>
      </c>
      <c r="L136" s="23" t="s">
        <v>590</v>
      </c>
      <c r="M136" s="23"/>
      <c r="N136" s="23"/>
      <c r="O136" s="23"/>
      <c r="P136" s="23"/>
      <c r="Q136" s="23"/>
      <c r="R136" s="23"/>
      <c r="S136" s="23"/>
      <c r="T136" s="23"/>
      <c r="U136" s="23"/>
      <c r="V136" s="23"/>
      <c r="W136" s="23"/>
      <c r="X136" s="4"/>
    </row>
    <row r="137" spans="1:24" ht="26.25" x14ac:dyDescent="0.25">
      <c r="A137" s="21" t="s">
        <v>965</v>
      </c>
      <c r="B137" s="21" t="str">
        <f t="shared" si="3"/>
        <v>84384000</v>
      </c>
      <c r="C137" s="21" t="str">
        <f>Tabela5[[#This Row],[Cod. Ncm]]&amp;"-"&amp;Tabela5[[#This Row],[Operações]]</f>
        <v>84384000-Internas e interestaduais</v>
      </c>
      <c r="D137" s="22" t="s">
        <v>586</v>
      </c>
      <c r="E137" s="22" t="s">
        <v>587</v>
      </c>
      <c r="F137" s="22">
        <v>8.8000000000000007</v>
      </c>
      <c r="G137" s="22" t="s">
        <v>966</v>
      </c>
      <c r="H137" s="22" t="s">
        <v>588</v>
      </c>
      <c r="I137" s="23" t="s">
        <v>577</v>
      </c>
      <c r="J137" s="23" t="s">
        <v>967</v>
      </c>
      <c r="K137" s="23" t="s">
        <v>589</v>
      </c>
      <c r="L137" s="23" t="s">
        <v>590</v>
      </c>
      <c r="M137" s="23"/>
      <c r="N137" s="23"/>
      <c r="O137" s="23"/>
      <c r="P137" s="23"/>
      <c r="Q137" s="23"/>
      <c r="R137" s="23"/>
      <c r="S137" s="23"/>
      <c r="T137" s="23"/>
      <c r="U137" s="23"/>
      <c r="V137" s="23"/>
      <c r="W137" s="23"/>
      <c r="X137" s="4"/>
    </row>
    <row r="138" spans="1:24" ht="26.25" x14ac:dyDescent="0.25">
      <c r="A138" s="21" t="s">
        <v>968</v>
      </c>
      <c r="B138" s="21" t="str">
        <f t="shared" si="3"/>
        <v>84385000</v>
      </c>
      <c r="C138" s="21" t="str">
        <f>Tabela5[[#This Row],[Cod. Ncm]]&amp;"-"&amp;Tabela5[[#This Row],[Operações]]</f>
        <v>84385000-Internas e interestaduais</v>
      </c>
      <c r="D138" s="22" t="s">
        <v>586</v>
      </c>
      <c r="E138" s="22" t="s">
        <v>587</v>
      </c>
      <c r="F138" s="22">
        <v>8.8000000000000007</v>
      </c>
      <c r="G138" s="22" t="s">
        <v>969</v>
      </c>
      <c r="H138" s="22" t="s">
        <v>588</v>
      </c>
      <c r="I138" s="23" t="s">
        <v>577</v>
      </c>
      <c r="J138" s="23" t="s">
        <v>970</v>
      </c>
      <c r="K138" s="23" t="s">
        <v>589</v>
      </c>
      <c r="L138" s="23" t="s">
        <v>590</v>
      </c>
      <c r="M138" s="23"/>
      <c r="N138" s="23"/>
      <c r="O138" s="23"/>
      <c r="P138" s="23"/>
      <c r="Q138" s="23"/>
      <c r="R138" s="23"/>
      <c r="S138" s="23"/>
      <c r="T138" s="23"/>
      <c r="U138" s="23"/>
      <c r="V138" s="23"/>
      <c r="W138" s="23"/>
      <c r="X138" s="4"/>
    </row>
    <row r="139" spans="1:24" ht="26.25" x14ac:dyDescent="0.25">
      <c r="A139" s="21" t="s">
        <v>971</v>
      </c>
      <c r="B139" s="21" t="str">
        <f t="shared" si="3"/>
        <v>84386000</v>
      </c>
      <c r="C139" s="21" t="str">
        <f>Tabela5[[#This Row],[Cod. Ncm]]&amp;"-"&amp;Tabela5[[#This Row],[Operações]]</f>
        <v>84386000-Internas e interestaduais</v>
      </c>
      <c r="D139" s="22" t="s">
        <v>586</v>
      </c>
      <c r="E139" s="22" t="s">
        <v>587</v>
      </c>
      <c r="F139" s="22">
        <v>8.8000000000000007</v>
      </c>
      <c r="G139" s="22" t="s">
        <v>972</v>
      </c>
      <c r="H139" s="22" t="s">
        <v>588</v>
      </c>
      <c r="I139" s="23" t="s">
        <v>577</v>
      </c>
      <c r="J139" s="23" t="s">
        <v>973</v>
      </c>
      <c r="K139" s="23" t="s">
        <v>589</v>
      </c>
      <c r="L139" s="23" t="s">
        <v>590</v>
      </c>
      <c r="M139" s="23"/>
      <c r="N139" s="23"/>
      <c r="O139" s="23"/>
      <c r="P139" s="23"/>
      <c r="Q139" s="23"/>
      <c r="R139" s="23"/>
      <c r="S139" s="23"/>
      <c r="T139" s="23"/>
      <c r="U139" s="23"/>
      <c r="V139" s="23"/>
      <c r="W139" s="23"/>
      <c r="X139" s="4"/>
    </row>
    <row r="140" spans="1:24" ht="26.25" x14ac:dyDescent="0.25">
      <c r="A140" s="21" t="s">
        <v>974</v>
      </c>
      <c r="B140" s="21" t="str">
        <f t="shared" si="3"/>
        <v>84388020</v>
      </c>
      <c r="C140" s="21" t="str">
        <f>Tabela5[[#This Row],[Cod. Ncm]]&amp;"-"&amp;Tabela5[[#This Row],[Operações]]</f>
        <v>84388020-Internas e interestaduais</v>
      </c>
      <c r="D140" s="22" t="s">
        <v>586</v>
      </c>
      <c r="E140" s="22" t="s">
        <v>587</v>
      </c>
      <c r="F140" s="22">
        <v>8.8000000000000007</v>
      </c>
      <c r="G140" s="22" t="s">
        <v>975</v>
      </c>
      <c r="H140" s="22" t="s">
        <v>588</v>
      </c>
      <c r="I140" s="23" t="s">
        <v>577</v>
      </c>
      <c r="J140" s="23" t="s">
        <v>976</v>
      </c>
      <c r="K140" s="23" t="s">
        <v>589</v>
      </c>
      <c r="L140" s="23" t="s">
        <v>590</v>
      </c>
      <c r="M140" s="23"/>
      <c r="N140" s="23"/>
      <c r="O140" s="23"/>
      <c r="P140" s="23"/>
      <c r="Q140" s="23"/>
      <c r="R140" s="23"/>
      <c r="S140" s="23"/>
      <c r="T140" s="23"/>
      <c r="U140" s="23"/>
      <c r="V140" s="23"/>
      <c r="W140" s="23"/>
      <c r="X140" s="4"/>
    </row>
    <row r="141" spans="1:24" ht="26.25" x14ac:dyDescent="0.25">
      <c r="A141" s="21" t="s">
        <v>977</v>
      </c>
      <c r="B141" s="21" t="str">
        <f t="shared" si="3"/>
        <v>84388090</v>
      </c>
      <c r="C141" s="21" t="str">
        <f>Tabela5[[#This Row],[Cod. Ncm]]&amp;"-"&amp;Tabela5[[#This Row],[Operações]]</f>
        <v>84388090-Internas e interestaduais</v>
      </c>
      <c r="D141" s="22" t="s">
        <v>586</v>
      </c>
      <c r="E141" s="22" t="s">
        <v>587</v>
      </c>
      <c r="F141" s="22">
        <v>8.8000000000000007</v>
      </c>
      <c r="G141" s="22" t="s">
        <v>975</v>
      </c>
      <c r="H141" s="22" t="s">
        <v>588</v>
      </c>
      <c r="I141" s="23" t="s">
        <v>577</v>
      </c>
      <c r="J141" s="23" t="s">
        <v>976</v>
      </c>
      <c r="K141" s="23" t="s">
        <v>589</v>
      </c>
      <c r="L141" s="23" t="s">
        <v>590</v>
      </c>
      <c r="M141" s="23"/>
      <c r="N141" s="23"/>
      <c r="O141" s="23"/>
      <c r="P141" s="23"/>
      <c r="Q141" s="23"/>
      <c r="R141" s="23"/>
      <c r="S141" s="23"/>
      <c r="T141" s="23"/>
      <c r="U141" s="23"/>
      <c r="V141" s="23"/>
      <c r="W141" s="23"/>
      <c r="X141" s="4"/>
    </row>
    <row r="142" spans="1:24" ht="38.25" x14ac:dyDescent="0.25">
      <c r="A142" s="21" t="s">
        <v>978</v>
      </c>
      <c r="B142" s="21" t="str">
        <f t="shared" si="3"/>
        <v>84391010</v>
      </c>
      <c r="C142" s="21" t="str">
        <f>Tabela5[[#This Row],[Cod. Ncm]]&amp;"-"&amp;Tabela5[[#This Row],[Operações]]</f>
        <v>84391010-Internas e interestaduais</v>
      </c>
      <c r="D142" s="22" t="s">
        <v>586</v>
      </c>
      <c r="E142" s="22" t="s">
        <v>587</v>
      </c>
      <c r="F142" s="22">
        <v>8.8000000000000007</v>
      </c>
      <c r="G142" s="22" t="s">
        <v>979</v>
      </c>
      <c r="H142" s="22" t="s">
        <v>588</v>
      </c>
      <c r="I142" s="23" t="s">
        <v>577</v>
      </c>
      <c r="J142" s="23" t="s">
        <v>980</v>
      </c>
      <c r="K142" s="23" t="s">
        <v>589</v>
      </c>
      <c r="L142" s="23" t="s">
        <v>590</v>
      </c>
      <c r="M142" s="23"/>
      <c r="N142" s="23"/>
      <c r="O142" s="23"/>
      <c r="P142" s="23"/>
      <c r="Q142" s="23"/>
      <c r="R142" s="23"/>
      <c r="S142" s="23"/>
      <c r="T142" s="23"/>
      <c r="U142" s="23"/>
      <c r="V142" s="23"/>
      <c r="W142" s="23"/>
      <c r="X142" s="4"/>
    </row>
    <row r="143" spans="1:24" ht="26.25" x14ac:dyDescent="0.25">
      <c r="A143" s="21" t="s">
        <v>981</v>
      </c>
      <c r="B143" s="21" t="str">
        <f t="shared" si="3"/>
        <v>84391020</v>
      </c>
      <c r="C143" s="21" t="str">
        <f>Tabela5[[#This Row],[Cod. Ncm]]&amp;"-"&amp;Tabela5[[#This Row],[Operações]]</f>
        <v>84391020-Internas e interestaduais</v>
      </c>
      <c r="D143" s="22" t="s">
        <v>586</v>
      </c>
      <c r="E143" s="22" t="s">
        <v>587</v>
      </c>
      <c r="F143" s="22">
        <v>8.8000000000000007</v>
      </c>
      <c r="G143" s="22" t="s">
        <v>982</v>
      </c>
      <c r="H143" s="22" t="s">
        <v>588</v>
      </c>
      <c r="I143" s="23" t="s">
        <v>577</v>
      </c>
      <c r="J143" s="23" t="s">
        <v>983</v>
      </c>
      <c r="K143" s="23" t="s">
        <v>589</v>
      </c>
      <c r="L143" s="23" t="s">
        <v>590</v>
      </c>
      <c r="M143" s="23"/>
      <c r="N143" s="23"/>
      <c r="O143" s="23"/>
      <c r="P143" s="23"/>
      <c r="Q143" s="23"/>
      <c r="R143" s="23"/>
      <c r="S143" s="23"/>
      <c r="T143" s="23"/>
      <c r="U143" s="23"/>
      <c r="V143" s="23"/>
      <c r="W143" s="23"/>
      <c r="X143" s="4"/>
    </row>
    <row r="144" spans="1:24" ht="26.25" x14ac:dyDescent="0.25">
      <c r="A144" s="21" t="s">
        <v>984</v>
      </c>
      <c r="B144" s="21" t="str">
        <f t="shared" si="3"/>
        <v>84391030</v>
      </c>
      <c r="C144" s="21" t="str">
        <f>Tabela5[[#This Row],[Cod. Ncm]]&amp;"-"&amp;Tabela5[[#This Row],[Operações]]</f>
        <v>84391030-Internas e interestaduais</v>
      </c>
      <c r="D144" s="22" t="s">
        <v>586</v>
      </c>
      <c r="E144" s="22" t="s">
        <v>587</v>
      </c>
      <c r="F144" s="22">
        <v>8.8000000000000007</v>
      </c>
      <c r="G144" s="22" t="s">
        <v>985</v>
      </c>
      <c r="H144" s="22" t="s">
        <v>588</v>
      </c>
      <c r="I144" s="23" t="s">
        <v>577</v>
      </c>
      <c r="J144" s="23" t="s">
        <v>986</v>
      </c>
      <c r="K144" s="23" t="s">
        <v>589</v>
      </c>
      <c r="L144" s="23" t="s">
        <v>590</v>
      </c>
      <c r="M144" s="23"/>
      <c r="N144" s="23"/>
      <c r="O144" s="23"/>
      <c r="P144" s="23"/>
      <c r="Q144" s="23"/>
      <c r="R144" s="23"/>
      <c r="S144" s="23"/>
      <c r="T144" s="23"/>
      <c r="U144" s="23"/>
      <c r="V144" s="23"/>
      <c r="W144" s="23"/>
      <c r="X144" s="4"/>
    </row>
    <row r="145" spans="1:24" ht="26.25" x14ac:dyDescent="0.25">
      <c r="A145" s="21" t="s">
        <v>987</v>
      </c>
      <c r="B145" s="21" t="str">
        <f t="shared" si="3"/>
        <v>84391090</v>
      </c>
      <c r="C145" s="21" t="str">
        <f>Tabela5[[#This Row],[Cod. Ncm]]&amp;"-"&amp;Tabela5[[#This Row],[Operações]]</f>
        <v>84391090-Internas e interestaduais</v>
      </c>
      <c r="D145" s="22" t="s">
        <v>586</v>
      </c>
      <c r="E145" s="22" t="s">
        <v>587</v>
      </c>
      <c r="F145" s="22">
        <v>8.8000000000000007</v>
      </c>
      <c r="G145" s="22" t="s">
        <v>988</v>
      </c>
      <c r="H145" s="22" t="s">
        <v>588</v>
      </c>
      <c r="I145" s="23" t="s">
        <v>577</v>
      </c>
      <c r="J145" s="23" t="s">
        <v>989</v>
      </c>
      <c r="K145" s="23" t="s">
        <v>589</v>
      </c>
      <c r="L145" s="23" t="s">
        <v>590</v>
      </c>
      <c r="M145" s="23"/>
      <c r="N145" s="23"/>
      <c r="O145" s="23"/>
      <c r="P145" s="23"/>
      <c r="Q145" s="23"/>
      <c r="R145" s="23"/>
      <c r="S145" s="23"/>
      <c r="T145" s="23"/>
      <c r="U145" s="23"/>
      <c r="V145" s="23"/>
      <c r="W145" s="23"/>
      <c r="X145" s="4"/>
    </row>
    <row r="146" spans="1:24" ht="26.25" x14ac:dyDescent="0.25">
      <c r="A146" s="21" t="s">
        <v>990</v>
      </c>
      <c r="B146" s="21" t="str">
        <f t="shared" si="3"/>
        <v>84392000</v>
      </c>
      <c r="C146" s="21" t="str">
        <f>Tabela5[[#This Row],[Cod. Ncm]]&amp;"-"&amp;Tabela5[[#This Row],[Operações]]</f>
        <v>84392000-Internas e interestaduais</v>
      </c>
      <c r="D146" s="22" t="s">
        <v>586</v>
      </c>
      <c r="E146" s="22" t="s">
        <v>587</v>
      </c>
      <c r="F146" s="22">
        <v>8.8000000000000007</v>
      </c>
      <c r="G146" s="22" t="s">
        <v>991</v>
      </c>
      <c r="H146" s="22" t="s">
        <v>588</v>
      </c>
      <c r="I146" s="23" t="s">
        <v>577</v>
      </c>
      <c r="J146" s="23" t="s">
        <v>992</v>
      </c>
      <c r="K146" s="23" t="s">
        <v>589</v>
      </c>
      <c r="L146" s="23" t="s">
        <v>590</v>
      </c>
      <c r="M146" s="23"/>
      <c r="N146" s="23"/>
      <c r="O146" s="23"/>
      <c r="P146" s="23"/>
      <c r="Q146" s="23"/>
      <c r="R146" s="23"/>
      <c r="S146" s="23"/>
      <c r="T146" s="23"/>
      <c r="U146" s="23"/>
      <c r="V146" s="23"/>
      <c r="W146" s="23"/>
      <c r="X146" s="4"/>
    </row>
    <row r="147" spans="1:24" ht="26.25" x14ac:dyDescent="0.25">
      <c r="A147" s="21" t="s">
        <v>993</v>
      </c>
      <c r="B147" s="21" t="str">
        <f t="shared" si="3"/>
        <v>84393010</v>
      </c>
      <c r="C147" s="21" t="str">
        <f>Tabela5[[#This Row],[Cod. Ncm]]&amp;"-"&amp;Tabela5[[#This Row],[Operações]]</f>
        <v>84393010-Internas e interestaduais</v>
      </c>
      <c r="D147" s="22" t="s">
        <v>586</v>
      </c>
      <c r="E147" s="22" t="s">
        <v>587</v>
      </c>
      <c r="F147" s="22">
        <v>8.8000000000000007</v>
      </c>
      <c r="G147" s="22" t="s">
        <v>994</v>
      </c>
      <c r="H147" s="22" t="s">
        <v>588</v>
      </c>
      <c r="I147" s="23" t="s">
        <v>577</v>
      </c>
      <c r="J147" s="23" t="s">
        <v>995</v>
      </c>
      <c r="K147" s="23" t="s">
        <v>589</v>
      </c>
      <c r="L147" s="23" t="s">
        <v>590</v>
      </c>
      <c r="M147" s="23"/>
      <c r="N147" s="23"/>
      <c r="O147" s="23"/>
      <c r="P147" s="23"/>
      <c r="Q147" s="23"/>
      <c r="R147" s="23"/>
      <c r="S147" s="23"/>
      <c r="T147" s="23"/>
      <c r="U147" s="23"/>
      <c r="V147" s="23"/>
      <c r="W147" s="23"/>
      <c r="X147" s="4"/>
    </row>
    <row r="148" spans="1:24" ht="26.25" x14ac:dyDescent="0.25">
      <c r="A148" s="21" t="s">
        <v>996</v>
      </c>
      <c r="B148" s="21" t="str">
        <f t="shared" si="3"/>
        <v>84393020</v>
      </c>
      <c r="C148" s="21" t="str">
        <f>Tabela5[[#This Row],[Cod. Ncm]]&amp;"-"&amp;Tabela5[[#This Row],[Operações]]</f>
        <v>84393020-Internas e interestaduais</v>
      </c>
      <c r="D148" s="22" t="s">
        <v>586</v>
      </c>
      <c r="E148" s="22" t="s">
        <v>587</v>
      </c>
      <c r="F148" s="22">
        <v>8.8000000000000007</v>
      </c>
      <c r="G148" s="22" t="s">
        <v>997</v>
      </c>
      <c r="H148" s="22" t="s">
        <v>588</v>
      </c>
      <c r="I148" s="23" t="s">
        <v>577</v>
      </c>
      <c r="J148" s="23" t="s">
        <v>998</v>
      </c>
      <c r="K148" s="23" t="s">
        <v>589</v>
      </c>
      <c r="L148" s="23" t="s">
        <v>590</v>
      </c>
      <c r="M148" s="23"/>
      <c r="N148" s="23"/>
      <c r="O148" s="23"/>
      <c r="P148" s="23"/>
      <c r="Q148" s="23"/>
      <c r="R148" s="23"/>
      <c r="S148" s="23"/>
      <c r="T148" s="23"/>
      <c r="U148" s="23"/>
      <c r="V148" s="23"/>
      <c r="W148" s="23"/>
      <c r="X148" s="4"/>
    </row>
    <row r="149" spans="1:24" ht="26.25" x14ac:dyDescent="0.25">
      <c r="A149" s="21" t="s">
        <v>999</v>
      </c>
      <c r="B149" s="21" t="str">
        <f t="shared" si="3"/>
        <v>84393030</v>
      </c>
      <c r="C149" s="21" t="str">
        <f>Tabela5[[#This Row],[Cod. Ncm]]&amp;"-"&amp;Tabela5[[#This Row],[Operações]]</f>
        <v>84393030-Internas e interestaduais</v>
      </c>
      <c r="D149" s="22" t="s">
        <v>586</v>
      </c>
      <c r="E149" s="22" t="s">
        <v>587</v>
      </c>
      <c r="F149" s="22">
        <v>8.8000000000000007</v>
      </c>
      <c r="G149" s="22" t="s">
        <v>1000</v>
      </c>
      <c r="H149" s="22" t="s">
        <v>588</v>
      </c>
      <c r="I149" s="23" t="s">
        <v>577</v>
      </c>
      <c r="J149" s="23" t="s">
        <v>1001</v>
      </c>
      <c r="K149" s="23" t="s">
        <v>589</v>
      </c>
      <c r="L149" s="23" t="s">
        <v>590</v>
      </c>
      <c r="M149" s="23"/>
      <c r="N149" s="23"/>
      <c r="O149" s="23"/>
      <c r="P149" s="23"/>
      <c r="Q149" s="23"/>
      <c r="R149" s="23"/>
      <c r="S149" s="23"/>
      <c r="T149" s="23"/>
      <c r="U149" s="23"/>
      <c r="V149" s="23"/>
      <c r="W149" s="23"/>
      <c r="X149" s="4"/>
    </row>
    <row r="150" spans="1:24" ht="26.25" x14ac:dyDescent="0.25">
      <c r="A150" s="21" t="s">
        <v>1002</v>
      </c>
      <c r="B150" s="21" t="str">
        <f t="shared" si="3"/>
        <v>84393090</v>
      </c>
      <c r="C150" s="21" t="str">
        <f>Tabela5[[#This Row],[Cod. Ncm]]&amp;"-"&amp;Tabela5[[#This Row],[Operações]]</f>
        <v>84393090-Internas e interestaduais</v>
      </c>
      <c r="D150" s="22" t="s">
        <v>586</v>
      </c>
      <c r="E150" s="22" t="s">
        <v>587</v>
      </c>
      <c r="F150" s="22">
        <v>8.8000000000000007</v>
      </c>
      <c r="G150" s="22" t="s">
        <v>1003</v>
      </c>
      <c r="H150" s="22" t="s">
        <v>588</v>
      </c>
      <c r="I150" s="23" t="s">
        <v>577</v>
      </c>
      <c r="J150" s="23" t="s">
        <v>1004</v>
      </c>
      <c r="K150" s="23" t="s">
        <v>589</v>
      </c>
      <c r="L150" s="23" t="s">
        <v>590</v>
      </c>
      <c r="M150" s="23"/>
      <c r="N150" s="23"/>
      <c r="O150" s="23"/>
      <c r="P150" s="23"/>
      <c r="Q150" s="23"/>
      <c r="R150" s="23"/>
      <c r="S150" s="23"/>
      <c r="T150" s="23"/>
      <c r="U150" s="23"/>
      <c r="V150" s="23"/>
      <c r="W150" s="23"/>
      <c r="X150" s="4"/>
    </row>
    <row r="151" spans="1:24" ht="26.25" x14ac:dyDescent="0.25">
      <c r="A151" s="21" t="s">
        <v>1005</v>
      </c>
      <c r="B151" s="21" t="str">
        <f t="shared" si="3"/>
        <v>84401011</v>
      </c>
      <c r="C151" s="21" t="str">
        <f>Tabela5[[#This Row],[Cod. Ncm]]&amp;"-"&amp;Tabela5[[#This Row],[Operações]]</f>
        <v>84401011-Internas e interestaduais</v>
      </c>
      <c r="D151" s="22" t="s">
        <v>586</v>
      </c>
      <c r="E151" s="22" t="s">
        <v>587</v>
      </c>
      <c r="F151" s="22">
        <v>8.8000000000000007</v>
      </c>
      <c r="G151" s="22" t="s">
        <v>1006</v>
      </c>
      <c r="H151" s="22" t="s">
        <v>588</v>
      </c>
      <c r="I151" s="23" t="s">
        <v>577</v>
      </c>
      <c r="J151" s="23" t="s">
        <v>1007</v>
      </c>
      <c r="K151" s="23" t="s">
        <v>589</v>
      </c>
      <c r="L151" s="23" t="s">
        <v>590</v>
      </c>
      <c r="M151" s="23"/>
      <c r="N151" s="23"/>
      <c r="O151" s="23"/>
      <c r="P151" s="23"/>
      <c r="Q151" s="23"/>
      <c r="R151" s="23"/>
      <c r="S151" s="23"/>
      <c r="T151" s="23"/>
      <c r="U151" s="23"/>
      <c r="V151" s="23"/>
      <c r="W151" s="23"/>
      <c r="X151" s="4"/>
    </row>
    <row r="152" spans="1:24" ht="26.25" x14ac:dyDescent="0.25">
      <c r="A152" s="21" t="s">
        <v>1008</v>
      </c>
      <c r="B152" s="21" t="str">
        <f t="shared" si="3"/>
        <v>84401019</v>
      </c>
      <c r="C152" s="21" t="str">
        <f>Tabela5[[#This Row],[Cod. Ncm]]&amp;"-"&amp;Tabela5[[#This Row],[Operações]]</f>
        <v>84401019-Internas e interestaduais</v>
      </c>
      <c r="D152" s="22" t="s">
        <v>586</v>
      </c>
      <c r="E152" s="22" t="s">
        <v>587</v>
      </c>
      <c r="F152" s="22">
        <v>8.8000000000000007</v>
      </c>
      <c r="G152" s="22" t="s">
        <v>1006</v>
      </c>
      <c r="H152" s="22" t="s">
        <v>588</v>
      </c>
      <c r="I152" s="23" t="s">
        <v>577</v>
      </c>
      <c r="J152" s="23" t="s">
        <v>1007</v>
      </c>
      <c r="K152" s="23" t="s">
        <v>589</v>
      </c>
      <c r="L152" s="23" t="s">
        <v>590</v>
      </c>
      <c r="M152" s="23"/>
      <c r="N152" s="23"/>
      <c r="O152" s="23"/>
      <c r="P152" s="23"/>
      <c r="Q152" s="23"/>
      <c r="R152" s="23"/>
      <c r="S152" s="23"/>
      <c r="T152" s="23"/>
      <c r="U152" s="23"/>
      <c r="V152" s="23"/>
      <c r="W152" s="23"/>
      <c r="X152" s="4"/>
    </row>
    <row r="153" spans="1:24" ht="38.25" x14ac:dyDescent="0.25">
      <c r="A153" s="21" t="s">
        <v>1009</v>
      </c>
      <c r="B153" s="21" t="str">
        <f t="shared" si="3"/>
        <v>84401020</v>
      </c>
      <c r="C153" s="21" t="str">
        <f>Tabela5[[#This Row],[Cod. Ncm]]&amp;"-"&amp;Tabela5[[#This Row],[Operações]]</f>
        <v>84401020-Internas e interestaduais</v>
      </c>
      <c r="D153" s="22" t="s">
        <v>586</v>
      </c>
      <c r="E153" s="22" t="s">
        <v>587</v>
      </c>
      <c r="F153" s="22">
        <v>8.8000000000000007</v>
      </c>
      <c r="G153" s="22" t="s">
        <v>1010</v>
      </c>
      <c r="H153" s="22" t="s">
        <v>588</v>
      </c>
      <c r="I153" s="23" t="s">
        <v>577</v>
      </c>
      <c r="J153" s="23" t="s">
        <v>1011</v>
      </c>
      <c r="K153" s="23" t="s">
        <v>589</v>
      </c>
      <c r="L153" s="23" t="s">
        <v>590</v>
      </c>
      <c r="M153" s="23"/>
      <c r="N153" s="23"/>
      <c r="O153" s="23"/>
      <c r="P153" s="23"/>
      <c r="Q153" s="23"/>
      <c r="R153" s="23"/>
      <c r="S153" s="23"/>
      <c r="T153" s="23"/>
      <c r="U153" s="23"/>
      <c r="V153" s="23"/>
      <c r="W153" s="23"/>
      <c r="X153" s="4"/>
    </row>
    <row r="154" spans="1:24" ht="26.25" x14ac:dyDescent="0.25">
      <c r="A154" s="21" t="s">
        <v>1012</v>
      </c>
      <c r="B154" s="21" t="str">
        <f t="shared" si="3"/>
        <v>84401090</v>
      </c>
      <c r="C154" s="21" t="str">
        <f>Tabela5[[#This Row],[Cod. Ncm]]&amp;"-"&amp;Tabela5[[#This Row],[Operações]]</f>
        <v>84401090-Internas e interestaduais</v>
      </c>
      <c r="D154" s="22" t="s">
        <v>586</v>
      </c>
      <c r="E154" s="22" t="s">
        <v>587</v>
      </c>
      <c r="F154" s="22">
        <v>8.8000000000000007</v>
      </c>
      <c r="G154" s="22" t="s">
        <v>1013</v>
      </c>
      <c r="H154" s="22" t="s">
        <v>588</v>
      </c>
      <c r="I154" s="23" t="s">
        <v>577</v>
      </c>
      <c r="J154" s="23" t="s">
        <v>1014</v>
      </c>
      <c r="K154" s="23" t="s">
        <v>589</v>
      </c>
      <c r="L154" s="23" t="s">
        <v>590</v>
      </c>
      <c r="M154" s="23"/>
      <c r="N154" s="23"/>
      <c r="O154" s="23"/>
      <c r="P154" s="23"/>
      <c r="Q154" s="23"/>
      <c r="R154" s="23"/>
      <c r="S154" s="23"/>
      <c r="T154" s="23"/>
      <c r="U154" s="23"/>
      <c r="V154" s="23"/>
      <c r="W154" s="23"/>
      <c r="X154" s="4"/>
    </row>
    <row r="155" spans="1:24" ht="26.25" x14ac:dyDescent="0.25">
      <c r="A155" s="21" t="s">
        <v>1015</v>
      </c>
      <c r="B155" s="21" t="str">
        <f t="shared" si="3"/>
        <v>84411010</v>
      </c>
      <c r="C155" s="21" t="str">
        <f>Tabela5[[#This Row],[Cod. Ncm]]&amp;"-"&amp;Tabela5[[#This Row],[Operações]]</f>
        <v>84411010-Internas e interestaduais</v>
      </c>
      <c r="D155" s="22" t="s">
        <v>586</v>
      </c>
      <c r="E155" s="22" t="s">
        <v>587</v>
      </c>
      <c r="F155" s="22">
        <v>8.8000000000000007</v>
      </c>
      <c r="G155" s="22" t="s">
        <v>1016</v>
      </c>
      <c r="H155" s="22" t="s">
        <v>588</v>
      </c>
      <c r="I155" s="23" t="s">
        <v>577</v>
      </c>
      <c r="J155" s="23" t="s">
        <v>1017</v>
      </c>
      <c r="K155" s="23" t="s">
        <v>589</v>
      </c>
      <c r="L155" s="23" t="s">
        <v>590</v>
      </c>
      <c r="M155" s="23"/>
      <c r="N155" s="23"/>
      <c r="O155" s="23"/>
      <c r="P155" s="23"/>
      <c r="Q155" s="23"/>
      <c r="R155" s="23"/>
      <c r="S155" s="23"/>
      <c r="T155" s="23"/>
      <c r="U155" s="23"/>
      <c r="V155" s="23"/>
      <c r="W155" s="23"/>
      <c r="X155" s="4"/>
    </row>
    <row r="156" spans="1:24" ht="26.25" x14ac:dyDescent="0.25">
      <c r="A156" s="21" t="s">
        <v>1018</v>
      </c>
      <c r="B156" s="21" t="str">
        <f t="shared" si="3"/>
        <v>84411090</v>
      </c>
      <c r="C156" s="21" t="str">
        <f>Tabela5[[#This Row],[Cod. Ncm]]&amp;"-"&amp;Tabela5[[#This Row],[Operações]]</f>
        <v>84411090-Internas e interestaduais</v>
      </c>
      <c r="D156" s="22" t="s">
        <v>586</v>
      </c>
      <c r="E156" s="22" t="s">
        <v>587</v>
      </c>
      <c r="F156" s="22">
        <v>8.8000000000000007</v>
      </c>
      <c r="G156" s="22" t="s">
        <v>1019</v>
      </c>
      <c r="H156" s="22" t="s">
        <v>588</v>
      </c>
      <c r="I156" s="23" t="s">
        <v>577</v>
      </c>
      <c r="J156" s="23" t="s">
        <v>1020</v>
      </c>
      <c r="K156" s="23" t="s">
        <v>589</v>
      </c>
      <c r="L156" s="23" t="s">
        <v>590</v>
      </c>
      <c r="M156" s="23"/>
      <c r="N156" s="23"/>
      <c r="O156" s="23"/>
      <c r="P156" s="23"/>
      <c r="Q156" s="23"/>
      <c r="R156" s="23"/>
      <c r="S156" s="23"/>
      <c r="T156" s="23"/>
      <c r="U156" s="23"/>
      <c r="V156" s="23"/>
      <c r="W156" s="23"/>
      <c r="X156" s="4"/>
    </row>
    <row r="157" spans="1:24" ht="26.25" x14ac:dyDescent="0.25">
      <c r="A157" s="21" t="s">
        <v>1021</v>
      </c>
      <c r="B157" s="21" t="str">
        <f t="shared" si="3"/>
        <v>84412000</v>
      </c>
      <c r="C157" s="21" t="str">
        <f>Tabela5[[#This Row],[Cod. Ncm]]&amp;"-"&amp;Tabela5[[#This Row],[Operações]]</f>
        <v>84412000-Internas e interestaduais</v>
      </c>
      <c r="D157" s="22" t="s">
        <v>586</v>
      </c>
      <c r="E157" s="22" t="s">
        <v>587</v>
      </c>
      <c r="F157" s="22">
        <v>8.8000000000000007</v>
      </c>
      <c r="G157" s="22" t="s">
        <v>1022</v>
      </c>
      <c r="H157" s="22" t="s">
        <v>588</v>
      </c>
      <c r="I157" s="23" t="s">
        <v>577</v>
      </c>
      <c r="J157" s="23" t="s">
        <v>1023</v>
      </c>
      <c r="K157" s="23" t="s">
        <v>589</v>
      </c>
      <c r="L157" s="23" t="s">
        <v>590</v>
      </c>
      <c r="M157" s="23"/>
      <c r="N157" s="23"/>
      <c r="O157" s="23"/>
      <c r="P157" s="23"/>
      <c r="Q157" s="23"/>
      <c r="R157" s="23"/>
      <c r="S157" s="23"/>
      <c r="T157" s="23"/>
      <c r="U157" s="23"/>
      <c r="V157" s="23"/>
      <c r="W157" s="23"/>
      <c r="X157" s="4"/>
    </row>
    <row r="158" spans="1:24" ht="26.25" x14ac:dyDescent="0.25">
      <c r="A158" s="21" t="s">
        <v>1024</v>
      </c>
      <c r="B158" s="21" t="str">
        <f t="shared" si="3"/>
        <v>84413010</v>
      </c>
      <c r="C158" s="21" t="str">
        <f>Tabela5[[#This Row],[Cod. Ncm]]&amp;"-"&amp;Tabela5[[#This Row],[Operações]]</f>
        <v>84413010-Internas e interestaduais</v>
      </c>
      <c r="D158" s="22" t="s">
        <v>586</v>
      </c>
      <c r="E158" s="22" t="s">
        <v>587</v>
      </c>
      <c r="F158" s="22">
        <v>8.8000000000000007</v>
      </c>
      <c r="G158" s="22" t="s">
        <v>1025</v>
      </c>
      <c r="H158" s="22" t="s">
        <v>588</v>
      </c>
      <c r="I158" s="23" t="s">
        <v>577</v>
      </c>
      <c r="J158" s="23" t="s">
        <v>1026</v>
      </c>
      <c r="K158" s="23" t="s">
        <v>589</v>
      </c>
      <c r="L158" s="23" t="s">
        <v>590</v>
      </c>
      <c r="M158" s="23"/>
      <c r="N158" s="23"/>
      <c r="O158" s="23"/>
      <c r="P158" s="23"/>
      <c r="Q158" s="23"/>
      <c r="R158" s="23"/>
      <c r="S158" s="23"/>
      <c r="T158" s="23"/>
      <c r="U158" s="23"/>
      <c r="V158" s="23"/>
      <c r="W158" s="23"/>
      <c r="X158" s="4"/>
    </row>
    <row r="159" spans="1:24" ht="38.25" x14ac:dyDescent="0.25">
      <c r="A159" s="21" t="s">
        <v>1027</v>
      </c>
      <c r="B159" s="21" t="str">
        <f t="shared" si="3"/>
        <v>84413090</v>
      </c>
      <c r="C159" s="21" t="str">
        <f>Tabela5[[#This Row],[Cod. Ncm]]&amp;"-"&amp;Tabela5[[#This Row],[Operações]]</f>
        <v>84413090-Internas e interestaduais</v>
      </c>
      <c r="D159" s="22" t="s">
        <v>586</v>
      </c>
      <c r="E159" s="22" t="s">
        <v>587</v>
      </c>
      <c r="F159" s="22">
        <v>8.8000000000000007</v>
      </c>
      <c r="G159" s="22" t="s">
        <v>1028</v>
      </c>
      <c r="H159" s="22" t="s">
        <v>588</v>
      </c>
      <c r="I159" s="23" t="s">
        <v>577</v>
      </c>
      <c r="J159" s="23" t="s">
        <v>1029</v>
      </c>
      <c r="K159" s="23" t="s">
        <v>589</v>
      </c>
      <c r="L159" s="23" t="s">
        <v>590</v>
      </c>
      <c r="M159" s="23"/>
      <c r="N159" s="23"/>
      <c r="O159" s="23"/>
      <c r="P159" s="23"/>
      <c r="Q159" s="23"/>
      <c r="R159" s="23"/>
      <c r="S159" s="23"/>
      <c r="T159" s="23"/>
      <c r="U159" s="23"/>
      <c r="V159" s="23"/>
      <c r="W159" s="23"/>
      <c r="X159" s="4"/>
    </row>
    <row r="160" spans="1:24" ht="26.25" x14ac:dyDescent="0.25">
      <c r="A160" s="21" t="s">
        <v>1030</v>
      </c>
      <c r="B160" s="21" t="str">
        <f t="shared" si="3"/>
        <v>84414000</v>
      </c>
      <c r="C160" s="21" t="str">
        <f>Tabela5[[#This Row],[Cod. Ncm]]&amp;"-"&amp;Tabela5[[#This Row],[Operações]]</f>
        <v>84414000-Internas e interestaduais</v>
      </c>
      <c r="D160" s="22" t="s">
        <v>586</v>
      </c>
      <c r="E160" s="22" t="s">
        <v>587</v>
      </c>
      <c r="F160" s="22">
        <v>8.8000000000000007</v>
      </c>
      <c r="G160" s="22" t="s">
        <v>1031</v>
      </c>
      <c r="H160" s="22" t="s">
        <v>588</v>
      </c>
      <c r="I160" s="23" t="s">
        <v>577</v>
      </c>
      <c r="J160" s="23" t="s">
        <v>1032</v>
      </c>
      <c r="K160" s="23" t="s">
        <v>589</v>
      </c>
      <c r="L160" s="23" t="s">
        <v>590</v>
      </c>
      <c r="M160" s="23"/>
      <c r="N160" s="23"/>
      <c r="O160" s="23"/>
      <c r="P160" s="23"/>
      <c r="Q160" s="23"/>
      <c r="R160" s="23"/>
      <c r="S160" s="23"/>
      <c r="T160" s="23"/>
      <c r="U160" s="23"/>
      <c r="V160" s="23"/>
      <c r="W160" s="23"/>
      <c r="X160" s="4"/>
    </row>
    <row r="161" spans="1:24" ht="38.25" x14ac:dyDescent="0.25">
      <c r="A161" s="21" t="s">
        <v>1033</v>
      </c>
      <c r="B161" s="21" t="str">
        <f t="shared" si="3"/>
        <v>84418000</v>
      </c>
      <c r="C161" s="21" t="str">
        <f>Tabela5[[#This Row],[Cod. Ncm]]&amp;"-"&amp;Tabela5[[#This Row],[Operações]]</f>
        <v>84418000-Internas e interestaduais</v>
      </c>
      <c r="D161" s="22" t="s">
        <v>586</v>
      </c>
      <c r="E161" s="22" t="s">
        <v>587</v>
      </c>
      <c r="F161" s="22">
        <v>8.8000000000000007</v>
      </c>
      <c r="G161" s="22" t="s">
        <v>1034</v>
      </c>
      <c r="H161" s="22" t="s">
        <v>588</v>
      </c>
      <c r="I161" s="23" t="s">
        <v>577</v>
      </c>
      <c r="J161" s="23" t="s">
        <v>1035</v>
      </c>
      <c r="K161" s="23" t="s">
        <v>589</v>
      </c>
      <c r="L161" s="23" t="s">
        <v>590</v>
      </c>
      <c r="M161" s="23"/>
      <c r="N161" s="23"/>
      <c r="O161" s="23"/>
      <c r="P161" s="23"/>
      <c r="Q161" s="23"/>
      <c r="R161" s="23"/>
      <c r="S161" s="23"/>
      <c r="T161" s="23"/>
      <c r="U161" s="23"/>
      <c r="V161" s="23"/>
      <c r="W161" s="23"/>
      <c r="X161" s="4"/>
    </row>
    <row r="162" spans="1:24" ht="26.25" x14ac:dyDescent="0.25">
      <c r="A162" s="21" t="s">
        <v>1036</v>
      </c>
      <c r="B162" s="21" t="str">
        <f t="shared" si="3"/>
        <v>84423010</v>
      </c>
      <c r="C162" s="21" t="str">
        <f>Tabela5[[#This Row],[Cod. Ncm]]&amp;"-"&amp;Tabela5[[#This Row],[Operações]]</f>
        <v>84423010-Internas e interestaduais</v>
      </c>
      <c r="D162" s="22" t="s">
        <v>586</v>
      </c>
      <c r="E162" s="22" t="s">
        <v>587</v>
      </c>
      <c r="F162" s="22">
        <v>8.8000000000000007</v>
      </c>
      <c r="G162" s="22" t="s">
        <v>1037</v>
      </c>
      <c r="H162" s="22" t="s">
        <v>588</v>
      </c>
      <c r="I162" s="23" t="s">
        <v>577</v>
      </c>
      <c r="J162" s="23" t="s">
        <v>1038</v>
      </c>
      <c r="K162" s="23" t="s">
        <v>589</v>
      </c>
      <c r="L162" s="23" t="s">
        <v>590</v>
      </c>
      <c r="M162" s="23"/>
      <c r="N162" s="23"/>
      <c r="O162" s="23"/>
      <c r="P162" s="23"/>
      <c r="Q162" s="23"/>
      <c r="R162" s="23"/>
      <c r="S162" s="23"/>
      <c r="T162" s="23"/>
      <c r="U162" s="23"/>
      <c r="V162" s="23"/>
      <c r="W162" s="23"/>
      <c r="X162" s="4"/>
    </row>
    <row r="163" spans="1:24" ht="38.25" x14ac:dyDescent="0.25">
      <c r="A163" s="21" t="s">
        <v>1039</v>
      </c>
      <c r="B163" s="21" t="str">
        <f t="shared" si="3"/>
        <v>84423020</v>
      </c>
      <c r="C163" s="21" t="str">
        <f>Tabela5[[#This Row],[Cod. Ncm]]&amp;"-"&amp;Tabela5[[#This Row],[Operações]]</f>
        <v>84423020-Internas e interestaduais</v>
      </c>
      <c r="D163" s="22" t="s">
        <v>586</v>
      </c>
      <c r="E163" s="22" t="s">
        <v>587</v>
      </c>
      <c r="F163" s="22">
        <v>8.8000000000000007</v>
      </c>
      <c r="G163" s="22" t="s">
        <v>1040</v>
      </c>
      <c r="H163" s="22" t="s">
        <v>588</v>
      </c>
      <c r="I163" s="23" t="s">
        <v>577</v>
      </c>
      <c r="J163" s="23" t="s">
        <v>1041</v>
      </c>
      <c r="K163" s="23" t="s">
        <v>589</v>
      </c>
      <c r="L163" s="23" t="s">
        <v>590</v>
      </c>
      <c r="M163" s="23"/>
      <c r="N163" s="23"/>
      <c r="O163" s="23"/>
      <c r="P163" s="23"/>
      <c r="Q163" s="23"/>
      <c r="R163" s="23"/>
      <c r="S163" s="23"/>
      <c r="T163" s="23"/>
      <c r="U163" s="23"/>
      <c r="V163" s="23"/>
      <c r="W163" s="23"/>
      <c r="X163" s="4"/>
    </row>
    <row r="164" spans="1:24" ht="63.75" x14ac:dyDescent="0.25">
      <c r="A164" s="21" t="s">
        <v>1042</v>
      </c>
      <c r="B164" s="21" t="str">
        <f t="shared" si="3"/>
        <v>84431110</v>
      </c>
      <c r="C164" s="21" t="str">
        <f>Tabela5[[#This Row],[Cod. Ncm]]&amp;"-"&amp;Tabela5[[#This Row],[Operações]]</f>
        <v>84431110-Internas e interestaduais</v>
      </c>
      <c r="D164" s="22" t="s">
        <v>586</v>
      </c>
      <c r="E164" s="22" t="s">
        <v>587</v>
      </c>
      <c r="F164" s="22">
        <v>8.8000000000000007</v>
      </c>
      <c r="G164" s="22" t="s">
        <v>1043</v>
      </c>
      <c r="H164" s="22" t="s">
        <v>588</v>
      </c>
      <c r="I164" s="23" t="s">
        <v>577</v>
      </c>
      <c r="J164" s="23" t="s">
        <v>1044</v>
      </c>
      <c r="K164" s="23" t="s">
        <v>589</v>
      </c>
      <c r="L164" s="23" t="s">
        <v>590</v>
      </c>
      <c r="M164" s="23"/>
      <c r="N164" s="23"/>
      <c r="O164" s="23"/>
      <c r="P164" s="23"/>
      <c r="Q164" s="23"/>
      <c r="R164" s="23"/>
      <c r="S164" s="23"/>
      <c r="T164" s="23"/>
      <c r="U164" s="23"/>
      <c r="V164" s="23"/>
      <c r="W164" s="23"/>
      <c r="X164" s="4"/>
    </row>
    <row r="165" spans="1:24" ht="26.25" x14ac:dyDescent="0.25">
      <c r="A165" s="21" t="s">
        <v>1045</v>
      </c>
      <c r="B165" s="21" t="str">
        <f t="shared" si="3"/>
        <v>84431190</v>
      </c>
      <c r="C165" s="21" t="str">
        <f>Tabela5[[#This Row],[Cod. Ncm]]&amp;"-"&amp;Tabela5[[#This Row],[Operações]]</f>
        <v>84431190-Internas e interestaduais</v>
      </c>
      <c r="D165" s="22" t="s">
        <v>586</v>
      </c>
      <c r="E165" s="22" t="s">
        <v>587</v>
      </c>
      <c r="F165" s="22">
        <v>8.8000000000000007</v>
      </c>
      <c r="G165" s="22" t="s">
        <v>1046</v>
      </c>
      <c r="H165" s="22" t="s">
        <v>588</v>
      </c>
      <c r="I165" s="23" t="s">
        <v>577</v>
      </c>
      <c r="J165" s="23" t="s">
        <v>1047</v>
      </c>
      <c r="K165" s="23" t="s">
        <v>589</v>
      </c>
      <c r="L165" s="23" t="s">
        <v>590</v>
      </c>
      <c r="M165" s="23"/>
      <c r="N165" s="23"/>
      <c r="O165" s="23"/>
      <c r="P165" s="23"/>
      <c r="Q165" s="23"/>
      <c r="R165" s="23"/>
      <c r="S165" s="23"/>
      <c r="T165" s="23"/>
      <c r="U165" s="23"/>
      <c r="V165" s="23"/>
      <c r="W165" s="23"/>
      <c r="X165" s="4"/>
    </row>
    <row r="166" spans="1:24" ht="38.25" x14ac:dyDescent="0.25">
      <c r="A166" s="21" t="s">
        <v>1048</v>
      </c>
      <c r="B166" s="21" t="str">
        <f t="shared" si="3"/>
        <v>84431200</v>
      </c>
      <c r="C166" s="21" t="str">
        <f>Tabela5[[#This Row],[Cod. Ncm]]&amp;"-"&amp;Tabela5[[#This Row],[Operações]]</f>
        <v>84431200-Internas e interestaduais</v>
      </c>
      <c r="D166" s="22" t="s">
        <v>586</v>
      </c>
      <c r="E166" s="22" t="s">
        <v>587</v>
      </c>
      <c r="F166" s="22">
        <v>8.8000000000000007</v>
      </c>
      <c r="G166" s="22" t="s">
        <v>1049</v>
      </c>
      <c r="H166" s="22" t="s">
        <v>588</v>
      </c>
      <c r="I166" s="23" t="s">
        <v>577</v>
      </c>
      <c r="J166" s="23" t="s">
        <v>1050</v>
      </c>
      <c r="K166" s="23" t="s">
        <v>589</v>
      </c>
      <c r="L166" s="23" t="s">
        <v>590</v>
      </c>
      <c r="M166" s="23"/>
      <c r="N166" s="23"/>
      <c r="O166" s="23"/>
      <c r="P166" s="23"/>
      <c r="Q166" s="23"/>
      <c r="R166" s="23"/>
      <c r="S166" s="23"/>
      <c r="T166" s="23"/>
      <c r="U166" s="23"/>
      <c r="V166" s="23"/>
      <c r="W166" s="23"/>
      <c r="X166" s="4"/>
    </row>
    <row r="167" spans="1:24" ht="38.25" x14ac:dyDescent="0.25">
      <c r="A167" s="21" t="s">
        <v>1051</v>
      </c>
      <c r="B167" s="21" t="str">
        <f t="shared" si="3"/>
        <v>84431310</v>
      </c>
      <c r="C167" s="21" t="str">
        <f>Tabela5[[#This Row],[Cod. Ncm]]&amp;"-"&amp;Tabela5[[#This Row],[Operações]]</f>
        <v>84431310-Internas e interestaduais</v>
      </c>
      <c r="D167" s="22" t="s">
        <v>586</v>
      </c>
      <c r="E167" s="22" t="s">
        <v>587</v>
      </c>
      <c r="F167" s="22">
        <v>8.8000000000000007</v>
      </c>
      <c r="G167" s="22" t="s">
        <v>1052</v>
      </c>
      <c r="H167" s="22" t="s">
        <v>588</v>
      </c>
      <c r="I167" s="23" t="s">
        <v>577</v>
      </c>
      <c r="J167" s="23" t="s">
        <v>1053</v>
      </c>
      <c r="K167" s="23" t="s">
        <v>589</v>
      </c>
      <c r="L167" s="23" t="s">
        <v>590</v>
      </c>
      <c r="M167" s="23"/>
      <c r="N167" s="23"/>
      <c r="O167" s="23"/>
      <c r="P167" s="23"/>
      <c r="Q167" s="23"/>
      <c r="R167" s="23"/>
      <c r="S167" s="23"/>
      <c r="T167" s="23"/>
      <c r="U167" s="23"/>
      <c r="V167" s="23"/>
      <c r="W167" s="23"/>
      <c r="X167" s="4"/>
    </row>
    <row r="168" spans="1:24" ht="51" x14ac:dyDescent="0.25">
      <c r="A168" s="21" t="s">
        <v>1054</v>
      </c>
      <c r="B168" s="21" t="str">
        <f t="shared" si="3"/>
        <v>84431321</v>
      </c>
      <c r="C168" s="21" t="str">
        <f>Tabela5[[#This Row],[Cod. Ncm]]&amp;"-"&amp;Tabela5[[#This Row],[Operações]]</f>
        <v>84431321-Internas e interestaduais</v>
      </c>
      <c r="D168" s="22" t="s">
        <v>586</v>
      </c>
      <c r="E168" s="22" t="s">
        <v>587</v>
      </c>
      <c r="F168" s="22">
        <v>8.8000000000000007</v>
      </c>
      <c r="G168" s="22" t="s">
        <v>1055</v>
      </c>
      <c r="H168" s="22" t="s">
        <v>588</v>
      </c>
      <c r="I168" s="23" t="s">
        <v>577</v>
      </c>
      <c r="J168" s="23" t="s">
        <v>1056</v>
      </c>
      <c r="K168" s="23" t="s">
        <v>589</v>
      </c>
      <c r="L168" s="23" t="s">
        <v>590</v>
      </c>
      <c r="M168" s="23"/>
      <c r="N168" s="23"/>
      <c r="O168" s="23"/>
      <c r="P168" s="23"/>
      <c r="Q168" s="23"/>
      <c r="R168" s="23"/>
      <c r="S168" s="23"/>
      <c r="T168" s="23"/>
      <c r="U168" s="23"/>
      <c r="V168" s="23"/>
      <c r="W168" s="23"/>
      <c r="X168" s="4"/>
    </row>
    <row r="169" spans="1:24" ht="26.25" x14ac:dyDescent="0.25">
      <c r="A169" s="21" t="s">
        <v>1057</v>
      </c>
      <c r="B169" s="21" t="str">
        <f t="shared" si="3"/>
        <v>84431329</v>
      </c>
      <c r="C169" s="21" t="str">
        <f>Tabela5[[#This Row],[Cod. Ncm]]&amp;"-"&amp;Tabela5[[#This Row],[Operações]]</f>
        <v>84431329-Internas e interestaduais</v>
      </c>
      <c r="D169" s="22" t="s">
        <v>586</v>
      </c>
      <c r="E169" s="22" t="s">
        <v>587</v>
      </c>
      <c r="F169" s="22">
        <v>8.8000000000000007</v>
      </c>
      <c r="G169" s="22" t="s">
        <v>1058</v>
      </c>
      <c r="H169" s="22" t="s">
        <v>588</v>
      </c>
      <c r="I169" s="23" t="s">
        <v>577</v>
      </c>
      <c r="J169" s="23" t="s">
        <v>1059</v>
      </c>
      <c r="K169" s="23" t="s">
        <v>589</v>
      </c>
      <c r="L169" s="23" t="s">
        <v>590</v>
      </c>
      <c r="M169" s="23"/>
      <c r="N169" s="23"/>
      <c r="O169" s="23"/>
      <c r="P169" s="23"/>
      <c r="Q169" s="23"/>
      <c r="R169" s="23"/>
      <c r="S169" s="23"/>
      <c r="T169" s="23"/>
      <c r="U169" s="23"/>
      <c r="V169" s="23"/>
      <c r="W169" s="23"/>
      <c r="X169" s="4"/>
    </row>
    <row r="170" spans="1:24" ht="26.25" x14ac:dyDescent="0.25">
      <c r="A170" s="21" t="s">
        <v>1060</v>
      </c>
      <c r="B170" s="21" t="str">
        <f t="shared" si="3"/>
        <v>84431390</v>
      </c>
      <c r="C170" s="21" t="str">
        <f>Tabela5[[#This Row],[Cod. Ncm]]&amp;"-"&amp;Tabela5[[#This Row],[Operações]]</f>
        <v>84431390-Internas e interestaduais</v>
      </c>
      <c r="D170" s="22" t="s">
        <v>586</v>
      </c>
      <c r="E170" s="22" t="s">
        <v>587</v>
      </c>
      <c r="F170" s="22">
        <v>8.8000000000000007</v>
      </c>
      <c r="G170" s="22" t="s">
        <v>1061</v>
      </c>
      <c r="H170" s="22" t="s">
        <v>588</v>
      </c>
      <c r="I170" s="23" t="s">
        <v>577</v>
      </c>
      <c r="J170" s="23" t="s">
        <v>1062</v>
      </c>
      <c r="K170" s="23" t="s">
        <v>589</v>
      </c>
      <c r="L170" s="23" t="s">
        <v>590</v>
      </c>
      <c r="M170" s="23"/>
      <c r="N170" s="23"/>
      <c r="O170" s="23"/>
      <c r="P170" s="23"/>
      <c r="Q170" s="23"/>
      <c r="R170" s="23"/>
      <c r="S170" s="23"/>
      <c r="T170" s="23"/>
      <c r="U170" s="23"/>
      <c r="V170" s="23"/>
      <c r="W170" s="23"/>
      <c r="X170" s="4"/>
    </row>
    <row r="171" spans="1:24" ht="38.25" x14ac:dyDescent="0.25">
      <c r="A171" s="21" t="s">
        <v>1063</v>
      </c>
      <c r="B171" s="21" t="str">
        <f t="shared" si="3"/>
        <v>84431400</v>
      </c>
      <c r="C171" s="21" t="str">
        <f>Tabela5[[#This Row],[Cod. Ncm]]&amp;"-"&amp;Tabela5[[#This Row],[Operações]]</f>
        <v>84431400-Internas e interestaduais</v>
      </c>
      <c r="D171" s="22" t="s">
        <v>586</v>
      </c>
      <c r="E171" s="22" t="s">
        <v>587</v>
      </c>
      <c r="F171" s="22">
        <v>8.8000000000000007</v>
      </c>
      <c r="G171" s="22" t="s">
        <v>1064</v>
      </c>
      <c r="H171" s="22" t="s">
        <v>588</v>
      </c>
      <c r="I171" s="23" t="s">
        <v>577</v>
      </c>
      <c r="J171" s="23" t="s">
        <v>1065</v>
      </c>
      <c r="K171" s="23" t="s">
        <v>589</v>
      </c>
      <c r="L171" s="23" t="s">
        <v>590</v>
      </c>
      <c r="M171" s="23"/>
      <c r="N171" s="23"/>
      <c r="O171" s="23"/>
      <c r="P171" s="23"/>
      <c r="Q171" s="23"/>
      <c r="R171" s="23"/>
      <c r="S171" s="23"/>
      <c r="T171" s="23"/>
      <c r="U171" s="23"/>
      <c r="V171" s="23"/>
      <c r="W171" s="23"/>
      <c r="X171" s="4"/>
    </row>
    <row r="172" spans="1:24" ht="38.25" x14ac:dyDescent="0.25">
      <c r="A172" s="21" t="s">
        <v>1066</v>
      </c>
      <c r="B172" s="21" t="str">
        <f t="shared" si="3"/>
        <v>84431500</v>
      </c>
      <c r="C172" s="21" t="str">
        <f>Tabela5[[#This Row],[Cod. Ncm]]&amp;"-"&amp;Tabela5[[#This Row],[Operações]]</f>
        <v>84431500-Internas e interestaduais</v>
      </c>
      <c r="D172" s="22" t="s">
        <v>586</v>
      </c>
      <c r="E172" s="22" t="s">
        <v>587</v>
      </c>
      <c r="F172" s="22">
        <v>8.8000000000000007</v>
      </c>
      <c r="G172" s="22" t="s">
        <v>1067</v>
      </c>
      <c r="H172" s="22" t="s">
        <v>588</v>
      </c>
      <c r="I172" s="23" t="s">
        <v>577</v>
      </c>
      <c r="J172" s="23" t="s">
        <v>1068</v>
      </c>
      <c r="K172" s="23" t="s">
        <v>589</v>
      </c>
      <c r="L172" s="23" t="s">
        <v>590</v>
      </c>
      <c r="M172" s="23"/>
      <c r="N172" s="23"/>
      <c r="O172" s="23"/>
      <c r="P172" s="23"/>
      <c r="Q172" s="23"/>
      <c r="R172" s="23"/>
      <c r="S172" s="23"/>
      <c r="T172" s="23"/>
      <c r="U172" s="23"/>
      <c r="V172" s="23"/>
      <c r="W172" s="23"/>
      <c r="X172" s="4"/>
    </row>
    <row r="173" spans="1:24" ht="26.25" x14ac:dyDescent="0.25">
      <c r="A173" s="21" t="s">
        <v>1069</v>
      </c>
      <c r="B173" s="21" t="str">
        <f t="shared" si="3"/>
        <v>84431600</v>
      </c>
      <c r="C173" s="21" t="str">
        <f>Tabela5[[#This Row],[Cod. Ncm]]&amp;"-"&amp;Tabela5[[#This Row],[Operações]]</f>
        <v>84431600-Internas e interestaduais</v>
      </c>
      <c r="D173" s="22" t="s">
        <v>586</v>
      </c>
      <c r="E173" s="22" t="s">
        <v>587</v>
      </c>
      <c r="F173" s="22">
        <v>8.8000000000000007</v>
      </c>
      <c r="G173" s="22" t="s">
        <v>1070</v>
      </c>
      <c r="H173" s="22" t="s">
        <v>588</v>
      </c>
      <c r="I173" s="23" t="s">
        <v>577</v>
      </c>
      <c r="J173" s="23" t="s">
        <v>1071</v>
      </c>
      <c r="K173" s="23" t="s">
        <v>589</v>
      </c>
      <c r="L173" s="23" t="s">
        <v>590</v>
      </c>
      <c r="M173" s="23"/>
      <c r="N173" s="23"/>
      <c r="O173" s="23"/>
      <c r="P173" s="23"/>
      <c r="Q173" s="23"/>
      <c r="R173" s="23"/>
      <c r="S173" s="23"/>
      <c r="T173" s="23"/>
      <c r="U173" s="23"/>
      <c r="V173" s="23"/>
      <c r="W173" s="23"/>
      <c r="X173" s="4"/>
    </row>
    <row r="174" spans="1:24" ht="26.25" x14ac:dyDescent="0.25">
      <c r="A174" s="21" t="s">
        <v>1072</v>
      </c>
      <c r="B174" s="21" t="str">
        <f t="shared" si="3"/>
        <v>84431710</v>
      </c>
      <c r="C174" s="21" t="str">
        <f>Tabela5[[#This Row],[Cod. Ncm]]&amp;"-"&amp;Tabela5[[#This Row],[Operações]]</f>
        <v>84431710-Internas e interestaduais</v>
      </c>
      <c r="D174" s="22" t="s">
        <v>586</v>
      </c>
      <c r="E174" s="22" t="s">
        <v>587</v>
      </c>
      <c r="F174" s="22">
        <v>8.8000000000000007</v>
      </c>
      <c r="G174" s="22" t="s">
        <v>1073</v>
      </c>
      <c r="H174" s="22" t="s">
        <v>588</v>
      </c>
      <c r="I174" s="23" t="s">
        <v>577</v>
      </c>
      <c r="J174" s="23" t="s">
        <v>1074</v>
      </c>
      <c r="K174" s="23" t="s">
        <v>589</v>
      </c>
      <c r="L174" s="23" t="s">
        <v>590</v>
      </c>
      <c r="M174" s="23"/>
      <c r="N174" s="23"/>
      <c r="O174" s="23"/>
      <c r="P174" s="23"/>
      <c r="Q174" s="23"/>
      <c r="R174" s="23"/>
      <c r="S174" s="23"/>
      <c r="T174" s="23"/>
      <c r="U174" s="23"/>
      <c r="V174" s="23"/>
      <c r="W174" s="23"/>
      <c r="X174" s="4"/>
    </row>
    <row r="175" spans="1:24" ht="26.25" x14ac:dyDescent="0.25">
      <c r="A175" s="21" t="s">
        <v>1075</v>
      </c>
      <c r="B175" s="21" t="str">
        <f t="shared" si="3"/>
        <v>84431790</v>
      </c>
      <c r="C175" s="21" t="str">
        <f>Tabela5[[#This Row],[Cod. Ncm]]&amp;"-"&amp;Tabela5[[#This Row],[Operações]]</f>
        <v>84431790-Internas e interestaduais</v>
      </c>
      <c r="D175" s="22" t="s">
        <v>586</v>
      </c>
      <c r="E175" s="22" t="s">
        <v>587</v>
      </c>
      <c r="F175" s="22">
        <v>8.8000000000000007</v>
      </c>
      <c r="G175" s="22" t="s">
        <v>1076</v>
      </c>
      <c r="H175" s="22" t="s">
        <v>588</v>
      </c>
      <c r="I175" s="23" t="s">
        <v>577</v>
      </c>
      <c r="J175" s="23" t="s">
        <v>1077</v>
      </c>
      <c r="K175" s="23" t="s">
        <v>589</v>
      </c>
      <c r="L175" s="23" t="s">
        <v>590</v>
      </c>
      <c r="M175" s="23"/>
      <c r="N175" s="23"/>
      <c r="O175" s="23"/>
      <c r="P175" s="23"/>
      <c r="Q175" s="23"/>
      <c r="R175" s="23"/>
      <c r="S175" s="23"/>
      <c r="T175" s="23"/>
      <c r="U175" s="23"/>
      <c r="V175" s="23"/>
      <c r="W175" s="23"/>
      <c r="X175" s="4"/>
    </row>
    <row r="176" spans="1:24" ht="38.25" x14ac:dyDescent="0.25">
      <c r="A176" s="21" t="s">
        <v>1078</v>
      </c>
      <c r="B176" s="21" t="str">
        <f t="shared" si="3"/>
        <v>84431990</v>
      </c>
      <c r="C176" s="21" t="str">
        <f>Tabela5[[#This Row],[Cod. Ncm]]&amp;"-"&amp;Tabela5[[#This Row],[Operações]]</f>
        <v>84431990-Internas e interestaduais</v>
      </c>
      <c r="D176" s="22" t="s">
        <v>586</v>
      </c>
      <c r="E176" s="22" t="s">
        <v>587</v>
      </c>
      <c r="F176" s="22">
        <v>8.8000000000000007</v>
      </c>
      <c r="G176" s="22" t="s">
        <v>1079</v>
      </c>
      <c r="H176" s="22" t="s">
        <v>588</v>
      </c>
      <c r="I176" s="23" t="s">
        <v>577</v>
      </c>
      <c r="J176" s="23" t="s">
        <v>1080</v>
      </c>
      <c r="K176" s="23" t="s">
        <v>589</v>
      </c>
      <c r="L176" s="23" t="s">
        <v>590</v>
      </c>
      <c r="M176" s="23"/>
      <c r="N176" s="23"/>
      <c r="O176" s="23"/>
      <c r="P176" s="23"/>
      <c r="Q176" s="23"/>
      <c r="R176" s="23"/>
      <c r="S176" s="23"/>
      <c r="T176" s="23"/>
      <c r="U176" s="23"/>
      <c r="V176" s="23"/>
      <c r="W176" s="23"/>
      <c r="X176" s="4"/>
    </row>
    <row r="177" spans="1:24" ht="51" x14ac:dyDescent="0.25">
      <c r="A177" s="21" t="s">
        <v>1081</v>
      </c>
      <c r="B177" s="21" t="str">
        <f t="shared" si="3"/>
        <v>84433111</v>
      </c>
      <c r="C177" s="21" t="str">
        <f>Tabela5[[#This Row],[Cod. Ncm]]&amp;"-"&amp;Tabela5[[#This Row],[Operações]]</f>
        <v>84433111-Internas</v>
      </c>
      <c r="D177" s="22" t="s">
        <v>579</v>
      </c>
      <c r="E177" s="22" t="s">
        <v>593</v>
      </c>
      <c r="F177" s="22">
        <v>7</v>
      </c>
      <c r="G177" s="22" t="s">
        <v>1082</v>
      </c>
      <c r="H177" s="22" t="s">
        <v>1083</v>
      </c>
      <c r="I177" s="23" t="s">
        <v>1084</v>
      </c>
      <c r="J177" s="23" t="s">
        <v>1085</v>
      </c>
      <c r="K177" s="23" t="s">
        <v>591</v>
      </c>
      <c r="L177" s="23" t="s">
        <v>592</v>
      </c>
      <c r="M177" s="23" t="s">
        <v>1086</v>
      </c>
      <c r="N177" s="23" t="s">
        <v>1087</v>
      </c>
      <c r="O177" s="23" t="s">
        <v>583</v>
      </c>
      <c r="P177" s="23"/>
      <c r="Q177" s="23"/>
      <c r="R177" s="23"/>
      <c r="S177" s="23"/>
      <c r="T177" s="23"/>
      <c r="U177" s="23"/>
      <c r="V177" s="23"/>
      <c r="W177" s="23"/>
      <c r="X177" s="4"/>
    </row>
    <row r="178" spans="1:24" ht="51" x14ac:dyDescent="0.25">
      <c r="A178" s="21" t="s">
        <v>1088</v>
      </c>
      <c r="B178" s="21" t="str">
        <f t="shared" si="3"/>
        <v>84433112</v>
      </c>
      <c r="C178" s="21" t="str">
        <f>Tabela5[[#This Row],[Cod. Ncm]]&amp;"-"&amp;Tabela5[[#This Row],[Operações]]</f>
        <v>84433112-Internas</v>
      </c>
      <c r="D178" s="22" t="s">
        <v>579</v>
      </c>
      <c r="E178" s="22" t="s">
        <v>593</v>
      </c>
      <c r="F178" s="22">
        <v>7</v>
      </c>
      <c r="G178" s="22" t="s">
        <v>1082</v>
      </c>
      <c r="H178" s="22" t="s">
        <v>1083</v>
      </c>
      <c r="I178" s="23" t="s">
        <v>1084</v>
      </c>
      <c r="J178" s="23" t="s">
        <v>1085</v>
      </c>
      <c r="K178" s="23" t="s">
        <v>591</v>
      </c>
      <c r="L178" s="23" t="s">
        <v>592</v>
      </c>
      <c r="M178" s="23" t="s">
        <v>1086</v>
      </c>
      <c r="N178" s="23" t="s">
        <v>1087</v>
      </c>
      <c r="O178" s="23" t="s">
        <v>583</v>
      </c>
      <c r="P178" s="23"/>
      <c r="Q178" s="23"/>
      <c r="R178" s="23"/>
      <c r="S178" s="23"/>
      <c r="T178" s="23"/>
      <c r="U178" s="23"/>
      <c r="V178" s="23"/>
      <c r="W178" s="23"/>
      <c r="X178" s="4"/>
    </row>
    <row r="179" spans="1:24" ht="51" x14ac:dyDescent="0.25">
      <c r="A179" s="21" t="s">
        <v>1089</v>
      </c>
      <c r="B179" s="21" t="str">
        <f t="shared" si="3"/>
        <v>84433113</v>
      </c>
      <c r="C179" s="21" t="str">
        <f>Tabela5[[#This Row],[Cod. Ncm]]&amp;"-"&amp;Tabela5[[#This Row],[Operações]]</f>
        <v>84433113-Internas</v>
      </c>
      <c r="D179" s="22" t="s">
        <v>579</v>
      </c>
      <c r="E179" s="22" t="s">
        <v>593</v>
      </c>
      <c r="F179" s="22">
        <v>7</v>
      </c>
      <c r="G179" s="22" t="s">
        <v>1082</v>
      </c>
      <c r="H179" s="22" t="s">
        <v>1083</v>
      </c>
      <c r="I179" s="23" t="s">
        <v>1084</v>
      </c>
      <c r="J179" s="23" t="s">
        <v>1085</v>
      </c>
      <c r="K179" s="23" t="s">
        <v>591</v>
      </c>
      <c r="L179" s="23" t="s">
        <v>592</v>
      </c>
      <c r="M179" s="23" t="s">
        <v>1086</v>
      </c>
      <c r="N179" s="23" t="s">
        <v>1087</v>
      </c>
      <c r="O179" s="23" t="s">
        <v>583</v>
      </c>
      <c r="P179" s="23"/>
      <c r="Q179" s="23"/>
      <c r="R179" s="23"/>
      <c r="S179" s="23"/>
      <c r="T179" s="23"/>
      <c r="U179" s="23"/>
      <c r="V179" s="23"/>
      <c r="W179" s="23"/>
      <c r="X179" s="4"/>
    </row>
    <row r="180" spans="1:24" ht="51" x14ac:dyDescent="0.25">
      <c r="A180" s="21" t="s">
        <v>1090</v>
      </c>
      <c r="B180" s="21" t="str">
        <f t="shared" si="3"/>
        <v>84433114</v>
      </c>
      <c r="C180" s="21" t="str">
        <f>Tabela5[[#This Row],[Cod. Ncm]]&amp;"-"&amp;Tabela5[[#This Row],[Operações]]</f>
        <v>84433114-Internas</v>
      </c>
      <c r="D180" s="22" t="s">
        <v>579</v>
      </c>
      <c r="E180" s="22" t="s">
        <v>593</v>
      </c>
      <c r="F180" s="22">
        <v>7</v>
      </c>
      <c r="G180" s="22" t="s">
        <v>1082</v>
      </c>
      <c r="H180" s="22" t="s">
        <v>1083</v>
      </c>
      <c r="I180" s="23" t="s">
        <v>1084</v>
      </c>
      <c r="J180" s="23" t="s">
        <v>1085</v>
      </c>
      <c r="K180" s="23" t="s">
        <v>591</v>
      </c>
      <c r="L180" s="23" t="s">
        <v>592</v>
      </c>
      <c r="M180" s="23" t="s">
        <v>1086</v>
      </c>
      <c r="N180" s="23" t="s">
        <v>1087</v>
      </c>
      <c r="O180" s="23" t="s">
        <v>583</v>
      </c>
      <c r="P180" s="23"/>
      <c r="Q180" s="23"/>
      <c r="R180" s="23"/>
      <c r="S180" s="23"/>
      <c r="T180" s="23"/>
      <c r="U180" s="23"/>
      <c r="V180" s="23"/>
      <c r="W180" s="23"/>
      <c r="X180" s="4"/>
    </row>
    <row r="181" spans="1:24" ht="51" x14ac:dyDescent="0.25">
      <c r="A181" s="21" t="s">
        <v>1091</v>
      </c>
      <c r="B181" s="21" t="str">
        <f t="shared" si="3"/>
        <v>84433115</v>
      </c>
      <c r="C181" s="21" t="str">
        <f>Tabela5[[#This Row],[Cod. Ncm]]&amp;"-"&amp;Tabela5[[#This Row],[Operações]]</f>
        <v>84433115-Internas</v>
      </c>
      <c r="D181" s="22" t="s">
        <v>579</v>
      </c>
      <c r="E181" s="22" t="s">
        <v>593</v>
      </c>
      <c r="F181" s="22">
        <v>7</v>
      </c>
      <c r="G181" s="22" t="s">
        <v>1082</v>
      </c>
      <c r="H181" s="22" t="s">
        <v>1083</v>
      </c>
      <c r="I181" s="23" t="s">
        <v>1084</v>
      </c>
      <c r="J181" s="23" t="s">
        <v>1085</v>
      </c>
      <c r="K181" s="23" t="s">
        <v>591</v>
      </c>
      <c r="L181" s="23" t="s">
        <v>592</v>
      </c>
      <c r="M181" s="23" t="s">
        <v>1086</v>
      </c>
      <c r="N181" s="23" t="s">
        <v>1087</v>
      </c>
      <c r="O181" s="23" t="s">
        <v>583</v>
      </c>
      <c r="P181" s="23"/>
      <c r="Q181" s="23"/>
      <c r="R181" s="23"/>
      <c r="S181" s="23"/>
      <c r="T181" s="23"/>
      <c r="U181" s="23"/>
      <c r="V181" s="23"/>
      <c r="W181" s="23"/>
      <c r="X181" s="4"/>
    </row>
    <row r="182" spans="1:24" ht="51" x14ac:dyDescent="0.25">
      <c r="A182" s="21" t="s">
        <v>1092</v>
      </c>
      <c r="B182" s="21" t="str">
        <f t="shared" si="3"/>
        <v>84433116</v>
      </c>
      <c r="C182" s="21" t="str">
        <f>Tabela5[[#This Row],[Cod. Ncm]]&amp;"-"&amp;Tabela5[[#This Row],[Operações]]</f>
        <v>84433116-Internas</v>
      </c>
      <c r="D182" s="22" t="s">
        <v>579</v>
      </c>
      <c r="E182" s="22" t="s">
        <v>593</v>
      </c>
      <c r="F182" s="22">
        <v>7</v>
      </c>
      <c r="G182" s="22" t="s">
        <v>1082</v>
      </c>
      <c r="H182" s="22" t="s">
        <v>1083</v>
      </c>
      <c r="I182" s="23" t="s">
        <v>1084</v>
      </c>
      <c r="J182" s="23" t="s">
        <v>1085</v>
      </c>
      <c r="K182" s="23" t="s">
        <v>591</v>
      </c>
      <c r="L182" s="23" t="s">
        <v>592</v>
      </c>
      <c r="M182" s="23" t="s">
        <v>1086</v>
      </c>
      <c r="N182" s="23" t="s">
        <v>1087</v>
      </c>
      <c r="O182" s="23" t="s">
        <v>583</v>
      </c>
      <c r="P182" s="23"/>
      <c r="Q182" s="23"/>
      <c r="R182" s="23"/>
      <c r="S182" s="23"/>
      <c r="T182" s="23"/>
      <c r="U182" s="23"/>
      <c r="V182" s="23"/>
      <c r="W182" s="23"/>
      <c r="X182" s="4"/>
    </row>
    <row r="183" spans="1:24" ht="51" x14ac:dyDescent="0.25">
      <c r="A183" s="21" t="s">
        <v>1093</v>
      </c>
      <c r="B183" s="21" t="str">
        <f t="shared" si="3"/>
        <v>84433119</v>
      </c>
      <c r="C183" s="21" t="str">
        <f>Tabela5[[#This Row],[Cod. Ncm]]&amp;"-"&amp;Tabela5[[#This Row],[Operações]]</f>
        <v>84433119-Internas</v>
      </c>
      <c r="D183" s="22" t="s">
        <v>579</v>
      </c>
      <c r="E183" s="22" t="s">
        <v>593</v>
      </c>
      <c r="F183" s="22">
        <v>7</v>
      </c>
      <c r="G183" s="22" t="s">
        <v>1082</v>
      </c>
      <c r="H183" s="22" t="s">
        <v>1083</v>
      </c>
      <c r="I183" s="23" t="s">
        <v>1084</v>
      </c>
      <c r="J183" s="23" t="s">
        <v>1085</v>
      </c>
      <c r="K183" s="23" t="s">
        <v>591</v>
      </c>
      <c r="L183" s="23" t="s">
        <v>592</v>
      </c>
      <c r="M183" s="23" t="s">
        <v>1086</v>
      </c>
      <c r="N183" s="23" t="s">
        <v>1087</v>
      </c>
      <c r="O183" s="23" t="s">
        <v>583</v>
      </c>
      <c r="P183" s="23"/>
      <c r="Q183" s="23"/>
      <c r="R183" s="23"/>
      <c r="S183" s="23"/>
      <c r="T183" s="23"/>
      <c r="U183" s="23"/>
      <c r="V183" s="23"/>
      <c r="W183" s="23"/>
      <c r="X183" s="4"/>
    </row>
    <row r="184" spans="1:24" ht="51" x14ac:dyDescent="0.25">
      <c r="A184" s="21" t="s">
        <v>1094</v>
      </c>
      <c r="B184" s="21" t="str">
        <f t="shared" si="3"/>
        <v>84433191</v>
      </c>
      <c r="C184" s="21" t="str">
        <f>Tabela5[[#This Row],[Cod. Ncm]]&amp;"-"&amp;Tabela5[[#This Row],[Operações]]</f>
        <v>84433191-Internas</v>
      </c>
      <c r="D184" s="22" t="s">
        <v>579</v>
      </c>
      <c r="E184" s="22" t="s">
        <v>593</v>
      </c>
      <c r="F184" s="22">
        <v>7</v>
      </c>
      <c r="G184" s="22" t="s">
        <v>1082</v>
      </c>
      <c r="H184" s="22" t="s">
        <v>1083</v>
      </c>
      <c r="I184" s="23" t="s">
        <v>1084</v>
      </c>
      <c r="J184" s="23" t="s">
        <v>1085</v>
      </c>
      <c r="K184" s="23" t="s">
        <v>591</v>
      </c>
      <c r="L184" s="23" t="s">
        <v>592</v>
      </c>
      <c r="M184" s="23" t="s">
        <v>1086</v>
      </c>
      <c r="N184" s="23" t="s">
        <v>1087</v>
      </c>
      <c r="O184" s="23" t="s">
        <v>583</v>
      </c>
      <c r="P184" s="23"/>
      <c r="Q184" s="23"/>
      <c r="R184" s="23"/>
      <c r="S184" s="23"/>
      <c r="T184" s="23"/>
      <c r="U184" s="23"/>
      <c r="V184" s="23"/>
      <c r="W184" s="23"/>
      <c r="X184" s="4"/>
    </row>
    <row r="185" spans="1:24" ht="51" x14ac:dyDescent="0.25">
      <c r="A185" s="21" t="s">
        <v>1095</v>
      </c>
      <c r="B185" s="21" t="str">
        <f t="shared" si="3"/>
        <v>84433199</v>
      </c>
      <c r="C185" s="21" t="str">
        <f>Tabela5[[#This Row],[Cod. Ncm]]&amp;"-"&amp;Tabela5[[#This Row],[Operações]]</f>
        <v>84433199-Internas</v>
      </c>
      <c r="D185" s="22" t="s">
        <v>579</v>
      </c>
      <c r="E185" s="22" t="s">
        <v>593</v>
      </c>
      <c r="F185" s="22">
        <v>7</v>
      </c>
      <c r="G185" s="22" t="s">
        <v>1082</v>
      </c>
      <c r="H185" s="22" t="s">
        <v>1083</v>
      </c>
      <c r="I185" s="23" t="s">
        <v>1084</v>
      </c>
      <c r="J185" s="23" t="s">
        <v>1085</v>
      </c>
      <c r="K185" s="23" t="s">
        <v>591</v>
      </c>
      <c r="L185" s="23" t="s">
        <v>592</v>
      </c>
      <c r="M185" s="23" t="s">
        <v>1086</v>
      </c>
      <c r="N185" s="23" t="s">
        <v>1087</v>
      </c>
      <c r="O185" s="23" t="s">
        <v>583</v>
      </c>
      <c r="P185" s="23"/>
      <c r="Q185" s="23"/>
      <c r="R185" s="23"/>
      <c r="S185" s="23"/>
      <c r="T185" s="23"/>
      <c r="U185" s="23"/>
      <c r="V185" s="23"/>
      <c r="W185" s="23"/>
      <c r="X185" s="4"/>
    </row>
    <row r="186" spans="1:24" ht="39" x14ac:dyDescent="0.25">
      <c r="A186" s="21" t="s">
        <v>1096</v>
      </c>
      <c r="B186" s="21" t="str">
        <f t="shared" si="3"/>
        <v>84433221</v>
      </c>
      <c r="C186" s="21" t="str">
        <f>Tabela5[[#This Row],[Cod. Ncm]]&amp;"-"&amp;Tabela5[[#This Row],[Operações]]</f>
        <v>84433221-Internas</v>
      </c>
      <c r="D186" s="22" t="s">
        <v>579</v>
      </c>
      <c r="E186" s="22" t="s">
        <v>593</v>
      </c>
      <c r="F186" s="22">
        <v>7</v>
      </c>
      <c r="G186" s="22" t="s">
        <v>1097</v>
      </c>
      <c r="H186" s="22" t="s">
        <v>1083</v>
      </c>
      <c r="I186" s="23" t="s">
        <v>1098</v>
      </c>
      <c r="J186" s="23" t="s">
        <v>591</v>
      </c>
      <c r="K186" s="23" t="s">
        <v>592</v>
      </c>
      <c r="L186" s="23" t="s">
        <v>1086</v>
      </c>
      <c r="M186" s="23" t="s">
        <v>1087</v>
      </c>
      <c r="N186" s="23" t="s">
        <v>583</v>
      </c>
      <c r="O186" s="23"/>
      <c r="P186" s="23"/>
      <c r="Q186" s="23"/>
      <c r="R186" s="23"/>
      <c r="S186" s="23"/>
      <c r="T186" s="23"/>
      <c r="U186" s="23"/>
      <c r="V186" s="23"/>
      <c r="W186" s="23"/>
      <c r="X186" s="4"/>
    </row>
    <row r="187" spans="1:24" ht="39" x14ac:dyDescent="0.25">
      <c r="A187" s="21" t="s">
        <v>1099</v>
      </c>
      <c r="B187" s="21" t="str">
        <f t="shared" si="3"/>
        <v>84433223</v>
      </c>
      <c r="C187" s="21" t="str">
        <f>Tabela5[[#This Row],[Cod. Ncm]]&amp;"-"&amp;Tabela5[[#This Row],[Operações]]</f>
        <v>84433223-Internas</v>
      </c>
      <c r="D187" s="22" t="s">
        <v>579</v>
      </c>
      <c r="E187" s="22" t="s">
        <v>593</v>
      </c>
      <c r="F187" s="22">
        <v>7</v>
      </c>
      <c r="G187" s="22" t="s">
        <v>1100</v>
      </c>
      <c r="H187" s="22" t="s">
        <v>1083</v>
      </c>
      <c r="I187" s="23" t="s">
        <v>1101</v>
      </c>
      <c r="J187" s="23" t="s">
        <v>591</v>
      </c>
      <c r="K187" s="23" t="s">
        <v>592</v>
      </c>
      <c r="L187" s="23" t="s">
        <v>1086</v>
      </c>
      <c r="M187" s="23" t="s">
        <v>1087</v>
      </c>
      <c r="N187" s="23" t="s">
        <v>583</v>
      </c>
      <c r="O187" s="23"/>
      <c r="P187" s="23"/>
      <c r="Q187" s="23"/>
      <c r="R187" s="23"/>
      <c r="S187" s="23"/>
      <c r="T187" s="23"/>
      <c r="U187" s="23"/>
      <c r="V187" s="23"/>
      <c r="W187" s="23"/>
      <c r="X187" s="4"/>
    </row>
    <row r="188" spans="1:24" ht="39" x14ac:dyDescent="0.25">
      <c r="A188" s="21" t="s">
        <v>1102</v>
      </c>
      <c r="B188" s="21" t="str">
        <f t="shared" si="3"/>
        <v>84433231</v>
      </c>
      <c r="C188" s="21" t="str">
        <f>Tabela5[[#This Row],[Cod. Ncm]]&amp;"-"&amp;Tabela5[[#This Row],[Operações]]</f>
        <v>84433231-Internas</v>
      </c>
      <c r="D188" s="22" t="s">
        <v>579</v>
      </c>
      <c r="E188" s="22" t="s">
        <v>593</v>
      </c>
      <c r="F188" s="22">
        <v>7</v>
      </c>
      <c r="G188" s="22" t="s">
        <v>1103</v>
      </c>
      <c r="H188" s="22" t="s">
        <v>1083</v>
      </c>
      <c r="I188" s="23" t="s">
        <v>1104</v>
      </c>
      <c r="J188" s="23" t="s">
        <v>591</v>
      </c>
      <c r="K188" s="23" t="s">
        <v>592</v>
      </c>
      <c r="L188" s="23" t="s">
        <v>1086</v>
      </c>
      <c r="M188" s="23" t="s">
        <v>1087</v>
      </c>
      <c r="N188" s="23" t="s">
        <v>583</v>
      </c>
      <c r="O188" s="23"/>
      <c r="P188" s="23"/>
      <c r="Q188" s="23"/>
      <c r="R188" s="23"/>
      <c r="S188" s="23"/>
      <c r="T188" s="23"/>
      <c r="U188" s="23"/>
      <c r="V188" s="23"/>
      <c r="W188" s="23"/>
      <c r="X188" s="4"/>
    </row>
    <row r="189" spans="1:24" ht="39" x14ac:dyDescent="0.25">
      <c r="A189" s="21" t="s">
        <v>1105</v>
      </c>
      <c r="B189" s="21" t="str">
        <f t="shared" si="3"/>
        <v>84433232</v>
      </c>
      <c r="C189" s="21" t="str">
        <f>Tabela5[[#This Row],[Cod. Ncm]]&amp;"-"&amp;Tabela5[[#This Row],[Operações]]</f>
        <v>84433232-Internas</v>
      </c>
      <c r="D189" s="22" t="s">
        <v>579</v>
      </c>
      <c r="E189" s="22" t="s">
        <v>593</v>
      </c>
      <c r="F189" s="22">
        <v>7</v>
      </c>
      <c r="G189" s="22" t="s">
        <v>1106</v>
      </c>
      <c r="H189" s="22" t="s">
        <v>1083</v>
      </c>
      <c r="I189" s="23" t="s">
        <v>1107</v>
      </c>
      <c r="J189" s="23" t="s">
        <v>591</v>
      </c>
      <c r="K189" s="23" t="s">
        <v>592</v>
      </c>
      <c r="L189" s="23" t="s">
        <v>1086</v>
      </c>
      <c r="M189" s="23" t="s">
        <v>1087</v>
      </c>
      <c r="N189" s="23" t="s">
        <v>583</v>
      </c>
      <c r="O189" s="23"/>
      <c r="P189" s="23"/>
      <c r="Q189" s="23"/>
      <c r="R189" s="23"/>
      <c r="S189" s="23"/>
      <c r="T189" s="23"/>
      <c r="U189" s="23"/>
      <c r="V189" s="23"/>
      <c r="W189" s="23"/>
      <c r="X189" s="4"/>
    </row>
    <row r="190" spans="1:24" ht="63.75" x14ac:dyDescent="0.25">
      <c r="A190" s="21" t="s">
        <v>1108</v>
      </c>
      <c r="B190" s="21" t="str">
        <f t="shared" si="3"/>
        <v>84433233</v>
      </c>
      <c r="C190" s="21" t="str">
        <f>Tabela5[[#This Row],[Cod. Ncm]]&amp;"-"&amp;Tabela5[[#This Row],[Operações]]</f>
        <v>84433233-Internas</v>
      </c>
      <c r="D190" s="22" t="s">
        <v>579</v>
      </c>
      <c r="E190" s="22" t="s">
        <v>593</v>
      </c>
      <c r="F190" s="22">
        <v>7</v>
      </c>
      <c r="G190" s="22" t="s">
        <v>1109</v>
      </c>
      <c r="H190" s="22" t="s">
        <v>1083</v>
      </c>
      <c r="I190" s="23" t="s">
        <v>1110</v>
      </c>
      <c r="J190" s="23" t="s">
        <v>591</v>
      </c>
      <c r="K190" s="23" t="s">
        <v>592</v>
      </c>
      <c r="L190" s="23" t="s">
        <v>1086</v>
      </c>
      <c r="M190" s="23" t="s">
        <v>1087</v>
      </c>
      <c r="N190" s="23" t="s">
        <v>583</v>
      </c>
      <c r="O190" s="23"/>
      <c r="P190" s="23"/>
      <c r="Q190" s="23"/>
      <c r="R190" s="23"/>
      <c r="S190" s="23"/>
      <c r="T190" s="23"/>
      <c r="U190" s="23"/>
      <c r="V190" s="23"/>
      <c r="W190" s="23"/>
      <c r="X190" s="4"/>
    </row>
    <row r="191" spans="1:24" ht="51" x14ac:dyDescent="0.25">
      <c r="A191" s="21" t="s">
        <v>1111</v>
      </c>
      <c r="B191" s="21" t="str">
        <f t="shared" si="3"/>
        <v>84433234</v>
      </c>
      <c r="C191" s="21" t="str">
        <f>Tabela5[[#This Row],[Cod. Ncm]]&amp;"-"&amp;Tabela5[[#This Row],[Operações]]</f>
        <v>84433234-Internas</v>
      </c>
      <c r="D191" s="22" t="s">
        <v>579</v>
      </c>
      <c r="E191" s="22" t="s">
        <v>593</v>
      </c>
      <c r="F191" s="22">
        <v>7</v>
      </c>
      <c r="G191" s="22" t="s">
        <v>1112</v>
      </c>
      <c r="H191" s="22" t="s">
        <v>1083</v>
      </c>
      <c r="I191" s="23" t="s">
        <v>1113</v>
      </c>
      <c r="J191" s="23" t="s">
        <v>591</v>
      </c>
      <c r="K191" s="23" t="s">
        <v>592</v>
      </c>
      <c r="L191" s="23" t="s">
        <v>1086</v>
      </c>
      <c r="M191" s="23" t="s">
        <v>1087</v>
      </c>
      <c r="N191" s="23" t="s">
        <v>583</v>
      </c>
      <c r="O191" s="23"/>
      <c r="P191" s="23"/>
      <c r="Q191" s="23"/>
      <c r="R191" s="23"/>
      <c r="S191" s="23"/>
      <c r="T191" s="23"/>
      <c r="U191" s="23"/>
      <c r="V191" s="23"/>
      <c r="W191" s="23"/>
      <c r="X191" s="4"/>
    </row>
    <row r="192" spans="1:24" ht="51" x14ac:dyDescent="0.25">
      <c r="A192" s="21" t="s">
        <v>1114</v>
      </c>
      <c r="B192" s="21" t="str">
        <f t="shared" si="3"/>
        <v>84433235</v>
      </c>
      <c r="C192" s="21" t="str">
        <f>Tabela5[[#This Row],[Cod. Ncm]]&amp;"-"&amp;Tabela5[[#This Row],[Operações]]</f>
        <v>84433235-Internas</v>
      </c>
      <c r="D192" s="22" t="s">
        <v>579</v>
      </c>
      <c r="E192" s="22" t="s">
        <v>593</v>
      </c>
      <c r="F192" s="22">
        <v>7</v>
      </c>
      <c r="G192" s="22" t="s">
        <v>1115</v>
      </c>
      <c r="H192" s="22" t="s">
        <v>1083</v>
      </c>
      <c r="I192" s="23" t="s">
        <v>1116</v>
      </c>
      <c r="J192" s="23" t="s">
        <v>591</v>
      </c>
      <c r="K192" s="23" t="s">
        <v>592</v>
      </c>
      <c r="L192" s="23" t="s">
        <v>1086</v>
      </c>
      <c r="M192" s="23" t="s">
        <v>1087</v>
      </c>
      <c r="N192" s="23" t="s">
        <v>583</v>
      </c>
      <c r="O192" s="23"/>
      <c r="P192" s="23"/>
      <c r="Q192" s="23"/>
      <c r="R192" s="23"/>
      <c r="S192" s="23"/>
      <c r="T192" s="23"/>
      <c r="U192" s="23"/>
      <c r="V192" s="23"/>
      <c r="W192" s="23"/>
      <c r="X192" s="4"/>
    </row>
    <row r="193" spans="1:24" ht="39" x14ac:dyDescent="0.25">
      <c r="A193" s="21" t="s">
        <v>1117</v>
      </c>
      <c r="B193" s="21" t="str">
        <f t="shared" si="3"/>
        <v>84433236</v>
      </c>
      <c r="C193" s="21" t="str">
        <f>Tabela5[[#This Row],[Cod. Ncm]]&amp;"-"&amp;Tabela5[[#This Row],[Operações]]</f>
        <v>84433236-Internas</v>
      </c>
      <c r="D193" s="22" t="s">
        <v>579</v>
      </c>
      <c r="E193" s="22" t="s">
        <v>593</v>
      </c>
      <c r="F193" s="22">
        <v>7</v>
      </c>
      <c r="G193" s="22" t="s">
        <v>1118</v>
      </c>
      <c r="H193" s="22" t="s">
        <v>1083</v>
      </c>
      <c r="I193" s="23" t="s">
        <v>1119</v>
      </c>
      <c r="J193" s="23" t="s">
        <v>591</v>
      </c>
      <c r="K193" s="23" t="s">
        <v>592</v>
      </c>
      <c r="L193" s="23" t="s">
        <v>1086</v>
      </c>
      <c r="M193" s="23" t="s">
        <v>1087</v>
      </c>
      <c r="N193" s="23" t="s">
        <v>583</v>
      </c>
      <c r="O193" s="23"/>
      <c r="P193" s="23"/>
      <c r="Q193" s="23"/>
      <c r="R193" s="23"/>
      <c r="S193" s="23"/>
      <c r="T193" s="23"/>
      <c r="U193" s="23"/>
      <c r="V193" s="23"/>
      <c r="W193" s="23"/>
      <c r="X193" s="4"/>
    </row>
    <row r="194" spans="1:24" ht="39" x14ac:dyDescent="0.25">
      <c r="A194" s="21" t="s">
        <v>1120</v>
      </c>
      <c r="B194" s="21" t="str">
        <f t="shared" si="3"/>
        <v>84433239</v>
      </c>
      <c r="C194" s="21" t="str">
        <f>Tabela5[[#This Row],[Cod. Ncm]]&amp;"-"&amp;Tabela5[[#This Row],[Operações]]</f>
        <v>84433239-Internas</v>
      </c>
      <c r="D194" s="22" t="s">
        <v>579</v>
      </c>
      <c r="E194" s="22" t="s">
        <v>593</v>
      </c>
      <c r="F194" s="22">
        <v>7</v>
      </c>
      <c r="G194" s="22" t="s">
        <v>1121</v>
      </c>
      <c r="H194" s="22" t="s">
        <v>1083</v>
      </c>
      <c r="I194" s="23" t="s">
        <v>1122</v>
      </c>
      <c r="J194" s="23" t="s">
        <v>591</v>
      </c>
      <c r="K194" s="23" t="s">
        <v>592</v>
      </c>
      <c r="L194" s="23" t="s">
        <v>1086</v>
      </c>
      <c r="M194" s="23" t="s">
        <v>1087</v>
      </c>
      <c r="N194" s="23" t="s">
        <v>583</v>
      </c>
      <c r="O194" s="23"/>
      <c r="P194" s="23"/>
      <c r="Q194" s="23"/>
      <c r="R194" s="23"/>
      <c r="S194" s="23"/>
      <c r="T194" s="23"/>
      <c r="U194" s="23"/>
      <c r="V194" s="23"/>
      <c r="W194" s="23"/>
      <c r="X194" s="4"/>
    </row>
    <row r="195" spans="1:24" ht="39" x14ac:dyDescent="0.25">
      <c r="A195" s="21" t="s">
        <v>1123</v>
      </c>
      <c r="B195" s="21" t="str">
        <f t="shared" si="3"/>
        <v>84433240</v>
      </c>
      <c r="C195" s="21" t="str">
        <f>Tabela5[[#This Row],[Cod. Ncm]]&amp;"-"&amp;Tabela5[[#This Row],[Operações]]</f>
        <v>84433240-Internas</v>
      </c>
      <c r="D195" s="22" t="s">
        <v>579</v>
      </c>
      <c r="E195" s="22" t="s">
        <v>593</v>
      </c>
      <c r="F195" s="22">
        <v>7</v>
      </c>
      <c r="G195" s="22" t="s">
        <v>1124</v>
      </c>
      <c r="H195" s="22" t="s">
        <v>1083</v>
      </c>
      <c r="I195" s="23" t="s">
        <v>1125</v>
      </c>
      <c r="J195" s="23" t="s">
        <v>591</v>
      </c>
      <c r="K195" s="23" t="s">
        <v>592</v>
      </c>
      <c r="L195" s="23" t="s">
        <v>1086</v>
      </c>
      <c r="M195" s="23" t="s">
        <v>1087</v>
      </c>
      <c r="N195" s="23" t="s">
        <v>583</v>
      </c>
      <c r="O195" s="23"/>
      <c r="P195" s="23"/>
      <c r="Q195" s="23"/>
      <c r="R195" s="23"/>
      <c r="S195" s="23"/>
      <c r="T195" s="23"/>
      <c r="U195" s="23"/>
      <c r="V195" s="23"/>
      <c r="W195" s="23"/>
      <c r="X195" s="4"/>
    </row>
    <row r="196" spans="1:24" ht="39" x14ac:dyDescent="0.25">
      <c r="A196" s="21" t="s">
        <v>1126</v>
      </c>
      <c r="B196" s="21" t="str">
        <f t="shared" si="3"/>
        <v>84433251</v>
      </c>
      <c r="C196" s="21" t="str">
        <f>Tabela5[[#This Row],[Cod. Ncm]]&amp;"-"&amp;Tabela5[[#This Row],[Operações]]</f>
        <v>84433251-Internas</v>
      </c>
      <c r="D196" s="22" t="s">
        <v>579</v>
      </c>
      <c r="E196" s="22" t="s">
        <v>593</v>
      </c>
      <c r="F196" s="22">
        <v>7</v>
      </c>
      <c r="G196" s="22" t="s">
        <v>1127</v>
      </c>
      <c r="H196" s="22" t="s">
        <v>1083</v>
      </c>
      <c r="I196" s="23" t="s">
        <v>1128</v>
      </c>
      <c r="J196" s="23" t="s">
        <v>591</v>
      </c>
      <c r="K196" s="23" t="s">
        <v>592</v>
      </c>
      <c r="L196" s="23" t="s">
        <v>1086</v>
      </c>
      <c r="M196" s="23" t="s">
        <v>1087</v>
      </c>
      <c r="N196" s="23" t="s">
        <v>583</v>
      </c>
      <c r="O196" s="23"/>
      <c r="P196" s="23"/>
      <c r="Q196" s="23"/>
      <c r="R196" s="23"/>
      <c r="S196" s="23"/>
      <c r="T196" s="23"/>
      <c r="U196" s="23"/>
      <c r="V196" s="23"/>
      <c r="W196" s="23"/>
      <c r="X196" s="4"/>
    </row>
    <row r="197" spans="1:24" ht="39" x14ac:dyDescent="0.25">
      <c r="A197" s="21" t="s">
        <v>1129</v>
      </c>
      <c r="B197" s="21" t="str">
        <f t="shared" si="3"/>
        <v>84433252</v>
      </c>
      <c r="C197" s="21" t="str">
        <f>Tabela5[[#This Row],[Cod. Ncm]]&amp;"-"&amp;Tabela5[[#This Row],[Operações]]</f>
        <v>84433252-Internas</v>
      </c>
      <c r="D197" s="22" t="s">
        <v>579</v>
      </c>
      <c r="E197" s="22" t="s">
        <v>593</v>
      </c>
      <c r="F197" s="22">
        <v>7</v>
      </c>
      <c r="G197" s="22" t="s">
        <v>1130</v>
      </c>
      <c r="H197" s="22" t="s">
        <v>1083</v>
      </c>
      <c r="I197" s="23" t="s">
        <v>1131</v>
      </c>
      <c r="J197" s="23" t="s">
        <v>591</v>
      </c>
      <c r="K197" s="23" t="s">
        <v>592</v>
      </c>
      <c r="L197" s="23" t="s">
        <v>1086</v>
      </c>
      <c r="M197" s="23" t="s">
        <v>1087</v>
      </c>
      <c r="N197" s="23" t="s">
        <v>583</v>
      </c>
      <c r="O197" s="23"/>
      <c r="P197" s="23"/>
      <c r="Q197" s="23"/>
      <c r="R197" s="23"/>
      <c r="S197" s="23"/>
      <c r="T197" s="23"/>
      <c r="U197" s="23"/>
      <c r="V197" s="23"/>
      <c r="W197" s="23"/>
      <c r="X197" s="4"/>
    </row>
    <row r="198" spans="1:24" ht="39" x14ac:dyDescent="0.25">
      <c r="A198" s="21" t="s">
        <v>1132</v>
      </c>
      <c r="B198" s="21" t="str">
        <f t="shared" si="3"/>
        <v>84433259</v>
      </c>
      <c r="C198" s="21" t="str">
        <f>Tabela5[[#This Row],[Cod. Ncm]]&amp;"-"&amp;Tabela5[[#This Row],[Operações]]</f>
        <v>84433259-Internas</v>
      </c>
      <c r="D198" s="22" t="s">
        <v>579</v>
      </c>
      <c r="E198" s="22" t="s">
        <v>593</v>
      </c>
      <c r="F198" s="22">
        <v>7</v>
      </c>
      <c r="G198" s="22" t="s">
        <v>1133</v>
      </c>
      <c r="H198" s="22" t="s">
        <v>1083</v>
      </c>
      <c r="I198" s="23" t="s">
        <v>1134</v>
      </c>
      <c r="J198" s="23" t="s">
        <v>591</v>
      </c>
      <c r="K198" s="23" t="s">
        <v>592</v>
      </c>
      <c r="L198" s="23" t="s">
        <v>1086</v>
      </c>
      <c r="M198" s="23" t="s">
        <v>1087</v>
      </c>
      <c r="N198" s="23" t="s">
        <v>583</v>
      </c>
      <c r="O198" s="23"/>
      <c r="P198" s="23"/>
      <c r="Q198" s="23"/>
      <c r="R198" s="23"/>
      <c r="S198" s="23"/>
      <c r="T198" s="23"/>
      <c r="U198" s="23"/>
      <c r="V198" s="23"/>
      <c r="W198" s="23"/>
      <c r="X198" s="4"/>
    </row>
    <row r="199" spans="1:24" ht="39" x14ac:dyDescent="0.25">
      <c r="A199" s="21" t="s">
        <v>1135</v>
      </c>
      <c r="B199" s="21" t="str">
        <f t="shared" ref="B199:B262" si="4">RIGHT(A199,8)</f>
        <v>84433299</v>
      </c>
      <c r="C199" s="21" t="str">
        <f>Tabela5[[#This Row],[Cod. Ncm]]&amp;"-"&amp;Tabela5[[#This Row],[Operações]]</f>
        <v>84433299-Internas</v>
      </c>
      <c r="D199" s="22" t="s">
        <v>579</v>
      </c>
      <c r="E199" s="22" t="s">
        <v>593</v>
      </c>
      <c r="F199" s="22">
        <v>7</v>
      </c>
      <c r="G199" s="22" t="s">
        <v>1136</v>
      </c>
      <c r="H199" s="22" t="s">
        <v>1083</v>
      </c>
      <c r="I199" s="23" t="s">
        <v>1137</v>
      </c>
      <c r="J199" s="23" t="s">
        <v>1138</v>
      </c>
      <c r="K199" s="23" t="s">
        <v>591</v>
      </c>
      <c r="L199" s="23" t="s">
        <v>592</v>
      </c>
      <c r="M199" s="23" t="s">
        <v>1086</v>
      </c>
      <c r="N199" s="23" t="s">
        <v>1087</v>
      </c>
      <c r="O199" s="23" t="s">
        <v>583</v>
      </c>
      <c r="P199" s="23"/>
      <c r="Q199" s="23"/>
      <c r="R199" s="23"/>
      <c r="S199" s="23"/>
      <c r="T199" s="23"/>
      <c r="U199" s="23"/>
      <c r="V199" s="23"/>
      <c r="W199" s="23"/>
      <c r="X199" s="4"/>
    </row>
    <row r="200" spans="1:24" ht="26.25" x14ac:dyDescent="0.25">
      <c r="A200" s="21" t="s">
        <v>1139</v>
      </c>
      <c r="B200" s="21" t="str">
        <f t="shared" si="4"/>
        <v>84433910</v>
      </c>
      <c r="C200" s="21" t="str">
        <f>Tabela5[[#This Row],[Cod. Ncm]]&amp;"-"&amp;Tabela5[[#This Row],[Operações]]</f>
        <v>84433910-Internas e interestaduais</v>
      </c>
      <c r="D200" s="22" t="s">
        <v>586</v>
      </c>
      <c r="E200" s="22" t="s">
        <v>587</v>
      </c>
      <c r="F200" s="22">
        <v>8.8000000000000007</v>
      </c>
      <c r="G200" s="22" t="s">
        <v>1140</v>
      </c>
      <c r="H200" s="22" t="s">
        <v>588</v>
      </c>
      <c r="I200" s="23" t="s">
        <v>577</v>
      </c>
      <c r="J200" s="23" t="s">
        <v>1141</v>
      </c>
      <c r="K200" s="23" t="s">
        <v>589</v>
      </c>
      <c r="L200" s="23" t="s">
        <v>590</v>
      </c>
      <c r="M200" s="23"/>
      <c r="N200" s="23"/>
      <c r="O200" s="23"/>
      <c r="P200" s="23"/>
      <c r="Q200" s="23"/>
      <c r="R200" s="23"/>
      <c r="S200" s="23"/>
      <c r="T200" s="23"/>
      <c r="U200" s="23"/>
      <c r="V200" s="23"/>
      <c r="W200" s="23"/>
      <c r="X200" s="4"/>
    </row>
    <row r="201" spans="1:24" ht="26.25" x14ac:dyDescent="0.25">
      <c r="A201" s="21" t="s">
        <v>1142</v>
      </c>
      <c r="B201" s="21" t="str">
        <f t="shared" si="4"/>
        <v>84439191</v>
      </c>
      <c r="C201" s="21" t="str">
        <f>Tabela5[[#This Row],[Cod. Ncm]]&amp;"-"&amp;Tabela5[[#This Row],[Operações]]</f>
        <v>84439191-Internas e interestaduais</v>
      </c>
      <c r="D201" s="22" t="s">
        <v>586</v>
      </c>
      <c r="E201" s="22" t="s">
        <v>587</v>
      </c>
      <c r="F201" s="22">
        <v>8.8000000000000007</v>
      </c>
      <c r="G201" s="22" t="s">
        <v>1143</v>
      </c>
      <c r="H201" s="22" t="s">
        <v>588</v>
      </c>
      <c r="I201" s="23" t="s">
        <v>577</v>
      </c>
      <c r="J201" s="23" t="s">
        <v>1144</v>
      </c>
      <c r="K201" s="23" t="s">
        <v>589</v>
      </c>
      <c r="L201" s="23" t="s">
        <v>590</v>
      </c>
      <c r="M201" s="23"/>
      <c r="N201" s="23"/>
      <c r="O201" s="23"/>
      <c r="P201" s="23"/>
      <c r="Q201" s="23"/>
      <c r="R201" s="23"/>
      <c r="S201" s="23"/>
      <c r="T201" s="23"/>
      <c r="U201" s="23"/>
      <c r="V201" s="23"/>
      <c r="W201" s="23"/>
      <c r="X201" s="4"/>
    </row>
    <row r="202" spans="1:24" ht="26.25" x14ac:dyDescent="0.25">
      <c r="A202" s="21" t="s">
        <v>1145</v>
      </c>
      <c r="B202" s="21" t="str">
        <f t="shared" si="4"/>
        <v>84439192</v>
      </c>
      <c r="C202" s="21" t="str">
        <f>Tabela5[[#This Row],[Cod. Ncm]]&amp;"-"&amp;Tabela5[[#This Row],[Operações]]</f>
        <v>84439192-Internas e interestaduais</v>
      </c>
      <c r="D202" s="22" t="s">
        <v>586</v>
      </c>
      <c r="E202" s="22" t="s">
        <v>587</v>
      </c>
      <c r="F202" s="22">
        <v>8.8000000000000007</v>
      </c>
      <c r="G202" s="22" t="s">
        <v>1146</v>
      </c>
      <c r="H202" s="22" t="s">
        <v>588</v>
      </c>
      <c r="I202" s="23" t="s">
        <v>577</v>
      </c>
      <c r="J202" s="23" t="s">
        <v>1147</v>
      </c>
      <c r="K202" s="23" t="s">
        <v>589</v>
      </c>
      <c r="L202" s="23" t="s">
        <v>590</v>
      </c>
      <c r="M202" s="23"/>
      <c r="N202" s="23"/>
      <c r="O202" s="23"/>
      <c r="P202" s="23"/>
      <c r="Q202" s="23"/>
      <c r="R202" s="23"/>
      <c r="S202" s="23"/>
      <c r="T202" s="23"/>
      <c r="U202" s="23"/>
      <c r="V202" s="23"/>
      <c r="W202" s="23"/>
      <c r="X202" s="4"/>
    </row>
    <row r="203" spans="1:24" ht="38.25" x14ac:dyDescent="0.25">
      <c r="A203" s="21" t="s">
        <v>1148</v>
      </c>
      <c r="B203" s="21" t="str">
        <f t="shared" si="4"/>
        <v>84439199</v>
      </c>
      <c r="C203" s="21" t="str">
        <f>Tabela5[[#This Row],[Cod. Ncm]]&amp;"-"&amp;Tabela5[[#This Row],[Operações]]</f>
        <v>84439199-Internas e interestaduais</v>
      </c>
      <c r="D203" s="22" t="s">
        <v>586</v>
      </c>
      <c r="E203" s="22" t="s">
        <v>587</v>
      </c>
      <c r="F203" s="22">
        <v>8.8000000000000007</v>
      </c>
      <c r="G203" s="22" t="s">
        <v>1149</v>
      </c>
      <c r="H203" s="22" t="s">
        <v>588</v>
      </c>
      <c r="I203" s="23" t="s">
        <v>577</v>
      </c>
      <c r="J203" s="23" t="s">
        <v>1150</v>
      </c>
      <c r="K203" s="23" t="s">
        <v>589</v>
      </c>
      <c r="L203" s="23" t="s">
        <v>590</v>
      </c>
      <c r="M203" s="23"/>
      <c r="N203" s="23"/>
      <c r="O203" s="23"/>
      <c r="P203" s="23"/>
      <c r="Q203" s="23"/>
      <c r="R203" s="23"/>
      <c r="S203" s="23"/>
      <c r="T203" s="23"/>
      <c r="U203" s="23"/>
      <c r="V203" s="23"/>
      <c r="W203" s="23"/>
      <c r="X203" s="4"/>
    </row>
    <row r="204" spans="1:24" ht="39" x14ac:dyDescent="0.25">
      <c r="A204" s="21" t="s">
        <v>1151</v>
      </c>
      <c r="B204" s="21" t="str">
        <f t="shared" si="4"/>
        <v>84439911</v>
      </c>
      <c r="C204" s="21" t="str">
        <f>Tabela5[[#This Row],[Cod. Ncm]]&amp;"-"&amp;Tabela5[[#This Row],[Operações]]</f>
        <v>84439911-Internas</v>
      </c>
      <c r="D204" s="22" t="s">
        <v>579</v>
      </c>
      <c r="E204" s="22" t="s">
        <v>593</v>
      </c>
      <c r="F204" s="22">
        <v>7</v>
      </c>
      <c r="G204" s="22" t="s">
        <v>1152</v>
      </c>
      <c r="H204" s="22" t="s">
        <v>1083</v>
      </c>
      <c r="I204" s="23" t="s">
        <v>1153</v>
      </c>
      <c r="J204" s="23" t="s">
        <v>591</v>
      </c>
      <c r="K204" s="23" t="s">
        <v>592</v>
      </c>
      <c r="L204" s="23" t="s">
        <v>1086</v>
      </c>
      <c r="M204" s="23" t="s">
        <v>1087</v>
      </c>
      <c r="N204" s="23" t="s">
        <v>1154</v>
      </c>
      <c r="O204" s="23" t="s">
        <v>583</v>
      </c>
      <c r="P204" s="23"/>
      <c r="Q204" s="23"/>
      <c r="R204" s="23"/>
      <c r="S204" s="23"/>
      <c r="T204" s="23"/>
      <c r="U204" s="23"/>
      <c r="V204" s="23"/>
      <c r="W204" s="23"/>
      <c r="X204" s="4"/>
    </row>
    <row r="205" spans="1:24" ht="39" x14ac:dyDescent="0.25">
      <c r="A205" s="21" t="s">
        <v>1155</v>
      </c>
      <c r="B205" s="21" t="str">
        <f t="shared" si="4"/>
        <v>84439921</v>
      </c>
      <c r="C205" s="21" t="str">
        <f>Tabela5[[#This Row],[Cod. Ncm]]&amp;"-"&amp;Tabela5[[#This Row],[Operações]]</f>
        <v>84439921-Internas</v>
      </c>
      <c r="D205" s="22" t="s">
        <v>579</v>
      </c>
      <c r="E205" s="22" t="s">
        <v>593</v>
      </c>
      <c r="F205" s="22">
        <v>7</v>
      </c>
      <c r="G205" s="22" t="s">
        <v>1156</v>
      </c>
      <c r="H205" s="22" t="s">
        <v>1083</v>
      </c>
      <c r="I205" s="23" t="s">
        <v>1157</v>
      </c>
      <c r="J205" s="23" t="s">
        <v>591</v>
      </c>
      <c r="K205" s="23" t="s">
        <v>592</v>
      </c>
      <c r="L205" s="23" t="s">
        <v>1086</v>
      </c>
      <c r="M205" s="23" t="s">
        <v>1087</v>
      </c>
      <c r="N205" s="23" t="s">
        <v>583</v>
      </c>
      <c r="O205" s="23"/>
      <c r="P205" s="23"/>
      <c r="Q205" s="23"/>
      <c r="R205" s="23"/>
      <c r="S205" s="23"/>
      <c r="T205" s="23"/>
      <c r="U205" s="23"/>
      <c r="V205" s="23"/>
      <c r="W205" s="23"/>
      <c r="X205" s="4"/>
    </row>
    <row r="206" spans="1:24" ht="39" x14ac:dyDescent="0.25">
      <c r="A206" s="21" t="s">
        <v>1158</v>
      </c>
      <c r="B206" s="21" t="str">
        <f t="shared" si="4"/>
        <v>84439922</v>
      </c>
      <c r="C206" s="21" t="str">
        <f>Tabela5[[#This Row],[Cod. Ncm]]&amp;"-"&amp;Tabela5[[#This Row],[Operações]]</f>
        <v>84439922-Internas</v>
      </c>
      <c r="D206" s="22" t="s">
        <v>579</v>
      </c>
      <c r="E206" s="22" t="s">
        <v>593</v>
      </c>
      <c r="F206" s="22">
        <v>7</v>
      </c>
      <c r="G206" s="22" t="s">
        <v>1159</v>
      </c>
      <c r="H206" s="22" t="s">
        <v>1083</v>
      </c>
      <c r="I206" s="23" t="s">
        <v>1157</v>
      </c>
      <c r="J206" s="23" t="s">
        <v>591</v>
      </c>
      <c r="K206" s="23" t="s">
        <v>592</v>
      </c>
      <c r="L206" s="23" t="s">
        <v>1086</v>
      </c>
      <c r="M206" s="23" t="s">
        <v>1087</v>
      </c>
      <c r="N206" s="23" t="s">
        <v>583</v>
      </c>
      <c r="O206" s="23"/>
      <c r="P206" s="23"/>
      <c r="Q206" s="23"/>
      <c r="R206" s="23"/>
      <c r="S206" s="23"/>
      <c r="T206" s="23"/>
      <c r="U206" s="23"/>
      <c r="V206" s="23"/>
      <c r="W206" s="23"/>
      <c r="X206" s="4"/>
    </row>
    <row r="207" spans="1:24" ht="39" x14ac:dyDescent="0.25">
      <c r="A207" s="21" t="s">
        <v>1160</v>
      </c>
      <c r="B207" s="21" t="str">
        <f t="shared" si="4"/>
        <v>84439923</v>
      </c>
      <c r="C207" s="21" t="str">
        <f>Tabela5[[#This Row],[Cod. Ncm]]&amp;"-"&amp;Tabela5[[#This Row],[Operações]]</f>
        <v>84439923-Internas</v>
      </c>
      <c r="D207" s="22" t="s">
        <v>579</v>
      </c>
      <c r="E207" s="22" t="s">
        <v>593</v>
      </c>
      <c r="F207" s="22">
        <v>7</v>
      </c>
      <c r="G207" s="22" t="s">
        <v>1161</v>
      </c>
      <c r="H207" s="22" t="s">
        <v>1083</v>
      </c>
      <c r="I207" s="23" t="s">
        <v>1162</v>
      </c>
      <c r="J207" s="23" t="s">
        <v>591</v>
      </c>
      <c r="K207" s="23" t="s">
        <v>592</v>
      </c>
      <c r="L207" s="23" t="s">
        <v>1086</v>
      </c>
      <c r="M207" s="23" t="s">
        <v>1087</v>
      </c>
      <c r="N207" s="23" t="s">
        <v>583</v>
      </c>
      <c r="O207" s="23"/>
      <c r="P207" s="23"/>
      <c r="Q207" s="23"/>
      <c r="R207" s="23"/>
      <c r="S207" s="23"/>
      <c r="T207" s="23"/>
      <c r="U207" s="23"/>
      <c r="V207" s="23"/>
      <c r="W207" s="23"/>
      <c r="X207" s="4" t="s">
        <v>1161</v>
      </c>
    </row>
    <row r="208" spans="1:24" ht="39" x14ac:dyDescent="0.25">
      <c r="A208" s="21" t="s">
        <v>1163</v>
      </c>
      <c r="B208" s="21" t="str">
        <f t="shared" si="4"/>
        <v>84439929</v>
      </c>
      <c r="C208" s="21" t="str">
        <f>Tabela5[[#This Row],[Cod. Ncm]]&amp;"-"&amp;Tabela5[[#This Row],[Operações]]</f>
        <v>84439929-Internas</v>
      </c>
      <c r="D208" s="22" t="s">
        <v>579</v>
      </c>
      <c r="E208" s="22" t="s">
        <v>593</v>
      </c>
      <c r="F208" s="22">
        <v>7</v>
      </c>
      <c r="G208" s="22" t="s">
        <v>1164</v>
      </c>
      <c r="H208" s="22" t="s">
        <v>1083</v>
      </c>
      <c r="I208" s="23" t="s">
        <v>1165</v>
      </c>
      <c r="J208" s="23" t="s">
        <v>1166</v>
      </c>
      <c r="K208" s="23" t="s">
        <v>591</v>
      </c>
      <c r="L208" s="23" t="s">
        <v>592</v>
      </c>
      <c r="M208" s="23" t="s">
        <v>1086</v>
      </c>
      <c r="N208" s="23" t="s">
        <v>1087</v>
      </c>
      <c r="O208" s="23" t="s">
        <v>583</v>
      </c>
      <c r="P208" s="23"/>
      <c r="Q208" s="23"/>
      <c r="R208" s="23"/>
      <c r="S208" s="23"/>
      <c r="T208" s="23"/>
      <c r="U208" s="23"/>
      <c r="V208" s="23"/>
      <c r="W208" s="23"/>
      <c r="X208" s="4" t="s">
        <v>1164</v>
      </c>
    </row>
    <row r="209" spans="1:24" ht="39" x14ac:dyDescent="0.25">
      <c r="A209" s="21" t="s">
        <v>1167</v>
      </c>
      <c r="B209" s="21" t="str">
        <f t="shared" si="4"/>
        <v>84439931</v>
      </c>
      <c r="C209" s="21" t="str">
        <f>Tabela5[[#This Row],[Cod. Ncm]]&amp;"-"&amp;Tabela5[[#This Row],[Operações]]</f>
        <v>84439931-Internas</v>
      </c>
      <c r="D209" s="22" t="s">
        <v>579</v>
      </c>
      <c r="E209" s="22" t="s">
        <v>593</v>
      </c>
      <c r="F209" s="22">
        <v>7</v>
      </c>
      <c r="G209" s="22" t="s">
        <v>1168</v>
      </c>
      <c r="H209" s="22" t="s">
        <v>1083</v>
      </c>
      <c r="I209" s="23" t="s">
        <v>1169</v>
      </c>
      <c r="J209" s="23" t="s">
        <v>591</v>
      </c>
      <c r="K209" s="23" t="s">
        <v>592</v>
      </c>
      <c r="L209" s="23" t="s">
        <v>1086</v>
      </c>
      <c r="M209" s="23" t="s">
        <v>1087</v>
      </c>
      <c r="N209" s="23" t="s">
        <v>583</v>
      </c>
      <c r="O209" s="23"/>
      <c r="P209" s="23"/>
      <c r="Q209" s="23"/>
      <c r="R209" s="23"/>
      <c r="S209" s="23"/>
      <c r="T209" s="23"/>
      <c r="U209" s="23"/>
      <c r="V209" s="23"/>
      <c r="W209" s="23"/>
      <c r="X209" s="4"/>
    </row>
    <row r="210" spans="1:24" ht="39" x14ac:dyDescent="0.25">
      <c r="A210" s="21" t="s">
        <v>1170</v>
      </c>
      <c r="B210" s="21" t="str">
        <f t="shared" si="4"/>
        <v>84439932</v>
      </c>
      <c r="C210" s="21" t="str">
        <f>Tabela5[[#This Row],[Cod. Ncm]]&amp;"-"&amp;Tabela5[[#This Row],[Operações]]</f>
        <v>84439932-Internas</v>
      </c>
      <c r="D210" s="22" t="s">
        <v>579</v>
      </c>
      <c r="E210" s="22" t="s">
        <v>593</v>
      </c>
      <c r="F210" s="22">
        <v>7</v>
      </c>
      <c r="G210" s="22" t="s">
        <v>1171</v>
      </c>
      <c r="H210" s="22" t="s">
        <v>1083</v>
      </c>
      <c r="I210" s="23" t="s">
        <v>1172</v>
      </c>
      <c r="J210" s="23" t="s">
        <v>591</v>
      </c>
      <c r="K210" s="23" t="s">
        <v>592</v>
      </c>
      <c r="L210" s="23" t="s">
        <v>1086</v>
      </c>
      <c r="M210" s="23" t="s">
        <v>1087</v>
      </c>
      <c r="N210" s="23" t="s">
        <v>583</v>
      </c>
      <c r="O210" s="23"/>
      <c r="P210" s="23"/>
      <c r="Q210" s="23"/>
      <c r="R210" s="23"/>
      <c r="S210" s="23"/>
      <c r="T210" s="23"/>
      <c r="U210" s="23"/>
      <c r="V210" s="23"/>
      <c r="W210" s="23"/>
      <c r="X210" s="4"/>
    </row>
    <row r="211" spans="1:24" ht="39" x14ac:dyDescent="0.25">
      <c r="A211" s="21" t="s">
        <v>1173</v>
      </c>
      <c r="B211" s="21" t="str">
        <f t="shared" si="4"/>
        <v>84439933</v>
      </c>
      <c r="C211" s="21" t="str">
        <f>Tabela5[[#This Row],[Cod. Ncm]]&amp;"-"&amp;Tabela5[[#This Row],[Operações]]</f>
        <v>84439933-Internas</v>
      </c>
      <c r="D211" s="22" t="s">
        <v>579</v>
      </c>
      <c r="E211" s="22" t="s">
        <v>593</v>
      </c>
      <c r="F211" s="22">
        <v>7</v>
      </c>
      <c r="G211" s="22" t="s">
        <v>1174</v>
      </c>
      <c r="H211" s="22" t="s">
        <v>1083</v>
      </c>
      <c r="I211" s="23" t="s">
        <v>1175</v>
      </c>
      <c r="J211" s="23" t="s">
        <v>591</v>
      </c>
      <c r="K211" s="23" t="s">
        <v>592</v>
      </c>
      <c r="L211" s="23" t="s">
        <v>1086</v>
      </c>
      <c r="M211" s="23" t="s">
        <v>1087</v>
      </c>
      <c r="N211" s="23" t="s">
        <v>583</v>
      </c>
      <c r="O211" s="23"/>
      <c r="P211" s="23"/>
      <c r="Q211" s="23"/>
      <c r="R211" s="23"/>
      <c r="S211" s="23"/>
      <c r="T211" s="23"/>
      <c r="U211" s="23"/>
      <c r="V211" s="23"/>
      <c r="W211" s="23"/>
      <c r="X211" s="4"/>
    </row>
    <row r="212" spans="1:24" ht="39" x14ac:dyDescent="0.25">
      <c r="A212" s="21" t="s">
        <v>1176</v>
      </c>
      <c r="B212" s="21" t="str">
        <f t="shared" si="4"/>
        <v>84439939</v>
      </c>
      <c r="C212" s="21" t="str">
        <f>Tabela5[[#This Row],[Cod. Ncm]]&amp;"-"&amp;Tabela5[[#This Row],[Operações]]</f>
        <v>84439939-Internas</v>
      </c>
      <c r="D212" s="22" t="s">
        <v>579</v>
      </c>
      <c r="E212" s="22" t="s">
        <v>593</v>
      </c>
      <c r="F212" s="22">
        <v>7</v>
      </c>
      <c r="G212" s="22" t="s">
        <v>1177</v>
      </c>
      <c r="H212" s="22" t="s">
        <v>1083</v>
      </c>
      <c r="I212" s="23" t="s">
        <v>1178</v>
      </c>
      <c r="J212" s="23" t="s">
        <v>591</v>
      </c>
      <c r="K212" s="23" t="s">
        <v>592</v>
      </c>
      <c r="L212" s="23" t="s">
        <v>1086</v>
      </c>
      <c r="M212" s="23" t="s">
        <v>1087</v>
      </c>
      <c r="N212" s="23" t="s">
        <v>583</v>
      </c>
      <c r="O212" s="23"/>
      <c r="P212" s="23"/>
      <c r="Q212" s="23"/>
      <c r="R212" s="23"/>
      <c r="S212" s="23"/>
      <c r="T212" s="23"/>
      <c r="U212" s="23"/>
      <c r="V212" s="23"/>
      <c r="W212" s="23"/>
      <c r="X212" s="4"/>
    </row>
    <row r="213" spans="1:24" ht="39" x14ac:dyDescent="0.25">
      <c r="A213" s="21" t="s">
        <v>1179</v>
      </c>
      <c r="B213" s="21" t="str">
        <f t="shared" si="4"/>
        <v>84439970</v>
      </c>
      <c r="C213" s="21" t="str">
        <f>Tabela5[[#This Row],[Cod. Ncm]]&amp;"-"&amp;Tabela5[[#This Row],[Operações]]</f>
        <v>84439970-Internas</v>
      </c>
      <c r="D213" s="22" t="s">
        <v>579</v>
      </c>
      <c r="E213" s="22" t="s">
        <v>593</v>
      </c>
      <c r="F213" s="22">
        <v>7</v>
      </c>
      <c r="G213" s="22" t="s">
        <v>1180</v>
      </c>
      <c r="H213" s="22" t="s">
        <v>1083</v>
      </c>
      <c r="I213" s="23" t="s">
        <v>1181</v>
      </c>
      <c r="J213" s="23" t="s">
        <v>591</v>
      </c>
      <c r="K213" s="23" t="s">
        <v>592</v>
      </c>
      <c r="L213" s="23" t="s">
        <v>1086</v>
      </c>
      <c r="M213" s="23" t="s">
        <v>1087</v>
      </c>
      <c r="N213" s="23" t="s">
        <v>583</v>
      </c>
      <c r="O213" s="23"/>
      <c r="P213" s="23"/>
      <c r="Q213" s="23"/>
      <c r="R213" s="23"/>
      <c r="S213" s="23"/>
      <c r="T213" s="23"/>
      <c r="U213" s="23"/>
      <c r="V213" s="23"/>
      <c r="W213" s="23"/>
      <c r="X213" s="4"/>
    </row>
    <row r="214" spans="1:24" ht="26.25" x14ac:dyDescent="0.25">
      <c r="A214" s="21" t="s">
        <v>1182</v>
      </c>
      <c r="B214" s="21" t="str">
        <f t="shared" si="4"/>
        <v>84440010</v>
      </c>
      <c r="C214" s="21" t="str">
        <f>Tabela5[[#This Row],[Cod. Ncm]]&amp;"-"&amp;Tabela5[[#This Row],[Operações]]</f>
        <v>84440010-Internas e interestaduais</v>
      </c>
      <c r="D214" s="22" t="s">
        <v>586</v>
      </c>
      <c r="E214" s="22" t="s">
        <v>587</v>
      </c>
      <c r="F214" s="22">
        <v>8.8000000000000007</v>
      </c>
      <c r="G214" s="22" t="s">
        <v>1183</v>
      </c>
      <c r="H214" s="22" t="s">
        <v>588</v>
      </c>
      <c r="I214" s="23" t="s">
        <v>577</v>
      </c>
      <c r="J214" s="23" t="s">
        <v>1184</v>
      </c>
      <c r="K214" s="23" t="s">
        <v>589</v>
      </c>
      <c r="L214" s="23" t="s">
        <v>590</v>
      </c>
      <c r="M214" s="23"/>
      <c r="N214" s="23"/>
      <c r="O214" s="23"/>
      <c r="P214" s="23"/>
      <c r="Q214" s="23"/>
      <c r="R214" s="23"/>
      <c r="S214" s="23"/>
      <c r="T214" s="23"/>
      <c r="U214" s="23"/>
      <c r="V214" s="23"/>
      <c r="W214" s="23"/>
      <c r="X214" s="4"/>
    </row>
    <row r="215" spans="1:24" ht="26.25" x14ac:dyDescent="0.25">
      <c r="A215" s="21" t="s">
        <v>1185</v>
      </c>
      <c r="B215" s="21" t="str">
        <f t="shared" si="4"/>
        <v>84440020</v>
      </c>
      <c r="C215" s="21" t="str">
        <f>Tabela5[[#This Row],[Cod. Ncm]]&amp;"-"&amp;Tabela5[[#This Row],[Operações]]</f>
        <v>84440020-Internas e interestaduais</v>
      </c>
      <c r="D215" s="22" t="s">
        <v>586</v>
      </c>
      <c r="E215" s="22" t="s">
        <v>587</v>
      </c>
      <c r="F215" s="22">
        <v>8.8000000000000007</v>
      </c>
      <c r="G215" s="22" t="s">
        <v>1186</v>
      </c>
      <c r="H215" s="22" t="s">
        <v>588</v>
      </c>
      <c r="I215" s="23" t="s">
        <v>577</v>
      </c>
      <c r="J215" s="23" t="s">
        <v>1187</v>
      </c>
      <c r="K215" s="23" t="s">
        <v>589</v>
      </c>
      <c r="L215" s="23" t="s">
        <v>590</v>
      </c>
      <c r="M215" s="23"/>
      <c r="N215" s="23"/>
      <c r="O215" s="23"/>
      <c r="P215" s="23"/>
      <c r="Q215" s="23"/>
      <c r="R215" s="23"/>
      <c r="S215" s="23"/>
      <c r="T215" s="23"/>
      <c r="U215" s="23"/>
      <c r="V215" s="23"/>
      <c r="W215" s="23"/>
      <c r="X215" s="4"/>
    </row>
    <row r="216" spans="1:24" ht="26.25" x14ac:dyDescent="0.25">
      <c r="A216" s="21" t="s">
        <v>1188</v>
      </c>
      <c r="B216" s="21" t="str">
        <f t="shared" si="4"/>
        <v>84440090</v>
      </c>
      <c r="C216" s="21" t="str">
        <f>Tabela5[[#This Row],[Cod. Ncm]]&amp;"-"&amp;Tabela5[[#This Row],[Operações]]</f>
        <v>84440090-Internas e interestaduais</v>
      </c>
      <c r="D216" s="22" t="s">
        <v>586</v>
      </c>
      <c r="E216" s="22" t="s">
        <v>587</v>
      </c>
      <c r="F216" s="22">
        <v>8.8000000000000007</v>
      </c>
      <c r="G216" s="22" t="s">
        <v>1189</v>
      </c>
      <c r="H216" s="22" t="s">
        <v>588</v>
      </c>
      <c r="I216" s="23" t="s">
        <v>577</v>
      </c>
      <c r="J216" s="23" t="s">
        <v>1190</v>
      </c>
      <c r="K216" s="23" t="s">
        <v>589</v>
      </c>
      <c r="L216" s="23" t="s">
        <v>590</v>
      </c>
      <c r="M216" s="23"/>
      <c r="N216" s="23"/>
      <c r="O216" s="23"/>
      <c r="P216" s="23"/>
      <c r="Q216" s="23"/>
      <c r="R216" s="23"/>
      <c r="S216" s="23"/>
      <c r="T216" s="23"/>
      <c r="U216" s="23"/>
      <c r="V216" s="23"/>
      <c r="W216" s="23"/>
      <c r="X216" s="4"/>
    </row>
    <row r="217" spans="1:24" ht="26.25" x14ac:dyDescent="0.25">
      <c r="A217" s="21" t="s">
        <v>1191</v>
      </c>
      <c r="B217" s="21" t="str">
        <f t="shared" si="4"/>
        <v>84451110</v>
      </c>
      <c r="C217" s="21" t="str">
        <f>Tabela5[[#This Row],[Cod. Ncm]]&amp;"-"&amp;Tabela5[[#This Row],[Operações]]</f>
        <v>84451110-Internas e interestaduais</v>
      </c>
      <c r="D217" s="22" t="s">
        <v>586</v>
      </c>
      <c r="E217" s="22" t="s">
        <v>587</v>
      </c>
      <c r="F217" s="22">
        <v>8.8000000000000007</v>
      </c>
      <c r="G217" s="22" t="s">
        <v>1192</v>
      </c>
      <c r="H217" s="22" t="s">
        <v>588</v>
      </c>
      <c r="I217" s="23" t="s">
        <v>577</v>
      </c>
      <c r="J217" s="23" t="s">
        <v>1193</v>
      </c>
      <c r="K217" s="23" t="s">
        <v>589</v>
      </c>
      <c r="L217" s="23" t="s">
        <v>590</v>
      </c>
      <c r="M217" s="23"/>
      <c r="N217" s="23"/>
      <c r="O217" s="23"/>
      <c r="P217" s="23"/>
      <c r="Q217" s="23"/>
      <c r="R217" s="23"/>
      <c r="S217" s="23"/>
      <c r="T217" s="23"/>
      <c r="U217" s="23"/>
      <c r="V217" s="23"/>
      <c r="W217" s="23"/>
      <c r="X217" s="4"/>
    </row>
    <row r="218" spans="1:24" ht="26.25" x14ac:dyDescent="0.25">
      <c r="A218" s="21" t="s">
        <v>1194</v>
      </c>
      <c r="B218" s="21" t="str">
        <f t="shared" si="4"/>
        <v>84451120</v>
      </c>
      <c r="C218" s="21" t="str">
        <f>Tabela5[[#This Row],[Cod. Ncm]]&amp;"-"&amp;Tabela5[[#This Row],[Operações]]</f>
        <v>84451120-Internas e interestaduais</v>
      </c>
      <c r="D218" s="22" t="s">
        <v>586</v>
      </c>
      <c r="E218" s="22" t="s">
        <v>587</v>
      </c>
      <c r="F218" s="22">
        <v>8.8000000000000007</v>
      </c>
      <c r="G218" s="22" t="s">
        <v>1195</v>
      </c>
      <c r="H218" s="22" t="s">
        <v>588</v>
      </c>
      <c r="I218" s="23" t="s">
        <v>577</v>
      </c>
      <c r="J218" s="23" t="s">
        <v>1196</v>
      </c>
      <c r="K218" s="23" t="s">
        <v>589</v>
      </c>
      <c r="L218" s="23" t="s">
        <v>590</v>
      </c>
      <c r="M218" s="23"/>
      <c r="N218" s="23"/>
      <c r="O218" s="23"/>
      <c r="P218" s="23"/>
      <c r="Q218" s="23"/>
      <c r="R218" s="23"/>
      <c r="S218" s="23"/>
      <c r="T218" s="23"/>
      <c r="U218" s="23"/>
      <c r="V218" s="23"/>
      <c r="W218" s="23"/>
      <c r="X218" s="4"/>
    </row>
    <row r="219" spans="1:24" ht="26.25" x14ac:dyDescent="0.25">
      <c r="A219" s="21" t="s">
        <v>1197</v>
      </c>
      <c r="B219" s="21" t="str">
        <f t="shared" si="4"/>
        <v>84451190</v>
      </c>
      <c r="C219" s="21" t="str">
        <f>Tabela5[[#This Row],[Cod. Ncm]]&amp;"-"&amp;Tabela5[[#This Row],[Operações]]</f>
        <v>84451190-Internas e interestaduais</v>
      </c>
      <c r="D219" s="22" t="s">
        <v>586</v>
      </c>
      <c r="E219" s="22" t="s">
        <v>587</v>
      </c>
      <c r="F219" s="22">
        <v>8.8000000000000007</v>
      </c>
      <c r="G219" s="22" t="s">
        <v>1198</v>
      </c>
      <c r="H219" s="22" t="s">
        <v>588</v>
      </c>
      <c r="I219" s="23" t="s">
        <v>577</v>
      </c>
      <c r="J219" s="23" t="s">
        <v>1199</v>
      </c>
      <c r="K219" s="23" t="s">
        <v>589</v>
      </c>
      <c r="L219" s="23" t="s">
        <v>590</v>
      </c>
      <c r="M219" s="23"/>
      <c r="N219" s="23"/>
      <c r="O219" s="23"/>
      <c r="P219" s="23"/>
      <c r="Q219" s="23"/>
      <c r="R219" s="23"/>
      <c r="S219" s="23"/>
      <c r="T219" s="23"/>
      <c r="U219" s="23"/>
      <c r="V219" s="23"/>
      <c r="W219" s="23"/>
      <c r="X219" s="4"/>
    </row>
    <row r="220" spans="1:24" ht="26.25" x14ac:dyDescent="0.25">
      <c r="A220" s="21" t="s">
        <v>1200</v>
      </c>
      <c r="B220" s="21" t="str">
        <f t="shared" si="4"/>
        <v>84451200</v>
      </c>
      <c r="C220" s="21" t="str">
        <f>Tabela5[[#This Row],[Cod. Ncm]]&amp;"-"&amp;Tabela5[[#This Row],[Operações]]</f>
        <v>84451200-Internas e interestaduais</v>
      </c>
      <c r="D220" s="22" t="s">
        <v>586</v>
      </c>
      <c r="E220" s="22" t="s">
        <v>587</v>
      </c>
      <c r="F220" s="22">
        <v>8.8000000000000007</v>
      </c>
      <c r="G220" s="22" t="s">
        <v>1201</v>
      </c>
      <c r="H220" s="22" t="s">
        <v>588</v>
      </c>
      <c r="I220" s="23" t="s">
        <v>577</v>
      </c>
      <c r="J220" s="23" t="s">
        <v>1202</v>
      </c>
      <c r="K220" s="23" t="s">
        <v>589</v>
      </c>
      <c r="L220" s="23" t="s">
        <v>590</v>
      </c>
      <c r="M220" s="23"/>
      <c r="N220" s="23"/>
      <c r="O220" s="23"/>
      <c r="P220" s="23"/>
      <c r="Q220" s="23"/>
      <c r="R220" s="23"/>
      <c r="S220" s="23"/>
      <c r="T220" s="23"/>
      <c r="U220" s="23"/>
      <c r="V220" s="23"/>
      <c r="W220" s="23"/>
      <c r="X220" s="4"/>
    </row>
    <row r="221" spans="1:24" ht="26.25" x14ac:dyDescent="0.25">
      <c r="A221" s="21" t="s">
        <v>1203</v>
      </c>
      <c r="B221" s="21" t="str">
        <f t="shared" si="4"/>
        <v>84451300</v>
      </c>
      <c r="C221" s="21" t="str">
        <f>Tabela5[[#This Row],[Cod. Ncm]]&amp;"-"&amp;Tabela5[[#This Row],[Operações]]</f>
        <v>84451300-Internas e interestaduais</v>
      </c>
      <c r="D221" s="22" t="s">
        <v>586</v>
      </c>
      <c r="E221" s="22" t="s">
        <v>587</v>
      </c>
      <c r="F221" s="22">
        <v>8.8000000000000007</v>
      </c>
      <c r="G221" s="22" t="s">
        <v>1204</v>
      </c>
      <c r="H221" s="22" t="s">
        <v>588</v>
      </c>
      <c r="I221" s="23" t="s">
        <v>577</v>
      </c>
      <c r="J221" s="23" t="s">
        <v>1205</v>
      </c>
      <c r="K221" s="23" t="s">
        <v>589</v>
      </c>
      <c r="L221" s="23" t="s">
        <v>590</v>
      </c>
      <c r="M221" s="23"/>
      <c r="N221" s="23"/>
      <c r="O221" s="23"/>
      <c r="P221" s="23"/>
      <c r="Q221" s="23"/>
      <c r="R221" s="23"/>
      <c r="S221" s="23"/>
      <c r="T221" s="23"/>
      <c r="U221" s="23"/>
      <c r="V221" s="23"/>
      <c r="W221" s="23"/>
      <c r="X221" s="4"/>
    </row>
    <row r="222" spans="1:24" ht="26.25" x14ac:dyDescent="0.25">
      <c r="A222" s="21" t="s">
        <v>1206</v>
      </c>
      <c r="B222" s="21" t="str">
        <f t="shared" si="4"/>
        <v>84451910</v>
      </c>
      <c r="C222" s="21" t="str">
        <f>Tabela5[[#This Row],[Cod. Ncm]]&amp;"-"&amp;Tabela5[[#This Row],[Operações]]</f>
        <v>84451910-Internas e interestaduais</v>
      </c>
      <c r="D222" s="22" t="s">
        <v>586</v>
      </c>
      <c r="E222" s="22" t="s">
        <v>587</v>
      </c>
      <c r="F222" s="22">
        <v>8.8000000000000007</v>
      </c>
      <c r="G222" s="22" t="s">
        <v>1207</v>
      </c>
      <c r="H222" s="22" t="s">
        <v>588</v>
      </c>
      <c r="I222" s="23" t="s">
        <v>577</v>
      </c>
      <c r="J222" s="23" t="s">
        <v>1208</v>
      </c>
      <c r="K222" s="23" t="s">
        <v>589</v>
      </c>
      <c r="L222" s="23" t="s">
        <v>590</v>
      </c>
      <c r="M222" s="23"/>
      <c r="N222" s="23"/>
      <c r="O222" s="23"/>
      <c r="P222" s="23"/>
      <c r="Q222" s="23"/>
      <c r="R222" s="23"/>
      <c r="S222" s="23"/>
      <c r="T222" s="23"/>
      <c r="U222" s="23"/>
      <c r="V222" s="23"/>
      <c r="W222" s="23"/>
      <c r="X222" s="4"/>
    </row>
    <row r="223" spans="1:24" ht="38.25" x14ac:dyDescent="0.25">
      <c r="A223" s="21" t="s">
        <v>1209</v>
      </c>
      <c r="B223" s="21" t="str">
        <f t="shared" si="4"/>
        <v>84451921</v>
      </c>
      <c r="C223" s="21" t="str">
        <f>Tabela5[[#This Row],[Cod. Ncm]]&amp;"-"&amp;Tabela5[[#This Row],[Operações]]</f>
        <v>84451921-Internas e interestaduais</v>
      </c>
      <c r="D223" s="22" t="s">
        <v>586</v>
      </c>
      <c r="E223" s="22" t="s">
        <v>587</v>
      </c>
      <c r="F223" s="22">
        <v>8.8000000000000007</v>
      </c>
      <c r="G223" s="22" t="s">
        <v>1210</v>
      </c>
      <c r="H223" s="22" t="s">
        <v>588</v>
      </c>
      <c r="I223" s="23" t="s">
        <v>577</v>
      </c>
      <c r="J223" s="23" t="s">
        <v>1211</v>
      </c>
      <c r="K223" s="23" t="s">
        <v>589</v>
      </c>
      <c r="L223" s="23" t="s">
        <v>590</v>
      </c>
      <c r="M223" s="23"/>
      <c r="N223" s="23"/>
      <c r="O223" s="23"/>
      <c r="P223" s="23"/>
      <c r="Q223" s="23"/>
      <c r="R223" s="23"/>
      <c r="S223" s="23"/>
      <c r="T223" s="23"/>
      <c r="U223" s="23"/>
      <c r="V223" s="23"/>
      <c r="W223" s="23"/>
      <c r="X223" s="4"/>
    </row>
    <row r="224" spans="1:24" ht="26.25" x14ac:dyDescent="0.25">
      <c r="A224" s="21" t="s">
        <v>1212</v>
      </c>
      <c r="B224" s="21" t="str">
        <f t="shared" si="4"/>
        <v>84451922</v>
      </c>
      <c r="C224" s="21" t="str">
        <f>Tabela5[[#This Row],[Cod. Ncm]]&amp;"-"&amp;Tabela5[[#This Row],[Operações]]</f>
        <v>84451922-Internas e interestaduais</v>
      </c>
      <c r="D224" s="22" t="s">
        <v>586</v>
      </c>
      <c r="E224" s="22" t="s">
        <v>587</v>
      </c>
      <c r="F224" s="22">
        <v>8.8000000000000007</v>
      </c>
      <c r="G224" s="22" t="s">
        <v>1213</v>
      </c>
      <c r="H224" s="22" t="s">
        <v>588</v>
      </c>
      <c r="I224" s="23" t="s">
        <v>577</v>
      </c>
      <c r="J224" s="23" t="s">
        <v>1214</v>
      </c>
      <c r="K224" s="23" t="s">
        <v>589</v>
      </c>
      <c r="L224" s="23" t="s">
        <v>590</v>
      </c>
      <c r="M224" s="23"/>
      <c r="N224" s="23"/>
      <c r="O224" s="23"/>
      <c r="P224" s="23"/>
      <c r="Q224" s="23"/>
      <c r="R224" s="23"/>
      <c r="S224" s="23"/>
      <c r="T224" s="23"/>
      <c r="U224" s="23"/>
      <c r="V224" s="23"/>
      <c r="W224" s="23"/>
      <c r="X224" s="4"/>
    </row>
    <row r="225" spans="1:24" ht="26.25" x14ac:dyDescent="0.25">
      <c r="A225" s="21" t="s">
        <v>1215</v>
      </c>
      <c r="B225" s="21" t="str">
        <f t="shared" si="4"/>
        <v>84451923</v>
      </c>
      <c r="C225" s="21" t="str">
        <f>Tabela5[[#This Row],[Cod. Ncm]]&amp;"-"&amp;Tabela5[[#This Row],[Operações]]</f>
        <v>84451923-Internas e interestaduais</v>
      </c>
      <c r="D225" s="22" t="s">
        <v>586</v>
      </c>
      <c r="E225" s="22" t="s">
        <v>587</v>
      </c>
      <c r="F225" s="22">
        <v>8.8000000000000007</v>
      </c>
      <c r="G225" s="22" t="s">
        <v>1216</v>
      </c>
      <c r="H225" s="22" t="s">
        <v>588</v>
      </c>
      <c r="I225" s="23" t="s">
        <v>577</v>
      </c>
      <c r="J225" s="23" t="s">
        <v>1217</v>
      </c>
      <c r="K225" s="23" t="s">
        <v>589</v>
      </c>
      <c r="L225" s="23" t="s">
        <v>590</v>
      </c>
      <c r="M225" s="23"/>
      <c r="N225" s="23"/>
      <c r="O225" s="23"/>
      <c r="P225" s="23"/>
      <c r="Q225" s="23"/>
      <c r="R225" s="23"/>
      <c r="S225" s="23"/>
      <c r="T225" s="23"/>
      <c r="U225" s="23"/>
      <c r="V225" s="23"/>
      <c r="W225" s="23"/>
      <c r="X225" s="4"/>
    </row>
    <row r="226" spans="1:24" ht="26.25" x14ac:dyDescent="0.25">
      <c r="A226" s="21" t="s">
        <v>1218</v>
      </c>
      <c r="B226" s="21" t="str">
        <f t="shared" si="4"/>
        <v>84451924</v>
      </c>
      <c r="C226" s="21" t="str">
        <f>Tabela5[[#This Row],[Cod. Ncm]]&amp;"-"&amp;Tabela5[[#This Row],[Operações]]</f>
        <v>84451924-Internas e interestaduais</v>
      </c>
      <c r="D226" s="22" t="s">
        <v>586</v>
      </c>
      <c r="E226" s="22" t="s">
        <v>587</v>
      </c>
      <c r="F226" s="22">
        <v>8.8000000000000007</v>
      </c>
      <c r="G226" s="22" t="s">
        <v>1219</v>
      </c>
      <c r="H226" s="22" t="s">
        <v>588</v>
      </c>
      <c r="I226" s="23" t="s">
        <v>577</v>
      </c>
      <c r="J226" s="23" t="s">
        <v>1220</v>
      </c>
      <c r="K226" s="23" t="s">
        <v>589</v>
      </c>
      <c r="L226" s="23" t="s">
        <v>590</v>
      </c>
      <c r="M226" s="23"/>
      <c r="N226" s="23"/>
      <c r="O226" s="23"/>
      <c r="P226" s="23"/>
      <c r="Q226" s="23"/>
      <c r="R226" s="23"/>
      <c r="S226" s="23"/>
      <c r="T226" s="23"/>
      <c r="U226" s="23"/>
      <c r="V226" s="23"/>
      <c r="W226" s="23"/>
      <c r="X226" s="4"/>
    </row>
    <row r="227" spans="1:24" ht="26.25" x14ac:dyDescent="0.25">
      <c r="A227" s="21" t="s">
        <v>1221</v>
      </c>
      <c r="B227" s="21" t="str">
        <f t="shared" si="4"/>
        <v>84451925</v>
      </c>
      <c r="C227" s="21" t="str">
        <f>Tabela5[[#This Row],[Cod. Ncm]]&amp;"-"&amp;Tabela5[[#This Row],[Operações]]</f>
        <v>84451925-Internas e interestaduais</v>
      </c>
      <c r="D227" s="22" t="s">
        <v>586</v>
      </c>
      <c r="E227" s="22" t="s">
        <v>587</v>
      </c>
      <c r="F227" s="22">
        <v>8.8000000000000007</v>
      </c>
      <c r="G227" s="22" t="s">
        <v>1222</v>
      </c>
      <c r="H227" s="22" t="s">
        <v>588</v>
      </c>
      <c r="I227" s="23" t="s">
        <v>577</v>
      </c>
      <c r="J227" s="23" t="s">
        <v>1223</v>
      </c>
      <c r="K227" s="23" t="s">
        <v>589</v>
      </c>
      <c r="L227" s="23" t="s">
        <v>590</v>
      </c>
      <c r="M227" s="23"/>
      <c r="N227" s="23"/>
      <c r="O227" s="23"/>
      <c r="P227" s="23"/>
      <c r="Q227" s="23"/>
      <c r="R227" s="23"/>
      <c r="S227" s="23"/>
      <c r="T227" s="23"/>
      <c r="U227" s="23"/>
      <c r="V227" s="23"/>
      <c r="W227" s="23"/>
      <c r="X227" s="4"/>
    </row>
    <row r="228" spans="1:24" ht="26.25" x14ac:dyDescent="0.25">
      <c r="A228" s="21" t="s">
        <v>1224</v>
      </c>
      <c r="B228" s="21" t="str">
        <f t="shared" si="4"/>
        <v>84451926</v>
      </c>
      <c r="C228" s="21" t="str">
        <f>Tabela5[[#This Row],[Cod. Ncm]]&amp;"-"&amp;Tabela5[[#This Row],[Operações]]</f>
        <v>84451926-Internas e interestaduais</v>
      </c>
      <c r="D228" s="22" t="s">
        <v>586</v>
      </c>
      <c r="E228" s="22" t="s">
        <v>587</v>
      </c>
      <c r="F228" s="22">
        <v>8.8000000000000007</v>
      </c>
      <c r="G228" s="22" t="s">
        <v>1225</v>
      </c>
      <c r="H228" s="22" t="s">
        <v>588</v>
      </c>
      <c r="I228" s="23" t="s">
        <v>577</v>
      </c>
      <c r="J228" s="23" t="s">
        <v>1226</v>
      </c>
      <c r="K228" s="23" t="s">
        <v>589</v>
      </c>
      <c r="L228" s="23" t="s">
        <v>590</v>
      </c>
      <c r="M228" s="23"/>
      <c r="N228" s="23"/>
      <c r="O228" s="23"/>
      <c r="P228" s="23"/>
      <c r="Q228" s="23"/>
      <c r="R228" s="23"/>
      <c r="S228" s="23"/>
      <c r="T228" s="23"/>
      <c r="U228" s="23"/>
      <c r="V228" s="23"/>
      <c r="W228" s="23"/>
      <c r="X228" s="4"/>
    </row>
    <row r="229" spans="1:24" ht="26.25" x14ac:dyDescent="0.25">
      <c r="A229" s="21" t="s">
        <v>1227</v>
      </c>
      <c r="B229" s="21" t="str">
        <f t="shared" si="4"/>
        <v>84451927</v>
      </c>
      <c r="C229" s="21" t="str">
        <f>Tabela5[[#This Row],[Cod. Ncm]]&amp;"-"&amp;Tabela5[[#This Row],[Operações]]</f>
        <v>84451927-Internas e interestaduais</v>
      </c>
      <c r="D229" s="22" t="s">
        <v>586</v>
      </c>
      <c r="E229" s="22" t="s">
        <v>587</v>
      </c>
      <c r="F229" s="22">
        <v>8.8000000000000007</v>
      </c>
      <c r="G229" s="22" t="s">
        <v>1228</v>
      </c>
      <c r="H229" s="22" t="s">
        <v>588</v>
      </c>
      <c r="I229" s="23" t="s">
        <v>577</v>
      </c>
      <c r="J229" s="23" t="s">
        <v>1229</v>
      </c>
      <c r="K229" s="23" t="s">
        <v>589</v>
      </c>
      <c r="L229" s="23" t="s">
        <v>590</v>
      </c>
      <c r="M229" s="23"/>
      <c r="N229" s="23"/>
      <c r="O229" s="23"/>
      <c r="P229" s="23"/>
      <c r="Q229" s="23"/>
      <c r="R229" s="23"/>
      <c r="S229" s="23"/>
      <c r="T229" s="23"/>
      <c r="U229" s="23"/>
      <c r="V229" s="23"/>
      <c r="W229" s="23"/>
      <c r="X229" s="4"/>
    </row>
    <row r="230" spans="1:24" ht="38.25" x14ac:dyDescent="0.25">
      <c r="A230" s="21" t="s">
        <v>1230</v>
      </c>
      <c r="B230" s="21" t="str">
        <f t="shared" si="4"/>
        <v>84451929</v>
      </c>
      <c r="C230" s="21" t="str">
        <f>Tabela5[[#This Row],[Cod. Ncm]]&amp;"-"&amp;Tabela5[[#This Row],[Operações]]</f>
        <v>84451929-Internas e interestaduais</v>
      </c>
      <c r="D230" s="22" t="s">
        <v>586</v>
      </c>
      <c r="E230" s="22" t="s">
        <v>587</v>
      </c>
      <c r="F230" s="22">
        <v>8.8000000000000007</v>
      </c>
      <c r="G230" s="22" t="s">
        <v>1231</v>
      </c>
      <c r="H230" s="22" t="s">
        <v>588</v>
      </c>
      <c r="I230" s="23" t="s">
        <v>577</v>
      </c>
      <c r="J230" s="23" t="s">
        <v>1232</v>
      </c>
      <c r="K230" s="23" t="s">
        <v>589</v>
      </c>
      <c r="L230" s="23" t="s">
        <v>590</v>
      </c>
      <c r="M230" s="23"/>
      <c r="N230" s="23"/>
      <c r="O230" s="23"/>
      <c r="P230" s="23"/>
      <c r="Q230" s="23"/>
      <c r="R230" s="23"/>
      <c r="S230" s="23"/>
      <c r="T230" s="23"/>
      <c r="U230" s="23"/>
      <c r="V230" s="23"/>
      <c r="W230" s="23"/>
      <c r="X230" s="4"/>
    </row>
    <row r="231" spans="1:24" ht="26.25" x14ac:dyDescent="0.25">
      <c r="A231" s="21" t="s">
        <v>1233</v>
      </c>
      <c r="B231" s="21" t="str">
        <f t="shared" si="4"/>
        <v>84452000</v>
      </c>
      <c r="C231" s="21" t="str">
        <f>Tabela5[[#This Row],[Cod. Ncm]]&amp;"-"&amp;Tabela5[[#This Row],[Operações]]</f>
        <v>84452000-Internas e interestaduais</v>
      </c>
      <c r="D231" s="22" t="s">
        <v>586</v>
      </c>
      <c r="E231" s="22" t="s">
        <v>587</v>
      </c>
      <c r="F231" s="22">
        <v>8.8000000000000007</v>
      </c>
      <c r="G231" s="22" t="s">
        <v>1234</v>
      </c>
      <c r="H231" s="22" t="s">
        <v>588</v>
      </c>
      <c r="I231" s="23" t="s">
        <v>577</v>
      </c>
      <c r="J231" s="23" t="s">
        <v>1235</v>
      </c>
      <c r="K231" s="23" t="s">
        <v>589</v>
      </c>
      <c r="L231" s="23" t="s">
        <v>590</v>
      </c>
      <c r="M231" s="23"/>
      <c r="N231" s="23"/>
      <c r="O231" s="23"/>
      <c r="P231" s="23"/>
      <c r="Q231" s="23"/>
      <c r="R231" s="23"/>
      <c r="S231" s="23"/>
      <c r="T231" s="23"/>
      <c r="U231" s="23"/>
      <c r="V231" s="23"/>
      <c r="W231" s="23"/>
      <c r="X231" s="4"/>
    </row>
    <row r="232" spans="1:24" ht="26.25" x14ac:dyDescent="0.25">
      <c r="A232" s="21" t="s">
        <v>1236</v>
      </c>
      <c r="B232" s="21" t="str">
        <f t="shared" si="4"/>
        <v>84453010</v>
      </c>
      <c r="C232" s="21" t="str">
        <f>Tabela5[[#This Row],[Cod. Ncm]]&amp;"-"&amp;Tabela5[[#This Row],[Operações]]</f>
        <v>84453010-Internas e interestaduais</v>
      </c>
      <c r="D232" s="22" t="s">
        <v>586</v>
      </c>
      <c r="E232" s="22" t="s">
        <v>587</v>
      </c>
      <c r="F232" s="22">
        <v>8.8000000000000007</v>
      </c>
      <c r="G232" s="22" t="s">
        <v>1237</v>
      </c>
      <c r="H232" s="22" t="s">
        <v>588</v>
      </c>
      <c r="I232" s="23" t="s">
        <v>577</v>
      </c>
      <c r="J232" s="23" t="s">
        <v>1238</v>
      </c>
      <c r="K232" s="23" t="s">
        <v>589</v>
      </c>
      <c r="L232" s="23" t="s">
        <v>590</v>
      </c>
      <c r="M232" s="23"/>
      <c r="N232" s="23"/>
      <c r="O232" s="23"/>
      <c r="P232" s="23"/>
      <c r="Q232" s="23"/>
      <c r="R232" s="23"/>
      <c r="S232" s="23"/>
      <c r="T232" s="23"/>
      <c r="U232" s="23"/>
      <c r="V232" s="23"/>
      <c r="W232" s="23"/>
      <c r="X232" s="4"/>
    </row>
    <row r="233" spans="1:24" ht="38.25" x14ac:dyDescent="0.25">
      <c r="A233" s="21" t="s">
        <v>1239</v>
      </c>
      <c r="B233" s="21" t="str">
        <f t="shared" si="4"/>
        <v>84453090</v>
      </c>
      <c r="C233" s="21" t="str">
        <f>Tabela5[[#This Row],[Cod. Ncm]]&amp;"-"&amp;Tabela5[[#This Row],[Operações]]</f>
        <v>84453090-Internas e interestaduais</v>
      </c>
      <c r="D233" s="22" t="s">
        <v>586</v>
      </c>
      <c r="E233" s="22" t="s">
        <v>587</v>
      </c>
      <c r="F233" s="22">
        <v>8.8000000000000007</v>
      </c>
      <c r="G233" s="22" t="s">
        <v>1240</v>
      </c>
      <c r="H233" s="22" t="s">
        <v>588</v>
      </c>
      <c r="I233" s="23" t="s">
        <v>577</v>
      </c>
      <c r="J233" s="23" t="s">
        <v>1241</v>
      </c>
      <c r="K233" s="23" t="s">
        <v>589</v>
      </c>
      <c r="L233" s="23" t="s">
        <v>590</v>
      </c>
      <c r="M233" s="23"/>
      <c r="N233" s="23"/>
      <c r="O233" s="23"/>
      <c r="P233" s="23"/>
      <c r="Q233" s="23"/>
      <c r="R233" s="23"/>
      <c r="S233" s="23"/>
      <c r="T233" s="23"/>
      <c r="U233" s="23"/>
      <c r="V233" s="23"/>
      <c r="W233" s="23"/>
      <c r="X233" s="4"/>
    </row>
    <row r="234" spans="1:24" ht="26.25" x14ac:dyDescent="0.25">
      <c r="A234" s="21" t="s">
        <v>1242</v>
      </c>
      <c r="B234" s="21" t="str">
        <f t="shared" si="4"/>
        <v>84454011</v>
      </c>
      <c r="C234" s="21" t="str">
        <f>Tabela5[[#This Row],[Cod. Ncm]]&amp;"-"&amp;Tabela5[[#This Row],[Operações]]</f>
        <v>84454011-Internas e interestaduais</v>
      </c>
      <c r="D234" s="22" t="s">
        <v>586</v>
      </c>
      <c r="E234" s="22" t="s">
        <v>587</v>
      </c>
      <c r="F234" s="22">
        <v>8.8000000000000007</v>
      </c>
      <c r="G234" s="22" t="s">
        <v>1243</v>
      </c>
      <c r="H234" s="22" t="s">
        <v>588</v>
      </c>
      <c r="I234" s="23" t="s">
        <v>577</v>
      </c>
      <c r="J234" s="23" t="s">
        <v>1244</v>
      </c>
      <c r="K234" s="23" t="s">
        <v>589</v>
      </c>
      <c r="L234" s="23" t="s">
        <v>590</v>
      </c>
      <c r="M234" s="23"/>
      <c r="N234" s="23"/>
      <c r="O234" s="23"/>
      <c r="P234" s="23"/>
      <c r="Q234" s="23"/>
      <c r="R234" s="23"/>
      <c r="S234" s="23"/>
      <c r="T234" s="23"/>
      <c r="U234" s="23"/>
      <c r="V234" s="23"/>
      <c r="W234" s="23"/>
      <c r="X234" s="4"/>
    </row>
    <row r="235" spans="1:24" ht="26.25" x14ac:dyDescent="0.25">
      <c r="A235" s="21" t="s">
        <v>1245</v>
      </c>
      <c r="B235" s="21" t="str">
        <f t="shared" si="4"/>
        <v>84454012</v>
      </c>
      <c r="C235" s="21" t="str">
        <f>Tabela5[[#This Row],[Cod. Ncm]]&amp;"-"&amp;Tabela5[[#This Row],[Operações]]</f>
        <v>84454012-Internas e interestaduais</v>
      </c>
      <c r="D235" s="22" t="s">
        <v>586</v>
      </c>
      <c r="E235" s="22" t="s">
        <v>587</v>
      </c>
      <c r="F235" s="22">
        <v>8.8000000000000007</v>
      </c>
      <c r="G235" s="22" t="s">
        <v>1246</v>
      </c>
      <c r="H235" s="22" t="s">
        <v>588</v>
      </c>
      <c r="I235" s="23" t="s">
        <v>577</v>
      </c>
      <c r="J235" s="23" t="s">
        <v>1247</v>
      </c>
      <c r="K235" s="23" t="s">
        <v>589</v>
      </c>
      <c r="L235" s="23" t="s">
        <v>590</v>
      </c>
      <c r="M235" s="23"/>
      <c r="N235" s="23"/>
      <c r="O235" s="23"/>
      <c r="P235" s="23"/>
      <c r="Q235" s="23"/>
      <c r="R235" s="23"/>
      <c r="S235" s="23"/>
      <c r="T235" s="23"/>
      <c r="U235" s="23"/>
      <c r="V235" s="23"/>
      <c r="W235" s="23"/>
      <c r="X235" s="4"/>
    </row>
    <row r="236" spans="1:24" ht="26.25" x14ac:dyDescent="0.25">
      <c r="A236" s="21" t="s">
        <v>1248</v>
      </c>
      <c r="B236" s="21" t="str">
        <f t="shared" si="4"/>
        <v>84454018</v>
      </c>
      <c r="C236" s="21" t="str">
        <f>Tabela5[[#This Row],[Cod. Ncm]]&amp;"-"&amp;Tabela5[[#This Row],[Operações]]</f>
        <v>84454018-Internas e interestaduais</v>
      </c>
      <c r="D236" s="22" t="s">
        <v>586</v>
      </c>
      <c r="E236" s="22" t="s">
        <v>587</v>
      </c>
      <c r="F236" s="22">
        <v>8.8000000000000007</v>
      </c>
      <c r="G236" s="22" t="s">
        <v>1249</v>
      </c>
      <c r="H236" s="22" t="s">
        <v>588</v>
      </c>
      <c r="I236" s="23" t="s">
        <v>577</v>
      </c>
      <c r="J236" s="23" t="s">
        <v>1250</v>
      </c>
      <c r="K236" s="23" t="s">
        <v>589</v>
      </c>
      <c r="L236" s="23" t="s">
        <v>590</v>
      </c>
      <c r="M236" s="23"/>
      <c r="N236" s="23"/>
      <c r="O236" s="23"/>
      <c r="P236" s="23"/>
      <c r="Q236" s="23"/>
      <c r="R236" s="23"/>
      <c r="S236" s="23"/>
      <c r="T236" s="23"/>
      <c r="U236" s="23"/>
      <c r="V236" s="23"/>
      <c r="W236" s="23"/>
      <c r="X236" s="4"/>
    </row>
    <row r="237" spans="1:24" ht="26.25" x14ac:dyDescent="0.25">
      <c r="A237" s="21" t="s">
        <v>1251</v>
      </c>
      <c r="B237" s="21" t="str">
        <f t="shared" si="4"/>
        <v>84454019</v>
      </c>
      <c r="C237" s="21" t="str">
        <f>Tabela5[[#This Row],[Cod. Ncm]]&amp;"-"&amp;Tabela5[[#This Row],[Operações]]</f>
        <v>84454019-Internas e interestaduais</v>
      </c>
      <c r="D237" s="22" t="s">
        <v>586</v>
      </c>
      <c r="E237" s="22" t="s">
        <v>587</v>
      </c>
      <c r="F237" s="22">
        <v>8.8000000000000007</v>
      </c>
      <c r="G237" s="22" t="s">
        <v>1252</v>
      </c>
      <c r="H237" s="22" t="s">
        <v>588</v>
      </c>
      <c r="I237" s="23" t="s">
        <v>577</v>
      </c>
      <c r="J237" s="23" t="s">
        <v>1253</v>
      </c>
      <c r="K237" s="23" t="s">
        <v>589</v>
      </c>
      <c r="L237" s="23" t="s">
        <v>590</v>
      </c>
      <c r="M237" s="23"/>
      <c r="N237" s="23"/>
      <c r="O237" s="23"/>
      <c r="P237" s="23"/>
      <c r="Q237" s="23"/>
      <c r="R237" s="23"/>
      <c r="S237" s="23"/>
      <c r="T237" s="23"/>
      <c r="U237" s="23"/>
      <c r="V237" s="23"/>
      <c r="W237" s="23"/>
      <c r="X237" s="4"/>
    </row>
    <row r="238" spans="1:24" ht="26.25" x14ac:dyDescent="0.25">
      <c r="A238" s="21" t="s">
        <v>1254</v>
      </c>
      <c r="B238" s="21" t="str">
        <f t="shared" si="4"/>
        <v>84454021</v>
      </c>
      <c r="C238" s="21" t="str">
        <f>Tabela5[[#This Row],[Cod. Ncm]]&amp;"-"&amp;Tabela5[[#This Row],[Operações]]</f>
        <v>84454021-Internas e interestaduais</v>
      </c>
      <c r="D238" s="22" t="s">
        <v>586</v>
      </c>
      <c r="E238" s="22" t="s">
        <v>587</v>
      </c>
      <c r="F238" s="22">
        <v>8.8000000000000007</v>
      </c>
      <c r="G238" s="22" t="s">
        <v>1255</v>
      </c>
      <c r="H238" s="22" t="s">
        <v>588</v>
      </c>
      <c r="I238" s="23" t="s">
        <v>577</v>
      </c>
      <c r="J238" s="23" t="s">
        <v>1256</v>
      </c>
      <c r="K238" s="23" t="s">
        <v>589</v>
      </c>
      <c r="L238" s="23" t="s">
        <v>590</v>
      </c>
      <c r="M238" s="23"/>
      <c r="N238" s="23"/>
      <c r="O238" s="23"/>
      <c r="P238" s="23"/>
      <c r="Q238" s="23"/>
      <c r="R238" s="23"/>
      <c r="S238" s="23"/>
      <c r="T238" s="23"/>
      <c r="U238" s="23"/>
      <c r="V238" s="23"/>
      <c r="W238" s="23"/>
      <c r="X238" s="4"/>
    </row>
    <row r="239" spans="1:24" ht="26.25" x14ac:dyDescent="0.25">
      <c r="A239" s="21" t="s">
        <v>1257</v>
      </c>
      <c r="B239" s="21" t="str">
        <f t="shared" si="4"/>
        <v>84454029</v>
      </c>
      <c r="C239" s="21" t="str">
        <f>Tabela5[[#This Row],[Cod. Ncm]]&amp;"-"&amp;Tabela5[[#This Row],[Operações]]</f>
        <v>84454029-Internas e interestaduais</v>
      </c>
      <c r="D239" s="22" t="s">
        <v>586</v>
      </c>
      <c r="E239" s="22" t="s">
        <v>587</v>
      </c>
      <c r="F239" s="22">
        <v>8.8000000000000007</v>
      </c>
      <c r="G239" s="22" t="s">
        <v>1258</v>
      </c>
      <c r="H239" s="22" t="s">
        <v>588</v>
      </c>
      <c r="I239" s="23" t="s">
        <v>577</v>
      </c>
      <c r="J239" s="23" t="s">
        <v>1259</v>
      </c>
      <c r="K239" s="23" t="s">
        <v>589</v>
      </c>
      <c r="L239" s="23" t="s">
        <v>590</v>
      </c>
      <c r="M239" s="23"/>
      <c r="N239" s="23"/>
      <c r="O239" s="23"/>
      <c r="P239" s="23"/>
      <c r="Q239" s="23"/>
      <c r="R239" s="23"/>
      <c r="S239" s="23"/>
      <c r="T239" s="23"/>
      <c r="U239" s="23"/>
      <c r="V239" s="23"/>
      <c r="W239" s="23"/>
      <c r="X239" s="4"/>
    </row>
    <row r="240" spans="1:24" ht="26.25" x14ac:dyDescent="0.25">
      <c r="A240" s="21" t="s">
        <v>1260</v>
      </c>
      <c r="B240" s="21" t="str">
        <f t="shared" si="4"/>
        <v>84454031</v>
      </c>
      <c r="C240" s="21" t="str">
        <f>Tabela5[[#This Row],[Cod. Ncm]]&amp;"-"&amp;Tabela5[[#This Row],[Operações]]</f>
        <v>84454031-Internas e interestaduais</v>
      </c>
      <c r="D240" s="22" t="s">
        <v>586</v>
      </c>
      <c r="E240" s="22" t="s">
        <v>587</v>
      </c>
      <c r="F240" s="22">
        <v>8.8000000000000007</v>
      </c>
      <c r="G240" s="22" t="s">
        <v>1261</v>
      </c>
      <c r="H240" s="22" t="s">
        <v>588</v>
      </c>
      <c r="I240" s="23" t="s">
        <v>577</v>
      </c>
      <c r="J240" s="23" t="s">
        <v>1262</v>
      </c>
      <c r="K240" s="23" t="s">
        <v>589</v>
      </c>
      <c r="L240" s="23" t="s">
        <v>590</v>
      </c>
      <c r="M240" s="23"/>
      <c r="N240" s="23"/>
      <c r="O240" s="23"/>
      <c r="P240" s="23"/>
      <c r="Q240" s="23"/>
      <c r="R240" s="23"/>
      <c r="S240" s="23"/>
      <c r="T240" s="23"/>
      <c r="U240" s="23"/>
      <c r="V240" s="23"/>
      <c r="W240" s="23"/>
      <c r="X240" s="4"/>
    </row>
    <row r="241" spans="1:24" ht="26.25" x14ac:dyDescent="0.25">
      <c r="A241" s="21" t="s">
        <v>1263</v>
      </c>
      <c r="B241" s="21" t="str">
        <f t="shared" si="4"/>
        <v>84454039</v>
      </c>
      <c r="C241" s="21" t="str">
        <f>Tabela5[[#This Row],[Cod. Ncm]]&amp;"-"&amp;Tabela5[[#This Row],[Operações]]</f>
        <v>84454039-Internas e interestaduais</v>
      </c>
      <c r="D241" s="22" t="s">
        <v>586</v>
      </c>
      <c r="E241" s="22" t="s">
        <v>587</v>
      </c>
      <c r="F241" s="22">
        <v>8.8000000000000007</v>
      </c>
      <c r="G241" s="22" t="s">
        <v>1264</v>
      </c>
      <c r="H241" s="22" t="s">
        <v>588</v>
      </c>
      <c r="I241" s="23" t="s">
        <v>577</v>
      </c>
      <c r="J241" s="23" t="s">
        <v>1265</v>
      </c>
      <c r="K241" s="23" t="s">
        <v>589</v>
      </c>
      <c r="L241" s="23" t="s">
        <v>590</v>
      </c>
      <c r="M241" s="23"/>
      <c r="N241" s="23"/>
      <c r="O241" s="23"/>
      <c r="P241" s="23"/>
      <c r="Q241" s="23"/>
      <c r="R241" s="23"/>
      <c r="S241" s="23"/>
      <c r="T241" s="23"/>
      <c r="U241" s="23"/>
      <c r="V241" s="23"/>
      <c r="W241" s="23"/>
      <c r="X241" s="4"/>
    </row>
    <row r="242" spans="1:24" ht="26.25" x14ac:dyDescent="0.25">
      <c r="A242" s="21" t="s">
        <v>1266</v>
      </c>
      <c r="B242" s="21" t="str">
        <f t="shared" si="4"/>
        <v>84454040</v>
      </c>
      <c r="C242" s="21" t="str">
        <f>Tabela5[[#This Row],[Cod. Ncm]]&amp;"-"&amp;Tabela5[[#This Row],[Operações]]</f>
        <v>84454040-Internas e interestaduais</v>
      </c>
      <c r="D242" s="22" t="s">
        <v>586</v>
      </c>
      <c r="E242" s="22" t="s">
        <v>587</v>
      </c>
      <c r="F242" s="22">
        <v>8.8000000000000007</v>
      </c>
      <c r="G242" s="22" t="s">
        <v>1267</v>
      </c>
      <c r="H242" s="22" t="s">
        <v>588</v>
      </c>
      <c r="I242" s="23" t="s">
        <v>577</v>
      </c>
      <c r="J242" s="23" t="s">
        <v>1268</v>
      </c>
      <c r="K242" s="23" t="s">
        <v>589</v>
      </c>
      <c r="L242" s="23" t="s">
        <v>590</v>
      </c>
      <c r="M242" s="23"/>
      <c r="N242" s="23"/>
      <c r="O242" s="23"/>
      <c r="P242" s="23"/>
      <c r="Q242" s="23"/>
      <c r="R242" s="23"/>
      <c r="S242" s="23"/>
      <c r="T242" s="23"/>
      <c r="U242" s="23"/>
      <c r="V242" s="23"/>
      <c r="W242" s="23"/>
      <c r="X242" s="4"/>
    </row>
    <row r="243" spans="1:24" ht="26.25" x14ac:dyDescent="0.25">
      <c r="A243" s="21" t="s">
        <v>1269</v>
      </c>
      <c r="B243" s="21" t="str">
        <f t="shared" si="4"/>
        <v>84454090</v>
      </c>
      <c r="C243" s="21" t="str">
        <f>Tabela5[[#This Row],[Cod. Ncm]]&amp;"-"&amp;Tabela5[[#This Row],[Operações]]</f>
        <v>84454090-Internas e interestaduais</v>
      </c>
      <c r="D243" s="22" t="s">
        <v>586</v>
      </c>
      <c r="E243" s="22" t="s">
        <v>587</v>
      </c>
      <c r="F243" s="22">
        <v>8.8000000000000007</v>
      </c>
      <c r="G243" s="22" t="s">
        <v>1270</v>
      </c>
      <c r="H243" s="22" t="s">
        <v>588</v>
      </c>
      <c r="I243" s="23" t="s">
        <v>577</v>
      </c>
      <c r="J243" s="23" t="s">
        <v>1271</v>
      </c>
      <c r="K243" s="23" t="s">
        <v>589</v>
      </c>
      <c r="L243" s="23" t="s">
        <v>590</v>
      </c>
      <c r="M243" s="23"/>
      <c r="N243" s="23"/>
      <c r="O243" s="23"/>
      <c r="P243" s="23"/>
      <c r="Q243" s="23"/>
      <c r="R243" s="23"/>
      <c r="S243" s="23"/>
      <c r="T243" s="23"/>
      <c r="U243" s="23"/>
      <c r="V243" s="23"/>
      <c r="W243" s="23"/>
      <c r="X243" s="4"/>
    </row>
    <row r="244" spans="1:24" ht="26.25" x14ac:dyDescent="0.25">
      <c r="A244" s="21" t="s">
        <v>1272</v>
      </c>
      <c r="B244" s="21" t="str">
        <f t="shared" si="4"/>
        <v>84459010</v>
      </c>
      <c r="C244" s="21" t="str">
        <f>Tabela5[[#This Row],[Cod. Ncm]]&amp;"-"&amp;Tabela5[[#This Row],[Operações]]</f>
        <v>84459010-Internas e interestaduais</v>
      </c>
      <c r="D244" s="22" t="s">
        <v>586</v>
      </c>
      <c r="E244" s="22" t="s">
        <v>587</v>
      </c>
      <c r="F244" s="22">
        <v>8.8000000000000007</v>
      </c>
      <c r="G244" s="22" t="s">
        <v>1273</v>
      </c>
      <c r="H244" s="22" t="s">
        <v>588</v>
      </c>
      <c r="I244" s="23" t="s">
        <v>577</v>
      </c>
      <c r="J244" s="23" t="s">
        <v>1274</v>
      </c>
      <c r="K244" s="23" t="s">
        <v>589</v>
      </c>
      <c r="L244" s="23" t="s">
        <v>590</v>
      </c>
      <c r="M244" s="23"/>
      <c r="N244" s="23"/>
      <c r="O244" s="23"/>
      <c r="P244" s="23"/>
      <c r="Q244" s="23"/>
      <c r="R244" s="23"/>
      <c r="S244" s="23"/>
      <c r="T244" s="23"/>
      <c r="U244" s="23"/>
      <c r="V244" s="23"/>
      <c r="W244" s="23"/>
      <c r="X244" s="4"/>
    </row>
    <row r="245" spans="1:24" ht="26.25" x14ac:dyDescent="0.25">
      <c r="A245" s="21" t="s">
        <v>1275</v>
      </c>
      <c r="B245" s="21" t="str">
        <f t="shared" si="4"/>
        <v>84459020</v>
      </c>
      <c r="C245" s="21" t="str">
        <f>Tabela5[[#This Row],[Cod. Ncm]]&amp;"-"&amp;Tabela5[[#This Row],[Operações]]</f>
        <v>84459020-Internas e interestaduais</v>
      </c>
      <c r="D245" s="22" t="s">
        <v>586</v>
      </c>
      <c r="E245" s="22" t="s">
        <v>587</v>
      </c>
      <c r="F245" s="22">
        <v>8.8000000000000007</v>
      </c>
      <c r="G245" s="22" t="s">
        <v>1276</v>
      </c>
      <c r="H245" s="22" t="s">
        <v>588</v>
      </c>
      <c r="I245" s="23" t="s">
        <v>577</v>
      </c>
      <c r="J245" s="23" t="s">
        <v>1277</v>
      </c>
      <c r="K245" s="23" t="s">
        <v>589</v>
      </c>
      <c r="L245" s="23" t="s">
        <v>590</v>
      </c>
      <c r="M245" s="23"/>
      <c r="N245" s="23"/>
      <c r="O245" s="23"/>
      <c r="P245" s="23"/>
      <c r="Q245" s="23"/>
      <c r="R245" s="23"/>
      <c r="S245" s="23"/>
      <c r="T245" s="23"/>
      <c r="U245" s="23"/>
      <c r="V245" s="23"/>
      <c r="W245" s="23"/>
      <c r="X245" s="4"/>
    </row>
    <row r="246" spans="1:24" ht="26.25" x14ac:dyDescent="0.25">
      <c r="A246" s="21" t="s">
        <v>1278</v>
      </c>
      <c r="B246" s="21" t="str">
        <f t="shared" si="4"/>
        <v>84459030</v>
      </c>
      <c r="C246" s="21" t="str">
        <f>Tabela5[[#This Row],[Cod. Ncm]]&amp;"-"&amp;Tabela5[[#This Row],[Operações]]</f>
        <v>84459030-Internas e interestaduais</v>
      </c>
      <c r="D246" s="22" t="s">
        <v>586</v>
      </c>
      <c r="E246" s="22" t="s">
        <v>587</v>
      </c>
      <c r="F246" s="22">
        <v>8.8000000000000007</v>
      </c>
      <c r="G246" s="22" t="s">
        <v>1279</v>
      </c>
      <c r="H246" s="22" t="s">
        <v>588</v>
      </c>
      <c r="I246" s="23" t="s">
        <v>577</v>
      </c>
      <c r="J246" s="23" t="s">
        <v>1280</v>
      </c>
      <c r="K246" s="23" t="s">
        <v>589</v>
      </c>
      <c r="L246" s="23" t="s">
        <v>590</v>
      </c>
      <c r="M246" s="23"/>
      <c r="N246" s="23"/>
      <c r="O246" s="23"/>
      <c r="P246" s="23"/>
      <c r="Q246" s="23"/>
      <c r="R246" s="23"/>
      <c r="S246" s="23"/>
      <c r="T246" s="23"/>
      <c r="U246" s="23"/>
      <c r="V246" s="23"/>
      <c r="W246" s="23"/>
      <c r="X246" s="4"/>
    </row>
    <row r="247" spans="1:24" ht="26.25" x14ac:dyDescent="0.25">
      <c r="A247" s="21" t="s">
        <v>1281</v>
      </c>
      <c r="B247" s="21" t="str">
        <f t="shared" si="4"/>
        <v>84459040</v>
      </c>
      <c r="C247" s="21" t="str">
        <f>Tabela5[[#This Row],[Cod. Ncm]]&amp;"-"&amp;Tabela5[[#This Row],[Operações]]</f>
        <v>84459040-Internas e interestaduais</v>
      </c>
      <c r="D247" s="22" t="s">
        <v>586</v>
      </c>
      <c r="E247" s="22" t="s">
        <v>587</v>
      </c>
      <c r="F247" s="22">
        <v>8.8000000000000007</v>
      </c>
      <c r="G247" s="22" t="s">
        <v>1282</v>
      </c>
      <c r="H247" s="22" t="s">
        <v>588</v>
      </c>
      <c r="I247" s="23" t="s">
        <v>577</v>
      </c>
      <c r="J247" s="23" t="s">
        <v>1283</v>
      </c>
      <c r="K247" s="23" t="s">
        <v>589</v>
      </c>
      <c r="L247" s="23" t="s">
        <v>590</v>
      </c>
      <c r="M247" s="23"/>
      <c r="N247" s="23"/>
      <c r="O247" s="23"/>
      <c r="P247" s="23"/>
      <c r="Q247" s="23"/>
      <c r="R247" s="23"/>
      <c r="S247" s="23"/>
      <c r="T247" s="23"/>
      <c r="U247" s="23"/>
      <c r="V247" s="23"/>
      <c r="W247" s="23"/>
      <c r="X247" s="4"/>
    </row>
    <row r="248" spans="1:24" ht="26.25" x14ac:dyDescent="0.25">
      <c r="A248" s="21" t="s">
        <v>1284</v>
      </c>
      <c r="B248" s="21" t="str">
        <f t="shared" si="4"/>
        <v>84459090</v>
      </c>
      <c r="C248" s="21" t="str">
        <f>Tabela5[[#This Row],[Cod. Ncm]]&amp;"-"&amp;Tabela5[[#This Row],[Operações]]</f>
        <v>84459090-Internas e interestaduais</v>
      </c>
      <c r="D248" s="22" t="s">
        <v>586</v>
      </c>
      <c r="E248" s="22" t="s">
        <v>587</v>
      </c>
      <c r="F248" s="22">
        <v>8.8000000000000007</v>
      </c>
      <c r="G248" s="22" t="s">
        <v>1285</v>
      </c>
      <c r="H248" s="22" t="s">
        <v>588</v>
      </c>
      <c r="I248" s="23" t="s">
        <v>577</v>
      </c>
      <c r="J248" s="23" t="s">
        <v>1286</v>
      </c>
      <c r="K248" s="23" t="s">
        <v>589</v>
      </c>
      <c r="L248" s="23" t="s">
        <v>590</v>
      </c>
      <c r="M248" s="23"/>
      <c r="N248" s="23"/>
      <c r="O248" s="23"/>
      <c r="P248" s="23"/>
      <c r="Q248" s="23"/>
      <c r="R248" s="23"/>
      <c r="S248" s="23"/>
      <c r="T248" s="23"/>
      <c r="U248" s="23"/>
      <c r="V248" s="23"/>
      <c r="W248" s="23"/>
      <c r="X248" s="4"/>
    </row>
    <row r="249" spans="1:24" ht="26.25" x14ac:dyDescent="0.25">
      <c r="A249" s="21" t="s">
        <v>1287</v>
      </c>
      <c r="B249" s="21" t="str">
        <f t="shared" si="4"/>
        <v>84461010</v>
      </c>
      <c r="C249" s="21" t="str">
        <f>Tabela5[[#This Row],[Cod. Ncm]]&amp;"-"&amp;Tabela5[[#This Row],[Operações]]</f>
        <v>84461010-Internas e interestaduais</v>
      </c>
      <c r="D249" s="22" t="s">
        <v>586</v>
      </c>
      <c r="E249" s="22" t="s">
        <v>587</v>
      </c>
      <c r="F249" s="22">
        <v>8.8000000000000007</v>
      </c>
      <c r="G249" s="22" t="s">
        <v>1288</v>
      </c>
      <c r="H249" s="22" t="s">
        <v>588</v>
      </c>
      <c r="I249" s="23" t="s">
        <v>577</v>
      </c>
      <c r="J249" s="23" t="s">
        <v>1289</v>
      </c>
      <c r="K249" s="23" t="s">
        <v>589</v>
      </c>
      <c r="L249" s="23" t="s">
        <v>590</v>
      </c>
      <c r="M249" s="23"/>
      <c r="N249" s="23"/>
      <c r="O249" s="23"/>
      <c r="P249" s="23"/>
      <c r="Q249" s="23"/>
      <c r="R249" s="23"/>
      <c r="S249" s="23"/>
      <c r="T249" s="23"/>
      <c r="U249" s="23"/>
      <c r="V249" s="23"/>
      <c r="W249" s="23"/>
      <c r="X249" s="4"/>
    </row>
    <row r="250" spans="1:24" ht="26.25" x14ac:dyDescent="0.25">
      <c r="A250" s="21" t="s">
        <v>1290</v>
      </c>
      <c r="B250" s="21" t="str">
        <f t="shared" si="4"/>
        <v>84461090</v>
      </c>
      <c r="C250" s="21" t="str">
        <f>Tabela5[[#This Row],[Cod. Ncm]]&amp;"-"&amp;Tabela5[[#This Row],[Operações]]</f>
        <v>84461090-Internas e interestaduais</v>
      </c>
      <c r="D250" s="22" t="s">
        <v>586</v>
      </c>
      <c r="E250" s="22" t="s">
        <v>587</v>
      </c>
      <c r="F250" s="22">
        <v>8.8000000000000007</v>
      </c>
      <c r="G250" s="22" t="s">
        <v>1291</v>
      </c>
      <c r="H250" s="22" t="s">
        <v>588</v>
      </c>
      <c r="I250" s="23" t="s">
        <v>577</v>
      </c>
      <c r="J250" s="23" t="s">
        <v>1292</v>
      </c>
      <c r="K250" s="23" t="s">
        <v>589</v>
      </c>
      <c r="L250" s="23" t="s">
        <v>590</v>
      </c>
      <c r="M250" s="23"/>
      <c r="N250" s="23"/>
      <c r="O250" s="23"/>
      <c r="P250" s="23"/>
      <c r="Q250" s="23"/>
      <c r="R250" s="23"/>
      <c r="S250" s="23"/>
      <c r="T250" s="23"/>
      <c r="U250" s="23"/>
      <c r="V250" s="23"/>
      <c r="W250" s="23"/>
      <c r="X250" s="4"/>
    </row>
    <row r="251" spans="1:24" ht="26.25" x14ac:dyDescent="0.25">
      <c r="A251" s="21" t="s">
        <v>1293</v>
      </c>
      <c r="B251" s="21" t="str">
        <f t="shared" si="4"/>
        <v>84462100</v>
      </c>
      <c r="C251" s="21" t="str">
        <f>Tabela5[[#This Row],[Cod. Ncm]]&amp;"-"&amp;Tabela5[[#This Row],[Operações]]</f>
        <v>84462100-Internas e interestaduais</v>
      </c>
      <c r="D251" s="22" t="s">
        <v>586</v>
      </c>
      <c r="E251" s="22" t="s">
        <v>587</v>
      </c>
      <c r="F251" s="22">
        <v>8.8000000000000007</v>
      </c>
      <c r="G251" s="22" t="s">
        <v>1294</v>
      </c>
      <c r="H251" s="22" t="s">
        <v>588</v>
      </c>
      <c r="I251" s="23" t="s">
        <v>577</v>
      </c>
      <c r="J251" s="23" t="s">
        <v>1295</v>
      </c>
      <c r="K251" s="23" t="s">
        <v>589</v>
      </c>
      <c r="L251" s="23" t="s">
        <v>590</v>
      </c>
      <c r="M251" s="23"/>
      <c r="N251" s="23"/>
      <c r="O251" s="23"/>
      <c r="P251" s="23"/>
      <c r="Q251" s="23"/>
      <c r="R251" s="23"/>
      <c r="S251" s="23"/>
      <c r="T251" s="23"/>
      <c r="U251" s="23"/>
      <c r="V251" s="23"/>
      <c r="W251" s="23"/>
      <c r="X251" s="4"/>
    </row>
    <row r="252" spans="1:24" ht="26.25" x14ac:dyDescent="0.25">
      <c r="A252" s="21" t="s">
        <v>1296</v>
      </c>
      <c r="B252" s="21" t="str">
        <f t="shared" si="4"/>
        <v>84462900</v>
      </c>
      <c r="C252" s="21" t="str">
        <f>Tabela5[[#This Row],[Cod. Ncm]]&amp;"-"&amp;Tabela5[[#This Row],[Operações]]</f>
        <v>84462900-Internas e interestaduais</v>
      </c>
      <c r="D252" s="22" t="s">
        <v>586</v>
      </c>
      <c r="E252" s="22" t="s">
        <v>587</v>
      </c>
      <c r="F252" s="22">
        <v>8.8000000000000007</v>
      </c>
      <c r="G252" s="22" t="s">
        <v>1297</v>
      </c>
      <c r="H252" s="22" t="s">
        <v>588</v>
      </c>
      <c r="I252" s="23" t="s">
        <v>577</v>
      </c>
      <c r="J252" s="23" t="s">
        <v>1298</v>
      </c>
      <c r="K252" s="23" t="s">
        <v>589</v>
      </c>
      <c r="L252" s="23" t="s">
        <v>590</v>
      </c>
      <c r="M252" s="23"/>
      <c r="N252" s="23"/>
      <c r="O252" s="23"/>
      <c r="P252" s="23"/>
      <c r="Q252" s="23"/>
      <c r="R252" s="23"/>
      <c r="S252" s="23"/>
      <c r="T252" s="23"/>
      <c r="U252" s="23"/>
      <c r="V252" s="23"/>
      <c r="W252" s="23"/>
      <c r="X252" s="4"/>
    </row>
    <row r="253" spans="1:24" ht="26.25" x14ac:dyDescent="0.25">
      <c r="A253" s="21" t="s">
        <v>1299</v>
      </c>
      <c r="B253" s="21" t="str">
        <f t="shared" si="4"/>
        <v>84463010</v>
      </c>
      <c r="C253" s="21" t="str">
        <f>Tabela5[[#This Row],[Cod. Ncm]]&amp;"-"&amp;Tabela5[[#This Row],[Operações]]</f>
        <v>84463010-Internas e interestaduais</v>
      </c>
      <c r="D253" s="22" t="s">
        <v>586</v>
      </c>
      <c r="E253" s="22" t="s">
        <v>587</v>
      </c>
      <c r="F253" s="22">
        <v>8.8000000000000007</v>
      </c>
      <c r="G253" s="22" t="s">
        <v>1300</v>
      </c>
      <c r="H253" s="22" t="s">
        <v>588</v>
      </c>
      <c r="I253" s="23" t="s">
        <v>577</v>
      </c>
      <c r="J253" s="23" t="s">
        <v>1301</v>
      </c>
      <c r="K253" s="23" t="s">
        <v>589</v>
      </c>
      <c r="L253" s="23" t="s">
        <v>590</v>
      </c>
      <c r="M253" s="23"/>
      <c r="N253" s="23"/>
      <c r="O253" s="23"/>
      <c r="P253" s="23"/>
      <c r="Q253" s="23"/>
      <c r="R253" s="23"/>
      <c r="S253" s="23"/>
      <c r="T253" s="23"/>
      <c r="U253" s="23"/>
      <c r="V253" s="23"/>
      <c r="W253" s="23"/>
      <c r="X253" s="4"/>
    </row>
    <row r="254" spans="1:24" ht="26.25" x14ac:dyDescent="0.25">
      <c r="A254" s="21" t="s">
        <v>1302</v>
      </c>
      <c r="B254" s="21" t="str">
        <f t="shared" si="4"/>
        <v>84463020</v>
      </c>
      <c r="C254" s="21" t="str">
        <f>Tabela5[[#This Row],[Cod. Ncm]]&amp;"-"&amp;Tabela5[[#This Row],[Operações]]</f>
        <v>84463020-Internas e interestaduais</v>
      </c>
      <c r="D254" s="22" t="s">
        <v>586</v>
      </c>
      <c r="E254" s="22" t="s">
        <v>587</v>
      </c>
      <c r="F254" s="22">
        <v>8.8000000000000007</v>
      </c>
      <c r="G254" s="22" t="s">
        <v>1303</v>
      </c>
      <c r="H254" s="22" t="s">
        <v>588</v>
      </c>
      <c r="I254" s="23" t="s">
        <v>577</v>
      </c>
      <c r="J254" s="23" t="s">
        <v>1304</v>
      </c>
      <c r="K254" s="23" t="s">
        <v>589</v>
      </c>
      <c r="L254" s="23" t="s">
        <v>590</v>
      </c>
      <c r="M254" s="23"/>
      <c r="N254" s="23"/>
      <c r="O254" s="23"/>
      <c r="P254" s="23"/>
      <c r="Q254" s="23"/>
      <c r="R254" s="23"/>
      <c r="S254" s="23"/>
      <c r="T254" s="23"/>
      <c r="U254" s="23"/>
      <c r="V254" s="23"/>
      <c r="W254" s="23"/>
      <c r="X254" s="4"/>
    </row>
    <row r="255" spans="1:24" ht="26.25" x14ac:dyDescent="0.25">
      <c r="A255" s="21" t="s">
        <v>1305</v>
      </c>
      <c r="B255" s="21" t="str">
        <f t="shared" si="4"/>
        <v>84463030</v>
      </c>
      <c r="C255" s="21" t="str">
        <f>Tabela5[[#This Row],[Cod. Ncm]]&amp;"-"&amp;Tabela5[[#This Row],[Operações]]</f>
        <v>84463030-Internas e interestaduais</v>
      </c>
      <c r="D255" s="22" t="s">
        <v>586</v>
      </c>
      <c r="E255" s="22" t="s">
        <v>587</v>
      </c>
      <c r="F255" s="22">
        <v>8.8000000000000007</v>
      </c>
      <c r="G255" s="22" t="s">
        <v>1306</v>
      </c>
      <c r="H255" s="22" t="s">
        <v>588</v>
      </c>
      <c r="I255" s="23" t="s">
        <v>577</v>
      </c>
      <c r="J255" s="23" t="s">
        <v>1307</v>
      </c>
      <c r="K255" s="23" t="s">
        <v>589</v>
      </c>
      <c r="L255" s="23" t="s">
        <v>590</v>
      </c>
      <c r="M255" s="23"/>
      <c r="N255" s="23"/>
      <c r="O255" s="23"/>
      <c r="P255" s="23"/>
      <c r="Q255" s="23"/>
      <c r="R255" s="23"/>
      <c r="S255" s="23"/>
      <c r="T255" s="23"/>
      <c r="U255" s="23"/>
      <c r="V255" s="23"/>
      <c r="W255" s="23"/>
      <c r="X255" s="4"/>
    </row>
    <row r="256" spans="1:24" ht="26.25" x14ac:dyDescent="0.25">
      <c r="A256" s="21" t="s">
        <v>1308</v>
      </c>
      <c r="B256" s="21" t="str">
        <f t="shared" si="4"/>
        <v>84463040</v>
      </c>
      <c r="C256" s="21" t="str">
        <f>Tabela5[[#This Row],[Cod. Ncm]]&amp;"-"&amp;Tabela5[[#This Row],[Operações]]</f>
        <v>84463040-Internas e interestaduais</v>
      </c>
      <c r="D256" s="22" t="s">
        <v>586</v>
      </c>
      <c r="E256" s="22" t="s">
        <v>587</v>
      </c>
      <c r="F256" s="22">
        <v>8.8000000000000007</v>
      </c>
      <c r="G256" s="22" t="s">
        <v>1309</v>
      </c>
      <c r="H256" s="22" t="s">
        <v>588</v>
      </c>
      <c r="I256" s="23" t="s">
        <v>577</v>
      </c>
      <c r="J256" s="23" t="s">
        <v>1310</v>
      </c>
      <c r="K256" s="23" t="s">
        <v>589</v>
      </c>
      <c r="L256" s="23" t="s">
        <v>590</v>
      </c>
      <c r="M256" s="23"/>
      <c r="N256" s="23"/>
      <c r="O256" s="23"/>
      <c r="P256" s="23"/>
      <c r="Q256" s="23"/>
      <c r="R256" s="23"/>
      <c r="S256" s="23"/>
      <c r="T256" s="23"/>
      <c r="U256" s="23"/>
      <c r="V256" s="23"/>
      <c r="W256" s="23"/>
      <c r="X256" s="4"/>
    </row>
    <row r="257" spans="1:24" ht="26.25" x14ac:dyDescent="0.25">
      <c r="A257" s="21" t="s">
        <v>1311</v>
      </c>
      <c r="B257" s="21" t="str">
        <f t="shared" si="4"/>
        <v>84463090</v>
      </c>
      <c r="C257" s="21" t="str">
        <f>Tabela5[[#This Row],[Cod. Ncm]]&amp;"-"&amp;Tabela5[[#This Row],[Operações]]</f>
        <v>84463090-Internas e interestaduais</v>
      </c>
      <c r="D257" s="22" t="s">
        <v>586</v>
      </c>
      <c r="E257" s="22" t="s">
        <v>587</v>
      </c>
      <c r="F257" s="22">
        <v>8.8000000000000007</v>
      </c>
      <c r="G257" s="22" t="s">
        <v>1312</v>
      </c>
      <c r="H257" s="22" t="s">
        <v>588</v>
      </c>
      <c r="I257" s="23" t="s">
        <v>577</v>
      </c>
      <c r="J257" s="23" t="s">
        <v>1313</v>
      </c>
      <c r="K257" s="23" t="s">
        <v>589</v>
      </c>
      <c r="L257" s="23" t="s">
        <v>590</v>
      </c>
      <c r="M257" s="23"/>
      <c r="N257" s="23"/>
      <c r="O257" s="23"/>
      <c r="P257" s="23"/>
      <c r="Q257" s="23"/>
      <c r="R257" s="23"/>
      <c r="S257" s="23"/>
      <c r="T257" s="23"/>
      <c r="U257" s="23"/>
      <c r="V257" s="23"/>
      <c r="W257" s="23"/>
      <c r="X257" s="4"/>
    </row>
    <row r="258" spans="1:24" ht="26.25" x14ac:dyDescent="0.25">
      <c r="A258" s="21" t="s">
        <v>1314</v>
      </c>
      <c r="B258" s="21" t="str">
        <f t="shared" si="4"/>
        <v>84471100</v>
      </c>
      <c r="C258" s="21" t="str">
        <f>Tabela5[[#This Row],[Cod. Ncm]]&amp;"-"&amp;Tabela5[[#This Row],[Operações]]</f>
        <v>84471100-Internas e interestaduais</v>
      </c>
      <c r="D258" s="22" t="s">
        <v>586</v>
      </c>
      <c r="E258" s="22" t="s">
        <v>587</v>
      </c>
      <c r="F258" s="22">
        <v>8.8000000000000007</v>
      </c>
      <c r="G258" s="22" t="s">
        <v>1315</v>
      </c>
      <c r="H258" s="22" t="s">
        <v>588</v>
      </c>
      <c r="I258" s="23" t="s">
        <v>577</v>
      </c>
      <c r="J258" s="23" t="s">
        <v>1316</v>
      </c>
      <c r="K258" s="23" t="s">
        <v>589</v>
      </c>
      <c r="L258" s="23" t="s">
        <v>590</v>
      </c>
      <c r="M258" s="23"/>
      <c r="N258" s="23"/>
      <c r="O258" s="23"/>
      <c r="P258" s="23"/>
      <c r="Q258" s="23"/>
      <c r="R258" s="23"/>
      <c r="S258" s="23"/>
      <c r="T258" s="23"/>
      <c r="U258" s="23"/>
      <c r="V258" s="23"/>
      <c r="W258" s="23"/>
      <c r="X258" s="4"/>
    </row>
    <row r="259" spans="1:24" ht="26.25" x14ac:dyDescent="0.25">
      <c r="A259" s="21" t="s">
        <v>1317</v>
      </c>
      <c r="B259" s="21" t="str">
        <f t="shared" si="4"/>
        <v>84471200</v>
      </c>
      <c r="C259" s="21" t="str">
        <f>Tabela5[[#This Row],[Cod. Ncm]]&amp;"-"&amp;Tabela5[[#This Row],[Operações]]</f>
        <v>84471200-Internas e interestaduais</v>
      </c>
      <c r="D259" s="22" t="s">
        <v>586</v>
      </c>
      <c r="E259" s="22" t="s">
        <v>587</v>
      </c>
      <c r="F259" s="22">
        <v>8.8000000000000007</v>
      </c>
      <c r="G259" s="22" t="s">
        <v>1318</v>
      </c>
      <c r="H259" s="22" t="s">
        <v>588</v>
      </c>
      <c r="I259" s="23" t="s">
        <v>577</v>
      </c>
      <c r="J259" s="23" t="s">
        <v>1319</v>
      </c>
      <c r="K259" s="23" t="s">
        <v>589</v>
      </c>
      <c r="L259" s="23" t="s">
        <v>590</v>
      </c>
      <c r="M259" s="23"/>
      <c r="N259" s="23"/>
      <c r="O259" s="23"/>
      <c r="P259" s="23"/>
      <c r="Q259" s="23"/>
      <c r="R259" s="23"/>
      <c r="S259" s="23"/>
      <c r="T259" s="23"/>
      <c r="U259" s="23"/>
      <c r="V259" s="23"/>
      <c r="W259" s="23"/>
      <c r="X259" s="4"/>
    </row>
    <row r="260" spans="1:24" ht="38.25" x14ac:dyDescent="0.25">
      <c r="A260" s="21" t="s">
        <v>1320</v>
      </c>
      <c r="B260" s="21" t="str">
        <f t="shared" si="4"/>
        <v>84472021</v>
      </c>
      <c r="C260" s="21" t="str">
        <f>Tabela5[[#This Row],[Cod. Ncm]]&amp;"-"&amp;Tabela5[[#This Row],[Operações]]</f>
        <v>84472021-Internas e interestaduais</v>
      </c>
      <c r="D260" s="22" t="s">
        <v>586</v>
      </c>
      <c r="E260" s="22" t="s">
        <v>587</v>
      </c>
      <c r="F260" s="22">
        <v>8.8000000000000007</v>
      </c>
      <c r="G260" s="22" t="s">
        <v>1321</v>
      </c>
      <c r="H260" s="22" t="s">
        <v>588</v>
      </c>
      <c r="I260" s="23" t="s">
        <v>577</v>
      </c>
      <c r="J260" s="23" t="s">
        <v>1322</v>
      </c>
      <c r="K260" s="23" t="s">
        <v>589</v>
      </c>
      <c r="L260" s="23" t="s">
        <v>590</v>
      </c>
      <c r="M260" s="23"/>
      <c r="N260" s="23"/>
      <c r="O260" s="23"/>
      <c r="P260" s="23"/>
      <c r="Q260" s="23"/>
      <c r="R260" s="23"/>
      <c r="S260" s="23"/>
      <c r="T260" s="23"/>
      <c r="U260" s="23"/>
      <c r="V260" s="23"/>
      <c r="W260" s="23"/>
      <c r="X260" s="4"/>
    </row>
    <row r="261" spans="1:24" ht="76.5" x14ac:dyDescent="0.25">
      <c r="A261" s="21" t="s">
        <v>1323</v>
      </c>
      <c r="B261" s="21" t="str">
        <f t="shared" si="4"/>
        <v>84472029</v>
      </c>
      <c r="C261" s="21" t="str">
        <f>Tabela5[[#This Row],[Cod. Ncm]]&amp;"-"&amp;Tabela5[[#This Row],[Operações]]</f>
        <v>84472029-Internas e interestaduais</v>
      </c>
      <c r="D261" s="22" t="s">
        <v>586</v>
      </c>
      <c r="E261" s="22" t="s">
        <v>587</v>
      </c>
      <c r="F261" s="22">
        <v>8.8000000000000007</v>
      </c>
      <c r="G261" s="22" t="s">
        <v>1324</v>
      </c>
      <c r="H261" s="22" t="s">
        <v>588</v>
      </c>
      <c r="I261" s="23" t="s">
        <v>577</v>
      </c>
      <c r="J261" s="23" t="s">
        <v>1325</v>
      </c>
      <c r="K261" s="23" t="s">
        <v>589</v>
      </c>
      <c r="L261" s="23" t="s">
        <v>590</v>
      </c>
      <c r="M261" s="23"/>
      <c r="N261" s="23"/>
      <c r="O261" s="23"/>
      <c r="P261" s="23"/>
      <c r="Q261" s="23"/>
      <c r="R261" s="23"/>
      <c r="S261" s="23"/>
      <c r="T261" s="23"/>
      <c r="U261" s="23"/>
      <c r="V261" s="23"/>
      <c r="W261" s="23"/>
      <c r="X261" s="4"/>
    </row>
    <row r="262" spans="1:24" ht="26.25" x14ac:dyDescent="0.25">
      <c r="A262" s="21" t="s">
        <v>1326</v>
      </c>
      <c r="B262" s="21" t="str">
        <f t="shared" si="4"/>
        <v>84472030</v>
      </c>
      <c r="C262" s="21" t="str">
        <f>Tabela5[[#This Row],[Cod. Ncm]]&amp;"-"&amp;Tabela5[[#This Row],[Operações]]</f>
        <v>84472030-Internas e interestaduais</v>
      </c>
      <c r="D262" s="22" t="s">
        <v>586</v>
      </c>
      <c r="E262" s="22" t="s">
        <v>587</v>
      </c>
      <c r="F262" s="22">
        <v>8.8000000000000007</v>
      </c>
      <c r="G262" s="22" t="s">
        <v>1327</v>
      </c>
      <c r="H262" s="22" t="s">
        <v>588</v>
      </c>
      <c r="I262" s="23" t="s">
        <v>577</v>
      </c>
      <c r="J262" s="23" t="s">
        <v>1328</v>
      </c>
      <c r="K262" s="23" t="s">
        <v>589</v>
      </c>
      <c r="L262" s="23" t="s">
        <v>590</v>
      </c>
      <c r="M262" s="23"/>
      <c r="N262" s="23"/>
      <c r="O262" s="23"/>
      <c r="P262" s="23"/>
      <c r="Q262" s="23"/>
      <c r="R262" s="23"/>
      <c r="S262" s="23"/>
      <c r="T262" s="23"/>
      <c r="U262" s="23"/>
      <c r="V262" s="23"/>
      <c r="W262" s="23"/>
      <c r="X262" s="4"/>
    </row>
    <row r="263" spans="1:24" ht="26.25" x14ac:dyDescent="0.25">
      <c r="A263" s="21" t="s">
        <v>1329</v>
      </c>
      <c r="B263" s="21" t="str">
        <f t="shared" ref="B263:B326" si="5">RIGHT(A263,8)</f>
        <v>84479010</v>
      </c>
      <c r="C263" s="21" t="str">
        <f>Tabela5[[#This Row],[Cod. Ncm]]&amp;"-"&amp;Tabela5[[#This Row],[Operações]]</f>
        <v>84479010-Internas e interestaduais</v>
      </c>
      <c r="D263" s="22" t="s">
        <v>586</v>
      </c>
      <c r="E263" s="22" t="s">
        <v>587</v>
      </c>
      <c r="F263" s="22">
        <v>8.8000000000000007</v>
      </c>
      <c r="G263" s="22" t="s">
        <v>1330</v>
      </c>
      <c r="H263" s="22" t="s">
        <v>588</v>
      </c>
      <c r="I263" s="23" t="s">
        <v>577</v>
      </c>
      <c r="J263" s="23" t="s">
        <v>1331</v>
      </c>
      <c r="K263" s="23" t="s">
        <v>589</v>
      </c>
      <c r="L263" s="23" t="s">
        <v>590</v>
      </c>
      <c r="M263" s="23"/>
      <c r="N263" s="23"/>
      <c r="O263" s="23"/>
      <c r="P263" s="23"/>
      <c r="Q263" s="23"/>
      <c r="R263" s="23"/>
      <c r="S263" s="23"/>
      <c r="T263" s="23"/>
      <c r="U263" s="23"/>
      <c r="V263" s="23"/>
      <c r="W263" s="23"/>
      <c r="X263" s="4"/>
    </row>
    <row r="264" spans="1:24" ht="26.25" x14ac:dyDescent="0.25">
      <c r="A264" s="21" t="s">
        <v>1332</v>
      </c>
      <c r="B264" s="21" t="str">
        <f t="shared" si="5"/>
        <v>84479020</v>
      </c>
      <c r="C264" s="21" t="str">
        <f>Tabela5[[#This Row],[Cod. Ncm]]&amp;"-"&amp;Tabela5[[#This Row],[Operações]]</f>
        <v>84479020-Internas e interestaduais</v>
      </c>
      <c r="D264" s="22" t="s">
        <v>586</v>
      </c>
      <c r="E264" s="22" t="s">
        <v>587</v>
      </c>
      <c r="F264" s="22">
        <v>8.8000000000000007</v>
      </c>
      <c r="G264" s="22" t="s">
        <v>1333</v>
      </c>
      <c r="H264" s="22" t="s">
        <v>588</v>
      </c>
      <c r="I264" s="23" t="s">
        <v>577</v>
      </c>
      <c r="J264" s="23" t="s">
        <v>1334</v>
      </c>
      <c r="K264" s="23" t="s">
        <v>589</v>
      </c>
      <c r="L264" s="23" t="s">
        <v>590</v>
      </c>
      <c r="M264" s="23"/>
      <c r="N264" s="23"/>
      <c r="O264" s="23"/>
      <c r="P264" s="23"/>
      <c r="Q264" s="23"/>
      <c r="R264" s="23"/>
      <c r="S264" s="23"/>
      <c r="T264" s="23"/>
      <c r="U264" s="23"/>
      <c r="V264" s="23"/>
      <c r="W264" s="23"/>
      <c r="X264" s="4"/>
    </row>
    <row r="265" spans="1:24" ht="26.25" x14ac:dyDescent="0.25">
      <c r="A265" s="21" t="s">
        <v>1335</v>
      </c>
      <c r="B265" s="21" t="str">
        <f t="shared" si="5"/>
        <v>84479090</v>
      </c>
      <c r="C265" s="21" t="str">
        <f>Tabela5[[#This Row],[Cod. Ncm]]&amp;"-"&amp;Tabela5[[#This Row],[Operações]]</f>
        <v>84479090-Internas e interestaduais</v>
      </c>
      <c r="D265" s="22" t="s">
        <v>586</v>
      </c>
      <c r="E265" s="22" t="s">
        <v>587</v>
      </c>
      <c r="F265" s="22">
        <v>8.8000000000000007</v>
      </c>
      <c r="G265" s="22" t="s">
        <v>1336</v>
      </c>
      <c r="H265" s="22" t="s">
        <v>588</v>
      </c>
      <c r="I265" s="23" t="s">
        <v>577</v>
      </c>
      <c r="J265" s="23" t="s">
        <v>1337</v>
      </c>
      <c r="K265" s="23" t="s">
        <v>589</v>
      </c>
      <c r="L265" s="23" t="s">
        <v>590</v>
      </c>
      <c r="M265" s="23"/>
      <c r="N265" s="23"/>
      <c r="O265" s="23"/>
      <c r="P265" s="23"/>
      <c r="Q265" s="23"/>
      <c r="R265" s="23"/>
      <c r="S265" s="23"/>
      <c r="T265" s="23"/>
      <c r="U265" s="23"/>
      <c r="V265" s="23"/>
      <c r="W265" s="23"/>
      <c r="X265" s="4"/>
    </row>
    <row r="266" spans="1:24" ht="26.25" x14ac:dyDescent="0.25">
      <c r="A266" s="21" t="s">
        <v>1338</v>
      </c>
      <c r="B266" s="21" t="str">
        <f t="shared" si="5"/>
        <v>84481110</v>
      </c>
      <c r="C266" s="21" t="str">
        <f>Tabela5[[#This Row],[Cod. Ncm]]&amp;"-"&amp;Tabela5[[#This Row],[Operações]]</f>
        <v>84481110-Internas e interestaduais</v>
      </c>
      <c r="D266" s="22" t="s">
        <v>586</v>
      </c>
      <c r="E266" s="22" t="s">
        <v>587</v>
      </c>
      <c r="F266" s="22">
        <v>8.8000000000000007</v>
      </c>
      <c r="G266" s="22" t="s">
        <v>1339</v>
      </c>
      <c r="H266" s="22" t="s">
        <v>588</v>
      </c>
      <c r="I266" s="23" t="s">
        <v>577</v>
      </c>
      <c r="J266" s="23" t="s">
        <v>1340</v>
      </c>
      <c r="K266" s="23" t="s">
        <v>589</v>
      </c>
      <c r="L266" s="23" t="s">
        <v>590</v>
      </c>
      <c r="M266" s="23"/>
      <c r="N266" s="23"/>
      <c r="O266" s="23"/>
      <c r="P266" s="23"/>
      <c r="Q266" s="23"/>
      <c r="R266" s="23"/>
      <c r="S266" s="23"/>
      <c r="T266" s="23"/>
      <c r="U266" s="23"/>
      <c r="V266" s="23"/>
      <c r="W266" s="23"/>
      <c r="X266" s="4"/>
    </row>
    <row r="267" spans="1:24" ht="26.25" x14ac:dyDescent="0.25">
      <c r="A267" s="21" t="s">
        <v>1341</v>
      </c>
      <c r="B267" s="21" t="str">
        <f t="shared" si="5"/>
        <v>84481120</v>
      </c>
      <c r="C267" s="21" t="str">
        <f>Tabela5[[#This Row],[Cod. Ncm]]&amp;"-"&amp;Tabela5[[#This Row],[Operações]]</f>
        <v>84481120-Internas e interestaduais</v>
      </c>
      <c r="D267" s="22" t="s">
        <v>586</v>
      </c>
      <c r="E267" s="22" t="s">
        <v>587</v>
      </c>
      <c r="F267" s="22">
        <v>8.8000000000000007</v>
      </c>
      <c r="G267" s="22" t="s">
        <v>1342</v>
      </c>
      <c r="H267" s="22" t="s">
        <v>588</v>
      </c>
      <c r="I267" s="23" t="s">
        <v>577</v>
      </c>
      <c r="J267" s="23" t="s">
        <v>1343</v>
      </c>
      <c r="K267" s="23" t="s">
        <v>589</v>
      </c>
      <c r="L267" s="23" t="s">
        <v>590</v>
      </c>
      <c r="M267" s="23"/>
      <c r="N267" s="23"/>
      <c r="O267" s="23"/>
      <c r="P267" s="23"/>
      <c r="Q267" s="23"/>
      <c r="R267" s="23"/>
      <c r="S267" s="23"/>
      <c r="T267" s="23"/>
      <c r="U267" s="23"/>
      <c r="V267" s="23"/>
      <c r="W267" s="23"/>
      <c r="X267" s="4"/>
    </row>
    <row r="268" spans="1:24" ht="38.25" x14ac:dyDescent="0.25">
      <c r="A268" s="21" t="s">
        <v>1344</v>
      </c>
      <c r="B268" s="21" t="str">
        <f t="shared" si="5"/>
        <v>84481190</v>
      </c>
      <c r="C268" s="21" t="str">
        <f>Tabela5[[#This Row],[Cod. Ncm]]&amp;"-"&amp;Tabela5[[#This Row],[Operações]]</f>
        <v>84481190-Internas e interestaduais</v>
      </c>
      <c r="D268" s="22" t="s">
        <v>586</v>
      </c>
      <c r="E268" s="22" t="s">
        <v>587</v>
      </c>
      <c r="F268" s="22">
        <v>8.8000000000000007</v>
      </c>
      <c r="G268" s="22" t="s">
        <v>1345</v>
      </c>
      <c r="H268" s="22" t="s">
        <v>588</v>
      </c>
      <c r="I268" s="23" t="s">
        <v>577</v>
      </c>
      <c r="J268" s="23" t="s">
        <v>1346</v>
      </c>
      <c r="K268" s="23" t="s">
        <v>589</v>
      </c>
      <c r="L268" s="23" t="s">
        <v>590</v>
      </c>
      <c r="M268" s="23"/>
      <c r="N268" s="23"/>
      <c r="O268" s="23"/>
      <c r="P268" s="23"/>
      <c r="Q268" s="23"/>
      <c r="R268" s="23"/>
      <c r="S268" s="23"/>
      <c r="T268" s="23"/>
      <c r="U268" s="23"/>
      <c r="V268" s="23"/>
      <c r="W268" s="23"/>
      <c r="X268" s="4"/>
    </row>
    <row r="269" spans="1:24" ht="51" x14ac:dyDescent="0.25">
      <c r="A269" s="21" t="s">
        <v>1347</v>
      </c>
      <c r="B269" s="21" t="str">
        <f t="shared" si="5"/>
        <v>84481900</v>
      </c>
      <c r="C269" s="21" t="str">
        <f>Tabela5[[#This Row],[Cod. Ncm]]&amp;"-"&amp;Tabela5[[#This Row],[Operações]]</f>
        <v>84481900-Internas e interestaduais</v>
      </c>
      <c r="D269" s="22" t="s">
        <v>586</v>
      </c>
      <c r="E269" s="22" t="s">
        <v>587</v>
      </c>
      <c r="F269" s="22">
        <v>8.8000000000000007</v>
      </c>
      <c r="G269" s="22" t="s">
        <v>1348</v>
      </c>
      <c r="H269" s="22" t="s">
        <v>588</v>
      </c>
      <c r="I269" s="23" t="s">
        <v>577</v>
      </c>
      <c r="J269" s="23" t="s">
        <v>1349</v>
      </c>
      <c r="K269" s="23" t="s">
        <v>589</v>
      </c>
      <c r="L269" s="23" t="s">
        <v>590</v>
      </c>
      <c r="M269" s="23"/>
      <c r="N269" s="23"/>
      <c r="O269" s="23"/>
      <c r="P269" s="23"/>
      <c r="Q269" s="23"/>
      <c r="R269" s="23"/>
      <c r="S269" s="23"/>
      <c r="T269" s="23"/>
      <c r="U269" s="23"/>
      <c r="V269" s="23"/>
      <c r="W269" s="23"/>
      <c r="X269" s="4"/>
    </row>
    <row r="270" spans="1:24" ht="26.25" x14ac:dyDescent="0.25">
      <c r="A270" s="21" t="s">
        <v>1350</v>
      </c>
      <c r="B270" s="21" t="str">
        <f t="shared" si="5"/>
        <v>84490010</v>
      </c>
      <c r="C270" s="21" t="str">
        <f>Tabela5[[#This Row],[Cod. Ncm]]&amp;"-"&amp;Tabela5[[#This Row],[Operações]]</f>
        <v>84490010-Internas e interestaduais</v>
      </c>
      <c r="D270" s="22" t="s">
        <v>586</v>
      </c>
      <c r="E270" s="22" t="s">
        <v>587</v>
      </c>
      <c r="F270" s="22">
        <v>8.8000000000000007</v>
      </c>
      <c r="G270" s="22" t="s">
        <v>1351</v>
      </c>
      <c r="H270" s="22" t="s">
        <v>588</v>
      </c>
      <c r="I270" s="23" t="s">
        <v>577</v>
      </c>
      <c r="J270" s="23" t="s">
        <v>1352</v>
      </c>
      <c r="K270" s="23" t="s">
        <v>589</v>
      </c>
      <c r="L270" s="23" t="s">
        <v>590</v>
      </c>
      <c r="M270" s="23"/>
      <c r="N270" s="23"/>
      <c r="O270" s="23"/>
      <c r="P270" s="23"/>
      <c r="Q270" s="23"/>
      <c r="R270" s="23"/>
      <c r="S270" s="23"/>
      <c r="T270" s="23"/>
      <c r="U270" s="23"/>
      <c r="V270" s="23"/>
      <c r="W270" s="23"/>
      <c r="X270" s="4"/>
    </row>
    <row r="271" spans="1:24" ht="26.25" x14ac:dyDescent="0.25">
      <c r="A271" s="21" t="s">
        <v>1353</v>
      </c>
      <c r="B271" s="21" t="str">
        <f t="shared" si="5"/>
        <v>84490020</v>
      </c>
      <c r="C271" s="21" t="str">
        <f>Tabela5[[#This Row],[Cod. Ncm]]&amp;"-"&amp;Tabela5[[#This Row],[Operações]]</f>
        <v>84490020-Internas e interestaduais</v>
      </c>
      <c r="D271" s="22" t="s">
        <v>586</v>
      </c>
      <c r="E271" s="22" t="s">
        <v>587</v>
      </c>
      <c r="F271" s="22">
        <v>8.8000000000000007</v>
      </c>
      <c r="G271" s="22" t="s">
        <v>1354</v>
      </c>
      <c r="H271" s="22" t="s">
        <v>588</v>
      </c>
      <c r="I271" s="23" t="s">
        <v>577</v>
      </c>
      <c r="J271" s="23" t="s">
        <v>1355</v>
      </c>
      <c r="K271" s="23" t="s">
        <v>589</v>
      </c>
      <c r="L271" s="23" t="s">
        <v>590</v>
      </c>
      <c r="M271" s="23"/>
      <c r="N271" s="23"/>
      <c r="O271" s="23"/>
      <c r="P271" s="23"/>
      <c r="Q271" s="23"/>
      <c r="R271" s="23"/>
      <c r="S271" s="23"/>
      <c r="T271" s="23"/>
      <c r="U271" s="23"/>
      <c r="V271" s="23"/>
      <c r="W271" s="23"/>
      <c r="X271" s="4"/>
    </row>
    <row r="272" spans="1:24" ht="26.25" x14ac:dyDescent="0.25">
      <c r="A272" s="21" t="s">
        <v>1356</v>
      </c>
      <c r="B272" s="21" t="str">
        <f t="shared" si="5"/>
        <v>84490080</v>
      </c>
      <c r="C272" s="21" t="str">
        <f>Tabela5[[#This Row],[Cod. Ncm]]&amp;"-"&amp;Tabela5[[#This Row],[Operações]]</f>
        <v>84490080-Internas e interestaduais</v>
      </c>
      <c r="D272" s="22" t="s">
        <v>586</v>
      </c>
      <c r="E272" s="22" t="s">
        <v>587</v>
      </c>
      <c r="F272" s="22">
        <v>8.8000000000000007</v>
      </c>
      <c r="G272" s="22" t="s">
        <v>1357</v>
      </c>
      <c r="H272" s="22" t="s">
        <v>588</v>
      </c>
      <c r="I272" s="23" t="s">
        <v>577</v>
      </c>
      <c r="J272" s="23" t="s">
        <v>1358</v>
      </c>
      <c r="K272" s="23" t="s">
        <v>589</v>
      </c>
      <c r="L272" s="23" t="s">
        <v>590</v>
      </c>
      <c r="M272" s="23"/>
      <c r="N272" s="23"/>
      <c r="O272" s="23"/>
      <c r="P272" s="23"/>
      <c r="Q272" s="23"/>
      <c r="R272" s="23"/>
      <c r="S272" s="23"/>
      <c r="T272" s="23"/>
      <c r="U272" s="23"/>
      <c r="V272" s="23"/>
      <c r="W272" s="23"/>
      <c r="X272" s="4"/>
    </row>
    <row r="273" spans="1:24" ht="26.25" x14ac:dyDescent="0.25">
      <c r="A273" s="21" t="s">
        <v>1359</v>
      </c>
      <c r="B273" s="21" t="str">
        <f t="shared" si="5"/>
        <v>84502010</v>
      </c>
      <c r="C273" s="21" t="str">
        <f>Tabela5[[#This Row],[Cod. Ncm]]&amp;"-"&amp;Tabela5[[#This Row],[Operações]]</f>
        <v>84502010-Internas e interestaduais</v>
      </c>
      <c r="D273" s="22" t="s">
        <v>586</v>
      </c>
      <c r="E273" s="22" t="s">
        <v>587</v>
      </c>
      <c r="F273" s="22">
        <v>8.8000000000000007</v>
      </c>
      <c r="G273" s="22" t="s">
        <v>1360</v>
      </c>
      <c r="H273" s="22" t="s">
        <v>588</v>
      </c>
      <c r="I273" s="23" t="s">
        <v>577</v>
      </c>
      <c r="J273" s="23" t="s">
        <v>1361</v>
      </c>
      <c r="K273" s="23" t="s">
        <v>589</v>
      </c>
      <c r="L273" s="23" t="s">
        <v>590</v>
      </c>
      <c r="M273" s="23"/>
      <c r="N273" s="23"/>
      <c r="O273" s="23"/>
      <c r="P273" s="23"/>
      <c r="Q273" s="23"/>
      <c r="R273" s="23"/>
      <c r="S273" s="23"/>
      <c r="T273" s="23"/>
      <c r="U273" s="23"/>
      <c r="V273" s="23"/>
      <c r="W273" s="23"/>
      <c r="X273" s="4"/>
    </row>
    <row r="274" spans="1:24" ht="26.25" x14ac:dyDescent="0.25">
      <c r="A274" s="21" t="s">
        <v>1362</v>
      </c>
      <c r="B274" s="21" t="str">
        <f t="shared" si="5"/>
        <v>84502090</v>
      </c>
      <c r="C274" s="21" t="str">
        <f>Tabela5[[#This Row],[Cod. Ncm]]&amp;"-"&amp;Tabela5[[#This Row],[Operações]]</f>
        <v>84502090-Internas e interestaduais</v>
      </c>
      <c r="D274" s="22" t="s">
        <v>586</v>
      </c>
      <c r="E274" s="22" t="s">
        <v>587</v>
      </c>
      <c r="F274" s="22">
        <v>8.8000000000000007</v>
      </c>
      <c r="G274" s="22" t="s">
        <v>1363</v>
      </c>
      <c r="H274" s="22" t="s">
        <v>588</v>
      </c>
      <c r="I274" s="23" t="s">
        <v>577</v>
      </c>
      <c r="J274" s="23" t="s">
        <v>1364</v>
      </c>
      <c r="K274" s="23" t="s">
        <v>589</v>
      </c>
      <c r="L274" s="23" t="s">
        <v>590</v>
      </c>
      <c r="M274" s="23"/>
      <c r="N274" s="23"/>
      <c r="O274" s="23"/>
      <c r="P274" s="23"/>
      <c r="Q274" s="23"/>
      <c r="R274" s="23"/>
      <c r="S274" s="23"/>
      <c r="T274" s="23"/>
      <c r="U274" s="23"/>
      <c r="V274" s="23"/>
      <c r="W274" s="23"/>
      <c r="X274" s="4"/>
    </row>
    <row r="275" spans="1:24" ht="26.25" x14ac:dyDescent="0.25">
      <c r="A275" s="21" t="s">
        <v>1365</v>
      </c>
      <c r="B275" s="21" t="str">
        <f t="shared" si="5"/>
        <v>84511000</v>
      </c>
      <c r="C275" s="21" t="str">
        <f>Tabela5[[#This Row],[Cod. Ncm]]&amp;"-"&amp;Tabela5[[#This Row],[Operações]]</f>
        <v>84511000-Internas e interestaduais</v>
      </c>
      <c r="D275" s="22" t="s">
        <v>586</v>
      </c>
      <c r="E275" s="22" t="s">
        <v>587</v>
      </c>
      <c r="F275" s="22">
        <v>8.8000000000000007</v>
      </c>
      <c r="G275" s="22" t="s">
        <v>1366</v>
      </c>
      <c r="H275" s="22" t="s">
        <v>588</v>
      </c>
      <c r="I275" s="23" t="s">
        <v>577</v>
      </c>
      <c r="J275" s="23" t="s">
        <v>1367</v>
      </c>
      <c r="K275" s="23" t="s">
        <v>589</v>
      </c>
      <c r="L275" s="23" t="s">
        <v>590</v>
      </c>
      <c r="M275" s="23"/>
      <c r="N275" s="23"/>
      <c r="O275" s="23"/>
      <c r="P275" s="23"/>
      <c r="Q275" s="23"/>
      <c r="R275" s="23"/>
      <c r="S275" s="23"/>
      <c r="T275" s="23"/>
      <c r="U275" s="23"/>
      <c r="V275" s="23"/>
      <c r="W275" s="23"/>
      <c r="X275" s="4"/>
    </row>
    <row r="276" spans="1:24" ht="38.25" x14ac:dyDescent="0.25">
      <c r="A276" s="21" t="s">
        <v>1368</v>
      </c>
      <c r="B276" s="21" t="str">
        <f t="shared" si="5"/>
        <v>84512910</v>
      </c>
      <c r="C276" s="21" t="str">
        <f>Tabela5[[#This Row],[Cod. Ncm]]&amp;"-"&amp;Tabela5[[#This Row],[Operações]]</f>
        <v>84512910-Internas e interestaduais</v>
      </c>
      <c r="D276" s="22" t="s">
        <v>586</v>
      </c>
      <c r="E276" s="22" t="s">
        <v>587</v>
      </c>
      <c r="F276" s="22">
        <v>8.8000000000000007</v>
      </c>
      <c r="G276" s="22" t="s">
        <v>1369</v>
      </c>
      <c r="H276" s="22" t="s">
        <v>588</v>
      </c>
      <c r="I276" s="23" t="s">
        <v>577</v>
      </c>
      <c r="J276" s="23" t="s">
        <v>1370</v>
      </c>
      <c r="K276" s="23" t="s">
        <v>589</v>
      </c>
      <c r="L276" s="23" t="s">
        <v>590</v>
      </c>
      <c r="M276" s="23"/>
      <c r="N276" s="23"/>
      <c r="O276" s="23"/>
      <c r="P276" s="23"/>
      <c r="Q276" s="23"/>
      <c r="R276" s="23"/>
      <c r="S276" s="23"/>
      <c r="T276" s="23"/>
      <c r="U276" s="23"/>
      <c r="V276" s="23"/>
      <c r="W276" s="23"/>
      <c r="X276" s="4"/>
    </row>
    <row r="277" spans="1:24" ht="26.25" x14ac:dyDescent="0.25">
      <c r="A277" s="21" t="s">
        <v>1371</v>
      </c>
      <c r="B277" s="21" t="str">
        <f t="shared" si="5"/>
        <v>84512990</v>
      </c>
      <c r="C277" s="21" t="str">
        <f>Tabela5[[#This Row],[Cod. Ncm]]&amp;"-"&amp;Tabela5[[#This Row],[Operações]]</f>
        <v>84512990-Internas e interestaduais</v>
      </c>
      <c r="D277" s="22" t="s">
        <v>586</v>
      </c>
      <c r="E277" s="22" t="s">
        <v>587</v>
      </c>
      <c r="F277" s="22">
        <v>8.8000000000000007</v>
      </c>
      <c r="G277" s="22" t="s">
        <v>1372</v>
      </c>
      <c r="H277" s="22" t="s">
        <v>588</v>
      </c>
      <c r="I277" s="23" t="s">
        <v>577</v>
      </c>
      <c r="J277" s="23" t="s">
        <v>1373</v>
      </c>
      <c r="K277" s="23" t="s">
        <v>589</v>
      </c>
      <c r="L277" s="23" t="s">
        <v>590</v>
      </c>
      <c r="M277" s="23"/>
      <c r="N277" s="23"/>
      <c r="O277" s="23"/>
      <c r="P277" s="23"/>
      <c r="Q277" s="23"/>
      <c r="R277" s="23"/>
      <c r="S277" s="23"/>
      <c r="T277" s="23"/>
      <c r="U277" s="23"/>
      <c r="V277" s="23"/>
      <c r="W277" s="23"/>
      <c r="X277" s="4"/>
    </row>
    <row r="278" spans="1:24" ht="26.25" x14ac:dyDescent="0.25">
      <c r="A278" s="21" t="s">
        <v>1374</v>
      </c>
      <c r="B278" s="21" t="str">
        <f t="shared" si="5"/>
        <v>84513010</v>
      </c>
      <c r="C278" s="21" t="str">
        <f>Tabela5[[#This Row],[Cod. Ncm]]&amp;"-"&amp;Tabela5[[#This Row],[Operações]]</f>
        <v>84513010-Internas e interestaduais</v>
      </c>
      <c r="D278" s="22" t="s">
        <v>586</v>
      </c>
      <c r="E278" s="22" t="s">
        <v>587</v>
      </c>
      <c r="F278" s="22">
        <v>8.8000000000000007</v>
      </c>
      <c r="G278" s="22" t="s">
        <v>1375</v>
      </c>
      <c r="H278" s="22" t="s">
        <v>588</v>
      </c>
      <c r="I278" s="23" t="s">
        <v>577</v>
      </c>
      <c r="J278" s="23" t="s">
        <v>1376</v>
      </c>
      <c r="K278" s="23" t="s">
        <v>589</v>
      </c>
      <c r="L278" s="23" t="s">
        <v>590</v>
      </c>
      <c r="M278" s="23"/>
      <c r="N278" s="23"/>
      <c r="O278" s="23"/>
      <c r="P278" s="23"/>
      <c r="Q278" s="23"/>
      <c r="R278" s="23"/>
      <c r="S278" s="23"/>
      <c r="T278" s="23"/>
      <c r="U278" s="23"/>
      <c r="V278" s="23"/>
      <c r="W278" s="23"/>
      <c r="X278" s="4"/>
    </row>
    <row r="279" spans="1:24" ht="26.25" x14ac:dyDescent="0.25">
      <c r="A279" s="21" t="s">
        <v>1377</v>
      </c>
      <c r="B279" s="21" t="str">
        <f t="shared" si="5"/>
        <v>84513091</v>
      </c>
      <c r="C279" s="21" t="str">
        <f>Tabela5[[#This Row],[Cod. Ncm]]&amp;"-"&amp;Tabela5[[#This Row],[Operações]]</f>
        <v>84513091-Internas e interestaduais</v>
      </c>
      <c r="D279" s="22" t="s">
        <v>586</v>
      </c>
      <c r="E279" s="22" t="s">
        <v>587</v>
      </c>
      <c r="F279" s="22">
        <v>8.8000000000000007</v>
      </c>
      <c r="G279" s="22" t="s">
        <v>1378</v>
      </c>
      <c r="H279" s="22" t="s">
        <v>588</v>
      </c>
      <c r="I279" s="23" t="s">
        <v>577</v>
      </c>
      <c r="J279" s="23" t="s">
        <v>1379</v>
      </c>
      <c r="K279" s="23" t="s">
        <v>589</v>
      </c>
      <c r="L279" s="23" t="s">
        <v>590</v>
      </c>
      <c r="M279" s="23"/>
      <c r="N279" s="23"/>
      <c r="O279" s="23"/>
      <c r="P279" s="23"/>
      <c r="Q279" s="23"/>
      <c r="R279" s="23"/>
      <c r="S279" s="23"/>
      <c r="T279" s="23"/>
      <c r="U279" s="23"/>
      <c r="V279" s="23"/>
      <c r="W279" s="23"/>
      <c r="X279" s="4"/>
    </row>
    <row r="280" spans="1:24" ht="26.25" x14ac:dyDescent="0.25">
      <c r="A280" s="21" t="s">
        <v>1380</v>
      </c>
      <c r="B280" s="21" t="str">
        <f t="shared" si="5"/>
        <v>84513099</v>
      </c>
      <c r="C280" s="21" t="str">
        <f>Tabela5[[#This Row],[Cod. Ncm]]&amp;"-"&amp;Tabela5[[#This Row],[Operações]]</f>
        <v>84513099-Internas e interestaduais</v>
      </c>
      <c r="D280" s="22" t="s">
        <v>586</v>
      </c>
      <c r="E280" s="22" t="s">
        <v>587</v>
      </c>
      <c r="F280" s="22">
        <v>8.8000000000000007</v>
      </c>
      <c r="G280" s="22" t="s">
        <v>1381</v>
      </c>
      <c r="H280" s="22" t="s">
        <v>588</v>
      </c>
      <c r="I280" s="23" t="s">
        <v>577</v>
      </c>
      <c r="J280" s="23" t="s">
        <v>1382</v>
      </c>
      <c r="K280" s="23" t="s">
        <v>589</v>
      </c>
      <c r="L280" s="23" t="s">
        <v>590</v>
      </c>
      <c r="M280" s="23"/>
      <c r="N280" s="23"/>
      <c r="O280" s="23"/>
      <c r="P280" s="23"/>
      <c r="Q280" s="23"/>
      <c r="R280" s="23"/>
      <c r="S280" s="23"/>
      <c r="T280" s="23"/>
      <c r="U280" s="23"/>
      <c r="V280" s="23"/>
      <c r="W280" s="23"/>
      <c r="X280" s="4"/>
    </row>
    <row r="281" spans="1:24" ht="26.25" x14ac:dyDescent="0.25">
      <c r="A281" s="21" t="s">
        <v>1383</v>
      </c>
      <c r="B281" s="21" t="str">
        <f t="shared" si="5"/>
        <v>84514010</v>
      </c>
      <c r="C281" s="21" t="str">
        <f>Tabela5[[#This Row],[Cod. Ncm]]&amp;"-"&amp;Tabela5[[#This Row],[Operações]]</f>
        <v>84514010-Internas e interestaduais</v>
      </c>
      <c r="D281" s="22" t="s">
        <v>586</v>
      </c>
      <c r="E281" s="22" t="s">
        <v>587</v>
      </c>
      <c r="F281" s="22">
        <v>8.8000000000000007</v>
      </c>
      <c r="G281" s="22" t="s">
        <v>1384</v>
      </c>
      <c r="H281" s="22" t="s">
        <v>588</v>
      </c>
      <c r="I281" s="23" t="s">
        <v>577</v>
      </c>
      <c r="J281" s="23" t="s">
        <v>1385</v>
      </c>
      <c r="K281" s="23" t="s">
        <v>589</v>
      </c>
      <c r="L281" s="23" t="s">
        <v>590</v>
      </c>
      <c r="M281" s="23"/>
      <c r="N281" s="23"/>
      <c r="O281" s="23"/>
      <c r="P281" s="23"/>
      <c r="Q281" s="23"/>
      <c r="R281" s="23"/>
      <c r="S281" s="23"/>
      <c r="T281" s="23"/>
      <c r="U281" s="23"/>
      <c r="V281" s="23"/>
      <c r="W281" s="23"/>
      <c r="X281" s="4"/>
    </row>
    <row r="282" spans="1:24" ht="38.25" x14ac:dyDescent="0.25">
      <c r="A282" s="21" t="s">
        <v>1386</v>
      </c>
      <c r="B282" s="21" t="str">
        <f t="shared" si="5"/>
        <v>84514021</v>
      </c>
      <c r="C282" s="21" t="str">
        <f>Tabela5[[#This Row],[Cod. Ncm]]&amp;"-"&amp;Tabela5[[#This Row],[Operações]]</f>
        <v>84514021-Internas e interestaduais</v>
      </c>
      <c r="D282" s="22" t="s">
        <v>586</v>
      </c>
      <c r="E282" s="22" t="s">
        <v>587</v>
      </c>
      <c r="F282" s="22">
        <v>8.8000000000000007</v>
      </c>
      <c r="G282" s="22" t="s">
        <v>1387</v>
      </c>
      <c r="H282" s="22" t="s">
        <v>588</v>
      </c>
      <c r="I282" s="23" t="s">
        <v>577</v>
      </c>
      <c r="J282" s="23" t="s">
        <v>1388</v>
      </c>
      <c r="K282" s="23" t="s">
        <v>589</v>
      </c>
      <c r="L282" s="23" t="s">
        <v>590</v>
      </c>
      <c r="M282" s="23"/>
      <c r="N282" s="23"/>
      <c r="O282" s="23"/>
      <c r="P282" s="23"/>
      <c r="Q282" s="23"/>
      <c r="R282" s="23"/>
      <c r="S282" s="23"/>
      <c r="T282" s="23"/>
      <c r="U282" s="23"/>
      <c r="V282" s="23"/>
      <c r="W282" s="23"/>
      <c r="X282" s="4"/>
    </row>
    <row r="283" spans="1:24" ht="26.25" x14ac:dyDescent="0.25">
      <c r="A283" s="21" t="s">
        <v>1389</v>
      </c>
      <c r="B283" s="21" t="str">
        <f t="shared" si="5"/>
        <v>84514029</v>
      </c>
      <c r="C283" s="21" t="str">
        <f>Tabela5[[#This Row],[Cod. Ncm]]&amp;"-"&amp;Tabela5[[#This Row],[Operações]]</f>
        <v>84514029-Internas e interestaduais</v>
      </c>
      <c r="D283" s="22" t="s">
        <v>586</v>
      </c>
      <c r="E283" s="22" t="s">
        <v>587</v>
      </c>
      <c r="F283" s="22">
        <v>8.8000000000000007</v>
      </c>
      <c r="G283" s="22" t="s">
        <v>1390</v>
      </c>
      <c r="H283" s="22" t="s">
        <v>588</v>
      </c>
      <c r="I283" s="23" t="s">
        <v>577</v>
      </c>
      <c r="J283" s="23" t="s">
        <v>1391</v>
      </c>
      <c r="K283" s="23" t="s">
        <v>589</v>
      </c>
      <c r="L283" s="23" t="s">
        <v>590</v>
      </c>
      <c r="M283" s="23"/>
      <c r="N283" s="23"/>
      <c r="O283" s="23"/>
      <c r="P283" s="23"/>
      <c r="Q283" s="23"/>
      <c r="R283" s="23"/>
      <c r="S283" s="23"/>
      <c r="T283" s="23"/>
      <c r="U283" s="23"/>
      <c r="V283" s="23"/>
      <c r="W283" s="23"/>
      <c r="X283" s="4"/>
    </row>
    <row r="284" spans="1:24" ht="26.25" x14ac:dyDescent="0.25">
      <c r="A284" s="21" t="s">
        <v>1392</v>
      </c>
      <c r="B284" s="21" t="str">
        <f t="shared" si="5"/>
        <v>84514090</v>
      </c>
      <c r="C284" s="21" t="str">
        <f>Tabela5[[#This Row],[Cod. Ncm]]&amp;"-"&amp;Tabela5[[#This Row],[Operações]]</f>
        <v>84514090-Internas e interestaduais</v>
      </c>
      <c r="D284" s="22" t="s">
        <v>586</v>
      </c>
      <c r="E284" s="22" t="s">
        <v>587</v>
      </c>
      <c r="F284" s="22">
        <v>8.8000000000000007</v>
      </c>
      <c r="G284" s="22" t="s">
        <v>1393</v>
      </c>
      <c r="H284" s="22" t="s">
        <v>588</v>
      </c>
      <c r="I284" s="23" t="s">
        <v>577</v>
      </c>
      <c r="J284" s="23" t="s">
        <v>1394</v>
      </c>
      <c r="K284" s="23" t="s">
        <v>589</v>
      </c>
      <c r="L284" s="23" t="s">
        <v>590</v>
      </c>
      <c r="M284" s="23"/>
      <c r="N284" s="23"/>
      <c r="O284" s="23"/>
      <c r="P284" s="23"/>
      <c r="Q284" s="23"/>
      <c r="R284" s="23"/>
      <c r="S284" s="23"/>
      <c r="T284" s="23"/>
      <c r="U284" s="23"/>
      <c r="V284" s="23"/>
      <c r="W284" s="23"/>
      <c r="X284" s="4"/>
    </row>
    <row r="285" spans="1:24" ht="26.25" x14ac:dyDescent="0.25">
      <c r="A285" s="21" t="s">
        <v>1395</v>
      </c>
      <c r="B285" s="21" t="str">
        <f t="shared" si="5"/>
        <v>84515010</v>
      </c>
      <c r="C285" s="21" t="str">
        <f>Tabela5[[#This Row],[Cod. Ncm]]&amp;"-"&amp;Tabela5[[#This Row],[Operações]]</f>
        <v>84515010-Internas e interestaduais</v>
      </c>
      <c r="D285" s="22" t="s">
        <v>586</v>
      </c>
      <c r="E285" s="22" t="s">
        <v>587</v>
      </c>
      <c r="F285" s="22">
        <v>8.8000000000000007</v>
      </c>
      <c r="G285" s="22" t="s">
        <v>1396</v>
      </c>
      <c r="H285" s="22" t="s">
        <v>588</v>
      </c>
      <c r="I285" s="23" t="s">
        <v>577</v>
      </c>
      <c r="J285" s="23" t="s">
        <v>1397</v>
      </c>
      <c r="K285" s="23" t="s">
        <v>589</v>
      </c>
      <c r="L285" s="23" t="s">
        <v>590</v>
      </c>
      <c r="M285" s="23"/>
      <c r="N285" s="23"/>
      <c r="O285" s="23"/>
      <c r="P285" s="23"/>
      <c r="Q285" s="23"/>
      <c r="R285" s="23"/>
      <c r="S285" s="23"/>
      <c r="T285" s="23"/>
      <c r="U285" s="23"/>
      <c r="V285" s="23"/>
      <c r="W285" s="23"/>
      <c r="X285" s="4"/>
    </row>
    <row r="286" spans="1:24" ht="26.25" x14ac:dyDescent="0.25">
      <c r="A286" s="21" t="s">
        <v>1398</v>
      </c>
      <c r="B286" s="21" t="str">
        <f t="shared" si="5"/>
        <v>84515020</v>
      </c>
      <c r="C286" s="21" t="str">
        <f>Tabela5[[#This Row],[Cod. Ncm]]&amp;"-"&amp;Tabela5[[#This Row],[Operações]]</f>
        <v>84515020-Internas e interestaduais</v>
      </c>
      <c r="D286" s="22" t="s">
        <v>586</v>
      </c>
      <c r="E286" s="22" t="s">
        <v>587</v>
      </c>
      <c r="F286" s="22">
        <v>8.8000000000000007</v>
      </c>
      <c r="G286" s="22" t="s">
        <v>1399</v>
      </c>
      <c r="H286" s="22" t="s">
        <v>588</v>
      </c>
      <c r="I286" s="23" t="s">
        <v>577</v>
      </c>
      <c r="J286" s="23" t="s">
        <v>1400</v>
      </c>
      <c r="K286" s="23" t="s">
        <v>589</v>
      </c>
      <c r="L286" s="23" t="s">
        <v>590</v>
      </c>
      <c r="M286" s="23"/>
      <c r="N286" s="23"/>
      <c r="O286" s="23"/>
      <c r="P286" s="23"/>
      <c r="Q286" s="23"/>
      <c r="R286" s="23"/>
      <c r="S286" s="23"/>
      <c r="T286" s="23"/>
      <c r="U286" s="23"/>
      <c r="V286" s="23"/>
      <c r="W286" s="23"/>
      <c r="X286" s="4"/>
    </row>
    <row r="287" spans="1:24" ht="26.25" x14ac:dyDescent="0.25">
      <c r="A287" s="21" t="s">
        <v>1401</v>
      </c>
      <c r="B287" s="21" t="str">
        <f t="shared" si="5"/>
        <v>84515090</v>
      </c>
      <c r="C287" s="21" t="str">
        <f>Tabela5[[#This Row],[Cod. Ncm]]&amp;"-"&amp;Tabela5[[#This Row],[Operações]]</f>
        <v>84515090-Internas e interestaduais</v>
      </c>
      <c r="D287" s="22" t="s">
        <v>586</v>
      </c>
      <c r="E287" s="22" t="s">
        <v>587</v>
      </c>
      <c r="F287" s="22">
        <v>8.8000000000000007</v>
      </c>
      <c r="G287" s="22" t="s">
        <v>1402</v>
      </c>
      <c r="H287" s="22" t="s">
        <v>588</v>
      </c>
      <c r="I287" s="23" t="s">
        <v>577</v>
      </c>
      <c r="J287" s="23" t="s">
        <v>1403</v>
      </c>
      <c r="K287" s="23" t="s">
        <v>589</v>
      </c>
      <c r="L287" s="23" t="s">
        <v>590</v>
      </c>
      <c r="M287" s="23"/>
      <c r="N287" s="23"/>
      <c r="O287" s="23"/>
      <c r="P287" s="23"/>
      <c r="Q287" s="23"/>
      <c r="R287" s="23"/>
      <c r="S287" s="23"/>
      <c r="T287" s="23"/>
      <c r="U287" s="23"/>
      <c r="V287" s="23"/>
      <c r="W287" s="23"/>
      <c r="X287" s="4"/>
    </row>
    <row r="288" spans="1:24" ht="51" x14ac:dyDescent="0.25">
      <c r="A288" s="21" t="s">
        <v>1404</v>
      </c>
      <c r="B288" s="21" t="str">
        <f t="shared" si="5"/>
        <v>84518000</v>
      </c>
      <c r="C288" s="21" t="str">
        <f>Tabela5[[#This Row],[Cod. Ncm]]&amp;"-"&amp;Tabela5[[#This Row],[Operações]]</f>
        <v>84518000-Internas e interestaduais</v>
      </c>
      <c r="D288" s="22" t="s">
        <v>586</v>
      </c>
      <c r="E288" s="22" t="s">
        <v>587</v>
      </c>
      <c r="F288" s="22">
        <v>8.8000000000000007</v>
      </c>
      <c r="G288" s="22" t="s">
        <v>1405</v>
      </c>
      <c r="H288" s="22" t="s">
        <v>588</v>
      </c>
      <c r="I288" s="23" t="s">
        <v>577</v>
      </c>
      <c r="J288" s="23" t="s">
        <v>1406</v>
      </c>
      <c r="K288" s="23" t="s">
        <v>589</v>
      </c>
      <c r="L288" s="23" t="s">
        <v>590</v>
      </c>
      <c r="M288" s="23"/>
      <c r="N288" s="23"/>
      <c r="O288" s="23"/>
      <c r="P288" s="23"/>
      <c r="Q288" s="23"/>
      <c r="R288" s="23"/>
      <c r="S288" s="23"/>
      <c r="T288" s="23"/>
      <c r="U288" s="23"/>
      <c r="V288" s="23"/>
      <c r="W288" s="23"/>
      <c r="X288" s="4"/>
    </row>
    <row r="289" spans="1:24" ht="26.25" x14ac:dyDescent="0.25">
      <c r="A289" s="21" t="s">
        <v>1407</v>
      </c>
      <c r="B289" s="21" t="str">
        <f t="shared" si="5"/>
        <v>84522110</v>
      </c>
      <c r="C289" s="21" t="str">
        <f>Tabela5[[#This Row],[Cod. Ncm]]&amp;"-"&amp;Tabela5[[#This Row],[Operações]]</f>
        <v>84522110-Internas e interestaduais</v>
      </c>
      <c r="D289" s="22" t="s">
        <v>586</v>
      </c>
      <c r="E289" s="22" t="s">
        <v>587</v>
      </c>
      <c r="F289" s="22">
        <v>8.8000000000000007</v>
      </c>
      <c r="G289" s="22" t="s">
        <v>1408</v>
      </c>
      <c r="H289" s="22" t="s">
        <v>588</v>
      </c>
      <c r="I289" s="23" t="s">
        <v>577</v>
      </c>
      <c r="J289" s="23" t="s">
        <v>1409</v>
      </c>
      <c r="K289" s="23" t="s">
        <v>589</v>
      </c>
      <c r="L289" s="23" t="s">
        <v>590</v>
      </c>
      <c r="M289" s="23"/>
      <c r="N289" s="23"/>
      <c r="O289" s="23"/>
      <c r="P289" s="23"/>
      <c r="Q289" s="23"/>
      <c r="R289" s="23"/>
      <c r="S289" s="23"/>
      <c r="T289" s="23"/>
      <c r="U289" s="23"/>
      <c r="V289" s="23"/>
      <c r="W289" s="23"/>
      <c r="X289" s="4"/>
    </row>
    <row r="290" spans="1:24" ht="26.25" x14ac:dyDescent="0.25">
      <c r="A290" s="21" t="s">
        <v>1410</v>
      </c>
      <c r="B290" s="21" t="str">
        <f t="shared" si="5"/>
        <v>84522120</v>
      </c>
      <c r="C290" s="21" t="str">
        <f>Tabela5[[#This Row],[Cod. Ncm]]&amp;"-"&amp;Tabela5[[#This Row],[Operações]]</f>
        <v>84522120-Internas e interestaduais</v>
      </c>
      <c r="D290" s="22" t="s">
        <v>586</v>
      </c>
      <c r="E290" s="22" t="s">
        <v>587</v>
      </c>
      <c r="F290" s="22">
        <v>8.8000000000000007</v>
      </c>
      <c r="G290" s="22" t="s">
        <v>1411</v>
      </c>
      <c r="H290" s="22" t="s">
        <v>588</v>
      </c>
      <c r="I290" s="23" t="s">
        <v>577</v>
      </c>
      <c r="J290" s="23" t="s">
        <v>1412</v>
      </c>
      <c r="K290" s="23" t="s">
        <v>589</v>
      </c>
      <c r="L290" s="23" t="s">
        <v>590</v>
      </c>
      <c r="M290" s="23"/>
      <c r="N290" s="23"/>
      <c r="O290" s="23"/>
      <c r="P290" s="23"/>
      <c r="Q290" s="23"/>
      <c r="R290" s="23"/>
      <c r="S290" s="23"/>
      <c r="T290" s="23"/>
      <c r="U290" s="23"/>
      <c r="V290" s="23"/>
      <c r="W290" s="23"/>
      <c r="X290" s="4"/>
    </row>
    <row r="291" spans="1:24" ht="26.25" x14ac:dyDescent="0.25">
      <c r="A291" s="21" t="s">
        <v>1413</v>
      </c>
      <c r="B291" s="21" t="str">
        <f t="shared" si="5"/>
        <v>84522190</v>
      </c>
      <c r="C291" s="21" t="str">
        <f>Tabela5[[#This Row],[Cod. Ncm]]&amp;"-"&amp;Tabela5[[#This Row],[Operações]]</f>
        <v>84522190-Internas e interestaduais</v>
      </c>
      <c r="D291" s="22" t="s">
        <v>586</v>
      </c>
      <c r="E291" s="22" t="s">
        <v>587</v>
      </c>
      <c r="F291" s="22">
        <v>8.8000000000000007</v>
      </c>
      <c r="G291" s="22" t="s">
        <v>1414</v>
      </c>
      <c r="H291" s="22" t="s">
        <v>588</v>
      </c>
      <c r="I291" s="23" t="s">
        <v>577</v>
      </c>
      <c r="J291" s="23" t="s">
        <v>1415</v>
      </c>
      <c r="K291" s="23" t="s">
        <v>589</v>
      </c>
      <c r="L291" s="23" t="s">
        <v>590</v>
      </c>
      <c r="M291" s="23"/>
      <c r="N291" s="23"/>
      <c r="O291" s="23"/>
      <c r="P291" s="23"/>
      <c r="Q291" s="23"/>
      <c r="R291" s="23"/>
      <c r="S291" s="23"/>
      <c r="T291" s="23"/>
      <c r="U291" s="23"/>
      <c r="V291" s="23"/>
      <c r="W291" s="23"/>
      <c r="X291" s="4"/>
    </row>
    <row r="292" spans="1:24" ht="26.25" x14ac:dyDescent="0.25">
      <c r="A292" s="21" t="s">
        <v>1416</v>
      </c>
      <c r="B292" s="21" t="str">
        <f t="shared" si="5"/>
        <v>84522910</v>
      </c>
      <c r="C292" s="21" t="str">
        <f>Tabela5[[#This Row],[Cod. Ncm]]&amp;"-"&amp;Tabela5[[#This Row],[Operações]]</f>
        <v>84522910-Internas e interestaduais</v>
      </c>
      <c r="D292" s="22" t="s">
        <v>586</v>
      </c>
      <c r="E292" s="22" t="s">
        <v>587</v>
      </c>
      <c r="F292" s="22">
        <v>8.8000000000000007</v>
      </c>
      <c r="G292" s="22" t="s">
        <v>1417</v>
      </c>
      <c r="H292" s="22" t="s">
        <v>588</v>
      </c>
      <c r="I292" s="23" t="s">
        <v>577</v>
      </c>
      <c r="J292" s="23" t="s">
        <v>1418</v>
      </c>
      <c r="K292" s="23" t="s">
        <v>589</v>
      </c>
      <c r="L292" s="23" t="s">
        <v>590</v>
      </c>
      <c r="M292" s="23"/>
      <c r="N292" s="23"/>
      <c r="O292" s="23"/>
      <c r="P292" s="23"/>
      <c r="Q292" s="23"/>
      <c r="R292" s="23"/>
      <c r="S292" s="23"/>
      <c r="T292" s="23"/>
      <c r="U292" s="23"/>
      <c r="V292" s="23"/>
      <c r="W292" s="23"/>
      <c r="X292" s="4"/>
    </row>
    <row r="293" spans="1:24" ht="26.25" x14ac:dyDescent="0.25">
      <c r="A293" s="21" t="s">
        <v>1419</v>
      </c>
      <c r="B293" s="21" t="str">
        <f t="shared" si="5"/>
        <v>84522921</v>
      </c>
      <c r="C293" s="21" t="str">
        <f>Tabela5[[#This Row],[Cod. Ncm]]&amp;"-"&amp;Tabela5[[#This Row],[Operações]]</f>
        <v>84522921-Internas e interestaduais</v>
      </c>
      <c r="D293" s="22" t="s">
        <v>586</v>
      </c>
      <c r="E293" s="22" t="s">
        <v>587</v>
      </c>
      <c r="F293" s="22">
        <v>8.8000000000000007</v>
      </c>
      <c r="G293" s="22" t="s">
        <v>1420</v>
      </c>
      <c r="H293" s="22" t="s">
        <v>588</v>
      </c>
      <c r="I293" s="23" t="s">
        <v>577</v>
      </c>
      <c r="J293" s="23" t="s">
        <v>1421</v>
      </c>
      <c r="K293" s="23" t="s">
        <v>589</v>
      </c>
      <c r="L293" s="23" t="s">
        <v>590</v>
      </c>
      <c r="M293" s="23"/>
      <c r="N293" s="23"/>
      <c r="O293" s="23"/>
      <c r="P293" s="23"/>
      <c r="Q293" s="23"/>
      <c r="R293" s="23"/>
      <c r="S293" s="23"/>
      <c r="T293" s="23"/>
      <c r="U293" s="23"/>
      <c r="V293" s="23"/>
      <c r="W293" s="23"/>
      <c r="X293" s="4"/>
    </row>
    <row r="294" spans="1:24" ht="26.25" x14ac:dyDescent="0.25">
      <c r="A294" s="21" t="s">
        <v>1422</v>
      </c>
      <c r="B294" s="21" t="str">
        <f t="shared" si="5"/>
        <v>84522922</v>
      </c>
      <c r="C294" s="21" t="str">
        <f>Tabela5[[#This Row],[Cod. Ncm]]&amp;"-"&amp;Tabela5[[#This Row],[Operações]]</f>
        <v>84522922-Internas e interestaduais</v>
      </c>
      <c r="D294" s="22" t="s">
        <v>586</v>
      </c>
      <c r="E294" s="22" t="s">
        <v>587</v>
      </c>
      <c r="F294" s="22">
        <v>8.8000000000000007</v>
      </c>
      <c r="G294" s="22" t="s">
        <v>1423</v>
      </c>
      <c r="H294" s="22" t="s">
        <v>588</v>
      </c>
      <c r="I294" s="23" t="s">
        <v>577</v>
      </c>
      <c r="J294" s="23" t="s">
        <v>1424</v>
      </c>
      <c r="K294" s="23" t="s">
        <v>589</v>
      </c>
      <c r="L294" s="23" t="s">
        <v>590</v>
      </c>
      <c r="M294" s="23"/>
      <c r="N294" s="23"/>
      <c r="O294" s="23"/>
      <c r="P294" s="23"/>
      <c r="Q294" s="23"/>
      <c r="R294" s="23"/>
      <c r="S294" s="23"/>
      <c r="T294" s="23"/>
      <c r="U294" s="23"/>
      <c r="V294" s="23"/>
      <c r="W294" s="23"/>
      <c r="X294" s="4"/>
    </row>
    <row r="295" spans="1:24" ht="26.25" x14ac:dyDescent="0.25">
      <c r="A295" s="21" t="s">
        <v>1425</v>
      </c>
      <c r="B295" s="21" t="str">
        <f t="shared" si="5"/>
        <v>84522923</v>
      </c>
      <c r="C295" s="21" t="str">
        <f>Tabela5[[#This Row],[Cod. Ncm]]&amp;"-"&amp;Tabela5[[#This Row],[Operações]]</f>
        <v>84522923-Internas e interestaduais</v>
      </c>
      <c r="D295" s="22" t="s">
        <v>586</v>
      </c>
      <c r="E295" s="22" t="s">
        <v>587</v>
      </c>
      <c r="F295" s="22">
        <v>8.8000000000000007</v>
      </c>
      <c r="G295" s="22" t="s">
        <v>1426</v>
      </c>
      <c r="H295" s="22" t="s">
        <v>588</v>
      </c>
      <c r="I295" s="23" t="s">
        <v>577</v>
      </c>
      <c r="J295" s="23" t="s">
        <v>1427</v>
      </c>
      <c r="K295" s="23" t="s">
        <v>589</v>
      </c>
      <c r="L295" s="23" t="s">
        <v>590</v>
      </c>
      <c r="M295" s="23"/>
      <c r="N295" s="23"/>
      <c r="O295" s="23"/>
      <c r="P295" s="23"/>
      <c r="Q295" s="23"/>
      <c r="R295" s="23"/>
      <c r="S295" s="23"/>
      <c r="T295" s="23"/>
      <c r="U295" s="23"/>
      <c r="V295" s="23"/>
      <c r="W295" s="23"/>
      <c r="X295" s="4"/>
    </row>
    <row r="296" spans="1:24" ht="26.25" x14ac:dyDescent="0.25">
      <c r="A296" s="21" t="s">
        <v>1428</v>
      </c>
      <c r="B296" s="21" t="str">
        <f t="shared" si="5"/>
        <v>84522924</v>
      </c>
      <c r="C296" s="21" t="str">
        <f>Tabela5[[#This Row],[Cod. Ncm]]&amp;"-"&amp;Tabela5[[#This Row],[Operações]]</f>
        <v>84522924-Internas e interestaduais</v>
      </c>
      <c r="D296" s="22" t="s">
        <v>586</v>
      </c>
      <c r="E296" s="22" t="s">
        <v>587</v>
      </c>
      <c r="F296" s="22">
        <v>8.8000000000000007</v>
      </c>
      <c r="G296" s="22" t="s">
        <v>1429</v>
      </c>
      <c r="H296" s="22" t="s">
        <v>588</v>
      </c>
      <c r="I296" s="23" t="s">
        <v>577</v>
      </c>
      <c r="J296" s="23" t="s">
        <v>1430</v>
      </c>
      <c r="K296" s="23" t="s">
        <v>589</v>
      </c>
      <c r="L296" s="23" t="s">
        <v>590</v>
      </c>
      <c r="M296" s="23"/>
      <c r="N296" s="23"/>
      <c r="O296" s="23"/>
      <c r="P296" s="23"/>
      <c r="Q296" s="23"/>
      <c r="R296" s="23"/>
      <c r="S296" s="23"/>
      <c r="T296" s="23"/>
      <c r="U296" s="23"/>
      <c r="V296" s="23"/>
      <c r="W296" s="23"/>
      <c r="X296" s="4"/>
    </row>
    <row r="297" spans="1:24" ht="26.25" x14ac:dyDescent="0.25">
      <c r="A297" s="21" t="s">
        <v>1431</v>
      </c>
      <c r="B297" s="21" t="str">
        <f t="shared" si="5"/>
        <v>84522925</v>
      </c>
      <c r="C297" s="21" t="str">
        <f>Tabela5[[#This Row],[Cod. Ncm]]&amp;"-"&amp;Tabela5[[#This Row],[Operações]]</f>
        <v>84522925-Internas e interestaduais</v>
      </c>
      <c r="D297" s="22" t="s">
        <v>586</v>
      </c>
      <c r="E297" s="22" t="s">
        <v>587</v>
      </c>
      <c r="F297" s="22">
        <v>8.8000000000000007</v>
      </c>
      <c r="G297" s="22" t="s">
        <v>1432</v>
      </c>
      <c r="H297" s="22" t="s">
        <v>588</v>
      </c>
      <c r="I297" s="23" t="s">
        <v>577</v>
      </c>
      <c r="J297" s="23" t="s">
        <v>1433</v>
      </c>
      <c r="K297" s="23" t="s">
        <v>589</v>
      </c>
      <c r="L297" s="23" t="s">
        <v>590</v>
      </c>
      <c r="M297" s="23"/>
      <c r="N297" s="23"/>
      <c r="O297" s="23"/>
      <c r="P297" s="23"/>
      <c r="Q297" s="23"/>
      <c r="R297" s="23"/>
      <c r="S297" s="23"/>
      <c r="T297" s="23"/>
      <c r="U297" s="23"/>
      <c r="V297" s="23"/>
      <c r="W297" s="23"/>
      <c r="X297" s="4"/>
    </row>
    <row r="298" spans="1:24" ht="26.25" x14ac:dyDescent="0.25">
      <c r="A298" s="21" t="s">
        <v>1434</v>
      </c>
      <c r="B298" s="21" t="str">
        <f t="shared" si="5"/>
        <v>84522929</v>
      </c>
      <c r="C298" s="21" t="str">
        <f>Tabela5[[#This Row],[Cod. Ncm]]&amp;"-"&amp;Tabela5[[#This Row],[Operações]]</f>
        <v>84522929-Internas e interestaduais</v>
      </c>
      <c r="D298" s="22" t="s">
        <v>586</v>
      </c>
      <c r="E298" s="22" t="s">
        <v>587</v>
      </c>
      <c r="F298" s="22">
        <v>8.8000000000000007</v>
      </c>
      <c r="G298" s="22" t="s">
        <v>1435</v>
      </c>
      <c r="H298" s="22" t="s">
        <v>588</v>
      </c>
      <c r="I298" s="23" t="s">
        <v>577</v>
      </c>
      <c r="J298" s="23" t="s">
        <v>1436</v>
      </c>
      <c r="K298" s="23" t="s">
        <v>589</v>
      </c>
      <c r="L298" s="23" t="s">
        <v>590</v>
      </c>
      <c r="M298" s="23"/>
      <c r="N298" s="23"/>
      <c r="O298" s="23"/>
      <c r="P298" s="23"/>
      <c r="Q298" s="23"/>
      <c r="R298" s="23"/>
      <c r="S298" s="23"/>
      <c r="T298" s="23"/>
      <c r="U298" s="23"/>
      <c r="V298" s="23"/>
      <c r="W298" s="23"/>
      <c r="X298" s="4"/>
    </row>
    <row r="299" spans="1:24" ht="38.25" x14ac:dyDescent="0.25">
      <c r="A299" s="21" t="s">
        <v>1437</v>
      </c>
      <c r="B299" s="21" t="str">
        <f t="shared" si="5"/>
        <v>84531010</v>
      </c>
      <c r="C299" s="21" t="str">
        <f>Tabela5[[#This Row],[Cod. Ncm]]&amp;"-"&amp;Tabela5[[#This Row],[Operações]]</f>
        <v>84531010-Internas e interestaduais</v>
      </c>
      <c r="D299" s="22" t="s">
        <v>586</v>
      </c>
      <c r="E299" s="22" t="s">
        <v>587</v>
      </c>
      <c r="F299" s="22">
        <v>8.8000000000000007</v>
      </c>
      <c r="G299" s="22" t="s">
        <v>1438</v>
      </c>
      <c r="H299" s="22" t="s">
        <v>588</v>
      </c>
      <c r="I299" s="23" t="s">
        <v>577</v>
      </c>
      <c r="J299" s="23" t="s">
        <v>1439</v>
      </c>
      <c r="K299" s="23" t="s">
        <v>589</v>
      </c>
      <c r="L299" s="23" t="s">
        <v>590</v>
      </c>
      <c r="M299" s="23"/>
      <c r="N299" s="23"/>
      <c r="O299" s="23"/>
      <c r="P299" s="23"/>
      <c r="Q299" s="23"/>
      <c r="R299" s="23"/>
      <c r="S299" s="23"/>
      <c r="T299" s="23"/>
      <c r="U299" s="23"/>
      <c r="V299" s="23"/>
      <c r="W299" s="23"/>
      <c r="X299" s="4"/>
    </row>
    <row r="300" spans="1:24" ht="76.5" x14ac:dyDescent="0.25">
      <c r="A300" s="21" t="s">
        <v>1440</v>
      </c>
      <c r="B300" s="21" t="str">
        <f t="shared" si="5"/>
        <v>84531090</v>
      </c>
      <c r="C300" s="21" t="str">
        <f>Tabela5[[#This Row],[Cod. Ncm]]&amp;"-"&amp;Tabela5[[#This Row],[Operações]]</f>
        <v>84531090-Internas e interestaduais</v>
      </c>
      <c r="D300" s="22" t="s">
        <v>586</v>
      </c>
      <c r="E300" s="22" t="s">
        <v>587</v>
      </c>
      <c r="F300" s="22">
        <v>8.8000000000000007</v>
      </c>
      <c r="G300" s="22" t="s">
        <v>1441</v>
      </c>
      <c r="H300" s="22" t="s">
        <v>588</v>
      </c>
      <c r="I300" s="23" t="s">
        <v>577</v>
      </c>
      <c r="J300" s="23" t="s">
        <v>1442</v>
      </c>
      <c r="K300" s="23" t="s">
        <v>589</v>
      </c>
      <c r="L300" s="23" t="s">
        <v>590</v>
      </c>
      <c r="M300" s="23"/>
      <c r="N300" s="23"/>
      <c r="O300" s="23"/>
      <c r="P300" s="23"/>
      <c r="Q300" s="23"/>
      <c r="R300" s="23"/>
      <c r="S300" s="23"/>
      <c r="T300" s="23"/>
      <c r="U300" s="23"/>
      <c r="V300" s="23"/>
      <c r="W300" s="23"/>
      <c r="X300" s="4"/>
    </row>
    <row r="301" spans="1:24" ht="26.25" x14ac:dyDescent="0.25">
      <c r="A301" s="21" t="s">
        <v>1443</v>
      </c>
      <c r="B301" s="21" t="str">
        <f t="shared" si="5"/>
        <v>84532000</v>
      </c>
      <c r="C301" s="21" t="str">
        <f>Tabela5[[#This Row],[Cod. Ncm]]&amp;"-"&amp;Tabela5[[#This Row],[Operações]]</f>
        <v>84532000-Internas e interestaduais</v>
      </c>
      <c r="D301" s="22" t="s">
        <v>586</v>
      </c>
      <c r="E301" s="22" t="s">
        <v>587</v>
      </c>
      <c r="F301" s="22">
        <v>8.8000000000000007</v>
      </c>
      <c r="G301" s="22" t="s">
        <v>1444</v>
      </c>
      <c r="H301" s="22" t="s">
        <v>588</v>
      </c>
      <c r="I301" s="23" t="s">
        <v>577</v>
      </c>
      <c r="J301" s="23" t="s">
        <v>1445</v>
      </c>
      <c r="K301" s="23" t="s">
        <v>589</v>
      </c>
      <c r="L301" s="23" t="s">
        <v>590</v>
      </c>
      <c r="M301" s="23"/>
      <c r="N301" s="23"/>
      <c r="O301" s="23"/>
      <c r="P301" s="23"/>
      <c r="Q301" s="23"/>
      <c r="R301" s="23"/>
      <c r="S301" s="23"/>
      <c r="T301" s="23"/>
      <c r="U301" s="23"/>
      <c r="V301" s="23"/>
      <c r="W301" s="23"/>
      <c r="X301" s="4"/>
    </row>
    <row r="302" spans="1:24" ht="51" x14ac:dyDescent="0.25">
      <c r="A302" s="21" t="s">
        <v>1446</v>
      </c>
      <c r="B302" s="21" t="str">
        <f t="shared" si="5"/>
        <v>84538000</v>
      </c>
      <c r="C302" s="21" t="str">
        <f>Tabela5[[#This Row],[Cod. Ncm]]&amp;"-"&amp;Tabela5[[#This Row],[Operações]]</f>
        <v>84538000-Internas e interestaduais</v>
      </c>
      <c r="D302" s="22" t="s">
        <v>586</v>
      </c>
      <c r="E302" s="22" t="s">
        <v>587</v>
      </c>
      <c r="F302" s="22">
        <v>8.8000000000000007</v>
      </c>
      <c r="G302" s="22" t="s">
        <v>1447</v>
      </c>
      <c r="H302" s="22" t="s">
        <v>588</v>
      </c>
      <c r="I302" s="23" t="s">
        <v>577</v>
      </c>
      <c r="J302" s="23" t="s">
        <v>1448</v>
      </c>
      <c r="K302" s="23" t="s">
        <v>589</v>
      </c>
      <c r="L302" s="23" t="s">
        <v>590</v>
      </c>
      <c r="M302" s="23"/>
      <c r="N302" s="23"/>
      <c r="O302" s="23"/>
      <c r="P302" s="23"/>
      <c r="Q302" s="23"/>
      <c r="R302" s="23"/>
      <c r="S302" s="23"/>
      <c r="T302" s="23"/>
      <c r="U302" s="23"/>
      <c r="V302" s="23"/>
      <c r="W302" s="23"/>
      <c r="X302" s="4"/>
    </row>
    <row r="303" spans="1:24" ht="26.25" x14ac:dyDescent="0.25">
      <c r="A303" s="21" t="s">
        <v>1449</v>
      </c>
      <c r="B303" s="21" t="str">
        <f t="shared" si="5"/>
        <v>84541000</v>
      </c>
      <c r="C303" s="21" t="str">
        <f>Tabela5[[#This Row],[Cod. Ncm]]&amp;"-"&amp;Tabela5[[#This Row],[Operações]]</f>
        <v>84541000-Internas e interestaduais</v>
      </c>
      <c r="D303" s="22" t="s">
        <v>586</v>
      </c>
      <c r="E303" s="22" t="s">
        <v>587</v>
      </c>
      <c r="F303" s="22">
        <v>8.8000000000000007</v>
      </c>
      <c r="G303" s="22" t="s">
        <v>1450</v>
      </c>
      <c r="H303" s="22" t="s">
        <v>588</v>
      </c>
      <c r="I303" s="23" t="s">
        <v>577</v>
      </c>
      <c r="J303" s="23" t="s">
        <v>1451</v>
      </c>
      <c r="K303" s="23" t="s">
        <v>589</v>
      </c>
      <c r="L303" s="23" t="s">
        <v>590</v>
      </c>
      <c r="M303" s="23"/>
      <c r="N303" s="23"/>
      <c r="O303" s="23"/>
      <c r="P303" s="23"/>
      <c r="Q303" s="23"/>
      <c r="R303" s="23"/>
      <c r="S303" s="23"/>
      <c r="T303" s="23"/>
      <c r="U303" s="23"/>
      <c r="V303" s="23"/>
      <c r="W303" s="23"/>
      <c r="X303" s="4"/>
    </row>
    <row r="304" spans="1:24" ht="26.25" x14ac:dyDescent="0.25">
      <c r="A304" s="21" t="s">
        <v>1452</v>
      </c>
      <c r="B304" s="21" t="str">
        <f t="shared" si="5"/>
        <v>84542010</v>
      </c>
      <c r="C304" s="21" t="str">
        <f>Tabela5[[#This Row],[Cod. Ncm]]&amp;"-"&amp;Tabela5[[#This Row],[Operações]]</f>
        <v>84542010-Internas e interestaduais</v>
      </c>
      <c r="D304" s="22" t="s">
        <v>586</v>
      </c>
      <c r="E304" s="22" t="s">
        <v>587</v>
      </c>
      <c r="F304" s="22">
        <v>8.8000000000000007</v>
      </c>
      <c r="G304" s="22" t="s">
        <v>1453</v>
      </c>
      <c r="H304" s="22" t="s">
        <v>588</v>
      </c>
      <c r="I304" s="23" t="s">
        <v>577</v>
      </c>
      <c r="J304" s="23" t="s">
        <v>1454</v>
      </c>
      <c r="K304" s="23" t="s">
        <v>589</v>
      </c>
      <c r="L304" s="23" t="s">
        <v>590</v>
      </c>
      <c r="M304" s="23"/>
      <c r="N304" s="23"/>
      <c r="O304" s="23"/>
      <c r="P304" s="23"/>
      <c r="Q304" s="23"/>
      <c r="R304" s="23"/>
      <c r="S304" s="23"/>
      <c r="T304" s="23"/>
      <c r="U304" s="23"/>
      <c r="V304" s="23"/>
      <c r="W304" s="23"/>
      <c r="X304" s="4"/>
    </row>
    <row r="305" spans="1:24" ht="26.25" x14ac:dyDescent="0.25">
      <c r="A305" s="21" t="s">
        <v>1455</v>
      </c>
      <c r="B305" s="21" t="str">
        <f t="shared" si="5"/>
        <v>84542090</v>
      </c>
      <c r="C305" s="21" t="str">
        <f>Tabela5[[#This Row],[Cod. Ncm]]&amp;"-"&amp;Tabela5[[#This Row],[Operações]]</f>
        <v>84542090-Internas e interestaduais</v>
      </c>
      <c r="D305" s="22" t="s">
        <v>586</v>
      </c>
      <c r="E305" s="22" t="s">
        <v>587</v>
      </c>
      <c r="F305" s="22">
        <v>8.8000000000000007</v>
      </c>
      <c r="G305" s="22" t="s">
        <v>1456</v>
      </c>
      <c r="H305" s="22" t="s">
        <v>588</v>
      </c>
      <c r="I305" s="23" t="s">
        <v>577</v>
      </c>
      <c r="J305" s="23" t="s">
        <v>1457</v>
      </c>
      <c r="K305" s="23" t="s">
        <v>589</v>
      </c>
      <c r="L305" s="23" t="s">
        <v>590</v>
      </c>
      <c r="M305" s="23"/>
      <c r="N305" s="23"/>
      <c r="O305" s="23"/>
      <c r="P305" s="23"/>
      <c r="Q305" s="23"/>
      <c r="R305" s="23"/>
      <c r="S305" s="23"/>
      <c r="T305" s="23"/>
      <c r="U305" s="23"/>
      <c r="V305" s="23"/>
      <c r="W305" s="23"/>
      <c r="X305" s="4"/>
    </row>
    <row r="306" spans="1:24" ht="26.25" x14ac:dyDescent="0.25">
      <c r="A306" s="21" t="s">
        <v>1458</v>
      </c>
      <c r="B306" s="21" t="str">
        <f t="shared" si="5"/>
        <v>84543010</v>
      </c>
      <c r="C306" s="21" t="str">
        <f>Tabela5[[#This Row],[Cod. Ncm]]&amp;"-"&amp;Tabela5[[#This Row],[Operações]]</f>
        <v>84543010-Internas e interestaduais</v>
      </c>
      <c r="D306" s="22" t="s">
        <v>586</v>
      </c>
      <c r="E306" s="22" t="s">
        <v>587</v>
      </c>
      <c r="F306" s="22">
        <v>8.8000000000000007</v>
      </c>
      <c r="G306" s="22" t="s">
        <v>1459</v>
      </c>
      <c r="H306" s="22" t="s">
        <v>588</v>
      </c>
      <c r="I306" s="23" t="s">
        <v>577</v>
      </c>
      <c r="J306" s="23" t="s">
        <v>1460</v>
      </c>
      <c r="K306" s="23" t="s">
        <v>589</v>
      </c>
      <c r="L306" s="23" t="s">
        <v>590</v>
      </c>
      <c r="M306" s="23"/>
      <c r="N306" s="23"/>
      <c r="O306" s="23"/>
      <c r="P306" s="23"/>
      <c r="Q306" s="23"/>
      <c r="R306" s="23"/>
      <c r="S306" s="23"/>
      <c r="T306" s="23"/>
      <c r="U306" s="23"/>
      <c r="V306" s="23"/>
      <c r="W306" s="23"/>
      <c r="X306" s="4"/>
    </row>
    <row r="307" spans="1:24" ht="26.25" x14ac:dyDescent="0.25">
      <c r="A307" s="21" t="s">
        <v>1461</v>
      </c>
      <c r="B307" s="21" t="str">
        <f t="shared" si="5"/>
        <v>84543020</v>
      </c>
      <c r="C307" s="21" t="str">
        <f>Tabela5[[#This Row],[Cod. Ncm]]&amp;"-"&amp;Tabela5[[#This Row],[Operações]]</f>
        <v>84543020-Internas e interestaduais</v>
      </c>
      <c r="D307" s="22" t="s">
        <v>586</v>
      </c>
      <c r="E307" s="22" t="s">
        <v>587</v>
      </c>
      <c r="F307" s="22">
        <v>8.8000000000000007</v>
      </c>
      <c r="G307" s="22" t="s">
        <v>1462</v>
      </c>
      <c r="H307" s="22" t="s">
        <v>588</v>
      </c>
      <c r="I307" s="23" t="s">
        <v>577</v>
      </c>
      <c r="J307" s="23" t="s">
        <v>1463</v>
      </c>
      <c r="K307" s="23" t="s">
        <v>589</v>
      </c>
      <c r="L307" s="23" t="s">
        <v>590</v>
      </c>
      <c r="M307" s="23"/>
      <c r="N307" s="23"/>
      <c r="O307" s="23"/>
      <c r="P307" s="23"/>
      <c r="Q307" s="23"/>
      <c r="R307" s="23"/>
      <c r="S307" s="23"/>
      <c r="T307" s="23"/>
      <c r="U307" s="23"/>
      <c r="V307" s="23"/>
      <c r="W307" s="23"/>
      <c r="X307" s="4"/>
    </row>
    <row r="308" spans="1:24" ht="26.25" x14ac:dyDescent="0.25">
      <c r="A308" s="21" t="s">
        <v>1464</v>
      </c>
      <c r="B308" s="21" t="str">
        <f t="shared" si="5"/>
        <v>84543090</v>
      </c>
      <c r="C308" s="21" t="str">
        <f>Tabela5[[#This Row],[Cod. Ncm]]&amp;"-"&amp;Tabela5[[#This Row],[Operações]]</f>
        <v>84543090-Internas e interestaduais</v>
      </c>
      <c r="D308" s="22" t="s">
        <v>586</v>
      </c>
      <c r="E308" s="22" t="s">
        <v>587</v>
      </c>
      <c r="F308" s="22">
        <v>8.8000000000000007</v>
      </c>
      <c r="G308" s="22" t="s">
        <v>1465</v>
      </c>
      <c r="H308" s="22" t="s">
        <v>588</v>
      </c>
      <c r="I308" s="23" t="s">
        <v>577</v>
      </c>
      <c r="J308" s="23" t="s">
        <v>1466</v>
      </c>
      <c r="K308" s="23" t="s">
        <v>589</v>
      </c>
      <c r="L308" s="23" t="s">
        <v>590</v>
      </c>
      <c r="M308" s="23"/>
      <c r="N308" s="23"/>
      <c r="O308" s="23"/>
      <c r="P308" s="23"/>
      <c r="Q308" s="23"/>
      <c r="R308" s="23"/>
      <c r="S308" s="23"/>
      <c r="T308" s="23"/>
      <c r="U308" s="23"/>
      <c r="V308" s="23"/>
      <c r="W308" s="23"/>
      <c r="X308" s="4"/>
    </row>
    <row r="309" spans="1:24" ht="26.25" x14ac:dyDescent="0.25">
      <c r="A309" s="21" t="s">
        <v>1467</v>
      </c>
      <c r="B309" s="21" t="str">
        <f t="shared" si="5"/>
        <v>84549010</v>
      </c>
      <c r="C309" s="21" t="str">
        <f>Tabela5[[#This Row],[Cod. Ncm]]&amp;"-"&amp;Tabela5[[#This Row],[Operações]]</f>
        <v>84549010-Internas e interestaduais</v>
      </c>
      <c r="D309" s="22" t="s">
        <v>586</v>
      </c>
      <c r="E309" s="22" t="s">
        <v>587</v>
      </c>
      <c r="F309" s="22">
        <v>8.8000000000000007</v>
      </c>
      <c r="G309" s="22" t="s">
        <v>1468</v>
      </c>
      <c r="H309" s="22" t="s">
        <v>588</v>
      </c>
      <c r="I309" s="23" t="s">
        <v>577</v>
      </c>
      <c r="J309" s="23" t="s">
        <v>1469</v>
      </c>
      <c r="K309" s="23" t="s">
        <v>589</v>
      </c>
      <c r="L309" s="23" t="s">
        <v>590</v>
      </c>
      <c r="M309" s="23"/>
      <c r="N309" s="23"/>
      <c r="O309" s="23"/>
      <c r="P309" s="23"/>
      <c r="Q309" s="23"/>
      <c r="R309" s="23"/>
      <c r="S309" s="23"/>
      <c r="T309" s="23"/>
      <c r="U309" s="23"/>
      <c r="V309" s="23"/>
      <c r="W309" s="23"/>
      <c r="X309" s="4"/>
    </row>
    <row r="310" spans="1:24" ht="26.25" x14ac:dyDescent="0.25">
      <c r="A310" s="21" t="s">
        <v>1470</v>
      </c>
      <c r="B310" s="21" t="str">
        <f t="shared" si="5"/>
        <v>84549090</v>
      </c>
      <c r="C310" s="21" t="str">
        <f>Tabela5[[#This Row],[Cod. Ncm]]&amp;"-"&amp;Tabela5[[#This Row],[Operações]]</f>
        <v>84549090-Internas e interestaduais</v>
      </c>
      <c r="D310" s="22" t="s">
        <v>586</v>
      </c>
      <c r="E310" s="22" t="s">
        <v>587</v>
      </c>
      <c r="F310" s="22">
        <v>8.8000000000000007</v>
      </c>
      <c r="G310" s="22" t="s">
        <v>1471</v>
      </c>
      <c r="H310" s="22" t="s">
        <v>588</v>
      </c>
      <c r="I310" s="23" t="s">
        <v>577</v>
      </c>
      <c r="J310" s="23" t="s">
        <v>1472</v>
      </c>
      <c r="K310" s="23" t="s">
        <v>589</v>
      </c>
      <c r="L310" s="23" t="s">
        <v>590</v>
      </c>
      <c r="M310" s="23"/>
      <c r="N310" s="23"/>
      <c r="O310" s="23"/>
      <c r="P310" s="23"/>
      <c r="Q310" s="23"/>
      <c r="R310" s="23"/>
      <c r="S310" s="23"/>
      <c r="T310" s="23"/>
      <c r="U310" s="23"/>
      <c r="V310" s="23"/>
      <c r="W310" s="23"/>
      <c r="X310" s="4"/>
    </row>
    <row r="311" spans="1:24" ht="26.25" x14ac:dyDescent="0.25">
      <c r="A311" s="21" t="s">
        <v>1473</v>
      </c>
      <c r="B311" s="21" t="str">
        <f t="shared" si="5"/>
        <v>84551000</v>
      </c>
      <c r="C311" s="21" t="str">
        <f>Tabela5[[#This Row],[Cod. Ncm]]&amp;"-"&amp;Tabela5[[#This Row],[Operações]]</f>
        <v>84551000-Internas e interestaduais</v>
      </c>
      <c r="D311" s="22" t="s">
        <v>586</v>
      </c>
      <c r="E311" s="22" t="s">
        <v>587</v>
      </c>
      <c r="F311" s="22">
        <v>8.8000000000000007</v>
      </c>
      <c r="G311" s="22" t="s">
        <v>1474</v>
      </c>
      <c r="H311" s="22" t="s">
        <v>588</v>
      </c>
      <c r="I311" s="23" t="s">
        <v>577</v>
      </c>
      <c r="J311" s="23" t="s">
        <v>1475</v>
      </c>
      <c r="K311" s="23" t="s">
        <v>589</v>
      </c>
      <c r="L311" s="23" t="s">
        <v>590</v>
      </c>
      <c r="M311" s="23"/>
      <c r="N311" s="23"/>
      <c r="O311" s="23"/>
      <c r="P311" s="23"/>
      <c r="Q311" s="23"/>
      <c r="R311" s="23"/>
      <c r="S311" s="23"/>
      <c r="T311" s="23"/>
      <c r="U311" s="23"/>
      <c r="V311" s="23"/>
      <c r="W311" s="23"/>
      <c r="X311" s="4"/>
    </row>
    <row r="312" spans="1:24" ht="26.25" x14ac:dyDescent="0.25">
      <c r="A312" s="21" t="s">
        <v>1476</v>
      </c>
      <c r="B312" s="21" t="str">
        <f t="shared" si="5"/>
        <v>84552110</v>
      </c>
      <c r="C312" s="21" t="str">
        <f>Tabela5[[#This Row],[Cod. Ncm]]&amp;"-"&amp;Tabela5[[#This Row],[Operações]]</f>
        <v>84552110-Internas e interestaduais</v>
      </c>
      <c r="D312" s="22" t="s">
        <v>586</v>
      </c>
      <c r="E312" s="22" t="s">
        <v>587</v>
      </c>
      <c r="F312" s="22">
        <v>8.8000000000000007</v>
      </c>
      <c r="G312" s="22" t="s">
        <v>1477</v>
      </c>
      <c r="H312" s="22" t="s">
        <v>588</v>
      </c>
      <c r="I312" s="23" t="s">
        <v>577</v>
      </c>
      <c r="J312" s="23" t="s">
        <v>1478</v>
      </c>
      <c r="K312" s="23" t="s">
        <v>589</v>
      </c>
      <c r="L312" s="23" t="s">
        <v>590</v>
      </c>
      <c r="M312" s="23"/>
      <c r="N312" s="23"/>
      <c r="O312" s="23"/>
      <c r="P312" s="23"/>
      <c r="Q312" s="23"/>
      <c r="R312" s="23"/>
      <c r="S312" s="23"/>
      <c r="T312" s="23"/>
      <c r="U312" s="23"/>
      <c r="V312" s="23"/>
      <c r="W312" s="23"/>
      <c r="X312" s="4"/>
    </row>
    <row r="313" spans="1:24" ht="26.25" x14ac:dyDescent="0.25">
      <c r="A313" s="21" t="s">
        <v>1479</v>
      </c>
      <c r="B313" s="21" t="str">
        <f t="shared" si="5"/>
        <v>84552190</v>
      </c>
      <c r="C313" s="21" t="str">
        <f>Tabela5[[#This Row],[Cod. Ncm]]&amp;"-"&amp;Tabela5[[#This Row],[Operações]]</f>
        <v>84552190-Internas e interestaduais</v>
      </c>
      <c r="D313" s="22" t="s">
        <v>586</v>
      </c>
      <c r="E313" s="22" t="s">
        <v>587</v>
      </c>
      <c r="F313" s="22">
        <v>8.8000000000000007</v>
      </c>
      <c r="G313" s="22" t="s">
        <v>1480</v>
      </c>
      <c r="H313" s="22" t="s">
        <v>588</v>
      </c>
      <c r="I313" s="23" t="s">
        <v>577</v>
      </c>
      <c r="J313" s="23" t="s">
        <v>1481</v>
      </c>
      <c r="K313" s="23" t="s">
        <v>589</v>
      </c>
      <c r="L313" s="23" t="s">
        <v>590</v>
      </c>
      <c r="M313" s="23"/>
      <c r="N313" s="23"/>
      <c r="O313" s="23"/>
      <c r="P313" s="23"/>
      <c r="Q313" s="23"/>
      <c r="R313" s="23"/>
      <c r="S313" s="23"/>
      <c r="T313" s="23"/>
      <c r="U313" s="23"/>
      <c r="V313" s="23"/>
      <c r="W313" s="23"/>
      <c r="X313" s="4"/>
    </row>
    <row r="314" spans="1:24" ht="26.25" x14ac:dyDescent="0.25">
      <c r="A314" s="21" t="s">
        <v>1482</v>
      </c>
      <c r="B314" s="21" t="str">
        <f t="shared" si="5"/>
        <v>84552210</v>
      </c>
      <c r="C314" s="21" t="str">
        <f>Tabela5[[#This Row],[Cod. Ncm]]&amp;"-"&amp;Tabela5[[#This Row],[Operações]]</f>
        <v>84552210-Internas e interestaduais</v>
      </c>
      <c r="D314" s="22" t="s">
        <v>586</v>
      </c>
      <c r="E314" s="22" t="s">
        <v>587</v>
      </c>
      <c r="F314" s="22">
        <v>8.8000000000000007</v>
      </c>
      <c r="G314" s="22" t="s">
        <v>1483</v>
      </c>
      <c r="H314" s="22" t="s">
        <v>588</v>
      </c>
      <c r="I314" s="23" t="s">
        <v>577</v>
      </c>
      <c r="J314" s="23" t="s">
        <v>1484</v>
      </c>
      <c r="K314" s="23" t="s">
        <v>589</v>
      </c>
      <c r="L314" s="23" t="s">
        <v>590</v>
      </c>
      <c r="M314" s="23"/>
      <c r="N314" s="23"/>
      <c r="O314" s="23"/>
      <c r="P314" s="23"/>
      <c r="Q314" s="23"/>
      <c r="R314" s="23"/>
      <c r="S314" s="23"/>
      <c r="T314" s="23"/>
      <c r="U314" s="23"/>
      <c r="V314" s="23"/>
      <c r="W314" s="23"/>
      <c r="X314" s="4"/>
    </row>
    <row r="315" spans="1:24" ht="26.25" x14ac:dyDescent="0.25">
      <c r="A315" s="21" t="s">
        <v>1485</v>
      </c>
      <c r="B315" s="21" t="str">
        <f t="shared" si="5"/>
        <v>84552290</v>
      </c>
      <c r="C315" s="21" t="str">
        <f>Tabela5[[#This Row],[Cod. Ncm]]&amp;"-"&amp;Tabela5[[#This Row],[Operações]]</f>
        <v>84552290-Internas e interestaduais</v>
      </c>
      <c r="D315" s="22" t="s">
        <v>586</v>
      </c>
      <c r="E315" s="22" t="s">
        <v>587</v>
      </c>
      <c r="F315" s="22">
        <v>8.8000000000000007</v>
      </c>
      <c r="G315" s="22" t="s">
        <v>1486</v>
      </c>
      <c r="H315" s="22" t="s">
        <v>588</v>
      </c>
      <c r="I315" s="23" t="s">
        <v>577</v>
      </c>
      <c r="J315" s="23" t="s">
        <v>1487</v>
      </c>
      <c r="K315" s="23" t="s">
        <v>589</v>
      </c>
      <c r="L315" s="23" t="s">
        <v>590</v>
      </c>
      <c r="M315" s="23"/>
      <c r="N315" s="23"/>
      <c r="O315" s="23"/>
      <c r="P315" s="23"/>
      <c r="Q315" s="23"/>
      <c r="R315" s="23"/>
      <c r="S315" s="23"/>
      <c r="T315" s="23"/>
      <c r="U315" s="23"/>
      <c r="V315" s="23"/>
      <c r="W315" s="23"/>
      <c r="X315" s="4"/>
    </row>
    <row r="316" spans="1:24" ht="26.25" x14ac:dyDescent="0.25">
      <c r="A316" s="21" t="s">
        <v>1488</v>
      </c>
      <c r="B316" s="21" t="str">
        <f t="shared" si="5"/>
        <v>84553010</v>
      </c>
      <c r="C316" s="21" t="str">
        <f>Tabela5[[#This Row],[Cod. Ncm]]&amp;"-"&amp;Tabela5[[#This Row],[Operações]]</f>
        <v>84553010-Internas e interestaduais</v>
      </c>
      <c r="D316" s="22" t="s">
        <v>586</v>
      </c>
      <c r="E316" s="22" t="s">
        <v>587</v>
      </c>
      <c r="F316" s="22">
        <v>8.8000000000000007</v>
      </c>
      <c r="G316" s="22" t="s">
        <v>1489</v>
      </c>
      <c r="H316" s="22" t="s">
        <v>588</v>
      </c>
      <c r="I316" s="23" t="s">
        <v>577</v>
      </c>
      <c r="J316" s="23" t="s">
        <v>1490</v>
      </c>
      <c r="K316" s="23" t="s">
        <v>589</v>
      </c>
      <c r="L316" s="23" t="s">
        <v>590</v>
      </c>
      <c r="M316" s="23"/>
      <c r="N316" s="23"/>
      <c r="O316" s="23"/>
      <c r="P316" s="23"/>
      <c r="Q316" s="23"/>
      <c r="R316" s="23"/>
      <c r="S316" s="23"/>
      <c r="T316" s="23"/>
      <c r="U316" s="23"/>
      <c r="V316" s="23"/>
      <c r="W316" s="23"/>
      <c r="X316" s="4"/>
    </row>
    <row r="317" spans="1:24" ht="76.5" x14ac:dyDescent="0.25">
      <c r="A317" s="21" t="s">
        <v>1491</v>
      </c>
      <c r="B317" s="21" t="str">
        <f t="shared" si="5"/>
        <v>84553020</v>
      </c>
      <c r="C317" s="21" t="str">
        <f>Tabela5[[#This Row],[Cod. Ncm]]&amp;"-"&amp;Tabela5[[#This Row],[Operações]]</f>
        <v>84553020-Internas e interestaduais</v>
      </c>
      <c r="D317" s="22" t="s">
        <v>586</v>
      </c>
      <c r="E317" s="22" t="s">
        <v>587</v>
      </c>
      <c r="F317" s="22">
        <v>8.8000000000000007</v>
      </c>
      <c r="G317" s="22" t="s">
        <v>1492</v>
      </c>
      <c r="H317" s="22" t="s">
        <v>588</v>
      </c>
      <c r="I317" s="23" t="s">
        <v>577</v>
      </c>
      <c r="J317" s="23" t="s">
        <v>1493</v>
      </c>
      <c r="K317" s="23" t="s">
        <v>589</v>
      </c>
      <c r="L317" s="23" t="s">
        <v>590</v>
      </c>
      <c r="M317" s="23"/>
      <c r="N317" s="23"/>
      <c r="O317" s="23"/>
      <c r="P317" s="23"/>
      <c r="Q317" s="23"/>
      <c r="R317" s="23"/>
      <c r="S317" s="23"/>
      <c r="T317" s="23"/>
      <c r="U317" s="23"/>
      <c r="V317" s="23"/>
      <c r="W317" s="23"/>
      <c r="X317" s="4"/>
    </row>
    <row r="318" spans="1:24" ht="26.25" x14ac:dyDescent="0.25">
      <c r="A318" s="21" t="s">
        <v>1494</v>
      </c>
      <c r="B318" s="21" t="str">
        <f t="shared" si="5"/>
        <v>84553090</v>
      </c>
      <c r="C318" s="21" t="str">
        <f>Tabela5[[#This Row],[Cod. Ncm]]&amp;"-"&amp;Tabela5[[#This Row],[Operações]]</f>
        <v>84553090-Internas e interestaduais</v>
      </c>
      <c r="D318" s="22" t="s">
        <v>586</v>
      </c>
      <c r="E318" s="22" t="s">
        <v>587</v>
      </c>
      <c r="F318" s="22">
        <v>8.8000000000000007</v>
      </c>
      <c r="G318" s="22" t="s">
        <v>1495</v>
      </c>
      <c r="H318" s="22" t="s">
        <v>588</v>
      </c>
      <c r="I318" s="23" t="s">
        <v>577</v>
      </c>
      <c r="J318" s="23" t="s">
        <v>1496</v>
      </c>
      <c r="K318" s="23" t="s">
        <v>589</v>
      </c>
      <c r="L318" s="23" t="s">
        <v>590</v>
      </c>
      <c r="M318" s="23"/>
      <c r="N318" s="23"/>
      <c r="O318" s="23"/>
      <c r="P318" s="23"/>
      <c r="Q318" s="23"/>
      <c r="R318" s="23"/>
      <c r="S318" s="23"/>
      <c r="T318" s="23"/>
      <c r="U318" s="23"/>
      <c r="V318" s="23"/>
      <c r="W318" s="23"/>
      <c r="X318" s="4"/>
    </row>
    <row r="319" spans="1:24" ht="76.5" x14ac:dyDescent="0.25">
      <c r="A319" s="21" t="s">
        <v>1497</v>
      </c>
      <c r="B319" s="21" t="str">
        <f t="shared" si="5"/>
        <v>84559000</v>
      </c>
      <c r="C319" s="21" t="str">
        <f>Tabela5[[#This Row],[Cod. Ncm]]&amp;"-"&amp;Tabela5[[#This Row],[Operações]]</f>
        <v>84559000-Internas e interestaduais</v>
      </c>
      <c r="D319" s="22" t="s">
        <v>586</v>
      </c>
      <c r="E319" s="22" t="s">
        <v>587</v>
      </c>
      <c r="F319" s="22">
        <v>8.8000000000000007</v>
      </c>
      <c r="G319" s="22" t="s">
        <v>1498</v>
      </c>
      <c r="H319" s="22" t="s">
        <v>588</v>
      </c>
      <c r="I319" s="23" t="s">
        <v>577</v>
      </c>
      <c r="J319" s="23" t="s">
        <v>1499</v>
      </c>
      <c r="K319" s="23" t="s">
        <v>589</v>
      </c>
      <c r="L319" s="23" t="s">
        <v>590</v>
      </c>
      <c r="M319" s="23"/>
      <c r="N319" s="23"/>
      <c r="O319" s="23"/>
      <c r="P319" s="23"/>
      <c r="Q319" s="23"/>
      <c r="R319" s="23"/>
      <c r="S319" s="23"/>
      <c r="T319" s="23"/>
      <c r="U319" s="23"/>
      <c r="V319" s="23"/>
      <c r="W319" s="23"/>
      <c r="X319" s="4"/>
    </row>
    <row r="320" spans="1:24" ht="26.25" x14ac:dyDescent="0.25">
      <c r="A320" s="21" t="s">
        <v>1500</v>
      </c>
      <c r="B320" s="21" t="str">
        <f t="shared" si="5"/>
        <v>84563011</v>
      </c>
      <c r="C320" s="21" t="str">
        <f>Tabela5[[#This Row],[Cod. Ncm]]&amp;"-"&amp;Tabela5[[#This Row],[Operações]]</f>
        <v>84563011-Internas e interestaduais</v>
      </c>
      <c r="D320" s="24" t="s">
        <v>586</v>
      </c>
      <c r="E320" s="24" t="s">
        <v>587</v>
      </c>
      <c r="F320" s="22">
        <v>8.8000000000000007</v>
      </c>
      <c r="G320" s="24" t="s">
        <v>1501</v>
      </c>
      <c r="H320" s="24" t="s">
        <v>588</v>
      </c>
      <c r="I320" s="25" t="s">
        <v>577</v>
      </c>
      <c r="J320" s="25" t="s">
        <v>1502</v>
      </c>
      <c r="K320" s="25" t="s">
        <v>589</v>
      </c>
      <c r="L320" s="25" t="s">
        <v>590</v>
      </c>
      <c r="M320" s="25"/>
      <c r="N320" s="25"/>
      <c r="O320" s="25"/>
      <c r="P320" s="25"/>
      <c r="Q320" s="25"/>
      <c r="R320" s="25"/>
      <c r="S320" s="25"/>
      <c r="T320" s="25"/>
      <c r="U320" s="25"/>
      <c r="V320" s="25"/>
      <c r="W320" s="25"/>
      <c r="X320" s="4"/>
    </row>
    <row r="321" spans="1:24" ht="26.25" x14ac:dyDescent="0.25">
      <c r="A321" s="21" t="s">
        <v>1503</v>
      </c>
      <c r="B321" s="21" t="str">
        <f t="shared" si="5"/>
        <v>84563019</v>
      </c>
      <c r="C321" s="21" t="str">
        <f>Tabela5[[#This Row],[Cod. Ncm]]&amp;"-"&amp;Tabela5[[#This Row],[Operações]]</f>
        <v>84563019-Internas e interestaduais</v>
      </c>
      <c r="D321" s="24" t="s">
        <v>586</v>
      </c>
      <c r="E321" s="24" t="s">
        <v>587</v>
      </c>
      <c r="F321" s="22">
        <v>8.8000000000000007</v>
      </c>
      <c r="G321" s="24" t="s">
        <v>1504</v>
      </c>
      <c r="H321" s="24" t="s">
        <v>588</v>
      </c>
      <c r="I321" s="25" t="s">
        <v>577</v>
      </c>
      <c r="J321" s="25" t="s">
        <v>1505</v>
      </c>
      <c r="K321" s="25" t="s">
        <v>589</v>
      </c>
      <c r="L321" s="25" t="s">
        <v>590</v>
      </c>
      <c r="M321" s="25"/>
      <c r="N321" s="25"/>
      <c r="O321" s="25"/>
      <c r="P321" s="25"/>
      <c r="Q321" s="25"/>
      <c r="R321" s="25"/>
      <c r="S321" s="25"/>
      <c r="T321" s="25"/>
      <c r="U321" s="25"/>
      <c r="V321" s="25"/>
      <c r="W321" s="25"/>
      <c r="X321" s="4"/>
    </row>
    <row r="322" spans="1:24" ht="26.25" x14ac:dyDescent="0.25">
      <c r="A322" s="21" t="s">
        <v>1506</v>
      </c>
      <c r="B322" s="21" t="str">
        <f t="shared" si="5"/>
        <v>84563090</v>
      </c>
      <c r="C322" s="21" t="str">
        <f>Tabela5[[#This Row],[Cod. Ncm]]&amp;"-"&amp;Tabela5[[#This Row],[Operações]]</f>
        <v>84563090-Internas e interestaduais</v>
      </c>
      <c r="D322" s="24" t="s">
        <v>586</v>
      </c>
      <c r="E322" s="24" t="s">
        <v>587</v>
      </c>
      <c r="F322" s="22">
        <v>8.8000000000000007</v>
      </c>
      <c r="G322" s="24" t="s">
        <v>1507</v>
      </c>
      <c r="H322" s="24" t="s">
        <v>588</v>
      </c>
      <c r="I322" s="25" t="s">
        <v>577</v>
      </c>
      <c r="J322" s="25" t="s">
        <v>1508</v>
      </c>
      <c r="K322" s="25" t="s">
        <v>589</v>
      </c>
      <c r="L322" s="25" t="s">
        <v>590</v>
      </c>
      <c r="M322" s="25"/>
      <c r="N322" s="25"/>
      <c r="O322" s="25"/>
      <c r="P322" s="25"/>
      <c r="Q322" s="25"/>
      <c r="R322" s="25"/>
      <c r="S322" s="25"/>
      <c r="T322" s="25"/>
      <c r="U322" s="25"/>
      <c r="V322" s="25"/>
      <c r="W322" s="25"/>
      <c r="X322" s="4"/>
    </row>
    <row r="323" spans="1:24" ht="26.25" x14ac:dyDescent="0.25">
      <c r="A323" s="21" t="s">
        <v>1509</v>
      </c>
      <c r="B323" s="21" t="str">
        <f t="shared" si="5"/>
        <v>84571000</v>
      </c>
      <c r="C323" s="21" t="str">
        <f>Tabela5[[#This Row],[Cod. Ncm]]&amp;"-"&amp;Tabela5[[#This Row],[Operações]]</f>
        <v>84571000-Internas e interestaduais</v>
      </c>
      <c r="D323" s="24" t="s">
        <v>586</v>
      </c>
      <c r="E323" s="24" t="s">
        <v>587</v>
      </c>
      <c r="F323" s="22">
        <v>8.8000000000000007</v>
      </c>
      <c r="G323" s="24" t="s">
        <v>1510</v>
      </c>
      <c r="H323" s="24" t="s">
        <v>588</v>
      </c>
      <c r="I323" s="25" t="s">
        <v>577</v>
      </c>
      <c r="J323" s="25" t="s">
        <v>1511</v>
      </c>
      <c r="K323" s="25" t="s">
        <v>589</v>
      </c>
      <c r="L323" s="25" t="s">
        <v>590</v>
      </c>
      <c r="M323" s="25"/>
      <c r="N323" s="25"/>
      <c r="O323" s="25"/>
      <c r="P323" s="25"/>
      <c r="Q323" s="25"/>
      <c r="R323" s="25"/>
      <c r="S323" s="25"/>
      <c r="T323" s="25"/>
      <c r="U323" s="25"/>
      <c r="V323" s="25"/>
      <c r="W323" s="25"/>
      <c r="X323" s="4"/>
    </row>
    <row r="324" spans="1:24" ht="26.25" x14ac:dyDescent="0.25">
      <c r="A324" s="21" t="s">
        <v>1512</v>
      </c>
      <c r="B324" s="21" t="str">
        <f t="shared" si="5"/>
        <v>84572010</v>
      </c>
      <c r="C324" s="21" t="str">
        <f>Tabela5[[#This Row],[Cod. Ncm]]&amp;"-"&amp;Tabela5[[#This Row],[Operações]]</f>
        <v>84572010-Internas e interestaduais</v>
      </c>
      <c r="D324" s="22" t="s">
        <v>586</v>
      </c>
      <c r="E324" s="22" t="s">
        <v>587</v>
      </c>
      <c r="F324" s="22">
        <v>8.8000000000000007</v>
      </c>
      <c r="G324" s="22" t="s">
        <v>1513</v>
      </c>
      <c r="H324" s="22" t="s">
        <v>588</v>
      </c>
      <c r="I324" s="23" t="s">
        <v>577</v>
      </c>
      <c r="J324" s="23" t="s">
        <v>1514</v>
      </c>
      <c r="K324" s="23" t="s">
        <v>589</v>
      </c>
      <c r="L324" s="23" t="s">
        <v>590</v>
      </c>
      <c r="M324" s="23"/>
      <c r="N324" s="23"/>
      <c r="O324" s="23"/>
      <c r="P324" s="23"/>
      <c r="Q324" s="23"/>
      <c r="R324" s="23"/>
      <c r="S324" s="23"/>
      <c r="T324" s="23"/>
      <c r="U324" s="23"/>
      <c r="V324" s="23"/>
      <c r="W324" s="23"/>
      <c r="X324" s="4"/>
    </row>
    <row r="325" spans="1:24" ht="26.25" x14ac:dyDescent="0.25">
      <c r="A325" s="21" t="s">
        <v>1515</v>
      </c>
      <c r="B325" s="21" t="str">
        <f t="shared" si="5"/>
        <v>84572090</v>
      </c>
      <c r="C325" s="21" t="str">
        <f>Tabela5[[#This Row],[Cod. Ncm]]&amp;"-"&amp;Tabela5[[#This Row],[Operações]]</f>
        <v>84572090-Internas e interestaduais</v>
      </c>
      <c r="D325" s="22" t="s">
        <v>586</v>
      </c>
      <c r="E325" s="22" t="s">
        <v>587</v>
      </c>
      <c r="F325" s="22">
        <v>8.8000000000000007</v>
      </c>
      <c r="G325" s="22" t="s">
        <v>1516</v>
      </c>
      <c r="H325" s="22" t="s">
        <v>588</v>
      </c>
      <c r="I325" s="23" t="s">
        <v>577</v>
      </c>
      <c r="J325" s="23" t="s">
        <v>1517</v>
      </c>
      <c r="K325" s="23" t="s">
        <v>589</v>
      </c>
      <c r="L325" s="23" t="s">
        <v>590</v>
      </c>
      <c r="M325" s="23"/>
      <c r="N325" s="23"/>
      <c r="O325" s="23"/>
      <c r="P325" s="23"/>
      <c r="Q325" s="23"/>
      <c r="R325" s="23"/>
      <c r="S325" s="23"/>
      <c r="T325" s="23"/>
      <c r="U325" s="23"/>
      <c r="V325" s="23"/>
      <c r="W325" s="23"/>
      <c r="X325" s="4"/>
    </row>
    <row r="326" spans="1:24" ht="26.25" x14ac:dyDescent="0.25">
      <c r="A326" s="21" t="s">
        <v>1518</v>
      </c>
      <c r="B326" s="21" t="str">
        <f t="shared" si="5"/>
        <v>84573010</v>
      </c>
      <c r="C326" s="21" t="str">
        <f>Tabela5[[#This Row],[Cod. Ncm]]&amp;"-"&amp;Tabela5[[#This Row],[Operações]]</f>
        <v>84573010-Internas e interestaduais</v>
      </c>
      <c r="D326" s="22" t="s">
        <v>586</v>
      </c>
      <c r="E326" s="22" t="s">
        <v>587</v>
      </c>
      <c r="F326" s="22">
        <v>8.8000000000000007</v>
      </c>
      <c r="G326" s="22" t="s">
        <v>1519</v>
      </c>
      <c r="H326" s="22" t="s">
        <v>588</v>
      </c>
      <c r="I326" s="23" t="s">
        <v>577</v>
      </c>
      <c r="J326" s="23" t="s">
        <v>1520</v>
      </c>
      <c r="K326" s="23" t="s">
        <v>589</v>
      </c>
      <c r="L326" s="23" t="s">
        <v>590</v>
      </c>
      <c r="M326" s="23"/>
      <c r="N326" s="23"/>
      <c r="O326" s="23"/>
      <c r="P326" s="23"/>
      <c r="Q326" s="23"/>
      <c r="R326" s="23"/>
      <c r="S326" s="23"/>
      <c r="T326" s="23"/>
      <c r="U326" s="23"/>
      <c r="V326" s="23"/>
      <c r="W326" s="23"/>
      <c r="X326" s="4"/>
    </row>
    <row r="327" spans="1:24" ht="26.25" x14ac:dyDescent="0.25">
      <c r="A327" s="21" t="s">
        <v>1521</v>
      </c>
      <c r="B327" s="21" t="str">
        <f t="shared" ref="B327:B390" si="6">RIGHT(A327,8)</f>
        <v>84573090</v>
      </c>
      <c r="C327" s="21" t="str">
        <f>Tabela5[[#This Row],[Cod. Ncm]]&amp;"-"&amp;Tabela5[[#This Row],[Operações]]</f>
        <v>84573090-Internas e interestaduais</v>
      </c>
      <c r="D327" s="22" t="s">
        <v>586</v>
      </c>
      <c r="E327" s="22" t="s">
        <v>587</v>
      </c>
      <c r="F327" s="22">
        <v>8.8000000000000007</v>
      </c>
      <c r="G327" s="22" t="s">
        <v>1522</v>
      </c>
      <c r="H327" s="22" t="s">
        <v>588</v>
      </c>
      <c r="I327" s="23" t="s">
        <v>577</v>
      </c>
      <c r="J327" s="23" t="s">
        <v>1523</v>
      </c>
      <c r="K327" s="23" t="s">
        <v>589</v>
      </c>
      <c r="L327" s="23" t="s">
        <v>590</v>
      </c>
      <c r="M327" s="23"/>
      <c r="N327" s="23"/>
      <c r="O327" s="23"/>
      <c r="P327" s="23"/>
      <c r="Q327" s="23"/>
      <c r="R327" s="23"/>
      <c r="S327" s="23"/>
      <c r="T327" s="23"/>
      <c r="U327" s="23"/>
      <c r="V327" s="23"/>
      <c r="W327" s="23"/>
      <c r="X327" s="4"/>
    </row>
    <row r="328" spans="1:24" ht="26.25" x14ac:dyDescent="0.25">
      <c r="A328" s="21" t="s">
        <v>1524</v>
      </c>
      <c r="B328" s="21" t="str">
        <f t="shared" si="6"/>
        <v>84581110</v>
      </c>
      <c r="C328" s="21" t="str">
        <f>Tabela5[[#This Row],[Cod. Ncm]]&amp;"-"&amp;Tabela5[[#This Row],[Operações]]</f>
        <v>84581110-Internas e interestaduais</v>
      </c>
      <c r="D328" s="22" t="s">
        <v>586</v>
      </c>
      <c r="E328" s="22" t="s">
        <v>587</v>
      </c>
      <c r="F328" s="22">
        <v>8.8000000000000007</v>
      </c>
      <c r="G328" s="22" t="s">
        <v>1525</v>
      </c>
      <c r="H328" s="22" t="s">
        <v>588</v>
      </c>
      <c r="I328" s="23" t="s">
        <v>577</v>
      </c>
      <c r="J328" s="23" t="s">
        <v>1526</v>
      </c>
      <c r="K328" s="23" t="s">
        <v>589</v>
      </c>
      <c r="L328" s="23" t="s">
        <v>590</v>
      </c>
      <c r="M328" s="23"/>
      <c r="N328" s="23"/>
      <c r="O328" s="23"/>
      <c r="P328" s="23"/>
      <c r="Q328" s="23"/>
      <c r="R328" s="23"/>
      <c r="S328" s="23"/>
      <c r="T328" s="23"/>
      <c r="U328" s="23"/>
      <c r="V328" s="23"/>
      <c r="W328" s="23"/>
      <c r="X328" s="4"/>
    </row>
    <row r="329" spans="1:24" ht="26.25" x14ac:dyDescent="0.25">
      <c r="A329" s="21" t="s">
        <v>1527</v>
      </c>
      <c r="B329" s="21" t="str">
        <f t="shared" si="6"/>
        <v>84581191</v>
      </c>
      <c r="C329" s="21" t="str">
        <f>Tabela5[[#This Row],[Cod. Ncm]]&amp;"-"&amp;Tabela5[[#This Row],[Operações]]</f>
        <v>84581191-Internas e interestaduais</v>
      </c>
      <c r="D329" s="22" t="s">
        <v>586</v>
      </c>
      <c r="E329" s="22" t="s">
        <v>587</v>
      </c>
      <c r="F329" s="22">
        <v>8.8000000000000007</v>
      </c>
      <c r="G329" s="22" t="s">
        <v>1528</v>
      </c>
      <c r="H329" s="22" t="s">
        <v>588</v>
      </c>
      <c r="I329" s="23" t="s">
        <v>577</v>
      </c>
      <c r="J329" s="23" t="s">
        <v>1529</v>
      </c>
      <c r="K329" s="23" t="s">
        <v>589</v>
      </c>
      <c r="L329" s="23" t="s">
        <v>590</v>
      </c>
      <c r="M329" s="23"/>
      <c r="N329" s="23"/>
      <c r="O329" s="23"/>
      <c r="P329" s="23"/>
      <c r="Q329" s="23"/>
      <c r="R329" s="23"/>
      <c r="S329" s="23"/>
      <c r="T329" s="23"/>
      <c r="U329" s="23"/>
      <c r="V329" s="23"/>
      <c r="W329" s="23"/>
      <c r="X329" s="4"/>
    </row>
    <row r="330" spans="1:24" ht="26.25" x14ac:dyDescent="0.25">
      <c r="A330" s="21" t="s">
        <v>1530</v>
      </c>
      <c r="B330" s="21" t="str">
        <f t="shared" si="6"/>
        <v>84581199</v>
      </c>
      <c r="C330" s="21" t="str">
        <f>Tabela5[[#This Row],[Cod. Ncm]]&amp;"-"&amp;Tabela5[[#This Row],[Operações]]</f>
        <v>84581199-Internas e interestaduais</v>
      </c>
      <c r="D330" s="22" t="s">
        <v>586</v>
      </c>
      <c r="E330" s="22" t="s">
        <v>587</v>
      </c>
      <c r="F330" s="22">
        <v>8.8000000000000007</v>
      </c>
      <c r="G330" s="22" t="s">
        <v>1531</v>
      </c>
      <c r="H330" s="22" t="s">
        <v>588</v>
      </c>
      <c r="I330" s="23" t="s">
        <v>577</v>
      </c>
      <c r="J330" s="23" t="s">
        <v>1532</v>
      </c>
      <c r="K330" s="23" t="s">
        <v>589</v>
      </c>
      <c r="L330" s="23" t="s">
        <v>590</v>
      </c>
      <c r="M330" s="23"/>
      <c r="N330" s="23"/>
      <c r="O330" s="23"/>
      <c r="P330" s="23"/>
      <c r="Q330" s="23"/>
      <c r="R330" s="23"/>
      <c r="S330" s="23"/>
      <c r="T330" s="23"/>
      <c r="U330" s="23"/>
      <c r="V330" s="23"/>
      <c r="W330" s="23"/>
      <c r="X330" s="4"/>
    </row>
    <row r="331" spans="1:24" ht="26.25" x14ac:dyDescent="0.25">
      <c r="A331" s="21" t="s">
        <v>1533</v>
      </c>
      <c r="B331" s="21" t="str">
        <f t="shared" si="6"/>
        <v>84581910</v>
      </c>
      <c r="C331" s="21" t="str">
        <f>Tabela5[[#This Row],[Cod. Ncm]]&amp;"-"&amp;Tabela5[[#This Row],[Operações]]</f>
        <v>84581910-Internas e interestaduais</v>
      </c>
      <c r="D331" s="22" t="s">
        <v>586</v>
      </c>
      <c r="E331" s="22" t="s">
        <v>587</v>
      </c>
      <c r="F331" s="22">
        <v>8.8000000000000007</v>
      </c>
      <c r="G331" s="22" t="s">
        <v>1534</v>
      </c>
      <c r="H331" s="22" t="s">
        <v>588</v>
      </c>
      <c r="I331" s="23" t="s">
        <v>577</v>
      </c>
      <c r="J331" s="23" t="s">
        <v>1535</v>
      </c>
      <c r="K331" s="23" t="s">
        <v>589</v>
      </c>
      <c r="L331" s="23" t="s">
        <v>590</v>
      </c>
      <c r="M331" s="23"/>
      <c r="N331" s="23"/>
      <c r="O331" s="23"/>
      <c r="P331" s="23"/>
      <c r="Q331" s="23"/>
      <c r="R331" s="23"/>
      <c r="S331" s="23"/>
      <c r="T331" s="23"/>
      <c r="U331" s="23"/>
      <c r="V331" s="23"/>
      <c r="W331" s="23"/>
      <c r="X331" s="4"/>
    </row>
    <row r="332" spans="1:24" ht="26.25" x14ac:dyDescent="0.25">
      <c r="A332" s="21" t="s">
        <v>1536</v>
      </c>
      <c r="B332" s="21" t="str">
        <f t="shared" si="6"/>
        <v>84581990</v>
      </c>
      <c r="C332" s="21" t="str">
        <f>Tabela5[[#This Row],[Cod. Ncm]]&amp;"-"&amp;Tabela5[[#This Row],[Operações]]</f>
        <v>84581990-Internas e interestaduais</v>
      </c>
      <c r="D332" s="22" t="s">
        <v>586</v>
      </c>
      <c r="E332" s="22" t="s">
        <v>587</v>
      </c>
      <c r="F332" s="22">
        <v>8.8000000000000007</v>
      </c>
      <c r="G332" s="22" t="s">
        <v>1537</v>
      </c>
      <c r="H332" s="22" t="s">
        <v>588</v>
      </c>
      <c r="I332" s="23" t="s">
        <v>577</v>
      </c>
      <c r="J332" s="23" t="s">
        <v>1538</v>
      </c>
      <c r="K332" s="23" t="s">
        <v>589</v>
      </c>
      <c r="L332" s="23" t="s">
        <v>590</v>
      </c>
      <c r="M332" s="23"/>
      <c r="N332" s="23"/>
      <c r="O332" s="23"/>
      <c r="P332" s="23"/>
      <c r="Q332" s="23"/>
      <c r="R332" s="23"/>
      <c r="S332" s="23"/>
      <c r="T332" s="23"/>
      <c r="U332" s="23"/>
      <c r="V332" s="23"/>
      <c r="W332" s="23"/>
      <c r="X332" s="4"/>
    </row>
    <row r="333" spans="1:24" ht="26.25" x14ac:dyDescent="0.25">
      <c r="A333" s="21" t="s">
        <v>1539</v>
      </c>
      <c r="B333" s="21" t="str">
        <f t="shared" si="6"/>
        <v>84589100</v>
      </c>
      <c r="C333" s="21" t="str">
        <f>Tabela5[[#This Row],[Cod. Ncm]]&amp;"-"&amp;Tabela5[[#This Row],[Operações]]</f>
        <v>84589100-Internas e interestaduais</v>
      </c>
      <c r="D333" s="22" t="s">
        <v>586</v>
      </c>
      <c r="E333" s="22" t="s">
        <v>587</v>
      </c>
      <c r="F333" s="22">
        <v>8.8000000000000007</v>
      </c>
      <c r="G333" s="22" t="s">
        <v>1540</v>
      </c>
      <c r="H333" s="22" t="s">
        <v>588</v>
      </c>
      <c r="I333" s="23" t="s">
        <v>577</v>
      </c>
      <c r="J333" s="23" t="s">
        <v>1541</v>
      </c>
      <c r="K333" s="23" t="s">
        <v>589</v>
      </c>
      <c r="L333" s="23" t="s">
        <v>590</v>
      </c>
      <c r="M333" s="23"/>
      <c r="N333" s="23"/>
      <c r="O333" s="23"/>
      <c r="P333" s="23"/>
      <c r="Q333" s="23"/>
      <c r="R333" s="23"/>
      <c r="S333" s="23"/>
      <c r="T333" s="23"/>
      <c r="U333" s="23"/>
      <c r="V333" s="23"/>
      <c r="W333" s="23"/>
      <c r="X333" s="4"/>
    </row>
    <row r="334" spans="1:24" ht="26.25" x14ac:dyDescent="0.25">
      <c r="A334" s="21" t="s">
        <v>1542</v>
      </c>
      <c r="B334" s="21" t="str">
        <f t="shared" si="6"/>
        <v>84589900</v>
      </c>
      <c r="C334" s="21" t="str">
        <f>Tabela5[[#This Row],[Cod. Ncm]]&amp;"-"&amp;Tabela5[[#This Row],[Operações]]</f>
        <v>84589900-Internas e interestaduais</v>
      </c>
      <c r="D334" s="22" t="s">
        <v>586</v>
      </c>
      <c r="E334" s="22" t="s">
        <v>587</v>
      </c>
      <c r="F334" s="22">
        <v>8.8000000000000007</v>
      </c>
      <c r="G334" s="22" t="s">
        <v>1543</v>
      </c>
      <c r="H334" s="22" t="s">
        <v>588</v>
      </c>
      <c r="I334" s="23" t="s">
        <v>577</v>
      </c>
      <c r="J334" s="23" t="s">
        <v>1544</v>
      </c>
      <c r="K334" s="23" t="s">
        <v>589</v>
      </c>
      <c r="L334" s="23" t="s">
        <v>590</v>
      </c>
      <c r="M334" s="23"/>
      <c r="N334" s="23"/>
      <c r="O334" s="23"/>
      <c r="P334" s="23"/>
      <c r="Q334" s="23"/>
      <c r="R334" s="23"/>
      <c r="S334" s="23"/>
      <c r="T334" s="23"/>
      <c r="U334" s="23"/>
      <c r="V334" s="23"/>
      <c r="W334" s="23"/>
      <c r="X334" s="4"/>
    </row>
    <row r="335" spans="1:24" ht="26.25" x14ac:dyDescent="0.25">
      <c r="A335" s="21" t="s">
        <v>1545</v>
      </c>
      <c r="B335" s="21" t="str">
        <f t="shared" si="6"/>
        <v>84591000</v>
      </c>
      <c r="C335" s="21" t="str">
        <f>Tabela5[[#This Row],[Cod. Ncm]]&amp;"-"&amp;Tabela5[[#This Row],[Operações]]</f>
        <v>84591000-Internas e interestaduais</v>
      </c>
      <c r="D335" s="22" t="s">
        <v>586</v>
      </c>
      <c r="E335" s="22" t="s">
        <v>587</v>
      </c>
      <c r="F335" s="22">
        <v>8.8000000000000007</v>
      </c>
      <c r="G335" s="22" t="s">
        <v>1546</v>
      </c>
      <c r="H335" s="22" t="s">
        <v>588</v>
      </c>
      <c r="I335" s="23" t="s">
        <v>577</v>
      </c>
      <c r="J335" s="23" t="s">
        <v>1547</v>
      </c>
      <c r="K335" s="23" t="s">
        <v>589</v>
      </c>
      <c r="L335" s="23" t="s">
        <v>590</v>
      </c>
      <c r="M335" s="23"/>
      <c r="N335" s="23"/>
      <c r="O335" s="23"/>
      <c r="P335" s="23"/>
      <c r="Q335" s="23"/>
      <c r="R335" s="23"/>
      <c r="S335" s="23"/>
      <c r="T335" s="23"/>
      <c r="U335" s="23"/>
      <c r="V335" s="23"/>
      <c r="W335" s="23"/>
      <c r="X335" s="4"/>
    </row>
    <row r="336" spans="1:24" ht="26.25" x14ac:dyDescent="0.25">
      <c r="A336" s="21" t="s">
        <v>1548</v>
      </c>
      <c r="B336" s="21" t="str">
        <f t="shared" si="6"/>
        <v>84592110</v>
      </c>
      <c r="C336" s="21" t="str">
        <f>Tabela5[[#This Row],[Cod. Ncm]]&amp;"-"&amp;Tabela5[[#This Row],[Operações]]</f>
        <v>84592110-Internas e interestaduais</v>
      </c>
      <c r="D336" s="22" t="s">
        <v>586</v>
      </c>
      <c r="E336" s="22" t="s">
        <v>587</v>
      </c>
      <c r="F336" s="22">
        <v>8.8000000000000007</v>
      </c>
      <c r="G336" s="22" t="s">
        <v>1549</v>
      </c>
      <c r="H336" s="22" t="s">
        <v>588</v>
      </c>
      <c r="I336" s="23" t="s">
        <v>577</v>
      </c>
      <c r="J336" s="23" t="s">
        <v>1550</v>
      </c>
      <c r="K336" s="23" t="s">
        <v>589</v>
      </c>
      <c r="L336" s="23" t="s">
        <v>590</v>
      </c>
      <c r="M336" s="23"/>
      <c r="N336" s="23"/>
      <c r="O336" s="23"/>
      <c r="P336" s="23"/>
      <c r="Q336" s="23"/>
      <c r="R336" s="23"/>
      <c r="S336" s="23"/>
      <c r="T336" s="23"/>
      <c r="U336" s="23"/>
      <c r="V336" s="23"/>
      <c r="W336" s="23"/>
      <c r="X336" s="4"/>
    </row>
    <row r="337" spans="1:24" ht="26.25" x14ac:dyDescent="0.25">
      <c r="A337" s="21" t="s">
        <v>1551</v>
      </c>
      <c r="B337" s="21" t="str">
        <f t="shared" si="6"/>
        <v>84592191</v>
      </c>
      <c r="C337" s="21" t="str">
        <f>Tabela5[[#This Row],[Cod. Ncm]]&amp;"-"&amp;Tabela5[[#This Row],[Operações]]</f>
        <v>84592191-Internas e interestaduais</v>
      </c>
      <c r="D337" s="22" t="s">
        <v>586</v>
      </c>
      <c r="E337" s="22" t="s">
        <v>587</v>
      </c>
      <c r="F337" s="22">
        <v>8.8000000000000007</v>
      </c>
      <c r="G337" s="22" t="s">
        <v>1552</v>
      </c>
      <c r="H337" s="22" t="s">
        <v>588</v>
      </c>
      <c r="I337" s="23" t="s">
        <v>577</v>
      </c>
      <c r="J337" s="23" t="s">
        <v>1553</v>
      </c>
      <c r="K337" s="23" t="s">
        <v>589</v>
      </c>
      <c r="L337" s="23" t="s">
        <v>590</v>
      </c>
      <c r="M337" s="23"/>
      <c r="N337" s="23"/>
      <c r="O337" s="23"/>
      <c r="P337" s="23"/>
      <c r="Q337" s="23"/>
      <c r="R337" s="23"/>
      <c r="S337" s="23"/>
      <c r="T337" s="23"/>
      <c r="U337" s="23"/>
      <c r="V337" s="23"/>
      <c r="W337" s="23"/>
      <c r="X337" s="4"/>
    </row>
    <row r="338" spans="1:24" ht="26.25" x14ac:dyDescent="0.25">
      <c r="A338" s="21" t="s">
        <v>1554</v>
      </c>
      <c r="B338" s="21" t="str">
        <f t="shared" si="6"/>
        <v>84592199</v>
      </c>
      <c r="C338" s="21" t="str">
        <f>Tabela5[[#This Row],[Cod. Ncm]]&amp;"-"&amp;Tabela5[[#This Row],[Operações]]</f>
        <v>84592199-Internas e interestaduais</v>
      </c>
      <c r="D338" s="22" t="s">
        <v>586</v>
      </c>
      <c r="E338" s="22" t="s">
        <v>587</v>
      </c>
      <c r="F338" s="22">
        <v>8.8000000000000007</v>
      </c>
      <c r="G338" s="22" t="s">
        <v>1555</v>
      </c>
      <c r="H338" s="22" t="s">
        <v>588</v>
      </c>
      <c r="I338" s="23" t="s">
        <v>577</v>
      </c>
      <c r="J338" s="23" t="s">
        <v>1556</v>
      </c>
      <c r="K338" s="23" t="s">
        <v>589</v>
      </c>
      <c r="L338" s="23" t="s">
        <v>590</v>
      </c>
      <c r="M338" s="23"/>
      <c r="N338" s="23"/>
      <c r="O338" s="23"/>
      <c r="P338" s="23"/>
      <c r="Q338" s="23"/>
      <c r="R338" s="23"/>
      <c r="S338" s="23"/>
      <c r="T338" s="23"/>
      <c r="U338" s="23"/>
      <c r="V338" s="23"/>
      <c r="W338" s="23"/>
      <c r="X338" s="4"/>
    </row>
    <row r="339" spans="1:24" ht="26.25" x14ac:dyDescent="0.25">
      <c r="A339" s="21" t="s">
        <v>1557</v>
      </c>
      <c r="B339" s="21" t="str">
        <f t="shared" si="6"/>
        <v>84592900</v>
      </c>
      <c r="C339" s="21" t="str">
        <f>Tabela5[[#This Row],[Cod. Ncm]]&amp;"-"&amp;Tabela5[[#This Row],[Operações]]</f>
        <v>84592900-Internas e interestaduais</v>
      </c>
      <c r="D339" s="22" t="s">
        <v>586</v>
      </c>
      <c r="E339" s="22" t="s">
        <v>587</v>
      </c>
      <c r="F339" s="22">
        <v>8.8000000000000007</v>
      </c>
      <c r="G339" s="22" t="s">
        <v>1558</v>
      </c>
      <c r="H339" s="22" t="s">
        <v>588</v>
      </c>
      <c r="I339" s="23" t="s">
        <v>577</v>
      </c>
      <c r="J339" s="23" t="s">
        <v>1559</v>
      </c>
      <c r="K339" s="23" t="s">
        <v>589</v>
      </c>
      <c r="L339" s="23" t="s">
        <v>590</v>
      </c>
      <c r="M339" s="23"/>
      <c r="N339" s="23"/>
      <c r="O339" s="23"/>
      <c r="P339" s="23"/>
      <c r="Q339" s="23"/>
      <c r="R339" s="23"/>
      <c r="S339" s="23"/>
      <c r="T339" s="23"/>
      <c r="U339" s="23"/>
      <c r="V339" s="23"/>
      <c r="W339" s="23"/>
      <c r="X339" s="4"/>
    </row>
    <row r="340" spans="1:24" ht="26.25" x14ac:dyDescent="0.25">
      <c r="A340" s="21" t="s">
        <v>1560</v>
      </c>
      <c r="B340" s="21" t="str">
        <f t="shared" si="6"/>
        <v>84593100</v>
      </c>
      <c r="C340" s="21" t="str">
        <f>Tabela5[[#This Row],[Cod. Ncm]]&amp;"-"&amp;Tabela5[[#This Row],[Operações]]</f>
        <v>84593100-Internas e interestaduais</v>
      </c>
      <c r="D340" s="22" t="s">
        <v>586</v>
      </c>
      <c r="E340" s="22" t="s">
        <v>587</v>
      </c>
      <c r="F340" s="22">
        <v>8.8000000000000007</v>
      </c>
      <c r="G340" s="22" t="s">
        <v>1561</v>
      </c>
      <c r="H340" s="22" t="s">
        <v>588</v>
      </c>
      <c r="I340" s="23" t="s">
        <v>577</v>
      </c>
      <c r="J340" s="23" t="s">
        <v>1562</v>
      </c>
      <c r="K340" s="23" t="s">
        <v>589</v>
      </c>
      <c r="L340" s="23" t="s">
        <v>590</v>
      </c>
      <c r="M340" s="23"/>
      <c r="N340" s="23"/>
      <c r="O340" s="23"/>
      <c r="P340" s="23"/>
      <c r="Q340" s="23"/>
      <c r="R340" s="23"/>
      <c r="S340" s="23"/>
      <c r="T340" s="23"/>
      <c r="U340" s="23"/>
      <c r="V340" s="23"/>
      <c r="W340" s="23"/>
      <c r="X340" s="4"/>
    </row>
    <row r="341" spans="1:24" ht="26.25" x14ac:dyDescent="0.25">
      <c r="A341" s="21" t="s">
        <v>1563</v>
      </c>
      <c r="B341" s="21" t="str">
        <f t="shared" si="6"/>
        <v>84593900</v>
      </c>
      <c r="C341" s="21" t="str">
        <f>Tabela5[[#This Row],[Cod. Ncm]]&amp;"-"&amp;Tabela5[[#This Row],[Operações]]</f>
        <v>84593900-Internas e interestaduais</v>
      </c>
      <c r="D341" s="22" t="s">
        <v>586</v>
      </c>
      <c r="E341" s="22" t="s">
        <v>587</v>
      </c>
      <c r="F341" s="22">
        <v>8.8000000000000007</v>
      </c>
      <c r="G341" s="22" t="s">
        <v>1564</v>
      </c>
      <c r="H341" s="22" t="s">
        <v>588</v>
      </c>
      <c r="I341" s="23" t="s">
        <v>577</v>
      </c>
      <c r="J341" s="23" t="s">
        <v>1565</v>
      </c>
      <c r="K341" s="23" t="s">
        <v>589</v>
      </c>
      <c r="L341" s="23" t="s">
        <v>590</v>
      </c>
      <c r="M341" s="23"/>
      <c r="N341" s="23"/>
      <c r="O341" s="23"/>
      <c r="P341" s="23"/>
      <c r="Q341" s="23"/>
      <c r="R341" s="23"/>
      <c r="S341" s="23"/>
      <c r="T341" s="23"/>
      <c r="U341" s="23"/>
      <c r="V341" s="23"/>
      <c r="W341" s="23"/>
      <c r="X341" s="4"/>
    </row>
    <row r="342" spans="1:24" ht="26.25" x14ac:dyDescent="0.25">
      <c r="A342" s="21" t="s">
        <v>1566</v>
      </c>
      <c r="B342" s="21" t="str">
        <f t="shared" si="6"/>
        <v>84594100</v>
      </c>
      <c r="C342" s="21" t="str">
        <f>Tabela5[[#This Row],[Cod. Ncm]]&amp;"-"&amp;Tabela5[[#This Row],[Operações]]</f>
        <v>84594100-Internas e interestaduais</v>
      </c>
      <c r="D342" s="22" t="s">
        <v>586</v>
      </c>
      <c r="E342" s="22" t="s">
        <v>587</v>
      </c>
      <c r="F342" s="22">
        <v>8.8000000000000007</v>
      </c>
      <c r="G342" s="22" t="s">
        <v>1567</v>
      </c>
      <c r="H342" s="22" t="s">
        <v>588</v>
      </c>
      <c r="I342" s="23" t="s">
        <v>1568</v>
      </c>
      <c r="J342" s="23" t="s">
        <v>577</v>
      </c>
      <c r="K342" s="23" t="s">
        <v>1569</v>
      </c>
      <c r="L342" s="23" t="s">
        <v>589</v>
      </c>
      <c r="M342" s="23" t="s">
        <v>590</v>
      </c>
      <c r="N342" s="23"/>
      <c r="O342" s="23"/>
      <c r="P342" s="23"/>
      <c r="Q342" s="23"/>
      <c r="R342" s="23"/>
      <c r="S342" s="23"/>
      <c r="T342" s="23"/>
      <c r="U342" s="23"/>
      <c r="V342" s="23"/>
      <c r="W342" s="23"/>
      <c r="X342" s="4"/>
    </row>
    <row r="343" spans="1:24" ht="26.25" x14ac:dyDescent="0.25">
      <c r="A343" s="21" t="s">
        <v>1570</v>
      </c>
      <c r="B343" s="21" t="str">
        <f t="shared" si="6"/>
        <v>84594900</v>
      </c>
      <c r="C343" s="21" t="str">
        <f>Tabela5[[#This Row],[Cod. Ncm]]&amp;"-"&amp;Tabela5[[#This Row],[Operações]]</f>
        <v>84594900-Internas e interestaduais</v>
      </c>
      <c r="D343" s="22" t="s">
        <v>586</v>
      </c>
      <c r="E343" s="22" t="s">
        <v>587</v>
      </c>
      <c r="F343" s="22">
        <v>8.8000000000000007</v>
      </c>
      <c r="G343" s="22" t="s">
        <v>1567</v>
      </c>
      <c r="H343" s="22" t="s">
        <v>588</v>
      </c>
      <c r="I343" s="23" t="s">
        <v>1571</v>
      </c>
      <c r="J343" s="23" t="s">
        <v>577</v>
      </c>
      <c r="K343" s="23" t="s">
        <v>1569</v>
      </c>
      <c r="L343" s="23" t="s">
        <v>589</v>
      </c>
      <c r="M343" s="23" t="s">
        <v>590</v>
      </c>
      <c r="N343" s="23"/>
      <c r="O343" s="23"/>
      <c r="P343" s="23"/>
      <c r="Q343" s="23"/>
      <c r="R343" s="23"/>
      <c r="S343" s="23"/>
      <c r="T343" s="23"/>
      <c r="U343" s="23"/>
      <c r="V343" s="23"/>
      <c r="W343" s="23"/>
      <c r="X343" s="4"/>
    </row>
    <row r="344" spans="1:24" ht="26.25" x14ac:dyDescent="0.25">
      <c r="A344" s="21" t="s">
        <v>1572</v>
      </c>
      <c r="B344" s="21" t="str">
        <f t="shared" si="6"/>
        <v>84595100</v>
      </c>
      <c r="C344" s="21" t="str">
        <f>Tabela5[[#This Row],[Cod. Ncm]]&amp;"-"&amp;Tabela5[[#This Row],[Operações]]</f>
        <v>84595100-Internas e interestaduais</v>
      </c>
      <c r="D344" s="22" t="s">
        <v>586</v>
      </c>
      <c r="E344" s="22" t="s">
        <v>587</v>
      </c>
      <c r="F344" s="22">
        <v>8.8000000000000007</v>
      </c>
      <c r="G344" s="22" t="s">
        <v>1573</v>
      </c>
      <c r="H344" s="22" t="s">
        <v>588</v>
      </c>
      <c r="I344" s="23" t="s">
        <v>577</v>
      </c>
      <c r="J344" s="23" t="s">
        <v>1574</v>
      </c>
      <c r="K344" s="23" t="s">
        <v>589</v>
      </c>
      <c r="L344" s="23" t="s">
        <v>590</v>
      </c>
      <c r="M344" s="23"/>
      <c r="N344" s="23"/>
      <c r="O344" s="23"/>
      <c r="P344" s="23"/>
      <c r="Q344" s="23"/>
      <c r="R344" s="23"/>
      <c r="S344" s="23"/>
      <c r="T344" s="23"/>
      <c r="U344" s="23"/>
      <c r="V344" s="23"/>
      <c r="W344" s="23"/>
      <c r="X344" s="4"/>
    </row>
    <row r="345" spans="1:24" ht="26.25" x14ac:dyDescent="0.25">
      <c r="A345" s="21" t="s">
        <v>1575</v>
      </c>
      <c r="B345" s="21" t="str">
        <f t="shared" si="6"/>
        <v>84595900</v>
      </c>
      <c r="C345" s="21" t="str">
        <f>Tabela5[[#This Row],[Cod. Ncm]]&amp;"-"&amp;Tabela5[[#This Row],[Operações]]</f>
        <v>84595900-Internas e interestaduais</v>
      </c>
      <c r="D345" s="22" t="s">
        <v>586</v>
      </c>
      <c r="E345" s="22" t="s">
        <v>587</v>
      </c>
      <c r="F345" s="22">
        <v>8.8000000000000007</v>
      </c>
      <c r="G345" s="22" t="s">
        <v>1576</v>
      </c>
      <c r="H345" s="22" t="s">
        <v>588</v>
      </c>
      <c r="I345" s="23" t="s">
        <v>577</v>
      </c>
      <c r="J345" s="23" t="s">
        <v>1577</v>
      </c>
      <c r="K345" s="23" t="s">
        <v>589</v>
      </c>
      <c r="L345" s="23" t="s">
        <v>590</v>
      </c>
      <c r="M345" s="23"/>
      <c r="N345" s="23"/>
      <c r="O345" s="23"/>
      <c r="P345" s="23"/>
      <c r="Q345" s="23"/>
      <c r="R345" s="23"/>
      <c r="S345" s="23"/>
      <c r="T345" s="23"/>
      <c r="U345" s="23"/>
      <c r="V345" s="23"/>
      <c r="W345" s="23"/>
      <c r="X345" s="4"/>
    </row>
    <row r="346" spans="1:24" ht="26.25" x14ac:dyDescent="0.25">
      <c r="A346" s="21" t="s">
        <v>1578</v>
      </c>
      <c r="B346" s="21" t="str">
        <f t="shared" si="6"/>
        <v>84596100</v>
      </c>
      <c r="C346" s="21" t="str">
        <f>Tabela5[[#This Row],[Cod. Ncm]]&amp;"-"&amp;Tabela5[[#This Row],[Operações]]</f>
        <v>84596100-Internas e interestaduais</v>
      </c>
      <c r="D346" s="22" t="s">
        <v>586</v>
      </c>
      <c r="E346" s="22" t="s">
        <v>587</v>
      </c>
      <c r="F346" s="22">
        <v>8.8000000000000007</v>
      </c>
      <c r="G346" s="22" t="s">
        <v>1579</v>
      </c>
      <c r="H346" s="22" t="s">
        <v>588</v>
      </c>
      <c r="I346" s="23" t="s">
        <v>577</v>
      </c>
      <c r="J346" s="23" t="s">
        <v>1580</v>
      </c>
      <c r="K346" s="23" t="s">
        <v>589</v>
      </c>
      <c r="L346" s="23" t="s">
        <v>590</v>
      </c>
      <c r="M346" s="23"/>
      <c r="N346" s="23"/>
      <c r="O346" s="23"/>
      <c r="P346" s="23"/>
      <c r="Q346" s="23"/>
      <c r="R346" s="23"/>
      <c r="S346" s="23"/>
      <c r="T346" s="23"/>
      <c r="U346" s="23"/>
      <c r="V346" s="23"/>
      <c r="W346" s="23"/>
      <c r="X346" s="4"/>
    </row>
    <row r="347" spans="1:24" ht="26.25" x14ac:dyDescent="0.25">
      <c r="A347" s="21" t="s">
        <v>1581</v>
      </c>
      <c r="B347" s="21" t="str">
        <f t="shared" si="6"/>
        <v>84596900</v>
      </c>
      <c r="C347" s="21" t="str">
        <f>Tabela5[[#This Row],[Cod. Ncm]]&amp;"-"&amp;Tabela5[[#This Row],[Operações]]</f>
        <v>84596900-Internas e interestaduais</v>
      </c>
      <c r="D347" s="22" t="s">
        <v>586</v>
      </c>
      <c r="E347" s="22" t="s">
        <v>587</v>
      </c>
      <c r="F347" s="22">
        <v>8.8000000000000007</v>
      </c>
      <c r="G347" s="22" t="s">
        <v>1582</v>
      </c>
      <c r="H347" s="22" t="s">
        <v>588</v>
      </c>
      <c r="I347" s="23" t="s">
        <v>577</v>
      </c>
      <c r="J347" s="23" t="s">
        <v>1583</v>
      </c>
      <c r="K347" s="23" t="s">
        <v>589</v>
      </c>
      <c r="L347" s="23" t="s">
        <v>590</v>
      </c>
      <c r="M347" s="23"/>
      <c r="N347" s="23"/>
      <c r="O347" s="23"/>
      <c r="P347" s="23"/>
      <c r="Q347" s="23"/>
      <c r="R347" s="23"/>
      <c r="S347" s="23"/>
      <c r="T347" s="23"/>
      <c r="U347" s="23"/>
      <c r="V347" s="23"/>
      <c r="W347" s="23"/>
      <c r="X347" s="4"/>
    </row>
    <row r="348" spans="1:24" ht="26.25" x14ac:dyDescent="0.25">
      <c r="A348" s="21" t="s">
        <v>1584</v>
      </c>
      <c r="B348" s="21" t="str">
        <f t="shared" si="6"/>
        <v>84597000</v>
      </c>
      <c r="C348" s="21" t="str">
        <f>Tabela5[[#This Row],[Cod. Ncm]]&amp;"-"&amp;Tabela5[[#This Row],[Operações]]</f>
        <v>84597000-Internas e interestaduais</v>
      </c>
      <c r="D348" s="22" t="s">
        <v>586</v>
      </c>
      <c r="E348" s="22" t="s">
        <v>587</v>
      </c>
      <c r="F348" s="22">
        <v>8.8000000000000007</v>
      </c>
      <c r="G348" s="22" t="s">
        <v>1585</v>
      </c>
      <c r="H348" s="22" t="s">
        <v>588</v>
      </c>
      <c r="I348" s="23" t="s">
        <v>577</v>
      </c>
      <c r="J348" s="23" t="s">
        <v>1586</v>
      </c>
      <c r="K348" s="23" t="s">
        <v>589</v>
      </c>
      <c r="L348" s="23" t="s">
        <v>590</v>
      </c>
      <c r="M348" s="23"/>
      <c r="N348" s="23"/>
      <c r="O348" s="23"/>
      <c r="P348" s="23"/>
      <c r="Q348" s="23"/>
      <c r="R348" s="23"/>
      <c r="S348" s="23"/>
      <c r="T348" s="23"/>
      <c r="U348" s="23"/>
      <c r="V348" s="23"/>
      <c r="W348" s="23"/>
      <c r="X348" s="4"/>
    </row>
    <row r="349" spans="1:24" ht="38.25" x14ac:dyDescent="0.25">
      <c r="A349" s="21" t="s">
        <v>1587</v>
      </c>
      <c r="B349" s="21" t="str">
        <f t="shared" si="6"/>
        <v>84601200</v>
      </c>
      <c r="C349" s="21" t="str">
        <f>Tabela5[[#This Row],[Cod. Ncm]]&amp;"-"&amp;Tabela5[[#This Row],[Operações]]</f>
        <v>84601200-Internas e interestaduais</v>
      </c>
      <c r="D349" s="22" t="s">
        <v>586</v>
      </c>
      <c r="E349" s="22" t="s">
        <v>587</v>
      </c>
      <c r="F349" s="22">
        <v>8.8000000000000007</v>
      </c>
      <c r="G349" s="22" t="s">
        <v>1588</v>
      </c>
      <c r="H349" s="22" t="s">
        <v>588</v>
      </c>
      <c r="I349" s="23" t="s">
        <v>1589</v>
      </c>
      <c r="J349" s="23" t="s">
        <v>577</v>
      </c>
      <c r="K349" s="23" t="s">
        <v>1590</v>
      </c>
      <c r="L349" s="23" t="s">
        <v>589</v>
      </c>
      <c r="M349" s="23" t="s">
        <v>590</v>
      </c>
      <c r="N349" s="23"/>
      <c r="O349" s="23"/>
      <c r="P349" s="23"/>
      <c r="Q349" s="23"/>
      <c r="R349" s="23"/>
      <c r="S349" s="23"/>
      <c r="T349" s="23"/>
      <c r="U349" s="23"/>
      <c r="V349" s="23"/>
      <c r="W349" s="23"/>
      <c r="X349" s="4"/>
    </row>
    <row r="350" spans="1:24" ht="38.25" x14ac:dyDescent="0.25">
      <c r="A350" s="21" t="s">
        <v>1591</v>
      </c>
      <c r="B350" s="21" t="str">
        <f t="shared" si="6"/>
        <v>84601900</v>
      </c>
      <c r="C350" s="21" t="str">
        <f>Tabela5[[#This Row],[Cod. Ncm]]&amp;"-"&amp;Tabela5[[#This Row],[Operações]]</f>
        <v>84601900-Internas e interestaduais</v>
      </c>
      <c r="D350" s="22" t="s">
        <v>586</v>
      </c>
      <c r="E350" s="22" t="s">
        <v>587</v>
      </c>
      <c r="F350" s="22">
        <v>8.8000000000000007</v>
      </c>
      <c r="G350" s="22" t="s">
        <v>1592</v>
      </c>
      <c r="H350" s="22" t="s">
        <v>588</v>
      </c>
      <c r="I350" s="23" t="s">
        <v>577</v>
      </c>
      <c r="J350" s="23" t="s">
        <v>1593</v>
      </c>
      <c r="K350" s="23" t="s">
        <v>589</v>
      </c>
      <c r="L350" s="23" t="s">
        <v>590</v>
      </c>
      <c r="M350" s="23"/>
      <c r="N350" s="23"/>
      <c r="O350" s="23"/>
      <c r="P350" s="23"/>
      <c r="Q350" s="23"/>
      <c r="R350" s="23"/>
      <c r="S350" s="23"/>
      <c r="T350" s="23"/>
      <c r="U350" s="23"/>
      <c r="V350" s="23"/>
      <c r="W350" s="23"/>
      <c r="X350" s="4"/>
    </row>
    <row r="351" spans="1:24" ht="38.25" x14ac:dyDescent="0.25">
      <c r="A351" s="21" t="s">
        <v>1594</v>
      </c>
      <c r="B351" s="21" t="str">
        <f t="shared" si="6"/>
        <v>84602200</v>
      </c>
      <c r="C351" s="21" t="str">
        <f>Tabela5[[#This Row],[Cod. Ncm]]&amp;"-"&amp;Tabela5[[#This Row],[Operações]]</f>
        <v>84602200-Internas e interestaduais</v>
      </c>
      <c r="D351" s="22" t="s">
        <v>586</v>
      </c>
      <c r="E351" s="22" t="s">
        <v>587</v>
      </c>
      <c r="F351" s="22">
        <v>8.8000000000000007</v>
      </c>
      <c r="G351" s="22" t="s">
        <v>1595</v>
      </c>
      <c r="H351" s="22" t="s">
        <v>588</v>
      </c>
      <c r="I351" s="23" t="s">
        <v>1596</v>
      </c>
      <c r="J351" s="23" t="s">
        <v>577</v>
      </c>
      <c r="K351" s="23" t="s">
        <v>1597</v>
      </c>
      <c r="L351" s="23" t="s">
        <v>589</v>
      </c>
      <c r="M351" s="23" t="s">
        <v>590</v>
      </c>
      <c r="N351" s="23"/>
      <c r="O351" s="23"/>
      <c r="P351" s="23"/>
      <c r="Q351" s="23"/>
      <c r="R351" s="23"/>
      <c r="S351" s="23"/>
      <c r="T351" s="23"/>
      <c r="U351" s="23"/>
      <c r="V351" s="23"/>
      <c r="W351" s="23"/>
      <c r="X351" s="4"/>
    </row>
    <row r="352" spans="1:24" ht="38.25" x14ac:dyDescent="0.25">
      <c r="A352" s="21" t="s">
        <v>1598</v>
      </c>
      <c r="B352" s="21" t="str">
        <f t="shared" si="6"/>
        <v>84602300</v>
      </c>
      <c r="C352" s="21" t="str">
        <f>Tabela5[[#This Row],[Cod. Ncm]]&amp;"-"&amp;Tabela5[[#This Row],[Operações]]</f>
        <v>84602300-Internas e interestaduais</v>
      </c>
      <c r="D352" s="22" t="s">
        <v>586</v>
      </c>
      <c r="E352" s="22" t="s">
        <v>587</v>
      </c>
      <c r="F352" s="22">
        <v>8.8000000000000007</v>
      </c>
      <c r="G352" s="22" t="s">
        <v>1595</v>
      </c>
      <c r="H352" s="22" t="s">
        <v>588</v>
      </c>
      <c r="I352" s="23" t="s">
        <v>1599</v>
      </c>
      <c r="J352" s="23" t="s">
        <v>577</v>
      </c>
      <c r="K352" s="23" t="s">
        <v>1597</v>
      </c>
      <c r="L352" s="23" t="s">
        <v>589</v>
      </c>
      <c r="M352" s="23" t="s">
        <v>590</v>
      </c>
      <c r="N352" s="23"/>
      <c r="O352" s="23"/>
      <c r="P352" s="23"/>
      <c r="Q352" s="23"/>
      <c r="R352" s="23"/>
      <c r="S352" s="23"/>
      <c r="T352" s="23"/>
      <c r="U352" s="23"/>
      <c r="V352" s="23"/>
      <c r="W352" s="23"/>
      <c r="X352" s="4"/>
    </row>
    <row r="353" spans="1:24" ht="38.25" x14ac:dyDescent="0.25">
      <c r="A353" s="21" t="s">
        <v>1600</v>
      </c>
      <c r="B353" s="21" t="str">
        <f t="shared" si="6"/>
        <v>84602400</v>
      </c>
      <c r="C353" s="21" t="str">
        <f>Tabela5[[#This Row],[Cod. Ncm]]&amp;"-"&amp;Tabela5[[#This Row],[Operações]]</f>
        <v>84602400-Internas e interestaduais</v>
      </c>
      <c r="D353" s="22" t="s">
        <v>586</v>
      </c>
      <c r="E353" s="22" t="s">
        <v>587</v>
      </c>
      <c r="F353" s="22">
        <v>8.8000000000000007</v>
      </c>
      <c r="G353" s="22" t="s">
        <v>1595</v>
      </c>
      <c r="H353" s="22" t="s">
        <v>588</v>
      </c>
      <c r="I353" s="23" t="s">
        <v>1601</v>
      </c>
      <c r="J353" s="23" t="s">
        <v>577</v>
      </c>
      <c r="K353" s="23" t="s">
        <v>1597</v>
      </c>
      <c r="L353" s="23" t="s">
        <v>589</v>
      </c>
      <c r="M353" s="23" t="s">
        <v>590</v>
      </c>
      <c r="N353" s="23"/>
      <c r="O353" s="23"/>
      <c r="P353" s="23"/>
      <c r="Q353" s="23"/>
      <c r="R353" s="23"/>
      <c r="S353" s="23"/>
      <c r="T353" s="23"/>
      <c r="U353" s="23"/>
      <c r="V353" s="23"/>
      <c r="W353" s="23"/>
      <c r="X353" s="4"/>
    </row>
    <row r="354" spans="1:24" ht="38.25" x14ac:dyDescent="0.25">
      <c r="A354" s="21" t="s">
        <v>1602</v>
      </c>
      <c r="B354" s="21" t="str">
        <f t="shared" si="6"/>
        <v>84602900</v>
      </c>
      <c r="C354" s="21" t="str">
        <f>Tabela5[[#This Row],[Cod. Ncm]]&amp;"-"&amp;Tabela5[[#This Row],[Operações]]</f>
        <v>84602900-Internas e interestaduais</v>
      </c>
      <c r="D354" s="22" t="s">
        <v>586</v>
      </c>
      <c r="E354" s="22" t="s">
        <v>587</v>
      </c>
      <c r="F354" s="22">
        <v>8.8000000000000007</v>
      </c>
      <c r="G354" s="22" t="s">
        <v>1603</v>
      </c>
      <c r="H354" s="22" t="s">
        <v>588</v>
      </c>
      <c r="I354" s="23" t="s">
        <v>577</v>
      </c>
      <c r="J354" s="23" t="s">
        <v>1604</v>
      </c>
      <c r="K354" s="23" t="s">
        <v>589</v>
      </c>
      <c r="L354" s="23" t="s">
        <v>590</v>
      </c>
      <c r="M354" s="23"/>
      <c r="N354" s="23"/>
      <c r="O354" s="23"/>
      <c r="P354" s="23"/>
      <c r="Q354" s="23"/>
      <c r="R354" s="23"/>
      <c r="S354" s="23"/>
      <c r="T354" s="23"/>
      <c r="U354" s="23"/>
      <c r="V354" s="23"/>
      <c r="W354" s="23"/>
      <c r="X354" s="4"/>
    </row>
    <row r="355" spans="1:24" ht="26.25" x14ac:dyDescent="0.25">
      <c r="A355" s="21" t="s">
        <v>1605</v>
      </c>
      <c r="B355" s="21" t="str">
        <f t="shared" si="6"/>
        <v>84603100</v>
      </c>
      <c r="C355" s="21" t="str">
        <f>Tabela5[[#This Row],[Cod. Ncm]]&amp;"-"&amp;Tabela5[[#This Row],[Operações]]</f>
        <v>84603100-Internas e interestaduais</v>
      </c>
      <c r="D355" s="22" t="s">
        <v>586</v>
      </c>
      <c r="E355" s="22" t="s">
        <v>587</v>
      </c>
      <c r="F355" s="22">
        <v>8.8000000000000007</v>
      </c>
      <c r="G355" s="22" t="s">
        <v>1606</v>
      </c>
      <c r="H355" s="22" t="s">
        <v>588</v>
      </c>
      <c r="I355" s="23" t="s">
        <v>577</v>
      </c>
      <c r="J355" s="23" t="s">
        <v>1607</v>
      </c>
      <c r="K355" s="23" t="s">
        <v>589</v>
      </c>
      <c r="L355" s="23" t="s">
        <v>590</v>
      </c>
      <c r="M355" s="23"/>
      <c r="N355" s="23"/>
      <c r="O355" s="23"/>
      <c r="P355" s="23"/>
      <c r="Q355" s="23"/>
      <c r="R355" s="23"/>
      <c r="S355" s="23"/>
      <c r="T355" s="23"/>
      <c r="U355" s="23"/>
      <c r="V355" s="23"/>
      <c r="W355" s="23"/>
      <c r="X355" s="4"/>
    </row>
    <row r="356" spans="1:24" ht="26.25" x14ac:dyDescent="0.25">
      <c r="A356" s="21" t="s">
        <v>1608</v>
      </c>
      <c r="B356" s="21" t="str">
        <f t="shared" si="6"/>
        <v>84603900</v>
      </c>
      <c r="C356" s="21" t="str">
        <f>Tabela5[[#This Row],[Cod. Ncm]]&amp;"-"&amp;Tabela5[[#This Row],[Operações]]</f>
        <v>84603900-Internas e interestaduais</v>
      </c>
      <c r="D356" s="22" t="s">
        <v>586</v>
      </c>
      <c r="E356" s="22" t="s">
        <v>587</v>
      </c>
      <c r="F356" s="22">
        <v>8.8000000000000007</v>
      </c>
      <c r="G356" s="22" t="s">
        <v>1609</v>
      </c>
      <c r="H356" s="22" t="s">
        <v>588</v>
      </c>
      <c r="I356" s="23" t="s">
        <v>577</v>
      </c>
      <c r="J356" s="23" t="s">
        <v>1610</v>
      </c>
      <c r="K356" s="23" t="s">
        <v>589</v>
      </c>
      <c r="L356" s="23" t="s">
        <v>590</v>
      </c>
      <c r="M356" s="23"/>
      <c r="N356" s="23"/>
      <c r="O356" s="23"/>
      <c r="P356" s="23"/>
      <c r="Q356" s="23"/>
      <c r="R356" s="23"/>
      <c r="S356" s="23"/>
      <c r="T356" s="23"/>
      <c r="U356" s="23"/>
      <c r="V356" s="23"/>
      <c r="W356" s="23"/>
      <c r="X356" s="4"/>
    </row>
    <row r="357" spans="1:24" ht="26.25" x14ac:dyDescent="0.25">
      <c r="A357" s="21" t="s">
        <v>1611</v>
      </c>
      <c r="B357" s="21" t="str">
        <f t="shared" si="6"/>
        <v>84604011</v>
      </c>
      <c r="C357" s="21" t="str">
        <f>Tabela5[[#This Row],[Cod. Ncm]]&amp;"-"&amp;Tabela5[[#This Row],[Operações]]</f>
        <v>84604011-Internas e interestaduais</v>
      </c>
      <c r="D357" s="22" t="s">
        <v>586</v>
      </c>
      <c r="E357" s="22" t="s">
        <v>587</v>
      </c>
      <c r="F357" s="22">
        <v>8.8000000000000007</v>
      </c>
      <c r="G357" s="22" t="s">
        <v>1612</v>
      </c>
      <c r="H357" s="22" t="s">
        <v>588</v>
      </c>
      <c r="I357" s="23" t="s">
        <v>577</v>
      </c>
      <c r="J357" s="23" t="s">
        <v>1613</v>
      </c>
      <c r="K357" s="23" t="s">
        <v>589</v>
      </c>
      <c r="L357" s="23" t="s">
        <v>590</v>
      </c>
      <c r="M357" s="23"/>
      <c r="N357" s="23"/>
      <c r="O357" s="23"/>
      <c r="P357" s="23"/>
      <c r="Q357" s="23"/>
      <c r="R357" s="23"/>
      <c r="S357" s="23"/>
      <c r="T357" s="23"/>
      <c r="U357" s="23"/>
      <c r="V357" s="23"/>
      <c r="W357" s="23"/>
      <c r="X357" s="4"/>
    </row>
    <row r="358" spans="1:24" ht="26.25" x14ac:dyDescent="0.25">
      <c r="A358" s="21" t="s">
        <v>1614</v>
      </c>
      <c r="B358" s="21" t="str">
        <f t="shared" si="6"/>
        <v>84604019</v>
      </c>
      <c r="C358" s="21" t="str">
        <f>Tabela5[[#This Row],[Cod. Ncm]]&amp;"-"&amp;Tabela5[[#This Row],[Operações]]</f>
        <v>84604019-Internas e interestaduais</v>
      </c>
      <c r="D358" s="22" t="s">
        <v>586</v>
      </c>
      <c r="E358" s="22" t="s">
        <v>587</v>
      </c>
      <c r="F358" s="22">
        <v>8.8000000000000007</v>
      </c>
      <c r="G358" s="22" t="s">
        <v>1615</v>
      </c>
      <c r="H358" s="22" t="s">
        <v>588</v>
      </c>
      <c r="I358" s="23" t="s">
        <v>577</v>
      </c>
      <c r="J358" s="23" t="s">
        <v>1616</v>
      </c>
      <c r="K358" s="23" t="s">
        <v>589</v>
      </c>
      <c r="L358" s="23" t="s">
        <v>590</v>
      </c>
      <c r="M358" s="23"/>
      <c r="N358" s="23"/>
      <c r="O358" s="23"/>
      <c r="P358" s="23"/>
      <c r="Q358" s="23"/>
      <c r="R358" s="23"/>
      <c r="S358" s="23"/>
      <c r="T358" s="23"/>
      <c r="U358" s="23"/>
      <c r="V358" s="23"/>
      <c r="W358" s="23"/>
      <c r="X358" s="4"/>
    </row>
    <row r="359" spans="1:24" ht="26.25" x14ac:dyDescent="0.25">
      <c r="A359" s="21" t="s">
        <v>1617</v>
      </c>
      <c r="B359" s="21" t="str">
        <f t="shared" si="6"/>
        <v>84604091</v>
      </c>
      <c r="C359" s="21" t="str">
        <f>Tabela5[[#This Row],[Cod. Ncm]]&amp;"-"&amp;Tabela5[[#This Row],[Operações]]</f>
        <v>84604091-Internas e interestaduais</v>
      </c>
      <c r="D359" s="22" t="s">
        <v>586</v>
      </c>
      <c r="E359" s="22" t="s">
        <v>587</v>
      </c>
      <c r="F359" s="22">
        <v>8.8000000000000007</v>
      </c>
      <c r="G359" s="22" t="s">
        <v>1618</v>
      </c>
      <c r="H359" s="22" t="s">
        <v>588</v>
      </c>
      <c r="I359" s="23" t="s">
        <v>577</v>
      </c>
      <c r="J359" s="23" t="s">
        <v>1619</v>
      </c>
      <c r="K359" s="23" t="s">
        <v>589</v>
      </c>
      <c r="L359" s="23" t="s">
        <v>590</v>
      </c>
      <c r="M359" s="23"/>
      <c r="N359" s="23"/>
      <c r="O359" s="23"/>
      <c r="P359" s="23"/>
      <c r="Q359" s="23"/>
      <c r="R359" s="23"/>
      <c r="S359" s="23"/>
      <c r="T359" s="23"/>
      <c r="U359" s="23"/>
      <c r="V359" s="23"/>
      <c r="W359" s="23"/>
      <c r="X359" s="4"/>
    </row>
    <row r="360" spans="1:24" ht="26.25" x14ac:dyDescent="0.25">
      <c r="A360" s="21" t="s">
        <v>1620</v>
      </c>
      <c r="B360" s="21" t="str">
        <f t="shared" si="6"/>
        <v>84604099</v>
      </c>
      <c r="C360" s="21" t="str">
        <f>Tabela5[[#This Row],[Cod. Ncm]]&amp;"-"&amp;Tabela5[[#This Row],[Operações]]</f>
        <v>84604099-Internas e interestaduais</v>
      </c>
      <c r="D360" s="22" t="s">
        <v>586</v>
      </c>
      <c r="E360" s="22" t="s">
        <v>587</v>
      </c>
      <c r="F360" s="22">
        <v>8.8000000000000007</v>
      </c>
      <c r="G360" s="22" t="s">
        <v>1621</v>
      </c>
      <c r="H360" s="22" t="s">
        <v>588</v>
      </c>
      <c r="I360" s="23" t="s">
        <v>577</v>
      </c>
      <c r="J360" s="23" t="s">
        <v>1622</v>
      </c>
      <c r="K360" s="23" t="s">
        <v>589</v>
      </c>
      <c r="L360" s="23" t="s">
        <v>590</v>
      </c>
      <c r="M360" s="23"/>
      <c r="N360" s="23"/>
      <c r="O360" s="23"/>
      <c r="P360" s="23"/>
      <c r="Q360" s="23"/>
      <c r="R360" s="23"/>
      <c r="S360" s="23"/>
      <c r="T360" s="23"/>
      <c r="U360" s="23"/>
      <c r="V360" s="23"/>
      <c r="W360" s="23"/>
      <c r="X360" s="4"/>
    </row>
    <row r="361" spans="1:24" ht="38.25" x14ac:dyDescent="0.25">
      <c r="A361" s="21" t="s">
        <v>1623</v>
      </c>
      <c r="B361" s="21" t="str">
        <f t="shared" si="6"/>
        <v>84609011</v>
      </c>
      <c r="C361" s="21" t="str">
        <f>Tabela5[[#This Row],[Cod. Ncm]]&amp;"-"&amp;Tabela5[[#This Row],[Operações]]</f>
        <v>84609011-Internas e interestaduais</v>
      </c>
      <c r="D361" s="22" t="s">
        <v>586</v>
      </c>
      <c r="E361" s="22" t="s">
        <v>587</v>
      </c>
      <c r="F361" s="22">
        <v>8.8000000000000007</v>
      </c>
      <c r="G361" s="22" t="s">
        <v>1624</v>
      </c>
      <c r="H361" s="22" t="s">
        <v>588</v>
      </c>
      <c r="I361" s="23" t="s">
        <v>577</v>
      </c>
      <c r="J361" s="23" t="s">
        <v>1625</v>
      </c>
      <c r="K361" s="23" t="s">
        <v>589</v>
      </c>
      <c r="L361" s="23" t="s">
        <v>590</v>
      </c>
      <c r="M361" s="23"/>
      <c r="N361" s="23"/>
      <c r="O361" s="23"/>
      <c r="P361" s="23"/>
      <c r="Q361" s="23"/>
      <c r="R361" s="23"/>
      <c r="S361" s="23"/>
      <c r="T361" s="23"/>
      <c r="U361" s="23"/>
      <c r="V361" s="23"/>
      <c r="W361" s="23"/>
      <c r="X361" s="4"/>
    </row>
    <row r="362" spans="1:24" ht="38.25" x14ac:dyDescent="0.25">
      <c r="A362" s="21" t="s">
        <v>1626</v>
      </c>
      <c r="B362" s="21" t="str">
        <f t="shared" si="6"/>
        <v>84609012</v>
      </c>
      <c r="C362" s="21" t="str">
        <f>Tabela5[[#This Row],[Cod. Ncm]]&amp;"-"&amp;Tabela5[[#This Row],[Operações]]</f>
        <v>84609012-Internas e interestaduais</v>
      </c>
      <c r="D362" s="22" t="s">
        <v>586</v>
      </c>
      <c r="E362" s="22" t="s">
        <v>587</v>
      </c>
      <c r="F362" s="22">
        <v>8.8000000000000007</v>
      </c>
      <c r="G362" s="22" t="s">
        <v>1627</v>
      </c>
      <c r="H362" s="22" t="s">
        <v>588</v>
      </c>
      <c r="I362" s="23" t="s">
        <v>577</v>
      </c>
      <c r="J362" s="23" t="s">
        <v>1628</v>
      </c>
      <c r="K362" s="23" t="s">
        <v>589</v>
      </c>
      <c r="L362" s="23" t="s">
        <v>590</v>
      </c>
      <c r="M362" s="23"/>
      <c r="N362" s="23"/>
      <c r="O362" s="23"/>
      <c r="P362" s="23"/>
      <c r="Q362" s="23"/>
      <c r="R362" s="23"/>
      <c r="S362" s="23"/>
      <c r="T362" s="23"/>
      <c r="U362" s="23"/>
      <c r="V362" s="23"/>
      <c r="W362" s="23"/>
      <c r="X362" s="4"/>
    </row>
    <row r="363" spans="1:24" ht="51" x14ac:dyDescent="0.25">
      <c r="A363" s="21" t="s">
        <v>1629</v>
      </c>
      <c r="B363" s="21" t="str">
        <f t="shared" si="6"/>
        <v>84609019</v>
      </c>
      <c r="C363" s="21" t="str">
        <f>Tabela5[[#This Row],[Cod. Ncm]]&amp;"-"&amp;Tabela5[[#This Row],[Operações]]</f>
        <v>84609019-Internas e interestaduais</v>
      </c>
      <c r="D363" s="22" t="s">
        <v>586</v>
      </c>
      <c r="E363" s="22" t="s">
        <v>587</v>
      </c>
      <c r="F363" s="22">
        <v>8.8000000000000007</v>
      </c>
      <c r="G363" s="22" t="s">
        <v>1630</v>
      </c>
      <c r="H363" s="22" t="s">
        <v>588</v>
      </c>
      <c r="I363" s="23" t="s">
        <v>577</v>
      </c>
      <c r="J363" s="23" t="s">
        <v>1631</v>
      </c>
      <c r="K363" s="23" t="s">
        <v>589</v>
      </c>
      <c r="L363" s="23" t="s">
        <v>590</v>
      </c>
      <c r="M363" s="23"/>
      <c r="N363" s="23"/>
      <c r="O363" s="23"/>
      <c r="P363" s="23"/>
      <c r="Q363" s="23"/>
      <c r="R363" s="23"/>
      <c r="S363" s="23"/>
      <c r="T363" s="23"/>
      <c r="U363" s="23"/>
      <c r="V363" s="23"/>
      <c r="W363" s="23"/>
      <c r="X363" s="4"/>
    </row>
    <row r="364" spans="1:24" ht="38.25" x14ac:dyDescent="0.25">
      <c r="A364" s="21" t="s">
        <v>1632</v>
      </c>
      <c r="B364" s="21" t="str">
        <f t="shared" si="6"/>
        <v>84609090</v>
      </c>
      <c r="C364" s="21" t="str">
        <f>Tabela5[[#This Row],[Cod. Ncm]]&amp;"-"&amp;Tabela5[[#This Row],[Operações]]</f>
        <v>84609090-Internas e interestaduais</v>
      </c>
      <c r="D364" s="22" t="s">
        <v>586</v>
      </c>
      <c r="E364" s="22" t="s">
        <v>587</v>
      </c>
      <c r="F364" s="22">
        <v>8.8000000000000007</v>
      </c>
      <c r="G364" s="22" t="s">
        <v>1633</v>
      </c>
      <c r="H364" s="22" t="s">
        <v>588</v>
      </c>
      <c r="I364" s="23" t="s">
        <v>577</v>
      </c>
      <c r="J364" s="23" t="s">
        <v>1634</v>
      </c>
      <c r="K364" s="23" t="s">
        <v>589</v>
      </c>
      <c r="L364" s="23" t="s">
        <v>590</v>
      </c>
      <c r="M364" s="23"/>
      <c r="N364" s="23"/>
      <c r="O364" s="23"/>
      <c r="P364" s="23"/>
      <c r="Q364" s="23"/>
      <c r="R364" s="23"/>
      <c r="S364" s="23"/>
      <c r="T364" s="23"/>
      <c r="U364" s="23"/>
      <c r="V364" s="23"/>
      <c r="W364" s="23"/>
      <c r="X364" s="4"/>
    </row>
    <row r="365" spans="1:24" ht="26.25" x14ac:dyDescent="0.25">
      <c r="A365" s="21" t="s">
        <v>1635</v>
      </c>
      <c r="B365" s="21" t="str">
        <f t="shared" si="6"/>
        <v>84612010</v>
      </c>
      <c r="C365" s="21" t="str">
        <f>Tabela5[[#This Row],[Cod. Ncm]]&amp;"-"&amp;Tabela5[[#This Row],[Operações]]</f>
        <v>84612010-Internas e interestaduais</v>
      </c>
      <c r="D365" s="22" t="s">
        <v>586</v>
      </c>
      <c r="E365" s="22" t="s">
        <v>587</v>
      </c>
      <c r="F365" s="22">
        <v>8.8000000000000007</v>
      </c>
      <c r="G365" s="22" t="s">
        <v>1636</v>
      </c>
      <c r="H365" s="22" t="s">
        <v>588</v>
      </c>
      <c r="I365" s="23" t="s">
        <v>577</v>
      </c>
      <c r="J365" s="23" t="s">
        <v>1637</v>
      </c>
      <c r="K365" s="23" t="s">
        <v>589</v>
      </c>
      <c r="L365" s="23" t="s">
        <v>590</v>
      </c>
      <c r="M365" s="23"/>
      <c r="N365" s="23"/>
      <c r="O365" s="23"/>
      <c r="P365" s="23"/>
      <c r="Q365" s="23"/>
      <c r="R365" s="23"/>
      <c r="S365" s="23"/>
      <c r="T365" s="23"/>
      <c r="U365" s="23"/>
      <c r="V365" s="23"/>
      <c r="W365" s="23"/>
      <c r="X365" s="4"/>
    </row>
    <row r="366" spans="1:24" ht="26.25" x14ac:dyDescent="0.25">
      <c r="A366" s="21" t="s">
        <v>1638</v>
      </c>
      <c r="B366" s="21" t="str">
        <f t="shared" si="6"/>
        <v>84612090</v>
      </c>
      <c r="C366" s="21" t="str">
        <f>Tabela5[[#This Row],[Cod. Ncm]]&amp;"-"&amp;Tabela5[[#This Row],[Operações]]</f>
        <v>84612090-Internas e interestaduais</v>
      </c>
      <c r="D366" s="22" t="s">
        <v>586</v>
      </c>
      <c r="E366" s="22" t="s">
        <v>587</v>
      </c>
      <c r="F366" s="22">
        <v>8.8000000000000007</v>
      </c>
      <c r="G366" s="22" t="s">
        <v>1639</v>
      </c>
      <c r="H366" s="22" t="s">
        <v>588</v>
      </c>
      <c r="I366" s="23" t="s">
        <v>577</v>
      </c>
      <c r="J366" s="23" t="s">
        <v>1640</v>
      </c>
      <c r="K366" s="23" t="s">
        <v>589</v>
      </c>
      <c r="L366" s="23" t="s">
        <v>590</v>
      </c>
      <c r="M366" s="23"/>
      <c r="N366" s="23"/>
      <c r="O366" s="23"/>
      <c r="P366" s="23"/>
      <c r="Q366" s="23"/>
      <c r="R366" s="23"/>
      <c r="S366" s="23"/>
      <c r="T366" s="23"/>
      <c r="U366" s="23"/>
      <c r="V366" s="23"/>
      <c r="W366" s="23"/>
      <c r="X366" s="4"/>
    </row>
    <row r="367" spans="1:24" ht="26.25" x14ac:dyDescent="0.25">
      <c r="A367" s="21" t="s">
        <v>1641</v>
      </c>
      <c r="B367" s="21" t="str">
        <f t="shared" si="6"/>
        <v>84613010</v>
      </c>
      <c r="C367" s="21" t="str">
        <f>Tabela5[[#This Row],[Cod. Ncm]]&amp;"-"&amp;Tabela5[[#This Row],[Operações]]</f>
        <v>84613010-Internas e interestaduais</v>
      </c>
      <c r="D367" s="22" t="s">
        <v>586</v>
      </c>
      <c r="E367" s="22" t="s">
        <v>587</v>
      </c>
      <c r="F367" s="22">
        <v>8.8000000000000007</v>
      </c>
      <c r="G367" s="22" t="s">
        <v>1642</v>
      </c>
      <c r="H367" s="22" t="s">
        <v>588</v>
      </c>
      <c r="I367" s="23" t="s">
        <v>577</v>
      </c>
      <c r="J367" s="23" t="s">
        <v>1643</v>
      </c>
      <c r="K367" s="23" t="s">
        <v>589</v>
      </c>
      <c r="L367" s="23" t="s">
        <v>590</v>
      </c>
      <c r="M367" s="23"/>
      <c r="N367" s="23"/>
      <c r="O367" s="23"/>
      <c r="P367" s="23"/>
      <c r="Q367" s="23"/>
      <c r="R367" s="23"/>
      <c r="S367" s="23"/>
      <c r="T367" s="23"/>
      <c r="U367" s="23"/>
      <c r="V367" s="23"/>
      <c r="W367" s="23"/>
      <c r="X367" s="4"/>
    </row>
    <row r="368" spans="1:24" ht="26.25" x14ac:dyDescent="0.25">
      <c r="A368" s="21" t="s">
        <v>1644</v>
      </c>
      <c r="B368" s="21" t="str">
        <f t="shared" si="6"/>
        <v>84613090</v>
      </c>
      <c r="C368" s="21" t="str">
        <f>Tabela5[[#This Row],[Cod. Ncm]]&amp;"-"&amp;Tabela5[[#This Row],[Operações]]</f>
        <v>84613090-Internas e interestaduais</v>
      </c>
      <c r="D368" s="22" t="s">
        <v>586</v>
      </c>
      <c r="E368" s="22" t="s">
        <v>587</v>
      </c>
      <c r="F368" s="22">
        <v>8.8000000000000007</v>
      </c>
      <c r="G368" s="22" t="s">
        <v>1645</v>
      </c>
      <c r="H368" s="22" t="s">
        <v>588</v>
      </c>
      <c r="I368" s="23" t="s">
        <v>577</v>
      </c>
      <c r="J368" s="23" t="s">
        <v>1646</v>
      </c>
      <c r="K368" s="23" t="s">
        <v>589</v>
      </c>
      <c r="L368" s="23" t="s">
        <v>590</v>
      </c>
      <c r="M368" s="23"/>
      <c r="N368" s="23"/>
      <c r="O368" s="23"/>
      <c r="P368" s="23"/>
      <c r="Q368" s="23"/>
      <c r="R368" s="23"/>
      <c r="S368" s="23"/>
      <c r="T368" s="23"/>
      <c r="U368" s="23"/>
      <c r="V368" s="23"/>
      <c r="W368" s="23"/>
      <c r="X368" s="4"/>
    </row>
    <row r="369" spans="1:24" ht="26.25" x14ac:dyDescent="0.25">
      <c r="A369" s="21" t="s">
        <v>1647</v>
      </c>
      <c r="B369" s="21" t="str">
        <f t="shared" si="6"/>
        <v>84614010</v>
      </c>
      <c r="C369" s="21" t="str">
        <f>Tabela5[[#This Row],[Cod. Ncm]]&amp;"-"&amp;Tabela5[[#This Row],[Operações]]</f>
        <v>84614010-Internas e interestaduais</v>
      </c>
      <c r="D369" s="22" t="s">
        <v>586</v>
      </c>
      <c r="E369" s="22" t="s">
        <v>587</v>
      </c>
      <c r="F369" s="22">
        <v>8.8000000000000007</v>
      </c>
      <c r="G369" s="22" t="s">
        <v>1648</v>
      </c>
      <c r="H369" s="22" t="s">
        <v>588</v>
      </c>
      <c r="I369" s="23" t="s">
        <v>577</v>
      </c>
      <c r="J369" s="23" t="s">
        <v>1649</v>
      </c>
      <c r="K369" s="23" t="s">
        <v>589</v>
      </c>
      <c r="L369" s="23" t="s">
        <v>590</v>
      </c>
      <c r="M369" s="23"/>
      <c r="N369" s="23"/>
      <c r="O369" s="23"/>
      <c r="P369" s="23"/>
      <c r="Q369" s="23"/>
      <c r="R369" s="23"/>
      <c r="S369" s="23"/>
      <c r="T369" s="23"/>
      <c r="U369" s="23"/>
      <c r="V369" s="23"/>
      <c r="W369" s="23"/>
      <c r="X369" s="4"/>
    </row>
    <row r="370" spans="1:24" ht="26.25" x14ac:dyDescent="0.25">
      <c r="A370" s="21" t="s">
        <v>1650</v>
      </c>
      <c r="B370" s="21" t="str">
        <f t="shared" si="6"/>
        <v>84614091</v>
      </c>
      <c r="C370" s="21" t="str">
        <f>Tabela5[[#This Row],[Cod. Ncm]]&amp;"-"&amp;Tabela5[[#This Row],[Operações]]</f>
        <v>84614091-Internas e interestaduais</v>
      </c>
      <c r="D370" s="22" t="s">
        <v>586</v>
      </c>
      <c r="E370" s="22" t="s">
        <v>587</v>
      </c>
      <c r="F370" s="22">
        <v>8.8000000000000007</v>
      </c>
      <c r="G370" s="22" t="s">
        <v>1651</v>
      </c>
      <c r="H370" s="22" t="s">
        <v>588</v>
      </c>
      <c r="I370" s="23" t="s">
        <v>577</v>
      </c>
      <c r="J370" s="23" t="s">
        <v>1652</v>
      </c>
      <c r="K370" s="23" t="s">
        <v>589</v>
      </c>
      <c r="L370" s="23" t="s">
        <v>590</v>
      </c>
      <c r="M370" s="23"/>
      <c r="N370" s="23"/>
      <c r="O370" s="23"/>
      <c r="P370" s="23"/>
      <c r="Q370" s="23"/>
      <c r="R370" s="23"/>
      <c r="S370" s="23"/>
      <c r="T370" s="23"/>
      <c r="U370" s="23"/>
      <c r="V370" s="23"/>
      <c r="W370" s="23"/>
      <c r="X370" s="4"/>
    </row>
    <row r="371" spans="1:24" ht="26.25" x14ac:dyDescent="0.25">
      <c r="A371" s="21" t="s">
        <v>1653</v>
      </c>
      <c r="B371" s="21" t="str">
        <f t="shared" si="6"/>
        <v>84614099</v>
      </c>
      <c r="C371" s="21" t="str">
        <f>Tabela5[[#This Row],[Cod. Ncm]]&amp;"-"&amp;Tabela5[[#This Row],[Operações]]</f>
        <v>84614099-Internas e interestaduais</v>
      </c>
      <c r="D371" s="22" t="s">
        <v>586</v>
      </c>
      <c r="E371" s="22" t="s">
        <v>587</v>
      </c>
      <c r="F371" s="22">
        <v>8.8000000000000007</v>
      </c>
      <c r="G371" s="22" t="s">
        <v>1654</v>
      </c>
      <c r="H371" s="22" t="s">
        <v>588</v>
      </c>
      <c r="I371" s="23" t="s">
        <v>577</v>
      </c>
      <c r="J371" s="23" t="s">
        <v>1655</v>
      </c>
      <c r="K371" s="23" t="s">
        <v>589</v>
      </c>
      <c r="L371" s="23" t="s">
        <v>590</v>
      </c>
      <c r="M371" s="23"/>
      <c r="N371" s="23"/>
      <c r="O371" s="23"/>
      <c r="P371" s="23"/>
      <c r="Q371" s="23"/>
      <c r="R371" s="23"/>
      <c r="S371" s="23"/>
      <c r="T371" s="23"/>
      <c r="U371" s="23"/>
      <c r="V371" s="23"/>
      <c r="W371" s="23"/>
      <c r="X371" s="4"/>
    </row>
    <row r="372" spans="1:24" ht="26.25" x14ac:dyDescent="0.25">
      <c r="A372" s="21" t="s">
        <v>1656</v>
      </c>
      <c r="B372" s="21" t="str">
        <f t="shared" si="6"/>
        <v>84615010</v>
      </c>
      <c r="C372" s="21" t="str">
        <f>Tabela5[[#This Row],[Cod. Ncm]]&amp;"-"&amp;Tabela5[[#This Row],[Operações]]</f>
        <v>84615010-Internas e interestaduais</v>
      </c>
      <c r="D372" s="22" t="s">
        <v>586</v>
      </c>
      <c r="E372" s="22" t="s">
        <v>587</v>
      </c>
      <c r="F372" s="22">
        <v>8.8000000000000007</v>
      </c>
      <c r="G372" s="22" t="s">
        <v>1657</v>
      </c>
      <c r="H372" s="22" t="s">
        <v>588</v>
      </c>
      <c r="I372" s="23" t="s">
        <v>577</v>
      </c>
      <c r="J372" s="23" t="s">
        <v>1658</v>
      </c>
      <c r="K372" s="23" t="s">
        <v>589</v>
      </c>
      <c r="L372" s="23" t="s">
        <v>590</v>
      </c>
      <c r="M372" s="23"/>
      <c r="N372" s="23"/>
      <c r="O372" s="23"/>
      <c r="P372" s="23"/>
      <c r="Q372" s="23"/>
      <c r="R372" s="23"/>
      <c r="S372" s="23"/>
      <c r="T372" s="23"/>
      <c r="U372" s="23"/>
      <c r="V372" s="23"/>
      <c r="W372" s="23"/>
      <c r="X372" s="4"/>
    </row>
    <row r="373" spans="1:24" ht="26.25" x14ac:dyDescent="0.25">
      <c r="A373" s="21" t="s">
        <v>1659</v>
      </c>
      <c r="B373" s="21" t="str">
        <f t="shared" si="6"/>
        <v>84615020</v>
      </c>
      <c r="C373" s="21" t="str">
        <f>Tabela5[[#This Row],[Cod. Ncm]]&amp;"-"&amp;Tabela5[[#This Row],[Operações]]</f>
        <v>84615020-Internas e interestaduais</v>
      </c>
      <c r="D373" s="22" t="s">
        <v>586</v>
      </c>
      <c r="E373" s="22" t="s">
        <v>587</v>
      </c>
      <c r="F373" s="22">
        <v>8.8000000000000007</v>
      </c>
      <c r="G373" s="22" t="s">
        <v>1660</v>
      </c>
      <c r="H373" s="22" t="s">
        <v>588</v>
      </c>
      <c r="I373" s="23" t="s">
        <v>577</v>
      </c>
      <c r="J373" s="23" t="s">
        <v>1661</v>
      </c>
      <c r="K373" s="23" t="s">
        <v>589</v>
      </c>
      <c r="L373" s="23" t="s">
        <v>590</v>
      </c>
      <c r="M373" s="23"/>
      <c r="N373" s="23"/>
      <c r="O373" s="23"/>
      <c r="P373" s="23"/>
      <c r="Q373" s="23"/>
      <c r="R373" s="23"/>
      <c r="S373" s="23"/>
      <c r="T373" s="23"/>
      <c r="U373" s="23"/>
      <c r="V373" s="23"/>
      <c r="W373" s="23"/>
      <c r="X373" s="4"/>
    </row>
    <row r="374" spans="1:24" ht="26.25" x14ac:dyDescent="0.25">
      <c r="A374" s="21" t="s">
        <v>1662</v>
      </c>
      <c r="B374" s="21" t="str">
        <f t="shared" si="6"/>
        <v>84615090</v>
      </c>
      <c r="C374" s="21" t="str">
        <f>Tabela5[[#This Row],[Cod. Ncm]]&amp;"-"&amp;Tabela5[[#This Row],[Operações]]</f>
        <v>84615090-Internas e interestaduais</v>
      </c>
      <c r="D374" s="22" t="s">
        <v>586</v>
      </c>
      <c r="E374" s="22" t="s">
        <v>587</v>
      </c>
      <c r="F374" s="22">
        <v>8.8000000000000007</v>
      </c>
      <c r="G374" s="22" t="s">
        <v>1663</v>
      </c>
      <c r="H374" s="22" t="s">
        <v>588</v>
      </c>
      <c r="I374" s="23" t="s">
        <v>577</v>
      </c>
      <c r="J374" s="23" t="s">
        <v>1664</v>
      </c>
      <c r="K374" s="23" t="s">
        <v>589</v>
      </c>
      <c r="L374" s="23" t="s">
        <v>590</v>
      </c>
      <c r="M374" s="23"/>
      <c r="N374" s="23"/>
      <c r="O374" s="23"/>
      <c r="P374" s="23"/>
      <c r="Q374" s="23"/>
      <c r="R374" s="23"/>
      <c r="S374" s="23"/>
      <c r="T374" s="23"/>
      <c r="U374" s="23"/>
      <c r="V374" s="23"/>
      <c r="W374" s="23"/>
      <c r="X374" s="4"/>
    </row>
    <row r="375" spans="1:24" ht="26.25" x14ac:dyDescent="0.25">
      <c r="A375" s="21" t="s">
        <v>1665</v>
      </c>
      <c r="B375" s="21" t="str">
        <f t="shared" si="6"/>
        <v>84619010</v>
      </c>
      <c r="C375" s="21" t="str">
        <f>Tabela5[[#This Row],[Cod. Ncm]]&amp;"-"&amp;Tabela5[[#This Row],[Operações]]</f>
        <v>84619010-Internas e interestaduais</v>
      </c>
      <c r="D375" s="22" t="s">
        <v>586</v>
      </c>
      <c r="E375" s="22" t="s">
        <v>587</v>
      </c>
      <c r="F375" s="22">
        <v>8.8000000000000007</v>
      </c>
      <c r="G375" s="22" t="s">
        <v>1666</v>
      </c>
      <c r="H375" s="22" t="s">
        <v>588</v>
      </c>
      <c r="I375" s="23" t="s">
        <v>577</v>
      </c>
      <c r="J375" s="23" t="s">
        <v>1667</v>
      </c>
      <c r="K375" s="23" t="s">
        <v>589</v>
      </c>
      <c r="L375" s="23" t="s">
        <v>590</v>
      </c>
      <c r="M375" s="23"/>
      <c r="N375" s="23"/>
      <c r="O375" s="23"/>
      <c r="P375" s="23"/>
      <c r="Q375" s="23"/>
      <c r="R375" s="23"/>
      <c r="S375" s="23"/>
      <c r="T375" s="23"/>
      <c r="U375" s="23"/>
      <c r="V375" s="23"/>
      <c r="W375" s="23"/>
      <c r="X375" s="4"/>
    </row>
    <row r="376" spans="1:24" ht="26.25" x14ac:dyDescent="0.25">
      <c r="A376" s="21" t="s">
        <v>1668</v>
      </c>
      <c r="B376" s="21" t="str">
        <f t="shared" si="6"/>
        <v>84619090</v>
      </c>
      <c r="C376" s="21" t="str">
        <f>Tabela5[[#This Row],[Cod. Ncm]]&amp;"-"&amp;Tabela5[[#This Row],[Operações]]</f>
        <v>84619090-Internas e interestaduais</v>
      </c>
      <c r="D376" s="22" t="s">
        <v>586</v>
      </c>
      <c r="E376" s="22" t="s">
        <v>587</v>
      </c>
      <c r="F376" s="22">
        <v>8.8000000000000007</v>
      </c>
      <c r="G376" s="22" t="s">
        <v>1669</v>
      </c>
      <c r="H376" s="22" t="s">
        <v>588</v>
      </c>
      <c r="I376" s="23" t="s">
        <v>577</v>
      </c>
      <c r="J376" s="23" t="s">
        <v>1670</v>
      </c>
      <c r="K376" s="23" t="s">
        <v>589</v>
      </c>
      <c r="L376" s="23" t="s">
        <v>590</v>
      </c>
      <c r="M376" s="23"/>
      <c r="N376" s="23"/>
      <c r="O376" s="23"/>
      <c r="P376" s="23"/>
      <c r="Q376" s="23"/>
      <c r="R376" s="23"/>
      <c r="S376" s="23"/>
      <c r="T376" s="23"/>
      <c r="U376" s="23"/>
      <c r="V376" s="23"/>
      <c r="W376" s="23"/>
      <c r="X376" s="4"/>
    </row>
    <row r="377" spans="1:24" ht="26.25" x14ac:dyDescent="0.25">
      <c r="A377" s="21" t="s">
        <v>1671</v>
      </c>
      <c r="B377" s="21" t="str">
        <f t="shared" si="6"/>
        <v>84621011</v>
      </c>
      <c r="C377" s="21" t="str">
        <f>Tabela5[[#This Row],[Cod. Ncm]]&amp;"-"&amp;Tabela5[[#This Row],[Operações]]</f>
        <v>84621011-Internas e interestaduais</v>
      </c>
      <c r="D377" s="22" t="s">
        <v>586</v>
      </c>
      <c r="E377" s="22" t="s">
        <v>587</v>
      </c>
      <c r="F377" s="22">
        <v>8.8000000000000007</v>
      </c>
      <c r="G377" s="22" t="s">
        <v>1672</v>
      </c>
      <c r="H377" s="22" t="s">
        <v>588</v>
      </c>
      <c r="I377" s="23" t="s">
        <v>577</v>
      </c>
      <c r="J377" s="23" t="s">
        <v>1673</v>
      </c>
      <c r="K377" s="23" t="s">
        <v>589</v>
      </c>
      <c r="L377" s="23" t="s">
        <v>590</v>
      </c>
      <c r="M377" s="23"/>
      <c r="N377" s="23"/>
      <c r="O377" s="23"/>
      <c r="P377" s="23"/>
      <c r="Q377" s="23"/>
      <c r="R377" s="23"/>
      <c r="S377" s="23"/>
      <c r="T377" s="23"/>
      <c r="U377" s="23"/>
      <c r="V377" s="23"/>
      <c r="W377" s="23"/>
      <c r="X377" s="4"/>
    </row>
    <row r="378" spans="1:24" ht="38.25" x14ac:dyDescent="0.25">
      <c r="A378" s="21" t="s">
        <v>1674</v>
      </c>
      <c r="B378" s="21" t="str">
        <f t="shared" si="6"/>
        <v>84621019</v>
      </c>
      <c r="C378" s="21" t="str">
        <f>Tabela5[[#This Row],[Cod. Ncm]]&amp;"-"&amp;Tabela5[[#This Row],[Operações]]</f>
        <v>84621019-Internas e interestaduais</v>
      </c>
      <c r="D378" s="22" t="s">
        <v>586</v>
      </c>
      <c r="E378" s="22" t="s">
        <v>587</v>
      </c>
      <c r="F378" s="22">
        <v>8.8000000000000007</v>
      </c>
      <c r="G378" s="22" t="s">
        <v>1675</v>
      </c>
      <c r="H378" s="22" t="s">
        <v>588</v>
      </c>
      <c r="I378" s="23" t="s">
        <v>577</v>
      </c>
      <c r="J378" s="23" t="s">
        <v>1676</v>
      </c>
      <c r="K378" s="23" t="s">
        <v>589</v>
      </c>
      <c r="L378" s="23" t="s">
        <v>590</v>
      </c>
      <c r="M378" s="23"/>
      <c r="N378" s="23"/>
      <c r="O378" s="23"/>
      <c r="P378" s="23"/>
      <c r="Q378" s="23"/>
      <c r="R378" s="23"/>
      <c r="S378" s="23"/>
      <c r="T378" s="23"/>
      <c r="U378" s="23"/>
      <c r="V378" s="23"/>
      <c r="W378" s="23"/>
      <c r="X378" s="4"/>
    </row>
    <row r="379" spans="1:24" ht="38.25" x14ac:dyDescent="0.25">
      <c r="A379" s="21" t="s">
        <v>1677</v>
      </c>
      <c r="B379" s="21" t="str">
        <f t="shared" si="6"/>
        <v>84621090</v>
      </c>
      <c r="C379" s="21" t="str">
        <f>Tabela5[[#This Row],[Cod. Ncm]]&amp;"-"&amp;Tabela5[[#This Row],[Operações]]</f>
        <v>84621090-Internas e interestaduais</v>
      </c>
      <c r="D379" s="22" t="s">
        <v>586</v>
      </c>
      <c r="E379" s="22" t="s">
        <v>587</v>
      </c>
      <c r="F379" s="22">
        <v>8.8000000000000007</v>
      </c>
      <c r="G379" s="22" t="s">
        <v>1678</v>
      </c>
      <c r="H379" s="22" t="s">
        <v>588</v>
      </c>
      <c r="I379" s="23" t="s">
        <v>577</v>
      </c>
      <c r="J379" s="23" t="s">
        <v>1679</v>
      </c>
      <c r="K379" s="23" t="s">
        <v>589</v>
      </c>
      <c r="L379" s="23" t="s">
        <v>590</v>
      </c>
      <c r="M379" s="23"/>
      <c r="N379" s="23"/>
      <c r="O379" s="23"/>
      <c r="P379" s="23"/>
      <c r="Q379" s="23"/>
      <c r="R379" s="23"/>
      <c r="S379" s="23"/>
      <c r="T379" s="23"/>
      <c r="U379" s="23"/>
      <c r="V379" s="23"/>
      <c r="W379" s="23"/>
      <c r="X379" s="4"/>
    </row>
    <row r="380" spans="1:24" ht="38.25" x14ac:dyDescent="0.25">
      <c r="A380" s="21" t="s">
        <v>1680</v>
      </c>
      <c r="B380" s="21" t="str">
        <f t="shared" si="6"/>
        <v>84622100</v>
      </c>
      <c r="C380" s="21" t="str">
        <f>Tabela5[[#This Row],[Cod. Ncm]]&amp;"-"&amp;Tabela5[[#This Row],[Operações]]</f>
        <v>84622100-Internas e interestaduais</v>
      </c>
      <c r="D380" s="22" t="s">
        <v>586</v>
      </c>
      <c r="E380" s="22" t="s">
        <v>587</v>
      </c>
      <c r="F380" s="22">
        <v>8.8000000000000007</v>
      </c>
      <c r="G380" s="22" t="s">
        <v>1681</v>
      </c>
      <c r="H380" s="22" t="s">
        <v>588</v>
      </c>
      <c r="I380" s="23" t="s">
        <v>577</v>
      </c>
      <c r="J380" s="23" t="s">
        <v>1682</v>
      </c>
      <c r="K380" s="23" t="s">
        <v>589</v>
      </c>
      <c r="L380" s="23" t="s">
        <v>590</v>
      </c>
      <c r="M380" s="23"/>
      <c r="N380" s="23"/>
      <c r="O380" s="23"/>
      <c r="P380" s="23"/>
      <c r="Q380" s="23"/>
      <c r="R380" s="23"/>
      <c r="S380" s="23"/>
      <c r="T380" s="23"/>
      <c r="U380" s="23"/>
      <c r="V380" s="23"/>
      <c r="W380" s="23"/>
      <c r="X380" s="4"/>
    </row>
    <row r="381" spans="1:24" ht="26.25" x14ac:dyDescent="0.25">
      <c r="A381" s="21" t="s">
        <v>1683</v>
      </c>
      <c r="B381" s="21" t="str">
        <f t="shared" si="6"/>
        <v>84622900</v>
      </c>
      <c r="C381" s="21" t="str">
        <f>Tabela5[[#This Row],[Cod. Ncm]]&amp;"-"&amp;Tabela5[[#This Row],[Operações]]</f>
        <v>84622900-Internas e interestaduais</v>
      </c>
      <c r="D381" s="22" t="s">
        <v>586</v>
      </c>
      <c r="E381" s="22" t="s">
        <v>587</v>
      </c>
      <c r="F381" s="22">
        <v>8.8000000000000007</v>
      </c>
      <c r="G381" s="22" t="s">
        <v>1684</v>
      </c>
      <c r="H381" s="22" t="s">
        <v>588</v>
      </c>
      <c r="I381" s="23" t="s">
        <v>577</v>
      </c>
      <c r="J381" s="23" t="s">
        <v>1685</v>
      </c>
      <c r="K381" s="23" t="s">
        <v>589</v>
      </c>
      <c r="L381" s="23" t="s">
        <v>590</v>
      </c>
      <c r="M381" s="23"/>
      <c r="N381" s="23"/>
      <c r="O381" s="23"/>
      <c r="P381" s="23"/>
      <c r="Q381" s="23"/>
      <c r="R381" s="23"/>
      <c r="S381" s="23"/>
      <c r="T381" s="23"/>
      <c r="U381" s="23"/>
      <c r="V381" s="23"/>
      <c r="W381" s="23"/>
      <c r="X381" s="4"/>
    </row>
    <row r="382" spans="1:24" ht="38.25" x14ac:dyDescent="0.25">
      <c r="A382" s="21" t="s">
        <v>1686</v>
      </c>
      <c r="B382" s="21" t="str">
        <f t="shared" si="6"/>
        <v>84623100</v>
      </c>
      <c r="C382" s="21" t="str">
        <f>Tabela5[[#This Row],[Cod. Ncm]]&amp;"-"&amp;Tabela5[[#This Row],[Operações]]</f>
        <v>84623100-Internas e interestaduais</v>
      </c>
      <c r="D382" s="22" t="s">
        <v>586</v>
      </c>
      <c r="E382" s="22" t="s">
        <v>587</v>
      </c>
      <c r="F382" s="22">
        <v>8.8000000000000007</v>
      </c>
      <c r="G382" s="22" t="s">
        <v>1687</v>
      </c>
      <c r="H382" s="22" t="s">
        <v>588</v>
      </c>
      <c r="I382" s="23" t="s">
        <v>577</v>
      </c>
      <c r="J382" s="23" t="s">
        <v>1688</v>
      </c>
      <c r="K382" s="23" t="s">
        <v>589</v>
      </c>
      <c r="L382" s="23" t="s">
        <v>590</v>
      </c>
      <c r="M382" s="23"/>
      <c r="N382" s="23"/>
      <c r="O382" s="23"/>
      <c r="P382" s="23"/>
      <c r="Q382" s="23"/>
      <c r="R382" s="23"/>
      <c r="S382" s="23"/>
      <c r="T382" s="23"/>
      <c r="U382" s="23"/>
      <c r="V382" s="23"/>
      <c r="W382" s="23"/>
      <c r="X382" s="4"/>
    </row>
    <row r="383" spans="1:24" ht="38.25" x14ac:dyDescent="0.25">
      <c r="A383" s="21" t="s">
        <v>1689</v>
      </c>
      <c r="B383" s="21" t="str">
        <f t="shared" si="6"/>
        <v>84623910</v>
      </c>
      <c r="C383" s="21" t="str">
        <f>Tabela5[[#This Row],[Cod. Ncm]]&amp;"-"&amp;Tabela5[[#This Row],[Operações]]</f>
        <v>84623910-Internas e interestaduais</v>
      </c>
      <c r="D383" s="22" t="s">
        <v>586</v>
      </c>
      <c r="E383" s="22" t="s">
        <v>587</v>
      </c>
      <c r="F383" s="22">
        <v>8.8000000000000007</v>
      </c>
      <c r="G383" s="22" t="s">
        <v>1690</v>
      </c>
      <c r="H383" s="22" t="s">
        <v>588</v>
      </c>
      <c r="I383" s="23" t="s">
        <v>577</v>
      </c>
      <c r="J383" s="23" t="s">
        <v>1691</v>
      </c>
      <c r="K383" s="23" t="s">
        <v>589</v>
      </c>
      <c r="L383" s="23" t="s">
        <v>590</v>
      </c>
      <c r="M383" s="23"/>
      <c r="N383" s="23"/>
      <c r="O383" s="23"/>
      <c r="P383" s="23"/>
      <c r="Q383" s="23"/>
      <c r="R383" s="23"/>
      <c r="S383" s="23"/>
      <c r="T383" s="23"/>
      <c r="U383" s="23"/>
      <c r="V383" s="23"/>
      <c r="W383" s="23"/>
      <c r="X383" s="4"/>
    </row>
    <row r="384" spans="1:24" ht="38.25" x14ac:dyDescent="0.25">
      <c r="A384" s="21" t="s">
        <v>1692</v>
      </c>
      <c r="B384" s="21" t="str">
        <f t="shared" si="6"/>
        <v>84623990</v>
      </c>
      <c r="C384" s="21" t="str">
        <f>Tabela5[[#This Row],[Cod. Ncm]]&amp;"-"&amp;Tabela5[[#This Row],[Operações]]</f>
        <v>84623990-Internas e interestaduais</v>
      </c>
      <c r="D384" s="22" t="s">
        <v>586</v>
      </c>
      <c r="E384" s="22" t="s">
        <v>587</v>
      </c>
      <c r="F384" s="22">
        <v>8.8000000000000007</v>
      </c>
      <c r="G384" s="22" t="s">
        <v>1693</v>
      </c>
      <c r="H384" s="22" t="s">
        <v>588</v>
      </c>
      <c r="I384" s="23" t="s">
        <v>577</v>
      </c>
      <c r="J384" s="23" t="s">
        <v>1694</v>
      </c>
      <c r="K384" s="23" t="s">
        <v>589</v>
      </c>
      <c r="L384" s="23" t="s">
        <v>590</v>
      </c>
      <c r="M384" s="23"/>
      <c r="N384" s="23"/>
      <c r="O384" s="23"/>
      <c r="P384" s="23"/>
      <c r="Q384" s="23"/>
      <c r="R384" s="23"/>
      <c r="S384" s="23"/>
      <c r="T384" s="23"/>
      <c r="U384" s="23"/>
      <c r="V384" s="23"/>
      <c r="W384" s="23"/>
      <c r="X384" s="4"/>
    </row>
    <row r="385" spans="1:24" ht="38.25" x14ac:dyDescent="0.25">
      <c r="A385" s="21" t="s">
        <v>1695</v>
      </c>
      <c r="B385" s="21" t="str">
        <f t="shared" si="6"/>
        <v>84624100</v>
      </c>
      <c r="C385" s="21" t="str">
        <f>Tabela5[[#This Row],[Cod. Ncm]]&amp;"-"&amp;Tabela5[[#This Row],[Operações]]</f>
        <v>84624100-Internas e interestaduais</v>
      </c>
      <c r="D385" s="22" t="s">
        <v>586</v>
      </c>
      <c r="E385" s="22" t="s">
        <v>587</v>
      </c>
      <c r="F385" s="22">
        <v>8.8000000000000007</v>
      </c>
      <c r="G385" s="22" t="s">
        <v>1696</v>
      </c>
      <c r="H385" s="22" t="s">
        <v>588</v>
      </c>
      <c r="I385" s="23" t="s">
        <v>577</v>
      </c>
      <c r="J385" s="23" t="s">
        <v>1697</v>
      </c>
      <c r="K385" s="23" t="s">
        <v>589</v>
      </c>
      <c r="L385" s="23" t="s">
        <v>590</v>
      </c>
      <c r="M385" s="23"/>
      <c r="N385" s="23"/>
      <c r="O385" s="23"/>
      <c r="P385" s="23"/>
      <c r="Q385" s="23"/>
      <c r="R385" s="23"/>
      <c r="S385" s="23"/>
      <c r="T385" s="23"/>
      <c r="U385" s="23"/>
      <c r="V385" s="23"/>
      <c r="W385" s="23"/>
      <c r="X385" s="4"/>
    </row>
    <row r="386" spans="1:24" ht="38.25" x14ac:dyDescent="0.25">
      <c r="A386" s="21" t="s">
        <v>1698</v>
      </c>
      <c r="B386" s="21" t="str">
        <f t="shared" si="6"/>
        <v>84624900</v>
      </c>
      <c r="C386" s="21" t="str">
        <f>Tabela5[[#This Row],[Cod. Ncm]]&amp;"-"&amp;Tabela5[[#This Row],[Operações]]</f>
        <v>84624900-Internas e interestaduais</v>
      </c>
      <c r="D386" s="22" t="s">
        <v>586</v>
      </c>
      <c r="E386" s="22" t="s">
        <v>587</v>
      </c>
      <c r="F386" s="22">
        <v>8.8000000000000007</v>
      </c>
      <c r="G386" s="22" t="s">
        <v>1699</v>
      </c>
      <c r="H386" s="22" t="s">
        <v>588</v>
      </c>
      <c r="I386" s="23" t="s">
        <v>577</v>
      </c>
      <c r="J386" s="23" t="s">
        <v>1700</v>
      </c>
      <c r="K386" s="23" t="s">
        <v>589</v>
      </c>
      <c r="L386" s="23" t="s">
        <v>590</v>
      </c>
      <c r="M386" s="23"/>
      <c r="N386" s="23"/>
      <c r="O386" s="23"/>
      <c r="P386" s="23"/>
      <c r="Q386" s="23"/>
      <c r="R386" s="23"/>
      <c r="S386" s="23"/>
      <c r="T386" s="23"/>
      <c r="U386" s="23"/>
      <c r="V386" s="23"/>
      <c r="W386" s="23"/>
      <c r="X386" s="4"/>
    </row>
    <row r="387" spans="1:24" ht="38.25" x14ac:dyDescent="0.25">
      <c r="A387" s="21" t="s">
        <v>1701</v>
      </c>
      <c r="B387" s="21" t="str">
        <f t="shared" si="6"/>
        <v>84629111</v>
      </c>
      <c r="C387" s="21" t="str">
        <f>Tabela5[[#This Row],[Cod. Ncm]]&amp;"-"&amp;Tabela5[[#This Row],[Operações]]</f>
        <v>84629111-Internas e interestaduais</v>
      </c>
      <c r="D387" s="22" t="s">
        <v>586</v>
      </c>
      <c r="E387" s="22" t="s">
        <v>587</v>
      </c>
      <c r="F387" s="22">
        <v>8.8000000000000007</v>
      </c>
      <c r="G387" s="22" t="s">
        <v>1702</v>
      </c>
      <c r="H387" s="22" t="s">
        <v>588</v>
      </c>
      <c r="I387" s="23" t="s">
        <v>577</v>
      </c>
      <c r="J387" s="23" t="s">
        <v>1703</v>
      </c>
      <c r="K387" s="23" t="s">
        <v>589</v>
      </c>
      <c r="L387" s="23" t="s">
        <v>590</v>
      </c>
      <c r="M387" s="23"/>
      <c r="N387" s="23"/>
      <c r="O387" s="23"/>
      <c r="P387" s="23"/>
      <c r="Q387" s="23"/>
      <c r="R387" s="23"/>
      <c r="S387" s="23"/>
      <c r="T387" s="23"/>
      <c r="U387" s="23"/>
      <c r="V387" s="23"/>
      <c r="W387" s="23"/>
      <c r="X387" s="4"/>
    </row>
    <row r="388" spans="1:24" ht="26.25" x14ac:dyDescent="0.25">
      <c r="A388" s="21" t="s">
        <v>1704</v>
      </c>
      <c r="B388" s="21" t="str">
        <f t="shared" si="6"/>
        <v>84629119</v>
      </c>
      <c r="C388" s="21" t="str">
        <f>Tabela5[[#This Row],[Cod. Ncm]]&amp;"-"&amp;Tabela5[[#This Row],[Operações]]</f>
        <v>84629119-Internas e interestaduais</v>
      </c>
      <c r="D388" s="22" t="s">
        <v>586</v>
      </c>
      <c r="E388" s="22" t="s">
        <v>587</v>
      </c>
      <c r="F388" s="22">
        <v>8.8000000000000007</v>
      </c>
      <c r="G388" s="22" t="s">
        <v>1705</v>
      </c>
      <c r="H388" s="22" t="s">
        <v>588</v>
      </c>
      <c r="I388" s="23" t="s">
        <v>577</v>
      </c>
      <c r="J388" s="23" t="s">
        <v>1706</v>
      </c>
      <c r="K388" s="23" t="s">
        <v>589</v>
      </c>
      <c r="L388" s="23" t="s">
        <v>590</v>
      </c>
      <c r="M388" s="23"/>
      <c r="N388" s="23"/>
      <c r="O388" s="23"/>
      <c r="P388" s="23"/>
      <c r="Q388" s="23"/>
      <c r="R388" s="23"/>
      <c r="S388" s="23"/>
      <c r="T388" s="23"/>
      <c r="U388" s="23"/>
      <c r="V388" s="23"/>
      <c r="W388" s="23"/>
      <c r="X388" s="4"/>
    </row>
    <row r="389" spans="1:24" ht="26.25" x14ac:dyDescent="0.25">
      <c r="A389" s="21" t="s">
        <v>1707</v>
      </c>
      <c r="B389" s="21" t="str">
        <f t="shared" si="6"/>
        <v>84629191</v>
      </c>
      <c r="C389" s="21" t="str">
        <f>Tabela5[[#This Row],[Cod. Ncm]]&amp;"-"&amp;Tabela5[[#This Row],[Operações]]</f>
        <v>84629191-Internas e interestaduais</v>
      </c>
      <c r="D389" s="22" t="s">
        <v>586</v>
      </c>
      <c r="E389" s="22" t="s">
        <v>587</v>
      </c>
      <c r="F389" s="22">
        <v>8.8000000000000007</v>
      </c>
      <c r="G389" s="22" t="s">
        <v>1708</v>
      </c>
      <c r="H389" s="22" t="s">
        <v>588</v>
      </c>
      <c r="I389" s="23" t="s">
        <v>577</v>
      </c>
      <c r="J389" s="23" t="s">
        <v>1709</v>
      </c>
      <c r="K389" s="23" t="s">
        <v>589</v>
      </c>
      <c r="L389" s="23" t="s">
        <v>590</v>
      </c>
      <c r="M389" s="23"/>
      <c r="N389" s="23"/>
      <c r="O389" s="23"/>
      <c r="P389" s="23"/>
      <c r="Q389" s="23"/>
      <c r="R389" s="23"/>
      <c r="S389" s="23"/>
      <c r="T389" s="23"/>
      <c r="U389" s="23"/>
      <c r="V389" s="23"/>
      <c r="W389" s="23"/>
      <c r="X389" s="4"/>
    </row>
    <row r="390" spans="1:24" ht="26.25" x14ac:dyDescent="0.25">
      <c r="A390" s="21" t="s">
        <v>1710</v>
      </c>
      <c r="B390" s="21" t="str">
        <f t="shared" si="6"/>
        <v>84629199</v>
      </c>
      <c r="C390" s="21" t="str">
        <f>Tabela5[[#This Row],[Cod. Ncm]]&amp;"-"&amp;Tabela5[[#This Row],[Operações]]</f>
        <v>84629199-Internas e interestaduais</v>
      </c>
      <c r="D390" s="22" t="s">
        <v>586</v>
      </c>
      <c r="E390" s="22" t="s">
        <v>587</v>
      </c>
      <c r="F390" s="22">
        <v>8.8000000000000007</v>
      </c>
      <c r="G390" s="22" t="s">
        <v>1711</v>
      </c>
      <c r="H390" s="22" t="s">
        <v>588</v>
      </c>
      <c r="I390" s="23" t="s">
        <v>577</v>
      </c>
      <c r="J390" s="23" t="s">
        <v>1712</v>
      </c>
      <c r="K390" s="23" t="s">
        <v>589</v>
      </c>
      <c r="L390" s="23" t="s">
        <v>590</v>
      </c>
      <c r="M390" s="23"/>
      <c r="N390" s="23"/>
      <c r="O390" s="23"/>
      <c r="P390" s="23"/>
      <c r="Q390" s="23"/>
      <c r="R390" s="23"/>
      <c r="S390" s="23"/>
      <c r="T390" s="23"/>
      <c r="U390" s="23"/>
      <c r="V390" s="23"/>
      <c r="W390" s="23"/>
      <c r="X390" s="4"/>
    </row>
    <row r="391" spans="1:24" ht="26.25" x14ac:dyDescent="0.25">
      <c r="A391" s="21" t="s">
        <v>1713</v>
      </c>
      <c r="B391" s="21" t="str">
        <f t="shared" ref="B391:B454" si="7">RIGHT(A391,8)</f>
        <v>84629910</v>
      </c>
      <c r="C391" s="21" t="str">
        <f>Tabela5[[#This Row],[Cod. Ncm]]&amp;"-"&amp;Tabela5[[#This Row],[Operações]]</f>
        <v>84629910-Internas e interestaduais</v>
      </c>
      <c r="D391" s="22" t="s">
        <v>586</v>
      </c>
      <c r="E391" s="22" t="s">
        <v>587</v>
      </c>
      <c r="F391" s="22">
        <v>8.8000000000000007</v>
      </c>
      <c r="G391" s="22" t="s">
        <v>1714</v>
      </c>
      <c r="H391" s="22" t="s">
        <v>588</v>
      </c>
      <c r="I391" s="23" t="s">
        <v>577</v>
      </c>
      <c r="J391" s="23" t="s">
        <v>1715</v>
      </c>
      <c r="K391" s="23" t="s">
        <v>589</v>
      </c>
      <c r="L391" s="23" t="s">
        <v>590</v>
      </c>
      <c r="M391" s="23"/>
      <c r="N391" s="23"/>
      <c r="O391" s="23"/>
      <c r="P391" s="23"/>
      <c r="Q391" s="23"/>
      <c r="R391" s="23"/>
      <c r="S391" s="23"/>
      <c r="T391" s="23"/>
      <c r="U391" s="23"/>
      <c r="V391" s="23"/>
      <c r="W391" s="23"/>
      <c r="X391" s="4"/>
    </row>
    <row r="392" spans="1:24" ht="26.25" x14ac:dyDescent="0.25">
      <c r="A392" s="21" t="s">
        <v>1716</v>
      </c>
      <c r="B392" s="21" t="str">
        <f t="shared" si="7"/>
        <v>84629920</v>
      </c>
      <c r="C392" s="21" t="str">
        <f>Tabela5[[#This Row],[Cod. Ncm]]&amp;"-"&amp;Tabela5[[#This Row],[Operações]]</f>
        <v>84629920-Internas e interestaduais</v>
      </c>
      <c r="D392" s="22" t="s">
        <v>586</v>
      </c>
      <c r="E392" s="22" t="s">
        <v>587</v>
      </c>
      <c r="F392" s="22">
        <v>8.8000000000000007</v>
      </c>
      <c r="G392" s="22" t="s">
        <v>1717</v>
      </c>
      <c r="H392" s="22" t="s">
        <v>588</v>
      </c>
      <c r="I392" s="23" t="s">
        <v>577</v>
      </c>
      <c r="J392" s="23" t="s">
        <v>1718</v>
      </c>
      <c r="K392" s="23" t="s">
        <v>589</v>
      </c>
      <c r="L392" s="23" t="s">
        <v>590</v>
      </c>
      <c r="M392" s="23"/>
      <c r="N392" s="23"/>
      <c r="O392" s="23"/>
      <c r="P392" s="23"/>
      <c r="Q392" s="23"/>
      <c r="R392" s="23"/>
      <c r="S392" s="23"/>
      <c r="T392" s="23"/>
      <c r="U392" s="23"/>
      <c r="V392" s="23"/>
      <c r="W392" s="23"/>
      <c r="X392" s="4"/>
    </row>
    <row r="393" spans="1:24" ht="26.25" x14ac:dyDescent="0.25">
      <c r="A393" s="21" t="s">
        <v>1719</v>
      </c>
      <c r="B393" s="21" t="str">
        <f t="shared" si="7"/>
        <v>84629990</v>
      </c>
      <c r="C393" s="21" t="str">
        <f>Tabela5[[#This Row],[Cod. Ncm]]&amp;"-"&amp;Tabela5[[#This Row],[Operações]]</f>
        <v>84629990-Internas e interestaduais</v>
      </c>
      <c r="D393" s="22" t="s">
        <v>586</v>
      </c>
      <c r="E393" s="22" t="s">
        <v>587</v>
      </c>
      <c r="F393" s="22">
        <v>8.8000000000000007</v>
      </c>
      <c r="G393" s="22" t="s">
        <v>1720</v>
      </c>
      <c r="H393" s="22" t="s">
        <v>588</v>
      </c>
      <c r="I393" s="23" t="s">
        <v>577</v>
      </c>
      <c r="J393" s="23" t="s">
        <v>1721</v>
      </c>
      <c r="K393" s="23" t="s">
        <v>589</v>
      </c>
      <c r="L393" s="23" t="s">
        <v>590</v>
      </c>
      <c r="M393" s="23"/>
      <c r="N393" s="23"/>
      <c r="O393" s="23"/>
      <c r="P393" s="23"/>
      <c r="Q393" s="23"/>
      <c r="R393" s="23"/>
      <c r="S393" s="23"/>
      <c r="T393" s="23"/>
      <c r="U393" s="23"/>
      <c r="V393" s="23"/>
      <c r="W393" s="23"/>
      <c r="X393" s="4"/>
    </row>
    <row r="394" spans="1:24" ht="26.25" x14ac:dyDescent="0.25">
      <c r="A394" s="21" t="s">
        <v>1722</v>
      </c>
      <c r="B394" s="21" t="str">
        <f t="shared" si="7"/>
        <v>84631010</v>
      </c>
      <c r="C394" s="21" t="str">
        <f>Tabela5[[#This Row],[Cod. Ncm]]&amp;"-"&amp;Tabela5[[#This Row],[Operações]]</f>
        <v>84631010-Internas e interestaduais</v>
      </c>
      <c r="D394" s="22" t="s">
        <v>586</v>
      </c>
      <c r="E394" s="22" t="s">
        <v>587</v>
      </c>
      <c r="F394" s="22">
        <v>8.8000000000000007</v>
      </c>
      <c r="G394" s="22" t="s">
        <v>1723</v>
      </c>
      <c r="H394" s="22" t="s">
        <v>588</v>
      </c>
      <c r="I394" s="23" t="s">
        <v>577</v>
      </c>
      <c r="J394" s="23" t="s">
        <v>1724</v>
      </c>
      <c r="K394" s="23" t="s">
        <v>589</v>
      </c>
      <c r="L394" s="23" t="s">
        <v>590</v>
      </c>
      <c r="M394" s="23"/>
      <c r="N394" s="23"/>
      <c r="O394" s="23"/>
      <c r="P394" s="23"/>
      <c r="Q394" s="23"/>
      <c r="R394" s="23"/>
      <c r="S394" s="23"/>
      <c r="T394" s="23"/>
      <c r="U394" s="23"/>
      <c r="V394" s="23"/>
      <c r="W394" s="23"/>
      <c r="X394" s="4"/>
    </row>
    <row r="395" spans="1:24" ht="26.25" x14ac:dyDescent="0.25">
      <c r="A395" s="21" t="s">
        <v>1725</v>
      </c>
      <c r="B395" s="21" t="str">
        <f t="shared" si="7"/>
        <v>84631090</v>
      </c>
      <c r="C395" s="21" t="str">
        <f>Tabela5[[#This Row],[Cod. Ncm]]&amp;"-"&amp;Tabela5[[#This Row],[Operações]]</f>
        <v>84631090-Internas e interestaduais</v>
      </c>
      <c r="D395" s="22" t="s">
        <v>586</v>
      </c>
      <c r="E395" s="22" t="s">
        <v>587</v>
      </c>
      <c r="F395" s="22">
        <v>8.8000000000000007</v>
      </c>
      <c r="G395" s="22" t="s">
        <v>1726</v>
      </c>
      <c r="H395" s="22" t="s">
        <v>588</v>
      </c>
      <c r="I395" s="23" t="s">
        <v>577</v>
      </c>
      <c r="J395" s="23" t="s">
        <v>1727</v>
      </c>
      <c r="K395" s="23" t="s">
        <v>589</v>
      </c>
      <c r="L395" s="23" t="s">
        <v>590</v>
      </c>
      <c r="M395" s="23"/>
      <c r="N395" s="23"/>
      <c r="O395" s="23"/>
      <c r="P395" s="23"/>
      <c r="Q395" s="23"/>
      <c r="R395" s="23"/>
      <c r="S395" s="23"/>
      <c r="T395" s="23"/>
      <c r="U395" s="23"/>
      <c r="V395" s="23"/>
      <c r="W395" s="23"/>
      <c r="X395" s="4"/>
    </row>
    <row r="396" spans="1:24" ht="26.25" x14ac:dyDescent="0.25">
      <c r="A396" s="21" t="s">
        <v>1728</v>
      </c>
      <c r="B396" s="21" t="str">
        <f t="shared" si="7"/>
        <v>84632010</v>
      </c>
      <c r="C396" s="21" t="str">
        <f>Tabela5[[#This Row],[Cod. Ncm]]&amp;"-"&amp;Tabela5[[#This Row],[Operações]]</f>
        <v>84632010-Internas e interestaduais</v>
      </c>
      <c r="D396" s="22" t="s">
        <v>586</v>
      </c>
      <c r="E396" s="22" t="s">
        <v>587</v>
      </c>
      <c r="F396" s="22">
        <v>8.8000000000000007</v>
      </c>
      <c r="G396" s="22" t="s">
        <v>1729</v>
      </c>
      <c r="H396" s="22" t="s">
        <v>588</v>
      </c>
      <c r="I396" s="23" t="s">
        <v>577</v>
      </c>
      <c r="J396" s="23" t="s">
        <v>1730</v>
      </c>
      <c r="K396" s="23" t="s">
        <v>589</v>
      </c>
      <c r="L396" s="23" t="s">
        <v>590</v>
      </c>
      <c r="M396" s="23"/>
      <c r="N396" s="23"/>
      <c r="O396" s="23"/>
      <c r="P396" s="23"/>
      <c r="Q396" s="23"/>
      <c r="R396" s="23"/>
      <c r="S396" s="23"/>
      <c r="T396" s="23"/>
      <c r="U396" s="23"/>
      <c r="V396" s="23"/>
      <c r="W396" s="23"/>
      <c r="X396" s="4"/>
    </row>
    <row r="397" spans="1:24" ht="51" x14ac:dyDescent="0.25">
      <c r="A397" s="21" t="s">
        <v>1731</v>
      </c>
      <c r="B397" s="21" t="str">
        <f t="shared" si="7"/>
        <v>84632091</v>
      </c>
      <c r="C397" s="21" t="str">
        <f>Tabela5[[#This Row],[Cod. Ncm]]&amp;"-"&amp;Tabela5[[#This Row],[Operações]]</f>
        <v>84632091-Internas e interestaduais</v>
      </c>
      <c r="D397" s="22" t="s">
        <v>586</v>
      </c>
      <c r="E397" s="22" t="s">
        <v>587</v>
      </c>
      <c r="F397" s="22">
        <v>8.8000000000000007</v>
      </c>
      <c r="G397" s="22" t="s">
        <v>1732</v>
      </c>
      <c r="H397" s="22" t="s">
        <v>588</v>
      </c>
      <c r="I397" s="23" t="s">
        <v>577</v>
      </c>
      <c r="J397" s="23" t="s">
        <v>1733</v>
      </c>
      <c r="K397" s="23" t="s">
        <v>589</v>
      </c>
      <c r="L397" s="23" t="s">
        <v>590</v>
      </c>
      <c r="M397" s="23"/>
      <c r="N397" s="23"/>
      <c r="O397" s="23"/>
      <c r="P397" s="23"/>
      <c r="Q397" s="23"/>
      <c r="R397" s="23"/>
      <c r="S397" s="23"/>
      <c r="T397" s="23"/>
      <c r="U397" s="23"/>
      <c r="V397" s="23"/>
      <c r="W397" s="23"/>
      <c r="X397" s="4"/>
    </row>
    <row r="398" spans="1:24" ht="26.25" x14ac:dyDescent="0.25">
      <c r="A398" s="21" t="s">
        <v>1734</v>
      </c>
      <c r="B398" s="21" t="str">
        <f t="shared" si="7"/>
        <v>84632099</v>
      </c>
      <c r="C398" s="21" t="str">
        <f>Tabela5[[#This Row],[Cod. Ncm]]&amp;"-"&amp;Tabela5[[#This Row],[Operações]]</f>
        <v>84632099-Internas e interestaduais</v>
      </c>
      <c r="D398" s="22" t="s">
        <v>586</v>
      </c>
      <c r="E398" s="22" t="s">
        <v>587</v>
      </c>
      <c r="F398" s="22">
        <v>8.8000000000000007</v>
      </c>
      <c r="G398" s="22" t="s">
        <v>1735</v>
      </c>
      <c r="H398" s="22" t="s">
        <v>588</v>
      </c>
      <c r="I398" s="23" t="s">
        <v>577</v>
      </c>
      <c r="J398" s="23" t="s">
        <v>1736</v>
      </c>
      <c r="K398" s="23" t="s">
        <v>589</v>
      </c>
      <c r="L398" s="23" t="s">
        <v>590</v>
      </c>
      <c r="M398" s="23"/>
      <c r="N398" s="23"/>
      <c r="O398" s="23"/>
      <c r="P398" s="23"/>
      <c r="Q398" s="23"/>
      <c r="R398" s="23"/>
      <c r="S398" s="23"/>
      <c r="T398" s="23"/>
      <c r="U398" s="23"/>
      <c r="V398" s="23"/>
      <c r="W398" s="23"/>
      <c r="X398" s="4"/>
    </row>
    <row r="399" spans="1:24" ht="26.25" x14ac:dyDescent="0.25">
      <c r="A399" s="21" t="s">
        <v>1737</v>
      </c>
      <c r="B399" s="21" t="str">
        <f t="shared" si="7"/>
        <v>84633000</v>
      </c>
      <c r="C399" s="21" t="str">
        <f>Tabela5[[#This Row],[Cod. Ncm]]&amp;"-"&amp;Tabela5[[#This Row],[Operações]]</f>
        <v>84633000-Internas e interestaduais</v>
      </c>
      <c r="D399" s="22" t="s">
        <v>586</v>
      </c>
      <c r="E399" s="22" t="s">
        <v>587</v>
      </c>
      <c r="F399" s="22">
        <v>8.8000000000000007</v>
      </c>
      <c r="G399" s="22" t="s">
        <v>1738</v>
      </c>
      <c r="H399" s="22" t="s">
        <v>588</v>
      </c>
      <c r="I399" s="23" t="s">
        <v>577</v>
      </c>
      <c r="J399" s="23" t="s">
        <v>1739</v>
      </c>
      <c r="K399" s="23" t="s">
        <v>589</v>
      </c>
      <c r="L399" s="23" t="s">
        <v>590</v>
      </c>
      <c r="M399" s="23"/>
      <c r="N399" s="23"/>
      <c r="O399" s="23"/>
      <c r="P399" s="23"/>
      <c r="Q399" s="23"/>
      <c r="R399" s="23"/>
      <c r="S399" s="23"/>
      <c r="T399" s="23"/>
      <c r="U399" s="23"/>
      <c r="V399" s="23"/>
      <c r="W399" s="23"/>
      <c r="X399" s="4"/>
    </row>
    <row r="400" spans="1:24" ht="26.25" x14ac:dyDescent="0.25">
      <c r="A400" s="21" t="s">
        <v>1740</v>
      </c>
      <c r="B400" s="21" t="str">
        <f t="shared" si="7"/>
        <v>84639010</v>
      </c>
      <c r="C400" s="21" t="str">
        <f>Tabela5[[#This Row],[Cod. Ncm]]&amp;"-"&amp;Tabela5[[#This Row],[Operações]]</f>
        <v>84639010-Internas e interestaduais</v>
      </c>
      <c r="D400" s="22" t="s">
        <v>586</v>
      </c>
      <c r="E400" s="22" t="s">
        <v>587</v>
      </c>
      <c r="F400" s="22">
        <v>8.8000000000000007</v>
      </c>
      <c r="G400" s="22" t="s">
        <v>1741</v>
      </c>
      <c r="H400" s="22" t="s">
        <v>588</v>
      </c>
      <c r="I400" s="23" t="s">
        <v>577</v>
      </c>
      <c r="J400" s="23" t="s">
        <v>1742</v>
      </c>
      <c r="K400" s="23" t="s">
        <v>589</v>
      </c>
      <c r="L400" s="23" t="s">
        <v>590</v>
      </c>
      <c r="M400" s="23"/>
      <c r="N400" s="23"/>
      <c r="O400" s="23"/>
      <c r="P400" s="23"/>
      <c r="Q400" s="23"/>
      <c r="R400" s="23"/>
      <c r="S400" s="23"/>
      <c r="T400" s="23"/>
      <c r="U400" s="23"/>
      <c r="V400" s="23"/>
      <c r="W400" s="23"/>
      <c r="X400" s="4"/>
    </row>
    <row r="401" spans="1:24" ht="26.25" x14ac:dyDescent="0.25">
      <c r="A401" s="21" t="s">
        <v>1743</v>
      </c>
      <c r="B401" s="21" t="str">
        <f t="shared" si="7"/>
        <v>84639090</v>
      </c>
      <c r="C401" s="21" t="str">
        <f>Tabela5[[#This Row],[Cod. Ncm]]&amp;"-"&amp;Tabela5[[#This Row],[Operações]]</f>
        <v>84639090-Internas e interestaduais</v>
      </c>
      <c r="D401" s="22" t="s">
        <v>586</v>
      </c>
      <c r="E401" s="22" t="s">
        <v>587</v>
      </c>
      <c r="F401" s="22">
        <v>8.8000000000000007</v>
      </c>
      <c r="G401" s="22" t="s">
        <v>1744</v>
      </c>
      <c r="H401" s="22" t="s">
        <v>588</v>
      </c>
      <c r="I401" s="23" t="s">
        <v>577</v>
      </c>
      <c r="J401" s="23" t="s">
        <v>1745</v>
      </c>
      <c r="K401" s="23" t="s">
        <v>589</v>
      </c>
      <c r="L401" s="23" t="s">
        <v>590</v>
      </c>
      <c r="M401" s="23"/>
      <c r="N401" s="23"/>
      <c r="O401" s="23"/>
      <c r="P401" s="23"/>
      <c r="Q401" s="23"/>
      <c r="R401" s="23"/>
      <c r="S401" s="23"/>
      <c r="T401" s="23"/>
      <c r="U401" s="23"/>
      <c r="V401" s="23"/>
      <c r="W401" s="23"/>
      <c r="X401" s="4"/>
    </row>
    <row r="402" spans="1:24" ht="26.25" x14ac:dyDescent="0.25">
      <c r="A402" s="21" t="s">
        <v>1746</v>
      </c>
      <c r="B402" s="21" t="str">
        <f t="shared" si="7"/>
        <v>84641000</v>
      </c>
      <c r="C402" s="21" t="str">
        <f>Tabela5[[#This Row],[Cod. Ncm]]&amp;"-"&amp;Tabela5[[#This Row],[Operações]]</f>
        <v>84641000-Internas e interestaduais</v>
      </c>
      <c r="D402" s="22" t="s">
        <v>586</v>
      </c>
      <c r="E402" s="22" t="s">
        <v>587</v>
      </c>
      <c r="F402" s="22">
        <v>8.8000000000000007</v>
      </c>
      <c r="G402" s="22" t="s">
        <v>1747</v>
      </c>
      <c r="H402" s="22" t="s">
        <v>588</v>
      </c>
      <c r="I402" s="23" t="s">
        <v>577</v>
      </c>
      <c r="J402" s="23" t="s">
        <v>1748</v>
      </c>
      <c r="K402" s="23" t="s">
        <v>589</v>
      </c>
      <c r="L402" s="23" t="s">
        <v>590</v>
      </c>
      <c r="M402" s="23"/>
      <c r="N402" s="23"/>
      <c r="O402" s="23"/>
      <c r="P402" s="23"/>
      <c r="Q402" s="23"/>
      <c r="R402" s="23"/>
      <c r="S402" s="23"/>
      <c r="T402" s="23"/>
      <c r="U402" s="23"/>
      <c r="V402" s="23"/>
      <c r="W402" s="23"/>
      <c r="X402" s="4"/>
    </row>
    <row r="403" spans="1:24" ht="26.25" x14ac:dyDescent="0.25">
      <c r="A403" s="21" t="s">
        <v>1749</v>
      </c>
      <c r="B403" s="21" t="str">
        <f t="shared" si="7"/>
        <v>84642010</v>
      </c>
      <c r="C403" s="21" t="str">
        <f>Tabela5[[#This Row],[Cod. Ncm]]&amp;"-"&amp;Tabela5[[#This Row],[Operações]]</f>
        <v>84642010-Internas e interestaduais</v>
      </c>
      <c r="D403" s="22" t="s">
        <v>586</v>
      </c>
      <c r="E403" s="22" t="s">
        <v>587</v>
      </c>
      <c r="F403" s="22">
        <v>8.8000000000000007</v>
      </c>
      <c r="G403" s="22" t="s">
        <v>1750</v>
      </c>
      <c r="H403" s="22" t="s">
        <v>588</v>
      </c>
      <c r="I403" s="23" t="s">
        <v>577</v>
      </c>
      <c r="J403" s="23" t="s">
        <v>1751</v>
      </c>
      <c r="K403" s="23" t="s">
        <v>589</v>
      </c>
      <c r="L403" s="23" t="s">
        <v>590</v>
      </c>
      <c r="M403" s="23"/>
      <c r="N403" s="23"/>
      <c r="O403" s="23"/>
      <c r="P403" s="23"/>
      <c r="Q403" s="23"/>
      <c r="R403" s="23"/>
      <c r="S403" s="23"/>
      <c r="T403" s="23"/>
      <c r="U403" s="23"/>
      <c r="V403" s="23"/>
      <c r="W403" s="23"/>
      <c r="X403" s="4"/>
    </row>
    <row r="404" spans="1:24" ht="38.25" x14ac:dyDescent="0.25">
      <c r="A404" s="21" t="s">
        <v>1752</v>
      </c>
      <c r="B404" s="21" t="str">
        <f t="shared" si="7"/>
        <v>84642021</v>
      </c>
      <c r="C404" s="21" t="str">
        <f>Tabela5[[#This Row],[Cod. Ncm]]&amp;"-"&amp;Tabela5[[#This Row],[Operações]]</f>
        <v>84642021-Internas e interestaduais</v>
      </c>
      <c r="D404" s="22" t="s">
        <v>586</v>
      </c>
      <c r="E404" s="22" t="s">
        <v>587</v>
      </c>
      <c r="F404" s="22">
        <v>8.8000000000000007</v>
      </c>
      <c r="G404" s="22" t="s">
        <v>1753</v>
      </c>
      <c r="H404" s="22" t="s">
        <v>588</v>
      </c>
      <c r="I404" s="23" t="s">
        <v>577</v>
      </c>
      <c r="J404" s="23" t="s">
        <v>1754</v>
      </c>
      <c r="K404" s="23" t="s">
        <v>589</v>
      </c>
      <c r="L404" s="23" t="s">
        <v>590</v>
      </c>
      <c r="M404" s="23"/>
      <c r="N404" s="23"/>
      <c r="O404" s="23"/>
      <c r="P404" s="23"/>
      <c r="Q404" s="23"/>
      <c r="R404" s="23"/>
      <c r="S404" s="23"/>
      <c r="T404" s="23"/>
      <c r="U404" s="23"/>
      <c r="V404" s="23"/>
      <c r="W404" s="23"/>
      <c r="X404" s="4"/>
    </row>
    <row r="405" spans="1:24" ht="26.25" x14ac:dyDescent="0.25">
      <c r="A405" s="21" t="s">
        <v>1755</v>
      </c>
      <c r="B405" s="21" t="str">
        <f t="shared" si="7"/>
        <v>84642029</v>
      </c>
      <c r="C405" s="21" t="str">
        <f>Tabela5[[#This Row],[Cod. Ncm]]&amp;"-"&amp;Tabela5[[#This Row],[Operações]]</f>
        <v>84642029-Internas e interestaduais</v>
      </c>
      <c r="D405" s="22" t="s">
        <v>586</v>
      </c>
      <c r="E405" s="22" t="s">
        <v>587</v>
      </c>
      <c r="F405" s="22">
        <v>8.8000000000000007</v>
      </c>
      <c r="G405" s="22" t="s">
        <v>1756</v>
      </c>
      <c r="H405" s="22" t="s">
        <v>588</v>
      </c>
      <c r="I405" s="23" t="s">
        <v>577</v>
      </c>
      <c r="J405" s="23" t="s">
        <v>1757</v>
      </c>
      <c r="K405" s="23" t="s">
        <v>589</v>
      </c>
      <c r="L405" s="23" t="s">
        <v>590</v>
      </c>
      <c r="M405" s="23"/>
      <c r="N405" s="23"/>
      <c r="O405" s="23"/>
      <c r="P405" s="23"/>
      <c r="Q405" s="23"/>
      <c r="R405" s="23"/>
      <c r="S405" s="23"/>
      <c r="T405" s="23"/>
      <c r="U405" s="23"/>
      <c r="V405" s="23"/>
      <c r="W405" s="23"/>
      <c r="X405" s="4"/>
    </row>
    <row r="406" spans="1:24" ht="26.25" x14ac:dyDescent="0.25">
      <c r="A406" s="21" t="s">
        <v>1758</v>
      </c>
      <c r="B406" s="21" t="str">
        <f t="shared" si="7"/>
        <v>84642090</v>
      </c>
      <c r="C406" s="21" t="str">
        <f>Tabela5[[#This Row],[Cod. Ncm]]&amp;"-"&amp;Tabela5[[#This Row],[Operações]]</f>
        <v>84642090-Internas e interestaduais</v>
      </c>
      <c r="D406" s="22" t="s">
        <v>586</v>
      </c>
      <c r="E406" s="22" t="s">
        <v>587</v>
      </c>
      <c r="F406" s="22">
        <v>8.8000000000000007</v>
      </c>
      <c r="G406" s="22" t="s">
        <v>1759</v>
      </c>
      <c r="H406" s="22" t="s">
        <v>588</v>
      </c>
      <c r="I406" s="23" t="s">
        <v>577</v>
      </c>
      <c r="J406" s="23" t="s">
        <v>1760</v>
      </c>
      <c r="K406" s="23" t="s">
        <v>589</v>
      </c>
      <c r="L406" s="23" t="s">
        <v>590</v>
      </c>
      <c r="M406" s="23"/>
      <c r="N406" s="23"/>
      <c r="O406" s="23"/>
      <c r="P406" s="23"/>
      <c r="Q406" s="23"/>
      <c r="R406" s="23"/>
      <c r="S406" s="23"/>
      <c r="T406" s="23"/>
      <c r="U406" s="23"/>
      <c r="V406" s="23"/>
      <c r="W406" s="23"/>
      <c r="X406" s="4"/>
    </row>
    <row r="407" spans="1:24" ht="38.25" x14ac:dyDescent="0.25">
      <c r="A407" s="21" t="s">
        <v>1761</v>
      </c>
      <c r="B407" s="21" t="str">
        <f t="shared" si="7"/>
        <v>84649011</v>
      </c>
      <c r="C407" s="21" t="str">
        <f>Tabela5[[#This Row],[Cod. Ncm]]&amp;"-"&amp;Tabela5[[#This Row],[Operações]]</f>
        <v>84649011-Internas e interestaduais</v>
      </c>
      <c r="D407" s="22" t="s">
        <v>586</v>
      </c>
      <c r="E407" s="22" t="s">
        <v>587</v>
      </c>
      <c r="F407" s="22">
        <v>8.8000000000000007</v>
      </c>
      <c r="G407" s="22" t="s">
        <v>1762</v>
      </c>
      <c r="H407" s="22" t="s">
        <v>588</v>
      </c>
      <c r="I407" s="23" t="s">
        <v>577</v>
      </c>
      <c r="J407" s="23" t="s">
        <v>1763</v>
      </c>
      <c r="K407" s="23" t="s">
        <v>589</v>
      </c>
      <c r="L407" s="23" t="s">
        <v>590</v>
      </c>
      <c r="M407" s="23"/>
      <c r="N407" s="23"/>
      <c r="O407" s="23"/>
      <c r="P407" s="23"/>
      <c r="Q407" s="23"/>
      <c r="R407" s="23"/>
      <c r="S407" s="23"/>
      <c r="T407" s="23"/>
      <c r="U407" s="23"/>
      <c r="V407" s="23"/>
      <c r="W407" s="23"/>
      <c r="X407" s="4"/>
    </row>
    <row r="408" spans="1:24" ht="26.25" x14ac:dyDescent="0.25">
      <c r="A408" s="21" t="s">
        <v>1764</v>
      </c>
      <c r="B408" s="21" t="str">
        <f t="shared" si="7"/>
        <v>84649019</v>
      </c>
      <c r="C408" s="21" t="str">
        <f>Tabela5[[#This Row],[Cod. Ncm]]&amp;"-"&amp;Tabela5[[#This Row],[Operações]]</f>
        <v>84649019-Internas e interestaduais</v>
      </c>
      <c r="D408" s="22" t="s">
        <v>586</v>
      </c>
      <c r="E408" s="22" t="s">
        <v>587</v>
      </c>
      <c r="F408" s="22">
        <v>8.8000000000000007</v>
      </c>
      <c r="G408" s="22" t="s">
        <v>1765</v>
      </c>
      <c r="H408" s="22" t="s">
        <v>588</v>
      </c>
      <c r="I408" s="23" t="s">
        <v>577</v>
      </c>
      <c r="J408" s="23" t="s">
        <v>1766</v>
      </c>
      <c r="K408" s="23" t="s">
        <v>589</v>
      </c>
      <c r="L408" s="23" t="s">
        <v>590</v>
      </c>
      <c r="M408" s="23"/>
      <c r="N408" s="23"/>
      <c r="O408" s="23"/>
      <c r="P408" s="23"/>
      <c r="Q408" s="23"/>
      <c r="R408" s="23"/>
      <c r="S408" s="23"/>
      <c r="T408" s="23"/>
      <c r="U408" s="23"/>
      <c r="V408" s="23"/>
      <c r="W408" s="23"/>
      <c r="X408" s="4"/>
    </row>
    <row r="409" spans="1:24" ht="38.25" x14ac:dyDescent="0.25">
      <c r="A409" s="21" t="s">
        <v>1767</v>
      </c>
      <c r="B409" s="21" t="str">
        <f t="shared" si="7"/>
        <v>84649090</v>
      </c>
      <c r="C409" s="21" t="str">
        <f>Tabela5[[#This Row],[Cod. Ncm]]&amp;"-"&amp;Tabela5[[#This Row],[Operações]]</f>
        <v>84649090-Internas e interestaduais</v>
      </c>
      <c r="D409" s="22" t="s">
        <v>586</v>
      </c>
      <c r="E409" s="22" t="s">
        <v>587</v>
      </c>
      <c r="F409" s="22">
        <v>8.8000000000000007</v>
      </c>
      <c r="G409" s="22" t="s">
        <v>1768</v>
      </c>
      <c r="H409" s="22" t="s">
        <v>588</v>
      </c>
      <c r="I409" s="23" t="s">
        <v>577</v>
      </c>
      <c r="J409" s="23" t="s">
        <v>1769</v>
      </c>
      <c r="K409" s="23" t="s">
        <v>589</v>
      </c>
      <c r="L409" s="23" t="s">
        <v>590</v>
      </c>
      <c r="M409" s="23"/>
      <c r="N409" s="23"/>
      <c r="O409" s="23"/>
      <c r="P409" s="23"/>
      <c r="Q409" s="23"/>
      <c r="R409" s="23"/>
      <c r="S409" s="23"/>
      <c r="T409" s="23"/>
      <c r="U409" s="23"/>
      <c r="V409" s="23"/>
      <c r="W409" s="23"/>
      <c r="X409" s="4"/>
    </row>
    <row r="410" spans="1:24" ht="38.25" x14ac:dyDescent="0.25">
      <c r="A410" s="21" t="s">
        <v>1770</v>
      </c>
      <c r="B410" s="21" t="str">
        <f t="shared" si="7"/>
        <v>84651000</v>
      </c>
      <c r="C410" s="21" t="str">
        <f>Tabela5[[#This Row],[Cod. Ncm]]&amp;"-"&amp;Tabela5[[#This Row],[Operações]]</f>
        <v>84651000-Internas e interestaduais</v>
      </c>
      <c r="D410" s="22" t="s">
        <v>586</v>
      </c>
      <c r="E410" s="22" t="s">
        <v>587</v>
      </c>
      <c r="F410" s="22">
        <v>8.8000000000000007</v>
      </c>
      <c r="G410" s="22" t="s">
        <v>1771</v>
      </c>
      <c r="H410" s="22" t="s">
        <v>588</v>
      </c>
      <c r="I410" s="23" t="s">
        <v>577</v>
      </c>
      <c r="J410" s="23" t="s">
        <v>1772</v>
      </c>
      <c r="K410" s="23" t="s">
        <v>589</v>
      </c>
      <c r="L410" s="23" t="s">
        <v>590</v>
      </c>
      <c r="M410" s="23"/>
      <c r="N410" s="23"/>
      <c r="O410" s="23"/>
      <c r="P410" s="23"/>
      <c r="Q410" s="23"/>
      <c r="R410" s="23"/>
      <c r="S410" s="23"/>
      <c r="T410" s="23"/>
      <c r="U410" s="23"/>
      <c r="V410" s="23"/>
      <c r="W410" s="23"/>
      <c r="X410" s="4"/>
    </row>
    <row r="411" spans="1:24" ht="26.25" x14ac:dyDescent="0.25">
      <c r="A411" s="21" t="s">
        <v>1773</v>
      </c>
      <c r="B411" s="21" t="str">
        <f t="shared" si="7"/>
        <v>84659110</v>
      </c>
      <c r="C411" s="21" t="str">
        <f>Tabela5[[#This Row],[Cod. Ncm]]&amp;"-"&amp;Tabela5[[#This Row],[Operações]]</f>
        <v>84659110-Internas e interestaduais</v>
      </c>
      <c r="D411" s="22" t="s">
        <v>586</v>
      </c>
      <c r="E411" s="22" t="s">
        <v>587</v>
      </c>
      <c r="F411" s="22">
        <v>8.8000000000000007</v>
      </c>
      <c r="G411" s="22" t="s">
        <v>1774</v>
      </c>
      <c r="H411" s="22" t="s">
        <v>588</v>
      </c>
      <c r="I411" s="23" t="s">
        <v>577</v>
      </c>
      <c r="J411" s="23" t="s">
        <v>1775</v>
      </c>
      <c r="K411" s="23" t="s">
        <v>589</v>
      </c>
      <c r="L411" s="23" t="s">
        <v>590</v>
      </c>
      <c r="M411" s="23"/>
      <c r="N411" s="23"/>
      <c r="O411" s="23"/>
      <c r="P411" s="23"/>
      <c r="Q411" s="23"/>
      <c r="R411" s="23"/>
      <c r="S411" s="23"/>
      <c r="T411" s="23"/>
      <c r="U411" s="23"/>
      <c r="V411" s="23"/>
      <c r="W411" s="23"/>
      <c r="X411" s="4"/>
    </row>
    <row r="412" spans="1:24" ht="26.25" x14ac:dyDescent="0.25">
      <c r="A412" s="21" t="s">
        <v>1776</v>
      </c>
      <c r="B412" s="21" t="str">
        <f t="shared" si="7"/>
        <v>84659120</v>
      </c>
      <c r="C412" s="21" t="str">
        <f>Tabela5[[#This Row],[Cod. Ncm]]&amp;"-"&amp;Tabela5[[#This Row],[Operações]]</f>
        <v>84659120-Internas e interestaduais</v>
      </c>
      <c r="D412" s="22" t="s">
        <v>586</v>
      </c>
      <c r="E412" s="22" t="s">
        <v>587</v>
      </c>
      <c r="F412" s="22">
        <v>8.8000000000000007</v>
      </c>
      <c r="G412" s="22" t="s">
        <v>1777</v>
      </c>
      <c r="H412" s="22" t="s">
        <v>588</v>
      </c>
      <c r="I412" s="23" t="s">
        <v>577</v>
      </c>
      <c r="J412" s="23" t="s">
        <v>1778</v>
      </c>
      <c r="K412" s="23" t="s">
        <v>589</v>
      </c>
      <c r="L412" s="23" t="s">
        <v>590</v>
      </c>
      <c r="M412" s="23"/>
      <c r="N412" s="23"/>
      <c r="O412" s="23"/>
      <c r="P412" s="23"/>
      <c r="Q412" s="23"/>
      <c r="R412" s="23"/>
      <c r="S412" s="23"/>
      <c r="T412" s="23"/>
      <c r="U412" s="23"/>
      <c r="V412" s="23"/>
      <c r="W412" s="23"/>
      <c r="X412" s="4"/>
    </row>
    <row r="413" spans="1:24" ht="26.25" x14ac:dyDescent="0.25">
      <c r="A413" s="21" t="s">
        <v>1779</v>
      </c>
      <c r="B413" s="21" t="str">
        <f t="shared" si="7"/>
        <v>84659190</v>
      </c>
      <c r="C413" s="21" t="str">
        <f>Tabela5[[#This Row],[Cod. Ncm]]&amp;"-"&amp;Tabela5[[#This Row],[Operações]]</f>
        <v>84659190-Internas e interestaduais</v>
      </c>
      <c r="D413" s="22" t="s">
        <v>586</v>
      </c>
      <c r="E413" s="22" t="s">
        <v>587</v>
      </c>
      <c r="F413" s="22">
        <v>8.8000000000000007</v>
      </c>
      <c r="G413" s="22" t="s">
        <v>1780</v>
      </c>
      <c r="H413" s="22" t="s">
        <v>588</v>
      </c>
      <c r="I413" s="23" t="s">
        <v>577</v>
      </c>
      <c r="J413" s="23" t="s">
        <v>1781</v>
      </c>
      <c r="K413" s="23" t="s">
        <v>589</v>
      </c>
      <c r="L413" s="23" t="s">
        <v>590</v>
      </c>
      <c r="M413" s="23"/>
      <c r="N413" s="23"/>
      <c r="O413" s="23"/>
      <c r="P413" s="23"/>
      <c r="Q413" s="23"/>
      <c r="R413" s="23"/>
      <c r="S413" s="23"/>
      <c r="T413" s="23"/>
      <c r="U413" s="23"/>
      <c r="V413" s="23"/>
      <c r="W413" s="23"/>
      <c r="X413" s="4"/>
    </row>
    <row r="414" spans="1:24" ht="26.25" x14ac:dyDescent="0.25">
      <c r="A414" s="21" t="s">
        <v>1782</v>
      </c>
      <c r="B414" s="21" t="str">
        <f t="shared" si="7"/>
        <v>84659211</v>
      </c>
      <c r="C414" s="21" t="str">
        <f>Tabela5[[#This Row],[Cod. Ncm]]&amp;"-"&amp;Tabela5[[#This Row],[Operações]]</f>
        <v>84659211-Internas e interestaduais</v>
      </c>
      <c r="D414" s="22" t="s">
        <v>586</v>
      </c>
      <c r="E414" s="22" t="s">
        <v>587</v>
      </c>
      <c r="F414" s="22">
        <v>8.8000000000000007</v>
      </c>
      <c r="G414" s="22" t="s">
        <v>1783</v>
      </c>
      <c r="H414" s="22" t="s">
        <v>588</v>
      </c>
      <c r="I414" s="23" t="s">
        <v>577</v>
      </c>
      <c r="J414" s="23" t="s">
        <v>1784</v>
      </c>
      <c r="K414" s="23" t="s">
        <v>589</v>
      </c>
      <c r="L414" s="23" t="s">
        <v>590</v>
      </c>
      <c r="M414" s="23"/>
      <c r="N414" s="23"/>
      <c r="O414" s="23"/>
      <c r="P414" s="23"/>
      <c r="Q414" s="23"/>
      <c r="R414" s="23"/>
      <c r="S414" s="23"/>
      <c r="T414" s="23"/>
      <c r="U414" s="23"/>
      <c r="V414" s="23"/>
      <c r="W414" s="23"/>
      <c r="X414" s="4"/>
    </row>
    <row r="415" spans="1:24" ht="38.25" x14ac:dyDescent="0.25">
      <c r="A415" s="21" t="s">
        <v>1785</v>
      </c>
      <c r="B415" s="21" t="str">
        <f t="shared" si="7"/>
        <v>84659219</v>
      </c>
      <c r="C415" s="21" t="str">
        <f>Tabela5[[#This Row],[Cod. Ncm]]&amp;"-"&amp;Tabela5[[#This Row],[Operações]]</f>
        <v>84659219-Internas e interestaduais</v>
      </c>
      <c r="D415" s="22" t="s">
        <v>586</v>
      </c>
      <c r="E415" s="22" t="s">
        <v>587</v>
      </c>
      <c r="F415" s="22">
        <v>8.8000000000000007</v>
      </c>
      <c r="G415" s="22" t="s">
        <v>1786</v>
      </c>
      <c r="H415" s="22" t="s">
        <v>588</v>
      </c>
      <c r="I415" s="23" t="s">
        <v>577</v>
      </c>
      <c r="J415" s="23" t="s">
        <v>1787</v>
      </c>
      <c r="K415" s="23" t="s">
        <v>589</v>
      </c>
      <c r="L415" s="23" t="s">
        <v>590</v>
      </c>
      <c r="M415" s="23"/>
      <c r="N415" s="23"/>
      <c r="O415" s="23"/>
      <c r="P415" s="23"/>
      <c r="Q415" s="23"/>
      <c r="R415" s="23"/>
      <c r="S415" s="23"/>
      <c r="T415" s="23"/>
      <c r="U415" s="23"/>
      <c r="V415" s="23"/>
      <c r="W415" s="23"/>
      <c r="X415" s="4"/>
    </row>
    <row r="416" spans="1:24" ht="38.25" x14ac:dyDescent="0.25">
      <c r="A416" s="21" t="s">
        <v>1788</v>
      </c>
      <c r="B416" s="21" t="str">
        <f t="shared" si="7"/>
        <v>84659290</v>
      </c>
      <c r="C416" s="21" t="str">
        <f>Tabela5[[#This Row],[Cod. Ncm]]&amp;"-"&amp;Tabela5[[#This Row],[Operações]]</f>
        <v>84659290-Internas e interestaduais</v>
      </c>
      <c r="D416" s="22" t="s">
        <v>586</v>
      </c>
      <c r="E416" s="22" t="s">
        <v>587</v>
      </c>
      <c r="F416" s="22">
        <v>8.8000000000000007</v>
      </c>
      <c r="G416" s="22" t="s">
        <v>1789</v>
      </c>
      <c r="H416" s="22" t="s">
        <v>588</v>
      </c>
      <c r="I416" s="23" t="s">
        <v>577</v>
      </c>
      <c r="J416" s="23" t="s">
        <v>1790</v>
      </c>
      <c r="K416" s="23" t="s">
        <v>589</v>
      </c>
      <c r="L416" s="23" t="s">
        <v>590</v>
      </c>
      <c r="M416" s="23"/>
      <c r="N416" s="23"/>
      <c r="O416" s="23"/>
      <c r="P416" s="23"/>
      <c r="Q416" s="23"/>
      <c r="R416" s="23"/>
      <c r="S416" s="23"/>
      <c r="T416" s="23"/>
      <c r="U416" s="23"/>
      <c r="V416" s="23"/>
      <c r="W416" s="23"/>
      <c r="X416" s="4"/>
    </row>
    <row r="417" spans="1:24" ht="26.25" x14ac:dyDescent="0.25">
      <c r="A417" s="21" t="s">
        <v>1791</v>
      </c>
      <c r="B417" s="21" t="str">
        <f t="shared" si="7"/>
        <v>84659310</v>
      </c>
      <c r="C417" s="21" t="str">
        <f>Tabela5[[#This Row],[Cod. Ncm]]&amp;"-"&amp;Tabela5[[#This Row],[Operações]]</f>
        <v>84659310-Internas e interestaduais</v>
      </c>
      <c r="D417" s="22" t="s">
        <v>586</v>
      </c>
      <c r="E417" s="22" t="s">
        <v>587</v>
      </c>
      <c r="F417" s="22">
        <v>8.8000000000000007</v>
      </c>
      <c r="G417" s="22" t="s">
        <v>1792</v>
      </c>
      <c r="H417" s="22" t="s">
        <v>588</v>
      </c>
      <c r="I417" s="23" t="s">
        <v>577</v>
      </c>
      <c r="J417" s="23" t="s">
        <v>1793</v>
      </c>
      <c r="K417" s="23" t="s">
        <v>589</v>
      </c>
      <c r="L417" s="23" t="s">
        <v>590</v>
      </c>
      <c r="M417" s="23"/>
      <c r="N417" s="23"/>
      <c r="O417" s="23"/>
      <c r="P417" s="23"/>
      <c r="Q417" s="23"/>
      <c r="R417" s="23"/>
      <c r="S417" s="23"/>
      <c r="T417" s="23"/>
      <c r="U417" s="23"/>
      <c r="V417" s="23"/>
      <c r="W417" s="23"/>
      <c r="X417" s="4"/>
    </row>
    <row r="418" spans="1:24" ht="26.25" x14ac:dyDescent="0.25">
      <c r="A418" s="21" t="s">
        <v>1794</v>
      </c>
      <c r="B418" s="21" t="str">
        <f t="shared" si="7"/>
        <v>84659390</v>
      </c>
      <c r="C418" s="21" t="str">
        <f>Tabela5[[#This Row],[Cod. Ncm]]&amp;"-"&amp;Tabela5[[#This Row],[Operações]]</f>
        <v>84659390-Internas e interestaduais</v>
      </c>
      <c r="D418" s="22" t="s">
        <v>586</v>
      </c>
      <c r="E418" s="22" t="s">
        <v>587</v>
      </c>
      <c r="F418" s="22">
        <v>8.8000000000000007</v>
      </c>
      <c r="G418" s="22" t="s">
        <v>1795</v>
      </c>
      <c r="H418" s="22" t="s">
        <v>588</v>
      </c>
      <c r="I418" s="23" t="s">
        <v>577</v>
      </c>
      <c r="J418" s="23" t="s">
        <v>1796</v>
      </c>
      <c r="K418" s="23" t="s">
        <v>589</v>
      </c>
      <c r="L418" s="23" t="s">
        <v>590</v>
      </c>
      <c r="M418" s="23"/>
      <c r="N418" s="23"/>
      <c r="O418" s="23"/>
      <c r="P418" s="23"/>
      <c r="Q418" s="23"/>
      <c r="R418" s="23"/>
      <c r="S418" s="23"/>
      <c r="T418" s="23"/>
      <c r="U418" s="23"/>
      <c r="V418" s="23"/>
      <c r="W418" s="23"/>
      <c r="X418" s="4"/>
    </row>
    <row r="419" spans="1:24" ht="38.25" x14ac:dyDescent="0.25">
      <c r="A419" s="21" t="s">
        <v>1797</v>
      </c>
      <c r="B419" s="21" t="str">
        <f t="shared" si="7"/>
        <v>84659400</v>
      </c>
      <c r="C419" s="21" t="str">
        <f>Tabela5[[#This Row],[Cod. Ncm]]&amp;"-"&amp;Tabela5[[#This Row],[Operações]]</f>
        <v>84659400-Internas e interestaduais</v>
      </c>
      <c r="D419" s="22" t="s">
        <v>586</v>
      </c>
      <c r="E419" s="22" t="s">
        <v>587</v>
      </c>
      <c r="F419" s="22">
        <v>8.8000000000000007</v>
      </c>
      <c r="G419" s="22" t="s">
        <v>1798</v>
      </c>
      <c r="H419" s="22" t="s">
        <v>588</v>
      </c>
      <c r="I419" s="23" t="s">
        <v>577</v>
      </c>
      <c r="J419" s="23" t="s">
        <v>1799</v>
      </c>
      <c r="K419" s="23" t="s">
        <v>589</v>
      </c>
      <c r="L419" s="23" t="s">
        <v>590</v>
      </c>
      <c r="M419" s="23"/>
      <c r="N419" s="23"/>
      <c r="O419" s="23"/>
      <c r="P419" s="23"/>
      <c r="Q419" s="23"/>
      <c r="R419" s="23"/>
      <c r="S419" s="23"/>
      <c r="T419" s="23"/>
      <c r="U419" s="23"/>
      <c r="V419" s="23"/>
      <c r="W419" s="23"/>
      <c r="X419" s="4"/>
    </row>
    <row r="420" spans="1:24" ht="26.25" x14ac:dyDescent="0.25">
      <c r="A420" s="21" t="s">
        <v>1800</v>
      </c>
      <c r="B420" s="21" t="str">
        <f t="shared" si="7"/>
        <v>84659511</v>
      </c>
      <c r="C420" s="21" t="str">
        <f>Tabela5[[#This Row],[Cod. Ncm]]&amp;"-"&amp;Tabela5[[#This Row],[Operações]]</f>
        <v>84659511-Internas e interestaduais</v>
      </c>
      <c r="D420" s="22" t="s">
        <v>586</v>
      </c>
      <c r="E420" s="22" t="s">
        <v>587</v>
      </c>
      <c r="F420" s="22">
        <v>8.8000000000000007</v>
      </c>
      <c r="G420" s="22" t="s">
        <v>1801</v>
      </c>
      <c r="H420" s="22" t="s">
        <v>588</v>
      </c>
      <c r="I420" s="23" t="s">
        <v>577</v>
      </c>
      <c r="J420" s="23" t="s">
        <v>1802</v>
      </c>
      <c r="K420" s="23" t="s">
        <v>589</v>
      </c>
      <c r="L420" s="23" t="s">
        <v>590</v>
      </c>
      <c r="M420" s="23"/>
      <c r="N420" s="23"/>
      <c r="O420" s="23"/>
      <c r="P420" s="23"/>
      <c r="Q420" s="23"/>
      <c r="R420" s="23"/>
      <c r="S420" s="23"/>
      <c r="T420" s="23"/>
      <c r="U420" s="23"/>
      <c r="V420" s="23"/>
      <c r="W420" s="23"/>
      <c r="X420" s="4"/>
    </row>
    <row r="421" spans="1:24" ht="26.25" x14ac:dyDescent="0.25">
      <c r="A421" s="21" t="s">
        <v>1803</v>
      </c>
      <c r="B421" s="21" t="str">
        <f t="shared" si="7"/>
        <v>84659512</v>
      </c>
      <c r="C421" s="21" t="str">
        <f>Tabela5[[#This Row],[Cod. Ncm]]&amp;"-"&amp;Tabela5[[#This Row],[Operações]]</f>
        <v>84659512-Internas e interestaduais</v>
      </c>
      <c r="D421" s="22" t="s">
        <v>586</v>
      </c>
      <c r="E421" s="22" t="s">
        <v>587</v>
      </c>
      <c r="F421" s="22">
        <v>8.8000000000000007</v>
      </c>
      <c r="G421" s="22" t="s">
        <v>1804</v>
      </c>
      <c r="H421" s="22" t="s">
        <v>588</v>
      </c>
      <c r="I421" s="23" t="s">
        <v>577</v>
      </c>
      <c r="J421" s="23" t="s">
        <v>1805</v>
      </c>
      <c r="K421" s="23" t="s">
        <v>589</v>
      </c>
      <c r="L421" s="23" t="s">
        <v>590</v>
      </c>
      <c r="M421" s="23"/>
      <c r="N421" s="23"/>
      <c r="O421" s="23"/>
      <c r="P421" s="23"/>
      <c r="Q421" s="23"/>
      <c r="R421" s="23"/>
      <c r="S421" s="23"/>
      <c r="T421" s="23"/>
      <c r="U421" s="23"/>
      <c r="V421" s="23"/>
      <c r="W421" s="23"/>
      <c r="X421" s="4"/>
    </row>
    <row r="422" spans="1:24" ht="26.25" x14ac:dyDescent="0.25">
      <c r="A422" s="21" t="s">
        <v>1806</v>
      </c>
      <c r="B422" s="21" t="str">
        <f t="shared" si="7"/>
        <v>84659591</v>
      </c>
      <c r="C422" s="21" t="str">
        <f>Tabela5[[#This Row],[Cod. Ncm]]&amp;"-"&amp;Tabela5[[#This Row],[Operações]]</f>
        <v>84659591-Internas e interestaduais</v>
      </c>
      <c r="D422" s="22" t="s">
        <v>586</v>
      </c>
      <c r="E422" s="22" t="s">
        <v>587</v>
      </c>
      <c r="F422" s="22">
        <v>8.8000000000000007</v>
      </c>
      <c r="G422" s="22" t="s">
        <v>1807</v>
      </c>
      <c r="H422" s="22" t="s">
        <v>588</v>
      </c>
      <c r="I422" s="23" t="s">
        <v>577</v>
      </c>
      <c r="J422" s="23" t="s">
        <v>1808</v>
      </c>
      <c r="K422" s="23" t="s">
        <v>589</v>
      </c>
      <c r="L422" s="23" t="s">
        <v>590</v>
      </c>
      <c r="M422" s="23"/>
      <c r="N422" s="23"/>
      <c r="O422" s="23"/>
      <c r="P422" s="23"/>
      <c r="Q422" s="23"/>
      <c r="R422" s="23"/>
      <c r="S422" s="23"/>
      <c r="T422" s="23"/>
      <c r="U422" s="23"/>
      <c r="V422" s="23"/>
      <c r="W422" s="23"/>
      <c r="X422" s="4"/>
    </row>
    <row r="423" spans="1:24" ht="26.25" x14ac:dyDescent="0.25">
      <c r="A423" s="21" t="s">
        <v>1809</v>
      </c>
      <c r="B423" s="21" t="str">
        <f t="shared" si="7"/>
        <v>84659592</v>
      </c>
      <c r="C423" s="21" t="str">
        <f>Tabela5[[#This Row],[Cod. Ncm]]&amp;"-"&amp;Tabela5[[#This Row],[Operações]]</f>
        <v>84659592-Internas e interestaduais</v>
      </c>
      <c r="D423" s="22" t="s">
        <v>586</v>
      </c>
      <c r="E423" s="22" t="s">
        <v>587</v>
      </c>
      <c r="F423" s="22">
        <v>8.8000000000000007</v>
      </c>
      <c r="G423" s="22" t="s">
        <v>1810</v>
      </c>
      <c r="H423" s="22" t="s">
        <v>588</v>
      </c>
      <c r="I423" s="23" t="s">
        <v>577</v>
      </c>
      <c r="J423" s="23" t="s">
        <v>1811</v>
      </c>
      <c r="K423" s="23" t="s">
        <v>589</v>
      </c>
      <c r="L423" s="23" t="s">
        <v>590</v>
      </c>
      <c r="M423" s="23"/>
      <c r="N423" s="23"/>
      <c r="O423" s="23"/>
      <c r="P423" s="23"/>
      <c r="Q423" s="23"/>
      <c r="R423" s="23"/>
      <c r="S423" s="23"/>
      <c r="T423" s="23"/>
      <c r="U423" s="23"/>
      <c r="V423" s="23"/>
      <c r="W423" s="23"/>
      <c r="X423" s="4"/>
    </row>
    <row r="424" spans="1:24" ht="26.25" x14ac:dyDescent="0.25">
      <c r="A424" s="21" t="s">
        <v>1812</v>
      </c>
      <c r="B424" s="21" t="str">
        <f t="shared" si="7"/>
        <v>84659600</v>
      </c>
      <c r="C424" s="21" t="str">
        <f>Tabela5[[#This Row],[Cod. Ncm]]&amp;"-"&amp;Tabela5[[#This Row],[Operações]]</f>
        <v>84659600-Internas e interestaduais</v>
      </c>
      <c r="D424" s="22" t="s">
        <v>586</v>
      </c>
      <c r="E424" s="22" t="s">
        <v>587</v>
      </c>
      <c r="F424" s="22">
        <v>8.8000000000000007</v>
      </c>
      <c r="G424" s="22" t="s">
        <v>1813</v>
      </c>
      <c r="H424" s="22" t="s">
        <v>588</v>
      </c>
      <c r="I424" s="23" t="s">
        <v>577</v>
      </c>
      <c r="J424" s="23" t="s">
        <v>1814</v>
      </c>
      <c r="K424" s="23" t="s">
        <v>589</v>
      </c>
      <c r="L424" s="23" t="s">
        <v>590</v>
      </c>
      <c r="M424" s="23"/>
      <c r="N424" s="23"/>
      <c r="O424" s="23"/>
      <c r="P424" s="23"/>
      <c r="Q424" s="23"/>
      <c r="R424" s="23"/>
      <c r="S424" s="23"/>
      <c r="T424" s="23"/>
      <c r="U424" s="23"/>
      <c r="V424" s="23"/>
      <c r="W424" s="23"/>
      <c r="X424" s="4"/>
    </row>
    <row r="425" spans="1:24" ht="63.75" x14ac:dyDescent="0.25">
      <c r="A425" s="21" t="s">
        <v>1815</v>
      </c>
      <c r="B425" s="21" t="str">
        <f t="shared" si="7"/>
        <v>84659900</v>
      </c>
      <c r="C425" s="21" t="str">
        <f>Tabela5[[#This Row],[Cod. Ncm]]&amp;"-"&amp;Tabela5[[#This Row],[Operações]]</f>
        <v>84659900-Internas e interestaduais</v>
      </c>
      <c r="D425" s="22" t="s">
        <v>586</v>
      </c>
      <c r="E425" s="22" t="s">
        <v>587</v>
      </c>
      <c r="F425" s="22">
        <v>8.8000000000000007</v>
      </c>
      <c r="G425" s="22" t="s">
        <v>1816</v>
      </c>
      <c r="H425" s="22" t="s">
        <v>588</v>
      </c>
      <c r="I425" s="23" t="s">
        <v>577</v>
      </c>
      <c r="J425" s="23" t="s">
        <v>1817</v>
      </c>
      <c r="K425" s="23" t="s">
        <v>589</v>
      </c>
      <c r="L425" s="23" t="s">
        <v>590</v>
      </c>
      <c r="M425" s="23"/>
      <c r="N425" s="23"/>
      <c r="O425" s="23"/>
      <c r="P425" s="23"/>
      <c r="Q425" s="23"/>
      <c r="R425" s="23"/>
      <c r="S425" s="23"/>
      <c r="T425" s="23"/>
      <c r="U425" s="23"/>
      <c r="V425" s="23"/>
      <c r="W425" s="23"/>
      <c r="X425" s="4"/>
    </row>
    <row r="426" spans="1:24" ht="26.25" x14ac:dyDescent="0.25">
      <c r="A426" s="21" t="s">
        <v>1818</v>
      </c>
      <c r="B426" s="21" t="str">
        <f t="shared" si="7"/>
        <v>84662010</v>
      </c>
      <c r="C426" s="21" t="str">
        <f>Tabela5[[#This Row],[Cod. Ncm]]&amp;"-"&amp;Tabela5[[#This Row],[Operações]]</f>
        <v>84662010-Internas e interestaduais</v>
      </c>
      <c r="D426" s="22" t="s">
        <v>586</v>
      </c>
      <c r="E426" s="22" t="s">
        <v>587</v>
      </c>
      <c r="F426" s="22">
        <v>8.8000000000000007</v>
      </c>
      <c r="G426" s="22" t="s">
        <v>1819</v>
      </c>
      <c r="H426" s="22" t="s">
        <v>588</v>
      </c>
      <c r="I426" s="23" t="s">
        <v>577</v>
      </c>
      <c r="J426" s="23" t="s">
        <v>1820</v>
      </c>
      <c r="K426" s="23" t="s">
        <v>589</v>
      </c>
      <c r="L426" s="23" t="s">
        <v>590</v>
      </c>
      <c r="M426" s="23"/>
      <c r="N426" s="23"/>
      <c r="O426" s="23"/>
      <c r="P426" s="23"/>
      <c r="Q426" s="23"/>
      <c r="R426" s="23"/>
      <c r="S426" s="23"/>
      <c r="T426" s="23"/>
      <c r="U426" s="23"/>
      <c r="V426" s="23"/>
      <c r="W426" s="23"/>
      <c r="X426" s="4"/>
    </row>
    <row r="427" spans="1:24" ht="26.25" x14ac:dyDescent="0.25">
      <c r="A427" s="21" t="s">
        <v>1821</v>
      </c>
      <c r="B427" s="21" t="str">
        <f t="shared" si="7"/>
        <v>84663000</v>
      </c>
      <c r="C427" s="21" t="str">
        <f>Tabela5[[#This Row],[Cod. Ncm]]&amp;"-"&amp;Tabela5[[#This Row],[Operações]]</f>
        <v>84663000-Internas e interestaduais</v>
      </c>
      <c r="D427" s="22" t="s">
        <v>586</v>
      </c>
      <c r="E427" s="22" t="s">
        <v>587</v>
      </c>
      <c r="F427" s="22">
        <v>8.8000000000000007</v>
      </c>
      <c r="G427" s="22" t="s">
        <v>1822</v>
      </c>
      <c r="H427" s="22" t="s">
        <v>588</v>
      </c>
      <c r="I427" s="23" t="s">
        <v>577</v>
      </c>
      <c r="J427" s="23" t="s">
        <v>1823</v>
      </c>
      <c r="K427" s="23" t="s">
        <v>589</v>
      </c>
      <c r="L427" s="23" t="s">
        <v>590</v>
      </c>
      <c r="M427" s="23"/>
      <c r="N427" s="23"/>
      <c r="O427" s="23"/>
      <c r="P427" s="23"/>
      <c r="Q427" s="23"/>
      <c r="R427" s="23"/>
      <c r="S427" s="23"/>
      <c r="T427" s="23"/>
      <c r="U427" s="23"/>
      <c r="V427" s="23"/>
      <c r="W427" s="23"/>
      <c r="X427" s="4"/>
    </row>
    <row r="428" spans="1:24" ht="26.25" x14ac:dyDescent="0.25">
      <c r="A428" s="21" t="s">
        <v>1824</v>
      </c>
      <c r="B428" s="21" t="str">
        <f t="shared" si="7"/>
        <v>84669100</v>
      </c>
      <c r="C428" s="21" t="str">
        <f>Tabela5[[#This Row],[Cod. Ncm]]&amp;"-"&amp;Tabela5[[#This Row],[Operações]]</f>
        <v>84669100-Internas e interestaduais</v>
      </c>
      <c r="D428" s="22" t="s">
        <v>586</v>
      </c>
      <c r="E428" s="22" t="s">
        <v>587</v>
      </c>
      <c r="F428" s="22">
        <v>8.8000000000000007</v>
      </c>
      <c r="G428" s="22" t="s">
        <v>1825</v>
      </c>
      <c r="H428" s="22" t="s">
        <v>588</v>
      </c>
      <c r="I428" s="23" t="s">
        <v>577</v>
      </c>
      <c r="J428" s="23" t="s">
        <v>1826</v>
      </c>
      <c r="K428" s="23" t="s">
        <v>589</v>
      </c>
      <c r="L428" s="23" t="s">
        <v>590</v>
      </c>
      <c r="M428" s="23"/>
      <c r="N428" s="23"/>
      <c r="O428" s="23"/>
      <c r="P428" s="23"/>
      <c r="Q428" s="23"/>
      <c r="R428" s="23"/>
      <c r="S428" s="23"/>
      <c r="T428" s="23"/>
      <c r="U428" s="23"/>
      <c r="V428" s="23"/>
      <c r="W428" s="23"/>
      <c r="X428" s="4"/>
    </row>
    <row r="429" spans="1:24" ht="26.25" x14ac:dyDescent="0.25">
      <c r="A429" s="21" t="s">
        <v>1827</v>
      </c>
      <c r="B429" s="21" t="str">
        <f t="shared" si="7"/>
        <v>84669200</v>
      </c>
      <c r="C429" s="21" t="str">
        <f>Tabela5[[#This Row],[Cod. Ncm]]&amp;"-"&amp;Tabela5[[#This Row],[Operações]]</f>
        <v>84669200-Internas e interestaduais</v>
      </c>
      <c r="D429" s="22" t="s">
        <v>586</v>
      </c>
      <c r="E429" s="22" t="s">
        <v>587</v>
      </c>
      <c r="F429" s="22">
        <v>8.8000000000000007</v>
      </c>
      <c r="G429" s="22" t="s">
        <v>1828</v>
      </c>
      <c r="H429" s="22" t="s">
        <v>588</v>
      </c>
      <c r="I429" s="23" t="s">
        <v>577</v>
      </c>
      <c r="J429" s="23" t="s">
        <v>1829</v>
      </c>
      <c r="K429" s="23" t="s">
        <v>589</v>
      </c>
      <c r="L429" s="23" t="s">
        <v>590</v>
      </c>
      <c r="M429" s="23"/>
      <c r="N429" s="23"/>
      <c r="O429" s="23"/>
      <c r="P429" s="23"/>
      <c r="Q429" s="23"/>
      <c r="R429" s="23"/>
      <c r="S429" s="23"/>
      <c r="T429" s="23"/>
      <c r="U429" s="23"/>
      <c r="V429" s="23"/>
      <c r="W429" s="23"/>
      <c r="X429" s="4"/>
    </row>
    <row r="430" spans="1:24" ht="38.25" x14ac:dyDescent="0.25">
      <c r="A430" s="21" t="s">
        <v>1830</v>
      </c>
      <c r="B430" s="21" t="str">
        <f t="shared" si="7"/>
        <v>84669319</v>
      </c>
      <c r="C430" s="21" t="str">
        <f>Tabela5[[#This Row],[Cod. Ncm]]&amp;"-"&amp;Tabela5[[#This Row],[Operações]]</f>
        <v>84669319-Internas e interestaduais</v>
      </c>
      <c r="D430" s="22" t="s">
        <v>586</v>
      </c>
      <c r="E430" s="22" t="s">
        <v>587</v>
      </c>
      <c r="F430" s="22">
        <v>8.8000000000000007</v>
      </c>
      <c r="G430" s="22" t="s">
        <v>1831</v>
      </c>
      <c r="H430" s="22" t="s">
        <v>588</v>
      </c>
      <c r="I430" s="23" t="s">
        <v>577</v>
      </c>
      <c r="J430" s="23" t="s">
        <v>1832</v>
      </c>
      <c r="K430" s="23" t="s">
        <v>589</v>
      </c>
      <c r="L430" s="23" t="s">
        <v>590</v>
      </c>
      <c r="M430" s="23"/>
      <c r="N430" s="23"/>
      <c r="O430" s="23"/>
      <c r="P430" s="23"/>
      <c r="Q430" s="23"/>
      <c r="R430" s="23"/>
      <c r="S430" s="23"/>
      <c r="T430" s="23"/>
      <c r="U430" s="23"/>
      <c r="V430" s="23"/>
      <c r="W430" s="23"/>
      <c r="X430" s="4"/>
    </row>
    <row r="431" spans="1:24" ht="26.25" x14ac:dyDescent="0.25">
      <c r="A431" s="21" t="s">
        <v>1833</v>
      </c>
      <c r="B431" s="21" t="str">
        <f t="shared" si="7"/>
        <v>84669320</v>
      </c>
      <c r="C431" s="21" t="str">
        <f>Tabela5[[#This Row],[Cod. Ncm]]&amp;"-"&amp;Tabela5[[#This Row],[Operações]]</f>
        <v>84669320-Internas e interestaduais</v>
      </c>
      <c r="D431" s="22" t="s">
        <v>586</v>
      </c>
      <c r="E431" s="22" t="s">
        <v>587</v>
      </c>
      <c r="F431" s="22">
        <v>8.8000000000000007</v>
      </c>
      <c r="G431" s="22" t="s">
        <v>1834</v>
      </c>
      <c r="H431" s="22" t="s">
        <v>588</v>
      </c>
      <c r="I431" s="23" t="s">
        <v>577</v>
      </c>
      <c r="J431" s="23" t="s">
        <v>1835</v>
      </c>
      <c r="K431" s="23" t="s">
        <v>589</v>
      </c>
      <c r="L431" s="23" t="s">
        <v>590</v>
      </c>
      <c r="M431" s="23"/>
      <c r="N431" s="23"/>
      <c r="O431" s="23"/>
      <c r="P431" s="23"/>
      <c r="Q431" s="23"/>
      <c r="R431" s="23"/>
      <c r="S431" s="23"/>
      <c r="T431" s="23"/>
      <c r="U431" s="23"/>
      <c r="V431" s="23"/>
      <c r="W431" s="23"/>
      <c r="X431" s="4"/>
    </row>
    <row r="432" spans="1:24" ht="26.25" x14ac:dyDescent="0.25">
      <c r="A432" s="21" t="s">
        <v>1836</v>
      </c>
      <c r="B432" s="21" t="str">
        <f t="shared" si="7"/>
        <v>84669330</v>
      </c>
      <c r="C432" s="21" t="str">
        <f>Tabela5[[#This Row],[Cod. Ncm]]&amp;"-"&amp;Tabela5[[#This Row],[Operações]]</f>
        <v>84669330-Internas e interestaduais</v>
      </c>
      <c r="D432" s="22" t="s">
        <v>586</v>
      </c>
      <c r="E432" s="22" t="s">
        <v>587</v>
      </c>
      <c r="F432" s="22">
        <v>8.8000000000000007</v>
      </c>
      <c r="G432" s="22" t="s">
        <v>1837</v>
      </c>
      <c r="H432" s="22" t="s">
        <v>588</v>
      </c>
      <c r="I432" s="23" t="s">
        <v>577</v>
      </c>
      <c r="J432" s="23" t="s">
        <v>1838</v>
      </c>
      <c r="K432" s="23" t="s">
        <v>589</v>
      </c>
      <c r="L432" s="23" t="s">
        <v>590</v>
      </c>
      <c r="M432" s="23"/>
      <c r="N432" s="23"/>
      <c r="O432" s="23"/>
      <c r="P432" s="23"/>
      <c r="Q432" s="23"/>
      <c r="R432" s="23"/>
      <c r="S432" s="23"/>
      <c r="T432" s="23"/>
      <c r="U432" s="23"/>
      <c r="V432" s="23"/>
      <c r="W432" s="23"/>
      <c r="X432" s="4"/>
    </row>
    <row r="433" spans="1:24" ht="26.25" x14ac:dyDescent="0.25">
      <c r="A433" s="21" t="s">
        <v>1839</v>
      </c>
      <c r="B433" s="21" t="str">
        <f t="shared" si="7"/>
        <v>84669340</v>
      </c>
      <c r="C433" s="21" t="str">
        <f>Tabela5[[#This Row],[Cod. Ncm]]&amp;"-"&amp;Tabela5[[#This Row],[Operações]]</f>
        <v>84669340-Internas e interestaduais</v>
      </c>
      <c r="D433" s="22" t="s">
        <v>586</v>
      </c>
      <c r="E433" s="22" t="s">
        <v>587</v>
      </c>
      <c r="F433" s="22">
        <v>8.8000000000000007</v>
      </c>
      <c r="G433" s="22" t="s">
        <v>1840</v>
      </c>
      <c r="H433" s="22" t="s">
        <v>588</v>
      </c>
      <c r="I433" s="23" t="s">
        <v>577</v>
      </c>
      <c r="J433" s="23" t="s">
        <v>1841</v>
      </c>
      <c r="K433" s="23" t="s">
        <v>589</v>
      </c>
      <c r="L433" s="23" t="s">
        <v>590</v>
      </c>
      <c r="M433" s="23"/>
      <c r="N433" s="23"/>
      <c r="O433" s="23"/>
      <c r="P433" s="23"/>
      <c r="Q433" s="23"/>
      <c r="R433" s="23"/>
      <c r="S433" s="23"/>
      <c r="T433" s="23"/>
      <c r="U433" s="23"/>
      <c r="V433" s="23"/>
      <c r="W433" s="23"/>
      <c r="X433" s="4"/>
    </row>
    <row r="434" spans="1:24" ht="26.25" x14ac:dyDescent="0.25">
      <c r="A434" s="21" t="s">
        <v>1842</v>
      </c>
      <c r="B434" s="21" t="str">
        <f t="shared" si="7"/>
        <v>84669350</v>
      </c>
      <c r="C434" s="21" t="str">
        <f>Tabela5[[#This Row],[Cod. Ncm]]&amp;"-"&amp;Tabela5[[#This Row],[Operações]]</f>
        <v>84669350-Internas e interestaduais</v>
      </c>
      <c r="D434" s="22" t="s">
        <v>586</v>
      </c>
      <c r="E434" s="22" t="s">
        <v>587</v>
      </c>
      <c r="F434" s="22">
        <v>8.8000000000000007</v>
      </c>
      <c r="G434" s="22" t="s">
        <v>1843</v>
      </c>
      <c r="H434" s="22" t="s">
        <v>588</v>
      </c>
      <c r="I434" s="23" t="s">
        <v>577</v>
      </c>
      <c r="J434" s="23" t="s">
        <v>1844</v>
      </c>
      <c r="K434" s="23" t="s">
        <v>589</v>
      </c>
      <c r="L434" s="23" t="s">
        <v>590</v>
      </c>
      <c r="M434" s="23"/>
      <c r="N434" s="23"/>
      <c r="O434" s="23"/>
      <c r="P434" s="23"/>
      <c r="Q434" s="23"/>
      <c r="R434" s="23"/>
      <c r="S434" s="23"/>
      <c r="T434" s="23"/>
      <c r="U434" s="23"/>
      <c r="V434" s="23"/>
      <c r="W434" s="23"/>
      <c r="X434" s="4"/>
    </row>
    <row r="435" spans="1:24" ht="26.25" x14ac:dyDescent="0.25">
      <c r="A435" s="21" t="s">
        <v>1845</v>
      </c>
      <c r="B435" s="21" t="str">
        <f t="shared" si="7"/>
        <v>84669360</v>
      </c>
      <c r="C435" s="21" t="str">
        <f>Tabela5[[#This Row],[Cod. Ncm]]&amp;"-"&amp;Tabela5[[#This Row],[Operações]]</f>
        <v>84669360-Internas e interestaduais</v>
      </c>
      <c r="D435" s="22" t="s">
        <v>586</v>
      </c>
      <c r="E435" s="22" t="s">
        <v>587</v>
      </c>
      <c r="F435" s="22">
        <v>8.8000000000000007</v>
      </c>
      <c r="G435" s="22" t="s">
        <v>1846</v>
      </c>
      <c r="H435" s="22" t="s">
        <v>588</v>
      </c>
      <c r="I435" s="23" t="s">
        <v>577</v>
      </c>
      <c r="J435" s="23" t="s">
        <v>1847</v>
      </c>
      <c r="K435" s="23" t="s">
        <v>589</v>
      </c>
      <c r="L435" s="23" t="s">
        <v>590</v>
      </c>
      <c r="M435" s="23"/>
      <c r="N435" s="23"/>
      <c r="O435" s="23"/>
      <c r="P435" s="23"/>
      <c r="Q435" s="23"/>
      <c r="R435" s="23"/>
      <c r="S435" s="23"/>
      <c r="T435" s="23"/>
      <c r="U435" s="23"/>
      <c r="V435" s="23"/>
      <c r="W435" s="23"/>
      <c r="X435" s="4"/>
    </row>
    <row r="436" spans="1:24" ht="26.25" x14ac:dyDescent="0.25">
      <c r="A436" s="21" t="s">
        <v>1848</v>
      </c>
      <c r="B436" s="21" t="str">
        <f t="shared" si="7"/>
        <v>84669410</v>
      </c>
      <c r="C436" s="21" t="str">
        <f>Tabela5[[#This Row],[Cod. Ncm]]&amp;"-"&amp;Tabela5[[#This Row],[Operações]]</f>
        <v>84669410-Internas e interestaduais</v>
      </c>
      <c r="D436" s="22" t="s">
        <v>586</v>
      </c>
      <c r="E436" s="22" t="s">
        <v>587</v>
      </c>
      <c r="F436" s="22">
        <v>8.8000000000000007</v>
      </c>
      <c r="G436" s="22" t="s">
        <v>1849</v>
      </c>
      <c r="H436" s="22" t="s">
        <v>588</v>
      </c>
      <c r="I436" s="23" t="s">
        <v>577</v>
      </c>
      <c r="J436" s="23" t="s">
        <v>1850</v>
      </c>
      <c r="K436" s="23" t="s">
        <v>589</v>
      </c>
      <c r="L436" s="23" t="s">
        <v>590</v>
      </c>
      <c r="M436" s="23"/>
      <c r="N436" s="23"/>
      <c r="O436" s="23"/>
      <c r="P436" s="23"/>
      <c r="Q436" s="23"/>
      <c r="R436" s="23"/>
      <c r="S436" s="23"/>
      <c r="T436" s="23"/>
      <c r="U436" s="23"/>
      <c r="V436" s="23"/>
      <c r="W436" s="23"/>
      <c r="X436" s="4"/>
    </row>
    <row r="437" spans="1:24" ht="26.25" x14ac:dyDescent="0.25">
      <c r="A437" s="21" t="s">
        <v>1851</v>
      </c>
      <c r="B437" s="21" t="str">
        <f t="shared" si="7"/>
        <v>84669420</v>
      </c>
      <c r="C437" s="21" t="str">
        <f>Tabela5[[#This Row],[Cod. Ncm]]&amp;"-"&amp;Tabela5[[#This Row],[Operações]]</f>
        <v>84669420-Internas e interestaduais</v>
      </c>
      <c r="D437" s="22" t="s">
        <v>586</v>
      </c>
      <c r="E437" s="22" t="s">
        <v>587</v>
      </c>
      <c r="F437" s="22">
        <v>8.8000000000000007</v>
      </c>
      <c r="G437" s="22" t="s">
        <v>1852</v>
      </c>
      <c r="H437" s="22" t="s">
        <v>588</v>
      </c>
      <c r="I437" s="23" t="s">
        <v>577</v>
      </c>
      <c r="J437" s="23" t="s">
        <v>1853</v>
      </c>
      <c r="K437" s="23" t="s">
        <v>589</v>
      </c>
      <c r="L437" s="23" t="s">
        <v>590</v>
      </c>
      <c r="M437" s="23"/>
      <c r="N437" s="23"/>
      <c r="O437" s="23"/>
      <c r="P437" s="23"/>
      <c r="Q437" s="23"/>
      <c r="R437" s="23"/>
      <c r="S437" s="23"/>
      <c r="T437" s="23"/>
      <c r="U437" s="23"/>
      <c r="V437" s="23"/>
      <c r="W437" s="23"/>
      <c r="X437" s="4"/>
    </row>
    <row r="438" spans="1:24" ht="26.25" x14ac:dyDescent="0.25">
      <c r="A438" s="21" t="s">
        <v>1854</v>
      </c>
      <c r="B438" s="21" t="str">
        <f t="shared" si="7"/>
        <v>84669430</v>
      </c>
      <c r="C438" s="21" t="str">
        <f>Tabela5[[#This Row],[Cod. Ncm]]&amp;"-"&amp;Tabela5[[#This Row],[Operações]]</f>
        <v>84669430-Internas e interestaduais</v>
      </c>
      <c r="D438" s="22" t="s">
        <v>586</v>
      </c>
      <c r="E438" s="22" t="s">
        <v>587</v>
      </c>
      <c r="F438" s="22">
        <v>8.8000000000000007</v>
      </c>
      <c r="G438" s="22" t="s">
        <v>1855</v>
      </c>
      <c r="H438" s="22" t="s">
        <v>588</v>
      </c>
      <c r="I438" s="23" t="s">
        <v>577</v>
      </c>
      <c r="J438" s="23" t="s">
        <v>1856</v>
      </c>
      <c r="K438" s="23" t="s">
        <v>589</v>
      </c>
      <c r="L438" s="23" t="s">
        <v>590</v>
      </c>
      <c r="M438" s="23"/>
      <c r="N438" s="23"/>
      <c r="O438" s="23"/>
      <c r="P438" s="23"/>
      <c r="Q438" s="23"/>
      <c r="R438" s="23"/>
      <c r="S438" s="23"/>
      <c r="T438" s="23"/>
      <c r="U438" s="23"/>
      <c r="V438" s="23"/>
      <c r="W438" s="23"/>
      <c r="X438" s="4"/>
    </row>
    <row r="439" spans="1:24" ht="102" x14ac:dyDescent="0.25">
      <c r="A439" s="21" t="s">
        <v>1857</v>
      </c>
      <c r="B439" s="21" t="str">
        <f t="shared" si="7"/>
        <v>84669490</v>
      </c>
      <c r="C439" s="21" t="str">
        <f>Tabela5[[#This Row],[Cod. Ncm]]&amp;"-"&amp;Tabela5[[#This Row],[Operações]]</f>
        <v>84669490-Internas e interestaduais</v>
      </c>
      <c r="D439" s="22" t="s">
        <v>586</v>
      </c>
      <c r="E439" s="22" t="s">
        <v>587</v>
      </c>
      <c r="F439" s="22">
        <v>8.8000000000000007</v>
      </c>
      <c r="G439" s="22" t="s">
        <v>1858</v>
      </c>
      <c r="H439" s="22" t="s">
        <v>588</v>
      </c>
      <c r="I439" s="23" t="s">
        <v>577</v>
      </c>
      <c r="J439" s="23" t="s">
        <v>1859</v>
      </c>
      <c r="K439" s="23" t="s">
        <v>589</v>
      </c>
      <c r="L439" s="23" t="s">
        <v>590</v>
      </c>
      <c r="M439" s="23"/>
      <c r="N439" s="23"/>
      <c r="O439" s="23"/>
      <c r="P439" s="23"/>
      <c r="Q439" s="23"/>
      <c r="R439" s="23"/>
      <c r="S439" s="23"/>
      <c r="T439" s="23"/>
      <c r="U439" s="23"/>
      <c r="V439" s="23"/>
      <c r="W439" s="23"/>
      <c r="X439" s="4"/>
    </row>
    <row r="440" spans="1:24" ht="26.25" x14ac:dyDescent="0.25">
      <c r="A440" s="21" t="s">
        <v>1860</v>
      </c>
      <c r="B440" s="21" t="str">
        <f t="shared" si="7"/>
        <v>84671110</v>
      </c>
      <c r="C440" s="21" t="str">
        <f>Tabela5[[#This Row],[Cod. Ncm]]&amp;"-"&amp;Tabela5[[#This Row],[Operações]]</f>
        <v>84671110-Internas e interestaduais</v>
      </c>
      <c r="D440" s="22" t="s">
        <v>586</v>
      </c>
      <c r="E440" s="22" t="s">
        <v>587</v>
      </c>
      <c r="F440" s="22">
        <v>8.8000000000000007</v>
      </c>
      <c r="G440" s="22" t="s">
        <v>1861</v>
      </c>
      <c r="H440" s="22" t="s">
        <v>588</v>
      </c>
      <c r="I440" s="23" t="s">
        <v>577</v>
      </c>
      <c r="J440" s="23" t="s">
        <v>1862</v>
      </c>
      <c r="K440" s="23" t="s">
        <v>589</v>
      </c>
      <c r="L440" s="23" t="s">
        <v>590</v>
      </c>
      <c r="M440" s="23"/>
      <c r="N440" s="23"/>
      <c r="O440" s="23"/>
      <c r="P440" s="23"/>
      <c r="Q440" s="23"/>
      <c r="R440" s="23"/>
      <c r="S440" s="23"/>
      <c r="T440" s="23"/>
      <c r="U440" s="23"/>
      <c r="V440" s="23"/>
      <c r="W440" s="23"/>
      <c r="X440" s="4"/>
    </row>
    <row r="441" spans="1:24" ht="26.25" x14ac:dyDescent="0.25">
      <c r="A441" s="21" t="s">
        <v>1863</v>
      </c>
      <c r="B441" s="21" t="str">
        <f t="shared" si="7"/>
        <v>84671190</v>
      </c>
      <c r="C441" s="21" t="str">
        <f>Tabela5[[#This Row],[Cod. Ncm]]&amp;"-"&amp;Tabela5[[#This Row],[Operações]]</f>
        <v>84671190-Internas e interestaduais</v>
      </c>
      <c r="D441" s="22" t="s">
        <v>586</v>
      </c>
      <c r="E441" s="22" t="s">
        <v>587</v>
      </c>
      <c r="F441" s="22">
        <v>8.8000000000000007</v>
      </c>
      <c r="G441" s="22" t="s">
        <v>1864</v>
      </c>
      <c r="H441" s="22" t="s">
        <v>588</v>
      </c>
      <c r="I441" s="23" t="s">
        <v>577</v>
      </c>
      <c r="J441" s="23" t="s">
        <v>1865</v>
      </c>
      <c r="K441" s="23" t="s">
        <v>589</v>
      </c>
      <c r="L441" s="23" t="s">
        <v>590</v>
      </c>
      <c r="M441" s="23"/>
      <c r="N441" s="23"/>
      <c r="O441" s="23"/>
      <c r="P441" s="23"/>
      <c r="Q441" s="23"/>
      <c r="R441" s="23"/>
      <c r="S441" s="23"/>
      <c r="T441" s="23"/>
      <c r="U441" s="23"/>
      <c r="V441" s="23"/>
      <c r="W441" s="23"/>
      <c r="X441" s="4"/>
    </row>
    <row r="442" spans="1:24" ht="38.25" x14ac:dyDescent="0.25">
      <c r="A442" s="21" t="s">
        <v>1866</v>
      </c>
      <c r="B442" s="21" t="str">
        <f t="shared" si="7"/>
        <v>84671900</v>
      </c>
      <c r="C442" s="21" t="str">
        <f>Tabela5[[#This Row],[Cod. Ncm]]&amp;"-"&amp;Tabela5[[#This Row],[Operações]]</f>
        <v>84671900-Internas e interestaduais</v>
      </c>
      <c r="D442" s="22" t="s">
        <v>586</v>
      </c>
      <c r="E442" s="22" t="s">
        <v>587</v>
      </c>
      <c r="F442" s="22">
        <v>8.8000000000000007</v>
      </c>
      <c r="G442" s="22" t="s">
        <v>1867</v>
      </c>
      <c r="H442" s="22" t="s">
        <v>588</v>
      </c>
      <c r="I442" s="23" t="s">
        <v>577</v>
      </c>
      <c r="J442" s="23" t="s">
        <v>1868</v>
      </c>
      <c r="K442" s="23" t="s">
        <v>589</v>
      </c>
      <c r="L442" s="23" t="s">
        <v>590</v>
      </c>
      <c r="M442" s="23"/>
      <c r="N442" s="23"/>
      <c r="O442" s="23"/>
      <c r="P442" s="23"/>
      <c r="Q442" s="23"/>
      <c r="R442" s="23"/>
      <c r="S442" s="23"/>
      <c r="T442" s="23"/>
      <c r="U442" s="23"/>
      <c r="V442" s="23"/>
      <c r="W442" s="23"/>
      <c r="X442" s="4"/>
    </row>
    <row r="443" spans="1:24" ht="26.25" x14ac:dyDescent="0.25">
      <c r="A443" s="21" t="s">
        <v>1871</v>
      </c>
      <c r="B443" s="21" t="str">
        <f t="shared" si="7"/>
        <v>84681000</v>
      </c>
      <c r="C443" s="21" t="str">
        <f>Tabela5[[#This Row],[Cod. Ncm]]&amp;"-"&amp;Tabela5[[#This Row],[Operações]]</f>
        <v>84681000-Internas e interestaduais</v>
      </c>
      <c r="D443" s="22" t="s">
        <v>586</v>
      </c>
      <c r="E443" s="22" t="s">
        <v>587</v>
      </c>
      <c r="F443" s="22">
        <v>8.8000000000000007</v>
      </c>
      <c r="G443" s="22" t="s">
        <v>1872</v>
      </c>
      <c r="H443" s="22" t="s">
        <v>588</v>
      </c>
      <c r="I443" s="23" t="s">
        <v>577</v>
      </c>
      <c r="J443" s="23" t="s">
        <v>1873</v>
      </c>
      <c r="K443" s="23" t="s">
        <v>589</v>
      </c>
      <c r="L443" s="23" t="s">
        <v>590</v>
      </c>
      <c r="M443" s="23"/>
      <c r="N443" s="23"/>
      <c r="O443" s="23"/>
      <c r="P443" s="23"/>
      <c r="Q443" s="23"/>
      <c r="R443" s="23"/>
      <c r="S443" s="23"/>
      <c r="T443" s="23"/>
      <c r="U443" s="23"/>
      <c r="V443" s="23"/>
      <c r="W443" s="23"/>
      <c r="X443" s="4"/>
    </row>
    <row r="444" spans="1:24" ht="51" x14ac:dyDescent="0.25">
      <c r="A444" s="21" t="s">
        <v>1874</v>
      </c>
      <c r="B444" s="21" t="str">
        <f t="shared" si="7"/>
        <v>84682000</v>
      </c>
      <c r="C444" s="21" t="str">
        <f>Tabela5[[#This Row],[Cod. Ncm]]&amp;"-"&amp;Tabela5[[#This Row],[Operações]]</f>
        <v>84682000-Internas e interestaduais</v>
      </c>
      <c r="D444" s="22" t="s">
        <v>586</v>
      </c>
      <c r="E444" s="22" t="s">
        <v>587</v>
      </c>
      <c r="F444" s="22">
        <v>8.8000000000000007</v>
      </c>
      <c r="G444" s="22" t="s">
        <v>1875</v>
      </c>
      <c r="H444" s="22" t="s">
        <v>588</v>
      </c>
      <c r="I444" s="23" t="s">
        <v>577</v>
      </c>
      <c r="J444" s="23" t="s">
        <v>1876</v>
      </c>
      <c r="K444" s="23" t="s">
        <v>589</v>
      </c>
      <c r="L444" s="23" t="s">
        <v>590</v>
      </c>
      <c r="M444" s="23"/>
      <c r="N444" s="23"/>
      <c r="O444" s="23"/>
      <c r="P444" s="23"/>
      <c r="Q444" s="23"/>
      <c r="R444" s="23"/>
      <c r="S444" s="23"/>
      <c r="T444" s="23"/>
      <c r="U444" s="23"/>
      <c r="V444" s="23"/>
      <c r="W444" s="23"/>
      <c r="X444" s="4"/>
    </row>
    <row r="445" spans="1:24" ht="26.25" x14ac:dyDescent="0.25">
      <c r="A445" s="21" t="s">
        <v>1877</v>
      </c>
      <c r="B445" s="21" t="str">
        <f t="shared" si="7"/>
        <v>84688010</v>
      </c>
      <c r="C445" s="21" t="str">
        <f>Tabela5[[#This Row],[Cod. Ncm]]&amp;"-"&amp;Tabela5[[#This Row],[Operações]]</f>
        <v>84688010-Internas e interestaduais</v>
      </c>
      <c r="D445" s="22" t="s">
        <v>586</v>
      </c>
      <c r="E445" s="22" t="s">
        <v>587</v>
      </c>
      <c r="F445" s="22">
        <v>8.8000000000000007</v>
      </c>
      <c r="G445" s="22" t="s">
        <v>1878</v>
      </c>
      <c r="H445" s="22" t="s">
        <v>588</v>
      </c>
      <c r="I445" s="23" t="s">
        <v>577</v>
      </c>
      <c r="J445" s="23" t="s">
        <v>1879</v>
      </c>
      <c r="K445" s="23" t="s">
        <v>589</v>
      </c>
      <c r="L445" s="23" t="s">
        <v>590</v>
      </c>
      <c r="M445" s="23"/>
      <c r="N445" s="23"/>
      <c r="O445" s="23"/>
      <c r="P445" s="23"/>
      <c r="Q445" s="23"/>
      <c r="R445" s="23"/>
      <c r="S445" s="23"/>
      <c r="T445" s="23"/>
      <c r="U445" s="23"/>
      <c r="V445" s="23"/>
      <c r="W445" s="23"/>
      <c r="X445" s="4"/>
    </row>
    <row r="446" spans="1:24" ht="26.25" x14ac:dyDescent="0.25">
      <c r="A446" s="21" t="s">
        <v>1880</v>
      </c>
      <c r="B446" s="21" t="str">
        <f t="shared" si="7"/>
        <v>84688090</v>
      </c>
      <c r="C446" s="21" t="str">
        <f>Tabela5[[#This Row],[Cod. Ncm]]&amp;"-"&amp;Tabela5[[#This Row],[Operações]]</f>
        <v>84688090-Internas e interestaduais</v>
      </c>
      <c r="D446" s="22" t="s">
        <v>586</v>
      </c>
      <c r="E446" s="22" t="s">
        <v>587</v>
      </c>
      <c r="F446" s="22">
        <v>8.8000000000000007</v>
      </c>
      <c r="G446" s="22" t="s">
        <v>1881</v>
      </c>
      <c r="H446" s="22" t="s">
        <v>588</v>
      </c>
      <c r="I446" s="23" t="s">
        <v>577</v>
      </c>
      <c r="J446" s="23" t="s">
        <v>1882</v>
      </c>
      <c r="K446" s="23" t="s">
        <v>589</v>
      </c>
      <c r="L446" s="23" t="s">
        <v>590</v>
      </c>
      <c r="M446" s="23"/>
      <c r="N446" s="23"/>
      <c r="O446" s="23"/>
      <c r="P446" s="23"/>
      <c r="Q446" s="23"/>
      <c r="R446" s="23"/>
      <c r="S446" s="23"/>
      <c r="T446" s="23"/>
      <c r="U446" s="23"/>
      <c r="V446" s="23"/>
      <c r="W446" s="23"/>
      <c r="X446" s="4"/>
    </row>
    <row r="447" spans="1:24" ht="63.75" x14ac:dyDescent="0.25">
      <c r="A447" s="21" t="s">
        <v>1883</v>
      </c>
      <c r="B447" s="21" t="str">
        <f t="shared" si="7"/>
        <v>84713012</v>
      </c>
      <c r="C447" s="21" t="str">
        <f>Tabela5[[#This Row],[Cod. Ncm]]&amp;"-"&amp;Tabela5[[#This Row],[Operações]]</f>
        <v>84713012-Internas</v>
      </c>
      <c r="D447" s="22" t="s">
        <v>579</v>
      </c>
      <c r="E447" s="22" t="s">
        <v>593</v>
      </c>
      <c r="F447" s="22">
        <v>7</v>
      </c>
      <c r="G447" s="22" t="s">
        <v>1884</v>
      </c>
      <c r="H447" s="22" t="s">
        <v>1083</v>
      </c>
      <c r="I447" s="23" t="s">
        <v>1885</v>
      </c>
      <c r="J447" s="23" t="s">
        <v>591</v>
      </c>
      <c r="K447" s="23" t="s">
        <v>592</v>
      </c>
      <c r="L447" s="23" t="s">
        <v>1086</v>
      </c>
      <c r="M447" s="23" t="s">
        <v>1087</v>
      </c>
      <c r="N447" s="23" t="s">
        <v>583</v>
      </c>
      <c r="O447" s="23"/>
      <c r="P447" s="23"/>
      <c r="Q447" s="23"/>
      <c r="R447" s="23"/>
      <c r="S447" s="23"/>
      <c r="T447" s="23"/>
      <c r="U447" s="23"/>
      <c r="V447" s="23"/>
      <c r="W447" s="23"/>
      <c r="X447" s="4"/>
    </row>
    <row r="448" spans="1:24" ht="51" x14ac:dyDescent="0.25">
      <c r="A448" s="21" t="s">
        <v>1886</v>
      </c>
      <c r="B448" s="21" t="str">
        <f t="shared" si="7"/>
        <v>84713019</v>
      </c>
      <c r="C448" s="21" t="str">
        <f>Tabela5[[#This Row],[Cod. Ncm]]&amp;"-"&amp;Tabela5[[#This Row],[Operações]]</f>
        <v>84713019-Internas</v>
      </c>
      <c r="D448" s="22" t="s">
        <v>579</v>
      </c>
      <c r="E448" s="22" t="s">
        <v>593</v>
      </c>
      <c r="F448" s="22">
        <v>7</v>
      </c>
      <c r="G448" s="22" t="s">
        <v>1887</v>
      </c>
      <c r="H448" s="22" t="s">
        <v>1083</v>
      </c>
      <c r="I448" s="23" t="s">
        <v>1888</v>
      </c>
      <c r="J448" s="23" t="s">
        <v>591</v>
      </c>
      <c r="K448" s="23" t="s">
        <v>592</v>
      </c>
      <c r="L448" s="23" t="s">
        <v>1086</v>
      </c>
      <c r="M448" s="23" t="s">
        <v>1087</v>
      </c>
      <c r="N448" s="23" t="s">
        <v>583</v>
      </c>
      <c r="O448" s="23"/>
      <c r="P448" s="23"/>
      <c r="Q448" s="23"/>
      <c r="R448" s="23"/>
      <c r="S448" s="23"/>
      <c r="T448" s="23"/>
      <c r="U448" s="23"/>
      <c r="V448" s="23"/>
      <c r="W448" s="23"/>
      <c r="X448" s="4"/>
    </row>
    <row r="449" spans="1:24" ht="89.25" x14ac:dyDescent="0.25">
      <c r="A449" s="21" t="s">
        <v>1889</v>
      </c>
      <c r="B449" s="21" t="str">
        <f t="shared" si="7"/>
        <v>84714110</v>
      </c>
      <c r="C449" s="21" t="str">
        <f>Tabela5[[#This Row],[Cod. Ncm]]&amp;"-"&amp;Tabela5[[#This Row],[Operações]]</f>
        <v>84714110-Internas</v>
      </c>
      <c r="D449" s="22" t="s">
        <v>579</v>
      </c>
      <c r="E449" s="22" t="s">
        <v>593</v>
      </c>
      <c r="F449" s="22">
        <v>7</v>
      </c>
      <c r="G449" s="22" t="s">
        <v>1890</v>
      </c>
      <c r="H449" s="22" t="s">
        <v>1083</v>
      </c>
      <c r="I449" s="23" t="s">
        <v>1891</v>
      </c>
      <c r="J449" s="23" t="s">
        <v>591</v>
      </c>
      <c r="K449" s="23" t="s">
        <v>592</v>
      </c>
      <c r="L449" s="23" t="s">
        <v>1086</v>
      </c>
      <c r="M449" s="23" t="s">
        <v>1087</v>
      </c>
      <c r="N449" s="23" t="s">
        <v>583</v>
      </c>
      <c r="O449" s="23"/>
      <c r="P449" s="23"/>
      <c r="Q449" s="23"/>
      <c r="R449" s="23"/>
      <c r="S449" s="23"/>
      <c r="T449" s="23"/>
      <c r="U449" s="23"/>
      <c r="V449" s="23"/>
      <c r="W449" s="23"/>
      <c r="X449" s="4"/>
    </row>
    <row r="450" spans="1:24" ht="39" x14ac:dyDescent="0.25">
      <c r="A450" s="21" t="s">
        <v>1892</v>
      </c>
      <c r="B450" s="21" t="str">
        <f t="shared" si="7"/>
        <v>84714190</v>
      </c>
      <c r="C450" s="21" t="str">
        <f>Tabela5[[#This Row],[Cod. Ncm]]&amp;"-"&amp;Tabela5[[#This Row],[Operações]]</f>
        <v>84714190-Internas</v>
      </c>
      <c r="D450" s="22" t="s">
        <v>579</v>
      </c>
      <c r="E450" s="22" t="s">
        <v>593</v>
      </c>
      <c r="F450" s="22">
        <v>7</v>
      </c>
      <c r="G450" s="22" t="s">
        <v>1893</v>
      </c>
      <c r="H450" s="22" t="s">
        <v>1083</v>
      </c>
      <c r="I450" s="23" t="s">
        <v>1894</v>
      </c>
      <c r="J450" s="23" t="s">
        <v>591</v>
      </c>
      <c r="K450" s="23" t="s">
        <v>592</v>
      </c>
      <c r="L450" s="23" t="s">
        <v>1086</v>
      </c>
      <c r="M450" s="23" t="s">
        <v>1087</v>
      </c>
      <c r="N450" s="23" t="s">
        <v>1154</v>
      </c>
      <c r="O450" s="23" t="s">
        <v>583</v>
      </c>
      <c r="P450" s="23"/>
      <c r="Q450" s="23"/>
      <c r="R450" s="23"/>
      <c r="S450" s="23"/>
      <c r="T450" s="23"/>
      <c r="U450" s="23"/>
      <c r="V450" s="23"/>
      <c r="W450" s="23"/>
      <c r="X450" s="4"/>
    </row>
    <row r="451" spans="1:24" ht="39" x14ac:dyDescent="0.25">
      <c r="A451" s="21" t="s">
        <v>1895</v>
      </c>
      <c r="B451" s="21" t="str">
        <f t="shared" si="7"/>
        <v>84714900</v>
      </c>
      <c r="C451" s="21" t="str">
        <f>Tabela5[[#This Row],[Cod. Ncm]]&amp;"-"&amp;Tabela5[[#This Row],[Operações]]</f>
        <v>84714900-Internas</v>
      </c>
      <c r="D451" s="22" t="s">
        <v>579</v>
      </c>
      <c r="E451" s="22" t="s">
        <v>593</v>
      </c>
      <c r="F451" s="22">
        <v>7</v>
      </c>
      <c r="G451" s="22" t="s">
        <v>1893</v>
      </c>
      <c r="H451" s="22" t="s">
        <v>1083</v>
      </c>
      <c r="I451" s="23" t="s">
        <v>1894</v>
      </c>
      <c r="J451" s="23" t="s">
        <v>591</v>
      </c>
      <c r="K451" s="23" t="s">
        <v>592</v>
      </c>
      <c r="L451" s="23" t="s">
        <v>1086</v>
      </c>
      <c r="M451" s="23" t="s">
        <v>1087</v>
      </c>
      <c r="N451" s="23" t="s">
        <v>583</v>
      </c>
      <c r="O451" s="23"/>
      <c r="P451" s="23"/>
      <c r="Q451" s="23"/>
      <c r="R451" s="23"/>
      <c r="S451" s="23"/>
      <c r="T451" s="23"/>
      <c r="U451" s="23"/>
      <c r="V451" s="23"/>
      <c r="W451" s="23"/>
      <c r="X451" s="4"/>
    </row>
    <row r="452" spans="1:24" ht="63.75" x14ac:dyDescent="0.25">
      <c r="A452" s="21" t="s">
        <v>1896</v>
      </c>
      <c r="B452" s="21" t="str">
        <f t="shared" si="7"/>
        <v>84715010</v>
      </c>
      <c r="C452" s="21" t="str">
        <f>Tabela5[[#This Row],[Cod. Ncm]]&amp;"-"&amp;Tabela5[[#This Row],[Operações]]</f>
        <v>84715010-Internas</v>
      </c>
      <c r="D452" s="22" t="s">
        <v>579</v>
      </c>
      <c r="E452" s="22" t="s">
        <v>593</v>
      </c>
      <c r="F452" s="22">
        <v>7</v>
      </c>
      <c r="G452" s="22" t="s">
        <v>1897</v>
      </c>
      <c r="H452" s="22" t="s">
        <v>1083</v>
      </c>
      <c r="I452" s="23" t="s">
        <v>1898</v>
      </c>
      <c r="J452" s="23" t="s">
        <v>591</v>
      </c>
      <c r="K452" s="23" t="s">
        <v>592</v>
      </c>
      <c r="L452" s="23" t="s">
        <v>1086</v>
      </c>
      <c r="M452" s="23" t="s">
        <v>1087</v>
      </c>
      <c r="N452" s="23" t="s">
        <v>583</v>
      </c>
      <c r="O452" s="23"/>
      <c r="P452" s="23"/>
      <c r="Q452" s="23"/>
      <c r="R452" s="23"/>
      <c r="S452" s="23"/>
      <c r="T452" s="23"/>
      <c r="U452" s="23"/>
      <c r="V452" s="23"/>
      <c r="W452" s="23"/>
      <c r="X452" s="4"/>
    </row>
    <row r="453" spans="1:24" ht="39" x14ac:dyDescent="0.25">
      <c r="A453" s="21" t="s">
        <v>1899</v>
      </c>
      <c r="B453" s="21" t="str">
        <f t="shared" si="7"/>
        <v>84715020</v>
      </c>
      <c r="C453" s="21" t="str">
        <f>Tabela5[[#This Row],[Cod. Ncm]]&amp;"-"&amp;Tabela5[[#This Row],[Operações]]</f>
        <v>84715020-Internas</v>
      </c>
      <c r="D453" s="22" t="s">
        <v>579</v>
      </c>
      <c r="E453" s="22" t="s">
        <v>593</v>
      </c>
      <c r="F453" s="22">
        <v>7</v>
      </c>
      <c r="G453" s="22" t="s">
        <v>1900</v>
      </c>
      <c r="H453" s="22" t="s">
        <v>1083</v>
      </c>
      <c r="I453" s="23" t="s">
        <v>1901</v>
      </c>
      <c r="J453" s="23" t="s">
        <v>591</v>
      </c>
      <c r="K453" s="23" t="s">
        <v>592</v>
      </c>
      <c r="L453" s="23" t="s">
        <v>1086</v>
      </c>
      <c r="M453" s="23" t="s">
        <v>1087</v>
      </c>
      <c r="N453" s="23" t="s">
        <v>583</v>
      </c>
      <c r="O453" s="23"/>
      <c r="P453" s="23"/>
      <c r="Q453" s="23"/>
      <c r="R453" s="23"/>
      <c r="S453" s="23"/>
      <c r="T453" s="23"/>
      <c r="U453" s="23"/>
      <c r="V453" s="23"/>
      <c r="W453" s="23"/>
      <c r="X453" s="4"/>
    </row>
    <row r="454" spans="1:24" ht="39" x14ac:dyDescent="0.25">
      <c r="A454" s="21" t="s">
        <v>1902</v>
      </c>
      <c r="B454" s="21" t="str">
        <f t="shared" si="7"/>
        <v>84716052</v>
      </c>
      <c r="C454" s="21" t="str">
        <f>Tabela5[[#This Row],[Cod. Ncm]]&amp;"-"&amp;Tabela5[[#This Row],[Operações]]</f>
        <v>84716052-Internas</v>
      </c>
      <c r="D454" s="22" t="s">
        <v>579</v>
      </c>
      <c r="E454" s="22" t="s">
        <v>593</v>
      </c>
      <c r="F454" s="22">
        <v>7</v>
      </c>
      <c r="G454" s="22" t="s">
        <v>1903</v>
      </c>
      <c r="H454" s="22" t="s">
        <v>1083</v>
      </c>
      <c r="I454" s="23" t="s">
        <v>1904</v>
      </c>
      <c r="J454" s="23" t="s">
        <v>591</v>
      </c>
      <c r="K454" s="23" t="s">
        <v>592</v>
      </c>
      <c r="L454" s="23" t="s">
        <v>1086</v>
      </c>
      <c r="M454" s="23" t="s">
        <v>1087</v>
      </c>
      <c r="N454" s="23" t="s">
        <v>583</v>
      </c>
      <c r="O454" s="23"/>
      <c r="P454" s="23"/>
      <c r="Q454" s="23"/>
      <c r="R454" s="23"/>
      <c r="S454" s="23"/>
      <c r="T454" s="23"/>
      <c r="U454" s="23"/>
      <c r="V454" s="23"/>
      <c r="W454" s="23"/>
      <c r="X454" s="4"/>
    </row>
    <row r="455" spans="1:24" ht="39" x14ac:dyDescent="0.25">
      <c r="A455" s="21" t="s">
        <v>1905</v>
      </c>
      <c r="B455" s="21" t="str">
        <f t="shared" ref="B455:B517" si="8">RIGHT(A455,8)</f>
        <v>84716053</v>
      </c>
      <c r="C455" s="21" t="str">
        <f>Tabela5[[#This Row],[Cod. Ncm]]&amp;"-"&amp;Tabela5[[#This Row],[Operações]]</f>
        <v>84716053-Internas</v>
      </c>
      <c r="D455" s="22" t="s">
        <v>579</v>
      </c>
      <c r="E455" s="22" t="s">
        <v>593</v>
      </c>
      <c r="F455" s="22">
        <v>7</v>
      </c>
      <c r="G455" s="22" t="s">
        <v>1906</v>
      </c>
      <c r="H455" s="22" t="s">
        <v>1083</v>
      </c>
      <c r="I455" s="23" t="s">
        <v>1907</v>
      </c>
      <c r="J455" s="23" t="s">
        <v>591</v>
      </c>
      <c r="K455" s="23" t="s">
        <v>592</v>
      </c>
      <c r="L455" s="23" t="s">
        <v>1086</v>
      </c>
      <c r="M455" s="23" t="s">
        <v>1087</v>
      </c>
      <c r="N455" s="23" t="s">
        <v>583</v>
      </c>
      <c r="O455" s="23"/>
      <c r="P455" s="23"/>
      <c r="Q455" s="23"/>
      <c r="R455" s="23"/>
      <c r="S455" s="23"/>
      <c r="T455" s="23"/>
      <c r="U455" s="23"/>
      <c r="V455" s="23"/>
      <c r="W455" s="23"/>
      <c r="X455" s="4"/>
    </row>
    <row r="456" spans="1:24" ht="39" x14ac:dyDescent="0.25">
      <c r="A456" s="21" t="s">
        <v>1908</v>
      </c>
      <c r="B456" s="21" t="str">
        <f t="shared" si="8"/>
        <v>84716054</v>
      </c>
      <c r="C456" s="21" t="str">
        <f>Tabela5[[#This Row],[Cod. Ncm]]&amp;"-"&amp;Tabela5[[#This Row],[Operações]]</f>
        <v>84716054-Internas</v>
      </c>
      <c r="D456" s="22" t="s">
        <v>579</v>
      </c>
      <c r="E456" s="22" t="s">
        <v>593</v>
      </c>
      <c r="F456" s="22">
        <v>7</v>
      </c>
      <c r="G456" s="22" t="s">
        <v>1909</v>
      </c>
      <c r="H456" s="22" t="s">
        <v>1083</v>
      </c>
      <c r="I456" s="23" t="s">
        <v>1910</v>
      </c>
      <c r="J456" s="23" t="s">
        <v>591</v>
      </c>
      <c r="K456" s="23" t="s">
        <v>592</v>
      </c>
      <c r="L456" s="23" t="s">
        <v>1086</v>
      </c>
      <c r="M456" s="23" t="s">
        <v>1087</v>
      </c>
      <c r="N456" s="23" t="s">
        <v>583</v>
      </c>
      <c r="O456" s="23"/>
      <c r="P456" s="23"/>
      <c r="Q456" s="23"/>
      <c r="R456" s="23"/>
      <c r="S456" s="23"/>
      <c r="T456" s="23"/>
      <c r="U456" s="23"/>
      <c r="V456" s="23"/>
      <c r="W456" s="23"/>
      <c r="X456" s="4"/>
    </row>
    <row r="457" spans="1:24" ht="39" x14ac:dyDescent="0.25">
      <c r="A457" s="21" t="s">
        <v>1911</v>
      </c>
      <c r="B457" s="21" t="str">
        <f t="shared" si="8"/>
        <v>84716059</v>
      </c>
      <c r="C457" s="21" t="str">
        <f>Tabela5[[#This Row],[Cod. Ncm]]&amp;"-"&amp;Tabela5[[#This Row],[Operações]]</f>
        <v>84716059-Internas</v>
      </c>
      <c r="D457" s="22" t="s">
        <v>579</v>
      </c>
      <c r="E457" s="22" t="s">
        <v>593</v>
      </c>
      <c r="F457" s="22">
        <v>7</v>
      </c>
      <c r="G457" s="22" t="s">
        <v>1912</v>
      </c>
      <c r="H457" s="22" t="s">
        <v>1083</v>
      </c>
      <c r="I457" s="23" t="s">
        <v>1913</v>
      </c>
      <c r="J457" s="23" t="s">
        <v>591</v>
      </c>
      <c r="K457" s="23" t="s">
        <v>592</v>
      </c>
      <c r="L457" s="23" t="s">
        <v>1086</v>
      </c>
      <c r="M457" s="23" t="s">
        <v>1087</v>
      </c>
      <c r="N457" s="23" t="s">
        <v>583</v>
      </c>
      <c r="O457" s="23"/>
      <c r="P457" s="23"/>
      <c r="Q457" s="23"/>
      <c r="R457" s="23"/>
      <c r="S457" s="23"/>
      <c r="T457" s="23"/>
      <c r="U457" s="23"/>
      <c r="V457" s="23"/>
      <c r="W457" s="23"/>
      <c r="X457" s="4"/>
    </row>
    <row r="458" spans="1:24" ht="51" x14ac:dyDescent="0.25">
      <c r="A458" s="21" t="s">
        <v>1914</v>
      </c>
      <c r="B458" s="21" t="str">
        <f t="shared" si="8"/>
        <v>84716061</v>
      </c>
      <c r="C458" s="21" t="str">
        <f>Tabela5[[#This Row],[Cod. Ncm]]&amp;"-"&amp;Tabela5[[#This Row],[Operações]]</f>
        <v>84716061-Internas</v>
      </c>
      <c r="D458" s="22" t="s">
        <v>579</v>
      </c>
      <c r="E458" s="22" t="s">
        <v>593</v>
      </c>
      <c r="F458" s="22">
        <v>7</v>
      </c>
      <c r="G458" s="22" t="s">
        <v>1915</v>
      </c>
      <c r="H458" s="22" t="s">
        <v>1083</v>
      </c>
      <c r="I458" s="23" t="s">
        <v>1916</v>
      </c>
      <c r="J458" s="23" t="s">
        <v>591</v>
      </c>
      <c r="K458" s="23" t="s">
        <v>592</v>
      </c>
      <c r="L458" s="23" t="s">
        <v>1086</v>
      </c>
      <c r="M458" s="23" t="s">
        <v>1087</v>
      </c>
      <c r="N458" s="23" t="s">
        <v>583</v>
      </c>
      <c r="O458" s="23"/>
      <c r="P458" s="23"/>
      <c r="Q458" s="23"/>
      <c r="R458" s="23"/>
      <c r="S458" s="23"/>
      <c r="T458" s="23"/>
      <c r="U458" s="23"/>
      <c r="V458" s="23"/>
      <c r="W458" s="23"/>
      <c r="X458" s="4"/>
    </row>
    <row r="459" spans="1:24" ht="51" x14ac:dyDescent="0.25">
      <c r="A459" s="21" t="s">
        <v>1917</v>
      </c>
      <c r="B459" s="21" t="str">
        <f t="shared" si="8"/>
        <v>84716062</v>
      </c>
      <c r="C459" s="21" t="str">
        <f>Tabela5[[#This Row],[Cod. Ncm]]&amp;"-"&amp;Tabela5[[#This Row],[Operações]]</f>
        <v>84716062-Internas</v>
      </c>
      <c r="D459" s="22" t="s">
        <v>579</v>
      </c>
      <c r="E459" s="22" t="s">
        <v>593</v>
      </c>
      <c r="F459" s="22">
        <v>7</v>
      </c>
      <c r="G459" s="22" t="s">
        <v>1918</v>
      </c>
      <c r="H459" s="22" t="s">
        <v>1083</v>
      </c>
      <c r="I459" s="23" t="s">
        <v>1919</v>
      </c>
      <c r="J459" s="23" t="s">
        <v>591</v>
      </c>
      <c r="K459" s="23" t="s">
        <v>592</v>
      </c>
      <c r="L459" s="23" t="s">
        <v>1086</v>
      </c>
      <c r="M459" s="23" t="s">
        <v>1087</v>
      </c>
      <c r="N459" s="23" t="s">
        <v>583</v>
      </c>
      <c r="O459" s="23"/>
      <c r="P459" s="23"/>
      <c r="Q459" s="23"/>
      <c r="R459" s="23"/>
      <c r="S459" s="23"/>
      <c r="T459" s="23"/>
      <c r="U459" s="23"/>
      <c r="V459" s="23"/>
      <c r="W459" s="23"/>
      <c r="X459" s="4"/>
    </row>
    <row r="460" spans="1:24" ht="39" x14ac:dyDescent="0.25">
      <c r="A460" s="21" t="s">
        <v>1920</v>
      </c>
      <c r="B460" s="21" t="str">
        <f t="shared" si="8"/>
        <v>84717011</v>
      </c>
      <c r="C460" s="21" t="str">
        <f>Tabela5[[#This Row],[Cod. Ncm]]&amp;"-"&amp;Tabela5[[#This Row],[Operações]]</f>
        <v>84717011-Internas</v>
      </c>
      <c r="D460" s="22" t="s">
        <v>579</v>
      </c>
      <c r="E460" s="22" t="s">
        <v>593</v>
      </c>
      <c r="F460" s="22">
        <v>7</v>
      </c>
      <c r="G460" s="22" t="s">
        <v>1921</v>
      </c>
      <c r="H460" s="22" t="s">
        <v>1083</v>
      </c>
      <c r="I460" s="23" t="s">
        <v>1922</v>
      </c>
      <c r="J460" s="23" t="s">
        <v>591</v>
      </c>
      <c r="K460" s="23" t="s">
        <v>592</v>
      </c>
      <c r="L460" s="23" t="s">
        <v>1086</v>
      </c>
      <c r="M460" s="23" t="s">
        <v>1087</v>
      </c>
      <c r="N460" s="23" t="s">
        <v>583</v>
      </c>
      <c r="O460" s="23"/>
      <c r="P460" s="23"/>
      <c r="Q460" s="23"/>
      <c r="R460" s="23"/>
      <c r="S460" s="23"/>
      <c r="T460" s="23"/>
      <c r="U460" s="23"/>
      <c r="V460" s="23"/>
      <c r="W460" s="23"/>
      <c r="X460" s="4"/>
    </row>
    <row r="461" spans="1:24" ht="39" x14ac:dyDescent="0.25">
      <c r="A461" s="21" t="s">
        <v>1923</v>
      </c>
      <c r="B461" s="21" t="str">
        <f t="shared" si="8"/>
        <v>84717012</v>
      </c>
      <c r="C461" s="21" t="str">
        <f>Tabela5[[#This Row],[Cod. Ncm]]&amp;"-"&amp;Tabela5[[#This Row],[Operações]]</f>
        <v>84717012-Internas</v>
      </c>
      <c r="D461" s="22" t="s">
        <v>579</v>
      </c>
      <c r="E461" s="22" t="s">
        <v>593</v>
      </c>
      <c r="F461" s="22">
        <v>7</v>
      </c>
      <c r="G461" s="22" t="s">
        <v>1924</v>
      </c>
      <c r="H461" s="22" t="s">
        <v>1083</v>
      </c>
      <c r="I461" s="23" t="s">
        <v>1925</v>
      </c>
      <c r="J461" s="23" t="s">
        <v>591</v>
      </c>
      <c r="K461" s="23" t="s">
        <v>592</v>
      </c>
      <c r="L461" s="23" t="s">
        <v>1086</v>
      </c>
      <c r="M461" s="23" t="s">
        <v>1087</v>
      </c>
      <c r="N461" s="23" t="s">
        <v>583</v>
      </c>
      <c r="O461" s="23"/>
      <c r="P461" s="23"/>
      <c r="Q461" s="23"/>
      <c r="R461" s="23"/>
      <c r="S461" s="23"/>
      <c r="T461" s="23"/>
      <c r="U461" s="23"/>
      <c r="V461" s="23"/>
      <c r="W461" s="23"/>
      <c r="X461" s="4"/>
    </row>
    <row r="462" spans="1:24" ht="39" x14ac:dyDescent="0.25">
      <c r="A462" s="21" t="s">
        <v>1926</v>
      </c>
      <c r="B462" s="21" t="str">
        <f t="shared" si="8"/>
        <v>84717019</v>
      </c>
      <c r="C462" s="21" t="str">
        <f>Tabela5[[#This Row],[Cod. Ncm]]&amp;"-"&amp;Tabela5[[#This Row],[Operações]]</f>
        <v>84717019-Internas</v>
      </c>
      <c r="D462" s="22" t="s">
        <v>579</v>
      </c>
      <c r="E462" s="22" t="s">
        <v>593</v>
      </c>
      <c r="F462" s="22">
        <v>7</v>
      </c>
      <c r="G462" s="22" t="s">
        <v>1927</v>
      </c>
      <c r="H462" s="22" t="s">
        <v>1083</v>
      </c>
      <c r="I462" s="23" t="s">
        <v>1928</v>
      </c>
      <c r="J462" s="23" t="s">
        <v>591</v>
      </c>
      <c r="K462" s="23" t="s">
        <v>592</v>
      </c>
      <c r="L462" s="23" t="s">
        <v>1086</v>
      </c>
      <c r="M462" s="23" t="s">
        <v>1087</v>
      </c>
      <c r="N462" s="23" t="s">
        <v>583</v>
      </c>
      <c r="O462" s="23"/>
      <c r="P462" s="23"/>
      <c r="Q462" s="23"/>
      <c r="R462" s="23"/>
      <c r="S462" s="23"/>
      <c r="T462" s="23"/>
      <c r="U462" s="23"/>
      <c r="V462" s="23"/>
      <c r="W462" s="23"/>
      <c r="X462" s="4"/>
    </row>
    <row r="463" spans="1:24" ht="51" x14ac:dyDescent="0.25">
      <c r="A463" s="21" t="s">
        <v>1929</v>
      </c>
      <c r="B463" s="21" t="str">
        <f t="shared" si="8"/>
        <v>84717021</v>
      </c>
      <c r="C463" s="21" t="str">
        <f>Tabela5[[#This Row],[Cod. Ncm]]&amp;"-"&amp;Tabela5[[#This Row],[Operações]]</f>
        <v>84717021-Internas</v>
      </c>
      <c r="D463" s="22" t="s">
        <v>579</v>
      </c>
      <c r="E463" s="22" t="s">
        <v>593</v>
      </c>
      <c r="F463" s="22">
        <v>7</v>
      </c>
      <c r="G463" s="22" t="s">
        <v>1930</v>
      </c>
      <c r="H463" s="22" t="s">
        <v>1083</v>
      </c>
      <c r="I463" s="23" t="s">
        <v>1931</v>
      </c>
      <c r="J463" s="23" t="s">
        <v>591</v>
      </c>
      <c r="K463" s="23" t="s">
        <v>592</v>
      </c>
      <c r="L463" s="23" t="s">
        <v>1086</v>
      </c>
      <c r="M463" s="23" t="s">
        <v>1087</v>
      </c>
      <c r="N463" s="23" t="s">
        <v>583</v>
      </c>
      <c r="O463" s="23"/>
      <c r="P463" s="23"/>
      <c r="Q463" s="23"/>
      <c r="R463" s="23"/>
      <c r="S463" s="23"/>
      <c r="T463" s="23"/>
      <c r="U463" s="23"/>
      <c r="V463" s="23"/>
      <c r="W463" s="23"/>
      <c r="X463" s="4"/>
    </row>
    <row r="464" spans="1:24" ht="51" x14ac:dyDescent="0.25">
      <c r="A464" s="21" t="s">
        <v>1932</v>
      </c>
      <c r="B464" s="21" t="str">
        <f t="shared" si="8"/>
        <v>84717029</v>
      </c>
      <c r="C464" s="21" t="str">
        <f>Tabela5[[#This Row],[Cod. Ncm]]&amp;"-"&amp;Tabela5[[#This Row],[Operações]]</f>
        <v>84717029-Internas</v>
      </c>
      <c r="D464" s="22" t="s">
        <v>579</v>
      </c>
      <c r="E464" s="22" t="s">
        <v>593</v>
      </c>
      <c r="F464" s="22">
        <v>7</v>
      </c>
      <c r="G464" s="22" t="s">
        <v>1933</v>
      </c>
      <c r="H464" s="22" t="s">
        <v>1083</v>
      </c>
      <c r="I464" s="23" t="s">
        <v>1934</v>
      </c>
      <c r="J464" s="23" t="s">
        <v>591</v>
      </c>
      <c r="K464" s="23" t="s">
        <v>592</v>
      </c>
      <c r="L464" s="23" t="s">
        <v>1086</v>
      </c>
      <c r="M464" s="23" t="s">
        <v>1087</v>
      </c>
      <c r="N464" s="23" t="s">
        <v>583</v>
      </c>
      <c r="O464" s="23"/>
      <c r="P464" s="23"/>
      <c r="Q464" s="23"/>
      <c r="R464" s="23"/>
      <c r="S464" s="23"/>
      <c r="T464" s="23"/>
      <c r="U464" s="23"/>
      <c r="V464" s="23"/>
      <c r="W464" s="23"/>
      <c r="X464" s="4"/>
    </row>
    <row r="465" spans="1:24" ht="39" x14ac:dyDescent="0.25">
      <c r="A465" s="21" t="s">
        <v>1935</v>
      </c>
      <c r="B465" s="21" t="str">
        <f t="shared" si="8"/>
        <v>84717032</v>
      </c>
      <c r="C465" s="21" t="str">
        <f>Tabela5[[#This Row],[Cod. Ncm]]&amp;"-"&amp;Tabela5[[#This Row],[Operações]]</f>
        <v>84717032-Internas</v>
      </c>
      <c r="D465" s="22" t="s">
        <v>579</v>
      </c>
      <c r="E465" s="22" t="s">
        <v>593</v>
      </c>
      <c r="F465" s="22">
        <v>7</v>
      </c>
      <c r="G465" s="22" t="s">
        <v>1936</v>
      </c>
      <c r="H465" s="22" t="s">
        <v>1083</v>
      </c>
      <c r="I465" s="23" t="s">
        <v>1937</v>
      </c>
      <c r="J465" s="23" t="s">
        <v>591</v>
      </c>
      <c r="K465" s="23" t="s">
        <v>592</v>
      </c>
      <c r="L465" s="23" t="s">
        <v>1086</v>
      </c>
      <c r="M465" s="23" t="s">
        <v>1087</v>
      </c>
      <c r="N465" s="23" t="s">
        <v>583</v>
      </c>
      <c r="O465" s="23"/>
      <c r="P465" s="23"/>
      <c r="Q465" s="23"/>
      <c r="R465" s="23"/>
      <c r="S465" s="23"/>
      <c r="T465" s="23"/>
      <c r="U465" s="23"/>
      <c r="V465" s="23"/>
      <c r="W465" s="23"/>
      <c r="X465" s="4"/>
    </row>
    <row r="466" spans="1:24" ht="39" x14ac:dyDescent="0.25">
      <c r="A466" s="21" t="s">
        <v>1938</v>
      </c>
      <c r="B466" s="21" t="str">
        <f t="shared" si="8"/>
        <v>84717033</v>
      </c>
      <c r="C466" s="21" t="str">
        <f>Tabela5[[#This Row],[Cod. Ncm]]&amp;"-"&amp;Tabela5[[#This Row],[Operações]]</f>
        <v>84717033-Internas</v>
      </c>
      <c r="D466" s="22" t="s">
        <v>579</v>
      </c>
      <c r="E466" s="22" t="s">
        <v>593</v>
      </c>
      <c r="F466" s="22">
        <v>7</v>
      </c>
      <c r="G466" s="22" t="s">
        <v>1939</v>
      </c>
      <c r="H466" s="22" t="s">
        <v>1083</v>
      </c>
      <c r="I466" s="23" t="s">
        <v>1940</v>
      </c>
      <c r="J466" s="23" t="s">
        <v>591</v>
      </c>
      <c r="K466" s="23" t="s">
        <v>592</v>
      </c>
      <c r="L466" s="23" t="s">
        <v>1086</v>
      </c>
      <c r="M466" s="23" t="s">
        <v>1087</v>
      </c>
      <c r="N466" s="23" t="s">
        <v>583</v>
      </c>
      <c r="O466" s="23"/>
      <c r="P466" s="23"/>
      <c r="Q466" s="23"/>
      <c r="R466" s="23"/>
      <c r="S466" s="23"/>
      <c r="T466" s="23"/>
      <c r="U466" s="23"/>
      <c r="V466" s="23"/>
      <c r="W466" s="23"/>
      <c r="X466" s="4"/>
    </row>
    <row r="467" spans="1:24" ht="39" x14ac:dyDescent="0.25">
      <c r="A467" s="21" t="s">
        <v>1941</v>
      </c>
      <c r="B467" s="21" t="str">
        <f t="shared" si="8"/>
        <v>84717039</v>
      </c>
      <c r="C467" s="21" t="str">
        <f>Tabela5[[#This Row],[Cod. Ncm]]&amp;"-"&amp;Tabela5[[#This Row],[Operações]]</f>
        <v>84717039-Internas</v>
      </c>
      <c r="D467" s="22" t="s">
        <v>579</v>
      </c>
      <c r="E467" s="22" t="s">
        <v>593</v>
      </c>
      <c r="F467" s="22">
        <v>7</v>
      </c>
      <c r="G467" s="22" t="s">
        <v>1942</v>
      </c>
      <c r="H467" s="22" t="s">
        <v>1083</v>
      </c>
      <c r="I467" s="23" t="s">
        <v>1943</v>
      </c>
      <c r="J467" s="23" t="s">
        <v>591</v>
      </c>
      <c r="K467" s="23" t="s">
        <v>592</v>
      </c>
      <c r="L467" s="23" t="s">
        <v>1086</v>
      </c>
      <c r="M467" s="23" t="s">
        <v>1087</v>
      </c>
      <c r="N467" s="23" t="s">
        <v>583</v>
      </c>
      <c r="O467" s="23"/>
      <c r="P467" s="23"/>
      <c r="Q467" s="23"/>
      <c r="R467" s="23"/>
      <c r="S467" s="23"/>
      <c r="T467" s="23"/>
      <c r="U467" s="23"/>
      <c r="V467" s="23"/>
      <c r="W467" s="23"/>
      <c r="X467" s="4"/>
    </row>
    <row r="468" spans="1:24" ht="39" x14ac:dyDescent="0.25">
      <c r="A468" s="21" t="s">
        <v>1944</v>
      </c>
      <c r="B468" s="21" t="str">
        <f t="shared" si="8"/>
        <v>84718000</v>
      </c>
      <c r="C468" s="21" t="str">
        <f>Tabela5[[#This Row],[Cod. Ncm]]&amp;"-"&amp;Tabela5[[#This Row],[Operações]]</f>
        <v>84718000-Internas</v>
      </c>
      <c r="D468" s="22" t="s">
        <v>579</v>
      </c>
      <c r="E468" s="22" t="s">
        <v>593</v>
      </c>
      <c r="F468" s="22">
        <v>7</v>
      </c>
      <c r="G468" s="22" t="s">
        <v>1945</v>
      </c>
      <c r="H468" s="22" t="s">
        <v>1083</v>
      </c>
      <c r="I468" s="23" t="s">
        <v>1946</v>
      </c>
      <c r="J468" s="23" t="s">
        <v>591</v>
      </c>
      <c r="K468" s="23" t="s">
        <v>592</v>
      </c>
      <c r="L468" s="23" t="s">
        <v>1086</v>
      </c>
      <c r="M468" s="23" t="s">
        <v>1087</v>
      </c>
      <c r="N468" s="23" t="s">
        <v>583</v>
      </c>
      <c r="O468" s="23"/>
      <c r="P468" s="23"/>
      <c r="Q468" s="23"/>
      <c r="R468" s="23"/>
      <c r="S468" s="23"/>
      <c r="T468" s="23"/>
      <c r="U468" s="23"/>
      <c r="V468" s="23"/>
      <c r="W468" s="23"/>
      <c r="X468" s="4"/>
    </row>
    <row r="469" spans="1:24" ht="39" x14ac:dyDescent="0.25">
      <c r="A469" s="21" t="s">
        <v>1947</v>
      </c>
      <c r="B469" s="21" t="str">
        <f t="shared" si="8"/>
        <v>84719011</v>
      </c>
      <c r="C469" s="21" t="str">
        <f>Tabela5[[#This Row],[Cod. Ncm]]&amp;"-"&amp;Tabela5[[#This Row],[Operações]]</f>
        <v>84719011-Internas</v>
      </c>
      <c r="D469" s="22" t="s">
        <v>579</v>
      </c>
      <c r="E469" s="22" t="s">
        <v>593</v>
      </c>
      <c r="F469" s="22">
        <v>7</v>
      </c>
      <c r="G469" s="22" t="s">
        <v>1948</v>
      </c>
      <c r="H469" s="22" t="s">
        <v>1083</v>
      </c>
      <c r="I469" s="23" t="s">
        <v>1949</v>
      </c>
      <c r="J469" s="23" t="s">
        <v>591</v>
      </c>
      <c r="K469" s="23" t="s">
        <v>592</v>
      </c>
      <c r="L469" s="23" t="s">
        <v>1086</v>
      </c>
      <c r="M469" s="23" t="s">
        <v>1087</v>
      </c>
      <c r="N469" s="23" t="s">
        <v>583</v>
      </c>
      <c r="O469" s="23"/>
      <c r="P469" s="23"/>
      <c r="Q469" s="23"/>
      <c r="R469" s="23"/>
      <c r="S469" s="23"/>
      <c r="T469" s="23"/>
      <c r="U469" s="23"/>
      <c r="V469" s="23"/>
      <c r="W469" s="23"/>
      <c r="X469" s="4"/>
    </row>
    <row r="470" spans="1:24" ht="39" x14ac:dyDescent="0.25">
      <c r="A470" s="21" t="s">
        <v>1950</v>
      </c>
      <c r="B470" s="21" t="str">
        <f t="shared" si="8"/>
        <v>84719012</v>
      </c>
      <c r="C470" s="21" t="str">
        <f>Tabela5[[#This Row],[Cod. Ncm]]&amp;"-"&amp;Tabela5[[#This Row],[Operações]]</f>
        <v>84719012-Internas</v>
      </c>
      <c r="D470" s="22" t="s">
        <v>579</v>
      </c>
      <c r="E470" s="22" t="s">
        <v>593</v>
      </c>
      <c r="F470" s="22">
        <v>7</v>
      </c>
      <c r="G470" s="22" t="s">
        <v>1951</v>
      </c>
      <c r="H470" s="22" t="s">
        <v>1083</v>
      </c>
      <c r="I470" s="23" t="s">
        <v>1952</v>
      </c>
      <c r="J470" s="23" t="s">
        <v>591</v>
      </c>
      <c r="K470" s="23" t="s">
        <v>592</v>
      </c>
      <c r="L470" s="23" t="s">
        <v>1086</v>
      </c>
      <c r="M470" s="23" t="s">
        <v>1087</v>
      </c>
      <c r="N470" s="23" t="s">
        <v>583</v>
      </c>
      <c r="O470" s="23"/>
      <c r="P470" s="23"/>
      <c r="Q470" s="23"/>
      <c r="R470" s="23"/>
      <c r="S470" s="23"/>
      <c r="T470" s="23"/>
      <c r="U470" s="23"/>
      <c r="V470" s="23"/>
      <c r="W470" s="23"/>
      <c r="X470" s="4"/>
    </row>
    <row r="471" spans="1:24" ht="39" x14ac:dyDescent="0.25">
      <c r="A471" s="21" t="s">
        <v>1953</v>
      </c>
      <c r="B471" s="21" t="str">
        <f t="shared" si="8"/>
        <v>84719013</v>
      </c>
      <c r="C471" s="21" t="str">
        <f>Tabela5[[#This Row],[Cod. Ncm]]&amp;"-"&amp;Tabela5[[#This Row],[Operações]]</f>
        <v>84719013-Internas</v>
      </c>
      <c r="D471" s="22" t="s">
        <v>579</v>
      </c>
      <c r="E471" s="22" t="s">
        <v>593</v>
      </c>
      <c r="F471" s="22">
        <v>7</v>
      </c>
      <c r="G471" s="22" t="s">
        <v>1954</v>
      </c>
      <c r="H471" s="22" t="s">
        <v>1083</v>
      </c>
      <c r="I471" s="23" t="s">
        <v>1955</v>
      </c>
      <c r="J471" s="23" t="s">
        <v>591</v>
      </c>
      <c r="K471" s="23" t="s">
        <v>592</v>
      </c>
      <c r="L471" s="23" t="s">
        <v>1086</v>
      </c>
      <c r="M471" s="23" t="s">
        <v>1087</v>
      </c>
      <c r="N471" s="23" t="s">
        <v>583</v>
      </c>
      <c r="O471" s="23"/>
      <c r="P471" s="23"/>
      <c r="Q471" s="23"/>
      <c r="R471" s="23"/>
      <c r="S471" s="23"/>
      <c r="T471" s="23"/>
      <c r="U471" s="23"/>
      <c r="V471" s="23"/>
      <c r="W471" s="23"/>
      <c r="X471" s="4"/>
    </row>
    <row r="472" spans="1:24" ht="39" x14ac:dyDescent="0.25">
      <c r="A472" s="21" t="s">
        <v>1956</v>
      </c>
      <c r="B472" s="21" t="str">
        <f t="shared" si="8"/>
        <v>84719014</v>
      </c>
      <c r="C472" s="21" t="str">
        <f>Tabela5[[#This Row],[Cod. Ncm]]&amp;"-"&amp;Tabela5[[#This Row],[Operações]]</f>
        <v>84719014-Internas</v>
      </c>
      <c r="D472" s="22" t="s">
        <v>579</v>
      </c>
      <c r="E472" s="22" t="s">
        <v>593</v>
      </c>
      <c r="F472" s="22">
        <v>7</v>
      </c>
      <c r="G472" s="22" t="s">
        <v>1957</v>
      </c>
      <c r="H472" s="22" t="s">
        <v>1083</v>
      </c>
      <c r="I472" s="23" t="s">
        <v>1958</v>
      </c>
      <c r="J472" s="23" t="s">
        <v>591</v>
      </c>
      <c r="K472" s="23" t="s">
        <v>592</v>
      </c>
      <c r="L472" s="23" t="s">
        <v>1086</v>
      </c>
      <c r="M472" s="23" t="s">
        <v>1087</v>
      </c>
      <c r="N472" s="23" t="s">
        <v>583</v>
      </c>
      <c r="O472" s="23"/>
      <c r="P472" s="23"/>
      <c r="Q472" s="23"/>
      <c r="R472" s="23"/>
      <c r="S472" s="23"/>
      <c r="T472" s="23"/>
      <c r="U472" s="23"/>
      <c r="V472" s="23"/>
      <c r="W472" s="23"/>
      <c r="X472" s="4"/>
    </row>
    <row r="473" spans="1:24" ht="39" x14ac:dyDescent="0.25">
      <c r="A473" s="21" t="s">
        <v>1959</v>
      </c>
      <c r="B473" s="21" t="str">
        <f t="shared" si="8"/>
        <v>84719019</v>
      </c>
      <c r="C473" s="21" t="str">
        <f>Tabela5[[#This Row],[Cod. Ncm]]&amp;"-"&amp;Tabela5[[#This Row],[Operações]]</f>
        <v>84719019-Internas</v>
      </c>
      <c r="D473" s="22" t="s">
        <v>579</v>
      </c>
      <c r="E473" s="22" t="s">
        <v>593</v>
      </c>
      <c r="F473" s="22">
        <v>7</v>
      </c>
      <c r="G473" s="22" t="s">
        <v>1960</v>
      </c>
      <c r="H473" s="22" t="s">
        <v>1083</v>
      </c>
      <c r="I473" s="23" t="s">
        <v>1961</v>
      </c>
      <c r="J473" s="23" t="s">
        <v>591</v>
      </c>
      <c r="K473" s="23" t="s">
        <v>592</v>
      </c>
      <c r="L473" s="23" t="s">
        <v>1086</v>
      </c>
      <c r="M473" s="23" t="s">
        <v>1087</v>
      </c>
      <c r="N473" s="23" t="s">
        <v>583</v>
      </c>
      <c r="O473" s="23"/>
      <c r="P473" s="23"/>
      <c r="Q473" s="23"/>
      <c r="R473" s="23"/>
      <c r="S473" s="23"/>
      <c r="T473" s="23"/>
      <c r="U473" s="23"/>
      <c r="V473" s="23"/>
      <c r="W473" s="23"/>
      <c r="X473" s="4"/>
    </row>
    <row r="474" spans="1:24" ht="39" x14ac:dyDescent="0.25">
      <c r="A474" s="21" t="s">
        <v>1962</v>
      </c>
      <c r="B474" s="21" t="str">
        <f t="shared" si="8"/>
        <v>84719090</v>
      </c>
      <c r="C474" s="21" t="str">
        <f>Tabela5[[#This Row],[Cod. Ncm]]&amp;"-"&amp;Tabela5[[#This Row],[Operações]]</f>
        <v>84719090-Internas</v>
      </c>
      <c r="D474" s="22" t="s">
        <v>579</v>
      </c>
      <c r="E474" s="22" t="s">
        <v>593</v>
      </c>
      <c r="F474" s="22">
        <v>7</v>
      </c>
      <c r="G474" s="22" t="s">
        <v>1963</v>
      </c>
      <c r="H474" s="22" t="s">
        <v>1083</v>
      </c>
      <c r="I474" s="23" t="s">
        <v>1964</v>
      </c>
      <c r="J474" s="23" t="s">
        <v>591</v>
      </c>
      <c r="K474" s="23" t="s">
        <v>592</v>
      </c>
      <c r="L474" s="23" t="s">
        <v>1086</v>
      </c>
      <c r="M474" s="23" t="s">
        <v>1087</v>
      </c>
      <c r="N474" s="23" t="s">
        <v>583</v>
      </c>
      <c r="O474" s="23"/>
      <c r="P474" s="23"/>
      <c r="Q474" s="23"/>
      <c r="R474" s="23"/>
      <c r="S474" s="23"/>
      <c r="T474" s="23"/>
      <c r="U474" s="23"/>
      <c r="V474" s="23"/>
      <c r="W474" s="23"/>
      <c r="X474" s="4"/>
    </row>
    <row r="475" spans="1:24" ht="39" x14ac:dyDescent="0.25">
      <c r="A475" s="21" t="s">
        <v>1965</v>
      </c>
      <c r="B475" s="21" t="str">
        <f t="shared" si="8"/>
        <v>84729021</v>
      </c>
      <c r="C475" s="21" t="str">
        <f>Tabela5[[#This Row],[Cod. Ncm]]&amp;"-"&amp;Tabela5[[#This Row],[Operações]]</f>
        <v>84729021-Internas</v>
      </c>
      <c r="D475" s="22" t="s">
        <v>579</v>
      </c>
      <c r="E475" s="22" t="s">
        <v>593</v>
      </c>
      <c r="F475" s="22">
        <v>7</v>
      </c>
      <c r="G475" s="22" t="s">
        <v>1966</v>
      </c>
      <c r="H475" s="22" t="s">
        <v>1083</v>
      </c>
      <c r="I475" s="23" t="s">
        <v>1967</v>
      </c>
      <c r="J475" s="23" t="s">
        <v>591</v>
      </c>
      <c r="K475" s="23" t="s">
        <v>592</v>
      </c>
      <c r="L475" s="23" t="s">
        <v>1086</v>
      </c>
      <c r="M475" s="23" t="s">
        <v>1087</v>
      </c>
      <c r="N475" s="23" t="s">
        <v>583</v>
      </c>
      <c r="O475" s="23"/>
      <c r="P475" s="23"/>
      <c r="Q475" s="23"/>
      <c r="R475" s="23"/>
      <c r="S475" s="23"/>
      <c r="T475" s="23"/>
      <c r="U475" s="23"/>
      <c r="V475" s="23"/>
      <c r="W475" s="23"/>
      <c r="X475" s="4"/>
    </row>
    <row r="476" spans="1:24" ht="39" x14ac:dyDescent="0.25">
      <c r="A476" s="21" t="s">
        <v>1968</v>
      </c>
      <c r="B476" s="21" t="str">
        <f t="shared" si="8"/>
        <v>84729030</v>
      </c>
      <c r="C476" s="21" t="str">
        <f>Tabela5[[#This Row],[Cod. Ncm]]&amp;"-"&amp;Tabela5[[#This Row],[Operações]]</f>
        <v>84729030-Internas</v>
      </c>
      <c r="D476" s="22" t="s">
        <v>579</v>
      </c>
      <c r="E476" s="22" t="s">
        <v>593</v>
      </c>
      <c r="F476" s="22">
        <v>7</v>
      </c>
      <c r="G476" s="22" t="s">
        <v>1969</v>
      </c>
      <c r="H476" s="22" t="s">
        <v>1083</v>
      </c>
      <c r="I476" s="23" t="s">
        <v>1970</v>
      </c>
      <c r="J476" s="23" t="s">
        <v>591</v>
      </c>
      <c r="K476" s="23" t="s">
        <v>592</v>
      </c>
      <c r="L476" s="23" t="s">
        <v>1086</v>
      </c>
      <c r="M476" s="23" t="s">
        <v>1087</v>
      </c>
      <c r="N476" s="23" t="s">
        <v>583</v>
      </c>
      <c r="O476" s="23"/>
      <c r="P476" s="23"/>
      <c r="Q476" s="23"/>
      <c r="R476" s="23"/>
      <c r="S476" s="23"/>
      <c r="T476" s="23"/>
      <c r="U476" s="23"/>
      <c r="V476" s="23"/>
      <c r="W476" s="23"/>
      <c r="X476" s="4"/>
    </row>
    <row r="477" spans="1:24" ht="39" x14ac:dyDescent="0.25">
      <c r="A477" s="21" t="s">
        <v>1971</v>
      </c>
      <c r="B477" s="21" t="str">
        <f t="shared" si="8"/>
        <v>84729099</v>
      </c>
      <c r="C477" s="21" t="str">
        <f>Tabela5[[#This Row],[Cod. Ncm]]&amp;"-"&amp;Tabela5[[#This Row],[Operações]]</f>
        <v>84729099-Internas</v>
      </c>
      <c r="D477" s="22" t="s">
        <v>579</v>
      </c>
      <c r="E477" s="22" t="s">
        <v>593</v>
      </c>
      <c r="F477" s="22">
        <v>7</v>
      </c>
      <c r="G477" s="22" t="s">
        <v>1972</v>
      </c>
      <c r="H477" s="22" t="s">
        <v>1083</v>
      </c>
      <c r="I477" s="23" t="s">
        <v>1973</v>
      </c>
      <c r="J477" s="23" t="s">
        <v>591</v>
      </c>
      <c r="K477" s="23" t="s">
        <v>592</v>
      </c>
      <c r="L477" s="23" t="s">
        <v>1086</v>
      </c>
      <c r="M477" s="23" t="s">
        <v>1087</v>
      </c>
      <c r="N477" s="23" t="s">
        <v>583</v>
      </c>
      <c r="O477" s="23"/>
      <c r="P477" s="23"/>
      <c r="Q477" s="23"/>
      <c r="R477" s="23"/>
      <c r="S477" s="23"/>
      <c r="T477" s="23"/>
      <c r="U477" s="23"/>
      <c r="V477" s="23"/>
      <c r="W477" s="23"/>
      <c r="X477" s="4"/>
    </row>
    <row r="478" spans="1:24" ht="39" x14ac:dyDescent="0.25">
      <c r="A478" s="21" t="s">
        <v>1974</v>
      </c>
      <c r="B478" s="21" t="str">
        <f t="shared" si="8"/>
        <v>84732990</v>
      </c>
      <c r="C478" s="21" t="str">
        <f>Tabela5[[#This Row],[Cod. Ncm]]&amp;"-"&amp;Tabela5[[#This Row],[Operações]]</f>
        <v>84732990-Internas</v>
      </c>
      <c r="D478" s="22" t="s">
        <v>579</v>
      </c>
      <c r="E478" s="22" t="s">
        <v>593</v>
      </c>
      <c r="F478" s="22">
        <v>7</v>
      </c>
      <c r="G478" s="22" t="s">
        <v>1975</v>
      </c>
      <c r="H478" s="22" t="s">
        <v>1083</v>
      </c>
      <c r="I478" s="23" t="s">
        <v>1976</v>
      </c>
      <c r="J478" s="23" t="s">
        <v>591</v>
      </c>
      <c r="K478" s="23" t="s">
        <v>592</v>
      </c>
      <c r="L478" s="23" t="s">
        <v>1086</v>
      </c>
      <c r="M478" s="23" t="s">
        <v>1087</v>
      </c>
      <c r="N478" s="23" t="s">
        <v>583</v>
      </c>
      <c r="O478" s="23"/>
      <c r="P478" s="23"/>
      <c r="Q478" s="23"/>
      <c r="R478" s="23"/>
      <c r="S478" s="23"/>
      <c r="T478" s="23"/>
      <c r="U478" s="23"/>
      <c r="V478" s="23"/>
      <c r="W478" s="23"/>
      <c r="X478" s="4"/>
    </row>
    <row r="479" spans="1:24" ht="39" x14ac:dyDescent="0.25">
      <c r="A479" s="21" t="s">
        <v>1977</v>
      </c>
      <c r="B479" s="21" t="str">
        <f t="shared" si="8"/>
        <v>84733011</v>
      </c>
      <c r="C479" s="21" t="str">
        <f>Tabela5[[#This Row],[Cod. Ncm]]&amp;"-"&amp;Tabela5[[#This Row],[Operações]]</f>
        <v>84733011-Internas</v>
      </c>
      <c r="D479" s="22" t="s">
        <v>579</v>
      </c>
      <c r="E479" s="22" t="s">
        <v>593</v>
      </c>
      <c r="F479" s="22">
        <v>7</v>
      </c>
      <c r="G479" s="22" t="s">
        <v>1978</v>
      </c>
      <c r="H479" s="22" t="s">
        <v>1083</v>
      </c>
      <c r="I479" s="23" t="s">
        <v>1979</v>
      </c>
      <c r="J479" s="23" t="s">
        <v>591</v>
      </c>
      <c r="K479" s="23" t="s">
        <v>592</v>
      </c>
      <c r="L479" s="23" t="s">
        <v>1086</v>
      </c>
      <c r="M479" s="23" t="s">
        <v>1087</v>
      </c>
      <c r="N479" s="23" t="s">
        <v>583</v>
      </c>
      <c r="O479" s="23"/>
      <c r="P479" s="23"/>
      <c r="Q479" s="23"/>
      <c r="R479" s="23"/>
      <c r="S479" s="23"/>
      <c r="T479" s="23"/>
      <c r="U479" s="23"/>
      <c r="V479" s="23"/>
      <c r="W479" s="23"/>
      <c r="X479" s="4"/>
    </row>
    <row r="480" spans="1:24" ht="39" x14ac:dyDescent="0.25">
      <c r="A480" s="21" t="s">
        <v>1980</v>
      </c>
      <c r="B480" s="21" t="str">
        <f t="shared" si="8"/>
        <v>84733019</v>
      </c>
      <c r="C480" s="21" t="str">
        <f>Tabela5[[#This Row],[Cod. Ncm]]&amp;"-"&amp;Tabela5[[#This Row],[Operações]]</f>
        <v>84733019-Internas</v>
      </c>
      <c r="D480" s="22" t="s">
        <v>579</v>
      </c>
      <c r="E480" s="22" t="s">
        <v>593</v>
      </c>
      <c r="F480" s="22">
        <v>7</v>
      </c>
      <c r="G480" s="22" t="s">
        <v>1981</v>
      </c>
      <c r="H480" s="22" t="s">
        <v>1083</v>
      </c>
      <c r="I480" s="23" t="s">
        <v>1982</v>
      </c>
      <c r="J480" s="23" t="s">
        <v>591</v>
      </c>
      <c r="K480" s="23" t="s">
        <v>592</v>
      </c>
      <c r="L480" s="23" t="s">
        <v>1086</v>
      </c>
      <c r="M480" s="23" t="s">
        <v>1087</v>
      </c>
      <c r="N480" s="23" t="s">
        <v>583</v>
      </c>
      <c r="O480" s="23"/>
      <c r="P480" s="23"/>
      <c r="Q480" s="23"/>
      <c r="R480" s="23"/>
      <c r="S480" s="23"/>
      <c r="T480" s="23"/>
      <c r="U480" s="23"/>
      <c r="V480" s="23"/>
      <c r="W480" s="23"/>
      <c r="X480" s="4"/>
    </row>
    <row r="481" spans="1:24" ht="39" x14ac:dyDescent="0.25">
      <c r="A481" s="21" t="s">
        <v>1983</v>
      </c>
      <c r="B481" s="21" t="str">
        <f t="shared" si="8"/>
        <v>84733039</v>
      </c>
      <c r="C481" s="21" t="str">
        <f>Tabela5[[#This Row],[Cod. Ncm]]&amp;"-"&amp;Tabela5[[#This Row],[Operações]]</f>
        <v>84733039-Internas</v>
      </c>
      <c r="D481" s="22" t="s">
        <v>579</v>
      </c>
      <c r="E481" s="22" t="s">
        <v>593</v>
      </c>
      <c r="F481" s="22">
        <v>7</v>
      </c>
      <c r="G481" s="22" t="s">
        <v>1984</v>
      </c>
      <c r="H481" s="22" t="s">
        <v>1083</v>
      </c>
      <c r="I481" s="23" t="s">
        <v>1985</v>
      </c>
      <c r="J481" s="23" t="s">
        <v>591</v>
      </c>
      <c r="K481" s="23" t="s">
        <v>592</v>
      </c>
      <c r="L481" s="23" t="s">
        <v>1086</v>
      </c>
      <c r="M481" s="23" t="s">
        <v>1087</v>
      </c>
      <c r="N481" s="23" t="s">
        <v>583</v>
      </c>
      <c r="O481" s="23"/>
      <c r="P481" s="23"/>
      <c r="Q481" s="23"/>
      <c r="R481" s="23"/>
      <c r="S481" s="23"/>
      <c r="T481" s="23"/>
      <c r="U481" s="23"/>
      <c r="V481" s="23"/>
      <c r="W481" s="23"/>
      <c r="X481" s="4"/>
    </row>
    <row r="482" spans="1:24" ht="39" x14ac:dyDescent="0.25">
      <c r="A482" s="21" t="s">
        <v>1986</v>
      </c>
      <c r="B482" s="21" t="str">
        <f t="shared" si="8"/>
        <v>84733041</v>
      </c>
      <c r="C482" s="21" t="str">
        <f>Tabela5[[#This Row],[Cod. Ncm]]&amp;"-"&amp;Tabela5[[#This Row],[Operações]]</f>
        <v>84733041-Internas</v>
      </c>
      <c r="D482" s="22" t="s">
        <v>579</v>
      </c>
      <c r="E482" s="22" t="s">
        <v>593</v>
      </c>
      <c r="F482" s="22">
        <v>7</v>
      </c>
      <c r="G482" s="22" t="s">
        <v>1987</v>
      </c>
      <c r="H482" s="22" t="s">
        <v>1083</v>
      </c>
      <c r="I482" s="23" t="s">
        <v>1988</v>
      </c>
      <c r="J482" s="23" t="s">
        <v>591</v>
      </c>
      <c r="K482" s="23" t="s">
        <v>592</v>
      </c>
      <c r="L482" s="23" t="s">
        <v>1086</v>
      </c>
      <c r="M482" s="23" t="s">
        <v>1087</v>
      </c>
      <c r="N482" s="23" t="s">
        <v>583</v>
      </c>
      <c r="O482" s="23"/>
      <c r="P482" s="23"/>
      <c r="Q482" s="23"/>
      <c r="R482" s="23"/>
      <c r="S482" s="23"/>
      <c r="T482" s="23"/>
      <c r="U482" s="23"/>
      <c r="V482" s="23"/>
      <c r="W482" s="23"/>
      <c r="X482" s="4"/>
    </row>
    <row r="483" spans="1:24" ht="39" x14ac:dyDescent="0.25">
      <c r="A483" s="21" t="s">
        <v>1989</v>
      </c>
      <c r="B483" s="21" t="str">
        <f t="shared" si="8"/>
        <v>84733042</v>
      </c>
      <c r="C483" s="21" t="str">
        <f>Tabela5[[#This Row],[Cod. Ncm]]&amp;"-"&amp;Tabela5[[#This Row],[Operações]]</f>
        <v>84733042-Internas</v>
      </c>
      <c r="D483" s="22" t="s">
        <v>579</v>
      </c>
      <c r="E483" s="22" t="s">
        <v>593</v>
      </c>
      <c r="F483" s="22">
        <v>7</v>
      </c>
      <c r="G483" s="22" t="s">
        <v>1990</v>
      </c>
      <c r="H483" s="22" t="s">
        <v>1083</v>
      </c>
      <c r="I483" s="23" t="s">
        <v>1991</v>
      </c>
      <c r="J483" s="23" t="s">
        <v>591</v>
      </c>
      <c r="K483" s="23" t="s">
        <v>592</v>
      </c>
      <c r="L483" s="23" t="s">
        <v>1086</v>
      </c>
      <c r="M483" s="23" t="s">
        <v>1087</v>
      </c>
      <c r="N483" s="23" t="s">
        <v>583</v>
      </c>
      <c r="O483" s="23"/>
      <c r="P483" s="23"/>
      <c r="Q483" s="23"/>
      <c r="R483" s="23"/>
      <c r="S483" s="23"/>
      <c r="T483" s="23"/>
      <c r="U483" s="23"/>
      <c r="V483" s="23"/>
      <c r="W483" s="23"/>
      <c r="X483" s="4"/>
    </row>
    <row r="484" spans="1:24" ht="39" x14ac:dyDescent="0.25">
      <c r="A484" s="21" t="s">
        <v>1992</v>
      </c>
      <c r="B484" s="21" t="str">
        <f t="shared" si="8"/>
        <v>84733043</v>
      </c>
      <c r="C484" s="21" t="str">
        <f>Tabela5[[#This Row],[Cod. Ncm]]&amp;"-"&amp;Tabela5[[#This Row],[Operações]]</f>
        <v>84733043-Internas</v>
      </c>
      <c r="D484" s="22" t="s">
        <v>579</v>
      </c>
      <c r="E484" s="22" t="s">
        <v>593</v>
      </c>
      <c r="F484" s="22">
        <v>7</v>
      </c>
      <c r="G484" s="22" t="s">
        <v>1993</v>
      </c>
      <c r="H484" s="22" t="s">
        <v>1083</v>
      </c>
      <c r="I484" s="23" t="s">
        <v>1994</v>
      </c>
      <c r="J484" s="23" t="s">
        <v>591</v>
      </c>
      <c r="K484" s="23" t="s">
        <v>592</v>
      </c>
      <c r="L484" s="23" t="s">
        <v>1086</v>
      </c>
      <c r="M484" s="23" t="s">
        <v>1087</v>
      </c>
      <c r="N484" s="23" t="s">
        <v>583</v>
      </c>
      <c r="O484" s="23"/>
      <c r="P484" s="23"/>
      <c r="Q484" s="23"/>
      <c r="R484" s="23"/>
      <c r="S484" s="23"/>
      <c r="T484" s="23"/>
      <c r="U484" s="23"/>
      <c r="V484" s="23"/>
      <c r="W484" s="23"/>
      <c r="X484" s="4"/>
    </row>
    <row r="485" spans="1:24" ht="39" x14ac:dyDescent="0.25">
      <c r="A485" s="21" t="s">
        <v>1995</v>
      </c>
      <c r="B485" s="21" t="str">
        <f t="shared" si="8"/>
        <v>84733049</v>
      </c>
      <c r="C485" s="21" t="str">
        <f>Tabela5[[#This Row],[Cod. Ncm]]&amp;"-"&amp;Tabela5[[#This Row],[Operações]]</f>
        <v>84733049-Internas</v>
      </c>
      <c r="D485" s="22" t="s">
        <v>579</v>
      </c>
      <c r="E485" s="22" t="s">
        <v>593</v>
      </c>
      <c r="F485" s="22">
        <v>7</v>
      </c>
      <c r="G485" s="22" t="s">
        <v>1996</v>
      </c>
      <c r="H485" s="22" t="s">
        <v>1083</v>
      </c>
      <c r="I485" s="23" t="s">
        <v>1997</v>
      </c>
      <c r="J485" s="23" t="s">
        <v>591</v>
      </c>
      <c r="K485" s="23" t="s">
        <v>592</v>
      </c>
      <c r="L485" s="23" t="s">
        <v>1086</v>
      </c>
      <c r="M485" s="23" t="s">
        <v>1087</v>
      </c>
      <c r="N485" s="23" t="s">
        <v>583</v>
      </c>
      <c r="O485" s="23"/>
      <c r="P485" s="23"/>
      <c r="Q485" s="23"/>
      <c r="R485" s="23"/>
      <c r="S485" s="23"/>
      <c r="T485" s="23"/>
      <c r="U485" s="23"/>
      <c r="V485" s="23"/>
      <c r="W485" s="23"/>
      <c r="X485" s="4"/>
    </row>
    <row r="486" spans="1:24" ht="39" x14ac:dyDescent="0.25">
      <c r="A486" s="21" t="s">
        <v>1998</v>
      </c>
      <c r="B486" s="21" t="str">
        <f t="shared" si="8"/>
        <v>84733092</v>
      </c>
      <c r="C486" s="21" t="str">
        <f>Tabela5[[#This Row],[Cod. Ncm]]&amp;"-"&amp;Tabela5[[#This Row],[Operações]]</f>
        <v>84733092-Internas</v>
      </c>
      <c r="D486" s="22" t="s">
        <v>579</v>
      </c>
      <c r="E486" s="22" t="s">
        <v>593</v>
      </c>
      <c r="F486" s="22">
        <v>7</v>
      </c>
      <c r="G486" s="22" t="s">
        <v>1999</v>
      </c>
      <c r="H486" s="22" t="s">
        <v>1083</v>
      </c>
      <c r="I486" s="23" t="s">
        <v>2000</v>
      </c>
      <c r="J486" s="23" t="s">
        <v>591</v>
      </c>
      <c r="K486" s="23" t="s">
        <v>592</v>
      </c>
      <c r="L486" s="23" t="s">
        <v>1086</v>
      </c>
      <c r="M486" s="23" t="s">
        <v>1087</v>
      </c>
      <c r="N486" s="23" t="s">
        <v>583</v>
      </c>
      <c r="O486" s="23"/>
      <c r="P486" s="23"/>
      <c r="Q486" s="23"/>
      <c r="R486" s="23"/>
      <c r="S486" s="23"/>
      <c r="T486" s="23"/>
      <c r="U486" s="23"/>
      <c r="V486" s="23"/>
      <c r="W486" s="23"/>
      <c r="X486" s="4"/>
    </row>
    <row r="487" spans="1:24" ht="39" x14ac:dyDescent="0.25">
      <c r="A487" s="21" t="s">
        <v>2001</v>
      </c>
      <c r="B487" s="21" t="str">
        <f t="shared" si="8"/>
        <v>84733099</v>
      </c>
      <c r="C487" s="21" t="str">
        <f>Tabela5[[#This Row],[Cod. Ncm]]&amp;"-"&amp;Tabela5[[#This Row],[Operações]]</f>
        <v>84733099-Internas</v>
      </c>
      <c r="D487" s="22" t="s">
        <v>579</v>
      </c>
      <c r="E487" s="22" t="s">
        <v>593</v>
      </c>
      <c r="F487" s="22">
        <v>7</v>
      </c>
      <c r="G487" s="22" t="s">
        <v>2002</v>
      </c>
      <c r="H487" s="22" t="s">
        <v>1083</v>
      </c>
      <c r="I487" s="23" t="s">
        <v>2003</v>
      </c>
      <c r="J487" s="23" t="s">
        <v>591</v>
      </c>
      <c r="K487" s="23" t="s">
        <v>592</v>
      </c>
      <c r="L487" s="23" t="s">
        <v>1086</v>
      </c>
      <c r="M487" s="23" t="s">
        <v>1087</v>
      </c>
      <c r="N487" s="23" t="s">
        <v>583</v>
      </c>
      <c r="O487" s="23"/>
      <c r="P487" s="23"/>
      <c r="Q487" s="23"/>
      <c r="R487" s="23"/>
      <c r="S487" s="23"/>
      <c r="T487" s="23"/>
      <c r="U487" s="23"/>
      <c r="V487" s="23"/>
      <c r="W487" s="23"/>
      <c r="X487" s="4"/>
    </row>
    <row r="488" spans="1:24" ht="39" x14ac:dyDescent="0.25">
      <c r="A488" s="21" t="s">
        <v>2004</v>
      </c>
      <c r="B488" s="21" t="str">
        <f t="shared" si="8"/>
        <v>84734070</v>
      </c>
      <c r="C488" s="21" t="str">
        <f>Tabela5[[#This Row],[Cod. Ncm]]&amp;"-"&amp;Tabela5[[#This Row],[Operações]]</f>
        <v>84734070-Internas</v>
      </c>
      <c r="D488" s="22" t="s">
        <v>579</v>
      </c>
      <c r="E488" s="22" t="s">
        <v>593</v>
      </c>
      <c r="F488" s="22">
        <v>7</v>
      </c>
      <c r="G488" s="22" t="s">
        <v>2005</v>
      </c>
      <c r="H488" s="22" t="s">
        <v>1083</v>
      </c>
      <c r="I488" s="23" t="s">
        <v>2006</v>
      </c>
      <c r="J488" s="23" t="s">
        <v>591</v>
      </c>
      <c r="K488" s="23" t="s">
        <v>592</v>
      </c>
      <c r="L488" s="23" t="s">
        <v>1086</v>
      </c>
      <c r="M488" s="23" t="s">
        <v>1087</v>
      </c>
      <c r="N488" s="23" t="s">
        <v>583</v>
      </c>
      <c r="O488" s="23"/>
      <c r="P488" s="23"/>
      <c r="Q488" s="23"/>
      <c r="R488" s="23"/>
      <c r="S488" s="23"/>
      <c r="T488" s="23"/>
      <c r="U488" s="23"/>
      <c r="V488" s="23"/>
      <c r="W488" s="23"/>
      <c r="X488" s="4"/>
    </row>
    <row r="489" spans="1:24" ht="39" x14ac:dyDescent="0.25">
      <c r="A489" s="21" t="s">
        <v>2007</v>
      </c>
      <c r="B489" s="21" t="str">
        <f t="shared" si="8"/>
        <v>84734090</v>
      </c>
      <c r="C489" s="21" t="str">
        <f>Tabela5[[#This Row],[Cod. Ncm]]&amp;"-"&amp;Tabela5[[#This Row],[Operações]]</f>
        <v>84734090-Internas</v>
      </c>
      <c r="D489" s="22" t="s">
        <v>579</v>
      </c>
      <c r="E489" s="22" t="s">
        <v>593</v>
      </c>
      <c r="F489" s="22">
        <v>7</v>
      </c>
      <c r="G489" s="22" t="s">
        <v>2008</v>
      </c>
      <c r="H489" s="22" t="s">
        <v>1083</v>
      </c>
      <c r="I489" s="23" t="s">
        <v>2009</v>
      </c>
      <c r="J489" s="23" t="s">
        <v>591</v>
      </c>
      <c r="K489" s="23" t="s">
        <v>592</v>
      </c>
      <c r="L489" s="23" t="s">
        <v>1086</v>
      </c>
      <c r="M489" s="23" t="s">
        <v>1087</v>
      </c>
      <c r="N489" s="23" t="s">
        <v>583</v>
      </c>
      <c r="O489" s="23"/>
      <c r="P489" s="23"/>
      <c r="Q489" s="23"/>
      <c r="R489" s="23"/>
      <c r="S489" s="23"/>
      <c r="T489" s="23"/>
      <c r="U489" s="23"/>
      <c r="V489" s="23"/>
      <c r="W489" s="23"/>
      <c r="X489" s="4"/>
    </row>
    <row r="490" spans="1:24" ht="39" x14ac:dyDescent="0.25">
      <c r="A490" s="21" t="s">
        <v>2010</v>
      </c>
      <c r="B490" s="21" t="str">
        <f t="shared" si="8"/>
        <v>84735034</v>
      </c>
      <c r="C490" s="21" t="str">
        <f>Tabela5[[#This Row],[Cod. Ncm]]&amp;"-"&amp;Tabela5[[#This Row],[Operações]]</f>
        <v>84735034-Internas</v>
      </c>
      <c r="D490" s="22" t="s">
        <v>579</v>
      </c>
      <c r="E490" s="22" t="s">
        <v>593</v>
      </c>
      <c r="F490" s="22">
        <v>7</v>
      </c>
      <c r="G490" s="22" t="s">
        <v>2011</v>
      </c>
      <c r="H490" s="22" t="s">
        <v>1083</v>
      </c>
      <c r="I490" s="23" t="s">
        <v>2012</v>
      </c>
      <c r="J490" s="23" t="s">
        <v>591</v>
      </c>
      <c r="K490" s="23" t="s">
        <v>592</v>
      </c>
      <c r="L490" s="23" t="s">
        <v>1086</v>
      </c>
      <c r="M490" s="23" t="s">
        <v>1087</v>
      </c>
      <c r="N490" s="23" t="s">
        <v>583</v>
      </c>
      <c r="O490" s="23"/>
      <c r="P490" s="23"/>
      <c r="Q490" s="23"/>
      <c r="R490" s="23"/>
      <c r="S490" s="23"/>
      <c r="T490" s="23"/>
      <c r="U490" s="23"/>
      <c r="V490" s="23"/>
      <c r="W490" s="23"/>
      <c r="X490" s="4"/>
    </row>
    <row r="491" spans="1:24" ht="39" x14ac:dyDescent="0.25">
      <c r="A491" s="21" t="s">
        <v>2013</v>
      </c>
      <c r="B491" s="21" t="str">
        <f t="shared" si="8"/>
        <v>84735035</v>
      </c>
      <c r="C491" s="21" t="str">
        <f>Tabela5[[#This Row],[Cod. Ncm]]&amp;"-"&amp;Tabela5[[#This Row],[Operações]]</f>
        <v>84735035-Internas</v>
      </c>
      <c r="D491" s="22" t="s">
        <v>579</v>
      </c>
      <c r="E491" s="22" t="s">
        <v>593</v>
      </c>
      <c r="F491" s="22">
        <v>7</v>
      </c>
      <c r="G491" s="22" t="s">
        <v>2014</v>
      </c>
      <c r="H491" s="22" t="s">
        <v>1083</v>
      </c>
      <c r="I491" s="23" t="s">
        <v>2015</v>
      </c>
      <c r="J491" s="23" t="s">
        <v>591</v>
      </c>
      <c r="K491" s="23" t="s">
        <v>592</v>
      </c>
      <c r="L491" s="23" t="s">
        <v>1086</v>
      </c>
      <c r="M491" s="23" t="s">
        <v>1087</v>
      </c>
      <c r="N491" s="23" t="s">
        <v>583</v>
      </c>
      <c r="O491" s="23"/>
      <c r="P491" s="23"/>
      <c r="Q491" s="23"/>
      <c r="R491" s="23"/>
      <c r="S491" s="23"/>
      <c r="T491" s="23"/>
      <c r="U491" s="23"/>
      <c r="V491" s="23"/>
      <c r="W491" s="23"/>
      <c r="X491" s="4"/>
    </row>
    <row r="492" spans="1:24" ht="39" x14ac:dyDescent="0.25">
      <c r="A492" s="21" t="s">
        <v>2016</v>
      </c>
      <c r="B492" s="21" t="str">
        <f t="shared" si="8"/>
        <v>84735040</v>
      </c>
      <c r="C492" s="21" t="str">
        <f>Tabela5[[#This Row],[Cod. Ncm]]&amp;"-"&amp;Tabela5[[#This Row],[Operações]]</f>
        <v>84735040-Internas</v>
      </c>
      <c r="D492" s="22" t="s">
        <v>579</v>
      </c>
      <c r="E492" s="22" t="s">
        <v>593</v>
      </c>
      <c r="F492" s="22">
        <v>7</v>
      </c>
      <c r="G492" s="22" t="s">
        <v>2017</v>
      </c>
      <c r="H492" s="22" t="s">
        <v>1083</v>
      </c>
      <c r="I492" s="23" t="s">
        <v>2018</v>
      </c>
      <c r="J492" s="23" t="s">
        <v>591</v>
      </c>
      <c r="K492" s="23" t="s">
        <v>592</v>
      </c>
      <c r="L492" s="23" t="s">
        <v>1086</v>
      </c>
      <c r="M492" s="23" t="s">
        <v>1087</v>
      </c>
      <c r="N492" s="23" t="s">
        <v>583</v>
      </c>
      <c r="O492" s="23"/>
      <c r="P492" s="23"/>
      <c r="Q492" s="23"/>
      <c r="R492" s="23"/>
      <c r="S492" s="23"/>
      <c r="T492" s="23"/>
      <c r="U492" s="23"/>
      <c r="V492" s="23"/>
      <c r="W492" s="23"/>
      <c r="X492" s="4"/>
    </row>
    <row r="493" spans="1:24" ht="39" x14ac:dyDescent="0.25">
      <c r="A493" s="21" t="s">
        <v>2019</v>
      </c>
      <c r="B493" s="21" t="str">
        <f t="shared" si="8"/>
        <v>84735050</v>
      </c>
      <c r="C493" s="21" t="str">
        <f>Tabela5[[#This Row],[Cod. Ncm]]&amp;"-"&amp;Tabela5[[#This Row],[Operações]]</f>
        <v>84735050-Internas</v>
      </c>
      <c r="D493" s="22" t="s">
        <v>579</v>
      </c>
      <c r="E493" s="22" t="s">
        <v>593</v>
      </c>
      <c r="F493" s="22">
        <v>7</v>
      </c>
      <c r="G493" s="22" t="s">
        <v>2020</v>
      </c>
      <c r="H493" s="22" t="s">
        <v>1083</v>
      </c>
      <c r="I493" s="23" t="s">
        <v>2021</v>
      </c>
      <c r="J493" s="23" t="s">
        <v>591</v>
      </c>
      <c r="K493" s="23" t="s">
        <v>592</v>
      </c>
      <c r="L493" s="23" t="s">
        <v>1086</v>
      </c>
      <c r="M493" s="23" t="s">
        <v>1087</v>
      </c>
      <c r="N493" s="23" t="s">
        <v>583</v>
      </c>
      <c r="O493" s="23"/>
      <c r="P493" s="23"/>
      <c r="Q493" s="23"/>
      <c r="R493" s="23"/>
      <c r="S493" s="23"/>
      <c r="T493" s="23"/>
      <c r="U493" s="23"/>
      <c r="V493" s="23"/>
      <c r="W493" s="23"/>
      <c r="X493" s="4"/>
    </row>
    <row r="494" spans="1:24" ht="39" x14ac:dyDescent="0.25">
      <c r="A494" s="21" t="s">
        <v>2022</v>
      </c>
      <c r="B494" s="21" t="str">
        <f t="shared" si="8"/>
        <v>84735090</v>
      </c>
      <c r="C494" s="21" t="str">
        <f>Tabela5[[#This Row],[Cod. Ncm]]&amp;"-"&amp;Tabela5[[#This Row],[Operações]]</f>
        <v>84735090-Internas</v>
      </c>
      <c r="D494" s="22" t="s">
        <v>579</v>
      </c>
      <c r="E494" s="22" t="s">
        <v>593</v>
      </c>
      <c r="F494" s="22">
        <v>7</v>
      </c>
      <c r="G494" s="22" t="s">
        <v>2023</v>
      </c>
      <c r="H494" s="22" t="s">
        <v>1083</v>
      </c>
      <c r="I494" s="23" t="s">
        <v>2024</v>
      </c>
      <c r="J494" s="23" t="s">
        <v>591</v>
      </c>
      <c r="K494" s="23" t="s">
        <v>592</v>
      </c>
      <c r="L494" s="23" t="s">
        <v>1086</v>
      </c>
      <c r="M494" s="23" t="s">
        <v>1087</v>
      </c>
      <c r="N494" s="23" t="s">
        <v>583</v>
      </c>
      <c r="O494" s="23"/>
      <c r="P494" s="23"/>
      <c r="Q494" s="23"/>
      <c r="R494" s="23"/>
      <c r="S494" s="23"/>
      <c r="T494" s="23"/>
      <c r="U494" s="23"/>
      <c r="V494" s="23"/>
      <c r="W494" s="23"/>
      <c r="X494" s="4"/>
    </row>
    <row r="495" spans="1:24" ht="26.25" x14ac:dyDescent="0.25">
      <c r="A495" s="21" t="s">
        <v>2025</v>
      </c>
      <c r="B495" s="21" t="str">
        <f t="shared" si="8"/>
        <v>84741000</v>
      </c>
      <c r="C495" s="21" t="str">
        <f>Tabela5[[#This Row],[Cod. Ncm]]&amp;"-"&amp;Tabela5[[#This Row],[Operações]]</f>
        <v>84741000-Internas e interestaduais</v>
      </c>
      <c r="D495" s="22" t="s">
        <v>586</v>
      </c>
      <c r="E495" s="22" t="s">
        <v>587</v>
      </c>
      <c r="F495" s="22">
        <v>8.8000000000000007</v>
      </c>
      <c r="G495" s="22" t="s">
        <v>2026</v>
      </c>
      <c r="H495" s="22" t="s">
        <v>588</v>
      </c>
      <c r="I495" s="23" t="s">
        <v>577</v>
      </c>
      <c r="J495" s="23" t="s">
        <v>2027</v>
      </c>
      <c r="K495" s="23" t="s">
        <v>589</v>
      </c>
      <c r="L495" s="23" t="s">
        <v>590</v>
      </c>
      <c r="M495" s="23"/>
      <c r="N495" s="23"/>
      <c r="O495" s="23"/>
      <c r="P495" s="23"/>
      <c r="Q495" s="23"/>
      <c r="R495" s="23"/>
      <c r="S495" s="23"/>
      <c r="T495" s="23"/>
      <c r="U495" s="23"/>
      <c r="V495" s="23"/>
      <c r="W495" s="23"/>
      <c r="X495" s="4"/>
    </row>
    <row r="496" spans="1:24" ht="26.25" x14ac:dyDescent="0.25">
      <c r="A496" s="21" t="s">
        <v>2028</v>
      </c>
      <c r="B496" s="21" t="str">
        <f t="shared" si="8"/>
        <v>84742010</v>
      </c>
      <c r="C496" s="21" t="str">
        <f>Tabela5[[#This Row],[Cod. Ncm]]&amp;"-"&amp;Tabela5[[#This Row],[Operações]]</f>
        <v>84742010-Internas e interestaduais</v>
      </c>
      <c r="D496" s="22" t="s">
        <v>586</v>
      </c>
      <c r="E496" s="22" t="s">
        <v>587</v>
      </c>
      <c r="F496" s="22">
        <v>8.8000000000000007</v>
      </c>
      <c r="G496" s="22" t="s">
        <v>2029</v>
      </c>
      <c r="H496" s="22" t="s">
        <v>588</v>
      </c>
      <c r="I496" s="23" t="s">
        <v>577</v>
      </c>
      <c r="J496" s="23" t="s">
        <v>2030</v>
      </c>
      <c r="K496" s="23" t="s">
        <v>589</v>
      </c>
      <c r="L496" s="23" t="s">
        <v>590</v>
      </c>
      <c r="M496" s="23"/>
      <c r="N496" s="23"/>
      <c r="O496" s="23"/>
      <c r="P496" s="23"/>
      <c r="Q496" s="23"/>
      <c r="R496" s="23"/>
      <c r="S496" s="23"/>
      <c r="T496" s="23"/>
      <c r="U496" s="23"/>
      <c r="V496" s="23"/>
      <c r="W496" s="23"/>
      <c r="X496" s="4"/>
    </row>
    <row r="497" spans="1:24" ht="26.25" x14ac:dyDescent="0.25">
      <c r="A497" s="21" t="s">
        <v>2031</v>
      </c>
      <c r="B497" s="21" t="str">
        <f t="shared" si="8"/>
        <v>84742090</v>
      </c>
      <c r="C497" s="21" t="str">
        <f>Tabela5[[#This Row],[Cod. Ncm]]&amp;"-"&amp;Tabela5[[#This Row],[Operações]]</f>
        <v>84742090-Internas e interestaduais</v>
      </c>
      <c r="D497" s="22" t="s">
        <v>586</v>
      </c>
      <c r="E497" s="22" t="s">
        <v>587</v>
      </c>
      <c r="F497" s="22">
        <v>8.8000000000000007</v>
      </c>
      <c r="G497" s="22" t="s">
        <v>2032</v>
      </c>
      <c r="H497" s="22" t="s">
        <v>588</v>
      </c>
      <c r="I497" s="23" t="s">
        <v>577</v>
      </c>
      <c r="J497" s="23" t="s">
        <v>2033</v>
      </c>
      <c r="K497" s="23" t="s">
        <v>589</v>
      </c>
      <c r="L497" s="23" t="s">
        <v>590</v>
      </c>
      <c r="M497" s="23"/>
      <c r="N497" s="23"/>
      <c r="O497" s="23"/>
      <c r="P497" s="23"/>
      <c r="Q497" s="23"/>
      <c r="R497" s="23"/>
      <c r="S497" s="23"/>
      <c r="T497" s="23"/>
      <c r="U497" s="23"/>
      <c r="V497" s="23"/>
      <c r="W497" s="23"/>
      <c r="X497" s="4"/>
    </row>
    <row r="498" spans="1:24" ht="26.25" x14ac:dyDescent="0.25">
      <c r="A498" s="21" t="s">
        <v>2034</v>
      </c>
      <c r="B498" s="21" t="str">
        <f t="shared" si="8"/>
        <v>84743100</v>
      </c>
      <c r="C498" s="21" t="str">
        <f>Tabela5[[#This Row],[Cod. Ncm]]&amp;"-"&amp;Tabela5[[#This Row],[Operações]]</f>
        <v>84743100-Internas e interestaduais</v>
      </c>
      <c r="D498" s="22" t="s">
        <v>586</v>
      </c>
      <c r="E498" s="22" t="s">
        <v>587</v>
      </c>
      <c r="F498" s="22">
        <v>8.8000000000000007</v>
      </c>
      <c r="G498" s="22" t="s">
        <v>2035</v>
      </c>
      <c r="H498" s="22" t="s">
        <v>588</v>
      </c>
      <c r="I498" s="23" t="s">
        <v>577</v>
      </c>
      <c r="J498" s="23" t="s">
        <v>2036</v>
      </c>
      <c r="K498" s="23" t="s">
        <v>589</v>
      </c>
      <c r="L498" s="23" t="s">
        <v>590</v>
      </c>
      <c r="M498" s="23"/>
      <c r="N498" s="23"/>
      <c r="O498" s="23"/>
      <c r="P498" s="23"/>
      <c r="Q498" s="23"/>
      <c r="R498" s="23"/>
      <c r="S498" s="23"/>
      <c r="T498" s="23"/>
      <c r="U498" s="23"/>
      <c r="V498" s="23"/>
      <c r="W498" s="23"/>
      <c r="X498" s="4"/>
    </row>
    <row r="499" spans="1:24" ht="26.25" x14ac:dyDescent="0.25">
      <c r="A499" s="21" t="s">
        <v>2037</v>
      </c>
      <c r="B499" s="21" t="str">
        <f t="shared" si="8"/>
        <v>84748010</v>
      </c>
      <c r="C499" s="21" t="str">
        <f>Tabela5[[#This Row],[Cod. Ncm]]&amp;"-"&amp;Tabela5[[#This Row],[Operações]]</f>
        <v>84748010-Internas e interestaduais</v>
      </c>
      <c r="D499" s="22" t="s">
        <v>586</v>
      </c>
      <c r="E499" s="22" t="s">
        <v>587</v>
      </c>
      <c r="F499" s="22">
        <v>8.8000000000000007</v>
      </c>
      <c r="G499" s="22" t="s">
        <v>2038</v>
      </c>
      <c r="H499" s="22" t="s">
        <v>588</v>
      </c>
      <c r="I499" s="23" t="s">
        <v>577</v>
      </c>
      <c r="J499" s="23" t="s">
        <v>2039</v>
      </c>
      <c r="K499" s="23" t="s">
        <v>589</v>
      </c>
      <c r="L499" s="23" t="s">
        <v>590</v>
      </c>
      <c r="M499" s="23"/>
      <c r="N499" s="23"/>
      <c r="O499" s="23"/>
      <c r="P499" s="23"/>
      <c r="Q499" s="23"/>
      <c r="R499" s="23"/>
      <c r="S499" s="23"/>
      <c r="T499" s="23"/>
      <c r="U499" s="23"/>
      <c r="V499" s="23"/>
      <c r="W499" s="23"/>
      <c r="X499" s="4"/>
    </row>
    <row r="500" spans="1:24" ht="51" x14ac:dyDescent="0.25">
      <c r="A500" s="21" t="s">
        <v>2040</v>
      </c>
      <c r="B500" s="21" t="str">
        <f t="shared" si="8"/>
        <v>84748090</v>
      </c>
      <c r="C500" s="21" t="str">
        <f>Tabela5[[#This Row],[Cod. Ncm]]&amp;"-"&amp;Tabela5[[#This Row],[Operações]]</f>
        <v>84748090-Internas e interestaduais</v>
      </c>
      <c r="D500" s="22" t="s">
        <v>586</v>
      </c>
      <c r="E500" s="22" t="s">
        <v>587</v>
      </c>
      <c r="F500" s="22">
        <v>8.8000000000000007</v>
      </c>
      <c r="G500" s="22" t="s">
        <v>2041</v>
      </c>
      <c r="H500" s="22" t="s">
        <v>588</v>
      </c>
      <c r="I500" s="23" t="s">
        <v>577</v>
      </c>
      <c r="J500" s="23" t="s">
        <v>2042</v>
      </c>
      <c r="K500" s="23" t="s">
        <v>589</v>
      </c>
      <c r="L500" s="23" t="s">
        <v>590</v>
      </c>
      <c r="M500" s="23"/>
      <c r="N500" s="23"/>
      <c r="O500" s="23"/>
      <c r="P500" s="23"/>
      <c r="Q500" s="23"/>
      <c r="R500" s="23"/>
      <c r="S500" s="23"/>
      <c r="T500" s="23"/>
      <c r="U500" s="23"/>
      <c r="V500" s="23"/>
      <c r="W500" s="23"/>
      <c r="X500" s="4"/>
    </row>
    <row r="501" spans="1:24" ht="38.25" x14ac:dyDescent="0.25">
      <c r="A501" s="21" t="s">
        <v>2043</v>
      </c>
      <c r="B501" s="21" t="str">
        <f t="shared" si="8"/>
        <v>84751000</v>
      </c>
      <c r="C501" s="21" t="str">
        <f>Tabela5[[#This Row],[Cod. Ncm]]&amp;"-"&amp;Tabela5[[#This Row],[Operações]]</f>
        <v>84751000-Internas e interestaduais</v>
      </c>
      <c r="D501" s="22" t="s">
        <v>586</v>
      </c>
      <c r="E501" s="22" t="s">
        <v>587</v>
      </c>
      <c r="F501" s="22">
        <v>8.8000000000000007</v>
      </c>
      <c r="G501" s="22" t="s">
        <v>2044</v>
      </c>
      <c r="H501" s="22" t="s">
        <v>588</v>
      </c>
      <c r="I501" s="23" t="s">
        <v>577</v>
      </c>
      <c r="J501" s="23" t="s">
        <v>2045</v>
      </c>
      <c r="K501" s="23" t="s">
        <v>589</v>
      </c>
      <c r="L501" s="23" t="s">
        <v>590</v>
      </c>
      <c r="M501" s="23"/>
      <c r="N501" s="23"/>
      <c r="O501" s="23"/>
      <c r="P501" s="23"/>
      <c r="Q501" s="23"/>
      <c r="R501" s="23"/>
      <c r="S501" s="23"/>
      <c r="T501" s="23"/>
      <c r="U501" s="23"/>
      <c r="V501" s="23"/>
      <c r="W501" s="23"/>
      <c r="X501" s="4"/>
    </row>
    <row r="502" spans="1:24" ht="26.25" x14ac:dyDescent="0.25">
      <c r="A502" s="21" t="s">
        <v>2046</v>
      </c>
      <c r="B502" s="21" t="str">
        <f t="shared" si="8"/>
        <v>84752100</v>
      </c>
      <c r="C502" s="21" t="str">
        <f>Tabela5[[#This Row],[Cod. Ncm]]&amp;"-"&amp;Tabela5[[#This Row],[Operações]]</f>
        <v>84752100-Internas e interestaduais</v>
      </c>
      <c r="D502" s="22" t="s">
        <v>586</v>
      </c>
      <c r="E502" s="22" t="s">
        <v>587</v>
      </c>
      <c r="F502" s="22">
        <v>8.8000000000000007</v>
      </c>
      <c r="G502" s="22" t="s">
        <v>2047</v>
      </c>
      <c r="H502" s="22" t="s">
        <v>588</v>
      </c>
      <c r="I502" s="23" t="s">
        <v>577</v>
      </c>
      <c r="J502" s="23" t="s">
        <v>2048</v>
      </c>
      <c r="K502" s="23" t="s">
        <v>589</v>
      </c>
      <c r="L502" s="23" t="s">
        <v>590</v>
      </c>
      <c r="M502" s="23"/>
      <c r="N502" s="23"/>
      <c r="O502" s="23"/>
      <c r="P502" s="23"/>
      <c r="Q502" s="23"/>
      <c r="R502" s="23"/>
      <c r="S502" s="23"/>
      <c r="T502" s="23"/>
      <c r="U502" s="23"/>
      <c r="V502" s="23"/>
      <c r="W502" s="23"/>
      <c r="X502" s="4"/>
    </row>
    <row r="503" spans="1:24" ht="26.25" x14ac:dyDescent="0.25">
      <c r="A503" s="21" t="s">
        <v>2049</v>
      </c>
      <c r="B503" s="21" t="str">
        <f t="shared" si="8"/>
        <v>84752910</v>
      </c>
      <c r="C503" s="21" t="str">
        <f>Tabela5[[#This Row],[Cod. Ncm]]&amp;"-"&amp;Tabela5[[#This Row],[Operações]]</f>
        <v>84752910-Internas e interestaduais</v>
      </c>
      <c r="D503" s="22" t="s">
        <v>586</v>
      </c>
      <c r="E503" s="22" t="s">
        <v>587</v>
      </c>
      <c r="F503" s="22">
        <v>8.8000000000000007</v>
      </c>
      <c r="G503" s="22" t="s">
        <v>2050</v>
      </c>
      <c r="H503" s="22" t="s">
        <v>588</v>
      </c>
      <c r="I503" s="23" t="s">
        <v>577</v>
      </c>
      <c r="J503" s="23" t="s">
        <v>2051</v>
      </c>
      <c r="K503" s="23" t="s">
        <v>589</v>
      </c>
      <c r="L503" s="23" t="s">
        <v>590</v>
      </c>
      <c r="M503" s="23"/>
      <c r="N503" s="23"/>
      <c r="O503" s="23"/>
      <c r="P503" s="23"/>
      <c r="Q503" s="23"/>
      <c r="R503" s="23"/>
      <c r="S503" s="23"/>
      <c r="T503" s="23"/>
      <c r="U503" s="23"/>
      <c r="V503" s="23"/>
      <c r="W503" s="23"/>
      <c r="X503" s="4"/>
    </row>
    <row r="504" spans="1:24" ht="38.25" x14ac:dyDescent="0.25">
      <c r="A504" s="21" t="s">
        <v>2052</v>
      </c>
      <c r="B504" s="21" t="str">
        <f t="shared" si="8"/>
        <v>84752990</v>
      </c>
      <c r="C504" s="21" t="str">
        <f>Tabela5[[#This Row],[Cod. Ncm]]&amp;"-"&amp;Tabela5[[#This Row],[Operações]]</f>
        <v>84752990-Internas e interestaduais</v>
      </c>
      <c r="D504" s="22" t="s">
        <v>586</v>
      </c>
      <c r="E504" s="22" t="s">
        <v>587</v>
      </c>
      <c r="F504" s="22">
        <v>8.8000000000000007</v>
      </c>
      <c r="G504" s="22" t="s">
        <v>2053</v>
      </c>
      <c r="H504" s="22" t="s">
        <v>588</v>
      </c>
      <c r="I504" s="23" t="s">
        <v>577</v>
      </c>
      <c r="J504" s="23" t="s">
        <v>2054</v>
      </c>
      <c r="K504" s="23" t="s">
        <v>589</v>
      </c>
      <c r="L504" s="23" t="s">
        <v>590</v>
      </c>
      <c r="M504" s="23"/>
      <c r="N504" s="23"/>
      <c r="O504" s="23"/>
      <c r="P504" s="23"/>
      <c r="Q504" s="23"/>
      <c r="R504" s="23"/>
      <c r="S504" s="23"/>
      <c r="T504" s="23"/>
      <c r="U504" s="23"/>
      <c r="V504" s="23"/>
      <c r="W504" s="23"/>
      <c r="X504" s="4"/>
    </row>
    <row r="505" spans="1:24" ht="38.25" x14ac:dyDescent="0.25">
      <c r="A505" s="21" t="s">
        <v>2055</v>
      </c>
      <c r="B505" s="21" t="str">
        <f t="shared" si="8"/>
        <v>84771011</v>
      </c>
      <c r="C505" s="21" t="str">
        <f>Tabela5[[#This Row],[Cod. Ncm]]&amp;"-"&amp;Tabela5[[#This Row],[Operações]]</f>
        <v>84771011-Internas e interestaduais</v>
      </c>
      <c r="D505" s="22" t="s">
        <v>586</v>
      </c>
      <c r="E505" s="22" t="s">
        <v>587</v>
      </c>
      <c r="F505" s="22">
        <v>8.8000000000000007</v>
      </c>
      <c r="G505" s="22" t="s">
        <v>2056</v>
      </c>
      <c r="H505" s="22" t="s">
        <v>588</v>
      </c>
      <c r="I505" s="23" t="s">
        <v>577</v>
      </c>
      <c r="J505" s="23" t="s">
        <v>2057</v>
      </c>
      <c r="K505" s="23" t="s">
        <v>589</v>
      </c>
      <c r="L505" s="23" t="s">
        <v>590</v>
      </c>
      <c r="M505" s="23"/>
      <c r="N505" s="23"/>
      <c r="O505" s="23"/>
      <c r="P505" s="23"/>
      <c r="Q505" s="23"/>
      <c r="R505" s="23"/>
      <c r="S505" s="23"/>
      <c r="T505" s="23"/>
      <c r="U505" s="23"/>
      <c r="V505" s="23"/>
      <c r="W505" s="23"/>
      <c r="X505" s="4"/>
    </row>
    <row r="506" spans="1:24" ht="26.25" x14ac:dyDescent="0.25">
      <c r="A506" s="21" t="s">
        <v>2058</v>
      </c>
      <c r="B506" s="21" t="str">
        <f t="shared" si="8"/>
        <v>84771019</v>
      </c>
      <c r="C506" s="21" t="str">
        <f>Tabela5[[#This Row],[Cod. Ncm]]&amp;"-"&amp;Tabela5[[#This Row],[Operações]]</f>
        <v>84771019-Internas e interestaduais</v>
      </c>
      <c r="D506" s="22" t="s">
        <v>586</v>
      </c>
      <c r="E506" s="22" t="s">
        <v>587</v>
      </c>
      <c r="F506" s="22">
        <v>8.8000000000000007</v>
      </c>
      <c r="G506" s="22" t="s">
        <v>2059</v>
      </c>
      <c r="H506" s="22" t="s">
        <v>588</v>
      </c>
      <c r="I506" s="23" t="s">
        <v>577</v>
      </c>
      <c r="J506" s="23" t="s">
        <v>2060</v>
      </c>
      <c r="K506" s="23" t="s">
        <v>589</v>
      </c>
      <c r="L506" s="23" t="s">
        <v>590</v>
      </c>
      <c r="M506" s="23"/>
      <c r="N506" s="23"/>
      <c r="O506" s="23"/>
      <c r="P506" s="23"/>
      <c r="Q506" s="23"/>
      <c r="R506" s="23"/>
      <c r="S506" s="23"/>
      <c r="T506" s="23"/>
      <c r="U506" s="23"/>
      <c r="V506" s="23"/>
      <c r="W506" s="23"/>
      <c r="X506" s="4"/>
    </row>
    <row r="507" spans="1:24" ht="38.25" x14ac:dyDescent="0.25">
      <c r="A507" s="21" t="s">
        <v>2061</v>
      </c>
      <c r="B507" s="21" t="str">
        <f t="shared" si="8"/>
        <v>84771021</v>
      </c>
      <c r="C507" s="21" t="str">
        <f>Tabela5[[#This Row],[Cod. Ncm]]&amp;"-"&amp;Tabela5[[#This Row],[Operações]]</f>
        <v>84771021-Internas e interestaduais</v>
      </c>
      <c r="D507" s="22" t="s">
        <v>586</v>
      </c>
      <c r="E507" s="22" t="s">
        <v>587</v>
      </c>
      <c r="F507" s="22">
        <v>8.8000000000000007</v>
      </c>
      <c r="G507" s="22" t="s">
        <v>2056</v>
      </c>
      <c r="H507" s="22" t="s">
        <v>588</v>
      </c>
      <c r="I507" s="23" t="s">
        <v>577</v>
      </c>
      <c r="J507" s="23" t="s">
        <v>2062</v>
      </c>
      <c r="K507" s="23" t="s">
        <v>589</v>
      </c>
      <c r="L507" s="23" t="s">
        <v>590</v>
      </c>
      <c r="M507" s="23"/>
      <c r="N507" s="23"/>
      <c r="O507" s="23"/>
      <c r="P507" s="23"/>
      <c r="Q507" s="23"/>
      <c r="R507" s="23"/>
      <c r="S507" s="23"/>
      <c r="T507" s="23"/>
      <c r="U507" s="23"/>
      <c r="V507" s="23"/>
      <c r="W507" s="23"/>
      <c r="X507" s="4"/>
    </row>
    <row r="508" spans="1:24" ht="26.25" x14ac:dyDescent="0.25">
      <c r="A508" s="21" t="s">
        <v>2063</v>
      </c>
      <c r="B508" s="21" t="str">
        <f t="shared" si="8"/>
        <v>84771029</v>
      </c>
      <c r="C508" s="21" t="str">
        <f>Tabela5[[#This Row],[Cod. Ncm]]&amp;"-"&amp;Tabela5[[#This Row],[Operações]]</f>
        <v>84771029-Internas e interestaduais</v>
      </c>
      <c r="D508" s="22" t="s">
        <v>586</v>
      </c>
      <c r="E508" s="22" t="s">
        <v>587</v>
      </c>
      <c r="F508" s="22">
        <v>8.8000000000000007</v>
      </c>
      <c r="G508" s="22" t="s">
        <v>2064</v>
      </c>
      <c r="H508" s="22" t="s">
        <v>588</v>
      </c>
      <c r="I508" s="23" t="s">
        <v>577</v>
      </c>
      <c r="J508" s="23" t="s">
        <v>2065</v>
      </c>
      <c r="K508" s="23" t="s">
        <v>589</v>
      </c>
      <c r="L508" s="23" t="s">
        <v>590</v>
      </c>
      <c r="M508" s="23"/>
      <c r="N508" s="23"/>
      <c r="O508" s="23"/>
      <c r="P508" s="23"/>
      <c r="Q508" s="23"/>
      <c r="R508" s="23"/>
      <c r="S508" s="23"/>
      <c r="T508" s="23"/>
      <c r="U508" s="23"/>
      <c r="V508" s="23"/>
      <c r="W508" s="23"/>
      <c r="X508" s="4"/>
    </row>
    <row r="509" spans="1:24" ht="26.25" x14ac:dyDescent="0.25">
      <c r="A509" s="21" t="s">
        <v>2066</v>
      </c>
      <c r="B509" s="21" t="str">
        <f t="shared" si="8"/>
        <v>84771091</v>
      </c>
      <c r="C509" s="21" t="str">
        <f>Tabela5[[#This Row],[Cod. Ncm]]&amp;"-"&amp;Tabela5[[#This Row],[Operações]]</f>
        <v>84771091-Internas e interestaduais</v>
      </c>
      <c r="D509" s="22" t="s">
        <v>586</v>
      </c>
      <c r="E509" s="22" t="s">
        <v>587</v>
      </c>
      <c r="F509" s="22">
        <v>8.8000000000000007</v>
      </c>
      <c r="G509" s="22" t="s">
        <v>2067</v>
      </c>
      <c r="H509" s="22" t="s">
        <v>588</v>
      </c>
      <c r="I509" s="23" t="s">
        <v>577</v>
      </c>
      <c r="J509" s="23" t="s">
        <v>2068</v>
      </c>
      <c r="K509" s="23" t="s">
        <v>589</v>
      </c>
      <c r="L509" s="23" t="s">
        <v>590</v>
      </c>
      <c r="M509" s="23"/>
      <c r="N509" s="23"/>
      <c r="O509" s="23"/>
      <c r="P509" s="23"/>
      <c r="Q509" s="23"/>
      <c r="R509" s="23"/>
      <c r="S509" s="23"/>
      <c r="T509" s="23"/>
      <c r="U509" s="23"/>
      <c r="V509" s="23"/>
      <c r="W509" s="23"/>
      <c r="X509" s="4"/>
    </row>
    <row r="510" spans="1:24" ht="26.25" x14ac:dyDescent="0.25">
      <c r="A510" s="21" t="s">
        <v>2069</v>
      </c>
      <c r="B510" s="21" t="str">
        <f t="shared" si="8"/>
        <v>84771099</v>
      </c>
      <c r="C510" s="21" t="str">
        <f>Tabela5[[#This Row],[Cod. Ncm]]&amp;"-"&amp;Tabela5[[#This Row],[Operações]]</f>
        <v>84771099-Internas e interestaduais</v>
      </c>
      <c r="D510" s="22" t="s">
        <v>586</v>
      </c>
      <c r="E510" s="22" t="s">
        <v>587</v>
      </c>
      <c r="F510" s="22">
        <v>8.8000000000000007</v>
      </c>
      <c r="G510" s="22" t="s">
        <v>2070</v>
      </c>
      <c r="H510" s="22" t="s">
        <v>588</v>
      </c>
      <c r="I510" s="23" t="s">
        <v>577</v>
      </c>
      <c r="J510" s="23" t="s">
        <v>2071</v>
      </c>
      <c r="K510" s="23" t="s">
        <v>589</v>
      </c>
      <c r="L510" s="23" t="s">
        <v>590</v>
      </c>
      <c r="M510" s="23"/>
      <c r="N510" s="23"/>
      <c r="O510" s="23"/>
      <c r="P510" s="23"/>
      <c r="Q510" s="23"/>
      <c r="R510" s="23"/>
      <c r="S510" s="23"/>
      <c r="T510" s="23"/>
      <c r="U510" s="23"/>
      <c r="V510" s="23"/>
      <c r="W510" s="23"/>
      <c r="X510" s="4"/>
    </row>
    <row r="511" spans="1:24" ht="26.25" x14ac:dyDescent="0.25">
      <c r="A511" s="21" t="s">
        <v>2072</v>
      </c>
      <c r="B511" s="21" t="str">
        <f t="shared" si="8"/>
        <v>84772010</v>
      </c>
      <c r="C511" s="21" t="str">
        <f>Tabela5[[#This Row],[Cod. Ncm]]&amp;"-"&amp;Tabela5[[#This Row],[Operações]]</f>
        <v>84772010-Internas e interestaduais</v>
      </c>
      <c r="D511" s="22" t="s">
        <v>586</v>
      </c>
      <c r="E511" s="22" t="s">
        <v>587</v>
      </c>
      <c r="F511" s="22">
        <v>8.8000000000000007</v>
      </c>
      <c r="G511" s="22" t="s">
        <v>2073</v>
      </c>
      <c r="H511" s="22" t="s">
        <v>588</v>
      </c>
      <c r="I511" s="23" t="s">
        <v>577</v>
      </c>
      <c r="J511" s="23" t="s">
        <v>2074</v>
      </c>
      <c r="K511" s="23" t="s">
        <v>589</v>
      </c>
      <c r="L511" s="23" t="s">
        <v>590</v>
      </c>
      <c r="M511" s="23"/>
      <c r="N511" s="23"/>
      <c r="O511" s="23"/>
      <c r="P511" s="23"/>
      <c r="Q511" s="23"/>
      <c r="R511" s="23"/>
      <c r="S511" s="23"/>
      <c r="T511" s="23"/>
      <c r="U511" s="23"/>
      <c r="V511" s="23"/>
      <c r="W511" s="23"/>
      <c r="X511" s="4"/>
    </row>
    <row r="512" spans="1:24" ht="26.25" x14ac:dyDescent="0.25">
      <c r="A512" s="21" t="s">
        <v>2075</v>
      </c>
      <c r="B512" s="21" t="str">
        <f t="shared" si="8"/>
        <v>84772090</v>
      </c>
      <c r="C512" s="21" t="str">
        <f>Tabela5[[#This Row],[Cod. Ncm]]&amp;"-"&amp;Tabela5[[#This Row],[Operações]]</f>
        <v>84772090-Internas e interestaduais</v>
      </c>
      <c r="D512" s="22" t="s">
        <v>586</v>
      </c>
      <c r="E512" s="22" t="s">
        <v>587</v>
      </c>
      <c r="F512" s="22">
        <v>8.8000000000000007</v>
      </c>
      <c r="G512" s="22" t="s">
        <v>2076</v>
      </c>
      <c r="H512" s="22" t="s">
        <v>588</v>
      </c>
      <c r="I512" s="23" t="s">
        <v>577</v>
      </c>
      <c r="J512" s="23" t="s">
        <v>2077</v>
      </c>
      <c r="K512" s="23" t="s">
        <v>589</v>
      </c>
      <c r="L512" s="23" t="s">
        <v>590</v>
      </c>
      <c r="M512" s="23"/>
      <c r="N512" s="23"/>
      <c r="O512" s="23"/>
      <c r="P512" s="23"/>
      <c r="Q512" s="23"/>
      <c r="R512" s="23"/>
      <c r="S512" s="23"/>
      <c r="T512" s="23"/>
      <c r="U512" s="23"/>
      <c r="V512" s="23"/>
      <c r="W512" s="23"/>
      <c r="X512" s="4"/>
    </row>
    <row r="513" spans="1:24" ht="51" x14ac:dyDescent="0.25">
      <c r="A513" s="21" t="s">
        <v>2078</v>
      </c>
      <c r="B513" s="21" t="str">
        <f t="shared" si="8"/>
        <v>84773010</v>
      </c>
      <c r="C513" s="21" t="str">
        <f>Tabela5[[#This Row],[Cod. Ncm]]&amp;"-"&amp;Tabela5[[#This Row],[Operações]]</f>
        <v>84773010-Internas e interestaduais</v>
      </c>
      <c r="D513" s="22" t="s">
        <v>586</v>
      </c>
      <c r="E513" s="22" t="s">
        <v>587</v>
      </c>
      <c r="F513" s="22">
        <v>8.8000000000000007</v>
      </c>
      <c r="G513" s="22" t="s">
        <v>2079</v>
      </c>
      <c r="H513" s="22" t="s">
        <v>588</v>
      </c>
      <c r="I513" s="23" t="s">
        <v>577</v>
      </c>
      <c r="J513" s="23" t="s">
        <v>2080</v>
      </c>
      <c r="K513" s="23" t="s">
        <v>589</v>
      </c>
      <c r="L513" s="23" t="s">
        <v>590</v>
      </c>
      <c r="M513" s="23"/>
      <c r="N513" s="23"/>
      <c r="O513" s="23"/>
      <c r="P513" s="23"/>
      <c r="Q513" s="23"/>
      <c r="R513" s="23"/>
      <c r="S513" s="23"/>
      <c r="T513" s="23"/>
      <c r="U513" s="23"/>
      <c r="V513" s="23"/>
      <c r="W513" s="23"/>
      <c r="X513" s="4"/>
    </row>
    <row r="514" spans="1:24" ht="26.25" x14ac:dyDescent="0.25">
      <c r="A514" s="21" t="s">
        <v>2081</v>
      </c>
      <c r="B514" s="21" t="str">
        <f t="shared" si="8"/>
        <v>84773090</v>
      </c>
      <c r="C514" s="21" t="str">
        <f>Tabela5[[#This Row],[Cod. Ncm]]&amp;"-"&amp;Tabela5[[#This Row],[Operações]]</f>
        <v>84773090-Internas e interestaduais</v>
      </c>
      <c r="D514" s="22" t="s">
        <v>586</v>
      </c>
      <c r="E514" s="22" t="s">
        <v>587</v>
      </c>
      <c r="F514" s="22">
        <v>8.8000000000000007</v>
      </c>
      <c r="G514" s="22" t="s">
        <v>2082</v>
      </c>
      <c r="H514" s="22" t="s">
        <v>588</v>
      </c>
      <c r="I514" s="23" t="s">
        <v>577</v>
      </c>
      <c r="J514" s="23" t="s">
        <v>2083</v>
      </c>
      <c r="K514" s="23" t="s">
        <v>589</v>
      </c>
      <c r="L514" s="23" t="s">
        <v>590</v>
      </c>
      <c r="M514" s="23"/>
      <c r="N514" s="23"/>
      <c r="O514" s="23"/>
      <c r="P514" s="23"/>
      <c r="Q514" s="23"/>
      <c r="R514" s="23"/>
      <c r="S514" s="23"/>
      <c r="T514" s="23"/>
      <c r="U514" s="23"/>
      <c r="V514" s="23"/>
      <c r="W514" s="23"/>
      <c r="X514" s="4"/>
    </row>
    <row r="515" spans="1:24" ht="26.25" x14ac:dyDescent="0.25">
      <c r="A515" s="21" t="s">
        <v>2084</v>
      </c>
      <c r="B515" s="21" t="str">
        <f t="shared" si="8"/>
        <v>84774010</v>
      </c>
      <c r="C515" s="21" t="str">
        <f>Tabela5[[#This Row],[Cod. Ncm]]&amp;"-"&amp;Tabela5[[#This Row],[Operações]]</f>
        <v>84774010-Internas e interestaduais</v>
      </c>
      <c r="D515" s="22" t="s">
        <v>586</v>
      </c>
      <c r="E515" s="22" t="s">
        <v>587</v>
      </c>
      <c r="F515" s="22">
        <v>8.8000000000000007</v>
      </c>
      <c r="G515" s="22" t="s">
        <v>2085</v>
      </c>
      <c r="H515" s="22" t="s">
        <v>588</v>
      </c>
      <c r="I515" s="23" t="s">
        <v>577</v>
      </c>
      <c r="J515" s="23" t="s">
        <v>2086</v>
      </c>
      <c r="K515" s="23" t="s">
        <v>589</v>
      </c>
      <c r="L515" s="23" t="s">
        <v>590</v>
      </c>
      <c r="M515" s="23"/>
      <c r="N515" s="23"/>
      <c r="O515" s="23"/>
      <c r="P515" s="23"/>
      <c r="Q515" s="23"/>
      <c r="R515" s="23"/>
      <c r="S515" s="23"/>
      <c r="T515" s="23"/>
      <c r="U515" s="23"/>
      <c r="V515" s="23"/>
      <c r="W515" s="23"/>
      <c r="X515" s="4"/>
    </row>
    <row r="516" spans="1:24" ht="26.25" x14ac:dyDescent="0.25">
      <c r="A516" s="21" t="s">
        <v>2087</v>
      </c>
      <c r="B516" s="21" t="str">
        <f t="shared" si="8"/>
        <v>84774090</v>
      </c>
      <c r="C516" s="21" t="str">
        <f>Tabela5[[#This Row],[Cod. Ncm]]&amp;"-"&amp;Tabela5[[#This Row],[Operações]]</f>
        <v>84774090-Internas e interestaduais</v>
      </c>
      <c r="D516" s="22" t="s">
        <v>586</v>
      </c>
      <c r="E516" s="22" t="s">
        <v>587</v>
      </c>
      <c r="F516" s="22">
        <v>8.8000000000000007</v>
      </c>
      <c r="G516" s="22" t="s">
        <v>2088</v>
      </c>
      <c r="H516" s="22" t="s">
        <v>588</v>
      </c>
      <c r="I516" s="23" t="s">
        <v>577</v>
      </c>
      <c r="J516" s="23" t="s">
        <v>2089</v>
      </c>
      <c r="K516" s="23" t="s">
        <v>589</v>
      </c>
      <c r="L516" s="23" t="s">
        <v>590</v>
      </c>
      <c r="M516" s="23"/>
      <c r="N516" s="23"/>
      <c r="O516" s="23"/>
      <c r="P516" s="23"/>
      <c r="Q516" s="23"/>
      <c r="R516" s="23"/>
      <c r="S516" s="23"/>
      <c r="T516" s="23"/>
      <c r="U516" s="23"/>
      <c r="V516" s="23"/>
      <c r="W516" s="23"/>
      <c r="X516" s="4"/>
    </row>
    <row r="517" spans="1:24" ht="26.25" x14ac:dyDescent="0.25">
      <c r="A517" s="21" t="s">
        <v>2090</v>
      </c>
      <c r="B517" s="21" t="str">
        <f t="shared" si="8"/>
        <v>84775100</v>
      </c>
      <c r="C517" s="21" t="str">
        <f>Tabela5[[#This Row],[Cod. Ncm]]&amp;"-"&amp;Tabela5[[#This Row],[Operações]]</f>
        <v>84775100-Internas e interestaduais</v>
      </c>
      <c r="D517" s="22" t="s">
        <v>586</v>
      </c>
      <c r="E517" s="22" t="s">
        <v>587</v>
      </c>
      <c r="F517" s="22">
        <v>8.8000000000000007</v>
      </c>
      <c r="G517" s="22" t="s">
        <v>2091</v>
      </c>
      <c r="H517" s="22" t="s">
        <v>588</v>
      </c>
      <c r="I517" s="23" t="s">
        <v>577</v>
      </c>
      <c r="J517" s="23" t="s">
        <v>2092</v>
      </c>
      <c r="K517" s="23" t="s">
        <v>589</v>
      </c>
      <c r="L517" s="23" t="s">
        <v>590</v>
      </c>
      <c r="M517" s="23"/>
      <c r="N517" s="23"/>
      <c r="O517" s="23"/>
      <c r="P517" s="23"/>
      <c r="Q517" s="23"/>
      <c r="R517" s="23"/>
      <c r="S517" s="23"/>
      <c r="T517" s="23"/>
      <c r="U517" s="23"/>
      <c r="V517" s="23"/>
      <c r="W517" s="23"/>
      <c r="X517" s="4"/>
    </row>
    <row r="518" spans="1:24" ht="26.25" x14ac:dyDescent="0.25">
      <c r="A518" s="21" t="s">
        <v>2093</v>
      </c>
      <c r="B518" s="21" t="str">
        <f t="shared" ref="B518:B580" si="9">RIGHT(A518,8)</f>
        <v>84775911</v>
      </c>
      <c r="C518" s="21" t="str">
        <f>Tabela5[[#This Row],[Cod. Ncm]]&amp;"-"&amp;Tabela5[[#This Row],[Operações]]</f>
        <v>84775911-Internas e interestaduais</v>
      </c>
      <c r="D518" s="22" t="s">
        <v>586</v>
      </c>
      <c r="E518" s="22" t="s">
        <v>587</v>
      </c>
      <c r="F518" s="22">
        <v>8.8000000000000007</v>
      </c>
      <c r="G518" s="22" t="s">
        <v>2094</v>
      </c>
      <c r="H518" s="22" t="s">
        <v>588</v>
      </c>
      <c r="I518" s="23" t="s">
        <v>577</v>
      </c>
      <c r="J518" s="23" t="s">
        <v>2095</v>
      </c>
      <c r="K518" s="23" t="s">
        <v>589</v>
      </c>
      <c r="L518" s="23" t="s">
        <v>590</v>
      </c>
      <c r="M518" s="23"/>
      <c r="N518" s="23"/>
      <c r="O518" s="23"/>
      <c r="P518" s="23"/>
      <c r="Q518" s="23"/>
      <c r="R518" s="23"/>
      <c r="S518" s="23"/>
      <c r="T518" s="23"/>
      <c r="U518" s="23"/>
      <c r="V518" s="23"/>
      <c r="W518" s="23"/>
      <c r="X518" s="4"/>
    </row>
    <row r="519" spans="1:24" ht="26.25" x14ac:dyDescent="0.25">
      <c r="A519" s="21" t="s">
        <v>2096</v>
      </c>
      <c r="B519" s="21" t="str">
        <f t="shared" si="9"/>
        <v>84775919</v>
      </c>
      <c r="C519" s="21" t="str">
        <f>Tabela5[[#This Row],[Cod. Ncm]]&amp;"-"&amp;Tabela5[[#This Row],[Operações]]</f>
        <v>84775919-Internas e interestaduais</v>
      </c>
      <c r="D519" s="22" t="s">
        <v>586</v>
      </c>
      <c r="E519" s="22" t="s">
        <v>587</v>
      </c>
      <c r="F519" s="22">
        <v>8.8000000000000007</v>
      </c>
      <c r="G519" s="22" t="s">
        <v>1720</v>
      </c>
      <c r="H519" s="22" t="s">
        <v>588</v>
      </c>
      <c r="I519" s="23" t="s">
        <v>577</v>
      </c>
      <c r="J519" s="23" t="s">
        <v>2097</v>
      </c>
      <c r="K519" s="23" t="s">
        <v>589</v>
      </c>
      <c r="L519" s="23" t="s">
        <v>590</v>
      </c>
      <c r="M519" s="23"/>
      <c r="N519" s="23"/>
      <c r="O519" s="23"/>
      <c r="P519" s="23"/>
      <c r="Q519" s="23"/>
      <c r="R519" s="23"/>
      <c r="S519" s="23"/>
      <c r="T519" s="23"/>
      <c r="U519" s="23"/>
      <c r="V519" s="23"/>
      <c r="W519" s="23"/>
      <c r="X519" s="4"/>
    </row>
    <row r="520" spans="1:24" ht="26.25" x14ac:dyDescent="0.25">
      <c r="A520" s="21" t="s">
        <v>2098</v>
      </c>
      <c r="B520" s="21" t="str">
        <f t="shared" si="9"/>
        <v>84775990</v>
      </c>
      <c r="C520" s="21" t="str">
        <f>Tabela5[[#This Row],[Cod. Ncm]]&amp;"-"&amp;Tabela5[[#This Row],[Operações]]</f>
        <v>84775990-Internas e interestaduais</v>
      </c>
      <c r="D520" s="22" t="s">
        <v>586</v>
      </c>
      <c r="E520" s="22" t="s">
        <v>587</v>
      </c>
      <c r="F520" s="22">
        <v>8.8000000000000007</v>
      </c>
      <c r="G520" s="22" t="s">
        <v>2099</v>
      </c>
      <c r="H520" s="22" t="s">
        <v>588</v>
      </c>
      <c r="I520" s="23" t="s">
        <v>577</v>
      </c>
      <c r="J520" s="23" t="s">
        <v>2100</v>
      </c>
      <c r="K520" s="23" t="s">
        <v>589</v>
      </c>
      <c r="L520" s="23" t="s">
        <v>590</v>
      </c>
      <c r="M520" s="23"/>
      <c r="N520" s="23"/>
      <c r="O520" s="23"/>
      <c r="P520" s="23"/>
      <c r="Q520" s="23"/>
      <c r="R520" s="23"/>
      <c r="S520" s="23"/>
      <c r="T520" s="23"/>
      <c r="U520" s="23"/>
      <c r="V520" s="23"/>
      <c r="W520" s="23"/>
      <c r="X520" s="4"/>
    </row>
    <row r="521" spans="1:24" ht="38.25" x14ac:dyDescent="0.25">
      <c r="A521" s="21" t="s">
        <v>2101</v>
      </c>
      <c r="B521" s="21" t="str">
        <f t="shared" si="9"/>
        <v>84778010</v>
      </c>
      <c r="C521" s="21" t="str">
        <f>Tabela5[[#This Row],[Cod. Ncm]]&amp;"-"&amp;Tabela5[[#This Row],[Operações]]</f>
        <v>84778010-Internas e interestaduais</v>
      </c>
      <c r="D521" s="22" t="s">
        <v>586</v>
      </c>
      <c r="E521" s="22" t="s">
        <v>587</v>
      </c>
      <c r="F521" s="22">
        <v>8.8000000000000007</v>
      </c>
      <c r="G521" s="22" t="s">
        <v>2102</v>
      </c>
      <c r="H521" s="22" t="s">
        <v>588</v>
      </c>
      <c r="I521" s="23" t="s">
        <v>577</v>
      </c>
      <c r="J521" s="23" t="s">
        <v>2103</v>
      </c>
      <c r="K521" s="23" t="s">
        <v>589</v>
      </c>
      <c r="L521" s="23" t="s">
        <v>590</v>
      </c>
      <c r="M521" s="23"/>
      <c r="N521" s="23"/>
      <c r="O521" s="23"/>
      <c r="P521" s="23"/>
      <c r="Q521" s="23"/>
      <c r="R521" s="23"/>
      <c r="S521" s="23"/>
      <c r="T521" s="23"/>
      <c r="U521" s="23"/>
      <c r="V521" s="23"/>
      <c r="W521" s="23"/>
      <c r="X521" s="4"/>
    </row>
    <row r="522" spans="1:24" ht="38.25" x14ac:dyDescent="0.25">
      <c r="A522" s="21" t="s">
        <v>2104</v>
      </c>
      <c r="B522" s="21" t="str">
        <f t="shared" si="9"/>
        <v>84778090</v>
      </c>
      <c r="C522" s="21" t="str">
        <f>Tabela5[[#This Row],[Cod. Ncm]]&amp;"-"&amp;Tabela5[[#This Row],[Operações]]</f>
        <v>84778090-Internas e interestaduais</v>
      </c>
      <c r="D522" s="22" t="s">
        <v>586</v>
      </c>
      <c r="E522" s="22" t="s">
        <v>587</v>
      </c>
      <c r="F522" s="22">
        <v>8.8000000000000007</v>
      </c>
      <c r="G522" s="22" t="s">
        <v>2105</v>
      </c>
      <c r="H522" s="22" t="s">
        <v>588</v>
      </c>
      <c r="I522" s="23" t="s">
        <v>577</v>
      </c>
      <c r="J522" s="23" t="s">
        <v>2106</v>
      </c>
      <c r="K522" s="23" t="s">
        <v>589</v>
      </c>
      <c r="L522" s="23" t="s">
        <v>590</v>
      </c>
      <c r="M522" s="23"/>
      <c r="N522" s="23"/>
      <c r="O522" s="23"/>
      <c r="P522" s="23"/>
      <c r="Q522" s="23"/>
      <c r="R522" s="23"/>
      <c r="S522" s="23"/>
      <c r="T522" s="23"/>
      <c r="U522" s="23"/>
      <c r="V522" s="23"/>
      <c r="W522" s="23"/>
      <c r="X522" s="4"/>
    </row>
    <row r="523" spans="1:24" ht="89.25" x14ac:dyDescent="0.25">
      <c r="A523" s="21" t="s">
        <v>2107</v>
      </c>
      <c r="B523" s="21" t="str">
        <f t="shared" si="9"/>
        <v>84781090</v>
      </c>
      <c r="C523" s="21" t="str">
        <f>Tabela5[[#This Row],[Cod. Ncm]]&amp;"-"&amp;Tabela5[[#This Row],[Operações]]</f>
        <v>84781090-Internas e interestaduais</v>
      </c>
      <c r="D523" s="22" t="s">
        <v>586</v>
      </c>
      <c r="E523" s="22" t="s">
        <v>587</v>
      </c>
      <c r="F523" s="22">
        <v>8.8000000000000007</v>
      </c>
      <c r="G523" s="22" t="s">
        <v>2108</v>
      </c>
      <c r="H523" s="22" t="s">
        <v>588</v>
      </c>
      <c r="I523" s="23" t="s">
        <v>577</v>
      </c>
      <c r="J523" s="23" t="s">
        <v>2109</v>
      </c>
      <c r="K523" s="23" t="s">
        <v>589</v>
      </c>
      <c r="L523" s="23" t="s">
        <v>590</v>
      </c>
      <c r="M523" s="23"/>
      <c r="N523" s="23"/>
      <c r="O523" s="23"/>
      <c r="P523" s="23"/>
      <c r="Q523" s="23"/>
      <c r="R523" s="23"/>
      <c r="S523" s="23"/>
      <c r="T523" s="23"/>
      <c r="U523" s="23"/>
      <c r="V523" s="23"/>
      <c r="W523" s="23"/>
      <c r="X523" s="4"/>
    </row>
    <row r="524" spans="1:24" ht="39" x14ac:dyDescent="0.25">
      <c r="A524" s="21" t="s">
        <v>2110</v>
      </c>
      <c r="B524" s="21" t="str">
        <f t="shared" si="9"/>
        <v>84791010</v>
      </c>
      <c r="C524" s="21" t="str">
        <f>Tabela5[[#This Row],[Cod. Ncm]]&amp;"-"&amp;Tabela5[[#This Row],[Operações]]</f>
        <v>84791010-Internas</v>
      </c>
      <c r="D524" s="22" t="s">
        <v>579</v>
      </c>
      <c r="E524" s="22" t="s">
        <v>593</v>
      </c>
      <c r="F524" s="22">
        <v>7</v>
      </c>
      <c r="G524" s="22" t="s">
        <v>2111</v>
      </c>
      <c r="H524" s="22" t="s">
        <v>616</v>
      </c>
      <c r="I524" s="23" t="s">
        <v>2112</v>
      </c>
      <c r="J524" s="23" t="s">
        <v>577</v>
      </c>
      <c r="K524" s="23" t="s">
        <v>591</v>
      </c>
      <c r="L524" s="23" t="s">
        <v>592</v>
      </c>
      <c r="M524" s="23" t="s">
        <v>583</v>
      </c>
      <c r="N524" s="23"/>
      <c r="O524" s="23"/>
      <c r="P524" s="23"/>
      <c r="Q524" s="23"/>
      <c r="R524" s="23"/>
      <c r="S524" s="23"/>
      <c r="T524" s="23"/>
      <c r="U524" s="23"/>
      <c r="V524" s="23"/>
      <c r="W524" s="23"/>
      <c r="X524" s="4"/>
    </row>
    <row r="525" spans="1:24" ht="39" x14ac:dyDescent="0.25">
      <c r="A525" s="21" t="s">
        <v>2113</v>
      </c>
      <c r="B525" s="21" t="str">
        <f t="shared" si="9"/>
        <v>84791090</v>
      </c>
      <c r="C525" s="21" t="str">
        <f>Tabela5[[#This Row],[Cod. Ncm]]&amp;"-"&amp;Tabela5[[#This Row],[Operações]]</f>
        <v>84791090-Internas</v>
      </c>
      <c r="D525" s="22" t="s">
        <v>579</v>
      </c>
      <c r="E525" s="22" t="s">
        <v>593</v>
      </c>
      <c r="F525" s="22">
        <v>7</v>
      </c>
      <c r="G525" s="22" t="s">
        <v>2114</v>
      </c>
      <c r="H525" s="22" t="s">
        <v>616</v>
      </c>
      <c r="I525" s="23" t="s">
        <v>2115</v>
      </c>
      <c r="J525" s="23" t="s">
        <v>577</v>
      </c>
      <c r="K525" s="23" t="s">
        <v>591</v>
      </c>
      <c r="L525" s="23" t="s">
        <v>592</v>
      </c>
      <c r="M525" s="23" t="s">
        <v>583</v>
      </c>
      <c r="N525" s="23"/>
      <c r="O525" s="23"/>
      <c r="P525" s="23"/>
      <c r="Q525" s="23"/>
      <c r="R525" s="23"/>
      <c r="S525" s="23"/>
      <c r="T525" s="23"/>
      <c r="U525" s="23"/>
      <c r="V525" s="23"/>
      <c r="W525" s="23"/>
      <c r="X525" s="4"/>
    </row>
    <row r="526" spans="1:24" ht="38.25" x14ac:dyDescent="0.25">
      <c r="A526" s="21" t="s">
        <v>2116</v>
      </c>
      <c r="B526" s="21" t="str">
        <f t="shared" si="9"/>
        <v>84792000</v>
      </c>
      <c r="C526" s="21" t="str">
        <f>Tabela5[[#This Row],[Cod. Ncm]]&amp;"-"&amp;Tabela5[[#This Row],[Operações]]</f>
        <v>84792000-Internas e interestaduais</v>
      </c>
      <c r="D526" s="22" t="s">
        <v>586</v>
      </c>
      <c r="E526" s="22" t="s">
        <v>587</v>
      </c>
      <c r="F526" s="22">
        <v>8.8000000000000007</v>
      </c>
      <c r="G526" s="22" t="s">
        <v>2117</v>
      </c>
      <c r="H526" s="22" t="s">
        <v>588</v>
      </c>
      <c r="I526" s="23" t="s">
        <v>577</v>
      </c>
      <c r="J526" s="23" t="s">
        <v>2118</v>
      </c>
      <c r="K526" s="23" t="s">
        <v>589</v>
      </c>
      <c r="L526" s="23" t="s">
        <v>590</v>
      </c>
      <c r="M526" s="23"/>
      <c r="N526" s="23"/>
      <c r="O526" s="23"/>
      <c r="P526" s="23"/>
      <c r="Q526" s="23"/>
      <c r="R526" s="23"/>
      <c r="S526" s="23"/>
      <c r="T526" s="23"/>
      <c r="U526" s="23"/>
      <c r="V526" s="23"/>
      <c r="W526" s="23"/>
      <c r="X526" s="4"/>
    </row>
    <row r="527" spans="1:24" ht="51" x14ac:dyDescent="0.25">
      <c r="A527" s="21" t="s">
        <v>2119</v>
      </c>
      <c r="B527" s="21" t="str">
        <f t="shared" si="9"/>
        <v>84793000</v>
      </c>
      <c r="C527" s="21" t="str">
        <f>Tabela5[[#This Row],[Cod. Ncm]]&amp;"-"&amp;Tabela5[[#This Row],[Operações]]</f>
        <v>84793000-Internas e interestaduais</v>
      </c>
      <c r="D527" s="22" t="s">
        <v>586</v>
      </c>
      <c r="E527" s="22" t="s">
        <v>587</v>
      </c>
      <c r="F527" s="22">
        <v>8.8000000000000007</v>
      </c>
      <c r="G527" s="22" t="s">
        <v>2120</v>
      </c>
      <c r="H527" s="22" t="s">
        <v>588</v>
      </c>
      <c r="I527" s="23" t="s">
        <v>577</v>
      </c>
      <c r="J527" s="23" t="s">
        <v>2121</v>
      </c>
      <c r="K527" s="23" t="s">
        <v>589</v>
      </c>
      <c r="L527" s="23" t="s">
        <v>590</v>
      </c>
      <c r="M527" s="23"/>
      <c r="N527" s="23"/>
      <c r="O527" s="23"/>
      <c r="P527" s="23"/>
      <c r="Q527" s="23"/>
      <c r="R527" s="23"/>
      <c r="S527" s="23"/>
      <c r="T527" s="23"/>
      <c r="U527" s="23"/>
      <c r="V527" s="23"/>
      <c r="W527" s="23"/>
      <c r="X527" s="4"/>
    </row>
    <row r="528" spans="1:24" ht="26.25" x14ac:dyDescent="0.25">
      <c r="A528" s="21" t="s">
        <v>2122</v>
      </c>
      <c r="B528" s="21" t="str">
        <f t="shared" si="9"/>
        <v>84794000</v>
      </c>
      <c r="C528" s="21" t="str">
        <f>Tabela5[[#This Row],[Cod. Ncm]]&amp;"-"&amp;Tabela5[[#This Row],[Operações]]</f>
        <v>84794000-Internas e interestaduais</v>
      </c>
      <c r="D528" s="22" t="s">
        <v>586</v>
      </c>
      <c r="E528" s="22" t="s">
        <v>587</v>
      </c>
      <c r="F528" s="22">
        <v>8.8000000000000007</v>
      </c>
      <c r="G528" s="22" t="s">
        <v>2123</v>
      </c>
      <c r="H528" s="22" t="s">
        <v>588</v>
      </c>
      <c r="I528" s="23" t="s">
        <v>577</v>
      </c>
      <c r="J528" s="23" t="s">
        <v>2124</v>
      </c>
      <c r="K528" s="23" t="s">
        <v>589</v>
      </c>
      <c r="L528" s="23" t="s">
        <v>590</v>
      </c>
      <c r="M528" s="23"/>
      <c r="N528" s="23"/>
      <c r="O528" s="23"/>
      <c r="P528" s="23"/>
      <c r="Q528" s="23"/>
      <c r="R528" s="23"/>
      <c r="S528" s="23"/>
      <c r="T528" s="23"/>
      <c r="U528" s="23"/>
      <c r="V528" s="23"/>
      <c r="W528" s="23"/>
      <c r="X528" s="4"/>
    </row>
    <row r="529" spans="1:24" ht="38.25" x14ac:dyDescent="0.25">
      <c r="A529" s="21" t="s">
        <v>2125</v>
      </c>
      <c r="B529" s="21" t="str">
        <f t="shared" si="9"/>
        <v>84798110</v>
      </c>
      <c r="C529" s="21" t="str">
        <f>Tabela5[[#This Row],[Cod. Ncm]]&amp;"-"&amp;Tabela5[[#This Row],[Operações]]</f>
        <v>84798110-Internas e interestaduais</v>
      </c>
      <c r="D529" s="22" t="s">
        <v>586</v>
      </c>
      <c r="E529" s="22" t="s">
        <v>587</v>
      </c>
      <c r="F529" s="22">
        <v>8.8000000000000007</v>
      </c>
      <c r="G529" s="22" t="s">
        <v>2126</v>
      </c>
      <c r="H529" s="22" t="s">
        <v>588</v>
      </c>
      <c r="I529" s="23" t="s">
        <v>577</v>
      </c>
      <c r="J529" s="23" t="s">
        <v>2127</v>
      </c>
      <c r="K529" s="23" t="s">
        <v>589</v>
      </c>
      <c r="L529" s="23" t="s">
        <v>590</v>
      </c>
      <c r="M529" s="23"/>
      <c r="N529" s="23"/>
      <c r="O529" s="23"/>
      <c r="P529" s="23"/>
      <c r="Q529" s="23"/>
      <c r="R529" s="23"/>
      <c r="S529" s="23"/>
      <c r="T529" s="23"/>
      <c r="U529" s="23"/>
      <c r="V529" s="23"/>
      <c r="W529" s="23"/>
      <c r="X529" s="4"/>
    </row>
    <row r="530" spans="1:24" ht="38.25" x14ac:dyDescent="0.25">
      <c r="A530" s="21" t="s">
        <v>2128</v>
      </c>
      <c r="B530" s="21" t="str">
        <f t="shared" si="9"/>
        <v>84798190</v>
      </c>
      <c r="C530" s="21" t="str">
        <f>Tabela5[[#This Row],[Cod. Ncm]]&amp;"-"&amp;Tabela5[[#This Row],[Operações]]</f>
        <v>84798190-Internas e interestaduais</v>
      </c>
      <c r="D530" s="22" t="s">
        <v>586</v>
      </c>
      <c r="E530" s="22" t="s">
        <v>587</v>
      </c>
      <c r="F530" s="22">
        <v>8.8000000000000007</v>
      </c>
      <c r="G530" s="22" t="s">
        <v>2129</v>
      </c>
      <c r="H530" s="22" t="s">
        <v>588</v>
      </c>
      <c r="I530" s="23" t="s">
        <v>577</v>
      </c>
      <c r="J530" s="23" t="s">
        <v>2130</v>
      </c>
      <c r="K530" s="23" t="s">
        <v>589</v>
      </c>
      <c r="L530" s="23" t="s">
        <v>590</v>
      </c>
      <c r="M530" s="23"/>
      <c r="N530" s="23"/>
      <c r="O530" s="23"/>
      <c r="P530" s="23"/>
      <c r="Q530" s="23"/>
      <c r="R530" s="23"/>
      <c r="S530" s="23"/>
      <c r="T530" s="23"/>
      <c r="U530" s="23"/>
      <c r="V530" s="23"/>
      <c r="W530" s="23"/>
      <c r="X530" s="4"/>
    </row>
    <row r="531" spans="1:24" ht="26.25" x14ac:dyDescent="0.25">
      <c r="A531" s="21" t="s">
        <v>2131</v>
      </c>
      <c r="B531" s="21" t="str">
        <f t="shared" si="9"/>
        <v>84798922</v>
      </c>
      <c r="C531" s="21" t="str">
        <f>Tabela5[[#This Row],[Cod. Ncm]]&amp;"-"&amp;Tabela5[[#This Row],[Operações]]</f>
        <v>84798922-Internas e interestaduais</v>
      </c>
      <c r="D531" s="22" t="s">
        <v>586</v>
      </c>
      <c r="E531" s="22" t="s">
        <v>587</v>
      </c>
      <c r="F531" s="22">
        <v>8.8000000000000007</v>
      </c>
      <c r="G531" s="22" t="s">
        <v>2132</v>
      </c>
      <c r="H531" s="22" t="s">
        <v>588</v>
      </c>
      <c r="I531" s="23" t="s">
        <v>577</v>
      </c>
      <c r="J531" s="23" t="s">
        <v>2133</v>
      </c>
      <c r="K531" s="23" t="s">
        <v>589</v>
      </c>
      <c r="L531" s="23" t="s">
        <v>590</v>
      </c>
      <c r="M531" s="23"/>
      <c r="N531" s="23"/>
      <c r="O531" s="23"/>
      <c r="P531" s="23"/>
      <c r="Q531" s="23"/>
      <c r="R531" s="23"/>
      <c r="S531" s="23"/>
      <c r="T531" s="23"/>
      <c r="U531" s="23"/>
      <c r="V531" s="23"/>
      <c r="W531" s="23"/>
      <c r="X531" s="4"/>
    </row>
    <row r="532" spans="1:24" ht="26.25" x14ac:dyDescent="0.25">
      <c r="A532" s="21" t="s">
        <v>2134</v>
      </c>
      <c r="B532" s="21" t="str">
        <f t="shared" si="9"/>
        <v>84801000</v>
      </c>
      <c r="C532" s="21" t="str">
        <f>Tabela5[[#This Row],[Cod. Ncm]]&amp;"-"&amp;Tabela5[[#This Row],[Operações]]</f>
        <v>84801000-Internas e interestaduais</v>
      </c>
      <c r="D532" s="22" t="s">
        <v>586</v>
      </c>
      <c r="E532" s="22" t="s">
        <v>587</v>
      </c>
      <c r="F532" s="22">
        <v>8.8000000000000007</v>
      </c>
      <c r="G532" s="22" t="s">
        <v>2135</v>
      </c>
      <c r="H532" s="22" t="s">
        <v>588</v>
      </c>
      <c r="I532" s="23" t="s">
        <v>577</v>
      </c>
      <c r="J532" s="23" t="s">
        <v>2136</v>
      </c>
      <c r="K532" s="23" t="s">
        <v>589</v>
      </c>
      <c r="L532" s="23" t="s">
        <v>590</v>
      </c>
      <c r="M532" s="23"/>
      <c r="N532" s="23"/>
      <c r="O532" s="23"/>
      <c r="P532" s="23"/>
      <c r="Q532" s="23"/>
      <c r="R532" s="23"/>
      <c r="S532" s="23"/>
      <c r="T532" s="23"/>
      <c r="U532" s="23"/>
      <c r="V532" s="23"/>
      <c r="W532" s="23"/>
      <c r="X532" s="4"/>
    </row>
    <row r="533" spans="1:24" ht="38.25" x14ac:dyDescent="0.25">
      <c r="A533" s="21" t="s">
        <v>2137</v>
      </c>
      <c r="B533" s="21" t="str">
        <f t="shared" si="9"/>
        <v>84803000</v>
      </c>
      <c r="C533" s="21" t="str">
        <f>Tabela5[[#This Row],[Cod. Ncm]]&amp;"-"&amp;Tabela5[[#This Row],[Operações]]</f>
        <v>84803000-Internas e interestaduais</v>
      </c>
      <c r="D533" s="22" t="s">
        <v>586</v>
      </c>
      <c r="E533" s="22" t="s">
        <v>587</v>
      </c>
      <c r="F533" s="22">
        <v>8.8000000000000007</v>
      </c>
      <c r="G533" s="22" t="s">
        <v>2138</v>
      </c>
      <c r="H533" s="22" t="s">
        <v>588</v>
      </c>
      <c r="I533" s="23" t="s">
        <v>577</v>
      </c>
      <c r="J533" s="23" t="s">
        <v>2139</v>
      </c>
      <c r="K533" s="23" t="s">
        <v>589</v>
      </c>
      <c r="L533" s="23" t="s">
        <v>590</v>
      </c>
      <c r="M533" s="23"/>
      <c r="N533" s="23"/>
      <c r="O533" s="23"/>
      <c r="P533" s="23"/>
      <c r="Q533" s="23"/>
      <c r="R533" s="23"/>
      <c r="S533" s="23"/>
      <c r="T533" s="23"/>
      <c r="U533" s="23"/>
      <c r="V533" s="23"/>
      <c r="W533" s="23"/>
      <c r="X533" s="4"/>
    </row>
    <row r="534" spans="1:24" ht="26.25" x14ac:dyDescent="0.25">
      <c r="A534" s="21" t="s">
        <v>2140</v>
      </c>
      <c r="B534" s="21" t="str">
        <f t="shared" si="9"/>
        <v>84804100</v>
      </c>
      <c r="C534" s="21" t="str">
        <f>Tabela5[[#This Row],[Cod. Ncm]]&amp;"-"&amp;Tabela5[[#This Row],[Operações]]</f>
        <v>84804100-Internas e interestaduais</v>
      </c>
      <c r="D534" s="22" t="s">
        <v>586</v>
      </c>
      <c r="E534" s="22" t="s">
        <v>587</v>
      </c>
      <c r="F534" s="22">
        <v>8.8000000000000007</v>
      </c>
      <c r="G534" s="22" t="s">
        <v>2141</v>
      </c>
      <c r="H534" s="22" t="s">
        <v>588</v>
      </c>
      <c r="I534" s="23" t="s">
        <v>577</v>
      </c>
      <c r="J534" s="23" t="s">
        <v>2142</v>
      </c>
      <c r="K534" s="23" t="s">
        <v>589</v>
      </c>
      <c r="L534" s="23" t="s">
        <v>590</v>
      </c>
      <c r="M534" s="23"/>
      <c r="N534" s="23"/>
      <c r="O534" s="23"/>
      <c r="P534" s="23"/>
      <c r="Q534" s="23"/>
      <c r="R534" s="23"/>
      <c r="S534" s="23"/>
      <c r="T534" s="23"/>
      <c r="U534" s="23"/>
      <c r="V534" s="23"/>
      <c r="W534" s="23"/>
      <c r="X534" s="4"/>
    </row>
    <row r="535" spans="1:24" ht="26.25" x14ac:dyDescent="0.25">
      <c r="A535" s="21" t="s">
        <v>2143</v>
      </c>
      <c r="B535" s="21" t="str">
        <f t="shared" si="9"/>
        <v>84804910</v>
      </c>
      <c r="C535" s="21" t="str">
        <f>Tabela5[[#This Row],[Cod. Ncm]]&amp;"-"&amp;Tabela5[[#This Row],[Operações]]</f>
        <v>84804910-Internas e interestaduais</v>
      </c>
      <c r="D535" s="22" t="s">
        <v>586</v>
      </c>
      <c r="E535" s="22" t="s">
        <v>587</v>
      </c>
      <c r="F535" s="22">
        <v>8.8000000000000007</v>
      </c>
      <c r="G535" s="22" t="s">
        <v>2144</v>
      </c>
      <c r="H535" s="22" t="s">
        <v>588</v>
      </c>
      <c r="I535" s="23" t="s">
        <v>577</v>
      </c>
      <c r="J535" s="23" t="s">
        <v>2145</v>
      </c>
      <c r="K535" s="23" t="s">
        <v>589</v>
      </c>
      <c r="L535" s="23" t="s">
        <v>590</v>
      </c>
      <c r="M535" s="23"/>
      <c r="N535" s="23"/>
      <c r="O535" s="23"/>
      <c r="P535" s="23"/>
      <c r="Q535" s="23"/>
      <c r="R535" s="23"/>
      <c r="S535" s="23"/>
      <c r="T535" s="23"/>
      <c r="U535" s="23"/>
      <c r="V535" s="23"/>
      <c r="W535" s="23"/>
      <c r="X535" s="4"/>
    </row>
    <row r="536" spans="1:24" ht="26.25" x14ac:dyDescent="0.25">
      <c r="A536" s="21" t="s">
        <v>2146</v>
      </c>
      <c r="B536" s="21" t="str">
        <f t="shared" si="9"/>
        <v>84804990</v>
      </c>
      <c r="C536" s="21" t="str">
        <f>Tabela5[[#This Row],[Cod. Ncm]]&amp;"-"&amp;Tabela5[[#This Row],[Operações]]</f>
        <v>84804990-Internas e interestaduais</v>
      </c>
      <c r="D536" s="22" t="s">
        <v>586</v>
      </c>
      <c r="E536" s="22" t="s">
        <v>587</v>
      </c>
      <c r="F536" s="22">
        <v>8.8000000000000007</v>
      </c>
      <c r="G536" s="22" t="s">
        <v>2147</v>
      </c>
      <c r="H536" s="22" t="s">
        <v>588</v>
      </c>
      <c r="I536" s="23" t="s">
        <v>577</v>
      </c>
      <c r="J536" s="23" t="s">
        <v>2148</v>
      </c>
      <c r="K536" s="23" t="s">
        <v>589</v>
      </c>
      <c r="L536" s="23" t="s">
        <v>590</v>
      </c>
      <c r="M536" s="23"/>
      <c r="N536" s="23"/>
      <c r="O536" s="23"/>
      <c r="P536" s="23"/>
      <c r="Q536" s="23"/>
      <c r="R536" s="23"/>
      <c r="S536" s="23"/>
      <c r="T536" s="23"/>
      <c r="U536" s="23"/>
      <c r="V536" s="23"/>
      <c r="W536" s="23"/>
      <c r="X536" s="4"/>
    </row>
    <row r="537" spans="1:24" ht="26.25" x14ac:dyDescent="0.25">
      <c r="A537" s="21" t="s">
        <v>2149</v>
      </c>
      <c r="B537" s="21" t="str">
        <f t="shared" si="9"/>
        <v>84805000</v>
      </c>
      <c r="C537" s="21" t="str">
        <f>Tabela5[[#This Row],[Cod. Ncm]]&amp;"-"&amp;Tabela5[[#This Row],[Operações]]</f>
        <v>84805000-Internas e interestaduais</v>
      </c>
      <c r="D537" s="22" t="s">
        <v>586</v>
      </c>
      <c r="E537" s="22" t="s">
        <v>587</v>
      </c>
      <c r="F537" s="22">
        <v>8.8000000000000007</v>
      </c>
      <c r="G537" s="22" t="s">
        <v>2150</v>
      </c>
      <c r="H537" s="22" t="s">
        <v>588</v>
      </c>
      <c r="I537" s="23" t="s">
        <v>577</v>
      </c>
      <c r="J537" s="23" t="s">
        <v>2151</v>
      </c>
      <c r="K537" s="23" t="s">
        <v>589</v>
      </c>
      <c r="L537" s="23" t="s">
        <v>590</v>
      </c>
      <c r="M537" s="23"/>
      <c r="N537" s="23"/>
      <c r="O537" s="23"/>
      <c r="P537" s="23"/>
      <c r="Q537" s="23"/>
      <c r="R537" s="23"/>
      <c r="S537" s="23"/>
      <c r="T537" s="23"/>
      <c r="U537" s="23"/>
      <c r="V537" s="23"/>
      <c r="W537" s="23"/>
      <c r="X537" s="4"/>
    </row>
    <row r="538" spans="1:24" ht="26.25" x14ac:dyDescent="0.25">
      <c r="A538" s="21" t="s">
        <v>2152</v>
      </c>
      <c r="B538" s="21" t="str">
        <f t="shared" si="9"/>
        <v>84806000</v>
      </c>
      <c r="C538" s="21" t="str">
        <f>Tabela5[[#This Row],[Cod. Ncm]]&amp;"-"&amp;Tabela5[[#This Row],[Operações]]</f>
        <v>84806000-Internas e interestaduais</v>
      </c>
      <c r="D538" s="22" t="s">
        <v>586</v>
      </c>
      <c r="E538" s="22" t="s">
        <v>587</v>
      </c>
      <c r="F538" s="22">
        <v>8.8000000000000007</v>
      </c>
      <c r="G538" s="22" t="s">
        <v>2153</v>
      </c>
      <c r="H538" s="22" t="s">
        <v>588</v>
      </c>
      <c r="I538" s="23" t="s">
        <v>577</v>
      </c>
      <c r="J538" s="23" t="s">
        <v>2154</v>
      </c>
      <c r="K538" s="23" t="s">
        <v>589</v>
      </c>
      <c r="L538" s="23" t="s">
        <v>590</v>
      </c>
      <c r="M538" s="23"/>
      <c r="N538" s="23"/>
      <c r="O538" s="23"/>
      <c r="P538" s="23"/>
      <c r="Q538" s="23"/>
      <c r="R538" s="23"/>
      <c r="S538" s="23"/>
      <c r="T538" s="23"/>
      <c r="U538" s="23"/>
      <c r="V538" s="23"/>
      <c r="W538" s="23"/>
      <c r="X538" s="4"/>
    </row>
    <row r="539" spans="1:24" ht="26.25" x14ac:dyDescent="0.25">
      <c r="A539" s="21" t="s">
        <v>2155</v>
      </c>
      <c r="B539" s="21" t="str">
        <f t="shared" si="9"/>
        <v>84807100</v>
      </c>
      <c r="C539" s="21" t="str">
        <f>Tabela5[[#This Row],[Cod. Ncm]]&amp;"-"&amp;Tabela5[[#This Row],[Operações]]</f>
        <v>84807100-Internas e interestaduais</v>
      </c>
      <c r="D539" s="22" t="s">
        <v>586</v>
      </c>
      <c r="E539" s="22" t="s">
        <v>587</v>
      </c>
      <c r="F539" s="22">
        <v>8.8000000000000007</v>
      </c>
      <c r="G539" s="22" t="s">
        <v>2156</v>
      </c>
      <c r="H539" s="22" t="s">
        <v>588</v>
      </c>
      <c r="I539" s="23" t="s">
        <v>577</v>
      </c>
      <c r="J539" s="23" t="s">
        <v>2157</v>
      </c>
      <c r="K539" s="23" t="s">
        <v>589</v>
      </c>
      <c r="L539" s="23" t="s">
        <v>590</v>
      </c>
      <c r="M539" s="23"/>
      <c r="N539" s="23"/>
      <c r="O539" s="23"/>
      <c r="P539" s="23"/>
      <c r="Q539" s="23"/>
      <c r="R539" s="23"/>
      <c r="S539" s="23"/>
      <c r="T539" s="23"/>
      <c r="U539" s="23"/>
      <c r="V539" s="23"/>
      <c r="W539" s="23"/>
      <c r="X539" s="4"/>
    </row>
    <row r="540" spans="1:24" ht="26.25" x14ac:dyDescent="0.25">
      <c r="A540" s="21" t="s">
        <v>2160</v>
      </c>
      <c r="B540" s="21" t="str">
        <f t="shared" si="9"/>
        <v>84818095</v>
      </c>
      <c r="C540" s="21" t="str">
        <f>Tabela5[[#This Row],[Cod. Ncm]]&amp;"-"&amp;Tabela5[[#This Row],[Operações]]</f>
        <v>84818095-Internas e interestaduais</v>
      </c>
      <c r="D540" s="22" t="s">
        <v>586</v>
      </c>
      <c r="E540" s="22" t="s">
        <v>587</v>
      </c>
      <c r="F540" s="22">
        <v>8.8000000000000007</v>
      </c>
      <c r="G540" s="22" t="s">
        <v>2161</v>
      </c>
      <c r="H540" s="22" t="s">
        <v>588</v>
      </c>
      <c r="I540" s="23" t="s">
        <v>577</v>
      </c>
      <c r="J540" s="23" t="s">
        <v>2162</v>
      </c>
      <c r="K540" s="23" t="s">
        <v>589</v>
      </c>
      <c r="L540" s="23" t="s">
        <v>590</v>
      </c>
      <c r="M540" s="23"/>
      <c r="N540" s="23"/>
      <c r="O540" s="23"/>
      <c r="P540" s="23"/>
      <c r="Q540" s="23"/>
      <c r="R540" s="23"/>
      <c r="S540" s="23"/>
      <c r="T540" s="23"/>
      <c r="U540" s="23"/>
      <c r="V540" s="23"/>
      <c r="W540" s="23"/>
      <c r="X540" s="4"/>
    </row>
    <row r="541" spans="1:24" ht="26.25" x14ac:dyDescent="0.25">
      <c r="A541" s="21" t="s">
        <v>2163</v>
      </c>
      <c r="B541" s="21" t="str">
        <f t="shared" si="9"/>
        <v>84818097</v>
      </c>
      <c r="C541" s="21" t="str">
        <f>Tabela5[[#This Row],[Cod. Ncm]]&amp;"-"&amp;Tabela5[[#This Row],[Operações]]</f>
        <v>84818097-Internas e interestaduais</v>
      </c>
      <c r="D541" s="22" t="s">
        <v>586</v>
      </c>
      <c r="E541" s="22" t="s">
        <v>587</v>
      </c>
      <c r="F541" s="22">
        <v>8.8000000000000007</v>
      </c>
      <c r="G541" s="22" t="s">
        <v>2164</v>
      </c>
      <c r="H541" s="22" t="s">
        <v>588</v>
      </c>
      <c r="I541" s="23" t="s">
        <v>577</v>
      </c>
      <c r="J541" s="23" t="s">
        <v>2165</v>
      </c>
      <c r="K541" s="23" t="s">
        <v>589</v>
      </c>
      <c r="L541" s="23" t="s">
        <v>590</v>
      </c>
      <c r="M541" s="23"/>
      <c r="N541" s="23"/>
      <c r="O541" s="23"/>
      <c r="P541" s="23"/>
      <c r="Q541" s="23"/>
      <c r="R541" s="23"/>
      <c r="S541" s="23"/>
      <c r="T541" s="23"/>
      <c r="U541" s="23"/>
      <c r="V541" s="23"/>
      <c r="W541" s="23"/>
      <c r="X541" s="4"/>
    </row>
    <row r="542" spans="1:24" ht="38.25" x14ac:dyDescent="0.25">
      <c r="A542" s="21" t="s">
        <v>2167</v>
      </c>
      <c r="B542" s="21" t="str">
        <f t="shared" si="9"/>
        <v>84834010</v>
      </c>
      <c r="C542" s="21" t="str">
        <f>Tabela5[[#This Row],[Cod. Ncm]]&amp;"-"&amp;Tabela5[[#This Row],[Operações]]</f>
        <v>84834010-Internas e interestaduais</v>
      </c>
      <c r="D542" s="22" t="s">
        <v>586</v>
      </c>
      <c r="E542" s="22" t="s">
        <v>587</v>
      </c>
      <c r="F542" s="22">
        <v>8.8000000000000007</v>
      </c>
      <c r="G542" s="22" t="s">
        <v>2168</v>
      </c>
      <c r="H542" s="22" t="s">
        <v>588</v>
      </c>
      <c r="I542" s="23" t="s">
        <v>577</v>
      </c>
      <c r="J542" s="23" t="s">
        <v>2169</v>
      </c>
      <c r="K542" s="23" t="s">
        <v>589</v>
      </c>
      <c r="L542" s="23" t="s">
        <v>590</v>
      </c>
      <c r="M542" s="23"/>
      <c r="N542" s="23"/>
      <c r="O542" s="23"/>
      <c r="P542" s="23"/>
      <c r="Q542" s="23"/>
      <c r="R542" s="23"/>
      <c r="S542" s="23"/>
      <c r="T542" s="23"/>
      <c r="U542" s="23"/>
      <c r="V542" s="23"/>
      <c r="W542" s="23"/>
      <c r="X542" s="4"/>
    </row>
    <row r="543" spans="1:24" ht="26.25" x14ac:dyDescent="0.25">
      <c r="A543" s="21" t="s">
        <v>2170</v>
      </c>
      <c r="B543" s="21" t="str">
        <f t="shared" si="9"/>
        <v>84834090</v>
      </c>
      <c r="C543" s="21" t="str">
        <f>Tabela5[[#This Row],[Cod. Ncm]]&amp;"-"&amp;Tabela5[[#This Row],[Operações]]</f>
        <v>84834090-Internas e interestaduais</v>
      </c>
      <c r="D543" s="22" t="s">
        <v>586</v>
      </c>
      <c r="E543" s="22" t="s">
        <v>587</v>
      </c>
      <c r="F543" s="22">
        <v>8.8000000000000007</v>
      </c>
      <c r="G543" s="22" t="s">
        <v>2171</v>
      </c>
      <c r="H543" s="22" t="s">
        <v>588</v>
      </c>
      <c r="I543" s="23" t="s">
        <v>577</v>
      </c>
      <c r="J543" s="23" t="s">
        <v>2172</v>
      </c>
      <c r="K543" s="23" t="s">
        <v>589</v>
      </c>
      <c r="L543" s="23" t="s">
        <v>590</v>
      </c>
      <c r="M543" s="23"/>
      <c r="N543" s="23"/>
      <c r="O543" s="23"/>
      <c r="P543" s="23"/>
      <c r="Q543" s="23"/>
      <c r="R543" s="23"/>
      <c r="S543" s="23"/>
      <c r="T543" s="23"/>
      <c r="U543" s="23"/>
      <c r="V543" s="23"/>
      <c r="W543" s="23"/>
      <c r="X543" s="4"/>
    </row>
    <row r="544" spans="1:24" ht="39" x14ac:dyDescent="0.25">
      <c r="A544" s="21" t="s">
        <v>2173</v>
      </c>
      <c r="B544" s="21" t="str">
        <f t="shared" si="9"/>
        <v>85044021</v>
      </c>
      <c r="C544" s="21" t="str">
        <f>Tabela5[[#This Row],[Cod. Ncm]]&amp;"-"&amp;Tabela5[[#This Row],[Operações]]</f>
        <v>85044021-Internas</v>
      </c>
      <c r="D544" s="22" t="s">
        <v>579</v>
      </c>
      <c r="E544" s="22" t="s">
        <v>593</v>
      </c>
      <c r="F544" s="22">
        <v>7</v>
      </c>
      <c r="G544" s="22" t="s">
        <v>2174</v>
      </c>
      <c r="H544" s="22" t="s">
        <v>1083</v>
      </c>
      <c r="I544" s="23" t="s">
        <v>2175</v>
      </c>
      <c r="J544" s="23" t="s">
        <v>591</v>
      </c>
      <c r="K544" s="23" t="s">
        <v>592</v>
      </c>
      <c r="L544" s="23" t="s">
        <v>1086</v>
      </c>
      <c r="M544" s="23" t="s">
        <v>1087</v>
      </c>
      <c r="N544" s="23" t="s">
        <v>583</v>
      </c>
      <c r="O544" s="23"/>
      <c r="P544" s="23"/>
      <c r="Q544" s="23"/>
      <c r="R544" s="23"/>
      <c r="S544" s="23"/>
      <c r="T544" s="23"/>
      <c r="U544" s="23"/>
      <c r="V544" s="23"/>
      <c r="W544" s="23"/>
      <c r="X544" s="4"/>
    </row>
    <row r="545" spans="1:24" ht="39" x14ac:dyDescent="0.25">
      <c r="A545" s="21" t="s">
        <v>2176</v>
      </c>
      <c r="B545" s="21" t="str">
        <f t="shared" si="9"/>
        <v>85044029</v>
      </c>
      <c r="C545" s="21" t="str">
        <f>Tabela5[[#This Row],[Cod. Ncm]]&amp;"-"&amp;Tabela5[[#This Row],[Operações]]</f>
        <v>85044029-Internas</v>
      </c>
      <c r="D545" s="22" t="s">
        <v>579</v>
      </c>
      <c r="E545" s="22" t="s">
        <v>593</v>
      </c>
      <c r="F545" s="22">
        <v>7</v>
      </c>
      <c r="G545" s="22" t="s">
        <v>2177</v>
      </c>
      <c r="H545" s="22" t="s">
        <v>1083</v>
      </c>
      <c r="I545" s="23" t="s">
        <v>2178</v>
      </c>
      <c r="J545" s="23" t="s">
        <v>591</v>
      </c>
      <c r="K545" s="23" t="s">
        <v>592</v>
      </c>
      <c r="L545" s="23" t="s">
        <v>1086</v>
      </c>
      <c r="M545" s="23" t="s">
        <v>1087</v>
      </c>
      <c r="N545" s="23" t="s">
        <v>583</v>
      </c>
      <c r="O545" s="23"/>
      <c r="P545" s="23"/>
      <c r="Q545" s="23"/>
      <c r="R545" s="23"/>
      <c r="S545" s="23"/>
      <c r="T545" s="23"/>
      <c r="U545" s="23"/>
      <c r="V545" s="23"/>
      <c r="W545" s="23"/>
      <c r="X545" s="4"/>
    </row>
    <row r="546" spans="1:24" ht="39" x14ac:dyDescent="0.25">
      <c r="A546" s="21" t="s">
        <v>2179</v>
      </c>
      <c r="B546" s="21" t="str">
        <f t="shared" si="9"/>
        <v>85044040</v>
      </c>
      <c r="C546" s="21" t="str">
        <f>Tabela5[[#This Row],[Cod. Ncm]]&amp;"-"&amp;Tabela5[[#This Row],[Operações]]</f>
        <v>85044040-Internas</v>
      </c>
      <c r="D546" s="22" t="s">
        <v>579</v>
      </c>
      <c r="E546" s="22" t="s">
        <v>593</v>
      </c>
      <c r="F546" s="22">
        <v>7</v>
      </c>
      <c r="G546" s="22" t="s">
        <v>2180</v>
      </c>
      <c r="H546" s="22" t="s">
        <v>1083</v>
      </c>
      <c r="I546" s="23" t="s">
        <v>2181</v>
      </c>
      <c r="J546" s="23" t="s">
        <v>591</v>
      </c>
      <c r="K546" s="23" t="s">
        <v>592</v>
      </c>
      <c r="L546" s="23" t="s">
        <v>1086</v>
      </c>
      <c r="M546" s="23" t="s">
        <v>1087</v>
      </c>
      <c r="N546" s="23" t="s">
        <v>583</v>
      </c>
      <c r="O546" s="23"/>
      <c r="P546" s="23"/>
      <c r="Q546" s="23"/>
      <c r="R546" s="23"/>
      <c r="S546" s="23"/>
      <c r="T546" s="23"/>
      <c r="U546" s="23"/>
      <c r="V546" s="23"/>
      <c r="W546" s="23"/>
      <c r="X546" s="4"/>
    </row>
    <row r="547" spans="1:24" ht="39" x14ac:dyDescent="0.25">
      <c r="A547" s="21" t="s">
        <v>2182</v>
      </c>
      <c r="B547" s="21" t="str">
        <f t="shared" si="9"/>
        <v>85049040</v>
      </c>
      <c r="C547" s="21" t="str">
        <f>Tabela5[[#This Row],[Cod. Ncm]]&amp;"-"&amp;Tabela5[[#This Row],[Operações]]</f>
        <v>85049040-Internas</v>
      </c>
      <c r="D547" s="22" t="s">
        <v>579</v>
      </c>
      <c r="E547" s="22" t="s">
        <v>593</v>
      </c>
      <c r="F547" s="22">
        <v>7</v>
      </c>
      <c r="G547" s="22" t="s">
        <v>2183</v>
      </c>
      <c r="H547" s="22" t="s">
        <v>1083</v>
      </c>
      <c r="I547" s="23" t="s">
        <v>2184</v>
      </c>
      <c r="J547" s="23" t="s">
        <v>591</v>
      </c>
      <c r="K547" s="23" t="s">
        <v>592</v>
      </c>
      <c r="L547" s="23" t="s">
        <v>1086</v>
      </c>
      <c r="M547" s="23" t="s">
        <v>1087</v>
      </c>
      <c r="N547" s="23" t="s">
        <v>583</v>
      </c>
      <c r="O547" s="23"/>
      <c r="P547" s="23"/>
      <c r="Q547" s="23"/>
      <c r="R547" s="23"/>
      <c r="S547" s="23"/>
      <c r="T547" s="23"/>
      <c r="U547" s="23"/>
      <c r="V547" s="23"/>
      <c r="W547" s="23"/>
      <c r="X547" s="4"/>
    </row>
    <row r="548" spans="1:24" ht="39" x14ac:dyDescent="0.25">
      <c r="A548" s="21" t="s">
        <v>2185</v>
      </c>
      <c r="B548" s="21" t="str">
        <f t="shared" si="9"/>
        <v>85049090</v>
      </c>
      <c r="C548" s="21" t="str">
        <f>Tabela5[[#This Row],[Cod. Ncm]]&amp;"-"&amp;Tabela5[[#This Row],[Operações]]</f>
        <v>85049090-Internas</v>
      </c>
      <c r="D548" s="22" t="s">
        <v>579</v>
      </c>
      <c r="E548" s="22" t="s">
        <v>593</v>
      </c>
      <c r="F548" s="22">
        <v>7</v>
      </c>
      <c r="G548" s="22" t="s">
        <v>2186</v>
      </c>
      <c r="H548" s="22" t="s">
        <v>1083</v>
      </c>
      <c r="I548" s="23" t="s">
        <v>2187</v>
      </c>
      <c r="J548" s="23" t="s">
        <v>591</v>
      </c>
      <c r="K548" s="23" t="s">
        <v>592</v>
      </c>
      <c r="L548" s="23" t="s">
        <v>1086</v>
      </c>
      <c r="M548" s="23" t="s">
        <v>1087</v>
      </c>
      <c r="N548" s="23" t="s">
        <v>583</v>
      </c>
      <c r="O548" s="23"/>
      <c r="P548" s="23"/>
      <c r="Q548" s="23"/>
      <c r="R548" s="23"/>
      <c r="S548" s="23"/>
      <c r="T548" s="23"/>
      <c r="U548" s="23"/>
      <c r="V548" s="23"/>
      <c r="W548" s="23"/>
      <c r="X548" s="4"/>
    </row>
    <row r="549" spans="1:24" ht="39" x14ac:dyDescent="0.25">
      <c r="A549" s="21" t="s">
        <v>2188</v>
      </c>
      <c r="B549" s="21" t="str">
        <f t="shared" si="9"/>
        <v>85072010</v>
      </c>
      <c r="C549" s="21" t="str">
        <f>Tabela5[[#This Row],[Cod. Ncm]]&amp;"-"&amp;Tabela5[[#This Row],[Operações]]</f>
        <v>85072010-Internas</v>
      </c>
      <c r="D549" s="22" t="s">
        <v>579</v>
      </c>
      <c r="E549" s="22" t="s">
        <v>593</v>
      </c>
      <c r="F549" s="22">
        <v>7</v>
      </c>
      <c r="G549" s="22" t="s">
        <v>2189</v>
      </c>
      <c r="H549" s="22" t="s">
        <v>1083</v>
      </c>
      <c r="I549" s="23" t="s">
        <v>2190</v>
      </c>
      <c r="J549" s="23" t="s">
        <v>591</v>
      </c>
      <c r="K549" s="23" t="s">
        <v>592</v>
      </c>
      <c r="L549" s="23" t="s">
        <v>1086</v>
      </c>
      <c r="M549" s="23" t="s">
        <v>1087</v>
      </c>
      <c r="N549" s="23" t="s">
        <v>583</v>
      </c>
      <c r="O549" s="23"/>
      <c r="P549" s="23"/>
      <c r="Q549" s="23"/>
      <c r="R549" s="23"/>
      <c r="S549" s="23"/>
      <c r="T549" s="23"/>
      <c r="U549" s="23"/>
      <c r="V549" s="23"/>
      <c r="W549" s="23"/>
      <c r="X549" s="4"/>
    </row>
    <row r="550" spans="1:24" ht="26.25" x14ac:dyDescent="0.25">
      <c r="A550" s="21" t="s">
        <v>2192</v>
      </c>
      <c r="B550" s="21" t="str">
        <f t="shared" si="9"/>
        <v>85142011</v>
      </c>
      <c r="C550" s="21" t="str">
        <f>Tabela5[[#This Row],[Cod. Ncm]]&amp;"-"&amp;Tabela5[[#This Row],[Operações]]</f>
        <v>85142011-Internas e interestaduais</v>
      </c>
      <c r="D550" s="22" t="s">
        <v>586</v>
      </c>
      <c r="E550" s="22" t="s">
        <v>587</v>
      </c>
      <c r="F550" s="22">
        <v>8.8000000000000007</v>
      </c>
      <c r="G550" s="22" t="s">
        <v>2193</v>
      </c>
      <c r="H550" s="22" t="s">
        <v>588</v>
      </c>
      <c r="I550" s="23" t="s">
        <v>577</v>
      </c>
      <c r="J550" s="23" t="s">
        <v>2194</v>
      </c>
      <c r="K550" s="23" t="s">
        <v>589</v>
      </c>
      <c r="L550" s="23" t="s">
        <v>590</v>
      </c>
      <c r="M550" s="23"/>
      <c r="N550" s="23"/>
      <c r="O550" s="23"/>
      <c r="P550" s="23"/>
      <c r="Q550" s="23"/>
      <c r="R550" s="23"/>
      <c r="S550" s="23"/>
      <c r="T550" s="23"/>
      <c r="U550" s="23"/>
      <c r="V550" s="23"/>
      <c r="W550" s="23"/>
      <c r="X550" s="4"/>
    </row>
    <row r="551" spans="1:24" ht="26.25" x14ac:dyDescent="0.25">
      <c r="A551" s="21" t="s">
        <v>2195</v>
      </c>
      <c r="B551" s="21" t="str">
        <f t="shared" si="9"/>
        <v>85142020</v>
      </c>
      <c r="C551" s="21" t="str">
        <f>Tabela5[[#This Row],[Cod. Ncm]]&amp;"-"&amp;Tabela5[[#This Row],[Operações]]</f>
        <v>85142020-Internas e interestaduais</v>
      </c>
      <c r="D551" s="22" t="s">
        <v>586</v>
      </c>
      <c r="E551" s="22" t="s">
        <v>587</v>
      </c>
      <c r="F551" s="22">
        <v>8.8000000000000007</v>
      </c>
      <c r="G551" s="22" t="s">
        <v>2196</v>
      </c>
      <c r="H551" s="22" t="s">
        <v>588</v>
      </c>
      <c r="I551" s="23" t="s">
        <v>577</v>
      </c>
      <c r="J551" s="23" t="s">
        <v>2197</v>
      </c>
      <c r="K551" s="23" t="s">
        <v>589</v>
      </c>
      <c r="L551" s="23" t="s">
        <v>590</v>
      </c>
      <c r="M551" s="23"/>
      <c r="N551" s="23"/>
      <c r="O551" s="23"/>
      <c r="P551" s="23"/>
      <c r="Q551" s="23"/>
      <c r="R551" s="23"/>
      <c r="S551" s="23"/>
      <c r="T551" s="23"/>
      <c r="U551" s="23"/>
      <c r="V551" s="23"/>
      <c r="W551" s="23"/>
      <c r="X551" s="4"/>
    </row>
    <row r="552" spans="1:24" ht="26.25" x14ac:dyDescent="0.25">
      <c r="A552" s="21" t="s">
        <v>2198</v>
      </c>
      <c r="B552" s="21" t="str">
        <f t="shared" si="9"/>
        <v>85143011</v>
      </c>
      <c r="C552" s="21" t="str">
        <f>Tabela5[[#This Row],[Cod. Ncm]]&amp;"-"&amp;Tabela5[[#This Row],[Operações]]</f>
        <v>85143011-Internas e interestaduais</v>
      </c>
      <c r="D552" s="22" t="s">
        <v>586</v>
      </c>
      <c r="E552" s="22" t="s">
        <v>587</v>
      </c>
      <c r="F552" s="22">
        <v>8.8000000000000007</v>
      </c>
      <c r="G552" s="22" t="s">
        <v>2199</v>
      </c>
      <c r="H552" s="22" t="s">
        <v>588</v>
      </c>
      <c r="I552" s="23" t="s">
        <v>577</v>
      </c>
      <c r="J552" s="23" t="s">
        <v>2200</v>
      </c>
      <c r="K552" s="23" t="s">
        <v>589</v>
      </c>
      <c r="L552" s="23" t="s">
        <v>590</v>
      </c>
      <c r="M552" s="23"/>
      <c r="N552" s="23"/>
      <c r="O552" s="23"/>
      <c r="P552" s="23"/>
      <c r="Q552" s="23"/>
      <c r="R552" s="23"/>
      <c r="S552" s="23"/>
      <c r="T552" s="23"/>
      <c r="U552" s="23"/>
      <c r="V552" s="23"/>
      <c r="W552" s="23"/>
      <c r="X552" s="4"/>
    </row>
    <row r="553" spans="1:24" ht="26.25" x14ac:dyDescent="0.25">
      <c r="A553" s="21" t="s">
        <v>2201</v>
      </c>
      <c r="B553" s="21" t="str">
        <f t="shared" si="9"/>
        <v>85143021</v>
      </c>
      <c r="C553" s="21" t="str">
        <f>Tabela5[[#This Row],[Cod. Ncm]]&amp;"-"&amp;Tabela5[[#This Row],[Operações]]</f>
        <v>85143021-Internas e interestaduais</v>
      </c>
      <c r="D553" s="22" t="s">
        <v>586</v>
      </c>
      <c r="E553" s="22" t="s">
        <v>587</v>
      </c>
      <c r="F553" s="22">
        <v>8.8000000000000007</v>
      </c>
      <c r="G553" s="22" t="s">
        <v>2202</v>
      </c>
      <c r="H553" s="22" t="s">
        <v>588</v>
      </c>
      <c r="I553" s="23" t="s">
        <v>577</v>
      </c>
      <c r="J553" s="23" t="s">
        <v>2203</v>
      </c>
      <c r="K553" s="23" t="s">
        <v>589</v>
      </c>
      <c r="L553" s="23" t="s">
        <v>590</v>
      </c>
      <c r="M553" s="23"/>
      <c r="N553" s="23"/>
      <c r="O553" s="23"/>
      <c r="P553" s="23"/>
      <c r="Q553" s="23"/>
      <c r="R553" s="23"/>
      <c r="S553" s="23"/>
      <c r="T553" s="23"/>
      <c r="U553" s="23"/>
      <c r="V553" s="23"/>
      <c r="W553" s="23"/>
      <c r="X553" s="4"/>
    </row>
    <row r="554" spans="1:24" ht="38.25" x14ac:dyDescent="0.25">
      <c r="A554" s="21" t="s">
        <v>2204</v>
      </c>
      <c r="B554" s="21" t="str">
        <f t="shared" si="9"/>
        <v>85143090</v>
      </c>
      <c r="C554" s="21" t="str">
        <f>Tabela5[[#This Row],[Cod. Ncm]]&amp;"-"&amp;Tabela5[[#This Row],[Operações]]</f>
        <v>85143090-Internas e interestaduais</v>
      </c>
      <c r="D554" s="22" t="s">
        <v>586</v>
      </c>
      <c r="E554" s="22" t="s">
        <v>587</v>
      </c>
      <c r="F554" s="22">
        <v>8.8000000000000007</v>
      </c>
      <c r="G554" s="22" t="s">
        <v>2205</v>
      </c>
      <c r="H554" s="22" t="s">
        <v>588</v>
      </c>
      <c r="I554" s="23" t="s">
        <v>577</v>
      </c>
      <c r="J554" s="23" t="s">
        <v>2206</v>
      </c>
      <c r="K554" s="23" t="s">
        <v>589</v>
      </c>
      <c r="L554" s="23" t="s">
        <v>590</v>
      </c>
      <c r="M554" s="23"/>
      <c r="N554" s="23"/>
      <c r="O554" s="23"/>
      <c r="P554" s="23"/>
      <c r="Q554" s="23"/>
      <c r="R554" s="23"/>
      <c r="S554" s="23"/>
      <c r="T554" s="23"/>
      <c r="U554" s="23"/>
      <c r="V554" s="23"/>
      <c r="W554" s="23"/>
      <c r="X554" s="4"/>
    </row>
    <row r="555" spans="1:24" ht="63.75" x14ac:dyDescent="0.25">
      <c r="A555" s="21" t="s">
        <v>2207</v>
      </c>
      <c r="B555" s="21" t="str">
        <f t="shared" si="9"/>
        <v>85149000</v>
      </c>
      <c r="C555" s="21" t="str">
        <f>Tabela5[[#This Row],[Cod. Ncm]]&amp;"-"&amp;Tabela5[[#This Row],[Operações]]</f>
        <v>85149000-Internas e interestaduais</v>
      </c>
      <c r="D555" s="22" t="s">
        <v>586</v>
      </c>
      <c r="E555" s="22" t="s">
        <v>587</v>
      </c>
      <c r="F555" s="22">
        <v>8.8000000000000007</v>
      </c>
      <c r="G555" s="22" t="s">
        <v>2208</v>
      </c>
      <c r="H555" s="22" t="s">
        <v>588</v>
      </c>
      <c r="I555" s="23" t="s">
        <v>577</v>
      </c>
      <c r="J555" s="23" t="s">
        <v>2209</v>
      </c>
      <c r="K555" s="23" t="s">
        <v>589</v>
      </c>
      <c r="L555" s="23" t="s">
        <v>590</v>
      </c>
      <c r="M555" s="23"/>
      <c r="N555" s="23"/>
      <c r="O555" s="23"/>
      <c r="P555" s="23"/>
      <c r="Q555" s="23"/>
      <c r="R555" s="23"/>
      <c r="S555" s="23"/>
      <c r="T555" s="23"/>
      <c r="U555" s="23"/>
      <c r="V555" s="23"/>
      <c r="W555" s="23"/>
      <c r="X555" s="4"/>
    </row>
    <row r="556" spans="1:24" ht="26.25" x14ac:dyDescent="0.25">
      <c r="A556" s="21" t="s">
        <v>2210</v>
      </c>
      <c r="B556" s="21" t="str">
        <f t="shared" si="9"/>
        <v>85152100</v>
      </c>
      <c r="C556" s="21" t="str">
        <f>Tabela5[[#This Row],[Cod. Ncm]]&amp;"-"&amp;Tabela5[[#This Row],[Operações]]</f>
        <v>85152100-Internas e interestaduais</v>
      </c>
      <c r="D556" s="22" t="s">
        <v>586</v>
      </c>
      <c r="E556" s="22" t="s">
        <v>587</v>
      </c>
      <c r="F556" s="22">
        <v>8.8000000000000007</v>
      </c>
      <c r="G556" s="22" t="s">
        <v>2211</v>
      </c>
      <c r="H556" s="22" t="s">
        <v>588</v>
      </c>
      <c r="I556" s="23" t="s">
        <v>577</v>
      </c>
      <c r="J556" s="23" t="s">
        <v>2212</v>
      </c>
      <c r="K556" s="23" t="s">
        <v>589</v>
      </c>
      <c r="L556" s="23" t="s">
        <v>590</v>
      </c>
      <c r="M556" s="23"/>
      <c r="N556" s="23"/>
      <c r="O556" s="23"/>
      <c r="P556" s="23"/>
      <c r="Q556" s="23"/>
      <c r="R556" s="23"/>
      <c r="S556" s="23"/>
      <c r="T556" s="23"/>
      <c r="U556" s="23"/>
      <c r="V556" s="23"/>
      <c r="W556" s="23"/>
      <c r="X556" s="4"/>
    </row>
    <row r="557" spans="1:24" ht="38.25" x14ac:dyDescent="0.25">
      <c r="A557" s="21" t="s">
        <v>2213</v>
      </c>
      <c r="B557" s="21" t="str">
        <f t="shared" si="9"/>
        <v>85153110</v>
      </c>
      <c r="C557" s="21" t="str">
        <f>Tabela5[[#This Row],[Cod. Ncm]]&amp;"-"&amp;Tabela5[[#This Row],[Operações]]</f>
        <v>85153110-Internas e interestaduais</v>
      </c>
      <c r="D557" s="22" t="s">
        <v>586</v>
      </c>
      <c r="E557" s="22" t="s">
        <v>587</v>
      </c>
      <c r="F557" s="22">
        <v>8.8000000000000007</v>
      </c>
      <c r="G557" s="22" t="s">
        <v>2214</v>
      </c>
      <c r="H557" s="22" t="s">
        <v>588</v>
      </c>
      <c r="I557" s="23" t="s">
        <v>577</v>
      </c>
      <c r="J557" s="23" t="s">
        <v>2215</v>
      </c>
      <c r="K557" s="23" t="s">
        <v>589</v>
      </c>
      <c r="L557" s="23" t="s">
        <v>590</v>
      </c>
      <c r="M557" s="23"/>
      <c r="N557" s="23"/>
      <c r="O557" s="23"/>
      <c r="P557" s="23"/>
      <c r="Q557" s="23"/>
      <c r="R557" s="23"/>
      <c r="S557" s="23"/>
      <c r="T557" s="23"/>
      <c r="U557" s="23"/>
      <c r="V557" s="23"/>
      <c r="W557" s="23"/>
      <c r="X557" s="4"/>
    </row>
    <row r="558" spans="1:24" ht="38.25" x14ac:dyDescent="0.25">
      <c r="A558" s="21" t="s">
        <v>2216</v>
      </c>
      <c r="B558" s="21" t="str">
        <f t="shared" si="9"/>
        <v>85153190</v>
      </c>
      <c r="C558" s="21" t="str">
        <f>Tabela5[[#This Row],[Cod. Ncm]]&amp;"-"&amp;Tabela5[[#This Row],[Operações]]</f>
        <v>85153190-Internas e interestaduais</v>
      </c>
      <c r="D558" s="22" t="s">
        <v>586</v>
      </c>
      <c r="E558" s="22" t="s">
        <v>587</v>
      </c>
      <c r="F558" s="22">
        <v>8.8000000000000007</v>
      </c>
      <c r="G558" s="22" t="s">
        <v>2217</v>
      </c>
      <c r="H558" s="22" t="s">
        <v>588</v>
      </c>
      <c r="I558" s="23" t="s">
        <v>577</v>
      </c>
      <c r="J558" s="23" t="s">
        <v>2218</v>
      </c>
      <c r="K558" s="23" t="s">
        <v>589</v>
      </c>
      <c r="L558" s="23" t="s">
        <v>590</v>
      </c>
      <c r="M558" s="23"/>
      <c r="N558" s="23"/>
      <c r="O558" s="23"/>
      <c r="P558" s="23"/>
      <c r="Q558" s="23"/>
      <c r="R558" s="23"/>
      <c r="S558" s="23"/>
      <c r="T558" s="23"/>
      <c r="U558" s="23"/>
      <c r="V558" s="23"/>
      <c r="W558" s="23"/>
      <c r="X558" s="4"/>
    </row>
    <row r="559" spans="1:24" ht="26.25" x14ac:dyDescent="0.25">
      <c r="A559" s="21" t="s">
        <v>2219</v>
      </c>
      <c r="B559" s="21" t="str">
        <f t="shared" si="9"/>
        <v>85153900</v>
      </c>
      <c r="C559" s="21" t="str">
        <f>Tabela5[[#This Row],[Cod. Ncm]]&amp;"-"&amp;Tabela5[[#This Row],[Operações]]</f>
        <v>85153900-Internas e interestaduais</v>
      </c>
      <c r="D559" s="22" t="s">
        <v>586</v>
      </c>
      <c r="E559" s="22" t="s">
        <v>587</v>
      </c>
      <c r="F559" s="22">
        <v>8.8000000000000007</v>
      </c>
      <c r="G559" s="22" t="s">
        <v>2220</v>
      </c>
      <c r="H559" s="22" t="s">
        <v>588</v>
      </c>
      <c r="I559" s="23" t="s">
        <v>577</v>
      </c>
      <c r="J559" s="23" t="s">
        <v>2221</v>
      </c>
      <c r="K559" s="23" t="s">
        <v>589</v>
      </c>
      <c r="L559" s="23" t="s">
        <v>590</v>
      </c>
      <c r="M559" s="23"/>
      <c r="N559" s="23"/>
      <c r="O559" s="23"/>
      <c r="P559" s="23"/>
      <c r="Q559" s="23"/>
      <c r="R559" s="23"/>
      <c r="S559" s="23"/>
      <c r="T559" s="23"/>
      <c r="U559" s="23"/>
      <c r="V559" s="23"/>
      <c r="W559" s="23"/>
      <c r="X559" s="4"/>
    </row>
    <row r="560" spans="1:24" ht="26.25" x14ac:dyDescent="0.25">
      <c r="A560" s="21" t="s">
        <v>2222</v>
      </c>
      <c r="B560" s="21" t="str">
        <f t="shared" si="9"/>
        <v>85158010</v>
      </c>
      <c r="C560" s="21" t="str">
        <f>Tabela5[[#This Row],[Cod. Ncm]]&amp;"-"&amp;Tabela5[[#This Row],[Operações]]</f>
        <v>85158010-Internas e interestaduais</v>
      </c>
      <c r="D560" s="22" t="s">
        <v>586</v>
      </c>
      <c r="E560" s="22" t="s">
        <v>587</v>
      </c>
      <c r="F560" s="22">
        <v>8.8000000000000007</v>
      </c>
      <c r="G560" s="22" t="s">
        <v>2223</v>
      </c>
      <c r="H560" s="22" t="s">
        <v>588</v>
      </c>
      <c r="I560" s="23" t="s">
        <v>577</v>
      </c>
      <c r="J560" s="23" t="s">
        <v>2224</v>
      </c>
      <c r="K560" s="23" t="s">
        <v>589</v>
      </c>
      <c r="L560" s="23" t="s">
        <v>590</v>
      </c>
      <c r="M560" s="23"/>
      <c r="N560" s="23"/>
      <c r="O560" s="23"/>
      <c r="P560" s="23"/>
      <c r="Q560" s="23"/>
      <c r="R560" s="23"/>
      <c r="S560" s="23"/>
      <c r="T560" s="23"/>
      <c r="U560" s="23"/>
      <c r="V560" s="23"/>
      <c r="W560" s="23"/>
      <c r="X560" s="4"/>
    </row>
    <row r="561" spans="1:24" ht="26.25" x14ac:dyDescent="0.25">
      <c r="A561" s="21" t="s">
        <v>2225</v>
      </c>
      <c r="B561" s="21" t="str">
        <f t="shared" si="9"/>
        <v>85158090</v>
      </c>
      <c r="C561" s="21" t="str">
        <f>Tabela5[[#This Row],[Cod. Ncm]]&amp;"-"&amp;Tabela5[[#This Row],[Operações]]</f>
        <v>85158090-Internas e interestaduais</v>
      </c>
      <c r="D561" s="22" t="s">
        <v>586</v>
      </c>
      <c r="E561" s="22" t="s">
        <v>587</v>
      </c>
      <c r="F561" s="22">
        <v>8.8000000000000007</v>
      </c>
      <c r="G561" s="22" t="s">
        <v>2226</v>
      </c>
      <c r="H561" s="22" t="s">
        <v>588</v>
      </c>
      <c r="I561" s="23" t="s">
        <v>577</v>
      </c>
      <c r="J561" s="23" t="s">
        <v>2227</v>
      </c>
      <c r="K561" s="23" t="s">
        <v>589</v>
      </c>
      <c r="L561" s="23" t="s">
        <v>590</v>
      </c>
      <c r="M561" s="23"/>
      <c r="N561" s="23"/>
      <c r="O561" s="23"/>
      <c r="P561" s="23"/>
      <c r="Q561" s="23"/>
      <c r="R561" s="23"/>
      <c r="S561" s="23"/>
      <c r="T561" s="23"/>
      <c r="U561" s="23"/>
      <c r="V561" s="23"/>
      <c r="W561" s="23"/>
      <c r="X561" s="4"/>
    </row>
    <row r="562" spans="1:24" ht="39" x14ac:dyDescent="0.25">
      <c r="A562" s="21" t="s">
        <v>2228</v>
      </c>
      <c r="B562" s="21" t="str">
        <f t="shared" si="9"/>
        <v>85176239</v>
      </c>
      <c r="C562" s="21" t="str">
        <f>Tabela5[[#This Row],[Cod. Ncm]]&amp;"-"&amp;Tabela5[[#This Row],[Operações]]</f>
        <v>85176239-Internas</v>
      </c>
      <c r="D562" s="22" t="s">
        <v>579</v>
      </c>
      <c r="E562" s="22" t="s">
        <v>593</v>
      </c>
      <c r="F562" s="22">
        <v>7</v>
      </c>
      <c r="G562" s="22" t="s">
        <v>2229</v>
      </c>
      <c r="H562" s="22" t="s">
        <v>1083</v>
      </c>
      <c r="I562" s="23" t="s">
        <v>2230</v>
      </c>
      <c r="J562" s="23" t="s">
        <v>591</v>
      </c>
      <c r="K562" s="23" t="s">
        <v>592</v>
      </c>
      <c r="L562" s="23" t="s">
        <v>1086</v>
      </c>
      <c r="M562" s="23" t="s">
        <v>1087</v>
      </c>
      <c r="N562" s="23" t="s">
        <v>1154</v>
      </c>
      <c r="O562" s="23" t="s">
        <v>2231</v>
      </c>
      <c r="P562" s="23" t="s">
        <v>583</v>
      </c>
      <c r="Q562" s="23"/>
      <c r="R562" s="23"/>
      <c r="S562" s="23"/>
      <c r="T562" s="23"/>
      <c r="U562" s="23"/>
      <c r="V562" s="23"/>
      <c r="W562" s="23"/>
      <c r="X562" s="4" t="s">
        <v>2229</v>
      </c>
    </row>
    <row r="563" spans="1:24" ht="39" x14ac:dyDescent="0.25">
      <c r="A563" s="21" t="s">
        <v>2232</v>
      </c>
      <c r="B563" s="21" t="str">
        <f t="shared" si="9"/>
        <v>85176241</v>
      </c>
      <c r="C563" s="21" t="str">
        <f>Tabela5[[#This Row],[Cod. Ncm]]&amp;"-"&amp;Tabela5[[#This Row],[Operações]]</f>
        <v>85176241-Internas</v>
      </c>
      <c r="D563" s="22" t="s">
        <v>579</v>
      </c>
      <c r="E563" s="22" t="s">
        <v>593</v>
      </c>
      <c r="F563" s="22">
        <v>7</v>
      </c>
      <c r="G563" s="22" t="s">
        <v>2233</v>
      </c>
      <c r="H563" s="22" t="s">
        <v>1083</v>
      </c>
      <c r="I563" s="23" t="s">
        <v>2234</v>
      </c>
      <c r="J563" s="23" t="s">
        <v>591</v>
      </c>
      <c r="K563" s="23" t="s">
        <v>592</v>
      </c>
      <c r="L563" s="23" t="s">
        <v>1086</v>
      </c>
      <c r="M563" s="23" t="s">
        <v>1087</v>
      </c>
      <c r="N563" s="23" t="s">
        <v>2231</v>
      </c>
      <c r="O563" s="23" t="s">
        <v>583</v>
      </c>
      <c r="P563" s="23"/>
      <c r="Q563" s="23"/>
      <c r="R563" s="23"/>
      <c r="S563" s="23"/>
      <c r="T563" s="23"/>
      <c r="U563" s="23"/>
      <c r="V563" s="23"/>
      <c r="W563" s="23"/>
      <c r="X563" s="4"/>
    </row>
    <row r="564" spans="1:24" ht="39" x14ac:dyDescent="0.25">
      <c r="A564" s="21" t="s">
        <v>2235</v>
      </c>
      <c r="B564" s="21" t="str">
        <f t="shared" si="9"/>
        <v>85176248</v>
      </c>
      <c r="C564" s="21" t="str">
        <f>Tabela5[[#This Row],[Cod. Ncm]]&amp;"-"&amp;Tabela5[[#This Row],[Operações]]</f>
        <v>85176248-Internas</v>
      </c>
      <c r="D564" s="22" t="s">
        <v>579</v>
      </c>
      <c r="E564" s="22" t="s">
        <v>593</v>
      </c>
      <c r="F564" s="22">
        <v>7</v>
      </c>
      <c r="G564" s="22" t="s">
        <v>2236</v>
      </c>
      <c r="H564" s="22" t="s">
        <v>1083</v>
      </c>
      <c r="I564" s="23" t="s">
        <v>2237</v>
      </c>
      <c r="J564" s="23" t="s">
        <v>591</v>
      </c>
      <c r="K564" s="23" t="s">
        <v>592</v>
      </c>
      <c r="L564" s="23" t="s">
        <v>1086</v>
      </c>
      <c r="M564" s="23" t="s">
        <v>1087</v>
      </c>
      <c r="N564" s="23" t="s">
        <v>2231</v>
      </c>
      <c r="O564" s="23" t="s">
        <v>583</v>
      </c>
      <c r="P564" s="23"/>
      <c r="Q564" s="23"/>
      <c r="R564" s="23"/>
      <c r="S564" s="23"/>
      <c r="T564" s="23"/>
      <c r="U564" s="23"/>
      <c r="V564" s="23"/>
      <c r="W564" s="23"/>
      <c r="X564" s="4"/>
    </row>
    <row r="565" spans="1:24" ht="39" x14ac:dyDescent="0.25">
      <c r="A565" s="21" t="s">
        <v>2238</v>
      </c>
      <c r="B565" s="21" t="str">
        <f t="shared" si="9"/>
        <v>85176249</v>
      </c>
      <c r="C565" s="21" t="str">
        <f>Tabela5[[#This Row],[Cod. Ncm]]&amp;"-"&amp;Tabela5[[#This Row],[Operações]]</f>
        <v>85176249-Internas</v>
      </c>
      <c r="D565" s="22" t="s">
        <v>579</v>
      </c>
      <c r="E565" s="22" t="s">
        <v>593</v>
      </c>
      <c r="F565" s="22">
        <v>7</v>
      </c>
      <c r="G565" s="22" t="s">
        <v>2239</v>
      </c>
      <c r="H565" s="22" t="s">
        <v>1083</v>
      </c>
      <c r="I565" s="23" t="s">
        <v>2240</v>
      </c>
      <c r="J565" s="23" t="s">
        <v>591</v>
      </c>
      <c r="K565" s="23" t="s">
        <v>592</v>
      </c>
      <c r="L565" s="23" t="s">
        <v>1086</v>
      </c>
      <c r="M565" s="23" t="s">
        <v>1087</v>
      </c>
      <c r="N565" s="23" t="s">
        <v>2231</v>
      </c>
      <c r="O565" s="23" t="s">
        <v>583</v>
      </c>
      <c r="P565" s="23"/>
      <c r="Q565" s="23"/>
      <c r="R565" s="23"/>
      <c r="S565" s="23"/>
      <c r="T565" s="23"/>
      <c r="U565" s="23"/>
      <c r="V565" s="23"/>
      <c r="W565" s="23"/>
      <c r="X565" s="4"/>
    </row>
    <row r="566" spans="1:24" ht="39" x14ac:dyDescent="0.25">
      <c r="A566" s="21" t="s">
        <v>2241</v>
      </c>
      <c r="B566" s="21" t="str">
        <f t="shared" si="9"/>
        <v>85176251</v>
      </c>
      <c r="C566" s="21" t="str">
        <f>Tabela5[[#This Row],[Cod. Ncm]]&amp;"-"&amp;Tabela5[[#This Row],[Operações]]</f>
        <v>85176251-Internas</v>
      </c>
      <c r="D566" s="22" t="s">
        <v>579</v>
      </c>
      <c r="E566" s="22" t="s">
        <v>593</v>
      </c>
      <c r="F566" s="22">
        <v>7</v>
      </c>
      <c r="G566" s="22" t="s">
        <v>2242</v>
      </c>
      <c r="H566" s="22" t="s">
        <v>1083</v>
      </c>
      <c r="I566" s="23" t="s">
        <v>2243</v>
      </c>
      <c r="J566" s="23" t="s">
        <v>591</v>
      </c>
      <c r="K566" s="23" t="s">
        <v>592</v>
      </c>
      <c r="L566" s="23" t="s">
        <v>1086</v>
      </c>
      <c r="M566" s="23" t="s">
        <v>1087</v>
      </c>
      <c r="N566" s="23" t="s">
        <v>2231</v>
      </c>
      <c r="O566" s="23" t="s">
        <v>583</v>
      </c>
      <c r="P566" s="23"/>
      <c r="Q566" s="23"/>
      <c r="R566" s="23"/>
      <c r="S566" s="23"/>
      <c r="T566" s="23"/>
      <c r="U566" s="23"/>
      <c r="V566" s="23"/>
      <c r="W566" s="23"/>
      <c r="X566" s="4"/>
    </row>
    <row r="567" spans="1:24" ht="39" x14ac:dyDescent="0.25">
      <c r="A567" s="21" t="s">
        <v>2244</v>
      </c>
      <c r="B567" s="21" t="str">
        <f t="shared" si="9"/>
        <v>85176254</v>
      </c>
      <c r="C567" s="21" t="str">
        <f>Tabela5[[#This Row],[Cod. Ncm]]&amp;"-"&amp;Tabela5[[#This Row],[Operações]]</f>
        <v>85176254-Internas</v>
      </c>
      <c r="D567" s="22" t="s">
        <v>579</v>
      </c>
      <c r="E567" s="22" t="s">
        <v>593</v>
      </c>
      <c r="F567" s="22">
        <v>7</v>
      </c>
      <c r="G567" s="22" t="s">
        <v>2245</v>
      </c>
      <c r="H567" s="22" t="s">
        <v>1083</v>
      </c>
      <c r="I567" s="23" t="s">
        <v>2246</v>
      </c>
      <c r="J567" s="23" t="s">
        <v>591</v>
      </c>
      <c r="K567" s="23" t="s">
        <v>592</v>
      </c>
      <c r="L567" s="23" t="s">
        <v>1086</v>
      </c>
      <c r="M567" s="23" t="s">
        <v>1087</v>
      </c>
      <c r="N567" s="23" t="s">
        <v>2231</v>
      </c>
      <c r="O567" s="23" t="s">
        <v>583</v>
      </c>
      <c r="P567" s="23"/>
      <c r="Q567" s="23"/>
      <c r="R567" s="23"/>
      <c r="S567" s="23"/>
      <c r="T567" s="23"/>
      <c r="U567" s="23"/>
      <c r="V567" s="23"/>
      <c r="W567" s="23"/>
      <c r="X567" s="4"/>
    </row>
    <row r="568" spans="1:24" ht="39" x14ac:dyDescent="0.25">
      <c r="A568" s="21" t="s">
        <v>2247</v>
      </c>
      <c r="B568" s="21" t="str">
        <f t="shared" si="9"/>
        <v>85176255</v>
      </c>
      <c r="C568" s="21" t="str">
        <f>Tabela5[[#This Row],[Cod. Ncm]]&amp;"-"&amp;Tabela5[[#This Row],[Operações]]</f>
        <v>85176255-Internas</v>
      </c>
      <c r="D568" s="22" t="s">
        <v>579</v>
      </c>
      <c r="E568" s="22" t="s">
        <v>593</v>
      </c>
      <c r="F568" s="22">
        <v>7</v>
      </c>
      <c r="G568" s="22" t="s">
        <v>2248</v>
      </c>
      <c r="H568" s="22" t="s">
        <v>1083</v>
      </c>
      <c r="I568" s="23" t="s">
        <v>2249</v>
      </c>
      <c r="J568" s="23" t="s">
        <v>591</v>
      </c>
      <c r="K568" s="23" t="s">
        <v>592</v>
      </c>
      <c r="L568" s="23" t="s">
        <v>1086</v>
      </c>
      <c r="M568" s="23" t="s">
        <v>1087</v>
      </c>
      <c r="N568" s="23" t="s">
        <v>2231</v>
      </c>
      <c r="O568" s="23" t="s">
        <v>583</v>
      </c>
      <c r="P568" s="23"/>
      <c r="Q568" s="23"/>
      <c r="R568" s="23"/>
      <c r="S568" s="23"/>
      <c r="T568" s="23"/>
      <c r="U568" s="23"/>
      <c r="V568" s="23"/>
      <c r="W568" s="23"/>
      <c r="X568" s="4"/>
    </row>
    <row r="569" spans="1:24" ht="39" x14ac:dyDescent="0.25">
      <c r="A569" s="21" t="s">
        <v>2250</v>
      </c>
      <c r="B569" s="21" t="str">
        <f t="shared" si="9"/>
        <v>85176259</v>
      </c>
      <c r="C569" s="21" t="str">
        <f>Tabela5[[#This Row],[Cod. Ncm]]&amp;"-"&amp;Tabela5[[#This Row],[Operações]]</f>
        <v>85176259-Internas</v>
      </c>
      <c r="D569" s="22" t="s">
        <v>579</v>
      </c>
      <c r="E569" s="22" t="s">
        <v>593</v>
      </c>
      <c r="F569" s="22">
        <v>7</v>
      </c>
      <c r="G569" s="22" t="s">
        <v>2229</v>
      </c>
      <c r="H569" s="22" t="s">
        <v>1083</v>
      </c>
      <c r="I569" s="23" t="s">
        <v>2230</v>
      </c>
      <c r="J569" s="23" t="s">
        <v>591</v>
      </c>
      <c r="K569" s="23" t="s">
        <v>592</v>
      </c>
      <c r="L569" s="23" t="s">
        <v>1086</v>
      </c>
      <c r="M569" s="23" t="s">
        <v>1087</v>
      </c>
      <c r="N569" s="23" t="s">
        <v>2231</v>
      </c>
      <c r="O569" s="23" t="s">
        <v>583</v>
      </c>
      <c r="P569" s="23"/>
      <c r="Q569" s="23"/>
      <c r="R569" s="23"/>
      <c r="S569" s="23"/>
      <c r="T569" s="23"/>
      <c r="U569" s="23"/>
      <c r="V569" s="23"/>
      <c r="W569" s="23"/>
      <c r="X569" s="4"/>
    </row>
    <row r="570" spans="1:24" ht="39" x14ac:dyDescent="0.25">
      <c r="A570" s="21" t="s">
        <v>2251</v>
      </c>
      <c r="B570" s="21" t="str">
        <f t="shared" si="9"/>
        <v>85176277</v>
      </c>
      <c r="C570" s="21" t="str">
        <f>Tabela5[[#This Row],[Cod. Ncm]]&amp;"-"&amp;Tabela5[[#This Row],[Operações]]</f>
        <v>85176277-Internas</v>
      </c>
      <c r="D570" s="22" t="s">
        <v>579</v>
      </c>
      <c r="E570" s="22" t="s">
        <v>593</v>
      </c>
      <c r="F570" s="22">
        <v>7</v>
      </c>
      <c r="G570" s="22" t="s">
        <v>2252</v>
      </c>
      <c r="H570" s="22" t="s">
        <v>1083</v>
      </c>
      <c r="I570" s="23" t="s">
        <v>2253</v>
      </c>
      <c r="J570" s="23" t="s">
        <v>591</v>
      </c>
      <c r="K570" s="23" t="s">
        <v>592</v>
      </c>
      <c r="L570" s="23" t="s">
        <v>1086</v>
      </c>
      <c r="M570" s="23" t="s">
        <v>1087</v>
      </c>
      <c r="N570" s="23" t="s">
        <v>1154</v>
      </c>
      <c r="O570" s="23" t="s">
        <v>2231</v>
      </c>
      <c r="P570" s="23" t="s">
        <v>583</v>
      </c>
      <c r="Q570" s="23"/>
      <c r="R570" s="23"/>
      <c r="S570" s="23"/>
      <c r="T570" s="23"/>
      <c r="U570" s="23"/>
      <c r="V570" s="23"/>
      <c r="W570" s="23"/>
      <c r="X570" s="4"/>
    </row>
    <row r="571" spans="1:24" ht="39" x14ac:dyDescent="0.25">
      <c r="A571" s="21" t="s">
        <v>2254</v>
      </c>
      <c r="B571" s="21" t="str">
        <f t="shared" si="9"/>
        <v>85176278</v>
      </c>
      <c r="C571" s="21" t="str">
        <f>Tabela5[[#This Row],[Cod. Ncm]]&amp;"-"&amp;Tabela5[[#This Row],[Operações]]</f>
        <v>85176278-Internas</v>
      </c>
      <c r="D571" s="22" t="s">
        <v>579</v>
      </c>
      <c r="E571" s="22" t="s">
        <v>593</v>
      </c>
      <c r="F571" s="22">
        <v>7</v>
      </c>
      <c r="G571" s="22" t="s">
        <v>2252</v>
      </c>
      <c r="H571" s="22" t="s">
        <v>1083</v>
      </c>
      <c r="I571" s="23" t="s">
        <v>2253</v>
      </c>
      <c r="J571" s="23" t="s">
        <v>591</v>
      </c>
      <c r="K571" s="23" t="s">
        <v>592</v>
      </c>
      <c r="L571" s="23" t="s">
        <v>1086</v>
      </c>
      <c r="M571" s="23" t="s">
        <v>1087</v>
      </c>
      <c r="N571" s="23" t="s">
        <v>2231</v>
      </c>
      <c r="O571" s="23" t="s">
        <v>583</v>
      </c>
      <c r="P571" s="23"/>
      <c r="Q571" s="23"/>
      <c r="R571" s="23"/>
      <c r="S571" s="23"/>
      <c r="T571" s="23"/>
      <c r="U571" s="23"/>
      <c r="V571" s="23"/>
      <c r="W571" s="23"/>
      <c r="X571" s="4"/>
    </row>
    <row r="572" spans="1:24" ht="39" x14ac:dyDescent="0.25">
      <c r="A572" s="21" t="s">
        <v>2255</v>
      </c>
      <c r="B572" s="21" t="str">
        <f t="shared" si="9"/>
        <v>85176294</v>
      </c>
      <c r="C572" s="21" t="str">
        <f>Tabela5[[#This Row],[Cod. Ncm]]&amp;"-"&amp;Tabela5[[#This Row],[Operações]]</f>
        <v>85176294-Internas</v>
      </c>
      <c r="D572" s="22" t="s">
        <v>579</v>
      </c>
      <c r="E572" s="22" t="s">
        <v>593</v>
      </c>
      <c r="F572" s="22">
        <v>7</v>
      </c>
      <c r="G572" s="22" t="s">
        <v>2256</v>
      </c>
      <c r="H572" s="22" t="s">
        <v>1083</v>
      </c>
      <c r="I572" s="23" t="s">
        <v>2257</v>
      </c>
      <c r="J572" s="23" t="s">
        <v>591</v>
      </c>
      <c r="K572" s="23" t="s">
        <v>592</v>
      </c>
      <c r="L572" s="23" t="s">
        <v>1086</v>
      </c>
      <c r="M572" s="23" t="s">
        <v>1087</v>
      </c>
      <c r="N572" s="23" t="s">
        <v>2231</v>
      </c>
      <c r="O572" s="23" t="s">
        <v>583</v>
      </c>
      <c r="P572" s="23"/>
      <c r="Q572" s="23"/>
      <c r="R572" s="23"/>
      <c r="S572" s="23"/>
      <c r="T572" s="23"/>
      <c r="U572" s="23"/>
      <c r="V572" s="23"/>
      <c r="W572" s="23"/>
      <c r="X572" s="4"/>
    </row>
    <row r="573" spans="1:24" ht="39" x14ac:dyDescent="0.25">
      <c r="A573" s="21" t="s">
        <v>2258</v>
      </c>
      <c r="B573" s="21" t="str">
        <f t="shared" si="9"/>
        <v>85177010</v>
      </c>
      <c r="C573" s="21" t="str">
        <f>Tabela5[[#This Row],[Cod. Ncm]]&amp;"-"&amp;Tabela5[[#This Row],[Operações]]</f>
        <v>85177010-Internas</v>
      </c>
      <c r="D573" s="22" t="s">
        <v>579</v>
      </c>
      <c r="E573" s="22" t="s">
        <v>593</v>
      </c>
      <c r="F573" s="22">
        <v>7</v>
      </c>
      <c r="G573" s="22" t="s">
        <v>1152</v>
      </c>
      <c r="H573" s="22" t="s">
        <v>1083</v>
      </c>
      <c r="I573" s="23" t="s">
        <v>1153</v>
      </c>
      <c r="J573" s="23" t="s">
        <v>591</v>
      </c>
      <c r="K573" s="23" t="s">
        <v>592</v>
      </c>
      <c r="L573" s="23" t="s">
        <v>1086</v>
      </c>
      <c r="M573" s="23" t="s">
        <v>1087</v>
      </c>
      <c r="N573" s="23" t="s">
        <v>2231</v>
      </c>
      <c r="O573" s="23" t="s">
        <v>583</v>
      </c>
      <c r="P573" s="23"/>
      <c r="Q573" s="23"/>
      <c r="R573" s="23"/>
      <c r="S573" s="23"/>
      <c r="T573" s="23"/>
      <c r="U573" s="23"/>
      <c r="V573" s="23"/>
      <c r="W573" s="23"/>
      <c r="X573" s="4"/>
    </row>
    <row r="574" spans="1:24" ht="39" x14ac:dyDescent="0.25">
      <c r="A574" s="21" t="s">
        <v>2259</v>
      </c>
      <c r="B574" s="21" t="str">
        <f t="shared" si="9"/>
        <v>85269200</v>
      </c>
      <c r="C574" s="21" t="str">
        <f>Tabela5[[#This Row],[Cod. Ncm]]&amp;"-"&amp;Tabela5[[#This Row],[Operações]]</f>
        <v>85269200-Internas</v>
      </c>
      <c r="D574" s="22" t="s">
        <v>579</v>
      </c>
      <c r="E574" s="22" t="s">
        <v>593</v>
      </c>
      <c r="F574" s="22">
        <v>7</v>
      </c>
      <c r="G574" s="22" t="s">
        <v>2260</v>
      </c>
      <c r="H574" s="22" t="s">
        <v>1083</v>
      </c>
      <c r="I574" s="23" t="s">
        <v>2261</v>
      </c>
      <c r="J574" s="23" t="s">
        <v>591</v>
      </c>
      <c r="K574" s="23" t="s">
        <v>592</v>
      </c>
      <c r="L574" s="23" t="s">
        <v>1086</v>
      </c>
      <c r="M574" s="23" t="s">
        <v>1087</v>
      </c>
      <c r="N574" s="23" t="s">
        <v>583</v>
      </c>
      <c r="O574" s="23"/>
      <c r="P574" s="23"/>
      <c r="Q574" s="23"/>
      <c r="R574" s="23"/>
      <c r="S574" s="23"/>
      <c r="T574" s="23"/>
      <c r="U574" s="23"/>
      <c r="V574" s="23"/>
      <c r="W574" s="23"/>
      <c r="X574" s="4"/>
    </row>
    <row r="575" spans="1:24" ht="39" x14ac:dyDescent="0.25">
      <c r="A575" s="21" t="s">
        <v>2262</v>
      </c>
      <c r="B575" s="21" t="str">
        <f t="shared" si="9"/>
        <v>85284210</v>
      </c>
      <c r="C575" s="21" t="str">
        <f>Tabela5[[#This Row],[Cod. Ncm]]&amp;"-"&amp;Tabela5[[#This Row],[Operações]]</f>
        <v>85284210-Internas</v>
      </c>
      <c r="D575" s="22" t="s">
        <v>579</v>
      </c>
      <c r="E575" s="22" t="s">
        <v>593</v>
      </c>
      <c r="F575" s="22">
        <v>7</v>
      </c>
      <c r="G575" s="22" t="s">
        <v>2263</v>
      </c>
      <c r="H575" s="22" t="s">
        <v>1083</v>
      </c>
      <c r="I575" s="23" t="s">
        <v>2264</v>
      </c>
      <c r="J575" s="23" t="s">
        <v>2265</v>
      </c>
      <c r="K575" s="23" t="s">
        <v>591</v>
      </c>
      <c r="L575" s="23" t="s">
        <v>592</v>
      </c>
      <c r="M575" s="23" t="s">
        <v>1086</v>
      </c>
      <c r="N575" s="23" t="s">
        <v>1087</v>
      </c>
      <c r="O575" s="23" t="s">
        <v>583</v>
      </c>
      <c r="P575" s="23"/>
      <c r="Q575" s="23"/>
      <c r="R575" s="23"/>
      <c r="S575" s="23"/>
      <c r="T575" s="23"/>
      <c r="U575" s="23"/>
      <c r="V575" s="23"/>
      <c r="W575" s="23"/>
      <c r="X575" s="4"/>
    </row>
    <row r="576" spans="1:24" ht="39" x14ac:dyDescent="0.25">
      <c r="A576" s="21" t="s">
        <v>2266</v>
      </c>
      <c r="B576" s="21" t="str">
        <f t="shared" si="9"/>
        <v>85284220</v>
      </c>
      <c r="C576" s="21" t="str">
        <f>Tabela5[[#This Row],[Cod. Ncm]]&amp;"-"&amp;Tabela5[[#This Row],[Operações]]</f>
        <v>85284220-Internas</v>
      </c>
      <c r="D576" s="22" t="s">
        <v>579</v>
      </c>
      <c r="E576" s="22" t="s">
        <v>593</v>
      </c>
      <c r="F576" s="22">
        <v>7</v>
      </c>
      <c r="G576" s="22" t="s">
        <v>2267</v>
      </c>
      <c r="H576" s="22" t="s">
        <v>1083</v>
      </c>
      <c r="I576" s="23" t="s">
        <v>2268</v>
      </c>
      <c r="J576" s="23" t="s">
        <v>2269</v>
      </c>
      <c r="K576" s="23" t="s">
        <v>591</v>
      </c>
      <c r="L576" s="23" t="s">
        <v>592</v>
      </c>
      <c r="M576" s="23" t="s">
        <v>1086</v>
      </c>
      <c r="N576" s="23" t="s">
        <v>1087</v>
      </c>
      <c r="O576" s="23" t="s">
        <v>583</v>
      </c>
      <c r="P576" s="23"/>
      <c r="Q576" s="23"/>
      <c r="R576" s="23"/>
      <c r="S576" s="23"/>
      <c r="T576" s="23"/>
      <c r="U576" s="23"/>
      <c r="V576" s="23"/>
      <c r="W576" s="23"/>
      <c r="X576" s="4"/>
    </row>
    <row r="577" spans="1:24" ht="39" x14ac:dyDescent="0.25">
      <c r="A577" s="21" t="s">
        <v>2270</v>
      </c>
      <c r="B577" s="21" t="str">
        <f t="shared" si="9"/>
        <v>85285210</v>
      </c>
      <c r="C577" s="21" t="str">
        <f>Tabela5[[#This Row],[Cod. Ncm]]&amp;"-"&amp;Tabela5[[#This Row],[Operações]]</f>
        <v>85285210-Internas</v>
      </c>
      <c r="D577" s="22" t="s">
        <v>579</v>
      </c>
      <c r="E577" s="22" t="s">
        <v>593</v>
      </c>
      <c r="F577" s="22">
        <v>7</v>
      </c>
      <c r="G577" s="22" t="s">
        <v>2271</v>
      </c>
      <c r="H577" s="22" t="s">
        <v>1083</v>
      </c>
      <c r="I577" s="23" t="s">
        <v>2272</v>
      </c>
      <c r="J577" s="23" t="s">
        <v>2273</v>
      </c>
      <c r="K577" s="23" t="s">
        <v>591</v>
      </c>
      <c r="L577" s="23" t="s">
        <v>592</v>
      </c>
      <c r="M577" s="23" t="s">
        <v>1086</v>
      </c>
      <c r="N577" s="23" t="s">
        <v>1087</v>
      </c>
      <c r="O577" s="23" t="s">
        <v>583</v>
      </c>
      <c r="P577" s="23"/>
      <c r="Q577" s="23"/>
      <c r="R577" s="23"/>
      <c r="S577" s="23"/>
      <c r="T577" s="23"/>
      <c r="U577" s="23"/>
      <c r="V577" s="23"/>
      <c r="W577" s="23"/>
      <c r="X577" s="4"/>
    </row>
    <row r="578" spans="1:24" ht="39" x14ac:dyDescent="0.25">
      <c r="A578" s="21" t="s">
        <v>2274</v>
      </c>
      <c r="B578" s="21" t="str">
        <f t="shared" si="9"/>
        <v>85285220</v>
      </c>
      <c r="C578" s="21" t="str">
        <f>Tabela5[[#This Row],[Cod. Ncm]]&amp;"-"&amp;Tabela5[[#This Row],[Operações]]</f>
        <v>85285220-Internas</v>
      </c>
      <c r="D578" s="22" t="s">
        <v>579</v>
      </c>
      <c r="E578" s="22" t="s">
        <v>593</v>
      </c>
      <c r="F578" s="22">
        <v>7</v>
      </c>
      <c r="G578" s="22" t="s">
        <v>2275</v>
      </c>
      <c r="H578" s="22" t="s">
        <v>1083</v>
      </c>
      <c r="I578" s="23" t="s">
        <v>867</v>
      </c>
      <c r="J578" s="23" t="s">
        <v>2276</v>
      </c>
      <c r="K578" s="23" t="s">
        <v>591</v>
      </c>
      <c r="L578" s="23" t="s">
        <v>592</v>
      </c>
      <c r="M578" s="23" t="s">
        <v>1086</v>
      </c>
      <c r="N578" s="23" t="s">
        <v>1087</v>
      </c>
      <c r="O578" s="23" t="s">
        <v>583</v>
      </c>
      <c r="P578" s="23"/>
      <c r="Q578" s="23"/>
      <c r="R578" s="23"/>
      <c r="S578" s="23"/>
      <c r="T578" s="23"/>
      <c r="U578" s="23"/>
      <c r="V578" s="23"/>
      <c r="W578" s="23"/>
      <c r="X578" s="4"/>
    </row>
    <row r="579" spans="1:24" ht="39" x14ac:dyDescent="0.25">
      <c r="A579" s="21" t="s">
        <v>2277</v>
      </c>
      <c r="B579" s="21" t="str">
        <f t="shared" si="9"/>
        <v>85322111</v>
      </c>
      <c r="C579" s="21" t="str">
        <f>Tabela5[[#This Row],[Cod. Ncm]]&amp;"-"&amp;Tabela5[[#This Row],[Operações]]</f>
        <v>85322111-Internas</v>
      </c>
      <c r="D579" s="22" t="s">
        <v>579</v>
      </c>
      <c r="E579" s="22" t="s">
        <v>593</v>
      </c>
      <c r="F579" s="22">
        <v>7</v>
      </c>
      <c r="G579" s="22" t="s">
        <v>2278</v>
      </c>
      <c r="H579" s="22" t="s">
        <v>1083</v>
      </c>
      <c r="I579" s="23" t="s">
        <v>2279</v>
      </c>
      <c r="J579" s="23" t="s">
        <v>591</v>
      </c>
      <c r="K579" s="23" t="s">
        <v>592</v>
      </c>
      <c r="L579" s="23" t="s">
        <v>1086</v>
      </c>
      <c r="M579" s="23" t="s">
        <v>1087</v>
      </c>
      <c r="N579" s="23" t="s">
        <v>583</v>
      </c>
      <c r="O579" s="23"/>
      <c r="P579" s="23"/>
      <c r="Q579" s="23"/>
      <c r="R579" s="23"/>
      <c r="S579" s="23"/>
      <c r="T579" s="23"/>
      <c r="U579" s="23"/>
      <c r="V579" s="23"/>
      <c r="W579" s="23"/>
      <c r="X579" s="4"/>
    </row>
    <row r="580" spans="1:24" ht="39" x14ac:dyDescent="0.25">
      <c r="A580" s="21" t="s">
        <v>2280</v>
      </c>
      <c r="B580" s="21" t="str">
        <f t="shared" si="9"/>
        <v>85322310</v>
      </c>
      <c r="C580" s="21" t="str">
        <f>Tabela5[[#This Row],[Cod. Ncm]]&amp;"-"&amp;Tabela5[[#This Row],[Operações]]</f>
        <v>85322310-Internas</v>
      </c>
      <c r="D580" s="22" t="s">
        <v>579</v>
      </c>
      <c r="E580" s="22" t="s">
        <v>593</v>
      </c>
      <c r="F580" s="22">
        <v>7</v>
      </c>
      <c r="G580" s="22" t="s">
        <v>2281</v>
      </c>
      <c r="H580" s="22" t="s">
        <v>1083</v>
      </c>
      <c r="I580" s="23" t="s">
        <v>2282</v>
      </c>
      <c r="J580" s="23" t="s">
        <v>591</v>
      </c>
      <c r="K580" s="23" t="s">
        <v>592</v>
      </c>
      <c r="L580" s="23" t="s">
        <v>1086</v>
      </c>
      <c r="M580" s="23" t="s">
        <v>1087</v>
      </c>
      <c r="N580" s="23" t="s">
        <v>583</v>
      </c>
      <c r="O580" s="23"/>
      <c r="P580" s="23"/>
      <c r="Q580" s="23"/>
      <c r="R580" s="23"/>
      <c r="S580" s="23"/>
      <c r="T580" s="23"/>
      <c r="U580" s="23"/>
      <c r="V580" s="23"/>
      <c r="W580" s="23"/>
      <c r="X580" s="4"/>
    </row>
    <row r="581" spans="1:24" ht="39" x14ac:dyDescent="0.25">
      <c r="A581" s="21" t="s">
        <v>2283</v>
      </c>
      <c r="B581" s="21" t="str">
        <f t="shared" ref="B581:B644" si="10">RIGHT(A581,8)</f>
        <v>85322410</v>
      </c>
      <c r="C581" s="21" t="str">
        <f>Tabela5[[#This Row],[Cod. Ncm]]&amp;"-"&amp;Tabela5[[#This Row],[Operações]]</f>
        <v>85322410-Internas</v>
      </c>
      <c r="D581" s="22" t="s">
        <v>579</v>
      </c>
      <c r="E581" s="22" t="s">
        <v>593</v>
      </c>
      <c r="F581" s="22">
        <v>7</v>
      </c>
      <c r="G581" s="22" t="s">
        <v>2284</v>
      </c>
      <c r="H581" s="22" t="s">
        <v>1083</v>
      </c>
      <c r="I581" s="23" t="s">
        <v>2285</v>
      </c>
      <c r="J581" s="23" t="s">
        <v>591</v>
      </c>
      <c r="K581" s="23" t="s">
        <v>592</v>
      </c>
      <c r="L581" s="23" t="s">
        <v>1086</v>
      </c>
      <c r="M581" s="23" t="s">
        <v>1087</v>
      </c>
      <c r="N581" s="23" t="s">
        <v>583</v>
      </c>
      <c r="O581" s="23"/>
      <c r="P581" s="23"/>
      <c r="Q581" s="23"/>
      <c r="R581" s="23"/>
      <c r="S581" s="23"/>
      <c r="T581" s="23"/>
      <c r="U581" s="23"/>
      <c r="V581" s="23"/>
      <c r="W581" s="23"/>
      <c r="X581" s="4"/>
    </row>
    <row r="582" spans="1:24" ht="39" x14ac:dyDescent="0.25">
      <c r="A582" s="21" t="s">
        <v>2286</v>
      </c>
      <c r="B582" s="21" t="str">
        <f t="shared" si="10"/>
        <v>85322510</v>
      </c>
      <c r="C582" s="21" t="str">
        <f>Tabela5[[#This Row],[Cod. Ncm]]&amp;"-"&amp;Tabela5[[#This Row],[Operações]]</f>
        <v>85322510-Internas</v>
      </c>
      <c r="D582" s="22" t="s">
        <v>579</v>
      </c>
      <c r="E582" s="22" t="s">
        <v>593</v>
      </c>
      <c r="F582" s="22">
        <v>7</v>
      </c>
      <c r="G582" s="22" t="s">
        <v>2287</v>
      </c>
      <c r="H582" s="22" t="s">
        <v>1083</v>
      </c>
      <c r="I582" s="23" t="s">
        <v>2288</v>
      </c>
      <c r="J582" s="23" t="s">
        <v>591</v>
      </c>
      <c r="K582" s="23" t="s">
        <v>592</v>
      </c>
      <c r="L582" s="23" t="s">
        <v>1086</v>
      </c>
      <c r="M582" s="23" t="s">
        <v>1087</v>
      </c>
      <c r="N582" s="23" t="s">
        <v>583</v>
      </c>
      <c r="O582" s="23"/>
      <c r="P582" s="23"/>
      <c r="Q582" s="23"/>
      <c r="R582" s="23"/>
      <c r="S582" s="23"/>
      <c r="T582" s="23"/>
      <c r="U582" s="23"/>
      <c r="V582" s="23"/>
      <c r="W582" s="23"/>
      <c r="X582" s="4"/>
    </row>
    <row r="583" spans="1:24" ht="39" x14ac:dyDescent="0.25">
      <c r="A583" s="21" t="s">
        <v>2289</v>
      </c>
      <c r="B583" s="21" t="str">
        <f t="shared" si="10"/>
        <v>85323010</v>
      </c>
      <c r="C583" s="21" t="str">
        <f>Tabela5[[#This Row],[Cod. Ncm]]&amp;"-"&amp;Tabela5[[#This Row],[Operações]]</f>
        <v>85323010-Internas</v>
      </c>
      <c r="D583" s="22" t="s">
        <v>579</v>
      </c>
      <c r="E583" s="22" t="s">
        <v>593</v>
      </c>
      <c r="F583" s="22">
        <v>7</v>
      </c>
      <c r="G583" s="22" t="s">
        <v>2290</v>
      </c>
      <c r="H583" s="22" t="s">
        <v>1083</v>
      </c>
      <c r="I583" s="23" t="s">
        <v>2291</v>
      </c>
      <c r="J583" s="23" t="s">
        <v>591</v>
      </c>
      <c r="K583" s="23" t="s">
        <v>592</v>
      </c>
      <c r="L583" s="23" t="s">
        <v>1086</v>
      </c>
      <c r="M583" s="23" t="s">
        <v>1087</v>
      </c>
      <c r="N583" s="23" t="s">
        <v>583</v>
      </c>
      <c r="O583" s="23"/>
      <c r="P583" s="23"/>
      <c r="Q583" s="23"/>
      <c r="R583" s="23"/>
      <c r="S583" s="23"/>
      <c r="T583" s="23"/>
      <c r="U583" s="23"/>
      <c r="V583" s="23"/>
      <c r="W583" s="23"/>
      <c r="X583" s="4"/>
    </row>
    <row r="584" spans="1:24" ht="39" x14ac:dyDescent="0.25">
      <c r="A584" s="21" t="s">
        <v>2292</v>
      </c>
      <c r="B584" s="21" t="str">
        <f t="shared" si="10"/>
        <v>85340011</v>
      </c>
      <c r="C584" s="21" t="str">
        <f>Tabela5[[#This Row],[Cod. Ncm]]&amp;"-"&amp;Tabela5[[#This Row],[Operações]]</f>
        <v>85340011-Internas</v>
      </c>
      <c r="D584" s="22" t="s">
        <v>579</v>
      </c>
      <c r="E584" s="22" t="s">
        <v>593</v>
      </c>
      <c r="F584" s="22">
        <v>7</v>
      </c>
      <c r="G584" s="22" t="s">
        <v>1152</v>
      </c>
      <c r="H584" s="22" t="s">
        <v>1083</v>
      </c>
      <c r="I584" s="23" t="s">
        <v>2293</v>
      </c>
      <c r="J584" s="23" t="s">
        <v>2294</v>
      </c>
      <c r="K584" s="23" t="s">
        <v>591</v>
      </c>
      <c r="L584" s="23" t="s">
        <v>592</v>
      </c>
      <c r="M584" s="23" t="s">
        <v>1086</v>
      </c>
      <c r="N584" s="23" t="s">
        <v>1087</v>
      </c>
      <c r="O584" s="23" t="s">
        <v>583</v>
      </c>
      <c r="P584" s="23"/>
      <c r="Q584" s="23"/>
      <c r="R584" s="23"/>
      <c r="S584" s="23"/>
      <c r="T584" s="23"/>
      <c r="U584" s="23"/>
      <c r="V584" s="23"/>
      <c r="W584" s="23"/>
      <c r="X584" s="4"/>
    </row>
    <row r="585" spans="1:24" ht="39" x14ac:dyDescent="0.25">
      <c r="A585" s="21" t="s">
        <v>2295</v>
      </c>
      <c r="B585" s="21" t="str">
        <f t="shared" si="10"/>
        <v>85340012</v>
      </c>
      <c r="C585" s="21" t="str">
        <f>Tabela5[[#This Row],[Cod. Ncm]]&amp;"-"&amp;Tabela5[[#This Row],[Operações]]</f>
        <v>85340012-Internas</v>
      </c>
      <c r="D585" s="22" t="s">
        <v>579</v>
      </c>
      <c r="E585" s="22" t="s">
        <v>593</v>
      </c>
      <c r="F585" s="22">
        <v>7</v>
      </c>
      <c r="G585" s="22" t="s">
        <v>1152</v>
      </c>
      <c r="H585" s="22" t="s">
        <v>1083</v>
      </c>
      <c r="I585" s="23" t="s">
        <v>2293</v>
      </c>
      <c r="J585" s="23" t="s">
        <v>2294</v>
      </c>
      <c r="K585" s="23" t="s">
        <v>591</v>
      </c>
      <c r="L585" s="23" t="s">
        <v>592</v>
      </c>
      <c r="M585" s="23" t="s">
        <v>1086</v>
      </c>
      <c r="N585" s="23" t="s">
        <v>1087</v>
      </c>
      <c r="O585" s="23" t="s">
        <v>583</v>
      </c>
      <c r="P585" s="23"/>
      <c r="Q585" s="23"/>
      <c r="R585" s="23"/>
      <c r="S585" s="23"/>
      <c r="T585" s="23"/>
      <c r="U585" s="23"/>
      <c r="V585" s="23"/>
      <c r="W585" s="23"/>
      <c r="X585" s="4"/>
    </row>
    <row r="586" spans="1:24" ht="39" x14ac:dyDescent="0.25">
      <c r="A586" s="21" t="s">
        <v>2296</v>
      </c>
      <c r="B586" s="21" t="str">
        <f t="shared" si="10"/>
        <v>85340013</v>
      </c>
      <c r="C586" s="21" t="str">
        <f>Tabela5[[#This Row],[Cod. Ncm]]&amp;"-"&amp;Tabela5[[#This Row],[Operações]]</f>
        <v>85340013-Internas</v>
      </c>
      <c r="D586" s="22" t="s">
        <v>579</v>
      </c>
      <c r="E586" s="22" t="s">
        <v>593</v>
      </c>
      <c r="F586" s="22">
        <v>7</v>
      </c>
      <c r="G586" s="22" t="s">
        <v>1152</v>
      </c>
      <c r="H586" s="22" t="s">
        <v>1083</v>
      </c>
      <c r="I586" s="23" t="s">
        <v>2293</v>
      </c>
      <c r="J586" s="23" t="s">
        <v>2294</v>
      </c>
      <c r="K586" s="23" t="s">
        <v>591</v>
      </c>
      <c r="L586" s="23" t="s">
        <v>592</v>
      </c>
      <c r="M586" s="23" t="s">
        <v>1086</v>
      </c>
      <c r="N586" s="23" t="s">
        <v>1087</v>
      </c>
      <c r="O586" s="23" t="s">
        <v>583</v>
      </c>
      <c r="P586" s="23"/>
      <c r="Q586" s="23"/>
      <c r="R586" s="23"/>
      <c r="S586" s="23"/>
      <c r="T586" s="23"/>
      <c r="U586" s="23"/>
      <c r="V586" s="23"/>
      <c r="W586" s="23"/>
      <c r="X586" s="4"/>
    </row>
    <row r="587" spans="1:24" ht="39" x14ac:dyDescent="0.25">
      <c r="A587" s="21" t="s">
        <v>2297</v>
      </c>
      <c r="B587" s="21" t="str">
        <f t="shared" si="10"/>
        <v>85340019</v>
      </c>
      <c r="C587" s="21" t="str">
        <f>Tabela5[[#This Row],[Cod. Ncm]]&amp;"-"&amp;Tabela5[[#This Row],[Operações]]</f>
        <v>85340019-Internas</v>
      </c>
      <c r="D587" s="22" t="s">
        <v>579</v>
      </c>
      <c r="E587" s="22" t="s">
        <v>593</v>
      </c>
      <c r="F587" s="22">
        <v>7</v>
      </c>
      <c r="G587" s="22" t="s">
        <v>1152</v>
      </c>
      <c r="H587" s="22" t="s">
        <v>1083</v>
      </c>
      <c r="I587" s="23" t="s">
        <v>2293</v>
      </c>
      <c r="J587" s="23" t="s">
        <v>2294</v>
      </c>
      <c r="K587" s="23" t="s">
        <v>591</v>
      </c>
      <c r="L587" s="23" t="s">
        <v>592</v>
      </c>
      <c r="M587" s="23" t="s">
        <v>1086</v>
      </c>
      <c r="N587" s="23" t="s">
        <v>1087</v>
      </c>
      <c r="O587" s="23" t="s">
        <v>583</v>
      </c>
      <c r="P587" s="23"/>
      <c r="Q587" s="23"/>
      <c r="R587" s="23"/>
      <c r="S587" s="23"/>
      <c r="T587" s="23"/>
      <c r="U587" s="23"/>
      <c r="V587" s="23"/>
      <c r="W587" s="23"/>
      <c r="X587" s="4"/>
    </row>
    <row r="588" spans="1:24" ht="39" x14ac:dyDescent="0.25">
      <c r="A588" s="21" t="s">
        <v>2298</v>
      </c>
      <c r="B588" s="21" t="str">
        <f t="shared" si="10"/>
        <v>85340020</v>
      </c>
      <c r="C588" s="21" t="str">
        <f>Tabela5[[#This Row],[Cod. Ncm]]&amp;"-"&amp;Tabela5[[#This Row],[Operações]]</f>
        <v>85340020-Internas</v>
      </c>
      <c r="D588" s="22" t="s">
        <v>579</v>
      </c>
      <c r="E588" s="22" t="s">
        <v>593</v>
      </c>
      <c r="F588" s="22">
        <v>7</v>
      </c>
      <c r="G588" s="22" t="s">
        <v>1152</v>
      </c>
      <c r="H588" s="22" t="s">
        <v>1083</v>
      </c>
      <c r="I588" s="23" t="s">
        <v>2293</v>
      </c>
      <c r="J588" s="23" t="s">
        <v>2294</v>
      </c>
      <c r="K588" s="23" t="s">
        <v>591</v>
      </c>
      <c r="L588" s="23" t="s">
        <v>592</v>
      </c>
      <c r="M588" s="23" t="s">
        <v>1086</v>
      </c>
      <c r="N588" s="23" t="s">
        <v>1087</v>
      </c>
      <c r="O588" s="23" t="s">
        <v>583</v>
      </c>
      <c r="P588" s="23"/>
      <c r="Q588" s="23"/>
      <c r="R588" s="23"/>
      <c r="S588" s="23"/>
      <c r="T588" s="23"/>
      <c r="U588" s="23"/>
      <c r="V588" s="23"/>
      <c r="W588" s="23"/>
      <c r="X588" s="4"/>
    </row>
    <row r="589" spans="1:24" ht="39" x14ac:dyDescent="0.25">
      <c r="A589" s="21" t="s">
        <v>2299</v>
      </c>
      <c r="B589" s="21" t="str">
        <f t="shared" si="10"/>
        <v>85340031</v>
      </c>
      <c r="C589" s="21" t="str">
        <f>Tabela5[[#This Row],[Cod. Ncm]]&amp;"-"&amp;Tabela5[[#This Row],[Operações]]</f>
        <v>85340031-Internas</v>
      </c>
      <c r="D589" s="22" t="s">
        <v>579</v>
      </c>
      <c r="E589" s="22" t="s">
        <v>593</v>
      </c>
      <c r="F589" s="22">
        <v>7</v>
      </c>
      <c r="G589" s="22" t="s">
        <v>1152</v>
      </c>
      <c r="H589" s="22" t="s">
        <v>1083</v>
      </c>
      <c r="I589" s="23" t="s">
        <v>2293</v>
      </c>
      <c r="J589" s="23" t="s">
        <v>2294</v>
      </c>
      <c r="K589" s="23" t="s">
        <v>591</v>
      </c>
      <c r="L589" s="23" t="s">
        <v>592</v>
      </c>
      <c r="M589" s="23" t="s">
        <v>1086</v>
      </c>
      <c r="N589" s="23" t="s">
        <v>1087</v>
      </c>
      <c r="O589" s="23" t="s">
        <v>583</v>
      </c>
      <c r="P589" s="23"/>
      <c r="Q589" s="23"/>
      <c r="R589" s="23"/>
      <c r="S589" s="23"/>
      <c r="T589" s="23"/>
      <c r="U589" s="23"/>
      <c r="V589" s="23"/>
      <c r="W589" s="23"/>
      <c r="X589" s="4"/>
    </row>
    <row r="590" spans="1:24" ht="39" x14ac:dyDescent="0.25">
      <c r="A590" s="21" t="s">
        <v>2300</v>
      </c>
      <c r="B590" s="21" t="str">
        <f t="shared" si="10"/>
        <v>85340032</v>
      </c>
      <c r="C590" s="21" t="str">
        <f>Tabela5[[#This Row],[Cod. Ncm]]&amp;"-"&amp;Tabela5[[#This Row],[Operações]]</f>
        <v>85340032-Internas</v>
      </c>
      <c r="D590" s="22" t="s">
        <v>579</v>
      </c>
      <c r="E590" s="22" t="s">
        <v>593</v>
      </c>
      <c r="F590" s="22">
        <v>7</v>
      </c>
      <c r="G590" s="22" t="s">
        <v>1152</v>
      </c>
      <c r="H590" s="22" t="s">
        <v>1083</v>
      </c>
      <c r="I590" s="23" t="s">
        <v>2293</v>
      </c>
      <c r="J590" s="23" t="s">
        <v>2294</v>
      </c>
      <c r="K590" s="23" t="s">
        <v>591</v>
      </c>
      <c r="L590" s="23" t="s">
        <v>592</v>
      </c>
      <c r="M590" s="23" t="s">
        <v>1086</v>
      </c>
      <c r="N590" s="23" t="s">
        <v>1087</v>
      </c>
      <c r="O590" s="23" t="s">
        <v>583</v>
      </c>
      <c r="P590" s="23"/>
      <c r="Q590" s="23"/>
      <c r="R590" s="23"/>
      <c r="S590" s="23"/>
      <c r="T590" s="23"/>
      <c r="U590" s="23"/>
      <c r="V590" s="23"/>
      <c r="W590" s="23"/>
      <c r="X590" s="4"/>
    </row>
    <row r="591" spans="1:24" ht="39" x14ac:dyDescent="0.25">
      <c r="A591" s="21" t="s">
        <v>2301</v>
      </c>
      <c r="B591" s="21" t="str">
        <f t="shared" si="10"/>
        <v>85340033</v>
      </c>
      <c r="C591" s="21" t="str">
        <f>Tabela5[[#This Row],[Cod. Ncm]]&amp;"-"&amp;Tabela5[[#This Row],[Operações]]</f>
        <v>85340033-Internas</v>
      </c>
      <c r="D591" s="22" t="s">
        <v>579</v>
      </c>
      <c r="E591" s="22" t="s">
        <v>593</v>
      </c>
      <c r="F591" s="22">
        <v>7</v>
      </c>
      <c r="G591" s="22" t="s">
        <v>1152</v>
      </c>
      <c r="H591" s="22" t="s">
        <v>1083</v>
      </c>
      <c r="I591" s="23" t="s">
        <v>2293</v>
      </c>
      <c r="J591" s="23" t="s">
        <v>2294</v>
      </c>
      <c r="K591" s="23" t="s">
        <v>591</v>
      </c>
      <c r="L591" s="23" t="s">
        <v>592</v>
      </c>
      <c r="M591" s="23" t="s">
        <v>1086</v>
      </c>
      <c r="N591" s="23" t="s">
        <v>1087</v>
      </c>
      <c r="O591" s="23" t="s">
        <v>583</v>
      </c>
      <c r="P591" s="23"/>
      <c r="Q591" s="23"/>
      <c r="R591" s="23"/>
      <c r="S591" s="23"/>
      <c r="T591" s="23"/>
      <c r="U591" s="23"/>
      <c r="V591" s="23"/>
      <c r="W591" s="23"/>
      <c r="X591" s="4"/>
    </row>
    <row r="592" spans="1:24" ht="39" x14ac:dyDescent="0.25">
      <c r="A592" s="21" t="s">
        <v>2302</v>
      </c>
      <c r="B592" s="21" t="str">
        <f t="shared" si="10"/>
        <v>85340039</v>
      </c>
      <c r="C592" s="21" t="str">
        <f>Tabela5[[#This Row],[Cod. Ncm]]&amp;"-"&amp;Tabela5[[#This Row],[Operações]]</f>
        <v>85340039-Internas</v>
      </c>
      <c r="D592" s="22" t="s">
        <v>579</v>
      </c>
      <c r="E592" s="22" t="s">
        <v>593</v>
      </c>
      <c r="F592" s="22">
        <v>7</v>
      </c>
      <c r="G592" s="22" t="s">
        <v>1152</v>
      </c>
      <c r="H592" s="22" t="s">
        <v>1083</v>
      </c>
      <c r="I592" s="23" t="s">
        <v>2293</v>
      </c>
      <c r="J592" s="23" t="s">
        <v>2294</v>
      </c>
      <c r="K592" s="23" t="s">
        <v>591</v>
      </c>
      <c r="L592" s="23" t="s">
        <v>592</v>
      </c>
      <c r="M592" s="23" t="s">
        <v>1086</v>
      </c>
      <c r="N592" s="23" t="s">
        <v>1087</v>
      </c>
      <c r="O592" s="23" t="s">
        <v>583</v>
      </c>
      <c r="P592" s="23"/>
      <c r="Q592" s="23"/>
      <c r="R592" s="23"/>
      <c r="S592" s="23"/>
      <c r="T592" s="23"/>
      <c r="U592" s="23"/>
      <c r="V592" s="23"/>
      <c r="W592" s="23"/>
      <c r="X592" s="4"/>
    </row>
    <row r="593" spans="1:24" ht="39" x14ac:dyDescent="0.25">
      <c r="A593" s="21" t="s">
        <v>2303</v>
      </c>
      <c r="B593" s="21" t="str">
        <f t="shared" si="10"/>
        <v>85340040</v>
      </c>
      <c r="C593" s="21" t="str">
        <f>Tabela5[[#This Row],[Cod. Ncm]]&amp;"-"&amp;Tabela5[[#This Row],[Operações]]</f>
        <v>85340040-Internas</v>
      </c>
      <c r="D593" s="22" t="s">
        <v>579</v>
      </c>
      <c r="E593" s="22" t="s">
        <v>593</v>
      </c>
      <c r="F593" s="22">
        <v>7</v>
      </c>
      <c r="G593" s="22" t="s">
        <v>1152</v>
      </c>
      <c r="H593" s="22" t="s">
        <v>1083</v>
      </c>
      <c r="I593" s="23" t="s">
        <v>2293</v>
      </c>
      <c r="J593" s="23" t="s">
        <v>2294</v>
      </c>
      <c r="K593" s="23" t="s">
        <v>591</v>
      </c>
      <c r="L593" s="23" t="s">
        <v>592</v>
      </c>
      <c r="M593" s="23" t="s">
        <v>1086</v>
      </c>
      <c r="N593" s="23" t="s">
        <v>1087</v>
      </c>
      <c r="O593" s="23" t="s">
        <v>583</v>
      </c>
      <c r="P593" s="23"/>
      <c r="Q593" s="23"/>
      <c r="R593" s="23"/>
      <c r="S593" s="23"/>
      <c r="T593" s="23"/>
      <c r="U593" s="23"/>
      <c r="V593" s="23"/>
      <c r="W593" s="23"/>
      <c r="X593" s="4"/>
    </row>
    <row r="594" spans="1:24" ht="39" x14ac:dyDescent="0.25">
      <c r="A594" s="21" t="s">
        <v>2304</v>
      </c>
      <c r="B594" s="21" t="str">
        <f t="shared" si="10"/>
        <v>85340051</v>
      </c>
      <c r="C594" s="21" t="str">
        <f>Tabela5[[#This Row],[Cod. Ncm]]&amp;"-"&amp;Tabela5[[#This Row],[Operações]]</f>
        <v>85340051-Internas</v>
      </c>
      <c r="D594" s="22" t="s">
        <v>579</v>
      </c>
      <c r="E594" s="22" t="s">
        <v>593</v>
      </c>
      <c r="F594" s="22">
        <v>7</v>
      </c>
      <c r="G594" s="22" t="s">
        <v>1152</v>
      </c>
      <c r="H594" s="22" t="s">
        <v>1083</v>
      </c>
      <c r="I594" s="23" t="s">
        <v>2293</v>
      </c>
      <c r="J594" s="23" t="s">
        <v>2294</v>
      </c>
      <c r="K594" s="23" t="s">
        <v>591</v>
      </c>
      <c r="L594" s="23" t="s">
        <v>592</v>
      </c>
      <c r="M594" s="23" t="s">
        <v>1086</v>
      </c>
      <c r="N594" s="23" t="s">
        <v>1087</v>
      </c>
      <c r="O594" s="23" t="s">
        <v>583</v>
      </c>
      <c r="P594" s="23"/>
      <c r="Q594" s="23"/>
      <c r="R594" s="23"/>
      <c r="S594" s="23"/>
      <c r="T594" s="23"/>
      <c r="U594" s="23"/>
      <c r="V594" s="23"/>
      <c r="W594" s="23"/>
      <c r="X594" s="4"/>
    </row>
    <row r="595" spans="1:24" ht="39" x14ac:dyDescent="0.25">
      <c r="A595" s="21" t="s">
        <v>2305</v>
      </c>
      <c r="B595" s="21" t="str">
        <f t="shared" si="10"/>
        <v>85340059</v>
      </c>
      <c r="C595" s="21" t="str">
        <f>Tabela5[[#This Row],[Cod. Ncm]]&amp;"-"&amp;Tabela5[[#This Row],[Operações]]</f>
        <v>85340059-Internas</v>
      </c>
      <c r="D595" s="22" t="s">
        <v>579</v>
      </c>
      <c r="E595" s="22" t="s">
        <v>593</v>
      </c>
      <c r="F595" s="22">
        <v>7</v>
      </c>
      <c r="G595" s="22" t="s">
        <v>1152</v>
      </c>
      <c r="H595" s="22" t="s">
        <v>1083</v>
      </c>
      <c r="I595" s="23" t="s">
        <v>2293</v>
      </c>
      <c r="J595" s="23" t="s">
        <v>2294</v>
      </c>
      <c r="K595" s="23" t="s">
        <v>591</v>
      </c>
      <c r="L595" s="23" t="s">
        <v>592</v>
      </c>
      <c r="M595" s="23" t="s">
        <v>1086</v>
      </c>
      <c r="N595" s="23" t="s">
        <v>1087</v>
      </c>
      <c r="O595" s="23" t="s">
        <v>583</v>
      </c>
      <c r="P595" s="23"/>
      <c r="Q595" s="23"/>
      <c r="R595" s="23"/>
      <c r="S595" s="23"/>
      <c r="T595" s="23"/>
      <c r="U595" s="23"/>
      <c r="V595" s="23"/>
      <c r="W595" s="23"/>
      <c r="X595" s="4"/>
    </row>
    <row r="596" spans="1:24" ht="39" x14ac:dyDescent="0.25">
      <c r="A596" s="21" t="s">
        <v>2306</v>
      </c>
      <c r="B596" s="21" t="str">
        <f t="shared" si="10"/>
        <v>85363000</v>
      </c>
      <c r="C596" s="21" t="str">
        <f>Tabela5[[#This Row],[Cod. Ncm]]&amp;"-"&amp;Tabela5[[#This Row],[Operações]]</f>
        <v>85363000-Internas</v>
      </c>
      <c r="D596" s="22" t="s">
        <v>579</v>
      </c>
      <c r="E596" s="22" t="s">
        <v>593</v>
      </c>
      <c r="F596" s="22">
        <v>7</v>
      </c>
      <c r="G596" s="22" t="s">
        <v>2307</v>
      </c>
      <c r="H596" s="22" t="s">
        <v>1083</v>
      </c>
      <c r="I596" s="23" t="s">
        <v>2308</v>
      </c>
      <c r="J596" s="23" t="s">
        <v>2309</v>
      </c>
      <c r="K596" s="23" t="s">
        <v>591</v>
      </c>
      <c r="L596" s="23" t="s">
        <v>592</v>
      </c>
      <c r="M596" s="23" t="s">
        <v>1086</v>
      </c>
      <c r="N596" s="23" t="s">
        <v>1087</v>
      </c>
      <c r="O596" s="23" t="s">
        <v>583</v>
      </c>
      <c r="P596" s="23"/>
      <c r="Q596" s="23"/>
      <c r="R596" s="23"/>
      <c r="S596" s="23"/>
      <c r="T596" s="23"/>
      <c r="U596" s="23"/>
      <c r="V596" s="23"/>
      <c r="W596" s="23"/>
      <c r="X596" s="4"/>
    </row>
    <row r="597" spans="1:24" ht="39" x14ac:dyDescent="0.25">
      <c r="A597" s="21" t="s">
        <v>2310</v>
      </c>
      <c r="B597" s="21" t="str">
        <f t="shared" si="10"/>
        <v>85363010</v>
      </c>
      <c r="C597" s="21" t="str">
        <f>Tabela5[[#This Row],[Cod. Ncm]]&amp;"-"&amp;Tabela5[[#This Row],[Operações]]</f>
        <v>85363010-Internas</v>
      </c>
      <c r="D597" s="22" t="s">
        <v>579</v>
      </c>
      <c r="E597" s="22" t="s">
        <v>593</v>
      </c>
      <c r="F597" s="22">
        <v>7</v>
      </c>
      <c r="G597" s="22" t="s">
        <v>2307</v>
      </c>
      <c r="H597" s="22" t="s">
        <v>1083</v>
      </c>
      <c r="I597" s="23" t="s">
        <v>2308</v>
      </c>
      <c r="J597" s="23" t="s">
        <v>2309</v>
      </c>
      <c r="K597" s="23" t="s">
        <v>591</v>
      </c>
      <c r="L597" s="23" t="s">
        <v>592</v>
      </c>
      <c r="M597" s="23" t="s">
        <v>1086</v>
      </c>
      <c r="N597" s="23" t="s">
        <v>1087</v>
      </c>
      <c r="O597" s="23" t="s">
        <v>583</v>
      </c>
      <c r="P597" s="23"/>
      <c r="Q597" s="23"/>
      <c r="R597" s="23"/>
      <c r="S597" s="23"/>
      <c r="T597" s="23"/>
      <c r="U597" s="23"/>
      <c r="V597" s="23"/>
      <c r="W597" s="23"/>
      <c r="X597" s="4"/>
    </row>
    <row r="598" spans="1:24" ht="39" x14ac:dyDescent="0.25">
      <c r="A598" s="21" t="s">
        <v>2311</v>
      </c>
      <c r="B598" s="21" t="str">
        <f t="shared" si="10"/>
        <v>85363090</v>
      </c>
      <c r="C598" s="21" t="str">
        <f>Tabela5[[#This Row],[Cod. Ncm]]&amp;"-"&amp;Tabela5[[#This Row],[Operações]]</f>
        <v>85363090-Internas</v>
      </c>
      <c r="D598" s="22" t="s">
        <v>579</v>
      </c>
      <c r="E598" s="22" t="s">
        <v>593</v>
      </c>
      <c r="F598" s="22">
        <v>7</v>
      </c>
      <c r="G598" s="22" t="s">
        <v>2307</v>
      </c>
      <c r="H598" s="22" t="s">
        <v>1083</v>
      </c>
      <c r="I598" s="23" t="s">
        <v>2308</v>
      </c>
      <c r="J598" s="23" t="s">
        <v>2309</v>
      </c>
      <c r="K598" s="23" t="s">
        <v>591</v>
      </c>
      <c r="L598" s="23" t="s">
        <v>592</v>
      </c>
      <c r="M598" s="23" t="s">
        <v>1086</v>
      </c>
      <c r="N598" s="23" t="s">
        <v>1087</v>
      </c>
      <c r="O598" s="23" t="s">
        <v>583</v>
      </c>
      <c r="P598" s="23"/>
      <c r="Q598" s="23"/>
      <c r="R598" s="23"/>
      <c r="S598" s="23"/>
      <c r="T598" s="23"/>
      <c r="U598" s="23"/>
      <c r="V598" s="23"/>
      <c r="W598" s="23"/>
      <c r="X598" s="4"/>
    </row>
    <row r="599" spans="1:24" ht="39" x14ac:dyDescent="0.25">
      <c r="A599" s="21" t="s">
        <v>2312</v>
      </c>
      <c r="B599" s="21" t="str">
        <f t="shared" si="10"/>
        <v>85364100</v>
      </c>
      <c r="C599" s="21" t="str">
        <f>Tabela5[[#This Row],[Cod. Ncm]]&amp;"-"&amp;Tabela5[[#This Row],[Operações]]</f>
        <v>85364100-Internas</v>
      </c>
      <c r="D599" s="22" t="s">
        <v>579</v>
      </c>
      <c r="E599" s="22" t="s">
        <v>593</v>
      </c>
      <c r="F599" s="22">
        <v>7</v>
      </c>
      <c r="G599" s="22" t="s">
        <v>2313</v>
      </c>
      <c r="H599" s="22" t="s">
        <v>1083</v>
      </c>
      <c r="I599" s="23" t="s">
        <v>2314</v>
      </c>
      <c r="J599" s="23" t="s">
        <v>591</v>
      </c>
      <c r="K599" s="23" t="s">
        <v>592</v>
      </c>
      <c r="L599" s="23" t="s">
        <v>1086</v>
      </c>
      <c r="M599" s="23" t="s">
        <v>1087</v>
      </c>
      <c r="N599" s="23" t="s">
        <v>583</v>
      </c>
      <c r="O599" s="23"/>
      <c r="P599" s="23"/>
      <c r="Q599" s="23"/>
      <c r="R599" s="23"/>
      <c r="S599" s="23"/>
      <c r="T599" s="23"/>
      <c r="U599" s="23"/>
      <c r="V599" s="23"/>
      <c r="W599" s="23"/>
      <c r="X599" s="4"/>
    </row>
    <row r="600" spans="1:24" ht="39" x14ac:dyDescent="0.25">
      <c r="A600" s="21" t="s">
        <v>2315</v>
      </c>
      <c r="B600" s="21" t="str">
        <f t="shared" si="10"/>
        <v>85364900</v>
      </c>
      <c r="C600" s="21" t="str">
        <f>Tabela5[[#This Row],[Cod. Ncm]]&amp;"-"&amp;Tabela5[[#This Row],[Operações]]</f>
        <v>85364900-Internas</v>
      </c>
      <c r="D600" s="22" t="s">
        <v>579</v>
      </c>
      <c r="E600" s="22" t="s">
        <v>593</v>
      </c>
      <c r="F600" s="22">
        <v>7</v>
      </c>
      <c r="G600" s="22" t="s">
        <v>2316</v>
      </c>
      <c r="H600" s="22" t="s">
        <v>1083</v>
      </c>
      <c r="I600" s="23" t="s">
        <v>2317</v>
      </c>
      <c r="J600" s="23" t="s">
        <v>591</v>
      </c>
      <c r="K600" s="23" t="s">
        <v>592</v>
      </c>
      <c r="L600" s="23" t="s">
        <v>1086</v>
      </c>
      <c r="M600" s="23" t="s">
        <v>1087</v>
      </c>
      <c r="N600" s="23" t="s">
        <v>583</v>
      </c>
      <c r="O600" s="23"/>
      <c r="P600" s="23"/>
      <c r="Q600" s="23"/>
      <c r="R600" s="23"/>
      <c r="S600" s="23"/>
      <c r="T600" s="23"/>
      <c r="U600" s="23"/>
      <c r="V600" s="23"/>
      <c r="W600" s="23"/>
      <c r="X600" s="4"/>
    </row>
    <row r="601" spans="1:24" ht="76.5" x14ac:dyDescent="0.25">
      <c r="A601" s="21" t="s">
        <v>2318</v>
      </c>
      <c r="B601" s="21" t="str">
        <f t="shared" si="10"/>
        <v>85371011</v>
      </c>
      <c r="C601" s="21" t="str">
        <f>Tabela5[[#This Row],[Cod. Ncm]]&amp;"-"&amp;Tabela5[[#This Row],[Operações]]</f>
        <v>85371011-Internas</v>
      </c>
      <c r="D601" s="22" t="s">
        <v>579</v>
      </c>
      <c r="E601" s="22" t="s">
        <v>593</v>
      </c>
      <c r="F601" s="22">
        <v>7</v>
      </c>
      <c r="G601" s="22" t="s">
        <v>2319</v>
      </c>
      <c r="H601" s="22" t="s">
        <v>1083</v>
      </c>
      <c r="I601" s="23" t="s">
        <v>2320</v>
      </c>
      <c r="J601" s="23" t="s">
        <v>591</v>
      </c>
      <c r="K601" s="23" t="s">
        <v>592</v>
      </c>
      <c r="L601" s="23" t="s">
        <v>1086</v>
      </c>
      <c r="M601" s="23" t="s">
        <v>1087</v>
      </c>
      <c r="N601" s="23" t="s">
        <v>583</v>
      </c>
      <c r="O601" s="23"/>
      <c r="P601" s="23"/>
      <c r="Q601" s="23"/>
      <c r="R601" s="23"/>
      <c r="S601" s="23"/>
      <c r="T601" s="23"/>
      <c r="U601" s="23"/>
      <c r="V601" s="23"/>
      <c r="W601" s="23"/>
      <c r="X601" s="4"/>
    </row>
    <row r="602" spans="1:24" ht="39" x14ac:dyDescent="0.25">
      <c r="A602" s="21" t="s">
        <v>2321</v>
      </c>
      <c r="B602" s="21" t="str">
        <f t="shared" si="10"/>
        <v>85411011</v>
      </c>
      <c r="C602" s="21" t="str">
        <f>Tabela5[[#This Row],[Cod. Ncm]]&amp;"-"&amp;Tabela5[[#This Row],[Operações]]</f>
        <v>85411011-Internas</v>
      </c>
      <c r="D602" s="22" t="s">
        <v>579</v>
      </c>
      <c r="E602" s="22" t="s">
        <v>593</v>
      </c>
      <c r="F602" s="22">
        <v>7</v>
      </c>
      <c r="G602" s="22" t="s">
        <v>2322</v>
      </c>
      <c r="H602" s="22" t="s">
        <v>1083</v>
      </c>
      <c r="I602" s="23" t="s">
        <v>2323</v>
      </c>
      <c r="J602" s="23" t="s">
        <v>591</v>
      </c>
      <c r="K602" s="23" t="s">
        <v>592</v>
      </c>
      <c r="L602" s="23" t="s">
        <v>1086</v>
      </c>
      <c r="M602" s="23" t="s">
        <v>1087</v>
      </c>
      <c r="N602" s="23" t="s">
        <v>583</v>
      </c>
      <c r="O602" s="23"/>
      <c r="P602" s="23"/>
      <c r="Q602" s="23"/>
      <c r="R602" s="23"/>
      <c r="S602" s="23"/>
      <c r="T602" s="23"/>
      <c r="U602" s="23"/>
      <c r="V602" s="23"/>
      <c r="W602" s="23"/>
      <c r="X602" s="4"/>
    </row>
    <row r="603" spans="1:24" ht="39" x14ac:dyDescent="0.25">
      <c r="A603" s="21" t="s">
        <v>2324</v>
      </c>
      <c r="B603" s="21" t="str">
        <f t="shared" si="10"/>
        <v>85411012</v>
      </c>
      <c r="C603" s="21" t="str">
        <f>Tabela5[[#This Row],[Cod. Ncm]]&amp;"-"&amp;Tabela5[[#This Row],[Operações]]</f>
        <v>85411012-Internas</v>
      </c>
      <c r="D603" s="22" t="s">
        <v>579</v>
      </c>
      <c r="E603" s="22" t="s">
        <v>593</v>
      </c>
      <c r="F603" s="22">
        <v>7</v>
      </c>
      <c r="G603" s="22" t="s">
        <v>2325</v>
      </c>
      <c r="H603" s="22" t="s">
        <v>1083</v>
      </c>
      <c r="I603" s="23" t="s">
        <v>2326</v>
      </c>
      <c r="J603" s="23" t="s">
        <v>591</v>
      </c>
      <c r="K603" s="23" t="s">
        <v>592</v>
      </c>
      <c r="L603" s="23" t="s">
        <v>1086</v>
      </c>
      <c r="M603" s="23" t="s">
        <v>1087</v>
      </c>
      <c r="N603" s="23" t="s">
        <v>583</v>
      </c>
      <c r="O603" s="23"/>
      <c r="P603" s="23"/>
      <c r="Q603" s="23"/>
      <c r="R603" s="23"/>
      <c r="S603" s="23"/>
      <c r="T603" s="23"/>
      <c r="U603" s="23"/>
      <c r="V603" s="23"/>
      <c r="W603" s="23"/>
      <c r="X603" s="4"/>
    </row>
    <row r="604" spans="1:24" ht="39" x14ac:dyDescent="0.25">
      <c r="A604" s="21" t="s">
        <v>2327</v>
      </c>
      <c r="B604" s="21" t="str">
        <f t="shared" si="10"/>
        <v>85412110</v>
      </c>
      <c r="C604" s="21" t="str">
        <f>Tabela5[[#This Row],[Cod. Ncm]]&amp;"-"&amp;Tabela5[[#This Row],[Operações]]</f>
        <v>85412110-Internas</v>
      </c>
      <c r="D604" s="22" t="s">
        <v>579</v>
      </c>
      <c r="E604" s="22" t="s">
        <v>593</v>
      </c>
      <c r="F604" s="22">
        <v>7</v>
      </c>
      <c r="G604" s="22" t="s">
        <v>2328</v>
      </c>
      <c r="H604" s="22" t="s">
        <v>1083</v>
      </c>
      <c r="I604" s="23" t="s">
        <v>2329</v>
      </c>
      <c r="J604" s="23" t="s">
        <v>591</v>
      </c>
      <c r="K604" s="23" t="s">
        <v>592</v>
      </c>
      <c r="L604" s="23" t="s">
        <v>1086</v>
      </c>
      <c r="M604" s="23" t="s">
        <v>1087</v>
      </c>
      <c r="N604" s="23" t="s">
        <v>583</v>
      </c>
      <c r="O604" s="23"/>
      <c r="P604" s="23"/>
      <c r="Q604" s="23"/>
      <c r="R604" s="23"/>
      <c r="S604" s="23"/>
      <c r="T604" s="23"/>
      <c r="U604" s="23"/>
      <c r="V604" s="23"/>
      <c r="W604" s="23"/>
      <c r="X604" s="4"/>
    </row>
    <row r="605" spans="1:24" ht="39" x14ac:dyDescent="0.25">
      <c r="A605" s="21" t="s">
        <v>2330</v>
      </c>
      <c r="B605" s="21" t="str">
        <f t="shared" si="10"/>
        <v>85412910</v>
      </c>
      <c r="C605" s="21" t="str">
        <f>Tabela5[[#This Row],[Cod. Ncm]]&amp;"-"&amp;Tabela5[[#This Row],[Operações]]</f>
        <v>85412910-Internas</v>
      </c>
      <c r="D605" s="22" t="s">
        <v>579</v>
      </c>
      <c r="E605" s="22" t="s">
        <v>593</v>
      </c>
      <c r="F605" s="22">
        <v>7</v>
      </c>
      <c r="G605" s="22" t="s">
        <v>2331</v>
      </c>
      <c r="H605" s="22" t="s">
        <v>1083</v>
      </c>
      <c r="I605" s="23" t="s">
        <v>2332</v>
      </c>
      <c r="J605" s="23" t="s">
        <v>591</v>
      </c>
      <c r="K605" s="23" t="s">
        <v>592</v>
      </c>
      <c r="L605" s="23" t="s">
        <v>1086</v>
      </c>
      <c r="M605" s="23" t="s">
        <v>1087</v>
      </c>
      <c r="N605" s="23" t="s">
        <v>583</v>
      </c>
      <c r="O605" s="23"/>
      <c r="P605" s="23"/>
      <c r="Q605" s="23"/>
      <c r="R605" s="23"/>
      <c r="S605" s="23"/>
      <c r="T605" s="23"/>
      <c r="U605" s="23"/>
      <c r="V605" s="23"/>
      <c r="W605" s="23"/>
      <c r="X605" s="4"/>
    </row>
    <row r="606" spans="1:24" ht="39" x14ac:dyDescent="0.25">
      <c r="A606" s="21" t="s">
        <v>2333</v>
      </c>
      <c r="B606" s="21" t="str">
        <f t="shared" si="10"/>
        <v>85413011</v>
      </c>
      <c r="C606" s="21" t="str">
        <f>Tabela5[[#This Row],[Cod. Ncm]]&amp;"-"&amp;Tabela5[[#This Row],[Operações]]</f>
        <v>85413011-Internas</v>
      </c>
      <c r="D606" s="22" t="s">
        <v>579</v>
      </c>
      <c r="E606" s="22" t="s">
        <v>593</v>
      </c>
      <c r="F606" s="22">
        <v>7</v>
      </c>
      <c r="G606" s="22" t="s">
        <v>2334</v>
      </c>
      <c r="H606" s="22" t="s">
        <v>1083</v>
      </c>
      <c r="I606" s="23" t="s">
        <v>2335</v>
      </c>
      <c r="J606" s="23" t="s">
        <v>591</v>
      </c>
      <c r="K606" s="23" t="s">
        <v>592</v>
      </c>
      <c r="L606" s="23" t="s">
        <v>1086</v>
      </c>
      <c r="M606" s="23" t="s">
        <v>1087</v>
      </c>
      <c r="N606" s="23" t="s">
        <v>583</v>
      </c>
      <c r="O606" s="23"/>
      <c r="P606" s="23"/>
      <c r="Q606" s="23"/>
      <c r="R606" s="23"/>
      <c r="S606" s="23"/>
      <c r="T606" s="23"/>
      <c r="U606" s="23"/>
      <c r="V606" s="23"/>
      <c r="W606" s="23"/>
      <c r="X606" s="4"/>
    </row>
    <row r="607" spans="1:24" ht="39" x14ac:dyDescent="0.25">
      <c r="A607" s="21" t="s">
        <v>2336</v>
      </c>
      <c r="B607" s="21" t="str">
        <f t="shared" si="10"/>
        <v>85423110</v>
      </c>
      <c r="C607" s="21" t="str">
        <f>Tabela5[[#This Row],[Cod. Ncm]]&amp;"-"&amp;Tabela5[[#This Row],[Operações]]</f>
        <v>85423110-Internas</v>
      </c>
      <c r="D607" s="22" t="s">
        <v>579</v>
      </c>
      <c r="E607" s="22" t="s">
        <v>593</v>
      </c>
      <c r="F607" s="22">
        <v>7</v>
      </c>
      <c r="G607" s="22" t="s">
        <v>2337</v>
      </c>
      <c r="H607" s="22" t="s">
        <v>1083</v>
      </c>
      <c r="I607" s="23" t="s">
        <v>2338</v>
      </c>
      <c r="J607" s="23" t="s">
        <v>591</v>
      </c>
      <c r="K607" s="23" t="s">
        <v>592</v>
      </c>
      <c r="L607" s="23" t="s">
        <v>1086</v>
      </c>
      <c r="M607" s="23" t="s">
        <v>1087</v>
      </c>
      <c r="N607" s="23" t="s">
        <v>583</v>
      </c>
      <c r="O607" s="23"/>
      <c r="P607" s="23"/>
      <c r="Q607" s="23"/>
      <c r="R607" s="23"/>
      <c r="S607" s="23"/>
      <c r="T607" s="23"/>
      <c r="U607" s="23"/>
      <c r="V607" s="23"/>
      <c r="W607" s="23"/>
      <c r="X607" s="4"/>
    </row>
    <row r="608" spans="1:24" ht="39" x14ac:dyDescent="0.25">
      <c r="A608" s="21" t="s">
        <v>2339</v>
      </c>
      <c r="B608" s="21" t="str">
        <f t="shared" si="10"/>
        <v>85423120</v>
      </c>
      <c r="C608" s="21" t="str">
        <f>Tabela5[[#This Row],[Cod. Ncm]]&amp;"-"&amp;Tabela5[[#This Row],[Operações]]</f>
        <v>85423120-Internas</v>
      </c>
      <c r="D608" s="22" t="s">
        <v>579</v>
      </c>
      <c r="E608" s="22" t="s">
        <v>593</v>
      </c>
      <c r="F608" s="22">
        <v>7</v>
      </c>
      <c r="G608" s="22" t="s">
        <v>2340</v>
      </c>
      <c r="H608" s="22" t="s">
        <v>1083</v>
      </c>
      <c r="I608" s="23" t="s">
        <v>2341</v>
      </c>
      <c r="J608" s="23" t="s">
        <v>591</v>
      </c>
      <c r="K608" s="23" t="s">
        <v>592</v>
      </c>
      <c r="L608" s="23" t="s">
        <v>1086</v>
      </c>
      <c r="M608" s="23" t="s">
        <v>1087</v>
      </c>
      <c r="N608" s="23" t="s">
        <v>583</v>
      </c>
      <c r="O608" s="23"/>
      <c r="P608" s="23"/>
      <c r="Q608" s="23"/>
      <c r="R608" s="23"/>
      <c r="S608" s="23"/>
      <c r="T608" s="23"/>
      <c r="U608" s="23"/>
      <c r="V608" s="23"/>
      <c r="W608" s="23"/>
      <c r="X608" s="4"/>
    </row>
    <row r="609" spans="1:24" ht="39" x14ac:dyDescent="0.25">
      <c r="A609" s="21" t="s">
        <v>2342</v>
      </c>
      <c r="B609" s="21" t="str">
        <f t="shared" si="10"/>
        <v>85423190</v>
      </c>
      <c r="C609" s="21" t="str">
        <f>Tabela5[[#This Row],[Cod. Ncm]]&amp;"-"&amp;Tabela5[[#This Row],[Operações]]</f>
        <v>85423190-Internas</v>
      </c>
      <c r="D609" s="22" t="s">
        <v>579</v>
      </c>
      <c r="E609" s="22" t="s">
        <v>593</v>
      </c>
      <c r="F609" s="22">
        <v>7</v>
      </c>
      <c r="G609" s="22" t="s">
        <v>2343</v>
      </c>
      <c r="H609" s="22" t="s">
        <v>1083</v>
      </c>
      <c r="I609" s="23" t="s">
        <v>2344</v>
      </c>
      <c r="J609" s="23" t="s">
        <v>591</v>
      </c>
      <c r="K609" s="23" t="s">
        <v>592</v>
      </c>
      <c r="L609" s="23" t="s">
        <v>1086</v>
      </c>
      <c r="M609" s="23" t="s">
        <v>1087</v>
      </c>
      <c r="N609" s="23" t="s">
        <v>583</v>
      </c>
      <c r="O609" s="23"/>
      <c r="P609" s="23"/>
      <c r="Q609" s="23"/>
      <c r="R609" s="23"/>
      <c r="S609" s="23"/>
      <c r="T609" s="23"/>
      <c r="U609" s="23"/>
      <c r="V609" s="23"/>
      <c r="W609" s="23"/>
      <c r="X609" s="4"/>
    </row>
    <row r="610" spans="1:24" ht="39" x14ac:dyDescent="0.25">
      <c r="A610" s="21" t="s">
        <v>2345</v>
      </c>
      <c r="B610" s="21" t="str">
        <f t="shared" si="10"/>
        <v>85423199</v>
      </c>
      <c r="C610" s="21" t="str">
        <f>Tabela5[[#This Row],[Cod. Ncm]]&amp;"-"&amp;Tabela5[[#This Row],[Operações]]</f>
        <v>85423199-Internas</v>
      </c>
      <c r="D610" s="22" t="s">
        <v>579</v>
      </c>
      <c r="E610" s="22" t="s">
        <v>593</v>
      </c>
      <c r="F610" s="22">
        <v>7</v>
      </c>
      <c r="G610" s="22" t="s">
        <v>2346</v>
      </c>
      <c r="H610" s="22" t="s">
        <v>1083</v>
      </c>
      <c r="I610" s="23" t="s">
        <v>2347</v>
      </c>
      <c r="J610" s="23" t="s">
        <v>591</v>
      </c>
      <c r="K610" s="23" t="s">
        <v>592</v>
      </c>
      <c r="L610" s="23" t="s">
        <v>1086</v>
      </c>
      <c r="M610" s="23" t="s">
        <v>1087</v>
      </c>
      <c r="N610" s="23" t="s">
        <v>583</v>
      </c>
      <c r="O610" s="23"/>
      <c r="P610" s="23"/>
      <c r="Q610" s="23"/>
      <c r="R610" s="23"/>
      <c r="S610" s="23"/>
      <c r="T610" s="23"/>
      <c r="U610" s="23"/>
      <c r="V610" s="23"/>
      <c r="W610" s="23"/>
      <c r="X610" s="4"/>
    </row>
    <row r="611" spans="1:24" ht="39" x14ac:dyDescent="0.25">
      <c r="A611" s="21" t="s">
        <v>2348</v>
      </c>
      <c r="B611" s="21" t="str">
        <f t="shared" si="10"/>
        <v>85423229</v>
      </c>
      <c r="C611" s="21" t="str">
        <f>Tabela5[[#This Row],[Cod. Ncm]]&amp;"-"&amp;Tabela5[[#This Row],[Operações]]</f>
        <v>85423229-Internas</v>
      </c>
      <c r="D611" s="22" t="s">
        <v>579</v>
      </c>
      <c r="E611" s="22" t="s">
        <v>593</v>
      </c>
      <c r="F611" s="22">
        <v>7</v>
      </c>
      <c r="G611" s="22" t="s">
        <v>2349</v>
      </c>
      <c r="H611" s="22" t="s">
        <v>1083</v>
      </c>
      <c r="I611" s="23" t="s">
        <v>2350</v>
      </c>
      <c r="J611" s="23" t="s">
        <v>591</v>
      </c>
      <c r="K611" s="23" t="s">
        <v>592</v>
      </c>
      <c r="L611" s="23" t="s">
        <v>1086</v>
      </c>
      <c r="M611" s="23" t="s">
        <v>1087</v>
      </c>
      <c r="N611" s="23" t="s">
        <v>583</v>
      </c>
      <c r="O611" s="23"/>
      <c r="P611" s="23"/>
      <c r="Q611" s="23"/>
      <c r="R611" s="23"/>
      <c r="S611" s="23"/>
      <c r="T611" s="23"/>
      <c r="U611" s="23"/>
      <c r="V611" s="23"/>
      <c r="W611" s="23"/>
      <c r="X611" s="4"/>
    </row>
    <row r="612" spans="1:24" ht="39" x14ac:dyDescent="0.25">
      <c r="A612" s="21" t="s">
        <v>2351</v>
      </c>
      <c r="B612" s="21" t="str">
        <f t="shared" si="10"/>
        <v>85423291</v>
      </c>
      <c r="C612" s="21" t="str">
        <f>Tabela5[[#This Row],[Cod. Ncm]]&amp;"-"&amp;Tabela5[[#This Row],[Operações]]</f>
        <v>85423291-Internas</v>
      </c>
      <c r="D612" s="22" t="s">
        <v>579</v>
      </c>
      <c r="E612" s="22" t="s">
        <v>593</v>
      </c>
      <c r="F612" s="22">
        <v>7</v>
      </c>
      <c r="G612" s="22" t="s">
        <v>2352</v>
      </c>
      <c r="H612" s="22" t="s">
        <v>1083</v>
      </c>
      <c r="I612" s="23" t="s">
        <v>2353</v>
      </c>
      <c r="J612" s="23" t="s">
        <v>591</v>
      </c>
      <c r="K612" s="23" t="s">
        <v>592</v>
      </c>
      <c r="L612" s="23" t="s">
        <v>1086</v>
      </c>
      <c r="M612" s="23" t="s">
        <v>1087</v>
      </c>
      <c r="N612" s="23" t="s">
        <v>583</v>
      </c>
      <c r="O612" s="23"/>
      <c r="P612" s="23"/>
      <c r="Q612" s="23"/>
      <c r="R612" s="23"/>
      <c r="S612" s="23"/>
      <c r="T612" s="23"/>
      <c r="U612" s="23"/>
      <c r="V612" s="23"/>
      <c r="W612" s="23"/>
      <c r="X612" s="4"/>
    </row>
    <row r="613" spans="1:24" ht="39" x14ac:dyDescent="0.25">
      <c r="A613" s="21" t="s">
        <v>2354</v>
      </c>
      <c r="B613" s="21" t="str">
        <f t="shared" si="10"/>
        <v>85423390</v>
      </c>
      <c r="C613" s="21" t="str">
        <f>Tabela5[[#This Row],[Cod. Ncm]]&amp;"-"&amp;Tabela5[[#This Row],[Operações]]</f>
        <v>85423390-Internas</v>
      </c>
      <c r="D613" s="22" t="s">
        <v>579</v>
      </c>
      <c r="E613" s="22" t="s">
        <v>593</v>
      </c>
      <c r="F613" s="22">
        <v>7</v>
      </c>
      <c r="G613" s="22" t="s">
        <v>2355</v>
      </c>
      <c r="H613" s="22" t="s">
        <v>1083</v>
      </c>
      <c r="I613" s="23" t="s">
        <v>2356</v>
      </c>
      <c r="J613" s="23" t="s">
        <v>591</v>
      </c>
      <c r="K613" s="23" t="s">
        <v>592</v>
      </c>
      <c r="L613" s="23" t="s">
        <v>1086</v>
      </c>
      <c r="M613" s="23" t="s">
        <v>1087</v>
      </c>
      <c r="N613" s="23" t="s">
        <v>583</v>
      </c>
      <c r="O613" s="23"/>
      <c r="P613" s="23"/>
      <c r="Q613" s="23"/>
      <c r="R613" s="23"/>
      <c r="S613" s="23"/>
      <c r="T613" s="23"/>
      <c r="U613" s="23"/>
      <c r="V613" s="23"/>
      <c r="W613" s="23"/>
      <c r="X613" s="4"/>
    </row>
    <row r="614" spans="1:24" ht="39" x14ac:dyDescent="0.25">
      <c r="A614" s="21" t="s">
        <v>2357</v>
      </c>
      <c r="B614" s="21" t="str">
        <f t="shared" si="10"/>
        <v>85423911</v>
      </c>
      <c r="C614" s="21" t="str">
        <f>Tabela5[[#This Row],[Cod. Ncm]]&amp;"-"&amp;Tabela5[[#This Row],[Operações]]</f>
        <v>85423911-Internas</v>
      </c>
      <c r="D614" s="22" t="s">
        <v>579</v>
      </c>
      <c r="E614" s="22" t="s">
        <v>593</v>
      </c>
      <c r="F614" s="22">
        <v>7</v>
      </c>
      <c r="G614" s="22" t="s">
        <v>2358</v>
      </c>
      <c r="H614" s="22" t="s">
        <v>1083</v>
      </c>
      <c r="I614" s="23" t="s">
        <v>2359</v>
      </c>
      <c r="J614" s="23" t="s">
        <v>591</v>
      </c>
      <c r="K614" s="23" t="s">
        <v>592</v>
      </c>
      <c r="L614" s="23" t="s">
        <v>1086</v>
      </c>
      <c r="M614" s="23" t="s">
        <v>1087</v>
      </c>
      <c r="N614" s="23" t="s">
        <v>583</v>
      </c>
      <c r="O614" s="23"/>
      <c r="P614" s="23"/>
      <c r="Q614" s="23"/>
      <c r="R614" s="23"/>
      <c r="S614" s="23"/>
      <c r="T614" s="23"/>
      <c r="U614" s="23"/>
      <c r="V614" s="23"/>
      <c r="W614" s="23"/>
      <c r="X614" s="4"/>
    </row>
    <row r="615" spans="1:24" ht="39" x14ac:dyDescent="0.25">
      <c r="A615" s="21" t="s">
        <v>2360</v>
      </c>
      <c r="B615" s="21" t="str">
        <f t="shared" si="10"/>
        <v>85423931</v>
      </c>
      <c r="C615" s="21" t="str">
        <f>Tabela5[[#This Row],[Cod. Ncm]]&amp;"-"&amp;Tabela5[[#This Row],[Operações]]</f>
        <v>85423931-Internas</v>
      </c>
      <c r="D615" s="22" t="s">
        <v>579</v>
      </c>
      <c r="E615" s="22" t="s">
        <v>593</v>
      </c>
      <c r="F615" s="22">
        <v>7</v>
      </c>
      <c r="G615" s="22" t="s">
        <v>2361</v>
      </c>
      <c r="H615" s="22" t="s">
        <v>1083</v>
      </c>
      <c r="I615" s="23" t="s">
        <v>2362</v>
      </c>
      <c r="J615" s="23" t="s">
        <v>591</v>
      </c>
      <c r="K615" s="23" t="s">
        <v>592</v>
      </c>
      <c r="L615" s="23" t="s">
        <v>1086</v>
      </c>
      <c r="M615" s="23" t="s">
        <v>1087</v>
      </c>
      <c r="N615" s="23" t="s">
        <v>583</v>
      </c>
      <c r="O615" s="23"/>
      <c r="P615" s="23"/>
      <c r="Q615" s="23"/>
      <c r="R615" s="23"/>
      <c r="S615" s="23"/>
      <c r="T615" s="23"/>
      <c r="U615" s="23"/>
      <c r="V615" s="23"/>
      <c r="W615" s="23"/>
      <c r="X615" s="4"/>
    </row>
    <row r="616" spans="1:24" ht="39" x14ac:dyDescent="0.25">
      <c r="A616" s="21" t="s">
        <v>2363</v>
      </c>
      <c r="B616" s="21" t="str">
        <f t="shared" si="10"/>
        <v>85423991</v>
      </c>
      <c r="C616" s="21" t="str">
        <f>Tabela5[[#This Row],[Cod. Ncm]]&amp;"-"&amp;Tabela5[[#This Row],[Operações]]</f>
        <v>85423991-Internas</v>
      </c>
      <c r="D616" s="22" t="s">
        <v>579</v>
      </c>
      <c r="E616" s="22" t="s">
        <v>593</v>
      </c>
      <c r="F616" s="22">
        <v>7</v>
      </c>
      <c r="G616" s="22" t="s">
        <v>2364</v>
      </c>
      <c r="H616" s="22" t="s">
        <v>1083</v>
      </c>
      <c r="I616" s="23" t="s">
        <v>2365</v>
      </c>
      <c r="J616" s="23" t="s">
        <v>591</v>
      </c>
      <c r="K616" s="23" t="s">
        <v>592</v>
      </c>
      <c r="L616" s="23" t="s">
        <v>1086</v>
      </c>
      <c r="M616" s="23" t="s">
        <v>1087</v>
      </c>
      <c r="N616" s="23" t="s">
        <v>583</v>
      </c>
      <c r="O616" s="23"/>
      <c r="P616" s="23"/>
      <c r="Q616" s="23"/>
      <c r="R616" s="23"/>
      <c r="S616" s="23"/>
      <c r="T616" s="23"/>
      <c r="U616" s="23"/>
      <c r="V616" s="23"/>
      <c r="W616" s="23"/>
      <c r="X616" s="4"/>
    </row>
    <row r="617" spans="1:24" ht="39" x14ac:dyDescent="0.25">
      <c r="A617" s="21" t="s">
        <v>2366</v>
      </c>
      <c r="B617" s="21" t="str">
        <f t="shared" si="10"/>
        <v>85429010</v>
      </c>
      <c r="C617" s="21" t="str">
        <f>Tabela5[[#This Row],[Cod. Ncm]]&amp;"-"&amp;Tabela5[[#This Row],[Operações]]</f>
        <v>85429010-Internas</v>
      </c>
      <c r="D617" s="22" t="s">
        <v>579</v>
      </c>
      <c r="E617" s="22" t="s">
        <v>593</v>
      </c>
      <c r="F617" s="22">
        <v>7</v>
      </c>
      <c r="G617" s="22" t="s">
        <v>2367</v>
      </c>
      <c r="H617" s="22" t="s">
        <v>1083</v>
      </c>
      <c r="I617" s="23" t="s">
        <v>2368</v>
      </c>
      <c r="J617" s="23" t="s">
        <v>591</v>
      </c>
      <c r="K617" s="23" t="s">
        <v>592</v>
      </c>
      <c r="L617" s="23" t="s">
        <v>1086</v>
      </c>
      <c r="M617" s="23" t="s">
        <v>1087</v>
      </c>
      <c r="N617" s="23" t="s">
        <v>583</v>
      </c>
      <c r="O617" s="23"/>
      <c r="P617" s="23"/>
      <c r="Q617" s="23"/>
      <c r="R617" s="23"/>
      <c r="S617" s="23"/>
      <c r="T617" s="23"/>
      <c r="U617" s="23"/>
      <c r="V617" s="23"/>
      <c r="W617" s="23"/>
      <c r="X617" s="4"/>
    </row>
    <row r="618" spans="1:24" ht="39" x14ac:dyDescent="0.25">
      <c r="A618" s="21" t="s">
        <v>2369</v>
      </c>
      <c r="B618" s="21" t="str">
        <f t="shared" si="10"/>
        <v>85429020</v>
      </c>
      <c r="C618" s="21" t="str">
        <f>Tabela5[[#This Row],[Cod. Ncm]]&amp;"-"&amp;Tabela5[[#This Row],[Operações]]</f>
        <v>85429020-Internas</v>
      </c>
      <c r="D618" s="22" t="s">
        <v>579</v>
      </c>
      <c r="E618" s="22" t="s">
        <v>593</v>
      </c>
      <c r="F618" s="22">
        <v>7</v>
      </c>
      <c r="G618" s="22" t="s">
        <v>2370</v>
      </c>
      <c r="H618" s="22" t="s">
        <v>1083</v>
      </c>
      <c r="I618" s="23" t="s">
        <v>2371</v>
      </c>
      <c r="J618" s="23" t="s">
        <v>591</v>
      </c>
      <c r="K618" s="23" t="s">
        <v>592</v>
      </c>
      <c r="L618" s="23" t="s">
        <v>1086</v>
      </c>
      <c r="M618" s="23" t="s">
        <v>1087</v>
      </c>
      <c r="N618" s="23" t="s">
        <v>583</v>
      </c>
      <c r="O618" s="23"/>
      <c r="P618" s="23"/>
      <c r="Q618" s="23"/>
      <c r="R618" s="23"/>
      <c r="S618" s="23"/>
      <c r="T618" s="23"/>
      <c r="U618" s="23"/>
      <c r="V618" s="23"/>
      <c r="W618" s="23"/>
      <c r="X618" s="4"/>
    </row>
    <row r="619" spans="1:24" ht="39" x14ac:dyDescent="0.25">
      <c r="A619" s="21" t="s">
        <v>2372</v>
      </c>
      <c r="B619" s="21" t="str">
        <f t="shared" si="10"/>
        <v>85429090</v>
      </c>
      <c r="C619" s="21" t="str">
        <f>Tabela5[[#This Row],[Cod. Ncm]]&amp;"-"&amp;Tabela5[[#This Row],[Operações]]</f>
        <v>85429090-Internas</v>
      </c>
      <c r="D619" s="22" t="s">
        <v>579</v>
      </c>
      <c r="E619" s="22" t="s">
        <v>593</v>
      </c>
      <c r="F619" s="22">
        <v>7</v>
      </c>
      <c r="G619" s="22" t="s">
        <v>2373</v>
      </c>
      <c r="H619" s="22" t="s">
        <v>1083</v>
      </c>
      <c r="I619" s="23" t="s">
        <v>2374</v>
      </c>
      <c r="J619" s="23" t="s">
        <v>591</v>
      </c>
      <c r="K619" s="23" t="s">
        <v>592</v>
      </c>
      <c r="L619" s="23" t="s">
        <v>1086</v>
      </c>
      <c r="M619" s="23" t="s">
        <v>1087</v>
      </c>
      <c r="N619" s="23" t="s">
        <v>583</v>
      </c>
      <c r="O619" s="23"/>
      <c r="P619" s="23"/>
      <c r="Q619" s="23"/>
      <c r="R619" s="23"/>
      <c r="S619" s="23"/>
      <c r="T619" s="23"/>
      <c r="U619" s="23"/>
      <c r="V619" s="23"/>
      <c r="W619" s="23"/>
      <c r="X619" s="4"/>
    </row>
    <row r="620" spans="1:24" ht="51" x14ac:dyDescent="0.25">
      <c r="A620" s="21" t="s">
        <v>2375</v>
      </c>
      <c r="B620" s="21" t="str">
        <f t="shared" si="10"/>
        <v>85433000</v>
      </c>
      <c r="C620" s="21" t="str">
        <f>Tabela5[[#This Row],[Cod. Ncm]]&amp;"-"&amp;Tabela5[[#This Row],[Operações]]</f>
        <v>85433000-Internas e interestaduais</v>
      </c>
      <c r="D620" s="22" t="s">
        <v>586</v>
      </c>
      <c r="E620" s="22" t="s">
        <v>587</v>
      </c>
      <c r="F620" s="22">
        <v>8.8000000000000007</v>
      </c>
      <c r="G620" s="22" t="s">
        <v>2376</v>
      </c>
      <c r="H620" s="22" t="s">
        <v>588</v>
      </c>
      <c r="I620" s="23" t="s">
        <v>577</v>
      </c>
      <c r="J620" s="23" t="s">
        <v>2377</v>
      </c>
      <c r="K620" s="23" t="s">
        <v>589</v>
      </c>
      <c r="L620" s="23" t="s">
        <v>590</v>
      </c>
      <c r="M620" s="23"/>
      <c r="N620" s="23"/>
      <c r="O620" s="23"/>
      <c r="P620" s="23"/>
      <c r="Q620" s="23"/>
      <c r="R620" s="23"/>
      <c r="S620" s="23"/>
      <c r="T620" s="23"/>
      <c r="U620" s="23"/>
      <c r="V620" s="23"/>
      <c r="W620" s="23"/>
      <c r="X620" s="4"/>
    </row>
    <row r="621" spans="1:24" ht="39" x14ac:dyDescent="0.25">
      <c r="A621" s="21" t="s">
        <v>2378</v>
      </c>
      <c r="B621" s="21" t="str">
        <f t="shared" si="10"/>
        <v>85437036</v>
      </c>
      <c r="C621" s="21" t="str">
        <f>Tabela5[[#This Row],[Cod. Ncm]]&amp;"-"&amp;Tabela5[[#This Row],[Operações]]</f>
        <v>85437036-Internas</v>
      </c>
      <c r="D621" s="22" t="s">
        <v>579</v>
      </c>
      <c r="E621" s="22" t="s">
        <v>593</v>
      </c>
      <c r="F621" s="22">
        <v>7</v>
      </c>
      <c r="G621" s="22" t="s">
        <v>2379</v>
      </c>
      <c r="H621" s="22" t="s">
        <v>1083</v>
      </c>
      <c r="I621" s="23" t="s">
        <v>2380</v>
      </c>
      <c r="J621" s="23" t="s">
        <v>591</v>
      </c>
      <c r="K621" s="23" t="s">
        <v>592</v>
      </c>
      <c r="L621" s="23" t="s">
        <v>1086</v>
      </c>
      <c r="M621" s="23" t="s">
        <v>1087</v>
      </c>
      <c r="N621" s="23" t="s">
        <v>583</v>
      </c>
      <c r="O621" s="23"/>
      <c r="P621" s="23"/>
      <c r="Q621" s="23"/>
      <c r="R621" s="23"/>
      <c r="S621" s="23"/>
      <c r="T621" s="23"/>
      <c r="U621" s="23"/>
      <c r="V621" s="23"/>
      <c r="W621" s="23"/>
      <c r="X621" s="4"/>
    </row>
    <row r="622" spans="1:24" ht="26.25" x14ac:dyDescent="0.25">
      <c r="A622" s="21" t="s">
        <v>2381</v>
      </c>
      <c r="B622" s="21" t="str">
        <f t="shared" si="10"/>
        <v>86071919</v>
      </c>
      <c r="C622" s="21" t="str">
        <f>Tabela5[[#This Row],[Cod. Ncm]]&amp;"-"&amp;Tabela5[[#This Row],[Operações]]</f>
        <v>86071919-Internas e interestaduais</v>
      </c>
      <c r="D622" s="22" t="s">
        <v>586</v>
      </c>
      <c r="E622" s="22" t="s">
        <v>587</v>
      </c>
      <c r="F622" s="22">
        <v>8.8000000000000007</v>
      </c>
      <c r="G622" s="22" t="s">
        <v>2382</v>
      </c>
      <c r="H622" s="22" t="s">
        <v>588</v>
      </c>
      <c r="I622" s="23" t="s">
        <v>577</v>
      </c>
      <c r="J622" s="23" t="s">
        <v>2383</v>
      </c>
      <c r="K622" s="23" t="s">
        <v>589</v>
      </c>
      <c r="L622" s="23" t="s">
        <v>590</v>
      </c>
      <c r="M622" s="23"/>
      <c r="N622" s="23"/>
      <c r="O622" s="23"/>
      <c r="P622" s="23"/>
      <c r="Q622" s="23"/>
      <c r="R622" s="23"/>
      <c r="S622" s="23"/>
      <c r="T622" s="23"/>
      <c r="U622" s="23"/>
      <c r="V622" s="23"/>
      <c r="W622" s="23"/>
      <c r="X622" s="4"/>
    </row>
    <row r="623" spans="1:24" ht="39" x14ac:dyDescent="0.25">
      <c r="A623" s="21" t="s">
        <v>2384</v>
      </c>
      <c r="B623" s="21" t="str">
        <f t="shared" si="10"/>
        <v>87164000</v>
      </c>
      <c r="C623" s="21" t="str">
        <f>Tabela5[[#This Row],[Cod. Ncm]]&amp;"-"&amp;Tabela5[[#This Row],[Operações]]</f>
        <v>87164000-Internas</v>
      </c>
      <c r="D623" s="22" t="s">
        <v>579</v>
      </c>
      <c r="E623" s="22" t="s">
        <v>593</v>
      </c>
      <c r="F623" s="22">
        <v>7</v>
      </c>
      <c r="G623" s="22" t="s">
        <v>2385</v>
      </c>
      <c r="H623" s="22" t="s">
        <v>616</v>
      </c>
      <c r="I623" s="23" t="s">
        <v>2386</v>
      </c>
      <c r="J623" s="23" t="s">
        <v>577</v>
      </c>
      <c r="K623" s="23" t="s">
        <v>591</v>
      </c>
      <c r="L623" s="23" t="s">
        <v>592</v>
      </c>
      <c r="M623" s="23" t="s">
        <v>583</v>
      </c>
      <c r="N623" s="23"/>
      <c r="O623" s="23"/>
      <c r="P623" s="23"/>
      <c r="Q623" s="23"/>
      <c r="R623" s="23"/>
      <c r="S623" s="23"/>
      <c r="T623" s="23"/>
      <c r="U623" s="23"/>
      <c r="V623" s="23"/>
      <c r="W623" s="23"/>
      <c r="X623" s="4"/>
    </row>
    <row r="624" spans="1:24" ht="38.25" x14ac:dyDescent="0.25">
      <c r="A624" s="21" t="s">
        <v>2387</v>
      </c>
      <c r="B624" s="21" t="str">
        <f t="shared" si="10"/>
        <v>90241090</v>
      </c>
      <c r="C624" s="21" t="str">
        <f>Tabela5[[#This Row],[Cod. Ncm]]&amp;"-"&amp;Tabela5[[#This Row],[Operações]]</f>
        <v>90241090-Internas e interestaduais</v>
      </c>
      <c r="D624" s="22" t="s">
        <v>586</v>
      </c>
      <c r="E624" s="22" t="s">
        <v>587</v>
      </c>
      <c r="F624" s="22">
        <v>8.8000000000000007</v>
      </c>
      <c r="G624" s="22" t="s">
        <v>2388</v>
      </c>
      <c r="H624" s="22" t="s">
        <v>588</v>
      </c>
      <c r="I624" s="23" t="s">
        <v>577</v>
      </c>
      <c r="J624" s="23" t="s">
        <v>2389</v>
      </c>
      <c r="K624" s="23" t="s">
        <v>589</v>
      </c>
      <c r="L624" s="23" t="s">
        <v>590</v>
      </c>
      <c r="M624" s="23"/>
      <c r="N624" s="23"/>
      <c r="O624" s="23"/>
      <c r="P624" s="23"/>
      <c r="Q624" s="23"/>
      <c r="R624" s="23"/>
      <c r="S624" s="23"/>
      <c r="T624" s="23"/>
      <c r="U624" s="23"/>
      <c r="V624" s="23"/>
      <c r="W624" s="23"/>
      <c r="X624" s="4"/>
    </row>
    <row r="625" spans="1:24" ht="39" x14ac:dyDescent="0.25">
      <c r="A625" s="21" t="s">
        <v>2390</v>
      </c>
      <c r="B625" s="21" t="str">
        <f t="shared" si="10"/>
        <v>90328911</v>
      </c>
      <c r="C625" s="21" t="str">
        <f>Tabela5[[#This Row],[Cod. Ncm]]&amp;"-"&amp;Tabela5[[#This Row],[Operações]]</f>
        <v>90328911-Internas</v>
      </c>
      <c r="D625" s="22" t="s">
        <v>579</v>
      </c>
      <c r="E625" s="22" t="s">
        <v>593</v>
      </c>
      <c r="F625" s="22">
        <v>7</v>
      </c>
      <c r="G625" s="22" t="s">
        <v>2391</v>
      </c>
      <c r="H625" s="22" t="s">
        <v>1083</v>
      </c>
      <c r="I625" s="23" t="s">
        <v>2392</v>
      </c>
      <c r="J625" s="23" t="s">
        <v>591</v>
      </c>
      <c r="K625" s="23" t="s">
        <v>592</v>
      </c>
      <c r="L625" s="23" t="s">
        <v>1086</v>
      </c>
      <c r="M625" s="23" t="s">
        <v>1087</v>
      </c>
      <c r="N625" s="23" t="s">
        <v>583</v>
      </c>
      <c r="O625" s="23"/>
      <c r="P625" s="23"/>
      <c r="Q625" s="23"/>
      <c r="R625" s="23"/>
      <c r="S625" s="23"/>
      <c r="T625" s="23"/>
      <c r="U625" s="23"/>
      <c r="V625" s="23"/>
      <c r="W625" s="23"/>
      <c r="X625" s="4"/>
    </row>
    <row r="626" spans="1:24" ht="39" x14ac:dyDescent="0.25">
      <c r="A626" s="21" t="s">
        <v>2393</v>
      </c>
      <c r="B626" s="21" t="str">
        <f t="shared" si="10"/>
        <v>90328919</v>
      </c>
      <c r="C626" s="21" t="str">
        <f>Tabela5[[#This Row],[Cod. Ncm]]&amp;"-"&amp;Tabela5[[#This Row],[Operações]]</f>
        <v>90328919-Internas</v>
      </c>
      <c r="D626" s="22" t="s">
        <v>579</v>
      </c>
      <c r="E626" s="22" t="s">
        <v>593</v>
      </c>
      <c r="F626" s="22">
        <v>7</v>
      </c>
      <c r="G626" s="22" t="s">
        <v>2394</v>
      </c>
      <c r="H626" s="22" t="s">
        <v>1083</v>
      </c>
      <c r="I626" s="23" t="s">
        <v>2395</v>
      </c>
      <c r="J626" s="23" t="s">
        <v>591</v>
      </c>
      <c r="K626" s="23" t="s">
        <v>592</v>
      </c>
      <c r="L626" s="23" t="s">
        <v>1086</v>
      </c>
      <c r="M626" s="23" t="s">
        <v>1087</v>
      </c>
      <c r="N626" s="23" t="s">
        <v>583</v>
      </c>
      <c r="O626" s="23"/>
      <c r="P626" s="23"/>
      <c r="Q626" s="23"/>
      <c r="R626" s="23"/>
      <c r="S626" s="23"/>
      <c r="T626" s="23"/>
      <c r="U626" s="23"/>
      <c r="V626" s="23"/>
      <c r="W626" s="23"/>
      <c r="X626" s="4"/>
    </row>
    <row r="627" spans="1:24" ht="26.25" x14ac:dyDescent="0.25">
      <c r="A627" s="21" t="s">
        <v>2396</v>
      </c>
      <c r="B627" s="21" t="str">
        <f t="shared" si="10"/>
        <v>84672910</v>
      </c>
      <c r="C627" s="21" t="str">
        <f>Tabela5[[#This Row],[Cod. Ncm]]&amp;"-"&amp;Tabela5[[#This Row],[Operações]]</f>
        <v>84672910-Internas e interestaduais</v>
      </c>
      <c r="D627" s="22" t="s">
        <v>586</v>
      </c>
      <c r="E627" s="22" t="s">
        <v>587</v>
      </c>
      <c r="F627" s="22">
        <v>8.8000000000000007</v>
      </c>
      <c r="G627" s="22" t="s">
        <v>1869</v>
      </c>
      <c r="H627" s="22" t="s">
        <v>588</v>
      </c>
      <c r="I627" s="23" t="s">
        <v>577</v>
      </c>
      <c r="J627" s="23" t="s">
        <v>1870</v>
      </c>
      <c r="K627" s="23" t="s">
        <v>589</v>
      </c>
      <c r="L627" s="23" t="s">
        <v>590</v>
      </c>
      <c r="M627" s="23"/>
      <c r="N627" s="23"/>
      <c r="O627" s="23"/>
      <c r="P627" s="23"/>
      <c r="Q627" s="23"/>
      <c r="R627" s="23"/>
      <c r="S627" s="23"/>
      <c r="T627" s="23"/>
      <c r="U627" s="23"/>
      <c r="V627" s="23"/>
      <c r="W627" s="23"/>
      <c r="X627" s="4"/>
    </row>
    <row r="628" spans="1:24" ht="26.25" x14ac:dyDescent="0.25">
      <c r="A628" s="21" t="s">
        <v>2397</v>
      </c>
      <c r="B628" s="21" t="str">
        <f t="shared" si="10"/>
        <v>84672991</v>
      </c>
      <c r="C628" s="21" t="str">
        <f>Tabela5[[#This Row],[Cod. Ncm]]&amp;"-"&amp;Tabela5[[#This Row],[Operações]]</f>
        <v>84672991-Internas e interestaduais</v>
      </c>
      <c r="D628" s="22" t="s">
        <v>586</v>
      </c>
      <c r="E628" s="22" t="s">
        <v>587</v>
      </c>
      <c r="F628" s="22">
        <v>8.8000000000000007</v>
      </c>
      <c r="G628" s="22" t="s">
        <v>1869</v>
      </c>
      <c r="H628" s="22" t="s">
        <v>588</v>
      </c>
      <c r="I628" s="23" t="s">
        <v>577</v>
      </c>
      <c r="J628" s="23" t="s">
        <v>1870</v>
      </c>
      <c r="K628" s="23" t="s">
        <v>589</v>
      </c>
      <c r="L628" s="23" t="s">
        <v>590</v>
      </c>
      <c r="M628" s="23"/>
      <c r="N628" s="23"/>
      <c r="O628" s="23"/>
      <c r="P628" s="23"/>
      <c r="Q628" s="23"/>
      <c r="R628" s="23"/>
      <c r="S628" s="23"/>
      <c r="T628" s="23"/>
      <c r="U628" s="23"/>
      <c r="V628" s="23"/>
      <c r="W628" s="23"/>
      <c r="X628" s="4"/>
    </row>
    <row r="629" spans="1:24" ht="26.25" x14ac:dyDescent="0.25">
      <c r="A629" s="21" t="s">
        <v>2398</v>
      </c>
      <c r="B629" s="21" t="str">
        <f t="shared" si="10"/>
        <v>84672992</v>
      </c>
      <c r="C629" s="21" t="str">
        <f>Tabela5[[#This Row],[Cod. Ncm]]&amp;"-"&amp;Tabela5[[#This Row],[Operações]]</f>
        <v>84672992-Internas e interestaduais</v>
      </c>
      <c r="D629" s="22" t="s">
        <v>586</v>
      </c>
      <c r="E629" s="22" t="s">
        <v>587</v>
      </c>
      <c r="F629" s="22">
        <v>8.8000000000000007</v>
      </c>
      <c r="G629" s="22" t="s">
        <v>1869</v>
      </c>
      <c r="H629" s="22" t="s">
        <v>588</v>
      </c>
      <c r="I629" s="23" t="s">
        <v>577</v>
      </c>
      <c r="J629" s="23" t="s">
        <v>1870</v>
      </c>
      <c r="K629" s="23" t="s">
        <v>589</v>
      </c>
      <c r="L629" s="23" t="s">
        <v>590</v>
      </c>
      <c r="M629" s="23"/>
      <c r="N629" s="23"/>
      <c r="O629" s="23"/>
      <c r="P629" s="23"/>
      <c r="Q629" s="23"/>
      <c r="R629" s="23"/>
      <c r="S629" s="23"/>
      <c r="T629" s="23"/>
      <c r="U629" s="23"/>
      <c r="V629" s="23"/>
      <c r="W629" s="23"/>
      <c r="X629" s="4"/>
    </row>
    <row r="630" spans="1:24" ht="26.25" x14ac:dyDescent="0.25">
      <c r="A630" s="21" t="s">
        <v>2399</v>
      </c>
      <c r="B630" s="21" t="str">
        <f t="shared" si="10"/>
        <v>84672993</v>
      </c>
      <c r="C630" s="21" t="str">
        <f>Tabela5[[#This Row],[Cod. Ncm]]&amp;"-"&amp;Tabela5[[#This Row],[Operações]]</f>
        <v>84672993-Internas e interestaduais</v>
      </c>
      <c r="D630" s="22" t="s">
        <v>586</v>
      </c>
      <c r="E630" s="22" t="s">
        <v>587</v>
      </c>
      <c r="F630" s="22">
        <v>8.8000000000000007</v>
      </c>
      <c r="G630" s="22" t="s">
        <v>1869</v>
      </c>
      <c r="H630" s="22" t="s">
        <v>588</v>
      </c>
      <c r="I630" s="23" t="s">
        <v>577</v>
      </c>
      <c r="J630" s="23" t="s">
        <v>1870</v>
      </c>
      <c r="K630" s="23" t="s">
        <v>589</v>
      </c>
      <c r="L630" s="23" t="s">
        <v>590</v>
      </c>
      <c r="M630" s="23"/>
      <c r="N630" s="23"/>
      <c r="O630" s="23"/>
      <c r="P630" s="23"/>
      <c r="Q630" s="23"/>
      <c r="R630" s="23"/>
      <c r="S630" s="23"/>
      <c r="T630" s="23"/>
      <c r="U630" s="23"/>
      <c r="V630" s="23"/>
      <c r="W630" s="23"/>
      <c r="X630" s="4"/>
    </row>
    <row r="631" spans="1:24" ht="26.25" x14ac:dyDescent="0.25">
      <c r="A631" s="21" t="s">
        <v>2400</v>
      </c>
      <c r="B631" s="21" t="str">
        <f t="shared" si="10"/>
        <v>84672999</v>
      </c>
      <c r="C631" s="21" t="str">
        <f>Tabela5[[#This Row],[Cod. Ncm]]&amp;"-"&amp;Tabela5[[#This Row],[Operações]]</f>
        <v>84672999-Internas e interestaduais</v>
      </c>
      <c r="D631" s="22" t="s">
        <v>586</v>
      </c>
      <c r="E631" s="22" t="s">
        <v>587</v>
      </c>
      <c r="F631" s="22">
        <v>8.8000000000000007</v>
      </c>
      <c r="G631" s="22" t="s">
        <v>1869</v>
      </c>
      <c r="H631" s="22" t="s">
        <v>588</v>
      </c>
      <c r="I631" s="23" t="s">
        <v>577</v>
      </c>
      <c r="J631" s="23" t="s">
        <v>1870</v>
      </c>
      <c r="K631" s="23" t="s">
        <v>589</v>
      </c>
      <c r="L631" s="23" t="s">
        <v>590</v>
      </c>
      <c r="M631" s="23"/>
      <c r="N631" s="23"/>
      <c r="O631" s="23"/>
      <c r="P631" s="23"/>
      <c r="Q631" s="23"/>
      <c r="R631" s="23"/>
      <c r="S631" s="23"/>
      <c r="T631" s="23"/>
      <c r="U631" s="23"/>
      <c r="V631" s="23"/>
      <c r="W631" s="23"/>
      <c r="X631" s="4"/>
    </row>
    <row r="632" spans="1:24" ht="25.5" x14ac:dyDescent="0.25">
      <c r="A632" s="21" t="s">
        <v>2402</v>
      </c>
      <c r="B632" s="21" t="str">
        <f t="shared" si="10"/>
        <v>35079042</v>
      </c>
      <c r="C632" s="21" t="str">
        <f>Tabela5[[#This Row],[Cod. Ncm]]&amp;"-"&amp;Tabela5[[#This Row],[Operações]]</f>
        <v>35079042-Interestaduais</v>
      </c>
      <c r="D632" s="22" t="s">
        <v>578</v>
      </c>
      <c r="E632" s="22" t="s">
        <v>595</v>
      </c>
      <c r="F632" s="22">
        <v>60</v>
      </c>
      <c r="G632" s="22" t="s">
        <v>445</v>
      </c>
      <c r="H632" s="22" t="s">
        <v>2401</v>
      </c>
      <c r="I632" s="23" t="s">
        <v>577</v>
      </c>
      <c r="J632" s="23" t="s">
        <v>590</v>
      </c>
      <c r="K632" s="23"/>
      <c r="L632" s="23"/>
      <c r="M632" s="23"/>
      <c r="N632" s="23"/>
      <c r="O632" s="23"/>
      <c r="P632" s="23"/>
      <c r="Q632" s="23"/>
      <c r="R632" s="23"/>
      <c r="S632" s="23"/>
      <c r="T632" s="23"/>
      <c r="U632" s="23"/>
      <c r="V632" s="23"/>
      <c r="W632" s="23"/>
      <c r="X632" s="4"/>
    </row>
    <row r="633" spans="1:24" ht="25.5" x14ac:dyDescent="0.25">
      <c r="A633" s="21" t="s">
        <v>2403</v>
      </c>
      <c r="B633" s="21" t="str">
        <f t="shared" si="10"/>
        <v>35079049</v>
      </c>
      <c r="C633" s="21" t="str">
        <f>Tabela5[[#This Row],[Cod. Ncm]]&amp;"-"&amp;Tabela5[[#This Row],[Operações]]</f>
        <v>35079049-Interestaduais</v>
      </c>
      <c r="D633" s="22" t="s">
        <v>578</v>
      </c>
      <c r="E633" s="22" t="s">
        <v>595</v>
      </c>
      <c r="F633" s="22">
        <v>60</v>
      </c>
      <c r="G633" s="22" t="s">
        <v>445</v>
      </c>
      <c r="H633" s="22" t="s">
        <v>2401</v>
      </c>
      <c r="I633" s="23" t="s">
        <v>577</v>
      </c>
      <c r="J633" s="23" t="s">
        <v>590</v>
      </c>
      <c r="K633" s="23"/>
      <c r="L633" s="23"/>
      <c r="M633" s="23"/>
      <c r="N633" s="23"/>
      <c r="O633" s="23"/>
      <c r="P633" s="23"/>
      <c r="Q633" s="23"/>
      <c r="R633" s="23"/>
      <c r="S633" s="23"/>
      <c r="T633" s="23"/>
      <c r="U633" s="23"/>
      <c r="V633" s="23"/>
      <c r="W633" s="23"/>
      <c r="X633" s="4"/>
    </row>
    <row r="634" spans="1:24" ht="26.25" x14ac:dyDescent="0.25">
      <c r="A634" s="21" t="s">
        <v>161</v>
      </c>
      <c r="B634" s="21" t="str">
        <f t="shared" si="10"/>
        <v>84145990</v>
      </c>
      <c r="C634" s="21" t="str">
        <f>Tabela5[[#This Row],[Cod. Ncm]]&amp;"-"&amp;Tabela5[[#This Row],[Operações]]</f>
        <v>84145990-interestaduais</v>
      </c>
      <c r="D634" s="22" t="s">
        <v>2404</v>
      </c>
      <c r="E634" s="22" t="s">
        <v>576</v>
      </c>
      <c r="F634" s="22">
        <v>7</v>
      </c>
      <c r="G634" s="22" t="s">
        <v>675</v>
      </c>
      <c r="H634" s="22" t="s">
        <v>596</v>
      </c>
      <c r="I634" s="23" t="s">
        <v>676</v>
      </c>
      <c r="J634" s="23" t="s">
        <v>597</v>
      </c>
      <c r="K634" s="23" t="s">
        <v>598</v>
      </c>
      <c r="L634" s="23" t="s">
        <v>589</v>
      </c>
      <c r="M634" s="23" t="s">
        <v>577</v>
      </c>
      <c r="N634" s="23" t="s">
        <v>590</v>
      </c>
      <c r="O634" s="23"/>
      <c r="P634" s="23"/>
      <c r="Q634" s="23"/>
      <c r="R634" s="23"/>
      <c r="S634" s="23"/>
      <c r="T634" s="23"/>
      <c r="U634" s="23"/>
      <c r="V634" s="23"/>
      <c r="W634" s="23"/>
      <c r="X634" s="4"/>
    </row>
    <row r="635" spans="1:24" x14ac:dyDescent="0.25">
      <c r="A635" s="21" t="s">
        <v>2406</v>
      </c>
      <c r="B635" s="21" t="str">
        <f t="shared" si="10"/>
        <v>11029000</v>
      </c>
      <c r="C635" s="21" t="str">
        <f>Tabela5[[#This Row],[Cod. Ncm]]&amp;"-"&amp;Tabela5[[#This Row],[Operações]]</f>
        <v>11029000-Internas</v>
      </c>
      <c r="D635" s="22" t="s">
        <v>579</v>
      </c>
      <c r="E635" s="22"/>
      <c r="F635" s="22">
        <v>7</v>
      </c>
      <c r="G635" s="22" t="s">
        <v>3591</v>
      </c>
      <c r="H635" s="22"/>
      <c r="I635" s="23"/>
      <c r="J635" s="23"/>
      <c r="K635" s="23"/>
      <c r="L635" s="23"/>
      <c r="M635" s="23"/>
      <c r="N635" s="23"/>
      <c r="O635" s="23"/>
      <c r="P635" s="23"/>
      <c r="Q635" s="23"/>
      <c r="R635" s="23"/>
      <c r="S635" s="23"/>
      <c r="T635" s="23"/>
      <c r="U635" s="23"/>
      <c r="V635" s="23"/>
      <c r="W635" s="23"/>
      <c r="X635" s="4" t="s">
        <v>3591</v>
      </c>
    </row>
    <row r="636" spans="1:24" x14ac:dyDescent="0.25">
      <c r="A636" s="21" t="s">
        <v>2407</v>
      </c>
      <c r="B636" s="21" t="str">
        <f t="shared" si="10"/>
        <v>11022000</v>
      </c>
      <c r="C636" s="21" t="str">
        <f>Tabela5[[#This Row],[Cod. Ncm]]&amp;"-"&amp;Tabela5[[#This Row],[Operações]]</f>
        <v>11022000-Internas</v>
      </c>
      <c r="D636" s="22" t="s">
        <v>579</v>
      </c>
      <c r="E636" s="22"/>
      <c r="F636" s="22">
        <v>7</v>
      </c>
      <c r="G636" s="22" t="s">
        <v>2408</v>
      </c>
      <c r="H636" s="22"/>
      <c r="I636" s="23"/>
      <c r="J636" s="23"/>
      <c r="K636" s="23"/>
      <c r="L636" s="23"/>
      <c r="M636" s="23"/>
      <c r="N636" s="23"/>
      <c r="O636" s="23"/>
      <c r="P636" s="23"/>
      <c r="Q636" s="23"/>
      <c r="R636" s="23"/>
      <c r="S636" s="23"/>
      <c r="T636" s="23"/>
      <c r="U636" s="23"/>
      <c r="V636" s="23"/>
      <c r="W636" s="23"/>
      <c r="X636" s="4"/>
    </row>
    <row r="637" spans="1:24" x14ac:dyDescent="0.25">
      <c r="A637" s="21" t="s">
        <v>200</v>
      </c>
      <c r="B637" s="21" t="str">
        <f t="shared" si="10"/>
        <v>19023000</v>
      </c>
      <c r="C637" s="21" t="str">
        <f>Tabela5[[#This Row],[Cod. Ncm]]&amp;"-"&amp;Tabela5[[#This Row],[Operações]]</f>
        <v>19023000-Internas</v>
      </c>
      <c r="D637" s="22" t="s">
        <v>579</v>
      </c>
      <c r="E637" s="22"/>
      <c r="F637" s="22">
        <v>7</v>
      </c>
      <c r="G637" s="22" t="s">
        <v>3592</v>
      </c>
      <c r="H637" s="22"/>
      <c r="I637" s="23"/>
      <c r="J637" s="23"/>
      <c r="K637" s="23"/>
      <c r="L637" s="23"/>
      <c r="M637" s="23"/>
      <c r="N637" s="23"/>
      <c r="O637" s="23"/>
      <c r="P637" s="23"/>
      <c r="Q637" s="23"/>
      <c r="R637" s="23"/>
      <c r="S637" s="23"/>
      <c r="T637" s="23"/>
      <c r="U637" s="23"/>
      <c r="V637" s="23"/>
      <c r="W637" s="23"/>
      <c r="X637" s="4" t="s">
        <v>3592</v>
      </c>
    </row>
    <row r="638" spans="1:24" x14ac:dyDescent="0.25">
      <c r="A638" s="21" t="s">
        <v>201</v>
      </c>
      <c r="B638" s="21" t="str">
        <f t="shared" si="10"/>
        <v>19021100</v>
      </c>
      <c r="C638" s="21" t="str">
        <f>Tabela5[[#This Row],[Cod. Ncm]]&amp;"-"&amp;Tabela5[[#This Row],[Operações]]</f>
        <v>19021100-Internas</v>
      </c>
      <c r="D638" s="22" t="s">
        <v>579</v>
      </c>
      <c r="E638" s="22"/>
      <c r="F638" s="22">
        <v>7</v>
      </c>
      <c r="G638" s="22" t="s">
        <v>3592</v>
      </c>
      <c r="H638" s="22"/>
      <c r="I638" s="23"/>
      <c r="J638" s="23"/>
      <c r="K638" s="23"/>
      <c r="L638" s="23"/>
      <c r="M638" s="23"/>
      <c r="N638" s="23"/>
      <c r="O638" s="23"/>
      <c r="P638" s="23"/>
      <c r="Q638" s="23"/>
      <c r="R638" s="23"/>
      <c r="S638" s="23"/>
      <c r="T638" s="23"/>
      <c r="U638" s="23"/>
      <c r="V638" s="23"/>
      <c r="W638" s="23"/>
      <c r="X638" s="4" t="s">
        <v>3592</v>
      </c>
    </row>
    <row r="639" spans="1:24" x14ac:dyDescent="0.25">
      <c r="A639" s="21" t="s">
        <v>270</v>
      </c>
      <c r="B639" s="21" t="str">
        <f t="shared" si="10"/>
        <v>07133319</v>
      </c>
      <c r="C639" s="21" t="str">
        <f>Tabela5[[#This Row],[Cod. Ncm]]&amp;"-"&amp;Tabela5[[#This Row],[Operações]]</f>
        <v>07133319-Internas</v>
      </c>
      <c r="D639" s="22" t="s">
        <v>579</v>
      </c>
      <c r="E639" s="22"/>
      <c r="F639" s="22">
        <v>7</v>
      </c>
      <c r="G639" s="22" t="s">
        <v>2411</v>
      </c>
      <c r="H639" s="22"/>
      <c r="I639" s="23"/>
      <c r="J639" s="23"/>
      <c r="K639" s="23"/>
      <c r="L639" s="23"/>
      <c r="M639" s="23"/>
      <c r="N639" s="23"/>
      <c r="O639" s="23"/>
      <c r="P639" s="23"/>
      <c r="Q639" s="23"/>
      <c r="R639" s="23"/>
      <c r="S639" s="23"/>
      <c r="T639" s="23"/>
      <c r="U639" s="23"/>
      <c r="V639" s="23"/>
      <c r="W639" s="23"/>
      <c r="X639" s="4"/>
    </row>
    <row r="640" spans="1:24" x14ac:dyDescent="0.25">
      <c r="A640" s="21" t="s">
        <v>3345</v>
      </c>
      <c r="B640" s="21" t="str">
        <f t="shared" si="10"/>
        <v>10062010</v>
      </c>
      <c r="C640" s="21" t="str">
        <f>Tabela5[[#This Row],[Cod. Ncm]]&amp;"-"&amp;Tabela5[[#This Row],[Operações]]</f>
        <v>10062010-Internas</v>
      </c>
      <c r="D640" s="22" t="s">
        <v>579</v>
      </c>
      <c r="E640" s="22"/>
      <c r="F640" s="22">
        <v>7</v>
      </c>
      <c r="G640" s="22" t="s">
        <v>3593</v>
      </c>
      <c r="H640" s="22"/>
      <c r="I640" s="23"/>
      <c r="J640" s="23"/>
      <c r="K640" s="23"/>
      <c r="L640" s="23"/>
      <c r="M640" s="23"/>
      <c r="N640" s="23"/>
      <c r="O640" s="23"/>
      <c r="P640" s="23"/>
      <c r="Q640" s="23"/>
      <c r="R640" s="23"/>
      <c r="S640" s="23"/>
      <c r="T640" s="23"/>
      <c r="U640" s="23"/>
      <c r="V640" s="23"/>
      <c r="W640" s="23"/>
      <c r="X640" s="4" t="s">
        <v>3593</v>
      </c>
    </row>
    <row r="641" spans="1:24" x14ac:dyDescent="0.25">
      <c r="A641" s="21" t="s">
        <v>223</v>
      </c>
      <c r="B641" s="21" t="str">
        <f t="shared" si="10"/>
        <v>34013000</v>
      </c>
      <c r="C641" s="21" t="str">
        <f>Tabela5[[#This Row],[Cod. Ncm]]&amp;"-"&amp;Tabela5[[#This Row],[Operações]]</f>
        <v>34013000-Internas</v>
      </c>
      <c r="D641" s="22" t="s">
        <v>579</v>
      </c>
      <c r="E641" s="22"/>
      <c r="F641" s="22">
        <v>7</v>
      </c>
      <c r="G641" s="22" t="s">
        <v>3594</v>
      </c>
      <c r="H641" s="22"/>
      <c r="I641" s="23"/>
      <c r="J641" s="23"/>
      <c r="K641" s="23"/>
      <c r="L641" s="23"/>
      <c r="M641" s="23"/>
      <c r="N641" s="23"/>
      <c r="O641" s="23"/>
      <c r="P641" s="23"/>
      <c r="Q641" s="23"/>
      <c r="R641" s="23"/>
      <c r="S641" s="23"/>
      <c r="T641" s="23"/>
      <c r="U641" s="23"/>
      <c r="V641" s="23"/>
      <c r="W641" s="23"/>
      <c r="X641" s="4" t="s">
        <v>3594</v>
      </c>
    </row>
    <row r="642" spans="1:24" x14ac:dyDescent="0.25">
      <c r="A642" s="21" t="s">
        <v>228</v>
      </c>
      <c r="B642" s="21" t="str">
        <f t="shared" si="10"/>
        <v>25010020</v>
      </c>
      <c r="C642" s="21" t="str">
        <f>Tabela5[[#This Row],[Cod. Ncm]]&amp;"-"&amp;Tabela5[[#This Row],[Operações]]</f>
        <v>25010020-internas</v>
      </c>
      <c r="D642" s="22" t="s">
        <v>2412</v>
      </c>
      <c r="E642" s="22"/>
      <c r="F642" s="22">
        <v>7</v>
      </c>
      <c r="G642" s="22" t="s">
        <v>3595</v>
      </c>
      <c r="H642" s="22"/>
      <c r="I642" s="23"/>
      <c r="J642" s="23"/>
      <c r="K642" s="23"/>
      <c r="L642" s="23"/>
      <c r="M642" s="23"/>
      <c r="N642" s="23"/>
      <c r="O642" s="23"/>
      <c r="P642" s="23"/>
      <c r="Q642" s="23"/>
      <c r="R642" s="23"/>
      <c r="S642" s="23"/>
      <c r="T642" s="23"/>
      <c r="U642" s="23"/>
      <c r="V642" s="23"/>
      <c r="W642" s="23"/>
      <c r="X642" s="4" t="s">
        <v>3595</v>
      </c>
    </row>
    <row r="643" spans="1:24" x14ac:dyDescent="0.25">
      <c r="A643" s="21" t="s">
        <v>239</v>
      </c>
      <c r="B643" s="21" t="str">
        <f t="shared" si="10"/>
        <v>11081400</v>
      </c>
      <c r="C643" s="21" t="str">
        <f>Tabela5[[#This Row],[Cod. Ncm]]&amp;"-"&amp;Tabela5[[#This Row],[Operações]]</f>
        <v>11081400-Internas</v>
      </c>
      <c r="D643" s="22" t="s">
        <v>579</v>
      </c>
      <c r="E643" s="22"/>
      <c r="F643" s="22">
        <v>7</v>
      </c>
      <c r="G643" s="22" t="s">
        <v>3596</v>
      </c>
      <c r="H643" s="22"/>
      <c r="I643" s="23"/>
      <c r="J643" s="23"/>
      <c r="K643" s="23"/>
      <c r="L643" s="23"/>
      <c r="M643" s="23"/>
      <c r="N643" s="23"/>
      <c r="O643" s="23"/>
      <c r="P643" s="23"/>
      <c r="Q643" s="23"/>
      <c r="R643" s="23"/>
      <c r="S643" s="23"/>
      <c r="T643" s="23"/>
      <c r="U643" s="23"/>
      <c r="V643" s="23"/>
      <c r="W643" s="23"/>
      <c r="X643" s="4"/>
    </row>
    <row r="644" spans="1:24" x14ac:dyDescent="0.25">
      <c r="A644" s="21" t="s">
        <v>242</v>
      </c>
      <c r="B644" s="21" t="str">
        <f t="shared" si="10"/>
        <v>17011400</v>
      </c>
      <c r="C644" s="21" t="str">
        <f>Tabela5[[#This Row],[Cod. Ncm]]&amp;"-"&amp;Tabela5[[#This Row],[Operações]]</f>
        <v>17011400-Internas</v>
      </c>
      <c r="D644" s="22" t="s">
        <v>579</v>
      </c>
      <c r="E644" s="22"/>
      <c r="F644" s="22">
        <v>7</v>
      </c>
      <c r="G644" s="22" t="s">
        <v>4729</v>
      </c>
      <c r="H644" s="22"/>
      <c r="I644" s="23"/>
      <c r="J644" s="23"/>
      <c r="K644" s="23"/>
      <c r="L644" s="23"/>
      <c r="M644" s="23"/>
      <c r="N644" s="23"/>
      <c r="O644" s="23"/>
      <c r="P644" s="23"/>
      <c r="Q644" s="23"/>
      <c r="R644" s="23"/>
      <c r="S644" s="23"/>
      <c r="T644" s="23"/>
      <c r="U644" s="23"/>
      <c r="V644" s="23"/>
      <c r="W644" s="23"/>
      <c r="X644" s="4" t="s">
        <v>3581</v>
      </c>
    </row>
    <row r="645" spans="1:24" x14ac:dyDescent="0.25">
      <c r="A645" s="21" t="s">
        <v>259</v>
      </c>
      <c r="B645" s="21" t="str">
        <f t="shared" ref="B645:B703" si="11">RIGHT(A645,8)</f>
        <v>15179010</v>
      </c>
      <c r="C645" s="21" t="str">
        <f>Tabela5[[#This Row],[Cod. Ncm]]&amp;"-"&amp;Tabela5[[#This Row],[Operações]]</f>
        <v>15179010-internas</v>
      </c>
      <c r="D645" s="22" t="s">
        <v>2412</v>
      </c>
      <c r="E645" s="22"/>
      <c r="F645" s="22">
        <v>7</v>
      </c>
      <c r="G645" s="22" t="s">
        <v>3585</v>
      </c>
      <c r="H645" s="22"/>
      <c r="I645" s="23"/>
      <c r="J645" s="23"/>
      <c r="K645" s="23"/>
      <c r="L645" s="23"/>
      <c r="M645" s="23"/>
      <c r="N645" s="23"/>
      <c r="O645" s="23"/>
      <c r="P645" s="23"/>
      <c r="Q645" s="23"/>
      <c r="R645" s="23"/>
      <c r="S645" s="23"/>
      <c r="T645" s="23"/>
      <c r="U645" s="23"/>
      <c r="V645" s="23"/>
      <c r="W645" s="23"/>
      <c r="X645" s="4" t="s">
        <v>3585</v>
      </c>
    </row>
    <row r="646" spans="1:24" x14ac:dyDescent="0.25">
      <c r="A646" s="21" t="s">
        <v>264</v>
      </c>
      <c r="B646" s="21" t="str">
        <f t="shared" si="11"/>
        <v>09030010</v>
      </c>
      <c r="C646" s="21" t="str">
        <f>Tabela5[[#This Row],[Cod. Ncm]]&amp;"-"&amp;Tabela5[[#This Row],[Operações]]</f>
        <v>09030010-Internas</v>
      </c>
      <c r="D646" s="22" t="s">
        <v>579</v>
      </c>
      <c r="E646" s="22"/>
      <c r="F646" s="22">
        <v>12</v>
      </c>
      <c r="G646" s="22" t="s">
        <v>2413</v>
      </c>
      <c r="H646" s="22"/>
      <c r="I646" s="23"/>
      <c r="J646" s="23"/>
      <c r="K646" s="23"/>
      <c r="L646" s="23"/>
      <c r="M646" s="23"/>
      <c r="N646" s="23"/>
      <c r="O646" s="23"/>
      <c r="P646" s="23"/>
      <c r="Q646" s="23"/>
      <c r="R646" s="23"/>
      <c r="S646" s="23"/>
      <c r="T646" s="23"/>
      <c r="U646" s="23"/>
      <c r="V646" s="23"/>
      <c r="W646" s="23"/>
      <c r="X646" s="4"/>
    </row>
    <row r="647" spans="1:24" x14ac:dyDescent="0.25">
      <c r="A647" s="21" t="s">
        <v>267</v>
      </c>
      <c r="B647" s="21" t="str">
        <f t="shared" si="11"/>
        <v>15152910</v>
      </c>
      <c r="C647" s="21" t="str">
        <f>Tabela5[[#This Row],[Cod. Ncm]]&amp;"-"&amp;Tabela5[[#This Row],[Operações]]</f>
        <v>15152910-internas</v>
      </c>
      <c r="D647" s="22" t="s">
        <v>2412</v>
      </c>
      <c r="E647" s="22"/>
      <c r="F647" s="22">
        <v>7</v>
      </c>
      <c r="G647" s="22" t="s">
        <v>3585</v>
      </c>
      <c r="H647" s="22"/>
      <c r="I647" s="23"/>
      <c r="J647" s="23"/>
      <c r="K647" s="23"/>
      <c r="L647" s="23"/>
      <c r="M647" s="23"/>
      <c r="N647" s="23"/>
      <c r="O647" s="23"/>
      <c r="P647" s="23"/>
      <c r="Q647" s="23"/>
      <c r="R647" s="23"/>
      <c r="S647" s="23"/>
      <c r="T647" s="23"/>
      <c r="U647" s="23"/>
      <c r="V647" s="23"/>
      <c r="W647" s="23"/>
      <c r="X647" s="4" t="s">
        <v>3585</v>
      </c>
    </row>
    <row r="648" spans="1:24" x14ac:dyDescent="0.25">
      <c r="A648" s="21" t="s">
        <v>287</v>
      </c>
      <c r="B648" s="21" t="str">
        <f t="shared" si="11"/>
        <v>07133590</v>
      </c>
      <c r="C648" s="21" t="str">
        <f>Tabela5[[#This Row],[Cod. Ncm]]&amp;"-"&amp;Tabela5[[#This Row],[Operações]]</f>
        <v>07133590-Internas</v>
      </c>
      <c r="D648" s="22" t="s">
        <v>579</v>
      </c>
      <c r="E648" s="22"/>
      <c r="F648" s="22">
        <v>7</v>
      </c>
      <c r="G648" s="22" t="s">
        <v>2411</v>
      </c>
      <c r="H648" s="22"/>
      <c r="I648" s="23"/>
      <c r="J648" s="23"/>
      <c r="K648" s="23"/>
      <c r="L648" s="23"/>
      <c r="M648" s="23"/>
      <c r="N648" s="23"/>
      <c r="O648" s="23"/>
      <c r="P648" s="23"/>
      <c r="Q648" s="23"/>
      <c r="R648" s="23"/>
      <c r="S648" s="23"/>
      <c r="T648" s="23"/>
      <c r="U648" s="23"/>
      <c r="V648" s="23"/>
      <c r="W648" s="23"/>
      <c r="X648" s="4"/>
    </row>
    <row r="649" spans="1:24" x14ac:dyDescent="0.25">
      <c r="A649" s="21" t="s">
        <v>271</v>
      </c>
      <c r="B649" s="21" t="str">
        <f t="shared" si="11"/>
        <v>25010011</v>
      </c>
      <c r="C649" s="21" t="str">
        <f>Tabela5[[#This Row],[Cod. Ncm]]&amp;"-"&amp;Tabela5[[#This Row],[Operações]]</f>
        <v>25010011-internas</v>
      </c>
      <c r="D649" s="22" t="s">
        <v>2412</v>
      </c>
      <c r="E649" s="22"/>
      <c r="F649" s="22">
        <v>7</v>
      </c>
      <c r="G649" s="22" t="s">
        <v>3595</v>
      </c>
      <c r="H649" s="22"/>
      <c r="I649" s="23"/>
      <c r="J649" s="23"/>
      <c r="K649" s="23"/>
      <c r="L649" s="23"/>
      <c r="M649" s="23"/>
      <c r="N649" s="23"/>
      <c r="O649" s="23"/>
      <c r="P649" s="23"/>
      <c r="Q649" s="23"/>
      <c r="R649" s="23"/>
      <c r="S649" s="23"/>
      <c r="T649" s="23"/>
      <c r="U649" s="23"/>
      <c r="V649" s="23"/>
      <c r="W649" s="23"/>
      <c r="X649" s="4" t="s">
        <v>3595</v>
      </c>
    </row>
    <row r="650" spans="1:24" x14ac:dyDescent="0.25">
      <c r="A650" s="21" t="s">
        <v>276</v>
      </c>
      <c r="B650" s="21" t="str">
        <f t="shared" si="11"/>
        <v>04069010</v>
      </c>
      <c r="C650" s="21" t="str">
        <f>Tabela5[[#This Row],[Cod. Ncm]]&amp;"-"&amp;Tabela5[[#This Row],[Operações]]</f>
        <v>04069010-Internas</v>
      </c>
      <c r="D650" s="22" t="s">
        <v>579</v>
      </c>
      <c r="E650" s="22"/>
      <c r="F650" s="22">
        <v>7</v>
      </c>
      <c r="G650" s="22" t="s">
        <v>3597</v>
      </c>
      <c r="H650" s="22"/>
      <c r="I650" s="23"/>
      <c r="J650" s="23"/>
      <c r="K650" s="23"/>
      <c r="L650" s="23"/>
      <c r="M650" s="23"/>
      <c r="N650" s="23"/>
      <c r="O650" s="23"/>
      <c r="P650" s="23"/>
      <c r="Q650" s="23"/>
      <c r="R650" s="23"/>
      <c r="S650" s="23"/>
      <c r="T650" s="23"/>
      <c r="U650" s="23"/>
      <c r="V650" s="23"/>
      <c r="W650" s="23"/>
      <c r="X650" s="4" t="s">
        <v>3597</v>
      </c>
    </row>
    <row r="651" spans="1:24" x14ac:dyDescent="0.25">
      <c r="A651" s="21" t="s">
        <v>286</v>
      </c>
      <c r="B651" s="21" t="str">
        <f t="shared" si="11"/>
        <v>25010090</v>
      </c>
      <c r="C651" s="21" t="str">
        <f>Tabela5[[#This Row],[Cod. Ncm]]&amp;"-"&amp;Tabela5[[#This Row],[Operações]]</f>
        <v>25010090-internas</v>
      </c>
      <c r="D651" s="22" t="s">
        <v>2412</v>
      </c>
      <c r="E651" s="22"/>
      <c r="F651" s="22">
        <v>7</v>
      </c>
      <c r="G651" s="22" t="s">
        <v>3595</v>
      </c>
      <c r="H651" s="22"/>
      <c r="I651" s="23"/>
      <c r="J651" s="23"/>
      <c r="K651" s="23"/>
      <c r="L651" s="23"/>
      <c r="M651" s="23"/>
      <c r="N651" s="23"/>
      <c r="O651" s="23"/>
      <c r="P651" s="23"/>
      <c r="Q651" s="23"/>
      <c r="R651" s="23"/>
      <c r="S651" s="23"/>
      <c r="T651" s="23"/>
      <c r="U651" s="23"/>
      <c r="V651" s="23"/>
      <c r="W651" s="23"/>
      <c r="X651" s="4" t="s">
        <v>3595</v>
      </c>
    </row>
    <row r="652" spans="1:24" x14ac:dyDescent="0.25">
      <c r="A652" s="21" t="s">
        <v>3326</v>
      </c>
      <c r="B652" s="21" t="str">
        <f t="shared" si="11"/>
        <v>07133329</v>
      </c>
      <c r="C652" s="21" t="str">
        <f>Tabela5[[#This Row],[Cod. Ncm]]&amp;"-"&amp;Tabela5[[#This Row],[Operações]]</f>
        <v>07133329-Internas</v>
      </c>
      <c r="D652" s="22" t="s">
        <v>579</v>
      </c>
      <c r="E652" s="22"/>
      <c r="F652" s="22">
        <v>7</v>
      </c>
      <c r="G652" s="22" t="s">
        <v>2411</v>
      </c>
      <c r="H652" s="22"/>
      <c r="I652" s="23"/>
      <c r="J652" s="23"/>
      <c r="K652" s="23"/>
      <c r="L652" s="23"/>
      <c r="M652" s="23"/>
      <c r="N652" s="23"/>
      <c r="O652" s="23"/>
      <c r="P652" s="23"/>
      <c r="Q652" s="23"/>
      <c r="R652" s="23"/>
      <c r="S652" s="23"/>
      <c r="T652" s="23"/>
      <c r="U652" s="23"/>
      <c r="V652" s="23"/>
      <c r="W652" s="23"/>
      <c r="X652" s="4"/>
    </row>
    <row r="653" spans="1:24" x14ac:dyDescent="0.25">
      <c r="A653" s="21" t="s">
        <v>291</v>
      </c>
      <c r="B653" s="21" t="str">
        <f t="shared" si="11"/>
        <v>15141910</v>
      </c>
      <c r="C653" s="21" t="str">
        <f>Tabela5[[#This Row],[Cod. Ncm]]&amp;"-"&amp;Tabela5[[#This Row],[Operações]]</f>
        <v>15141910-internas</v>
      </c>
      <c r="D653" s="22" t="s">
        <v>2412</v>
      </c>
      <c r="E653" s="22"/>
      <c r="F653" s="22">
        <v>7</v>
      </c>
      <c r="G653" s="22" t="s">
        <v>3585</v>
      </c>
      <c r="H653" s="22"/>
      <c r="I653" s="23"/>
      <c r="J653" s="23"/>
      <c r="K653" s="23"/>
      <c r="L653" s="23"/>
      <c r="M653" s="23"/>
      <c r="N653" s="23"/>
      <c r="O653" s="23"/>
      <c r="P653" s="23"/>
      <c r="Q653" s="23"/>
      <c r="R653" s="23"/>
      <c r="S653" s="23"/>
      <c r="T653" s="23"/>
      <c r="U653" s="23"/>
      <c r="V653" s="23"/>
      <c r="W653" s="23"/>
      <c r="X653" s="4" t="s">
        <v>3585</v>
      </c>
    </row>
    <row r="654" spans="1:24" x14ac:dyDescent="0.25">
      <c r="A654" s="21" t="s">
        <v>215</v>
      </c>
      <c r="B654" s="21" t="str">
        <f t="shared" si="11"/>
        <v>34011190</v>
      </c>
      <c r="C654" s="21" t="str">
        <f>Tabela5[[#This Row],[Cod. Ncm]]&amp;"-"&amp;Tabela5[[#This Row],[Operações]]</f>
        <v>34011190-Internas</v>
      </c>
      <c r="D654" s="22" t="s">
        <v>579</v>
      </c>
      <c r="E654" s="22"/>
      <c r="F654" s="22">
        <v>7</v>
      </c>
      <c r="G654" s="22" t="s">
        <v>3594</v>
      </c>
      <c r="H654" s="22"/>
      <c r="I654" s="23"/>
      <c r="J654" s="23"/>
      <c r="K654" s="23"/>
      <c r="L654" s="23"/>
      <c r="M654" s="23"/>
      <c r="N654" s="23"/>
      <c r="O654" s="23"/>
      <c r="P654" s="23"/>
      <c r="Q654" s="23"/>
      <c r="R654" s="23"/>
      <c r="S654" s="23"/>
      <c r="T654" s="23"/>
      <c r="U654" s="23"/>
      <c r="V654" s="23"/>
      <c r="W654" s="23"/>
      <c r="X654" s="4" t="s">
        <v>3594</v>
      </c>
    </row>
    <row r="655" spans="1:24" x14ac:dyDescent="0.25">
      <c r="A655" s="21" t="s">
        <v>3572</v>
      </c>
      <c r="B655" s="21" t="str">
        <f t="shared" si="11"/>
        <v>07133290</v>
      </c>
      <c r="C655" s="21" t="str">
        <f>Tabela5[[#This Row],[Cod. Ncm]]&amp;"-"&amp;Tabela5[[#This Row],[Operações]]</f>
        <v>07133290-Internas</v>
      </c>
      <c r="D655" s="22" t="s">
        <v>579</v>
      </c>
      <c r="E655" s="22"/>
      <c r="F655" s="22">
        <v>7</v>
      </c>
      <c r="G655" s="22" t="s">
        <v>2411</v>
      </c>
      <c r="H655" s="22"/>
      <c r="I655" s="23"/>
      <c r="J655" s="23"/>
      <c r="K655" s="23"/>
      <c r="L655" s="23"/>
      <c r="M655" s="23"/>
      <c r="N655" s="23"/>
      <c r="O655" s="23"/>
      <c r="P655" s="23"/>
      <c r="Q655" s="23"/>
      <c r="R655" s="23"/>
      <c r="S655" s="23"/>
      <c r="T655" s="23"/>
      <c r="U655" s="23"/>
      <c r="V655" s="23"/>
      <c r="W655" s="23"/>
      <c r="X655" s="4"/>
    </row>
    <row r="656" spans="1:24" x14ac:dyDescent="0.25">
      <c r="A656" s="21" t="s">
        <v>330</v>
      </c>
      <c r="B656" s="21" t="str">
        <f t="shared" si="11"/>
        <v>10062020</v>
      </c>
      <c r="C656" s="21" t="str">
        <f>Tabela5[[#This Row],[Cod. Ncm]]&amp;"-"&amp;Tabela5[[#This Row],[Operações]]</f>
        <v>10062020-Internas</v>
      </c>
      <c r="D656" s="22" t="s">
        <v>579</v>
      </c>
      <c r="E656" s="22"/>
      <c r="F656" s="22">
        <v>7</v>
      </c>
      <c r="G656" s="22" t="s">
        <v>3593</v>
      </c>
      <c r="H656" s="22"/>
      <c r="I656" s="23"/>
      <c r="J656" s="23"/>
      <c r="K656" s="23"/>
      <c r="L656" s="23"/>
      <c r="M656" s="23"/>
      <c r="N656" s="23"/>
      <c r="O656" s="23"/>
      <c r="P656" s="23"/>
      <c r="Q656" s="23"/>
      <c r="R656" s="23"/>
      <c r="S656" s="23"/>
      <c r="T656" s="23"/>
      <c r="U656" s="23"/>
      <c r="V656" s="23"/>
      <c r="W656" s="23"/>
      <c r="X656" s="4" t="s">
        <v>3593</v>
      </c>
    </row>
    <row r="657" spans="1:24" x14ac:dyDescent="0.25">
      <c r="A657" s="21" t="s">
        <v>268</v>
      </c>
      <c r="B657" s="21" t="str">
        <f t="shared" si="11"/>
        <v>10063011</v>
      </c>
      <c r="C657" s="21" t="str">
        <f>Tabela5[[#This Row],[Cod. Ncm]]&amp;"-"&amp;Tabela5[[#This Row],[Operações]]</f>
        <v>10063011-Internas</v>
      </c>
      <c r="D657" s="22" t="s">
        <v>579</v>
      </c>
      <c r="E657" s="22"/>
      <c r="F657" s="22">
        <v>7</v>
      </c>
      <c r="G657" s="22" t="s">
        <v>3593</v>
      </c>
      <c r="H657" s="22"/>
      <c r="I657" s="23"/>
      <c r="J657" s="23"/>
      <c r="K657" s="23"/>
      <c r="L657" s="23"/>
      <c r="M657" s="23"/>
      <c r="N657" s="23"/>
      <c r="O657" s="23"/>
      <c r="P657" s="23"/>
      <c r="Q657" s="23"/>
      <c r="R657" s="23"/>
      <c r="S657" s="23"/>
      <c r="T657" s="23"/>
      <c r="U657" s="23"/>
      <c r="V657" s="23"/>
      <c r="W657" s="23"/>
      <c r="X657" s="4" t="s">
        <v>3593</v>
      </c>
    </row>
    <row r="658" spans="1:24" x14ac:dyDescent="0.25">
      <c r="A658" s="21" t="s">
        <v>3346</v>
      </c>
      <c r="B658" s="21" t="str">
        <f t="shared" si="11"/>
        <v>10063019</v>
      </c>
      <c r="C658" s="21" t="str">
        <f>Tabela5[[#This Row],[Cod. Ncm]]&amp;"-"&amp;Tabela5[[#This Row],[Operações]]</f>
        <v>10063019-Internas</v>
      </c>
      <c r="D658" s="22" t="s">
        <v>579</v>
      </c>
      <c r="E658" s="22"/>
      <c r="F658" s="22">
        <v>7</v>
      </c>
      <c r="G658" s="22" t="s">
        <v>3593</v>
      </c>
      <c r="H658" s="22"/>
      <c r="I658" s="23"/>
      <c r="J658" s="23"/>
      <c r="K658" s="23"/>
      <c r="L658" s="23"/>
      <c r="M658" s="23"/>
      <c r="N658" s="23"/>
      <c r="O658" s="23"/>
      <c r="P658" s="23"/>
      <c r="Q658" s="23"/>
      <c r="R658" s="23"/>
      <c r="S658" s="23"/>
      <c r="T658" s="23"/>
      <c r="U658" s="23"/>
      <c r="V658" s="23"/>
      <c r="W658" s="23"/>
      <c r="X658" s="4" t="s">
        <v>3593</v>
      </c>
    </row>
    <row r="659" spans="1:24" x14ac:dyDescent="0.25">
      <c r="A659" s="21" t="s">
        <v>364</v>
      </c>
      <c r="B659" s="21" t="str">
        <f t="shared" si="11"/>
        <v>11081900</v>
      </c>
      <c r="C659" s="21" t="str">
        <f>Tabela5[[#This Row],[Cod. Ncm]]&amp;"-"&amp;Tabela5[[#This Row],[Operações]]</f>
        <v>11081900-Internas</v>
      </c>
      <c r="D659" s="22" t="s">
        <v>579</v>
      </c>
      <c r="E659" s="22"/>
      <c r="F659" s="22">
        <v>7</v>
      </c>
      <c r="G659" s="22" t="s">
        <v>3598</v>
      </c>
      <c r="H659" s="22"/>
      <c r="I659" s="23"/>
      <c r="J659" s="23"/>
      <c r="K659" s="23"/>
      <c r="L659" s="23"/>
      <c r="M659" s="23"/>
      <c r="N659" s="23"/>
      <c r="O659" s="23"/>
      <c r="P659" s="23"/>
      <c r="Q659" s="23"/>
      <c r="R659" s="23"/>
      <c r="S659" s="23"/>
      <c r="T659" s="23"/>
      <c r="U659" s="23"/>
      <c r="V659" s="23"/>
      <c r="W659" s="23"/>
      <c r="X659" s="4" t="s">
        <v>3598</v>
      </c>
    </row>
    <row r="660" spans="1:24" x14ac:dyDescent="0.25">
      <c r="A660" s="21" t="s">
        <v>3422</v>
      </c>
      <c r="B660" s="21" t="str">
        <f t="shared" si="11"/>
        <v>15121110</v>
      </c>
      <c r="C660" s="21" t="str">
        <f>Tabela5[[#This Row],[Cod. Ncm]]&amp;"-"&amp;Tabela5[[#This Row],[Operações]]</f>
        <v>15121110-internas</v>
      </c>
      <c r="D660" s="22" t="s">
        <v>2412</v>
      </c>
      <c r="E660" s="22"/>
      <c r="F660" s="22">
        <v>7</v>
      </c>
      <c r="G660" s="22" t="s">
        <v>3585</v>
      </c>
      <c r="H660" s="22"/>
      <c r="I660" s="23"/>
      <c r="J660" s="23"/>
      <c r="K660" s="23"/>
      <c r="L660" s="23"/>
      <c r="M660" s="23"/>
      <c r="N660" s="23"/>
      <c r="O660" s="23"/>
      <c r="P660" s="23"/>
      <c r="Q660" s="23"/>
      <c r="R660" s="23"/>
      <c r="S660" s="23"/>
      <c r="T660" s="23"/>
      <c r="U660" s="23"/>
      <c r="V660" s="23"/>
      <c r="W660" s="23"/>
      <c r="X660" s="4" t="s">
        <v>3585</v>
      </c>
    </row>
    <row r="661" spans="1:24" x14ac:dyDescent="0.25">
      <c r="A661" s="21" t="s">
        <v>3356</v>
      </c>
      <c r="B661" s="21" t="str">
        <f t="shared" si="11"/>
        <v>15119000</v>
      </c>
      <c r="C661" s="21" t="str">
        <f>Tabela5[[#This Row],[Cod. Ncm]]&amp;"-"&amp;Tabela5[[#This Row],[Operações]]</f>
        <v>15119000-Internas</v>
      </c>
      <c r="D661" s="22" t="s">
        <v>579</v>
      </c>
      <c r="E661" s="22"/>
      <c r="F661" s="22">
        <v>7</v>
      </c>
      <c r="G661" s="22" t="s">
        <v>3599</v>
      </c>
      <c r="H661" s="22"/>
      <c r="I661" s="23"/>
      <c r="J661" s="23"/>
      <c r="K661" s="23"/>
      <c r="L661" s="23"/>
      <c r="M661" s="23"/>
      <c r="N661" s="23"/>
      <c r="O661" s="23"/>
      <c r="P661" s="23"/>
      <c r="Q661" s="23"/>
      <c r="R661" s="23"/>
      <c r="S661" s="23"/>
      <c r="T661" s="23"/>
      <c r="U661" s="23"/>
      <c r="V661" s="23"/>
      <c r="W661" s="23"/>
      <c r="X661" s="4"/>
    </row>
    <row r="662" spans="1:24" x14ac:dyDescent="0.25">
      <c r="A662" s="21" t="s">
        <v>3357</v>
      </c>
      <c r="B662" s="21" t="str">
        <f t="shared" si="11"/>
        <v>15131900</v>
      </c>
      <c r="C662" s="21" t="str">
        <f>Tabela5[[#This Row],[Cod. Ncm]]&amp;"-"&amp;Tabela5[[#This Row],[Operações]]</f>
        <v>15131900-Internas</v>
      </c>
      <c r="D662" s="22" t="s">
        <v>579</v>
      </c>
      <c r="E662" s="22"/>
      <c r="F662" s="22">
        <v>7</v>
      </c>
      <c r="G662" s="22" t="s">
        <v>3600</v>
      </c>
      <c r="H662" s="22"/>
      <c r="I662" s="23"/>
      <c r="J662" s="23"/>
      <c r="K662" s="23"/>
      <c r="L662" s="23"/>
      <c r="M662" s="23"/>
      <c r="N662" s="23"/>
      <c r="O662" s="23"/>
      <c r="P662" s="23"/>
      <c r="Q662" s="23"/>
      <c r="R662" s="23"/>
      <c r="S662" s="23"/>
      <c r="T662" s="23"/>
      <c r="U662" s="23"/>
      <c r="V662" s="23"/>
      <c r="W662" s="23"/>
      <c r="X662" s="4" t="s">
        <v>3600</v>
      </c>
    </row>
    <row r="663" spans="1:24" x14ac:dyDescent="0.25">
      <c r="A663" s="21" t="s">
        <v>222</v>
      </c>
      <c r="B663" s="21" t="str">
        <f t="shared" si="11"/>
        <v>21023000</v>
      </c>
      <c r="C663" s="21" t="str">
        <f>Tabela5[[#This Row],[Cod. Ncm]]&amp;"-"&amp;Tabela5[[#This Row],[Operações]]</f>
        <v>21023000-Internas</v>
      </c>
      <c r="D663" s="22" t="s">
        <v>579</v>
      </c>
      <c r="E663" s="22" t="s">
        <v>585</v>
      </c>
      <c r="F663" s="22">
        <v>12</v>
      </c>
      <c r="G663" s="22" t="s">
        <v>3601</v>
      </c>
      <c r="H663" s="22"/>
      <c r="I663" s="23"/>
      <c r="J663" s="23"/>
      <c r="K663" s="23"/>
      <c r="L663" s="23"/>
      <c r="M663" s="23"/>
      <c r="N663" s="23"/>
      <c r="O663" s="23"/>
      <c r="P663" s="23"/>
      <c r="Q663" s="23"/>
      <c r="R663" s="23"/>
      <c r="S663" s="23"/>
      <c r="T663" s="23"/>
      <c r="U663" s="23"/>
      <c r="V663" s="23"/>
      <c r="W663" s="23"/>
      <c r="X663" s="4"/>
    </row>
    <row r="664" spans="1:24" x14ac:dyDescent="0.25">
      <c r="A664" s="21" t="s">
        <v>247</v>
      </c>
      <c r="B664" s="21" t="str">
        <f t="shared" si="11"/>
        <v>21069029</v>
      </c>
      <c r="C664" s="21" t="str">
        <f>Tabela5[[#This Row],[Cod. Ncm]]&amp;"-"&amp;Tabela5[[#This Row],[Operações]]</f>
        <v>21069029-Internas</v>
      </c>
      <c r="D664" s="22" t="s">
        <v>579</v>
      </c>
      <c r="E664" s="22" t="s">
        <v>585</v>
      </c>
      <c r="F664" s="22">
        <v>12</v>
      </c>
      <c r="G664" s="22" t="s">
        <v>3602</v>
      </c>
      <c r="H664" s="22"/>
      <c r="I664" s="23"/>
      <c r="J664" s="23"/>
      <c r="K664" s="23"/>
      <c r="L664" s="23"/>
      <c r="M664" s="23"/>
      <c r="N664" s="23"/>
      <c r="O664" s="23"/>
      <c r="P664" s="23"/>
      <c r="Q664" s="23"/>
      <c r="R664" s="23"/>
      <c r="S664" s="23"/>
      <c r="T664" s="23"/>
      <c r="U664" s="23"/>
      <c r="V664" s="23"/>
      <c r="W664" s="23"/>
      <c r="X664" s="4" t="s">
        <v>3602</v>
      </c>
    </row>
    <row r="665" spans="1:24" x14ac:dyDescent="0.25">
      <c r="A665" s="21" t="s">
        <v>340</v>
      </c>
      <c r="B665" s="21" t="str">
        <f t="shared" si="11"/>
        <v>34012010</v>
      </c>
      <c r="C665" s="21" t="str">
        <f>Tabela5[[#This Row],[Cod. Ncm]]&amp;"-"&amp;Tabela5[[#This Row],[Operações]]</f>
        <v>34012010-Internas</v>
      </c>
      <c r="D665" s="22" t="s">
        <v>579</v>
      </c>
      <c r="E665" s="22"/>
      <c r="F665" s="22">
        <v>7</v>
      </c>
      <c r="G665" s="22" t="s">
        <v>3594</v>
      </c>
      <c r="H665" s="22"/>
      <c r="I665" s="23"/>
      <c r="J665" s="23"/>
      <c r="K665" s="23"/>
      <c r="L665" s="23"/>
      <c r="M665" s="23"/>
      <c r="N665" s="23"/>
      <c r="O665" s="23"/>
      <c r="P665" s="23"/>
      <c r="Q665" s="23"/>
      <c r="R665" s="23"/>
      <c r="S665" s="23"/>
      <c r="T665" s="23"/>
      <c r="U665" s="23"/>
      <c r="V665" s="23"/>
      <c r="W665" s="23"/>
      <c r="X665" s="4" t="s">
        <v>3594</v>
      </c>
    </row>
    <row r="666" spans="1:24" x14ac:dyDescent="0.25">
      <c r="A666" s="21" t="s">
        <v>367</v>
      </c>
      <c r="B666" s="21" t="str">
        <f t="shared" si="11"/>
        <v>38089411</v>
      </c>
      <c r="C666" s="21" t="str">
        <f>Tabela5[[#This Row],[Cod. Ncm]]&amp;"-"&amp;Tabela5[[#This Row],[Operações]]</f>
        <v>38089411-Internas</v>
      </c>
      <c r="D666" s="22" t="s">
        <v>579</v>
      </c>
      <c r="E666" s="22" t="s">
        <v>593</v>
      </c>
      <c r="F666" s="22">
        <v>7</v>
      </c>
      <c r="G666" s="22" t="s">
        <v>3588</v>
      </c>
      <c r="H666" s="22"/>
      <c r="I666" s="23"/>
      <c r="J666" s="23"/>
      <c r="K666" s="23"/>
      <c r="L666" s="23"/>
      <c r="M666" s="23"/>
      <c r="N666" s="23"/>
      <c r="O666" s="23"/>
      <c r="P666" s="23"/>
      <c r="Q666" s="23"/>
      <c r="R666" s="23"/>
      <c r="S666" s="23"/>
      <c r="T666" s="23"/>
      <c r="U666" s="23"/>
      <c r="V666" s="23"/>
      <c r="W666" s="23"/>
      <c r="X666" s="4"/>
    </row>
    <row r="667" spans="1:24" x14ac:dyDescent="0.25">
      <c r="A667" s="21" t="s">
        <v>3568</v>
      </c>
      <c r="B667" s="21" t="str">
        <f t="shared" si="11"/>
        <v>40169200</v>
      </c>
      <c r="C667" s="21" t="str">
        <f>Tabela5[[#This Row],[Cod. Ncm]]&amp;"-"&amp;Tabela5[[#This Row],[Operações]]</f>
        <v>40169200-Internas</v>
      </c>
      <c r="D667" s="22" t="s">
        <v>579</v>
      </c>
      <c r="E667" s="22" t="s">
        <v>585</v>
      </c>
      <c r="F667" s="22">
        <v>12</v>
      </c>
      <c r="G667" s="22" t="s">
        <v>3603</v>
      </c>
      <c r="H667" s="22"/>
      <c r="I667" s="23"/>
      <c r="J667" s="23"/>
      <c r="K667" s="23"/>
      <c r="L667" s="23"/>
      <c r="M667" s="23"/>
      <c r="N667" s="23"/>
      <c r="O667" s="23"/>
      <c r="P667" s="23"/>
      <c r="Q667" s="23"/>
      <c r="R667" s="23"/>
      <c r="S667" s="23"/>
      <c r="T667" s="23"/>
      <c r="U667" s="23"/>
      <c r="V667" s="23"/>
      <c r="W667" s="23"/>
      <c r="X667" s="4"/>
    </row>
    <row r="668" spans="1:24" x14ac:dyDescent="0.25">
      <c r="A668" s="21" t="s">
        <v>3569</v>
      </c>
      <c r="B668" s="21" t="str">
        <f t="shared" si="11"/>
        <v>48202000</v>
      </c>
      <c r="C668" s="21" t="str">
        <f>Tabela5[[#This Row],[Cod. Ncm]]&amp;"-"&amp;Tabela5[[#This Row],[Operações]]</f>
        <v>48202000-Internas</v>
      </c>
      <c r="D668" s="22" t="s">
        <v>579</v>
      </c>
      <c r="E668" s="22" t="s">
        <v>585</v>
      </c>
      <c r="F668" s="22">
        <v>12</v>
      </c>
      <c r="G668" s="22" t="s">
        <v>3604</v>
      </c>
      <c r="H668" s="22"/>
      <c r="I668" s="23"/>
      <c r="J668" s="23"/>
      <c r="K668" s="23"/>
      <c r="L668" s="23"/>
      <c r="M668" s="23"/>
      <c r="N668" s="23"/>
      <c r="O668" s="23"/>
      <c r="P668" s="23"/>
      <c r="Q668" s="23"/>
      <c r="R668" s="23"/>
      <c r="S668" s="23"/>
      <c r="T668" s="23"/>
      <c r="U668" s="23"/>
      <c r="V668" s="23"/>
      <c r="W668" s="23"/>
      <c r="X668" s="4"/>
    </row>
    <row r="669" spans="1:24" x14ac:dyDescent="0.25">
      <c r="A669" s="21" t="s">
        <v>3570</v>
      </c>
      <c r="B669" s="21" t="str">
        <f t="shared" si="11"/>
        <v>96081000</v>
      </c>
      <c r="C669" s="21" t="str">
        <f>Tabela5[[#This Row],[Cod. Ncm]]&amp;"-"&amp;Tabela5[[#This Row],[Operações]]</f>
        <v>96081000-Internas</v>
      </c>
      <c r="D669" s="22" t="s">
        <v>579</v>
      </c>
      <c r="E669" s="22" t="s">
        <v>585</v>
      </c>
      <c r="F669" s="22">
        <v>12</v>
      </c>
      <c r="G669" s="22" t="s">
        <v>3605</v>
      </c>
      <c r="H669" s="22"/>
      <c r="I669" s="23"/>
      <c r="J669" s="23"/>
      <c r="K669" s="23"/>
      <c r="L669" s="23"/>
      <c r="M669" s="23"/>
      <c r="N669" s="23"/>
      <c r="O669" s="23"/>
      <c r="P669" s="23"/>
      <c r="Q669" s="23"/>
      <c r="R669" s="23"/>
      <c r="S669" s="23"/>
      <c r="T669" s="23"/>
      <c r="U669" s="23"/>
      <c r="V669" s="23"/>
      <c r="W669" s="23"/>
      <c r="X669" s="4"/>
    </row>
    <row r="670" spans="1:24" x14ac:dyDescent="0.25">
      <c r="A670" s="21" t="s">
        <v>3571</v>
      </c>
      <c r="B670" s="21" t="str">
        <f t="shared" si="11"/>
        <v>96091000</v>
      </c>
      <c r="C670" s="21" t="str">
        <f>Tabela5[[#This Row],[Cod. Ncm]]&amp;"-"&amp;Tabela5[[#This Row],[Operações]]</f>
        <v>96091000-Internas</v>
      </c>
      <c r="D670" s="22" t="s">
        <v>579</v>
      </c>
      <c r="E670" s="22" t="s">
        <v>585</v>
      </c>
      <c r="F670" s="22">
        <v>12</v>
      </c>
      <c r="G670" s="22" t="s">
        <v>3606</v>
      </c>
      <c r="H670" s="22"/>
      <c r="I670" s="23"/>
      <c r="J670" s="23"/>
      <c r="K670" s="23"/>
      <c r="L670" s="23"/>
      <c r="M670" s="23"/>
      <c r="N670" s="23"/>
      <c r="O670" s="23"/>
      <c r="P670" s="23"/>
      <c r="Q670" s="23"/>
      <c r="R670" s="23"/>
      <c r="S670" s="23"/>
      <c r="T670" s="23"/>
      <c r="U670" s="23"/>
      <c r="V670" s="23"/>
      <c r="W670" s="23"/>
      <c r="X670" s="4" t="s">
        <v>3606</v>
      </c>
    </row>
    <row r="671" spans="1:24" x14ac:dyDescent="0.25">
      <c r="A671" s="21" t="s">
        <v>3429</v>
      </c>
      <c r="B671" s="21" t="str">
        <f t="shared" si="11"/>
        <v>28289019</v>
      </c>
      <c r="C671" s="21" t="str">
        <f>Tabela5[[#This Row],[Cod. Ncm]]&amp;"-"&amp;Tabela5[[#This Row],[Operações]]</f>
        <v>28289019-Internas</v>
      </c>
      <c r="D671" s="22" t="s">
        <v>579</v>
      </c>
      <c r="E671" s="22" t="s">
        <v>593</v>
      </c>
      <c r="F671" s="22">
        <v>7</v>
      </c>
      <c r="G671" s="22" t="s">
        <v>3587</v>
      </c>
      <c r="H671" s="22"/>
      <c r="I671" s="23"/>
      <c r="J671" s="23"/>
      <c r="K671" s="23"/>
      <c r="L671" s="23"/>
      <c r="M671" s="23"/>
      <c r="N671" s="23"/>
      <c r="O671" s="23"/>
      <c r="P671" s="23"/>
      <c r="Q671" s="23"/>
      <c r="R671" s="23"/>
      <c r="S671" s="23"/>
      <c r="T671" s="23"/>
      <c r="U671" s="23"/>
      <c r="V671" s="23"/>
      <c r="W671" s="23"/>
      <c r="X671" s="4" t="s">
        <v>3587</v>
      </c>
    </row>
    <row r="672" spans="1:24" x14ac:dyDescent="0.25">
      <c r="A672" s="21" t="s">
        <v>246</v>
      </c>
      <c r="B672" s="21" t="str">
        <f t="shared" si="11"/>
        <v>09030090</v>
      </c>
      <c r="C672" s="21" t="str">
        <f>Tabela5[[#This Row],[Cod. Ncm]]&amp;"-"&amp;Tabela5[[#This Row],[Operações]]</f>
        <v>09030090-Internas</v>
      </c>
      <c r="D672" s="22" t="s">
        <v>579</v>
      </c>
      <c r="E672" s="22"/>
      <c r="F672" s="22">
        <v>12</v>
      </c>
      <c r="G672" s="22" t="s">
        <v>2413</v>
      </c>
      <c r="H672" s="22"/>
      <c r="I672" s="23"/>
      <c r="J672" s="23"/>
      <c r="K672" s="23"/>
      <c r="L672" s="23"/>
      <c r="M672" s="23"/>
      <c r="N672" s="23"/>
      <c r="O672" s="23"/>
      <c r="P672" s="23"/>
      <c r="Q672" s="23"/>
      <c r="R672" s="23"/>
      <c r="S672" s="23"/>
      <c r="T672" s="23"/>
      <c r="U672" s="23"/>
      <c r="V672" s="23"/>
      <c r="W672" s="23"/>
      <c r="X672" s="4"/>
    </row>
    <row r="673" spans="1:24" x14ac:dyDescent="0.25">
      <c r="A673" s="21" t="s">
        <v>204</v>
      </c>
      <c r="B673" s="21" t="str">
        <f t="shared" si="11"/>
        <v>10063021</v>
      </c>
      <c r="C673" s="21" t="str">
        <f>Tabela5[[#This Row],[Cod. Ncm]]&amp;"-"&amp;Tabela5[[#This Row],[Operações]]</f>
        <v>10063021-Internas</v>
      </c>
      <c r="D673" s="22" t="s">
        <v>579</v>
      </c>
      <c r="E673" s="22"/>
      <c r="F673" s="22">
        <v>7</v>
      </c>
      <c r="G673" s="22" t="s">
        <v>3593</v>
      </c>
      <c r="H673" s="22"/>
      <c r="I673" s="23"/>
      <c r="J673" s="23"/>
      <c r="K673" s="23"/>
      <c r="L673" s="23"/>
      <c r="M673" s="23"/>
      <c r="N673" s="23"/>
      <c r="O673" s="23"/>
      <c r="P673" s="23"/>
      <c r="Q673" s="23"/>
      <c r="R673" s="23"/>
      <c r="S673" s="23"/>
      <c r="T673" s="23"/>
      <c r="U673" s="23"/>
      <c r="V673" s="23"/>
      <c r="W673" s="23"/>
      <c r="X673" s="4" t="s">
        <v>3593</v>
      </c>
    </row>
    <row r="674" spans="1:24" x14ac:dyDescent="0.25">
      <c r="A674" s="21" t="s">
        <v>377</v>
      </c>
      <c r="B674" s="21" t="str">
        <f t="shared" si="11"/>
        <v>10063029</v>
      </c>
      <c r="C674" s="21" t="str">
        <f>Tabela5[[#This Row],[Cod. Ncm]]&amp;"-"&amp;Tabela5[[#This Row],[Operações]]</f>
        <v>10063029-Internas</v>
      </c>
      <c r="D674" s="22" t="s">
        <v>579</v>
      </c>
      <c r="E674" s="22"/>
      <c r="F674" s="22">
        <v>7</v>
      </c>
      <c r="G674" s="22" t="s">
        <v>3593</v>
      </c>
      <c r="H674" s="22"/>
      <c r="I674" s="23"/>
      <c r="J674" s="23"/>
      <c r="K674" s="23"/>
      <c r="L674" s="23"/>
      <c r="M674" s="23"/>
      <c r="N674" s="23"/>
      <c r="O674" s="23"/>
      <c r="P674" s="23"/>
      <c r="Q674" s="23"/>
      <c r="R674" s="23"/>
      <c r="S674" s="23"/>
      <c r="T674" s="23"/>
      <c r="U674" s="23"/>
      <c r="V674" s="23"/>
      <c r="W674" s="23"/>
      <c r="X674" s="4" t="s">
        <v>3593</v>
      </c>
    </row>
    <row r="675" spans="1:24" x14ac:dyDescent="0.25">
      <c r="A675" s="21" t="s">
        <v>3573</v>
      </c>
      <c r="B675" s="21" t="str">
        <f t="shared" si="11"/>
        <v>07133990</v>
      </c>
      <c r="C675" s="21" t="str">
        <f>Tabela5[[#This Row],[Cod. Ncm]]&amp;"-"&amp;Tabela5[[#This Row],[Operações]]</f>
        <v>07133990-Internas</v>
      </c>
      <c r="D675" s="22" t="s">
        <v>579</v>
      </c>
      <c r="E675" s="22"/>
      <c r="F675" s="22">
        <v>7</v>
      </c>
      <c r="G675" s="22" t="s">
        <v>2411</v>
      </c>
      <c r="H675" s="22"/>
      <c r="I675" s="23"/>
      <c r="J675" s="23"/>
      <c r="K675" s="23"/>
      <c r="L675" s="23"/>
      <c r="M675" s="23"/>
      <c r="N675" s="23"/>
      <c r="O675" s="23"/>
      <c r="P675" s="23"/>
      <c r="Q675" s="23"/>
      <c r="R675" s="23"/>
      <c r="S675" s="23"/>
      <c r="T675" s="23"/>
      <c r="U675" s="23"/>
      <c r="V675" s="23"/>
      <c r="W675" s="23"/>
      <c r="X675" s="4"/>
    </row>
    <row r="676" spans="1:24" x14ac:dyDescent="0.25">
      <c r="A676" s="21" t="s">
        <v>3391</v>
      </c>
      <c r="B676" s="21" t="str">
        <f t="shared" si="11"/>
        <v>07082000</v>
      </c>
      <c r="C676" s="21" t="str">
        <f>Tabela5[[#This Row],[Cod. Ncm]]&amp;"-"&amp;Tabela5[[#This Row],[Operações]]</f>
        <v>07082000-Internas</v>
      </c>
      <c r="D676" s="22" t="s">
        <v>579</v>
      </c>
      <c r="E676" s="22"/>
      <c r="F676" s="22">
        <v>7</v>
      </c>
      <c r="G676" s="22" t="s">
        <v>2411</v>
      </c>
      <c r="H676" s="22"/>
      <c r="I676" s="23"/>
      <c r="J676" s="23"/>
      <c r="K676" s="23"/>
      <c r="L676" s="23"/>
      <c r="M676" s="23"/>
      <c r="N676" s="23"/>
      <c r="O676" s="23"/>
      <c r="P676" s="23"/>
      <c r="Q676" s="23"/>
      <c r="R676" s="23"/>
      <c r="S676" s="23"/>
      <c r="T676" s="23"/>
      <c r="U676" s="23"/>
      <c r="V676" s="23"/>
      <c r="W676" s="23"/>
      <c r="X676" s="4"/>
    </row>
    <row r="677" spans="1:24" x14ac:dyDescent="0.25">
      <c r="A677" s="21" t="s">
        <v>3574</v>
      </c>
      <c r="B677" s="21" t="str">
        <f t="shared" si="11"/>
        <v>17011300</v>
      </c>
      <c r="C677" s="21" t="str">
        <f>Tabela5[[#This Row],[Cod. Ncm]]&amp;"-"&amp;Tabela5[[#This Row],[Operações]]</f>
        <v>17011300-Internas</v>
      </c>
      <c r="D677" s="22" t="s">
        <v>579</v>
      </c>
      <c r="E677" s="22"/>
      <c r="F677" s="22">
        <v>7</v>
      </c>
      <c r="G677" s="22" t="s">
        <v>4729</v>
      </c>
      <c r="H677" s="22"/>
      <c r="I677" s="23"/>
      <c r="J677" s="23"/>
      <c r="K677" s="23"/>
      <c r="L677" s="23"/>
      <c r="M677" s="23"/>
      <c r="N677" s="23"/>
      <c r="O677" s="23"/>
      <c r="P677" s="23"/>
      <c r="Q677" s="23"/>
      <c r="R677" s="23"/>
      <c r="S677" s="23"/>
      <c r="T677" s="23"/>
      <c r="U677" s="23"/>
      <c r="V677" s="23"/>
      <c r="W677" s="23"/>
      <c r="X677" s="4" t="s">
        <v>3581</v>
      </c>
    </row>
    <row r="678" spans="1:24" x14ac:dyDescent="0.25">
      <c r="A678" s="21" t="s">
        <v>333</v>
      </c>
      <c r="B678" s="21" t="str">
        <f t="shared" si="11"/>
        <v>21021090</v>
      </c>
      <c r="C678" s="21" t="str">
        <f>Tabela5[[#This Row],[Cod. Ncm]]&amp;"-"&amp;Tabela5[[#This Row],[Operações]]</f>
        <v>21021090-Internas</v>
      </c>
      <c r="D678" s="24" t="s">
        <v>579</v>
      </c>
      <c r="E678" s="24" t="s">
        <v>585</v>
      </c>
      <c r="F678" s="22">
        <v>12</v>
      </c>
      <c r="G678" s="24" t="s">
        <v>3601</v>
      </c>
      <c r="H678" s="24"/>
      <c r="I678" s="25"/>
      <c r="J678" s="25"/>
      <c r="K678" s="25"/>
      <c r="L678" s="25"/>
      <c r="M678" s="25"/>
      <c r="N678" s="25"/>
      <c r="O678" s="25"/>
      <c r="P678" s="25"/>
      <c r="Q678" s="25"/>
      <c r="R678" s="25"/>
      <c r="S678" s="25"/>
      <c r="T678" s="25"/>
      <c r="U678" s="25"/>
      <c r="V678" s="25"/>
      <c r="W678" s="25"/>
      <c r="X678" s="4"/>
    </row>
    <row r="679" spans="1:24" x14ac:dyDescent="0.25">
      <c r="A679" s="21" t="s">
        <v>169</v>
      </c>
      <c r="B679" s="21" t="str">
        <f t="shared" si="11"/>
        <v>11062000</v>
      </c>
      <c r="C679" s="21" t="str">
        <f>Tabela5[[#This Row],[Cod. Ncm]]&amp;"-"&amp;Tabela5[[#This Row],[Operações]]</f>
        <v>11062000-Internas</v>
      </c>
      <c r="D679" s="24" t="s">
        <v>579</v>
      </c>
      <c r="E679" s="24"/>
      <c r="F679" s="22">
        <v>7</v>
      </c>
      <c r="G679" s="24" t="s">
        <v>3607</v>
      </c>
      <c r="H679" s="24"/>
      <c r="I679" s="25"/>
      <c r="J679" s="25"/>
      <c r="K679" s="25"/>
      <c r="L679" s="25"/>
      <c r="M679" s="25"/>
      <c r="N679" s="25"/>
      <c r="O679" s="25"/>
      <c r="P679" s="25"/>
      <c r="Q679" s="25"/>
      <c r="R679" s="25"/>
      <c r="S679" s="25"/>
      <c r="T679" s="25"/>
      <c r="U679" s="25"/>
      <c r="V679" s="25"/>
      <c r="W679" s="25"/>
      <c r="X679" s="4" t="s">
        <v>3607</v>
      </c>
    </row>
    <row r="680" spans="1:24" x14ac:dyDescent="0.25">
      <c r="A680" s="21" t="s">
        <v>199</v>
      </c>
      <c r="B680" s="21" t="str">
        <f t="shared" si="11"/>
        <v>19021900</v>
      </c>
      <c r="C680" s="21" t="str">
        <f>Tabela5[[#This Row],[Cod. Ncm]]&amp;"-"&amp;Tabela5[[#This Row],[Operações]]</f>
        <v>19021900-Internas</v>
      </c>
      <c r="D680" s="22" t="s">
        <v>579</v>
      </c>
      <c r="E680" s="22"/>
      <c r="F680" s="22">
        <v>7</v>
      </c>
      <c r="G680" s="22" t="s">
        <v>3592</v>
      </c>
      <c r="H680" s="22"/>
      <c r="I680" s="23"/>
      <c r="J680" s="23"/>
      <c r="K680" s="23"/>
      <c r="L680" s="23"/>
      <c r="M680" s="23"/>
      <c r="N680" s="23"/>
      <c r="O680" s="23"/>
      <c r="P680" s="23"/>
      <c r="Q680" s="23"/>
      <c r="R680" s="23"/>
      <c r="S680" s="23"/>
      <c r="T680" s="23"/>
      <c r="U680" s="23"/>
      <c r="V680" s="23"/>
      <c r="W680" s="23"/>
      <c r="X680" s="4" t="s">
        <v>3592</v>
      </c>
    </row>
    <row r="681" spans="1:24" x14ac:dyDescent="0.25">
      <c r="A681" s="21" t="s">
        <v>178</v>
      </c>
      <c r="B681" s="21" t="str">
        <f t="shared" si="11"/>
        <v>04061090</v>
      </c>
      <c r="C681" s="21" t="str">
        <f>Tabela5[[#This Row],[Cod. Ncm]]&amp;"-"&amp;Tabela5[[#This Row],[Operações]]</f>
        <v>04061090-Internas</v>
      </c>
      <c r="D681" s="22" t="s">
        <v>579</v>
      </c>
      <c r="E681" s="22"/>
      <c r="F681" s="22">
        <v>7</v>
      </c>
      <c r="G681" s="22" t="s">
        <v>3597</v>
      </c>
      <c r="H681" s="22"/>
      <c r="I681" s="23"/>
      <c r="J681" s="23"/>
      <c r="K681" s="23"/>
      <c r="L681" s="23"/>
      <c r="M681" s="23"/>
      <c r="N681" s="23"/>
      <c r="O681" s="23"/>
      <c r="P681" s="23"/>
      <c r="Q681" s="23"/>
      <c r="R681" s="23"/>
      <c r="S681" s="23"/>
      <c r="T681" s="23"/>
      <c r="U681" s="23"/>
      <c r="V681" s="23"/>
      <c r="W681" s="23"/>
      <c r="X681" s="4" t="s">
        <v>3597</v>
      </c>
    </row>
    <row r="682" spans="1:24" x14ac:dyDescent="0.25">
      <c r="A682" s="21" t="s">
        <v>172</v>
      </c>
      <c r="B682" s="21" t="str">
        <f t="shared" si="11"/>
        <v>19059090</v>
      </c>
      <c r="C682" s="21" t="str">
        <f>Tabela5[[#This Row],[Cod. Ncm]]&amp;"-"&amp;Tabela5[[#This Row],[Operações]]</f>
        <v>19059090-Internas</v>
      </c>
      <c r="D682" s="22" t="s">
        <v>579</v>
      </c>
      <c r="E682" s="22"/>
      <c r="F682" s="22">
        <v>7</v>
      </c>
      <c r="G682" s="22" t="s">
        <v>3608</v>
      </c>
      <c r="H682" s="22"/>
      <c r="I682" s="23"/>
      <c r="J682" s="23"/>
      <c r="K682" s="23"/>
      <c r="L682" s="23"/>
      <c r="M682" s="23"/>
      <c r="N682" s="23"/>
      <c r="O682" s="23"/>
      <c r="P682" s="23"/>
      <c r="Q682" s="23"/>
      <c r="R682" s="23"/>
      <c r="S682" s="23"/>
      <c r="T682" s="23"/>
      <c r="U682" s="23"/>
      <c r="V682" s="23"/>
      <c r="W682" s="23"/>
      <c r="X682" s="4" t="s">
        <v>3608</v>
      </c>
    </row>
    <row r="683" spans="1:24" x14ac:dyDescent="0.25">
      <c r="A683" s="21" t="s">
        <v>424</v>
      </c>
      <c r="B683" s="21" t="str">
        <f t="shared" si="11"/>
        <v>38089429</v>
      </c>
      <c r="C683" s="21" t="str">
        <f>Tabela5[[#This Row],[Cod. Ncm]]&amp;"-"&amp;Tabela5[[#This Row],[Operações]]</f>
        <v>38089429-Internas</v>
      </c>
      <c r="D683" s="22" t="s">
        <v>579</v>
      </c>
      <c r="E683" s="22"/>
      <c r="F683" s="22">
        <v>7</v>
      </c>
      <c r="G683" s="22" t="s">
        <v>3588</v>
      </c>
      <c r="H683" s="22"/>
      <c r="I683" s="23"/>
      <c r="J683" s="23"/>
      <c r="K683" s="23"/>
      <c r="L683" s="23"/>
      <c r="M683" s="23"/>
      <c r="N683" s="23"/>
      <c r="O683" s="23"/>
      <c r="P683" s="23"/>
      <c r="Q683" s="23"/>
      <c r="R683" s="23"/>
      <c r="S683" s="23"/>
      <c r="T683" s="23"/>
      <c r="U683" s="23"/>
      <c r="V683" s="23"/>
      <c r="W683" s="23"/>
      <c r="X683" s="4"/>
    </row>
    <row r="684" spans="1:24" x14ac:dyDescent="0.25">
      <c r="A684" s="21" t="s">
        <v>213</v>
      </c>
      <c r="B684" s="21" t="str">
        <f t="shared" si="11"/>
        <v>33061000</v>
      </c>
      <c r="C684" s="21" t="str">
        <f>Tabela5[[#This Row],[Cod. Ncm]]&amp;"-"&amp;Tabela5[[#This Row],[Operações]]</f>
        <v>33061000-Internas</v>
      </c>
      <c r="D684" s="22" t="s">
        <v>579</v>
      </c>
      <c r="E684" s="22"/>
      <c r="F684" s="22">
        <v>7</v>
      </c>
      <c r="G684" s="22" t="s">
        <v>3609</v>
      </c>
      <c r="H684" s="22"/>
      <c r="I684" s="23"/>
      <c r="J684" s="23"/>
      <c r="K684" s="23"/>
      <c r="L684" s="23"/>
      <c r="M684" s="23"/>
      <c r="N684" s="23"/>
      <c r="O684" s="23"/>
      <c r="P684" s="23"/>
      <c r="Q684" s="23"/>
      <c r="R684" s="23"/>
      <c r="S684" s="23"/>
      <c r="T684" s="23"/>
      <c r="U684" s="23"/>
      <c r="V684" s="23"/>
      <c r="W684" s="23"/>
      <c r="X684" s="4"/>
    </row>
    <row r="685" spans="1:24" x14ac:dyDescent="0.25">
      <c r="A685" s="21" t="s">
        <v>3430</v>
      </c>
      <c r="B685" s="21" t="str">
        <f t="shared" si="11"/>
        <v>28289090</v>
      </c>
      <c r="C685" s="21" t="str">
        <f>Tabela5[[#This Row],[Cod. Ncm]]&amp;"-"&amp;Tabela5[[#This Row],[Operações]]</f>
        <v>28289090-Internas</v>
      </c>
      <c r="D685" s="22" t="s">
        <v>579</v>
      </c>
      <c r="E685" s="22" t="s">
        <v>593</v>
      </c>
      <c r="F685" s="22">
        <v>7</v>
      </c>
      <c r="G685" s="22" t="s">
        <v>3610</v>
      </c>
      <c r="H685" s="22"/>
      <c r="I685" s="23"/>
      <c r="J685" s="23"/>
      <c r="K685" s="23"/>
      <c r="L685" s="23"/>
      <c r="M685" s="23"/>
      <c r="N685" s="23"/>
      <c r="O685" s="23"/>
      <c r="P685" s="23"/>
      <c r="Q685" s="23"/>
      <c r="R685" s="23"/>
      <c r="S685" s="23"/>
      <c r="T685" s="23"/>
      <c r="U685" s="23"/>
      <c r="V685" s="23"/>
      <c r="W685" s="23"/>
      <c r="X685" s="4" t="s">
        <v>3610</v>
      </c>
    </row>
    <row r="686" spans="1:24" x14ac:dyDescent="0.25">
      <c r="A686" s="21" t="s">
        <v>3575</v>
      </c>
      <c r="B686" s="21" t="str">
        <f t="shared" si="11"/>
        <v>10064000</v>
      </c>
      <c r="C686" s="21" t="str">
        <f>Tabela5[[#This Row],[Cod. Ncm]]&amp;"-"&amp;Tabela5[[#This Row],[Operações]]</f>
        <v>10064000-Internas</v>
      </c>
      <c r="D686" s="22" t="s">
        <v>579</v>
      </c>
      <c r="E686" s="22"/>
      <c r="F686" s="22">
        <v>7</v>
      </c>
      <c r="G686" s="22" t="s">
        <v>3593</v>
      </c>
      <c r="H686" s="22"/>
      <c r="I686" s="23"/>
      <c r="J686" s="23"/>
      <c r="K686" s="23"/>
      <c r="L686" s="23"/>
      <c r="M686" s="23"/>
      <c r="N686" s="23"/>
      <c r="O686" s="23"/>
      <c r="P686" s="23"/>
      <c r="Q686" s="23"/>
      <c r="R686" s="23"/>
      <c r="S686" s="23"/>
      <c r="T686" s="23"/>
      <c r="U686" s="23"/>
      <c r="V686" s="23"/>
      <c r="W686" s="23"/>
      <c r="X686" s="4" t="s">
        <v>3593</v>
      </c>
    </row>
    <row r="687" spans="1:24" x14ac:dyDescent="0.25">
      <c r="A687" s="21" t="s">
        <v>3451</v>
      </c>
      <c r="B687" s="21" t="str">
        <f t="shared" si="11"/>
        <v>15179090</v>
      </c>
      <c r="C687" s="21" t="str">
        <f>Tabela5[[#This Row],[Cod. Ncm]]&amp;"-"&amp;Tabela5[[#This Row],[Operações]]</f>
        <v>15179090-Internas</v>
      </c>
      <c r="D687" s="22" t="s">
        <v>579</v>
      </c>
      <c r="E687" s="22"/>
      <c r="F687" s="22">
        <v>7</v>
      </c>
      <c r="G687" s="22" t="s">
        <v>3584</v>
      </c>
      <c r="H687" s="22"/>
      <c r="I687" s="23"/>
      <c r="J687" s="23"/>
      <c r="K687" s="23"/>
      <c r="L687" s="23"/>
      <c r="M687" s="23"/>
      <c r="N687" s="23"/>
      <c r="O687" s="23"/>
      <c r="P687" s="23"/>
      <c r="Q687" s="23"/>
      <c r="R687" s="23"/>
      <c r="S687" s="23"/>
      <c r="T687" s="23"/>
      <c r="U687" s="23"/>
      <c r="V687" s="23"/>
      <c r="W687" s="23"/>
      <c r="X687" s="4" t="s">
        <v>3584</v>
      </c>
    </row>
    <row r="688" spans="1:24" x14ac:dyDescent="0.25">
      <c r="A688" s="21" t="s">
        <v>260</v>
      </c>
      <c r="B688" s="21" t="str">
        <f t="shared" si="11"/>
        <v>15121911</v>
      </c>
      <c r="C688" s="21" t="str">
        <f>Tabela5[[#This Row],[Cod. Ncm]]&amp;"-"&amp;Tabela5[[#This Row],[Operações]]</f>
        <v>15121911-internas</v>
      </c>
      <c r="D688" s="22" t="s">
        <v>2412</v>
      </c>
      <c r="E688" s="22"/>
      <c r="F688" s="22">
        <v>7</v>
      </c>
      <c r="G688" s="22" t="s">
        <v>3585</v>
      </c>
      <c r="H688" s="22"/>
      <c r="I688" s="23"/>
      <c r="J688" s="23"/>
      <c r="K688" s="23"/>
      <c r="L688" s="23"/>
      <c r="M688" s="23"/>
      <c r="N688" s="23"/>
      <c r="O688" s="23"/>
      <c r="P688" s="23"/>
      <c r="Q688" s="23"/>
      <c r="R688" s="23"/>
      <c r="S688" s="23"/>
      <c r="T688" s="23"/>
      <c r="U688" s="23"/>
      <c r="V688" s="23"/>
      <c r="W688" s="23"/>
      <c r="X688" s="4" t="s">
        <v>3585</v>
      </c>
    </row>
    <row r="689" spans="1:24" x14ac:dyDescent="0.25">
      <c r="A689" s="21" t="s">
        <v>2738</v>
      </c>
      <c r="B689" s="21" t="str">
        <f t="shared" si="11"/>
        <v>15091000</v>
      </c>
      <c r="C689" s="21" t="str">
        <f>Tabela5[[#This Row],[Cod. Ncm]]&amp;"-"&amp;Tabela5[[#This Row],[Operações]]</f>
        <v>15091000-internas</v>
      </c>
      <c r="D689" s="22" t="s">
        <v>2412</v>
      </c>
      <c r="E689" s="22"/>
      <c r="F689" s="22">
        <v>7</v>
      </c>
      <c r="G689" s="22" t="s">
        <v>3585</v>
      </c>
      <c r="H689" s="22"/>
      <c r="I689" s="23"/>
      <c r="J689" s="23"/>
      <c r="K689" s="23"/>
      <c r="L689" s="23"/>
      <c r="M689" s="23"/>
      <c r="N689" s="23"/>
      <c r="O689" s="23"/>
      <c r="P689" s="23"/>
      <c r="Q689" s="23"/>
      <c r="R689" s="23"/>
      <c r="S689" s="23"/>
      <c r="T689" s="23"/>
      <c r="U689" s="23"/>
      <c r="V689" s="23"/>
      <c r="W689" s="23"/>
      <c r="X689" s="4" t="s">
        <v>3585</v>
      </c>
    </row>
    <row r="690" spans="1:24" x14ac:dyDescent="0.25">
      <c r="A690" s="21" t="s">
        <v>3359</v>
      </c>
      <c r="B690" s="21" t="str">
        <f t="shared" si="11"/>
        <v>15141990</v>
      </c>
      <c r="C690" s="21" t="str">
        <f>Tabela5[[#This Row],[Cod. Ncm]]&amp;"-"&amp;Tabela5[[#This Row],[Operações]]</f>
        <v>15141990-internas</v>
      </c>
      <c r="D690" s="22" t="s">
        <v>2412</v>
      </c>
      <c r="E690" s="22"/>
      <c r="F690" s="22">
        <v>7</v>
      </c>
      <c r="G690" s="22" t="s">
        <v>3585</v>
      </c>
      <c r="H690" s="22"/>
      <c r="I690" s="23"/>
      <c r="J690" s="23"/>
      <c r="K690" s="23"/>
      <c r="L690" s="23"/>
      <c r="M690" s="23"/>
      <c r="N690" s="23"/>
      <c r="O690" s="23"/>
      <c r="P690" s="23"/>
      <c r="Q690" s="23"/>
      <c r="R690" s="23"/>
      <c r="S690" s="23"/>
      <c r="T690" s="23"/>
      <c r="U690" s="23"/>
      <c r="V690" s="23"/>
      <c r="W690" s="23"/>
      <c r="X690" s="4" t="s">
        <v>3585</v>
      </c>
    </row>
    <row r="691" spans="1:24" x14ac:dyDescent="0.25">
      <c r="A691" s="21" t="s">
        <v>3576</v>
      </c>
      <c r="B691" s="21" t="str">
        <f t="shared" si="11"/>
        <v>96039000</v>
      </c>
      <c r="C691" s="21" t="str">
        <f>Tabela5[[#This Row],[Cod. Ncm]]&amp;"-"&amp;Tabela5[[#This Row],[Operações]]</f>
        <v>96039000-Internas</v>
      </c>
      <c r="D691" s="22" t="s">
        <v>579</v>
      </c>
      <c r="E691" s="22" t="s">
        <v>593</v>
      </c>
      <c r="F691" s="22">
        <v>7</v>
      </c>
      <c r="G691" s="22" t="s">
        <v>3590</v>
      </c>
      <c r="H691" s="22" t="s">
        <v>594</v>
      </c>
      <c r="I691" s="23"/>
      <c r="J691" s="23"/>
      <c r="K691" s="23"/>
      <c r="L691" s="23"/>
      <c r="M691" s="23"/>
      <c r="N691" s="23"/>
      <c r="O691" s="23"/>
      <c r="P691" s="23"/>
      <c r="Q691" s="23"/>
      <c r="R691" s="23"/>
      <c r="S691" s="23"/>
      <c r="T691" s="23"/>
      <c r="U691" s="23"/>
      <c r="V691" s="23"/>
      <c r="W691" s="23"/>
      <c r="X691" s="4" t="s">
        <v>3590</v>
      </c>
    </row>
    <row r="692" spans="1:24" x14ac:dyDescent="0.25">
      <c r="A692" s="21" t="s">
        <v>3577</v>
      </c>
      <c r="B692" s="21" t="str">
        <f t="shared" si="11"/>
        <v>15131100</v>
      </c>
      <c r="C692" s="21" t="str">
        <f>Tabela5[[#This Row],[Cod. Ncm]]&amp;"-"&amp;Tabela5[[#This Row],[Operações]]</f>
        <v>15131100-Internas</v>
      </c>
      <c r="D692" s="22" t="s">
        <v>579</v>
      </c>
      <c r="E692" s="22"/>
      <c r="F692" s="22">
        <v>7</v>
      </c>
      <c r="G692" s="22" t="s">
        <v>3600</v>
      </c>
      <c r="H692" s="22"/>
      <c r="I692" s="23"/>
      <c r="J692" s="23"/>
      <c r="K692" s="23"/>
      <c r="L692" s="23"/>
      <c r="M692" s="23"/>
      <c r="N692" s="23"/>
      <c r="O692" s="23"/>
      <c r="P692" s="23"/>
      <c r="Q692" s="23"/>
      <c r="R692" s="23"/>
      <c r="S692" s="23"/>
      <c r="T692" s="23"/>
      <c r="U692" s="23"/>
      <c r="V692" s="23"/>
      <c r="W692" s="23"/>
      <c r="X692" s="4" t="s">
        <v>3600</v>
      </c>
    </row>
    <row r="693" spans="1:24" x14ac:dyDescent="0.25">
      <c r="A693" s="21" t="s">
        <v>3578</v>
      </c>
      <c r="B693" s="21" t="str">
        <f t="shared" si="11"/>
        <v>15132120</v>
      </c>
      <c r="C693" s="21" t="str">
        <f>Tabela5[[#This Row],[Cod. Ncm]]&amp;"-"&amp;Tabela5[[#This Row],[Operações]]</f>
        <v>15132120-Internas</v>
      </c>
      <c r="D693" s="22" t="s">
        <v>579</v>
      </c>
      <c r="E693" s="22"/>
      <c r="F693" s="22">
        <v>7</v>
      </c>
      <c r="G693" s="22" t="s">
        <v>3600</v>
      </c>
      <c r="H693" s="22"/>
      <c r="I693" s="23"/>
      <c r="J693" s="23"/>
      <c r="K693" s="23"/>
      <c r="L693" s="23"/>
      <c r="M693" s="23"/>
      <c r="N693" s="23"/>
      <c r="O693" s="23"/>
      <c r="P693" s="23"/>
      <c r="Q693" s="23"/>
      <c r="R693" s="23"/>
      <c r="S693" s="23"/>
      <c r="T693" s="23"/>
      <c r="U693" s="23"/>
      <c r="V693" s="23"/>
      <c r="W693" s="23"/>
      <c r="X693" s="4" t="s">
        <v>3600</v>
      </c>
    </row>
    <row r="694" spans="1:24" x14ac:dyDescent="0.25">
      <c r="A694" s="21" t="s">
        <v>3579</v>
      </c>
      <c r="B694" s="21" t="str">
        <f t="shared" si="11"/>
        <v>15132930</v>
      </c>
      <c r="C694" s="21" t="str">
        <f>Tabela5[[#This Row],[Cod. Ncm]]&amp;"-"&amp;Tabela5[[#This Row],[Operações]]</f>
        <v>15132930-Internas</v>
      </c>
      <c r="D694" s="22" t="s">
        <v>579</v>
      </c>
      <c r="E694" s="22"/>
      <c r="F694" s="22">
        <v>7</v>
      </c>
      <c r="G694" s="22" t="s">
        <v>3600</v>
      </c>
      <c r="H694" s="22"/>
      <c r="I694" s="23"/>
      <c r="J694" s="23"/>
      <c r="K694" s="23"/>
      <c r="L694" s="23"/>
      <c r="M694" s="23"/>
      <c r="N694" s="23"/>
      <c r="O694" s="23"/>
      <c r="P694" s="23"/>
      <c r="Q694" s="23"/>
      <c r="R694" s="23"/>
      <c r="S694" s="23"/>
      <c r="T694" s="23"/>
      <c r="U694" s="23"/>
      <c r="V694" s="23"/>
      <c r="W694" s="23"/>
      <c r="X694" s="4" t="s">
        <v>3600</v>
      </c>
    </row>
    <row r="695" spans="1:24" x14ac:dyDescent="0.25">
      <c r="A695" s="21" t="s">
        <v>3580</v>
      </c>
      <c r="B695" s="21" t="str">
        <f t="shared" si="11"/>
        <v>21022000</v>
      </c>
      <c r="C695" s="21" t="str">
        <f>Tabela5[[#This Row],[Cod. Ncm]]&amp;"-"&amp;Tabela5[[#This Row],[Operações]]</f>
        <v>21022000-Internas</v>
      </c>
      <c r="D695" s="22" t="s">
        <v>579</v>
      </c>
      <c r="E695" s="22" t="s">
        <v>585</v>
      </c>
      <c r="F695" s="22">
        <v>12</v>
      </c>
      <c r="G695" s="22" t="s">
        <v>3601</v>
      </c>
      <c r="H695" s="22"/>
      <c r="I695" s="23"/>
      <c r="J695" s="23"/>
      <c r="K695" s="23"/>
      <c r="L695" s="23"/>
      <c r="M695" s="23"/>
      <c r="N695" s="23"/>
      <c r="O695" s="23"/>
      <c r="P695" s="23"/>
      <c r="Q695" s="23"/>
      <c r="R695" s="23"/>
      <c r="S695" s="23"/>
      <c r="T695" s="23"/>
      <c r="U695" s="23"/>
      <c r="V695" s="23"/>
      <c r="W695" s="23"/>
      <c r="X695" s="4"/>
    </row>
    <row r="696" spans="1:24" x14ac:dyDescent="0.25">
      <c r="A696" s="21" t="s">
        <v>3343</v>
      </c>
      <c r="B696" s="21" t="str">
        <f t="shared" si="11"/>
        <v>09019000</v>
      </c>
      <c r="C696" s="21" t="str">
        <f>Tabela5[[#This Row],[Cod. Ncm]]&amp;"-"&amp;Tabela5[[#This Row],[Operações]]</f>
        <v>09019000-Internas</v>
      </c>
      <c r="D696" s="22" t="s">
        <v>579</v>
      </c>
      <c r="E696" s="22" t="s">
        <v>593</v>
      </c>
      <c r="F696" s="22">
        <v>7</v>
      </c>
      <c r="G696" s="22" t="s">
        <v>3582</v>
      </c>
      <c r="H696" s="22" t="s">
        <v>594</v>
      </c>
      <c r="I696" s="23"/>
      <c r="J696" s="23"/>
      <c r="K696" s="23"/>
      <c r="L696" s="23"/>
      <c r="M696" s="23"/>
      <c r="N696" s="23"/>
      <c r="O696" s="23"/>
      <c r="P696" s="23"/>
      <c r="Q696" s="23"/>
      <c r="R696" s="23"/>
      <c r="S696" s="23"/>
      <c r="T696" s="23"/>
      <c r="U696" s="23"/>
      <c r="V696" s="23"/>
      <c r="W696" s="23"/>
      <c r="X696" s="4"/>
    </row>
    <row r="697" spans="1:24" x14ac:dyDescent="0.25">
      <c r="A697" s="21" t="s">
        <v>2729</v>
      </c>
      <c r="B697" s="21" t="str">
        <f t="shared" si="11"/>
        <v>11041900</v>
      </c>
      <c r="C697" s="21" t="str">
        <f>Tabela5[[#This Row],[Cod. Ncm]]&amp;"-"&amp;Tabela5[[#This Row],[Operações]]</f>
        <v>11041900-Internas</v>
      </c>
      <c r="D697" s="22" t="s">
        <v>579</v>
      </c>
      <c r="E697" s="22"/>
      <c r="F697" s="22">
        <v>7</v>
      </c>
      <c r="G697" s="22" t="s">
        <v>2408</v>
      </c>
      <c r="H697" s="22"/>
      <c r="I697" s="23"/>
      <c r="J697" s="23"/>
      <c r="K697" s="23"/>
      <c r="L697" s="23"/>
      <c r="M697" s="23"/>
      <c r="N697" s="23"/>
      <c r="O697" s="23"/>
      <c r="P697" s="23"/>
      <c r="Q697" s="23"/>
      <c r="R697" s="23"/>
      <c r="S697" s="23"/>
      <c r="T697" s="23"/>
      <c r="U697" s="23"/>
      <c r="V697" s="23"/>
      <c r="W697" s="23"/>
      <c r="X697" s="4"/>
    </row>
    <row r="698" spans="1:24" x14ac:dyDescent="0.25">
      <c r="A698" s="21" t="s">
        <v>248</v>
      </c>
      <c r="B698" s="21" t="str">
        <f t="shared" si="11"/>
        <v>04069020</v>
      </c>
      <c r="C698" s="21" t="str">
        <f>Tabela5[[#This Row],[Cod. Ncm]]&amp;"-"&amp;Tabela5[[#This Row],[Operações]]</f>
        <v>04069020-Internas</v>
      </c>
      <c r="D698" s="22" t="s">
        <v>579</v>
      </c>
      <c r="E698" s="22"/>
      <c r="F698" s="22">
        <v>7</v>
      </c>
      <c r="G698" s="22" t="s">
        <v>3597</v>
      </c>
      <c r="H698" s="22"/>
      <c r="I698" s="23"/>
      <c r="J698" s="23"/>
      <c r="K698" s="23"/>
      <c r="L698" s="23"/>
      <c r="M698" s="23"/>
      <c r="N698" s="23"/>
      <c r="O698" s="23"/>
      <c r="P698" s="23"/>
      <c r="Q698" s="23"/>
      <c r="R698" s="23"/>
      <c r="S698" s="23"/>
      <c r="T698" s="23"/>
      <c r="U698" s="23"/>
      <c r="V698" s="23"/>
      <c r="W698" s="23"/>
      <c r="X698" s="4"/>
    </row>
    <row r="699" spans="1:24" x14ac:dyDescent="0.25">
      <c r="A699" s="21" t="s">
        <v>3393</v>
      </c>
      <c r="B699" s="21" t="str">
        <f t="shared" si="11"/>
        <v>07133392</v>
      </c>
      <c r="C699" s="21" t="str">
        <f>Tabela5[[#This Row],[Cod. Ncm]]&amp;"-"&amp;Tabela5[[#This Row],[Operações]]</f>
        <v>07133392-Internas</v>
      </c>
      <c r="D699" s="22" t="s">
        <v>579</v>
      </c>
      <c r="E699" s="22"/>
      <c r="F699" s="22">
        <v>7</v>
      </c>
      <c r="G699" s="22" t="s">
        <v>2411</v>
      </c>
      <c r="H699" s="22"/>
      <c r="I699" s="23"/>
      <c r="J699" s="23"/>
      <c r="K699" s="23"/>
      <c r="L699" s="23"/>
      <c r="M699" s="23"/>
      <c r="N699" s="23"/>
      <c r="O699" s="23"/>
      <c r="P699" s="23"/>
      <c r="Q699" s="23"/>
      <c r="R699" s="23"/>
      <c r="S699" s="23"/>
      <c r="T699" s="23"/>
      <c r="U699" s="23"/>
      <c r="V699" s="23"/>
      <c r="W699" s="23"/>
      <c r="X699" s="4"/>
    </row>
    <row r="700" spans="1:24" x14ac:dyDescent="0.25">
      <c r="A700" s="21" t="s">
        <v>186</v>
      </c>
      <c r="B700" s="21" t="str">
        <f t="shared" si="11"/>
        <v>20055100</v>
      </c>
      <c r="C700" s="21" t="str">
        <f>Tabela5[[#This Row],[Cod. Ncm]]&amp;"-"&amp;Tabela5[[#This Row],[Operações]]</f>
        <v>20055100-Internas</v>
      </c>
      <c r="D700" s="22" t="s">
        <v>579</v>
      </c>
      <c r="E700" s="74"/>
      <c r="F700" s="75">
        <v>7</v>
      </c>
      <c r="G700" s="75" t="s">
        <v>2411</v>
      </c>
      <c r="H700" s="22"/>
      <c r="I700" s="23"/>
      <c r="J700" s="23"/>
      <c r="K700" s="23"/>
      <c r="L700" s="23"/>
      <c r="M700" s="23"/>
      <c r="N700" s="23"/>
      <c r="O700" s="23"/>
      <c r="P700" s="23"/>
      <c r="Q700" s="23"/>
      <c r="R700" s="23"/>
      <c r="S700" s="23"/>
      <c r="T700" s="23"/>
      <c r="U700" s="23"/>
      <c r="V700" s="23"/>
      <c r="W700" s="23"/>
      <c r="X700" s="4"/>
    </row>
    <row r="701" spans="1:24" x14ac:dyDescent="0.25">
      <c r="A701" s="21" t="s">
        <v>3919</v>
      </c>
      <c r="B701" s="21" t="str">
        <f t="shared" si="11"/>
        <v>15155000</v>
      </c>
      <c r="C701" s="21" t="str">
        <f>Tabela5[[#This Row],[Cod. Ncm]]&amp;"-"&amp;Tabela5[[#This Row],[Operações]]</f>
        <v>15155000-Internas</v>
      </c>
      <c r="D701" s="22" t="s">
        <v>579</v>
      </c>
      <c r="E701" s="74"/>
      <c r="F701" s="75">
        <v>7</v>
      </c>
      <c r="G701" s="75" t="s">
        <v>3600</v>
      </c>
      <c r="H701" s="22"/>
      <c r="I701" s="23"/>
      <c r="J701" s="23"/>
      <c r="K701" s="23"/>
      <c r="L701" s="23"/>
      <c r="M701" s="23"/>
      <c r="N701" s="23"/>
      <c r="O701" s="23"/>
      <c r="P701" s="23"/>
      <c r="Q701" s="23"/>
      <c r="R701" s="23"/>
      <c r="S701" s="23"/>
      <c r="T701" s="23"/>
      <c r="U701" s="23"/>
      <c r="V701" s="23"/>
      <c r="W701" s="23"/>
      <c r="X701" s="4"/>
    </row>
    <row r="702" spans="1:24" x14ac:dyDescent="0.25">
      <c r="A702" s="21" t="s">
        <v>3836</v>
      </c>
      <c r="B702" s="21" t="str">
        <f t="shared" si="11"/>
        <v>20055900</v>
      </c>
      <c r="C702" s="21" t="str">
        <f>Tabela5[[#This Row],[Cod. Ncm]]&amp;"-"&amp;Tabela5[[#This Row],[Operações]]</f>
        <v>20055900-Internas</v>
      </c>
      <c r="D702" s="22" t="s">
        <v>579</v>
      </c>
      <c r="E702" s="74"/>
      <c r="F702" s="75">
        <v>7</v>
      </c>
      <c r="G702" s="75" t="s">
        <v>2411</v>
      </c>
      <c r="H702" s="22"/>
      <c r="I702" s="23"/>
      <c r="J702" s="23"/>
      <c r="K702" s="23"/>
      <c r="L702" s="23"/>
      <c r="M702" s="23"/>
      <c r="N702" s="23"/>
      <c r="O702" s="23"/>
      <c r="P702" s="23"/>
      <c r="Q702" s="23"/>
      <c r="R702" s="23"/>
      <c r="S702" s="23"/>
      <c r="T702" s="23"/>
      <c r="U702" s="23"/>
      <c r="V702" s="23"/>
      <c r="W702" s="23"/>
      <c r="X702" s="4"/>
    </row>
    <row r="703" spans="1:24" ht="26.25" x14ac:dyDescent="0.25">
      <c r="A703" s="21" t="s">
        <v>960</v>
      </c>
      <c r="B703" s="21" t="str">
        <f t="shared" si="11"/>
        <v>84382019</v>
      </c>
      <c r="C703" s="21" t="str">
        <f>Tabela5[[#This Row],[Cod. Ncm]]&amp;"-"&amp;Tabela5[[#This Row],[Operações]]</f>
        <v>84382019-Internas e interestaduais</v>
      </c>
      <c r="D703" s="22" t="s">
        <v>586</v>
      </c>
      <c r="E703" s="22" t="s">
        <v>587</v>
      </c>
      <c r="F703" s="22">
        <v>8.8000000000000007</v>
      </c>
      <c r="G703" s="22" t="s">
        <v>961</v>
      </c>
      <c r="H703" s="22" t="s">
        <v>588</v>
      </c>
      <c r="I703" s="23" t="s">
        <v>577</v>
      </c>
      <c r="J703" s="23" t="s">
        <v>962</v>
      </c>
      <c r="K703" s="23" t="s">
        <v>589</v>
      </c>
      <c r="L703" s="23" t="s">
        <v>590</v>
      </c>
      <c r="M703" s="23"/>
      <c r="N703" s="23"/>
      <c r="O703" s="23"/>
      <c r="P703" s="23"/>
      <c r="Q703" s="23"/>
      <c r="R703" s="23"/>
      <c r="S703" s="23"/>
      <c r="T703" s="23"/>
      <c r="U703" s="23"/>
      <c r="V703" s="23"/>
      <c r="W703" s="23"/>
      <c r="X703" s="4"/>
    </row>
    <row r="704" spans="1:24" x14ac:dyDescent="0.25">
      <c r="A704" s="21" t="s">
        <v>4485</v>
      </c>
      <c r="B704" s="21" t="str">
        <f t="shared" ref="B704:B709" si="12">RIGHT(A704,8)</f>
        <v>21021000</v>
      </c>
      <c r="C704" s="21" t="str">
        <f>Tabela5[[#This Row],[Cod. Ncm]]&amp;"-"&amp;Tabela5[[#This Row],[Operações]]</f>
        <v>21021000-Internas</v>
      </c>
      <c r="D704" s="22" t="s">
        <v>579</v>
      </c>
      <c r="E704" s="74" t="s">
        <v>585</v>
      </c>
      <c r="F704" s="75">
        <v>12</v>
      </c>
      <c r="G704" s="75" t="s">
        <v>3601</v>
      </c>
      <c r="H704" s="22"/>
      <c r="I704" s="23"/>
      <c r="J704" s="23"/>
      <c r="K704" s="23"/>
      <c r="L704" s="23"/>
      <c r="M704" s="23"/>
      <c r="N704" s="23"/>
      <c r="O704" s="23"/>
      <c r="P704" s="23"/>
      <c r="Q704" s="23"/>
      <c r="R704" s="23"/>
      <c r="S704" s="23"/>
      <c r="T704" s="23"/>
      <c r="U704" s="23"/>
      <c r="V704" s="23"/>
      <c r="W704" s="23"/>
      <c r="X704" s="4"/>
    </row>
    <row r="705" spans="1:24" x14ac:dyDescent="0.25">
      <c r="A705" s="21" t="s">
        <v>188</v>
      </c>
      <c r="B705" s="21" t="str">
        <f t="shared" si="12"/>
        <v>21039021</v>
      </c>
      <c r="C705" s="21" t="str">
        <f>Tabela5[[#This Row],[Cod. Ncm]]&amp;"-"&amp;Tabela5[[#This Row],[Operações]]</f>
        <v>21039021-internas</v>
      </c>
      <c r="D705" s="22" t="s">
        <v>2412</v>
      </c>
      <c r="E705" s="74"/>
      <c r="F705" s="75">
        <v>7</v>
      </c>
      <c r="G705" s="75" t="s">
        <v>3595</v>
      </c>
      <c r="H705" s="22"/>
      <c r="I705" s="23"/>
      <c r="J705" s="23"/>
      <c r="K705" s="23"/>
      <c r="L705" s="23"/>
      <c r="M705" s="23"/>
      <c r="N705" s="23"/>
      <c r="O705" s="23"/>
      <c r="P705" s="23"/>
      <c r="Q705" s="23"/>
      <c r="R705" s="23"/>
      <c r="S705" s="23"/>
      <c r="T705" s="23"/>
      <c r="U705" s="23"/>
      <c r="V705" s="23"/>
      <c r="W705" s="23"/>
      <c r="X705" s="4"/>
    </row>
    <row r="706" spans="1:24" x14ac:dyDescent="0.25">
      <c r="A706" s="21" t="s">
        <v>4221</v>
      </c>
      <c r="B706" s="21" t="str">
        <f t="shared" si="12"/>
        <v>40069000</v>
      </c>
      <c r="C706" s="21" t="str">
        <f>Tabela5[[#This Row],[Cod. Ncm]]&amp;"-"&amp;Tabela5[[#This Row],[Operações]]</f>
        <v>40069000-Internas</v>
      </c>
      <c r="D706" s="22" t="s">
        <v>579</v>
      </c>
      <c r="E706" s="74" t="s">
        <v>585</v>
      </c>
      <c r="F706" s="75">
        <v>12</v>
      </c>
      <c r="G706" s="75" t="s">
        <v>3603</v>
      </c>
      <c r="H706" s="22"/>
      <c r="I706" s="23"/>
      <c r="J706" s="23"/>
      <c r="K706" s="23"/>
      <c r="L706" s="23"/>
      <c r="M706" s="23"/>
      <c r="N706" s="23"/>
      <c r="O706" s="23"/>
      <c r="P706" s="23"/>
      <c r="Q706" s="23"/>
      <c r="R706" s="23"/>
      <c r="S706" s="23"/>
      <c r="T706" s="23"/>
      <c r="U706" s="23"/>
      <c r="V706" s="23"/>
      <c r="W706" s="23"/>
      <c r="X706" s="4"/>
    </row>
    <row r="707" spans="1:24" x14ac:dyDescent="0.25">
      <c r="A707" s="21" t="s">
        <v>354</v>
      </c>
      <c r="B707" s="21" t="str">
        <f t="shared" si="12"/>
        <v>11031300</v>
      </c>
      <c r="C707" s="21" t="str">
        <f>Tabela5[[#This Row],[Cod. Ncm]]&amp;"-"&amp;Tabela5[[#This Row],[Operações]]</f>
        <v>11031300-Internas</v>
      </c>
      <c r="D707" s="22" t="s">
        <v>579</v>
      </c>
      <c r="E707" s="74"/>
      <c r="F707" s="75">
        <v>7</v>
      </c>
      <c r="G707" s="75" t="s">
        <v>3591</v>
      </c>
      <c r="H707" s="22"/>
      <c r="I707" s="23"/>
      <c r="J707" s="23"/>
      <c r="K707" s="23"/>
      <c r="L707" s="23"/>
      <c r="M707" s="23"/>
      <c r="N707" s="23"/>
      <c r="O707" s="23"/>
      <c r="P707" s="23"/>
      <c r="Q707" s="23"/>
      <c r="R707" s="23"/>
      <c r="S707" s="23"/>
      <c r="T707" s="23"/>
      <c r="U707" s="23"/>
      <c r="V707" s="23"/>
      <c r="W707" s="23"/>
      <c r="X707" s="4" t="s">
        <v>3591</v>
      </c>
    </row>
    <row r="708" spans="1:24" ht="39" x14ac:dyDescent="0.25">
      <c r="A708" s="13" t="s">
        <v>4331</v>
      </c>
      <c r="B708" s="21" t="str">
        <f t="shared" si="12"/>
        <v>85044010</v>
      </c>
      <c r="C708" s="116" t="str">
        <f>Tabela5[[#This Row],[Cod. Ncm]]&amp;"-"&amp;Tabela5[[#This Row],[Operações]]</f>
        <v>85044010-Internas</v>
      </c>
      <c r="D708" s="22" t="s">
        <v>579</v>
      </c>
      <c r="E708" s="22" t="s">
        <v>593</v>
      </c>
      <c r="F708" s="22">
        <v>7</v>
      </c>
      <c r="G708" s="22" t="s">
        <v>2394</v>
      </c>
      <c r="H708" s="22" t="s">
        <v>1083</v>
      </c>
      <c r="I708" s="23" t="s">
        <v>2395</v>
      </c>
      <c r="J708" s="23" t="s">
        <v>591</v>
      </c>
      <c r="K708" s="23" t="s">
        <v>592</v>
      </c>
      <c r="L708" s="23" t="s">
        <v>1086</v>
      </c>
      <c r="M708" s="23" t="s">
        <v>1087</v>
      </c>
      <c r="N708" s="23" t="s">
        <v>583</v>
      </c>
      <c r="O708" s="23"/>
      <c r="P708" s="23"/>
      <c r="Q708" s="23"/>
      <c r="R708" s="23"/>
      <c r="S708" s="23"/>
      <c r="T708" s="23"/>
      <c r="U708" s="23"/>
      <c r="V708" s="23"/>
      <c r="W708" s="23"/>
      <c r="X708" s="4"/>
    </row>
    <row r="709" spans="1:24" x14ac:dyDescent="0.25">
      <c r="A709" s="21" t="s">
        <v>3733</v>
      </c>
      <c r="B709" s="21" t="str">
        <f t="shared" si="12"/>
        <v>19012000</v>
      </c>
      <c r="C709" s="116" t="str">
        <f>Tabela5[[#This Row],[Cod. Ncm]]&amp;"-"&amp;Tabela5[[#This Row],[Operações]]</f>
        <v>19012000-Internas</v>
      </c>
      <c r="D709" s="22" t="s">
        <v>579</v>
      </c>
      <c r="E709" s="118"/>
      <c r="F709" s="22">
        <v>7</v>
      </c>
      <c r="G709" s="22" t="s">
        <v>3608</v>
      </c>
      <c r="H709" s="22"/>
      <c r="I709" s="23"/>
      <c r="J709" s="23"/>
      <c r="K709" s="23"/>
      <c r="L709" s="23"/>
      <c r="M709" s="23"/>
      <c r="N709" s="23"/>
      <c r="O709" s="23"/>
      <c r="P709" s="23"/>
      <c r="Q709" s="23"/>
      <c r="R709" s="23"/>
      <c r="S709" s="23"/>
      <c r="T709" s="23"/>
      <c r="U709" s="23"/>
      <c r="V709" s="23"/>
      <c r="W709" s="23"/>
      <c r="X709" s="4" t="s">
        <v>3608</v>
      </c>
    </row>
    <row r="710" spans="1:24" x14ac:dyDescent="0.25">
      <c r="A710" s="13" t="s">
        <v>263</v>
      </c>
      <c r="B710" s="116" t="str">
        <f t="shared" ref="B710:B715" si="13">RIGHT(A710,8)</f>
        <v>21011110</v>
      </c>
      <c r="C710" s="116" t="str">
        <f>Tabela5[[#This Row],[Cod. Ncm]]&amp;"-"&amp;Tabela5[[#This Row],[Operações]]</f>
        <v>21011110-Internas</v>
      </c>
      <c r="D710" s="22" t="s">
        <v>579</v>
      </c>
      <c r="E710" s="22" t="s">
        <v>593</v>
      </c>
      <c r="F710" s="22">
        <v>7</v>
      </c>
      <c r="G710" s="22" t="s">
        <v>3582</v>
      </c>
      <c r="H710" s="22" t="s">
        <v>594</v>
      </c>
      <c r="I710" s="23"/>
      <c r="J710" s="13"/>
      <c r="K710" s="13"/>
      <c r="L710" s="13"/>
      <c r="M710" s="13"/>
      <c r="N710" s="13"/>
      <c r="O710" s="13"/>
      <c r="P710" s="13"/>
      <c r="Q710" s="13"/>
      <c r="R710" s="13"/>
      <c r="S710" s="13"/>
      <c r="T710" s="13"/>
      <c r="U710" s="13"/>
      <c r="V710" s="13"/>
      <c r="W710" s="13"/>
      <c r="X710" s="13"/>
    </row>
    <row r="711" spans="1:24" x14ac:dyDescent="0.25">
      <c r="A711" s="13" t="s">
        <v>4730</v>
      </c>
      <c r="B711" s="116" t="str">
        <f t="shared" si="13"/>
        <v>17011100</v>
      </c>
      <c r="C711" s="116" t="str">
        <f>Tabela5[[#This Row],[Cod. Ncm]]&amp;"-"&amp;Tabela5[[#This Row],[Operações]]</f>
        <v>17011100-Internas</v>
      </c>
      <c r="D711" s="22" t="s">
        <v>579</v>
      </c>
      <c r="E711" s="22"/>
      <c r="F711" s="22">
        <v>7</v>
      </c>
      <c r="G711" s="22" t="s">
        <v>4729</v>
      </c>
      <c r="H711" s="22"/>
      <c r="I711" s="13"/>
      <c r="J711" s="13"/>
      <c r="K711" s="13"/>
      <c r="L711" s="13"/>
      <c r="M711" s="13"/>
      <c r="N711" s="13"/>
      <c r="O711" s="13"/>
      <c r="P711" s="13"/>
      <c r="Q711" s="13"/>
      <c r="R711" s="13"/>
      <c r="S711" s="13"/>
      <c r="T711" s="13"/>
      <c r="U711" s="13"/>
      <c r="V711" s="13"/>
      <c r="W711" s="13"/>
      <c r="X711" s="13"/>
    </row>
    <row r="712" spans="1:24" x14ac:dyDescent="0.25">
      <c r="A712" s="13" t="s">
        <v>3311</v>
      </c>
      <c r="B712" s="116" t="str">
        <f t="shared" si="13"/>
        <v>04069030</v>
      </c>
      <c r="C712" s="116" t="str">
        <f>Tabela5[[#This Row],[Cod. Ncm]]&amp;"-"&amp;Tabela5[[#This Row],[Operações]]</f>
        <v>04069030-Internas</v>
      </c>
      <c r="D712" s="22" t="s">
        <v>579</v>
      </c>
      <c r="E712" s="22"/>
      <c r="F712" s="22">
        <v>7</v>
      </c>
      <c r="G712" s="22" t="s">
        <v>3597</v>
      </c>
      <c r="H712" s="22"/>
      <c r="I712" s="13"/>
      <c r="J712" s="13"/>
      <c r="K712" s="13"/>
      <c r="L712" s="13"/>
      <c r="M712" s="13"/>
      <c r="N712" s="13"/>
      <c r="O712" s="13"/>
      <c r="P712" s="13"/>
      <c r="Q712" s="13"/>
      <c r="R712" s="13"/>
      <c r="S712" s="13"/>
      <c r="T712" s="13"/>
      <c r="U712" s="13"/>
      <c r="V712" s="13"/>
      <c r="W712" s="13"/>
      <c r="X712" s="13"/>
    </row>
    <row r="713" spans="1:24" x14ac:dyDescent="0.25">
      <c r="A713" s="13" t="s">
        <v>4736</v>
      </c>
      <c r="B713" s="116" t="str">
        <f t="shared" si="13"/>
        <v>15122910</v>
      </c>
      <c r="C713" s="116" t="str">
        <f>Tabela5[[#This Row],[Cod. Ncm]]&amp;"-"&amp;Tabela5[[#This Row],[Operações]]</f>
        <v>15122910-internas</v>
      </c>
      <c r="D713" s="22" t="s">
        <v>2412</v>
      </c>
      <c r="E713" s="22"/>
      <c r="F713" s="22">
        <v>7</v>
      </c>
      <c r="G713" s="22" t="s">
        <v>3585</v>
      </c>
      <c r="H713" s="13"/>
      <c r="I713" s="13"/>
      <c r="J713" s="13"/>
      <c r="K713" s="13"/>
      <c r="L713" s="13"/>
      <c r="M713" s="13"/>
      <c r="N713" s="13"/>
      <c r="O713" s="13"/>
      <c r="P713" s="13"/>
      <c r="Q713" s="13"/>
      <c r="R713" s="13"/>
      <c r="S713" s="13"/>
      <c r="T713" s="13"/>
      <c r="U713" s="13"/>
      <c r="V713" s="13"/>
      <c r="W713" s="13"/>
      <c r="X713" s="13"/>
    </row>
    <row r="714" spans="1:24" x14ac:dyDescent="0.25">
      <c r="A714" s="13" t="s">
        <v>4252</v>
      </c>
      <c r="B714" s="116" t="str">
        <f t="shared" si="13"/>
        <v>48184090</v>
      </c>
      <c r="C714" s="116" t="str">
        <f>Tabela5[[#This Row],[Cod. Ncm]]&amp;"-"&amp;Tabela5[[#This Row],[Operações]]</f>
        <v>48184090-Internas</v>
      </c>
      <c r="D714" s="22" t="s">
        <v>579</v>
      </c>
      <c r="E714" s="22" t="s">
        <v>593</v>
      </c>
      <c r="F714" s="22">
        <v>7</v>
      </c>
      <c r="G714" s="49" t="s">
        <v>4776</v>
      </c>
      <c r="H714" s="13"/>
      <c r="I714" s="13"/>
      <c r="J714" s="13"/>
      <c r="K714" s="13"/>
      <c r="L714" s="13"/>
      <c r="M714" s="13"/>
      <c r="N714" s="13"/>
      <c r="O714" s="13"/>
      <c r="P714" s="13"/>
      <c r="Q714" s="13"/>
      <c r="R714" s="13"/>
      <c r="S714" s="13"/>
      <c r="T714" s="13"/>
      <c r="U714" s="13"/>
      <c r="V714" s="13"/>
      <c r="W714" s="13"/>
      <c r="X714" s="13"/>
    </row>
    <row r="715" spans="1:24" x14ac:dyDescent="0.25">
      <c r="A715" s="13" t="s">
        <v>3342</v>
      </c>
      <c r="B715" s="116" t="str">
        <f t="shared" si="13"/>
        <v>09012200</v>
      </c>
      <c r="C715" s="116" t="str">
        <f>Tabela5[[#This Row],[Cod. Ncm]]&amp;"-"&amp;Tabela5[[#This Row],[Operações]]</f>
        <v>09012200-Internas</v>
      </c>
      <c r="D715" s="22" t="s">
        <v>579</v>
      </c>
      <c r="E715" s="22" t="s">
        <v>593</v>
      </c>
      <c r="F715" s="22">
        <v>7</v>
      </c>
      <c r="G715" s="22" t="s">
        <v>3582</v>
      </c>
      <c r="H715" s="13"/>
      <c r="I715" s="13"/>
      <c r="J715" s="13"/>
      <c r="K715" s="13"/>
      <c r="L715" s="13"/>
      <c r="M715" s="13"/>
      <c r="N715" s="13"/>
      <c r="O715" s="13"/>
      <c r="P715" s="13"/>
      <c r="Q715" s="13"/>
      <c r="R715" s="13"/>
      <c r="S715" s="13"/>
      <c r="T715" s="13"/>
      <c r="U715" s="13"/>
      <c r="V715" s="13"/>
      <c r="W715" s="13"/>
      <c r="X715" s="13"/>
    </row>
    <row r="716" spans="1:24" x14ac:dyDescent="0.25">
      <c r="A716" s="13" t="s">
        <v>5661</v>
      </c>
      <c r="B716" s="116" t="str">
        <f>RIGHT(A716,8)</f>
        <v>84368000</v>
      </c>
      <c r="C716" s="116" t="str">
        <f>Tabela5[[#This Row],[Cod. Ncm]]&amp;"-"&amp;Tabela5[[#This Row],[Operações]]</f>
        <v>84368000-Internas</v>
      </c>
      <c r="D716" s="22" t="s">
        <v>579</v>
      </c>
      <c r="E716" s="118"/>
      <c r="F716" s="49">
        <v>8.8000000000000007</v>
      </c>
      <c r="G716" s="49" t="s">
        <v>5663</v>
      </c>
      <c r="H716" s="13"/>
      <c r="I716" s="13"/>
      <c r="J716" s="13"/>
      <c r="K716" s="13"/>
      <c r="L716" s="13"/>
      <c r="M716" s="13"/>
      <c r="N716" s="13"/>
      <c r="O716" s="13"/>
      <c r="P716" s="13"/>
      <c r="Q716" s="13"/>
      <c r="R716" s="13"/>
      <c r="S716" s="13"/>
      <c r="T716" s="13"/>
      <c r="U716" s="13"/>
      <c r="V716" s="13"/>
      <c r="W716" s="13"/>
      <c r="X716" s="13"/>
    </row>
    <row r="717" spans="1:24" x14ac:dyDescent="0.25">
      <c r="A717" s="13" t="s">
        <v>3567</v>
      </c>
      <c r="B717" s="116" t="str">
        <f>RIGHT(A717,8)</f>
        <v>84244100</v>
      </c>
      <c r="C717" s="116" t="str">
        <f>Tabela5[[#This Row],[Cod. Ncm]]&amp;"-"&amp;Tabela5[[#This Row],[Operações]]</f>
        <v>84244100-Internas</v>
      </c>
      <c r="D717" s="22" t="s">
        <v>579</v>
      </c>
      <c r="E717" s="118"/>
      <c r="F717" s="49">
        <v>8.8000000000000007</v>
      </c>
      <c r="G717" s="49" t="s">
        <v>5694</v>
      </c>
      <c r="H717" s="13"/>
      <c r="I717" s="13"/>
      <c r="J717" s="13"/>
      <c r="K717" s="13"/>
      <c r="L717" s="13"/>
      <c r="M717" s="13"/>
      <c r="N717" s="13"/>
      <c r="O717" s="13"/>
      <c r="P717" s="13"/>
      <c r="Q717" s="13"/>
      <c r="R717" s="13"/>
      <c r="S717" s="13"/>
      <c r="T717" s="13"/>
      <c r="U717" s="13"/>
      <c r="V717" s="13"/>
      <c r="W717" s="13"/>
      <c r="X717" s="13"/>
    </row>
  </sheetData>
  <phoneticPr fontId="14" type="noConversion"/>
  <conditionalFormatting sqref="A2:A717">
    <cfRule type="duplicateValues" dxfId="23" priority="9403"/>
  </conditionalFormatting>
  <conditionalFormatting sqref="B2:B717">
    <cfRule type="duplicateValues" dxfId="22" priority="9401"/>
  </conditionalFormatting>
  <pageMargins left="0.511811024" right="0.511811024" top="0.78740157499999996" bottom="0.78740157499999996" header="0.31496062000000002" footer="0.31496062000000002"/>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A1:E140"/>
  <sheetViews>
    <sheetView showGridLines="0" zoomScale="85" zoomScaleNormal="85" workbookViewId="0"/>
  </sheetViews>
  <sheetFormatPr defaultRowHeight="15" x14ac:dyDescent="0.25"/>
  <cols>
    <col min="1" max="1" width="28.28515625" customWidth="1"/>
    <col min="2" max="2" width="36.42578125" style="47" customWidth="1"/>
    <col min="3" max="3" width="36.42578125" customWidth="1"/>
    <col min="4" max="4" width="39.7109375" style="20" customWidth="1"/>
  </cols>
  <sheetData>
    <row r="1" spans="1:5" x14ac:dyDescent="0.25">
      <c r="A1" s="79" t="s">
        <v>2418</v>
      </c>
      <c r="B1" s="111" t="s">
        <v>1</v>
      </c>
      <c r="C1" s="104" t="s">
        <v>152</v>
      </c>
      <c r="D1" s="105" t="s">
        <v>441</v>
      </c>
    </row>
    <row r="2" spans="1:5" x14ac:dyDescent="0.25">
      <c r="A2" s="62" t="s">
        <v>3611</v>
      </c>
      <c r="B2" s="110" t="str">
        <f>RIGHT(ISENCOES[[#This Row],[Coluna1]],8)</f>
        <v>40141000</v>
      </c>
      <c r="C2" s="4" t="s">
        <v>444</v>
      </c>
      <c r="D2" s="71"/>
      <c r="E2" s="19" t="s">
        <v>443</v>
      </c>
    </row>
    <row r="3" spans="1:5" x14ac:dyDescent="0.25">
      <c r="A3" s="62" t="s">
        <v>446</v>
      </c>
      <c r="B3" s="110" t="str">
        <f>RIGHT(ISENCOES[[#This Row],[Coluna1]],8)</f>
        <v>08044000</v>
      </c>
      <c r="C3" s="4" t="s">
        <v>447</v>
      </c>
      <c r="D3" s="72"/>
    </row>
    <row r="4" spans="1:5" x14ac:dyDescent="0.25">
      <c r="A4" s="62" t="s">
        <v>448</v>
      </c>
      <c r="B4" s="110" t="str">
        <f>RIGHT(ISENCOES[[#This Row],[Coluna1]],8)</f>
        <v>08043000</v>
      </c>
      <c r="C4" s="4" t="s">
        <v>449</v>
      </c>
      <c r="D4" s="72"/>
    </row>
    <row r="5" spans="1:5" x14ac:dyDescent="0.25">
      <c r="A5" s="62" t="s">
        <v>450</v>
      </c>
      <c r="B5" s="110" t="str">
        <f>RIGHT(ISENCOES[[#This Row],[Coluna1]],8)</f>
        <v>07099090</v>
      </c>
      <c r="C5" s="4" t="s">
        <v>451</v>
      </c>
      <c r="D5" s="72"/>
    </row>
    <row r="6" spans="1:5" x14ac:dyDescent="0.25">
      <c r="A6" s="62" t="s">
        <v>452</v>
      </c>
      <c r="B6" s="110" t="str">
        <f>RIGHT(ISENCOES[[#This Row],[Coluna1]],8)</f>
        <v>07099300</v>
      </c>
      <c r="C6" s="4" t="s">
        <v>453</v>
      </c>
      <c r="D6" s="72"/>
    </row>
    <row r="7" spans="1:5" x14ac:dyDescent="0.25">
      <c r="A7" s="62" t="s">
        <v>454</v>
      </c>
      <c r="B7" s="110" t="str">
        <f>RIGHT(ISENCOES[[#This Row],[Coluna1]],8)</f>
        <v>07099000</v>
      </c>
      <c r="C7" s="4" t="s">
        <v>455</v>
      </c>
      <c r="D7" s="72"/>
    </row>
    <row r="8" spans="1:5" x14ac:dyDescent="0.25">
      <c r="A8" s="62" t="s">
        <v>457</v>
      </c>
      <c r="B8" s="110" t="str">
        <f>RIGHT(ISENCOES[[#This Row],[Coluna1]],8)</f>
        <v>07051900</v>
      </c>
      <c r="C8" s="4" t="s">
        <v>456</v>
      </c>
      <c r="D8" s="72"/>
    </row>
    <row r="9" spans="1:5" x14ac:dyDescent="0.25">
      <c r="A9" s="62" t="s">
        <v>459</v>
      </c>
      <c r="B9" s="110" t="str">
        <f>RIGHT(ISENCOES[[#This Row],[Coluna1]],8)</f>
        <v>08030000</v>
      </c>
      <c r="C9" s="4" t="s">
        <v>460</v>
      </c>
      <c r="D9" s="72"/>
    </row>
    <row r="10" spans="1:5" x14ac:dyDescent="0.25">
      <c r="A10" s="62" t="s">
        <v>461</v>
      </c>
      <c r="B10" s="110" t="str">
        <f>RIGHT(ISENCOES[[#This Row],[Coluna1]],8)</f>
        <v>07101000</v>
      </c>
      <c r="C10" s="4" t="s">
        <v>462</v>
      </c>
      <c r="D10" s="72"/>
    </row>
    <row r="11" spans="1:5" x14ac:dyDescent="0.25">
      <c r="A11" s="62" t="s">
        <v>463</v>
      </c>
      <c r="B11" s="110" t="str">
        <f>RIGHT(ISENCOES[[#This Row],[Coluna1]],8)</f>
        <v>07093000</v>
      </c>
      <c r="C11" s="4" t="s">
        <v>464</v>
      </c>
      <c r="D11" s="72"/>
    </row>
    <row r="12" spans="1:5" x14ac:dyDescent="0.25">
      <c r="A12" s="62" t="s">
        <v>465</v>
      </c>
      <c r="B12" s="110" t="str">
        <f>RIGHT(ISENCOES[[#This Row],[Coluna1]],8)</f>
        <v>06049100</v>
      </c>
      <c r="C12" s="4" t="s">
        <v>466</v>
      </c>
      <c r="D12" s="72"/>
    </row>
    <row r="13" spans="1:5" x14ac:dyDescent="0.25">
      <c r="A13" s="62" t="s">
        <v>467</v>
      </c>
      <c r="B13" s="110" t="str">
        <f>RIGHT(ISENCOES[[#This Row],[Coluna1]],8)</f>
        <v>07041000</v>
      </c>
      <c r="C13" s="4" t="s">
        <v>468</v>
      </c>
      <c r="D13" s="72"/>
    </row>
    <row r="14" spans="1:5" x14ac:dyDescent="0.25">
      <c r="A14" s="62" t="s">
        <v>469</v>
      </c>
      <c r="B14" s="110" t="str">
        <f>RIGHT(ISENCOES[[#This Row],[Coluna1]],8)</f>
        <v>08107000</v>
      </c>
      <c r="C14" s="4" t="s">
        <v>470</v>
      </c>
      <c r="D14" s="72"/>
    </row>
    <row r="15" spans="1:5" x14ac:dyDescent="0.25">
      <c r="A15" s="62" t="s">
        <v>471</v>
      </c>
      <c r="B15" s="110" t="str">
        <f>RIGHT(ISENCOES[[#This Row],[Coluna1]],8)</f>
        <v>07049000</v>
      </c>
      <c r="C15" s="4" t="s">
        <v>472</v>
      </c>
      <c r="D15" s="72"/>
    </row>
    <row r="16" spans="1:5" x14ac:dyDescent="0.25">
      <c r="A16" s="62" t="s">
        <v>474</v>
      </c>
      <c r="B16" s="110" t="str">
        <f>RIGHT(ISENCOES[[#This Row],[Coluna1]],8)</f>
        <v>07061000</v>
      </c>
      <c r="C16" s="4" t="s">
        <v>475</v>
      </c>
      <c r="D16" s="72"/>
    </row>
    <row r="17" spans="1:4" x14ac:dyDescent="0.25">
      <c r="A17" s="62" t="s">
        <v>476</v>
      </c>
      <c r="B17" s="110" t="str">
        <f>RIGHT(ISENCOES[[#This Row],[Coluna1]],8)</f>
        <v>08081000</v>
      </c>
      <c r="C17" s="4" t="s">
        <v>477</v>
      </c>
      <c r="D17" s="72"/>
    </row>
    <row r="18" spans="1:4" x14ac:dyDescent="0.25">
      <c r="A18" s="62" t="s">
        <v>478</v>
      </c>
      <c r="B18" s="110" t="str">
        <f>RIGHT(ISENCOES[[#This Row],[Coluna1]],8)</f>
        <v>07052900</v>
      </c>
      <c r="C18" s="4" t="s">
        <v>479</v>
      </c>
      <c r="D18" s="72"/>
    </row>
    <row r="19" spans="1:4" x14ac:dyDescent="0.25">
      <c r="A19" s="62" t="s">
        <v>480</v>
      </c>
      <c r="B19" s="110" t="str">
        <f>RIGHT(ISENCOES[[#This Row],[Coluna1]],8)</f>
        <v>07139090</v>
      </c>
      <c r="C19" s="4" t="s">
        <v>481</v>
      </c>
      <c r="D19" s="72"/>
    </row>
    <row r="20" spans="1:4" x14ac:dyDescent="0.25">
      <c r="A20" s="62" t="s">
        <v>482</v>
      </c>
      <c r="B20" s="110" t="str">
        <f>RIGHT(ISENCOES[[#This Row],[Coluna1]],8)</f>
        <v>07099990</v>
      </c>
      <c r="C20" s="4" t="s">
        <v>483</v>
      </c>
      <c r="D20" s="72"/>
    </row>
    <row r="21" spans="1:4" x14ac:dyDescent="0.25">
      <c r="A21" s="62" t="s">
        <v>484</v>
      </c>
      <c r="B21" s="110" t="str">
        <f>RIGHT(ISENCOES[[#This Row],[Coluna1]],8)</f>
        <v>07103000</v>
      </c>
      <c r="C21" s="4" t="s">
        <v>485</v>
      </c>
      <c r="D21" s="72"/>
    </row>
    <row r="22" spans="1:4" x14ac:dyDescent="0.25">
      <c r="A22" s="62" t="s">
        <v>486</v>
      </c>
      <c r="B22" s="110" t="str">
        <f>RIGHT(ISENCOES[[#This Row],[Coluna1]],8)</f>
        <v>06039000</v>
      </c>
      <c r="C22" s="4" t="s">
        <v>487</v>
      </c>
      <c r="D22" s="72"/>
    </row>
    <row r="23" spans="1:4" x14ac:dyDescent="0.25">
      <c r="A23" s="62" t="s">
        <v>488</v>
      </c>
      <c r="B23" s="110" t="str">
        <f>RIGHT(ISENCOES[[#This Row],[Coluna1]],8)</f>
        <v>06031400</v>
      </c>
      <c r="C23" s="4" t="s">
        <v>487</v>
      </c>
      <c r="D23" s="72"/>
    </row>
    <row r="24" spans="1:4" x14ac:dyDescent="0.25">
      <c r="A24" s="62" t="s">
        <v>489</v>
      </c>
      <c r="B24" s="110" t="str">
        <f>RIGHT(ISENCOES[[#This Row],[Coluna1]],8)</f>
        <v>06012000</v>
      </c>
      <c r="C24" s="4" t="s">
        <v>487</v>
      </c>
      <c r="D24" s="72"/>
    </row>
    <row r="25" spans="1:4" x14ac:dyDescent="0.25">
      <c r="A25" s="62" t="s">
        <v>490</v>
      </c>
      <c r="B25" s="110" t="str">
        <f>RIGHT(ISENCOES[[#This Row],[Coluna1]],8)</f>
        <v>09101000</v>
      </c>
      <c r="C25" s="4" t="s">
        <v>491</v>
      </c>
      <c r="D25" s="72"/>
    </row>
    <row r="26" spans="1:4" x14ac:dyDescent="0.25">
      <c r="A26" s="62" t="s">
        <v>494</v>
      </c>
      <c r="B26" s="110" t="str">
        <f>RIGHT(ISENCOES[[#This Row],[Coluna1]],8)</f>
        <v>08105000</v>
      </c>
      <c r="C26" s="4" t="s">
        <v>495</v>
      </c>
      <c r="D26" s="72"/>
    </row>
    <row r="27" spans="1:4" x14ac:dyDescent="0.25">
      <c r="A27" s="62" t="s">
        <v>496</v>
      </c>
      <c r="B27" s="110" t="str">
        <f>RIGHT(ISENCOES[[#This Row],[Coluna1]],8)</f>
        <v>08051000</v>
      </c>
      <c r="C27" s="4" t="s">
        <v>497</v>
      </c>
      <c r="D27" s="72"/>
    </row>
    <row r="28" spans="1:4" x14ac:dyDescent="0.25">
      <c r="A28" s="62" t="s">
        <v>498</v>
      </c>
      <c r="B28" s="110" t="str">
        <f>RIGHT(ISENCOES[[#This Row],[Coluna1]],8)</f>
        <v>08072000</v>
      </c>
      <c r="C28" s="4" t="s">
        <v>499</v>
      </c>
      <c r="D28" s="72"/>
    </row>
    <row r="29" spans="1:4" x14ac:dyDescent="0.25">
      <c r="A29" s="62" t="s">
        <v>500</v>
      </c>
      <c r="B29" s="110" t="str">
        <f>RIGHT(ISENCOES[[#This Row],[Coluna1]],8)</f>
        <v>07141000</v>
      </c>
      <c r="C29" s="4" t="s">
        <v>501</v>
      </c>
      <c r="D29" s="72"/>
    </row>
    <row r="30" spans="1:4" x14ac:dyDescent="0.25">
      <c r="A30" s="62" t="s">
        <v>502</v>
      </c>
      <c r="B30" s="110" t="str">
        <f>RIGHT(ISENCOES[[#This Row],[Coluna1]],8)</f>
        <v>08045020</v>
      </c>
      <c r="C30" s="4" t="s">
        <v>503</v>
      </c>
      <c r="D30" s="72"/>
    </row>
    <row r="31" spans="1:4" x14ac:dyDescent="0.25">
      <c r="A31" s="62" t="s">
        <v>505</v>
      </c>
      <c r="B31" s="110" t="str">
        <f>RIGHT(ISENCOES[[#This Row],[Coluna1]],8)</f>
        <v>08071100</v>
      </c>
      <c r="C31" s="4" t="s">
        <v>506</v>
      </c>
      <c r="D31" s="72"/>
    </row>
    <row r="32" spans="1:4" x14ac:dyDescent="0.25">
      <c r="A32" s="62" t="s">
        <v>507</v>
      </c>
      <c r="B32" s="110" t="str">
        <f>RIGHT(ISENCOES[[#This Row],[Coluna1]],8)</f>
        <v>08052100</v>
      </c>
      <c r="C32" s="4" t="s">
        <v>508</v>
      </c>
      <c r="D32" s="72"/>
    </row>
    <row r="33" spans="1:4" x14ac:dyDescent="0.25">
      <c r="A33" s="62" t="s">
        <v>510</v>
      </c>
      <c r="B33" s="110" t="str">
        <f>RIGHT(ISENCOES[[#This Row],[Coluna1]],8)</f>
        <v>08093020</v>
      </c>
      <c r="C33" s="4" t="s">
        <v>511</v>
      </c>
      <c r="D33" s="72"/>
    </row>
    <row r="34" spans="1:4" x14ac:dyDescent="0.25">
      <c r="A34" s="62" t="s">
        <v>513</v>
      </c>
      <c r="B34" s="110" t="str">
        <f>RIGHT(ISENCOES[[#This Row],[Coluna1]],8)</f>
        <v>07070000</v>
      </c>
      <c r="C34" s="4" t="s">
        <v>514</v>
      </c>
      <c r="D34" s="72"/>
    </row>
    <row r="35" spans="1:4" x14ac:dyDescent="0.25">
      <c r="A35" s="62" t="s">
        <v>515</v>
      </c>
      <c r="B35" s="110" t="str">
        <f>RIGHT(ISENCOES[[#This Row],[Coluna1]],8)</f>
        <v>08083000</v>
      </c>
      <c r="C35" s="4" t="s">
        <v>516</v>
      </c>
      <c r="D35" s="72"/>
    </row>
    <row r="36" spans="1:4" x14ac:dyDescent="0.25">
      <c r="A36" s="62" t="s">
        <v>517</v>
      </c>
      <c r="B36" s="110" t="str">
        <f>RIGHT(ISENCOES[[#This Row],[Coluna1]],8)</f>
        <v>08093010</v>
      </c>
      <c r="C36" s="4" t="s">
        <v>518</v>
      </c>
      <c r="D36" s="72"/>
    </row>
    <row r="37" spans="1:4" x14ac:dyDescent="0.25">
      <c r="A37" s="62" t="s">
        <v>519</v>
      </c>
      <c r="B37" s="110" t="str">
        <f>RIGHT(ISENCOES[[#This Row],[Coluna1]],8)</f>
        <v>07039090</v>
      </c>
      <c r="C37" s="4" t="s">
        <v>520</v>
      </c>
      <c r="D37" s="72"/>
    </row>
    <row r="38" spans="1:4" x14ac:dyDescent="0.25">
      <c r="A38" s="62" t="s">
        <v>521</v>
      </c>
      <c r="B38" s="110" t="str">
        <f>RIGHT(ISENCOES[[#This Row],[Coluna1]],8)</f>
        <v>07096000</v>
      </c>
      <c r="C38" s="4" t="s">
        <v>522</v>
      </c>
      <c r="D38" s="72"/>
    </row>
    <row r="39" spans="1:4" x14ac:dyDescent="0.25">
      <c r="A39" s="62" t="s">
        <v>523</v>
      </c>
      <c r="B39" s="110" t="str">
        <f>RIGHT(ISENCOES[[#This Row],[Coluna1]],8)</f>
        <v>07069000</v>
      </c>
      <c r="C39" s="4" t="s">
        <v>524</v>
      </c>
      <c r="D39" s="72"/>
    </row>
    <row r="40" spans="1:4" x14ac:dyDescent="0.25">
      <c r="A40" s="62" t="s">
        <v>525</v>
      </c>
      <c r="B40" s="110" t="str">
        <f>RIGHT(ISENCOES[[#This Row],[Coluna1]],8)</f>
        <v>07031019</v>
      </c>
      <c r="C40" s="4" t="s">
        <v>526</v>
      </c>
      <c r="D40" s="72"/>
    </row>
    <row r="41" spans="1:4" x14ac:dyDescent="0.25">
      <c r="A41" s="62" t="s">
        <v>527</v>
      </c>
      <c r="B41" s="110" t="str">
        <f>RIGHT(ISENCOES[[#This Row],[Coluna1]],8)</f>
        <v>07020000</v>
      </c>
      <c r="C41" s="4" t="s">
        <v>528</v>
      </c>
      <c r="D41" s="72"/>
    </row>
    <row r="42" spans="1:4" x14ac:dyDescent="0.25">
      <c r="A42" s="62" t="s">
        <v>529</v>
      </c>
      <c r="B42" s="110" t="str">
        <f>RIGHT(ISENCOES[[#This Row],[Coluna1]],8)</f>
        <v>08061000</v>
      </c>
      <c r="C42" s="4" t="s">
        <v>530</v>
      </c>
      <c r="D42" s="72"/>
    </row>
    <row r="43" spans="1:4" x14ac:dyDescent="0.25">
      <c r="A43" s="62" t="s">
        <v>163</v>
      </c>
      <c r="B43" s="110" t="str">
        <f>RIGHT(ISENCOES[[#This Row],[Coluna1]],8)</f>
        <v>07019000</v>
      </c>
      <c r="C43" s="4" t="s">
        <v>531</v>
      </c>
      <c r="D43" s="72"/>
    </row>
    <row r="44" spans="1:4" x14ac:dyDescent="0.25">
      <c r="A44" s="62" t="s">
        <v>165</v>
      </c>
      <c r="B44" s="110" t="str">
        <f>RIGHT(ISENCOES[[#This Row],[Coluna1]],8)</f>
        <v>08039000</v>
      </c>
      <c r="C44" s="4" t="s">
        <v>532</v>
      </c>
      <c r="D44" s="72"/>
    </row>
    <row r="45" spans="1:4" x14ac:dyDescent="0.25">
      <c r="A45" s="62" t="s">
        <v>171</v>
      </c>
      <c r="B45" s="110" t="str">
        <f>RIGHT(ISENCOES[[#This Row],[Coluna1]],8)</f>
        <v>08055000</v>
      </c>
      <c r="C45" s="4" t="s">
        <v>533</v>
      </c>
      <c r="D45" s="72"/>
    </row>
    <row r="46" spans="1:4" x14ac:dyDescent="0.25">
      <c r="A46" s="62" t="s">
        <v>176</v>
      </c>
      <c r="B46" s="110" t="str">
        <f>RIGHT(ISENCOES[[#This Row],[Coluna1]],8)</f>
        <v>04072100</v>
      </c>
      <c r="C46" s="4" t="s">
        <v>3634</v>
      </c>
      <c r="D46" s="72"/>
    </row>
    <row r="47" spans="1:4" x14ac:dyDescent="0.25">
      <c r="A47" s="62" t="s">
        <v>185</v>
      </c>
      <c r="B47" s="110" t="str">
        <f>RIGHT(ISENCOES[[#This Row],[Coluna1]],8)</f>
        <v>07142000</v>
      </c>
      <c r="C47" s="4" t="s">
        <v>534</v>
      </c>
      <c r="D47" s="72"/>
    </row>
    <row r="48" spans="1:4" x14ac:dyDescent="0.25">
      <c r="A48" s="62" t="s">
        <v>187</v>
      </c>
      <c r="B48" s="110" t="str">
        <f>RIGHT(ISENCOES[[#This Row],[Coluna1]],8)</f>
        <v>08045010</v>
      </c>
      <c r="C48" s="4" t="s">
        <v>493</v>
      </c>
      <c r="D48" s="72"/>
    </row>
    <row r="49" spans="1:4" x14ac:dyDescent="0.25">
      <c r="A49" s="62" t="s">
        <v>191</v>
      </c>
      <c r="B49" s="110" t="str">
        <f>RIGHT(ISENCOES[[#This Row],[Coluna1]],8)</f>
        <v>08109015</v>
      </c>
      <c r="C49" s="4" t="s">
        <v>504</v>
      </c>
      <c r="D49" s="72"/>
    </row>
    <row r="50" spans="1:4" x14ac:dyDescent="0.25">
      <c r="A50" s="62" t="s">
        <v>193</v>
      </c>
      <c r="B50" s="110" t="str">
        <f>RIGHT(ISENCOES[[#This Row],[Coluna1]],8)</f>
        <v>08071900</v>
      </c>
      <c r="C50" s="4" t="s">
        <v>535</v>
      </c>
      <c r="D50" s="71"/>
    </row>
    <row r="51" spans="1:4" x14ac:dyDescent="0.25">
      <c r="A51" s="62" t="s">
        <v>194</v>
      </c>
      <c r="B51" s="110" t="str">
        <f>RIGHT(ISENCOES[[#This Row],[Coluna1]],8)</f>
        <v>08031000</v>
      </c>
      <c r="C51" s="4" t="s">
        <v>536</v>
      </c>
      <c r="D51" s="71"/>
    </row>
    <row r="52" spans="1:4" x14ac:dyDescent="0.25">
      <c r="A52" s="62" t="s">
        <v>216</v>
      </c>
      <c r="B52" s="110" t="str">
        <f>RIGHT(ISENCOES[[#This Row],[Coluna1]],8)</f>
        <v>07099919</v>
      </c>
      <c r="C52" s="4" t="s">
        <v>509</v>
      </c>
      <c r="D52" s="71"/>
    </row>
    <row r="53" spans="1:4" x14ac:dyDescent="0.25">
      <c r="A53" s="62" t="s">
        <v>226</v>
      </c>
      <c r="B53" s="110" t="str">
        <f>RIGHT(ISENCOES[[#This Row],[Coluna1]],8)</f>
        <v>07089000</v>
      </c>
      <c r="C53" s="4" t="s">
        <v>537</v>
      </c>
      <c r="D53" s="71"/>
    </row>
    <row r="54" spans="1:4" x14ac:dyDescent="0.25">
      <c r="A54" s="62" t="s">
        <v>232</v>
      </c>
      <c r="B54" s="110" t="str">
        <f>RIGHT(ISENCOES[[#This Row],[Coluna1]],8)</f>
        <v>07143000</v>
      </c>
      <c r="C54" s="4" t="s">
        <v>538</v>
      </c>
      <c r="D54" s="71"/>
    </row>
    <row r="55" spans="1:4" x14ac:dyDescent="0.25">
      <c r="A55" s="62" t="s">
        <v>241</v>
      </c>
      <c r="B55" s="110" t="str">
        <f>RIGHT(ISENCOES[[#This Row],[Coluna1]],8)</f>
        <v>04072900</v>
      </c>
      <c r="C55" s="4" t="s">
        <v>3634</v>
      </c>
      <c r="D55" s="72"/>
    </row>
    <row r="56" spans="1:4" x14ac:dyDescent="0.25">
      <c r="A56" s="62" t="s">
        <v>257</v>
      </c>
      <c r="B56" s="110" t="str">
        <f>RIGHT(ISENCOES[[#This Row],[Coluna1]],8)</f>
        <v>08101000</v>
      </c>
      <c r="C56" s="4" t="s">
        <v>539</v>
      </c>
      <c r="D56" s="71"/>
    </row>
    <row r="57" spans="1:4" x14ac:dyDescent="0.25">
      <c r="A57" s="62" t="s">
        <v>266</v>
      </c>
      <c r="B57" s="110" t="str">
        <f>RIGHT(ISENCOES[[#This Row],[Coluna1]],8)</f>
        <v>09102000</v>
      </c>
      <c r="C57" s="4" t="s">
        <v>540</v>
      </c>
      <c r="D57" s="71"/>
    </row>
    <row r="58" spans="1:4" x14ac:dyDescent="0.25">
      <c r="A58" s="62" t="s">
        <v>284</v>
      </c>
      <c r="B58" s="110" t="str">
        <f>RIGHT(ISENCOES[[#This Row],[Coluna1]],8)</f>
        <v>07097000</v>
      </c>
      <c r="C58" s="4" t="s">
        <v>485</v>
      </c>
      <c r="D58" s="71"/>
    </row>
    <row r="59" spans="1:4" x14ac:dyDescent="0.25">
      <c r="A59" s="62" t="s">
        <v>285</v>
      </c>
      <c r="B59" s="110" t="str">
        <f>RIGHT(ISENCOES[[#This Row],[Coluna1]],8)</f>
        <v>04071900</v>
      </c>
      <c r="C59" s="4" t="s">
        <v>3634</v>
      </c>
      <c r="D59" s="72"/>
    </row>
    <row r="60" spans="1:4" x14ac:dyDescent="0.25">
      <c r="A60" s="62" t="s">
        <v>541</v>
      </c>
      <c r="B60" s="110" t="str">
        <f>RIGHT(ISENCOES[[#This Row],[Coluna1]],8)</f>
        <v>07051100</v>
      </c>
      <c r="C60" s="4" t="s">
        <v>542</v>
      </c>
      <c r="D60" s="71"/>
    </row>
    <row r="61" spans="1:4" x14ac:dyDescent="0.25">
      <c r="A61" s="62" t="s">
        <v>328</v>
      </c>
      <c r="B61" s="110" t="str">
        <f>RIGHT(ISENCOES[[#This Row],[Coluna1]],8)</f>
        <v>07139010</v>
      </c>
      <c r="C61" s="4" t="s">
        <v>481</v>
      </c>
      <c r="D61" s="71"/>
    </row>
    <row r="62" spans="1:4" x14ac:dyDescent="0.25">
      <c r="A62" s="62" t="s">
        <v>344</v>
      </c>
      <c r="B62" s="110" t="str">
        <f>RIGHT(ISENCOES[[#This Row],[Coluna1]],8)</f>
        <v>07011000</v>
      </c>
      <c r="C62" s="4" t="s">
        <v>544</v>
      </c>
      <c r="D62" s="71"/>
    </row>
    <row r="63" spans="1:4" x14ac:dyDescent="0.25">
      <c r="A63" s="62" t="s">
        <v>349</v>
      </c>
      <c r="B63" s="110" t="str">
        <f>RIGHT(ISENCOES[[#This Row],[Coluna1]],8)</f>
        <v>04079000</v>
      </c>
      <c r="C63" s="4" t="s">
        <v>3634</v>
      </c>
      <c r="D63" s="71"/>
    </row>
    <row r="64" spans="1:4" x14ac:dyDescent="0.25">
      <c r="A64" s="62" t="s">
        <v>547</v>
      </c>
      <c r="B64" s="110" t="str">
        <f>RIGHT(ISENCOES[[#This Row],[Coluna1]],8)</f>
        <v>06031300</v>
      </c>
      <c r="C64" s="4" t="s">
        <v>546</v>
      </c>
      <c r="D64" s="72"/>
    </row>
    <row r="65" spans="1:4" x14ac:dyDescent="0.25">
      <c r="A65" s="62" t="s">
        <v>548</v>
      </c>
      <c r="B65" s="110" t="str">
        <f>RIGHT(ISENCOES[[#This Row],[Coluna1]],8)</f>
        <v>06031900</v>
      </c>
      <c r="C65" s="4" t="s">
        <v>546</v>
      </c>
      <c r="D65" s="71"/>
    </row>
    <row r="66" spans="1:4" x14ac:dyDescent="0.25">
      <c r="A66" s="62" t="s">
        <v>549</v>
      </c>
      <c r="B66" s="110" t="str">
        <f>RIGHT(ISENCOES[[#This Row],[Coluna1]],8)</f>
        <v>06029029</v>
      </c>
      <c r="C66" s="4" t="s">
        <v>546</v>
      </c>
      <c r="D66" s="71"/>
    </row>
    <row r="67" spans="1:4" x14ac:dyDescent="0.25">
      <c r="A67" s="62" t="s">
        <v>551</v>
      </c>
      <c r="B67" s="110" t="str">
        <f>RIGHT(ISENCOES[[#This Row],[Coluna1]],8)</f>
        <v>06029090</v>
      </c>
      <c r="C67" s="4" t="s">
        <v>546</v>
      </c>
      <c r="D67" s="71"/>
    </row>
    <row r="68" spans="1:4" x14ac:dyDescent="0.25">
      <c r="A68" s="62" t="s">
        <v>552</v>
      </c>
      <c r="B68" s="110" t="str">
        <f>RIGHT(ISENCOES[[#This Row],[Coluna1]],8)</f>
        <v>06031100</v>
      </c>
      <c r="C68" s="4" t="s">
        <v>546</v>
      </c>
      <c r="D68" s="71"/>
    </row>
    <row r="69" spans="1:4" x14ac:dyDescent="0.25">
      <c r="A69" s="62" t="s">
        <v>554</v>
      </c>
      <c r="B69" s="110" t="str">
        <f>RIGHT(ISENCOES[[#This Row],[Coluna1]],8)</f>
        <v>08094000</v>
      </c>
      <c r="C69" s="4" t="s">
        <v>458</v>
      </c>
      <c r="D69" s="71"/>
    </row>
    <row r="70" spans="1:4" x14ac:dyDescent="0.25">
      <c r="A70" s="62" t="s">
        <v>556</v>
      </c>
      <c r="B70" s="110" t="str">
        <f>RIGHT(ISENCOES[[#This Row],[Coluna1]],8)</f>
        <v>06024000</v>
      </c>
      <c r="C70" s="4" t="s">
        <v>546</v>
      </c>
      <c r="D70" s="71"/>
    </row>
    <row r="71" spans="1:4" x14ac:dyDescent="0.25">
      <c r="A71" s="62" t="s">
        <v>557</v>
      </c>
      <c r="B71" s="110" t="str">
        <f>RIGHT(ISENCOES[[#This Row],[Coluna1]],8)</f>
        <v>06023000</v>
      </c>
      <c r="C71" s="4" t="s">
        <v>546</v>
      </c>
      <c r="D71" s="71"/>
    </row>
    <row r="72" spans="1:4" x14ac:dyDescent="0.25">
      <c r="A72" s="62" t="s">
        <v>3612</v>
      </c>
      <c r="B72" s="110" t="str">
        <f>RIGHT(ISENCOES[[#This Row],[Coluna1]],8)</f>
        <v>06049000</v>
      </c>
      <c r="C72" s="4" t="s">
        <v>546</v>
      </c>
      <c r="D72" s="71"/>
    </row>
    <row r="73" spans="1:4" x14ac:dyDescent="0.25">
      <c r="A73" s="62" t="s">
        <v>2724</v>
      </c>
      <c r="B73" s="110" t="str">
        <f>RIGHT(ISENCOES[[#This Row],[Coluna1]],8)</f>
        <v>07122000</v>
      </c>
      <c r="C73" s="4" t="s">
        <v>473</v>
      </c>
      <c r="D73" s="71"/>
    </row>
    <row r="74" spans="1:4" x14ac:dyDescent="0.25">
      <c r="A74" s="62" t="s">
        <v>3613</v>
      </c>
      <c r="B74" s="110" t="str">
        <f>RIGHT(ISENCOES[[#This Row],[Coluna1]],8)</f>
        <v>08041010</v>
      </c>
      <c r="C74" s="4" t="s">
        <v>3635</v>
      </c>
      <c r="D74" s="71"/>
    </row>
    <row r="75" spans="1:4" x14ac:dyDescent="0.25">
      <c r="A75" s="62" t="s">
        <v>3335</v>
      </c>
      <c r="B75" s="110" t="str">
        <f>RIGHT(ISENCOES[[#This Row],[Coluna1]],8)</f>
        <v>08109090</v>
      </c>
      <c r="C75" s="4" t="s">
        <v>3636</v>
      </c>
      <c r="D75" s="71"/>
    </row>
    <row r="76" spans="1:4" x14ac:dyDescent="0.25">
      <c r="A76" s="62" t="s">
        <v>3614</v>
      </c>
      <c r="B76" s="110" t="str">
        <f>RIGHT(ISENCOES[[#This Row],[Coluna1]],8)</f>
        <v>09101100</v>
      </c>
      <c r="C76" s="4" t="s">
        <v>3637</v>
      </c>
      <c r="D76" s="71"/>
    </row>
    <row r="77" spans="1:4" x14ac:dyDescent="0.25">
      <c r="A77" s="62" t="s">
        <v>3338</v>
      </c>
      <c r="B77" s="110" t="str">
        <f>RIGHT(ISENCOES[[#This Row],[Coluna1]],8)</f>
        <v>08134090</v>
      </c>
      <c r="C77" s="4" t="s">
        <v>3638</v>
      </c>
      <c r="D77" s="71"/>
    </row>
    <row r="78" spans="1:4" x14ac:dyDescent="0.25">
      <c r="A78" s="62" t="s">
        <v>3615</v>
      </c>
      <c r="B78" s="110" t="str">
        <f>RIGHT(ISENCOES[[#This Row],[Coluna1]],8)</f>
        <v>04071100</v>
      </c>
      <c r="C78" s="4" t="s">
        <v>3634</v>
      </c>
      <c r="D78" s="71"/>
    </row>
    <row r="79" spans="1:4" x14ac:dyDescent="0.25">
      <c r="A79" s="62" t="s">
        <v>3616</v>
      </c>
      <c r="B79" s="110" t="str">
        <f>RIGHT(ISENCOES[[#This Row],[Coluna1]],8)</f>
        <v>07052100</v>
      </c>
      <c r="C79" s="4"/>
      <c r="D79" s="72"/>
    </row>
    <row r="80" spans="1:4" x14ac:dyDescent="0.25">
      <c r="A80" s="62" t="s">
        <v>3392</v>
      </c>
      <c r="B80" s="110" t="str">
        <f>RIGHT(ISENCOES[[#This Row],[Coluna1]],8)</f>
        <v>07095900</v>
      </c>
      <c r="C80" s="4"/>
      <c r="D80" s="71"/>
    </row>
    <row r="81" spans="1:4" x14ac:dyDescent="0.25">
      <c r="A81" s="62" t="s">
        <v>3398</v>
      </c>
      <c r="B81" s="110" t="str">
        <f>RIGHT(ISENCOES[[#This Row],[Coluna1]],8)</f>
        <v>08133000</v>
      </c>
      <c r="C81" s="4" t="s">
        <v>3639</v>
      </c>
      <c r="D81" s="71"/>
    </row>
    <row r="82" spans="1:4" x14ac:dyDescent="0.25">
      <c r="A82" s="62" t="s">
        <v>3408</v>
      </c>
      <c r="B82" s="110" t="str">
        <f>RIGHT(ISENCOES[[#This Row],[Coluna1]],8)</f>
        <v>07123100</v>
      </c>
      <c r="C82" s="4" t="s">
        <v>3640</v>
      </c>
      <c r="D82" s="71"/>
    </row>
    <row r="83" spans="1:4" x14ac:dyDescent="0.25">
      <c r="A83" s="62" t="s">
        <v>431</v>
      </c>
      <c r="B83" s="110" t="str">
        <f>RIGHT(ISENCOES[[#This Row],[Coluna1]],8)</f>
        <v>08021200</v>
      </c>
      <c r="C83" s="4"/>
      <c r="D83" s="71"/>
    </row>
    <row r="84" spans="1:4" x14ac:dyDescent="0.25">
      <c r="A84" s="62" t="s">
        <v>3411</v>
      </c>
      <c r="B84" s="110" t="str">
        <f>RIGHT(ISENCOES[[#This Row],[Coluna1]],8)</f>
        <v>08059000</v>
      </c>
      <c r="C84" s="4" t="s">
        <v>3641</v>
      </c>
      <c r="D84" s="71"/>
    </row>
    <row r="85" spans="1:4" x14ac:dyDescent="0.25">
      <c r="A85" s="62" t="s">
        <v>3336</v>
      </c>
      <c r="B85" s="110" t="str">
        <f>RIGHT(ISENCOES[[#This Row],[Coluna1]],8)</f>
        <v>08131000</v>
      </c>
      <c r="C85" s="4"/>
      <c r="D85" s="71"/>
    </row>
    <row r="86" spans="1:4" x14ac:dyDescent="0.25">
      <c r="A86" s="62" t="s">
        <v>3618</v>
      </c>
      <c r="B86" s="110" t="str">
        <f>RIGHT(ISENCOES[[#This Row],[Coluna1]],8)</f>
        <v>09041100</v>
      </c>
      <c r="C86" s="4" t="s">
        <v>520</v>
      </c>
      <c r="D86" s="71"/>
    </row>
    <row r="87" spans="1:4" x14ac:dyDescent="0.25">
      <c r="A87" s="62" t="s">
        <v>3619</v>
      </c>
      <c r="B87" s="110" t="str">
        <f>RIGHT(ISENCOES[[#This Row],[Coluna1]],8)</f>
        <v>09041200</v>
      </c>
      <c r="C87" s="4" t="s">
        <v>520</v>
      </c>
      <c r="D87" s="71"/>
    </row>
    <row r="88" spans="1:4" x14ac:dyDescent="0.25">
      <c r="A88" s="62" t="s">
        <v>3620</v>
      </c>
      <c r="B88" s="110" t="str">
        <f>RIGHT(ISENCOES[[#This Row],[Coluna1]],8)</f>
        <v>09042100</v>
      </c>
      <c r="C88" s="4" t="s">
        <v>3642</v>
      </c>
      <c r="D88" s="71"/>
    </row>
    <row r="89" spans="1:4" x14ac:dyDescent="0.25">
      <c r="A89" s="62" t="s">
        <v>3621</v>
      </c>
      <c r="B89" s="110" t="str">
        <f>RIGHT(ISENCOES[[#This Row],[Coluna1]],8)</f>
        <v>09042200</v>
      </c>
      <c r="C89" s="4" t="s">
        <v>3642</v>
      </c>
      <c r="D89" s="71"/>
    </row>
    <row r="90" spans="1:4" x14ac:dyDescent="0.25">
      <c r="A90" s="62" t="s">
        <v>3622</v>
      </c>
      <c r="B90" s="110" t="str">
        <f>RIGHT(ISENCOES[[#This Row],[Coluna1]],8)</f>
        <v>06011000</v>
      </c>
      <c r="C90" s="4" t="s">
        <v>3643</v>
      </c>
      <c r="D90" s="71"/>
    </row>
    <row r="91" spans="1:4" x14ac:dyDescent="0.25">
      <c r="A91" s="62" t="s">
        <v>3623</v>
      </c>
      <c r="B91" s="110" t="str">
        <f>RIGHT(ISENCOES[[#This Row],[Coluna1]],8)</f>
        <v>06021000</v>
      </c>
      <c r="C91" s="4" t="s">
        <v>3643</v>
      </c>
      <c r="D91" s="71"/>
    </row>
    <row r="92" spans="1:4" x14ac:dyDescent="0.25">
      <c r="A92" s="62" t="s">
        <v>3624</v>
      </c>
      <c r="B92" s="110" t="str">
        <f>RIGHT(ISENCOES[[#This Row],[Coluna1]],8)</f>
        <v>06022000</v>
      </c>
      <c r="C92" s="4" t="s">
        <v>3643</v>
      </c>
      <c r="D92" s="71"/>
    </row>
    <row r="93" spans="1:4" x14ac:dyDescent="0.25">
      <c r="A93" s="62" t="s">
        <v>3625</v>
      </c>
      <c r="B93" s="110" t="str">
        <f>RIGHT(ISENCOES[[#This Row],[Coluna1]],8)</f>
        <v>06029010</v>
      </c>
      <c r="C93" s="4" t="s">
        <v>3643</v>
      </c>
      <c r="D93" s="71"/>
    </row>
    <row r="94" spans="1:4" x14ac:dyDescent="0.25">
      <c r="A94" s="62" t="s">
        <v>3626</v>
      </c>
      <c r="B94" s="110" t="str">
        <f>RIGHT(ISENCOES[[#This Row],[Coluna1]],8)</f>
        <v>06029021</v>
      </c>
      <c r="C94" s="4" t="s">
        <v>3643</v>
      </c>
      <c r="D94" s="71"/>
    </row>
    <row r="95" spans="1:4" x14ac:dyDescent="0.25">
      <c r="A95" s="62" t="s">
        <v>3627</v>
      </c>
      <c r="B95" s="110" t="str">
        <f>RIGHT(ISENCOES[[#This Row],[Coluna1]],8)</f>
        <v>06029081</v>
      </c>
      <c r="C95" s="4" t="s">
        <v>3643</v>
      </c>
      <c r="D95" s="71"/>
    </row>
    <row r="96" spans="1:4" x14ac:dyDescent="0.25">
      <c r="A96" s="62" t="s">
        <v>3628</v>
      </c>
      <c r="B96" s="110" t="str">
        <f>RIGHT(ISENCOES[[#This Row],[Coluna1]],8)</f>
        <v>06029082</v>
      </c>
      <c r="C96" s="4" t="s">
        <v>3643</v>
      </c>
      <c r="D96" s="71"/>
    </row>
    <row r="97" spans="1:4" x14ac:dyDescent="0.25">
      <c r="A97" s="62" t="s">
        <v>3629</v>
      </c>
      <c r="B97" s="110" t="str">
        <f>RIGHT(ISENCOES[[#This Row],[Coluna1]],8)</f>
        <v>06029083</v>
      </c>
      <c r="C97" s="4" t="s">
        <v>3643</v>
      </c>
      <c r="D97" s="71"/>
    </row>
    <row r="98" spans="1:4" x14ac:dyDescent="0.25">
      <c r="A98" s="62" t="s">
        <v>3630</v>
      </c>
      <c r="B98" s="110" t="str">
        <f>RIGHT(ISENCOES[[#This Row],[Coluna1]],8)</f>
        <v>06029089</v>
      </c>
      <c r="C98" s="4" t="s">
        <v>3643</v>
      </c>
      <c r="D98" s="71"/>
    </row>
    <row r="99" spans="1:4" x14ac:dyDescent="0.25">
      <c r="A99" s="62" t="s">
        <v>3631</v>
      </c>
      <c r="B99" s="110" t="str">
        <f>RIGHT(ISENCOES[[#This Row],[Coluna1]],8)</f>
        <v>06031200</v>
      </c>
      <c r="C99" s="4" t="s">
        <v>3643</v>
      </c>
      <c r="D99" s="71"/>
    </row>
    <row r="100" spans="1:4" x14ac:dyDescent="0.25">
      <c r="A100" s="62" t="s">
        <v>3632</v>
      </c>
      <c r="B100" s="110" t="str">
        <f>RIGHT(ISENCOES[[#This Row],[Coluna1]],8)</f>
        <v>06031500</v>
      </c>
      <c r="C100" s="4" t="s">
        <v>3643</v>
      </c>
      <c r="D100" s="71"/>
    </row>
    <row r="101" spans="1:4" x14ac:dyDescent="0.25">
      <c r="A101" s="62" t="s">
        <v>3633</v>
      </c>
      <c r="B101" s="110" t="str">
        <f>RIGHT(ISENCOES[[#This Row],[Coluna1]],8)</f>
        <v>06042000</v>
      </c>
      <c r="C101" s="4" t="s">
        <v>3643</v>
      </c>
      <c r="D101" s="71"/>
    </row>
    <row r="102" spans="1:4" x14ac:dyDescent="0.25">
      <c r="A102" s="62" t="s">
        <v>3320</v>
      </c>
      <c r="B102" s="110" t="str">
        <f>RIGHT(ISENCOES[[#This Row],[Coluna1]],8)</f>
        <v>07108000</v>
      </c>
      <c r="C102" s="4" t="s">
        <v>3644</v>
      </c>
      <c r="D102" s="71"/>
    </row>
    <row r="103" spans="1:4" x14ac:dyDescent="0.25">
      <c r="A103" s="62" t="s">
        <v>258</v>
      </c>
      <c r="B103" s="110" t="str">
        <f>RIGHT(ISENCOES[[#This Row],[Coluna1]],8)</f>
        <v>07149000</v>
      </c>
      <c r="C103" s="4" t="s">
        <v>3644</v>
      </c>
      <c r="D103" s="71"/>
    </row>
    <row r="104" spans="1:4" x14ac:dyDescent="0.25">
      <c r="A104" s="62" t="s">
        <v>397</v>
      </c>
      <c r="B104" s="110" t="str">
        <f>RIGHT(ISENCOES[[#This Row],[Coluna1]],8)</f>
        <v>08012200</v>
      </c>
      <c r="C104" s="4" t="s">
        <v>3644</v>
      </c>
      <c r="D104" s="71"/>
    </row>
    <row r="105" spans="1:4" x14ac:dyDescent="0.25">
      <c r="A105" s="62" t="s">
        <v>3323</v>
      </c>
      <c r="B105" s="110" t="str">
        <f>RIGHT(ISENCOES[[#This Row],[Coluna1]],8)</f>
        <v>07129090</v>
      </c>
      <c r="C105" s="4" t="s">
        <v>3644</v>
      </c>
      <c r="D105" s="71"/>
    </row>
    <row r="106" spans="1:4" x14ac:dyDescent="0.25">
      <c r="A106" s="62" t="s">
        <v>3395</v>
      </c>
      <c r="B106" s="110" t="str">
        <f>RIGHT(ISENCOES[[#This Row],[Coluna1]],8)</f>
        <v>08045000</v>
      </c>
      <c r="C106" s="4" t="s">
        <v>3396</v>
      </c>
      <c r="D106" s="71"/>
    </row>
    <row r="107" spans="1:4" x14ac:dyDescent="0.25">
      <c r="A107" s="62" t="s">
        <v>3397</v>
      </c>
      <c r="B107" s="110" t="str">
        <f>RIGHT(ISENCOES[[#This Row],[Coluna1]],8)</f>
        <v>08109000</v>
      </c>
      <c r="C107" s="4" t="s">
        <v>3396</v>
      </c>
      <c r="D107" s="71"/>
    </row>
    <row r="108" spans="1:4" x14ac:dyDescent="0.25">
      <c r="A108" s="62" t="s">
        <v>3329</v>
      </c>
      <c r="B108" s="110" t="str">
        <f>RIGHT(ISENCOES[[#This Row],[Coluna1]],8)</f>
        <v>08011900</v>
      </c>
      <c r="C108" s="4" t="s">
        <v>4489</v>
      </c>
      <c r="D108" s="71"/>
    </row>
    <row r="109" spans="1:4" x14ac:dyDescent="0.25">
      <c r="A109" s="62" t="s">
        <v>4486</v>
      </c>
      <c r="B109" s="110" t="str">
        <f>RIGHT(ISENCOES[[#This Row],[Coluna1]],8)</f>
        <v>08052000</v>
      </c>
      <c r="C109" s="4" t="s">
        <v>4490</v>
      </c>
      <c r="D109" s="71"/>
    </row>
    <row r="110" spans="1:4" x14ac:dyDescent="0.25">
      <c r="A110" s="62" t="s">
        <v>4487</v>
      </c>
      <c r="B110" s="110" t="str">
        <f>RIGHT(ISENCOES[[#This Row],[Coluna1]],8)</f>
        <v>08082010</v>
      </c>
      <c r="C110" s="4" t="s">
        <v>516</v>
      </c>
      <c r="D110" s="71"/>
    </row>
    <row r="111" spans="1:4" x14ac:dyDescent="0.25">
      <c r="A111" s="62" t="s">
        <v>4488</v>
      </c>
      <c r="B111" s="110" t="str">
        <f>RIGHT(ISENCOES[[#This Row],[Coluna1]],8)</f>
        <v>08109011</v>
      </c>
      <c r="C111" s="4" t="s">
        <v>4491</v>
      </c>
      <c r="D111" s="71"/>
    </row>
    <row r="112" spans="1:4" x14ac:dyDescent="0.25">
      <c r="A112" s="62" t="s">
        <v>4589</v>
      </c>
      <c r="B112" s="110" t="str">
        <f>RIGHT(ISENCOES[[#This Row],[Coluna1]],8)</f>
        <v>08103000</v>
      </c>
      <c r="C112" s="4" t="s">
        <v>4621</v>
      </c>
      <c r="D112" s="71"/>
    </row>
    <row r="113" spans="1:4" x14ac:dyDescent="0.25">
      <c r="A113" s="62" t="s">
        <v>550</v>
      </c>
      <c r="B113" s="110" t="str">
        <f>RIGHT(ISENCOES[[#This Row],[Coluna1]],8)</f>
        <v>12099100</v>
      </c>
      <c r="C113" s="4" t="s">
        <v>4622</v>
      </c>
      <c r="D113" s="71"/>
    </row>
    <row r="114" spans="1:4" x14ac:dyDescent="0.25">
      <c r="A114" s="65" t="s">
        <v>3410</v>
      </c>
      <c r="B114" s="112" t="str">
        <f>RIGHT(ISENCOES[[#This Row],[Coluna1]],8)</f>
        <v>08029000</v>
      </c>
      <c r="C114" s="13" t="s">
        <v>4621</v>
      </c>
      <c r="D114" s="73"/>
    </row>
    <row r="115" spans="1:4" x14ac:dyDescent="0.25">
      <c r="A115" s="65" t="s">
        <v>4632</v>
      </c>
      <c r="B115" s="112" t="str">
        <f>RIGHT(ISENCOES[[#This Row],[Coluna1]],8)</f>
        <v>07092000</v>
      </c>
      <c r="C115" s="13" t="s">
        <v>4631</v>
      </c>
      <c r="D115" s="115"/>
    </row>
    <row r="116" spans="1:4" x14ac:dyDescent="0.25">
      <c r="A116" s="65" t="s">
        <v>4639</v>
      </c>
      <c r="B116" s="112" t="str">
        <f>RIGHT(ISENCOES[[#This Row],[Coluna1]],8)</f>
        <v>04070090</v>
      </c>
      <c r="C116" s="13" t="s">
        <v>512</v>
      </c>
      <c r="D116" s="73"/>
    </row>
    <row r="117" spans="1:4" x14ac:dyDescent="0.25">
      <c r="A117" s="65" t="s">
        <v>4309</v>
      </c>
      <c r="B117" s="112" t="str">
        <f>RIGHT(ISENCOES[[#This Row],[Coluna1]],8)</f>
        <v>12093000</v>
      </c>
      <c r="C117" s="13" t="s">
        <v>4640</v>
      </c>
      <c r="D117" s="115"/>
    </row>
    <row r="118" spans="1:4" x14ac:dyDescent="0.25">
      <c r="A118" s="65" t="s">
        <v>357</v>
      </c>
      <c r="B118" s="112" t="str">
        <f>RIGHT(ISENCOES[[#This Row],[Coluna1]],8)</f>
        <v>07104000</v>
      </c>
      <c r="C118" s="13" t="s">
        <v>4722</v>
      </c>
      <c r="D118" s="115"/>
    </row>
    <row r="119" spans="1:4" x14ac:dyDescent="0.25">
      <c r="A119" s="65" t="s">
        <v>4723</v>
      </c>
      <c r="B119" s="112" t="str">
        <f>RIGHT(ISENCOES[[#This Row],[Coluna1]],8)</f>
        <v>08012100</v>
      </c>
      <c r="C119" s="13" t="s">
        <v>4724</v>
      </c>
      <c r="D119" s="115"/>
    </row>
    <row r="120" spans="1:4" x14ac:dyDescent="0.25">
      <c r="A120" s="65" t="s">
        <v>4749</v>
      </c>
      <c r="B120" s="112" t="str">
        <f>RIGHT(ISENCOES[[#This Row],[Coluna1]],8)</f>
        <v>08109012</v>
      </c>
      <c r="C120" s="13" t="s">
        <v>4768</v>
      </c>
      <c r="D120" s="115"/>
    </row>
    <row r="121" spans="1:4" x14ac:dyDescent="0.25">
      <c r="A121" s="65" t="s">
        <v>269</v>
      </c>
      <c r="B121" s="112" t="str">
        <f>RIGHT(ISENCOES[[#This Row],[Coluna1]],8)</f>
        <v>12119090</v>
      </c>
      <c r="C121" s="13" t="s">
        <v>4640</v>
      </c>
      <c r="D121" s="115"/>
    </row>
    <row r="122" spans="1:4" x14ac:dyDescent="0.25">
      <c r="A122" s="65" t="s">
        <v>4771</v>
      </c>
      <c r="B122" s="112" t="str">
        <f>RIGHT(ISENCOES[[#This Row],[Coluna1]],8)</f>
        <v>49021000</v>
      </c>
      <c r="C122" s="13" t="s">
        <v>4772</v>
      </c>
      <c r="D122" s="115"/>
    </row>
    <row r="123" spans="1:4" x14ac:dyDescent="0.25">
      <c r="A123" s="65" t="s">
        <v>4774</v>
      </c>
      <c r="B123" s="112" t="str">
        <f>RIGHT(ISENCOES[[#This Row],[Coluna1]],8)</f>
        <v>08045030</v>
      </c>
      <c r="C123" s="13" t="s">
        <v>4773</v>
      </c>
      <c r="D123" s="115"/>
    </row>
    <row r="124" spans="1:4" x14ac:dyDescent="0.25">
      <c r="A124" s="65" t="s">
        <v>4102</v>
      </c>
      <c r="B124" s="112" t="str">
        <f>RIGHT(ISENCOES[[#This Row],[Coluna1]],8)</f>
        <v>08091000</v>
      </c>
      <c r="C124" s="13" t="s">
        <v>4773</v>
      </c>
      <c r="D124" s="115"/>
    </row>
    <row r="125" spans="1:4" x14ac:dyDescent="0.25">
      <c r="A125" s="65" t="s">
        <v>3390</v>
      </c>
      <c r="B125" s="112" t="str">
        <f>RIGHT(ISENCOES[[#This Row],[Coluna1]],8)</f>
        <v>49019900</v>
      </c>
      <c r="C125" s="13" t="s">
        <v>4775</v>
      </c>
      <c r="D125" s="115"/>
    </row>
    <row r="126" spans="1:4" x14ac:dyDescent="0.25">
      <c r="A126" s="65" t="s">
        <v>396</v>
      </c>
      <c r="B126" s="112" t="str">
        <f>RIGHT(ISENCOES[[#This Row],[Coluna1]],8)</f>
        <v>08111000</v>
      </c>
      <c r="C126" s="13" t="s">
        <v>539</v>
      </c>
      <c r="D126" s="115"/>
    </row>
    <row r="127" spans="1:4" x14ac:dyDescent="0.25">
      <c r="A127" s="65" t="s">
        <v>5387</v>
      </c>
      <c r="B127" s="112" t="str">
        <f>RIGHT(ISENCOES[[#This Row],[Coluna1]],8)</f>
        <v>07042000</v>
      </c>
      <c r="C127" s="13" t="s">
        <v>5557</v>
      </c>
      <c r="D127" s="115"/>
    </row>
    <row r="128" spans="1:4" x14ac:dyDescent="0.25">
      <c r="A128" s="65" t="s">
        <v>3407</v>
      </c>
      <c r="B128" s="112" t="str">
        <f>RIGHT(ISENCOES[[#This Row],[Coluna1]],8)</f>
        <v>07114000</v>
      </c>
      <c r="C128" s="13" t="s">
        <v>5558</v>
      </c>
      <c r="D128" s="115"/>
    </row>
    <row r="129" spans="1:4" x14ac:dyDescent="0.25">
      <c r="A129" s="65" t="s">
        <v>5501</v>
      </c>
      <c r="B129" s="112" t="str">
        <f>RIGHT(ISENCOES[[#This Row],[Coluna1]],8)</f>
        <v>08109016</v>
      </c>
      <c r="C129" s="13" t="s">
        <v>5559</v>
      </c>
      <c r="D129" s="115"/>
    </row>
    <row r="130" spans="1:4" x14ac:dyDescent="0.25">
      <c r="A130" s="65" t="s">
        <v>5474</v>
      </c>
      <c r="B130" s="112" t="str">
        <f>RIGHT(ISENCOES[[#This Row],[Coluna1]],8)</f>
        <v>08042010</v>
      </c>
      <c r="C130" s="13" t="s">
        <v>3396</v>
      </c>
      <c r="D130" s="115"/>
    </row>
    <row r="131" spans="1:4" x14ac:dyDescent="0.25">
      <c r="A131" s="65" t="s">
        <v>3412</v>
      </c>
      <c r="B131" s="112" t="str">
        <f>RIGHT(ISENCOES[[#This Row],[Coluna1]],8)</f>
        <v>08092900</v>
      </c>
      <c r="C131" s="13" t="s">
        <v>3396</v>
      </c>
      <c r="D131" s="115"/>
    </row>
    <row r="132" spans="1:4" x14ac:dyDescent="0.25">
      <c r="A132" s="65" t="s">
        <v>5385</v>
      </c>
      <c r="B132" s="112" t="str">
        <f>RIGHT(ISENCOES[[#This Row],[Coluna1]],8)</f>
        <v>07039010</v>
      </c>
      <c r="C132" s="13" t="s">
        <v>542</v>
      </c>
      <c r="D132" s="115"/>
    </row>
    <row r="133" spans="1:4" x14ac:dyDescent="0.25">
      <c r="A133" s="65" t="s">
        <v>2717</v>
      </c>
      <c r="B133" s="112" t="str">
        <f>RIGHT(ISENCOES[[#This Row],[Coluna1]],8)</f>
        <v>08011100</v>
      </c>
      <c r="C133" s="13" t="s">
        <v>5617</v>
      </c>
      <c r="D133" s="115"/>
    </row>
    <row r="134" spans="1:4" x14ac:dyDescent="0.25">
      <c r="A134" s="65" t="s">
        <v>3313</v>
      </c>
      <c r="B134" s="112" t="str">
        <f>RIGHT(ISENCOES[[#This Row],[Coluna1]],8)</f>
        <v>04070011</v>
      </c>
      <c r="C134" s="13" t="s">
        <v>512</v>
      </c>
      <c r="D134" s="115"/>
    </row>
    <row r="135" spans="1:4" x14ac:dyDescent="0.25">
      <c r="A135" s="65" t="s">
        <v>167</v>
      </c>
      <c r="B135" s="112" t="str">
        <f>RIGHT(ISENCOES[[#This Row],[Coluna1]],8)</f>
        <v>08011200</v>
      </c>
      <c r="C135" s="13" t="s">
        <v>5617</v>
      </c>
      <c r="D135" s="115"/>
    </row>
    <row r="136" spans="1:4" x14ac:dyDescent="0.25">
      <c r="A136" s="65" t="s">
        <v>5499</v>
      </c>
      <c r="B136" s="112" t="str">
        <f>RIGHT(ISENCOES[[#This Row],[Coluna1]],8)</f>
        <v>08109014</v>
      </c>
      <c r="C136" s="13" t="s">
        <v>5662</v>
      </c>
      <c r="D136" s="115"/>
    </row>
    <row r="137" spans="1:4" x14ac:dyDescent="0.25">
      <c r="A137" s="65" t="s">
        <v>5383</v>
      </c>
      <c r="B137" s="112" t="str">
        <f>RIGHT(ISENCOES[[#This Row],[Coluna1]],8)</f>
        <v>07032010</v>
      </c>
      <c r="C137" s="13" t="s">
        <v>5693</v>
      </c>
      <c r="D137" s="115"/>
    </row>
    <row r="138" spans="1:4" x14ac:dyDescent="0.25">
      <c r="A138" s="65" t="s">
        <v>5481</v>
      </c>
      <c r="B138" s="112" t="str">
        <f>RIGHT(ISENCOES[[#This Row],[Coluna1]],8)</f>
        <v>08052900</v>
      </c>
      <c r="C138" s="13"/>
      <c r="D138" s="115"/>
    </row>
    <row r="139" spans="1:4" x14ac:dyDescent="0.25">
      <c r="A139" s="65" t="s">
        <v>5513</v>
      </c>
      <c r="B139" s="112" t="str">
        <f>RIGHT(ISENCOES[[#This Row],[Coluna1]],8)</f>
        <v>08140000</v>
      </c>
      <c r="C139" s="13" t="s">
        <v>5699</v>
      </c>
      <c r="D139" s="115"/>
    </row>
    <row r="140" spans="1:4" x14ac:dyDescent="0.25">
      <c r="A140" s="65" t="s">
        <v>3869</v>
      </c>
      <c r="B140" s="112" t="str">
        <f>RIGHT(ISENCOES[[#This Row],[Coluna1]],8)</f>
        <v>04089900</v>
      </c>
      <c r="C140" s="13" t="s">
        <v>5700</v>
      </c>
      <c r="D140" s="115"/>
    </row>
  </sheetData>
  <conditionalFormatting sqref="B2:B140">
    <cfRule type="duplicateValues" dxfId="21" priority="4764"/>
    <cfRule type="duplicateValues" dxfId="20" priority="4765"/>
  </conditionalFormatting>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tabColor theme="5" tint="-0.249977111117893"/>
  </sheetPr>
  <dimension ref="A1:I26591"/>
  <sheetViews>
    <sheetView showGridLines="0" tabSelected="1" zoomScale="115" zoomScaleNormal="115" workbookViewId="0">
      <selection activeCell="D34" sqref="D34"/>
    </sheetView>
  </sheetViews>
  <sheetFormatPr defaultRowHeight="15" x14ac:dyDescent="0.25"/>
  <cols>
    <col min="1" max="1" width="19.7109375" style="228" customWidth="1"/>
    <col min="2" max="2" width="49.28515625" style="227" bestFit="1" customWidth="1"/>
    <col min="3" max="3" width="22.42578125" style="227" customWidth="1"/>
    <col min="4" max="4" width="18.42578125" style="227" customWidth="1"/>
    <col min="5" max="5" width="21.140625" style="227" customWidth="1"/>
    <col min="6" max="7" width="9.140625" style="229"/>
    <col min="8" max="8" width="12.7109375" style="227" bestFit="1" customWidth="1"/>
    <col min="9" max="9" width="13.5703125" style="227" bestFit="1" customWidth="1"/>
    <col min="10" max="16384" width="9.140625" style="227"/>
  </cols>
  <sheetData>
    <row r="1" spans="1:9" x14ac:dyDescent="0.25">
      <c r="A1" s="225" t="s">
        <v>5971</v>
      </c>
      <c r="B1" s="225" t="s">
        <v>2696</v>
      </c>
      <c r="C1" s="226" t="s">
        <v>2703</v>
      </c>
      <c r="D1" s="226" t="s">
        <v>2697</v>
      </c>
      <c r="E1" s="226" t="s">
        <v>2698</v>
      </c>
      <c r="F1" s="226" t="s">
        <v>2699</v>
      </c>
      <c r="G1" s="226" t="s">
        <v>2700</v>
      </c>
      <c r="H1" s="226" t="s">
        <v>136</v>
      </c>
      <c r="I1" s="226" t="s">
        <v>2702</v>
      </c>
    </row>
    <row r="2" spans="1:9" x14ac:dyDescent="0.25">
      <c r="A2" s="228">
        <v>1</v>
      </c>
      <c r="B2" s="227" t="s">
        <v>5936</v>
      </c>
      <c r="C2" s="227" t="s">
        <v>2701</v>
      </c>
      <c r="F2" s="229">
        <v>0</v>
      </c>
      <c r="G2" s="229">
        <v>0</v>
      </c>
      <c r="H2" s="227">
        <f>IF(excPisCofins[[#This Row],[Regime]]="Alíquota 0",6,IF(excPisCofins[[#This Row],[Regime]]="Monofásico",4,IF(excPisCofins[[#This Row],[Regime]]="Regra Geral",1,IF(excPisCofins[[#This Row],[Regime]]="Substituição Tributária",5,"erro"))))</f>
        <v>6</v>
      </c>
      <c r="I2" s="227" t="str">
        <f>MID(excPisCofins[[#This Row],[CodBarras2]],2,50)</f>
        <v/>
      </c>
    </row>
    <row r="3" spans="1:9" x14ac:dyDescent="0.25">
      <c r="A3" s="228">
        <v>2</v>
      </c>
      <c r="B3" s="227" t="s">
        <v>5937</v>
      </c>
      <c r="C3" s="227" t="s">
        <v>4634</v>
      </c>
      <c r="F3" s="229">
        <v>0</v>
      </c>
      <c r="G3" s="229">
        <v>0</v>
      </c>
      <c r="H3" s="227">
        <f>IF(excPisCofins[[#This Row],[Regime]]="Alíquota 0",6,IF(excPisCofins[[#This Row],[Regime]]="Monofásico",4,IF(excPisCofins[[#This Row],[Regime]]="Regra Geral",1,IF(excPisCofins[[#This Row],[Regime]]="Substituição Tributária",5,"erro"))))</f>
        <v>1</v>
      </c>
      <c r="I3" s="227" t="str">
        <f>MID(excPisCofins[[#This Row],[CodBarras2]],2,50)</f>
        <v/>
      </c>
    </row>
    <row r="4" spans="1:9" x14ac:dyDescent="0.25">
      <c r="A4" s="228">
        <v>3</v>
      </c>
      <c r="B4" s="227" t="s">
        <v>5939</v>
      </c>
      <c r="C4" s="227" t="s">
        <v>2701</v>
      </c>
      <c r="H4" s="227">
        <f>IF(excPisCofins[[#This Row],[Regime]]="Alíquota 0",6,IF(excPisCofins[[#This Row],[Regime]]="Monofásico",4,IF(excPisCofins[[#This Row],[Regime]]="Regra Geral",1,IF(excPisCofins[[#This Row],[Regime]]="Substituição Tributária",5,"erro"))))</f>
        <v>6</v>
      </c>
      <c r="I4" s="227" t="str">
        <f>MID(excPisCofins[[#This Row],[CodBarras2]],2,50)</f>
        <v/>
      </c>
    </row>
    <row r="5" spans="1:9" x14ac:dyDescent="0.25">
      <c r="A5" s="228">
        <v>4</v>
      </c>
      <c r="B5" s="227" t="s">
        <v>5933</v>
      </c>
      <c r="C5" s="227" t="s">
        <v>2701</v>
      </c>
      <c r="H5" s="227">
        <f>IF(excPisCofins[[#This Row],[Regime]]="Alíquota 0",6,IF(excPisCofins[[#This Row],[Regime]]="Monofásico",4,IF(excPisCofins[[#This Row],[Regime]]="Regra Geral",1,IF(excPisCofins[[#This Row],[Regime]]="Substituição Tributária",5,"erro"))))</f>
        <v>6</v>
      </c>
      <c r="I5" s="227" t="str">
        <f>MID(excPisCofins[[#This Row],[CodBarras2]],2,50)</f>
        <v/>
      </c>
    </row>
    <row r="6" spans="1:9" x14ac:dyDescent="0.25">
      <c r="A6" s="228">
        <v>5</v>
      </c>
      <c r="B6" s="227" t="s">
        <v>5970</v>
      </c>
      <c r="C6" s="227" t="s">
        <v>2701</v>
      </c>
      <c r="H6" s="227">
        <f>IF(excPisCofins[[#This Row],[Regime]]="Alíquota 0",6,IF(excPisCofins[[#This Row],[Regime]]="Monofásico",4,IF(excPisCofins[[#This Row],[Regime]]="Regra Geral",1,IF(excPisCofins[[#This Row],[Regime]]="Substituição Tributária",5,"erro"))))</f>
        <v>6</v>
      </c>
      <c r="I6" s="227" t="str">
        <f>MID(excPisCofins[[#This Row],[CodBarras2]],2,50)</f>
        <v/>
      </c>
    </row>
    <row r="7" spans="1:9" x14ac:dyDescent="0.25">
      <c r="A7" s="228">
        <v>6</v>
      </c>
      <c r="B7" s="227" t="s">
        <v>5941</v>
      </c>
      <c r="C7" s="227" t="s">
        <v>4634</v>
      </c>
      <c r="H7" s="227">
        <f>IF(excPisCofins[[#This Row],[Regime]]="Alíquota 0",6,IF(excPisCofins[[#This Row],[Regime]]="Monofásico",4,IF(excPisCofins[[#This Row],[Regime]]="Regra Geral",1,IF(excPisCofins[[#This Row],[Regime]]="Substituição Tributária",5,"erro"))))</f>
        <v>1</v>
      </c>
      <c r="I7" s="227" t="str">
        <f>MID(excPisCofins[[#This Row],[CodBarras2]],2,50)</f>
        <v/>
      </c>
    </row>
    <row r="8" spans="1:9" x14ac:dyDescent="0.25">
      <c r="A8" s="228">
        <v>7</v>
      </c>
      <c r="B8" s="227" t="s">
        <v>5935</v>
      </c>
      <c r="C8" s="227" t="s">
        <v>4634</v>
      </c>
      <c r="H8" s="227">
        <f>IF(excPisCofins[[#This Row],[Regime]]="Alíquota 0",6,IF(excPisCofins[[#This Row],[Regime]]="Monofásico",4,IF(excPisCofins[[#This Row],[Regime]]="Regra Geral",1,IF(excPisCofins[[#This Row],[Regime]]="Substituição Tributária",5,"erro"))))</f>
        <v>1</v>
      </c>
      <c r="I8" s="227" t="str">
        <f>MID(excPisCofins[[#This Row],[CodBarras2]],2,50)</f>
        <v/>
      </c>
    </row>
    <row r="9" spans="1:9" x14ac:dyDescent="0.25">
      <c r="A9" s="228">
        <v>8</v>
      </c>
      <c r="B9" s="227" t="s">
        <v>5942</v>
      </c>
      <c r="C9" s="227" t="s">
        <v>4634</v>
      </c>
      <c r="H9" s="227">
        <f>IF(excPisCofins[[#This Row],[Regime]]="Alíquota 0",6,IF(excPisCofins[[#This Row],[Regime]]="Monofásico",4,IF(excPisCofins[[#This Row],[Regime]]="Regra Geral",1,IF(excPisCofins[[#This Row],[Regime]]="Substituição Tributária",5,"erro"))))</f>
        <v>1</v>
      </c>
      <c r="I9" s="227" t="str">
        <f>MID(excPisCofins[[#This Row],[CodBarras2]],2,50)</f>
        <v/>
      </c>
    </row>
    <row r="10" spans="1:9" x14ac:dyDescent="0.25">
      <c r="A10" s="228">
        <v>9</v>
      </c>
      <c r="B10" s="227" t="s">
        <v>5943</v>
      </c>
      <c r="C10" s="227" t="s">
        <v>4634</v>
      </c>
      <c r="H10" s="227">
        <f>IF(excPisCofins[[#This Row],[Regime]]="Alíquota 0",6,IF(excPisCofins[[#This Row],[Regime]]="Monofásico",4,IF(excPisCofins[[#This Row],[Regime]]="Regra Geral",1,IF(excPisCofins[[#This Row],[Regime]]="Substituição Tributária",5,"erro"))))</f>
        <v>1</v>
      </c>
      <c r="I10" s="227" t="str">
        <f>MID(excPisCofins[[#This Row],[CodBarras2]],2,50)</f>
        <v/>
      </c>
    </row>
    <row r="11" spans="1:9" x14ac:dyDescent="0.25">
      <c r="A11" s="228">
        <v>10</v>
      </c>
      <c r="B11" s="227" t="s">
        <v>5944</v>
      </c>
      <c r="C11" s="227" t="s">
        <v>4634</v>
      </c>
      <c r="H11" s="227">
        <f>IF(excPisCofins[[#This Row],[Regime]]="Alíquota 0",6,IF(excPisCofins[[#This Row],[Regime]]="Monofásico",4,IF(excPisCofins[[#This Row],[Regime]]="Regra Geral",1,IF(excPisCofins[[#This Row],[Regime]]="Substituição Tributária",5,"erro"))))</f>
        <v>1</v>
      </c>
      <c r="I11" s="227" t="str">
        <f>MID(excPisCofins[[#This Row],[CodBarras2]],2,50)</f>
        <v>0</v>
      </c>
    </row>
    <row r="12" spans="1:9" x14ac:dyDescent="0.25">
      <c r="A12" s="228">
        <v>11</v>
      </c>
      <c r="B12" s="227" t="s">
        <v>5947</v>
      </c>
      <c r="C12" s="227" t="s">
        <v>5859</v>
      </c>
      <c r="H12" s="227">
        <f>IF(excPisCofins[[#This Row],[Regime]]="Alíquota 0",6,IF(excPisCofins[[#This Row],[Regime]]="Monofásico",4,IF(excPisCofins[[#This Row],[Regime]]="Regra Geral",1,IF(excPisCofins[[#This Row],[Regime]]="Substituição Tributária",5,"erro"))))</f>
        <v>5</v>
      </c>
      <c r="I12" s="227" t="str">
        <f>MID(excPisCofins[[#This Row],[CodBarras2]],2,50)</f>
        <v>1</v>
      </c>
    </row>
    <row r="13" spans="1:9" x14ac:dyDescent="0.25">
      <c r="A13" s="228">
        <v>12</v>
      </c>
      <c r="B13" s="227" t="s">
        <v>5948</v>
      </c>
      <c r="C13" s="227" t="s">
        <v>4634</v>
      </c>
      <c r="H13" s="227">
        <f>IF(excPisCofins[[#This Row],[Regime]]="Alíquota 0",6,IF(excPisCofins[[#This Row],[Regime]]="Monofásico",4,IF(excPisCofins[[#This Row],[Regime]]="Regra Geral",1,IF(excPisCofins[[#This Row],[Regime]]="Substituição Tributária",5,"erro"))))</f>
        <v>1</v>
      </c>
      <c r="I13" s="227" t="str">
        <f>MID(excPisCofins[[#This Row],[CodBarras2]],2,50)</f>
        <v>2</v>
      </c>
    </row>
    <row r="14" spans="1:9" x14ac:dyDescent="0.25">
      <c r="A14" s="228">
        <v>13</v>
      </c>
      <c r="B14" s="227" t="s">
        <v>5949</v>
      </c>
      <c r="C14" s="227" t="s">
        <v>4634</v>
      </c>
      <c r="H14" s="227">
        <f>IF(excPisCofins[[#This Row],[Regime]]="Alíquota 0",6,IF(excPisCofins[[#This Row],[Regime]]="Monofásico",4,IF(excPisCofins[[#This Row],[Regime]]="Regra Geral",1,IF(excPisCofins[[#This Row],[Regime]]="Substituição Tributária",5,"erro"))))</f>
        <v>1</v>
      </c>
      <c r="I14" s="227" t="str">
        <f>MID(excPisCofins[[#This Row],[CodBarras2]],2,50)</f>
        <v>3</v>
      </c>
    </row>
    <row r="15" spans="1:9" x14ac:dyDescent="0.25">
      <c r="A15" s="228">
        <v>14</v>
      </c>
      <c r="B15" s="227" t="s">
        <v>5950</v>
      </c>
      <c r="C15" s="227" t="s">
        <v>2701</v>
      </c>
      <c r="H15" s="227">
        <f>IF(excPisCofins[[#This Row],[Regime]]="Alíquota 0",6,IF(excPisCofins[[#This Row],[Regime]]="Monofásico",4,IF(excPisCofins[[#This Row],[Regime]]="Regra Geral",1,IF(excPisCofins[[#This Row],[Regime]]="Substituição Tributária",5,"erro"))))</f>
        <v>6</v>
      </c>
      <c r="I15" s="227" t="str">
        <f>MID(excPisCofins[[#This Row],[CodBarras2]],2,50)</f>
        <v>4</v>
      </c>
    </row>
    <row r="16" spans="1:9" x14ac:dyDescent="0.25">
      <c r="A16" s="228">
        <v>15</v>
      </c>
      <c r="B16" s="227" t="s">
        <v>5951</v>
      </c>
      <c r="C16" s="227" t="s">
        <v>5859</v>
      </c>
      <c r="H16" s="227">
        <f>IF(excPisCofins[[#This Row],[Regime]]="Alíquota 0",6,IF(excPisCofins[[#This Row],[Regime]]="Monofásico",4,IF(excPisCofins[[#This Row],[Regime]]="Regra Geral",1,IF(excPisCofins[[#This Row],[Regime]]="Substituição Tributária",5,"erro"))))</f>
        <v>5</v>
      </c>
      <c r="I16" s="227" t="str">
        <f>MID(excPisCofins[[#This Row],[CodBarras2]],2,50)</f>
        <v>5</v>
      </c>
    </row>
    <row r="17" spans="1:9" x14ac:dyDescent="0.25">
      <c r="A17" s="228">
        <v>16</v>
      </c>
      <c r="B17" s="227" t="s">
        <v>5953</v>
      </c>
      <c r="C17" s="227" t="s">
        <v>4634</v>
      </c>
      <c r="H17" s="227">
        <f>IF(excPisCofins[[#This Row],[Regime]]="Alíquota 0",6,IF(excPisCofins[[#This Row],[Regime]]="Monofásico",4,IF(excPisCofins[[#This Row],[Regime]]="Regra Geral",1,IF(excPisCofins[[#This Row],[Regime]]="Substituição Tributária",5,"erro"))))</f>
        <v>1</v>
      </c>
      <c r="I17" s="227" t="str">
        <f>MID(excPisCofins[[#This Row],[CodBarras2]],2,50)</f>
        <v>6</v>
      </c>
    </row>
    <row r="18" spans="1:9" x14ac:dyDescent="0.25">
      <c r="A18" s="228">
        <v>17</v>
      </c>
      <c r="B18" s="227" t="s">
        <v>5952</v>
      </c>
      <c r="C18" s="227" t="s">
        <v>2704</v>
      </c>
      <c r="H18" s="227">
        <f>IF(excPisCofins[[#This Row],[Regime]]="Alíquota 0",6,IF(excPisCofins[[#This Row],[Regime]]="Monofásico",4,IF(excPisCofins[[#This Row],[Regime]]="Regra Geral",1,IF(excPisCofins[[#This Row],[Regime]]="Substituição Tributária",5,"erro"))))</f>
        <v>4</v>
      </c>
      <c r="I18" s="227" t="str">
        <f>MID(excPisCofins[[#This Row],[CodBarras2]],2,50)</f>
        <v>7</v>
      </c>
    </row>
    <row r="19" spans="1:9" x14ac:dyDescent="0.25">
      <c r="A19" s="228">
        <v>18</v>
      </c>
      <c r="B19" s="227" t="s">
        <v>5954</v>
      </c>
      <c r="C19" s="227" t="s">
        <v>4634</v>
      </c>
      <c r="H19" s="227">
        <f>IF(excPisCofins[[#This Row],[Regime]]="Alíquota 0",6,IF(excPisCofins[[#This Row],[Regime]]="Monofásico",4,IF(excPisCofins[[#This Row],[Regime]]="Regra Geral",1,IF(excPisCofins[[#This Row],[Regime]]="Substituição Tributária",5,"erro"))))</f>
        <v>1</v>
      </c>
      <c r="I19" s="227" t="str">
        <f>MID(excPisCofins[[#This Row],[CodBarras2]],2,50)</f>
        <v>8</v>
      </c>
    </row>
    <row r="20" spans="1:9" x14ac:dyDescent="0.25">
      <c r="A20" s="228">
        <v>20</v>
      </c>
      <c r="B20" s="227" t="s">
        <v>5956</v>
      </c>
      <c r="C20" s="227" t="s">
        <v>4634</v>
      </c>
      <c r="H20" s="227">
        <f>IF(excPisCofins[[#This Row],[Regime]]="Alíquota 0",6,IF(excPisCofins[[#This Row],[Regime]]="Monofásico",4,IF(excPisCofins[[#This Row],[Regime]]="Regra Geral",1,IF(excPisCofins[[#This Row],[Regime]]="Substituição Tributária",5,"erro"))))</f>
        <v>1</v>
      </c>
      <c r="I20" s="227" t="str">
        <f>MID(excPisCofins[[#This Row],[CodBarras2]],2,50)</f>
        <v>0</v>
      </c>
    </row>
    <row r="21" spans="1:9" x14ac:dyDescent="0.25">
      <c r="A21" s="228">
        <v>21</v>
      </c>
      <c r="B21" s="227" t="s">
        <v>5958</v>
      </c>
      <c r="C21" s="227" t="s">
        <v>4634</v>
      </c>
      <c r="H21" s="227">
        <f>IF(excPisCofins[[#This Row],[Regime]]="Alíquota 0",6,IF(excPisCofins[[#This Row],[Regime]]="Monofásico",4,IF(excPisCofins[[#This Row],[Regime]]="Regra Geral",1,IF(excPisCofins[[#This Row],[Regime]]="Substituição Tributária",5,"erro"))))</f>
        <v>1</v>
      </c>
      <c r="I21" s="227" t="str">
        <f>MID(excPisCofins[[#This Row],[CodBarras2]],2,50)</f>
        <v>1</v>
      </c>
    </row>
    <row r="22" spans="1:9" x14ac:dyDescent="0.25">
      <c r="A22" s="228">
        <v>22</v>
      </c>
      <c r="B22" s="227" t="s">
        <v>5959</v>
      </c>
      <c r="C22" s="227" t="s">
        <v>4634</v>
      </c>
      <c r="H22" s="227">
        <f>IF(excPisCofins[[#This Row],[Regime]]="Alíquota 0",6,IF(excPisCofins[[#This Row],[Regime]]="Monofásico",4,IF(excPisCofins[[#This Row],[Regime]]="Regra Geral",1,IF(excPisCofins[[#This Row],[Regime]]="Substituição Tributária",5,"erro"))))</f>
        <v>1</v>
      </c>
      <c r="I22" s="227" t="str">
        <f>MID(excPisCofins[[#This Row],[CodBarras2]],2,50)</f>
        <v>2</v>
      </c>
    </row>
    <row r="23" spans="1:9" x14ac:dyDescent="0.25">
      <c r="A23" s="228">
        <v>23</v>
      </c>
      <c r="B23" s="227" t="s">
        <v>5960</v>
      </c>
      <c r="C23" s="227" t="s">
        <v>2704</v>
      </c>
      <c r="H23" s="227">
        <f>IF(excPisCofins[[#This Row],[Regime]]="Alíquota 0",6,IF(excPisCofins[[#This Row],[Regime]]="Monofásico",4,IF(excPisCofins[[#This Row],[Regime]]="Regra Geral",1,IF(excPisCofins[[#This Row],[Regime]]="Substituição Tributária",5,"erro"))))</f>
        <v>4</v>
      </c>
      <c r="I23" s="227" t="str">
        <f>MID(excPisCofins[[#This Row],[CodBarras2]],2,50)</f>
        <v>3</v>
      </c>
    </row>
    <row r="24" spans="1:9" x14ac:dyDescent="0.25">
      <c r="A24" s="228">
        <v>24</v>
      </c>
      <c r="B24" s="227" t="s">
        <v>5961</v>
      </c>
      <c r="C24" s="227" t="s">
        <v>2704</v>
      </c>
      <c r="H24" s="227">
        <f>IF(excPisCofins[[#This Row],[Regime]]="Alíquota 0",6,IF(excPisCofins[[#This Row],[Regime]]="Monofásico",4,IF(excPisCofins[[#This Row],[Regime]]="Regra Geral",1,IF(excPisCofins[[#This Row],[Regime]]="Substituição Tributária",5,"erro"))))</f>
        <v>4</v>
      </c>
      <c r="I24" s="227" t="str">
        <f>MID(excPisCofins[[#This Row],[CodBarras2]],2,50)</f>
        <v>4</v>
      </c>
    </row>
    <row r="25" spans="1:9" x14ac:dyDescent="0.25">
      <c r="A25" s="228">
        <v>25</v>
      </c>
      <c r="B25" s="227" t="s">
        <v>5962</v>
      </c>
      <c r="C25" s="227" t="s">
        <v>4634</v>
      </c>
      <c r="H25" s="227">
        <f>IF(excPisCofins[[#This Row],[Regime]]="Alíquota 0",6,IF(excPisCofins[[#This Row],[Regime]]="Monofásico",4,IF(excPisCofins[[#This Row],[Regime]]="Regra Geral",1,IF(excPisCofins[[#This Row],[Regime]]="Substituição Tributária",5,"erro"))))</f>
        <v>1</v>
      </c>
      <c r="I25" s="227" t="str">
        <f>MID(excPisCofins[[#This Row],[CodBarras2]],2,50)</f>
        <v>5</v>
      </c>
    </row>
    <row r="26" spans="1:9" x14ac:dyDescent="0.25">
      <c r="A26" s="228">
        <v>26</v>
      </c>
      <c r="B26" s="227" t="s">
        <v>5963</v>
      </c>
      <c r="C26" s="227" t="s">
        <v>4634</v>
      </c>
      <c r="H26" s="227">
        <f>IF(excPisCofins[[#This Row],[Regime]]="Alíquota 0",6,IF(excPisCofins[[#This Row],[Regime]]="Monofásico",4,IF(excPisCofins[[#This Row],[Regime]]="Regra Geral",1,IF(excPisCofins[[#This Row],[Regime]]="Substituição Tributária",5,"erro"))))</f>
        <v>1</v>
      </c>
      <c r="I26" s="227" t="str">
        <f>MID(excPisCofins[[#This Row],[CodBarras2]],2,50)</f>
        <v>6</v>
      </c>
    </row>
    <row r="27" spans="1:9" x14ac:dyDescent="0.25">
      <c r="A27" s="228">
        <v>27</v>
      </c>
      <c r="B27" s="227" t="s">
        <v>5964</v>
      </c>
      <c r="C27" s="227" t="s">
        <v>4634</v>
      </c>
      <c r="H27" s="227">
        <f>IF(excPisCofins[[#This Row],[Regime]]="Alíquota 0",6,IF(excPisCofins[[#This Row],[Regime]]="Monofásico",4,IF(excPisCofins[[#This Row],[Regime]]="Regra Geral",1,IF(excPisCofins[[#This Row],[Regime]]="Substituição Tributária",5,"erro"))))</f>
        <v>1</v>
      </c>
      <c r="I27" s="227" t="str">
        <f>MID(excPisCofins[[#This Row],[CodBarras2]],2,50)</f>
        <v>7</v>
      </c>
    </row>
    <row r="28" spans="1:9" x14ac:dyDescent="0.25">
      <c r="A28" s="228">
        <v>28</v>
      </c>
      <c r="B28" s="227" t="s">
        <v>5966</v>
      </c>
      <c r="C28" s="227" t="s">
        <v>4634</v>
      </c>
      <c r="H28" s="227">
        <f>IF(excPisCofins[[#This Row],[Regime]]="Alíquota 0",6,IF(excPisCofins[[#This Row],[Regime]]="Monofásico",4,IF(excPisCofins[[#This Row],[Regime]]="Regra Geral",1,IF(excPisCofins[[#This Row],[Regime]]="Substituição Tributária",5,"erro"))))</f>
        <v>1</v>
      </c>
      <c r="I28" s="227" t="str">
        <f>MID(excPisCofins[[#This Row],[CodBarras2]],2,50)</f>
        <v>8</v>
      </c>
    </row>
    <row r="29" spans="1:9" x14ac:dyDescent="0.25">
      <c r="A29" s="228">
        <v>29</v>
      </c>
      <c r="B29" s="227" t="s">
        <v>5967</v>
      </c>
      <c r="C29" s="227" t="s">
        <v>4634</v>
      </c>
      <c r="H29" s="227">
        <f>IF(excPisCofins[[#This Row],[Regime]]="Alíquota 0",6,IF(excPisCofins[[#This Row],[Regime]]="Monofásico",4,IF(excPisCofins[[#This Row],[Regime]]="Regra Geral",1,IF(excPisCofins[[#This Row],[Regime]]="Substituição Tributária",5,"erro"))))</f>
        <v>1</v>
      </c>
      <c r="I29" s="227" t="str">
        <f>MID(excPisCofins[[#This Row],[CodBarras2]],2,50)</f>
        <v>9</v>
      </c>
    </row>
    <row r="30" spans="1:9" x14ac:dyDescent="0.25">
      <c r="A30" s="228">
        <v>30</v>
      </c>
      <c r="B30" s="227" t="s">
        <v>5968</v>
      </c>
      <c r="C30" s="227" t="s">
        <v>2701</v>
      </c>
      <c r="H30" s="227">
        <f>IF(excPisCofins[[#This Row],[Regime]]="Alíquota 0",6,IF(excPisCofins[[#This Row],[Regime]]="Monofásico",4,IF(excPisCofins[[#This Row],[Regime]]="Regra Geral",1,IF(excPisCofins[[#This Row],[Regime]]="Substituição Tributária",5,"erro"))))</f>
        <v>6</v>
      </c>
      <c r="I30" s="227" t="str">
        <f>MID(excPisCofins[[#This Row],[CodBarras2]],2,50)</f>
        <v>0</v>
      </c>
    </row>
    <row r="31" spans="1:9" x14ac:dyDescent="0.25">
      <c r="A31" s="228">
        <v>31</v>
      </c>
      <c r="B31" s="227" t="s">
        <v>5969</v>
      </c>
      <c r="C31" s="227" t="s">
        <v>2701</v>
      </c>
      <c r="H31" s="227">
        <f>IF(excPisCofins[[#This Row],[Regime]]="Alíquota 0",6,IF(excPisCofins[[#This Row],[Regime]]="Monofásico",4,IF(excPisCofins[[#This Row],[Regime]]="Regra Geral",1,IF(excPisCofins[[#This Row],[Regime]]="Substituição Tributária",5,"erro"))))</f>
        <v>6</v>
      </c>
      <c r="I31" s="227" t="str">
        <f>MID(excPisCofins[[#This Row],[CodBarras2]],2,50)</f>
        <v>1</v>
      </c>
    </row>
    <row r="32" spans="1:9" x14ac:dyDescent="0.25">
      <c r="I32" s="227" t="str">
        <f>MID(excPisCofins[[#This Row],[CodBarras2]],2,50)</f>
        <v/>
      </c>
    </row>
    <row r="33" spans="9:9" x14ac:dyDescent="0.25">
      <c r="I33" s="227" t="str">
        <f>MID(excPisCofins[[#This Row],[CodBarras2]],2,50)</f>
        <v/>
      </c>
    </row>
    <row r="34" spans="9:9" x14ac:dyDescent="0.25">
      <c r="I34" s="227" t="str">
        <f>MID(excPisCofins[[#This Row],[CodBarras2]],2,50)</f>
        <v/>
      </c>
    </row>
    <row r="35" spans="9:9" x14ac:dyDescent="0.25">
      <c r="I35" s="227" t="str">
        <f>MID(excPisCofins[[#This Row],[CodBarras2]],2,50)</f>
        <v/>
      </c>
    </row>
    <row r="36" spans="9:9" x14ac:dyDescent="0.25">
      <c r="I36" s="227" t="str">
        <f>MID(excPisCofins[[#This Row],[CodBarras2]],2,50)</f>
        <v/>
      </c>
    </row>
    <row r="37" spans="9:9" x14ac:dyDescent="0.25">
      <c r="I37" s="227" t="str">
        <f>MID(excPisCofins[[#This Row],[CodBarras2]],2,50)</f>
        <v/>
      </c>
    </row>
    <row r="38" spans="9:9" x14ac:dyDescent="0.25">
      <c r="I38" s="227" t="str">
        <f>MID(excPisCofins[[#This Row],[CodBarras2]],2,50)</f>
        <v/>
      </c>
    </row>
    <row r="39" spans="9:9" x14ac:dyDescent="0.25">
      <c r="I39" s="227" t="str">
        <f>MID(excPisCofins[[#This Row],[CodBarras2]],2,50)</f>
        <v/>
      </c>
    </row>
    <row r="40" spans="9:9" x14ac:dyDescent="0.25">
      <c r="I40" s="227" t="str">
        <f>MID(excPisCofins[[#This Row],[CodBarras2]],2,50)</f>
        <v/>
      </c>
    </row>
    <row r="41" spans="9:9" x14ac:dyDescent="0.25">
      <c r="I41" s="227" t="str">
        <f>MID(excPisCofins[[#This Row],[CodBarras2]],2,50)</f>
        <v/>
      </c>
    </row>
    <row r="42" spans="9:9" x14ac:dyDescent="0.25">
      <c r="I42" s="227" t="str">
        <f>MID(excPisCofins[[#This Row],[CodBarras2]],2,50)</f>
        <v/>
      </c>
    </row>
    <row r="43" spans="9:9" x14ac:dyDescent="0.25">
      <c r="I43" s="227" t="str">
        <f>MID(excPisCofins[[#This Row],[CodBarras2]],2,50)</f>
        <v/>
      </c>
    </row>
    <row r="44" spans="9:9" x14ac:dyDescent="0.25">
      <c r="I44" s="227" t="str">
        <f>MID(excPisCofins[[#This Row],[CodBarras2]],2,50)</f>
        <v/>
      </c>
    </row>
    <row r="45" spans="9:9" x14ac:dyDescent="0.25">
      <c r="I45" s="227" t="str">
        <f>MID(excPisCofins[[#This Row],[CodBarras2]],2,50)</f>
        <v/>
      </c>
    </row>
    <row r="46" spans="9:9" x14ac:dyDescent="0.25">
      <c r="I46" s="227" t="str">
        <f>MID(excPisCofins[[#This Row],[CodBarras2]],2,50)</f>
        <v/>
      </c>
    </row>
    <row r="47" spans="9:9" x14ac:dyDescent="0.25">
      <c r="I47" s="227" t="str">
        <f>MID(excPisCofins[[#This Row],[CodBarras2]],2,50)</f>
        <v/>
      </c>
    </row>
    <row r="48" spans="9:9" x14ac:dyDescent="0.25">
      <c r="I48" s="227" t="str">
        <f>MID(excPisCofins[[#This Row],[CodBarras2]],2,50)</f>
        <v/>
      </c>
    </row>
    <row r="49" spans="9:9" x14ac:dyDescent="0.25">
      <c r="I49" s="227" t="str">
        <f>MID(excPisCofins[[#This Row],[CodBarras2]],2,50)</f>
        <v/>
      </c>
    </row>
    <row r="50" spans="9:9" x14ac:dyDescent="0.25">
      <c r="I50" s="227" t="str">
        <f>MID(excPisCofins[[#This Row],[CodBarras2]],2,50)</f>
        <v/>
      </c>
    </row>
    <row r="51" spans="9:9" x14ac:dyDescent="0.25">
      <c r="I51" s="227" t="str">
        <f>MID(excPisCofins[[#This Row],[CodBarras2]],2,50)</f>
        <v/>
      </c>
    </row>
    <row r="52" spans="9:9" x14ac:dyDescent="0.25">
      <c r="I52" s="227" t="str">
        <f>MID(excPisCofins[[#This Row],[CodBarras2]],2,50)</f>
        <v/>
      </c>
    </row>
    <row r="53" spans="9:9" x14ac:dyDescent="0.25">
      <c r="I53" s="227" t="str">
        <f>MID(excPisCofins[[#This Row],[CodBarras2]],2,50)</f>
        <v/>
      </c>
    </row>
    <row r="54" spans="9:9" x14ac:dyDescent="0.25">
      <c r="I54" s="227" t="str">
        <f>MID(excPisCofins[[#This Row],[CodBarras2]],2,50)</f>
        <v/>
      </c>
    </row>
    <row r="55" spans="9:9" x14ac:dyDescent="0.25">
      <c r="I55" s="227" t="str">
        <f>MID(excPisCofins[[#This Row],[CodBarras2]],2,50)</f>
        <v/>
      </c>
    </row>
    <row r="56" spans="9:9" x14ac:dyDescent="0.25">
      <c r="I56" s="227" t="str">
        <f>MID(excPisCofins[[#This Row],[CodBarras2]],2,50)</f>
        <v/>
      </c>
    </row>
    <row r="57" spans="9:9" x14ac:dyDescent="0.25">
      <c r="I57" s="227" t="str">
        <f>MID(excPisCofins[[#This Row],[CodBarras2]],2,50)</f>
        <v/>
      </c>
    </row>
    <row r="58" spans="9:9" x14ac:dyDescent="0.25">
      <c r="I58" s="227" t="str">
        <f>MID(excPisCofins[[#This Row],[CodBarras2]],2,50)</f>
        <v/>
      </c>
    </row>
    <row r="59" spans="9:9" x14ac:dyDescent="0.25">
      <c r="I59" s="227" t="str">
        <f>MID(excPisCofins[[#This Row],[CodBarras2]],2,50)</f>
        <v/>
      </c>
    </row>
    <row r="60" spans="9:9" x14ac:dyDescent="0.25">
      <c r="I60" s="227" t="str">
        <f>MID(excPisCofins[[#This Row],[CodBarras2]],2,50)</f>
        <v/>
      </c>
    </row>
    <row r="61" spans="9:9" x14ac:dyDescent="0.25">
      <c r="I61" s="227" t="str">
        <f>MID(excPisCofins[[#This Row],[CodBarras2]],2,50)</f>
        <v/>
      </c>
    </row>
    <row r="62" spans="9:9" x14ac:dyDescent="0.25">
      <c r="I62" s="227" t="str">
        <f>MID(excPisCofins[[#This Row],[CodBarras2]],2,50)</f>
        <v/>
      </c>
    </row>
    <row r="63" spans="9:9" x14ac:dyDescent="0.25">
      <c r="I63" s="227" t="str">
        <f>MID(excPisCofins[[#This Row],[CodBarras2]],2,50)</f>
        <v/>
      </c>
    </row>
    <row r="64" spans="9:9" x14ac:dyDescent="0.25">
      <c r="I64" s="227" t="str">
        <f>MID(excPisCofins[[#This Row],[CodBarras2]],2,50)</f>
        <v/>
      </c>
    </row>
    <row r="65" spans="9:9" x14ac:dyDescent="0.25">
      <c r="I65" s="227" t="str">
        <f>MID(excPisCofins[[#This Row],[CodBarras2]],2,50)</f>
        <v/>
      </c>
    </row>
    <row r="66" spans="9:9" x14ac:dyDescent="0.25">
      <c r="I66" s="227" t="str">
        <f>MID(excPisCofins[[#This Row],[CodBarras2]],2,50)</f>
        <v/>
      </c>
    </row>
    <row r="67" spans="9:9" x14ac:dyDescent="0.25">
      <c r="I67" s="227" t="str">
        <f>MID(excPisCofins[[#This Row],[CodBarras2]],2,50)</f>
        <v/>
      </c>
    </row>
    <row r="68" spans="9:9" x14ac:dyDescent="0.25">
      <c r="I68" s="227" t="str">
        <f>MID(excPisCofins[[#This Row],[CodBarras2]],2,50)</f>
        <v/>
      </c>
    </row>
    <row r="69" spans="9:9" x14ac:dyDescent="0.25">
      <c r="I69" s="227" t="str">
        <f>MID(excPisCofins[[#This Row],[CodBarras2]],2,50)</f>
        <v/>
      </c>
    </row>
    <row r="70" spans="9:9" x14ac:dyDescent="0.25">
      <c r="I70" s="227" t="str">
        <f>MID(excPisCofins[[#This Row],[CodBarras2]],2,50)</f>
        <v/>
      </c>
    </row>
    <row r="71" spans="9:9" x14ac:dyDescent="0.25">
      <c r="I71" s="227" t="str">
        <f>MID(excPisCofins[[#This Row],[CodBarras2]],2,50)</f>
        <v/>
      </c>
    </row>
    <row r="72" spans="9:9" x14ac:dyDescent="0.25">
      <c r="I72" s="227" t="str">
        <f>MID(excPisCofins[[#This Row],[CodBarras2]],2,50)</f>
        <v/>
      </c>
    </row>
    <row r="73" spans="9:9" x14ac:dyDescent="0.25">
      <c r="I73" s="227" t="str">
        <f>MID(excPisCofins[[#This Row],[CodBarras2]],2,50)</f>
        <v/>
      </c>
    </row>
    <row r="74" spans="9:9" x14ac:dyDescent="0.25">
      <c r="I74" s="227" t="str">
        <f>MID(excPisCofins[[#This Row],[CodBarras2]],2,50)</f>
        <v/>
      </c>
    </row>
    <row r="75" spans="9:9" x14ac:dyDescent="0.25">
      <c r="I75" s="227" t="str">
        <f>MID(excPisCofins[[#This Row],[CodBarras2]],2,50)</f>
        <v/>
      </c>
    </row>
    <row r="76" spans="9:9" x14ac:dyDescent="0.25">
      <c r="I76" s="227" t="str">
        <f>MID(excPisCofins[[#This Row],[CodBarras2]],2,50)</f>
        <v/>
      </c>
    </row>
    <row r="77" spans="9:9" x14ac:dyDescent="0.25">
      <c r="I77" s="227" t="str">
        <f>MID(excPisCofins[[#This Row],[CodBarras2]],2,50)</f>
        <v/>
      </c>
    </row>
    <row r="78" spans="9:9" x14ac:dyDescent="0.25">
      <c r="I78" s="227" t="str">
        <f>MID(excPisCofins[[#This Row],[CodBarras2]],2,50)</f>
        <v/>
      </c>
    </row>
    <row r="79" spans="9:9" x14ac:dyDescent="0.25">
      <c r="I79" s="227" t="str">
        <f>MID(excPisCofins[[#This Row],[CodBarras2]],2,50)</f>
        <v/>
      </c>
    </row>
    <row r="80" spans="9:9" x14ac:dyDescent="0.25">
      <c r="I80" s="227" t="str">
        <f>MID(excPisCofins[[#This Row],[CodBarras2]],2,50)</f>
        <v/>
      </c>
    </row>
    <row r="81" spans="9:9" x14ac:dyDescent="0.25">
      <c r="I81" s="227" t="str">
        <f>MID(excPisCofins[[#This Row],[CodBarras2]],2,50)</f>
        <v/>
      </c>
    </row>
    <row r="82" spans="9:9" x14ac:dyDescent="0.25">
      <c r="I82" s="227" t="str">
        <f>MID(excPisCofins[[#This Row],[CodBarras2]],2,50)</f>
        <v/>
      </c>
    </row>
    <row r="83" spans="9:9" x14ac:dyDescent="0.25">
      <c r="I83" s="227" t="str">
        <f>MID(excPisCofins[[#This Row],[CodBarras2]],2,50)</f>
        <v/>
      </c>
    </row>
    <row r="84" spans="9:9" x14ac:dyDescent="0.25">
      <c r="I84" s="227" t="str">
        <f>MID(excPisCofins[[#This Row],[CodBarras2]],2,50)</f>
        <v/>
      </c>
    </row>
    <row r="85" spans="9:9" x14ac:dyDescent="0.25">
      <c r="I85" s="227" t="str">
        <f>MID(excPisCofins[[#This Row],[CodBarras2]],2,50)</f>
        <v/>
      </c>
    </row>
    <row r="86" spans="9:9" x14ac:dyDescent="0.25">
      <c r="I86" s="227" t="str">
        <f>MID(excPisCofins[[#This Row],[CodBarras2]],2,50)</f>
        <v/>
      </c>
    </row>
    <row r="87" spans="9:9" x14ac:dyDescent="0.25">
      <c r="I87" s="227" t="str">
        <f>MID(excPisCofins[[#This Row],[CodBarras2]],2,50)</f>
        <v/>
      </c>
    </row>
    <row r="88" spans="9:9" x14ac:dyDescent="0.25">
      <c r="I88" s="227" t="str">
        <f>MID(excPisCofins[[#This Row],[CodBarras2]],2,50)</f>
        <v/>
      </c>
    </row>
    <row r="89" spans="9:9" x14ac:dyDescent="0.25">
      <c r="I89" s="227" t="str">
        <f>MID(excPisCofins[[#This Row],[CodBarras2]],2,50)</f>
        <v/>
      </c>
    </row>
    <row r="90" spans="9:9" x14ac:dyDescent="0.25">
      <c r="I90" s="227" t="str">
        <f>MID(excPisCofins[[#This Row],[CodBarras2]],2,50)</f>
        <v/>
      </c>
    </row>
    <row r="91" spans="9:9" x14ac:dyDescent="0.25">
      <c r="I91" s="227" t="str">
        <f>MID(excPisCofins[[#This Row],[CodBarras2]],2,50)</f>
        <v/>
      </c>
    </row>
    <row r="92" spans="9:9" x14ac:dyDescent="0.25">
      <c r="I92" s="227" t="str">
        <f>MID(excPisCofins[[#This Row],[CodBarras2]],2,50)</f>
        <v/>
      </c>
    </row>
    <row r="93" spans="9:9" x14ac:dyDescent="0.25">
      <c r="I93" s="227" t="str">
        <f>MID(excPisCofins[[#This Row],[CodBarras2]],2,50)</f>
        <v/>
      </c>
    </row>
    <row r="94" spans="9:9" x14ac:dyDescent="0.25">
      <c r="I94" s="227" t="str">
        <f>MID(excPisCofins[[#This Row],[CodBarras2]],2,50)</f>
        <v/>
      </c>
    </row>
    <row r="95" spans="9:9" x14ac:dyDescent="0.25">
      <c r="I95" s="227" t="str">
        <f>MID(excPisCofins[[#This Row],[CodBarras2]],2,50)</f>
        <v/>
      </c>
    </row>
    <row r="96" spans="9:9" x14ac:dyDescent="0.25">
      <c r="I96" s="227" t="str">
        <f>MID(excPisCofins[[#This Row],[CodBarras2]],2,50)</f>
        <v/>
      </c>
    </row>
    <row r="97" spans="9:9" x14ac:dyDescent="0.25">
      <c r="I97" s="227" t="str">
        <f>MID(excPisCofins[[#This Row],[CodBarras2]],2,50)</f>
        <v/>
      </c>
    </row>
    <row r="98" spans="9:9" x14ac:dyDescent="0.25">
      <c r="I98" s="227" t="str">
        <f>MID(excPisCofins[[#This Row],[CodBarras2]],2,50)</f>
        <v/>
      </c>
    </row>
    <row r="99" spans="9:9" x14ac:dyDescent="0.25">
      <c r="I99" s="227" t="str">
        <f>MID(excPisCofins[[#This Row],[CodBarras2]],2,50)</f>
        <v/>
      </c>
    </row>
    <row r="100" spans="9:9" x14ac:dyDescent="0.25">
      <c r="I100" s="227" t="str">
        <f>MID(excPisCofins[[#This Row],[CodBarras2]],2,50)</f>
        <v/>
      </c>
    </row>
    <row r="101" spans="9:9" x14ac:dyDescent="0.25">
      <c r="I101" s="227" t="str">
        <f>MID(excPisCofins[[#This Row],[CodBarras2]],2,50)</f>
        <v/>
      </c>
    </row>
    <row r="102" spans="9:9" x14ac:dyDescent="0.25">
      <c r="I102" s="227" t="str">
        <f>MID(excPisCofins[[#This Row],[CodBarras2]],2,50)</f>
        <v/>
      </c>
    </row>
    <row r="103" spans="9:9" x14ac:dyDescent="0.25">
      <c r="I103" s="227" t="str">
        <f>MID(excPisCofins[[#This Row],[CodBarras2]],2,50)</f>
        <v/>
      </c>
    </row>
    <row r="104" spans="9:9" x14ac:dyDescent="0.25">
      <c r="I104" s="227" t="str">
        <f>MID(excPisCofins[[#This Row],[CodBarras2]],2,50)</f>
        <v/>
      </c>
    </row>
    <row r="105" spans="9:9" x14ac:dyDescent="0.25">
      <c r="I105" s="227" t="str">
        <f>MID(excPisCofins[[#This Row],[CodBarras2]],2,50)</f>
        <v/>
      </c>
    </row>
    <row r="106" spans="9:9" x14ac:dyDescent="0.25">
      <c r="I106" s="227" t="str">
        <f>MID(excPisCofins[[#This Row],[CodBarras2]],2,50)</f>
        <v/>
      </c>
    </row>
    <row r="107" spans="9:9" x14ac:dyDescent="0.25">
      <c r="I107" s="227" t="str">
        <f>MID(excPisCofins[[#This Row],[CodBarras2]],2,50)</f>
        <v/>
      </c>
    </row>
    <row r="108" spans="9:9" x14ac:dyDescent="0.25">
      <c r="I108" s="227" t="str">
        <f>MID(excPisCofins[[#This Row],[CodBarras2]],2,50)</f>
        <v/>
      </c>
    </row>
    <row r="109" spans="9:9" x14ac:dyDescent="0.25">
      <c r="I109" s="227" t="str">
        <f>MID(excPisCofins[[#This Row],[CodBarras2]],2,50)</f>
        <v/>
      </c>
    </row>
    <row r="110" spans="9:9" x14ac:dyDescent="0.25">
      <c r="I110" s="227" t="str">
        <f>MID(excPisCofins[[#This Row],[CodBarras2]],2,50)</f>
        <v/>
      </c>
    </row>
    <row r="111" spans="9:9" x14ac:dyDescent="0.25">
      <c r="I111" s="227" t="str">
        <f>MID(excPisCofins[[#This Row],[CodBarras2]],2,50)</f>
        <v/>
      </c>
    </row>
    <row r="112" spans="9:9" x14ac:dyDescent="0.25">
      <c r="I112" s="227" t="str">
        <f>MID(excPisCofins[[#This Row],[CodBarras2]],2,50)</f>
        <v/>
      </c>
    </row>
    <row r="113" spans="9:9" x14ac:dyDescent="0.25">
      <c r="I113" s="227" t="str">
        <f>MID(excPisCofins[[#This Row],[CodBarras2]],2,50)</f>
        <v/>
      </c>
    </row>
    <row r="114" spans="9:9" x14ac:dyDescent="0.25">
      <c r="I114" s="227" t="str">
        <f>MID(excPisCofins[[#This Row],[CodBarras2]],2,50)</f>
        <v/>
      </c>
    </row>
    <row r="115" spans="9:9" x14ac:dyDescent="0.25">
      <c r="I115" s="227" t="str">
        <f>MID(excPisCofins[[#This Row],[CodBarras2]],2,50)</f>
        <v/>
      </c>
    </row>
    <row r="116" spans="9:9" x14ac:dyDescent="0.25">
      <c r="I116" s="227" t="str">
        <f>MID(excPisCofins[[#This Row],[CodBarras2]],2,50)</f>
        <v/>
      </c>
    </row>
    <row r="117" spans="9:9" x14ac:dyDescent="0.25">
      <c r="I117" s="227" t="str">
        <f>MID(excPisCofins[[#This Row],[CodBarras2]],2,50)</f>
        <v/>
      </c>
    </row>
    <row r="118" spans="9:9" x14ac:dyDescent="0.25">
      <c r="I118" s="227" t="str">
        <f>MID(excPisCofins[[#This Row],[CodBarras2]],2,50)</f>
        <v/>
      </c>
    </row>
    <row r="119" spans="9:9" x14ac:dyDescent="0.25">
      <c r="I119" s="227" t="str">
        <f>MID(excPisCofins[[#This Row],[CodBarras2]],2,50)</f>
        <v/>
      </c>
    </row>
    <row r="120" spans="9:9" x14ac:dyDescent="0.25">
      <c r="I120" s="227" t="str">
        <f>MID(excPisCofins[[#This Row],[CodBarras2]],2,50)</f>
        <v/>
      </c>
    </row>
    <row r="121" spans="9:9" x14ac:dyDescent="0.25">
      <c r="I121" s="227" t="str">
        <f>MID(excPisCofins[[#This Row],[CodBarras2]],2,50)</f>
        <v/>
      </c>
    </row>
    <row r="122" spans="9:9" x14ac:dyDescent="0.25">
      <c r="I122" s="227" t="str">
        <f>MID(excPisCofins[[#This Row],[CodBarras2]],2,50)</f>
        <v/>
      </c>
    </row>
    <row r="123" spans="9:9" x14ac:dyDescent="0.25">
      <c r="I123" s="227" t="str">
        <f>MID(excPisCofins[[#This Row],[CodBarras2]],2,50)</f>
        <v/>
      </c>
    </row>
    <row r="124" spans="9:9" x14ac:dyDescent="0.25">
      <c r="I124" s="227" t="str">
        <f>MID(excPisCofins[[#This Row],[CodBarras2]],2,50)</f>
        <v/>
      </c>
    </row>
    <row r="125" spans="9:9" x14ac:dyDescent="0.25">
      <c r="I125" s="227" t="str">
        <f>MID(excPisCofins[[#This Row],[CodBarras2]],2,50)</f>
        <v/>
      </c>
    </row>
    <row r="126" spans="9:9" x14ac:dyDescent="0.25">
      <c r="I126" s="227" t="str">
        <f>MID(excPisCofins[[#This Row],[CodBarras2]],2,50)</f>
        <v/>
      </c>
    </row>
    <row r="127" spans="9:9" x14ac:dyDescent="0.25">
      <c r="I127" s="227" t="str">
        <f>MID(excPisCofins[[#This Row],[CodBarras2]],2,50)</f>
        <v/>
      </c>
    </row>
    <row r="128" spans="9:9" x14ac:dyDescent="0.25">
      <c r="I128" s="227" t="str">
        <f>MID(excPisCofins[[#This Row],[CodBarras2]],2,50)</f>
        <v/>
      </c>
    </row>
    <row r="129" spans="9:9" x14ac:dyDescent="0.25">
      <c r="I129" s="227" t="str">
        <f>MID(excPisCofins[[#This Row],[CodBarras2]],2,50)</f>
        <v/>
      </c>
    </row>
    <row r="130" spans="9:9" x14ac:dyDescent="0.25">
      <c r="I130" s="227" t="str">
        <f>MID(excPisCofins[[#This Row],[CodBarras2]],2,50)</f>
        <v/>
      </c>
    </row>
    <row r="131" spans="9:9" x14ac:dyDescent="0.25">
      <c r="I131" s="227" t="str">
        <f>MID(excPisCofins[[#This Row],[CodBarras2]],2,50)</f>
        <v/>
      </c>
    </row>
    <row r="132" spans="9:9" x14ac:dyDescent="0.25">
      <c r="I132" s="227" t="str">
        <f>MID(excPisCofins[[#This Row],[CodBarras2]],2,50)</f>
        <v/>
      </c>
    </row>
    <row r="133" spans="9:9" x14ac:dyDescent="0.25">
      <c r="I133" s="227" t="str">
        <f>MID(excPisCofins[[#This Row],[CodBarras2]],2,50)</f>
        <v/>
      </c>
    </row>
    <row r="134" spans="9:9" x14ac:dyDescent="0.25">
      <c r="I134" s="227" t="str">
        <f>MID(excPisCofins[[#This Row],[CodBarras2]],2,50)</f>
        <v/>
      </c>
    </row>
    <row r="135" spans="9:9" x14ac:dyDescent="0.25">
      <c r="I135" s="227" t="str">
        <f>MID(excPisCofins[[#This Row],[CodBarras2]],2,50)</f>
        <v/>
      </c>
    </row>
    <row r="136" spans="9:9" x14ac:dyDescent="0.25">
      <c r="I136" s="227" t="str">
        <f>MID(excPisCofins[[#This Row],[CodBarras2]],2,50)</f>
        <v/>
      </c>
    </row>
    <row r="137" spans="9:9" x14ac:dyDescent="0.25">
      <c r="I137" s="227" t="str">
        <f>MID(excPisCofins[[#This Row],[CodBarras2]],2,50)</f>
        <v/>
      </c>
    </row>
    <row r="138" spans="9:9" x14ac:dyDescent="0.25">
      <c r="I138" s="227" t="str">
        <f>MID(excPisCofins[[#This Row],[CodBarras2]],2,50)</f>
        <v/>
      </c>
    </row>
    <row r="139" spans="9:9" x14ac:dyDescent="0.25">
      <c r="I139" s="227" t="str">
        <f>MID(excPisCofins[[#This Row],[CodBarras2]],2,50)</f>
        <v/>
      </c>
    </row>
    <row r="140" spans="9:9" x14ac:dyDescent="0.25">
      <c r="I140" s="227" t="str">
        <f>MID(excPisCofins[[#This Row],[CodBarras2]],2,50)</f>
        <v/>
      </c>
    </row>
    <row r="141" spans="9:9" x14ac:dyDescent="0.25">
      <c r="I141" s="227" t="str">
        <f>MID(excPisCofins[[#This Row],[CodBarras2]],2,50)</f>
        <v/>
      </c>
    </row>
    <row r="142" spans="9:9" x14ac:dyDescent="0.25">
      <c r="I142" s="227" t="str">
        <f>MID(excPisCofins[[#This Row],[CodBarras2]],2,50)</f>
        <v/>
      </c>
    </row>
    <row r="143" spans="9:9" x14ac:dyDescent="0.25">
      <c r="I143" s="227" t="str">
        <f>MID(excPisCofins[[#This Row],[CodBarras2]],2,50)</f>
        <v/>
      </c>
    </row>
    <row r="144" spans="9:9" x14ac:dyDescent="0.25">
      <c r="I144" s="227" t="str">
        <f>MID(excPisCofins[[#This Row],[CodBarras2]],2,50)</f>
        <v/>
      </c>
    </row>
    <row r="145" spans="9:9" x14ac:dyDescent="0.25">
      <c r="I145" s="227" t="str">
        <f>MID(excPisCofins[[#This Row],[CodBarras2]],2,50)</f>
        <v/>
      </c>
    </row>
    <row r="146" spans="9:9" x14ac:dyDescent="0.25">
      <c r="I146" s="227" t="str">
        <f>MID(excPisCofins[[#This Row],[CodBarras2]],2,50)</f>
        <v/>
      </c>
    </row>
    <row r="147" spans="9:9" x14ac:dyDescent="0.25">
      <c r="I147" s="227" t="str">
        <f>MID(excPisCofins[[#This Row],[CodBarras2]],2,50)</f>
        <v/>
      </c>
    </row>
    <row r="148" spans="9:9" x14ac:dyDescent="0.25">
      <c r="I148" s="227" t="str">
        <f>MID(excPisCofins[[#This Row],[CodBarras2]],2,50)</f>
        <v/>
      </c>
    </row>
    <row r="149" spans="9:9" x14ac:dyDescent="0.25">
      <c r="I149" s="227" t="str">
        <f>MID(excPisCofins[[#This Row],[CodBarras2]],2,50)</f>
        <v/>
      </c>
    </row>
    <row r="150" spans="9:9" x14ac:dyDescent="0.25">
      <c r="I150" s="227" t="str">
        <f>MID(excPisCofins[[#This Row],[CodBarras2]],2,50)</f>
        <v/>
      </c>
    </row>
    <row r="151" spans="9:9" x14ac:dyDescent="0.25">
      <c r="I151" s="227" t="str">
        <f>MID(excPisCofins[[#This Row],[CodBarras2]],2,50)</f>
        <v/>
      </c>
    </row>
    <row r="152" spans="9:9" x14ac:dyDescent="0.25">
      <c r="I152" s="227" t="str">
        <f>MID(excPisCofins[[#This Row],[CodBarras2]],2,50)</f>
        <v/>
      </c>
    </row>
    <row r="153" spans="9:9" x14ac:dyDescent="0.25">
      <c r="I153" s="227" t="str">
        <f>MID(excPisCofins[[#This Row],[CodBarras2]],2,50)</f>
        <v/>
      </c>
    </row>
    <row r="154" spans="9:9" x14ac:dyDescent="0.25">
      <c r="I154" s="227" t="str">
        <f>MID(excPisCofins[[#This Row],[CodBarras2]],2,50)</f>
        <v/>
      </c>
    </row>
    <row r="155" spans="9:9" x14ac:dyDescent="0.25">
      <c r="I155" s="227" t="str">
        <f>MID(excPisCofins[[#This Row],[CodBarras2]],2,50)</f>
        <v/>
      </c>
    </row>
    <row r="156" spans="9:9" x14ac:dyDescent="0.25">
      <c r="I156" s="227" t="str">
        <f>MID(excPisCofins[[#This Row],[CodBarras2]],2,50)</f>
        <v/>
      </c>
    </row>
    <row r="157" spans="9:9" x14ac:dyDescent="0.25">
      <c r="I157" s="227" t="str">
        <f>MID(excPisCofins[[#This Row],[CodBarras2]],2,50)</f>
        <v/>
      </c>
    </row>
    <row r="158" spans="9:9" x14ac:dyDescent="0.25">
      <c r="I158" s="227" t="str">
        <f>MID(excPisCofins[[#This Row],[CodBarras2]],2,50)</f>
        <v/>
      </c>
    </row>
    <row r="159" spans="9:9" x14ac:dyDescent="0.25">
      <c r="I159" s="227" t="str">
        <f>MID(excPisCofins[[#This Row],[CodBarras2]],2,50)</f>
        <v/>
      </c>
    </row>
    <row r="160" spans="9:9" x14ac:dyDescent="0.25">
      <c r="I160" s="227" t="str">
        <f>MID(excPisCofins[[#This Row],[CodBarras2]],2,50)</f>
        <v/>
      </c>
    </row>
    <row r="161" spans="9:9" x14ac:dyDescent="0.25">
      <c r="I161" s="227" t="str">
        <f>MID(excPisCofins[[#This Row],[CodBarras2]],2,50)</f>
        <v/>
      </c>
    </row>
    <row r="162" spans="9:9" x14ac:dyDescent="0.25">
      <c r="I162" s="227" t="str">
        <f>MID(excPisCofins[[#This Row],[CodBarras2]],2,50)</f>
        <v/>
      </c>
    </row>
    <row r="163" spans="9:9" x14ac:dyDescent="0.25">
      <c r="I163" s="227" t="str">
        <f>MID(excPisCofins[[#This Row],[CodBarras2]],2,50)</f>
        <v/>
      </c>
    </row>
    <row r="164" spans="9:9" x14ac:dyDescent="0.25">
      <c r="I164" s="227" t="str">
        <f>MID(excPisCofins[[#This Row],[CodBarras2]],2,50)</f>
        <v/>
      </c>
    </row>
    <row r="165" spans="9:9" x14ac:dyDescent="0.25">
      <c r="I165" s="227" t="str">
        <f>MID(excPisCofins[[#This Row],[CodBarras2]],2,50)</f>
        <v/>
      </c>
    </row>
    <row r="166" spans="9:9" x14ac:dyDescent="0.25">
      <c r="I166" s="227" t="str">
        <f>MID(excPisCofins[[#This Row],[CodBarras2]],2,50)</f>
        <v/>
      </c>
    </row>
    <row r="167" spans="9:9" x14ac:dyDescent="0.25">
      <c r="I167" s="227" t="str">
        <f>MID(excPisCofins[[#This Row],[CodBarras2]],2,50)</f>
        <v/>
      </c>
    </row>
    <row r="168" spans="9:9" x14ac:dyDescent="0.25">
      <c r="I168" s="227" t="str">
        <f>MID(excPisCofins[[#This Row],[CodBarras2]],2,50)</f>
        <v/>
      </c>
    </row>
    <row r="169" spans="9:9" x14ac:dyDescent="0.25">
      <c r="I169" s="227" t="str">
        <f>MID(excPisCofins[[#This Row],[CodBarras2]],2,50)</f>
        <v/>
      </c>
    </row>
    <row r="170" spans="9:9" x14ac:dyDescent="0.25">
      <c r="I170" s="227" t="str">
        <f>MID(excPisCofins[[#This Row],[CodBarras2]],2,50)</f>
        <v/>
      </c>
    </row>
    <row r="171" spans="9:9" x14ac:dyDescent="0.25">
      <c r="I171" s="227" t="str">
        <f>MID(excPisCofins[[#This Row],[CodBarras2]],2,50)</f>
        <v/>
      </c>
    </row>
    <row r="172" spans="9:9" x14ac:dyDescent="0.25">
      <c r="I172" s="227" t="str">
        <f>MID(excPisCofins[[#This Row],[CodBarras2]],2,50)</f>
        <v/>
      </c>
    </row>
    <row r="173" spans="9:9" x14ac:dyDescent="0.25">
      <c r="I173" s="227" t="str">
        <f>MID(excPisCofins[[#This Row],[CodBarras2]],2,50)</f>
        <v/>
      </c>
    </row>
    <row r="174" spans="9:9" x14ac:dyDescent="0.25">
      <c r="I174" s="227" t="str">
        <f>MID(excPisCofins[[#This Row],[CodBarras2]],2,50)</f>
        <v/>
      </c>
    </row>
    <row r="175" spans="9:9" x14ac:dyDescent="0.25">
      <c r="I175" s="227" t="str">
        <f>MID(excPisCofins[[#This Row],[CodBarras2]],2,50)</f>
        <v/>
      </c>
    </row>
    <row r="176" spans="9:9" x14ac:dyDescent="0.25">
      <c r="I176" s="227" t="str">
        <f>MID(excPisCofins[[#This Row],[CodBarras2]],2,50)</f>
        <v/>
      </c>
    </row>
    <row r="177" spans="9:9" x14ac:dyDescent="0.25">
      <c r="I177" s="227" t="str">
        <f>MID(excPisCofins[[#This Row],[CodBarras2]],2,50)</f>
        <v/>
      </c>
    </row>
    <row r="178" spans="9:9" x14ac:dyDescent="0.25">
      <c r="I178" s="227" t="str">
        <f>MID(excPisCofins[[#This Row],[CodBarras2]],2,50)</f>
        <v/>
      </c>
    </row>
    <row r="179" spans="9:9" x14ac:dyDescent="0.25">
      <c r="I179" s="227" t="str">
        <f>MID(excPisCofins[[#This Row],[CodBarras2]],2,50)</f>
        <v/>
      </c>
    </row>
    <row r="180" spans="9:9" x14ac:dyDescent="0.25">
      <c r="I180" s="227" t="str">
        <f>MID(excPisCofins[[#This Row],[CodBarras2]],2,50)</f>
        <v/>
      </c>
    </row>
    <row r="181" spans="9:9" x14ac:dyDescent="0.25">
      <c r="I181" s="227" t="str">
        <f>MID(excPisCofins[[#This Row],[CodBarras2]],2,50)</f>
        <v/>
      </c>
    </row>
    <row r="182" spans="9:9" x14ac:dyDescent="0.25">
      <c r="I182" s="227" t="str">
        <f>MID(excPisCofins[[#This Row],[CodBarras2]],2,50)</f>
        <v/>
      </c>
    </row>
    <row r="183" spans="9:9" x14ac:dyDescent="0.25">
      <c r="I183" s="227" t="str">
        <f>MID(excPisCofins[[#This Row],[CodBarras2]],2,50)</f>
        <v/>
      </c>
    </row>
    <row r="184" spans="9:9" x14ac:dyDescent="0.25">
      <c r="I184" s="227" t="str">
        <f>MID(excPisCofins[[#This Row],[CodBarras2]],2,50)</f>
        <v/>
      </c>
    </row>
    <row r="185" spans="9:9" x14ac:dyDescent="0.25">
      <c r="I185" s="227" t="str">
        <f>MID(excPisCofins[[#This Row],[CodBarras2]],2,50)</f>
        <v/>
      </c>
    </row>
    <row r="186" spans="9:9" x14ac:dyDescent="0.25">
      <c r="I186" s="227" t="str">
        <f>MID(excPisCofins[[#This Row],[CodBarras2]],2,50)</f>
        <v/>
      </c>
    </row>
    <row r="187" spans="9:9" x14ac:dyDescent="0.25">
      <c r="I187" s="227" t="str">
        <f>MID(excPisCofins[[#This Row],[CodBarras2]],2,50)</f>
        <v/>
      </c>
    </row>
    <row r="188" spans="9:9" x14ac:dyDescent="0.25">
      <c r="I188" s="227" t="str">
        <f>MID(excPisCofins[[#This Row],[CodBarras2]],2,50)</f>
        <v/>
      </c>
    </row>
    <row r="189" spans="9:9" x14ac:dyDescent="0.25">
      <c r="I189" s="227" t="str">
        <f>MID(excPisCofins[[#This Row],[CodBarras2]],2,50)</f>
        <v/>
      </c>
    </row>
    <row r="190" spans="9:9" x14ac:dyDescent="0.25">
      <c r="I190" s="227" t="str">
        <f>MID(excPisCofins[[#This Row],[CodBarras2]],2,50)</f>
        <v/>
      </c>
    </row>
    <row r="191" spans="9:9" x14ac:dyDescent="0.25">
      <c r="I191" s="227" t="str">
        <f>MID(excPisCofins[[#This Row],[CodBarras2]],2,50)</f>
        <v/>
      </c>
    </row>
    <row r="192" spans="9:9" x14ac:dyDescent="0.25">
      <c r="I192" s="227" t="str">
        <f>MID(excPisCofins[[#This Row],[CodBarras2]],2,50)</f>
        <v/>
      </c>
    </row>
    <row r="193" spans="9:9" x14ac:dyDescent="0.25">
      <c r="I193" s="227" t="str">
        <f>MID(excPisCofins[[#This Row],[CodBarras2]],2,50)</f>
        <v/>
      </c>
    </row>
    <row r="194" spans="9:9" x14ac:dyDescent="0.25">
      <c r="I194" s="227" t="str">
        <f>MID(excPisCofins[[#This Row],[CodBarras2]],2,50)</f>
        <v/>
      </c>
    </row>
    <row r="195" spans="9:9" x14ac:dyDescent="0.25">
      <c r="I195" s="227" t="str">
        <f>MID(excPisCofins[[#This Row],[CodBarras2]],2,50)</f>
        <v/>
      </c>
    </row>
    <row r="196" spans="9:9" x14ac:dyDescent="0.25">
      <c r="I196" s="227" t="str">
        <f>MID(excPisCofins[[#This Row],[CodBarras2]],2,50)</f>
        <v/>
      </c>
    </row>
    <row r="197" spans="9:9" x14ac:dyDescent="0.25">
      <c r="I197" s="227" t="str">
        <f>MID(excPisCofins[[#This Row],[CodBarras2]],2,50)</f>
        <v/>
      </c>
    </row>
    <row r="198" spans="9:9" x14ac:dyDescent="0.25">
      <c r="I198" s="227" t="str">
        <f>MID(excPisCofins[[#This Row],[CodBarras2]],2,50)</f>
        <v/>
      </c>
    </row>
    <row r="199" spans="9:9" x14ac:dyDescent="0.25">
      <c r="I199" s="227" t="str">
        <f>MID(excPisCofins[[#This Row],[CodBarras2]],2,50)</f>
        <v/>
      </c>
    </row>
    <row r="200" spans="9:9" x14ac:dyDescent="0.25">
      <c r="I200" s="227" t="str">
        <f>MID(excPisCofins[[#This Row],[CodBarras2]],2,50)</f>
        <v/>
      </c>
    </row>
    <row r="201" spans="9:9" x14ac:dyDescent="0.25">
      <c r="I201" s="227" t="str">
        <f>MID(excPisCofins[[#This Row],[CodBarras2]],2,50)</f>
        <v/>
      </c>
    </row>
    <row r="202" spans="9:9" x14ac:dyDescent="0.25">
      <c r="I202" s="227" t="str">
        <f>MID(excPisCofins[[#This Row],[CodBarras2]],2,50)</f>
        <v/>
      </c>
    </row>
    <row r="203" spans="9:9" x14ac:dyDescent="0.25">
      <c r="I203" s="227" t="str">
        <f>MID(excPisCofins[[#This Row],[CodBarras2]],2,50)</f>
        <v/>
      </c>
    </row>
    <row r="204" spans="9:9" x14ac:dyDescent="0.25">
      <c r="I204" s="227" t="str">
        <f>MID(excPisCofins[[#This Row],[CodBarras2]],2,50)</f>
        <v/>
      </c>
    </row>
    <row r="205" spans="9:9" x14ac:dyDescent="0.25">
      <c r="I205" s="227" t="str">
        <f>MID(excPisCofins[[#This Row],[CodBarras2]],2,50)</f>
        <v/>
      </c>
    </row>
    <row r="206" spans="9:9" x14ac:dyDescent="0.25">
      <c r="I206" s="227" t="str">
        <f>MID(excPisCofins[[#This Row],[CodBarras2]],2,50)</f>
        <v/>
      </c>
    </row>
    <row r="207" spans="9:9" x14ac:dyDescent="0.25">
      <c r="I207" s="227" t="str">
        <f>MID(excPisCofins[[#This Row],[CodBarras2]],2,50)</f>
        <v/>
      </c>
    </row>
    <row r="208" spans="9:9" x14ac:dyDescent="0.25">
      <c r="I208" s="227" t="str">
        <f>MID(excPisCofins[[#This Row],[CodBarras2]],2,50)</f>
        <v/>
      </c>
    </row>
    <row r="209" spans="9:9" x14ac:dyDescent="0.25">
      <c r="I209" s="227" t="str">
        <f>MID(excPisCofins[[#This Row],[CodBarras2]],2,50)</f>
        <v/>
      </c>
    </row>
    <row r="210" spans="9:9" x14ac:dyDescent="0.25">
      <c r="I210" s="227" t="str">
        <f>MID(excPisCofins[[#This Row],[CodBarras2]],2,50)</f>
        <v/>
      </c>
    </row>
    <row r="211" spans="9:9" x14ac:dyDescent="0.25">
      <c r="I211" s="227" t="str">
        <f>MID(excPisCofins[[#This Row],[CodBarras2]],2,50)</f>
        <v/>
      </c>
    </row>
    <row r="212" spans="9:9" x14ac:dyDescent="0.25">
      <c r="I212" s="227" t="str">
        <f>MID(excPisCofins[[#This Row],[CodBarras2]],2,50)</f>
        <v/>
      </c>
    </row>
    <row r="213" spans="9:9" x14ac:dyDescent="0.25">
      <c r="I213" s="227" t="str">
        <f>MID(excPisCofins[[#This Row],[CodBarras2]],2,50)</f>
        <v/>
      </c>
    </row>
    <row r="214" spans="9:9" x14ac:dyDescent="0.25">
      <c r="I214" s="227" t="str">
        <f>MID(excPisCofins[[#This Row],[CodBarras2]],2,50)</f>
        <v/>
      </c>
    </row>
    <row r="215" spans="9:9" x14ac:dyDescent="0.25">
      <c r="I215" s="227" t="str">
        <f>MID(excPisCofins[[#This Row],[CodBarras2]],2,50)</f>
        <v/>
      </c>
    </row>
    <row r="216" spans="9:9" x14ac:dyDescent="0.25">
      <c r="I216" s="227" t="str">
        <f>MID(excPisCofins[[#This Row],[CodBarras2]],2,50)</f>
        <v/>
      </c>
    </row>
    <row r="217" spans="9:9" x14ac:dyDescent="0.25">
      <c r="I217" s="227" t="str">
        <f>MID(excPisCofins[[#This Row],[CodBarras2]],2,50)</f>
        <v/>
      </c>
    </row>
    <row r="218" spans="9:9" x14ac:dyDescent="0.25">
      <c r="I218" s="227" t="str">
        <f>MID(excPisCofins[[#This Row],[CodBarras2]],2,50)</f>
        <v/>
      </c>
    </row>
    <row r="219" spans="9:9" x14ac:dyDescent="0.25">
      <c r="I219" s="227" t="str">
        <f>MID(excPisCofins[[#This Row],[CodBarras2]],2,50)</f>
        <v/>
      </c>
    </row>
    <row r="220" spans="9:9" x14ac:dyDescent="0.25">
      <c r="I220" s="227" t="str">
        <f>MID(excPisCofins[[#This Row],[CodBarras2]],2,50)</f>
        <v/>
      </c>
    </row>
    <row r="221" spans="9:9" x14ac:dyDescent="0.25">
      <c r="I221" s="227" t="str">
        <f>MID(excPisCofins[[#This Row],[CodBarras2]],2,50)</f>
        <v/>
      </c>
    </row>
    <row r="222" spans="9:9" x14ac:dyDescent="0.25">
      <c r="I222" s="227" t="str">
        <f>MID(excPisCofins[[#This Row],[CodBarras2]],2,50)</f>
        <v/>
      </c>
    </row>
    <row r="223" spans="9:9" x14ac:dyDescent="0.25">
      <c r="I223" s="227" t="str">
        <f>MID(excPisCofins[[#This Row],[CodBarras2]],2,50)</f>
        <v/>
      </c>
    </row>
    <row r="224" spans="9:9" x14ac:dyDescent="0.25">
      <c r="I224" s="227" t="str">
        <f>MID(excPisCofins[[#This Row],[CodBarras2]],2,50)</f>
        <v/>
      </c>
    </row>
    <row r="225" spans="9:9" x14ac:dyDescent="0.25">
      <c r="I225" s="227" t="str">
        <f>MID(excPisCofins[[#This Row],[CodBarras2]],2,50)</f>
        <v/>
      </c>
    </row>
    <row r="226" spans="9:9" x14ac:dyDescent="0.25">
      <c r="I226" s="227" t="str">
        <f>MID(excPisCofins[[#This Row],[CodBarras2]],2,50)</f>
        <v/>
      </c>
    </row>
    <row r="227" spans="9:9" x14ac:dyDescent="0.25">
      <c r="I227" s="227" t="str">
        <f>MID(excPisCofins[[#This Row],[CodBarras2]],2,50)</f>
        <v/>
      </c>
    </row>
    <row r="228" spans="9:9" x14ac:dyDescent="0.25">
      <c r="I228" s="227" t="str">
        <f>MID(excPisCofins[[#This Row],[CodBarras2]],2,50)</f>
        <v/>
      </c>
    </row>
    <row r="229" spans="9:9" x14ac:dyDescent="0.25">
      <c r="I229" s="227" t="str">
        <f>MID(excPisCofins[[#This Row],[CodBarras2]],2,50)</f>
        <v/>
      </c>
    </row>
    <row r="230" spans="9:9" x14ac:dyDescent="0.25">
      <c r="I230" s="227" t="str">
        <f>MID(excPisCofins[[#This Row],[CodBarras2]],2,50)</f>
        <v/>
      </c>
    </row>
    <row r="231" spans="9:9" x14ac:dyDescent="0.25">
      <c r="I231" s="227" t="str">
        <f>MID(excPisCofins[[#This Row],[CodBarras2]],2,50)</f>
        <v/>
      </c>
    </row>
    <row r="232" spans="9:9" x14ac:dyDescent="0.25">
      <c r="I232" s="227" t="str">
        <f>MID(excPisCofins[[#This Row],[CodBarras2]],2,50)</f>
        <v/>
      </c>
    </row>
    <row r="233" spans="9:9" x14ac:dyDescent="0.25">
      <c r="I233" s="227" t="str">
        <f>MID(excPisCofins[[#This Row],[CodBarras2]],2,50)</f>
        <v/>
      </c>
    </row>
    <row r="234" spans="9:9" x14ac:dyDescent="0.25">
      <c r="I234" s="227" t="str">
        <f>MID(excPisCofins[[#This Row],[CodBarras2]],2,50)</f>
        <v/>
      </c>
    </row>
    <row r="235" spans="9:9" x14ac:dyDescent="0.25">
      <c r="I235" s="227" t="str">
        <f>MID(excPisCofins[[#This Row],[CodBarras2]],2,50)</f>
        <v/>
      </c>
    </row>
    <row r="236" spans="9:9" x14ac:dyDescent="0.25">
      <c r="I236" s="227" t="str">
        <f>MID(excPisCofins[[#This Row],[CodBarras2]],2,50)</f>
        <v/>
      </c>
    </row>
    <row r="237" spans="9:9" x14ac:dyDescent="0.25">
      <c r="I237" s="227" t="str">
        <f>MID(excPisCofins[[#This Row],[CodBarras2]],2,50)</f>
        <v/>
      </c>
    </row>
    <row r="238" spans="9:9" x14ac:dyDescent="0.25">
      <c r="I238" s="227" t="str">
        <f>MID(excPisCofins[[#This Row],[CodBarras2]],2,50)</f>
        <v/>
      </c>
    </row>
    <row r="239" spans="9:9" x14ac:dyDescent="0.25">
      <c r="I239" s="227" t="str">
        <f>MID(excPisCofins[[#This Row],[CodBarras2]],2,50)</f>
        <v/>
      </c>
    </row>
    <row r="240" spans="9:9" x14ac:dyDescent="0.25">
      <c r="I240" s="227" t="str">
        <f>MID(excPisCofins[[#This Row],[CodBarras2]],2,50)</f>
        <v/>
      </c>
    </row>
    <row r="241" spans="9:9" x14ac:dyDescent="0.25">
      <c r="I241" s="227" t="str">
        <f>MID(excPisCofins[[#This Row],[CodBarras2]],2,50)</f>
        <v/>
      </c>
    </row>
    <row r="242" spans="9:9" x14ac:dyDescent="0.25">
      <c r="I242" s="227" t="str">
        <f>MID(excPisCofins[[#This Row],[CodBarras2]],2,50)</f>
        <v/>
      </c>
    </row>
    <row r="243" spans="9:9" x14ac:dyDescent="0.25">
      <c r="I243" s="227" t="str">
        <f>MID(excPisCofins[[#This Row],[CodBarras2]],2,50)</f>
        <v/>
      </c>
    </row>
    <row r="244" spans="9:9" x14ac:dyDescent="0.25">
      <c r="I244" s="227" t="str">
        <f>MID(excPisCofins[[#This Row],[CodBarras2]],2,50)</f>
        <v/>
      </c>
    </row>
    <row r="245" spans="9:9" x14ac:dyDescent="0.25">
      <c r="I245" s="227" t="str">
        <f>MID(excPisCofins[[#This Row],[CodBarras2]],2,50)</f>
        <v/>
      </c>
    </row>
    <row r="246" spans="9:9" x14ac:dyDescent="0.25">
      <c r="I246" s="227" t="str">
        <f>MID(excPisCofins[[#This Row],[CodBarras2]],2,50)</f>
        <v/>
      </c>
    </row>
    <row r="247" spans="9:9" x14ac:dyDescent="0.25">
      <c r="I247" s="227" t="str">
        <f>MID(excPisCofins[[#This Row],[CodBarras2]],2,50)</f>
        <v/>
      </c>
    </row>
    <row r="248" spans="9:9" x14ac:dyDescent="0.25">
      <c r="I248" s="227" t="str">
        <f>MID(excPisCofins[[#This Row],[CodBarras2]],2,50)</f>
        <v/>
      </c>
    </row>
    <row r="249" spans="9:9" x14ac:dyDescent="0.25">
      <c r="I249" s="227" t="str">
        <f>MID(excPisCofins[[#This Row],[CodBarras2]],2,50)</f>
        <v/>
      </c>
    </row>
    <row r="250" spans="9:9" x14ac:dyDescent="0.25">
      <c r="I250" s="227" t="str">
        <f>MID(excPisCofins[[#This Row],[CodBarras2]],2,50)</f>
        <v/>
      </c>
    </row>
    <row r="251" spans="9:9" x14ac:dyDescent="0.25">
      <c r="I251" s="227" t="str">
        <f>MID(excPisCofins[[#This Row],[CodBarras2]],2,50)</f>
        <v/>
      </c>
    </row>
    <row r="252" spans="9:9" x14ac:dyDescent="0.25">
      <c r="I252" s="227" t="str">
        <f>MID(excPisCofins[[#This Row],[CodBarras2]],2,50)</f>
        <v/>
      </c>
    </row>
    <row r="253" spans="9:9" x14ac:dyDescent="0.25">
      <c r="I253" s="227" t="str">
        <f>MID(excPisCofins[[#This Row],[CodBarras2]],2,50)</f>
        <v/>
      </c>
    </row>
    <row r="254" spans="9:9" x14ac:dyDescent="0.25">
      <c r="I254" s="227" t="str">
        <f>MID(excPisCofins[[#This Row],[CodBarras2]],2,50)</f>
        <v/>
      </c>
    </row>
    <row r="255" spans="9:9" x14ac:dyDescent="0.25">
      <c r="I255" s="227" t="str">
        <f>MID(excPisCofins[[#This Row],[CodBarras2]],2,50)</f>
        <v/>
      </c>
    </row>
    <row r="256" spans="9:9" x14ac:dyDescent="0.25">
      <c r="I256" s="227" t="str">
        <f>MID(excPisCofins[[#This Row],[CodBarras2]],2,50)</f>
        <v/>
      </c>
    </row>
    <row r="257" spans="9:9" x14ac:dyDescent="0.25">
      <c r="I257" s="227" t="str">
        <f>MID(excPisCofins[[#This Row],[CodBarras2]],2,50)</f>
        <v/>
      </c>
    </row>
    <row r="258" spans="9:9" x14ac:dyDescent="0.25">
      <c r="I258" s="227" t="str">
        <f>MID(excPisCofins[[#This Row],[CodBarras2]],2,50)</f>
        <v/>
      </c>
    </row>
    <row r="259" spans="9:9" x14ac:dyDescent="0.25">
      <c r="I259" s="227" t="str">
        <f>MID(excPisCofins[[#This Row],[CodBarras2]],2,50)</f>
        <v/>
      </c>
    </row>
    <row r="260" spans="9:9" x14ac:dyDescent="0.25">
      <c r="I260" s="227" t="str">
        <f>MID(excPisCofins[[#This Row],[CodBarras2]],2,50)</f>
        <v/>
      </c>
    </row>
    <row r="261" spans="9:9" x14ac:dyDescent="0.25">
      <c r="I261" s="227" t="str">
        <f>MID(excPisCofins[[#This Row],[CodBarras2]],2,50)</f>
        <v/>
      </c>
    </row>
    <row r="262" spans="9:9" x14ac:dyDescent="0.25">
      <c r="I262" s="227" t="str">
        <f>MID(excPisCofins[[#This Row],[CodBarras2]],2,50)</f>
        <v/>
      </c>
    </row>
    <row r="263" spans="9:9" x14ac:dyDescent="0.25">
      <c r="I263" s="227" t="str">
        <f>MID(excPisCofins[[#This Row],[CodBarras2]],2,50)</f>
        <v/>
      </c>
    </row>
    <row r="264" spans="9:9" x14ac:dyDescent="0.25">
      <c r="I264" s="227" t="str">
        <f>MID(excPisCofins[[#This Row],[CodBarras2]],2,50)</f>
        <v/>
      </c>
    </row>
    <row r="265" spans="9:9" x14ac:dyDescent="0.25">
      <c r="I265" s="227" t="str">
        <f>MID(excPisCofins[[#This Row],[CodBarras2]],2,50)</f>
        <v/>
      </c>
    </row>
    <row r="266" spans="9:9" x14ac:dyDescent="0.25">
      <c r="I266" s="227" t="str">
        <f>MID(excPisCofins[[#This Row],[CodBarras2]],2,50)</f>
        <v/>
      </c>
    </row>
    <row r="267" spans="9:9" x14ac:dyDescent="0.25">
      <c r="I267" s="227" t="str">
        <f>MID(excPisCofins[[#This Row],[CodBarras2]],2,50)</f>
        <v/>
      </c>
    </row>
    <row r="268" spans="9:9" x14ac:dyDescent="0.25">
      <c r="I268" s="227" t="str">
        <f>MID(excPisCofins[[#This Row],[CodBarras2]],2,50)</f>
        <v/>
      </c>
    </row>
    <row r="269" spans="9:9" x14ac:dyDescent="0.25">
      <c r="I269" s="227" t="str">
        <f>MID(excPisCofins[[#This Row],[CodBarras2]],2,50)</f>
        <v/>
      </c>
    </row>
    <row r="270" spans="9:9" x14ac:dyDescent="0.25">
      <c r="I270" s="227" t="str">
        <f>MID(excPisCofins[[#This Row],[CodBarras2]],2,50)</f>
        <v/>
      </c>
    </row>
    <row r="271" spans="9:9" x14ac:dyDescent="0.25">
      <c r="I271" s="227" t="str">
        <f>MID(excPisCofins[[#This Row],[CodBarras2]],2,50)</f>
        <v/>
      </c>
    </row>
    <row r="272" spans="9:9" x14ac:dyDescent="0.25">
      <c r="I272" s="227" t="str">
        <f>MID(excPisCofins[[#This Row],[CodBarras2]],2,50)</f>
        <v/>
      </c>
    </row>
    <row r="273" spans="9:9" x14ac:dyDescent="0.25">
      <c r="I273" s="227" t="str">
        <f>MID(excPisCofins[[#This Row],[CodBarras2]],2,50)</f>
        <v/>
      </c>
    </row>
    <row r="274" spans="9:9" x14ac:dyDescent="0.25">
      <c r="I274" s="227" t="str">
        <f>MID(excPisCofins[[#This Row],[CodBarras2]],2,50)</f>
        <v/>
      </c>
    </row>
    <row r="275" spans="9:9" x14ac:dyDescent="0.25">
      <c r="I275" s="227" t="str">
        <f>MID(excPisCofins[[#This Row],[CodBarras2]],2,50)</f>
        <v/>
      </c>
    </row>
    <row r="276" spans="9:9" x14ac:dyDescent="0.25">
      <c r="I276" s="227" t="str">
        <f>MID(excPisCofins[[#This Row],[CodBarras2]],2,50)</f>
        <v/>
      </c>
    </row>
    <row r="277" spans="9:9" x14ac:dyDescent="0.25">
      <c r="I277" s="227" t="str">
        <f>MID(excPisCofins[[#This Row],[CodBarras2]],2,50)</f>
        <v/>
      </c>
    </row>
    <row r="278" spans="9:9" x14ac:dyDescent="0.25">
      <c r="I278" s="227" t="str">
        <f>MID(excPisCofins[[#This Row],[CodBarras2]],2,50)</f>
        <v/>
      </c>
    </row>
    <row r="279" spans="9:9" x14ac:dyDescent="0.25">
      <c r="I279" s="227" t="str">
        <f>MID(excPisCofins[[#This Row],[CodBarras2]],2,50)</f>
        <v/>
      </c>
    </row>
    <row r="280" spans="9:9" x14ac:dyDescent="0.25">
      <c r="I280" s="227" t="str">
        <f>MID(excPisCofins[[#This Row],[CodBarras2]],2,50)</f>
        <v/>
      </c>
    </row>
    <row r="281" spans="9:9" x14ac:dyDescent="0.25">
      <c r="I281" s="227" t="str">
        <f>MID(excPisCofins[[#This Row],[CodBarras2]],2,50)</f>
        <v/>
      </c>
    </row>
    <row r="282" spans="9:9" x14ac:dyDescent="0.25">
      <c r="I282" s="227" t="str">
        <f>MID(excPisCofins[[#This Row],[CodBarras2]],2,50)</f>
        <v/>
      </c>
    </row>
    <row r="283" spans="9:9" x14ac:dyDescent="0.25">
      <c r="I283" s="227" t="str">
        <f>MID(excPisCofins[[#This Row],[CodBarras2]],2,50)</f>
        <v/>
      </c>
    </row>
    <row r="284" spans="9:9" x14ac:dyDescent="0.25">
      <c r="I284" s="227" t="str">
        <f>MID(excPisCofins[[#This Row],[CodBarras2]],2,50)</f>
        <v/>
      </c>
    </row>
    <row r="285" spans="9:9" x14ac:dyDescent="0.25">
      <c r="I285" s="227" t="str">
        <f>MID(excPisCofins[[#This Row],[CodBarras2]],2,50)</f>
        <v/>
      </c>
    </row>
    <row r="286" spans="9:9" x14ac:dyDescent="0.25">
      <c r="I286" s="227" t="str">
        <f>MID(excPisCofins[[#This Row],[CodBarras2]],2,50)</f>
        <v/>
      </c>
    </row>
    <row r="287" spans="9:9" x14ac:dyDescent="0.25">
      <c r="I287" s="227" t="str">
        <f>MID(excPisCofins[[#This Row],[CodBarras2]],2,50)</f>
        <v/>
      </c>
    </row>
    <row r="288" spans="9:9" x14ac:dyDescent="0.25">
      <c r="I288" s="227" t="str">
        <f>MID(excPisCofins[[#This Row],[CodBarras2]],2,50)</f>
        <v/>
      </c>
    </row>
    <row r="289" spans="9:9" x14ac:dyDescent="0.25">
      <c r="I289" s="227" t="str">
        <f>MID(excPisCofins[[#This Row],[CodBarras2]],2,50)</f>
        <v/>
      </c>
    </row>
    <row r="290" spans="9:9" x14ac:dyDescent="0.25">
      <c r="I290" s="227" t="str">
        <f>MID(excPisCofins[[#This Row],[CodBarras2]],2,50)</f>
        <v/>
      </c>
    </row>
    <row r="291" spans="9:9" x14ac:dyDescent="0.25">
      <c r="I291" s="227" t="str">
        <f>MID(excPisCofins[[#This Row],[CodBarras2]],2,50)</f>
        <v/>
      </c>
    </row>
    <row r="292" spans="9:9" x14ac:dyDescent="0.25">
      <c r="I292" s="227" t="str">
        <f>MID(excPisCofins[[#This Row],[CodBarras2]],2,50)</f>
        <v/>
      </c>
    </row>
    <row r="293" spans="9:9" x14ac:dyDescent="0.25">
      <c r="I293" s="227" t="str">
        <f>MID(excPisCofins[[#This Row],[CodBarras2]],2,50)</f>
        <v/>
      </c>
    </row>
    <row r="294" spans="9:9" x14ac:dyDescent="0.25">
      <c r="I294" s="227" t="str">
        <f>MID(excPisCofins[[#This Row],[CodBarras2]],2,50)</f>
        <v/>
      </c>
    </row>
    <row r="295" spans="9:9" x14ac:dyDescent="0.25">
      <c r="I295" s="227" t="str">
        <f>MID(excPisCofins[[#This Row],[CodBarras2]],2,50)</f>
        <v/>
      </c>
    </row>
    <row r="296" spans="9:9" x14ac:dyDescent="0.25">
      <c r="I296" s="227" t="str">
        <f>MID(excPisCofins[[#This Row],[CodBarras2]],2,50)</f>
        <v/>
      </c>
    </row>
    <row r="297" spans="9:9" x14ac:dyDescent="0.25">
      <c r="I297" s="227" t="str">
        <f>MID(excPisCofins[[#This Row],[CodBarras2]],2,50)</f>
        <v/>
      </c>
    </row>
    <row r="298" spans="9:9" x14ac:dyDescent="0.25">
      <c r="I298" s="227" t="str">
        <f>MID(excPisCofins[[#This Row],[CodBarras2]],2,50)</f>
        <v/>
      </c>
    </row>
    <row r="299" spans="9:9" x14ac:dyDescent="0.25">
      <c r="I299" s="227" t="str">
        <f>MID(excPisCofins[[#This Row],[CodBarras2]],2,50)</f>
        <v/>
      </c>
    </row>
    <row r="300" spans="9:9" x14ac:dyDescent="0.25">
      <c r="I300" s="227" t="str">
        <f>MID(excPisCofins[[#This Row],[CodBarras2]],2,50)</f>
        <v/>
      </c>
    </row>
    <row r="301" spans="9:9" x14ac:dyDescent="0.25">
      <c r="I301" s="227" t="str">
        <f>MID(excPisCofins[[#This Row],[CodBarras2]],2,50)</f>
        <v/>
      </c>
    </row>
    <row r="302" spans="9:9" x14ac:dyDescent="0.25">
      <c r="I302" s="227" t="str">
        <f>MID(excPisCofins[[#This Row],[CodBarras2]],2,50)</f>
        <v/>
      </c>
    </row>
    <row r="303" spans="9:9" x14ac:dyDescent="0.25">
      <c r="I303" s="227" t="str">
        <f>MID(excPisCofins[[#This Row],[CodBarras2]],2,50)</f>
        <v/>
      </c>
    </row>
    <row r="304" spans="9:9" x14ac:dyDescent="0.25">
      <c r="I304" s="227" t="str">
        <f>MID(excPisCofins[[#This Row],[CodBarras2]],2,50)</f>
        <v/>
      </c>
    </row>
    <row r="305" spans="9:9" x14ac:dyDescent="0.25">
      <c r="I305" s="227" t="str">
        <f>MID(excPisCofins[[#This Row],[CodBarras2]],2,50)</f>
        <v/>
      </c>
    </row>
    <row r="306" spans="9:9" x14ac:dyDescent="0.25">
      <c r="I306" s="227" t="str">
        <f>MID(excPisCofins[[#This Row],[CodBarras2]],2,50)</f>
        <v/>
      </c>
    </row>
    <row r="307" spans="9:9" x14ac:dyDescent="0.25">
      <c r="I307" s="227" t="str">
        <f>MID(excPisCofins[[#This Row],[CodBarras2]],2,50)</f>
        <v/>
      </c>
    </row>
    <row r="308" spans="9:9" x14ac:dyDescent="0.25">
      <c r="I308" s="227" t="str">
        <f>MID(excPisCofins[[#This Row],[CodBarras2]],2,50)</f>
        <v/>
      </c>
    </row>
    <row r="309" spans="9:9" x14ac:dyDescent="0.25">
      <c r="I309" s="227" t="str">
        <f>MID(excPisCofins[[#This Row],[CodBarras2]],2,50)</f>
        <v/>
      </c>
    </row>
    <row r="310" spans="9:9" x14ac:dyDescent="0.25">
      <c r="I310" s="227" t="str">
        <f>MID(excPisCofins[[#This Row],[CodBarras2]],2,50)</f>
        <v/>
      </c>
    </row>
    <row r="311" spans="9:9" x14ac:dyDescent="0.25">
      <c r="I311" s="227" t="str">
        <f>MID(excPisCofins[[#This Row],[CodBarras2]],2,50)</f>
        <v/>
      </c>
    </row>
    <row r="312" spans="9:9" x14ac:dyDescent="0.25">
      <c r="I312" s="227" t="str">
        <f>MID(excPisCofins[[#This Row],[CodBarras2]],2,50)</f>
        <v/>
      </c>
    </row>
    <row r="313" spans="9:9" x14ac:dyDescent="0.25">
      <c r="I313" s="227" t="str">
        <f>MID(excPisCofins[[#This Row],[CodBarras2]],2,50)</f>
        <v/>
      </c>
    </row>
    <row r="314" spans="9:9" x14ac:dyDescent="0.25">
      <c r="I314" s="227" t="str">
        <f>MID(excPisCofins[[#This Row],[CodBarras2]],2,50)</f>
        <v/>
      </c>
    </row>
    <row r="315" spans="9:9" x14ac:dyDescent="0.25">
      <c r="I315" s="227" t="str">
        <f>MID(excPisCofins[[#This Row],[CodBarras2]],2,50)</f>
        <v/>
      </c>
    </row>
    <row r="316" spans="9:9" x14ac:dyDescent="0.25">
      <c r="I316" s="227" t="str">
        <f>MID(excPisCofins[[#This Row],[CodBarras2]],2,50)</f>
        <v/>
      </c>
    </row>
    <row r="317" spans="9:9" x14ac:dyDescent="0.25">
      <c r="I317" s="227" t="str">
        <f>MID(excPisCofins[[#This Row],[CodBarras2]],2,50)</f>
        <v/>
      </c>
    </row>
    <row r="318" spans="9:9" x14ac:dyDescent="0.25">
      <c r="I318" s="227" t="str">
        <f>MID(excPisCofins[[#This Row],[CodBarras2]],2,50)</f>
        <v/>
      </c>
    </row>
    <row r="319" spans="9:9" x14ac:dyDescent="0.25">
      <c r="I319" s="227" t="str">
        <f>MID(excPisCofins[[#This Row],[CodBarras2]],2,50)</f>
        <v/>
      </c>
    </row>
    <row r="320" spans="9:9" x14ac:dyDescent="0.25">
      <c r="I320" s="227" t="str">
        <f>MID(excPisCofins[[#This Row],[CodBarras2]],2,50)</f>
        <v/>
      </c>
    </row>
    <row r="321" spans="9:9" x14ac:dyDescent="0.25">
      <c r="I321" s="227" t="str">
        <f>MID(excPisCofins[[#This Row],[CodBarras2]],2,50)</f>
        <v/>
      </c>
    </row>
    <row r="322" spans="9:9" x14ac:dyDescent="0.25">
      <c r="I322" s="227" t="str">
        <f>MID(excPisCofins[[#This Row],[CodBarras2]],2,50)</f>
        <v/>
      </c>
    </row>
    <row r="323" spans="9:9" x14ac:dyDescent="0.25">
      <c r="I323" s="227" t="str">
        <f>MID(excPisCofins[[#This Row],[CodBarras2]],2,50)</f>
        <v/>
      </c>
    </row>
    <row r="324" spans="9:9" x14ac:dyDescent="0.25">
      <c r="I324" s="227" t="str">
        <f>MID(excPisCofins[[#This Row],[CodBarras2]],2,50)</f>
        <v/>
      </c>
    </row>
    <row r="325" spans="9:9" x14ac:dyDescent="0.25">
      <c r="I325" s="227" t="str">
        <f>MID(excPisCofins[[#This Row],[CodBarras2]],2,50)</f>
        <v/>
      </c>
    </row>
    <row r="326" spans="9:9" x14ac:dyDescent="0.25">
      <c r="I326" s="227" t="str">
        <f>MID(excPisCofins[[#This Row],[CodBarras2]],2,50)</f>
        <v/>
      </c>
    </row>
    <row r="327" spans="9:9" x14ac:dyDescent="0.25">
      <c r="I327" s="227" t="str">
        <f>MID(excPisCofins[[#This Row],[CodBarras2]],2,50)</f>
        <v/>
      </c>
    </row>
    <row r="328" spans="9:9" x14ac:dyDescent="0.25">
      <c r="I328" s="227" t="str">
        <f>MID(excPisCofins[[#This Row],[CodBarras2]],2,50)</f>
        <v/>
      </c>
    </row>
    <row r="329" spans="9:9" x14ac:dyDescent="0.25">
      <c r="I329" s="227" t="str">
        <f>MID(excPisCofins[[#This Row],[CodBarras2]],2,50)</f>
        <v/>
      </c>
    </row>
    <row r="330" spans="9:9" x14ac:dyDescent="0.25">
      <c r="I330" s="227" t="str">
        <f>MID(excPisCofins[[#This Row],[CodBarras2]],2,50)</f>
        <v/>
      </c>
    </row>
    <row r="331" spans="9:9" x14ac:dyDescent="0.25">
      <c r="I331" s="227" t="str">
        <f>MID(excPisCofins[[#This Row],[CodBarras2]],2,50)</f>
        <v/>
      </c>
    </row>
    <row r="332" spans="9:9" x14ac:dyDescent="0.25">
      <c r="I332" s="227" t="str">
        <f>MID(excPisCofins[[#This Row],[CodBarras2]],2,50)</f>
        <v/>
      </c>
    </row>
    <row r="333" spans="9:9" x14ac:dyDescent="0.25">
      <c r="I333" s="227" t="str">
        <f>MID(excPisCofins[[#This Row],[CodBarras2]],2,50)</f>
        <v/>
      </c>
    </row>
    <row r="334" spans="9:9" x14ac:dyDescent="0.25">
      <c r="I334" s="227" t="str">
        <f>MID(excPisCofins[[#This Row],[CodBarras2]],2,50)</f>
        <v/>
      </c>
    </row>
    <row r="335" spans="9:9" x14ac:dyDescent="0.25">
      <c r="I335" s="227" t="str">
        <f>MID(excPisCofins[[#This Row],[CodBarras2]],2,50)</f>
        <v/>
      </c>
    </row>
    <row r="336" spans="9:9" x14ac:dyDescent="0.25">
      <c r="I336" s="227" t="str">
        <f>MID(excPisCofins[[#This Row],[CodBarras2]],2,50)</f>
        <v/>
      </c>
    </row>
    <row r="337" spans="9:9" x14ac:dyDescent="0.25">
      <c r="I337" s="227" t="str">
        <f>MID(excPisCofins[[#This Row],[CodBarras2]],2,50)</f>
        <v/>
      </c>
    </row>
    <row r="338" spans="9:9" x14ac:dyDescent="0.25">
      <c r="I338" s="227" t="str">
        <f>MID(excPisCofins[[#This Row],[CodBarras2]],2,50)</f>
        <v/>
      </c>
    </row>
    <row r="339" spans="9:9" x14ac:dyDescent="0.25">
      <c r="I339" s="227" t="str">
        <f>MID(excPisCofins[[#This Row],[CodBarras2]],2,50)</f>
        <v/>
      </c>
    </row>
    <row r="340" spans="9:9" x14ac:dyDescent="0.25">
      <c r="I340" s="227" t="str">
        <f>MID(excPisCofins[[#This Row],[CodBarras2]],2,50)</f>
        <v/>
      </c>
    </row>
    <row r="341" spans="9:9" x14ac:dyDescent="0.25">
      <c r="I341" s="227" t="str">
        <f>MID(excPisCofins[[#This Row],[CodBarras2]],2,50)</f>
        <v/>
      </c>
    </row>
    <row r="342" spans="9:9" x14ac:dyDescent="0.25">
      <c r="I342" s="227" t="str">
        <f>MID(excPisCofins[[#This Row],[CodBarras2]],2,50)</f>
        <v/>
      </c>
    </row>
    <row r="343" spans="9:9" x14ac:dyDescent="0.25">
      <c r="I343" s="227" t="str">
        <f>MID(excPisCofins[[#This Row],[CodBarras2]],2,50)</f>
        <v/>
      </c>
    </row>
    <row r="344" spans="9:9" x14ac:dyDescent="0.25">
      <c r="I344" s="227" t="str">
        <f>MID(excPisCofins[[#This Row],[CodBarras2]],2,50)</f>
        <v/>
      </c>
    </row>
    <row r="345" spans="9:9" x14ac:dyDescent="0.25">
      <c r="I345" s="227" t="str">
        <f>MID(excPisCofins[[#This Row],[CodBarras2]],2,50)</f>
        <v/>
      </c>
    </row>
    <row r="346" spans="9:9" x14ac:dyDescent="0.25">
      <c r="I346" s="227" t="str">
        <f>MID(excPisCofins[[#This Row],[CodBarras2]],2,50)</f>
        <v/>
      </c>
    </row>
    <row r="347" spans="9:9" x14ac:dyDescent="0.25">
      <c r="I347" s="227" t="str">
        <f>MID(excPisCofins[[#This Row],[CodBarras2]],2,50)</f>
        <v/>
      </c>
    </row>
    <row r="348" spans="9:9" x14ac:dyDescent="0.25">
      <c r="I348" s="227" t="str">
        <f>MID(excPisCofins[[#This Row],[CodBarras2]],2,50)</f>
        <v/>
      </c>
    </row>
    <row r="349" spans="9:9" x14ac:dyDescent="0.25">
      <c r="I349" s="227" t="str">
        <f>MID(excPisCofins[[#This Row],[CodBarras2]],2,50)</f>
        <v/>
      </c>
    </row>
    <row r="350" spans="9:9" x14ac:dyDescent="0.25">
      <c r="I350" s="227" t="str">
        <f>MID(excPisCofins[[#This Row],[CodBarras2]],2,50)</f>
        <v/>
      </c>
    </row>
    <row r="351" spans="9:9" x14ac:dyDescent="0.25">
      <c r="I351" s="227" t="str">
        <f>MID(excPisCofins[[#This Row],[CodBarras2]],2,50)</f>
        <v/>
      </c>
    </row>
    <row r="352" spans="9:9" x14ac:dyDescent="0.25">
      <c r="I352" s="227" t="str">
        <f>MID(excPisCofins[[#This Row],[CodBarras2]],2,50)</f>
        <v/>
      </c>
    </row>
    <row r="353" spans="9:9" x14ac:dyDescent="0.25">
      <c r="I353" s="227" t="str">
        <f>MID(excPisCofins[[#This Row],[CodBarras2]],2,50)</f>
        <v/>
      </c>
    </row>
    <row r="354" spans="9:9" x14ac:dyDescent="0.25">
      <c r="I354" s="227" t="str">
        <f>MID(excPisCofins[[#This Row],[CodBarras2]],2,50)</f>
        <v/>
      </c>
    </row>
    <row r="355" spans="9:9" x14ac:dyDescent="0.25">
      <c r="I355" s="227" t="str">
        <f>MID(excPisCofins[[#This Row],[CodBarras2]],2,50)</f>
        <v/>
      </c>
    </row>
    <row r="356" spans="9:9" x14ac:dyDescent="0.25">
      <c r="I356" s="227" t="str">
        <f>MID(excPisCofins[[#This Row],[CodBarras2]],2,50)</f>
        <v/>
      </c>
    </row>
    <row r="357" spans="9:9" x14ac:dyDescent="0.25">
      <c r="I357" s="227" t="str">
        <f>MID(excPisCofins[[#This Row],[CodBarras2]],2,50)</f>
        <v/>
      </c>
    </row>
    <row r="358" spans="9:9" x14ac:dyDescent="0.25">
      <c r="I358" s="227" t="str">
        <f>MID(excPisCofins[[#This Row],[CodBarras2]],2,50)</f>
        <v/>
      </c>
    </row>
    <row r="359" spans="9:9" x14ac:dyDescent="0.25">
      <c r="I359" s="227" t="str">
        <f>MID(excPisCofins[[#This Row],[CodBarras2]],2,50)</f>
        <v/>
      </c>
    </row>
    <row r="360" spans="9:9" x14ac:dyDescent="0.25">
      <c r="I360" s="227" t="str">
        <f>MID(excPisCofins[[#This Row],[CodBarras2]],2,50)</f>
        <v/>
      </c>
    </row>
    <row r="361" spans="9:9" x14ac:dyDescent="0.25">
      <c r="I361" s="227" t="str">
        <f>MID(excPisCofins[[#This Row],[CodBarras2]],2,50)</f>
        <v/>
      </c>
    </row>
    <row r="362" spans="9:9" x14ac:dyDescent="0.25">
      <c r="I362" s="227" t="str">
        <f>MID(excPisCofins[[#This Row],[CodBarras2]],2,50)</f>
        <v/>
      </c>
    </row>
    <row r="363" spans="9:9" x14ac:dyDescent="0.25">
      <c r="I363" s="227" t="str">
        <f>MID(excPisCofins[[#This Row],[CodBarras2]],2,50)</f>
        <v/>
      </c>
    </row>
    <row r="364" spans="9:9" x14ac:dyDescent="0.25">
      <c r="I364" s="227" t="str">
        <f>MID(excPisCofins[[#This Row],[CodBarras2]],2,50)</f>
        <v/>
      </c>
    </row>
    <row r="365" spans="9:9" x14ac:dyDescent="0.25">
      <c r="I365" s="227" t="str">
        <f>MID(excPisCofins[[#This Row],[CodBarras2]],2,50)</f>
        <v/>
      </c>
    </row>
    <row r="366" spans="9:9" x14ac:dyDescent="0.25">
      <c r="I366" s="227" t="str">
        <f>MID(excPisCofins[[#This Row],[CodBarras2]],2,50)</f>
        <v/>
      </c>
    </row>
    <row r="367" spans="9:9" x14ac:dyDescent="0.25">
      <c r="I367" s="227" t="str">
        <f>MID(excPisCofins[[#This Row],[CodBarras2]],2,50)</f>
        <v/>
      </c>
    </row>
    <row r="368" spans="9:9" x14ac:dyDescent="0.25">
      <c r="I368" s="227" t="str">
        <f>MID(excPisCofins[[#This Row],[CodBarras2]],2,50)</f>
        <v/>
      </c>
    </row>
    <row r="369" spans="9:9" x14ac:dyDescent="0.25">
      <c r="I369" s="227" t="str">
        <f>MID(excPisCofins[[#This Row],[CodBarras2]],2,50)</f>
        <v/>
      </c>
    </row>
    <row r="370" spans="9:9" x14ac:dyDescent="0.25">
      <c r="I370" s="227" t="str">
        <f>MID(excPisCofins[[#This Row],[CodBarras2]],2,50)</f>
        <v/>
      </c>
    </row>
    <row r="371" spans="9:9" x14ac:dyDescent="0.25">
      <c r="I371" s="227" t="str">
        <f>MID(excPisCofins[[#This Row],[CodBarras2]],2,50)</f>
        <v/>
      </c>
    </row>
    <row r="372" spans="9:9" x14ac:dyDescent="0.25">
      <c r="I372" s="227" t="str">
        <f>MID(excPisCofins[[#This Row],[CodBarras2]],2,50)</f>
        <v/>
      </c>
    </row>
    <row r="373" spans="9:9" x14ac:dyDescent="0.25">
      <c r="I373" s="227" t="str">
        <f>MID(excPisCofins[[#This Row],[CodBarras2]],2,50)</f>
        <v/>
      </c>
    </row>
    <row r="374" spans="9:9" x14ac:dyDescent="0.25">
      <c r="I374" s="227" t="str">
        <f>MID(excPisCofins[[#This Row],[CodBarras2]],2,50)</f>
        <v/>
      </c>
    </row>
    <row r="375" spans="9:9" x14ac:dyDescent="0.25">
      <c r="I375" s="227" t="str">
        <f>MID(excPisCofins[[#This Row],[CodBarras2]],2,50)</f>
        <v/>
      </c>
    </row>
    <row r="376" spans="9:9" x14ac:dyDescent="0.25">
      <c r="I376" s="227" t="str">
        <f>MID(excPisCofins[[#This Row],[CodBarras2]],2,50)</f>
        <v/>
      </c>
    </row>
    <row r="377" spans="9:9" x14ac:dyDescent="0.25">
      <c r="I377" s="227" t="str">
        <f>MID(excPisCofins[[#This Row],[CodBarras2]],2,50)</f>
        <v/>
      </c>
    </row>
    <row r="378" spans="9:9" x14ac:dyDescent="0.25">
      <c r="I378" s="227" t="str">
        <f>MID(excPisCofins[[#This Row],[CodBarras2]],2,50)</f>
        <v/>
      </c>
    </row>
    <row r="379" spans="9:9" x14ac:dyDescent="0.25">
      <c r="I379" s="227" t="str">
        <f>MID(excPisCofins[[#This Row],[CodBarras2]],2,50)</f>
        <v/>
      </c>
    </row>
    <row r="380" spans="9:9" x14ac:dyDescent="0.25">
      <c r="I380" s="227" t="str">
        <f>MID(excPisCofins[[#This Row],[CodBarras2]],2,50)</f>
        <v/>
      </c>
    </row>
    <row r="381" spans="9:9" x14ac:dyDescent="0.25">
      <c r="I381" s="227" t="str">
        <f>MID(excPisCofins[[#This Row],[CodBarras2]],2,50)</f>
        <v/>
      </c>
    </row>
    <row r="382" spans="9:9" x14ac:dyDescent="0.25">
      <c r="I382" s="227" t="str">
        <f>MID(excPisCofins[[#This Row],[CodBarras2]],2,50)</f>
        <v/>
      </c>
    </row>
    <row r="383" spans="9:9" x14ac:dyDescent="0.25">
      <c r="I383" s="227" t="str">
        <f>MID(excPisCofins[[#This Row],[CodBarras2]],2,50)</f>
        <v/>
      </c>
    </row>
    <row r="384" spans="9:9" x14ac:dyDescent="0.25">
      <c r="I384" s="227" t="str">
        <f>MID(excPisCofins[[#This Row],[CodBarras2]],2,50)</f>
        <v/>
      </c>
    </row>
    <row r="385" spans="9:9" x14ac:dyDescent="0.25">
      <c r="I385" s="227" t="str">
        <f>MID(excPisCofins[[#This Row],[CodBarras2]],2,50)</f>
        <v/>
      </c>
    </row>
    <row r="386" spans="9:9" x14ac:dyDescent="0.25">
      <c r="I386" s="227" t="str">
        <f>MID(excPisCofins[[#This Row],[CodBarras2]],2,50)</f>
        <v/>
      </c>
    </row>
    <row r="387" spans="9:9" x14ac:dyDescent="0.25">
      <c r="I387" s="227" t="str">
        <f>MID(excPisCofins[[#This Row],[CodBarras2]],2,50)</f>
        <v/>
      </c>
    </row>
    <row r="388" spans="9:9" x14ac:dyDescent="0.25">
      <c r="I388" s="227" t="str">
        <f>MID(excPisCofins[[#This Row],[CodBarras2]],2,50)</f>
        <v/>
      </c>
    </row>
    <row r="389" spans="9:9" x14ac:dyDescent="0.25">
      <c r="I389" s="227" t="str">
        <f>MID(excPisCofins[[#This Row],[CodBarras2]],2,50)</f>
        <v/>
      </c>
    </row>
    <row r="390" spans="9:9" x14ac:dyDescent="0.25">
      <c r="I390" s="227" t="str">
        <f>MID(excPisCofins[[#This Row],[CodBarras2]],2,50)</f>
        <v/>
      </c>
    </row>
    <row r="391" spans="9:9" x14ac:dyDescent="0.25">
      <c r="I391" s="227" t="str">
        <f>MID(excPisCofins[[#This Row],[CodBarras2]],2,50)</f>
        <v/>
      </c>
    </row>
    <row r="392" spans="9:9" x14ac:dyDescent="0.25">
      <c r="I392" s="227" t="str">
        <f>MID(excPisCofins[[#This Row],[CodBarras2]],2,50)</f>
        <v/>
      </c>
    </row>
    <row r="393" spans="9:9" x14ac:dyDescent="0.25">
      <c r="I393" s="227" t="str">
        <f>MID(excPisCofins[[#This Row],[CodBarras2]],2,50)</f>
        <v/>
      </c>
    </row>
    <row r="394" spans="9:9" x14ac:dyDescent="0.25">
      <c r="I394" s="227" t="str">
        <f>MID(excPisCofins[[#This Row],[CodBarras2]],2,50)</f>
        <v/>
      </c>
    </row>
    <row r="395" spans="9:9" x14ac:dyDescent="0.25">
      <c r="I395" s="227" t="str">
        <f>MID(excPisCofins[[#This Row],[CodBarras2]],2,50)</f>
        <v/>
      </c>
    </row>
    <row r="396" spans="9:9" x14ac:dyDescent="0.25">
      <c r="I396" s="227" t="str">
        <f>MID(excPisCofins[[#This Row],[CodBarras2]],2,50)</f>
        <v/>
      </c>
    </row>
    <row r="397" spans="9:9" x14ac:dyDescent="0.25">
      <c r="I397" s="227" t="str">
        <f>MID(excPisCofins[[#This Row],[CodBarras2]],2,50)</f>
        <v/>
      </c>
    </row>
    <row r="398" spans="9:9" x14ac:dyDescent="0.25">
      <c r="I398" s="227" t="str">
        <f>MID(excPisCofins[[#This Row],[CodBarras2]],2,50)</f>
        <v/>
      </c>
    </row>
    <row r="399" spans="9:9" x14ac:dyDescent="0.25">
      <c r="I399" s="227" t="str">
        <f>MID(excPisCofins[[#This Row],[CodBarras2]],2,50)</f>
        <v/>
      </c>
    </row>
    <row r="400" spans="9:9" x14ac:dyDescent="0.25">
      <c r="I400" s="227" t="str">
        <f>MID(excPisCofins[[#This Row],[CodBarras2]],2,50)</f>
        <v/>
      </c>
    </row>
    <row r="401" spans="9:9" x14ac:dyDescent="0.25">
      <c r="I401" s="227" t="str">
        <f>MID(excPisCofins[[#This Row],[CodBarras2]],2,50)</f>
        <v/>
      </c>
    </row>
    <row r="402" spans="9:9" x14ac:dyDescent="0.25">
      <c r="I402" s="227" t="str">
        <f>MID(excPisCofins[[#This Row],[CodBarras2]],2,50)</f>
        <v/>
      </c>
    </row>
    <row r="403" spans="9:9" x14ac:dyDescent="0.25">
      <c r="I403" s="227" t="str">
        <f>MID(excPisCofins[[#This Row],[CodBarras2]],2,50)</f>
        <v/>
      </c>
    </row>
    <row r="404" spans="9:9" x14ac:dyDescent="0.25">
      <c r="I404" s="227" t="str">
        <f>MID(excPisCofins[[#This Row],[CodBarras2]],2,50)</f>
        <v/>
      </c>
    </row>
    <row r="405" spans="9:9" x14ac:dyDescent="0.25">
      <c r="I405" s="227" t="str">
        <f>MID(excPisCofins[[#This Row],[CodBarras2]],2,50)</f>
        <v/>
      </c>
    </row>
    <row r="406" spans="9:9" x14ac:dyDescent="0.25">
      <c r="I406" s="227" t="str">
        <f>MID(excPisCofins[[#This Row],[CodBarras2]],2,50)</f>
        <v/>
      </c>
    </row>
    <row r="407" spans="9:9" x14ac:dyDescent="0.25">
      <c r="I407" s="227" t="str">
        <f>MID(excPisCofins[[#This Row],[CodBarras2]],2,50)</f>
        <v/>
      </c>
    </row>
    <row r="408" spans="9:9" x14ac:dyDescent="0.25">
      <c r="I408" s="227" t="str">
        <f>MID(excPisCofins[[#This Row],[CodBarras2]],2,50)</f>
        <v/>
      </c>
    </row>
    <row r="409" spans="9:9" x14ac:dyDescent="0.25">
      <c r="I409" s="227" t="str">
        <f>MID(excPisCofins[[#This Row],[CodBarras2]],2,50)</f>
        <v/>
      </c>
    </row>
    <row r="410" spans="9:9" x14ac:dyDescent="0.25">
      <c r="I410" s="227" t="str">
        <f>MID(excPisCofins[[#This Row],[CodBarras2]],2,50)</f>
        <v/>
      </c>
    </row>
    <row r="411" spans="9:9" x14ac:dyDescent="0.25">
      <c r="I411" s="227" t="str">
        <f>MID(excPisCofins[[#This Row],[CodBarras2]],2,50)</f>
        <v/>
      </c>
    </row>
    <row r="412" spans="9:9" x14ac:dyDescent="0.25">
      <c r="I412" s="227" t="str">
        <f>MID(excPisCofins[[#This Row],[CodBarras2]],2,50)</f>
        <v/>
      </c>
    </row>
    <row r="413" spans="9:9" x14ac:dyDescent="0.25">
      <c r="I413" s="227" t="str">
        <f>MID(excPisCofins[[#This Row],[CodBarras2]],2,50)</f>
        <v/>
      </c>
    </row>
    <row r="414" spans="9:9" x14ac:dyDescent="0.25">
      <c r="I414" s="227" t="str">
        <f>MID(excPisCofins[[#This Row],[CodBarras2]],2,50)</f>
        <v/>
      </c>
    </row>
    <row r="415" spans="9:9" x14ac:dyDescent="0.25">
      <c r="I415" s="227" t="str">
        <f>MID(excPisCofins[[#This Row],[CodBarras2]],2,50)</f>
        <v/>
      </c>
    </row>
    <row r="416" spans="9:9" x14ac:dyDescent="0.25">
      <c r="I416" s="227" t="str">
        <f>MID(excPisCofins[[#This Row],[CodBarras2]],2,50)</f>
        <v/>
      </c>
    </row>
    <row r="417" spans="9:9" x14ac:dyDescent="0.25">
      <c r="I417" s="227" t="str">
        <f>MID(excPisCofins[[#This Row],[CodBarras2]],2,50)</f>
        <v/>
      </c>
    </row>
    <row r="418" spans="9:9" x14ac:dyDescent="0.25">
      <c r="I418" s="227" t="str">
        <f>MID(excPisCofins[[#This Row],[CodBarras2]],2,50)</f>
        <v/>
      </c>
    </row>
    <row r="419" spans="9:9" x14ac:dyDescent="0.25">
      <c r="I419" s="227" t="str">
        <f>MID(excPisCofins[[#This Row],[CodBarras2]],2,50)</f>
        <v/>
      </c>
    </row>
    <row r="420" spans="9:9" x14ac:dyDescent="0.25">
      <c r="I420" s="227" t="str">
        <f>MID(excPisCofins[[#This Row],[CodBarras2]],2,50)</f>
        <v/>
      </c>
    </row>
    <row r="421" spans="9:9" x14ac:dyDescent="0.25">
      <c r="I421" s="227" t="str">
        <f>MID(excPisCofins[[#This Row],[CodBarras2]],2,50)</f>
        <v/>
      </c>
    </row>
    <row r="422" spans="9:9" x14ac:dyDescent="0.25">
      <c r="I422" s="227" t="str">
        <f>MID(excPisCofins[[#This Row],[CodBarras2]],2,50)</f>
        <v/>
      </c>
    </row>
    <row r="423" spans="9:9" x14ac:dyDescent="0.25">
      <c r="I423" s="227" t="str">
        <f>MID(excPisCofins[[#This Row],[CodBarras2]],2,50)</f>
        <v/>
      </c>
    </row>
    <row r="424" spans="9:9" x14ac:dyDescent="0.25">
      <c r="I424" s="227" t="str">
        <f>MID(excPisCofins[[#This Row],[CodBarras2]],2,50)</f>
        <v/>
      </c>
    </row>
    <row r="425" spans="9:9" x14ac:dyDescent="0.25">
      <c r="I425" s="227" t="str">
        <f>MID(excPisCofins[[#This Row],[CodBarras2]],2,50)</f>
        <v/>
      </c>
    </row>
    <row r="426" spans="9:9" x14ac:dyDescent="0.25">
      <c r="I426" s="227" t="str">
        <f>MID(excPisCofins[[#This Row],[CodBarras2]],2,50)</f>
        <v/>
      </c>
    </row>
    <row r="427" spans="9:9" x14ac:dyDescent="0.25">
      <c r="I427" s="227" t="str">
        <f>MID(excPisCofins[[#This Row],[CodBarras2]],2,50)</f>
        <v/>
      </c>
    </row>
    <row r="428" spans="9:9" x14ac:dyDescent="0.25">
      <c r="I428" s="227" t="str">
        <f>MID(excPisCofins[[#This Row],[CodBarras2]],2,50)</f>
        <v/>
      </c>
    </row>
    <row r="429" spans="9:9" x14ac:dyDescent="0.25">
      <c r="I429" s="227" t="str">
        <f>MID(excPisCofins[[#This Row],[CodBarras2]],2,50)</f>
        <v/>
      </c>
    </row>
    <row r="430" spans="9:9" x14ac:dyDescent="0.25">
      <c r="I430" s="227" t="str">
        <f>MID(excPisCofins[[#This Row],[CodBarras2]],2,50)</f>
        <v/>
      </c>
    </row>
    <row r="431" spans="9:9" x14ac:dyDescent="0.25">
      <c r="I431" s="227" t="str">
        <f>MID(excPisCofins[[#This Row],[CodBarras2]],2,50)</f>
        <v/>
      </c>
    </row>
    <row r="432" spans="9:9" x14ac:dyDescent="0.25">
      <c r="I432" s="227" t="str">
        <f>MID(excPisCofins[[#This Row],[CodBarras2]],2,50)</f>
        <v/>
      </c>
    </row>
    <row r="433" spans="9:9" x14ac:dyDescent="0.25">
      <c r="I433" s="227" t="str">
        <f>MID(excPisCofins[[#This Row],[CodBarras2]],2,50)</f>
        <v/>
      </c>
    </row>
    <row r="434" spans="9:9" x14ac:dyDescent="0.25">
      <c r="I434" s="227" t="str">
        <f>MID(excPisCofins[[#This Row],[CodBarras2]],2,50)</f>
        <v/>
      </c>
    </row>
    <row r="435" spans="9:9" x14ac:dyDescent="0.25">
      <c r="I435" s="227" t="str">
        <f>MID(excPisCofins[[#This Row],[CodBarras2]],2,50)</f>
        <v/>
      </c>
    </row>
    <row r="436" spans="9:9" x14ac:dyDescent="0.25">
      <c r="I436" s="227" t="str">
        <f>MID(excPisCofins[[#This Row],[CodBarras2]],2,50)</f>
        <v/>
      </c>
    </row>
    <row r="437" spans="9:9" x14ac:dyDescent="0.25">
      <c r="I437" s="227" t="str">
        <f>MID(excPisCofins[[#This Row],[CodBarras2]],2,50)</f>
        <v/>
      </c>
    </row>
    <row r="438" spans="9:9" x14ac:dyDescent="0.25">
      <c r="I438" s="227" t="str">
        <f>MID(excPisCofins[[#This Row],[CodBarras2]],2,50)</f>
        <v/>
      </c>
    </row>
    <row r="439" spans="9:9" x14ac:dyDescent="0.25">
      <c r="I439" s="227" t="str">
        <f>MID(excPisCofins[[#This Row],[CodBarras2]],2,50)</f>
        <v/>
      </c>
    </row>
    <row r="440" spans="9:9" x14ac:dyDescent="0.25">
      <c r="I440" s="227" t="str">
        <f>MID(excPisCofins[[#This Row],[CodBarras2]],2,50)</f>
        <v/>
      </c>
    </row>
    <row r="441" spans="9:9" x14ac:dyDescent="0.25">
      <c r="I441" s="227" t="str">
        <f>MID(excPisCofins[[#This Row],[CodBarras2]],2,50)</f>
        <v/>
      </c>
    </row>
    <row r="442" spans="9:9" x14ac:dyDescent="0.25">
      <c r="I442" s="227" t="str">
        <f>MID(excPisCofins[[#This Row],[CodBarras2]],2,50)</f>
        <v/>
      </c>
    </row>
    <row r="443" spans="9:9" x14ac:dyDescent="0.25">
      <c r="I443" s="227" t="str">
        <f>MID(excPisCofins[[#This Row],[CodBarras2]],2,50)</f>
        <v/>
      </c>
    </row>
    <row r="444" spans="9:9" x14ac:dyDescent="0.25">
      <c r="I444" s="227" t="str">
        <f>MID(excPisCofins[[#This Row],[CodBarras2]],2,50)</f>
        <v/>
      </c>
    </row>
    <row r="445" spans="9:9" x14ac:dyDescent="0.25">
      <c r="I445" s="227" t="str">
        <f>MID(excPisCofins[[#This Row],[CodBarras2]],2,50)</f>
        <v/>
      </c>
    </row>
    <row r="446" spans="9:9" x14ac:dyDescent="0.25">
      <c r="I446" s="227" t="str">
        <f>MID(excPisCofins[[#This Row],[CodBarras2]],2,50)</f>
        <v/>
      </c>
    </row>
    <row r="447" spans="9:9" x14ac:dyDescent="0.25">
      <c r="I447" s="227" t="str">
        <f>MID(excPisCofins[[#This Row],[CodBarras2]],2,50)</f>
        <v/>
      </c>
    </row>
    <row r="448" spans="9:9" x14ac:dyDescent="0.25">
      <c r="I448" s="227" t="str">
        <f>MID(excPisCofins[[#This Row],[CodBarras2]],2,50)</f>
        <v/>
      </c>
    </row>
    <row r="449" spans="9:9" x14ac:dyDescent="0.25">
      <c r="I449" s="227" t="str">
        <f>MID(excPisCofins[[#This Row],[CodBarras2]],2,50)</f>
        <v/>
      </c>
    </row>
    <row r="450" spans="9:9" x14ac:dyDescent="0.25">
      <c r="I450" s="227" t="str">
        <f>MID(excPisCofins[[#This Row],[CodBarras2]],2,50)</f>
        <v/>
      </c>
    </row>
    <row r="451" spans="9:9" x14ac:dyDescent="0.25">
      <c r="I451" s="227" t="str">
        <f>MID(excPisCofins[[#This Row],[CodBarras2]],2,50)</f>
        <v/>
      </c>
    </row>
    <row r="452" spans="9:9" x14ac:dyDescent="0.25">
      <c r="I452" s="227" t="str">
        <f>MID(excPisCofins[[#This Row],[CodBarras2]],2,50)</f>
        <v/>
      </c>
    </row>
    <row r="453" spans="9:9" x14ac:dyDescent="0.25">
      <c r="I453" s="227" t="str">
        <f>MID(excPisCofins[[#This Row],[CodBarras2]],2,50)</f>
        <v/>
      </c>
    </row>
    <row r="454" spans="9:9" x14ac:dyDescent="0.25">
      <c r="I454" s="227" t="str">
        <f>MID(excPisCofins[[#This Row],[CodBarras2]],2,50)</f>
        <v/>
      </c>
    </row>
    <row r="455" spans="9:9" x14ac:dyDescent="0.25">
      <c r="I455" s="227" t="str">
        <f>MID(excPisCofins[[#This Row],[CodBarras2]],2,50)</f>
        <v/>
      </c>
    </row>
    <row r="456" spans="9:9" x14ac:dyDescent="0.25">
      <c r="I456" s="227" t="str">
        <f>MID(excPisCofins[[#This Row],[CodBarras2]],2,50)</f>
        <v/>
      </c>
    </row>
    <row r="457" spans="9:9" x14ac:dyDescent="0.25">
      <c r="I457" s="227" t="str">
        <f>MID(excPisCofins[[#This Row],[CodBarras2]],2,50)</f>
        <v/>
      </c>
    </row>
    <row r="458" spans="9:9" x14ac:dyDescent="0.25">
      <c r="I458" s="227" t="str">
        <f>MID(excPisCofins[[#This Row],[CodBarras2]],2,50)</f>
        <v/>
      </c>
    </row>
    <row r="459" spans="9:9" x14ac:dyDescent="0.25">
      <c r="I459" s="227" t="str">
        <f>MID(excPisCofins[[#This Row],[CodBarras2]],2,50)</f>
        <v/>
      </c>
    </row>
    <row r="460" spans="9:9" x14ac:dyDescent="0.25">
      <c r="I460" s="227" t="str">
        <f>MID(excPisCofins[[#This Row],[CodBarras2]],2,50)</f>
        <v/>
      </c>
    </row>
    <row r="461" spans="9:9" x14ac:dyDescent="0.25">
      <c r="I461" s="227" t="str">
        <f>MID(excPisCofins[[#This Row],[CodBarras2]],2,50)</f>
        <v/>
      </c>
    </row>
    <row r="462" spans="9:9" x14ac:dyDescent="0.25">
      <c r="I462" s="227" t="str">
        <f>MID(excPisCofins[[#This Row],[CodBarras2]],2,50)</f>
        <v/>
      </c>
    </row>
    <row r="463" spans="9:9" x14ac:dyDescent="0.25">
      <c r="I463" s="227" t="str">
        <f>MID(excPisCofins[[#This Row],[CodBarras2]],2,50)</f>
        <v/>
      </c>
    </row>
    <row r="464" spans="9:9" x14ac:dyDescent="0.25">
      <c r="I464" s="227" t="str">
        <f>MID(excPisCofins[[#This Row],[CodBarras2]],2,50)</f>
        <v/>
      </c>
    </row>
    <row r="465" spans="9:9" x14ac:dyDescent="0.25">
      <c r="I465" s="227" t="str">
        <f>MID(excPisCofins[[#This Row],[CodBarras2]],2,50)</f>
        <v/>
      </c>
    </row>
    <row r="466" spans="9:9" x14ac:dyDescent="0.25">
      <c r="I466" s="227" t="str">
        <f>MID(excPisCofins[[#This Row],[CodBarras2]],2,50)</f>
        <v/>
      </c>
    </row>
    <row r="467" spans="9:9" x14ac:dyDescent="0.25">
      <c r="I467" s="227" t="str">
        <f>MID(excPisCofins[[#This Row],[CodBarras2]],2,50)</f>
        <v/>
      </c>
    </row>
    <row r="468" spans="9:9" x14ac:dyDescent="0.25">
      <c r="I468" s="227" t="str">
        <f>MID(excPisCofins[[#This Row],[CodBarras2]],2,50)</f>
        <v/>
      </c>
    </row>
    <row r="469" spans="9:9" x14ac:dyDescent="0.25">
      <c r="I469" s="227" t="str">
        <f>MID(excPisCofins[[#This Row],[CodBarras2]],2,50)</f>
        <v/>
      </c>
    </row>
    <row r="470" spans="9:9" x14ac:dyDescent="0.25">
      <c r="I470" s="227" t="str">
        <f>MID(excPisCofins[[#This Row],[CodBarras2]],2,50)</f>
        <v/>
      </c>
    </row>
    <row r="471" spans="9:9" x14ac:dyDescent="0.25">
      <c r="I471" s="227" t="str">
        <f>MID(excPisCofins[[#This Row],[CodBarras2]],2,50)</f>
        <v/>
      </c>
    </row>
    <row r="472" spans="9:9" x14ac:dyDescent="0.25">
      <c r="I472" s="227" t="str">
        <f>MID(excPisCofins[[#This Row],[CodBarras2]],2,50)</f>
        <v/>
      </c>
    </row>
    <row r="473" spans="9:9" x14ac:dyDescent="0.25">
      <c r="I473" s="227" t="str">
        <f>MID(excPisCofins[[#This Row],[CodBarras2]],2,50)</f>
        <v/>
      </c>
    </row>
    <row r="474" spans="9:9" x14ac:dyDescent="0.25">
      <c r="I474" s="227" t="str">
        <f>MID(excPisCofins[[#This Row],[CodBarras2]],2,50)</f>
        <v/>
      </c>
    </row>
    <row r="475" spans="9:9" x14ac:dyDescent="0.25">
      <c r="I475" s="227" t="str">
        <f>MID(excPisCofins[[#This Row],[CodBarras2]],2,50)</f>
        <v/>
      </c>
    </row>
    <row r="476" spans="9:9" x14ac:dyDescent="0.25">
      <c r="I476" s="227" t="str">
        <f>MID(excPisCofins[[#This Row],[CodBarras2]],2,50)</f>
        <v/>
      </c>
    </row>
    <row r="477" spans="9:9" x14ac:dyDescent="0.25">
      <c r="I477" s="227" t="str">
        <f>MID(excPisCofins[[#This Row],[CodBarras2]],2,50)</f>
        <v/>
      </c>
    </row>
    <row r="478" spans="9:9" x14ac:dyDescent="0.25">
      <c r="I478" s="227" t="str">
        <f>MID(excPisCofins[[#This Row],[CodBarras2]],2,50)</f>
        <v/>
      </c>
    </row>
    <row r="479" spans="9:9" x14ac:dyDescent="0.25">
      <c r="I479" s="227" t="str">
        <f>MID(excPisCofins[[#This Row],[CodBarras2]],2,50)</f>
        <v/>
      </c>
    </row>
    <row r="480" spans="9:9" x14ac:dyDescent="0.25">
      <c r="I480" s="227" t="str">
        <f>MID(excPisCofins[[#This Row],[CodBarras2]],2,50)</f>
        <v/>
      </c>
    </row>
    <row r="481" spans="9:9" x14ac:dyDescent="0.25">
      <c r="I481" s="227" t="str">
        <f>MID(excPisCofins[[#This Row],[CodBarras2]],2,50)</f>
        <v/>
      </c>
    </row>
    <row r="482" spans="9:9" x14ac:dyDescent="0.25">
      <c r="I482" s="227" t="str">
        <f>MID(excPisCofins[[#This Row],[CodBarras2]],2,50)</f>
        <v/>
      </c>
    </row>
    <row r="483" spans="9:9" x14ac:dyDescent="0.25">
      <c r="I483" s="227" t="str">
        <f>MID(excPisCofins[[#This Row],[CodBarras2]],2,50)</f>
        <v/>
      </c>
    </row>
    <row r="484" spans="9:9" x14ac:dyDescent="0.25">
      <c r="I484" s="227" t="str">
        <f>MID(excPisCofins[[#This Row],[CodBarras2]],2,50)</f>
        <v/>
      </c>
    </row>
    <row r="485" spans="9:9" x14ac:dyDescent="0.25">
      <c r="I485" s="227" t="str">
        <f>MID(excPisCofins[[#This Row],[CodBarras2]],2,50)</f>
        <v/>
      </c>
    </row>
    <row r="486" spans="9:9" x14ac:dyDescent="0.25">
      <c r="I486" s="227" t="str">
        <f>MID(excPisCofins[[#This Row],[CodBarras2]],2,50)</f>
        <v/>
      </c>
    </row>
    <row r="487" spans="9:9" x14ac:dyDescent="0.25">
      <c r="I487" s="227" t="str">
        <f>MID(excPisCofins[[#This Row],[CodBarras2]],2,50)</f>
        <v/>
      </c>
    </row>
    <row r="488" spans="9:9" x14ac:dyDescent="0.25">
      <c r="I488" s="227" t="str">
        <f>MID(excPisCofins[[#This Row],[CodBarras2]],2,50)</f>
        <v/>
      </c>
    </row>
    <row r="489" spans="9:9" x14ac:dyDescent="0.25">
      <c r="I489" s="227" t="str">
        <f>MID(excPisCofins[[#This Row],[CodBarras2]],2,50)</f>
        <v/>
      </c>
    </row>
    <row r="490" spans="9:9" x14ac:dyDescent="0.25">
      <c r="I490" s="227" t="str">
        <f>MID(excPisCofins[[#This Row],[CodBarras2]],2,50)</f>
        <v/>
      </c>
    </row>
    <row r="491" spans="9:9" x14ac:dyDescent="0.25">
      <c r="I491" s="227" t="str">
        <f>MID(excPisCofins[[#This Row],[CodBarras2]],2,50)</f>
        <v/>
      </c>
    </row>
    <row r="492" spans="9:9" x14ac:dyDescent="0.25">
      <c r="I492" s="227" t="str">
        <f>MID(excPisCofins[[#This Row],[CodBarras2]],2,50)</f>
        <v/>
      </c>
    </row>
    <row r="493" spans="9:9" x14ac:dyDescent="0.25">
      <c r="I493" s="227" t="str">
        <f>MID(excPisCofins[[#This Row],[CodBarras2]],2,50)</f>
        <v/>
      </c>
    </row>
    <row r="494" spans="9:9" x14ac:dyDescent="0.25">
      <c r="I494" s="227" t="str">
        <f>MID(excPisCofins[[#This Row],[CodBarras2]],2,50)</f>
        <v/>
      </c>
    </row>
    <row r="495" spans="9:9" x14ac:dyDescent="0.25">
      <c r="I495" s="227" t="str">
        <f>MID(excPisCofins[[#This Row],[CodBarras2]],2,50)</f>
        <v/>
      </c>
    </row>
    <row r="496" spans="9:9" x14ac:dyDescent="0.25">
      <c r="I496" s="227" t="str">
        <f>MID(excPisCofins[[#This Row],[CodBarras2]],2,50)</f>
        <v/>
      </c>
    </row>
    <row r="497" spans="9:9" x14ac:dyDescent="0.25">
      <c r="I497" s="227" t="str">
        <f>MID(excPisCofins[[#This Row],[CodBarras2]],2,50)</f>
        <v/>
      </c>
    </row>
    <row r="498" spans="9:9" x14ac:dyDescent="0.25">
      <c r="I498" s="227" t="str">
        <f>MID(excPisCofins[[#This Row],[CodBarras2]],2,50)</f>
        <v/>
      </c>
    </row>
    <row r="499" spans="9:9" x14ac:dyDescent="0.25">
      <c r="I499" s="227" t="str">
        <f>MID(excPisCofins[[#This Row],[CodBarras2]],2,50)</f>
        <v/>
      </c>
    </row>
    <row r="500" spans="9:9" x14ac:dyDescent="0.25">
      <c r="I500" s="227" t="str">
        <f>MID(excPisCofins[[#This Row],[CodBarras2]],2,50)</f>
        <v/>
      </c>
    </row>
    <row r="501" spans="9:9" x14ac:dyDescent="0.25">
      <c r="I501" s="227" t="str">
        <f>MID(excPisCofins[[#This Row],[CodBarras2]],2,50)</f>
        <v/>
      </c>
    </row>
    <row r="502" spans="9:9" x14ac:dyDescent="0.25">
      <c r="I502" s="227" t="str">
        <f>MID(excPisCofins[[#This Row],[CodBarras2]],2,50)</f>
        <v/>
      </c>
    </row>
    <row r="503" spans="9:9" x14ac:dyDescent="0.25">
      <c r="I503" s="227" t="str">
        <f>MID(excPisCofins[[#This Row],[CodBarras2]],2,50)</f>
        <v/>
      </c>
    </row>
    <row r="504" spans="9:9" x14ac:dyDescent="0.25">
      <c r="I504" s="227" t="str">
        <f>MID(excPisCofins[[#This Row],[CodBarras2]],2,50)</f>
        <v/>
      </c>
    </row>
    <row r="505" spans="9:9" x14ac:dyDescent="0.25">
      <c r="I505" s="227" t="str">
        <f>MID(excPisCofins[[#This Row],[CodBarras2]],2,50)</f>
        <v/>
      </c>
    </row>
    <row r="506" spans="9:9" x14ac:dyDescent="0.25">
      <c r="I506" s="227" t="str">
        <f>MID(excPisCofins[[#This Row],[CodBarras2]],2,50)</f>
        <v/>
      </c>
    </row>
    <row r="507" spans="9:9" x14ac:dyDescent="0.25">
      <c r="I507" s="227" t="str">
        <f>MID(excPisCofins[[#This Row],[CodBarras2]],2,50)</f>
        <v/>
      </c>
    </row>
    <row r="508" spans="9:9" x14ac:dyDescent="0.25">
      <c r="I508" s="227" t="str">
        <f>MID(excPisCofins[[#This Row],[CodBarras2]],2,50)</f>
        <v/>
      </c>
    </row>
    <row r="509" spans="9:9" x14ac:dyDescent="0.25">
      <c r="I509" s="227" t="str">
        <f>MID(excPisCofins[[#This Row],[CodBarras2]],2,50)</f>
        <v/>
      </c>
    </row>
    <row r="510" spans="9:9" x14ac:dyDescent="0.25">
      <c r="I510" s="227" t="str">
        <f>MID(excPisCofins[[#This Row],[CodBarras2]],2,50)</f>
        <v/>
      </c>
    </row>
    <row r="511" spans="9:9" x14ac:dyDescent="0.25">
      <c r="I511" s="227" t="str">
        <f>MID(excPisCofins[[#This Row],[CodBarras2]],2,50)</f>
        <v/>
      </c>
    </row>
    <row r="512" spans="9:9" x14ac:dyDescent="0.25">
      <c r="I512" s="227" t="str">
        <f>MID(excPisCofins[[#This Row],[CodBarras2]],2,50)</f>
        <v/>
      </c>
    </row>
    <row r="513" spans="9:9" x14ac:dyDescent="0.25">
      <c r="I513" s="227" t="str">
        <f>MID(excPisCofins[[#This Row],[CodBarras2]],2,50)</f>
        <v/>
      </c>
    </row>
    <row r="514" spans="9:9" x14ac:dyDescent="0.25">
      <c r="I514" s="227" t="str">
        <f>MID(excPisCofins[[#This Row],[CodBarras2]],2,50)</f>
        <v/>
      </c>
    </row>
    <row r="515" spans="9:9" x14ac:dyDescent="0.25">
      <c r="I515" s="227" t="str">
        <f>MID(excPisCofins[[#This Row],[CodBarras2]],2,50)</f>
        <v/>
      </c>
    </row>
    <row r="516" spans="9:9" x14ac:dyDescent="0.25">
      <c r="I516" s="227" t="str">
        <f>MID(excPisCofins[[#This Row],[CodBarras2]],2,50)</f>
        <v/>
      </c>
    </row>
    <row r="517" spans="9:9" x14ac:dyDescent="0.25">
      <c r="I517" s="227" t="str">
        <f>MID(excPisCofins[[#This Row],[CodBarras2]],2,50)</f>
        <v/>
      </c>
    </row>
    <row r="518" spans="9:9" x14ac:dyDescent="0.25">
      <c r="I518" s="227" t="str">
        <f>MID(excPisCofins[[#This Row],[CodBarras2]],2,50)</f>
        <v/>
      </c>
    </row>
    <row r="519" spans="9:9" x14ac:dyDescent="0.25">
      <c r="I519" s="227" t="str">
        <f>MID(excPisCofins[[#This Row],[CodBarras2]],2,50)</f>
        <v/>
      </c>
    </row>
    <row r="520" spans="9:9" x14ac:dyDescent="0.25">
      <c r="I520" s="227" t="str">
        <f>MID(excPisCofins[[#This Row],[CodBarras2]],2,50)</f>
        <v/>
      </c>
    </row>
    <row r="521" spans="9:9" x14ac:dyDescent="0.25">
      <c r="I521" s="227" t="str">
        <f>MID(excPisCofins[[#This Row],[CodBarras2]],2,50)</f>
        <v/>
      </c>
    </row>
    <row r="522" spans="9:9" x14ac:dyDescent="0.25">
      <c r="I522" s="227" t="str">
        <f>MID(excPisCofins[[#This Row],[CodBarras2]],2,50)</f>
        <v/>
      </c>
    </row>
    <row r="523" spans="9:9" x14ac:dyDescent="0.25">
      <c r="I523" s="227" t="str">
        <f>MID(excPisCofins[[#This Row],[CodBarras2]],2,50)</f>
        <v/>
      </c>
    </row>
    <row r="524" spans="9:9" x14ac:dyDescent="0.25">
      <c r="I524" s="227" t="str">
        <f>MID(excPisCofins[[#This Row],[CodBarras2]],2,50)</f>
        <v/>
      </c>
    </row>
    <row r="525" spans="9:9" x14ac:dyDescent="0.25">
      <c r="I525" s="227" t="str">
        <f>MID(excPisCofins[[#This Row],[CodBarras2]],2,50)</f>
        <v/>
      </c>
    </row>
    <row r="526" spans="9:9" x14ac:dyDescent="0.25">
      <c r="I526" s="227" t="str">
        <f>MID(excPisCofins[[#This Row],[CodBarras2]],2,50)</f>
        <v/>
      </c>
    </row>
    <row r="527" spans="9:9" x14ac:dyDescent="0.25">
      <c r="I527" s="227" t="str">
        <f>MID(excPisCofins[[#This Row],[CodBarras2]],2,50)</f>
        <v/>
      </c>
    </row>
    <row r="528" spans="9:9" x14ac:dyDescent="0.25">
      <c r="I528" s="227" t="str">
        <f>MID(excPisCofins[[#This Row],[CodBarras2]],2,50)</f>
        <v/>
      </c>
    </row>
    <row r="529" spans="9:9" x14ac:dyDescent="0.25">
      <c r="I529" s="227" t="str">
        <f>MID(excPisCofins[[#This Row],[CodBarras2]],2,50)</f>
        <v/>
      </c>
    </row>
    <row r="530" spans="9:9" x14ac:dyDescent="0.25">
      <c r="I530" s="227" t="str">
        <f>MID(excPisCofins[[#This Row],[CodBarras2]],2,50)</f>
        <v/>
      </c>
    </row>
    <row r="531" spans="9:9" x14ac:dyDescent="0.25">
      <c r="I531" s="227" t="str">
        <f>MID(excPisCofins[[#This Row],[CodBarras2]],2,50)</f>
        <v/>
      </c>
    </row>
    <row r="532" spans="9:9" x14ac:dyDescent="0.25">
      <c r="I532" s="227" t="str">
        <f>MID(excPisCofins[[#This Row],[CodBarras2]],2,50)</f>
        <v/>
      </c>
    </row>
    <row r="533" spans="9:9" x14ac:dyDescent="0.25">
      <c r="I533" s="227" t="str">
        <f>MID(excPisCofins[[#This Row],[CodBarras2]],2,50)</f>
        <v/>
      </c>
    </row>
    <row r="534" spans="9:9" x14ac:dyDescent="0.25">
      <c r="I534" s="227" t="str">
        <f>MID(excPisCofins[[#This Row],[CodBarras2]],2,50)</f>
        <v/>
      </c>
    </row>
    <row r="535" spans="9:9" x14ac:dyDescent="0.25">
      <c r="I535" s="227" t="str">
        <f>MID(excPisCofins[[#This Row],[CodBarras2]],2,50)</f>
        <v/>
      </c>
    </row>
    <row r="536" spans="9:9" x14ac:dyDescent="0.25">
      <c r="I536" s="227" t="str">
        <f>MID(excPisCofins[[#This Row],[CodBarras2]],2,50)</f>
        <v/>
      </c>
    </row>
    <row r="537" spans="9:9" x14ac:dyDescent="0.25">
      <c r="I537" s="227" t="str">
        <f>MID(excPisCofins[[#This Row],[CodBarras2]],2,50)</f>
        <v/>
      </c>
    </row>
    <row r="538" spans="9:9" x14ac:dyDescent="0.25">
      <c r="I538" s="227" t="str">
        <f>MID(excPisCofins[[#This Row],[CodBarras2]],2,50)</f>
        <v/>
      </c>
    </row>
    <row r="539" spans="9:9" x14ac:dyDescent="0.25">
      <c r="I539" s="227" t="str">
        <f>MID(excPisCofins[[#This Row],[CodBarras2]],2,50)</f>
        <v/>
      </c>
    </row>
    <row r="540" spans="9:9" x14ac:dyDescent="0.25">
      <c r="I540" s="227" t="str">
        <f>MID(excPisCofins[[#This Row],[CodBarras2]],2,50)</f>
        <v/>
      </c>
    </row>
    <row r="541" spans="9:9" x14ac:dyDescent="0.25">
      <c r="I541" s="227" t="str">
        <f>MID(excPisCofins[[#This Row],[CodBarras2]],2,50)</f>
        <v/>
      </c>
    </row>
    <row r="542" spans="9:9" x14ac:dyDescent="0.25">
      <c r="I542" s="227" t="str">
        <f>MID(excPisCofins[[#This Row],[CodBarras2]],2,50)</f>
        <v/>
      </c>
    </row>
    <row r="543" spans="9:9" x14ac:dyDescent="0.25">
      <c r="I543" s="227" t="str">
        <f>MID(excPisCofins[[#This Row],[CodBarras2]],2,50)</f>
        <v/>
      </c>
    </row>
    <row r="544" spans="9:9" x14ac:dyDescent="0.25">
      <c r="I544" s="227" t="str">
        <f>MID(excPisCofins[[#This Row],[CodBarras2]],2,50)</f>
        <v/>
      </c>
    </row>
    <row r="545" spans="9:9" x14ac:dyDescent="0.25">
      <c r="I545" s="227" t="str">
        <f>MID(excPisCofins[[#This Row],[CodBarras2]],2,50)</f>
        <v/>
      </c>
    </row>
    <row r="546" spans="9:9" x14ac:dyDescent="0.25">
      <c r="I546" s="227" t="str">
        <f>MID(excPisCofins[[#This Row],[CodBarras2]],2,50)</f>
        <v/>
      </c>
    </row>
    <row r="547" spans="9:9" x14ac:dyDescent="0.25">
      <c r="I547" s="227" t="str">
        <f>MID(excPisCofins[[#This Row],[CodBarras2]],2,50)</f>
        <v/>
      </c>
    </row>
    <row r="548" spans="9:9" x14ac:dyDescent="0.25">
      <c r="I548" s="227" t="str">
        <f>MID(excPisCofins[[#This Row],[CodBarras2]],2,50)</f>
        <v/>
      </c>
    </row>
    <row r="549" spans="9:9" x14ac:dyDescent="0.25">
      <c r="I549" s="227" t="str">
        <f>MID(excPisCofins[[#This Row],[CodBarras2]],2,50)</f>
        <v/>
      </c>
    </row>
    <row r="550" spans="9:9" x14ac:dyDescent="0.25">
      <c r="I550" s="227" t="str">
        <f>MID(excPisCofins[[#This Row],[CodBarras2]],2,50)</f>
        <v/>
      </c>
    </row>
    <row r="551" spans="9:9" x14ac:dyDescent="0.25">
      <c r="I551" s="227" t="str">
        <f>MID(excPisCofins[[#This Row],[CodBarras2]],2,50)</f>
        <v/>
      </c>
    </row>
    <row r="552" spans="9:9" x14ac:dyDescent="0.25">
      <c r="I552" s="227" t="str">
        <f>MID(excPisCofins[[#This Row],[CodBarras2]],2,50)</f>
        <v/>
      </c>
    </row>
    <row r="553" spans="9:9" x14ac:dyDescent="0.25">
      <c r="I553" s="227" t="str">
        <f>MID(excPisCofins[[#This Row],[CodBarras2]],2,50)</f>
        <v/>
      </c>
    </row>
    <row r="554" spans="9:9" x14ac:dyDescent="0.25">
      <c r="I554" s="227" t="str">
        <f>MID(excPisCofins[[#This Row],[CodBarras2]],2,50)</f>
        <v/>
      </c>
    </row>
    <row r="555" spans="9:9" x14ac:dyDescent="0.25">
      <c r="I555" s="227" t="str">
        <f>MID(excPisCofins[[#This Row],[CodBarras2]],2,50)</f>
        <v/>
      </c>
    </row>
    <row r="556" spans="9:9" x14ac:dyDescent="0.25">
      <c r="I556" s="227" t="str">
        <f>MID(excPisCofins[[#This Row],[CodBarras2]],2,50)</f>
        <v/>
      </c>
    </row>
    <row r="557" spans="9:9" x14ac:dyDescent="0.25">
      <c r="I557" s="227" t="str">
        <f>MID(excPisCofins[[#This Row],[CodBarras2]],2,50)</f>
        <v/>
      </c>
    </row>
    <row r="558" spans="9:9" x14ac:dyDescent="0.25">
      <c r="I558" s="227" t="str">
        <f>MID(excPisCofins[[#This Row],[CodBarras2]],2,50)</f>
        <v/>
      </c>
    </row>
    <row r="559" spans="9:9" x14ac:dyDescent="0.25">
      <c r="I559" s="227" t="str">
        <f>MID(excPisCofins[[#This Row],[CodBarras2]],2,50)</f>
        <v/>
      </c>
    </row>
    <row r="560" spans="9:9" x14ac:dyDescent="0.25">
      <c r="I560" s="227" t="str">
        <f>MID(excPisCofins[[#This Row],[CodBarras2]],2,50)</f>
        <v/>
      </c>
    </row>
    <row r="561" spans="9:9" x14ac:dyDescent="0.25">
      <c r="I561" s="227" t="str">
        <f>MID(excPisCofins[[#This Row],[CodBarras2]],2,50)</f>
        <v/>
      </c>
    </row>
    <row r="562" spans="9:9" x14ac:dyDescent="0.25">
      <c r="I562" s="227" t="str">
        <f>MID(excPisCofins[[#This Row],[CodBarras2]],2,50)</f>
        <v/>
      </c>
    </row>
    <row r="563" spans="9:9" x14ac:dyDescent="0.25">
      <c r="I563" s="227" t="str">
        <f>MID(excPisCofins[[#This Row],[CodBarras2]],2,50)</f>
        <v/>
      </c>
    </row>
    <row r="564" spans="9:9" x14ac:dyDescent="0.25">
      <c r="I564" s="227" t="str">
        <f>MID(excPisCofins[[#This Row],[CodBarras2]],2,50)</f>
        <v/>
      </c>
    </row>
    <row r="565" spans="9:9" x14ac:dyDescent="0.25">
      <c r="I565" s="227" t="str">
        <f>MID(excPisCofins[[#This Row],[CodBarras2]],2,50)</f>
        <v/>
      </c>
    </row>
    <row r="566" spans="9:9" x14ac:dyDescent="0.25">
      <c r="I566" s="227" t="str">
        <f>MID(excPisCofins[[#This Row],[CodBarras2]],2,50)</f>
        <v/>
      </c>
    </row>
    <row r="567" spans="9:9" x14ac:dyDescent="0.25">
      <c r="I567" s="227" t="str">
        <f>MID(excPisCofins[[#This Row],[CodBarras2]],2,50)</f>
        <v/>
      </c>
    </row>
    <row r="568" spans="9:9" x14ac:dyDescent="0.25">
      <c r="I568" s="227" t="str">
        <f>MID(excPisCofins[[#This Row],[CodBarras2]],2,50)</f>
        <v/>
      </c>
    </row>
    <row r="569" spans="9:9" x14ac:dyDescent="0.25">
      <c r="I569" s="227" t="str">
        <f>MID(excPisCofins[[#This Row],[CodBarras2]],2,50)</f>
        <v/>
      </c>
    </row>
    <row r="570" spans="9:9" x14ac:dyDescent="0.25">
      <c r="I570" s="227" t="str">
        <f>MID(excPisCofins[[#This Row],[CodBarras2]],2,50)</f>
        <v/>
      </c>
    </row>
    <row r="571" spans="9:9" x14ac:dyDescent="0.25">
      <c r="I571" s="227" t="str">
        <f>MID(excPisCofins[[#This Row],[CodBarras2]],2,50)</f>
        <v/>
      </c>
    </row>
    <row r="572" spans="9:9" x14ac:dyDescent="0.25">
      <c r="I572" s="227" t="str">
        <f>MID(excPisCofins[[#This Row],[CodBarras2]],2,50)</f>
        <v/>
      </c>
    </row>
    <row r="573" spans="9:9" x14ac:dyDescent="0.25">
      <c r="I573" s="227" t="str">
        <f>MID(excPisCofins[[#This Row],[CodBarras2]],2,50)</f>
        <v/>
      </c>
    </row>
    <row r="574" spans="9:9" x14ac:dyDescent="0.25">
      <c r="I574" s="227" t="str">
        <f>MID(excPisCofins[[#This Row],[CodBarras2]],2,50)</f>
        <v/>
      </c>
    </row>
    <row r="575" spans="9:9" x14ac:dyDescent="0.25">
      <c r="I575" s="227" t="str">
        <f>MID(excPisCofins[[#This Row],[CodBarras2]],2,50)</f>
        <v/>
      </c>
    </row>
    <row r="576" spans="9:9" x14ac:dyDescent="0.25">
      <c r="I576" s="227" t="str">
        <f>MID(excPisCofins[[#This Row],[CodBarras2]],2,50)</f>
        <v/>
      </c>
    </row>
    <row r="577" spans="9:9" x14ac:dyDescent="0.25">
      <c r="I577" s="227" t="str">
        <f>MID(excPisCofins[[#This Row],[CodBarras2]],2,50)</f>
        <v/>
      </c>
    </row>
    <row r="578" spans="9:9" x14ac:dyDescent="0.25">
      <c r="I578" s="227" t="str">
        <f>MID(excPisCofins[[#This Row],[CodBarras2]],2,50)</f>
        <v/>
      </c>
    </row>
    <row r="579" spans="9:9" x14ac:dyDescent="0.25">
      <c r="I579" s="227" t="str">
        <f>MID(excPisCofins[[#This Row],[CodBarras2]],2,50)</f>
        <v/>
      </c>
    </row>
    <row r="580" spans="9:9" x14ac:dyDescent="0.25">
      <c r="I580" s="227" t="str">
        <f>MID(excPisCofins[[#This Row],[CodBarras2]],2,50)</f>
        <v/>
      </c>
    </row>
    <row r="581" spans="9:9" x14ac:dyDescent="0.25">
      <c r="I581" s="227" t="str">
        <f>MID(excPisCofins[[#This Row],[CodBarras2]],2,50)</f>
        <v/>
      </c>
    </row>
    <row r="582" spans="9:9" x14ac:dyDescent="0.25">
      <c r="I582" s="227" t="str">
        <f>MID(excPisCofins[[#This Row],[CodBarras2]],2,50)</f>
        <v/>
      </c>
    </row>
    <row r="583" spans="9:9" x14ac:dyDescent="0.25">
      <c r="I583" s="227" t="str">
        <f>MID(excPisCofins[[#This Row],[CodBarras2]],2,50)</f>
        <v/>
      </c>
    </row>
    <row r="584" spans="9:9" x14ac:dyDescent="0.25">
      <c r="I584" s="227" t="str">
        <f>MID(excPisCofins[[#This Row],[CodBarras2]],2,50)</f>
        <v/>
      </c>
    </row>
    <row r="585" spans="9:9" x14ac:dyDescent="0.25">
      <c r="I585" s="227" t="str">
        <f>MID(excPisCofins[[#This Row],[CodBarras2]],2,50)</f>
        <v/>
      </c>
    </row>
    <row r="586" spans="9:9" x14ac:dyDescent="0.25">
      <c r="I586" s="227" t="str">
        <f>MID(excPisCofins[[#This Row],[CodBarras2]],2,50)</f>
        <v/>
      </c>
    </row>
    <row r="587" spans="9:9" x14ac:dyDescent="0.25">
      <c r="I587" s="227" t="str">
        <f>MID(excPisCofins[[#This Row],[CodBarras2]],2,50)</f>
        <v/>
      </c>
    </row>
    <row r="588" spans="9:9" x14ac:dyDescent="0.25">
      <c r="I588" s="227" t="str">
        <f>MID(excPisCofins[[#This Row],[CodBarras2]],2,50)</f>
        <v/>
      </c>
    </row>
    <row r="589" spans="9:9" x14ac:dyDescent="0.25">
      <c r="I589" s="227" t="str">
        <f>MID(excPisCofins[[#This Row],[CodBarras2]],2,50)</f>
        <v/>
      </c>
    </row>
    <row r="590" spans="9:9" x14ac:dyDescent="0.25">
      <c r="I590" s="227" t="str">
        <f>MID(excPisCofins[[#This Row],[CodBarras2]],2,50)</f>
        <v/>
      </c>
    </row>
    <row r="591" spans="9:9" x14ac:dyDescent="0.25">
      <c r="I591" s="227" t="str">
        <f>MID(excPisCofins[[#This Row],[CodBarras2]],2,50)</f>
        <v/>
      </c>
    </row>
    <row r="592" spans="9:9" x14ac:dyDescent="0.25">
      <c r="I592" s="227" t="str">
        <f>MID(excPisCofins[[#This Row],[CodBarras2]],2,50)</f>
        <v/>
      </c>
    </row>
    <row r="593" spans="9:9" x14ac:dyDescent="0.25">
      <c r="I593" s="227" t="str">
        <f>MID(excPisCofins[[#This Row],[CodBarras2]],2,50)</f>
        <v/>
      </c>
    </row>
    <row r="594" spans="9:9" x14ac:dyDescent="0.25">
      <c r="I594" s="227" t="str">
        <f>MID(excPisCofins[[#This Row],[CodBarras2]],2,50)</f>
        <v/>
      </c>
    </row>
    <row r="595" spans="9:9" x14ac:dyDescent="0.25">
      <c r="I595" s="227" t="str">
        <f>MID(excPisCofins[[#This Row],[CodBarras2]],2,50)</f>
        <v/>
      </c>
    </row>
    <row r="596" spans="9:9" x14ac:dyDescent="0.25">
      <c r="I596" s="227" t="str">
        <f>MID(excPisCofins[[#This Row],[CodBarras2]],2,50)</f>
        <v/>
      </c>
    </row>
    <row r="597" spans="9:9" x14ac:dyDescent="0.25">
      <c r="I597" s="227" t="str">
        <f>MID(excPisCofins[[#This Row],[CodBarras2]],2,50)</f>
        <v/>
      </c>
    </row>
    <row r="598" spans="9:9" x14ac:dyDescent="0.25">
      <c r="I598" s="227" t="str">
        <f>MID(excPisCofins[[#This Row],[CodBarras2]],2,50)</f>
        <v/>
      </c>
    </row>
    <row r="599" spans="9:9" x14ac:dyDescent="0.25">
      <c r="I599" s="227" t="str">
        <f>MID(excPisCofins[[#This Row],[CodBarras2]],2,50)</f>
        <v/>
      </c>
    </row>
    <row r="600" spans="9:9" x14ac:dyDescent="0.25">
      <c r="I600" s="227" t="str">
        <f>MID(excPisCofins[[#This Row],[CodBarras2]],2,50)</f>
        <v/>
      </c>
    </row>
    <row r="601" spans="9:9" x14ac:dyDescent="0.25">
      <c r="I601" s="227" t="str">
        <f>MID(excPisCofins[[#This Row],[CodBarras2]],2,50)</f>
        <v/>
      </c>
    </row>
    <row r="602" spans="9:9" x14ac:dyDescent="0.25">
      <c r="I602" s="227" t="str">
        <f>MID(excPisCofins[[#This Row],[CodBarras2]],2,50)</f>
        <v/>
      </c>
    </row>
    <row r="603" spans="9:9" x14ac:dyDescent="0.25">
      <c r="I603" s="227" t="str">
        <f>MID(excPisCofins[[#This Row],[CodBarras2]],2,50)</f>
        <v/>
      </c>
    </row>
    <row r="604" spans="9:9" x14ac:dyDescent="0.25">
      <c r="I604" s="227" t="str">
        <f>MID(excPisCofins[[#This Row],[CodBarras2]],2,50)</f>
        <v/>
      </c>
    </row>
    <row r="605" spans="9:9" x14ac:dyDescent="0.25">
      <c r="I605" s="227" t="str">
        <f>MID(excPisCofins[[#This Row],[CodBarras2]],2,50)</f>
        <v/>
      </c>
    </row>
    <row r="606" spans="9:9" x14ac:dyDescent="0.25">
      <c r="I606" s="227" t="str">
        <f>MID(excPisCofins[[#This Row],[CodBarras2]],2,50)</f>
        <v/>
      </c>
    </row>
    <row r="607" spans="9:9" x14ac:dyDescent="0.25">
      <c r="I607" s="227" t="str">
        <f>MID(excPisCofins[[#This Row],[CodBarras2]],2,50)</f>
        <v/>
      </c>
    </row>
    <row r="608" spans="9:9" x14ac:dyDescent="0.25">
      <c r="I608" s="227" t="str">
        <f>MID(excPisCofins[[#This Row],[CodBarras2]],2,50)</f>
        <v/>
      </c>
    </row>
    <row r="609" spans="9:9" x14ac:dyDescent="0.25">
      <c r="I609" s="227" t="str">
        <f>MID(excPisCofins[[#This Row],[CodBarras2]],2,50)</f>
        <v/>
      </c>
    </row>
    <row r="610" spans="9:9" x14ac:dyDescent="0.25">
      <c r="I610" s="227" t="str">
        <f>MID(excPisCofins[[#This Row],[CodBarras2]],2,50)</f>
        <v/>
      </c>
    </row>
    <row r="611" spans="9:9" x14ac:dyDescent="0.25">
      <c r="I611" s="227" t="str">
        <f>MID(excPisCofins[[#This Row],[CodBarras2]],2,50)</f>
        <v/>
      </c>
    </row>
    <row r="612" spans="9:9" x14ac:dyDescent="0.25">
      <c r="I612" s="227" t="str">
        <f>MID(excPisCofins[[#This Row],[CodBarras2]],2,50)</f>
        <v/>
      </c>
    </row>
    <row r="613" spans="9:9" x14ac:dyDescent="0.25">
      <c r="I613" s="227" t="str">
        <f>MID(excPisCofins[[#This Row],[CodBarras2]],2,50)</f>
        <v/>
      </c>
    </row>
    <row r="614" spans="9:9" x14ac:dyDescent="0.25">
      <c r="I614" s="227" t="str">
        <f>MID(excPisCofins[[#This Row],[CodBarras2]],2,50)</f>
        <v/>
      </c>
    </row>
    <row r="615" spans="9:9" x14ac:dyDescent="0.25">
      <c r="I615" s="227" t="str">
        <f>MID(excPisCofins[[#This Row],[CodBarras2]],2,50)</f>
        <v/>
      </c>
    </row>
    <row r="616" spans="9:9" x14ac:dyDescent="0.25">
      <c r="I616" s="227" t="str">
        <f>MID(excPisCofins[[#This Row],[CodBarras2]],2,50)</f>
        <v/>
      </c>
    </row>
    <row r="617" spans="9:9" x14ac:dyDescent="0.25">
      <c r="I617" s="227" t="str">
        <f>MID(excPisCofins[[#This Row],[CodBarras2]],2,50)</f>
        <v/>
      </c>
    </row>
    <row r="618" spans="9:9" x14ac:dyDescent="0.25">
      <c r="I618" s="227" t="str">
        <f>MID(excPisCofins[[#This Row],[CodBarras2]],2,50)</f>
        <v/>
      </c>
    </row>
    <row r="619" spans="9:9" x14ac:dyDescent="0.25">
      <c r="I619" s="227" t="str">
        <f>MID(excPisCofins[[#This Row],[CodBarras2]],2,50)</f>
        <v/>
      </c>
    </row>
    <row r="620" spans="9:9" x14ac:dyDescent="0.25">
      <c r="I620" s="227" t="str">
        <f>MID(excPisCofins[[#This Row],[CodBarras2]],2,50)</f>
        <v/>
      </c>
    </row>
    <row r="621" spans="9:9" x14ac:dyDescent="0.25">
      <c r="I621" s="227" t="str">
        <f>MID(excPisCofins[[#This Row],[CodBarras2]],2,50)</f>
        <v/>
      </c>
    </row>
    <row r="622" spans="9:9" x14ac:dyDescent="0.25">
      <c r="I622" s="227" t="str">
        <f>MID(excPisCofins[[#This Row],[CodBarras2]],2,50)</f>
        <v/>
      </c>
    </row>
    <row r="623" spans="9:9" x14ac:dyDescent="0.25">
      <c r="I623" s="227" t="str">
        <f>MID(excPisCofins[[#This Row],[CodBarras2]],2,50)</f>
        <v/>
      </c>
    </row>
    <row r="624" spans="9:9" x14ac:dyDescent="0.25">
      <c r="I624" s="227" t="str">
        <f>MID(excPisCofins[[#This Row],[CodBarras2]],2,50)</f>
        <v/>
      </c>
    </row>
    <row r="625" spans="9:9" x14ac:dyDescent="0.25">
      <c r="I625" s="227" t="str">
        <f>MID(excPisCofins[[#This Row],[CodBarras2]],2,50)</f>
        <v/>
      </c>
    </row>
    <row r="626" spans="9:9" x14ac:dyDescent="0.25">
      <c r="I626" s="227" t="str">
        <f>MID(excPisCofins[[#This Row],[CodBarras2]],2,50)</f>
        <v/>
      </c>
    </row>
    <row r="627" spans="9:9" x14ac:dyDescent="0.25">
      <c r="I627" s="227" t="str">
        <f>MID(excPisCofins[[#This Row],[CodBarras2]],2,50)</f>
        <v/>
      </c>
    </row>
    <row r="628" spans="9:9" x14ac:dyDescent="0.25">
      <c r="I628" s="227" t="str">
        <f>MID(excPisCofins[[#This Row],[CodBarras2]],2,50)</f>
        <v/>
      </c>
    </row>
    <row r="629" spans="9:9" x14ac:dyDescent="0.25">
      <c r="I629" s="227" t="str">
        <f>MID(excPisCofins[[#This Row],[CodBarras2]],2,50)</f>
        <v/>
      </c>
    </row>
    <row r="630" spans="9:9" x14ac:dyDescent="0.25">
      <c r="I630" s="227" t="str">
        <f>MID(excPisCofins[[#This Row],[CodBarras2]],2,50)</f>
        <v/>
      </c>
    </row>
    <row r="631" spans="9:9" x14ac:dyDescent="0.25">
      <c r="I631" s="227" t="str">
        <f>MID(excPisCofins[[#This Row],[CodBarras2]],2,50)</f>
        <v/>
      </c>
    </row>
    <row r="632" spans="9:9" x14ac:dyDescent="0.25">
      <c r="I632" s="227" t="str">
        <f>MID(excPisCofins[[#This Row],[CodBarras2]],2,50)</f>
        <v/>
      </c>
    </row>
    <row r="633" spans="9:9" x14ac:dyDescent="0.25">
      <c r="I633" s="227" t="str">
        <f>MID(excPisCofins[[#This Row],[CodBarras2]],2,50)</f>
        <v/>
      </c>
    </row>
    <row r="634" spans="9:9" x14ac:dyDescent="0.25">
      <c r="I634" s="227" t="str">
        <f>MID(excPisCofins[[#This Row],[CodBarras2]],2,50)</f>
        <v/>
      </c>
    </row>
    <row r="635" spans="9:9" x14ac:dyDescent="0.25">
      <c r="I635" s="227" t="str">
        <f>MID(excPisCofins[[#This Row],[CodBarras2]],2,50)</f>
        <v/>
      </c>
    </row>
    <row r="636" spans="9:9" x14ac:dyDescent="0.25">
      <c r="I636" s="227" t="str">
        <f>MID(excPisCofins[[#This Row],[CodBarras2]],2,50)</f>
        <v/>
      </c>
    </row>
    <row r="637" spans="9:9" x14ac:dyDescent="0.25">
      <c r="I637" s="227" t="str">
        <f>MID(excPisCofins[[#This Row],[CodBarras2]],2,50)</f>
        <v/>
      </c>
    </row>
    <row r="638" spans="9:9" x14ac:dyDescent="0.25">
      <c r="I638" s="227" t="str">
        <f>MID(excPisCofins[[#This Row],[CodBarras2]],2,50)</f>
        <v/>
      </c>
    </row>
    <row r="639" spans="9:9" x14ac:dyDescent="0.25">
      <c r="I639" s="227" t="str">
        <f>MID(excPisCofins[[#This Row],[CodBarras2]],2,50)</f>
        <v/>
      </c>
    </row>
    <row r="640" spans="9:9" x14ac:dyDescent="0.25">
      <c r="I640" s="227" t="str">
        <f>MID(excPisCofins[[#This Row],[CodBarras2]],2,50)</f>
        <v/>
      </c>
    </row>
    <row r="641" spans="9:9" x14ac:dyDescent="0.25">
      <c r="I641" s="227" t="str">
        <f>MID(excPisCofins[[#This Row],[CodBarras2]],2,50)</f>
        <v/>
      </c>
    </row>
    <row r="642" spans="9:9" x14ac:dyDescent="0.25">
      <c r="I642" s="227" t="str">
        <f>MID(excPisCofins[[#This Row],[CodBarras2]],2,50)</f>
        <v/>
      </c>
    </row>
    <row r="643" spans="9:9" x14ac:dyDescent="0.25">
      <c r="I643" s="227" t="str">
        <f>MID(excPisCofins[[#This Row],[CodBarras2]],2,50)</f>
        <v/>
      </c>
    </row>
    <row r="644" spans="9:9" x14ac:dyDescent="0.25">
      <c r="I644" s="227" t="str">
        <f>MID(excPisCofins[[#This Row],[CodBarras2]],2,50)</f>
        <v/>
      </c>
    </row>
    <row r="645" spans="9:9" x14ac:dyDescent="0.25">
      <c r="I645" s="227" t="str">
        <f>MID(excPisCofins[[#This Row],[CodBarras2]],2,50)</f>
        <v/>
      </c>
    </row>
    <row r="646" spans="9:9" x14ac:dyDescent="0.25">
      <c r="I646" s="227" t="str">
        <f>MID(excPisCofins[[#This Row],[CodBarras2]],2,50)</f>
        <v/>
      </c>
    </row>
    <row r="647" spans="9:9" x14ac:dyDescent="0.25">
      <c r="I647" s="227" t="str">
        <f>MID(excPisCofins[[#This Row],[CodBarras2]],2,50)</f>
        <v/>
      </c>
    </row>
    <row r="648" spans="9:9" x14ac:dyDescent="0.25">
      <c r="I648" s="227" t="str">
        <f>MID(excPisCofins[[#This Row],[CodBarras2]],2,50)</f>
        <v/>
      </c>
    </row>
    <row r="649" spans="9:9" x14ac:dyDescent="0.25">
      <c r="I649" s="227" t="str">
        <f>MID(excPisCofins[[#This Row],[CodBarras2]],2,50)</f>
        <v/>
      </c>
    </row>
    <row r="650" spans="9:9" x14ac:dyDescent="0.25">
      <c r="I650" s="227" t="str">
        <f>MID(excPisCofins[[#This Row],[CodBarras2]],2,50)</f>
        <v/>
      </c>
    </row>
    <row r="651" spans="9:9" x14ac:dyDescent="0.25">
      <c r="I651" s="227" t="str">
        <f>MID(excPisCofins[[#This Row],[CodBarras2]],2,50)</f>
        <v/>
      </c>
    </row>
    <row r="652" spans="9:9" x14ac:dyDescent="0.25">
      <c r="I652" s="227" t="str">
        <f>MID(excPisCofins[[#This Row],[CodBarras2]],2,50)</f>
        <v/>
      </c>
    </row>
    <row r="653" spans="9:9" x14ac:dyDescent="0.25">
      <c r="I653" s="227" t="str">
        <f>MID(excPisCofins[[#This Row],[CodBarras2]],2,50)</f>
        <v/>
      </c>
    </row>
    <row r="654" spans="9:9" x14ac:dyDescent="0.25">
      <c r="I654" s="227" t="str">
        <f>MID(excPisCofins[[#This Row],[CodBarras2]],2,50)</f>
        <v/>
      </c>
    </row>
    <row r="655" spans="9:9" x14ac:dyDescent="0.25">
      <c r="I655" s="227" t="str">
        <f>MID(excPisCofins[[#This Row],[CodBarras2]],2,50)</f>
        <v/>
      </c>
    </row>
    <row r="656" spans="9:9" x14ac:dyDescent="0.25">
      <c r="I656" s="227" t="str">
        <f>MID(excPisCofins[[#This Row],[CodBarras2]],2,50)</f>
        <v/>
      </c>
    </row>
    <row r="657" spans="9:9" x14ac:dyDescent="0.25">
      <c r="I657" s="227" t="str">
        <f>MID(excPisCofins[[#This Row],[CodBarras2]],2,50)</f>
        <v/>
      </c>
    </row>
    <row r="658" spans="9:9" x14ac:dyDescent="0.25">
      <c r="I658" s="227" t="str">
        <f>MID(excPisCofins[[#This Row],[CodBarras2]],2,50)</f>
        <v/>
      </c>
    </row>
    <row r="659" spans="9:9" x14ac:dyDescent="0.25">
      <c r="I659" s="227" t="str">
        <f>MID(excPisCofins[[#This Row],[CodBarras2]],2,50)</f>
        <v/>
      </c>
    </row>
    <row r="660" spans="9:9" x14ac:dyDescent="0.25">
      <c r="I660" s="227" t="str">
        <f>MID(excPisCofins[[#This Row],[CodBarras2]],2,50)</f>
        <v/>
      </c>
    </row>
    <row r="661" spans="9:9" x14ac:dyDescent="0.25">
      <c r="I661" s="227" t="str">
        <f>MID(excPisCofins[[#This Row],[CodBarras2]],2,50)</f>
        <v/>
      </c>
    </row>
    <row r="662" spans="9:9" x14ac:dyDescent="0.25">
      <c r="I662" s="227" t="str">
        <f>MID(excPisCofins[[#This Row],[CodBarras2]],2,50)</f>
        <v/>
      </c>
    </row>
    <row r="663" spans="9:9" x14ac:dyDescent="0.25">
      <c r="I663" s="227" t="str">
        <f>MID(excPisCofins[[#This Row],[CodBarras2]],2,50)</f>
        <v/>
      </c>
    </row>
    <row r="664" spans="9:9" x14ac:dyDescent="0.25">
      <c r="I664" s="227" t="str">
        <f>MID(excPisCofins[[#This Row],[CodBarras2]],2,50)</f>
        <v/>
      </c>
    </row>
    <row r="665" spans="9:9" x14ac:dyDescent="0.25">
      <c r="I665" s="227" t="str">
        <f>MID(excPisCofins[[#This Row],[CodBarras2]],2,50)</f>
        <v/>
      </c>
    </row>
    <row r="666" spans="9:9" x14ac:dyDescent="0.25">
      <c r="I666" s="227" t="str">
        <f>MID(excPisCofins[[#This Row],[CodBarras2]],2,50)</f>
        <v/>
      </c>
    </row>
    <row r="667" spans="9:9" x14ac:dyDescent="0.25">
      <c r="I667" s="227" t="str">
        <f>MID(excPisCofins[[#This Row],[CodBarras2]],2,50)</f>
        <v/>
      </c>
    </row>
    <row r="668" spans="9:9" x14ac:dyDescent="0.25">
      <c r="I668" s="227" t="str">
        <f>MID(excPisCofins[[#This Row],[CodBarras2]],2,50)</f>
        <v/>
      </c>
    </row>
    <row r="669" spans="9:9" x14ac:dyDescent="0.25">
      <c r="I669" s="227" t="str">
        <f>MID(excPisCofins[[#This Row],[CodBarras2]],2,50)</f>
        <v/>
      </c>
    </row>
    <row r="670" spans="9:9" x14ac:dyDescent="0.25">
      <c r="I670" s="227" t="str">
        <f>MID(excPisCofins[[#This Row],[CodBarras2]],2,50)</f>
        <v/>
      </c>
    </row>
    <row r="671" spans="9:9" x14ac:dyDescent="0.25">
      <c r="I671" s="227" t="str">
        <f>MID(excPisCofins[[#This Row],[CodBarras2]],2,50)</f>
        <v/>
      </c>
    </row>
    <row r="672" spans="9:9" x14ac:dyDescent="0.25">
      <c r="I672" s="227" t="str">
        <f>MID(excPisCofins[[#This Row],[CodBarras2]],2,50)</f>
        <v/>
      </c>
    </row>
    <row r="673" spans="9:9" x14ac:dyDescent="0.25">
      <c r="I673" s="227" t="str">
        <f>MID(excPisCofins[[#This Row],[CodBarras2]],2,50)</f>
        <v/>
      </c>
    </row>
    <row r="674" spans="9:9" x14ac:dyDescent="0.25">
      <c r="I674" s="227" t="str">
        <f>MID(excPisCofins[[#This Row],[CodBarras2]],2,50)</f>
        <v/>
      </c>
    </row>
    <row r="675" spans="9:9" x14ac:dyDescent="0.25">
      <c r="I675" s="227" t="str">
        <f>MID(excPisCofins[[#This Row],[CodBarras2]],2,50)</f>
        <v/>
      </c>
    </row>
    <row r="676" spans="9:9" x14ac:dyDescent="0.25">
      <c r="I676" s="227" t="str">
        <f>MID(excPisCofins[[#This Row],[CodBarras2]],2,50)</f>
        <v/>
      </c>
    </row>
    <row r="677" spans="9:9" x14ac:dyDescent="0.25">
      <c r="I677" s="227" t="str">
        <f>MID(excPisCofins[[#This Row],[CodBarras2]],2,50)</f>
        <v/>
      </c>
    </row>
    <row r="678" spans="9:9" x14ac:dyDescent="0.25">
      <c r="I678" s="227" t="str">
        <f>MID(excPisCofins[[#This Row],[CodBarras2]],2,50)</f>
        <v/>
      </c>
    </row>
    <row r="679" spans="9:9" x14ac:dyDescent="0.25">
      <c r="I679" s="227" t="str">
        <f>MID(excPisCofins[[#This Row],[CodBarras2]],2,50)</f>
        <v/>
      </c>
    </row>
    <row r="680" spans="9:9" x14ac:dyDescent="0.25">
      <c r="I680" s="227" t="str">
        <f>MID(excPisCofins[[#This Row],[CodBarras2]],2,50)</f>
        <v/>
      </c>
    </row>
    <row r="681" spans="9:9" x14ac:dyDescent="0.25">
      <c r="I681" s="227" t="str">
        <f>MID(excPisCofins[[#This Row],[CodBarras2]],2,50)</f>
        <v/>
      </c>
    </row>
    <row r="682" spans="9:9" x14ac:dyDescent="0.25">
      <c r="I682" s="227" t="str">
        <f>MID(excPisCofins[[#This Row],[CodBarras2]],2,50)</f>
        <v/>
      </c>
    </row>
    <row r="683" spans="9:9" x14ac:dyDescent="0.25">
      <c r="I683" s="227" t="str">
        <f>MID(excPisCofins[[#This Row],[CodBarras2]],2,50)</f>
        <v/>
      </c>
    </row>
    <row r="684" spans="9:9" x14ac:dyDescent="0.25">
      <c r="I684" s="227" t="str">
        <f>MID(excPisCofins[[#This Row],[CodBarras2]],2,50)</f>
        <v/>
      </c>
    </row>
    <row r="685" spans="9:9" x14ac:dyDescent="0.25">
      <c r="I685" s="227" t="str">
        <f>MID(excPisCofins[[#This Row],[CodBarras2]],2,50)</f>
        <v/>
      </c>
    </row>
    <row r="686" spans="9:9" x14ac:dyDescent="0.25">
      <c r="I686" s="227" t="str">
        <f>MID(excPisCofins[[#This Row],[CodBarras2]],2,50)</f>
        <v/>
      </c>
    </row>
    <row r="687" spans="9:9" x14ac:dyDescent="0.25">
      <c r="I687" s="227" t="str">
        <f>MID(excPisCofins[[#This Row],[CodBarras2]],2,50)</f>
        <v/>
      </c>
    </row>
    <row r="688" spans="9:9" x14ac:dyDescent="0.25">
      <c r="I688" s="227" t="str">
        <f>MID(excPisCofins[[#This Row],[CodBarras2]],2,50)</f>
        <v/>
      </c>
    </row>
    <row r="689" spans="9:9" x14ac:dyDescent="0.25">
      <c r="I689" s="227" t="str">
        <f>MID(excPisCofins[[#This Row],[CodBarras2]],2,50)</f>
        <v/>
      </c>
    </row>
    <row r="690" spans="9:9" x14ac:dyDescent="0.25">
      <c r="I690" s="227" t="str">
        <f>MID(excPisCofins[[#This Row],[CodBarras2]],2,50)</f>
        <v/>
      </c>
    </row>
    <row r="691" spans="9:9" x14ac:dyDescent="0.25">
      <c r="I691" s="227" t="str">
        <f>MID(excPisCofins[[#This Row],[CodBarras2]],2,50)</f>
        <v/>
      </c>
    </row>
    <row r="692" spans="9:9" x14ac:dyDescent="0.25">
      <c r="I692" s="227" t="str">
        <f>MID(excPisCofins[[#This Row],[CodBarras2]],2,50)</f>
        <v/>
      </c>
    </row>
    <row r="693" spans="9:9" x14ac:dyDescent="0.25">
      <c r="I693" s="227" t="str">
        <f>MID(excPisCofins[[#This Row],[CodBarras2]],2,50)</f>
        <v/>
      </c>
    </row>
    <row r="694" spans="9:9" x14ac:dyDescent="0.25">
      <c r="I694" s="227" t="str">
        <f>MID(excPisCofins[[#This Row],[CodBarras2]],2,50)</f>
        <v/>
      </c>
    </row>
    <row r="695" spans="9:9" x14ac:dyDescent="0.25">
      <c r="I695" s="227" t="str">
        <f>MID(excPisCofins[[#This Row],[CodBarras2]],2,50)</f>
        <v/>
      </c>
    </row>
    <row r="696" spans="9:9" x14ac:dyDescent="0.25">
      <c r="I696" s="227" t="str">
        <f>MID(excPisCofins[[#This Row],[CodBarras2]],2,50)</f>
        <v/>
      </c>
    </row>
    <row r="697" spans="9:9" x14ac:dyDescent="0.25">
      <c r="I697" s="227" t="str">
        <f>MID(excPisCofins[[#This Row],[CodBarras2]],2,50)</f>
        <v/>
      </c>
    </row>
    <row r="698" spans="9:9" x14ac:dyDescent="0.25">
      <c r="I698" s="227" t="str">
        <f>MID(excPisCofins[[#This Row],[CodBarras2]],2,50)</f>
        <v/>
      </c>
    </row>
    <row r="699" spans="9:9" x14ac:dyDescent="0.25">
      <c r="I699" s="227" t="str">
        <f>MID(excPisCofins[[#This Row],[CodBarras2]],2,50)</f>
        <v/>
      </c>
    </row>
    <row r="700" spans="9:9" x14ac:dyDescent="0.25">
      <c r="I700" s="227" t="str">
        <f>MID(excPisCofins[[#This Row],[CodBarras2]],2,50)</f>
        <v/>
      </c>
    </row>
    <row r="701" spans="9:9" x14ac:dyDescent="0.25">
      <c r="I701" s="227" t="str">
        <f>MID(excPisCofins[[#This Row],[CodBarras2]],2,50)</f>
        <v/>
      </c>
    </row>
    <row r="702" spans="9:9" x14ac:dyDescent="0.25">
      <c r="I702" s="227" t="str">
        <f>MID(excPisCofins[[#This Row],[CodBarras2]],2,50)</f>
        <v/>
      </c>
    </row>
    <row r="703" spans="9:9" x14ac:dyDescent="0.25">
      <c r="I703" s="227" t="str">
        <f>MID(excPisCofins[[#This Row],[CodBarras2]],2,50)</f>
        <v/>
      </c>
    </row>
    <row r="704" spans="9:9" x14ac:dyDescent="0.25">
      <c r="I704" s="227" t="str">
        <f>MID(excPisCofins[[#This Row],[CodBarras2]],2,50)</f>
        <v/>
      </c>
    </row>
    <row r="705" spans="9:9" x14ac:dyDescent="0.25">
      <c r="I705" s="227" t="str">
        <f>MID(excPisCofins[[#This Row],[CodBarras2]],2,50)</f>
        <v/>
      </c>
    </row>
    <row r="706" spans="9:9" x14ac:dyDescent="0.25">
      <c r="I706" s="227" t="str">
        <f>MID(excPisCofins[[#This Row],[CodBarras2]],2,50)</f>
        <v/>
      </c>
    </row>
    <row r="707" spans="9:9" x14ac:dyDescent="0.25">
      <c r="I707" s="227" t="str">
        <f>MID(excPisCofins[[#This Row],[CodBarras2]],2,50)</f>
        <v/>
      </c>
    </row>
    <row r="708" spans="9:9" x14ac:dyDescent="0.25">
      <c r="I708" s="227" t="str">
        <f>MID(excPisCofins[[#This Row],[CodBarras2]],2,50)</f>
        <v/>
      </c>
    </row>
    <row r="709" spans="9:9" x14ac:dyDescent="0.25">
      <c r="I709" s="227" t="str">
        <f>MID(excPisCofins[[#This Row],[CodBarras2]],2,50)</f>
        <v/>
      </c>
    </row>
    <row r="710" spans="9:9" x14ac:dyDescent="0.25">
      <c r="I710" s="227" t="str">
        <f>MID(excPisCofins[[#This Row],[CodBarras2]],2,50)</f>
        <v/>
      </c>
    </row>
    <row r="711" spans="9:9" x14ac:dyDescent="0.25">
      <c r="I711" s="227" t="str">
        <f>MID(excPisCofins[[#This Row],[CodBarras2]],2,50)</f>
        <v/>
      </c>
    </row>
    <row r="712" spans="9:9" x14ac:dyDescent="0.25">
      <c r="I712" s="227" t="str">
        <f>MID(excPisCofins[[#This Row],[CodBarras2]],2,50)</f>
        <v/>
      </c>
    </row>
    <row r="713" spans="9:9" x14ac:dyDescent="0.25">
      <c r="I713" s="227" t="str">
        <f>MID(excPisCofins[[#This Row],[CodBarras2]],2,50)</f>
        <v/>
      </c>
    </row>
    <row r="714" spans="9:9" x14ac:dyDescent="0.25">
      <c r="I714" s="227" t="str">
        <f>MID(excPisCofins[[#This Row],[CodBarras2]],2,50)</f>
        <v/>
      </c>
    </row>
    <row r="715" spans="9:9" x14ac:dyDescent="0.25">
      <c r="I715" s="227" t="str">
        <f>MID(excPisCofins[[#This Row],[CodBarras2]],2,50)</f>
        <v/>
      </c>
    </row>
    <row r="716" spans="9:9" x14ac:dyDescent="0.25">
      <c r="I716" s="227" t="str">
        <f>MID(excPisCofins[[#This Row],[CodBarras2]],2,50)</f>
        <v/>
      </c>
    </row>
    <row r="717" spans="9:9" x14ac:dyDescent="0.25">
      <c r="I717" s="227" t="str">
        <f>MID(excPisCofins[[#This Row],[CodBarras2]],2,50)</f>
        <v/>
      </c>
    </row>
    <row r="718" spans="9:9" x14ac:dyDescent="0.25">
      <c r="I718" s="227" t="str">
        <f>MID(excPisCofins[[#This Row],[CodBarras2]],2,50)</f>
        <v/>
      </c>
    </row>
    <row r="719" spans="9:9" x14ac:dyDescent="0.25">
      <c r="I719" s="227" t="str">
        <f>MID(excPisCofins[[#This Row],[CodBarras2]],2,50)</f>
        <v/>
      </c>
    </row>
    <row r="720" spans="9:9" x14ac:dyDescent="0.25">
      <c r="I720" s="227" t="str">
        <f>MID(excPisCofins[[#This Row],[CodBarras2]],2,50)</f>
        <v/>
      </c>
    </row>
    <row r="721" spans="9:9" x14ac:dyDescent="0.25">
      <c r="I721" s="227" t="str">
        <f>MID(excPisCofins[[#This Row],[CodBarras2]],2,50)</f>
        <v/>
      </c>
    </row>
    <row r="722" spans="9:9" x14ac:dyDescent="0.25">
      <c r="I722" s="227" t="str">
        <f>MID(excPisCofins[[#This Row],[CodBarras2]],2,50)</f>
        <v/>
      </c>
    </row>
    <row r="723" spans="9:9" x14ac:dyDescent="0.25">
      <c r="I723" s="227" t="str">
        <f>MID(excPisCofins[[#This Row],[CodBarras2]],2,50)</f>
        <v/>
      </c>
    </row>
    <row r="724" spans="9:9" x14ac:dyDescent="0.25">
      <c r="I724" s="227" t="str">
        <f>MID(excPisCofins[[#This Row],[CodBarras2]],2,50)</f>
        <v/>
      </c>
    </row>
    <row r="725" spans="9:9" x14ac:dyDescent="0.25">
      <c r="I725" s="227" t="str">
        <f>MID(excPisCofins[[#This Row],[CodBarras2]],2,50)</f>
        <v/>
      </c>
    </row>
    <row r="726" spans="9:9" x14ac:dyDescent="0.25">
      <c r="I726" s="227" t="str">
        <f>MID(excPisCofins[[#This Row],[CodBarras2]],2,50)</f>
        <v/>
      </c>
    </row>
    <row r="727" spans="9:9" x14ac:dyDescent="0.25">
      <c r="I727" s="227" t="str">
        <f>MID(excPisCofins[[#This Row],[CodBarras2]],2,50)</f>
        <v/>
      </c>
    </row>
    <row r="728" spans="9:9" x14ac:dyDescent="0.25">
      <c r="I728" s="227" t="str">
        <f>MID(excPisCofins[[#This Row],[CodBarras2]],2,50)</f>
        <v/>
      </c>
    </row>
    <row r="729" spans="9:9" x14ac:dyDescent="0.25">
      <c r="I729" s="227" t="str">
        <f>MID(excPisCofins[[#This Row],[CodBarras2]],2,50)</f>
        <v/>
      </c>
    </row>
    <row r="730" spans="9:9" x14ac:dyDescent="0.25">
      <c r="I730" s="227" t="str">
        <f>MID(excPisCofins[[#This Row],[CodBarras2]],2,50)</f>
        <v/>
      </c>
    </row>
    <row r="731" spans="9:9" x14ac:dyDescent="0.25">
      <c r="I731" s="227" t="str">
        <f>MID(excPisCofins[[#This Row],[CodBarras2]],2,50)</f>
        <v/>
      </c>
    </row>
    <row r="732" spans="9:9" x14ac:dyDescent="0.25">
      <c r="I732" s="227" t="str">
        <f>MID(excPisCofins[[#This Row],[CodBarras2]],2,50)</f>
        <v/>
      </c>
    </row>
    <row r="733" spans="9:9" x14ac:dyDescent="0.25">
      <c r="I733" s="227" t="str">
        <f>MID(excPisCofins[[#This Row],[CodBarras2]],2,50)</f>
        <v/>
      </c>
    </row>
    <row r="734" spans="9:9" x14ac:dyDescent="0.25">
      <c r="I734" s="227" t="str">
        <f>MID(excPisCofins[[#This Row],[CodBarras2]],2,50)</f>
        <v/>
      </c>
    </row>
    <row r="735" spans="9:9" x14ac:dyDescent="0.25">
      <c r="I735" s="227" t="str">
        <f>MID(excPisCofins[[#This Row],[CodBarras2]],2,50)</f>
        <v/>
      </c>
    </row>
    <row r="736" spans="9:9" x14ac:dyDescent="0.25">
      <c r="I736" s="227" t="str">
        <f>MID(excPisCofins[[#This Row],[CodBarras2]],2,50)</f>
        <v/>
      </c>
    </row>
    <row r="737" spans="9:9" x14ac:dyDescent="0.25">
      <c r="I737" s="227" t="str">
        <f>MID(excPisCofins[[#This Row],[CodBarras2]],2,50)</f>
        <v/>
      </c>
    </row>
    <row r="738" spans="9:9" x14ac:dyDescent="0.25">
      <c r="I738" s="227" t="str">
        <f>MID(excPisCofins[[#This Row],[CodBarras2]],2,50)</f>
        <v/>
      </c>
    </row>
    <row r="739" spans="9:9" x14ac:dyDescent="0.25">
      <c r="I739" s="227" t="str">
        <f>MID(excPisCofins[[#This Row],[CodBarras2]],2,50)</f>
        <v/>
      </c>
    </row>
    <row r="740" spans="9:9" x14ac:dyDescent="0.25">
      <c r="I740" s="227" t="str">
        <f>MID(excPisCofins[[#This Row],[CodBarras2]],2,50)</f>
        <v/>
      </c>
    </row>
    <row r="741" spans="9:9" x14ac:dyDescent="0.25">
      <c r="I741" s="227" t="str">
        <f>MID(excPisCofins[[#This Row],[CodBarras2]],2,50)</f>
        <v/>
      </c>
    </row>
    <row r="742" spans="9:9" x14ac:dyDescent="0.25">
      <c r="I742" s="227" t="str">
        <f>MID(excPisCofins[[#This Row],[CodBarras2]],2,50)</f>
        <v/>
      </c>
    </row>
    <row r="743" spans="9:9" x14ac:dyDescent="0.25">
      <c r="I743" s="227" t="str">
        <f>MID(excPisCofins[[#This Row],[CodBarras2]],2,50)</f>
        <v/>
      </c>
    </row>
    <row r="744" spans="9:9" x14ac:dyDescent="0.25">
      <c r="I744" s="227" t="str">
        <f>MID(excPisCofins[[#This Row],[CodBarras2]],2,50)</f>
        <v/>
      </c>
    </row>
    <row r="745" spans="9:9" x14ac:dyDescent="0.25">
      <c r="I745" s="227" t="str">
        <f>MID(excPisCofins[[#This Row],[CodBarras2]],2,50)</f>
        <v/>
      </c>
    </row>
    <row r="746" spans="9:9" x14ac:dyDescent="0.25">
      <c r="I746" s="227" t="str">
        <f>MID(excPisCofins[[#This Row],[CodBarras2]],2,50)</f>
        <v/>
      </c>
    </row>
    <row r="747" spans="9:9" x14ac:dyDescent="0.25">
      <c r="I747" s="227" t="str">
        <f>MID(excPisCofins[[#This Row],[CodBarras2]],2,50)</f>
        <v/>
      </c>
    </row>
    <row r="748" spans="9:9" x14ac:dyDescent="0.25">
      <c r="I748" s="227" t="str">
        <f>MID(excPisCofins[[#This Row],[CodBarras2]],2,50)</f>
        <v/>
      </c>
    </row>
    <row r="749" spans="9:9" x14ac:dyDescent="0.25">
      <c r="I749" s="227" t="str">
        <f>MID(excPisCofins[[#This Row],[CodBarras2]],2,50)</f>
        <v/>
      </c>
    </row>
    <row r="750" spans="9:9" x14ac:dyDescent="0.25">
      <c r="I750" s="227" t="str">
        <f>MID(excPisCofins[[#This Row],[CodBarras2]],2,50)</f>
        <v/>
      </c>
    </row>
    <row r="751" spans="9:9" x14ac:dyDescent="0.25">
      <c r="I751" s="227" t="str">
        <f>MID(excPisCofins[[#This Row],[CodBarras2]],2,50)</f>
        <v/>
      </c>
    </row>
    <row r="752" spans="9:9" x14ac:dyDescent="0.25">
      <c r="I752" s="227" t="str">
        <f>MID(excPisCofins[[#This Row],[CodBarras2]],2,50)</f>
        <v/>
      </c>
    </row>
    <row r="753" spans="9:9" x14ac:dyDescent="0.25">
      <c r="I753" s="227" t="str">
        <f>MID(excPisCofins[[#This Row],[CodBarras2]],2,50)</f>
        <v/>
      </c>
    </row>
    <row r="754" spans="9:9" x14ac:dyDescent="0.25">
      <c r="I754" s="227" t="str">
        <f>MID(excPisCofins[[#This Row],[CodBarras2]],2,50)</f>
        <v/>
      </c>
    </row>
    <row r="755" spans="9:9" x14ac:dyDescent="0.25">
      <c r="I755" s="227" t="str">
        <f>MID(excPisCofins[[#This Row],[CodBarras2]],2,50)</f>
        <v/>
      </c>
    </row>
    <row r="756" spans="9:9" x14ac:dyDescent="0.25">
      <c r="I756" s="227" t="str">
        <f>MID(excPisCofins[[#This Row],[CodBarras2]],2,50)</f>
        <v/>
      </c>
    </row>
    <row r="757" spans="9:9" x14ac:dyDescent="0.25">
      <c r="I757" s="227" t="str">
        <f>MID(excPisCofins[[#This Row],[CodBarras2]],2,50)</f>
        <v/>
      </c>
    </row>
    <row r="758" spans="9:9" x14ac:dyDescent="0.25">
      <c r="I758" s="227" t="str">
        <f>MID(excPisCofins[[#This Row],[CodBarras2]],2,50)</f>
        <v/>
      </c>
    </row>
    <row r="759" spans="9:9" x14ac:dyDescent="0.25">
      <c r="I759" s="227" t="str">
        <f>MID(excPisCofins[[#This Row],[CodBarras2]],2,50)</f>
        <v/>
      </c>
    </row>
    <row r="760" spans="9:9" x14ac:dyDescent="0.25">
      <c r="I760" s="227" t="str">
        <f>MID(excPisCofins[[#This Row],[CodBarras2]],2,50)</f>
        <v/>
      </c>
    </row>
    <row r="761" spans="9:9" x14ac:dyDescent="0.25">
      <c r="I761" s="227" t="str">
        <f>MID(excPisCofins[[#This Row],[CodBarras2]],2,50)</f>
        <v/>
      </c>
    </row>
    <row r="762" spans="9:9" x14ac:dyDescent="0.25">
      <c r="I762" s="227" t="str">
        <f>MID(excPisCofins[[#This Row],[CodBarras2]],2,50)</f>
        <v/>
      </c>
    </row>
    <row r="763" spans="9:9" x14ac:dyDescent="0.25">
      <c r="I763" s="227" t="str">
        <f>MID(excPisCofins[[#This Row],[CodBarras2]],2,50)</f>
        <v/>
      </c>
    </row>
    <row r="764" spans="9:9" x14ac:dyDescent="0.25">
      <c r="I764" s="227" t="str">
        <f>MID(excPisCofins[[#This Row],[CodBarras2]],2,50)</f>
        <v/>
      </c>
    </row>
    <row r="765" spans="9:9" x14ac:dyDescent="0.25">
      <c r="I765" s="227" t="str">
        <f>MID(excPisCofins[[#This Row],[CodBarras2]],2,50)</f>
        <v/>
      </c>
    </row>
    <row r="766" spans="9:9" x14ac:dyDescent="0.25">
      <c r="I766" s="227" t="str">
        <f>MID(excPisCofins[[#This Row],[CodBarras2]],2,50)</f>
        <v/>
      </c>
    </row>
    <row r="767" spans="9:9" x14ac:dyDescent="0.25">
      <c r="I767" s="227" t="str">
        <f>MID(excPisCofins[[#This Row],[CodBarras2]],2,50)</f>
        <v/>
      </c>
    </row>
    <row r="768" spans="9:9" x14ac:dyDescent="0.25">
      <c r="I768" s="227" t="str">
        <f>MID(excPisCofins[[#This Row],[CodBarras2]],2,50)</f>
        <v/>
      </c>
    </row>
    <row r="769" spans="9:9" x14ac:dyDescent="0.25">
      <c r="I769" s="227" t="str">
        <f>MID(excPisCofins[[#This Row],[CodBarras2]],2,50)</f>
        <v/>
      </c>
    </row>
    <row r="770" spans="9:9" x14ac:dyDescent="0.25">
      <c r="I770" s="227" t="str">
        <f>MID(excPisCofins[[#This Row],[CodBarras2]],2,50)</f>
        <v/>
      </c>
    </row>
    <row r="771" spans="9:9" x14ac:dyDescent="0.25">
      <c r="I771" s="227" t="str">
        <f>MID(excPisCofins[[#This Row],[CodBarras2]],2,50)</f>
        <v/>
      </c>
    </row>
    <row r="772" spans="9:9" x14ac:dyDescent="0.25">
      <c r="I772" s="227" t="str">
        <f>MID(excPisCofins[[#This Row],[CodBarras2]],2,50)</f>
        <v/>
      </c>
    </row>
    <row r="773" spans="9:9" x14ac:dyDescent="0.25">
      <c r="I773" s="227" t="str">
        <f>MID(excPisCofins[[#This Row],[CodBarras2]],2,50)</f>
        <v/>
      </c>
    </row>
    <row r="774" spans="9:9" x14ac:dyDescent="0.25">
      <c r="I774" s="227" t="str">
        <f>MID(excPisCofins[[#This Row],[CodBarras2]],2,50)</f>
        <v/>
      </c>
    </row>
    <row r="775" spans="9:9" x14ac:dyDescent="0.25">
      <c r="I775" s="227" t="str">
        <f>MID(excPisCofins[[#This Row],[CodBarras2]],2,50)</f>
        <v/>
      </c>
    </row>
    <row r="776" spans="9:9" x14ac:dyDescent="0.25">
      <c r="I776" s="227" t="str">
        <f>MID(excPisCofins[[#This Row],[CodBarras2]],2,50)</f>
        <v/>
      </c>
    </row>
    <row r="777" spans="9:9" x14ac:dyDescent="0.25">
      <c r="I777" s="227" t="str">
        <f>MID(excPisCofins[[#This Row],[CodBarras2]],2,50)</f>
        <v/>
      </c>
    </row>
    <row r="778" spans="9:9" x14ac:dyDescent="0.25">
      <c r="I778" s="227" t="str">
        <f>MID(excPisCofins[[#This Row],[CodBarras2]],2,50)</f>
        <v/>
      </c>
    </row>
    <row r="779" spans="9:9" x14ac:dyDescent="0.25">
      <c r="I779" s="227" t="str">
        <f>MID(excPisCofins[[#This Row],[CodBarras2]],2,50)</f>
        <v/>
      </c>
    </row>
    <row r="780" spans="9:9" x14ac:dyDescent="0.25">
      <c r="I780" s="227" t="str">
        <f>MID(excPisCofins[[#This Row],[CodBarras2]],2,50)</f>
        <v/>
      </c>
    </row>
    <row r="781" spans="9:9" x14ac:dyDescent="0.25">
      <c r="I781" s="227" t="str">
        <f>MID(excPisCofins[[#This Row],[CodBarras2]],2,50)</f>
        <v/>
      </c>
    </row>
    <row r="782" spans="9:9" x14ac:dyDescent="0.25">
      <c r="I782" s="227" t="str">
        <f>MID(excPisCofins[[#This Row],[CodBarras2]],2,50)</f>
        <v/>
      </c>
    </row>
    <row r="783" spans="9:9" x14ac:dyDescent="0.25">
      <c r="I783" s="227" t="str">
        <f>MID(excPisCofins[[#This Row],[CodBarras2]],2,50)</f>
        <v/>
      </c>
    </row>
    <row r="784" spans="9:9" x14ac:dyDescent="0.25">
      <c r="I784" s="227" t="str">
        <f>MID(excPisCofins[[#This Row],[CodBarras2]],2,50)</f>
        <v/>
      </c>
    </row>
    <row r="785" spans="9:9" x14ac:dyDescent="0.25">
      <c r="I785" s="227" t="str">
        <f>MID(excPisCofins[[#This Row],[CodBarras2]],2,50)</f>
        <v/>
      </c>
    </row>
    <row r="786" spans="9:9" x14ac:dyDescent="0.25">
      <c r="I786" s="227" t="str">
        <f>MID(excPisCofins[[#This Row],[CodBarras2]],2,50)</f>
        <v/>
      </c>
    </row>
    <row r="787" spans="9:9" x14ac:dyDescent="0.25">
      <c r="I787" s="227" t="str">
        <f>MID(excPisCofins[[#This Row],[CodBarras2]],2,50)</f>
        <v/>
      </c>
    </row>
    <row r="788" spans="9:9" x14ac:dyDescent="0.25">
      <c r="I788" s="227" t="str">
        <f>MID(excPisCofins[[#This Row],[CodBarras2]],2,50)</f>
        <v/>
      </c>
    </row>
    <row r="789" spans="9:9" x14ac:dyDescent="0.25">
      <c r="I789" s="227" t="str">
        <f>MID(excPisCofins[[#This Row],[CodBarras2]],2,50)</f>
        <v/>
      </c>
    </row>
    <row r="790" spans="9:9" x14ac:dyDescent="0.25">
      <c r="I790" s="227" t="str">
        <f>MID(excPisCofins[[#This Row],[CodBarras2]],2,50)</f>
        <v/>
      </c>
    </row>
    <row r="791" spans="9:9" x14ac:dyDescent="0.25">
      <c r="I791" s="227" t="str">
        <f>MID(excPisCofins[[#This Row],[CodBarras2]],2,50)</f>
        <v/>
      </c>
    </row>
    <row r="792" spans="9:9" x14ac:dyDescent="0.25">
      <c r="I792" s="227" t="str">
        <f>MID(excPisCofins[[#This Row],[CodBarras2]],2,50)</f>
        <v/>
      </c>
    </row>
    <row r="793" spans="9:9" x14ac:dyDescent="0.25">
      <c r="I793" s="227" t="str">
        <f>MID(excPisCofins[[#This Row],[CodBarras2]],2,50)</f>
        <v/>
      </c>
    </row>
    <row r="794" spans="9:9" x14ac:dyDescent="0.25">
      <c r="I794" s="227" t="str">
        <f>MID(excPisCofins[[#This Row],[CodBarras2]],2,50)</f>
        <v/>
      </c>
    </row>
    <row r="795" spans="9:9" x14ac:dyDescent="0.25">
      <c r="I795" s="227" t="str">
        <f>MID(excPisCofins[[#This Row],[CodBarras2]],2,50)</f>
        <v/>
      </c>
    </row>
    <row r="796" spans="9:9" x14ac:dyDescent="0.25">
      <c r="I796" s="227" t="str">
        <f>MID(excPisCofins[[#This Row],[CodBarras2]],2,50)</f>
        <v/>
      </c>
    </row>
    <row r="797" spans="9:9" x14ac:dyDescent="0.25">
      <c r="I797" s="227" t="str">
        <f>MID(excPisCofins[[#This Row],[CodBarras2]],2,50)</f>
        <v/>
      </c>
    </row>
    <row r="798" spans="9:9" x14ac:dyDescent="0.25">
      <c r="I798" s="227" t="str">
        <f>MID(excPisCofins[[#This Row],[CodBarras2]],2,50)</f>
        <v/>
      </c>
    </row>
    <row r="799" spans="9:9" x14ac:dyDescent="0.25">
      <c r="I799" s="227" t="str">
        <f>MID(excPisCofins[[#This Row],[CodBarras2]],2,50)</f>
        <v/>
      </c>
    </row>
    <row r="800" spans="9:9" x14ac:dyDescent="0.25">
      <c r="I800" s="227" t="str">
        <f>MID(excPisCofins[[#This Row],[CodBarras2]],2,50)</f>
        <v/>
      </c>
    </row>
    <row r="801" spans="9:9" x14ac:dyDescent="0.25">
      <c r="I801" s="227" t="str">
        <f>MID(excPisCofins[[#This Row],[CodBarras2]],2,50)</f>
        <v/>
      </c>
    </row>
    <row r="802" spans="9:9" x14ac:dyDescent="0.25">
      <c r="I802" s="227" t="str">
        <f>MID(excPisCofins[[#This Row],[CodBarras2]],2,50)</f>
        <v/>
      </c>
    </row>
    <row r="803" spans="9:9" x14ac:dyDescent="0.25">
      <c r="I803" s="227" t="str">
        <f>MID(excPisCofins[[#This Row],[CodBarras2]],2,50)</f>
        <v/>
      </c>
    </row>
    <row r="804" spans="9:9" x14ac:dyDescent="0.25">
      <c r="I804" s="227" t="str">
        <f>MID(excPisCofins[[#This Row],[CodBarras2]],2,50)</f>
        <v/>
      </c>
    </row>
    <row r="805" spans="9:9" x14ac:dyDescent="0.25">
      <c r="I805" s="227" t="str">
        <f>MID(excPisCofins[[#This Row],[CodBarras2]],2,50)</f>
        <v/>
      </c>
    </row>
    <row r="806" spans="9:9" x14ac:dyDescent="0.25">
      <c r="I806" s="227" t="str">
        <f>MID(excPisCofins[[#This Row],[CodBarras2]],2,50)</f>
        <v/>
      </c>
    </row>
    <row r="807" spans="9:9" x14ac:dyDescent="0.25">
      <c r="I807" s="227" t="str">
        <f>MID(excPisCofins[[#This Row],[CodBarras2]],2,50)</f>
        <v/>
      </c>
    </row>
    <row r="808" spans="9:9" x14ac:dyDescent="0.25">
      <c r="I808" s="227" t="str">
        <f>MID(excPisCofins[[#This Row],[CodBarras2]],2,50)</f>
        <v/>
      </c>
    </row>
    <row r="809" spans="9:9" x14ac:dyDescent="0.25">
      <c r="I809" s="227" t="str">
        <f>MID(excPisCofins[[#This Row],[CodBarras2]],2,50)</f>
        <v/>
      </c>
    </row>
    <row r="810" spans="9:9" x14ac:dyDescent="0.25">
      <c r="I810" s="227" t="str">
        <f>MID(excPisCofins[[#This Row],[CodBarras2]],2,50)</f>
        <v/>
      </c>
    </row>
    <row r="811" spans="9:9" x14ac:dyDescent="0.25">
      <c r="I811" s="227" t="str">
        <f>MID(excPisCofins[[#This Row],[CodBarras2]],2,50)</f>
        <v/>
      </c>
    </row>
    <row r="812" spans="9:9" x14ac:dyDescent="0.25">
      <c r="I812" s="227" t="str">
        <f>MID(excPisCofins[[#This Row],[CodBarras2]],2,50)</f>
        <v/>
      </c>
    </row>
    <row r="813" spans="9:9" x14ac:dyDescent="0.25">
      <c r="I813" s="227" t="str">
        <f>MID(excPisCofins[[#This Row],[CodBarras2]],2,50)</f>
        <v/>
      </c>
    </row>
    <row r="814" spans="9:9" x14ac:dyDescent="0.25">
      <c r="I814" s="227" t="str">
        <f>MID(excPisCofins[[#This Row],[CodBarras2]],2,50)</f>
        <v/>
      </c>
    </row>
    <row r="815" spans="9:9" x14ac:dyDescent="0.25">
      <c r="I815" s="227" t="str">
        <f>MID(excPisCofins[[#This Row],[CodBarras2]],2,50)</f>
        <v/>
      </c>
    </row>
    <row r="816" spans="9:9" x14ac:dyDescent="0.25">
      <c r="I816" s="227" t="str">
        <f>MID(excPisCofins[[#This Row],[CodBarras2]],2,50)</f>
        <v/>
      </c>
    </row>
    <row r="817" spans="9:9" x14ac:dyDescent="0.25">
      <c r="I817" s="227" t="str">
        <f>MID(excPisCofins[[#This Row],[CodBarras2]],2,50)</f>
        <v/>
      </c>
    </row>
    <row r="818" spans="9:9" x14ac:dyDescent="0.25">
      <c r="I818" s="227" t="str">
        <f>MID(excPisCofins[[#This Row],[CodBarras2]],2,50)</f>
        <v/>
      </c>
    </row>
    <row r="819" spans="9:9" x14ac:dyDescent="0.25">
      <c r="I819" s="227" t="str">
        <f>MID(excPisCofins[[#This Row],[CodBarras2]],2,50)</f>
        <v/>
      </c>
    </row>
    <row r="820" spans="9:9" x14ac:dyDescent="0.25">
      <c r="I820" s="227" t="str">
        <f>MID(excPisCofins[[#This Row],[CodBarras2]],2,50)</f>
        <v/>
      </c>
    </row>
    <row r="821" spans="9:9" x14ac:dyDescent="0.25">
      <c r="I821" s="227" t="str">
        <f>MID(excPisCofins[[#This Row],[CodBarras2]],2,50)</f>
        <v/>
      </c>
    </row>
    <row r="822" spans="9:9" x14ac:dyDescent="0.25">
      <c r="I822" s="227" t="str">
        <f>MID(excPisCofins[[#This Row],[CodBarras2]],2,50)</f>
        <v/>
      </c>
    </row>
    <row r="823" spans="9:9" x14ac:dyDescent="0.25">
      <c r="I823" s="227" t="str">
        <f>MID(excPisCofins[[#This Row],[CodBarras2]],2,50)</f>
        <v/>
      </c>
    </row>
    <row r="824" spans="9:9" x14ac:dyDescent="0.25">
      <c r="I824" s="227" t="str">
        <f>MID(excPisCofins[[#This Row],[CodBarras2]],2,50)</f>
        <v/>
      </c>
    </row>
    <row r="825" spans="9:9" x14ac:dyDescent="0.25">
      <c r="I825" s="227" t="str">
        <f>MID(excPisCofins[[#This Row],[CodBarras2]],2,50)</f>
        <v/>
      </c>
    </row>
    <row r="826" spans="9:9" x14ac:dyDescent="0.25">
      <c r="I826" s="227" t="str">
        <f>MID(excPisCofins[[#This Row],[CodBarras2]],2,50)</f>
        <v/>
      </c>
    </row>
    <row r="827" spans="9:9" x14ac:dyDescent="0.25">
      <c r="I827" s="227" t="str">
        <f>MID(excPisCofins[[#This Row],[CodBarras2]],2,50)</f>
        <v/>
      </c>
    </row>
    <row r="828" spans="9:9" x14ac:dyDescent="0.25">
      <c r="I828" s="227" t="str">
        <f>MID(excPisCofins[[#This Row],[CodBarras2]],2,50)</f>
        <v/>
      </c>
    </row>
    <row r="829" spans="9:9" x14ac:dyDescent="0.25">
      <c r="I829" s="227" t="str">
        <f>MID(excPisCofins[[#This Row],[CodBarras2]],2,50)</f>
        <v/>
      </c>
    </row>
    <row r="830" spans="9:9" x14ac:dyDescent="0.25">
      <c r="I830" s="227" t="str">
        <f>MID(excPisCofins[[#This Row],[CodBarras2]],2,50)</f>
        <v/>
      </c>
    </row>
    <row r="831" spans="9:9" x14ac:dyDescent="0.25">
      <c r="I831" s="227" t="str">
        <f>MID(excPisCofins[[#This Row],[CodBarras2]],2,50)</f>
        <v/>
      </c>
    </row>
    <row r="832" spans="9:9" x14ac:dyDescent="0.25">
      <c r="I832" s="227" t="str">
        <f>MID(excPisCofins[[#This Row],[CodBarras2]],2,50)</f>
        <v/>
      </c>
    </row>
    <row r="833" spans="9:9" x14ac:dyDescent="0.25">
      <c r="I833" s="227" t="str">
        <f>MID(excPisCofins[[#This Row],[CodBarras2]],2,50)</f>
        <v/>
      </c>
    </row>
    <row r="834" spans="9:9" x14ac:dyDescent="0.25">
      <c r="I834" s="227" t="str">
        <f>MID(excPisCofins[[#This Row],[CodBarras2]],2,50)</f>
        <v/>
      </c>
    </row>
    <row r="835" spans="9:9" x14ac:dyDescent="0.25">
      <c r="I835" s="227" t="str">
        <f>MID(excPisCofins[[#This Row],[CodBarras2]],2,50)</f>
        <v/>
      </c>
    </row>
    <row r="836" spans="9:9" x14ac:dyDescent="0.25">
      <c r="I836" s="227" t="str">
        <f>MID(excPisCofins[[#This Row],[CodBarras2]],2,50)</f>
        <v/>
      </c>
    </row>
    <row r="837" spans="9:9" x14ac:dyDescent="0.25">
      <c r="I837" s="227" t="str">
        <f>MID(excPisCofins[[#This Row],[CodBarras2]],2,50)</f>
        <v/>
      </c>
    </row>
    <row r="838" spans="9:9" x14ac:dyDescent="0.25">
      <c r="I838" s="227" t="str">
        <f>MID(excPisCofins[[#This Row],[CodBarras2]],2,50)</f>
        <v/>
      </c>
    </row>
    <row r="839" spans="9:9" x14ac:dyDescent="0.25">
      <c r="I839" s="227" t="str">
        <f>MID(excPisCofins[[#This Row],[CodBarras2]],2,50)</f>
        <v/>
      </c>
    </row>
    <row r="840" spans="9:9" x14ac:dyDescent="0.25">
      <c r="I840" s="227" t="str">
        <f>MID(excPisCofins[[#This Row],[CodBarras2]],2,50)</f>
        <v/>
      </c>
    </row>
    <row r="841" spans="9:9" x14ac:dyDescent="0.25">
      <c r="I841" s="227" t="str">
        <f>MID(excPisCofins[[#This Row],[CodBarras2]],2,50)</f>
        <v/>
      </c>
    </row>
    <row r="842" spans="9:9" x14ac:dyDescent="0.25">
      <c r="I842" s="227" t="str">
        <f>MID(excPisCofins[[#This Row],[CodBarras2]],2,50)</f>
        <v/>
      </c>
    </row>
    <row r="843" spans="9:9" x14ac:dyDescent="0.25">
      <c r="I843" s="227" t="str">
        <f>MID(excPisCofins[[#This Row],[CodBarras2]],2,50)</f>
        <v/>
      </c>
    </row>
    <row r="844" spans="9:9" x14ac:dyDescent="0.25">
      <c r="I844" s="227" t="str">
        <f>MID(excPisCofins[[#This Row],[CodBarras2]],2,50)</f>
        <v/>
      </c>
    </row>
    <row r="845" spans="9:9" x14ac:dyDescent="0.25">
      <c r="I845" s="227" t="str">
        <f>MID(excPisCofins[[#This Row],[CodBarras2]],2,50)</f>
        <v/>
      </c>
    </row>
    <row r="846" spans="9:9" x14ac:dyDescent="0.25">
      <c r="I846" s="227" t="str">
        <f>MID(excPisCofins[[#This Row],[CodBarras2]],2,50)</f>
        <v/>
      </c>
    </row>
    <row r="847" spans="9:9" x14ac:dyDescent="0.25">
      <c r="I847" s="227" t="str">
        <f>MID(excPisCofins[[#This Row],[CodBarras2]],2,50)</f>
        <v/>
      </c>
    </row>
    <row r="848" spans="9:9" x14ac:dyDescent="0.25">
      <c r="I848" s="227" t="str">
        <f>MID(excPisCofins[[#This Row],[CodBarras2]],2,50)</f>
        <v/>
      </c>
    </row>
    <row r="849" spans="9:9" x14ac:dyDescent="0.25">
      <c r="I849" s="227" t="str">
        <f>MID(excPisCofins[[#This Row],[CodBarras2]],2,50)</f>
        <v/>
      </c>
    </row>
    <row r="850" spans="9:9" x14ac:dyDescent="0.25">
      <c r="I850" s="227" t="str">
        <f>MID(excPisCofins[[#This Row],[CodBarras2]],2,50)</f>
        <v/>
      </c>
    </row>
    <row r="851" spans="9:9" x14ac:dyDescent="0.25">
      <c r="I851" s="227" t="str">
        <f>MID(excPisCofins[[#This Row],[CodBarras2]],2,50)</f>
        <v/>
      </c>
    </row>
    <row r="852" spans="9:9" x14ac:dyDescent="0.25">
      <c r="I852" s="227" t="str">
        <f>MID(excPisCofins[[#This Row],[CodBarras2]],2,50)</f>
        <v/>
      </c>
    </row>
    <row r="853" spans="9:9" x14ac:dyDescent="0.25">
      <c r="I853" s="227" t="str">
        <f>MID(excPisCofins[[#This Row],[CodBarras2]],2,50)</f>
        <v/>
      </c>
    </row>
    <row r="854" spans="9:9" x14ac:dyDescent="0.25">
      <c r="I854" s="227" t="str">
        <f>MID(excPisCofins[[#This Row],[CodBarras2]],2,50)</f>
        <v/>
      </c>
    </row>
    <row r="855" spans="9:9" x14ac:dyDescent="0.25">
      <c r="I855" s="227" t="str">
        <f>MID(excPisCofins[[#This Row],[CodBarras2]],2,50)</f>
        <v/>
      </c>
    </row>
    <row r="856" spans="9:9" x14ac:dyDescent="0.25">
      <c r="I856" s="227" t="str">
        <f>MID(excPisCofins[[#This Row],[CodBarras2]],2,50)</f>
        <v/>
      </c>
    </row>
    <row r="857" spans="9:9" x14ac:dyDescent="0.25">
      <c r="I857" s="227" t="str">
        <f>MID(excPisCofins[[#This Row],[CodBarras2]],2,50)</f>
        <v/>
      </c>
    </row>
    <row r="858" spans="9:9" x14ac:dyDescent="0.25">
      <c r="I858" s="227" t="str">
        <f>MID(excPisCofins[[#This Row],[CodBarras2]],2,50)</f>
        <v/>
      </c>
    </row>
    <row r="859" spans="9:9" x14ac:dyDescent="0.25">
      <c r="I859" s="227" t="str">
        <f>MID(excPisCofins[[#This Row],[CodBarras2]],2,50)</f>
        <v/>
      </c>
    </row>
    <row r="860" spans="9:9" x14ac:dyDescent="0.25">
      <c r="I860" s="227" t="str">
        <f>MID(excPisCofins[[#This Row],[CodBarras2]],2,50)</f>
        <v/>
      </c>
    </row>
    <row r="861" spans="9:9" x14ac:dyDescent="0.25">
      <c r="I861" s="227" t="str">
        <f>MID(excPisCofins[[#This Row],[CodBarras2]],2,50)</f>
        <v/>
      </c>
    </row>
    <row r="862" spans="9:9" x14ac:dyDescent="0.25">
      <c r="I862" s="227" t="str">
        <f>MID(excPisCofins[[#This Row],[CodBarras2]],2,50)</f>
        <v/>
      </c>
    </row>
    <row r="863" spans="9:9" x14ac:dyDescent="0.25">
      <c r="I863" s="227" t="str">
        <f>MID(excPisCofins[[#This Row],[CodBarras2]],2,50)</f>
        <v/>
      </c>
    </row>
    <row r="864" spans="9:9" x14ac:dyDescent="0.25">
      <c r="I864" s="227" t="str">
        <f>MID(excPisCofins[[#This Row],[CodBarras2]],2,50)</f>
        <v/>
      </c>
    </row>
    <row r="865" spans="9:9" x14ac:dyDescent="0.25">
      <c r="I865" s="227" t="str">
        <f>MID(excPisCofins[[#This Row],[CodBarras2]],2,50)</f>
        <v/>
      </c>
    </row>
    <row r="866" spans="9:9" x14ac:dyDescent="0.25">
      <c r="I866" s="227" t="str">
        <f>MID(excPisCofins[[#This Row],[CodBarras2]],2,50)</f>
        <v/>
      </c>
    </row>
    <row r="867" spans="9:9" x14ac:dyDescent="0.25">
      <c r="I867" s="227" t="str">
        <f>MID(excPisCofins[[#This Row],[CodBarras2]],2,50)</f>
        <v/>
      </c>
    </row>
    <row r="868" spans="9:9" x14ac:dyDescent="0.25">
      <c r="I868" s="227" t="str">
        <f>MID(excPisCofins[[#This Row],[CodBarras2]],2,50)</f>
        <v/>
      </c>
    </row>
    <row r="869" spans="9:9" x14ac:dyDescent="0.25">
      <c r="I869" s="227" t="str">
        <f>MID(excPisCofins[[#This Row],[CodBarras2]],2,50)</f>
        <v/>
      </c>
    </row>
    <row r="870" spans="9:9" x14ac:dyDescent="0.25">
      <c r="I870" s="227" t="str">
        <f>MID(excPisCofins[[#This Row],[CodBarras2]],2,50)</f>
        <v/>
      </c>
    </row>
    <row r="871" spans="9:9" x14ac:dyDescent="0.25">
      <c r="I871" s="227" t="str">
        <f>MID(excPisCofins[[#This Row],[CodBarras2]],2,50)</f>
        <v/>
      </c>
    </row>
    <row r="872" spans="9:9" x14ac:dyDescent="0.25">
      <c r="I872" s="227" t="str">
        <f>MID(excPisCofins[[#This Row],[CodBarras2]],2,50)</f>
        <v/>
      </c>
    </row>
    <row r="873" spans="9:9" x14ac:dyDescent="0.25">
      <c r="I873" s="227" t="str">
        <f>MID(excPisCofins[[#This Row],[CodBarras2]],2,50)</f>
        <v/>
      </c>
    </row>
    <row r="874" spans="9:9" x14ac:dyDescent="0.25">
      <c r="I874" s="227" t="str">
        <f>MID(excPisCofins[[#This Row],[CodBarras2]],2,50)</f>
        <v/>
      </c>
    </row>
    <row r="875" spans="9:9" x14ac:dyDescent="0.25">
      <c r="I875" s="227" t="str">
        <f>MID(excPisCofins[[#This Row],[CodBarras2]],2,50)</f>
        <v/>
      </c>
    </row>
    <row r="876" spans="9:9" x14ac:dyDescent="0.25">
      <c r="I876" s="227" t="str">
        <f>MID(excPisCofins[[#This Row],[CodBarras2]],2,50)</f>
        <v/>
      </c>
    </row>
    <row r="877" spans="9:9" x14ac:dyDescent="0.25">
      <c r="I877" s="227" t="str">
        <f>MID(excPisCofins[[#This Row],[CodBarras2]],2,50)</f>
        <v/>
      </c>
    </row>
    <row r="878" spans="9:9" x14ac:dyDescent="0.25">
      <c r="I878" s="227" t="str">
        <f>MID(excPisCofins[[#This Row],[CodBarras2]],2,50)</f>
        <v/>
      </c>
    </row>
    <row r="879" spans="9:9" x14ac:dyDescent="0.25">
      <c r="I879" s="227" t="str">
        <f>MID(excPisCofins[[#This Row],[CodBarras2]],2,50)</f>
        <v/>
      </c>
    </row>
    <row r="880" spans="9:9" x14ac:dyDescent="0.25">
      <c r="I880" s="227" t="str">
        <f>MID(excPisCofins[[#This Row],[CodBarras2]],2,50)</f>
        <v/>
      </c>
    </row>
    <row r="881" spans="9:9" x14ac:dyDescent="0.25">
      <c r="I881" s="227" t="str">
        <f>MID(excPisCofins[[#This Row],[CodBarras2]],2,50)</f>
        <v/>
      </c>
    </row>
    <row r="882" spans="9:9" x14ac:dyDescent="0.25">
      <c r="I882" s="227" t="str">
        <f>MID(excPisCofins[[#This Row],[CodBarras2]],2,50)</f>
        <v/>
      </c>
    </row>
    <row r="883" spans="9:9" x14ac:dyDescent="0.25">
      <c r="I883" s="227" t="str">
        <f>MID(excPisCofins[[#This Row],[CodBarras2]],2,50)</f>
        <v/>
      </c>
    </row>
    <row r="884" spans="9:9" x14ac:dyDescent="0.25">
      <c r="I884" s="227" t="str">
        <f>MID(excPisCofins[[#This Row],[CodBarras2]],2,50)</f>
        <v/>
      </c>
    </row>
    <row r="885" spans="9:9" x14ac:dyDescent="0.25">
      <c r="I885" s="227" t="str">
        <f>MID(excPisCofins[[#This Row],[CodBarras2]],2,50)</f>
        <v/>
      </c>
    </row>
    <row r="886" spans="9:9" x14ac:dyDescent="0.25">
      <c r="I886" s="227" t="str">
        <f>MID(excPisCofins[[#This Row],[CodBarras2]],2,50)</f>
        <v/>
      </c>
    </row>
    <row r="887" spans="9:9" x14ac:dyDescent="0.25">
      <c r="I887" s="227" t="str">
        <f>MID(excPisCofins[[#This Row],[CodBarras2]],2,50)</f>
        <v/>
      </c>
    </row>
    <row r="888" spans="9:9" x14ac:dyDescent="0.25">
      <c r="I888" s="227" t="str">
        <f>MID(excPisCofins[[#This Row],[CodBarras2]],2,50)</f>
        <v/>
      </c>
    </row>
    <row r="889" spans="9:9" x14ac:dyDescent="0.25">
      <c r="I889" s="227" t="str">
        <f>MID(excPisCofins[[#This Row],[CodBarras2]],2,50)</f>
        <v/>
      </c>
    </row>
    <row r="890" spans="9:9" x14ac:dyDescent="0.25">
      <c r="I890" s="227" t="str">
        <f>MID(excPisCofins[[#This Row],[CodBarras2]],2,50)</f>
        <v/>
      </c>
    </row>
    <row r="891" spans="9:9" x14ac:dyDescent="0.25">
      <c r="I891" s="227" t="str">
        <f>MID(excPisCofins[[#This Row],[CodBarras2]],2,50)</f>
        <v/>
      </c>
    </row>
    <row r="892" spans="9:9" x14ac:dyDescent="0.25">
      <c r="I892" s="227" t="str">
        <f>MID(excPisCofins[[#This Row],[CodBarras2]],2,50)</f>
        <v/>
      </c>
    </row>
    <row r="893" spans="9:9" x14ac:dyDescent="0.25">
      <c r="I893" s="227" t="str">
        <f>MID(excPisCofins[[#This Row],[CodBarras2]],2,50)</f>
        <v/>
      </c>
    </row>
    <row r="894" spans="9:9" x14ac:dyDescent="0.25">
      <c r="I894" s="227" t="str">
        <f>MID(excPisCofins[[#This Row],[CodBarras2]],2,50)</f>
        <v/>
      </c>
    </row>
    <row r="895" spans="9:9" x14ac:dyDescent="0.25">
      <c r="I895" s="227" t="str">
        <f>MID(excPisCofins[[#This Row],[CodBarras2]],2,50)</f>
        <v/>
      </c>
    </row>
    <row r="896" spans="9:9" x14ac:dyDescent="0.25">
      <c r="I896" s="227" t="str">
        <f>MID(excPisCofins[[#This Row],[CodBarras2]],2,50)</f>
        <v/>
      </c>
    </row>
    <row r="897" spans="9:9" x14ac:dyDescent="0.25">
      <c r="I897" s="227" t="str">
        <f>MID(excPisCofins[[#This Row],[CodBarras2]],2,50)</f>
        <v/>
      </c>
    </row>
    <row r="898" spans="9:9" x14ac:dyDescent="0.25">
      <c r="I898" s="227" t="str">
        <f>MID(excPisCofins[[#This Row],[CodBarras2]],2,50)</f>
        <v/>
      </c>
    </row>
    <row r="899" spans="9:9" x14ac:dyDescent="0.25">
      <c r="I899" s="227" t="str">
        <f>MID(excPisCofins[[#This Row],[CodBarras2]],2,50)</f>
        <v/>
      </c>
    </row>
    <row r="900" spans="9:9" x14ac:dyDescent="0.25">
      <c r="I900" s="227" t="str">
        <f>MID(excPisCofins[[#This Row],[CodBarras2]],2,50)</f>
        <v/>
      </c>
    </row>
    <row r="901" spans="9:9" x14ac:dyDescent="0.25">
      <c r="I901" s="227" t="str">
        <f>MID(excPisCofins[[#This Row],[CodBarras2]],2,50)</f>
        <v/>
      </c>
    </row>
    <row r="902" spans="9:9" x14ac:dyDescent="0.25">
      <c r="I902" s="227" t="str">
        <f>MID(excPisCofins[[#This Row],[CodBarras2]],2,50)</f>
        <v/>
      </c>
    </row>
    <row r="903" spans="9:9" x14ac:dyDescent="0.25">
      <c r="I903" s="227" t="str">
        <f>MID(excPisCofins[[#This Row],[CodBarras2]],2,50)</f>
        <v/>
      </c>
    </row>
    <row r="904" spans="9:9" x14ac:dyDescent="0.25">
      <c r="I904" s="227" t="str">
        <f>MID(excPisCofins[[#This Row],[CodBarras2]],2,50)</f>
        <v/>
      </c>
    </row>
    <row r="905" spans="9:9" x14ac:dyDescent="0.25">
      <c r="I905" s="227" t="str">
        <f>MID(excPisCofins[[#This Row],[CodBarras2]],2,50)</f>
        <v/>
      </c>
    </row>
    <row r="906" spans="9:9" x14ac:dyDescent="0.25">
      <c r="I906" s="227" t="str">
        <f>MID(excPisCofins[[#This Row],[CodBarras2]],2,50)</f>
        <v/>
      </c>
    </row>
    <row r="907" spans="9:9" x14ac:dyDescent="0.25">
      <c r="I907" s="227" t="str">
        <f>MID(excPisCofins[[#This Row],[CodBarras2]],2,50)</f>
        <v/>
      </c>
    </row>
    <row r="908" spans="9:9" x14ac:dyDescent="0.25">
      <c r="I908" s="227" t="str">
        <f>MID(excPisCofins[[#This Row],[CodBarras2]],2,50)</f>
        <v/>
      </c>
    </row>
    <row r="909" spans="9:9" x14ac:dyDescent="0.25">
      <c r="I909" s="227" t="str">
        <f>MID(excPisCofins[[#This Row],[CodBarras2]],2,50)</f>
        <v/>
      </c>
    </row>
    <row r="910" spans="9:9" x14ac:dyDescent="0.25">
      <c r="I910" s="227" t="str">
        <f>MID(excPisCofins[[#This Row],[CodBarras2]],2,50)</f>
        <v/>
      </c>
    </row>
    <row r="911" spans="9:9" x14ac:dyDescent="0.25">
      <c r="I911" s="227" t="str">
        <f>MID(excPisCofins[[#This Row],[CodBarras2]],2,50)</f>
        <v/>
      </c>
    </row>
    <row r="912" spans="9:9" x14ac:dyDescent="0.25">
      <c r="I912" s="227" t="str">
        <f>MID(excPisCofins[[#This Row],[CodBarras2]],2,50)</f>
        <v/>
      </c>
    </row>
    <row r="913" spans="9:9" x14ac:dyDescent="0.25">
      <c r="I913" s="227" t="str">
        <f>MID(excPisCofins[[#This Row],[CodBarras2]],2,50)</f>
        <v/>
      </c>
    </row>
    <row r="914" spans="9:9" x14ac:dyDescent="0.25">
      <c r="I914" s="227" t="str">
        <f>MID(excPisCofins[[#This Row],[CodBarras2]],2,50)</f>
        <v/>
      </c>
    </row>
    <row r="915" spans="9:9" x14ac:dyDescent="0.25">
      <c r="I915" s="227" t="str">
        <f>MID(excPisCofins[[#This Row],[CodBarras2]],2,50)</f>
        <v/>
      </c>
    </row>
    <row r="916" spans="9:9" x14ac:dyDescent="0.25">
      <c r="I916" s="227" t="str">
        <f>MID(excPisCofins[[#This Row],[CodBarras2]],2,50)</f>
        <v/>
      </c>
    </row>
    <row r="917" spans="9:9" x14ac:dyDescent="0.25">
      <c r="I917" s="227" t="str">
        <f>MID(excPisCofins[[#This Row],[CodBarras2]],2,50)</f>
        <v/>
      </c>
    </row>
    <row r="918" spans="9:9" x14ac:dyDescent="0.25">
      <c r="I918" s="227" t="str">
        <f>MID(excPisCofins[[#This Row],[CodBarras2]],2,50)</f>
        <v/>
      </c>
    </row>
    <row r="919" spans="9:9" x14ac:dyDescent="0.25">
      <c r="I919" s="227" t="str">
        <f>MID(excPisCofins[[#This Row],[CodBarras2]],2,50)</f>
        <v/>
      </c>
    </row>
    <row r="920" spans="9:9" x14ac:dyDescent="0.25">
      <c r="I920" s="227" t="str">
        <f>MID(excPisCofins[[#This Row],[CodBarras2]],2,50)</f>
        <v/>
      </c>
    </row>
    <row r="921" spans="9:9" x14ac:dyDescent="0.25">
      <c r="I921" s="227" t="str">
        <f>MID(excPisCofins[[#This Row],[CodBarras2]],2,50)</f>
        <v/>
      </c>
    </row>
    <row r="922" spans="9:9" x14ac:dyDescent="0.25">
      <c r="I922" s="227" t="str">
        <f>MID(excPisCofins[[#This Row],[CodBarras2]],2,50)</f>
        <v/>
      </c>
    </row>
    <row r="923" spans="9:9" x14ac:dyDescent="0.25">
      <c r="I923" s="227" t="str">
        <f>MID(excPisCofins[[#This Row],[CodBarras2]],2,50)</f>
        <v/>
      </c>
    </row>
    <row r="924" spans="9:9" x14ac:dyDescent="0.25">
      <c r="I924" s="227" t="str">
        <f>MID(excPisCofins[[#This Row],[CodBarras2]],2,50)</f>
        <v/>
      </c>
    </row>
    <row r="925" spans="9:9" x14ac:dyDescent="0.25">
      <c r="I925" s="227" t="str">
        <f>MID(excPisCofins[[#This Row],[CodBarras2]],2,50)</f>
        <v/>
      </c>
    </row>
    <row r="926" spans="9:9" x14ac:dyDescent="0.25">
      <c r="I926" s="227" t="str">
        <f>MID(excPisCofins[[#This Row],[CodBarras2]],2,50)</f>
        <v/>
      </c>
    </row>
    <row r="927" spans="9:9" x14ac:dyDescent="0.25">
      <c r="I927" s="227" t="str">
        <f>MID(excPisCofins[[#This Row],[CodBarras2]],2,50)</f>
        <v/>
      </c>
    </row>
    <row r="928" spans="9:9" x14ac:dyDescent="0.25">
      <c r="I928" s="227" t="str">
        <f>MID(excPisCofins[[#This Row],[CodBarras2]],2,50)</f>
        <v/>
      </c>
    </row>
    <row r="929" spans="9:9" x14ac:dyDescent="0.25">
      <c r="I929" s="227" t="str">
        <f>MID(excPisCofins[[#This Row],[CodBarras2]],2,50)</f>
        <v/>
      </c>
    </row>
    <row r="930" spans="9:9" x14ac:dyDescent="0.25">
      <c r="I930" s="227" t="str">
        <f>MID(excPisCofins[[#This Row],[CodBarras2]],2,50)</f>
        <v/>
      </c>
    </row>
    <row r="931" spans="9:9" x14ac:dyDescent="0.25">
      <c r="I931" s="227" t="str">
        <f>MID(excPisCofins[[#This Row],[CodBarras2]],2,50)</f>
        <v/>
      </c>
    </row>
    <row r="932" spans="9:9" x14ac:dyDescent="0.25">
      <c r="I932" s="227" t="str">
        <f>MID(excPisCofins[[#This Row],[CodBarras2]],2,50)</f>
        <v/>
      </c>
    </row>
    <row r="933" spans="9:9" x14ac:dyDescent="0.25">
      <c r="I933" s="227" t="str">
        <f>MID(excPisCofins[[#This Row],[CodBarras2]],2,50)</f>
        <v/>
      </c>
    </row>
    <row r="934" spans="9:9" x14ac:dyDescent="0.25">
      <c r="I934" s="227" t="str">
        <f>MID(excPisCofins[[#This Row],[CodBarras2]],2,50)</f>
        <v/>
      </c>
    </row>
    <row r="935" spans="9:9" x14ac:dyDescent="0.25">
      <c r="I935" s="227" t="str">
        <f>MID(excPisCofins[[#This Row],[CodBarras2]],2,50)</f>
        <v/>
      </c>
    </row>
    <row r="936" spans="9:9" x14ac:dyDescent="0.25">
      <c r="I936" s="227" t="str">
        <f>MID(excPisCofins[[#This Row],[CodBarras2]],2,50)</f>
        <v/>
      </c>
    </row>
    <row r="937" spans="9:9" x14ac:dyDescent="0.25">
      <c r="I937" s="227" t="str">
        <f>MID(excPisCofins[[#This Row],[CodBarras2]],2,50)</f>
        <v/>
      </c>
    </row>
    <row r="938" spans="9:9" x14ac:dyDescent="0.25">
      <c r="I938" s="227" t="str">
        <f>MID(excPisCofins[[#This Row],[CodBarras2]],2,50)</f>
        <v/>
      </c>
    </row>
    <row r="939" spans="9:9" x14ac:dyDescent="0.25">
      <c r="I939" s="227" t="str">
        <f>MID(excPisCofins[[#This Row],[CodBarras2]],2,50)</f>
        <v/>
      </c>
    </row>
    <row r="940" spans="9:9" x14ac:dyDescent="0.25">
      <c r="I940" s="227" t="str">
        <f>MID(excPisCofins[[#This Row],[CodBarras2]],2,50)</f>
        <v/>
      </c>
    </row>
    <row r="941" spans="9:9" x14ac:dyDescent="0.25">
      <c r="I941" s="227" t="str">
        <f>MID(excPisCofins[[#This Row],[CodBarras2]],2,50)</f>
        <v/>
      </c>
    </row>
    <row r="942" spans="9:9" x14ac:dyDescent="0.25">
      <c r="I942" s="227" t="str">
        <f>MID(excPisCofins[[#This Row],[CodBarras2]],2,50)</f>
        <v/>
      </c>
    </row>
    <row r="943" spans="9:9" x14ac:dyDescent="0.25">
      <c r="I943" s="227" t="str">
        <f>MID(excPisCofins[[#This Row],[CodBarras2]],2,50)</f>
        <v/>
      </c>
    </row>
    <row r="944" spans="9:9" x14ac:dyDescent="0.25">
      <c r="I944" s="227" t="str">
        <f>MID(excPisCofins[[#This Row],[CodBarras2]],2,50)</f>
        <v/>
      </c>
    </row>
    <row r="945" spans="9:9" x14ac:dyDescent="0.25">
      <c r="I945" s="227" t="str">
        <f>MID(excPisCofins[[#This Row],[CodBarras2]],2,50)</f>
        <v/>
      </c>
    </row>
    <row r="946" spans="9:9" x14ac:dyDescent="0.25">
      <c r="I946" s="227" t="str">
        <f>MID(excPisCofins[[#This Row],[CodBarras2]],2,50)</f>
        <v/>
      </c>
    </row>
    <row r="947" spans="9:9" x14ac:dyDescent="0.25">
      <c r="I947" s="227" t="str">
        <f>MID(excPisCofins[[#This Row],[CodBarras2]],2,50)</f>
        <v/>
      </c>
    </row>
    <row r="948" spans="9:9" x14ac:dyDescent="0.25">
      <c r="I948" s="227" t="str">
        <f>MID(excPisCofins[[#This Row],[CodBarras2]],2,50)</f>
        <v/>
      </c>
    </row>
    <row r="949" spans="9:9" x14ac:dyDescent="0.25">
      <c r="I949" s="227" t="str">
        <f>MID(excPisCofins[[#This Row],[CodBarras2]],2,50)</f>
        <v/>
      </c>
    </row>
    <row r="950" spans="9:9" x14ac:dyDescent="0.25">
      <c r="I950" s="227" t="str">
        <f>MID(excPisCofins[[#This Row],[CodBarras2]],2,50)</f>
        <v/>
      </c>
    </row>
    <row r="951" spans="9:9" x14ac:dyDescent="0.25">
      <c r="I951" s="227" t="str">
        <f>MID(excPisCofins[[#This Row],[CodBarras2]],2,50)</f>
        <v/>
      </c>
    </row>
    <row r="952" spans="9:9" x14ac:dyDescent="0.25">
      <c r="I952" s="227" t="str">
        <f>MID(excPisCofins[[#This Row],[CodBarras2]],2,50)</f>
        <v/>
      </c>
    </row>
    <row r="953" spans="9:9" x14ac:dyDescent="0.25">
      <c r="I953" s="227" t="str">
        <f>MID(excPisCofins[[#This Row],[CodBarras2]],2,50)</f>
        <v/>
      </c>
    </row>
    <row r="954" spans="9:9" x14ac:dyDescent="0.25">
      <c r="I954" s="227" t="str">
        <f>MID(excPisCofins[[#This Row],[CodBarras2]],2,50)</f>
        <v/>
      </c>
    </row>
    <row r="955" spans="9:9" x14ac:dyDescent="0.25">
      <c r="I955" s="227" t="str">
        <f>MID(excPisCofins[[#This Row],[CodBarras2]],2,50)</f>
        <v/>
      </c>
    </row>
    <row r="956" spans="9:9" x14ac:dyDescent="0.25">
      <c r="I956" s="227" t="str">
        <f>MID(excPisCofins[[#This Row],[CodBarras2]],2,50)</f>
        <v/>
      </c>
    </row>
    <row r="957" spans="9:9" x14ac:dyDescent="0.25">
      <c r="I957" s="227" t="str">
        <f>MID(excPisCofins[[#This Row],[CodBarras2]],2,50)</f>
        <v/>
      </c>
    </row>
    <row r="958" spans="9:9" x14ac:dyDescent="0.25">
      <c r="I958" s="227" t="str">
        <f>MID(excPisCofins[[#This Row],[CodBarras2]],2,50)</f>
        <v/>
      </c>
    </row>
    <row r="959" spans="9:9" x14ac:dyDescent="0.25">
      <c r="I959" s="227" t="str">
        <f>MID(excPisCofins[[#This Row],[CodBarras2]],2,50)</f>
        <v/>
      </c>
    </row>
    <row r="960" spans="9:9" x14ac:dyDescent="0.25">
      <c r="I960" s="227" t="str">
        <f>MID(excPisCofins[[#This Row],[CodBarras2]],2,50)</f>
        <v/>
      </c>
    </row>
    <row r="961" spans="9:9" x14ac:dyDescent="0.25">
      <c r="I961" s="227" t="str">
        <f>MID(excPisCofins[[#This Row],[CodBarras2]],2,50)</f>
        <v/>
      </c>
    </row>
    <row r="962" spans="9:9" x14ac:dyDescent="0.25">
      <c r="I962" s="227" t="str">
        <f>MID(excPisCofins[[#This Row],[CodBarras2]],2,50)</f>
        <v/>
      </c>
    </row>
    <row r="963" spans="9:9" x14ac:dyDescent="0.25">
      <c r="I963" s="227" t="str">
        <f>MID(excPisCofins[[#This Row],[CodBarras2]],2,50)</f>
        <v/>
      </c>
    </row>
    <row r="964" spans="9:9" x14ac:dyDescent="0.25">
      <c r="I964" s="227" t="str">
        <f>MID(excPisCofins[[#This Row],[CodBarras2]],2,50)</f>
        <v/>
      </c>
    </row>
    <row r="965" spans="9:9" x14ac:dyDescent="0.25">
      <c r="I965" s="227" t="str">
        <f>MID(excPisCofins[[#This Row],[CodBarras2]],2,50)</f>
        <v/>
      </c>
    </row>
    <row r="966" spans="9:9" x14ac:dyDescent="0.25">
      <c r="I966" s="227" t="str">
        <f>MID(excPisCofins[[#This Row],[CodBarras2]],2,50)</f>
        <v/>
      </c>
    </row>
    <row r="967" spans="9:9" x14ac:dyDescent="0.25">
      <c r="I967" s="227" t="str">
        <f>MID(excPisCofins[[#This Row],[CodBarras2]],2,50)</f>
        <v/>
      </c>
    </row>
    <row r="968" spans="9:9" x14ac:dyDescent="0.25">
      <c r="I968" s="227" t="str">
        <f>MID(excPisCofins[[#This Row],[CodBarras2]],2,50)</f>
        <v/>
      </c>
    </row>
    <row r="969" spans="9:9" x14ac:dyDescent="0.25">
      <c r="I969" s="227" t="str">
        <f>MID(excPisCofins[[#This Row],[CodBarras2]],2,50)</f>
        <v/>
      </c>
    </row>
    <row r="970" spans="9:9" x14ac:dyDescent="0.25">
      <c r="I970" s="227" t="str">
        <f>MID(excPisCofins[[#This Row],[CodBarras2]],2,50)</f>
        <v/>
      </c>
    </row>
    <row r="971" spans="9:9" x14ac:dyDescent="0.25">
      <c r="I971" s="227" t="str">
        <f>MID(excPisCofins[[#This Row],[CodBarras2]],2,50)</f>
        <v/>
      </c>
    </row>
    <row r="972" spans="9:9" x14ac:dyDescent="0.25">
      <c r="I972" s="227" t="str">
        <f>MID(excPisCofins[[#This Row],[CodBarras2]],2,50)</f>
        <v/>
      </c>
    </row>
    <row r="973" spans="9:9" x14ac:dyDescent="0.25">
      <c r="I973" s="227" t="str">
        <f>MID(excPisCofins[[#This Row],[CodBarras2]],2,50)</f>
        <v/>
      </c>
    </row>
    <row r="974" spans="9:9" x14ac:dyDescent="0.25">
      <c r="I974" s="227" t="str">
        <f>MID(excPisCofins[[#This Row],[CodBarras2]],2,50)</f>
        <v/>
      </c>
    </row>
    <row r="975" spans="9:9" x14ac:dyDescent="0.25">
      <c r="I975" s="227" t="str">
        <f>MID(excPisCofins[[#This Row],[CodBarras2]],2,50)</f>
        <v/>
      </c>
    </row>
    <row r="976" spans="9:9" x14ac:dyDescent="0.25">
      <c r="I976" s="227" t="str">
        <f>MID(excPisCofins[[#This Row],[CodBarras2]],2,50)</f>
        <v/>
      </c>
    </row>
    <row r="977" spans="9:9" x14ac:dyDescent="0.25">
      <c r="I977" s="227" t="str">
        <f>MID(excPisCofins[[#This Row],[CodBarras2]],2,50)</f>
        <v/>
      </c>
    </row>
    <row r="978" spans="9:9" x14ac:dyDescent="0.25">
      <c r="I978" s="227" t="str">
        <f>MID(excPisCofins[[#This Row],[CodBarras2]],2,50)</f>
        <v/>
      </c>
    </row>
    <row r="979" spans="9:9" x14ac:dyDescent="0.25">
      <c r="I979" s="227" t="str">
        <f>MID(excPisCofins[[#This Row],[CodBarras2]],2,50)</f>
        <v/>
      </c>
    </row>
    <row r="980" spans="9:9" x14ac:dyDescent="0.25">
      <c r="I980" s="227" t="str">
        <f>MID(excPisCofins[[#This Row],[CodBarras2]],2,50)</f>
        <v/>
      </c>
    </row>
    <row r="981" spans="9:9" x14ac:dyDescent="0.25">
      <c r="I981" s="227" t="str">
        <f>MID(excPisCofins[[#This Row],[CodBarras2]],2,50)</f>
        <v/>
      </c>
    </row>
    <row r="982" spans="9:9" x14ac:dyDescent="0.25">
      <c r="I982" s="227" t="str">
        <f>MID(excPisCofins[[#This Row],[CodBarras2]],2,50)</f>
        <v/>
      </c>
    </row>
    <row r="983" spans="9:9" x14ac:dyDescent="0.25">
      <c r="I983" s="227" t="str">
        <f>MID(excPisCofins[[#This Row],[CodBarras2]],2,50)</f>
        <v/>
      </c>
    </row>
    <row r="984" spans="9:9" x14ac:dyDescent="0.25">
      <c r="I984" s="227" t="str">
        <f>MID(excPisCofins[[#This Row],[CodBarras2]],2,50)</f>
        <v/>
      </c>
    </row>
    <row r="985" spans="9:9" x14ac:dyDescent="0.25">
      <c r="I985" s="227" t="str">
        <f>MID(excPisCofins[[#This Row],[CodBarras2]],2,50)</f>
        <v/>
      </c>
    </row>
    <row r="986" spans="9:9" x14ac:dyDescent="0.25">
      <c r="I986" s="227" t="str">
        <f>MID(excPisCofins[[#This Row],[CodBarras2]],2,50)</f>
        <v/>
      </c>
    </row>
    <row r="987" spans="9:9" x14ac:dyDescent="0.25">
      <c r="I987" s="227" t="str">
        <f>MID(excPisCofins[[#This Row],[CodBarras2]],2,50)</f>
        <v/>
      </c>
    </row>
    <row r="988" spans="9:9" x14ac:dyDescent="0.25">
      <c r="I988" s="227" t="str">
        <f>MID(excPisCofins[[#This Row],[CodBarras2]],2,50)</f>
        <v/>
      </c>
    </row>
    <row r="989" spans="9:9" x14ac:dyDescent="0.25">
      <c r="I989" s="227" t="str">
        <f>MID(excPisCofins[[#This Row],[CodBarras2]],2,50)</f>
        <v/>
      </c>
    </row>
    <row r="990" spans="9:9" x14ac:dyDescent="0.25">
      <c r="I990" s="227" t="str">
        <f>MID(excPisCofins[[#This Row],[CodBarras2]],2,50)</f>
        <v/>
      </c>
    </row>
    <row r="991" spans="9:9" x14ac:dyDescent="0.25">
      <c r="I991" s="227" t="str">
        <f>MID(excPisCofins[[#This Row],[CodBarras2]],2,50)</f>
        <v/>
      </c>
    </row>
    <row r="992" spans="9:9" x14ac:dyDescent="0.25">
      <c r="I992" s="227" t="str">
        <f>MID(excPisCofins[[#This Row],[CodBarras2]],2,50)</f>
        <v/>
      </c>
    </row>
    <row r="993" spans="9:9" x14ac:dyDescent="0.25">
      <c r="I993" s="227" t="str">
        <f>MID(excPisCofins[[#This Row],[CodBarras2]],2,50)</f>
        <v/>
      </c>
    </row>
    <row r="994" spans="9:9" x14ac:dyDescent="0.25">
      <c r="I994" s="227" t="str">
        <f>MID(excPisCofins[[#This Row],[CodBarras2]],2,50)</f>
        <v/>
      </c>
    </row>
    <row r="995" spans="9:9" x14ac:dyDescent="0.25">
      <c r="I995" s="227" t="str">
        <f>MID(excPisCofins[[#This Row],[CodBarras2]],2,50)</f>
        <v/>
      </c>
    </row>
    <row r="996" spans="9:9" x14ac:dyDescent="0.25">
      <c r="I996" s="227" t="str">
        <f>MID(excPisCofins[[#This Row],[CodBarras2]],2,50)</f>
        <v/>
      </c>
    </row>
    <row r="997" spans="9:9" x14ac:dyDescent="0.25">
      <c r="I997" s="227" t="str">
        <f>MID(excPisCofins[[#This Row],[CodBarras2]],2,50)</f>
        <v/>
      </c>
    </row>
    <row r="998" spans="9:9" x14ac:dyDescent="0.25">
      <c r="I998" s="227" t="str">
        <f>MID(excPisCofins[[#This Row],[CodBarras2]],2,50)</f>
        <v/>
      </c>
    </row>
    <row r="999" spans="9:9" x14ac:dyDescent="0.25">
      <c r="I999" s="227" t="str">
        <f>MID(excPisCofins[[#This Row],[CodBarras2]],2,50)</f>
        <v/>
      </c>
    </row>
    <row r="1000" spans="9:9" x14ac:dyDescent="0.25">
      <c r="I1000" s="227" t="str">
        <f>MID(excPisCofins[[#This Row],[CodBarras2]],2,50)</f>
        <v/>
      </c>
    </row>
    <row r="1001" spans="9:9" x14ac:dyDescent="0.25">
      <c r="I1001" s="227" t="str">
        <f>MID(excPisCofins[[#This Row],[CodBarras2]],2,50)</f>
        <v/>
      </c>
    </row>
    <row r="1002" spans="9:9" x14ac:dyDescent="0.25">
      <c r="I1002" s="227" t="str">
        <f>MID(excPisCofins[[#This Row],[CodBarras2]],2,50)</f>
        <v/>
      </c>
    </row>
    <row r="1003" spans="9:9" x14ac:dyDescent="0.25">
      <c r="I1003" s="227" t="str">
        <f>MID(excPisCofins[[#This Row],[CodBarras2]],2,50)</f>
        <v/>
      </c>
    </row>
    <row r="1004" spans="9:9" x14ac:dyDescent="0.25">
      <c r="I1004" s="227" t="str">
        <f>MID(excPisCofins[[#This Row],[CodBarras2]],2,50)</f>
        <v/>
      </c>
    </row>
    <row r="1005" spans="9:9" x14ac:dyDescent="0.25">
      <c r="I1005" s="227" t="str">
        <f>MID(excPisCofins[[#This Row],[CodBarras2]],2,50)</f>
        <v/>
      </c>
    </row>
    <row r="1006" spans="9:9" x14ac:dyDescent="0.25">
      <c r="I1006" s="227" t="str">
        <f>MID(excPisCofins[[#This Row],[CodBarras2]],2,50)</f>
        <v/>
      </c>
    </row>
    <row r="1007" spans="9:9" x14ac:dyDescent="0.25">
      <c r="I1007" s="227" t="str">
        <f>MID(excPisCofins[[#This Row],[CodBarras2]],2,50)</f>
        <v/>
      </c>
    </row>
    <row r="1008" spans="9:9" x14ac:dyDescent="0.25">
      <c r="I1008" s="227" t="str">
        <f>MID(excPisCofins[[#This Row],[CodBarras2]],2,50)</f>
        <v/>
      </c>
    </row>
    <row r="1009" spans="9:9" x14ac:dyDescent="0.25">
      <c r="I1009" s="227" t="str">
        <f>MID(excPisCofins[[#This Row],[CodBarras2]],2,50)</f>
        <v/>
      </c>
    </row>
    <row r="1010" spans="9:9" x14ac:dyDescent="0.25">
      <c r="I1010" s="227" t="str">
        <f>MID(excPisCofins[[#This Row],[CodBarras2]],2,50)</f>
        <v/>
      </c>
    </row>
    <row r="1011" spans="9:9" x14ac:dyDescent="0.25">
      <c r="I1011" s="227" t="str">
        <f>MID(excPisCofins[[#This Row],[CodBarras2]],2,50)</f>
        <v/>
      </c>
    </row>
    <row r="1012" spans="9:9" x14ac:dyDescent="0.25">
      <c r="I1012" s="227" t="str">
        <f>MID(excPisCofins[[#This Row],[CodBarras2]],2,50)</f>
        <v/>
      </c>
    </row>
    <row r="1013" spans="9:9" x14ac:dyDescent="0.25">
      <c r="I1013" s="227" t="str">
        <f>MID(excPisCofins[[#This Row],[CodBarras2]],2,50)</f>
        <v/>
      </c>
    </row>
    <row r="1014" spans="9:9" x14ac:dyDescent="0.25">
      <c r="I1014" s="227" t="str">
        <f>MID(excPisCofins[[#This Row],[CodBarras2]],2,50)</f>
        <v/>
      </c>
    </row>
    <row r="1015" spans="9:9" x14ac:dyDescent="0.25">
      <c r="I1015" s="227" t="str">
        <f>MID(excPisCofins[[#This Row],[CodBarras2]],2,50)</f>
        <v/>
      </c>
    </row>
    <row r="1016" spans="9:9" x14ac:dyDescent="0.25">
      <c r="I1016" s="227" t="str">
        <f>MID(excPisCofins[[#This Row],[CodBarras2]],2,50)</f>
        <v/>
      </c>
    </row>
    <row r="1017" spans="9:9" x14ac:dyDescent="0.25">
      <c r="I1017" s="227" t="str">
        <f>MID(excPisCofins[[#This Row],[CodBarras2]],2,50)</f>
        <v/>
      </c>
    </row>
    <row r="1018" spans="9:9" x14ac:dyDescent="0.25">
      <c r="I1018" s="227" t="str">
        <f>MID(excPisCofins[[#This Row],[CodBarras2]],2,50)</f>
        <v/>
      </c>
    </row>
    <row r="1019" spans="9:9" x14ac:dyDescent="0.25">
      <c r="I1019" s="227" t="str">
        <f>MID(excPisCofins[[#This Row],[CodBarras2]],2,50)</f>
        <v/>
      </c>
    </row>
    <row r="1020" spans="9:9" x14ac:dyDescent="0.25">
      <c r="I1020" s="227" t="str">
        <f>MID(excPisCofins[[#This Row],[CodBarras2]],2,50)</f>
        <v/>
      </c>
    </row>
    <row r="1021" spans="9:9" x14ac:dyDescent="0.25">
      <c r="I1021" s="227" t="str">
        <f>MID(excPisCofins[[#This Row],[CodBarras2]],2,50)</f>
        <v/>
      </c>
    </row>
    <row r="1022" spans="9:9" x14ac:dyDescent="0.25">
      <c r="I1022" s="227" t="str">
        <f>MID(excPisCofins[[#This Row],[CodBarras2]],2,50)</f>
        <v/>
      </c>
    </row>
    <row r="1023" spans="9:9" x14ac:dyDescent="0.25">
      <c r="I1023" s="227" t="str">
        <f>MID(excPisCofins[[#This Row],[CodBarras2]],2,50)</f>
        <v/>
      </c>
    </row>
    <row r="1024" spans="9:9" x14ac:dyDescent="0.25">
      <c r="I1024" s="227" t="str">
        <f>MID(excPisCofins[[#This Row],[CodBarras2]],2,50)</f>
        <v/>
      </c>
    </row>
    <row r="1025" spans="9:9" x14ac:dyDescent="0.25">
      <c r="I1025" s="227" t="str">
        <f>MID(excPisCofins[[#This Row],[CodBarras2]],2,50)</f>
        <v/>
      </c>
    </row>
    <row r="1026" spans="9:9" x14ac:dyDescent="0.25">
      <c r="I1026" s="227" t="str">
        <f>MID(excPisCofins[[#This Row],[CodBarras2]],2,50)</f>
        <v/>
      </c>
    </row>
    <row r="1027" spans="9:9" x14ac:dyDescent="0.25">
      <c r="I1027" s="227" t="str">
        <f>MID(excPisCofins[[#This Row],[CodBarras2]],2,50)</f>
        <v/>
      </c>
    </row>
    <row r="1028" spans="9:9" x14ac:dyDescent="0.25">
      <c r="I1028" s="227" t="str">
        <f>MID(excPisCofins[[#This Row],[CodBarras2]],2,50)</f>
        <v/>
      </c>
    </row>
    <row r="1029" spans="9:9" x14ac:dyDescent="0.25">
      <c r="I1029" s="227" t="str">
        <f>MID(excPisCofins[[#This Row],[CodBarras2]],2,50)</f>
        <v/>
      </c>
    </row>
    <row r="1030" spans="9:9" x14ac:dyDescent="0.25">
      <c r="I1030" s="227" t="str">
        <f>MID(excPisCofins[[#This Row],[CodBarras2]],2,50)</f>
        <v/>
      </c>
    </row>
    <row r="1031" spans="9:9" x14ac:dyDescent="0.25">
      <c r="I1031" s="227" t="str">
        <f>MID(excPisCofins[[#This Row],[CodBarras2]],2,50)</f>
        <v/>
      </c>
    </row>
    <row r="1032" spans="9:9" x14ac:dyDescent="0.25">
      <c r="I1032" s="227" t="str">
        <f>MID(excPisCofins[[#This Row],[CodBarras2]],2,50)</f>
        <v/>
      </c>
    </row>
    <row r="1033" spans="9:9" x14ac:dyDescent="0.25">
      <c r="I1033" s="227" t="str">
        <f>MID(excPisCofins[[#This Row],[CodBarras2]],2,50)</f>
        <v/>
      </c>
    </row>
    <row r="1034" spans="9:9" x14ac:dyDescent="0.25">
      <c r="I1034" s="227" t="str">
        <f>MID(excPisCofins[[#This Row],[CodBarras2]],2,50)</f>
        <v/>
      </c>
    </row>
    <row r="1035" spans="9:9" x14ac:dyDescent="0.25">
      <c r="I1035" s="227" t="str">
        <f>MID(excPisCofins[[#This Row],[CodBarras2]],2,50)</f>
        <v/>
      </c>
    </row>
    <row r="1036" spans="9:9" x14ac:dyDescent="0.25">
      <c r="I1036" s="227" t="str">
        <f>MID(excPisCofins[[#This Row],[CodBarras2]],2,50)</f>
        <v/>
      </c>
    </row>
    <row r="1037" spans="9:9" x14ac:dyDescent="0.25">
      <c r="I1037" s="227" t="str">
        <f>MID(excPisCofins[[#This Row],[CodBarras2]],2,50)</f>
        <v/>
      </c>
    </row>
    <row r="1038" spans="9:9" x14ac:dyDescent="0.25">
      <c r="I1038" s="227" t="str">
        <f>MID(excPisCofins[[#This Row],[CodBarras2]],2,50)</f>
        <v/>
      </c>
    </row>
    <row r="1039" spans="9:9" x14ac:dyDescent="0.25">
      <c r="I1039" s="227" t="str">
        <f>MID(excPisCofins[[#This Row],[CodBarras2]],2,50)</f>
        <v/>
      </c>
    </row>
    <row r="1040" spans="9:9" x14ac:dyDescent="0.25">
      <c r="I1040" s="227" t="str">
        <f>MID(excPisCofins[[#This Row],[CodBarras2]],2,50)</f>
        <v/>
      </c>
    </row>
    <row r="1041" spans="9:9" x14ac:dyDescent="0.25">
      <c r="I1041" s="227" t="str">
        <f>MID(excPisCofins[[#This Row],[CodBarras2]],2,50)</f>
        <v/>
      </c>
    </row>
    <row r="1042" spans="9:9" x14ac:dyDescent="0.25">
      <c r="I1042" s="227" t="str">
        <f>MID(excPisCofins[[#This Row],[CodBarras2]],2,50)</f>
        <v/>
      </c>
    </row>
    <row r="1043" spans="9:9" x14ac:dyDescent="0.25">
      <c r="I1043" s="227" t="str">
        <f>MID(excPisCofins[[#This Row],[CodBarras2]],2,50)</f>
        <v/>
      </c>
    </row>
    <row r="1044" spans="9:9" x14ac:dyDescent="0.25">
      <c r="I1044" s="227" t="str">
        <f>MID(excPisCofins[[#This Row],[CodBarras2]],2,50)</f>
        <v/>
      </c>
    </row>
    <row r="1045" spans="9:9" x14ac:dyDescent="0.25">
      <c r="I1045" s="227" t="str">
        <f>MID(excPisCofins[[#This Row],[CodBarras2]],2,50)</f>
        <v/>
      </c>
    </row>
    <row r="1046" spans="9:9" x14ac:dyDescent="0.25">
      <c r="I1046" s="227" t="str">
        <f>MID(excPisCofins[[#This Row],[CodBarras2]],2,50)</f>
        <v/>
      </c>
    </row>
    <row r="1047" spans="9:9" x14ac:dyDescent="0.25">
      <c r="I1047" s="227" t="str">
        <f>MID(excPisCofins[[#This Row],[CodBarras2]],2,50)</f>
        <v/>
      </c>
    </row>
    <row r="1048" spans="9:9" x14ac:dyDescent="0.25">
      <c r="I1048" s="227" t="str">
        <f>MID(excPisCofins[[#This Row],[CodBarras2]],2,50)</f>
        <v/>
      </c>
    </row>
    <row r="1049" spans="9:9" x14ac:dyDescent="0.25">
      <c r="I1049" s="227" t="str">
        <f>MID(excPisCofins[[#This Row],[CodBarras2]],2,50)</f>
        <v/>
      </c>
    </row>
    <row r="1050" spans="9:9" x14ac:dyDescent="0.25">
      <c r="I1050" s="227" t="str">
        <f>MID(excPisCofins[[#This Row],[CodBarras2]],2,50)</f>
        <v/>
      </c>
    </row>
    <row r="1051" spans="9:9" x14ac:dyDescent="0.25">
      <c r="I1051" s="227" t="str">
        <f>MID(excPisCofins[[#This Row],[CodBarras2]],2,50)</f>
        <v/>
      </c>
    </row>
    <row r="1052" spans="9:9" x14ac:dyDescent="0.25">
      <c r="I1052" s="227" t="str">
        <f>MID(excPisCofins[[#This Row],[CodBarras2]],2,50)</f>
        <v/>
      </c>
    </row>
    <row r="1053" spans="9:9" x14ac:dyDescent="0.25">
      <c r="I1053" s="227" t="str">
        <f>MID(excPisCofins[[#This Row],[CodBarras2]],2,50)</f>
        <v/>
      </c>
    </row>
    <row r="1054" spans="9:9" x14ac:dyDescent="0.25">
      <c r="I1054" s="227" t="str">
        <f>MID(excPisCofins[[#This Row],[CodBarras2]],2,50)</f>
        <v/>
      </c>
    </row>
    <row r="1055" spans="9:9" x14ac:dyDescent="0.25">
      <c r="I1055" s="227" t="str">
        <f>MID(excPisCofins[[#This Row],[CodBarras2]],2,50)</f>
        <v/>
      </c>
    </row>
    <row r="1056" spans="9:9" x14ac:dyDescent="0.25">
      <c r="I1056" s="227" t="str">
        <f>MID(excPisCofins[[#This Row],[CodBarras2]],2,50)</f>
        <v/>
      </c>
    </row>
    <row r="1057" spans="9:9" x14ac:dyDescent="0.25">
      <c r="I1057" s="227" t="str">
        <f>MID(excPisCofins[[#This Row],[CodBarras2]],2,50)</f>
        <v/>
      </c>
    </row>
    <row r="1058" spans="9:9" x14ac:dyDescent="0.25">
      <c r="I1058" s="227" t="str">
        <f>MID(excPisCofins[[#This Row],[CodBarras2]],2,50)</f>
        <v/>
      </c>
    </row>
    <row r="1059" spans="9:9" x14ac:dyDescent="0.25">
      <c r="I1059" s="227" t="str">
        <f>MID(excPisCofins[[#This Row],[CodBarras2]],2,50)</f>
        <v/>
      </c>
    </row>
    <row r="1060" spans="9:9" x14ac:dyDescent="0.25">
      <c r="I1060" s="227" t="str">
        <f>MID(excPisCofins[[#This Row],[CodBarras2]],2,50)</f>
        <v/>
      </c>
    </row>
    <row r="1061" spans="9:9" x14ac:dyDescent="0.25">
      <c r="I1061" s="227" t="str">
        <f>MID(excPisCofins[[#This Row],[CodBarras2]],2,50)</f>
        <v/>
      </c>
    </row>
    <row r="1062" spans="9:9" x14ac:dyDescent="0.25">
      <c r="I1062" s="227" t="str">
        <f>MID(excPisCofins[[#This Row],[CodBarras2]],2,50)</f>
        <v/>
      </c>
    </row>
    <row r="1063" spans="9:9" x14ac:dyDescent="0.25">
      <c r="I1063" s="227" t="str">
        <f>MID(excPisCofins[[#This Row],[CodBarras2]],2,50)</f>
        <v/>
      </c>
    </row>
    <row r="1064" spans="9:9" x14ac:dyDescent="0.25">
      <c r="I1064" s="227" t="str">
        <f>MID(excPisCofins[[#This Row],[CodBarras2]],2,50)</f>
        <v/>
      </c>
    </row>
    <row r="1065" spans="9:9" x14ac:dyDescent="0.25">
      <c r="I1065" s="227" t="str">
        <f>MID(excPisCofins[[#This Row],[CodBarras2]],2,50)</f>
        <v/>
      </c>
    </row>
    <row r="1066" spans="9:9" x14ac:dyDescent="0.25">
      <c r="I1066" s="227" t="str">
        <f>MID(excPisCofins[[#This Row],[CodBarras2]],2,50)</f>
        <v/>
      </c>
    </row>
    <row r="1067" spans="9:9" x14ac:dyDescent="0.25">
      <c r="I1067" s="227" t="str">
        <f>MID(excPisCofins[[#This Row],[CodBarras2]],2,50)</f>
        <v/>
      </c>
    </row>
    <row r="1068" spans="9:9" x14ac:dyDescent="0.25">
      <c r="I1068" s="227" t="str">
        <f>MID(excPisCofins[[#This Row],[CodBarras2]],2,50)</f>
        <v/>
      </c>
    </row>
    <row r="1069" spans="9:9" x14ac:dyDescent="0.25">
      <c r="I1069" s="227" t="str">
        <f>MID(excPisCofins[[#This Row],[CodBarras2]],2,50)</f>
        <v/>
      </c>
    </row>
    <row r="1070" spans="9:9" x14ac:dyDescent="0.25">
      <c r="I1070" s="227" t="str">
        <f>MID(excPisCofins[[#This Row],[CodBarras2]],2,50)</f>
        <v/>
      </c>
    </row>
    <row r="1071" spans="9:9" x14ac:dyDescent="0.25">
      <c r="I1071" s="227" t="str">
        <f>MID(excPisCofins[[#This Row],[CodBarras2]],2,50)</f>
        <v/>
      </c>
    </row>
    <row r="1072" spans="9:9" x14ac:dyDescent="0.25">
      <c r="I1072" s="227" t="str">
        <f>MID(excPisCofins[[#This Row],[CodBarras2]],2,50)</f>
        <v/>
      </c>
    </row>
    <row r="1073" spans="9:9" x14ac:dyDescent="0.25">
      <c r="I1073" s="227" t="str">
        <f>MID(excPisCofins[[#This Row],[CodBarras2]],2,50)</f>
        <v/>
      </c>
    </row>
    <row r="1074" spans="9:9" x14ac:dyDescent="0.25">
      <c r="I1074" s="227" t="str">
        <f>MID(excPisCofins[[#This Row],[CodBarras2]],2,50)</f>
        <v/>
      </c>
    </row>
    <row r="1075" spans="9:9" x14ac:dyDescent="0.25">
      <c r="I1075" s="227" t="str">
        <f>MID(excPisCofins[[#This Row],[CodBarras2]],2,50)</f>
        <v/>
      </c>
    </row>
    <row r="1076" spans="9:9" x14ac:dyDescent="0.25">
      <c r="I1076" s="227" t="str">
        <f>MID(excPisCofins[[#This Row],[CodBarras2]],2,50)</f>
        <v/>
      </c>
    </row>
    <row r="1077" spans="9:9" x14ac:dyDescent="0.25">
      <c r="I1077" s="227" t="str">
        <f>MID(excPisCofins[[#This Row],[CodBarras2]],2,50)</f>
        <v/>
      </c>
    </row>
    <row r="1078" spans="9:9" x14ac:dyDescent="0.25">
      <c r="I1078" s="227" t="str">
        <f>MID(excPisCofins[[#This Row],[CodBarras2]],2,50)</f>
        <v/>
      </c>
    </row>
    <row r="1079" spans="9:9" x14ac:dyDescent="0.25">
      <c r="I1079" s="227" t="str">
        <f>MID(excPisCofins[[#This Row],[CodBarras2]],2,50)</f>
        <v/>
      </c>
    </row>
    <row r="1080" spans="9:9" x14ac:dyDescent="0.25">
      <c r="I1080" s="227" t="str">
        <f>MID(excPisCofins[[#This Row],[CodBarras2]],2,50)</f>
        <v/>
      </c>
    </row>
    <row r="1081" spans="9:9" x14ac:dyDescent="0.25">
      <c r="I1081" s="227" t="str">
        <f>MID(excPisCofins[[#This Row],[CodBarras2]],2,50)</f>
        <v/>
      </c>
    </row>
    <row r="1082" spans="9:9" x14ac:dyDescent="0.25">
      <c r="I1082" s="227" t="str">
        <f>MID(excPisCofins[[#This Row],[CodBarras2]],2,50)</f>
        <v/>
      </c>
    </row>
    <row r="1083" spans="9:9" x14ac:dyDescent="0.25">
      <c r="I1083" s="227" t="str">
        <f>MID(excPisCofins[[#This Row],[CodBarras2]],2,50)</f>
        <v/>
      </c>
    </row>
    <row r="1084" spans="9:9" x14ac:dyDescent="0.25">
      <c r="I1084" s="227" t="str">
        <f>MID(excPisCofins[[#This Row],[CodBarras2]],2,50)</f>
        <v/>
      </c>
    </row>
    <row r="1085" spans="9:9" x14ac:dyDescent="0.25">
      <c r="I1085" s="227" t="str">
        <f>MID(excPisCofins[[#This Row],[CodBarras2]],2,50)</f>
        <v/>
      </c>
    </row>
    <row r="1086" spans="9:9" x14ac:dyDescent="0.25">
      <c r="I1086" s="227" t="str">
        <f>MID(excPisCofins[[#This Row],[CodBarras2]],2,50)</f>
        <v/>
      </c>
    </row>
    <row r="1087" spans="9:9" x14ac:dyDescent="0.25">
      <c r="I1087" s="227" t="str">
        <f>MID(excPisCofins[[#This Row],[CodBarras2]],2,50)</f>
        <v/>
      </c>
    </row>
    <row r="1088" spans="9:9" x14ac:dyDescent="0.25">
      <c r="I1088" s="227" t="str">
        <f>MID(excPisCofins[[#This Row],[CodBarras2]],2,50)</f>
        <v/>
      </c>
    </row>
    <row r="1089" spans="9:9" x14ac:dyDescent="0.25">
      <c r="I1089" s="227" t="str">
        <f>MID(excPisCofins[[#This Row],[CodBarras2]],2,50)</f>
        <v/>
      </c>
    </row>
    <row r="1090" spans="9:9" x14ac:dyDescent="0.25">
      <c r="I1090" s="227" t="str">
        <f>MID(excPisCofins[[#This Row],[CodBarras2]],2,50)</f>
        <v/>
      </c>
    </row>
    <row r="1091" spans="9:9" x14ac:dyDescent="0.25">
      <c r="I1091" s="227" t="str">
        <f>MID(excPisCofins[[#This Row],[CodBarras2]],2,50)</f>
        <v/>
      </c>
    </row>
    <row r="1092" spans="9:9" x14ac:dyDescent="0.25">
      <c r="I1092" s="227" t="str">
        <f>MID(excPisCofins[[#This Row],[CodBarras2]],2,50)</f>
        <v/>
      </c>
    </row>
    <row r="1093" spans="9:9" x14ac:dyDescent="0.25">
      <c r="I1093" s="227" t="str">
        <f>MID(excPisCofins[[#This Row],[CodBarras2]],2,50)</f>
        <v/>
      </c>
    </row>
    <row r="1094" spans="9:9" x14ac:dyDescent="0.25">
      <c r="I1094" s="227" t="str">
        <f>MID(excPisCofins[[#This Row],[CodBarras2]],2,50)</f>
        <v/>
      </c>
    </row>
    <row r="1095" spans="9:9" x14ac:dyDescent="0.25">
      <c r="I1095" s="227" t="str">
        <f>MID(excPisCofins[[#This Row],[CodBarras2]],2,50)</f>
        <v/>
      </c>
    </row>
    <row r="1096" spans="9:9" x14ac:dyDescent="0.25">
      <c r="I1096" s="227" t="str">
        <f>MID(excPisCofins[[#This Row],[CodBarras2]],2,50)</f>
        <v/>
      </c>
    </row>
    <row r="1097" spans="9:9" x14ac:dyDescent="0.25">
      <c r="I1097" s="227" t="str">
        <f>MID(excPisCofins[[#This Row],[CodBarras2]],2,50)</f>
        <v/>
      </c>
    </row>
    <row r="1098" spans="9:9" x14ac:dyDescent="0.25">
      <c r="I1098" s="227" t="str">
        <f>MID(excPisCofins[[#This Row],[CodBarras2]],2,50)</f>
        <v/>
      </c>
    </row>
    <row r="1099" spans="9:9" x14ac:dyDescent="0.25">
      <c r="I1099" s="227" t="str">
        <f>MID(excPisCofins[[#This Row],[CodBarras2]],2,50)</f>
        <v/>
      </c>
    </row>
    <row r="1100" spans="9:9" x14ac:dyDescent="0.25">
      <c r="I1100" s="227" t="str">
        <f>MID(excPisCofins[[#This Row],[CodBarras2]],2,50)</f>
        <v/>
      </c>
    </row>
    <row r="1101" spans="9:9" x14ac:dyDescent="0.25">
      <c r="I1101" s="227" t="str">
        <f>MID(excPisCofins[[#This Row],[CodBarras2]],2,50)</f>
        <v/>
      </c>
    </row>
    <row r="1102" spans="9:9" x14ac:dyDescent="0.25">
      <c r="I1102" s="227" t="str">
        <f>MID(excPisCofins[[#This Row],[CodBarras2]],2,50)</f>
        <v/>
      </c>
    </row>
    <row r="1103" spans="9:9" x14ac:dyDescent="0.25">
      <c r="I1103" s="227" t="str">
        <f>MID(excPisCofins[[#This Row],[CodBarras2]],2,50)</f>
        <v/>
      </c>
    </row>
    <row r="1104" spans="9:9" x14ac:dyDescent="0.25">
      <c r="I1104" s="227" t="str">
        <f>MID(excPisCofins[[#This Row],[CodBarras2]],2,50)</f>
        <v/>
      </c>
    </row>
    <row r="1105" spans="9:9" x14ac:dyDescent="0.25">
      <c r="I1105" s="227" t="str">
        <f>MID(excPisCofins[[#This Row],[CodBarras2]],2,50)</f>
        <v/>
      </c>
    </row>
    <row r="1106" spans="9:9" x14ac:dyDescent="0.25">
      <c r="I1106" s="227" t="str">
        <f>MID(excPisCofins[[#This Row],[CodBarras2]],2,50)</f>
        <v/>
      </c>
    </row>
    <row r="1107" spans="9:9" x14ac:dyDescent="0.25">
      <c r="I1107" s="227" t="str">
        <f>MID(excPisCofins[[#This Row],[CodBarras2]],2,50)</f>
        <v/>
      </c>
    </row>
    <row r="1108" spans="9:9" x14ac:dyDescent="0.25">
      <c r="I1108" s="227" t="str">
        <f>MID(excPisCofins[[#This Row],[CodBarras2]],2,50)</f>
        <v/>
      </c>
    </row>
    <row r="1109" spans="9:9" x14ac:dyDescent="0.25">
      <c r="I1109" s="227" t="str">
        <f>MID(excPisCofins[[#This Row],[CodBarras2]],2,50)</f>
        <v/>
      </c>
    </row>
    <row r="1110" spans="9:9" x14ac:dyDescent="0.25">
      <c r="I1110" s="227" t="str">
        <f>MID(excPisCofins[[#This Row],[CodBarras2]],2,50)</f>
        <v/>
      </c>
    </row>
    <row r="1111" spans="9:9" x14ac:dyDescent="0.25">
      <c r="I1111" s="227" t="str">
        <f>MID(excPisCofins[[#This Row],[CodBarras2]],2,50)</f>
        <v/>
      </c>
    </row>
    <row r="1112" spans="9:9" x14ac:dyDescent="0.25">
      <c r="I1112" s="227" t="str">
        <f>MID(excPisCofins[[#This Row],[CodBarras2]],2,50)</f>
        <v/>
      </c>
    </row>
    <row r="1113" spans="9:9" x14ac:dyDescent="0.25">
      <c r="I1113" s="227" t="str">
        <f>MID(excPisCofins[[#This Row],[CodBarras2]],2,50)</f>
        <v/>
      </c>
    </row>
    <row r="1114" spans="9:9" x14ac:dyDescent="0.25">
      <c r="I1114" s="227" t="str">
        <f>MID(excPisCofins[[#This Row],[CodBarras2]],2,50)</f>
        <v/>
      </c>
    </row>
    <row r="1115" spans="9:9" x14ac:dyDescent="0.25">
      <c r="I1115" s="227" t="str">
        <f>MID(excPisCofins[[#This Row],[CodBarras2]],2,50)</f>
        <v/>
      </c>
    </row>
    <row r="1116" spans="9:9" x14ac:dyDescent="0.25">
      <c r="I1116" s="227" t="str">
        <f>MID(excPisCofins[[#This Row],[CodBarras2]],2,50)</f>
        <v/>
      </c>
    </row>
    <row r="1117" spans="9:9" x14ac:dyDescent="0.25">
      <c r="I1117" s="227" t="str">
        <f>MID(excPisCofins[[#This Row],[CodBarras2]],2,50)</f>
        <v/>
      </c>
    </row>
    <row r="1118" spans="9:9" x14ac:dyDescent="0.25">
      <c r="I1118" s="227" t="str">
        <f>MID(excPisCofins[[#This Row],[CodBarras2]],2,50)</f>
        <v/>
      </c>
    </row>
    <row r="1119" spans="9:9" x14ac:dyDescent="0.25">
      <c r="I1119" s="227" t="str">
        <f>MID(excPisCofins[[#This Row],[CodBarras2]],2,50)</f>
        <v/>
      </c>
    </row>
    <row r="1120" spans="9:9" x14ac:dyDescent="0.25">
      <c r="I1120" s="227" t="str">
        <f>MID(excPisCofins[[#This Row],[CodBarras2]],2,50)</f>
        <v/>
      </c>
    </row>
    <row r="1121" spans="9:9" x14ac:dyDescent="0.25">
      <c r="I1121" s="227" t="str">
        <f>MID(excPisCofins[[#This Row],[CodBarras2]],2,50)</f>
        <v/>
      </c>
    </row>
    <row r="1122" spans="9:9" x14ac:dyDescent="0.25">
      <c r="I1122" s="227" t="str">
        <f>MID(excPisCofins[[#This Row],[CodBarras2]],2,50)</f>
        <v/>
      </c>
    </row>
    <row r="1123" spans="9:9" x14ac:dyDescent="0.25">
      <c r="I1123" s="227" t="str">
        <f>MID(excPisCofins[[#This Row],[CodBarras2]],2,50)</f>
        <v/>
      </c>
    </row>
    <row r="1124" spans="9:9" x14ac:dyDescent="0.25">
      <c r="I1124" s="227" t="str">
        <f>MID(excPisCofins[[#This Row],[CodBarras2]],2,50)</f>
        <v/>
      </c>
    </row>
    <row r="1125" spans="9:9" x14ac:dyDescent="0.25">
      <c r="I1125" s="227" t="str">
        <f>MID(excPisCofins[[#This Row],[CodBarras2]],2,50)</f>
        <v/>
      </c>
    </row>
    <row r="1126" spans="9:9" x14ac:dyDescent="0.25">
      <c r="I1126" s="227" t="str">
        <f>MID(excPisCofins[[#This Row],[CodBarras2]],2,50)</f>
        <v/>
      </c>
    </row>
    <row r="1127" spans="9:9" x14ac:dyDescent="0.25">
      <c r="I1127" s="227" t="str">
        <f>MID(excPisCofins[[#This Row],[CodBarras2]],2,50)</f>
        <v/>
      </c>
    </row>
    <row r="1128" spans="9:9" x14ac:dyDescent="0.25">
      <c r="I1128" s="227" t="str">
        <f>MID(excPisCofins[[#This Row],[CodBarras2]],2,50)</f>
        <v/>
      </c>
    </row>
    <row r="1129" spans="9:9" x14ac:dyDescent="0.25">
      <c r="I1129" s="227" t="str">
        <f>MID(excPisCofins[[#This Row],[CodBarras2]],2,50)</f>
        <v/>
      </c>
    </row>
    <row r="1130" spans="9:9" x14ac:dyDescent="0.25">
      <c r="I1130" s="227" t="str">
        <f>MID(excPisCofins[[#This Row],[CodBarras2]],2,50)</f>
        <v/>
      </c>
    </row>
    <row r="1131" spans="9:9" x14ac:dyDescent="0.25">
      <c r="I1131" s="227" t="str">
        <f>MID(excPisCofins[[#This Row],[CodBarras2]],2,50)</f>
        <v/>
      </c>
    </row>
    <row r="1132" spans="9:9" x14ac:dyDescent="0.25">
      <c r="I1132" s="227" t="str">
        <f>MID(excPisCofins[[#This Row],[CodBarras2]],2,50)</f>
        <v/>
      </c>
    </row>
    <row r="1133" spans="9:9" x14ac:dyDescent="0.25">
      <c r="I1133" s="227" t="str">
        <f>MID(excPisCofins[[#This Row],[CodBarras2]],2,50)</f>
        <v/>
      </c>
    </row>
    <row r="1134" spans="9:9" x14ac:dyDescent="0.25">
      <c r="I1134" s="227" t="str">
        <f>MID(excPisCofins[[#This Row],[CodBarras2]],2,50)</f>
        <v/>
      </c>
    </row>
    <row r="1135" spans="9:9" x14ac:dyDescent="0.25">
      <c r="I1135" s="227" t="str">
        <f>MID(excPisCofins[[#This Row],[CodBarras2]],2,50)</f>
        <v/>
      </c>
    </row>
    <row r="1136" spans="9:9" x14ac:dyDescent="0.25">
      <c r="I1136" s="227" t="str">
        <f>MID(excPisCofins[[#This Row],[CodBarras2]],2,50)</f>
        <v/>
      </c>
    </row>
    <row r="1137" spans="9:9" x14ac:dyDescent="0.25">
      <c r="I1137" s="227" t="str">
        <f>MID(excPisCofins[[#This Row],[CodBarras2]],2,50)</f>
        <v/>
      </c>
    </row>
    <row r="1138" spans="9:9" x14ac:dyDescent="0.25">
      <c r="I1138" s="227" t="str">
        <f>MID(excPisCofins[[#This Row],[CodBarras2]],2,50)</f>
        <v/>
      </c>
    </row>
    <row r="1139" spans="9:9" x14ac:dyDescent="0.25">
      <c r="I1139" s="227" t="str">
        <f>MID(excPisCofins[[#This Row],[CodBarras2]],2,50)</f>
        <v/>
      </c>
    </row>
    <row r="1140" spans="9:9" x14ac:dyDescent="0.25">
      <c r="I1140" s="227" t="str">
        <f>MID(excPisCofins[[#This Row],[CodBarras2]],2,50)</f>
        <v/>
      </c>
    </row>
    <row r="1141" spans="9:9" x14ac:dyDescent="0.25">
      <c r="I1141" s="227" t="str">
        <f>MID(excPisCofins[[#This Row],[CodBarras2]],2,50)</f>
        <v/>
      </c>
    </row>
    <row r="1142" spans="9:9" x14ac:dyDescent="0.25">
      <c r="I1142" s="227" t="str">
        <f>MID(excPisCofins[[#This Row],[CodBarras2]],2,50)</f>
        <v/>
      </c>
    </row>
    <row r="1143" spans="9:9" x14ac:dyDescent="0.25">
      <c r="I1143" s="227" t="str">
        <f>MID(excPisCofins[[#This Row],[CodBarras2]],2,50)</f>
        <v/>
      </c>
    </row>
    <row r="1144" spans="9:9" x14ac:dyDescent="0.25">
      <c r="I1144" s="227" t="str">
        <f>MID(excPisCofins[[#This Row],[CodBarras2]],2,50)</f>
        <v/>
      </c>
    </row>
    <row r="1145" spans="9:9" x14ac:dyDescent="0.25">
      <c r="I1145" s="227" t="str">
        <f>MID(excPisCofins[[#This Row],[CodBarras2]],2,50)</f>
        <v/>
      </c>
    </row>
    <row r="1146" spans="9:9" x14ac:dyDescent="0.25">
      <c r="I1146" s="227" t="str">
        <f>MID(excPisCofins[[#This Row],[CodBarras2]],2,50)</f>
        <v/>
      </c>
    </row>
    <row r="1147" spans="9:9" x14ac:dyDescent="0.25">
      <c r="I1147" s="227" t="str">
        <f>MID(excPisCofins[[#This Row],[CodBarras2]],2,50)</f>
        <v/>
      </c>
    </row>
    <row r="1148" spans="9:9" x14ac:dyDescent="0.25">
      <c r="I1148" s="227" t="str">
        <f>MID(excPisCofins[[#This Row],[CodBarras2]],2,50)</f>
        <v/>
      </c>
    </row>
    <row r="1149" spans="9:9" x14ac:dyDescent="0.25">
      <c r="I1149" s="227" t="str">
        <f>MID(excPisCofins[[#This Row],[CodBarras2]],2,50)</f>
        <v/>
      </c>
    </row>
    <row r="1150" spans="9:9" x14ac:dyDescent="0.25">
      <c r="I1150" s="227" t="str">
        <f>MID(excPisCofins[[#This Row],[CodBarras2]],2,50)</f>
        <v/>
      </c>
    </row>
    <row r="1151" spans="9:9" x14ac:dyDescent="0.25">
      <c r="I1151" s="227" t="str">
        <f>MID(excPisCofins[[#This Row],[CodBarras2]],2,50)</f>
        <v/>
      </c>
    </row>
    <row r="1152" spans="9:9" x14ac:dyDescent="0.25">
      <c r="I1152" s="227" t="str">
        <f>MID(excPisCofins[[#This Row],[CodBarras2]],2,50)</f>
        <v/>
      </c>
    </row>
    <row r="1153" spans="9:9" x14ac:dyDescent="0.25">
      <c r="I1153" s="227" t="str">
        <f>MID(excPisCofins[[#This Row],[CodBarras2]],2,50)</f>
        <v/>
      </c>
    </row>
    <row r="1154" spans="9:9" x14ac:dyDescent="0.25">
      <c r="I1154" s="227" t="str">
        <f>MID(excPisCofins[[#This Row],[CodBarras2]],2,50)</f>
        <v/>
      </c>
    </row>
    <row r="1155" spans="9:9" x14ac:dyDescent="0.25">
      <c r="I1155" s="227" t="str">
        <f>MID(excPisCofins[[#This Row],[CodBarras2]],2,50)</f>
        <v/>
      </c>
    </row>
    <row r="1156" spans="9:9" x14ac:dyDescent="0.25">
      <c r="I1156" s="227" t="str">
        <f>MID(excPisCofins[[#This Row],[CodBarras2]],2,50)</f>
        <v/>
      </c>
    </row>
    <row r="1157" spans="9:9" x14ac:dyDescent="0.25">
      <c r="I1157" s="227" t="str">
        <f>MID(excPisCofins[[#This Row],[CodBarras2]],2,50)</f>
        <v/>
      </c>
    </row>
    <row r="1158" spans="9:9" x14ac:dyDescent="0.25">
      <c r="I1158" s="227" t="str">
        <f>MID(excPisCofins[[#This Row],[CodBarras2]],2,50)</f>
        <v/>
      </c>
    </row>
    <row r="1159" spans="9:9" x14ac:dyDescent="0.25">
      <c r="I1159" s="227" t="str">
        <f>MID(excPisCofins[[#This Row],[CodBarras2]],2,50)</f>
        <v/>
      </c>
    </row>
    <row r="1160" spans="9:9" x14ac:dyDescent="0.25">
      <c r="I1160" s="227" t="str">
        <f>MID(excPisCofins[[#This Row],[CodBarras2]],2,50)</f>
        <v/>
      </c>
    </row>
    <row r="1161" spans="9:9" x14ac:dyDescent="0.25">
      <c r="I1161" s="227" t="str">
        <f>MID(excPisCofins[[#This Row],[CodBarras2]],2,50)</f>
        <v/>
      </c>
    </row>
    <row r="1162" spans="9:9" x14ac:dyDescent="0.25">
      <c r="I1162" s="227" t="str">
        <f>MID(excPisCofins[[#This Row],[CodBarras2]],2,50)</f>
        <v/>
      </c>
    </row>
    <row r="1163" spans="9:9" x14ac:dyDescent="0.25">
      <c r="I1163" s="227" t="str">
        <f>MID(excPisCofins[[#This Row],[CodBarras2]],2,50)</f>
        <v/>
      </c>
    </row>
    <row r="1164" spans="9:9" x14ac:dyDescent="0.25">
      <c r="I1164" s="227" t="str">
        <f>MID(excPisCofins[[#This Row],[CodBarras2]],2,50)</f>
        <v/>
      </c>
    </row>
    <row r="1165" spans="9:9" x14ac:dyDescent="0.25">
      <c r="I1165" s="227" t="str">
        <f>MID(excPisCofins[[#This Row],[CodBarras2]],2,50)</f>
        <v/>
      </c>
    </row>
    <row r="1166" spans="9:9" x14ac:dyDescent="0.25">
      <c r="I1166" s="227" t="str">
        <f>MID(excPisCofins[[#This Row],[CodBarras2]],2,50)</f>
        <v/>
      </c>
    </row>
    <row r="1167" spans="9:9" x14ac:dyDescent="0.25">
      <c r="I1167" s="227" t="str">
        <f>MID(excPisCofins[[#This Row],[CodBarras2]],2,50)</f>
        <v/>
      </c>
    </row>
    <row r="1168" spans="9:9" x14ac:dyDescent="0.25">
      <c r="I1168" s="227" t="str">
        <f>MID(excPisCofins[[#This Row],[CodBarras2]],2,50)</f>
        <v/>
      </c>
    </row>
    <row r="1169" spans="9:9" x14ac:dyDescent="0.25">
      <c r="I1169" s="227" t="str">
        <f>MID(excPisCofins[[#This Row],[CodBarras2]],2,50)</f>
        <v/>
      </c>
    </row>
    <row r="1170" spans="9:9" x14ac:dyDescent="0.25">
      <c r="I1170" s="227" t="str">
        <f>MID(excPisCofins[[#This Row],[CodBarras2]],2,50)</f>
        <v/>
      </c>
    </row>
    <row r="1171" spans="9:9" x14ac:dyDescent="0.25">
      <c r="I1171" s="227" t="str">
        <f>MID(excPisCofins[[#This Row],[CodBarras2]],2,50)</f>
        <v/>
      </c>
    </row>
    <row r="1172" spans="9:9" x14ac:dyDescent="0.25">
      <c r="I1172" s="227" t="str">
        <f>MID(excPisCofins[[#This Row],[CodBarras2]],2,50)</f>
        <v/>
      </c>
    </row>
    <row r="1173" spans="9:9" x14ac:dyDescent="0.25">
      <c r="I1173" s="227" t="str">
        <f>MID(excPisCofins[[#This Row],[CodBarras2]],2,50)</f>
        <v/>
      </c>
    </row>
    <row r="1174" spans="9:9" x14ac:dyDescent="0.25">
      <c r="I1174" s="227" t="str">
        <f>MID(excPisCofins[[#This Row],[CodBarras2]],2,50)</f>
        <v/>
      </c>
    </row>
    <row r="1175" spans="9:9" x14ac:dyDescent="0.25">
      <c r="I1175" s="227" t="str">
        <f>MID(excPisCofins[[#This Row],[CodBarras2]],2,50)</f>
        <v/>
      </c>
    </row>
    <row r="1176" spans="9:9" x14ac:dyDescent="0.25">
      <c r="I1176" s="227" t="str">
        <f>MID(excPisCofins[[#This Row],[CodBarras2]],2,50)</f>
        <v/>
      </c>
    </row>
    <row r="1177" spans="9:9" x14ac:dyDescent="0.25">
      <c r="I1177" s="227" t="str">
        <f>MID(excPisCofins[[#This Row],[CodBarras2]],2,50)</f>
        <v/>
      </c>
    </row>
    <row r="1178" spans="9:9" x14ac:dyDescent="0.25">
      <c r="I1178" s="227" t="str">
        <f>MID(excPisCofins[[#This Row],[CodBarras2]],2,50)</f>
        <v/>
      </c>
    </row>
    <row r="1179" spans="9:9" x14ac:dyDescent="0.25">
      <c r="I1179" s="227" t="str">
        <f>MID(excPisCofins[[#This Row],[CodBarras2]],2,50)</f>
        <v/>
      </c>
    </row>
    <row r="1180" spans="9:9" x14ac:dyDescent="0.25">
      <c r="I1180" s="227" t="str">
        <f>MID(excPisCofins[[#This Row],[CodBarras2]],2,50)</f>
        <v/>
      </c>
    </row>
    <row r="1181" spans="9:9" x14ac:dyDescent="0.25">
      <c r="I1181" s="227" t="str">
        <f>MID(excPisCofins[[#This Row],[CodBarras2]],2,50)</f>
        <v/>
      </c>
    </row>
    <row r="1182" spans="9:9" x14ac:dyDescent="0.25">
      <c r="I1182" s="227" t="str">
        <f>MID(excPisCofins[[#This Row],[CodBarras2]],2,50)</f>
        <v/>
      </c>
    </row>
    <row r="1183" spans="9:9" x14ac:dyDescent="0.25">
      <c r="I1183" s="227" t="str">
        <f>MID(excPisCofins[[#This Row],[CodBarras2]],2,50)</f>
        <v/>
      </c>
    </row>
    <row r="1184" spans="9:9" x14ac:dyDescent="0.25">
      <c r="I1184" s="227" t="str">
        <f>MID(excPisCofins[[#This Row],[CodBarras2]],2,50)</f>
        <v/>
      </c>
    </row>
    <row r="1185" spans="9:9" x14ac:dyDescent="0.25">
      <c r="I1185" s="227" t="str">
        <f>MID(excPisCofins[[#This Row],[CodBarras2]],2,50)</f>
        <v/>
      </c>
    </row>
    <row r="1186" spans="9:9" x14ac:dyDescent="0.25">
      <c r="I1186" s="227" t="str">
        <f>MID(excPisCofins[[#This Row],[CodBarras2]],2,50)</f>
        <v/>
      </c>
    </row>
    <row r="1187" spans="9:9" x14ac:dyDescent="0.25">
      <c r="I1187" s="227" t="str">
        <f>MID(excPisCofins[[#This Row],[CodBarras2]],2,50)</f>
        <v/>
      </c>
    </row>
    <row r="1188" spans="9:9" x14ac:dyDescent="0.25">
      <c r="I1188" s="227" t="str">
        <f>MID(excPisCofins[[#This Row],[CodBarras2]],2,50)</f>
        <v/>
      </c>
    </row>
    <row r="1189" spans="9:9" x14ac:dyDescent="0.25">
      <c r="I1189" s="227" t="str">
        <f>MID(excPisCofins[[#This Row],[CodBarras2]],2,50)</f>
        <v/>
      </c>
    </row>
    <row r="1190" spans="9:9" x14ac:dyDescent="0.25">
      <c r="I1190" s="227" t="str">
        <f>MID(excPisCofins[[#This Row],[CodBarras2]],2,50)</f>
        <v/>
      </c>
    </row>
    <row r="1191" spans="9:9" x14ac:dyDescent="0.25">
      <c r="I1191" s="227" t="str">
        <f>MID(excPisCofins[[#This Row],[CodBarras2]],2,50)</f>
        <v/>
      </c>
    </row>
    <row r="1192" spans="9:9" x14ac:dyDescent="0.25">
      <c r="I1192" s="227" t="str">
        <f>MID(excPisCofins[[#This Row],[CodBarras2]],2,50)</f>
        <v/>
      </c>
    </row>
    <row r="1193" spans="9:9" x14ac:dyDescent="0.25">
      <c r="I1193" s="227" t="str">
        <f>MID(excPisCofins[[#This Row],[CodBarras2]],2,50)</f>
        <v/>
      </c>
    </row>
    <row r="1194" spans="9:9" x14ac:dyDescent="0.25">
      <c r="I1194" s="227" t="str">
        <f>MID(excPisCofins[[#This Row],[CodBarras2]],2,50)</f>
        <v/>
      </c>
    </row>
    <row r="1195" spans="9:9" x14ac:dyDescent="0.25">
      <c r="I1195" s="227" t="str">
        <f>MID(excPisCofins[[#This Row],[CodBarras2]],2,50)</f>
        <v/>
      </c>
    </row>
    <row r="1196" spans="9:9" x14ac:dyDescent="0.25">
      <c r="I1196" s="227" t="str">
        <f>MID(excPisCofins[[#This Row],[CodBarras2]],2,50)</f>
        <v/>
      </c>
    </row>
    <row r="1197" spans="9:9" x14ac:dyDescent="0.25">
      <c r="I1197" s="227" t="str">
        <f>MID(excPisCofins[[#This Row],[CodBarras2]],2,50)</f>
        <v/>
      </c>
    </row>
    <row r="1198" spans="9:9" x14ac:dyDescent="0.25">
      <c r="I1198" s="227" t="str">
        <f>MID(excPisCofins[[#This Row],[CodBarras2]],2,50)</f>
        <v/>
      </c>
    </row>
    <row r="1199" spans="9:9" x14ac:dyDescent="0.25">
      <c r="I1199" s="227" t="str">
        <f>MID(excPisCofins[[#This Row],[CodBarras2]],2,50)</f>
        <v/>
      </c>
    </row>
    <row r="1200" spans="9:9" x14ac:dyDescent="0.25">
      <c r="I1200" s="227" t="str">
        <f>MID(excPisCofins[[#This Row],[CodBarras2]],2,50)</f>
        <v/>
      </c>
    </row>
    <row r="1201" spans="9:9" x14ac:dyDescent="0.25">
      <c r="I1201" s="227" t="str">
        <f>MID(excPisCofins[[#This Row],[CodBarras2]],2,50)</f>
        <v/>
      </c>
    </row>
    <row r="1202" spans="9:9" x14ac:dyDescent="0.25">
      <c r="I1202" s="227" t="str">
        <f>MID(excPisCofins[[#This Row],[CodBarras2]],2,50)</f>
        <v/>
      </c>
    </row>
    <row r="1203" spans="9:9" x14ac:dyDescent="0.25">
      <c r="I1203" s="227" t="str">
        <f>MID(excPisCofins[[#This Row],[CodBarras2]],2,50)</f>
        <v/>
      </c>
    </row>
    <row r="1204" spans="9:9" x14ac:dyDescent="0.25">
      <c r="I1204" s="227" t="str">
        <f>MID(excPisCofins[[#This Row],[CodBarras2]],2,50)</f>
        <v/>
      </c>
    </row>
    <row r="1205" spans="9:9" x14ac:dyDescent="0.25">
      <c r="I1205" s="227" t="str">
        <f>MID(excPisCofins[[#This Row],[CodBarras2]],2,50)</f>
        <v/>
      </c>
    </row>
    <row r="1206" spans="9:9" x14ac:dyDescent="0.25">
      <c r="I1206" s="227" t="str">
        <f>MID(excPisCofins[[#This Row],[CodBarras2]],2,50)</f>
        <v/>
      </c>
    </row>
    <row r="1207" spans="9:9" x14ac:dyDescent="0.25">
      <c r="I1207" s="227" t="str">
        <f>MID(excPisCofins[[#This Row],[CodBarras2]],2,50)</f>
        <v/>
      </c>
    </row>
    <row r="1208" spans="9:9" x14ac:dyDescent="0.25">
      <c r="I1208" s="227" t="str">
        <f>MID(excPisCofins[[#This Row],[CodBarras2]],2,50)</f>
        <v/>
      </c>
    </row>
    <row r="1209" spans="9:9" x14ac:dyDescent="0.25">
      <c r="I1209" s="227" t="str">
        <f>MID(excPisCofins[[#This Row],[CodBarras2]],2,50)</f>
        <v/>
      </c>
    </row>
    <row r="1210" spans="9:9" x14ac:dyDescent="0.25">
      <c r="I1210" s="227" t="str">
        <f>MID(excPisCofins[[#This Row],[CodBarras2]],2,50)</f>
        <v/>
      </c>
    </row>
    <row r="1211" spans="9:9" x14ac:dyDescent="0.25">
      <c r="I1211" s="227" t="str">
        <f>MID(excPisCofins[[#This Row],[CodBarras2]],2,50)</f>
        <v/>
      </c>
    </row>
    <row r="1212" spans="9:9" x14ac:dyDescent="0.25">
      <c r="I1212" s="227" t="str">
        <f>MID(excPisCofins[[#This Row],[CodBarras2]],2,50)</f>
        <v/>
      </c>
    </row>
    <row r="1213" spans="9:9" x14ac:dyDescent="0.25">
      <c r="I1213" s="227" t="str">
        <f>MID(excPisCofins[[#This Row],[CodBarras2]],2,50)</f>
        <v/>
      </c>
    </row>
    <row r="1214" spans="9:9" x14ac:dyDescent="0.25">
      <c r="I1214" s="227" t="str">
        <f>MID(excPisCofins[[#This Row],[CodBarras2]],2,50)</f>
        <v/>
      </c>
    </row>
    <row r="1215" spans="9:9" x14ac:dyDescent="0.25">
      <c r="I1215" s="227" t="str">
        <f>MID(excPisCofins[[#This Row],[CodBarras2]],2,50)</f>
        <v/>
      </c>
    </row>
    <row r="1216" spans="9:9" x14ac:dyDescent="0.25">
      <c r="I1216" s="227" t="str">
        <f>MID(excPisCofins[[#This Row],[CodBarras2]],2,50)</f>
        <v/>
      </c>
    </row>
    <row r="1217" spans="9:9" x14ac:dyDescent="0.25">
      <c r="I1217" s="227" t="str">
        <f>MID(excPisCofins[[#This Row],[CodBarras2]],2,50)</f>
        <v/>
      </c>
    </row>
    <row r="1218" spans="9:9" x14ac:dyDescent="0.25">
      <c r="I1218" s="227" t="str">
        <f>MID(excPisCofins[[#This Row],[CodBarras2]],2,50)</f>
        <v/>
      </c>
    </row>
    <row r="1219" spans="9:9" x14ac:dyDescent="0.25">
      <c r="I1219" s="227" t="str">
        <f>MID(excPisCofins[[#This Row],[CodBarras2]],2,50)</f>
        <v/>
      </c>
    </row>
    <row r="1220" spans="9:9" x14ac:dyDescent="0.25">
      <c r="I1220" s="227" t="str">
        <f>MID(excPisCofins[[#This Row],[CodBarras2]],2,50)</f>
        <v/>
      </c>
    </row>
    <row r="1221" spans="9:9" x14ac:dyDescent="0.25">
      <c r="I1221" s="227" t="str">
        <f>MID(excPisCofins[[#This Row],[CodBarras2]],2,50)</f>
        <v/>
      </c>
    </row>
    <row r="1222" spans="9:9" x14ac:dyDescent="0.25">
      <c r="I1222" s="227" t="str">
        <f>MID(excPisCofins[[#This Row],[CodBarras2]],2,50)</f>
        <v/>
      </c>
    </row>
    <row r="1223" spans="9:9" x14ac:dyDescent="0.25">
      <c r="I1223" s="227" t="str">
        <f>MID(excPisCofins[[#This Row],[CodBarras2]],2,50)</f>
        <v/>
      </c>
    </row>
    <row r="1224" spans="9:9" x14ac:dyDescent="0.25">
      <c r="I1224" s="227" t="str">
        <f>MID(excPisCofins[[#This Row],[CodBarras2]],2,50)</f>
        <v/>
      </c>
    </row>
    <row r="1225" spans="9:9" x14ac:dyDescent="0.25">
      <c r="I1225" s="227" t="str">
        <f>MID(excPisCofins[[#This Row],[CodBarras2]],2,50)</f>
        <v/>
      </c>
    </row>
    <row r="1226" spans="9:9" x14ac:dyDescent="0.25">
      <c r="I1226" s="227" t="str">
        <f>MID(excPisCofins[[#This Row],[CodBarras2]],2,50)</f>
        <v/>
      </c>
    </row>
    <row r="1227" spans="9:9" x14ac:dyDescent="0.25">
      <c r="I1227" s="227" t="str">
        <f>MID(excPisCofins[[#This Row],[CodBarras2]],2,50)</f>
        <v/>
      </c>
    </row>
    <row r="1228" spans="9:9" x14ac:dyDescent="0.25">
      <c r="I1228" s="227" t="str">
        <f>MID(excPisCofins[[#This Row],[CodBarras2]],2,50)</f>
        <v/>
      </c>
    </row>
    <row r="1229" spans="9:9" x14ac:dyDescent="0.25">
      <c r="I1229" s="227" t="str">
        <f>MID(excPisCofins[[#This Row],[CodBarras2]],2,50)</f>
        <v/>
      </c>
    </row>
    <row r="1230" spans="9:9" x14ac:dyDescent="0.25">
      <c r="I1230" s="227" t="str">
        <f>MID(excPisCofins[[#This Row],[CodBarras2]],2,50)</f>
        <v/>
      </c>
    </row>
    <row r="1231" spans="9:9" x14ac:dyDescent="0.25">
      <c r="I1231" s="227" t="str">
        <f>MID(excPisCofins[[#This Row],[CodBarras2]],2,50)</f>
        <v/>
      </c>
    </row>
    <row r="1232" spans="9:9" x14ac:dyDescent="0.25">
      <c r="I1232" s="227" t="str">
        <f>MID(excPisCofins[[#This Row],[CodBarras2]],2,50)</f>
        <v/>
      </c>
    </row>
    <row r="1233" spans="9:9" x14ac:dyDescent="0.25">
      <c r="I1233" s="227" t="str">
        <f>MID(excPisCofins[[#This Row],[CodBarras2]],2,50)</f>
        <v/>
      </c>
    </row>
    <row r="1234" spans="9:9" x14ac:dyDescent="0.25">
      <c r="I1234" s="227" t="str">
        <f>MID(excPisCofins[[#This Row],[CodBarras2]],2,50)</f>
        <v/>
      </c>
    </row>
    <row r="1235" spans="9:9" x14ac:dyDescent="0.25">
      <c r="I1235" s="227" t="str">
        <f>MID(excPisCofins[[#This Row],[CodBarras2]],2,50)</f>
        <v/>
      </c>
    </row>
    <row r="1236" spans="9:9" x14ac:dyDescent="0.25">
      <c r="I1236" s="227" t="str">
        <f>MID(excPisCofins[[#This Row],[CodBarras2]],2,50)</f>
        <v/>
      </c>
    </row>
    <row r="1237" spans="9:9" x14ac:dyDescent="0.25">
      <c r="I1237" s="227" t="str">
        <f>MID(excPisCofins[[#This Row],[CodBarras2]],2,50)</f>
        <v/>
      </c>
    </row>
    <row r="1238" spans="9:9" x14ac:dyDescent="0.25">
      <c r="I1238" s="227" t="str">
        <f>MID(excPisCofins[[#This Row],[CodBarras2]],2,50)</f>
        <v/>
      </c>
    </row>
    <row r="1239" spans="9:9" x14ac:dyDescent="0.25">
      <c r="I1239" s="227" t="str">
        <f>MID(excPisCofins[[#This Row],[CodBarras2]],2,50)</f>
        <v/>
      </c>
    </row>
    <row r="1240" spans="9:9" x14ac:dyDescent="0.25">
      <c r="I1240" s="227" t="str">
        <f>MID(excPisCofins[[#This Row],[CodBarras2]],2,50)</f>
        <v/>
      </c>
    </row>
    <row r="1241" spans="9:9" x14ac:dyDescent="0.25">
      <c r="I1241" s="227" t="str">
        <f>MID(excPisCofins[[#This Row],[CodBarras2]],2,50)</f>
        <v/>
      </c>
    </row>
    <row r="1242" spans="9:9" x14ac:dyDescent="0.25">
      <c r="I1242" s="227" t="str">
        <f>MID(excPisCofins[[#This Row],[CodBarras2]],2,50)</f>
        <v/>
      </c>
    </row>
    <row r="1243" spans="9:9" x14ac:dyDescent="0.25">
      <c r="I1243" s="227" t="str">
        <f>MID(excPisCofins[[#This Row],[CodBarras2]],2,50)</f>
        <v/>
      </c>
    </row>
    <row r="1244" spans="9:9" x14ac:dyDescent="0.25">
      <c r="I1244" s="227" t="str">
        <f>MID(excPisCofins[[#This Row],[CodBarras2]],2,50)</f>
        <v/>
      </c>
    </row>
    <row r="1245" spans="9:9" x14ac:dyDescent="0.25">
      <c r="I1245" s="227" t="str">
        <f>MID(excPisCofins[[#This Row],[CodBarras2]],2,50)</f>
        <v/>
      </c>
    </row>
    <row r="1246" spans="9:9" x14ac:dyDescent="0.25">
      <c r="I1246" s="227" t="str">
        <f>MID(excPisCofins[[#This Row],[CodBarras2]],2,50)</f>
        <v/>
      </c>
    </row>
    <row r="1247" spans="9:9" x14ac:dyDescent="0.25">
      <c r="I1247" s="227" t="str">
        <f>MID(excPisCofins[[#This Row],[CodBarras2]],2,50)</f>
        <v/>
      </c>
    </row>
    <row r="1248" spans="9:9" x14ac:dyDescent="0.25">
      <c r="I1248" s="227" t="str">
        <f>MID(excPisCofins[[#This Row],[CodBarras2]],2,50)</f>
        <v/>
      </c>
    </row>
    <row r="1249" spans="9:9" x14ac:dyDescent="0.25">
      <c r="I1249" s="227" t="str">
        <f>MID(excPisCofins[[#This Row],[CodBarras2]],2,50)</f>
        <v/>
      </c>
    </row>
    <row r="1250" spans="9:9" x14ac:dyDescent="0.25">
      <c r="I1250" s="227" t="str">
        <f>MID(excPisCofins[[#This Row],[CodBarras2]],2,50)</f>
        <v/>
      </c>
    </row>
    <row r="1251" spans="9:9" x14ac:dyDescent="0.25">
      <c r="I1251" s="227" t="str">
        <f>MID(excPisCofins[[#This Row],[CodBarras2]],2,50)</f>
        <v/>
      </c>
    </row>
    <row r="1252" spans="9:9" x14ac:dyDescent="0.25">
      <c r="I1252" s="227" t="str">
        <f>MID(excPisCofins[[#This Row],[CodBarras2]],2,50)</f>
        <v/>
      </c>
    </row>
    <row r="1253" spans="9:9" x14ac:dyDescent="0.25">
      <c r="I1253" s="227" t="str">
        <f>MID(excPisCofins[[#This Row],[CodBarras2]],2,50)</f>
        <v/>
      </c>
    </row>
    <row r="1254" spans="9:9" x14ac:dyDescent="0.25">
      <c r="I1254" s="227" t="str">
        <f>MID(excPisCofins[[#This Row],[CodBarras2]],2,50)</f>
        <v/>
      </c>
    </row>
    <row r="1255" spans="9:9" x14ac:dyDescent="0.25">
      <c r="I1255" s="227" t="str">
        <f>MID(excPisCofins[[#This Row],[CodBarras2]],2,50)</f>
        <v/>
      </c>
    </row>
    <row r="1256" spans="9:9" x14ac:dyDescent="0.25">
      <c r="I1256" s="227" t="str">
        <f>MID(excPisCofins[[#This Row],[CodBarras2]],2,50)</f>
        <v/>
      </c>
    </row>
    <row r="1257" spans="9:9" x14ac:dyDescent="0.25">
      <c r="I1257" s="227" t="str">
        <f>MID(excPisCofins[[#This Row],[CodBarras2]],2,50)</f>
        <v/>
      </c>
    </row>
    <row r="1258" spans="9:9" x14ac:dyDescent="0.25">
      <c r="I1258" s="227" t="str">
        <f>MID(excPisCofins[[#This Row],[CodBarras2]],2,50)</f>
        <v/>
      </c>
    </row>
    <row r="1259" spans="9:9" x14ac:dyDescent="0.25">
      <c r="I1259" s="227" t="str">
        <f>MID(excPisCofins[[#This Row],[CodBarras2]],2,50)</f>
        <v/>
      </c>
    </row>
    <row r="1260" spans="9:9" x14ac:dyDescent="0.25">
      <c r="I1260" s="227" t="str">
        <f>MID(excPisCofins[[#This Row],[CodBarras2]],2,50)</f>
        <v/>
      </c>
    </row>
    <row r="1261" spans="9:9" x14ac:dyDescent="0.25">
      <c r="I1261" s="227" t="str">
        <f>MID(excPisCofins[[#This Row],[CodBarras2]],2,50)</f>
        <v/>
      </c>
    </row>
    <row r="1262" spans="9:9" x14ac:dyDescent="0.25">
      <c r="I1262" s="227" t="str">
        <f>MID(excPisCofins[[#This Row],[CodBarras2]],2,50)</f>
        <v/>
      </c>
    </row>
    <row r="1263" spans="9:9" x14ac:dyDescent="0.25">
      <c r="I1263" s="227" t="str">
        <f>MID(excPisCofins[[#This Row],[CodBarras2]],2,50)</f>
        <v/>
      </c>
    </row>
    <row r="1264" spans="9:9" x14ac:dyDescent="0.25">
      <c r="I1264" s="227" t="str">
        <f>MID(excPisCofins[[#This Row],[CodBarras2]],2,50)</f>
        <v/>
      </c>
    </row>
    <row r="1265" spans="9:9" x14ac:dyDescent="0.25">
      <c r="I1265" s="227" t="str">
        <f>MID(excPisCofins[[#This Row],[CodBarras2]],2,50)</f>
        <v/>
      </c>
    </row>
    <row r="1266" spans="9:9" x14ac:dyDescent="0.25">
      <c r="I1266" s="227" t="str">
        <f>MID(excPisCofins[[#This Row],[CodBarras2]],2,50)</f>
        <v/>
      </c>
    </row>
    <row r="1267" spans="9:9" x14ac:dyDescent="0.25">
      <c r="I1267" s="227" t="str">
        <f>MID(excPisCofins[[#This Row],[CodBarras2]],2,50)</f>
        <v/>
      </c>
    </row>
    <row r="1268" spans="9:9" x14ac:dyDescent="0.25">
      <c r="I1268" s="227" t="str">
        <f>MID(excPisCofins[[#This Row],[CodBarras2]],2,50)</f>
        <v/>
      </c>
    </row>
    <row r="1269" spans="9:9" x14ac:dyDescent="0.25">
      <c r="I1269" s="227" t="str">
        <f>MID(excPisCofins[[#This Row],[CodBarras2]],2,50)</f>
        <v/>
      </c>
    </row>
    <row r="1270" spans="9:9" x14ac:dyDescent="0.25">
      <c r="I1270" s="227" t="str">
        <f>MID(excPisCofins[[#This Row],[CodBarras2]],2,50)</f>
        <v/>
      </c>
    </row>
    <row r="1271" spans="9:9" x14ac:dyDescent="0.25">
      <c r="I1271" s="227" t="str">
        <f>MID(excPisCofins[[#This Row],[CodBarras2]],2,50)</f>
        <v/>
      </c>
    </row>
    <row r="1272" spans="9:9" x14ac:dyDescent="0.25">
      <c r="I1272" s="227" t="str">
        <f>MID(excPisCofins[[#This Row],[CodBarras2]],2,50)</f>
        <v/>
      </c>
    </row>
    <row r="1273" spans="9:9" x14ac:dyDescent="0.25">
      <c r="I1273" s="227" t="str">
        <f>MID(excPisCofins[[#This Row],[CodBarras2]],2,50)</f>
        <v/>
      </c>
    </row>
    <row r="1274" spans="9:9" x14ac:dyDescent="0.25">
      <c r="I1274" s="227" t="str">
        <f>MID(excPisCofins[[#This Row],[CodBarras2]],2,50)</f>
        <v/>
      </c>
    </row>
    <row r="1275" spans="9:9" x14ac:dyDescent="0.25">
      <c r="I1275" s="227" t="str">
        <f>MID(excPisCofins[[#This Row],[CodBarras2]],2,50)</f>
        <v/>
      </c>
    </row>
    <row r="1276" spans="9:9" x14ac:dyDescent="0.25">
      <c r="I1276" s="227" t="str">
        <f>MID(excPisCofins[[#This Row],[CodBarras2]],2,50)</f>
        <v/>
      </c>
    </row>
    <row r="1277" spans="9:9" x14ac:dyDescent="0.25">
      <c r="I1277" s="227" t="str">
        <f>MID(excPisCofins[[#This Row],[CodBarras2]],2,50)</f>
        <v/>
      </c>
    </row>
    <row r="1278" spans="9:9" x14ac:dyDescent="0.25">
      <c r="I1278" s="227" t="str">
        <f>MID(excPisCofins[[#This Row],[CodBarras2]],2,50)</f>
        <v/>
      </c>
    </row>
    <row r="1279" spans="9:9" x14ac:dyDescent="0.25">
      <c r="I1279" s="227" t="str">
        <f>MID(excPisCofins[[#This Row],[CodBarras2]],2,50)</f>
        <v/>
      </c>
    </row>
    <row r="1280" spans="9:9" x14ac:dyDescent="0.25">
      <c r="I1280" s="227" t="str">
        <f>MID(excPisCofins[[#This Row],[CodBarras2]],2,50)</f>
        <v/>
      </c>
    </row>
    <row r="1281" spans="9:9" x14ac:dyDescent="0.25">
      <c r="I1281" s="227" t="str">
        <f>MID(excPisCofins[[#This Row],[CodBarras2]],2,50)</f>
        <v/>
      </c>
    </row>
    <row r="1282" spans="9:9" x14ac:dyDescent="0.25">
      <c r="I1282" s="227" t="str">
        <f>MID(excPisCofins[[#This Row],[CodBarras2]],2,50)</f>
        <v/>
      </c>
    </row>
    <row r="1283" spans="9:9" x14ac:dyDescent="0.25">
      <c r="I1283" s="227" t="str">
        <f>MID(excPisCofins[[#This Row],[CodBarras2]],2,50)</f>
        <v/>
      </c>
    </row>
    <row r="1284" spans="9:9" x14ac:dyDescent="0.25">
      <c r="I1284" s="227" t="str">
        <f>MID(excPisCofins[[#This Row],[CodBarras2]],2,50)</f>
        <v/>
      </c>
    </row>
    <row r="1285" spans="9:9" x14ac:dyDescent="0.25">
      <c r="I1285" s="227" t="str">
        <f>MID(excPisCofins[[#This Row],[CodBarras2]],2,50)</f>
        <v/>
      </c>
    </row>
    <row r="1286" spans="9:9" x14ac:dyDescent="0.25">
      <c r="I1286" s="227" t="str">
        <f>MID(excPisCofins[[#This Row],[CodBarras2]],2,50)</f>
        <v/>
      </c>
    </row>
    <row r="1287" spans="9:9" x14ac:dyDescent="0.25">
      <c r="I1287" s="227" t="str">
        <f>MID(excPisCofins[[#This Row],[CodBarras2]],2,50)</f>
        <v/>
      </c>
    </row>
    <row r="1288" spans="9:9" x14ac:dyDescent="0.25">
      <c r="I1288" s="227" t="str">
        <f>MID(excPisCofins[[#This Row],[CodBarras2]],2,50)</f>
        <v/>
      </c>
    </row>
    <row r="1289" spans="9:9" x14ac:dyDescent="0.25">
      <c r="I1289" s="227" t="str">
        <f>MID(excPisCofins[[#This Row],[CodBarras2]],2,50)</f>
        <v/>
      </c>
    </row>
    <row r="1290" spans="9:9" x14ac:dyDescent="0.25">
      <c r="I1290" s="227" t="str">
        <f>MID(excPisCofins[[#This Row],[CodBarras2]],2,50)</f>
        <v/>
      </c>
    </row>
    <row r="1291" spans="9:9" x14ac:dyDescent="0.25">
      <c r="I1291" s="227" t="str">
        <f>MID(excPisCofins[[#This Row],[CodBarras2]],2,50)</f>
        <v/>
      </c>
    </row>
    <row r="1292" spans="9:9" x14ac:dyDescent="0.25">
      <c r="I1292" s="227" t="str">
        <f>MID(excPisCofins[[#This Row],[CodBarras2]],2,50)</f>
        <v/>
      </c>
    </row>
    <row r="1293" spans="9:9" x14ac:dyDescent="0.25">
      <c r="I1293" s="227" t="str">
        <f>MID(excPisCofins[[#This Row],[CodBarras2]],2,50)</f>
        <v/>
      </c>
    </row>
    <row r="1294" spans="9:9" x14ac:dyDescent="0.25">
      <c r="I1294" s="227" t="str">
        <f>MID(excPisCofins[[#This Row],[CodBarras2]],2,50)</f>
        <v/>
      </c>
    </row>
    <row r="1295" spans="9:9" x14ac:dyDescent="0.25">
      <c r="I1295" s="227" t="str">
        <f>MID(excPisCofins[[#This Row],[CodBarras2]],2,50)</f>
        <v/>
      </c>
    </row>
    <row r="1296" spans="9:9" x14ac:dyDescent="0.25">
      <c r="I1296" s="227" t="str">
        <f>MID(excPisCofins[[#This Row],[CodBarras2]],2,50)</f>
        <v/>
      </c>
    </row>
    <row r="1297" spans="9:9" x14ac:dyDescent="0.25">
      <c r="I1297" s="227" t="str">
        <f>MID(excPisCofins[[#This Row],[CodBarras2]],2,50)</f>
        <v/>
      </c>
    </row>
    <row r="1298" spans="9:9" x14ac:dyDescent="0.25">
      <c r="I1298" s="227" t="str">
        <f>MID(excPisCofins[[#This Row],[CodBarras2]],2,50)</f>
        <v/>
      </c>
    </row>
    <row r="1299" spans="9:9" x14ac:dyDescent="0.25">
      <c r="I1299" s="227" t="str">
        <f>MID(excPisCofins[[#This Row],[CodBarras2]],2,50)</f>
        <v/>
      </c>
    </row>
    <row r="1300" spans="9:9" x14ac:dyDescent="0.25">
      <c r="I1300" s="227" t="str">
        <f>MID(excPisCofins[[#This Row],[CodBarras2]],2,50)</f>
        <v/>
      </c>
    </row>
    <row r="1301" spans="9:9" x14ac:dyDescent="0.25">
      <c r="I1301" s="227" t="str">
        <f>MID(excPisCofins[[#This Row],[CodBarras2]],2,50)</f>
        <v/>
      </c>
    </row>
    <row r="1302" spans="9:9" x14ac:dyDescent="0.25">
      <c r="I1302" s="227" t="str">
        <f>MID(excPisCofins[[#This Row],[CodBarras2]],2,50)</f>
        <v/>
      </c>
    </row>
    <row r="1303" spans="9:9" x14ac:dyDescent="0.25">
      <c r="I1303" s="227" t="str">
        <f>MID(excPisCofins[[#This Row],[CodBarras2]],2,50)</f>
        <v/>
      </c>
    </row>
    <row r="1304" spans="9:9" x14ac:dyDescent="0.25">
      <c r="I1304" s="227" t="str">
        <f>MID(excPisCofins[[#This Row],[CodBarras2]],2,50)</f>
        <v/>
      </c>
    </row>
    <row r="1305" spans="9:9" x14ac:dyDescent="0.25">
      <c r="I1305" s="227" t="str">
        <f>MID(excPisCofins[[#This Row],[CodBarras2]],2,50)</f>
        <v/>
      </c>
    </row>
    <row r="1306" spans="9:9" x14ac:dyDescent="0.25">
      <c r="I1306" s="227" t="str">
        <f>MID(excPisCofins[[#This Row],[CodBarras2]],2,50)</f>
        <v/>
      </c>
    </row>
    <row r="1307" spans="9:9" x14ac:dyDescent="0.25">
      <c r="I1307" s="227" t="str">
        <f>MID(excPisCofins[[#This Row],[CodBarras2]],2,50)</f>
        <v/>
      </c>
    </row>
    <row r="1308" spans="9:9" x14ac:dyDescent="0.25">
      <c r="I1308" s="227" t="str">
        <f>MID(excPisCofins[[#This Row],[CodBarras2]],2,50)</f>
        <v/>
      </c>
    </row>
    <row r="1309" spans="9:9" x14ac:dyDescent="0.25">
      <c r="I1309" s="227" t="str">
        <f>MID(excPisCofins[[#This Row],[CodBarras2]],2,50)</f>
        <v/>
      </c>
    </row>
    <row r="1310" spans="9:9" x14ac:dyDescent="0.25">
      <c r="I1310" s="227" t="str">
        <f>MID(excPisCofins[[#This Row],[CodBarras2]],2,50)</f>
        <v/>
      </c>
    </row>
    <row r="1311" spans="9:9" x14ac:dyDescent="0.25">
      <c r="I1311" s="227" t="str">
        <f>MID(excPisCofins[[#This Row],[CodBarras2]],2,50)</f>
        <v/>
      </c>
    </row>
    <row r="1312" spans="9:9" x14ac:dyDescent="0.25">
      <c r="I1312" s="227" t="str">
        <f>MID(excPisCofins[[#This Row],[CodBarras2]],2,50)</f>
        <v/>
      </c>
    </row>
    <row r="1313" spans="9:9" x14ac:dyDescent="0.25">
      <c r="I1313" s="227" t="str">
        <f>MID(excPisCofins[[#This Row],[CodBarras2]],2,50)</f>
        <v/>
      </c>
    </row>
    <row r="1314" spans="9:9" x14ac:dyDescent="0.25">
      <c r="I1314" s="227" t="str">
        <f>MID(excPisCofins[[#This Row],[CodBarras2]],2,50)</f>
        <v/>
      </c>
    </row>
    <row r="1315" spans="9:9" x14ac:dyDescent="0.25">
      <c r="I1315" s="227" t="str">
        <f>MID(excPisCofins[[#This Row],[CodBarras2]],2,50)</f>
        <v/>
      </c>
    </row>
    <row r="1316" spans="9:9" x14ac:dyDescent="0.25">
      <c r="I1316" s="227" t="str">
        <f>MID(excPisCofins[[#This Row],[CodBarras2]],2,50)</f>
        <v/>
      </c>
    </row>
    <row r="1317" spans="9:9" x14ac:dyDescent="0.25">
      <c r="I1317" s="227" t="str">
        <f>MID(excPisCofins[[#This Row],[CodBarras2]],2,50)</f>
        <v/>
      </c>
    </row>
    <row r="1318" spans="9:9" x14ac:dyDescent="0.25">
      <c r="I1318" s="227" t="str">
        <f>MID(excPisCofins[[#This Row],[CodBarras2]],2,50)</f>
        <v/>
      </c>
    </row>
    <row r="1319" spans="9:9" x14ac:dyDescent="0.25">
      <c r="I1319" s="227" t="str">
        <f>MID(excPisCofins[[#This Row],[CodBarras2]],2,50)</f>
        <v/>
      </c>
    </row>
    <row r="1320" spans="9:9" x14ac:dyDescent="0.25">
      <c r="I1320" s="227" t="str">
        <f>MID(excPisCofins[[#This Row],[CodBarras2]],2,50)</f>
        <v/>
      </c>
    </row>
    <row r="1321" spans="9:9" x14ac:dyDescent="0.25">
      <c r="I1321" s="227" t="str">
        <f>MID(excPisCofins[[#This Row],[CodBarras2]],2,50)</f>
        <v/>
      </c>
    </row>
    <row r="1322" spans="9:9" x14ac:dyDescent="0.25">
      <c r="I1322" s="227" t="str">
        <f>MID(excPisCofins[[#This Row],[CodBarras2]],2,50)</f>
        <v/>
      </c>
    </row>
    <row r="1323" spans="9:9" x14ac:dyDescent="0.25">
      <c r="I1323" s="227" t="str">
        <f>MID(excPisCofins[[#This Row],[CodBarras2]],2,50)</f>
        <v/>
      </c>
    </row>
    <row r="1324" spans="9:9" x14ac:dyDescent="0.25">
      <c r="I1324" s="227" t="str">
        <f>MID(excPisCofins[[#This Row],[CodBarras2]],2,50)</f>
        <v/>
      </c>
    </row>
    <row r="1325" spans="9:9" x14ac:dyDescent="0.25">
      <c r="I1325" s="227" t="str">
        <f>MID(excPisCofins[[#This Row],[CodBarras2]],2,50)</f>
        <v/>
      </c>
    </row>
    <row r="1326" spans="9:9" x14ac:dyDescent="0.25">
      <c r="I1326" s="227" t="str">
        <f>MID(excPisCofins[[#This Row],[CodBarras2]],2,50)</f>
        <v/>
      </c>
    </row>
    <row r="1327" spans="9:9" x14ac:dyDescent="0.25">
      <c r="I1327" s="227" t="str">
        <f>MID(excPisCofins[[#This Row],[CodBarras2]],2,50)</f>
        <v/>
      </c>
    </row>
    <row r="1328" spans="9:9" x14ac:dyDescent="0.25">
      <c r="I1328" s="227" t="str">
        <f>MID(excPisCofins[[#This Row],[CodBarras2]],2,50)</f>
        <v/>
      </c>
    </row>
    <row r="1329" spans="9:9" x14ac:dyDescent="0.25">
      <c r="I1329" s="227" t="str">
        <f>MID(excPisCofins[[#This Row],[CodBarras2]],2,50)</f>
        <v/>
      </c>
    </row>
    <row r="1330" spans="9:9" x14ac:dyDescent="0.25">
      <c r="I1330" s="227" t="str">
        <f>MID(excPisCofins[[#This Row],[CodBarras2]],2,50)</f>
        <v/>
      </c>
    </row>
    <row r="1331" spans="9:9" x14ac:dyDescent="0.25">
      <c r="I1331" s="227" t="str">
        <f>MID(excPisCofins[[#This Row],[CodBarras2]],2,50)</f>
        <v/>
      </c>
    </row>
    <row r="1332" spans="9:9" x14ac:dyDescent="0.25">
      <c r="I1332" s="227" t="str">
        <f>MID(excPisCofins[[#This Row],[CodBarras2]],2,50)</f>
        <v/>
      </c>
    </row>
    <row r="1333" spans="9:9" x14ac:dyDescent="0.25">
      <c r="I1333" s="227" t="str">
        <f>MID(excPisCofins[[#This Row],[CodBarras2]],2,50)</f>
        <v/>
      </c>
    </row>
    <row r="1334" spans="9:9" x14ac:dyDescent="0.25">
      <c r="I1334" s="227" t="str">
        <f>MID(excPisCofins[[#This Row],[CodBarras2]],2,50)</f>
        <v/>
      </c>
    </row>
    <row r="1335" spans="9:9" x14ac:dyDescent="0.25">
      <c r="I1335" s="227" t="str">
        <f>MID(excPisCofins[[#This Row],[CodBarras2]],2,50)</f>
        <v/>
      </c>
    </row>
    <row r="1336" spans="9:9" x14ac:dyDescent="0.25">
      <c r="I1336" s="227" t="str">
        <f>MID(excPisCofins[[#This Row],[CodBarras2]],2,50)</f>
        <v/>
      </c>
    </row>
    <row r="1337" spans="9:9" x14ac:dyDescent="0.25">
      <c r="I1337" s="227" t="str">
        <f>MID(excPisCofins[[#This Row],[CodBarras2]],2,50)</f>
        <v/>
      </c>
    </row>
    <row r="1338" spans="9:9" x14ac:dyDescent="0.25">
      <c r="I1338" s="227" t="str">
        <f>MID(excPisCofins[[#This Row],[CodBarras2]],2,50)</f>
        <v/>
      </c>
    </row>
    <row r="1339" spans="9:9" x14ac:dyDescent="0.25">
      <c r="I1339" s="227" t="str">
        <f>MID(excPisCofins[[#This Row],[CodBarras2]],2,50)</f>
        <v/>
      </c>
    </row>
    <row r="1340" spans="9:9" x14ac:dyDescent="0.25">
      <c r="I1340" s="227" t="str">
        <f>MID(excPisCofins[[#This Row],[CodBarras2]],2,50)</f>
        <v/>
      </c>
    </row>
    <row r="1341" spans="9:9" x14ac:dyDescent="0.25">
      <c r="I1341" s="227" t="str">
        <f>MID(excPisCofins[[#This Row],[CodBarras2]],2,50)</f>
        <v/>
      </c>
    </row>
    <row r="1342" spans="9:9" x14ac:dyDescent="0.25">
      <c r="I1342" s="227" t="str">
        <f>MID(excPisCofins[[#This Row],[CodBarras2]],2,50)</f>
        <v/>
      </c>
    </row>
    <row r="1343" spans="9:9" x14ac:dyDescent="0.25">
      <c r="I1343" s="227" t="str">
        <f>MID(excPisCofins[[#This Row],[CodBarras2]],2,50)</f>
        <v/>
      </c>
    </row>
    <row r="1344" spans="9:9" x14ac:dyDescent="0.25">
      <c r="I1344" s="227" t="str">
        <f>MID(excPisCofins[[#This Row],[CodBarras2]],2,50)</f>
        <v/>
      </c>
    </row>
    <row r="1345" spans="9:9" x14ac:dyDescent="0.25">
      <c r="I1345" s="227" t="str">
        <f>MID(excPisCofins[[#This Row],[CodBarras2]],2,50)</f>
        <v/>
      </c>
    </row>
    <row r="1346" spans="9:9" x14ac:dyDescent="0.25">
      <c r="I1346" s="227" t="str">
        <f>MID(excPisCofins[[#This Row],[CodBarras2]],2,50)</f>
        <v/>
      </c>
    </row>
    <row r="1347" spans="9:9" x14ac:dyDescent="0.25">
      <c r="I1347" s="227" t="str">
        <f>MID(excPisCofins[[#This Row],[CodBarras2]],2,50)</f>
        <v/>
      </c>
    </row>
    <row r="1348" spans="9:9" x14ac:dyDescent="0.25">
      <c r="I1348" s="227" t="str">
        <f>MID(excPisCofins[[#This Row],[CodBarras2]],2,50)</f>
        <v/>
      </c>
    </row>
    <row r="1349" spans="9:9" x14ac:dyDescent="0.25">
      <c r="I1349" s="227" t="str">
        <f>MID(excPisCofins[[#This Row],[CodBarras2]],2,50)</f>
        <v/>
      </c>
    </row>
    <row r="1350" spans="9:9" x14ac:dyDescent="0.25">
      <c r="I1350" s="227" t="str">
        <f>MID(excPisCofins[[#This Row],[CodBarras2]],2,50)</f>
        <v/>
      </c>
    </row>
    <row r="1351" spans="9:9" x14ac:dyDescent="0.25">
      <c r="I1351" s="227" t="str">
        <f>MID(excPisCofins[[#This Row],[CodBarras2]],2,50)</f>
        <v/>
      </c>
    </row>
    <row r="1352" spans="9:9" x14ac:dyDescent="0.25">
      <c r="I1352" s="227" t="str">
        <f>MID(excPisCofins[[#This Row],[CodBarras2]],2,50)</f>
        <v/>
      </c>
    </row>
    <row r="1353" spans="9:9" x14ac:dyDescent="0.25">
      <c r="I1353" s="227" t="str">
        <f>MID(excPisCofins[[#This Row],[CodBarras2]],2,50)</f>
        <v/>
      </c>
    </row>
    <row r="1354" spans="9:9" x14ac:dyDescent="0.25">
      <c r="I1354" s="227" t="str">
        <f>MID(excPisCofins[[#This Row],[CodBarras2]],2,50)</f>
        <v/>
      </c>
    </row>
    <row r="1355" spans="9:9" x14ac:dyDescent="0.25">
      <c r="I1355" s="227" t="str">
        <f>MID(excPisCofins[[#This Row],[CodBarras2]],2,50)</f>
        <v/>
      </c>
    </row>
    <row r="1356" spans="9:9" x14ac:dyDescent="0.25">
      <c r="I1356" s="227" t="str">
        <f>MID(excPisCofins[[#This Row],[CodBarras2]],2,50)</f>
        <v/>
      </c>
    </row>
    <row r="1357" spans="9:9" x14ac:dyDescent="0.25">
      <c r="I1357" s="227" t="str">
        <f>MID(excPisCofins[[#This Row],[CodBarras2]],2,50)</f>
        <v/>
      </c>
    </row>
    <row r="1358" spans="9:9" x14ac:dyDescent="0.25">
      <c r="I1358" s="227" t="str">
        <f>MID(excPisCofins[[#This Row],[CodBarras2]],2,50)</f>
        <v/>
      </c>
    </row>
    <row r="1359" spans="9:9" x14ac:dyDescent="0.25">
      <c r="I1359" s="227" t="str">
        <f>MID(excPisCofins[[#This Row],[CodBarras2]],2,50)</f>
        <v/>
      </c>
    </row>
    <row r="1360" spans="9:9" x14ac:dyDescent="0.25">
      <c r="I1360" s="227" t="str">
        <f>MID(excPisCofins[[#This Row],[CodBarras2]],2,50)</f>
        <v/>
      </c>
    </row>
    <row r="1361" spans="9:9" x14ac:dyDescent="0.25">
      <c r="I1361" s="227" t="str">
        <f>MID(excPisCofins[[#This Row],[CodBarras2]],2,50)</f>
        <v/>
      </c>
    </row>
    <row r="1362" spans="9:9" x14ac:dyDescent="0.25">
      <c r="I1362" s="227" t="str">
        <f>MID(excPisCofins[[#This Row],[CodBarras2]],2,50)</f>
        <v/>
      </c>
    </row>
    <row r="1363" spans="9:9" x14ac:dyDescent="0.25">
      <c r="I1363" s="227" t="str">
        <f>MID(excPisCofins[[#This Row],[CodBarras2]],2,50)</f>
        <v/>
      </c>
    </row>
    <row r="1364" spans="9:9" x14ac:dyDescent="0.25">
      <c r="I1364" s="227" t="str">
        <f>MID(excPisCofins[[#This Row],[CodBarras2]],2,50)</f>
        <v/>
      </c>
    </row>
    <row r="1365" spans="9:9" x14ac:dyDescent="0.25">
      <c r="I1365" s="227" t="str">
        <f>MID(excPisCofins[[#This Row],[CodBarras2]],2,50)</f>
        <v/>
      </c>
    </row>
    <row r="1366" spans="9:9" x14ac:dyDescent="0.25">
      <c r="I1366" s="227" t="str">
        <f>MID(excPisCofins[[#This Row],[CodBarras2]],2,50)</f>
        <v/>
      </c>
    </row>
    <row r="1367" spans="9:9" x14ac:dyDescent="0.25">
      <c r="I1367" s="227" t="str">
        <f>MID(excPisCofins[[#This Row],[CodBarras2]],2,50)</f>
        <v/>
      </c>
    </row>
    <row r="1368" spans="9:9" x14ac:dyDescent="0.25">
      <c r="I1368" s="227" t="str">
        <f>MID(excPisCofins[[#This Row],[CodBarras2]],2,50)</f>
        <v/>
      </c>
    </row>
    <row r="1369" spans="9:9" x14ac:dyDescent="0.25">
      <c r="I1369" s="227" t="str">
        <f>MID(excPisCofins[[#This Row],[CodBarras2]],2,50)</f>
        <v/>
      </c>
    </row>
    <row r="1370" spans="9:9" x14ac:dyDescent="0.25">
      <c r="I1370" s="227" t="str">
        <f>MID(excPisCofins[[#This Row],[CodBarras2]],2,50)</f>
        <v/>
      </c>
    </row>
    <row r="1371" spans="9:9" x14ac:dyDescent="0.25">
      <c r="I1371" s="227" t="str">
        <f>MID(excPisCofins[[#This Row],[CodBarras2]],2,50)</f>
        <v/>
      </c>
    </row>
    <row r="1372" spans="9:9" x14ac:dyDescent="0.25">
      <c r="I1372" s="227" t="str">
        <f>MID(excPisCofins[[#This Row],[CodBarras2]],2,50)</f>
        <v/>
      </c>
    </row>
    <row r="1373" spans="9:9" x14ac:dyDescent="0.25">
      <c r="I1373" s="227" t="str">
        <f>MID(excPisCofins[[#This Row],[CodBarras2]],2,50)</f>
        <v/>
      </c>
    </row>
    <row r="1374" spans="9:9" x14ac:dyDescent="0.25">
      <c r="I1374" s="227" t="str">
        <f>MID(excPisCofins[[#This Row],[CodBarras2]],2,50)</f>
        <v/>
      </c>
    </row>
    <row r="1375" spans="9:9" x14ac:dyDescent="0.25">
      <c r="I1375" s="227" t="str">
        <f>MID(excPisCofins[[#This Row],[CodBarras2]],2,50)</f>
        <v/>
      </c>
    </row>
    <row r="1376" spans="9:9" x14ac:dyDescent="0.25">
      <c r="I1376" s="227" t="str">
        <f>MID(excPisCofins[[#This Row],[CodBarras2]],2,50)</f>
        <v/>
      </c>
    </row>
    <row r="1377" spans="9:9" x14ac:dyDescent="0.25">
      <c r="I1377" s="227" t="str">
        <f>MID(excPisCofins[[#This Row],[CodBarras2]],2,50)</f>
        <v/>
      </c>
    </row>
    <row r="1378" spans="9:9" x14ac:dyDescent="0.25">
      <c r="I1378" s="227" t="str">
        <f>MID(excPisCofins[[#This Row],[CodBarras2]],2,50)</f>
        <v/>
      </c>
    </row>
    <row r="1379" spans="9:9" x14ac:dyDescent="0.25">
      <c r="I1379" s="227" t="str">
        <f>MID(excPisCofins[[#This Row],[CodBarras2]],2,50)</f>
        <v/>
      </c>
    </row>
    <row r="1380" spans="9:9" x14ac:dyDescent="0.25">
      <c r="I1380" s="227" t="str">
        <f>MID(excPisCofins[[#This Row],[CodBarras2]],2,50)</f>
        <v/>
      </c>
    </row>
    <row r="1381" spans="9:9" x14ac:dyDescent="0.25">
      <c r="I1381" s="227" t="str">
        <f>MID(excPisCofins[[#This Row],[CodBarras2]],2,50)</f>
        <v/>
      </c>
    </row>
    <row r="1382" spans="9:9" x14ac:dyDescent="0.25">
      <c r="I1382" s="227" t="str">
        <f>MID(excPisCofins[[#This Row],[CodBarras2]],2,50)</f>
        <v/>
      </c>
    </row>
    <row r="1383" spans="9:9" x14ac:dyDescent="0.25">
      <c r="I1383" s="227" t="str">
        <f>MID(excPisCofins[[#This Row],[CodBarras2]],2,50)</f>
        <v/>
      </c>
    </row>
    <row r="1384" spans="9:9" x14ac:dyDescent="0.25">
      <c r="I1384" s="227" t="str">
        <f>MID(excPisCofins[[#This Row],[CodBarras2]],2,50)</f>
        <v/>
      </c>
    </row>
    <row r="1385" spans="9:9" x14ac:dyDescent="0.25">
      <c r="I1385" s="227" t="str">
        <f>MID(excPisCofins[[#This Row],[CodBarras2]],2,50)</f>
        <v/>
      </c>
    </row>
    <row r="1386" spans="9:9" x14ac:dyDescent="0.25">
      <c r="I1386" s="227" t="str">
        <f>MID(excPisCofins[[#This Row],[CodBarras2]],2,50)</f>
        <v/>
      </c>
    </row>
    <row r="1387" spans="9:9" x14ac:dyDescent="0.25">
      <c r="I1387" s="227" t="str">
        <f>MID(excPisCofins[[#This Row],[CodBarras2]],2,50)</f>
        <v/>
      </c>
    </row>
    <row r="1388" spans="9:9" x14ac:dyDescent="0.25">
      <c r="I1388" s="227" t="str">
        <f>MID(excPisCofins[[#This Row],[CodBarras2]],2,50)</f>
        <v/>
      </c>
    </row>
    <row r="1389" spans="9:9" x14ac:dyDescent="0.25">
      <c r="I1389" s="227" t="str">
        <f>MID(excPisCofins[[#This Row],[CodBarras2]],2,50)</f>
        <v/>
      </c>
    </row>
    <row r="1390" spans="9:9" x14ac:dyDescent="0.25">
      <c r="I1390" s="227" t="str">
        <f>MID(excPisCofins[[#This Row],[CodBarras2]],2,50)</f>
        <v/>
      </c>
    </row>
    <row r="1391" spans="9:9" x14ac:dyDescent="0.25">
      <c r="I1391" s="227" t="str">
        <f>MID(excPisCofins[[#This Row],[CodBarras2]],2,50)</f>
        <v/>
      </c>
    </row>
    <row r="1392" spans="9:9" x14ac:dyDescent="0.25">
      <c r="I1392" s="227" t="str">
        <f>MID(excPisCofins[[#This Row],[CodBarras2]],2,50)</f>
        <v/>
      </c>
    </row>
    <row r="1393" spans="9:9" x14ac:dyDescent="0.25">
      <c r="I1393" s="227" t="str">
        <f>MID(excPisCofins[[#This Row],[CodBarras2]],2,50)</f>
        <v/>
      </c>
    </row>
    <row r="1394" spans="9:9" x14ac:dyDescent="0.25">
      <c r="I1394" s="227" t="str">
        <f>MID(excPisCofins[[#This Row],[CodBarras2]],2,50)</f>
        <v/>
      </c>
    </row>
    <row r="1395" spans="9:9" x14ac:dyDescent="0.25">
      <c r="I1395" s="227" t="str">
        <f>MID(excPisCofins[[#This Row],[CodBarras2]],2,50)</f>
        <v/>
      </c>
    </row>
    <row r="1396" spans="9:9" x14ac:dyDescent="0.25">
      <c r="I1396" s="227" t="str">
        <f>MID(excPisCofins[[#This Row],[CodBarras2]],2,50)</f>
        <v/>
      </c>
    </row>
    <row r="1397" spans="9:9" x14ac:dyDescent="0.25">
      <c r="I1397" s="227" t="str">
        <f>MID(excPisCofins[[#This Row],[CodBarras2]],2,50)</f>
        <v/>
      </c>
    </row>
    <row r="1398" spans="9:9" x14ac:dyDescent="0.25">
      <c r="I1398" s="227" t="str">
        <f>MID(excPisCofins[[#This Row],[CodBarras2]],2,50)</f>
        <v/>
      </c>
    </row>
    <row r="1399" spans="9:9" x14ac:dyDescent="0.25">
      <c r="I1399" s="227" t="str">
        <f>MID(excPisCofins[[#This Row],[CodBarras2]],2,50)</f>
        <v/>
      </c>
    </row>
    <row r="1400" spans="9:9" x14ac:dyDescent="0.25">
      <c r="I1400" s="227" t="str">
        <f>MID(excPisCofins[[#This Row],[CodBarras2]],2,50)</f>
        <v/>
      </c>
    </row>
    <row r="1401" spans="9:9" x14ac:dyDescent="0.25">
      <c r="I1401" s="227" t="str">
        <f>MID(excPisCofins[[#This Row],[CodBarras2]],2,50)</f>
        <v/>
      </c>
    </row>
    <row r="1402" spans="9:9" x14ac:dyDescent="0.25">
      <c r="I1402" s="227" t="str">
        <f>MID(excPisCofins[[#This Row],[CodBarras2]],2,50)</f>
        <v/>
      </c>
    </row>
    <row r="1403" spans="9:9" x14ac:dyDescent="0.25">
      <c r="I1403" s="227" t="str">
        <f>MID(excPisCofins[[#This Row],[CodBarras2]],2,50)</f>
        <v/>
      </c>
    </row>
    <row r="1404" spans="9:9" x14ac:dyDescent="0.25">
      <c r="I1404" s="227" t="str">
        <f>MID(excPisCofins[[#This Row],[CodBarras2]],2,50)</f>
        <v/>
      </c>
    </row>
    <row r="1405" spans="9:9" x14ac:dyDescent="0.25">
      <c r="I1405" s="227" t="str">
        <f>MID(excPisCofins[[#This Row],[CodBarras2]],2,50)</f>
        <v/>
      </c>
    </row>
    <row r="1406" spans="9:9" x14ac:dyDescent="0.25">
      <c r="I1406" s="227" t="str">
        <f>MID(excPisCofins[[#This Row],[CodBarras2]],2,50)</f>
        <v/>
      </c>
    </row>
    <row r="1407" spans="9:9" x14ac:dyDescent="0.25">
      <c r="I1407" s="227" t="str">
        <f>MID(excPisCofins[[#This Row],[CodBarras2]],2,50)</f>
        <v/>
      </c>
    </row>
    <row r="1408" spans="9:9" x14ac:dyDescent="0.25">
      <c r="I1408" s="227" t="str">
        <f>MID(excPisCofins[[#This Row],[CodBarras2]],2,50)</f>
        <v/>
      </c>
    </row>
    <row r="1409" spans="9:9" x14ac:dyDescent="0.25">
      <c r="I1409" s="227" t="str">
        <f>MID(excPisCofins[[#This Row],[CodBarras2]],2,50)</f>
        <v/>
      </c>
    </row>
    <row r="1410" spans="9:9" x14ac:dyDescent="0.25">
      <c r="I1410" s="227" t="str">
        <f>MID(excPisCofins[[#This Row],[CodBarras2]],2,50)</f>
        <v/>
      </c>
    </row>
    <row r="1411" spans="9:9" x14ac:dyDescent="0.25">
      <c r="I1411" s="227" t="str">
        <f>MID(excPisCofins[[#This Row],[CodBarras2]],2,50)</f>
        <v/>
      </c>
    </row>
    <row r="1412" spans="9:9" x14ac:dyDescent="0.25">
      <c r="I1412" s="227" t="str">
        <f>MID(excPisCofins[[#This Row],[CodBarras2]],2,50)</f>
        <v/>
      </c>
    </row>
    <row r="1413" spans="9:9" x14ac:dyDescent="0.25">
      <c r="I1413" s="227" t="str">
        <f>MID(excPisCofins[[#This Row],[CodBarras2]],2,50)</f>
        <v/>
      </c>
    </row>
    <row r="1414" spans="9:9" x14ac:dyDescent="0.25">
      <c r="I1414" s="227" t="str">
        <f>MID(excPisCofins[[#This Row],[CodBarras2]],2,50)</f>
        <v/>
      </c>
    </row>
    <row r="1415" spans="9:9" x14ac:dyDescent="0.25">
      <c r="I1415" s="227" t="str">
        <f>MID(excPisCofins[[#This Row],[CodBarras2]],2,50)</f>
        <v/>
      </c>
    </row>
    <row r="1416" spans="9:9" x14ac:dyDescent="0.25">
      <c r="I1416" s="227" t="str">
        <f>MID(excPisCofins[[#This Row],[CodBarras2]],2,50)</f>
        <v/>
      </c>
    </row>
    <row r="1417" spans="9:9" x14ac:dyDescent="0.25">
      <c r="I1417" s="227" t="str">
        <f>MID(excPisCofins[[#This Row],[CodBarras2]],2,50)</f>
        <v/>
      </c>
    </row>
    <row r="1418" spans="9:9" x14ac:dyDescent="0.25">
      <c r="I1418" s="227" t="str">
        <f>MID(excPisCofins[[#This Row],[CodBarras2]],2,50)</f>
        <v/>
      </c>
    </row>
    <row r="1419" spans="9:9" x14ac:dyDescent="0.25">
      <c r="I1419" s="227" t="str">
        <f>MID(excPisCofins[[#This Row],[CodBarras2]],2,50)</f>
        <v/>
      </c>
    </row>
    <row r="1420" spans="9:9" x14ac:dyDescent="0.25">
      <c r="I1420" s="227" t="str">
        <f>MID(excPisCofins[[#This Row],[CodBarras2]],2,50)</f>
        <v/>
      </c>
    </row>
    <row r="1421" spans="9:9" x14ac:dyDescent="0.25">
      <c r="I1421" s="227" t="str">
        <f>MID(excPisCofins[[#This Row],[CodBarras2]],2,50)</f>
        <v/>
      </c>
    </row>
    <row r="1422" spans="9:9" x14ac:dyDescent="0.25">
      <c r="I1422" s="227" t="str">
        <f>MID(excPisCofins[[#This Row],[CodBarras2]],2,50)</f>
        <v/>
      </c>
    </row>
    <row r="1423" spans="9:9" x14ac:dyDescent="0.25">
      <c r="I1423" s="227" t="str">
        <f>MID(excPisCofins[[#This Row],[CodBarras2]],2,50)</f>
        <v/>
      </c>
    </row>
    <row r="1424" spans="9:9" x14ac:dyDescent="0.25">
      <c r="I1424" s="227" t="str">
        <f>MID(excPisCofins[[#This Row],[CodBarras2]],2,50)</f>
        <v/>
      </c>
    </row>
    <row r="1425" spans="9:9" x14ac:dyDescent="0.25">
      <c r="I1425" s="227" t="str">
        <f>MID(excPisCofins[[#This Row],[CodBarras2]],2,50)</f>
        <v/>
      </c>
    </row>
    <row r="1426" spans="9:9" x14ac:dyDescent="0.25">
      <c r="I1426" s="227" t="str">
        <f>MID(excPisCofins[[#This Row],[CodBarras2]],2,50)</f>
        <v/>
      </c>
    </row>
    <row r="1427" spans="9:9" x14ac:dyDescent="0.25">
      <c r="I1427" s="227" t="str">
        <f>MID(excPisCofins[[#This Row],[CodBarras2]],2,50)</f>
        <v/>
      </c>
    </row>
    <row r="1428" spans="9:9" x14ac:dyDescent="0.25">
      <c r="I1428" s="227" t="str">
        <f>MID(excPisCofins[[#This Row],[CodBarras2]],2,50)</f>
        <v/>
      </c>
    </row>
    <row r="1429" spans="9:9" x14ac:dyDescent="0.25">
      <c r="I1429" s="227" t="str">
        <f>MID(excPisCofins[[#This Row],[CodBarras2]],2,50)</f>
        <v/>
      </c>
    </row>
    <row r="1430" spans="9:9" x14ac:dyDescent="0.25">
      <c r="I1430" s="227" t="str">
        <f>MID(excPisCofins[[#This Row],[CodBarras2]],2,50)</f>
        <v/>
      </c>
    </row>
    <row r="1431" spans="9:9" x14ac:dyDescent="0.25">
      <c r="I1431" s="227" t="str">
        <f>MID(excPisCofins[[#This Row],[CodBarras2]],2,50)</f>
        <v/>
      </c>
    </row>
    <row r="1432" spans="9:9" x14ac:dyDescent="0.25">
      <c r="I1432" s="227" t="str">
        <f>MID(excPisCofins[[#This Row],[CodBarras2]],2,50)</f>
        <v/>
      </c>
    </row>
    <row r="1433" spans="9:9" x14ac:dyDescent="0.25">
      <c r="I1433" s="227" t="str">
        <f>MID(excPisCofins[[#This Row],[CodBarras2]],2,50)</f>
        <v/>
      </c>
    </row>
    <row r="1434" spans="9:9" x14ac:dyDescent="0.25">
      <c r="I1434" s="227" t="str">
        <f>MID(excPisCofins[[#This Row],[CodBarras2]],2,50)</f>
        <v/>
      </c>
    </row>
    <row r="1435" spans="9:9" x14ac:dyDescent="0.25">
      <c r="I1435" s="227" t="str">
        <f>MID(excPisCofins[[#This Row],[CodBarras2]],2,50)</f>
        <v/>
      </c>
    </row>
    <row r="1436" spans="9:9" x14ac:dyDescent="0.25">
      <c r="I1436" s="227" t="str">
        <f>MID(excPisCofins[[#This Row],[CodBarras2]],2,50)</f>
        <v/>
      </c>
    </row>
    <row r="1437" spans="9:9" x14ac:dyDescent="0.25">
      <c r="I1437" s="227" t="str">
        <f>MID(excPisCofins[[#This Row],[CodBarras2]],2,50)</f>
        <v/>
      </c>
    </row>
    <row r="1438" spans="9:9" x14ac:dyDescent="0.25">
      <c r="I1438" s="227" t="str">
        <f>MID(excPisCofins[[#This Row],[CodBarras2]],2,50)</f>
        <v/>
      </c>
    </row>
    <row r="1439" spans="9:9" x14ac:dyDescent="0.25">
      <c r="I1439" s="227" t="str">
        <f>MID(excPisCofins[[#This Row],[CodBarras2]],2,50)</f>
        <v/>
      </c>
    </row>
    <row r="1440" spans="9:9" x14ac:dyDescent="0.25">
      <c r="I1440" s="227" t="str">
        <f>MID(excPisCofins[[#This Row],[CodBarras2]],2,50)</f>
        <v/>
      </c>
    </row>
    <row r="1441" spans="9:9" x14ac:dyDescent="0.25">
      <c r="I1441" s="227" t="str">
        <f>MID(excPisCofins[[#This Row],[CodBarras2]],2,50)</f>
        <v/>
      </c>
    </row>
    <row r="1442" spans="9:9" x14ac:dyDescent="0.25">
      <c r="I1442" s="227" t="str">
        <f>MID(excPisCofins[[#This Row],[CodBarras2]],2,50)</f>
        <v/>
      </c>
    </row>
    <row r="1443" spans="9:9" x14ac:dyDescent="0.25">
      <c r="I1443" s="227" t="str">
        <f>MID(excPisCofins[[#This Row],[CodBarras2]],2,50)</f>
        <v/>
      </c>
    </row>
    <row r="1444" spans="9:9" x14ac:dyDescent="0.25">
      <c r="I1444" s="227" t="str">
        <f>MID(excPisCofins[[#This Row],[CodBarras2]],2,50)</f>
        <v/>
      </c>
    </row>
    <row r="1445" spans="9:9" x14ac:dyDescent="0.25">
      <c r="I1445" s="227" t="str">
        <f>MID(excPisCofins[[#This Row],[CodBarras2]],2,50)</f>
        <v/>
      </c>
    </row>
    <row r="1446" spans="9:9" x14ac:dyDescent="0.25">
      <c r="I1446" s="227" t="str">
        <f>MID(excPisCofins[[#This Row],[CodBarras2]],2,50)</f>
        <v/>
      </c>
    </row>
    <row r="1447" spans="9:9" x14ac:dyDescent="0.25">
      <c r="I1447" s="227" t="str">
        <f>MID(excPisCofins[[#This Row],[CodBarras2]],2,50)</f>
        <v/>
      </c>
    </row>
    <row r="1448" spans="9:9" x14ac:dyDescent="0.25">
      <c r="I1448" s="227" t="str">
        <f>MID(excPisCofins[[#This Row],[CodBarras2]],2,50)</f>
        <v/>
      </c>
    </row>
    <row r="1449" spans="9:9" x14ac:dyDescent="0.25">
      <c r="I1449" s="227" t="str">
        <f>MID(excPisCofins[[#This Row],[CodBarras2]],2,50)</f>
        <v/>
      </c>
    </row>
    <row r="1450" spans="9:9" x14ac:dyDescent="0.25">
      <c r="I1450" s="227" t="str">
        <f>MID(excPisCofins[[#This Row],[CodBarras2]],2,50)</f>
        <v/>
      </c>
    </row>
    <row r="1451" spans="9:9" x14ac:dyDescent="0.25">
      <c r="I1451" s="227" t="str">
        <f>MID(excPisCofins[[#This Row],[CodBarras2]],2,50)</f>
        <v/>
      </c>
    </row>
    <row r="1452" spans="9:9" x14ac:dyDescent="0.25">
      <c r="I1452" s="227" t="str">
        <f>MID(excPisCofins[[#This Row],[CodBarras2]],2,50)</f>
        <v/>
      </c>
    </row>
    <row r="1453" spans="9:9" x14ac:dyDescent="0.25">
      <c r="I1453" s="227" t="str">
        <f>MID(excPisCofins[[#This Row],[CodBarras2]],2,50)</f>
        <v/>
      </c>
    </row>
    <row r="1454" spans="9:9" x14ac:dyDescent="0.25">
      <c r="I1454" s="227" t="str">
        <f>MID(excPisCofins[[#This Row],[CodBarras2]],2,50)</f>
        <v/>
      </c>
    </row>
    <row r="1455" spans="9:9" x14ac:dyDescent="0.25">
      <c r="I1455" s="227" t="str">
        <f>MID(excPisCofins[[#This Row],[CodBarras2]],2,50)</f>
        <v/>
      </c>
    </row>
    <row r="1456" spans="9:9" x14ac:dyDescent="0.25">
      <c r="I1456" s="227" t="str">
        <f>MID(excPisCofins[[#This Row],[CodBarras2]],2,50)</f>
        <v/>
      </c>
    </row>
    <row r="1457" spans="9:9" x14ac:dyDescent="0.25">
      <c r="I1457" s="227" t="str">
        <f>MID(excPisCofins[[#This Row],[CodBarras2]],2,50)</f>
        <v/>
      </c>
    </row>
    <row r="1458" spans="9:9" x14ac:dyDescent="0.25">
      <c r="I1458" s="227" t="str">
        <f>MID(excPisCofins[[#This Row],[CodBarras2]],2,50)</f>
        <v/>
      </c>
    </row>
    <row r="1459" spans="9:9" x14ac:dyDescent="0.25">
      <c r="I1459" s="227" t="str">
        <f>MID(excPisCofins[[#This Row],[CodBarras2]],2,50)</f>
        <v/>
      </c>
    </row>
    <row r="1460" spans="9:9" x14ac:dyDescent="0.25">
      <c r="I1460" s="227" t="str">
        <f>MID(excPisCofins[[#This Row],[CodBarras2]],2,50)</f>
        <v/>
      </c>
    </row>
    <row r="1461" spans="9:9" x14ac:dyDescent="0.25">
      <c r="I1461" s="227" t="str">
        <f>MID(excPisCofins[[#This Row],[CodBarras2]],2,50)</f>
        <v/>
      </c>
    </row>
    <row r="1462" spans="9:9" x14ac:dyDescent="0.25">
      <c r="I1462" s="227" t="str">
        <f>MID(excPisCofins[[#This Row],[CodBarras2]],2,50)</f>
        <v/>
      </c>
    </row>
    <row r="1463" spans="9:9" x14ac:dyDescent="0.25">
      <c r="I1463" s="227" t="str">
        <f>MID(excPisCofins[[#This Row],[CodBarras2]],2,50)</f>
        <v/>
      </c>
    </row>
    <row r="1464" spans="9:9" x14ac:dyDescent="0.25">
      <c r="I1464" s="227" t="str">
        <f>MID(excPisCofins[[#This Row],[CodBarras2]],2,50)</f>
        <v/>
      </c>
    </row>
    <row r="1465" spans="9:9" x14ac:dyDescent="0.25">
      <c r="I1465" s="227" t="str">
        <f>MID(excPisCofins[[#This Row],[CodBarras2]],2,50)</f>
        <v/>
      </c>
    </row>
    <row r="1466" spans="9:9" x14ac:dyDescent="0.25">
      <c r="I1466" s="227" t="str">
        <f>MID(excPisCofins[[#This Row],[CodBarras2]],2,50)</f>
        <v/>
      </c>
    </row>
    <row r="1467" spans="9:9" x14ac:dyDescent="0.25">
      <c r="I1467" s="227" t="str">
        <f>MID(excPisCofins[[#This Row],[CodBarras2]],2,50)</f>
        <v/>
      </c>
    </row>
    <row r="1468" spans="9:9" x14ac:dyDescent="0.25">
      <c r="I1468" s="227" t="str">
        <f>MID(excPisCofins[[#This Row],[CodBarras2]],2,50)</f>
        <v/>
      </c>
    </row>
    <row r="1469" spans="9:9" x14ac:dyDescent="0.25">
      <c r="I1469" s="227" t="str">
        <f>MID(excPisCofins[[#This Row],[CodBarras2]],2,50)</f>
        <v/>
      </c>
    </row>
    <row r="1470" spans="9:9" x14ac:dyDescent="0.25">
      <c r="I1470" s="227" t="str">
        <f>MID(excPisCofins[[#This Row],[CodBarras2]],2,50)</f>
        <v/>
      </c>
    </row>
    <row r="1471" spans="9:9" x14ac:dyDescent="0.25">
      <c r="I1471" s="227" t="str">
        <f>MID(excPisCofins[[#This Row],[CodBarras2]],2,50)</f>
        <v/>
      </c>
    </row>
    <row r="1472" spans="9:9" x14ac:dyDescent="0.25">
      <c r="I1472" s="227" t="str">
        <f>MID(excPisCofins[[#This Row],[CodBarras2]],2,50)</f>
        <v/>
      </c>
    </row>
    <row r="1473" spans="9:9" x14ac:dyDescent="0.25">
      <c r="I1473" s="227" t="str">
        <f>MID(excPisCofins[[#This Row],[CodBarras2]],2,50)</f>
        <v/>
      </c>
    </row>
    <row r="1474" spans="9:9" x14ac:dyDescent="0.25">
      <c r="I1474" s="227" t="str">
        <f>MID(excPisCofins[[#This Row],[CodBarras2]],2,50)</f>
        <v/>
      </c>
    </row>
    <row r="1475" spans="9:9" x14ac:dyDescent="0.25">
      <c r="I1475" s="227" t="str">
        <f>MID(excPisCofins[[#This Row],[CodBarras2]],2,50)</f>
        <v/>
      </c>
    </row>
    <row r="1476" spans="9:9" x14ac:dyDescent="0.25">
      <c r="I1476" s="227" t="str">
        <f>MID(excPisCofins[[#This Row],[CodBarras2]],2,50)</f>
        <v/>
      </c>
    </row>
    <row r="1477" spans="9:9" x14ac:dyDescent="0.25">
      <c r="I1477" s="227" t="str">
        <f>MID(excPisCofins[[#This Row],[CodBarras2]],2,50)</f>
        <v/>
      </c>
    </row>
    <row r="1478" spans="9:9" x14ac:dyDescent="0.25">
      <c r="I1478" s="227" t="str">
        <f>MID(excPisCofins[[#This Row],[CodBarras2]],2,50)</f>
        <v/>
      </c>
    </row>
    <row r="1479" spans="9:9" x14ac:dyDescent="0.25">
      <c r="I1479" s="227" t="str">
        <f>MID(excPisCofins[[#This Row],[CodBarras2]],2,50)</f>
        <v/>
      </c>
    </row>
    <row r="1480" spans="9:9" x14ac:dyDescent="0.25">
      <c r="I1480" s="227" t="str">
        <f>MID(excPisCofins[[#This Row],[CodBarras2]],2,50)</f>
        <v/>
      </c>
    </row>
    <row r="1481" spans="9:9" x14ac:dyDescent="0.25">
      <c r="I1481" s="227" t="str">
        <f>MID(excPisCofins[[#This Row],[CodBarras2]],2,50)</f>
        <v/>
      </c>
    </row>
    <row r="1482" spans="9:9" x14ac:dyDescent="0.25">
      <c r="I1482" s="227" t="str">
        <f>MID(excPisCofins[[#This Row],[CodBarras2]],2,50)</f>
        <v/>
      </c>
    </row>
    <row r="1483" spans="9:9" x14ac:dyDescent="0.25">
      <c r="I1483" s="227" t="str">
        <f>MID(excPisCofins[[#This Row],[CodBarras2]],2,50)</f>
        <v/>
      </c>
    </row>
    <row r="1484" spans="9:9" x14ac:dyDescent="0.25">
      <c r="I1484" s="227" t="str">
        <f>MID(excPisCofins[[#This Row],[CodBarras2]],2,50)</f>
        <v/>
      </c>
    </row>
    <row r="1485" spans="9:9" x14ac:dyDescent="0.25">
      <c r="I1485" s="227" t="str">
        <f>MID(excPisCofins[[#This Row],[CodBarras2]],2,50)</f>
        <v/>
      </c>
    </row>
    <row r="1486" spans="9:9" x14ac:dyDescent="0.25">
      <c r="I1486" s="227" t="str">
        <f>MID(excPisCofins[[#This Row],[CodBarras2]],2,50)</f>
        <v/>
      </c>
    </row>
    <row r="1487" spans="9:9" x14ac:dyDescent="0.25">
      <c r="I1487" s="227" t="str">
        <f>MID(excPisCofins[[#This Row],[CodBarras2]],2,50)</f>
        <v/>
      </c>
    </row>
    <row r="1488" spans="9:9" x14ac:dyDescent="0.25">
      <c r="I1488" s="227" t="str">
        <f>MID(excPisCofins[[#This Row],[CodBarras2]],2,50)</f>
        <v/>
      </c>
    </row>
    <row r="1489" spans="9:9" x14ac:dyDescent="0.25">
      <c r="I1489" s="227" t="str">
        <f>MID(excPisCofins[[#This Row],[CodBarras2]],2,50)</f>
        <v/>
      </c>
    </row>
    <row r="1490" spans="9:9" x14ac:dyDescent="0.25">
      <c r="I1490" s="227" t="str">
        <f>MID(excPisCofins[[#This Row],[CodBarras2]],2,50)</f>
        <v/>
      </c>
    </row>
    <row r="1491" spans="9:9" x14ac:dyDescent="0.25">
      <c r="I1491" s="227" t="str">
        <f>MID(excPisCofins[[#This Row],[CodBarras2]],2,50)</f>
        <v/>
      </c>
    </row>
    <row r="1492" spans="9:9" x14ac:dyDescent="0.25">
      <c r="I1492" s="227" t="str">
        <f>MID(excPisCofins[[#This Row],[CodBarras2]],2,50)</f>
        <v/>
      </c>
    </row>
    <row r="1493" spans="9:9" x14ac:dyDescent="0.25">
      <c r="I1493" s="227" t="str">
        <f>MID(excPisCofins[[#This Row],[CodBarras2]],2,50)</f>
        <v/>
      </c>
    </row>
    <row r="1494" spans="9:9" x14ac:dyDescent="0.25">
      <c r="I1494" s="227" t="str">
        <f>MID(excPisCofins[[#This Row],[CodBarras2]],2,50)</f>
        <v/>
      </c>
    </row>
    <row r="1495" spans="9:9" x14ac:dyDescent="0.25">
      <c r="I1495" s="227" t="str">
        <f>MID(excPisCofins[[#This Row],[CodBarras2]],2,50)</f>
        <v/>
      </c>
    </row>
    <row r="1496" spans="9:9" x14ac:dyDescent="0.25">
      <c r="I1496" s="227" t="str">
        <f>MID(excPisCofins[[#This Row],[CodBarras2]],2,50)</f>
        <v/>
      </c>
    </row>
    <row r="1497" spans="9:9" x14ac:dyDescent="0.25">
      <c r="I1497" s="227" t="str">
        <f>MID(excPisCofins[[#This Row],[CodBarras2]],2,50)</f>
        <v/>
      </c>
    </row>
    <row r="1498" spans="9:9" x14ac:dyDescent="0.25">
      <c r="I1498" s="227" t="str">
        <f>MID(excPisCofins[[#This Row],[CodBarras2]],2,50)</f>
        <v/>
      </c>
    </row>
    <row r="1499" spans="9:9" x14ac:dyDescent="0.25">
      <c r="I1499" s="227" t="str">
        <f>MID(excPisCofins[[#This Row],[CodBarras2]],2,50)</f>
        <v/>
      </c>
    </row>
    <row r="1500" spans="9:9" x14ac:dyDescent="0.25">
      <c r="I1500" s="227" t="str">
        <f>MID(excPisCofins[[#This Row],[CodBarras2]],2,50)</f>
        <v/>
      </c>
    </row>
    <row r="1501" spans="9:9" x14ac:dyDescent="0.25">
      <c r="I1501" s="227" t="str">
        <f>MID(excPisCofins[[#This Row],[CodBarras2]],2,50)</f>
        <v/>
      </c>
    </row>
    <row r="1502" spans="9:9" x14ac:dyDescent="0.25">
      <c r="I1502" s="227" t="str">
        <f>MID(excPisCofins[[#This Row],[CodBarras2]],2,50)</f>
        <v/>
      </c>
    </row>
    <row r="1503" spans="9:9" x14ac:dyDescent="0.25">
      <c r="I1503" s="227" t="str">
        <f>MID(excPisCofins[[#This Row],[CodBarras2]],2,50)</f>
        <v/>
      </c>
    </row>
    <row r="1504" spans="9:9" x14ac:dyDescent="0.25">
      <c r="I1504" s="227" t="str">
        <f>MID(excPisCofins[[#This Row],[CodBarras2]],2,50)</f>
        <v/>
      </c>
    </row>
    <row r="1505" spans="9:9" x14ac:dyDescent="0.25">
      <c r="I1505" s="227" t="str">
        <f>MID(excPisCofins[[#This Row],[CodBarras2]],2,50)</f>
        <v/>
      </c>
    </row>
    <row r="1506" spans="9:9" x14ac:dyDescent="0.25">
      <c r="I1506" s="227" t="str">
        <f>MID(excPisCofins[[#This Row],[CodBarras2]],2,50)</f>
        <v/>
      </c>
    </row>
    <row r="1507" spans="9:9" x14ac:dyDescent="0.25">
      <c r="I1507" s="227" t="str">
        <f>MID(excPisCofins[[#This Row],[CodBarras2]],2,50)</f>
        <v/>
      </c>
    </row>
    <row r="1508" spans="9:9" x14ac:dyDescent="0.25">
      <c r="I1508" s="227" t="str">
        <f>MID(excPisCofins[[#This Row],[CodBarras2]],2,50)</f>
        <v/>
      </c>
    </row>
    <row r="1509" spans="9:9" x14ac:dyDescent="0.25">
      <c r="I1509" s="227" t="str">
        <f>MID(excPisCofins[[#This Row],[CodBarras2]],2,50)</f>
        <v/>
      </c>
    </row>
    <row r="1510" spans="9:9" x14ac:dyDescent="0.25">
      <c r="I1510" s="227" t="str">
        <f>MID(excPisCofins[[#This Row],[CodBarras2]],2,50)</f>
        <v/>
      </c>
    </row>
    <row r="1511" spans="9:9" x14ac:dyDescent="0.25">
      <c r="I1511" s="227" t="str">
        <f>MID(excPisCofins[[#This Row],[CodBarras2]],2,50)</f>
        <v/>
      </c>
    </row>
    <row r="1512" spans="9:9" x14ac:dyDescent="0.25">
      <c r="I1512" s="227" t="str">
        <f>MID(excPisCofins[[#This Row],[CodBarras2]],2,50)</f>
        <v/>
      </c>
    </row>
    <row r="1513" spans="9:9" x14ac:dyDescent="0.25">
      <c r="I1513" s="227" t="str">
        <f>MID(excPisCofins[[#This Row],[CodBarras2]],2,50)</f>
        <v/>
      </c>
    </row>
    <row r="1514" spans="9:9" x14ac:dyDescent="0.25">
      <c r="I1514" s="227" t="str">
        <f>MID(excPisCofins[[#This Row],[CodBarras2]],2,50)</f>
        <v/>
      </c>
    </row>
    <row r="1515" spans="9:9" x14ac:dyDescent="0.25">
      <c r="I1515" s="227" t="str">
        <f>MID(excPisCofins[[#This Row],[CodBarras2]],2,50)</f>
        <v/>
      </c>
    </row>
    <row r="1516" spans="9:9" x14ac:dyDescent="0.25">
      <c r="I1516" s="227" t="str">
        <f>MID(excPisCofins[[#This Row],[CodBarras2]],2,50)</f>
        <v/>
      </c>
    </row>
    <row r="1517" spans="9:9" x14ac:dyDescent="0.25">
      <c r="I1517" s="227" t="str">
        <f>MID(excPisCofins[[#This Row],[CodBarras2]],2,50)</f>
        <v/>
      </c>
    </row>
    <row r="1518" spans="9:9" x14ac:dyDescent="0.25">
      <c r="I1518" s="227" t="str">
        <f>MID(excPisCofins[[#This Row],[CodBarras2]],2,50)</f>
        <v/>
      </c>
    </row>
    <row r="1519" spans="9:9" x14ac:dyDescent="0.25">
      <c r="I1519" s="227" t="str">
        <f>MID(excPisCofins[[#This Row],[CodBarras2]],2,50)</f>
        <v/>
      </c>
    </row>
    <row r="1520" spans="9:9" x14ac:dyDescent="0.25">
      <c r="I1520" s="227" t="str">
        <f>MID(excPisCofins[[#This Row],[CodBarras2]],2,50)</f>
        <v/>
      </c>
    </row>
    <row r="1521" spans="9:9" x14ac:dyDescent="0.25">
      <c r="I1521" s="227" t="str">
        <f>MID(excPisCofins[[#This Row],[CodBarras2]],2,50)</f>
        <v/>
      </c>
    </row>
    <row r="1522" spans="9:9" x14ac:dyDescent="0.25">
      <c r="I1522" s="227" t="str">
        <f>MID(excPisCofins[[#This Row],[CodBarras2]],2,50)</f>
        <v/>
      </c>
    </row>
    <row r="1523" spans="9:9" x14ac:dyDescent="0.25">
      <c r="I1523" s="227" t="str">
        <f>MID(excPisCofins[[#This Row],[CodBarras2]],2,50)</f>
        <v/>
      </c>
    </row>
    <row r="1524" spans="9:9" x14ac:dyDescent="0.25">
      <c r="I1524" s="227" t="str">
        <f>MID(excPisCofins[[#This Row],[CodBarras2]],2,50)</f>
        <v/>
      </c>
    </row>
    <row r="1525" spans="9:9" x14ac:dyDescent="0.25">
      <c r="I1525" s="227" t="str">
        <f>MID(excPisCofins[[#This Row],[CodBarras2]],2,50)</f>
        <v/>
      </c>
    </row>
    <row r="1526" spans="9:9" x14ac:dyDescent="0.25">
      <c r="I1526" s="227" t="str">
        <f>MID(excPisCofins[[#This Row],[CodBarras2]],2,50)</f>
        <v/>
      </c>
    </row>
    <row r="1527" spans="9:9" x14ac:dyDescent="0.25">
      <c r="I1527" s="227" t="str">
        <f>MID(excPisCofins[[#This Row],[CodBarras2]],2,50)</f>
        <v/>
      </c>
    </row>
    <row r="1528" spans="9:9" x14ac:dyDescent="0.25">
      <c r="I1528" s="227" t="str">
        <f>MID(excPisCofins[[#This Row],[CodBarras2]],2,50)</f>
        <v/>
      </c>
    </row>
    <row r="1529" spans="9:9" x14ac:dyDescent="0.25">
      <c r="I1529" s="227" t="str">
        <f>MID(excPisCofins[[#This Row],[CodBarras2]],2,50)</f>
        <v/>
      </c>
    </row>
    <row r="1530" spans="9:9" x14ac:dyDescent="0.25">
      <c r="I1530" s="227" t="str">
        <f>MID(excPisCofins[[#This Row],[CodBarras2]],2,50)</f>
        <v/>
      </c>
    </row>
    <row r="1531" spans="9:9" x14ac:dyDescent="0.25">
      <c r="I1531" s="227" t="str">
        <f>MID(excPisCofins[[#This Row],[CodBarras2]],2,50)</f>
        <v/>
      </c>
    </row>
    <row r="1532" spans="9:9" x14ac:dyDescent="0.25">
      <c r="I1532" s="227" t="str">
        <f>MID(excPisCofins[[#This Row],[CodBarras2]],2,50)</f>
        <v/>
      </c>
    </row>
    <row r="1533" spans="9:9" x14ac:dyDescent="0.25">
      <c r="I1533" s="227" t="str">
        <f>MID(excPisCofins[[#This Row],[CodBarras2]],2,50)</f>
        <v/>
      </c>
    </row>
    <row r="1534" spans="9:9" x14ac:dyDescent="0.25">
      <c r="I1534" s="227" t="str">
        <f>MID(excPisCofins[[#This Row],[CodBarras2]],2,50)</f>
        <v/>
      </c>
    </row>
    <row r="1535" spans="9:9" x14ac:dyDescent="0.25">
      <c r="I1535" s="227" t="str">
        <f>MID(excPisCofins[[#This Row],[CodBarras2]],2,50)</f>
        <v/>
      </c>
    </row>
    <row r="1536" spans="9:9" x14ac:dyDescent="0.25">
      <c r="I1536" s="227" t="str">
        <f>MID(excPisCofins[[#This Row],[CodBarras2]],2,50)</f>
        <v/>
      </c>
    </row>
    <row r="1537" spans="9:9" x14ac:dyDescent="0.25">
      <c r="I1537" s="227" t="str">
        <f>MID(excPisCofins[[#This Row],[CodBarras2]],2,50)</f>
        <v/>
      </c>
    </row>
    <row r="1538" spans="9:9" x14ac:dyDescent="0.25">
      <c r="I1538" s="227" t="str">
        <f>MID(excPisCofins[[#This Row],[CodBarras2]],2,50)</f>
        <v/>
      </c>
    </row>
    <row r="1539" spans="9:9" x14ac:dyDescent="0.25">
      <c r="I1539" s="227" t="str">
        <f>MID(excPisCofins[[#This Row],[CodBarras2]],2,50)</f>
        <v/>
      </c>
    </row>
    <row r="1540" spans="9:9" x14ac:dyDescent="0.25">
      <c r="I1540" s="227" t="str">
        <f>MID(excPisCofins[[#This Row],[CodBarras2]],2,50)</f>
        <v/>
      </c>
    </row>
    <row r="1541" spans="9:9" x14ac:dyDescent="0.25">
      <c r="I1541" s="227" t="str">
        <f>MID(excPisCofins[[#This Row],[CodBarras2]],2,50)</f>
        <v/>
      </c>
    </row>
    <row r="1542" spans="9:9" x14ac:dyDescent="0.25">
      <c r="I1542" s="227" t="str">
        <f>MID(excPisCofins[[#This Row],[CodBarras2]],2,50)</f>
        <v/>
      </c>
    </row>
    <row r="1543" spans="9:9" x14ac:dyDescent="0.25">
      <c r="I1543" s="227" t="str">
        <f>MID(excPisCofins[[#This Row],[CodBarras2]],2,50)</f>
        <v/>
      </c>
    </row>
    <row r="1544" spans="9:9" x14ac:dyDescent="0.25">
      <c r="I1544" s="227" t="str">
        <f>MID(excPisCofins[[#This Row],[CodBarras2]],2,50)</f>
        <v/>
      </c>
    </row>
    <row r="1545" spans="9:9" x14ac:dyDescent="0.25">
      <c r="I1545" s="227" t="str">
        <f>MID(excPisCofins[[#This Row],[CodBarras2]],2,50)</f>
        <v/>
      </c>
    </row>
    <row r="1546" spans="9:9" x14ac:dyDescent="0.25">
      <c r="I1546" s="227" t="str">
        <f>MID(excPisCofins[[#This Row],[CodBarras2]],2,50)</f>
        <v/>
      </c>
    </row>
    <row r="1547" spans="9:9" x14ac:dyDescent="0.25">
      <c r="I1547" s="227" t="str">
        <f>MID(excPisCofins[[#This Row],[CodBarras2]],2,50)</f>
        <v/>
      </c>
    </row>
    <row r="1548" spans="9:9" x14ac:dyDescent="0.25">
      <c r="I1548" s="227" t="str">
        <f>MID(excPisCofins[[#This Row],[CodBarras2]],2,50)</f>
        <v/>
      </c>
    </row>
    <row r="1549" spans="9:9" x14ac:dyDescent="0.25">
      <c r="I1549" s="227" t="str">
        <f>MID(excPisCofins[[#This Row],[CodBarras2]],2,50)</f>
        <v/>
      </c>
    </row>
    <row r="1550" spans="9:9" x14ac:dyDescent="0.25">
      <c r="I1550" s="227" t="str">
        <f>MID(excPisCofins[[#This Row],[CodBarras2]],2,50)</f>
        <v/>
      </c>
    </row>
    <row r="1551" spans="9:9" x14ac:dyDescent="0.25">
      <c r="I1551" s="227" t="str">
        <f>MID(excPisCofins[[#This Row],[CodBarras2]],2,50)</f>
        <v/>
      </c>
    </row>
    <row r="1552" spans="9:9" x14ac:dyDescent="0.25">
      <c r="I1552" s="227" t="str">
        <f>MID(excPisCofins[[#This Row],[CodBarras2]],2,50)</f>
        <v/>
      </c>
    </row>
    <row r="1553" spans="9:9" x14ac:dyDescent="0.25">
      <c r="I1553" s="227" t="str">
        <f>MID(excPisCofins[[#This Row],[CodBarras2]],2,50)</f>
        <v/>
      </c>
    </row>
    <row r="1554" spans="9:9" x14ac:dyDescent="0.25">
      <c r="I1554" s="227" t="str">
        <f>MID(excPisCofins[[#This Row],[CodBarras2]],2,50)</f>
        <v/>
      </c>
    </row>
    <row r="1555" spans="9:9" x14ac:dyDescent="0.25">
      <c r="I1555" s="227" t="str">
        <f>MID(excPisCofins[[#This Row],[CodBarras2]],2,50)</f>
        <v/>
      </c>
    </row>
    <row r="1556" spans="9:9" x14ac:dyDescent="0.25">
      <c r="I1556" s="227" t="str">
        <f>MID(excPisCofins[[#This Row],[CodBarras2]],2,50)</f>
        <v/>
      </c>
    </row>
    <row r="1557" spans="9:9" x14ac:dyDescent="0.25">
      <c r="I1557" s="227" t="str">
        <f>MID(excPisCofins[[#This Row],[CodBarras2]],2,50)</f>
        <v/>
      </c>
    </row>
    <row r="1558" spans="9:9" x14ac:dyDescent="0.25">
      <c r="I1558" s="227" t="str">
        <f>MID(excPisCofins[[#This Row],[CodBarras2]],2,50)</f>
        <v/>
      </c>
    </row>
    <row r="1559" spans="9:9" x14ac:dyDescent="0.25">
      <c r="I1559" s="227" t="str">
        <f>MID(excPisCofins[[#This Row],[CodBarras2]],2,50)</f>
        <v/>
      </c>
    </row>
    <row r="1560" spans="9:9" x14ac:dyDescent="0.25">
      <c r="I1560" s="227" t="str">
        <f>MID(excPisCofins[[#This Row],[CodBarras2]],2,50)</f>
        <v/>
      </c>
    </row>
    <row r="1561" spans="9:9" x14ac:dyDescent="0.25">
      <c r="I1561" s="227" t="str">
        <f>MID(excPisCofins[[#This Row],[CodBarras2]],2,50)</f>
        <v/>
      </c>
    </row>
    <row r="1562" spans="9:9" x14ac:dyDescent="0.25">
      <c r="I1562" s="227" t="str">
        <f>MID(excPisCofins[[#This Row],[CodBarras2]],2,50)</f>
        <v/>
      </c>
    </row>
    <row r="1563" spans="9:9" x14ac:dyDescent="0.25">
      <c r="I1563" s="227" t="str">
        <f>MID(excPisCofins[[#This Row],[CodBarras2]],2,50)</f>
        <v/>
      </c>
    </row>
    <row r="1564" spans="9:9" x14ac:dyDescent="0.25">
      <c r="I1564" s="227" t="str">
        <f>MID(excPisCofins[[#This Row],[CodBarras2]],2,50)</f>
        <v/>
      </c>
    </row>
    <row r="1565" spans="9:9" x14ac:dyDescent="0.25">
      <c r="I1565" s="227" t="str">
        <f>MID(excPisCofins[[#This Row],[CodBarras2]],2,50)</f>
        <v/>
      </c>
    </row>
    <row r="1566" spans="9:9" x14ac:dyDescent="0.25">
      <c r="I1566" s="227" t="str">
        <f>MID(excPisCofins[[#This Row],[CodBarras2]],2,50)</f>
        <v/>
      </c>
    </row>
    <row r="1567" spans="9:9" x14ac:dyDescent="0.25">
      <c r="I1567" s="227" t="str">
        <f>MID(excPisCofins[[#This Row],[CodBarras2]],2,50)</f>
        <v/>
      </c>
    </row>
    <row r="1568" spans="9:9" x14ac:dyDescent="0.25">
      <c r="I1568" s="227" t="str">
        <f>MID(excPisCofins[[#This Row],[CodBarras2]],2,50)</f>
        <v/>
      </c>
    </row>
    <row r="1569" spans="9:9" x14ac:dyDescent="0.25">
      <c r="I1569" s="227" t="str">
        <f>MID(excPisCofins[[#This Row],[CodBarras2]],2,50)</f>
        <v/>
      </c>
    </row>
    <row r="1570" spans="9:9" x14ac:dyDescent="0.25">
      <c r="I1570" s="227" t="str">
        <f>MID(excPisCofins[[#This Row],[CodBarras2]],2,50)</f>
        <v/>
      </c>
    </row>
    <row r="1571" spans="9:9" x14ac:dyDescent="0.25">
      <c r="I1571" s="227" t="str">
        <f>MID(excPisCofins[[#This Row],[CodBarras2]],2,50)</f>
        <v/>
      </c>
    </row>
    <row r="1572" spans="9:9" x14ac:dyDescent="0.25">
      <c r="I1572" s="227" t="str">
        <f>MID(excPisCofins[[#This Row],[CodBarras2]],2,50)</f>
        <v/>
      </c>
    </row>
    <row r="1573" spans="9:9" x14ac:dyDescent="0.25">
      <c r="I1573" s="227" t="str">
        <f>MID(excPisCofins[[#This Row],[CodBarras2]],2,50)</f>
        <v/>
      </c>
    </row>
    <row r="1574" spans="9:9" x14ac:dyDescent="0.25">
      <c r="I1574" s="227" t="str">
        <f>MID(excPisCofins[[#This Row],[CodBarras2]],2,50)</f>
        <v/>
      </c>
    </row>
    <row r="1575" spans="9:9" x14ac:dyDescent="0.25">
      <c r="I1575" s="227" t="str">
        <f>MID(excPisCofins[[#This Row],[CodBarras2]],2,50)</f>
        <v/>
      </c>
    </row>
    <row r="1576" spans="9:9" x14ac:dyDescent="0.25">
      <c r="I1576" s="227" t="str">
        <f>MID(excPisCofins[[#This Row],[CodBarras2]],2,50)</f>
        <v/>
      </c>
    </row>
    <row r="1577" spans="9:9" x14ac:dyDescent="0.25">
      <c r="I1577" s="227" t="str">
        <f>MID(excPisCofins[[#This Row],[CodBarras2]],2,50)</f>
        <v/>
      </c>
    </row>
    <row r="1578" spans="9:9" x14ac:dyDescent="0.25">
      <c r="I1578" s="227" t="str">
        <f>MID(excPisCofins[[#This Row],[CodBarras2]],2,50)</f>
        <v/>
      </c>
    </row>
    <row r="1579" spans="9:9" x14ac:dyDescent="0.25">
      <c r="I1579" s="227" t="str">
        <f>MID(excPisCofins[[#This Row],[CodBarras2]],2,50)</f>
        <v/>
      </c>
    </row>
    <row r="1580" spans="9:9" x14ac:dyDescent="0.25">
      <c r="I1580" s="227" t="str">
        <f>MID(excPisCofins[[#This Row],[CodBarras2]],2,50)</f>
        <v/>
      </c>
    </row>
    <row r="1581" spans="9:9" x14ac:dyDescent="0.25">
      <c r="I1581" s="227" t="str">
        <f>MID(excPisCofins[[#This Row],[CodBarras2]],2,50)</f>
        <v/>
      </c>
    </row>
    <row r="1582" spans="9:9" x14ac:dyDescent="0.25">
      <c r="I1582" s="227" t="str">
        <f>MID(excPisCofins[[#This Row],[CodBarras2]],2,50)</f>
        <v/>
      </c>
    </row>
    <row r="1583" spans="9:9" x14ac:dyDescent="0.25">
      <c r="I1583" s="227" t="str">
        <f>MID(excPisCofins[[#This Row],[CodBarras2]],2,50)</f>
        <v/>
      </c>
    </row>
    <row r="1584" spans="9:9" x14ac:dyDescent="0.25">
      <c r="I1584" s="227" t="str">
        <f>MID(excPisCofins[[#This Row],[CodBarras2]],2,50)</f>
        <v/>
      </c>
    </row>
    <row r="1585" spans="9:9" x14ac:dyDescent="0.25">
      <c r="I1585" s="227" t="str">
        <f>MID(excPisCofins[[#This Row],[CodBarras2]],2,50)</f>
        <v/>
      </c>
    </row>
    <row r="1586" spans="9:9" x14ac:dyDescent="0.25">
      <c r="I1586" s="227" t="str">
        <f>MID(excPisCofins[[#This Row],[CodBarras2]],2,50)</f>
        <v/>
      </c>
    </row>
    <row r="1587" spans="9:9" x14ac:dyDescent="0.25">
      <c r="I1587" s="227" t="str">
        <f>MID(excPisCofins[[#This Row],[CodBarras2]],2,50)</f>
        <v/>
      </c>
    </row>
    <row r="1588" spans="9:9" x14ac:dyDescent="0.25">
      <c r="I1588" s="227" t="str">
        <f>MID(excPisCofins[[#This Row],[CodBarras2]],2,50)</f>
        <v/>
      </c>
    </row>
    <row r="1589" spans="9:9" x14ac:dyDescent="0.25">
      <c r="I1589" s="227" t="str">
        <f>MID(excPisCofins[[#This Row],[CodBarras2]],2,50)</f>
        <v/>
      </c>
    </row>
    <row r="1590" spans="9:9" x14ac:dyDescent="0.25">
      <c r="I1590" s="227" t="str">
        <f>MID(excPisCofins[[#This Row],[CodBarras2]],2,50)</f>
        <v/>
      </c>
    </row>
    <row r="1591" spans="9:9" x14ac:dyDescent="0.25">
      <c r="I1591" s="227" t="str">
        <f>MID(excPisCofins[[#This Row],[CodBarras2]],2,50)</f>
        <v/>
      </c>
    </row>
    <row r="1592" spans="9:9" x14ac:dyDescent="0.25">
      <c r="I1592" s="227" t="str">
        <f>MID(excPisCofins[[#This Row],[CodBarras2]],2,50)</f>
        <v/>
      </c>
    </row>
    <row r="1593" spans="9:9" x14ac:dyDescent="0.25">
      <c r="I1593" s="227" t="str">
        <f>MID(excPisCofins[[#This Row],[CodBarras2]],2,50)</f>
        <v/>
      </c>
    </row>
    <row r="1594" spans="9:9" x14ac:dyDescent="0.25">
      <c r="I1594" s="227" t="str">
        <f>MID(excPisCofins[[#This Row],[CodBarras2]],2,50)</f>
        <v/>
      </c>
    </row>
    <row r="1595" spans="9:9" x14ac:dyDescent="0.25">
      <c r="I1595" s="227" t="str">
        <f>MID(excPisCofins[[#This Row],[CodBarras2]],2,50)</f>
        <v/>
      </c>
    </row>
    <row r="1596" spans="9:9" x14ac:dyDescent="0.25">
      <c r="I1596" s="227" t="str">
        <f>MID(excPisCofins[[#This Row],[CodBarras2]],2,50)</f>
        <v/>
      </c>
    </row>
    <row r="1597" spans="9:9" x14ac:dyDescent="0.25">
      <c r="I1597" s="227" t="str">
        <f>MID(excPisCofins[[#This Row],[CodBarras2]],2,50)</f>
        <v/>
      </c>
    </row>
    <row r="1598" spans="9:9" x14ac:dyDescent="0.25">
      <c r="I1598" s="227" t="str">
        <f>MID(excPisCofins[[#This Row],[CodBarras2]],2,50)</f>
        <v/>
      </c>
    </row>
    <row r="1599" spans="9:9" x14ac:dyDescent="0.25">
      <c r="I1599" s="227" t="str">
        <f>MID(excPisCofins[[#This Row],[CodBarras2]],2,50)</f>
        <v/>
      </c>
    </row>
    <row r="1600" spans="9:9" x14ac:dyDescent="0.25">
      <c r="I1600" s="227" t="str">
        <f>MID(excPisCofins[[#This Row],[CodBarras2]],2,50)</f>
        <v/>
      </c>
    </row>
    <row r="1601" spans="9:9" x14ac:dyDescent="0.25">
      <c r="I1601" s="227" t="str">
        <f>MID(excPisCofins[[#This Row],[CodBarras2]],2,50)</f>
        <v/>
      </c>
    </row>
    <row r="1602" spans="9:9" x14ac:dyDescent="0.25">
      <c r="I1602" s="227" t="str">
        <f>MID(excPisCofins[[#This Row],[CodBarras2]],2,50)</f>
        <v/>
      </c>
    </row>
    <row r="1603" spans="9:9" x14ac:dyDescent="0.25">
      <c r="I1603" s="227" t="str">
        <f>MID(excPisCofins[[#This Row],[CodBarras2]],2,50)</f>
        <v/>
      </c>
    </row>
    <row r="1604" spans="9:9" x14ac:dyDescent="0.25">
      <c r="I1604" s="227" t="str">
        <f>MID(excPisCofins[[#This Row],[CodBarras2]],2,50)</f>
        <v/>
      </c>
    </row>
    <row r="1605" spans="9:9" x14ac:dyDescent="0.25">
      <c r="I1605" s="227" t="str">
        <f>MID(excPisCofins[[#This Row],[CodBarras2]],2,50)</f>
        <v/>
      </c>
    </row>
    <row r="1606" spans="9:9" x14ac:dyDescent="0.25">
      <c r="I1606" s="227" t="str">
        <f>MID(excPisCofins[[#This Row],[CodBarras2]],2,50)</f>
        <v/>
      </c>
    </row>
    <row r="1607" spans="9:9" x14ac:dyDescent="0.25">
      <c r="I1607" s="227" t="str">
        <f>MID(excPisCofins[[#This Row],[CodBarras2]],2,50)</f>
        <v/>
      </c>
    </row>
    <row r="1608" spans="9:9" x14ac:dyDescent="0.25">
      <c r="I1608" s="227" t="str">
        <f>MID(excPisCofins[[#This Row],[CodBarras2]],2,50)</f>
        <v/>
      </c>
    </row>
    <row r="1609" spans="9:9" x14ac:dyDescent="0.25">
      <c r="I1609" s="227" t="str">
        <f>MID(excPisCofins[[#This Row],[CodBarras2]],2,50)</f>
        <v/>
      </c>
    </row>
    <row r="1610" spans="9:9" x14ac:dyDescent="0.25">
      <c r="I1610" s="227" t="str">
        <f>MID(excPisCofins[[#This Row],[CodBarras2]],2,50)</f>
        <v/>
      </c>
    </row>
    <row r="1611" spans="9:9" x14ac:dyDescent="0.25">
      <c r="I1611" s="227" t="str">
        <f>MID(excPisCofins[[#This Row],[CodBarras2]],2,50)</f>
        <v/>
      </c>
    </row>
    <row r="1612" spans="9:9" x14ac:dyDescent="0.25">
      <c r="I1612" s="227" t="str">
        <f>MID(excPisCofins[[#This Row],[CodBarras2]],2,50)</f>
        <v/>
      </c>
    </row>
    <row r="1613" spans="9:9" x14ac:dyDescent="0.25">
      <c r="I1613" s="227" t="str">
        <f>MID(excPisCofins[[#This Row],[CodBarras2]],2,50)</f>
        <v/>
      </c>
    </row>
    <row r="1614" spans="9:9" x14ac:dyDescent="0.25">
      <c r="I1614" s="227" t="str">
        <f>MID(excPisCofins[[#This Row],[CodBarras2]],2,50)</f>
        <v/>
      </c>
    </row>
    <row r="1615" spans="9:9" x14ac:dyDescent="0.25">
      <c r="I1615" s="227" t="str">
        <f>MID(excPisCofins[[#This Row],[CodBarras2]],2,50)</f>
        <v/>
      </c>
    </row>
    <row r="1616" spans="9:9" x14ac:dyDescent="0.25">
      <c r="I1616" s="227" t="str">
        <f>MID(excPisCofins[[#This Row],[CodBarras2]],2,50)</f>
        <v/>
      </c>
    </row>
    <row r="1617" spans="9:9" x14ac:dyDescent="0.25">
      <c r="I1617" s="227" t="str">
        <f>MID(excPisCofins[[#This Row],[CodBarras2]],2,50)</f>
        <v/>
      </c>
    </row>
    <row r="1618" spans="9:9" x14ac:dyDescent="0.25">
      <c r="I1618" s="227" t="str">
        <f>MID(excPisCofins[[#This Row],[CodBarras2]],2,50)</f>
        <v/>
      </c>
    </row>
    <row r="1619" spans="9:9" x14ac:dyDescent="0.25">
      <c r="I1619" s="227" t="str">
        <f>MID(excPisCofins[[#This Row],[CodBarras2]],2,50)</f>
        <v/>
      </c>
    </row>
    <row r="1620" spans="9:9" x14ac:dyDescent="0.25">
      <c r="I1620" s="227" t="str">
        <f>MID(excPisCofins[[#This Row],[CodBarras2]],2,50)</f>
        <v/>
      </c>
    </row>
    <row r="1621" spans="9:9" x14ac:dyDescent="0.25">
      <c r="I1621" s="227" t="str">
        <f>MID(excPisCofins[[#This Row],[CodBarras2]],2,50)</f>
        <v/>
      </c>
    </row>
    <row r="1622" spans="9:9" x14ac:dyDescent="0.25">
      <c r="I1622" s="227" t="str">
        <f>MID(excPisCofins[[#This Row],[CodBarras2]],2,50)</f>
        <v/>
      </c>
    </row>
    <row r="1623" spans="9:9" x14ac:dyDescent="0.25">
      <c r="I1623" s="227" t="str">
        <f>MID(excPisCofins[[#This Row],[CodBarras2]],2,50)</f>
        <v/>
      </c>
    </row>
    <row r="1624" spans="9:9" x14ac:dyDescent="0.25">
      <c r="I1624" s="227" t="str">
        <f>MID(excPisCofins[[#This Row],[CodBarras2]],2,50)</f>
        <v/>
      </c>
    </row>
    <row r="1625" spans="9:9" x14ac:dyDescent="0.25">
      <c r="I1625" s="227" t="str">
        <f>MID(excPisCofins[[#This Row],[CodBarras2]],2,50)</f>
        <v/>
      </c>
    </row>
    <row r="1626" spans="9:9" x14ac:dyDescent="0.25">
      <c r="I1626" s="227" t="str">
        <f>MID(excPisCofins[[#This Row],[CodBarras2]],2,50)</f>
        <v/>
      </c>
    </row>
    <row r="1627" spans="9:9" x14ac:dyDescent="0.25">
      <c r="I1627" s="227" t="str">
        <f>MID(excPisCofins[[#This Row],[CodBarras2]],2,50)</f>
        <v/>
      </c>
    </row>
    <row r="1628" spans="9:9" x14ac:dyDescent="0.25">
      <c r="I1628" s="227" t="str">
        <f>MID(excPisCofins[[#This Row],[CodBarras2]],2,50)</f>
        <v/>
      </c>
    </row>
    <row r="1629" spans="9:9" x14ac:dyDescent="0.25">
      <c r="I1629" s="227" t="str">
        <f>MID(excPisCofins[[#This Row],[CodBarras2]],2,50)</f>
        <v/>
      </c>
    </row>
    <row r="1630" spans="9:9" x14ac:dyDescent="0.25">
      <c r="I1630" s="227" t="str">
        <f>MID(excPisCofins[[#This Row],[CodBarras2]],2,50)</f>
        <v/>
      </c>
    </row>
    <row r="1631" spans="9:9" x14ac:dyDescent="0.25">
      <c r="I1631" s="227" t="str">
        <f>MID(excPisCofins[[#This Row],[CodBarras2]],2,50)</f>
        <v/>
      </c>
    </row>
    <row r="1632" spans="9:9" x14ac:dyDescent="0.25">
      <c r="I1632" s="227" t="str">
        <f>MID(excPisCofins[[#This Row],[CodBarras2]],2,50)</f>
        <v/>
      </c>
    </row>
    <row r="1633" spans="9:9" x14ac:dyDescent="0.25">
      <c r="I1633" s="227" t="str">
        <f>MID(excPisCofins[[#This Row],[CodBarras2]],2,50)</f>
        <v/>
      </c>
    </row>
    <row r="1634" spans="9:9" x14ac:dyDescent="0.25">
      <c r="I1634" s="227" t="str">
        <f>MID(excPisCofins[[#This Row],[CodBarras2]],2,50)</f>
        <v/>
      </c>
    </row>
    <row r="1635" spans="9:9" x14ac:dyDescent="0.25">
      <c r="I1635" s="227" t="str">
        <f>MID(excPisCofins[[#This Row],[CodBarras2]],2,50)</f>
        <v/>
      </c>
    </row>
    <row r="1636" spans="9:9" x14ac:dyDescent="0.25">
      <c r="I1636" s="227" t="str">
        <f>MID(excPisCofins[[#This Row],[CodBarras2]],2,50)</f>
        <v/>
      </c>
    </row>
    <row r="1637" spans="9:9" x14ac:dyDescent="0.25">
      <c r="I1637" s="227" t="str">
        <f>MID(excPisCofins[[#This Row],[CodBarras2]],2,50)</f>
        <v/>
      </c>
    </row>
    <row r="1638" spans="9:9" x14ac:dyDescent="0.25">
      <c r="I1638" s="227" t="str">
        <f>MID(excPisCofins[[#This Row],[CodBarras2]],2,50)</f>
        <v/>
      </c>
    </row>
    <row r="1639" spans="9:9" x14ac:dyDescent="0.25">
      <c r="I1639" s="227" t="str">
        <f>MID(excPisCofins[[#This Row],[CodBarras2]],2,50)</f>
        <v/>
      </c>
    </row>
    <row r="1640" spans="9:9" x14ac:dyDescent="0.25">
      <c r="I1640" s="227" t="str">
        <f>MID(excPisCofins[[#This Row],[CodBarras2]],2,50)</f>
        <v/>
      </c>
    </row>
    <row r="1641" spans="9:9" x14ac:dyDescent="0.25">
      <c r="I1641" s="227" t="str">
        <f>MID(excPisCofins[[#This Row],[CodBarras2]],2,50)</f>
        <v/>
      </c>
    </row>
    <row r="1642" spans="9:9" x14ac:dyDescent="0.25">
      <c r="I1642" s="227" t="str">
        <f>MID(excPisCofins[[#This Row],[CodBarras2]],2,50)</f>
        <v/>
      </c>
    </row>
    <row r="1643" spans="9:9" x14ac:dyDescent="0.25">
      <c r="I1643" s="227" t="str">
        <f>MID(excPisCofins[[#This Row],[CodBarras2]],2,50)</f>
        <v/>
      </c>
    </row>
    <row r="1644" spans="9:9" x14ac:dyDescent="0.25">
      <c r="I1644" s="227" t="str">
        <f>MID(excPisCofins[[#This Row],[CodBarras2]],2,50)</f>
        <v/>
      </c>
    </row>
    <row r="1645" spans="9:9" x14ac:dyDescent="0.25">
      <c r="I1645" s="227" t="str">
        <f>MID(excPisCofins[[#This Row],[CodBarras2]],2,50)</f>
        <v/>
      </c>
    </row>
    <row r="1646" spans="9:9" x14ac:dyDescent="0.25">
      <c r="I1646" s="227" t="str">
        <f>MID(excPisCofins[[#This Row],[CodBarras2]],2,50)</f>
        <v/>
      </c>
    </row>
    <row r="1647" spans="9:9" x14ac:dyDescent="0.25">
      <c r="I1647" s="227" t="str">
        <f>MID(excPisCofins[[#This Row],[CodBarras2]],2,50)</f>
        <v/>
      </c>
    </row>
    <row r="1648" spans="9:9" x14ac:dyDescent="0.25">
      <c r="I1648" s="227" t="str">
        <f>MID(excPisCofins[[#This Row],[CodBarras2]],2,50)</f>
        <v/>
      </c>
    </row>
    <row r="1649" spans="9:9" x14ac:dyDescent="0.25">
      <c r="I1649" s="227" t="str">
        <f>MID(excPisCofins[[#This Row],[CodBarras2]],2,50)</f>
        <v/>
      </c>
    </row>
    <row r="1650" spans="9:9" x14ac:dyDescent="0.25">
      <c r="I1650" s="227" t="str">
        <f>MID(excPisCofins[[#This Row],[CodBarras2]],2,50)</f>
        <v/>
      </c>
    </row>
    <row r="1651" spans="9:9" x14ac:dyDescent="0.25">
      <c r="I1651" s="227" t="str">
        <f>MID(excPisCofins[[#This Row],[CodBarras2]],2,50)</f>
        <v/>
      </c>
    </row>
    <row r="1652" spans="9:9" x14ac:dyDescent="0.25">
      <c r="I1652" s="227" t="str">
        <f>MID(excPisCofins[[#This Row],[CodBarras2]],2,50)</f>
        <v/>
      </c>
    </row>
    <row r="1653" spans="9:9" x14ac:dyDescent="0.25">
      <c r="I1653" s="227" t="str">
        <f>MID(excPisCofins[[#This Row],[CodBarras2]],2,50)</f>
        <v/>
      </c>
    </row>
    <row r="1654" spans="9:9" x14ac:dyDescent="0.25">
      <c r="I1654" s="227" t="str">
        <f>MID(excPisCofins[[#This Row],[CodBarras2]],2,50)</f>
        <v/>
      </c>
    </row>
    <row r="1655" spans="9:9" x14ac:dyDescent="0.25">
      <c r="I1655" s="227" t="str">
        <f>MID(excPisCofins[[#This Row],[CodBarras2]],2,50)</f>
        <v/>
      </c>
    </row>
    <row r="1656" spans="9:9" x14ac:dyDescent="0.25">
      <c r="I1656" s="227" t="str">
        <f>MID(excPisCofins[[#This Row],[CodBarras2]],2,50)</f>
        <v/>
      </c>
    </row>
    <row r="1657" spans="9:9" x14ac:dyDescent="0.25">
      <c r="I1657" s="227" t="str">
        <f>MID(excPisCofins[[#This Row],[CodBarras2]],2,50)</f>
        <v/>
      </c>
    </row>
    <row r="1658" spans="9:9" x14ac:dyDescent="0.25">
      <c r="I1658" s="227" t="str">
        <f>MID(excPisCofins[[#This Row],[CodBarras2]],2,50)</f>
        <v/>
      </c>
    </row>
    <row r="1659" spans="9:9" x14ac:dyDescent="0.25">
      <c r="I1659" s="227" t="str">
        <f>MID(excPisCofins[[#This Row],[CodBarras2]],2,50)</f>
        <v/>
      </c>
    </row>
    <row r="1660" spans="9:9" x14ac:dyDescent="0.25">
      <c r="I1660" s="227" t="str">
        <f>MID(excPisCofins[[#This Row],[CodBarras2]],2,50)</f>
        <v/>
      </c>
    </row>
    <row r="1661" spans="9:9" x14ac:dyDescent="0.25">
      <c r="I1661" s="227" t="str">
        <f>MID(excPisCofins[[#This Row],[CodBarras2]],2,50)</f>
        <v/>
      </c>
    </row>
    <row r="1662" spans="9:9" x14ac:dyDescent="0.25">
      <c r="I1662" s="227" t="str">
        <f>MID(excPisCofins[[#This Row],[CodBarras2]],2,50)</f>
        <v/>
      </c>
    </row>
    <row r="1663" spans="9:9" x14ac:dyDescent="0.25">
      <c r="I1663" s="227" t="str">
        <f>MID(excPisCofins[[#This Row],[CodBarras2]],2,50)</f>
        <v/>
      </c>
    </row>
    <row r="1664" spans="9:9" x14ac:dyDescent="0.25">
      <c r="I1664" s="227" t="str">
        <f>MID(excPisCofins[[#This Row],[CodBarras2]],2,50)</f>
        <v/>
      </c>
    </row>
    <row r="1665" spans="9:9" x14ac:dyDescent="0.25">
      <c r="I1665" s="227" t="str">
        <f>MID(excPisCofins[[#This Row],[CodBarras2]],2,50)</f>
        <v/>
      </c>
    </row>
    <row r="1666" spans="9:9" x14ac:dyDescent="0.25">
      <c r="I1666" s="227" t="str">
        <f>MID(excPisCofins[[#This Row],[CodBarras2]],2,50)</f>
        <v/>
      </c>
    </row>
    <row r="1667" spans="9:9" x14ac:dyDescent="0.25">
      <c r="I1667" s="227" t="str">
        <f>MID(excPisCofins[[#This Row],[CodBarras2]],2,50)</f>
        <v/>
      </c>
    </row>
    <row r="1668" spans="9:9" x14ac:dyDescent="0.25">
      <c r="I1668" s="227" t="str">
        <f>MID(excPisCofins[[#This Row],[CodBarras2]],2,50)</f>
        <v/>
      </c>
    </row>
    <row r="1669" spans="9:9" x14ac:dyDescent="0.25">
      <c r="I1669" s="227" t="str">
        <f>MID(excPisCofins[[#This Row],[CodBarras2]],2,50)</f>
        <v/>
      </c>
    </row>
    <row r="1670" spans="9:9" x14ac:dyDescent="0.25">
      <c r="I1670" s="227" t="str">
        <f>MID(excPisCofins[[#This Row],[CodBarras2]],2,50)</f>
        <v/>
      </c>
    </row>
    <row r="1671" spans="9:9" x14ac:dyDescent="0.25">
      <c r="I1671" s="227" t="str">
        <f>MID(excPisCofins[[#This Row],[CodBarras2]],2,50)</f>
        <v/>
      </c>
    </row>
    <row r="1672" spans="9:9" x14ac:dyDescent="0.25">
      <c r="I1672" s="227" t="str">
        <f>MID(excPisCofins[[#This Row],[CodBarras2]],2,50)</f>
        <v/>
      </c>
    </row>
    <row r="1673" spans="9:9" x14ac:dyDescent="0.25">
      <c r="I1673" s="227" t="str">
        <f>MID(excPisCofins[[#This Row],[CodBarras2]],2,50)</f>
        <v/>
      </c>
    </row>
    <row r="1674" spans="9:9" x14ac:dyDescent="0.25">
      <c r="I1674" s="227" t="str">
        <f>MID(excPisCofins[[#This Row],[CodBarras2]],2,50)</f>
        <v/>
      </c>
    </row>
    <row r="1675" spans="9:9" x14ac:dyDescent="0.25">
      <c r="I1675" s="227" t="str">
        <f>MID(excPisCofins[[#This Row],[CodBarras2]],2,50)</f>
        <v/>
      </c>
    </row>
    <row r="1676" spans="9:9" x14ac:dyDescent="0.25">
      <c r="I1676" s="227" t="str">
        <f>MID(excPisCofins[[#This Row],[CodBarras2]],2,50)</f>
        <v/>
      </c>
    </row>
    <row r="1677" spans="9:9" x14ac:dyDescent="0.25">
      <c r="I1677" s="227" t="str">
        <f>MID(excPisCofins[[#This Row],[CodBarras2]],2,50)</f>
        <v/>
      </c>
    </row>
    <row r="1678" spans="9:9" x14ac:dyDescent="0.25">
      <c r="I1678" s="227" t="str">
        <f>MID(excPisCofins[[#This Row],[CodBarras2]],2,50)</f>
        <v/>
      </c>
    </row>
    <row r="1679" spans="9:9" x14ac:dyDescent="0.25">
      <c r="I1679" s="227" t="str">
        <f>MID(excPisCofins[[#This Row],[CodBarras2]],2,50)</f>
        <v/>
      </c>
    </row>
    <row r="1680" spans="9:9" x14ac:dyDescent="0.25">
      <c r="I1680" s="227" t="str">
        <f>MID(excPisCofins[[#This Row],[CodBarras2]],2,50)</f>
        <v/>
      </c>
    </row>
    <row r="1681" spans="9:9" x14ac:dyDescent="0.25">
      <c r="I1681" s="227" t="str">
        <f>MID(excPisCofins[[#This Row],[CodBarras2]],2,50)</f>
        <v/>
      </c>
    </row>
    <row r="1682" spans="9:9" x14ac:dyDescent="0.25">
      <c r="I1682" s="227" t="str">
        <f>MID(excPisCofins[[#This Row],[CodBarras2]],2,50)</f>
        <v/>
      </c>
    </row>
    <row r="1683" spans="9:9" x14ac:dyDescent="0.25">
      <c r="I1683" s="227" t="str">
        <f>MID(excPisCofins[[#This Row],[CodBarras2]],2,50)</f>
        <v/>
      </c>
    </row>
    <row r="1684" spans="9:9" x14ac:dyDescent="0.25">
      <c r="I1684" s="227" t="str">
        <f>MID(excPisCofins[[#This Row],[CodBarras2]],2,50)</f>
        <v/>
      </c>
    </row>
    <row r="1685" spans="9:9" x14ac:dyDescent="0.25">
      <c r="I1685" s="227" t="str">
        <f>MID(excPisCofins[[#This Row],[CodBarras2]],2,50)</f>
        <v/>
      </c>
    </row>
    <row r="1686" spans="9:9" x14ac:dyDescent="0.25">
      <c r="I1686" s="227" t="str">
        <f>MID(excPisCofins[[#This Row],[CodBarras2]],2,50)</f>
        <v/>
      </c>
    </row>
    <row r="1687" spans="9:9" x14ac:dyDescent="0.25">
      <c r="I1687" s="227" t="str">
        <f>MID(excPisCofins[[#This Row],[CodBarras2]],2,50)</f>
        <v/>
      </c>
    </row>
    <row r="1688" spans="9:9" x14ac:dyDescent="0.25">
      <c r="I1688" s="227" t="str">
        <f>MID(excPisCofins[[#This Row],[CodBarras2]],2,50)</f>
        <v/>
      </c>
    </row>
    <row r="1689" spans="9:9" x14ac:dyDescent="0.25">
      <c r="I1689" s="227" t="str">
        <f>MID(excPisCofins[[#This Row],[CodBarras2]],2,50)</f>
        <v/>
      </c>
    </row>
    <row r="1690" spans="9:9" x14ac:dyDescent="0.25">
      <c r="I1690" s="227" t="str">
        <f>MID(excPisCofins[[#This Row],[CodBarras2]],2,50)</f>
        <v/>
      </c>
    </row>
    <row r="1691" spans="9:9" x14ac:dyDescent="0.25">
      <c r="I1691" s="227" t="str">
        <f>MID(excPisCofins[[#This Row],[CodBarras2]],2,50)</f>
        <v/>
      </c>
    </row>
    <row r="1692" spans="9:9" x14ac:dyDescent="0.25">
      <c r="I1692" s="227" t="str">
        <f>MID(excPisCofins[[#This Row],[CodBarras2]],2,50)</f>
        <v/>
      </c>
    </row>
    <row r="1693" spans="9:9" x14ac:dyDescent="0.25">
      <c r="I1693" s="227" t="str">
        <f>MID(excPisCofins[[#This Row],[CodBarras2]],2,50)</f>
        <v/>
      </c>
    </row>
    <row r="1694" spans="9:9" x14ac:dyDescent="0.25">
      <c r="I1694" s="227" t="str">
        <f>MID(excPisCofins[[#This Row],[CodBarras2]],2,50)</f>
        <v/>
      </c>
    </row>
    <row r="1695" spans="9:9" x14ac:dyDescent="0.25">
      <c r="I1695" s="227" t="str">
        <f>MID(excPisCofins[[#This Row],[CodBarras2]],2,50)</f>
        <v/>
      </c>
    </row>
    <row r="1696" spans="9:9" x14ac:dyDescent="0.25">
      <c r="I1696" s="227" t="str">
        <f>MID(excPisCofins[[#This Row],[CodBarras2]],2,50)</f>
        <v/>
      </c>
    </row>
    <row r="1697" spans="9:9" x14ac:dyDescent="0.25">
      <c r="I1697" s="227" t="str">
        <f>MID(excPisCofins[[#This Row],[CodBarras2]],2,50)</f>
        <v/>
      </c>
    </row>
    <row r="1698" spans="9:9" x14ac:dyDescent="0.25">
      <c r="I1698" s="227" t="str">
        <f>MID(excPisCofins[[#This Row],[CodBarras2]],2,50)</f>
        <v/>
      </c>
    </row>
    <row r="1699" spans="9:9" x14ac:dyDescent="0.25">
      <c r="I1699" s="227" t="str">
        <f>MID(excPisCofins[[#This Row],[CodBarras2]],2,50)</f>
        <v/>
      </c>
    </row>
    <row r="1700" spans="9:9" x14ac:dyDescent="0.25">
      <c r="I1700" s="227" t="str">
        <f>MID(excPisCofins[[#This Row],[CodBarras2]],2,50)</f>
        <v/>
      </c>
    </row>
    <row r="1701" spans="9:9" x14ac:dyDescent="0.25">
      <c r="I1701" s="227" t="str">
        <f>MID(excPisCofins[[#This Row],[CodBarras2]],2,50)</f>
        <v/>
      </c>
    </row>
    <row r="1702" spans="9:9" x14ac:dyDescent="0.25">
      <c r="I1702" s="227" t="str">
        <f>MID(excPisCofins[[#This Row],[CodBarras2]],2,50)</f>
        <v/>
      </c>
    </row>
    <row r="1703" spans="9:9" x14ac:dyDescent="0.25">
      <c r="I1703" s="227" t="str">
        <f>MID(excPisCofins[[#This Row],[CodBarras2]],2,50)</f>
        <v/>
      </c>
    </row>
    <row r="1704" spans="9:9" x14ac:dyDescent="0.25">
      <c r="I1704" s="227" t="str">
        <f>MID(excPisCofins[[#This Row],[CodBarras2]],2,50)</f>
        <v/>
      </c>
    </row>
    <row r="1705" spans="9:9" x14ac:dyDescent="0.25">
      <c r="I1705" s="227" t="str">
        <f>MID(excPisCofins[[#This Row],[CodBarras2]],2,50)</f>
        <v/>
      </c>
    </row>
    <row r="1706" spans="9:9" x14ac:dyDescent="0.25">
      <c r="I1706" s="227" t="str">
        <f>MID(excPisCofins[[#This Row],[CodBarras2]],2,50)</f>
        <v/>
      </c>
    </row>
    <row r="1707" spans="9:9" x14ac:dyDescent="0.25">
      <c r="I1707" s="227" t="str">
        <f>MID(excPisCofins[[#This Row],[CodBarras2]],2,50)</f>
        <v/>
      </c>
    </row>
    <row r="1708" spans="9:9" x14ac:dyDescent="0.25">
      <c r="I1708" s="227" t="str">
        <f>MID(excPisCofins[[#This Row],[CodBarras2]],2,50)</f>
        <v/>
      </c>
    </row>
    <row r="1709" spans="9:9" x14ac:dyDescent="0.25">
      <c r="I1709" s="227" t="str">
        <f>MID(excPisCofins[[#This Row],[CodBarras2]],2,50)</f>
        <v/>
      </c>
    </row>
    <row r="1710" spans="9:9" x14ac:dyDescent="0.25">
      <c r="I1710" s="227" t="str">
        <f>MID(excPisCofins[[#This Row],[CodBarras2]],2,50)</f>
        <v/>
      </c>
    </row>
    <row r="1711" spans="9:9" x14ac:dyDescent="0.25">
      <c r="I1711" s="227" t="str">
        <f>MID(excPisCofins[[#This Row],[CodBarras2]],2,50)</f>
        <v/>
      </c>
    </row>
    <row r="1712" spans="9:9" x14ac:dyDescent="0.25">
      <c r="I1712" s="227" t="str">
        <f>MID(excPisCofins[[#This Row],[CodBarras2]],2,50)</f>
        <v/>
      </c>
    </row>
    <row r="1713" spans="9:9" x14ac:dyDescent="0.25">
      <c r="I1713" s="227" t="str">
        <f>MID(excPisCofins[[#This Row],[CodBarras2]],2,50)</f>
        <v/>
      </c>
    </row>
    <row r="1714" spans="9:9" x14ac:dyDescent="0.25">
      <c r="I1714" s="227" t="str">
        <f>MID(excPisCofins[[#This Row],[CodBarras2]],2,50)</f>
        <v/>
      </c>
    </row>
    <row r="1715" spans="9:9" x14ac:dyDescent="0.25">
      <c r="I1715" s="227" t="str">
        <f>MID(excPisCofins[[#This Row],[CodBarras2]],2,50)</f>
        <v/>
      </c>
    </row>
    <row r="1716" spans="9:9" x14ac:dyDescent="0.25">
      <c r="I1716" s="227" t="str">
        <f>MID(excPisCofins[[#This Row],[CodBarras2]],2,50)</f>
        <v/>
      </c>
    </row>
    <row r="1717" spans="9:9" x14ac:dyDescent="0.25">
      <c r="I1717" s="227" t="str">
        <f>MID(excPisCofins[[#This Row],[CodBarras2]],2,50)</f>
        <v/>
      </c>
    </row>
    <row r="1718" spans="9:9" x14ac:dyDescent="0.25">
      <c r="I1718" s="227" t="str">
        <f>MID(excPisCofins[[#This Row],[CodBarras2]],2,50)</f>
        <v/>
      </c>
    </row>
    <row r="1719" spans="9:9" x14ac:dyDescent="0.25">
      <c r="I1719" s="227" t="str">
        <f>MID(excPisCofins[[#This Row],[CodBarras2]],2,50)</f>
        <v/>
      </c>
    </row>
    <row r="1720" spans="9:9" x14ac:dyDescent="0.25">
      <c r="I1720" s="227" t="str">
        <f>MID(excPisCofins[[#This Row],[CodBarras2]],2,50)</f>
        <v/>
      </c>
    </row>
    <row r="1721" spans="9:9" x14ac:dyDescent="0.25">
      <c r="I1721" s="227" t="str">
        <f>MID(excPisCofins[[#This Row],[CodBarras2]],2,50)</f>
        <v/>
      </c>
    </row>
    <row r="1722" spans="9:9" x14ac:dyDescent="0.25">
      <c r="I1722" s="227" t="str">
        <f>MID(excPisCofins[[#This Row],[CodBarras2]],2,50)</f>
        <v/>
      </c>
    </row>
    <row r="1723" spans="9:9" x14ac:dyDescent="0.25">
      <c r="I1723" s="227" t="str">
        <f>MID(excPisCofins[[#This Row],[CodBarras2]],2,50)</f>
        <v/>
      </c>
    </row>
    <row r="1724" spans="9:9" x14ac:dyDescent="0.25">
      <c r="I1724" s="227" t="str">
        <f>MID(excPisCofins[[#This Row],[CodBarras2]],2,50)</f>
        <v/>
      </c>
    </row>
    <row r="1725" spans="9:9" x14ac:dyDescent="0.25">
      <c r="I1725" s="227" t="str">
        <f>MID(excPisCofins[[#This Row],[CodBarras2]],2,50)</f>
        <v/>
      </c>
    </row>
    <row r="1726" spans="9:9" x14ac:dyDescent="0.25">
      <c r="I1726" s="227" t="str">
        <f>MID(excPisCofins[[#This Row],[CodBarras2]],2,50)</f>
        <v/>
      </c>
    </row>
    <row r="1727" spans="9:9" x14ac:dyDescent="0.25">
      <c r="I1727" s="227" t="str">
        <f>MID(excPisCofins[[#This Row],[CodBarras2]],2,50)</f>
        <v/>
      </c>
    </row>
    <row r="1728" spans="9:9" x14ac:dyDescent="0.25">
      <c r="I1728" s="227" t="str">
        <f>MID(excPisCofins[[#This Row],[CodBarras2]],2,50)</f>
        <v/>
      </c>
    </row>
    <row r="1729" spans="9:9" x14ac:dyDescent="0.25">
      <c r="I1729" s="227" t="str">
        <f>MID(excPisCofins[[#This Row],[CodBarras2]],2,50)</f>
        <v/>
      </c>
    </row>
    <row r="1730" spans="9:9" x14ac:dyDescent="0.25">
      <c r="I1730" s="227" t="str">
        <f>MID(excPisCofins[[#This Row],[CodBarras2]],2,50)</f>
        <v/>
      </c>
    </row>
    <row r="1731" spans="9:9" x14ac:dyDescent="0.25">
      <c r="I1731" s="227" t="str">
        <f>MID(excPisCofins[[#This Row],[CodBarras2]],2,50)</f>
        <v/>
      </c>
    </row>
    <row r="1732" spans="9:9" x14ac:dyDescent="0.25">
      <c r="I1732" s="227" t="str">
        <f>MID(excPisCofins[[#This Row],[CodBarras2]],2,50)</f>
        <v/>
      </c>
    </row>
    <row r="1733" spans="9:9" x14ac:dyDescent="0.25">
      <c r="I1733" s="227" t="str">
        <f>MID(excPisCofins[[#This Row],[CodBarras2]],2,50)</f>
        <v/>
      </c>
    </row>
    <row r="1734" spans="9:9" x14ac:dyDescent="0.25">
      <c r="I1734" s="227" t="str">
        <f>MID(excPisCofins[[#This Row],[CodBarras2]],2,50)</f>
        <v/>
      </c>
    </row>
    <row r="1735" spans="9:9" x14ac:dyDescent="0.25">
      <c r="I1735" s="227" t="str">
        <f>MID(excPisCofins[[#This Row],[CodBarras2]],2,50)</f>
        <v/>
      </c>
    </row>
    <row r="1736" spans="9:9" x14ac:dyDescent="0.25">
      <c r="I1736" s="227" t="str">
        <f>MID(excPisCofins[[#This Row],[CodBarras2]],2,50)</f>
        <v/>
      </c>
    </row>
    <row r="1737" spans="9:9" x14ac:dyDescent="0.25">
      <c r="I1737" s="227" t="str">
        <f>MID(excPisCofins[[#This Row],[CodBarras2]],2,50)</f>
        <v/>
      </c>
    </row>
    <row r="1738" spans="9:9" x14ac:dyDescent="0.25">
      <c r="I1738" s="227" t="str">
        <f>MID(excPisCofins[[#This Row],[CodBarras2]],2,50)</f>
        <v/>
      </c>
    </row>
    <row r="1739" spans="9:9" x14ac:dyDescent="0.25">
      <c r="I1739" s="227" t="str">
        <f>MID(excPisCofins[[#This Row],[CodBarras2]],2,50)</f>
        <v/>
      </c>
    </row>
    <row r="1740" spans="9:9" x14ac:dyDescent="0.25">
      <c r="I1740" s="227" t="str">
        <f>MID(excPisCofins[[#This Row],[CodBarras2]],2,50)</f>
        <v/>
      </c>
    </row>
    <row r="1741" spans="9:9" x14ac:dyDescent="0.25">
      <c r="I1741" s="227" t="str">
        <f>MID(excPisCofins[[#This Row],[CodBarras2]],2,50)</f>
        <v/>
      </c>
    </row>
    <row r="1742" spans="9:9" x14ac:dyDescent="0.25">
      <c r="I1742" s="227" t="str">
        <f>MID(excPisCofins[[#This Row],[CodBarras2]],2,50)</f>
        <v/>
      </c>
    </row>
    <row r="1743" spans="9:9" x14ac:dyDescent="0.25">
      <c r="I1743" s="227" t="str">
        <f>MID(excPisCofins[[#This Row],[CodBarras2]],2,50)</f>
        <v/>
      </c>
    </row>
    <row r="1744" spans="9:9" x14ac:dyDescent="0.25">
      <c r="I1744" s="227" t="str">
        <f>MID(excPisCofins[[#This Row],[CodBarras2]],2,50)</f>
        <v/>
      </c>
    </row>
    <row r="1745" spans="9:9" x14ac:dyDescent="0.25">
      <c r="I1745" s="227" t="str">
        <f>MID(excPisCofins[[#This Row],[CodBarras2]],2,50)</f>
        <v/>
      </c>
    </row>
    <row r="1746" spans="9:9" x14ac:dyDescent="0.25">
      <c r="I1746" s="227" t="str">
        <f>MID(excPisCofins[[#This Row],[CodBarras2]],2,50)</f>
        <v/>
      </c>
    </row>
    <row r="1747" spans="9:9" x14ac:dyDescent="0.25">
      <c r="I1747" s="227" t="str">
        <f>MID(excPisCofins[[#This Row],[CodBarras2]],2,50)</f>
        <v/>
      </c>
    </row>
    <row r="1748" spans="9:9" x14ac:dyDescent="0.25">
      <c r="I1748" s="227" t="str">
        <f>MID(excPisCofins[[#This Row],[CodBarras2]],2,50)</f>
        <v/>
      </c>
    </row>
    <row r="1749" spans="9:9" x14ac:dyDescent="0.25">
      <c r="I1749" s="227" t="str">
        <f>MID(excPisCofins[[#This Row],[CodBarras2]],2,50)</f>
        <v/>
      </c>
    </row>
    <row r="1750" spans="9:9" x14ac:dyDescent="0.25">
      <c r="I1750" s="227" t="str">
        <f>MID(excPisCofins[[#This Row],[CodBarras2]],2,50)</f>
        <v/>
      </c>
    </row>
    <row r="1751" spans="9:9" x14ac:dyDescent="0.25">
      <c r="I1751" s="227" t="str">
        <f>MID(excPisCofins[[#This Row],[CodBarras2]],2,50)</f>
        <v/>
      </c>
    </row>
    <row r="1752" spans="9:9" x14ac:dyDescent="0.25">
      <c r="I1752" s="227" t="str">
        <f>MID(excPisCofins[[#This Row],[CodBarras2]],2,50)</f>
        <v/>
      </c>
    </row>
    <row r="1753" spans="9:9" x14ac:dyDescent="0.25">
      <c r="I1753" s="227" t="str">
        <f>MID(excPisCofins[[#This Row],[CodBarras2]],2,50)</f>
        <v/>
      </c>
    </row>
    <row r="1754" spans="9:9" x14ac:dyDescent="0.25">
      <c r="I1754" s="227" t="str">
        <f>MID(excPisCofins[[#This Row],[CodBarras2]],2,50)</f>
        <v/>
      </c>
    </row>
    <row r="1755" spans="9:9" x14ac:dyDescent="0.25">
      <c r="I1755" s="227" t="str">
        <f>MID(excPisCofins[[#This Row],[CodBarras2]],2,50)</f>
        <v/>
      </c>
    </row>
    <row r="1756" spans="9:9" x14ac:dyDescent="0.25">
      <c r="I1756" s="227" t="str">
        <f>MID(excPisCofins[[#This Row],[CodBarras2]],2,50)</f>
        <v/>
      </c>
    </row>
    <row r="1757" spans="9:9" x14ac:dyDescent="0.25">
      <c r="I1757" s="227" t="str">
        <f>MID(excPisCofins[[#This Row],[CodBarras2]],2,50)</f>
        <v/>
      </c>
    </row>
    <row r="1758" spans="9:9" x14ac:dyDescent="0.25">
      <c r="I1758" s="227" t="str">
        <f>MID(excPisCofins[[#This Row],[CodBarras2]],2,50)</f>
        <v/>
      </c>
    </row>
    <row r="1759" spans="9:9" x14ac:dyDescent="0.25">
      <c r="I1759" s="227" t="str">
        <f>MID(excPisCofins[[#This Row],[CodBarras2]],2,50)</f>
        <v/>
      </c>
    </row>
    <row r="1760" spans="9:9" x14ac:dyDescent="0.25">
      <c r="I1760" s="227" t="str">
        <f>MID(excPisCofins[[#This Row],[CodBarras2]],2,50)</f>
        <v/>
      </c>
    </row>
    <row r="1761" spans="9:9" x14ac:dyDescent="0.25">
      <c r="I1761" s="227" t="str">
        <f>MID(excPisCofins[[#This Row],[CodBarras2]],2,50)</f>
        <v/>
      </c>
    </row>
    <row r="1762" spans="9:9" x14ac:dyDescent="0.25">
      <c r="I1762" s="227" t="str">
        <f>MID(excPisCofins[[#This Row],[CodBarras2]],2,50)</f>
        <v/>
      </c>
    </row>
    <row r="1763" spans="9:9" x14ac:dyDescent="0.25">
      <c r="I1763" s="227" t="str">
        <f>MID(excPisCofins[[#This Row],[CodBarras2]],2,50)</f>
        <v/>
      </c>
    </row>
    <row r="1764" spans="9:9" x14ac:dyDescent="0.25">
      <c r="I1764" s="227" t="str">
        <f>MID(excPisCofins[[#This Row],[CodBarras2]],2,50)</f>
        <v/>
      </c>
    </row>
    <row r="1765" spans="9:9" x14ac:dyDescent="0.25">
      <c r="I1765" s="227" t="str">
        <f>MID(excPisCofins[[#This Row],[CodBarras2]],2,50)</f>
        <v/>
      </c>
    </row>
    <row r="1766" spans="9:9" x14ac:dyDescent="0.25">
      <c r="I1766" s="227" t="str">
        <f>MID(excPisCofins[[#This Row],[CodBarras2]],2,50)</f>
        <v/>
      </c>
    </row>
    <row r="1767" spans="9:9" x14ac:dyDescent="0.25">
      <c r="I1767" s="227" t="str">
        <f>MID(excPisCofins[[#This Row],[CodBarras2]],2,50)</f>
        <v/>
      </c>
    </row>
    <row r="1768" spans="9:9" x14ac:dyDescent="0.25">
      <c r="I1768" s="227" t="str">
        <f>MID(excPisCofins[[#This Row],[CodBarras2]],2,50)</f>
        <v/>
      </c>
    </row>
    <row r="1769" spans="9:9" x14ac:dyDescent="0.25">
      <c r="I1769" s="227" t="str">
        <f>MID(excPisCofins[[#This Row],[CodBarras2]],2,50)</f>
        <v/>
      </c>
    </row>
    <row r="1770" spans="9:9" x14ac:dyDescent="0.25">
      <c r="I1770" s="227" t="str">
        <f>MID(excPisCofins[[#This Row],[CodBarras2]],2,50)</f>
        <v/>
      </c>
    </row>
    <row r="1771" spans="9:9" x14ac:dyDescent="0.25">
      <c r="I1771" s="227" t="str">
        <f>MID(excPisCofins[[#This Row],[CodBarras2]],2,50)</f>
        <v/>
      </c>
    </row>
    <row r="1772" spans="9:9" x14ac:dyDescent="0.25">
      <c r="I1772" s="227" t="str">
        <f>MID(excPisCofins[[#This Row],[CodBarras2]],2,50)</f>
        <v/>
      </c>
    </row>
    <row r="1773" spans="9:9" x14ac:dyDescent="0.25">
      <c r="I1773" s="227" t="str">
        <f>MID(excPisCofins[[#This Row],[CodBarras2]],2,50)</f>
        <v/>
      </c>
    </row>
    <row r="1774" spans="9:9" x14ac:dyDescent="0.25">
      <c r="I1774" s="227" t="str">
        <f>MID(excPisCofins[[#This Row],[CodBarras2]],2,50)</f>
        <v/>
      </c>
    </row>
    <row r="1775" spans="9:9" x14ac:dyDescent="0.25">
      <c r="I1775" s="227" t="str">
        <f>MID(excPisCofins[[#This Row],[CodBarras2]],2,50)</f>
        <v/>
      </c>
    </row>
    <row r="1776" spans="9:9" x14ac:dyDescent="0.25">
      <c r="I1776" s="227" t="str">
        <f>MID(excPisCofins[[#This Row],[CodBarras2]],2,50)</f>
        <v/>
      </c>
    </row>
    <row r="1777" spans="9:9" x14ac:dyDescent="0.25">
      <c r="I1777" s="227" t="str">
        <f>MID(excPisCofins[[#This Row],[CodBarras2]],2,50)</f>
        <v/>
      </c>
    </row>
    <row r="1778" spans="9:9" x14ac:dyDescent="0.25">
      <c r="I1778" s="227" t="str">
        <f>MID(excPisCofins[[#This Row],[CodBarras2]],2,50)</f>
        <v/>
      </c>
    </row>
    <row r="1779" spans="9:9" x14ac:dyDescent="0.25">
      <c r="I1779" s="227" t="str">
        <f>MID(excPisCofins[[#This Row],[CodBarras2]],2,50)</f>
        <v/>
      </c>
    </row>
    <row r="1780" spans="9:9" x14ac:dyDescent="0.25">
      <c r="I1780" s="227" t="str">
        <f>MID(excPisCofins[[#This Row],[CodBarras2]],2,50)</f>
        <v/>
      </c>
    </row>
    <row r="1781" spans="9:9" x14ac:dyDescent="0.25">
      <c r="I1781" s="227" t="str">
        <f>MID(excPisCofins[[#This Row],[CodBarras2]],2,50)</f>
        <v/>
      </c>
    </row>
    <row r="1782" spans="9:9" x14ac:dyDescent="0.25">
      <c r="I1782" s="227" t="str">
        <f>MID(excPisCofins[[#This Row],[CodBarras2]],2,50)</f>
        <v/>
      </c>
    </row>
    <row r="1783" spans="9:9" x14ac:dyDescent="0.25">
      <c r="I1783" s="227" t="str">
        <f>MID(excPisCofins[[#This Row],[CodBarras2]],2,50)</f>
        <v/>
      </c>
    </row>
    <row r="1784" spans="9:9" x14ac:dyDescent="0.25">
      <c r="I1784" s="227" t="str">
        <f>MID(excPisCofins[[#This Row],[CodBarras2]],2,50)</f>
        <v/>
      </c>
    </row>
    <row r="1785" spans="9:9" x14ac:dyDescent="0.25">
      <c r="I1785" s="227" t="str">
        <f>MID(excPisCofins[[#This Row],[CodBarras2]],2,50)</f>
        <v/>
      </c>
    </row>
    <row r="1786" spans="9:9" x14ac:dyDescent="0.25">
      <c r="I1786" s="227" t="str">
        <f>MID(excPisCofins[[#This Row],[CodBarras2]],2,50)</f>
        <v/>
      </c>
    </row>
    <row r="1787" spans="9:9" x14ac:dyDescent="0.25">
      <c r="I1787" s="227" t="str">
        <f>MID(excPisCofins[[#This Row],[CodBarras2]],2,50)</f>
        <v/>
      </c>
    </row>
    <row r="1788" spans="9:9" x14ac:dyDescent="0.25">
      <c r="I1788" s="227" t="str">
        <f>MID(excPisCofins[[#This Row],[CodBarras2]],2,50)</f>
        <v/>
      </c>
    </row>
    <row r="1789" spans="9:9" x14ac:dyDescent="0.25">
      <c r="I1789" s="227" t="str">
        <f>MID(excPisCofins[[#This Row],[CodBarras2]],2,50)</f>
        <v/>
      </c>
    </row>
    <row r="1790" spans="9:9" x14ac:dyDescent="0.25">
      <c r="I1790" s="227" t="str">
        <f>MID(excPisCofins[[#This Row],[CodBarras2]],2,50)</f>
        <v/>
      </c>
    </row>
    <row r="1791" spans="9:9" x14ac:dyDescent="0.25">
      <c r="I1791" s="227" t="str">
        <f>MID(excPisCofins[[#This Row],[CodBarras2]],2,50)</f>
        <v/>
      </c>
    </row>
    <row r="1792" spans="9:9" x14ac:dyDescent="0.25">
      <c r="I1792" s="227" t="str">
        <f>MID(excPisCofins[[#This Row],[CodBarras2]],2,50)</f>
        <v/>
      </c>
    </row>
    <row r="1793" spans="9:9" x14ac:dyDescent="0.25">
      <c r="I1793" s="227" t="str">
        <f>MID(excPisCofins[[#This Row],[CodBarras2]],2,50)</f>
        <v/>
      </c>
    </row>
    <row r="1794" spans="9:9" x14ac:dyDescent="0.25">
      <c r="I1794" s="227" t="str">
        <f>MID(excPisCofins[[#This Row],[CodBarras2]],2,50)</f>
        <v/>
      </c>
    </row>
    <row r="1795" spans="9:9" x14ac:dyDescent="0.25">
      <c r="I1795" s="227" t="str">
        <f>MID(excPisCofins[[#This Row],[CodBarras2]],2,50)</f>
        <v/>
      </c>
    </row>
    <row r="1796" spans="9:9" x14ac:dyDescent="0.25">
      <c r="I1796" s="227" t="str">
        <f>MID(excPisCofins[[#This Row],[CodBarras2]],2,50)</f>
        <v/>
      </c>
    </row>
    <row r="1797" spans="9:9" x14ac:dyDescent="0.25">
      <c r="I1797" s="227" t="str">
        <f>MID(excPisCofins[[#This Row],[CodBarras2]],2,50)</f>
        <v/>
      </c>
    </row>
    <row r="1798" spans="9:9" x14ac:dyDescent="0.25">
      <c r="I1798" s="227" t="str">
        <f>MID(excPisCofins[[#This Row],[CodBarras2]],2,50)</f>
        <v/>
      </c>
    </row>
    <row r="1799" spans="9:9" x14ac:dyDescent="0.25">
      <c r="I1799" s="227" t="str">
        <f>MID(excPisCofins[[#This Row],[CodBarras2]],2,50)</f>
        <v/>
      </c>
    </row>
    <row r="1800" spans="9:9" x14ac:dyDescent="0.25">
      <c r="I1800" s="227" t="str">
        <f>MID(excPisCofins[[#This Row],[CodBarras2]],2,50)</f>
        <v/>
      </c>
    </row>
    <row r="1801" spans="9:9" x14ac:dyDescent="0.25">
      <c r="I1801" s="227" t="str">
        <f>MID(excPisCofins[[#This Row],[CodBarras2]],2,50)</f>
        <v/>
      </c>
    </row>
    <row r="1802" spans="9:9" x14ac:dyDescent="0.25">
      <c r="I1802" s="227" t="str">
        <f>MID(excPisCofins[[#This Row],[CodBarras2]],2,50)</f>
        <v/>
      </c>
    </row>
    <row r="1803" spans="9:9" x14ac:dyDescent="0.25">
      <c r="I1803" s="227" t="str">
        <f>MID(excPisCofins[[#This Row],[CodBarras2]],2,50)</f>
        <v/>
      </c>
    </row>
    <row r="1804" spans="9:9" x14ac:dyDescent="0.25">
      <c r="I1804" s="227" t="str">
        <f>MID(excPisCofins[[#This Row],[CodBarras2]],2,50)</f>
        <v/>
      </c>
    </row>
    <row r="1805" spans="9:9" x14ac:dyDescent="0.25">
      <c r="I1805" s="227" t="str">
        <f>MID(excPisCofins[[#This Row],[CodBarras2]],2,50)</f>
        <v/>
      </c>
    </row>
    <row r="1806" spans="9:9" x14ac:dyDescent="0.25">
      <c r="I1806" s="227" t="str">
        <f>MID(excPisCofins[[#This Row],[CodBarras2]],2,50)</f>
        <v/>
      </c>
    </row>
    <row r="1807" spans="9:9" x14ac:dyDescent="0.25">
      <c r="I1807" s="227" t="str">
        <f>MID(excPisCofins[[#This Row],[CodBarras2]],2,50)</f>
        <v/>
      </c>
    </row>
    <row r="1808" spans="9:9" x14ac:dyDescent="0.25">
      <c r="I1808" s="227" t="str">
        <f>MID(excPisCofins[[#This Row],[CodBarras2]],2,50)</f>
        <v/>
      </c>
    </row>
    <row r="1809" spans="9:9" x14ac:dyDescent="0.25">
      <c r="I1809" s="227" t="str">
        <f>MID(excPisCofins[[#This Row],[CodBarras2]],2,50)</f>
        <v/>
      </c>
    </row>
    <row r="1810" spans="9:9" x14ac:dyDescent="0.25">
      <c r="I1810" s="227" t="str">
        <f>MID(excPisCofins[[#This Row],[CodBarras2]],2,50)</f>
        <v/>
      </c>
    </row>
    <row r="1811" spans="9:9" x14ac:dyDescent="0.25">
      <c r="I1811" s="227" t="str">
        <f>MID(excPisCofins[[#This Row],[CodBarras2]],2,50)</f>
        <v/>
      </c>
    </row>
    <row r="1812" spans="9:9" x14ac:dyDescent="0.25">
      <c r="I1812" s="227" t="str">
        <f>MID(excPisCofins[[#This Row],[CodBarras2]],2,50)</f>
        <v/>
      </c>
    </row>
    <row r="1813" spans="9:9" x14ac:dyDescent="0.25">
      <c r="I1813" s="227" t="str">
        <f>MID(excPisCofins[[#This Row],[CodBarras2]],2,50)</f>
        <v/>
      </c>
    </row>
    <row r="1814" spans="9:9" x14ac:dyDescent="0.25">
      <c r="I1814" s="227" t="str">
        <f>MID(excPisCofins[[#This Row],[CodBarras2]],2,50)</f>
        <v/>
      </c>
    </row>
    <row r="1815" spans="9:9" x14ac:dyDescent="0.25">
      <c r="I1815" s="227" t="str">
        <f>MID(excPisCofins[[#This Row],[CodBarras2]],2,50)</f>
        <v/>
      </c>
    </row>
    <row r="1816" spans="9:9" x14ac:dyDescent="0.25">
      <c r="I1816" s="227" t="str">
        <f>MID(excPisCofins[[#This Row],[CodBarras2]],2,50)</f>
        <v/>
      </c>
    </row>
    <row r="1817" spans="9:9" x14ac:dyDescent="0.25">
      <c r="I1817" s="227" t="str">
        <f>MID(excPisCofins[[#This Row],[CodBarras2]],2,50)</f>
        <v/>
      </c>
    </row>
    <row r="1818" spans="9:9" x14ac:dyDescent="0.25">
      <c r="I1818" s="227" t="str">
        <f>MID(excPisCofins[[#This Row],[CodBarras2]],2,50)</f>
        <v/>
      </c>
    </row>
    <row r="1819" spans="9:9" x14ac:dyDescent="0.25">
      <c r="I1819" s="227" t="str">
        <f>MID(excPisCofins[[#This Row],[CodBarras2]],2,50)</f>
        <v/>
      </c>
    </row>
    <row r="1820" spans="9:9" x14ac:dyDescent="0.25">
      <c r="I1820" s="227" t="str">
        <f>MID(excPisCofins[[#This Row],[CodBarras2]],2,50)</f>
        <v/>
      </c>
    </row>
    <row r="1821" spans="9:9" x14ac:dyDescent="0.25">
      <c r="I1821" s="227" t="str">
        <f>MID(excPisCofins[[#This Row],[CodBarras2]],2,50)</f>
        <v/>
      </c>
    </row>
    <row r="1822" spans="9:9" x14ac:dyDescent="0.25">
      <c r="I1822" s="227" t="str">
        <f>MID(excPisCofins[[#This Row],[CodBarras2]],2,50)</f>
        <v/>
      </c>
    </row>
    <row r="1823" spans="9:9" x14ac:dyDescent="0.25">
      <c r="I1823" s="227" t="str">
        <f>MID(excPisCofins[[#This Row],[CodBarras2]],2,50)</f>
        <v/>
      </c>
    </row>
    <row r="1824" spans="9:9" x14ac:dyDescent="0.25">
      <c r="I1824" s="227" t="str">
        <f>MID(excPisCofins[[#This Row],[CodBarras2]],2,50)</f>
        <v/>
      </c>
    </row>
    <row r="1825" spans="9:9" x14ac:dyDescent="0.25">
      <c r="I1825" s="227" t="str">
        <f>MID(excPisCofins[[#This Row],[CodBarras2]],2,50)</f>
        <v/>
      </c>
    </row>
    <row r="1826" spans="9:9" x14ac:dyDescent="0.25">
      <c r="I1826" s="227" t="str">
        <f>MID(excPisCofins[[#This Row],[CodBarras2]],2,50)</f>
        <v/>
      </c>
    </row>
    <row r="1827" spans="9:9" x14ac:dyDescent="0.25">
      <c r="I1827" s="227" t="str">
        <f>MID(excPisCofins[[#This Row],[CodBarras2]],2,50)</f>
        <v/>
      </c>
    </row>
    <row r="1828" spans="9:9" x14ac:dyDescent="0.25">
      <c r="I1828" s="227" t="str">
        <f>MID(excPisCofins[[#This Row],[CodBarras2]],2,50)</f>
        <v/>
      </c>
    </row>
    <row r="1829" spans="9:9" x14ac:dyDescent="0.25">
      <c r="I1829" s="227" t="str">
        <f>MID(excPisCofins[[#This Row],[CodBarras2]],2,50)</f>
        <v/>
      </c>
    </row>
    <row r="1830" spans="9:9" x14ac:dyDescent="0.25">
      <c r="I1830" s="227" t="str">
        <f>MID(excPisCofins[[#This Row],[CodBarras2]],2,50)</f>
        <v/>
      </c>
    </row>
    <row r="1831" spans="9:9" x14ac:dyDescent="0.25">
      <c r="I1831" s="227" t="str">
        <f>MID(excPisCofins[[#This Row],[CodBarras2]],2,50)</f>
        <v/>
      </c>
    </row>
    <row r="1832" spans="9:9" x14ac:dyDescent="0.25">
      <c r="I1832" s="227" t="str">
        <f>MID(excPisCofins[[#This Row],[CodBarras2]],2,50)</f>
        <v/>
      </c>
    </row>
    <row r="1833" spans="9:9" x14ac:dyDescent="0.25">
      <c r="I1833" s="227" t="str">
        <f>MID(excPisCofins[[#This Row],[CodBarras2]],2,50)</f>
        <v/>
      </c>
    </row>
    <row r="1834" spans="9:9" x14ac:dyDescent="0.25">
      <c r="I1834" s="227" t="str">
        <f>MID(excPisCofins[[#This Row],[CodBarras2]],2,50)</f>
        <v/>
      </c>
    </row>
    <row r="1835" spans="9:9" x14ac:dyDescent="0.25">
      <c r="I1835" s="227" t="str">
        <f>MID(excPisCofins[[#This Row],[CodBarras2]],2,50)</f>
        <v/>
      </c>
    </row>
    <row r="1836" spans="9:9" x14ac:dyDescent="0.25">
      <c r="I1836" s="227" t="str">
        <f>MID(excPisCofins[[#This Row],[CodBarras2]],2,50)</f>
        <v/>
      </c>
    </row>
    <row r="1837" spans="9:9" x14ac:dyDescent="0.25">
      <c r="I1837" s="227" t="str">
        <f>MID(excPisCofins[[#This Row],[CodBarras2]],2,50)</f>
        <v/>
      </c>
    </row>
    <row r="1838" spans="9:9" x14ac:dyDescent="0.25">
      <c r="I1838" s="227" t="str">
        <f>MID(excPisCofins[[#This Row],[CodBarras2]],2,50)</f>
        <v/>
      </c>
    </row>
    <row r="1839" spans="9:9" x14ac:dyDescent="0.25">
      <c r="I1839" s="227" t="str">
        <f>MID(excPisCofins[[#This Row],[CodBarras2]],2,50)</f>
        <v/>
      </c>
    </row>
    <row r="1840" spans="9:9" x14ac:dyDescent="0.25">
      <c r="I1840" s="227" t="str">
        <f>MID(excPisCofins[[#This Row],[CodBarras2]],2,50)</f>
        <v/>
      </c>
    </row>
    <row r="1841" spans="9:9" x14ac:dyDescent="0.25">
      <c r="I1841" s="227" t="str">
        <f>MID(excPisCofins[[#This Row],[CodBarras2]],2,50)</f>
        <v/>
      </c>
    </row>
    <row r="1842" spans="9:9" x14ac:dyDescent="0.25">
      <c r="I1842" s="227" t="str">
        <f>MID(excPisCofins[[#This Row],[CodBarras2]],2,50)</f>
        <v/>
      </c>
    </row>
    <row r="1843" spans="9:9" x14ac:dyDescent="0.25">
      <c r="I1843" s="227" t="str">
        <f>MID(excPisCofins[[#This Row],[CodBarras2]],2,50)</f>
        <v/>
      </c>
    </row>
    <row r="1844" spans="9:9" x14ac:dyDescent="0.25">
      <c r="I1844" s="227" t="str">
        <f>MID(excPisCofins[[#This Row],[CodBarras2]],2,50)</f>
        <v/>
      </c>
    </row>
    <row r="1845" spans="9:9" x14ac:dyDescent="0.25">
      <c r="I1845" s="227" t="str">
        <f>MID(excPisCofins[[#This Row],[CodBarras2]],2,50)</f>
        <v/>
      </c>
    </row>
    <row r="1846" spans="9:9" x14ac:dyDescent="0.25">
      <c r="I1846" s="227" t="str">
        <f>MID(excPisCofins[[#This Row],[CodBarras2]],2,50)</f>
        <v/>
      </c>
    </row>
    <row r="1847" spans="9:9" x14ac:dyDescent="0.25">
      <c r="I1847" s="227" t="str">
        <f>MID(excPisCofins[[#This Row],[CodBarras2]],2,50)</f>
        <v/>
      </c>
    </row>
    <row r="1848" spans="9:9" x14ac:dyDescent="0.25">
      <c r="I1848" s="227" t="str">
        <f>MID(excPisCofins[[#This Row],[CodBarras2]],2,50)</f>
        <v/>
      </c>
    </row>
    <row r="1849" spans="9:9" x14ac:dyDescent="0.25">
      <c r="I1849" s="227" t="str">
        <f>MID(excPisCofins[[#This Row],[CodBarras2]],2,50)</f>
        <v/>
      </c>
    </row>
    <row r="1850" spans="9:9" x14ac:dyDescent="0.25">
      <c r="I1850" s="227" t="str">
        <f>MID(excPisCofins[[#This Row],[CodBarras2]],2,50)</f>
        <v/>
      </c>
    </row>
    <row r="1851" spans="9:9" x14ac:dyDescent="0.25">
      <c r="I1851" s="227" t="str">
        <f>MID(excPisCofins[[#This Row],[CodBarras2]],2,50)</f>
        <v/>
      </c>
    </row>
    <row r="1852" spans="9:9" x14ac:dyDescent="0.25">
      <c r="I1852" s="227" t="str">
        <f>MID(excPisCofins[[#This Row],[CodBarras2]],2,50)</f>
        <v/>
      </c>
    </row>
    <row r="1853" spans="9:9" x14ac:dyDescent="0.25">
      <c r="I1853" s="227" t="str">
        <f>MID(excPisCofins[[#This Row],[CodBarras2]],2,50)</f>
        <v/>
      </c>
    </row>
    <row r="1854" spans="9:9" x14ac:dyDescent="0.25">
      <c r="I1854" s="227" t="str">
        <f>MID(excPisCofins[[#This Row],[CodBarras2]],2,50)</f>
        <v/>
      </c>
    </row>
    <row r="1855" spans="9:9" x14ac:dyDescent="0.25">
      <c r="I1855" s="227" t="str">
        <f>MID(excPisCofins[[#This Row],[CodBarras2]],2,50)</f>
        <v/>
      </c>
    </row>
    <row r="1856" spans="9:9" x14ac:dyDescent="0.25">
      <c r="I1856" s="227" t="str">
        <f>MID(excPisCofins[[#This Row],[CodBarras2]],2,50)</f>
        <v/>
      </c>
    </row>
    <row r="1857" spans="9:9" x14ac:dyDescent="0.25">
      <c r="I1857" s="227" t="str">
        <f>MID(excPisCofins[[#This Row],[CodBarras2]],2,50)</f>
        <v/>
      </c>
    </row>
    <row r="1858" spans="9:9" x14ac:dyDescent="0.25">
      <c r="I1858" s="227" t="str">
        <f>MID(excPisCofins[[#This Row],[CodBarras2]],2,50)</f>
        <v/>
      </c>
    </row>
    <row r="1859" spans="9:9" x14ac:dyDescent="0.25">
      <c r="I1859" s="227" t="str">
        <f>MID(excPisCofins[[#This Row],[CodBarras2]],2,50)</f>
        <v/>
      </c>
    </row>
    <row r="1860" spans="9:9" x14ac:dyDescent="0.25">
      <c r="I1860" s="227" t="str">
        <f>MID(excPisCofins[[#This Row],[CodBarras2]],2,50)</f>
        <v/>
      </c>
    </row>
    <row r="1861" spans="9:9" x14ac:dyDescent="0.25">
      <c r="I1861" s="227" t="str">
        <f>MID(excPisCofins[[#This Row],[CodBarras2]],2,50)</f>
        <v/>
      </c>
    </row>
    <row r="1862" spans="9:9" x14ac:dyDescent="0.25">
      <c r="I1862" s="227" t="str">
        <f>MID(excPisCofins[[#This Row],[CodBarras2]],2,50)</f>
        <v/>
      </c>
    </row>
    <row r="1863" spans="9:9" x14ac:dyDescent="0.25">
      <c r="I1863" s="227" t="str">
        <f>MID(excPisCofins[[#This Row],[CodBarras2]],2,50)</f>
        <v/>
      </c>
    </row>
    <row r="1864" spans="9:9" x14ac:dyDescent="0.25">
      <c r="I1864" s="227" t="str">
        <f>MID(excPisCofins[[#This Row],[CodBarras2]],2,50)</f>
        <v/>
      </c>
    </row>
    <row r="1865" spans="9:9" x14ac:dyDescent="0.25">
      <c r="I1865" s="227" t="str">
        <f>MID(excPisCofins[[#This Row],[CodBarras2]],2,50)</f>
        <v/>
      </c>
    </row>
    <row r="1866" spans="9:9" x14ac:dyDescent="0.25">
      <c r="I1866" s="227" t="str">
        <f>MID(excPisCofins[[#This Row],[CodBarras2]],2,50)</f>
        <v/>
      </c>
    </row>
    <row r="1867" spans="9:9" x14ac:dyDescent="0.25">
      <c r="I1867" s="227" t="str">
        <f>MID(excPisCofins[[#This Row],[CodBarras2]],2,50)</f>
        <v/>
      </c>
    </row>
    <row r="1868" spans="9:9" x14ac:dyDescent="0.25">
      <c r="I1868" s="227" t="str">
        <f>MID(excPisCofins[[#This Row],[CodBarras2]],2,50)</f>
        <v/>
      </c>
    </row>
    <row r="1869" spans="9:9" x14ac:dyDescent="0.25">
      <c r="I1869" s="227" t="str">
        <f>MID(excPisCofins[[#This Row],[CodBarras2]],2,50)</f>
        <v/>
      </c>
    </row>
    <row r="1870" spans="9:9" x14ac:dyDescent="0.25">
      <c r="I1870" s="227" t="str">
        <f>MID(excPisCofins[[#This Row],[CodBarras2]],2,50)</f>
        <v/>
      </c>
    </row>
    <row r="1871" spans="9:9" x14ac:dyDescent="0.25">
      <c r="I1871" s="227" t="str">
        <f>MID(excPisCofins[[#This Row],[CodBarras2]],2,50)</f>
        <v/>
      </c>
    </row>
    <row r="1872" spans="9:9" x14ac:dyDescent="0.25">
      <c r="I1872" s="227" t="str">
        <f>MID(excPisCofins[[#This Row],[CodBarras2]],2,50)</f>
        <v/>
      </c>
    </row>
    <row r="1873" spans="9:9" x14ac:dyDescent="0.25">
      <c r="I1873" s="227" t="str">
        <f>MID(excPisCofins[[#This Row],[CodBarras2]],2,50)</f>
        <v/>
      </c>
    </row>
    <row r="1874" spans="9:9" x14ac:dyDescent="0.25">
      <c r="I1874" s="227" t="str">
        <f>MID(excPisCofins[[#This Row],[CodBarras2]],2,50)</f>
        <v/>
      </c>
    </row>
    <row r="1875" spans="9:9" x14ac:dyDescent="0.25">
      <c r="I1875" s="227" t="str">
        <f>MID(excPisCofins[[#This Row],[CodBarras2]],2,50)</f>
        <v/>
      </c>
    </row>
    <row r="1876" spans="9:9" x14ac:dyDescent="0.25">
      <c r="I1876" s="227" t="str">
        <f>MID(excPisCofins[[#This Row],[CodBarras2]],2,50)</f>
        <v/>
      </c>
    </row>
    <row r="1877" spans="9:9" x14ac:dyDescent="0.25">
      <c r="I1877" s="227" t="str">
        <f>MID(excPisCofins[[#This Row],[CodBarras2]],2,50)</f>
        <v/>
      </c>
    </row>
    <row r="1878" spans="9:9" x14ac:dyDescent="0.25">
      <c r="I1878" s="227" t="str">
        <f>MID(excPisCofins[[#This Row],[CodBarras2]],2,50)</f>
        <v/>
      </c>
    </row>
    <row r="1879" spans="9:9" x14ac:dyDescent="0.25">
      <c r="I1879" s="227" t="str">
        <f>MID(excPisCofins[[#This Row],[CodBarras2]],2,50)</f>
        <v/>
      </c>
    </row>
    <row r="1880" spans="9:9" x14ac:dyDescent="0.25">
      <c r="I1880" s="227" t="str">
        <f>MID(excPisCofins[[#This Row],[CodBarras2]],2,50)</f>
        <v/>
      </c>
    </row>
    <row r="1881" spans="9:9" x14ac:dyDescent="0.25">
      <c r="I1881" s="227" t="str">
        <f>MID(excPisCofins[[#This Row],[CodBarras2]],2,50)</f>
        <v/>
      </c>
    </row>
    <row r="1882" spans="9:9" x14ac:dyDescent="0.25">
      <c r="I1882" s="227" t="str">
        <f>MID(excPisCofins[[#This Row],[CodBarras2]],2,50)</f>
        <v/>
      </c>
    </row>
    <row r="1883" spans="9:9" x14ac:dyDescent="0.25">
      <c r="I1883" s="227" t="str">
        <f>MID(excPisCofins[[#This Row],[CodBarras2]],2,50)</f>
        <v/>
      </c>
    </row>
    <row r="1884" spans="9:9" x14ac:dyDescent="0.25">
      <c r="I1884" s="227" t="str">
        <f>MID(excPisCofins[[#This Row],[CodBarras2]],2,50)</f>
        <v/>
      </c>
    </row>
    <row r="1885" spans="9:9" x14ac:dyDescent="0.25">
      <c r="I1885" s="227" t="str">
        <f>MID(excPisCofins[[#This Row],[CodBarras2]],2,50)</f>
        <v/>
      </c>
    </row>
    <row r="1886" spans="9:9" x14ac:dyDescent="0.25">
      <c r="I1886" s="227" t="str">
        <f>MID(excPisCofins[[#This Row],[CodBarras2]],2,50)</f>
        <v/>
      </c>
    </row>
    <row r="1887" spans="9:9" x14ac:dyDescent="0.25">
      <c r="I1887" s="227" t="str">
        <f>MID(excPisCofins[[#This Row],[CodBarras2]],2,50)</f>
        <v/>
      </c>
    </row>
    <row r="1888" spans="9:9" x14ac:dyDescent="0.25">
      <c r="I1888" s="227" t="str">
        <f>MID(excPisCofins[[#This Row],[CodBarras2]],2,50)</f>
        <v/>
      </c>
    </row>
    <row r="1889" spans="9:9" x14ac:dyDescent="0.25">
      <c r="I1889" s="227" t="str">
        <f>MID(excPisCofins[[#This Row],[CodBarras2]],2,50)</f>
        <v/>
      </c>
    </row>
    <row r="1890" spans="9:9" x14ac:dyDescent="0.25">
      <c r="I1890" s="227" t="str">
        <f>MID(excPisCofins[[#This Row],[CodBarras2]],2,50)</f>
        <v/>
      </c>
    </row>
    <row r="1891" spans="9:9" x14ac:dyDescent="0.25">
      <c r="I1891" s="227" t="str">
        <f>MID(excPisCofins[[#This Row],[CodBarras2]],2,50)</f>
        <v/>
      </c>
    </row>
    <row r="1892" spans="9:9" x14ac:dyDescent="0.25">
      <c r="I1892" s="227" t="str">
        <f>MID(excPisCofins[[#This Row],[CodBarras2]],2,50)</f>
        <v/>
      </c>
    </row>
    <row r="1893" spans="9:9" x14ac:dyDescent="0.25">
      <c r="I1893" s="227" t="str">
        <f>MID(excPisCofins[[#This Row],[CodBarras2]],2,50)</f>
        <v/>
      </c>
    </row>
    <row r="1894" spans="9:9" x14ac:dyDescent="0.25">
      <c r="I1894" s="227" t="str">
        <f>MID(excPisCofins[[#This Row],[CodBarras2]],2,50)</f>
        <v/>
      </c>
    </row>
    <row r="1895" spans="9:9" x14ac:dyDescent="0.25">
      <c r="I1895" s="227" t="str">
        <f>MID(excPisCofins[[#This Row],[CodBarras2]],2,50)</f>
        <v/>
      </c>
    </row>
    <row r="1896" spans="9:9" x14ac:dyDescent="0.25">
      <c r="I1896" s="227" t="str">
        <f>MID(excPisCofins[[#This Row],[CodBarras2]],2,50)</f>
        <v/>
      </c>
    </row>
    <row r="1897" spans="9:9" x14ac:dyDescent="0.25">
      <c r="I1897" s="227" t="str">
        <f>MID(excPisCofins[[#This Row],[CodBarras2]],2,50)</f>
        <v/>
      </c>
    </row>
    <row r="1898" spans="9:9" x14ac:dyDescent="0.25">
      <c r="I1898" s="227" t="str">
        <f>MID(excPisCofins[[#This Row],[CodBarras2]],2,50)</f>
        <v/>
      </c>
    </row>
    <row r="1899" spans="9:9" x14ac:dyDescent="0.25">
      <c r="I1899" s="227" t="str">
        <f>MID(excPisCofins[[#This Row],[CodBarras2]],2,50)</f>
        <v/>
      </c>
    </row>
    <row r="1900" spans="9:9" x14ac:dyDescent="0.25">
      <c r="I1900" s="227" t="str">
        <f>MID(excPisCofins[[#This Row],[CodBarras2]],2,50)</f>
        <v/>
      </c>
    </row>
    <row r="1901" spans="9:9" x14ac:dyDescent="0.25">
      <c r="I1901" s="227" t="str">
        <f>MID(excPisCofins[[#This Row],[CodBarras2]],2,50)</f>
        <v/>
      </c>
    </row>
    <row r="1902" spans="9:9" x14ac:dyDescent="0.25">
      <c r="I1902" s="227" t="str">
        <f>MID(excPisCofins[[#This Row],[CodBarras2]],2,50)</f>
        <v/>
      </c>
    </row>
    <row r="1903" spans="9:9" x14ac:dyDescent="0.25">
      <c r="I1903" s="227" t="str">
        <f>MID(excPisCofins[[#This Row],[CodBarras2]],2,50)</f>
        <v/>
      </c>
    </row>
    <row r="1904" spans="9:9" x14ac:dyDescent="0.25">
      <c r="I1904" s="227" t="str">
        <f>MID(excPisCofins[[#This Row],[CodBarras2]],2,50)</f>
        <v/>
      </c>
    </row>
    <row r="1905" spans="9:9" x14ac:dyDescent="0.25">
      <c r="I1905" s="227" t="str">
        <f>MID(excPisCofins[[#This Row],[CodBarras2]],2,50)</f>
        <v/>
      </c>
    </row>
    <row r="1906" spans="9:9" x14ac:dyDescent="0.25">
      <c r="I1906" s="227" t="str">
        <f>MID(excPisCofins[[#This Row],[CodBarras2]],2,50)</f>
        <v/>
      </c>
    </row>
    <row r="1907" spans="9:9" x14ac:dyDescent="0.25">
      <c r="I1907" s="227" t="str">
        <f>MID(excPisCofins[[#This Row],[CodBarras2]],2,50)</f>
        <v/>
      </c>
    </row>
    <row r="1908" spans="9:9" x14ac:dyDescent="0.25">
      <c r="I1908" s="227" t="str">
        <f>MID(excPisCofins[[#This Row],[CodBarras2]],2,50)</f>
        <v/>
      </c>
    </row>
    <row r="1909" spans="9:9" x14ac:dyDescent="0.25">
      <c r="I1909" s="227" t="str">
        <f>MID(excPisCofins[[#This Row],[CodBarras2]],2,50)</f>
        <v/>
      </c>
    </row>
    <row r="1910" spans="9:9" x14ac:dyDescent="0.25">
      <c r="I1910" s="227" t="str">
        <f>MID(excPisCofins[[#This Row],[CodBarras2]],2,50)</f>
        <v/>
      </c>
    </row>
    <row r="1911" spans="9:9" x14ac:dyDescent="0.25">
      <c r="I1911" s="227" t="str">
        <f>MID(excPisCofins[[#This Row],[CodBarras2]],2,50)</f>
        <v/>
      </c>
    </row>
    <row r="1912" spans="9:9" x14ac:dyDescent="0.25">
      <c r="I1912" s="227" t="str">
        <f>MID(excPisCofins[[#This Row],[CodBarras2]],2,50)</f>
        <v/>
      </c>
    </row>
    <row r="1913" spans="9:9" x14ac:dyDescent="0.25">
      <c r="I1913" s="227" t="str">
        <f>MID(excPisCofins[[#This Row],[CodBarras2]],2,50)</f>
        <v/>
      </c>
    </row>
    <row r="1914" spans="9:9" x14ac:dyDescent="0.25">
      <c r="I1914" s="227" t="str">
        <f>MID(excPisCofins[[#This Row],[CodBarras2]],2,50)</f>
        <v/>
      </c>
    </row>
    <row r="1915" spans="9:9" x14ac:dyDescent="0.25">
      <c r="I1915" s="227" t="str">
        <f>MID(excPisCofins[[#This Row],[CodBarras2]],2,50)</f>
        <v/>
      </c>
    </row>
    <row r="1916" spans="9:9" x14ac:dyDescent="0.25">
      <c r="I1916" s="227" t="str">
        <f>MID(excPisCofins[[#This Row],[CodBarras2]],2,50)</f>
        <v/>
      </c>
    </row>
    <row r="1917" spans="9:9" x14ac:dyDescent="0.25">
      <c r="I1917" s="227" t="str">
        <f>MID(excPisCofins[[#This Row],[CodBarras2]],2,50)</f>
        <v/>
      </c>
    </row>
    <row r="1918" spans="9:9" x14ac:dyDescent="0.25">
      <c r="I1918" s="227" t="str">
        <f>MID(excPisCofins[[#This Row],[CodBarras2]],2,50)</f>
        <v/>
      </c>
    </row>
    <row r="1919" spans="9:9" x14ac:dyDescent="0.25">
      <c r="I1919" s="227" t="str">
        <f>MID(excPisCofins[[#This Row],[CodBarras2]],2,50)</f>
        <v/>
      </c>
    </row>
    <row r="1920" spans="9:9" x14ac:dyDescent="0.25">
      <c r="I1920" s="227" t="str">
        <f>MID(excPisCofins[[#This Row],[CodBarras2]],2,50)</f>
        <v/>
      </c>
    </row>
    <row r="1921" spans="9:9" x14ac:dyDescent="0.25">
      <c r="I1921" s="227" t="str">
        <f>MID(excPisCofins[[#This Row],[CodBarras2]],2,50)</f>
        <v/>
      </c>
    </row>
    <row r="1922" spans="9:9" x14ac:dyDescent="0.25">
      <c r="I1922" s="227" t="str">
        <f>MID(excPisCofins[[#This Row],[CodBarras2]],2,50)</f>
        <v/>
      </c>
    </row>
    <row r="1923" spans="9:9" x14ac:dyDescent="0.25">
      <c r="I1923" s="227" t="str">
        <f>MID(excPisCofins[[#This Row],[CodBarras2]],2,50)</f>
        <v/>
      </c>
    </row>
    <row r="1924" spans="9:9" x14ac:dyDescent="0.25">
      <c r="I1924" s="227" t="str">
        <f>MID(excPisCofins[[#This Row],[CodBarras2]],2,50)</f>
        <v/>
      </c>
    </row>
    <row r="1925" spans="9:9" x14ac:dyDescent="0.25">
      <c r="I1925" s="227" t="str">
        <f>MID(excPisCofins[[#This Row],[CodBarras2]],2,50)</f>
        <v/>
      </c>
    </row>
    <row r="1926" spans="9:9" x14ac:dyDescent="0.25">
      <c r="I1926" s="227" t="str">
        <f>MID(excPisCofins[[#This Row],[CodBarras2]],2,50)</f>
        <v/>
      </c>
    </row>
    <row r="1927" spans="9:9" x14ac:dyDescent="0.25">
      <c r="I1927" s="227" t="str">
        <f>MID(excPisCofins[[#This Row],[CodBarras2]],2,50)</f>
        <v/>
      </c>
    </row>
    <row r="1928" spans="9:9" x14ac:dyDescent="0.25">
      <c r="I1928" s="227" t="str">
        <f>MID(excPisCofins[[#This Row],[CodBarras2]],2,50)</f>
        <v/>
      </c>
    </row>
    <row r="1929" spans="9:9" x14ac:dyDescent="0.25">
      <c r="I1929" s="227" t="str">
        <f>MID(excPisCofins[[#This Row],[CodBarras2]],2,50)</f>
        <v/>
      </c>
    </row>
    <row r="1930" spans="9:9" x14ac:dyDescent="0.25">
      <c r="I1930" s="227" t="str">
        <f>MID(excPisCofins[[#This Row],[CodBarras2]],2,50)</f>
        <v/>
      </c>
    </row>
    <row r="1931" spans="9:9" x14ac:dyDescent="0.25">
      <c r="I1931" s="227" t="str">
        <f>MID(excPisCofins[[#This Row],[CodBarras2]],2,50)</f>
        <v/>
      </c>
    </row>
    <row r="1932" spans="9:9" x14ac:dyDescent="0.25">
      <c r="I1932" s="227" t="str">
        <f>MID(excPisCofins[[#This Row],[CodBarras2]],2,50)</f>
        <v/>
      </c>
    </row>
    <row r="1933" spans="9:9" x14ac:dyDescent="0.25">
      <c r="I1933" s="227" t="str">
        <f>MID(excPisCofins[[#This Row],[CodBarras2]],2,50)</f>
        <v/>
      </c>
    </row>
    <row r="1934" spans="9:9" x14ac:dyDescent="0.25">
      <c r="I1934" s="227" t="str">
        <f>MID(excPisCofins[[#This Row],[CodBarras2]],2,50)</f>
        <v/>
      </c>
    </row>
    <row r="1935" spans="9:9" x14ac:dyDescent="0.25">
      <c r="I1935" s="227" t="str">
        <f>MID(excPisCofins[[#This Row],[CodBarras2]],2,50)</f>
        <v/>
      </c>
    </row>
    <row r="1936" spans="9:9" x14ac:dyDescent="0.25">
      <c r="I1936" s="227" t="str">
        <f>MID(excPisCofins[[#This Row],[CodBarras2]],2,50)</f>
        <v/>
      </c>
    </row>
    <row r="1937" spans="9:9" x14ac:dyDescent="0.25">
      <c r="I1937" s="227" t="str">
        <f>MID(excPisCofins[[#This Row],[CodBarras2]],2,50)</f>
        <v/>
      </c>
    </row>
    <row r="1938" spans="9:9" x14ac:dyDescent="0.25">
      <c r="I1938" s="227" t="str">
        <f>MID(excPisCofins[[#This Row],[CodBarras2]],2,50)</f>
        <v/>
      </c>
    </row>
    <row r="1939" spans="9:9" x14ac:dyDescent="0.25">
      <c r="I1939" s="227" t="str">
        <f>MID(excPisCofins[[#This Row],[CodBarras2]],2,50)</f>
        <v/>
      </c>
    </row>
    <row r="1940" spans="9:9" x14ac:dyDescent="0.25">
      <c r="I1940" s="227" t="str">
        <f>MID(excPisCofins[[#This Row],[CodBarras2]],2,50)</f>
        <v/>
      </c>
    </row>
    <row r="1941" spans="9:9" x14ac:dyDescent="0.25">
      <c r="I1941" s="227" t="str">
        <f>MID(excPisCofins[[#This Row],[CodBarras2]],2,50)</f>
        <v/>
      </c>
    </row>
    <row r="1942" spans="9:9" x14ac:dyDescent="0.25">
      <c r="I1942" s="227" t="str">
        <f>MID(excPisCofins[[#This Row],[CodBarras2]],2,50)</f>
        <v/>
      </c>
    </row>
    <row r="1943" spans="9:9" x14ac:dyDescent="0.25">
      <c r="I1943" s="227" t="str">
        <f>MID(excPisCofins[[#This Row],[CodBarras2]],2,50)</f>
        <v/>
      </c>
    </row>
    <row r="1944" spans="9:9" x14ac:dyDescent="0.25">
      <c r="I1944" s="227" t="str">
        <f>MID(excPisCofins[[#This Row],[CodBarras2]],2,50)</f>
        <v/>
      </c>
    </row>
    <row r="1945" spans="9:9" x14ac:dyDescent="0.25">
      <c r="I1945" s="227" t="str">
        <f>MID(excPisCofins[[#This Row],[CodBarras2]],2,50)</f>
        <v/>
      </c>
    </row>
    <row r="1946" spans="9:9" x14ac:dyDescent="0.25">
      <c r="I1946" s="227" t="str">
        <f>MID(excPisCofins[[#This Row],[CodBarras2]],2,50)</f>
        <v/>
      </c>
    </row>
    <row r="1947" spans="9:9" x14ac:dyDescent="0.25">
      <c r="I1947" s="227" t="str">
        <f>MID(excPisCofins[[#This Row],[CodBarras2]],2,50)</f>
        <v/>
      </c>
    </row>
    <row r="1948" spans="9:9" x14ac:dyDescent="0.25">
      <c r="I1948" s="227" t="str">
        <f>MID(excPisCofins[[#This Row],[CodBarras2]],2,50)</f>
        <v/>
      </c>
    </row>
    <row r="1949" spans="9:9" x14ac:dyDescent="0.25">
      <c r="I1949" s="227" t="str">
        <f>MID(excPisCofins[[#This Row],[CodBarras2]],2,50)</f>
        <v/>
      </c>
    </row>
    <row r="1950" spans="9:9" x14ac:dyDescent="0.25">
      <c r="I1950" s="227" t="str">
        <f>MID(excPisCofins[[#This Row],[CodBarras2]],2,50)</f>
        <v/>
      </c>
    </row>
    <row r="1951" spans="9:9" x14ac:dyDescent="0.25">
      <c r="I1951" s="227" t="str">
        <f>MID(excPisCofins[[#This Row],[CodBarras2]],2,50)</f>
        <v/>
      </c>
    </row>
    <row r="1952" spans="9:9" x14ac:dyDescent="0.25">
      <c r="I1952" s="227" t="str">
        <f>MID(excPisCofins[[#This Row],[CodBarras2]],2,50)</f>
        <v/>
      </c>
    </row>
    <row r="1953" spans="9:9" x14ac:dyDescent="0.25">
      <c r="I1953" s="227" t="str">
        <f>MID(excPisCofins[[#This Row],[CodBarras2]],2,50)</f>
        <v/>
      </c>
    </row>
    <row r="1954" spans="9:9" x14ac:dyDescent="0.25">
      <c r="I1954" s="227" t="str">
        <f>MID(excPisCofins[[#This Row],[CodBarras2]],2,50)</f>
        <v/>
      </c>
    </row>
    <row r="1955" spans="9:9" x14ac:dyDescent="0.25">
      <c r="I1955" s="227" t="str">
        <f>MID(excPisCofins[[#This Row],[CodBarras2]],2,50)</f>
        <v/>
      </c>
    </row>
    <row r="1956" spans="9:9" x14ac:dyDescent="0.25">
      <c r="I1956" s="227" t="str">
        <f>MID(excPisCofins[[#This Row],[CodBarras2]],2,50)</f>
        <v/>
      </c>
    </row>
    <row r="1957" spans="9:9" x14ac:dyDescent="0.25">
      <c r="I1957" s="227" t="str">
        <f>MID(excPisCofins[[#This Row],[CodBarras2]],2,50)</f>
        <v/>
      </c>
    </row>
    <row r="1958" spans="9:9" x14ac:dyDescent="0.25">
      <c r="I1958" s="227" t="str">
        <f>MID(excPisCofins[[#This Row],[CodBarras2]],2,50)</f>
        <v/>
      </c>
    </row>
    <row r="1959" spans="9:9" x14ac:dyDescent="0.25">
      <c r="I1959" s="227" t="str">
        <f>MID(excPisCofins[[#This Row],[CodBarras2]],2,50)</f>
        <v/>
      </c>
    </row>
    <row r="1960" spans="9:9" x14ac:dyDescent="0.25">
      <c r="I1960" s="227" t="str">
        <f>MID(excPisCofins[[#This Row],[CodBarras2]],2,50)</f>
        <v/>
      </c>
    </row>
    <row r="1961" spans="9:9" x14ac:dyDescent="0.25">
      <c r="I1961" s="227" t="str">
        <f>MID(excPisCofins[[#This Row],[CodBarras2]],2,50)</f>
        <v/>
      </c>
    </row>
    <row r="1962" spans="9:9" x14ac:dyDescent="0.25">
      <c r="I1962" s="227" t="str">
        <f>MID(excPisCofins[[#This Row],[CodBarras2]],2,50)</f>
        <v/>
      </c>
    </row>
    <row r="1963" spans="9:9" x14ac:dyDescent="0.25">
      <c r="I1963" s="227" t="str">
        <f>MID(excPisCofins[[#This Row],[CodBarras2]],2,50)</f>
        <v/>
      </c>
    </row>
    <row r="1964" spans="9:9" x14ac:dyDescent="0.25">
      <c r="I1964" s="227" t="str">
        <f>MID(excPisCofins[[#This Row],[CodBarras2]],2,50)</f>
        <v/>
      </c>
    </row>
    <row r="1965" spans="9:9" x14ac:dyDescent="0.25">
      <c r="I1965" s="227" t="str">
        <f>MID(excPisCofins[[#This Row],[CodBarras2]],2,50)</f>
        <v/>
      </c>
    </row>
    <row r="1966" spans="9:9" x14ac:dyDescent="0.25">
      <c r="I1966" s="227" t="str">
        <f>MID(excPisCofins[[#This Row],[CodBarras2]],2,50)</f>
        <v/>
      </c>
    </row>
    <row r="1967" spans="9:9" x14ac:dyDescent="0.25">
      <c r="I1967" s="227" t="str">
        <f>MID(excPisCofins[[#This Row],[CodBarras2]],2,50)</f>
        <v/>
      </c>
    </row>
    <row r="1968" spans="9:9" x14ac:dyDescent="0.25">
      <c r="I1968" s="227" t="str">
        <f>MID(excPisCofins[[#This Row],[CodBarras2]],2,50)</f>
        <v/>
      </c>
    </row>
    <row r="1969" spans="9:9" x14ac:dyDescent="0.25">
      <c r="I1969" s="227" t="str">
        <f>MID(excPisCofins[[#This Row],[CodBarras2]],2,50)</f>
        <v/>
      </c>
    </row>
    <row r="1970" spans="9:9" x14ac:dyDescent="0.25">
      <c r="I1970" s="227" t="str">
        <f>MID(excPisCofins[[#This Row],[CodBarras2]],2,50)</f>
        <v/>
      </c>
    </row>
    <row r="1971" spans="9:9" x14ac:dyDescent="0.25">
      <c r="I1971" s="227" t="str">
        <f>MID(excPisCofins[[#This Row],[CodBarras2]],2,50)</f>
        <v/>
      </c>
    </row>
    <row r="1972" spans="9:9" x14ac:dyDescent="0.25">
      <c r="I1972" s="227" t="str">
        <f>MID(excPisCofins[[#This Row],[CodBarras2]],2,50)</f>
        <v/>
      </c>
    </row>
    <row r="1973" spans="9:9" x14ac:dyDescent="0.25">
      <c r="I1973" s="227" t="str">
        <f>MID(excPisCofins[[#This Row],[CodBarras2]],2,50)</f>
        <v/>
      </c>
    </row>
    <row r="1974" spans="9:9" x14ac:dyDescent="0.25">
      <c r="I1974" s="227" t="str">
        <f>MID(excPisCofins[[#This Row],[CodBarras2]],2,50)</f>
        <v/>
      </c>
    </row>
    <row r="1975" spans="9:9" x14ac:dyDescent="0.25">
      <c r="I1975" s="227" t="str">
        <f>MID(excPisCofins[[#This Row],[CodBarras2]],2,50)</f>
        <v/>
      </c>
    </row>
    <row r="1976" spans="9:9" x14ac:dyDescent="0.25">
      <c r="I1976" s="227" t="str">
        <f>MID(excPisCofins[[#This Row],[CodBarras2]],2,50)</f>
        <v/>
      </c>
    </row>
    <row r="1977" spans="9:9" x14ac:dyDescent="0.25">
      <c r="I1977" s="227" t="str">
        <f>MID(excPisCofins[[#This Row],[CodBarras2]],2,50)</f>
        <v/>
      </c>
    </row>
    <row r="1978" spans="9:9" x14ac:dyDescent="0.25">
      <c r="I1978" s="227" t="str">
        <f>MID(excPisCofins[[#This Row],[CodBarras2]],2,50)</f>
        <v/>
      </c>
    </row>
    <row r="1979" spans="9:9" x14ac:dyDescent="0.25">
      <c r="I1979" s="227" t="str">
        <f>MID(excPisCofins[[#This Row],[CodBarras2]],2,50)</f>
        <v/>
      </c>
    </row>
    <row r="1980" spans="9:9" x14ac:dyDescent="0.25">
      <c r="I1980" s="227" t="str">
        <f>MID(excPisCofins[[#This Row],[CodBarras2]],2,50)</f>
        <v/>
      </c>
    </row>
    <row r="1981" spans="9:9" x14ac:dyDescent="0.25">
      <c r="I1981" s="227" t="str">
        <f>MID(excPisCofins[[#This Row],[CodBarras2]],2,50)</f>
        <v/>
      </c>
    </row>
    <row r="1982" spans="9:9" x14ac:dyDescent="0.25">
      <c r="I1982" s="227" t="str">
        <f>MID(excPisCofins[[#This Row],[CodBarras2]],2,50)</f>
        <v/>
      </c>
    </row>
    <row r="1983" spans="9:9" x14ac:dyDescent="0.25">
      <c r="I1983" s="227" t="str">
        <f>MID(excPisCofins[[#This Row],[CodBarras2]],2,50)</f>
        <v/>
      </c>
    </row>
    <row r="1984" spans="9:9" x14ac:dyDescent="0.25">
      <c r="I1984" s="227" t="str">
        <f>MID(excPisCofins[[#This Row],[CodBarras2]],2,50)</f>
        <v/>
      </c>
    </row>
    <row r="1985" spans="9:9" x14ac:dyDescent="0.25">
      <c r="I1985" s="227" t="str">
        <f>MID(excPisCofins[[#This Row],[CodBarras2]],2,50)</f>
        <v/>
      </c>
    </row>
    <row r="1986" spans="9:9" x14ac:dyDescent="0.25">
      <c r="I1986" s="227" t="str">
        <f>MID(excPisCofins[[#This Row],[CodBarras2]],2,50)</f>
        <v/>
      </c>
    </row>
    <row r="1987" spans="9:9" x14ac:dyDescent="0.25">
      <c r="I1987" s="227" t="str">
        <f>MID(excPisCofins[[#This Row],[CodBarras2]],2,50)</f>
        <v/>
      </c>
    </row>
    <row r="1988" spans="9:9" x14ac:dyDescent="0.25">
      <c r="I1988" s="227" t="str">
        <f>MID(excPisCofins[[#This Row],[CodBarras2]],2,50)</f>
        <v/>
      </c>
    </row>
    <row r="1989" spans="9:9" x14ac:dyDescent="0.25">
      <c r="I1989" s="227" t="str">
        <f>MID(excPisCofins[[#This Row],[CodBarras2]],2,50)</f>
        <v/>
      </c>
    </row>
    <row r="1990" spans="9:9" x14ac:dyDescent="0.25">
      <c r="I1990" s="227" t="str">
        <f>MID(excPisCofins[[#This Row],[CodBarras2]],2,50)</f>
        <v/>
      </c>
    </row>
    <row r="1991" spans="9:9" x14ac:dyDescent="0.25">
      <c r="I1991" s="227" t="str">
        <f>MID(excPisCofins[[#This Row],[CodBarras2]],2,50)</f>
        <v/>
      </c>
    </row>
    <row r="1992" spans="9:9" x14ac:dyDescent="0.25">
      <c r="I1992" s="227" t="str">
        <f>MID(excPisCofins[[#This Row],[CodBarras2]],2,50)</f>
        <v/>
      </c>
    </row>
    <row r="1993" spans="9:9" x14ac:dyDescent="0.25">
      <c r="I1993" s="227" t="str">
        <f>MID(excPisCofins[[#This Row],[CodBarras2]],2,50)</f>
        <v/>
      </c>
    </row>
    <row r="1994" spans="9:9" x14ac:dyDescent="0.25">
      <c r="I1994" s="227" t="str">
        <f>MID(excPisCofins[[#This Row],[CodBarras2]],2,50)</f>
        <v/>
      </c>
    </row>
    <row r="1995" spans="9:9" x14ac:dyDescent="0.25">
      <c r="I1995" s="227" t="str">
        <f>MID(excPisCofins[[#This Row],[CodBarras2]],2,50)</f>
        <v/>
      </c>
    </row>
    <row r="1996" spans="9:9" x14ac:dyDescent="0.25">
      <c r="I1996" s="227" t="str">
        <f>MID(excPisCofins[[#This Row],[CodBarras2]],2,50)</f>
        <v/>
      </c>
    </row>
    <row r="1997" spans="9:9" x14ac:dyDescent="0.25">
      <c r="I1997" s="227" t="str">
        <f>MID(excPisCofins[[#This Row],[CodBarras2]],2,50)</f>
        <v/>
      </c>
    </row>
    <row r="1998" spans="9:9" x14ac:dyDescent="0.25">
      <c r="I1998" s="227" t="str">
        <f>MID(excPisCofins[[#This Row],[CodBarras2]],2,50)</f>
        <v/>
      </c>
    </row>
    <row r="1999" spans="9:9" x14ac:dyDescent="0.25">
      <c r="I1999" s="227" t="str">
        <f>MID(excPisCofins[[#This Row],[CodBarras2]],2,50)</f>
        <v/>
      </c>
    </row>
    <row r="2000" spans="9:9" x14ac:dyDescent="0.25">
      <c r="I2000" s="227" t="str">
        <f>MID(excPisCofins[[#This Row],[CodBarras2]],2,50)</f>
        <v/>
      </c>
    </row>
    <row r="2001" spans="9:9" x14ac:dyDescent="0.25">
      <c r="I2001" s="227" t="str">
        <f>MID(excPisCofins[[#This Row],[CodBarras2]],2,50)</f>
        <v/>
      </c>
    </row>
    <row r="2002" spans="9:9" x14ac:dyDescent="0.25">
      <c r="I2002" s="227" t="str">
        <f>MID(excPisCofins[[#This Row],[CodBarras2]],2,50)</f>
        <v/>
      </c>
    </row>
    <row r="2003" spans="9:9" x14ac:dyDescent="0.25">
      <c r="I2003" s="227" t="str">
        <f>MID(excPisCofins[[#This Row],[CodBarras2]],2,50)</f>
        <v/>
      </c>
    </row>
    <row r="2004" spans="9:9" x14ac:dyDescent="0.25">
      <c r="I2004" s="227" t="str">
        <f>MID(excPisCofins[[#This Row],[CodBarras2]],2,50)</f>
        <v/>
      </c>
    </row>
    <row r="2005" spans="9:9" x14ac:dyDescent="0.25">
      <c r="I2005" s="227" t="str">
        <f>MID(excPisCofins[[#This Row],[CodBarras2]],2,50)</f>
        <v/>
      </c>
    </row>
    <row r="2006" spans="9:9" x14ac:dyDescent="0.25">
      <c r="I2006" s="227" t="str">
        <f>MID(excPisCofins[[#This Row],[CodBarras2]],2,50)</f>
        <v/>
      </c>
    </row>
    <row r="2007" spans="9:9" x14ac:dyDescent="0.25">
      <c r="I2007" s="227" t="str">
        <f>MID(excPisCofins[[#This Row],[CodBarras2]],2,50)</f>
        <v/>
      </c>
    </row>
    <row r="2008" spans="9:9" x14ac:dyDescent="0.25">
      <c r="I2008" s="227" t="str">
        <f>MID(excPisCofins[[#This Row],[CodBarras2]],2,50)</f>
        <v/>
      </c>
    </row>
    <row r="2009" spans="9:9" x14ac:dyDescent="0.25">
      <c r="I2009" s="227" t="str">
        <f>MID(excPisCofins[[#This Row],[CodBarras2]],2,50)</f>
        <v/>
      </c>
    </row>
    <row r="2010" spans="9:9" x14ac:dyDescent="0.25">
      <c r="I2010" s="227" t="str">
        <f>MID(excPisCofins[[#This Row],[CodBarras2]],2,50)</f>
        <v/>
      </c>
    </row>
    <row r="2011" spans="9:9" x14ac:dyDescent="0.25">
      <c r="I2011" s="227" t="str">
        <f>MID(excPisCofins[[#This Row],[CodBarras2]],2,50)</f>
        <v/>
      </c>
    </row>
    <row r="2012" spans="9:9" x14ac:dyDescent="0.25">
      <c r="I2012" s="227" t="str">
        <f>MID(excPisCofins[[#This Row],[CodBarras2]],2,50)</f>
        <v/>
      </c>
    </row>
    <row r="2013" spans="9:9" x14ac:dyDescent="0.25">
      <c r="I2013" s="227" t="str">
        <f>MID(excPisCofins[[#This Row],[CodBarras2]],2,50)</f>
        <v/>
      </c>
    </row>
    <row r="2014" spans="9:9" x14ac:dyDescent="0.25">
      <c r="I2014" s="227" t="str">
        <f>MID(excPisCofins[[#This Row],[CodBarras2]],2,50)</f>
        <v/>
      </c>
    </row>
    <row r="2015" spans="9:9" x14ac:dyDescent="0.25">
      <c r="I2015" s="227" t="str">
        <f>MID(excPisCofins[[#This Row],[CodBarras2]],2,50)</f>
        <v/>
      </c>
    </row>
    <row r="2016" spans="9:9" x14ac:dyDescent="0.25">
      <c r="I2016" s="227" t="str">
        <f>MID(excPisCofins[[#This Row],[CodBarras2]],2,50)</f>
        <v/>
      </c>
    </row>
    <row r="2017" spans="9:9" x14ac:dyDescent="0.25">
      <c r="I2017" s="227" t="str">
        <f>MID(excPisCofins[[#This Row],[CodBarras2]],2,50)</f>
        <v/>
      </c>
    </row>
    <row r="2018" spans="9:9" x14ac:dyDescent="0.25">
      <c r="I2018" s="227" t="str">
        <f>MID(excPisCofins[[#This Row],[CodBarras2]],2,50)</f>
        <v/>
      </c>
    </row>
    <row r="2019" spans="9:9" x14ac:dyDescent="0.25">
      <c r="I2019" s="227" t="str">
        <f>MID(excPisCofins[[#This Row],[CodBarras2]],2,50)</f>
        <v/>
      </c>
    </row>
    <row r="2020" spans="9:9" x14ac:dyDescent="0.25">
      <c r="I2020" s="227" t="str">
        <f>MID(excPisCofins[[#This Row],[CodBarras2]],2,50)</f>
        <v/>
      </c>
    </row>
    <row r="2021" spans="9:9" x14ac:dyDescent="0.25">
      <c r="I2021" s="227" t="str">
        <f>MID(excPisCofins[[#This Row],[CodBarras2]],2,50)</f>
        <v/>
      </c>
    </row>
    <row r="2022" spans="9:9" x14ac:dyDescent="0.25">
      <c r="I2022" s="227" t="str">
        <f>MID(excPisCofins[[#This Row],[CodBarras2]],2,50)</f>
        <v/>
      </c>
    </row>
    <row r="2023" spans="9:9" x14ac:dyDescent="0.25">
      <c r="I2023" s="227" t="str">
        <f>MID(excPisCofins[[#This Row],[CodBarras2]],2,50)</f>
        <v/>
      </c>
    </row>
    <row r="2024" spans="9:9" x14ac:dyDescent="0.25">
      <c r="I2024" s="227" t="str">
        <f>MID(excPisCofins[[#This Row],[CodBarras2]],2,50)</f>
        <v/>
      </c>
    </row>
    <row r="2025" spans="9:9" x14ac:dyDescent="0.25">
      <c r="I2025" s="227" t="str">
        <f>MID(excPisCofins[[#This Row],[CodBarras2]],2,50)</f>
        <v/>
      </c>
    </row>
    <row r="2026" spans="9:9" x14ac:dyDescent="0.25">
      <c r="I2026" s="227" t="str">
        <f>MID(excPisCofins[[#This Row],[CodBarras2]],2,50)</f>
        <v/>
      </c>
    </row>
    <row r="2027" spans="9:9" x14ac:dyDescent="0.25">
      <c r="I2027" s="227" t="str">
        <f>MID(excPisCofins[[#This Row],[CodBarras2]],2,50)</f>
        <v/>
      </c>
    </row>
    <row r="2028" spans="9:9" x14ac:dyDescent="0.25">
      <c r="I2028" s="227" t="str">
        <f>MID(excPisCofins[[#This Row],[CodBarras2]],2,50)</f>
        <v/>
      </c>
    </row>
    <row r="2029" spans="9:9" x14ac:dyDescent="0.25">
      <c r="I2029" s="227" t="str">
        <f>MID(excPisCofins[[#This Row],[CodBarras2]],2,50)</f>
        <v/>
      </c>
    </row>
    <row r="2030" spans="9:9" x14ac:dyDescent="0.25">
      <c r="I2030" s="227" t="str">
        <f>MID(excPisCofins[[#This Row],[CodBarras2]],2,50)</f>
        <v/>
      </c>
    </row>
    <row r="2031" spans="9:9" x14ac:dyDescent="0.25">
      <c r="I2031" s="227" t="str">
        <f>MID(excPisCofins[[#This Row],[CodBarras2]],2,50)</f>
        <v/>
      </c>
    </row>
    <row r="2032" spans="9:9" x14ac:dyDescent="0.25">
      <c r="I2032" s="227" t="str">
        <f>MID(excPisCofins[[#This Row],[CodBarras2]],2,50)</f>
        <v/>
      </c>
    </row>
    <row r="2033" spans="9:9" x14ac:dyDescent="0.25">
      <c r="I2033" s="227" t="str">
        <f>MID(excPisCofins[[#This Row],[CodBarras2]],2,50)</f>
        <v/>
      </c>
    </row>
    <row r="2034" spans="9:9" x14ac:dyDescent="0.25">
      <c r="I2034" s="227" t="str">
        <f>MID(excPisCofins[[#This Row],[CodBarras2]],2,50)</f>
        <v/>
      </c>
    </row>
    <row r="2035" spans="9:9" x14ac:dyDescent="0.25">
      <c r="I2035" s="227" t="str">
        <f>MID(excPisCofins[[#This Row],[CodBarras2]],2,50)</f>
        <v/>
      </c>
    </row>
    <row r="2036" spans="9:9" x14ac:dyDescent="0.25">
      <c r="I2036" s="227" t="str">
        <f>MID(excPisCofins[[#This Row],[CodBarras2]],2,50)</f>
        <v/>
      </c>
    </row>
    <row r="2037" spans="9:9" x14ac:dyDescent="0.25">
      <c r="I2037" s="227" t="str">
        <f>MID(excPisCofins[[#This Row],[CodBarras2]],2,50)</f>
        <v/>
      </c>
    </row>
    <row r="2038" spans="9:9" x14ac:dyDescent="0.25">
      <c r="I2038" s="227" t="str">
        <f>MID(excPisCofins[[#This Row],[CodBarras2]],2,50)</f>
        <v/>
      </c>
    </row>
    <row r="2039" spans="9:9" x14ac:dyDescent="0.25">
      <c r="I2039" s="227" t="str">
        <f>MID(excPisCofins[[#This Row],[CodBarras2]],2,50)</f>
        <v/>
      </c>
    </row>
    <row r="2040" spans="9:9" x14ac:dyDescent="0.25">
      <c r="I2040" s="227" t="str">
        <f>MID(excPisCofins[[#This Row],[CodBarras2]],2,50)</f>
        <v/>
      </c>
    </row>
    <row r="2041" spans="9:9" x14ac:dyDescent="0.25">
      <c r="I2041" s="227" t="str">
        <f>MID(excPisCofins[[#This Row],[CodBarras2]],2,50)</f>
        <v/>
      </c>
    </row>
    <row r="2042" spans="9:9" x14ac:dyDescent="0.25">
      <c r="I2042" s="227" t="str">
        <f>MID(excPisCofins[[#This Row],[CodBarras2]],2,50)</f>
        <v/>
      </c>
    </row>
    <row r="2043" spans="9:9" x14ac:dyDescent="0.25">
      <c r="I2043" s="227" t="str">
        <f>MID(excPisCofins[[#This Row],[CodBarras2]],2,50)</f>
        <v/>
      </c>
    </row>
    <row r="2044" spans="9:9" x14ac:dyDescent="0.25">
      <c r="I2044" s="227" t="str">
        <f>MID(excPisCofins[[#This Row],[CodBarras2]],2,50)</f>
        <v/>
      </c>
    </row>
    <row r="2045" spans="9:9" x14ac:dyDescent="0.25">
      <c r="I2045" s="227" t="str">
        <f>MID(excPisCofins[[#This Row],[CodBarras2]],2,50)</f>
        <v/>
      </c>
    </row>
    <row r="2046" spans="9:9" x14ac:dyDescent="0.25">
      <c r="I2046" s="227" t="str">
        <f>MID(excPisCofins[[#This Row],[CodBarras2]],2,50)</f>
        <v/>
      </c>
    </row>
    <row r="2047" spans="9:9" x14ac:dyDescent="0.25">
      <c r="I2047" s="227" t="str">
        <f>MID(excPisCofins[[#This Row],[CodBarras2]],2,50)</f>
        <v/>
      </c>
    </row>
    <row r="2048" spans="9:9" x14ac:dyDescent="0.25">
      <c r="I2048" s="227" t="str">
        <f>MID(excPisCofins[[#This Row],[CodBarras2]],2,50)</f>
        <v/>
      </c>
    </row>
    <row r="2049" spans="9:9" x14ac:dyDescent="0.25">
      <c r="I2049" s="227" t="str">
        <f>MID(excPisCofins[[#This Row],[CodBarras2]],2,50)</f>
        <v/>
      </c>
    </row>
    <row r="2050" spans="9:9" x14ac:dyDescent="0.25">
      <c r="I2050" s="227" t="str">
        <f>MID(excPisCofins[[#This Row],[CodBarras2]],2,50)</f>
        <v/>
      </c>
    </row>
    <row r="2051" spans="9:9" x14ac:dyDescent="0.25">
      <c r="I2051" s="227" t="str">
        <f>MID(excPisCofins[[#This Row],[CodBarras2]],2,50)</f>
        <v/>
      </c>
    </row>
    <row r="2052" spans="9:9" x14ac:dyDescent="0.25">
      <c r="I2052" s="227" t="str">
        <f>MID(excPisCofins[[#This Row],[CodBarras2]],2,50)</f>
        <v/>
      </c>
    </row>
    <row r="2053" spans="9:9" x14ac:dyDescent="0.25">
      <c r="I2053" s="227" t="str">
        <f>MID(excPisCofins[[#This Row],[CodBarras2]],2,50)</f>
        <v/>
      </c>
    </row>
    <row r="2054" spans="9:9" x14ac:dyDescent="0.25">
      <c r="I2054" s="227" t="str">
        <f>MID(excPisCofins[[#This Row],[CodBarras2]],2,50)</f>
        <v/>
      </c>
    </row>
    <row r="2055" spans="9:9" x14ac:dyDescent="0.25">
      <c r="I2055" s="227" t="str">
        <f>MID(excPisCofins[[#This Row],[CodBarras2]],2,50)</f>
        <v/>
      </c>
    </row>
    <row r="2056" spans="9:9" x14ac:dyDescent="0.25">
      <c r="I2056" s="227" t="str">
        <f>MID(excPisCofins[[#This Row],[CodBarras2]],2,50)</f>
        <v/>
      </c>
    </row>
    <row r="2057" spans="9:9" x14ac:dyDescent="0.25">
      <c r="I2057" s="227" t="str">
        <f>MID(excPisCofins[[#This Row],[CodBarras2]],2,50)</f>
        <v/>
      </c>
    </row>
    <row r="2058" spans="9:9" x14ac:dyDescent="0.25">
      <c r="I2058" s="227" t="str">
        <f>MID(excPisCofins[[#This Row],[CodBarras2]],2,50)</f>
        <v/>
      </c>
    </row>
    <row r="2059" spans="9:9" x14ac:dyDescent="0.25">
      <c r="I2059" s="227" t="str">
        <f>MID(excPisCofins[[#This Row],[CodBarras2]],2,50)</f>
        <v/>
      </c>
    </row>
    <row r="2060" spans="9:9" x14ac:dyDescent="0.25">
      <c r="I2060" s="227" t="str">
        <f>MID(excPisCofins[[#This Row],[CodBarras2]],2,50)</f>
        <v/>
      </c>
    </row>
    <row r="2061" spans="9:9" x14ac:dyDescent="0.25">
      <c r="I2061" s="227" t="str">
        <f>MID(excPisCofins[[#This Row],[CodBarras2]],2,50)</f>
        <v/>
      </c>
    </row>
    <row r="2062" spans="9:9" x14ac:dyDescent="0.25">
      <c r="I2062" s="227" t="str">
        <f>MID(excPisCofins[[#This Row],[CodBarras2]],2,50)</f>
        <v/>
      </c>
    </row>
    <row r="2063" spans="9:9" x14ac:dyDescent="0.25">
      <c r="I2063" s="227" t="str">
        <f>MID(excPisCofins[[#This Row],[CodBarras2]],2,50)</f>
        <v/>
      </c>
    </row>
    <row r="2064" spans="9:9" x14ac:dyDescent="0.25">
      <c r="I2064" s="227" t="str">
        <f>MID(excPisCofins[[#This Row],[CodBarras2]],2,50)</f>
        <v/>
      </c>
    </row>
    <row r="2065" spans="9:9" x14ac:dyDescent="0.25">
      <c r="I2065" s="227" t="str">
        <f>MID(excPisCofins[[#This Row],[CodBarras2]],2,50)</f>
        <v/>
      </c>
    </row>
    <row r="2066" spans="9:9" x14ac:dyDescent="0.25">
      <c r="I2066" s="227" t="str">
        <f>MID(excPisCofins[[#This Row],[CodBarras2]],2,50)</f>
        <v/>
      </c>
    </row>
    <row r="2067" spans="9:9" x14ac:dyDescent="0.25">
      <c r="I2067" s="227" t="str">
        <f>MID(excPisCofins[[#This Row],[CodBarras2]],2,50)</f>
        <v/>
      </c>
    </row>
    <row r="2068" spans="9:9" x14ac:dyDescent="0.25">
      <c r="I2068" s="227" t="str">
        <f>MID(excPisCofins[[#This Row],[CodBarras2]],2,50)</f>
        <v/>
      </c>
    </row>
    <row r="2069" spans="9:9" x14ac:dyDescent="0.25">
      <c r="I2069" s="227" t="str">
        <f>MID(excPisCofins[[#This Row],[CodBarras2]],2,50)</f>
        <v/>
      </c>
    </row>
    <row r="2070" spans="9:9" x14ac:dyDescent="0.25">
      <c r="I2070" s="227" t="str">
        <f>MID(excPisCofins[[#This Row],[CodBarras2]],2,50)</f>
        <v/>
      </c>
    </row>
    <row r="2071" spans="9:9" x14ac:dyDescent="0.25">
      <c r="I2071" s="227" t="str">
        <f>MID(excPisCofins[[#This Row],[CodBarras2]],2,50)</f>
        <v/>
      </c>
    </row>
    <row r="2072" spans="9:9" x14ac:dyDescent="0.25">
      <c r="I2072" s="227" t="str">
        <f>MID(excPisCofins[[#This Row],[CodBarras2]],2,50)</f>
        <v/>
      </c>
    </row>
    <row r="2073" spans="9:9" x14ac:dyDescent="0.25">
      <c r="I2073" s="227" t="str">
        <f>MID(excPisCofins[[#This Row],[CodBarras2]],2,50)</f>
        <v/>
      </c>
    </row>
    <row r="2074" spans="9:9" x14ac:dyDescent="0.25">
      <c r="I2074" s="227" t="str">
        <f>MID(excPisCofins[[#This Row],[CodBarras2]],2,50)</f>
        <v/>
      </c>
    </row>
    <row r="2075" spans="9:9" x14ac:dyDescent="0.25">
      <c r="I2075" s="227" t="str">
        <f>MID(excPisCofins[[#This Row],[CodBarras2]],2,50)</f>
        <v/>
      </c>
    </row>
    <row r="2076" spans="9:9" x14ac:dyDescent="0.25">
      <c r="I2076" s="227" t="str">
        <f>MID(excPisCofins[[#This Row],[CodBarras2]],2,50)</f>
        <v/>
      </c>
    </row>
    <row r="2077" spans="9:9" x14ac:dyDescent="0.25">
      <c r="I2077" s="227" t="str">
        <f>MID(excPisCofins[[#This Row],[CodBarras2]],2,50)</f>
        <v/>
      </c>
    </row>
    <row r="2078" spans="9:9" x14ac:dyDescent="0.25">
      <c r="I2078" s="227" t="str">
        <f>MID(excPisCofins[[#This Row],[CodBarras2]],2,50)</f>
        <v/>
      </c>
    </row>
    <row r="2079" spans="9:9" x14ac:dyDescent="0.25">
      <c r="I2079" s="227" t="str">
        <f>MID(excPisCofins[[#This Row],[CodBarras2]],2,50)</f>
        <v/>
      </c>
    </row>
    <row r="2080" spans="9:9" x14ac:dyDescent="0.25">
      <c r="I2080" s="227" t="str">
        <f>MID(excPisCofins[[#This Row],[CodBarras2]],2,50)</f>
        <v/>
      </c>
    </row>
    <row r="2081" spans="9:9" x14ac:dyDescent="0.25">
      <c r="I2081" s="227" t="str">
        <f>MID(excPisCofins[[#This Row],[CodBarras2]],2,50)</f>
        <v/>
      </c>
    </row>
    <row r="2082" spans="9:9" x14ac:dyDescent="0.25">
      <c r="I2082" s="227" t="str">
        <f>MID(excPisCofins[[#This Row],[CodBarras2]],2,50)</f>
        <v/>
      </c>
    </row>
    <row r="2083" spans="9:9" x14ac:dyDescent="0.25">
      <c r="I2083" s="227" t="str">
        <f>MID(excPisCofins[[#This Row],[CodBarras2]],2,50)</f>
        <v/>
      </c>
    </row>
    <row r="2084" spans="9:9" x14ac:dyDescent="0.25">
      <c r="I2084" s="227" t="str">
        <f>MID(excPisCofins[[#This Row],[CodBarras2]],2,50)</f>
        <v/>
      </c>
    </row>
    <row r="2085" spans="9:9" x14ac:dyDescent="0.25">
      <c r="I2085" s="227" t="str">
        <f>MID(excPisCofins[[#This Row],[CodBarras2]],2,50)</f>
        <v/>
      </c>
    </row>
    <row r="2086" spans="9:9" x14ac:dyDescent="0.25">
      <c r="I2086" s="227" t="str">
        <f>MID(excPisCofins[[#This Row],[CodBarras2]],2,50)</f>
        <v/>
      </c>
    </row>
    <row r="2087" spans="9:9" x14ac:dyDescent="0.25">
      <c r="I2087" s="227" t="str">
        <f>MID(excPisCofins[[#This Row],[CodBarras2]],2,50)</f>
        <v/>
      </c>
    </row>
    <row r="2088" spans="9:9" x14ac:dyDescent="0.25">
      <c r="I2088" s="227" t="str">
        <f>MID(excPisCofins[[#This Row],[CodBarras2]],2,50)</f>
        <v/>
      </c>
    </row>
    <row r="2089" spans="9:9" x14ac:dyDescent="0.25">
      <c r="I2089" s="227" t="str">
        <f>MID(excPisCofins[[#This Row],[CodBarras2]],2,50)</f>
        <v/>
      </c>
    </row>
    <row r="2090" spans="9:9" x14ac:dyDescent="0.25">
      <c r="I2090" s="227" t="str">
        <f>MID(excPisCofins[[#This Row],[CodBarras2]],2,50)</f>
        <v/>
      </c>
    </row>
    <row r="2091" spans="9:9" x14ac:dyDescent="0.25">
      <c r="I2091" s="227" t="str">
        <f>MID(excPisCofins[[#This Row],[CodBarras2]],2,50)</f>
        <v/>
      </c>
    </row>
    <row r="2092" spans="9:9" x14ac:dyDescent="0.25">
      <c r="I2092" s="227" t="str">
        <f>MID(excPisCofins[[#This Row],[CodBarras2]],2,50)</f>
        <v/>
      </c>
    </row>
    <row r="2093" spans="9:9" x14ac:dyDescent="0.25">
      <c r="I2093" s="227" t="str">
        <f>MID(excPisCofins[[#This Row],[CodBarras2]],2,50)</f>
        <v/>
      </c>
    </row>
    <row r="2094" spans="9:9" x14ac:dyDescent="0.25">
      <c r="I2094" s="227" t="str">
        <f>MID(excPisCofins[[#This Row],[CodBarras2]],2,50)</f>
        <v/>
      </c>
    </row>
    <row r="2095" spans="9:9" x14ac:dyDescent="0.25">
      <c r="I2095" s="227" t="str">
        <f>MID(excPisCofins[[#This Row],[CodBarras2]],2,50)</f>
        <v/>
      </c>
    </row>
    <row r="2096" spans="9:9" x14ac:dyDescent="0.25">
      <c r="I2096" s="227" t="str">
        <f>MID(excPisCofins[[#This Row],[CodBarras2]],2,50)</f>
        <v/>
      </c>
    </row>
    <row r="2097" spans="9:9" x14ac:dyDescent="0.25">
      <c r="I2097" s="227" t="str">
        <f>MID(excPisCofins[[#This Row],[CodBarras2]],2,50)</f>
        <v/>
      </c>
    </row>
    <row r="2098" spans="9:9" x14ac:dyDescent="0.25">
      <c r="I2098" s="227" t="str">
        <f>MID(excPisCofins[[#This Row],[CodBarras2]],2,50)</f>
        <v/>
      </c>
    </row>
    <row r="2099" spans="9:9" x14ac:dyDescent="0.25">
      <c r="I2099" s="227" t="str">
        <f>MID(excPisCofins[[#This Row],[CodBarras2]],2,50)</f>
        <v/>
      </c>
    </row>
    <row r="2100" spans="9:9" x14ac:dyDescent="0.25">
      <c r="I2100" s="227" t="str">
        <f>MID(excPisCofins[[#This Row],[CodBarras2]],2,50)</f>
        <v/>
      </c>
    </row>
    <row r="2101" spans="9:9" x14ac:dyDescent="0.25">
      <c r="I2101" s="227" t="str">
        <f>MID(excPisCofins[[#This Row],[CodBarras2]],2,50)</f>
        <v/>
      </c>
    </row>
    <row r="2102" spans="9:9" x14ac:dyDescent="0.25">
      <c r="I2102" s="227" t="str">
        <f>MID(excPisCofins[[#This Row],[CodBarras2]],2,50)</f>
        <v/>
      </c>
    </row>
    <row r="2103" spans="9:9" x14ac:dyDescent="0.25">
      <c r="I2103" s="227" t="str">
        <f>MID(excPisCofins[[#This Row],[CodBarras2]],2,50)</f>
        <v/>
      </c>
    </row>
    <row r="2104" spans="9:9" x14ac:dyDescent="0.25">
      <c r="I2104" s="227" t="str">
        <f>MID(excPisCofins[[#This Row],[CodBarras2]],2,50)</f>
        <v/>
      </c>
    </row>
    <row r="2105" spans="9:9" x14ac:dyDescent="0.25">
      <c r="I2105" s="227" t="str">
        <f>MID(excPisCofins[[#This Row],[CodBarras2]],2,50)</f>
        <v/>
      </c>
    </row>
    <row r="2106" spans="9:9" x14ac:dyDescent="0.25">
      <c r="I2106" s="227" t="str">
        <f>MID(excPisCofins[[#This Row],[CodBarras2]],2,50)</f>
        <v/>
      </c>
    </row>
    <row r="2107" spans="9:9" x14ac:dyDescent="0.25">
      <c r="I2107" s="227" t="str">
        <f>MID(excPisCofins[[#This Row],[CodBarras2]],2,50)</f>
        <v/>
      </c>
    </row>
    <row r="2108" spans="9:9" x14ac:dyDescent="0.25">
      <c r="I2108" s="227" t="str">
        <f>MID(excPisCofins[[#This Row],[CodBarras2]],2,50)</f>
        <v/>
      </c>
    </row>
    <row r="2109" spans="9:9" x14ac:dyDescent="0.25">
      <c r="I2109" s="227" t="str">
        <f>MID(excPisCofins[[#This Row],[CodBarras2]],2,50)</f>
        <v/>
      </c>
    </row>
    <row r="2110" spans="9:9" x14ac:dyDescent="0.25">
      <c r="I2110" s="227" t="str">
        <f>MID(excPisCofins[[#This Row],[CodBarras2]],2,50)</f>
        <v/>
      </c>
    </row>
    <row r="2111" spans="9:9" x14ac:dyDescent="0.25">
      <c r="I2111" s="227" t="str">
        <f>MID(excPisCofins[[#This Row],[CodBarras2]],2,50)</f>
        <v/>
      </c>
    </row>
    <row r="2112" spans="9:9" x14ac:dyDescent="0.25">
      <c r="I2112" s="227" t="str">
        <f>MID(excPisCofins[[#This Row],[CodBarras2]],2,50)</f>
        <v/>
      </c>
    </row>
    <row r="2113" spans="9:9" x14ac:dyDescent="0.25">
      <c r="I2113" s="227" t="str">
        <f>MID(excPisCofins[[#This Row],[CodBarras2]],2,50)</f>
        <v/>
      </c>
    </row>
    <row r="2114" spans="9:9" x14ac:dyDescent="0.25">
      <c r="I2114" s="227" t="str">
        <f>MID(excPisCofins[[#This Row],[CodBarras2]],2,50)</f>
        <v/>
      </c>
    </row>
    <row r="2115" spans="9:9" x14ac:dyDescent="0.25">
      <c r="I2115" s="227" t="str">
        <f>MID(excPisCofins[[#This Row],[CodBarras2]],2,50)</f>
        <v/>
      </c>
    </row>
    <row r="2116" spans="9:9" x14ac:dyDescent="0.25">
      <c r="I2116" s="227" t="str">
        <f>MID(excPisCofins[[#This Row],[CodBarras2]],2,50)</f>
        <v/>
      </c>
    </row>
    <row r="2117" spans="9:9" x14ac:dyDescent="0.25">
      <c r="I2117" s="227" t="str">
        <f>MID(excPisCofins[[#This Row],[CodBarras2]],2,50)</f>
        <v/>
      </c>
    </row>
    <row r="2118" spans="9:9" x14ac:dyDescent="0.25">
      <c r="I2118" s="227" t="str">
        <f>MID(excPisCofins[[#This Row],[CodBarras2]],2,50)</f>
        <v/>
      </c>
    </row>
    <row r="2119" spans="9:9" x14ac:dyDescent="0.25">
      <c r="I2119" s="227" t="str">
        <f>MID(excPisCofins[[#This Row],[CodBarras2]],2,50)</f>
        <v/>
      </c>
    </row>
    <row r="2120" spans="9:9" x14ac:dyDescent="0.25">
      <c r="I2120" s="227" t="str">
        <f>MID(excPisCofins[[#This Row],[CodBarras2]],2,50)</f>
        <v/>
      </c>
    </row>
    <row r="2121" spans="9:9" x14ac:dyDescent="0.25">
      <c r="I2121" s="227" t="str">
        <f>MID(excPisCofins[[#This Row],[CodBarras2]],2,50)</f>
        <v/>
      </c>
    </row>
    <row r="2122" spans="9:9" x14ac:dyDescent="0.25">
      <c r="I2122" s="227" t="str">
        <f>MID(excPisCofins[[#This Row],[CodBarras2]],2,50)</f>
        <v/>
      </c>
    </row>
    <row r="2123" spans="9:9" x14ac:dyDescent="0.25">
      <c r="I2123" s="227" t="str">
        <f>MID(excPisCofins[[#This Row],[CodBarras2]],2,50)</f>
        <v/>
      </c>
    </row>
    <row r="2124" spans="9:9" x14ac:dyDescent="0.25">
      <c r="I2124" s="227" t="str">
        <f>MID(excPisCofins[[#This Row],[CodBarras2]],2,50)</f>
        <v/>
      </c>
    </row>
    <row r="2125" spans="9:9" x14ac:dyDescent="0.25">
      <c r="I2125" s="227" t="str">
        <f>MID(excPisCofins[[#This Row],[CodBarras2]],2,50)</f>
        <v/>
      </c>
    </row>
    <row r="2126" spans="9:9" x14ac:dyDescent="0.25">
      <c r="I2126" s="227" t="str">
        <f>MID(excPisCofins[[#This Row],[CodBarras2]],2,50)</f>
        <v/>
      </c>
    </row>
    <row r="2127" spans="9:9" x14ac:dyDescent="0.25">
      <c r="I2127" s="227" t="str">
        <f>MID(excPisCofins[[#This Row],[CodBarras2]],2,50)</f>
        <v/>
      </c>
    </row>
    <row r="2128" spans="9:9" x14ac:dyDescent="0.25">
      <c r="I2128" s="227" t="str">
        <f>MID(excPisCofins[[#This Row],[CodBarras2]],2,50)</f>
        <v/>
      </c>
    </row>
    <row r="2129" spans="9:9" x14ac:dyDescent="0.25">
      <c r="I2129" s="227" t="str">
        <f>MID(excPisCofins[[#This Row],[CodBarras2]],2,50)</f>
        <v/>
      </c>
    </row>
    <row r="2130" spans="9:9" x14ac:dyDescent="0.25">
      <c r="I2130" s="227" t="str">
        <f>MID(excPisCofins[[#This Row],[CodBarras2]],2,50)</f>
        <v/>
      </c>
    </row>
    <row r="2131" spans="9:9" x14ac:dyDescent="0.25">
      <c r="I2131" s="227" t="str">
        <f>MID(excPisCofins[[#This Row],[CodBarras2]],2,50)</f>
        <v/>
      </c>
    </row>
    <row r="2132" spans="9:9" x14ac:dyDescent="0.25">
      <c r="I2132" s="227" t="str">
        <f>MID(excPisCofins[[#This Row],[CodBarras2]],2,50)</f>
        <v/>
      </c>
    </row>
    <row r="2133" spans="9:9" x14ac:dyDescent="0.25">
      <c r="I2133" s="227" t="str">
        <f>MID(excPisCofins[[#This Row],[CodBarras2]],2,50)</f>
        <v/>
      </c>
    </row>
    <row r="2134" spans="9:9" x14ac:dyDescent="0.25">
      <c r="I2134" s="227" t="str">
        <f>MID(excPisCofins[[#This Row],[CodBarras2]],2,50)</f>
        <v/>
      </c>
    </row>
    <row r="2135" spans="9:9" x14ac:dyDescent="0.25">
      <c r="I2135" s="227" t="str">
        <f>MID(excPisCofins[[#This Row],[CodBarras2]],2,50)</f>
        <v/>
      </c>
    </row>
    <row r="2136" spans="9:9" x14ac:dyDescent="0.25">
      <c r="I2136" s="227" t="str">
        <f>MID(excPisCofins[[#This Row],[CodBarras2]],2,50)</f>
        <v/>
      </c>
    </row>
    <row r="2137" spans="9:9" x14ac:dyDescent="0.25">
      <c r="I2137" s="227" t="str">
        <f>MID(excPisCofins[[#This Row],[CodBarras2]],2,50)</f>
        <v/>
      </c>
    </row>
    <row r="2138" spans="9:9" x14ac:dyDescent="0.25">
      <c r="I2138" s="227" t="str">
        <f>MID(excPisCofins[[#This Row],[CodBarras2]],2,50)</f>
        <v/>
      </c>
    </row>
    <row r="2139" spans="9:9" x14ac:dyDescent="0.25">
      <c r="I2139" s="227" t="str">
        <f>MID(excPisCofins[[#This Row],[CodBarras2]],2,50)</f>
        <v/>
      </c>
    </row>
    <row r="2140" spans="9:9" x14ac:dyDescent="0.25">
      <c r="I2140" s="227" t="str">
        <f>MID(excPisCofins[[#This Row],[CodBarras2]],2,50)</f>
        <v/>
      </c>
    </row>
    <row r="2141" spans="9:9" x14ac:dyDescent="0.25">
      <c r="I2141" s="227" t="str">
        <f>MID(excPisCofins[[#This Row],[CodBarras2]],2,50)</f>
        <v/>
      </c>
    </row>
    <row r="2142" spans="9:9" x14ac:dyDescent="0.25">
      <c r="I2142" s="227" t="str">
        <f>MID(excPisCofins[[#This Row],[CodBarras2]],2,50)</f>
        <v/>
      </c>
    </row>
    <row r="2143" spans="9:9" x14ac:dyDescent="0.25">
      <c r="I2143" s="227" t="str">
        <f>MID(excPisCofins[[#This Row],[CodBarras2]],2,50)</f>
        <v/>
      </c>
    </row>
    <row r="2144" spans="9:9" x14ac:dyDescent="0.25">
      <c r="I2144" s="227" t="str">
        <f>MID(excPisCofins[[#This Row],[CodBarras2]],2,50)</f>
        <v/>
      </c>
    </row>
    <row r="2145" spans="9:9" x14ac:dyDescent="0.25">
      <c r="I2145" s="227" t="str">
        <f>MID(excPisCofins[[#This Row],[CodBarras2]],2,50)</f>
        <v/>
      </c>
    </row>
    <row r="2146" spans="9:9" x14ac:dyDescent="0.25">
      <c r="I2146" s="227" t="str">
        <f>MID(excPisCofins[[#This Row],[CodBarras2]],2,50)</f>
        <v/>
      </c>
    </row>
    <row r="2147" spans="9:9" x14ac:dyDescent="0.25">
      <c r="I2147" s="227" t="str">
        <f>MID(excPisCofins[[#This Row],[CodBarras2]],2,50)</f>
        <v/>
      </c>
    </row>
    <row r="2148" spans="9:9" x14ac:dyDescent="0.25">
      <c r="I2148" s="227" t="str">
        <f>MID(excPisCofins[[#This Row],[CodBarras2]],2,50)</f>
        <v/>
      </c>
    </row>
    <row r="2149" spans="9:9" x14ac:dyDescent="0.25">
      <c r="I2149" s="227" t="str">
        <f>MID(excPisCofins[[#This Row],[CodBarras2]],2,50)</f>
        <v/>
      </c>
    </row>
    <row r="2150" spans="9:9" x14ac:dyDescent="0.25">
      <c r="I2150" s="227" t="str">
        <f>MID(excPisCofins[[#This Row],[CodBarras2]],2,50)</f>
        <v/>
      </c>
    </row>
    <row r="2151" spans="9:9" x14ac:dyDescent="0.25">
      <c r="I2151" s="227" t="str">
        <f>MID(excPisCofins[[#This Row],[CodBarras2]],2,50)</f>
        <v/>
      </c>
    </row>
    <row r="2152" spans="9:9" x14ac:dyDescent="0.25">
      <c r="I2152" s="227" t="str">
        <f>MID(excPisCofins[[#This Row],[CodBarras2]],2,50)</f>
        <v/>
      </c>
    </row>
    <row r="2153" spans="9:9" x14ac:dyDescent="0.25">
      <c r="I2153" s="227" t="str">
        <f>MID(excPisCofins[[#This Row],[CodBarras2]],2,50)</f>
        <v/>
      </c>
    </row>
    <row r="2154" spans="9:9" x14ac:dyDescent="0.25">
      <c r="I2154" s="227" t="str">
        <f>MID(excPisCofins[[#This Row],[CodBarras2]],2,50)</f>
        <v/>
      </c>
    </row>
    <row r="2155" spans="9:9" x14ac:dyDescent="0.25">
      <c r="I2155" s="227" t="str">
        <f>MID(excPisCofins[[#This Row],[CodBarras2]],2,50)</f>
        <v/>
      </c>
    </row>
    <row r="2156" spans="9:9" x14ac:dyDescent="0.25">
      <c r="I2156" s="227" t="str">
        <f>MID(excPisCofins[[#This Row],[CodBarras2]],2,50)</f>
        <v/>
      </c>
    </row>
    <row r="2157" spans="9:9" x14ac:dyDescent="0.25">
      <c r="I2157" s="227" t="str">
        <f>MID(excPisCofins[[#This Row],[CodBarras2]],2,50)</f>
        <v/>
      </c>
    </row>
    <row r="2158" spans="9:9" x14ac:dyDescent="0.25">
      <c r="I2158" s="227" t="str">
        <f>MID(excPisCofins[[#This Row],[CodBarras2]],2,50)</f>
        <v/>
      </c>
    </row>
    <row r="2159" spans="9:9" x14ac:dyDescent="0.25">
      <c r="I2159" s="227" t="str">
        <f>MID(excPisCofins[[#This Row],[CodBarras2]],2,50)</f>
        <v/>
      </c>
    </row>
    <row r="2160" spans="9:9" x14ac:dyDescent="0.25">
      <c r="I2160" s="227" t="str">
        <f>MID(excPisCofins[[#This Row],[CodBarras2]],2,50)</f>
        <v/>
      </c>
    </row>
    <row r="2161" spans="9:9" x14ac:dyDescent="0.25">
      <c r="I2161" s="227" t="str">
        <f>MID(excPisCofins[[#This Row],[CodBarras2]],2,50)</f>
        <v/>
      </c>
    </row>
    <row r="2162" spans="9:9" x14ac:dyDescent="0.25">
      <c r="I2162" s="227" t="str">
        <f>MID(excPisCofins[[#This Row],[CodBarras2]],2,50)</f>
        <v/>
      </c>
    </row>
    <row r="2163" spans="9:9" x14ac:dyDescent="0.25">
      <c r="I2163" s="227" t="str">
        <f>MID(excPisCofins[[#This Row],[CodBarras2]],2,50)</f>
        <v/>
      </c>
    </row>
    <row r="2164" spans="9:9" x14ac:dyDescent="0.25">
      <c r="I2164" s="227" t="str">
        <f>MID(excPisCofins[[#This Row],[CodBarras2]],2,50)</f>
        <v/>
      </c>
    </row>
    <row r="2165" spans="9:9" x14ac:dyDescent="0.25">
      <c r="I2165" s="227" t="str">
        <f>MID(excPisCofins[[#This Row],[CodBarras2]],2,50)</f>
        <v/>
      </c>
    </row>
    <row r="2166" spans="9:9" x14ac:dyDescent="0.25">
      <c r="I2166" s="227" t="str">
        <f>MID(excPisCofins[[#This Row],[CodBarras2]],2,50)</f>
        <v/>
      </c>
    </row>
    <row r="2167" spans="9:9" x14ac:dyDescent="0.25">
      <c r="I2167" s="227" t="str">
        <f>MID(excPisCofins[[#This Row],[CodBarras2]],2,50)</f>
        <v/>
      </c>
    </row>
    <row r="2168" spans="9:9" x14ac:dyDescent="0.25">
      <c r="I2168" s="227" t="str">
        <f>MID(excPisCofins[[#This Row],[CodBarras2]],2,50)</f>
        <v/>
      </c>
    </row>
    <row r="2169" spans="9:9" x14ac:dyDescent="0.25">
      <c r="I2169" s="227" t="str">
        <f>MID(excPisCofins[[#This Row],[CodBarras2]],2,50)</f>
        <v/>
      </c>
    </row>
    <row r="2170" spans="9:9" x14ac:dyDescent="0.25">
      <c r="I2170" s="227" t="str">
        <f>MID(excPisCofins[[#This Row],[CodBarras2]],2,50)</f>
        <v/>
      </c>
    </row>
    <row r="2171" spans="9:9" x14ac:dyDescent="0.25">
      <c r="I2171" s="227" t="str">
        <f>MID(excPisCofins[[#This Row],[CodBarras2]],2,50)</f>
        <v/>
      </c>
    </row>
    <row r="2172" spans="9:9" x14ac:dyDescent="0.25">
      <c r="I2172" s="227" t="str">
        <f>MID(excPisCofins[[#This Row],[CodBarras2]],2,50)</f>
        <v/>
      </c>
    </row>
    <row r="2173" spans="9:9" x14ac:dyDescent="0.25">
      <c r="I2173" s="227" t="str">
        <f>MID(excPisCofins[[#This Row],[CodBarras2]],2,50)</f>
        <v/>
      </c>
    </row>
    <row r="2174" spans="9:9" x14ac:dyDescent="0.25">
      <c r="I2174" s="227" t="str">
        <f>MID(excPisCofins[[#This Row],[CodBarras2]],2,50)</f>
        <v/>
      </c>
    </row>
    <row r="2175" spans="9:9" x14ac:dyDescent="0.25">
      <c r="I2175" s="227" t="str">
        <f>MID(excPisCofins[[#This Row],[CodBarras2]],2,50)</f>
        <v/>
      </c>
    </row>
    <row r="2176" spans="9:9" x14ac:dyDescent="0.25">
      <c r="I2176" s="227" t="str">
        <f>MID(excPisCofins[[#This Row],[CodBarras2]],2,50)</f>
        <v/>
      </c>
    </row>
    <row r="2177" spans="9:9" x14ac:dyDescent="0.25">
      <c r="I2177" s="227" t="str">
        <f>MID(excPisCofins[[#This Row],[CodBarras2]],2,50)</f>
        <v/>
      </c>
    </row>
    <row r="2178" spans="9:9" x14ac:dyDescent="0.25">
      <c r="I2178" s="227" t="str">
        <f>MID(excPisCofins[[#This Row],[CodBarras2]],2,50)</f>
        <v/>
      </c>
    </row>
    <row r="2179" spans="9:9" x14ac:dyDescent="0.25">
      <c r="I2179" s="227" t="str">
        <f>MID(excPisCofins[[#This Row],[CodBarras2]],2,50)</f>
        <v/>
      </c>
    </row>
    <row r="2180" spans="9:9" x14ac:dyDescent="0.25">
      <c r="I2180" s="227" t="str">
        <f>MID(excPisCofins[[#This Row],[CodBarras2]],2,50)</f>
        <v/>
      </c>
    </row>
    <row r="2181" spans="9:9" x14ac:dyDescent="0.25">
      <c r="I2181" s="227" t="str">
        <f>MID(excPisCofins[[#This Row],[CodBarras2]],2,50)</f>
        <v/>
      </c>
    </row>
    <row r="2182" spans="9:9" x14ac:dyDescent="0.25">
      <c r="I2182" s="227" t="str">
        <f>MID(excPisCofins[[#This Row],[CodBarras2]],2,50)</f>
        <v/>
      </c>
    </row>
    <row r="2183" spans="9:9" x14ac:dyDescent="0.25">
      <c r="I2183" s="227" t="str">
        <f>MID(excPisCofins[[#This Row],[CodBarras2]],2,50)</f>
        <v/>
      </c>
    </row>
    <row r="2184" spans="9:9" x14ac:dyDescent="0.25">
      <c r="I2184" s="227" t="str">
        <f>MID(excPisCofins[[#This Row],[CodBarras2]],2,50)</f>
        <v/>
      </c>
    </row>
    <row r="2185" spans="9:9" x14ac:dyDescent="0.25">
      <c r="I2185" s="227" t="str">
        <f>MID(excPisCofins[[#This Row],[CodBarras2]],2,50)</f>
        <v/>
      </c>
    </row>
    <row r="2186" spans="9:9" x14ac:dyDescent="0.25">
      <c r="I2186" s="227" t="str">
        <f>MID(excPisCofins[[#This Row],[CodBarras2]],2,50)</f>
        <v/>
      </c>
    </row>
    <row r="2187" spans="9:9" x14ac:dyDescent="0.25">
      <c r="I2187" s="227" t="str">
        <f>MID(excPisCofins[[#This Row],[CodBarras2]],2,50)</f>
        <v/>
      </c>
    </row>
    <row r="2188" spans="9:9" x14ac:dyDescent="0.25">
      <c r="I2188" s="227" t="str">
        <f>MID(excPisCofins[[#This Row],[CodBarras2]],2,50)</f>
        <v/>
      </c>
    </row>
    <row r="2189" spans="9:9" x14ac:dyDescent="0.25">
      <c r="I2189" s="227" t="str">
        <f>MID(excPisCofins[[#This Row],[CodBarras2]],2,50)</f>
        <v/>
      </c>
    </row>
    <row r="2190" spans="9:9" x14ac:dyDescent="0.25">
      <c r="I2190" s="227" t="str">
        <f>MID(excPisCofins[[#This Row],[CodBarras2]],2,50)</f>
        <v/>
      </c>
    </row>
    <row r="2191" spans="9:9" x14ac:dyDescent="0.25">
      <c r="I2191" s="227" t="str">
        <f>MID(excPisCofins[[#This Row],[CodBarras2]],2,50)</f>
        <v/>
      </c>
    </row>
    <row r="2192" spans="9:9" x14ac:dyDescent="0.25">
      <c r="I2192" s="227" t="str">
        <f>MID(excPisCofins[[#This Row],[CodBarras2]],2,50)</f>
        <v/>
      </c>
    </row>
    <row r="2193" spans="9:9" x14ac:dyDescent="0.25">
      <c r="I2193" s="227" t="str">
        <f>MID(excPisCofins[[#This Row],[CodBarras2]],2,50)</f>
        <v/>
      </c>
    </row>
    <row r="2194" spans="9:9" x14ac:dyDescent="0.25">
      <c r="I2194" s="227" t="str">
        <f>MID(excPisCofins[[#This Row],[CodBarras2]],2,50)</f>
        <v/>
      </c>
    </row>
    <row r="2195" spans="9:9" x14ac:dyDescent="0.25">
      <c r="I2195" s="227" t="str">
        <f>MID(excPisCofins[[#This Row],[CodBarras2]],2,50)</f>
        <v/>
      </c>
    </row>
    <row r="2196" spans="9:9" x14ac:dyDescent="0.25">
      <c r="I2196" s="227" t="str">
        <f>MID(excPisCofins[[#This Row],[CodBarras2]],2,50)</f>
        <v/>
      </c>
    </row>
    <row r="2197" spans="9:9" x14ac:dyDescent="0.25">
      <c r="I2197" s="227" t="str">
        <f>MID(excPisCofins[[#This Row],[CodBarras2]],2,50)</f>
        <v/>
      </c>
    </row>
    <row r="2198" spans="9:9" x14ac:dyDescent="0.25">
      <c r="I2198" s="227" t="str">
        <f>MID(excPisCofins[[#This Row],[CodBarras2]],2,50)</f>
        <v/>
      </c>
    </row>
    <row r="2199" spans="9:9" x14ac:dyDescent="0.25">
      <c r="I2199" s="227" t="str">
        <f>MID(excPisCofins[[#This Row],[CodBarras2]],2,50)</f>
        <v/>
      </c>
    </row>
    <row r="2200" spans="9:9" x14ac:dyDescent="0.25">
      <c r="I2200" s="227" t="str">
        <f>MID(excPisCofins[[#This Row],[CodBarras2]],2,50)</f>
        <v/>
      </c>
    </row>
    <row r="2201" spans="9:9" x14ac:dyDescent="0.25">
      <c r="I2201" s="227" t="str">
        <f>MID(excPisCofins[[#This Row],[CodBarras2]],2,50)</f>
        <v/>
      </c>
    </row>
    <row r="2202" spans="9:9" x14ac:dyDescent="0.25">
      <c r="I2202" s="227" t="str">
        <f>MID(excPisCofins[[#This Row],[CodBarras2]],2,50)</f>
        <v/>
      </c>
    </row>
    <row r="2203" spans="9:9" x14ac:dyDescent="0.25">
      <c r="I2203" s="227" t="str">
        <f>MID(excPisCofins[[#This Row],[CodBarras2]],2,50)</f>
        <v/>
      </c>
    </row>
    <row r="2204" spans="9:9" x14ac:dyDescent="0.25">
      <c r="I2204" s="227" t="str">
        <f>MID(excPisCofins[[#This Row],[CodBarras2]],2,50)</f>
        <v/>
      </c>
    </row>
    <row r="2205" spans="9:9" x14ac:dyDescent="0.25">
      <c r="I2205" s="227" t="str">
        <f>MID(excPisCofins[[#This Row],[CodBarras2]],2,50)</f>
        <v/>
      </c>
    </row>
    <row r="2206" spans="9:9" x14ac:dyDescent="0.25">
      <c r="I2206" s="227" t="str">
        <f>MID(excPisCofins[[#This Row],[CodBarras2]],2,50)</f>
        <v/>
      </c>
    </row>
    <row r="2207" spans="9:9" x14ac:dyDescent="0.25">
      <c r="I2207" s="227" t="str">
        <f>MID(excPisCofins[[#This Row],[CodBarras2]],2,50)</f>
        <v/>
      </c>
    </row>
    <row r="2208" spans="9:9" x14ac:dyDescent="0.25">
      <c r="I2208" s="227" t="str">
        <f>MID(excPisCofins[[#This Row],[CodBarras2]],2,50)</f>
        <v/>
      </c>
    </row>
    <row r="2209" spans="9:9" x14ac:dyDescent="0.25">
      <c r="I2209" s="227" t="str">
        <f>MID(excPisCofins[[#This Row],[CodBarras2]],2,50)</f>
        <v/>
      </c>
    </row>
    <row r="2210" spans="9:9" x14ac:dyDescent="0.25">
      <c r="I2210" s="227" t="str">
        <f>MID(excPisCofins[[#This Row],[CodBarras2]],2,50)</f>
        <v/>
      </c>
    </row>
    <row r="2211" spans="9:9" x14ac:dyDescent="0.25">
      <c r="I2211" s="227" t="str">
        <f>MID(excPisCofins[[#This Row],[CodBarras2]],2,50)</f>
        <v/>
      </c>
    </row>
    <row r="2212" spans="9:9" x14ac:dyDescent="0.25">
      <c r="I2212" s="227" t="str">
        <f>MID(excPisCofins[[#This Row],[CodBarras2]],2,50)</f>
        <v/>
      </c>
    </row>
    <row r="2213" spans="9:9" x14ac:dyDescent="0.25">
      <c r="I2213" s="227" t="str">
        <f>MID(excPisCofins[[#This Row],[CodBarras2]],2,50)</f>
        <v/>
      </c>
    </row>
    <row r="2214" spans="9:9" x14ac:dyDescent="0.25">
      <c r="I2214" s="227" t="str">
        <f>MID(excPisCofins[[#This Row],[CodBarras2]],2,50)</f>
        <v/>
      </c>
    </row>
    <row r="2215" spans="9:9" x14ac:dyDescent="0.25">
      <c r="I2215" s="227" t="str">
        <f>MID(excPisCofins[[#This Row],[CodBarras2]],2,50)</f>
        <v/>
      </c>
    </row>
    <row r="2216" spans="9:9" x14ac:dyDescent="0.25">
      <c r="I2216" s="227" t="str">
        <f>MID(excPisCofins[[#This Row],[CodBarras2]],2,50)</f>
        <v/>
      </c>
    </row>
    <row r="2217" spans="9:9" x14ac:dyDescent="0.25">
      <c r="I2217" s="227" t="str">
        <f>MID(excPisCofins[[#This Row],[CodBarras2]],2,50)</f>
        <v/>
      </c>
    </row>
    <row r="2218" spans="9:9" x14ac:dyDescent="0.25">
      <c r="I2218" s="227" t="str">
        <f>MID(excPisCofins[[#This Row],[CodBarras2]],2,50)</f>
        <v/>
      </c>
    </row>
    <row r="2219" spans="9:9" x14ac:dyDescent="0.25">
      <c r="I2219" s="227" t="str">
        <f>MID(excPisCofins[[#This Row],[CodBarras2]],2,50)</f>
        <v/>
      </c>
    </row>
    <row r="2220" spans="9:9" x14ac:dyDescent="0.25">
      <c r="I2220" s="227" t="str">
        <f>MID(excPisCofins[[#This Row],[CodBarras2]],2,50)</f>
        <v/>
      </c>
    </row>
    <row r="2221" spans="9:9" x14ac:dyDescent="0.25">
      <c r="I2221" s="227" t="str">
        <f>MID(excPisCofins[[#This Row],[CodBarras2]],2,50)</f>
        <v/>
      </c>
    </row>
    <row r="2222" spans="9:9" x14ac:dyDescent="0.25">
      <c r="I2222" s="227" t="str">
        <f>MID(excPisCofins[[#This Row],[CodBarras2]],2,50)</f>
        <v/>
      </c>
    </row>
    <row r="2223" spans="9:9" x14ac:dyDescent="0.25">
      <c r="I2223" s="227" t="str">
        <f>MID(excPisCofins[[#This Row],[CodBarras2]],2,50)</f>
        <v/>
      </c>
    </row>
    <row r="2224" spans="9:9" x14ac:dyDescent="0.25">
      <c r="I2224" s="227" t="str">
        <f>MID(excPisCofins[[#This Row],[CodBarras2]],2,50)</f>
        <v/>
      </c>
    </row>
    <row r="2225" spans="9:9" x14ac:dyDescent="0.25">
      <c r="I2225" s="227" t="str">
        <f>MID(excPisCofins[[#This Row],[CodBarras2]],2,50)</f>
        <v/>
      </c>
    </row>
    <row r="2226" spans="9:9" x14ac:dyDescent="0.25">
      <c r="I2226" s="227" t="str">
        <f>MID(excPisCofins[[#This Row],[CodBarras2]],2,50)</f>
        <v/>
      </c>
    </row>
    <row r="2227" spans="9:9" x14ac:dyDescent="0.25">
      <c r="I2227" s="227" t="str">
        <f>MID(excPisCofins[[#This Row],[CodBarras2]],2,50)</f>
        <v/>
      </c>
    </row>
    <row r="2228" spans="9:9" x14ac:dyDescent="0.25">
      <c r="I2228" s="227" t="str">
        <f>MID(excPisCofins[[#This Row],[CodBarras2]],2,50)</f>
        <v/>
      </c>
    </row>
    <row r="2229" spans="9:9" x14ac:dyDescent="0.25">
      <c r="I2229" s="227" t="str">
        <f>MID(excPisCofins[[#This Row],[CodBarras2]],2,50)</f>
        <v/>
      </c>
    </row>
    <row r="2230" spans="9:9" x14ac:dyDescent="0.25">
      <c r="I2230" s="227" t="str">
        <f>MID(excPisCofins[[#This Row],[CodBarras2]],2,50)</f>
        <v/>
      </c>
    </row>
    <row r="2231" spans="9:9" x14ac:dyDescent="0.25">
      <c r="I2231" s="227" t="str">
        <f>MID(excPisCofins[[#This Row],[CodBarras2]],2,50)</f>
        <v/>
      </c>
    </row>
    <row r="2232" spans="9:9" x14ac:dyDescent="0.25">
      <c r="I2232" s="227" t="str">
        <f>MID(excPisCofins[[#This Row],[CodBarras2]],2,50)</f>
        <v/>
      </c>
    </row>
    <row r="2233" spans="9:9" x14ac:dyDescent="0.25">
      <c r="I2233" s="227" t="str">
        <f>MID(excPisCofins[[#This Row],[CodBarras2]],2,50)</f>
        <v/>
      </c>
    </row>
    <row r="2234" spans="9:9" x14ac:dyDescent="0.25">
      <c r="I2234" s="227" t="str">
        <f>MID(excPisCofins[[#This Row],[CodBarras2]],2,50)</f>
        <v/>
      </c>
    </row>
    <row r="2235" spans="9:9" x14ac:dyDescent="0.25">
      <c r="I2235" s="227" t="str">
        <f>MID(excPisCofins[[#This Row],[CodBarras2]],2,50)</f>
        <v/>
      </c>
    </row>
    <row r="2236" spans="9:9" x14ac:dyDescent="0.25">
      <c r="I2236" s="227" t="str">
        <f>MID(excPisCofins[[#This Row],[CodBarras2]],2,50)</f>
        <v/>
      </c>
    </row>
    <row r="2237" spans="9:9" x14ac:dyDescent="0.25">
      <c r="I2237" s="227" t="str">
        <f>MID(excPisCofins[[#This Row],[CodBarras2]],2,50)</f>
        <v/>
      </c>
    </row>
    <row r="2238" spans="9:9" x14ac:dyDescent="0.25">
      <c r="I2238" s="227" t="str">
        <f>MID(excPisCofins[[#This Row],[CodBarras2]],2,50)</f>
        <v/>
      </c>
    </row>
    <row r="2239" spans="9:9" x14ac:dyDescent="0.25">
      <c r="I2239" s="227" t="str">
        <f>MID(excPisCofins[[#This Row],[CodBarras2]],2,50)</f>
        <v/>
      </c>
    </row>
    <row r="2240" spans="9:9" x14ac:dyDescent="0.25">
      <c r="I2240" s="227" t="str">
        <f>MID(excPisCofins[[#This Row],[CodBarras2]],2,50)</f>
        <v/>
      </c>
    </row>
    <row r="2241" spans="9:9" x14ac:dyDescent="0.25">
      <c r="I2241" s="227" t="str">
        <f>MID(excPisCofins[[#This Row],[CodBarras2]],2,50)</f>
        <v/>
      </c>
    </row>
    <row r="2242" spans="9:9" x14ac:dyDescent="0.25">
      <c r="I2242" s="227" t="str">
        <f>MID(excPisCofins[[#This Row],[CodBarras2]],2,50)</f>
        <v/>
      </c>
    </row>
    <row r="2243" spans="9:9" x14ac:dyDescent="0.25">
      <c r="I2243" s="227" t="str">
        <f>MID(excPisCofins[[#This Row],[CodBarras2]],2,50)</f>
        <v/>
      </c>
    </row>
    <row r="2244" spans="9:9" x14ac:dyDescent="0.25">
      <c r="I2244" s="227" t="str">
        <f>MID(excPisCofins[[#This Row],[CodBarras2]],2,50)</f>
        <v/>
      </c>
    </row>
    <row r="2245" spans="9:9" x14ac:dyDescent="0.25">
      <c r="I2245" s="227" t="str">
        <f>MID(excPisCofins[[#This Row],[CodBarras2]],2,50)</f>
        <v/>
      </c>
    </row>
    <row r="2246" spans="9:9" x14ac:dyDescent="0.25">
      <c r="I2246" s="227" t="str">
        <f>MID(excPisCofins[[#This Row],[CodBarras2]],2,50)</f>
        <v/>
      </c>
    </row>
    <row r="2247" spans="9:9" x14ac:dyDescent="0.25">
      <c r="I2247" s="227" t="str">
        <f>MID(excPisCofins[[#This Row],[CodBarras2]],2,50)</f>
        <v/>
      </c>
    </row>
    <row r="2248" spans="9:9" x14ac:dyDescent="0.25">
      <c r="I2248" s="227" t="str">
        <f>MID(excPisCofins[[#This Row],[CodBarras2]],2,50)</f>
        <v/>
      </c>
    </row>
    <row r="2249" spans="9:9" x14ac:dyDescent="0.25">
      <c r="I2249" s="227" t="str">
        <f>MID(excPisCofins[[#This Row],[CodBarras2]],2,50)</f>
        <v/>
      </c>
    </row>
    <row r="2250" spans="9:9" x14ac:dyDescent="0.25">
      <c r="I2250" s="227" t="str">
        <f>MID(excPisCofins[[#This Row],[CodBarras2]],2,50)</f>
        <v/>
      </c>
    </row>
    <row r="2251" spans="9:9" x14ac:dyDescent="0.25">
      <c r="I2251" s="227" t="str">
        <f>MID(excPisCofins[[#This Row],[CodBarras2]],2,50)</f>
        <v/>
      </c>
    </row>
    <row r="2252" spans="9:9" x14ac:dyDescent="0.25">
      <c r="I2252" s="227" t="str">
        <f>MID(excPisCofins[[#This Row],[CodBarras2]],2,50)</f>
        <v/>
      </c>
    </row>
    <row r="2253" spans="9:9" x14ac:dyDescent="0.25">
      <c r="I2253" s="227" t="str">
        <f>MID(excPisCofins[[#This Row],[CodBarras2]],2,50)</f>
        <v/>
      </c>
    </row>
    <row r="2254" spans="9:9" x14ac:dyDescent="0.25">
      <c r="I2254" s="227" t="str">
        <f>MID(excPisCofins[[#This Row],[CodBarras2]],2,50)</f>
        <v/>
      </c>
    </row>
    <row r="2255" spans="9:9" x14ac:dyDescent="0.25">
      <c r="I2255" s="227" t="str">
        <f>MID(excPisCofins[[#This Row],[CodBarras2]],2,50)</f>
        <v/>
      </c>
    </row>
    <row r="2256" spans="9:9" x14ac:dyDescent="0.25">
      <c r="I2256" s="227" t="str">
        <f>MID(excPisCofins[[#This Row],[CodBarras2]],2,50)</f>
        <v/>
      </c>
    </row>
    <row r="2257" spans="9:9" x14ac:dyDescent="0.25">
      <c r="I2257" s="227" t="str">
        <f>MID(excPisCofins[[#This Row],[CodBarras2]],2,50)</f>
        <v/>
      </c>
    </row>
    <row r="2258" spans="9:9" x14ac:dyDescent="0.25">
      <c r="I2258" s="227" t="str">
        <f>MID(excPisCofins[[#This Row],[CodBarras2]],2,50)</f>
        <v/>
      </c>
    </row>
    <row r="2259" spans="9:9" x14ac:dyDescent="0.25">
      <c r="I2259" s="227" t="str">
        <f>MID(excPisCofins[[#This Row],[CodBarras2]],2,50)</f>
        <v/>
      </c>
    </row>
    <row r="2260" spans="9:9" x14ac:dyDescent="0.25">
      <c r="I2260" s="227" t="str">
        <f>MID(excPisCofins[[#This Row],[CodBarras2]],2,50)</f>
        <v/>
      </c>
    </row>
    <row r="2261" spans="9:9" x14ac:dyDescent="0.25">
      <c r="I2261" s="227" t="str">
        <f>MID(excPisCofins[[#This Row],[CodBarras2]],2,50)</f>
        <v/>
      </c>
    </row>
    <row r="2262" spans="9:9" x14ac:dyDescent="0.25">
      <c r="I2262" s="227" t="str">
        <f>MID(excPisCofins[[#This Row],[CodBarras2]],2,50)</f>
        <v/>
      </c>
    </row>
    <row r="2263" spans="9:9" x14ac:dyDescent="0.25">
      <c r="I2263" s="227" t="str">
        <f>MID(excPisCofins[[#This Row],[CodBarras2]],2,50)</f>
        <v/>
      </c>
    </row>
    <row r="2264" spans="9:9" x14ac:dyDescent="0.25">
      <c r="I2264" s="227" t="str">
        <f>MID(excPisCofins[[#This Row],[CodBarras2]],2,50)</f>
        <v/>
      </c>
    </row>
    <row r="2265" spans="9:9" x14ac:dyDescent="0.25">
      <c r="I2265" s="227" t="str">
        <f>MID(excPisCofins[[#This Row],[CodBarras2]],2,50)</f>
        <v/>
      </c>
    </row>
    <row r="2266" spans="9:9" x14ac:dyDescent="0.25">
      <c r="I2266" s="227" t="str">
        <f>MID(excPisCofins[[#This Row],[CodBarras2]],2,50)</f>
        <v/>
      </c>
    </row>
    <row r="2267" spans="9:9" x14ac:dyDescent="0.25">
      <c r="I2267" s="227" t="str">
        <f>MID(excPisCofins[[#This Row],[CodBarras2]],2,50)</f>
        <v/>
      </c>
    </row>
    <row r="2268" spans="9:9" x14ac:dyDescent="0.25">
      <c r="I2268" s="227" t="str">
        <f>MID(excPisCofins[[#This Row],[CodBarras2]],2,50)</f>
        <v/>
      </c>
    </row>
    <row r="2269" spans="9:9" x14ac:dyDescent="0.25">
      <c r="I2269" s="227" t="str">
        <f>MID(excPisCofins[[#This Row],[CodBarras2]],2,50)</f>
        <v/>
      </c>
    </row>
    <row r="2270" spans="9:9" x14ac:dyDescent="0.25">
      <c r="I2270" s="227" t="str">
        <f>MID(excPisCofins[[#This Row],[CodBarras2]],2,50)</f>
        <v/>
      </c>
    </row>
    <row r="2271" spans="9:9" x14ac:dyDescent="0.25">
      <c r="I2271" s="227" t="str">
        <f>MID(excPisCofins[[#This Row],[CodBarras2]],2,50)</f>
        <v/>
      </c>
    </row>
    <row r="2272" spans="9:9" x14ac:dyDescent="0.25">
      <c r="I2272" s="227" t="str">
        <f>MID(excPisCofins[[#This Row],[CodBarras2]],2,50)</f>
        <v/>
      </c>
    </row>
    <row r="2273" spans="9:9" x14ac:dyDescent="0.25">
      <c r="I2273" s="227" t="str">
        <f>MID(excPisCofins[[#This Row],[CodBarras2]],2,50)</f>
        <v/>
      </c>
    </row>
    <row r="2274" spans="9:9" x14ac:dyDescent="0.25">
      <c r="I2274" s="227" t="str">
        <f>MID(excPisCofins[[#This Row],[CodBarras2]],2,50)</f>
        <v/>
      </c>
    </row>
    <row r="2275" spans="9:9" x14ac:dyDescent="0.25">
      <c r="I2275" s="227" t="str">
        <f>MID(excPisCofins[[#This Row],[CodBarras2]],2,50)</f>
        <v/>
      </c>
    </row>
    <row r="2276" spans="9:9" x14ac:dyDescent="0.25">
      <c r="I2276" s="227" t="str">
        <f>MID(excPisCofins[[#This Row],[CodBarras2]],2,50)</f>
        <v/>
      </c>
    </row>
    <row r="2277" spans="9:9" x14ac:dyDescent="0.25">
      <c r="I2277" s="227" t="str">
        <f>MID(excPisCofins[[#This Row],[CodBarras2]],2,50)</f>
        <v/>
      </c>
    </row>
    <row r="2278" spans="9:9" x14ac:dyDescent="0.25">
      <c r="I2278" s="227" t="str">
        <f>MID(excPisCofins[[#This Row],[CodBarras2]],2,50)</f>
        <v/>
      </c>
    </row>
    <row r="2279" spans="9:9" x14ac:dyDescent="0.25">
      <c r="I2279" s="227" t="str">
        <f>MID(excPisCofins[[#This Row],[CodBarras2]],2,50)</f>
        <v/>
      </c>
    </row>
    <row r="2280" spans="9:9" x14ac:dyDescent="0.25">
      <c r="I2280" s="227" t="str">
        <f>MID(excPisCofins[[#This Row],[CodBarras2]],2,50)</f>
        <v/>
      </c>
    </row>
    <row r="2281" spans="9:9" x14ac:dyDescent="0.25">
      <c r="I2281" s="227" t="str">
        <f>MID(excPisCofins[[#This Row],[CodBarras2]],2,50)</f>
        <v/>
      </c>
    </row>
    <row r="2282" spans="9:9" x14ac:dyDescent="0.25">
      <c r="I2282" s="227" t="str">
        <f>MID(excPisCofins[[#This Row],[CodBarras2]],2,50)</f>
        <v/>
      </c>
    </row>
    <row r="2283" spans="9:9" x14ac:dyDescent="0.25">
      <c r="I2283" s="227" t="str">
        <f>MID(excPisCofins[[#This Row],[CodBarras2]],2,50)</f>
        <v/>
      </c>
    </row>
    <row r="2284" spans="9:9" x14ac:dyDescent="0.25">
      <c r="I2284" s="227" t="str">
        <f>MID(excPisCofins[[#This Row],[CodBarras2]],2,50)</f>
        <v/>
      </c>
    </row>
    <row r="2285" spans="9:9" x14ac:dyDescent="0.25">
      <c r="I2285" s="227" t="str">
        <f>MID(excPisCofins[[#This Row],[CodBarras2]],2,50)</f>
        <v/>
      </c>
    </row>
    <row r="2286" spans="9:9" x14ac:dyDescent="0.25">
      <c r="I2286" s="227" t="str">
        <f>MID(excPisCofins[[#This Row],[CodBarras2]],2,50)</f>
        <v/>
      </c>
    </row>
    <row r="2287" spans="9:9" x14ac:dyDescent="0.25">
      <c r="I2287" s="227" t="str">
        <f>MID(excPisCofins[[#This Row],[CodBarras2]],2,50)</f>
        <v/>
      </c>
    </row>
    <row r="2288" spans="9:9" x14ac:dyDescent="0.25">
      <c r="I2288" s="227" t="str">
        <f>MID(excPisCofins[[#This Row],[CodBarras2]],2,50)</f>
        <v/>
      </c>
    </row>
    <row r="2289" spans="9:9" x14ac:dyDescent="0.25">
      <c r="I2289" s="227" t="str">
        <f>MID(excPisCofins[[#This Row],[CodBarras2]],2,50)</f>
        <v/>
      </c>
    </row>
    <row r="2290" spans="9:9" x14ac:dyDescent="0.25">
      <c r="I2290" s="227" t="str">
        <f>MID(excPisCofins[[#This Row],[CodBarras2]],2,50)</f>
        <v/>
      </c>
    </row>
    <row r="2291" spans="9:9" x14ac:dyDescent="0.25">
      <c r="I2291" s="227" t="str">
        <f>MID(excPisCofins[[#This Row],[CodBarras2]],2,50)</f>
        <v/>
      </c>
    </row>
    <row r="2292" spans="9:9" x14ac:dyDescent="0.25">
      <c r="I2292" s="227" t="str">
        <f>MID(excPisCofins[[#This Row],[CodBarras2]],2,50)</f>
        <v/>
      </c>
    </row>
    <row r="2293" spans="9:9" x14ac:dyDescent="0.25">
      <c r="I2293" s="227" t="str">
        <f>MID(excPisCofins[[#This Row],[CodBarras2]],2,50)</f>
        <v/>
      </c>
    </row>
    <row r="2294" spans="9:9" x14ac:dyDescent="0.25">
      <c r="I2294" s="227" t="str">
        <f>MID(excPisCofins[[#This Row],[CodBarras2]],2,50)</f>
        <v/>
      </c>
    </row>
    <row r="2295" spans="9:9" x14ac:dyDescent="0.25">
      <c r="I2295" s="227" t="str">
        <f>MID(excPisCofins[[#This Row],[CodBarras2]],2,50)</f>
        <v/>
      </c>
    </row>
    <row r="2296" spans="9:9" x14ac:dyDescent="0.25">
      <c r="I2296" s="227" t="str">
        <f>MID(excPisCofins[[#This Row],[CodBarras2]],2,50)</f>
        <v/>
      </c>
    </row>
    <row r="2297" spans="9:9" x14ac:dyDescent="0.25">
      <c r="I2297" s="227" t="str">
        <f>MID(excPisCofins[[#This Row],[CodBarras2]],2,50)</f>
        <v/>
      </c>
    </row>
    <row r="2298" spans="9:9" x14ac:dyDescent="0.25">
      <c r="I2298" s="227" t="str">
        <f>MID(excPisCofins[[#This Row],[CodBarras2]],2,50)</f>
        <v/>
      </c>
    </row>
    <row r="2299" spans="9:9" x14ac:dyDescent="0.25">
      <c r="I2299" s="227" t="str">
        <f>MID(excPisCofins[[#This Row],[CodBarras2]],2,50)</f>
        <v/>
      </c>
    </row>
    <row r="2300" spans="9:9" x14ac:dyDescent="0.25">
      <c r="I2300" s="227" t="str">
        <f>MID(excPisCofins[[#This Row],[CodBarras2]],2,50)</f>
        <v/>
      </c>
    </row>
    <row r="2301" spans="9:9" x14ac:dyDescent="0.25">
      <c r="I2301" s="227" t="str">
        <f>MID(excPisCofins[[#This Row],[CodBarras2]],2,50)</f>
        <v/>
      </c>
    </row>
    <row r="2302" spans="9:9" x14ac:dyDescent="0.25">
      <c r="I2302" s="227" t="str">
        <f>MID(excPisCofins[[#This Row],[CodBarras2]],2,50)</f>
        <v/>
      </c>
    </row>
    <row r="2303" spans="9:9" x14ac:dyDescent="0.25">
      <c r="I2303" s="227" t="str">
        <f>MID(excPisCofins[[#This Row],[CodBarras2]],2,50)</f>
        <v/>
      </c>
    </row>
    <row r="2304" spans="9:9" x14ac:dyDescent="0.25">
      <c r="I2304" s="227" t="str">
        <f>MID(excPisCofins[[#This Row],[CodBarras2]],2,50)</f>
        <v/>
      </c>
    </row>
    <row r="2305" spans="9:9" x14ac:dyDescent="0.25">
      <c r="I2305" s="227" t="str">
        <f>MID(excPisCofins[[#This Row],[CodBarras2]],2,50)</f>
        <v/>
      </c>
    </row>
    <row r="2306" spans="9:9" x14ac:dyDescent="0.25">
      <c r="I2306" s="227" t="str">
        <f>MID(excPisCofins[[#This Row],[CodBarras2]],2,50)</f>
        <v/>
      </c>
    </row>
    <row r="2307" spans="9:9" x14ac:dyDescent="0.25">
      <c r="I2307" s="227" t="str">
        <f>MID(excPisCofins[[#This Row],[CodBarras2]],2,50)</f>
        <v/>
      </c>
    </row>
    <row r="2308" spans="9:9" x14ac:dyDescent="0.25">
      <c r="I2308" s="227" t="str">
        <f>MID(excPisCofins[[#This Row],[CodBarras2]],2,50)</f>
        <v/>
      </c>
    </row>
    <row r="2309" spans="9:9" x14ac:dyDescent="0.25">
      <c r="I2309" s="227" t="str">
        <f>MID(excPisCofins[[#This Row],[CodBarras2]],2,50)</f>
        <v/>
      </c>
    </row>
    <row r="2310" spans="9:9" x14ac:dyDescent="0.25">
      <c r="I2310" s="227" t="str">
        <f>MID(excPisCofins[[#This Row],[CodBarras2]],2,50)</f>
        <v/>
      </c>
    </row>
    <row r="2311" spans="9:9" x14ac:dyDescent="0.25">
      <c r="I2311" s="227" t="str">
        <f>MID(excPisCofins[[#This Row],[CodBarras2]],2,50)</f>
        <v/>
      </c>
    </row>
    <row r="2312" spans="9:9" x14ac:dyDescent="0.25">
      <c r="I2312" s="227" t="str">
        <f>MID(excPisCofins[[#This Row],[CodBarras2]],2,50)</f>
        <v/>
      </c>
    </row>
    <row r="2313" spans="9:9" x14ac:dyDescent="0.25">
      <c r="I2313" s="227" t="str">
        <f>MID(excPisCofins[[#This Row],[CodBarras2]],2,50)</f>
        <v/>
      </c>
    </row>
    <row r="2314" spans="9:9" x14ac:dyDescent="0.25">
      <c r="I2314" s="227" t="str">
        <f>MID(excPisCofins[[#This Row],[CodBarras2]],2,50)</f>
        <v/>
      </c>
    </row>
    <row r="2315" spans="9:9" x14ac:dyDescent="0.25">
      <c r="I2315" s="227" t="str">
        <f>MID(excPisCofins[[#This Row],[CodBarras2]],2,50)</f>
        <v/>
      </c>
    </row>
    <row r="2316" spans="9:9" x14ac:dyDescent="0.25">
      <c r="I2316" s="227" t="str">
        <f>MID(excPisCofins[[#This Row],[CodBarras2]],2,50)</f>
        <v/>
      </c>
    </row>
    <row r="2317" spans="9:9" x14ac:dyDescent="0.25">
      <c r="I2317" s="227" t="str">
        <f>MID(excPisCofins[[#This Row],[CodBarras2]],2,50)</f>
        <v/>
      </c>
    </row>
    <row r="2318" spans="9:9" x14ac:dyDescent="0.25">
      <c r="I2318" s="227" t="str">
        <f>MID(excPisCofins[[#This Row],[CodBarras2]],2,50)</f>
        <v/>
      </c>
    </row>
    <row r="2319" spans="9:9" x14ac:dyDescent="0.25">
      <c r="I2319" s="227" t="str">
        <f>MID(excPisCofins[[#This Row],[CodBarras2]],2,50)</f>
        <v/>
      </c>
    </row>
    <row r="2320" spans="9:9" x14ac:dyDescent="0.25">
      <c r="I2320" s="227" t="str">
        <f>MID(excPisCofins[[#This Row],[CodBarras2]],2,50)</f>
        <v/>
      </c>
    </row>
    <row r="2321" spans="9:9" x14ac:dyDescent="0.25">
      <c r="I2321" s="227" t="str">
        <f>MID(excPisCofins[[#This Row],[CodBarras2]],2,50)</f>
        <v/>
      </c>
    </row>
    <row r="2322" spans="9:9" x14ac:dyDescent="0.25">
      <c r="I2322" s="227" t="str">
        <f>MID(excPisCofins[[#This Row],[CodBarras2]],2,50)</f>
        <v/>
      </c>
    </row>
    <row r="2323" spans="9:9" x14ac:dyDescent="0.25">
      <c r="I2323" s="227" t="str">
        <f>MID(excPisCofins[[#This Row],[CodBarras2]],2,50)</f>
        <v/>
      </c>
    </row>
    <row r="2324" spans="9:9" x14ac:dyDescent="0.25">
      <c r="I2324" s="227" t="str">
        <f>MID(excPisCofins[[#This Row],[CodBarras2]],2,50)</f>
        <v/>
      </c>
    </row>
    <row r="2325" spans="9:9" x14ac:dyDescent="0.25">
      <c r="I2325" s="227" t="str">
        <f>MID(excPisCofins[[#This Row],[CodBarras2]],2,50)</f>
        <v/>
      </c>
    </row>
    <row r="2326" spans="9:9" x14ac:dyDescent="0.25">
      <c r="I2326" s="227" t="str">
        <f>MID(excPisCofins[[#This Row],[CodBarras2]],2,50)</f>
        <v/>
      </c>
    </row>
    <row r="2327" spans="9:9" x14ac:dyDescent="0.25">
      <c r="I2327" s="227" t="str">
        <f>MID(excPisCofins[[#This Row],[CodBarras2]],2,50)</f>
        <v/>
      </c>
    </row>
    <row r="2328" spans="9:9" x14ac:dyDescent="0.25">
      <c r="I2328" s="227" t="str">
        <f>MID(excPisCofins[[#This Row],[CodBarras2]],2,50)</f>
        <v/>
      </c>
    </row>
    <row r="2329" spans="9:9" x14ac:dyDescent="0.25">
      <c r="I2329" s="227" t="str">
        <f>MID(excPisCofins[[#This Row],[CodBarras2]],2,50)</f>
        <v/>
      </c>
    </row>
    <row r="2330" spans="9:9" x14ac:dyDescent="0.25">
      <c r="I2330" s="227" t="str">
        <f>MID(excPisCofins[[#This Row],[CodBarras2]],2,50)</f>
        <v/>
      </c>
    </row>
    <row r="2331" spans="9:9" x14ac:dyDescent="0.25">
      <c r="I2331" s="227" t="str">
        <f>MID(excPisCofins[[#This Row],[CodBarras2]],2,50)</f>
        <v/>
      </c>
    </row>
    <row r="2332" spans="9:9" x14ac:dyDescent="0.25">
      <c r="I2332" s="227" t="str">
        <f>MID(excPisCofins[[#This Row],[CodBarras2]],2,50)</f>
        <v/>
      </c>
    </row>
    <row r="2333" spans="9:9" x14ac:dyDescent="0.25">
      <c r="I2333" s="227" t="str">
        <f>MID(excPisCofins[[#This Row],[CodBarras2]],2,50)</f>
        <v/>
      </c>
    </row>
    <row r="2334" spans="9:9" x14ac:dyDescent="0.25">
      <c r="I2334" s="227" t="str">
        <f>MID(excPisCofins[[#This Row],[CodBarras2]],2,50)</f>
        <v/>
      </c>
    </row>
    <row r="2335" spans="9:9" x14ac:dyDescent="0.25">
      <c r="I2335" s="227" t="str">
        <f>MID(excPisCofins[[#This Row],[CodBarras2]],2,50)</f>
        <v/>
      </c>
    </row>
    <row r="2336" spans="9:9" x14ac:dyDescent="0.25">
      <c r="I2336" s="227" t="str">
        <f>MID(excPisCofins[[#This Row],[CodBarras2]],2,50)</f>
        <v/>
      </c>
    </row>
    <row r="2337" spans="9:9" x14ac:dyDescent="0.25">
      <c r="I2337" s="227" t="str">
        <f>MID(excPisCofins[[#This Row],[CodBarras2]],2,50)</f>
        <v/>
      </c>
    </row>
    <row r="2338" spans="9:9" x14ac:dyDescent="0.25">
      <c r="I2338" s="227" t="str">
        <f>MID(excPisCofins[[#This Row],[CodBarras2]],2,50)</f>
        <v/>
      </c>
    </row>
    <row r="2339" spans="9:9" x14ac:dyDescent="0.25">
      <c r="I2339" s="227" t="str">
        <f>MID(excPisCofins[[#This Row],[CodBarras2]],2,50)</f>
        <v/>
      </c>
    </row>
    <row r="2340" spans="9:9" x14ac:dyDescent="0.25">
      <c r="I2340" s="227" t="str">
        <f>MID(excPisCofins[[#This Row],[CodBarras2]],2,50)</f>
        <v/>
      </c>
    </row>
    <row r="2341" spans="9:9" x14ac:dyDescent="0.25">
      <c r="I2341" s="227" t="str">
        <f>MID(excPisCofins[[#This Row],[CodBarras2]],2,50)</f>
        <v/>
      </c>
    </row>
    <row r="2342" spans="9:9" x14ac:dyDescent="0.25">
      <c r="I2342" s="227" t="str">
        <f>MID(excPisCofins[[#This Row],[CodBarras2]],2,50)</f>
        <v/>
      </c>
    </row>
    <row r="2343" spans="9:9" x14ac:dyDescent="0.25">
      <c r="I2343" s="227" t="str">
        <f>MID(excPisCofins[[#This Row],[CodBarras2]],2,50)</f>
        <v/>
      </c>
    </row>
    <row r="2344" spans="9:9" x14ac:dyDescent="0.25">
      <c r="I2344" s="227" t="str">
        <f>MID(excPisCofins[[#This Row],[CodBarras2]],2,50)</f>
        <v/>
      </c>
    </row>
    <row r="2345" spans="9:9" x14ac:dyDescent="0.25">
      <c r="I2345" s="227" t="str">
        <f>MID(excPisCofins[[#This Row],[CodBarras2]],2,50)</f>
        <v/>
      </c>
    </row>
    <row r="2346" spans="9:9" x14ac:dyDescent="0.25">
      <c r="I2346" s="227" t="str">
        <f>MID(excPisCofins[[#This Row],[CodBarras2]],2,50)</f>
        <v/>
      </c>
    </row>
    <row r="2347" spans="9:9" x14ac:dyDescent="0.25">
      <c r="I2347" s="227" t="str">
        <f>MID(excPisCofins[[#This Row],[CodBarras2]],2,50)</f>
        <v/>
      </c>
    </row>
    <row r="2348" spans="9:9" x14ac:dyDescent="0.25">
      <c r="I2348" s="227" t="str">
        <f>MID(excPisCofins[[#This Row],[CodBarras2]],2,50)</f>
        <v/>
      </c>
    </row>
    <row r="2349" spans="9:9" x14ac:dyDescent="0.25">
      <c r="I2349" s="227" t="str">
        <f>MID(excPisCofins[[#This Row],[CodBarras2]],2,50)</f>
        <v/>
      </c>
    </row>
    <row r="2350" spans="9:9" x14ac:dyDescent="0.25">
      <c r="I2350" s="227" t="str">
        <f>MID(excPisCofins[[#This Row],[CodBarras2]],2,50)</f>
        <v/>
      </c>
    </row>
    <row r="2351" spans="9:9" x14ac:dyDescent="0.25">
      <c r="I2351" s="227" t="str">
        <f>MID(excPisCofins[[#This Row],[CodBarras2]],2,50)</f>
        <v/>
      </c>
    </row>
    <row r="2352" spans="9:9" x14ac:dyDescent="0.25">
      <c r="I2352" s="227" t="str">
        <f>MID(excPisCofins[[#This Row],[CodBarras2]],2,50)</f>
        <v/>
      </c>
    </row>
    <row r="2353" spans="9:9" x14ac:dyDescent="0.25">
      <c r="I2353" s="227" t="str">
        <f>MID(excPisCofins[[#This Row],[CodBarras2]],2,50)</f>
        <v/>
      </c>
    </row>
    <row r="2354" spans="9:9" x14ac:dyDescent="0.25">
      <c r="I2354" s="227" t="str">
        <f>MID(excPisCofins[[#This Row],[CodBarras2]],2,50)</f>
        <v/>
      </c>
    </row>
    <row r="2355" spans="9:9" x14ac:dyDescent="0.25">
      <c r="I2355" s="227" t="str">
        <f>MID(excPisCofins[[#This Row],[CodBarras2]],2,50)</f>
        <v/>
      </c>
    </row>
    <row r="2356" spans="9:9" x14ac:dyDescent="0.25">
      <c r="I2356" s="227" t="str">
        <f>MID(excPisCofins[[#This Row],[CodBarras2]],2,50)</f>
        <v/>
      </c>
    </row>
    <row r="2357" spans="9:9" x14ac:dyDescent="0.25">
      <c r="I2357" s="227" t="str">
        <f>MID(excPisCofins[[#This Row],[CodBarras2]],2,50)</f>
        <v/>
      </c>
    </row>
    <row r="2358" spans="9:9" x14ac:dyDescent="0.25">
      <c r="I2358" s="227" t="str">
        <f>MID(excPisCofins[[#This Row],[CodBarras2]],2,50)</f>
        <v/>
      </c>
    </row>
    <row r="2359" spans="9:9" x14ac:dyDescent="0.25">
      <c r="I2359" s="227" t="str">
        <f>MID(excPisCofins[[#This Row],[CodBarras2]],2,50)</f>
        <v/>
      </c>
    </row>
    <row r="2360" spans="9:9" x14ac:dyDescent="0.25">
      <c r="I2360" s="227" t="str">
        <f>MID(excPisCofins[[#This Row],[CodBarras2]],2,50)</f>
        <v/>
      </c>
    </row>
    <row r="2361" spans="9:9" x14ac:dyDescent="0.25">
      <c r="I2361" s="227" t="str">
        <f>MID(excPisCofins[[#This Row],[CodBarras2]],2,50)</f>
        <v/>
      </c>
    </row>
    <row r="2362" spans="9:9" x14ac:dyDescent="0.25">
      <c r="I2362" s="227" t="str">
        <f>MID(excPisCofins[[#This Row],[CodBarras2]],2,50)</f>
        <v/>
      </c>
    </row>
    <row r="2363" spans="9:9" x14ac:dyDescent="0.25">
      <c r="I2363" s="227" t="str">
        <f>MID(excPisCofins[[#This Row],[CodBarras2]],2,50)</f>
        <v/>
      </c>
    </row>
    <row r="2364" spans="9:9" x14ac:dyDescent="0.25">
      <c r="I2364" s="227" t="str">
        <f>MID(excPisCofins[[#This Row],[CodBarras2]],2,50)</f>
        <v/>
      </c>
    </row>
    <row r="2365" spans="9:9" x14ac:dyDescent="0.25">
      <c r="I2365" s="227" t="str">
        <f>MID(excPisCofins[[#This Row],[CodBarras2]],2,50)</f>
        <v/>
      </c>
    </row>
    <row r="2366" spans="9:9" x14ac:dyDescent="0.25">
      <c r="I2366" s="227" t="str">
        <f>MID(excPisCofins[[#This Row],[CodBarras2]],2,50)</f>
        <v/>
      </c>
    </row>
    <row r="2367" spans="9:9" x14ac:dyDescent="0.25">
      <c r="I2367" s="227" t="str">
        <f>MID(excPisCofins[[#This Row],[CodBarras2]],2,50)</f>
        <v/>
      </c>
    </row>
    <row r="2368" spans="9:9" x14ac:dyDescent="0.25">
      <c r="I2368" s="227" t="str">
        <f>MID(excPisCofins[[#This Row],[CodBarras2]],2,50)</f>
        <v/>
      </c>
    </row>
    <row r="2369" spans="9:9" x14ac:dyDescent="0.25">
      <c r="I2369" s="227" t="str">
        <f>MID(excPisCofins[[#This Row],[CodBarras2]],2,50)</f>
        <v/>
      </c>
    </row>
    <row r="2370" spans="9:9" x14ac:dyDescent="0.25">
      <c r="I2370" s="227" t="str">
        <f>MID(excPisCofins[[#This Row],[CodBarras2]],2,50)</f>
        <v/>
      </c>
    </row>
    <row r="2371" spans="9:9" x14ac:dyDescent="0.25">
      <c r="I2371" s="227" t="str">
        <f>MID(excPisCofins[[#This Row],[CodBarras2]],2,50)</f>
        <v/>
      </c>
    </row>
    <row r="2372" spans="9:9" x14ac:dyDescent="0.25">
      <c r="I2372" s="227" t="str">
        <f>MID(excPisCofins[[#This Row],[CodBarras2]],2,50)</f>
        <v/>
      </c>
    </row>
    <row r="2373" spans="9:9" x14ac:dyDescent="0.25">
      <c r="I2373" s="227" t="str">
        <f>MID(excPisCofins[[#This Row],[CodBarras2]],2,50)</f>
        <v/>
      </c>
    </row>
    <row r="2374" spans="9:9" x14ac:dyDescent="0.25">
      <c r="I2374" s="227" t="str">
        <f>MID(excPisCofins[[#This Row],[CodBarras2]],2,50)</f>
        <v/>
      </c>
    </row>
    <row r="2375" spans="9:9" x14ac:dyDescent="0.25">
      <c r="I2375" s="227" t="str">
        <f>MID(excPisCofins[[#This Row],[CodBarras2]],2,50)</f>
        <v/>
      </c>
    </row>
    <row r="2376" spans="9:9" x14ac:dyDescent="0.25">
      <c r="I2376" s="227" t="str">
        <f>MID(excPisCofins[[#This Row],[CodBarras2]],2,50)</f>
        <v/>
      </c>
    </row>
    <row r="2377" spans="9:9" x14ac:dyDescent="0.25">
      <c r="I2377" s="227" t="str">
        <f>MID(excPisCofins[[#This Row],[CodBarras2]],2,50)</f>
        <v/>
      </c>
    </row>
    <row r="2378" spans="9:9" x14ac:dyDescent="0.25">
      <c r="I2378" s="227" t="str">
        <f>MID(excPisCofins[[#This Row],[CodBarras2]],2,50)</f>
        <v/>
      </c>
    </row>
    <row r="2379" spans="9:9" x14ac:dyDescent="0.25">
      <c r="I2379" s="227" t="str">
        <f>MID(excPisCofins[[#This Row],[CodBarras2]],2,50)</f>
        <v/>
      </c>
    </row>
    <row r="2380" spans="9:9" x14ac:dyDescent="0.25">
      <c r="I2380" s="227" t="str">
        <f>MID(excPisCofins[[#This Row],[CodBarras2]],2,50)</f>
        <v/>
      </c>
    </row>
    <row r="2381" spans="9:9" x14ac:dyDescent="0.25">
      <c r="I2381" s="227" t="str">
        <f>MID(excPisCofins[[#This Row],[CodBarras2]],2,50)</f>
        <v/>
      </c>
    </row>
    <row r="2382" spans="9:9" x14ac:dyDescent="0.25">
      <c r="I2382" s="227" t="str">
        <f>MID(excPisCofins[[#This Row],[CodBarras2]],2,50)</f>
        <v/>
      </c>
    </row>
    <row r="2383" spans="9:9" x14ac:dyDescent="0.25">
      <c r="I2383" s="227" t="str">
        <f>MID(excPisCofins[[#This Row],[CodBarras2]],2,50)</f>
        <v/>
      </c>
    </row>
    <row r="2384" spans="9:9" x14ac:dyDescent="0.25">
      <c r="I2384" s="227" t="str">
        <f>MID(excPisCofins[[#This Row],[CodBarras2]],2,50)</f>
        <v/>
      </c>
    </row>
    <row r="2385" spans="9:9" x14ac:dyDescent="0.25">
      <c r="I2385" s="227" t="str">
        <f>MID(excPisCofins[[#This Row],[CodBarras2]],2,50)</f>
        <v/>
      </c>
    </row>
    <row r="2386" spans="9:9" x14ac:dyDescent="0.25">
      <c r="I2386" s="227" t="str">
        <f>MID(excPisCofins[[#This Row],[CodBarras2]],2,50)</f>
        <v/>
      </c>
    </row>
    <row r="2387" spans="9:9" x14ac:dyDescent="0.25">
      <c r="I2387" s="227" t="str">
        <f>MID(excPisCofins[[#This Row],[CodBarras2]],2,50)</f>
        <v/>
      </c>
    </row>
    <row r="2388" spans="9:9" x14ac:dyDescent="0.25">
      <c r="I2388" s="227" t="str">
        <f>MID(excPisCofins[[#This Row],[CodBarras2]],2,50)</f>
        <v/>
      </c>
    </row>
    <row r="2389" spans="9:9" x14ac:dyDescent="0.25">
      <c r="I2389" s="227" t="str">
        <f>MID(excPisCofins[[#This Row],[CodBarras2]],2,50)</f>
        <v/>
      </c>
    </row>
    <row r="2390" spans="9:9" x14ac:dyDescent="0.25">
      <c r="I2390" s="227" t="str">
        <f>MID(excPisCofins[[#This Row],[CodBarras2]],2,50)</f>
        <v/>
      </c>
    </row>
    <row r="2391" spans="9:9" x14ac:dyDescent="0.25">
      <c r="I2391" s="227" t="str">
        <f>MID(excPisCofins[[#This Row],[CodBarras2]],2,50)</f>
        <v/>
      </c>
    </row>
    <row r="2392" spans="9:9" x14ac:dyDescent="0.25">
      <c r="I2392" s="227" t="str">
        <f>MID(excPisCofins[[#This Row],[CodBarras2]],2,50)</f>
        <v/>
      </c>
    </row>
    <row r="2393" spans="9:9" x14ac:dyDescent="0.25">
      <c r="I2393" s="227" t="str">
        <f>MID(excPisCofins[[#This Row],[CodBarras2]],2,50)</f>
        <v/>
      </c>
    </row>
    <row r="2394" spans="9:9" x14ac:dyDescent="0.25">
      <c r="I2394" s="227" t="str">
        <f>MID(excPisCofins[[#This Row],[CodBarras2]],2,50)</f>
        <v/>
      </c>
    </row>
    <row r="2395" spans="9:9" x14ac:dyDescent="0.25">
      <c r="I2395" s="227" t="str">
        <f>MID(excPisCofins[[#This Row],[CodBarras2]],2,50)</f>
        <v/>
      </c>
    </row>
    <row r="2396" spans="9:9" x14ac:dyDescent="0.25">
      <c r="I2396" s="227" t="str">
        <f>MID(excPisCofins[[#This Row],[CodBarras2]],2,50)</f>
        <v/>
      </c>
    </row>
    <row r="2397" spans="9:9" x14ac:dyDescent="0.25">
      <c r="I2397" s="227" t="str">
        <f>MID(excPisCofins[[#This Row],[CodBarras2]],2,50)</f>
        <v/>
      </c>
    </row>
    <row r="2398" spans="9:9" x14ac:dyDescent="0.25">
      <c r="I2398" s="227" t="str">
        <f>MID(excPisCofins[[#This Row],[CodBarras2]],2,50)</f>
        <v/>
      </c>
    </row>
    <row r="2399" spans="9:9" x14ac:dyDescent="0.25">
      <c r="I2399" s="227" t="str">
        <f>MID(excPisCofins[[#This Row],[CodBarras2]],2,50)</f>
        <v/>
      </c>
    </row>
    <row r="2400" spans="9:9" x14ac:dyDescent="0.25">
      <c r="I2400" s="227" t="str">
        <f>MID(excPisCofins[[#This Row],[CodBarras2]],2,50)</f>
        <v/>
      </c>
    </row>
    <row r="2401" spans="9:9" x14ac:dyDescent="0.25">
      <c r="I2401" s="227" t="str">
        <f>MID(excPisCofins[[#This Row],[CodBarras2]],2,50)</f>
        <v/>
      </c>
    </row>
    <row r="2402" spans="9:9" x14ac:dyDescent="0.25">
      <c r="I2402" s="227" t="str">
        <f>MID(excPisCofins[[#This Row],[CodBarras2]],2,50)</f>
        <v/>
      </c>
    </row>
    <row r="2403" spans="9:9" x14ac:dyDescent="0.25">
      <c r="I2403" s="227" t="str">
        <f>MID(excPisCofins[[#This Row],[CodBarras2]],2,50)</f>
        <v/>
      </c>
    </row>
    <row r="2404" spans="9:9" x14ac:dyDescent="0.25">
      <c r="I2404" s="227" t="str">
        <f>MID(excPisCofins[[#This Row],[CodBarras2]],2,50)</f>
        <v/>
      </c>
    </row>
    <row r="2405" spans="9:9" x14ac:dyDescent="0.25">
      <c r="I2405" s="227" t="str">
        <f>MID(excPisCofins[[#This Row],[CodBarras2]],2,50)</f>
        <v/>
      </c>
    </row>
    <row r="2406" spans="9:9" x14ac:dyDescent="0.25">
      <c r="I2406" s="227" t="str">
        <f>MID(excPisCofins[[#This Row],[CodBarras2]],2,50)</f>
        <v/>
      </c>
    </row>
    <row r="2407" spans="9:9" x14ac:dyDescent="0.25">
      <c r="I2407" s="227" t="str">
        <f>MID(excPisCofins[[#This Row],[CodBarras2]],2,50)</f>
        <v/>
      </c>
    </row>
    <row r="2408" spans="9:9" x14ac:dyDescent="0.25">
      <c r="I2408" s="227" t="str">
        <f>MID(excPisCofins[[#This Row],[CodBarras2]],2,50)</f>
        <v/>
      </c>
    </row>
    <row r="2409" spans="9:9" x14ac:dyDescent="0.25">
      <c r="I2409" s="227" t="str">
        <f>MID(excPisCofins[[#This Row],[CodBarras2]],2,50)</f>
        <v/>
      </c>
    </row>
    <row r="2410" spans="9:9" x14ac:dyDescent="0.25">
      <c r="I2410" s="227" t="str">
        <f>MID(excPisCofins[[#This Row],[CodBarras2]],2,50)</f>
        <v/>
      </c>
    </row>
    <row r="2411" spans="9:9" x14ac:dyDescent="0.25">
      <c r="I2411" s="227" t="str">
        <f>MID(excPisCofins[[#This Row],[CodBarras2]],2,50)</f>
        <v/>
      </c>
    </row>
    <row r="2412" spans="9:9" x14ac:dyDescent="0.25">
      <c r="I2412" s="227" t="str">
        <f>MID(excPisCofins[[#This Row],[CodBarras2]],2,50)</f>
        <v/>
      </c>
    </row>
    <row r="2413" spans="9:9" x14ac:dyDescent="0.25">
      <c r="I2413" s="227" t="str">
        <f>MID(excPisCofins[[#This Row],[CodBarras2]],2,50)</f>
        <v/>
      </c>
    </row>
    <row r="2414" spans="9:9" x14ac:dyDescent="0.25">
      <c r="I2414" s="227" t="str">
        <f>MID(excPisCofins[[#This Row],[CodBarras2]],2,50)</f>
        <v/>
      </c>
    </row>
    <row r="2415" spans="9:9" x14ac:dyDescent="0.25">
      <c r="I2415" s="227" t="str">
        <f>MID(excPisCofins[[#This Row],[CodBarras2]],2,50)</f>
        <v/>
      </c>
    </row>
    <row r="2416" spans="9:9" x14ac:dyDescent="0.25">
      <c r="I2416" s="227" t="str">
        <f>MID(excPisCofins[[#This Row],[CodBarras2]],2,50)</f>
        <v/>
      </c>
    </row>
    <row r="2417" spans="9:9" x14ac:dyDescent="0.25">
      <c r="I2417" s="227" t="str">
        <f>MID(excPisCofins[[#This Row],[CodBarras2]],2,50)</f>
        <v/>
      </c>
    </row>
    <row r="2418" spans="9:9" x14ac:dyDescent="0.25">
      <c r="I2418" s="227" t="str">
        <f>MID(excPisCofins[[#This Row],[CodBarras2]],2,50)</f>
        <v/>
      </c>
    </row>
    <row r="2419" spans="9:9" x14ac:dyDescent="0.25">
      <c r="I2419" s="227" t="str">
        <f>MID(excPisCofins[[#This Row],[CodBarras2]],2,50)</f>
        <v/>
      </c>
    </row>
    <row r="2420" spans="9:9" x14ac:dyDescent="0.25">
      <c r="I2420" s="227" t="str">
        <f>MID(excPisCofins[[#This Row],[CodBarras2]],2,50)</f>
        <v/>
      </c>
    </row>
    <row r="2421" spans="9:9" x14ac:dyDescent="0.25">
      <c r="I2421" s="227" t="str">
        <f>MID(excPisCofins[[#This Row],[CodBarras2]],2,50)</f>
        <v/>
      </c>
    </row>
    <row r="2422" spans="9:9" x14ac:dyDescent="0.25">
      <c r="I2422" s="227" t="str">
        <f>MID(excPisCofins[[#This Row],[CodBarras2]],2,50)</f>
        <v/>
      </c>
    </row>
    <row r="2423" spans="9:9" x14ac:dyDescent="0.25">
      <c r="I2423" s="227" t="str">
        <f>MID(excPisCofins[[#This Row],[CodBarras2]],2,50)</f>
        <v/>
      </c>
    </row>
    <row r="2424" spans="9:9" x14ac:dyDescent="0.25">
      <c r="I2424" s="227" t="str">
        <f>MID(excPisCofins[[#This Row],[CodBarras2]],2,50)</f>
        <v/>
      </c>
    </row>
    <row r="2425" spans="9:9" x14ac:dyDescent="0.25">
      <c r="I2425" s="227" t="str">
        <f>MID(excPisCofins[[#This Row],[CodBarras2]],2,50)</f>
        <v/>
      </c>
    </row>
    <row r="2426" spans="9:9" x14ac:dyDescent="0.25">
      <c r="I2426" s="227" t="str">
        <f>MID(excPisCofins[[#This Row],[CodBarras2]],2,50)</f>
        <v/>
      </c>
    </row>
    <row r="2427" spans="9:9" x14ac:dyDescent="0.25">
      <c r="I2427" s="227" t="str">
        <f>MID(excPisCofins[[#This Row],[CodBarras2]],2,50)</f>
        <v/>
      </c>
    </row>
    <row r="2428" spans="9:9" x14ac:dyDescent="0.25">
      <c r="I2428" s="227" t="str">
        <f>MID(excPisCofins[[#This Row],[CodBarras2]],2,50)</f>
        <v/>
      </c>
    </row>
    <row r="2429" spans="9:9" x14ac:dyDescent="0.25">
      <c r="I2429" s="227" t="str">
        <f>MID(excPisCofins[[#This Row],[CodBarras2]],2,50)</f>
        <v/>
      </c>
    </row>
    <row r="2430" spans="9:9" x14ac:dyDescent="0.25">
      <c r="I2430" s="227" t="str">
        <f>MID(excPisCofins[[#This Row],[CodBarras2]],2,50)</f>
        <v/>
      </c>
    </row>
    <row r="2431" spans="9:9" x14ac:dyDescent="0.25">
      <c r="I2431" s="227" t="str">
        <f>MID(excPisCofins[[#This Row],[CodBarras2]],2,50)</f>
        <v/>
      </c>
    </row>
    <row r="2432" spans="9:9" x14ac:dyDescent="0.25">
      <c r="I2432" s="227" t="str">
        <f>MID(excPisCofins[[#This Row],[CodBarras2]],2,50)</f>
        <v/>
      </c>
    </row>
    <row r="2433" spans="9:9" x14ac:dyDescent="0.25">
      <c r="I2433" s="227" t="str">
        <f>MID(excPisCofins[[#This Row],[CodBarras2]],2,50)</f>
        <v/>
      </c>
    </row>
    <row r="2434" spans="9:9" x14ac:dyDescent="0.25">
      <c r="I2434" s="227" t="str">
        <f>MID(excPisCofins[[#This Row],[CodBarras2]],2,50)</f>
        <v/>
      </c>
    </row>
    <row r="2435" spans="9:9" x14ac:dyDescent="0.25">
      <c r="I2435" s="227" t="str">
        <f>MID(excPisCofins[[#This Row],[CodBarras2]],2,50)</f>
        <v/>
      </c>
    </row>
    <row r="2436" spans="9:9" x14ac:dyDescent="0.25">
      <c r="I2436" s="227" t="str">
        <f>MID(excPisCofins[[#This Row],[CodBarras2]],2,50)</f>
        <v/>
      </c>
    </row>
    <row r="2437" spans="9:9" x14ac:dyDescent="0.25">
      <c r="I2437" s="227" t="str">
        <f>MID(excPisCofins[[#This Row],[CodBarras2]],2,50)</f>
        <v/>
      </c>
    </row>
    <row r="2438" spans="9:9" x14ac:dyDescent="0.25">
      <c r="I2438" s="227" t="str">
        <f>MID(excPisCofins[[#This Row],[CodBarras2]],2,50)</f>
        <v/>
      </c>
    </row>
    <row r="2439" spans="9:9" x14ac:dyDescent="0.25">
      <c r="I2439" s="227" t="str">
        <f>MID(excPisCofins[[#This Row],[CodBarras2]],2,50)</f>
        <v/>
      </c>
    </row>
    <row r="2440" spans="9:9" x14ac:dyDescent="0.25">
      <c r="I2440" s="227" t="str">
        <f>MID(excPisCofins[[#This Row],[CodBarras2]],2,50)</f>
        <v/>
      </c>
    </row>
    <row r="2441" spans="9:9" x14ac:dyDescent="0.25">
      <c r="I2441" s="227" t="str">
        <f>MID(excPisCofins[[#This Row],[CodBarras2]],2,50)</f>
        <v/>
      </c>
    </row>
    <row r="2442" spans="9:9" x14ac:dyDescent="0.25">
      <c r="I2442" s="227" t="str">
        <f>MID(excPisCofins[[#This Row],[CodBarras2]],2,50)</f>
        <v/>
      </c>
    </row>
    <row r="2443" spans="9:9" x14ac:dyDescent="0.25">
      <c r="I2443" s="227" t="str">
        <f>MID(excPisCofins[[#This Row],[CodBarras2]],2,50)</f>
        <v/>
      </c>
    </row>
    <row r="2444" spans="9:9" x14ac:dyDescent="0.25">
      <c r="I2444" s="227" t="str">
        <f>MID(excPisCofins[[#This Row],[CodBarras2]],2,50)</f>
        <v/>
      </c>
    </row>
    <row r="2445" spans="9:9" x14ac:dyDescent="0.25">
      <c r="I2445" s="227" t="str">
        <f>MID(excPisCofins[[#This Row],[CodBarras2]],2,50)</f>
        <v/>
      </c>
    </row>
    <row r="2446" spans="9:9" x14ac:dyDescent="0.25">
      <c r="I2446" s="227" t="str">
        <f>MID(excPisCofins[[#This Row],[CodBarras2]],2,50)</f>
        <v/>
      </c>
    </row>
    <row r="2447" spans="9:9" x14ac:dyDescent="0.25">
      <c r="I2447" s="227" t="str">
        <f>MID(excPisCofins[[#This Row],[CodBarras2]],2,50)</f>
        <v/>
      </c>
    </row>
    <row r="2448" spans="9:9" x14ac:dyDescent="0.25">
      <c r="I2448" s="227" t="str">
        <f>MID(excPisCofins[[#This Row],[CodBarras2]],2,50)</f>
        <v/>
      </c>
    </row>
    <row r="2449" spans="9:9" x14ac:dyDescent="0.25">
      <c r="I2449" s="227" t="str">
        <f>MID(excPisCofins[[#This Row],[CodBarras2]],2,50)</f>
        <v/>
      </c>
    </row>
    <row r="2450" spans="9:9" x14ac:dyDescent="0.25">
      <c r="I2450" s="227" t="str">
        <f>MID(excPisCofins[[#This Row],[CodBarras2]],2,50)</f>
        <v/>
      </c>
    </row>
    <row r="2451" spans="9:9" x14ac:dyDescent="0.25">
      <c r="I2451" s="227" t="str">
        <f>MID(excPisCofins[[#This Row],[CodBarras2]],2,50)</f>
        <v/>
      </c>
    </row>
    <row r="2452" spans="9:9" x14ac:dyDescent="0.25">
      <c r="I2452" s="227" t="str">
        <f>MID(excPisCofins[[#This Row],[CodBarras2]],2,50)</f>
        <v/>
      </c>
    </row>
    <row r="2453" spans="9:9" x14ac:dyDescent="0.25">
      <c r="I2453" s="227" t="str">
        <f>MID(excPisCofins[[#This Row],[CodBarras2]],2,50)</f>
        <v/>
      </c>
    </row>
    <row r="2454" spans="9:9" x14ac:dyDescent="0.25">
      <c r="I2454" s="227" t="str">
        <f>MID(excPisCofins[[#This Row],[CodBarras2]],2,50)</f>
        <v/>
      </c>
    </row>
    <row r="2455" spans="9:9" x14ac:dyDescent="0.25">
      <c r="I2455" s="227" t="str">
        <f>MID(excPisCofins[[#This Row],[CodBarras2]],2,50)</f>
        <v/>
      </c>
    </row>
    <row r="2456" spans="9:9" x14ac:dyDescent="0.25">
      <c r="I2456" s="227" t="str">
        <f>MID(excPisCofins[[#This Row],[CodBarras2]],2,50)</f>
        <v/>
      </c>
    </row>
    <row r="2457" spans="9:9" x14ac:dyDescent="0.25">
      <c r="I2457" s="227" t="str">
        <f>MID(excPisCofins[[#This Row],[CodBarras2]],2,50)</f>
        <v/>
      </c>
    </row>
    <row r="2458" spans="9:9" x14ac:dyDescent="0.25">
      <c r="I2458" s="227" t="str">
        <f>MID(excPisCofins[[#This Row],[CodBarras2]],2,50)</f>
        <v/>
      </c>
    </row>
    <row r="2459" spans="9:9" x14ac:dyDescent="0.25">
      <c r="I2459" s="227" t="str">
        <f>MID(excPisCofins[[#This Row],[CodBarras2]],2,50)</f>
        <v/>
      </c>
    </row>
    <row r="2460" spans="9:9" x14ac:dyDescent="0.25">
      <c r="I2460" s="227" t="str">
        <f>MID(excPisCofins[[#This Row],[CodBarras2]],2,50)</f>
        <v/>
      </c>
    </row>
    <row r="2461" spans="9:9" x14ac:dyDescent="0.25">
      <c r="I2461" s="227" t="str">
        <f>MID(excPisCofins[[#This Row],[CodBarras2]],2,50)</f>
        <v/>
      </c>
    </row>
    <row r="2462" spans="9:9" x14ac:dyDescent="0.25">
      <c r="I2462" s="227" t="str">
        <f>MID(excPisCofins[[#This Row],[CodBarras2]],2,50)</f>
        <v/>
      </c>
    </row>
    <row r="2463" spans="9:9" x14ac:dyDescent="0.25">
      <c r="I2463" s="227" t="str">
        <f>MID(excPisCofins[[#This Row],[CodBarras2]],2,50)</f>
        <v/>
      </c>
    </row>
    <row r="2464" spans="9:9" x14ac:dyDescent="0.25">
      <c r="I2464" s="227" t="str">
        <f>MID(excPisCofins[[#This Row],[CodBarras2]],2,50)</f>
        <v/>
      </c>
    </row>
    <row r="2465" spans="9:9" x14ac:dyDescent="0.25">
      <c r="I2465" s="227" t="str">
        <f>MID(excPisCofins[[#This Row],[CodBarras2]],2,50)</f>
        <v/>
      </c>
    </row>
    <row r="2466" spans="9:9" x14ac:dyDescent="0.25">
      <c r="I2466" s="227" t="str">
        <f>MID(excPisCofins[[#This Row],[CodBarras2]],2,50)</f>
        <v/>
      </c>
    </row>
    <row r="2467" spans="9:9" x14ac:dyDescent="0.25">
      <c r="I2467" s="227" t="str">
        <f>MID(excPisCofins[[#This Row],[CodBarras2]],2,50)</f>
        <v/>
      </c>
    </row>
    <row r="2468" spans="9:9" x14ac:dyDescent="0.25">
      <c r="I2468" s="227" t="str">
        <f>MID(excPisCofins[[#This Row],[CodBarras2]],2,50)</f>
        <v/>
      </c>
    </row>
    <row r="2469" spans="9:9" x14ac:dyDescent="0.25">
      <c r="I2469" s="227" t="str">
        <f>MID(excPisCofins[[#This Row],[CodBarras2]],2,50)</f>
        <v/>
      </c>
    </row>
    <row r="2470" spans="9:9" x14ac:dyDescent="0.25">
      <c r="I2470" s="227" t="str">
        <f>MID(excPisCofins[[#This Row],[CodBarras2]],2,50)</f>
        <v/>
      </c>
    </row>
    <row r="2471" spans="9:9" x14ac:dyDescent="0.25">
      <c r="I2471" s="227" t="str">
        <f>MID(excPisCofins[[#This Row],[CodBarras2]],2,50)</f>
        <v/>
      </c>
    </row>
    <row r="2472" spans="9:9" x14ac:dyDescent="0.25">
      <c r="I2472" s="227" t="str">
        <f>MID(excPisCofins[[#This Row],[CodBarras2]],2,50)</f>
        <v/>
      </c>
    </row>
    <row r="2473" spans="9:9" x14ac:dyDescent="0.25">
      <c r="I2473" s="227" t="str">
        <f>MID(excPisCofins[[#This Row],[CodBarras2]],2,50)</f>
        <v/>
      </c>
    </row>
    <row r="2474" spans="9:9" x14ac:dyDescent="0.25">
      <c r="I2474" s="227" t="str">
        <f>MID(excPisCofins[[#This Row],[CodBarras2]],2,50)</f>
        <v/>
      </c>
    </row>
    <row r="2475" spans="9:9" x14ac:dyDescent="0.25">
      <c r="I2475" s="227" t="str">
        <f>MID(excPisCofins[[#This Row],[CodBarras2]],2,50)</f>
        <v/>
      </c>
    </row>
    <row r="2476" spans="9:9" x14ac:dyDescent="0.25">
      <c r="I2476" s="227" t="str">
        <f>MID(excPisCofins[[#This Row],[CodBarras2]],2,50)</f>
        <v/>
      </c>
    </row>
    <row r="2477" spans="9:9" x14ac:dyDescent="0.25">
      <c r="I2477" s="227" t="str">
        <f>MID(excPisCofins[[#This Row],[CodBarras2]],2,50)</f>
        <v/>
      </c>
    </row>
    <row r="2478" spans="9:9" x14ac:dyDescent="0.25">
      <c r="I2478" s="227" t="str">
        <f>MID(excPisCofins[[#This Row],[CodBarras2]],2,50)</f>
        <v/>
      </c>
    </row>
    <row r="2479" spans="9:9" x14ac:dyDescent="0.25">
      <c r="I2479" s="227" t="str">
        <f>MID(excPisCofins[[#This Row],[CodBarras2]],2,50)</f>
        <v/>
      </c>
    </row>
    <row r="2480" spans="9:9" x14ac:dyDescent="0.25">
      <c r="I2480" s="227" t="str">
        <f>MID(excPisCofins[[#This Row],[CodBarras2]],2,50)</f>
        <v/>
      </c>
    </row>
    <row r="2481" spans="9:9" x14ac:dyDescent="0.25">
      <c r="I2481" s="227" t="str">
        <f>MID(excPisCofins[[#This Row],[CodBarras2]],2,50)</f>
        <v/>
      </c>
    </row>
    <row r="2482" spans="9:9" x14ac:dyDescent="0.25">
      <c r="I2482" s="227" t="str">
        <f>MID(excPisCofins[[#This Row],[CodBarras2]],2,50)</f>
        <v/>
      </c>
    </row>
    <row r="2483" spans="9:9" x14ac:dyDescent="0.25">
      <c r="I2483" s="227" t="str">
        <f>MID(excPisCofins[[#This Row],[CodBarras2]],2,50)</f>
        <v/>
      </c>
    </row>
    <row r="2484" spans="9:9" x14ac:dyDescent="0.25">
      <c r="I2484" s="227" t="str">
        <f>MID(excPisCofins[[#This Row],[CodBarras2]],2,50)</f>
        <v/>
      </c>
    </row>
    <row r="2485" spans="9:9" x14ac:dyDescent="0.25">
      <c r="I2485" s="227" t="str">
        <f>MID(excPisCofins[[#This Row],[CodBarras2]],2,50)</f>
        <v/>
      </c>
    </row>
    <row r="2486" spans="9:9" x14ac:dyDescent="0.25">
      <c r="I2486" s="227" t="str">
        <f>MID(excPisCofins[[#This Row],[CodBarras2]],2,50)</f>
        <v/>
      </c>
    </row>
    <row r="2487" spans="9:9" x14ac:dyDescent="0.25">
      <c r="I2487" s="227" t="str">
        <f>MID(excPisCofins[[#This Row],[CodBarras2]],2,50)</f>
        <v/>
      </c>
    </row>
    <row r="2488" spans="9:9" x14ac:dyDescent="0.25">
      <c r="I2488" s="227" t="str">
        <f>MID(excPisCofins[[#This Row],[CodBarras2]],2,50)</f>
        <v/>
      </c>
    </row>
    <row r="2489" spans="9:9" x14ac:dyDescent="0.25">
      <c r="I2489" s="227" t="str">
        <f>MID(excPisCofins[[#This Row],[CodBarras2]],2,50)</f>
        <v/>
      </c>
    </row>
    <row r="2490" spans="9:9" x14ac:dyDescent="0.25">
      <c r="I2490" s="227" t="str">
        <f>MID(excPisCofins[[#This Row],[CodBarras2]],2,50)</f>
        <v/>
      </c>
    </row>
    <row r="2491" spans="9:9" x14ac:dyDescent="0.25">
      <c r="I2491" s="227" t="str">
        <f>MID(excPisCofins[[#This Row],[CodBarras2]],2,50)</f>
        <v/>
      </c>
    </row>
    <row r="2492" spans="9:9" x14ac:dyDescent="0.25">
      <c r="I2492" s="227" t="str">
        <f>MID(excPisCofins[[#This Row],[CodBarras2]],2,50)</f>
        <v/>
      </c>
    </row>
    <row r="2493" spans="9:9" x14ac:dyDescent="0.25">
      <c r="I2493" s="227" t="str">
        <f>MID(excPisCofins[[#This Row],[CodBarras2]],2,50)</f>
        <v/>
      </c>
    </row>
    <row r="2494" spans="9:9" x14ac:dyDescent="0.25">
      <c r="I2494" s="227" t="str">
        <f>MID(excPisCofins[[#This Row],[CodBarras2]],2,50)</f>
        <v/>
      </c>
    </row>
    <row r="2495" spans="9:9" x14ac:dyDescent="0.25">
      <c r="I2495" s="227" t="str">
        <f>MID(excPisCofins[[#This Row],[CodBarras2]],2,50)</f>
        <v/>
      </c>
    </row>
    <row r="2496" spans="9:9" x14ac:dyDescent="0.25">
      <c r="I2496" s="227" t="str">
        <f>MID(excPisCofins[[#This Row],[CodBarras2]],2,50)</f>
        <v/>
      </c>
    </row>
    <row r="2497" spans="9:9" x14ac:dyDescent="0.25">
      <c r="I2497" s="227" t="str">
        <f>MID(excPisCofins[[#This Row],[CodBarras2]],2,50)</f>
        <v/>
      </c>
    </row>
    <row r="2498" spans="9:9" x14ac:dyDescent="0.25">
      <c r="I2498" s="227" t="str">
        <f>MID(excPisCofins[[#This Row],[CodBarras2]],2,50)</f>
        <v/>
      </c>
    </row>
    <row r="2499" spans="9:9" x14ac:dyDescent="0.25">
      <c r="I2499" s="227" t="str">
        <f>MID(excPisCofins[[#This Row],[CodBarras2]],2,50)</f>
        <v/>
      </c>
    </row>
    <row r="2500" spans="9:9" x14ac:dyDescent="0.25">
      <c r="I2500" s="227" t="str">
        <f>MID(excPisCofins[[#This Row],[CodBarras2]],2,50)</f>
        <v/>
      </c>
    </row>
    <row r="2501" spans="9:9" x14ac:dyDescent="0.25">
      <c r="I2501" s="227" t="str">
        <f>MID(excPisCofins[[#This Row],[CodBarras2]],2,50)</f>
        <v/>
      </c>
    </row>
    <row r="2502" spans="9:9" x14ac:dyDescent="0.25">
      <c r="I2502" s="227" t="str">
        <f>MID(excPisCofins[[#This Row],[CodBarras2]],2,50)</f>
        <v/>
      </c>
    </row>
    <row r="2503" spans="9:9" x14ac:dyDescent="0.25">
      <c r="I2503" s="227" t="str">
        <f>MID(excPisCofins[[#This Row],[CodBarras2]],2,50)</f>
        <v/>
      </c>
    </row>
    <row r="2504" spans="9:9" x14ac:dyDescent="0.25">
      <c r="I2504" s="227" t="str">
        <f>MID(excPisCofins[[#This Row],[CodBarras2]],2,50)</f>
        <v/>
      </c>
    </row>
    <row r="2505" spans="9:9" x14ac:dyDescent="0.25">
      <c r="I2505" s="227" t="str">
        <f>MID(excPisCofins[[#This Row],[CodBarras2]],2,50)</f>
        <v/>
      </c>
    </row>
    <row r="2506" spans="9:9" x14ac:dyDescent="0.25">
      <c r="I2506" s="227" t="str">
        <f>MID(excPisCofins[[#This Row],[CodBarras2]],2,50)</f>
        <v/>
      </c>
    </row>
    <row r="2507" spans="9:9" x14ac:dyDescent="0.25">
      <c r="I2507" s="227" t="str">
        <f>MID(excPisCofins[[#This Row],[CodBarras2]],2,50)</f>
        <v/>
      </c>
    </row>
    <row r="2508" spans="9:9" x14ac:dyDescent="0.25">
      <c r="I2508" s="227" t="str">
        <f>MID(excPisCofins[[#This Row],[CodBarras2]],2,50)</f>
        <v/>
      </c>
    </row>
    <row r="2509" spans="9:9" x14ac:dyDescent="0.25">
      <c r="I2509" s="227" t="str">
        <f>MID(excPisCofins[[#This Row],[CodBarras2]],2,50)</f>
        <v/>
      </c>
    </row>
    <row r="2510" spans="9:9" x14ac:dyDescent="0.25">
      <c r="I2510" s="227" t="str">
        <f>MID(excPisCofins[[#This Row],[CodBarras2]],2,50)</f>
        <v/>
      </c>
    </row>
    <row r="2511" spans="9:9" x14ac:dyDescent="0.25">
      <c r="I2511" s="227" t="str">
        <f>MID(excPisCofins[[#This Row],[CodBarras2]],2,50)</f>
        <v/>
      </c>
    </row>
    <row r="2512" spans="9:9" x14ac:dyDescent="0.25">
      <c r="I2512" s="227" t="str">
        <f>MID(excPisCofins[[#This Row],[CodBarras2]],2,50)</f>
        <v/>
      </c>
    </row>
    <row r="2513" spans="9:9" x14ac:dyDescent="0.25">
      <c r="I2513" s="227" t="str">
        <f>MID(excPisCofins[[#This Row],[CodBarras2]],2,50)</f>
        <v/>
      </c>
    </row>
    <row r="2514" spans="9:9" x14ac:dyDescent="0.25">
      <c r="I2514" s="227" t="str">
        <f>MID(excPisCofins[[#This Row],[CodBarras2]],2,50)</f>
        <v/>
      </c>
    </row>
    <row r="2515" spans="9:9" x14ac:dyDescent="0.25">
      <c r="I2515" s="227" t="str">
        <f>MID(excPisCofins[[#This Row],[CodBarras2]],2,50)</f>
        <v/>
      </c>
    </row>
    <row r="2516" spans="9:9" x14ac:dyDescent="0.25">
      <c r="I2516" s="227" t="str">
        <f>MID(excPisCofins[[#This Row],[CodBarras2]],2,50)</f>
        <v/>
      </c>
    </row>
    <row r="2517" spans="9:9" x14ac:dyDescent="0.25">
      <c r="I2517" s="227" t="str">
        <f>MID(excPisCofins[[#This Row],[CodBarras2]],2,50)</f>
        <v/>
      </c>
    </row>
    <row r="2518" spans="9:9" x14ac:dyDescent="0.25">
      <c r="I2518" s="227" t="str">
        <f>MID(excPisCofins[[#This Row],[CodBarras2]],2,50)</f>
        <v/>
      </c>
    </row>
    <row r="2519" spans="9:9" x14ac:dyDescent="0.25">
      <c r="I2519" s="227" t="str">
        <f>MID(excPisCofins[[#This Row],[CodBarras2]],2,50)</f>
        <v/>
      </c>
    </row>
    <row r="2520" spans="9:9" x14ac:dyDescent="0.25">
      <c r="I2520" s="227" t="str">
        <f>MID(excPisCofins[[#This Row],[CodBarras2]],2,50)</f>
        <v/>
      </c>
    </row>
    <row r="2521" spans="9:9" x14ac:dyDescent="0.25">
      <c r="I2521" s="227" t="str">
        <f>MID(excPisCofins[[#This Row],[CodBarras2]],2,50)</f>
        <v/>
      </c>
    </row>
    <row r="2522" spans="9:9" x14ac:dyDescent="0.25">
      <c r="I2522" s="227" t="str">
        <f>MID(excPisCofins[[#This Row],[CodBarras2]],2,50)</f>
        <v/>
      </c>
    </row>
    <row r="2523" spans="9:9" x14ac:dyDescent="0.25">
      <c r="I2523" s="227" t="str">
        <f>MID(excPisCofins[[#This Row],[CodBarras2]],2,50)</f>
        <v/>
      </c>
    </row>
    <row r="2524" spans="9:9" x14ac:dyDescent="0.25">
      <c r="I2524" s="227" t="str">
        <f>MID(excPisCofins[[#This Row],[CodBarras2]],2,50)</f>
        <v/>
      </c>
    </row>
    <row r="2525" spans="9:9" x14ac:dyDescent="0.25">
      <c r="I2525" s="227" t="str">
        <f>MID(excPisCofins[[#This Row],[CodBarras2]],2,50)</f>
        <v/>
      </c>
    </row>
    <row r="2526" spans="9:9" x14ac:dyDescent="0.25">
      <c r="I2526" s="227" t="str">
        <f>MID(excPisCofins[[#This Row],[CodBarras2]],2,50)</f>
        <v/>
      </c>
    </row>
    <row r="2527" spans="9:9" x14ac:dyDescent="0.25">
      <c r="I2527" s="227" t="str">
        <f>MID(excPisCofins[[#This Row],[CodBarras2]],2,50)</f>
        <v/>
      </c>
    </row>
    <row r="2528" spans="9:9" x14ac:dyDescent="0.25">
      <c r="I2528" s="227" t="str">
        <f>MID(excPisCofins[[#This Row],[CodBarras2]],2,50)</f>
        <v/>
      </c>
    </row>
    <row r="2529" spans="9:9" x14ac:dyDescent="0.25">
      <c r="I2529" s="227" t="str">
        <f>MID(excPisCofins[[#This Row],[CodBarras2]],2,50)</f>
        <v/>
      </c>
    </row>
    <row r="2530" spans="9:9" x14ac:dyDescent="0.25">
      <c r="I2530" s="227" t="str">
        <f>MID(excPisCofins[[#This Row],[CodBarras2]],2,50)</f>
        <v/>
      </c>
    </row>
    <row r="2531" spans="9:9" x14ac:dyDescent="0.25">
      <c r="I2531" s="227" t="str">
        <f>MID(excPisCofins[[#This Row],[CodBarras2]],2,50)</f>
        <v/>
      </c>
    </row>
    <row r="2532" spans="9:9" x14ac:dyDescent="0.25">
      <c r="I2532" s="227" t="str">
        <f>MID(excPisCofins[[#This Row],[CodBarras2]],2,50)</f>
        <v/>
      </c>
    </row>
    <row r="2533" spans="9:9" x14ac:dyDescent="0.25">
      <c r="I2533" s="227" t="str">
        <f>MID(excPisCofins[[#This Row],[CodBarras2]],2,50)</f>
        <v/>
      </c>
    </row>
    <row r="2534" spans="9:9" x14ac:dyDescent="0.25">
      <c r="I2534" s="227" t="str">
        <f>MID(excPisCofins[[#This Row],[CodBarras2]],2,50)</f>
        <v/>
      </c>
    </row>
    <row r="2535" spans="9:9" x14ac:dyDescent="0.25">
      <c r="I2535" s="227" t="str">
        <f>MID(excPisCofins[[#This Row],[CodBarras2]],2,50)</f>
        <v/>
      </c>
    </row>
    <row r="2536" spans="9:9" x14ac:dyDescent="0.25">
      <c r="I2536" s="227" t="str">
        <f>MID(excPisCofins[[#This Row],[CodBarras2]],2,50)</f>
        <v/>
      </c>
    </row>
    <row r="2537" spans="9:9" x14ac:dyDescent="0.25">
      <c r="I2537" s="227" t="str">
        <f>MID(excPisCofins[[#This Row],[CodBarras2]],2,50)</f>
        <v/>
      </c>
    </row>
    <row r="2538" spans="9:9" x14ac:dyDescent="0.25">
      <c r="I2538" s="227" t="str">
        <f>MID(excPisCofins[[#This Row],[CodBarras2]],2,50)</f>
        <v/>
      </c>
    </row>
    <row r="2539" spans="9:9" x14ac:dyDescent="0.25">
      <c r="I2539" s="227" t="str">
        <f>MID(excPisCofins[[#This Row],[CodBarras2]],2,50)</f>
        <v/>
      </c>
    </row>
    <row r="2540" spans="9:9" x14ac:dyDescent="0.25">
      <c r="I2540" s="227" t="str">
        <f>MID(excPisCofins[[#This Row],[CodBarras2]],2,50)</f>
        <v/>
      </c>
    </row>
    <row r="2541" spans="9:9" x14ac:dyDescent="0.25">
      <c r="I2541" s="227" t="str">
        <f>MID(excPisCofins[[#This Row],[CodBarras2]],2,50)</f>
        <v/>
      </c>
    </row>
    <row r="2542" spans="9:9" x14ac:dyDescent="0.25">
      <c r="I2542" s="227" t="str">
        <f>MID(excPisCofins[[#This Row],[CodBarras2]],2,50)</f>
        <v/>
      </c>
    </row>
    <row r="2543" spans="9:9" x14ac:dyDescent="0.25">
      <c r="I2543" s="227" t="str">
        <f>MID(excPisCofins[[#This Row],[CodBarras2]],2,50)</f>
        <v/>
      </c>
    </row>
    <row r="2544" spans="9:9" x14ac:dyDescent="0.25">
      <c r="I2544" s="227" t="str">
        <f>MID(excPisCofins[[#This Row],[CodBarras2]],2,50)</f>
        <v/>
      </c>
    </row>
    <row r="2545" spans="9:9" x14ac:dyDescent="0.25">
      <c r="I2545" s="227" t="str">
        <f>MID(excPisCofins[[#This Row],[CodBarras2]],2,50)</f>
        <v/>
      </c>
    </row>
    <row r="2546" spans="9:9" x14ac:dyDescent="0.25">
      <c r="I2546" s="227" t="str">
        <f>MID(excPisCofins[[#This Row],[CodBarras2]],2,50)</f>
        <v/>
      </c>
    </row>
    <row r="2547" spans="9:9" x14ac:dyDescent="0.25">
      <c r="I2547" s="227" t="str">
        <f>MID(excPisCofins[[#This Row],[CodBarras2]],2,50)</f>
        <v/>
      </c>
    </row>
    <row r="2548" spans="9:9" x14ac:dyDescent="0.25">
      <c r="I2548" s="227" t="str">
        <f>MID(excPisCofins[[#This Row],[CodBarras2]],2,50)</f>
        <v/>
      </c>
    </row>
    <row r="2549" spans="9:9" x14ac:dyDescent="0.25">
      <c r="I2549" s="227" t="str">
        <f>MID(excPisCofins[[#This Row],[CodBarras2]],2,50)</f>
        <v/>
      </c>
    </row>
    <row r="2550" spans="9:9" x14ac:dyDescent="0.25">
      <c r="I2550" s="227" t="str">
        <f>MID(excPisCofins[[#This Row],[CodBarras2]],2,50)</f>
        <v/>
      </c>
    </row>
    <row r="2551" spans="9:9" x14ac:dyDescent="0.25">
      <c r="I2551" s="227" t="str">
        <f>MID(excPisCofins[[#This Row],[CodBarras2]],2,50)</f>
        <v/>
      </c>
    </row>
    <row r="2552" spans="9:9" x14ac:dyDescent="0.25">
      <c r="I2552" s="227" t="str">
        <f>MID(excPisCofins[[#This Row],[CodBarras2]],2,50)</f>
        <v/>
      </c>
    </row>
    <row r="2553" spans="9:9" x14ac:dyDescent="0.25">
      <c r="I2553" s="227" t="str">
        <f>MID(excPisCofins[[#This Row],[CodBarras2]],2,50)</f>
        <v/>
      </c>
    </row>
    <row r="2554" spans="9:9" x14ac:dyDescent="0.25">
      <c r="I2554" s="227" t="str">
        <f>MID(excPisCofins[[#This Row],[CodBarras2]],2,50)</f>
        <v/>
      </c>
    </row>
    <row r="2555" spans="9:9" x14ac:dyDescent="0.25">
      <c r="I2555" s="227" t="str">
        <f>MID(excPisCofins[[#This Row],[CodBarras2]],2,50)</f>
        <v/>
      </c>
    </row>
    <row r="2556" spans="9:9" x14ac:dyDescent="0.25">
      <c r="I2556" s="227" t="str">
        <f>MID(excPisCofins[[#This Row],[CodBarras2]],2,50)</f>
        <v/>
      </c>
    </row>
    <row r="2557" spans="9:9" x14ac:dyDescent="0.25">
      <c r="I2557" s="227" t="str">
        <f>MID(excPisCofins[[#This Row],[CodBarras2]],2,50)</f>
        <v/>
      </c>
    </row>
    <row r="2558" spans="9:9" x14ac:dyDescent="0.25">
      <c r="I2558" s="227" t="str">
        <f>MID(excPisCofins[[#This Row],[CodBarras2]],2,50)</f>
        <v/>
      </c>
    </row>
    <row r="2559" spans="9:9" x14ac:dyDescent="0.25">
      <c r="I2559" s="227" t="str">
        <f>MID(excPisCofins[[#This Row],[CodBarras2]],2,50)</f>
        <v/>
      </c>
    </row>
    <row r="2560" spans="9:9" x14ac:dyDescent="0.25">
      <c r="I2560" s="227" t="str">
        <f>MID(excPisCofins[[#This Row],[CodBarras2]],2,50)</f>
        <v/>
      </c>
    </row>
    <row r="2561" spans="9:9" x14ac:dyDescent="0.25">
      <c r="I2561" s="227" t="str">
        <f>MID(excPisCofins[[#This Row],[CodBarras2]],2,50)</f>
        <v/>
      </c>
    </row>
    <row r="2562" spans="9:9" x14ac:dyDescent="0.25">
      <c r="I2562" s="227" t="str">
        <f>MID(excPisCofins[[#This Row],[CodBarras2]],2,50)</f>
        <v/>
      </c>
    </row>
    <row r="2563" spans="9:9" x14ac:dyDescent="0.25">
      <c r="I2563" s="227" t="str">
        <f>MID(excPisCofins[[#This Row],[CodBarras2]],2,50)</f>
        <v/>
      </c>
    </row>
    <row r="2564" spans="9:9" x14ac:dyDescent="0.25">
      <c r="I2564" s="227" t="str">
        <f>MID(excPisCofins[[#This Row],[CodBarras2]],2,50)</f>
        <v/>
      </c>
    </row>
    <row r="2565" spans="9:9" x14ac:dyDescent="0.25">
      <c r="I2565" s="227" t="str">
        <f>MID(excPisCofins[[#This Row],[CodBarras2]],2,50)</f>
        <v/>
      </c>
    </row>
    <row r="2566" spans="9:9" x14ac:dyDescent="0.25">
      <c r="I2566" s="227" t="str">
        <f>MID(excPisCofins[[#This Row],[CodBarras2]],2,50)</f>
        <v/>
      </c>
    </row>
    <row r="2567" spans="9:9" x14ac:dyDescent="0.25">
      <c r="I2567" s="227" t="str">
        <f>MID(excPisCofins[[#This Row],[CodBarras2]],2,50)</f>
        <v/>
      </c>
    </row>
    <row r="2568" spans="9:9" x14ac:dyDescent="0.25">
      <c r="I2568" s="227" t="str">
        <f>MID(excPisCofins[[#This Row],[CodBarras2]],2,50)</f>
        <v/>
      </c>
    </row>
    <row r="2569" spans="9:9" x14ac:dyDescent="0.25">
      <c r="I2569" s="227" t="str">
        <f>MID(excPisCofins[[#This Row],[CodBarras2]],2,50)</f>
        <v/>
      </c>
    </row>
    <row r="2570" spans="9:9" x14ac:dyDescent="0.25">
      <c r="I2570" s="227" t="str">
        <f>MID(excPisCofins[[#This Row],[CodBarras2]],2,50)</f>
        <v/>
      </c>
    </row>
    <row r="2571" spans="9:9" x14ac:dyDescent="0.25">
      <c r="I2571" s="227" t="str">
        <f>MID(excPisCofins[[#This Row],[CodBarras2]],2,50)</f>
        <v/>
      </c>
    </row>
    <row r="2572" spans="9:9" x14ac:dyDescent="0.25">
      <c r="I2572" s="227" t="str">
        <f>MID(excPisCofins[[#This Row],[CodBarras2]],2,50)</f>
        <v/>
      </c>
    </row>
    <row r="2573" spans="9:9" x14ac:dyDescent="0.25">
      <c r="I2573" s="227" t="str">
        <f>MID(excPisCofins[[#This Row],[CodBarras2]],2,50)</f>
        <v/>
      </c>
    </row>
    <row r="2574" spans="9:9" x14ac:dyDescent="0.25">
      <c r="I2574" s="227" t="str">
        <f>MID(excPisCofins[[#This Row],[CodBarras2]],2,50)</f>
        <v/>
      </c>
    </row>
    <row r="2575" spans="9:9" x14ac:dyDescent="0.25">
      <c r="I2575" s="227" t="str">
        <f>MID(excPisCofins[[#This Row],[CodBarras2]],2,50)</f>
        <v/>
      </c>
    </row>
    <row r="2576" spans="9:9" x14ac:dyDescent="0.25">
      <c r="I2576" s="227" t="str">
        <f>MID(excPisCofins[[#This Row],[CodBarras2]],2,50)</f>
        <v/>
      </c>
    </row>
    <row r="2577" spans="9:9" x14ac:dyDescent="0.25">
      <c r="I2577" s="227" t="str">
        <f>MID(excPisCofins[[#This Row],[CodBarras2]],2,50)</f>
        <v/>
      </c>
    </row>
    <row r="2578" spans="9:9" x14ac:dyDescent="0.25">
      <c r="I2578" s="227" t="str">
        <f>MID(excPisCofins[[#This Row],[CodBarras2]],2,50)</f>
        <v/>
      </c>
    </row>
    <row r="2579" spans="9:9" x14ac:dyDescent="0.25">
      <c r="I2579" s="227" t="str">
        <f>MID(excPisCofins[[#This Row],[CodBarras2]],2,50)</f>
        <v/>
      </c>
    </row>
    <row r="2580" spans="9:9" x14ac:dyDescent="0.25">
      <c r="I2580" s="227" t="str">
        <f>MID(excPisCofins[[#This Row],[CodBarras2]],2,50)</f>
        <v/>
      </c>
    </row>
    <row r="2581" spans="9:9" x14ac:dyDescent="0.25">
      <c r="I2581" s="227" t="str">
        <f>MID(excPisCofins[[#This Row],[CodBarras2]],2,50)</f>
        <v/>
      </c>
    </row>
    <row r="2582" spans="9:9" x14ac:dyDescent="0.25">
      <c r="I2582" s="227" t="str">
        <f>MID(excPisCofins[[#This Row],[CodBarras2]],2,50)</f>
        <v/>
      </c>
    </row>
    <row r="2583" spans="9:9" x14ac:dyDescent="0.25">
      <c r="I2583" s="227" t="str">
        <f>MID(excPisCofins[[#This Row],[CodBarras2]],2,50)</f>
        <v/>
      </c>
    </row>
    <row r="2584" spans="9:9" x14ac:dyDescent="0.25">
      <c r="I2584" s="227" t="str">
        <f>MID(excPisCofins[[#This Row],[CodBarras2]],2,50)</f>
        <v/>
      </c>
    </row>
    <row r="2585" spans="9:9" x14ac:dyDescent="0.25">
      <c r="I2585" s="227" t="str">
        <f>MID(excPisCofins[[#This Row],[CodBarras2]],2,50)</f>
        <v/>
      </c>
    </row>
    <row r="2586" spans="9:9" x14ac:dyDescent="0.25">
      <c r="I2586" s="227" t="str">
        <f>MID(excPisCofins[[#This Row],[CodBarras2]],2,50)</f>
        <v/>
      </c>
    </row>
    <row r="2587" spans="9:9" x14ac:dyDescent="0.25">
      <c r="I2587" s="227" t="str">
        <f>MID(excPisCofins[[#This Row],[CodBarras2]],2,50)</f>
        <v/>
      </c>
    </row>
    <row r="2588" spans="9:9" x14ac:dyDescent="0.25">
      <c r="I2588" s="227" t="str">
        <f>MID(excPisCofins[[#This Row],[CodBarras2]],2,50)</f>
        <v/>
      </c>
    </row>
    <row r="2589" spans="9:9" x14ac:dyDescent="0.25">
      <c r="I2589" s="227" t="str">
        <f>MID(excPisCofins[[#This Row],[CodBarras2]],2,50)</f>
        <v/>
      </c>
    </row>
    <row r="2590" spans="9:9" x14ac:dyDescent="0.25">
      <c r="I2590" s="227" t="str">
        <f>MID(excPisCofins[[#This Row],[CodBarras2]],2,50)</f>
        <v/>
      </c>
    </row>
    <row r="2591" spans="9:9" x14ac:dyDescent="0.25">
      <c r="I2591" s="227" t="str">
        <f>MID(excPisCofins[[#This Row],[CodBarras2]],2,50)</f>
        <v/>
      </c>
    </row>
    <row r="2592" spans="9:9" x14ac:dyDescent="0.25">
      <c r="I2592" s="227" t="str">
        <f>MID(excPisCofins[[#This Row],[CodBarras2]],2,50)</f>
        <v/>
      </c>
    </row>
    <row r="2593" spans="9:9" x14ac:dyDescent="0.25">
      <c r="I2593" s="227" t="str">
        <f>MID(excPisCofins[[#This Row],[CodBarras2]],2,50)</f>
        <v/>
      </c>
    </row>
    <row r="2594" spans="9:9" x14ac:dyDescent="0.25">
      <c r="I2594" s="227" t="str">
        <f>MID(excPisCofins[[#This Row],[CodBarras2]],2,50)</f>
        <v/>
      </c>
    </row>
    <row r="2595" spans="9:9" x14ac:dyDescent="0.25">
      <c r="I2595" s="227" t="str">
        <f>MID(excPisCofins[[#This Row],[CodBarras2]],2,50)</f>
        <v/>
      </c>
    </row>
    <row r="2596" spans="9:9" x14ac:dyDescent="0.25">
      <c r="I2596" s="227" t="str">
        <f>MID(excPisCofins[[#This Row],[CodBarras2]],2,50)</f>
        <v/>
      </c>
    </row>
    <row r="2597" spans="9:9" x14ac:dyDescent="0.25">
      <c r="I2597" s="227" t="str">
        <f>MID(excPisCofins[[#This Row],[CodBarras2]],2,50)</f>
        <v/>
      </c>
    </row>
    <row r="2598" spans="9:9" x14ac:dyDescent="0.25">
      <c r="I2598" s="227" t="str">
        <f>MID(excPisCofins[[#This Row],[CodBarras2]],2,50)</f>
        <v/>
      </c>
    </row>
    <row r="2599" spans="9:9" x14ac:dyDescent="0.25">
      <c r="I2599" s="227" t="str">
        <f>MID(excPisCofins[[#This Row],[CodBarras2]],2,50)</f>
        <v/>
      </c>
    </row>
    <row r="2600" spans="9:9" x14ac:dyDescent="0.25">
      <c r="I2600" s="227" t="str">
        <f>MID(excPisCofins[[#This Row],[CodBarras2]],2,50)</f>
        <v/>
      </c>
    </row>
    <row r="2601" spans="9:9" x14ac:dyDescent="0.25">
      <c r="I2601" s="227" t="str">
        <f>MID(excPisCofins[[#This Row],[CodBarras2]],2,50)</f>
        <v/>
      </c>
    </row>
    <row r="2602" spans="9:9" x14ac:dyDescent="0.25">
      <c r="I2602" s="227" t="str">
        <f>MID(excPisCofins[[#This Row],[CodBarras2]],2,50)</f>
        <v/>
      </c>
    </row>
    <row r="2603" spans="9:9" x14ac:dyDescent="0.25">
      <c r="I2603" s="227" t="str">
        <f>MID(excPisCofins[[#This Row],[CodBarras2]],2,50)</f>
        <v/>
      </c>
    </row>
    <row r="2604" spans="9:9" x14ac:dyDescent="0.25">
      <c r="I2604" s="227" t="str">
        <f>MID(excPisCofins[[#This Row],[CodBarras2]],2,50)</f>
        <v/>
      </c>
    </row>
    <row r="2605" spans="9:9" x14ac:dyDescent="0.25">
      <c r="I2605" s="227" t="str">
        <f>MID(excPisCofins[[#This Row],[CodBarras2]],2,50)</f>
        <v/>
      </c>
    </row>
    <row r="2606" spans="9:9" x14ac:dyDescent="0.25">
      <c r="I2606" s="227" t="str">
        <f>MID(excPisCofins[[#This Row],[CodBarras2]],2,50)</f>
        <v/>
      </c>
    </row>
    <row r="2607" spans="9:9" x14ac:dyDescent="0.25">
      <c r="I2607" s="227" t="str">
        <f>MID(excPisCofins[[#This Row],[CodBarras2]],2,50)</f>
        <v/>
      </c>
    </row>
    <row r="2608" spans="9:9" x14ac:dyDescent="0.25">
      <c r="I2608" s="227" t="str">
        <f>MID(excPisCofins[[#This Row],[CodBarras2]],2,50)</f>
        <v/>
      </c>
    </row>
    <row r="2609" spans="9:9" x14ac:dyDescent="0.25">
      <c r="I2609" s="227" t="str">
        <f>MID(excPisCofins[[#This Row],[CodBarras2]],2,50)</f>
        <v/>
      </c>
    </row>
    <row r="2610" spans="9:9" x14ac:dyDescent="0.25">
      <c r="I2610" s="227" t="str">
        <f>MID(excPisCofins[[#This Row],[CodBarras2]],2,50)</f>
        <v/>
      </c>
    </row>
    <row r="2611" spans="9:9" x14ac:dyDescent="0.25">
      <c r="I2611" s="227" t="str">
        <f>MID(excPisCofins[[#This Row],[CodBarras2]],2,50)</f>
        <v/>
      </c>
    </row>
    <row r="2612" spans="9:9" x14ac:dyDescent="0.25">
      <c r="I2612" s="227" t="str">
        <f>MID(excPisCofins[[#This Row],[CodBarras2]],2,50)</f>
        <v/>
      </c>
    </row>
    <row r="2613" spans="9:9" x14ac:dyDescent="0.25">
      <c r="I2613" s="227" t="str">
        <f>MID(excPisCofins[[#This Row],[CodBarras2]],2,50)</f>
        <v/>
      </c>
    </row>
    <row r="2614" spans="9:9" x14ac:dyDescent="0.25">
      <c r="I2614" s="227" t="str">
        <f>MID(excPisCofins[[#This Row],[CodBarras2]],2,50)</f>
        <v/>
      </c>
    </row>
    <row r="2615" spans="9:9" x14ac:dyDescent="0.25">
      <c r="I2615" s="227" t="str">
        <f>MID(excPisCofins[[#This Row],[CodBarras2]],2,50)</f>
        <v/>
      </c>
    </row>
    <row r="2616" spans="9:9" x14ac:dyDescent="0.25">
      <c r="I2616" s="227" t="str">
        <f>MID(excPisCofins[[#This Row],[CodBarras2]],2,50)</f>
        <v/>
      </c>
    </row>
    <row r="2617" spans="9:9" x14ac:dyDescent="0.25">
      <c r="I2617" s="227" t="str">
        <f>MID(excPisCofins[[#This Row],[CodBarras2]],2,50)</f>
        <v/>
      </c>
    </row>
    <row r="2618" spans="9:9" x14ac:dyDescent="0.25">
      <c r="I2618" s="227" t="str">
        <f>MID(excPisCofins[[#This Row],[CodBarras2]],2,50)</f>
        <v/>
      </c>
    </row>
    <row r="2619" spans="9:9" x14ac:dyDescent="0.25">
      <c r="I2619" s="227" t="str">
        <f>MID(excPisCofins[[#This Row],[CodBarras2]],2,50)</f>
        <v/>
      </c>
    </row>
    <row r="2620" spans="9:9" x14ac:dyDescent="0.25">
      <c r="I2620" s="227" t="str">
        <f>MID(excPisCofins[[#This Row],[CodBarras2]],2,50)</f>
        <v/>
      </c>
    </row>
    <row r="2621" spans="9:9" x14ac:dyDescent="0.25">
      <c r="I2621" s="227" t="str">
        <f>MID(excPisCofins[[#This Row],[CodBarras2]],2,50)</f>
        <v/>
      </c>
    </row>
    <row r="2622" spans="9:9" x14ac:dyDescent="0.25">
      <c r="I2622" s="227" t="str">
        <f>MID(excPisCofins[[#This Row],[CodBarras2]],2,50)</f>
        <v/>
      </c>
    </row>
    <row r="2623" spans="9:9" x14ac:dyDescent="0.25">
      <c r="I2623" s="227" t="str">
        <f>MID(excPisCofins[[#This Row],[CodBarras2]],2,50)</f>
        <v/>
      </c>
    </row>
    <row r="2624" spans="9:9" x14ac:dyDescent="0.25">
      <c r="I2624" s="227" t="str">
        <f>MID(excPisCofins[[#This Row],[CodBarras2]],2,50)</f>
        <v/>
      </c>
    </row>
    <row r="2625" spans="9:9" x14ac:dyDescent="0.25">
      <c r="I2625" s="227" t="str">
        <f>MID(excPisCofins[[#This Row],[CodBarras2]],2,50)</f>
        <v/>
      </c>
    </row>
    <row r="2626" spans="9:9" x14ac:dyDescent="0.25">
      <c r="I2626" s="227" t="str">
        <f>MID(excPisCofins[[#This Row],[CodBarras2]],2,50)</f>
        <v/>
      </c>
    </row>
    <row r="2627" spans="9:9" x14ac:dyDescent="0.25">
      <c r="I2627" s="227" t="str">
        <f>MID(excPisCofins[[#This Row],[CodBarras2]],2,50)</f>
        <v/>
      </c>
    </row>
    <row r="2628" spans="9:9" x14ac:dyDescent="0.25">
      <c r="I2628" s="227" t="str">
        <f>MID(excPisCofins[[#This Row],[CodBarras2]],2,50)</f>
        <v/>
      </c>
    </row>
    <row r="2629" spans="9:9" x14ac:dyDescent="0.25">
      <c r="I2629" s="227" t="str">
        <f>MID(excPisCofins[[#This Row],[CodBarras2]],2,50)</f>
        <v/>
      </c>
    </row>
    <row r="2630" spans="9:9" x14ac:dyDescent="0.25">
      <c r="I2630" s="227" t="str">
        <f>MID(excPisCofins[[#This Row],[CodBarras2]],2,50)</f>
        <v/>
      </c>
    </row>
    <row r="2631" spans="9:9" x14ac:dyDescent="0.25">
      <c r="I2631" s="227" t="str">
        <f>MID(excPisCofins[[#This Row],[CodBarras2]],2,50)</f>
        <v/>
      </c>
    </row>
    <row r="2632" spans="9:9" x14ac:dyDescent="0.25">
      <c r="I2632" s="227" t="str">
        <f>MID(excPisCofins[[#This Row],[CodBarras2]],2,50)</f>
        <v/>
      </c>
    </row>
    <row r="2633" spans="9:9" x14ac:dyDescent="0.25">
      <c r="I2633" s="227" t="str">
        <f>MID(excPisCofins[[#This Row],[CodBarras2]],2,50)</f>
        <v/>
      </c>
    </row>
    <row r="2634" spans="9:9" x14ac:dyDescent="0.25">
      <c r="I2634" s="227" t="str">
        <f>MID(excPisCofins[[#This Row],[CodBarras2]],2,50)</f>
        <v/>
      </c>
    </row>
    <row r="2635" spans="9:9" x14ac:dyDescent="0.25">
      <c r="I2635" s="227" t="str">
        <f>MID(excPisCofins[[#This Row],[CodBarras2]],2,50)</f>
        <v/>
      </c>
    </row>
    <row r="2636" spans="9:9" x14ac:dyDescent="0.25">
      <c r="I2636" s="227" t="str">
        <f>MID(excPisCofins[[#This Row],[CodBarras2]],2,50)</f>
        <v/>
      </c>
    </row>
    <row r="2637" spans="9:9" x14ac:dyDescent="0.25">
      <c r="I2637" s="227" t="str">
        <f>MID(excPisCofins[[#This Row],[CodBarras2]],2,50)</f>
        <v/>
      </c>
    </row>
    <row r="2638" spans="9:9" x14ac:dyDescent="0.25">
      <c r="I2638" s="227" t="str">
        <f>MID(excPisCofins[[#This Row],[CodBarras2]],2,50)</f>
        <v/>
      </c>
    </row>
    <row r="2639" spans="9:9" x14ac:dyDescent="0.25">
      <c r="I2639" s="227" t="str">
        <f>MID(excPisCofins[[#This Row],[CodBarras2]],2,50)</f>
        <v/>
      </c>
    </row>
    <row r="2640" spans="9:9" x14ac:dyDescent="0.25">
      <c r="I2640" s="227" t="str">
        <f>MID(excPisCofins[[#This Row],[CodBarras2]],2,50)</f>
        <v/>
      </c>
    </row>
    <row r="2641" spans="9:9" x14ac:dyDescent="0.25">
      <c r="I2641" s="227" t="str">
        <f>MID(excPisCofins[[#This Row],[CodBarras2]],2,50)</f>
        <v/>
      </c>
    </row>
    <row r="2642" spans="9:9" x14ac:dyDescent="0.25">
      <c r="I2642" s="227" t="str">
        <f>MID(excPisCofins[[#This Row],[CodBarras2]],2,50)</f>
        <v/>
      </c>
    </row>
    <row r="2643" spans="9:9" x14ac:dyDescent="0.25">
      <c r="I2643" s="227" t="str">
        <f>MID(excPisCofins[[#This Row],[CodBarras2]],2,50)</f>
        <v/>
      </c>
    </row>
    <row r="2644" spans="9:9" x14ac:dyDescent="0.25">
      <c r="I2644" s="227" t="str">
        <f>MID(excPisCofins[[#This Row],[CodBarras2]],2,50)</f>
        <v/>
      </c>
    </row>
    <row r="2645" spans="9:9" x14ac:dyDescent="0.25">
      <c r="I2645" s="227" t="str">
        <f>MID(excPisCofins[[#This Row],[CodBarras2]],2,50)</f>
        <v/>
      </c>
    </row>
    <row r="2646" spans="9:9" x14ac:dyDescent="0.25">
      <c r="I2646" s="227" t="str">
        <f>MID(excPisCofins[[#This Row],[CodBarras2]],2,50)</f>
        <v/>
      </c>
    </row>
    <row r="2647" spans="9:9" x14ac:dyDescent="0.25">
      <c r="I2647" s="227" t="str">
        <f>MID(excPisCofins[[#This Row],[CodBarras2]],2,50)</f>
        <v/>
      </c>
    </row>
    <row r="2648" spans="9:9" x14ac:dyDescent="0.25">
      <c r="I2648" s="227" t="str">
        <f>MID(excPisCofins[[#This Row],[CodBarras2]],2,50)</f>
        <v/>
      </c>
    </row>
    <row r="2649" spans="9:9" x14ac:dyDescent="0.25">
      <c r="I2649" s="227" t="str">
        <f>MID(excPisCofins[[#This Row],[CodBarras2]],2,50)</f>
        <v/>
      </c>
    </row>
    <row r="2650" spans="9:9" x14ac:dyDescent="0.25">
      <c r="I2650" s="227" t="str">
        <f>MID(excPisCofins[[#This Row],[CodBarras2]],2,50)</f>
        <v/>
      </c>
    </row>
    <row r="2651" spans="9:9" x14ac:dyDescent="0.25">
      <c r="I2651" s="227" t="str">
        <f>MID(excPisCofins[[#This Row],[CodBarras2]],2,50)</f>
        <v/>
      </c>
    </row>
    <row r="2652" spans="9:9" x14ac:dyDescent="0.25">
      <c r="I2652" s="227" t="str">
        <f>MID(excPisCofins[[#This Row],[CodBarras2]],2,50)</f>
        <v/>
      </c>
    </row>
    <row r="2653" spans="9:9" x14ac:dyDescent="0.25">
      <c r="I2653" s="227" t="str">
        <f>MID(excPisCofins[[#This Row],[CodBarras2]],2,50)</f>
        <v/>
      </c>
    </row>
    <row r="2654" spans="9:9" x14ac:dyDescent="0.25">
      <c r="I2654" s="227" t="str">
        <f>MID(excPisCofins[[#This Row],[CodBarras2]],2,50)</f>
        <v/>
      </c>
    </row>
    <row r="2655" spans="9:9" x14ac:dyDescent="0.25">
      <c r="I2655" s="227" t="str">
        <f>MID(excPisCofins[[#This Row],[CodBarras2]],2,50)</f>
        <v/>
      </c>
    </row>
    <row r="2656" spans="9:9" x14ac:dyDescent="0.25">
      <c r="I2656" s="227" t="str">
        <f>MID(excPisCofins[[#This Row],[CodBarras2]],2,50)</f>
        <v/>
      </c>
    </row>
    <row r="2657" spans="9:9" x14ac:dyDescent="0.25">
      <c r="I2657" s="227" t="str">
        <f>MID(excPisCofins[[#This Row],[CodBarras2]],2,50)</f>
        <v/>
      </c>
    </row>
    <row r="2658" spans="9:9" x14ac:dyDescent="0.25">
      <c r="I2658" s="227" t="str">
        <f>MID(excPisCofins[[#This Row],[CodBarras2]],2,50)</f>
        <v/>
      </c>
    </row>
    <row r="2659" spans="9:9" x14ac:dyDescent="0.25">
      <c r="I2659" s="227" t="str">
        <f>MID(excPisCofins[[#This Row],[CodBarras2]],2,50)</f>
        <v/>
      </c>
    </row>
    <row r="2660" spans="9:9" x14ac:dyDescent="0.25">
      <c r="I2660" s="227" t="str">
        <f>MID(excPisCofins[[#This Row],[CodBarras2]],2,50)</f>
        <v/>
      </c>
    </row>
    <row r="2661" spans="9:9" x14ac:dyDescent="0.25">
      <c r="I2661" s="227" t="str">
        <f>MID(excPisCofins[[#This Row],[CodBarras2]],2,50)</f>
        <v/>
      </c>
    </row>
    <row r="2662" spans="9:9" x14ac:dyDescent="0.25">
      <c r="I2662" s="227" t="str">
        <f>MID(excPisCofins[[#This Row],[CodBarras2]],2,50)</f>
        <v/>
      </c>
    </row>
    <row r="2663" spans="9:9" x14ac:dyDescent="0.25">
      <c r="I2663" s="227" t="str">
        <f>MID(excPisCofins[[#This Row],[CodBarras2]],2,50)</f>
        <v/>
      </c>
    </row>
    <row r="2664" spans="9:9" x14ac:dyDescent="0.25">
      <c r="I2664" s="227" t="str">
        <f>MID(excPisCofins[[#This Row],[CodBarras2]],2,50)</f>
        <v/>
      </c>
    </row>
    <row r="2665" spans="9:9" x14ac:dyDescent="0.25">
      <c r="I2665" s="227" t="str">
        <f>MID(excPisCofins[[#This Row],[CodBarras2]],2,50)</f>
        <v/>
      </c>
    </row>
    <row r="2666" spans="9:9" x14ac:dyDescent="0.25">
      <c r="I2666" s="227" t="str">
        <f>MID(excPisCofins[[#This Row],[CodBarras2]],2,50)</f>
        <v/>
      </c>
    </row>
    <row r="2667" spans="9:9" x14ac:dyDescent="0.25">
      <c r="I2667" s="227" t="str">
        <f>MID(excPisCofins[[#This Row],[CodBarras2]],2,50)</f>
        <v/>
      </c>
    </row>
    <row r="2668" spans="9:9" x14ac:dyDescent="0.25">
      <c r="I2668" s="227" t="str">
        <f>MID(excPisCofins[[#This Row],[CodBarras2]],2,50)</f>
        <v/>
      </c>
    </row>
    <row r="2669" spans="9:9" x14ac:dyDescent="0.25">
      <c r="I2669" s="227" t="str">
        <f>MID(excPisCofins[[#This Row],[CodBarras2]],2,50)</f>
        <v/>
      </c>
    </row>
    <row r="2670" spans="9:9" x14ac:dyDescent="0.25">
      <c r="I2670" s="227" t="str">
        <f>MID(excPisCofins[[#This Row],[CodBarras2]],2,50)</f>
        <v/>
      </c>
    </row>
    <row r="2671" spans="9:9" x14ac:dyDescent="0.25">
      <c r="I2671" s="227" t="str">
        <f>MID(excPisCofins[[#This Row],[CodBarras2]],2,50)</f>
        <v/>
      </c>
    </row>
    <row r="2672" spans="9:9" x14ac:dyDescent="0.25">
      <c r="I2672" s="227" t="str">
        <f>MID(excPisCofins[[#This Row],[CodBarras2]],2,50)</f>
        <v/>
      </c>
    </row>
    <row r="2673" spans="9:9" x14ac:dyDescent="0.25">
      <c r="I2673" s="227" t="str">
        <f>MID(excPisCofins[[#This Row],[CodBarras2]],2,50)</f>
        <v/>
      </c>
    </row>
    <row r="2674" spans="9:9" x14ac:dyDescent="0.25">
      <c r="I2674" s="227" t="str">
        <f>MID(excPisCofins[[#This Row],[CodBarras2]],2,50)</f>
        <v/>
      </c>
    </row>
    <row r="2675" spans="9:9" x14ac:dyDescent="0.25">
      <c r="I2675" s="227" t="str">
        <f>MID(excPisCofins[[#This Row],[CodBarras2]],2,50)</f>
        <v/>
      </c>
    </row>
    <row r="2676" spans="9:9" x14ac:dyDescent="0.25">
      <c r="I2676" s="227" t="str">
        <f>MID(excPisCofins[[#This Row],[CodBarras2]],2,50)</f>
        <v/>
      </c>
    </row>
    <row r="2677" spans="9:9" x14ac:dyDescent="0.25">
      <c r="I2677" s="227" t="str">
        <f>MID(excPisCofins[[#This Row],[CodBarras2]],2,50)</f>
        <v/>
      </c>
    </row>
    <row r="2678" spans="9:9" x14ac:dyDescent="0.25">
      <c r="I2678" s="227" t="str">
        <f>MID(excPisCofins[[#This Row],[CodBarras2]],2,50)</f>
        <v/>
      </c>
    </row>
    <row r="2679" spans="9:9" x14ac:dyDescent="0.25">
      <c r="I2679" s="227" t="str">
        <f>MID(excPisCofins[[#This Row],[CodBarras2]],2,50)</f>
        <v/>
      </c>
    </row>
    <row r="2680" spans="9:9" x14ac:dyDescent="0.25">
      <c r="I2680" s="227" t="str">
        <f>MID(excPisCofins[[#This Row],[CodBarras2]],2,50)</f>
        <v/>
      </c>
    </row>
    <row r="2681" spans="9:9" x14ac:dyDescent="0.25">
      <c r="I2681" s="227" t="str">
        <f>MID(excPisCofins[[#This Row],[CodBarras2]],2,50)</f>
        <v/>
      </c>
    </row>
    <row r="2682" spans="9:9" x14ac:dyDescent="0.25">
      <c r="I2682" s="227" t="str">
        <f>MID(excPisCofins[[#This Row],[CodBarras2]],2,50)</f>
        <v/>
      </c>
    </row>
    <row r="2683" spans="9:9" x14ac:dyDescent="0.25">
      <c r="I2683" s="227" t="str">
        <f>MID(excPisCofins[[#This Row],[CodBarras2]],2,50)</f>
        <v/>
      </c>
    </row>
    <row r="2684" spans="9:9" x14ac:dyDescent="0.25">
      <c r="I2684" s="227" t="str">
        <f>MID(excPisCofins[[#This Row],[CodBarras2]],2,50)</f>
        <v/>
      </c>
    </row>
    <row r="2685" spans="9:9" x14ac:dyDescent="0.25">
      <c r="I2685" s="227" t="str">
        <f>MID(excPisCofins[[#This Row],[CodBarras2]],2,50)</f>
        <v/>
      </c>
    </row>
    <row r="2686" spans="9:9" x14ac:dyDescent="0.25">
      <c r="I2686" s="227" t="str">
        <f>MID(excPisCofins[[#This Row],[CodBarras2]],2,50)</f>
        <v/>
      </c>
    </row>
    <row r="2687" spans="9:9" x14ac:dyDescent="0.25">
      <c r="I2687" s="227" t="str">
        <f>MID(excPisCofins[[#This Row],[CodBarras2]],2,50)</f>
        <v/>
      </c>
    </row>
    <row r="2688" spans="9:9" x14ac:dyDescent="0.25">
      <c r="I2688" s="227" t="str">
        <f>MID(excPisCofins[[#This Row],[CodBarras2]],2,50)</f>
        <v/>
      </c>
    </row>
    <row r="2689" spans="9:9" x14ac:dyDescent="0.25">
      <c r="I2689" s="227" t="str">
        <f>MID(excPisCofins[[#This Row],[CodBarras2]],2,50)</f>
        <v/>
      </c>
    </row>
    <row r="2690" spans="9:9" x14ac:dyDescent="0.25">
      <c r="I2690" s="227" t="str">
        <f>MID(excPisCofins[[#This Row],[CodBarras2]],2,50)</f>
        <v/>
      </c>
    </row>
    <row r="2691" spans="9:9" x14ac:dyDescent="0.25">
      <c r="I2691" s="227" t="str">
        <f>MID(excPisCofins[[#This Row],[CodBarras2]],2,50)</f>
        <v/>
      </c>
    </row>
    <row r="2692" spans="9:9" x14ac:dyDescent="0.25">
      <c r="I2692" s="227" t="str">
        <f>MID(excPisCofins[[#This Row],[CodBarras2]],2,50)</f>
        <v/>
      </c>
    </row>
    <row r="2693" spans="9:9" x14ac:dyDescent="0.25">
      <c r="I2693" s="227" t="str">
        <f>MID(excPisCofins[[#This Row],[CodBarras2]],2,50)</f>
        <v/>
      </c>
    </row>
    <row r="2694" spans="9:9" x14ac:dyDescent="0.25">
      <c r="I2694" s="227" t="str">
        <f>MID(excPisCofins[[#This Row],[CodBarras2]],2,50)</f>
        <v/>
      </c>
    </row>
    <row r="2695" spans="9:9" x14ac:dyDescent="0.25">
      <c r="I2695" s="227" t="str">
        <f>MID(excPisCofins[[#This Row],[CodBarras2]],2,50)</f>
        <v/>
      </c>
    </row>
    <row r="2696" spans="9:9" x14ac:dyDescent="0.25">
      <c r="I2696" s="227" t="str">
        <f>MID(excPisCofins[[#This Row],[CodBarras2]],2,50)</f>
        <v/>
      </c>
    </row>
    <row r="2697" spans="9:9" x14ac:dyDescent="0.25">
      <c r="I2697" s="227" t="str">
        <f>MID(excPisCofins[[#This Row],[CodBarras2]],2,50)</f>
        <v/>
      </c>
    </row>
    <row r="2698" spans="9:9" x14ac:dyDescent="0.25">
      <c r="I2698" s="227" t="str">
        <f>MID(excPisCofins[[#This Row],[CodBarras2]],2,50)</f>
        <v/>
      </c>
    </row>
    <row r="2699" spans="9:9" x14ac:dyDescent="0.25">
      <c r="I2699" s="227" t="str">
        <f>MID(excPisCofins[[#This Row],[CodBarras2]],2,50)</f>
        <v/>
      </c>
    </row>
    <row r="2700" spans="9:9" x14ac:dyDescent="0.25">
      <c r="I2700" s="227" t="str">
        <f>MID(excPisCofins[[#This Row],[CodBarras2]],2,50)</f>
        <v/>
      </c>
    </row>
    <row r="2701" spans="9:9" x14ac:dyDescent="0.25">
      <c r="I2701" s="227" t="str">
        <f>MID(excPisCofins[[#This Row],[CodBarras2]],2,50)</f>
        <v/>
      </c>
    </row>
    <row r="2702" spans="9:9" x14ac:dyDescent="0.25">
      <c r="I2702" s="227" t="str">
        <f>MID(excPisCofins[[#This Row],[CodBarras2]],2,50)</f>
        <v/>
      </c>
    </row>
    <row r="2703" spans="9:9" x14ac:dyDescent="0.25">
      <c r="I2703" s="227" t="str">
        <f>MID(excPisCofins[[#This Row],[CodBarras2]],2,50)</f>
        <v/>
      </c>
    </row>
    <row r="2704" spans="9:9" x14ac:dyDescent="0.25">
      <c r="I2704" s="227" t="str">
        <f>MID(excPisCofins[[#This Row],[CodBarras2]],2,50)</f>
        <v/>
      </c>
    </row>
    <row r="2705" spans="9:9" x14ac:dyDescent="0.25">
      <c r="I2705" s="227" t="str">
        <f>MID(excPisCofins[[#This Row],[CodBarras2]],2,50)</f>
        <v/>
      </c>
    </row>
    <row r="2706" spans="9:9" x14ac:dyDescent="0.25">
      <c r="I2706" s="227" t="str">
        <f>MID(excPisCofins[[#This Row],[CodBarras2]],2,50)</f>
        <v/>
      </c>
    </row>
    <row r="2707" spans="9:9" x14ac:dyDescent="0.25">
      <c r="I2707" s="227" t="str">
        <f>MID(excPisCofins[[#This Row],[CodBarras2]],2,50)</f>
        <v/>
      </c>
    </row>
    <row r="2708" spans="9:9" x14ac:dyDescent="0.25">
      <c r="I2708" s="227" t="str">
        <f>MID(excPisCofins[[#This Row],[CodBarras2]],2,50)</f>
        <v/>
      </c>
    </row>
    <row r="2709" spans="9:9" x14ac:dyDescent="0.25">
      <c r="I2709" s="227" t="str">
        <f>MID(excPisCofins[[#This Row],[CodBarras2]],2,50)</f>
        <v/>
      </c>
    </row>
    <row r="2710" spans="9:9" x14ac:dyDescent="0.25">
      <c r="I2710" s="227" t="str">
        <f>MID(excPisCofins[[#This Row],[CodBarras2]],2,50)</f>
        <v/>
      </c>
    </row>
    <row r="2711" spans="9:9" x14ac:dyDescent="0.25">
      <c r="I2711" s="227" t="str">
        <f>MID(excPisCofins[[#This Row],[CodBarras2]],2,50)</f>
        <v/>
      </c>
    </row>
    <row r="2712" spans="9:9" x14ac:dyDescent="0.25">
      <c r="I2712" s="227" t="str">
        <f>MID(excPisCofins[[#This Row],[CodBarras2]],2,50)</f>
        <v/>
      </c>
    </row>
    <row r="2713" spans="9:9" x14ac:dyDescent="0.25">
      <c r="I2713" s="227" t="str">
        <f>MID(excPisCofins[[#This Row],[CodBarras2]],2,50)</f>
        <v/>
      </c>
    </row>
    <row r="2714" spans="9:9" x14ac:dyDescent="0.25">
      <c r="I2714" s="227" t="str">
        <f>MID(excPisCofins[[#This Row],[CodBarras2]],2,50)</f>
        <v/>
      </c>
    </row>
    <row r="2715" spans="9:9" x14ac:dyDescent="0.25">
      <c r="I2715" s="227" t="str">
        <f>MID(excPisCofins[[#This Row],[CodBarras2]],2,50)</f>
        <v/>
      </c>
    </row>
    <row r="2716" spans="9:9" x14ac:dyDescent="0.25">
      <c r="I2716" s="227" t="str">
        <f>MID(excPisCofins[[#This Row],[CodBarras2]],2,50)</f>
        <v/>
      </c>
    </row>
    <row r="2717" spans="9:9" x14ac:dyDescent="0.25">
      <c r="I2717" s="227" t="str">
        <f>MID(excPisCofins[[#This Row],[CodBarras2]],2,50)</f>
        <v/>
      </c>
    </row>
    <row r="2718" spans="9:9" x14ac:dyDescent="0.25">
      <c r="I2718" s="227" t="str">
        <f>MID(excPisCofins[[#This Row],[CodBarras2]],2,50)</f>
        <v/>
      </c>
    </row>
    <row r="2719" spans="9:9" x14ac:dyDescent="0.25">
      <c r="I2719" s="227" t="str">
        <f>MID(excPisCofins[[#This Row],[CodBarras2]],2,50)</f>
        <v/>
      </c>
    </row>
    <row r="2720" spans="9:9" x14ac:dyDescent="0.25">
      <c r="I2720" s="227" t="str">
        <f>MID(excPisCofins[[#This Row],[CodBarras2]],2,50)</f>
        <v/>
      </c>
    </row>
    <row r="2721" spans="9:9" x14ac:dyDescent="0.25">
      <c r="I2721" s="227" t="str">
        <f>MID(excPisCofins[[#This Row],[CodBarras2]],2,50)</f>
        <v/>
      </c>
    </row>
    <row r="2722" spans="9:9" x14ac:dyDescent="0.25">
      <c r="I2722" s="227" t="str">
        <f>MID(excPisCofins[[#This Row],[CodBarras2]],2,50)</f>
        <v/>
      </c>
    </row>
    <row r="2723" spans="9:9" x14ac:dyDescent="0.25">
      <c r="I2723" s="227" t="str">
        <f>MID(excPisCofins[[#This Row],[CodBarras2]],2,50)</f>
        <v/>
      </c>
    </row>
    <row r="2724" spans="9:9" x14ac:dyDescent="0.25">
      <c r="I2724" s="227" t="str">
        <f>MID(excPisCofins[[#This Row],[CodBarras2]],2,50)</f>
        <v/>
      </c>
    </row>
    <row r="2725" spans="9:9" x14ac:dyDescent="0.25">
      <c r="I2725" s="227" t="str">
        <f>MID(excPisCofins[[#This Row],[CodBarras2]],2,50)</f>
        <v/>
      </c>
    </row>
    <row r="2726" spans="9:9" x14ac:dyDescent="0.25">
      <c r="I2726" s="227" t="str">
        <f>MID(excPisCofins[[#This Row],[CodBarras2]],2,50)</f>
        <v/>
      </c>
    </row>
    <row r="2727" spans="9:9" x14ac:dyDescent="0.25">
      <c r="I2727" s="227" t="str">
        <f>MID(excPisCofins[[#This Row],[CodBarras2]],2,50)</f>
        <v/>
      </c>
    </row>
    <row r="2728" spans="9:9" x14ac:dyDescent="0.25">
      <c r="I2728" s="227" t="str">
        <f>MID(excPisCofins[[#This Row],[CodBarras2]],2,50)</f>
        <v/>
      </c>
    </row>
    <row r="2729" spans="9:9" x14ac:dyDescent="0.25">
      <c r="I2729" s="227" t="str">
        <f>MID(excPisCofins[[#This Row],[CodBarras2]],2,50)</f>
        <v/>
      </c>
    </row>
    <row r="2730" spans="9:9" x14ac:dyDescent="0.25">
      <c r="I2730" s="227" t="str">
        <f>MID(excPisCofins[[#This Row],[CodBarras2]],2,50)</f>
        <v/>
      </c>
    </row>
    <row r="2731" spans="9:9" x14ac:dyDescent="0.25">
      <c r="I2731" s="227" t="str">
        <f>MID(excPisCofins[[#This Row],[CodBarras2]],2,50)</f>
        <v/>
      </c>
    </row>
    <row r="2732" spans="9:9" x14ac:dyDescent="0.25">
      <c r="I2732" s="227" t="str">
        <f>MID(excPisCofins[[#This Row],[CodBarras2]],2,50)</f>
        <v/>
      </c>
    </row>
    <row r="2733" spans="9:9" x14ac:dyDescent="0.25">
      <c r="I2733" s="227" t="str">
        <f>MID(excPisCofins[[#This Row],[CodBarras2]],2,50)</f>
        <v/>
      </c>
    </row>
    <row r="2734" spans="9:9" x14ac:dyDescent="0.25">
      <c r="I2734" s="227" t="str">
        <f>MID(excPisCofins[[#This Row],[CodBarras2]],2,50)</f>
        <v/>
      </c>
    </row>
    <row r="2735" spans="9:9" x14ac:dyDescent="0.25">
      <c r="I2735" s="227" t="str">
        <f>MID(excPisCofins[[#This Row],[CodBarras2]],2,50)</f>
        <v/>
      </c>
    </row>
    <row r="2736" spans="9:9" x14ac:dyDescent="0.25">
      <c r="I2736" s="227" t="str">
        <f>MID(excPisCofins[[#This Row],[CodBarras2]],2,50)</f>
        <v/>
      </c>
    </row>
    <row r="2737" spans="9:9" x14ac:dyDescent="0.25">
      <c r="I2737" s="227" t="str">
        <f>MID(excPisCofins[[#This Row],[CodBarras2]],2,50)</f>
        <v/>
      </c>
    </row>
    <row r="2738" spans="9:9" x14ac:dyDescent="0.25">
      <c r="I2738" s="227" t="str">
        <f>MID(excPisCofins[[#This Row],[CodBarras2]],2,50)</f>
        <v/>
      </c>
    </row>
    <row r="2739" spans="9:9" x14ac:dyDescent="0.25">
      <c r="I2739" s="227" t="str">
        <f>MID(excPisCofins[[#This Row],[CodBarras2]],2,50)</f>
        <v/>
      </c>
    </row>
    <row r="2740" spans="9:9" x14ac:dyDescent="0.25">
      <c r="I2740" s="227" t="str">
        <f>MID(excPisCofins[[#This Row],[CodBarras2]],2,50)</f>
        <v/>
      </c>
    </row>
    <row r="2741" spans="9:9" x14ac:dyDescent="0.25">
      <c r="I2741" s="227" t="str">
        <f>MID(excPisCofins[[#This Row],[CodBarras2]],2,50)</f>
        <v/>
      </c>
    </row>
    <row r="2742" spans="9:9" x14ac:dyDescent="0.25">
      <c r="I2742" s="227" t="str">
        <f>MID(excPisCofins[[#This Row],[CodBarras2]],2,50)</f>
        <v/>
      </c>
    </row>
    <row r="2743" spans="9:9" x14ac:dyDescent="0.25">
      <c r="I2743" s="227" t="str">
        <f>MID(excPisCofins[[#This Row],[CodBarras2]],2,50)</f>
        <v/>
      </c>
    </row>
    <row r="2744" spans="9:9" x14ac:dyDescent="0.25">
      <c r="I2744" s="227" t="str">
        <f>MID(excPisCofins[[#This Row],[CodBarras2]],2,50)</f>
        <v/>
      </c>
    </row>
    <row r="2745" spans="9:9" x14ac:dyDescent="0.25">
      <c r="I2745" s="227" t="str">
        <f>MID(excPisCofins[[#This Row],[CodBarras2]],2,50)</f>
        <v/>
      </c>
    </row>
    <row r="2746" spans="9:9" x14ac:dyDescent="0.25">
      <c r="I2746" s="227" t="str">
        <f>MID(excPisCofins[[#This Row],[CodBarras2]],2,50)</f>
        <v/>
      </c>
    </row>
    <row r="2747" spans="9:9" x14ac:dyDescent="0.25">
      <c r="I2747" s="227" t="str">
        <f>MID(excPisCofins[[#This Row],[CodBarras2]],2,50)</f>
        <v/>
      </c>
    </row>
    <row r="2748" spans="9:9" x14ac:dyDescent="0.25">
      <c r="I2748" s="227" t="str">
        <f>MID(excPisCofins[[#This Row],[CodBarras2]],2,50)</f>
        <v/>
      </c>
    </row>
    <row r="2749" spans="9:9" x14ac:dyDescent="0.25">
      <c r="I2749" s="227" t="str">
        <f>MID(excPisCofins[[#This Row],[CodBarras2]],2,50)</f>
        <v/>
      </c>
    </row>
    <row r="2750" spans="9:9" x14ac:dyDescent="0.25">
      <c r="I2750" s="227" t="str">
        <f>MID(excPisCofins[[#This Row],[CodBarras2]],2,50)</f>
        <v/>
      </c>
    </row>
    <row r="2751" spans="9:9" x14ac:dyDescent="0.25">
      <c r="I2751" s="227" t="str">
        <f>MID(excPisCofins[[#This Row],[CodBarras2]],2,50)</f>
        <v/>
      </c>
    </row>
    <row r="2752" spans="9:9" x14ac:dyDescent="0.25">
      <c r="I2752" s="227" t="str">
        <f>MID(excPisCofins[[#This Row],[CodBarras2]],2,50)</f>
        <v/>
      </c>
    </row>
    <row r="2753" spans="9:9" x14ac:dyDescent="0.25">
      <c r="I2753" s="227" t="str">
        <f>MID(excPisCofins[[#This Row],[CodBarras2]],2,50)</f>
        <v/>
      </c>
    </row>
    <row r="2754" spans="9:9" x14ac:dyDescent="0.25">
      <c r="I2754" s="227" t="str">
        <f>MID(excPisCofins[[#This Row],[CodBarras2]],2,50)</f>
        <v/>
      </c>
    </row>
    <row r="2755" spans="9:9" x14ac:dyDescent="0.25">
      <c r="I2755" s="227" t="str">
        <f>MID(excPisCofins[[#This Row],[CodBarras2]],2,50)</f>
        <v/>
      </c>
    </row>
    <row r="2756" spans="9:9" x14ac:dyDescent="0.25">
      <c r="I2756" s="227" t="str">
        <f>MID(excPisCofins[[#This Row],[CodBarras2]],2,50)</f>
        <v/>
      </c>
    </row>
    <row r="2757" spans="9:9" x14ac:dyDescent="0.25">
      <c r="I2757" s="227" t="str">
        <f>MID(excPisCofins[[#This Row],[CodBarras2]],2,50)</f>
        <v/>
      </c>
    </row>
    <row r="2758" spans="9:9" x14ac:dyDescent="0.25">
      <c r="I2758" s="227" t="str">
        <f>MID(excPisCofins[[#This Row],[CodBarras2]],2,50)</f>
        <v/>
      </c>
    </row>
    <row r="2759" spans="9:9" x14ac:dyDescent="0.25">
      <c r="I2759" s="227" t="str">
        <f>MID(excPisCofins[[#This Row],[CodBarras2]],2,50)</f>
        <v/>
      </c>
    </row>
    <row r="2760" spans="9:9" x14ac:dyDescent="0.25">
      <c r="I2760" s="227" t="str">
        <f>MID(excPisCofins[[#This Row],[CodBarras2]],2,50)</f>
        <v/>
      </c>
    </row>
    <row r="2761" spans="9:9" x14ac:dyDescent="0.25">
      <c r="I2761" s="227" t="str">
        <f>MID(excPisCofins[[#This Row],[CodBarras2]],2,50)</f>
        <v/>
      </c>
    </row>
    <row r="2762" spans="9:9" x14ac:dyDescent="0.25">
      <c r="I2762" s="227" t="str">
        <f>MID(excPisCofins[[#This Row],[CodBarras2]],2,50)</f>
        <v/>
      </c>
    </row>
    <row r="2763" spans="9:9" x14ac:dyDescent="0.25">
      <c r="I2763" s="227" t="str">
        <f>MID(excPisCofins[[#This Row],[CodBarras2]],2,50)</f>
        <v/>
      </c>
    </row>
    <row r="2764" spans="9:9" x14ac:dyDescent="0.25">
      <c r="I2764" s="227" t="str">
        <f>MID(excPisCofins[[#This Row],[CodBarras2]],2,50)</f>
        <v/>
      </c>
    </row>
    <row r="2765" spans="9:9" x14ac:dyDescent="0.25">
      <c r="I2765" s="227" t="str">
        <f>MID(excPisCofins[[#This Row],[CodBarras2]],2,50)</f>
        <v/>
      </c>
    </row>
    <row r="2766" spans="9:9" x14ac:dyDescent="0.25">
      <c r="I2766" s="227" t="str">
        <f>MID(excPisCofins[[#This Row],[CodBarras2]],2,50)</f>
        <v/>
      </c>
    </row>
    <row r="2767" spans="9:9" x14ac:dyDescent="0.25">
      <c r="I2767" s="227" t="str">
        <f>MID(excPisCofins[[#This Row],[CodBarras2]],2,50)</f>
        <v/>
      </c>
    </row>
    <row r="2768" spans="9:9" x14ac:dyDescent="0.25">
      <c r="I2768" s="227" t="str">
        <f>MID(excPisCofins[[#This Row],[CodBarras2]],2,50)</f>
        <v/>
      </c>
    </row>
    <row r="2769" spans="9:9" x14ac:dyDescent="0.25">
      <c r="I2769" s="227" t="str">
        <f>MID(excPisCofins[[#This Row],[CodBarras2]],2,50)</f>
        <v/>
      </c>
    </row>
    <row r="2770" spans="9:9" x14ac:dyDescent="0.25">
      <c r="I2770" s="227" t="str">
        <f>MID(excPisCofins[[#This Row],[CodBarras2]],2,50)</f>
        <v/>
      </c>
    </row>
    <row r="2771" spans="9:9" x14ac:dyDescent="0.25">
      <c r="I2771" s="227" t="str">
        <f>MID(excPisCofins[[#This Row],[CodBarras2]],2,50)</f>
        <v/>
      </c>
    </row>
    <row r="2772" spans="9:9" x14ac:dyDescent="0.25">
      <c r="I2772" s="227" t="str">
        <f>MID(excPisCofins[[#This Row],[CodBarras2]],2,50)</f>
        <v/>
      </c>
    </row>
    <row r="2773" spans="9:9" x14ac:dyDescent="0.25">
      <c r="I2773" s="227" t="str">
        <f>MID(excPisCofins[[#This Row],[CodBarras2]],2,50)</f>
        <v/>
      </c>
    </row>
    <row r="2774" spans="9:9" x14ac:dyDescent="0.25">
      <c r="I2774" s="227" t="str">
        <f>MID(excPisCofins[[#This Row],[CodBarras2]],2,50)</f>
        <v/>
      </c>
    </row>
    <row r="2775" spans="9:9" x14ac:dyDescent="0.25">
      <c r="I2775" s="227" t="str">
        <f>MID(excPisCofins[[#This Row],[CodBarras2]],2,50)</f>
        <v/>
      </c>
    </row>
    <row r="2776" spans="9:9" x14ac:dyDescent="0.25">
      <c r="I2776" s="227" t="str">
        <f>MID(excPisCofins[[#This Row],[CodBarras2]],2,50)</f>
        <v/>
      </c>
    </row>
    <row r="2777" spans="9:9" x14ac:dyDescent="0.25">
      <c r="I2777" s="227" t="str">
        <f>MID(excPisCofins[[#This Row],[CodBarras2]],2,50)</f>
        <v/>
      </c>
    </row>
    <row r="2778" spans="9:9" x14ac:dyDescent="0.25">
      <c r="I2778" s="227" t="str">
        <f>MID(excPisCofins[[#This Row],[CodBarras2]],2,50)</f>
        <v/>
      </c>
    </row>
    <row r="2779" spans="9:9" x14ac:dyDescent="0.25">
      <c r="I2779" s="227" t="str">
        <f>MID(excPisCofins[[#This Row],[CodBarras2]],2,50)</f>
        <v/>
      </c>
    </row>
    <row r="2780" spans="9:9" x14ac:dyDescent="0.25">
      <c r="I2780" s="227" t="str">
        <f>MID(excPisCofins[[#This Row],[CodBarras2]],2,50)</f>
        <v/>
      </c>
    </row>
    <row r="2781" spans="9:9" x14ac:dyDescent="0.25">
      <c r="I2781" s="227" t="str">
        <f>MID(excPisCofins[[#This Row],[CodBarras2]],2,50)</f>
        <v/>
      </c>
    </row>
    <row r="2782" spans="9:9" x14ac:dyDescent="0.25">
      <c r="I2782" s="227" t="str">
        <f>MID(excPisCofins[[#This Row],[CodBarras2]],2,50)</f>
        <v/>
      </c>
    </row>
    <row r="2783" spans="9:9" x14ac:dyDescent="0.25">
      <c r="I2783" s="227" t="str">
        <f>MID(excPisCofins[[#This Row],[CodBarras2]],2,50)</f>
        <v/>
      </c>
    </row>
    <row r="2784" spans="9:9" x14ac:dyDescent="0.25">
      <c r="I2784" s="227" t="str">
        <f>MID(excPisCofins[[#This Row],[CodBarras2]],2,50)</f>
        <v/>
      </c>
    </row>
    <row r="2785" spans="9:9" x14ac:dyDescent="0.25">
      <c r="I2785" s="227" t="str">
        <f>MID(excPisCofins[[#This Row],[CodBarras2]],2,50)</f>
        <v/>
      </c>
    </row>
    <row r="2786" spans="9:9" x14ac:dyDescent="0.25">
      <c r="I2786" s="227" t="str">
        <f>MID(excPisCofins[[#This Row],[CodBarras2]],2,50)</f>
        <v/>
      </c>
    </row>
    <row r="2787" spans="9:9" x14ac:dyDescent="0.25">
      <c r="I2787" s="227" t="str">
        <f>MID(excPisCofins[[#This Row],[CodBarras2]],2,50)</f>
        <v/>
      </c>
    </row>
    <row r="2788" spans="9:9" x14ac:dyDescent="0.25">
      <c r="I2788" s="227" t="str">
        <f>MID(excPisCofins[[#This Row],[CodBarras2]],2,50)</f>
        <v/>
      </c>
    </row>
    <row r="2789" spans="9:9" x14ac:dyDescent="0.25">
      <c r="I2789" s="227" t="str">
        <f>MID(excPisCofins[[#This Row],[CodBarras2]],2,50)</f>
        <v/>
      </c>
    </row>
    <row r="2790" spans="9:9" x14ac:dyDescent="0.25">
      <c r="I2790" s="227" t="str">
        <f>MID(excPisCofins[[#This Row],[CodBarras2]],2,50)</f>
        <v/>
      </c>
    </row>
    <row r="2791" spans="9:9" x14ac:dyDescent="0.25">
      <c r="I2791" s="227" t="str">
        <f>MID(excPisCofins[[#This Row],[CodBarras2]],2,50)</f>
        <v/>
      </c>
    </row>
    <row r="2792" spans="9:9" x14ac:dyDescent="0.25">
      <c r="I2792" s="227" t="str">
        <f>MID(excPisCofins[[#This Row],[CodBarras2]],2,50)</f>
        <v/>
      </c>
    </row>
    <row r="2793" spans="9:9" x14ac:dyDescent="0.25">
      <c r="I2793" s="227" t="str">
        <f>MID(excPisCofins[[#This Row],[CodBarras2]],2,50)</f>
        <v/>
      </c>
    </row>
    <row r="2794" spans="9:9" x14ac:dyDescent="0.25">
      <c r="I2794" s="227" t="str">
        <f>MID(excPisCofins[[#This Row],[CodBarras2]],2,50)</f>
        <v/>
      </c>
    </row>
    <row r="2795" spans="9:9" x14ac:dyDescent="0.25">
      <c r="I2795" s="227" t="str">
        <f>MID(excPisCofins[[#This Row],[CodBarras2]],2,50)</f>
        <v/>
      </c>
    </row>
    <row r="2796" spans="9:9" x14ac:dyDescent="0.25">
      <c r="I2796" s="227" t="str">
        <f>MID(excPisCofins[[#This Row],[CodBarras2]],2,50)</f>
        <v/>
      </c>
    </row>
    <row r="2797" spans="9:9" x14ac:dyDescent="0.25">
      <c r="I2797" s="227" t="str">
        <f>MID(excPisCofins[[#This Row],[CodBarras2]],2,50)</f>
        <v/>
      </c>
    </row>
    <row r="2798" spans="9:9" x14ac:dyDescent="0.25">
      <c r="I2798" s="227" t="str">
        <f>MID(excPisCofins[[#This Row],[CodBarras2]],2,50)</f>
        <v/>
      </c>
    </row>
    <row r="2799" spans="9:9" x14ac:dyDescent="0.25">
      <c r="I2799" s="227" t="str">
        <f>MID(excPisCofins[[#This Row],[CodBarras2]],2,50)</f>
        <v/>
      </c>
    </row>
    <row r="2800" spans="9:9" x14ac:dyDescent="0.25">
      <c r="I2800" s="227" t="str">
        <f>MID(excPisCofins[[#This Row],[CodBarras2]],2,50)</f>
        <v/>
      </c>
    </row>
    <row r="2801" spans="9:9" x14ac:dyDescent="0.25">
      <c r="I2801" s="227" t="str">
        <f>MID(excPisCofins[[#This Row],[CodBarras2]],2,50)</f>
        <v/>
      </c>
    </row>
    <row r="2802" spans="9:9" x14ac:dyDescent="0.25">
      <c r="I2802" s="227" t="str">
        <f>MID(excPisCofins[[#This Row],[CodBarras2]],2,50)</f>
        <v/>
      </c>
    </row>
    <row r="2803" spans="9:9" x14ac:dyDescent="0.25">
      <c r="I2803" s="227" t="str">
        <f>MID(excPisCofins[[#This Row],[CodBarras2]],2,50)</f>
        <v/>
      </c>
    </row>
    <row r="2804" spans="9:9" x14ac:dyDescent="0.25">
      <c r="I2804" s="227" t="str">
        <f>MID(excPisCofins[[#This Row],[CodBarras2]],2,50)</f>
        <v/>
      </c>
    </row>
    <row r="2805" spans="9:9" x14ac:dyDescent="0.25">
      <c r="I2805" s="227" t="str">
        <f>MID(excPisCofins[[#This Row],[CodBarras2]],2,50)</f>
        <v/>
      </c>
    </row>
    <row r="2806" spans="9:9" x14ac:dyDescent="0.25">
      <c r="I2806" s="227" t="str">
        <f>MID(excPisCofins[[#This Row],[CodBarras2]],2,50)</f>
        <v/>
      </c>
    </row>
    <row r="2807" spans="9:9" x14ac:dyDescent="0.25">
      <c r="I2807" s="227" t="str">
        <f>MID(excPisCofins[[#This Row],[CodBarras2]],2,50)</f>
        <v/>
      </c>
    </row>
    <row r="2808" spans="9:9" x14ac:dyDescent="0.25">
      <c r="I2808" s="227" t="str">
        <f>MID(excPisCofins[[#This Row],[CodBarras2]],2,50)</f>
        <v/>
      </c>
    </row>
    <row r="2809" spans="9:9" x14ac:dyDescent="0.25">
      <c r="I2809" s="227" t="str">
        <f>MID(excPisCofins[[#This Row],[CodBarras2]],2,50)</f>
        <v/>
      </c>
    </row>
    <row r="2810" spans="9:9" x14ac:dyDescent="0.25">
      <c r="I2810" s="227" t="str">
        <f>MID(excPisCofins[[#This Row],[CodBarras2]],2,50)</f>
        <v/>
      </c>
    </row>
    <row r="2811" spans="9:9" x14ac:dyDescent="0.25">
      <c r="I2811" s="227" t="str">
        <f>MID(excPisCofins[[#This Row],[CodBarras2]],2,50)</f>
        <v/>
      </c>
    </row>
    <row r="2812" spans="9:9" x14ac:dyDescent="0.25">
      <c r="I2812" s="227" t="str">
        <f>MID(excPisCofins[[#This Row],[CodBarras2]],2,50)</f>
        <v/>
      </c>
    </row>
    <row r="2813" spans="9:9" x14ac:dyDescent="0.25">
      <c r="I2813" s="227" t="str">
        <f>MID(excPisCofins[[#This Row],[CodBarras2]],2,50)</f>
        <v/>
      </c>
    </row>
    <row r="2814" spans="9:9" x14ac:dyDescent="0.25">
      <c r="I2814" s="227" t="str">
        <f>MID(excPisCofins[[#This Row],[CodBarras2]],2,50)</f>
        <v/>
      </c>
    </row>
    <row r="2815" spans="9:9" x14ac:dyDescent="0.25">
      <c r="I2815" s="227" t="str">
        <f>MID(excPisCofins[[#This Row],[CodBarras2]],2,50)</f>
        <v/>
      </c>
    </row>
    <row r="2816" spans="9:9" x14ac:dyDescent="0.25">
      <c r="I2816" s="227" t="str">
        <f>MID(excPisCofins[[#This Row],[CodBarras2]],2,50)</f>
        <v/>
      </c>
    </row>
    <row r="2817" spans="9:9" x14ac:dyDescent="0.25">
      <c r="I2817" s="227" t="str">
        <f>MID(excPisCofins[[#This Row],[CodBarras2]],2,50)</f>
        <v/>
      </c>
    </row>
    <row r="2818" spans="9:9" x14ac:dyDescent="0.25">
      <c r="I2818" s="227" t="str">
        <f>MID(excPisCofins[[#This Row],[CodBarras2]],2,50)</f>
        <v/>
      </c>
    </row>
    <row r="2819" spans="9:9" x14ac:dyDescent="0.25">
      <c r="I2819" s="227" t="str">
        <f>MID(excPisCofins[[#This Row],[CodBarras2]],2,50)</f>
        <v/>
      </c>
    </row>
    <row r="2820" spans="9:9" x14ac:dyDescent="0.25">
      <c r="I2820" s="227" t="str">
        <f>MID(excPisCofins[[#This Row],[CodBarras2]],2,50)</f>
        <v/>
      </c>
    </row>
    <row r="2821" spans="9:9" x14ac:dyDescent="0.25">
      <c r="I2821" s="227" t="str">
        <f>MID(excPisCofins[[#This Row],[CodBarras2]],2,50)</f>
        <v/>
      </c>
    </row>
    <row r="2822" spans="9:9" x14ac:dyDescent="0.25">
      <c r="I2822" s="227" t="str">
        <f>MID(excPisCofins[[#This Row],[CodBarras2]],2,50)</f>
        <v/>
      </c>
    </row>
    <row r="2823" spans="9:9" x14ac:dyDescent="0.25">
      <c r="I2823" s="227" t="str">
        <f>MID(excPisCofins[[#This Row],[CodBarras2]],2,50)</f>
        <v/>
      </c>
    </row>
    <row r="2824" spans="9:9" x14ac:dyDescent="0.25">
      <c r="I2824" s="227" t="str">
        <f>MID(excPisCofins[[#This Row],[CodBarras2]],2,50)</f>
        <v/>
      </c>
    </row>
    <row r="2825" spans="9:9" x14ac:dyDescent="0.25">
      <c r="I2825" s="227" t="str">
        <f>MID(excPisCofins[[#This Row],[CodBarras2]],2,50)</f>
        <v/>
      </c>
    </row>
    <row r="2826" spans="9:9" x14ac:dyDescent="0.25">
      <c r="I2826" s="227" t="str">
        <f>MID(excPisCofins[[#This Row],[CodBarras2]],2,50)</f>
        <v/>
      </c>
    </row>
    <row r="2827" spans="9:9" x14ac:dyDescent="0.25">
      <c r="I2827" s="227" t="str">
        <f>MID(excPisCofins[[#This Row],[CodBarras2]],2,50)</f>
        <v/>
      </c>
    </row>
    <row r="2828" spans="9:9" x14ac:dyDescent="0.25">
      <c r="I2828" s="227" t="str">
        <f>MID(excPisCofins[[#This Row],[CodBarras2]],2,50)</f>
        <v/>
      </c>
    </row>
    <row r="2829" spans="9:9" x14ac:dyDescent="0.25">
      <c r="I2829" s="227" t="str">
        <f>MID(excPisCofins[[#This Row],[CodBarras2]],2,50)</f>
        <v/>
      </c>
    </row>
    <row r="2830" spans="9:9" x14ac:dyDescent="0.25">
      <c r="I2830" s="227" t="str">
        <f>MID(excPisCofins[[#This Row],[CodBarras2]],2,50)</f>
        <v/>
      </c>
    </row>
    <row r="2831" spans="9:9" x14ac:dyDescent="0.25">
      <c r="I2831" s="227" t="str">
        <f>MID(excPisCofins[[#This Row],[CodBarras2]],2,50)</f>
        <v/>
      </c>
    </row>
    <row r="2832" spans="9:9" x14ac:dyDescent="0.25">
      <c r="I2832" s="227" t="str">
        <f>MID(excPisCofins[[#This Row],[CodBarras2]],2,50)</f>
        <v/>
      </c>
    </row>
    <row r="2833" spans="9:9" x14ac:dyDescent="0.25">
      <c r="I2833" s="227" t="str">
        <f>MID(excPisCofins[[#This Row],[CodBarras2]],2,50)</f>
        <v/>
      </c>
    </row>
    <row r="2834" spans="9:9" x14ac:dyDescent="0.25">
      <c r="I2834" s="227" t="str">
        <f>MID(excPisCofins[[#This Row],[CodBarras2]],2,50)</f>
        <v/>
      </c>
    </row>
    <row r="2835" spans="9:9" x14ac:dyDescent="0.25">
      <c r="I2835" s="227" t="str">
        <f>MID(excPisCofins[[#This Row],[CodBarras2]],2,50)</f>
        <v/>
      </c>
    </row>
    <row r="2836" spans="9:9" x14ac:dyDescent="0.25">
      <c r="I2836" s="227" t="str">
        <f>MID(excPisCofins[[#This Row],[CodBarras2]],2,50)</f>
        <v/>
      </c>
    </row>
    <row r="2837" spans="9:9" x14ac:dyDescent="0.25">
      <c r="I2837" s="227" t="str">
        <f>MID(excPisCofins[[#This Row],[CodBarras2]],2,50)</f>
        <v/>
      </c>
    </row>
    <row r="2838" spans="9:9" x14ac:dyDescent="0.25">
      <c r="I2838" s="227" t="str">
        <f>MID(excPisCofins[[#This Row],[CodBarras2]],2,50)</f>
        <v/>
      </c>
    </row>
    <row r="2839" spans="9:9" x14ac:dyDescent="0.25">
      <c r="I2839" s="227" t="str">
        <f>MID(excPisCofins[[#This Row],[CodBarras2]],2,50)</f>
        <v/>
      </c>
    </row>
    <row r="2840" spans="9:9" x14ac:dyDescent="0.25">
      <c r="I2840" s="227" t="str">
        <f>MID(excPisCofins[[#This Row],[CodBarras2]],2,50)</f>
        <v/>
      </c>
    </row>
    <row r="2841" spans="9:9" x14ac:dyDescent="0.25">
      <c r="I2841" s="227" t="str">
        <f>MID(excPisCofins[[#This Row],[CodBarras2]],2,50)</f>
        <v/>
      </c>
    </row>
    <row r="2842" spans="9:9" x14ac:dyDescent="0.25">
      <c r="I2842" s="227" t="str">
        <f>MID(excPisCofins[[#This Row],[CodBarras2]],2,50)</f>
        <v/>
      </c>
    </row>
    <row r="2843" spans="9:9" x14ac:dyDescent="0.25">
      <c r="I2843" s="227" t="str">
        <f>MID(excPisCofins[[#This Row],[CodBarras2]],2,50)</f>
        <v/>
      </c>
    </row>
    <row r="2844" spans="9:9" x14ac:dyDescent="0.25">
      <c r="I2844" s="227" t="str">
        <f>MID(excPisCofins[[#This Row],[CodBarras2]],2,50)</f>
        <v/>
      </c>
    </row>
    <row r="2845" spans="9:9" x14ac:dyDescent="0.25">
      <c r="I2845" s="227" t="str">
        <f>MID(excPisCofins[[#This Row],[CodBarras2]],2,50)</f>
        <v/>
      </c>
    </row>
    <row r="2846" spans="9:9" x14ac:dyDescent="0.25">
      <c r="I2846" s="227" t="str">
        <f>MID(excPisCofins[[#This Row],[CodBarras2]],2,50)</f>
        <v/>
      </c>
    </row>
    <row r="2847" spans="9:9" x14ac:dyDescent="0.25">
      <c r="I2847" s="227" t="str">
        <f>MID(excPisCofins[[#This Row],[CodBarras2]],2,50)</f>
        <v/>
      </c>
    </row>
    <row r="2848" spans="9:9" x14ac:dyDescent="0.25">
      <c r="I2848" s="227" t="str">
        <f>MID(excPisCofins[[#This Row],[CodBarras2]],2,50)</f>
        <v/>
      </c>
    </row>
    <row r="2849" spans="9:9" x14ac:dyDescent="0.25">
      <c r="I2849" s="227" t="str">
        <f>MID(excPisCofins[[#This Row],[CodBarras2]],2,50)</f>
        <v/>
      </c>
    </row>
    <row r="2850" spans="9:9" x14ac:dyDescent="0.25">
      <c r="I2850" s="227" t="str">
        <f>MID(excPisCofins[[#This Row],[CodBarras2]],2,50)</f>
        <v/>
      </c>
    </row>
    <row r="2851" spans="9:9" x14ac:dyDescent="0.25">
      <c r="I2851" s="227" t="str">
        <f>MID(excPisCofins[[#This Row],[CodBarras2]],2,50)</f>
        <v/>
      </c>
    </row>
    <row r="2852" spans="9:9" x14ac:dyDescent="0.25">
      <c r="I2852" s="227" t="str">
        <f>MID(excPisCofins[[#This Row],[CodBarras2]],2,50)</f>
        <v/>
      </c>
    </row>
    <row r="2853" spans="9:9" x14ac:dyDescent="0.25">
      <c r="I2853" s="227" t="str">
        <f>MID(excPisCofins[[#This Row],[CodBarras2]],2,50)</f>
        <v/>
      </c>
    </row>
    <row r="2854" spans="9:9" x14ac:dyDescent="0.25">
      <c r="I2854" s="227" t="str">
        <f>MID(excPisCofins[[#This Row],[CodBarras2]],2,50)</f>
        <v/>
      </c>
    </row>
    <row r="2855" spans="9:9" x14ac:dyDescent="0.25">
      <c r="I2855" s="227" t="str">
        <f>MID(excPisCofins[[#This Row],[CodBarras2]],2,50)</f>
        <v/>
      </c>
    </row>
    <row r="2856" spans="9:9" x14ac:dyDescent="0.25">
      <c r="I2856" s="227" t="str">
        <f>MID(excPisCofins[[#This Row],[CodBarras2]],2,50)</f>
        <v/>
      </c>
    </row>
    <row r="2857" spans="9:9" x14ac:dyDescent="0.25">
      <c r="I2857" s="227" t="str">
        <f>MID(excPisCofins[[#This Row],[CodBarras2]],2,50)</f>
        <v/>
      </c>
    </row>
    <row r="2858" spans="9:9" x14ac:dyDescent="0.25">
      <c r="I2858" s="227" t="str">
        <f>MID(excPisCofins[[#This Row],[CodBarras2]],2,50)</f>
        <v/>
      </c>
    </row>
    <row r="2859" spans="9:9" x14ac:dyDescent="0.25">
      <c r="I2859" s="227" t="str">
        <f>MID(excPisCofins[[#This Row],[CodBarras2]],2,50)</f>
        <v/>
      </c>
    </row>
    <row r="2860" spans="9:9" x14ac:dyDescent="0.25">
      <c r="I2860" s="227" t="str">
        <f>MID(excPisCofins[[#This Row],[CodBarras2]],2,50)</f>
        <v/>
      </c>
    </row>
    <row r="2861" spans="9:9" x14ac:dyDescent="0.25">
      <c r="I2861" s="227" t="str">
        <f>MID(excPisCofins[[#This Row],[CodBarras2]],2,50)</f>
        <v/>
      </c>
    </row>
    <row r="2862" spans="9:9" x14ac:dyDescent="0.25">
      <c r="I2862" s="227" t="str">
        <f>MID(excPisCofins[[#This Row],[CodBarras2]],2,50)</f>
        <v/>
      </c>
    </row>
    <row r="2863" spans="9:9" x14ac:dyDescent="0.25">
      <c r="I2863" s="227" t="str">
        <f>MID(excPisCofins[[#This Row],[CodBarras2]],2,50)</f>
        <v/>
      </c>
    </row>
    <row r="2864" spans="9:9" x14ac:dyDescent="0.25">
      <c r="I2864" s="227" t="str">
        <f>MID(excPisCofins[[#This Row],[CodBarras2]],2,50)</f>
        <v/>
      </c>
    </row>
    <row r="2865" spans="9:9" x14ac:dyDescent="0.25">
      <c r="I2865" s="227" t="str">
        <f>MID(excPisCofins[[#This Row],[CodBarras2]],2,50)</f>
        <v/>
      </c>
    </row>
    <row r="2866" spans="9:9" x14ac:dyDescent="0.25">
      <c r="I2866" s="227" t="str">
        <f>MID(excPisCofins[[#This Row],[CodBarras2]],2,50)</f>
        <v/>
      </c>
    </row>
    <row r="2867" spans="9:9" x14ac:dyDescent="0.25">
      <c r="I2867" s="227" t="str">
        <f>MID(excPisCofins[[#This Row],[CodBarras2]],2,50)</f>
        <v/>
      </c>
    </row>
    <row r="2868" spans="9:9" x14ac:dyDescent="0.25">
      <c r="I2868" s="227" t="str">
        <f>MID(excPisCofins[[#This Row],[CodBarras2]],2,50)</f>
        <v/>
      </c>
    </row>
    <row r="2869" spans="9:9" x14ac:dyDescent="0.25">
      <c r="I2869" s="227" t="str">
        <f>MID(excPisCofins[[#This Row],[CodBarras2]],2,50)</f>
        <v/>
      </c>
    </row>
    <row r="2870" spans="9:9" x14ac:dyDescent="0.25">
      <c r="I2870" s="227" t="str">
        <f>MID(excPisCofins[[#This Row],[CodBarras2]],2,50)</f>
        <v/>
      </c>
    </row>
    <row r="2871" spans="9:9" x14ac:dyDescent="0.25">
      <c r="I2871" s="227" t="str">
        <f>MID(excPisCofins[[#This Row],[CodBarras2]],2,50)</f>
        <v/>
      </c>
    </row>
    <row r="2872" spans="9:9" x14ac:dyDescent="0.25">
      <c r="I2872" s="227" t="str">
        <f>MID(excPisCofins[[#This Row],[CodBarras2]],2,50)</f>
        <v/>
      </c>
    </row>
    <row r="2873" spans="9:9" x14ac:dyDescent="0.25">
      <c r="I2873" s="227" t="str">
        <f>MID(excPisCofins[[#This Row],[CodBarras2]],2,50)</f>
        <v/>
      </c>
    </row>
    <row r="2874" spans="9:9" x14ac:dyDescent="0.25">
      <c r="I2874" s="227" t="str">
        <f>MID(excPisCofins[[#This Row],[CodBarras2]],2,50)</f>
        <v/>
      </c>
    </row>
    <row r="2875" spans="9:9" x14ac:dyDescent="0.25">
      <c r="I2875" s="227" t="str">
        <f>MID(excPisCofins[[#This Row],[CodBarras2]],2,50)</f>
        <v/>
      </c>
    </row>
    <row r="2876" spans="9:9" x14ac:dyDescent="0.25">
      <c r="I2876" s="227" t="str">
        <f>MID(excPisCofins[[#This Row],[CodBarras2]],2,50)</f>
        <v/>
      </c>
    </row>
    <row r="2877" spans="9:9" x14ac:dyDescent="0.25">
      <c r="I2877" s="227" t="str">
        <f>MID(excPisCofins[[#This Row],[CodBarras2]],2,50)</f>
        <v/>
      </c>
    </row>
    <row r="2878" spans="9:9" x14ac:dyDescent="0.25">
      <c r="I2878" s="227" t="str">
        <f>MID(excPisCofins[[#This Row],[CodBarras2]],2,50)</f>
        <v/>
      </c>
    </row>
    <row r="2879" spans="9:9" x14ac:dyDescent="0.25">
      <c r="I2879" s="227" t="str">
        <f>MID(excPisCofins[[#This Row],[CodBarras2]],2,50)</f>
        <v/>
      </c>
    </row>
    <row r="2880" spans="9:9" x14ac:dyDescent="0.25">
      <c r="I2880" s="227" t="str">
        <f>MID(excPisCofins[[#This Row],[CodBarras2]],2,50)</f>
        <v/>
      </c>
    </row>
    <row r="2881" spans="9:9" x14ac:dyDescent="0.25">
      <c r="I2881" s="227" t="str">
        <f>MID(excPisCofins[[#This Row],[CodBarras2]],2,50)</f>
        <v/>
      </c>
    </row>
    <row r="2882" spans="9:9" x14ac:dyDescent="0.25">
      <c r="I2882" s="227" t="str">
        <f>MID(excPisCofins[[#This Row],[CodBarras2]],2,50)</f>
        <v/>
      </c>
    </row>
    <row r="2883" spans="9:9" x14ac:dyDescent="0.25">
      <c r="I2883" s="227" t="str">
        <f>MID(excPisCofins[[#This Row],[CodBarras2]],2,50)</f>
        <v/>
      </c>
    </row>
    <row r="2884" spans="9:9" x14ac:dyDescent="0.25">
      <c r="I2884" s="227" t="str">
        <f>MID(excPisCofins[[#This Row],[CodBarras2]],2,50)</f>
        <v/>
      </c>
    </row>
    <row r="2885" spans="9:9" x14ac:dyDescent="0.25">
      <c r="I2885" s="227" t="str">
        <f>MID(excPisCofins[[#This Row],[CodBarras2]],2,50)</f>
        <v/>
      </c>
    </row>
    <row r="2886" spans="9:9" x14ac:dyDescent="0.25">
      <c r="I2886" s="227" t="str">
        <f>MID(excPisCofins[[#This Row],[CodBarras2]],2,50)</f>
        <v/>
      </c>
    </row>
    <row r="2887" spans="9:9" x14ac:dyDescent="0.25">
      <c r="I2887" s="227" t="str">
        <f>MID(excPisCofins[[#This Row],[CodBarras2]],2,50)</f>
        <v/>
      </c>
    </row>
    <row r="2888" spans="9:9" x14ac:dyDescent="0.25">
      <c r="I2888" s="227" t="str">
        <f>MID(excPisCofins[[#This Row],[CodBarras2]],2,50)</f>
        <v/>
      </c>
    </row>
    <row r="2889" spans="9:9" x14ac:dyDescent="0.25">
      <c r="I2889" s="227" t="str">
        <f>MID(excPisCofins[[#This Row],[CodBarras2]],2,50)</f>
        <v/>
      </c>
    </row>
    <row r="2890" spans="9:9" x14ac:dyDescent="0.25">
      <c r="I2890" s="227" t="str">
        <f>MID(excPisCofins[[#This Row],[CodBarras2]],2,50)</f>
        <v/>
      </c>
    </row>
    <row r="2891" spans="9:9" x14ac:dyDescent="0.25">
      <c r="I2891" s="227" t="str">
        <f>MID(excPisCofins[[#This Row],[CodBarras2]],2,50)</f>
        <v/>
      </c>
    </row>
    <row r="2892" spans="9:9" x14ac:dyDescent="0.25">
      <c r="I2892" s="227" t="str">
        <f>MID(excPisCofins[[#This Row],[CodBarras2]],2,50)</f>
        <v/>
      </c>
    </row>
    <row r="2893" spans="9:9" x14ac:dyDescent="0.25">
      <c r="I2893" s="227" t="str">
        <f>MID(excPisCofins[[#This Row],[CodBarras2]],2,50)</f>
        <v/>
      </c>
    </row>
    <row r="2894" spans="9:9" x14ac:dyDescent="0.25">
      <c r="I2894" s="227" t="str">
        <f>MID(excPisCofins[[#This Row],[CodBarras2]],2,50)</f>
        <v/>
      </c>
    </row>
    <row r="2895" spans="9:9" x14ac:dyDescent="0.25">
      <c r="I2895" s="227" t="str">
        <f>MID(excPisCofins[[#This Row],[CodBarras2]],2,50)</f>
        <v/>
      </c>
    </row>
    <row r="2896" spans="9:9" x14ac:dyDescent="0.25">
      <c r="I2896" s="227" t="str">
        <f>MID(excPisCofins[[#This Row],[CodBarras2]],2,50)</f>
        <v/>
      </c>
    </row>
    <row r="2897" spans="9:9" x14ac:dyDescent="0.25">
      <c r="I2897" s="227" t="str">
        <f>MID(excPisCofins[[#This Row],[CodBarras2]],2,50)</f>
        <v/>
      </c>
    </row>
    <row r="2898" spans="9:9" x14ac:dyDescent="0.25">
      <c r="I2898" s="227" t="str">
        <f>MID(excPisCofins[[#This Row],[CodBarras2]],2,50)</f>
        <v/>
      </c>
    </row>
    <row r="2899" spans="9:9" x14ac:dyDescent="0.25">
      <c r="I2899" s="227" t="str">
        <f>MID(excPisCofins[[#This Row],[CodBarras2]],2,50)</f>
        <v/>
      </c>
    </row>
    <row r="2900" spans="9:9" x14ac:dyDescent="0.25">
      <c r="I2900" s="227" t="str">
        <f>MID(excPisCofins[[#This Row],[CodBarras2]],2,50)</f>
        <v/>
      </c>
    </row>
    <row r="2901" spans="9:9" x14ac:dyDescent="0.25">
      <c r="I2901" s="227" t="str">
        <f>MID(excPisCofins[[#This Row],[CodBarras2]],2,50)</f>
        <v/>
      </c>
    </row>
    <row r="2902" spans="9:9" x14ac:dyDescent="0.25">
      <c r="I2902" s="227" t="str">
        <f>MID(excPisCofins[[#This Row],[CodBarras2]],2,50)</f>
        <v/>
      </c>
    </row>
    <row r="2903" spans="9:9" x14ac:dyDescent="0.25">
      <c r="I2903" s="227" t="str">
        <f>MID(excPisCofins[[#This Row],[CodBarras2]],2,50)</f>
        <v/>
      </c>
    </row>
    <row r="2904" spans="9:9" x14ac:dyDescent="0.25">
      <c r="I2904" s="227" t="str">
        <f>MID(excPisCofins[[#This Row],[CodBarras2]],2,50)</f>
        <v/>
      </c>
    </row>
    <row r="2905" spans="9:9" x14ac:dyDescent="0.25">
      <c r="I2905" s="227" t="str">
        <f>MID(excPisCofins[[#This Row],[CodBarras2]],2,50)</f>
        <v/>
      </c>
    </row>
    <row r="2906" spans="9:9" x14ac:dyDescent="0.25">
      <c r="I2906" s="227" t="str">
        <f>MID(excPisCofins[[#This Row],[CodBarras2]],2,50)</f>
        <v/>
      </c>
    </row>
    <row r="2907" spans="9:9" x14ac:dyDescent="0.25">
      <c r="I2907" s="227" t="str">
        <f>MID(excPisCofins[[#This Row],[CodBarras2]],2,50)</f>
        <v/>
      </c>
    </row>
    <row r="2908" spans="9:9" x14ac:dyDescent="0.25">
      <c r="I2908" s="227" t="str">
        <f>MID(excPisCofins[[#This Row],[CodBarras2]],2,50)</f>
        <v/>
      </c>
    </row>
    <row r="2909" spans="9:9" x14ac:dyDescent="0.25">
      <c r="I2909" s="227" t="str">
        <f>MID(excPisCofins[[#This Row],[CodBarras2]],2,50)</f>
        <v/>
      </c>
    </row>
    <row r="2910" spans="9:9" x14ac:dyDescent="0.25">
      <c r="I2910" s="227" t="str">
        <f>MID(excPisCofins[[#This Row],[CodBarras2]],2,50)</f>
        <v/>
      </c>
    </row>
    <row r="2911" spans="9:9" x14ac:dyDescent="0.25">
      <c r="I2911" s="227" t="str">
        <f>MID(excPisCofins[[#This Row],[CodBarras2]],2,50)</f>
        <v/>
      </c>
    </row>
    <row r="2912" spans="9:9" x14ac:dyDescent="0.25">
      <c r="I2912" s="227" t="str">
        <f>MID(excPisCofins[[#This Row],[CodBarras2]],2,50)</f>
        <v/>
      </c>
    </row>
    <row r="2913" spans="9:9" x14ac:dyDescent="0.25">
      <c r="I2913" s="227" t="str">
        <f>MID(excPisCofins[[#This Row],[CodBarras2]],2,50)</f>
        <v/>
      </c>
    </row>
    <row r="2914" spans="9:9" x14ac:dyDescent="0.25">
      <c r="I2914" s="227" t="str">
        <f>MID(excPisCofins[[#This Row],[CodBarras2]],2,50)</f>
        <v/>
      </c>
    </row>
    <row r="2915" spans="9:9" x14ac:dyDescent="0.25">
      <c r="I2915" s="227" t="str">
        <f>MID(excPisCofins[[#This Row],[CodBarras2]],2,50)</f>
        <v/>
      </c>
    </row>
    <row r="2916" spans="9:9" x14ac:dyDescent="0.25">
      <c r="I2916" s="227" t="str">
        <f>MID(excPisCofins[[#This Row],[CodBarras2]],2,50)</f>
        <v/>
      </c>
    </row>
    <row r="2917" spans="9:9" x14ac:dyDescent="0.25">
      <c r="I2917" s="227" t="str">
        <f>MID(excPisCofins[[#This Row],[CodBarras2]],2,50)</f>
        <v/>
      </c>
    </row>
    <row r="2918" spans="9:9" x14ac:dyDescent="0.25">
      <c r="I2918" s="227" t="str">
        <f>MID(excPisCofins[[#This Row],[CodBarras2]],2,50)</f>
        <v/>
      </c>
    </row>
    <row r="2919" spans="9:9" x14ac:dyDescent="0.25">
      <c r="I2919" s="227" t="str">
        <f>MID(excPisCofins[[#This Row],[CodBarras2]],2,50)</f>
        <v/>
      </c>
    </row>
    <row r="2920" spans="9:9" x14ac:dyDescent="0.25">
      <c r="I2920" s="227" t="str">
        <f>MID(excPisCofins[[#This Row],[CodBarras2]],2,50)</f>
        <v/>
      </c>
    </row>
    <row r="2921" spans="9:9" x14ac:dyDescent="0.25">
      <c r="I2921" s="227" t="str">
        <f>MID(excPisCofins[[#This Row],[CodBarras2]],2,50)</f>
        <v/>
      </c>
    </row>
    <row r="2922" spans="9:9" x14ac:dyDescent="0.25">
      <c r="I2922" s="227" t="str">
        <f>MID(excPisCofins[[#This Row],[CodBarras2]],2,50)</f>
        <v/>
      </c>
    </row>
    <row r="2923" spans="9:9" x14ac:dyDescent="0.25">
      <c r="I2923" s="227" t="str">
        <f>MID(excPisCofins[[#This Row],[CodBarras2]],2,50)</f>
        <v/>
      </c>
    </row>
    <row r="2924" spans="9:9" x14ac:dyDescent="0.25">
      <c r="I2924" s="227" t="str">
        <f>MID(excPisCofins[[#This Row],[CodBarras2]],2,50)</f>
        <v/>
      </c>
    </row>
    <row r="2925" spans="9:9" x14ac:dyDescent="0.25">
      <c r="I2925" s="227" t="str">
        <f>MID(excPisCofins[[#This Row],[CodBarras2]],2,50)</f>
        <v/>
      </c>
    </row>
    <row r="2926" spans="9:9" x14ac:dyDescent="0.25">
      <c r="I2926" s="227" t="str">
        <f>MID(excPisCofins[[#This Row],[CodBarras2]],2,50)</f>
        <v/>
      </c>
    </row>
    <row r="2927" spans="9:9" x14ac:dyDescent="0.25">
      <c r="I2927" s="227" t="str">
        <f>MID(excPisCofins[[#This Row],[CodBarras2]],2,50)</f>
        <v/>
      </c>
    </row>
    <row r="2928" spans="9:9" x14ac:dyDescent="0.25">
      <c r="I2928" s="227" t="str">
        <f>MID(excPisCofins[[#This Row],[CodBarras2]],2,50)</f>
        <v/>
      </c>
    </row>
    <row r="2929" spans="9:9" x14ac:dyDescent="0.25">
      <c r="I2929" s="227" t="str">
        <f>MID(excPisCofins[[#This Row],[CodBarras2]],2,50)</f>
        <v/>
      </c>
    </row>
    <row r="2930" spans="9:9" x14ac:dyDescent="0.25">
      <c r="I2930" s="227" t="str">
        <f>MID(excPisCofins[[#This Row],[CodBarras2]],2,50)</f>
        <v/>
      </c>
    </row>
    <row r="2931" spans="9:9" x14ac:dyDescent="0.25">
      <c r="I2931" s="227" t="str">
        <f>MID(excPisCofins[[#This Row],[CodBarras2]],2,50)</f>
        <v/>
      </c>
    </row>
    <row r="2932" spans="9:9" x14ac:dyDescent="0.25">
      <c r="I2932" s="227" t="str">
        <f>MID(excPisCofins[[#This Row],[CodBarras2]],2,50)</f>
        <v/>
      </c>
    </row>
    <row r="2933" spans="9:9" x14ac:dyDescent="0.25">
      <c r="I2933" s="227" t="str">
        <f>MID(excPisCofins[[#This Row],[CodBarras2]],2,50)</f>
        <v/>
      </c>
    </row>
    <row r="2934" spans="9:9" x14ac:dyDescent="0.25">
      <c r="I2934" s="227" t="str">
        <f>MID(excPisCofins[[#This Row],[CodBarras2]],2,50)</f>
        <v/>
      </c>
    </row>
    <row r="2935" spans="9:9" x14ac:dyDescent="0.25">
      <c r="I2935" s="227" t="str">
        <f>MID(excPisCofins[[#This Row],[CodBarras2]],2,50)</f>
        <v/>
      </c>
    </row>
    <row r="2936" spans="9:9" x14ac:dyDescent="0.25">
      <c r="I2936" s="227" t="str">
        <f>MID(excPisCofins[[#This Row],[CodBarras2]],2,50)</f>
        <v/>
      </c>
    </row>
    <row r="2937" spans="9:9" x14ac:dyDescent="0.25">
      <c r="I2937" s="227" t="str">
        <f>MID(excPisCofins[[#This Row],[CodBarras2]],2,50)</f>
        <v/>
      </c>
    </row>
    <row r="2938" spans="9:9" x14ac:dyDescent="0.25">
      <c r="I2938" s="227" t="str">
        <f>MID(excPisCofins[[#This Row],[CodBarras2]],2,50)</f>
        <v/>
      </c>
    </row>
    <row r="2939" spans="9:9" x14ac:dyDescent="0.25">
      <c r="I2939" s="227" t="str">
        <f>MID(excPisCofins[[#This Row],[CodBarras2]],2,50)</f>
        <v/>
      </c>
    </row>
    <row r="2940" spans="9:9" x14ac:dyDescent="0.25">
      <c r="I2940" s="227" t="str">
        <f>MID(excPisCofins[[#This Row],[CodBarras2]],2,50)</f>
        <v/>
      </c>
    </row>
    <row r="2941" spans="9:9" x14ac:dyDescent="0.25">
      <c r="I2941" s="227" t="str">
        <f>MID(excPisCofins[[#This Row],[CodBarras2]],2,50)</f>
        <v/>
      </c>
    </row>
    <row r="2942" spans="9:9" x14ac:dyDescent="0.25">
      <c r="I2942" s="227" t="str">
        <f>MID(excPisCofins[[#This Row],[CodBarras2]],2,50)</f>
        <v/>
      </c>
    </row>
    <row r="2943" spans="9:9" x14ac:dyDescent="0.25">
      <c r="I2943" s="227" t="str">
        <f>MID(excPisCofins[[#This Row],[CodBarras2]],2,50)</f>
        <v/>
      </c>
    </row>
    <row r="2944" spans="9:9" x14ac:dyDescent="0.25">
      <c r="I2944" s="227" t="str">
        <f>MID(excPisCofins[[#This Row],[CodBarras2]],2,50)</f>
        <v/>
      </c>
    </row>
    <row r="2945" spans="9:9" x14ac:dyDescent="0.25">
      <c r="I2945" s="227" t="str">
        <f>MID(excPisCofins[[#This Row],[CodBarras2]],2,50)</f>
        <v/>
      </c>
    </row>
    <row r="2946" spans="9:9" x14ac:dyDescent="0.25">
      <c r="I2946" s="227" t="str">
        <f>MID(excPisCofins[[#This Row],[CodBarras2]],2,50)</f>
        <v/>
      </c>
    </row>
    <row r="2947" spans="9:9" x14ac:dyDescent="0.25">
      <c r="I2947" s="227" t="str">
        <f>MID(excPisCofins[[#This Row],[CodBarras2]],2,50)</f>
        <v/>
      </c>
    </row>
    <row r="2948" spans="9:9" x14ac:dyDescent="0.25">
      <c r="I2948" s="227" t="str">
        <f>MID(excPisCofins[[#This Row],[CodBarras2]],2,50)</f>
        <v/>
      </c>
    </row>
    <row r="2949" spans="9:9" x14ac:dyDescent="0.25">
      <c r="I2949" s="227" t="str">
        <f>MID(excPisCofins[[#This Row],[CodBarras2]],2,50)</f>
        <v/>
      </c>
    </row>
    <row r="2950" spans="9:9" x14ac:dyDescent="0.25">
      <c r="I2950" s="227" t="str">
        <f>MID(excPisCofins[[#This Row],[CodBarras2]],2,50)</f>
        <v/>
      </c>
    </row>
    <row r="2951" spans="9:9" x14ac:dyDescent="0.25">
      <c r="I2951" s="227" t="str">
        <f>MID(excPisCofins[[#This Row],[CodBarras2]],2,50)</f>
        <v/>
      </c>
    </row>
    <row r="2952" spans="9:9" x14ac:dyDescent="0.25">
      <c r="I2952" s="227" t="str">
        <f>MID(excPisCofins[[#This Row],[CodBarras2]],2,50)</f>
        <v/>
      </c>
    </row>
    <row r="2953" spans="9:9" x14ac:dyDescent="0.25">
      <c r="I2953" s="227" t="str">
        <f>MID(excPisCofins[[#This Row],[CodBarras2]],2,50)</f>
        <v/>
      </c>
    </row>
    <row r="2954" spans="9:9" x14ac:dyDescent="0.25">
      <c r="I2954" s="227" t="str">
        <f>MID(excPisCofins[[#This Row],[CodBarras2]],2,50)</f>
        <v/>
      </c>
    </row>
    <row r="2955" spans="9:9" x14ac:dyDescent="0.25">
      <c r="I2955" s="227" t="str">
        <f>MID(excPisCofins[[#This Row],[CodBarras2]],2,50)</f>
        <v/>
      </c>
    </row>
    <row r="2956" spans="9:9" x14ac:dyDescent="0.25">
      <c r="I2956" s="227" t="str">
        <f>MID(excPisCofins[[#This Row],[CodBarras2]],2,50)</f>
        <v/>
      </c>
    </row>
    <row r="2957" spans="9:9" x14ac:dyDescent="0.25">
      <c r="I2957" s="227" t="str">
        <f>MID(excPisCofins[[#This Row],[CodBarras2]],2,50)</f>
        <v/>
      </c>
    </row>
    <row r="2958" spans="9:9" x14ac:dyDescent="0.25">
      <c r="I2958" s="227" t="str">
        <f>MID(excPisCofins[[#This Row],[CodBarras2]],2,50)</f>
        <v/>
      </c>
    </row>
    <row r="2959" spans="9:9" x14ac:dyDescent="0.25">
      <c r="I2959" s="227" t="str">
        <f>MID(excPisCofins[[#This Row],[CodBarras2]],2,50)</f>
        <v/>
      </c>
    </row>
    <row r="2960" spans="9:9" x14ac:dyDescent="0.25">
      <c r="I2960" s="227" t="str">
        <f>MID(excPisCofins[[#This Row],[CodBarras2]],2,50)</f>
        <v/>
      </c>
    </row>
    <row r="2961" spans="9:9" x14ac:dyDescent="0.25">
      <c r="I2961" s="227" t="str">
        <f>MID(excPisCofins[[#This Row],[CodBarras2]],2,50)</f>
        <v/>
      </c>
    </row>
    <row r="2962" spans="9:9" x14ac:dyDescent="0.25">
      <c r="I2962" s="227" t="str">
        <f>MID(excPisCofins[[#This Row],[CodBarras2]],2,50)</f>
        <v/>
      </c>
    </row>
    <row r="2963" spans="9:9" x14ac:dyDescent="0.25">
      <c r="I2963" s="227" t="str">
        <f>MID(excPisCofins[[#This Row],[CodBarras2]],2,50)</f>
        <v/>
      </c>
    </row>
    <row r="2964" spans="9:9" x14ac:dyDescent="0.25">
      <c r="I2964" s="227" t="str">
        <f>MID(excPisCofins[[#This Row],[CodBarras2]],2,50)</f>
        <v/>
      </c>
    </row>
    <row r="2965" spans="9:9" x14ac:dyDescent="0.25">
      <c r="I2965" s="227" t="str">
        <f>MID(excPisCofins[[#This Row],[CodBarras2]],2,50)</f>
        <v/>
      </c>
    </row>
    <row r="2966" spans="9:9" x14ac:dyDescent="0.25">
      <c r="I2966" s="227" t="str">
        <f>MID(excPisCofins[[#This Row],[CodBarras2]],2,50)</f>
        <v/>
      </c>
    </row>
    <row r="2967" spans="9:9" x14ac:dyDescent="0.25">
      <c r="I2967" s="227" t="str">
        <f>MID(excPisCofins[[#This Row],[CodBarras2]],2,50)</f>
        <v/>
      </c>
    </row>
    <row r="2968" spans="9:9" x14ac:dyDescent="0.25">
      <c r="I2968" s="227" t="str">
        <f>MID(excPisCofins[[#This Row],[CodBarras2]],2,50)</f>
        <v/>
      </c>
    </row>
    <row r="2969" spans="9:9" x14ac:dyDescent="0.25">
      <c r="I2969" s="227" t="str">
        <f>MID(excPisCofins[[#This Row],[CodBarras2]],2,50)</f>
        <v/>
      </c>
    </row>
    <row r="2970" spans="9:9" x14ac:dyDescent="0.25">
      <c r="I2970" s="227" t="str">
        <f>MID(excPisCofins[[#This Row],[CodBarras2]],2,50)</f>
        <v/>
      </c>
    </row>
    <row r="2971" spans="9:9" x14ac:dyDescent="0.25">
      <c r="I2971" s="227" t="str">
        <f>MID(excPisCofins[[#This Row],[CodBarras2]],2,50)</f>
        <v/>
      </c>
    </row>
    <row r="2972" spans="9:9" x14ac:dyDescent="0.25">
      <c r="I2972" s="227" t="str">
        <f>MID(excPisCofins[[#This Row],[CodBarras2]],2,50)</f>
        <v/>
      </c>
    </row>
    <row r="2973" spans="9:9" x14ac:dyDescent="0.25">
      <c r="I2973" s="227" t="str">
        <f>MID(excPisCofins[[#This Row],[CodBarras2]],2,50)</f>
        <v/>
      </c>
    </row>
    <row r="2974" spans="9:9" x14ac:dyDescent="0.25">
      <c r="I2974" s="227" t="str">
        <f>MID(excPisCofins[[#This Row],[CodBarras2]],2,50)</f>
        <v/>
      </c>
    </row>
    <row r="2975" spans="9:9" x14ac:dyDescent="0.25">
      <c r="I2975" s="227" t="str">
        <f>MID(excPisCofins[[#This Row],[CodBarras2]],2,50)</f>
        <v/>
      </c>
    </row>
    <row r="2976" spans="9:9" x14ac:dyDescent="0.25">
      <c r="I2976" s="227" t="str">
        <f>MID(excPisCofins[[#This Row],[CodBarras2]],2,50)</f>
        <v/>
      </c>
    </row>
    <row r="2977" spans="9:9" x14ac:dyDescent="0.25">
      <c r="I2977" s="227" t="str">
        <f>MID(excPisCofins[[#This Row],[CodBarras2]],2,50)</f>
        <v/>
      </c>
    </row>
    <row r="2978" spans="9:9" x14ac:dyDescent="0.25">
      <c r="I2978" s="227" t="str">
        <f>MID(excPisCofins[[#This Row],[CodBarras2]],2,50)</f>
        <v/>
      </c>
    </row>
    <row r="2979" spans="9:9" x14ac:dyDescent="0.25">
      <c r="I2979" s="227" t="str">
        <f>MID(excPisCofins[[#This Row],[CodBarras2]],2,50)</f>
        <v/>
      </c>
    </row>
    <row r="2980" spans="9:9" x14ac:dyDescent="0.25">
      <c r="I2980" s="227" t="str">
        <f>MID(excPisCofins[[#This Row],[CodBarras2]],2,50)</f>
        <v/>
      </c>
    </row>
    <row r="2981" spans="9:9" x14ac:dyDescent="0.25">
      <c r="I2981" s="227" t="str">
        <f>MID(excPisCofins[[#This Row],[CodBarras2]],2,50)</f>
        <v/>
      </c>
    </row>
    <row r="2982" spans="9:9" x14ac:dyDescent="0.25">
      <c r="I2982" s="227" t="str">
        <f>MID(excPisCofins[[#This Row],[CodBarras2]],2,50)</f>
        <v/>
      </c>
    </row>
    <row r="2983" spans="9:9" x14ac:dyDescent="0.25">
      <c r="I2983" s="227" t="str">
        <f>MID(excPisCofins[[#This Row],[CodBarras2]],2,50)</f>
        <v/>
      </c>
    </row>
    <row r="2984" spans="9:9" x14ac:dyDescent="0.25">
      <c r="I2984" s="227" t="str">
        <f>MID(excPisCofins[[#This Row],[CodBarras2]],2,50)</f>
        <v/>
      </c>
    </row>
    <row r="2985" spans="9:9" x14ac:dyDescent="0.25">
      <c r="I2985" s="227" t="str">
        <f>MID(excPisCofins[[#This Row],[CodBarras2]],2,50)</f>
        <v/>
      </c>
    </row>
    <row r="2986" spans="9:9" x14ac:dyDescent="0.25">
      <c r="I2986" s="227" t="str">
        <f>MID(excPisCofins[[#This Row],[CodBarras2]],2,50)</f>
        <v/>
      </c>
    </row>
    <row r="2987" spans="9:9" x14ac:dyDescent="0.25">
      <c r="I2987" s="227" t="str">
        <f>MID(excPisCofins[[#This Row],[CodBarras2]],2,50)</f>
        <v/>
      </c>
    </row>
    <row r="2988" spans="9:9" x14ac:dyDescent="0.25">
      <c r="I2988" s="227" t="str">
        <f>MID(excPisCofins[[#This Row],[CodBarras2]],2,50)</f>
        <v/>
      </c>
    </row>
    <row r="2989" spans="9:9" x14ac:dyDescent="0.25">
      <c r="I2989" s="227" t="str">
        <f>MID(excPisCofins[[#This Row],[CodBarras2]],2,50)</f>
        <v/>
      </c>
    </row>
    <row r="2990" spans="9:9" x14ac:dyDescent="0.25">
      <c r="I2990" s="227" t="str">
        <f>MID(excPisCofins[[#This Row],[CodBarras2]],2,50)</f>
        <v/>
      </c>
    </row>
    <row r="2991" spans="9:9" x14ac:dyDescent="0.25">
      <c r="I2991" s="227" t="str">
        <f>MID(excPisCofins[[#This Row],[CodBarras2]],2,50)</f>
        <v/>
      </c>
    </row>
    <row r="2992" spans="9:9" x14ac:dyDescent="0.25">
      <c r="I2992" s="227" t="str">
        <f>MID(excPisCofins[[#This Row],[CodBarras2]],2,50)</f>
        <v/>
      </c>
    </row>
    <row r="2993" spans="9:9" x14ac:dyDescent="0.25">
      <c r="I2993" s="227" t="str">
        <f>MID(excPisCofins[[#This Row],[CodBarras2]],2,50)</f>
        <v/>
      </c>
    </row>
    <row r="2994" spans="9:9" x14ac:dyDescent="0.25">
      <c r="I2994" s="227" t="str">
        <f>MID(excPisCofins[[#This Row],[CodBarras2]],2,50)</f>
        <v/>
      </c>
    </row>
    <row r="2995" spans="9:9" x14ac:dyDescent="0.25">
      <c r="I2995" s="227" t="str">
        <f>MID(excPisCofins[[#This Row],[CodBarras2]],2,50)</f>
        <v/>
      </c>
    </row>
    <row r="2996" spans="9:9" x14ac:dyDescent="0.25">
      <c r="I2996" s="227" t="str">
        <f>MID(excPisCofins[[#This Row],[CodBarras2]],2,50)</f>
        <v/>
      </c>
    </row>
    <row r="2997" spans="9:9" x14ac:dyDescent="0.25">
      <c r="I2997" s="227" t="str">
        <f>MID(excPisCofins[[#This Row],[CodBarras2]],2,50)</f>
        <v/>
      </c>
    </row>
    <row r="2998" spans="9:9" x14ac:dyDescent="0.25">
      <c r="I2998" s="227" t="str">
        <f>MID(excPisCofins[[#This Row],[CodBarras2]],2,50)</f>
        <v/>
      </c>
    </row>
    <row r="2999" spans="9:9" x14ac:dyDescent="0.25">
      <c r="I2999" s="227" t="str">
        <f>MID(excPisCofins[[#This Row],[CodBarras2]],2,50)</f>
        <v/>
      </c>
    </row>
    <row r="3000" spans="9:9" x14ac:dyDescent="0.25">
      <c r="I3000" s="227" t="str">
        <f>MID(excPisCofins[[#This Row],[CodBarras2]],2,50)</f>
        <v/>
      </c>
    </row>
    <row r="3001" spans="9:9" x14ac:dyDescent="0.25">
      <c r="I3001" s="227" t="str">
        <f>MID(excPisCofins[[#This Row],[CodBarras2]],2,50)</f>
        <v/>
      </c>
    </row>
    <row r="3002" spans="9:9" x14ac:dyDescent="0.25">
      <c r="I3002" s="227" t="str">
        <f>MID(excPisCofins[[#This Row],[CodBarras2]],2,50)</f>
        <v/>
      </c>
    </row>
    <row r="3003" spans="9:9" x14ac:dyDescent="0.25">
      <c r="I3003" s="227" t="str">
        <f>MID(excPisCofins[[#This Row],[CodBarras2]],2,50)</f>
        <v/>
      </c>
    </row>
    <row r="3004" spans="9:9" x14ac:dyDescent="0.25">
      <c r="I3004" s="227" t="str">
        <f>MID(excPisCofins[[#This Row],[CodBarras2]],2,50)</f>
        <v/>
      </c>
    </row>
    <row r="3005" spans="9:9" x14ac:dyDescent="0.25">
      <c r="I3005" s="227" t="str">
        <f>MID(excPisCofins[[#This Row],[CodBarras2]],2,50)</f>
        <v/>
      </c>
    </row>
    <row r="3006" spans="9:9" x14ac:dyDescent="0.25">
      <c r="I3006" s="227" t="str">
        <f>MID(excPisCofins[[#This Row],[CodBarras2]],2,50)</f>
        <v/>
      </c>
    </row>
    <row r="3007" spans="9:9" x14ac:dyDescent="0.25">
      <c r="I3007" s="227" t="str">
        <f>MID(excPisCofins[[#This Row],[CodBarras2]],2,50)</f>
        <v/>
      </c>
    </row>
    <row r="3008" spans="9:9" x14ac:dyDescent="0.25">
      <c r="I3008" s="227" t="str">
        <f>MID(excPisCofins[[#This Row],[CodBarras2]],2,50)</f>
        <v/>
      </c>
    </row>
    <row r="3009" spans="9:9" x14ac:dyDescent="0.25">
      <c r="I3009" s="227" t="str">
        <f>MID(excPisCofins[[#This Row],[CodBarras2]],2,50)</f>
        <v/>
      </c>
    </row>
    <row r="3010" spans="9:9" x14ac:dyDescent="0.25">
      <c r="I3010" s="227" t="str">
        <f>MID(excPisCofins[[#This Row],[CodBarras2]],2,50)</f>
        <v/>
      </c>
    </row>
    <row r="3011" spans="9:9" x14ac:dyDescent="0.25">
      <c r="I3011" s="227" t="str">
        <f>MID(excPisCofins[[#This Row],[CodBarras2]],2,50)</f>
        <v/>
      </c>
    </row>
    <row r="3012" spans="9:9" x14ac:dyDescent="0.25">
      <c r="I3012" s="227" t="str">
        <f>MID(excPisCofins[[#This Row],[CodBarras2]],2,50)</f>
        <v/>
      </c>
    </row>
    <row r="3013" spans="9:9" x14ac:dyDescent="0.25">
      <c r="I3013" s="227" t="str">
        <f>MID(excPisCofins[[#This Row],[CodBarras2]],2,50)</f>
        <v/>
      </c>
    </row>
    <row r="3014" spans="9:9" x14ac:dyDescent="0.25">
      <c r="I3014" s="227" t="str">
        <f>MID(excPisCofins[[#This Row],[CodBarras2]],2,50)</f>
        <v/>
      </c>
    </row>
    <row r="3015" spans="9:9" x14ac:dyDescent="0.25">
      <c r="I3015" s="227" t="str">
        <f>MID(excPisCofins[[#This Row],[CodBarras2]],2,50)</f>
        <v/>
      </c>
    </row>
    <row r="3016" spans="9:9" x14ac:dyDescent="0.25">
      <c r="I3016" s="227" t="str">
        <f>MID(excPisCofins[[#This Row],[CodBarras2]],2,50)</f>
        <v/>
      </c>
    </row>
    <row r="3017" spans="9:9" x14ac:dyDescent="0.25">
      <c r="I3017" s="227" t="str">
        <f>MID(excPisCofins[[#This Row],[CodBarras2]],2,50)</f>
        <v/>
      </c>
    </row>
    <row r="3018" spans="9:9" x14ac:dyDescent="0.25">
      <c r="I3018" s="227" t="str">
        <f>MID(excPisCofins[[#This Row],[CodBarras2]],2,50)</f>
        <v/>
      </c>
    </row>
    <row r="3019" spans="9:9" x14ac:dyDescent="0.25">
      <c r="I3019" s="227" t="str">
        <f>MID(excPisCofins[[#This Row],[CodBarras2]],2,50)</f>
        <v/>
      </c>
    </row>
    <row r="3020" spans="9:9" x14ac:dyDescent="0.25">
      <c r="I3020" s="227" t="str">
        <f>MID(excPisCofins[[#This Row],[CodBarras2]],2,50)</f>
        <v/>
      </c>
    </row>
    <row r="3021" spans="9:9" x14ac:dyDescent="0.25">
      <c r="I3021" s="227" t="str">
        <f>MID(excPisCofins[[#This Row],[CodBarras2]],2,50)</f>
        <v/>
      </c>
    </row>
    <row r="3022" spans="9:9" x14ac:dyDescent="0.25">
      <c r="I3022" s="227" t="str">
        <f>MID(excPisCofins[[#This Row],[CodBarras2]],2,50)</f>
        <v/>
      </c>
    </row>
    <row r="3023" spans="9:9" x14ac:dyDescent="0.25">
      <c r="I3023" s="227" t="str">
        <f>MID(excPisCofins[[#This Row],[CodBarras2]],2,50)</f>
        <v/>
      </c>
    </row>
    <row r="3024" spans="9:9" x14ac:dyDescent="0.25">
      <c r="I3024" s="227" t="str">
        <f>MID(excPisCofins[[#This Row],[CodBarras2]],2,50)</f>
        <v/>
      </c>
    </row>
    <row r="3025" spans="9:9" x14ac:dyDescent="0.25">
      <c r="I3025" s="227" t="str">
        <f>MID(excPisCofins[[#This Row],[CodBarras2]],2,50)</f>
        <v/>
      </c>
    </row>
    <row r="3026" spans="9:9" x14ac:dyDescent="0.25">
      <c r="I3026" s="227" t="str">
        <f>MID(excPisCofins[[#This Row],[CodBarras2]],2,50)</f>
        <v/>
      </c>
    </row>
    <row r="3027" spans="9:9" x14ac:dyDescent="0.25">
      <c r="I3027" s="227" t="str">
        <f>MID(excPisCofins[[#This Row],[CodBarras2]],2,50)</f>
        <v/>
      </c>
    </row>
    <row r="3028" spans="9:9" x14ac:dyDescent="0.25">
      <c r="I3028" s="227" t="str">
        <f>MID(excPisCofins[[#This Row],[CodBarras2]],2,50)</f>
        <v/>
      </c>
    </row>
    <row r="3029" spans="9:9" x14ac:dyDescent="0.25">
      <c r="I3029" s="227" t="str">
        <f>MID(excPisCofins[[#This Row],[CodBarras2]],2,50)</f>
        <v/>
      </c>
    </row>
    <row r="3030" spans="9:9" x14ac:dyDescent="0.25">
      <c r="I3030" s="227" t="str">
        <f>MID(excPisCofins[[#This Row],[CodBarras2]],2,50)</f>
        <v/>
      </c>
    </row>
    <row r="3031" spans="9:9" x14ac:dyDescent="0.25">
      <c r="I3031" s="227" t="str">
        <f>MID(excPisCofins[[#This Row],[CodBarras2]],2,50)</f>
        <v/>
      </c>
    </row>
    <row r="3032" spans="9:9" x14ac:dyDescent="0.25">
      <c r="I3032" s="227" t="str">
        <f>MID(excPisCofins[[#This Row],[CodBarras2]],2,50)</f>
        <v/>
      </c>
    </row>
    <row r="3033" spans="9:9" x14ac:dyDescent="0.25">
      <c r="I3033" s="227" t="str">
        <f>MID(excPisCofins[[#This Row],[CodBarras2]],2,50)</f>
        <v/>
      </c>
    </row>
    <row r="3034" spans="9:9" x14ac:dyDescent="0.25">
      <c r="I3034" s="227" t="str">
        <f>MID(excPisCofins[[#This Row],[CodBarras2]],2,50)</f>
        <v/>
      </c>
    </row>
    <row r="3035" spans="9:9" x14ac:dyDescent="0.25">
      <c r="I3035" s="227" t="str">
        <f>MID(excPisCofins[[#This Row],[CodBarras2]],2,50)</f>
        <v/>
      </c>
    </row>
    <row r="3036" spans="9:9" x14ac:dyDescent="0.25">
      <c r="I3036" s="227" t="str">
        <f>MID(excPisCofins[[#This Row],[CodBarras2]],2,50)</f>
        <v/>
      </c>
    </row>
    <row r="3037" spans="9:9" x14ac:dyDescent="0.25">
      <c r="I3037" s="227" t="str">
        <f>MID(excPisCofins[[#This Row],[CodBarras2]],2,50)</f>
        <v/>
      </c>
    </row>
    <row r="3038" spans="9:9" x14ac:dyDescent="0.25">
      <c r="I3038" s="227" t="str">
        <f>MID(excPisCofins[[#This Row],[CodBarras2]],2,50)</f>
        <v/>
      </c>
    </row>
    <row r="3039" spans="9:9" x14ac:dyDescent="0.25">
      <c r="I3039" s="227" t="str">
        <f>MID(excPisCofins[[#This Row],[CodBarras2]],2,50)</f>
        <v/>
      </c>
    </row>
    <row r="3040" spans="9:9" x14ac:dyDescent="0.25">
      <c r="I3040" s="227" t="str">
        <f>MID(excPisCofins[[#This Row],[CodBarras2]],2,50)</f>
        <v/>
      </c>
    </row>
    <row r="3041" spans="9:9" x14ac:dyDescent="0.25">
      <c r="I3041" s="227" t="str">
        <f>MID(excPisCofins[[#This Row],[CodBarras2]],2,50)</f>
        <v/>
      </c>
    </row>
    <row r="3042" spans="9:9" x14ac:dyDescent="0.25">
      <c r="I3042" s="227" t="str">
        <f>MID(excPisCofins[[#This Row],[CodBarras2]],2,50)</f>
        <v/>
      </c>
    </row>
    <row r="3043" spans="9:9" x14ac:dyDescent="0.25">
      <c r="I3043" s="227" t="str">
        <f>MID(excPisCofins[[#This Row],[CodBarras2]],2,50)</f>
        <v/>
      </c>
    </row>
    <row r="3044" spans="9:9" x14ac:dyDescent="0.25">
      <c r="I3044" s="227" t="str">
        <f>MID(excPisCofins[[#This Row],[CodBarras2]],2,50)</f>
        <v/>
      </c>
    </row>
    <row r="3045" spans="9:9" x14ac:dyDescent="0.25">
      <c r="I3045" s="227" t="str">
        <f>MID(excPisCofins[[#This Row],[CodBarras2]],2,50)</f>
        <v/>
      </c>
    </row>
    <row r="3046" spans="9:9" x14ac:dyDescent="0.25">
      <c r="I3046" s="227" t="str">
        <f>MID(excPisCofins[[#This Row],[CodBarras2]],2,50)</f>
        <v/>
      </c>
    </row>
    <row r="3047" spans="9:9" x14ac:dyDescent="0.25">
      <c r="I3047" s="227" t="str">
        <f>MID(excPisCofins[[#This Row],[CodBarras2]],2,50)</f>
        <v/>
      </c>
    </row>
    <row r="3048" spans="9:9" x14ac:dyDescent="0.25">
      <c r="I3048" s="227" t="str">
        <f>MID(excPisCofins[[#This Row],[CodBarras2]],2,50)</f>
        <v/>
      </c>
    </row>
    <row r="3049" spans="9:9" x14ac:dyDescent="0.25">
      <c r="I3049" s="227" t="str">
        <f>MID(excPisCofins[[#This Row],[CodBarras2]],2,50)</f>
        <v/>
      </c>
    </row>
    <row r="3050" spans="9:9" x14ac:dyDescent="0.25">
      <c r="I3050" s="227" t="str">
        <f>MID(excPisCofins[[#This Row],[CodBarras2]],2,50)</f>
        <v/>
      </c>
    </row>
    <row r="3051" spans="9:9" x14ac:dyDescent="0.25">
      <c r="I3051" s="227" t="str">
        <f>MID(excPisCofins[[#This Row],[CodBarras2]],2,50)</f>
        <v/>
      </c>
    </row>
    <row r="3052" spans="9:9" x14ac:dyDescent="0.25">
      <c r="I3052" s="227" t="str">
        <f>MID(excPisCofins[[#This Row],[CodBarras2]],2,50)</f>
        <v/>
      </c>
    </row>
    <row r="3053" spans="9:9" x14ac:dyDescent="0.25">
      <c r="I3053" s="227" t="str">
        <f>MID(excPisCofins[[#This Row],[CodBarras2]],2,50)</f>
        <v/>
      </c>
    </row>
    <row r="3054" spans="9:9" x14ac:dyDescent="0.25">
      <c r="I3054" s="227" t="str">
        <f>MID(excPisCofins[[#This Row],[CodBarras2]],2,50)</f>
        <v/>
      </c>
    </row>
    <row r="3055" spans="9:9" x14ac:dyDescent="0.25">
      <c r="I3055" s="227" t="str">
        <f>MID(excPisCofins[[#This Row],[CodBarras2]],2,50)</f>
        <v/>
      </c>
    </row>
    <row r="3056" spans="9:9" x14ac:dyDescent="0.25">
      <c r="I3056" s="227" t="str">
        <f>MID(excPisCofins[[#This Row],[CodBarras2]],2,50)</f>
        <v/>
      </c>
    </row>
    <row r="3057" spans="9:9" x14ac:dyDescent="0.25">
      <c r="I3057" s="227" t="str">
        <f>MID(excPisCofins[[#This Row],[CodBarras2]],2,50)</f>
        <v/>
      </c>
    </row>
    <row r="3058" spans="9:9" x14ac:dyDescent="0.25">
      <c r="I3058" s="227" t="str">
        <f>MID(excPisCofins[[#This Row],[CodBarras2]],2,50)</f>
        <v/>
      </c>
    </row>
    <row r="3059" spans="9:9" x14ac:dyDescent="0.25">
      <c r="I3059" s="227" t="str">
        <f>MID(excPisCofins[[#This Row],[CodBarras2]],2,50)</f>
        <v/>
      </c>
    </row>
    <row r="3060" spans="9:9" x14ac:dyDescent="0.25">
      <c r="I3060" s="227" t="str">
        <f>MID(excPisCofins[[#This Row],[CodBarras2]],2,50)</f>
        <v/>
      </c>
    </row>
    <row r="3061" spans="9:9" x14ac:dyDescent="0.25">
      <c r="I3061" s="227" t="str">
        <f>MID(excPisCofins[[#This Row],[CodBarras2]],2,50)</f>
        <v/>
      </c>
    </row>
    <row r="3062" spans="9:9" x14ac:dyDescent="0.25">
      <c r="I3062" s="227" t="str">
        <f>MID(excPisCofins[[#This Row],[CodBarras2]],2,50)</f>
        <v/>
      </c>
    </row>
    <row r="3063" spans="9:9" x14ac:dyDescent="0.25">
      <c r="I3063" s="227" t="str">
        <f>MID(excPisCofins[[#This Row],[CodBarras2]],2,50)</f>
        <v/>
      </c>
    </row>
    <row r="3064" spans="9:9" x14ac:dyDescent="0.25">
      <c r="I3064" s="227" t="str">
        <f>MID(excPisCofins[[#This Row],[CodBarras2]],2,50)</f>
        <v/>
      </c>
    </row>
    <row r="3065" spans="9:9" x14ac:dyDescent="0.25">
      <c r="I3065" s="227" t="str">
        <f>MID(excPisCofins[[#This Row],[CodBarras2]],2,50)</f>
        <v/>
      </c>
    </row>
    <row r="3066" spans="9:9" x14ac:dyDescent="0.25">
      <c r="I3066" s="227" t="str">
        <f>MID(excPisCofins[[#This Row],[CodBarras2]],2,50)</f>
        <v/>
      </c>
    </row>
    <row r="3067" spans="9:9" x14ac:dyDescent="0.25">
      <c r="I3067" s="227" t="str">
        <f>MID(excPisCofins[[#This Row],[CodBarras2]],2,50)</f>
        <v/>
      </c>
    </row>
    <row r="3068" spans="9:9" x14ac:dyDescent="0.25">
      <c r="I3068" s="227" t="str">
        <f>MID(excPisCofins[[#This Row],[CodBarras2]],2,50)</f>
        <v/>
      </c>
    </row>
    <row r="3069" spans="9:9" x14ac:dyDescent="0.25">
      <c r="I3069" s="227" t="str">
        <f>MID(excPisCofins[[#This Row],[CodBarras2]],2,50)</f>
        <v/>
      </c>
    </row>
    <row r="3070" spans="9:9" x14ac:dyDescent="0.25">
      <c r="I3070" s="227" t="str">
        <f>MID(excPisCofins[[#This Row],[CodBarras2]],2,50)</f>
        <v/>
      </c>
    </row>
    <row r="3071" spans="9:9" x14ac:dyDescent="0.25">
      <c r="I3071" s="227" t="str">
        <f>MID(excPisCofins[[#This Row],[CodBarras2]],2,50)</f>
        <v/>
      </c>
    </row>
    <row r="3072" spans="9:9" x14ac:dyDescent="0.25">
      <c r="I3072" s="227" t="str">
        <f>MID(excPisCofins[[#This Row],[CodBarras2]],2,50)</f>
        <v/>
      </c>
    </row>
    <row r="3073" spans="9:9" x14ac:dyDescent="0.25">
      <c r="I3073" s="227" t="str">
        <f>MID(excPisCofins[[#This Row],[CodBarras2]],2,50)</f>
        <v/>
      </c>
    </row>
    <row r="3074" spans="9:9" x14ac:dyDescent="0.25">
      <c r="I3074" s="227" t="str">
        <f>MID(excPisCofins[[#This Row],[CodBarras2]],2,50)</f>
        <v/>
      </c>
    </row>
    <row r="3075" spans="9:9" x14ac:dyDescent="0.25">
      <c r="I3075" s="227" t="str">
        <f>MID(excPisCofins[[#This Row],[CodBarras2]],2,50)</f>
        <v/>
      </c>
    </row>
    <row r="3076" spans="9:9" x14ac:dyDescent="0.25">
      <c r="I3076" s="227" t="str">
        <f>MID(excPisCofins[[#This Row],[CodBarras2]],2,50)</f>
        <v/>
      </c>
    </row>
    <row r="3077" spans="9:9" x14ac:dyDescent="0.25">
      <c r="I3077" s="227" t="str">
        <f>MID(excPisCofins[[#This Row],[CodBarras2]],2,50)</f>
        <v/>
      </c>
    </row>
    <row r="3078" spans="9:9" x14ac:dyDescent="0.25">
      <c r="I3078" s="227" t="str">
        <f>MID(excPisCofins[[#This Row],[CodBarras2]],2,50)</f>
        <v/>
      </c>
    </row>
    <row r="3079" spans="9:9" x14ac:dyDescent="0.25">
      <c r="I3079" s="227" t="str">
        <f>MID(excPisCofins[[#This Row],[CodBarras2]],2,50)</f>
        <v/>
      </c>
    </row>
    <row r="3080" spans="9:9" x14ac:dyDescent="0.25">
      <c r="I3080" s="227" t="str">
        <f>MID(excPisCofins[[#This Row],[CodBarras2]],2,50)</f>
        <v/>
      </c>
    </row>
    <row r="3081" spans="9:9" x14ac:dyDescent="0.25">
      <c r="I3081" s="227" t="str">
        <f>MID(excPisCofins[[#This Row],[CodBarras2]],2,50)</f>
        <v/>
      </c>
    </row>
    <row r="3082" spans="9:9" x14ac:dyDescent="0.25">
      <c r="I3082" s="227" t="str">
        <f>MID(excPisCofins[[#This Row],[CodBarras2]],2,50)</f>
        <v/>
      </c>
    </row>
    <row r="3083" spans="9:9" x14ac:dyDescent="0.25">
      <c r="I3083" s="227" t="str">
        <f>MID(excPisCofins[[#This Row],[CodBarras2]],2,50)</f>
        <v/>
      </c>
    </row>
    <row r="3084" spans="9:9" x14ac:dyDescent="0.25">
      <c r="I3084" s="227" t="str">
        <f>MID(excPisCofins[[#This Row],[CodBarras2]],2,50)</f>
        <v/>
      </c>
    </row>
    <row r="3085" spans="9:9" x14ac:dyDescent="0.25">
      <c r="I3085" s="227" t="str">
        <f>MID(excPisCofins[[#This Row],[CodBarras2]],2,50)</f>
        <v/>
      </c>
    </row>
    <row r="3086" spans="9:9" x14ac:dyDescent="0.25">
      <c r="I3086" s="227" t="str">
        <f>MID(excPisCofins[[#This Row],[CodBarras2]],2,50)</f>
        <v/>
      </c>
    </row>
    <row r="3087" spans="9:9" x14ac:dyDescent="0.25">
      <c r="I3087" s="227" t="str">
        <f>MID(excPisCofins[[#This Row],[CodBarras2]],2,50)</f>
        <v/>
      </c>
    </row>
    <row r="3088" spans="9:9" x14ac:dyDescent="0.25">
      <c r="I3088" s="227" t="str">
        <f>MID(excPisCofins[[#This Row],[CodBarras2]],2,50)</f>
        <v/>
      </c>
    </row>
    <row r="3089" spans="9:9" x14ac:dyDescent="0.25">
      <c r="I3089" s="227" t="str">
        <f>MID(excPisCofins[[#This Row],[CodBarras2]],2,50)</f>
        <v/>
      </c>
    </row>
    <row r="3090" spans="9:9" x14ac:dyDescent="0.25">
      <c r="I3090" s="227" t="str">
        <f>MID(excPisCofins[[#This Row],[CodBarras2]],2,50)</f>
        <v/>
      </c>
    </row>
    <row r="3091" spans="9:9" x14ac:dyDescent="0.25">
      <c r="I3091" s="227" t="str">
        <f>MID(excPisCofins[[#This Row],[CodBarras2]],2,50)</f>
        <v/>
      </c>
    </row>
    <row r="3092" spans="9:9" x14ac:dyDescent="0.25">
      <c r="I3092" s="227" t="str">
        <f>MID(excPisCofins[[#This Row],[CodBarras2]],2,50)</f>
        <v/>
      </c>
    </row>
    <row r="3093" spans="9:9" x14ac:dyDescent="0.25">
      <c r="I3093" s="227" t="str">
        <f>MID(excPisCofins[[#This Row],[CodBarras2]],2,50)</f>
        <v/>
      </c>
    </row>
    <row r="3094" spans="9:9" x14ac:dyDescent="0.25">
      <c r="I3094" s="227" t="str">
        <f>MID(excPisCofins[[#This Row],[CodBarras2]],2,50)</f>
        <v/>
      </c>
    </row>
    <row r="3095" spans="9:9" x14ac:dyDescent="0.25">
      <c r="I3095" s="227" t="str">
        <f>MID(excPisCofins[[#This Row],[CodBarras2]],2,50)</f>
        <v/>
      </c>
    </row>
    <row r="3096" spans="9:9" x14ac:dyDescent="0.25">
      <c r="I3096" s="227" t="str">
        <f>MID(excPisCofins[[#This Row],[CodBarras2]],2,50)</f>
        <v/>
      </c>
    </row>
    <row r="3097" spans="9:9" x14ac:dyDescent="0.25">
      <c r="I3097" s="227" t="str">
        <f>MID(excPisCofins[[#This Row],[CodBarras2]],2,50)</f>
        <v/>
      </c>
    </row>
    <row r="3098" spans="9:9" x14ac:dyDescent="0.25">
      <c r="I3098" s="227" t="str">
        <f>MID(excPisCofins[[#This Row],[CodBarras2]],2,50)</f>
        <v/>
      </c>
    </row>
    <row r="3099" spans="9:9" x14ac:dyDescent="0.25">
      <c r="I3099" s="227" t="str">
        <f>MID(excPisCofins[[#This Row],[CodBarras2]],2,50)</f>
        <v/>
      </c>
    </row>
    <row r="3100" spans="9:9" x14ac:dyDescent="0.25">
      <c r="I3100" s="227" t="str">
        <f>MID(excPisCofins[[#This Row],[CodBarras2]],2,50)</f>
        <v/>
      </c>
    </row>
    <row r="3101" spans="9:9" x14ac:dyDescent="0.25">
      <c r="I3101" s="227" t="str">
        <f>MID(excPisCofins[[#This Row],[CodBarras2]],2,50)</f>
        <v/>
      </c>
    </row>
    <row r="3102" spans="9:9" x14ac:dyDescent="0.25">
      <c r="I3102" s="227" t="str">
        <f>MID(excPisCofins[[#This Row],[CodBarras2]],2,50)</f>
        <v/>
      </c>
    </row>
    <row r="3103" spans="9:9" x14ac:dyDescent="0.25">
      <c r="I3103" s="227" t="str">
        <f>MID(excPisCofins[[#This Row],[CodBarras2]],2,50)</f>
        <v/>
      </c>
    </row>
    <row r="3104" spans="9:9" x14ac:dyDescent="0.25">
      <c r="I3104" s="227" t="str">
        <f>MID(excPisCofins[[#This Row],[CodBarras2]],2,50)</f>
        <v/>
      </c>
    </row>
    <row r="3105" spans="9:9" x14ac:dyDescent="0.25">
      <c r="I3105" s="227" t="str">
        <f>MID(excPisCofins[[#This Row],[CodBarras2]],2,50)</f>
        <v/>
      </c>
    </row>
    <row r="3106" spans="9:9" x14ac:dyDescent="0.25">
      <c r="I3106" s="227" t="str">
        <f>MID(excPisCofins[[#This Row],[CodBarras2]],2,50)</f>
        <v/>
      </c>
    </row>
    <row r="3107" spans="9:9" x14ac:dyDescent="0.25">
      <c r="I3107" s="227" t="str">
        <f>MID(excPisCofins[[#This Row],[CodBarras2]],2,50)</f>
        <v/>
      </c>
    </row>
    <row r="3108" spans="9:9" x14ac:dyDescent="0.25">
      <c r="I3108" s="227" t="str">
        <f>MID(excPisCofins[[#This Row],[CodBarras2]],2,50)</f>
        <v/>
      </c>
    </row>
    <row r="3109" spans="9:9" x14ac:dyDescent="0.25">
      <c r="I3109" s="227" t="str">
        <f>MID(excPisCofins[[#This Row],[CodBarras2]],2,50)</f>
        <v/>
      </c>
    </row>
    <row r="3110" spans="9:9" x14ac:dyDescent="0.25">
      <c r="I3110" s="227" t="str">
        <f>MID(excPisCofins[[#This Row],[CodBarras2]],2,50)</f>
        <v/>
      </c>
    </row>
    <row r="3111" spans="9:9" x14ac:dyDescent="0.25">
      <c r="I3111" s="227" t="str">
        <f>MID(excPisCofins[[#This Row],[CodBarras2]],2,50)</f>
        <v/>
      </c>
    </row>
    <row r="3112" spans="9:9" x14ac:dyDescent="0.25">
      <c r="I3112" s="227" t="str">
        <f>MID(excPisCofins[[#This Row],[CodBarras2]],2,50)</f>
        <v/>
      </c>
    </row>
    <row r="3113" spans="9:9" x14ac:dyDescent="0.25">
      <c r="I3113" s="227" t="str">
        <f>MID(excPisCofins[[#This Row],[CodBarras2]],2,50)</f>
        <v/>
      </c>
    </row>
    <row r="3114" spans="9:9" x14ac:dyDescent="0.25">
      <c r="I3114" s="227" t="str">
        <f>MID(excPisCofins[[#This Row],[CodBarras2]],2,50)</f>
        <v/>
      </c>
    </row>
    <row r="3115" spans="9:9" x14ac:dyDescent="0.25">
      <c r="I3115" s="227" t="str">
        <f>MID(excPisCofins[[#This Row],[CodBarras2]],2,50)</f>
        <v/>
      </c>
    </row>
    <row r="3116" spans="9:9" x14ac:dyDescent="0.25">
      <c r="I3116" s="227" t="str">
        <f>MID(excPisCofins[[#This Row],[CodBarras2]],2,50)</f>
        <v/>
      </c>
    </row>
    <row r="3117" spans="9:9" x14ac:dyDescent="0.25">
      <c r="I3117" s="227" t="str">
        <f>MID(excPisCofins[[#This Row],[CodBarras2]],2,50)</f>
        <v/>
      </c>
    </row>
    <row r="3118" spans="9:9" x14ac:dyDescent="0.25">
      <c r="I3118" s="227" t="str">
        <f>MID(excPisCofins[[#This Row],[CodBarras2]],2,50)</f>
        <v/>
      </c>
    </row>
    <row r="3119" spans="9:9" x14ac:dyDescent="0.25">
      <c r="I3119" s="227" t="str">
        <f>MID(excPisCofins[[#This Row],[CodBarras2]],2,50)</f>
        <v/>
      </c>
    </row>
    <row r="3120" spans="9:9" x14ac:dyDescent="0.25">
      <c r="I3120" s="227" t="str">
        <f>MID(excPisCofins[[#This Row],[CodBarras2]],2,50)</f>
        <v/>
      </c>
    </row>
    <row r="3121" spans="9:9" x14ac:dyDescent="0.25">
      <c r="I3121" s="227" t="str">
        <f>MID(excPisCofins[[#This Row],[CodBarras2]],2,50)</f>
        <v/>
      </c>
    </row>
    <row r="3122" spans="9:9" x14ac:dyDescent="0.25">
      <c r="I3122" s="227" t="str">
        <f>MID(excPisCofins[[#This Row],[CodBarras2]],2,50)</f>
        <v/>
      </c>
    </row>
    <row r="3123" spans="9:9" x14ac:dyDescent="0.25">
      <c r="I3123" s="227" t="str">
        <f>MID(excPisCofins[[#This Row],[CodBarras2]],2,50)</f>
        <v/>
      </c>
    </row>
    <row r="3124" spans="9:9" x14ac:dyDescent="0.25">
      <c r="I3124" s="227" t="str">
        <f>MID(excPisCofins[[#This Row],[CodBarras2]],2,50)</f>
        <v/>
      </c>
    </row>
    <row r="3125" spans="9:9" x14ac:dyDescent="0.25">
      <c r="I3125" s="227" t="str">
        <f>MID(excPisCofins[[#This Row],[CodBarras2]],2,50)</f>
        <v/>
      </c>
    </row>
    <row r="3126" spans="9:9" x14ac:dyDescent="0.25">
      <c r="I3126" s="227" t="str">
        <f>MID(excPisCofins[[#This Row],[CodBarras2]],2,50)</f>
        <v/>
      </c>
    </row>
    <row r="3127" spans="9:9" x14ac:dyDescent="0.25">
      <c r="I3127" s="227" t="str">
        <f>MID(excPisCofins[[#This Row],[CodBarras2]],2,50)</f>
        <v/>
      </c>
    </row>
    <row r="3128" spans="9:9" x14ac:dyDescent="0.25">
      <c r="I3128" s="227" t="str">
        <f>MID(excPisCofins[[#This Row],[CodBarras2]],2,50)</f>
        <v/>
      </c>
    </row>
    <row r="3129" spans="9:9" x14ac:dyDescent="0.25">
      <c r="I3129" s="227" t="str">
        <f>MID(excPisCofins[[#This Row],[CodBarras2]],2,50)</f>
        <v/>
      </c>
    </row>
    <row r="3130" spans="9:9" x14ac:dyDescent="0.25">
      <c r="I3130" s="227" t="str">
        <f>MID(excPisCofins[[#This Row],[CodBarras2]],2,50)</f>
        <v/>
      </c>
    </row>
    <row r="3131" spans="9:9" x14ac:dyDescent="0.25">
      <c r="I3131" s="227" t="str">
        <f>MID(excPisCofins[[#This Row],[CodBarras2]],2,50)</f>
        <v/>
      </c>
    </row>
    <row r="3132" spans="9:9" x14ac:dyDescent="0.25">
      <c r="I3132" s="227" t="str">
        <f>MID(excPisCofins[[#This Row],[CodBarras2]],2,50)</f>
        <v/>
      </c>
    </row>
    <row r="3133" spans="9:9" x14ac:dyDescent="0.25">
      <c r="I3133" s="227" t="str">
        <f>MID(excPisCofins[[#This Row],[CodBarras2]],2,50)</f>
        <v/>
      </c>
    </row>
    <row r="3134" spans="9:9" x14ac:dyDescent="0.25">
      <c r="I3134" s="227" t="str">
        <f>MID(excPisCofins[[#This Row],[CodBarras2]],2,50)</f>
        <v/>
      </c>
    </row>
    <row r="3135" spans="9:9" x14ac:dyDescent="0.25">
      <c r="I3135" s="227" t="str">
        <f>MID(excPisCofins[[#This Row],[CodBarras2]],2,50)</f>
        <v/>
      </c>
    </row>
    <row r="3136" spans="9:9" x14ac:dyDescent="0.25">
      <c r="I3136" s="227" t="str">
        <f>MID(excPisCofins[[#This Row],[CodBarras2]],2,50)</f>
        <v/>
      </c>
    </row>
    <row r="3137" spans="9:9" x14ac:dyDescent="0.25">
      <c r="I3137" s="227" t="str">
        <f>MID(excPisCofins[[#This Row],[CodBarras2]],2,50)</f>
        <v/>
      </c>
    </row>
    <row r="3138" spans="9:9" x14ac:dyDescent="0.25">
      <c r="I3138" s="227" t="str">
        <f>MID(excPisCofins[[#This Row],[CodBarras2]],2,50)</f>
        <v/>
      </c>
    </row>
    <row r="3139" spans="9:9" x14ac:dyDescent="0.25">
      <c r="I3139" s="227" t="str">
        <f>MID(excPisCofins[[#This Row],[CodBarras2]],2,50)</f>
        <v/>
      </c>
    </row>
    <row r="3140" spans="9:9" x14ac:dyDescent="0.25">
      <c r="I3140" s="227" t="str">
        <f>MID(excPisCofins[[#This Row],[CodBarras2]],2,50)</f>
        <v/>
      </c>
    </row>
    <row r="3141" spans="9:9" x14ac:dyDescent="0.25">
      <c r="I3141" s="227" t="str">
        <f>MID(excPisCofins[[#This Row],[CodBarras2]],2,50)</f>
        <v/>
      </c>
    </row>
    <row r="3142" spans="9:9" x14ac:dyDescent="0.25">
      <c r="I3142" s="227" t="str">
        <f>MID(excPisCofins[[#This Row],[CodBarras2]],2,50)</f>
        <v/>
      </c>
    </row>
    <row r="3143" spans="9:9" x14ac:dyDescent="0.25">
      <c r="I3143" s="227" t="str">
        <f>MID(excPisCofins[[#This Row],[CodBarras2]],2,50)</f>
        <v/>
      </c>
    </row>
    <row r="3144" spans="9:9" x14ac:dyDescent="0.25">
      <c r="I3144" s="227" t="str">
        <f>MID(excPisCofins[[#This Row],[CodBarras2]],2,50)</f>
        <v/>
      </c>
    </row>
    <row r="3145" spans="9:9" x14ac:dyDescent="0.25">
      <c r="I3145" s="227" t="str">
        <f>MID(excPisCofins[[#This Row],[CodBarras2]],2,50)</f>
        <v/>
      </c>
    </row>
    <row r="3146" spans="9:9" x14ac:dyDescent="0.25">
      <c r="I3146" s="227" t="str">
        <f>MID(excPisCofins[[#This Row],[CodBarras2]],2,50)</f>
        <v/>
      </c>
    </row>
    <row r="3147" spans="9:9" x14ac:dyDescent="0.25">
      <c r="I3147" s="227" t="str">
        <f>MID(excPisCofins[[#This Row],[CodBarras2]],2,50)</f>
        <v/>
      </c>
    </row>
    <row r="3148" spans="9:9" x14ac:dyDescent="0.25">
      <c r="I3148" s="227" t="str">
        <f>MID(excPisCofins[[#This Row],[CodBarras2]],2,50)</f>
        <v/>
      </c>
    </row>
    <row r="3149" spans="9:9" x14ac:dyDescent="0.25">
      <c r="I3149" s="227" t="str">
        <f>MID(excPisCofins[[#This Row],[CodBarras2]],2,50)</f>
        <v/>
      </c>
    </row>
    <row r="3150" spans="9:9" x14ac:dyDescent="0.25">
      <c r="I3150" s="227" t="str">
        <f>MID(excPisCofins[[#This Row],[CodBarras2]],2,50)</f>
        <v/>
      </c>
    </row>
    <row r="3151" spans="9:9" x14ac:dyDescent="0.25">
      <c r="I3151" s="227" t="str">
        <f>MID(excPisCofins[[#This Row],[CodBarras2]],2,50)</f>
        <v/>
      </c>
    </row>
    <row r="3152" spans="9:9" x14ac:dyDescent="0.25">
      <c r="I3152" s="227" t="str">
        <f>MID(excPisCofins[[#This Row],[CodBarras2]],2,50)</f>
        <v/>
      </c>
    </row>
    <row r="3153" spans="9:9" x14ac:dyDescent="0.25">
      <c r="I3153" s="227" t="str">
        <f>MID(excPisCofins[[#This Row],[CodBarras2]],2,50)</f>
        <v/>
      </c>
    </row>
    <row r="3154" spans="9:9" x14ac:dyDescent="0.25">
      <c r="I3154" s="227" t="str">
        <f>MID(excPisCofins[[#This Row],[CodBarras2]],2,50)</f>
        <v/>
      </c>
    </row>
    <row r="3155" spans="9:9" x14ac:dyDescent="0.25">
      <c r="I3155" s="227" t="str">
        <f>MID(excPisCofins[[#This Row],[CodBarras2]],2,50)</f>
        <v/>
      </c>
    </row>
    <row r="3156" spans="9:9" x14ac:dyDescent="0.25">
      <c r="I3156" s="227" t="str">
        <f>MID(excPisCofins[[#This Row],[CodBarras2]],2,50)</f>
        <v/>
      </c>
    </row>
    <row r="3157" spans="9:9" x14ac:dyDescent="0.25">
      <c r="I3157" s="227" t="str">
        <f>MID(excPisCofins[[#This Row],[CodBarras2]],2,50)</f>
        <v/>
      </c>
    </row>
    <row r="3158" spans="9:9" x14ac:dyDescent="0.25">
      <c r="I3158" s="227" t="str">
        <f>MID(excPisCofins[[#This Row],[CodBarras2]],2,50)</f>
        <v/>
      </c>
    </row>
    <row r="3159" spans="9:9" x14ac:dyDescent="0.25">
      <c r="I3159" s="227" t="str">
        <f>MID(excPisCofins[[#This Row],[CodBarras2]],2,50)</f>
        <v/>
      </c>
    </row>
    <row r="3160" spans="9:9" x14ac:dyDescent="0.25">
      <c r="I3160" s="227" t="str">
        <f>MID(excPisCofins[[#This Row],[CodBarras2]],2,50)</f>
        <v/>
      </c>
    </row>
    <row r="3161" spans="9:9" x14ac:dyDescent="0.25">
      <c r="I3161" s="227" t="str">
        <f>MID(excPisCofins[[#This Row],[CodBarras2]],2,50)</f>
        <v/>
      </c>
    </row>
    <row r="3162" spans="9:9" x14ac:dyDescent="0.25">
      <c r="I3162" s="227" t="str">
        <f>MID(excPisCofins[[#This Row],[CodBarras2]],2,50)</f>
        <v/>
      </c>
    </row>
    <row r="3163" spans="9:9" x14ac:dyDescent="0.25">
      <c r="I3163" s="227" t="str">
        <f>MID(excPisCofins[[#This Row],[CodBarras2]],2,50)</f>
        <v/>
      </c>
    </row>
    <row r="3164" spans="9:9" x14ac:dyDescent="0.25">
      <c r="I3164" s="227" t="str">
        <f>MID(excPisCofins[[#This Row],[CodBarras2]],2,50)</f>
        <v/>
      </c>
    </row>
    <row r="3165" spans="9:9" x14ac:dyDescent="0.25">
      <c r="I3165" s="227" t="str">
        <f>MID(excPisCofins[[#This Row],[CodBarras2]],2,50)</f>
        <v/>
      </c>
    </row>
    <row r="3166" spans="9:9" x14ac:dyDescent="0.25">
      <c r="I3166" s="227" t="str">
        <f>MID(excPisCofins[[#This Row],[CodBarras2]],2,50)</f>
        <v/>
      </c>
    </row>
    <row r="3167" spans="9:9" x14ac:dyDescent="0.25">
      <c r="I3167" s="227" t="str">
        <f>MID(excPisCofins[[#This Row],[CodBarras2]],2,50)</f>
        <v/>
      </c>
    </row>
    <row r="3168" spans="9:9" x14ac:dyDescent="0.25">
      <c r="I3168" s="227" t="str">
        <f>MID(excPisCofins[[#This Row],[CodBarras2]],2,50)</f>
        <v/>
      </c>
    </row>
    <row r="3169" spans="9:9" x14ac:dyDescent="0.25">
      <c r="I3169" s="227" t="str">
        <f>MID(excPisCofins[[#This Row],[CodBarras2]],2,50)</f>
        <v/>
      </c>
    </row>
    <row r="3170" spans="9:9" x14ac:dyDescent="0.25">
      <c r="I3170" s="227" t="str">
        <f>MID(excPisCofins[[#This Row],[CodBarras2]],2,50)</f>
        <v/>
      </c>
    </row>
    <row r="3171" spans="9:9" x14ac:dyDescent="0.25">
      <c r="I3171" s="227" t="str">
        <f>MID(excPisCofins[[#This Row],[CodBarras2]],2,50)</f>
        <v/>
      </c>
    </row>
    <row r="3172" spans="9:9" x14ac:dyDescent="0.25">
      <c r="I3172" s="227" t="str">
        <f>MID(excPisCofins[[#This Row],[CodBarras2]],2,50)</f>
        <v/>
      </c>
    </row>
    <row r="3173" spans="9:9" x14ac:dyDescent="0.25">
      <c r="I3173" s="227" t="str">
        <f>MID(excPisCofins[[#This Row],[CodBarras2]],2,50)</f>
        <v/>
      </c>
    </row>
    <row r="3174" spans="9:9" x14ac:dyDescent="0.25">
      <c r="I3174" s="227" t="str">
        <f>MID(excPisCofins[[#This Row],[CodBarras2]],2,50)</f>
        <v/>
      </c>
    </row>
    <row r="3175" spans="9:9" x14ac:dyDescent="0.25">
      <c r="I3175" s="227" t="str">
        <f>MID(excPisCofins[[#This Row],[CodBarras2]],2,50)</f>
        <v/>
      </c>
    </row>
    <row r="3176" spans="9:9" x14ac:dyDescent="0.25">
      <c r="I3176" s="227" t="str">
        <f>MID(excPisCofins[[#This Row],[CodBarras2]],2,50)</f>
        <v/>
      </c>
    </row>
    <row r="3177" spans="9:9" x14ac:dyDescent="0.25">
      <c r="I3177" s="227" t="str">
        <f>MID(excPisCofins[[#This Row],[CodBarras2]],2,50)</f>
        <v/>
      </c>
    </row>
    <row r="3178" spans="9:9" x14ac:dyDescent="0.25">
      <c r="I3178" s="227" t="str">
        <f>MID(excPisCofins[[#This Row],[CodBarras2]],2,50)</f>
        <v/>
      </c>
    </row>
    <row r="3179" spans="9:9" x14ac:dyDescent="0.25">
      <c r="I3179" s="227" t="str">
        <f>MID(excPisCofins[[#This Row],[CodBarras2]],2,50)</f>
        <v/>
      </c>
    </row>
    <row r="3180" spans="9:9" x14ac:dyDescent="0.25">
      <c r="I3180" s="227" t="str">
        <f>MID(excPisCofins[[#This Row],[CodBarras2]],2,50)</f>
        <v/>
      </c>
    </row>
    <row r="3181" spans="9:9" x14ac:dyDescent="0.25">
      <c r="I3181" s="227" t="str">
        <f>MID(excPisCofins[[#This Row],[CodBarras2]],2,50)</f>
        <v/>
      </c>
    </row>
    <row r="3182" spans="9:9" x14ac:dyDescent="0.25">
      <c r="I3182" s="227" t="str">
        <f>MID(excPisCofins[[#This Row],[CodBarras2]],2,50)</f>
        <v/>
      </c>
    </row>
    <row r="3183" spans="9:9" x14ac:dyDescent="0.25">
      <c r="I3183" s="227" t="str">
        <f>MID(excPisCofins[[#This Row],[CodBarras2]],2,50)</f>
        <v/>
      </c>
    </row>
    <row r="3184" spans="9:9" x14ac:dyDescent="0.25">
      <c r="I3184" s="227" t="str">
        <f>MID(excPisCofins[[#This Row],[CodBarras2]],2,50)</f>
        <v/>
      </c>
    </row>
    <row r="3185" spans="9:9" x14ac:dyDescent="0.25">
      <c r="I3185" s="227" t="str">
        <f>MID(excPisCofins[[#This Row],[CodBarras2]],2,50)</f>
        <v/>
      </c>
    </row>
    <row r="3186" spans="9:9" x14ac:dyDescent="0.25">
      <c r="I3186" s="227" t="str">
        <f>MID(excPisCofins[[#This Row],[CodBarras2]],2,50)</f>
        <v/>
      </c>
    </row>
    <row r="3187" spans="9:9" x14ac:dyDescent="0.25">
      <c r="I3187" s="227" t="str">
        <f>MID(excPisCofins[[#This Row],[CodBarras2]],2,50)</f>
        <v/>
      </c>
    </row>
    <row r="3188" spans="9:9" x14ac:dyDescent="0.25">
      <c r="I3188" s="227" t="str">
        <f>MID(excPisCofins[[#This Row],[CodBarras2]],2,50)</f>
        <v/>
      </c>
    </row>
    <row r="3189" spans="9:9" x14ac:dyDescent="0.25">
      <c r="I3189" s="227" t="str">
        <f>MID(excPisCofins[[#This Row],[CodBarras2]],2,50)</f>
        <v/>
      </c>
    </row>
    <row r="3190" spans="9:9" x14ac:dyDescent="0.25">
      <c r="I3190" s="227" t="str">
        <f>MID(excPisCofins[[#This Row],[CodBarras2]],2,50)</f>
        <v/>
      </c>
    </row>
    <row r="3191" spans="9:9" x14ac:dyDescent="0.25">
      <c r="I3191" s="227" t="str">
        <f>MID(excPisCofins[[#This Row],[CodBarras2]],2,50)</f>
        <v/>
      </c>
    </row>
    <row r="3192" spans="9:9" x14ac:dyDescent="0.25">
      <c r="I3192" s="227" t="str">
        <f>MID(excPisCofins[[#This Row],[CodBarras2]],2,50)</f>
        <v/>
      </c>
    </row>
    <row r="3193" spans="9:9" x14ac:dyDescent="0.25">
      <c r="I3193" s="227" t="str">
        <f>MID(excPisCofins[[#This Row],[CodBarras2]],2,50)</f>
        <v/>
      </c>
    </row>
    <row r="3194" spans="9:9" x14ac:dyDescent="0.25">
      <c r="I3194" s="227" t="str">
        <f>MID(excPisCofins[[#This Row],[CodBarras2]],2,50)</f>
        <v/>
      </c>
    </row>
    <row r="3195" spans="9:9" x14ac:dyDescent="0.25">
      <c r="I3195" s="227" t="str">
        <f>MID(excPisCofins[[#This Row],[CodBarras2]],2,50)</f>
        <v/>
      </c>
    </row>
    <row r="3196" spans="9:9" x14ac:dyDescent="0.25">
      <c r="I3196" s="227" t="str">
        <f>MID(excPisCofins[[#This Row],[CodBarras2]],2,50)</f>
        <v/>
      </c>
    </row>
    <row r="3197" spans="9:9" x14ac:dyDescent="0.25">
      <c r="I3197" s="227" t="str">
        <f>MID(excPisCofins[[#This Row],[CodBarras2]],2,50)</f>
        <v/>
      </c>
    </row>
    <row r="3198" spans="9:9" x14ac:dyDescent="0.25">
      <c r="I3198" s="227" t="str">
        <f>MID(excPisCofins[[#This Row],[CodBarras2]],2,50)</f>
        <v/>
      </c>
    </row>
    <row r="3199" spans="9:9" x14ac:dyDescent="0.25">
      <c r="I3199" s="227" t="str">
        <f>MID(excPisCofins[[#This Row],[CodBarras2]],2,50)</f>
        <v/>
      </c>
    </row>
    <row r="3200" spans="9:9" x14ac:dyDescent="0.25">
      <c r="I3200" s="227" t="str">
        <f>MID(excPisCofins[[#This Row],[CodBarras2]],2,50)</f>
        <v/>
      </c>
    </row>
    <row r="3201" spans="9:9" x14ac:dyDescent="0.25">
      <c r="I3201" s="227" t="str">
        <f>MID(excPisCofins[[#This Row],[CodBarras2]],2,50)</f>
        <v/>
      </c>
    </row>
    <row r="3202" spans="9:9" x14ac:dyDescent="0.25">
      <c r="I3202" s="227" t="str">
        <f>MID(excPisCofins[[#This Row],[CodBarras2]],2,50)</f>
        <v/>
      </c>
    </row>
    <row r="3203" spans="9:9" x14ac:dyDescent="0.25">
      <c r="I3203" s="227" t="str">
        <f>MID(excPisCofins[[#This Row],[CodBarras2]],2,50)</f>
        <v/>
      </c>
    </row>
    <row r="3204" spans="9:9" x14ac:dyDescent="0.25">
      <c r="I3204" s="227" t="str">
        <f>MID(excPisCofins[[#This Row],[CodBarras2]],2,50)</f>
        <v/>
      </c>
    </row>
    <row r="3205" spans="9:9" x14ac:dyDescent="0.25">
      <c r="I3205" s="227" t="str">
        <f>MID(excPisCofins[[#This Row],[CodBarras2]],2,50)</f>
        <v/>
      </c>
    </row>
    <row r="3206" spans="9:9" x14ac:dyDescent="0.25">
      <c r="I3206" s="227" t="str">
        <f>MID(excPisCofins[[#This Row],[CodBarras2]],2,50)</f>
        <v/>
      </c>
    </row>
    <row r="3207" spans="9:9" x14ac:dyDescent="0.25">
      <c r="I3207" s="227" t="str">
        <f>MID(excPisCofins[[#This Row],[CodBarras2]],2,50)</f>
        <v/>
      </c>
    </row>
    <row r="3208" spans="9:9" x14ac:dyDescent="0.25">
      <c r="I3208" s="227" t="str">
        <f>MID(excPisCofins[[#This Row],[CodBarras2]],2,50)</f>
        <v/>
      </c>
    </row>
    <row r="3209" spans="9:9" x14ac:dyDescent="0.25">
      <c r="I3209" s="227" t="str">
        <f>MID(excPisCofins[[#This Row],[CodBarras2]],2,50)</f>
        <v/>
      </c>
    </row>
    <row r="3210" spans="9:9" x14ac:dyDescent="0.25">
      <c r="I3210" s="227" t="str">
        <f>MID(excPisCofins[[#This Row],[CodBarras2]],2,50)</f>
        <v/>
      </c>
    </row>
    <row r="3211" spans="9:9" x14ac:dyDescent="0.25">
      <c r="I3211" s="227" t="str">
        <f>MID(excPisCofins[[#This Row],[CodBarras2]],2,50)</f>
        <v/>
      </c>
    </row>
    <row r="3212" spans="9:9" x14ac:dyDescent="0.25">
      <c r="I3212" s="227" t="str">
        <f>MID(excPisCofins[[#This Row],[CodBarras2]],2,50)</f>
        <v/>
      </c>
    </row>
    <row r="3213" spans="9:9" x14ac:dyDescent="0.25">
      <c r="I3213" s="227" t="str">
        <f>MID(excPisCofins[[#This Row],[CodBarras2]],2,50)</f>
        <v/>
      </c>
    </row>
    <row r="3214" spans="9:9" x14ac:dyDescent="0.25">
      <c r="I3214" s="227" t="str">
        <f>MID(excPisCofins[[#This Row],[CodBarras2]],2,50)</f>
        <v/>
      </c>
    </row>
    <row r="3215" spans="9:9" x14ac:dyDescent="0.25">
      <c r="I3215" s="227" t="str">
        <f>MID(excPisCofins[[#This Row],[CodBarras2]],2,50)</f>
        <v/>
      </c>
    </row>
    <row r="3216" spans="9:9" x14ac:dyDescent="0.25">
      <c r="I3216" s="227" t="str">
        <f>MID(excPisCofins[[#This Row],[CodBarras2]],2,50)</f>
        <v/>
      </c>
    </row>
    <row r="3217" spans="9:9" x14ac:dyDescent="0.25">
      <c r="I3217" s="227" t="str">
        <f>MID(excPisCofins[[#This Row],[CodBarras2]],2,50)</f>
        <v/>
      </c>
    </row>
    <row r="3218" spans="9:9" x14ac:dyDescent="0.25">
      <c r="I3218" s="227" t="str">
        <f>MID(excPisCofins[[#This Row],[CodBarras2]],2,50)</f>
        <v/>
      </c>
    </row>
    <row r="3219" spans="9:9" x14ac:dyDescent="0.25">
      <c r="I3219" s="227" t="str">
        <f>MID(excPisCofins[[#This Row],[CodBarras2]],2,50)</f>
        <v/>
      </c>
    </row>
    <row r="3220" spans="9:9" x14ac:dyDescent="0.25">
      <c r="I3220" s="227" t="str">
        <f>MID(excPisCofins[[#This Row],[CodBarras2]],2,50)</f>
        <v/>
      </c>
    </row>
    <row r="3221" spans="9:9" x14ac:dyDescent="0.25">
      <c r="I3221" s="227" t="str">
        <f>MID(excPisCofins[[#This Row],[CodBarras2]],2,50)</f>
        <v/>
      </c>
    </row>
    <row r="3222" spans="9:9" x14ac:dyDescent="0.25">
      <c r="I3222" s="227" t="str">
        <f>MID(excPisCofins[[#This Row],[CodBarras2]],2,50)</f>
        <v/>
      </c>
    </row>
    <row r="3223" spans="9:9" x14ac:dyDescent="0.25">
      <c r="I3223" s="227" t="str">
        <f>MID(excPisCofins[[#This Row],[CodBarras2]],2,50)</f>
        <v/>
      </c>
    </row>
    <row r="3224" spans="9:9" x14ac:dyDescent="0.25">
      <c r="I3224" s="227" t="str">
        <f>MID(excPisCofins[[#This Row],[CodBarras2]],2,50)</f>
        <v/>
      </c>
    </row>
    <row r="3225" spans="9:9" x14ac:dyDescent="0.25">
      <c r="I3225" s="227" t="str">
        <f>MID(excPisCofins[[#This Row],[CodBarras2]],2,50)</f>
        <v/>
      </c>
    </row>
    <row r="3226" spans="9:9" x14ac:dyDescent="0.25">
      <c r="I3226" s="227" t="str">
        <f>MID(excPisCofins[[#This Row],[CodBarras2]],2,50)</f>
        <v/>
      </c>
    </row>
    <row r="3227" spans="9:9" x14ac:dyDescent="0.25">
      <c r="I3227" s="227" t="str">
        <f>MID(excPisCofins[[#This Row],[CodBarras2]],2,50)</f>
        <v/>
      </c>
    </row>
    <row r="3228" spans="9:9" x14ac:dyDescent="0.25">
      <c r="I3228" s="227" t="str">
        <f>MID(excPisCofins[[#This Row],[CodBarras2]],2,50)</f>
        <v/>
      </c>
    </row>
    <row r="3229" spans="9:9" x14ac:dyDescent="0.25">
      <c r="I3229" s="227" t="str">
        <f>MID(excPisCofins[[#This Row],[CodBarras2]],2,50)</f>
        <v/>
      </c>
    </row>
    <row r="3230" spans="9:9" x14ac:dyDescent="0.25">
      <c r="I3230" s="227" t="str">
        <f>MID(excPisCofins[[#This Row],[CodBarras2]],2,50)</f>
        <v/>
      </c>
    </row>
    <row r="3231" spans="9:9" x14ac:dyDescent="0.25">
      <c r="I3231" s="227" t="str">
        <f>MID(excPisCofins[[#This Row],[CodBarras2]],2,50)</f>
        <v/>
      </c>
    </row>
    <row r="3232" spans="9:9" x14ac:dyDescent="0.25">
      <c r="I3232" s="227" t="str">
        <f>MID(excPisCofins[[#This Row],[CodBarras2]],2,50)</f>
        <v/>
      </c>
    </row>
    <row r="3233" spans="9:9" x14ac:dyDescent="0.25">
      <c r="I3233" s="227" t="str">
        <f>MID(excPisCofins[[#This Row],[CodBarras2]],2,50)</f>
        <v/>
      </c>
    </row>
    <row r="3234" spans="9:9" x14ac:dyDescent="0.25">
      <c r="I3234" s="227" t="str">
        <f>MID(excPisCofins[[#This Row],[CodBarras2]],2,50)</f>
        <v/>
      </c>
    </row>
    <row r="3235" spans="9:9" x14ac:dyDescent="0.25">
      <c r="I3235" s="227" t="str">
        <f>MID(excPisCofins[[#This Row],[CodBarras2]],2,50)</f>
        <v/>
      </c>
    </row>
    <row r="3236" spans="9:9" x14ac:dyDescent="0.25">
      <c r="I3236" s="227" t="str">
        <f>MID(excPisCofins[[#This Row],[CodBarras2]],2,50)</f>
        <v/>
      </c>
    </row>
    <row r="3237" spans="9:9" x14ac:dyDescent="0.25">
      <c r="I3237" s="227" t="str">
        <f>MID(excPisCofins[[#This Row],[CodBarras2]],2,50)</f>
        <v/>
      </c>
    </row>
    <row r="3238" spans="9:9" x14ac:dyDescent="0.25">
      <c r="I3238" s="227" t="str">
        <f>MID(excPisCofins[[#This Row],[CodBarras2]],2,50)</f>
        <v/>
      </c>
    </row>
    <row r="3239" spans="9:9" x14ac:dyDescent="0.25">
      <c r="I3239" s="227" t="str">
        <f>MID(excPisCofins[[#This Row],[CodBarras2]],2,50)</f>
        <v/>
      </c>
    </row>
    <row r="3240" spans="9:9" x14ac:dyDescent="0.25">
      <c r="I3240" s="227" t="str">
        <f>MID(excPisCofins[[#This Row],[CodBarras2]],2,50)</f>
        <v/>
      </c>
    </row>
    <row r="3241" spans="9:9" x14ac:dyDescent="0.25">
      <c r="I3241" s="227" t="str">
        <f>MID(excPisCofins[[#This Row],[CodBarras2]],2,50)</f>
        <v/>
      </c>
    </row>
    <row r="3242" spans="9:9" x14ac:dyDescent="0.25">
      <c r="I3242" s="227" t="str">
        <f>MID(excPisCofins[[#This Row],[CodBarras2]],2,50)</f>
        <v/>
      </c>
    </row>
    <row r="3243" spans="9:9" x14ac:dyDescent="0.25">
      <c r="I3243" s="227" t="str">
        <f>MID(excPisCofins[[#This Row],[CodBarras2]],2,50)</f>
        <v/>
      </c>
    </row>
    <row r="3244" spans="9:9" x14ac:dyDescent="0.25">
      <c r="I3244" s="227" t="str">
        <f>MID(excPisCofins[[#This Row],[CodBarras2]],2,50)</f>
        <v/>
      </c>
    </row>
    <row r="3245" spans="9:9" x14ac:dyDescent="0.25">
      <c r="I3245" s="227" t="str">
        <f>MID(excPisCofins[[#This Row],[CodBarras2]],2,50)</f>
        <v/>
      </c>
    </row>
    <row r="3246" spans="9:9" x14ac:dyDescent="0.25">
      <c r="I3246" s="227" t="str">
        <f>MID(excPisCofins[[#This Row],[CodBarras2]],2,50)</f>
        <v/>
      </c>
    </row>
    <row r="3247" spans="9:9" x14ac:dyDescent="0.25">
      <c r="I3247" s="227" t="str">
        <f>MID(excPisCofins[[#This Row],[CodBarras2]],2,50)</f>
        <v/>
      </c>
    </row>
    <row r="3248" spans="9:9" x14ac:dyDescent="0.25">
      <c r="I3248" s="227" t="str">
        <f>MID(excPisCofins[[#This Row],[CodBarras2]],2,50)</f>
        <v/>
      </c>
    </row>
    <row r="3249" spans="9:9" x14ac:dyDescent="0.25">
      <c r="I3249" s="227" t="str">
        <f>MID(excPisCofins[[#This Row],[CodBarras2]],2,50)</f>
        <v/>
      </c>
    </row>
    <row r="3250" spans="9:9" x14ac:dyDescent="0.25">
      <c r="I3250" s="227" t="str">
        <f>MID(excPisCofins[[#This Row],[CodBarras2]],2,50)</f>
        <v/>
      </c>
    </row>
    <row r="3251" spans="9:9" x14ac:dyDescent="0.25">
      <c r="I3251" s="227" t="str">
        <f>MID(excPisCofins[[#This Row],[CodBarras2]],2,50)</f>
        <v/>
      </c>
    </row>
    <row r="3252" spans="9:9" x14ac:dyDescent="0.25">
      <c r="I3252" s="227" t="str">
        <f>MID(excPisCofins[[#This Row],[CodBarras2]],2,50)</f>
        <v/>
      </c>
    </row>
    <row r="3253" spans="9:9" x14ac:dyDescent="0.25">
      <c r="I3253" s="227" t="str">
        <f>MID(excPisCofins[[#This Row],[CodBarras2]],2,50)</f>
        <v/>
      </c>
    </row>
    <row r="3254" spans="9:9" x14ac:dyDescent="0.25">
      <c r="I3254" s="227" t="str">
        <f>MID(excPisCofins[[#This Row],[CodBarras2]],2,50)</f>
        <v/>
      </c>
    </row>
    <row r="3255" spans="9:9" x14ac:dyDescent="0.25">
      <c r="I3255" s="227" t="str">
        <f>MID(excPisCofins[[#This Row],[CodBarras2]],2,50)</f>
        <v/>
      </c>
    </row>
    <row r="3256" spans="9:9" x14ac:dyDescent="0.25">
      <c r="I3256" s="227" t="str">
        <f>MID(excPisCofins[[#This Row],[CodBarras2]],2,50)</f>
        <v/>
      </c>
    </row>
    <row r="3257" spans="9:9" x14ac:dyDescent="0.25">
      <c r="I3257" s="227" t="str">
        <f>MID(excPisCofins[[#This Row],[CodBarras2]],2,50)</f>
        <v/>
      </c>
    </row>
    <row r="3258" spans="9:9" x14ac:dyDescent="0.25">
      <c r="I3258" s="227" t="str">
        <f>MID(excPisCofins[[#This Row],[CodBarras2]],2,50)</f>
        <v/>
      </c>
    </row>
    <row r="3259" spans="9:9" x14ac:dyDescent="0.25">
      <c r="I3259" s="227" t="str">
        <f>MID(excPisCofins[[#This Row],[CodBarras2]],2,50)</f>
        <v/>
      </c>
    </row>
    <row r="3260" spans="9:9" x14ac:dyDescent="0.25">
      <c r="I3260" s="227" t="str">
        <f>MID(excPisCofins[[#This Row],[CodBarras2]],2,50)</f>
        <v/>
      </c>
    </row>
    <row r="3261" spans="9:9" x14ac:dyDescent="0.25">
      <c r="I3261" s="227" t="str">
        <f>MID(excPisCofins[[#This Row],[CodBarras2]],2,50)</f>
        <v/>
      </c>
    </row>
    <row r="3262" spans="9:9" x14ac:dyDescent="0.25">
      <c r="I3262" s="227" t="str">
        <f>MID(excPisCofins[[#This Row],[CodBarras2]],2,50)</f>
        <v/>
      </c>
    </row>
    <row r="3263" spans="9:9" x14ac:dyDescent="0.25">
      <c r="I3263" s="227" t="str">
        <f>MID(excPisCofins[[#This Row],[CodBarras2]],2,50)</f>
        <v/>
      </c>
    </row>
    <row r="3264" spans="9:9" x14ac:dyDescent="0.25">
      <c r="I3264" s="227" t="str">
        <f>MID(excPisCofins[[#This Row],[CodBarras2]],2,50)</f>
        <v/>
      </c>
    </row>
    <row r="3265" spans="9:9" x14ac:dyDescent="0.25">
      <c r="I3265" s="227" t="str">
        <f>MID(excPisCofins[[#This Row],[CodBarras2]],2,50)</f>
        <v/>
      </c>
    </row>
    <row r="3266" spans="9:9" x14ac:dyDescent="0.25">
      <c r="I3266" s="227" t="str">
        <f>MID(excPisCofins[[#This Row],[CodBarras2]],2,50)</f>
        <v/>
      </c>
    </row>
    <row r="3267" spans="9:9" x14ac:dyDescent="0.25">
      <c r="I3267" s="227" t="str">
        <f>MID(excPisCofins[[#This Row],[CodBarras2]],2,50)</f>
        <v/>
      </c>
    </row>
    <row r="3268" spans="9:9" x14ac:dyDescent="0.25">
      <c r="I3268" s="227" t="str">
        <f>MID(excPisCofins[[#This Row],[CodBarras2]],2,50)</f>
        <v/>
      </c>
    </row>
    <row r="3269" spans="9:9" x14ac:dyDescent="0.25">
      <c r="I3269" s="227" t="str">
        <f>MID(excPisCofins[[#This Row],[CodBarras2]],2,50)</f>
        <v/>
      </c>
    </row>
    <row r="3270" spans="9:9" x14ac:dyDescent="0.25">
      <c r="I3270" s="227" t="str">
        <f>MID(excPisCofins[[#This Row],[CodBarras2]],2,50)</f>
        <v/>
      </c>
    </row>
    <row r="3271" spans="9:9" x14ac:dyDescent="0.25">
      <c r="I3271" s="227" t="str">
        <f>MID(excPisCofins[[#This Row],[CodBarras2]],2,50)</f>
        <v/>
      </c>
    </row>
    <row r="3272" spans="9:9" x14ac:dyDescent="0.25">
      <c r="I3272" s="227" t="str">
        <f>MID(excPisCofins[[#This Row],[CodBarras2]],2,50)</f>
        <v/>
      </c>
    </row>
    <row r="3273" spans="9:9" x14ac:dyDescent="0.25">
      <c r="I3273" s="227" t="str">
        <f>MID(excPisCofins[[#This Row],[CodBarras2]],2,50)</f>
        <v/>
      </c>
    </row>
    <row r="3274" spans="9:9" x14ac:dyDescent="0.25">
      <c r="I3274" s="227" t="str">
        <f>MID(excPisCofins[[#This Row],[CodBarras2]],2,50)</f>
        <v/>
      </c>
    </row>
    <row r="3275" spans="9:9" x14ac:dyDescent="0.25">
      <c r="I3275" s="227" t="str">
        <f>MID(excPisCofins[[#This Row],[CodBarras2]],2,50)</f>
        <v/>
      </c>
    </row>
    <row r="3276" spans="9:9" x14ac:dyDescent="0.25">
      <c r="I3276" s="227" t="str">
        <f>MID(excPisCofins[[#This Row],[CodBarras2]],2,50)</f>
        <v/>
      </c>
    </row>
    <row r="3277" spans="9:9" x14ac:dyDescent="0.25">
      <c r="I3277" s="227" t="str">
        <f>MID(excPisCofins[[#This Row],[CodBarras2]],2,50)</f>
        <v/>
      </c>
    </row>
    <row r="3278" spans="9:9" x14ac:dyDescent="0.25">
      <c r="I3278" s="227" t="str">
        <f>MID(excPisCofins[[#This Row],[CodBarras2]],2,50)</f>
        <v/>
      </c>
    </row>
    <row r="3279" spans="9:9" x14ac:dyDescent="0.25">
      <c r="I3279" s="227" t="str">
        <f>MID(excPisCofins[[#This Row],[CodBarras2]],2,50)</f>
        <v/>
      </c>
    </row>
    <row r="3280" spans="9:9" x14ac:dyDescent="0.25">
      <c r="I3280" s="227" t="str">
        <f>MID(excPisCofins[[#This Row],[CodBarras2]],2,50)</f>
        <v/>
      </c>
    </row>
    <row r="3281" spans="9:9" x14ac:dyDescent="0.25">
      <c r="I3281" s="227" t="str">
        <f>MID(excPisCofins[[#This Row],[CodBarras2]],2,50)</f>
        <v/>
      </c>
    </row>
    <row r="3282" spans="9:9" x14ac:dyDescent="0.25">
      <c r="I3282" s="227" t="str">
        <f>MID(excPisCofins[[#This Row],[CodBarras2]],2,50)</f>
        <v/>
      </c>
    </row>
    <row r="3283" spans="9:9" x14ac:dyDescent="0.25">
      <c r="I3283" s="227" t="str">
        <f>MID(excPisCofins[[#This Row],[CodBarras2]],2,50)</f>
        <v/>
      </c>
    </row>
    <row r="3284" spans="9:9" x14ac:dyDescent="0.25">
      <c r="I3284" s="227" t="str">
        <f>MID(excPisCofins[[#This Row],[CodBarras2]],2,50)</f>
        <v/>
      </c>
    </row>
    <row r="3285" spans="9:9" x14ac:dyDescent="0.25">
      <c r="I3285" s="227" t="str">
        <f>MID(excPisCofins[[#This Row],[CodBarras2]],2,50)</f>
        <v/>
      </c>
    </row>
    <row r="3286" spans="9:9" x14ac:dyDescent="0.25">
      <c r="I3286" s="227" t="str">
        <f>MID(excPisCofins[[#This Row],[CodBarras2]],2,50)</f>
        <v/>
      </c>
    </row>
    <row r="3287" spans="9:9" x14ac:dyDescent="0.25">
      <c r="I3287" s="227" t="str">
        <f>MID(excPisCofins[[#This Row],[CodBarras2]],2,50)</f>
        <v/>
      </c>
    </row>
    <row r="3288" spans="9:9" x14ac:dyDescent="0.25">
      <c r="I3288" s="227" t="str">
        <f>MID(excPisCofins[[#This Row],[CodBarras2]],2,50)</f>
        <v/>
      </c>
    </row>
    <row r="3289" spans="9:9" x14ac:dyDescent="0.25">
      <c r="I3289" s="227" t="str">
        <f>MID(excPisCofins[[#This Row],[CodBarras2]],2,50)</f>
        <v/>
      </c>
    </row>
    <row r="3290" spans="9:9" x14ac:dyDescent="0.25">
      <c r="I3290" s="227" t="str">
        <f>MID(excPisCofins[[#This Row],[CodBarras2]],2,50)</f>
        <v/>
      </c>
    </row>
    <row r="3291" spans="9:9" x14ac:dyDescent="0.25">
      <c r="I3291" s="227" t="str">
        <f>MID(excPisCofins[[#This Row],[CodBarras2]],2,50)</f>
        <v/>
      </c>
    </row>
    <row r="3292" spans="9:9" x14ac:dyDescent="0.25">
      <c r="I3292" s="227" t="str">
        <f>MID(excPisCofins[[#This Row],[CodBarras2]],2,50)</f>
        <v/>
      </c>
    </row>
    <row r="3293" spans="9:9" x14ac:dyDescent="0.25">
      <c r="I3293" s="227" t="str">
        <f>MID(excPisCofins[[#This Row],[CodBarras2]],2,50)</f>
        <v/>
      </c>
    </row>
    <row r="3294" spans="9:9" x14ac:dyDescent="0.25">
      <c r="I3294" s="227" t="str">
        <f>MID(excPisCofins[[#This Row],[CodBarras2]],2,50)</f>
        <v/>
      </c>
    </row>
    <row r="3295" spans="9:9" x14ac:dyDescent="0.25">
      <c r="I3295" s="227" t="str">
        <f>MID(excPisCofins[[#This Row],[CodBarras2]],2,50)</f>
        <v/>
      </c>
    </row>
    <row r="3296" spans="9:9" x14ac:dyDescent="0.25">
      <c r="I3296" s="227" t="str">
        <f>MID(excPisCofins[[#This Row],[CodBarras2]],2,50)</f>
        <v/>
      </c>
    </row>
    <row r="3297" spans="9:9" x14ac:dyDescent="0.25">
      <c r="I3297" s="227" t="str">
        <f>MID(excPisCofins[[#This Row],[CodBarras2]],2,50)</f>
        <v/>
      </c>
    </row>
    <row r="3298" spans="9:9" x14ac:dyDescent="0.25">
      <c r="I3298" s="227" t="str">
        <f>MID(excPisCofins[[#This Row],[CodBarras2]],2,50)</f>
        <v/>
      </c>
    </row>
    <row r="3299" spans="9:9" x14ac:dyDescent="0.25">
      <c r="I3299" s="227" t="str">
        <f>MID(excPisCofins[[#This Row],[CodBarras2]],2,50)</f>
        <v/>
      </c>
    </row>
    <row r="3300" spans="9:9" x14ac:dyDescent="0.25">
      <c r="I3300" s="227" t="str">
        <f>MID(excPisCofins[[#This Row],[CodBarras2]],2,50)</f>
        <v/>
      </c>
    </row>
    <row r="3301" spans="9:9" x14ac:dyDescent="0.25">
      <c r="I3301" s="227" t="str">
        <f>MID(excPisCofins[[#This Row],[CodBarras2]],2,50)</f>
        <v/>
      </c>
    </row>
    <row r="3302" spans="9:9" x14ac:dyDescent="0.25">
      <c r="I3302" s="227" t="str">
        <f>MID(excPisCofins[[#This Row],[CodBarras2]],2,50)</f>
        <v/>
      </c>
    </row>
    <row r="3303" spans="9:9" x14ac:dyDescent="0.25">
      <c r="I3303" s="227" t="str">
        <f>MID(excPisCofins[[#This Row],[CodBarras2]],2,50)</f>
        <v/>
      </c>
    </row>
    <row r="3304" spans="9:9" x14ac:dyDescent="0.25">
      <c r="I3304" s="227" t="str">
        <f>MID(excPisCofins[[#This Row],[CodBarras2]],2,50)</f>
        <v/>
      </c>
    </row>
    <row r="3305" spans="9:9" x14ac:dyDescent="0.25">
      <c r="I3305" s="227" t="str">
        <f>MID(excPisCofins[[#This Row],[CodBarras2]],2,50)</f>
        <v/>
      </c>
    </row>
    <row r="3306" spans="9:9" x14ac:dyDescent="0.25">
      <c r="I3306" s="227" t="str">
        <f>MID(excPisCofins[[#This Row],[CodBarras2]],2,50)</f>
        <v/>
      </c>
    </row>
    <row r="3307" spans="9:9" x14ac:dyDescent="0.25">
      <c r="I3307" s="227" t="str">
        <f>MID(excPisCofins[[#This Row],[CodBarras2]],2,50)</f>
        <v/>
      </c>
    </row>
    <row r="3308" spans="9:9" x14ac:dyDescent="0.25">
      <c r="I3308" s="227" t="str">
        <f>MID(excPisCofins[[#This Row],[CodBarras2]],2,50)</f>
        <v/>
      </c>
    </row>
    <row r="3309" spans="9:9" x14ac:dyDescent="0.25">
      <c r="I3309" s="227" t="str">
        <f>MID(excPisCofins[[#This Row],[CodBarras2]],2,50)</f>
        <v/>
      </c>
    </row>
    <row r="3310" spans="9:9" x14ac:dyDescent="0.25">
      <c r="I3310" s="227" t="str">
        <f>MID(excPisCofins[[#This Row],[CodBarras2]],2,50)</f>
        <v/>
      </c>
    </row>
    <row r="3311" spans="9:9" x14ac:dyDescent="0.25">
      <c r="I3311" s="227" t="str">
        <f>MID(excPisCofins[[#This Row],[CodBarras2]],2,50)</f>
        <v/>
      </c>
    </row>
    <row r="3312" spans="9:9" x14ac:dyDescent="0.25">
      <c r="I3312" s="227" t="str">
        <f>MID(excPisCofins[[#This Row],[CodBarras2]],2,50)</f>
        <v/>
      </c>
    </row>
    <row r="3313" spans="9:9" x14ac:dyDescent="0.25">
      <c r="I3313" s="227" t="str">
        <f>MID(excPisCofins[[#This Row],[CodBarras2]],2,50)</f>
        <v/>
      </c>
    </row>
    <row r="3314" spans="9:9" x14ac:dyDescent="0.25">
      <c r="I3314" s="227" t="str">
        <f>MID(excPisCofins[[#This Row],[CodBarras2]],2,50)</f>
        <v/>
      </c>
    </row>
    <row r="3315" spans="9:9" x14ac:dyDescent="0.25">
      <c r="I3315" s="227" t="str">
        <f>MID(excPisCofins[[#This Row],[CodBarras2]],2,50)</f>
        <v/>
      </c>
    </row>
    <row r="3316" spans="9:9" x14ac:dyDescent="0.25">
      <c r="I3316" s="227" t="str">
        <f>MID(excPisCofins[[#This Row],[CodBarras2]],2,50)</f>
        <v/>
      </c>
    </row>
    <row r="3317" spans="9:9" x14ac:dyDescent="0.25">
      <c r="I3317" s="227" t="str">
        <f>MID(excPisCofins[[#This Row],[CodBarras2]],2,50)</f>
        <v/>
      </c>
    </row>
    <row r="3318" spans="9:9" x14ac:dyDescent="0.25">
      <c r="I3318" s="227" t="str">
        <f>MID(excPisCofins[[#This Row],[CodBarras2]],2,50)</f>
        <v/>
      </c>
    </row>
    <row r="3319" spans="9:9" x14ac:dyDescent="0.25">
      <c r="I3319" s="227" t="str">
        <f>MID(excPisCofins[[#This Row],[CodBarras2]],2,50)</f>
        <v/>
      </c>
    </row>
    <row r="3320" spans="9:9" x14ac:dyDescent="0.25">
      <c r="I3320" s="227" t="str">
        <f>MID(excPisCofins[[#This Row],[CodBarras2]],2,50)</f>
        <v/>
      </c>
    </row>
    <row r="3321" spans="9:9" x14ac:dyDescent="0.25">
      <c r="I3321" s="227" t="str">
        <f>MID(excPisCofins[[#This Row],[CodBarras2]],2,50)</f>
        <v/>
      </c>
    </row>
    <row r="3322" spans="9:9" x14ac:dyDescent="0.25">
      <c r="I3322" s="227" t="str">
        <f>MID(excPisCofins[[#This Row],[CodBarras2]],2,50)</f>
        <v/>
      </c>
    </row>
    <row r="3323" spans="9:9" x14ac:dyDescent="0.25">
      <c r="I3323" s="227" t="str">
        <f>MID(excPisCofins[[#This Row],[CodBarras2]],2,50)</f>
        <v/>
      </c>
    </row>
    <row r="3324" spans="9:9" x14ac:dyDescent="0.25">
      <c r="I3324" s="227" t="str">
        <f>MID(excPisCofins[[#This Row],[CodBarras2]],2,50)</f>
        <v/>
      </c>
    </row>
    <row r="3325" spans="9:9" x14ac:dyDescent="0.25">
      <c r="I3325" s="227" t="str">
        <f>MID(excPisCofins[[#This Row],[CodBarras2]],2,50)</f>
        <v/>
      </c>
    </row>
    <row r="3326" spans="9:9" x14ac:dyDescent="0.25">
      <c r="I3326" s="227" t="str">
        <f>MID(excPisCofins[[#This Row],[CodBarras2]],2,50)</f>
        <v/>
      </c>
    </row>
    <row r="3327" spans="9:9" x14ac:dyDescent="0.25">
      <c r="I3327" s="227" t="str">
        <f>MID(excPisCofins[[#This Row],[CodBarras2]],2,50)</f>
        <v/>
      </c>
    </row>
    <row r="3328" spans="9:9" x14ac:dyDescent="0.25">
      <c r="I3328" s="227" t="str">
        <f>MID(excPisCofins[[#This Row],[CodBarras2]],2,50)</f>
        <v/>
      </c>
    </row>
    <row r="3329" spans="9:9" x14ac:dyDescent="0.25">
      <c r="I3329" s="227" t="str">
        <f>MID(excPisCofins[[#This Row],[CodBarras2]],2,50)</f>
        <v/>
      </c>
    </row>
    <row r="3330" spans="9:9" x14ac:dyDescent="0.25">
      <c r="I3330" s="227" t="str">
        <f>MID(excPisCofins[[#This Row],[CodBarras2]],2,50)</f>
        <v/>
      </c>
    </row>
    <row r="3331" spans="9:9" x14ac:dyDescent="0.25">
      <c r="I3331" s="227" t="str">
        <f>MID(excPisCofins[[#This Row],[CodBarras2]],2,50)</f>
        <v/>
      </c>
    </row>
    <row r="3332" spans="9:9" x14ac:dyDescent="0.25">
      <c r="I3332" s="227" t="str">
        <f>MID(excPisCofins[[#This Row],[CodBarras2]],2,50)</f>
        <v/>
      </c>
    </row>
    <row r="3333" spans="9:9" x14ac:dyDescent="0.25">
      <c r="I3333" s="227" t="str">
        <f>MID(excPisCofins[[#This Row],[CodBarras2]],2,50)</f>
        <v/>
      </c>
    </row>
    <row r="3334" spans="9:9" x14ac:dyDescent="0.25">
      <c r="I3334" s="227" t="str">
        <f>MID(excPisCofins[[#This Row],[CodBarras2]],2,50)</f>
        <v/>
      </c>
    </row>
    <row r="3335" spans="9:9" x14ac:dyDescent="0.25">
      <c r="I3335" s="227" t="str">
        <f>MID(excPisCofins[[#This Row],[CodBarras2]],2,50)</f>
        <v/>
      </c>
    </row>
    <row r="3336" spans="9:9" x14ac:dyDescent="0.25">
      <c r="I3336" s="227" t="str">
        <f>MID(excPisCofins[[#This Row],[CodBarras2]],2,50)</f>
        <v/>
      </c>
    </row>
    <row r="3337" spans="9:9" x14ac:dyDescent="0.25">
      <c r="I3337" s="227" t="str">
        <f>MID(excPisCofins[[#This Row],[CodBarras2]],2,50)</f>
        <v/>
      </c>
    </row>
    <row r="3338" spans="9:9" x14ac:dyDescent="0.25">
      <c r="I3338" s="227" t="str">
        <f>MID(excPisCofins[[#This Row],[CodBarras2]],2,50)</f>
        <v/>
      </c>
    </row>
    <row r="3339" spans="9:9" x14ac:dyDescent="0.25">
      <c r="I3339" s="227" t="str">
        <f>MID(excPisCofins[[#This Row],[CodBarras2]],2,50)</f>
        <v/>
      </c>
    </row>
    <row r="3340" spans="9:9" x14ac:dyDescent="0.25">
      <c r="I3340" s="227" t="str">
        <f>MID(excPisCofins[[#This Row],[CodBarras2]],2,50)</f>
        <v/>
      </c>
    </row>
    <row r="3341" spans="9:9" x14ac:dyDescent="0.25">
      <c r="I3341" s="227" t="str">
        <f>MID(excPisCofins[[#This Row],[CodBarras2]],2,50)</f>
        <v/>
      </c>
    </row>
    <row r="3342" spans="9:9" x14ac:dyDescent="0.25">
      <c r="I3342" s="227" t="str">
        <f>MID(excPisCofins[[#This Row],[CodBarras2]],2,50)</f>
        <v/>
      </c>
    </row>
    <row r="3343" spans="9:9" x14ac:dyDescent="0.25">
      <c r="I3343" s="227" t="str">
        <f>MID(excPisCofins[[#This Row],[CodBarras2]],2,50)</f>
        <v/>
      </c>
    </row>
    <row r="3344" spans="9:9" x14ac:dyDescent="0.25">
      <c r="I3344" s="227" t="str">
        <f>MID(excPisCofins[[#This Row],[CodBarras2]],2,50)</f>
        <v/>
      </c>
    </row>
    <row r="3345" spans="9:9" x14ac:dyDescent="0.25">
      <c r="I3345" s="227" t="str">
        <f>MID(excPisCofins[[#This Row],[CodBarras2]],2,50)</f>
        <v/>
      </c>
    </row>
    <row r="3346" spans="9:9" x14ac:dyDescent="0.25">
      <c r="I3346" s="227" t="str">
        <f>MID(excPisCofins[[#This Row],[CodBarras2]],2,50)</f>
        <v/>
      </c>
    </row>
    <row r="3347" spans="9:9" x14ac:dyDescent="0.25">
      <c r="I3347" s="227" t="str">
        <f>MID(excPisCofins[[#This Row],[CodBarras2]],2,50)</f>
        <v/>
      </c>
    </row>
    <row r="3348" spans="9:9" x14ac:dyDescent="0.25">
      <c r="I3348" s="227" t="str">
        <f>MID(excPisCofins[[#This Row],[CodBarras2]],2,50)</f>
        <v/>
      </c>
    </row>
    <row r="3349" spans="9:9" x14ac:dyDescent="0.25">
      <c r="I3349" s="227" t="str">
        <f>MID(excPisCofins[[#This Row],[CodBarras2]],2,50)</f>
        <v/>
      </c>
    </row>
    <row r="3350" spans="9:9" x14ac:dyDescent="0.25">
      <c r="I3350" s="227" t="str">
        <f>MID(excPisCofins[[#This Row],[CodBarras2]],2,50)</f>
        <v/>
      </c>
    </row>
    <row r="3351" spans="9:9" x14ac:dyDescent="0.25">
      <c r="I3351" s="227" t="str">
        <f>MID(excPisCofins[[#This Row],[CodBarras2]],2,50)</f>
        <v/>
      </c>
    </row>
    <row r="3352" spans="9:9" x14ac:dyDescent="0.25">
      <c r="I3352" s="227" t="str">
        <f>MID(excPisCofins[[#This Row],[CodBarras2]],2,50)</f>
        <v/>
      </c>
    </row>
    <row r="3353" spans="9:9" x14ac:dyDescent="0.25">
      <c r="I3353" s="227" t="str">
        <f>MID(excPisCofins[[#This Row],[CodBarras2]],2,50)</f>
        <v/>
      </c>
    </row>
    <row r="3354" spans="9:9" x14ac:dyDescent="0.25">
      <c r="I3354" s="227" t="str">
        <f>MID(excPisCofins[[#This Row],[CodBarras2]],2,50)</f>
        <v/>
      </c>
    </row>
    <row r="3355" spans="9:9" x14ac:dyDescent="0.25">
      <c r="I3355" s="227" t="str">
        <f>MID(excPisCofins[[#This Row],[CodBarras2]],2,50)</f>
        <v/>
      </c>
    </row>
    <row r="3356" spans="9:9" x14ac:dyDescent="0.25">
      <c r="I3356" s="227" t="str">
        <f>MID(excPisCofins[[#This Row],[CodBarras2]],2,50)</f>
        <v/>
      </c>
    </row>
    <row r="3357" spans="9:9" x14ac:dyDescent="0.25">
      <c r="I3357" s="227" t="str">
        <f>MID(excPisCofins[[#This Row],[CodBarras2]],2,50)</f>
        <v/>
      </c>
    </row>
    <row r="3358" spans="9:9" x14ac:dyDescent="0.25">
      <c r="I3358" s="227" t="str">
        <f>MID(excPisCofins[[#This Row],[CodBarras2]],2,50)</f>
        <v/>
      </c>
    </row>
    <row r="3359" spans="9:9" x14ac:dyDescent="0.25">
      <c r="I3359" s="227" t="str">
        <f>MID(excPisCofins[[#This Row],[CodBarras2]],2,50)</f>
        <v/>
      </c>
    </row>
    <row r="3360" spans="9:9" x14ac:dyDescent="0.25">
      <c r="I3360" s="227" t="str">
        <f>MID(excPisCofins[[#This Row],[CodBarras2]],2,50)</f>
        <v/>
      </c>
    </row>
    <row r="3361" spans="9:9" x14ac:dyDescent="0.25">
      <c r="I3361" s="227" t="str">
        <f>MID(excPisCofins[[#This Row],[CodBarras2]],2,50)</f>
        <v/>
      </c>
    </row>
    <row r="3362" spans="9:9" x14ac:dyDescent="0.25">
      <c r="I3362" s="227" t="str">
        <f>MID(excPisCofins[[#This Row],[CodBarras2]],2,50)</f>
        <v/>
      </c>
    </row>
    <row r="3363" spans="9:9" x14ac:dyDescent="0.25">
      <c r="I3363" s="227" t="str">
        <f>MID(excPisCofins[[#This Row],[CodBarras2]],2,50)</f>
        <v/>
      </c>
    </row>
    <row r="3364" spans="9:9" x14ac:dyDescent="0.25">
      <c r="I3364" s="227" t="str">
        <f>MID(excPisCofins[[#This Row],[CodBarras2]],2,50)</f>
        <v/>
      </c>
    </row>
    <row r="3365" spans="9:9" x14ac:dyDescent="0.25">
      <c r="I3365" s="227" t="str">
        <f>MID(excPisCofins[[#This Row],[CodBarras2]],2,50)</f>
        <v/>
      </c>
    </row>
    <row r="3366" spans="9:9" x14ac:dyDescent="0.25">
      <c r="I3366" s="227" t="str">
        <f>MID(excPisCofins[[#This Row],[CodBarras2]],2,50)</f>
        <v/>
      </c>
    </row>
    <row r="3367" spans="9:9" x14ac:dyDescent="0.25">
      <c r="I3367" s="227" t="str">
        <f>MID(excPisCofins[[#This Row],[CodBarras2]],2,50)</f>
        <v/>
      </c>
    </row>
    <row r="3368" spans="9:9" x14ac:dyDescent="0.25">
      <c r="I3368" s="227" t="str">
        <f>MID(excPisCofins[[#This Row],[CodBarras2]],2,50)</f>
        <v/>
      </c>
    </row>
    <row r="3369" spans="9:9" x14ac:dyDescent="0.25">
      <c r="I3369" s="227" t="str">
        <f>MID(excPisCofins[[#This Row],[CodBarras2]],2,50)</f>
        <v/>
      </c>
    </row>
    <row r="3370" spans="9:9" x14ac:dyDescent="0.25">
      <c r="I3370" s="227" t="str">
        <f>MID(excPisCofins[[#This Row],[CodBarras2]],2,50)</f>
        <v/>
      </c>
    </row>
    <row r="3371" spans="9:9" x14ac:dyDescent="0.25">
      <c r="I3371" s="227" t="str">
        <f>MID(excPisCofins[[#This Row],[CodBarras2]],2,50)</f>
        <v/>
      </c>
    </row>
    <row r="3372" spans="9:9" x14ac:dyDescent="0.25">
      <c r="I3372" s="227" t="str">
        <f>MID(excPisCofins[[#This Row],[CodBarras2]],2,50)</f>
        <v/>
      </c>
    </row>
    <row r="3373" spans="9:9" x14ac:dyDescent="0.25">
      <c r="I3373" s="227" t="str">
        <f>MID(excPisCofins[[#This Row],[CodBarras2]],2,50)</f>
        <v/>
      </c>
    </row>
    <row r="3374" spans="9:9" x14ac:dyDescent="0.25">
      <c r="I3374" s="227" t="str">
        <f>MID(excPisCofins[[#This Row],[CodBarras2]],2,50)</f>
        <v/>
      </c>
    </row>
    <row r="3375" spans="9:9" x14ac:dyDescent="0.25">
      <c r="I3375" s="227" t="str">
        <f>MID(excPisCofins[[#This Row],[CodBarras2]],2,50)</f>
        <v/>
      </c>
    </row>
    <row r="3376" spans="9:9" x14ac:dyDescent="0.25">
      <c r="I3376" s="227" t="str">
        <f>MID(excPisCofins[[#This Row],[CodBarras2]],2,50)</f>
        <v/>
      </c>
    </row>
    <row r="3377" spans="9:9" x14ac:dyDescent="0.25">
      <c r="I3377" s="227" t="str">
        <f>MID(excPisCofins[[#This Row],[CodBarras2]],2,50)</f>
        <v/>
      </c>
    </row>
    <row r="3378" spans="9:9" x14ac:dyDescent="0.25">
      <c r="I3378" s="227" t="str">
        <f>MID(excPisCofins[[#This Row],[CodBarras2]],2,50)</f>
        <v/>
      </c>
    </row>
    <row r="3379" spans="9:9" x14ac:dyDescent="0.25">
      <c r="I3379" s="227" t="str">
        <f>MID(excPisCofins[[#This Row],[CodBarras2]],2,50)</f>
        <v/>
      </c>
    </row>
    <row r="3380" spans="9:9" x14ac:dyDescent="0.25">
      <c r="I3380" s="227" t="str">
        <f>MID(excPisCofins[[#This Row],[CodBarras2]],2,50)</f>
        <v/>
      </c>
    </row>
    <row r="3381" spans="9:9" x14ac:dyDescent="0.25">
      <c r="I3381" s="227" t="str">
        <f>MID(excPisCofins[[#This Row],[CodBarras2]],2,50)</f>
        <v/>
      </c>
    </row>
    <row r="3382" spans="9:9" x14ac:dyDescent="0.25">
      <c r="I3382" s="227" t="str">
        <f>MID(excPisCofins[[#This Row],[CodBarras2]],2,50)</f>
        <v/>
      </c>
    </row>
    <row r="3383" spans="9:9" x14ac:dyDescent="0.25">
      <c r="I3383" s="227" t="str">
        <f>MID(excPisCofins[[#This Row],[CodBarras2]],2,50)</f>
        <v/>
      </c>
    </row>
    <row r="3384" spans="9:9" x14ac:dyDescent="0.25">
      <c r="I3384" s="227" t="str">
        <f>MID(excPisCofins[[#This Row],[CodBarras2]],2,50)</f>
        <v/>
      </c>
    </row>
    <row r="3385" spans="9:9" x14ac:dyDescent="0.25">
      <c r="I3385" s="227" t="str">
        <f>MID(excPisCofins[[#This Row],[CodBarras2]],2,50)</f>
        <v/>
      </c>
    </row>
    <row r="3386" spans="9:9" x14ac:dyDescent="0.25">
      <c r="I3386" s="227" t="str">
        <f>MID(excPisCofins[[#This Row],[CodBarras2]],2,50)</f>
        <v/>
      </c>
    </row>
    <row r="3387" spans="9:9" x14ac:dyDescent="0.25">
      <c r="I3387" s="227" t="str">
        <f>MID(excPisCofins[[#This Row],[CodBarras2]],2,50)</f>
        <v/>
      </c>
    </row>
    <row r="3388" spans="9:9" x14ac:dyDescent="0.25">
      <c r="I3388" s="227" t="str">
        <f>MID(excPisCofins[[#This Row],[CodBarras2]],2,50)</f>
        <v/>
      </c>
    </row>
    <row r="3389" spans="9:9" x14ac:dyDescent="0.25">
      <c r="I3389" s="227" t="str">
        <f>MID(excPisCofins[[#This Row],[CodBarras2]],2,50)</f>
        <v/>
      </c>
    </row>
    <row r="3390" spans="9:9" x14ac:dyDescent="0.25">
      <c r="I3390" s="227" t="str">
        <f>MID(excPisCofins[[#This Row],[CodBarras2]],2,50)</f>
        <v/>
      </c>
    </row>
    <row r="3391" spans="9:9" x14ac:dyDescent="0.25">
      <c r="I3391" s="227" t="str">
        <f>MID(excPisCofins[[#This Row],[CodBarras2]],2,50)</f>
        <v/>
      </c>
    </row>
    <row r="3392" spans="9:9" x14ac:dyDescent="0.25">
      <c r="I3392" s="227" t="str">
        <f>MID(excPisCofins[[#This Row],[CodBarras2]],2,50)</f>
        <v/>
      </c>
    </row>
    <row r="3393" spans="9:9" x14ac:dyDescent="0.25">
      <c r="I3393" s="227" t="str">
        <f>MID(excPisCofins[[#This Row],[CodBarras2]],2,50)</f>
        <v/>
      </c>
    </row>
    <row r="3394" spans="9:9" x14ac:dyDescent="0.25">
      <c r="I3394" s="227" t="str">
        <f>MID(excPisCofins[[#This Row],[CodBarras2]],2,50)</f>
        <v/>
      </c>
    </row>
    <row r="3395" spans="9:9" x14ac:dyDescent="0.25">
      <c r="I3395" s="227" t="str">
        <f>MID(excPisCofins[[#This Row],[CodBarras2]],2,50)</f>
        <v/>
      </c>
    </row>
    <row r="3396" spans="9:9" x14ac:dyDescent="0.25">
      <c r="I3396" s="227" t="str">
        <f>MID(excPisCofins[[#This Row],[CodBarras2]],2,50)</f>
        <v/>
      </c>
    </row>
    <row r="3397" spans="9:9" x14ac:dyDescent="0.25">
      <c r="I3397" s="227" t="str">
        <f>MID(excPisCofins[[#This Row],[CodBarras2]],2,50)</f>
        <v/>
      </c>
    </row>
    <row r="3398" spans="9:9" x14ac:dyDescent="0.25">
      <c r="I3398" s="227" t="str">
        <f>MID(excPisCofins[[#This Row],[CodBarras2]],2,50)</f>
        <v/>
      </c>
    </row>
    <row r="3399" spans="9:9" x14ac:dyDescent="0.25">
      <c r="I3399" s="227" t="str">
        <f>MID(excPisCofins[[#This Row],[CodBarras2]],2,50)</f>
        <v/>
      </c>
    </row>
    <row r="3400" spans="9:9" x14ac:dyDescent="0.25">
      <c r="I3400" s="227" t="str">
        <f>MID(excPisCofins[[#This Row],[CodBarras2]],2,50)</f>
        <v/>
      </c>
    </row>
    <row r="3401" spans="9:9" x14ac:dyDescent="0.25">
      <c r="I3401" s="227" t="str">
        <f>MID(excPisCofins[[#This Row],[CodBarras2]],2,50)</f>
        <v/>
      </c>
    </row>
    <row r="3402" spans="9:9" x14ac:dyDescent="0.25">
      <c r="I3402" s="227" t="str">
        <f>MID(excPisCofins[[#This Row],[CodBarras2]],2,50)</f>
        <v/>
      </c>
    </row>
    <row r="3403" spans="9:9" x14ac:dyDescent="0.25">
      <c r="I3403" s="227" t="str">
        <f>MID(excPisCofins[[#This Row],[CodBarras2]],2,50)</f>
        <v/>
      </c>
    </row>
    <row r="3404" spans="9:9" x14ac:dyDescent="0.25">
      <c r="I3404" s="227" t="str">
        <f>MID(excPisCofins[[#This Row],[CodBarras2]],2,50)</f>
        <v/>
      </c>
    </row>
    <row r="3405" spans="9:9" x14ac:dyDescent="0.25">
      <c r="I3405" s="227" t="str">
        <f>MID(excPisCofins[[#This Row],[CodBarras2]],2,50)</f>
        <v/>
      </c>
    </row>
    <row r="3406" spans="9:9" x14ac:dyDescent="0.25">
      <c r="I3406" s="227" t="str">
        <f>MID(excPisCofins[[#This Row],[CodBarras2]],2,50)</f>
        <v/>
      </c>
    </row>
    <row r="3407" spans="9:9" x14ac:dyDescent="0.25">
      <c r="I3407" s="227" t="str">
        <f>MID(excPisCofins[[#This Row],[CodBarras2]],2,50)</f>
        <v/>
      </c>
    </row>
    <row r="3408" spans="9:9" x14ac:dyDescent="0.25">
      <c r="I3408" s="227" t="str">
        <f>MID(excPisCofins[[#This Row],[CodBarras2]],2,50)</f>
        <v/>
      </c>
    </row>
    <row r="3409" spans="9:9" x14ac:dyDescent="0.25">
      <c r="I3409" s="227" t="str">
        <f>MID(excPisCofins[[#This Row],[CodBarras2]],2,50)</f>
        <v/>
      </c>
    </row>
    <row r="3410" spans="9:9" x14ac:dyDescent="0.25">
      <c r="I3410" s="227" t="str">
        <f>MID(excPisCofins[[#This Row],[CodBarras2]],2,50)</f>
        <v/>
      </c>
    </row>
    <row r="3411" spans="9:9" x14ac:dyDescent="0.25">
      <c r="I3411" s="227" t="str">
        <f>MID(excPisCofins[[#This Row],[CodBarras2]],2,50)</f>
        <v/>
      </c>
    </row>
    <row r="3412" spans="9:9" x14ac:dyDescent="0.25">
      <c r="I3412" s="227" t="str">
        <f>MID(excPisCofins[[#This Row],[CodBarras2]],2,50)</f>
        <v/>
      </c>
    </row>
    <row r="3413" spans="9:9" x14ac:dyDescent="0.25">
      <c r="I3413" s="227" t="str">
        <f>MID(excPisCofins[[#This Row],[CodBarras2]],2,50)</f>
        <v/>
      </c>
    </row>
    <row r="3414" spans="9:9" x14ac:dyDescent="0.25">
      <c r="I3414" s="227" t="str">
        <f>MID(excPisCofins[[#This Row],[CodBarras2]],2,50)</f>
        <v/>
      </c>
    </row>
    <row r="3415" spans="9:9" x14ac:dyDescent="0.25">
      <c r="I3415" s="227" t="str">
        <f>MID(excPisCofins[[#This Row],[CodBarras2]],2,50)</f>
        <v/>
      </c>
    </row>
    <row r="3416" spans="9:9" x14ac:dyDescent="0.25">
      <c r="I3416" s="227" t="str">
        <f>MID(excPisCofins[[#This Row],[CodBarras2]],2,50)</f>
        <v/>
      </c>
    </row>
    <row r="3417" spans="9:9" x14ac:dyDescent="0.25">
      <c r="I3417" s="227" t="str">
        <f>MID(excPisCofins[[#This Row],[CodBarras2]],2,50)</f>
        <v/>
      </c>
    </row>
    <row r="3418" spans="9:9" x14ac:dyDescent="0.25">
      <c r="I3418" s="227" t="str">
        <f>MID(excPisCofins[[#This Row],[CodBarras2]],2,50)</f>
        <v/>
      </c>
    </row>
    <row r="3419" spans="9:9" x14ac:dyDescent="0.25">
      <c r="I3419" s="227" t="str">
        <f>MID(excPisCofins[[#This Row],[CodBarras2]],2,50)</f>
        <v/>
      </c>
    </row>
    <row r="3420" spans="9:9" x14ac:dyDescent="0.25">
      <c r="I3420" s="227" t="str">
        <f>MID(excPisCofins[[#This Row],[CodBarras2]],2,50)</f>
        <v/>
      </c>
    </row>
    <row r="3421" spans="9:9" x14ac:dyDescent="0.25">
      <c r="I3421" s="227" t="str">
        <f>MID(excPisCofins[[#This Row],[CodBarras2]],2,50)</f>
        <v/>
      </c>
    </row>
    <row r="3422" spans="9:9" x14ac:dyDescent="0.25">
      <c r="I3422" s="227" t="str">
        <f>MID(excPisCofins[[#This Row],[CodBarras2]],2,50)</f>
        <v/>
      </c>
    </row>
    <row r="3423" spans="9:9" x14ac:dyDescent="0.25">
      <c r="I3423" s="227" t="str">
        <f>MID(excPisCofins[[#This Row],[CodBarras2]],2,50)</f>
        <v/>
      </c>
    </row>
    <row r="3424" spans="9:9" x14ac:dyDescent="0.25">
      <c r="I3424" s="227" t="str">
        <f>MID(excPisCofins[[#This Row],[CodBarras2]],2,50)</f>
        <v/>
      </c>
    </row>
    <row r="3425" spans="9:9" x14ac:dyDescent="0.25">
      <c r="I3425" s="227" t="str">
        <f>MID(excPisCofins[[#This Row],[CodBarras2]],2,50)</f>
        <v/>
      </c>
    </row>
    <row r="3426" spans="9:9" x14ac:dyDescent="0.25">
      <c r="I3426" s="227" t="str">
        <f>MID(excPisCofins[[#This Row],[CodBarras2]],2,50)</f>
        <v/>
      </c>
    </row>
    <row r="3427" spans="9:9" x14ac:dyDescent="0.25">
      <c r="I3427" s="227" t="str">
        <f>MID(excPisCofins[[#This Row],[CodBarras2]],2,50)</f>
        <v/>
      </c>
    </row>
    <row r="3428" spans="9:9" x14ac:dyDescent="0.25">
      <c r="I3428" s="227" t="str">
        <f>MID(excPisCofins[[#This Row],[CodBarras2]],2,50)</f>
        <v/>
      </c>
    </row>
    <row r="3429" spans="9:9" x14ac:dyDescent="0.25">
      <c r="I3429" s="227" t="str">
        <f>MID(excPisCofins[[#This Row],[CodBarras2]],2,50)</f>
        <v/>
      </c>
    </row>
    <row r="3430" spans="9:9" x14ac:dyDescent="0.25">
      <c r="I3430" s="227" t="str">
        <f>MID(excPisCofins[[#This Row],[CodBarras2]],2,50)</f>
        <v/>
      </c>
    </row>
    <row r="3431" spans="9:9" x14ac:dyDescent="0.25">
      <c r="I3431" s="227" t="str">
        <f>MID(excPisCofins[[#This Row],[CodBarras2]],2,50)</f>
        <v/>
      </c>
    </row>
    <row r="3432" spans="9:9" x14ac:dyDescent="0.25">
      <c r="I3432" s="227" t="str">
        <f>MID(excPisCofins[[#This Row],[CodBarras2]],2,50)</f>
        <v/>
      </c>
    </row>
    <row r="3433" spans="9:9" x14ac:dyDescent="0.25">
      <c r="I3433" s="227" t="str">
        <f>MID(excPisCofins[[#This Row],[CodBarras2]],2,50)</f>
        <v/>
      </c>
    </row>
    <row r="3434" spans="9:9" x14ac:dyDescent="0.25">
      <c r="I3434" s="227" t="str">
        <f>MID(excPisCofins[[#This Row],[CodBarras2]],2,50)</f>
        <v/>
      </c>
    </row>
    <row r="3435" spans="9:9" x14ac:dyDescent="0.25">
      <c r="I3435" s="227" t="str">
        <f>MID(excPisCofins[[#This Row],[CodBarras2]],2,50)</f>
        <v/>
      </c>
    </row>
    <row r="3436" spans="9:9" x14ac:dyDescent="0.25">
      <c r="I3436" s="227" t="str">
        <f>MID(excPisCofins[[#This Row],[CodBarras2]],2,50)</f>
        <v/>
      </c>
    </row>
    <row r="3437" spans="9:9" x14ac:dyDescent="0.25">
      <c r="I3437" s="227" t="str">
        <f>MID(excPisCofins[[#This Row],[CodBarras2]],2,50)</f>
        <v/>
      </c>
    </row>
    <row r="3438" spans="9:9" x14ac:dyDescent="0.25">
      <c r="I3438" s="227" t="str">
        <f>MID(excPisCofins[[#This Row],[CodBarras2]],2,50)</f>
        <v/>
      </c>
    </row>
    <row r="3439" spans="9:9" x14ac:dyDescent="0.25">
      <c r="I3439" s="227" t="str">
        <f>MID(excPisCofins[[#This Row],[CodBarras2]],2,50)</f>
        <v/>
      </c>
    </row>
    <row r="3440" spans="9:9" x14ac:dyDescent="0.25">
      <c r="I3440" s="227" t="str">
        <f>MID(excPisCofins[[#This Row],[CodBarras2]],2,50)</f>
        <v/>
      </c>
    </row>
    <row r="3441" spans="9:9" x14ac:dyDescent="0.25">
      <c r="I3441" s="227" t="str">
        <f>MID(excPisCofins[[#This Row],[CodBarras2]],2,50)</f>
        <v/>
      </c>
    </row>
    <row r="3442" spans="9:9" x14ac:dyDescent="0.25">
      <c r="I3442" s="227" t="str">
        <f>MID(excPisCofins[[#This Row],[CodBarras2]],2,50)</f>
        <v/>
      </c>
    </row>
    <row r="3443" spans="9:9" x14ac:dyDescent="0.25">
      <c r="I3443" s="227" t="str">
        <f>MID(excPisCofins[[#This Row],[CodBarras2]],2,50)</f>
        <v/>
      </c>
    </row>
    <row r="3444" spans="9:9" x14ac:dyDescent="0.25">
      <c r="I3444" s="227" t="str">
        <f>MID(excPisCofins[[#This Row],[CodBarras2]],2,50)</f>
        <v/>
      </c>
    </row>
    <row r="3445" spans="9:9" x14ac:dyDescent="0.25">
      <c r="I3445" s="227" t="str">
        <f>MID(excPisCofins[[#This Row],[CodBarras2]],2,50)</f>
        <v/>
      </c>
    </row>
    <row r="3446" spans="9:9" x14ac:dyDescent="0.25">
      <c r="I3446" s="227" t="str">
        <f>MID(excPisCofins[[#This Row],[CodBarras2]],2,50)</f>
        <v/>
      </c>
    </row>
    <row r="3447" spans="9:9" x14ac:dyDescent="0.25">
      <c r="I3447" s="227" t="str">
        <f>MID(excPisCofins[[#This Row],[CodBarras2]],2,50)</f>
        <v/>
      </c>
    </row>
    <row r="3448" spans="9:9" x14ac:dyDescent="0.25">
      <c r="I3448" s="227" t="str">
        <f>MID(excPisCofins[[#This Row],[CodBarras2]],2,50)</f>
        <v/>
      </c>
    </row>
    <row r="3449" spans="9:9" x14ac:dyDescent="0.25">
      <c r="I3449" s="227" t="str">
        <f>MID(excPisCofins[[#This Row],[CodBarras2]],2,50)</f>
        <v/>
      </c>
    </row>
    <row r="3450" spans="9:9" x14ac:dyDescent="0.25">
      <c r="I3450" s="227" t="str">
        <f>MID(excPisCofins[[#This Row],[CodBarras2]],2,50)</f>
        <v/>
      </c>
    </row>
    <row r="3451" spans="9:9" x14ac:dyDescent="0.25">
      <c r="I3451" s="227" t="str">
        <f>MID(excPisCofins[[#This Row],[CodBarras2]],2,50)</f>
        <v/>
      </c>
    </row>
    <row r="3452" spans="9:9" x14ac:dyDescent="0.25">
      <c r="I3452" s="227" t="str">
        <f>MID(excPisCofins[[#This Row],[CodBarras2]],2,50)</f>
        <v/>
      </c>
    </row>
    <row r="3453" spans="9:9" x14ac:dyDescent="0.25">
      <c r="I3453" s="227" t="str">
        <f>MID(excPisCofins[[#This Row],[CodBarras2]],2,50)</f>
        <v/>
      </c>
    </row>
    <row r="3454" spans="9:9" x14ac:dyDescent="0.25">
      <c r="I3454" s="227" t="str">
        <f>MID(excPisCofins[[#This Row],[CodBarras2]],2,50)</f>
        <v/>
      </c>
    </row>
    <row r="3455" spans="9:9" x14ac:dyDescent="0.25">
      <c r="I3455" s="227" t="str">
        <f>MID(excPisCofins[[#This Row],[CodBarras2]],2,50)</f>
        <v/>
      </c>
    </row>
    <row r="3456" spans="9:9" x14ac:dyDescent="0.25">
      <c r="I3456" s="227" t="str">
        <f>MID(excPisCofins[[#This Row],[CodBarras2]],2,50)</f>
        <v/>
      </c>
    </row>
    <row r="3457" spans="9:9" x14ac:dyDescent="0.25">
      <c r="I3457" s="227" t="str">
        <f>MID(excPisCofins[[#This Row],[CodBarras2]],2,50)</f>
        <v/>
      </c>
    </row>
    <row r="3458" spans="9:9" x14ac:dyDescent="0.25">
      <c r="I3458" s="227" t="str">
        <f>MID(excPisCofins[[#This Row],[CodBarras2]],2,50)</f>
        <v/>
      </c>
    </row>
    <row r="3459" spans="9:9" x14ac:dyDescent="0.25">
      <c r="I3459" s="227" t="str">
        <f>MID(excPisCofins[[#This Row],[CodBarras2]],2,50)</f>
        <v/>
      </c>
    </row>
    <row r="3460" spans="9:9" x14ac:dyDescent="0.25">
      <c r="I3460" s="227" t="str">
        <f>MID(excPisCofins[[#This Row],[CodBarras2]],2,50)</f>
        <v/>
      </c>
    </row>
    <row r="3461" spans="9:9" x14ac:dyDescent="0.25">
      <c r="I3461" s="227" t="str">
        <f>MID(excPisCofins[[#This Row],[CodBarras2]],2,50)</f>
        <v/>
      </c>
    </row>
    <row r="3462" spans="9:9" x14ac:dyDescent="0.25">
      <c r="I3462" s="227" t="str">
        <f>MID(excPisCofins[[#This Row],[CodBarras2]],2,50)</f>
        <v/>
      </c>
    </row>
    <row r="3463" spans="9:9" x14ac:dyDescent="0.25">
      <c r="I3463" s="227" t="str">
        <f>MID(excPisCofins[[#This Row],[CodBarras2]],2,50)</f>
        <v/>
      </c>
    </row>
    <row r="3464" spans="9:9" x14ac:dyDescent="0.25">
      <c r="I3464" s="227" t="str">
        <f>MID(excPisCofins[[#This Row],[CodBarras2]],2,50)</f>
        <v/>
      </c>
    </row>
    <row r="3465" spans="9:9" x14ac:dyDescent="0.25">
      <c r="I3465" s="227" t="str">
        <f>MID(excPisCofins[[#This Row],[CodBarras2]],2,50)</f>
        <v/>
      </c>
    </row>
    <row r="3466" spans="9:9" x14ac:dyDescent="0.25">
      <c r="I3466" s="227" t="str">
        <f>MID(excPisCofins[[#This Row],[CodBarras2]],2,50)</f>
        <v/>
      </c>
    </row>
    <row r="3467" spans="9:9" x14ac:dyDescent="0.25">
      <c r="I3467" s="227" t="str">
        <f>MID(excPisCofins[[#This Row],[CodBarras2]],2,50)</f>
        <v/>
      </c>
    </row>
    <row r="3468" spans="9:9" x14ac:dyDescent="0.25">
      <c r="I3468" s="227" t="str">
        <f>MID(excPisCofins[[#This Row],[CodBarras2]],2,50)</f>
        <v/>
      </c>
    </row>
    <row r="3469" spans="9:9" x14ac:dyDescent="0.25">
      <c r="I3469" s="227" t="str">
        <f>MID(excPisCofins[[#This Row],[CodBarras2]],2,50)</f>
        <v/>
      </c>
    </row>
    <row r="3470" spans="9:9" x14ac:dyDescent="0.25">
      <c r="I3470" s="227" t="str">
        <f>MID(excPisCofins[[#This Row],[CodBarras2]],2,50)</f>
        <v/>
      </c>
    </row>
    <row r="3471" spans="9:9" x14ac:dyDescent="0.25">
      <c r="I3471" s="227" t="str">
        <f>MID(excPisCofins[[#This Row],[CodBarras2]],2,50)</f>
        <v/>
      </c>
    </row>
    <row r="3472" spans="9:9" x14ac:dyDescent="0.25">
      <c r="I3472" s="227" t="str">
        <f>MID(excPisCofins[[#This Row],[CodBarras2]],2,50)</f>
        <v/>
      </c>
    </row>
    <row r="3473" spans="9:9" x14ac:dyDescent="0.25">
      <c r="I3473" s="227" t="str">
        <f>MID(excPisCofins[[#This Row],[CodBarras2]],2,50)</f>
        <v/>
      </c>
    </row>
    <row r="3474" spans="9:9" x14ac:dyDescent="0.25">
      <c r="I3474" s="227" t="str">
        <f>MID(excPisCofins[[#This Row],[CodBarras2]],2,50)</f>
        <v/>
      </c>
    </row>
    <row r="3475" spans="9:9" x14ac:dyDescent="0.25">
      <c r="I3475" s="227" t="str">
        <f>MID(excPisCofins[[#This Row],[CodBarras2]],2,50)</f>
        <v/>
      </c>
    </row>
    <row r="3476" spans="9:9" x14ac:dyDescent="0.25">
      <c r="I3476" s="227" t="str">
        <f>MID(excPisCofins[[#This Row],[CodBarras2]],2,50)</f>
        <v/>
      </c>
    </row>
    <row r="3477" spans="9:9" x14ac:dyDescent="0.25">
      <c r="I3477" s="227" t="str">
        <f>MID(excPisCofins[[#This Row],[CodBarras2]],2,50)</f>
        <v/>
      </c>
    </row>
    <row r="3478" spans="9:9" x14ac:dyDescent="0.25">
      <c r="I3478" s="227" t="str">
        <f>MID(excPisCofins[[#This Row],[CodBarras2]],2,50)</f>
        <v/>
      </c>
    </row>
    <row r="3479" spans="9:9" x14ac:dyDescent="0.25">
      <c r="I3479" s="227" t="str">
        <f>MID(excPisCofins[[#This Row],[CodBarras2]],2,50)</f>
        <v/>
      </c>
    </row>
    <row r="3480" spans="9:9" x14ac:dyDescent="0.25">
      <c r="I3480" s="227" t="str">
        <f>MID(excPisCofins[[#This Row],[CodBarras2]],2,50)</f>
        <v/>
      </c>
    </row>
    <row r="3481" spans="9:9" x14ac:dyDescent="0.25">
      <c r="I3481" s="227" t="str">
        <f>MID(excPisCofins[[#This Row],[CodBarras2]],2,50)</f>
        <v/>
      </c>
    </row>
    <row r="3482" spans="9:9" x14ac:dyDescent="0.25">
      <c r="I3482" s="227" t="str">
        <f>MID(excPisCofins[[#This Row],[CodBarras2]],2,50)</f>
        <v/>
      </c>
    </row>
    <row r="3483" spans="9:9" x14ac:dyDescent="0.25">
      <c r="I3483" s="227" t="str">
        <f>MID(excPisCofins[[#This Row],[CodBarras2]],2,50)</f>
        <v/>
      </c>
    </row>
    <row r="3484" spans="9:9" x14ac:dyDescent="0.25">
      <c r="I3484" s="227" t="str">
        <f>MID(excPisCofins[[#This Row],[CodBarras2]],2,50)</f>
        <v/>
      </c>
    </row>
    <row r="3485" spans="9:9" x14ac:dyDescent="0.25">
      <c r="I3485" s="227" t="str">
        <f>MID(excPisCofins[[#This Row],[CodBarras2]],2,50)</f>
        <v/>
      </c>
    </row>
    <row r="3486" spans="9:9" x14ac:dyDescent="0.25">
      <c r="I3486" s="227" t="str">
        <f>MID(excPisCofins[[#This Row],[CodBarras2]],2,50)</f>
        <v/>
      </c>
    </row>
    <row r="3487" spans="9:9" x14ac:dyDescent="0.25">
      <c r="I3487" s="227" t="str">
        <f>MID(excPisCofins[[#This Row],[CodBarras2]],2,50)</f>
        <v/>
      </c>
    </row>
    <row r="3488" spans="9:9" x14ac:dyDescent="0.25">
      <c r="I3488" s="227" t="str">
        <f>MID(excPisCofins[[#This Row],[CodBarras2]],2,50)</f>
        <v/>
      </c>
    </row>
    <row r="3489" spans="9:9" x14ac:dyDescent="0.25">
      <c r="I3489" s="227" t="str">
        <f>MID(excPisCofins[[#This Row],[CodBarras2]],2,50)</f>
        <v/>
      </c>
    </row>
    <row r="3490" spans="9:9" x14ac:dyDescent="0.25">
      <c r="I3490" s="227" t="str">
        <f>MID(excPisCofins[[#This Row],[CodBarras2]],2,50)</f>
        <v/>
      </c>
    </row>
    <row r="3491" spans="9:9" x14ac:dyDescent="0.25">
      <c r="I3491" s="227" t="str">
        <f>MID(excPisCofins[[#This Row],[CodBarras2]],2,50)</f>
        <v/>
      </c>
    </row>
    <row r="3492" spans="9:9" x14ac:dyDescent="0.25">
      <c r="I3492" s="227" t="str">
        <f>MID(excPisCofins[[#This Row],[CodBarras2]],2,50)</f>
        <v/>
      </c>
    </row>
    <row r="3493" spans="9:9" x14ac:dyDescent="0.25">
      <c r="I3493" s="227" t="str">
        <f>MID(excPisCofins[[#This Row],[CodBarras2]],2,50)</f>
        <v/>
      </c>
    </row>
    <row r="3494" spans="9:9" x14ac:dyDescent="0.25">
      <c r="I3494" s="227" t="str">
        <f>MID(excPisCofins[[#This Row],[CodBarras2]],2,50)</f>
        <v/>
      </c>
    </row>
    <row r="3495" spans="9:9" x14ac:dyDescent="0.25">
      <c r="I3495" s="227" t="str">
        <f>MID(excPisCofins[[#This Row],[CodBarras2]],2,50)</f>
        <v/>
      </c>
    </row>
    <row r="3496" spans="9:9" x14ac:dyDescent="0.25">
      <c r="I3496" s="227" t="str">
        <f>MID(excPisCofins[[#This Row],[CodBarras2]],2,50)</f>
        <v/>
      </c>
    </row>
    <row r="3497" spans="9:9" x14ac:dyDescent="0.25">
      <c r="I3497" s="227" t="str">
        <f>MID(excPisCofins[[#This Row],[CodBarras2]],2,50)</f>
        <v/>
      </c>
    </row>
    <row r="3498" spans="9:9" x14ac:dyDescent="0.25">
      <c r="I3498" s="227" t="str">
        <f>MID(excPisCofins[[#This Row],[CodBarras2]],2,50)</f>
        <v/>
      </c>
    </row>
    <row r="3499" spans="9:9" x14ac:dyDescent="0.25">
      <c r="I3499" s="227" t="str">
        <f>MID(excPisCofins[[#This Row],[CodBarras2]],2,50)</f>
        <v/>
      </c>
    </row>
    <row r="3500" spans="9:9" x14ac:dyDescent="0.25">
      <c r="I3500" s="227" t="str">
        <f>MID(excPisCofins[[#This Row],[CodBarras2]],2,50)</f>
        <v/>
      </c>
    </row>
    <row r="3501" spans="9:9" x14ac:dyDescent="0.25">
      <c r="I3501" s="227" t="str">
        <f>MID(excPisCofins[[#This Row],[CodBarras2]],2,50)</f>
        <v/>
      </c>
    </row>
    <row r="3502" spans="9:9" x14ac:dyDescent="0.25">
      <c r="I3502" s="227" t="str">
        <f>MID(excPisCofins[[#This Row],[CodBarras2]],2,50)</f>
        <v/>
      </c>
    </row>
    <row r="3503" spans="9:9" x14ac:dyDescent="0.25">
      <c r="I3503" s="227" t="str">
        <f>MID(excPisCofins[[#This Row],[CodBarras2]],2,50)</f>
        <v/>
      </c>
    </row>
    <row r="3504" spans="9:9" x14ac:dyDescent="0.25">
      <c r="I3504" s="227" t="str">
        <f>MID(excPisCofins[[#This Row],[CodBarras2]],2,50)</f>
        <v/>
      </c>
    </row>
    <row r="3505" spans="9:9" x14ac:dyDescent="0.25">
      <c r="I3505" s="227" t="str">
        <f>MID(excPisCofins[[#This Row],[CodBarras2]],2,50)</f>
        <v/>
      </c>
    </row>
    <row r="3506" spans="9:9" x14ac:dyDescent="0.25">
      <c r="I3506" s="227" t="str">
        <f>MID(excPisCofins[[#This Row],[CodBarras2]],2,50)</f>
        <v/>
      </c>
    </row>
    <row r="3507" spans="9:9" x14ac:dyDescent="0.25">
      <c r="I3507" s="227" t="str">
        <f>MID(excPisCofins[[#This Row],[CodBarras2]],2,50)</f>
        <v/>
      </c>
    </row>
    <row r="3508" spans="9:9" x14ac:dyDescent="0.25">
      <c r="I3508" s="227" t="str">
        <f>MID(excPisCofins[[#This Row],[CodBarras2]],2,50)</f>
        <v/>
      </c>
    </row>
    <row r="3509" spans="9:9" x14ac:dyDescent="0.25">
      <c r="I3509" s="227" t="str">
        <f>MID(excPisCofins[[#This Row],[CodBarras2]],2,50)</f>
        <v/>
      </c>
    </row>
    <row r="3510" spans="9:9" x14ac:dyDescent="0.25">
      <c r="I3510" s="227" t="str">
        <f>MID(excPisCofins[[#This Row],[CodBarras2]],2,50)</f>
        <v/>
      </c>
    </row>
    <row r="3511" spans="9:9" x14ac:dyDescent="0.25">
      <c r="I3511" s="227" t="str">
        <f>MID(excPisCofins[[#This Row],[CodBarras2]],2,50)</f>
        <v/>
      </c>
    </row>
    <row r="3512" spans="9:9" x14ac:dyDescent="0.25">
      <c r="I3512" s="227" t="str">
        <f>MID(excPisCofins[[#This Row],[CodBarras2]],2,50)</f>
        <v/>
      </c>
    </row>
    <row r="3513" spans="9:9" x14ac:dyDescent="0.25">
      <c r="I3513" s="227" t="str">
        <f>MID(excPisCofins[[#This Row],[CodBarras2]],2,50)</f>
        <v/>
      </c>
    </row>
    <row r="3514" spans="9:9" x14ac:dyDescent="0.25">
      <c r="I3514" s="227" t="str">
        <f>MID(excPisCofins[[#This Row],[CodBarras2]],2,50)</f>
        <v/>
      </c>
    </row>
    <row r="3515" spans="9:9" x14ac:dyDescent="0.25">
      <c r="I3515" s="227" t="str">
        <f>MID(excPisCofins[[#This Row],[CodBarras2]],2,50)</f>
        <v/>
      </c>
    </row>
    <row r="3516" spans="9:9" x14ac:dyDescent="0.25">
      <c r="I3516" s="227" t="str">
        <f>MID(excPisCofins[[#This Row],[CodBarras2]],2,50)</f>
        <v/>
      </c>
    </row>
    <row r="3517" spans="9:9" x14ac:dyDescent="0.25">
      <c r="I3517" s="227" t="str">
        <f>MID(excPisCofins[[#This Row],[CodBarras2]],2,50)</f>
        <v/>
      </c>
    </row>
    <row r="3518" spans="9:9" x14ac:dyDescent="0.25">
      <c r="I3518" s="227" t="str">
        <f>MID(excPisCofins[[#This Row],[CodBarras2]],2,50)</f>
        <v/>
      </c>
    </row>
    <row r="3519" spans="9:9" x14ac:dyDescent="0.25">
      <c r="I3519" s="227" t="str">
        <f>MID(excPisCofins[[#This Row],[CodBarras2]],2,50)</f>
        <v/>
      </c>
    </row>
    <row r="3520" spans="9:9" x14ac:dyDescent="0.25">
      <c r="I3520" s="227" t="str">
        <f>MID(excPisCofins[[#This Row],[CodBarras2]],2,50)</f>
        <v/>
      </c>
    </row>
    <row r="3521" spans="9:9" x14ac:dyDescent="0.25">
      <c r="I3521" s="227" t="str">
        <f>MID(excPisCofins[[#This Row],[CodBarras2]],2,50)</f>
        <v/>
      </c>
    </row>
    <row r="3522" spans="9:9" x14ac:dyDescent="0.25">
      <c r="I3522" s="227" t="str">
        <f>MID(excPisCofins[[#This Row],[CodBarras2]],2,50)</f>
        <v/>
      </c>
    </row>
    <row r="3523" spans="9:9" x14ac:dyDescent="0.25">
      <c r="I3523" s="227" t="str">
        <f>MID(excPisCofins[[#This Row],[CodBarras2]],2,50)</f>
        <v/>
      </c>
    </row>
    <row r="3524" spans="9:9" x14ac:dyDescent="0.25">
      <c r="I3524" s="227" t="str">
        <f>MID(excPisCofins[[#This Row],[CodBarras2]],2,50)</f>
        <v/>
      </c>
    </row>
    <row r="3525" spans="9:9" x14ac:dyDescent="0.25">
      <c r="I3525" s="227" t="str">
        <f>MID(excPisCofins[[#This Row],[CodBarras2]],2,50)</f>
        <v/>
      </c>
    </row>
    <row r="3526" spans="9:9" x14ac:dyDescent="0.25">
      <c r="I3526" s="227" t="str">
        <f>MID(excPisCofins[[#This Row],[CodBarras2]],2,50)</f>
        <v/>
      </c>
    </row>
    <row r="3527" spans="9:9" x14ac:dyDescent="0.25">
      <c r="I3527" s="227" t="str">
        <f>MID(excPisCofins[[#This Row],[CodBarras2]],2,50)</f>
        <v/>
      </c>
    </row>
    <row r="3528" spans="9:9" x14ac:dyDescent="0.25">
      <c r="I3528" s="227" t="str">
        <f>MID(excPisCofins[[#This Row],[CodBarras2]],2,50)</f>
        <v/>
      </c>
    </row>
    <row r="3529" spans="9:9" x14ac:dyDescent="0.25">
      <c r="I3529" s="227" t="str">
        <f>MID(excPisCofins[[#This Row],[CodBarras2]],2,50)</f>
        <v/>
      </c>
    </row>
    <row r="3530" spans="9:9" x14ac:dyDescent="0.25">
      <c r="I3530" s="227" t="str">
        <f>MID(excPisCofins[[#This Row],[CodBarras2]],2,50)</f>
        <v/>
      </c>
    </row>
    <row r="3531" spans="9:9" x14ac:dyDescent="0.25">
      <c r="I3531" s="227" t="str">
        <f>MID(excPisCofins[[#This Row],[CodBarras2]],2,50)</f>
        <v/>
      </c>
    </row>
    <row r="3532" spans="9:9" x14ac:dyDescent="0.25">
      <c r="I3532" s="227" t="str">
        <f>MID(excPisCofins[[#This Row],[CodBarras2]],2,50)</f>
        <v/>
      </c>
    </row>
    <row r="3533" spans="9:9" x14ac:dyDescent="0.25">
      <c r="I3533" s="227" t="str">
        <f>MID(excPisCofins[[#This Row],[CodBarras2]],2,50)</f>
        <v/>
      </c>
    </row>
    <row r="3534" spans="9:9" x14ac:dyDescent="0.25">
      <c r="I3534" s="227" t="str">
        <f>MID(excPisCofins[[#This Row],[CodBarras2]],2,50)</f>
        <v/>
      </c>
    </row>
    <row r="3535" spans="9:9" x14ac:dyDescent="0.25">
      <c r="I3535" s="227" t="str">
        <f>MID(excPisCofins[[#This Row],[CodBarras2]],2,50)</f>
        <v/>
      </c>
    </row>
    <row r="3536" spans="9:9" x14ac:dyDescent="0.25">
      <c r="I3536" s="227" t="str">
        <f>MID(excPisCofins[[#This Row],[CodBarras2]],2,50)</f>
        <v/>
      </c>
    </row>
    <row r="3537" spans="9:9" x14ac:dyDescent="0.25">
      <c r="I3537" s="227" t="str">
        <f>MID(excPisCofins[[#This Row],[CodBarras2]],2,50)</f>
        <v/>
      </c>
    </row>
    <row r="3538" spans="9:9" x14ac:dyDescent="0.25">
      <c r="I3538" s="227" t="str">
        <f>MID(excPisCofins[[#This Row],[CodBarras2]],2,50)</f>
        <v/>
      </c>
    </row>
    <row r="3539" spans="9:9" x14ac:dyDescent="0.25">
      <c r="I3539" s="227" t="str">
        <f>MID(excPisCofins[[#This Row],[CodBarras2]],2,50)</f>
        <v/>
      </c>
    </row>
    <row r="3540" spans="9:9" x14ac:dyDescent="0.25">
      <c r="I3540" s="227" t="str">
        <f>MID(excPisCofins[[#This Row],[CodBarras2]],2,50)</f>
        <v/>
      </c>
    </row>
    <row r="3541" spans="9:9" x14ac:dyDescent="0.25">
      <c r="I3541" s="227" t="str">
        <f>MID(excPisCofins[[#This Row],[CodBarras2]],2,50)</f>
        <v/>
      </c>
    </row>
    <row r="3542" spans="9:9" x14ac:dyDescent="0.25">
      <c r="I3542" s="227" t="str">
        <f>MID(excPisCofins[[#This Row],[CodBarras2]],2,50)</f>
        <v/>
      </c>
    </row>
    <row r="3543" spans="9:9" x14ac:dyDescent="0.25">
      <c r="I3543" s="227" t="str">
        <f>MID(excPisCofins[[#This Row],[CodBarras2]],2,50)</f>
        <v/>
      </c>
    </row>
    <row r="3544" spans="9:9" x14ac:dyDescent="0.25">
      <c r="I3544" s="227" t="str">
        <f>MID(excPisCofins[[#This Row],[CodBarras2]],2,50)</f>
        <v/>
      </c>
    </row>
    <row r="3545" spans="9:9" x14ac:dyDescent="0.25">
      <c r="I3545" s="227" t="str">
        <f>MID(excPisCofins[[#This Row],[CodBarras2]],2,50)</f>
        <v/>
      </c>
    </row>
    <row r="3546" spans="9:9" x14ac:dyDescent="0.25">
      <c r="I3546" s="227" t="str">
        <f>MID(excPisCofins[[#This Row],[CodBarras2]],2,50)</f>
        <v/>
      </c>
    </row>
    <row r="3547" spans="9:9" x14ac:dyDescent="0.25">
      <c r="I3547" s="227" t="str">
        <f>MID(excPisCofins[[#This Row],[CodBarras2]],2,50)</f>
        <v/>
      </c>
    </row>
    <row r="3548" spans="9:9" x14ac:dyDescent="0.25">
      <c r="I3548" s="227" t="str">
        <f>MID(excPisCofins[[#This Row],[CodBarras2]],2,50)</f>
        <v/>
      </c>
    </row>
    <row r="3549" spans="9:9" x14ac:dyDescent="0.25">
      <c r="I3549" s="227" t="str">
        <f>MID(excPisCofins[[#This Row],[CodBarras2]],2,50)</f>
        <v/>
      </c>
    </row>
    <row r="3550" spans="9:9" x14ac:dyDescent="0.25">
      <c r="I3550" s="227" t="str">
        <f>MID(excPisCofins[[#This Row],[CodBarras2]],2,50)</f>
        <v/>
      </c>
    </row>
    <row r="3551" spans="9:9" x14ac:dyDescent="0.25">
      <c r="I3551" s="227" t="str">
        <f>MID(excPisCofins[[#This Row],[CodBarras2]],2,50)</f>
        <v/>
      </c>
    </row>
    <row r="3552" spans="9:9" x14ac:dyDescent="0.25">
      <c r="I3552" s="227" t="str">
        <f>MID(excPisCofins[[#This Row],[CodBarras2]],2,50)</f>
        <v/>
      </c>
    </row>
    <row r="3553" spans="9:9" x14ac:dyDescent="0.25">
      <c r="I3553" s="227" t="str">
        <f>MID(excPisCofins[[#This Row],[CodBarras2]],2,50)</f>
        <v/>
      </c>
    </row>
    <row r="3554" spans="9:9" x14ac:dyDescent="0.25">
      <c r="I3554" s="227" t="str">
        <f>MID(excPisCofins[[#This Row],[CodBarras2]],2,50)</f>
        <v/>
      </c>
    </row>
    <row r="3555" spans="9:9" x14ac:dyDescent="0.25">
      <c r="I3555" s="227" t="str">
        <f>MID(excPisCofins[[#This Row],[CodBarras2]],2,50)</f>
        <v/>
      </c>
    </row>
    <row r="3556" spans="9:9" x14ac:dyDescent="0.25">
      <c r="I3556" s="227" t="str">
        <f>MID(excPisCofins[[#This Row],[CodBarras2]],2,50)</f>
        <v/>
      </c>
    </row>
    <row r="3557" spans="9:9" x14ac:dyDescent="0.25">
      <c r="I3557" s="227" t="str">
        <f>MID(excPisCofins[[#This Row],[CodBarras2]],2,50)</f>
        <v/>
      </c>
    </row>
    <row r="3558" spans="9:9" x14ac:dyDescent="0.25">
      <c r="I3558" s="227" t="str">
        <f>MID(excPisCofins[[#This Row],[CodBarras2]],2,50)</f>
        <v/>
      </c>
    </row>
    <row r="3559" spans="9:9" x14ac:dyDescent="0.25">
      <c r="I3559" s="227" t="str">
        <f>MID(excPisCofins[[#This Row],[CodBarras2]],2,50)</f>
        <v/>
      </c>
    </row>
    <row r="3560" spans="9:9" x14ac:dyDescent="0.25">
      <c r="I3560" s="227" t="str">
        <f>MID(excPisCofins[[#This Row],[CodBarras2]],2,50)</f>
        <v/>
      </c>
    </row>
    <row r="3561" spans="9:9" x14ac:dyDescent="0.25">
      <c r="I3561" s="227" t="str">
        <f>MID(excPisCofins[[#This Row],[CodBarras2]],2,50)</f>
        <v/>
      </c>
    </row>
    <row r="3562" spans="9:9" x14ac:dyDescent="0.25">
      <c r="I3562" s="227" t="str">
        <f>MID(excPisCofins[[#This Row],[CodBarras2]],2,50)</f>
        <v/>
      </c>
    </row>
    <row r="3563" spans="9:9" x14ac:dyDescent="0.25">
      <c r="I3563" s="227" t="str">
        <f>MID(excPisCofins[[#This Row],[CodBarras2]],2,50)</f>
        <v/>
      </c>
    </row>
    <row r="3564" spans="9:9" x14ac:dyDescent="0.25">
      <c r="I3564" s="227" t="str">
        <f>MID(excPisCofins[[#This Row],[CodBarras2]],2,50)</f>
        <v/>
      </c>
    </row>
    <row r="3565" spans="9:9" x14ac:dyDescent="0.25">
      <c r="I3565" s="227" t="str">
        <f>MID(excPisCofins[[#This Row],[CodBarras2]],2,50)</f>
        <v/>
      </c>
    </row>
    <row r="3566" spans="9:9" x14ac:dyDescent="0.25">
      <c r="I3566" s="227" t="str">
        <f>MID(excPisCofins[[#This Row],[CodBarras2]],2,50)</f>
        <v/>
      </c>
    </row>
    <row r="3567" spans="9:9" x14ac:dyDescent="0.25">
      <c r="I3567" s="227" t="str">
        <f>MID(excPisCofins[[#This Row],[CodBarras2]],2,50)</f>
        <v/>
      </c>
    </row>
    <row r="3568" spans="9:9" x14ac:dyDescent="0.25">
      <c r="I3568" s="227" t="str">
        <f>MID(excPisCofins[[#This Row],[CodBarras2]],2,50)</f>
        <v/>
      </c>
    </row>
    <row r="3569" spans="9:9" x14ac:dyDescent="0.25">
      <c r="I3569" s="227" t="str">
        <f>MID(excPisCofins[[#This Row],[CodBarras2]],2,50)</f>
        <v/>
      </c>
    </row>
    <row r="3570" spans="9:9" x14ac:dyDescent="0.25">
      <c r="I3570" s="227" t="str">
        <f>MID(excPisCofins[[#This Row],[CodBarras2]],2,50)</f>
        <v/>
      </c>
    </row>
    <row r="3571" spans="9:9" x14ac:dyDescent="0.25">
      <c r="I3571" s="227" t="str">
        <f>MID(excPisCofins[[#This Row],[CodBarras2]],2,50)</f>
        <v/>
      </c>
    </row>
    <row r="3572" spans="9:9" x14ac:dyDescent="0.25">
      <c r="I3572" s="227" t="str">
        <f>MID(excPisCofins[[#This Row],[CodBarras2]],2,50)</f>
        <v/>
      </c>
    </row>
    <row r="3573" spans="9:9" x14ac:dyDescent="0.25">
      <c r="I3573" s="227" t="str">
        <f>MID(excPisCofins[[#This Row],[CodBarras2]],2,50)</f>
        <v/>
      </c>
    </row>
    <row r="3574" spans="9:9" x14ac:dyDescent="0.25">
      <c r="I3574" s="227" t="str">
        <f>MID(excPisCofins[[#This Row],[CodBarras2]],2,50)</f>
        <v/>
      </c>
    </row>
    <row r="3575" spans="9:9" x14ac:dyDescent="0.25">
      <c r="I3575" s="227" t="str">
        <f>MID(excPisCofins[[#This Row],[CodBarras2]],2,50)</f>
        <v/>
      </c>
    </row>
    <row r="3576" spans="9:9" x14ac:dyDescent="0.25">
      <c r="I3576" s="227" t="str">
        <f>MID(excPisCofins[[#This Row],[CodBarras2]],2,50)</f>
        <v/>
      </c>
    </row>
    <row r="3577" spans="9:9" x14ac:dyDescent="0.25">
      <c r="I3577" s="227" t="str">
        <f>MID(excPisCofins[[#This Row],[CodBarras2]],2,50)</f>
        <v/>
      </c>
    </row>
    <row r="3578" spans="9:9" x14ac:dyDescent="0.25">
      <c r="I3578" s="227" t="str">
        <f>MID(excPisCofins[[#This Row],[CodBarras2]],2,50)</f>
        <v/>
      </c>
    </row>
    <row r="3579" spans="9:9" x14ac:dyDescent="0.25">
      <c r="I3579" s="227" t="str">
        <f>MID(excPisCofins[[#This Row],[CodBarras2]],2,50)</f>
        <v/>
      </c>
    </row>
    <row r="3580" spans="9:9" x14ac:dyDescent="0.25">
      <c r="I3580" s="227" t="str">
        <f>MID(excPisCofins[[#This Row],[CodBarras2]],2,50)</f>
        <v/>
      </c>
    </row>
    <row r="3581" spans="9:9" x14ac:dyDescent="0.25">
      <c r="I3581" s="227" t="str">
        <f>MID(excPisCofins[[#This Row],[CodBarras2]],2,50)</f>
        <v/>
      </c>
    </row>
    <row r="3582" spans="9:9" x14ac:dyDescent="0.25">
      <c r="I3582" s="227" t="str">
        <f>MID(excPisCofins[[#This Row],[CodBarras2]],2,50)</f>
        <v/>
      </c>
    </row>
    <row r="3583" spans="9:9" x14ac:dyDescent="0.25">
      <c r="I3583" s="227" t="str">
        <f>MID(excPisCofins[[#This Row],[CodBarras2]],2,50)</f>
        <v/>
      </c>
    </row>
    <row r="3584" spans="9:9" x14ac:dyDescent="0.25">
      <c r="I3584" s="227" t="str">
        <f>MID(excPisCofins[[#This Row],[CodBarras2]],2,50)</f>
        <v/>
      </c>
    </row>
    <row r="3585" spans="9:9" x14ac:dyDescent="0.25">
      <c r="I3585" s="227" t="str">
        <f>MID(excPisCofins[[#This Row],[CodBarras2]],2,50)</f>
        <v/>
      </c>
    </row>
    <row r="3586" spans="9:9" x14ac:dyDescent="0.25">
      <c r="I3586" s="227" t="str">
        <f>MID(excPisCofins[[#This Row],[CodBarras2]],2,50)</f>
        <v/>
      </c>
    </row>
    <row r="3587" spans="9:9" x14ac:dyDescent="0.25">
      <c r="I3587" s="227" t="str">
        <f>MID(excPisCofins[[#This Row],[CodBarras2]],2,50)</f>
        <v/>
      </c>
    </row>
    <row r="3588" spans="9:9" x14ac:dyDescent="0.25">
      <c r="I3588" s="227" t="str">
        <f>MID(excPisCofins[[#This Row],[CodBarras2]],2,50)</f>
        <v/>
      </c>
    </row>
    <row r="3589" spans="9:9" x14ac:dyDescent="0.25">
      <c r="I3589" s="227" t="str">
        <f>MID(excPisCofins[[#This Row],[CodBarras2]],2,50)</f>
        <v/>
      </c>
    </row>
    <row r="3590" spans="9:9" x14ac:dyDescent="0.25">
      <c r="I3590" s="227" t="str">
        <f>MID(excPisCofins[[#This Row],[CodBarras2]],2,50)</f>
        <v/>
      </c>
    </row>
    <row r="3591" spans="9:9" x14ac:dyDescent="0.25">
      <c r="I3591" s="227" t="str">
        <f>MID(excPisCofins[[#This Row],[CodBarras2]],2,50)</f>
        <v/>
      </c>
    </row>
    <row r="3592" spans="9:9" x14ac:dyDescent="0.25">
      <c r="I3592" s="227" t="str">
        <f>MID(excPisCofins[[#This Row],[CodBarras2]],2,50)</f>
        <v/>
      </c>
    </row>
    <row r="3593" spans="9:9" x14ac:dyDescent="0.25">
      <c r="I3593" s="227" t="str">
        <f>MID(excPisCofins[[#This Row],[CodBarras2]],2,50)</f>
        <v/>
      </c>
    </row>
    <row r="3594" spans="9:9" x14ac:dyDescent="0.25">
      <c r="I3594" s="227" t="str">
        <f>MID(excPisCofins[[#This Row],[CodBarras2]],2,50)</f>
        <v/>
      </c>
    </row>
    <row r="3595" spans="9:9" x14ac:dyDescent="0.25">
      <c r="I3595" s="227" t="str">
        <f>MID(excPisCofins[[#This Row],[CodBarras2]],2,50)</f>
        <v/>
      </c>
    </row>
    <row r="3596" spans="9:9" x14ac:dyDescent="0.25">
      <c r="I3596" s="227" t="str">
        <f>MID(excPisCofins[[#This Row],[CodBarras2]],2,50)</f>
        <v/>
      </c>
    </row>
    <row r="3597" spans="9:9" x14ac:dyDescent="0.25">
      <c r="I3597" s="227" t="str">
        <f>MID(excPisCofins[[#This Row],[CodBarras2]],2,50)</f>
        <v/>
      </c>
    </row>
    <row r="3598" spans="9:9" x14ac:dyDescent="0.25">
      <c r="I3598" s="227" t="str">
        <f>MID(excPisCofins[[#This Row],[CodBarras2]],2,50)</f>
        <v/>
      </c>
    </row>
    <row r="3599" spans="9:9" x14ac:dyDescent="0.25">
      <c r="I3599" s="227" t="str">
        <f>MID(excPisCofins[[#This Row],[CodBarras2]],2,50)</f>
        <v/>
      </c>
    </row>
    <row r="3600" spans="9:9" x14ac:dyDescent="0.25">
      <c r="I3600" s="227" t="str">
        <f>MID(excPisCofins[[#This Row],[CodBarras2]],2,50)</f>
        <v/>
      </c>
    </row>
    <row r="3601" spans="9:9" x14ac:dyDescent="0.25">
      <c r="I3601" s="227" t="str">
        <f>MID(excPisCofins[[#This Row],[CodBarras2]],2,50)</f>
        <v/>
      </c>
    </row>
    <row r="3602" spans="9:9" x14ac:dyDescent="0.25">
      <c r="I3602" s="227" t="str">
        <f>MID(excPisCofins[[#This Row],[CodBarras2]],2,50)</f>
        <v/>
      </c>
    </row>
    <row r="3603" spans="9:9" x14ac:dyDescent="0.25">
      <c r="I3603" s="227" t="str">
        <f>MID(excPisCofins[[#This Row],[CodBarras2]],2,50)</f>
        <v/>
      </c>
    </row>
    <row r="3604" spans="9:9" x14ac:dyDescent="0.25">
      <c r="I3604" s="227" t="str">
        <f>MID(excPisCofins[[#This Row],[CodBarras2]],2,50)</f>
        <v/>
      </c>
    </row>
    <row r="3605" spans="9:9" x14ac:dyDescent="0.25">
      <c r="I3605" s="227" t="str">
        <f>MID(excPisCofins[[#This Row],[CodBarras2]],2,50)</f>
        <v/>
      </c>
    </row>
    <row r="3606" spans="9:9" x14ac:dyDescent="0.25">
      <c r="I3606" s="227" t="str">
        <f>MID(excPisCofins[[#This Row],[CodBarras2]],2,50)</f>
        <v/>
      </c>
    </row>
    <row r="3607" spans="9:9" x14ac:dyDescent="0.25">
      <c r="I3607" s="227" t="str">
        <f>MID(excPisCofins[[#This Row],[CodBarras2]],2,50)</f>
        <v/>
      </c>
    </row>
    <row r="3608" spans="9:9" x14ac:dyDescent="0.25">
      <c r="I3608" s="227" t="str">
        <f>MID(excPisCofins[[#This Row],[CodBarras2]],2,50)</f>
        <v/>
      </c>
    </row>
    <row r="3609" spans="9:9" x14ac:dyDescent="0.25">
      <c r="I3609" s="227" t="str">
        <f>MID(excPisCofins[[#This Row],[CodBarras2]],2,50)</f>
        <v/>
      </c>
    </row>
    <row r="3610" spans="9:9" x14ac:dyDescent="0.25">
      <c r="I3610" s="227" t="str">
        <f>MID(excPisCofins[[#This Row],[CodBarras2]],2,50)</f>
        <v/>
      </c>
    </row>
    <row r="3611" spans="9:9" x14ac:dyDescent="0.25">
      <c r="I3611" s="227" t="str">
        <f>MID(excPisCofins[[#This Row],[CodBarras2]],2,50)</f>
        <v/>
      </c>
    </row>
    <row r="3612" spans="9:9" x14ac:dyDescent="0.25">
      <c r="I3612" s="227" t="str">
        <f>MID(excPisCofins[[#This Row],[CodBarras2]],2,50)</f>
        <v/>
      </c>
    </row>
    <row r="3613" spans="9:9" x14ac:dyDescent="0.25">
      <c r="I3613" s="227" t="str">
        <f>MID(excPisCofins[[#This Row],[CodBarras2]],2,50)</f>
        <v/>
      </c>
    </row>
    <row r="3614" spans="9:9" x14ac:dyDescent="0.25">
      <c r="I3614" s="227" t="str">
        <f>MID(excPisCofins[[#This Row],[CodBarras2]],2,50)</f>
        <v/>
      </c>
    </row>
    <row r="3615" spans="9:9" x14ac:dyDescent="0.25">
      <c r="I3615" s="227" t="str">
        <f>MID(excPisCofins[[#This Row],[CodBarras2]],2,50)</f>
        <v/>
      </c>
    </row>
    <row r="3616" spans="9:9" x14ac:dyDescent="0.25">
      <c r="I3616" s="227" t="str">
        <f>MID(excPisCofins[[#This Row],[CodBarras2]],2,50)</f>
        <v/>
      </c>
    </row>
    <row r="3617" spans="9:9" x14ac:dyDescent="0.25">
      <c r="I3617" s="227" t="str">
        <f>MID(excPisCofins[[#This Row],[CodBarras2]],2,50)</f>
        <v/>
      </c>
    </row>
    <row r="3618" spans="9:9" x14ac:dyDescent="0.25">
      <c r="I3618" s="227" t="str">
        <f>MID(excPisCofins[[#This Row],[CodBarras2]],2,50)</f>
        <v/>
      </c>
    </row>
    <row r="3619" spans="9:9" x14ac:dyDescent="0.25">
      <c r="I3619" s="227" t="str">
        <f>MID(excPisCofins[[#This Row],[CodBarras2]],2,50)</f>
        <v/>
      </c>
    </row>
    <row r="3620" spans="9:9" x14ac:dyDescent="0.25">
      <c r="I3620" s="227" t="str">
        <f>MID(excPisCofins[[#This Row],[CodBarras2]],2,50)</f>
        <v/>
      </c>
    </row>
    <row r="3621" spans="9:9" x14ac:dyDescent="0.25">
      <c r="I3621" s="227" t="str">
        <f>MID(excPisCofins[[#This Row],[CodBarras2]],2,50)</f>
        <v/>
      </c>
    </row>
    <row r="3622" spans="9:9" x14ac:dyDescent="0.25">
      <c r="I3622" s="227" t="str">
        <f>MID(excPisCofins[[#This Row],[CodBarras2]],2,50)</f>
        <v/>
      </c>
    </row>
    <row r="3623" spans="9:9" x14ac:dyDescent="0.25">
      <c r="I3623" s="227" t="str">
        <f>MID(excPisCofins[[#This Row],[CodBarras2]],2,50)</f>
        <v/>
      </c>
    </row>
    <row r="3624" spans="9:9" x14ac:dyDescent="0.25">
      <c r="I3624" s="227" t="str">
        <f>MID(excPisCofins[[#This Row],[CodBarras2]],2,50)</f>
        <v/>
      </c>
    </row>
    <row r="3625" spans="9:9" x14ac:dyDescent="0.25">
      <c r="I3625" s="227" t="str">
        <f>MID(excPisCofins[[#This Row],[CodBarras2]],2,50)</f>
        <v/>
      </c>
    </row>
    <row r="3626" spans="9:9" x14ac:dyDescent="0.25">
      <c r="I3626" s="227" t="str">
        <f>MID(excPisCofins[[#This Row],[CodBarras2]],2,50)</f>
        <v/>
      </c>
    </row>
    <row r="3627" spans="9:9" x14ac:dyDescent="0.25">
      <c r="I3627" s="227" t="str">
        <f>MID(excPisCofins[[#This Row],[CodBarras2]],2,50)</f>
        <v/>
      </c>
    </row>
    <row r="3628" spans="9:9" x14ac:dyDescent="0.25">
      <c r="I3628" s="227" t="str">
        <f>MID(excPisCofins[[#This Row],[CodBarras2]],2,50)</f>
        <v/>
      </c>
    </row>
    <row r="3629" spans="9:9" x14ac:dyDescent="0.25">
      <c r="I3629" s="227" t="str">
        <f>MID(excPisCofins[[#This Row],[CodBarras2]],2,50)</f>
        <v/>
      </c>
    </row>
    <row r="3630" spans="9:9" x14ac:dyDescent="0.25">
      <c r="I3630" s="227" t="str">
        <f>MID(excPisCofins[[#This Row],[CodBarras2]],2,50)</f>
        <v/>
      </c>
    </row>
    <row r="3631" spans="9:9" x14ac:dyDescent="0.25">
      <c r="I3631" s="227" t="str">
        <f>MID(excPisCofins[[#This Row],[CodBarras2]],2,50)</f>
        <v/>
      </c>
    </row>
    <row r="3632" spans="9:9" x14ac:dyDescent="0.25">
      <c r="I3632" s="227" t="str">
        <f>MID(excPisCofins[[#This Row],[CodBarras2]],2,50)</f>
        <v/>
      </c>
    </row>
    <row r="3633" spans="9:9" x14ac:dyDescent="0.25">
      <c r="I3633" s="227" t="str">
        <f>MID(excPisCofins[[#This Row],[CodBarras2]],2,50)</f>
        <v/>
      </c>
    </row>
    <row r="3634" spans="9:9" x14ac:dyDescent="0.25">
      <c r="I3634" s="227" t="str">
        <f>MID(excPisCofins[[#This Row],[CodBarras2]],2,50)</f>
        <v/>
      </c>
    </row>
    <row r="3635" spans="9:9" x14ac:dyDescent="0.25">
      <c r="I3635" s="227" t="str">
        <f>MID(excPisCofins[[#This Row],[CodBarras2]],2,50)</f>
        <v/>
      </c>
    </row>
    <row r="3636" spans="9:9" x14ac:dyDescent="0.25">
      <c r="I3636" s="227" t="str">
        <f>MID(excPisCofins[[#This Row],[CodBarras2]],2,50)</f>
        <v/>
      </c>
    </row>
    <row r="3637" spans="9:9" x14ac:dyDescent="0.25">
      <c r="I3637" s="227" t="str">
        <f>MID(excPisCofins[[#This Row],[CodBarras2]],2,50)</f>
        <v/>
      </c>
    </row>
    <row r="3638" spans="9:9" x14ac:dyDescent="0.25">
      <c r="I3638" s="227" t="str">
        <f>MID(excPisCofins[[#This Row],[CodBarras2]],2,50)</f>
        <v/>
      </c>
    </row>
    <row r="3639" spans="9:9" x14ac:dyDescent="0.25">
      <c r="I3639" s="227" t="str">
        <f>MID(excPisCofins[[#This Row],[CodBarras2]],2,50)</f>
        <v/>
      </c>
    </row>
    <row r="3640" spans="9:9" x14ac:dyDescent="0.25">
      <c r="I3640" s="227" t="str">
        <f>MID(excPisCofins[[#This Row],[CodBarras2]],2,50)</f>
        <v/>
      </c>
    </row>
    <row r="3641" spans="9:9" x14ac:dyDescent="0.25">
      <c r="I3641" s="227" t="str">
        <f>MID(excPisCofins[[#This Row],[CodBarras2]],2,50)</f>
        <v/>
      </c>
    </row>
    <row r="3642" spans="9:9" x14ac:dyDescent="0.25">
      <c r="I3642" s="227" t="str">
        <f>MID(excPisCofins[[#This Row],[CodBarras2]],2,50)</f>
        <v/>
      </c>
    </row>
    <row r="3643" spans="9:9" x14ac:dyDescent="0.25">
      <c r="I3643" s="227" t="str">
        <f>MID(excPisCofins[[#This Row],[CodBarras2]],2,50)</f>
        <v/>
      </c>
    </row>
    <row r="3644" spans="9:9" x14ac:dyDescent="0.25">
      <c r="I3644" s="227" t="str">
        <f>MID(excPisCofins[[#This Row],[CodBarras2]],2,50)</f>
        <v/>
      </c>
    </row>
    <row r="3645" spans="9:9" x14ac:dyDescent="0.25">
      <c r="I3645" s="227" t="str">
        <f>MID(excPisCofins[[#This Row],[CodBarras2]],2,50)</f>
        <v/>
      </c>
    </row>
    <row r="3646" spans="9:9" x14ac:dyDescent="0.25">
      <c r="I3646" s="227" t="str">
        <f>MID(excPisCofins[[#This Row],[CodBarras2]],2,50)</f>
        <v/>
      </c>
    </row>
    <row r="3647" spans="9:9" x14ac:dyDescent="0.25">
      <c r="I3647" s="227" t="str">
        <f>MID(excPisCofins[[#This Row],[CodBarras2]],2,50)</f>
        <v/>
      </c>
    </row>
    <row r="3648" spans="9:9" x14ac:dyDescent="0.25">
      <c r="I3648" s="227" t="str">
        <f>MID(excPisCofins[[#This Row],[CodBarras2]],2,50)</f>
        <v/>
      </c>
    </row>
    <row r="3649" spans="9:9" x14ac:dyDescent="0.25">
      <c r="I3649" s="227" t="str">
        <f>MID(excPisCofins[[#This Row],[CodBarras2]],2,50)</f>
        <v/>
      </c>
    </row>
    <row r="3650" spans="9:9" x14ac:dyDescent="0.25">
      <c r="I3650" s="227" t="str">
        <f>MID(excPisCofins[[#This Row],[CodBarras2]],2,50)</f>
        <v/>
      </c>
    </row>
    <row r="3651" spans="9:9" x14ac:dyDescent="0.25">
      <c r="I3651" s="227" t="str">
        <f>MID(excPisCofins[[#This Row],[CodBarras2]],2,50)</f>
        <v/>
      </c>
    </row>
    <row r="3652" spans="9:9" x14ac:dyDescent="0.25">
      <c r="I3652" s="227" t="str">
        <f>MID(excPisCofins[[#This Row],[CodBarras2]],2,50)</f>
        <v/>
      </c>
    </row>
    <row r="3653" spans="9:9" x14ac:dyDescent="0.25">
      <c r="I3653" s="227" t="str">
        <f>MID(excPisCofins[[#This Row],[CodBarras2]],2,50)</f>
        <v/>
      </c>
    </row>
    <row r="3654" spans="9:9" x14ac:dyDescent="0.25">
      <c r="I3654" s="227" t="str">
        <f>MID(excPisCofins[[#This Row],[CodBarras2]],2,50)</f>
        <v/>
      </c>
    </row>
    <row r="3655" spans="9:9" x14ac:dyDescent="0.25">
      <c r="I3655" s="227" t="str">
        <f>MID(excPisCofins[[#This Row],[CodBarras2]],2,50)</f>
        <v/>
      </c>
    </row>
    <row r="3656" spans="9:9" x14ac:dyDescent="0.25">
      <c r="I3656" s="227" t="str">
        <f>MID(excPisCofins[[#This Row],[CodBarras2]],2,50)</f>
        <v/>
      </c>
    </row>
    <row r="3657" spans="9:9" x14ac:dyDescent="0.25">
      <c r="I3657" s="227" t="str">
        <f>MID(excPisCofins[[#This Row],[CodBarras2]],2,50)</f>
        <v/>
      </c>
    </row>
    <row r="3658" spans="9:9" x14ac:dyDescent="0.25">
      <c r="I3658" s="227" t="str">
        <f>MID(excPisCofins[[#This Row],[CodBarras2]],2,50)</f>
        <v/>
      </c>
    </row>
    <row r="3659" spans="9:9" x14ac:dyDescent="0.25">
      <c r="I3659" s="227" t="str">
        <f>MID(excPisCofins[[#This Row],[CodBarras2]],2,50)</f>
        <v/>
      </c>
    </row>
    <row r="3660" spans="9:9" x14ac:dyDescent="0.25">
      <c r="I3660" s="227" t="str">
        <f>MID(excPisCofins[[#This Row],[CodBarras2]],2,50)</f>
        <v/>
      </c>
    </row>
    <row r="3661" spans="9:9" x14ac:dyDescent="0.25">
      <c r="I3661" s="227" t="str">
        <f>MID(excPisCofins[[#This Row],[CodBarras2]],2,50)</f>
        <v/>
      </c>
    </row>
    <row r="3662" spans="9:9" x14ac:dyDescent="0.25">
      <c r="I3662" s="227" t="str">
        <f>MID(excPisCofins[[#This Row],[CodBarras2]],2,50)</f>
        <v/>
      </c>
    </row>
    <row r="3663" spans="9:9" x14ac:dyDescent="0.25">
      <c r="I3663" s="227" t="str">
        <f>MID(excPisCofins[[#This Row],[CodBarras2]],2,50)</f>
        <v/>
      </c>
    </row>
    <row r="3664" spans="9:9" x14ac:dyDescent="0.25">
      <c r="I3664" s="227" t="str">
        <f>MID(excPisCofins[[#This Row],[CodBarras2]],2,50)</f>
        <v/>
      </c>
    </row>
    <row r="3665" spans="9:9" x14ac:dyDescent="0.25">
      <c r="I3665" s="227" t="str">
        <f>MID(excPisCofins[[#This Row],[CodBarras2]],2,50)</f>
        <v/>
      </c>
    </row>
    <row r="3666" spans="9:9" x14ac:dyDescent="0.25">
      <c r="I3666" s="227" t="str">
        <f>MID(excPisCofins[[#This Row],[CodBarras2]],2,50)</f>
        <v/>
      </c>
    </row>
    <row r="3667" spans="9:9" x14ac:dyDescent="0.25">
      <c r="I3667" s="227" t="str">
        <f>MID(excPisCofins[[#This Row],[CodBarras2]],2,50)</f>
        <v/>
      </c>
    </row>
    <row r="3668" spans="9:9" x14ac:dyDescent="0.25">
      <c r="I3668" s="227" t="str">
        <f>MID(excPisCofins[[#This Row],[CodBarras2]],2,50)</f>
        <v/>
      </c>
    </row>
    <row r="3669" spans="9:9" x14ac:dyDescent="0.25">
      <c r="I3669" s="227" t="str">
        <f>MID(excPisCofins[[#This Row],[CodBarras2]],2,50)</f>
        <v/>
      </c>
    </row>
    <row r="3670" spans="9:9" x14ac:dyDescent="0.25">
      <c r="I3670" s="227" t="str">
        <f>MID(excPisCofins[[#This Row],[CodBarras2]],2,50)</f>
        <v/>
      </c>
    </row>
    <row r="3671" spans="9:9" x14ac:dyDescent="0.25">
      <c r="I3671" s="227" t="str">
        <f>MID(excPisCofins[[#This Row],[CodBarras2]],2,50)</f>
        <v/>
      </c>
    </row>
    <row r="3672" spans="9:9" x14ac:dyDescent="0.25">
      <c r="I3672" s="227" t="str">
        <f>MID(excPisCofins[[#This Row],[CodBarras2]],2,50)</f>
        <v/>
      </c>
    </row>
    <row r="3673" spans="9:9" x14ac:dyDescent="0.25">
      <c r="I3673" s="227" t="str">
        <f>MID(excPisCofins[[#This Row],[CodBarras2]],2,50)</f>
        <v/>
      </c>
    </row>
    <row r="3674" spans="9:9" x14ac:dyDescent="0.25">
      <c r="I3674" s="227" t="str">
        <f>MID(excPisCofins[[#This Row],[CodBarras2]],2,50)</f>
        <v/>
      </c>
    </row>
    <row r="3675" spans="9:9" x14ac:dyDescent="0.25">
      <c r="I3675" s="227" t="str">
        <f>MID(excPisCofins[[#This Row],[CodBarras2]],2,50)</f>
        <v/>
      </c>
    </row>
    <row r="3676" spans="9:9" x14ac:dyDescent="0.25">
      <c r="I3676" s="227" t="str">
        <f>MID(excPisCofins[[#This Row],[CodBarras2]],2,50)</f>
        <v/>
      </c>
    </row>
    <row r="3677" spans="9:9" x14ac:dyDescent="0.25">
      <c r="I3677" s="227" t="str">
        <f>MID(excPisCofins[[#This Row],[CodBarras2]],2,50)</f>
        <v/>
      </c>
    </row>
    <row r="3678" spans="9:9" x14ac:dyDescent="0.25">
      <c r="I3678" s="227" t="str">
        <f>MID(excPisCofins[[#This Row],[CodBarras2]],2,50)</f>
        <v/>
      </c>
    </row>
    <row r="3679" spans="9:9" x14ac:dyDescent="0.25">
      <c r="I3679" s="227" t="str">
        <f>MID(excPisCofins[[#This Row],[CodBarras2]],2,50)</f>
        <v/>
      </c>
    </row>
    <row r="3680" spans="9:9" x14ac:dyDescent="0.25">
      <c r="I3680" s="227" t="str">
        <f>MID(excPisCofins[[#This Row],[CodBarras2]],2,50)</f>
        <v/>
      </c>
    </row>
    <row r="3681" spans="9:9" x14ac:dyDescent="0.25">
      <c r="I3681" s="227" t="str">
        <f>MID(excPisCofins[[#This Row],[CodBarras2]],2,50)</f>
        <v/>
      </c>
    </row>
    <row r="3682" spans="9:9" x14ac:dyDescent="0.25">
      <c r="I3682" s="227" t="str">
        <f>MID(excPisCofins[[#This Row],[CodBarras2]],2,50)</f>
        <v/>
      </c>
    </row>
    <row r="3683" spans="9:9" x14ac:dyDescent="0.25">
      <c r="I3683" s="227" t="str">
        <f>MID(excPisCofins[[#This Row],[CodBarras2]],2,50)</f>
        <v/>
      </c>
    </row>
    <row r="3684" spans="9:9" x14ac:dyDescent="0.25">
      <c r="I3684" s="227" t="str">
        <f>MID(excPisCofins[[#This Row],[CodBarras2]],2,50)</f>
        <v/>
      </c>
    </row>
    <row r="3685" spans="9:9" x14ac:dyDescent="0.25">
      <c r="I3685" s="227" t="str">
        <f>MID(excPisCofins[[#This Row],[CodBarras2]],2,50)</f>
        <v/>
      </c>
    </row>
    <row r="3686" spans="9:9" x14ac:dyDescent="0.25">
      <c r="I3686" s="227" t="str">
        <f>MID(excPisCofins[[#This Row],[CodBarras2]],2,50)</f>
        <v/>
      </c>
    </row>
    <row r="3687" spans="9:9" x14ac:dyDescent="0.25">
      <c r="I3687" s="227" t="str">
        <f>MID(excPisCofins[[#This Row],[CodBarras2]],2,50)</f>
        <v/>
      </c>
    </row>
    <row r="3688" spans="9:9" x14ac:dyDescent="0.25">
      <c r="I3688" s="227" t="str">
        <f>MID(excPisCofins[[#This Row],[CodBarras2]],2,50)</f>
        <v/>
      </c>
    </row>
    <row r="3689" spans="9:9" x14ac:dyDescent="0.25">
      <c r="I3689" s="227" t="str">
        <f>MID(excPisCofins[[#This Row],[CodBarras2]],2,50)</f>
        <v/>
      </c>
    </row>
    <row r="3690" spans="9:9" x14ac:dyDescent="0.25">
      <c r="I3690" s="227" t="str">
        <f>MID(excPisCofins[[#This Row],[CodBarras2]],2,50)</f>
        <v/>
      </c>
    </row>
    <row r="3691" spans="9:9" x14ac:dyDescent="0.25">
      <c r="I3691" s="227" t="str">
        <f>MID(excPisCofins[[#This Row],[CodBarras2]],2,50)</f>
        <v/>
      </c>
    </row>
    <row r="3692" spans="9:9" x14ac:dyDescent="0.25">
      <c r="I3692" s="227" t="str">
        <f>MID(excPisCofins[[#This Row],[CodBarras2]],2,50)</f>
        <v/>
      </c>
    </row>
    <row r="3693" spans="9:9" x14ac:dyDescent="0.25">
      <c r="I3693" s="227" t="str">
        <f>MID(excPisCofins[[#This Row],[CodBarras2]],2,50)</f>
        <v/>
      </c>
    </row>
    <row r="3694" spans="9:9" x14ac:dyDescent="0.25">
      <c r="I3694" s="227" t="str">
        <f>MID(excPisCofins[[#This Row],[CodBarras2]],2,50)</f>
        <v/>
      </c>
    </row>
    <row r="3695" spans="9:9" x14ac:dyDescent="0.25">
      <c r="I3695" s="227" t="str">
        <f>MID(excPisCofins[[#This Row],[CodBarras2]],2,50)</f>
        <v/>
      </c>
    </row>
    <row r="3696" spans="9:9" x14ac:dyDescent="0.25">
      <c r="I3696" s="227" t="str">
        <f>MID(excPisCofins[[#This Row],[CodBarras2]],2,50)</f>
        <v/>
      </c>
    </row>
    <row r="3697" spans="9:9" x14ac:dyDescent="0.25">
      <c r="I3697" s="227" t="str">
        <f>MID(excPisCofins[[#This Row],[CodBarras2]],2,50)</f>
        <v/>
      </c>
    </row>
    <row r="3698" spans="9:9" x14ac:dyDescent="0.25">
      <c r="I3698" s="227" t="str">
        <f>MID(excPisCofins[[#This Row],[CodBarras2]],2,50)</f>
        <v/>
      </c>
    </row>
    <row r="3699" spans="9:9" x14ac:dyDescent="0.25">
      <c r="I3699" s="227" t="str">
        <f>MID(excPisCofins[[#This Row],[CodBarras2]],2,50)</f>
        <v/>
      </c>
    </row>
    <row r="3700" spans="9:9" x14ac:dyDescent="0.25">
      <c r="I3700" s="227" t="str">
        <f>MID(excPisCofins[[#This Row],[CodBarras2]],2,50)</f>
        <v/>
      </c>
    </row>
    <row r="3701" spans="9:9" x14ac:dyDescent="0.25">
      <c r="I3701" s="227" t="str">
        <f>MID(excPisCofins[[#This Row],[CodBarras2]],2,50)</f>
        <v/>
      </c>
    </row>
    <row r="3702" spans="9:9" x14ac:dyDescent="0.25">
      <c r="I3702" s="227" t="str">
        <f>MID(excPisCofins[[#This Row],[CodBarras2]],2,50)</f>
        <v/>
      </c>
    </row>
    <row r="3703" spans="9:9" x14ac:dyDescent="0.25">
      <c r="I3703" s="227" t="str">
        <f>MID(excPisCofins[[#This Row],[CodBarras2]],2,50)</f>
        <v/>
      </c>
    </row>
    <row r="3704" spans="9:9" x14ac:dyDescent="0.25">
      <c r="I3704" s="227" t="str">
        <f>MID(excPisCofins[[#This Row],[CodBarras2]],2,50)</f>
        <v/>
      </c>
    </row>
    <row r="3705" spans="9:9" x14ac:dyDescent="0.25">
      <c r="I3705" s="227" t="str">
        <f>MID(excPisCofins[[#This Row],[CodBarras2]],2,50)</f>
        <v/>
      </c>
    </row>
    <row r="3706" spans="9:9" x14ac:dyDescent="0.25">
      <c r="I3706" s="227" t="str">
        <f>MID(excPisCofins[[#This Row],[CodBarras2]],2,50)</f>
        <v/>
      </c>
    </row>
    <row r="3707" spans="9:9" x14ac:dyDescent="0.25">
      <c r="I3707" s="227" t="str">
        <f>MID(excPisCofins[[#This Row],[CodBarras2]],2,50)</f>
        <v/>
      </c>
    </row>
    <row r="3708" spans="9:9" x14ac:dyDescent="0.25">
      <c r="I3708" s="227" t="str">
        <f>MID(excPisCofins[[#This Row],[CodBarras2]],2,50)</f>
        <v/>
      </c>
    </row>
    <row r="3709" spans="9:9" x14ac:dyDescent="0.25">
      <c r="I3709" s="227" t="str">
        <f>MID(excPisCofins[[#This Row],[CodBarras2]],2,50)</f>
        <v/>
      </c>
    </row>
    <row r="3710" spans="9:9" x14ac:dyDescent="0.25">
      <c r="I3710" s="227" t="str">
        <f>MID(excPisCofins[[#This Row],[CodBarras2]],2,50)</f>
        <v/>
      </c>
    </row>
    <row r="3711" spans="9:9" x14ac:dyDescent="0.25">
      <c r="I3711" s="227" t="str">
        <f>MID(excPisCofins[[#This Row],[CodBarras2]],2,50)</f>
        <v/>
      </c>
    </row>
    <row r="3712" spans="9:9" x14ac:dyDescent="0.25">
      <c r="I3712" s="227" t="str">
        <f>MID(excPisCofins[[#This Row],[CodBarras2]],2,50)</f>
        <v/>
      </c>
    </row>
    <row r="3713" spans="9:9" x14ac:dyDescent="0.25">
      <c r="I3713" s="227" t="str">
        <f>MID(excPisCofins[[#This Row],[CodBarras2]],2,50)</f>
        <v/>
      </c>
    </row>
    <row r="3714" spans="9:9" x14ac:dyDescent="0.25">
      <c r="I3714" s="227" t="str">
        <f>MID(excPisCofins[[#This Row],[CodBarras2]],2,50)</f>
        <v/>
      </c>
    </row>
    <row r="3715" spans="9:9" x14ac:dyDescent="0.25">
      <c r="I3715" s="227" t="str">
        <f>MID(excPisCofins[[#This Row],[CodBarras2]],2,50)</f>
        <v/>
      </c>
    </row>
    <row r="3716" spans="9:9" x14ac:dyDescent="0.25">
      <c r="I3716" s="227" t="str">
        <f>MID(excPisCofins[[#This Row],[CodBarras2]],2,50)</f>
        <v/>
      </c>
    </row>
    <row r="3717" spans="9:9" x14ac:dyDescent="0.25">
      <c r="I3717" s="227" t="str">
        <f>MID(excPisCofins[[#This Row],[CodBarras2]],2,50)</f>
        <v/>
      </c>
    </row>
    <row r="3718" spans="9:9" x14ac:dyDescent="0.25">
      <c r="I3718" s="227" t="str">
        <f>MID(excPisCofins[[#This Row],[CodBarras2]],2,50)</f>
        <v/>
      </c>
    </row>
    <row r="3719" spans="9:9" x14ac:dyDescent="0.25">
      <c r="I3719" s="227" t="str">
        <f>MID(excPisCofins[[#This Row],[CodBarras2]],2,50)</f>
        <v/>
      </c>
    </row>
    <row r="3720" spans="9:9" x14ac:dyDescent="0.25">
      <c r="I3720" s="227" t="str">
        <f>MID(excPisCofins[[#This Row],[CodBarras2]],2,50)</f>
        <v/>
      </c>
    </row>
    <row r="3721" spans="9:9" x14ac:dyDescent="0.25">
      <c r="I3721" s="227" t="str">
        <f>MID(excPisCofins[[#This Row],[CodBarras2]],2,50)</f>
        <v/>
      </c>
    </row>
    <row r="3722" spans="9:9" x14ac:dyDescent="0.25">
      <c r="I3722" s="227" t="str">
        <f>MID(excPisCofins[[#This Row],[CodBarras2]],2,50)</f>
        <v/>
      </c>
    </row>
    <row r="3723" spans="9:9" x14ac:dyDescent="0.25">
      <c r="I3723" s="227" t="str">
        <f>MID(excPisCofins[[#This Row],[CodBarras2]],2,50)</f>
        <v/>
      </c>
    </row>
    <row r="3724" spans="9:9" x14ac:dyDescent="0.25">
      <c r="I3724" s="227" t="str">
        <f>MID(excPisCofins[[#This Row],[CodBarras2]],2,50)</f>
        <v/>
      </c>
    </row>
    <row r="3725" spans="9:9" x14ac:dyDescent="0.25">
      <c r="I3725" s="227" t="str">
        <f>MID(excPisCofins[[#This Row],[CodBarras2]],2,50)</f>
        <v/>
      </c>
    </row>
    <row r="3726" spans="9:9" x14ac:dyDescent="0.25">
      <c r="I3726" s="227" t="str">
        <f>MID(excPisCofins[[#This Row],[CodBarras2]],2,50)</f>
        <v/>
      </c>
    </row>
    <row r="3727" spans="9:9" x14ac:dyDescent="0.25">
      <c r="I3727" s="227" t="str">
        <f>MID(excPisCofins[[#This Row],[CodBarras2]],2,50)</f>
        <v/>
      </c>
    </row>
    <row r="3728" spans="9:9" x14ac:dyDescent="0.25">
      <c r="I3728" s="227" t="str">
        <f>MID(excPisCofins[[#This Row],[CodBarras2]],2,50)</f>
        <v/>
      </c>
    </row>
    <row r="3729" spans="9:9" x14ac:dyDescent="0.25">
      <c r="I3729" s="227" t="str">
        <f>MID(excPisCofins[[#This Row],[CodBarras2]],2,50)</f>
        <v/>
      </c>
    </row>
    <row r="3730" spans="9:9" x14ac:dyDescent="0.25">
      <c r="I3730" s="227" t="str">
        <f>MID(excPisCofins[[#This Row],[CodBarras2]],2,50)</f>
        <v/>
      </c>
    </row>
    <row r="3731" spans="9:9" x14ac:dyDescent="0.25">
      <c r="I3731" s="227" t="str">
        <f>MID(excPisCofins[[#This Row],[CodBarras2]],2,50)</f>
        <v/>
      </c>
    </row>
    <row r="3732" spans="9:9" x14ac:dyDescent="0.25">
      <c r="I3732" s="227" t="str">
        <f>MID(excPisCofins[[#This Row],[CodBarras2]],2,50)</f>
        <v/>
      </c>
    </row>
    <row r="3733" spans="9:9" x14ac:dyDescent="0.25">
      <c r="I3733" s="227" t="str">
        <f>MID(excPisCofins[[#This Row],[CodBarras2]],2,50)</f>
        <v/>
      </c>
    </row>
    <row r="3734" spans="9:9" x14ac:dyDescent="0.25">
      <c r="I3734" s="227" t="str">
        <f>MID(excPisCofins[[#This Row],[CodBarras2]],2,50)</f>
        <v/>
      </c>
    </row>
    <row r="3735" spans="9:9" x14ac:dyDescent="0.25">
      <c r="I3735" s="227" t="str">
        <f>MID(excPisCofins[[#This Row],[CodBarras2]],2,50)</f>
        <v/>
      </c>
    </row>
    <row r="3736" spans="9:9" x14ac:dyDescent="0.25">
      <c r="I3736" s="227" t="str">
        <f>MID(excPisCofins[[#This Row],[CodBarras2]],2,50)</f>
        <v/>
      </c>
    </row>
    <row r="3737" spans="9:9" x14ac:dyDescent="0.25">
      <c r="I3737" s="227" t="str">
        <f>MID(excPisCofins[[#This Row],[CodBarras2]],2,50)</f>
        <v/>
      </c>
    </row>
    <row r="3738" spans="9:9" x14ac:dyDescent="0.25">
      <c r="I3738" s="227" t="str">
        <f>MID(excPisCofins[[#This Row],[CodBarras2]],2,50)</f>
        <v/>
      </c>
    </row>
    <row r="3739" spans="9:9" x14ac:dyDescent="0.25">
      <c r="I3739" s="227" t="str">
        <f>MID(excPisCofins[[#This Row],[CodBarras2]],2,50)</f>
        <v/>
      </c>
    </row>
    <row r="3740" spans="9:9" x14ac:dyDescent="0.25">
      <c r="I3740" s="227" t="str">
        <f>MID(excPisCofins[[#This Row],[CodBarras2]],2,50)</f>
        <v/>
      </c>
    </row>
    <row r="3741" spans="9:9" x14ac:dyDescent="0.25">
      <c r="I3741" s="227" t="str">
        <f>MID(excPisCofins[[#This Row],[CodBarras2]],2,50)</f>
        <v/>
      </c>
    </row>
    <row r="3742" spans="9:9" x14ac:dyDescent="0.25">
      <c r="I3742" s="227" t="str">
        <f>MID(excPisCofins[[#This Row],[CodBarras2]],2,50)</f>
        <v/>
      </c>
    </row>
    <row r="3743" spans="9:9" x14ac:dyDescent="0.25">
      <c r="I3743" s="227" t="str">
        <f>MID(excPisCofins[[#This Row],[CodBarras2]],2,50)</f>
        <v/>
      </c>
    </row>
    <row r="3744" spans="9:9" x14ac:dyDescent="0.25">
      <c r="I3744" s="227" t="str">
        <f>MID(excPisCofins[[#This Row],[CodBarras2]],2,50)</f>
        <v/>
      </c>
    </row>
    <row r="3745" spans="9:9" x14ac:dyDescent="0.25">
      <c r="I3745" s="227" t="str">
        <f>MID(excPisCofins[[#This Row],[CodBarras2]],2,50)</f>
        <v/>
      </c>
    </row>
    <row r="3746" spans="9:9" x14ac:dyDescent="0.25">
      <c r="I3746" s="227" t="str">
        <f>MID(excPisCofins[[#This Row],[CodBarras2]],2,50)</f>
        <v/>
      </c>
    </row>
    <row r="3747" spans="9:9" x14ac:dyDescent="0.25">
      <c r="I3747" s="227" t="str">
        <f>MID(excPisCofins[[#This Row],[CodBarras2]],2,50)</f>
        <v/>
      </c>
    </row>
    <row r="3748" spans="9:9" x14ac:dyDescent="0.25">
      <c r="I3748" s="227" t="str">
        <f>MID(excPisCofins[[#This Row],[CodBarras2]],2,50)</f>
        <v/>
      </c>
    </row>
    <row r="3749" spans="9:9" x14ac:dyDescent="0.25">
      <c r="I3749" s="227" t="str">
        <f>MID(excPisCofins[[#This Row],[CodBarras2]],2,50)</f>
        <v/>
      </c>
    </row>
    <row r="3750" spans="9:9" x14ac:dyDescent="0.25">
      <c r="I3750" s="227" t="str">
        <f>MID(excPisCofins[[#This Row],[CodBarras2]],2,50)</f>
        <v/>
      </c>
    </row>
    <row r="3751" spans="9:9" x14ac:dyDescent="0.25">
      <c r="I3751" s="227" t="str">
        <f>MID(excPisCofins[[#This Row],[CodBarras2]],2,50)</f>
        <v/>
      </c>
    </row>
    <row r="3752" spans="9:9" x14ac:dyDescent="0.25">
      <c r="I3752" s="227" t="str">
        <f>MID(excPisCofins[[#This Row],[CodBarras2]],2,50)</f>
        <v/>
      </c>
    </row>
    <row r="3753" spans="9:9" x14ac:dyDescent="0.25">
      <c r="I3753" s="227" t="str">
        <f>MID(excPisCofins[[#This Row],[CodBarras2]],2,50)</f>
        <v/>
      </c>
    </row>
    <row r="3754" spans="9:9" x14ac:dyDescent="0.25">
      <c r="I3754" s="227" t="str">
        <f>MID(excPisCofins[[#This Row],[CodBarras2]],2,50)</f>
        <v/>
      </c>
    </row>
    <row r="3755" spans="9:9" x14ac:dyDescent="0.25">
      <c r="I3755" s="227" t="str">
        <f>MID(excPisCofins[[#This Row],[CodBarras2]],2,50)</f>
        <v/>
      </c>
    </row>
    <row r="3756" spans="9:9" x14ac:dyDescent="0.25">
      <c r="I3756" s="227" t="str">
        <f>MID(excPisCofins[[#This Row],[CodBarras2]],2,50)</f>
        <v/>
      </c>
    </row>
    <row r="3757" spans="9:9" x14ac:dyDescent="0.25">
      <c r="I3757" s="227" t="str">
        <f>MID(excPisCofins[[#This Row],[CodBarras2]],2,50)</f>
        <v/>
      </c>
    </row>
    <row r="3758" spans="9:9" x14ac:dyDescent="0.25">
      <c r="I3758" s="227" t="str">
        <f>MID(excPisCofins[[#This Row],[CodBarras2]],2,50)</f>
        <v/>
      </c>
    </row>
    <row r="3759" spans="9:9" x14ac:dyDescent="0.25">
      <c r="I3759" s="227" t="str">
        <f>MID(excPisCofins[[#This Row],[CodBarras2]],2,50)</f>
        <v/>
      </c>
    </row>
    <row r="3760" spans="9:9" x14ac:dyDescent="0.25">
      <c r="I3760" s="227" t="str">
        <f>MID(excPisCofins[[#This Row],[CodBarras2]],2,50)</f>
        <v/>
      </c>
    </row>
    <row r="3761" spans="9:9" x14ac:dyDescent="0.25">
      <c r="I3761" s="227" t="str">
        <f>MID(excPisCofins[[#This Row],[CodBarras2]],2,50)</f>
        <v/>
      </c>
    </row>
    <row r="3762" spans="9:9" x14ac:dyDescent="0.25">
      <c r="I3762" s="227" t="str">
        <f>MID(excPisCofins[[#This Row],[CodBarras2]],2,50)</f>
        <v/>
      </c>
    </row>
    <row r="3763" spans="9:9" x14ac:dyDescent="0.25">
      <c r="I3763" s="227" t="str">
        <f>MID(excPisCofins[[#This Row],[CodBarras2]],2,50)</f>
        <v/>
      </c>
    </row>
    <row r="3764" spans="9:9" x14ac:dyDescent="0.25">
      <c r="I3764" s="227" t="str">
        <f>MID(excPisCofins[[#This Row],[CodBarras2]],2,50)</f>
        <v/>
      </c>
    </row>
    <row r="3765" spans="9:9" x14ac:dyDescent="0.25">
      <c r="I3765" s="227" t="str">
        <f>MID(excPisCofins[[#This Row],[CodBarras2]],2,50)</f>
        <v/>
      </c>
    </row>
    <row r="3766" spans="9:9" x14ac:dyDescent="0.25">
      <c r="I3766" s="227" t="str">
        <f>MID(excPisCofins[[#This Row],[CodBarras2]],2,50)</f>
        <v/>
      </c>
    </row>
    <row r="3767" spans="9:9" x14ac:dyDescent="0.25">
      <c r="I3767" s="227" t="str">
        <f>MID(excPisCofins[[#This Row],[CodBarras2]],2,50)</f>
        <v/>
      </c>
    </row>
    <row r="3768" spans="9:9" x14ac:dyDescent="0.25">
      <c r="I3768" s="227" t="str">
        <f>MID(excPisCofins[[#This Row],[CodBarras2]],2,50)</f>
        <v/>
      </c>
    </row>
    <row r="3769" spans="9:9" x14ac:dyDescent="0.25">
      <c r="I3769" s="227" t="str">
        <f>MID(excPisCofins[[#This Row],[CodBarras2]],2,50)</f>
        <v/>
      </c>
    </row>
    <row r="3770" spans="9:9" x14ac:dyDescent="0.25">
      <c r="I3770" s="227" t="str">
        <f>MID(excPisCofins[[#This Row],[CodBarras2]],2,50)</f>
        <v/>
      </c>
    </row>
    <row r="3771" spans="9:9" x14ac:dyDescent="0.25">
      <c r="I3771" s="227" t="str">
        <f>MID(excPisCofins[[#This Row],[CodBarras2]],2,50)</f>
        <v/>
      </c>
    </row>
    <row r="3772" spans="9:9" x14ac:dyDescent="0.25">
      <c r="I3772" s="227" t="str">
        <f>MID(excPisCofins[[#This Row],[CodBarras2]],2,50)</f>
        <v/>
      </c>
    </row>
    <row r="3773" spans="9:9" x14ac:dyDescent="0.25">
      <c r="I3773" s="227" t="str">
        <f>MID(excPisCofins[[#This Row],[CodBarras2]],2,50)</f>
        <v/>
      </c>
    </row>
    <row r="3774" spans="9:9" x14ac:dyDescent="0.25">
      <c r="I3774" s="227" t="str">
        <f>MID(excPisCofins[[#This Row],[CodBarras2]],2,50)</f>
        <v/>
      </c>
    </row>
    <row r="3775" spans="9:9" x14ac:dyDescent="0.25">
      <c r="I3775" s="227" t="str">
        <f>MID(excPisCofins[[#This Row],[CodBarras2]],2,50)</f>
        <v/>
      </c>
    </row>
    <row r="3776" spans="9:9" x14ac:dyDescent="0.25">
      <c r="I3776" s="227" t="str">
        <f>MID(excPisCofins[[#This Row],[CodBarras2]],2,50)</f>
        <v/>
      </c>
    </row>
    <row r="3777" spans="9:9" x14ac:dyDescent="0.25">
      <c r="I3777" s="227" t="str">
        <f>MID(excPisCofins[[#This Row],[CodBarras2]],2,50)</f>
        <v/>
      </c>
    </row>
    <row r="3778" spans="9:9" x14ac:dyDescent="0.25">
      <c r="I3778" s="227" t="str">
        <f>MID(excPisCofins[[#This Row],[CodBarras2]],2,50)</f>
        <v/>
      </c>
    </row>
    <row r="3779" spans="9:9" x14ac:dyDescent="0.25">
      <c r="I3779" s="227" t="str">
        <f>MID(excPisCofins[[#This Row],[CodBarras2]],2,50)</f>
        <v/>
      </c>
    </row>
    <row r="3780" spans="9:9" x14ac:dyDescent="0.25">
      <c r="I3780" s="227" t="str">
        <f>MID(excPisCofins[[#This Row],[CodBarras2]],2,50)</f>
        <v/>
      </c>
    </row>
    <row r="3781" spans="9:9" x14ac:dyDescent="0.25">
      <c r="I3781" s="227" t="str">
        <f>MID(excPisCofins[[#This Row],[CodBarras2]],2,50)</f>
        <v/>
      </c>
    </row>
    <row r="3782" spans="9:9" x14ac:dyDescent="0.25">
      <c r="I3782" s="227" t="str">
        <f>MID(excPisCofins[[#This Row],[CodBarras2]],2,50)</f>
        <v/>
      </c>
    </row>
    <row r="3783" spans="9:9" x14ac:dyDescent="0.25">
      <c r="I3783" s="227" t="str">
        <f>MID(excPisCofins[[#This Row],[CodBarras2]],2,50)</f>
        <v/>
      </c>
    </row>
    <row r="3784" spans="9:9" x14ac:dyDescent="0.25">
      <c r="I3784" s="227" t="str">
        <f>MID(excPisCofins[[#This Row],[CodBarras2]],2,50)</f>
        <v/>
      </c>
    </row>
    <row r="3785" spans="9:9" x14ac:dyDescent="0.25">
      <c r="I3785" s="227" t="str">
        <f>MID(excPisCofins[[#This Row],[CodBarras2]],2,50)</f>
        <v/>
      </c>
    </row>
    <row r="3786" spans="9:9" x14ac:dyDescent="0.25">
      <c r="I3786" s="227" t="str">
        <f>MID(excPisCofins[[#This Row],[CodBarras2]],2,50)</f>
        <v/>
      </c>
    </row>
    <row r="3787" spans="9:9" x14ac:dyDescent="0.25">
      <c r="I3787" s="227" t="str">
        <f>MID(excPisCofins[[#This Row],[CodBarras2]],2,50)</f>
        <v/>
      </c>
    </row>
    <row r="3788" spans="9:9" x14ac:dyDescent="0.25">
      <c r="I3788" s="227" t="str">
        <f>MID(excPisCofins[[#This Row],[CodBarras2]],2,50)</f>
        <v/>
      </c>
    </row>
    <row r="3789" spans="9:9" x14ac:dyDescent="0.25">
      <c r="I3789" s="227" t="str">
        <f>MID(excPisCofins[[#This Row],[CodBarras2]],2,50)</f>
        <v/>
      </c>
    </row>
    <row r="3790" spans="9:9" x14ac:dyDescent="0.25">
      <c r="I3790" s="227" t="str">
        <f>MID(excPisCofins[[#This Row],[CodBarras2]],2,50)</f>
        <v/>
      </c>
    </row>
    <row r="3791" spans="9:9" x14ac:dyDescent="0.25">
      <c r="I3791" s="227" t="str">
        <f>MID(excPisCofins[[#This Row],[CodBarras2]],2,50)</f>
        <v/>
      </c>
    </row>
    <row r="3792" spans="9:9" x14ac:dyDescent="0.25">
      <c r="I3792" s="227" t="str">
        <f>MID(excPisCofins[[#This Row],[CodBarras2]],2,50)</f>
        <v/>
      </c>
    </row>
    <row r="3793" spans="9:9" x14ac:dyDescent="0.25">
      <c r="I3793" s="227" t="str">
        <f>MID(excPisCofins[[#This Row],[CodBarras2]],2,50)</f>
        <v/>
      </c>
    </row>
    <row r="3794" spans="9:9" x14ac:dyDescent="0.25">
      <c r="I3794" s="227" t="str">
        <f>MID(excPisCofins[[#This Row],[CodBarras2]],2,50)</f>
        <v/>
      </c>
    </row>
    <row r="3795" spans="9:9" x14ac:dyDescent="0.25">
      <c r="I3795" s="227" t="str">
        <f>MID(excPisCofins[[#This Row],[CodBarras2]],2,50)</f>
        <v/>
      </c>
    </row>
    <row r="3796" spans="9:9" x14ac:dyDescent="0.25">
      <c r="I3796" s="227" t="str">
        <f>MID(excPisCofins[[#This Row],[CodBarras2]],2,50)</f>
        <v/>
      </c>
    </row>
    <row r="3797" spans="9:9" x14ac:dyDescent="0.25">
      <c r="I3797" s="227" t="str">
        <f>MID(excPisCofins[[#This Row],[CodBarras2]],2,50)</f>
        <v/>
      </c>
    </row>
    <row r="3798" spans="9:9" x14ac:dyDescent="0.25">
      <c r="I3798" s="227" t="str">
        <f>MID(excPisCofins[[#This Row],[CodBarras2]],2,50)</f>
        <v/>
      </c>
    </row>
    <row r="3799" spans="9:9" x14ac:dyDescent="0.25">
      <c r="I3799" s="227" t="str">
        <f>MID(excPisCofins[[#This Row],[CodBarras2]],2,50)</f>
        <v/>
      </c>
    </row>
    <row r="3800" spans="9:9" x14ac:dyDescent="0.25">
      <c r="I3800" s="227" t="str">
        <f>MID(excPisCofins[[#This Row],[CodBarras2]],2,50)</f>
        <v/>
      </c>
    </row>
    <row r="3801" spans="9:9" x14ac:dyDescent="0.25">
      <c r="I3801" s="227" t="str">
        <f>MID(excPisCofins[[#This Row],[CodBarras2]],2,50)</f>
        <v/>
      </c>
    </row>
    <row r="3802" spans="9:9" x14ac:dyDescent="0.25">
      <c r="I3802" s="227" t="str">
        <f>MID(excPisCofins[[#This Row],[CodBarras2]],2,50)</f>
        <v/>
      </c>
    </row>
    <row r="3803" spans="9:9" x14ac:dyDescent="0.25">
      <c r="I3803" s="227" t="str">
        <f>MID(excPisCofins[[#This Row],[CodBarras2]],2,50)</f>
        <v/>
      </c>
    </row>
    <row r="3804" spans="9:9" x14ac:dyDescent="0.25">
      <c r="I3804" s="227" t="str">
        <f>MID(excPisCofins[[#This Row],[CodBarras2]],2,50)</f>
        <v/>
      </c>
    </row>
    <row r="3805" spans="9:9" x14ac:dyDescent="0.25">
      <c r="I3805" s="227" t="str">
        <f>MID(excPisCofins[[#This Row],[CodBarras2]],2,50)</f>
        <v/>
      </c>
    </row>
    <row r="3806" spans="9:9" x14ac:dyDescent="0.25">
      <c r="I3806" s="227" t="str">
        <f>MID(excPisCofins[[#This Row],[CodBarras2]],2,50)</f>
        <v/>
      </c>
    </row>
    <row r="3807" spans="9:9" x14ac:dyDescent="0.25">
      <c r="I3807" s="227" t="str">
        <f>MID(excPisCofins[[#This Row],[CodBarras2]],2,50)</f>
        <v/>
      </c>
    </row>
    <row r="3808" spans="9:9" x14ac:dyDescent="0.25">
      <c r="I3808" s="227" t="str">
        <f>MID(excPisCofins[[#This Row],[CodBarras2]],2,50)</f>
        <v/>
      </c>
    </row>
    <row r="3809" spans="9:9" x14ac:dyDescent="0.25">
      <c r="I3809" s="227" t="str">
        <f>MID(excPisCofins[[#This Row],[CodBarras2]],2,50)</f>
        <v/>
      </c>
    </row>
    <row r="3810" spans="9:9" x14ac:dyDescent="0.25">
      <c r="I3810" s="227" t="str">
        <f>MID(excPisCofins[[#This Row],[CodBarras2]],2,50)</f>
        <v/>
      </c>
    </row>
    <row r="3811" spans="9:9" x14ac:dyDescent="0.25">
      <c r="I3811" s="227" t="str">
        <f>MID(excPisCofins[[#This Row],[CodBarras2]],2,50)</f>
        <v/>
      </c>
    </row>
    <row r="3812" spans="9:9" x14ac:dyDescent="0.25">
      <c r="I3812" s="227" t="str">
        <f>MID(excPisCofins[[#This Row],[CodBarras2]],2,50)</f>
        <v/>
      </c>
    </row>
    <row r="3813" spans="9:9" x14ac:dyDescent="0.25">
      <c r="I3813" s="227" t="str">
        <f>MID(excPisCofins[[#This Row],[CodBarras2]],2,50)</f>
        <v/>
      </c>
    </row>
    <row r="3814" spans="9:9" x14ac:dyDescent="0.25">
      <c r="I3814" s="227" t="str">
        <f>MID(excPisCofins[[#This Row],[CodBarras2]],2,50)</f>
        <v/>
      </c>
    </row>
    <row r="3815" spans="9:9" x14ac:dyDescent="0.25">
      <c r="I3815" s="227" t="str">
        <f>MID(excPisCofins[[#This Row],[CodBarras2]],2,50)</f>
        <v/>
      </c>
    </row>
    <row r="3816" spans="9:9" x14ac:dyDescent="0.25">
      <c r="I3816" s="227" t="str">
        <f>MID(excPisCofins[[#This Row],[CodBarras2]],2,50)</f>
        <v/>
      </c>
    </row>
    <row r="3817" spans="9:9" x14ac:dyDescent="0.25">
      <c r="I3817" s="227" t="str">
        <f>MID(excPisCofins[[#This Row],[CodBarras2]],2,50)</f>
        <v/>
      </c>
    </row>
    <row r="3818" spans="9:9" x14ac:dyDescent="0.25">
      <c r="I3818" s="227" t="str">
        <f>MID(excPisCofins[[#This Row],[CodBarras2]],2,50)</f>
        <v/>
      </c>
    </row>
    <row r="3819" spans="9:9" x14ac:dyDescent="0.25">
      <c r="I3819" s="227" t="str">
        <f>MID(excPisCofins[[#This Row],[CodBarras2]],2,50)</f>
        <v/>
      </c>
    </row>
    <row r="3820" spans="9:9" x14ac:dyDescent="0.25">
      <c r="I3820" s="227" t="str">
        <f>MID(excPisCofins[[#This Row],[CodBarras2]],2,50)</f>
        <v/>
      </c>
    </row>
    <row r="3821" spans="9:9" x14ac:dyDescent="0.25">
      <c r="I3821" s="227" t="str">
        <f>MID(excPisCofins[[#This Row],[CodBarras2]],2,50)</f>
        <v/>
      </c>
    </row>
    <row r="3822" spans="9:9" x14ac:dyDescent="0.25">
      <c r="I3822" s="227" t="str">
        <f>MID(excPisCofins[[#This Row],[CodBarras2]],2,50)</f>
        <v/>
      </c>
    </row>
    <row r="3823" spans="9:9" x14ac:dyDescent="0.25">
      <c r="I3823" s="227" t="str">
        <f>MID(excPisCofins[[#This Row],[CodBarras2]],2,50)</f>
        <v/>
      </c>
    </row>
    <row r="3824" spans="9:9" x14ac:dyDescent="0.25">
      <c r="I3824" s="227" t="str">
        <f>MID(excPisCofins[[#This Row],[CodBarras2]],2,50)</f>
        <v/>
      </c>
    </row>
    <row r="3825" spans="9:9" x14ac:dyDescent="0.25">
      <c r="I3825" s="227" t="str">
        <f>MID(excPisCofins[[#This Row],[CodBarras2]],2,50)</f>
        <v/>
      </c>
    </row>
    <row r="3826" spans="9:9" x14ac:dyDescent="0.25">
      <c r="I3826" s="227" t="str">
        <f>MID(excPisCofins[[#This Row],[CodBarras2]],2,50)</f>
        <v/>
      </c>
    </row>
    <row r="3827" spans="9:9" x14ac:dyDescent="0.25">
      <c r="I3827" s="227" t="str">
        <f>MID(excPisCofins[[#This Row],[CodBarras2]],2,50)</f>
        <v/>
      </c>
    </row>
    <row r="3828" spans="9:9" x14ac:dyDescent="0.25">
      <c r="I3828" s="227" t="str">
        <f>MID(excPisCofins[[#This Row],[CodBarras2]],2,50)</f>
        <v/>
      </c>
    </row>
    <row r="3829" spans="9:9" x14ac:dyDescent="0.25">
      <c r="I3829" s="227" t="str">
        <f>MID(excPisCofins[[#This Row],[CodBarras2]],2,50)</f>
        <v/>
      </c>
    </row>
    <row r="3830" spans="9:9" x14ac:dyDescent="0.25">
      <c r="I3830" s="227" t="str">
        <f>MID(excPisCofins[[#This Row],[CodBarras2]],2,50)</f>
        <v/>
      </c>
    </row>
    <row r="3831" spans="9:9" x14ac:dyDescent="0.25">
      <c r="I3831" s="227" t="str">
        <f>MID(excPisCofins[[#This Row],[CodBarras2]],2,50)</f>
        <v/>
      </c>
    </row>
    <row r="3832" spans="9:9" x14ac:dyDescent="0.25">
      <c r="I3832" s="227" t="str">
        <f>MID(excPisCofins[[#This Row],[CodBarras2]],2,50)</f>
        <v/>
      </c>
    </row>
    <row r="3833" spans="9:9" x14ac:dyDescent="0.25">
      <c r="I3833" s="227" t="str">
        <f>MID(excPisCofins[[#This Row],[CodBarras2]],2,50)</f>
        <v/>
      </c>
    </row>
    <row r="3834" spans="9:9" x14ac:dyDescent="0.25">
      <c r="I3834" s="227" t="str">
        <f>MID(excPisCofins[[#This Row],[CodBarras2]],2,50)</f>
        <v/>
      </c>
    </row>
    <row r="3835" spans="9:9" x14ac:dyDescent="0.25">
      <c r="I3835" s="227" t="str">
        <f>MID(excPisCofins[[#This Row],[CodBarras2]],2,50)</f>
        <v/>
      </c>
    </row>
    <row r="3836" spans="9:9" x14ac:dyDescent="0.25">
      <c r="I3836" s="227" t="str">
        <f>MID(excPisCofins[[#This Row],[CodBarras2]],2,50)</f>
        <v/>
      </c>
    </row>
    <row r="3837" spans="9:9" x14ac:dyDescent="0.25">
      <c r="I3837" s="227" t="str">
        <f>MID(excPisCofins[[#This Row],[CodBarras2]],2,50)</f>
        <v/>
      </c>
    </row>
    <row r="3838" spans="9:9" x14ac:dyDescent="0.25">
      <c r="I3838" s="227" t="str">
        <f>MID(excPisCofins[[#This Row],[CodBarras2]],2,50)</f>
        <v/>
      </c>
    </row>
    <row r="3839" spans="9:9" x14ac:dyDescent="0.25">
      <c r="I3839" s="227" t="str">
        <f>MID(excPisCofins[[#This Row],[CodBarras2]],2,50)</f>
        <v/>
      </c>
    </row>
    <row r="3840" spans="9:9" x14ac:dyDescent="0.25">
      <c r="I3840" s="227" t="str">
        <f>MID(excPisCofins[[#This Row],[CodBarras2]],2,50)</f>
        <v/>
      </c>
    </row>
    <row r="3841" spans="9:9" x14ac:dyDescent="0.25">
      <c r="I3841" s="227" t="str">
        <f>MID(excPisCofins[[#This Row],[CodBarras2]],2,50)</f>
        <v/>
      </c>
    </row>
    <row r="3842" spans="9:9" x14ac:dyDescent="0.25">
      <c r="I3842" s="227" t="str">
        <f>MID(excPisCofins[[#This Row],[CodBarras2]],2,50)</f>
        <v/>
      </c>
    </row>
    <row r="3843" spans="9:9" x14ac:dyDescent="0.25">
      <c r="I3843" s="227" t="str">
        <f>MID(excPisCofins[[#This Row],[CodBarras2]],2,50)</f>
        <v/>
      </c>
    </row>
    <row r="3844" spans="9:9" x14ac:dyDescent="0.25">
      <c r="I3844" s="227" t="str">
        <f>MID(excPisCofins[[#This Row],[CodBarras2]],2,50)</f>
        <v/>
      </c>
    </row>
    <row r="3845" spans="9:9" x14ac:dyDescent="0.25">
      <c r="I3845" s="227" t="str">
        <f>MID(excPisCofins[[#This Row],[CodBarras2]],2,50)</f>
        <v/>
      </c>
    </row>
    <row r="3846" spans="9:9" x14ac:dyDescent="0.25">
      <c r="I3846" s="227" t="str">
        <f>MID(excPisCofins[[#This Row],[CodBarras2]],2,50)</f>
        <v/>
      </c>
    </row>
    <row r="3847" spans="9:9" x14ac:dyDescent="0.25">
      <c r="I3847" s="227" t="str">
        <f>MID(excPisCofins[[#This Row],[CodBarras2]],2,50)</f>
        <v/>
      </c>
    </row>
    <row r="3848" spans="9:9" x14ac:dyDescent="0.25">
      <c r="I3848" s="227" t="str">
        <f>MID(excPisCofins[[#This Row],[CodBarras2]],2,50)</f>
        <v/>
      </c>
    </row>
    <row r="3849" spans="9:9" x14ac:dyDescent="0.25">
      <c r="I3849" s="227" t="str">
        <f>MID(excPisCofins[[#This Row],[CodBarras2]],2,50)</f>
        <v/>
      </c>
    </row>
    <row r="3850" spans="9:9" x14ac:dyDescent="0.25">
      <c r="I3850" s="227" t="str">
        <f>MID(excPisCofins[[#This Row],[CodBarras2]],2,50)</f>
        <v/>
      </c>
    </row>
    <row r="3851" spans="9:9" x14ac:dyDescent="0.25">
      <c r="I3851" s="227" t="str">
        <f>MID(excPisCofins[[#This Row],[CodBarras2]],2,50)</f>
        <v/>
      </c>
    </row>
    <row r="3852" spans="9:9" x14ac:dyDescent="0.25">
      <c r="I3852" s="227" t="str">
        <f>MID(excPisCofins[[#This Row],[CodBarras2]],2,50)</f>
        <v/>
      </c>
    </row>
    <row r="3853" spans="9:9" x14ac:dyDescent="0.25">
      <c r="I3853" s="227" t="str">
        <f>MID(excPisCofins[[#This Row],[CodBarras2]],2,50)</f>
        <v/>
      </c>
    </row>
    <row r="3854" spans="9:9" x14ac:dyDescent="0.25">
      <c r="I3854" s="227" t="str">
        <f>MID(excPisCofins[[#This Row],[CodBarras2]],2,50)</f>
        <v/>
      </c>
    </row>
    <row r="3855" spans="9:9" x14ac:dyDescent="0.25">
      <c r="I3855" s="227" t="str">
        <f>MID(excPisCofins[[#This Row],[CodBarras2]],2,50)</f>
        <v/>
      </c>
    </row>
    <row r="3856" spans="9:9" x14ac:dyDescent="0.25">
      <c r="I3856" s="227" t="str">
        <f>MID(excPisCofins[[#This Row],[CodBarras2]],2,50)</f>
        <v/>
      </c>
    </row>
    <row r="3857" spans="9:9" x14ac:dyDescent="0.25">
      <c r="I3857" s="227" t="str">
        <f>MID(excPisCofins[[#This Row],[CodBarras2]],2,50)</f>
        <v/>
      </c>
    </row>
    <row r="3858" spans="9:9" x14ac:dyDescent="0.25">
      <c r="I3858" s="227" t="str">
        <f>MID(excPisCofins[[#This Row],[CodBarras2]],2,50)</f>
        <v/>
      </c>
    </row>
    <row r="3859" spans="9:9" x14ac:dyDescent="0.25">
      <c r="I3859" s="227" t="str">
        <f>MID(excPisCofins[[#This Row],[CodBarras2]],2,50)</f>
        <v/>
      </c>
    </row>
    <row r="3860" spans="9:9" x14ac:dyDescent="0.25">
      <c r="I3860" s="227" t="str">
        <f>MID(excPisCofins[[#This Row],[CodBarras2]],2,50)</f>
        <v/>
      </c>
    </row>
    <row r="3861" spans="9:9" x14ac:dyDescent="0.25">
      <c r="I3861" s="227" t="str">
        <f>MID(excPisCofins[[#This Row],[CodBarras2]],2,50)</f>
        <v/>
      </c>
    </row>
    <row r="3862" spans="9:9" x14ac:dyDescent="0.25">
      <c r="I3862" s="227" t="str">
        <f>MID(excPisCofins[[#This Row],[CodBarras2]],2,50)</f>
        <v/>
      </c>
    </row>
    <row r="3863" spans="9:9" x14ac:dyDescent="0.25">
      <c r="I3863" s="227" t="str">
        <f>MID(excPisCofins[[#This Row],[CodBarras2]],2,50)</f>
        <v/>
      </c>
    </row>
    <row r="3864" spans="9:9" x14ac:dyDescent="0.25">
      <c r="I3864" s="227" t="str">
        <f>MID(excPisCofins[[#This Row],[CodBarras2]],2,50)</f>
        <v/>
      </c>
    </row>
    <row r="3865" spans="9:9" x14ac:dyDescent="0.25">
      <c r="I3865" s="227" t="str">
        <f>MID(excPisCofins[[#This Row],[CodBarras2]],2,50)</f>
        <v/>
      </c>
    </row>
    <row r="3866" spans="9:9" x14ac:dyDescent="0.25">
      <c r="I3866" s="227" t="str">
        <f>MID(excPisCofins[[#This Row],[CodBarras2]],2,50)</f>
        <v/>
      </c>
    </row>
    <row r="3867" spans="9:9" x14ac:dyDescent="0.25">
      <c r="I3867" s="227" t="str">
        <f>MID(excPisCofins[[#This Row],[CodBarras2]],2,50)</f>
        <v/>
      </c>
    </row>
    <row r="3868" spans="9:9" x14ac:dyDescent="0.25">
      <c r="I3868" s="227" t="str">
        <f>MID(excPisCofins[[#This Row],[CodBarras2]],2,50)</f>
        <v/>
      </c>
    </row>
    <row r="3869" spans="9:9" x14ac:dyDescent="0.25">
      <c r="I3869" s="227" t="str">
        <f>MID(excPisCofins[[#This Row],[CodBarras2]],2,50)</f>
        <v/>
      </c>
    </row>
    <row r="3870" spans="9:9" x14ac:dyDescent="0.25">
      <c r="I3870" s="227" t="str">
        <f>MID(excPisCofins[[#This Row],[CodBarras2]],2,50)</f>
        <v/>
      </c>
    </row>
    <row r="3871" spans="9:9" x14ac:dyDescent="0.25">
      <c r="I3871" s="227" t="str">
        <f>MID(excPisCofins[[#This Row],[CodBarras2]],2,50)</f>
        <v/>
      </c>
    </row>
    <row r="3872" spans="9:9" x14ac:dyDescent="0.25">
      <c r="I3872" s="227" t="str">
        <f>MID(excPisCofins[[#This Row],[CodBarras2]],2,50)</f>
        <v/>
      </c>
    </row>
    <row r="3873" spans="9:9" x14ac:dyDescent="0.25">
      <c r="I3873" s="227" t="str">
        <f>MID(excPisCofins[[#This Row],[CodBarras2]],2,50)</f>
        <v/>
      </c>
    </row>
    <row r="3874" spans="9:9" x14ac:dyDescent="0.25">
      <c r="I3874" s="227" t="str">
        <f>MID(excPisCofins[[#This Row],[CodBarras2]],2,50)</f>
        <v/>
      </c>
    </row>
    <row r="3875" spans="9:9" x14ac:dyDescent="0.25">
      <c r="I3875" s="227" t="str">
        <f>MID(excPisCofins[[#This Row],[CodBarras2]],2,50)</f>
        <v/>
      </c>
    </row>
    <row r="3876" spans="9:9" x14ac:dyDescent="0.25">
      <c r="I3876" s="227" t="str">
        <f>MID(excPisCofins[[#This Row],[CodBarras2]],2,50)</f>
        <v/>
      </c>
    </row>
    <row r="3877" spans="9:9" x14ac:dyDescent="0.25">
      <c r="I3877" s="227" t="str">
        <f>MID(excPisCofins[[#This Row],[CodBarras2]],2,50)</f>
        <v/>
      </c>
    </row>
    <row r="3878" spans="9:9" x14ac:dyDescent="0.25">
      <c r="I3878" s="227" t="str">
        <f>MID(excPisCofins[[#This Row],[CodBarras2]],2,50)</f>
        <v/>
      </c>
    </row>
    <row r="3879" spans="9:9" x14ac:dyDescent="0.25">
      <c r="I3879" s="227" t="str">
        <f>MID(excPisCofins[[#This Row],[CodBarras2]],2,50)</f>
        <v/>
      </c>
    </row>
    <row r="3880" spans="9:9" x14ac:dyDescent="0.25">
      <c r="I3880" s="227" t="str">
        <f>MID(excPisCofins[[#This Row],[CodBarras2]],2,50)</f>
        <v/>
      </c>
    </row>
    <row r="3881" spans="9:9" x14ac:dyDescent="0.25">
      <c r="I3881" s="227" t="str">
        <f>MID(excPisCofins[[#This Row],[CodBarras2]],2,50)</f>
        <v/>
      </c>
    </row>
    <row r="3882" spans="9:9" x14ac:dyDescent="0.25">
      <c r="I3882" s="227" t="str">
        <f>MID(excPisCofins[[#This Row],[CodBarras2]],2,50)</f>
        <v/>
      </c>
    </row>
    <row r="3883" spans="9:9" x14ac:dyDescent="0.25">
      <c r="I3883" s="227" t="str">
        <f>MID(excPisCofins[[#This Row],[CodBarras2]],2,50)</f>
        <v/>
      </c>
    </row>
    <row r="3884" spans="9:9" x14ac:dyDescent="0.25">
      <c r="I3884" s="227" t="str">
        <f>MID(excPisCofins[[#This Row],[CodBarras2]],2,50)</f>
        <v/>
      </c>
    </row>
    <row r="3885" spans="9:9" x14ac:dyDescent="0.25">
      <c r="I3885" s="227" t="str">
        <f>MID(excPisCofins[[#This Row],[CodBarras2]],2,50)</f>
        <v/>
      </c>
    </row>
    <row r="3886" spans="9:9" x14ac:dyDescent="0.25">
      <c r="I3886" s="227" t="str">
        <f>MID(excPisCofins[[#This Row],[CodBarras2]],2,50)</f>
        <v/>
      </c>
    </row>
    <row r="3887" spans="9:9" x14ac:dyDescent="0.25">
      <c r="I3887" s="227" t="str">
        <f>MID(excPisCofins[[#This Row],[CodBarras2]],2,50)</f>
        <v/>
      </c>
    </row>
    <row r="3888" spans="9:9" x14ac:dyDescent="0.25">
      <c r="I3888" s="227" t="str">
        <f>MID(excPisCofins[[#This Row],[CodBarras2]],2,50)</f>
        <v/>
      </c>
    </row>
    <row r="3889" spans="9:9" x14ac:dyDescent="0.25">
      <c r="I3889" s="227" t="str">
        <f>MID(excPisCofins[[#This Row],[CodBarras2]],2,50)</f>
        <v/>
      </c>
    </row>
    <row r="3890" spans="9:9" x14ac:dyDescent="0.25">
      <c r="I3890" s="227" t="str">
        <f>MID(excPisCofins[[#This Row],[CodBarras2]],2,50)</f>
        <v/>
      </c>
    </row>
    <row r="3891" spans="9:9" x14ac:dyDescent="0.25">
      <c r="I3891" s="227" t="str">
        <f>MID(excPisCofins[[#This Row],[CodBarras2]],2,50)</f>
        <v/>
      </c>
    </row>
    <row r="3892" spans="9:9" x14ac:dyDescent="0.25">
      <c r="I3892" s="227" t="str">
        <f>MID(excPisCofins[[#This Row],[CodBarras2]],2,50)</f>
        <v/>
      </c>
    </row>
    <row r="3893" spans="9:9" x14ac:dyDescent="0.25">
      <c r="I3893" s="227" t="str">
        <f>MID(excPisCofins[[#This Row],[CodBarras2]],2,50)</f>
        <v/>
      </c>
    </row>
    <row r="3894" spans="9:9" x14ac:dyDescent="0.25">
      <c r="I3894" s="227" t="str">
        <f>MID(excPisCofins[[#This Row],[CodBarras2]],2,50)</f>
        <v/>
      </c>
    </row>
    <row r="3895" spans="9:9" x14ac:dyDescent="0.25">
      <c r="I3895" s="227" t="str">
        <f>MID(excPisCofins[[#This Row],[CodBarras2]],2,50)</f>
        <v/>
      </c>
    </row>
    <row r="3896" spans="9:9" x14ac:dyDescent="0.25">
      <c r="I3896" s="227" t="str">
        <f>MID(excPisCofins[[#This Row],[CodBarras2]],2,50)</f>
        <v/>
      </c>
    </row>
    <row r="3897" spans="9:9" x14ac:dyDescent="0.25">
      <c r="I3897" s="227" t="str">
        <f>MID(excPisCofins[[#This Row],[CodBarras2]],2,50)</f>
        <v/>
      </c>
    </row>
    <row r="3898" spans="9:9" x14ac:dyDescent="0.25">
      <c r="I3898" s="227" t="str">
        <f>MID(excPisCofins[[#This Row],[CodBarras2]],2,50)</f>
        <v/>
      </c>
    </row>
    <row r="3899" spans="9:9" x14ac:dyDescent="0.25">
      <c r="I3899" s="227" t="str">
        <f>MID(excPisCofins[[#This Row],[CodBarras2]],2,50)</f>
        <v/>
      </c>
    </row>
    <row r="3900" spans="9:9" x14ac:dyDescent="0.25">
      <c r="I3900" s="227" t="str">
        <f>MID(excPisCofins[[#This Row],[CodBarras2]],2,50)</f>
        <v/>
      </c>
    </row>
    <row r="3901" spans="9:9" x14ac:dyDescent="0.25">
      <c r="I3901" s="227" t="str">
        <f>MID(excPisCofins[[#This Row],[CodBarras2]],2,50)</f>
        <v/>
      </c>
    </row>
    <row r="3902" spans="9:9" x14ac:dyDescent="0.25">
      <c r="I3902" s="227" t="str">
        <f>MID(excPisCofins[[#This Row],[CodBarras2]],2,50)</f>
        <v/>
      </c>
    </row>
    <row r="3903" spans="9:9" x14ac:dyDescent="0.25">
      <c r="I3903" s="227" t="str">
        <f>MID(excPisCofins[[#This Row],[CodBarras2]],2,50)</f>
        <v/>
      </c>
    </row>
    <row r="3904" spans="9:9" x14ac:dyDescent="0.25">
      <c r="I3904" s="227" t="str">
        <f>MID(excPisCofins[[#This Row],[CodBarras2]],2,50)</f>
        <v/>
      </c>
    </row>
    <row r="3905" spans="9:9" x14ac:dyDescent="0.25">
      <c r="I3905" s="227" t="str">
        <f>MID(excPisCofins[[#This Row],[CodBarras2]],2,50)</f>
        <v/>
      </c>
    </row>
    <row r="3906" spans="9:9" x14ac:dyDescent="0.25">
      <c r="I3906" s="227" t="str">
        <f>MID(excPisCofins[[#This Row],[CodBarras2]],2,50)</f>
        <v/>
      </c>
    </row>
    <row r="3907" spans="9:9" x14ac:dyDescent="0.25">
      <c r="I3907" s="227" t="str">
        <f>MID(excPisCofins[[#This Row],[CodBarras2]],2,50)</f>
        <v/>
      </c>
    </row>
    <row r="3908" spans="9:9" x14ac:dyDescent="0.25">
      <c r="I3908" s="227" t="str">
        <f>MID(excPisCofins[[#This Row],[CodBarras2]],2,50)</f>
        <v/>
      </c>
    </row>
    <row r="3909" spans="9:9" x14ac:dyDescent="0.25">
      <c r="I3909" s="227" t="str">
        <f>MID(excPisCofins[[#This Row],[CodBarras2]],2,50)</f>
        <v/>
      </c>
    </row>
    <row r="3910" spans="9:9" x14ac:dyDescent="0.25">
      <c r="I3910" s="227" t="str">
        <f>MID(excPisCofins[[#This Row],[CodBarras2]],2,50)</f>
        <v/>
      </c>
    </row>
    <row r="3911" spans="9:9" x14ac:dyDescent="0.25">
      <c r="I3911" s="227" t="str">
        <f>MID(excPisCofins[[#This Row],[CodBarras2]],2,50)</f>
        <v/>
      </c>
    </row>
    <row r="3912" spans="9:9" x14ac:dyDescent="0.25">
      <c r="I3912" s="227" t="str">
        <f>MID(excPisCofins[[#This Row],[CodBarras2]],2,50)</f>
        <v/>
      </c>
    </row>
    <row r="3913" spans="9:9" x14ac:dyDescent="0.25">
      <c r="I3913" s="227" t="str">
        <f>MID(excPisCofins[[#This Row],[CodBarras2]],2,50)</f>
        <v/>
      </c>
    </row>
    <row r="3914" spans="9:9" x14ac:dyDescent="0.25">
      <c r="I3914" s="227" t="str">
        <f>MID(excPisCofins[[#This Row],[CodBarras2]],2,50)</f>
        <v/>
      </c>
    </row>
    <row r="3915" spans="9:9" x14ac:dyDescent="0.25">
      <c r="I3915" s="227" t="str">
        <f>MID(excPisCofins[[#This Row],[CodBarras2]],2,50)</f>
        <v/>
      </c>
    </row>
    <row r="3916" spans="9:9" x14ac:dyDescent="0.25">
      <c r="I3916" s="227" t="str">
        <f>MID(excPisCofins[[#This Row],[CodBarras2]],2,50)</f>
        <v/>
      </c>
    </row>
    <row r="3917" spans="9:9" x14ac:dyDescent="0.25">
      <c r="I3917" s="227" t="str">
        <f>MID(excPisCofins[[#This Row],[CodBarras2]],2,50)</f>
        <v/>
      </c>
    </row>
    <row r="3918" spans="9:9" x14ac:dyDescent="0.25">
      <c r="I3918" s="227" t="str">
        <f>MID(excPisCofins[[#This Row],[CodBarras2]],2,50)</f>
        <v/>
      </c>
    </row>
    <row r="3919" spans="9:9" x14ac:dyDescent="0.25">
      <c r="I3919" s="227" t="str">
        <f>MID(excPisCofins[[#This Row],[CodBarras2]],2,50)</f>
        <v/>
      </c>
    </row>
    <row r="3920" spans="9:9" x14ac:dyDescent="0.25">
      <c r="I3920" s="227" t="str">
        <f>MID(excPisCofins[[#This Row],[CodBarras2]],2,50)</f>
        <v/>
      </c>
    </row>
    <row r="3921" spans="9:9" x14ac:dyDescent="0.25">
      <c r="I3921" s="227" t="str">
        <f>MID(excPisCofins[[#This Row],[CodBarras2]],2,50)</f>
        <v/>
      </c>
    </row>
    <row r="3922" spans="9:9" x14ac:dyDescent="0.25">
      <c r="I3922" s="227" t="str">
        <f>MID(excPisCofins[[#This Row],[CodBarras2]],2,50)</f>
        <v/>
      </c>
    </row>
    <row r="3923" spans="9:9" x14ac:dyDescent="0.25">
      <c r="I3923" s="227" t="str">
        <f>MID(excPisCofins[[#This Row],[CodBarras2]],2,50)</f>
        <v/>
      </c>
    </row>
    <row r="3924" spans="9:9" x14ac:dyDescent="0.25">
      <c r="I3924" s="227" t="str">
        <f>MID(excPisCofins[[#This Row],[CodBarras2]],2,50)</f>
        <v/>
      </c>
    </row>
    <row r="3925" spans="9:9" x14ac:dyDescent="0.25">
      <c r="I3925" s="227" t="str">
        <f>MID(excPisCofins[[#This Row],[CodBarras2]],2,50)</f>
        <v/>
      </c>
    </row>
    <row r="3926" spans="9:9" x14ac:dyDescent="0.25">
      <c r="I3926" s="227" t="str">
        <f>MID(excPisCofins[[#This Row],[CodBarras2]],2,50)</f>
        <v/>
      </c>
    </row>
    <row r="3927" spans="9:9" x14ac:dyDescent="0.25">
      <c r="I3927" s="227" t="str">
        <f>MID(excPisCofins[[#This Row],[CodBarras2]],2,50)</f>
        <v/>
      </c>
    </row>
    <row r="3928" spans="9:9" x14ac:dyDescent="0.25">
      <c r="I3928" s="227" t="str">
        <f>MID(excPisCofins[[#This Row],[CodBarras2]],2,50)</f>
        <v/>
      </c>
    </row>
    <row r="3929" spans="9:9" x14ac:dyDescent="0.25">
      <c r="I3929" s="227" t="str">
        <f>MID(excPisCofins[[#This Row],[CodBarras2]],2,50)</f>
        <v/>
      </c>
    </row>
    <row r="3930" spans="9:9" x14ac:dyDescent="0.25">
      <c r="I3930" s="227" t="str">
        <f>MID(excPisCofins[[#This Row],[CodBarras2]],2,50)</f>
        <v/>
      </c>
    </row>
    <row r="3931" spans="9:9" x14ac:dyDescent="0.25">
      <c r="I3931" s="227" t="str">
        <f>MID(excPisCofins[[#This Row],[CodBarras2]],2,50)</f>
        <v/>
      </c>
    </row>
    <row r="3932" spans="9:9" x14ac:dyDescent="0.25">
      <c r="I3932" s="227" t="str">
        <f>MID(excPisCofins[[#This Row],[CodBarras2]],2,50)</f>
        <v/>
      </c>
    </row>
    <row r="3933" spans="9:9" x14ac:dyDescent="0.25">
      <c r="I3933" s="227" t="str">
        <f>MID(excPisCofins[[#This Row],[CodBarras2]],2,50)</f>
        <v/>
      </c>
    </row>
    <row r="3934" spans="9:9" x14ac:dyDescent="0.25">
      <c r="I3934" s="227" t="str">
        <f>MID(excPisCofins[[#This Row],[CodBarras2]],2,50)</f>
        <v/>
      </c>
    </row>
    <row r="3935" spans="9:9" x14ac:dyDescent="0.25">
      <c r="I3935" s="227" t="str">
        <f>MID(excPisCofins[[#This Row],[CodBarras2]],2,50)</f>
        <v/>
      </c>
    </row>
    <row r="3936" spans="9:9" x14ac:dyDescent="0.25">
      <c r="I3936" s="227" t="str">
        <f>MID(excPisCofins[[#This Row],[CodBarras2]],2,50)</f>
        <v/>
      </c>
    </row>
    <row r="3937" spans="9:9" x14ac:dyDescent="0.25">
      <c r="I3937" s="227" t="str">
        <f>MID(excPisCofins[[#This Row],[CodBarras2]],2,50)</f>
        <v/>
      </c>
    </row>
    <row r="3938" spans="9:9" x14ac:dyDescent="0.25">
      <c r="I3938" s="227" t="str">
        <f>MID(excPisCofins[[#This Row],[CodBarras2]],2,50)</f>
        <v/>
      </c>
    </row>
    <row r="3939" spans="9:9" x14ac:dyDescent="0.25">
      <c r="I3939" s="227" t="str">
        <f>MID(excPisCofins[[#This Row],[CodBarras2]],2,50)</f>
        <v/>
      </c>
    </row>
    <row r="3940" spans="9:9" x14ac:dyDescent="0.25">
      <c r="I3940" s="227" t="str">
        <f>MID(excPisCofins[[#This Row],[CodBarras2]],2,50)</f>
        <v/>
      </c>
    </row>
    <row r="3941" spans="9:9" x14ac:dyDescent="0.25">
      <c r="I3941" s="227" t="str">
        <f>MID(excPisCofins[[#This Row],[CodBarras2]],2,50)</f>
        <v/>
      </c>
    </row>
    <row r="3942" spans="9:9" x14ac:dyDescent="0.25">
      <c r="I3942" s="227" t="str">
        <f>MID(excPisCofins[[#This Row],[CodBarras2]],2,50)</f>
        <v/>
      </c>
    </row>
    <row r="3943" spans="9:9" x14ac:dyDescent="0.25">
      <c r="I3943" s="227" t="str">
        <f>MID(excPisCofins[[#This Row],[CodBarras2]],2,50)</f>
        <v/>
      </c>
    </row>
    <row r="3944" spans="9:9" x14ac:dyDescent="0.25">
      <c r="I3944" s="227" t="str">
        <f>MID(excPisCofins[[#This Row],[CodBarras2]],2,50)</f>
        <v/>
      </c>
    </row>
    <row r="3945" spans="9:9" x14ac:dyDescent="0.25">
      <c r="I3945" s="227" t="str">
        <f>MID(excPisCofins[[#This Row],[CodBarras2]],2,50)</f>
        <v/>
      </c>
    </row>
    <row r="3946" spans="9:9" x14ac:dyDescent="0.25">
      <c r="I3946" s="227" t="str">
        <f>MID(excPisCofins[[#This Row],[CodBarras2]],2,50)</f>
        <v/>
      </c>
    </row>
    <row r="3947" spans="9:9" x14ac:dyDescent="0.25">
      <c r="I3947" s="227" t="str">
        <f>MID(excPisCofins[[#This Row],[CodBarras2]],2,50)</f>
        <v/>
      </c>
    </row>
    <row r="3948" spans="9:9" x14ac:dyDescent="0.25">
      <c r="I3948" s="227" t="str">
        <f>MID(excPisCofins[[#This Row],[CodBarras2]],2,50)</f>
        <v/>
      </c>
    </row>
    <row r="3949" spans="9:9" x14ac:dyDescent="0.25">
      <c r="I3949" s="227" t="str">
        <f>MID(excPisCofins[[#This Row],[CodBarras2]],2,50)</f>
        <v/>
      </c>
    </row>
    <row r="3950" spans="9:9" x14ac:dyDescent="0.25">
      <c r="I3950" s="227" t="str">
        <f>MID(excPisCofins[[#This Row],[CodBarras2]],2,50)</f>
        <v/>
      </c>
    </row>
    <row r="3951" spans="9:9" x14ac:dyDescent="0.25">
      <c r="I3951" s="227" t="str">
        <f>MID(excPisCofins[[#This Row],[CodBarras2]],2,50)</f>
        <v/>
      </c>
    </row>
    <row r="3952" spans="9:9" x14ac:dyDescent="0.25">
      <c r="I3952" s="227" t="str">
        <f>MID(excPisCofins[[#This Row],[CodBarras2]],2,50)</f>
        <v/>
      </c>
    </row>
    <row r="3953" spans="9:9" x14ac:dyDescent="0.25">
      <c r="I3953" s="227" t="str">
        <f>MID(excPisCofins[[#This Row],[CodBarras2]],2,50)</f>
        <v/>
      </c>
    </row>
    <row r="3954" spans="9:9" x14ac:dyDescent="0.25">
      <c r="I3954" s="227" t="str">
        <f>MID(excPisCofins[[#This Row],[CodBarras2]],2,50)</f>
        <v/>
      </c>
    </row>
    <row r="3955" spans="9:9" x14ac:dyDescent="0.25">
      <c r="I3955" s="227" t="str">
        <f>MID(excPisCofins[[#This Row],[CodBarras2]],2,50)</f>
        <v/>
      </c>
    </row>
    <row r="3956" spans="9:9" x14ac:dyDescent="0.25">
      <c r="I3956" s="227" t="str">
        <f>MID(excPisCofins[[#This Row],[CodBarras2]],2,50)</f>
        <v/>
      </c>
    </row>
    <row r="3957" spans="9:9" x14ac:dyDescent="0.25">
      <c r="I3957" s="227" t="str">
        <f>MID(excPisCofins[[#This Row],[CodBarras2]],2,50)</f>
        <v/>
      </c>
    </row>
    <row r="3958" spans="9:9" x14ac:dyDescent="0.25">
      <c r="I3958" s="227" t="str">
        <f>MID(excPisCofins[[#This Row],[CodBarras2]],2,50)</f>
        <v/>
      </c>
    </row>
    <row r="3959" spans="9:9" x14ac:dyDescent="0.25">
      <c r="I3959" s="227" t="str">
        <f>MID(excPisCofins[[#This Row],[CodBarras2]],2,50)</f>
        <v/>
      </c>
    </row>
    <row r="3960" spans="9:9" x14ac:dyDescent="0.25">
      <c r="I3960" s="227" t="str">
        <f>MID(excPisCofins[[#This Row],[CodBarras2]],2,50)</f>
        <v/>
      </c>
    </row>
    <row r="3961" spans="9:9" x14ac:dyDescent="0.25">
      <c r="I3961" s="227" t="str">
        <f>MID(excPisCofins[[#This Row],[CodBarras2]],2,50)</f>
        <v/>
      </c>
    </row>
    <row r="3962" spans="9:9" x14ac:dyDescent="0.25">
      <c r="I3962" s="227" t="str">
        <f>MID(excPisCofins[[#This Row],[CodBarras2]],2,50)</f>
        <v/>
      </c>
    </row>
    <row r="3963" spans="9:9" x14ac:dyDescent="0.25">
      <c r="I3963" s="227" t="str">
        <f>MID(excPisCofins[[#This Row],[CodBarras2]],2,50)</f>
        <v/>
      </c>
    </row>
    <row r="3964" spans="9:9" x14ac:dyDescent="0.25">
      <c r="I3964" s="227" t="str">
        <f>MID(excPisCofins[[#This Row],[CodBarras2]],2,50)</f>
        <v/>
      </c>
    </row>
    <row r="3965" spans="9:9" x14ac:dyDescent="0.25">
      <c r="I3965" s="227" t="str">
        <f>MID(excPisCofins[[#This Row],[CodBarras2]],2,50)</f>
        <v/>
      </c>
    </row>
    <row r="3966" spans="9:9" x14ac:dyDescent="0.25">
      <c r="I3966" s="227" t="str">
        <f>MID(excPisCofins[[#This Row],[CodBarras2]],2,50)</f>
        <v/>
      </c>
    </row>
    <row r="3967" spans="9:9" x14ac:dyDescent="0.25">
      <c r="I3967" s="227" t="str">
        <f>MID(excPisCofins[[#This Row],[CodBarras2]],2,50)</f>
        <v/>
      </c>
    </row>
    <row r="3968" spans="9:9" x14ac:dyDescent="0.25">
      <c r="I3968" s="227" t="str">
        <f>MID(excPisCofins[[#This Row],[CodBarras2]],2,50)</f>
        <v/>
      </c>
    </row>
    <row r="3969" spans="9:9" x14ac:dyDescent="0.25">
      <c r="I3969" s="227" t="str">
        <f>MID(excPisCofins[[#This Row],[CodBarras2]],2,50)</f>
        <v/>
      </c>
    </row>
    <row r="3970" spans="9:9" x14ac:dyDescent="0.25">
      <c r="I3970" s="227" t="str">
        <f>MID(excPisCofins[[#This Row],[CodBarras2]],2,50)</f>
        <v/>
      </c>
    </row>
    <row r="3971" spans="9:9" x14ac:dyDescent="0.25">
      <c r="I3971" s="227" t="str">
        <f>MID(excPisCofins[[#This Row],[CodBarras2]],2,50)</f>
        <v/>
      </c>
    </row>
    <row r="3972" spans="9:9" x14ac:dyDescent="0.25">
      <c r="I3972" s="227" t="str">
        <f>MID(excPisCofins[[#This Row],[CodBarras2]],2,50)</f>
        <v/>
      </c>
    </row>
    <row r="3973" spans="9:9" x14ac:dyDescent="0.25">
      <c r="I3973" s="227" t="str">
        <f>MID(excPisCofins[[#This Row],[CodBarras2]],2,50)</f>
        <v/>
      </c>
    </row>
    <row r="3974" spans="9:9" x14ac:dyDescent="0.25">
      <c r="I3974" s="227" t="str">
        <f>MID(excPisCofins[[#This Row],[CodBarras2]],2,50)</f>
        <v/>
      </c>
    </row>
    <row r="3975" spans="9:9" x14ac:dyDescent="0.25">
      <c r="I3975" s="227" t="str">
        <f>MID(excPisCofins[[#This Row],[CodBarras2]],2,50)</f>
        <v/>
      </c>
    </row>
    <row r="3976" spans="9:9" x14ac:dyDescent="0.25">
      <c r="I3976" s="227" t="str">
        <f>MID(excPisCofins[[#This Row],[CodBarras2]],2,50)</f>
        <v/>
      </c>
    </row>
    <row r="3977" spans="9:9" x14ac:dyDescent="0.25">
      <c r="I3977" s="227" t="str">
        <f>MID(excPisCofins[[#This Row],[CodBarras2]],2,50)</f>
        <v/>
      </c>
    </row>
    <row r="3978" spans="9:9" x14ac:dyDescent="0.25">
      <c r="I3978" s="227" t="str">
        <f>MID(excPisCofins[[#This Row],[CodBarras2]],2,50)</f>
        <v/>
      </c>
    </row>
    <row r="3979" spans="9:9" x14ac:dyDescent="0.25">
      <c r="I3979" s="227" t="str">
        <f>MID(excPisCofins[[#This Row],[CodBarras2]],2,50)</f>
        <v/>
      </c>
    </row>
    <row r="3980" spans="9:9" x14ac:dyDescent="0.25">
      <c r="I3980" s="227" t="str">
        <f>MID(excPisCofins[[#This Row],[CodBarras2]],2,50)</f>
        <v/>
      </c>
    </row>
    <row r="3981" spans="9:9" x14ac:dyDescent="0.25">
      <c r="I3981" s="227" t="str">
        <f>MID(excPisCofins[[#This Row],[CodBarras2]],2,50)</f>
        <v/>
      </c>
    </row>
    <row r="3982" spans="9:9" x14ac:dyDescent="0.25">
      <c r="I3982" s="227" t="str">
        <f>MID(excPisCofins[[#This Row],[CodBarras2]],2,50)</f>
        <v/>
      </c>
    </row>
    <row r="3983" spans="9:9" x14ac:dyDescent="0.25">
      <c r="I3983" s="227" t="str">
        <f>MID(excPisCofins[[#This Row],[CodBarras2]],2,50)</f>
        <v/>
      </c>
    </row>
    <row r="3984" spans="9:9" x14ac:dyDescent="0.25">
      <c r="I3984" s="227" t="str">
        <f>MID(excPisCofins[[#This Row],[CodBarras2]],2,50)</f>
        <v/>
      </c>
    </row>
    <row r="3985" spans="9:9" x14ac:dyDescent="0.25">
      <c r="I3985" s="227" t="str">
        <f>MID(excPisCofins[[#This Row],[CodBarras2]],2,50)</f>
        <v/>
      </c>
    </row>
    <row r="3986" spans="9:9" x14ac:dyDescent="0.25">
      <c r="I3986" s="227" t="str">
        <f>MID(excPisCofins[[#This Row],[CodBarras2]],2,50)</f>
        <v/>
      </c>
    </row>
    <row r="3987" spans="9:9" x14ac:dyDescent="0.25">
      <c r="I3987" s="227" t="str">
        <f>MID(excPisCofins[[#This Row],[CodBarras2]],2,50)</f>
        <v/>
      </c>
    </row>
    <row r="3988" spans="9:9" x14ac:dyDescent="0.25">
      <c r="I3988" s="227" t="str">
        <f>MID(excPisCofins[[#This Row],[CodBarras2]],2,50)</f>
        <v/>
      </c>
    </row>
    <row r="3989" spans="9:9" x14ac:dyDescent="0.25">
      <c r="I3989" s="227" t="str">
        <f>MID(excPisCofins[[#This Row],[CodBarras2]],2,50)</f>
        <v/>
      </c>
    </row>
    <row r="3990" spans="9:9" x14ac:dyDescent="0.25">
      <c r="I3990" s="227" t="str">
        <f>MID(excPisCofins[[#This Row],[CodBarras2]],2,50)</f>
        <v/>
      </c>
    </row>
    <row r="3991" spans="9:9" x14ac:dyDescent="0.25">
      <c r="I3991" s="227" t="str">
        <f>MID(excPisCofins[[#This Row],[CodBarras2]],2,50)</f>
        <v/>
      </c>
    </row>
    <row r="3992" spans="9:9" x14ac:dyDescent="0.25">
      <c r="I3992" s="227" t="str">
        <f>MID(excPisCofins[[#This Row],[CodBarras2]],2,50)</f>
        <v/>
      </c>
    </row>
    <row r="3993" spans="9:9" x14ac:dyDescent="0.25">
      <c r="I3993" s="227" t="str">
        <f>MID(excPisCofins[[#This Row],[CodBarras2]],2,50)</f>
        <v/>
      </c>
    </row>
    <row r="3994" spans="9:9" x14ac:dyDescent="0.25">
      <c r="I3994" s="227" t="str">
        <f>MID(excPisCofins[[#This Row],[CodBarras2]],2,50)</f>
        <v/>
      </c>
    </row>
    <row r="3995" spans="9:9" x14ac:dyDescent="0.25">
      <c r="I3995" s="227" t="str">
        <f>MID(excPisCofins[[#This Row],[CodBarras2]],2,50)</f>
        <v/>
      </c>
    </row>
    <row r="3996" spans="9:9" x14ac:dyDescent="0.25">
      <c r="I3996" s="227" t="str">
        <f>MID(excPisCofins[[#This Row],[CodBarras2]],2,50)</f>
        <v/>
      </c>
    </row>
    <row r="3997" spans="9:9" x14ac:dyDescent="0.25">
      <c r="I3997" s="227" t="str">
        <f>MID(excPisCofins[[#This Row],[CodBarras2]],2,50)</f>
        <v/>
      </c>
    </row>
    <row r="3998" spans="9:9" x14ac:dyDescent="0.25">
      <c r="I3998" s="227" t="str">
        <f>MID(excPisCofins[[#This Row],[CodBarras2]],2,50)</f>
        <v/>
      </c>
    </row>
    <row r="3999" spans="9:9" x14ac:dyDescent="0.25">
      <c r="I3999" s="227" t="str">
        <f>MID(excPisCofins[[#This Row],[CodBarras2]],2,50)</f>
        <v/>
      </c>
    </row>
    <row r="4000" spans="9:9" x14ac:dyDescent="0.25">
      <c r="I4000" s="227" t="str">
        <f>MID(excPisCofins[[#This Row],[CodBarras2]],2,50)</f>
        <v/>
      </c>
    </row>
    <row r="4001" spans="9:9" x14ac:dyDescent="0.25">
      <c r="I4001" s="227" t="str">
        <f>MID(excPisCofins[[#This Row],[CodBarras2]],2,50)</f>
        <v/>
      </c>
    </row>
    <row r="4002" spans="9:9" x14ac:dyDescent="0.25">
      <c r="I4002" s="227" t="str">
        <f>MID(excPisCofins[[#This Row],[CodBarras2]],2,50)</f>
        <v/>
      </c>
    </row>
    <row r="4003" spans="9:9" x14ac:dyDescent="0.25">
      <c r="I4003" s="227" t="str">
        <f>MID(excPisCofins[[#This Row],[CodBarras2]],2,50)</f>
        <v/>
      </c>
    </row>
    <row r="4004" spans="9:9" x14ac:dyDescent="0.25">
      <c r="I4004" s="227" t="str">
        <f>MID(excPisCofins[[#This Row],[CodBarras2]],2,50)</f>
        <v/>
      </c>
    </row>
    <row r="4005" spans="9:9" x14ac:dyDescent="0.25">
      <c r="I4005" s="227" t="str">
        <f>MID(excPisCofins[[#This Row],[CodBarras2]],2,50)</f>
        <v/>
      </c>
    </row>
    <row r="4006" spans="9:9" x14ac:dyDescent="0.25">
      <c r="I4006" s="227" t="str">
        <f>MID(excPisCofins[[#This Row],[CodBarras2]],2,50)</f>
        <v/>
      </c>
    </row>
    <row r="4007" spans="9:9" x14ac:dyDescent="0.25">
      <c r="I4007" s="227" t="str">
        <f>MID(excPisCofins[[#This Row],[CodBarras2]],2,50)</f>
        <v/>
      </c>
    </row>
    <row r="4008" spans="9:9" x14ac:dyDescent="0.25">
      <c r="I4008" s="227" t="str">
        <f>MID(excPisCofins[[#This Row],[CodBarras2]],2,50)</f>
        <v/>
      </c>
    </row>
    <row r="4009" spans="9:9" x14ac:dyDescent="0.25">
      <c r="I4009" s="227" t="str">
        <f>MID(excPisCofins[[#This Row],[CodBarras2]],2,50)</f>
        <v/>
      </c>
    </row>
    <row r="4010" spans="9:9" x14ac:dyDescent="0.25">
      <c r="I4010" s="227" t="str">
        <f>MID(excPisCofins[[#This Row],[CodBarras2]],2,50)</f>
        <v/>
      </c>
    </row>
    <row r="4011" spans="9:9" x14ac:dyDescent="0.25">
      <c r="I4011" s="227" t="str">
        <f>MID(excPisCofins[[#This Row],[CodBarras2]],2,50)</f>
        <v/>
      </c>
    </row>
    <row r="4012" spans="9:9" x14ac:dyDescent="0.25">
      <c r="I4012" s="227" t="str">
        <f>MID(excPisCofins[[#This Row],[CodBarras2]],2,50)</f>
        <v/>
      </c>
    </row>
    <row r="4013" spans="9:9" x14ac:dyDescent="0.25">
      <c r="I4013" s="227" t="str">
        <f>MID(excPisCofins[[#This Row],[CodBarras2]],2,50)</f>
        <v/>
      </c>
    </row>
    <row r="4014" spans="9:9" x14ac:dyDescent="0.25">
      <c r="I4014" s="227" t="str">
        <f>MID(excPisCofins[[#This Row],[CodBarras2]],2,50)</f>
        <v/>
      </c>
    </row>
    <row r="4015" spans="9:9" x14ac:dyDescent="0.25">
      <c r="I4015" s="227" t="str">
        <f>MID(excPisCofins[[#This Row],[CodBarras2]],2,50)</f>
        <v/>
      </c>
    </row>
    <row r="4016" spans="9:9" x14ac:dyDescent="0.25">
      <c r="I4016" s="227" t="str">
        <f>MID(excPisCofins[[#This Row],[CodBarras2]],2,50)</f>
        <v/>
      </c>
    </row>
    <row r="4017" spans="9:9" x14ac:dyDescent="0.25">
      <c r="I4017" s="227" t="str">
        <f>MID(excPisCofins[[#This Row],[CodBarras2]],2,50)</f>
        <v/>
      </c>
    </row>
    <row r="4018" spans="9:9" x14ac:dyDescent="0.25">
      <c r="I4018" s="227" t="str">
        <f>MID(excPisCofins[[#This Row],[CodBarras2]],2,50)</f>
        <v/>
      </c>
    </row>
    <row r="4019" spans="9:9" x14ac:dyDescent="0.25">
      <c r="I4019" s="227" t="str">
        <f>MID(excPisCofins[[#This Row],[CodBarras2]],2,50)</f>
        <v/>
      </c>
    </row>
    <row r="4020" spans="9:9" x14ac:dyDescent="0.25">
      <c r="I4020" s="227" t="str">
        <f>MID(excPisCofins[[#This Row],[CodBarras2]],2,50)</f>
        <v/>
      </c>
    </row>
    <row r="4021" spans="9:9" x14ac:dyDescent="0.25">
      <c r="I4021" s="227" t="str">
        <f>MID(excPisCofins[[#This Row],[CodBarras2]],2,50)</f>
        <v/>
      </c>
    </row>
    <row r="4022" spans="9:9" x14ac:dyDescent="0.25">
      <c r="I4022" s="227" t="str">
        <f>MID(excPisCofins[[#This Row],[CodBarras2]],2,50)</f>
        <v/>
      </c>
    </row>
    <row r="4023" spans="9:9" x14ac:dyDescent="0.25">
      <c r="I4023" s="227" t="str">
        <f>MID(excPisCofins[[#This Row],[CodBarras2]],2,50)</f>
        <v/>
      </c>
    </row>
    <row r="4024" spans="9:9" x14ac:dyDescent="0.25">
      <c r="I4024" s="227" t="str">
        <f>MID(excPisCofins[[#This Row],[CodBarras2]],2,50)</f>
        <v/>
      </c>
    </row>
    <row r="4025" spans="9:9" x14ac:dyDescent="0.25">
      <c r="I4025" s="227" t="str">
        <f>MID(excPisCofins[[#This Row],[CodBarras2]],2,50)</f>
        <v/>
      </c>
    </row>
    <row r="4026" spans="9:9" x14ac:dyDescent="0.25">
      <c r="I4026" s="227" t="str">
        <f>MID(excPisCofins[[#This Row],[CodBarras2]],2,50)</f>
        <v/>
      </c>
    </row>
    <row r="4027" spans="9:9" x14ac:dyDescent="0.25">
      <c r="I4027" s="227" t="str">
        <f>MID(excPisCofins[[#This Row],[CodBarras2]],2,50)</f>
        <v/>
      </c>
    </row>
    <row r="4028" spans="9:9" x14ac:dyDescent="0.25">
      <c r="I4028" s="227" t="str">
        <f>MID(excPisCofins[[#This Row],[CodBarras2]],2,50)</f>
        <v/>
      </c>
    </row>
    <row r="4029" spans="9:9" x14ac:dyDescent="0.25">
      <c r="I4029" s="227" t="str">
        <f>MID(excPisCofins[[#This Row],[CodBarras2]],2,50)</f>
        <v/>
      </c>
    </row>
    <row r="4030" spans="9:9" x14ac:dyDescent="0.25">
      <c r="I4030" s="227" t="str">
        <f>MID(excPisCofins[[#This Row],[CodBarras2]],2,50)</f>
        <v/>
      </c>
    </row>
    <row r="4031" spans="9:9" x14ac:dyDescent="0.25">
      <c r="I4031" s="227" t="str">
        <f>MID(excPisCofins[[#This Row],[CodBarras2]],2,50)</f>
        <v/>
      </c>
    </row>
    <row r="4032" spans="9:9" x14ac:dyDescent="0.25">
      <c r="I4032" s="227" t="str">
        <f>MID(excPisCofins[[#This Row],[CodBarras2]],2,50)</f>
        <v/>
      </c>
    </row>
    <row r="4033" spans="9:9" x14ac:dyDescent="0.25">
      <c r="I4033" s="227" t="str">
        <f>MID(excPisCofins[[#This Row],[CodBarras2]],2,50)</f>
        <v/>
      </c>
    </row>
    <row r="4034" spans="9:9" x14ac:dyDescent="0.25">
      <c r="I4034" s="227" t="str">
        <f>MID(excPisCofins[[#This Row],[CodBarras2]],2,50)</f>
        <v/>
      </c>
    </row>
    <row r="4035" spans="9:9" x14ac:dyDescent="0.25">
      <c r="I4035" s="227" t="str">
        <f>MID(excPisCofins[[#This Row],[CodBarras2]],2,50)</f>
        <v/>
      </c>
    </row>
    <row r="4036" spans="9:9" x14ac:dyDescent="0.25">
      <c r="I4036" s="227" t="str">
        <f>MID(excPisCofins[[#This Row],[CodBarras2]],2,50)</f>
        <v/>
      </c>
    </row>
    <row r="4037" spans="9:9" x14ac:dyDescent="0.25">
      <c r="I4037" s="227" t="str">
        <f>MID(excPisCofins[[#This Row],[CodBarras2]],2,50)</f>
        <v/>
      </c>
    </row>
    <row r="4038" spans="9:9" x14ac:dyDescent="0.25">
      <c r="I4038" s="227" t="str">
        <f>MID(excPisCofins[[#This Row],[CodBarras2]],2,50)</f>
        <v/>
      </c>
    </row>
    <row r="4039" spans="9:9" x14ac:dyDescent="0.25">
      <c r="I4039" s="227" t="str">
        <f>MID(excPisCofins[[#This Row],[CodBarras2]],2,50)</f>
        <v/>
      </c>
    </row>
    <row r="4040" spans="9:9" x14ac:dyDescent="0.25">
      <c r="I4040" s="227" t="str">
        <f>MID(excPisCofins[[#This Row],[CodBarras2]],2,50)</f>
        <v/>
      </c>
    </row>
    <row r="4041" spans="9:9" x14ac:dyDescent="0.25">
      <c r="I4041" s="227" t="str">
        <f>MID(excPisCofins[[#This Row],[CodBarras2]],2,50)</f>
        <v/>
      </c>
    </row>
    <row r="4042" spans="9:9" x14ac:dyDescent="0.25">
      <c r="I4042" s="227" t="str">
        <f>MID(excPisCofins[[#This Row],[CodBarras2]],2,50)</f>
        <v/>
      </c>
    </row>
    <row r="4043" spans="9:9" x14ac:dyDescent="0.25">
      <c r="I4043" s="227" t="str">
        <f>MID(excPisCofins[[#This Row],[CodBarras2]],2,50)</f>
        <v/>
      </c>
    </row>
    <row r="4044" spans="9:9" x14ac:dyDescent="0.25">
      <c r="I4044" s="227" t="str">
        <f>MID(excPisCofins[[#This Row],[CodBarras2]],2,50)</f>
        <v/>
      </c>
    </row>
    <row r="4045" spans="9:9" x14ac:dyDescent="0.25">
      <c r="I4045" s="227" t="str">
        <f>MID(excPisCofins[[#This Row],[CodBarras2]],2,50)</f>
        <v/>
      </c>
    </row>
    <row r="4046" spans="9:9" x14ac:dyDescent="0.25">
      <c r="I4046" s="227" t="str">
        <f>MID(excPisCofins[[#This Row],[CodBarras2]],2,50)</f>
        <v/>
      </c>
    </row>
    <row r="4047" spans="9:9" x14ac:dyDescent="0.25">
      <c r="I4047" s="227" t="str">
        <f>MID(excPisCofins[[#This Row],[CodBarras2]],2,50)</f>
        <v/>
      </c>
    </row>
    <row r="4048" spans="9:9" x14ac:dyDescent="0.25">
      <c r="I4048" s="227" t="str">
        <f>MID(excPisCofins[[#This Row],[CodBarras2]],2,50)</f>
        <v/>
      </c>
    </row>
    <row r="4049" spans="9:9" x14ac:dyDescent="0.25">
      <c r="I4049" s="227" t="str">
        <f>MID(excPisCofins[[#This Row],[CodBarras2]],2,50)</f>
        <v/>
      </c>
    </row>
    <row r="4050" spans="9:9" x14ac:dyDescent="0.25">
      <c r="I4050" s="227" t="str">
        <f>MID(excPisCofins[[#This Row],[CodBarras2]],2,50)</f>
        <v/>
      </c>
    </row>
    <row r="4051" spans="9:9" x14ac:dyDescent="0.25">
      <c r="I4051" s="227" t="str">
        <f>MID(excPisCofins[[#This Row],[CodBarras2]],2,50)</f>
        <v/>
      </c>
    </row>
    <row r="4052" spans="9:9" x14ac:dyDescent="0.25">
      <c r="I4052" s="227" t="str">
        <f>MID(excPisCofins[[#This Row],[CodBarras2]],2,50)</f>
        <v/>
      </c>
    </row>
    <row r="4053" spans="9:9" x14ac:dyDescent="0.25">
      <c r="I4053" s="227" t="str">
        <f>MID(excPisCofins[[#This Row],[CodBarras2]],2,50)</f>
        <v/>
      </c>
    </row>
    <row r="4054" spans="9:9" x14ac:dyDescent="0.25">
      <c r="I4054" s="227" t="str">
        <f>MID(excPisCofins[[#This Row],[CodBarras2]],2,50)</f>
        <v/>
      </c>
    </row>
    <row r="4055" spans="9:9" x14ac:dyDescent="0.25">
      <c r="I4055" s="227" t="str">
        <f>MID(excPisCofins[[#This Row],[CodBarras2]],2,50)</f>
        <v/>
      </c>
    </row>
    <row r="4056" spans="9:9" x14ac:dyDescent="0.25">
      <c r="I4056" s="227" t="str">
        <f>MID(excPisCofins[[#This Row],[CodBarras2]],2,50)</f>
        <v/>
      </c>
    </row>
    <row r="4057" spans="9:9" x14ac:dyDescent="0.25">
      <c r="I4057" s="227" t="str">
        <f>MID(excPisCofins[[#This Row],[CodBarras2]],2,50)</f>
        <v/>
      </c>
    </row>
    <row r="4058" spans="9:9" x14ac:dyDescent="0.25">
      <c r="I4058" s="227" t="str">
        <f>MID(excPisCofins[[#This Row],[CodBarras2]],2,50)</f>
        <v/>
      </c>
    </row>
    <row r="4059" spans="9:9" x14ac:dyDescent="0.25">
      <c r="I4059" s="227" t="str">
        <f>MID(excPisCofins[[#This Row],[CodBarras2]],2,50)</f>
        <v/>
      </c>
    </row>
    <row r="4060" spans="9:9" x14ac:dyDescent="0.25">
      <c r="I4060" s="227" t="str">
        <f>MID(excPisCofins[[#This Row],[CodBarras2]],2,50)</f>
        <v/>
      </c>
    </row>
    <row r="4061" spans="9:9" x14ac:dyDescent="0.25">
      <c r="I4061" s="227" t="str">
        <f>MID(excPisCofins[[#This Row],[CodBarras2]],2,50)</f>
        <v/>
      </c>
    </row>
    <row r="4062" spans="9:9" x14ac:dyDescent="0.25">
      <c r="I4062" s="227" t="str">
        <f>MID(excPisCofins[[#This Row],[CodBarras2]],2,50)</f>
        <v/>
      </c>
    </row>
    <row r="4063" spans="9:9" x14ac:dyDescent="0.25">
      <c r="I4063" s="227" t="str">
        <f>MID(excPisCofins[[#This Row],[CodBarras2]],2,50)</f>
        <v/>
      </c>
    </row>
    <row r="4064" spans="9:9" x14ac:dyDescent="0.25">
      <c r="I4064" s="227" t="str">
        <f>MID(excPisCofins[[#This Row],[CodBarras2]],2,50)</f>
        <v/>
      </c>
    </row>
    <row r="4065" spans="9:9" x14ac:dyDescent="0.25">
      <c r="I4065" s="227" t="str">
        <f>MID(excPisCofins[[#This Row],[CodBarras2]],2,50)</f>
        <v/>
      </c>
    </row>
    <row r="4066" spans="9:9" x14ac:dyDescent="0.25">
      <c r="I4066" s="227" t="str">
        <f>MID(excPisCofins[[#This Row],[CodBarras2]],2,50)</f>
        <v/>
      </c>
    </row>
    <row r="4067" spans="9:9" x14ac:dyDescent="0.25">
      <c r="I4067" s="227" t="str">
        <f>MID(excPisCofins[[#This Row],[CodBarras2]],2,50)</f>
        <v/>
      </c>
    </row>
    <row r="4068" spans="9:9" x14ac:dyDescent="0.25">
      <c r="I4068" s="227" t="str">
        <f>MID(excPisCofins[[#This Row],[CodBarras2]],2,50)</f>
        <v/>
      </c>
    </row>
    <row r="4069" spans="9:9" x14ac:dyDescent="0.25">
      <c r="I4069" s="227" t="str">
        <f>MID(excPisCofins[[#This Row],[CodBarras2]],2,50)</f>
        <v/>
      </c>
    </row>
    <row r="4070" spans="9:9" x14ac:dyDescent="0.25">
      <c r="I4070" s="227" t="str">
        <f>MID(excPisCofins[[#This Row],[CodBarras2]],2,50)</f>
        <v/>
      </c>
    </row>
    <row r="4071" spans="9:9" x14ac:dyDescent="0.25">
      <c r="I4071" s="227" t="str">
        <f>MID(excPisCofins[[#This Row],[CodBarras2]],2,50)</f>
        <v/>
      </c>
    </row>
    <row r="4072" spans="9:9" x14ac:dyDescent="0.25">
      <c r="I4072" s="227" t="str">
        <f>MID(excPisCofins[[#This Row],[CodBarras2]],2,50)</f>
        <v/>
      </c>
    </row>
    <row r="4073" spans="9:9" x14ac:dyDescent="0.25">
      <c r="I4073" s="227" t="str">
        <f>MID(excPisCofins[[#This Row],[CodBarras2]],2,50)</f>
        <v/>
      </c>
    </row>
    <row r="4074" spans="9:9" x14ac:dyDescent="0.25">
      <c r="I4074" s="227" t="str">
        <f>MID(excPisCofins[[#This Row],[CodBarras2]],2,50)</f>
        <v/>
      </c>
    </row>
    <row r="4075" spans="9:9" x14ac:dyDescent="0.25">
      <c r="I4075" s="227" t="str">
        <f>MID(excPisCofins[[#This Row],[CodBarras2]],2,50)</f>
        <v/>
      </c>
    </row>
    <row r="4076" spans="9:9" x14ac:dyDescent="0.25">
      <c r="I4076" s="227" t="str">
        <f>MID(excPisCofins[[#This Row],[CodBarras2]],2,50)</f>
        <v/>
      </c>
    </row>
    <row r="4077" spans="9:9" x14ac:dyDescent="0.25">
      <c r="I4077" s="227" t="str">
        <f>MID(excPisCofins[[#This Row],[CodBarras2]],2,50)</f>
        <v/>
      </c>
    </row>
    <row r="4078" spans="9:9" x14ac:dyDescent="0.25">
      <c r="I4078" s="227" t="str">
        <f>MID(excPisCofins[[#This Row],[CodBarras2]],2,50)</f>
        <v/>
      </c>
    </row>
    <row r="4079" spans="9:9" x14ac:dyDescent="0.25">
      <c r="I4079" s="227" t="str">
        <f>MID(excPisCofins[[#This Row],[CodBarras2]],2,50)</f>
        <v/>
      </c>
    </row>
    <row r="4080" spans="9:9" x14ac:dyDescent="0.25">
      <c r="I4080" s="227" t="str">
        <f>MID(excPisCofins[[#This Row],[CodBarras2]],2,50)</f>
        <v/>
      </c>
    </row>
    <row r="4081" spans="9:9" x14ac:dyDescent="0.25">
      <c r="I4081" s="227" t="str">
        <f>MID(excPisCofins[[#This Row],[CodBarras2]],2,50)</f>
        <v/>
      </c>
    </row>
    <row r="4082" spans="9:9" x14ac:dyDescent="0.25">
      <c r="I4082" s="227" t="str">
        <f>MID(excPisCofins[[#This Row],[CodBarras2]],2,50)</f>
        <v/>
      </c>
    </row>
    <row r="4083" spans="9:9" x14ac:dyDescent="0.25">
      <c r="I4083" s="227" t="str">
        <f>MID(excPisCofins[[#This Row],[CodBarras2]],2,50)</f>
        <v/>
      </c>
    </row>
    <row r="4084" spans="9:9" x14ac:dyDescent="0.25">
      <c r="I4084" s="227" t="str">
        <f>MID(excPisCofins[[#This Row],[CodBarras2]],2,50)</f>
        <v/>
      </c>
    </row>
    <row r="4085" spans="9:9" x14ac:dyDescent="0.25">
      <c r="I4085" s="227" t="str">
        <f>MID(excPisCofins[[#This Row],[CodBarras2]],2,50)</f>
        <v/>
      </c>
    </row>
    <row r="4086" spans="9:9" x14ac:dyDescent="0.25">
      <c r="I4086" s="227" t="str">
        <f>MID(excPisCofins[[#This Row],[CodBarras2]],2,50)</f>
        <v/>
      </c>
    </row>
    <row r="4087" spans="9:9" x14ac:dyDescent="0.25">
      <c r="I4087" s="227" t="str">
        <f>MID(excPisCofins[[#This Row],[CodBarras2]],2,50)</f>
        <v/>
      </c>
    </row>
    <row r="4088" spans="9:9" x14ac:dyDescent="0.25">
      <c r="I4088" s="227" t="str">
        <f>MID(excPisCofins[[#This Row],[CodBarras2]],2,50)</f>
        <v/>
      </c>
    </row>
    <row r="4089" spans="9:9" x14ac:dyDescent="0.25">
      <c r="I4089" s="227" t="str">
        <f>MID(excPisCofins[[#This Row],[CodBarras2]],2,50)</f>
        <v/>
      </c>
    </row>
    <row r="4090" spans="9:9" x14ac:dyDescent="0.25">
      <c r="I4090" s="227" t="str">
        <f>MID(excPisCofins[[#This Row],[CodBarras2]],2,50)</f>
        <v/>
      </c>
    </row>
    <row r="4091" spans="9:9" x14ac:dyDescent="0.25">
      <c r="I4091" s="227" t="str">
        <f>MID(excPisCofins[[#This Row],[CodBarras2]],2,50)</f>
        <v/>
      </c>
    </row>
    <row r="4092" spans="9:9" x14ac:dyDescent="0.25">
      <c r="I4092" s="227" t="str">
        <f>MID(excPisCofins[[#This Row],[CodBarras2]],2,50)</f>
        <v/>
      </c>
    </row>
    <row r="4093" spans="9:9" x14ac:dyDescent="0.25">
      <c r="I4093" s="227" t="str">
        <f>MID(excPisCofins[[#This Row],[CodBarras2]],2,50)</f>
        <v/>
      </c>
    </row>
    <row r="4094" spans="9:9" x14ac:dyDescent="0.25">
      <c r="I4094" s="227" t="str">
        <f>MID(excPisCofins[[#This Row],[CodBarras2]],2,50)</f>
        <v/>
      </c>
    </row>
    <row r="4095" spans="9:9" x14ac:dyDescent="0.25">
      <c r="I4095" s="227" t="str">
        <f>MID(excPisCofins[[#This Row],[CodBarras2]],2,50)</f>
        <v/>
      </c>
    </row>
    <row r="4096" spans="9:9" x14ac:dyDescent="0.25">
      <c r="I4096" s="227" t="str">
        <f>MID(excPisCofins[[#This Row],[CodBarras2]],2,50)</f>
        <v/>
      </c>
    </row>
    <row r="4097" spans="9:9" x14ac:dyDescent="0.25">
      <c r="I4097" s="227" t="str">
        <f>MID(excPisCofins[[#This Row],[CodBarras2]],2,50)</f>
        <v/>
      </c>
    </row>
    <row r="4098" spans="9:9" x14ac:dyDescent="0.25">
      <c r="I4098" s="227" t="str">
        <f>MID(excPisCofins[[#This Row],[CodBarras2]],2,50)</f>
        <v/>
      </c>
    </row>
    <row r="4099" spans="9:9" x14ac:dyDescent="0.25">
      <c r="I4099" s="227" t="str">
        <f>MID(excPisCofins[[#This Row],[CodBarras2]],2,50)</f>
        <v/>
      </c>
    </row>
    <row r="4100" spans="9:9" x14ac:dyDescent="0.25">
      <c r="I4100" s="227" t="str">
        <f>MID(excPisCofins[[#This Row],[CodBarras2]],2,50)</f>
        <v/>
      </c>
    </row>
    <row r="4101" spans="9:9" x14ac:dyDescent="0.25">
      <c r="I4101" s="227" t="str">
        <f>MID(excPisCofins[[#This Row],[CodBarras2]],2,50)</f>
        <v/>
      </c>
    </row>
    <row r="4102" spans="9:9" x14ac:dyDescent="0.25">
      <c r="I4102" s="227" t="str">
        <f>MID(excPisCofins[[#This Row],[CodBarras2]],2,50)</f>
        <v/>
      </c>
    </row>
    <row r="4103" spans="9:9" x14ac:dyDescent="0.25">
      <c r="I4103" s="227" t="str">
        <f>MID(excPisCofins[[#This Row],[CodBarras2]],2,50)</f>
        <v/>
      </c>
    </row>
    <row r="4104" spans="9:9" x14ac:dyDescent="0.25">
      <c r="I4104" s="227" t="str">
        <f>MID(excPisCofins[[#This Row],[CodBarras2]],2,50)</f>
        <v/>
      </c>
    </row>
    <row r="4105" spans="9:9" x14ac:dyDescent="0.25">
      <c r="I4105" s="227" t="str">
        <f>MID(excPisCofins[[#This Row],[CodBarras2]],2,50)</f>
        <v/>
      </c>
    </row>
    <row r="4106" spans="9:9" x14ac:dyDescent="0.25">
      <c r="I4106" s="227" t="str">
        <f>MID(excPisCofins[[#This Row],[CodBarras2]],2,50)</f>
        <v/>
      </c>
    </row>
    <row r="4107" spans="9:9" x14ac:dyDescent="0.25">
      <c r="I4107" s="227" t="str">
        <f>MID(excPisCofins[[#This Row],[CodBarras2]],2,50)</f>
        <v/>
      </c>
    </row>
    <row r="4108" spans="9:9" x14ac:dyDescent="0.25">
      <c r="I4108" s="227" t="str">
        <f>MID(excPisCofins[[#This Row],[CodBarras2]],2,50)</f>
        <v/>
      </c>
    </row>
    <row r="4109" spans="9:9" x14ac:dyDescent="0.25">
      <c r="I4109" s="227" t="str">
        <f>MID(excPisCofins[[#This Row],[CodBarras2]],2,50)</f>
        <v/>
      </c>
    </row>
    <row r="4110" spans="9:9" x14ac:dyDescent="0.25">
      <c r="I4110" s="227" t="str">
        <f>MID(excPisCofins[[#This Row],[CodBarras2]],2,50)</f>
        <v/>
      </c>
    </row>
    <row r="4111" spans="9:9" x14ac:dyDescent="0.25">
      <c r="I4111" s="227" t="str">
        <f>MID(excPisCofins[[#This Row],[CodBarras2]],2,50)</f>
        <v/>
      </c>
    </row>
    <row r="4112" spans="9:9" x14ac:dyDescent="0.25">
      <c r="I4112" s="227" t="str">
        <f>MID(excPisCofins[[#This Row],[CodBarras2]],2,50)</f>
        <v/>
      </c>
    </row>
    <row r="4113" spans="9:9" x14ac:dyDescent="0.25">
      <c r="I4113" s="227" t="str">
        <f>MID(excPisCofins[[#This Row],[CodBarras2]],2,50)</f>
        <v/>
      </c>
    </row>
    <row r="4114" spans="9:9" x14ac:dyDescent="0.25">
      <c r="I4114" s="227" t="str">
        <f>MID(excPisCofins[[#This Row],[CodBarras2]],2,50)</f>
        <v/>
      </c>
    </row>
    <row r="4115" spans="9:9" x14ac:dyDescent="0.25">
      <c r="I4115" s="227" t="str">
        <f>MID(excPisCofins[[#This Row],[CodBarras2]],2,50)</f>
        <v/>
      </c>
    </row>
    <row r="4116" spans="9:9" x14ac:dyDescent="0.25">
      <c r="I4116" s="227" t="str">
        <f>MID(excPisCofins[[#This Row],[CodBarras2]],2,50)</f>
        <v/>
      </c>
    </row>
    <row r="4117" spans="9:9" x14ac:dyDescent="0.25">
      <c r="I4117" s="227" t="str">
        <f>MID(excPisCofins[[#This Row],[CodBarras2]],2,50)</f>
        <v/>
      </c>
    </row>
    <row r="4118" spans="9:9" x14ac:dyDescent="0.25">
      <c r="I4118" s="227" t="str">
        <f>MID(excPisCofins[[#This Row],[CodBarras2]],2,50)</f>
        <v/>
      </c>
    </row>
    <row r="4119" spans="9:9" x14ac:dyDescent="0.25">
      <c r="I4119" s="227" t="str">
        <f>MID(excPisCofins[[#This Row],[CodBarras2]],2,50)</f>
        <v/>
      </c>
    </row>
    <row r="4120" spans="9:9" x14ac:dyDescent="0.25">
      <c r="I4120" s="227" t="str">
        <f>MID(excPisCofins[[#This Row],[CodBarras2]],2,50)</f>
        <v/>
      </c>
    </row>
    <row r="4121" spans="9:9" x14ac:dyDescent="0.25">
      <c r="I4121" s="227" t="str">
        <f>MID(excPisCofins[[#This Row],[CodBarras2]],2,50)</f>
        <v/>
      </c>
    </row>
    <row r="4122" spans="9:9" x14ac:dyDescent="0.25">
      <c r="I4122" s="227" t="str">
        <f>MID(excPisCofins[[#This Row],[CodBarras2]],2,50)</f>
        <v/>
      </c>
    </row>
    <row r="4123" spans="9:9" x14ac:dyDescent="0.25">
      <c r="I4123" s="227" t="str">
        <f>MID(excPisCofins[[#This Row],[CodBarras2]],2,50)</f>
        <v/>
      </c>
    </row>
    <row r="4124" spans="9:9" x14ac:dyDescent="0.25">
      <c r="I4124" s="227" t="str">
        <f>MID(excPisCofins[[#This Row],[CodBarras2]],2,50)</f>
        <v/>
      </c>
    </row>
    <row r="4125" spans="9:9" x14ac:dyDescent="0.25">
      <c r="I4125" s="227" t="str">
        <f>MID(excPisCofins[[#This Row],[CodBarras2]],2,50)</f>
        <v/>
      </c>
    </row>
    <row r="4126" spans="9:9" x14ac:dyDescent="0.25">
      <c r="I4126" s="227" t="str">
        <f>MID(excPisCofins[[#This Row],[CodBarras2]],2,50)</f>
        <v/>
      </c>
    </row>
    <row r="4127" spans="9:9" x14ac:dyDescent="0.25">
      <c r="I4127" s="227" t="str">
        <f>MID(excPisCofins[[#This Row],[CodBarras2]],2,50)</f>
        <v/>
      </c>
    </row>
    <row r="4128" spans="9:9" x14ac:dyDescent="0.25">
      <c r="I4128" s="227" t="str">
        <f>MID(excPisCofins[[#This Row],[CodBarras2]],2,50)</f>
        <v/>
      </c>
    </row>
    <row r="4129" spans="9:9" x14ac:dyDescent="0.25">
      <c r="I4129" s="227" t="str">
        <f>MID(excPisCofins[[#This Row],[CodBarras2]],2,50)</f>
        <v/>
      </c>
    </row>
    <row r="4130" spans="9:9" x14ac:dyDescent="0.25">
      <c r="I4130" s="227" t="str">
        <f>MID(excPisCofins[[#This Row],[CodBarras2]],2,50)</f>
        <v/>
      </c>
    </row>
    <row r="4131" spans="9:9" x14ac:dyDescent="0.25">
      <c r="I4131" s="227" t="str">
        <f>MID(excPisCofins[[#This Row],[CodBarras2]],2,50)</f>
        <v/>
      </c>
    </row>
    <row r="4132" spans="9:9" x14ac:dyDescent="0.25">
      <c r="I4132" s="227" t="str">
        <f>MID(excPisCofins[[#This Row],[CodBarras2]],2,50)</f>
        <v/>
      </c>
    </row>
    <row r="4133" spans="9:9" x14ac:dyDescent="0.25">
      <c r="I4133" s="227" t="str">
        <f>MID(excPisCofins[[#This Row],[CodBarras2]],2,50)</f>
        <v/>
      </c>
    </row>
    <row r="4134" spans="9:9" x14ac:dyDescent="0.25">
      <c r="I4134" s="227" t="str">
        <f>MID(excPisCofins[[#This Row],[CodBarras2]],2,50)</f>
        <v/>
      </c>
    </row>
    <row r="4135" spans="9:9" x14ac:dyDescent="0.25">
      <c r="I4135" s="227" t="str">
        <f>MID(excPisCofins[[#This Row],[CodBarras2]],2,50)</f>
        <v/>
      </c>
    </row>
    <row r="4136" spans="9:9" x14ac:dyDescent="0.25">
      <c r="I4136" s="227" t="str">
        <f>MID(excPisCofins[[#This Row],[CodBarras2]],2,50)</f>
        <v/>
      </c>
    </row>
    <row r="4137" spans="9:9" x14ac:dyDescent="0.25">
      <c r="I4137" s="227" t="str">
        <f>MID(excPisCofins[[#This Row],[CodBarras2]],2,50)</f>
        <v/>
      </c>
    </row>
    <row r="4138" spans="9:9" x14ac:dyDescent="0.25">
      <c r="I4138" s="227" t="str">
        <f>MID(excPisCofins[[#This Row],[CodBarras2]],2,50)</f>
        <v/>
      </c>
    </row>
    <row r="4139" spans="9:9" x14ac:dyDescent="0.25">
      <c r="I4139" s="227" t="str">
        <f>MID(excPisCofins[[#This Row],[CodBarras2]],2,50)</f>
        <v/>
      </c>
    </row>
    <row r="4140" spans="9:9" x14ac:dyDescent="0.25">
      <c r="I4140" s="227" t="str">
        <f>MID(excPisCofins[[#This Row],[CodBarras2]],2,50)</f>
        <v/>
      </c>
    </row>
    <row r="4141" spans="9:9" x14ac:dyDescent="0.25">
      <c r="I4141" s="227" t="str">
        <f>MID(excPisCofins[[#This Row],[CodBarras2]],2,50)</f>
        <v/>
      </c>
    </row>
    <row r="4142" spans="9:9" x14ac:dyDescent="0.25">
      <c r="I4142" s="227" t="str">
        <f>MID(excPisCofins[[#This Row],[CodBarras2]],2,50)</f>
        <v/>
      </c>
    </row>
    <row r="4143" spans="9:9" x14ac:dyDescent="0.25">
      <c r="I4143" s="227" t="str">
        <f>MID(excPisCofins[[#This Row],[CodBarras2]],2,50)</f>
        <v/>
      </c>
    </row>
    <row r="4144" spans="9:9" x14ac:dyDescent="0.25">
      <c r="I4144" s="227" t="str">
        <f>MID(excPisCofins[[#This Row],[CodBarras2]],2,50)</f>
        <v/>
      </c>
    </row>
    <row r="4145" spans="9:9" x14ac:dyDescent="0.25">
      <c r="I4145" s="227" t="str">
        <f>MID(excPisCofins[[#This Row],[CodBarras2]],2,50)</f>
        <v/>
      </c>
    </row>
    <row r="4146" spans="9:9" x14ac:dyDescent="0.25">
      <c r="I4146" s="227" t="str">
        <f>MID(excPisCofins[[#This Row],[CodBarras2]],2,50)</f>
        <v/>
      </c>
    </row>
    <row r="4147" spans="9:9" x14ac:dyDescent="0.25">
      <c r="I4147" s="227" t="str">
        <f>MID(excPisCofins[[#This Row],[CodBarras2]],2,50)</f>
        <v/>
      </c>
    </row>
    <row r="4148" spans="9:9" x14ac:dyDescent="0.25">
      <c r="I4148" s="227" t="str">
        <f>MID(excPisCofins[[#This Row],[CodBarras2]],2,50)</f>
        <v/>
      </c>
    </row>
    <row r="4149" spans="9:9" x14ac:dyDescent="0.25">
      <c r="I4149" s="227" t="str">
        <f>MID(excPisCofins[[#This Row],[CodBarras2]],2,50)</f>
        <v/>
      </c>
    </row>
    <row r="4150" spans="9:9" x14ac:dyDescent="0.25">
      <c r="I4150" s="227" t="str">
        <f>MID(excPisCofins[[#This Row],[CodBarras2]],2,50)</f>
        <v/>
      </c>
    </row>
    <row r="4151" spans="9:9" x14ac:dyDescent="0.25">
      <c r="I4151" s="227" t="str">
        <f>MID(excPisCofins[[#This Row],[CodBarras2]],2,50)</f>
        <v/>
      </c>
    </row>
    <row r="4152" spans="9:9" x14ac:dyDescent="0.25">
      <c r="I4152" s="227" t="str">
        <f>MID(excPisCofins[[#This Row],[CodBarras2]],2,50)</f>
        <v/>
      </c>
    </row>
    <row r="4153" spans="9:9" x14ac:dyDescent="0.25">
      <c r="I4153" s="227" t="str">
        <f>MID(excPisCofins[[#This Row],[CodBarras2]],2,50)</f>
        <v/>
      </c>
    </row>
    <row r="4154" spans="9:9" x14ac:dyDescent="0.25">
      <c r="I4154" s="227" t="str">
        <f>MID(excPisCofins[[#This Row],[CodBarras2]],2,50)</f>
        <v/>
      </c>
    </row>
    <row r="4155" spans="9:9" x14ac:dyDescent="0.25">
      <c r="I4155" s="227" t="str">
        <f>MID(excPisCofins[[#This Row],[CodBarras2]],2,50)</f>
        <v/>
      </c>
    </row>
    <row r="4156" spans="9:9" x14ac:dyDescent="0.25">
      <c r="I4156" s="227" t="str">
        <f>MID(excPisCofins[[#This Row],[CodBarras2]],2,50)</f>
        <v/>
      </c>
    </row>
    <row r="4157" spans="9:9" x14ac:dyDescent="0.25">
      <c r="I4157" s="227" t="str">
        <f>MID(excPisCofins[[#This Row],[CodBarras2]],2,50)</f>
        <v/>
      </c>
    </row>
    <row r="4158" spans="9:9" x14ac:dyDescent="0.25">
      <c r="I4158" s="227" t="str">
        <f>MID(excPisCofins[[#This Row],[CodBarras2]],2,50)</f>
        <v/>
      </c>
    </row>
    <row r="4159" spans="9:9" x14ac:dyDescent="0.25">
      <c r="I4159" s="227" t="str">
        <f>MID(excPisCofins[[#This Row],[CodBarras2]],2,50)</f>
        <v/>
      </c>
    </row>
    <row r="4160" spans="9:9" x14ac:dyDescent="0.25">
      <c r="I4160" s="227" t="str">
        <f>MID(excPisCofins[[#This Row],[CodBarras2]],2,50)</f>
        <v/>
      </c>
    </row>
    <row r="4161" spans="9:9" x14ac:dyDescent="0.25">
      <c r="I4161" s="227" t="str">
        <f>MID(excPisCofins[[#This Row],[CodBarras2]],2,50)</f>
        <v/>
      </c>
    </row>
    <row r="4162" spans="9:9" x14ac:dyDescent="0.25">
      <c r="I4162" s="227" t="str">
        <f>MID(excPisCofins[[#This Row],[CodBarras2]],2,50)</f>
        <v/>
      </c>
    </row>
    <row r="4163" spans="9:9" x14ac:dyDescent="0.25">
      <c r="I4163" s="227" t="str">
        <f>MID(excPisCofins[[#This Row],[CodBarras2]],2,50)</f>
        <v/>
      </c>
    </row>
    <row r="4164" spans="9:9" x14ac:dyDescent="0.25">
      <c r="I4164" s="227" t="str">
        <f>MID(excPisCofins[[#This Row],[CodBarras2]],2,50)</f>
        <v/>
      </c>
    </row>
    <row r="4165" spans="9:9" x14ac:dyDescent="0.25">
      <c r="I4165" s="227" t="str">
        <f>MID(excPisCofins[[#This Row],[CodBarras2]],2,50)</f>
        <v/>
      </c>
    </row>
    <row r="4166" spans="9:9" x14ac:dyDescent="0.25">
      <c r="I4166" s="227" t="str">
        <f>MID(excPisCofins[[#This Row],[CodBarras2]],2,50)</f>
        <v/>
      </c>
    </row>
    <row r="4167" spans="9:9" x14ac:dyDescent="0.25">
      <c r="I4167" s="227" t="str">
        <f>MID(excPisCofins[[#This Row],[CodBarras2]],2,50)</f>
        <v/>
      </c>
    </row>
    <row r="4168" spans="9:9" x14ac:dyDescent="0.25">
      <c r="I4168" s="227" t="str">
        <f>MID(excPisCofins[[#This Row],[CodBarras2]],2,50)</f>
        <v/>
      </c>
    </row>
    <row r="4169" spans="9:9" x14ac:dyDescent="0.25">
      <c r="I4169" s="227" t="str">
        <f>MID(excPisCofins[[#This Row],[CodBarras2]],2,50)</f>
        <v/>
      </c>
    </row>
    <row r="4170" spans="9:9" x14ac:dyDescent="0.25">
      <c r="I4170" s="227" t="str">
        <f>MID(excPisCofins[[#This Row],[CodBarras2]],2,50)</f>
        <v/>
      </c>
    </row>
    <row r="4171" spans="9:9" x14ac:dyDescent="0.25">
      <c r="I4171" s="227" t="str">
        <f>MID(excPisCofins[[#This Row],[CodBarras2]],2,50)</f>
        <v/>
      </c>
    </row>
    <row r="4172" spans="9:9" x14ac:dyDescent="0.25">
      <c r="I4172" s="227" t="str">
        <f>MID(excPisCofins[[#This Row],[CodBarras2]],2,50)</f>
        <v/>
      </c>
    </row>
    <row r="4173" spans="9:9" x14ac:dyDescent="0.25">
      <c r="I4173" s="227" t="str">
        <f>MID(excPisCofins[[#This Row],[CodBarras2]],2,50)</f>
        <v/>
      </c>
    </row>
    <row r="4174" spans="9:9" x14ac:dyDescent="0.25">
      <c r="I4174" s="227" t="str">
        <f>MID(excPisCofins[[#This Row],[CodBarras2]],2,50)</f>
        <v/>
      </c>
    </row>
    <row r="4175" spans="9:9" x14ac:dyDescent="0.25">
      <c r="I4175" s="227" t="str">
        <f>MID(excPisCofins[[#This Row],[CodBarras2]],2,50)</f>
        <v/>
      </c>
    </row>
    <row r="4176" spans="9:9" x14ac:dyDescent="0.25">
      <c r="I4176" s="227" t="str">
        <f>MID(excPisCofins[[#This Row],[CodBarras2]],2,50)</f>
        <v/>
      </c>
    </row>
    <row r="4177" spans="9:9" x14ac:dyDescent="0.25">
      <c r="I4177" s="227" t="str">
        <f>MID(excPisCofins[[#This Row],[CodBarras2]],2,50)</f>
        <v/>
      </c>
    </row>
    <row r="4178" spans="9:9" x14ac:dyDescent="0.25">
      <c r="I4178" s="227" t="str">
        <f>MID(excPisCofins[[#This Row],[CodBarras2]],2,50)</f>
        <v/>
      </c>
    </row>
    <row r="4179" spans="9:9" x14ac:dyDescent="0.25">
      <c r="I4179" s="227" t="str">
        <f>MID(excPisCofins[[#This Row],[CodBarras2]],2,50)</f>
        <v/>
      </c>
    </row>
    <row r="4180" spans="9:9" x14ac:dyDescent="0.25">
      <c r="I4180" s="227" t="str">
        <f>MID(excPisCofins[[#This Row],[CodBarras2]],2,50)</f>
        <v/>
      </c>
    </row>
    <row r="4181" spans="9:9" x14ac:dyDescent="0.25">
      <c r="I4181" s="227" t="str">
        <f>MID(excPisCofins[[#This Row],[CodBarras2]],2,50)</f>
        <v/>
      </c>
    </row>
    <row r="4182" spans="9:9" x14ac:dyDescent="0.25">
      <c r="I4182" s="227" t="str">
        <f>MID(excPisCofins[[#This Row],[CodBarras2]],2,50)</f>
        <v/>
      </c>
    </row>
    <row r="4183" spans="9:9" x14ac:dyDescent="0.25">
      <c r="I4183" s="227" t="str">
        <f>MID(excPisCofins[[#This Row],[CodBarras2]],2,50)</f>
        <v/>
      </c>
    </row>
    <row r="4184" spans="9:9" x14ac:dyDescent="0.25">
      <c r="I4184" s="227" t="str">
        <f>MID(excPisCofins[[#This Row],[CodBarras2]],2,50)</f>
        <v/>
      </c>
    </row>
    <row r="4185" spans="9:9" x14ac:dyDescent="0.25">
      <c r="I4185" s="227" t="str">
        <f>MID(excPisCofins[[#This Row],[CodBarras2]],2,50)</f>
        <v/>
      </c>
    </row>
    <row r="4186" spans="9:9" x14ac:dyDescent="0.25">
      <c r="I4186" s="227" t="str">
        <f>MID(excPisCofins[[#This Row],[CodBarras2]],2,50)</f>
        <v/>
      </c>
    </row>
    <row r="4187" spans="9:9" x14ac:dyDescent="0.25">
      <c r="I4187" s="227" t="str">
        <f>MID(excPisCofins[[#This Row],[CodBarras2]],2,50)</f>
        <v/>
      </c>
    </row>
    <row r="4188" spans="9:9" x14ac:dyDescent="0.25">
      <c r="I4188" s="227" t="str">
        <f>MID(excPisCofins[[#This Row],[CodBarras2]],2,50)</f>
        <v/>
      </c>
    </row>
    <row r="4189" spans="9:9" x14ac:dyDescent="0.25">
      <c r="I4189" s="227" t="str">
        <f>MID(excPisCofins[[#This Row],[CodBarras2]],2,50)</f>
        <v/>
      </c>
    </row>
    <row r="4190" spans="9:9" x14ac:dyDescent="0.25">
      <c r="I4190" s="227" t="str">
        <f>MID(excPisCofins[[#This Row],[CodBarras2]],2,50)</f>
        <v/>
      </c>
    </row>
    <row r="4191" spans="9:9" x14ac:dyDescent="0.25">
      <c r="I4191" s="227" t="str">
        <f>MID(excPisCofins[[#This Row],[CodBarras2]],2,50)</f>
        <v/>
      </c>
    </row>
    <row r="4192" spans="9:9" x14ac:dyDescent="0.25">
      <c r="I4192" s="227" t="str">
        <f>MID(excPisCofins[[#This Row],[CodBarras2]],2,50)</f>
        <v/>
      </c>
    </row>
    <row r="4193" spans="9:9" x14ac:dyDescent="0.25">
      <c r="I4193" s="227" t="str">
        <f>MID(excPisCofins[[#This Row],[CodBarras2]],2,50)</f>
        <v/>
      </c>
    </row>
    <row r="4194" spans="9:9" x14ac:dyDescent="0.25">
      <c r="I4194" s="227" t="str">
        <f>MID(excPisCofins[[#This Row],[CodBarras2]],2,50)</f>
        <v/>
      </c>
    </row>
    <row r="4195" spans="9:9" x14ac:dyDescent="0.25">
      <c r="I4195" s="227" t="str">
        <f>MID(excPisCofins[[#This Row],[CodBarras2]],2,50)</f>
        <v/>
      </c>
    </row>
    <row r="4196" spans="9:9" x14ac:dyDescent="0.25">
      <c r="I4196" s="227" t="str">
        <f>MID(excPisCofins[[#This Row],[CodBarras2]],2,50)</f>
        <v/>
      </c>
    </row>
    <row r="4197" spans="9:9" x14ac:dyDescent="0.25">
      <c r="I4197" s="227" t="str">
        <f>MID(excPisCofins[[#This Row],[CodBarras2]],2,50)</f>
        <v/>
      </c>
    </row>
    <row r="4198" spans="9:9" x14ac:dyDescent="0.25">
      <c r="I4198" s="227" t="str">
        <f>MID(excPisCofins[[#This Row],[CodBarras2]],2,50)</f>
        <v/>
      </c>
    </row>
    <row r="4199" spans="9:9" x14ac:dyDescent="0.25">
      <c r="I4199" s="227" t="str">
        <f>MID(excPisCofins[[#This Row],[CodBarras2]],2,50)</f>
        <v/>
      </c>
    </row>
    <row r="4200" spans="9:9" x14ac:dyDescent="0.25">
      <c r="I4200" s="227" t="str">
        <f>MID(excPisCofins[[#This Row],[CodBarras2]],2,50)</f>
        <v/>
      </c>
    </row>
    <row r="4201" spans="9:9" x14ac:dyDescent="0.25">
      <c r="I4201" s="227" t="str">
        <f>MID(excPisCofins[[#This Row],[CodBarras2]],2,50)</f>
        <v/>
      </c>
    </row>
    <row r="4202" spans="9:9" x14ac:dyDescent="0.25">
      <c r="I4202" s="227" t="str">
        <f>MID(excPisCofins[[#This Row],[CodBarras2]],2,50)</f>
        <v/>
      </c>
    </row>
    <row r="4203" spans="9:9" x14ac:dyDescent="0.25">
      <c r="I4203" s="227" t="str">
        <f>MID(excPisCofins[[#This Row],[CodBarras2]],2,50)</f>
        <v/>
      </c>
    </row>
    <row r="4204" spans="9:9" x14ac:dyDescent="0.25">
      <c r="I4204" s="227" t="str">
        <f>MID(excPisCofins[[#This Row],[CodBarras2]],2,50)</f>
        <v/>
      </c>
    </row>
    <row r="4205" spans="9:9" x14ac:dyDescent="0.25">
      <c r="I4205" s="227" t="str">
        <f>MID(excPisCofins[[#This Row],[CodBarras2]],2,50)</f>
        <v/>
      </c>
    </row>
    <row r="4206" spans="9:9" x14ac:dyDescent="0.25">
      <c r="I4206" s="227" t="str">
        <f>MID(excPisCofins[[#This Row],[CodBarras2]],2,50)</f>
        <v/>
      </c>
    </row>
    <row r="4207" spans="9:9" x14ac:dyDescent="0.25">
      <c r="I4207" s="227" t="str">
        <f>MID(excPisCofins[[#This Row],[CodBarras2]],2,50)</f>
        <v/>
      </c>
    </row>
    <row r="4208" spans="9:9" x14ac:dyDescent="0.25">
      <c r="I4208" s="227" t="str">
        <f>MID(excPisCofins[[#This Row],[CodBarras2]],2,50)</f>
        <v/>
      </c>
    </row>
    <row r="4209" spans="9:9" x14ac:dyDescent="0.25">
      <c r="I4209" s="227" t="str">
        <f>MID(excPisCofins[[#This Row],[CodBarras2]],2,50)</f>
        <v/>
      </c>
    </row>
    <row r="4210" spans="9:9" x14ac:dyDescent="0.25">
      <c r="I4210" s="227" t="str">
        <f>MID(excPisCofins[[#This Row],[CodBarras2]],2,50)</f>
        <v/>
      </c>
    </row>
    <row r="4211" spans="9:9" x14ac:dyDescent="0.25">
      <c r="I4211" s="227" t="str">
        <f>MID(excPisCofins[[#This Row],[CodBarras2]],2,50)</f>
        <v/>
      </c>
    </row>
    <row r="4212" spans="9:9" x14ac:dyDescent="0.25">
      <c r="I4212" s="227" t="str">
        <f>MID(excPisCofins[[#This Row],[CodBarras2]],2,50)</f>
        <v/>
      </c>
    </row>
    <row r="4213" spans="9:9" x14ac:dyDescent="0.25">
      <c r="I4213" s="227" t="str">
        <f>MID(excPisCofins[[#This Row],[CodBarras2]],2,50)</f>
        <v/>
      </c>
    </row>
    <row r="4214" spans="9:9" x14ac:dyDescent="0.25">
      <c r="I4214" s="227" t="str">
        <f>MID(excPisCofins[[#This Row],[CodBarras2]],2,50)</f>
        <v/>
      </c>
    </row>
    <row r="4215" spans="9:9" x14ac:dyDescent="0.25">
      <c r="I4215" s="227" t="str">
        <f>MID(excPisCofins[[#This Row],[CodBarras2]],2,50)</f>
        <v/>
      </c>
    </row>
    <row r="4216" spans="9:9" x14ac:dyDescent="0.25">
      <c r="I4216" s="227" t="str">
        <f>MID(excPisCofins[[#This Row],[CodBarras2]],2,50)</f>
        <v/>
      </c>
    </row>
    <row r="4217" spans="9:9" x14ac:dyDescent="0.25">
      <c r="I4217" s="227" t="str">
        <f>MID(excPisCofins[[#This Row],[CodBarras2]],2,50)</f>
        <v/>
      </c>
    </row>
    <row r="4218" spans="9:9" x14ac:dyDescent="0.25">
      <c r="I4218" s="227" t="str">
        <f>MID(excPisCofins[[#This Row],[CodBarras2]],2,50)</f>
        <v/>
      </c>
    </row>
    <row r="4219" spans="9:9" x14ac:dyDescent="0.25">
      <c r="I4219" s="227" t="str">
        <f>MID(excPisCofins[[#This Row],[CodBarras2]],2,50)</f>
        <v/>
      </c>
    </row>
    <row r="4220" spans="9:9" x14ac:dyDescent="0.25">
      <c r="I4220" s="227" t="str">
        <f>MID(excPisCofins[[#This Row],[CodBarras2]],2,50)</f>
        <v/>
      </c>
    </row>
    <row r="4221" spans="9:9" x14ac:dyDescent="0.25">
      <c r="I4221" s="227" t="str">
        <f>MID(excPisCofins[[#This Row],[CodBarras2]],2,50)</f>
        <v/>
      </c>
    </row>
    <row r="4222" spans="9:9" x14ac:dyDescent="0.25">
      <c r="I4222" s="227" t="str">
        <f>MID(excPisCofins[[#This Row],[CodBarras2]],2,50)</f>
        <v/>
      </c>
    </row>
    <row r="4223" spans="9:9" x14ac:dyDescent="0.25">
      <c r="I4223" s="227" t="str">
        <f>MID(excPisCofins[[#This Row],[CodBarras2]],2,50)</f>
        <v/>
      </c>
    </row>
    <row r="4224" spans="9:9" x14ac:dyDescent="0.25">
      <c r="I4224" s="227" t="str">
        <f>MID(excPisCofins[[#This Row],[CodBarras2]],2,50)</f>
        <v/>
      </c>
    </row>
    <row r="4225" spans="9:9" x14ac:dyDescent="0.25">
      <c r="I4225" s="227" t="str">
        <f>MID(excPisCofins[[#This Row],[CodBarras2]],2,50)</f>
        <v/>
      </c>
    </row>
    <row r="4226" spans="9:9" x14ac:dyDescent="0.25">
      <c r="I4226" s="227" t="str">
        <f>MID(excPisCofins[[#This Row],[CodBarras2]],2,50)</f>
        <v/>
      </c>
    </row>
    <row r="4227" spans="9:9" x14ac:dyDescent="0.25">
      <c r="I4227" s="227" t="str">
        <f>MID(excPisCofins[[#This Row],[CodBarras2]],2,50)</f>
        <v/>
      </c>
    </row>
    <row r="4228" spans="9:9" x14ac:dyDescent="0.25">
      <c r="I4228" s="227" t="str">
        <f>MID(excPisCofins[[#This Row],[CodBarras2]],2,50)</f>
        <v/>
      </c>
    </row>
    <row r="4229" spans="9:9" x14ac:dyDescent="0.25">
      <c r="I4229" s="227" t="str">
        <f>MID(excPisCofins[[#This Row],[CodBarras2]],2,50)</f>
        <v/>
      </c>
    </row>
    <row r="4230" spans="9:9" x14ac:dyDescent="0.25">
      <c r="I4230" s="227" t="str">
        <f>MID(excPisCofins[[#This Row],[CodBarras2]],2,50)</f>
        <v/>
      </c>
    </row>
    <row r="4231" spans="9:9" x14ac:dyDescent="0.25">
      <c r="I4231" s="227" t="str">
        <f>MID(excPisCofins[[#This Row],[CodBarras2]],2,50)</f>
        <v/>
      </c>
    </row>
    <row r="4232" spans="9:9" x14ac:dyDescent="0.25">
      <c r="I4232" s="227" t="str">
        <f>MID(excPisCofins[[#This Row],[CodBarras2]],2,50)</f>
        <v/>
      </c>
    </row>
    <row r="4233" spans="9:9" x14ac:dyDescent="0.25">
      <c r="I4233" s="227" t="str">
        <f>MID(excPisCofins[[#This Row],[CodBarras2]],2,50)</f>
        <v/>
      </c>
    </row>
    <row r="4234" spans="9:9" x14ac:dyDescent="0.25">
      <c r="I4234" s="227" t="str">
        <f>MID(excPisCofins[[#This Row],[CodBarras2]],2,50)</f>
        <v/>
      </c>
    </row>
    <row r="4235" spans="9:9" x14ac:dyDescent="0.25">
      <c r="I4235" s="227" t="str">
        <f>MID(excPisCofins[[#This Row],[CodBarras2]],2,50)</f>
        <v/>
      </c>
    </row>
    <row r="4236" spans="9:9" x14ac:dyDescent="0.25">
      <c r="I4236" s="227" t="str">
        <f>MID(excPisCofins[[#This Row],[CodBarras2]],2,50)</f>
        <v/>
      </c>
    </row>
    <row r="4237" spans="9:9" x14ac:dyDescent="0.25">
      <c r="I4237" s="227" t="str">
        <f>MID(excPisCofins[[#This Row],[CodBarras2]],2,50)</f>
        <v/>
      </c>
    </row>
    <row r="4238" spans="9:9" x14ac:dyDescent="0.25">
      <c r="I4238" s="227" t="str">
        <f>MID(excPisCofins[[#This Row],[CodBarras2]],2,50)</f>
        <v/>
      </c>
    </row>
    <row r="4239" spans="9:9" x14ac:dyDescent="0.25">
      <c r="I4239" s="227" t="str">
        <f>MID(excPisCofins[[#This Row],[CodBarras2]],2,50)</f>
        <v/>
      </c>
    </row>
    <row r="4240" spans="9:9" x14ac:dyDescent="0.25">
      <c r="I4240" s="227" t="str">
        <f>MID(excPisCofins[[#This Row],[CodBarras2]],2,50)</f>
        <v/>
      </c>
    </row>
    <row r="4241" spans="9:9" x14ac:dyDescent="0.25">
      <c r="I4241" s="227" t="str">
        <f>MID(excPisCofins[[#This Row],[CodBarras2]],2,50)</f>
        <v/>
      </c>
    </row>
    <row r="4242" spans="9:9" x14ac:dyDescent="0.25">
      <c r="I4242" s="227" t="str">
        <f>MID(excPisCofins[[#This Row],[CodBarras2]],2,50)</f>
        <v/>
      </c>
    </row>
    <row r="4243" spans="9:9" x14ac:dyDescent="0.25">
      <c r="I4243" s="227" t="str">
        <f>MID(excPisCofins[[#This Row],[CodBarras2]],2,50)</f>
        <v/>
      </c>
    </row>
    <row r="4244" spans="9:9" x14ac:dyDescent="0.25">
      <c r="I4244" s="227" t="str">
        <f>MID(excPisCofins[[#This Row],[CodBarras2]],2,50)</f>
        <v/>
      </c>
    </row>
    <row r="4245" spans="9:9" x14ac:dyDescent="0.25">
      <c r="I4245" s="227" t="str">
        <f>MID(excPisCofins[[#This Row],[CodBarras2]],2,50)</f>
        <v/>
      </c>
    </row>
    <row r="4246" spans="9:9" x14ac:dyDescent="0.25">
      <c r="I4246" s="227" t="str">
        <f>MID(excPisCofins[[#This Row],[CodBarras2]],2,50)</f>
        <v/>
      </c>
    </row>
    <row r="4247" spans="9:9" x14ac:dyDescent="0.25">
      <c r="I4247" s="227" t="str">
        <f>MID(excPisCofins[[#This Row],[CodBarras2]],2,50)</f>
        <v/>
      </c>
    </row>
    <row r="4248" spans="9:9" x14ac:dyDescent="0.25">
      <c r="I4248" s="227" t="str">
        <f>MID(excPisCofins[[#This Row],[CodBarras2]],2,50)</f>
        <v/>
      </c>
    </row>
    <row r="4249" spans="9:9" x14ac:dyDescent="0.25">
      <c r="I4249" s="227" t="str">
        <f>MID(excPisCofins[[#This Row],[CodBarras2]],2,50)</f>
        <v/>
      </c>
    </row>
    <row r="4250" spans="9:9" x14ac:dyDescent="0.25">
      <c r="I4250" s="227" t="str">
        <f>MID(excPisCofins[[#This Row],[CodBarras2]],2,50)</f>
        <v/>
      </c>
    </row>
    <row r="4251" spans="9:9" x14ac:dyDescent="0.25">
      <c r="I4251" s="227" t="str">
        <f>MID(excPisCofins[[#This Row],[CodBarras2]],2,50)</f>
        <v/>
      </c>
    </row>
    <row r="4252" spans="9:9" x14ac:dyDescent="0.25">
      <c r="I4252" s="227" t="str">
        <f>MID(excPisCofins[[#This Row],[CodBarras2]],2,50)</f>
        <v/>
      </c>
    </row>
    <row r="4253" spans="9:9" x14ac:dyDescent="0.25">
      <c r="I4253" s="227" t="str">
        <f>MID(excPisCofins[[#This Row],[CodBarras2]],2,50)</f>
        <v/>
      </c>
    </row>
    <row r="4254" spans="9:9" x14ac:dyDescent="0.25">
      <c r="I4254" s="227" t="str">
        <f>MID(excPisCofins[[#This Row],[CodBarras2]],2,50)</f>
        <v/>
      </c>
    </row>
    <row r="4255" spans="9:9" x14ac:dyDescent="0.25">
      <c r="I4255" s="227" t="str">
        <f>MID(excPisCofins[[#This Row],[CodBarras2]],2,50)</f>
        <v/>
      </c>
    </row>
    <row r="4256" spans="9:9" x14ac:dyDescent="0.25">
      <c r="I4256" s="227" t="str">
        <f>MID(excPisCofins[[#This Row],[CodBarras2]],2,50)</f>
        <v/>
      </c>
    </row>
    <row r="4257" spans="9:9" x14ac:dyDescent="0.25">
      <c r="I4257" s="227" t="str">
        <f>MID(excPisCofins[[#This Row],[CodBarras2]],2,50)</f>
        <v/>
      </c>
    </row>
    <row r="4258" spans="9:9" x14ac:dyDescent="0.25">
      <c r="I4258" s="227" t="str">
        <f>MID(excPisCofins[[#This Row],[CodBarras2]],2,50)</f>
        <v/>
      </c>
    </row>
    <row r="4259" spans="9:9" x14ac:dyDescent="0.25">
      <c r="I4259" s="227" t="str">
        <f>MID(excPisCofins[[#This Row],[CodBarras2]],2,50)</f>
        <v/>
      </c>
    </row>
    <row r="4260" spans="9:9" x14ac:dyDescent="0.25">
      <c r="I4260" s="227" t="str">
        <f>MID(excPisCofins[[#This Row],[CodBarras2]],2,50)</f>
        <v/>
      </c>
    </row>
    <row r="4261" spans="9:9" x14ac:dyDescent="0.25">
      <c r="I4261" s="227" t="str">
        <f>MID(excPisCofins[[#This Row],[CodBarras2]],2,50)</f>
        <v/>
      </c>
    </row>
    <row r="4262" spans="9:9" x14ac:dyDescent="0.25">
      <c r="I4262" s="227" t="str">
        <f>MID(excPisCofins[[#This Row],[CodBarras2]],2,50)</f>
        <v/>
      </c>
    </row>
    <row r="4263" spans="9:9" x14ac:dyDescent="0.25">
      <c r="I4263" s="227" t="str">
        <f>MID(excPisCofins[[#This Row],[CodBarras2]],2,50)</f>
        <v/>
      </c>
    </row>
    <row r="4264" spans="9:9" x14ac:dyDescent="0.25">
      <c r="I4264" s="227" t="str">
        <f>MID(excPisCofins[[#This Row],[CodBarras2]],2,50)</f>
        <v/>
      </c>
    </row>
    <row r="4265" spans="9:9" x14ac:dyDescent="0.25">
      <c r="I4265" s="227" t="str">
        <f>MID(excPisCofins[[#This Row],[CodBarras2]],2,50)</f>
        <v/>
      </c>
    </row>
    <row r="4266" spans="9:9" x14ac:dyDescent="0.25">
      <c r="I4266" s="227" t="str">
        <f>MID(excPisCofins[[#This Row],[CodBarras2]],2,50)</f>
        <v/>
      </c>
    </row>
    <row r="4267" spans="9:9" x14ac:dyDescent="0.25">
      <c r="I4267" s="227" t="str">
        <f>MID(excPisCofins[[#This Row],[CodBarras2]],2,50)</f>
        <v/>
      </c>
    </row>
    <row r="4268" spans="9:9" x14ac:dyDescent="0.25">
      <c r="I4268" s="227" t="str">
        <f>MID(excPisCofins[[#This Row],[CodBarras2]],2,50)</f>
        <v/>
      </c>
    </row>
    <row r="4269" spans="9:9" x14ac:dyDescent="0.25">
      <c r="I4269" s="227" t="str">
        <f>MID(excPisCofins[[#This Row],[CodBarras2]],2,50)</f>
        <v/>
      </c>
    </row>
    <row r="4270" spans="9:9" x14ac:dyDescent="0.25">
      <c r="I4270" s="227" t="str">
        <f>MID(excPisCofins[[#This Row],[CodBarras2]],2,50)</f>
        <v/>
      </c>
    </row>
    <row r="4271" spans="9:9" x14ac:dyDescent="0.25">
      <c r="I4271" s="227" t="str">
        <f>MID(excPisCofins[[#This Row],[CodBarras2]],2,50)</f>
        <v/>
      </c>
    </row>
    <row r="4272" spans="9:9" x14ac:dyDescent="0.25">
      <c r="I4272" s="227" t="str">
        <f>MID(excPisCofins[[#This Row],[CodBarras2]],2,50)</f>
        <v/>
      </c>
    </row>
    <row r="4273" spans="9:9" x14ac:dyDescent="0.25">
      <c r="I4273" s="227" t="str">
        <f>MID(excPisCofins[[#This Row],[CodBarras2]],2,50)</f>
        <v/>
      </c>
    </row>
    <row r="4274" spans="9:9" x14ac:dyDescent="0.25">
      <c r="I4274" s="227" t="str">
        <f>MID(excPisCofins[[#This Row],[CodBarras2]],2,50)</f>
        <v/>
      </c>
    </row>
    <row r="4275" spans="9:9" x14ac:dyDescent="0.25">
      <c r="I4275" s="227" t="str">
        <f>MID(excPisCofins[[#This Row],[CodBarras2]],2,50)</f>
        <v/>
      </c>
    </row>
    <row r="4276" spans="9:9" x14ac:dyDescent="0.25">
      <c r="I4276" s="227" t="str">
        <f>MID(excPisCofins[[#This Row],[CodBarras2]],2,50)</f>
        <v/>
      </c>
    </row>
    <row r="4277" spans="9:9" x14ac:dyDescent="0.25">
      <c r="I4277" s="227" t="str">
        <f>MID(excPisCofins[[#This Row],[CodBarras2]],2,50)</f>
        <v/>
      </c>
    </row>
    <row r="4278" spans="9:9" x14ac:dyDescent="0.25">
      <c r="I4278" s="227" t="str">
        <f>MID(excPisCofins[[#This Row],[CodBarras2]],2,50)</f>
        <v/>
      </c>
    </row>
    <row r="4279" spans="9:9" x14ac:dyDescent="0.25">
      <c r="I4279" s="227" t="str">
        <f>MID(excPisCofins[[#This Row],[CodBarras2]],2,50)</f>
        <v/>
      </c>
    </row>
    <row r="4280" spans="9:9" x14ac:dyDescent="0.25">
      <c r="I4280" s="227" t="str">
        <f>MID(excPisCofins[[#This Row],[CodBarras2]],2,50)</f>
        <v/>
      </c>
    </row>
    <row r="4281" spans="9:9" x14ac:dyDescent="0.25">
      <c r="I4281" s="227" t="str">
        <f>MID(excPisCofins[[#This Row],[CodBarras2]],2,50)</f>
        <v/>
      </c>
    </row>
    <row r="4282" spans="9:9" x14ac:dyDescent="0.25">
      <c r="I4282" s="227" t="str">
        <f>MID(excPisCofins[[#This Row],[CodBarras2]],2,50)</f>
        <v/>
      </c>
    </row>
    <row r="4283" spans="9:9" x14ac:dyDescent="0.25">
      <c r="I4283" s="227" t="str">
        <f>MID(excPisCofins[[#This Row],[CodBarras2]],2,50)</f>
        <v/>
      </c>
    </row>
    <row r="4284" spans="9:9" x14ac:dyDescent="0.25">
      <c r="I4284" s="227" t="str">
        <f>MID(excPisCofins[[#This Row],[CodBarras2]],2,50)</f>
        <v/>
      </c>
    </row>
    <row r="4285" spans="9:9" x14ac:dyDescent="0.25">
      <c r="I4285" s="227" t="str">
        <f>MID(excPisCofins[[#This Row],[CodBarras2]],2,50)</f>
        <v/>
      </c>
    </row>
    <row r="4286" spans="9:9" x14ac:dyDescent="0.25">
      <c r="I4286" s="227" t="str">
        <f>MID(excPisCofins[[#This Row],[CodBarras2]],2,50)</f>
        <v/>
      </c>
    </row>
    <row r="4287" spans="9:9" x14ac:dyDescent="0.25">
      <c r="I4287" s="227" t="str">
        <f>MID(excPisCofins[[#This Row],[CodBarras2]],2,50)</f>
        <v/>
      </c>
    </row>
    <row r="4288" spans="9:9" x14ac:dyDescent="0.25">
      <c r="I4288" s="227" t="str">
        <f>MID(excPisCofins[[#This Row],[CodBarras2]],2,50)</f>
        <v/>
      </c>
    </row>
    <row r="4289" spans="9:9" x14ac:dyDescent="0.25">
      <c r="I4289" s="227" t="str">
        <f>MID(excPisCofins[[#This Row],[CodBarras2]],2,50)</f>
        <v/>
      </c>
    </row>
    <row r="4290" spans="9:9" x14ac:dyDescent="0.25">
      <c r="I4290" s="227" t="str">
        <f>MID(excPisCofins[[#This Row],[CodBarras2]],2,50)</f>
        <v/>
      </c>
    </row>
    <row r="4291" spans="9:9" x14ac:dyDescent="0.25">
      <c r="I4291" s="227" t="str">
        <f>MID(excPisCofins[[#This Row],[CodBarras2]],2,50)</f>
        <v/>
      </c>
    </row>
    <row r="4292" spans="9:9" x14ac:dyDescent="0.25">
      <c r="I4292" s="227" t="str">
        <f>MID(excPisCofins[[#This Row],[CodBarras2]],2,50)</f>
        <v/>
      </c>
    </row>
    <row r="4293" spans="9:9" x14ac:dyDescent="0.25">
      <c r="I4293" s="227" t="str">
        <f>MID(excPisCofins[[#This Row],[CodBarras2]],2,50)</f>
        <v/>
      </c>
    </row>
    <row r="4294" spans="9:9" x14ac:dyDescent="0.25">
      <c r="I4294" s="227" t="str">
        <f>MID(excPisCofins[[#This Row],[CodBarras2]],2,50)</f>
        <v/>
      </c>
    </row>
    <row r="4295" spans="9:9" x14ac:dyDescent="0.25">
      <c r="I4295" s="227" t="str">
        <f>MID(excPisCofins[[#This Row],[CodBarras2]],2,50)</f>
        <v/>
      </c>
    </row>
    <row r="4296" spans="9:9" x14ac:dyDescent="0.25">
      <c r="I4296" s="227" t="str">
        <f>MID(excPisCofins[[#This Row],[CodBarras2]],2,50)</f>
        <v/>
      </c>
    </row>
    <row r="4297" spans="9:9" x14ac:dyDescent="0.25">
      <c r="I4297" s="227" t="str">
        <f>MID(excPisCofins[[#This Row],[CodBarras2]],2,50)</f>
        <v/>
      </c>
    </row>
    <row r="4298" spans="9:9" x14ac:dyDescent="0.25">
      <c r="I4298" s="227" t="str">
        <f>MID(excPisCofins[[#This Row],[CodBarras2]],2,50)</f>
        <v/>
      </c>
    </row>
    <row r="4299" spans="9:9" x14ac:dyDescent="0.25">
      <c r="I4299" s="227" t="str">
        <f>MID(excPisCofins[[#This Row],[CodBarras2]],2,50)</f>
        <v/>
      </c>
    </row>
    <row r="4300" spans="9:9" x14ac:dyDescent="0.25">
      <c r="I4300" s="227" t="str">
        <f>MID(excPisCofins[[#This Row],[CodBarras2]],2,50)</f>
        <v/>
      </c>
    </row>
    <row r="4301" spans="9:9" x14ac:dyDescent="0.25">
      <c r="I4301" s="227" t="str">
        <f>MID(excPisCofins[[#This Row],[CodBarras2]],2,50)</f>
        <v/>
      </c>
    </row>
    <row r="4302" spans="9:9" x14ac:dyDescent="0.25">
      <c r="I4302" s="227" t="str">
        <f>MID(excPisCofins[[#This Row],[CodBarras2]],2,50)</f>
        <v/>
      </c>
    </row>
    <row r="4303" spans="9:9" x14ac:dyDescent="0.25">
      <c r="I4303" s="227" t="str">
        <f>MID(excPisCofins[[#This Row],[CodBarras2]],2,50)</f>
        <v/>
      </c>
    </row>
    <row r="4304" spans="9:9" x14ac:dyDescent="0.25">
      <c r="I4304" s="227" t="str">
        <f>MID(excPisCofins[[#This Row],[CodBarras2]],2,50)</f>
        <v/>
      </c>
    </row>
    <row r="4305" spans="9:9" x14ac:dyDescent="0.25">
      <c r="I4305" s="227" t="str">
        <f>MID(excPisCofins[[#This Row],[CodBarras2]],2,50)</f>
        <v/>
      </c>
    </row>
    <row r="4306" spans="9:9" x14ac:dyDescent="0.25">
      <c r="I4306" s="227" t="str">
        <f>MID(excPisCofins[[#This Row],[CodBarras2]],2,50)</f>
        <v/>
      </c>
    </row>
    <row r="4307" spans="9:9" x14ac:dyDescent="0.25">
      <c r="I4307" s="227" t="str">
        <f>MID(excPisCofins[[#This Row],[CodBarras2]],2,50)</f>
        <v/>
      </c>
    </row>
    <row r="4308" spans="9:9" x14ac:dyDescent="0.25">
      <c r="I4308" s="227" t="str">
        <f>MID(excPisCofins[[#This Row],[CodBarras2]],2,50)</f>
        <v/>
      </c>
    </row>
    <row r="4309" spans="9:9" x14ac:dyDescent="0.25">
      <c r="I4309" s="227" t="str">
        <f>MID(excPisCofins[[#This Row],[CodBarras2]],2,50)</f>
        <v/>
      </c>
    </row>
    <row r="4310" spans="9:9" x14ac:dyDescent="0.25">
      <c r="I4310" s="227" t="str">
        <f>MID(excPisCofins[[#This Row],[CodBarras2]],2,50)</f>
        <v/>
      </c>
    </row>
    <row r="4311" spans="9:9" x14ac:dyDescent="0.25">
      <c r="I4311" s="227" t="str">
        <f>MID(excPisCofins[[#This Row],[CodBarras2]],2,50)</f>
        <v/>
      </c>
    </row>
    <row r="4312" spans="9:9" x14ac:dyDescent="0.25">
      <c r="I4312" s="227" t="str">
        <f>MID(excPisCofins[[#This Row],[CodBarras2]],2,50)</f>
        <v/>
      </c>
    </row>
    <row r="4313" spans="9:9" x14ac:dyDescent="0.25">
      <c r="I4313" s="227" t="str">
        <f>MID(excPisCofins[[#This Row],[CodBarras2]],2,50)</f>
        <v/>
      </c>
    </row>
    <row r="4314" spans="9:9" x14ac:dyDescent="0.25">
      <c r="I4314" s="227" t="str">
        <f>MID(excPisCofins[[#This Row],[CodBarras2]],2,50)</f>
        <v/>
      </c>
    </row>
    <row r="4315" spans="9:9" x14ac:dyDescent="0.25">
      <c r="I4315" s="227" t="str">
        <f>MID(excPisCofins[[#This Row],[CodBarras2]],2,50)</f>
        <v/>
      </c>
    </row>
    <row r="4316" spans="9:9" x14ac:dyDescent="0.25">
      <c r="I4316" s="227" t="str">
        <f>MID(excPisCofins[[#This Row],[CodBarras2]],2,50)</f>
        <v/>
      </c>
    </row>
    <row r="4317" spans="9:9" x14ac:dyDescent="0.25">
      <c r="I4317" s="227" t="str">
        <f>MID(excPisCofins[[#This Row],[CodBarras2]],2,50)</f>
        <v/>
      </c>
    </row>
    <row r="4318" spans="9:9" x14ac:dyDescent="0.25">
      <c r="I4318" s="227" t="str">
        <f>MID(excPisCofins[[#This Row],[CodBarras2]],2,50)</f>
        <v/>
      </c>
    </row>
    <row r="4319" spans="9:9" x14ac:dyDescent="0.25">
      <c r="I4319" s="227" t="str">
        <f>MID(excPisCofins[[#This Row],[CodBarras2]],2,50)</f>
        <v/>
      </c>
    </row>
    <row r="4320" spans="9:9" x14ac:dyDescent="0.25">
      <c r="I4320" s="227" t="str">
        <f>MID(excPisCofins[[#This Row],[CodBarras2]],2,50)</f>
        <v/>
      </c>
    </row>
    <row r="4321" spans="9:9" x14ac:dyDescent="0.25">
      <c r="I4321" s="227" t="str">
        <f>MID(excPisCofins[[#This Row],[CodBarras2]],2,50)</f>
        <v/>
      </c>
    </row>
    <row r="4322" spans="9:9" x14ac:dyDescent="0.25">
      <c r="I4322" s="227" t="str">
        <f>MID(excPisCofins[[#This Row],[CodBarras2]],2,50)</f>
        <v/>
      </c>
    </row>
    <row r="4323" spans="9:9" x14ac:dyDescent="0.25">
      <c r="I4323" s="227" t="str">
        <f>MID(excPisCofins[[#This Row],[CodBarras2]],2,50)</f>
        <v/>
      </c>
    </row>
    <row r="4324" spans="9:9" x14ac:dyDescent="0.25">
      <c r="I4324" s="227" t="str">
        <f>MID(excPisCofins[[#This Row],[CodBarras2]],2,50)</f>
        <v/>
      </c>
    </row>
    <row r="4325" spans="9:9" x14ac:dyDescent="0.25">
      <c r="I4325" s="227" t="str">
        <f>MID(excPisCofins[[#This Row],[CodBarras2]],2,50)</f>
        <v/>
      </c>
    </row>
    <row r="4326" spans="9:9" x14ac:dyDescent="0.25">
      <c r="I4326" s="227" t="str">
        <f>MID(excPisCofins[[#This Row],[CodBarras2]],2,50)</f>
        <v/>
      </c>
    </row>
    <row r="4327" spans="9:9" x14ac:dyDescent="0.25">
      <c r="I4327" s="227" t="str">
        <f>MID(excPisCofins[[#This Row],[CodBarras2]],2,50)</f>
        <v/>
      </c>
    </row>
    <row r="4328" spans="9:9" x14ac:dyDescent="0.25">
      <c r="I4328" s="227" t="str">
        <f>MID(excPisCofins[[#This Row],[CodBarras2]],2,50)</f>
        <v/>
      </c>
    </row>
    <row r="4329" spans="9:9" x14ac:dyDescent="0.25">
      <c r="I4329" s="227" t="str">
        <f>MID(excPisCofins[[#This Row],[CodBarras2]],2,50)</f>
        <v/>
      </c>
    </row>
    <row r="4330" spans="9:9" x14ac:dyDescent="0.25">
      <c r="I4330" s="227" t="str">
        <f>MID(excPisCofins[[#This Row],[CodBarras2]],2,50)</f>
        <v/>
      </c>
    </row>
    <row r="4331" spans="9:9" x14ac:dyDescent="0.25">
      <c r="I4331" s="227" t="str">
        <f>MID(excPisCofins[[#This Row],[CodBarras2]],2,50)</f>
        <v/>
      </c>
    </row>
    <row r="4332" spans="9:9" x14ac:dyDescent="0.25">
      <c r="I4332" s="227" t="str">
        <f>MID(excPisCofins[[#This Row],[CodBarras2]],2,50)</f>
        <v/>
      </c>
    </row>
    <row r="4333" spans="9:9" x14ac:dyDescent="0.25">
      <c r="I4333" s="227" t="str">
        <f>MID(excPisCofins[[#This Row],[CodBarras2]],2,50)</f>
        <v/>
      </c>
    </row>
    <row r="4334" spans="9:9" x14ac:dyDescent="0.25">
      <c r="I4334" s="227" t="str">
        <f>MID(excPisCofins[[#This Row],[CodBarras2]],2,50)</f>
        <v/>
      </c>
    </row>
    <row r="4335" spans="9:9" x14ac:dyDescent="0.25">
      <c r="I4335" s="227" t="str">
        <f>MID(excPisCofins[[#This Row],[CodBarras2]],2,50)</f>
        <v/>
      </c>
    </row>
    <row r="4336" spans="9:9" x14ac:dyDescent="0.25">
      <c r="I4336" s="227" t="str">
        <f>MID(excPisCofins[[#This Row],[CodBarras2]],2,50)</f>
        <v/>
      </c>
    </row>
    <row r="4337" spans="9:9" x14ac:dyDescent="0.25">
      <c r="I4337" s="227" t="str">
        <f>MID(excPisCofins[[#This Row],[CodBarras2]],2,50)</f>
        <v/>
      </c>
    </row>
    <row r="4338" spans="9:9" x14ac:dyDescent="0.25">
      <c r="I4338" s="227" t="str">
        <f>MID(excPisCofins[[#This Row],[CodBarras2]],2,50)</f>
        <v/>
      </c>
    </row>
    <row r="4339" spans="9:9" x14ac:dyDescent="0.25">
      <c r="I4339" s="227" t="str">
        <f>MID(excPisCofins[[#This Row],[CodBarras2]],2,50)</f>
        <v/>
      </c>
    </row>
    <row r="4340" spans="9:9" x14ac:dyDescent="0.25">
      <c r="I4340" s="227" t="str">
        <f>MID(excPisCofins[[#This Row],[CodBarras2]],2,50)</f>
        <v/>
      </c>
    </row>
    <row r="4341" spans="9:9" x14ac:dyDescent="0.25">
      <c r="I4341" s="227" t="str">
        <f>MID(excPisCofins[[#This Row],[CodBarras2]],2,50)</f>
        <v/>
      </c>
    </row>
    <row r="4342" spans="9:9" x14ac:dyDescent="0.25">
      <c r="I4342" s="227" t="str">
        <f>MID(excPisCofins[[#This Row],[CodBarras2]],2,50)</f>
        <v/>
      </c>
    </row>
    <row r="4343" spans="9:9" x14ac:dyDescent="0.25">
      <c r="I4343" s="227" t="str">
        <f>MID(excPisCofins[[#This Row],[CodBarras2]],2,50)</f>
        <v/>
      </c>
    </row>
    <row r="4344" spans="9:9" x14ac:dyDescent="0.25">
      <c r="I4344" s="227" t="str">
        <f>MID(excPisCofins[[#This Row],[CodBarras2]],2,50)</f>
        <v/>
      </c>
    </row>
    <row r="4345" spans="9:9" x14ac:dyDescent="0.25">
      <c r="I4345" s="227" t="str">
        <f>MID(excPisCofins[[#This Row],[CodBarras2]],2,50)</f>
        <v/>
      </c>
    </row>
    <row r="4346" spans="9:9" x14ac:dyDescent="0.25">
      <c r="I4346" s="227" t="str">
        <f>MID(excPisCofins[[#This Row],[CodBarras2]],2,50)</f>
        <v/>
      </c>
    </row>
    <row r="4347" spans="9:9" x14ac:dyDescent="0.25">
      <c r="I4347" s="227" t="str">
        <f>MID(excPisCofins[[#This Row],[CodBarras2]],2,50)</f>
        <v/>
      </c>
    </row>
    <row r="4348" spans="9:9" x14ac:dyDescent="0.25">
      <c r="I4348" s="227" t="str">
        <f>MID(excPisCofins[[#This Row],[CodBarras2]],2,50)</f>
        <v/>
      </c>
    </row>
    <row r="4349" spans="9:9" x14ac:dyDescent="0.25">
      <c r="I4349" s="227" t="str">
        <f>MID(excPisCofins[[#This Row],[CodBarras2]],2,50)</f>
        <v/>
      </c>
    </row>
    <row r="4350" spans="9:9" x14ac:dyDescent="0.25">
      <c r="I4350" s="227" t="str">
        <f>MID(excPisCofins[[#This Row],[CodBarras2]],2,50)</f>
        <v/>
      </c>
    </row>
    <row r="4351" spans="9:9" x14ac:dyDescent="0.25">
      <c r="I4351" s="227" t="str">
        <f>MID(excPisCofins[[#This Row],[CodBarras2]],2,50)</f>
        <v/>
      </c>
    </row>
    <row r="4352" spans="9:9" x14ac:dyDescent="0.25">
      <c r="I4352" s="227" t="str">
        <f>MID(excPisCofins[[#This Row],[CodBarras2]],2,50)</f>
        <v/>
      </c>
    </row>
    <row r="4353" spans="9:9" x14ac:dyDescent="0.25">
      <c r="I4353" s="227" t="str">
        <f>MID(excPisCofins[[#This Row],[CodBarras2]],2,50)</f>
        <v/>
      </c>
    </row>
    <row r="4354" spans="9:9" x14ac:dyDescent="0.25">
      <c r="I4354" s="227" t="str">
        <f>MID(excPisCofins[[#This Row],[CodBarras2]],2,50)</f>
        <v/>
      </c>
    </row>
    <row r="4355" spans="9:9" x14ac:dyDescent="0.25">
      <c r="I4355" s="227" t="str">
        <f>MID(excPisCofins[[#This Row],[CodBarras2]],2,50)</f>
        <v/>
      </c>
    </row>
    <row r="4356" spans="9:9" x14ac:dyDescent="0.25">
      <c r="I4356" s="227" t="str">
        <f>MID(excPisCofins[[#This Row],[CodBarras2]],2,50)</f>
        <v/>
      </c>
    </row>
    <row r="4357" spans="9:9" x14ac:dyDescent="0.25">
      <c r="I4357" s="227" t="str">
        <f>MID(excPisCofins[[#This Row],[CodBarras2]],2,50)</f>
        <v/>
      </c>
    </row>
    <row r="4358" spans="9:9" x14ac:dyDescent="0.25">
      <c r="I4358" s="227" t="str">
        <f>MID(excPisCofins[[#This Row],[CodBarras2]],2,50)</f>
        <v/>
      </c>
    </row>
    <row r="4359" spans="9:9" x14ac:dyDescent="0.25">
      <c r="I4359" s="227" t="str">
        <f>MID(excPisCofins[[#This Row],[CodBarras2]],2,50)</f>
        <v/>
      </c>
    </row>
    <row r="4360" spans="9:9" x14ac:dyDescent="0.25">
      <c r="I4360" s="227" t="str">
        <f>MID(excPisCofins[[#This Row],[CodBarras2]],2,50)</f>
        <v/>
      </c>
    </row>
    <row r="4361" spans="9:9" x14ac:dyDescent="0.25">
      <c r="I4361" s="227" t="str">
        <f>MID(excPisCofins[[#This Row],[CodBarras2]],2,50)</f>
        <v/>
      </c>
    </row>
    <row r="4362" spans="9:9" x14ac:dyDescent="0.25">
      <c r="I4362" s="227" t="str">
        <f>MID(excPisCofins[[#This Row],[CodBarras2]],2,50)</f>
        <v/>
      </c>
    </row>
    <row r="4363" spans="9:9" x14ac:dyDescent="0.25">
      <c r="I4363" s="227" t="str">
        <f>MID(excPisCofins[[#This Row],[CodBarras2]],2,50)</f>
        <v/>
      </c>
    </row>
    <row r="4364" spans="9:9" x14ac:dyDescent="0.25">
      <c r="I4364" s="227" t="str">
        <f>MID(excPisCofins[[#This Row],[CodBarras2]],2,50)</f>
        <v/>
      </c>
    </row>
    <row r="4365" spans="9:9" x14ac:dyDescent="0.25">
      <c r="I4365" s="227" t="str">
        <f>MID(excPisCofins[[#This Row],[CodBarras2]],2,50)</f>
        <v/>
      </c>
    </row>
    <row r="4366" spans="9:9" x14ac:dyDescent="0.25">
      <c r="I4366" s="227" t="str">
        <f>MID(excPisCofins[[#This Row],[CodBarras2]],2,50)</f>
        <v/>
      </c>
    </row>
    <row r="4367" spans="9:9" x14ac:dyDescent="0.25">
      <c r="I4367" s="227" t="str">
        <f>MID(excPisCofins[[#This Row],[CodBarras2]],2,50)</f>
        <v/>
      </c>
    </row>
    <row r="4368" spans="9:9" x14ac:dyDescent="0.25">
      <c r="I4368" s="227" t="str">
        <f>MID(excPisCofins[[#This Row],[CodBarras2]],2,50)</f>
        <v/>
      </c>
    </row>
    <row r="4369" spans="9:9" x14ac:dyDescent="0.25">
      <c r="I4369" s="227" t="str">
        <f>MID(excPisCofins[[#This Row],[CodBarras2]],2,50)</f>
        <v/>
      </c>
    </row>
    <row r="4370" spans="9:9" x14ac:dyDescent="0.25">
      <c r="I4370" s="227" t="str">
        <f>MID(excPisCofins[[#This Row],[CodBarras2]],2,50)</f>
        <v/>
      </c>
    </row>
    <row r="4371" spans="9:9" x14ac:dyDescent="0.25">
      <c r="I4371" s="227" t="str">
        <f>MID(excPisCofins[[#This Row],[CodBarras2]],2,50)</f>
        <v/>
      </c>
    </row>
    <row r="4372" spans="9:9" x14ac:dyDescent="0.25">
      <c r="I4372" s="227" t="str">
        <f>MID(excPisCofins[[#This Row],[CodBarras2]],2,50)</f>
        <v/>
      </c>
    </row>
    <row r="4373" spans="9:9" x14ac:dyDescent="0.25">
      <c r="I4373" s="227" t="str">
        <f>MID(excPisCofins[[#This Row],[CodBarras2]],2,50)</f>
        <v/>
      </c>
    </row>
    <row r="4374" spans="9:9" x14ac:dyDescent="0.25">
      <c r="I4374" s="227" t="str">
        <f>MID(excPisCofins[[#This Row],[CodBarras2]],2,50)</f>
        <v/>
      </c>
    </row>
    <row r="4375" spans="9:9" x14ac:dyDescent="0.25">
      <c r="I4375" s="227" t="str">
        <f>MID(excPisCofins[[#This Row],[CodBarras2]],2,50)</f>
        <v/>
      </c>
    </row>
    <row r="4376" spans="9:9" x14ac:dyDescent="0.25">
      <c r="I4376" s="227" t="str">
        <f>MID(excPisCofins[[#This Row],[CodBarras2]],2,50)</f>
        <v/>
      </c>
    </row>
    <row r="4377" spans="9:9" x14ac:dyDescent="0.25">
      <c r="I4377" s="227" t="str">
        <f>MID(excPisCofins[[#This Row],[CodBarras2]],2,50)</f>
        <v/>
      </c>
    </row>
    <row r="4378" spans="9:9" x14ac:dyDescent="0.25">
      <c r="I4378" s="227" t="str">
        <f>MID(excPisCofins[[#This Row],[CodBarras2]],2,50)</f>
        <v/>
      </c>
    </row>
    <row r="4379" spans="9:9" x14ac:dyDescent="0.25">
      <c r="I4379" s="227" t="str">
        <f>MID(excPisCofins[[#This Row],[CodBarras2]],2,50)</f>
        <v/>
      </c>
    </row>
    <row r="4380" spans="9:9" x14ac:dyDescent="0.25">
      <c r="I4380" s="227" t="str">
        <f>MID(excPisCofins[[#This Row],[CodBarras2]],2,50)</f>
        <v/>
      </c>
    </row>
    <row r="4381" spans="9:9" x14ac:dyDescent="0.25">
      <c r="I4381" s="227" t="str">
        <f>MID(excPisCofins[[#This Row],[CodBarras2]],2,50)</f>
        <v/>
      </c>
    </row>
    <row r="4382" spans="9:9" x14ac:dyDescent="0.25">
      <c r="I4382" s="227" t="str">
        <f>MID(excPisCofins[[#This Row],[CodBarras2]],2,50)</f>
        <v/>
      </c>
    </row>
    <row r="4383" spans="9:9" x14ac:dyDescent="0.25">
      <c r="I4383" s="227" t="str">
        <f>MID(excPisCofins[[#This Row],[CodBarras2]],2,50)</f>
        <v/>
      </c>
    </row>
    <row r="4384" spans="9:9" x14ac:dyDescent="0.25">
      <c r="I4384" s="227" t="str">
        <f>MID(excPisCofins[[#This Row],[CodBarras2]],2,50)</f>
        <v/>
      </c>
    </row>
    <row r="4385" spans="9:9" x14ac:dyDescent="0.25">
      <c r="I4385" s="227" t="str">
        <f>MID(excPisCofins[[#This Row],[CodBarras2]],2,50)</f>
        <v/>
      </c>
    </row>
    <row r="4386" spans="9:9" x14ac:dyDescent="0.25">
      <c r="I4386" s="227" t="str">
        <f>MID(excPisCofins[[#This Row],[CodBarras2]],2,50)</f>
        <v/>
      </c>
    </row>
    <row r="4387" spans="9:9" x14ac:dyDescent="0.25">
      <c r="I4387" s="227" t="str">
        <f>MID(excPisCofins[[#This Row],[CodBarras2]],2,50)</f>
        <v/>
      </c>
    </row>
    <row r="4388" spans="9:9" x14ac:dyDescent="0.25">
      <c r="I4388" s="227" t="str">
        <f>MID(excPisCofins[[#This Row],[CodBarras2]],2,50)</f>
        <v/>
      </c>
    </row>
    <row r="4389" spans="9:9" x14ac:dyDescent="0.25">
      <c r="I4389" s="227" t="str">
        <f>MID(excPisCofins[[#This Row],[CodBarras2]],2,50)</f>
        <v/>
      </c>
    </row>
    <row r="4390" spans="9:9" x14ac:dyDescent="0.25">
      <c r="I4390" s="227" t="str">
        <f>MID(excPisCofins[[#This Row],[CodBarras2]],2,50)</f>
        <v/>
      </c>
    </row>
    <row r="4391" spans="9:9" x14ac:dyDescent="0.25">
      <c r="I4391" s="227" t="str">
        <f>MID(excPisCofins[[#This Row],[CodBarras2]],2,50)</f>
        <v/>
      </c>
    </row>
    <row r="4392" spans="9:9" x14ac:dyDescent="0.25">
      <c r="I4392" s="227" t="str">
        <f>MID(excPisCofins[[#This Row],[CodBarras2]],2,50)</f>
        <v/>
      </c>
    </row>
    <row r="4393" spans="9:9" x14ac:dyDescent="0.25">
      <c r="I4393" s="227" t="str">
        <f>MID(excPisCofins[[#This Row],[CodBarras2]],2,50)</f>
        <v/>
      </c>
    </row>
    <row r="4394" spans="9:9" x14ac:dyDescent="0.25">
      <c r="I4394" s="227" t="str">
        <f>MID(excPisCofins[[#This Row],[CodBarras2]],2,50)</f>
        <v/>
      </c>
    </row>
    <row r="4395" spans="9:9" x14ac:dyDescent="0.25">
      <c r="I4395" s="227" t="str">
        <f>MID(excPisCofins[[#This Row],[CodBarras2]],2,50)</f>
        <v/>
      </c>
    </row>
    <row r="4396" spans="9:9" x14ac:dyDescent="0.25">
      <c r="I4396" s="227" t="str">
        <f>MID(excPisCofins[[#This Row],[CodBarras2]],2,50)</f>
        <v/>
      </c>
    </row>
    <row r="4397" spans="9:9" x14ac:dyDescent="0.25">
      <c r="I4397" s="227" t="str">
        <f>MID(excPisCofins[[#This Row],[CodBarras2]],2,50)</f>
        <v/>
      </c>
    </row>
    <row r="4398" spans="9:9" x14ac:dyDescent="0.25">
      <c r="I4398" s="227" t="str">
        <f>MID(excPisCofins[[#This Row],[CodBarras2]],2,50)</f>
        <v/>
      </c>
    </row>
    <row r="4399" spans="9:9" x14ac:dyDescent="0.25">
      <c r="I4399" s="227" t="str">
        <f>MID(excPisCofins[[#This Row],[CodBarras2]],2,50)</f>
        <v/>
      </c>
    </row>
    <row r="4400" spans="9:9" x14ac:dyDescent="0.25">
      <c r="I4400" s="227" t="str">
        <f>MID(excPisCofins[[#This Row],[CodBarras2]],2,50)</f>
        <v/>
      </c>
    </row>
    <row r="4401" spans="9:9" x14ac:dyDescent="0.25">
      <c r="I4401" s="227" t="str">
        <f>MID(excPisCofins[[#This Row],[CodBarras2]],2,50)</f>
        <v/>
      </c>
    </row>
    <row r="4402" spans="9:9" x14ac:dyDescent="0.25">
      <c r="I4402" s="227" t="str">
        <f>MID(excPisCofins[[#This Row],[CodBarras2]],2,50)</f>
        <v/>
      </c>
    </row>
    <row r="4403" spans="9:9" x14ac:dyDescent="0.25">
      <c r="I4403" s="227" t="str">
        <f>MID(excPisCofins[[#This Row],[CodBarras2]],2,50)</f>
        <v/>
      </c>
    </row>
    <row r="4404" spans="9:9" x14ac:dyDescent="0.25">
      <c r="I4404" s="227" t="str">
        <f>MID(excPisCofins[[#This Row],[CodBarras2]],2,50)</f>
        <v/>
      </c>
    </row>
    <row r="4405" spans="9:9" x14ac:dyDescent="0.25">
      <c r="I4405" s="227" t="str">
        <f>MID(excPisCofins[[#This Row],[CodBarras2]],2,50)</f>
        <v/>
      </c>
    </row>
    <row r="4406" spans="9:9" x14ac:dyDescent="0.25">
      <c r="I4406" s="227" t="str">
        <f>MID(excPisCofins[[#This Row],[CodBarras2]],2,50)</f>
        <v/>
      </c>
    </row>
    <row r="4407" spans="9:9" x14ac:dyDescent="0.25">
      <c r="I4407" s="227" t="str">
        <f>MID(excPisCofins[[#This Row],[CodBarras2]],2,50)</f>
        <v/>
      </c>
    </row>
    <row r="4408" spans="9:9" x14ac:dyDescent="0.25">
      <c r="I4408" s="227" t="str">
        <f>MID(excPisCofins[[#This Row],[CodBarras2]],2,50)</f>
        <v/>
      </c>
    </row>
    <row r="4409" spans="9:9" x14ac:dyDescent="0.25">
      <c r="I4409" s="227" t="str">
        <f>MID(excPisCofins[[#This Row],[CodBarras2]],2,50)</f>
        <v/>
      </c>
    </row>
    <row r="4410" spans="9:9" x14ac:dyDescent="0.25">
      <c r="I4410" s="227" t="str">
        <f>MID(excPisCofins[[#This Row],[CodBarras2]],2,50)</f>
        <v/>
      </c>
    </row>
    <row r="4411" spans="9:9" x14ac:dyDescent="0.25">
      <c r="I4411" s="227" t="str">
        <f>MID(excPisCofins[[#This Row],[CodBarras2]],2,50)</f>
        <v/>
      </c>
    </row>
    <row r="4412" spans="9:9" x14ac:dyDescent="0.25">
      <c r="I4412" s="227" t="str">
        <f>MID(excPisCofins[[#This Row],[CodBarras2]],2,50)</f>
        <v/>
      </c>
    </row>
    <row r="4413" spans="9:9" x14ac:dyDescent="0.25">
      <c r="I4413" s="227" t="str">
        <f>MID(excPisCofins[[#This Row],[CodBarras2]],2,50)</f>
        <v/>
      </c>
    </row>
    <row r="4414" spans="9:9" x14ac:dyDescent="0.25">
      <c r="I4414" s="227" t="str">
        <f>MID(excPisCofins[[#This Row],[CodBarras2]],2,50)</f>
        <v/>
      </c>
    </row>
    <row r="4415" spans="9:9" x14ac:dyDescent="0.25">
      <c r="I4415" s="227" t="str">
        <f>MID(excPisCofins[[#This Row],[CodBarras2]],2,50)</f>
        <v/>
      </c>
    </row>
    <row r="4416" spans="9:9" x14ac:dyDescent="0.25">
      <c r="I4416" s="227" t="str">
        <f>MID(excPisCofins[[#This Row],[CodBarras2]],2,50)</f>
        <v/>
      </c>
    </row>
    <row r="4417" spans="9:9" x14ac:dyDescent="0.25">
      <c r="I4417" s="227" t="str">
        <f>MID(excPisCofins[[#This Row],[CodBarras2]],2,50)</f>
        <v/>
      </c>
    </row>
    <row r="4418" spans="9:9" x14ac:dyDescent="0.25">
      <c r="I4418" s="227" t="str">
        <f>MID(excPisCofins[[#This Row],[CodBarras2]],2,50)</f>
        <v/>
      </c>
    </row>
    <row r="4419" spans="9:9" x14ac:dyDescent="0.25">
      <c r="I4419" s="227" t="str">
        <f>MID(excPisCofins[[#This Row],[CodBarras2]],2,50)</f>
        <v/>
      </c>
    </row>
    <row r="4420" spans="9:9" x14ac:dyDescent="0.25">
      <c r="I4420" s="227" t="str">
        <f>MID(excPisCofins[[#This Row],[CodBarras2]],2,50)</f>
        <v/>
      </c>
    </row>
    <row r="4421" spans="9:9" x14ac:dyDescent="0.25">
      <c r="I4421" s="227" t="str">
        <f>MID(excPisCofins[[#This Row],[CodBarras2]],2,50)</f>
        <v/>
      </c>
    </row>
    <row r="4422" spans="9:9" x14ac:dyDescent="0.25">
      <c r="I4422" s="227" t="str">
        <f>MID(excPisCofins[[#This Row],[CodBarras2]],2,50)</f>
        <v/>
      </c>
    </row>
    <row r="4423" spans="9:9" x14ac:dyDescent="0.25">
      <c r="I4423" s="227" t="str">
        <f>MID(excPisCofins[[#This Row],[CodBarras2]],2,50)</f>
        <v/>
      </c>
    </row>
    <row r="4424" spans="9:9" x14ac:dyDescent="0.25">
      <c r="I4424" s="227" t="str">
        <f>MID(excPisCofins[[#This Row],[CodBarras2]],2,50)</f>
        <v/>
      </c>
    </row>
    <row r="4425" spans="9:9" x14ac:dyDescent="0.25">
      <c r="I4425" s="227" t="str">
        <f>MID(excPisCofins[[#This Row],[CodBarras2]],2,50)</f>
        <v/>
      </c>
    </row>
    <row r="4426" spans="9:9" x14ac:dyDescent="0.25">
      <c r="I4426" s="227" t="str">
        <f>MID(excPisCofins[[#This Row],[CodBarras2]],2,50)</f>
        <v/>
      </c>
    </row>
    <row r="4427" spans="9:9" x14ac:dyDescent="0.25">
      <c r="I4427" s="227" t="str">
        <f>MID(excPisCofins[[#This Row],[CodBarras2]],2,50)</f>
        <v/>
      </c>
    </row>
    <row r="4428" spans="9:9" x14ac:dyDescent="0.25">
      <c r="I4428" s="227" t="str">
        <f>MID(excPisCofins[[#This Row],[CodBarras2]],2,50)</f>
        <v/>
      </c>
    </row>
    <row r="4429" spans="9:9" x14ac:dyDescent="0.25">
      <c r="I4429" s="227" t="str">
        <f>MID(excPisCofins[[#This Row],[CodBarras2]],2,50)</f>
        <v/>
      </c>
    </row>
    <row r="4430" spans="9:9" x14ac:dyDescent="0.25">
      <c r="I4430" s="227" t="str">
        <f>MID(excPisCofins[[#This Row],[CodBarras2]],2,50)</f>
        <v/>
      </c>
    </row>
    <row r="4431" spans="9:9" x14ac:dyDescent="0.25">
      <c r="I4431" s="227" t="str">
        <f>MID(excPisCofins[[#This Row],[CodBarras2]],2,50)</f>
        <v/>
      </c>
    </row>
    <row r="4432" spans="9:9" x14ac:dyDescent="0.25">
      <c r="I4432" s="227" t="str">
        <f>MID(excPisCofins[[#This Row],[CodBarras2]],2,50)</f>
        <v/>
      </c>
    </row>
    <row r="4433" spans="9:9" x14ac:dyDescent="0.25">
      <c r="I4433" s="227" t="str">
        <f>MID(excPisCofins[[#This Row],[CodBarras2]],2,50)</f>
        <v/>
      </c>
    </row>
    <row r="4434" spans="9:9" x14ac:dyDescent="0.25">
      <c r="I4434" s="227" t="str">
        <f>MID(excPisCofins[[#This Row],[CodBarras2]],2,50)</f>
        <v/>
      </c>
    </row>
    <row r="4435" spans="9:9" x14ac:dyDescent="0.25">
      <c r="I4435" s="227" t="str">
        <f>MID(excPisCofins[[#This Row],[CodBarras2]],2,50)</f>
        <v/>
      </c>
    </row>
    <row r="4436" spans="9:9" x14ac:dyDescent="0.25">
      <c r="I4436" s="227" t="str">
        <f>MID(excPisCofins[[#This Row],[CodBarras2]],2,50)</f>
        <v/>
      </c>
    </row>
    <row r="4437" spans="9:9" x14ac:dyDescent="0.25">
      <c r="I4437" s="227" t="str">
        <f>MID(excPisCofins[[#This Row],[CodBarras2]],2,50)</f>
        <v/>
      </c>
    </row>
    <row r="4438" spans="9:9" x14ac:dyDescent="0.25">
      <c r="I4438" s="227" t="str">
        <f>MID(excPisCofins[[#This Row],[CodBarras2]],2,50)</f>
        <v/>
      </c>
    </row>
    <row r="4439" spans="9:9" x14ac:dyDescent="0.25">
      <c r="I4439" s="227" t="str">
        <f>MID(excPisCofins[[#This Row],[CodBarras2]],2,50)</f>
        <v/>
      </c>
    </row>
    <row r="4440" spans="9:9" x14ac:dyDescent="0.25">
      <c r="I4440" s="227" t="str">
        <f>MID(excPisCofins[[#This Row],[CodBarras2]],2,50)</f>
        <v/>
      </c>
    </row>
    <row r="4441" spans="9:9" x14ac:dyDescent="0.25">
      <c r="I4441" s="227" t="str">
        <f>MID(excPisCofins[[#This Row],[CodBarras2]],2,50)</f>
        <v/>
      </c>
    </row>
    <row r="4442" spans="9:9" x14ac:dyDescent="0.25">
      <c r="I4442" s="227" t="str">
        <f>MID(excPisCofins[[#This Row],[CodBarras2]],2,50)</f>
        <v/>
      </c>
    </row>
    <row r="4443" spans="9:9" x14ac:dyDescent="0.25">
      <c r="I4443" s="227" t="str">
        <f>MID(excPisCofins[[#This Row],[CodBarras2]],2,50)</f>
        <v/>
      </c>
    </row>
    <row r="4444" spans="9:9" x14ac:dyDescent="0.25">
      <c r="I4444" s="227" t="str">
        <f>MID(excPisCofins[[#This Row],[CodBarras2]],2,50)</f>
        <v/>
      </c>
    </row>
    <row r="4445" spans="9:9" x14ac:dyDescent="0.25">
      <c r="I4445" s="227" t="str">
        <f>MID(excPisCofins[[#This Row],[CodBarras2]],2,50)</f>
        <v/>
      </c>
    </row>
    <row r="4446" spans="9:9" x14ac:dyDescent="0.25">
      <c r="I4446" s="227" t="str">
        <f>MID(excPisCofins[[#This Row],[CodBarras2]],2,50)</f>
        <v/>
      </c>
    </row>
    <row r="4447" spans="9:9" x14ac:dyDescent="0.25">
      <c r="I4447" s="227" t="str">
        <f>MID(excPisCofins[[#This Row],[CodBarras2]],2,50)</f>
        <v/>
      </c>
    </row>
    <row r="4448" spans="9:9" x14ac:dyDescent="0.25">
      <c r="I4448" s="227" t="str">
        <f>MID(excPisCofins[[#This Row],[CodBarras2]],2,50)</f>
        <v/>
      </c>
    </row>
    <row r="4449" spans="9:9" x14ac:dyDescent="0.25">
      <c r="I4449" s="227" t="str">
        <f>MID(excPisCofins[[#This Row],[CodBarras2]],2,50)</f>
        <v/>
      </c>
    </row>
    <row r="4450" spans="9:9" x14ac:dyDescent="0.25">
      <c r="I4450" s="227" t="str">
        <f>MID(excPisCofins[[#This Row],[CodBarras2]],2,50)</f>
        <v/>
      </c>
    </row>
    <row r="4451" spans="9:9" x14ac:dyDescent="0.25">
      <c r="I4451" s="227" t="str">
        <f>MID(excPisCofins[[#This Row],[CodBarras2]],2,50)</f>
        <v/>
      </c>
    </row>
    <row r="4452" spans="9:9" x14ac:dyDescent="0.25">
      <c r="I4452" s="227" t="str">
        <f>MID(excPisCofins[[#This Row],[CodBarras2]],2,50)</f>
        <v/>
      </c>
    </row>
    <row r="4453" spans="9:9" x14ac:dyDescent="0.25">
      <c r="I4453" s="227" t="str">
        <f>MID(excPisCofins[[#This Row],[CodBarras2]],2,50)</f>
        <v/>
      </c>
    </row>
    <row r="4454" spans="9:9" x14ac:dyDescent="0.25">
      <c r="I4454" s="227" t="str">
        <f>MID(excPisCofins[[#This Row],[CodBarras2]],2,50)</f>
        <v/>
      </c>
    </row>
    <row r="4455" spans="9:9" x14ac:dyDescent="0.25">
      <c r="I4455" s="227" t="str">
        <f>MID(excPisCofins[[#This Row],[CodBarras2]],2,50)</f>
        <v/>
      </c>
    </row>
    <row r="4456" spans="9:9" x14ac:dyDescent="0.25">
      <c r="I4456" s="227" t="str">
        <f>MID(excPisCofins[[#This Row],[CodBarras2]],2,50)</f>
        <v/>
      </c>
    </row>
    <row r="4457" spans="9:9" x14ac:dyDescent="0.25">
      <c r="I4457" s="227" t="str">
        <f>MID(excPisCofins[[#This Row],[CodBarras2]],2,50)</f>
        <v/>
      </c>
    </row>
    <row r="4458" spans="9:9" x14ac:dyDescent="0.25">
      <c r="I4458" s="227" t="str">
        <f>MID(excPisCofins[[#This Row],[CodBarras2]],2,50)</f>
        <v/>
      </c>
    </row>
    <row r="4459" spans="9:9" x14ac:dyDescent="0.25">
      <c r="I4459" s="227" t="str">
        <f>MID(excPisCofins[[#This Row],[CodBarras2]],2,50)</f>
        <v/>
      </c>
    </row>
    <row r="4460" spans="9:9" x14ac:dyDescent="0.25">
      <c r="I4460" s="227" t="str">
        <f>MID(excPisCofins[[#This Row],[CodBarras2]],2,50)</f>
        <v/>
      </c>
    </row>
    <row r="4461" spans="9:9" x14ac:dyDescent="0.25">
      <c r="I4461" s="227" t="str">
        <f>MID(excPisCofins[[#This Row],[CodBarras2]],2,50)</f>
        <v/>
      </c>
    </row>
    <row r="4462" spans="9:9" x14ac:dyDescent="0.25">
      <c r="I4462" s="227" t="str">
        <f>MID(excPisCofins[[#This Row],[CodBarras2]],2,50)</f>
        <v/>
      </c>
    </row>
    <row r="4463" spans="9:9" x14ac:dyDescent="0.25">
      <c r="I4463" s="227" t="str">
        <f>MID(excPisCofins[[#This Row],[CodBarras2]],2,50)</f>
        <v/>
      </c>
    </row>
    <row r="4464" spans="9:9" x14ac:dyDescent="0.25">
      <c r="I4464" s="227" t="str">
        <f>MID(excPisCofins[[#This Row],[CodBarras2]],2,50)</f>
        <v/>
      </c>
    </row>
    <row r="4465" spans="9:9" x14ac:dyDescent="0.25">
      <c r="I4465" s="227" t="str">
        <f>MID(excPisCofins[[#This Row],[CodBarras2]],2,50)</f>
        <v/>
      </c>
    </row>
    <row r="4466" spans="9:9" x14ac:dyDescent="0.25">
      <c r="I4466" s="227" t="str">
        <f>MID(excPisCofins[[#This Row],[CodBarras2]],2,50)</f>
        <v/>
      </c>
    </row>
    <row r="4467" spans="9:9" x14ac:dyDescent="0.25">
      <c r="I4467" s="227" t="str">
        <f>MID(excPisCofins[[#This Row],[CodBarras2]],2,50)</f>
        <v/>
      </c>
    </row>
    <row r="4468" spans="9:9" x14ac:dyDescent="0.25">
      <c r="I4468" s="227" t="str">
        <f>MID(excPisCofins[[#This Row],[CodBarras2]],2,50)</f>
        <v/>
      </c>
    </row>
    <row r="4469" spans="9:9" x14ac:dyDescent="0.25">
      <c r="I4469" s="227" t="str">
        <f>MID(excPisCofins[[#This Row],[CodBarras2]],2,50)</f>
        <v/>
      </c>
    </row>
    <row r="4470" spans="9:9" x14ac:dyDescent="0.25">
      <c r="I4470" s="227" t="str">
        <f>MID(excPisCofins[[#This Row],[CodBarras2]],2,50)</f>
        <v/>
      </c>
    </row>
    <row r="4471" spans="9:9" x14ac:dyDescent="0.25">
      <c r="I4471" s="227" t="str">
        <f>MID(excPisCofins[[#This Row],[CodBarras2]],2,50)</f>
        <v/>
      </c>
    </row>
    <row r="4472" spans="9:9" x14ac:dyDescent="0.25">
      <c r="I4472" s="227" t="str">
        <f>MID(excPisCofins[[#This Row],[CodBarras2]],2,50)</f>
        <v/>
      </c>
    </row>
    <row r="4473" spans="9:9" x14ac:dyDescent="0.25">
      <c r="I4473" s="227" t="str">
        <f>MID(excPisCofins[[#This Row],[CodBarras2]],2,50)</f>
        <v/>
      </c>
    </row>
    <row r="4474" spans="9:9" x14ac:dyDescent="0.25">
      <c r="I4474" s="227" t="str">
        <f>MID(excPisCofins[[#This Row],[CodBarras2]],2,50)</f>
        <v/>
      </c>
    </row>
    <row r="4475" spans="9:9" x14ac:dyDescent="0.25">
      <c r="I4475" s="227" t="str">
        <f>MID(excPisCofins[[#This Row],[CodBarras2]],2,50)</f>
        <v/>
      </c>
    </row>
    <row r="4476" spans="9:9" x14ac:dyDescent="0.25">
      <c r="I4476" s="227" t="str">
        <f>MID(excPisCofins[[#This Row],[CodBarras2]],2,50)</f>
        <v/>
      </c>
    </row>
    <row r="4477" spans="9:9" x14ac:dyDescent="0.25">
      <c r="I4477" s="227" t="str">
        <f>MID(excPisCofins[[#This Row],[CodBarras2]],2,50)</f>
        <v/>
      </c>
    </row>
    <row r="4478" spans="9:9" x14ac:dyDescent="0.25">
      <c r="I4478" s="227" t="str">
        <f>MID(excPisCofins[[#This Row],[CodBarras2]],2,50)</f>
        <v/>
      </c>
    </row>
    <row r="4479" spans="9:9" x14ac:dyDescent="0.25">
      <c r="I4479" s="227" t="str">
        <f>MID(excPisCofins[[#This Row],[CodBarras2]],2,50)</f>
        <v/>
      </c>
    </row>
    <row r="4480" spans="9:9" x14ac:dyDescent="0.25">
      <c r="I4480" s="227" t="str">
        <f>MID(excPisCofins[[#This Row],[CodBarras2]],2,50)</f>
        <v/>
      </c>
    </row>
    <row r="4481" spans="9:9" x14ac:dyDescent="0.25">
      <c r="I4481" s="227" t="str">
        <f>MID(excPisCofins[[#This Row],[CodBarras2]],2,50)</f>
        <v/>
      </c>
    </row>
    <row r="4482" spans="9:9" x14ac:dyDescent="0.25">
      <c r="I4482" s="227" t="str">
        <f>MID(excPisCofins[[#This Row],[CodBarras2]],2,50)</f>
        <v/>
      </c>
    </row>
    <row r="4483" spans="9:9" x14ac:dyDescent="0.25">
      <c r="I4483" s="227" t="str">
        <f>MID(excPisCofins[[#This Row],[CodBarras2]],2,50)</f>
        <v/>
      </c>
    </row>
    <row r="4484" spans="9:9" x14ac:dyDescent="0.25">
      <c r="I4484" s="227" t="str">
        <f>MID(excPisCofins[[#This Row],[CodBarras2]],2,50)</f>
        <v/>
      </c>
    </row>
    <row r="4485" spans="9:9" x14ac:dyDescent="0.25">
      <c r="I4485" s="227" t="str">
        <f>MID(excPisCofins[[#This Row],[CodBarras2]],2,50)</f>
        <v/>
      </c>
    </row>
    <row r="4486" spans="9:9" x14ac:dyDescent="0.25">
      <c r="I4486" s="227" t="str">
        <f>MID(excPisCofins[[#This Row],[CodBarras2]],2,50)</f>
        <v/>
      </c>
    </row>
    <row r="4487" spans="9:9" x14ac:dyDescent="0.25">
      <c r="I4487" s="227" t="str">
        <f>MID(excPisCofins[[#This Row],[CodBarras2]],2,50)</f>
        <v/>
      </c>
    </row>
    <row r="4488" spans="9:9" x14ac:dyDescent="0.25">
      <c r="I4488" s="227" t="str">
        <f>MID(excPisCofins[[#This Row],[CodBarras2]],2,50)</f>
        <v/>
      </c>
    </row>
    <row r="4489" spans="9:9" x14ac:dyDescent="0.25">
      <c r="I4489" s="227" t="str">
        <f>MID(excPisCofins[[#This Row],[CodBarras2]],2,50)</f>
        <v/>
      </c>
    </row>
    <row r="4490" spans="9:9" x14ac:dyDescent="0.25">
      <c r="I4490" s="227" t="str">
        <f>MID(excPisCofins[[#This Row],[CodBarras2]],2,50)</f>
        <v/>
      </c>
    </row>
    <row r="4491" spans="9:9" x14ac:dyDescent="0.25">
      <c r="I4491" s="227" t="str">
        <f>MID(excPisCofins[[#This Row],[CodBarras2]],2,50)</f>
        <v/>
      </c>
    </row>
    <row r="4492" spans="9:9" x14ac:dyDescent="0.25">
      <c r="I4492" s="227" t="str">
        <f>MID(excPisCofins[[#This Row],[CodBarras2]],2,50)</f>
        <v/>
      </c>
    </row>
    <row r="4493" spans="9:9" x14ac:dyDescent="0.25">
      <c r="I4493" s="227" t="str">
        <f>MID(excPisCofins[[#This Row],[CodBarras2]],2,50)</f>
        <v/>
      </c>
    </row>
    <row r="4494" spans="9:9" x14ac:dyDescent="0.25">
      <c r="I4494" s="227" t="str">
        <f>MID(excPisCofins[[#This Row],[CodBarras2]],2,50)</f>
        <v/>
      </c>
    </row>
    <row r="4495" spans="9:9" x14ac:dyDescent="0.25">
      <c r="I4495" s="227" t="str">
        <f>MID(excPisCofins[[#This Row],[CodBarras2]],2,50)</f>
        <v/>
      </c>
    </row>
    <row r="4496" spans="9:9" x14ac:dyDescent="0.25">
      <c r="I4496" s="227" t="str">
        <f>MID(excPisCofins[[#This Row],[CodBarras2]],2,50)</f>
        <v/>
      </c>
    </row>
    <row r="4497" spans="9:9" x14ac:dyDescent="0.25">
      <c r="I4497" s="227" t="str">
        <f>MID(excPisCofins[[#This Row],[CodBarras2]],2,50)</f>
        <v/>
      </c>
    </row>
    <row r="4498" spans="9:9" x14ac:dyDescent="0.25">
      <c r="I4498" s="227" t="str">
        <f>MID(excPisCofins[[#This Row],[CodBarras2]],2,50)</f>
        <v/>
      </c>
    </row>
    <row r="4499" spans="9:9" x14ac:dyDescent="0.25">
      <c r="I4499" s="227" t="str">
        <f>MID(excPisCofins[[#This Row],[CodBarras2]],2,50)</f>
        <v/>
      </c>
    </row>
    <row r="4500" spans="9:9" x14ac:dyDescent="0.25">
      <c r="I4500" s="227" t="str">
        <f>MID(excPisCofins[[#This Row],[CodBarras2]],2,50)</f>
        <v/>
      </c>
    </row>
    <row r="4501" spans="9:9" x14ac:dyDescent="0.25">
      <c r="I4501" s="227" t="str">
        <f>MID(excPisCofins[[#This Row],[CodBarras2]],2,50)</f>
        <v/>
      </c>
    </row>
    <row r="4502" spans="9:9" x14ac:dyDescent="0.25">
      <c r="I4502" s="227" t="str">
        <f>MID(excPisCofins[[#This Row],[CodBarras2]],2,50)</f>
        <v/>
      </c>
    </row>
    <row r="4503" spans="9:9" x14ac:dyDescent="0.25">
      <c r="I4503" s="227" t="str">
        <f>MID(excPisCofins[[#This Row],[CodBarras2]],2,50)</f>
        <v/>
      </c>
    </row>
    <row r="4504" spans="9:9" x14ac:dyDescent="0.25">
      <c r="I4504" s="227" t="str">
        <f>MID(excPisCofins[[#This Row],[CodBarras2]],2,50)</f>
        <v/>
      </c>
    </row>
    <row r="4505" spans="9:9" x14ac:dyDescent="0.25">
      <c r="I4505" s="227" t="str">
        <f>MID(excPisCofins[[#This Row],[CodBarras2]],2,50)</f>
        <v/>
      </c>
    </row>
    <row r="4506" spans="9:9" x14ac:dyDescent="0.25">
      <c r="I4506" s="227" t="str">
        <f>MID(excPisCofins[[#This Row],[CodBarras2]],2,50)</f>
        <v/>
      </c>
    </row>
    <row r="4507" spans="9:9" x14ac:dyDescent="0.25">
      <c r="I4507" s="227" t="str">
        <f>MID(excPisCofins[[#This Row],[CodBarras2]],2,50)</f>
        <v/>
      </c>
    </row>
    <row r="4508" spans="9:9" x14ac:dyDescent="0.25">
      <c r="I4508" s="227" t="str">
        <f>MID(excPisCofins[[#This Row],[CodBarras2]],2,50)</f>
        <v/>
      </c>
    </row>
    <row r="4509" spans="9:9" x14ac:dyDescent="0.25">
      <c r="I4509" s="227" t="str">
        <f>MID(excPisCofins[[#This Row],[CodBarras2]],2,50)</f>
        <v/>
      </c>
    </row>
    <row r="4510" spans="9:9" x14ac:dyDescent="0.25">
      <c r="I4510" s="227" t="str">
        <f>MID(excPisCofins[[#This Row],[CodBarras2]],2,50)</f>
        <v/>
      </c>
    </row>
    <row r="4511" spans="9:9" x14ac:dyDescent="0.25">
      <c r="I4511" s="227" t="str">
        <f>MID(excPisCofins[[#This Row],[CodBarras2]],2,50)</f>
        <v/>
      </c>
    </row>
    <row r="4512" spans="9:9" x14ac:dyDescent="0.25">
      <c r="I4512" s="227" t="str">
        <f>MID(excPisCofins[[#This Row],[CodBarras2]],2,50)</f>
        <v/>
      </c>
    </row>
    <row r="4513" spans="9:9" x14ac:dyDescent="0.25">
      <c r="I4513" s="227" t="str">
        <f>MID(excPisCofins[[#This Row],[CodBarras2]],2,50)</f>
        <v/>
      </c>
    </row>
    <row r="4514" spans="9:9" x14ac:dyDescent="0.25">
      <c r="I4514" s="227" t="str">
        <f>MID(excPisCofins[[#This Row],[CodBarras2]],2,50)</f>
        <v/>
      </c>
    </row>
    <row r="4515" spans="9:9" x14ac:dyDescent="0.25">
      <c r="I4515" s="227" t="str">
        <f>MID(excPisCofins[[#This Row],[CodBarras2]],2,50)</f>
        <v/>
      </c>
    </row>
    <row r="4516" spans="9:9" x14ac:dyDescent="0.25">
      <c r="I4516" s="227" t="str">
        <f>MID(excPisCofins[[#This Row],[CodBarras2]],2,50)</f>
        <v/>
      </c>
    </row>
    <row r="4517" spans="9:9" x14ac:dyDescent="0.25">
      <c r="I4517" s="227" t="str">
        <f>MID(excPisCofins[[#This Row],[CodBarras2]],2,50)</f>
        <v/>
      </c>
    </row>
    <row r="4518" spans="9:9" x14ac:dyDescent="0.25">
      <c r="I4518" s="227" t="str">
        <f>MID(excPisCofins[[#This Row],[CodBarras2]],2,50)</f>
        <v/>
      </c>
    </row>
    <row r="4519" spans="9:9" x14ac:dyDescent="0.25">
      <c r="I4519" s="227" t="str">
        <f>MID(excPisCofins[[#This Row],[CodBarras2]],2,50)</f>
        <v/>
      </c>
    </row>
    <row r="4520" spans="9:9" x14ac:dyDescent="0.25">
      <c r="I4520" s="227" t="str">
        <f>MID(excPisCofins[[#This Row],[CodBarras2]],2,50)</f>
        <v/>
      </c>
    </row>
    <row r="4521" spans="9:9" x14ac:dyDescent="0.25">
      <c r="I4521" s="227" t="str">
        <f>MID(excPisCofins[[#This Row],[CodBarras2]],2,50)</f>
        <v/>
      </c>
    </row>
    <row r="4522" spans="9:9" x14ac:dyDescent="0.25">
      <c r="I4522" s="227" t="str">
        <f>MID(excPisCofins[[#This Row],[CodBarras2]],2,50)</f>
        <v/>
      </c>
    </row>
    <row r="4523" spans="9:9" x14ac:dyDescent="0.25">
      <c r="I4523" s="227" t="str">
        <f>MID(excPisCofins[[#This Row],[CodBarras2]],2,50)</f>
        <v/>
      </c>
    </row>
    <row r="4524" spans="9:9" x14ac:dyDescent="0.25">
      <c r="I4524" s="227" t="str">
        <f>MID(excPisCofins[[#This Row],[CodBarras2]],2,50)</f>
        <v/>
      </c>
    </row>
    <row r="4525" spans="9:9" x14ac:dyDescent="0.25">
      <c r="I4525" s="227" t="str">
        <f>MID(excPisCofins[[#This Row],[CodBarras2]],2,50)</f>
        <v/>
      </c>
    </row>
    <row r="4526" spans="9:9" x14ac:dyDescent="0.25">
      <c r="I4526" s="227" t="str">
        <f>MID(excPisCofins[[#This Row],[CodBarras2]],2,50)</f>
        <v/>
      </c>
    </row>
    <row r="4527" spans="9:9" x14ac:dyDescent="0.25">
      <c r="I4527" s="227" t="str">
        <f>MID(excPisCofins[[#This Row],[CodBarras2]],2,50)</f>
        <v/>
      </c>
    </row>
    <row r="4528" spans="9:9" x14ac:dyDescent="0.25">
      <c r="I4528" s="227" t="str">
        <f>MID(excPisCofins[[#This Row],[CodBarras2]],2,50)</f>
        <v/>
      </c>
    </row>
    <row r="4529" spans="9:9" x14ac:dyDescent="0.25">
      <c r="I4529" s="227" t="str">
        <f>MID(excPisCofins[[#This Row],[CodBarras2]],2,50)</f>
        <v/>
      </c>
    </row>
    <row r="4530" spans="9:9" x14ac:dyDescent="0.25">
      <c r="I4530" s="227" t="str">
        <f>MID(excPisCofins[[#This Row],[CodBarras2]],2,50)</f>
        <v/>
      </c>
    </row>
    <row r="4531" spans="9:9" x14ac:dyDescent="0.25">
      <c r="I4531" s="227" t="str">
        <f>MID(excPisCofins[[#This Row],[CodBarras2]],2,50)</f>
        <v/>
      </c>
    </row>
    <row r="4532" spans="9:9" x14ac:dyDescent="0.25">
      <c r="I4532" s="227" t="str">
        <f>MID(excPisCofins[[#This Row],[CodBarras2]],2,50)</f>
        <v/>
      </c>
    </row>
    <row r="4533" spans="9:9" x14ac:dyDescent="0.25">
      <c r="I4533" s="227" t="str">
        <f>MID(excPisCofins[[#This Row],[CodBarras2]],2,50)</f>
        <v/>
      </c>
    </row>
    <row r="4534" spans="9:9" x14ac:dyDescent="0.25">
      <c r="I4534" s="227" t="str">
        <f>MID(excPisCofins[[#This Row],[CodBarras2]],2,50)</f>
        <v/>
      </c>
    </row>
    <row r="4535" spans="9:9" x14ac:dyDescent="0.25">
      <c r="I4535" s="227" t="str">
        <f>MID(excPisCofins[[#This Row],[CodBarras2]],2,50)</f>
        <v/>
      </c>
    </row>
    <row r="4536" spans="9:9" x14ac:dyDescent="0.25">
      <c r="I4536" s="227" t="str">
        <f>MID(excPisCofins[[#This Row],[CodBarras2]],2,50)</f>
        <v/>
      </c>
    </row>
    <row r="4537" spans="9:9" x14ac:dyDescent="0.25">
      <c r="I4537" s="227" t="str">
        <f>MID(excPisCofins[[#This Row],[CodBarras2]],2,50)</f>
        <v/>
      </c>
    </row>
    <row r="4538" spans="9:9" x14ac:dyDescent="0.25">
      <c r="I4538" s="227" t="str">
        <f>MID(excPisCofins[[#This Row],[CodBarras2]],2,50)</f>
        <v/>
      </c>
    </row>
    <row r="4539" spans="9:9" x14ac:dyDescent="0.25">
      <c r="I4539" s="227" t="str">
        <f>MID(excPisCofins[[#This Row],[CodBarras2]],2,50)</f>
        <v/>
      </c>
    </row>
    <row r="4540" spans="9:9" x14ac:dyDescent="0.25">
      <c r="I4540" s="227" t="str">
        <f>MID(excPisCofins[[#This Row],[CodBarras2]],2,50)</f>
        <v/>
      </c>
    </row>
    <row r="4541" spans="9:9" x14ac:dyDescent="0.25">
      <c r="I4541" s="227" t="str">
        <f>MID(excPisCofins[[#This Row],[CodBarras2]],2,50)</f>
        <v/>
      </c>
    </row>
    <row r="4542" spans="9:9" x14ac:dyDescent="0.25">
      <c r="I4542" s="227" t="str">
        <f>MID(excPisCofins[[#This Row],[CodBarras2]],2,50)</f>
        <v/>
      </c>
    </row>
    <row r="4543" spans="9:9" x14ac:dyDescent="0.25">
      <c r="I4543" s="227" t="str">
        <f>MID(excPisCofins[[#This Row],[CodBarras2]],2,50)</f>
        <v/>
      </c>
    </row>
    <row r="4544" spans="9:9" x14ac:dyDescent="0.25">
      <c r="I4544" s="227" t="str">
        <f>MID(excPisCofins[[#This Row],[CodBarras2]],2,50)</f>
        <v/>
      </c>
    </row>
    <row r="4545" spans="9:9" x14ac:dyDescent="0.25">
      <c r="I4545" s="227" t="str">
        <f>MID(excPisCofins[[#This Row],[CodBarras2]],2,50)</f>
        <v/>
      </c>
    </row>
    <row r="4546" spans="9:9" x14ac:dyDescent="0.25">
      <c r="I4546" s="227" t="str">
        <f>MID(excPisCofins[[#This Row],[CodBarras2]],2,50)</f>
        <v/>
      </c>
    </row>
    <row r="4547" spans="9:9" x14ac:dyDescent="0.25">
      <c r="I4547" s="227" t="str">
        <f>MID(excPisCofins[[#This Row],[CodBarras2]],2,50)</f>
        <v/>
      </c>
    </row>
    <row r="4548" spans="9:9" x14ac:dyDescent="0.25">
      <c r="I4548" s="227" t="str">
        <f>MID(excPisCofins[[#This Row],[CodBarras2]],2,50)</f>
        <v/>
      </c>
    </row>
    <row r="4549" spans="9:9" x14ac:dyDescent="0.25">
      <c r="I4549" s="227" t="str">
        <f>MID(excPisCofins[[#This Row],[CodBarras2]],2,50)</f>
        <v/>
      </c>
    </row>
    <row r="4550" spans="9:9" x14ac:dyDescent="0.25">
      <c r="I4550" s="227" t="str">
        <f>MID(excPisCofins[[#This Row],[CodBarras2]],2,50)</f>
        <v/>
      </c>
    </row>
    <row r="4551" spans="9:9" x14ac:dyDescent="0.25">
      <c r="I4551" s="227" t="str">
        <f>MID(excPisCofins[[#This Row],[CodBarras2]],2,50)</f>
        <v/>
      </c>
    </row>
    <row r="4552" spans="9:9" x14ac:dyDescent="0.25">
      <c r="I4552" s="227" t="str">
        <f>MID(excPisCofins[[#This Row],[CodBarras2]],2,50)</f>
        <v/>
      </c>
    </row>
    <row r="4553" spans="9:9" x14ac:dyDescent="0.25">
      <c r="I4553" s="227" t="str">
        <f>MID(excPisCofins[[#This Row],[CodBarras2]],2,50)</f>
        <v/>
      </c>
    </row>
    <row r="4554" spans="9:9" x14ac:dyDescent="0.25">
      <c r="I4554" s="227" t="str">
        <f>MID(excPisCofins[[#This Row],[CodBarras2]],2,50)</f>
        <v/>
      </c>
    </row>
    <row r="4555" spans="9:9" x14ac:dyDescent="0.25">
      <c r="I4555" s="227" t="str">
        <f>MID(excPisCofins[[#This Row],[CodBarras2]],2,50)</f>
        <v/>
      </c>
    </row>
    <row r="4556" spans="9:9" x14ac:dyDescent="0.25">
      <c r="I4556" s="227" t="str">
        <f>MID(excPisCofins[[#This Row],[CodBarras2]],2,50)</f>
        <v/>
      </c>
    </row>
    <row r="4557" spans="9:9" x14ac:dyDescent="0.25">
      <c r="I4557" s="227" t="str">
        <f>MID(excPisCofins[[#This Row],[CodBarras2]],2,50)</f>
        <v/>
      </c>
    </row>
    <row r="4558" spans="9:9" x14ac:dyDescent="0.25">
      <c r="I4558" s="227" t="str">
        <f>MID(excPisCofins[[#This Row],[CodBarras2]],2,50)</f>
        <v/>
      </c>
    </row>
    <row r="4559" spans="9:9" x14ac:dyDescent="0.25">
      <c r="I4559" s="227" t="str">
        <f>MID(excPisCofins[[#This Row],[CodBarras2]],2,50)</f>
        <v/>
      </c>
    </row>
    <row r="4560" spans="9:9" x14ac:dyDescent="0.25">
      <c r="I4560" s="227" t="str">
        <f>MID(excPisCofins[[#This Row],[CodBarras2]],2,50)</f>
        <v/>
      </c>
    </row>
    <row r="4561" spans="9:9" x14ac:dyDescent="0.25">
      <c r="I4561" s="227" t="str">
        <f>MID(excPisCofins[[#This Row],[CodBarras2]],2,50)</f>
        <v/>
      </c>
    </row>
    <row r="4562" spans="9:9" x14ac:dyDescent="0.25">
      <c r="I4562" s="227" t="str">
        <f>MID(excPisCofins[[#This Row],[CodBarras2]],2,50)</f>
        <v/>
      </c>
    </row>
    <row r="4563" spans="9:9" x14ac:dyDescent="0.25">
      <c r="I4563" s="227" t="str">
        <f>MID(excPisCofins[[#This Row],[CodBarras2]],2,50)</f>
        <v/>
      </c>
    </row>
    <row r="4564" spans="9:9" x14ac:dyDescent="0.25">
      <c r="I4564" s="227" t="str">
        <f>MID(excPisCofins[[#This Row],[CodBarras2]],2,50)</f>
        <v/>
      </c>
    </row>
    <row r="4565" spans="9:9" x14ac:dyDescent="0.25">
      <c r="I4565" s="227" t="str">
        <f>MID(excPisCofins[[#This Row],[CodBarras2]],2,50)</f>
        <v/>
      </c>
    </row>
    <row r="4566" spans="9:9" x14ac:dyDescent="0.25">
      <c r="I4566" s="227" t="str">
        <f>MID(excPisCofins[[#This Row],[CodBarras2]],2,50)</f>
        <v/>
      </c>
    </row>
    <row r="4567" spans="9:9" x14ac:dyDescent="0.25">
      <c r="I4567" s="227" t="str">
        <f>MID(excPisCofins[[#This Row],[CodBarras2]],2,50)</f>
        <v/>
      </c>
    </row>
    <row r="4568" spans="9:9" x14ac:dyDescent="0.25">
      <c r="I4568" s="227" t="str">
        <f>MID(excPisCofins[[#This Row],[CodBarras2]],2,50)</f>
        <v/>
      </c>
    </row>
    <row r="4569" spans="9:9" x14ac:dyDescent="0.25">
      <c r="I4569" s="227" t="str">
        <f>MID(excPisCofins[[#This Row],[CodBarras2]],2,50)</f>
        <v/>
      </c>
    </row>
    <row r="4570" spans="9:9" x14ac:dyDescent="0.25">
      <c r="I4570" s="227" t="str">
        <f>MID(excPisCofins[[#This Row],[CodBarras2]],2,50)</f>
        <v/>
      </c>
    </row>
    <row r="4571" spans="9:9" x14ac:dyDescent="0.25">
      <c r="I4571" s="227" t="str">
        <f>MID(excPisCofins[[#This Row],[CodBarras2]],2,50)</f>
        <v/>
      </c>
    </row>
    <row r="4572" spans="9:9" x14ac:dyDescent="0.25">
      <c r="I4572" s="227" t="str">
        <f>MID(excPisCofins[[#This Row],[CodBarras2]],2,50)</f>
        <v/>
      </c>
    </row>
    <row r="4573" spans="9:9" x14ac:dyDescent="0.25">
      <c r="I4573" s="227" t="str">
        <f>MID(excPisCofins[[#This Row],[CodBarras2]],2,50)</f>
        <v/>
      </c>
    </row>
    <row r="4574" spans="9:9" x14ac:dyDescent="0.25">
      <c r="I4574" s="227" t="str">
        <f>MID(excPisCofins[[#This Row],[CodBarras2]],2,50)</f>
        <v/>
      </c>
    </row>
    <row r="4575" spans="9:9" x14ac:dyDescent="0.25">
      <c r="I4575" s="227" t="str">
        <f>MID(excPisCofins[[#This Row],[CodBarras2]],2,50)</f>
        <v/>
      </c>
    </row>
    <row r="4576" spans="9:9" x14ac:dyDescent="0.25">
      <c r="I4576" s="227" t="str">
        <f>MID(excPisCofins[[#This Row],[CodBarras2]],2,50)</f>
        <v/>
      </c>
    </row>
    <row r="4577" spans="9:9" x14ac:dyDescent="0.25">
      <c r="I4577" s="227" t="str">
        <f>MID(excPisCofins[[#This Row],[CodBarras2]],2,50)</f>
        <v/>
      </c>
    </row>
    <row r="4578" spans="9:9" x14ac:dyDescent="0.25">
      <c r="I4578" s="227" t="str">
        <f>MID(excPisCofins[[#This Row],[CodBarras2]],2,50)</f>
        <v/>
      </c>
    </row>
    <row r="4579" spans="9:9" x14ac:dyDescent="0.25">
      <c r="I4579" s="227" t="str">
        <f>MID(excPisCofins[[#This Row],[CodBarras2]],2,50)</f>
        <v/>
      </c>
    </row>
    <row r="4580" spans="9:9" x14ac:dyDescent="0.25">
      <c r="I4580" s="227" t="str">
        <f>MID(excPisCofins[[#This Row],[CodBarras2]],2,50)</f>
        <v/>
      </c>
    </row>
    <row r="4581" spans="9:9" x14ac:dyDescent="0.25">
      <c r="I4581" s="227" t="str">
        <f>MID(excPisCofins[[#This Row],[CodBarras2]],2,50)</f>
        <v/>
      </c>
    </row>
    <row r="4582" spans="9:9" x14ac:dyDescent="0.25">
      <c r="I4582" s="227" t="str">
        <f>MID(excPisCofins[[#This Row],[CodBarras2]],2,50)</f>
        <v/>
      </c>
    </row>
    <row r="4583" spans="9:9" x14ac:dyDescent="0.25">
      <c r="I4583" s="227" t="str">
        <f>MID(excPisCofins[[#This Row],[CodBarras2]],2,50)</f>
        <v/>
      </c>
    </row>
    <row r="4584" spans="9:9" x14ac:dyDescent="0.25">
      <c r="I4584" s="227" t="str">
        <f>MID(excPisCofins[[#This Row],[CodBarras2]],2,50)</f>
        <v/>
      </c>
    </row>
    <row r="4585" spans="9:9" x14ac:dyDescent="0.25">
      <c r="I4585" s="227" t="str">
        <f>MID(excPisCofins[[#This Row],[CodBarras2]],2,50)</f>
        <v/>
      </c>
    </row>
    <row r="4586" spans="9:9" x14ac:dyDescent="0.25">
      <c r="I4586" s="227" t="str">
        <f>MID(excPisCofins[[#This Row],[CodBarras2]],2,50)</f>
        <v/>
      </c>
    </row>
    <row r="4587" spans="9:9" x14ac:dyDescent="0.25">
      <c r="I4587" s="227" t="str">
        <f>MID(excPisCofins[[#This Row],[CodBarras2]],2,50)</f>
        <v/>
      </c>
    </row>
    <row r="4588" spans="9:9" x14ac:dyDescent="0.25">
      <c r="I4588" s="227" t="str">
        <f>MID(excPisCofins[[#This Row],[CodBarras2]],2,50)</f>
        <v/>
      </c>
    </row>
    <row r="4589" spans="9:9" x14ac:dyDescent="0.25">
      <c r="I4589" s="227" t="str">
        <f>MID(excPisCofins[[#This Row],[CodBarras2]],2,50)</f>
        <v/>
      </c>
    </row>
    <row r="4590" spans="9:9" x14ac:dyDescent="0.25">
      <c r="I4590" s="227" t="str">
        <f>MID(excPisCofins[[#This Row],[CodBarras2]],2,50)</f>
        <v/>
      </c>
    </row>
    <row r="4591" spans="9:9" x14ac:dyDescent="0.25">
      <c r="I4591" s="227" t="str">
        <f>MID(excPisCofins[[#This Row],[CodBarras2]],2,50)</f>
        <v/>
      </c>
    </row>
    <row r="4592" spans="9:9" x14ac:dyDescent="0.25">
      <c r="I4592" s="227" t="str">
        <f>MID(excPisCofins[[#This Row],[CodBarras2]],2,50)</f>
        <v/>
      </c>
    </row>
    <row r="4593" spans="9:9" x14ac:dyDescent="0.25">
      <c r="I4593" s="227" t="str">
        <f>MID(excPisCofins[[#This Row],[CodBarras2]],2,50)</f>
        <v/>
      </c>
    </row>
    <row r="4594" spans="9:9" x14ac:dyDescent="0.25">
      <c r="I4594" s="227" t="str">
        <f>MID(excPisCofins[[#This Row],[CodBarras2]],2,50)</f>
        <v/>
      </c>
    </row>
    <row r="4595" spans="9:9" x14ac:dyDescent="0.25">
      <c r="I4595" s="227" t="str">
        <f>MID(excPisCofins[[#This Row],[CodBarras2]],2,50)</f>
        <v/>
      </c>
    </row>
    <row r="4596" spans="9:9" x14ac:dyDescent="0.25">
      <c r="I4596" s="227" t="str">
        <f>MID(excPisCofins[[#This Row],[CodBarras2]],2,50)</f>
        <v/>
      </c>
    </row>
    <row r="4597" spans="9:9" x14ac:dyDescent="0.25">
      <c r="I4597" s="227" t="str">
        <f>MID(excPisCofins[[#This Row],[CodBarras2]],2,50)</f>
        <v/>
      </c>
    </row>
    <row r="4598" spans="9:9" x14ac:dyDescent="0.25">
      <c r="I4598" s="227" t="str">
        <f>MID(excPisCofins[[#This Row],[CodBarras2]],2,50)</f>
        <v/>
      </c>
    </row>
    <row r="4599" spans="9:9" x14ac:dyDescent="0.25">
      <c r="I4599" s="227" t="str">
        <f>MID(excPisCofins[[#This Row],[CodBarras2]],2,50)</f>
        <v/>
      </c>
    </row>
    <row r="4600" spans="9:9" x14ac:dyDescent="0.25">
      <c r="I4600" s="227" t="str">
        <f>MID(excPisCofins[[#This Row],[CodBarras2]],2,50)</f>
        <v/>
      </c>
    </row>
    <row r="4601" spans="9:9" x14ac:dyDescent="0.25">
      <c r="I4601" s="227" t="str">
        <f>MID(excPisCofins[[#This Row],[CodBarras2]],2,50)</f>
        <v/>
      </c>
    </row>
    <row r="4602" spans="9:9" x14ac:dyDescent="0.25">
      <c r="I4602" s="227" t="str">
        <f>MID(excPisCofins[[#This Row],[CodBarras2]],2,50)</f>
        <v/>
      </c>
    </row>
    <row r="4603" spans="9:9" x14ac:dyDescent="0.25">
      <c r="I4603" s="227" t="str">
        <f>MID(excPisCofins[[#This Row],[CodBarras2]],2,50)</f>
        <v/>
      </c>
    </row>
    <row r="4604" spans="9:9" x14ac:dyDescent="0.25">
      <c r="I4604" s="227" t="str">
        <f>MID(excPisCofins[[#This Row],[CodBarras2]],2,50)</f>
        <v/>
      </c>
    </row>
    <row r="4605" spans="9:9" x14ac:dyDescent="0.25">
      <c r="I4605" s="227" t="str">
        <f>MID(excPisCofins[[#This Row],[CodBarras2]],2,50)</f>
        <v/>
      </c>
    </row>
    <row r="4606" spans="9:9" x14ac:dyDescent="0.25">
      <c r="I4606" s="227" t="str">
        <f>MID(excPisCofins[[#This Row],[CodBarras2]],2,50)</f>
        <v/>
      </c>
    </row>
    <row r="4607" spans="9:9" x14ac:dyDescent="0.25">
      <c r="I4607" s="227" t="str">
        <f>MID(excPisCofins[[#This Row],[CodBarras2]],2,50)</f>
        <v/>
      </c>
    </row>
    <row r="4608" spans="9:9" x14ac:dyDescent="0.25">
      <c r="I4608" s="227" t="str">
        <f>MID(excPisCofins[[#This Row],[CodBarras2]],2,50)</f>
        <v/>
      </c>
    </row>
    <row r="4609" spans="9:9" x14ac:dyDescent="0.25">
      <c r="I4609" s="227" t="str">
        <f>MID(excPisCofins[[#This Row],[CodBarras2]],2,50)</f>
        <v/>
      </c>
    </row>
    <row r="4610" spans="9:9" x14ac:dyDescent="0.25">
      <c r="I4610" s="227" t="str">
        <f>MID(excPisCofins[[#This Row],[CodBarras2]],2,50)</f>
        <v/>
      </c>
    </row>
    <row r="4611" spans="9:9" x14ac:dyDescent="0.25">
      <c r="I4611" s="227" t="str">
        <f>MID(excPisCofins[[#This Row],[CodBarras2]],2,50)</f>
        <v/>
      </c>
    </row>
    <row r="4612" spans="9:9" x14ac:dyDescent="0.25">
      <c r="I4612" s="227" t="str">
        <f>MID(excPisCofins[[#This Row],[CodBarras2]],2,50)</f>
        <v/>
      </c>
    </row>
    <row r="4613" spans="9:9" x14ac:dyDescent="0.25">
      <c r="I4613" s="227" t="str">
        <f>MID(excPisCofins[[#This Row],[CodBarras2]],2,50)</f>
        <v/>
      </c>
    </row>
    <row r="4614" spans="9:9" x14ac:dyDescent="0.25">
      <c r="I4614" s="227" t="str">
        <f>MID(excPisCofins[[#This Row],[CodBarras2]],2,50)</f>
        <v/>
      </c>
    </row>
    <row r="4615" spans="9:9" x14ac:dyDescent="0.25">
      <c r="I4615" s="227" t="str">
        <f>MID(excPisCofins[[#This Row],[CodBarras2]],2,50)</f>
        <v/>
      </c>
    </row>
    <row r="4616" spans="9:9" x14ac:dyDescent="0.25">
      <c r="I4616" s="227" t="str">
        <f>MID(excPisCofins[[#This Row],[CodBarras2]],2,50)</f>
        <v/>
      </c>
    </row>
    <row r="4617" spans="9:9" x14ac:dyDescent="0.25">
      <c r="I4617" s="227" t="str">
        <f>MID(excPisCofins[[#This Row],[CodBarras2]],2,50)</f>
        <v/>
      </c>
    </row>
    <row r="4618" spans="9:9" x14ac:dyDescent="0.25">
      <c r="I4618" s="227" t="str">
        <f>MID(excPisCofins[[#This Row],[CodBarras2]],2,50)</f>
        <v/>
      </c>
    </row>
    <row r="4619" spans="9:9" x14ac:dyDescent="0.25">
      <c r="I4619" s="227" t="str">
        <f>MID(excPisCofins[[#This Row],[CodBarras2]],2,50)</f>
        <v/>
      </c>
    </row>
    <row r="4620" spans="9:9" x14ac:dyDescent="0.25">
      <c r="I4620" s="227" t="str">
        <f>MID(excPisCofins[[#This Row],[CodBarras2]],2,50)</f>
        <v/>
      </c>
    </row>
    <row r="4621" spans="9:9" x14ac:dyDescent="0.25">
      <c r="I4621" s="227" t="str">
        <f>MID(excPisCofins[[#This Row],[CodBarras2]],2,50)</f>
        <v/>
      </c>
    </row>
    <row r="4622" spans="9:9" x14ac:dyDescent="0.25">
      <c r="I4622" s="227" t="str">
        <f>MID(excPisCofins[[#This Row],[CodBarras2]],2,50)</f>
        <v/>
      </c>
    </row>
    <row r="4623" spans="9:9" x14ac:dyDescent="0.25">
      <c r="I4623" s="227" t="str">
        <f>MID(excPisCofins[[#This Row],[CodBarras2]],2,50)</f>
        <v/>
      </c>
    </row>
    <row r="4624" spans="9:9" x14ac:dyDescent="0.25">
      <c r="I4624" s="227" t="str">
        <f>MID(excPisCofins[[#This Row],[CodBarras2]],2,50)</f>
        <v/>
      </c>
    </row>
    <row r="4625" spans="9:9" x14ac:dyDescent="0.25">
      <c r="I4625" s="227" t="str">
        <f>MID(excPisCofins[[#This Row],[CodBarras2]],2,50)</f>
        <v/>
      </c>
    </row>
    <row r="4626" spans="9:9" x14ac:dyDescent="0.25">
      <c r="I4626" s="227" t="str">
        <f>MID(excPisCofins[[#This Row],[CodBarras2]],2,50)</f>
        <v/>
      </c>
    </row>
    <row r="4627" spans="9:9" x14ac:dyDescent="0.25">
      <c r="I4627" s="227" t="str">
        <f>MID(excPisCofins[[#This Row],[CodBarras2]],2,50)</f>
        <v/>
      </c>
    </row>
    <row r="4628" spans="9:9" x14ac:dyDescent="0.25">
      <c r="I4628" s="227" t="str">
        <f>MID(excPisCofins[[#This Row],[CodBarras2]],2,50)</f>
        <v/>
      </c>
    </row>
    <row r="4629" spans="9:9" x14ac:dyDescent="0.25">
      <c r="I4629" s="227" t="str">
        <f>MID(excPisCofins[[#This Row],[CodBarras2]],2,50)</f>
        <v/>
      </c>
    </row>
    <row r="4630" spans="9:9" x14ac:dyDescent="0.25">
      <c r="I4630" s="227" t="str">
        <f>MID(excPisCofins[[#This Row],[CodBarras2]],2,50)</f>
        <v/>
      </c>
    </row>
    <row r="4631" spans="9:9" x14ac:dyDescent="0.25">
      <c r="I4631" s="227" t="str">
        <f>MID(excPisCofins[[#This Row],[CodBarras2]],2,50)</f>
        <v/>
      </c>
    </row>
    <row r="4632" spans="9:9" x14ac:dyDescent="0.25">
      <c r="I4632" s="227" t="str">
        <f>MID(excPisCofins[[#This Row],[CodBarras2]],2,50)</f>
        <v/>
      </c>
    </row>
    <row r="4633" spans="9:9" x14ac:dyDescent="0.25">
      <c r="I4633" s="227" t="str">
        <f>MID(excPisCofins[[#This Row],[CodBarras2]],2,50)</f>
        <v/>
      </c>
    </row>
    <row r="4634" spans="9:9" x14ac:dyDescent="0.25">
      <c r="I4634" s="227" t="str">
        <f>MID(excPisCofins[[#This Row],[CodBarras2]],2,50)</f>
        <v/>
      </c>
    </row>
    <row r="4635" spans="9:9" x14ac:dyDescent="0.25">
      <c r="I4635" s="227" t="str">
        <f>MID(excPisCofins[[#This Row],[CodBarras2]],2,50)</f>
        <v/>
      </c>
    </row>
    <row r="4636" spans="9:9" x14ac:dyDescent="0.25">
      <c r="I4636" s="227" t="str">
        <f>MID(excPisCofins[[#This Row],[CodBarras2]],2,50)</f>
        <v/>
      </c>
    </row>
    <row r="4637" spans="9:9" x14ac:dyDescent="0.25">
      <c r="I4637" s="227" t="str">
        <f>MID(excPisCofins[[#This Row],[CodBarras2]],2,50)</f>
        <v/>
      </c>
    </row>
    <row r="4638" spans="9:9" x14ac:dyDescent="0.25">
      <c r="I4638" s="227" t="str">
        <f>MID(excPisCofins[[#This Row],[CodBarras2]],2,50)</f>
        <v/>
      </c>
    </row>
    <row r="4639" spans="9:9" x14ac:dyDescent="0.25">
      <c r="I4639" s="227" t="str">
        <f>MID(excPisCofins[[#This Row],[CodBarras2]],2,50)</f>
        <v/>
      </c>
    </row>
    <row r="4640" spans="9:9" x14ac:dyDescent="0.25">
      <c r="I4640" s="227" t="str">
        <f>MID(excPisCofins[[#This Row],[CodBarras2]],2,50)</f>
        <v/>
      </c>
    </row>
    <row r="4641" spans="9:9" x14ac:dyDescent="0.25">
      <c r="I4641" s="227" t="str">
        <f>MID(excPisCofins[[#This Row],[CodBarras2]],2,50)</f>
        <v/>
      </c>
    </row>
    <row r="4642" spans="9:9" x14ac:dyDescent="0.25">
      <c r="I4642" s="227" t="str">
        <f>MID(excPisCofins[[#This Row],[CodBarras2]],2,50)</f>
        <v/>
      </c>
    </row>
    <row r="4643" spans="9:9" x14ac:dyDescent="0.25">
      <c r="I4643" s="227" t="str">
        <f>MID(excPisCofins[[#This Row],[CodBarras2]],2,50)</f>
        <v/>
      </c>
    </row>
    <row r="4644" spans="9:9" x14ac:dyDescent="0.25">
      <c r="I4644" s="227" t="str">
        <f>MID(excPisCofins[[#This Row],[CodBarras2]],2,50)</f>
        <v/>
      </c>
    </row>
    <row r="4645" spans="9:9" x14ac:dyDescent="0.25">
      <c r="I4645" s="227" t="str">
        <f>MID(excPisCofins[[#This Row],[CodBarras2]],2,50)</f>
        <v/>
      </c>
    </row>
    <row r="4646" spans="9:9" x14ac:dyDescent="0.25">
      <c r="I4646" s="227" t="str">
        <f>MID(excPisCofins[[#This Row],[CodBarras2]],2,50)</f>
        <v/>
      </c>
    </row>
    <row r="4647" spans="9:9" x14ac:dyDescent="0.25">
      <c r="I4647" s="227" t="str">
        <f>MID(excPisCofins[[#This Row],[CodBarras2]],2,50)</f>
        <v/>
      </c>
    </row>
    <row r="4648" spans="9:9" x14ac:dyDescent="0.25">
      <c r="I4648" s="227" t="str">
        <f>MID(excPisCofins[[#This Row],[CodBarras2]],2,50)</f>
        <v/>
      </c>
    </row>
    <row r="4649" spans="9:9" x14ac:dyDescent="0.25">
      <c r="I4649" s="227" t="str">
        <f>MID(excPisCofins[[#This Row],[CodBarras2]],2,50)</f>
        <v/>
      </c>
    </row>
    <row r="4650" spans="9:9" x14ac:dyDescent="0.25">
      <c r="I4650" s="227" t="str">
        <f>MID(excPisCofins[[#This Row],[CodBarras2]],2,50)</f>
        <v/>
      </c>
    </row>
    <row r="4651" spans="9:9" x14ac:dyDescent="0.25">
      <c r="I4651" s="227" t="str">
        <f>MID(excPisCofins[[#This Row],[CodBarras2]],2,50)</f>
        <v/>
      </c>
    </row>
    <row r="4652" spans="9:9" x14ac:dyDescent="0.25">
      <c r="I4652" s="227" t="str">
        <f>MID(excPisCofins[[#This Row],[CodBarras2]],2,50)</f>
        <v/>
      </c>
    </row>
    <row r="4653" spans="9:9" x14ac:dyDescent="0.25">
      <c r="I4653" s="227" t="str">
        <f>MID(excPisCofins[[#This Row],[CodBarras2]],2,50)</f>
        <v/>
      </c>
    </row>
    <row r="4654" spans="9:9" x14ac:dyDescent="0.25">
      <c r="I4654" s="227" t="str">
        <f>MID(excPisCofins[[#This Row],[CodBarras2]],2,50)</f>
        <v/>
      </c>
    </row>
    <row r="4655" spans="9:9" x14ac:dyDescent="0.25">
      <c r="I4655" s="227" t="str">
        <f>MID(excPisCofins[[#This Row],[CodBarras2]],2,50)</f>
        <v/>
      </c>
    </row>
    <row r="4656" spans="9:9" x14ac:dyDescent="0.25">
      <c r="I4656" s="227" t="str">
        <f>MID(excPisCofins[[#This Row],[CodBarras2]],2,50)</f>
        <v/>
      </c>
    </row>
    <row r="4657" spans="9:9" x14ac:dyDescent="0.25">
      <c r="I4657" s="227" t="str">
        <f>MID(excPisCofins[[#This Row],[CodBarras2]],2,50)</f>
        <v/>
      </c>
    </row>
    <row r="4658" spans="9:9" x14ac:dyDescent="0.25">
      <c r="I4658" s="227" t="str">
        <f>MID(excPisCofins[[#This Row],[CodBarras2]],2,50)</f>
        <v/>
      </c>
    </row>
    <row r="4659" spans="9:9" x14ac:dyDescent="0.25">
      <c r="I4659" s="227" t="str">
        <f>MID(excPisCofins[[#This Row],[CodBarras2]],2,50)</f>
        <v/>
      </c>
    </row>
    <row r="4660" spans="9:9" x14ac:dyDescent="0.25">
      <c r="I4660" s="227" t="str">
        <f>MID(excPisCofins[[#This Row],[CodBarras2]],2,50)</f>
        <v/>
      </c>
    </row>
    <row r="4661" spans="9:9" x14ac:dyDescent="0.25">
      <c r="I4661" s="227" t="str">
        <f>MID(excPisCofins[[#This Row],[CodBarras2]],2,50)</f>
        <v/>
      </c>
    </row>
    <row r="4662" spans="9:9" x14ac:dyDescent="0.25">
      <c r="I4662" s="227" t="str">
        <f>MID(excPisCofins[[#This Row],[CodBarras2]],2,50)</f>
        <v/>
      </c>
    </row>
    <row r="4663" spans="9:9" x14ac:dyDescent="0.25">
      <c r="I4663" s="227" t="str">
        <f>MID(excPisCofins[[#This Row],[CodBarras2]],2,50)</f>
        <v/>
      </c>
    </row>
    <row r="4664" spans="9:9" x14ac:dyDescent="0.25">
      <c r="I4664" s="227" t="str">
        <f>MID(excPisCofins[[#This Row],[CodBarras2]],2,50)</f>
        <v/>
      </c>
    </row>
    <row r="4665" spans="9:9" x14ac:dyDescent="0.25">
      <c r="I4665" s="227" t="str">
        <f>MID(excPisCofins[[#This Row],[CodBarras2]],2,50)</f>
        <v/>
      </c>
    </row>
    <row r="4666" spans="9:9" x14ac:dyDescent="0.25">
      <c r="I4666" s="227" t="str">
        <f>MID(excPisCofins[[#This Row],[CodBarras2]],2,50)</f>
        <v/>
      </c>
    </row>
    <row r="4667" spans="9:9" x14ac:dyDescent="0.25">
      <c r="I4667" s="227" t="str">
        <f>MID(excPisCofins[[#This Row],[CodBarras2]],2,50)</f>
        <v/>
      </c>
    </row>
    <row r="4668" spans="9:9" x14ac:dyDescent="0.25">
      <c r="I4668" s="227" t="str">
        <f>MID(excPisCofins[[#This Row],[CodBarras2]],2,50)</f>
        <v/>
      </c>
    </row>
    <row r="4669" spans="9:9" x14ac:dyDescent="0.25">
      <c r="I4669" s="227" t="str">
        <f>MID(excPisCofins[[#This Row],[CodBarras2]],2,50)</f>
        <v/>
      </c>
    </row>
    <row r="4670" spans="9:9" x14ac:dyDescent="0.25">
      <c r="I4670" s="227" t="str">
        <f>MID(excPisCofins[[#This Row],[CodBarras2]],2,50)</f>
        <v/>
      </c>
    </row>
    <row r="4671" spans="9:9" x14ac:dyDescent="0.25">
      <c r="I4671" s="227" t="str">
        <f>MID(excPisCofins[[#This Row],[CodBarras2]],2,50)</f>
        <v/>
      </c>
    </row>
    <row r="4672" spans="9:9" x14ac:dyDescent="0.25">
      <c r="I4672" s="227" t="str">
        <f>MID(excPisCofins[[#This Row],[CodBarras2]],2,50)</f>
        <v/>
      </c>
    </row>
    <row r="4673" spans="9:9" x14ac:dyDescent="0.25">
      <c r="I4673" s="227" t="str">
        <f>MID(excPisCofins[[#This Row],[CodBarras2]],2,50)</f>
        <v/>
      </c>
    </row>
    <row r="4674" spans="9:9" x14ac:dyDescent="0.25">
      <c r="I4674" s="227" t="str">
        <f>MID(excPisCofins[[#This Row],[CodBarras2]],2,50)</f>
        <v/>
      </c>
    </row>
    <row r="4675" spans="9:9" x14ac:dyDescent="0.25">
      <c r="I4675" s="227" t="str">
        <f>MID(excPisCofins[[#This Row],[CodBarras2]],2,50)</f>
        <v/>
      </c>
    </row>
    <row r="4676" spans="9:9" x14ac:dyDescent="0.25">
      <c r="I4676" s="227" t="str">
        <f>MID(excPisCofins[[#This Row],[CodBarras2]],2,50)</f>
        <v/>
      </c>
    </row>
    <row r="4677" spans="9:9" x14ac:dyDescent="0.25">
      <c r="I4677" s="227" t="str">
        <f>MID(excPisCofins[[#This Row],[CodBarras2]],2,50)</f>
        <v/>
      </c>
    </row>
    <row r="4678" spans="9:9" x14ac:dyDescent="0.25">
      <c r="I4678" s="227" t="str">
        <f>MID(excPisCofins[[#This Row],[CodBarras2]],2,50)</f>
        <v/>
      </c>
    </row>
    <row r="4679" spans="9:9" x14ac:dyDescent="0.25">
      <c r="I4679" s="227" t="str">
        <f>MID(excPisCofins[[#This Row],[CodBarras2]],2,50)</f>
        <v/>
      </c>
    </row>
    <row r="4680" spans="9:9" x14ac:dyDescent="0.25">
      <c r="I4680" s="227" t="str">
        <f>MID(excPisCofins[[#This Row],[CodBarras2]],2,50)</f>
        <v/>
      </c>
    </row>
    <row r="4681" spans="9:9" x14ac:dyDescent="0.25">
      <c r="I4681" s="227" t="str">
        <f>MID(excPisCofins[[#This Row],[CodBarras2]],2,50)</f>
        <v/>
      </c>
    </row>
    <row r="4682" spans="9:9" x14ac:dyDescent="0.25">
      <c r="I4682" s="227" t="str">
        <f>MID(excPisCofins[[#This Row],[CodBarras2]],2,50)</f>
        <v/>
      </c>
    </row>
    <row r="4683" spans="9:9" x14ac:dyDescent="0.25">
      <c r="I4683" s="227" t="str">
        <f>MID(excPisCofins[[#This Row],[CodBarras2]],2,50)</f>
        <v/>
      </c>
    </row>
    <row r="4684" spans="9:9" x14ac:dyDescent="0.25">
      <c r="I4684" s="227" t="str">
        <f>MID(excPisCofins[[#This Row],[CodBarras2]],2,50)</f>
        <v/>
      </c>
    </row>
    <row r="4685" spans="9:9" x14ac:dyDescent="0.25">
      <c r="I4685" s="227" t="str">
        <f>MID(excPisCofins[[#This Row],[CodBarras2]],2,50)</f>
        <v/>
      </c>
    </row>
    <row r="4686" spans="9:9" x14ac:dyDescent="0.25">
      <c r="I4686" s="227" t="str">
        <f>MID(excPisCofins[[#This Row],[CodBarras2]],2,50)</f>
        <v/>
      </c>
    </row>
    <row r="4687" spans="9:9" x14ac:dyDescent="0.25">
      <c r="I4687" s="227" t="str">
        <f>MID(excPisCofins[[#This Row],[CodBarras2]],2,50)</f>
        <v/>
      </c>
    </row>
    <row r="4688" spans="9:9" x14ac:dyDescent="0.25">
      <c r="I4688" s="227" t="str">
        <f>MID(excPisCofins[[#This Row],[CodBarras2]],2,50)</f>
        <v/>
      </c>
    </row>
    <row r="4689" spans="9:9" x14ac:dyDescent="0.25">
      <c r="I4689" s="227" t="str">
        <f>MID(excPisCofins[[#This Row],[CodBarras2]],2,50)</f>
        <v/>
      </c>
    </row>
    <row r="4690" spans="9:9" x14ac:dyDescent="0.25">
      <c r="I4690" s="227" t="str">
        <f>MID(excPisCofins[[#This Row],[CodBarras2]],2,50)</f>
        <v/>
      </c>
    </row>
    <row r="4691" spans="9:9" x14ac:dyDescent="0.25">
      <c r="I4691" s="227" t="str">
        <f>MID(excPisCofins[[#This Row],[CodBarras2]],2,50)</f>
        <v/>
      </c>
    </row>
    <row r="4692" spans="9:9" x14ac:dyDescent="0.25">
      <c r="I4692" s="227" t="str">
        <f>MID(excPisCofins[[#This Row],[CodBarras2]],2,50)</f>
        <v/>
      </c>
    </row>
    <row r="4693" spans="9:9" x14ac:dyDescent="0.25">
      <c r="I4693" s="227" t="str">
        <f>MID(excPisCofins[[#This Row],[CodBarras2]],2,50)</f>
        <v/>
      </c>
    </row>
    <row r="4694" spans="9:9" x14ac:dyDescent="0.25">
      <c r="I4694" s="227" t="str">
        <f>MID(excPisCofins[[#This Row],[CodBarras2]],2,50)</f>
        <v/>
      </c>
    </row>
    <row r="4695" spans="9:9" x14ac:dyDescent="0.25">
      <c r="I4695" s="227" t="str">
        <f>MID(excPisCofins[[#This Row],[CodBarras2]],2,50)</f>
        <v/>
      </c>
    </row>
    <row r="4696" spans="9:9" x14ac:dyDescent="0.25">
      <c r="I4696" s="227" t="str">
        <f>MID(excPisCofins[[#This Row],[CodBarras2]],2,50)</f>
        <v/>
      </c>
    </row>
    <row r="4697" spans="9:9" x14ac:dyDescent="0.25">
      <c r="I4697" s="227" t="str">
        <f>MID(excPisCofins[[#This Row],[CodBarras2]],2,50)</f>
        <v/>
      </c>
    </row>
    <row r="4698" spans="9:9" x14ac:dyDescent="0.25">
      <c r="I4698" s="227" t="str">
        <f>MID(excPisCofins[[#This Row],[CodBarras2]],2,50)</f>
        <v/>
      </c>
    </row>
    <row r="4699" spans="9:9" x14ac:dyDescent="0.25">
      <c r="I4699" s="227" t="str">
        <f>MID(excPisCofins[[#This Row],[CodBarras2]],2,50)</f>
        <v/>
      </c>
    </row>
    <row r="4700" spans="9:9" x14ac:dyDescent="0.25">
      <c r="I4700" s="227" t="str">
        <f>MID(excPisCofins[[#This Row],[CodBarras2]],2,50)</f>
        <v/>
      </c>
    </row>
    <row r="4701" spans="9:9" x14ac:dyDescent="0.25">
      <c r="I4701" s="227" t="str">
        <f>MID(excPisCofins[[#This Row],[CodBarras2]],2,50)</f>
        <v/>
      </c>
    </row>
    <row r="4702" spans="9:9" x14ac:dyDescent="0.25">
      <c r="I4702" s="227" t="str">
        <f>MID(excPisCofins[[#This Row],[CodBarras2]],2,50)</f>
        <v/>
      </c>
    </row>
    <row r="4703" spans="9:9" x14ac:dyDescent="0.25">
      <c r="I4703" s="227" t="str">
        <f>MID(excPisCofins[[#This Row],[CodBarras2]],2,50)</f>
        <v/>
      </c>
    </row>
    <row r="4704" spans="9:9" x14ac:dyDescent="0.25">
      <c r="I4704" s="227" t="str">
        <f>MID(excPisCofins[[#This Row],[CodBarras2]],2,50)</f>
        <v/>
      </c>
    </row>
    <row r="4705" spans="9:9" x14ac:dyDescent="0.25">
      <c r="I4705" s="227" t="str">
        <f>MID(excPisCofins[[#This Row],[CodBarras2]],2,50)</f>
        <v/>
      </c>
    </row>
    <row r="4706" spans="9:9" x14ac:dyDescent="0.25">
      <c r="I4706" s="227" t="str">
        <f>MID(excPisCofins[[#This Row],[CodBarras2]],2,50)</f>
        <v/>
      </c>
    </row>
    <row r="4707" spans="9:9" x14ac:dyDescent="0.25">
      <c r="I4707" s="227" t="str">
        <f>MID(excPisCofins[[#This Row],[CodBarras2]],2,50)</f>
        <v/>
      </c>
    </row>
    <row r="4708" spans="9:9" x14ac:dyDescent="0.25">
      <c r="I4708" s="227" t="str">
        <f>MID(excPisCofins[[#This Row],[CodBarras2]],2,50)</f>
        <v/>
      </c>
    </row>
    <row r="4709" spans="9:9" x14ac:dyDescent="0.25">
      <c r="I4709" s="227" t="str">
        <f>MID(excPisCofins[[#This Row],[CodBarras2]],2,50)</f>
        <v/>
      </c>
    </row>
    <row r="4710" spans="9:9" x14ac:dyDescent="0.25">
      <c r="I4710" s="227" t="str">
        <f>MID(excPisCofins[[#This Row],[CodBarras2]],2,50)</f>
        <v/>
      </c>
    </row>
    <row r="4711" spans="9:9" x14ac:dyDescent="0.25">
      <c r="I4711" s="227" t="str">
        <f>MID(excPisCofins[[#This Row],[CodBarras2]],2,50)</f>
        <v/>
      </c>
    </row>
    <row r="4712" spans="9:9" x14ac:dyDescent="0.25">
      <c r="I4712" s="227" t="str">
        <f>MID(excPisCofins[[#This Row],[CodBarras2]],2,50)</f>
        <v/>
      </c>
    </row>
    <row r="4713" spans="9:9" x14ac:dyDescent="0.25">
      <c r="I4713" s="227" t="str">
        <f>MID(excPisCofins[[#This Row],[CodBarras2]],2,50)</f>
        <v/>
      </c>
    </row>
    <row r="4714" spans="9:9" x14ac:dyDescent="0.25">
      <c r="I4714" s="227" t="str">
        <f>MID(excPisCofins[[#This Row],[CodBarras2]],2,50)</f>
        <v/>
      </c>
    </row>
    <row r="4715" spans="9:9" x14ac:dyDescent="0.25">
      <c r="I4715" s="227" t="str">
        <f>MID(excPisCofins[[#This Row],[CodBarras2]],2,50)</f>
        <v/>
      </c>
    </row>
    <row r="4716" spans="9:9" x14ac:dyDescent="0.25">
      <c r="I4716" s="227" t="str">
        <f>MID(excPisCofins[[#This Row],[CodBarras2]],2,50)</f>
        <v/>
      </c>
    </row>
    <row r="4717" spans="9:9" x14ac:dyDescent="0.25">
      <c r="I4717" s="227" t="str">
        <f>MID(excPisCofins[[#This Row],[CodBarras2]],2,50)</f>
        <v/>
      </c>
    </row>
    <row r="4718" spans="9:9" x14ac:dyDescent="0.25">
      <c r="I4718" s="227" t="str">
        <f>MID(excPisCofins[[#This Row],[CodBarras2]],2,50)</f>
        <v/>
      </c>
    </row>
    <row r="4719" spans="9:9" x14ac:dyDescent="0.25">
      <c r="I4719" s="227" t="str">
        <f>MID(excPisCofins[[#This Row],[CodBarras2]],2,50)</f>
        <v/>
      </c>
    </row>
    <row r="4720" spans="9:9" x14ac:dyDescent="0.25">
      <c r="I4720" s="227" t="str">
        <f>MID(excPisCofins[[#This Row],[CodBarras2]],2,50)</f>
        <v/>
      </c>
    </row>
    <row r="4721" spans="9:9" x14ac:dyDescent="0.25">
      <c r="I4721" s="227" t="str">
        <f>MID(excPisCofins[[#This Row],[CodBarras2]],2,50)</f>
        <v/>
      </c>
    </row>
    <row r="4722" spans="9:9" x14ac:dyDescent="0.25">
      <c r="I4722" s="227" t="str">
        <f>MID(excPisCofins[[#This Row],[CodBarras2]],2,50)</f>
        <v/>
      </c>
    </row>
    <row r="4723" spans="9:9" x14ac:dyDescent="0.25">
      <c r="I4723" s="227" t="str">
        <f>MID(excPisCofins[[#This Row],[CodBarras2]],2,50)</f>
        <v/>
      </c>
    </row>
    <row r="4724" spans="9:9" x14ac:dyDescent="0.25">
      <c r="I4724" s="227" t="str">
        <f>MID(excPisCofins[[#This Row],[CodBarras2]],2,50)</f>
        <v/>
      </c>
    </row>
    <row r="4725" spans="9:9" x14ac:dyDescent="0.25">
      <c r="I4725" s="227" t="str">
        <f>MID(excPisCofins[[#This Row],[CodBarras2]],2,50)</f>
        <v/>
      </c>
    </row>
    <row r="4726" spans="9:9" x14ac:dyDescent="0.25">
      <c r="I4726" s="227" t="str">
        <f>MID(excPisCofins[[#This Row],[CodBarras2]],2,50)</f>
        <v/>
      </c>
    </row>
    <row r="4727" spans="9:9" x14ac:dyDescent="0.25">
      <c r="I4727" s="227" t="str">
        <f>MID(excPisCofins[[#This Row],[CodBarras2]],2,50)</f>
        <v/>
      </c>
    </row>
    <row r="4728" spans="9:9" x14ac:dyDescent="0.25">
      <c r="I4728" s="227" t="str">
        <f>MID(excPisCofins[[#This Row],[CodBarras2]],2,50)</f>
        <v/>
      </c>
    </row>
    <row r="4729" spans="9:9" x14ac:dyDescent="0.25">
      <c r="I4729" s="227" t="str">
        <f>MID(excPisCofins[[#This Row],[CodBarras2]],2,50)</f>
        <v/>
      </c>
    </row>
    <row r="4730" spans="9:9" x14ac:dyDescent="0.25">
      <c r="I4730" s="227" t="str">
        <f>MID(excPisCofins[[#This Row],[CodBarras2]],2,50)</f>
        <v/>
      </c>
    </row>
    <row r="4731" spans="9:9" x14ac:dyDescent="0.25">
      <c r="I4731" s="227" t="str">
        <f>MID(excPisCofins[[#This Row],[CodBarras2]],2,50)</f>
        <v/>
      </c>
    </row>
    <row r="4732" spans="9:9" x14ac:dyDescent="0.25">
      <c r="I4732" s="227" t="str">
        <f>MID(excPisCofins[[#This Row],[CodBarras2]],2,50)</f>
        <v/>
      </c>
    </row>
    <row r="4733" spans="9:9" x14ac:dyDescent="0.25">
      <c r="I4733" s="227" t="str">
        <f>MID(excPisCofins[[#This Row],[CodBarras2]],2,50)</f>
        <v/>
      </c>
    </row>
    <row r="4734" spans="9:9" x14ac:dyDescent="0.25">
      <c r="I4734" s="227" t="str">
        <f>MID(excPisCofins[[#This Row],[CodBarras2]],2,50)</f>
        <v/>
      </c>
    </row>
    <row r="4735" spans="9:9" x14ac:dyDescent="0.25">
      <c r="I4735" s="227" t="str">
        <f>MID(excPisCofins[[#This Row],[CodBarras2]],2,50)</f>
        <v/>
      </c>
    </row>
    <row r="4736" spans="9:9" x14ac:dyDescent="0.25">
      <c r="I4736" s="227" t="str">
        <f>MID(excPisCofins[[#This Row],[CodBarras2]],2,50)</f>
        <v/>
      </c>
    </row>
    <row r="4737" spans="9:9" x14ac:dyDescent="0.25">
      <c r="I4737" s="227" t="str">
        <f>MID(excPisCofins[[#This Row],[CodBarras2]],2,50)</f>
        <v/>
      </c>
    </row>
    <row r="4738" spans="9:9" x14ac:dyDescent="0.25">
      <c r="I4738" s="227" t="str">
        <f>MID(excPisCofins[[#This Row],[CodBarras2]],2,50)</f>
        <v/>
      </c>
    </row>
    <row r="4739" spans="9:9" x14ac:dyDescent="0.25">
      <c r="I4739" s="227" t="str">
        <f>MID(excPisCofins[[#This Row],[CodBarras2]],2,50)</f>
        <v/>
      </c>
    </row>
    <row r="4740" spans="9:9" x14ac:dyDescent="0.25">
      <c r="I4740" s="227" t="str">
        <f>MID(excPisCofins[[#This Row],[CodBarras2]],2,50)</f>
        <v/>
      </c>
    </row>
    <row r="4741" spans="9:9" x14ac:dyDescent="0.25">
      <c r="I4741" s="227" t="str">
        <f>MID(excPisCofins[[#This Row],[CodBarras2]],2,50)</f>
        <v/>
      </c>
    </row>
    <row r="4742" spans="9:9" x14ac:dyDescent="0.25">
      <c r="I4742" s="227" t="str">
        <f>MID(excPisCofins[[#This Row],[CodBarras2]],2,50)</f>
        <v/>
      </c>
    </row>
    <row r="4743" spans="9:9" x14ac:dyDescent="0.25">
      <c r="I4743" s="227" t="str">
        <f>MID(excPisCofins[[#This Row],[CodBarras2]],2,50)</f>
        <v/>
      </c>
    </row>
    <row r="4744" spans="9:9" x14ac:dyDescent="0.25">
      <c r="I4744" s="227" t="str">
        <f>MID(excPisCofins[[#This Row],[CodBarras2]],2,50)</f>
        <v/>
      </c>
    </row>
    <row r="4745" spans="9:9" x14ac:dyDescent="0.25">
      <c r="I4745" s="227" t="str">
        <f>MID(excPisCofins[[#This Row],[CodBarras2]],2,50)</f>
        <v/>
      </c>
    </row>
    <row r="4746" spans="9:9" x14ac:dyDescent="0.25">
      <c r="I4746" s="227" t="str">
        <f>MID(excPisCofins[[#This Row],[CodBarras2]],2,50)</f>
        <v/>
      </c>
    </row>
    <row r="4747" spans="9:9" x14ac:dyDescent="0.25">
      <c r="I4747" s="227" t="str">
        <f>MID(excPisCofins[[#This Row],[CodBarras2]],2,50)</f>
        <v/>
      </c>
    </row>
    <row r="4748" spans="9:9" x14ac:dyDescent="0.25">
      <c r="I4748" s="227" t="str">
        <f>MID(excPisCofins[[#This Row],[CodBarras2]],2,50)</f>
        <v/>
      </c>
    </row>
    <row r="4749" spans="9:9" x14ac:dyDescent="0.25">
      <c r="I4749" s="227" t="str">
        <f>MID(excPisCofins[[#This Row],[CodBarras2]],2,50)</f>
        <v/>
      </c>
    </row>
    <row r="4750" spans="9:9" x14ac:dyDescent="0.25">
      <c r="I4750" s="227" t="str">
        <f>MID(excPisCofins[[#This Row],[CodBarras2]],2,50)</f>
        <v/>
      </c>
    </row>
    <row r="4751" spans="9:9" x14ac:dyDescent="0.25">
      <c r="I4751" s="227" t="str">
        <f>MID(excPisCofins[[#This Row],[CodBarras2]],2,50)</f>
        <v/>
      </c>
    </row>
    <row r="4752" spans="9:9" x14ac:dyDescent="0.25">
      <c r="I4752" s="227" t="str">
        <f>MID(excPisCofins[[#This Row],[CodBarras2]],2,50)</f>
        <v/>
      </c>
    </row>
    <row r="4753" spans="9:9" x14ac:dyDescent="0.25">
      <c r="I4753" s="227" t="str">
        <f>MID(excPisCofins[[#This Row],[CodBarras2]],2,50)</f>
        <v/>
      </c>
    </row>
    <row r="4754" spans="9:9" x14ac:dyDescent="0.25">
      <c r="I4754" s="227" t="str">
        <f>MID(excPisCofins[[#This Row],[CodBarras2]],2,50)</f>
        <v/>
      </c>
    </row>
    <row r="4755" spans="9:9" x14ac:dyDescent="0.25">
      <c r="I4755" s="227" t="str">
        <f>MID(excPisCofins[[#This Row],[CodBarras2]],2,50)</f>
        <v/>
      </c>
    </row>
    <row r="4756" spans="9:9" x14ac:dyDescent="0.25">
      <c r="I4756" s="227" t="str">
        <f>MID(excPisCofins[[#This Row],[CodBarras2]],2,50)</f>
        <v/>
      </c>
    </row>
    <row r="4757" spans="9:9" x14ac:dyDescent="0.25">
      <c r="I4757" s="227" t="str">
        <f>MID(excPisCofins[[#This Row],[CodBarras2]],2,50)</f>
        <v/>
      </c>
    </row>
    <row r="4758" spans="9:9" x14ac:dyDescent="0.25">
      <c r="I4758" s="227" t="str">
        <f>MID(excPisCofins[[#This Row],[CodBarras2]],2,50)</f>
        <v/>
      </c>
    </row>
    <row r="4759" spans="9:9" x14ac:dyDescent="0.25">
      <c r="I4759" s="227" t="str">
        <f>MID(excPisCofins[[#This Row],[CodBarras2]],2,50)</f>
        <v/>
      </c>
    </row>
    <row r="4760" spans="9:9" x14ac:dyDescent="0.25">
      <c r="I4760" s="227" t="str">
        <f>MID(excPisCofins[[#This Row],[CodBarras2]],2,50)</f>
        <v/>
      </c>
    </row>
    <row r="4761" spans="9:9" x14ac:dyDescent="0.25">
      <c r="I4761" s="227" t="str">
        <f>MID(excPisCofins[[#This Row],[CodBarras2]],2,50)</f>
        <v/>
      </c>
    </row>
    <row r="4762" spans="9:9" x14ac:dyDescent="0.25">
      <c r="I4762" s="227" t="str">
        <f>MID(excPisCofins[[#This Row],[CodBarras2]],2,50)</f>
        <v/>
      </c>
    </row>
    <row r="4763" spans="9:9" x14ac:dyDescent="0.25">
      <c r="I4763" s="227" t="str">
        <f>MID(excPisCofins[[#This Row],[CodBarras2]],2,50)</f>
        <v/>
      </c>
    </row>
    <row r="4764" spans="9:9" x14ac:dyDescent="0.25">
      <c r="I4764" s="227" t="str">
        <f>MID(excPisCofins[[#This Row],[CodBarras2]],2,50)</f>
        <v/>
      </c>
    </row>
    <row r="4765" spans="9:9" x14ac:dyDescent="0.25">
      <c r="I4765" s="227" t="str">
        <f>MID(excPisCofins[[#This Row],[CodBarras2]],2,50)</f>
        <v/>
      </c>
    </row>
    <row r="4766" spans="9:9" x14ac:dyDescent="0.25">
      <c r="I4766" s="227" t="str">
        <f>MID(excPisCofins[[#This Row],[CodBarras2]],2,50)</f>
        <v/>
      </c>
    </row>
    <row r="4767" spans="9:9" x14ac:dyDescent="0.25">
      <c r="I4767" s="227" t="str">
        <f>MID(excPisCofins[[#This Row],[CodBarras2]],2,50)</f>
        <v/>
      </c>
    </row>
    <row r="4768" spans="9:9" x14ac:dyDescent="0.25">
      <c r="I4768" s="227" t="str">
        <f>MID(excPisCofins[[#This Row],[CodBarras2]],2,50)</f>
        <v/>
      </c>
    </row>
    <row r="4769" spans="9:9" x14ac:dyDescent="0.25">
      <c r="I4769" s="227" t="str">
        <f>MID(excPisCofins[[#This Row],[CodBarras2]],2,50)</f>
        <v/>
      </c>
    </row>
    <row r="4770" spans="9:9" x14ac:dyDescent="0.25">
      <c r="I4770" s="227" t="str">
        <f>MID(excPisCofins[[#This Row],[CodBarras2]],2,50)</f>
        <v/>
      </c>
    </row>
    <row r="4771" spans="9:9" x14ac:dyDescent="0.25">
      <c r="I4771" s="227" t="str">
        <f>MID(excPisCofins[[#This Row],[CodBarras2]],2,50)</f>
        <v/>
      </c>
    </row>
    <row r="4772" spans="9:9" x14ac:dyDescent="0.25">
      <c r="I4772" s="227" t="str">
        <f>MID(excPisCofins[[#This Row],[CodBarras2]],2,50)</f>
        <v/>
      </c>
    </row>
    <row r="4773" spans="9:9" x14ac:dyDescent="0.25">
      <c r="I4773" s="227" t="str">
        <f>MID(excPisCofins[[#This Row],[CodBarras2]],2,50)</f>
        <v/>
      </c>
    </row>
    <row r="4774" spans="9:9" x14ac:dyDescent="0.25">
      <c r="I4774" s="227" t="str">
        <f>MID(excPisCofins[[#This Row],[CodBarras2]],2,50)</f>
        <v/>
      </c>
    </row>
    <row r="4775" spans="9:9" x14ac:dyDescent="0.25">
      <c r="I4775" s="227" t="str">
        <f>MID(excPisCofins[[#This Row],[CodBarras2]],2,50)</f>
        <v/>
      </c>
    </row>
    <row r="4776" spans="9:9" x14ac:dyDescent="0.25">
      <c r="I4776" s="227" t="str">
        <f>MID(excPisCofins[[#This Row],[CodBarras2]],2,50)</f>
        <v/>
      </c>
    </row>
    <row r="4777" spans="9:9" x14ac:dyDescent="0.25">
      <c r="I4777" s="227" t="str">
        <f>MID(excPisCofins[[#This Row],[CodBarras2]],2,50)</f>
        <v/>
      </c>
    </row>
    <row r="4778" spans="9:9" x14ac:dyDescent="0.25">
      <c r="I4778" s="227" t="str">
        <f>MID(excPisCofins[[#This Row],[CodBarras2]],2,50)</f>
        <v/>
      </c>
    </row>
    <row r="4779" spans="9:9" x14ac:dyDescent="0.25">
      <c r="I4779" s="227" t="str">
        <f>MID(excPisCofins[[#This Row],[CodBarras2]],2,50)</f>
        <v/>
      </c>
    </row>
    <row r="4780" spans="9:9" x14ac:dyDescent="0.25">
      <c r="I4780" s="227" t="str">
        <f>MID(excPisCofins[[#This Row],[CodBarras2]],2,50)</f>
        <v/>
      </c>
    </row>
    <row r="4781" spans="9:9" x14ac:dyDescent="0.25">
      <c r="I4781" s="227" t="str">
        <f>MID(excPisCofins[[#This Row],[CodBarras2]],2,50)</f>
        <v/>
      </c>
    </row>
    <row r="4782" spans="9:9" x14ac:dyDescent="0.25">
      <c r="I4782" s="227" t="str">
        <f>MID(excPisCofins[[#This Row],[CodBarras2]],2,50)</f>
        <v/>
      </c>
    </row>
    <row r="4783" spans="9:9" x14ac:dyDescent="0.25">
      <c r="I4783" s="227" t="str">
        <f>MID(excPisCofins[[#This Row],[CodBarras2]],2,50)</f>
        <v/>
      </c>
    </row>
    <row r="4784" spans="9:9" x14ac:dyDescent="0.25">
      <c r="I4784" s="227" t="str">
        <f>MID(excPisCofins[[#This Row],[CodBarras2]],2,50)</f>
        <v/>
      </c>
    </row>
    <row r="4785" spans="9:9" x14ac:dyDescent="0.25">
      <c r="I4785" s="227" t="str">
        <f>MID(excPisCofins[[#This Row],[CodBarras2]],2,50)</f>
        <v/>
      </c>
    </row>
    <row r="4786" spans="9:9" x14ac:dyDescent="0.25">
      <c r="I4786" s="227" t="str">
        <f>MID(excPisCofins[[#This Row],[CodBarras2]],2,50)</f>
        <v/>
      </c>
    </row>
    <row r="4787" spans="9:9" x14ac:dyDescent="0.25">
      <c r="I4787" s="227" t="str">
        <f>MID(excPisCofins[[#This Row],[CodBarras2]],2,50)</f>
        <v/>
      </c>
    </row>
    <row r="4788" spans="9:9" x14ac:dyDescent="0.25">
      <c r="I4788" s="227" t="str">
        <f>MID(excPisCofins[[#This Row],[CodBarras2]],2,50)</f>
        <v/>
      </c>
    </row>
    <row r="4789" spans="9:9" x14ac:dyDescent="0.25">
      <c r="I4789" s="227" t="str">
        <f>MID(excPisCofins[[#This Row],[CodBarras2]],2,50)</f>
        <v/>
      </c>
    </row>
    <row r="4790" spans="9:9" x14ac:dyDescent="0.25">
      <c r="I4790" s="227" t="str">
        <f>MID(excPisCofins[[#This Row],[CodBarras2]],2,50)</f>
        <v/>
      </c>
    </row>
    <row r="4791" spans="9:9" x14ac:dyDescent="0.25">
      <c r="I4791" s="227" t="str">
        <f>MID(excPisCofins[[#This Row],[CodBarras2]],2,50)</f>
        <v/>
      </c>
    </row>
    <row r="4792" spans="9:9" x14ac:dyDescent="0.25">
      <c r="I4792" s="227" t="str">
        <f>MID(excPisCofins[[#This Row],[CodBarras2]],2,50)</f>
        <v/>
      </c>
    </row>
    <row r="4793" spans="9:9" x14ac:dyDescent="0.25">
      <c r="I4793" s="227" t="str">
        <f>MID(excPisCofins[[#This Row],[CodBarras2]],2,50)</f>
        <v/>
      </c>
    </row>
    <row r="4794" spans="9:9" x14ac:dyDescent="0.25">
      <c r="I4794" s="227" t="str">
        <f>MID(excPisCofins[[#This Row],[CodBarras2]],2,50)</f>
        <v/>
      </c>
    </row>
    <row r="4795" spans="9:9" x14ac:dyDescent="0.25">
      <c r="I4795" s="227" t="str">
        <f>MID(excPisCofins[[#This Row],[CodBarras2]],2,50)</f>
        <v/>
      </c>
    </row>
    <row r="4796" spans="9:9" x14ac:dyDescent="0.25">
      <c r="I4796" s="227" t="str">
        <f>MID(excPisCofins[[#This Row],[CodBarras2]],2,50)</f>
        <v/>
      </c>
    </row>
    <row r="4797" spans="9:9" x14ac:dyDescent="0.25">
      <c r="I4797" s="227" t="str">
        <f>MID(excPisCofins[[#This Row],[CodBarras2]],2,50)</f>
        <v/>
      </c>
    </row>
    <row r="4798" spans="9:9" x14ac:dyDescent="0.25">
      <c r="I4798" s="227" t="str">
        <f>MID(excPisCofins[[#This Row],[CodBarras2]],2,50)</f>
        <v/>
      </c>
    </row>
    <row r="4799" spans="9:9" x14ac:dyDescent="0.25">
      <c r="I4799" s="227" t="str">
        <f>MID(excPisCofins[[#This Row],[CodBarras2]],2,50)</f>
        <v/>
      </c>
    </row>
    <row r="4800" spans="9:9" x14ac:dyDescent="0.25">
      <c r="I4800" s="227" t="str">
        <f>MID(excPisCofins[[#This Row],[CodBarras2]],2,50)</f>
        <v/>
      </c>
    </row>
    <row r="4801" spans="9:9" x14ac:dyDescent="0.25">
      <c r="I4801" s="227" t="str">
        <f>MID(excPisCofins[[#This Row],[CodBarras2]],2,50)</f>
        <v/>
      </c>
    </row>
    <row r="4802" spans="9:9" x14ac:dyDescent="0.25">
      <c r="I4802" s="227" t="str">
        <f>MID(excPisCofins[[#This Row],[CodBarras2]],2,50)</f>
        <v/>
      </c>
    </row>
    <row r="4803" spans="9:9" x14ac:dyDescent="0.25">
      <c r="I4803" s="227" t="str">
        <f>MID(excPisCofins[[#This Row],[CodBarras2]],2,50)</f>
        <v/>
      </c>
    </row>
    <row r="4804" spans="9:9" x14ac:dyDescent="0.25">
      <c r="I4804" s="227" t="str">
        <f>MID(excPisCofins[[#This Row],[CodBarras2]],2,50)</f>
        <v/>
      </c>
    </row>
    <row r="4805" spans="9:9" x14ac:dyDescent="0.25">
      <c r="I4805" s="227" t="str">
        <f>MID(excPisCofins[[#This Row],[CodBarras2]],2,50)</f>
        <v/>
      </c>
    </row>
    <row r="4806" spans="9:9" x14ac:dyDescent="0.25">
      <c r="I4806" s="227" t="str">
        <f>MID(excPisCofins[[#This Row],[CodBarras2]],2,50)</f>
        <v/>
      </c>
    </row>
    <row r="4807" spans="9:9" x14ac:dyDescent="0.25">
      <c r="I4807" s="227" t="str">
        <f>MID(excPisCofins[[#This Row],[CodBarras2]],2,50)</f>
        <v/>
      </c>
    </row>
    <row r="4808" spans="9:9" x14ac:dyDescent="0.25">
      <c r="I4808" s="227" t="str">
        <f>MID(excPisCofins[[#This Row],[CodBarras2]],2,50)</f>
        <v/>
      </c>
    </row>
    <row r="4809" spans="9:9" x14ac:dyDescent="0.25">
      <c r="I4809" s="227" t="str">
        <f>MID(excPisCofins[[#This Row],[CodBarras2]],2,50)</f>
        <v/>
      </c>
    </row>
    <row r="4810" spans="9:9" x14ac:dyDescent="0.25">
      <c r="I4810" s="227" t="str">
        <f>MID(excPisCofins[[#This Row],[CodBarras2]],2,50)</f>
        <v/>
      </c>
    </row>
    <row r="4811" spans="9:9" x14ac:dyDescent="0.25">
      <c r="I4811" s="227" t="str">
        <f>MID(excPisCofins[[#This Row],[CodBarras2]],2,50)</f>
        <v/>
      </c>
    </row>
    <row r="4812" spans="9:9" x14ac:dyDescent="0.25">
      <c r="I4812" s="227" t="str">
        <f>MID(excPisCofins[[#This Row],[CodBarras2]],2,50)</f>
        <v/>
      </c>
    </row>
    <row r="4813" spans="9:9" x14ac:dyDescent="0.25">
      <c r="I4813" s="227" t="str">
        <f>MID(excPisCofins[[#This Row],[CodBarras2]],2,50)</f>
        <v/>
      </c>
    </row>
    <row r="4814" spans="9:9" x14ac:dyDescent="0.25">
      <c r="I4814" s="227" t="str">
        <f>MID(excPisCofins[[#This Row],[CodBarras2]],2,50)</f>
        <v/>
      </c>
    </row>
    <row r="4815" spans="9:9" x14ac:dyDescent="0.25">
      <c r="I4815" s="227" t="str">
        <f>MID(excPisCofins[[#This Row],[CodBarras2]],2,50)</f>
        <v/>
      </c>
    </row>
    <row r="4816" spans="9:9" x14ac:dyDescent="0.25">
      <c r="I4816" s="227" t="str">
        <f>MID(excPisCofins[[#This Row],[CodBarras2]],2,50)</f>
        <v/>
      </c>
    </row>
    <row r="4817" spans="9:9" x14ac:dyDescent="0.25">
      <c r="I4817" s="227" t="str">
        <f>MID(excPisCofins[[#This Row],[CodBarras2]],2,50)</f>
        <v/>
      </c>
    </row>
    <row r="4818" spans="9:9" x14ac:dyDescent="0.25">
      <c r="I4818" s="227" t="str">
        <f>MID(excPisCofins[[#This Row],[CodBarras2]],2,50)</f>
        <v/>
      </c>
    </row>
    <row r="4819" spans="9:9" x14ac:dyDescent="0.25">
      <c r="I4819" s="227" t="str">
        <f>MID(excPisCofins[[#This Row],[CodBarras2]],2,50)</f>
        <v/>
      </c>
    </row>
    <row r="4820" spans="9:9" x14ac:dyDescent="0.25">
      <c r="I4820" s="227" t="str">
        <f>MID(excPisCofins[[#This Row],[CodBarras2]],2,50)</f>
        <v/>
      </c>
    </row>
    <row r="4821" spans="9:9" x14ac:dyDescent="0.25">
      <c r="I4821" s="227" t="str">
        <f>MID(excPisCofins[[#This Row],[CodBarras2]],2,50)</f>
        <v/>
      </c>
    </row>
    <row r="4822" spans="9:9" x14ac:dyDescent="0.25">
      <c r="I4822" s="227" t="str">
        <f>MID(excPisCofins[[#This Row],[CodBarras2]],2,50)</f>
        <v/>
      </c>
    </row>
    <row r="4823" spans="9:9" x14ac:dyDescent="0.25">
      <c r="I4823" s="227" t="str">
        <f>MID(excPisCofins[[#This Row],[CodBarras2]],2,50)</f>
        <v/>
      </c>
    </row>
    <row r="4824" spans="9:9" x14ac:dyDescent="0.25">
      <c r="I4824" s="227" t="str">
        <f>MID(excPisCofins[[#This Row],[CodBarras2]],2,50)</f>
        <v/>
      </c>
    </row>
    <row r="4825" spans="9:9" x14ac:dyDescent="0.25">
      <c r="I4825" s="227" t="str">
        <f>MID(excPisCofins[[#This Row],[CodBarras2]],2,50)</f>
        <v/>
      </c>
    </row>
    <row r="4826" spans="9:9" x14ac:dyDescent="0.25">
      <c r="I4826" s="227" t="str">
        <f>MID(excPisCofins[[#This Row],[CodBarras2]],2,50)</f>
        <v/>
      </c>
    </row>
    <row r="4827" spans="9:9" x14ac:dyDescent="0.25">
      <c r="I4827" s="227" t="str">
        <f>MID(excPisCofins[[#This Row],[CodBarras2]],2,50)</f>
        <v/>
      </c>
    </row>
    <row r="4828" spans="9:9" x14ac:dyDescent="0.25">
      <c r="I4828" s="227" t="str">
        <f>MID(excPisCofins[[#This Row],[CodBarras2]],2,50)</f>
        <v/>
      </c>
    </row>
    <row r="4829" spans="9:9" x14ac:dyDescent="0.25">
      <c r="I4829" s="227" t="str">
        <f>MID(excPisCofins[[#This Row],[CodBarras2]],2,50)</f>
        <v/>
      </c>
    </row>
    <row r="4830" spans="9:9" x14ac:dyDescent="0.25">
      <c r="I4830" s="227" t="str">
        <f>MID(excPisCofins[[#This Row],[CodBarras2]],2,50)</f>
        <v/>
      </c>
    </row>
    <row r="4831" spans="9:9" x14ac:dyDescent="0.25">
      <c r="I4831" s="227" t="str">
        <f>MID(excPisCofins[[#This Row],[CodBarras2]],2,50)</f>
        <v/>
      </c>
    </row>
    <row r="4832" spans="9:9" x14ac:dyDescent="0.25">
      <c r="I4832" s="227" t="str">
        <f>MID(excPisCofins[[#This Row],[CodBarras2]],2,50)</f>
        <v/>
      </c>
    </row>
    <row r="4833" spans="9:9" x14ac:dyDescent="0.25">
      <c r="I4833" s="227" t="str">
        <f>MID(excPisCofins[[#This Row],[CodBarras2]],2,50)</f>
        <v/>
      </c>
    </row>
    <row r="4834" spans="9:9" x14ac:dyDescent="0.25">
      <c r="I4834" s="227" t="str">
        <f>MID(excPisCofins[[#This Row],[CodBarras2]],2,50)</f>
        <v/>
      </c>
    </row>
    <row r="4835" spans="9:9" x14ac:dyDescent="0.25">
      <c r="I4835" s="227" t="str">
        <f>MID(excPisCofins[[#This Row],[CodBarras2]],2,50)</f>
        <v/>
      </c>
    </row>
    <row r="4836" spans="9:9" x14ac:dyDescent="0.25">
      <c r="I4836" s="227" t="str">
        <f>MID(excPisCofins[[#This Row],[CodBarras2]],2,50)</f>
        <v/>
      </c>
    </row>
    <row r="4837" spans="9:9" x14ac:dyDescent="0.25">
      <c r="I4837" s="227" t="str">
        <f>MID(excPisCofins[[#This Row],[CodBarras2]],2,50)</f>
        <v/>
      </c>
    </row>
    <row r="4838" spans="9:9" x14ac:dyDescent="0.25">
      <c r="I4838" s="227" t="str">
        <f>MID(excPisCofins[[#This Row],[CodBarras2]],2,50)</f>
        <v/>
      </c>
    </row>
    <row r="4839" spans="9:9" x14ac:dyDescent="0.25">
      <c r="I4839" s="227" t="str">
        <f>MID(excPisCofins[[#This Row],[CodBarras2]],2,50)</f>
        <v/>
      </c>
    </row>
    <row r="4840" spans="9:9" x14ac:dyDescent="0.25">
      <c r="I4840" s="227" t="str">
        <f>MID(excPisCofins[[#This Row],[CodBarras2]],2,50)</f>
        <v/>
      </c>
    </row>
    <row r="4841" spans="9:9" x14ac:dyDescent="0.25">
      <c r="I4841" s="227" t="str">
        <f>MID(excPisCofins[[#This Row],[CodBarras2]],2,50)</f>
        <v/>
      </c>
    </row>
    <row r="4842" spans="9:9" x14ac:dyDescent="0.25">
      <c r="I4842" s="227" t="str">
        <f>MID(excPisCofins[[#This Row],[CodBarras2]],2,50)</f>
        <v/>
      </c>
    </row>
    <row r="4843" spans="9:9" x14ac:dyDescent="0.25">
      <c r="I4843" s="227" t="str">
        <f>MID(excPisCofins[[#This Row],[CodBarras2]],2,50)</f>
        <v/>
      </c>
    </row>
    <row r="4844" spans="9:9" x14ac:dyDescent="0.25">
      <c r="I4844" s="227" t="str">
        <f>MID(excPisCofins[[#This Row],[CodBarras2]],2,50)</f>
        <v/>
      </c>
    </row>
    <row r="4845" spans="9:9" x14ac:dyDescent="0.25">
      <c r="I4845" s="227" t="str">
        <f>MID(excPisCofins[[#This Row],[CodBarras2]],2,50)</f>
        <v/>
      </c>
    </row>
    <row r="4846" spans="9:9" x14ac:dyDescent="0.25">
      <c r="I4846" s="227" t="str">
        <f>MID(excPisCofins[[#This Row],[CodBarras2]],2,50)</f>
        <v/>
      </c>
    </row>
    <row r="4847" spans="9:9" x14ac:dyDescent="0.25">
      <c r="I4847" s="227" t="str">
        <f>MID(excPisCofins[[#This Row],[CodBarras2]],2,50)</f>
        <v/>
      </c>
    </row>
    <row r="4848" spans="9:9" x14ac:dyDescent="0.25">
      <c r="I4848" s="227" t="str">
        <f>MID(excPisCofins[[#This Row],[CodBarras2]],2,50)</f>
        <v/>
      </c>
    </row>
    <row r="4849" spans="9:9" x14ac:dyDescent="0.25">
      <c r="I4849" s="227" t="str">
        <f>MID(excPisCofins[[#This Row],[CodBarras2]],2,50)</f>
        <v/>
      </c>
    </row>
    <row r="4850" spans="9:9" x14ac:dyDescent="0.25">
      <c r="I4850" s="227" t="str">
        <f>MID(excPisCofins[[#This Row],[CodBarras2]],2,50)</f>
        <v/>
      </c>
    </row>
    <row r="4851" spans="9:9" x14ac:dyDescent="0.25">
      <c r="I4851" s="227" t="str">
        <f>MID(excPisCofins[[#This Row],[CodBarras2]],2,50)</f>
        <v/>
      </c>
    </row>
    <row r="4852" spans="9:9" x14ac:dyDescent="0.25">
      <c r="I4852" s="227" t="str">
        <f>MID(excPisCofins[[#This Row],[CodBarras2]],2,50)</f>
        <v/>
      </c>
    </row>
    <row r="4853" spans="9:9" x14ac:dyDescent="0.25">
      <c r="I4853" s="227" t="str">
        <f>MID(excPisCofins[[#This Row],[CodBarras2]],2,50)</f>
        <v/>
      </c>
    </row>
    <row r="4854" spans="9:9" x14ac:dyDescent="0.25">
      <c r="I4854" s="227" t="str">
        <f>MID(excPisCofins[[#This Row],[CodBarras2]],2,50)</f>
        <v/>
      </c>
    </row>
    <row r="4855" spans="9:9" x14ac:dyDescent="0.25">
      <c r="I4855" s="227" t="str">
        <f>MID(excPisCofins[[#This Row],[CodBarras2]],2,50)</f>
        <v/>
      </c>
    </row>
    <row r="4856" spans="9:9" x14ac:dyDescent="0.25">
      <c r="I4856" s="227" t="str">
        <f>MID(excPisCofins[[#This Row],[CodBarras2]],2,50)</f>
        <v/>
      </c>
    </row>
    <row r="4857" spans="9:9" x14ac:dyDescent="0.25">
      <c r="I4857" s="227" t="str">
        <f>MID(excPisCofins[[#This Row],[CodBarras2]],2,50)</f>
        <v/>
      </c>
    </row>
    <row r="4858" spans="9:9" x14ac:dyDescent="0.25">
      <c r="I4858" s="227" t="str">
        <f>MID(excPisCofins[[#This Row],[CodBarras2]],2,50)</f>
        <v/>
      </c>
    </row>
    <row r="4859" spans="9:9" x14ac:dyDescent="0.25">
      <c r="I4859" s="227" t="str">
        <f>MID(excPisCofins[[#This Row],[CodBarras2]],2,50)</f>
        <v/>
      </c>
    </row>
    <row r="4860" spans="9:9" x14ac:dyDescent="0.25">
      <c r="I4860" s="227" t="str">
        <f>MID(excPisCofins[[#This Row],[CodBarras2]],2,50)</f>
        <v/>
      </c>
    </row>
    <row r="4861" spans="9:9" x14ac:dyDescent="0.25">
      <c r="I4861" s="227" t="str">
        <f>MID(excPisCofins[[#This Row],[CodBarras2]],2,50)</f>
        <v/>
      </c>
    </row>
    <row r="4862" spans="9:9" x14ac:dyDescent="0.25">
      <c r="I4862" s="227" t="str">
        <f>MID(excPisCofins[[#This Row],[CodBarras2]],2,50)</f>
        <v/>
      </c>
    </row>
    <row r="4863" spans="9:9" x14ac:dyDescent="0.25">
      <c r="I4863" s="227" t="str">
        <f>MID(excPisCofins[[#This Row],[CodBarras2]],2,50)</f>
        <v/>
      </c>
    </row>
    <row r="4864" spans="9:9" x14ac:dyDescent="0.25">
      <c r="I4864" s="227" t="str">
        <f>MID(excPisCofins[[#This Row],[CodBarras2]],2,50)</f>
        <v/>
      </c>
    </row>
    <row r="4865" spans="9:9" x14ac:dyDescent="0.25">
      <c r="I4865" s="227" t="str">
        <f>MID(excPisCofins[[#This Row],[CodBarras2]],2,50)</f>
        <v/>
      </c>
    </row>
    <row r="4866" spans="9:9" x14ac:dyDescent="0.25">
      <c r="I4866" s="227" t="str">
        <f>MID(excPisCofins[[#This Row],[CodBarras2]],2,50)</f>
        <v/>
      </c>
    </row>
    <row r="4867" spans="9:9" x14ac:dyDescent="0.25">
      <c r="I4867" s="227" t="str">
        <f>MID(excPisCofins[[#This Row],[CodBarras2]],2,50)</f>
        <v/>
      </c>
    </row>
    <row r="4868" spans="9:9" x14ac:dyDescent="0.25">
      <c r="I4868" s="227" t="str">
        <f>MID(excPisCofins[[#This Row],[CodBarras2]],2,50)</f>
        <v/>
      </c>
    </row>
    <row r="4869" spans="9:9" x14ac:dyDescent="0.25">
      <c r="I4869" s="227" t="str">
        <f>MID(excPisCofins[[#This Row],[CodBarras2]],2,50)</f>
        <v/>
      </c>
    </row>
    <row r="4870" spans="9:9" x14ac:dyDescent="0.25">
      <c r="I4870" s="227" t="str">
        <f>MID(excPisCofins[[#This Row],[CodBarras2]],2,50)</f>
        <v/>
      </c>
    </row>
    <row r="4871" spans="9:9" x14ac:dyDescent="0.25">
      <c r="I4871" s="227" t="str">
        <f>MID(excPisCofins[[#This Row],[CodBarras2]],2,50)</f>
        <v/>
      </c>
    </row>
    <row r="4872" spans="9:9" x14ac:dyDescent="0.25">
      <c r="I4872" s="227" t="str">
        <f>MID(excPisCofins[[#This Row],[CodBarras2]],2,50)</f>
        <v/>
      </c>
    </row>
    <row r="4873" spans="9:9" x14ac:dyDescent="0.25">
      <c r="I4873" s="227" t="str">
        <f>MID(excPisCofins[[#This Row],[CodBarras2]],2,50)</f>
        <v/>
      </c>
    </row>
    <row r="4874" spans="9:9" x14ac:dyDescent="0.25">
      <c r="I4874" s="227" t="str">
        <f>MID(excPisCofins[[#This Row],[CodBarras2]],2,50)</f>
        <v/>
      </c>
    </row>
    <row r="4875" spans="9:9" x14ac:dyDescent="0.25">
      <c r="I4875" s="227" t="str">
        <f>MID(excPisCofins[[#This Row],[CodBarras2]],2,50)</f>
        <v/>
      </c>
    </row>
    <row r="4876" spans="9:9" x14ac:dyDescent="0.25">
      <c r="I4876" s="227" t="str">
        <f>MID(excPisCofins[[#This Row],[CodBarras2]],2,50)</f>
        <v/>
      </c>
    </row>
    <row r="4877" spans="9:9" x14ac:dyDescent="0.25">
      <c r="I4877" s="227" t="str">
        <f>MID(excPisCofins[[#This Row],[CodBarras2]],2,50)</f>
        <v/>
      </c>
    </row>
    <row r="4878" spans="9:9" x14ac:dyDescent="0.25">
      <c r="I4878" s="227" t="str">
        <f>MID(excPisCofins[[#This Row],[CodBarras2]],2,50)</f>
        <v/>
      </c>
    </row>
    <row r="4879" spans="9:9" x14ac:dyDescent="0.25">
      <c r="I4879" s="227" t="str">
        <f>MID(excPisCofins[[#This Row],[CodBarras2]],2,50)</f>
        <v/>
      </c>
    </row>
    <row r="4880" spans="9:9" x14ac:dyDescent="0.25">
      <c r="I4880" s="227" t="str">
        <f>MID(excPisCofins[[#This Row],[CodBarras2]],2,50)</f>
        <v/>
      </c>
    </row>
    <row r="4881" spans="9:9" x14ac:dyDescent="0.25">
      <c r="I4881" s="227" t="str">
        <f>MID(excPisCofins[[#This Row],[CodBarras2]],2,50)</f>
        <v/>
      </c>
    </row>
    <row r="4882" spans="9:9" x14ac:dyDescent="0.25">
      <c r="I4882" s="227" t="str">
        <f>MID(excPisCofins[[#This Row],[CodBarras2]],2,50)</f>
        <v/>
      </c>
    </row>
    <row r="4883" spans="9:9" x14ac:dyDescent="0.25">
      <c r="I4883" s="227" t="str">
        <f>MID(excPisCofins[[#This Row],[CodBarras2]],2,50)</f>
        <v/>
      </c>
    </row>
    <row r="4884" spans="9:9" x14ac:dyDescent="0.25">
      <c r="I4884" s="227" t="str">
        <f>MID(excPisCofins[[#This Row],[CodBarras2]],2,50)</f>
        <v/>
      </c>
    </row>
    <row r="4885" spans="9:9" x14ac:dyDescent="0.25">
      <c r="I4885" s="227" t="str">
        <f>MID(excPisCofins[[#This Row],[CodBarras2]],2,50)</f>
        <v/>
      </c>
    </row>
    <row r="4886" spans="9:9" x14ac:dyDescent="0.25">
      <c r="I4886" s="227" t="str">
        <f>MID(excPisCofins[[#This Row],[CodBarras2]],2,50)</f>
        <v/>
      </c>
    </row>
    <row r="4887" spans="9:9" x14ac:dyDescent="0.25">
      <c r="I4887" s="227" t="str">
        <f>MID(excPisCofins[[#This Row],[CodBarras2]],2,50)</f>
        <v/>
      </c>
    </row>
    <row r="4888" spans="9:9" x14ac:dyDescent="0.25">
      <c r="I4888" s="227" t="str">
        <f>MID(excPisCofins[[#This Row],[CodBarras2]],2,50)</f>
        <v/>
      </c>
    </row>
    <row r="4889" spans="9:9" x14ac:dyDescent="0.25">
      <c r="I4889" s="227" t="str">
        <f>MID(excPisCofins[[#This Row],[CodBarras2]],2,50)</f>
        <v/>
      </c>
    </row>
    <row r="4890" spans="9:9" x14ac:dyDescent="0.25">
      <c r="I4890" s="227" t="str">
        <f>MID(excPisCofins[[#This Row],[CodBarras2]],2,50)</f>
        <v/>
      </c>
    </row>
    <row r="4891" spans="9:9" x14ac:dyDescent="0.25">
      <c r="I4891" s="227" t="str">
        <f>MID(excPisCofins[[#This Row],[CodBarras2]],2,50)</f>
        <v/>
      </c>
    </row>
    <row r="4892" spans="9:9" x14ac:dyDescent="0.25">
      <c r="I4892" s="227" t="str">
        <f>MID(excPisCofins[[#This Row],[CodBarras2]],2,50)</f>
        <v/>
      </c>
    </row>
    <row r="4893" spans="9:9" x14ac:dyDescent="0.25">
      <c r="I4893" s="227" t="str">
        <f>MID(excPisCofins[[#This Row],[CodBarras2]],2,50)</f>
        <v/>
      </c>
    </row>
    <row r="4894" spans="9:9" x14ac:dyDescent="0.25">
      <c r="I4894" s="227" t="str">
        <f>MID(excPisCofins[[#This Row],[CodBarras2]],2,50)</f>
        <v/>
      </c>
    </row>
    <row r="4895" spans="9:9" x14ac:dyDescent="0.25">
      <c r="I4895" s="227" t="str">
        <f>MID(excPisCofins[[#This Row],[CodBarras2]],2,50)</f>
        <v/>
      </c>
    </row>
    <row r="4896" spans="9:9" x14ac:dyDescent="0.25">
      <c r="I4896" s="227" t="str">
        <f>MID(excPisCofins[[#This Row],[CodBarras2]],2,50)</f>
        <v/>
      </c>
    </row>
    <row r="4897" spans="9:9" x14ac:dyDescent="0.25">
      <c r="I4897" s="227" t="str">
        <f>MID(excPisCofins[[#This Row],[CodBarras2]],2,50)</f>
        <v/>
      </c>
    </row>
    <row r="4898" spans="9:9" x14ac:dyDescent="0.25">
      <c r="I4898" s="227" t="str">
        <f>MID(excPisCofins[[#This Row],[CodBarras2]],2,50)</f>
        <v/>
      </c>
    </row>
    <row r="4899" spans="9:9" x14ac:dyDescent="0.25">
      <c r="I4899" s="227" t="str">
        <f>MID(excPisCofins[[#This Row],[CodBarras2]],2,50)</f>
        <v/>
      </c>
    </row>
    <row r="4900" spans="9:9" x14ac:dyDescent="0.25">
      <c r="I4900" s="227" t="str">
        <f>MID(excPisCofins[[#This Row],[CodBarras2]],2,50)</f>
        <v/>
      </c>
    </row>
    <row r="4901" spans="9:9" x14ac:dyDescent="0.25">
      <c r="I4901" s="227" t="str">
        <f>MID(excPisCofins[[#This Row],[CodBarras2]],2,50)</f>
        <v/>
      </c>
    </row>
    <row r="4902" spans="9:9" x14ac:dyDescent="0.25">
      <c r="I4902" s="227" t="str">
        <f>MID(excPisCofins[[#This Row],[CodBarras2]],2,50)</f>
        <v/>
      </c>
    </row>
    <row r="4903" spans="9:9" x14ac:dyDescent="0.25">
      <c r="I4903" s="227" t="str">
        <f>MID(excPisCofins[[#This Row],[CodBarras2]],2,50)</f>
        <v/>
      </c>
    </row>
    <row r="4904" spans="9:9" x14ac:dyDescent="0.25">
      <c r="I4904" s="227" t="str">
        <f>MID(excPisCofins[[#This Row],[CodBarras2]],2,50)</f>
        <v/>
      </c>
    </row>
    <row r="4905" spans="9:9" x14ac:dyDescent="0.25">
      <c r="I4905" s="227" t="str">
        <f>MID(excPisCofins[[#This Row],[CodBarras2]],2,50)</f>
        <v/>
      </c>
    </row>
    <row r="4906" spans="9:9" x14ac:dyDescent="0.25">
      <c r="I4906" s="227" t="str">
        <f>MID(excPisCofins[[#This Row],[CodBarras2]],2,50)</f>
        <v/>
      </c>
    </row>
    <row r="4907" spans="9:9" x14ac:dyDescent="0.25">
      <c r="I4907" s="227" t="str">
        <f>MID(excPisCofins[[#This Row],[CodBarras2]],2,50)</f>
        <v/>
      </c>
    </row>
    <row r="4908" spans="9:9" x14ac:dyDescent="0.25">
      <c r="I4908" s="227" t="str">
        <f>MID(excPisCofins[[#This Row],[CodBarras2]],2,50)</f>
        <v/>
      </c>
    </row>
    <row r="4909" spans="9:9" x14ac:dyDescent="0.25">
      <c r="I4909" s="227" t="str">
        <f>MID(excPisCofins[[#This Row],[CodBarras2]],2,50)</f>
        <v/>
      </c>
    </row>
    <row r="4910" spans="9:9" x14ac:dyDescent="0.25">
      <c r="I4910" s="227" t="str">
        <f>MID(excPisCofins[[#This Row],[CodBarras2]],2,50)</f>
        <v/>
      </c>
    </row>
    <row r="4911" spans="9:9" x14ac:dyDescent="0.25">
      <c r="I4911" s="227" t="str">
        <f>MID(excPisCofins[[#This Row],[CodBarras2]],2,50)</f>
        <v/>
      </c>
    </row>
    <row r="4912" spans="9:9" x14ac:dyDescent="0.25">
      <c r="I4912" s="227" t="str">
        <f>MID(excPisCofins[[#This Row],[CodBarras2]],2,50)</f>
        <v/>
      </c>
    </row>
    <row r="4913" spans="9:9" x14ac:dyDescent="0.25">
      <c r="I4913" s="227" t="str">
        <f>MID(excPisCofins[[#This Row],[CodBarras2]],2,50)</f>
        <v/>
      </c>
    </row>
    <row r="4914" spans="9:9" x14ac:dyDescent="0.25">
      <c r="I4914" s="227" t="str">
        <f>MID(excPisCofins[[#This Row],[CodBarras2]],2,50)</f>
        <v/>
      </c>
    </row>
    <row r="4915" spans="9:9" x14ac:dyDescent="0.25">
      <c r="I4915" s="227" t="str">
        <f>MID(excPisCofins[[#This Row],[CodBarras2]],2,50)</f>
        <v/>
      </c>
    </row>
    <row r="4916" spans="9:9" x14ac:dyDescent="0.25">
      <c r="I4916" s="227" t="str">
        <f>MID(excPisCofins[[#This Row],[CodBarras2]],2,50)</f>
        <v/>
      </c>
    </row>
    <row r="4917" spans="9:9" x14ac:dyDescent="0.25">
      <c r="I4917" s="227" t="str">
        <f>MID(excPisCofins[[#This Row],[CodBarras2]],2,50)</f>
        <v/>
      </c>
    </row>
    <row r="4918" spans="9:9" x14ac:dyDescent="0.25">
      <c r="I4918" s="227" t="str">
        <f>MID(excPisCofins[[#This Row],[CodBarras2]],2,50)</f>
        <v/>
      </c>
    </row>
    <row r="4919" spans="9:9" x14ac:dyDescent="0.25">
      <c r="I4919" s="227" t="str">
        <f>MID(excPisCofins[[#This Row],[CodBarras2]],2,50)</f>
        <v/>
      </c>
    </row>
    <row r="4920" spans="9:9" x14ac:dyDescent="0.25">
      <c r="I4920" s="227" t="str">
        <f>MID(excPisCofins[[#This Row],[CodBarras2]],2,50)</f>
        <v/>
      </c>
    </row>
    <row r="4921" spans="9:9" x14ac:dyDescent="0.25">
      <c r="I4921" s="227" t="str">
        <f>MID(excPisCofins[[#This Row],[CodBarras2]],2,50)</f>
        <v/>
      </c>
    </row>
    <row r="4922" spans="9:9" x14ac:dyDescent="0.25">
      <c r="I4922" s="227" t="str">
        <f>MID(excPisCofins[[#This Row],[CodBarras2]],2,50)</f>
        <v/>
      </c>
    </row>
    <row r="4923" spans="9:9" x14ac:dyDescent="0.25">
      <c r="I4923" s="227" t="str">
        <f>MID(excPisCofins[[#This Row],[CodBarras2]],2,50)</f>
        <v/>
      </c>
    </row>
    <row r="4924" spans="9:9" x14ac:dyDescent="0.25">
      <c r="I4924" s="227" t="str">
        <f>MID(excPisCofins[[#This Row],[CodBarras2]],2,50)</f>
        <v/>
      </c>
    </row>
    <row r="4925" spans="9:9" x14ac:dyDescent="0.25">
      <c r="I4925" s="227" t="str">
        <f>MID(excPisCofins[[#This Row],[CodBarras2]],2,50)</f>
        <v/>
      </c>
    </row>
    <row r="4926" spans="9:9" x14ac:dyDescent="0.25">
      <c r="I4926" s="227" t="str">
        <f>MID(excPisCofins[[#This Row],[CodBarras2]],2,50)</f>
        <v/>
      </c>
    </row>
    <row r="4927" spans="9:9" x14ac:dyDescent="0.25">
      <c r="I4927" s="227" t="str">
        <f>MID(excPisCofins[[#This Row],[CodBarras2]],2,50)</f>
        <v/>
      </c>
    </row>
    <row r="4928" spans="9:9" x14ac:dyDescent="0.25">
      <c r="I4928" s="227" t="str">
        <f>MID(excPisCofins[[#This Row],[CodBarras2]],2,50)</f>
        <v/>
      </c>
    </row>
    <row r="4929" spans="9:9" x14ac:dyDescent="0.25">
      <c r="I4929" s="227" t="str">
        <f>MID(excPisCofins[[#This Row],[CodBarras2]],2,50)</f>
        <v/>
      </c>
    </row>
    <row r="4930" spans="9:9" x14ac:dyDescent="0.25">
      <c r="I4930" s="227" t="str">
        <f>MID(excPisCofins[[#This Row],[CodBarras2]],2,50)</f>
        <v/>
      </c>
    </row>
    <row r="4931" spans="9:9" x14ac:dyDescent="0.25">
      <c r="I4931" s="227" t="str">
        <f>MID(excPisCofins[[#This Row],[CodBarras2]],2,50)</f>
        <v/>
      </c>
    </row>
    <row r="4932" spans="9:9" x14ac:dyDescent="0.25">
      <c r="I4932" s="227" t="str">
        <f>MID(excPisCofins[[#This Row],[CodBarras2]],2,50)</f>
        <v/>
      </c>
    </row>
    <row r="4933" spans="9:9" x14ac:dyDescent="0.25">
      <c r="I4933" s="227" t="str">
        <f>MID(excPisCofins[[#This Row],[CodBarras2]],2,50)</f>
        <v/>
      </c>
    </row>
    <row r="4934" spans="9:9" x14ac:dyDescent="0.25">
      <c r="I4934" s="227" t="str">
        <f>MID(excPisCofins[[#This Row],[CodBarras2]],2,50)</f>
        <v/>
      </c>
    </row>
    <row r="4935" spans="9:9" x14ac:dyDescent="0.25">
      <c r="I4935" s="227" t="str">
        <f>MID(excPisCofins[[#This Row],[CodBarras2]],2,50)</f>
        <v/>
      </c>
    </row>
    <row r="4936" spans="9:9" x14ac:dyDescent="0.25">
      <c r="I4936" s="227" t="str">
        <f>MID(excPisCofins[[#This Row],[CodBarras2]],2,50)</f>
        <v/>
      </c>
    </row>
    <row r="4937" spans="9:9" x14ac:dyDescent="0.25">
      <c r="I4937" s="227" t="str">
        <f>MID(excPisCofins[[#This Row],[CodBarras2]],2,50)</f>
        <v/>
      </c>
    </row>
    <row r="4938" spans="9:9" x14ac:dyDescent="0.25">
      <c r="I4938" s="227" t="str">
        <f>MID(excPisCofins[[#This Row],[CodBarras2]],2,50)</f>
        <v/>
      </c>
    </row>
    <row r="4939" spans="9:9" x14ac:dyDescent="0.25">
      <c r="I4939" s="227" t="str">
        <f>MID(excPisCofins[[#This Row],[CodBarras2]],2,50)</f>
        <v/>
      </c>
    </row>
    <row r="4940" spans="9:9" x14ac:dyDescent="0.25">
      <c r="I4940" s="227" t="str">
        <f>MID(excPisCofins[[#This Row],[CodBarras2]],2,50)</f>
        <v/>
      </c>
    </row>
    <row r="4941" spans="9:9" x14ac:dyDescent="0.25">
      <c r="I4941" s="227" t="str">
        <f>MID(excPisCofins[[#This Row],[CodBarras2]],2,50)</f>
        <v/>
      </c>
    </row>
    <row r="4942" spans="9:9" x14ac:dyDescent="0.25">
      <c r="I4942" s="227" t="str">
        <f>MID(excPisCofins[[#This Row],[CodBarras2]],2,50)</f>
        <v/>
      </c>
    </row>
    <row r="4943" spans="9:9" x14ac:dyDescent="0.25">
      <c r="I4943" s="227" t="str">
        <f>MID(excPisCofins[[#This Row],[CodBarras2]],2,50)</f>
        <v/>
      </c>
    </row>
    <row r="4944" spans="9:9" x14ac:dyDescent="0.25">
      <c r="I4944" s="227" t="str">
        <f>MID(excPisCofins[[#This Row],[CodBarras2]],2,50)</f>
        <v/>
      </c>
    </row>
    <row r="4945" spans="9:9" x14ac:dyDescent="0.25">
      <c r="I4945" s="227" t="str">
        <f>MID(excPisCofins[[#This Row],[CodBarras2]],2,50)</f>
        <v/>
      </c>
    </row>
    <row r="4946" spans="9:9" x14ac:dyDescent="0.25">
      <c r="I4946" s="227" t="str">
        <f>MID(excPisCofins[[#This Row],[CodBarras2]],2,50)</f>
        <v/>
      </c>
    </row>
    <row r="4947" spans="9:9" x14ac:dyDescent="0.25">
      <c r="I4947" s="227" t="str">
        <f>MID(excPisCofins[[#This Row],[CodBarras2]],2,50)</f>
        <v/>
      </c>
    </row>
    <row r="4948" spans="9:9" x14ac:dyDescent="0.25">
      <c r="I4948" s="227" t="str">
        <f>MID(excPisCofins[[#This Row],[CodBarras2]],2,50)</f>
        <v/>
      </c>
    </row>
    <row r="4949" spans="9:9" x14ac:dyDescent="0.25">
      <c r="I4949" s="227" t="str">
        <f>MID(excPisCofins[[#This Row],[CodBarras2]],2,50)</f>
        <v/>
      </c>
    </row>
    <row r="4950" spans="9:9" x14ac:dyDescent="0.25">
      <c r="I4950" s="227" t="str">
        <f>MID(excPisCofins[[#This Row],[CodBarras2]],2,50)</f>
        <v/>
      </c>
    </row>
    <row r="4951" spans="9:9" x14ac:dyDescent="0.25">
      <c r="I4951" s="227" t="str">
        <f>MID(excPisCofins[[#This Row],[CodBarras2]],2,50)</f>
        <v/>
      </c>
    </row>
    <row r="4952" spans="9:9" x14ac:dyDescent="0.25">
      <c r="I4952" s="227" t="str">
        <f>MID(excPisCofins[[#This Row],[CodBarras2]],2,50)</f>
        <v/>
      </c>
    </row>
    <row r="4953" spans="9:9" x14ac:dyDescent="0.25">
      <c r="I4953" s="227" t="str">
        <f>MID(excPisCofins[[#This Row],[CodBarras2]],2,50)</f>
        <v/>
      </c>
    </row>
    <row r="4954" spans="9:9" x14ac:dyDescent="0.25">
      <c r="I4954" s="227" t="str">
        <f>MID(excPisCofins[[#This Row],[CodBarras2]],2,50)</f>
        <v/>
      </c>
    </row>
    <row r="4955" spans="9:9" x14ac:dyDescent="0.25">
      <c r="I4955" s="227" t="str">
        <f>MID(excPisCofins[[#This Row],[CodBarras2]],2,50)</f>
        <v/>
      </c>
    </row>
    <row r="4956" spans="9:9" x14ac:dyDescent="0.25">
      <c r="I4956" s="227" t="str">
        <f>MID(excPisCofins[[#This Row],[CodBarras2]],2,50)</f>
        <v/>
      </c>
    </row>
    <row r="4957" spans="9:9" x14ac:dyDescent="0.25">
      <c r="I4957" s="227" t="str">
        <f>MID(excPisCofins[[#This Row],[CodBarras2]],2,50)</f>
        <v/>
      </c>
    </row>
    <row r="4958" spans="9:9" x14ac:dyDescent="0.25">
      <c r="I4958" s="227" t="str">
        <f>MID(excPisCofins[[#This Row],[CodBarras2]],2,50)</f>
        <v/>
      </c>
    </row>
    <row r="4959" spans="9:9" x14ac:dyDescent="0.25">
      <c r="I4959" s="227" t="str">
        <f>MID(excPisCofins[[#This Row],[CodBarras2]],2,50)</f>
        <v/>
      </c>
    </row>
    <row r="4960" spans="9:9" x14ac:dyDescent="0.25">
      <c r="I4960" s="227" t="str">
        <f>MID(excPisCofins[[#This Row],[CodBarras2]],2,50)</f>
        <v/>
      </c>
    </row>
    <row r="4961" spans="9:9" x14ac:dyDescent="0.25">
      <c r="I4961" s="227" t="str">
        <f>MID(excPisCofins[[#This Row],[CodBarras2]],2,50)</f>
        <v/>
      </c>
    </row>
    <row r="4962" spans="9:9" x14ac:dyDescent="0.25">
      <c r="I4962" s="227" t="str">
        <f>MID(excPisCofins[[#This Row],[CodBarras2]],2,50)</f>
        <v/>
      </c>
    </row>
    <row r="4963" spans="9:9" x14ac:dyDescent="0.25">
      <c r="I4963" s="227" t="str">
        <f>MID(excPisCofins[[#This Row],[CodBarras2]],2,50)</f>
        <v/>
      </c>
    </row>
    <row r="4964" spans="9:9" x14ac:dyDescent="0.25">
      <c r="I4964" s="227" t="str">
        <f>MID(excPisCofins[[#This Row],[CodBarras2]],2,50)</f>
        <v/>
      </c>
    </row>
    <row r="4965" spans="9:9" x14ac:dyDescent="0.25">
      <c r="I4965" s="227" t="str">
        <f>MID(excPisCofins[[#This Row],[CodBarras2]],2,50)</f>
        <v/>
      </c>
    </row>
    <row r="4966" spans="9:9" x14ac:dyDescent="0.25">
      <c r="I4966" s="227" t="str">
        <f>MID(excPisCofins[[#This Row],[CodBarras2]],2,50)</f>
        <v/>
      </c>
    </row>
    <row r="4967" spans="9:9" x14ac:dyDescent="0.25">
      <c r="I4967" s="227" t="str">
        <f>MID(excPisCofins[[#This Row],[CodBarras2]],2,50)</f>
        <v/>
      </c>
    </row>
    <row r="4968" spans="9:9" x14ac:dyDescent="0.25">
      <c r="I4968" s="227" t="str">
        <f>MID(excPisCofins[[#This Row],[CodBarras2]],2,50)</f>
        <v/>
      </c>
    </row>
    <row r="4969" spans="9:9" x14ac:dyDescent="0.25">
      <c r="I4969" s="227" t="str">
        <f>MID(excPisCofins[[#This Row],[CodBarras2]],2,50)</f>
        <v/>
      </c>
    </row>
    <row r="4970" spans="9:9" x14ac:dyDescent="0.25">
      <c r="I4970" s="227" t="str">
        <f>MID(excPisCofins[[#This Row],[CodBarras2]],2,50)</f>
        <v/>
      </c>
    </row>
    <row r="4971" spans="9:9" x14ac:dyDescent="0.25">
      <c r="I4971" s="227" t="str">
        <f>MID(excPisCofins[[#This Row],[CodBarras2]],2,50)</f>
        <v/>
      </c>
    </row>
    <row r="4972" spans="9:9" x14ac:dyDescent="0.25">
      <c r="I4972" s="227" t="str">
        <f>MID(excPisCofins[[#This Row],[CodBarras2]],2,50)</f>
        <v/>
      </c>
    </row>
    <row r="4973" spans="9:9" x14ac:dyDescent="0.25">
      <c r="I4973" s="227" t="str">
        <f>MID(excPisCofins[[#This Row],[CodBarras2]],2,50)</f>
        <v/>
      </c>
    </row>
    <row r="4974" spans="9:9" x14ac:dyDescent="0.25">
      <c r="I4974" s="227" t="str">
        <f>MID(excPisCofins[[#This Row],[CodBarras2]],2,50)</f>
        <v/>
      </c>
    </row>
    <row r="4975" spans="9:9" x14ac:dyDescent="0.25">
      <c r="I4975" s="227" t="str">
        <f>MID(excPisCofins[[#This Row],[CodBarras2]],2,50)</f>
        <v/>
      </c>
    </row>
    <row r="4976" spans="9:9" x14ac:dyDescent="0.25">
      <c r="I4976" s="227" t="str">
        <f>MID(excPisCofins[[#This Row],[CodBarras2]],2,50)</f>
        <v/>
      </c>
    </row>
    <row r="4977" spans="9:9" x14ac:dyDescent="0.25">
      <c r="I4977" s="227" t="str">
        <f>MID(excPisCofins[[#This Row],[CodBarras2]],2,50)</f>
        <v/>
      </c>
    </row>
    <row r="4978" spans="9:9" x14ac:dyDescent="0.25">
      <c r="I4978" s="227" t="str">
        <f>MID(excPisCofins[[#This Row],[CodBarras2]],2,50)</f>
        <v/>
      </c>
    </row>
    <row r="4979" spans="9:9" x14ac:dyDescent="0.25">
      <c r="I4979" s="227" t="str">
        <f>MID(excPisCofins[[#This Row],[CodBarras2]],2,50)</f>
        <v/>
      </c>
    </row>
    <row r="4980" spans="9:9" x14ac:dyDescent="0.25">
      <c r="I4980" s="227" t="str">
        <f>MID(excPisCofins[[#This Row],[CodBarras2]],2,50)</f>
        <v/>
      </c>
    </row>
    <row r="4981" spans="9:9" x14ac:dyDescent="0.25">
      <c r="I4981" s="227" t="str">
        <f>MID(excPisCofins[[#This Row],[CodBarras2]],2,50)</f>
        <v/>
      </c>
    </row>
    <row r="4982" spans="9:9" x14ac:dyDescent="0.25">
      <c r="I4982" s="227" t="str">
        <f>MID(excPisCofins[[#This Row],[CodBarras2]],2,50)</f>
        <v/>
      </c>
    </row>
    <row r="4983" spans="9:9" x14ac:dyDescent="0.25">
      <c r="I4983" s="227" t="str">
        <f>MID(excPisCofins[[#This Row],[CodBarras2]],2,50)</f>
        <v/>
      </c>
    </row>
    <row r="4984" spans="9:9" x14ac:dyDescent="0.25">
      <c r="I4984" s="227" t="str">
        <f>MID(excPisCofins[[#This Row],[CodBarras2]],2,50)</f>
        <v/>
      </c>
    </row>
    <row r="4985" spans="9:9" x14ac:dyDescent="0.25">
      <c r="I4985" s="227" t="str">
        <f>MID(excPisCofins[[#This Row],[CodBarras2]],2,50)</f>
        <v/>
      </c>
    </row>
    <row r="4986" spans="9:9" x14ac:dyDescent="0.25">
      <c r="I4986" s="227" t="str">
        <f>MID(excPisCofins[[#This Row],[CodBarras2]],2,50)</f>
        <v/>
      </c>
    </row>
    <row r="4987" spans="9:9" x14ac:dyDescent="0.25">
      <c r="I4987" s="227" t="str">
        <f>MID(excPisCofins[[#This Row],[CodBarras2]],2,50)</f>
        <v/>
      </c>
    </row>
    <row r="4988" spans="9:9" x14ac:dyDescent="0.25">
      <c r="I4988" s="227" t="str">
        <f>MID(excPisCofins[[#This Row],[CodBarras2]],2,50)</f>
        <v/>
      </c>
    </row>
    <row r="4989" spans="9:9" x14ac:dyDescent="0.25">
      <c r="I4989" s="227" t="str">
        <f>MID(excPisCofins[[#This Row],[CodBarras2]],2,50)</f>
        <v/>
      </c>
    </row>
    <row r="4990" spans="9:9" x14ac:dyDescent="0.25">
      <c r="I4990" s="227" t="str">
        <f>MID(excPisCofins[[#This Row],[CodBarras2]],2,50)</f>
        <v/>
      </c>
    </row>
    <row r="4991" spans="9:9" x14ac:dyDescent="0.25">
      <c r="I4991" s="227" t="str">
        <f>MID(excPisCofins[[#This Row],[CodBarras2]],2,50)</f>
        <v/>
      </c>
    </row>
    <row r="4992" spans="9:9" x14ac:dyDescent="0.25">
      <c r="I4992" s="227" t="str">
        <f>MID(excPisCofins[[#This Row],[CodBarras2]],2,50)</f>
        <v/>
      </c>
    </row>
    <row r="4993" spans="9:9" x14ac:dyDescent="0.25">
      <c r="I4993" s="227" t="str">
        <f>MID(excPisCofins[[#This Row],[CodBarras2]],2,50)</f>
        <v/>
      </c>
    </row>
    <row r="4994" spans="9:9" x14ac:dyDescent="0.25">
      <c r="I4994" s="227" t="str">
        <f>MID(excPisCofins[[#This Row],[CodBarras2]],2,50)</f>
        <v/>
      </c>
    </row>
    <row r="4995" spans="9:9" x14ac:dyDescent="0.25">
      <c r="I4995" s="227" t="str">
        <f>MID(excPisCofins[[#This Row],[CodBarras2]],2,50)</f>
        <v/>
      </c>
    </row>
    <row r="4996" spans="9:9" x14ac:dyDescent="0.25">
      <c r="I4996" s="227" t="str">
        <f>MID(excPisCofins[[#This Row],[CodBarras2]],2,50)</f>
        <v/>
      </c>
    </row>
    <row r="4997" spans="9:9" x14ac:dyDescent="0.25">
      <c r="I4997" s="227" t="str">
        <f>MID(excPisCofins[[#This Row],[CodBarras2]],2,50)</f>
        <v/>
      </c>
    </row>
    <row r="4998" spans="9:9" x14ac:dyDescent="0.25">
      <c r="I4998" s="227" t="str">
        <f>MID(excPisCofins[[#This Row],[CodBarras2]],2,50)</f>
        <v/>
      </c>
    </row>
    <row r="4999" spans="9:9" x14ac:dyDescent="0.25">
      <c r="I4999" s="227" t="str">
        <f>MID(excPisCofins[[#This Row],[CodBarras2]],2,50)</f>
        <v/>
      </c>
    </row>
    <row r="5000" spans="9:9" x14ac:dyDescent="0.25">
      <c r="I5000" s="227" t="str">
        <f>MID(excPisCofins[[#This Row],[CodBarras2]],2,50)</f>
        <v/>
      </c>
    </row>
    <row r="5001" spans="9:9" x14ac:dyDescent="0.25">
      <c r="I5001" s="227" t="str">
        <f>MID(excPisCofins[[#This Row],[CodBarras2]],2,50)</f>
        <v/>
      </c>
    </row>
    <row r="5002" spans="9:9" x14ac:dyDescent="0.25">
      <c r="I5002" s="227" t="str">
        <f>MID(excPisCofins[[#This Row],[CodBarras2]],2,50)</f>
        <v/>
      </c>
    </row>
    <row r="5003" spans="9:9" x14ac:dyDescent="0.25">
      <c r="I5003" s="227" t="str">
        <f>MID(excPisCofins[[#This Row],[CodBarras2]],2,50)</f>
        <v/>
      </c>
    </row>
    <row r="5004" spans="9:9" x14ac:dyDescent="0.25">
      <c r="I5004" s="227" t="str">
        <f>MID(excPisCofins[[#This Row],[CodBarras2]],2,50)</f>
        <v/>
      </c>
    </row>
    <row r="5005" spans="9:9" x14ac:dyDescent="0.25">
      <c r="I5005" s="227" t="str">
        <f>MID(excPisCofins[[#This Row],[CodBarras2]],2,50)</f>
        <v/>
      </c>
    </row>
    <row r="5006" spans="9:9" x14ac:dyDescent="0.25">
      <c r="I5006" s="227" t="str">
        <f>MID(excPisCofins[[#This Row],[CodBarras2]],2,50)</f>
        <v/>
      </c>
    </row>
    <row r="5007" spans="9:9" x14ac:dyDescent="0.25">
      <c r="I5007" s="227" t="str">
        <f>MID(excPisCofins[[#This Row],[CodBarras2]],2,50)</f>
        <v/>
      </c>
    </row>
    <row r="5008" spans="9:9" x14ac:dyDescent="0.25">
      <c r="I5008" s="227" t="str">
        <f>MID(excPisCofins[[#This Row],[CodBarras2]],2,50)</f>
        <v/>
      </c>
    </row>
    <row r="5009" spans="9:9" x14ac:dyDescent="0.25">
      <c r="I5009" s="227" t="str">
        <f>MID(excPisCofins[[#This Row],[CodBarras2]],2,50)</f>
        <v/>
      </c>
    </row>
    <row r="5010" spans="9:9" x14ac:dyDescent="0.25">
      <c r="I5010" s="227" t="str">
        <f>MID(excPisCofins[[#This Row],[CodBarras2]],2,50)</f>
        <v/>
      </c>
    </row>
    <row r="5011" spans="9:9" x14ac:dyDescent="0.25">
      <c r="I5011" s="227" t="str">
        <f>MID(excPisCofins[[#This Row],[CodBarras2]],2,50)</f>
        <v/>
      </c>
    </row>
    <row r="5012" spans="9:9" x14ac:dyDescent="0.25">
      <c r="I5012" s="227" t="str">
        <f>MID(excPisCofins[[#This Row],[CodBarras2]],2,50)</f>
        <v/>
      </c>
    </row>
    <row r="5013" spans="9:9" x14ac:dyDescent="0.25">
      <c r="I5013" s="227" t="str">
        <f>MID(excPisCofins[[#This Row],[CodBarras2]],2,50)</f>
        <v/>
      </c>
    </row>
    <row r="5014" spans="9:9" x14ac:dyDescent="0.25">
      <c r="I5014" s="227" t="str">
        <f>MID(excPisCofins[[#This Row],[CodBarras2]],2,50)</f>
        <v/>
      </c>
    </row>
    <row r="5015" spans="9:9" x14ac:dyDescent="0.25">
      <c r="I5015" s="227" t="str">
        <f>MID(excPisCofins[[#This Row],[CodBarras2]],2,50)</f>
        <v/>
      </c>
    </row>
    <row r="5016" spans="9:9" x14ac:dyDescent="0.25">
      <c r="I5016" s="227" t="str">
        <f>MID(excPisCofins[[#This Row],[CodBarras2]],2,50)</f>
        <v/>
      </c>
    </row>
    <row r="5017" spans="9:9" x14ac:dyDescent="0.25">
      <c r="I5017" s="227" t="str">
        <f>MID(excPisCofins[[#This Row],[CodBarras2]],2,50)</f>
        <v/>
      </c>
    </row>
    <row r="5018" spans="9:9" x14ac:dyDescent="0.25">
      <c r="I5018" s="227" t="str">
        <f>MID(excPisCofins[[#This Row],[CodBarras2]],2,50)</f>
        <v/>
      </c>
    </row>
    <row r="5019" spans="9:9" x14ac:dyDescent="0.25">
      <c r="I5019" s="227" t="str">
        <f>MID(excPisCofins[[#This Row],[CodBarras2]],2,50)</f>
        <v/>
      </c>
    </row>
    <row r="5020" spans="9:9" x14ac:dyDescent="0.25">
      <c r="I5020" s="227" t="str">
        <f>MID(excPisCofins[[#This Row],[CodBarras2]],2,50)</f>
        <v/>
      </c>
    </row>
    <row r="5021" spans="9:9" x14ac:dyDescent="0.25">
      <c r="I5021" s="227" t="str">
        <f>MID(excPisCofins[[#This Row],[CodBarras2]],2,50)</f>
        <v/>
      </c>
    </row>
    <row r="5022" spans="9:9" x14ac:dyDescent="0.25">
      <c r="I5022" s="227" t="str">
        <f>MID(excPisCofins[[#This Row],[CodBarras2]],2,50)</f>
        <v/>
      </c>
    </row>
    <row r="5023" spans="9:9" x14ac:dyDescent="0.25">
      <c r="I5023" s="227" t="str">
        <f>MID(excPisCofins[[#This Row],[CodBarras2]],2,50)</f>
        <v/>
      </c>
    </row>
    <row r="5024" spans="9:9" x14ac:dyDescent="0.25">
      <c r="I5024" s="227" t="str">
        <f>MID(excPisCofins[[#This Row],[CodBarras2]],2,50)</f>
        <v/>
      </c>
    </row>
    <row r="5025" spans="9:9" x14ac:dyDescent="0.25">
      <c r="I5025" s="227" t="str">
        <f>MID(excPisCofins[[#This Row],[CodBarras2]],2,50)</f>
        <v/>
      </c>
    </row>
    <row r="5026" spans="9:9" x14ac:dyDescent="0.25">
      <c r="I5026" s="227" t="str">
        <f>MID(excPisCofins[[#This Row],[CodBarras2]],2,50)</f>
        <v/>
      </c>
    </row>
    <row r="5027" spans="9:9" x14ac:dyDescent="0.25">
      <c r="I5027" s="227" t="str">
        <f>MID(excPisCofins[[#This Row],[CodBarras2]],2,50)</f>
        <v/>
      </c>
    </row>
    <row r="5028" spans="9:9" x14ac:dyDescent="0.25">
      <c r="I5028" s="227" t="str">
        <f>MID(excPisCofins[[#This Row],[CodBarras2]],2,50)</f>
        <v/>
      </c>
    </row>
    <row r="5029" spans="9:9" x14ac:dyDescent="0.25">
      <c r="I5029" s="227" t="str">
        <f>MID(excPisCofins[[#This Row],[CodBarras2]],2,50)</f>
        <v/>
      </c>
    </row>
    <row r="5030" spans="9:9" x14ac:dyDescent="0.25">
      <c r="I5030" s="227" t="str">
        <f>MID(excPisCofins[[#This Row],[CodBarras2]],2,50)</f>
        <v/>
      </c>
    </row>
    <row r="5031" spans="9:9" x14ac:dyDescent="0.25">
      <c r="I5031" s="227" t="str">
        <f>MID(excPisCofins[[#This Row],[CodBarras2]],2,50)</f>
        <v/>
      </c>
    </row>
    <row r="5032" spans="9:9" x14ac:dyDescent="0.25">
      <c r="I5032" s="227" t="str">
        <f>MID(excPisCofins[[#This Row],[CodBarras2]],2,50)</f>
        <v/>
      </c>
    </row>
    <row r="5033" spans="9:9" x14ac:dyDescent="0.25">
      <c r="I5033" s="227" t="str">
        <f>MID(excPisCofins[[#This Row],[CodBarras2]],2,50)</f>
        <v/>
      </c>
    </row>
    <row r="5034" spans="9:9" x14ac:dyDescent="0.25">
      <c r="I5034" s="227" t="str">
        <f>MID(excPisCofins[[#This Row],[CodBarras2]],2,50)</f>
        <v/>
      </c>
    </row>
    <row r="5035" spans="9:9" x14ac:dyDescent="0.25">
      <c r="I5035" s="227" t="str">
        <f>MID(excPisCofins[[#This Row],[CodBarras2]],2,50)</f>
        <v/>
      </c>
    </row>
    <row r="5036" spans="9:9" x14ac:dyDescent="0.25">
      <c r="I5036" s="227" t="str">
        <f>MID(excPisCofins[[#This Row],[CodBarras2]],2,50)</f>
        <v/>
      </c>
    </row>
    <row r="5037" spans="9:9" x14ac:dyDescent="0.25">
      <c r="I5037" s="227" t="str">
        <f>MID(excPisCofins[[#This Row],[CodBarras2]],2,50)</f>
        <v/>
      </c>
    </row>
    <row r="5038" spans="9:9" x14ac:dyDescent="0.25">
      <c r="I5038" s="227" t="str">
        <f>MID(excPisCofins[[#This Row],[CodBarras2]],2,50)</f>
        <v/>
      </c>
    </row>
    <row r="5039" spans="9:9" x14ac:dyDescent="0.25">
      <c r="I5039" s="227" t="str">
        <f>MID(excPisCofins[[#This Row],[CodBarras2]],2,50)</f>
        <v/>
      </c>
    </row>
    <row r="5040" spans="9:9" x14ac:dyDescent="0.25">
      <c r="I5040" s="227" t="str">
        <f>MID(excPisCofins[[#This Row],[CodBarras2]],2,50)</f>
        <v/>
      </c>
    </row>
    <row r="5041" spans="9:9" x14ac:dyDescent="0.25">
      <c r="I5041" s="227" t="str">
        <f>MID(excPisCofins[[#This Row],[CodBarras2]],2,50)</f>
        <v/>
      </c>
    </row>
    <row r="5042" spans="9:9" x14ac:dyDescent="0.25">
      <c r="I5042" s="227" t="str">
        <f>MID(excPisCofins[[#This Row],[CodBarras2]],2,50)</f>
        <v/>
      </c>
    </row>
    <row r="5043" spans="9:9" x14ac:dyDescent="0.25">
      <c r="I5043" s="227" t="str">
        <f>MID(excPisCofins[[#This Row],[CodBarras2]],2,50)</f>
        <v/>
      </c>
    </row>
    <row r="5044" spans="9:9" x14ac:dyDescent="0.25">
      <c r="I5044" s="227" t="str">
        <f>MID(excPisCofins[[#This Row],[CodBarras2]],2,50)</f>
        <v/>
      </c>
    </row>
    <row r="5045" spans="9:9" x14ac:dyDescent="0.25">
      <c r="I5045" s="227" t="str">
        <f>MID(excPisCofins[[#This Row],[CodBarras2]],2,50)</f>
        <v/>
      </c>
    </row>
    <row r="5046" spans="9:9" x14ac:dyDescent="0.25">
      <c r="I5046" s="227" t="str">
        <f>MID(excPisCofins[[#This Row],[CodBarras2]],2,50)</f>
        <v/>
      </c>
    </row>
    <row r="5047" spans="9:9" x14ac:dyDescent="0.25">
      <c r="I5047" s="227" t="str">
        <f>MID(excPisCofins[[#This Row],[CodBarras2]],2,50)</f>
        <v/>
      </c>
    </row>
    <row r="5048" spans="9:9" x14ac:dyDescent="0.25">
      <c r="I5048" s="227" t="str">
        <f>MID(excPisCofins[[#This Row],[CodBarras2]],2,50)</f>
        <v/>
      </c>
    </row>
    <row r="5049" spans="9:9" x14ac:dyDescent="0.25">
      <c r="I5049" s="227" t="str">
        <f>MID(excPisCofins[[#This Row],[CodBarras2]],2,50)</f>
        <v/>
      </c>
    </row>
    <row r="5050" spans="9:9" x14ac:dyDescent="0.25">
      <c r="I5050" s="227" t="str">
        <f>MID(excPisCofins[[#This Row],[CodBarras2]],2,50)</f>
        <v/>
      </c>
    </row>
    <row r="5051" spans="9:9" x14ac:dyDescent="0.25">
      <c r="I5051" s="227" t="str">
        <f>MID(excPisCofins[[#This Row],[CodBarras2]],2,50)</f>
        <v/>
      </c>
    </row>
    <row r="5052" spans="9:9" x14ac:dyDescent="0.25">
      <c r="I5052" s="227" t="str">
        <f>MID(excPisCofins[[#This Row],[CodBarras2]],2,50)</f>
        <v/>
      </c>
    </row>
    <row r="5053" spans="9:9" x14ac:dyDescent="0.25">
      <c r="I5053" s="227" t="str">
        <f>MID(excPisCofins[[#This Row],[CodBarras2]],2,50)</f>
        <v/>
      </c>
    </row>
    <row r="5054" spans="9:9" x14ac:dyDescent="0.25">
      <c r="I5054" s="227" t="str">
        <f>MID(excPisCofins[[#This Row],[CodBarras2]],2,50)</f>
        <v/>
      </c>
    </row>
    <row r="5055" spans="9:9" x14ac:dyDescent="0.25">
      <c r="I5055" s="227" t="str">
        <f>MID(excPisCofins[[#This Row],[CodBarras2]],2,50)</f>
        <v/>
      </c>
    </row>
    <row r="5056" spans="9:9" x14ac:dyDescent="0.25">
      <c r="I5056" s="227" t="str">
        <f>MID(excPisCofins[[#This Row],[CodBarras2]],2,50)</f>
        <v/>
      </c>
    </row>
    <row r="5057" spans="9:9" x14ac:dyDescent="0.25">
      <c r="I5057" s="227" t="str">
        <f>MID(excPisCofins[[#This Row],[CodBarras2]],2,50)</f>
        <v/>
      </c>
    </row>
    <row r="5058" spans="9:9" x14ac:dyDescent="0.25">
      <c r="I5058" s="227" t="str">
        <f>MID(excPisCofins[[#This Row],[CodBarras2]],2,50)</f>
        <v/>
      </c>
    </row>
    <row r="5059" spans="9:9" x14ac:dyDescent="0.25">
      <c r="I5059" s="227" t="str">
        <f>MID(excPisCofins[[#This Row],[CodBarras2]],2,50)</f>
        <v/>
      </c>
    </row>
    <row r="5060" spans="9:9" x14ac:dyDescent="0.25">
      <c r="I5060" s="227" t="str">
        <f>MID(excPisCofins[[#This Row],[CodBarras2]],2,50)</f>
        <v/>
      </c>
    </row>
    <row r="5061" spans="9:9" x14ac:dyDescent="0.25">
      <c r="I5061" s="227" t="str">
        <f>MID(excPisCofins[[#This Row],[CodBarras2]],2,50)</f>
        <v/>
      </c>
    </row>
    <row r="5062" spans="9:9" x14ac:dyDescent="0.25">
      <c r="I5062" s="227" t="str">
        <f>MID(excPisCofins[[#This Row],[CodBarras2]],2,50)</f>
        <v/>
      </c>
    </row>
    <row r="5063" spans="9:9" x14ac:dyDescent="0.25">
      <c r="I5063" s="227" t="str">
        <f>MID(excPisCofins[[#This Row],[CodBarras2]],2,50)</f>
        <v/>
      </c>
    </row>
    <row r="5064" spans="9:9" x14ac:dyDescent="0.25">
      <c r="I5064" s="227" t="str">
        <f>MID(excPisCofins[[#This Row],[CodBarras2]],2,50)</f>
        <v/>
      </c>
    </row>
    <row r="5065" spans="9:9" x14ac:dyDescent="0.25">
      <c r="I5065" s="227" t="str">
        <f>MID(excPisCofins[[#This Row],[CodBarras2]],2,50)</f>
        <v/>
      </c>
    </row>
    <row r="5066" spans="9:9" x14ac:dyDescent="0.25">
      <c r="I5066" s="227" t="str">
        <f>MID(excPisCofins[[#This Row],[CodBarras2]],2,50)</f>
        <v/>
      </c>
    </row>
    <row r="5067" spans="9:9" x14ac:dyDescent="0.25">
      <c r="I5067" s="227" t="str">
        <f>MID(excPisCofins[[#This Row],[CodBarras2]],2,50)</f>
        <v/>
      </c>
    </row>
    <row r="5068" spans="9:9" x14ac:dyDescent="0.25">
      <c r="I5068" s="227" t="str">
        <f>MID(excPisCofins[[#This Row],[CodBarras2]],2,50)</f>
        <v/>
      </c>
    </row>
    <row r="5069" spans="9:9" x14ac:dyDescent="0.25">
      <c r="I5069" s="227" t="str">
        <f>MID(excPisCofins[[#This Row],[CodBarras2]],2,50)</f>
        <v/>
      </c>
    </row>
    <row r="5070" spans="9:9" x14ac:dyDescent="0.25">
      <c r="I5070" s="227" t="str">
        <f>MID(excPisCofins[[#This Row],[CodBarras2]],2,50)</f>
        <v/>
      </c>
    </row>
    <row r="5071" spans="9:9" x14ac:dyDescent="0.25">
      <c r="I5071" s="227" t="str">
        <f>MID(excPisCofins[[#This Row],[CodBarras2]],2,50)</f>
        <v/>
      </c>
    </row>
    <row r="5072" spans="9:9" x14ac:dyDescent="0.25">
      <c r="I5072" s="227" t="str">
        <f>MID(excPisCofins[[#This Row],[CodBarras2]],2,50)</f>
        <v/>
      </c>
    </row>
    <row r="5073" spans="9:9" x14ac:dyDescent="0.25">
      <c r="I5073" s="227" t="str">
        <f>MID(excPisCofins[[#This Row],[CodBarras2]],2,50)</f>
        <v/>
      </c>
    </row>
    <row r="5074" spans="9:9" x14ac:dyDescent="0.25">
      <c r="I5074" s="227" t="str">
        <f>MID(excPisCofins[[#This Row],[CodBarras2]],2,50)</f>
        <v/>
      </c>
    </row>
    <row r="5075" spans="9:9" x14ac:dyDescent="0.25">
      <c r="I5075" s="227" t="str">
        <f>MID(excPisCofins[[#This Row],[CodBarras2]],2,50)</f>
        <v/>
      </c>
    </row>
    <row r="5076" spans="9:9" x14ac:dyDescent="0.25">
      <c r="I5076" s="227" t="str">
        <f>MID(excPisCofins[[#This Row],[CodBarras2]],2,50)</f>
        <v/>
      </c>
    </row>
    <row r="5077" spans="9:9" x14ac:dyDescent="0.25">
      <c r="I5077" s="227" t="str">
        <f>MID(excPisCofins[[#This Row],[CodBarras2]],2,50)</f>
        <v/>
      </c>
    </row>
    <row r="5078" spans="9:9" x14ac:dyDescent="0.25">
      <c r="I5078" s="227" t="str">
        <f>MID(excPisCofins[[#This Row],[CodBarras2]],2,50)</f>
        <v/>
      </c>
    </row>
    <row r="5079" spans="9:9" x14ac:dyDescent="0.25">
      <c r="I5079" s="227" t="str">
        <f>MID(excPisCofins[[#This Row],[CodBarras2]],2,50)</f>
        <v/>
      </c>
    </row>
    <row r="5080" spans="9:9" x14ac:dyDescent="0.25">
      <c r="I5080" s="227" t="str">
        <f>MID(excPisCofins[[#This Row],[CodBarras2]],2,50)</f>
        <v/>
      </c>
    </row>
    <row r="5081" spans="9:9" x14ac:dyDescent="0.25">
      <c r="I5081" s="227" t="str">
        <f>MID(excPisCofins[[#This Row],[CodBarras2]],2,50)</f>
        <v/>
      </c>
    </row>
    <row r="5082" spans="9:9" x14ac:dyDescent="0.25">
      <c r="I5082" s="227" t="str">
        <f>MID(excPisCofins[[#This Row],[CodBarras2]],2,50)</f>
        <v/>
      </c>
    </row>
    <row r="5083" spans="9:9" x14ac:dyDescent="0.25">
      <c r="I5083" s="227" t="str">
        <f>MID(excPisCofins[[#This Row],[CodBarras2]],2,50)</f>
        <v/>
      </c>
    </row>
    <row r="5084" spans="9:9" x14ac:dyDescent="0.25">
      <c r="I5084" s="227" t="str">
        <f>MID(excPisCofins[[#This Row],[CodBarras2]],2,50)</f>
        <v/>
      </c>
    </row>
    <row r="5085" spans="9:9" x14ac:dyDescent="0.25">
      <c r="I5085" s="227" t="str">
        <f>MID(excPisCofins[[#This Row],[CodBarras2]],2,50)</f>
        <v/>
      </c>
    </row>
    <row r="5086" spans="9:9" x14ac:dyDescent="0.25">
      <c r="I5086" s="227" t="str">
        <f>MID(excPisCofins[[#This Row],[CodBarras2]],2,50)</f>
        <v/>
      </c>
    </row>
    <row r="5087" spans="9:9" x14ac:dyDescent="0.25">
      <c r="I5087" s="227" t="str">
        <f>MID(excPisCofins[[#This Row],[CodBarras2]],2,50)</f>
        <v/>
      </c>
    </row>
    <row r="5088" spans="9:9" x14ac:dyDescent="0.25">
      <c r="I5088" s="227" t="str">
        <f>MID(excPisCofins[[#This Row],[CodBarras2]],2,50)</f>
        <v/>
      </c>
    </row>
    <row r="5089" spans="9:9" x14ac:dyDescent="0.25">
      <c r="I5089" s="227" t="str">
        <f>MID(excPisCofins[[#This Row],[CodBarras2]],2,50)</f>
        <v/>
      </c>
    </row>
    <row r="5090" spans="9:9" x14ac:dyDescent="0.25">
      <c r="I5090" s="227" t="str">
        <f>MID(excPisCofins[[#This Row],[CodBarras2]],2,50)</f>
        <v/>
      </c>
    </row>
    <row r="5091" spans="9:9" x14ac:dyDescent="0.25">
      <c r="I5091" s="227" t="str">
        <f>MID(excPisCofins[[#This Row],[CodBarras2]],2,50)</f>
        <v/>
      </c>
    </row>
    <row r="5092" spans="9:9" x14ac:dyDescent="0.25">
      <c r="I5092" s="227" t="str">
        <f>MID(excPisCofins[[#This Row],[CodBarras2]],2,50)</f>
        <v/>
      </c>
    </row>
    <row r="5093" spans="9:9" x14ac:dyDescent="0.25">
      <c r="I5093" s="227" t="str">
        <f>MID(excPisCofins[[#This Row],[CodBarras2]],2,50)</f>
        <v/>
      </c>
    </row>
    <row r="5094" spans="9:9" x14ac:dyDescent="0.25">
      <c r="I5094" s="227" t="str">
        <f>MID(excPisCofins[[#This Row],[CodBarras2]],2,50)</f>
        <v/>
      </c>
    </row>
    <row r="5095" spans="9:9" x14ac:dyDescent="0.25">
      <c r="I5095" s="227" t="str">
        <f>MID(excPisCofins[[#This Row],[CodBarras2]],2,50)</f>
        <v/>
      </c>
    </row>
    <row r="5096" spans="9:9" x14ac:dyDescent="0.25">
      <c r="I5096" s="227" t="str">
        <f>MID(excPisCofins[[#This Row],[CodBarras2]],2,50)</f>
        <v/>
      </c>
    </row>
    <row r="5097" spans="9:9" x14ac:dyDescent="0.25">
      <c r="I5097" s="227" t="str">
        <f>MID(excPisCofins[[#This Row],[CodBarras2]],2,50)</f>
        <v/>
      </c>
    </row>
    <row r="5098" spans="9:9" x14ac:dyDescent="0.25">
      <c r="I5098" s="227" t="str">
        <f>MID(excPisCofins[[#This Row],[CodBarras2]],2,50)</f>
        <v/>
      </c>
    </row>
    <row r="5099" spans="9:9" x14ac:dyDescent="0.25">
      <c r="I5099" s="227" t="str">
        <f>MID(excPisCofins[[#This Row],[CodBarras2]],2,50)</f>
        <v/>
      </c>
    </row>
    <row r="5100" spans="9:9" x14ac:dyDescent="0.25">
      <c r="I5100" s="227" t="str">
        <f>MID(excPisCofins[[#This Row],[CodBarras2]],2,50)</f>
        <v/>
      </c>
    </row>
    <row r="5101" spans="9:9" x14ac:dyDescent="0.25">
      <c r="I5101" s="227" t="str">
        <f>MID(excPisCofins[[#This Row],[CodBarras2]],2,50)</f>
        <v/>
      </c>
    </row>
    <row r="5102" spans="9:9" x14ac:dyDescent="0.25">
      <c r="I5102" s="227" t="str">
        <f>MID(excPisCofins[[#This Row],[CodBarras2]],2,50)</f>
        <v/>
      </c>
    </row>
    <row r="5103" spans="9:9" x14ac:dyDescent="0.25">
      <c r="I5103" s="227" t="str">
        <f>MID(excPisCofins[[#This Row],[CodBarras2]],2,50)</f>
        <v/>
      </c>
    </row>
    <row r="5104" spans="9:9" x14ac:dyDescent="0.25">
      <c r="I5104" s="227" t="str">
        <f>MID(excPisCofins[[#This Row],[CodBarras2]],2,50)</f>
        <v/>
      </c>
    </row>
    <row r="5105" spans="9:9" x14ac:dyDescent="0.25">
      <c r="I5105" s="227" t="str">
        <f>MID(excPisCofins[[#This Row],[CodBarras2]],2,50)</f>
        <v/>
      </c>
    </row>
    <row r="5106" spans="9:9" x14ac:dyDescent="0.25">
      <c r="I5106" s="227" t="str">
        <f>MID(excPisCofins[[#This Row],[CodBarras2]],2,50)</f>
        <v/>
      </c>
    </row>
    <row r="5107" spans="9:9" x14ac:dyDescent="0.25">
      <c r="I5107" s="227" t="str">
        <f>MID(excPisCofins[[#This Row],[CodBarras2]],2,50)</f>
        <v/>
      </c>
    </row>
    <row r="5108" spans="9:9" x14ac:dyDescent="0.25">
      <c r="I5108" s="227" t="str">
        <f>MID(excPisCofins[[#This Row],[CodBarras2]],2,50)</f>
        <v/>
      </c>
    </row>
    <row r="5109" spans="9:9" x14ac:dyDescent="0.25">
      <c r="I5109" s="227" t="str">
        <f>MID(excPisCofins[[#This Row],[CodBarras2]],2,50)</f>
        <v/>
      </c>
    </row>
    <row r="5110" spans="9:9" x14ac:dyDescent="0.25">
      <c r="I5110" s="227" t="str">
        <f>MID(excPisCofins[[#This Row],[CodBarras2]],2,50)</f>
        <v/>
      </c>
    </row>
    <row r="5111" spans="9:9" x14ac:dyDescent="0.25">
      <c r="I5111" s="227" t="str">
        <f>MID(excPisCofins[[#This Row],[CodBarras2]],2,50)</f>
        <v/>
      </c>
    </row>
    <row r="5112" spans="9:9" x14ac:dyDescent="0.25">
      <c r="I5112" s="227" t="str">
        <f>MID(excPisCofins[[#This Row],[CodBarras2]],2,50)</f>
        <v/>
      </c>
    </row>
    <row r="5113" spans="9:9" x14ac:dyDescent="0.25">
      <c r="I5113" s="227" t="str">
        <f>MID(excPisCofins[[#This Row],[CodBarras2]],2,50)</f>
        <v/>
      </c>
    </row>
    <row r="5114" spans="9:9" x14ac:dyDescent="0.25">
      <c r="I5114" s="227" t="str">
        <f>MID(excPisCofins[[#This Row],[CodBarras2]],2,50)</f>
        <v/>
      </c>
    </row>
    <row r="5115" spans="9:9" x14ac:dyDescent="0.25">
      <c r="I5115" s="227" t="str">
        <f>MID(excPisCofins[[#This Row],[CodBarras2]],2,50)</f>
        <v/>
      </c>
    </row>
    <row r="5116" spans="9:9" x14ac:dyDescent="0.25">
      <c r="I5116" s="227" t="str">
        <f>MID(excPisCofins[[#This Row],[CodBarras2]],2,50)</f>
        <v/>
      </c>
    </row>
    <row r="5117" spans="9:9" x14ac:dyDescent="0.25">
      <c r="I5117" s="227" t="str">
        <f>MID(excPisCofins[[#This Row],[CodBarras2]],2,50)</f>
        <v/>
      </c>
    </row>
    <row r="5118" spans="9:9" x14ac:dyDescent="0.25">
      <c r="I5118" s="227" t="str">
        <f>MID(excPisCofins[[#This Row],[CodBarras2]],2,50)</f>
        <v/>
      </c>
    </row>
    <row r="5119" spans="9:9" x14ac:dyDescent="0.25">
      <c r="I5119" s="227" t="str">
        <f>MID(excPisCofins[[#This Row],[CodBarras2]],2,50)</f>
        <v/>
      </c>
    </row>
    <row r="5120" spans="9:9" x14ac:dyDescent="0.25">
      <c r="I5120" s="227" t="str">
        <f>MID(excPisCofins[[#This Row],[CodBarras2]],2,50)</f>
        <v/>
      </c>
    </row>
    <row r="5121" spans="9:9" x14ac:dyDescent="0.25">
      <c r="I5121" s="227" t="str">
        <f>MID(excPisCofins[[#This Row],[CodBarras2]],2,50)</f>
        <v/>
      </c>
    </row>
    <row r="5122" spans="9:9" x14ac:dyDescent="0.25">
      <c r="I5122" s="227" t="str">
        <f>MID(excPisCofins[[#This Row],[CodBarras2]],2,50)</f>
        <v/>
      </c>
    </row>
    <row r="5123" spans="9:9" x14ac:dyDescent="0.25">
      <c r="I5123" s="227" t="str">
        <f>MID(excPisCofins[[#This Row],[CodBarras2]],2,50)</f>
        <v/>
      </c>
    </row>
    <row r="5124" spans="9:9" x14ac:dyDescent="0.25">
      <c r="I5124" s="227" t="str">
        <f>MID(excPisCofins[[#This Row],[CodBarras2]],2,50)</f>
        <v/>
      </c>
    </row>
    <row r="5125" spans="9:9" x14ac:dyDescent="0.25">
      <c r="I5125" s="227" t="str">
        <f>MID(excPisCofins[[#This Row],[CodBarras2]],2,50)</f>
        <v/>
      </c>
    </row>
    <row r="5126" spans="9:9" x14ac:dyDescent="0.25">
      <c r="I5126" s="227" t="str">
        <f>MID(excPisCofins[[#This Row],[CodBarras2]],2,50)</f>
        <v/>
      </c>
    </row>
    <row r="5127" spans="9:9" x14ac:dyDescent="0.25">
      <c r="I5127" s="227" t="str">
        <f>MID(excPisCofins[[#This Row],[CodBarras2]],2,50)</f>
        <v/>
      </c>
    </row>
    <row r="5128" spans="9:9" x14ac:dyDescent="0.25">
      <c r="I5128" s="227" t="str">
        <f>MID(excPisCofins[[#This Row],[CodBarras2]],2,50)</f>
        <v/>
      </c>
    </row>
    <row r="5129" spans="9:9" x14ac:dyDescent="0.25">
      <c r="I5129" s="227" t="str">
        <f>MID(excPisCofins[[#This Row],[CodBarras2]],2,50)</f>
        <v/>
      </c>
    </row>
    <row r="5130" spans="9:9" x14ac:dyDescent="0.25">
      <c r="I5130" s="227" t="str">
        <f>MID(excPisCofins[[#This Row],[CodBarras2]],2,50)</f>
        <v/>
      </c>
    </row>
    <row r="5131" spans="9:9" x14ac:dyDescent="0.25">
      <c r="I5131" s="227" t="str">
        <f>MID(excPisCofins[[#This Row],[CodBarras2]],2,50)</f>
        <v/>
      </c>
    </row>
    <row r="5132" spans="9:9" x14ac:dyDescent="0.25">
      <c r="I5132" s="227" t="str">
        <f>MID(excPisCofins[[#This Row],[CodBarras2]],2,50)</f>
        <v/>
      </c>
    </row>
    <row r="5133" spans="9:9" x14ac:dyDescent="0.25">
      <c r="I5133" s="227" t="str">
        <f>MID(excPisCofins[[#This Row],[CodBarras2]],2,50)</f>
        <v/>
      </c>
    </row>
    <row r="5134" spans="9:9" x14ac:dyDescent="0.25">
      <c r="I5134" s="227" t="str">
        <f>MID(excPisCofins[[#This Row],[CodBarras2]],2,50)</f>
        <v/>
      </c>
    </row>
    <row r="5135" spans="9:9" x14ac:dyDescent="0.25">
      <c r="I5135" s="227" t="str">
        <f>MID(excPisCofins[[#This Row],[CodBarras2]],2,50)</f>
        <v/>
      </c>
    </row>
    <row r="5136" spans="9:9" x14ac:dyDescent="0.25">
      <c r="I5136" s="227" t="str">
        <f>MID(excPisCofins[[#This Row],[CodBarras2]],2,50)</f>
        <v/>
      </c>
    </row>
    <row r="5137" spans="9:9" x14ac:dyDescent="0.25">
      <c r="I5137" s="227" t="str">
        <f>MID(excPisCofins[[#This Row],[CodBarras2]],2,50)</f>
        <v/>
      </c>
    </row>
    <row r="5138" spans="9:9" x14ac:dyDescent="0.25">
      <c r="I5138" s="227" t="str">
        <f>MID(excPisCofins[[#This Row],[CodBarras2]],2,50)</f>
        <v/>
      </c>
    </row>
    <row r="5139" spans="9:9" x14ac:dyDescent="0.25">
      <c r="I5139" s="227" t="str">
        <f>MID(excPisCofins[[#This Row],[CodBarras2]],2,50)</f>
        <v/>
      </c>
    </row>
    <row r="5140" spans="9:9" x14ac:dyDescent="0.25">
      <c r="I5140" s="227" t="str">
        <f>MID(excPisCofins[[#This Row],[CodBarras2]],2,50)</f>
        <v/>
      </c>
    </row>
    <row r="5141" spans="9:9" x14ac:dyDescent="0.25">
      <c r="I5141" s="227" t="str">
        <f>MID(excPisCofins[[#This Row],[CodBarras2]],2,50)</f>
        <v/>
      </c>
    </row>
    <row r="5142" spans="9:9" x14ac:dyDescent="0.25">
      <c r="I5142" s="227" t="str">
        <f>MID(excPisCofins[[#This Row],[CodBarras2]],2,50)</f>
        <v/>
      </c>
    </row>
    <row r="5143" spans="9:9" x14ac:dyDescent="0.25">
      <c r="I5143" s="227" t="str">
        <f>MID(excPisCofins[[#This Row],[CodBarras2]],2,50)</f>
        <v/>
      </c>
    </row>
    <row r="5144" spans="9:9" x14ac:dyDescent="0.25">
      <c r="I5144" s="227" t="str">
        <f>MID(excPisCofins[[#This Row],[CodBarras2]],2,50)</f>
        <v/>
      </c>
    </row>
    <row r="5145" spans="9:9" x14ac:dyDescent="0.25">
      <c r="I5145" s="227" t="str">
        <f>MID(excPisCofins[[#This Row],[CodBarras2]],2,50)</f>
        <v/>
      </c>
    </row>
    <row r="5146" spans="9:9" x14ac:dyDescent="0.25">
      <c r="I5146" s="227" t="str">
        <f>MID(excPisCofins[[#This Row],[CodBarras2]],2,50)</f>
        <v/>
      </c>
    </row>
    <row r="5147" spans="9:9" x14ac:dyDescent="0.25">
      <c r="I5147" s="227" t="str">
        <f>MID(excPisCofins[[#This Row],[CodBarras2]],2,50)</f>
        <v/>
      </c>
    </row>
    <row r="5148" spans="9:9" x14ac:dyDescent="0.25">
      <c r="I5148" s="227" t="str">
        <f>MID(excPisCofins[[#This Row],[CodBarras2]],2,50)</f>
        <v/>
      </c>
    </row>
    <row r="5149" spans="9:9" x14ac:dyDescent="0.25">
      <c r="I5149" s="227" t="str">
        <f>MID(excPisCofins[[#This Row],[CodBarras2]],2,50)</f>
        <v/>
      </c>
    </row>
    <row r="5150" spans="9:9" x14ac:dyDescent="0.25">
      <c r="I5150" s="227" t="str">
        <f>MID(excPisCofins[[#This Row],[CodBarras2]],2,50)</f>
        <v/>
      </c>
    </row>
    <row r="5151" spans="9:9" x14ac:dyDescent="0.25">
      <c r="I5151" s="227" t="str">
        <f>MID(excPisCofins[[#This Row],[CodBarras2]],2,50)</f>
        <v/>
      </c>
    </row>
    <row r="5152" spans="9:9" x14ac:dyDescent="0.25">
      <c r="I5152" s="227" t="str">
        <f>MID(excPisCofins[[#This Row],[CodBarras2]],2,50)</f>
        <v/>
      </c>
    </row>
    <row r="5153" spans="9:9" x14ac:dyDescent="0.25">
      <c r="I5153" s="227" t="str">
        <f>MID(excPisCofins[[#This Row],[CodBarras2]],2,50)</f>
        <v/>
      </c>
    </row>
    <row r="5154" spans="9:9" x14ac:dyDescent="0.25">
      <c r="I5154" s="227" t="str">
        <f>MID(excPisCofins[[#This Row],[CodBarras2]],2,50)</f>
        <v/>
      </c>
    </row>
    <row r="5155" spans="9:9" x14ac:dyDescent="0.25">
      <c r="I5155" s="227" t="str">
        <f>MID(excPisCofins[[#This Row],[CodBarras2]],2,50)</f>
        <v/>
      </c>
    </row>
    <row r="5156" spans="9:9" x14ac:dyDescent="0.25">
      <c r="I5156" s="227" t="str">
        <f>MID(excPisCofins[[#This Row],[CodBarras2]],2,50)</f>
        <v/>
      </c>
    </row>
    <row r="5157" spans="9:9" x14ac:dyDescent="0.25">
      <c r="I5157" s="227" t="str">
        <f>MID(excPisCofins[[#This Row],[CodBarras2]],2,50)</f>
        <v/>
      </c>
    </row>
    <row r="5158" spans="9:9" x14ac:dyDescent="0.25">
      <c r="I5158" s="227" t="str">
        <f>MID(excPisCofins[[#This Row],[CodBarras2]],2,50)</f>
        <v/>
      </c>
    </row>
    <row r="5159" spans="9:9" x14ac:dyDescent="0.25">
      <c r="I5159" s="227" t="str">
        <f>MID(excPisCofins[[#This Row],[CodBarras2]],2,50)</f>
        <v/>
      </c>
    </row>
    <row r="5160" spans="9:9" x14ac:dyDescent="0.25">
      <c r="I5160" s="227" t="str">
        <f>MID(excPisCofins[[#This Row],[CodBarras2]],2,50)</f>
        <v/>
      </c>
    </row>
    <row r="5161" spans="9:9" x14ac:dyDescent="0.25">
      <c r="I5161" s="227" t="str">
        <f>MID(excPisCofins[[#This Row],[CodBarras2]],2,50)</f>
        <v/>
      </c>
    </row>
    <row r="5162" spans="9:9" x14ac:dyDescent="0.25">
      <c r="I5162" s="227" t="str">
        <f>MID(excPisCofins[[#This Row],[CodBarras2]],2,50)</f>
        <v/>
      </c>
    </row>
    <row r="5163" spans="9:9" x14ac:dyDescent="0.25">
      <c r="I5163" s="227" t="str">
        <f>MID(excPisCofins[[#This Row],[CodBarras2]],2,50)</f>
        <v/>
      </c>
    </row>
    <row r="5164" spans="9:9" x14ac:dyDescent="0.25">
      <c r="I5164" s="227" t="str">
        <f>MID(excPisCofins[[#This Row],[CodBarras2]],2,50)</f>
        <v/>
      </c>
    </row>
    <row r="5165" spans="9:9" x14ac:dyDescent="0.25">
      <c r="I5165" s="227" t="str">
        <f>MID(excPisCofins[[#This Row],[CodBarras2]],2,50)</f>
        <v/>
      </c>
    </row>
    <row r="5166" spans="9:9" x14ac:dyDescent="0.25">
      <c r="I5166" s="227" t="str">
        <f>MID(excPisCofins[[#This Row],[CodBarras2]],2,50)</f>
        <v/>
      </c>
    </row>
    <row r="5167" spans="9:9" x14ac:dyDescent="0.25">
      <c r="I5167" s="227" t="str">
        <f>MID(excPisCofins[[#This Row],[CodBarras2]],2,50)</f>
        <v/>
      </c>
    </row>
    <row r="5168" spans="9:9" x14ac:dyDescent="0.25">
      <c r="I5168" s="227" t="str">
        <f>MID(excPisCofins[[#This Row],[CodBarras2]],2,50)</f>
        <v/>
      </c>
    </row>
    <row r="5169" spans="9:9" x14ac:dyDescent="0.25">
      <c r="I5169" s="227" t="str">
        <f>MID(excPisCofins[[#This Row],[CodBarras2]],2,50)</f>
        <v/>
      </c>
    </row>
    <row r="5170" spans="9:9" x14ac:dyDescent="0.25">
      <c r="I5170" s="227" t="str">
        <f>MID(excPisCofins[[#This Row],[CodBarras2]],2,50)</f>
        <v/>
      </c>
    </row>
    <row r="5171" spans="9:9" x14ac:dyDescent="0.25">
      <c r="I5171" s="227" t="str">
        <f>MID(excPisCofins[[#This Row],[CodBarras2]],2,50)</f>
        <v/>
      </c>
    </row>
    <row r="5172" spans="9:9" x14ac:dyDescent="0.25">
      <c r="I5172" s="227" t="str">
        <f>MID(excPisCofins[[#This Row],[CodBarras2]],2,50)</f>
        <v/>
      </c>
    </row>
    <row r="5173" spans="9:9" x14ac:dyDescent="0.25">
      <c r="I5173" s="227" t="str">
        <f>MID(excPisCofins[[#This Row],[CodBarras2]],2,50)</f>
        <v/>
      </c>
    </row>
    <row r="5174" spans="9:9" x14ac:dyDescent="0.25">
      <c r="I5174" s="227" t="str">
        <f>MID(excPisCofins[[#This Row],[CodBarras2]],2,50)</f>
        <v/>
      </c>
    </row>
    <row r="5175" spans="9:9" x14ac:dyDescent="0.25">
      <c r="I5175" s="227" t="str">
        <f>MID(excPisCofins[[#This Row],[CodBarras2]],2,50)</f>
        <v/>
      </c>
    </row>
    <row r="5176" spans="9:9" x14ac:dyDescent="0.25">
      <c r="I5176" s="227" t="str">
        <f>MID(excPisCofins[[#This Row],[CodBarras2]],2,50)</f>
        <v/>
      </c>
    </row>
    <row r="5177" spans="9:9" x14ac:dyDescent="0.25">
      <c r="I5177" s="227" t="str">
        <f>MID(excPisCofins[[#This Row],[CodBarras2]],2,50)</f>
        <v/>
      </c>
    </row>
    <row r="5178" spans="9:9" x14ac:dyDescent="0.25">
      <c r="I5178" s="227" t="str">
        <f>MID(excPisCofins[[#This Row],[CodBarras2]],2,50)</f>
        <v/>
      </c>
    </row>
    <row r="5179" spans="9:9" x14ac:dyDescent="0.25">
      <c r="I5179" s="227" t="str">
        <f>MID(excPisCofins[[#This Row],[CodBarras2]],2,50)</f>
        <v/>
      </c>
    </row>
    <row r="5180" spans="9:9" x14ac:dyDescent="0.25">
      <c r="I5180" s="227" t="str">
        <f>MID(excPisCofins[[#This Row],[CodBarras2]],2,50)</f>
        <v/>
      </c>
    </row>
    <row r="5181" spans="9:9" x14ac:dyDescent="0.25">
      <c r="I5181" s="227" t="str">
        <f>MID(excPisCofins[[#This Row],[CodBarras2]],2,50)</f>
        <v/>
      </c>
    </row>
    <row r="5182" spans="9:9" x14ac:dyDescent="0.25">
      <c r="I5182" s="227" t="str">
        <f>MID(excPisCofins[[#This Row],[CodBarras2]],2,50)</f>
        <v/>
      </c>
    </row>
    <row r="5183" spans="9:9" x14ac:dyDescent="0.25">
      <c r="I5183" s="227" t="str">
        <f>MID(excPisCofins[[#This Row],[CodBarras2]],2,50)</f>
        <v/>
      </c>
    </row>
    <row r="5184" spans="9:9" x14ac:dyDescent="0.25">
      <c r="I5184" s="227" t="str">
        <f>MID(excPisCofins[[#This Row],[CodBarras2]],2,50)</f>
        <v/>
      </c>
    </row>
    <row r="5185" spans="9:9" x14ac:dyDescent="0.25">
      <c r="I5185" s="227" t="str">
        <f>MID(excPisCofins[[#This Row],[CodBarras2]],2,50)</f>
        <v/>
      </c>
    </row>
    <row r="5186" spans="9:9" x14ac:dyDescent="0.25">
      <c r="I5186" s="227" t="str">
        <f>MID(excPisCofins[[#This Row],[CodBarras2]],2,50)</f>
        <v/>
      </c>
    </row>
    <row r="5187" spans="9:9" x14ac:dyDescent="0.25">
      <c r="I5187" s="227" t="str">
        <f>MID(excPisCofins[[#This Row],[CodBarras2]],2,50)</f>
        <v/>
      </c>
    </row>
    <row r="5188" spans="9:9" x14ac:dyDescent="0.25">
      <c r="I5188" s="227" t="str">
        <f>MID(excPisCofins[[#This Row],[CodBarras2]],2,50)</f>
        <v/>
      </c>
    </row>
    <row r="5189" spans="9:9" x14ac:dyDescent="0.25">
      <c r="I5189" s="227" t="str">
        <f>MID(excPisCofins[[#This Row],[CodBarras2]],2,50)</f>
        <v/>
      </c>
    </row>
    <row r="5190" spans="9:9" x14ac:dyDescent="0.25">
      <c r="I5190" s="227" t="str">
        <f>MID(excPisCofins[[#This Row],[CodBarras2]],2,50)</f>
        <v/>
      </c>
    </row>
    <row r="5191" spans="9:9" x14ac:dyDescent="0.25">
      <c r="I5191" s="227" t="str">
        <f>MID(excPisCofins[[#This Row],[CodBarras2]],2,50)</f>
        <v/>
      </c>
    </row>
    <row r="5192" spans="9:9" x14ac:dyDescent="0.25">
      <c r="I5192" s="227" t="str">
        <f>MID(excPisCofins[[#This Row],[CodBarras2]],2,50)</f>
        <v/>
      </c>
    </row>
    <row r="5193" spans="9:9" x14ac:dyDescent="0.25">
      <c r="I5193" s="227" t="str">
        <f>MID(excPisCofins[[#This Row],[CodBarras2]],2,50)</f>
        <v/>
      </c>
    </row>
    <row r="5194" spans="9:9" x14ac:dyDescent="0.25">
      <c r="I5194" s="227" t="str">
        <f>MID(excPisCofins[[#This Row],[CodBarras2]],2,50)</f>
        <v/>
      </c>
    </row>
    <row r="5195" spans="9:9" x14ac:dyDescent="0.25">
      <c r="I5195" s="227" t="str">
        <f>MID(excPisCofins[[#This Row],[CodBarras2]],2,50)</f>
        <v/>
      </c>
    </row>
    <row r="5196" spans="9:9" x14ac:dyDescent="0.25">
      <c r="I5196" s="227" t="str">
        <f>MID(excPisCofins[[#This Row],[CodBarras2]],2,50)</f>
        <v/>
      </c>
    </row>
    <row r="5197" spans="9:9" x14ac:dyDescent="0.25">
      <c r="I5197" s="227" t="str">
        <f>MID(excPisCofins[[#This Row],[CodBarras2]],2,50)</f>
        <v/>
      </c>
    </row>
    <row r="5198" spans="9:9" x14ac:dyDescent="0.25">
      <c r="I5198" s="227" t="str">
        <f>MID(excPisCofins[[#This Row],[CodBarras2]],2,50)</f>
        <v/>
      </c>
    </row>
    <row r="5199" spans="9:9" x14ac:dyDescent="0.25">
      <c r="I5199" s="227" t="str">
        <f>MID(excPisCofins[[#This Row],[CodBarras2]],2,50)</f>
        <v/>
      </c>
    </row>
    <row r="5200" spans="9:9" x14ac:dyDescent="0.25">
      <c r="I5200" s="227" t="str">
        <f>MID(excPisCofins[[#This Row],[CodBarras2]],2,50)</f>
        <v/>
      </c>
    </row>
    <row r="5201" spans="9:9" x14ac:dyDescent="0.25">
      <c r="I5201" s="227" t="str">
        <f>MID(excPisCofins[[#This Row],[CodBarras2]],2,50)</f>
        <v/>
      </c>
    </row>
    <row r="5202" spans="9:9" x14ac:dyDescent="0.25">
      <c r="I5202" s="227" t="str">
        <f>MID(excPisCofins[[#This Row],[CodBarras2]],2,50)</f>
        <v/>
      </c>
    </row>
    <row r="5203" spans="9:9" x14ac:dyDescent="0.25">
      <c r="I5203" s="227" t="str">
        <f>MID(excPisCofins[[#This Row],[CodBarras2]],2,50)</f>
        <v/>
      </c>
    </row>
    <row r="5204" spans="9:9" x14ac:dyDescent="0.25">
      <c r="I5204" s="227" t="str">
        <f>MID(excPisCofins[[#This Row],[CodBarras2]],2,50)</f>
        <v/>
      </c>
    </row>
    <row r="5205" spans="9:9" x14ac:dyDescent="0.25">
      <c r="I5205" s="227" t="str">
        <f>MID(excPisCofins[[#This Row],[CodBarras2]],2,50)</f>
        <v/>
      </c>
    </row>
    <row r="5206" spans="9:9" x14ac:dyDescent="0.25">
      <c r="I5206" s="227" t="str">
        <f>MID(excPisCofins[[#This Row],[CodBarras2]],2,50)</f>
        <v/>
      </c>
    </row>
    <row r="5207" spans="9:9" x14ac:dyDescent="0.25">
      <c r="I5207" s="227" t="str">
        <f>MID(excPisCofins[[#This Row],[CodBarras2]],2,50)</f>
        <v/>
      </c>
    </row>
    <row r="5208" spans="9:9" x14ac:dyDescent="0.25">
      <c r="I5208" s="227" t="str">
        <f>MID(excPisCofins[[#This Row],[CodBarras2]],2,50)</f>
        <v/>
      </c>
    </row>
    <row r="5209" spans="9:9" x14ac:dyDescent="0.25">
      <c r="I5209" s="227" t="str">
        <f>MID(excPisCofins[[#This Row],[CodBarras2]],2,50)</f>
        <v/>
      </c>
    </row>
    <row r="5210" spans="9:9" x14ac:dyDescent="0.25">
      <c r="I5210" s="227" t="str">
        <f>MID(excPisCofins[[#This Row],[CodBarras2]],2,50)</f>
        <v/>
      </c>
    </row>
    <row r="5211" spans="9:9" x14ac:dyDescent="0.25">
      <c r="I5211" s="227" t="str">
        <f>MID(excPisCofins[[#This Row],[CodBarras2]],2,50)</f>
        <v/>
      </c>
    </row>
    <row r="5212" spans="9:9" x14ac:dyDescent="0.25">
      <c r="I5212" s="227" t="str">
        <f>MID(excPisCofins[[#This Row],[CodBarras2]],2,50)</f>
        <v/>
      </c>
    </row>
    <row r="5213" spans="9:9" x14ac:dyDescent="0.25">
      <c r="I5213" s="227" t="str">
        <f>MID(excPisCofins[[#This Row],[CodBarras2]],2,50)</f>
        <v/>
      </c>
    </row>
    <row r="5214" spans="9:9" x14ac:dyDescent="0.25">
      <c r="I5214" s="227" t="str">
        <f>MID(excPisCofins[[#This Row],[CodBarras2]],2,50)</f>
        <v/>
      </c>
    </row>
    <row r="5215" spans="9:9" x14ac:dyDescent="0.25">
      <c r="I5215" s="227" t="str">
        <f>MID(excPisCofins[[#This Row],[CodBarras2]],2,50)</f>
        <v/>
      </c>
    </row>
    <row r="5216" spans="9:9" x14ac:dyDescent="0.25">
      <c r="I5216" s="227" t="str">
        <f>MID(excPisCofins[[#This Row],[CodBarras2]],2,50)</f>
        <v/>
      </c>
    </row>
    <row r="5217" spans="9:9" x14ac:dyDescent="0.25">
      <c r="I5217" s="227" t="str">
        <f>MID(excPisCofins[[#This Row],[CodBarras2]],2,50)</f>
        <v/>
      </c>
    </row>
    <row r="5218" spans="9:9" x14ac:dyDescent="0.25">
      <c r="I5218" s="227" t="str">
        <f>MID(excPisCofins[[#This Row],[CodBarras2]],2,50)</f>
        <v/>
      </c>
    </row>
    <row r="5219" spans="9:9" x14ac:dyDescent="0.25">
      <c r="I5219" s="227" t="str">
        <f>MID(excPisCofins[[#This Row],[CodBarras2]],2,50)</f>
        <v/>
      </c>
    </row>
    <row r="5220" spans="9:9" x14ac:dyDescent="0.25">
      <c r="I5220" s="227" t="str">
        <f>MID(excPisCofins[[#This Row],[CodBarras2]],2,50)</f>
        <v/>
      </c>
    </row>
    <row r="5221" spans="9:9" x14ac:dyDescent="0.25">
      <c r="I5221" s="227" t="str">
        <f>MID(excPisCofins[[#This Row],[CodBarras2]],2,50)</f>
        <v/>
      </c>
    </row>
    <row r="5222" spans="9:9" x14ac:dyDescent="0.25">
      <c r="I5222" s="227" t="str">
        <f>MID(excPisCofins[[#This Row],[CodBarras2]],2,50)</f>
        <v/>
      </c>
    </row>
    <row r="5223" spans="9:9" x14ac:dyDescent="0.25">
      <c r="I5223" s="227" t="str">
        <f>MID(excPisCofins[[#This Row],[CodBarras2]],2,50)</f>
        <v/>
      </c>
    </row>
    <row r="5224" spans="9:9" x14ac:dyDescent="0.25">
      <c r="I5224" s="227" t="str">
        <f>MID(excPisCofins[[#This Row],[CodBarras2]],2,50)</f>
        <v/>
      </c>
    </row>
    <row r="5225" spans="9:9" x14ac:dyDescent="0.25">
      <c r="I5225" s="227" t="str">
        <f>MID(excPisCofins[[#This Row],[CodBarras2]],2,50)</f>
        <v/>
      </c>
    </row>
    <row r="5226" spans="9:9" x14ac:dyDescent="0.25">
      <c r="I5226" s="227" t="str">
        <f>MID(excPisCofins[[#This Row],[CodBarras2]],2,50)</f>
        <v/>
      </c>
    </row>
    <row r="5227" spans="9:9" x14ac:dyDescent="0.25">
      <c r="I5227" s="227" t="str">
        <f>MID(excPisCofins[[#This Row],[CodBarras2]],2,50)</f>
        <v/>
      </c>
    </row>
    <row r="5228" spans="9:9" x14ac:dyDescent="0.25">
      <c r="I5228" s="227" t="str">
        <f>MID(excPisCofins[[#This Row],[CodBarras2]],2,50)</f>
        <v/>
      </c>
    </row>
    <row r="5229" spans="9:9" x14ac:dyDescent="0.25">
      <c r="I5229" s="227" t="str">
        <f>MID(excPisCofins[[#This Row],[CodBarras2]],2,50)</f>
        <v/>
      </c>
    </row>
    <row r="5230" spans="9:9" x14ac:dyDescent="0.25">
      <c r="I5230" s="227" t="str">
        <f>MID(excPisCofins[[#This Row],[CodBarras2]],2,50)</f>
        <v/>
      </c>
    </row>
    <row r="5231" spans="9:9" x14ac:dyDescent="0.25">
      <c r="I5231" s="227" t="str">
        <f>MID(excPisCofins[[#This Row],[CodBarras2]],2,50)</f>
        <v/>
      </c>
    </row>
    <row r="5232" spans="9:9" x14ac:dyDescent="0.25">
      <c r="I5232" s="227" t="str">
        <f>MID(excPisCofins[[#This Row],[CodBarras2]],2,50)</f>
        <v/>
      </c>
    </row>
    <row r="5233" spans="9:9" x14ac:dyDescent="0.25">
      <c r="I5233" s="227" t="str">
        <f>MID(excPisCofins[[#This Row],[CodBarras2]],2,50)</f>
        <v/>
      </c>
    </row>
    <row r="5234" spans="9:9" x14ac:dyDescent="0.25">
      <c r="I5234" s="227" t="str">
        <f>MID(excPisCofins[[#This Row],[CodBarras2]],2,50)</f>
        <v/>
      </c>
    </row>
    <row r="5235" spans="9:9" x14ac:dyDescent="0.25">
      <c r="I5235" s="227" t="str">
        <f>MID(excPisCofins[[#This Row],[CodBarras2]],2,50)</f>
        <v/>
      </c>
    </row>
    <row r="5236" spans="9:9" x14ac:dyDescent="0.25">
      <c r="I5236" s="227" t="str">
        <f>MID(excPisCofins[[#This Row],[CodBarras2]],2,50)</f>
        <v/>
      </c>
    </row>
    <row r="5237" spans="9:9" x14ac:dyDescent="0.25">
      <c r="I5237" s="227" t="str">
        <f>MID(excPisCofins[[#This Row],[CodBarras2]],2,50)</f>
        <v/>
      </c>
    </row>
    <row r="5238" spans="9:9" x14ac:dyDescent="0.25">
      <c r="I5238" s="227" t="str">
        <f>MID(excPisCofins[[#This Row],[CodBarras2]],2,50)</f>
        <v/>
      </c>
    </row>
    <row r="5239" spans="9:9" x14ac:dyDescent="0.25">
      <c r="I5239" s="227" t="str">
        <f>MID(excPisCofins[[#This Row],[CodBarras2]],2,50)</f>
        <v/>
      </c>
    </row>
    <row r="5240" spans="9:9" x14ac:dyDescent="0.25">
      <c r="I5240" s="227" t="str">
        <f>MID(excPisCofins[[#This Row],[CodBarras2]],2,50)</f>
        <v/>
      </c>
    </row>
    <row r="5241" spans="9:9" x14ac:dyDescent="0.25">
      <c r="I5241" s="227" t="str">
        <f>MID(excPisCofins[[#This Row],[CodBarras2]],2,50)</f>
        <v/>
      </c>
    </row>
    <row r="5242" spans="9:9" x14ac:dyDescent="0.25">
      <c r="I5242" s="227" t="str">
        <f>MID(excPisCofins[[#This Row],[CodBarras2]],2,50)</f>
        <v/>
      </c>
    </row>
    <row r="5243" spans="9:9" x14ac:dyDescent="0.25">
      <c r="I5243" s="227" t="str">
        <f>MID(excPisCofins[[#This Row],[CodBarras2]],2,50)</f>
        <v/>
      </c>
    </row>
    <row r="5244" spans="9:9" x14ac:dyDescent="0.25">
      <c r="I5244" s="227" t="str">
        <f>MID(excPisCofins[[#This Row],[CodBarras2]],2,50)</f>
        <v/>
      </c>
    </row>
    <row r="5245" spans="9:9" x14ac:dyDescent="0.25">
      <c r="I5245" s="227" t="str">
        <f>MID(excPisCofins[[#This Row],[CodBarras2]],2,50)</f>
        <v/>
      </c>
    </row>
    <row r="5246" spans="9:9" x14ac:dyDescent="0.25">
      <c r="I5246" s="227" t="str">
        <f>MID(excPisCofins[[#This Row],[CodBarras2]],2,50)</f>
        <v/>
      </c>
    </row>
    <row r="5247" spans="9:9" x14ac:dyDescent="0.25">
      <c r="I5247" s="227" t="str">
        <f>MID(excPisCofins[[#This Row],[CodBarras2]],2,50)</f>
        <v/>
      </c>
    </row>
    <row r="5248" spans="9:9" x14ac:dyDescent="0.25">
      <c r="I5248" s="227" t="str">
        <f>MID(excPisCofins[[#This Row],[CodBarras2]],2,50)</f>
        <v/>
      </c>
    </row>
    <row r="5249" spans="9:9" x14ac:dyDescent="0.25">
      <c r="I5249" s="227" t="str">
        <f>MID(excPisCofins[[#This Row],[CodBarras2]],2,50)</f>
        <v/>
      </c>
    </row>
    <row r="5250" spans="9:9" x14ac:dyDescent="0.25">
      <c r="I5250" s="227" t="str">
        <f>MID(excPisCofins[[#This Row],[CodBarras2]],2,50)</f>
        <v/>
      </c>
    </row>
    <row r="5251" spans="9:9" x14ac:dyDescent="0.25">
      <c r="I5251" s="227" t="str">
        <f>MID(excPisCofins[[#This Row],[CodBarras2]],2,50)</f>
        <v/>
      </c>
    </row>
    <row r="5252" spans="9:9" x14ac:dyDescent="0.25">
      <c r="I5252" s="227" t="str">
        <f>MID(excPisCofins[[#This Row],[CodBarras2]],2,50)</f>
        <v/>
      </c>
    </row>
    <row r="5253" spans="9:9" x14ac:dyDescent="0.25">
      <c r="I5253" s="227" t="str">
        <f>MID(excPisCofins[[#This Row],[CodBarras2]],2,50)</f>
        <v/>
      </c>
    </row>
    <row r="5254" spans="9:9" x14ac:dyDescent="0.25">
      <c r="I5254" s="227" t="str">
        <f>MID(excPisCofins[[#This Row],[CodBarras2]],2,50)</f>
        <v/>
      </c>
    </row>
    <row r="5255" spans="9:9" x14ac:dyDescent="0.25">
      <c r="I5255" s="227" t="str">
        <f>MID(excPisCofins[[#This Row],[CodBarras2]],2,50)</f>
        <v/>
      </c>
    </row>
    <row r="5256" spans="9:9" x14ac:dyDescent="0.25">
      <c r="I5256" s="227" t="str">
        <f>MID(excPisCofins[[#This Row],[CodBarras2]],2,50)</f>
        <v/>
      </c>
    </row>
    <row r="5257" spans="9:9" x14ac:dyDescent="0.25">
      <c r="I5257" s="227" t="str">
        <f>MID(excPisCofins[[#This Row],[CodBarras2]],2,50)</f>
        <v/>
      </c>
    </row>
    <row r="5258" spans="9:9" x14ac:dyDescent="0.25">
      <c r="I5258" s="227" t="str">
        <f>MID(excPisCofins[[#This Row],[CodBarras2]],2,50)</f>
        <v/>
      </c>
    </row>
    <row r="5259" spans="9:9" x14ac:dyDescent="0.25">
      <c r="I5259" s="227" t="str">
        <f>MID(excPisCofins[[#This Row],[CodBarras2]],2,50)</f>
        <v/>
      </c>
    </row>
    <row r="5260" spans="9:9" x14ac:dyDescent="0.25">
      <c r="I5260" s="227" t="str">
        <f>MID(excPisCofins[[#This Row],[CodBarras2]],2,50)</f>
        <v/>
      </c>
    </row>
    <row r="5261" spans="9:9" x14ac:dyDescent="0.25">
      <c r="I5261" s="227" t="str">
        <f>MID(excPisCofins[[#This Row],[CodBarras2]],2,50)</f>
        <v/>
      </c>
    </row>
    <row r="5262" spans="9:9" x14ac:dyDescent="0.25">
      <c r="I5262" s="227" t="str">
        <f>MID(excPisCofins[[#This Row],[CodBarras2]],2,50)</f>
        <v/>
      </c>
    </row>
    <row r="5263" spans="9:9" x14ac:dyDescent="0.25">
      <c r="I5263" s="227" t="str">
        <f>MID(excPisCofins[[#This Row],[CodBarras2]],2,50)</f>
        <v/>
      </c>
    </row>
    <row r="5264" spans="9:9" x14ac:dyDescent="0.25">
      <c r="I5264" s="227" t="str">
        <f>MID(excPisCofins[[#This Row],[CodBarras2]],2,50)</f>
        <v/>
      </c>
    </row>
    <row r="5265" spans="9:9" x14ac:dyDescent="0.25">
      <c r="I5265" s="227" t="str">
        <f>MID(excPisCofins[[#This Row],[CodBarras2]],2,50)</f>
        <v/>
      </c>
    </row>
    <row r="5266" spans="9:9" x14ac:dyDescent="0.25">
      <c r="I5266" s="227" t="str">
        <f>MID(excPisCofins[[#This Row],[CodBarras2]],2,50)</f>
        <v/>
      </c>
    </row>
    <row r="5267" spans="9:9" x14ac:dyDescent="0.25">
      <c r="I5267" s="227" t="str">
        <f>MID(excPisCofins[[#This Row],[CodBarras2]],2,50)</f>
        <v/>
      </c>
    </row>
    <row r="5268" spans="9:9" x14ac:dyDescent="0.25">
      <c r="I5268" s="227" t="str">
        <f>MID(excPisCofins[[#This Row],[CodBarras2]],2,50)</f>
        <v/>
      </c>
    </row>
    <row r="5269" spans="9:9" x14ac:dyDescent="0.25">
      <c r="I5269" s="227" t="str">
        <f>MID(excPisCofins[[#This Row],[CodBarras2]],2,50)</f>
        <v/>
      </c>
    </row>
    <row r="5270" spans="9:9" x14ac:dyDescent="0.25">
      <c r="I5270" s="227" t="str">
        <f>MID(excPisCofins[[#This Row],[CodBarras2]],2,50)</f>
        <v/>
      </c>
    </row>
    <row r="5271" spans="9:9" x14ac:dyDescent="0.25">
      <c r="I5271" s="227" t="str">
        <f>MID(excPisCofins[[#This Row],[CodBarras2]],2,50)</f>
        <v/>
      </c>
    </row>
    <row r="5272" spans="9:9" x14ac:dyDescent="0.25">
      <c r="I5272" s="227" t="str">
        <f>MID(excPisCofins[[#This Row],[CodBarras2]],2,50)</f>
        <v/>
      </c>
    </row>
    <row r="5273" spans="9:9" x14ac:dyDescent="0.25">
      <c r="I5273" s="227" t="str">
        <f>MID(excPisCofins[[#This Row],[CodBarras2]],2,50)</f>
        <v/>
      </c>
    </row>
    <row r="5274" spans="9:9" x14ac:dyDescent="0.25">
      <c r="I5274" s="227" t="str">
        <f>MID(excPisCofins[[#This Row],[CodBarras2]],2,50)</f>
        <v/>
      </c>
    </row>
    <row r="5275" spans="9:9" x14ac:dyDescent="0.25">
      <c r="I5275" s="227" t="str">
        <f>MID(excPisCofins[[#This Row],[CodBarras2]],2,50)</f>
        <v/>
      </c>
    </row>
    <row r="5276" spans="9:9" x14ac:dyDescent="0.25">
      <c r="I5276" s="227" t="str">
        <f>MID(excPisCofins[[#This Row],[CodBarras2]],2,50)</f>
        <v/>
      </c>
    </row>
    <row r="5277" spans="9:9" x14ac:dyDescent="0.25">
      <c r="I5277" s="227" t="str">
        <f>MID(excPisCofins[[#This Row],[CodBarras2]],2,50)</f>
        <v/>
      </c>
    </row>
    <row r="5278" spans="9:9" x14ac:dyDescent="0.25">
      <c r="I5278" s="227" t="str">
        <f>MID(excPisCofins[[#This Row],[CodBarras2]],2,50)</f>
        <v/>
      </c>
    </row>
    <row r="5279" spans="9:9" x14ac:dyDescent="0.25">
      <c r="I5279" s="227" t="str">
        <f>MID(excPisCofins[[#This Row],[CodBarras2]],2,50)</f>
        <v/>
      </c>
    </row>
    <row r="5280" spans="9:9" x14ac:dyDescent="0.25">
      <c r="I5280" s="227" t="str">
        <f>MID(excPisCofins[[#This Row],[CodBarras2]],2,50)</f>
        <v/>
      </c>
    </row>
    <row r="5281" spans="9:9" x14ac:dyDescent="0.25">
      <c r="I5281" s="227" t="str">
        <f>MID(excPisCofins[[#This Row],[CodBarras2]],2,50)</f>
        <v/>
      </c>
    </row>
    <row r="5282" spans="9:9" x14ac:dyDescent="0.25">
      <c r="I5282" s="227" t="str">
        <f>MID(excPisCofins[[#This Row],[CodBarras2]],2,50)</f>
        <v/>
      </c>
    </row>
    <row r="5283" spans="9:9" x14ac:dyDescent="0.25">
      <c r="I5283" s="227" t="str">
        <f>MID(excPisCofins[[#This Row],[CodBarras2]],2,50)</f>
        <v/>
      </c>
    </row>
    <row r="5284" spans="9:9" x14ac:dyDescent="0.25">
      <c r="I5284" s="227" t="str">
        <f>MID(excPisCofins[[#This Row],[CodBarras2]],2,50)</f>
        <v/>
      </c>
    </row>
    <row r="5285" spans="9:9" x14ac:dyDescent="0.25">
      <c r="I5285" s="227" t="str">
        <f>MID(excPisCofins[[#This Row],[CodBarras2]],2,50)</f>
        <v/>
      </c>
    </row>
    <row r="5286" spans="9:9" x14ac:dyDescent="0.25">
      <c r="I5286" s="227" t="str">
        <f>MID(excPisCofins[[#This Row],[CodBarras2]],2,50)</f>
        <v/>
      </c>
    </row>
    <row r="5287" spans="9:9" x14ac:dyDescent="0.25">
      <c r="I5287" s="227" t="str">
        <f>MID(excPisCofins[[#This Row],[CodBarras2]],2,50)</f>
        <v/>
      </c>
    </row>
    <row r="5288" spans="9:9" x14ac:dyDescent="0.25">
      <c r="I5288" s="227" t="str">
        <f>MID(excPisCofins[[#This Row],[CodBarras2]],2,50)</f>
        <v/>
      </c>
    </row>
    <row r="5289" spans="9:9" x14ac:dyDescent="0.25">
      <c r="I5289" s="227" t="str">
        <f>MID(excPisCofins[[#This Row],[CodBarras2]],2,50)</f>
        <v/>
      </c>
    </row>
    <row r="5290" spans="9:9" x14ac:dyDescent="0.25">
      <c r="I5290" s="227" t="str">
        <f>MID(excPisCofins[[#This Row],[CodBarras2]],2,50)</f>
        <v/>
      </c>
    </row>
    <row r="5291" spans="9:9" x14ac:dyDescent="0.25">
      <c r="I5291" s="227" t="str">
        <f>MID(excPisCofins[[#This Row],[CodBarras2]],2,50)</f>
        <v/>
      </c>
    </row>
    <row r="5292" spans="9:9" x14ac:dyDescent="0.25">
      <c r="I5292" s="227" t="str">
        <f>MID(excPisCofins[[#This Row],[CodBarras2]],2,50)</f>
        <v/>
      </c>
    </row>
    <row r="5293" spans="9:9" x14ac:dyDescent="0.25">
      <c r="I5293" s="227" t="str">
        <f>MID(excPisCofins[[#This Row],[CodBarras2]],2,50)</f>
        <v/>
      </c>
    </row>
    <row r="5294" spans="9:9" x14ac:dyDescent="0.25">
      <c r="I5294" s="227" t="str">
        <f>MID(excPisCofins[[#This Row],[CodBarras2]],2,50)</f>
        <v/>
      </c>
    </row>
    <row r="5295" spans="9:9" x14ac:dyDescent="0.25">
      <c r="I5295" s="227" t="str">
        <f>MID(excPisCofins[[#This Row],[CodBarras2]],2,50)</f>
        <v/>
      </c>
    </row>
    <row r="5296" spans="9:9" x14ac:dyDescent="0.25">
      <c r="I5296" s="227" t="str">
        <f>MID(excPisCofins[[#This Row],[CodBarras2]],2,50)</f>
        <v/>
      </c>
    </row>
    <row r="5297" spans="9:9" x14ac:dyDescent="0.25">
      <c r="I5297" s="227" t="str">
        <f>MID(excPisCofins[[#This Row],[CodBarras2]],2,50)</f>
        <v/>
      </c>
    </row>
    <row r="5298" spans="9:9" x14ac:dyDescent="0.25">
      <c r="I5298" s="227" t="str">
        <f>MID(excPisCofins[[#This Row],[CodBarras2]],2,50)</f>
        <v/>
      </c>
    </row>
    <row r="5299" spans="9:9" x14ac:dyDescent="0.25">
      <c r="I5299" s="227" t="str">
        <f>MID(excPisCofins[[#This Row],[CodBarras2]],2,50)</f>
        <v/>
      </c>
    </row>
    <row r="5300" spans="9:9" x14ac:dyDescent="0.25">
      <c r="I5300" s="227" t="str">
        <f>MID(excPisCofins[[#This Row],[CodBarras2]],2,50)</f>
        <v/>
      </c>
    </row>
    <row r="5301" spans="9:9" x14ac:dyDescent="0.25">
      <c r="I5301" s="227" t="str">
        <f>MID(excPisCofins[[#This Row],[CodBarras2]],2,50)</f>
        <v/>
      </c>
    </row>
    <row r="5302" spans="9:9" x14ac:dyDescent="0.25">
      <c r="I5302" s="227" t="str">
        <f>MID(excPisCofins[[#This Row],[CodBarras2]],2,50)</f>
        <v/>
      </c>
    </row>
    <row r="5303" spans="9:9" x14ac:dyDescent="0.25">
      <c r="I5303" s="227" t="str">
        <f>MID(excPisCofins[[#This Row],[CodBarras2]],2,50)</f>
        <v/>
      </c>
    </row>
    <row r="5304" spans="9:9" x14ac:dyDescent="0.25">
      <c r="I5304" s="227" t="str">
        <f>MID(excPisCofins[[#This Row],[CodBarras2]],2,50)</f>
        <v/>
      </c>
    </row>
    <row r="5305" spans="9:9" x14ac:dyDescent="0.25">
      <c r="I5305" s="227" t="str">
        <f>MID(excPisCofins[[#This Row],[CodBarras2]],2,50)</f>
        <v/>
      </c>
    </row>
    <row r="5306" spans="9:9" x14ac:dyDescent="0.25">
      <c r="I5306" s="227" t="str">
        <f>MID(excPisCofins[[#This Row],[CodBarras2]],2,50)</f>
        <v/>
      </c>
    </row>
    <row r="5307" spans="9:9" x14ac:dyDescent="0.25">
      <c r="I5307" s="227" t="str">
        <f>MID(excPisCofins[[#This Row],[CodBarras2]],2,50)</f>
        <v/>
      </c>
    </row>
    <row r="5308" spans="9:9" x14ac:dyDescent="0.25">
      <c r="I5308" s="227" t="str">
        <f>MID(excPisCofins[[#This Row],[CodBarras2]],2,50)</f>
        <v/>
      </c>
    </row>
    <row r="5309" spans="9:9" x14ac:dyDescent="0.25">
      <c r="I5309" s="227" t="str">
        <f>MID(excPisCofins[[#This Row],[CodBarras2]],2,50)</f>
        <v/>
      </c>
    </row>
    <row r="5310" spans="9:9" x14ac:dyDescent="0.25">
      <c r="I5310" s="227" t="str">
        <f>MID(excPisCofins[[#This Row],[CodBarras2]],2,50)</f>
        <v/>
      </c>
    </row>
    <row r="5311" spans="9:9" x14ac:dyDescent="0.25">
      <c r="I5311" s="227" t="str">
        <f>MID(excPisCofins[[#This Row],[CodBarras2]],2,50)</f>
        <v/>
      </c>
    </row>
    <row r="5312" spans="9:9" x14ac:dyDescent="0.25">
      <c r="I5312" s="227" t="str">
        <f>MID(excPisCofins[[#This Row],[CodBarras2]],2,50)</f>
        <v/>
      </c>
    </row>
    <row r="5313" spans="9:9" x14ac:dyDescent="0.25">
      <c r="I5313" s="227" t="str">
        <f>MID(excPisCofins[[#This Row],[CodBarras2]],2,50)</f>
        <v/>
      </c>
    </row>
    <row r="5314" spans="9:9" x14ac:dyDescent="0.25">
      <c r="I5314" s="227" t="str">
        <f>MID(excPisCofins[[#This Row],[CodBarras2]],2,50)</f>
        <v/>
      </c>
    </row>
    <row r="5315" spans="9:9" x14ac:dyDescent="0.25">
      <c r="I5315" s="227" t="str">
        <f>MID(excPisCofins[[#This Row],[CodBarras2]],2,50)</f>
        <v/>
      </c>
    </row>
    <row r="5316" spans="9:9" x14ac:dyDescent="0.25">
      <c r="I5316" s="227" t="str">
        <f>MID(excPisCofins[[#This Row],[CodBarras2]],2,50)</f>
        <v/>
      </c>
    </row>
    <row r="5317" spans="9:9" x14ac:dyDescent="0.25">
      <c r="I5317" s="227" t="str">
        <f>MID(excPisCofins[[#This Row],[CodBarras2]],2,50)</f>
        <v/>
      </c>
    </row>
    <row r="5318" spans="9:9" x14ac:dyDescent="0.25">
      <c r="I5318" s="227" t="str">
        <f>MID(excPisCofins[[#This Row],[CodBarras2]],2,50)</f>
        <v/>
      </c>
    </row>
    <row r="5319" spans="9:9" x14ac:dyDescent="0.25">
      <c r="I5319" s="227" t="str">
        <f>MID(excPisCofins[[#This Row],[CodBarras2]],2,50)</f>
        <v/>
      </c>
    </row>
    <row r="5320" spans="9:9" x14ac:dyDescent="0.25">
      <c r="I5320" s="227" t="str">
        <f>MID(excPisCofins[[#This Row],[CodBarras2]],2,50)</f>
        <v/>
      </c>
    </row>
    <row r="5321" spans="9:9" x14ac:dyDescent="0.25">
      <c r="I5321" s="227" t="str">
        <f>MID(excPisCofins[[#This Row],[CodBarras2]],2,50)</f>
        <v/>
      </c>
    </row>
    <row r="5322" spans="9:9" x14ac:dyDescent="0.25">
      <c r="I5322" s="227" t="str">
        <f>MID(excPisCofins[[#This Row],[CodBarras2]],2,50)</f>
        <v/>
      </c>
    </row>
    <row r="5323" spans="9:9" x14ac:dyDescent="0.25">
      <c r="I5323" s="227" t="str">
        <f>MID(excPisCofins[[#This Row],[CodBarras2]],2,50)</f>
        <v/>
      </c>
    </row>
    <row r="5324" spans="9:9" x14ac:dyDescent="0.25">
      <c r="I5324" s="227" t="str">
        <f>MID(excPisCofins[[#This Row],[CodBarras2]],2,50)</f>
        <v/>
      </c>
    </row>
    <row r="5325" spans="9:9" x14ac:dyDescent="0.25">
      <c r="I5325" s="227" t="str">
        <f>MID(excPisCofins[[#This Row],[CodBarras2]],2,50)</f>
        <v/>
      </c>
    </row>
    <row r="5326" spans="9:9" x14ac:dyDescent="0.25">
      <c r="I5326" s="227" t="str">
        <f>MID(excPisCofins[[#This Row],[CodBarras2]],2,50)</f>
        <v/>
      </c>
    </row>
    <row r="5327" spans="9:9" x14ac:dyDescent="0.25">
      <c r="I5327" s="227" t="str">
        <f>MID(excPisCofins[[#This Row],[CodBarras2]],2,50)</f>
        <v/>
      </c>
    </row>
    <row r="5328" spans="9:9" x14ac:dyDescent="0.25">
      <c r="I5328" s="227" t="str">
        <f>MID(excPisCofins[[#This Row],[CodBarras2]],2,50)</f>
        <v/>
      </c>
    </row>
    <row r="5329" spans="9:9" x14ac:dyDescent="0.25">
      <c r="I5329" s="227" t="str">
        <f>MID(excPisCofins[[#This Row],[CodBarras2]],2,50)</f>
        <v/>
      </c>
    </row>
    <row r="5330" spans="9:9" x14ac:dyDescent="0.25">
      <c r="I5330" s="227" t="str">
        <f>MID(excPisCofins[[#This Row],[CodBarras2]],2,50)</f>
        <v/>
      </c>
    </row>
    <row r="5331" spans="9:9" x14ac:dyDescent="0.25">
      <c r="I5331" s="227" t="str">
        <f>MID(excPisCofins[[#This Row],[CodBarras2]],2,50)</f>
        <v/>
      </c>
    </row>
    <row r="5332" spans="9:9" x14ac:dyDescent="0.25">
      <c r="I5332" s="227" t="str">
        <f>MID(excPisCofins[[#This Row],[CodBarras2]],2,50)</f>
        <v/>
      </c>
    </row>
    <row r="5333" spans="9:9" x14ac:dyDescent="0.25">
      <c r="I5333" s="227" t="str">
        <f>MID(excPisCofins[[#This Row],[CodBarras2]],2,50)</f>
        <v/>
      </c>
    </row>
    <row r="5334" spans="9:9" x14ac:dyDescent="0.25">
      <c r="I5334" s="227" t="str">
        <f>MID(excPisCofins[[#This Row],[CodBarras2]],2,50)</f>
        <v/>
      </c>
    </row>
    <row r="5335" spans="9:9" x14ac:dyDescent="0.25">
      <c r="I5335" s="227" t="str">
        <f>MID(excPisCofins[[#This Row],[CodBarras2]],2,50)</f>
        <v/>
      </c>
    </row>
    <row r="5336" spans="9:9" x14ac:dyDescent="0.25">
      <c r="I5336" s="227" t="str">
        <f>MID(excPisCofins[[#This Row],[CodBarras2]],2,50)</f>
        <v/>
      </c>
    </row>
    <row r="5337" spans="9:9" x14ac:dyDescent="0.25">
      <c r="I5337" s="227" t="str">
        <f>MID(excPisCofins[[#This Row],[CodBarras2]],2,50)</f>
        <v/>
      </c>
    </row>
    <row r="5338" spans="9:9" x14ac:dyDescent="0.25">
      <c r="I5338" s="227" t="str">
        <f>MID(excPisCofins[[#This Row],[CodBarras2]],2,50)</f>
        <v/>
      </c>
    </row>
    <row r="5339" spans="9:9" x14ac:dyDescent="0.25">
      <c r="I5339" s="227" t="str">
        <f>MID(excPisCofins[[#This Row],[CodBarras2]],2,50)</f>
        <v/>
      </c>
    </row>
    <row r="5340" spans="9:9" x14ac:dyDescent="0.25">
      <c r="I5340" s="227" t="str">
        <f>MID(excPisCofins[[#This Row],[CodBarras2]],2,50)</f>
        <v/>
      </c>
    </row>
    <row r="5341" spans="9:9" x14ac:dyDescent="0.25">
      <c r="I5341" s="227" t="str">
        <f>MID(excPisCofins[[#This Row],[CodBarras2]],2,50)</f>
        <v/>
      </c>
    </row>
    <row r="5342" spans="9:9" x14ac:dyDescent="0.25">
      <c r="I5342" s="227" t="str">
        <f>MID(excPisCofins[[#This Row],[CodBarras2]],2,50)</f>
        <v/>
      </c>
    </row>
    <row r="5343" spans="9:9" x14ac:dyDescent="0.25">
      <c r="I5343" s="227" t="str">
        <f>MID(excPisCofins[[#This Row],[CodBarras2]],2,50)</f>
        <v/>
      </c>
    </row>
    <row r="5344" spans="9:9" x14ac:dyDescent="0.25">
      <c r="I5344" s="227" t="str">
        <f>MID(excPisCofins[[#This Row],[CodBarras2]],2,50)</f>
        <v/>
      </c>
    </row>
    <row r="5345" spans="9:9" x14ac:dyDescent="0.25">
      <c r="I5345" s="227" t="str">
        <f>MID(excPisCofins[[#This Row],[CodBarras2]],2,50)</f>
        <v/>
      </c>
    </row>
    <row r="5346" spans="9:9" x14ac:dyDescent="0.25">
      <c r="I5346" s="227" t="str">
        <f>MID(excPisCofins[[#This Row],[CodBarras2]],2,50)</f>
        <v/>
      </c>
    </row>
    <row r="5347" spans="9:9" x14ac:dyDescent="0.25">
      <c r="I5347" s="227" t="str">
        <f>MID(excPisCofins[[#This Row],[CodBarras2]],2,50)</f>
        <v/>
      </c>
    </row>
    <row r="5348" spans="9:9" x14ac:dyDescent="0.25">
      <c r="I5348" s="227" t="str">
        <f>MID(excPisCofins[[#This Row],[CodBarras2]],2,50)</f>
        <v/>
      </c>
    </row>
    <row r="5349" spans="9:9" x14ac:dyDescent="0.25">
      <c r="I5349" s="227" t="str">
        <f>MID(excPisCofins[[#This Row],[CodBarras2]],2,50)</f>
        <v/>
      </c>
    </row>
    <row r="5350" spans="9:9" x14ac:dyDescent="0.25">
      <c r="I5350" s="227" t="str">
        <f>MID(excPisCofins[[#This Row],[CodBarras2]],2,50)</f>
        <v/>
      </c>
    </row>
    <row r="5351" spans="9:9" x14ac:dyDescent="0.25">
      <c r="I5351" s="227" t="str">
        <f>MID(excPisCofins[[#This Row],[CodBarras2]],2,50)</f>
        <v/>
      </c>
    </row>
    <row r="5352" spans="9:9" x14ac:dyDescent="0.25">
      <c r="I5352" s="227" t="str">
        <f>MID(excPisCofins[[#This Row],[CodBarras2]],2,50)</f>
        <v/>
      </c>
    </row>
    <row r="5353" spans="9:9" x14ac:dyDescent="0.25">
      <c r="I5353" s="227" t="str">
        <f>MID(excPisCofins[[#This Row],[CodBarras2]],2,50)</f>
        <v/>
      </c>
    </row>
    <row r="5354" spans="9:9" x14ac:dyDescent="0.25">
      <c r="I5354" s="227" t="str">
        <f>MID(excPisCofins[[#This Row],[CodBarras2]],2,50)</f>
        <v/>
      </c>
    </row>
    <row r="5355" spans="9:9" x14ac:dyDescent="0.25">
      <c r="I5355" s="227" t="str">
        <f>MID(excPisCofins[[#This Row],[CodBarras2]],2,50)</f>
        <v/>
      </c>
    </row>
    <row r="5356" spans="9:9" x14ac:dyDescent="0.25">
      <c r="I5356" s="227" t="str">
        <f>MID(excPisCofins[[#This Row],[CodBarras2]],2,50)</f>
        <v/>
      </c>
    </row>
    <row r="5357" spans="9:9" x14ac:dyDescent="0.25">
      <c r="I5357" s="227" t="str">
        <f>MID(excPisCofins[[#This Row],[CodBarras2]],2,50)</f>
        <v/>
      </c>
    </row>
    <row r="5358" spans="9:9" x14ac:dyDescent="0.25">
      <c r="I5358" s="227" t="str">
        <f>MID(excPisCofins[[#This Row],[CodBarras2]],2,50)</f>
        <v/>
      </c>
    </row>
    <row r="5359" spans="9:9" x14ac:dyDescent="0.25">
      <c r="I5359" s="227" t="str">
        <f>MID(excPisCofins[[#This Row],[CodBarras2]],2,50)</f>
        <v/>
      </c>
    </row>
    <row r="5360" spans="9:9" x14ac:dyDescent="0.25">
      <c r="I5360" s="227" t="str">
        <f>MID(excPisCofins[[#This Row],[CodBarras2]],2,50)</f>
        <v/>
      </c>
    </row>
    <row r="5361" spans="9:9" x14ac:dyDescent="0.25">
      <c r="I5361" s="227" t="str">
        <f>MID(excPisCofins[[#This Row],[CodBarras2]],2,50)</f>
        <v/>
      </c>
    </row>
    <row r="5362" spans="9:9" x14ac:dyDescent="0.25">
      <c r="I5362" s="227" t="str">
        <f>MID(excPisCofins[[#This Row],[CodBarras2]],2,50)</f>
        <v/>
      </c>
    </row>
    <row r="5363" spans="9:9" x14ac:dyDescent="0.25">
      <c r="I5363" s="227" t="str">
        <f>MID(excPisCofins[[#This Row],[CodBarras2]],2,50)</f>
        <v/>
      </c>
    </row>
    <row r="5364" spans="9:9" x14ac:dyDescent="0.25">
      <c r="I5364" s="227" t="str">
        <f>MID(excPisCofins[[#This Row],[CodBarras2]],2,50)</f>
        <v/>
      </c>
    </row>
    <row r="5365" spans="9:9" x14ac:dyDescent="0.25">
      <c r="I5365" s="227" t="str">
        <f>MID(excPisCofins[[#This Row],[CodBarras2]],2,50)</f>
        <v/>
      </c>
    </row>
    <row r="5366" spans="9:9" x14ac:dyDescent="0.25">
      <c r="I5366" s="227" t="str">
        <f>MID(excPisCofins[[#This Row],[CodBarras2]],2,50)</f>
        <v/>
      </c>
    </row>
    <row r="5367" spans="9:9" x14ac:dyDescent="0.25">
      <c r="I5367" s="227" t="str">
        <f>MID(excPisCofins[[#This Row],[CodBarras2]],2,50)</f>
        <v/>
      </c>
    </row>
    <row r="5368" spans="9:9" x14ac:dyDescent="0.25">
      <c r="I5368" s="227" t="str">
        <f>MID(excPisCofins[[#This Row],[CodBarras2]],2,50)</f>
        <v/>
      </c>
    </row>
    <row r="5369" spans="9:9" x14ac:dyDescent="0.25">
      <c r="I5369" s="227" t="str">
        <f>MID(excPisCofins[[#This Row],[CodBarras2]],2,50)</f>
        <v/>
      </c>
    </row>
    <row r="5370" spans="9:9" x14ac:dyDescent="0.25">
      <c r="I5370" s="227" t="str">
        <f>MID(excPisCofins[[#This Row],[CodBarras2]],2,50)</f>
        <v/>
      </c>
    </row>
    <row r="5371" spans="9:9" x14ac:dyDescent="0.25">
      <c r="I5371" s="227" t="str">
        <f>MID(excPisCofins[[#This Row],[CodBarras2]],2,50)</f>
        <v/>
      </c>
    </row>
    <row r="5372" spans="9:9" x14ac:dyDescent="0.25">
      <c r="I5372" s="227" t="str">
        <f>MID(excPisCofins[[#This Row],[CodBarras2]],2,50)</f>
        <v/>
      </c>
    </row>
    <row r="5373" spans="9:9" x14ac:dyDescent="0.25">
      <c r="I5373" s="227" t="str">
        <f>MID(excPisCofins[[#This Row],[CodBarras2]],2,50)</f>
        <v/>
      </c>
    </row>
    <row r="5374" spans="9:9" x14ac:dyDescent="0.25">
      <c r="I5374" s="227" t="str">
        <f>MID(excPisCofins[[#This Row],[CodBarras2]],2,50)</f>
        <v/>
      </c>
    </row>
    <row r="5375" spans="9:9" x14ac:dyDescent="0.25">
      <c r="I5375" s="227" t="str">
        <f>MID(excPisCofins[[#This Row],[CodBarras2]],2,50)</f>
        <v/>
      </c>
    </row>
    <row r="5376" spans="9:9" x14ac:dyDescent="0.25">
      <c r="I5376" s="227" t="str">
        <f>MID(excPisCofins[[#This Row],[CodBarras2]],2,50)</f>
        <v/>
      </c>
    </row>
    <row r="5377" spans="9:9" x14ac:dyDescent="0.25">
      <c r="I5377" s="227" t="str">
        <f>MID(excPisCofins[[#This Row],[CodBarras2]],2,50)</f>
        <v/>
      </c>
    </row>
    <row r="5378" spans="9:9" x14ac:dyDescent="0.25">
      <c r="I5378" s="227" t="str">
        <f>MID(excPisCofins[[#This Row],[CodBarras2]],2,50)</f>
        <v/>
      </c>
    </row>
    <row r="5379" spans="9:9" x14ac:dyDescent="0.25">
      <c r="I5379" s="227" t="str">
        <f>MID(excPisCofins[[#This Row],[CodBarras2]],2,50)</f>
        <v/>
      </c>
    </row>
    <row r="5380" spans="9:9" x14ac:dyDescent="0.25">
      <c r="I5380" s="227" t="str">
        <f>MID(excPisCofins[[#This Row],[CodBarras2]],2,50)</f>
        <v/>
      </c>
    </row>
    <row r="5381" spans="9:9" x14ac:dyDescent="0.25">
      <c r="I5381" s="227" t="str">
        <f>MID(excPisCofins[[#This Row],[CodBarras2]],2,50)</f>
        <v/>
      </c>
    </row>
    <row r="5382" spans="9:9" x14ac:dyDescent="0.25">
      <c r="I5382" s="227" t="str">
        <f>MID(excPisCofins[[#This Row],[CodBarras2]],2,50)</f>
        <v/>
      </c>
    </row>
    <row r="5383" spans="9:9" x14ac:dyDescent="0.25">
      <c r="I5383" s="227" t="str">
        <f>MID(excPisCofins[[#This Row],[CodBarras2]],2,50)</f>
        <v/>
      </c>
    </row>
    <row r="5384" spans="9:9" x14ac:dyDescent="0.25">
      <c r="I5384" s="227" t="str">
        <f>MID(excPisCofins[[#This Row],[CodBarras2]],2,50)</f>
        <v/>
      </c>
    </row>
    <row r="5385" spans="9:9" x14ac:dyDescent="0.25">
      <c r="I5385" s="227" t="str">
        <f>MID(excPisCofins[[#This Row],[CodBarras2]],2,50)</f>
        <v/>
      </c>
    </row>
    <row r="5386" spans="9:9" x14ac:dyDescent="0.25">
      <c r="I5386" s="227" t="str">
        <f>MID(excPisCofins[[#This Row],[CodBarras2]],2,50)</f>
        <v/>
      </c>
    </row>
    <row r="5387" spans="9:9" x14ac:dyDescent="0.25">
      <c r="I5387" s="227" t="str">
        <f>MID(excPisCofins[[#This Row],[CodBarras2]],2,50)</f>
        <v/>
      </c>
    </row>
    <row r="5388" spans="9:9" x14ac:dyDescent="0.25">
      <c r="I5388" s="227" t="str">
        <f>MID(excPisCofins[[#This Row],[CodBarras2]],2,50)</f>
        <v/>
      </c>
    </row>
    <row r="5389" spans="9:9" x14ac:dyDescent="0.25">
      <c r="I5389" s="227" t="str">
        <f>MID(excPisCofins[[#This Row],[CodBarras2]],2,50)</f>
        <v/>
      </c>
    </row>
    <row r="5390" spans="9:9" x14ac:dyDescent="0.25">
      <c r="I5390" s="227" t="str">
        <f>MID(excPisCofins[[#This Row],[CodBarras2]],2,50)</f>
        <v/>
      </c>
    </row>
    <row r="5391" spans="9:9" x14ac:dyDescent="0.25">
      <c r="I5391" s="227" t="str">
        <f>MID(excPisCofins[[#This Row],[CodBarras2]],2,50)</f>
        <v/>
      </c>
    </row>
    <row r="5392" spans="9:9" x14ac:dyDescent="0.25">
      <c r="I5392" s="227" t="str">
        <f>MID(excPisCofins[[#This Row],[CodBarras2]],2,50)</f>
        <v/>
      </c>
    </row>
    <row r="5393" spans="9:9" x14ac:dyDescent="0.25">
      <c r="I5393" s="227" t="str">
        <f>MID(excPisCofins[[#This Row],[CodBarras2]],2,50)</f>
        <v/>
      </c>
    </row>
    <row r="5394" spans="9:9" x14ac:dyDescent="0.25">
      <c r="I5394" s="227" t="str">
        <f>MID(excPisCofins[[#This Row],[CodBarras2]],2,50)</f>
        <v/>
      </c>
    </row>
    <row r="5395" spans="9:9" x14ac:dyDescent="0.25">
      <c r="I5395" s="227" t="str">
        <f>MID(excPisCofins[[#This Row],[CodBarras2]],2,50)</f>
        <v/>
      </c>
    </row>
    <row r="5396" spans="9:9" x14ac:dyDescent="0.25">
      <c r="I5396" s="227" t="str">
        <f>MID(excPisCofins[[#This Row],[CodBarras2]],2,50)</f>
        <v/>
      </c>
    </row>
    <row r="5397" spans="9:9" x14ac:dyDescent="0.25">
      <c r="I5397" s="227" t="str">
        <f>MID(excPisCofins[[#This Row],[CodBarras2]],2,50)</f>
        <v/>
      </c>
    </row>
    <row r="5398" spans="9:9" x14ac:dyDescent="0.25">
      <c r="I5398" s="227" t="str">
        <f>MID(excPisCofins[[#This Row],[CodBarras2]],2,50)</f>
        <v/>
      </c>
    </row>
    <row r="5399" spans="9:9" x14ac:dyDescent="0.25">
      <c r="I5399" s="227" t="str">
        <f>MID(excPisCofins[[#This Row],[CodBarras2]],2,50)</f>
        <v/>
      </c>
    </row>
    <row r="5400" spans="9:9" x14ac:dyDescent="0.25">
      <c r="I5400" s="227" t="str">
        <f>MID(excPisCofins[[#This Row],[CodBarras2]],2,50)</f>
        <v/>
      </c>
    </row>
    <row r="5401" spans="9:9" x14ac:dyDescent="0.25">
      <c r="I5401" s="227" t="str">
        <f>MID(excPisCofins[[#This Row],[CodBarras2]],2,50)</f>
        <v/>
      </c>
    </row>
    <row r="5402" spans="9:9" x14ac:dyDescent="0.25">
      <c r="I5402" s="227" t="str">
        <f>MID(excPisCofins[[#This Row],[CodBarras2]],2,50)</f>
        <v/>
      </c>
    </row>
    <row r="5403" spans="9:9" x14ac:dyDescent="0.25">
      <c r="I5403" s="227" t="str">
        <f>MID(excPisCofins[[#This Row],[CodBarras2]],2,50)</f>
        <v/>
      </c>
    </row>
    <row r="5404" spans="9:9" x14ac:dyDescent="0.25">
      <c r="I5404" s="227" t="str">
        <f>MID(excPisCofins[[#This Row],[CodBarras2]],2,50)</f>
        <v/>
      </c>
    </row>
    <row r="5405" spans="9:9" x14ac:dyDescent="0.25">
      <c r="I5405" s="227" t="str">
        <f>MID(excPisCofins[[#This Row],[CodBarras2]],2,50)</f>
        <v/>
      </c>
    </row>
    <row r="5406" spans="9:9" x14ac:dyDescent="0.25">
      <c r="I5406" s="227" t="str">
        <f>MID(excPisCofins[[#This Row],[CodBarras2]],2,50)</f>
        <v/>
      </c>
    </row>
    <row r="5407" spans="9:9" x14ac:dyDescent="0.25">
      <c r="I5407" s="227" t="str">
        <f>MID(excPisCofins[[#This Row],[CodBarras2]],2,50)</f>
        <v/>
      </c>
    </row>
    <row r="5408" spans="9:9" x14ac:dyDescent="0.25">
      <c r="I5408" s="227" t="str">
        <f>MID(excPisCofins[[#This Row],[CodBarras2]],2,50)</f>
        <v/>
      </c>
    </row>
    <row r="5409" spans="9:9" x14ac:dyDescent="0.25">
      <c r="I5409" s="227" t="str">
        <f>MID(excPisCofins[[#This Row],[CodBarras2]],2,50)</f>
        <v/>
      </c>
    </row>
    <row r="5410" spans="9:9" x14ac:dyDescent="0.25">
      <c r="I5410" s="227" t="str">
        <f>MID(excPisCofins[[#This Row],[CodBarras2]],2,50)</f>
        <v/>
      </c>
    </row>
    <row r="5411" spans="9:9" x14ac:dyDescent="0.25">
      <c r="I5411" s="227" t="str">
        <f>MID(excPisCofins[[#This Row],[CodBarras2]],2,50)</f>
        <v/>
      </c>
    </row>
    <row r="5412" spans="9:9" x14ac:dyDescent="0.25">
      <c r="I5412" s="227" t="str">
        <f>MID(excPisCofins[[#This Row],[CodBarras2]],2,50)</f>
        <v/>
      </c>
    </row>
    <row r="5413" spans="9:9" x14ac:dyDescent="0.25">
      <c r="I5413" s="227" t="str">
        <f>MID(excPisCofins[[#This Row],[CodBarras2]],2,50)</f>
        <v/>
      </c>
    </row>
    <row r="5414" spans="9:9" x14ac:dyDescent="0.25">
      <c r="I5414" s="227" t="str">
        <f>MID(excPisCofins[[#This Row],[CodBarras2]],2,50)</f>
        <v/>
      </c>
    </row>
    <row r="5415" spans="9:9" x14ac:dyDescent="0.25">
      <c r="I5415" s="227" t="str">
        <f>MID(excPisCofins[[#This Row],[CodBarras2]],2,50)</f>
        <v/>
      </c>
    </row>
    <row r="5416" spans="9:9" x14ac:dyDescent="0.25">
      <c r="I5416" s="227" t="str">
        <f>MID(excPisCofins[[#This Row],[CodBarras2]],2,50)</f>
        <v/>
      </c>
    </row>
    <row r="5417" spans="9:9" x14ac:dyDescent="0.25">
      <c r="I5417" s="227" t="str">
        <f>MID(excPisCofins[[#This Row],[CodBarras2]],2,50)</f>
        <v/>
      </c>
    </row>
    <row r="5418" spans="9:9" x14ac:dyDescent="0.25">
      <c r="I5418" s="227" t="str">
        <f>MID(excPisCofins[[#This Row],[CodBarras2]],2,50)</f>
        <v/>
      </c>
    </row>
    <row r="5419" spans="9:9" x14ac:dyDescent="0.25">
      <c r="I5419" s="227" t="str">
        <f>MID(excPisCofins[[#This Row],[CodBarras2]],2,50)</f>
        <v/>
      </c>
    </row>
    <row r="5420" spans="9:9" x14ac:dyDescent="0.25">
      <c r="I5420" s="227" t="str">
        <f>MID(excPisCofins[[#This Row],[CodBarras2]],2,50)</f>
        <v/>
      </c>
    </row>
    <row r="5421" spans="9:9" x14ac:dyDescent="0.25">
      <c r="I5421" s="227" t="str">
        <f>MID(excPisCofins[[#This Row],[CodBarras2]],2,50)</f>
        <v/>
      </c>
    </row>
    <row r="5422" spans="9:9" x14ac:dyDescent="0.25">
      <c r="I5422" s="227" t="str">
        <f>MID(excPisCofins[[#This Row],[CodBarras2]],2,50)</f>
        <v/>
      </c>
    </row>
    <row r="5423" spans="9:9" x14ac:dyDescent="0.25">
      <c r="I5423" s="227" t="str">
        <f>MID(excPisCofins[[#This Row],[CodBarras2]],2,50)</f>
        <v/>
      </c>
    </row>
    <row r="5424" spans="9:9" x14ac:dyDescent="0.25">
      <c r="I5424" s="227" t="str">
        <f>MID(excPisCofins[[#This Row],[CodBarras2]],2,50)</f>
        <v/>
      </c>
    </row>
    <row r="5425" spans="9:9" x14ac:dyDescent="0.25">
      <c r="I5425" s="227" t="str">
        <f>MID(excPisCofins[[#This Row],[CodBarras2]],2,50)</f>
        <v/>
      </c>
    </row>
    <row r="5426" spans="9:9" x14ac:dyDescent="0.25">
      <c r="I5426" s="227" t="str">
        <f>MID(excPisCofins[[#This Row],[CodBarras2]],2,50)</f>
        <v/>
      </c>
    </row>
    <row r="5427" spans="9:9" x14ac:dyDescent="0.25">
      <c r="I5427" s="227" t="str">
        <f>MID(excPisCofins[[#This Row],[CodBarras2]],2,50)</f>
        <v/>
      </c>
    </row>
    <row r="5428" spans="9:9" x14ac:dyDescent="0.25">
      <c r="I5428" s="227" t="str">
        <f>MID(excPisCofins[[#This Row],[CodBarras2]],2,50)</f>
        <v/>
      </c>
    </row>
    <row r="5429" spans="9:9" x14ac:dyDescent="0.25">
      <c r="I5429" s="227" t="str">
        <f>MID(excPisCofins[[#This Row],[CodBarras2]],2,50)</f>
        <v/>
      </c>
    </row>
    <row r="5430" spans="9:9" x14ac:dyDescent="0.25">
      <c r="I5430" s="227" t="str">
        <f>MID(excPisCofins[[#This Row],[CodBarras2]],2,50)</f>
        <v/>
      </c>
    </row>
    <row r="5431" spans="9:9" x14ac:dyDescent="0.25">
      <c r="I5431" s="227" t="str">
        <f>MID(excPisCofins[[#This Row],[CodBarras2]],2,50)</f>
        <v/>
      </c>
    </row>
    <row r="5432" spans="9:9" x14ac:dyDescent="0.25">
      <c r="I5432" s="227" t="str">
        <f>MID(excPisCofins[[#This Row],[CodBarras2]],2,50)</f>
        <v/>
      </c>
    </row>
    <row r="5433" spans="9:9" x14ac:dyDescent="0.25">
      <c r="I5433" s="227" t="str">
        <f>MID(excPisCofins[[#This Row],[CodBarras2]],2,50)</f>
        <v/>
      </c>
    </row>
    <row r="5434" spans="9:9" x14ac:dyDescent="0.25">
      <c r="I5434" s="227" t="str">
        <f>MID(excPisCofins[[#This Row],[CodBarras2]],2,50)</f>
        <v/>
      </c>
    </row>
    <row r="5435" spans="9:9" x14ac:dyDescent="0.25">
      <c r="I5435" s="227" t="str">
        <f>MID(excPisCofins[[#This Row],[CodBarras2]],2,50)</f>
        <v/>
      </c>
    </row>
    <row r="5436" spans="9:9" x14ac:dyDescent="0.25">
      <c r="I5436" s="227" t="str">
        <f>MID(excPisCofins[[#This Row],[CodBarras2]],2,50)</f>
        <v/>
      </c>
    </row>
    <row r="5437" spans="9:9" x14ac:dyDescent="0.25">
      <c r="I5437" s="227" t="str">
        <f>MID(excPisCofins[[#This Row],[CodBarras2]],2,50)</f>
        <v/>
      </c>
    </row>
    <row r="5438" spans="9:9" x14ac:dyDescent="0.25">
      <c r="I5438" s="227" t="str">
        <f>MID(excPisCofins[[#This Row],[CodBarras2]],2,50)</f>
        <v/>
      </c>
    </row>
    <row r="5439" spans="9:9" x14ac:dyDescent="0.25">
      <c r="I5439" s="227" t="str">
        <f>MID(excPisCofins[[#This Row],[CodBarras2]],2,50)</f>
        <v/>
      </c>
    </row>
    <row r="5440" spans="9:9" x14ac:dyDescent="0.25">
      <c r="I5440" s="227" t="str">
        <f>MID(excPisCofins[[#This Row],[CodBarras2]],2,50)</f>
        <v/>
      </c>
    </row>
    <row r="5441" spans="9:9" x14ac:dyDescent="0.25">
      <c r="I5441" s="227" t="str">
        <f>MID(excPisCofins[[#This Row],[CodBarras2]],2,50)</f>
        <v/>
      </c>
    </row>
    <row r="5442" spans="9:9" x14ac:dyDescent="0.25">
      <c r="I5442" s="227" t="str">
        <f>MID(excPisCofins[[#This Row],[CodBarras2]],2,50)</f>
        <v/>
      </c>
    </row>
    <row r="5443" spans="9:9" x14ac:dyDescent="0.25">
      <c r="I5443" s="227" t="str">
        <f>MID(excPisCofins[[#This Row],[CodBarras2]],2,50)</f>
        <v/>
      </c>
    </row>
    <row r="5444" spans="9:9" x14ac:dyDescent="0.25">
      <c r="I5444" s="227" t="str">
        <f>MID(excPisCofins[[#This Row],[CodBarras2]],2,50)</f>
        <v/>
      </c>
    </row>
    <row r="5445" spans="9:9" x14ac:dyDescent="0.25">
      <c r="I5445" s="227" t="str">
        <f>MID(excPisCofins[[#This Row],[CodBarras2]],2,50)</f>
        <v/>
      </c>
    </row>
    <row r="5446" spans="9:9" x14ac:dyDescent="0.25">
      <c r="I5446" s="227" t="str">
        <f>MID(excPisCofins[[#This Row],[CodBarras2]],2,50)</f>
        <v/>
      </c>
    </row>
    <row r="5447" spans="9:9" x14ac:dyDescent="0.25">
      <c r="I5447" s="227" t="str">
        <f>MID(excPisCofins[[#This Row],[CodBarras2]],2,50)</f>
        <v/>
      </c>
    </row>
    <row r="5448" spans="9:9" x14ac:dyDescent="0.25">
      <c r="I5448" s="227" t="str">
        <f>MID(excPisCofins[[#This Row],[CodBarras2]],2,50)</f>
        <v/>
      </c>
    </row>
    <row r="5449" spans="9:9" x14ac:dyDescent="0.25">
      <c r="I5449" s="227" t="str">
        <f>MID(excPisCofins[[#This Row],[CodBarras2]],2,50)</f>
        <v/>
      </c>
    </row>
    <row r="5450" spans="9:9" x14ac:dyDescent="0.25">
      <c r="I5450" s="227" t="str">
        <f>MID(excPisCofins[[#This Row],[CodBarras2]],2,50)</f>
        <v/>
      </c>
    </row>
    <row r="5451" spans="9:9" x14ac:dyDescent="0.25">
      <c r="I5451" s="227" t="str">
        <f>MID(excPisCofins[[#This Row],[CodBarras2]],2,50)</f>
        <v/>
      </c>
    </row>
    <row r="5452" spans="9:9" x14ac:dyDescent="0.25">
      <c r="I5452" s="227" t="str">
        <f>MID(excPisCofins[[#This Row],[CodBarras2]],2,50)</f>
        <v/>
      </c>
    </row>
    <row r="5453" spans="9:9" x14ac:dyDescent="0.25">
      <c r="I5453" s="227" t="str">
        <f>MID(excPisCofins[[#This Row],[CodBarras2]],2,50)</f>
        <v/>
      </c>
    </row>
    <row r="5454" spans="9:9" x14ac:dyDescent="0.25">
      <c r="I5454" s="227" t="str">
        <f>MID(excPisCofins[[#This Row],[CodBarras2]],2,50)</f>
        <v/>
      </c>
    </row>
    <row r="5455" spans="9:9" x14ac:dyDescent="0.25">
      <c r="I5455" s="227" t="str">
        <f>MID(excPisCofins[[#This Row],[CodBarras2]],2,50)</f>
        <v/>
      </c>
    </row>
    <row r="5456" spans="9:9" x14ac:dyDescent="0.25">
      <c r="I5456" s="227" t="str">
        <f>MID(excPisCofins[[#This Row],[CodBarras2]],2,50)</f>
        <v/>
      </c>
    </row>
    <row r="5457" spans="9:9" x14ac:dyDescent="0.25">
      <c r="I5457" s="227" t="str">
        <f>MID(excPisCofins[[#This Row],[CodBarras2]],2,50)</f>
        <v/>
      </c>
    </row>
    <row r="5458" spans="9:9" x14ac:dyDescent="0.25">
      <c r="I5458" s="227" t="str">
        <f>MID(excPisCofins[[#This Row],[CodBarras2]],2,50)</f>
        <v/>
      </c>
    </row>
    <row r="5459" spans="9:9" x14ac:dyDescent="0.25">
      <c r="I5459" s="227" t="str">
        <f>MID(excPisCofins[[#This Row],[CodBarras2]],2,50)</f>
        <v/>
      </c>
    </row>
    <row r="5460" spans="9:9" x14ac:dyDescent="0.25">
      <c r="I5460" s="227" t="str">
        <f>MID(excPisCofins[[#This Row],[CodBarras2]],2,50)</f>
        <v/>
      </c>
    </row>
    <row r="5461" spans="9:9" x14ac:dyDescent="0.25">
      <c r="I5461" s="227" t="str">
        <f>MID(excPisCofins[[#This Row],[CodBarras2]],2,50)</f>
        <v/>
      </c>
    </row>
    <row r="5462" spans="9:9" x14ac:dyDescent="0.25">
      <c r="I5462" s="227" t="str">
        <f>MID(excPisCofins[[#This Row],[CodBarras2]],2,50)</f>
        <v/>
      </c>
    </row>
    <row r="5463" spans="9:9" x14ac:dyDescent="0.25">
      <c r="I5463" s="227" t="str">
        <f>MID(excPisCofins[[#This Row],[CodBarras2]],2,50)</f>
        <v/>
      </c>
    </row>
    <row r="5464" spans="9:9" x14ac:dyDescent="0.25">
      <c r="I5464" s="227" t="str">
        <f>MID(excPisCofins[[#This Row],[CodBarras2]],2,50)</f>
        <v/>
      </c>
    </row>
    <row r="5465" spans="9:9" x14ac:dyDescent="0.25">
      <c r="I5465" s="227" t="str">
        <f>MID(excPisCofins[[#This Row],[CodBarras2]],2,50)</f>
        <v/>
      </c>
    </row>
    <row r="5466" spans="9:9" x14ac:dyDescent="0.25">
      <c r="I5466" s="227" t="str">
        <f>MID(excPisCofins[[#This Row],[CodBarras2]],2,50)</f>
        <v/>
      </c>
    </row>
    <row r="5467" spans="9:9" x14ac:dyDescent="0.25">
      <c r="I5467" s="227" t="str">
        <f>MID(excPisCofins[[#This Row],[CodBarras2]],2,50)</f>
        <v/>
      </c>
    </row>
    <row r="5468" spans="9:9" x14ac:dyDescent="0.25">
      <c r="I5468" s="227" t="str">
        <f>MID(excPisCofins[[#This Row],[CodBarras2]],2,50)</f>
        <v/>
      </c>
    </row>
    <row r="5469" spans="9:9" x14ac:dyDescent="0.25">
      <c r="I5469" s="227" t="str">
        <f>MID(excPisCofins[[#This Row],[CodBarras2]],2,50)</f>
        <v/>
      </c>
    </row>
    <row r="5470" spans="9:9" x14ac:dyDescent="0.25">
      <c r="I5470" s="227" t="str">
        <f>MID(excPisCofins[[#This Row],[CodBarras2]],2,50)</f>
        <v/>
      </c>
    </row>
    <row r="5471" spans="9:9" x14ac:dyDescent="0.25">
      <c r="I5471" s="227" t="str">
        <f>MID(excPisCofins[[#This Row],[CodBarras2]],2,50)</f>
        <v/>
      </c>
    </row>
    <row r="5472" spans="9:9" x14ac:dyDescent="0.25">
      <c r="I5472" s="227" t="str">
        <f>MID(excPisCofins[[#This Row],[CodBarras2]],2,50)</f>
        <v/>
      </c>
    </row>
    <row r="5473" spans="9:9" x14ac:dyDescent="0.25">
      <c r="I5473" s="227" t="str">
        <f>MID(excPisCofins[[#This Row],[CodBarras2]],2,50)</f>
        <v/>
      </c>
    </row>
    <row r="5474" spans="9:9" x14ac:dyDescent="0.25">
      <c r="I5474" s="227" t="str">
        <f>MID(excPisCofins[[#This Row],[CodBarras2]],2,50)</f>
        <v/>
      </c>
    </row>
    <row r="5475" spans="9:9" x14ac:dyDescent="0.25">
      <c r="I5475" s="227" t="str">
        <f>MID(excPisCofins[[#This Row],[CodBarras2]],2,50)</f>
        <v/>
      </c>
    </row>
    <row r="5476" spans="9:9" x14ac:dyDescent="0.25">
      <c r="I5476" s="227" t="str">
        <f>MID(excPisCofins[[#This Row],[CodBarras2]],2,50)</f>
        <v/>
      </c>
    </row>
    <row r="5477" spans="9:9" x14ac:dyDescent="0.25">
      <c r="I5477" s="227" t="str">
        <f>MID(excPisCofins[[#This Row],[CodBarras2]],2,50)</f>
        <v/>
      </c>
    </row>
    <row r="5478" spans="9:9" x14ac:dyDescent="0.25">
      <c r="I5478" s="227" t="str">
        <f>MID(excPisCofins[[#This Row],[CodBarras2]],2,50)</f>
        <v/>
      </c>
    </row>
    <row r="5479" spans="9:9" x14ac:dyDescent="0.25">
      <c r="I5479" s="227" t="str">
        <f>MID(excPisCofins[[#This Row],[CodBarras2]],2,50)</f>
        <v/>
      </c>
    </row>
    <row r="5480" spans="9:9" x14ac:dyDescent="0.25">
      <c r="I5480" s="227" t="str">
        <f>MID(excPisCofins[[#This Row],[CodBarras2]],2,50)</f>
        <v/>
      </c>
    </row>
    <row r="5481" spans="9:9" x14ac:dyDescent="0.25">
      <c r="I5481" s="227" t="str">
        <f>MID(excPisCofins[[#This Row],[CodBarras2]],2,50)</f>
        <v/>
      </c>
    </row>
    <row r="5482" spans="9:9" x14ac:dyDescent="0.25">
      <c r="I5482" s="227" t="str">
        <f>MID(excPisCofins[[#This Row],[CodBarras2]],2,50)</f>
        <v/>
      </c>
    </row>
    <row r="5483" spans="9:9" x14ac:dyDescent="0.25">
      <c r="I5483" s="227" t="str">
        <f>MID(excPisCofins[[#This Row],[CodBarras2]],2,50)</f>
        <v/>
      </c>
    </row>
    <row r="5484" spans="9:9" x14ac:dyDescent="0.25">
      <c r="I5484" s="227" t="str">
        <f>MID(excPisCofins[[#This Row],[CodBarras2]],2,50)</f>
        <v/>
      </c>
    </row>
    <row r="5485" spans="9:9" x14ac:dyDescent="0.25">
      <c r="I5485" s="227" t="str">
        <f>MID(excPisCofins[[#This Row],[CodBarras2]],2,50)</f>
        <v/>
      </c>
    </row>
    <row r="5486" spans="9:9" x14ac:dyDescent="0.25">
      <c r="I5486" s="227" t="str">
        <f>MID(excPisCofins[[#This Row],[CodBarras2]],2,50)</f>
        <v/>
      </c>
    </row>
    <row r="5487" spans="9:9" x14ac:dyDescent="0.25">
      <c r="I5487" s="227" t="str">
        <f>MID(excPisCofins[[#This Row],[CodBarras2]],2,50)</f>
        <v/>
      </c>
    </row>
    <row r="5488" spans="9:9" x14ac:dyDescent="0.25">
      <c r="I5488" s="227" t="str">
        <f>MID(excPisCofins[[#This Row],[CodBarras2]],2,50)</f>
        <v/>
      </c>
    </row>
    <row r="5489" spans="9:9" x14ac:dyDescent="0.25">
      <c r="I5489" s="227" t="str">
        <f>MID(excPisCofins[[#This Row],[CodBarras2]],2,50)</f>
        <v/>
      </c>
    </row>
    <row r="5490" spans="9:9" x14ac:dyDescent="0.25">
      <c r="I5490" s="227" t="str">
        <f>MID(excPisCofins[[#This Row],[CodBarras2]],2,50)</f>
        <v/>
      </c>
    </row>
    <row r="5491" spans="9:9" x14ac:dyDescent="0.25">
      <c r="I5491" s="227" t="str">
        <f>MID(excPisCofins[[#This Row],[CodBarras2]],2,50)</f>
        <v/>
      </c>
    </row>
    <row r="5492" spans="9:9" x14ac:dyDescent="0.25">
      <c r="I5492" s="227" t="str">
        <f>MID(excPisCofins[[#This Row],[CodBarras2]],2,50)</f>
        <v/>
      </c>
    </row>
    <row r="5493" spans="9:9" x14ac:dyDescent="0.25">
      <c r="I5493" s="227" t="str">
        <f>MID(excPisCofins[[#This Row],[CodBarras2]],2,50)</f>
        <v/>
      </c>
    </row>
    <row r="5494" spans="9:9" x14ac:dyDescent="0.25">
      <c r="I5494" s="227" t="str">
        <f>MID(excPisCofins[[#This Row],[CodBarras2]],2,50)</f>
        <v/>
      </c>
    </row>
    <row r="5495" spans="9:9" x14ac:dyDescent="0.25">
      <c r="I5495" s="227" t="str">
        <f>MID(excPisCofins[[#This Row],[CodBarras2]],2,50)</f>
        <v/>
      </c>
    </row>
    <row r="5496" spans="9:9" x14ac:dyDescent="0.25">
      <c r="I5496" s="227" t="str">
        <f>MID(excPisCofins[[#This Row],[CodBarras2]],2,50)</f>
        <v/>
      </c>
    </row>
    <row r="5497" spans="9:9" x14ac:dyDescent="0.25">
      <c r="I5497" s="227" t="str">
        <f>MID(excPisCofins[[#This Row],[CodBarras2]],2,50)</f>
        <v/>
      </c>
    </row>
    <row r="5498" spans="9:9" x14ac:dyDescent="0.25">
      <c r="I5498" s="227" t="str">
        <f>MID(excPisCofins[[#This Row],[CodBarras2]],2,50)</f>
        <v/>
      </c>
    </row>
    <row r="5499" spans="9:9" x14ac:dyDescent="0.25">
      <c r="I5499" s="227" t="str">
        <f>MID(excPisCofins[[#This Row],[CodBarras2]],2,50)</f>
        <v/>
      </c>
    </row>
    <row r="5500" spans="9:9" x14ac:dyDescent="0.25">
      <c r="I5500" s="227" t="str">
        <f>MID(excPisCofins[[#This Row],[CodBarras2]],2,50)</f>
        <v/>
      </c>
    </row>
    <row r="5501" spans="9:9" x14ac:dyDescent="0.25">
      <c r="I5501" s="227" t="str">
        <f>MID(excPisCofins[[#This Row],[CodBarras2]],2,50)</f>
        <v/>
      </c>
    </row>
    <row r="5502" spans="9:9" x14ac:dyDescent="0.25">
      <c r="I5502" s="227" t="str">
        <f>MID(excPisCofins[[#This Row],[CodBarras2]],2,50)</f>
        <v/>
      </c>
    </row>
    <row r="5503" spans="9:9" x14ac:dyDescent="0.25">
      <c r="I5503" s="227" t="str">
        <f>MID(excPisCofins[[#This Row],[CodBarras2]],2,50)</f>
        <v/>
      </c>
    </row>
    <row r="5504" spans="9:9" x14ac:dyDescent="0.25">
      <c r="I5504" s="227" t="str">
        <f>MID(excPisCofins[[#This Row],[CodBarras2]],2,50)</f>
        <v/>
      </c>
    </row>
    <row r="5505" spans="9:9" x14ac:dyDescent="0.25">
      <c r="I5505" s="227" t="str">
        <f>MID(excPisCofins[[#This Row],[CodBarras2]],2,50)</f>
        <v/>
      </c>
    </row>
    <row r="5506" spans="9:9" x14ac:dyDescent="0.25">
      <c r="I5506" s="227" t="str">
        <f>MID(excPisCofins[[#This Row],[CodBarras2]],2,50)</f>
        <v/>
      </c>
    </row>
    <row r="5507" spans="9:9" x14ac:dyDescent="0.25">
      <c r="I5507" s="227" t="str">
        <f>MID(excPisCofins[[#This Row],[CodBarras2]],2,50)</f>
        <v/>
      </c>
    </row>
    <row r="5508" spans="9:9" x14ac:dyDescent="0.25">
      <c r="I5508" s="227" t="str">
        <f>MID(excPisCofins[[#This Row],[CodBarras2]],2,50)</f>
        <v/>
      </c>
    </row>
    <row r="5509" spans="9:9" x14ac:dyDescent="0.25">
      <c r="I5509" s="227" t="str">
        <f>MID(excPisCofins[[#This Row],[CodBarras2]],2,50)</f>
        <v/>
      </c>
    </row>
    <row r="5510" spans="9:9" x14ac:dyDescent="0.25">
      <c r="I5510" s="227" t="str">
        <f>MID(excPisCofins[[#This Row],[CodBarras2]],2,50)</f>
        <v/>
      </c>
    </row>
    <row r="5511" spans="9:9" x14ac:dyDescent="0.25">
      <c r="I5511" s="227" t="str">
        <f>MID(excPisCofins[[#This Row],[CodBarras2]],2,50)</f>
        <v/>
      </c>
    </row>
    <row r="5512" spans="9:9" x14ac:dyDescent="0.25">
      <c r="I5512" s="227" t="str">
        <f>MID(excPisCofins[[#This Row],[CodBarras2]],2,50)</f>
        <v/>
      </c>
    </row>
    <row r="5513" spans="9:9" x14ac:dyDescent="0.25">
      <c r="I5513" s="227" t="str">
        <f>MID(excPisCofins[[#This Row],[CodBarras2]],2,50)</f>
        <v/>
      </c>
    </row>
    <row r="5514" spans="9:9" x14ac:dyDescent="0.25">
      <c r="I5514" s="227" t="str">
        <f>MID(excPisCofins[[#This Row],[CodBarras2]],2,50)</f>
        <v/>
      </c>
    </row>
    <row r="5515" spans="9:9" x14ac:dyDescent="0.25">
      <c r="I5515" s="227" t="str">
        <f>MID(excPisCofins[[#This Row],[CodBarras2]],2,50)</f>
        <v/>
      </c>
    </row>
    <row r="5516" spans="9:9" x14ac:dyDescent="0.25">
      <c r="I5516" s="227" t="str">
        <f>MID(excPisCofins[[#This Row],[CodBarras2]],2,50)</f>
        <v/>
      </c>
    </row>
    <row r="5517" spans="9:9" x14ac:dyDescent="0.25">
      <c r="I5517" s="227" t="str">
        <f>MID(excPisCofins[[#This Row],[CodBarras2]],2,50)</f>
        <v/>
      </c>
    </row>
    <row r="5518" spans="9:9" x14ac:dyDescent="0.25">
      <c r="I5518" s="227" t="str">
        <f>MID(excPisCofins[[#This Row],[CodBarras2]],2,50)</f>
        <v/>
      </c>
    </row>
    <row r="5519" spans="9:9" x14ac:dyDescent="0.25">
      <c r="I5519" s="227" t="str">
        <f>MID(excPisCofins[[#This Row],[CodBarras2]],2,50)</f>
        <v/>
      </c>
    </row>
    <row r="5520" spans="9:9" x14ac:dyDescent="0.25">
      <c r="I5520" s="227" t="str">
        <f>MID(excPisCofins[[#This Row],[CodBarras2]],2,50)</f>
        <v/>
      </c>
    </row>
    <row r="5521" spans="9:9" x14ac:dyDescent="0.25">
      <c r="I5521" s="227" t="str">
        <f>MID(excPisCofins[[#This Row],[CodBarras2]],2,50)</f>
        <v/>
      </c>
    </row>
    <row r="5522" spans="9:9" x14ac:dyDescent="0.25">
      <c r="I5522" s="227" t="str">
        <f>MID(excPisCofins[[#This Row],[CodBarras2]],2,50)</f>
        <v/>
      </c>
    </row>
    <row r="5523" spans="9:9" x14ac:dyDescent="0.25">
      <c r="I5523" s="227" t="str">
        <f>MID(excPisCofins[[#This Row],[CodBarras2]],2,50)</f>
        <v/>
      </c>
    </row>
    <row r="5524" spans="9:9" x14ac:dyDescent="0.25">
      <c r="I5524" s="227" t="str">
        <f>MID(excPisCofins[[#This Row],[CodBarras2]],2,50)</f>
        <v/>
      </c>
    </row>
    <row r="5525" spans="9:9" x14ac:dyDescent="0.25">
      <c r="I5525" s="227" t="str">
        <f>MID(excPisCofins[[#This Row],[CodBarras2]],2,50)</f>
        <v/>
      </c>
    </row>
    <row r="5526" spans="9:9" x14ac:dyDescent="0.25">
      <c r="I5526" s="227" t="str">
        <f>MID(excPisCofins[[#This Row],[CodBarras2]],2,50)</f>
        <v/>
      </c>
    </row>
    <row r="5527" spans="9:9" x14ac:dyDescent="0.25">
      <c r="I5527" s="227" t="str">
        <f>MID(excPisCofins[[#This Row],[CodBarras2]],2,50)</f>
        <v/>
      </c>
    </row>
    <row r="5528" spans="9:9" x14ac:dyDescent="0.25">
      <c r="I5528" s="227" t="str">
        <f>MID(excPisCofins[[#This Row],[CodBarras2]],2,50)</f>
        <v/>
      </c>
    </row>
    <row r="5529" spans="9:9" x14ac:dyDescent="0.25">
      <c r="I5529" s="227" t="str">
        <f>MID(excPisCofins[[#This Row],[CodBarras2]],2,50)</f>
        <v/>
      </c>
    </row>
    <row r="5530" spans="9:9" x14ac:dyDescent="0.25">
      <c r="I5530" s="227" t="str">
        <f>MID(excPisCofins[[#This Row],[CodBarras2]],2,50)</f>
        <v/>
      </c>
    </row>
    <row r="5531" spans="9:9" x14ac:dyDescent="0.25">
      <c r="I5531" s="227" t="str">
        <f>MID(excPisCofins[[#This Row],[CodBarras2]],2,50)</f>
        <v/>
      </c>
    </row>
    <row r="5532" spans="9:9" x14ac:dyDescent="0.25">
      <c r="I5532" s="227" t="str">
        <f>MID(excPisCofins[[#This Row],[CodBarras2]],2,50)</f>
        <v/>
      </c>
    </row>
    <row r="5533" spans="9:9" x14ac:dyDescent="0.25">
      <c r="I5533" s="227" t="str">
        <f>MID(excPisCofins[[#This Row],[CodBarras2]],2,50)</f>
        <v/>
      </c>
    </row>
    <row r="5534" spans="9:9" x14ac:dyDescent="0.25">
      <c r="I5534" s="227" t="str">
        <f>MID(excPisCofins[[#This Row],[CodBarras2]],2,50)</f>
        <v/>
      </c>
    </row>
    <row r="5535" spans="9:9" x14ac:dyDescent="0.25">
      <c r="I5535" s="227" t="str">
        <f>MID(excPisCofins[[#This Row],[CodBarras2]],2,50)</f>
        <v/>
      </c>
    </row>
    <row r="5536" spans="9:9" x14ac:dyDescent="0.25">
      <c r="I5536" s="227" t="str">
        <f>MID(excPisCofins[[#This Row],[CodBarras2]],2,50)</f>
        <v/>
      </c>
    </row>
    <row r="5537" spans="9:9" x14ac:dyDescent="0.25">
      <c r="I5537" s="227" t="str">
        <f>MID(excPisCofins[[#This Row],[CodBarras2]],2,50)</f>
        <v/>
      </c>
    </row>
    <row r="5538" spans="9:9" x14ac:dyDescent="0.25">
      <c r="I5538" s="227" t="str">
        <f>MID(excPisCofins[[#This Row],[CodBarras2]],2,50)</f>
        <v/>
      </c>
    </row>
    <row r="5539" spans="9:9" x14ac:dyDescent="0.25">
      <c r="I5539" s="227" t="str">
        <f>MID(excPisCofins[[#This Row],[CodBarras2]],2,50)</f>
        <v/>
      </c>
    </row>
    <row r="5540" spans="9:9" x14ac:dyDescent="0.25">
      <c r="I5540" s="227" t="str">
        <f>MID(excPisCofins[[#This Row],[CodBarras2]],2,50)</f>
        <v/>
      </c>
    </row>
    <row r="5541" spans="9:9" x14ac:dyDescent="0.25">
      <c r="I5541" s="227" t="str">
        <f>MID(excPisCofins[[#This Row],[CodBarras2]],2,50)</f>
        <v/>
      </c>
    </row>
    <row r="5542" spans="9:9" x14ac:dyDescent="0.25">
      <c r="I5542" s="227" t="str">
        <f>MID(excPisCofins[[#This Row],[CodBarras2]],2,50)</f>
        <v/>
      </c>
    </row>
    <row r="5543" spans="9:9" x14ac:dyDescent="0.25">
      <c r="I5543" s="227" t="str">
        <f>MID(excPisCofins[[#This Row],[CodBarras2]],2,50)</f>
        <v/>
      </c>
    </row>
    <row r="5544" spans="9:9" x14ac:dyDescent="0.25">
      <c r="I5544" s="227" t="str">
        <f>MID(excPisCofins[[#This Row],[CodBarras2]],2,50)</f>
        <v/>
      </c>
    </row>
    <row r="5545" spans="9:9" x14ac:dyDescent="0.25">
      <c r="I5545" s="227" t="str">
        <f>MID(excPisCofins[[#This Row],[CodBarras2]],2,50)</f>
        <v/>
      </c>
    </row>
    <row r="5546" spans="9:9" x14ac:dyDescent="0.25">
      <c r="I5546" s="227" t="str">
        <f>MID(excPisCofins[[#This Row],[CodBarras2]],2,50)</f>
        <v/>
      </c>
    </row>
    <row r="5547" spans="9:9" x14ac:dyDescent="0.25">
      <c r="I5547" s="227" t="str">
        <f>MID(excPisCofins[[#This Row],[CodBarras2]],2,50)</f>
        <v/>
      </c>
    </row>
    <row r="5548" spans="9:9" x14ac:dyDescent="0.25">
      <c r="I5548" s="227" t="str">
        <f>MID(excPisCofins[[#This Row],[CodBarras2]],2,50)</f>
        <v/>
      </c>
    </row>
    <row r="5549" spans="9:9" x14ac:dyDescent="0.25">
      <c r="I5549" s="227" t="str">
        <f>MID(excPisCofins[[#This Row],[CodBarras2]],2,50)</f>
        <v/>
      </c>
    </row>
    <row r="5550" spans="9:9" x14ac:dyDescent="0.25">
      <c r="I5550" s="227" t="str">
        <f>MID(excPisCofins[[#This Row],[CodBarras2]],2,50)</f>
        <v/>
      </c>
    </row>
    <row r="5551" spans="9:9" x14ac:dyDescent="0.25">
      <c r="I5551" s="227" t="str">
        <f>MID(excPisCofins[[#This Row],[CodBarras2]],2,50)</f>
        <v/>
      </c>
    </row>
    <row r="5552" spans="9:9" x14ac:dyDescent="0.25">
      <c r="I5552" s="227" t="str">
        <f>MID(excPisCofins[[#This Row],[CodBarras2]],2,50)</f>
        <v/>
      </c>
    </row>
    <row r="5553" spans="9:9" x14ac:dyDescent="0.25">
      <c r="I5553" s="227" t="str">
        <f>MID(excPisCofins[[#This Row],[CodBarras2]],2,50)</f>
        <v/>
      </c>
    </row>
    <row r="5554" spans="9:9" x14ac:dyDescent="0.25">
      <c r="I5554" s="227" t="str">
        <f>MID(excPisCofins[[#This Row],[CodBarras2]],2,50)</f>
        <v/>
      </c>
    </row>
    <row r="5555" spans="9:9" x14ac:dyDescent="0.25">
      <c r="I5555" s="227" t="str">
        <f>MID(excPisCofins[[#This Row],[CodBarras2]],2,50)</f>
        <v/>
      </c>
    </row>
    <row r="5556" spans="9:9" x14ac:dyDescent="0.25">
      <c r="I5556" s="227" t="str">
        <f>MID(excPisCofins[[#This Row],[CodBarras2]],2,50)</f>
        <v/>
      </c>
    </row>
    <row r="5557" spans="9:9" x14ac:dyDescent="0.25">
      <c r="I5557" s="227" t="str">
        <f>MID(excPisCofins[[#This Row],[CodBarras2]],2,50)</f>
        <v/>
      </c>
    </row>
    <row r="5558" spans="9:9" x14ac:dyDescent="0.25">
      <c r="I5558" s="227" t="str">
        <f>MID(excPisCofins[[#This Row],[CodBarras2]],2,50)</f>
        <v/>
      </c>
    </row>
    <row r="5559" spans="9:9" x14ac:dyDescent="0.25">
      <c r="I5559" s="227" t="str">
        <f>MID(excPisCofins[[#This Row],[CodBarras2]],2,50)</f>
        <v/>
      </c>
    </row>
    <row r="5560" spans="9:9" x14ac:dyDescent="0.25">
      <c r="I5560" s="227" t="str">
        <f>MID(excPisCofins[[#This Row],[CodBarras2]],2,50)</f>
        <v/>
      </c>
    </row>
    <row r="5561" spans="9:9" x14ac:dyDescent="0.25">
      <c r="I5561" s="227" t="str">
        <f>MID(excPisCofins[[#This Row],[CodBarras2]],2,50)</f>
        <v/>
      </c>
    </row>
    <row r="5562" spans="9:9" x14ac:dyDescent="0.25">
      <c r="I5562" s="227" t="str">
        <f>MID(excPisCofins[[#This Row],[CodBarras2]],2,50)</f>
        <v/>
      </c>
    </row>
    <row r="5563" spans="9:9" x14ac:dyDescent="0.25">
      <c r="I5563" s="227" t="str">
        <f>MID(excPisCofins[[#This Row],[CodBarras2]],2,50)</f>
        <v/>
      </c>
    </row>
    <row r="5564" spans="9:9" x14ac:dyDescent="0.25">
      <c r="I5564" s="227" t="str">
        <f>MID(excPisCofins[[#This Row],[CodBarras2]],2,50)</f>
        <v/>
      </c>
    </row>
    <row r="5565" spans="9:9" x14ac:dyDescent="0.25">
      <c r="I5565" s="227" t="str">
        <f>MID(excPisCofins[[#This Row],[CodBarras2]],2,50)</f>
        <v/>
      </c>
    </row>
    <row r="5566" spans="9:9" x14ac:dyDescent="0.25">
      <c r="I5566" s="227" t="str">
        <f>MID(excPisCofins[[#This Row],[CodBarras2]],2,50)</f>
        <v/>
      </c>
    </row>
    <row r="5567" spans="9:9" x14ac:dyDescent="0.25">
      <c r="I5567" s="227" t="str">
        <f>MID(excPisCofins[[#This Row],[CodBarras2]],2,50)</f>
        <v/>
      </c>
    </row>
    <row r="5568" spans="9:9" x14ac:dyDescent="0.25">
      <c r="I5568" s="227" t="str">
        <f>MID(excPisCofins[[#This Row],[CodBarras2]],2,50)</f>
        <v/>
      </c>
    </row>
    <row r="5569" spans="9:9" x14ac:dyDescent="0.25">
      <c r="I5569" s="227" t="str">
        <f>MID(excPisCofins[[#This Row],[CodBarras2]],2,50)</f>
        <v/>
      </c>
    </row>
    <row r="5570" spans="9:9" x14ac:dyDescent="0.25">
      <c r="I5570" s="227" t="str">
        <f>MID(excPisCofins[[#This Row],[CodBarras2]],2,50)</f>
        <v/>
      </c>
    </row>
    <row r="5571" spans="9:9" x14ac:dyDescent="0.25">
      <c r="I5571" s="227" t="str">
        <f>MID(excPisCofins[[#This Row],[CodBarras2]],2,50)</f>
        <v/>
      </c>
    </row>
    <row r="5572" spans="9:9" x14ac:dyDescent="0.25">
      <c r="I5572" s="227" t="str">
        <f>MID(excPisCofins[[#This Row],[CodBarras2]],2,50)</f>
        <v/>
      </c>
    </row>
    <row r="5573" spans="9:9" x14ac:dyDescent="0.25">
      <c r="I5573" s="227" t="str">
        <f>MID(excPisCofins[[#This Row],[CodBarras2]],2,50)</f>
        <v/>
      </c>
    </row>
    <row r="5574" spans="9:9" x14ac:dyDescent="0.25">
      <c r="I5574" s="227" t="str">
        <f>MID(excPisCofins[[#This Row],[CodBarras2]],2,50)</f>
        <v/>
      </c>
    </row>
    <row r="5575" spans="9:9" x14ac:dyDescent="0.25">
      <c r="I5575" s="227" t="str">
        <f>MID(excPisCofins[[#This Row],[CodBarras2]],2,50)</f>
        <v/>
      </c>
    </row>
    <row r="5576" spans="9:9" x14ac:dyDescent="0.25">
      <c r="I5576" s="227" t="str">
        <f>MID(excPisCofins[[#This Row],[CodBarras2]],2,50)</f>
        <v/>
      </c>
    </row>
    <row r="5577" spans="9:9" x14ac:dyDescent="0.25">
      <c r="I5577" s="227" t="str">
        <f>MID(excPisCofins[[#This Row],[CodBarras2]],2,50)</f>
        <v/>
      </c>
    </row>
    <row r="5578" spans="9:9" x14ac:dyDescent="0.25">
      <c r="I5578" s="227" t="str">
        <f>MID(excPisCofins[[#This Row],[CodBarras2]],2,50)</f>
        <v/>
      </c>
    </row>
    <row r="5579" spans="9:9" x14ac:dyDescent="0.25">
      <c r="I5579" s="227" t="str">
        <f>MID(excPisCofins[[#This Row],[CodBarras2]],2,50)</f>
        <v/>
      </c>
    </row>
    <row r="5580" spans="9:9" x14ac:dyDescent="0.25">
      <c r="I5580" s="227" t="str">
        <f>MID(excPisCofins[[#This Row],[CodBarras2]],2,50)</f>
        <v/>
      </c>
    </row>
    <row r="5581" spans="9:9" x14ac:dyDescent="0.25">
      <c r="I5581" s="227" t="str">
        <f>MID(excPisCofins[[#This Row],[CodBarras2]],2,50)</f>
        <v/>
      </c>
    </row>
    <row r="5582" spans="9:9" x14ac:dyDescent="0.25">
      <c r="I5582" s="227" t="str">
        <f>MID(excPisCofins[[#This Row],[CodBarras2]],2,50)</f>
        <v/>
      </c>
    </row>
    <row r="5583" spans="9:9" x14ac:dyDescent="0.25">
      <c r="I5583" s="227" t="str">
        <f>MID(excPisCofins[[#This Row],[CodBarras2]],2,50)</f>
        <v/>
      </c>
    </row>
    <row r="5584" spans="9:9" x14ac:dyDescent="0.25">
      <c r="I5584" s="227" t="str">
        <f>MID(excPisCofins[[#This Row],[CodBarras2]],2,50)</f>
        <v/>
      </c>
    </row>
    <row r="5585" spans="9:9" x14ac:dyDescent="0.25">
      <c r="I5585" s="227" t="str">
        <f>MID(excPisCofins[[#This Row],[CodBarras2]],2,50)</f>
        <v/>
      </c>
    </row>
    <row r="5586" spans="9:9" x14ac:dyDescent="0.25">
      <c r="I5586" s="227" t="str">
        <f>MID(excPisCofins[[#This Row],[CodBarras2]],2,50)</f>
        <v/>
      </c>
    </row>
    <row r="5587" spans="9:9" x14ac:dyDescent="0.25">
      <c r="I5587" s="227" t="str">
        <f>MID(excPisCofins[[#This Row],[CodBarras2]],2,50)</f>
        <v/>
      </c>
    </row>
    <row r="5588" spans="9:9" x14ac:dyDescent="0.25">
      <c r="I5588" s="227" t="str">
        <f>MID(excPisCofins[[#This Row],[CodBarras2]],2,50)</f>
        <v/>
      </c>
    </row>
    <row r="5589" spans="9:9" x14ac:dyDescent="0.25">
      <c r="I5589" s="227" t="str">
        <f>MID(excPisCofins[[#This Row],[CodBarras2]],2,50)</f>
        <v/>
      </c>
    </row>
    <row r="5590" spans="9:9" x14ac:dyDescent="0.25">
      <c r="I5590" s="227" t="str">
        <f>MID(excPisCofins[[#This Row],[CodBarras2]],2,50)</f>
        <v/>
      </c>
    </row>
    <row r="5591" spans="9:9" x14ac:dyDescent="0.25">
      <c r="I5591" s="227" t="str">
        <f>MID(excPisCofins[[#This Row],[CodBarras2]],2,50)</f>
        <v/>
      </c>
    </row>
    <row r="5592" spans="9:9" x14ac:dyDescent="0.25">
      <c r="I5592" s="227" t="str">
        <f>MID(excPisCofins[[#This Row],[CodBarras2]],2,50)</f>
        <v/>
      </c>
    </row>
    <row r="5593" spans="9:9" x14ac:dyDescent="0.25">
      <c r="I5593" s="227" t="str">
        <f>MID(excPisCofins[[#This Row],[CodBarras2]],2,50)</f>
        <v/>
      </c>
    </row>
    <row r="5594" spans="9:9" x14ac:dyDescent="0.25">
      <c r="I5594" s="227" t="str">
        <f>MID(excPisCofins[[#This Row],[CodBarras2]],2,50)</f>
        <v/>
      </c>
    </row>
    <row r="5595" spans="9:9" x14ac:dyDescent="0.25">
      <c r="I5595" s="227" t="str">
        <f>MID(excPisCofins[[#This Row],[CodBarras2]],2,50)</f>
        <v/>
      </c>
    </row>
    <row r="5596" spans="9:9" x14ac:dyDescent="0.25">
      <c r="I5596" s="227" t="str">
        <f>MID(excPisCofins[[#This Row],[CodBarras2]],2,50)</f>
        <v/>
      </c>
    </row>
    <row r="5597" spans="9:9" x14ac:dyDescent="0.25">
      <c r="I5597" s="227" t="str">
        <f>MID(excPisCofins[[#This Row],[CodBarras2]],2,50)</f>
        <v/>
      </c>
    </row>
    <row r="5598" spans="9:9" x14ac:dyDescent="0.25">
      <c r="I5598" s="227" t="str">
        <f>MID(excPisCofins[[#This Row],[CodBarras2]],2,50)</f>
        <v/>
      </c>
    </row>
    <row r="5599" spans="9:9" x14ac:dyDescent="0.25">
      <c r="I5599" s="227" t="str">
        <f>MID(excPisCofins[[#This Row],[CodBarras2]],2,50)</f>
        <v/>
      </c>
    </row>
    <row r="5600" spans="9:9" x14ac:dyDescent="0.25">
      <c r="I5600" s="227" t="str">
        <f>MID(excPisCofins[[#This Row],[CodBarras2]],2,50)</f>
        <v/>
      </c>
    </row>
    <row r="5601" spans="9:9" x14ac:dyDescent="0.25">
      <c r="I5601" s="227" t="str">
        <f>MID(excPisCofins[[#This Row],[CodBarras2]],2,50)</f>
        <v/>
      </c>
    </row>
    <row r="5602" spans="9:9" x14ac:dyDescent="0.25">
      <c r="I5602" s="227" t="str">
        <f>MID(excPisCofins[[#This Row],[CodBarras2]],2,50)</f>
        <v/>
      </c>
    </row>
    <row r="5603" spans="9:9" x14ac:dyDescent="0.25">
      <c r="I5603" s="227" t="str">
        <f>MID(excPisCofins[[#This Row],[CodBarras2]],2,50)</f>
        <v/>
      </c>
    </row>
    <row r="5604" spans="9:9" x14ac:dyDescent="0.25">
      <c r="I5604" s="227" t="str">
        <f>MID(excPisCofins[[#This Row],[CodBarras2]],2,50)</f>
        <v/>
      </c>
    </row>
    <row r="5605" spans="9:9" x14ac:dyDescent="0.25">
      <c r="I5605" s="227" t="str">
        <f>MID(excPisCofins[[#This Row],[CodBarras2]],2,50)</f>
        <v/>
      </c>
    </row>
    <row r="5606" spans="9:9" x14ac:dyDescent="0.25">
      <c r="I5606" s="227" t="str">
        <f>MID(excPisCofins[[#This Row],[CodBarras2]],2,50)</f>
        <v/>
      </c>
    </row>
    <row r="5607" spans="9:9" x14ac:dyDescent="0.25">
      <c r="I5607" s="227" t="str">
        <f>MID(excPisCofins[[#This Row],[CodBarras2]],2,50)</f>
        <v/>
      </c>
    </row>
    <row r="5608" spans="9:9" x14ac:dyDescent="0.25">
      <c r="I5608" s="227" t="str">
        <f>MID(excPisCofins[[#This Row],[CodBarras2]],2,50)</f>
        <v/>
      </c>
    </row>
    <row r="5609" spans="9:9" x14ac:dyDescent="0.25">
      <c r="I5609" s="227" t="str">
        <f>MID(excPisCofins[[#This Row],[CodBarras2]],2,50)</f>
        <v/>
      </c>
    </row>
    <row r="5610" spans="9:9" x14ac:dyDescent="0.25">
      <c r="I5610" s="227" t="str">
        <f>MID(excPisCofins[[#This Row],[CodBarras2]],2,50)</f>
        <v/>
      </c>
    </row>
    <row r="5611" spans="9:9" x14ac:dyDescent="0.25">
      <c r="I5611" s="227" t="str">
        <f>MID(excPisCofins[[#This Row],[CodBarras2]],2,50)</f>
        <v/>
      </c>
    </row>
    <row r="5612" spans="9:9" x14ac:dyDescent="0.25">
      <c r="I5612" s="227" t="str">
        <f>MID(excPisCofins[[#This Row],[CodBarras2]],2,50)</f>
        <v/>
      </c>
    </row>
    <row r="5613" spans="9:9" x14ac:dyDescent="0.25">
      <c r="I5613" s="227" t="str">
        <f>MID(excPisCofins[[#This Row],[CodBarras2]],2,50)</f>
        <v/>
      </c>
    </row>
    <row r="5614" spans="9:9" x14ac:dyDescent="0.25">
      <c r="I5614" s="227" t="str">
        <f>MID(excPisCofins[[#This Row],[CodBarras2]],2,50)</f>
        <v/>
      </c>
    </row>
    <row r="5615" spans="9:9" x14ac:dyDescent="0.25">
      <c r="I5615" s="227" t="str">
        <f>MID(excPisCofins[[#This Row],[CodBarras2]],2,50)</f>
        <v/>
      </c>
    </row>
    <row r="5616" spans="9:9" x14ac:dyDescent="0.25">
      <c r="I5616" s="227" t="str">
        <f>MID(excPisCofins[[#This Row],[CodBarras2]],2,50)</f>
        <v/>
      </c>
    </row>
    <row r="5617" spans="9:9" x14ac:dyDescent="0.25">
      <c r="I5617" s="227" t="str">
        <f>MID(excPisCofins[[#This Row],[CodBarras2]],2,50)</f>
        <v/>
      </c>
    </row>
    <row r="5618" spans="9:9" x14ac:dyDescent="0.25">
      <c r="I5618" s="227" t="str">
        <f>MID(excPisCofins[[#This Row],[CodBarras2]],2,50)</f>
        <v/>
      </c>
    </row>
    <row r="5619" spans="9:9" x14ac:dyDescent="0.25">
      <c r="I5619" s="227" t="str">
        <f>MID(excPisCofins[[#This Row],[CodBarras2]],2,50)</f>
        <v/>
      </c>
    </row>
    <row r="5620" spans="9:9" x14ac:dyDescent="0.25">
      <c r="I5620" s="227" t="str">
        <f>MID(excPisCofins[[#This Row],[CodBarras2]],2,50)</f>
        <v/>
      </c>
    </row>
    <row r="5621" spans="9:9" x14ac:dyDescent="0.25">
      <c r="I5621" s="227" t="str">
        <f>MID(excPisCofins[[#This Row],[CodBarras2]],2,50)</f>
        <v/>
      </c>
    </row>
    <row r="5622" spans="9:9" x14ac:dyDescent="0.25">
      <c r="I5622" s="227" t="str">
        <f>MID(excPisCofins[[#This Row],[CodBarras2]],2,50)</f>
        <v/>
      </c>
    </row>
    <row r="5623" spans="9:9" x14ac:dyDescent="0.25">
      <c r="I5623" s="227" t="str">
        <f>MID(excPisCofins[[#This Row],[CodBarras2]],2,50)</f>
        <v/>
      </c>
    </row>
    <row r="5624" spans="9:9" x14ac:dyDescent="0.25">
      <c r="I5624" s="227" t="str">
        <f>MID(excPisCofins[[#This Row],[CodBarras2]],2,50)</f>
        <v/>
      </c>
    </row>
    <row r="5625" spans="9:9" x14ac:dyDescent="0.25">
      <c r="I5625" s="227" t="str">
        <f>MID(excPisCofins[[#This Row],[CodBarras2]],2,50)</f>
        <v/>
      </c>
    </row>
    <row r="5626" spans="9:9" x14ac:dyDescent="0.25">
      <c r="I5626" s="227" t="str">
        <f>MID(excPisCofins[[#This Row],[CodBarras2]],2,50)</f>
        <v/>
      </c>
    </row>
    <row r="5627" spans="9:9" x14ac:dyDescent="0.25">
      <c r="I5627" s="227" t="str">
        <f>MID(excPisCofins[[#This Row],[CodBarras2]],2,50)</f>
        <v/>
      </c>
    </row>
    <row r="5628" spans="9:9" x14ac:dyDescent="0.25">
      <c r="I5628" s="227" t="str">
        <f>MID(excPisCofins[[#This Row],[CodBarras2]],2,50)</f>
        <v/>
      </c>
    </row>
    <row r="5629" spans="9:9" x14ac:dyDescent="0.25">
      <c r="I5629" s="227" t="str">
        <f>MID(excPisCofins[[#This Row],[CodBarras2]],2,50)</f>
        <v/>
      </c>
    </row>
    <row r="5630" spans="9:9" x14ac:dyDescent="0.25">
      <c r="I5630" s="227" t="str">
        <f>MID(excPisCofins[[#This Row],[CodBarras2]],2,50)</f>
        <v/>
      </c>
    </row>
    <row r="5631" spans="9:9" x14ac:dyDescent="0.25">
      <c r="I5631" s="227" t="str">
        <f>MID(excPisCofins[[#This Row],[CodBarras2]],2,50)</f>
        <v/>
      </c>
    </row>
    <row r="5632" spans="9:9" x14ac:dyDescent="0.25">
      <c r="I5632" s="227" t="str">
        <f>MID(excPisCofins[[#This Row],[CodBarras2]],2,50)</f>
        <v/>
      </c>
    </row>
    <row r="5633" spans="9:9" x14ac:dyDescent="0.25">
      <c r="I5633" s="227" t="str">
        <f>MID(excPisCofins[[#This Row],[CodBarras2]],2,50)</f>
        <v/>
      </c>
    </row>
    <row r="5634" spans="9:9" x14ac:dyDescent="0.25">
      <c r="I5634" s="227" t="str">
        <f>MID(excPisCofins[[#This Row],[CodBarras2]],2,50)</f>
        <v/>
      </c>
    </row>
    <row r="5635" spans="9:9" x14ac:dyDescent="0.25">
      <c r="I5635" s="227" t="str">
        <f>MID(excPisCofins[[#This Row],[CodBarras2]],2,50)</f>
        <v/>
      </c>
    </row>
    <row r="5636" spans="9:9" x14ac:dyDescent="0.25">
      <c r="I5636" s="227" t="str">
        <f>MID(excPisCofins[[#This Row],[CodBarras2]],2,50)</f>
        <v/>
      </c>
    </row>
    <row r="5637" spans="9:9" x14ac:dyDescent="0.25">
      <c r="I5637" s="227" t="str">
        <f>MID(excPisCofins[[#This Row],[CodBarras2]],2,50)</f>
        <v/>
      </c>
    </row>
    <row r="5638" spans="9:9" x14ac:dyDescent="0.25">
      <c r="I5638" s="227" t="str">
        <f>MID(excPisCofins[[#This Row],[CodBarras2]],2,50)</f>
        <v/>
      </c>
    </row>
    <row r="5639" spans="9:9" x14ac:dyDescent="0.25">
      <c r="I5639" s="227" t="str">
        <f>MID(excPisCofins[[#This Row],[CodBarras2]],2,50)</f>
        <v/>
      </c>
    </row>
    <row r="5640" spans="9:9" x14ac:dyDescent="0.25">
      <c r="I5640" s="227" t="str">
        <f>MID(excPisCofins[[#This Row],[CodBarras2]],2,50)</f>
        <v/>
      </c>
    </row>
    <row r="5641" spans="9:9" x14ac:dyDescent="0.25">
      <c r="I5641" s="227" t="str">
        <f>MID(excPisCofins[[#This Row],[CodBarras2]],2,50)</f>
        <v/>
      </c>
    </row>
    <row r="5642" spans="9:9" x14ac:dyDescent="0.25">
      <c r="I5642" s="227" t="str">
        <f>MID(excPisCofins[[#This Row],[CodBarras2]],2,50)</f>
        <v/>
      </c>
    </row>
    <row r="5643" spans="9:9" x14ac:dyDescent="0.25">
      <c r="I5643" s="227" t="str">
        <f>MID(excPisCofins[[#This Row],[CodBarras2]],2,50)</f>
        <v/>
      </c>
    </row>
    <row r="5644" spans="9:9" x14ac:dyDescent="0.25">
      <c r="I5644" s="227" t="str">
        <f>MID(excPisCofins[[#This Row],[CodBarras2]],2,50)</f>
        <v/>
      </c>
    </row>
    <row r="5645" spans="9:9" x14ac:dyDescent="0.25">
      <c r="I5645" s="227" t="str">
        <f>MID(excPisCofins[[#This Row],[CodBarras2]],2,50)</f>
        <v/>
      </c>
    </row>
    <row r="5646" spans="9:9" x14ac:dyDescent="0.25">
      <c r="I5646" s="227" t="str">
        <f>MID(excPisCofins[[#This Row],[CodBarras2]],2,50)</f>
        <v/>
      </c>
    </row>
    <row r="5647" spans="9:9" x14ac:dyDescent="0.25">
      <c r="I5647" s="227" t="str">
        <f>MID(excPisCofins[[#This Row],[CodBarras2]],2,50)</f>
        <v/>
      </c>
    </row>
    <row r="5648" spans="9:9" x14ac:dyDescent="0.25">
      <c r="I5648" s="227" t="str">
        <f>MID(excPisCofins[[#This Row],[CodBarras2]],2,50)</f>
        <v/>
      </c>
    </row>
    <row r="5649" spans="9:9" x14ac:dyDescent="0.25">
      <c r="I5649" s="227" t="str">
        <f>MID(excPisCofins[[#This Row],[CodBarras2]],2,50)</f>
        <v/>
      </c>
    </row>
    <row r="5650" spans="9:9" x14ac:dyDescent="0.25">
      <c r="I5650" s="227" t="str">
        <f>MID(excPisCofins[[#This Row],[CodBarras2]],2,50)</f>
        <v/>
      </c>
    </row>
    <row r="5651" spans="9:9" x14ac:dyDescent="0.25">
      <c r="I5651" s="227" t="str">
        <f>MID(excPisCofins[[#This Row],[CodBarras2]],2,50)</f>
        <v/>
      </c>
    </row>
    <row r="5652" spans="9:9" x14ac:dyDescent="0.25">
      <c r="I5652" s="227" t="str">
        <f>MID(excPisCofins[[#This Row],[CodBarras2]],2,50)</f>
        <v/>
      </c>
    </row>
    <row r="5653" spans="9:9" x14ac:dyDescent="0.25">
      <c r="I5653" s="227" t="str">
        <f>MID(excPisCofins[[#This Row],[CodBarras2]],2,50)</f>
        <v/>
      </c>
    </row>
    <row r="5654" spans="9:9" x14ac:dyDescent="0.25">
      <c r="I5654" s="227" t="str">
        <f>MID(excPisCofins[[#This Row],[CodBarras2]],2,50)</f>
        <v/>
      </c>
    </row>
    <row r="5655" spans="9:9" x14ac:dyDescent="0.25">
      <c r="I5655" s="227" t="str">
        <f>MID(excPisCofins[[#This Row],[CodBarras2]],2,50)</f>
        <v/>
      </c>
    </row>
    <row r="5656" spans="9:9" x14ac:dyDescent="0.25">
      <c r="I5656" s="227" t="str">
        <f>MID(excPisCofins[[#This Row],[CodBarras2]],2,50)</f>
        <v/>
      </c>
    </row>
    <row r="5657" spans="9:9" x14ac:dyDescent="0.25">
      <c r="I5657" s="227" t="str">
        <f>MID(excPisCofins[[#This Row],[CodBarras2]],2,50)</f>
        <v/>
      </c>
    </row>
    <row r="5658" spans="9:9" x14ac:dyDescent="0.25">
      <c r="I5658" s="227" t="str">
        <f>MID(excPisCofins[[#This Row],[CodBarras2]],2,50)</f>
        <v/>
      </c>
    </row>
    <row r="5659" spans="9:9" x14ac:dyDescent="0.25">
      <c r="I5659" s="227" t="str">
        <f>MID(excPisCofins[[#This Row],[CodBarras2]],2,50)</f>
        <v/>
      </c>
    </row>
    <row r="5660" spans="9:9" x14ac:dyDescent="0.25">
      <c r="I5660" s="227" t="str">
        <f>MID(excPisCofins[[#This Row],[CodBarras2]],2,50)</f>
        <v/>
      </c>
    </row>
    <row r="5661" spans="9:9" x14ac:dyDescent="0.25">
      <c r="I5661" s="227" t="str">
        <f>MID(excPisCofins[[#This Row],[CodBarras2]],2,50)</f>
        <v/>
      </c>
    </row>
    <row r="5662" spans="9:9" x14ac:dyDescent="0.25">
      <c r="I5662" s="227" t="str">
        <f>MID(excPisCofins[[#This Row],[CodBarras2]],2,50)</f>
        <v/>
      </c>
    </row>
    <row r="5663" spans="9:9" x14ac:dyDescent="0.25">
      <c r="I5663" s="227" t="str">
        <f>MID(excPisCofins[[#This Row],[CodBarras2]],2,50)</f>
        <v/>
      </c>
    </row>
    <row r="5664" spans="9:9" x14ac:dyDescent="0.25">
      <c r="I5664" s="227" t="str">
        <f>MID(excPisCofins[[#This Row],[CodBarras2]],2,50)</f>
        <v/>
      </c>
    </row>
    <row r="5665" spans="9:9" x14ac:dyDescent="0.25">
      <c r="I5665" s="227" t="str">
        <f>MID(excPisCofins[[#This Row],[CodBarras2]],2,50)</f>
        <v/>
      </c>
    </row>
    <row r="5666" spans="9:9" x14ac:dyDescent="0.25">
      <c r="I5666" s="227" t="str">
        <f>MID(excPisCofins[[#This Row],[CodBarras2]],2,50)</f>
        <v/>
      </c>
    </row>
    <row r="5667" spans="9:9" x14ac:dyDescent="0.25">
      <c r="I5667" s="227" t="str">
        <f>MID(excPisCofins[[#This Row],[CodBarras2]],2,50)</f>
        <v/>
      </c>
    </row>
    <row r="5668" spans="9:9" x14ac:dyDescent="0.25">
      <c r="I5668" s="227" t="str">
        <f>MID(excPisCofins[[#This Row],[CodBarras2]],2,50)</f>
        <v/>
      </c>
    </row>
    <row r="5669" spans="9:9" x14ac:dyDescent="0.25">
      <c r="I5669" s="227" t="str">
        <f>MID(excPisCofins[[#This Row],[CodBarras2]],2,50)</f>
        <v/>
      </c>
    </row>
    <row r="5670" spans="9:9" x14ac:dyDescent="0.25">
      <c r="I5670" s="227" t="str">
        <f>MID(excPisCofins[[#This Row],[CodBarras2]],2,50)</f>
        <v/>
      </c>
    </row>
    <row r="5671" spans="9:9" x14ac:dyDescent="0.25">
      <c r="I5671" s="227" t="str">
        <f>MID(excPisCofins[[#This Row],[CodBarras2]],2,50)</f>
        <v/>
      </c>
    </row>
    <row r="5672" spans="9:9" x14ac:dyDescent="0.25">
      <c r="I5672" s="227" t="str">
        <f>MID(excPisCofins[[#This Row],[CodBarras2]],2,50)</f>
        <v/>
      </c>
    </row>
    <row r="5673" spans="9:9" x14ac:dyDescent="0.25">
      <c r="I5673" s="227" t="str">
        <f>MID(excPisCofins[[#This Row],[CodBarras2]],2,50)</f>
        <v/>
      </c>
    </row>
    <row r="5674" spans="9:9" x14ac:dyDescent="0.25">
      <c r="I5674" s="227" t="str">
        <f>MID(excPisCofins[[#This Row],[CodBarras2]],2,50)</f>
        <v/>
      </c>
    </row>
    <row r="5675" spans="9:9" x14ac:dyDescent="0.25">
      <c r="I5675" s="227" t="str">
        <f>MID(excPisCofins[[#This Row],[CodBarras2]],2,50)</f>
        <v/>
      </c>
    </row>
    <row r="5676" spans="9:9" x14ac:dyDescent="0.25">
      <c r="I5676" s="227" t="str">
        <f>MID(excPisCofins[[#This Row],[CodBarras2]],2,50)</f>
        <v/>
      </c>
    </row>
    <row r="5677" spans="9:9" x14ac:dyDescent="0.25">
      <c r="I5677" s="227" t="str">
        <f>MID(excPisCofins[[#This Row],[CodBarras2]],2,50)</f>
        <v/>
      </c>
    </row>
    <row r="5678" spans="9:9" x14ac:dyDescent="0.25">
      <c r="I5678" s="227" t="str">
        <f>MID(excPisCofins[[#This Row],[CodBarras2]],2,50)</f>
        <v/>
      </c>
    </row>
    <row r="5679" spans="9:9" x14ac:dyDescent="0.25">
      <c r="I5679" s="227" t="str">
        <f>MID(excPisCofins[[#This Row],[CodBarras2]],2,50)</f>
        <v/>
      </c>
    </row>
    <row r="5680" spans="9:9" x14ac:dyDescent="0.25">
      <c r="I5680" s="227" t="str">
        <f>MID(excPisCofins[[#This Row],[CodBarras2]],2,50)</f>
        <v/>
      </c>
    </row>
    <row r="5681" spans="9:9" x14ac:dyDescent="0.25">
      <c r="I5681" s="227" t="str">
        <f>MID(excPisCofins[[#This Row],[CodBarras2]],2,50)</f>
        <v/>
      </c>
    </row>
    <row r="5682" spans="9:9" x14ac:dyDescent="0.25">
      <c r="I5682" s="227" t="str">
        <f>MID(excPisCofins[[#This Row],[CodBarras2]],2,50)</f>
        <v/>
      </c>
    </row>
    <row r="5683" spans="9:9" x14ac:dyDescent="0.25">
      <c r="I5683" s="227" t="str">
        <f>MID(excPisCofins[[#This Row],[CodBarras2]],2,50)</f>
        <v/>
      </c>
    </row>
    <row r="5684" spans="9:9" x14ac:dyDescent="0.25">
      <c r="I5684" s="227" t="str">
        <f>MID(excPisCofins[[#This Row],[CodBarras2]],2,50)</f>
        <v/>
      </c>
    </row>
    <row r="5685" spans="9:9" x14ac:dyDescent="0.25">
      <c r="I5685" s="227" t="str">
        <f>MID(excPisCofins[[#This Row],[CodBarras2]],2,50)</f>
        <v/>
      </c>
    </row>
    <row r="5686" spans="9:9" x14ac:dyDescent="0.25">
      <c r="I5686" s="227" t="str">
        <f>MID(excPisCofins[[#This Row],[CodBarras2]],2,50)</f>
        <v/>
      </c>
    </row>
    <row r="5687" spans="9:9" x14ac:dyDescent="0.25">
      <c r="I5687" s="227" t="str">
        <f>MID(excPisCofins[[#This Row],[CodBarras2]],2,50)</f>
        <v/>
      </c>
    </row>
    <row r="5688" spans="9:9" x14ac:dyDescent="0.25">
      <c r="I5688" s="227" t="str">
        <f>MID(excPisCofins[[#This Row],[CodBarras2]],2,50)</f>
        <v/>
      </c>
    </row>
    <row r="5689" spans="9:9" x14ac:dyDescent="0.25">
      <c r="I5689" s="227" t="str">
        <f>MID(excPisCofins[[#This Row],[CodBarras2]],2,50)</f>
        <v/>
      </c>
    </row>
    <row r="5690" spans="9:9" x14ac:dyDescent="0.25">
      <c r="I5690" s="227" t="str">
        <f>MID(excPisCofins[[#This Row],[CodBarras2]],2,50)</f>
        <v/>
      </c>
    </row>
    <row r="5691" spans="9:9" x14ac:dyDescent="0.25">
      <c r="I5691" s="227" t="str">
        <f>MID(excPisCofins[[#This Row],[CodBarras2]],2,50)</f>
        <v/>
      </c>
    </row>
    <row r="5692" spans="9:9" x14ac:dyDescent="0.25">
      <c r="I5692" s="227" t="str">
        <f>MID(excPisCofins[[#This Row],[CodBarras2]],2,50)</f>
        <v/>
      </c>
    </row>
    <row r="5693" spans="9:9" x14ac:dyDescent="0.25">
      <c r="I5693" s="227" t="str">
        <f>MID(excPisCofins[[#This Row],[CodBarras2]],2,50)</f>
        <v/>
      </c>
    </row>
    <row r="5694" spans="9:9" x14ac:dyDescent="0.25">
      <c r="I5694" s="227" t="str">
        <f>MID(excPisCofins[[#This Row],[CodBarras2]],2,50)</f>
        <v/>
      </c>
    </row>
    <row r="5695" spans="9:9" x14ac:dyDescent="0.25">
      <c r="I5695" s="227" t="str">
        <f>MID(excPisCofins[[#This Row],[CodBarras2]],2,50)</f>
        <v/>
      </c>
    </row>
    <row r="5696" spans="9:9" x14ac:dyDescent="0.25">
      <c r="I5696" s="227" t="str">
        <f>MID(excPisCofins[[#This Row],[CodBarras2]],2,50)</f>
        <v/>
      </c>
    </row>
    <row r="5697" spans="9:9" x14ac:dyDescent="0.25">
      <c r="I5697" s="227" t="str">
        <f>MID(excPisCofins[[#This Row],[CodBarras2]],2,50)</f>
        <v/>
      </c>
    </row>
    <row r="5698" spans="9:9" x14ac:dyDescent="0.25">
      <c r="I5698" s="227" t="str">
        <f>MID(excPisCofins[[#This Row],[CodBarras2]],2,50)</f>
        <v/>
      </c>
    </row>
    <row r="5699" spans="9:9" x14ac:dyDescent="0.25">
      <c r="I5699" s="227" t="str">
        <f>MID(excPisCofins[[#This Row],[CodBarras2]],2,50)</f>
        <v/>
      </c>
    </row>
    <row r="5700" spans="9:9" x14ac:dyDescent="0.25">
      <c r="I5700" s="227" t="str">
        <f>MID(excPisCofins[[#This Row],[CodBarras2]],2,50)</f>
        <v/>
      </c>
    </row>
    <row r="5701" spans="9:9" x14ac:dyDescent="0.25">
      <c r="I5701" s="227" t="str">
        <f>MID(excPisCofins[[#This Row],[CodBarras2]],2,50)</f>
        <v/>
      </c>
    </row>
    <row r="5702" spans="9:9" x14ac:dyDescent="0.25">
      <c r="I5702" s="227" t="str">
        <f>MID(excPisCofins[[#This Row],[CodBarras2]],2,50)</f>
        <v/>
      </c>
    </row>
    <row r="5703" spans="9:9" x14ac:dyDescent="0.25">
      <c r="I5703" s="227" t="str">
        <f>MID(excPisCofins[[#This Row],[CodBarras2]],2,50)</f>
        <v/>
      </c>
    </row>
    <row r="5704" spans="9:9" x14ac:dyDescent="0.25">
      <c r="I5704" s="227" t="str">
        <f>MID(excPisCofins[[#This Row],[CodBarras2]],2,50)</f>
        <v/>
      </c>
    </row>
    <row r="5705" spans="9:9" x14ac:dyDescent="0.25">
      <c r="I5705" s="227" t="str">
        <f>MID(excPisCofins[[#This Row],[CodBarras2]],2,50)</f>
        <v/>
      </c>
    </row>
    <row r="5706" spans="9:9" x14ac:dyDescent="0.25">
      <c r="I5706" s="227" t="str">
        <f>MID(excPisCofins[[#This Row],[CodBarras2]],2,50)</f>
        <v/>
      </c>
    </row>
    <row r="5707" spans="9:9" x14ac:dyDescent="0.25">
      <c r="I5707" s="227" t="str">
        <f>MID(excPisCofins[[#This Row],[CodBarras2]],2,50)</f>
        <v/>
      </c>
    </row>
    <row r="5708" spans="9:9" x14ac:dyDescent="0.25">
      <c r="I5708" s="227" t="str">
        <f>MID(excPisCofins[[#This Row],[CodBarras2]],2,50)</f>
        <v/>
      </c>
    </row>
    <row r="5709" spans="9:9" x14ac:dyDescent="0.25">
      <c r="I5709" s="227" t="str">
        <f>MID(excPisCofins[[#This Row],[CodBarras2]],2,50)</f>
        <v/>
      </c>
    </row>
    <row r="5710" spans="9:9" x14ac:dyDescent="0.25">
      <c r="I5710" s="227" t="str">
        <f>MID(excPisCofins[[#This Row],[CodBarras2]],2,50)</f>
        <v/>
      </c>
    </row>
    <row r="5711" spans="9:9" x14ac:dyDescent="0.25">
      <c r="I5711" s="227" t="str">
        <f>MID(excPisCofins[[#This Row],[CodBarras2]],2,50)</f>
        <v/>
      </c>
    </row>
    <row r="5712" spans="9:9" x14ac:dyDescent="0.25">
      <c r="I5712" s="227" t="str">
        <f>MID(excPisCofins[[#This Row],[CodBarras2]],2,50)</f>
        <v/>
      </c>
    </row>
    <row r="5713" spans="9:9" x14ac:dyDescent="0.25">
      <c r="I5713" s="227" t="str">
        <f>MID(excPisCofins[[#This Row],[CodBarras2]],2,50)</f>
        <v/>
      </c>
    </row>
    <row r="5714" spans="9:9" x14ac:dyDescent="0.25">
      <c r="I5714" s="227" t="str">
        <f>MID(excPisCofins[[#This Row],[CodBarras2]],2,50)</f>
        <v/>
      </c>
    </row>
    <row r="5715" spans="9:9" x14ac:dyDescent="0.25">
      <c r="I5715" s="227" t="str">
        <f>MID(excPisCofins[[#This Row],[CodBarras2]],2,50)</f>
        <v/>
      </c>
    </row>
    <row r="5716" spans="9:9" x14ac:dyDescent="0.25">
      <c r="I5716" s="227" t="str">
        <f>MID(excPisCofins[[#This Row],[CodBarras2]],2,50)</f>
        <v/>
      </c>
    </row>
    <row r="5717" spans="9:9" x14ac:dyDescent="0.25">
      <c r="I5717" s="227" t="str">
        <f>MID(excPisCofins[[#This Row],[CodBarras2]],2,50)</f>
        <v/>
      </c>
    </row>
    <row r="5718" spans="9:9" x14ac:dyDescent="0.25">
      <c r="I5718" s="227" t="str">
        <f>MID(excPisCofins[[#This Row],[CodBarras2]],2,50)</f>
        <v/>
      </c>
    </row>
    <row r="5719" spans="9:9" x14ac:dyDescent="0.25">
      <c r="I5719" s="227" t="str">
        <f>MID(excPisCofins[[#This Row],[CodBarras2]],2,50)</f>
        <v/>
      </c>
    </row>
    <row r="5720" spans="9:9" x14ac:dyDescent="0.25">
      <c r="I5720" s="227" t="str">
        <f>MID(excPisCofins[[#This Row],[CodBarras2]],2,50)</f>
        <v/>
      </c>
    </row>
    <row r="5721" spans="9:9" x14ac:dyDescent="0.25">
      <c r="I5721" s="227" t="str">
        <f>MID(excPisCofins[[#This Row],[CodBarras2]],2,50)</f>
        <v/>
      </c>
    </row>
    <row r="5722" spans="9:9" x14ac:dyDescent="0.25">
      <c r="I5722" s="227" t="str">
        <f>MID(excPisCofins[[#This Row],[CodBarras2]],2,50)</f>
        <v/>
      </c>
    </row>
    <row r="5723" spans="9:9" x14ac:dyDescent="0.25">
      <c r="I5723" s="227" t="str">
        <f>MID(excPisCofins[[#This Row],[CodBarras2]],2,50)</f>
        <v/>
      </c>
    </row>
    <row r="5724" spans="9:9" x14ac:dyDescent="0.25">
      <c r="I5724" s="227" t="str">
        <f>MID(excPisCofins[[#This Row],[CodBarras2]],2,50)</f>
        <v/>
      </c>
    </row>
    <row r="5725" spans="9:9" x14ac:dyDescent="0.25">
      <c r="I5725" s="227" t="str">
        <f>MID(excPisCofins[[#This Row],[CodBarras2]],2,50)</f>
        <v/>
      </c>
    </row>
    <row r="5726" spans="9:9" x14ac:dyDescent="0.25">
      <c r="I5726" s="227" t="str">
        <f>MID(excPisCofins[[#This Row],[CodBarras2]],2,50)</f>
        <v/>
      </c>
    </row>
    <row r="5727" spans="9:9" x14ac:dyDescent="0.25">
      <c r="I5727" s="227" t="str">
        <f>MID(excPisCofins[[#This Row],[CodBarras2]],2,50)</f>
        <v/>
      </c>
    </row>
    <row r="5728" spans="9:9" x14ac:dyDescent="0.25">
      <c r="I5728" s="227" t="str">
        <f>MID(excPisCofins[[#This Row],[CodBarras2]],2,50)</f>
        <v/>
      </c>
    </row>
    <row r="5729" spans="9:9" x14ac:dyDescent="0.25">
      <c r="I5729" s="227" t="str">
        <f>MID(excPisCofins[[#This Row],[CodBarras2]],2,50)</f>
        <v/>
      </c>
    </row>
    <row r="5730" spans="9:9" x14ac:dyDescent="0.25">
      <c r="I5730" s="227" t="str">
        <f>MID(excPisCofins[[#This Row],[CodBarras2]],2,50)</f>
        <v/>
      </c>
    </row>
    <row r="5731" spans="9:9" x14ac:dyDescent="0.25">
      <c r="I5731" s="227" t="str">
        <f>MID(excPisCofins[[#This Row],[CodBarras2]],2,50)</f>
        <v/>
      </c>
    </row>
    <row r="5732" spans="9:9" x14ac:dyDescent="0.25">
      <c r="I5732" s="227" t="str">
        <f>MID(excPisCofins[[#This Row],[CodBarras2]],2,50)</f>
        <v/>
      </c>
    </row>
    <row r="5733" spans="9:9" x14ac:dyDescent="0.25">
      <c r="I5733" s="227" t="str">
        <f>MID(excPisCofins[[#This Row],[CodBarras2]],2,50)</f>
        <v/>
      </c>
    </row>
    <row r="5734" spans="9:9" x14ac:dyDescent="0.25">
      <c r="I5734" s="227" t="str">
        <f>MID(excPisCofins[[#This Row],[CodBarras2]],2,50)</f>
        <v/>
      </c>
    </row>
    <row r="5735" spans="9:9" x14ac:dyDescent="0.25">
      <c r="I5735" s="227" t="str">
        <f>MID(excPisCofins[[#This Row],[CodBarras2]],2,50)</f>
        <v/>
      </c>
    </row>
    <row r="5736" spans="9:9" x14ac:dyDescent="0.25">
      <c r="I5736" s="227" t="str">
        <f>MID(excPisCofins[[#This Row],[CodBarras2]],2,50)</f>
        <v/>
      </c>
    </row>
    <row r="5737" spans="9:9" x14ac:dyDescent="0.25">
      <c r="I5737" s="227" t="str">
        <f>MID(excPisCofins[[#This Row],[CodBarras2]],2,50)</f>
        <v/>
      </c>
    </row>
    <row r="5738" spans="9:9" x14ac:dyDescent="0.25">
      <c r="I5738" s="227" t="str">
        <f>MID(excPisCofins[[#This Row],[CodBarras2]],2,50)</f>
        <v/>
      </c>
    </row>
    <row r="5739" spans="9:9" x14ac:dyDescent="0.25">
      <c r="I5739" s="227" t="str">
        <f>MID(excPisCofins[[#This Row],[CodBarras2]],2,50)</f>
        <v/>
      </c>
    </row>
    <row r="5740" spans="9:9" x14ac:dyDescent="0.25">
      <c r="I5740" s="227" t="str">
        <f>MID(excPisCofins[[#This Row],[CodBarras2]],2,50)</f>
        <v/>
      </c>
    </row>
    <row r="5741" spans="9:9" x14ac:dyDescent="0.25">
      <c r="I5741" s="227" t="str">
        <f>MID(excPisCofins[[#This Row],[CodBarras2]],2,50)</f>
        <v/>
      </c>
    </row>
    <row r="5742" spans="9:9" x14ac:dyDescent="0.25">
      <c r="I5742" s="227" t="str">
        <f>MID(excPisCofins[[#This Row],[CodBarras2]],2,50)</f>
        <v/>
      </c>
    </row>
    <row r="5743" spans="9:9" x14ac:dyDescent="0.25">
      <c r="I5743" s="227" t="str">
        <f>MID(excPisCofins[[#This Row],[CodBarras2]],2,50)</f>
        <v/>
      </c>
    </row>
    <row r="5744" spans="9:9" x14ac:dyDescent="0.25">
      <c r="I5744" s="227" t="str">
        <f>MID(excPisCofins[[#This Row],[CodBarras2]],2,50)</f>
        <v/>
      </c>
    </row>
    <row r="5745" spans="9:9" x14ac:dyDescent="0.25">
      <c r="I5745" s="227" t="str">
        <f>MID(excPisCofins[[#This Row],[CodBarras2]],2,50)</f>
        <v/>
      </c>
    </row>
    <row r="5746" spans="9:9" x14ac:dyDescent="0.25">
      <c r="I5746" s="227" t="str">
        <f>MID(excPisCofins[[#This Row],[CodBarras2]],2,50)</f>
        <v/>
      </c>
    </row>
    <row r="5747" spans="9:9" x14ac:dyDescent="0.25">
      <c r="I5747" s="227" t="str">
        <f>MID(excPisCofins[[#This Row],[CodBarras2]],2,50)</f>
        <v/>
      </c>
    </row>
    <row r="5748" spans="9:9" x14ac:dyDescent="0.25">
      <c r="I5748" s="227" t="str">
        <f>MID(excPisCofins[[#This Row],[CodBarras2]],2,50)</f>
        <v/>
      </c>
    </row>
    <row r="5749" spans="9:9" x14ac:dyDescent="0.25">
      <c r="I5749" s="227" t="str">
        <f>MID(excPisCofins[[#This Row],[CodBarras2]],2,50)</f>
        <v/>
      </c>
    </row>
    <row r="5750" spans="9:9" x14ac:dyDescent="0.25">
      <c r="I5750" s="227" t="str">
        <f>MID(excPisCofins[[#This Row],[CodBarras2]],2,50)</f>
        <v/>
      </c>
    </row>
    <row r="5751" spans="9:9" x14ac:dyDescent="0.25">
      <c r="I5751" s="227" t="str">
        <f>MID(excPisCofins[[#This Row],[CodBarras2]],2,50)</f>
        <v/>
      </c>
    </row>
    <row r="5752" spans="9:9" x14ac:dyDescent="0.25">
      <c r="I5752" s="227" t="str">
        <f>MID(excPisCofins[[#This Row],[CodBarras2]],2,50)</f>
        <v/>
      </c>
    </row>
    <row r="5753" spans="9:9" x14ac:dyDescent="0.25">
      <c r="I5753" s="227" t="str">
        <f>MID(excPisCofins[[#This Row],[CodBarras2]],2,50)</f>
        <v/>
      </c>
    </row>
    <row r="5754" spans="9:9" x14ac:dyDescent="0.25">
      <c r="I5754" s="227" t="str">
        <f>MID(excPisCofins[[#This Row],[CodBarras2]],2,50)</f>
        <v/>
      </c>
    </row>
    <row r="5755" spans="9:9" x14ac:dyDescent="0.25">
      <c r="I5755" s="227" t="str">
        <f>MID(excPisCofins[[#This Row],[CodBarras2]],2,50)</f>
        <v/>
      </c>
    </row>
    <row r="5756" spans="9:9" x14ac:dyDescent="0.25">
      <c r="I5756" s="227" t="str">
        <f>MID(excPisCofins[[#This Row],[CodBarras2]],2,50)</f>
        <v/>
      </c>
    </row>
    <row r="5757" spans="9:9" x14ac:dyDescent="0.25">
      <c r="I5757" s="227" t="str">
        <f>MID(excPisCofins[[#This Row],[CodBarras2]],2,50)</f>
        <v/>
      </c>
    </row>
    <row r="5758" spans="9:9" x14ac:dyDescent="0.25">
      <c r="I5758" s="227" t="str">
        <f>MID(excPisCofins[[#This Row],[CodBarras2]],2,50)</f>
        <v/>
      </c>
    </row>
    <row r="5759" spans="9:9" x14ac:dyDescent="0.25">
      <c r="I5759" s="227" t="str">
        <f>MID(excPisCofins[[#This Row],[CodBarras2]],2,50)</f>
        <v/>
      </c>
    </row>
    <row r="5760" spans="9:9" x14ac:dyDescent="0.25">
      <c r="I5760" s="227" t="str">
        <f>MID(excPisCofins[[#This Row],[CodBarras2]],2,50)</f>
        <v/>
      </c>
    </row>
    <row r="5761" spans="9:9" x14ac:dyDescent="0.25">
      <c r="I5761" s="227" t="str">
        <f>MID(excPisCofins[[#This Row],[CodBarras2]],2,50)</f>
        <v/>
      </c>
    </row>
    <row r="5762" spans="9:9" x14ac:dyDescent="0.25">
      <c r="I5762" s="227" t="str">
        <f>MID(excPisCofins[[#This Row],[CodBarras2]],2,50)</f>
        <v/>
      </c>
    </row>
    <row r="5763" spans="9:9" x14ac:dyDescent="0.25">
      <c r="I5763" s="227" t="str">
        <f>MID(excPisCofins[[#This Row],[CodBarras2]],2,50)</f>
        <v/>
      </c>
    </row>
    <row r="5764" spans="9:9" x14ac:dyDescent="0.25">
      <c r="I5764" s="227" t="str">
        <f>MID(excPisCofins[[#This Row],[CodBarras2]],2,50)</f>
        <v/>
      </c>
    </row>
    <row r="5765" spans="9:9" x14ac:dyDescent="0.25">
      <c r="I5765" s="227" t="str">
        <f>MID(excPisCofins[[#This Row],[CodBarras2]],2,50)</f>
        <v/>
      </c>
    </row>
    <row r="5766" spans="9:9" x14ac:dyDescent="0.25">
      <c r="I5766" s="227" t="str">
        <f>MID(excPisCofins[[#This Row],[CodBarras2]],2,50)</f>
        <v/>
      </c>
    </row>
    <row r="5767" spans="9:9" x14ac:dyDescent="0.25">
      <c r="I5767" s="227" t="str">
        <f>MID(excPisCofins[[#This Row],[CodBarras2]],2,50)</f>
        <v/>
      </c>
    </row>
    <row r="5768" spans="9:9" x14ac:dyDescent="0.25">
      <c r="I5768" s="227" t="str">
        <f>MID(excPisCofins[[#This Row],[CodBarras2]],2,50)</f>
        <v/>
      </c>
    </row>
    <row r="5769" spans="9:9" x14ac:dyDescent="0.25">
      <c r="I5769" s="227" t="str">
        <f>MID(excPisCofins[[#This Row],[CodBarras2]],2,50)</f>
        <v/>
      </c>
    </row>
    <row r="5770" spans="9:9" x14ac:dyDescent="0.25">
      <c r="I5770" s="227" t="str">
        <f>MID(excPisCofins[[#This Row],[CodBarras2]],2,50)</f>
        <v/>
      </c>
    </row>
    <row r="5771" spans="9:9" x14ac:dyDescent="0.25">
      <c r="I5771" s="227" t="str">
        <f>MID(excPisCofins[[#This Row],[CodBarras2]],2,50)</f>
        <v/>
      </c>
    </row>
    <row r="5772" spans="9:9" x14ac:dyDescent="0.25">
      <c r="I5772" s="227" t="str">
        <f>MID(excPisCofins[[#This Row],[CodBarras2]],2,50)</f>
        <v/>
      </c>
    </row>
    <row r="5773" spans="9:9" x14ac:dyDescent="0.25">
      <c r="I5773" s="227" t="str">
        <f>MID(excPisCofins[[#This Row],[CodBarras2]],2,50)</f>
        <v/>
      </c>
    </row>
    <row r="5774" spans="9:9" x14ac:dyDescent="0.25">
      <c r="I5774" s="227" t="str">
        <f>MID(excPisCofins[[#This Row],[CodBarras2]],2,50)</f>
        <v/>
      </c>
    </row>
    <row r="5775" spans="9:9" x14ac:dyDescent="0.25">
      <c r="I5775" s="227" t="str">
        <f>MID(excPisCofins[[#This Row],[CodBarras2]],2,50)</f>
        <v/>
      </c>
    </row>
    <row r="5776" spans="9:9" x14ac:dyDescent="0.25">
      <c r="I5776" s="227" t="str">
        <f>MID(excPisCofins[[#This Row],[CodBarras2]],2,50)</f>
        <v/>
      </c>
    </row>
    <row r="5777" spans="9:9" x14ac:dyDescent="0.25">
      <c r="I5777" s="227" t="str">
        <f>MID(excPisCofins[[#This Row],[CodBarras2]],2,50)</f>
        <v/>
      </c>
    </row>
    <row r="5778" spans="9:9" x14ac:dyDescent="0.25">
      <c r="I5778" s="227" t="str">
        <f>MID(excPisCofins[[#This Row],[CodBarras2]],2,50)</f>
        <v/>
      </c>
    </row>
    <row r="5779" spans="9:9" x14ac:dyDescent="0.25">
      <c r="I5779" s="227" t="str">
        <f>MID(excPisCofins[[#This Row],[CodBarras2]],2,50)</f>
        <v/>
      </c>
    </row>
    <row r="5780" spans="9:9" x14ac:dyDescent="0.25">
      <c r="I5780" s="227" t="str">
        <f>MID(excPisCofins[[#This Row],[CodBarras2]],2,50)</f>
        <v/>
      </c>
    </row>
    <row r="5781" spans="9:9" x14ac:dyDescent="0.25">
      <c r="I5781" s="227" t="str">
        <f>MID(excPisCofins[[#This Row],[CodBarras2]],2,50)</f>
        <v/>
      </c>
    </row>
    <row r="5782" spans="9:9" x14ac:dyDescent="0.25">
      <c r="I5782" s="227" t="str">
        <f>MID(excPisCofins[[#This Row],[CodBarras2]],2,50)</f>
        <v/>
      </c>
    </row>
    <row r="5783" spans="9:9" x14ac:dyDescent="0.25">
      <c r="I5783" s="227" t="str">
        <f>MID(excPisCofins[[#This Row],[CodBarras2]],2,50)</f>
        <v/>
      </c>
    </row>
    <row r="5784" spans="9:9" x14ac:dyDescent="0.25">
      <c r="I5784" s="227" t="str">
        <f>MID(excPisCofins[[#This Row],[CodBarras2]],2,50)</f>
        <v/>
      </c>
    </row>
    <row r="5785" spans="9:9" x14ac:dyDescent="0.25">
      <c r="I5785" s="227" t="str">
        <f>MID(excPisCofins[[#This Row],[CodBarras2]],2,50)</f>
        <v/>
      </c>
    </row>
    <row r="5786" spans="9:9" x14ac:dyDescent="0.25">
      <c r="I5786" s="227" t="str">
        <f>MID(excPisCofins[[#This Row],[CodBarras2]],2,50)</f>
        <v/>
      </c>
    </row>
    <row r="5787" spans="9:9" x14ac:dyDescent="0.25">
      <c r="I5787" s="227" t="str">
        <f>MID(excPisCofins[[#This Row],[CodBarras2]],2,50)</f>
        <v/>
      </c>
    </row>
    <row r="5788" spans="9:9" x14ac:dyDescent="0.25">
      <c r="I5788" s="227" t="str">
        <f>MID(excPisCofins[[#This Row],[CodBarras2]],2,50)</f>
        <v/>
      </c>
    </row>
    <row r="5789" spans="9:9" x14ac:dyDescent="0.25">
      <c r="I5789" s="227" t="str">
        <f>MID(excPisCofins[[#This Row],[CodBarras2]],2,50)</f>
        <v/>
      </c>
    </row>
    <row r="5790" spans="9:9" x14ac:dyDescent="0.25">
      <c r="I5790" s="227" t="str">
        <f>MID(excPisCofins[[#This Row],[CodBarras2]],2,50)</f>
        <v/>
      </c>
    </row>
    <row r="5791" spans="9:9" x14ac:dyDescent="0.25">
      <c r="I5791" s="227" t="str">
        <f>MID(excPisCofins[[#This Row],[CodBarras2]],2,50)</f>
        <v/>
      </c>
    </row>
    <row r="5792" spans="9:9" x14ac:dyDescent="0.25">
      <c r="I5792" s="227" t="str">
        <f>MID(excPisCofins[[#This Row],[CodBarras2]],2,50)</f>
        <v/>
      </c>
    </row>
    <row r="5793" spans="9:9" x14ac:dyDescent="0.25">
      <c r="I5793" s="227" t="str">
        <f>MID(excPisCofins[[#This Row],[CodBarras2]],2,50)</f>
        <v/>
      </c>
    </row>
    <row r="5794" spans="9:9" x14ac:dyDescent="0.25">
      <c r="I5794" s="227" t="str">
        <f>MID(excPisCofins[[#This Row],[CodBarras2]],2,50)</f>
        <v/>
      </c>
    </row>
    <row r="5795" spans="9:9" x14ac:dyDescent="0.25">
      <c r="I5795" s="227" t="str">
        <f>MID(excPisCofins[[#This Row],[CodBarras2]],2,50)</f>
        <v/>
      </c>
    </row>
    <row r="5796" spans="9:9" x14ac:dyDescent="0.25">
      <c r="I5796" s="227" t="str">
        <f>MID(excPisCofins[[#This Row],[CodBarras2]],2,50)</f>
        <v/>
      </c>
    </row>
    <row r="5797" spans="9:9" x14ac:dyDescent="0.25">
      <c r="I5797" s="227" t="str">
        <f>MID(excPisCofins[[#This Row],[CodBarras2]],2,50)</f>
        <v/>
      </c>
    </row>
    <row r="5798" spans="9:9" x14ac:dyDescent="0.25">
      <c r="I5798" s="227" t="str">
        <f>MID(excPisCofins[[#This Row],[CodBarras2]],2,50)</f>
        <v/>
      </c>
    </row>
    <row r="5799" spans="9:9" x14ac:dyDescent="0.25">
      <c r="I5799" s="227" t="str">
        <f>MID(excPisCofins[[#This Row],[CodBarras2]],2,50)</f>
        <v/>
      </c>
    </row>
    <row r="5800" spans="9:9" x14ac:dyDescent="0.25">
      <c r="I5800" s="227" t="str">
        <f>MID(excPisCofins[[#This Row],[CodBarras2]],2,50)</f>
        <v/>
      </c>
    </row>
    <row r="5801" spans="9:9" x14ac:dyDescent="0.25">
      <c r="I5801" s="227" t="str">
        <f>MID(excPisCofins[[#This Row],[CodBarras2]],2,50)</f>
        <v/>
      </c>
    </row>
    <row r="5802" spans="9:9" x14ac:dyDescent="0.25">
      <c r="I5802" s="227" t="str">
        <f>MID(excPisCofins[[#This Row],[CodBarras2]],2,50)</f>
        <v/>
      </c>
    </row>
    <row r="5803" spans="9:9" x14ac:dyDescent="0.25">
      <c r="I5803" s="227" t="str">
        <f>MID(excPisCofins[[#This Row],[CodBarras2]],2,50)</f>
        <v/>
      </c>
    </row>
    <row r="5804" spans="9:9" x14ac:dyDescent="0.25">
      <c r="I5804" s="227" t="str">
        <f>MID(excPisCofins[[#This Row],[CodBarras2]],2,50)</f>
        <v/>
      </c>
    </row>
    <row r="5805" spans="9:9" x14ac:dyDescent="0.25">
      <c r="I5805" s="227" t="str">
        <f>MID(excPisCofins[[#This Row],[CodBarras2]],2,50)</f>
        <v/>
      </c>
    </row>
    <row r="5806" spans="9:9" x14ac:dyDescent="0.25">
      <c r="I5806" s="227" t="str">
        <f>MID(excPisCofins[[#This Row],[CodBarras2]],2,50)</f>
        <v/>
      </c>
    </row>
    <row r="5807" spans="9:9" x14ac:dyDescent="0.25">
      <c r="I5807" s="227" t="str">
        <f>MID(excPisCofins[[#This Row],[CodBarras2]],2,50)</f>
        <v/>
      </c>
    </row>
    <row r="5808" spans="9:9" x14ac:dyDescent="0.25">
      <c r="I5808" s="227" t="str">
        <f>MID(excPisCofins[[#This Row],[CodBarras2]],2,50)</f>
        <v/>
      </c>
    </row>
    <row r="5809" spans="9:9" x14ac:dyDescent="0.25">
      <c r="I5809" s="227" t="str">
        <f>MID(excPisCofins[[#This Row],[CodBarras2]],2,50)</f>
        <v/>
      </c>
    </row>
    <row r="5810" spans="9:9" x14ac:dyDescent="0.25">
      <c r="I5810" s="227" t="str">
        <f>MID(excPisCofins[[#This Row],[CodBarras2]],2,50)</f>
        <v/>
      </c>
    </row>
    <row r="5811" spans="9:9" x14ac:dyDescent="0.25">
      <c r="I5811" s="227" t="str">
        <f>MID(excPisCofins[[#This Row],[CodBarras2]],2,50)</f>
        <v/>
      </c>
    </row>
    <row r="5812" spans="9:9" x14ac:dyDescent="0.25">
      <c r="I5812" s="227" t="str">
        <f>MID(excPisCofins[[#This Row],[CodBarras2]],2,50)</f>
        <v/>
      </c>
    </row>
    <row r="5813" spans="9:9" x14ac:dyDescent="0.25">
      <c r="I5813" s="227" t="str">
        <f>MID(excPisCofins[[#This Row],[CodBarras2]],2,50)</f>
        <v/>
      </c>
    </row>
    <row r="5814" spans="9:9" x14ac:dyDescent="0.25">
      <c r="I5814" s="227" t="str">
        <f>MID(excPisCofins[[#This Row],[CodBarras2]],2,50)</f>
        <v/>
      </c>
    </row>
    <row r="5815" spans="9:9" x14ac:dyDescent="0.25">
      <c r="I5815" s="227" t="str">
        <f>MID(excPisCofins[[#This Row],[CodBarras2]],2,50)</f>
        <v/>
      </c>
    </row>
    <row r="5816" spans="9:9" x14ac:dyDescent="0.25">
      <c r="I5816" s="227" t="str">
        <f>MID(excPisCofins[[#This Row],[CodBarras2]],2,50)</f>
        <v/>
      </c>
    </row>
    <row r="5817" spans="9:9" x14ac:dyDescent="0.25">
      <c r="I5817" s="227" t="str">
        <f>MID(excPisCofins[[#This Row],[CodBarras2]],2,50)</f>
        <v/>
      </c>
    </row>
    <row r="5818" spans="9:9" x14ac:dyDescent="0.25">
      <c r="I5818" s="227" t="str">
        <f>MID(excPisCofins[[#This Row],[CodBarras2]],2,50)</f>
        <v/>
      </c>
    </row>
    <row r="5819" spans="9:9" x14ac:dyDescent="0.25">
      <c r="I5819" s="227" t="str">
        <f>MID(excPisCofins[[#This Row],[CodBarras2]],2,50)</f>
        <v/>
      </c>
    </row>
    <row r="5820" spans="9:9" x14ac:dyDescent="0.25">
      <c r="I5820" s="227" t="str">
        <f>MID(excPisCofins[[#This Row],[CodBarras2]],2,50)</f>
        <v/>
      </c>
    </row>
    <row r="5821" spans="9:9" x14ac:dyDescent="0.25">
      <c r="I5821" s="227" t="str">
        <f>MID(excPisCofins[[#This Row],[CodBarras2]],2,50)</f>
        <v/>
      </c>
    </row>
    <row r="5822" spans="9:9" x14ac:dyDescent="0.25">
      <c r="I5822" s="227" t="str">
        <f>MID(excPisCofins[[#This Row],[CodBarras2]],2,50)</f>
        <v/>
      </c>
    </row>
    <row r="5823" spans="9:9" x14ac:dyDescent="0.25">
      <c r="I5823" s="227" t="str">
        <f>MID(excPisCofins[[#This Row],[CodBarras2]],2,50)</f>
        <v/>
      </c>
    </row>
    <row r="5824" spans="9:9" x14ac:dyDescent="0.25">
      <c r="I5824" s="227" t="str">
        <f>MID(excPisCofins[[#This Row],[CodBarras2]],2,50)</f>
        <v/>
      </c>
    </row>
    <row r="5825" spans="9:9" x14ac:dyDescent="0.25">
      <c r="I5825" s="227" t="str">
        <f>MID(excPisCofins[[#This Row],[CodBarras2]],2,50)</f>
        <v/>
      </c>
    </row>
    <row r="5826" spans="9:9" x14ac:dyDescent="0.25">
      <c r="I5826" s="227" t="str">
        <f>MID(excPisCofins[[#This Row],[CodBarras2]],2,50)</f>
        <v/>
      </c>
    </row>
    <row r="5827" spans="9:9" x14ac:dyDescent="0.25">
      <c r="I5827" s="227" t="str">
        <f>MID(excPisCofins[[#This Row],[CodBarras2]],2,50)</f>
        <v/>
      </c>
    </row>
    <row r="5828" spans="9:9" x14ac:dyDescent="0.25">
      <c r="I5828" s="227" t="str">
        <f>MID(excPisCofins[[#This Row],[CodBarras2]],2,50)</f>
        <v/>
      </c>
    </row>
    <row r="5829" spans="9:9" x14ac:dyDescent="0.25">
      <c r="I5829" s="227" t="str">
        <f>MID(excPisCofins[[#This Row],[CodBarras2]],2,50)</f>
        <v/>
      </c>
    </row>
    <row r="5830" spans="9:9" x14ac:dyDescent="0.25">
      <c r="I5830" s="227" t="str">
        <f>MID(excPisCofins[[#This Row],[CodBarras2]],2,50)</f>
        <v/>
      </c>
    </row>
    <row r="5831" spans="9:9" x14ac:dyDescent="0.25">
      <c r="I5831" s="227" t="str">
        <f>MID(excPisCofins[[#This Row],[CodBarras2]],2,50)</f>
        <v/>
      </c>
    </row>
    <row r="5832" spans="9:9" x14ac:dyDescent="0.25">
      <c r="I5832" s="227" t="str">
        <f>MID(excPisCofins[[#This Row],[CodBarras2]],2,50)</f>
        <v/>
      </c>
    </row>
    <row r="5833" spans="9:9" x14ac:dyDescent="0.25">
      <c r="I5833" s="227" t="str">
        <f>MID(excPisCofins[[#This Row],[CodBarras2]],2,50)</f>
        <v/>
      </c>
    </row>
    <row r="5834" spans="9:9" x14ac:dyDescent="0.25">
      <c r="I5834" s="227" t="str">
        <f>MID(excPisCofins[[#This Row],[CodBarras2]],2,50)</f>
        <v/>
      </c>
    </row>
    <row r="5835" spans="9:9" x14ac:dyDescent="0.25">
      <c r="I5835" s="227" t="str">
        <f>MID(excPisCofins[[#This Row],[CodBarras2]],2,50)</f>
        <v/>
      </c>
    </row>
    <row r="5836" spans="9:9" x14ac:dyDescent="0.25">
      <c r="I5836" s="227" t="str">
        <f>MID(excPisCofins[[#This Row],[CodBarras2]],2,50)</f>
        <v/>
      </c>
    </row>
    <row r="5837" spans="9:9" x14ac:dyDescent="0.25">
      <c r="I5837" s="227" t="str">
        <f>MID(excPisCofins[[#This Row],[CodBarras2]],2,50)</f>
        <v/>
      </c>
    </row>
    <row r="5838" spans="9:9" x14ac:dyDescent="0.25">
      <c r="I5838" s="227" t="str">
        <f>MID(excPisCofins[[#This Row],[CodBarras2]],2,50)</f>
        <v/>
      </c>
    </row>
    <row r="5839" spans="9:9" x14ac:dyDescent="0.25">
      <c r="I5839" s="227" t="str">
        <f>MID(excPisCofins[[#This Row],[CodBarras2]],2,50)</f>
        <v/>
      </c>
    </row>
    <row r="5840" spans="9:9" x14ac:dyDescent="0.25">
      <c r="I5840" s="227" t="str">
        <f>MID(excPisCofins[[#This Row],[CodBarras2]],2,50)</f>
        <v/>
      </c>
    </row>
    <row r="5841" spans="9:9" x14ac:dyDescent="0.25">
      <c r="I5841" s="227" t="str">
        <f>MID(excPisCofins[[#This Row],[CodBarras2]],2,50)</f>
        <v/>
      </c>
    </row>
    <row r="5842" spans="9:9" x14ac:dyDescent="0.25">
      <c r="I5842" s="227" t="str">
        <f>MID(excPisCofins[[#This Row],[CodBarras2]],2,50)</f>
        <v/>
      </c>
    </row>
    <row r="5843" spans="9:9" x14ac:dyDescent="0.25">
      <c r="I5843" s="227" t="str">
        <f>MID(excPisCofins[[#This Row],[CodBarras2]],2,50)</f>
        <v/>
      </c>
    </row>
    <row r="5844" spans="9:9" x14ac:dyDescent="0.25">
      <c r="I5844" s="227" t="str">
        <f>MID(excPisCofins[[#This Row],[CodBarras2]],2,50)</f>
        <v/>
      </c>
    </row>
    <row r="5845" spans="9:9" x14ac:dyDescent="0.25">
      <c r="I5845" s="227" t="str">
        <f>MID(excPisCofins[[#This Row],[CodBarras2]],2,50)</f>
        <v/>
      </c>
    </row>
    <row r="5846" spans="9:9" x14ac:dyDescent="0.25">
      <c r="I5846" s="227" t="str">
        <f>MID(excPisCofins[[#This Row],[CodBarras2]],2,50)</f>
        <v/>
      </c>
    </row>
    <row r="5847" spans="9:9" x14ac:dyDescent="0.25">
      <c r="I5847" s="227" t="str">
        <f>MID(excPisCofins[[#This Row],[CodBarras2]],2,50)</f>
        <v/>
      </c>
    </row>
    <row r="5848" spans="9:9" x14ac:dyDescent="0.25">
      <c r="I5848" s="227" t="str">
        <f>MID(excPisCofins[[#This Row],[CodBarras2]],2,50)</f>
        <v/>
      </c>
    </row>
    <row r="5849" spans="9:9" x14ac:dyDescent="0.25">
      <c r="I5849" s="227" t="str">
        <f>MID(excPisCofins[[#This Row],[CodBarras2]],2,50)</f>
        <v/>
      </c>
    </row>
    <row r="5850" spans="9:9" x14ac:dyDescent="0.25">
      <c r="I5850" s="227" t="str">
        <f>MID(excPisCofins[[#This Row],[CodBarras2]],2,50)</f>
        <v/>
      </c>
    </row>
    <row r="5851" spans="9:9" x14ac:dyDescent="0.25">
      <c r="I5851" s="227" t="str">
        <f>MID(excPisCofins[[#This Row],[CodBarras2]],2,50)</f>
        <v/>
      </c>
    </row>
    <row r="5852" spans="9:9" x14ac:dyDescent="0.25">
      <c r="I5852" s="227" t="str">
        <f>MID(excPisCofins[[#This Row],[CodBarras2]],2,50)</f>
        <v/>
      </c>
    </row>
    <row r="5853" spans="9:9" x14ac:dyDescent="0.25">
      <c r="I5853" s="227" t="str">
        <f>MID(excPisCofins[[#This Row],[CodBarras2]],2,50)</f>
        <v/>
      </c>
    </row>
    <row r="5854" spans="9:9" x14ac:dyDescent="0.25">
      <c r="I5854" s="227" t="str">
        <f>MID(excPisCofins[[#This Row],[CodBarras2]],2,50)</f>
        <v/>
      </c>
    </row>
    <row r="5855" spans="9:9" x14ac:dyDescent="0.25">
      <c r="I5855" s="227" t="str">
        <f>MID(excPisCofins[[#This Row],[CodBarras2]],2,50)</f>
        <v/>
      </c>
    </row>
    <row r="5856" spans="9:9" x14ac:dyDescent="0.25">
      <c r="I5856" s="227" t="str">
        <f>MID(excPisCofins[[#This Row],[CodBarras2]],2,50)</f>
        <v/>
      </c>
    </row>
    <row r="5857" spans="9:9" x14ac:dyDescent="0.25">
      <c r="I5857" s="227" t="str">
        <f>MID(excPisCofins[[#This Row],[CodBarras2]],2,50)</f>
        <v/>
      </c>
    </row>
    <row r="5858" spans="9:9" x14ac:dyDescent="0.25">
      <c r="I5858" s="227" t="str">
        <f>MID(excPisCofins[[#This Row],[CodBarras2]],2,50)</f>
        <v/>
      </c>
    </row>
    <row r="5859" spans="9:9" x14ac:dyDescent="0.25">
      <c r="I5859" s="227" t="str">
        <f>MID(excPisCofins[[#This Row],[CodBarras2]],2,50)</f>
        <v/>
      </c>
    </row>
    <row r="5860" spans="9:9" x14ac:dyDescent="0.25">
      <c r="I5860" s="227" t="str">
        <f>MID(excPisCofins[[#This Row],[CodBarras2]],2,50)</f>
        <v/>
      </c>
    </row>
    <row r="5861" spans="9:9" x14ac:dyDescent="0.25">
      <c r="I5861" s="227" t="str">
        <f>MID(excPisCofins[[#This Row],[CodBarras2]],2,50)</f>
        <v/>
      </c>
    </row>
    <row r="5862" spans="9:9" x14ac:dyDescent="0.25">
      <c r="I5862" s="227" t="str">
        <f>MID(excPisCofins[[#This Row],[CodBarras2]],2,50)</f>
        <v/>
      </c>
    </row>
    <row r="5863" spans="9:9" x14ac:dyDescent="0.25">
      <c r="I5863" s="227" t="str">
        <f>MID(excPisCofins[[#This Row],[CodBarras2]],2,50)</f>
        <v/>
      </c>
    </row>
    <row r="5864" spans="9:9" x14ac:dyDescent="0.25">
      <c r="I5864" s="227" t="str">
        <f>MID(excPisCofins[[#This Row],[CodBarras2]],2,50)</f>
        <v/>
      </c>
    </row>
    <row r="5865" spans="9:9" x14ac:dyDescent="0.25">
      <c r="I5865" s="227" t="str">
        <f>MID(excPisCofins[[#This Row],[CodBarras2]],2,50)</f>
        <v/>
      </c>
    </row>
    <row r="5866" spans="9:9" x14ac:dyDescent="0.25">
      <c r="I5866" s="227" t="str">
        <f>MID(excPisCofins[[#This Row],[CodBarras2]],2,50)</f>
        <v/>
      </c>
    </row>
    <row r="5867" spans="9:9" x14ac:dyDescent="0.25">
      <c r="I5867" s="227" t="str">
        <f>MID(excPisCofins[[#This Row],[CodBarras2]],2,50)</f>
        <v/>
      </c>
    </row>
    <row r="5868" spans="9:9" x14ac:dyDescent="0.25">
      <c r="I5868" s="227" t="str">
        <f>MID(excPisCofins[[#This Row],[CodBarras2]],2,50)</f>
        <v/>
      </c>
    </row>
    <row r="5869" spans="9:9" x14ac:dyDescent="0.25">
      <c r="I5869" s="227" t="str">
        <f>MID(excPisCofins[[#This Row],[CodBarras2]],2,50)</f>
        <v/>
      </c>
    </row>
    <row r="5870" spans="9:9" x14ac:dyDescent="0.25">
      <c r="I5870" s="227" t="str">
        <f>MID(excPisCofins[[#This Row],[CodBarras2]],2,50)</f>
        <v/>
      </c>
    </row>
    <row r="5871" spans="9:9" x14ac:dyDescent="0.25">
      <c r="I5871" s="227" t="str">
        <f>MID(excPisCofins[[#This Row],[CodBarras2]],2,50)</f>
        <v/>
      </c>
    </row>
    <row r="5872" spans="9:9" x14ac:dyDescent="0.25">
      <c r="I5872" s="227" t="str">
        <f>MID(excPisCofins[[#This Row],[CodBarras2]],2,50)</f>
        <v/>
      </c>
    </row>
    <row r="5873" spans="9:9" x14ac:dyDescent="0.25">
      <c r="I5873" s="227" t="str">
        <f>MID(excPisCofins[[#This Row],[CodBarras2]],2,50)</f>
        <v/>
      </c>
    </row>
    <row r="5874" spans="9:9" x14ac:dyDescent="0.25">
      <c r="I5874" s="227" t="str">
        <f>MID(excPisCofins[[#This Row],[CodBarras2]],2,50)</f>
        <v/>
      </c>
    </row>
    <row r="5875" spans="9:9" x14ac:dyDescent="0.25">
      <c r="I5875" s="227" t="str">
        <f>MID(excPisCofins[[#This Row],[CodBarras2]],2,50)</f>
        <v/>
      </c>
    </row>
    <row r="5876" spans="9:9" x14ac:dyDescent="0.25">
      <c r="I5876" s="227" t="str">
        <f>MID(excPisCofins[[#This Row],[CodBarras2]],2,50)</f>
        <v/>
      </c>
    </row>
    <row r="5877" spans="9:9" x14ac:dyDescent="0.25">
      <c r="I5877" s="227" t="str">
        <f>MID(excPisCofins[[#This Row],[CodBarras2]],2,50)</f>
        <v/>
      </c>
    </row>
    <row r="5878" spans="9:9" x14ac:dyDescent="0.25">
      <c r="I5878" s="227" t="str">
        <f>MID(excPisCofins[[#This Row],[CodBarras2]],2,50)</f>
        <v/>
      </c>
    </row>
    <row r="5879" spans="9:9" x14ac:dyDescent="0.25">
      <c r="I5879" s="227" t="str">
        <f>MID(excPisCofins[[#This Row],[CodBarras2]],2,50)</f>
        <v/>
      </c>
    </row>
    <row r="5880" spans="9:9" x14ac:dyDescent="0.25">
      <c r="I5880" s="227" t="str">
        <f>MID(excPisCofins[[#This Row],[CodBarras2]],2,50)</f>
        <v/>
      </c>
    </row>
    <row r="5881" spans="9:9" x14ac:dyDescent="0.25">
      <c r="I5881" s="227" t="str">
        <f>MID(excPisCofins[[#This Row],[CodBarras2]],2,50)</f>
        <v/>
      </c>
    </row>
    <row r="5882" spans="9:9" x14ac:dyDescent="0.25">
      <c r="I5882" s="227" t="str">
        <f>MID(excPisCofins[[#This Row],[CodBarras2]],2,50)</f>
        <v/>
      </c>
    </row>
    <row r="5883" spans="9:9" x14ac:dyDescent="0.25">
      <c r="I5883" s="227" t="str">
        <f>MID(excPisCofins[[#This Row],[CodBarras2]],2,50)</f>
        <v/>
      </c>
    </row>
    <row r="5884" spans="9:9" x14ac:dyDescent="0.25">
      <c r="I5884" s="227" t="str">
        <f>MID(excPisCofins[[#This Row],[CodBarras2]],2,50)</f>
        <v/>
      </c>
    </row>
    <row r="5885" spans="9:9" x14ac:dyDescent="0.25">
      <c r="I5885" s="227" t="str">
        <f>MID(excPisCofins[[#This Row],[CodBarras2]],2,50)</f>
        <v/>
      </c>
    </row>
    <row r="5886" spans="9:9" x14ac:dyDescent="0.25">
      <c r="I5886" s="227" t="str">
        <f>MID(excPisCofins[[#This Row],[CodBarras2]],2,50)</f>
        <v/>
      </c>
    </row>
    <row r="5887" spans="9:9" x14ac:dyDescent="0.25">
      <c r="I5887" s="227" t="str">
        <f>MID(excPisCofins[[#This Row],[CodBarras2]],2,50)</f>
        <v/>
      </c>
    </row>
    <row r="5888" spans="9:9" x14ac:dyDescent="0.25">
      <c r="I5888" s="227" t="str">
        <f>MID(excPisCofins[[#This Row],[CodBarras2]],2,50)</f>
        <v/>
      </c>
    </row>
    <row r="5889" spans="9:9" x14ac:dyDescent="0.25">
      <c r="I5889" s="227" t="str">
        <f>MID(excPisCofins[[#This Row],[CodBarras2]],2,50)</f>
        <v/>
      </c>
    </row>
    <row r="5890" spans="9:9" x14ac:dyDescent="0.25">
      <c r="I5890" s="227" t="str">
        <f>MID(excPisCofins[[#This Row],[CodBarras2]],2,50)</f>
        <v/>
      </c>
    </row>
    <row r="5891" spans="9:9" x14ac:dyDescent="0.25">
      <c r="I5891" s="227" t="str">
        <f>MID(excPisCofins[[#This Row],[CodBarras2]],2,50)</f>
        <v/>
      </c>
    </row>
    <row r="5892" spans="9:9" x14ac:dyDescent="0.25">
      <c r="I5892" s="227" t="str">
        <f>MID(excPisCofins[[#This Row],[CodBarras2]],2,50)</f>
        <v/>
      </c>
    </row>
    <row r="5893" spans="9:9" x14ac:dyDescent="0.25">
      <c r="I5893" s="227" t="str">
        <f>MID(excPisCofins[[#This Row],[CodBarras2]],2,50)</f>
        <v/>
      </c>
    </row>
    <row r="5894" spans="9:9" x14ac:dyDescent="0.25">
      <c r="I5894" s="227" t="str">
        <f>MID(excPisCofins[[#This Row],[CodBarras2]],2,50)</f>
        <v/>
      </c>
    </row>
    <row r="5895" spans="9:9" x14ac:dyDescent="0.25">
      <c r="I5895" s="227" t="str">
        <f>MID(excPisCofins[[#This Row],[CodBarras2]],2,50)</f>
        <v/>
      </c>
    </row>
    <row r="5896" spans="9:9" x14ac:dyDescent="0.25">
      <c r="I5896" s="227" t="str">
        <f>MID(excPisCofins[[#This Row],[CodBarras2]],2,50)</f>
        <v/>
      </c>
    </row>
    <row r="5897" spans="9:9" x14ac:dyDescent="0.25">
      <c r="I5897" s="227" t="str">
        <f>MID(excPisCofins[[#This Row],[CodBarras2]],2,50)</f>
        <v/>
      </c>
    </row>
    <row r="5898" spans="9:9" x14ac:dyDescent="0.25">
      <c r="I5898" s="227" t="str">
        <f>MID(excPisCofins[[#This Row],[CodBarras2]],2,50)</f>
        <v/>
      </c>
    </row>
    <row r="5899" spans="9:9" x14ac:dyDescent="0.25">
      <c r="I5899" s="227" t="str">
        <f>MID(excPisCofins[[#This Row],[CodBarras2]],2,50)</f>
        <v/>
      </c>
    </row>
    <row r="5900" spans="9:9" x14ac:dyDescent="0.25">
      <c r="I5900" s="227" t="str">
        <f>MID(excPisCofins[[#This Row],[CodBarras2]],2,50)</f>
        <v/>
      </c>
    </row>
    <row r="5901" spans="9:9" x14ac:dyDescent="0.25">
      <c r="I5901" s="227" t="str">
        <f>MID(excPisCofins[[#This Row],[CodBarras2]],2,50)</f>
        <v/>
      </c>
    </row>
    <row r="5902" spans="9:9" x14ac:dyDescent="0.25">
      <c r="I5902" s="227" t="str">
        <f>MID(excPisCofins[[#This Row],[CodBarras2]],2,50)</f>
        <v/>
      </c>
    </row>
    <row r="5903" spans="9:9" x14ac:dyDescent="0.25">
      <c r="I5903" s="227" t="str">
        <f>MID(excPisCofins[[#This Row],[CodBarras2]],2,50)</f>
        <v/>
      </c>
    </row>
    <row r="5904" spans="9:9" x14ac:dyDescent="0.25">
      <c r="I5904" s="227" t="str">
        <f>MID(excPisCofins[[#This Row],[CodBarras2]],2,50)</f>
        <v/>
      </c>
    </row>
    <row r="5905" spans="9:9" x14ac:dyDescent="0.25">
      <c r="I5905" s="227" t="str">
        <f>MID(excPisCofins[[#This Row],[CodBarras2]],2,50)</f>
        <v/>
      </c>
    </row>
    <row r="5906" spans="9:9" x14ac:dyDescent="0.25">
      <c r="I5906" s="227" t="str">
        <f>MID(excPisCofins[[#This Row],[CodBarras2]],2,50)</f>
        <v/>
      </c>
    </row>
    <row r="5907" spans="9:9" x14ac:dyDescent="0.25">
      <c r="I5907" s="227" t="str">
        <f>MID(excPisCofins[[#This Row],[CodBarras2]],2,50)</f>
        <v/>
      </c>
    </row>
    <row r="5908" spans="9:9" x14ac:dyDescent="0.25">
      <c r="I5908" s="227" t="str">
        <f>MID(excPisCofins[[#This Row],[CodBarras2]],2,50)</f>
        <v/>
      </c>
    </row>
    <row r="5909" spans="9:9" x14ac:dyDescent="0.25">
      <c r="I5909" s="227" t="str">
        <f>MID(excPisCofins[[#This Row],[CodBarras2]],2,50)</f>
        <v/>
      </c>
    </row>
    <row r="5910" spans="9:9" x14ac:dyDescent="0.25">
      <c r="I5910" s="227" t="str">
        <f>MID(excPisCofins[[#This Row],[CodBarras2]],2,50)</f>
        <v/>
      </c>
    </row>
    <row r="5911" spans="9:9" x14ac:dyDescent="0.25">
      <c r="I5911" s="227" t="str">
        <f>MID(excPisCofins[[#This Row],[CodBarras2]],2,50)</f>
        <v/>
      </c>
    </row>
    <row r="5912" spans="9:9" x14ac:dyDescent="0.25">
      <c r="I5912" s="227" t="str">
        <f>MID(excPisCofins[[#This Row],[CodBarras2]],2,50)</f>
        <v/>
      </c>
    </row>
    <row r="5913" spans="9:9" x14ac:dyDescent="0.25">
      <c r="I5913" s="227" t="str">
        <f>MID(excPisCofins[[#This Row],[CodBarras2]],2,50)</f>
        <v/>
      </c>
    </row>
    <row r="5914" spans="9:9" x14ac:dyDescent="0.25">
      <c r="I5914" s="227" t="str">
        <f>MID(excPisCofins[[#This Row],[CodBarras2]],2,50)</f>
        <v/>
      </c>
    </row>
    <row r="5915" spans="9:9" x14ac:dyDescent="0.25">
      <c r="I5915" s="227" t="str">
        <f>MID(excPisCofins[[#This Row],[CodBarras2]],2,50)</f>
        <v/>
      </c>
    </row>
    <row r="5916" spans="9:9" x14ac:dyDescent="0.25">
      <c r="I5916" s="227" t="str">
        <f>MID(excPisCofins[[#This Row],[CodBarras2]],2,50)</f>
        <v/>
      </c>
    </row>
    <row r="5917" spans="9:9" x14ac:dyDescent="0.25">
      <c r="I5917" s="227" t="str">
        <f>MID(excPisCofins[[#This Row],[CodBarras2]],2,50)</f>
        <v/>
      </c>
    </row>
    <row r="5918" spans="9:9" x14ac:dyDescent="0.25">
      <c r="I5918" s="227" t="str">
        <f>MID(excPisCofins[[#This Row],[CodBarras2]],2,50)</f>
        <v/>
      </c>
    </row>
    <row r="5919" spans="9:9" x14ac:dyDescent="0.25">
      <c r="I5919" s="227" t="str">
        <f>MID(excPisCofins[[#This Row],[CodBarras2]],2,50)</f>
        <v/>
      </c>
    </row>
    <row r="5920" spans="9:9" x14ac:dyDescent="0.25">
      <c r="I5920" s="227" t="str">
        <f>MID(excPisCofins[[#This Row],[CodBarras2]],2,50)</f>
        <v/>
      </c>
    </row>
    <row r="5921" spans="9:9" x14ac:dyDescent="0.25">
      <c r="I5921" s="227" t="str">
        <f>MID(excPisCofins[[#This Row],[CodBarras2]],2,50)</f>
        <v/>
      </c>
    </row>
    <row r="5922" spans="9:9" x14ac:dyDescent="0.25">
      <c r="I5922" s="227" t="str">
        <f>MID(excPisCofins[[#This Row],[CodBarras2]],2,50)</f>
        <v/>
      </c>
    </row>
    <row r="5923" spans="9:9" x14ac:dyDescent="0.25">
      <c r="I5923" s="227" t="str">
        <f>MID(excPisCofins[[#This Row],[CodBarras2]],2,50)</f>
        <v/>
      </c>
    </row>
    <row r="5924" spans="9:9" x14ac:dyDescent="0.25">
      <c r="I5924" s="227" t="str">
        <f>MID(excPisCofins[[#This Row],[CodBarras2]],2,50)</f>
        <v/>
      </c>
    </row>
    <row r="5925" spans="9:9" x14ac:dyDescent="0.25">
      <c r="I5925" s="227" t="str">
        <f>MID(excPisCofins[[#This Row],[CodBarras2]],2,50)</f>
        <v/>
      </c>
    </row>
    <row r="5926" spans="9:9" x14ac:dyDescent="0.25">
      <c r="I5926" s="227" t="str">
        <f>MID(excPisCofins[[#This Row],[CodBarras2]],2,50)</f>
        <v/>
      </c>
    </row>
    <row r="5927" spans="9:9" x14ac:dyDescent="0.25">
      <c r="I5927" s="227" t="str">
        <f>MID(excPisCofins[[#This Row],[CodBarras2]],2,50)</f>
        <v/>
      </c>
    </row>
    <row r="5928" spans="9:9" x14ac:dyDescent="0.25">
      <c r="I5928" s="227" t="str">
        <f>MID(excPisCofins[[#This Row],[CodBarras2]],2,50)</f>
        <v/>
      </c>
    </row>
    <row r="5929" spans="9:9" x14ac:dyDescent="0.25">
      <c r="I5929" s="227" t="str">
        <f>MID(excPisCofins[[#This Row],[CodBarras2]],2,50)</f>
        <v/>
      </c>
    </row>
    <row r="5930" spans="9:9" x14ac:dyDescent="0.25">
      <c r="I5930" s="227" t="str">
        <f>MID(excPisCofins[[#This Row],[CodBarras2]],2,50)</f>
        <v/>
      </c>
    </row>
    <row r="5931" spans="9:9" x14ac:dyDescent="0.25">
      <c r="I5931" s="227" t="str">
        <f>MID(excPisCofins[[#This Row],[CodBarras2]],2,50)</f>
        <v/>
      </c>
    </row>
    <row r="5932" spans="9:9" x14ac:dyDescent="0.25">
      <c r="I5932" s="227" t="str">
        <f>MID(excPisCofins[[#This Row],[CodBarras2]],2,50)</f>
        <v/>
      </c>
    </row>
    <row r="5933" spans="9:9" x14ac:dyDescent="0.25">
      <c r="I5933" s="227" t="str">
        <f>MID(excPisCofins[[#This Row],[CodBarras2]],2,50)</f>
        <v/>
      </c>
    </row>
    <row r="5934" spans="9:9" x14ac:dyDescent="0.25">
      <c r="I5934" s="227" t="str">
        <f>MID(excPisCofins[[#This Row],[CodBarras2]],2,50)</f>
        <v/>
      </c>
    </row>
    <row r="5935" spans="9:9" x14ac:dyDescent="0.25">
      <c r="I5935" s="227" t="str">
        <f>MID(excPisCofins[[#This Row],[CodBarras2]],2,50)</f>
        <v/>
      </c>
    </row>
    <row r="5936" spans="9:9" x14ac:dyDescent="0.25">
      <c r="I5936" s="227" t="str">
        <f>MID(excPisCofins[[#This Row],[CodBarras2]],2,50)</f>
        <v/>
      </c>
    </row>
    <row r="5937" spans="9:9" x14ac:dyDescent="0.25">
      <c r="I5937" s="227" t="str">
        <f>MID(excPisCofins[[#This Row],[CodBarras2]],2,50)</f>
        <v/>
      </c>
    </row>
    <row r="5938" spans="9:9" x14ac:dyDescent="0.25">
      <c r="I5938" s="227" t="str">
        <f>MID(excPisCofins[[#This Row],[CodBarras2]],2,50)</f>
        <v/>
      </c>
    </row>
    <row r="5939" spans="9:9" x14ac:dyDescent="0.25">
      <c r="I5939" s="227" t="str">
        <f>MID(excPisCofins[[#This Row],[CodBarras2]],2,50)</f>
        <v/>
      </c>
    </row>
    <row r="5940" spans="9:9" x14ac:dyDescent="0.25">
      <c r="I5940" s="227" t="str">
        <f>MID(excPisCofins[[#This Row],[CodBarras2]],2,50)</f>
        <v/>
      </c>
    </row>
    <row r="5941" spans="9:9" x14ac:dyDescent="0.25">
      <c r="I5941" s="227" t="str">
        <f>MID(excPisCofins[[#This Row],[CodBarras2]],2,50)</f>
        <v/>
      </c>
    </row>
    <row r="5942" spans="9:9" x14ac:dyDescent="0.25">
      <c r="I5942" s="227" t="str">
        <f>MID(excPisCofins[[#This Row],[CodBarras2]],2,50)</f>
        <v/>
      </c>
    </row>
    <row r="5943" spans="9:9" x14ac:dyDescent="0.25">
      <c r="I5943" s="227" t="str">
        <f>MID(excPisCofins[[#This Row],[CodBarras2]],2,50)</f>
        <v/>
      </c>
    </row>
    <row r="5944" spans="9:9" x14ac:dyDescent="0.25">
      <c r="I5944" s="227" t="str">
        <f>MID(excPisCofins[[#This Row],[CodBarras2]],2,50)</f>
        <v/>
      </c>
    </row>
    <row r="5945" spans="9:9" x14ac:dyDescent="0.25">
      <c r="I5945" s="227" t="str">
        <f>MID(excPisCofins[[#This Row],[CodBarras2]],2,50)</f>
        <v/>
      </c>
    </row>
    <row r="5946" spans="9:9" x14ac:dyDescent="0.25">
      <c r="I5946" s="227" t="str">
        <f>MID(excPisCofins[[#This Row],[CodBarras2]],2,50)</f>
        <v/>
      </c>
    </row>
    <row r="5947" spans="9:9" x14ac:dyDescent="0.25">
      <c r="I5947" s="227" t="str">
        <f>MID(excPisCofins[[#This Row],[CodBarras2]],2,50)</f>
        <v/>
      </c>
    </row>
    <row r="5948" spans="9:9" x14ac:dyDescent="0.25">
      <c r="I5948" s="227" t="str">
        <f>MID(excPisCofins[[#This Row],[CodBarras2]],2,50)</f>
        <v/>
      </c>
    </row>
    <row r="5949" spans="9:9" x14ac:dyDescent="0.25">
      <c r="I5949" s="227" t="str">
        <f>MID(excPisCofins[[#This Row],[CodBarras2]],2,50)</f>
        <v/>
      </c>
    </row>
    <row r="5950" spans="9:9" x14ac:dyDescent="0.25">
      <c r="I5950" s="227" t="str">
        <f>MID(excPisCofins[[#This Row],[CodBarras2]],2,50)</f>
        <v/>
      </c>
    </row>
    <row r="5951" spans="9:9" x14ac:dyDescent="0.25">
      <c r="I5951" s="227" t="str">
        <f>MID(excPisCofins[[#This Row],[CodBarras2]],2,50)</f>
        <v/>
      </c>
    </row>
    <row r="5952" spans="9:9" x14ac:dyDescent="0.25">
      <c r="I5952" s="227" t="str">
        <f>MID(excPisCofins[[#This Row],[CodBarras2]],2,50)</f>
        <v/>
      </c>
    </row>
    <row r="5953" spans="9:9" x14ac:dyDescent="0.25">
      <c r="I5953" s="227" t="str">
        <f>MID(excPisCofins[[#This Row],[CodBarras2]],2,50)</f>
        <v/>
      </c>
    </row>
    <row r="5954" spans="9:9" x14ac:dyDescent="0.25">
      <c r="I5954" s="227" t="str">
        <f>MID(excPisCofins[[#This Row],[CodBarras2]],2,50)</f>
        <v/>
      </c>
    </row>
    <row r="5955" spans="9:9" x14ac:dyDescent="0.25">
      <c r="I5955" s="227" t="str">
        <f>MID(excPisCofins[[#This Row],[CodBarras2]],2,50)</f>
        <v/>
      </c>
    </row>
    <row r="5956" spans="9:9" x14ac:dyDescent="0.25">
      <c r="I5956" s="227" t="str">
        <f>MID(excPisCofins[[#This Row],[CodBarras2]],2,50)</f>
        <v/>
      </c>
    </row>
    <row r="5957" spans="9:9" x14ac:dyDescent="0.25">
      <c r="I5957" s="227" t="str">
        <f>MID(excPisCofins[[#This Row],[CodBarras2]],2,50)</f>
        <v/>
      </c>
    </row>
    <row r="5958" spans="9:9" x14ac:dyDescent="0.25">
      <c r="I5958" s="227" t="str">
        <f>MID(excPisCofins[[#This Row],[CodBarras2]],2,50)</f>
        <v/>
      </c>
    </row>
    <row r="5959" spans="9:9" x14ac:dyDescent="0.25">
      <c r="I5959" s="227" t="str">
        <f>MID(excPisCofins[[#This Row],[CodBarras2]],2,50)</f>
        <v/>
      </c>
    </row>
    <row r="5960" spans="9:9" x14ac:dyDescent="0.25">
      <c r="I5960" s="227" t="str">
        <f>MID(excPisCofins[[#This Row],[CodBarras2]],2,50)</f>
        <v/>
      </c>
    </row>
    <row r="5961" spans="9:9" x14ac:dyDescent="0.25">
      <c r="I5961" s="227" t="str">
        <f>MID(excPisCofins[[#This Row],[CodBarras2]],2,50)</f>
        <v/>
      </c>
    </row>
    <row r="5962" spans="9:9" x14ac:dyDescent="0.25">
      <c r="I5962" s="227" t="str">
        <f>MID(excPisCofins[[#This Row],[CodBarras2]],2,50)</f>
        <v/>
      </c>
    </row>
    <row r="5963" spans="9:9" x14ac:dyDescent="0.25">
      <c r="I5963" s="227" t="str">
        <f>MID(excPisCofins[[#This Row],[CodBarras2]],2,50)</f>
        <v/>
      </c>
    </row>
    <row r="5964" spans="9:9" x14ac:dyDescent="0.25">
      <c r="I5964" s="227" t="str">
        <f>MID(excPisCofins[[#This Row],[CodBarras2]],2,50)</f>
        <v/>
      </c>
    </row>
    <row r="5965" spans="9:9" x14ac:dyDescent="0.25">
      <c r="I5965" s="227" t="str">
        <f>MID(excPisCofins[[#This Row],[CodBarras2]],2,50)</f>
        <v/>
      </c>
    </row>
    <row r="5966" spans="9:9" x14ac:dyDescent="0.25">
      <c r="I5966" s="227" t="str">
        <f>MID(excPisCofins[[#This Row],[CodBarras2]],2,50)</f>
        <v/>
      </c>
    </row>
    <row r="5967" spans="9:9" x14ac:dyDescent="0.25">
      <c r="I5967" s="227" t="str">
        <f>MID(excPisCofins[[#This Row],[CodBarras2]],2,50)</f>
        <v/>
      </c>
    </row>
    <row r="5968" spans="9:9" x14ac:dyDescent="0.25">
      <c r="I5968" s="227" t="str">
        <f>MID(excPisCofins[[#This Row],[CodBarras2]],2,50)</f>
        <v/>
      </c>
    </row>
    <row r="5969" spans="9:9" x14ac:dyDescent="0.25">
      <c r="I5969" s="227" t="str">
        <f>MID(excPisCofins[[#This Row],[CodBarras2]],2,50)</f>
        <v/>
      </c>
    </row>
    <row r="5970" spans="9:9" x14ac:dyDescent="0.25">
      <c r="I5970" s="227" t="str">
        <f>MID(excPisCofins[[#This Row],[CodBarras2]],2,50)</f>
        <v/>
      </c>
    </row>
    <row r="5971" spans="9:9" x14ac:dyDescent="0.25">
      <c r="I5971" s="227" t="str">
        <f>MID(excPisCofins[[#This Row],[CodBarras2]],2,50)</f>
        <v/>
      </c>
    </row>
    <row r="5972" spans="9:9" x14ac:dyDescent="0.25">
      <c r="I5972" s="227" t="str">
        <f>MID(excPisCofins[[#This Row],[CodBarras2]],2,50)</f>
        <v/>
      </c>
    </row>
    <row r="5973" spans="9:9" x14ac:dyDescent="0.25">
      <c r="I5973" s="227" t="str">
        <f>MID(excPisCofins[[#This Row],[CodBarras2]],2,50)</f>
        <v/>
      </c>
    </row>
    <row r="5974" spans="9:9" x14ac:dyDescent="0.25">
      <c r="I5974" s="227" t="str">
        <f>MID(excPisCofins[[#This Row],[CodBarras2]],2,50)</f>
        <v/>
      </c>
    </row>
    <row r="5975" spans="9:9" x14ac:dyDescent="0.25">
      <c r="I5975" s="227" t="str">
        <f>MID(excPisCofins[[#This Row],[CodBarras2]],2,50)</f>
        <v/>
      </c>
    </row>
    <row r="5976" spans="9:9" x14ac:dyDescent="0.25">
      <c r="I5976" s="227" t="str">
        <f>MID(excPisCofins[[#This Row],[CodBarras2]],2,50)</f>
        <v/>
      </c>
    </row>
    <row r="5977" spans="9:9" x14ac:dyDescent="0.25">
      <c r="I5977" s="227" t="str">
        <f>MID(excPisCofins[[#This Row],[CodBarras2]],2,50)</f>
        <v/>
      </c>
    </row>
    <row r="5978" spans="9:9" x14ac:dyDescent="0.25">
      <c r="I5978" s="227" t="str">
        <f>MID(excPisCofins[[#This Row],[CodBarras2]],2,50)</f>
        <v/>
      </c>
    </row>
    <row r="5979" spans="9:9" x14ac:dyDescent="0.25">
      <c r="I5979" s="227" t="str">
        <f>MID(excPisCofins[[#This Row],[CodBarras2]],2,50)</f>
        <v/>
      </c>
    </row>
    <row r="5980" spans="9:9" x14ac:dyDescent="0.25">
      <c r="I5980" s="227" t="str">
        <f>MID(excPisCofins[[#This Row],[CodBarras2]],2,50)</f>
        <v/>
      </c>
    </row>
    <row r="5981" spans="9:9" x14ac:dyDescent="0.25">
      <c r="I5981" s="227" t="str">
        <f>MID(excPisCofins[[#This Row],[CodBarras2]],2,50)</f>
        <v/>
      </c>
    </row>
    <row r="5982" spans="9:9" x14ac:dyDescent="0.25">
      <c r="I5982" s="227" t="str">
        <f>MID(excPisCofins[[#This Row],[CodBarras2]],2,50)</f>
        <v/>
      </c>
    </row>
    <row r="5983" spans="9:9" x14ac:dyDescent="0.25">
      <c r="I5983" s="227" t="str">
        <f>MID(excPisCofins[[#This Row],[CodBarras2]],2,50)</f>
        <v/>
      </c>
    </row>
    <row r="5984" spans="9:9" x14ac:dyDescent="0.25">
      <c r="I5984" s="227" t="str">
        <f>MID(excPisCofins[[#This Row],[CodBarras2]],2,50)</f>
        <v/>
      </c>
    </row>
    <row r="5985" spans="9:9" x14ac:dyDescent="0.25">
      <c r="I5985" s="227" t="str">
        <f>MID(excPisCofins[[#This Row],[CodBarras2]],2,50)</f>
        <v/>
      </c>
    </row>
    <row r="5986" spans="9:9" x14ac:dyDescent="0.25">
      <c r="I5986" s="227" t="str">
        <f>MID(excPisCofins[[#This Row],[CodBarras2]],2,50)</f>
        <v/>
      </c>
    </row>
    <row r="5987" spans="9:9" x14ac:dyDescent="0.25">
      <c r="I5987" s="227" t="str">
        <f>MID(excPisCofins[[#This Row],[CodBarras2]],2,50)</f>
        <v/>
      </c>
    </row>
    <row r="5988" spans="9:9" x14ac:dyDescent="0.25">
      <c r="I5988" s="227" t="str">
        <f>MID(excPisCofins[[#This Row],[CodBarras2]],2,50)</f>
        <v/>
      </c>
    </row>
    <row r="5989" spans="9:9" x14ac:dyDescent="0.25">
      <c r="I5989" s="227" t="str">
        <f>MID(excPisCofins[[#This Row],[CodBarras2]],2,50)</f>
        <v/>
      </c>
    </row>
    <row r="5990" spans="9:9" x14ac:dyDescent="0.25">
      <c r="I5990" s="227" t="str">
        <f>MID(excPisCofins[[#This Row],[CodBarras2]],2,50)</f>
        <v/>
      </c>
    </row>
    <row r="5991" spans="9:9" x14ac:dyDescent="0.25">
      <c r="I5991" s="227" t="str">
        <f>MID(excPisCofins[[#This Row],[CodBarras2]],2,50)</f>
        <v/>
      </c>
    </row>
    <row r="5992" spans="9:9" x14ac:dyDescent="0.25">
      <c r="I5992" s="227" t="str">
        <f>MID(excPisCofins[[#This Row],[CodBarras2]],2,50)</f>
        <v/>
      </c>
    </row>
    <row r="5993" spans="9:9" x14ac:dyDescent="0.25">
      <c r="I5993" s="227" t="str">
        <f>MID(excPisCofins[[#This Row],[CodBarras2]],2,50)</f>
        <v/>
      </c>
    </row>
    <row r="5994" spans="9:9" x14ac:dyDescent="0.25">
      <c r="I5994" s="227" t="str">
        <f>MID(excPisCofins[[#This Row],[CodBarras2]],2,50)</f>
        <v/>
      </c>
    </row>
    <row r="5995" spans="9:9" x14ac:dyDescent="0.25">
      <c r="I5995" s="227" t="str">
        <f>MID(excPisCofins[[#This Row],[CodBarras2]],2,50)</f>
        <v/>
      </c>
    </row>
    <row r="5996" spans="9:9" x14ac:dyDescent="0.25">
      <c r="I5996" s="227" t="str">
        <f>MID(excPisCofins[[#This Row],[CodBarras2]],2,50)</f>
        <v/>
      </c>
    </row>
    <row r="5997" spans="9:9" x14ac:dyDescent="0.25">
      <c r="I5997" s="227" t="str">
        <f>MID(excPisCofins[[#This Row],[CodBarras2]],2,50)</f>
        <v/>
      </c>
    </row>
    <row r="5998" spans="9:9" x14ac:dyDescent="0.25">
      <c r="I5998" s="227" t="str">
        <f>MID(excPisCofins[[#This Row],[CodBarras2]],2,50)</f>
        <v/>
      </c>
    </row>
    <row r="5999" spans="9:9" x14ac:dyDescent="0.25">
      <c r="I5999" s="227" t="str">
        <f>MID(excPisCofins[[#This Row],[CodBarras2]],2,50)</f>
        <v/>
      </c>
    </row>
    <row r="6000" spans="9:9" x14ac:dyDescent="0.25">
      <c r="I6000" s="227" t="str">
        <f>MID(excPisCofins[[#This Row],[CodBarras2]],2,50)</f>
        <v/>
      </c>
    </row>
    <row r="6001" spans="9:9" x14ac:dyDescent="0.25">
      <c r="I6001" s="227" t="str">
        <f>MID(excPisCofins[[#This Row],[CodBarras2]],2,50)</f>
        <v/>
      </c>
    </row>
    <row r="6002" spans="9:9" x14ac:dyDescent="0.25">
      <c r="I6002" s="227" t="str">
        <f>MID(excPisCofins[[#This Row],[CodBarras2]],2,50)</f>
        <v/>
      </c>
    </row>
    <row r="6003" spans="9:9" x14ac:dyDescent="0.25">
      <c r="I6003" s="227" t="str">
        <f>MID(excPisCofins[[#This Row],[CodBarras2]],2,50)</f>
        <v/>
      </c>
    </row>
    <row r="6004" spans="9:9" x14ac:dyDescent="0.25">
      <c r="I6004" s="227" t="str">
        <f>MID(excPisCofins[[#This Row],[CodBarras2]],2,50)</f>
        <v/>
      </c>
    </row>
    <row r="6005" spans="9:9" x14ac:dyDescent="0.25">
      <c r="I6005" s="227" t="str">
        <f>MID(excPisCofins[[#This Row],[CodBarras2]],2,50)</f>
        <v/>
      </c>
    </row>
    <row r="6006" spans="9:9" x14ac:dyDescent="0.25">
      <c r="I6006" s="227" t="str">
        <f>MID(excPisCofins[[#This Row],[CodBarras2]],2,50)</f>
        <v/>
      </c>
    </row>
    <row r="6007" spans="9:9" x14ac:dyDescent="0.25">
      <c r="I6007" s="227" t="str">
        <f>MID(excPisCofins[[#This Row],[CodBarras2]],2,50)</f>
        <v/>
      </c>
    </row>
    <row r="6008" spans="9:9" x14ac:dyDescent="0.25">
      <c r="I6008" s="227" t="str">
        <f>MID(excPisCofins[[#This Row],[CodBarras2]],2,50)</f>
        <v/>
      </c>
    </row>
    <row r="6009" spans="9:9" x14ac:dyDescent="0.25">
      <c r="I6009" s="227" t="str">
        <f>MID(excPisCofins[[#This Row],[CodBarras2]],2,50)</f>
        <v/>
      </c>
    </row>
    <row r="6010" spans="9:9" x14ac:dyDescent="0.25">
      <c r="I6010" s="227" t="str">
        <f>MID(excPisCofins[[#This Row],[CodBarras2]],2,50)</f>
        <v/>
      </c>
    </row>
    <row r="6011" spans="9:9" x14ac:dyDescent="0.25">
      <c r="I6011" s="227" t="str">
        <f>MID(excPisCofins[[#This Row],[CodBarras2]],2,50)</f>
        <v/>
      </c>
    </row>
    <row r="6012" spans="9:9" x14ac:dyDescent="0.25">
      <c r="I6012" s="227" t="str">
        <f>MID(excPisCofins[[#This Row],[CodBarras2]],2,50)</f>
        <v/>
      </c>
    </row>
    <row r="6013" spans="9:9" x14ac:dyDescent="0.25">
      <c r="I6013" s="227" t="str">
        <f>MID(excPisCofins[[#This Row],[CodBarras2]],2,50)</f>
        <v/>
      </c>
    </row>
    <row r="6014" spans="9:9" x14ac:dyDescent="0.25">
      <c r="I6014" s="227" t="str">
        <f>MID(excPisCofins[[#This Row],[CodBarras2]],2,50)</f>
        <v/>
      </c>
    </row>
    <row r="6015" spans="9:9" x14ac:dyDescent="0.25">
      <c r="I6015" s="227" t="str">
        <f>MID(excPisCofins[[#This Row],[CodBarras2]],2,50)</f>
        <v/>
      </c>
    </row>
    <row r="6016" spans="9:9" x14ac:dyDescent="0.25">
      <c r="I6016" s="227" t="str">
        <f>MID(excPisCofins[[#This Row],[CodBarras2]],2,50)</f>
        <v/>
      </c>
    </row>
    <row r="6017" spans="9:9" x14ac:dyDescent="0.25">
      <c r="I6017" s="227" t="str">
        <f>MID(excPisCofins[[#This Row],[CodBarras2]],2,50)</f>
        <v/>
      </c>
    </row>
    <row r="6018" spans="9:9" x14ac:dyDescent="0.25">
      <c r="I6018" s="227" t="str">
        <f>MID(excPisCofins[[#This Row],[CodBarras2]],2,50)</f>
        <v/>
      </c>
    </row>
    <row r="6019" spans="9:9" x14ac:dyDescent="0.25">
      <c r="I6019" s="227" t="str">
        <f>MID(excPisCofins[[#This Row],[CodBarras2]],2,50)</f>
        <v/>
      </c>
    </row>
    <row r="6020" spans="9:9" x14ac:dyDescent="0.25">
      <c r="I6020" s="227" t="str">
        <f>MID(excPisCofins[[#This Row],[CodBarras2]],2,50)</f>
        <v/>
      </c>
    </row>
    <row r="6021" spans="9:9" x14ac:dyDescent="0.25">
      <c r="I6021" s="227" t="str">
        <f>MID(excPisCofins[[#This Row],[CodBarras2]],2,50)</f>
        <v/>
      </c>
    </row>
    <row r="6022" spans="9:9" x14ac:dyDescent="0.25">
      <c r="I6022" s="227" t="str">
        <f>MID(excPisCofins[[#This Row],[CodBarras2]],2,50)</f>
        <v/>
      </c>
    </row>
    <row r="6023" spans="9:9" x14ac:dyDescent="0.25">
      <c r="I6023" s="227" t="str">
        <f>MID(excPisCofins[[#This Row],[CodBarras2]],2,50)</f>
        <v/>
      </c>
    </row>
    <row r="6024" spans="9:9" x14ac:dyDescent="0.25">
      <c r="I6024" s="227" t="str">
        <f>MID(excPisCofins[[#This Row],[CodBarras2]],2,50)</f>
        <v/>
      </c>
    </row>
    <row r="6025" spans="9:9" x14ac:dyDescent="0.25">
      <c r="I6025" s="227" t="str">
        <f>MID(excPisCofins[[#This Row],[CodBarras2]],2,50)</f>
        <v/>
      </c>
    </row>
    <row r="6026" spans="9:9" x14ac:dyDescent="0.25">
      <c r="I6026" s="227" t="str">
        <f>MID(excPisCofins[[#This Row],[CodBarras2]],2,50)</f>
        <v/>
      </c>
    </row>
    <row r="6027" spans="9:9" x14ac:dyDescent="0.25">
      <c r="I6027" s="227" t="str">
        <f>MID(excPisCofins[[#This Row],[CodBarras2]],2,50)</f>
        <v/>
      </c>
    </row>
    <row r="6028" spans="9:9" x14ac:dyDescent="0.25">
      <c r="I6028" s="227" t="str">
        <f>MID(excPisCofins[[#This Row],[CodBarras2]],2,50)</f>
        <v/>
      </c>
    </row>
    <row r="6029" spans="9:9" x14ac:dyDescent="0.25">
      <c r="I6029" s="227" t="str">
        <f>MID(excPisCofins[[#This Row],[CodBarras2]],2,50)</f>
        <v/>
      </c>
    </row>
    <row r="6030" spans="9:9" x14ac:dyDescent="0.25">
      <c r="I6030" s="227" t="str">
        <f>MID(excPisCofins[[#This Row],[CodBarras2]],2,50)</f>
        <v/>
      </c>
    </row>
    <row r="6031" spans="9:9" x14ac:dyDescent="0.25">
      <c r="I6031" s="227" t="str">
        <f>MID(excPisCofins[[#This Row],[CodBarras2]],2,50)</f>
        <v/>
      </c>
    </row>
    <row r="6032" spans="9:9" x14ac:dyDescent="0.25">
      <c r="I6032" s="227" t="str">
        <f>MID(excPisCofins[[#This Row],[CodBarras2]],2,50)</f>
        <v/>
      </c>
    </row>
    <row r="6033" spans="9:9" x14ac:dyDescent="0.25">
      <c r="I6033" s="227" t="str">
        <f>MID(excPisCofins[[#This Row],[CodBarras2]],2,50)</f>
        <v/>
      </c>
    </row>
    <row r="6034" spans="9:9" x14ac:dyDescent="0.25">
      <c r="I6034" s="227" t="str">
        <f>MID(excPisCofins[[#This Row],[CodBarras2]],2,50)</f>
        <v/>
      </c>
    </row>
    <row r="6035" spans="9:9" x14ac:dyDescent="0.25">
      <c r="I6035" s="227" t="str">
        <f>MID(excPisCofins[[#This Row],[CodBarras2]],2,50)</f>
        <v/>
      </c>
    </row>
    <row r="6036" spans="9:9" x14ac:dyDescent="0.25">
      <c r="I6036" s="227" t="str">
        <f>MID(excPisCofins[[#This Row],[CodBarras2]],2,50)</f>
        <v/>
      </c>
    </row>
    <row r="6037" spans="9:9" x14ac:dyDescent="0.25">
      <c r="I6037" s="227" t="str">
        <f>MID(excPisCofins[[#This Row],[CodBarras2]],2,50)</f>
        <v/>
      </c>
    </row>
    <row r="6038" spans="9:9" x14ac:dyDescent="0.25">
      <c r="I6038" s="227" t="str">
        <f>MID(excPisCofins[[#This Row],[CodBarras2]],2,50)</f>
        <v/>
      </c>
    </row>
    <row r="6039" spans="9:9" x14ac:dyDescent="0.25">
      <c r="I6039" s="227" t="str">
        <f>MID(excPisCofins[[#This Row],[CodBarras2]],2,50)</f>
        <v/>
      </c>
    </row>
    <row r="6040" spans="9:9" x14ac:dyDescent="0.25">
      <c r="I6040" s="227" t="str">
        <f>MID(excPisCofins[[#This Row],[CodBarras2]],2,50)</f>
        <v/>
      </c>
    </row>
    <row r="6041" spans="9:9" x14ac:dyDescent="0.25">
      <c r="I6041" s="227" t="str">
        <f>MID(excPisCofins[[#This Row],[CodBarras2]],2,50)</f>
        <v/>
      </c>
    </row>
    <row r="6042" spans="9:9" x14ac:dyDescent="0.25">
      <c r="I6042" s="227" t="str">
        <f>MID(excPisCofins[[#This Row],[CodBarras2]],2,50)</f>
        <v/>
      </c>
    </row>
    <row r="6043" spans="9:9" x14ac:dyDescent="0.25">
      <c r="I6043" s="227" t="str">
        <f>MID(excPisCofins[[#This Row],[CodBarras2]],2,50)</f>
        <v/>
      </c>
    </row>
    <row r="6044" spans="9:9" x14ac:dyDescent="0.25">
      <c r="I6044" s="227" t="str">
        <f>MID(excPisCofins[[#This Row],[CodBarras2]],2,50)</f>
        <v/>
      </c>
    </row>
    <row r="6045" spans="9:9" x14ac:dyDescent="0.25">
      <c r="I6045" s="227" t="str">
        <f>MID(excPisCofins[[#This Row],[CodBarras2]],2,50)</f>
        <v/>
      </c>
    </row>
    <row r="6046" spans="9:9" x14ac:dyDescent="0.25">
      <c r="I6046" s="227" t="str">
        <f>MID(excPisCofins[[#This Row],[CodBarras2]],2,50)</f>
        <v/>
      </c>
    </row>
    <row r="6047" spans="9:9" x14ac:dyDescent="0.25">
      <c r="I6047" s="227" t="str">
        <f>MID(excPisCofins[[#This Row],[CodBarras2]],2,50)</f>
        <v/>
      </c>
    </row>
    <row r="6048" spans="9:9" x14ac:dyDescent="0.25">
      <c r="I6048" s="227" t="str">
        <f>MID(excPisCofins[[#This Row],[CodBarras2]],2,50)</f>
        <v/>
      </c>
    </row>
    <row r="6049" spans="9:9" x14ac:dyDescent="0.25">
      <c r="I6049" s="227" t="str">
        <f>MID(excPisCofins[[#This Row],[CodBarras2]],2,50)</f>
        <v/>
      </c>
    </row>
    <row r="6050" spans="9:9" x14ac:dyDescent="0.25">
      <c r="I6050" s="227" t="str">
        <f>MID(excPisCofins[[#This Row],[CodBarras2]],2,50)</f>
        <v/>
      </c>
    </row>
    <row r="6051" spans="9:9" x14ac:dyDescent="0.25">
      <c r="I6051" s="227" t="str">
        <f>MID(excPisCofins[[#This Row],[CodBarras2]],2,50)</f>
        <v/>
      </c>
    </row>
    <row r="6052" spans="9:9" x14ac:dyDescent="0.25">
      <c r="I6052" s="227" t="str">
        <f>MID(excPisCofins[[#This Row],[CodBarras2]],2,50)</f>
        <v/>
      </c>
    </row>
    <row r="6053" spans="9:9" x14ac:dyDescent="0.25">
      <c r="I6053" s="227" t="str">
        <f>MID(excPisCofins[[#This Row],[CodBarras2]],2,50)</f>
        <v/>
      </c>
    </row>
    <row r="6054" spans="9:9" x14ac:dyDescent="0.25">
      <c r="I6054" s="227" t="str">
        <f>MID(excPisCofins[[#This Row],[CodBarras2]],2,50)</f>
        <v/>
      </c>
    </row>
    <row r="6055" spans="9:9" x14ac:dyDescent="0.25">
      <c r="I6055" s="227" t="str">
        <f>MID(excPisCofins[[#This Row],[CodBarras2]],2,50)</f>
        <v/>
      </c>
    </row>
    <row r="6056" spans="9:9" x14ac:dyDescent="0.25">
      <c r="I6056" s="227" t="str">
        <f>MID(excPisCofins[[#This Row],[CodBarras2]],2,50)</f>
        <v/>
      </c>
    </row>
    <row r="6057" spans="9:9" x14ac:dyDescent="0.25">
      <c r="I6057" s="227" t="str">
        <f>MID(excPisCofins[[#This Row],[CodBarras2]],2,50)</f>
        <v/>
      </c>
    </row>
    <row r="6058" spans="9:9" x14ac:dyDescent="0.25">
      <c r="I6058" s="227" t="str">
        <f>MID(excPisCofins[[#This Row],[CodBarras2]],2,50)</f>
        <v/>
      </c>
    </row>
    <row r="6059" spans="9:9" x14ac:dyDescent="0.25">
      <c r="I6059" s="227" t="str">
        <f>MID(excPisCofins[[#This Row],[CodBarras2]],2,50)</f>
        <v/>
      </c>
    </row>
    <row r="6060" spans="9:9" x14ac:dyDescent="0.25">
      <c r="I6060" s="227" t="str">
        <f>MID(excPisCofins[[#This Row],[CodBarras2]],2,50)</f>
        <v/>
      </c>
    </row>
    <row r="6061" spans="9:9" x14ac:dyDescent="0.25">
      <c r="I6061" s="227" t="str">
        <f>MID(excPisCofins[[#This Row],[CodBarras2]],2,50)</f>
        <v/>
      </c>
    </row>
    <row r="6062" spans="9:9" x14ac:dyDescent="0.25">
      <c r="I6062" s="227" t="str">
        <f>MID(excPisCofins[[#This Row],[CodBarras2]],2,50)</f>
        <v/>
      </c>
    </row>
    <row r="6063" spans="9:9" x14ac:dyDescent="0.25">
      <c r="I6063" s="227" t="str">
        <f>MID(excPisCofins[[#This Row],[CodBarras2]],2,50)</f>
        <v/>
      </c>
    </row>
    <row r="6064" spans="9:9" x14ac:dyDescent="0.25">
      <c r="I6064" s="227" t="str">
        <f>MID(excPisCofins[[#This Row],[CodBarras2]],2,50)</f>
        <v/>
      </c>
    </row>
    <row r="6065" spans="9:9" x14ac:dyDescent="0.25">
      <c r="I6065" s="227" t="str">
        <f>MID(excPisCofins[[#This Row],[CodBarras2]],2,50)</f>
        <v/>
      </c>
    </row>
    <row r="6066" spans="9:9" x14ac:dyDescent="0.25">
      <c r="I6066" s="227" t="str">
        <f>MID(excPisCofins[[#This Row],[CodBarras2]],2,50)</f>
        <v/>
      </c>
    </row>
    <row r="6067" spans="9:9" x14ac:dyDescent="0.25">
      <c r="I6067" s="227" t="str">
        <f>MID(excPisCofins[[#This Row],[CodBarras2]],2,50)</f>
        <v/>
      </c>
    </row>
    <row r="6068" spans="9:9" x14ac:dyDescent="0.25">
      <c r="I6068" s="227" t="str">
        <f>MID(excPisCofins[[#This Row],[CodBarras2]],2,50)</f>
        <v/>
      </c>
    </row>
    <row r="6069" spans="9:9" x14ac:dyDescent="0.25">
      <c r="I6069" s="227" t="str">
        <f>MID(excPisCofins[[#This Row],[CodBarras2]],2,50)</f>
        <v/>
      </c>
    </row>
    <row r="6070" spans="9:9" x14ac:dyDescent="0.25">
      <c r="I6070" s="227" t="str">
        <f>MID(excPisCofins[[#This Row],[CodBarras2]],2,50)</f>
        <v/>
      </c>
    </row>
    <row r="6071" spans="9:9" x14ac:dyDescent="0.25">
      <c r="I6071" s="227" t="str">
        <f>MID(excPisCofins[[#This Row],[CodBarras2]],2,50)</f>
        <v/>
      </c>
    </row>
    <row r="6072" spans="9:9" x14ac:dyDescent="0.25">
      <c r="I6072" s="227" t="str">
        <f>MID(excPisCofins[[#This Row],[CodBarras2]],2,50)</f>
        <v/>
      </c>
    </row>
    <row r="6073" spans="9:9" x14ac:dyDescent="0.25">
      <c r="I6073" s="227" t="str">
        <f>MID(excPisCofins[[#This Row],[CodBarras2]],2,50)</f>
        <v/>
      </c>
    </row>
    <row r="6074" spans="9:9" x14ac:dyDescent="0.25">
      <c r="I6074" s="227" t="str">
        <f>MID(excPisCofins[[#This Row],[CodBarras2]],2,50)</f>
        <v/>
      </c>
    </row>
    <row r="6075" spans="9:9" x14ac:dyDescent="0.25">
      <c r="I6075" s="227" t="str">
        <f>MID(excPisCofins[[#This Row],[CodBarras2]],2,50)</f>
        <v/>
      </c>
    </row>
    <row r="6076" spans="9:9" x14ac:dyDescent="0.25">
      <c r="I6076" s="227" t="str">
        <f>MID(excPisCofins[[#This Row],[CodBarras2]],2,50)</f>
        <v/>
      </c>
    </row>
    <row r="6077" spans="9:9" x14ac:dyDescent="0.25">
      <c r="I6077" s="227" t="str">
        <f>MID(excPisCofins[[#This Row],[CodBarras2]],2,50)</f>
        <v/>
      </c>
    </row>
    <row r="6078" spans="9:9" x14ac:dyDescent="0.25">
      <c r="I6078" s="227" t="str">
        <f>MID(excPisCofins[[#This Row],[CodBarras2]],2,50)</f>
        <v/>
      </c>
    </row>
    <row r="6079" spans="9:9" x14ac:dyDescent="0.25">
      <c r="I6079" s="227" t="str">
        <f>MID(excPisCofins[[#This Row],[CodBarras2]],2,50)</f>
        <v/>
      </c>
    </row>
    <row r="6080" spans="9:9" x14ac:dyDescent="0.25">
      <c r="I6080" s="227" t="str">
        <f>MID(excPisCofins[[#This Row],[CodBarras2]],2,50)</f>
        <v/>
      </c>
    </row>
    <row r="6081" spans="9:9" x14ac:dyDescent="0.25">
      <c r="I6081" s="227" t="str">
        <f>MID(excPisCofins[[#This Row],[CodBarras2]],2,50)</f>
        <v/>
      </c>
    </row>
    <row r="6082" spans="9:9" x14ac:dyDescent="0.25">
      <c r="I6082" s="227" t="str">
        <f>MID(excPisCofins[[#This Row],[CodBarras2]],2,50)</f>
        <v/>
      </c>
    </row>
    <row r="6083" spans="9:9" x14ac:dyDescent="0.25">
      <c r="I6083" s="227" t="str">
        <f>MID(excPisCofins[[#This Row],[CodBarras2]],2,50)</f>
        <v/>
      </c>
    </row>
    <row r="6084" spans="9:9" x14ac:dyDescent="0.25">
      <c r="I6084" s="227" t="str">
        <f>MID(excPisCofins[[#This Row],[CodBarras2]],2,50)</f>
        <v/>
      </c>
    </row>
    <row r="6085" spans="9:9" x14ac:dyDescent="0.25">
      <c r="I6085" s="227" t="str">
        <f>MID(excPisCofins[[#This Row],[CodBarras2]],2,50)</f>
        <v/>
      </c>
    </row>
    <row r="6086" spans="9:9" x14ac:dyDescent="0.25">
      <c r="I6086" s="227" t="str">
        <f>MID(excPisCofins[[#This Row],[CodBarras2]],2,50)</f>
        <v/>
      </c>
    </row>
    <row r="6087" spans="9:9" x14ac:dyDescent="0.25">
      <c r="I6087" s="227" t="str">
        <f>MID(excPisCofins[[#This Row],[CodBarras2]],2,50)</f>
        <v/>
      </c>
    </row>
    <row r="6088" spans="9:9" x14ac:dyDescent="0.25">
      <c r="I6088" s="227" t="str">
        <f>MID(excPisCofins[[#This Row],[CodBarras2]],2,50)</f>
        <v/>
      </c>
    </row>
    <row r="6089" spans="9:9" x14ac:dyDescent="0.25">
      <c r="I6089" s="227" t="str">
        <f>MID(excPisCofins[[#This Row],[CodBarras2]],2,50)</f>
        <v/>
      </c>
    </row>
    <row r="6090" spans="9:9" x14ac:dyDescent="0.25">
      <c r="I6090" s="227" t="str">
        <f>MID(excPisCofins[[#This Row],[CodBarras2]],2,50)</f>
        <v/>
      </c>
    </row>
    <row r="6091" spans="9:9" x14ac:dyDescent="0.25">
      <c r="I6091" s="227" t="str">
        <f>MID(excPisCofins[[#This Row],[CodBarras2]],2,50)</f>
        <v/>
      </c>
    </row>
    <row r="6092" spans="9:9" x14ac:dyDescent="0.25">
      <c r="I6092" s="227" t="str">
        <f>MID(excPisCofins[[#This Row],[CodBarras2]],2,50)</f>
        <v/>
      </c>
    </row>
    <row r="6093" spans="9:9" x14ac:dyDescent="0.25">
      <c r="I6093" s="227" t="str">
        <f>MID(excPisCofins[[#This Row],[CodBarras2]],2,50)</f>
        <v/>
      </c>
    </row>
    <row r="6094" spans="9:9" x14ac:dyDescent="0.25">
      <c r="I6094" s="227" t="str">
        <f>MID(excPisCofins[[#This Row],[CodBarras2]],2,50)</f>
        <v/>
      </c>
    </row>
    <row r="6095" spans="9:9" x14ac:dyDescent="0.25">
      <c r="I6095" s="227" t="str">
        <f>MID(excPisCofins[[#This Row],[CodBarras2]],2,50)</f>
        <v/>
      </c>
    </row>
    <row r="6096" spans="9:9" x14ac:dyDescent="0.25">
      <c r="I6096" s="227" t="str">
        <f>MID(excPisCofins[[#This Row],[CodBarras2]],2,50)</f>
        <v/>
      </c>
    </row>
    <row r="6097" spans="9:9" x14ac:dyDescent="0.25">
      <c r="I6097" s="227" t="str">
        <f>MID(excPisCofins[[#This Row],[CodBarras2]],2,50)</f>
        <v/>
      </c>
    </row>
    <row r="6098" spans="9:9" x14ac:dyDescent="0.25">
      <c r="I6098" s="227" t="str">
        <f>MID(excPisCofins[[#This Row],[CodBarras2]],2,50)</f>
        <v/>
      </c>
    </row>
    <row r="6099" spans="9:9" x14ac:dyDescent="0.25">
      <c r="I6099" s="227" t="str">
        <f>MID(excPisCofins[[#This Row],[CodBarras2]],2,50)</f>
        <v/>
      </c>
    </row>
    <row r="6100" spans="9:9" x14ac:dyDescent="0.25">
      <c r="I6100" s="227" t="str">
        <f>MID(excPisCofins[[#This Row],[CodBarras2]],2,50)</f>
        <v/>
      </c>
    </row>
    <row r="6101" spans="9:9" x14ac:dyDescent="0.25">
      <c r="I6101" s="227" t="str">
        <f>MID(excPisCofins[[#This Row],[CodBarras2]],2,50)</f>
        <v/>
      </c>
    </row>
    <row r="6102" spans="9:9" x14ac:dyDescent="0.25">
      <c r="I6102" s="227" t="str">
        <f>MID(excPisCofins[[#This Row],[CodBarras2]],2,50)</f>
        <v/>
      </c>
    </row>
    <row r="6103" spans="9:9" x14ac:dyDescent="0.25">
      <c r="I6103" s="227" t="str">
        <f>MID(excPisCofins[[#This Row],[CodBarras2]],2,50)</f>
        <v/>
      </c>
    </row>
    <row r="6104" spans="9:9" x14ac:dyDescent="0.25">
      <c r="I6104" s="227" t="str">
        <f>MID(excPisCofins[[#This Row],[CodBarras2]],2,50)</f>
        <v/>
      </c>
    </row>
    <row r="6105" spans="9:9" x14ac:dyDescent="0.25">
      <c r="I6105" s="227" t="str">
        <f>MID(excPisCofins[[#This Row],[CodBarras2]],2,50)</f>
        <v/>
      </c>
    </row>
    <row r="6106" spans="9:9" x14ac:dyDescent="0.25">
      <c r="I6106" s="227" t="str">
        <f>MID(excPisCofins[[#This Row],[CodBarras2]],2,50)</f>
        <v/>
      </c>
    </row>
    <row r="6107" spans="9:9" x14ac:dyDescent="0.25">
      <c r="I6107" s="227" t="str">
        <f>MID(excPisCofins[[#This Row],[CodBarras2]],2,50)</f>
        <v/>
      </c>
    </row>
    <row r="6108" spans="9:9" x14ac:dyDescent="0.25">
      <c r="I6108" s="227" t="str">
        <f>MID(excPisCofins[[#This Row],[CodBarras2]],2,50)</f>
        <v/>
      </c>
    </row>
    <row r="6109" spans="9:9" x14ac:dyDescent="0.25">
      <c r="I6109" s="227" t="str">
        <f>MID(excPisCofins[[#This Row],[CodBarras2]],2,50)</f>
        <v/>
      </c>
    </row>
    <row r="6110" spans="9:9" x14ac:dyDescent="0.25">
      <c r="I6110" s="227" t="str">
        <f>MID(excPisCofins[[#This Row],[CodBarras2]],2,50)</f>
        <v/>
      </c>
    </row>
    <row r="6111" spans="9:9" x14ac:dyDescent="0.25">
      <c r="I6111" s="227" t="str">
        <f>MID(excPisCofins[[#This Row],[CodBarras2]],2,50)</f>
        <v/>
      </c>
    </row>
    <row r="6112" spans="9:9" x14ac:dyDescent="0.25">
      <c r="I6112" s="227" t="str">
        <f>MID(excPisCofins[[#This Row],[CodBarras2]],2,50)</f>
        <v/>
      </c>
    </row>
    <row r="6113" spans="9:9" x14ac:dyDescent="0.25">
      <c r="I6113" s="227" t="str">
        <f>MID(excPisCofins[[#This Row],[CodBarras2]],2,50)</f>
        <v/>
      </c>
    </row>
    <row r="6114" spans="9:9" x14ac:dyDescent="0.25">
      <c r="I6114" s="227" t="str">
        <f>MID(excPisCofins[[#This Row],[CodBarras2]],2,50)</f>
        <v/>
      </c>
    </row>
    <row r="6115" spans="9:9" x14ac:dyDescent="0.25">
      <c r="I6115" s="227" t="str">
        <f>MID(excPisCofins[[#This Row],[CodBarras2]],2,50)</f>
        <v/>
      </c>
    </row>
    <row r="6116" spans="9:9" x14ac:dyDescent="0.25">
      <c r="I6116" s="227" t="str">
        <f>MID(excPisCofins[[#This Row],[CodBarras2]],2,50)</f>
        <v/>
      </c>
    </row>
    <row r="6117" spans="9:9" x14ac:dyDescent="0.25">
      <c r="I6117" s="227" t="str">
        <f>MID(excPisCofins[[#This Row],[CodBarras2]],2,50)</f>
        <v/>
      </c>
    </row>
    <row r="6118" spans="9:9" x14ac:dyDescent="0.25">
      <c r="I6118" s="227" t="str">
        <f>MID(excPisCofins[[#This Row],[CodBarras2]],2,50)</f>
        <v/>
      </c>
    </row>
    <row r="6119" spans="9:9" x14ac:dyDescent="0.25">
      <c r="I6119" s="227" t="str">
        <f>MID(excPisCofins[[#This Row],[CodBarras2]],2,50)</f>
        <v/>
      </c>
    </row>
    <row r="6120" spans="9:9" x14ac:dyDescent="0.25">
      <c r="I6120" s="227" t="str">
        <f>MID(excPisCofins[[#This Row],[CodBarras2]],2,50)</f>
        <v/>
      </c>
    </row>
    <row r="6121" spans="9:9" x14ac:dyDescent="0.25">
      <c r="I6121" s="227" t="str">
        <f>MID(excPisCofins[[#This Row],[CodBarras2]],2,50)</f>
        <v/>
      </c>
    </row>
    <row r="6122" spans="9:9" x14ac:dyDescent="0.25">
      <c r="I6122" s="227" t="str">
        <f>MID(excPisCofins[[#This Row],[CodBarras2]],2,50)</f>
        <v/>
      </c>
    </row>
    <row r="6123" spans="9:9" x14ac:dyDescent="0.25">
      <c r="I6123" s="227" t="str">
        <f>MID(excPisCofins[[#This Row],[CodBarras2]],2,50)</f>
        <v/>
      </c>
    </row>
    <row r="6124" spans="9:9" x14ac:dyDescent="0.25">
      <c r="I6124" s="227" t="str">
        <f>MID(excPisCofins[[#This Row],[CodBarras2]],2,50)</f>
        <v/>
      </c>
    </row>
    <row r="6125" spans="9:9" x14ac:dyDescent="0.25">
      <c r="I6125" s="227" t="str">
        <f>MID(excPisCofins[[#This Row],[CodBarras2]],2,50)</f>
        <v/>
      </c>
    </row>
    <row r="6126" spans="9:9" x14ac:dyDescent="0.25">
      <c r="I6126" s="227" t="str">
        <f>MID(excPisCofins[[#This Row],[CodBarras2]],2,50)</f>
        <v/>
      </c>
    </row>
    <row r="6127" spans="9:9" x14ac:dyDescent="0.25">
      <c r="I6127" s="227" t="str">
        <f>MID(excPisCofins[[#This Row],[CodBarras2]],2,50)</f>
        <v/>
      </c>
    </row>
    <row r="6128" spans="9:9" x14ac:dyDescent="0.25">
      <c r="I6128" s="227" t="str">
        <f>MID(excPisCofins[[#This Row],[CodBarras2]],2,50)</f>
        <v/>
      </c>
    </row>
    <row r="6129" spans="9:9" x14ac:dyDescent="0.25">
      <c r="I6129" s="227" t="str">
        <f>MID(excPisCofins[[#This Row],[CodBarras2]],2,50)</f>
        <v/>
      </c>
    </row>
    <row r="6130" spans="9:9" x14ac:dyDescent="0.25">
      <c r="I6130" s="227" t="str">
        <f>MID(excPisCofins[[#This Row],[CodBarras2]],2,50)</f>
        <v/>
      </c>
    </row>
    <row r="6131" spans="9:9" x14ac:dyDescent="0.25">
      <c r="I6131" s="227" t="str">
        <f>MID(excPisCofins[[#This Row],[CodBarras2]],2,50)</f>
        <v/>
      </c>
    </row>
    <row r="6132" spans="9:9" x14ac:dyDescent="0.25">
      <c r="I6132" s="227" t="str">
        <f>MID(excPisCofins[[#This Row],[CodBarras2]],2,50)</f>
        <v/>
      </c>
    </row>
    <row r="6133" spans="9:9" x14ac:dyDescent="0.25">
      <c r="I6133" s="227" t="str">
        <f>MID(excPisCofins[[#This Row],[CodBarras2]],2,50)</f>
        <v/>
      </c>
    </row>
    <row r="6134" spans="9:9" x14ac:dyDescent="0.25">
      <c r="I6134" s="227" t="str">
        <f>MID(excPisCofins[[#This Row],[CodBarras2]],2,50)</f>
        <v/>
      </c>
    </row>
    <row r="6135" spans="9:9" x14ac:dyDescent="0.25">
      <c r="I6135" s="227" t="str">
        <f>MID(excPisCofins[[#This Row],[CodBarras2]],2,50)</f>
        <v/>
      </c>
    </row>
    <row r="6136" spans="9:9" x14ac:dyDescent="0.25">
      <c r="I6136" s="227" t="str">
        <f>MID(excPisCofins[[#This Row],[CodBarras2]],2,50)</f>
        <v/>
      </c>
    </row>
    <row r="6137" spans="9:9" x14ac:dyDescent="0.25">
      <c r="I6137" s="227" t="str">
        <f>MID(excPisCofins[[#This Row],[CodBarras2]],2,50)</f>
        <v/>
      </c>
    </row>
    <row r="6138" spans="9:9" x14ac:dyDescent="0.25">
      <c r="I6138" s="227" t="str">
        <f>MID(excPisCofins[[#This Row],[CodBarras2]],2,50)</f>
        <v/>
      </c>
    </row>
    <row r="6139" spans="9:9" x14ac:dyDescent="0.25">
      <c r="I6139" s="227" t="str">
        <f>MID(excPisCofins[[#This Row],[CodBarras2]],2,50)</f>
        <v/>
      </c>
    </row>
    <row r="6140" spans="9:9" x14ac:dyDescent="0.25">
      <c r="I6140" s="227" t="str">
        <f>MID(excPisCofins[[#This Row],[CodBarras2]],2,50)</f>
        <v/>
      </c>
    </row>
    <row r="6141" spans="9:9" x14ac:dyDescent="0.25">
      <c r="I6141" s="227" t="str">
        <f>MID(excPisCofins[[#This Row],[CodBarras2]],2,50)</f>
        <v/>
      </c>
    </row>
    <row r="6142" spans="9:9" x14ac:dyDescent="0.25">
      <c r="I6142" s="227" t="str">
        <f>MID(excPisCofins[[#This Row],[CodBarras2]],2,50)</f>
        <v/>
      </c>
    </row>
    <row r="6143" spans="9:9" x14ac:dyDescent="0.25">
      <c r="I6143" s="227" t="str">
        <f>MID(excPisCofins[[#This Row],[CodBarras2]],2,50)</f>
        <v/>
      </c>
    </row>
    <row r="6144" spans="9:9" x14ac:dyDescent="0.25">
      <c r="I6144" s="227" t="str">
        <f>MID(excPisCofins[[#This Row],[CodBarras2]],2,50)</f>
        <v/>
      </c>
    </row>
    <row r="6145" spans="9:9" x14ac:dyDescent="0.25">
      <c r="I6145" s="227" t="str">
        <f>MID(excPisCofins[[#This Row],[CodBarras2]],2,50)</f>
        <v/>
      </c>
    </row>
    <row r="6146" spans="9:9" x14ac:dyDescent="0.25">
      <c r="I6146" s="227" t="str">
        <f>MID(excPisCofins[[#This Row],[CodBarras2]],2,50)</f>
        <v/>
      </c>
    </row>
    <row r="6147" spans="9:9" x14ac:dyDescent="0.25">
      <c r="I6147" s="227" t="str">
        <f>MID(excPisCofins[[#This Row],[CodBarras2]],2,50)</f>
        <v/>
      </c>
    </row>
    <row r="6148" spans="9:9" x14ac:dyDescent="0.25">
      <c r="I6148" s="227" t="str">
        <f>MID(excPisCofins[[#This Row],[CodBarras2]],2,50)</f>
        <v/>
      </c>
    </row>
    <row r="6149" spans="9:9" x14ac:dyDescent="0.25">
      <c r="I6149" s="227" t="str">
        <f>MID(excPisCofins[[#This Row],[CodBarras2]],2,50)</f>
        <v/>
      </c>
    </row>
    <row r="6150" spans="9:9" x14ac:dyDescent="0.25">
      <c r="I6150" s="227" t="str">
        <f>MID(excPisCofins[[#This Row],[CodBarras2]],2,50)</f>
        <v/>
      </c>
    </row>
    <row r="6151" spans="9:9" x14ac:dyDescent="0.25">
      <c r="I6151" s="227" t="str">
        <f>MID(excPisCofins[[#This Row],[CodBarras2]],2,50)</f>
        <v/>
      </c>
    </row>
    <row r="6152" spans="9:9" x14ac:dyDescent="0.25">
      <c r="I6152" s="227" t="str">
        <f>MID(excPisCofins[[#This Row],[CodBarras2]],2,50)</f>
        <v/>
      </c>
    </row>
    <row r="6153" spans="9:9" x14ac:dyDescent="0.25">
      <c r="I6153" s="227" t="str">
        <f>MID(excPisCofins[[#This Row],[CodBarras2]],2,50)</f>
        <v/>
      </c>
    </row>
    <row r="6154" spans="9:9" x14ac:dyDescent="0.25">
      <c r="I6154" s="227" t="str">
        <f>MID(excPisCofins[[#This Row],[CodBarras2]],2,50)</f>
        <v/>
      </c>
    </row>
    <row r="6155" spans="9:9" x14ac:dyDescent="0.25">
      <c r="I6155" s="227" t="str">
        <f>MID(excPisCofins[[#This Row],[CodBarras2]],2,50)</f>
        <v/>
      </c>
    </row>
    <row r="6156" spans="9:9" x14ac:dyDescent="0.25">
      <c r="I6156" s="227" t="str">
        <f>MID(excPisCofins[[#This Row],[CodBarras2]],2,50)</f>
        <v/>
      </c>
    </row>
    <row r="6157" spans="9:9" x14ac:dyDescent="0.25">
      <c r="I6157" s="227" t="str">
        <f>MID(excPisCofins[[#This Row],[CodBarras2]],2,50)</f>
        <v/>
      </c>
    </row>
    <row r="6158" spans="9:9" x14ac:dyDescent="0.25">
      <c r="I6158" s="227" t="str">
        <f>MID(excPisCofins[[#This Row],[CodBarras2]],2,50)</f>
        <v/>
      </c>
    </row>
    <row r="6159" spans="9:9" x14ac:dyDescent="0.25">
      <c r="I6159" s="227" t="str">
        <f>MID(excPisCofins[[#This Row],[CodBarras2]],2,50)</f>
        <v/>
      </c>
    </row>
    <row r="6160" spans="9:9" x14ac:dyDescent="0.25">
      <c r="I6160" s="227" t="str">
        <f>MID(excPisCofins[[#This Row],[CodBarras2]],2,50)</f>
        <v/>
      </c>
    </row>
    <row r="6161" spans="9:9" x14ac:dyDescent="0.25">
      <c r="I6161" s="227" t="str">
        <f>MID(excPisCofins[[#This Row],[CodBarras2]],2,50)</f>
        <v/>
      </c>
    </row>
    <row r="6162" spans="9:9" x14ac:dyDescent="0.25">
      <c r="I6162" s="227" t="str">
        <f>MID(excPisCofins[[#This Row],[CodBarras2]],2,50)</f>
        <v/>
      </c>
    </row>
    <row r="6163" spans="9:9" x14ac:dyDescent="0.25">
      <c r="I6163" s="227" t="str">
        <f>MID(excPisCofins[[#This Row],[CodBarras2]],2,50)</f>
        <v/>
      </c>
    </row>
    <row r="6164" spans="9:9" x14ac:dyDescent="0.25">
      <c r="I6164" s="227" t="str">
        <f>MID(excPisCofins[[#This Row],[CodBarras2]],2,50)</f>
        <v/>
      </c>
    </row>
    <row r="6165" spans="9:9" x14ac:dyDescent="0.25">
      <c r="I6165" s="227" t="str">
        <f>MID(excPisCofins[[#This Row],[CodBarras2]],2,50)</f>
        <v/>
      </c>
    </row>
    <row r="6166" spans="9:9" x14ac:dyDescent="0.25">
      <c r="I6166" s="227" t="str">
        <f>MID(excPisCofins[[#This Row],[CodBarras2]],2,50)</f>
        <v/>
      </c>
    </row>
    <row r="6167" spans="9:9" x14ac:dyDescent="0.25">
      <c r="I6167" s="227" t="str">
        <f>MID(excPisCofins[[#This Row],[CodBarras2]],2,50)</f>
        <v/>
      </c>
    </row>
    <row r="6168" spans="9:9" x14ac:dyDescent="0.25">
      <c r="I6168" s="227" t="str">
        <f>MID(excPisCofins[[#This Row],[CodBarras2]],2,50)</f>
        <v/>
      </c>
    </row>
    <row r="6169" spans="9:9" x14ac:dyDescent="0.25">
      <c r="I6169" s="227" t="str">
        <f>MID(excPisCofins[[#This Row],[CodBarras2]],2,50)</f>
        <v/>
      </c>
    </row>
    <row r="6170" spans="9:9" x14ac:dyDescent="0.25">
      <c r="I6170" s="227" t="str">
        <f>MID(excPisCofins[[#This Row],[CodBarras2]],2,50)</f>
        <v/>
      </c>
    </row>
    <row r="6171" spans="9:9" x14ac:dyDescent="0.25">
      <c r="I6171" s="227" t="str">
        <f>MID(excPisCofins[[#This Row],[CodBarras2]],2,50)</f>
        <v/>
      </c>
    </row>
    <row r="6172" spans="9:9" x14ac:dyDescent="0.25">
      <c r="I6172" s="227" t="str">
        <f>MID(excPisCofins[[#This Row],[CodBarras2]],2,50)</f>
        <v/>
      </c>
    </row>
    <row r="6173" spans="9:9" x14ac:dyDescent="0.25">
      <c r="I6173" s="227" t="str">
        <f>MID(excPisCofins[[#This Row],[CodBarras2]],2,50)</f>
        <v/>
      </c>
    </row>
    <row r="6174" spans="9:9" x14ac:dyDescent="0.25">
      <c r="I6174" s="227" t="str">
        <f>MID(excPisCofins[[#This Row],[CodBarras2]],2,50)</f>
        <v/>
      </c>
    </row>
    <row r="6175" spans="9:9" x14ac:dyDescent="0.25">
      <c r="I6175" s="227" t="str">
        <f>MID(excPisCofins[[#This Row],[CodBarras2]],2,50)</f>
        <v/>
      </c>
    </row>
    <row r="6176" spans="9:9" x14ac:dyDescent="0.25">
      <c r="I6176" s="227" t="str">
        <f>MID(excPisCofins[[#This Row],[CodBarras2]],2,50)</f>
        <v/>
      </c>
    </row>
    <row r="6177" spans="9:9" x14ac:dyDescent="0.25">
      <c r="I6177" s="227" t="str">
        <f>MID(excPisCofins[[#This Row],[CodBarras2]],2,50)</f>
        <v/>
      </c>
    </row>
    <row r="6178" spans="9:9" x14ac:dyDescent="0.25">
      <c r="I6178" s="227" t="str">
        <f>MID(excPisCofins[[#This Row],[CodBarras2]],2,50)</f>
        <v/>
      </c>
    </row>
    <row r="6179" spans="9:9" x14ac:dyDescent="0.25">
      <c r="I6179" s="227" t="str">
        <f>MID(excPisCofins[[#This Row],[CodBarras2]],2,50)</f>
        <v/>
      </c>
    </row>
    <row r="6180" spans="9:9" x14ac:dyDescent="0.25">
      <c r="I6180" s="227" t="str">
        <f>MID(excPisCofins[[#This Row],[CodBarras2]],2,50)</f>
        <v/>
      </c>
    </row>
    <row r="6181" spans="9:9" x14ac:dyDescent="0.25">
      <c r="I6181" s="227" t="str">
        <f>MID(excPisCofins[[#This Row],[CodBarras2]],2,50)</f>
        <v/>
      </c>
    </row>
    <row r="6182" spans="9:9" x14ac:dyDescent="0.25">
      <c r="I6182" s="227" t="str">
        <f>MID(excPisCofins[[#This Row],[CodBarras2]],2,50)</f>
        <v/>
      </c>
    </row>
    <row r="6183" spans="9:9" x14ac:dyDescent="0.25">
      <c r="I6183" s="227" t="str">
        <f>MID(excPisCofins[[#This Row],[CodBarras2]],2,50)</f>
        <v/>
      </c>
    </row>
    <row r="6184" spans="9:9" x14ac:dyDescent="0.25">
      <c r="I6184" s="227" t="str">
        <f>MID(excPisCofins[[#This Row],[CodBarras2]],2,50)</f>
        <v/>
      </c>
    </row>
    <row r="6185" spans="9:9" x14ac:dyDescent="0.25">
      <c r="I6185" s="227" t="str">
        <f>MID(excPisCofins[[#This Row],[CodBarras2]],2,50)</f>
        <v/>
      </c>
    </row>
    <row r="6186" spans="9:9" x14ac:dyDescent="0.25">
      <c r="I6186" s="227" t="str">
        <f>MID(excPisCofins[[#This Row],[CodBarras2]],2,50)</f>
        <v/>
      </c>
    </row>
    <row r="6187" spans="9:9" x14ac:dyDescent="0.25">
      <c r="I6187" s="227" t="str">
        <f>MID(excPisCofins[[#This Row],[CodBarras2]],2,50)</f>
        <v/>
      </c>
    </row>
    <row r="6188" spans="9:9" x14ac:dyDescent="0.25">
      <c r="I6188" s="227" t="str">
        <f>MID(excPisCofins[[#This Row],[CodBarras2]],2,50)</f>
        <v/>
      </c>
    </row>
    <row r="6189" spans="9:9" x14ac:dyDescent="0.25">
      <c r="I6189" s="227" t="str">
        <f>MID(excPisCofins[[#This Row],[CodBarras2]],2,50)</f>
        <v/>
      </c>
    </row>
    <row r="6190" spans="9:9" x14ac:dyDescent="0.25">
      <c r="I6190" s="227" t="str">
        <f>MID(excPisCofins[[#This Row],[CodBarras2]],2,50)</f>
        <v/>
      </c>
    </row>
    <row r="6191" spans="9:9" x14ac:dyDescent="0.25">
      <c r="I6191" s="227" t="str">
        <f>MID(excPisCofins[[#This Row],[CodBarras2]],2,50)</f>
        <v/>
      </c>
    </row>
    <row r="6192" spans="9:9" x14ac:dyDescent="0.25">
      <c r="I6192" s="227" t="str">
        <f>MID(excPisCofins[[#This Row],[CodBarras2]],2,50)</f>
        <v/>
      </c>
    </row>
    <row r="6193" spans="9:9" x14ac:dyDescent="0.25">
      <c r="I6193" s="227" t="str">
        <f>MID(excPisCofins[[#This Row],[CodBarras2]],2,50)</f>
        <v/>
      </c>
    </row>
    <row r="6194" spans="9:9" x14ac:dyDescent="0.25">
      <c r="I6194" s="227" t="str">
        <f>MID(excPisCofins[[#This Row],[CodBarras2]],2,50)</f>
        <v/>
      </c>
    </row>
    <row r="6195" spans="9:9" x14ac:dyDescent="0.25">
      <c r="I6195" s="227" t="str">
        <f>MID(excPisCofins[[#This Row],[CodBarras2]],2,50)</f>
        <v/>
      </c>
    </row>
    <row r="6196" spans="9:9" x14ac:dyDescent="0.25">
      <c r="I6196" s="227" t="str">
        <f>MID(excPisCofins[[#This Row],[CodBarras2]],2,50)</f>
        <v/>
      </c>
    </row>
    <row r="6197" spans="9:9" x14ac:dyDescent="0.25">
      <c r="I6197" s="227" t="str">
        <f>MID(excPisCofins[[#This Row],[CodBarras2]],2,50)</f>
        <v/>
      </c>
    </row>
    <row r="6198" spans="9:9" x14ac:dyDescent="0.25">
      <c r="I6198" s="227" t="str">
        <f>MID(excPisCofins[[#This Row],[CodBarras2]],2,50)</f>
        <v/>
      </c>
    </row>
    <row r="6199" spans="9:9" x14ac:dyDescent="0.25">
      <c r="I6199" s="227" t="str">
        <f>MID(excPisCofins[[#This Row],[CodBarras2]],2,50)</f>
        <v/>
      </c>
    </row>
    <row r="6200" spans="9:9" x14ac:dyDescent="0.25">
      <c r="I6200" s="227" t="str">
        <f>MID(excPisCofins[[#This Row],[CodBarras2]],2,50)</f>
        <v/>
      </c>
    </row>
    <row r="6201" spans="9:9" x14ac:dyDescent="0.25">
      <c r="I6201" s="227" t="str">
        <f>MID(excPisCofins[[#This Row],[CodBarras2]],2,50)</f>
        <v/>
      </c>
    </row>
    <row r="6202" spans="9:9" x14ac:dyDescent="0.25">
      <c r="I6202" s="227" t="str">
        <f>MID(excPisCofins[[#This Row],[CodBarras2]],2,50)</f>
        <v/>
      </c>
    </row>
    <row r="6203" spans="9:9" x14ac:dyDescent="0.25">
      <c r="I6203" s="227" t="str">
        <f>MID(excPisCofins[[#This Row],[CodBarras2]],2,50)</f>
        <v/>
      </c>
    </row>
    <row r="6204" spans="9:9" x14ac:dyDescent="0.25">
      <c r="I6204" s="227" t="str">
        <f>MID(excPisCofins[[#This Row],[CodBarras2]],2,50)</f>
        <v/>
      </c>
    </row>
    <row r="6205" spans="9:9" x14ac:dyDescent="0.25">
      <c r="I6205" s="227" t="str">
        <f>MID(excPisCofins[[#This Row],[CodBarras2]],2,50)</f>
        <v/>
      </c>
    </row>
    <row r="6206" spans="9:9" x14ac:dyDescent="0.25">
      <c r="I6206" s="227" t="str">
        <f>MID(excPisCofins[[#This Row],[CodBarras2]],2,50)</f>
        <v/>
      </c>
    </row>
    <row r="6207" spans="9:9" x14ac:dyDescent="0.25">
      <c r="I6207" s="227" t="str">
        <f>MID(excPisCofins[[#This Row],[CodBarras2]],2,50)</f>
        <v/>
      </c>
    </row>
    <row r="6208" spans="9:9" x14ac:dyDescent="0.25">
      <c r="I6208" s="227" t="str">
        <f>MID(excPisCofins[[#This Row],[CodBarras2]],2,50)</f>
        <v/>
      </c>
    </row>
    <row r="6209" spans="9:9" x14ac:dyDescent="0.25">
      <c r="I6209" s="227" t="str">
        <f>MID(excPisCofins[[#This Row],[CodBarras2]],2,50)</f>
        <v/>
      </c>
    </row>
    <row r="6210" spans="9:9" x14ac:dyDescent="0.25">
      <c r="I6210" s="227" t="str">
        <f>MID(excPisCofins[[#This Row],[CodBarras2]],2,50)</f>
        <v/>
      </c>
    </row>
    <row r="6211" spans="9:9" x14ac:dyDescent="0.25">
      <c r="I6211" s="227" t="str">
        <f>MID(excPisCofins[[#This Row],[CodBarras2]],2,50)</f>
        <v/>
      </c>
    </row>
    <row r="6212" spans="9:9" x14ac:dyDescent="0.25">
      <c r="I6212" s="227" t="str">
        <f>MID(excPisCofins[[#This Row],[CodBarras2]],2,50)</f>
        <v/>
      </c>
    </row>
    <row r="6213" spans="9:9" x14ac:dyDescent="0.25">
      <c r="I6213" s="227" t="str">
        <f>MID(excPisCofins[[#This Row],[CodBarras2]],2,50)</f>
        <v/>
      </c>
    </row>
    <row r="6214" spans="9:9" x14ac:dyDescent="0.25">
      <c r="I6214" s="227" t="str">
        <f>MID(excPisCofins[[#This Row],[CodBarras2]],2,50)</f>
        <v/>
      </c>
    </row>
    <row r="6215" spans="9:9" x14ac:dyDescent="0.25">
      <c r="I6215" s="227" t="str">
        <f>MID(excPisCofins[[#This Row],[CodBarras2]],2,50)</f>
        <v/>
      </c>
    </row>
    <row r="6216" spans="9:9" x14ac:dyDescent="0.25">
      <c r="I6216" s="227" t="str">
        <f>MID(excPisCofins[[#This Row],[CodBarras2]],2,50)</f>
        <v/>
      </c>
    </row>
    <row r="6217" spans="9:9" x14ac:dyDescent="0.25">
      <c r="I6217" s="227" t="str">
        <f>MID(excPisCofins[[#This Row],[CodBarras2]],2,50)</f>
        <v/>
      </c>
    </row>
    <row r="6218" spans="9:9" x14ac:dyDescent="0.25">
      <c r="I6218" s="227" t="str">
        <f>MID(excPisCofins[[#This Row],[CodBarras2]],2,50)</f>
        <v/>
      </c>
    </row>
    <row r="6219" spans="9:9" x14ac:dyDescent="0.25">
      <c r="I6219" s="227" t="str">
        <f>MID(excPisCofins[[#This Row],[CodBarras2]],2,50)</f>
        <v/>
      </c>
    </row>
    <row r="6220" spans="9:9" x14ac:dyDescent="0.25">
      <c r="I6220" s="227" t="str">
        <f>MID(excPisCofins[[#This Row],[CodBarras2]],2,50)</f>
        <v/>
      </c>
    </row>
    <row r="6221" spans="9:9" x14ac:dyDescent="0.25">
      <c r="I6221" s="227" t="str">
        <f>MID(excPisCofins[[#This Row],[CodBarras2]],2,50)</f>
        <v/>
      </c>
    </row>
    <row r="6222" spans="9:9" x14ac:dyDescent="0.25">
      <c r="I6222" s="227" t="str">
        <f>MID(excPisCofins[[#This Row],[CodBarras2]],2,50)</f>
        <v/>
      </c>
    </row>
    <row r="6223" spans="9:9" x14ac:dyDescent="0.25">
      <c r="I6223" s="227" t="str">
        <f>MID(excPisCofins[[#This Row],[CodBarras2]],2,50)</f>
        <v/>
      </c>
    </row>
    <row r="6224" spans="9:9" x14ac:dyDescent="0.25">
      <c r="I6224" s="227" t="str">
        <f>MID(excPisCofins[[#This Row],[CodBarras2]],2,50)</f>
        <v/>
      </c>
    </row>
    <row r="6225" spans="9:9" x14ac:dyDescent="0.25">
      <c r="I6225" s="227" t="str">
        <f>MID(excPisCofins[[#This Row],[CodBarras2]],2,50)</f>
        <v/>
      </c>
    </row>
    <row r="6226" spans="9:9" x14ac:dyDescent="0.25">
      <c r="I6226" s="227" t="str">
        <f>MID(excPisCofins[[#This Row],[CodBarras2]],2,50)</f>
        <v/>
      </c>
    </row>
    <row r="6227" spans="9:9" x14ac:dyDescent="0.25">
      <c r="I6227" s="227" t="str">
        <f>MID(excPisCofins[[#This Row],[CodBarras2]],2,50)</f>
        <v/>
      </c>
    </row>
    <row r="6228" spans="9:9" x14ac:dyDescent="0.25">
      <c r="I6228" s="227" t="str">
        <f>MID(excPisCofins[[#This Row],[CodBarras2]],2,50)</f>
        <v/>
      </c>
    </row>
    <row r="6229" spans="9:9" x14ac:dyDescent="0.25">
      <c r="I6229" s="227" t="str">
        <f>MID(excPisCofins[[#This Row],[CodBarras2]],2,50)</f>
        <v/>
      </c>
    </row>
    <row r="6230" spans="9:9" x14ac:dyDescent="0.25">
      <c r="I6230" s="227" t="str">
        <f>MID(excPisCofins[[#This Row],[CodBarras2]],2,50)</f>
        <v/>
      </c>
    </row>
    <row r="6231" spans="9:9" x14ac:dyDescent="0.25">
      <c r="I6231" s="227" t="str">
        <f>MID(excPisCofins[[#This Row],[CodBarras2]],2,50)</f>
        <v/>
      </c>
    </row>
    <row r="6232" spans="9:9" x14ac:dyDescent="0.25">
      <c r="I6232" s="227" t="str">
        <f>MID(excPisCofins[[#This Row],[CodBarras2]],2,50)</f>
        <v/>
      </c>
    </row>
    <row r="6233" spans="9:9" x14ac:dyDescent="0.25">
      <c r="I6233" s="227" t="str">
        <f>MID(excPisCofins[[#This Row],[CodBarras2]],2,50)</f>
        <v/>
      </c>
    </row>
    <row r="6234" spans="9:9" x14ac:dyDescent="0.25">
      <c r="I6234" s="227" t="str">
        <f>MID(excPisCofins[[#This Row],[CodBarras2]],2,50)</f>
        <v/>
      </c>
    </row>
    <row r="6235" spans="9:9" x14ac:dyDescent="0.25">
      <c r="I6235" s="227" t="str">
        <f>MID(excPisCofins[[#This Row],[CodBarras2]],2,50)</f>
        <v/>
      </c>
    </row>
    <row r="6236" spans="9:9" x14ac:dyDescent="0.25">
      <c r="I6236" s="227" t="str">
        <f>MID(excPisCofins[[#This Row],[CodBarras2]],2,50)</f>
        <v/>
      </c>
    </row>
    <row r="6237" spans="9:9" x14ac:dyDescent="0.25">
      <c r="I6237" s="227" t="str">
        <f>MID(excPisCofins[[#This Row],[CodBarras2]],2,50)</f>
        <v/>
      </c>
    </row>
    <row r="6238" spans="9:9" x14ac:dyDescent="0.25">
      <c r="I6238" s="227" t="str">
        <f>MID(excPisCofins[[#This Row],[CodBarras2]],2,50)</f>
        <v/>
      </c>
    </row>
    <row r="6239" spans="9:9" x14ac:dyDescent="0.25">
      <c r="I6239" s="227" t="str">
        <f>MID(excPisCofins[[#This Row],[CodBarras2]],2,50)</f>
        <v/>
      </c>
    </row>
    <row r="6240" spans="9:9" x14ac:dyDescent="0.25">
      <c r="I6240" s="227" t="str">
        <f>MID(excPisCofins[[#This Row],[CodBarras2]],2,50)</f>
        <v/>
      </c>
    </row>
    <row r="6241" spans="9:9" x14ac:dyDescent="0.25">
      <c r="I6241" s="227" t="str">
        <f>MID(excPisCofins[[#This Row],[CodBarras2]],2,50)</f>
        <v/>
      </c>
    </row>
    <row r="6242" spans="9:9" x14ac:dyDescent="0.25">
      <c r="I6242" s="227" t="str">
        <f>MID(excPisCofins[[#This Row],[CodBarras2]],2,50)</f>
        <v/>
      </c>
    </row>
    <row r="6243" spans="9:9" x14ac:dyDescent="0.25">
      <c r="I6243" s="227" t="str">
        <f>MID(excPisCofins[[#This Row],[CodBarras2]],2,50)</f>
        <v/>
      </c>
    </row>
    <row r="6244" spans="9:9" x14ac:dyDescent="0.25">
      <c r="I6244" s="227" t="str">
        <f>MID(excPisCofins[[#This Row],[CodBarras2]],2,50)</f>
        <v/>
      </c>
    </row>
    <row r="6245" spans="9:9" x14ac:dyDescent="0.25">
      <c r="I6245" s="227" t="str">
        <f>MID(excPisCofins[[#This Row],[CodBarras2]],2,50)</f>
        <v/>
      </c>
    </row>
    <row r="6246" spans="9:9" x14ac:dyDescent="0.25">
      <c r="I6246" s="227" t="str">
        <f>MID(excPisCofins[[#This Row],[CodBarras2]],2,50)</f>
        <v/>
      </c>
    </row>
    <row r="6247" spans="9:9" x14ac:dyDescent="0.25">
      <c r="I6247" s="227" t="str">
        <f>MID(excPisCofins[[#This Row],[CodBarras2]],2,50)</f>
        <v/>
      </c>
    </row>
    <row r="6248" spans="9:9" x14ac:dyDescent="0.25">
      <c r="I6248" s="227" t="str">
        <f>MID(excPisCofins[[#This Row],[CodBarras2]],2,50)</f>
        <v/>
      </c>
    </row>
    <row r="6249" spans="9:9" x14ac:dyDescent="0.25">
      <c r="I6249" s="227" t="str">
        <f>MID(excPisCofins[[#This Row],[CodBarras2]],2,50)</f>
        <v/>
      </c>
    </row>
    <row r="6250" spans="9:9" x14ac:dyDescent="0.25">
      <c r="I6250" s="227" t="str">
        <f>MID(excPisCofins[[#This Row],[CodBarras2]],2,50)</f>
        <v/>
      </c>
    </row>
    <row r="6251" spans="9:9" x14ac:dyDescent="0.25">
      <c r="I6251" s="227" t="str">
        <f>MID(excPisCofins[[#This Row],[CodBarras2]],2,50)</f>
        <v/>
      </c>
    </row>
    <row r="6252" spans="9:9" x14ac:dyDescent="0.25">
      <c r="I6252" s="227" t="str">
        <f>MID(excPisCofins[[#This Row],[CodBarras2]],2,50)</f>
        <v/>
      </c>
    </row>
    <row r="6253" spans="9:9" x14ac:dyDescent="0.25">
      <c r="I6253" s="227" t="str">
        <f>MID(excPisCofins[[#This Row],[CodBarras2]],2,50)</f>
        <v/>
      </c>
    </row>
    <row r="6254" spans="9:9" x14ac:dyDescent="0.25">
      <c r="I6254" s="227" t="str">
        <f>MID(excPisCofins[[#This Row],[CodBarras2]],2,50)</f>
        <v/>
      </c>
    </row>
    <row r="6255" spans="9:9" x14ac:dyDescent="0.25">
      <c r="I6255" s="227" t="str">
        <f>MID(excPisCofins[[#This Row],[CodBarras2]],2,50)</f>
        <v/>
      </c>
    </row>
    <row r="6256" spans="9:9" x14ac:dyDescent="0.25">
      <c r="I6256" s="227" t="str">
        <f>MID(excPisCofins[[#This Row],[CodBarras2]],2,50)</f>
        <v/>
      </c>
    </row>
    <row r="6257" spans="9:9" x14ac:dyDescent="0.25">
      <c r="I6257" s="227" t="str">
        <f>MID(excPisCofins[[#This Row],[CodBarras2]],2,50)</f>
        <v/>
      </c>
    </row>
    <row r="6258" spans="9:9" x14ac:dyDescent="0.25">
      <c r="I6258" s="227" t="str">
        <f>MID(excPisCofins[[#This Row],[CodBarras2]],2,50)</f>
        <v/>
      </c>
    </row>
    <row r="6259" spans="9:9" x14ac:dyDescent="0.25">
      <c r="I6259" s="227" t="str">
        <f>MID(excPisCofins[[#This Row],[CodBarras2]],2,50)</f>
        <v/>
      </c>
    </row>
    <row r="6260" spans="9:9" x14ac:dyDescent="0.25">
      <c r="I6260" s="227" t="str">
        <f>MID(excPisCofins[[#This Row],[CodBarras2]],2,50)</f>
        <v/>
      </c>
    </row>
    <row r="6261" spans="9:9" x14ac:dyDescent="0.25">
      <c r="I6261" s="227" t="str">
        <f>MID(excPisCofins[[#This Row],[CodBarras2]],2,50)</f>
        <v/>
      </c>
    </row>
    <row r="6262" spans="9:9" x14ac:dyDescent="0.25">
      <c r="I6262" s="227" t="str">
        <f>MID(excPisCofins[[#This Row],[CodBarras2]],2,50)</f>
        <v/>
      </c>
    </row>
    <row r="6263" spans="9:9" x14ac:dyDescent="0.25">
      <c r="I6263" s="227" t="str">
        <f>MID(excPisCofins[[#This Row],[CodBarras2]],2,50)</f>
        <v/>
      </c>
    </row>
    <row r="6264" spans="9:9" x14ac:dyDescent="0.25">
      <c r="I6264" s="227" t="str">
        <f>MID(excPisCofins[[#This Row],[CodBarras2]],2,50)</f>
        <v/>
      </c>
    </row>
    <row r="6265" spans="9:9" x14ac:dyDescent="0.25">
      <c r="I6265" s="227" t="str">
        <f>MID(excPisCofins[[#This Row],[CodBarras2]],2,50)</f>
        <v/>
      </c>
    </row>
    <row r="6266" spans="9:9" x14ac:dyDescent="0.25">
      <c r="I6266" s="227" t="str">
        <f>MID(excPisCofins[[#This Row],[CodBarras2]],2,50)</f>
        <v/>
      </c>
    </row>
    <row r="6267" spans="9:9" x14ac:dyDescent="0.25">
      <c r="I6267" s="227" t="str">
        <f>MID(excPisCofins[[#This Row],[CodBarras2]],2,50)</f>
        <v/>
      </c>
    </row>
    <row r="6268" spans="9:9" x14ac:dyDescent="0.25">
      <c r="I6268" s="227" t="str">
        <f>MID(excPisCofins[[#This Row],[CodBarras2]],2,50)</f>
        <v/>
      </c>
    </row>
    <row r="6269" spans="9:9" x14ac:dyDescent="0.25">
      <c r="I6269" s="227" t="str">
        <f>MID(excPisCofins[[#This Row],[CodBarras2]],2,50)</f>
        <v/>
      </c>
    </row>
    <row r="6270" spans="9:9" x14ac:dyDescent="0.25">
      <c r="I6270" s="227" t="str">
        <f>MID(excPisCofins[[#This Row],[CodBarras2]],2,50)</f>
        <v/>
      </c>
    </row>
    <row r="6271" spans="9:9" x14ac:dyDescent="0.25">
      <c r="I6271" s="227" t="str">
        <f>MID(excPisCofins[[#This Row],[CodBarras2]],2,50)</f>
        <v/>
      </c>
    </row>
    <row r="6272" spans="9:9" x14ac:dyDescent="0.25">
      <c r="I6272" s="227" t="str">
        <f>MID(excPisCofins[[#This Row],[CodBarras2]],2,50)</f>
        <v/>
      </c>
    </row>
    <row r="6273" spans="9:9" x14ac:dyDescent="0.25">
      <c r="I6273" s="227" t="str">
        <f>MID(excPisCofins[[#This Row],[CodBarras2]],2,50)</f>
        <v/>
      </c>
    </row>
    <row r="6274" spans="9:9" x14ac:dyDescent="0.25">
      <c r="I6274" s="227" t="str">
        <f>MID(excPisCofins[[#This Row],[CodBarras2]],2,50)</f>
        <v/>
      </c>
    </row>
    <row r="6275" spans="9:9" x14ac:dyDescent="0.25">
      <c r="I6275" s="227" t="str">
        <f>MID(excPisCofins[[#This Row],[CodBarras2]],2,50)</f>
        <v/>
      </c>
    </row>
    <row r="6276" spans="9:9" x14ac:dyDescent="0.25">
      <c r="I6276" s="227" t="str">
        <f>MID(excPisCofins[[#This Row],[CodBarras2]],2,50)</f>
        <v/>
      </c>
    </row>
    <row r="6277" spans="9:9" x14ac:dyDescent="0.25">
      <c r="I6277" s="227" t="str">
        <f>MID(excPisCofins[[#This Row],[CodBarras2]],2,50)</f>
        <v/>
      </c>
    </row>
    <row r="6278" spans="9:9" x14ac:dyDescent="0.25">
      <c r="I6278" s="227" t="str">
        <f>MID(excPisCofins[[#This Row],[CodBarras2]],2,50)</f>
        <v/>
      </c>
    </row>
    <row r="6279" spans="9:9" x14ac:dyDescent="0.25">
      <c r="I6279" s="227" t="str">
        <f>MID(excPisCofins[[#This Row],[CodBarras2]],2,50)</f>
        <v/>
      </c>
    </row>
    <row r="6280" spans="9:9" x14ac:dyDescent="0.25">
      <c r="I6280" s="227" t="str">
        <f>MID(excPisCofins[[#This Row],[CodBarras2]],2,50)</f>
        <v/>
      </c>
    </row>
    <row r="6281" spans="9:9" x14ac:dyDescent="0.25">
      <c r="I6281" s="227" t="str">
        <f>MID(excPisCofins[[#This Row],[CodBarras2]],2,50)</f>
        <v/>
      </c>
    </row>
    <row r="6282" spans="9:9" x14ac:dyDescent="0.25">
      <c r="I6282" s="227" t="str">
        <f>MID(excPisCofins[[#This Row],[CodBarras2]],2,50)</f>
        <v/>
      </c>
    </row>
    <row r="6283" spans="9:9" x14ac:dyDescent="0.25">
      <c r="I6283" s="227" t="str">
        <f>MID(excPisCofins[[#This Row],[CodBarras2]],2,50)</f>
        <v/>
      </c>
    </row>
    <row r="6284" spans="9:9" x14ac:dyDescent="0.25">
      <c r="I6284" s="227" t="str">
        <f>MID(excPisCofins[[#This Row],[CodBarras2]],2,50)</f>
        <v/>
      </c>
    </row>
    <row r="6285" spans="9:9" x14ac:dyDescent="0.25">
      <c r="I6285" s="227" t="str">
        <f>MID(excPisCofins[[#This Row],[CodBarras2]],2,50)</f>
        <v/>
      </c>
    </row>
    <row r="6286" spans="9:9" x14ac:dyDescent="0.25">
      <c r="I6286" s="227" t="str">
        <f>MID(excPisCofins[[#This Row],[CodBarras2]],2,50)</f>
        <v/>
      </c>
    </row>
    <row r="6287" spans="9:9" x14ac:dyDescent="0.25">
      <c r="I6287" s="227" t="str">
        <f>MID(excPisCofins[[#This Row],[CodBarras2]],2,50)</f>
        <v/>
      </c>
    </row>
    <row r="6288" spans="9:9" x14ac:dyDescent="0.25">
      <c r="I6288" s="227" t="str">
        <f>MID(excPisCofins[[#This Row],[CodBarras2]],2,50)</f>
        <v/>
      </c>
    </row>
    <row r="6289" spans="9:9" x14ac:dyDescent="0.25">
      <c r="I6289" s="227" t="str">
        <f>MID(excPisCofins[[#This Row],[CodBarras2]],2,50)</f>
        <v/>
      </c>
    </row>
    <row r="6290" spans="9:9" x14ac:dyDescent="0.25">
      <c r="I6290" s="227" t="str">
        <f>MID(excPisCofins[[#This Row],[CodBarras2]],2,50)</f>
        <v/>
      </c>
    </row>
    <row r="6291" spans="9:9" x14ac:dyDescent="0.25">
      <c r="I6291" s="227" t="str">
        <f>MID(excPisCofins[[#This Row],[CodBarras2]],2,50)</f>
        <v/>
      </c>
    </row>
    <row r="6292" spans="9:9" x14ac:dyDescent="0.25">
      <c r="I6292" s="227" t="str">
        <f>MID(excPisCofins[[#This Row],[CodBarras2]],2,50)</f>
        <v/>
      </c>
    </row>
    <row r="6293" spans="9:9" x14ac:dyDescent="0.25">
      <c r="I6293" s="227" t="str">
        <f>MID(excPisCofins[[#This Row],[CodBarras2]],2,50)</f>
        <v/>
      </c>
    </row>
    <row r="6294" spans="9:9" x14ac:dyDescent="0.25">
      <c r="I6294" s="227" t="str">
        <f>MID(excPisCofins[[#This Row],[CodBarras2]],2,50)</f>
        <v/>
      </c>
    </row>
    <row r="6295" spans="9:9" x14ac:dyDescent="0.25">
      <c r="I6295" s="227" t="str">
        <f>MID(excPisCofins[[#This Row],[CodBarras2]],2,50)</f>
        <v/>
      </c>
    </row>
    <row r="6296" spans="9:9" x14ac:dyDescent="0.25">
      <c r="I6296" s="227" t="str">
        <f>MID(excPisCofins[[#This Row],[CodBarras2]],2,50)</f>
        <v/>
      </c>
    </row>
    <row r="6297" spans="9:9" x14ac:dyDescent="0.25">
      <c r="I6297" s="227" t="str">
        <f>MID(excPisCofins[[#This Row],[CodBarras2]],2,50)</f>
        <v/>
      </c>
    </row>
    <row r="6298" spans="9:9" x14ac:dyDescent="0.25">
      <c r="I6298" s="227" t="str">
        <f>MID(excPisCofins[[#This Row],[CodBarras2]],2,50)</f>
        <v/>
      </c>
    </row>
    <row r="6299" spans="9:9" x14ac:dyDescent="0.25">
      <c r="I6299" s="227" t="str">
        <f>MID(excPisCofins[[#This Row],[CodBarras2]],2,50)</f>
        <v/>
      </c>
    </row>
    <row r="6300" spans="9:9" x14ac:dyDescent="0.25">
      <c r="I6300" s="227" t="str">
        <f>MID(excPisCofins[[#This Row],[CodBarras2]],2,50)</f>
        <v/>
      </c>
    </row>
    <row r="6301" spans="9:9" x14ac:dyDescent="0.25">
      <c r="I6301" s="227" t="str">
        <f>MID(excPisCofins[[#This Row],[CodBarras2]],2,50)</f>
        <v/>
      </c>
    </row>
    <row r="6302" spans="9:9" x14ac:dyDescent="0.25">
      <c r="I6302" s="227" t="str">
        <f>MID(excPisCofins[[#This Row],[CodBarras2]],2,50)</f>
        <v/>
      </c>
    </row>
    <row r="6303" spans="9:9" x14ac:dyDescent="0.25">
      <c r="I6303" s="227" t="str">
        <f>MID(excPisCofins[[#This Row],[CodBarras2]],2,50)</f>
        <v/>
      </c>
    </row>
    <row r="6304" spans="9:9" x14ac:dyDescent="0.25">
      <c r="I6304" s="227" t="str">
        <f>MID(excPisCofins[[#This Row],[CodBarras2]],2,50)</f>
        <v/>
      </c>
    </row>
    <row r="6305" spans="9:9" x14ac:dyDescent="0.25">
      <c r="I6305" s="227" t="str">
        <f>MID(excPisCofins[[#This Row],[CodBarras2]],2,50)</f>
        <v/>
      </c>
    </row>
    <row r="6306" spans="9:9" x14ac:dyDescent="0.25">
      <c r="I6306" s="227" t="str">
        <f>MID(excPisCofins[[#This Row],[CodBarras2]],2,50)</f>
        <v/>
      </c>
    </row>
    <row r="6307" spans="9:9" x14ac:dyDescent="0.25">
      <c r="I6307" s="227" t="str">
        <f>MID(excPisCofins[[#This Row],[CodBarras2]],2,50)</f>
        <v/>
      </c>
    </row>
    <row r="6308" spans="9:9" x14ac:dyDescent="0.25">
      <c r="I6308" s="227" t="str">
        <f>MID(excPisCofins[[#This Row],[CodBarras2]],2,50)</f>
        <v/>
      </c>
    </row>
    <row r="6309" spans="9:9" x14ac:dyDescent="0.25">
      <c r="I6309" s="227" t="str">
        <f>MID(excPisCofins[[#This Row],[CodBarras2]],2,50)</f>
        <v/>
      </c>
    </row>
    <row r="6310" spans="9:9" x14ac:dyDescent="0.25">
      <c r="I6310" s="227" t="str">
        <f>MID(excPisCofins[[#This Row],[CodBarras2]],2,50)</f>
        <v/>
      </c>
    </row>
    <row r="6311" spans="9:9" x14ac:dyDescent="0.25">
      <c r="I6311" s="227" t="str">
        <f>MID(excPisCofins[[#This Row],[CodBarras2]],2,50)</f>
        <v/>
      </c>
    </row>
    <row r="6312" spans="9:9" x14ac:dyDescent="0.25">
      <c r="I6312" s="227" t="str">
        <f>MID(excPisCofins[[#This Row],[CodBarras2]],2,50)</f>
        <v/>
      </c>
    </row>
    <row r="6313" spans="9:9" x14ac:dyDescent="0.25">
      <c r="I6313" s="227" t="str">
        <f>MID(excPisCofins[[#This Row],[CodBarras2]],2,50)</f>
        <v/>
      </c>
    </row>
    <row r="6314" spans="9:9" x14ac:dyDescent="0.25">
      <c r="I6314" s="227" t="str">
        <f>MID(excPisCofins[[#This Row],[CodBarras2]],2,50)</f>
        <v/>
      </c>
    </row>
    <row r="6315" spans="9:9" x14ac:dyDescent="0.25">
      <c r="I6315" s="227" t="str">
        <f>MID(excPisCofins[[#This Row],[CodBarras2]],2,50)</f>
        <v/>
      </c>
    </row>
    <row r="6316" spans="9:9" x14ac:dyDescent="0.25">
      <c r="I6316" s="227" t="str">
        <f>MID(excPisCofins[[#This Row],[CodBarras2]],2,50)</f>
        <v/>
      </c>
    </row>
    <row r="6317" spans="9:9" x14ac:dyDescent="0.25">
      <c r="I6317" s="227" t="str">
        <f>MID(excPisCofins[[#This Row],[CodBarras2]],2,50)</f>
        <v/>
      </c>
    </row>
    <row r="6318" spans="9:9" x14ac:dyDescent="0.25">
      <c r="I6318" s="227" t="str">
        <f>MID(excPisCofins[[#This Row],[CodBarras2]],2,50)</f>
        <v/>
      </c>
    </row>
    <row r="6319" spans="9:9" x14ac:dyDescent="0.25">
      <c r="I6319" s="227" t="str">
        <f>MID(excPisCofins[[#This Row],[CodBarras2]],2,50)</f>
        <v/>
      </c>
    </row>
    <row r="6320" spans="9:9" x14ac:dyDescent="0.25">
      <c r="I6320" s="227" t="str">
        <f>MID(excPisCofins[[#This Row],[CodBarras2]],2,50)</f>
        <v/>
      </c>
    </row>
    <row r="6321" spans="9:9" x14ac:dyDescent="0.25">
      <c r="I6321" s="227" t="str">
        <f>MID(excPisCofins[[#This Row],[CodBarras2]],2,50)</f>
        <v/>
      </c>
    </row>
    <row r="6322" spans="9:9" x14ac:dyDescent="0.25">
      <c r="I6322" s="227" t="str">
        <f>MID(excPisCofins[[#This Row],[CodBarras2]],2,50)</f>
        <v/>
      </c>
    </row>
    <row r="6323" spans="9:9" x14ac:dyDescent="0.25">
      <c r="I6323" s="227" t="str">
        <f>MID(excPisCofins[[#This Row],[CodBarras2]],2,50)</f>
        <v/>
      </c>
    </row>
    <row r="6324" spans="9:9" x14ac:dyDescent="0.25">
      <c r="I6324" s="227" t="str">
        <f>MID(excPisCofins[[#This Row],[CodBarras2]],2,50)</f>
        <v/>
      </c>
    </row>
    <row r="6325" spans="9:9" x14ac:dyDescent="0.25">
      <c r="I6325" s="227" t="str">
        <f>MID(excPisCofins[[#This Row],[CodBarras2]],2,50)</f>
        <v/>
      </c>
    </row>
    <row r="6326" spans="9:9" x14ac:dyDescent="0.25">
      <c r="I6326" s="227" t="str">
        <f>MID(excPisCofins[[#This Row],[CodBarras2]],2,50)</f>
        <v/>
      </c>
    </row>
    <row r="6327" spans="9:9" x14ac:dyDescent="0.25">
      <c r="I6327" s="227" t="str">
        <f>MID(excPisCofins[[#This Row],[CodBarras2]],2,50)</f>
        <v/>
      </c>
    </row>
    <row r="6328" spans="9:9" x14ac:dyDescent="0.25">
      <c r="I6328" s="227" t="str">
        <f>MID(excPisCofins[[#This Row],[CodBarras2]],2,50)</f>
        <v/>
      </c>
    </row>
    <row r="6329" spans="9:9" x14ac:dyDescent="0.25">
      <c r="I6329" s="227" t="str">
        <f>MID(excPisCofins[[#This Row],[CodBarras2]],2,50)</f>
        <v/>
      </c>
    </row>
    <row r="6330" spans="9:9" x14ac:dyDescent="0.25">
      <c r="I6330" s="227" t="str">
        <f>MID(excPisCofins[[#This Row],[CodBarras2]],2,50)</f>
        <v/>
      </c>
    </row>
    <row r="6331" spans="9:9" x14ac:dyDescent="0.25">
      <c r="I6331" s="227" t="str">
        <f>MID(excPisCofins[[#This Row],[CodBarras2]],2,50)</f>
        <v/>
      </c>
    </row>
    <row r="6332" spans="9:9" x14ac:dyDescent="0.25">
      <c r="I6332" s="227" t="str">
        <f>MID(excPisCofins[[#This Row],[CodBarras2]],2,50)</f>
        <v/>
      </c>
    </row>
    <row r="6333" spans="9:9" x14ac:dyDescent="0.25">
      <c r="I6333" s="227" t="str">
        <f>MID(excPisCofins[[#This Row],[CodBarras2]],2,50)</f>
        <v/>
      </c>
    </row>
    <row r="6334" spans="9:9" x14ac:dyDescent="0.25">
      <c r="I6334" s="227" t="str">
        <f>MID(excPisCofins[[#This Row],[CodBarras2]],2,50)</f>
        <v/>
      </c>
    </row>
    <row r="6335" spans="9:9" x14ac:dyDescent="0.25">
      <c r="I6335" s="227" t="str">
        <f>MID(excPisCofins[[#This Row],[CodBarras2]],2,50)</f>
        <v/>
      </c>
    </row>
    <row r="6336" spans="9:9" x14ac:dyDescent="0.25">
      <c r="I6336" s="227" t="str">
        <f>MID(excPisCofins[[#This Row],[CodBarras2]],2,50)</f>
        <v/>
      </c>
    </row>
    <row r="6337" spans="9:9" x14ac:dyDescent="0.25">
      <c r="I6337" s="227" t="str">
        <f>MID(excPisCofins[[#This Row],[CodBarras2]],2,50)</f>
        <v/>
      </c>
    </row>
    <row r="6338" spans="9:9" x14ac:dyDescent="0.25">
      <c r="I6338" s="227" t="str">
        <f>MID(excPisCofins[[#This Row],[CodBarras2]],2,50)</f>
        <v/>
      </c>
    </row>
    <row r="6339" spans="9:9" x14ac:dyDescent="0.25">
      <c r="I6339" s="227" t="str">
        <f>MID(excPisCofins[[#This Row],[CodBarras2]],2,50)</f>
        <v/>
      </c>
    </row>
    <row r="6340" spans="9:9" x14ac:dyDescent="0.25">
      <c r="I6340" s="227" t="str">
        <f>MID(excPisCofins[[#This Row],[CodBarras2]],2,50)</f>
        <v/>
      </c>
    </row>
    <row r="6341" spans="9:9" x14ac:dyDescent="0.25">
      <c r="I6341" s="227" t="str">
        <f>MID(excPisCofins[[#This Row],[CodBarras2]],2,50)</f>
        <v/>
      </c>
    </row>
    <row r="6342" spans="9:9" x14ac:dyDescent="0.25">
      <c r="I6342" s="227" t="str">
        <f>MID(excPisCofins[[#This Row],[CodBarras2]],2,50)</f>
        <v/>
      </c>
    </row>
    <row r="6343" spans="9:9" x14ac:dyDescent="0.25">
      <c r="I6343" s="227" t="str">
        <f>MID(excPisCofins[[#This Row],[CodBarras2]],2,50)</f>
        <v/>
      </c>
    </row>
    <row r="6344" spans="9:9" x14ac:dyDescent="0.25">
      <c r="I6344" s="227" t="str">
        <f>MID(excPisCofins[[#This Row],[CodBarras2]],2,50)</f>
        <v/>
      </c>
    </row>
    <row r="6345" spans="9:9" x14ac:dyDescent="0.25">
      <c r="I6345" s="227" t="str">
        <f>MID(excPisCofins[[#This Row],[CodBarras2]],2,50)</f>
        <v/>
      </c>
    </row>
    <row r="6346" spans="9:9" x14ac:dyDescent="0.25">
      <c r="I6346" s="227" t="str">
        <f>MID(excPisCofins[[#This Row],[CodBarras2]],2,50)</f>
        <v/>
      </c>
    </row>
    <row r="6347" spans="9:9" x14ac:dyDescent="0.25">
      <c r="I6347" s="227" t="str">
        <f>MID(excPisCofins[[#This Row],[CodBarras2]],2,50)</f>
        <v/>
      </c>
    </row>
    <row r="6348" spans="9:9" x14ac:dyDescent="0.25">
      <c r="I6348" s="227" t="str">
        <f>MID(excPisCofins[[#This Row],[CodBarras2]],2,50)</f>
        <v/>
      </c>
    </row>
    <row r="6349" spans="9:9" x14ac:dyDescent="0.25">
      <c r="I6349" s="227" t="str">
        <f>MID(excPisCofins[[#This Row],[CodBarras2]],2,50)</f>
        <v/>
      </c>
    </row>
    <row r="6350" spans="9:9" x14ac:dyDescent="0.25">
      <c r="I6350" s="227" t="str">
        <f>MID(excPisCofins[[#This Row],[CodBarras2]],2,50)</f>
        <v/>
      </c>
    </row>
    <row r="6351" spans="9:9" x14ac:dyDescent="0.25">
      <c r="I6351" s="227" t="str">
        <f>MID(excPisCofins[[#This Row],[CodBarras2]],2,50)</f>
        <v/>
      </c>
    </row>
    <row r="6352" spans="9:9" x14ac:dyDescent="0.25">
      <c r="I6352" s="227" t="str">
        <f>MID(excPisCofins[[#This Row],[CodBarras2]],2,50)</f>
        <v/>
      </c>
    </row>
    <row r="6353" spans="9:9" x14ac:dyDescent="0.25">
      <c r="I6353" s="227" t="str">
        <f>MID(excPisCofins[[#This Row],[CodBarras2]],2,50)</f>
        <v/>
      </c>
    </row>
    <row r="6354" spans="9:9" x14ac:dyDescent="0.25">
      <c r="I6354" s="227" t="str">
        <f>MID(excPisCofins[[#This Row],[CodBarras2]],2,50)</f>
        <v/>
      </c>
    </row>
    <row r="6355" spans="9:9" x14ac:dyDescent="0.25">
      <c r="I6355" s="227" t="str">
        <f>MID(excPisCofins[[#This Row],[CodBarras2]],2,50)</f>
        <v/>
      </c>
    </row>
    <row r="6356" spans="9:9" x14ac:dyDescent="0.25">
      <c r="I6356" s="227" t="str">
        <f>MID(excPisCofins[[#This Row],[CodBarras2]],2,50)</f>
        <v/>
      </c>
    </row>
    <row r="6357" spans="9:9" x14ac:dyDescent="0.25">
      <c r="I6357" s="227" t="str">
        <f>MID(excPisCofins[[#This Row],[CodBarras2]],2,50)</f>
        <v/>
      </c>
    </row>
    <row r="6358" spans="9:9" x14ac:dyDescent="0.25">
      <c r="I6358" s="227" t="str">
        <f>MID(excPisCofins[[#This Row],[CodBarras2]],2,50)</f>
        <v/>
      </c>
    </row>
    <row r="6359" spans="9:9" x14ac:dyDescent="0.25">
      <c r="I6359" s="227" t="str">
        <f>MID(excPisCofins[[#This Row],[CodBarras2]],2,50)</f>
        <v/>
      </c>
    </row>
    <row r="6360" spans="9:9" x14ac:dyDescent="0.25">
      <c r="I6360" s="227" t="str">
        <f>MID(excPisCofins[[#This Row],[CodBarras2]],2,50)</f>
        <v/>
      </c>
    </row>
    <row r="6361" spans="9:9" x14ac:dyDescent="0.25">
      <c r="I6361" s="227" t="str">
        <f>MID(excPisCofins[[#This Row],[CodBarras2]],2,50)</f>
        <v/>
      </c>
    </row>
    <row r="6362" spans="9:9" x14ac:dyDescent="0.25">
      <c r="I6362" s="227" t="str">
        <f>MID(excPisCofins[[#This Row],[CodBarras2]],2,50)</f>
        <v/>
      </c>
    </row>
    <row r="6363" spans="9:9" x14ac:dyDescent="0.25">
      <c r="I6363" s="227" t="str">
        <f>MID(excPisCofins[[#This Row],[CodBarras2]],2,50)</f>
        <v/>
      </c>
    </row>
    <row r="6364" spans="9:9" x14ac:dyDescent="0.25">
      <c r="I6364" s="227" t="str">
        <f>MID(excPisCofins[[#This Row],[CodBarras2]],2,50)</f>
        <v/>
      </c>
    </row>
    <row r="6365" spans="9:9" x14ac:dyDescent="0.25">
      <c r="I6365" s="227" t="str">
        <f>MID(excPisCofins[[#This Row],[CodBarras2]],2,50)</f>
        <v/>
      </c>
    </row>
    <row r="6366" spans="9:9" x14ac:dyDescent="0.25">
      <c r="I6366" s="227" t="str">
        <f>MID(excPisCofins[[#This Row],[CodBarras2]],2,50)</f>
        <v/>
      </c>
    </row>
    <row r="6367" spans="9:9" x14ac:dyDescent="0.25">
      <c r="I6367" s="227" t="str">
        <f>MID(excPisCofins[[#This Row],[CodBarras2]],2,50)</f>
        <v/>
      </c>
    </row>
    <row r="6368" spans="9:9" x14ac:dyDescent="0.25">
      <c r="I6368" s="227" t="str">
        <f>MID(excPisCofins[[#This Row],[CodBarras2]],2,50)</f>
        <v/>
      </c>
    </row>
    <row r="6369" spans="9:9" x14ac:dyDescent="0.25">
      <c r="I6369" s="227" t="str">
        <f>MID(excPisCofins[[#This Row],[CodBarras2]],2,50)</f>
        <v/>
      </c>
    </row>
    <row r="6370" spans="9:9" x14ac:dyDescent="0.25">
      <c r="I6370" s="227" t="str">
        <f>MID(excPisCofins[[#This Row],[CodBarras2]],2,50)</f>
        <v/>
      </c>
    </row>
    <row r="6371" spans="9:9" x14ac:dyDescent="0.25">
      <c r="I6371" s="227" t="str">
        <f>MID(excPisCofins[[#This Row],[CodBarras2]],2,50)</f>
        <v/>
      </c>
    </row>
    <row r="6372" spans="9:9" x14ac:dyDescent="0.25">
      <c r="I6372" s="227" t="str">
        <f>MID(excPisCofins[[#This Row],[CodBarras2]],2,50)</f>
        <v/>
      </c>
    </row>
    <row r="6373" spans="9:9" x14ac:dyDescent="0.25">
      <c r="I6373" s="227" t="str">
        <f>MID(excPisCofins[[#This Row],[CodBarras2]],2,50)</f>
        <v/>
      </c>
    </row>
    <row r="6374" spans="9:9" x14ac:dyDescent="0.25">
      <c r="I6374" s="227" t="str">
        <f>MID(excPisCofins[[#This Row],[CodBarras2]],2,50)</f>
        <v/>
      </c>
    </row>
    <row r="6375" spans="9:9" x14ac:dyDescent="0.25">
      <c r="I6375" s="227" t="str">
        <f>MID(excPisCofins[[#This Row],[CodBarras2]],2,50)</f>
        <v/>
      </c>
    </row>
    <row r="6376" spans="9:9" x14ac:dyDescent="0.25">
      <c r="I6376" s="227" t="str">
        <f>MID(excPisCofins[[#This Row],[CodBarras2]],2,50)</f>
        <v/>
      </c>
    </row>
    <row r="6377" spans="9:9" x14ac:dyDescent="0.25">
      <c r="I6377" s="227" t="str">
        <f>MID(excPisCofins[[#This Row],[CodBarras2]],2,50)</f>
        <v/>
      </c>
    </row>
    <row r="6378" spans="9:9" x14ac:dyDescent="0.25">
      <c r="I6378" s="227" t="str">
        <f>MID(excPisCofins[[#This Row],[CodBarras2]],2,50)</f>
        <v/>
      </c>
    </row>
    <row r="6379" spans="9:9" x14ac:dyDescent="0.25">
      <c r="I6379" s="227" t="str">
        <f>MID(excPisCofins[[#This Row],[CodBarras2]],2,50)</f>
        <v/>
      </c>
    </row>
    <row r="6380" spans="9:9" x14ac:dyDescent="0.25">
      <c r="I6380" s="227" t="str">
        <f>MID(excPisCofins[[#This Row],[CodBarras2]],2,50)</f>
        <v/>
      </c>
    </row>
    <row r="6381" spans="9:9" x14ac:dyDescent="0.25">
      <c r="I6381" s="227" t="str">
        <f>MID(excPisCofins[[#This Row],[CodBarras2]],2,50)</f>
        <v/>
      </c>
    </row>
    <row r="6382" spans="9:9" x14ac:dyDescent="0.25">
      <c r="I6382" s="227" t="str">
        <f>MID(excPisCofins[[#This Row],[CodBarras2]],2,50)</f>
        <v/>
      </c>
    </row>
    <row r="6383" spans="9:9" x14ac:dyDescent="0.25">
      <c r="I6383" s="227" t="str">
        <f>MID(excPisCofins[[#This Row],[CodBarras2]],2,50)</f>
        <v/>
      </c>
    </row>
    <row r="6384" spans="9:9" x14ac:dyDescent="0.25">
      <c r="I6384" s="227" t="str">
        <f>MID(excPisCofins[[#This Row],[CodBarras2]],2,50)</f>
        <v/>
      </c>
    </row>
    <row r="6385" spans="9:9" x14ac:dyDescent="0.25">
      <c r="I6385" s="227" t="str">
        <f>MID(excPisCofins[[#This Row],[CodBarras2]],2,50)</f>
        <v/>
      </c>
    </row>
    <row r="6386" spans="9:9" x14ac:dyDescent="0.25">
      <c r="I6386" s="227" t="str">
        <f>MID(excPisCofins[[#This Row],[CodBarras2]],2,50)</f>
        <v/>
      </c>
    </row>
    <row r="6387" spans="9:9" x14ac:dyDescent="0.25">
      <c r="I6387" s="227" t="str">
        <f>MID(excPisCofins[[#This Row],[CodBarras2]],2,50)</f>
        <v/>
      </c>
    </row>
    <row r="6388" spans="9:9" x14ac:dyDescent="0.25">
      <c r="I6388" s="227" t="str">
        <f>MID(excPisCofins[[#This Row],[CodBarras2]],2,50)</f>
        <v/>
      </c>
    </row>
    <row r="6389" spans="9:9" x14ac:dyDescent="0.25">
      <c r="I6389" s="227" t="str">
        <f>MID(excPisCofins[[#This Row],[CodBarras2]],2,50)</f>
        <v/>
      </c>
    </row>
    <row r="6390" spans="9:9" x14ac:dyDescent="0.25">
      <c r="I6390" s="227" t="str">
        <f>MID(excPisCofins[[#This Row],[CodBarras2]],2,50)</f>
        <v/>
      </c>
    </row>
    <row r="6391" spans="9:9" x14ac:dyDescent="0.25">
      <c r="I6391" s="227" t="str">
        <f>MID(excPisCofins[[#This Row],[CodBarras2]],2,50)</f>
        <v/>
      </c>
    </row>
    <row r="6392" spans="9:9" x14ac:dyDescent="0.25">
      <c r="I6392" s="227" t="str">
        <f>MID(excPisCofins[[#This Row],[CodBarras2]],2,50)</f>
        <v/>
      </c>
    </row>
    <row r="6393" spans="9:9" x14ac:dyDescent="0.25">
      <c r="I6393" s="227" t="str">
        <f>MID(excPisCofins[[#This Row],[CodBarras2]],2,50)</f>
        <v/>
      </c>
    </row>
    <row r="6394" spans="9:9" x14ac:dyDescent="0.25">
      <c r="I6394" s="227" t="str">
        <f>MID(excPisCofins[[#This Row],[CodBarras2]],2,50)</f>
        <v/>
      </c>
    </row>
    <row r="6395" spans="9:9" x14ac:dyDescent="0.25">
      <c r="I6395" s="227" t="str">
        <f>MID(excPisCofins[[#This Row],[CodBarras2]],2,50)</f>
        <v/>
      </c>
    </row>
    <row r="6396" spans="9:9" x14ac:dyDescent="0.25">
      <c r="I6396" s="227" t="str">
        <f>MID(excPisCofins[[#This Row],[CodBarras2]],2,50)</f>
        <v/>
      </c>
    </row>
    <row r="6397" spans="9:9" x14ac:dyDescent="0.25">
      <c r="I6397" s="227" t="str">
        <f>MID(excPisCofins[[#This Row],[CodBarras2]],2,50)</f>
        <v/>
      </c>
    </row>
    <row r="6398" spans="9:9" x14ac:dyDescent="0.25">
      <c r="I6398" s="227" t="str">
        <f>MID(excPisCofins[[#This Row],[CodBarras2]],2,50)</f>
        <v/>
      </c>
    </row>
    <row r="6399" spans="9:9" x14ac:dyDescent="0.25">
      <c r="I6399" s="227" t="str">
        <f>MID(excPisCofins[[#This Row],[CodBarras2]],2,50)</f>
        <v/>
      </c>
    </row>
    <row r="6400" spans="9:9" x14ac:dyDescent="0.25">
      <c r="I6400" s="227" t="str">
        <f>MID(excPisCofins[[#This Row],[CodBarras2]],2,50)</f>
        <v/>
      </c>
    </row>
    <row r="6401" spans="9:9" x14ac:dyDescent="0.25">
      <c r="I6401" s="227" t="str">
        <f>MID(excPisCofins[[#This Row],[CodBarras2]],2,50)</f>
        <v/>
      </c>
    </row>
    <row r="6402" spans="9:9" x14ac:dyDescent="0.25">
      <c r="I6402" s="227" t="str">
        <f>MID(excPisCofins[[#This Row],[CodBarras2]],2,50)</f>
        <v/>
      </c>
    </row>
    <row r="6403" spans="9:9" x14ac:dyDescent="0.25">
      <c r="I6403" s="227" t="str">
        <f>MID(excPisCofins[[#This Row],[CodBarras2]],2,50)</f>
        <v/>
      </c>
    </row>
    <row r="6404" spans="9:9" x14ac:dyDescent="0.25">
      <c r="I6404" s="227" t="str">
        <f>MID(excPisCofins[[#This Row],[CodBarras2]],2,50)</f>
        <v/>
      </c>
    </row>
    <row r="6405" spans="9:9" x14ac:dyDescent="0.25">
      <c r="I6405" s="227" t="str">
        <f>MID(excPisCofins[[#This Row],[CodBarras2]],2,50)</f>
        <v/>
      </c>
    </row>
    <row r="6406" spans="9:9" x14ac:dyDescent="0.25">
      <c r="I6406" s="227" t="str">
        <f>MID(excPisCofins[[#This Row],[CodBarras2]],2,50)</f>
        <v/>
      </c>
    </row>
    <row r="6407" spans="9:9" x14ac:dyDescent="0.25">
      <c r="I6407" s="227" t="str">
        <f>MID(excPisCofins[[#This Row],[CodBarras2]],2,50)</f>
        <v/>
      </c>
    </row>
    <row r="6408" spans="9:9" x14ac:dyDescent="0.25">
      <c r="I6408" s="227" t="str">
        <f>MID(excPisCofins[[#This Row],[CodBarras2]],2,50)</f>
        <v/>
      </c>
    </row>
    <row r="6409" spans="9:9" x14ac:dyDescent="0.25">
      <c r="I6409" s="227" t="str">
        <f>MID(excPisCofins[[#This Row],[CodBarras2]],2,50)</f>
        <v/>
      </c>
    </row>
    <row r="6410" spans="9:9" x14ac:dyDescent="0.25">
      <c r="I6410" s="227" t="str">
        <f>MID(excPisCofins[[#This Row],[CodBarras2]],2,50)</f>
        <v/>
      </c>
    </row>
    <row r="6411" spans="9:9" x14ac:dyDescent="0.25">
      <c r="I6411" s="227" t="str">
        <f>MID(excPisCofins[[#This Row],[CodBarras2]],2,50)</f>
        <v/>
      </c>
    </row>
    <row r="6412" spans="9:9" x14ac:dyDescent="0.25">
      <c r="I6412" s="227" t="str">
        <f>MID(excPisCofins[[#This Row],[CodBarras2]],2,50)</f>
        <v/>
      </c>
    </row>
    <row r="6413" spans="9:9" x14ac:dyDescent="0.25">
      <c r="I6413" s="227" t="str">
        <f>MID(excPisCofins[[#This Row],[CodBarras2]],2,50)</f>
        <v/>
      </c>
    </row>
    <row r="6414" spans="9:9" x14ac:dyDescent="0.25">
      <c r="I6414" s="227" t="str">
        <f>MID(excPisCofins[[#This Row],[CodBarras2]],2,50)</f>
        <v/>
      </c>
    </row>
    <row r="6415" spans="9:9" x14ac:dyDescent="0.25">
      <c r="I6415" s="227" t="str">
        <f>MID(excPisCofins[[#This Row],[CodBarras2]],2,50)</f>
        <v/>
      </c>
    </row>
    <row r="6416" spans="9:9" x14ac:dyDescent="0.25">
      <c r="I6416" s="227" t="str">
        <f>MID(excPisCofins[[#This Row],[CodBarras2]],2,50)</f>
        <v/>
      </c>
    </row>
    <row r="6417" spans="9:9" x14ac:dyDescent="0.25">
      <c r="I6417" s="227" t="str">
        <f>MID(excPisCofins[[#This Row],[CodBarras2]],2,50)</f>
        <v/>
      </c>
    </row>
    <row r="6418" spans="9:9" x14ac:dyDescent="0.25">
      <c r="I6418" s="227" t="str">
        <f>MID(excPisCofins[[#This Row],[CodBarras2]],2,50)</f>
        <v/>
      </c>
    </row>
    <row r="6419" spans="9:9" x14ac:dyDescent="0.25">
      <c r="I6419" s="227" t="str">
        <f>MID(excPisCofins[[#This Row],[CodBarras2]],2,50)</f>
        <v/>
      </c>
    </row>
    <row r="6420" spans="9:9" x14ac:dyDescent="0.25">
      <c r="I6420" s="227" t="str">
        <f>MID(excPisCofins[[#This Row],[CodBarras2]],2,50)</f>
        <v/>
      </c>
    </row>
    <row r="6421" spans="9:9" x14ac:dyDescent="0.25">
      <c r="I6421" s="227" t="str">
        <f>MID(excPisCofins[[#This Row],[CodBarras2]],2,50)</f>
        <v/>
      </c>
    </row>
    <row r="6422" spans="9:9" x14ac:dyDescent="0.25">
      <c r="I6422" s="227" t="str">
        <f>MID(excPisCofins[[#This Row],[CodBarras2]],2,50)</f>
        <v/>
      </c>
    </row>
    <row r="6423" spans="9:9" x14ac:dyDescent="0.25">
      <c r="I6423" s="227" t="str">
        <f>MID(excPisCofins[[#This Row],[CodBarras2]],2,50)</f>
        <v/>
      </c>
    </row>
    <row r="6424" spans="9:9" x14ac:dyDescent="0.25">
      <c r="I6424" s="227" t="str">
        <f>MID(excPisCofins[[#This Row],[CodBarras2]],2,50)</f>
        <v/>
      </c>
    </row>
    <row r="6425" spans="9:9" x14ac:dyDescent="0.25">
      <c r="I6425" s="227" t="str">
        <f>MID(excPisCofins[[#This Row],[CodBarras2]],2,50)</f>
        <v/>
      </c>
    </row>
    <row r="6426" spans="9:9" x14ac:dyDescent="0.25">
      <c r="I6426" s="227" t="str">
        <f>MID(excPisCofins[[#This Row],[CodBarras2]],2,50)</f>
        <v/>
      </c>
    </row>
    <row r="6427" spans="9:9" x14ac:dyDescent="0.25">
      <c r="I6427" s="227" t="str">
        <f>MID(excPisCofins[[#This Row],[CodBarras2]],2,50)</f>
        <v/>
      </c>
    </row>
    <row r="6428" spans="9:9" x14ac:dyDescent="0.25">
      <c r="I6428" s="227" t="str">
        <f>MID(excPisCofins[[#This Row],[CodBarras2]],2,50)</f>
        <v/>
      </c>
    </row>
    <row r="6429" spans="9:9" x14ac:dyDescent="0.25">
      <c r="I6429" s="227" t="str">
        <f>MID(excPisCofins[[#This Row],[CodBarras2]],2,50)</f>
        <v/>
      </c>
    </row>
    <row r="6430" spans="9:9" x14ac:dyDescent="0.25">
      <c r="I6430" s="227" t="str">
        <f>MID(excPisCofins[[#This Row],[CodBarras2]],2,50)</f>
        <v/>
      </c>
    </row>
    <row r="6431" spans="9:9" x14ac:dyDescent="0.25">
      <c r="I6431" s="227" t="str">
        <f>MID(excPisCofins[[#This Row],[CodBarras2]],2,50)</f>
        <v/>
      </c>
    </row>
    <row r="6432" spans="9:9" x14ac:dyDescent="0.25">
      <c r="I6432" s="227" t="str">
        <f>MID(excPisCofins[[#This Row],[CodBarras2]],2,50)</f>
        <v/>
      </c>
    </row>
    <row r="6433" spans="9:9" x14ac:dyDescent="0.25">
      <c r="I6433" s="227" t="str">
        <f>MID(excPisCofins[[#This Row],[CodBarras2]],2,50)</f>
        <v/>
      </c>
    </row>
    <row r="6434" spans="9:9" x14ac:dyDescent="0.25">
      <c r="I6434" s="227" t="str">
        <f>MID(excPisCofins[[#This Row],[CodBarras2]],2,50)</f>
        <v/>
      </c>
    </row>
    <row r="6435" spans="9:9" x14ac:dyDescent="0.25">
      <c r="I6435" s="227" t="str">
        <f>MID(excPisCofins[[#This Row],[CodBarras2]],2,50)</f>
        <v/>
      </c>
    </row>
    <row r="6436" spans="9:9" x14ac:dyDescent="0.25">
      <c r="I6436" s="227" t="str">
        <f>MID(excPisCofins[[#This Row],[CodBarras2]],2,50)</f>
        <v/>
      </c>
    </row>
    <row r="6437" spans="9:9" x14ac:dyDescent="0.25">
      <c r="I6437" s="227" t="str">
        <f>MID(excPisCofins[[#This Row],[CodBarras2]],2,50)</f>
        <v/>
      </c>
    </row>
    <row r="6438" spans="9:9" x14ac:dyDescent="0.25">
      <c r="I6438" s="227" t="str">
        <f>MID(excPisCofins[[#This Row],[CodBarras2]],2,50)</f>
        <v/>
      </c>
    </row>
    <row r="6439" spans="9:9" x14ac:dyDescent="0.25">
      <c r="I6439" s="227" t="str">
        <f>MID(excPisCofins[[#This Row],[CodBarras2]],2,50)</f>
        <v/>
      </c>
    </row>
    <row r="6440" spans="9:9" x14ac:dyDescent="0.25">
      <c r="I6440" s="227" t="str">
        <f>MID(excPisCofins[[#This Row],[CodBarras2]],2,50)</f>
        <v/>
      </c>
    </row>
    <row r="6441" spans="9:9" x14ac:dyDescent="0.25">
      <c r="I6441" s="227" t="str">
        <f>MID(excPisCofins[[#This Row],[CodBarras2]],2,50)</f>
        <v/>
      </c>
    </row>
    <row r="6442" spans="9:9" x14ac:dyDescent="0.25">
      <c r="I6442" s="227" t="str">
        <f>MID(excPisCofins[[#This Row],[CodBarras2]],2,50)</f>
        <v/>
      </c>
    </row>
    <row r="6443" spans="9:9" x14ac:dyDescent="0.25">
      <c r="I6443" s="227" t="str">
        <f>MID(excPisCofins[[#This Row],[CodBarras2]],2,50)</f>
        <v/>
      </c>
    </row>
    <row r="6444" spans="9:9" x14ac:dyDescent="0.25">
      <c r="I6444" s="227" t="str">
        <f>MID(excPisCofins[[#This Row],[CodBarras2]],2,50)</f>
        <v/>
      </c>
    </row>
    <row r="6445" spans="9:9" x14ac:dyDescent="0.25">
      <c r="I6445" s="227" t="str">
        <f>MID(excPisCofins[[#This Row],[CodBarras2]],2,50)</f>
        <v/>
      </c>
    </row>
    <row r="6446" spans="9:9" x14ac:dyDescent="0.25">
      <c r="I6446" s="227" t="str">
        <f>MID(excPisCofins[[#This Row],[CodBarras2]],2,50)</f>
        <v/>
      </c>
    </row>
    <row r="6447" spans="9:9" x14ac:dyDescent="0.25">
      <c r="I6447" s="227" t="str">
        <f>MID(excPisCofins[[#This Row],[CodBarras2]],2,50)</f>
        <v/>
      </c>
    </row>
    <row r="6448" spans="9:9" x14ac:dyDescent="0.25">
      <c r="I6448" s="227" t="str">
        <f>MID(excPisCofins[[#This Row],[CodBarras2]],2,50)</f>
        <v/>
      </c>
    </row>
    <row r="6449" spans="9:9" x14ac:dyDescent="0.25">
      <c r="I6449" s="227" t="str">
        <f>MID(excPisCofins[[#This Row],[CodBarras2]],2,50)</f>
        <v/>
      </c>
    </row>
    <row r="6450" spans="9:9" x14ac:dyDescent="0.25">
      <c r="I6450" s="227" t="str">
        <f>MID(excPisCofins[[#This Row],[CodBarras2]],2,50)</f>
        <v/>
      </c>
    </row>
    <row r="6451" spans="9:9" x14ac:dyDescent="0.25">
      <c r="I6451" s="227" t="str">
        <f>MID(excPisCofins[[#This Row],[CodBarras2]],2,50)</f>
        <v/>
      </c>
    </row>
    <row r="6452" spans="9:9" x14ac:dyDescent="0.25">
      <c r="I6452" s="227" t="str">
        <f>MID(excPisCofins[[#This Row],[CodBarras2]],2,50)</f>
        <v/>
      </c>
    </row>
    <row r="6453" spans="9:9" x14ac:dyDescent="0.25">
      <c r="I6453" s="227" t="str">
        <f>MID(excPisCofins[[#This Row],[CodBarras2]],2,50)</f>
        <v/>
      </c>
    </row>
    <row r="6454" spans="9:9" x14ac:dyDescent="0.25">
      <c r="I6454" s="227" t="str">
        <f>MID(excPisCofins[[#This Row],[CodBarras2]],2,50)</f>
        <v/>
      </c>
    </row>
    <row r="6455" spans="9:9" x14ac:dyDescent="0.25">
      <c r="I6455" s="227" t="str">
        <f>MID(excPisCofins[[#This Row],[CodBarras2]],2,50)</f>
        <v/>
      </c>
    </row>
    <row r="6456" spans="9:9" x14ac:dyDescent="0.25">
      <c r="I6456" s="227" t="str">
        <f>MID(excPisCofins[[#This Row],[CodBarras2]],2,50)</f>
        <v/>
      </c>
    </row>
    <row r="6457" spans="9:9" x14ac:dyDescent="0.25">
      <c r="I6457" s="227" t="str">
        <f>MID(excPisCofins[[#This Row],[CodBarras2]],2,50)</f>
        <v/>
      </c>
    </row>
    <row r="6458" spans="9:9" x14ac:dyDescent="0.25">
      <c r="I6458" s="227" t="str">
        <f>MID(excPisCofins[[#This Row],[CodBarras2]],2,50)</f>
        <v/>
      </c>
    </row>
    <row r="6459" spans="9:9" x14ac:dyDescent="0.25">
      <c r="I6459" s="227" t="str">
        <f>MID(excPisCofins[[#This Row],[CodBarras2]],2,50)</f>
        <v/>
      </c>
    </row>
    <row r="6460" spans="9:9" x14ac:dyDescent="0.25">
      <c r="I6460" s="227" t="str">
        <f>MID(excPisCofins[[#This Row],[CodBarras2]],2,50)</f>
        <v/>
      </c>
    </row>
    <row r="6461" spans="9:9" x14ac:dyDescent="0.25">
      <c r="I6461" s="227" t="str">
        <f>MID(excPisCofins[[#This Row],[CodBarras2]],2,50)</f>
        <v/>
      </c>
    </row>
    <row r="6462" spans="9:9" x14ac:dyDescent="0.25">
      <c r="I6462" s="227" t="str">
        <f>MID(excPisCofins[[#This Row],[CodBarras2]],2,50)</f>
        <v/>
      </c>
    </row>
    <row r="6463" spans="9:9" x14ac:dyDescent="0.25">
      <c r="I6463" s="227" t="str">
        <f>MID(excPisCofins[[#This Row],[CodBarras2]],2,50)</f>
        <v/>
      </c>
    </row>
    <row r="6464" spans="9:9" x14ac:dyDescent="0.25">
      <c r="I6464" s="227" t="str">
        <f>MID(excPisCofins[[#This Row],[CodBarras2]],2,50)</f>
        <v/>
      </c>
    </row>
    <row r="6465" spans="9:9" x14ac:dyDescent="0.25">
      <c r="I6465" s="227" t="str">
        <f>MID(excPisCofins[[#This Row],[CodBarras2]],2,50)</f>
        <v/>
      </c>
    </row>
    <row r="6466" spans="9:9" x14ac:dyDescent="0.25">
      <c r="I6466" s="227" t="str">
        <f>MID(excPisCofins[[#This Row],[CodBarras2]],2,50)</f>
        <v/>
      </c>
    </row>
    <row r="6467" spans="9:9" x14ac:dyDescent="0.25">
      <c r="I6467" s="227" t="str">
        <f>MID(excPisCofins[[#This Row],[CodBarras2]],2,50)</f>
        <v/>
      </c>
    </row>
    <row r="6468" spans="9:9" x14ac:dyDescent="0.25">
      <c r="I6468" s="227" t="str">
        <f>MID(excPisCofins[[#This Row],[CodBarras2]],2,50)</f>
        <v/>
      </c>
    </row>
    <row r="6469" spans="9:9" x14ac:dyDescent="0.25">
      <c r="I6469" s="227" t="str">
        <f>MID(excPisCofins[[#This Row],[CodBarras2]],2,50)</f>
        <v/>
      </c>
    </row>
    <row r="6470" spans="9:9" x14ac:dyDescent="0.25">
      <c r="I6470" s="227" t="str">
        <f>MID(excPisCofins[[#This Row],[CodBarras2]],2,50)</f>
        <v/>
      </c>
    </row>
    <row r="6471" spans="9:9" x14ac:dyDescent="0.25">
      <c r="I6471" s="227" t="str">
        <f>MID(excPisCofins[[#This Row],[CodBarras2]],2,50)</f>
        <v/>
      </c>
    </row>
    <row r="6472" spans="9:9" x14ac:dyDescent="0.25">
      <c r="I6472" s="227" t="str">
        <f>MID(excPisCofins[[#This Row],[CodBarras2]],2,50)</f>
        <v/>
      </c>
    </row>
    <row r="6473" spans="9:9" x14ac:dyDescent="0.25">
      <c r="I6473" s="227" t="str">
        <f>MID(excPisCofins[[#This Row],[CodBarras2]],2,50)</f>
        <v/>
      </c>
    </row>
    <row r="6474" spans="9:9" x14ac:dyDescent="0.25">
      <c r="I6474" s="227" t="str">
        <f>MID(excPisCofins[[#This Row],[CodBarras2]],2,50)</f>
        <v/>
      </c>
    </row>
    <row r="6475" spans="9:9" x14ac:dyDescent="0.25">
      <c r="I6475" s="227" t="str">
        <f>MID(excPisCofins[[#This Row],[CodBarras2]],2,50)</f>
        <v/>
      </c>
    </row>
    <row r="6476" spans="9:9" x14ac:dyDescent="0.25">
      <c r="I6476" s="227" t="str">
        <f>MID(excPisCofins[[#This Row],[CodBarras2]],2,50)</f>
        <v/>
      </c>
    </row>
    <row r="6477" spans="9:9" x14ac:dyDescent="0.25">
      <c r="I6477" s="227" t="str">
        <f>MID(excPisCofins[[#This Row],[CodBarras2]],2,50)</f>
        <v/>
      </c>
    </row>
    <row r="6478" spans="9:9" x14ac:dyDescent="0.25">
      <c r="I6478" s="227" t="str">
        <f>MID(excPisCofins[[#This Row],[CodBarras2]],2,50)</f>
        <v/>
      </c>
    </row>
    <row r="6479" spans="9:9" x14ac:dyDescent="0.25">
      <c r="I6479" s="227" t="str">
        <f>MID(excPisCofins[[#This Row],[CodBarras2]],2,50)</f>
        <v/>
      </c>
    </row>
    <row r="6480" spans="9:9" x14ac:dyDescent="0.25">
      <c r="I6480" s="227" t="str">
        <f>MID(excPisCofins[[#This Row],[CodBarras2]],2,50)</f>
        <v/>
      </c>
    </row>
    <row r="6481" spans="9:9" x14ac:dyDescent="0.25">
      <c r="I6481" s="227" t="str">
        <f>MID(excPisCofins[[#This Row],[CodBarras2]],2,50)</f>
        <v/>
      </c>
    </row>
    <row r="6482" spans="9:9" x14ac:dyDescent="0.25">
      <c r="I6482" s="227" t="str">
        <f>MID(excPisCofins[[#This Row],[CodBarras2]],2,50)</f>
        <v/>
      </c>
    </row>
    <row r="6483" spans="9:9" x14ac:dyDescent="0.25">
      <c r="I6483" s="227" t="str">
        <f>MID(excPisCofins[[#This Row],[CodBarras2]],2,50)</f>
        <v/>
      </c>
    </row>
    <row r="6484" spans="9:9" x14ac:dyDescent="0.25">
      <c r="I6484" s="227" t="str">
        <f>MID(excPisCofins[[#This Row],[CodBarras2]],2,50)</f>
        <v/>
      </c>
    </row>
    <row r="6485" spans="9:9" x14ac:dyDescent="0.25">
      <c r="I6485" s="227" t="str">
        <f>MID(excPisCofins[[#This Row],[CodBarras2]],2,50)</f>
        <v/>
      </c>
    </row>
    <row r="6486" spans="9:9" x14ac:dyDescent="0.25">
      <c r="I6486" s="227" t="str">
        <f>MID(excPisCofins[[#This Row],[CodBarras2]],2,50)</f>
        <v/>
      </c>
    </row>
    <row r="6487" spans="9:9" x14ac:dyDescent="0.25">
      <c r="I6487" s="227" t="str">
        <f>MID(excPisCofins[[#This Row],[CodBarras2]],2,50)</f>
        <v/>
      </c>
    </row>
    <row r="6488" spans="9:9" x14ac:dyDescent="0.25">
      <c r="I6488" s="227" t="str">
        <f>MID(excPisCofins[[#This Row],[CodBarras2]],2,50)</f>
        <v/>
      </c>
    </row>
    <row r="6489" spans="9:9" x14ac:dyDescent="0.25">
      <c r="I6489" s="227" t="str">
        <f>MID(excPisCofins[[#This Row],[CodBarras2]],2,50)</f>
        <v/>
      </c>
    </row>
    <row r="6490" spans="9:9" x14ac:dyDescent="0.25">
      <c r="I6490" s="227" t="str">
        <f>MID(excPisCofins[[#This Row],[CodBarras2]],2,50)</f>
        <v/>
      </c>
    </row>
    <row r="6491" spans="9:9" x14ac:dyDescent="0.25">
      <c r="I6491" s="227" t="str">
        <f>MID(excPisCofins[[#This Row],[CodBarras2]],2,50)</f>
        <v/>
      </c>
    </row>
    <row r="6492" spans="9:9" x14ac:dyDescent="0.25">
      <c r="I6492" s="227" t="str">
        <f>MID(excPisCofins[[#This Row],[CodBarras2]],2,50)</f>
        <v/>
      </c>
    </row>
    <row r="6493" spans="9:9" x14ac:dyDescent="0.25">
      <c r="I6493" s="227" t="str">
        <f>MID(excPisCofins[[#This Row],[CodBarras2]],2,50)</f>
        <v/>
      </c>
    </row>
    <row r="6494" spans="9:9" x14ac:dyDescent="0.25">
      <c r="I6494" s="227" t="str">
        <f>MID(excPisCofins[[#This Row],[CodBarras2]],2,50)</f>
        <v/>
      </c>
    </row>
    <row r="6495" spans="9:9" x14ac:dyDescent="0.25">
      <c r="I6495" s="227" t="str">
        <f>MID(excPisCofins[[#This Row],[CodBarras2]],2,50)</f>
        <v/>
      </c>
    </row>
    <row r="6496" spans="9:9" x14ac:dyDescent="0.25">
      <c r="I6496" s="227" t="str">
        <f>MID(excPisCofins[[#This Row],[CodBarras2]],2,50)</f>
        <v/>
      </c>
    </row>
    <row r="6497" spans="9:9" x14ac:dyDescent="0.25">
      <c r="I6497" s="227" t="str">
        <f>MID(excPisCofins[[#This Row],[CodBarras2]],2,50)</f>
        <v/>
      </c>
    </row>
    <row r="6498" spans="9:9" x14ac:dyDescent="0.25">
      <c r="I6498" s="227" t="str">
        <f>MID(excPisCofins[[#This Row],[CodBarras2]],2,50)</f>
        <v/>
      </c>
    </row>
    <row r="6499" spans="9:9" x14ac:dyDescent="0.25">
      <c r="I6499" s="227" t="str">
        <f>MID(excPisCofins[[#This Row],[CodBarras2]],2,50)</f>
        <v/>
      </c>
    </row>
    <row r="6500" spans="9:9" x14ac:dyDescent="0.25">
      <c r="I6500" s="227" t="str">
        <f>MID(excPisCofins[[#This Row],[CodBarras2]],2,50)</f>
        <v/>
      </c>
    </row>
    <row r="6501" spans="9:9" x14ac:dyDescent="0.25">
      <c r="I6501" s="227" t="str">
        <f>MID(excPisCofins[[#This Row],[CodBarras2]],2,50)</f>
        <v/>
      </c>
    </row>
    <row r="6502" spans="9:9" x14ac:dyDescent="0.25">
      <c r="I6502" s="227" t="str">
        <f>MID(excPisCofins[[#This Row],[CodBarras2]],2,50)</f>
        <v/>
      </c>
    </row>
    <row r="6503" spans="9:9" x14ac:dyDescent="0.25">
      <c r="I6503" s="227" t="str">
        <f>MID(excPisCofins[[#This Row],[CodBarras2]],2,50)</f>
        <v/>
      </c>
    </row>
    <row r="6504" spans="9:9" x14ac:dyDescent="0.25">
      <c r="I6504" s="227" t="str">
        <f>MID(excPisCofins[[#This Row],[CodBarras2]],2,50)</f>
        <v/>
      </c>
    </row>
    <row r="6505" spans="9:9" x14ac:dyDescent="0.25">
      <c r="I6505" s="227" t="str">
        <f>MID(excPisCofins[[#This Row],[CodBarras2]],2,50)</f>
        <v/>
      </c>
    </row>
    <row r="6506" spans="9:9" x14ac:dyDescent="0.25">
      <c r="I6506" s="227" t="str">
        <f>MID(excPisCofins[[#This Row],[CodBarras2]],2,50)</f>
        <v/>
      </c>
    </row>
    <row r="6507" spans="9:9" x14ac:dyDescent="0.25">
      <c r="I6507" s="227" t="str">
        <f>MID(excPisCofins[[#This Row],[CodBarras2]],2,50)</f>
        <v/>
      </c>
    </row>
    <row r="6508" spans="9:9" x14ac:dyDescent="0.25">
      <c r="I6508" s="227" t="str">
        <f>MID(excPisCofins[[#This Row],[CodBarras2]],2,50)</f>
        <v/>
      </c>
    </row>
    <row r="6509" spans="9:9" x14ac:dyDescent="0.25">
      <c r="I6509" s="227" t="str">
        <f>MID(excPisCofins[[#This Row],[CodBarras2]],2,50)</f>
        <v/>
      </c>
    </row>
    <row r="6510" spans="9:9" x14ac:dyDescent="0.25">
      <c r="I6510" s="227" t="str">
        <f>MID(excPisCofins[[#This Row],[CodBarras2]],2,50)</f>
        <v/>
      </c>
    </row>
    <row r="6511" spans="9:9" x14ac:dyDescent="0.25">
      <c r="I6511" s="227" t="str">
        <f>MID(excPisCofins[[#This Row],[CodBarras2]],2,50)</f>
        <v/>
      </c>
    </row>
    <row r="6512" spans="9:9" x14ac:dyDescent="0.25">
      <c r="I6512" s="227" t="str">
        <f>MID(excPisCofins[[#This Row],[CodBarras2]],2,50)</f>
        <v/>
      </c>
    </row>
    <row r="6513" spans="9:9" x14ac:dyDescent="0.25">
      <c r="I6513" s="227" t="str">
        <f>MID(excPisCofins[[#This Row],[CodBarras2]],2,50)</f>
        <v/>
      </c>
    </row>
    <row r="6514" spans="9:9" x14ac:dyDescent="0.25">
      <c r="I6514" s="227" t="str">
        <f>MID(excPisCofins[[#This Row],[CodBarras2]],2,50)</f>
        <v/>
      </c>
    </row>
    <row r="6515" spans="9:9" x14ac:dyDescent="0.25">
      <c r="I6515" s="227" t="str">
        <f>MID(excPisCofins[[#This Row],[CodBarras2]],2,50)</f>
        <v/>
      </c>
    </row>
    <row r="6516" spans="9:9" x14ac:dyDescent="0.25">
      <c r="I6516" s="227" t="str">
        <f>MID(excPisCofins[[#This Row],[CodBarras2]],2,50)</f>
        <v/>
      </c>
    </row>
    <row r="6517" spans="9:9" x14ac:dyDescent="0.25">
      <c r="I6517" s="227" t="str">
        <f>MID(excPisCofins[[#This Row],[CodBarras2]],2,50)</f>
        <v/>
      </c>
    </row>
    <row r="6518" spans="9:9" x14ac:dyDescent="0.25">
      <c r="I6518" s="227" t="str">
        <f>MID(excPisCofins[[#This Row],[CodBarras2]],2,50)</f>
        <v/>
      </c>
    </row>
    <row r="6519" spans="9:9" x14ac:dyDescent="0.25">
      <c r="I6519" s="227" t="str">
        <f>MID(excPisCofins[[#This Row],[CodBarras2]],2,50)</f>
        <v/>
      </c>
    </row>
    <row r="6520" spans="9:9" x14ac:dyDescent="0.25">
      <c r="I6520" s="227" t="str">
        <f>MID(excPisCofins[[#This Row],[CodBarras2]],2,50)</f>
        <v/>
      </c>
    </row>
    <row r="6521" spans="9:9" x14ac:dyDescent="0.25">
      <c r="I6521" s="227" t="str">
        <f>MID(excPisCofins[[#This Row],[CodBarras2]],2,50)</f>
        <v/>
      </c>
    </row>
    <row r="6522" spans="9:9" x14ac:dyDescent="0.25">
      <c r="I6522" s="227" t="str">
        <f>MID(excPisCofins[[#This Row],[CodBarras2]],2,50)</f>
        <v/>
      </c>
    </row>
    <row r="6523" spans="9:9" x14ac:dyDescent="0.25">
      <c r="I6523" s="227" t="str">
        <f>MID(excPisCofins[[#This Row],[CodBarras2]],2,50)</f>
        <v/>
      </c>
    </row>
    <row r="6524" spans="9:9" x14ac:dyDescent="0.25">
      <c r="I6524" s="227" t="str">
        <f>MID(excPisCofins[[#This Row],[CodBarras2]],2,50)</f>
        <v/>
      </c>
    </row>
    <row r="6525" spans="9:9" x14ac:dyDescent="0.25">
      <c r="I6525" s="227" t="str">
        <f>MID(excPisCofins[[#This Row],[CodBarras2]],2,50)</f>
        <v/>
      </c>
    </row>
    <row r="6526" spans="9:9" x14ac:dyDescent="0.25">
      <c r="I6526" s="227" t="str">
        <f>MID(excPisCofins[[#This Row],[CodBarras2]],2,50)</f>
        <v/>
      </c>
    </row>
    <row r="6527" spans="9:9" x14ac:dyDescent="0.25">
      <c r="I6527" s="227" t="str">
        <f>MID(excPisCofins[[#This Row],[CodBarras2]],2,50)</f>
        <v/>
      </c>
    </row>
    <row r="6528" spans="9:9" x14ac:dyDescent="0.25">
      <c r="I6528" s="227" t="str">
        <f>MID(excPisCofins[[#This Row],[CodBarras2]],2,50)</f>
        <v/>
      </c>
    </row>
    <row r="6529" spans="9:9" x14ac:dyDescent="0.25">
      <c r="I6529" s="227" t="str">
        <f>MID(excPisCofins[[#This Row],[CodBarras2]],2,50)</f>
        <v/>
      </c>
    </row>
    <row r="6530" spans="9:9" x14ac:dyDescent="0.25">
      <c r="I6530" s="227" t="str">
        <f>MID(excPisCofins[[#This Row],[CodBarras2]],2,50)</f>
        <v/>
      </c>
    </row>
    <row r="6531" spans="9:9" x14ac:dyDescent="0.25">
      <c r="I6531" s="227" t="str">
        <f>MID(excPisCofins[[#This Row],[CodBarras2]],2,50)</f>
        <v/>
      </c>
    </row>
    <row r="6532" spans="9:9" x14ac:dyDescent="0.25">
      <c r="I6532" s="227" t="str">
        <f>MID(excPisCofins[[#This Row],[CodBarras2]],2,50)</f>
        <v/>
      </c>
    </row>
    <row r="6533" spans="9:9" x14ac:dyDescent="0.25">
      <c r="I6533" s="227" t="str">
        <f>MID(excPisCofins[[#This Row],[CodBarras2]],2,50)</f>
        <v/>
      </c>
    </row>
    <row r="6534" spans="9:9" x14ac:dyDescent="0.25">
      <c r="I6534" s="227" t="str">
        <f>MID(excPisCofins[[#This Row],[CodBarras2]],2,50)</f>
        <v/>
      </c>
    </row>
    <row r="6535" spans="9:9" x14ac:dyDescent="0.25">
      <c r="I6535" s="227" t="str">
        <f>MID(excPisCofins[[#This Row],[CodBarras2]],2,50)</f>
        <v/>
      </c>
    </row>
    <row r="6536" spans="9:9" x14ac:dyDescent="0.25">
      <c r="I6536" s="227" t="str">
        <f>MID(excPisCofins[[#This Row],[CodBarras2]],2,50)</f>
        <v/>
      </c>
    </row>
    <row r="6537" spans="9:9" x14ac:dyDescent="0.25">
      <c r="I6537" s="227" t="str">
        <f>MID(excPisCofins[[#This Row],[CodBarras2]],2,50)</f>
        <v/>
      </c>
    </row>
    <row r="6538" spans="9:9" x14ac:dyDescent="0.25">
      <c r="I6538" s="227" t="str">
        <f>MID(excPisCofins[[#This Row],[CodBarras2]],2,50)</f>
        <v/>
      </c>
    </row>
    <row r="6539" spans="9:9" x14ac:dyDescent="0.25">
      <c r="I6539" s="227" t="str">
        <f>MID(excPisCofins[[#This Row],[CodBarras2]],2,50)</f>
        <v/>
      </c>
    </row>
    <row r="6540" spans="9:9" x14ac:dyDescent="0.25">
      <c r="I6540" s="227" t="str">
        <f>MID(excPisCofins[[#This Row],[CodBarras2]],2,50)</f>
        <v/>
      </c>
    </row>
    <row r="6541" spans="9:9" x14ac:dyDescent="0.25">
      <c r="I6541" s="227" t="str">
        <f>MID(excPisCofins[[#This Row],[CodBarras2]],2,50)</f>
        <v/>
      </c>
    </row>
    <row r="6542" spans="9:9" x14ac:dyDescent="0.25">
      <c r="I6542" s="227" t="str">
        <f>MID(excPisCofins[[#This Row],[CodBarras2]],2,50)</f>
        <v/>
      </c>
    </row>
    <row r="6543" spans="9:9" x14ac:dyDescent="0.25">
      <c r="I6543" s="227" t="str">
        <f>MID(excPisCofins[[#This Row],[CodBarras2]],2,50)</f>
        <v/>
      </c>
    </row>
    <row r="6544" spans="9:9" x14ac:dyDescent="0.25">
      <c r="I6544" s="227" t="str">
        <f>MID(excPisCofins[[#This Row],[CodBarras2]],2,50)</f>
        <v/>
      </c>
    </row>
    <row r="6545" spans="9:9" x14ac:dyDescent="0.25">
      <c r="I6545" s="227" t="str">
        <f>MID(excPisCofins[[#This Row],[CodBarras2]],2,50)</f>
        <v/>
      </c>
    </row>
    <row r="6546" spans="9:9" x14ac:dyDescent="0.25">
      <c r="I6546" s="227" t="str">
        <f>MID(excPisCofins[[#This Row],[CodBarras2]],2,50)</f>
        <v/>
      </c>
    </row>
    <row r="6547" spans="9:9" x14ac:dyDescent="0.25">
      <c r="I6547" s="227" t="str">
        <f>MID(excPisCofins[[#This Row],[CodBarras2]],2,50)</f>
        <v/>
      </c>
    </row>
    <row r="6548" spans="9:9" x14ac:dyDescent="0.25">
      <c r="I6548" s="227" t="str">
        <f>MID(excPisCofins[[#This Row],[CodBarras2]],2,50)</f>
        <v/>
      </c>
    </row>
    <row r="6549" spans="9:9" x14ac:dyDescent="0.25">
      <c r="I6549" s="227" t="str">
        <f>MID(excPisCofins[[#This Row],[CodBarras2]],2,50)</f>
        <v/>
      </c>
    </row>
    <row r="6550" spans="9:9" x14ac:dyDescent="0.25">
      <c r="I6550" s="227" t="str">
        <f>MID(excPisCofins[[#This Row],[CodBarras2]],2,50)</f>
        <v/>
      </c>
    </row>
    <row r="6551" spans="9:9" x14ac:dyDescent="0.25">
      <c r="I6551" s="227" t="str">
        <f>MID(excPisCofins[[#This Row],[CodBarras2]],2,50)</f>
        <v/>
      </c>
    </row>
    <row r="6552" spans="9:9" x14ac:dyDescent="0.25">
      <c r="I6552" s="227" t="str">
        <f>MID(excPisCofins[[#This Row],[CodBarras2]],2,50)</f>
        <v/>
      </c>
    </row>
    <row r="6553" spans="9:9" x14ac:dyDescent="0.25">
      <c r="I6553" s="227" t="str">
        <f>MID(excPisCofins[[#This Row],[CodBarras2]],2,50)</f>
        <v/>
      </c>
    </row>
    <row r="6554" spans="9:9" x14ac:dyDescent="0.25">
      <c r="I6554" s="227" t="str">
        <f>MID(excPisCofins[[#This Row],[CodBarras2]],2,50)</f>
        <v/>
      </c>
    </row>
    <row r="6555" spans="9:9" x14ac:dyDescent="0.25">
      <c r="I6555" s="227" t="str">
        <f>MID(excPisCofins[[#This Row],[CodBarras2]],2,50)</f>
        <v/>
      </c>
    </row>
    <row r="6556" spans="9:9" x14ac:dyDescent="0.25">
      <c r="I6556" s="227" t="str">
        <f>MID(excPisCofins[[#This Row],[CodBarras2]],2,50)</f>
        <v/>
      </c>
    </row>
    <row r="6557" spans="9:9" x14ac:dyDescent="0.25">
      <c r="I6557" s="227" t="str">
        <f>MID(excPisCofins[[#This Row],[CodBarras2]],2,50)</f>
        <v/>
      </c>
    </row>
    <row r="6558" spans="9:9" x14ac:dyDescent="0.25">
      <c r="I6558" s="227" t="str">
        <f>MID(excPisCofins[[#This Row],[CodBarras2]],2,50)</f>
        <v/>
      </c>
    </row>
    <row r="6559" spans="9:9" x14ac:dyDescent="0.25">
      <c r="I6559" s="227" t="str">
        <f>MID(excPisCofins[[#This Row],[CodBarras2]],2,50)</f>
        <v/>
      </c>
    </row>
    <row r="6560" spans="9:9" x14ac:dyDescent="0.25">
      <c r="I6560" s="227" t="str">
        <f>MID(excPisCofins[[#This Row],[CodBarras2]],2,50)</f>
        <v/>
      </c>
    </row>
    <row r="6561" spans="9:9" x14ac:dyDescent="0.25">
      <c r="I6561" s="227" t="str">
        <f>MID(excPisCofins[[#This Row],[CodBarras2]],2,50)</f>
        <v/>
      </c>
    </row>
    <row r="6562" spans="9:9" x14ac:dyDescent="0.25">
      <c r="I6562" s="227" t="str">
        <f>MID(excPisCofins[[#This Row],[CodBarras2]],2,50)</f>
        <v/>
      </c>
    </row>
    <row r="6563" spans="9:9" x14ac:dyDescent="0.25">
      <c r="I6563" s="227" t="str">
        <f>MID(excPisCofins[[#This Row],[CodBarras2]],2,50)</f>
        <v/>
      </c>
    </row>
    <row r="6564" spans="9:9" x14ac:dyDescent="0.25">
      <c r="I6564" s="227" t="str">
        <f>MID(excPisCofins[[#This Row],[CodBarras2]],2,50)</f>
        <v/>
      </c>
    </row>
    <row r="6565" spans="9:9" x14ac:dyDescent="0.25">
      <c r="I6565" s="227" t="str">
        <f>MID(excPisCofins[[#This Row],[CodBarras2]],2,50)</f>
        <v/>
      </c>
    </row>
    <row r="6566" spans="9:9" x14ac:dyDescent="0.25">
      <c r="I6566" s="227" t="str">
        <f>MID(excPisCofins[[#This Row],[CodBarras2]],2,50)</f>
        <v/>
      </c>
    </row>
    <row r="6567" spans="9:9" x14ac:dyDescent="0.25">
      <c r="I6567" s="227" t="str">
        <f>MID(excPisCofins[[#This Row],[CodBarras2]],2,50)</f>
        <v/>
      </c>
    </row>
    <row r="6568" spans="9:9" x14ac:dyDescent="0.25">
      <c r="I6568" s="227" t="str">
        <f>MID(excPisCofins[[#This Row],[CodBarras2]],2,50)</f>
        <v/>
      </c>
    </row>
    <row r="6569" spans="9:9" x14ac:dyDescent="0.25">
      <c r="I6569" s="227" t="str">
        <f>MID(excPisCofins[[#This Row],[CodBarras2]],2,50)</f>
        <v/>
      </c>
    </row>
    <row r="6570" spans="9:9" x14ac:dyDescent="0.25">
      <c r="I6570" s="227" t="str">
        <f>MID(excPisCofins[[#This Row],[CodBarras2]],2,50)</f>
        <v/>
      </c>
    </row>
    <row r="6571" spans="9:9" x14ac:dyDescent="0.25">
      <c r="I6571" s="227" t="str">
        <f>MID(excPisCofins[[#This Row],[CodBarras2]],2,50)</f>
        <v/>
      </c>
    </row>
    <row r="6572" spans="9:9" x14ac:dyDescent="0.25">
      <c r="I6572" s="227" t="str">
        <f>MID(excPisCofins[[#This Row],[CodBarras2]],2,50)</f>
        <v/>
      </c>
    </row>
    <row r="6573" spans="9:9" x14ac:dyDescent="0.25">
      <c r="I6573" s="227" t="str">
        <f>MID(excPisCofins[[#This Row],[CodBarras2]],2,50)</f>
        <v/>
      </c>
    </row>
    <row r="6574" spans="9:9" x14ac:dyDescent="0.25">
      <c r="I6574" s="227" t="str">
        <f>MID(excPisCofins[[#This Row],[CodBarras2]],2,50)</f>
        <v/>
      </c>
    </row>
    <row r="6575" spans="9:9" x14ac:dyDescent="0.25">
      <c r="I6575" s="227" t="str">
        <f>MID(excPisCofins[[#This Row],[CodBarras2]],2,50)</f>
        <v/>
      </c>
    </row>
    <row r="6576" spans="9:9" x14ac:dyDescent="0.25">
      <c r="I6576" s="227" t="str">
        <f>MID(excPisCofins[[#This Row],[CodBarras2]],2,50)</f>
        <v/>
      </c>
    </row>
    <row r="6577" spans="9:9" x14ac:dyDescent="0.25">
      <c r="I6577" s="227" t="str">
        <f>MID(excPisCofins[[#This Row],[CodBarras2]],2,50)</f>
        <v/>
      </c>
    </row>
    <row r="6578" spans="9:9" x14ac:dyDescent="0.25">
      <c r="I6578" s="227" t="str">
        <f>MID(excPisCofins[[#This Row],[CodBarras2]],2,50)</f>
        <v/>
      </c>
    </row>
    <row r="6579" spans="9:9" x14ac:dyDescent="0.25">
      <c r="I6579" s="227" t="str">
        <f>MID(excPisCofins[[#This Row],[CodBarras2]],2,50)</f>
        <v/>
      </c>
    </row>
    <row r="6580" spans="9:9" x14ac:dyDescent="0.25">
      <c r="I6580" s="227" t="str">
        <f>MID(excPisCofins[[#This Row],[CodBarras2]],2,50)</f>
        <v/>
      </c>
    </row>
    <row r="6581" spans="9:9" x14ac:dyDescent="0.25">
      <c r="I6581" s="227" t="str">
        <f>MID(excPisCofins[[#This Row],[CodBarras2]],2,50)</f>
        <v/>
      </c>
    </row>
    <row r="6582" spans="9:9" x14ac:dyDescent="0.25">
      <c r="I6582" s="227" t="str">
        <f>MID(excPisCofins[[#This Row],[CodBarras2]],2,50)</f>
        <v/>
      </c>
    </row>
    <row r="6583" spans="9:9" x14ac:dyDescent="0.25">
      <c r="I6583" s="227" t="str">
        <f>MID(excPisCofins[[#This Row],[CodBarras2]],2,50)</f>
        <v/>
      </c>
    </row>
    <row r="6584" spans="9:9" x14ac:dyDescent="0.25">
      <c r="I6584" s="227" t="str">
        <f>MID(excPisCofins[[#This Row],[CodBarras2]],2,50)</f>
        <v/>
      </c>
    </row>
    <row r="6585" spans="9:9" x14ac:dyDescent="0.25">
      <c r="I6585" s="227" t="str">
        <f>MID(excPisCofins[[#This Row],[CodBarras2]],2,50)</f>
        <v/>
      </c>
    </row>
    <row r="6586" spans="9:9" x14ac:dyDescent="0.25">
      <c r="I6586" s="227" t="str">
        <f>MID(excPisCofins[[#This Row],[CodBarras2]],2,50)</f>
        <v/>
      </c>
    </row>
    <row r="6587" spans="9:9" x14ac:dyDescent="0.25">
      <c r="I6587" s="227" t="str">
        <f>MID(excPisCofins[[#This Row],[CodBarras2]],2,50)</f>
        <v/>
      </c>
    </row>
    <row r="6588" spans="9:9" x14ac:dyDescent="0.25">
      <c r="I6588" s="227" t="str">
        <f>MID(excPisCofins[[#This Row],[CodBarras2]],2,50)</f>
        <v/>
      </c>
    </row>
    <row r="6589" spans="9:9" x14ac:dyDescent="0.25">
      <c r="I6589" s="227" t="str">
        <f>MID(excPisCofins[[#This Row],[CodBarras2]],2,50)</f>
        <v/>
      </c>
    </row>
    <row r="6590" spans="9:9" x14ac:dyDescent="0.25">
      <c r="I6590" s="227" t="str">
        <f>MID(excPisCofins[[#This Row],[CodBarras2]],2,50)</f>
        <v/>
      </c>
    </row>
    <row r="6591" spans="9:9" x14ac:dyDescent="0.25">
      <c r="I6591" s="227" t="str">
        <f>MID(excPisCofins[[#This Row],[CodBarras2]],2,50)</f>
        <v/>
      </c>
    </row>
    <row r="6592" spans="9:9" x14ac:dyDescent="0.25">
      <c r="I6592" s="227" t="str">
        <f>MID(excPisCofins[[#This Row],[CodBarras2]],2,50)</f>
        <v/>
      </c>
    </row>
    <row r="6593" spans="9:9" x14ac:dyDescent="0.25">
      <c r="I6593" s="227" t="str">
        <f>MID(excPisCofins[[#This Row],[CodBarras2]],2,50)</f>
        <v/>
      </c>
    </row>
    <row r="6594" spans="9:9" x14ac:dyDescent="0.25">
      <c r="I6594" s="227" t="str">
        <f>MID(excPisCofins[[#This Row],[CodBarras2]],2,50)</f>
        <v/>
      </c>
    </row>
    <row r="6595" spans="9:9" x14ac:dyDescent="0.25">
      <c r="I6595" s="227" t="str">
        <f>MID(excPisCofins[[#This Row],[CodBarras2]],2,50)</f>
        <v/>
      </c>
    </row>
    <row r="6596" spans="9:9" x14ac:dyDescent="0.25">
      <c r="I6596" s="227" t="str">
        <f>MID(excPisCofins[[#This Row],[CodBarras2]],2,50)</f>
        <v/>
      </c>
    </row>
    <row r="6597" spans="9:9" x14ac:dyDescent="0.25">
      <c r="I6597" s="227" t="str">
        <f>MID(excPisCofins[[#This Row],[CodBarras2]],2,50)</f>
        <v/>
      </c>
    </row>
    <row r="6598" spans="9:9" x14ac:dyDescent="0.25">
      <c r="I6598" s="227" t="str">
        <f>MID(excPisCofins[[#This Row],[CodBarras2]],2,50)</f>
        <v/>
      </c>
    </row>
    <row r="6599" spans="9:9" x14ac:dyDescent="0.25">
      <c r="I6599" s="227" t="str">
        <f>MID(excPisCofins[[#This Row],[CodBarras2]],2,50)</f>
        <v/>
      </c>
    </row>
    <row r="6600" spans="9:9" x14ac:dyDescent="0.25">
      <c r="I6600" s="227" t="str">
        <f>MID(excPisCofins[[#This Row],[CodBarras2]],2,50)</f>
        <v/>
      </c>
    </row>
    <row r="6601" spans="9:9" x14ac:dyDescent="0.25">
      <c r="I6601" s="227" t="str">
        <f>MID(excPisCofins[[#This Row],[CodBarras2]],2,50)</f>
        <v/>
      </c>
    </row>
    <row r="6602" spans="9:9" x14ac:dyDescent="0.25">
      <c r="I6602" s="227" t="str">
        <f>MID(excPisCofins[[#This Row],[CodBarras2]],2,50)</f>
        <v/>
      </c>
    </row>
    <row r="6603" spans="9:9" x14ac:dyDescent="0.25">
      <c r="I6603" s="227" t="str">
        <f>MID(excPisCofins[[#This Row],[CodBarras2]],2,50)</f>
        <v/>
      </c>
    </row>
    <row r="6604" spans="9:9" x14ac:dyDescent="0.25">
      <c r="I6604" s="227" t="str">
        <f>MID(excPisCofins[[#This Row],[CodBarras2]],2,50)</f>
        <v/>
      </c>
    </row>
    <row r="6605" spans="9:9" x14ac:dyDescent="0.25">
      <c r="I6605" s="227" t="str">
        <f>MID(excPisCofins[[#This Row],[CodBarras2]],2,50)</f>
        <v/>
      </c>
    </row>
    <row r="6606" spans="9:9" x14ac:dyDescent="0.25">
      <c r="I6606" s="227" t="str">
        <f>MID(excPisCofins[[#This Row],[CodBarras2]],2,50)</f>
        <v/>
      </c>
    </row>
    <row r="6607" spans="9:9" x14ac:dyDescent="0.25">
      <c r="I6607" s="227" t="str">
        <f>MID(excPisCofins[[#This Row],[CodBarras2]],2,50)</f>
        <v/>
      </c>
    </row>
    <row r="6608" spans="9:9" x14ac:dyDescent="0.25">
      <c r="I6608" s="227" t="str">
        <f>MID(excPisCofins[[#This Row],[CodBarras2]],2,50)</f>
        <v/>
      </c>
    </row>
    <row r="6609" spans="9:9" x14ac:dyDescent="0.25">
      <c r="I6609" s="227" t="str">
        <f>MID(excPisCofins[[#This Row],[CodBarras2]],2,50)</f>
        <v/>
      </c>
    </row>
    <row r="6610" spans="9:9" x14ac:dyDescent="0.25">
      <c r="I6610" s="227" t="str">
        <f>MID(excPisCofins[[#This Row],[CodBarras2]],2,50)</f>
        <v/>
      </c>
    </row>
    <row r="6611" spans="9:9" x14ac:dyDescent="0.25">
      <c r="I6611" s="227" t="str">
        <f>MID(excPisCofins[[#This Row],[CodBarras2]],2,50)</f>
        <v/>
      </c>
    </row>
    <row r="6612" spans="9:9" x14ac:dyDescent="0.25">
      <c r="I6612" s="227" t="str">
        <f>MID(excPisCofins[[#This Row],[CodBarras2]],2,50)</f>
        <v/>
      </c>
    </row>
    <row r="6613" spans="9:9" x14ac:dyDescent="0.25">
      <c r="I6613" s="227" t="str">
        <f>MID(excPisCofins[[#This Row],[CodBarras2]],2,50)</f>
        <v/>
      </c>
    </row>
    <row r="6614" spans="9:9" x14ac:dyDescent="0.25">
      <c r="I6614" s="227" t="str">
        <f>MID(excPisCofins[[#This Row],[CodBarras2]],2,50)</f>
        <v/>
      </c>
    </row>
    <row r="6615" spans="9:9" x14ac:dyDescent="0.25">
      <c r="I6615" s="227" t="str">
        <f>MID(excPisCofins[[#This Row],[CodBarras2]],2,50)</f>
        <v/>
      </c>
    </row>
    <row r="6616" spans="9:9" x14ac:dyDescent="0.25">
      <c r="I6616" s="227" t="str">
        <f>MID(excPisCofins[[#This Row],[CodBarras2]],2,50)</f>
        <v/>
      </c>
    </row>
    <row r="6617" spans="9:9" x14ac:dyDescent="0.25">
      <c r="I6617" s="227" t="str">
        <f>MID(excPisCofins[[#This Row],[CodBarras2]],2,50)</f>
        <v/>
      </c>
    </row>
    <row r="6618" spans="9:9" x14ac:dyDescent="0.25">
      <c r="I6618" s="227" t="str">
        <f>MID(excPisCofins[[#This Row],[CodBarras2]],2,50)</f>
        <v/>
      </c>
    </row>
    <row r="6619" spans="9:9" x14ac:dyDescent="0.25">
      <c r="I6619" s="227" t="str">
        <f>MID(excPisCofins[[#This Row],[CodBarras2]],2,50)</f>
        <v/>
      </c>
    </row>
    <row r="6620" spans="9:9" x14ac:dyDescent="0.25">
      <c r="I6620" s="227" t="str">
        <f>MID(excPisCofins[[#This Row],[CodBarras2]],2,50)</f>
        <v/>
      </c>
    </row>
    <row r="6621" spans="9:9" x14ac:dyDescent="0.25">
      <c r="I6621" s="227" t="str">
        <f>MID(excPisCofins[[#This Row],[CodBarras2]],2,50)</f>
        <v/>
      </c>
    </row>
    <row r="6622" spans="9:9" x14ac:dyDescent="0.25">
      <c r="I6622" s="227" t="str">
        <f>MID(excPisCofins[[#This Row],[CodBarras2]],2,50)</f>
        <v/>
      </c>
    </row>
    <row r="6623" spans="9:9" x14ac:dyDescent="0.25">
      <c r="I6623" s="227" t="str">
        <f>MID(excPisCofins[[#This Row],[CodBarras2]],2,50)</f>
        <v/>
      </c>
    </row>
    <row r="6624" spans="9:9" x14ac:dyDescent="0.25">
      <c r="I6624" s="227" t="str">
        <f>MID(excPisCofins[[#This Row],[CodBarras2]],2,50)</f>
        <v/>
      </c>
    </row>
    <row r="6625" spans="9:9" x14ac:dyDescent="0.25">
      <c r="I6625" s="227" t="str">
        <f>MID(excPisCofins[[#This Row],[CodBarras2]],2,50)</f>
        <v/>
      </c>
    </row>
    <row r="6626" spans="9:9" x14ac:dyDescent="0.25">
      <c r="I6626" s="227" t="str">
        <f>MID(excPisCofins[[#This Row],[CodBarras2]],2,50)</f>
        <v/>
      </c>
    </row>
    <row r="6627" spans="9:9" x14ac:dyDescent="0.25">
      <c r="I6627" s="227" t="str">
        <f>MID(excPisCofins[[#This Row],[CodBarras2]],2,50)</f>
        <v/>
      </c>
    </row>
    <row r="6628" spans="9:9" x14ac:dyDescent="0.25">
      <c r="I6628" s="227" t="str">
        <f>MID(excPisCofins[[#This Row],[CodBarras2]],2,50)</f>
        <v/>
      </c>
    </row>
    <row r="6629" spans="9:9" x14ac:dyDescent="0.25">
      <c r="I6629" s="227" t="str">
        <f>MID(excPisCofins[[#This Row],[CodBarras2]],2,50)</f>
        <v/>
      </c>
    </row>
    <row r="6630" spans="9:9" x14ac:dyDescent="0.25">
      <c r="I6630" s="227" t="str">
        <f>MID(excPisCofins[[#This Row],[CodBarras2]],2,50)</f>
        <v/>
      </c>
    </row>
    <row r="6631" spans="9:9" x14ac:dyDescent="0.25">
      <c r="I6631" s="227" t="str">
        <f>MID(excPisCofins[[#This Row],[CodBarras2]],2,50)</f>
        <v/>
      </c>
    </row>
    <row r="6632" spans="9:9" x14ac:dyDescent="0.25">
      <c r="I6632" s="227" t="str">
        <f>MID(excPisCofins[[#This Row],[CodBarras2]],2,50)</f>
        <v/>
      </c>
    </row>
    <row r="6633" spans="9:9" x14ac:dyDescent="0.25">
      <c r="I6633" s="227" t="str">
        <f>MID(excPisCofins[[#This Row],[CodBarras2]],2,50)</f>
        <v/>
      </c>
    </row>
    <row r="6634" spans="9:9" x14ac:dyDescent="0.25">
      <c r="I6634" s="227" t="str">
        <f>MID(excPisCofins[[#This Row],[CodBarras2]],2,50)</f>
        <v/>
      </c>
    </row>
    <row r="6635" spans="9:9" x14ac:dyDescent="0.25">
      <c r="I6635" s="227" t="str">
        <f>MID(excPisCofins[[#This Row],[CodBarras2]],2,50)</f>
        <v/>
      </c>
    </row>
    <row r="6636" spans="9:9" x14ac:dyDescent="0.25">
      <c r="I6636" s="227" t="str">
        <f>MID(excPisCofins[[#This Row],[CodBarras2]],2,50)</f>
        <v/>
      </c>
    </row>
    <row r="6637" spans="9:9" x14ac:dyDescent="0.25">
      <c r="I6637" s="227" t="str">
        <f>MID(excPisCofins[[#This Row],[CodBarras2]],2,50)</f>
        <v/>
      </c>
    </row>
    <row r="6638" spans="9:9" x14ac:dyDescent="0.25">
      <c r="I6638" s="227" t="str">
        <f>MID(excPisCofins[[#This Row],[CodBarras2]],2,50)</f>
        <v/>
      </c>
    </row>
    <row r="6639" spans="9:9" x14ac:dyDescent="0.25">
      <c r="I6639" s="227" t="str">
        <f>MID(excPisCofins[[#This Row],[CodBarras2]],2,50)</f>
        <v/>
      </c>
    </row>
    <row r="6640" spans="9:9" x14ac:dyDescent="0.25">
      <c r="I6640" s="227" t="str">
        <f>MID(excPisCofins[[#This Row],[CodBarras2]],2,50)</f>
        <v/>
      </c>
    </row>
    <row r="6641" spans="9:9" x14ac:dyDescent="0.25">
      <c r="I6641" s="227" t="str">
        <f>MID(excPisCofins[[#This Row],[CodBarras2]],2,50)</f>
        <v/>
      </c>
    </row>
    <row r="6642" spans="9:9" x14ac:dyDescent="0.25">
      <c r="I6642" s="227" t="str">
        <f>MID(excPisCofins[[#This Row],[CodBarras2]],2,50)</f>
        <v/>
      </c>
    </row>
    <row r="6643" spans="9:9" x14ac:dyDescent="0.25">
      <c r="I6643" s="227" t="str">
        <f>MID(excPisCofins[[#This Row],[CodBarras2]],2,50)</f>
        <v/>
      </c>
    </row>
    <row r="6644" spans="9:9" x14ac:dyDescent="0.25">
      <c r="I6644" s="227" t="str">
        <f>MID(excPisCofins[[#This Row],[CodBarras2]],2,50)</f>
        <v/>
      </c>
    </row>
    <row r="6645" spans="9:9" x14ac:dyDescent="0.25">
      <c r="I6645" s="227" t="str">
        <f>MID(excPisCofins[[#This Row],[CodBarras2]],2,50)</f>
        <v/>
      </c>
    </row>
    <row r="6646" spans="9:9" x14ac:dyDescent="0.25">
      <c r="I6646" s="227" t="str">
        <f>MID(excPisCofins[[#This Row],[CodBarras2]],2,50)</f>
        <v/>
      </c>
    </row>
    <row r="6647" spans="9:9" x14ac:dyDescent="0.25">
      <c r="I6647" s="227" t="str">
        <f>MID(excPisCofins[[#This Row],[CodBarras2]],2,50)</f>
        <v/>
      </c>
    </row>
    <row r="6648" spans="9:9" x14ac:dyDescent="0.25">
      <c r="I6648" s="227" t="str">
        <f>MID(excPisCofins[[#This Row],[CodBarras2]],2,50)</f>
        <v/>
      </c>
    </row>
    <row r="6649" spans="9:9" x14ac:dyDescent="0.25">
      <c r="I6649" s="227" t="str">
        <f>MID(excPisCofins[[#This Row],[CodBarras2]],2,50)</f>
        <v/>
      </c>
    </row>
    <row r="6650" spans="9:9" x14ac:dyDescent="0.25">
      <c r="I6650" s="227" t="str">
        <f>MID(excPisCofins[[#This Row],[CodBarras2]],2,50)</f>
        <v/>
      </c>
    </row>
    <row r="6651" spans="9:9" x14ac:dyDescent="0.25">
      <c r="I6651" s="227" t="str">
        <f>MID(excPisCofins[[#This Row],[CodBarras2]],2,50)</f>
        <v/>
      </c>
    </row>
    <row r="6652" spans="9:9" x14ac:dyDescent="0.25">
      <c r="I6652" s="227" t="str">
        <f>MID(excPisCofins[[#This Row],[CodBarras2]],2,50)</f>
        <v/>
      </c>
    </row>
    <row r="6653" spans="9:9" x14ac:dyDescent="0.25">
      <c r="I6653" s="227" t="str">
        <f>MID(excPisCofins[[#This Row],[CodBarras2]],2,50)</f>
        <v/>
      </c>
    </row>
    <row r="6654" spans="9:9" x14ac:dyDescent="0.25">
      <c r="I6654" s="227" t="str">
        <f>MID(excPisCofins[[#This Row],[CodBarras2]],2,50)</f>
        <v/>
      </c>
    </row>
    <row r="6655" spans="9:9" x14ac:dyDescent="0.25">
      <c r="I6655" s="227" t="str">
        <f>MID(excPisCofins[[#This Row],[CodBarras2]],2,50)</f>
        <v/>
      </c>
    </row>
    <row r="6656" spans="9:9" x14ac:dyDescent="0.25">
      <c r="I6656" s="227" t="str">
        <f>MID(excPisCofins[[#This Row],[CodBarras2]],2,50)</f>
        <v/>
      </c>
    </row>
    <row r="6657" spans="9:9" x14ac:dyDescent="0.25">
      <c r="I6657" s="227" t="str">
        <f>MID(excPisCofins[[#This Row],[CodBarras2]],2,50)</f>
        <v/>
      </c>
    </row>
    <row r="6658" spans="9:9" x14ac:dyDescent="0.25">
      <c r="I6658" s="227" t="str">
        <f>MID(excPisCofins[[#This Row],[CodBarras2]],2,50)</f>
        <v/>
      </c>
    </row>
    <row r="6659" spans="9:9" x14ac:dyDescent="0.25">
      <c r="I6659" s="227" t="str">
        <f>MID(excPisCofins[[#This Row],[CodBarras2]],2,50)</f>
        <v/>
      </c>
    </row>
    <row r="6660" spans="9:9" x14ac:dyDescent="0.25">
      <c r="I6660" s="227" t="str">
        <f>MID(excPisCofins[[#This Row],[CodBarras2]],2,50)</f>
        <v/>
      </c>
    </row>
    <row r="6661" spans="9:9" x14ac:dyDescent="0.25">
      <c r="I6661" s="227" t="str">
        <f>MID(excPisCofins[[#This Row],[CodBarras2]],2,50)</f>
        <v/>
      </c>
    </row>
    <row r="6662" spans="9:9" x14ac:dyDescent="0.25">
      <c r="I6662" s="227" t="str">
        <f>MID(excPisCofins[[#This Row],[CodBarras2]],2,50)</f>
        <v/>
      </c>
    </row>
    <row r="6663" spans="9:9" x14ac:dyDescent="0.25">
      <c r="I6663" s="227" t="str">
        <f>MID(excPisCofins[[#This Row],[CodBarras2]],2,50)</f>
        <v/>
      </c>
    </row>
    <row r="6664" spans="9:9" x14ac:dyDescent="0.25">
      <c r="I6664" s="227" t="str">
        <f>MID(excPisCofins[[#This Row],[CodBarras2]],2,50)</f>
        <v/>
      </c>
    </row>
    <row r="6665" spans="9:9" x14ac:dyDescent="0.25">
      <c r="I6665" s="227" t="str">
        <f>MID(excPisCofins[[#This Row],[CodBarras2]],2,50)</f>
        <v/>
      </c>
    </row>
    <row r="6666" spans="9:9" x14ac:dyDescent="0.25">
      <c r="I6666" s="227" t="str">
        <f>MID(excPisCofins[[#This Row],[CodBarras2]],2,50)</f>
        <v/>
      </c>
    </row>
    <row r="6667" spans="9:9" x14ac:dyDescent="0.25">
      <c r="I6667" s="227" t="str">
        <f>MID(excPisCofins[[#This Row],[CodBarras2]],2,50)</f>
        <v/>
      </c>
    </row>
    <row r="6668" spans="9:9" x14ac:dyDescent="0.25">
      <c r="I6668" s="227" t="str">
        <f>MID(excPisCofins[[#This Row],[CodBarras2]],2,50)</f>
        <v/>
      </c>
    </row>
    <row r="6669" spans="9:9" x14ac:dyDescent="0.25">
      <c r="I6669" s="227" t="str">
        <f>MID(excPisCofins[[#This Row],[CodBarras2]],2,50)</f>
        <v/>
      </c>
    </row>
    <row r="6670" spans="9:9" x14ac:dyDescent="0.25">
      <c r="I6670" s="227" t="str">
        <f>MID(excPisCofins[[#This Row],[CodBarras2]],2,50)</f>
        <v/>
      </c>
    </row>
    <row r="6671" spans="9:9" x14ac:dyDescent="0.25">
      <c r="I6671" s="227" t="str">
        <f>MID(excPisCofins[[#This Row],[CodBarras2]],2,50)</f>
        <v/>
      </c>
    </row>
    <row r="6672" spans="9:9" x14ac:dyDescent="0.25">
      <c r="I6672" s="227" t="str">
        <f>MID(excPisCofins[[#This Row],[CodBarras2]],2,50)</f>
        <v/>
      </c>
    </row>
    <row r="6673" spans="9:9" x14ac:dyDescent="0.25">
      <c r="I6673" s="227" t="str">
        <f>MID(excPisCofins[[#This Row],[CodBarras2]],2,50)</f>
        <v/>
      </c>
    </row>
    <row r="6674" spans="9:9" x14ac:dyDescent="0.25">
      <c r="I6674" s="227" t="str">
        <f>MID(excPisCofins[[#This Row],[CodBarras2]],2,50)</f>
        <v/>
      </c>
    </row>
    <row r="6675" spans="9:9" x14ac:dyDescent="0.25">
      <c r="I6675" s="227" t="str">
        <f>MID(excPisCofins[[#This Row],[CodBarras2]],2,50)</f>
        <v/>
      </c>
    </row>
    <row r="6676" spans="9:9" x14ac:dyDescent="0.25">
      <c r="I6676" s="227" t="str">
        <f>MID(excPisCofins[[#This Row],[CodBarras2]],2,50)</f>
        <v/>
      </c>
    </row>
    <row r="6677" spans="9:9" x14ac:dyDescent="0.25">
      <c r="I6677" s="227" t="str">
        <f>MID(excPisCofins[[#This Row],[CodBarras2]],2,50)</f>
        <v/>
      </c>
    </row>
    <row r="6678" spans="9:9" x14ac:dyDescent="0.25">
      <c r="I6678" s="227" t="str">
        <f>MID(excPisCofins[[#This Row],[CodBarras2]],2,50)</f>
        <v/>
      </c>
    </row>
    <row r="6679" spans="9:9" x14ac:dyDescent="0.25">
      <c r="I6679" s="227" t="str">
        <f>MID(excPisCofins[[#This Row],[CodBarras2]],2,50)</f>
        <v/>
      </c>
    </row>
    <row r="6680" spans="9:9" x14ac:dyDescent="0.25">
      <c r="I6680" s="227" t="str">
        <f>MID(excPisCofins[[#This Row],[CodBarras2]],2,50)</f>
        <v/>
      </c>
    </row>
    <row r="6681" spans="9:9" x14ac:dyDescent="0.25">
      <c r="I6681" s="227" t="str">
        <f>MID(excPisCofins[[#This Row],[CodBarras2]],2,50)</f>
        <v/>
      </c>
    </row>
    <row r="6682" spans="9:9" x14ac:dyDescent="0.25">
      <c r="I6682" s="227" t="str">
        <f>MID(excPisCofins[[#This Row],[CodBarras2]],2,50)</f>
        <v/>
      </c>
    </row>
    <row r="6683" spans="9:9" x14ac:dyDescent="0.25">
      <c r="I6683" s="227" t="str">
        <f>MID(excPisCofins[[#This Row],[CodBarras2]],2,50)</f>
        <v/>
      </c>
    </row>
    <row r="6684" spans="9:9" x14ac:dyDescent="0.25">
      <c r="I6684" s="227" t="str">
        <f>MID(excPisCofins[[#This Row],[CodBarras2]],2,50)</f>
        <v/>
      </c>
    </row>
    <row r="6685" spans="9:9" x14ac:dyDescent="0.25">
      <c r="I6685" s="227" t="str">
        <f>MID(excPisCofins[[#This Row],[CodBarras2]],2,50)</f>
        <v/>
      </c>
    </row>
    <row r="6686" spans="9:9" x14ac:dyDescent="0.25">
      <c r="I6686" s="227" t="str">
        <f>MID(excPisCofins[[#This Row],[CodBarras2]],2,50)</f>
        <v/>
      </c>
    </row>
    <row r="6687" spans="9:9" x14ac:dyDescent="0.25">
      <c r="I6687" s="227" t="str">
        <f>MID(excPisCofins[[#This Row],[CodBarras2]],2,50)</f>
        <v/>
      </c>
    </row>
    <row r="6688" spans="9:9" x14ac:dyDescent="0.25">
      <c r="I6688" s="227" t="str">
        <f>MID(excPisCofins[[#This Row],[CodBarras2]],2,50)</f>
        <v/>
      </c>
    </row>
    <row r="6689" spans="9:9" x14ac:dyDescent="0.25">
      <c r="I6689" s="227" t="str">
        <f>MID(excPisCofins[[#This Row],[CodBarras2]],2,50)</f>
        <v/>
      </c>
    </row>
    <row r="6690" spans="9:9" x14ac:dyDescent="0.25">
      <c r="I6690" s="227" t="str">
        <f>MID(excPisCofins[[#This Row],[CodBarras2]],2,50)</f>
        <v/>
      </c>
    </row>
    <row r="6691" spans="9:9" x14ac:dyDescent="0.25">
      <c r="I6691" s="227" t="str">
        <f>MID(excPisCofins[[#This Row],[CodBarras2]],2,50)</f>
        <v/>
      </c>
    </row>
    <row r="6692" spans="9:9" x14ac:dyDescent="0.25">
      <c r="I6692" s="227" t="str">
        <f>MID(excPisCofins[[#This Row],[CodBarras2]],2,50)</f>
        <v/>
      </c>
    </row>
    <row r="6693" spans="9:9" x14ac:dyDescent="0.25">
      <c r="I6693" s="227" t="str">
        <f>MID(excPisCofins[[#This Row],[CodBarras2]],2,50)</f>
        <v/>
      </c>
    </row>
    <row r="6694" spans="9:9" x14ac:dyDescent="0.25">
      <c r="I6694" s="227" t="str">
        <f>MID(excPisCofins[[#This Row],[CodBarras2]],2,50)</f>
        <v/>
      </c>
    </row>
    <row r="6695" spans="9:9" x14ac:dyDescent="0.25">
      <c r="I6695" s="227" t="str">
        <f>MID(excPisCofins[[#This Row],[CodBarras2]],2,50)</f>
        <v/>
      </c>
    </row>
    <row r="6696" spans="9:9" x14ac:dyDescent="0.25">
      <c r="I6696" s="227" t="str">
        <f>MID(excPisCofins[[#This Row],[CodBarras2]],2,50)</f>
        <v/>
      </c>
    </row>
    <row r="6697" spans="9:9" x14ac:dyDescent="0.25">
      <c r="I6697" s="227" t="str">
        <f>MID(excPisCofins[[#This Row],[CodBarras2]],2,50)</f>
        <v/>
      </c>
    </row>
    <row r="6698" spans="9:9" x14ac:dyDescent="0.25">
      <c r="I6698" s="227" t="str">
        <f>MID(excPisCofins[[#This Row],[CodBarras2]],2,50)</f>
        <v/>
      </c>
    </row>
    <row r="6699" spans="9:9" x14ac:dyDescent="0.25">
      <c r="I6699" s="227" t="str">
        <f>MID(excPisCofins[[#This Row],[CodBarras2]],2,50)</f>
        <v/>
      </c>
    </row>
    <row r="6700" spans="9:9" x14ac:dyDescent="0.25">
      <c r="I6700" s="227" t="str">
        <f>MID(excPisCofins[[#This Row],[CodBarras2]],2,50)</f>
        <v/>
      </c>
    </row>
    <row r="6701" spans="9:9" x14ac:dyDescent="0.25">
      <c r="I6701" s="227" t="str">
        <f>MID(excPisCofins[[#This Row],[CodBarras2]],2,50)</f>
        <v/>
      </c>
    </row>
    <row r="6702" spans="9:9" x14ac:dyDescent="0.25">
      <c r="I6702" s="227" t="str">
        <f>MID(excPisCofins[[#This Row],[CodBarras2]],2,50)</f>
        <v/>
      </c>
    </row>
    <row r="6703" spans="9:9" x14ac:dyDescent="0.25">
      <c r="I6703" s="227" t="str">
        <f>MID(excPisCofins[[#This Row],[CodBarras2]],2,50)</f>
        <v/>
      </c>
    </row>
    <row r="6704" spans="9:9" x14ac:dyDescent="0.25">
      <c r="I6704" s="227" t="str">
        <f>MID(excPisCofins[[#This Row],[CodBarras2]],2,50)</f>
        <v/>
      </c>
    </row>
    <row r="6705" spans="9:9" x14ac:dyDescent="0.25">
      <c r="I6705" s="227" t="str">
        <f>MID(excPisCofins[[#This Row],[CodBarras2]],2,50)</f>
        <v/>
      </c>
    </row>
    <row r="6706" spans="9:9" x14ac:dyDescent="0.25">
      <c r="I6706" s="227" t="str">
        <f>MID(excPisCofins[[#This Row],[CodBarras2]],2,50)</f>
        <v/>
      </c>
    </row>
    <row r="6707" spans="9:9" x14ac:dyDescent="0.25">
      <c r="I6707" s="227" t="str">
        <f>MID(excPisCofins[[#This Row],[CodBarras2]],2,50)</f>
        <v/>
      </c>
    </row>
    <row r="6708" spans="9:9" x14ac:dyDescent="0.25">
      <c r="I6708" s="227" t="str">
        <f>MID(excPisCofins[[#This Row],[CodBarras2]],2,50)</f>
        <v/>
      </c>
    </row>
    <row r="6709" spans="9:9" x14ac:dyDescent="0.25">
      <c r="I6709" s="227" t="str">
        <f>MID(excPisCofins[[#This Row],[CodBarras2]],2,50)</f>
        <v/>
      </c>
    </row>
    <row r="6710" spans="9:9" x14ac:dyDescent="0.25">
      <c r="I6710" s="227" t="str">
        <f>MID(excPisCofins[[#This Row],[CodBarras2]],2,50)</f>
        <v/>
      </c>
    </row>
    <row r="6711" spans="9:9" x14ac:dyDescent="0.25">
      <c r="I6711" s="227" t="str">
        <f>MID(excPisCofins[[#This Row],[CodBarras2]],2,50)</f>
        <v/>
      </c>
    </row>
    <row r="6712" spans="9:9" x14ac:dyDescent="0.25">
      <c r="I6712" s="227" t="str">
        <f>MID(excPisCofins[[#This Row],[CodBarras2]],2,50)</f>
        <v/>
      </c>
    </row>
    <row r="6713" spans="9:9" x14ac:dyDescent="0.25">
      <c r="I6713" s="227" t="str">
        <f>MID(excPisCofins[[#This Row],[CodBarras2]],2,50)</f>
        <v/>
      </c>
    </row>
    <row r="6714" spans="9:9" x14ac:dyDescent="0.25">
      <c r="I6714" s="227" t="str">
        <f>MID(excPisCofins[[#This Row],[CodBarras2]],2,50)</f>
        <v/>
      </c>
    </row>
    <row r="6715" spans="9:9" x14ac:dyDescent="0.25">
      <c r="I6715" s="227" t="str">
        <f>MID(excPisCofins[[#This Row],[CodBarras2]],2,50)</f>
        <v/>
      </c>
    </row>
    <row r="6716" spans="9:9" x14ac:dyDescent="0.25">
      <c r="I6716" s="227" t="str">
        <f>MID(excPisCofins[[#This Row],[CodBarras2]],2,50)</f>
        <v/>
      </c>
    </row>
    <row r="6717" spans="9:9" x14ac:dyDescent="0.25">
      <c r="I6717" s="227" t="str">
        <f>MID(excPisCofins[[#This Row],[CodBarras2]],2,50)</f>
        <v/>
      </c>
    </row>
    <row r="6718" spans="9:9" x14ac:dyDescent="0.25">
      <c r="I6718" s="227" t="str">
        <f>MID(excPisCofins[[#This Row],[CodBarras2]],2,50)</f>
        <v/>
      </c>
    </row>
    <row r="6719" spans="9:9" x14ac:dyDescent="0.25">
      <c r="I6719" s="227" t="str">
        <f>MID(excPisCofins[[#This Row],[CodBarras2]],2,50)</f>
        <v/>
      </c>
    </row>
    <row r="6720" spans="9:9" x14ac:dyDescent="0.25">
      <c r="I6720" s="227" t="str">
        <f>MID(excPisCofins[[#This Row],[CodBarras2]],2,50)</f>
        <v/>
      </c>
    </row>
    <row r="6721" spans="9:9" x14ac:dyDescent="0.25">
      <c r="I6721" s="227" t="str">
        <f>MID(excPisCofins[[#This Row],[CodBarras2]],2,50)</f>
        <v/>
      </c>
    </row>
    <row r="6722" spans="9:9" x14ac:dyDescent="0.25">
      <c r="I6722" s="227" t="str">
        <f>MID(excPisCofins[[#This Row],[CodBarras2]],2,50)</f>
        <v/>
      </c>
    </row>
    <row r="6723" spans="9:9" x14ac:dyDescent="0.25">
      <c r="I6723" s="227" t="str">
        <f>MID(excPisCofins[[#This Row],[CodBarras2]],2,50)</f>
        <v/>
      </c>
    </row>
    <row r="6724" spans="9:9" x14ac:dyDescent="0.25">
      <c r="I6724" s="227" t="str">
        <f>MID(excPisCofins[[#This Row],[CodBarras2]],2,50)</f>
        <v/>
      </c>
    </row>
    <row r="6725" spans="9:9" x14ac:dyDescent="0.25">
      <c r="I6725" s="227" t="str">
        <f>MID(excPisCofins[[#This Row],[CodBarras2]],2,50)</f>
        <v/>
      </c>
    </row>
    <row r="6726" spans="9:9" x14ac:dyDescent="0.25">
      <c r="I6726" s="227" t="str">
        <f>MID(excPisCofins[[#This Row],[CodBarras2]],2,50)</f>
        <v/>
      </c>
    </row>
    <row r="6727" spans="9:9" x14ac:dyDescent="0.25">
      <c r="I6727" s="227" t="str">
        <f>MID(excPisCofins[[#This Row],[CodBarras2]],2,50)</f>
        <v/>
      </c>
    </row>
    <row r="6728" spans="9:9" x14ac:dyDescent="0.25">
      <c r="I6728" s="227" t="str">
        <f>MID(excPisCofins[[#This Row],[CodBarras2]],2,50)</f>
        <v/>
      </c>
    </row>
    <row r="6729" spans="9:9" x14ac:dyDescent="0.25">
      <c r="I6729" s="227" t="str">
        <f>MID(excPisCofins[[#This Row],[CodBarras2]],2,50)</f>
        <v/>
      </c>
    </row>
    <row r="6730" spans="9:9" x14ac:dyDescent="0.25">
      <c r="I6730" s="227" t="str">
        <f>MID(excPisCofins[[#This Row],[CodBarras2]],2,50)</f>
        <v/>
      </c>
    </row>
    <row r="6731" spans="9:9" x14ac:dyDescent="0.25">
      <c r="I6731" s="227" t="str">
        <f>MID(excPisCofins[[#This Row],[CodBarras2]],2,50)</f>
        <v/>
      </c>
    </row>
    <row r="6732" spans="9:9" x14ac:dyDescent="0.25">
      <c r="I6732" s="227" t="str">
        <f>MID(excPisCofins[[#This Row],[CodBarras2]],2,50)</f>
        <v/>
      </c>
    </row>
    <row r="6733" spans="9:9" x14ac:dyDescent="0.25">
      <c r="I6733" s="227" t="str">
        <f>MID(excPisCofins[[#This Row],[CodBarras2]],2,50)</f>
        <v/>
      </c>
    </row>
    <row r="6734" spans="9:9" x14ac:dyDescent="0.25">
      <c r="I6734" s="227" t="str">
        <f>MID(excPisCofins[[#This Row],[CodBarras2]],2,50)</f>
        <v/>
      </c>
    </row>
    <row r="6735" spans="9:9" x14ac:dyDescent="0.25">
      <c r="I6735" s="227" t="str">
        <f>MID(excPisCofins[[#This Row],[CodBarras2]],2,50)</f>
        <v/>
      </c>
    </row>
    <row r="6736" spans="9:9" x14ac:dyDescent="0.25">
      <c r="I6736" s="227" t="str">
        <f>MID(excPisCofins[[#This Row],[CodBarras2]],2,50)</f>
        <v/>
      </c>
    </row>
    <row r="6737" spans="9:9" x14ac:dyDescent="0.25">
      <c r="I6737" s="227" t="str">
        <f>MID(excPisCofins[[#This Row],[CodBarras2]],2,50)</f>
        <v/>
      </c>
    </row>
    <row r="6738" spans="9:9" x14ac:dyDescent="0.25">
      <c r="I6738" s="227" t="str">
        <f>MID(excPisCofins[[#This Row],[CodBarras2]],2,50)</f>
        <v/>
      </c>
    </row>
    <row r="6739" spans="9:9" x14ac:dyDescent="0.25">
      <c r="I6739" s="227" t="str">
        <f>MID(excPisCofins[[#This Row],[CodBarras2]],2,50)</f>
        <v/>
      </c>
    </row>
    <row r="6740" spans="9:9" x14ac:dyDescent="0.25">
      <c r="I6740" s="227" t="str">
        <f>MID(excPisCofins[[#This Row],[CodBarras2]],2,50)</f>
        <v/>
      </c>
    </row>
    <row r="6741" spans="9:9" x14ac:dyDescent="0.25">
      <c r="I6741" s="227" t="str">
        <f>MID(excPisCofins[[#This Row],[CodBarras2]],2,50)</f>
        <v/>
      </c>
    </row>
    <row r="6742" spans="9:9" x14ac:dyDescent="0.25">
      <c r="I6742" s="227" t="str">
        <f>MID(excPisCofins[[#This Row],[CodBarras2]],2,50)</f>
        <v/>
      </c>
    </row>
    <row r="6743" spans="9:9" x14ac:dyDescent="0.25">
      <c r="I6743" s="227" t="str">
        <f>MID(excPisCofins[[#This Row],[CodBarras2]],2,50)</f>
        <v/>
      </c>
    </row>
    <row r="6744" spans="9:9" x14ac:dyDescent="0.25">
      <c r="I6744" s="227" t="str">
        <f>MID(excPisCofins[[#This Row],[CodBarras2]],2,50)</f>
        <v/>
      </c>
    </row>
    <row r="6745" spans="9:9" x14ac:dyDescent="0.25">
      <c r="I6745" s="227" t="str">
        <f>MID(excPisCofins[[#This Row],[CodBarras2]],2,50)</f>
        <v/>
      </c>
    </row>
    <row r="6746" spans="9:9" x14ac:dyDescent="0.25">
      <c r="I6746" s="227" t="str">
        <f>MID(excPisCofins[[#This Row],[CodBarras2]],2,50)</f>
        <v/>
      </c>
    </row>
    <row r="6747" spans="9:9" x14ac:dyDescent="0.25">
      <c r="I6747" s="227" t="str">
        <f>MID(excPisCofins[[#This Row],[CodBarras2]],2,50)</f>
        <v/>
      </c>
    </row>
    <row r="6748" spans="9:9" x14ac:dyDescent="0.25">
      <c r="I6748" s="227" t="str">
        <f>MID(excPisCofins[[#This Row],[CodBarras2]],2,50)</f>
        <v/>
      </c>
    </row>
    <row r="6749" spans="9:9" x14ac:dyDescent="0.25">
      <c r="I6749" s="227" t="str">
        <f>MID(excPisCofins[[#This Row],[CodBarras2]],2,50)</f>
        <v/>
      </c>
    </row>
    <row r="6750" spans="9:9" x14ac:dyDescent="0.25">
      <c r="I6750" s="227" t="str">
        <f>MID(excPisCofins[[#This Row],[CodBarras2]],2,50)</f>
        <v/>
      </c>
    </row>
    <row r="6751" spans="9:9" x14ac:dyDescent="0.25">
      <c r="I6751" s="227" t="str">
        <f>MID(excPisCofins[[#This Row],[CodBarras2]],2,50)</f>
        <v/>
      </c>
    </row>
    <row r="6752" spans="9:9" x14ac:dyDescent="0.25">
      <c r="I6752" s="227" t="str">
        <f>MID(excPisCofins[[#This Row],[CodBarras2]],2,50)</f>
        <v/>
      </c>
    </row>
    <row r="6753" spans="9:9" x14ac:dyDescent="0.25">
      <c r="I6753" s="227" t="str">
        <f>MID(excPisCofins[[#This Row],[CodBarras2]],2,50)</f>
        <v/>
      </c>
    </row>
    <row r="6754" spans="9:9" x14ac:dyDescent="0.25">
      <c r="I6754" s="227" t="str">
        <f>MID(excPisCofins[[#This Row],[CodBarras2]],2,50)</f>
        <v/>
      </c>
    </row>
    <row r="6755" spans="9:9" x14ac:dyDescent="0.25">
      <c r="I6755" s="227" t="str">
        <f>MID(excPisCofins[[#This Row],[CodBarras2]],2,50)</f>
        <v/>
      </c>
    </row>
    <row r="6756" spans="9:9" x14ac:dyDescent="0.25">
      <c r="I6756" s="227" t="str">
        <f>MID(excPisCofins[[#This Row],[CodBarras2]],2,50)</f>
        <v/>
      </c>
    </row>
    <row r="6757" spans="9:9" x14ac:dyDescent="0.25">
      <c r="I6757" s="227" t="str">
        <f>MID(excPisCofins[[#This Row],[CodBarras2]],2,50)</f>
        <v/>
      </c>
    </row>
    <row r="6758" spans="9:9" x14ac:dyDescent="0.25">
      <c r="I6758" s="227" t="str">
        <f>MID(excPisCofins[[#This Row],[CodBarras2]],2,50)</f>
        <v/>
      </c>
    </row>
    <row r="6759" spans="9:9" x14ac:dyDescent="0.25">
      <c r="I6759" s="227" t="str">
        <f>MID(excPisCofins[[#This Row],[CodBarras2]],2,50)</f>
        <v/>
      </c>
    </row>
    <row r="6760" spans="9:9" x14ac:dyDescent="0.25">
      <c r="I6760" s="227" t="str">
        <f>MID(excPisCofins[[#This Row],[CodBarras2]],2,50)</f>
        <v/>
      </c>
    </row>
    <row r="6761" spans="9:9" x14ac:dyDescent="0.25">
      <c r="I6761" s="227" t="str">
        <f>MID(excPisCofins[[#This Row],[CodBarras2]],2,50)</f>
        <v/>
      </c>
    </row>
    <row r="6762" spans="9:9" x14ac:dyDescent="0.25">
      <c r="I6762" s="227" t="str">
        <f>MID(excPisCofins[[#This Row],[CodBarras2]],2,50)</f>
        <v/>
      </c>
    </row>
    <row r="6763" spans="9:9" x14ac:dyDescent="0.25">
      <c r="I6763" s="227" t="str">
        <f>MID(excPisCofins[[#This Row],[CodBarras2]],2,50)</f>
        <v/>
      </c>
    </row>
    <row r="6764" spans="9:9" x14ac:dyDescent="0.25">
      <c r="I6764" s="227" t="str">
        <f>MID(excPisCofins[[#This Row],[CodBarras2]],2,50)</f>
        <v/>
      </c>
    </row>
    <row r="6765" spans="9:9" x14ac:dyDescent="0.25">
      <c r="I6765" s="227" t="str">
        <f>MID(excPisCofins[[#This Row],[CodBarras2]],2,50)</f>
        <v/>
      </c>
    </row>
    <row r="6766" spans="9:9" x14ac:dyDescent="0.25">
      <c r="I6766" s="227" t="str">
        <f>MID(excPisCofins[[#This Row],[CodBarras2]],2,50)</f>
        <v/>
      </c>
    </row>
    <row r="6767" spans="9:9" x14ac:dyDescent="0.25">
      <c r="I6767" s="227" t="str">
        <f>MID(excPisCofins[[#This Row],[CodBarras2]],2,50)</f>
        <v/>
      </c>
    </row>
    <row r="6768" spans="9:9" x14ac:dyDescent="0.25">
      <c r="I6768" s="227" t="str">
        <f>MID(excPisCofins[[#This Row],[CodBarras2]],2,50)</f>
        <v/>
      </c>
    </row>
    <row r="6769" spans="9:9" x14ac:dyDescent="0.25">
      <c r="I6769" s="227" t="str">
        <f>MID(excPisCofins[[#This Row],[CodBarras2]],2,50)</f>
        <v/>
      </c>
    </row>
    <row r="6770" spans="9:9" x14ac:dyDescent="0.25">
      <c r="I6770" s="227" t="str">
        <f>MID(excPisCofins[[#This Row],[CodBarras2]],2,50)</f>
        <v/>
      </c>
    </row>
    <row r="6771" spans="9:9" x14ac:dyDescent="0.25">
      <c r="I6771" s="227" t="str">
        <f>MID(excPisCofins[[#This Row],[CodBarras2]],2,50)</f>
        <v/>
      </c>
    </row>
    <row r="6772" spans="9:9" x14ac:dyDescent="0.25">
      <c r="I6772" s="227" t="str">
        <f>MID(excPisCofins[[#This Row],[CodBarras2]],2,50)</f>
        <v/>
      </c>
    </row>
    <row r="6773" spans="9:9" x14ac:dyDescent="0.25">
      <c r="I6773" s="227" t="str">
        <f>MID(excPisCofins[[#This Row],[CodBarras2]],2,50)</f>
        <v/>
      </c>
    </row>
    <row r="6774" spans="9:9" x14ac:dyDescent="0.25">
      <c r="I6774" s="227" t="str">
        <f>MID(excPisCofins[[#This Row],[CodBarras2]],2,50)</f>
        <v/>
      </c>
    </row>
    <row r="6775" spans="9:9" x14ac:dyDescent="0.25">
      <c r="I6775" s="227" t="str">
        <f>MID(excPisCofins[[#This Row],[CodBarras2]],2,50)</f>
        <v/>
      </c>
    </row>
    <row r="6776" spans="9:9" x14ac:dyDescent="0.25">
      <c r="I6776" s="227" t="str">
        <f>MID(excPisCofins[[#This Row],[CodBarras2]],2,50)</f>
        <v/>
      </c>
    </row>
    <row r="6777" spans="9:9" x14ac:dyDescent="0.25">
      <c r="I6777" s="227" t="str">
        <f>MID(excPisCofins[[#This Row],[CodBarras2]],2,50)</f>
        <v/>
      </c>
    </row>
    <row r="6778" spans="9:9" x14ac:dyDescent="0.25">
      <c r="I6778" s="227" t="str">
        <f>MID(excPisCofins[[#This Row],[CodBarras2]],2,50)</f>
        <v/>
      </c>
    </row>
    <row r="6779" spans="9:9" x14ac:dyDescent="0.25">
      <c r="I6779" s="227" t="str">
        <f>MID(excPisCofins[[#This Row],[CodBarras2]],2,50)</f>
        <v/>
      </c>
    </row>
    <row r="6780" spans="9:9" x14ac:dyDescent="0.25">
      <c r="I6780" s="227" t="str">
        <f>MID(excPisCofins[[#This Row],[CodBarras2]],2,50)</f>
        <v/>
      </c>
    </row>
    <row r="6781" spans="9:9" x14ac:dyDescent="0.25">
      <c r="I6781" s="227" t="str">
        <f>MID(excPisCofins[[#This Row],[CodBarras2]],2,50)</f>
        <v/>
      </c>
    </row>
    <row r="6782" spans="9:9" x14ac:dyDescent="0.25">
      <c r="I6782" s="227" t="str">
        <f>MID(excPisCofins[[#This Row],[CodBarras2]],2,50)</f>
        <v/>
      </c>
    </row>
    <row r="6783" spans="9:9" x14ac:dyDescent="0.25">
      <c r="I6783" s="227" t="str">
        <f>MID(excPisCofins[[#This Row],[CodBarras2]],2,50)</f>
        <v/>
      </c>
    </row>
    <row r="6784" spans="9:9" x14ac:dyDescent="0.25">
      <c r="I6784" s="227" t="str">
        <f>MID(excPisCofins[[#This Row],[CodBarras2]],2,50)</f>
        <v/>
      </c>
    </row>
    <row r="6785" spans="9:9" x14ac:dyDescent="0.25">
      <c r="I6785" s="227" t="str">
        <f>MID(excPisCofins[[#This Row],[CodBarras2]],2,50)</f>
        <v/>
      </c>
    </row>
    <row r="6786" spans="9:9" x14ac:dyDescent="0.25">
      <c r="I6786" s="227" t="str">
        <f>MID(excPisCofins[[#This Row],[CodBarras2]],2,50)</f>
        <v/>
      </c>
    </row>
    <row r="6787" spans="9:9" x14ac:dyDescent="0.25">
      <c r="I6787" s="227" t="str">
        <f>MID(excPisCofins[[#This Row],[CodBarras2]],2,50)</f>
        <v/>
      </c>
    </row>
    <row r="6788" spans="9:9" x14ac:dyDescent="0.25">
      <c r="I6788" s="227" t="str">
        <f>MID(excPisCofins[[#This Row],[CodBarras2]],2,50)</f>
        <v/>
      </c>
    </row>
    <row r="6789" spans="9:9" x14ac:dyDescent="0.25">
      <c r="I6789" s="227" t="str">
        <f>MID(excPisCofins[[#This Row],[CodBarras2]],2,50)</f>
        <v/>
      </c>
    </row>
    <row r="6790" spans="9:9" x14ac:dyDescent="0.25">
      <c r="I6790" s="227" t="str">
        <f>MID(excPisCofins[[#This Row],[CodBarras2]],2,50)</f>
        <v/>
      </c>
    </row>
    <row r="6791" spans="9:9" x14ac:dyDescent="0.25">
      <c r="I6791" s="227" t="str">
        <f>MID(excPisCofins[[#This Row],[CodBarras2]],2,50)</f>
        <v/>
      </c>
    </row>
    <row r="6792" spans="9:9" x14ac:dyDescent="0.25">
      <c r="I6792" s="227" t="str">
        <f>MID(excPisCofins[[#This Row],[CodBarras2]],2,50)</f>
        <v/>
      </c>
    </row>
    <row r="6793" spans="9:9" x14ac:dyDescent="0.25">
      <c r="I6793" s="227" t="str">
        <f>MID(excPisCofins[[#This Row],[CodBarras2]],2,50)</f>
        <v/>
      </c>
    </row>
    <row r="6794" spans="9:9" x14ac:dyDescent="0.25">
      <c r="I6794" s="227" t="str">
        <f>MID(excPisCofins[[#This Row],[CodBarras2]],2,50)</f>
        <v/>
      </c>
    </row>
    <row r="6795" spans="9:9" x14ac:dyDescent="0.25">
      <c r="I6795" s="227" t="str">
        <f>MID(excPisCofins[[#This Row],[CodBarras2]],2,50)</f>
        <v/>
      </c>
    </row>
    <row r="6796" spans="9:9" x14ac:dyDescent="0.25">
      <c r="I6796" s="227" t="str">
        <f>MID(excPisCofins[[#This Row],[CodBarras2]],2,50)</f>
        <v/>
      </c>
    </row>
    <row r="6797" spans="9:9" x14ac:dyDescent="0.25">
      <c r="I6797" s="227" t="str">
        <f>MID(excPisCofins[[#This Row],[CodBarras2]],2,50)</f>
        <v/>
      </c>
    </row>
    <row r="6798" spans="9:9" x14ac:dyDescent="0.25">
      <c r="I6798" s="227" t="str">
        <f>MID(excPisCofins[[#This Row],[CodBarras2]],2,50)</f>
        <v/>
      </c>
    </row>
    <row r="6799" spans="9:9" x14ac:dyDescent="0.25">
      <c r="I6799" s="227" t="str">
        <f>MID(excPisCofins[[#This Row],[CodBarras2]],2,50)</f>
        <v/>
      </c>
    </row>
    <row r="6800" spans="9:9" x14ac:dyDescent="0.25">
      <c r="I6800" s="227" t="str">
        <f>MID(excPisCofins[[#This Row],[CodBarras2]],2,50)</f>
        <v/>
      </c>
    </row>
    <row r="6801" spans="9:9" x14ac:dyDescent="0.25">
      <c r="I6801" s="227" t="str">
        <f>MID(excPisCofins[[#This Row],[CodBarras2]],2,50)</f>
        <v/>
      </c>
    </row>
    <row r="6802" spans="9:9" x14ac:dyDescent="0.25">
      <c r="I6802" s="227" t="str">
        <f>MID(excPisCofins[[#This Row],[CodBarras2]],2,50)</f>
        <v/>
      </c>
    </row>
    <row r="6803" spans="9:9" x14ac:dyDescent="0.25">
      <c r="I6803" s="227" t="str">
        <f>MID(excPisCofins[[#This Row],[CodBarras2]],2,50)</f>
        <v/>
      </c>
    </row>
    <row r="6804" spans="9:9" x14ac:dyDescent="0.25">
      <c r="I6804" s="227" t="str">
        <f>MID(excPisCofins[[#This Row],[CodBarras2]],2,50)</f>
        <v/>
      </c>
    </row>
    <row r="6805" spans="9:9" x14ac:dyDescent="0.25">
      <c r="I6805" s="227" t="str">
        <f>MID(excPisCofins[[#This Row],[CodBarras2]],2,50)</f>
        <v/>
      </c>
    </row>
    <row r="6806" spans="9:9" x14ac:dyDescent="0.25">
      <c r="I6806" s="227" t="str">
        <f>MID(excPisCofins[[#This Row],[CodBarras2]],2,50)</f>
        <v/>
      </c>
    </row>
    <row r="6807" spans="9:9" x14ac:dyDescent="0.25">
      <c r="I6807" s="227" t="str">
        <f>MID(excPisCofins[[#This Row],[CodBarras2]],2,50)</f>
        <v/>
      </c>
    </row>
    <row r="6808" spans="9:9" x14ac:dyDescent="0.25">
      <c r="I6808" s="227" t="str">
        <f>MID(excPisCofins[[#This Row],[CodBarras2]],2,50)</f>
        <v/>
      </c>
    </row>
    <row r="6809" spans="9:9" x14ac:dyDescent="0.25">
      <c r="I6809" s="227" t="str">
        <f>MID(excPisCofins[[#This Row],[CodBarras2]],2,50)</f>
        <v/>
      </c>
    </row>
    <row r="6810" spans="9:9" x14ac:dyDescent="0.25">
      <c r="I6810" s="227" t="str">
        <f>MID(excPisCofins[[#This Row],[CodBarras2]],2,50)</f>
        <v/>
      </c>
    </row>
    <row r="6811" spans="9:9" x14ac:dyDescent="0.25">
      <c r="I6811" s="227" t="str">
        <f>MID(excPisCofins[[#This Row],[CodBarras2]],2,50)</f>
        <v/>
      </c>
    </row>
    <row r="6812" spans="9:9" x14ac:dyDescent="0.25">
      <c r="I6812" s="227" t="str">
        <f>MID(excPisCofins[[#This Row],[CodBarras2]],2,50)</f>
        <v/>
      </c>
    </row>
    <row r="6813" spans="9:9" x14ac:dyDescent="0.25">
      <c r="I6813" s="227" t="str">
        <f>MID(excPisCofins[[#This Row],[CodBarras2]],2,50)</f>
        <v/>
      </c>
    </row>
    <row r="6814" spans="9:9" x14ac:dyDescent="0.25">
      <c r="I6814" s="227" t="str">
        <f>MID(excPisCofins[[#This Row],[CodBarras2]],2,50)</f>
        <v/>
      </c>
    </row>
    <row r="6815" spans="9:9" x14ac:dyDescent="0.25">
      <c r="I6815" s="227" t="str">
        <f>MID(excPisCofins[[#This Row],[CodBarras2]],2,50)</f>
        <v/>
      </c>
    </row>
    <row r="6816" spans="9:9" x14ac:dyDescent="0.25">
      <c r="I6816" s="227" t="str">
        <f>MID(excPisCofins[[#This Row],[CodBarras2]],2,50)</f>
        <v/>
      </c>
    </row>
    <row r="6817" spans="9:9" x14ac:dyDescent="0.25">
      <c r="I6817" s="227" t="str">
        <f>MID(excPisCofins[[#This Row],[CodBarras2]],2,50)</f>
        <v/>
      </c>
    </row>
    <row r="6818" spans="9:9" x14ac:dyDescent="0.25">
      <c r="I6818" s="227" t="str">
        <f>MID(excPisCofins[[#This Row],[CodBarras2]],2,50)</f>
        <v/>
      </c>
    </row>
    <row r="6819" spans="9:9" x14ac:dyDescent="0.25">
      <c r="I6819" s="227" t="str">
        <f>MID(excPisCofins[[#This Row],[CodBarras2]],2,50)</f>
        <v/>
      </c>
    </row>
    <row r="6820" spans="9:9" x14ac:dyDescent="0.25">
      <c r="I6820" s="227" t="str">
        <f>MID(excPisCofins[[#This Row],[CodBarras2]],2,50)</f>
        <v/>
      </c>
    </row>
    <row r="6821" spans="9:9" x14ac:dyDescent="0.25">
      <c r="I6821" s="227" t="str">
        <f>MID(excPisCofins[[#This Row],[CodBarras2]],2,50)</f>
        <v/>
      </c>
    </row>
    <row r="6822" spans="9:9" x14ac:dyDescent="0.25">
      <c r="I6822" s="227" t="str">
        <f>MID(excPisCofins[[#This Row],[CodBarras2]],2,50)</f>
        <v/>
      </c>
    </row>
    <row r="6823" spans="9:9" x14ac:dyDescent="0.25">
      <c r="I6823" s="227" t="str">
        <f>MID(excPisCofins[[#This Row],[CodBarras2]],2,50)</f>
        <v/>
      </c>
    </row>
    <row r="6824" spans="9:9" x14ac:dyDescent="0.25">
      <c r="I6824" s="227" t="str">
        <f>MID(excPisCofins[[#This Row],[CodBarras2]],2,50)</f>
        <v/>
      </c>
    </row>
    <row r="6825" spans="9:9" x14ac:dyDescent="0.25">
      <c r="I6825" s="227" t="str">
        <f>MID(excPisCofins[[#This Row],[CodBarras2]],2,50)</f>
        <v/>
      </c>
    </row>
    <row r="6826" spans="9:9" x14ac:dyDescent="0.25">
      <c r="I6826" s="227" t="str">
        <f>MID(excPisCofins[[#This Row],[CodBarras2]],2,50)</f>
        <v/>
      </c>
    </row>
    <row r="6827" spans="9:9" x14ac:dyDescent="0.25">
      <c r="I6827" s="227" t="str">
        <f>MID(excPisCofins[[#This Row],[CodBarras2]],2,50)</f>
        <v/>
      </c>
    </row>
    <row r="6828" spans="9:9" x14ac:dyDescent="0.25">
      <c r="I6828" s="227" t="str">
        <f>MID(excPisCofins[[#This Row],[CodBarras2]],2,50)</f>
        <v/>
      </c>
    </row>
    <row r="6829" spans="9:9" x14ac:dyDescent="0.25">
      <c r="I6829" s="227" t="str">
        <f>MID(excPisCofins[[#This Row],[CodBarras2]],2,50)</f>
        <v/>
      </c>
    </row>
    <row r="6830" spans="9:9" x14ac:dyDescent="0.25">
      <c r="I6830" s="227" t="str">
        <f>MID(excPisCofins[[#This Row],[CodBarras2]],2,50)</f>
        <v/>
      </c>
    </row>
    <row r="6831" spans="9:9" x14ac:dyDescent="0.25">
      <c r="I6831" s="227" t="str">
        <f>MID(excPisCofins[[#This Row],[CodBarras2]],2,50)</f>
        <v/>
      </c>
    </row>
    <row r="6832" spans="9:9" x14ac:dyDescent="0.25">
      <c r="I6832" s="227" t="str">
        <f>MID(excPisCofins[[#This Row],[CodBarras2]],2,50)</f>
        <v/>
      </c>
    </row>
    <row r="6833" spans="9:9" x14ac:dyDescent="0.25">
      <c r="I6833" s="227" t="str">
        <f>MID(excPisCofins[[#This Row],[CodBarras2]],2,50)</f>
        <v/>
      </c>
    </row>
    <row r="6834" spans="9:9" x14ac:dyDescent="0.25">
      <c r="I6834" s="227" t="str">
        <f>MID(excPisCofins[[#This Row],[CodBarras2]],2,50)</f>
        <v/>
      </c>
    </row>
    <row r="6835" spans="9:9" x14ac:dyDescent="0.25">
      <c r="I6835" s="227" t="str">
        <f>MID(excPisCofins[[#This Row],[CodBarras2]],2,50)</f>
        <v/>
      </c>
    </row>
    <row r="6836" spans="9:9" x14ac:dyDescent="0.25">
      <c r="I6836" s="227" t="str">
        <f>MID(excPisCofins[[#This Row],[CodBarras2]],2,50)</f>
        <v/>
      </c>
    </row>
    <row r="6837" spans="9:9" x14ac:dyDescent="0.25">
      <c r="I6837" s="227" t="str">
        <f>MID(excPisCofins[[#This Row],[CodBarras2]],2,50)</f>
        <v/>
      </c>
    </row>
    <row r="6838" spans="9:9" x14ac:dyDescent="0.25">
      <c r="I6838" s="227" t="str">
        <f>MID(excPisCofins[[#This Row],[CodBarras2]],2,50)</f>
        <v/>
      </c>
    </row>
    <row r="6839" spans="9:9" x14ac:dyDescent="0.25">
      <c r="I6839" s="227" t="str">
        <f>MID(excPisCofins[[#This Row],[CodBarras2]],2,50)</f>
        <v/>
      </c>
    </row>
    <row r="6840" spans="9:9" x14ac:dyDescent="0.25">
      <c r="I6840" s="227" t="str">
        <f>MID(excPisCofins[[#This Row],[CodBarras2]],2,50)</f>
        <v/>
      </c>
    </row>
    <row r="6841" spans="9:9" x14ac:dyDescent="0.25">
      <c r="I6841" s="227" t="str">
        <f>MID(excPisCofins[[#This Row],[CodBarras2]],2,50)</f>
        <v/>
      </c>
    </row>
    <row r="6842" spans="9:9" x14ac:dyDescent="0.25">
      <c r="I6842" s="227" t="str">
        <f>MID(excPisCofins[[#This Row],[CodBarras2]],2,50)</f>
        <v/>
      </c>
    </row>
    <row r="6843" spans="9:9" x14ac:dyDescent="0.25">
      <c r="I6843" s="227" t="str">
        <f>MID(excPisCofins[[#This Row],[CodBarras2]],2,50)</f>
        <v/>
      </c>
    </row>
    <row r="6844" spans="9:9" x14ac:dyDescent="0.25">
      <c r="I6844" s="227" t="str">
        <f>MID(excPisCofins[[#This Row],[CodBarras2]],2,50)</f>
        <v/>
      </c>
    </row>
    <row r="6845" spans="9:9" x14ac:dyDescent="0.25">
      <c r="I6845" s="227" t="str">
        <f>MID(excPisCofins[[#This Row],[CodBarras2]],2,50)</f>
        <v/>
      </c>
    </row>
    <row r="6846" spans="9:9" x14ac:dyDescent="0.25">
      <c r="I6846" s="227" t="str">
        <f>MID(excPisCofins[[#This Row],[CodBarras2]],2,50)</f>
        <v/>
      </c>
    </row>
    <row r="6847" spans="9:9" x14ac:dyDescent="0.25">
      <c r="I6847" s="227" t="str">
        <f>MID(excPisCofins[[#This Row],[CodBarras2]],2,50)</f>
        <v/>
      </c>
    </row>
    <row r="6848" spans="9:9" x14ac:dyDescent="0.25">
      <c r="I6848" s="227" t="str">
        <f>MID(excPisCofins[[#This Row],[CodBarras2]],2,50)</f>
        <v/>
      </c>
    </row>
    <row r="6849" spans="9:9" x14ac:dyDescent="0.25">
      <c r="I6849" s="227" t="str">
        <f>MID(excPisCofins[[#This Row],[CodBarras2]],2,50)</f>
        <v/>
      </c>
    </row>
    <row r="6850" spans="9:9" x14ac:dyDescent="0.25">
      <c r="I6850" s="227" t="str">
        <f>MID(excPisCofins[[#This Row],[CodBarras2]],2,50)</f>
        <v/>
      </c>
    </row>
    <row r="6851" spans="9:9" x14ac:dyDescent="0.25">
      <c r="I6851" s="227" t="str">
        <f>MID(excPisCofins[[#This Row],[CodBarras2]],2,50)</f>
        <v/>
      </c>
    </row>
    <row r="6852" spans="9:9" x14ac:dyDescent="0.25">
      <c r="I6852" s="227" t="str">
        <f>MID(excPisCofins[[#This Row],[CodBarras2]],2,50)</f>
        <v/>
      </c>
    </row>
    <row r="6853" spans="9:9" x14ac:dyDescent="0.25">
      <c r="I6853" s="227" t="str">
        <f>MID(excPisCofins[[#This Row],[CodBarras2]],2,50)</f>
        <v/>
      </c>
    </row>
    <row r="6854" spans="9:9" x14ac:dyDescent="0.25">
      <c r="I6854" s="227" t="str">
        <f>MID(excPisCofins[[#This Row],[CodBarras2]],2,50)</f>
        <v/>
      </c>
    </row>
    <row r="6855" spans="9:9" x14ac:dyDescent="0.25">
      <c r="I6855" s="227" t="str">
        <f>MID(excPisCofins[[#This Row],[CodBarras2]],2,50)</f>
        <v/>
      </c>
    </row>
    <row r="6856" spans="9:9" x14ac:dyDescent="0.25">
      <c r="I6856" s="227" t="str">
        <f>MID(excPisCofins[[#This Row],[CodBarras2]],2,50)</f>
        <v/>
      </c>
    </row>
    <row r="6857" spans="9:9" x14ac:dyDescent="0.25">
      <c r="I6857" s="227" t="str">
        <f>MID(excPisCofins[[#This Row],[CodBarras2]],2,50)</f>
        <v/>
      </c>
    </row>
    <row r="6858" spans="9:9" x14ac:dyDescent="0.25">
      <c r="I6858" s="227" t="str">
        <f>MID(excPisCofins[[#This Row],[CodBarras2]],2,50)</f>
        <v/>
      </c>
    </row>
    <row r="6859" spans="9:9" x14ac:dyDescent="0.25">
      <c r="I6859" s="227" t="str">
        <f>MID(excPisCofins[[#This Row],[CodBarras2]],2,50)</f>
        <v/>
      </c>
    </row>
    <row r="6860" spans="9:9" x14ac:dyDescent="0.25">
      <c r="I6860" s="227" t="str">
        <f>MID(excPisCofins[[#This Row],[CodBarras2]],2,50)</f>
        <v/>
      </c>
    </row>
    <row r="6861" spans="9:9" x14ac:dyDescent="0.25">
      <c r="I6861" s="227" t="str">
        <f>MID(excPisCofins[[#This Row],[CodBarras2]],2,50)</f>
        <v/>
      </c>
    </row>
    <row r="6862" spans="9:9" x14ac:dyDescent="0.25">
      <c r="I6862" s="227" t="str">
        <f>MID(excPisCofins[[#This Row],[CodBarras2]],2,50)</f>
        <v/>
      </c>
    </row>
    <row r="6863" spans="9:9" x14ac:dyDescent="0.25">
      <c r="I6863" s="227" t="str">
        <f>MID(excPisCofins[[#This Row],[CodBarras2]],2,50)</f>
        <v/>
      </c>
    </row>
    <row r="6864" spans="9:9" x14ac:dyDescent="0.25">
      <c r="I6864" s="227" t="str">
        <f>MID(excPisCofins[[#This Row],[CodBarras2]],2,50)</f>
        <v/>
      </c>
    </row>
    <row r="6865" spans="9:9" x14ac:dyDescent="0.25">
      <c r="I6865" s="227" t="str">
        <f>MID(excPisCofins[[#This Row],[CodBarras2]],2,50)</f>
        <v/>
      </c>
    </row>
    <row r="6866" spans="9:9" x14ac:dyDescent="0.25">
      <c r="I6866" s="227" t="str">
        <f>MID(excPisCofins[[#This Row],[CodBarras2]],2,50)</f>
        <v/>
      </c>
    </row>
    <row r="6867" spans="9:9" x14ac:dyDescent="0.25">
      <c r="I6867" s="227" t="str">
        <f>MID(excPisCofins[[#This Row],[CodBarras2]],2,50)</f>
        <v/>
      </c>
    </row>
    <row r="6868" spans="9:9" x14ac:dyDescent="0.25">
      <c r="I6868" s="227" t="str">
        <f>MID(excPisCofins[[#This Row],[CodBarras2]],2,50)</f>
        <v/>
      </c>
    </row>
    <row r="6869" spans="9:9" x14ac:dyDescent="0.25">
      <c r="I6869" s="227" t="str">
        <f>MID(excPisCofins[[#This Row],[CodBarras2]],2,50)</f>
        <v/>
      </c>
    </row>
    <row r="6870" spans="9:9" x14ac:dyDescent="0.25">
      <c r="I6870" s="227" t="str">
        <f>MID(excPisCofins[[#This Row],[CodBarras2]],2,50)</f>
        <v/>
      </c>
    </row>
    <row r="6871" spans="9:9" x14ac:dyDescent="0.25">
      <c r="I6871" s="227" t="str">
        <f>MID(excPisCofins[[#This Row],[CodBarras2]],2,50)</f>
        <v/>
      </c>
    </row>
    <row r="6872" spans="9:9" x14ac:dyDescent="0.25">
      <c r="I6872" s="227" t="str">
        <f>MID(excPisCofins[[#This Row],[CodBarras2]],2,50)</f>
        <v/>
      </c>
    </row>
    <row r="6873" spans="9:9" x14ac:dyDescent="0.25">
      <c r="I6873" s="227" t="str">
        <f>MID(excPisCofins[[#This Row],[CodBarras2]],2,50)</f>
        <v/>
      </c>
    </row>
    <row r="6874" spans="9:9" x14ac:dyDescent="0.25">
      <c r="I6874" s="227" t="str">
        <f>MID(excPisCofins[[#This Row],[CodBarras2]],2,50)</f>
        <v/>
      </c>
    </row>
    <row r="6875" spans="9:9" x14ac:dyDescent="0.25">
      <c r="I6875" s="227" t="str">
        <f>MID(excPisCofins[[#This Row],[CodBarras2]],2,50)</f>
        <v/>
      </c>
    </row>
    <row r="6876" spans="9:9" x14ac:dyDescent="0.25">
      <c r="I6876" s="227" t="str">
        <f>MID(excPisCofins[[#This Row],[CodBarras2]],2,50)</f>
        <v/>
      </c>
    </row>
    <row r="6877" spans="9:9" x14ac:dyDescent="0.25">
      <c r="I6877" s="227" t="str">
        <f>MID(excPisCofins[[#This Row],[CodBarras2]],2,50)</f>
        <v/>
      </c>
    </row>
    <row r="6878" spans="9:9" x14ac:dyDescent="0.25">
      <c r="I6878" s="227" t="str">
        <f>MID(excPisCofins[[#This Row],[CodBarras2]],2,50)</f>
        <v/>
      </c>
    </row>
    <row r="6879" spans="9:9" x14ac:dyDescent="0.25">
      <c r="I6879" s="227" t="str">
        <f>MID(excPisCofins[[#This Row],[CodBarras2]],2,50)</f>
        <v/>
      </c>
    </row>
    <row r="6880" spans="9:9" x14ac:dyDescent="0.25">
      <c r="I6880" s="227" t="str">
        <f>MID(excPisCofins[[#This Row],[CodBarras2]],2,50)</f>
        <v/>
      </c>
    </row>
    <row r="6881" spans="9:9" x14ac:dyDescent="0.25">
      <c r="I6881" s="227" t="str">
        <f>MID(excPisCofins[[#This Row],[CodBarras2]],2,50)</f>
        <v/>
      </c>
    </row>
    <row r="6882" spans="9:9" x14ac:dyDescent="0.25">
      <c r="I6882" s="227" t="str">
        <f>MID(excPisCofins[[#This Row],[CodBarras2]],2,50)</f>
        <v/>
      </c>
    </row>
    <row r="6883" spans="9:9" x14ac:dyDescent="0.25">
      <c r="I6883" s="227" t="str">
        <f>MID(excPisCofins[[#This Row],[CodBarras2]],2,50)</f>
        <v/>
      </c>
    </row>
    <row r="6884" spans="9:9" x14ac:dyDescent="0.25">
      <c r="I6884" s="227" t="str">
        <f>MID(excPisCofins[[#This Row],[CodBarras2]],2,50)</f>
        <v/>
      </c>
    </row>
    <row r="6885" spans="9:9" x14ac:dyDescent="0.25">
      <c r="I6885" s="227" t="str">
        <f>MID(excPisCofins[[#This Row],[CodBarras2]],2,50)</f>
        <v/>
      </c>
    </row>
    <row r="6886" spans="9:9" x14ac:dyDescent="0.25">
      <c r="I6886" s="227" t="str">
        <f>MID(excPisCofins[[#This Row],[CodBarras2]],2,50)</f>
        <v/>
      </c>
    </row>
    <row r="6887" spans="9:9" x14ac:dyDescent="0.25">
      <c r="I6887" s="227" t="str">
        <f>MID(excPisCofins[[#This Row],[CodBarras2]],2,50)</f>
        <v/>
      </c>
    </row>
    <row r="6888" spans="9:9" x14ac:dyDescent="0.25">
      <c r="I6888" s="227" t="str">
        <f>MID(excPisCofins[[#This Row],[CodBarras2]],2,50)</f>
        <v/>
      </c>
    </row>
    <row r="6889" spans="9:9" x14ac:dyDescent="0.25">
      <c r="I6889" s="227" t="str">
        <f>MID(excPisCofins[[#This Row],[CodBarras2]],2,50)</f>
        <v/>
      </c>
    </row>
    <row r="6890" spans="9:9" x14ac:dyDescent="0.25">
      <c r="I6890" s="227" t="str">
        <f>MID(excPisCofins[[#This Row],[CodBarras2]],2,50)</f>
        <v/>
      </c>
    </row>
    <row r="6891" spans="9:9" x14ac:dyDescent="0.25">
      <c r="I6891" s="227" t="str">
        <f>MID(excPisCofins[[#This Row],[CodBarras2]],2,50)</f>
        <v/>
      </c>
    </row>
    <row r="6892" spans="9:9" x14ac:dyDescent="0.25">
      <c r="I6892" s="227" t="str">
        <f>MID(excPisCofins[[#This Row],[CodBarras2]],2,50)</f>
        <v/>
      </c>
    </row>
    <row r="6893" spans="9:9" x14ac:dyDescent="0.25">
      <c r="I6893" s="227" t="str">
        <f>MID(excPisCofins[[#This Row],[CodBarras2]],2,50)</f>
        <v/>
      </c>
    </row>
    <row r="6894" spans="9:9" x14ac:dyDescent="0.25">
      <c r="I6894" s="227" t="str">
        <f>MID(excPisCofins[[#This Row],[CodBarras2]],2,50)</f>
        <v/>
      </c>
    </row>
    <row r="6895" spans="9:9" x14ac:dyDescent="0.25">
      <c r="I6895" s="227" t="str">
        <f>MID(excPisCofins[[#This Row],[CodBarras2]],2,50)</f>
        <v/>
      </c>
    </row>
    <row r="6896" spans="9:9" x14ac:dyDescent="0.25">
      <c r="I6896" s="227" t="str">
        <f>MID(excPisCofins[[#This Row],[CodBarras2]],2,50)</f>
        <v/>
      </c>
    </row>
    <row r="6897" spans="9:9" x14ac:dyDescent="0.25">
      <c r="I6897" s="227" t="str">
        <f>MID(excPisCofins[[#This Row],[CodBarras2]],2,50)</f>
        <v/>
      </c>
    </row>
    <row r="6898" spans="9:9" x14ac:dyDescent="0.25">
      <c r="I6898" s="227" t="str">
        <f>MID(excPisCofins[[#This Row],[CodBarras2]],2,50)</f>
        <v/>
      </c>
    </row>
    <row r="6899" spans="9:9" x14ac:dyDescent="0.25">
      <c r="I6899" s="227" t="str">
        <f>MID(excPisCofins[[#This Row],[CodBarras2]],2,50)</f>
        <v/>
      </c>
    </row>
    <row r="6900" spans="9:9" x14ac:dyDescent="0.25">
      <c r="I6900" s="227" t="str">
        <f>MID(excPisCofins[[#This Row],[CodBarras2]],2,50)</f>
        <v/>
      </c>
    </row>
    <row r="6901" spans="9:9" x14ac:dyDescent="0.25">
      <c r="I6901" s="227" t="str">
        <f>MID(excPisCofins[[#This Row],[CodBarras2]],2,50)</f>
        <v/>
      </c>
    </row>
    <row r="6902" spans="9:9" x14ac:dyDescent="0.25">
      <c r="I6902" s="227" t="str">
        <f>MID(excPisCofins[[#This Row],[CodBarras2]],2,50)</f>
        <v/>
      </c>
    </row>
    <row r="6903" spans="9:9" x14ac:dyDescent="0.25">
      <c r="I6903" s="227" t="str">
        <f>MID(excPisCofins[[#This Row],[CodBarras2]],2,50)</f>
        <v/>
      </c>
    </row>
    <row r="6904" spans="9:9" x14ac:dyDescent="0.25">
      <c r="I6904" s="227" t="str">
        <f>MID(excPisCofins[[#This Row],[CodBarras2]],2,50)</f>
        <v/>
      </c>
    </row>
    <row r="6905" spans="9:9" x14ac:dyDescent="0.25">
      <c r="I6905" s="227" t="str">
        <f>MID(excPisCofins[[#This Row],[CodBarras2]],2,50)</f>
        <v/>
      </c>
    </row>
    <row r="6906" spans="9:9" x14ac:dyDescent="0.25">
      <c r="I6906" s="227" t="str">
        <f>MID(excPisCofins[[#This Row],[CodBarras2]],2,50)</f>
        <v/>
      </c>
    </row>
    <row r="6907" spans="9:9" x14ac:dyDescent="0.25">
      <c r="I6907" s="227" t="str">
        <f>MID(excPisCofins[[#This Row],[CodBarras2]],2,50)</f>
        <v/>
      </c>
    </row>
    <row r="6908" spans="9:9" x14ac:dyDescent="0.25">
      <c r="I6908" s="227" t="str">
        <f>MID(excPisCofins[[#This Row],[CodBarras2]],2,50)</f>
        <v/>
      </c>
    </row>
    <row r="6909" spans="9:9" x14ac:dyDescent="0.25">
      <c r="I6909" s="227" t="str">
        <f>MID(excPisCofins[[#This Row],[CodBarras2]],2,50)</f>
        <v/>
      </c>
    </row>
    <row r="6910" spans="9:9" x14ac:dyDescent="0.25">
      <c r="I6910" s="227" t="str">
        <f>MID(excPisCofins[[#This Row],[CodBarras2]],2,50)</f>
        <v/>
      </c>
    </row>
    <row r="6911" spans="9:9" x14ac:dyDescent="0.25">
      <c r="I6911" s="227" t="str">
        <f>MID(excPisCofins[[#This Row],[CodBarras2]],2,50)</f>
        <v/>
      </c>
    </row>
    <row r="6912" spans="9:9" x14ac:dyDescent="0.25">
      <c r="I6912" s="227" t="str">
        <f>MID(excPisCofins[[#This Row],[CodBarras2]],2,50)</f>
        <v/>
      </c>
    </row>
    <row r="6913" spans="9:9" x14ac:dyDescent="0.25">
      <c r="I6913" s="227" t="str">
        <f>MID(excPisCofins[[#This Row],[CodBarras2]],2,50)</f>
        <v/>
      </c>
    </row>
    <row r="6914" spans="9:9" x14ac:dyDescent="0.25">
      <c r="I6914" s="227" t="str">
        <f>MID(excPisCofins[[#This Row],[CodBarras2]],2,50)</f>
        <v/>
      </c>
    </row>
    <row r="6915" spans="9:9" x14ac:dyDescent="0.25">
      <c r="I6915" s="227" t="str">
        <f>MID(excPisCofins[[#This Row],[CodBarras2]],2,50)</f>
        <v/>
      </c>
    </row>
    <row r="6916" spans="9:9" x14ac:dyDescent="0.25">
      <c r="I6916" s="227" t="str">
        <f>MID(excPisCofins[[#This Row],[CodBarras2]],2,50)</f>
        <v/>
      </c>
    </row>
    <row r="6917" spans="9:9" x14ac:dyDescent="0.25">
      <c r="I6917" s="227" t="str">
        <f>MID(excPisCofins[[#This Row],[CodBarras2]],2,50)</f>
        <v/>
      </c>
    </row>
    <row r="6918" spans="9:9" x14ac:dyDescent="0.25">
      <c r="I6918" s="227" t="str">
        <f>MID(excPisCofins[[#This Row],[CodBarras2]],2,50)</f>
        <v/>
      </c>
    </row>
    <row r="6919" spans="9:9" x14ac:dyDescent="0.25">
      <c r="I6919" s="227" t="str">
        <f>MID(excPisCofins[[#This Row],[CodBarras2]],2,50)</f>
        <v/>
      </c>
    </row>
    <row r="6920" spans="9:9" x14ac:dyDescent="0.25">
      <c r="I6920" s="227" t="str">
        <f>MID(excPisCofins[[#This Row],[CodBarras2]],2,50)</f>
        <v/>
      </c>
    </row>
    <row r="6921" spans="9:9" x14ac:dyDescent="0.25">
      <c r="I6921" s="227" t="str">
        <f>MID(excPisCofins[[#This Row],[CodBarras2]],2,50)</f>
        <v/>
      </c>
    </row>
    <row r="6922" spans="9:9" x14ac:dyDescent="0.25">
      <c r="I6922" s="227" t="str">
        <f>MID(excPisCofins[[#This Row],[CodBarras2]],2,50)</f>
        <v/>
      </c>
    </row>
    <row r="6923" spans="9:9" x14ac:dyDescent="0.25">
      <c r="I6923" s="227" t="str">
        <f>MID(excPisCofins[[#This Row],[CodBarras2]],2,50)</f>
        <v/>
      </c>
    </row>
    <row r="6924" spans="9:9" x14ac:dyDescent="0.25">
      <c r="I6924" s="227" t="str">
        <f>MID(excPisCofins[[#This Row],[CodBarras2]],2,50)</f>
        <v/>
      </c>
    </row>
    <row r="6925" spans="9:9" x14ac:dyDescent="0.25">
      <c r="I6925" s="227" t="str">
        <f>MID(excPisCofins[[#This Row],[CodBarras2]],2,50)</f>
        <v/>
      </c>
    </row>
    <row r="6926" spans="9:9" x14ac:dyDescent="0.25">
      <c r="I6926" s="227" t="str">
        <f>MID(excPisCofins[[#This Row],[CodBarras2]],2,50)</f>
        <v/>
      </c>
    </row>
    <row r="6927" spans="9:9" x14ac:dyDescent="0.25">
      <c r="I6927" s="227" t="str">
        <f>MID(excPisCofins[[#This Row],[CodBarras2]],2,50)</f>
        <v/>
      </c>
    </row>
    <row r="6928" spans="9:9" x14ac:dyDescent="0.25">
      <c r="I6928" s="227" t="str">
        <f>MID(excPisCofins[[#This Row],[CodBarras2]],2,50)</f>
        <v/>
      </c>
    </row>
    <row r="6929" spans="9:9" x14ac:dyDescent="0.25">
      <c r="I6929" s="227" t="str">
        <f>MID(excPisCofins[[#This Row],[CodBarras2]],2,50)</f>
        <v/>
      </c>
    </row>
    <row r="6930" spans="9:9" x14ac:dyDescent="0.25">
      <c r="I6930" s="227" t="str">
        <f>MID(excPisCofins[[#This Row],[CodBarras2]],2,50)</f>
        <v/>
      </c>
    </row>
    <row r="6931" spans="9:9" x14ac:dyDescent="0.25">
      <c r="I6931" s="227" t="str">
        <f>MID(excPisCofins[[#This Row],[CodBarras2]],2,50)</f>
        <v/>
      </c>
    </row>
    <row r="6932" spans="9:9" x14ac:dyDescent="0.25">
      <c r="I6932" s="227" t="str">
        <f>MID(excPisCofins[[#This Row],[CodBarras2]],2,50)</f>
        <v/>
      </c>
    </row>
    <row r="6933" spans="9:9" x14ac:dyDescent="0.25">
      <c r="I6933" s="227" t="str">
        <f>MID(excPisCofins[[#This Row],[CodBarras2]],2,50)</f>
        <v/>
      </c>
    </row>
    <row r="6934" spans="9:9" x14ac:dyDescent="0.25">
      <c r="I6934" s="227" t="str">
        <f>MID(excPisCofins[[#This Row],[CodBarras2]],2,50)</f>
        <v/>
      </c>
    </row>
    <row r="6935" spans="9:9" x14ac:dyDescent="0.25">
      <c r="I6935" s="227" t="str">
        <f>MID(excPisCofins[[#This Row],[CodBarras2]],2,50)</f>
        <v/>
      </c>
    </row>
    <row r="6936" spans="9:9" x14ac:dyDescent="0.25">
      <c r="I6936" s="227" t="str">
        <f>MID(excPisCofins[[#This Row],[CodBarras2]],2,50)</f>
        <v/>
      </c>
    </row>
    <row r="6937" spans="9:9" x14ac:dyDescent="0.25">
      <c r="I6937" s="227" t="str">
        <f>MID(excPisCofins[[#This Row],[CodBarras2]],2,50)</f>
        <v/>
      </c>
    </row>
    <row r="6938" spans="9:9" x14ac:dyDescent="0.25">
      <c r="I6938" s="227" t="str">
        <f>MID(excPisCofins[[#This Row],[CodBarras2]],2,50)</f>
        <v/>
      </c>
    </row>
    <row r="6939" spans="9:9" x14ac:dyDescent="0.25">
      <c r="I6939" s="227" t="str">
        <f>MID(excPisCofins[[#This Row],[CodBarras2]],2,50)</f>
        <v/>
      </c>
    </row>
    <row r="6940" spans="9:9" x14ac:dyDescent="0.25">
      <c r="I6940" s="227" t="str">
        <f>MID(excPisCofins[[#This Row],[CodBarras2]],2,50)</f>
        <v/>
      </c>
    </row>
    <row r="6941" spans="9:9" x14ac:dyDescent="0.25">
      <c r="I6941" s="227" t="str">
        <f>MID(excPisCofins[[#This Row],[CodBarras2]],2,50)</f>
        <v/>
      </c>
    </row>
    <row r="6942" spans="9:9" x14ac:dyDescent="0.25">
      <c r="I6942" s="227" t="str">
        <f>MID(excPisCofins[[#This Row],[CodBarras2]],2,50)</f>
        <v/>
      </c>
    </row>
    <row r="6943" spans="9:9" x14ac:dyDescent="0.25">
      <c r="I6943" s="227" t="str">
        <f>MID(excPisCofins[[#This Row],[CodBarras2]],2,50)</f>
        <v/>
      </c>
    </row>
    <row r="6944" spans="9:9" x14ac:dyDescent="0.25">
      <c r="I6944" s="227" t="str">
        <f>MID(excPisCofins[[#This Row],[CodBarras2]],2,50)</f>
        <v/>
      </c>
    </row>
    <row r="6945" spans="9:9" x14ac:dyDescent="0.25">
      <c r="I6945" s="227" t="str">
        <f>MID(excPisCofins[[#This Row],[CodBarras2]],2,50)</f>
        <v/>
      </c>
    </row>
    <row r="6946" spans="9:9" x14ac:dyDescent="0.25">
      <c r="I6946" s="227" t="str">
        <f>MID(excPisCofins[[#This Row],[CodBarras2]],2,50)</f>
        <v/>
      </c>
    </row>
    <row r="6947" spans="9:9" x14ac:dyDescent="0.25">
      <c r="I6947" s="227" t="str">
        <f>MID(excPisCofins[[#This Row],[CodBarras2]],2,50)</f>
        <v/>
      </c>
    </row>
    <row r="6948" spans="9:9" x14ac:dyDescent="0.25">
      <c r="I6948" s="227" t="str">
        <f>MID(excPisCofins[[#This Row],[CodBarras2]],2,50)</f>
        <v/>
      </c>
    </row>
    <row r="6949" spans="9:9" x14ac:dyDescent="0.25">
      <c r="I6949" s="227" t="str">
        <f>MID(excPisCofins[[#This Row],[CodBarras2]],2,50)</f>
        <v/>
      </c>
    </row>
    <row r="6950" spans="9:9" x14ac:dyDescent="0.25">
      <c r="I6950" s="227" t="str">
        <f>MID(excPisCofins[[#This Row],[CodBarras2]],2,50)</f>
        <v/>
      </c>
    </row>
    <row r="6951" spans="9:9" x14ac:dyDescent="0.25">
      <c r="I6951" s="227" t="str">
        <f>MID(excPisCofins[[#This Row],[CodBarras2]],2,50)</f>
        <v/>
      </c>
    </row>
    <row r="6952" spans="9:9" x14ac:dyDescent="0.25">
      <c r="I6952" s="227" t="str">
        <f>MID(excPisCofins[[#This Row],[CodBarras2]],2,50)</f>
        <v/>
      </c>
    </row>
    <row r="6953" spans="9:9" x14ac:dyDescent="0.25">
      <c r="I6953" s="227" t="str">
        <f>MID(excPisCofins[[#This Row],[CodBarras2]],2,50)</f>
        <v/>
      </c>
    </row>
    <row r="6954" spans="9:9" x14ac:dyDescent="0.25">
      <c r="I6954" s="227" t="str">
        <f>MID(excPisCofins[[#This Row],[CodBarras2]],2,50)</f>
        <v/>
      </c>
    </row>
    <row r="6955" spans="9:9" x14ac:dyDescent="0.25">
      <c r="I6955" s="227" t="str">
        <f>MID(excPisCofins[[#This Row],[CodBarras2]],2,50)</f>
        <v/>
      </c>
    </row>
    <row r="6956" spans="9:9" x14ac:dyDescent="0.25">
      <c r="I6956" s="227" t="str">
        <f>MID(excPisCofins[[#This Row],[CodBarras2]],2,50)</f>
        <v/>
      </c>
    </row>
    <row r="6957" spans="9:9" x14ac:dyDescent="0.25">
      <c r="I6957" s="227" t="str">
        <f>MID(excPisCofins[[#This Row],[CodBarras2]],2,50)</f>
        <v/>
      </c>
    </row>
    <row r="6958" spans="9:9" x14ac:dyDescent="0.25">
      <c r="I6958" s="227" t="str">
        <f>MID(excPisCofins[[#This Row],[CodBarras2]],2,50)</f>
        <v/>
      </c>
    </row>
    <row r="6959" spans="9:9" x14ac:dyDescent="0.25">
      <c r="I6959" s="227" t="str">
        <f>MID(excPisCofins[[#This Row],[CodBarras2]],2,50)</f>
        <v/>
      </c>
    </row>
    <row r="6960" spans="9:9" x14ac:dyDescent="0.25">
      <c r="I6960" s="227" t="str">
        <f>MID(excPisCofins[[#This Row],[CodBarras2]],2,50)</f>
        <v/>
      </c>
    </row>
    <row r="6961" spans="9:9" x14ac:dyDescent="0.25">
      <c r="I6961" s="227" t="str">
        <f>MID(excPisCofins[[#This Row],[CodBarras2]],2,50)</f>
        <v/>
      </c>
    </row>
    <row r="6962" spans="9:9" x14ac:dyDescent="0.25">
      <c r="I6962" s="227" t="str">
        <f>MID(excPisCofins[[#This Row],[CodBarras2]],2,50)</f>
        <v/>
      </c>
    </row>
    <row r="6963" spans="9:9" x14ac:dyDescent="0.25">
      <c r="I6963" s="227" t="str">
        <f>MID(excPisCofins[[#This Row],[CodBarras2]],2,50)</f>
        <v/>
      </c>
    </row>
    <row r="6964" spans="9:9" x14ac:dyDescent="0.25">
      <c r="I6964" s="227" t="str">
        <f>MID(excPisCofins[[#This Row],[CodBarras2]],2,50)</f>
        <v/>
      </c>
    </row>
    <row r="6965" spans="9:9" x14ac:dyDescent="0.25">
      <c r="I6965" s="227" t="str">
        <f>MID(excPisCofins[[#This Row],[CodBarras2]],2,50)</f>
        <v/>
      </c>
    </row>
    <row r="6966" spans="9:9" x14ac:dyDescent="0.25">
      <c r="I6966" s="227" t="str">
        <f>MID(excPisCofins[[#This Row],[CodBarras2]],2,50)</f>
        <v/>
      </c>
    </row>
    <row r="6967" spans="9:9" x14ac:dyDescent="0.25">
      <c r="I6967" s="227" t="str">
        <f>MID(excPisCofins[[#This Row],[CodBarras2]],2,50)</f>
        <v/>
      </c>
    </row>
    <row r="6968" spans="9:9" x14ac:dyDescent="0.25">
      <c r="I6968" s="227" t="str">
        <f>MID(excPisCofins[[#This Row],[CodBarras2]],2,50)</f>
        <v/>
      </c>
    </row>
    <row r="6969" spans="9:9" x14ac:dyDescent="0.25">
      <c r="I6969" s="227" t="str">
        <f>MID(excPisCofins[[#This Row],[CodBarras2]],2,50)</f>
        <v/>
      </c>
    </row>
    <row r="6970" spans="9:9" x14ac:dyDescent="0.25">
      <c r="I6970" s="227" t="str">
        <f>MID(excPisCofins[[#This Row],[CodBarras2]],2,50)</f>
        <v/>
      </c>
    </row>
    <row r="6971" spans="9:9" x14ac:dyDescent="0.25">
      <c r="I6971" s="227" t="str">
        <f>MID(excPisCofins[[#This Row],[CodBarras2]],2,50)</f>
        <v/>
      </c>
    </row>
    <row r="6972" spans="9:9" x14ac:dyDescent="0.25">
      <c r="I6972" s="227" t="str">
        <f>MID(excPisCofins[[#This Row],[CodBarras2]],2,50)</f>
        <v/>
      </c>
    </row>
    <row r="6973" spans="9:9" x14ac:dyDescent="0.25">
      <c r="I6973" s="227" t="str">
        <f>MID(excPisCofins[[#This Row],[CodBarras2]],2,50)</f>
        <v/>
      </c>
    </row>
    <row r="6974" spans="9:9" x14ac:dyDescent="0.25">
      <c r="I6974" s="227" t="str">
        <f>MID(excPisCofins[[#This Row],[CodBarras2]],2,50)</f>
        <v/>
      </c>
    </row>
    <row r="6975" spans="9:9" x14ac:dyDescent="0.25">
      <c r="I6975" s="227" t="str">
        <f>MID(excPisCofins[[#This Row],[CodBarras2]],2,50)</f>
        <v/>
      </c>
    </row>
    <row r="6976" spans="9:9" x14ac:dyDescent="0.25">
      <c r="I6976" s="227" t="str">
        <f>MID(excPisCofins[[#This Row],[CodBarras2]],2,50)</f>
        <v/>
      </c>
    </row>
    <row r="6977" spans="9:9" x14ac:dyDescent="0.25">
      <c r="I6977" s="227" t="str">
        <f>MID(excPisCofins[[#This Row],[CodBarras2]],2,50)</f>
        <v/>
      </c>
    </row>
    <row r="6978" spans="9:9" x14ac:dyDescent="0.25">
      <c r="I6978" s="227" t="str">
        <f>MID(excPisCofins[[#This Row],[CodBarras2]],2,50)</f>
        <v/>
      </c>
    </row>
    <row r="6979" spans="9:9" x14ac:dyDescent="0.25">
      <c r="I6979" s="227" t="str">
        <f>MID(excPisCofins[[#This Row],[CodBarras2]],2,50)</f>
        <v/>
      </c>
    </row>
    <row r="6980" spans="9:9" x14ac:dyDescent="0.25">
      <c r="I6980" s="227" t="str">
        <f>MID(excPisCofins[[#This Row],[CodBarras2]],2,50)</f>
        <v/>
      </c>
    </row>
    <row r="6981" spans="9:9" x14ac:dyDescent="0.25">
      <c r="I6981" s="227" t="str">
        <f>MID(excPisCofins[[#This Row],[CodBarras2]],2,50)</f>
        <v/>
      </c>
    </row>
    <row r="6982" spans="9:9" x14ac:dyDescent="0.25">
      <c r="I6982" s="227" t="str">
        <f>MID(excPisCofins[[#This Row],[CodBarras2]],2,50)</f>
        <v/>
      </c>
    </row>
    <row r="6983" spans="9:9" x14ac:dyDescent="0.25">
      <c r="I6983" s="227" t="str">
        <f>MID(excPisCofins[[#This Row],[CodBarras2]],2,50)</f>
        <v/>
      </c>
    </row>
    <row r="6984" spans="9:9" x14ac:dyDescent="0.25">
      <c r="I6984" s="227" t="str">
        <f>MID(excPisCofins[[#This Row],[CodBarras2]],2,50)</f>
        <v/>
      </c>
    </row>
    <row r="6985" spans="9:9" x14ac:dyDescent="0.25">
      <c r="I6985" s="227" t="str">
        <f>MID(excPisCofins[[#This Row],[CodBarras2]],2,50)</f>
        <v/>
      </c>
    </row>
    <row r="6986" spans="9:9" x14ac:dyDescent="0.25">
      <c r="I6986" s="227" t="str">
        <f>MID(excPisCofins[[#This Row],[CodBarras2]],2,50)</f>
        <v/>
      </c>
    </row>
    <row r="6987" spans="9:9" x14ac:dyDescent="0.25">
      <c r="I6987" s="227" t="str">
        <f>MID(excPisCofins[[#This Row],[CodBarras2]],2,50)</f>
        <v/>
      </c>
    </row>
    <row r="6988" spans="9:9" x14ac:dyDescent="0.25">
      <c r="I6988" s="227" t="str">
        <f>MID(excPisCofins[[#This Row],[CodBarras2]],2,50)</f>
        <v/>
      </c>
    </row>
    <row r="6989" spans="9:9" x14ac:dyDescent="0.25">
      <c r="I6989" s="227" t="str">
        <f>MID(excPisCofins[[#This Row],[CodBarras2]],2,50)</f>
        <v/>
      </c>
    </row>
    <row r="6990" spans="9:9" x14ac:dyDescent="0.25">
      <c r="I6990" s="227" t="str">
        <f>MID(excPisCofins[[#This Row],[CodBarras2]],2,50)</f>
        <v/>
      </c>
    </row>
    <row r="6991" spans="9:9" x14ac:dyDescent="0.25">
      <c r="I6991" s="227" t="str">
        <f>MID(excPisCofins[[#This Row],[CodBarras2]],2,50)</f>
        <v/>
      </c>
    </row>
    <row r="6992" spans="9:9" x14ac:dyDescent="0.25">
      <c r="I6992" s="227" t="str">
        <f>MID(excPisCofins[[#This Row],[CodBarras2]],2,50)</f>
        <v/>
      </c>
    </row>
    <row r="6993" spans="9:9" x14ac:dyDescent="0.25">
      <c r="I6993" s="227" t="str">
        <f>MID(excPisCofins[[#This Row],[CodBarras2]],2,50)</f>
        <v/>
      </c>
    </row>
    <row r="6994" spans="9:9" x14ac:dyDescent="0.25">
      <c r="I6994" s="227" t="str">
        <f>MID(excPisCofins[[#This Row],[CodBarras2]],2,50)</f>
        <v/>
      </c>
    </row>
    <row r="6995" spans="9:9" x14ac:dyDescent="0.25">
      <c r="I6995" s="227" t="str">
        <f>MID(excPisCofins[[#This Row],[CodBarras2]],2,50)</f>
        <v/>
      </c>
    </row>
    <row r="6996" spans="9:9" x14ac:dyDescent="0.25">
      <c r="I6996" s="227" t="str">
        <f>MID(excPisCofins[[#This Row],[CodBarras2]],2,50)</f>
        <v/>
      </c>
    </row>
    <row r="6997" spans="9:9" x14ac:dyDescent="0.25">
      <c r="I6997" s="227" t="str">
        <f>MID(excPisCofins[[#This Row],[CodBarras2]],2,50)</f>
        <v/>
      </c>
    </row>
    <row r="6998" spans="9:9" x14ac:dyDescent="0.25">
      <c r="I6998" s="227" t="str">
        <f>MID(excPisCofins[[#This Row],[CodBarras2]],2,50)</f>
        <v/>
      </c>
    </row>
    <row r="6999" spans="9:9" x14ac:dyDescent="0.25">
      <c r="I6999" s="227" t="str">
        <f>MID(excPisCofins[[#This Row],[CodBarras2]],2,50)</f>
        <v/>
      </c>
    </row>
    <row r="7000" spans="9:9" x14ac:dyDescent="0.25">
      <c r="I7000" s="227" t="str">
        <f>MID(excPisCofins[[#This Row],[CodBarras2]],2,50)</f>
        <v/>
      </c>
    </row>
    <row r="7001" spans="9:9" x14ac:dyDescent="0.25">
      <c r="I7001" s="227" t="str">
        <f>MID(excPisCofins[[#This Row],[CodBarras2]],2,50)</f>
        <v/>
      </c>
    </row>
    <row r="7002" spans="9:9" x14ac:dyDescent="0.25">
      <c r="I7002" s="227" t="str">
        <f>MID(excPisCofins[[#This Row],[CodBarras2]],2,50)</f>
        <v/>
      </c>
    </row>
    <row r="7003" spans="9:9" x14ac:dyDescent="0.25">
      <c r="I7003" s="227" t="str">
        <f>MID(excPisCofins[[#This Row],[CodBarras2]],2,50)</f>
        <v/>
      </c>
    </row>
    <row r="7004" spans="9:9" x14ac:dyDescent="0.25">
      <c r="I7004" s="227" t="str">
        <f>MID(excPisCofins[[#This Row],[CodBarras2]],2,50)</f>
        <v/>
      </c>
    </row>
    <row r="7005" spans="9:9" x14ac:dyDescent="0.25">
      <c r="I7005" s="227" t="str">
        <f>MID(excPisCofins[[#This Row],[CodBarras2]],2,50)</f>
        <v/>
      </c>
    </row>
    <row r="7006" spans="9:9" x14ac:dyDescent="0.25">
      <c r="I7006" s="227" t="str">
        <f>MID(excPisCofins[[#This Row],[CodBarras2]],2,50)</f>
        <v/>
      </c>
    </row>
    <row r="7007" spans="9:9" x14ac:dyDescent="0.25">
      <c r="I7007" s="227" t="str">
        <f>MID(excPisCofins[[#This Row],[CodBarras2]],2,50)</f>
        <v/>
      </c>
    </row>
    <row r="7008" spans="9:9" x14ac:dyDescent="0.25">
      <c r="I7008" s="227" t="str">
        <f>MID(excPisCofins[[#This Row],[CodBarras2]],2,50)</f>
        <v/>
      </c>
    </row>
    <row r="7009" spans="9:9" x14ac:dyDescent="0.25">
      <c r="I7009" s="227" t="str">
        <f>MID(excPisCofins[[#This Row],[CodBarras2]],2,50)</f>
        <v/>
      </c>
    </row>
    <row r="7010" spans="9:9" x14ac:dyDescent="0.25">
      <c r="I7010" s="227" t="str">
        <f>MID(excPisCofins[[#This Row],[CodBarras2]],2,50)</f>
        <v/>
      </c>
    </row>
    <row r="7011" spans="9:9" x14ac:dyDescent="0.25">
      <c r="I7011" s="227" t="str">
        <f>MID(excPisCofins[[#This Row],[CodBarras2]],2,50)</f>
        <v/>
      </c>
    </row>
    <row r="7012" spans="9:9" x14ac:dyDescent="0.25">
      <c r="I7012" s="227" t="str">
        <f>MID(excPisCofins[[#This Row],[CodBarras2]],2,50)</f>
        <v/>
      </c>
    </row>
    <row r="7013" spans="9:9" x14ac:dyDescent="0.25">
      <c r="I7013" s="227" t="str">
        <f>MID(excPisCofins[[#This Row],[CodBarras2]],2,50)</f>
        <v/>
      </c>
    </row>
    <row r="7014" spans="9:9" x14ac:dyDescent="0.25">
      <c r="I7014" s="227" t="str">
        <f>MID(excPisCofins[[#This Row],[CodBarras2]],2,50)</f>
        <v/>
      </c>
    </row>
    <row r="7015" spans="9:9" x14ac:dyDescent="0.25">
      <c r="I7015" s="227" t="str">
        <f>MID(excPisCofins[[#This Row],[CodBarras2]],2,50)</f>
        <v/>
      </c>
    </row>
    <row r="7016" spans="9:9" x14ac:dyDescent="0.25">
      <c r="I7016" s="227" t="str">
        <f>MID(excPisCofins[[#This Row],[CodBarras2]],2,50)</f>
        <v/>
      </c>
    </row>
    <row r="7017" spans="9:9" x14ac:dyDescent="0.25">
      <c r="I7017" s="227" t="str">
        <f>MID(excPisCofins[[#This Row],[CodBarras2]],2,50)</f>
        <v/>
      </c>
    </row>
    <row r="7018" spans="9:9" x14ac:dyDescent="0.25">
      <c r="I7018" s="227" t="str">
        <f>MID(excPisCofins[[#This Row],[CodBarras2]],2,50)</f>
        <v/>
      </c>
    </row>
    <row r="7019" spans="9:9" x14ac:dyDescent="0.25">
      <c r="I7019" s="227" t="str">
        <f>MID(excPisCofins[[#This Row],[CodBarras2]],2,50)</f>
        <v/>
      </c>
    </row>
    <row r="7020" spans="9:9" x14ac:dyDescent="0.25">
      <c r="I7020" s="227" t="str">
        <f>MID(excPisCofins[[#This Row],[CodBarras2]],2,50)</f>
        <v/>
      </c>
    </row>
    <row r="7021" spans="9:9" x14ac:dyDescent="0.25">
      <c r="I7021" s="227" t="str">
        <f>MID(excPisCofins[[#This Row],[CodBarras2]],2,50)</f>
        <v/>
      </c>
    </row>
    <row r="7022" spans="9:9" x14ac:dyDescent="0.25">
      <c r="I7022" s="227" t="str">
        <f>MID(excPisCofins[[#This Row],[CodBarras2]],2,50)</f>
        <v/>
      </c>
    </row>
    <row r="7023" spans="9:9" x14ac:dyDescent="0.25">
      <c r="I7023" s="227" t="str">
        <f>MID(excPisCofins[[#This Row],[CodBarras2]],2,50)</f>
        <v/>
      </c>
    </row>
    <row r="7024" spans="9:9" x14ac:dyDescent="0.25">
      <c r="I7024" s="227" t="str">
        <f>MID(excPisCofins[[#This Row],[CodBarras2]],2,50)</f>
        <v/>
      </c>
    </row>
    <row r="7025" spans="9:9" x14ac:dyDescent="0.25">
      <c r="I7025" s="227" t="str">
        <f>MID(excPisCofins[[#This Row],[CodBarras2]],2,50)</f>
        <v/>
      </c>
    </row>
    <row r="7026" spans="9:9" x14ac:dyDescent="0.25">
      <c r="I7026" s="227" t="str">
        <f>MID(excPisCofins[[#This Row],[CodBarras2]],2,50)</f>
        <v/>
      </c>
    </row>
    <row r="7027" spans="9:9" x14ac:dyDescent="0.25">
      <c r="I7027" s="227" t="str">
        <f>MID(excPisCofins[[#This Row],[CodBarras2]],2,50)</f>
        <v/>
      </c>
    </row>
    <row r="7028" spans="9:9" x14ac:dyDescent="0.25">
      <c r="I7028" s="227" t="str">
        <f>MID(excPisCofins[[#This Row],[CodBarras2]],2,50)</f>
        <v/>
      </c>
    </row>
    <row r="7029" spans="9:9" x14ac:dyDescent="0.25">
      <c r="I7029" s="227" t="str">
        <f>MID(excPisCofins[[#This Row],[CodBarras2]],2,50)</f>
        <v/>
      </c>
    </row>
    <row r="7030" spans="9:9" x14ac:dyDescent="0.25">
      <c r="I7030" s="227" t="str">
        <f>MID(excPisCofins[[#This Row],[CodBarras2]],2,50)</f>
        <v/>
      </c>
    </row>
    <row r="7031" spans="9:9" x14ac:dyDescent="0.25">
      <c r="I7031" s="227" t="str">
        <f>MID(excPisCofins[[#This Row],[CodBarras2]],2,50)</f>
        <v/>
      </c>
    </row>
    <row r="7032" spans="9:9" x14ac:dyDescent="0.25">
      <c r="I7032" s="227" t="str">
        <f>MID(excPisCofins[[#This Row],[CodBarras2]],2,50)</f>
        <v/>
      </c>
    </row>
    <row r="7033" spans="9:9" x14ac:dyDescent="0.25">
      <c r="I7033" s="227" t="str">
        <f>MID(excPisCofins[[#This Row],[CodBarras2]],2,50)</f>
        <v/>
      </c>
    </row>
    <row r="7034" spans="9:9" x14ac:dyDescent="0.25">
      <c r="I7034" s="227" t="str">
        <f>MID(excPisCofins[[#This Row],[CodBarras2]],2,50)</f>
        <v/>
      </c>
    </row>
    <row r="7035" spans="9:9" x14ac:dyDescent="0.25">
      <c r="I7035" s="227" t="str">
        <f>MID(excPisCofins[[#This Row],[CodBarras2]],2,50)</f>
        <v/>
      </c>
    </row>
    <row r="7036" spans="9:9" x14ac:dyDescent="0.25">
      <c r="I7036" s="227" t="str">
        <f>MID(excPisCofins[[#This Row],[CodBarras2]],2,50)</f>
        <v/>
      </c>
    </row>
    <row r="7037" spans="9:9" x14ac:dyDescent="0.25">
      <c r="I7037" s="227" t="str">
        <f>MID(excPisCofins[[#This Row],[CodBarras2]],2,50)</f>
        <v/>
      </c>
    </row>
    <row r="7038" spans="9:9" x14ac:dyDescent="0.25">
      <c r="I7038" s="227" t="str">
        <f>MID(excPisCofins[[#This Row],[CodBarras2]],2,50)</f>
        <v/>
      </c>
    </row>
    <row r="7039" spans="9:9" x14ac:dyDescent="0.25">
      <c r="I7039" s="227" t="str">
        <f>MID(excPisCofins[[#This Row],[CodBarras2]],2,50)</f>
        <v/>
      </c>
    </row>
    <row r="7040" spans="9:9" x14ac:dyDescent="0.25">
      <c r="I7040" s="227" t="str">
        <f>MID(excPisCofins[[#This Row],[CodBarras2]],2,50)</f>
        <v/>
      </c>
    </row>
    <row r="7041" spans="9:9" x14ac:dyDescent="0.25">
      <c r="I7041" s="227" t="str">
        <f>MID(excPisCofins[[#This Row],[CodBarras2]],2,50)</f>
        <v/>
      </c>
    </row>
    <row r="7042" spans="9:9" x14ac:dyDescent="0.25">
      <c r="I7042" s="227" t="str">
        <f>MID(excPisCofins[[#This Row],[CodBarras2]],2,50)</f>
        <v/>
      </c>
    </row>
    <row r="7043" spans="9:9" x14ac:dyDescent="0.25">
      <c r="I7043" s="227" t="str">
        <f>MID(excPisCofins[[#This Row],[CodBarras2]],2,50)</f>
        <v/>
      </c>
    </row>
    <row r="7044" spans="9:9" x14ac:dyDescent="0.25">
      <c r="I7044" s="227" t="str">
        <f>MID(excPisCofins[[#This Row],[CodBarras2]],2,50)</f>
        <v/>
      </c>
    </row>
    <row r="7045" spans="9:9" x14ac:dyDescent="0.25">
      <c r="I7045" s="227" t="str">
        <f>MID(excPisCofins[[#This Row],[CodBarras2]],2,50)</f>
        <v/>
      </c>
    </row>
    <row r="7046" spans="9:9" x14ac:dyDescent="0.25">
      <c r="I7046" s="227" t="str">
        <f>MID(excPisCofins[[#This Row],[CodBarras2]],2,50)</f>
        <v/>
      </c>
    </row>
    <row r="7047" spans="9:9" x14ac:dyDescent="0.25">
      <c r="I7047" s="227" t="str">
        <f>MID(excPisCofins[[#This Row],[CodBarras2]],2,50)</f>
        <v/>
      </c>
    </row>
    <row r="7048" spans="9:9" x14ac:dyDescent="0.25">
      <c r="I7048" s="227" t="str">
        <f>MID(excPisCofins[[#This Row],[CodBarras2]],2,50)</f>
        <v/>
      </c>
    </row>
    <row r="7049" spans="9:9" x14ac:dyDescent="0.25">
      <c r="I7049" s="227" t="str">
        <f>MID(excPisCofins[[#This Row],[CodBarras2]],2,50)</f>
        <v/>
      </c>
    </row>
    <row r="7050" spans="9:9" x14ac:dyDescent="0.25">
      <c r="I7050" s="227" t="str">
        <f>MID(excPisCofins[[#This Row],[CodBarras2]],2,50)</f>
        <v/>
      </c>
    </row>
    <row r="7051" spans="9:9" x14ac:dyDescent="0.25">
      <c r="I7051" s="227" t="str">
        <f>MID(excPisCofins[[#This Row],[CodBarras2]],2,50)</f>
        <v/>
      </c>
    </row>
    <row r="7052" spans="9:9" x14ac:dyDescent="0.25">
      <c r="I7052" s="227" t="str">
        <f>MID(excPisCofins[[#This Row],[CodBarras2]],2,50)</f>
        <v/>
      </c>
    </row>
    <row r="7053" spans="9:9" x14ac:dyDescent="0.25">
      <c r="I7053" s="227" t="str">
        <f>MID(excPisCofins[[#This Row],[CodBarras2]],2,50)</f>
        <v/>
      </c>
    </row>
    <row r="7054" spans="9:9" x14ac:dyDescent="0.25">
      <c r="I7054" s="227" t="str">
        <f>MID(excPisCofins[[#This Row],[CodBarras2]],2,50)</f>
        <v/>
      </c>
    </row>
    <row r="7055" spans="9:9" x14ac:dyDescent="0.25">
      <c r="I7055" s="227" t="str">
        <f>MID(excPisCofins[[#This Row],[CodBarras2]],2,50)</f>
        <v/>
      </c>
    </row>
    <row r="7056" spans="9:9" x14ac:dyDescent="0.25">
      <c r="I7056" s="227" t="str">
        <f>MID(excPisCofins[[#This Row],[CodBarras2]],2,50)</f>
        <v/>
      </c>
    </row>
    <row r="7057" spans="9:9" x14ac:dyDescent="0.25">
      <c r="I7057" s="227" t="str">
        <f>MID(excPisCofins[[#This Row],[CodBarras2]],2,50)</f>
        <v/>
      </c>
    </row>
    <row r="7058" spans="9:9" x14ac:dyDescent="0.25">
      <c r="I7058" s="227" t="str">
        <f>MID(excPisCofins[[#This Row],[CodBarras2]],2,50)</f>
        <v/>
      </c>
    </row>
    <row r="7059" spans="9:9" x14ac:dyDescent="0.25">
      <c r="I7059" s="227" t="str">
        <f>MID(excPisCofins[[#This Row],[CodBarras2]],2,50)</f>
        <v/>
      </c>
    </row>
    <row r="7060" spans="9:9" x14ac:dyDescent="0.25">
      <c r="I7060" s="227" t="str">
        <f>MID(excPisCofins[[#This Row],[CodBarras2]],2,50)</f>
        <v/>
      </c>
    </row>
    <row r="7061" spans="9:9" x14ac:dyDescent="0.25">
      <c r="I7061" s="227" t="str">
        <f>MID(excPisCofins[[#This Row],[CodBarras2]],2,50)</f>
        <v/>
      </c>
    </row>
    <row r="7062" spans="9:9" x14ac:dyDescent="0.25">
      <c r="I7062" s="227" t="str">
        <f>MID(excPisCofins[[#This Row],[CodBarras2]],2,50)</f>
        <v/>
      </c>
    </row>
    <row r="7063" spans="9:9" x14ac:dyDescent="0.25">
      <c r="I7063" s="227" t="str">
        <f>MID(excPisCofins[[#This Row],[CodBarras2]],2,50)</f>
        <v/>
      </c>
    </row>
    <row r="7064" spans="9:9" x14ac:dyDescent="0.25">
      <c r="I7064" s="227" t="str">
        <f>MID(excPisCofins[[#This Row],[CodBarras2]],2,50)</f>
        <v/>
      </c>
    </row>
    <row r="7065" spans="9:9" x14ac:dyDescent="0.25">
      <c r="I7065" s="227" t="str">
        <f>MID(excPisCofins[[#This Row],[CodBarras2]],2,50)</f>
        <v/>
      </c>
    </row>
    <row r="7066" spans="9:9" x14ac:dyDescent="0.25">
      <c r="I7066" s="227" t="str">
        <f>MID(excPisCofins[[#This Row],[CodBarras2]],2,50)</f>
        <v/>
      </c>
    </row>
    <row r="7067" spans="9:9" x14ac:dyDescent="0.25">
      <c r="I7067" s="227" t="str">
        <f>MID(excPisCofins[[#This Row],[CodBarras2]],2,50)</f>
        <v/>
      </c>
    </row>
    <row r="7068" spans="9:9" x14ac:dyDescent="0.25">
      <c r="I7068" s="227" t="str">
        <f>MID(excPisCofins[[#This Row],[CodBarras2]],2,50)</f>
        <v/>
      </c>
    </row>
    <row r="7069" spans="9:9" x14ac:dyDescent="0.25">
      <c r="I7069" s="227" t="str">
        <f>MID(excPisCofins[[#This Row],[CodBarras2]],2,50)</f>
        <v/>
      </c>
    </row>
    <row r="7070" spans="9:9" x14ac:dyDescent="0.25">
      <c r="I7070" s="227" t="str">
        <f>MID(excPisCofins[[#This Row],[CodBarras2]],2,50)</f>
        <v/>
      </c>
    </row>
    <row r="7071" spans="9:9" x14ac:dyDescent="0.25">
      <c r="I7071" s="227" t="str">
        <f>MID(excPisCofins[[#This Row],[CodBarras2]],2,50)</f>
        <v/>
      </c>
    </row>
    <row r="7072" spans="9:9" x14ac:dyDescent="0.25">
      <c r="I7072" s="227" t="str">
        <f>MID(excPisCofins[[#This Row],[CodBarras2]],2,50)</f>
        <v/>
      </c>
    </row>
    <row r="7073" spans="9:9" x14ac:dyDescent="0.25">
      <c r="I7073" s="227" t="str">
        <f>MID(excPisCofins[[#This Row],[CodBarras2]],2,50)</f>
        <v/>
      </c>
    </row>
    <row r="7074" spans="9:9" x14ac:dyDescent="0.25">
      <c r="I7074" s="227" t="str">
        <f>MID(excPisCofins[[#This Row],[CodBarras2]],2,50)</f>
        <v/>
      </c>
    </row>
    <row r="7075" spans="9:9" x14ac:dyDescent="0.25">
      <c r="I7075" s="227" t="str">
        <f>MID(excPisCofins[[#This Row],[CodBarras2]],2,50)</f>
        <v/>
      </c>
    </row>
    <row r="7076" spans="9:9" x14ac:dyDescent="0.25">
      <c r="I7076" s="227" t="str">
        <f>MID(excPisCofins[[#This Row],[CodBarras2]],2,50)</f>
        <v/>
      </c>
    </row>
    <row r="7077" spans="9:9" x14ac:dyDescent="0.25">
      <c r="I7077" s="227" t="str">
        <f>MID(excPisCofins[[#This Row],[CodBarras2]],2,50)</f>
        <v/>
      </c>
    </row>
    <row r="7078" spans="9:9" x14ac:dyDescent="0.25">
      <c r="I7078" s="227" t="str">
        <f>MID(excPisCofins[[#This Row],[CodBarras2]],2,50)</f>
        <v/>
      </c>
    </row>
    <row r="7079" spans="9:9" x14ac:dyDescent="0.25">
      <c r="I7079" s="227" t="str">
        <f>MID(excPisCofins[[#This Row],[CodBarras2]],2,50)</f>
        <v/>
      </c>
    </row>
    <row r="7080" spans="9:9" x14ac:dyDescent="0.25">
      <c r="I7080" s="227" t="str">
        <f>MID(excPisCofins[[#This Row],[CodBarras2]],2,50)</f>
        <v/>
      </c>
    </row>
    <row r="7081" spans="9:9" x14ac:dyDescent="0.25">
      <c r="I7081" s="227" t="str">
        <f>MID(excPisCofins[[#This Row],[CodBarras2]],2,50)</f>
        <v/>
      </c>
    </row>
    <row r="7082" spans="9:9" x14ac:dyDescent="0.25">
      <c r="I7082" s="227" t="str">
        <f>MID(excPisCofins[[#This Row],[CodBarras2]],2,50)</f>
        <v/>
      </c>
    </row>
    <row r="7083" spans="9:9" x14ac:dyDescent="0.25">
      <c r="I7083" s="227" t="str">
        <f>MID(excPisCofins[[#This Row],[CodBarras2]],2,50)</f>
        <v/>
      </c>
    </row>
    <row r="7084" spans="9:9" x14ac:dyDescent="0.25">
      <c r="I7084" s="227" t="str">
        <f>MID(excPisCofins[[#This Row],[CodBarras2]],2,50)</f>
        <v/>
      </c>
    </row>
    <row r="7085" spans="9:9" x14ac:dyDescent="0.25">
      <c r="I7085" s="227" t="str">
        <f>MID(excPisCofins[[#This Row],[CodBarras2]],2,50)</f>
        <v/>
      </c>
    </row>
    <row r="7086" spans="9:9" x14ac:dyDescent="0.25">
      <c r="I7086" s="227" t="str">
        <f>MID(excPisCofins[[#This Row],[CodBarras2]],2,50)</f>
        <v/>
      </c>
    </row>
    <row r="7087" spans="9:9" x14ac:dyDescent="0.25">
      <c r="I7087" s="227" t="str">
        <f>MID(excPisCofins[[#This Row],[CodBarras2]],2,50)</f>
        <v/>
      </c>
    </row>
    <row r="7088" spans="9:9" x14ac:dyDescent="0.25">
      <c r="I7088" s="227" t="str">
        <f>MID(excPisCofins[[#This Row],[CodBarras2]],2,50)</f>
        <v/>
      </c>
    </row>
    <row r="7089" spans="9:9" x14ac:dyDescent="0.25">
      <c r="I7089" s="227" t="str">
        <f>MID(excPisCofins[[#This Row],[CodBarras2]],2,50)</f>
        <v/>
      </c>
    </row>
    <row r="7090" spans="9:9" x14ac:dyDescent="0.25">
      <c r="I7090" s="227" t="str">
        <f>MID(excPisCofins[[#This Row],[CodBarras2]],2,50)</f>
        <v/>
      </c>
    </row>
    <row r="7091" spans="9:9" x14ac:dyDescent="0.25">
      <c r="I7091" s="227" t="str">
        <f>MID(excPisCofins[[#This Row],[CodBarras2]],2,50)</f>
        <v/>
      </c>
    </row>
    <row r="7092" spans="9:9" x14ac:dyDescent="0.25">
      <c r="I7092" s="227" t="str">
        <f>MID(excPisCofins[[#This Row],[CodBarras2]],2,50)</f>
        <v/>
      </c>
    </row>
    <row r="7093" spans="9:9" x14ac:dyDescent="0.25">
      <c r="I7093" s="227" t="str">
        <f>MID(excPisCofins[[#This Row],[CodBarras2]],2,50)</f>
        <v/>
      </c>
    </row>
    <row r="7094" spans="9:9" x14ac:dyDescent="0.25">
      <c r="I7094" s="227" t="str">
        <f>MID(excPisCofins[[#This Row],[CodBarras2]],2,50)</f>
        <v/>
      </c>
    </row>
    <row r="7095" spans="9:9" x14ac:dyDescent="0.25">
      <c r="I7095" s="227" t="str">
        <f>MID(excPisCofins[[#This Row],[CodBarras2]],2,50)</f>
        <v/>
      </c>
    </row>
    <row r="7096" spans="9:9" x14ac:dyDescent="0.25">
      <c r="I7096" s="227" t="str">
        <f>MID(excPisCofins[[#This Row],[CodBarras2]],2,50)</f>
        <v/>
      </c>
    </row>
    <row r="7097" spans="9:9" x14ac:dyDescent="0.25">
      <c r="I7097" s="227" t="str">
        <f>MID(excPisCofins[[#This Row],[CodBarras2]],2,50)</f>
        <v/>
      </c>
    </row>
    <row r="7098" spans="9:9" x14ac:dyDescent="0.25">
      <c r="I7098" s="227" t="str">
        <f>MID(excPisCofins[[#This Row],[CodBarras2]],2,50)</f>
        <v/>
      </c>
    </row>
    <row r="7099" spans="9:9" x14ac:dyDescent="0.25">
      <c r="I7099" s="227" t="str">
        <f>MID(excPisCofins[[#This Row],[CodBarras2]],2,50)</f>
        <v/>
      </c>
    </row>
    <row r="7100" spans="9:9" x14ac:dyDescent="0.25">
      <c r="I7100" s="227" t="str">
        <f>MID(excPisCofins[[#This Row],[CodBarras2]],2,50)</f>
        <v/>
      </c>
    </row>
    <row r="7101" spans="9:9" x14ac:dyDescent="0.25">
      <c r="I7101" s="227" t="str">
        <f>MID(excPisCofins[[#This Row],[CodBarras2]],2,50)</f>
        <v/>
      </c>
    </row>
    <row r="7102" spans="9:9" x14ac:dyDescent="0.25">
      <c r="I7102" s="227" t="str">
        <f>MID(excPisCofins[[#This Row],[CodBarras2]],2,50)</f>
        <v/>
      </c>
    </row>
    <row r="7103" spans="9:9" x14ac:dyDescent="0.25">
      <c r="I7103" s="227" t="str">
        <f>MID(excPisCofins[[#This Row],[CodBarras2]],2,50)</f>
        <v/>
      </c>
    </row>
    <row r="7104" spans="9:9" x14ac:dyDescent="0.25">
      <c r="I7104" s="227" t="str">
        <f>MID(excPisCofins[[#This Row],[CodBarras2]],2,50)</f>
        <v/>
      </c>
    </row>
    <row r="7105" spans="9:9" x14ac:dyDescent="0.25">
      <c r="I7105" s="227" t="str">
        <f>MID(excPisCofins[[#This Row],[CodBarras2]],2,50)</f>
        <v/>
      </c>
    </row>
    <row r="7106" spans="9:9" x14ac:dyDescent="0.25">
      <c r="I7106" s="227" t="str">
        <f>MID(excPisCofins[[#This Row],[CodBarras2]],2,50)</f>
        <v/>
      </c>
    </row>
    <row r="7107" spans="9:9" x14ac:dyDescent="0.25">
      <c r="I7107" s="227" t="str">
        <f>MID(excPisCofins[[#This Row],[CodBarras2]],2,50)</f>
        <v/>
      </c>
    </row>
    <row r="7108" spans="9:9" x14ac:dyDescent="0.25">
      <c r="I7108" s="227" t="str">
        <f>MID(excPisCofins[[#This Row],[CodBarras2]],2,50)</f>
        <v/>
      </c>
    </row>
    <row r="7109" spans="9:9" x14ac:dyDescent="0.25">
      <c r="I7109" s="227" t="str">
        <f>MID(excPisCofins[[#This Row],[CodBarras2]],2,50)</f>
        <v/>
      </c>
    </row>
    <row r="7110" spans="9:9" x14ac:dyDescent="0.25">
      <c r="I7110" s="227" t="str">
        <f>MID(excPisCofins[[#This Row],[CodBarras2]],2,50)</f>
        <v/>
      </c>
    </row>
    <row r="7111" spans="9:9" x14ac:dyDescent="0.25">
      <c r="I7111" s="227" t="str">
        <f>MID(excPisCofins[[#This Row],[CodBarras2]],2,50)</f>
        <v/>
      </c>
    </row>
    <row r="7112" spans="9:9" x14ac:dyDescent="0.25">
      <c r="I7112" s="227" t="str">
        <f>MID(excPisCofins[[#This Row],[CodBarras2]],2,50)</f>
        <v/>
      </c>
    </row>
    <row r="7113" spans="9:9" x14ac:dyDescent="0.25">
      <c r="I7113" s="227" t="str">
        <f>MID(excPisCofins[[#This Row],[CodBarras2]],2,50)</f>
        <v/>
      </c>
    </row>
    <row r="7114" spans="9:9" x14ac:dyDescent="0.25">
      <c r="I7114" s="227" t="str">
        <f>MID(excPisCofins[[#This Row],[CodBarras2]],2,50)</f>
        <v/>
      </c>
    </row>
    <row r="7115" spans="9:9" x14ac:dyDescent="0.25">
      <c r="I7115" s="227" t="str">
        <f>MID(excPisCofins[[#This Row],[CodBarras2]],2,50)</f>
        <v/>
      </c>
    </row>
    <row r="7116" spans="9:9" x14ac:dyDescent="0.25">
      <c r="I7116" s="227" t="str">
        <f>MID(excPisCofins[[#This Row],[CodBarras2]],2,50)</f>
        <v/>
      </c>
    </row>
    <row r="7117" spans="9:9" x14ac:dyDescent="0.25">
      <c r="I7117" s="227" t="str">
        <f>MID(excPisCofins[[#This Row],[CodBarras2]],2,50)</f>
        <v/>
      </c>
    </row>
    <row r="7118" spans="9:9" x14ac:dyDescent="0.25">
      <c r="I7118" s="227" t="str">
        <f>MID(excPisCofins[[#This Row],[CodBarras2]],2,50)</f>
        <v/>
      </c>
    </row>
    <row r="7119" spans="9:9" x14ac:dyDescent="0.25">
      <c r="I7119" s="227" t="str">
        <f>MID(excPisCofins[[#This Row],[CodBarras2]],2,50)</f>
        <v/>
      </c>
    </row>
    <row r="7120" spans="9:9" x14ac:dyDescent="0.25">
      <c r="I7120" s="227" t="str">
        <f>MID(excPisCofins[[#This Row],[CodBarras2]],2,50)</f>
        <v/>
      </c>
    </row>
    <row r="7121" spans="9:9" x14ac:dyDescent="0.25">
      <c r="I7121" s="227" t="str">
        <f>MID(excPisCofins[[#This Row],[CodBarras2]],2,50)</f>
        <v/>
      </c>
    </row>
    <row r="7122" spans="9:9" x14ac:dyDescent="0.25">
      <c r="I7122" s="227" t="str">
        <f>MID(excPisCofins[[#This Row],[CodBarras2]],2,50)</f>
        <v/>
      </c>
    </row>
    <row r="7123" spans="9:9" x14ac:dyDescent="0.25">
      <c r="I7123" s="227" t="str">
        <f>MID(excPisCofins[[#This Row],[CodBarras2]],2,50)</f>
        <v/>
      </c>
    </row>
    <row r="7124" spans="9:9" x14ac:dyDescent="0.25">
      <c r="I7124" s="227" t="str">
        <f>MID(excPisCofins[[#This Row],[CodBarras2]],2,50)</f>
        <v/>
      </c>
    </row>
    <row r="7125" spans="9:9" x14ac:dyDescent="0.25">
      <c r="I7125" s="227" t="str">
        <f>MID(excPisCofins[[#This Row],[CodBarras2]],2,50)</f>
        <v/>
      </c>
    </row>
    <row r="7126" spans="9:9" x14ac:dyDescent="0.25">
      <c r="I7126" s="227" t="str">
        <f>MID(excPisCofins[[#This Row],[CodBarras2]],2,50)</f>
        <v/>
      </c>
    </row>
    <row r="7127" spans="9:9" x14ac:dyDescent="0.25">
      <c r="I7127" s="227" t="str">
        <f>MID(excPisCofins[[#This Row],[CodBarras2]],2,50)</f>
        <v/>
      </c>
    </row>
    <row r="7128" spans="9:9" x14ac:dyDescent="0.25">
      <c r="I7128" s="227" t="str">
        <f>MID(excPisCofins[[#This Row],[CodBarras2]],2,50)</f>
        <v/>
      </c>
    </row>
    <row r="7129" spans="9:9" x14ac:dyDescent="0.25">
      <c r="I7129" s="227" t="str">
        <f>MID(excPisCofins[[#This Row],[CodBarras2]],2,50)</f>
        <v/>
      </c>
    </row>
    <row r="7130" spans="9:9" x14ac:dyDescent="0.25">
      <c r="I7130" s="227" t="str">
        <f>MID(excPisCofins[[#This Row],[CodBarras2]],2,50)</f>
        <v/>
      </c>
    </row>
    <row r="7131" spans="9:9" x14ac:dyDescent="0.25">
      <c r="I7131" s="227" t="str">
        <f>MID(excPisCofins[[#This Row],[CodBarras2]],2,50)</f>
        <v/>
      </c>
    </row>
    <row r="7132" spans="9:9" x14ac:dyDescent="0.25">
      <c r="I7132" s="227" t="str">
        <f>MID(excPisCofins[[#This Row],[CodBarras2]],2,50)</f>
        <v/>
      </c>
    </row>
    <row r="7133" spans="9:9" x14ac:dyDescent="0.25">
      <c r="I7133" s="227" t="str">
        <f>MID(excPisCofins[[#This Row],[CodBarras2]],2,50)</f>
        <v/>
      </c>
    </row>
    <row r="7134" spans="9:9" x14ac:dyDescent="0.25">
      <c r="I7134" s="227" t="str">
        <f>MID(excPisCofins[[#This Row],[CodBarras2]],2,50)</f>
        <v/>
      </c>
    </row>
    <row r="7135" spans="9:9" x14ac:dyDescent="0.25">
      <c r="I7135" s="227" t="str">
        <f>MID(excPisCofins[[#This Row],[CodBarras2]],2,50)</f>
        <v/>
      </c>
    </row>
    <row r="7136" spans="9:9" x14ac:dyDescent="0.25">
      <c r="I7136" s="227" t="str">
        <f>MID(excPisCofins[[#This Row],[CodBarras2]],2,50)</f>
        <v/>
      </c>
    </row>
    <row r="7137" spans="9:9" x14ac:dyDescent="0.25">
      <c r="I7137" s="227" t="str">
        <f>MID(excPisCofins[[#This Row],[CodBarras2]],2,50)</f>
        <v/>
      </c>
    </row>
    <row r="7138" spans="9:9" x14ac:dyDescent="0.25">
      <c r="I7138" s="227" t="str">
        <f>MID(excPisCofins[[#This Row],[CodBarras2]],2,50)</f>
        <v/>
      </c>
    </row>
    <row r="7139" spans="9:9" x14ac:dyDescent="0.25">
      <c r="I7139" s="227" t="str">
        <f>MID(excPisCofins[[#This Row],[CodBarras2]],2,50)</f>
        <v/>
      </c>
    </row>
    <row r="7140" spans="9:9" x14ac:dyDescent="0.25">
      <c r="I7140" s="227" t="str">
        <f>MID(excPisCofins[[#This Row],[CodBarras2]],2,50)</f>
        <v/>
      </c>
    </row>
    <row r="7141" spans="9:9" x14ac:dyDescent="0.25">
      <c r="I7141" s="227" t="str">
        <f>MID(excPisCofins[[#This Row],[CodBarras2]],2,50)</f>
        <v/>
      </c>
    </row>
    <row r="7142" spans="9:9" x14ac:dyDescent="0.25">
      <c r="I7142" s="227" t="str">
        <f>MID(excPisCofins[[#This Row],[CodBarras2]],2,50)</f>
        <v/>
      </c>
    </row>
    <row r="7143" spans="9:9" x14ac:dyDescent="0.25">
      <c r="I7143" s="227" t="str">
        <f>MID(excPisCofins[[#This Row],[CodBarras2]],2,50)</f>
        <v/>
      </c>
    </row>
    <row r="7144" spans="9:9" x14ac:dyDescent="0.25">
      <c r="I7144" s="227" t="str">
        <f>MID(excPisCofins[[#This Row],[CodBarras2]],2,50)</f>
        <v/>
      </c>
    </row>
    <row r="7145" spans="9:9" x14ac:dyDescent="0.25">
      <c r="I7145" s="227" t="str">
        <f>MID(excPisCofins[[#This Row],[CodBarras2]],2,50)</f>
        <v/>
      </c>
    </row>
    <row r="7146" spans="9:9" x14ac:dyDescent="0.25">
      <c r="I7146" s="227" t="str">
        <f>MID(excPisCofins[[#This Row],[CodBarras2]],2,50)</f>
        <v/>
      </c>
    </row>
    <row r="7147" spans="9:9" x14ac:dyDescent="0.25">
      <c r="I7147" s="227" t="str">
        <f>MID(excPisCofins[[#This Row],[CodBarras2]],2,50)</f>
        <v/>
      </c>
    </row>
    <row r="7148" spans="9:9" x14ac:dyDescent="0.25">
      <c r="I7148" s="227" t="str">
        <f>MID(excPisCofins[[#This Row],[CodBarras2]],2,50)</f>
        <v/>
      </c>
    </row>
    <row r="7149" spans="9:9" x14ac:dyDescent="0.25">
      <c r="I7149" s="227" t="str">
        <f>MID(excPisCofins[[#This Row],[CodBarras2]],2,50)</f>
        <v/>
      </c>
    </row>
    <row r="7150" spans="9:9" x14ac:dyDescent="0.25">
      <c r="I7150" s="227" t="str">
        <f>MID(excPisCofins[[#This Row],[CodBarras2]],2,50)</f>
        <v/>
      </c>
    </row>
    <row r="7151" spans="9:9" x14ac:dyDescent="0.25">
      <c r="I7151" s="227" t="str">
        <f>MID(excPisCofins[[#This Row],[CodBarras2]],2,50)</f>
        <v/>
      </c>
    </row>
    <row r="7152" spans="9:9" x14ac:dyDescent="0.25">
      <c r="I7152" s="227" t="str">
        <f>MID(excPisCofins[[#This Row],[CodBarras2]],2,50)</f>
        <v/>
      </c>
    </row>
    <row r="7153" spans="9:9" x14ac:dyDescent="0.25">
      <c r="I7153" s="227" t="str">
        <f>MID(excPisCofins[[#This Row],[CodBarras2]],2,50)</f>
        <v/>
      </c>
    </row>
    <row r="7154" spans="9:9" x14ac:dyDescent="0.25">
      <c r="I7154" s="227" t="str">
        <f>MID(excPisCofins[[#This Row],[CodBarras2]],2,50)</f>
        <v/>
      </c>
    </row>
    <row r="7155" spans="9:9" x14ac:dyDescent="0.25">
      <c r="I7155" s="227" t="str">
        <f>MID(excPisCofins[[#This Row],[CodBarras2]],2,50)</f>
        <v/>
      </c>
    </row>
    <row r="7156" spans="9:9" x14ac:dyDescent="0.25">
      <c r="I7156" s="227" t="str">
        <f>MID(excPisCofins[[#This Row],[CodBarras2]],2,50)</f>
        <v/>
      </c>
    </row>
    <row r="7157" spans="9:9" x14ac:dyDescent="0.25">
      <c r="I7157" s="227" t="str">
        <f>MID(excPisCofins[[#This Row],[CodBarras2]],2,50)</f>
        <v/>
      </c>
    </row>
    <row r="7158" spans="9:9" x14ac:dyDescent="0.25">
      <c r="I7158" s="227" t="str">
        <f>MID(excPisCofins[[#This Row],[CodBarras2]],2,50)</f>
        <v/>
      </c>
    </row>
    <row r="7159" spans="9:9" x14ac:dyDescent="0.25">
      <c r="I7159" s="227" t="str">
        <f>MID(excPisCofins[[#This Row],[CodBarras2]],2,50)</f>
        <v/>
      </c>
    </row>
    <row r="7160" spans="9:9" x14ac:dyDescent="0.25">
      <c r="I7160" s="227" t="str">
        <f>MID(excPisCofins[[#This Row],[CodBarras2]],2,50)</f>
        <v/>
      </c>
    </row>
    <row r="7161" spans="9:9" x14ac:dyDescent="0.25">
      <c r="I7161" s="227" t="str">
        <f>MID(excPisCofins[[#This Row],[CodBarras2]],2,50)</f>
        <v/>
      </c>
    </row>
    <row r="7162" spans="9:9" x14ac:dyDescent="0.25">
      <c r="I7162" s="227" t="str">
        <f>MID(excPisCofins[[#This Row],[CodBarras2]],2,50)</f>
        <v/>
      </c>
    </row>
    <row r="7163" spans="9:9" x14ac:dyDescent="0.25">
      <c r="I7163" s="227" t="str">
        <f>MID(excPisCofins[[#This Row],[CodBarras2]],2,50)</f>
        <v/>
      </c>
    </row>
    <row r="7164" spans="9:9" x14ac:dyDescent="0.25">
      <c r="I7164" s="227" t="str">
        <f>MID(excPisCofins[[#This Row],[CodBarras2]],2,50)</f>
        <v/>
      </c>
    </row>
    <row r="7165" spans="9:9" x14ac:dyDescent="0.25">
      <c r="I7165" s="227" t="str">
        <f>MID(excPisCofins[[#This Row],[CodBarras2]],2,50)</f>
        <v/>
      </c>
    </row>
    <row r="7166" spans="9:9" x14ac:dyDescent="0.25">
      <c r="I7166" s="227" t="str">
        <f>MID(excPisCofins[[#This Row],[CodBarras2]],2,50)</f>
        <v/>
      </c>
    </row>
    <row r="7167" spans="9:9" x14ac:dyDescent="0.25">
      <c r="I7167" s="227" t="str">
        <f>MID(excPisCofins[[#This Row],[CodBarras2]],2,50)</f>
        <v/>
      </c>
    </row>
    <row r="7168" spans="9:9" x14ac:dyDescent="0.25">
      <c r="I7168" s="227" t="str">
        <f>MID(excPisCofins[[#This Row],[CodBarras2]],2,50)</f>
        <v/>
      </c>
    </row>
    <row r="7169" spans="9:9" x14ac:dyDescent="0.25">
      <c r="I7169" s="227" t="str">
        <f>MID(excPisCofins[[#This Row],[CodBarras2]],2,50)</f>
        <v/>
      </c>
    </row>
    <row r="7170" spans="9:9" x14ac:dyDescent="0.25">
      <c r="I7170" s="227" t="str">
        <f>MID(excPisCofins[[#This Row],[CodBarras2]],2,50)</f>
        <v/>
      </c>
    </row>
    <row r="7171" spans="9:9" x14ac:dyDescent="0.25">
      <c r="I7171" s="227" t="str">
        <f>MID(excPisCofins[[#This Row],[CodBarras2]],2,50)</f>
        <v/>
      </c>
    </row>
    <row r="7172" spans="9:9" x14ac:dyDescent="0.25">
      <c r="I7172" s="227" t="str">
        <f>MID(excPisCofins[[#This Row],[CodBarras2]],2,50)</f>
        <v/>
      </c>
    </row>
    <row r="7173" spans="9:9" x14ac:dyDescent="0.25">
      <c r="I7173" s="227" t="str">
        <f>MID(excPisCofins[[#This Row],[CodBarras2]],2,50)</f>
        <v/>
      </c>
    </row>
    <row r="7174" spans="9:9" x14ac:dyDescent="0.25">
      <c r="I7174" s="227" t="str">
        <f>MID(excPisCofins[[#This Row],[CodBarras2]],2,50)</f>
        <v/>
      </c>
    </row>
    <row r="7175" spans="9:9" x14ac:dyDescent="0.25">
      <c r="I7175" s="227" t="str">
        <f>MID(excPisCofins[[#This Row],[CodBarras2]],2,50)</f>
        <v/>
      </c>
    </row>
    <row r="7176" spans="9:9" x14ac:dyDescent="0.25">
      <c r="I7176" s="227" t="str">
        <f>MID(excPisCofins[[#This Row],[CodBarras2]],2,50)</f>
        <v/>
      </c>
    </row>
    <row r="7177" spans="9:9" x14ac:dyDescent="0.25">
      <c r="I7177" s="227" t="str">
        <f>MID(excPisCofins[[#This Row],[CodBarras2]],2,50)</f>
        <v/>
      </c>
    </row>
    <row r="7178" spans="9:9" x14ac:dyDescent="0.25">
      <c r="I7178" s="227" t="str">
        <f>MID(excPisCofins[[#This Row],[CodBarras2]],2,50)</f>
        <v/>
      </c>
    </row>
    <row r="7179" spans="9:9" x14ac:dyDescent="0.25">
      <c r="I7179" s="227" t="str">
        <f>MID(excPisCofins[[#This Row],[CodBarras2]],2,50)</f>
        <v/>
      </c>
    </row>
    <row r="7180" spans="9:9" x14ac:dyDescent="0.25">
      <c r="I7180" s="227" t="str">
        <f>MID(excPisCofins[[#This Row],[CodBarras2]],2,50)</f>
        <v/>
      </c>
    </row>
    <row r="7181" spans="9:9" x14ac:dyDescent="0.25">
      <c r="I7181" s="227" t="str">
        <f>MID(excPisCofins[[#This Row],[CodBarras2]],2,50)</f>
        <v/>
      </c>
    </row>
    <row r="7182" spans="9:9" x14ac:dyDescent="0.25">
      <c r="I7182" s="227" t="str">
        <f>MID(excPisCofins[[#This Row],[CodBarras2]],2,50)</f>
        <v/>
      </c>
    </row>
    <row r="7183" spans="9:9" x14ac:dyDescent="0.25">
      <c r="I7183" s="227" t="str">
        <f>MID(excPisCofins[[#This Row],[CodBarras2]],2,50)</f>
        <v/>
      </c>
    </row>
    <row r="7184" spans="9:9" x14ac:dyDescent="0.25">
      <c r="I7184" s="227" t="str">
        <f>MID(excPisCofins[[#This Row],[CodBarras2]],2,50)</f>
        <v/>
      </c>
    </row>
    <row r="7185" spans="9:9" x14ac:dyDescent="0.25">
      <c r="I7185" s="227" t="str">
        <f>MID(excPisCofins[[#This Row],[CodBarras2]],2,50)</f>
        <v/>
      </c>
    </row>
    <row r="7186" spans="9:9" x14ac:dyDescent="0.25">
      <c r="I7186" s="227" t="str">
        <f>MID(excPisCofins[[#This Row],[CodBarras2]],2,50)</f>
        <v/>
      </c>
    </row>
    <row r="7187" spans="9:9" x14ac:dyDescent="0.25">
      <c r="I7187" s="227" t="str">
        <f>MID(excPisCofins[[#This Row],[CodBarras2]],2,50)</f>
        <v/>
      </c>
    </row>
    <row r="7188" spans="9:9" x14ac:dyDescent="0.25">
      <c r="I7188" s="227" t="str">
        <f>MID(excPisCofins[[#This Row],[CodBarras2]],2,50)</f>
        <v/>
      </c>
    </row>
    <row r="7189" spans="9:9" x14ac:dyDescent="0.25">
      <c r="I7189" s="227" t="str">
        <f>MID(excPisCofins[[#This Row],[CodBarras2]],2,50)</f>
        <v/>
      </c>
    </row>
    <row r="7190" spans="9:9" x14ac:dyDescent="0.25">
      <c r="I7190" s="227" t="str">
        <f>MID(excPisCofins[[#This Row],[CodBarras2]],2,50)</f>
        <v/>
      </c>
    </row>
    <row r="7191" spans="9:9" x14ac:dyDescent="0.25">
      <c r="I7191" s="227" t="str">
        <f>MID(excPisCofins[[#This Row],[CodBarras2]],2,50)</f>
        <v/>
      </c>
    </row>
    <row r="7192" spans="9:9" x14ac:dyDescent="0.25">
      <c r="I7192" s="227" t="str">
        <f>MID(excPisCofins[[#This Row],[CodBarras2]],2,50)</f>
        <v/>
      </c>
    </row>
    <row r="7193" spans="9:9" x14ac:dyDescent="0.25">
      <c r="I7193" s="227" t="str">
        <f>MID(excPisCofins[[#This Row],[CodBarras2]],2,50)</f>
        <v/>
      </c>
    </row>
    <row r="7194" spans="9:9" x14ac:dyDescent="0.25">
      <c r="I7194" s="227" t="str">
        <f>MID(excPisCofins[[#This Row],[CodBarras2]],2,50)</f>
        <v/>
      </c>
    </row>
    <row r="7195" spans="9:9" x14ac:dyDescent="0.25">
      <c r="I7195" s="227" t="str">
        <f>MID(excPisCofins[[#This Row],[CodBarras2]],2,50)</f>
        <v/>
      </c>
    </row>
    <row r="7196" spans="9:9" x14ac:dyDescent="0.25">
      <c r="I7196" s="227" t="str">
        <f>MID(excPisCofins[[#This Row],[CodBarras2]],2,50)</f>
        <v/>
      </c>
    </row>
    <row r="7197" spans="9:9" x14ac:dyDescent="0.25">
      <c r="I7197" s="227" t="str">
        <f>MID(excPisCofins[[#This Row],[CodBarras2]],2,50)</f>
        <v/>
      </c>
    </row>
    <row r="7198" spans="9:9" x14ac:dyDescent="0.25">
      <c r="I7198" s="227" t="str">
        <f>MID(excPisCofins[[#This Row],[CodBarras2]],2,50)</f>
        <v/>
      </c>
    </row>
    <row r="7199" spans="9:9" x14ac:dyDescent="0.25">
      <c r="I7199" s="227" t="str">
        <f>MID(excPisCofins[[#This Row],[CodBarras2]],2,50)</f>
        <v/>
      </c>
    </row>
    <row r="7200" spans="9:9" x14ac:dyDescent="0.25">
      <c r="I7200" s="227" t="str">
        <f>MID(excPisCofins[[#This Row],[CodBarras2]],2,50)</f>
        <v/>
      </c>
    </row>
    <row r="7201" spans="9:9" x14ac:dyDescent="0.25">
      <c r="I7201" s="227" t="str">
        <f>MID(excPisCofins[[#This Row],[CodBarras2]],2,50)</f>
        <v/>
      </c>
    </row>
    <row r="7202" spans="9:9" x14ac:dyDescent="0.25">
      <c r="I7202" s="227" t="str">
        <f>MID(excPisCofins[[#This Row],[CodBarras2]],2,50)</f>
        <v/>
      </c>
    </row>
    <row r="7203" spans="9:9" x14ac:dyDescent="0.25">
      <c r="I7203" s="227" t="str">
        <f>MID(excPisCofins[[#This Row],[CodBarras2]],2,50)</f>
        <v/>
      </c>
    </row>
    <row r="7204" spans="9:9" x14ac:dyDescent="0.25">
      <c r="I7204" s="227" t="str">
        <f>MID(excPisCofins[[#This Row],[CodBarras2]],2,50)</f>
        <v/>
      </c>
    </row>
    <row r="7205" spans="9:9" x14ac:dyDescent="0.25">
      <c r="I7205" s="227" t="str">
        <f>MID(excPisCofins[[#This Row],[CodBarras2]],2,50)</f>
        <v/>
      </c>
    </row>
    <row r="7206" spans="9:9" x14ac:dyDescent="0.25">
      <c r="I7206" s="227" t="str">
        <f>MID(excPisCofins[[#This Row],[CodBarras2]],2,50)</f>
        <v/>
      </c>
    </row>
    <row r="7207" spans="9:9" x14ac:dyDescent="0.25">
      <c r="I7207" s="227" t="str">
        <f>MID(excPisCofins[[#This Row],[CodBarras2]],2,50)</f>
        <v/>
      </c>
    </row>
    <row r="7208" spans="9:9" x14ac:dyDescent="0.25">
      <c r="I7208" s="227" t="str">
        <f>MID(excPisCofins[[#This Row],[CodBarras2]],2,50)</f>
        <v/>
      </c>
    </row>
    <row r="7209" spans="9:9" x14ac:dyDescent="0.25">
      <c r="I7209" s="227" t="str">
        <f>MID(excPisCofins[[#This Row],[CodBarras2]],2,50)</f>
        <v/>
      </c>
    </row>
    <row r="7210" spans="9:9" x14ac:dyDescent="0.25">
      <c r="I7210" s="227" t="str">
        <f>MID(excPisCofins[[#This Row],[CodBarras2]],2,50)</f>
        <v/>
      </c>
    </row>
    <row r="7211" spans="9:9" x14ac:dyDescent="0.25">
      <c r="I7211" s="227" t="str">
        <f>MID(excPisCofins[[#This Row],[CodBarras2]],2,50)</f>
        <v/>
      </c>
    </row>
    <row r="7212" spans="9:9" x14ac:dyDescent="0.25">
      <c r="I7212" s="227" t="str">
        <f>MID(excPisCofins[[#This Row],[CodBarras2]],2,50)</f>
        <v/>
      </c>
    </row>
    <row r="7213" spans="9:9" x14ac:dyDescent="0.25">
      <c r="I7213" s="227" t="str">
        <f>MID(excPisCofins[[#This Row],[CodBarras2]],2,50)</f>
        <v/>
      </c>
    </row>
    <row r="7214" spans="9:9" x14ac:dyDescent="0.25">
      <c r="I7214" s="227" t="str">
        <f>MID(excPisCofins[[#This Row],[CodBarras2]],2,50)</f>
        <v/>
      </c>
    </row>
    <row r="7215" spans="9:9" x14ac:dyDescent="0.25">
      <c r="I7215" s="227" t="str">
        <f>MID(excPisCofins[[#This Row],[CodBarras2]],2,50)</f>
        <v/>
      </c>
    </row>
    <row r="7216" spans="9:9" x14ac:dyDescent="0.25">
      <c r="I7216" s="227" t="str">
        <f>MID(excPisCofins[[#This Row],[CodBarras2]],2,50)</f>
        <v/>
      </c>
    </row>
    <row r="7217" spans="9:9" x14ac:dyDescent="0.25">
      <c r="I7217" s="227" t="str">
        <f>MID(excPisCofins[[#This Row],[CodBarras2]],2,50)</f>
        <v/>
      </c>
    </row>
    <row r="7218" spans="9:9" x14ac:dyDescent="0.25">
      <c r="I7218" s="227" t="str">
        <f>MID(excPisCofins[[#This Row],[CodBarras2]],2,50)</f>
        <v/>
      </c>
    </row>
    <row r="7219" spans="9:9" x14ac:dyDescent="0.25">
      <c r="I7219" s="227" t="str">
        <f>MID(excPisCofins[[#This Row],[CodBarras2]],2,50)</f>
        <v/>
      </c>
    </row>
    <row r="7220" spans="9:9" x14ac:dyDescent="0.25">
      <c r="I7220" s="227" t="str">
        <f>MID(excPisCofins[[#This Row],[CodBarras2]],2,50)</f>
        <v/>
      </c>
    </row>
    <row r="7221" spans="9:9" x14ac:dyDescent="0.25">
      <c r="I7221" s="227" t="str">
        <f>MID(excPisCofins[[#This Row],[CodBarras2]],2,50)</f>
        <v/>
      </c>
    </row>
    <row r="7222" spans="9:9" x14ac:dyDescent="0.25">
      <c r="I7222" s="227" t="str">
        <f>MID(excPisCofins[[#This Row],[CodBarras2]],2,50)</f>
        <v/>
      </c>
    </row>
    <row r="7223" spans="9:9" x14ac:dyDescent="0.25">
      <c r="I7223" s="227" t="str">
        <f>MID(excPisCofins[[#This Row],[CodBarras2]],2,50)</f>
        <v/>
      </c>
    </row>
    <row r="7224" spans="9:9" x14ac:dyDescent="0.25">
      <c r="I7224" s="227" t="str">
        <f>MID(excPisCofins[[#This Row],[CodBarras2]],2,50)</f>
        <v/>
      </c>
    </row>
    <row r="7225" spans="9:9" x14ac:dyDescent="0.25">
      <c r="I7225" s="227" t="str">
        <f>MID(excPisCofins[[#This Row],[CodBarras2]],2,50)</f>
        <v/>
      </c>
    </row>
    <row r="7226" spans="9:9" x14ac:dyDescent="0.25">
      <c r="I7226" s="227" t="str">
        <f>MID(excPisCofins[[#This Row],[CodBarras2]],2,50)</f>
        <v/>
      </c>
    </row>
    <row r="7227" spans="9:9" x14ac:dyDescent="0.25">
      <c r="I7227" s="227" t="str">
        <f>MID(excPisCofins[[#This Row],[CodBarras2]],2,50)</f>
        <v/>
      </c>
    </row>
    <row r="7228" spans="9:9" x14ac:dyDescent="0.25">
      <c r="I7228" s="227" t="str">
        <f>MID(excPisCofins[[#This Row],[CodBarras2]],2,50)</f>
        <v/>
      </c>
    </row>
    <row r="7229" spans="9:9" x14ac:dyDescent="0.25">
      <c r="I7229" s="227" t="str">
        <f>MID(excPisCofins[[#This Row],[CodBarras2]],2,50)</f>
        <v/>
      </c>
    </row>
    <row r="7230" spans="9:9" x14ac:dyDescent="0.25">
      <c r="I7230" s="227" t="str">
        <f>MID(excPisCofins[[#This Row],[CodBarras2]],2,50)</f>
        <v/>
      </c>
    </row>
    <row r="7231" spans="9:9" x14ac:dyDescent="0.25">
      <c r="I7231" s="227" t="str">
        <f>MID(excPisCofins[[#This Row],[CodBarras2]],2,50)</f>
        <v/>
      </c>
    </row>
    <row r="7232" spans="9:9" x14ac:dyDescent="0.25">
      <c r="I7232" s="227" t="str">
        <f>MID(excPisCofins[[#This Row],[CodBarras2]],2,50)</f>
        <v/>
      </c>
    </row>
    <row r="7233" spans="9:9" x14ac:dyDescent="0.25">
      <c r="I7233" s="227" t="str">
        <f>MID(excPisCofins[[#This Row],[CodBarras2]],2,50)</f>
        <v/>
      </c>
    </row>
    <row r="7234" spans="9:9" x14ac:dyDescent="0.25">
      <c r="I7234" s="227" t="str">
        <f>MID(excPisCofins[[#This Row],[CodBarras2]],2,50)</f>
        <v/>
      </c>
    </row>
    <row r="7235" spans="9:9" x14ac:dyDescent="0.25">
      <c r="I7235" s="227" t="str">
        <f>MID(excPisCofins[[#This Row],[CodBarras2]],2,50)</f>
        <v/>
      </c>
    </row>
    <row r="7236" spans="9:9" x14ac:dyDescent="0.25">
      <c r="I7236" s="227" t="str">
        <f>MID(excPisCofins[[#This Row],[CodBarras2]],2,50)</f>
        <v/>
      </c>
    </row>
    <row r="7237" spans="9:9" x14ac:dyDescent="0.25">
      <c r="I7237" s="227" t="str">
        <f>MID(excPisCofins[[#This Row],[CodBarras2]],2,50)</f>
        <v/>
      </c>
    </row>
    <row r="7238" spans="9:9" x14ac:dyDescent="0.25">
      <c r="I7238" s="227" t="str">
        <f>MID(excPisCofins[[#This Row],[CodBarras2]],2,50)</f>
        <v/>
      </c>
    </row>
    <row r="7239" spans="9:9" x14ac:dyDescent="0.25">
      <c r="I7239" s="227" t="str">
        <f>MID(excPisCofins[[#This Row],[CodBarras2]],2,50)</f>
        <v/>
      </c>
    </row>
    <row r="7240" spans="9:9" x14ac:dyDescent="0.25">
      <c r="I7240" s="227" t="str">
        <f>MID(excPisCofins[[#This Row],[CodBarras2]],2,50)</f>
        <v/>
      </c>
    </row>
    <row r="7241" spans="9:9" x14ac:dyDescent="0.25">
      <c r="I7241" s="227" t="str">
        <f>MID(excPisCofins[[#This Row],[CodBarras2]],2,50)</f>
        <v/>
      </c>
    </row>
    <row r="7242" spans="9:9" x14ac:dyDescent="0.25">
      <c r="I7242" s="227" t="str">
        <f>MID(excPisCofins[[#This Row],[CodBarras2]],2,50)</f>
        <v/>
      </c>
    </row>
    <row r="7243" spans="9:9" x14ac:dyDescent="0.25">
      <c r="I7243" s="227" t="str">
        <f>MID(excPisCofins[[#This Row],[CodBarras2]],2,50)</f>
        <v/>
      </c>
    </row>
    <row r="7244" spans="9:9" x14ac:dyDescent="0.25">
      <c r="I7244" s="227" t="str">
        <f>MID(excPisCofins[[#This Row],[CodBarras2]],2,50)</f>
        <v/>
      </c>
    </row>
    <row r="7245" spans="9:9" x14ac:dyDescent="0.25">
      <c r="I7245" s="227" t="str">
        <f>MID(excPisCofins[[#This Row],[CodBarras2]],2,50)</f>
        <v/>
      </c>
    </row>
    <row r="7246" spans="9:9" x14ac:dyDescent="0.25">
      <c r="I7246" s="227" t="str">
        <f>MID(excPisCofins[[#This Row],[CodBarras2]],2,50)</f>
        <v/>
      </c>
    </row>
    <row r="7247" spans="9:9" x14ac:dyDescent="0.25">
      <c r="I7247" s="227" t="str">
        <f>MID(excPisCofins[[#This Row],[CodBarras2]],2,50)</f>
        <v/>
      </c>
    </row>
    <row r="7248" spans="9:9" x14ac:dyDescent="0.25">
      <c r="I7248" s="227" t="str">
        <f>MID(excPisCofins[[#This Row],[CodBarras2]],2,50)</f>
        <v/>
      </c>
    </row>
    <row r="7249" spans="9:9" x14ac:dyDescent="0.25">
      <c r="I7249" s="227" t="str">
        <f>MID(excPisCofins[[#This Row],[CodBarras2]],2,50)</f>
        <v/>
      </c>
    </row>
    <row r="7250" spans="9:9" x14ac:dyDescent="0.25">
      <c r="I7250" s="227" t="str">
        <f>MID(excPisCofins[[#This Row],[CodBarras2]],2,50)</f>
        <v/>
      </c>
    </row>
    <row r="7251" spans="9:9" x14ac:dyDescent="0.25">
      <c r="I7251" s="227" t="str">
        <f>MID(excPisCofins[[#This Row],[CodBarras2]],2,50)</f>
        <v/>
      </c>
    </row>
    <row r="7252" spans="9:9" x14ac:dyDescent="0.25">
      <c r="I7252" s="227" t="str">
        <f>MID(excPisCofins[[#This Row],[CodBarras2]],2,50)</f>
        <v/>
      </c>
    </row>
    <row r="7253" spans="9:9" x14ac:dyDescent="0.25">
      <c r="I7253" s="227" t="str">
        <f>MID(excPisCofins[[#This Row],[CodBarras2]],2,50)</f>
        <v/>
      </c>
    </row>
    <row r="7254" spans="9:9" x14ac:dyDescent="0.25">
      <c r="I7254" s="227" t="str">
        <f>MID(excPisCofins[[#This Row],[CodBarras2]],2,50)</f>
        <v/>
      </c>
    </row>
    <row r="7255" spans="9:9" x14ac:dyDescent="0.25">
      <c r="I7255" s="227" t="str">
        <f>MID(excPisCofins[[#This Row],[CodBarras2]],2,50)</f>
        <v/>
      </c>
    </row>
    <row r="7256" spans="9:9" x14ac:dyDescent="0.25">
      <c r="I7256" s="227" t="str">
        <f>MID(excPisCofins[[#This Row],[CodBarras2]],2,50)</f>
        <v/>
      </c>
    </row>
    <row r="7257" spans="9:9" x14ac:dyDescent="0.25">
      <c r="I7257" s="227" t="str">
        <f>MID(excPisCofins[[#This Row],[CodBarras2]],2,50)</f>
        <v/>
      </c>
    </row>
    <row r="7258" spans="9:9" x14ac:dyDescent="0.25">
      <c r="I7258" s="227" t="str">
        <f>MID(excPisCofins[[#This Row],[CodBarras2]],2,50)</f>
        <v/>
      </c>
    </row>
    <row r="7259" spans="9:9" x14ac:dyDescent="0.25">
      <c r="I7259" s="227" t="str">
        <f>MID(excPisCofins[[#This Row],[CodBarras2]],2,50)</f>
        <v/>
      </c>
    </row>
    <row r="7260" spans="9:9" x14ac:dyDescent="0.25">
      <c r="I7260" s="227" t="str">
        <f>MID(excPisCofins[[#This Row],[CodBarras2]],2,50)</f>
        <v/>
      </c>
    </row>
    <row r="7261" spans="9:9" x14ac:dyDescent="0.25">
      <c r="I7261" s="227" t="str">
        <f>MID(excPisCofins[[#This Row],[CodBarras2]],2,50)</f>
        <v/>
      </c>
    </row>
    <row r="7262" spans="9:9" x14ac:dyDescent="0.25">
      <c r="I7262" s="227" t="str">
        <f>MID(excPisCofins[[#This Row],[CodBarras2]],2,50)</f>
        <v/>
      </c>
    </row>
    <row r="7263" spans="9:9" x14ac:dyDescent="0.25">
      <c r="I7263" s="227" t="str">
        <f>MID(excPisCofins[[#This Row],[CodBarras2]],2,50)</f>
        <v/>
      </c>
    </row>
    <row r="7264" spans="9:9" x14ac:dyDescent="0.25">
      <c r="I7264" s="227" t="str">
        <f>MID(excPisCofins[[#This Row],[CodBarras2]],2,50)</f>
        <v/>
      </c>
    </row>
    <row r="7265" spans="9:9" x14ac:dyDescent="0.25">
      <c r="I7265" s="227" t="str">
        <f>MID(excPisCofins[[#This Row],[CodBarras2]],2,50)</f>
        <v/>
      </c>
    </row>
    <row r="7266" spans="9:9" x14ac:dyDescent="0.25">
      <c r="I7266" s="227" t="str">
        <f>MID(excPisCofins[[#This Row],[CodBarras2]],2,50)</f>
        <v/>
      </c>
    </row>
    <row r="7267" spans="9:9" x14ac:dyDescent="0.25">
      <c r="I7267" s="227" t="str">
        <f>MID(excPisCofins[[#This Row],[CodBarras2]],2,50)</f>
        <v/>
      </c>
    </row>
    <row r="7268" spans="9:9" x14ac:dyDescent="0.25">
      <c r="I7268" s="227" t="str">
        <f>MID(excPisCofins[[#This Row],[CodBarras2]],2,50)</f>
        <v/>
      </c>
    </row>
    <row r="7269" spans="9:9" x14ac:dyDescent="0.25">
      <c r="I7269" s="227" t="str">
        <f>MID(excPisCofins[[#This Row],[CodBarras2]],2,50)</f>
        <v/>
      </c>
    </row>
    <row r="7270" spans="9:9" x14ac:dyDescent="0.25">
      <c r="I7270" s="227" t="str">
        <f>MID(excPisCofins[[#This Row],[CodBarras2]],2,50)</f>
        <v/>
      </c>
    </row>
    <row r="7271" spans="9:9" x14ac:dyDescent="0.25">
      <c r="I7271" s="227" t="str">
        <f>MID(excPisCofins[[#This Row],[CodBarras2]],2,50)</f>
        <v/>
      </c>
    </row>
    <row r="7272" spans="9:9" x14ac:dyDescent="0.25">
      <c r="I7272" s="227" t="str">
        <f>MID(excPisCofins[[#This Row],[CodBarras2]],2,50)</f>
        <v/>
      </c>
    </row>
    <row r="7273" spans="9:9" x14ac:dyDescent="0.25">
      <c r="I7273" s="227" t="str">
        <f>MID(excPisCofins[[#This Row],[CodBarras2]],2,50)</f>
        <v/>
      </c>
    </row>
    <row r="7274" spans="9:9" x14ac:dyDescent="0.25">
      <c r="I7274" s="227" t="str">
        <f>MID(excPisCofins[[#This Row],[CodBarras2]],2,50)</f>
        <v/>
      </c>
    </row>
    <row r="7275" spans="9:9" x14ac:dyDescent="0.25">
      <c r="I7275" s="227" t="str">
        <f>MID(excPisCofins[[#This Row],[CodBarras2]],2,50)</f>
        <v/>
      </c>
    </row>
    <row r="7276" spans="9:9" x14ac:dyDescent="0.25">
      <c r="I7276" s="227" t="str">
        <f>MID(excPisCofins[[#This Row],[CodBarras2]],2,50)</f>
        <v/>
      </c>
    </row>
    <row r="7277" spans="9:9" x14ac:dyDescent="0.25">
      <c r="I7277" s="227" t="str">
        <f>MID(excPisCofins[[#This Row],[CodBarras2]],2,50)</f>
        <v/>
      </c>
    </row>
    <row r="7278" spans="9:9" x14ac:dyDescent="0.25">
      <c r="I7278" s="227" t="str">
        <f>MID(excPisCofins[[#This Row],[CodBarras2]],2,50)</f>
        <v/>
      </c>
    </row>
    <row r="7279" spans="9:9" x14ac:dyDescent="0.25">
      <c r="I7279" s="227" t="str">
        <f>MID(excPisCofins[[#This Row],[CodBarras2]],2,50)</f>
        <v/>
      </c>
    </row>
    <row r="7280" spans="9:9" x14ac:dyDescent="0.25">
      <c r="I7280" s="227" t="str">
        <f>MID(excPisCofins[[#This Row],[CodBarras2]],2,50)</f>
        <v/>
      </c>
    </row>
    <row r="7281" spans="9:9" x14ac:dyDescent="0.25">
      <c r="I7281" s="227" t="str">
        <f>MID(excPisCofins[[#This Row],[CodBarras2]],2,50)</f>
        <v/>
      </c>
    </row>
    <row r="7282" spans="9:9" x14ac:dyDescent="0.25">
      <c r="I7282" s="227" t="str">
        <f>MID(excPisCofins[[#This Row],[CodBarras2]],2,50)</f>
        <v/>
      </c>
    </row>
    <row r="7283" spans="9:9" x14ac:dyDescent="0.25">
      <c r="I7283" s="227" t="str">
        <f>MID(excPisCofins[[#This Row],[CodBarras2]],2,50)</f>
        <v/>
      </c>
    </row>
    <row r="7284" spans="9:9" x14ac:dyDescent="0.25">
      <c r="I7284" s="227" t="str">
        <f>MID(excPisCofins[[#This Row],[CodBarras2]],2,50)</f>
        <v/>
      </c>
    </row>
    <row r="7285" spans="9:9" x14ac:dyDescent="0.25">
      <c r="I7285" s="227" t="str">
        <f>MID(excPisCofins[[#This Row],[CodBarras2]],2,50)</f>
        <v/>
      </c>
    </row>
    <row r="7286" spans="9:9" x14ac:dyDescent="0.25">
      <c r="I7286" s="227" t="str">
        <f>MID(excPisCofins[[#This Row],[CodBarras2]],2,50)</f>
        <v/>
      </c>
    </row>
    <row r="7287" spans="9:9" x14ac:dyDescent="0.25">
      <c r="I7287" s="227" t="str">
        <f>MID(excPisCofins[[#This Row],[CodBarras2]],2,50)</f>
        <v/>
      </c>
    </row>
    <row r="7288" spans="9:9" x14ac:dyDescent="0.25">
      <c r="I7288" s="227" t="str">
        <f>MID(excPisCofins[[#This Row],[CodBarras2]],2,50)</f>
        <v/>
      </c>
    </row>
    <row r="7289" spans="9:9" x14ac:dyDescent="0.25">
      <c r="I7289" s="227" t="str">
        <f>MID(excPisCofins[[#This Row],[CodBarras2]],2,50)</f>
        <v/>
      </c>
    </row>
    <row r="7290" spans="9:9" x14ac:dyDescent="0.25">
      <c r="I7290" s="227" t="str">
        <f>MID(excPisCofins[[#This Row],[CodBarras2]],2,50)</f>
        <v/>
      </c>
    </row>
    <row r="7291" spans="9:9" x14ac:dyDescent="0.25">
      <c r="I7291" s="227" t="str">
        <f>MID(excPisCofins[[#This Row],[CodBarras2]],2,50)</f>
        <v/>
      </c>
    </row>
    <row r="7292" spans="9:9" x14ac:dyDescent="0.25">
      <c r="I7292" s="227" t="str">
        <f>MID(excPisCofins[[#This Row],[CodBarras2]],2,50)</f>
        <v/>
      </c>
    </row>
    <row r="7293" spans="9:9" x14ac:dyDescent="0.25">
      <c r="I7293" s="227" t="str">
        <f>MID(excPisCofins[[#This Row],[CodBarras2]],2,50)</f>
        <v/>
      </c>
    </row>
    <row r="7294" spans="9:9" x14ac:dyDescent="0.25">
      <c r="I7294" s="227" t="str">
        <f>MID(excPisCofins[[#This Row],[CodBarras2]],2,50)</f>
        <v/>
      </c>
    </row>
    <row r="7295" spans="9:9" x14ac:dyDescent="0.25">
      <c r="I7295" s="227" t="str">
        <f>MID(excPisCofins[[#This Row],[CodBarras2]],2,50)</f>
        <v/>
      </c>
    </row>
    <row r="7296" spans="9:9" x14ac:dyDescent="0.25">
      <c r="I7296" s="227" t="str">
        <f>MID(excPisCofins[[#This Row],[CodBarras2]],2,50)</f>
        <v/>
      </c>
    </row>
    <row r="7297" spans="9:9" x14ac:dyDescent="0.25">
      <c r="I7297" s="227" t="str">
        <f>MID(excPisCofins[[#This Row],[CodBarras2]],2,50)</f>
        <v/>
      </c>
    </row>
    <row r="7298" spans="9:9" x14ac:dyDescent="0.25">
      <c r="I7298" s="227" t="str">
        <f>MID(excPisCofins[[#This Row],[CodBarras2]],2,50)</f>
        <v/>
      </c>
    </row>
    <row r="7299" spans="9:9" x14ac:dyDescent="0.25">
      <c r="I7299" s="227" t="str">
        <f>MID(excPisCofins[[#This Row],[CodBarras2]],2,50)</f>
        <v/>
      </c>
    </row>
    <row r="7300" spans="9:9" x14ac:dyDescent="0.25">
      <c r="I7300" s="227" t="str">
        <f>MID(excPisCofins[[#This Row],[CodBarras2]],2,50)</f>
        <v/>
      </c>
    </row>
    <row r="7301" spans="9:9" x14ac:dyDescent="0.25">
      <c r="I7301" s="227" t="str">
        <f>MID(excPisCofins[[#This Row],[CodBarras2]],2,50)</f>
        <v/>
      </c>
    </row>
    <row r="7302" spans="9:9" x14ac:dyDescent="0.25">
      <c r="I7302" s="227" t="str">
        <f>MID(excPisCofins[[#This Row],[CodBarras2]],2,50)</f>
        <v/>
      </c>
    </row>
    <row r="7303" spans="9:9" x14ac:dyDescent="0.25">
      <c r="I7303" s="227" t="str">
        <f>MID(excPisCofins[[#This Row],[CodBarras2]],2,50)</f>
        <v/>
      </c>
    </row>
    <row r="7304" spans="9:9" x14ac:dyDescent="0.25">
      <c r="I7304" s="227" t="str">
        <f>MID(excPisCofins[[#This Row],[CodBarras2]],2,50)</f>
        <v/>
      </c>
    </row>
    <row r="7305" spans="9:9" x14ac:dyDescent="0.25">
      <c r="I7305" s="227" t="str">
        <f>MID(excPisCofins[[#This Row],[CodBarras2]],2,50)</f>
        <v/>
      </c>
    </row>
    <row r="7306" spans="9:9" x14ac:dyDescent="0.25">
      <c r="I7306" s="227" t="str">
        <f>MID(excPisCofins[[#This Row],[CodBarras2]],2,50)</f>
        <v/>
      </c>
    </row>
    <row r="7307" spans="9:9" x14ac:dyDescent="0.25">
      <c r="I7307" s="227" t="str">
        <f>MID(excPisCofins[[#This Row],[CodBarras2]],2,50)</f>
        <v/>
      </c>
    </row>
    <row r="7308" spans="9:9" x14ac:dyDescent="0.25">
      <c r="I7308" s="227" t="str">
        <f>MID(excPisCofins[[#This Row],[CodBarras2]],2,50)</f>
        <v/>
      </c>
    </row>
    <row r="7309" spans="9:9" x14ac:dyDescent="0.25">
      <c r="I7309" s="227" t="str">
        <f>MID(excPisCofins[[#This Row],[CodBarras2]],2,50)</f>
        <v/>
      </c>
    </row>
    <row r="7310" spans="9:9" x14ac:dyDescent="0.25">
      <c r="I7310" s="227" t="str">
        <f>MID(excPisCofins[[#This Row],[CodBarras2]],2,50)</f>
        <v/>
      </c>
    </row>
    <row r="7311" spans="9:9" x14ac:dyDescent="0.25">
      <c r="I7311" s="227" t="str">
        <f>MID(excPisCofins[[#This Row],[CodBarras2]],2,50)</f>
        <v/>
      </c>
    </row>
    <row r="7312" spans="9:9" x14ac:dyDescent="0.25">
      <c r="I7312" s="227" t="str">
        <f>MID(excPisCofins[[#This Row],[CodBarras2]],2,50)</f>
        <v/>
      </c>
    </row>
    <row r="7313" spans="9:9" x14ac:dyDescent="0.25">
      <c r="I7313" s="227" t="str">
        <f>MID(excPisCofins[[#This Row],[CodBarras2]],2,50)</f>
        <v/>
      </c>
    </row>
    <row r="7314" spans="9:9" x14ac:dyDescent="0.25">
      <c r="I7314" s="227" t="str">
        <f>MID(excPisCofins[[#This Row],[CodBarras2]],2,50)</f>
        <v/>
      </c>
    </row>
    <row r="7315" spans="9:9" x14ac:dyDescent="0.25">
      <c r="I7315" s="227" t="str">
        <f>MID(excPisCofins[[#This Row],[CodBarras2]],2,50)</f>
        <v/>
      </c>
    </row>
    <row r="7316" spans="9:9" x14ac:dyDescent="0.25">
      <c r="I7316" s="227" t="str">
        <f>MID(excPisCofins[[#This Row],[CodBarras2]],2,50)</f>
        <v/>
      </c>
    </row>
    <row r="7317" spans="9:9" x14ac:dyDescent="0.25">
      <c r="I7317" s="227" t="str">
        <f>MID(excPisCofins[[#This Row],[CodBarras2]],2,50)</f>
        <v/>
      </c>
    </row>
    <row r="7318" spans="9:9" x14ac:dyDescent="0.25">
      <c r="I7318" s="227" t="str">
        <f>MID(excPisCofins[[#This Row],[CodBarras2]],2,50)</f>
        <v/>
      </c>
    </row>
    <row r="7319" spans="9:9" x14ac:dyDescent="0.25">
      <c r="I7319" s="227" t="str">
        <f>MID(excPisCofins[[#This Row],[CodBarras2]],2,50)</f>
        <v/>
      </c>
    </row>
    <row r="7320" spans="9:9" x14ac:dyDescent="0.25">
      <c r="I7320" s="227" t="str">
        <f>MID(excPisCofins[[#This Row],[CodBarras2]],2,50)</f>
        <v/>
      </c>
    </row>
    <row r="7321" spans="9:9" x14ac:dyDescent="0.25">
      <c r="I7321" s="227" t="str">
        <f>MID(excPisCofins[[#This Row],[CodBarras2]],2,50)</f>
        <v/>
      </c>
    </row>
    <row r="7322" spans="9:9" x14ac:dyDescent="0.25">
      <c r="I7322" s="227" t="str">
        <f>MID(excPisCofins[[#This Row],[CodBarras2]],2,50)</f>
        <v/>
      </c>
    </row>
    <row r="7323" spans="9:9" x14ac:dyDescent="0.25">
      <c r="I7323" s="227" t="str">
        <f>MID(excPisCofins[[#This Row],[CodBarras2]],2,50)</f>
        <v/>
      </c>
    </row>
    <row r="7324" spans="9:9" x14ac:dyDescent="0.25">
      <c r="I7324" s="227" t="str">
        <f>MID(excPisCofins[[#This Row],[CodBarras2]],2,50)</f>
        <v/>
      </c>
    </row>
    <row r="7325" spans="9:9" x14ac:dyDescent="0.25">
      <c r="I7325" s="227" t="str">
        <f>MID(excPisCofins[[#This Row],[CodBarras2]],2,50)</f>
        <v/>
      </c>
    </row>
    <row r="7326" spans="9:9" x14ac:dyDescent="0.25">
      <c r="I7326" s="227" t="str">
        <f>MID(excPisCofins[[#This Row],[CodBarras2]],2,50)</f>
        <v/>
      </c>
    </row>
    <row r="7327" spans="9:9" x14ac:dyDescent="0.25">
      <c r="I7327" s="227" t="str">
        <f>MID(excPisCofins[[#This Row],[CodBarras2]],2,50)</f>
        <v/>
      </c>
    </row>
    <row r="7328" spans="9:9" x14ac:dyDescent="0.25">
      <c r="I7328" s="227" t="str">
        <f>MID(excPisCofins[[#This Row],[CodBarras2]],2,50)</f>
        <v/>
      </c>
    </row>
    <row r="7329" spans="9:9" x14ac:dyDescent="0.25">
      <c r="I7329" s="227" t="str">
        <f>MID(excPisCofins[[#This Row],[CodBarras2]],2,50)</f>
        <v/>
      </c>
    </row>
    <row r="7330" spans="9:9" x14ac:dyDescent="0.25">
      <c r="I7330" s="227" t="str">
        <f>MID(excPisCofins[[#This Row],[CodBarras2]],2,50)</f>
        <v/>
      </c>
    </row>
    <row r="7331" spans="9:9" x14ac:dyDescent="0.25">
      <c r="I7331" s="227" t="str">
        <f>MID(excPisCofins[[#This Row],[CodBarras2]],2,50)</f>
        <v/>
      </c>
    </row>
    <row r="7332" spans="9:9" x14ac:dyDescent="0.25">
      <c r="I7332" s="227" t="str">
        <f>MID(excPisCofins[[#This Row],[CodBarras2]],2,50)</f>
        <v/>
      </c>
    </row>
    <row r="7333" spans="9:9" x14ac:dyDescent="0.25">
      <c r="I7333" s="227" t="str">
        <f>MID(excPisCofins[[#This Row],[CodBarras2]],2,50)</f>
        <v/>
      </c>
    </row>
    <row r="7334" spans="9:9" x14ac:dyDescent="0.25">
      <c r="I7334" s="227" t="str">
        <f>MID(excPisCofins[[#This Row],[CodBarras2]],2,50)</f>
        <v/>
      </c>
    </row>
    <row r="7335" spans="9:9" x14ac:dyDescent="0.25">
      <c r="I7335" s="227" t="str">
        <f>MID(excPisCofins[[#This Row],[CodBarras2]],2,50)</f>
        <v/>
      </c>
    </row>
    <row r="7336" spans="9:9" x14ac:dyDescent="0.25">
      <c r="I7336" s="227" t="str">
        <f>MID(excPisCofins[[#This Row],[CodBarras2]],2,50)</f>
        <v/>
      </c>
    </row>
    <row r="7337" spans="9:9" x14ac:dyDescent="0.25">
      <c r="I7337" s="227" t="str">
        <f>MID(excPisCofins[[#This Row],[CodBarras2]],2,50)</f>
        <v/>
      </c>
    </row>
    <row r="7338" spans="9:9" x14ac:dyDescent="0.25">
      <c r="I7338" s="227" t="str">
        <f>MID(excPisCofins[[#This Row],[CodBarras2]],2,50)</f>
        <v/>
      </c>
    </row>
    <row r="7339" spans="9:9" x14ac:dyDescent="0.25">
      <c r="I7339" s="227" t="str">
        <f>MID(excPisCofins[[#This Row],[CodBarras2]],2,50)</f>
        <v/>
      </c>
    </row>
    <row r="7340" spans="9:9" x14ac:dyDescent="0.25">
      <c r="I7340" s="227" t="str">
        <f>MID(excPisCofins[[#This Row],[CodBarras2]],2,50)</f>
        <v/>
      </c>
    </row>
    <row r="7341" spans="9:9" x14ac:dyDescent="0.25">
      <c r="I7341" s="227" t="str">
        <f>MID(excPisCofins[[#This Row],[CodBarras2]],2,50)</f>
        <v/>
      </c>
    </row>
    <row r="7342" spans="9:9" x14ac:dyDescent="0.25">
      <c r="I7342" s="227" t="str">
        <f>MID(excPisCofins[[#This Row],[CodBarras2]],2,50)</f>
        <v/>
      </c>
    </row>
    <row r="7343" spans="9:9" x14ac:dyDescent="0.25">
      <c r="I7343" s="227" t="str">
        <f>MID(excPisCofins[[#This Row],[CodBarras2]],2,50)</f>
        <v/>
      </c>
    </row>
    <row r="7344" spans="9:9" x14ac:dyDescent="0.25">
      <c r="I7344" s="227" t="str">
        <f>MID(excPisCofins[[#This Row],[CodBarras2]],2,50)</f>
        <v/>
      </c>
    </row>
    <row r="7345" spans="9:9" x14ac:dyDescent="0.25">
      <c r="I7345" s="227" t="str">
        <f>MID(excPisCofins[[#This Row],[CodBarras2]],2,50)</f>
        <v/>
      </c>
    </row>
    <row r="7346" spans="9:9" x14ac:dyDescent="0.25">
      <c r="I7346" s="227" t="str">
        <f>MID(excPisCofins[[#This Row],[CodBarras2]],2,50)</f>
        <v/>
      </c>
    </row>
    <row r="7347" spans="9:9" x14ac:dyDescent="0.25">
      <c r="I7347" s="227" t="str">
        <f>MID(excPisCofins[[#This Row],[CodBarras2]],2,50)</f>
        <v/>
      </c>
    </row>
    <row r="7348" spans="9:9" x14ac:dyDescent="0.25">
      <c r="I7348" s="227" t="str">
        <f>MID(excPisCofins[[#This Row],[CodBarras2]],2,50)</f>
        <v/>
      </c>
    </row>
    <row r="7349" spans="9:9" x14ac:dyDescent="0.25">
      <c r="I7349" s="227" t="str">
        <f>MID(excPisCofins[[#This Row],[CodBarras2]],2,50)</f>
        <v/>
      </c>
    </row>
    <row r="7350" spans="9:9" x14ac:dyDescent="0.25">
      <c r="I7350" s="227" t="str">
        <f>MID(excPisCofins[[#This Row],[CodBarras2]],2,50)</f>
        <v/>
      </c>
    </row>
    <row r="7351" spans="9:9" x14ac:dyDescent="0.25">
      <c r="I7351" s="227" t="str">
        <f>MID(excPisCofins[[#This Row],[CodBarras2]],2,50)</f>
        <v/>
      </c>
    </row>
    <row r="7352" spans="9:9" x14ac:dyDescent="0.25">
      <c r="I7352" s="227" t="str">
        <f>MID(excPisCofins[[#This Row],[CodBarras2]],2,50)</f>
        <v/>
      </c>
    </row>
    <row r="7353" spans="9:9" x14ac:dyDescent="0.25">
      <c r="I7353" s="227" t="str">
        <f>MID(excPisCofins[[#This Row],[CodBarras2]],2,50)</f>
        <v/>
      </c>
    </row>
    <row r="7354" spans="9:9" x14ac:dyDescent="0.25">
      <c r="I7354" s="227" t="str">
        <f>MID(excPisCofins[[#This Row],[CodBarras2]],2,50)</f>
        <v/>
      </c>
    </row>
    <row r="7355" spans="9:9" x14ac:dyDescent="0.25">
      <c r="I7355" s="227" t="str">
        <f>MID(excPisCofins[[#This Row],[CodBarras2]],2,50)</f>
        <v/>
      </c>
    </row>
    <row r="7356" spans="9:9" x14ac:dyDescent="0.25">
      <c r="I7356" s="227" t="str">
        <f>MID(excPisCofins[[#This Row],[CodBarras2]],2,50)</f>
        <v/>
      </c>
    </row>
    <row r="7357" spans="9:9" x14ac:dyDescent="0.25">
      <c r="I7357" s="227" t="str">
        <f>MID(excPisCofins[[#This Row],[CodBarras2]],2,50)</f>
        <v/>
      </c>
    </row>
    <row r="7358" spans="9:9" x14ac:dyDescent="0.25">
      <c r="I7358" s="227" t="str">
        <f>MID(excPisCofins[[#This Row],[CodBarras2]],2,50)</f>
        <v/>
      </c>
    </row>
    <row r="7359" spans="9:9" x14ac:dyDescent="0.25">
      <c r="I7359" s="227" t="str">
        <f>MID(excPisCofins[[#This Row],[CodBarras2]],2,50)</f>
        <v/>
      </c>
    </row>
    <row r="7360" spans="9:9" x14ac:dyDescent="0.25">
      <c r="I7360" s="227" t="str">
        <f>MID(excPisCofins[[#This Row],[CodBarras2]],2,50)</f>
        <v/>
      </c>
    </row>
    <row r="7361" spans="9:9" x14ac:dyDescent="0.25">
      <c r="I7361" s="227" t="str">
        <f>MID(excPisCofins[[#This Row],[CodBarras2]],2,50)</f>
        <v/>
      </c>
    </row>
    <row r="7362" spans="9:9" x14ac:dyDescent="0.25">
      <c r="I7362" s="227" t="str">
        <f>MID(excPisCofins[[#This Row],[CodBarras2]],2,50)</f>
        <v/>
      </c>
    </row>
    <row r="7363" spans="9:9" x14ac:dyDescent="0.25">
      <c r="I7363" s="227" t="str">
        <f>MID(excPisCofins[[#This Row],[CodBarras2]],2,50)</f>
        <v/>
      </c>
    </row>
    <row r="7364" spans="9:9" x14ac:dyDescent="0.25">
      <c r="I7364" s="227" t="str">
        <f>MID(excPisCofins[[#This Row],[CodBarras2]],2,50)</f>
        <v/>
      </c>
    </row>
    <row r="7365" spans="9:9" x14ac:dyDescent="0.25">
      <c r="I7365" s="227" t="str">
        <f>MID(excPisCofins[[#This Row],[CodBarras2]],2,50)</f>
        <v/>
      </c>
    </row>
    <row r="7366" spans="9:9" x14ac:dyDescent="0.25">
      <c r="I7366" s="227" t="str">
        <f>MID(excPisCofins[[#This Row],[CodBarras2]],2,50)</f>
        <v/>
      </c>
    </row>
    <row r="7367" spans="9:9" x14ac:dyDescent="0.25">
      <c r="I7367" s="227" t="str">
        <f>MID(excPisCofins[[#This Row],[CodBarras2]],2,50)</f>
        <v/>
      </c>
    </row>
    <row r="7368" spans="9:9" x14ac:dyDescent="0.25">
      <c r="I7368" s="227" t="str">
        <f>MID(excPisCofins[[#This Row],[CodBarras2]],2,50)</f>
        <v/>
      </c>
    </row>
    <row r="7369" spans="9:9" x14ac:dyDescent="0.25">
      <c r="I7369" s="227" t="str">
        <f>MID(excPisCofins[[#This Row],[CodBarras2]],2,50)</f>
        <v/>
      </c>
    </row>
    <row r="7370" spans="9:9" x14ac:dyDescent="0.25">
      <c r="I7370" s="227" t="str">
        <f>MID(excPisCofins[[#This Row],[CodBarras2]],2,50)</f>
        <v/>
      </c>
    </row>
    <row r="7371" spans="9:9" x14ac:dyDescent="0.25">
      <c r="I7371" s="227" t="str">
        <f>MID(excPisCofins[[#This Row],[CodBarras2]],2,50)</f>
        <v/>
      </c>
    </row>
    <row r="7372" spans="9:9" x14ac:dyDescent="0.25">
      <c r="I7372" s="227" t="str">
        <f>MID(excPisCofins[[#This Row],[CodBarras2]],2,50)</f>
        <v/>
      </c>
    </row>
    <row r="7373" spans="9:9" x14ac:dyDescent="0.25">
      <c r="I7373" s="227" t="str">
        <f>MID(excPisCofins[[#This Row],[CodBarras2]],2,50)</f>
        <v/>
      </c>
    </row>
    <row r="7374" spans="9:9" x14ac:dyDescent="0.25">
      <c r="I7374" s="227" t="str">
        <f>MID(excPisCofins[[#This Row],[CodBarras2]],2,50)</f>
        <v/>
      </c>
    </row>
    <row r="7375" spans="9:9" x14ac:dyDescent="0.25">
      <c r="I7375" s="227" t="str">
        <f>MID(excPisCofins[[#This Row],[CodBarras2]],2,50)</f>
        <v/>
      </c>
    </row>
    <row r="7376" spans="9:9" x14ac:dyDescent="0.25">
      <c r="I7376" s="227" t="str">
        <f>MID(excPisCofins[[#This Row],[CodBarras2]],2,50)</f>
        <v/>
      </c>
    </row>
    <row r="7377" spans="9:9" x14ac:dyDescent="0.25">
      <c r="I7377" s="227" t="str">
        <f>MID(excPisCofins[[#This Row],[CodBarras2]],2,50)</f>
        <v/>
      </c>
    </row>
    <row r="7378" spans="9:9" x14ac:dyDescent="0.25">
      <c r="I7378" s="227" t="str">
        <f>MID(excPisCofins[[#This Row],[CodBarras2]],2,50)</f>
        <v/>
      </c>
    </row>
    <row r="7379" spans="9:9" x14ac:dyDescent="0.25">
      <c r="I7379" s="227" t="str">
        <f>MID(excPisCofins[[#This Row],[CodBarras2]],2,50)</f>
        <v/>
      </c>
    </row>
    <row r="7380" spans="9:9" x14ac:dyDescent="0.25">
      <c r="I7380" s="227" t="str">
        <f>MID(excPisCofins[[#This Row],[CodBarras2]],2,50)</f>
        <v/>
      </c>
    </row>
    <row r="7381" spans="9:9" x14ac:dyDescent="0.25">
      <c r="I7381" s="227" t="str">
        <f>MID(excPisCofins[[#This Row],[CodBarras2]],2,50)</f>
        <v/>
      </c>
    </row>
    <row r="7382" spans="9:9" x14ac:dyDescent="0.25">
      <c r="I7382" s="227" t="str">
        <f>MID(excPisCofins[[#This Row],[CodBarras2]],2,50)</f>
        <v/>
      </c>
    </row>
    <row r="7383" spans="9:9" x14ac:dyDescent="0.25">
      <c r="I7383" s="227" t="str">
        <f>MID(excPisCofins[[#This Row],[CodBarras2]],2,50)</f>
        <v/>
      </c>
    </row>
    <row r="7384" spans="9:9" x14ac:dyDescent="0.25">
      <c r="I7384" s="227" t="str">
        <f>MID(excPisCofins[[#This Row],[CodBarras2]],2,50)</f>
        <v/>
      </c>
    </row>
    <row r="7385" spans="9:9" x14ac:dyDescent="0.25">
      <c r="I7385" s="227" t="str">
        <f>MID(excPisCofins[[#This Row],[CodBarras2]],2,50)</f>
        <v/>
      </c>
    </row>
    <row r="7386" spans="9:9" x14ac:dyDescent="0.25">
      <c r="I7386" s="227" t="str">
        <f>MID(excPisCofins[[#This Row],[CodBarras2]],2,50)</f>
        <v/>
      </c>
    </row>
    <row r="7387" spans="9:9" x14ac:dyDescent="0.25">
      <c r="I7387" s="227" t="str">
        <f>MID(excPisCofins[[#This Row],[CodBarras2]],2,50)</f>
        <v/>
      </c>
    </row>
    <row r="7388" spans="9:9" x14ac:dyDescent="0.25">
      <c r="I7388" s="227" t="str">
        <f>MID(excPisCofins[[#This Row],[CodBarras2]],2,50)</f>
        <v/>
      </c>
    </row>
    <row r="7389" spans="9:9" x14ac:dyDescent="0.25">
      <c r="I7389" s="227" t="str">
        <f>MID(excPisCofins[[#This Row],[CodBarras2]],2,50)</f>
        <v/>
      </c>
    </row>
    <row r="7390" spans="9:9" x14ac:dyDescent="0.25">
      <c r="I7390" s="227" t="str">
        <f>MID(excPisCofins[[#This Row],[CodBarras2]],2,50)</f>
        <v/>
      </c>
    </row>
    <row r="7391" spans="9:9" x14ac:dyDescent="0.25">
      <c r="I7391" s="227" t="str">
        <f>MID(excPisCofins[[#This Row],[CodBarras2]],2,50)</f>
        <v/>
      </c>
    </row>
    <row r="7392" spans="9:9" x14ac:dyDescent="0.25">
      <c r="I7392" s="227" t="str">
        <f>MID(excPisCofins[[#This Row],[CodBarras2]],2,50)</f>
        <v/>
      </c>
    </row>
    <row r="7393" spans="9:9" x14ac:dyDescent="0.25">
      <c r="I7393" s="227" t="str">
        <f>MID(excPisCofins[[#This Row],[CodBarras2]],2,50)</f>
        <v/>
      </c>
    </row>
    <row r="7394" spans="9:9" x14ac:dyDescent="0.25">
      <c r="I7394" s="227" t="str">
        <f>MID(excPisCofins[[#This Row],[CodBarras2]],2,50)</f>
        <v/>
      </c>
    </row>
    <row r="7395" spans="9:9" x14ac:dyDescent="0.25">
      <c r="I7395" s="227" t="str">
        <f>MID(excPisCofins[[#This Row],[CodBarras2]],2,50)</f>
        <v/>
      </c>
    </row>
    <row r="7396" spans="9:9" x14ac:dyDescent="0.25">
      <c r="I7396" s="227" t="str">
        <f>MID(excPisCofins[[#This Row],[CodBarras2]],2,50)</f>
        <v/>
      </c>
    </row>
    <row r="7397" spans="9:9" x14ac:dyDescent="0.25">
      <c r="I7397" s="227" t="str">
        <f>MID(excPisCofins[[#This Row],[CodBarras2]],2,50)</f>
        <v/>
      </c>
    </row>
    <row r="7398" spans="9:9" x14ac:dyDescent="0.25">
      <c r="I7398" s="227" t="str">
        <f>MID(excPisCofins[[#This Row],[CodBarras2]],2,50)</f>
        <v/>
      </c>
    </row>
    <row r="7399" spans="9:9" x14ac:dyDescent="0.25">
      <c r="I7399" s="227" t="str">
        <f>MID(excPisCofins[[#This Row],[CodBarras2]],2,50)</f>
        <v/>
      </c>
    </row>
    <row r="7400" spans="9:9" x14ac:dyDescent="0.25">
      <c r="I7400" s="227" t="str">
        <f>MID(excPisCofins[[#This Row],[CodBarras2]],2,50)</f>
        <v/>
      </c>
    </row>
    <row r="7401" spans="9:9" x14ac:dyDescent="0.25">
      <c r="I7401" s="227" t="str">
        <f>MID(excPisCofins[[#This Row],[CodBarras2]],2,50)</f>
        <v/>
      </c>
    </row>
    <row r="7402" spans="9:9" x14ac:dyDescent="0.25">
      <c r="I7402" s="227" t="str">
        <f>MID(excPisCofins[[#This Row],[CodBarras2]],2,50)</f>
        <v/>
      </c>
    </row>
    <row r="7403" spans="9:9" x14ac:dyDescent="0.25">
      <c r="I7403" s="227" t="str">
        <f>MID(excPisCofins[[#This Row],[CodBarras2]],2,50)</f>
        <v/>
      </c>
    </row>
    <row r="7404" spans="9:9" x14ac:dyDescent="0.25">
      <c r="I7404" s="227" t="str">
        <f>MID(excPisCofins[[#This Row],[CodBarras2]],2,50)</f>
        <v/>
      </c>
    </row>
    <row r="7405" spans="9:9" x14ac:dyDescent="0.25">
      <c r="I7405" s="227" t="str">
        <f>MID(excPisCofins[[#This Row],[CodBarras2]],2,50)</f>
        <v/>
      </c>
    </row>
    <row r="7406" spans="9:9" x14ac:dyDescent="0.25">
      <c r="I7406" s="227" t="str">
        <f>MID(excPisCofins[[#This Row],[CodBarras2]],2,50)</f>
        <v/>
      </c>
    </row>
    <row r="7407" spans="9:9" x14ac:dyDescent="0.25">
      <c r="I7407" s="227" t="str">
        <f>MID(excPisCofins[[#This Row],[CodBarras2]],2,50)</f>
        <v/>
      </c>
    </row>
    <row r="7408" spans="9:9" x14ac:dyDescent="0.25">
      <c r="I7408" s="227" t="str">
        <f>MID(excPisCofins[[#This Row],[CodBarras2]],2,50)</f>
        <v/>
      </c>
    </row>
    <row r="7409" spans="9:9" x14ac:dyDescent="0.25">
      <c r="I7409" s="227" t="str">
        <f>MID(excPisCofins[[#This Row],[CodBarras2]],2,50)</f>
        <v/>
      </c>
    </row>
    <row r="7410" spans="9:9" x14ac:dyDescent="0.25">
      <c r="I7410" s="227" t="str">
        <f>MID(excPisCofins[[#This Row],[CodBarras2]],2,50)</f>
        <v/>
      </c>
    </row>
    <row r="7411" spans="9:9" x14ac:dyDescent="0.25">
      <c r="I7411" s="227" t="str">
        <f>MID(excPisCofins[[#This Row],[CodBarras2]],2,50)</f>
        <v/>
      </c>
    </row>
    <row r="7412" spans="9:9" x14ac:dyDescent="0.25">
      <c r="I7412" s="227" t="str">
        <f>MID(excPisCofins[[#This Row],[CodBarras2]],2,50)</f>
        <v/>
      </c>
    </row>
    <row r="7413" spans="9:9" x14ac:dyDescent="0.25">
      <c r="I7413" s="227" t="str">
        <f>MID(excPisCofins[[#This Row],[CodBarras2]],2,50)</f>
        <v/>
      </c>
    </row>
    <row r="7414" spans="9:9" x14ac:dyDescent="0.25">
      <c r="I7414" s="227" t="str">
        <f>MID(excPisCofins[[#This Row],[CodBarras2]],2,50)</f>
        <v/>
      </c>
    </row>
    <row r="7415" spans="9:9" x14ac:dyDescent="0.25">
      <c r="I7415" s="227" t="str">
        <f>MID(excPisCofins[[#This Row],[CodBarras2]],2,50)</f>
        <v/>
      </c>
    </row>
    <row r="7416" spans="9:9" x14ac:dyDescent="0.25">
      <c r="I7416" s="227" t="str">
        <f>MID(excPisCofins[[#This Row],[CodBarras2]],2,50)</f>
        <v/>
      </c>
    </row>
    <row r="7417" spans="9:9" x14ac:dyDescent="0.25">
      <c r="I7417" s="227" t="str">
        <f>MID(excPisCofins[[#This Row],[CodBarras2]],2,50)</f>
        <v/>
      </c>
    </row>
    <row r="7418" spans="9:9" x14ac:dyDescent="0.25">
      <c r="I7418" s="227" t="str">
        <f>MID(excPisCofins[[#This Row],[CodBarras2]],2,50)</f>
        <v/>
      </c>
    </row>
    <row r="7419" spans="9:9" x14ac:dyDescent="0.25">
      <c r="I7419" s="227" t="str">
        <f>MID(excPisCofins[[#This Row],[CodBarras2]],2,50)</f>
        <v/>
      </c>
    </row>
    <row r="7420" spans="9:9" x14ac:dyDescent="0.25">
      <c r="I7420" s="227" t="str">
        <f>MID(excPisCofins[[#This Row],[CodBarras2]],2,50)</f>
        <v/>
      </c>
    </row>
    <row r="7421" spans="9:9" x14ac:dyDescent="0.25">
      <c r="I7421" s="227" t="str">
        <f>MID(excPisCofins[[#This Row],[CodBarras2]],2,50)</f>
        <v/>
      </c>
    </row>
    <row r="7422" spans="9:9" x14ac:dyDescent="0.25">
      <c r="I7422" s="227" t="str">
        <f>MID(excPisCofins[[#This Row],[CodBarras2]],2,50)</f>
        <v/>
      </c>
    </row>
    <row r="7423" spans="9:9" x14ac:dyDescent="0.25">
      <c r="I7423" s="227" t="str">
        <f>MID(excPisCofins[[#This Row],[CodBarras2]],2,50)</f>
        <v/>
      </c>
    </row>
    <row r="7424" spans="9:9" x14ac:dyDescent="0.25">
      <c r="I7424" s="227" t="str">
        <f>MID(excPisCofins[[#This Row],[CodBarras2]],2,50)</f>
        <v/>
      </c>
    </row>
    <row r="7425" spans="9:9" x14ac:dyDescent="0.25">
      <c r="I7425" s="227" t="str">
        <f>MID(excPisCofins[[#This Row],[CodBarras2]],2,50)</f>
        <v/>
      </c>
    </row>
    <row r="7426" spans="9:9" x14ac:dyDescent="0.25">
      <c r="I7426" s="227" t="str">
        <f>MID(excPisCofins[[#This Row],[CodBarras2]],2,50)</f>
        <v/>
      </c>
    </row>
    <row r="7427" spans="9:9" x14ac:dyDescent="0.25">
      <c r="I7427" s="227" t="str">
        <f>MID(excPisCofins[[#This Row],[CodBarras2]],2,50)</f>
        <v/>
      </c>
    </row>
    <row r="7428" spans="9:9" x14ac:dyDescent="0.25">
      <c r="I7428" s="227" t="str">
        <f>MID(excPisCofins[[#This Row],[CodBarras2]],2,50)</f>
        <v/>
      </c>
    </row>
    <row r="7429" spans="9:9" x14ac:dyDescent="0.25">
      <c r="I7429" s="227" t="str">
        <f>MID(excPisCofins[[#This Row],[CodBarras2]],2,50)</f>
        <v/>
      </c>
    </row>
    <row r="7430" spans="9:9" x14ac:dyDescent="0.25">
      <c r="I7430" s="227" t="str">
        <f>MID(excPisCofins[[#This Row],[CodBarras2]],2,50)</f>
        <v/>
      </c>
    </row>
    <row r="7431" spans="9:9" x14ac:dyDescent="0.25">
      <c r="I7431" s="227" t="str">
        <f>MID(excPisCofins[[#This Row],[CodBarras2]],2,50)</f>
        <v/>
      </c>
    </row>
    <row r="7432" spans="9:9" x14ac:dyDescent="0.25">
      <c r="I7432" s="227" t="str">
        <f>MID(excPisCofins[[#This Row],[CodBarras2]],2,50)</f>
        <v/>
      </c>
    </row>
    <row r="7433" spans="9:9" x14ac:dyDescent="0.25">
      <c r="I7433" s="227" t="str">
        <f>MID(excPisCofins[[#This Row],[CodBarras2]],2,50)</f>
        <v/>
      </c>
    </row>
    <row r="7434" spans="9:9" x14ac:dyDescent="0.25">
      <c r="I7434" s="227" t="str">
        <f>MID(excPisCofins[[#This Row],[CodBarras2]],2,50)</f>
        <v/>
      </c>
    </row>
    <row r="7435" spans="9:9" x14ac:dyDescent="0.25">
      <c r="I7435" s="227" t="str">
        <f>MID(excPisCofins[[#This Row],[CodBarras2]],2,50)</f>
        <v/>
      </c>
    </row>
    <row r="7436" spans="9:9" x14ac:dyDescent="0.25">
      <c r="I7436" s="227" t="str">
        <f>MID(excPisCofins[[#This Row],[CodBarras2]],2,50)</f>
        <v/>
      </c>
    </row>
    <row r="7437" spans="9:9" x14ac:dyDescent="0.25">
      <c r="I7437" s="227" t="str">
        <f>MID(excPisCofins[[#This Row],[CodBarras2]],2,50)</f>
        <v/>
      </c>
    </row>
    <row r="7438" spans="9:9" x14ac:dyDescent="0.25">
      <c r="I7438" s="227" t="str">
        <f>MID(excPisCofins[[#This Row],[CodBarras2]],2,50)</f>
        <v/>
      </c>
    </row>
    <row r="7439" spans="9:9" x14ac:dyDescent="0.25">
      <c r="I7439" s="227" t="str">
        <f>MID(excPisCofins[[#This Row],[CodBarras2]],2,50)</f>
        <v/>
      </c>
    </row>
    <row r="7440" spans="9:9" x14ac:dyDescent="0.25">
      <c r="I7440" s="227" t="str">
        <f>MID(excPisCofins[[#This Row],[CodBarras2]],2,50)</f>
        <v/>
      </c>
    </row>
    <row r="7441" spans="9:9" x14ac:dyDescent="0.25">
      <c r="I7441" s="227" t="str">
        <f>MID(excPisCofins[[#This Row],[CodBarras2]],2,50)</f>
        <v/>
      </c>
    </row>
    <row r="7442" spans="9:9" x14ac:dyDescent="0.25">
      <c r="I7442" s="227" t="str">
        <f>MID(excPisCofins[[#This Row],[CodBarras2]],2,50)</f>
        <v/>
      </c>
    </row>
    <row r="7443" spans="9:9" x14ac:dyDescent="0.25">
      <c r="I7443" s="227" t="str">
        <f>MID(excPisCofins[[#This Row],[CodBarras2]],2,50)</f>
        <v/>
      </c>
    </row>
    <row r="7444" spans="9:9" x14ac:dyDescent="0.25">
      <c r="I7444" s="227" t="str">
        <f>MID(excPisCofins[[#This Row],[CodBarras2]],2,50)</f>
        <v/>
      </c>
    </row>
    <row r="7445" spans="9:9" x14ac:dyDescent="0.25">
      <c r="I7445" s="227" t="str">
        <f>MID(excPisCofins[[#This Row],[CodBarras2]],2,50)</f>
        <v/>
      </c>
    </row>
    <row r="7446" spans="9:9" x14ac:dyDescent="0.25">
      <c r="I7446" s="227" t="str">
        <f>MID(excPisCofins[[#This Row],[CodBarras2]],2,50)</f>
        <v/>
      </c>
    </row>
    <row r="7447" spans="9:9" x14ac:dyDescent="0.25">
      <c r="I7447" s="227" t="str">
        <f>MID(excPisCofins[[#This Row],[CodBarras2]],2,50)</f>
        <v/>
      </c>
    </row>
    <row r="7448" spans="9:9" x14ac:dyDescent="0.25">
      <c r="I7448" s="227" t="str">
        <f>MID(excPisCofins[[#This Row],[CodBarras2]],2,50)</f>
        <v/>
      </c>
    </row>
    <row r="7449" spans="9:9" x14ac:dyDescent="0.25">
      <c r="I7449" s="227" t="str">
        <f>MID(excPisCofins[[#This Row],[CodBarras2]],2,50)</f>
        <v/>
      </c>
    </row>
    <row r="7450" spans="9:9" x14ac:dyDescent="0.25">
      <c r="I7450" s="227" t="str">
        <f>MID(excPisCofins[[#This Row],[CodBarras2]],2,50)</f>
        <v/>
      </c>
    </row>
    <row r="7451" spans="9:9" x14ac:dyDescent="0.25">
      <c r="I7451" s="227" t="str">
        <f>MID(excPisCofins[[#This Row],[CodBarras2]],2,50)</f>
        <v/>
      </c>
    </row>
    <row r="7452" spans="9:9" x14ac:dyDescent="0.25">
      <c r="I7452" s="227" t="str">
        <f>MID(excPisCofins[[#This Row],[CodBarras2]],2,50)</f>
        <v/>
      </c>
    </row>
    <row r="7453" spans="9:9" x14ac:dyDescent="0.25">
      <c r="I7453" s="227" t="str">
        <f>MID(excPisCofins[[#This Row],[CodBarras2]],2,50)</f>
        <v/>
      </c>
    </row>
    <row r="7454" spans="9:9" x14ac:dyDescent="0.25">
      <c r="I7454" s="227" t="str">
        <f>MID(excPisCofins[[#This Row],[CodBarras2]],2,50)</f>
        <v/>
      </c>
    </row>
    <row r="7455" spans="9:9" x14ac:dyDescent="0.25">
      <c r="I7455" s="227" t="str">
        <f>MID(excPisCofins[[#This Row],[CodBarras2]],2,50)</f>
        <v/>
      </c>
    </row>
    <row r="7456" spans="9:9" x14ac:dyDescent="0.25">
      <c r="I7456" s="227" t="str">
        <f>MID(excPisCofins[[#This Row],[CodBarras2]],2,50)</f>
        <v/>
      </c>
    </row>
    <row r="7457" spans="9:9" x14ac:dyDescent="0.25">
      <c r="I7457" s="227" t="str">
        <f>MID(excPisCofins[[#This Row],[CodBarras2]],2,50)</f>
        <v/>
      </c>
    </row>
    <row r="7458" spans="9:9" x14ac:dyDescent="0.25">
      <c r="I7458" s="227" t="str">
        <f>MID(excPisCofins[[#This Row],[CodBarras2]],2,50)</f>
        <v/>
      </c>
    </row>
    <row r="7459" spans="9:9" x14ac:dyDescent="0.25">
      <c r="I7459" s="227" t="str">
        <f>MID(excPisCofins[[#This Row],[CodBarras2]],2,50)</f>
        <v/>
      </c>
    </row>
    <row r="7460" spans="9:9" x14ac:dyDescent="0.25">
      <c r="I7460" s="227" t="str">
        <f>MID(excPisCofins[[#This Row],[CodBarras2]],2,50)</f>
        <v/>
      </c>
    </row>
    <row r="7461" spans="9:9" x14ac:dyDescent="0.25">
      <c r="I7461" s="227" t="str">
        <f>MID(excPisCofins[[#This Row],[CodBarras2]],2,50)</f>
        <v/>
      </c>
    </row>
    <row r="7462" spans="9:9" x14ac:dyDescent="0.25">
      <c r="I7462" s="227" t="str">
        <f>MID(excPisCofins[[#This Row],[CodBarras2]],2,50)</f>
        <v/>
      </c>
    </row>
    <row r="7463" spans="9:9" x14ac:dyDescent="0.25">
      <c r="I7463" s="227" t="str">
        <f>MID(excPisCofins[[#This Row],[CodBarras2]],2,50)</f>
        <v/>
      </c>
    </row>
    <row r="7464" spans="9:9" x14ac:dyDescent="0.25">
      <c r="I7464" s="227" t="str">
        <f>MID(excPisCofins[[#This Row],[CodBarras2]],2,50)</f>
        <v/>
      </c>
    </row>
    <row r="7465" spans="9:9" x14ac:dyDescent="0.25">
      <c r="I7465" s="227" t="str">
        <f>MID(excPisCofins[[#This Row],[CodBarras2]],2,50)</f>
        <v/>
      </c>
    </row>
    <row r="7466" spans="9:9" x14ac:dyDescent="0.25">
      <c r="I7466" s="227" t="str">
        <f>MID(excPisCofins[[#This Row],[CodBarras2]],2,50)</f>
        <v/>
      </c>
    </row>
    <row r="7467" spans="9:9" x14ac:dyDescent="0.25">
      <c r="I7467" s="227" t="str">
        <f>MID(excPisCofins[[#This Row],[CodBarras2]],2,50)</f>
        <v/>
      </c>
    </row>
    <row r="7468" spans="9:9" x14ac:dyDescent="0.25">
      <c r="I7468" s="227" t="str">
        <f>MID(excPisCofins[[#This Row],[CodBarras2]],2,50)</f>
        <v/>
      </c>
    </row>
    <row r="7469" spans="9:9" x14ac:dyDescent="0.25">
      <c r="I7469" s="227" t="str">
        <f>MID(excPisCofins[[#This Row],[CodBarras2]],2,50)</f>
        <v/>
      </c>
    </row>
    <row r="7470" spans="9:9" x14ac:dyDescent="0.25">
      <c r="I7470" s="227" t="str">
        <f>MID(excPisCofins[[#This Row],[CodBarras2]],2,50)</f>
        <v/>
      </c>
    </row>
    <row r="7471" spans="9:9" x14ac:dyDescent="0.25">
      <c r="I7471" s="227" t="str">
        <f>MID(excPisCofins[[#This Row],[CodBarras2]],2,50)</f>
        <v/>
      </c>
    </row>
    <row r="7472" spans="9:9" x14ac:dyDescent="0.25">
      <c r="I7472" s="227" t="str">
        <f>MID(excPisCofins[[#This Row],[CodBarras2]],2,50)</f>
        <v/>
      </c>
    </row>
    <row r="7473" spans="9:9" x14ac:dyDescent="0.25">
      <c r="I7473" s="227" t="str">
        <f>MID(excPisCofins[[#This Row],[CodBarras2]],2,50)</f>
        <v/>
      </c>
    </row>
    <row r="7474" spans="9:9" x14ac:dyDescent="0.25">
      <c r="I7474" s="227" t="str">
        <f>MID(excPisCofins[[#This Row],[CodBarras2]],2,50)</f>
        <v/>
      </c>
    </row>
    <row r="7475" spans="9:9" x14ac:dyDescent="0.25">
      <c r="I7475" s="227" t="str">
        <f>MID(excPisCofins[[#This Row],[CodBarras2]],2,50)</f>
        <v/>
      </c>
    </row>
    <row r="7476" spans="9:9" x14ac:dyDescent="0.25">
      <c r="I7476" s="227" t="str">
        <f>MID(excPisCofins[[#This Row],[CodBarras2]],2,50)</f>
        <v/>
      </c>
    </row>
    <row r="7477" spans="9:9" x14ac:dyDescent="0.25">
      <c r="I7477" s="227" t="str">
        <f>MID(excPisCofins[[#This Row],[CodBarras2]],2,50)</f>
        <v/>
      </c>
    </row>
    <row r="7478" spans="9:9" x14ac:dyDescent="0.25">
      <c r="I7478" s="227" t="str">
        <f>MID(excPisCofins[[#This Row],[CodBarras2]],2,50)</f>
        <v/>
      </c>
    </row>
    <row r="7479" spans="9:9" x14ac:dyDescent="0.25">
      <c r="I7479" s="227" t="str">
        <f>MID(excPisCofins[[#This Row],[CodBarras2]],2,50)</f>
        <v/>
      </c>
    </row>
    <row r="7480" spans="9:9" x14ac:dyDescent="0.25">
      <c r="I7480" s="227" t="str">
        <f>MID(excPisCofins[[#This Row],[CodBarras2]],2,50)</f>
        <v/>
      </c>
    </row>
    <row r="7481" spans="9:9" x14ac:dyDescent="0.25">
      <c r="I7481" s="227" t="str">
        <f>MID(excPisCofins[[#This Row],[CodBarras2]],2,50)</f>
        <v/>
      </c>
    </row>
    <row r="7482" spans="9:9" x14ac:dyDescent="0.25">
      <c r="I7482" s="227" t="str">
        <f>MID(excPisCofins[[#This Row],[CodBarras2]],2,50)</f>
        <v/>
      </c>
    </row>
    <row r="7483" spans="9:9" x14ac:dyDescent="0.25">
      <c r="I7483" s="227" t="str">
        <f>MID(excPisCofins[[#This Row],[CodBarras2]],2,50)</f>
        <v/>
      </c>
    </row>
    <row r="7484" spans="9:9" x14ac:dyDescent="0.25">
      <c r="I7484" s="227" t="str">
        <f>MID(excPisCofins[[#This Row],[CodBarras2]],2,50)</f>
        <v/>
      </c>
    </row>
    <row r="7485" spans="9:9" x14ac:dyDescent="0.25">
      <c r="I7485" s="227" t="str">
        <f>MID(excPisCofins[[#This Row],[CodBarras2]],2,50)</f>
        <v/>
      </c>
    </row>
    <row r="7486" spans="9:9" x14ac:dyDescent="0.25">
      <c r="I7486" s="227" t="str">
        <f>MID(excPisCofins[[#This Row],[CodBarras2]],2,50)</f>
        <v/>
      </c>
    </row>
    <row r="7487" spans="9:9" x14ac:dyDescent="0.25">
      <c r="I7487" s="227" t="str">
        <f>MID(excPisCofins[[#This Row],[CodBarras2]],2,50)</f>
        <v/>
      </c>
    </row>
    <row r="7488" spans="9:9" x14ac:dyDescent="0.25">
      <c r="I7488" s="227" t="str">
        <f>MID(excPisCofins[[#This Row],[CodBarras2]],2,50)</f>
        <v/>
      </c>
    </row>
    <row r="7489" spans="9:9" x14ac:dyDescent="0.25">
      <c r="I7489" s="227" t="str">
        <f>MID(excPisCofins[[#This Row],[CodBarras2]],2,50)</f>
        <v/>
      </c>
    </row>
    <row r="7490" spans="9:9" x14ac:dyDescent="0.25">
      <c r="I7490" s="227" t="str">
        <f>MID(excPisCofins[[#This Row],[CodBarras2]],2,50)</f>
        <v/>
      </c>
    </row>
    <row r="7491" spans="9:9" x14ac:dyDescent="0.25">
      <c r="I7491" s="227" t="str">
        <f>MID(excPisCofins[[#This Row],[CodBarras2]],2,50)</f>
        <v/>
      </c>
    </row>
    <row r="7492" spans="9:9" x14ac:dyDescent="0.25">
      <c r="I7492" s="227" t="str">
        <f>MID(excPisCofins[[#This Row],[CodBarras2]],2,50)</f>
        <v/>
      </c>
    </row>
    <row r="7493" spans="9:9" x14ac:dyDescent="0.25">
      <c r="I7493" s="227" t="str">
        <f>MID(excPisCofins[[#This Row],[CodBarras2]],2,50)</f>
        <v/>
      </c>
    </row>
    <row r="7494" spans="9:9" x14ac:dyDescent="0.25">
      <c r="I7494" s="227" t="str">
        <f>MID(excPisCofins[[#This Row],[CodBarras2]],2,50)</f>
        <v/>
      </c>
    </row>
    <row r="7495" spans="9:9" x14ac:dyDescent="0.25">
      <c r="I7495" s="227" t="str">
        <f>MID(excPisCofins[[#This Row],[CodBarras2]],2,50)</f>
        <v/>
      </c>
    </row>
    <row r="7496" spans="9:9" x14ac:dyDescent="0.25">
      <c r="I7496" s="227" t="str">
        <f>MID(excPisCofins[[#This Row],[CodBarras2]],2,50)</f>
        <v/>
      </c>
    </row>
    <row r="7497" spans="9:9" x14ac:dyDescent="0.25">
      <c r="I7497" s="227" t="str">
        <f>MID(excPisCofins[[#This Row],[CodBarras2]],2,50)</f>
        <v/>
      </c>
    </row>
    <row r="7498" spans="9:9" x14ac:dyDescent="0.25">
      <c r="I7498" s="227" t="str">
        <f>MID(excPisCofins[[#This Row],[CodBarras2]],2,50)</f>
        <v/>
      </c>
    </row>
    <row r="7499" spans="9:9" x14ac:dyDescent="0.25">
      <c r="I7499" s="227" t="str">
        <f>MID(excPisCofins[[#This Row],[CodBarras2]],2,50)</f>
        <v/>
      </c>
    </row>
    <row r="7500" spans="9:9" x14ac:dyDescent="0.25">
      <c r="I7500" s="227" t="str">
        <f>MID(excPisCofins[[#This Row],[CodBarras2]],2,50)</f>
        <v/>
      </c>
    </row>
    <row r="7501" spans="9:9" x14ac:dyDescent="0.25">
      <c r="I7501" s="227" t="str">
        <f>MID(excPisCofins[[#This Row],[CodBarras2]],2,50)</f>
        <v/>
      </c>
    </row>
    <row r="7502" spans="9:9" x14ac:dyDescent="0.25">
      <c r="I7502" s="227" t="str">
        <f>MID(excPisCofins[[#This Row],[CodBarras2]],2,50)</f>
        <v/>
      </c>
    </row>
    <row r="7503" spans="9:9" x14ac:dyDescent="0.25">
      <c r="I7503" s="227" t="str">
        <f>MID(excPisCofins[[#This Row],[CodBarras2]],2,50)</f>
        <v/>
      </c>
    </row>
    <row r="7504" spans="9:9" x14ac:dyDescent="0.25">
      <c r="I7504" s="227" t="str">
        <f>MID(excPisCofins[[#This Row],[CodBarras2]],2,50)</f>
        <v/>
      </c>
    </row>
    <row r="7505" spans="9:9" x14ac:dyDescent="0.25">
      <c r="I7505" s="227" t="str">
        <f>MID(excPisCofins[[#This Row],[CodBarras2]],2,50)</f>
        <v/>
      </c>
    </row>
    <row r="7506" spans="9:9" x14ac:dyDescent="0.25">
      <c r="I7506" s="227" t="str">
        <f>MID(excPisCofins[[#This Row],[CodBarras2]],2,50)</f>
        <v/>
      </c>
    </row>
    <row r="7507" spans="9:9" x14ac:dyDescent="0.25">
      <c r="I7507" s="227" t="str">
        <f>MID(excPisCofins[[#This Row],[CodBarras2]],2,50)</f>
        <v/>
      </c>
    </row>
    <row r="7508" spans="9:9" x14ac:dyDescent="0.25">
      <c r="I7508" s="227" t="str">
        <f>MID(excPisCofins[[#This Row],[CodBarras2]],2,50)</f>
        <v/>
      </c>
    </row>
    <row r="7509" spans="9:9" x14ac:dyDescent="0.25">
      <c r="I7509" s="227" t="str">
        <f>MID(excPisCofins[[#This Row],[CodBarras2]],2,50)</f>
        <v/>
      </c>
    </row>
    <row r="7510" spans="9:9" x14ac:dyDescent="0.25">
      <c r="I7510" s="227" t="str">
        <f>MID(excPisCofins[[#This Row],[CodBarras2]],2,50)</f>
        <v/>
      </c>
    </row>
    <row r="7511" spans="9:9" x14ac:dyDescent="0.25">
      <c r="I7511" s="227" t="str">
        <f>MID(excPisCofins[[#This Row],[CodBarras2]],2,50)</f>
        <v/>
      </c>
    </row>
    <row r="7512" spans="9:9" x14ac:dyDescent="0.25">
      <c r="I7512" s="227" t="str">
        <f>MID(excPisCofins[[#This Row],[CodBarras2]],2,50)</f>
        <v/>
      </c>
    </row>
    <row r="7513" spans="9:9" x14ac:dyDescent="0.25">
      <c r="I7513" s="227" t="str">
        <f>MID(excPisCofins[[#This Row],[CodBarras2]],2,50)</f>
        <v/>
      </c>
    </row>
    <row r="7514" spans="9:9" x14ac:dyDescent="0.25">
      <c r="I7514" s="227" t="str">
        <f>MID(excPisCofins[[#This Row],[CodBarras2]],2,50)</f>
        <v/>
      </c>
    </row>
    <row r="7515" spans="9:9" x14ac:dyDescent="0.25">
      <c r="I7515" s="227" t="str">
        <f>MID(excPisCofins[[#This Row],[CodBarras2]],2,50)</f>
        <v/>
      </c>
    </row>
    <row r="7516" spans="9:9" x14ac:dyDescent="0.25">
      <c r="I7516" s="227" t="str">
        <f>MID(excPisCofins[[#This Row],[CodBarras2]],2,50)</f>
        <v/>
      </c>
    </row>
    <row r="7517" spans="9:9" x14ac:dyDescent="0.25">
      <c r="I7517" s="227" t="str">
        <f>MID(excPisCofins[[#This Row],[CodBarras2]],2,50)</f>
        <v/>
      </c>
    </row>
    <row r="7518" spans="9:9" x14ac:dyDescent="0.25">
      <c r="I7518" s="227" t="str">
        <f>MID(excPisCofins[[#This Row],[CodBarras2]],2,50)</f>
        <v/>
      </c>
    </row>
    <row r="7519" spans="9:9" x14ac:dyDescent="0.25">
      <c r="I7519" s="227" t="str">
        <f>MID(excPisCofins[[#This Row],[CodBarras2]],2,50)</f>
        <v/>
      </c>
    </row>
    <row r="7520" spans="9:9" x14ac:dyDescent="0.25">
      <c r="I7520" s="227" t="str">
        <f>MID(excPisCofins[[#This Row],[CodBarras2]],2,50)</f>
        <v/>
      </c>
    </row>
    <row r="7521" spans="9:9" x14ac:dyDescent="0.25">
      <c r="I7521" s="227" t="str">
        <f>MID(excPisCofins[[#This Row],[CodBarras2]],2,50)</f>
        <v/>
      </c>
    </row>
    <row r="7522" spans="9:9" x14ac:dyDescent="0.25">
      <c r="I7522" s="227" t="str">
        <f>MID(excPisCofins[[#This Row],[CodBarras2]],2,50)</f>
        <v/>
      </c>
    </row>
    <row r="7523" spans="9:9" x14ac:dyDescent="0.25">
      <c r="I7523" s="227" t="str">
        <f>MID(excPisCofins[[#This Row],[CodBarras2]],2,50)</f>
        <v/>
      </c>
    </row>
    <row r="7524" spans="9:9" x14ac:dyDescent="0.25">
      <c r="I7524" s="227" t="str">
        <f>MID(excPisCofins[[#This Row],[CodBarras2]],2,50)</f>
        <v/>
      </c>
    </row>
    <row r="7525" spans="9:9" x14ac:dyDescent="0.25">
      <c r="I7525" s="227" t="str">
        <f>MID(excPisCofins[[#This Row],[CodBarras2]],2,50)</f>
        <v/>
      </c>
    </row>
    <row r="7526" spans="9:9" x14ac:dyDescent="0.25">
      <c r="I7526" s="227" t="str">
        <f>MID(excPisCofins[[#This Row],[CodBarras2]],2,50)</f>
        <v/>
      </c>
    </row>
    <row r="7527" spans="9:9" x14ac:dyDescent="0.25">
      <c r="I7527" s="227" t="str">
        <f>MID(excPisCofins[[#This Row],[CodBarras2]],2,50)</f>
        <v/>
      </c>
    </row>
    <row r="7528" spans="9:9" x14ac:dyDescent="0.25">
      <c r="I7528" s="227" t="str">
        <f>MID(excPisCofins[[#This Row],[CodBarras2]],2,50)</f>
        <v/>
      </c>
    </row>
    <row r="7529" spans="9:9" x14ac:dyDescent="0.25">
      <c r="I7529" s="227" t="str">
        <f>MID(excPisCofins[[#This Row],[CodBarras2]],2,50)</f>
        <v/>
      </c>
    </row>
    <row r="7530" spans="9:9" x14ac:dyDescent="0.25">
      <c r="I7530" s="227" t="str">
        <f>MID(excPisCofins[[#This Row],[CodBarras2]],2,50)</f>
        <v/>
      </c>
    </row>
    <row r="7531" spans="9:9" x14ac:dyDescent="0.25">
      <c r="I7531" s="227" t="str">
        <f>MID(excPisCofins[[#This Row],[CodBarras2]],2,50)</f>
        <v/>
      </c>
    </row>
    <row r="7532" spans="9:9" x14ac:dyDescent="0.25">
      <c r="I7532" s="227" t="str">
        <f>MID(excPisCofins[[#This Row],[CodBarras2]],2,50)</f>
        <v/>
      </c>
    </row>
    <row r="7533" spans="9:9" x14ac:dyDescent="0.25">
      <c r="I7533" s="227" t="str">
        <f>MID(excPisCofins[[#This Row],[CodBarras2]],2,50)</f>
        <v/>
      </c>
    </row>
    <row r="7534" spans="9:9" x14ac:dyDescent="0.25">
      <c r="I7534" s="227" t="str">
        <f>MID(excPisCofins[[#This Row],[CodBarras2]],2,50)</f>
        <v/>
      </c>
    </row>
    <row r="7535" spans="9:9" x14ac:dyDescent="0.25">
      <c r="I7535" s="227" t="str">
        <f>MID(excPisCofins[[#This Row],[CodBarras2]],2,50)</f>
        <v/>
      </c>
    </row>
    <row r="7536" spans="9:9" x14ac:dyDescent="0.25">
      <c r="I7536" s="227" t="str">
        <f>MID(excPisCofins[[#This Row],[CodBarras2]],2,50)</f>
        <v/>
      </c>
    </row>
    <row r="7537" spans="9:9" x14ac:dyDescent="0.25">
      <c r="I7537" s="227" t="str">
        <f>MID(excPisCofins[[#This Row],[CodBarras2]],2,50)</f>
        <v/>
      </c>
    </row>
    <row r="7538" spans="9:9" x14ac:dyDescent="0.25">
      <c r="I7538" s="227" t="str">
        <f>MID(excPisCofins[[#This Row],[CodBarras2]],2,50)</f>
        <v/>
      </c>
    </row>
    <row r="7539" spans="9:9" x14ac:dyDescent="0.25">
      <c r="I7539" s="227" t="str">
        <f>MID(excPisCofins[[#This Row],[CodBarras2]],2,50)</f>
        <v/>
      </c>
    </row>
    <row r="7540" spans="9:9" x14ac:dyDescent="0.25">
      <c r="I7540" s="227" t="str">
        <f>MID(excPisCofins[[#This Row],[CodBarras2]],2,50)</f>
        <v/>
      </c>
    </row>
    <row r="7541" spans="9:9" x14ac:dyDescent="0.25">
      <c r="I7541" s="227" t="str">
        <f>MID(excPisCofins[[#This Row],[CodBarras2]],2,50)</f>
        <v/>
      </c>
    </row>
    <row r="7542" spans="9:9" x14ac:dyDescent="0.25">
      <c r="I7542" s="227" t="str">
        <f>MID(excPisCofins[[#This Row],[CodBarras2]],2,50)</f>
        <v/>
      </c>
    </row>
    <row r="7543" spans="9:9" x14ac:dyDescent="0.25">
      <c r="I7543" s="227" t="str">
        <f>MID(excPisCofins[[#This Row],[CodBarras2]],2,50)</f>
        <v/>
      </c>
    </row>
    <row r="7544" spans="9:9" x14ac:dyDescent="0.25">
      <c r="I7544" s="227" t="str">
        <f>MID(excPisCofins[[#This Row],[CodBarras2]],2,50)</f>
        <v/>
      </c>
    </row>
    <row r="7545" spans="9:9" x14ac:dyDescent="0.25">
      <c r="I7545" s="227" t="str">
        <f>MID(excPisCofins[[#This Row],[CodBarras2]],2,50)</f>
        <v/>
      </c>
    </row>
    <row r="7546" spans="9:9" x14ac:dyDescent="0.25">
      <c r="I7546" s="227" t="str">
        <f>MID(excPisCofins[[#This Row],[CodBarras2]],2,50)</f>
        <v/>
      </c>
    </row>
    <row r="7547" spans="9:9" x14ac:dyDescent="0.25">
      <c r="I7547" s="227" t="str">
        <f>MID(excPisCofins[[#This Row],[CodBarras2]],2,50)</f>
        <v/>
      </c>
    </row>
    <row r="7548" spans="9:9" x14ac:dyDescent="0.25">
      <c r="I7548" s="227" t="str">
        <f>MID(excPisCofins[[#This Row],[CodBarras2]],2,50)</f>
        <v/>
      </c>
    </row>
    <row r="7549" spans="9:9" x14ac:dyDescent="0.25">
      <c r="I7549" s="227" t="str">
        <f>MID(excPisCofins[[#This Row],[CodBarras2]],2,50)</f>
        <v/>
      </c>
    </row>
    <row r="7550" spans="9:9" x14ac:dyDescent="0.25">
      <c r="I7550" s="227" t="str">
        <f>MID(excPisCofins[[#This Row],[CodBarras2]],2,50)</f>
        <v/>
      </c>
    </row>
    <row r="7551" spans="9:9" x14ac:dyDescent="0.25">
      <c r="I7551" s="227" t="str">
        <f>MID(excPisCofins[[#This Row],[CodBarras2]],2,50)</f>
        <v/>
      </c>
    </row>
    <row r="7552" spans="9:9" x14ac:dyDescent="0.25">
      <c r="I7552" s="227" t="str">
        <f>MID(excPisCofins[[#This Row],[CodBarras2]],2,50)</f>
        <v/>
      </c>
    </row>
    <row r="7553" spans="9:9" x14ac:dyDescent="0.25">
      <c r="I7553" s="227" t="str">
        <f>MID(excPisCofins[[#This Row],[CodBarras2]],2,50)</f>
        <v/>
      </c>
    </row>
    <row r="7554" spans="9:9" x14ac:dyDescent="0.25">
      <c r="I7554" s="227" t="str">
        <f>MID(excPisCofins[[#This Row],[CodBarras2]],2,50)</f>
        <v/>
      </c>
    </row>
    <row r="7555" spans="9:9" x14ac:dyDescent="0.25">
      <c r="I7555" s="227" t="str">
        <f>MID(excPisCofins[[#This Row],[CodBarras2]],2,50)</f>
        <v/>
      </c>
    </row>
    <row r="7556" spans="9:9" x14ac:dyDescent="0.25">
      <c r="I7556" s="227" t="str">
        <f>MID(excPisCofins[[#This Row],[CodBarras2]],2,50)</f>
        <v/>
      </c>
    </row>
    <row r="7557" spans="9:9" x14ac:dyDescent="0.25">
      <c r="I7557" s="227" t="str">
        <f>MID(excPisCofins[[#This Row],[CodBarras2]],2,50)</f>
        <v/>
      </c>
    </row>
    <row r="7558" spans="9:9" x14ac:dyDescent="0.25">
      <c r="I7558" s="227" t="str">
        <f>MID(excPisCofins[[#This Row],[CodBarras2]],2,50)</f>
        <v/>
      </c>
    </row>
    <row r="7559" spans="9:9" x14ac:dyDescent="0.25">
      <c r="I7559" s="227" t="str">
        <f>MID(excPisCofins[[#This Row],[CodBarras2]],2,50)</f>
        <v/>
      </c>
    </row>
    <row r="7560" spans="9:9" x14ac:dyDescent="0.25">
      <c r="I7560" s="227" t="str">
        <f>MID(excPisCofins[[#This Row],[CodBarras2]],2,50)</f>
        <v/>
      </c>
    </row>
    <row r="7561" spans="9:9" x14ac:dyDescent="0.25">
      <c r="I7561" s="227" t="str">
        <f>MID(excPisCofins[[#This Row],[CodBarras2]],2,50)</f>
        <v/>
      </c>
    </row>
    <row r="7562" spans="9:9" x14ac:dyDescent="0.25">
      <c r="I7562" s="227" t="str">
        <f>MID(excPisCofins[[#This Row],[CodBarras2]],2,50)</f>
        <v/>
      </c>
    </row>
    <row r="7563" spans="9:9" x14ac:dyDescent="0.25">
      <c r="I7563" s="227" t="str">
        <f>MID(excPisCofins[[#This Row],[CodBarras2]],2,50)</f>
        <v/>
      </c>
    </row>
    <row r="7564" spans="9:9" x14ac:dyDescent="0.25">
      <c r="I7564" s="227" t="str">
        <f>MID(excPisCofins[[#This Row],[CodBarras2]],2,50)</f>
        <v/>
      </c>
    </row>
    <row r="7565" spans="9:9" x14ac:dyDescent="0.25">
      <c r="I7565" s="227" t="str">
        <f>MID(excPisCofins[[#This Row],[CodBarras2]],2,50)</f>
        <v/>
      </c>
    </row>
    <row r="7566" spans="9:9" x14ac:dyDescent="0.25">
      <c r="I7566" s="227" t="str">
        <f>MID(excPisCofins[[#This Row],[CodBarras2]],2,50)</f>
        <v/>
      </c>
    </row>
    <row r="7567" spans="9:9" x14ac:dyDescent="0.25">
      <c r="I7567" s="227" t="str">
        <f>MID(excPisCofins[[#This Row],[CodBarras2]],2,50)</f>
        <v/>
      </c>
    </row>
    <row r="7568" spans="9:9" x14ac:dyDescent="0.25">
      <c r="I7568" s="227" t="str">
        <f>MID(excPisCofins[[#This Row],[CodBarras2]],2,50)</f>
        <v/>
      </c>
    </row>
    <row r="7569" spans="9:9" x14ac:dyDescent="0.25">
      <c r="I7569" s="227" t="str">
        <f>MID(excPisCofins[[#This Row],[CodBarras2]],2,50)</f>
        <v/>
      </c>
    </row>
    <row r="7570" spans="9:9" x14ac:dyDescent="0.25">
      <c r="I7570" s="227" t="str">
        <f>MID(excPisCofins[[#This Row],[CodBarras2]],2,50)</f>
        <v/>
      </c>
    </row>
    <row r="7571" spans="9:9" x14ac:dyDescent="0.25">
      <c r="I7571" s="227" t="str">
        <f>MID(excPisCofins[[#This Row],[CodBarras2]],2,50)</f>
        <v/>
      </c>
    </row>
    <row r="7572" spans="9:9" x14ac:dyDescent="0.25">
      <c r="I7572" s="227" t="str">
        <f>MID(excPisCofins[[#This Row],[CodBarras2]],2,50)</f>
        <v/>
      </c>
    </row>
    <row r="7573" spans="9:9" x14ac:dyDescent="0.25">
      <c r="I7573" s="227" t="str">
        <f>MID(excPisCofins[[#This Row],[CodBarras2]],2,50)</f>
        <v/>
      </c>
    </row>
    <row r="7574" spans="9:9" x14ac:dyDescent="0.25">
      <c r="I7574" s="227" t="str">
        <f>MID(excPisCofins[[#This Row],[CodBarras2]],2,50)</f>
        <v/>
      </c>
    </row>
    <row r="7575" spans="9:9" x14ac:dyDescent="0.25">
      <c r="I7575" s="227" t="str">
        <f>MID(excPisCofins[[#This Row],[CodBarras2]],2,50)</f>
        <v/>
      </c>
    </row>
    <row r="7576" spans="9:9" x14ac:dyDescent="0.25">
      <c r="I7576" s="227" t="str">
        <f>MID(excPisCofins[[#This Row],[CodBarras2]],2,50)</f>
        <v/>
      </c>
    </row>
    <row r="7577" spans="9:9" x14ac:dyDescent="0.25">
      <c r="I7577" s="227" t="str">
        <f>MID(excPisCofins[[#This Row],[CodBarras2]],2,50)</f>
        <v/>
      </c>
    </row>
    <row r="7578" spans="9:9" x14ac:dyDescent="0.25">
      <c r="I7578" s="227" t="str">
        <f>MID(excPisCofins[[#This Row],[CodBarras2]],2,50)</f>
        <v/>
      </c>
    </row>
    <row r="7579" spans="9:9" x14ac:dyDescent="0.25">
      <c r="I7579" s="227" t="str">
        <f>MID(excPisCofins[[#This Row],[CodBarras2]],2,50)</f>
        <v/>
      </c>
    </row>
    <row r="7580" spans="9:9" x14ac:dyDescent="0.25">
      <c r="I7580" s="227" t="str">
        <f>MID(excPisCofins[[#This Row],[CodBarras2]],2,50)</f>
        <v/>
      </c>
    </row>
    <row r="7581" spans="9:9" x14ac:dyDescent="0.25">
      <c r="I7581" s="227" t="str">
        <f>MID(excPisCofins[[#This Row],[CodBarras2]],2,50)</f>
        <v/>
      </c>
    </row>
    <row r="7582" spans="9:9" x14ac:dyDescent="0.25">
      <c r="I7582" s="227" t="str">
        <f>MID(excPisCofins[[#This Row],[CodBarras2]],2,50)</f>
        <v/>
      </c>
    </row>
    <row r="7583" spans="9:9" x14ac:dyDescent="0.25">
      <c r="I7583" s="227" t="str">
        <f>MID(excPisCofins[[#This Row],[CodBarras2]],2,50)</f>
        <v/>
      </c>
    </row>
    <row r="7584" spans="9:9" x14ac:dyDescent="0.25">
      <c r="I7584" s="227" t="str">
        <f>MID(excPisCofins[[#This Row],[CodBarras2]],2,50)</f>
        <v/>
      </c>
    </row>
    <row r="7585" spans="9:9" x14ac:dyDescent="0.25">
      <c r="I7585" s="227" t="str">
        <f>MID(excPisCofins[[#This Row],[CodBarras2]],2,50)</f>
        <v/>
      </c>
    </row>
    <row r="7586" spans="9:9" x14ac:dyDescent="0.25">
      <c r="I7586" s="227" t="str">
        <f>MID(excPisCofins[[#This Row],[CodBarras2]],2,50)</f>
        <v/>
      </c>
    </row>
    <row r="7587" spans="9:9" x14ac:dyDescent="0.25">
      <c r="I7587" s="227" t="str">
        <f>MID(excPisCofins[[#This Row],[CodBarras2]],2,50)</f>
        <v/>
      </c>
    </row>
    <row r="7588" spans="9:9" x14ac:dyDescent="0.25">
      <c r="I7588" s="227" t="str">
        <f>MID(excPisCofins[[#This Row],[CodBarras2]],2,50)</f>
        <v/>
      </c>
    </row>
    <row r="7589" spans="9:9" x14ac:dyDescent="0.25">
      <c r="I7589" s="227" t="str">
        <f>MID(excPisCofins[[#This Row],[CodBarras2]],2,50)</f>
        <v/>
      </c>
    </row>
    <row r="7590" spans="9:9" x14ac:dyDescent="0.25">
      <c r="I7590" s="227" t="str">
        <f>MID(excPisCofins[[#This Row],[CodBarras2]],2,50)</f>
        <v/>
      </c>
    </row>
    <row r="7591" spans="9:9" x14ac:dyDescent="0.25">
      <c r="I7591" s="227" t="str">
        <f>MID(excPisCofins[[#This Row],[CodBarras2]],2,50)</f>
        <v/>
      </c>
    </row>
    <row r="7592" spans="9:9" x14ac:dyDescent="0.25">
      <c r="I7592" s="227" t="str">
        <f>MID(excPisCofins[[#This Row],[CodBarras2]],2,50)</f>
        <v/>
      </c>
    </row>
    <row r="7593" spans="9:9" x14ac:dyDescent="0.25">
      <c r="I7593" s="227" t="str">
        <f>MID(excPisCofins[[#This Row],[CodBarras2]],2,50)</f>
        <v/>
      </c>
    </row>
    <row r="7594" spans="9:9" x14ac:dyDescent="0.25">
      <c r="I7594" s="227" t="str">
        <f>MID(excPisCofins[[#This Row],[CodBarras2]],2,50)</f>
        <v/>
      </c>
    </row>
    <row r="7595" spans="9:9" x14ac:dyDescent="0.25">
      <c r="I7595" s="227" t="str">
        <f>MID(excPisCofins[[#This Row],[CodBarras2]],2,50)</f>
        <v/>
      </c>
    </row>
    <row r="7596" spans="9:9" x14ac:dyDescent="0.25">
      <c r="I7596" s="227" t="str">
        <f>MID(excPisCofins[[#This Row],[CodBarras2]],2,50)</f>
        <v/>
      </c>
    </row>
    <row r="7597" spans="9:9" x14ac:dyDescent="0.25">
      <c r="I7597" s="227" t="str">
        <f>MID(excPisCofins[[#This Row],[CodBarras2]],2,50)</f>
        <v/>
      </c>
    </row>
    <row r="7598" spans="9:9" x14ac:dyDescent="0.25">
      <c r="I7598" s="227" t="str">
        <f>MID(excPisCofins[[#This Row],[CodBarras2]],2,50)</f>
        <v/>
      </c>
    </row>
    <row r="7599" spans="9:9" x14ac:dyDescent="0.25">
      <c r="I7599" s="227" t="str">
        <f>MID(excPisCofins[[#This Row],[CodBarras2]],2,50)</f>
        <v/>
      </c>
    </row>
    <row r="7600" spans="9:9" x14ac:dyDescent="0.25">
      <c r="I7600" s="227" t="str">
        <f>MID(excPisCofins[[#This Row],[CodBarras2]],2,50)</f>
        <v/>
      </c>
    </row>
    <row r="7601" spans="9:9" x14ac:dyDescent="0.25">
      <c r="I7601" s="227" t="str">
        <f>MID(excPisCofins[[#This Row],[CodBarras2]],2,50)</f>
        <v/>
      </c>
    </row>
    <row r="7602" spans="9:9" x14ac:dyDescent="0.25">
      <c r="I7602" s="227" t="str">
        <f>MID(excPisCofins[[#This Row],[CodBarras2]],2,50)</f>
        <v/>
      </c>
    </row>
    <row r="7603" spans="9:9" x14ac:dyDescent="0.25">
      <c r="I7603" s="227" t="str">
        <f>MID(excPisCofins[[#This Row],[CodBarras2]],2,50)</f>
        <v/>
      </c>
    </row>
    <row r="7604" spans="9:9" x14ac:dyDescent="0.25">
      <c r="I7604" s="227" t="str">
        <f>MID(excPisCofins[[#This Row],[CodBarras2]],2,50)</f>
        <v/>
      </c>
    </row>
    <row r="7605" spans="9:9" x14ac:dyDescent="0.25">
      <c r="I7605" s="227" t="str">
        <f>MID(excPisCofins[[#This Row],[CodBarras2]],2,50)</f>
        <v/>
      </c>
    </row>
    <row r="7606" spans="9:9" x14ac:dyDescent="0.25">
      <c r="I7606" s="227" t="str">
        <f>MID(excPisCofins[[#This Row],[CodBarras2]],2,50)</f>
        <v/>
      </c>
    </row>
    <row r="7607" spans="9:9" x14ac:dyDescent="0.25">
      <c r="I7607" s="227" t="str">
        <f>MID(excPisCofins[[#This Row],[CodBarras2]],2,50)</f>
        <v/>
      </c>
    </row>
    <row r="7608" spans="9:9" x14ac:dyDescent="0.25">
      <c r="I7608" s="227" t="str">
        <f>MID(excPisCofins[[#This Row],[CodBarras2]],2,50)</f>
        <v/>
      </c>
    </row>
    <row r="7609" spans="9:9" x14ac:dyDescent="0.25">
      <c r="I7609" s="227" t="str">
        <f>MID(excPisCofins[[#This Row],[CodBarras2]],2,50)</f>
        <v/>
      </c>
    </row>
    <row r="7610" spans="9:9" x14ac:dyDescent="0.25">
      <c r="I7610" s="227" t="str">
        <f>MID(excPisCofins[[#This Row],[CodBarras2]],2,50)</f>
        <v/>
      </c>
    </row>
    <row r="7611" spans="9:9" x14ac:dyDescent="0.25">
      <c r="I7611" s="227" t="str">
        <f>MID(excPisCofins[[#This Row],[CodBarras2]],2,50)</f>
        <v/>
      </c>
    </row>
    <row r="7612" spans="9:9" x14ac:dyDescent="0.25">
      <c r="I7612" s="227" t="str">
        <f>MID(excPisCofins[[#This Row],[CodBarras2]],2,50)</f>
        <v/>
      </c>
    </row>
    <row r="7613" spans="9:9" x14ac:dyDescent="0.25">
      <c r="I7613" s="227" t="str">
        <f>MID(excPisCofins[[#This Row],[CodBarras2]],2,50)</f>
        <v/>
      </c>
    </row>
    <row r="7614" spans="9:9" x14ac:dyDescent="0.25">
      <c r="I7614" s="227" t="str">
        <f>MID(excPisCofins[[#This Row],[CodBarras2]],2,50)</f>
        <v/>
      </c>
    </row>
    <row r="7615" spans="9:9" x14ac:dyDescent="0.25">
      <c r="I7615" s="227" t="str">
        <f>MID(excPisCofins[[#This Row],[CodBarras2]],2,50)</f>
        <v/>
      </c>
    </row>
    <row r="7616" spans="9:9" x14ac:dyDescent="0.25">
      <c r="I7616" s="227" t="str">
        <f>MID(excPisCofins[[#This Row],[CodBarras2]],2,50)</f>
        <v/>
      </c>
    </row>
    <row r="7617" spans="9:9" x14ac:dyDescent="0.25">
      <c r="I7617" s="227" t="str">
        <f>MID(excPisCofins[[#This Row],[CodBarras2]],2,50)</f>
        <v/>
      </c>
    </row>
    <row r="7618" spans="9:9" x14ac:dyDescent="0.25">
      <c r="I7618" s="227" t="str">
        <f>MID(excPisCofins[[#This Row],[CodBarras2]],2,50)</f>
        <v/>
      </c>
    </row>
    <row r="7619" spans="9:9" x14ac:dyDescent="0.25">
      <c r="I7619" s="227" t="str">
        <f>MID(excPisCofins[[#This Row],[CodBarras2]],2,50)</f>
        <v/>
      </c>
    </row>
    <row r="7620" spans="9:9" x14ac:dyDescent="0.25">
      <c r="I7620" s="227" t="str">
        <f>MID(excPisCofins[[#This Row],[CodBarras2]],2,50)</f>
        <v/>
      </c>
    </row>
    <row r="7621" spans="9:9" x14ac:dyDescent="0.25">
      <c r="I7621" s="227" t="str">
        <f>MID(excPisCofins[[#This Row],[CodBarras2]],2,50)</f>
        <v/>
      </c>
    </row>
    <row r="7622" spans="9:9" x14ac:dyDescent="0.25">
      <c r="I7622" s="227" t="str">
        <f>MID(excPisCofins[[#This Row],[CodBarras2]],2,50)</f>
        <v/>
      </c>
    </row>
    <row r="7623" spans="9:9" x14ac:dyDescent="0.25">
      <c r="I7623" s="227" t="str">
        <f>MID(excPisCofins[[#This Row],[CodBarras2]],2,50)</f>
        <v/>
      </c>
    </row>
    <row r="7624" spans="9:9" x14ac:dyDescent="0.25">
      <c r="I7624" s="227" t="str">
        <f>MID(excPisCofins[[#This Row],[CodBarras2]],2,50)</f>
        <v/>
      </c>
    </row>
    <row r="7625" spans="9:9" x14ac:dyDescent="0.25">
      <c r="I7625" s="227" t="str">
        <f>MID(excPisCofins[[#This Row],[CodBarras2]],2,50)</f>
        <v/>
      </c>
    </row>
    <row r="7626" spans="9:9" x14ac:dyDescent="0.25">
      <c r="I7626" s="227" t="str">
        <f>MID(excPisCofins[[#This Row],[CodBarras2]],2,50)</f>
        <v/>
      </c>
    </row>
    <row r="7627" spans="9:9" x14ac:dyDescent="0.25">
      <c r="I7627" s="227" t="str">
        <f>MID(excPisCofins[[#This Row],[CodBarras2]],2,50)</f>
        <v/>
      </c>
    </row>
    <row r="7628" spans="9:9" x14ac:dyDescent="0.25">
      <c r="I7628" s="227" t="str">
        <f>MID(excPisCofins[[#This Row],[CodBarras2]],2,50)</f>
        <v/>
      </c>
    </row>
    <row r="7629" spans="9:9" x14ac:dyDescent="0.25">
      <c r="I7629" s="227" t="str">
        <f>MID(excPisCofins[[#This Row],[CodBarras2]],2,50)</f>
        <v/>
      </c>
    </row>
    <row r="7630" spans="9:9" x14ac:dyDescent="0.25">
      <c r="I7630" s="227" t="str">
        <f>MID(excPisCofins[[#This Row],[CodBarras2]],2,50)</f>
        <v/>
      </c>
    </row>
    <row r="7631" spans="9:9" x14ac:dyDescent="0.25">
      <c r="I7631" s="227" t="str">
        <f>MID(excPisCofins[[#This Row],[CodBarras2]],2,50)</f>
        <v/>
      </c>
    </row>
    <row r="7632" spans="9:9" x14ac:dyDescent="0.25">
      <c r="I7632" s="227" t="str">
        <f>MID(excPisCofins[[#This Row],[CodBarras2]],2,50)</f>
        <v/>
      </c>
    </row>
    <row r="7633" spans="9:9" x14ac:dyDescent="0.25">
      <c r="I7633" s="227" t="str">
        <f>MID(excPisCofins[[#This Row],[CodBarras2]],2,50)</f>
        <v/>
      </c>
    </row>
    <row r="7634" spans="9:9" x14ac:dyDescent="0.25">
      <c r="I7634" s="227" t="str">
        <f>MID(excPisCofins[[#This Row],[CodBarras2]],2,50)</f>
        <v/>
      </c>
    </row>
    <row r="7635" spans="9:9" x14ac:dyDescent="0.25">
      <c r="I7635" s="227" t="str">
        <f>MID(excPisCofins[[#This Row],[CodBarras2]],2,50)</f>
        <v/>
      </c>
    </row>
    <row r="7636" spans="9:9" x14ac:dyDescent="0.25">
      <c r="I7636" s="227" t="str">
        <f>MID(excPisCofins[[#This Row],[CodBarras2]],2,50)</f>
        <v/>
      </c>
    </row>
    <row r="7637" spans="9:9" x14ac:dyDescent="0.25">
      <c r="I7637" s="227" t="str">
        <f>MID(excPisCofins[[#This Row],[CodBarras2]],2,50)</f>
        <v/>
      </c>
    </row>
    <row r="7638" spans="9:9" x14ac:dyDescent="0.25">
      <c r="I7638" s="227" t="str">
        <f>MID(excPisCofins[[#This Row],[CodBarras2]],2,50)</f>
        <v/>
      </c>
    </row>
    <row r="7639" spans="9:9" x14ac:dyDescent="0.25">
      <c r="I7639" s="227" t="str">
        <f>MID(excPisCofins[[#This Row],[CodBarras2]],2,50)</f>
        <v/>
      </c>
    </row>
    <row r="7640" spans="9:9" x14ac:dyDescent="0.25">
      <c r="I7640" s="227" t="str">
        <f>MID(excPisCofins[[#This Row],[CodBarras2]],2,50)</f>
        <v/>
      </c>
    </row>
    <row r="7641" spans="9:9" x14ac:dyDescent="0.25">
      <c r="I7641" s="227" t="str">
        <f>MID(excPisCofins[[#This Row],[CodBarras2]],2,50)</f>
        <v/>
      </c>
    </row>
    <row r="7642" spans="9:9" x14ac:dyDescent="0.25">
      <c r="I7642" s="227" t="str">
        <f>MID(excPisCofins[[#This Row],[CodBarras2]],2,50)</f>
        <v/>
      </c>
    </row>
    <row r="7643" spans="9:9" x14ac:dyDescent="0.25">
      <c r="I7643" s="227" t="str">
        <f>MID(excPisCofins[[#This Row],[CodBarras2]],2,50)</f>
        <v/>
      </c>
    </row>
    <row r="7644" spans="9:9" x14ac:dyDescent="0.25">
      <c r="I7644" s="227" t="str">
        <f>MID(excPisCofins[[#This Row],[CodBarras2]],2,50)</f>
        <v/>
      </c>
    </row>
    <row r="7645" spans="9:9" x14ac:dyDescent="0.25">
      <c r="I7645" s="227" t="str">
        <f>MID(excPisCofins[[#This Row],[CodBarras2]],2,50)</f>
        <v/>
      </c>
    </row>
    <row r="7646" spans="9:9" x14ac:dyDescent="0.25">
      <c r="I7646" s="227" t="str">
        <f>MID(excPisCofins[[#This Row],[CodBarras2]],2,50)</f>
        <v/>
      </c>
    </row>
    <row r="7647" spans="9:9" x14ac:dyDescent="0.25">
      <c r="I7647" s="227" t="str">
        <f>MID(excPisCofins[[#This Row],[CodBarras2]],2,50)</f>
        <v/>
      </c>
    </row>
    <row r="7648" spans="9:9" x14ac:dyDescent="0.25">
      <c r="I7648" s="227" t="str">
        <f>MID(excPisCofins[[#This Row],[CodBarras2]],2,50)</f>
        <v/>
      </c>
    </row>
    <row r="7649" spans="9:9" x14ac:dyDescent="0.25">
      <c r="I7649" s="227" t="str">
        <f>MID(excPisCofins[[#This Row],[CodBarras2]],2,50)</f>
        <v/>
      </c>
    </row>
    <row r="7650" spans="9:9" x14ac:dyDescent="0.25">
      <c r="I7650" s="227" t="str">
        <f>MID(excPisCofins[[#This Row],[CodBarras2]],2,50)</f>
        <v/>
      </c>
    </row>
    <row r="7651" spans="9:9" x14ac:dyDescent="0.25">
      <c r="I7651" s="227" t="str">
        <f>MID(excPisCofins[[#This Row],[CodBarras2]],2,50)</f>
        <v/>
      </c>
    </row>
    <row r="7652" spans="9:9" x14ac:dyDescent="0.25">
      <c r="I7652" s="227" t="str">
        <f>MID(excPisCofins[[#This Row],[CodBarras2]],2,50)</f>
        <v/>
      </c>
    </row>
    <row r="7653" spans="9:9" x14ac:dyDescent="0.25">
      <c r="I7653" s="227" t="str">
        <f>MID(excPisCofins[[#This Row],[CodBarras2]],2,50)</f>
        <v/>
      </c>
    </row>
    <row r="7654" spans="9:9" x14ac:dyDescent="0.25">
      <c r="I7654" s="227" t="str">
        <f>MID(excPisCofins[[#This Row],[CodBarras2]],2,50)</f>
        <v/>
      </c>
    </row>
    <row r="7655" spans="9:9" x14ac:dyDescent="0.25">
      <c r="I7655" s="227" t="str">
        <f>MID(excPisCofins[[#This Row],[CodBarras2]],2,50)</f>
        <v/>
      </c>
    </row>
    <row r="7656" spans="9:9" x14ac:dyDescent="0.25">
      <c r="I7656" s="227" t="str">
        <f>MID(excPisCofins[[#This Row],[CodBarras2]],2,50)</f>
        <v/>
      </c>
    </row>
    <row r="7657" spans="9:9" x14ac:dyDescent="0.25">
      <c r="I7657" s="227" t="str">
        <f>MID(excPisCofins[[#This Row],[CodBarras2]],2,50)</f>
        <v/>
      </c>
    </row>
    <row r="7658" spans="9:9" x14ac:dyDescent="0.25">
      <c r="I7658" s="227" t="str">
        <f>MID(excPisCofins[[#This Row],[CodBarras2]],2,50)</f>
        <v/>
      </c>
    </row>
    <row r="7659" spans="9:9" x14ac:dyDescent="0.25">
      <c r="I7659" s="227" t="str">
        <f>MID(excPisCofins[[#This Row],[CodBarras2]],2,50)</f>
        <v/>
      </c>
    </row>
    <row r="7660" spans="9:9" x14ac:dyDescent="0.25">
      <c r="I7660" s="227" t="str">
        <f>MID(excPisCofins[[#This Row],[CodBarras2]],2,50)</f>
        <v/>
      </c>
    </row>
    <row r="7661" spans="9:9" x14ac:dyDescent="0.25">
      <c r="I7661" s="227" t="str">
        <f>MID(excPisCofins[[#This Row],[CodBarras2]],2,50)</f>
        <v/>
      </c>
    </row>
    <row r="7662" spans="9:9" x14ac:dyDescent="0.25">
      <c r="I7662" s="227" t="str">
        <f>MID(excPisCofins[[#This Row],[CodBarras2]],2,50)</f>
        <v/>
      </c>
    </row>
    <row r="7663" spans="9:9" x14ac:dyDescent="0.25">
      <c r="I7663" s="227" t="str">
        <f>MID(excPisCofins[[#This Row],[CodBarras2]],2,50)</f>
        <v/>
      </c>
    </row>
    <row r="7664" spans="9:9" x14ac:dyDescent="0.25">
      <c r="I7664" s="227" t="str">
        <f>MID(excPisCofins[[#This Row],[CodBarras2]],2,50)</f>
        <v/>
      </c>
    </row>
    <row r="7665" spans="9:9" x14ac:dyDescent="0.25">
      <c r="I7665" s="227" t="str">
        <f>MID(excPisCofins[[#This Row],[CodBarras2]],2,50)</f>
        <v/>
      </c>
    </row>
    <row r="7666" spans="9:9" x14ac:dyDescent="0.25">
      <c r="I7666" s="227" t="str">
        <f>MID(excPisCofins[[#This Row],[CodBarras2]],2,50)</f>
        <v/>
      </c>
    </row>
    <row r="7667" spans="9:9" x14ac:dyDescent="0.25">
      <c r="I7667" s="227" t="str">
        <f>MID(excPisCofins[[#This Row],[CodBarras2]],2,50)</f>
        <v/>
      </c>
    </row>
    <row r="7668" spans="9:9" x14ac:dyDescent="0.25">
      <c r="I7668" s="227" t="str">
        <f>MID(excPisCofins[[#This Row],[CodBarras2]],2,50)</f>
        <v/>
      </c>
    </row>
    <row r="7669" spans="9:9" x14ac:dyDescent="0.25">
      <c r="I7669" s="227" t="str">
        <f>MID(excPisCofins[[#This Row],[CodBarras2]],2,50)</f>
        <v/>
      </c>
    </row>
    <row r="7670" spans="9:9" x14ac:dyDescent="0.25">
      <c r="I7670" s="227" t="str">
        <f>MID(excPisCofins[[#This Row],[CodBarras2]],2,50)</f>
        <v/>
      </c>
    </row>
    <row r="7671" spans="9:9" x14ac:dyDescent="0.25">
      <c r="I7671" s="227" t="str">
        <f>MID(excPisCofins[[#This Row],[CodBarras2]],2,50)</f>
        <v/>
      </c>
    </row>
    <row r="7672" spans="9:9" x14ac:dyDescent="0.25">
      <c r="I7672" s="227" t="str">
        <f>MID(excPisCofins[[#This Row],[CodBarras2]],2,50)</f>
        <v/>
      </c>
    </row>
    <row r="7673" spans="9:9" x14ac:dyDescent="0.25">
      <c r="I7673" s="227" t="str">
        <f>MID(excPisCofins[[#This Row],[CodBarras2]],2,50)</f>
        <v/>
      </c>
    </row>
    <row r="7674" spans="9:9" x14ac:dyDescent="0.25">
      <c r="I7674" s="227" t="str">
        <f>MID(excPisCofins[[#This Row],[CodBarras2]],2,50)</f>
        <v/>
      </c>
    </row>
    <row r="7675" spans="9:9" x14ac:dyDescent="0.25">
      <c r="I7675" s="227" t="str">
        <f>MID(excPisCofins[[#This Row],[CodBarras2]],2,50)</f>
        <v/>
      </c>
    </row>
    <row r="7676" spans="9:9" x14ac:dyDescent="0.25">
      <c r="I7676" s="227" t="str">
        <f>MID(excPisCofins[[#This Row],[CodBarras2]],2,50)</f>
        <v/>
      </c>
    </row>
    <row r="7677" spans="9:9" x14ac:dyDescent="0.25">
      <c r="I7677" s="227" t="str">
        <f>MID(excPisCofins[[#This Row],[CodBarras2]],2,50)</f>
        <v/>
      </c>
    </row>
    <row r="7678" spans="9:9" x14ac:dyDescent="0.25">
      <c r="I7678" s="227" t="str">
        <f>MID(excPisCofins[[#This Row],[CodBarras2]],2,50)</f>
        <v/>
      </c>
    </row>
    <row r="7679" spans="9:9" x14ac:dyDescent="0.25">
      <c r="I7679" s="227" t="str">
        <f>MID(excPisCofins[[#This Row],[CodBarras2]],2,50)</f>
        <v/>
      </c>
    </row>
    <row r="7680" spans="9:9" x14ac:dyDescent="0.25">
      <c r="I7680" s="227" t="str">
        <f>MID(excPisCofins[[#This Row],[CodBarras2]],2,50)</f>
        <v/>
      </c>
    </row>
    <row r="7681" spans="9:9" x14ac:dyDescent="0.25">
      <c r="I7681" s="227" t="str">
        <f>MID(excPisCofins[[#This Row],[CodBarras2]],2,50)</f>
        <v/>
      </c>
    </row>
    <row r="7682" spans="9:9" x14ac:dyDescent="0.25">
      <c r="I7682" s="227" t="str">
        <f>MID(excPisCofins[[#This Row],[CodBarras2]],2,50)</f>
        <v/>
      </c>
    </row>
    <row r="7683" spans="9:9" x14ac:dyDescent="0.25">
      <c r="I7683" s="227" t="str">
        <f>MID(excPisCofins[[#This Row],[CodBarras2]],2,50)</f>
        <v/>
      </c>
    </row>
    <row r="7684" spans="9:9" x14ac:dyDescent="0.25">
      <c r="I7684" s="227" t="str">
        <f>MID(excPisCofins[[#This Row],[CodBarras2]],2,50)</f>
        <v/>
      </c>
    </row>
    <row r="7685" spans="9:9" x14ac:dyDescent="0.25">
      <c r="I7685" s="227" t="str">
        <f>MID(excPisCofins[[#This Row],[CodBarras2]],2,50)</f>
        <v/>
      </c>
    </row>
    <row r="7686" spans="9:9" x14ac:dyDescent="0.25">
      <c r="I7686" s="227" t="str">
        <f>MID(excPisCofins[[#This Row],[CodBarras2]],2,50)</f>
        <v/>
      </c>
    </row>
    <row r="7687" spans="9:9" x14ac:dyDescent="0.25">
      <c r="I7687" s="227" t="str">
        <f>MID(excPisCofins[[#This Row],[CodBarras2]],2,50)</f>
        <v/>
      </c>
    </row>
    <row r="7688" spans="9:9" x14ac:dyDescent="0.25">
      <c r="I7688" s="227" t="str">
        <f>MID(excPisCofins[[#This Row],[CodBarras2]],2,50)</f>
        <v/>
      </c>
    </row>
    <row r="7689" spans="9:9" x14ac:dyDescent="0.25">
      <c r="I7689" s="227" t="str">
        <f>MID(excPisCofins[[#This Row],[CodBarras2]],2,50)</f>
        <v/>
      </c>
    </row>
    <row r="7690" spans="9:9" x14ac:dyDescent="0.25">
      <c r="I7690" s="227" t="str">
        <f>MID(excPisCofins[[#This Row],[CodBarras2]],2,50)</f>
        <v/>
      </c>
    </row>
    <row r="7691" spans="9:9" x14ac:dyDescent="0.25">
      <c r="I7691" s="227" t="str">
        <f>MID(excPisCofins[[#This Row],[CodBarras2]],2,50)</f>
        <v/>
      </c>
    </row>
    <row r="7692" spans="9:9" x14ac:dyDescent="0.25">
      <c r="I7692" s="227" t="str">
        <f>MID(excPisCofins[[#This Row],[CodBarras2]],2,50)</f>
        <v/>
      </c>
    </row>
    <row r="7693" spans="9:9" x14ac:dyDescent="0.25">
      <c r="I7693" s="227" t="str">
        <f>MID(excPisCofins[[#This Row],[CodBarras2]],2,50)</f>
        <v/>
      </c>
    </row>
    <row r="7694" spans="9:9" x14ac:dyDescent="0.25">
      <c r="I7694" s="227" t="str">
        <f>MID(excPisCofins[[#This Row],[CodBarras2]],2,50)</f>
        <v/>
      </c>
    </row>
    <row r="7695" spans="9:9" x14ac:dyDescent="0.25">
      <c r="I7695" s="227" t="str">
        <f>MID(excPisCofins[[#This Row],[CodBarras2]],2,50)</f>
        <v/>
      </c>
    </row>
    <row r="7696" spans="9:9" x14ac:dyDescent="0.25">
      <c r="I7696" s="227" t="str">
        <f>MID(excPisCofins[[#This Row],[CodBarras2]],2,50)</f>
        <v/>
      </c>
    </row>
    <row r="7697" spans="9:9" x14ac:dyDescent="0.25">
      <c r="I7697" s="227" t="str">
        <f>MID(excPisCofins[[#This Row],[CodBarras2]],2,50)</f>
        <v/>
      </c>
    </row>
    <row r="7698" spans="9:9" x14ac:dyDescent="0.25">
      <c r="I7698" s="227" t="str">
        <f>MID(excPisCofins[[#This Row],[CodBarras2]],2,50)</f>
        <v/>
      </c>
    </row>
    <row r="7699" spans="9:9" x14ac:dyDescent="0.25">
      <c r="I7699" s="227" t="str">
        <f>MID(excPisCofins[[#This Row],[CodBarras2]],2,50)</f>
        <v/>
      </c>
    </row>
    <row r="7700" spans="9:9" x14ac:dyDescent="0.25">
      <c r="I7700" s="227" t="str">
        <f>MID(excPisCofins[[#This Row],[CodBarras2]],2,50)</f>
        <v/>
      </c>
    </row>
    <row r="7701" spans="9:9" x14ac:dyDescent="0.25">
      <c r="I7701" s="227" t="str">
        <f>MID(excPisCofins[[#This Row],[CodBarras2]],2,50)</f>
        <v/>
      </c>
    </row>
    <row r="7702" spans="9:9" x14ac:dyDescent="0.25">
      <c r="I7702" s="227" t="str">
        <f>MID(excPisCofins[[#This Row],[CodBarras2]],2,50)</f>
        <v/>
      </c>
    </row>
    <row r="7703" spans="9:9" x14ac:dyDescent="0.25">
      <c r="I7703" s="227" t="str">
        <f>MID(excPisCofins[[#This Row],[CodBarras2]],2,50)</f>
        <v/>
      </c>
    </row>
    <row r="7704" spans="9:9" x14ac:dyDescent="0.25">
      <c r="I7704" s="227" t="str">
        <f>MID(excPisCofins[[#This Row],[CodBarras2]],2,50)</f>
        <v/>
      </c>
    </row>
    <row r="7705" spans="9:9" x14ac:dyDescent="0.25">
      <c r="I7705" s="227" t="str">
        <f>MID(excPisCofins[[#This Row],[CodBarras2]],2,50)</f>
        <v/>
      </c>
    </row>
    <row r="7706" spans="9:9" x14ac:dyDescent="0.25">
      <c r="I7706" s="227" t="str">
        <f>MID(excPisCofins[[#This Row],[CodBarras2]],2,50)</f>
        <v/>
      </c>
    </row>
    <row r="7707" spans="9:9" x14ac:dyDescent="0.25">
      <c r="I7707" s="227" t="str">
        <f>MID(excPisCofins[[#This Row],[CodBarras2]],2,50)</f>
        <v/>
      </c>
    </row>
    <row r="7708" spans="9:9" x14ac:dyDescent="0.25">
      <c r="I7708" s="227" t="str">
        <f>MID(excPisCofins[[#This Row],[CodBarras2]],2,50)</f>
        <v/>
      </c>
    </row>
    <row r="7709" spans="9:9" x14ac:dyDescent="0.25">
      <c r="I7709" s="227" t="str">
        <f>MID(excPisCofins[[#This Row],[CodBarras2]],2,50)</f>
        <v/>
      </c>
    </row>
    <row r="7710" spans="9:9" x14ac:dyDescent="0.25">
      <c r="I7710" s="227" t="str">
        <f>MID(excPisCofins[[#This Row],[CodBarras2]],2,50)</f>
        <v/>
      </c>
    </row>
    <row r="7711" spans="9:9" x14ac:dyDescent="0.25">
      <c r="I7711" s="227" t="str">
        <f>MID(excPisCofins[[#This Row],[CodBarras2]],2,50)</f>
        <v/>
      </c>
    </row>
    <row r="7712" spans="9:9" x14ac:dyDescent="0.25">
      <c r="I7712" s="227" t="str">
        <f>MID(excPisCofins[[#This Row],[CodBarras2]],2,50)</f>
        <v/>
      </c>
    </row>
    <row r="7713" spans="9:9" x14ac:dyDescent="0.25">
      <c r="I7713" s="227" t="str">
        <f>MID(excPisCofins[[#This Row],[CodBarras2]],2,50)</f>
        <v/>
      </c>
    </row>
    <row r="7714" spans="9:9" x14ac:dyDescent="0.25">
      <c r="I7714" s="227" t="str">
        <f>MID(excPisCofins[[#This Row],[CodBarras2]],2,50)</f>
        <v/>
      </c>
    </row>
    <row r="7715" spans="9:9" x14ac:dyDescent="0.25">
      <c r="I7715" s="227" t="str">
        <f>MID(excPisCofins[[#This Row],[CodBarras2]],2,50)</f>
        <v/>
      </c>
    </row>
    <row r="7716" spans="9:9" x14ac:dyDescent="0.25">
      <c r="I7716" s="227" t="str">
        <f>MID(excPisCofins[[#This Row],[CodBarras2]],2,50)</f>
        <v/>
      </c>
    </row>
    <row r="7717" spans="9:9" x14ac:dyDescent="0.25">
      <c r="I7717" s="227" t="str">
        <f>MID(excPisCofins[[#This Row],[CodBarras2]],2,50)</f>
        <v/>
      </c>
    </row>
    <row r="7718" spans="9:9" x14ac:dyDescent="0.25">
      <c r="I7718" s="227" t="str">
        <f>MID(excPisCofins[[#This Row],[CodBarras2]],2,50)</f>
        <v/>
      </c>
    </row>
    <row r="7719" spans="9:9" x14ac:dyDescent="0.25">
      <c r="I7719" s="227" t="str">
        <f>MID(excPisCofins[[#This Row],[CodBarras2]],2,50)</f>
        <v/>
      </c>
    </row>
    <row r="7720" spans="9:9" x14ac:dyDescent="0.25">
      <c r="I7720" s="227" t="str">
        <f>MID(excPisCofins[[#This Row],[CodBarras2]],2,50)</f>
        <v/>
      </c>
    </row>
    <row r="7721" spans="9:9" x14ac:dyDescent="0.25">
      <c r="I7721" s="227" t="str">
        <f>MID(excPisCofins[[#This Row],[CodBarras2]],2,50)</f>
        <v/>
      </c>
    </row>
    <row r="7722" spans="9:9" x14ac:dyDescent="0.25">
      <c r="I7722" s="227" t="str">
        <f>MID(excPisCofins[[#This Row],[CodBarras2]],2,50)</f>
        <v/>
      </c>
    </row>
    <row r="7723" spans="9:9" x14ac:dyDescent="0.25">
      <c r="I7723" s="227" t="str">
        <f>MID(excPisCofins[[#This Row],[CodBarras2]],2,50)</f>
        <v/>
      </c>
    </row>
    <row r="7724" spans="9:9" x14ac:dyDescent="0.25">
      <c r="I7724" s="227" t="str">
        <f>MID(excPisCofins[[#This Row],[CodBarras2]],2,50)</f>
        <v/>
      </c>
    </row>
    <row r="7725" spans="9:9" x14ac:dyDescent="0.25">
      <c r="I7725" s="227" t="str">
        <f>MID(excPisCofins[[#This Row],[CodBarras2]],2,50)</f>
        <v/>
      </c>
    </row>
    <row r="7726" spans="9:9" x14ac:dyDescent="0.25">
      <c r="I7726" s="227" t="str">
        <f>MID(excPisCofins[[#This Row],[CodBarras2]],2,50)</f>
        <v/>
      </c>
    </row>
    <row r="7727" spans="9:9" x14ac:dyDescent="0.25">
      <c r="I7727" s="227" t="str">
        <f>MID(excPisCofins[[#This Row],[CodBarras2]],2,50)</f>
        <v/>
      </c>
    </row>
    <row r="7728" spans="9:9" x14ac:dyDescent="0.25">
      <c r="I7728" s="227" t="str">
        <f>MID(excPisCofins[[#This Row],[CodBarras2]],2,50)</f>
        <v/>
      </c>
    </row>
    <row r="7729" spans="9:9" x14ac:dyDescent="0.25">
      <c r="I7729" s="227" t="str">
        <f>MID(excPisCofins[[#This Row],[CodBarras2]],2,50)</f>
        <v/>
      </c>
    </row>
    <row r="7730" spans="9:9" x14ac:dyDescent="0.25">
      <c r="I7730" s="227" t="str">
        <f>MID(excPisCofins[[#This Row],[CodBarras2]],2,50)</f>
        <v/>
      </c>
    </row>
    <row r="7731" spans="9:9" x14ac:dyDescent="0.25">
      <c r="I7731" s="227" t="str">
        <f>MID(excPisCofins[[#This Row],[CodBarras2]],2,50)</f>
        <v/>
      </c>
    </row>
    <row r="7732" spans="9:9" x14ac:dyDescent="0.25">
      <c r="I7732" s="227" t="str">
        <f>MID(excPisCofins[[#This Row],[CodBarras2]],2,50)</f>
        <v/>
      </c>
    </row>
    <row r="7733" spans="9:9" x14ac:dyDescent="0.25">
      <c r="I7733" s="227" t="str">
        <f>MID(excPisCofins[[#This Row],[CodBarras2]],2,50)</f>
        <v/>
      </c>
    </row>
    <row r="7734" spans="9:9" x14ac:dyDescent="0.25">
      <c r="I7734" s="227" t="str">
        <f>MID(excPisCofins[[#This Row],[CodBarras2]],2,50)</f>
        <v/>
      </c>
    </row>
    <row r="7735" spans="9:9" x14ac:dyDescent="0.25">
      <c r="I7735" s="227" t="str">
        <f>MID(excPisCofins[[#This Row],[CodBarras2]],2,50)</f>
        <v/>
      </c>
    </row>
    <row r="7736" spans="9:9" x14ac:dyDescent="0.25">
      <c r="I7736" s="227" t="str">
        <f>MID(excPisCofins[[#This Row],[CodBarras2]],2,50)</f>
        <v/>
      </c>
    </row>
    <row r="7737" spans="9:9" x14ac:dyDescent="0.25">
      <c r="I7737" s="227" t="str">
        <f>MID(excPisCofins[[#This Row],[CodBarras2]],2,50)</f>
        <v/>
      </c>
    </row>
    <row r="7738" spans="9:9" x14ac:dyDescent="0.25">
      <c r="I7738" s="227" t="str">
        <f>MID(excPisCofins[[#This Row],[CodBarras2]],2,50)</f>
        <v/>
      </c>
    </row>
    <row r="7739" spans="9:9" x14ac:dyDescent="0.25">
      <c r="I7739" s="227" t="str">
        <f>MID(excPisCofins[[#This Row],[CodBarras2]],2,50)</f>
        <v/>
      </c>
    </row>
    <row r="7740" spans="9:9" x14ac:dyDescent="0.25">
      <c r="I7740" s="227" t="str">
        <f>MID(excPisCofins[[#This Row],[CodBarras2]],2,50)</f>
        <v/>
      </c>
    </row>
    <row r="7741" spans="9:9" x14ac:dyDescent="0.25">
      <c r="I7741" s="227" t="str">
        <f>MID(excPisCofins[[#This Row],[CodBarras2]],2,50)</f>
        <v/>
      </c>
    </row>
    <row r="7742" spans="9:9" x14ac:dyDescent="0.25">
      <c r="I7742" s="227" t="str">
        <f>MID(excPisCofins[[#This Row],[CodBarras2]],2,50)</f>
        <v/>
      </c>
    </row>
    <row r="7743" spans="9:9" x14ac:dyDescent="0.25">
      <c r="I7743" s="227" t="str">
        <f>MID(excPisCofins[[#This Row],[CodBarras2]],2,50)</f>
        <v/>
      </c>
    </row>
    <row r="7744" spans="9:9" x14ac:dyDescent="0.25">
      <c r="I7744" s="227" t="str">
        <f>MID(excPisCofins[[#This Row],[CodBarras2]],2,50)</f>
        <v/>
      </c>
    </row>
    <row r="7745" spans="9:9" x14ac:dyDescent="0.25">
      <c r="I7745" s="227" t="str">
        <f>MID(excPisCofins[[#This Row],[CodBarras2]],2,50)</f>
        <v/>
      </c>
    </row>
    <row r="7746" spans="9:9" x14ac:dyDescent="0.25">
      <c r="I7746" s="227" t="str">
        <f>MID(excPisCofins[[#This Row],[CodBarras2]],2,50)</f>
        <v/>
      </c>
    </row>
    <row r="7747" spans="9:9" x14ac:dyDescent="0.25">
      <c r="I7747" s="227" t="str">
        <f>MID(excPisCofins[[#This Row],[CodBarras2]],2,50)</f>
        <v/>
      </c>
    </row>
    <row r="7748" spans="9:9" x14ac:dyDescent="0.25">
      <c r="I7748" s="227" t="str">
        <f>MID(excPisCofins[[#This Row],[CodBarras2]],2,50)</f>
        <v/>
      </c>
    </row>
    <row r="7749" spans="9:9" x14ac:dyDescent="0.25">
      <c r="I7749" s="227" t="str">
        <f>MID(excPisCofins[[#This Row],[CodBarras2]],2,50)</f>
        <v/>
      </c>
    </row>
    <row r="7750" spans="9:9" x14ac:dyDescent="0.25">
      <c r="I7750" s="227" t="str">
        <f>MID(excPisCofins[[#This Row],[CodBarras2]],2,50)</f>
        <v/>
      </c>
    </row>
    <row r="7751" spans="9:9" x14ac:dyDescent="0.25">
      <c r="I7751" s="227" t="str">
        <f>MID(excPisCofins[[#This Row],[CodBarras2]],2,50)</f>
        <v/>
      </c>
    </row>
    <row r="7752" spans="9:9" x14ac:dyDescent="0.25">
      <c r="I7752" s="227" t="str">
        <f>MID(excPisCofins[[#This Row],[CodBarras2]],2,50)</f>
        <v/>
      </c>
    </row>
    <row r="7753" spans="9:9" x14ac:dyDescent="0.25">
      <c r="I7753" s="227" t="str">
        <f>MID(excPisCofins[[#This Row],[CodBarras2]],2,50)</f>
        <v/>
      </c>
    </row>
    <row r="7754" spans="9:9" x14ac:dyDescent="0.25">
      <c r="I7754" s="227" t="str">
        <f>MID(excPisCofins[[#This Row],[CodBarras2]],2,50)</f>
        <v/>
      </c>
    </row>
    <row r="7755" spans="9:9" x14ac:dyDescent="0.25">
      <c r="I7755" s="227" t="str">
        <f>MID(excPisCofins[[#This Row],[CodBarras2]],2,50)</f>
        <v/>
      </c>
    </row>
    <row r="7756" spans="9:9" x14ac:dyDescent="0.25">
      <c r="I7756" s="227" t="str">
        <f>MID(excPisCofins[[#This Row],[CodBarras2]],2,50)</f>
        <v/>
      </c>
    </row>
    <row r="7757" spans="9:9" x14ac:dyDescent="0.25">
      <c r="I7757" s="227" t="str">
        <f>MID(excPisCofins[[#This Row],[CodBarras2]],2,50)</f>
        <v/>
      </c>
    </row>
    <row r="7758" spans="9:9" x14ac:dyDescent="0.25">
      <c r="I7758" s="227" t="str">
        <f>MID(excPisCofins[[#This Row],[CodBarras2]],2,50)</f>
        <v/>
      </c>
    </row>
    <row r="7759" spans="9:9" x14ac:dyDescent="0.25">
      <c r="I7759" s="227" t="str">
        <f>MID(excPisCofins[[#This Row],[CodBarras2]],2,50)</f>
        <v/>
      </c>
    </row>
    <row r="7760" spans="9:9" x14ac:dyDescent="0.25">
      <c r="I7760" s="227" t="str">
        <f>MID(excPisCofins[[#This Row],[CodBarras2]],2,50)</f>
        <v/>
      </c>
    </row>
    <row r="7761" spans="9:9" x14ac:dyDescent="0.25">
      <c r="I7761" s="227" t="str">
        <f>MID(excPisCofins[[#This Row],[CodBarras2]],2,50)</f>
        <v/>
      </c>
    </row>
    <row r="7762" spans="9:9" x14ac:dyDescent="0.25">
      <c r="I7762" s="227" t="str">
        <f>MID(excPisCofins[[#This Row],[CodBarras2]],2,50)</f>
        <v/>
      </c>
    </row>
    <row r="7763" spans="9:9" x14ac:dyDescent="0.25">
      <c r="I7763" s="227" t="str">
        <f>MID(excPisCofins[[#This Row],[CodBarras2]],2,50)</f>
        <v/>
      </c>
    </row>
    <row r="7764" spans="9:9" x14ac:dyDescent="0.25">
      <c r="I7764" s="227" t="str">
        <f>MID(excPisCofins[[#This Row],[CodBarras2]],2,50)</f>
        <v/>
      </c>
    </row>
    <row r="7765" spans="9:9" x14ac:dyDescent="0.25">
      <c r="I7765" s="227" t="str">
        <f>MID(excPisCofins[[#This Row],[CodBarras2]],2,50)</f>
        <v/>
      </c>
    </row>
    <row r="7766" spans="9:9" x14ac:dyDescent="0.25">
      <c r="I7766" s="227" t="str">
        <f>MID(excPisCofins[[#This Row],[CodBarras2]],2,50)</f>
        <v/>
      </c>
    </row>
    <row r="7767" spans="9:9" x14ac:dyDescent="0.25">
      <c r="I7767" s="227" t="str">
        <f>MID(excPisCofins[[#This Row],[CodBarras2]],2,50)</f>
        <v/>
      </c>
    </row>
    <row r="7768" spans="9:9" x14ac:dyDescent="0.25">
      <c r="I7768" s="227" t="str">
        <f>MID(excPisCofins[[#This Row],[CodBarras2]],2,50)</f>
        <v/>
      </c>
    </row>
    <row r="7769" spans="9:9" x14ac:dyDescent="0.25">
      <c r="I7769" s="227" t="str">
        <f>MID(excPisCofins[[#This Row],[CodBarras2]],2,50)</f>
        <v/>
      </c>
    </row>
    <row r="7770" spans="9:9" x14ac:dyDescent="0.25">
      <c r="I7770" s="227" t="str">
        <f>MID(excPisCofins[[#This Row],[CodBarras2]],2,50)</f>
        <v/>
      </c>
    </row>
    <row r="7771" spans="9:9" x14ac:dyDescent="0.25">
      <c r="I7771" s="227" t="str">
        <f>MID(excPisCofins[[#This Row],[CodBarras2]],2,50)</f>
        <v/>
      </c>
    </row>
    <row r="7772" spans="9:9" x14ac:dyDescent="0.25">
      <c r="I7772" s="227" t="str">
        <f>MID(excPisCofins[[#This Row],[CodBarras2]],2,50)</f>
        <v/>
      </c>
    </row>
    <row r="7773" spans="9:9" x14ac:dyDescent="0.25">
      <c r="I7773" s="227" t="str">
        <f>MID(excPisCofins[[#This Row],[CodBarras2]],2,50)</f>
        <v/>
      </c>
    </row>
    <row r="7774" spans="9:9" x14ac:dyDescent="0.25">
      <c r="I7774" s="227" t="str">
        <f>MID(excPisCofins[[#This Row],[CodBarras2]],2,50)</f>
        <v/>
      </c>
    </row>
    <row r="7775" spans="9:9" x14ac:dyDescent="0.25">
      <c r="I7775" s="227" t="str">
        <f>MID(excPisCofins[[#This Row],[CodBarras2]],2,50)</f>
        <v/>
      </c>
    </row>
    <row r="7776" spans="9:9" x14ac:dyDescent="0.25">
      <c r="I7776" s="227" t="str">
        <f>MID(excPisCofins[[#This Row],[CodBarras2]],2,50)</f>
        <v/>
      </c>
    </row>
    <row r="7777" spans="9:9" x14ac:dyDescent="0.25">
      <c r="I7777" s="227" t="str">
        <f>MID(excPisCofins[[#This Row],[CodBarras2]],2,50)</f>
        <v/>
      </c>
    </row>
    <row r="7778" spans="9:9" x14ac:dyDescent="0.25">
      <c r="I7778" s="227" t="str">
        <f>MID(excPisCofins[[#This Row],[CodBarras2]],2,50)</f>
        <v/>
      </c>
    </row>
    <row r="7779" spans="9:9" x14ac:dyDescent="0.25">
      <c r="I7779" s="227" t="str">
        <f>MID(excPisCofins[[#This Row],[CodBarras2]],2,50)</f>
        <v/>
      </c>
    </row>
    <row r="7780" spans="9:9" x14ac:dyDescent="0.25">
      <c r="I7780" s="227" t="str">
        <f>MID(excPisCofins[[#This Row],[CodBarras2]],2,50)</f>
        <v/>
      </c>
    </row>
    <row r="7781" spans="9:9" x14ac:dyDescent="0.25">
      <c r="I7781" s="227" t="str">
        <f>MID(excPisCofins[[#This Row],[CodBarras2]],2,50)</f>
        <v/>
      </c>
    </row>
    <row r="7782" spans="9:9" x14ac:dyDescent="0.25">
      <c r="I7782" s="227" t="str">
        <f>MID(excPisCofins[[#This Row],[CodBarras2]],2,50)</f>
        <v/>
      </c>
    </row>
    <row r="7783" spans="9:9" x14ac:dyDescent="0.25">
      <c r="I7783" s="227" t="str">
        <f>MID(excPisCofins[[#This Row],[CodBarras2]],2,50)</f>
        <v/>
      </c>
    </row>
    <row r="7784" spans="9:9" x14ac:dyDescent="0.25">
      <c r="I7784" s="227" t="str">
        <f>MID(excPisCofins[[#This Row],[CodBarras2]],2,50)</f>
        <v/>
      </c>
    </row>
    <row r="7785" spans="9:9" x14ac:dyDescent="0.25">
      <c r="I7785" s="227" t="str">
        <f>MID(excPisCofins[[#This Row],[CodBarras2]],2,50)</f>
        <v/>
      </c>
    </row>
    <row r="7786" spans="9:9" x14ac:dyDescent="0.25">
      <c r="I7786" s="227" t="str">
        <f>MID(excPisCofins[[#This Row],[CodBarras2]],2,50)</f>
        <v/>
      </c>
    </row>
    <row r="7787" spans="9:9" x14ac:dyDescent="0.25">
      <c r="I7787" s="227" t="str">
        <f>MID(excPisCofins[[#This Row],[CodBarras2]],2,50)</f>
        <v/>
      </c>
    </row>
    <row r="7788" spans="9:9" x14ac:dyDescent="0.25">
      <c r="I7788" s="227" t="str">
        <f>MID(excPisCofins[[#This Row],[CodBarras2]],2,50)</f>
        <v/>
      </c>
    </row>
    <row r="7789" spans="9:9" x14ac:dyDescent="0.25">
      <c r="I7789" s="227" t="str">
        <f>MID(excPisCofins[[#This Row],[CodBarras2]],2,50)</f>
        <v/>
      </c>
    </row>
    <row r="7790" spans="9:9" x14ac:dyDescent="0.25">
      <c r="I7790" s="227" t="str">
        <f>MID(excPisCofins[[#This Row],[CodBarras2]],2,50)</f>
        <v/>
      </c>
    </row>
    <row r="7791" spans="9:9" x14ac:dyDescent="0.25">
      <c r="I7791" s="227" t="str">
        <f>MID(excPisCofins[[#This Row],[CodBarras2]],2,50)</f>
        <v/>
      </c>
    </row>
    <row r="7792" spans="9:9" x14ac:dyDescent="0.25">
      <c r="I7792" s="227" t="str">
        <f>MID(excPisCofins[[#This Row],[CodBarras2]],2,50)</f>
        <v/>
      </c>
    </row>
    <row r="7793" spans="9:9" x14ac:dyDescent="0.25">
      <c r="I7793" s="227" t="str">
        <f>MID(excPisCofins[[#This Row],[CodBarras2]],2,50)</f>
        <v/>
      </c>
    </row>
    <row r="7794" spans="9:9" x14ac:dyDescent="0.25">
      <c r="I7794" s="227" t="str">
        <f>MID(excPisCofins[[#This Row],[CodBarras2]],2,50)</f>
        <v/>
      </c>
    </row>
    <row r="7795" spans="9:9" x14ac:dyDescent="0.25">
      <c r="I7795" s="227" t="str">
        <f>MID(excPisCofins[[#This Row],[CodBarras2]],2,50)</f>
        <v/>
      </c>
    </row>
    <row r="7796" spans="9:9" x14ac:dyDescent="0.25">
      <c r="I7796" s="227" t="str">
        <f>MID(excPisCofins[[#This Row],[CodBarras2]],2,50)</f>
        <v/>
      </c>
    </row>
    <row r="7797" spans="9:9" x14ac:dyDescent="0.25">
      <c r="I7797" s="227" t="str">
        <f>MID(excPisCofins[[#This Row],[CodBarras2]],2,50)</f>
        <v/>
      </c>
    </row>
    <row r="7798" spans="9:9" x14ac:dyDescent="0.25">
      <c r="I7798" s="227" t="str">
        <f>MID(excPisCofins[[#This Row],[CodBarras2]],2,50)</f>
        <v/>
      </c>
    </row>
    <row r="7799" spans="9:9" x14ac:dyDescent="0.25">
      <c r="I7799" s="227" t="str">
        <f>MID(excPisCofins[[#This Row],[CodBarras2]],2,50)</f>
        <v/>
      </c>
    </row>
    <row r="7800" spans="9:9" x14ac:dyDescent="0.25">
      <c r="I7800" s="227" t="str">
        <f>MID(excPisCofins[[#This Row],[CodBarras2]],2,50)</f>
        <v/>
      </c>
    </row>
    <row r="7801" spans="9:9" x14ac:dyDescent="0.25">
      <c r="I7801" s="227" t="str">
        <f>MID(excPisCofins[[#This Row],[CodBarras2]],2,50)</f>
        <v/>
      </c>
    </row>
    <row r="7802" spans="9:9" x14ac:dyDescent="0.25">
      <c r="I7802" s="227" t="str">
        <f>MID(excPisCofins[[#This Row],[CodBarras2]],2,50)</f>
        <v/>
      </c>
    </row>
    <row r="7803" spans="9:9" x14ac:dyDescent="0.25">
      <c r="I7803" s="227" t="str">
        <f>MID(excPisCofins[[#This Row],[CodBarras2]],2,50)</f>
        <v/>
      </c>
    </row>
    <row r="7804" spans="9:9" x14ac:dyDescent="0.25">
      <c r="I7804" s="227" t="str">
        <f>MID(excPisCofins[[#This Row],[CodBarras2]],2,50)</f>
        <v/>
      </c>
    </row>
    <row r="7805" spans="9:9" x14ac:dyDescent="0.25">
      <c r="I7805" s="227" t="str">
        <f>MID(excPisCofins[[#This Row],[CodBarras2]],2,50)</f>
        <v/>
      </c>
    </row>
    <row r="7806" spans="9:9" x14ac:dyDescent="0.25">
      <c r="I7806" s="227" t="str">
        <f>MID(excPisCofins[[#This Row],[CodBarras2]],2,50)</f>
        <v/>
      </c>
    </row>
    <row r="7807" spans="9:9" x14ac:dyDescent="0.25">
      <c r="I7807" s="227" t="str">
        <f>MID(excPisCofins[[#This Row],[CodBarras2]],2,50)</f>
        <v/>
      </c>
    </row>
    <row r="7808" spans="9:9" x14ac:dyDescent="0.25">
      <c r="I7808" s="227" t="str">
        <f>MID(excPisCofins[[#This Row],[CodBarras2]],2,50)</f>
        <v/>
      </c>
    </row>
    <row r="7809" spans="9:9" x14ac:dyDescent="0.25">
      <c r="I7809" s="227" t="str">
        <f>MID(excPisCofins[[#This Row],[CodBarras2]],2,50)</f>
        <v/>
      </c>
    </row>
    <row r="7810" spans="9:9" x14ac:dyDescent="0.25">
      <c r="I7810" s="227" t="str">
        <f>MID(excPisCofins[[#This Row],[CodBarras2]],2,50)</f>
        <v/>
      </c>
    </row>
    <row r="7811" spans="9:9" x14ac:dyDescent="0.25">
      <c r="I7811" s="227" t="str">
        <f>MID(excPisCofins[[#This Row],[CodBarras2]],2,50)</f>
        <v/>
      </c>
    </row>
    <row r="7812" spans="9:9" x14ac:dyDescent="0.25">
      <c r="I7812" s="227" t="str">
        <f>MID(excPisCofins[[#This Row],[CodBarras2]],2,50)</f>
        <v/>
      </c>
    </row>
    <row r="7813" spans="9:9" x14ac:dyDescent="0.25">
      <c r="I7813" s="227" t="str">
        <f>MID(excPisCofins[[#This Row],[CodBarras2]],2,50)</f>
        <v/>
      </c>
    </row>
    <row r="7814" spans="9:9" x14ac:dyDescent="0.25">
      <c r="I7814" s="227" t="str">
        <f>MID(excPisCofins[[#This Row],[CodBarras2]],2,50)</f>
        <v/>
      </c>
    </row>
    <row r="7815" spans="9:9" x14ac:dyDescent="0.25">
      <c r="I7815" s="227" t="str">
        <f>MID(excPisCofins[[#This Row],[CodBarras2]],2,50)</f>
        <v/>
      </c>
    </row>
    <row r="7816" spans="9:9" x14ac:dyDescent="0.25">
      <c r="I7816" s="227" t="str">
        <f>MID(excPisCofins[[#This Row],[CodBarras2]],2,50)</f>
        <v/>
      </c>
    </row>
    <row r="7817" spans="9:9" x14ac:dyDescent="0.25">
      <c r="I7817" s="227" t="str">
        <f>MID(excPisCofins[[#This Row],[CodBarras2]],2,50)</f>
        <v/>
      </c>
    </row>
    <row r="7818" spans="9:9" x14ac:dyDescent="0.25">
      <c r="I7818" s="227" t="str">
        <f>MID(excPisCofins[[#This Row],[CodBarras2]],2,50)</f>
        <v/>
      </c>
    </row>
    <row r="7819" spans="9:9" x14ac:dyDescent="0.25">
      <c r="I7819" s="227" t="str">
        <f>MID(excPisCofins[[#This Row],[CodBarras2]],2,50)</f>
        <v/>
      </c>
    </row>
    <row r="7820" spans="9:9" x14ac:dyDescent="0.25">
      <c r="I7820" s="227" t="str">
        <f>MID(excPisCofins[[#This Row],[CodBarras2]],2,50)</f>
        <v/>
      </c>
    </row>
    <row r="7821" spans="9:9" x14ac:dyDescent="0.25">
      <c r="I7821" s="227" t="str">
        <f>MID(excPisCofins[[#This Row],[CodBarras2]],2,50)</f>
        <v/>
      </c>
    </row>
    <row r="7822" spans="9:9" x14ac:dyDescent="0.25">
      <c r="I7822" s="227" t="str">
        <f>MID(excPisCofins[[#This Row],[CodBarras2]],2,50)</f>
        <v/>
      </c>
    </row>
    <row r="7823" spans="9:9" x14ac:dyDescent="0.25">
      <c r="I7823" s="227" t="str">
        <f>MID(excPisCofins[[#This Row],[CodBarras2]],2,50)</f>
        <v/>
      </c>
    </row>
    <row r="7824" spans="9:9" x14ac:dyDescent="0.25">
      <c r="I7824" s="227" t="str">
        <f>MID(excPisCofins[[#This Row],[CodBarras2]],2,50)</f>
        <v/>
      </c>
    </row>
    <row r="7825" spans="9:9" x14ac:dyDescent="0.25">
      <c r="I7825" s="227" t="str">
        <f>MID(excPisCofins[[#This Row],[CodBarras2]],2,50)</f>
        <v/>
      </c>
    </row>
    <row r="7826" spans="9:9" x14ac:dyDescent="0.25">
      <c r="I7826" s="227" t="str">
        <f>MID(excPisCofins[[#This Row],[CodBarras2]],2,50)</f>
        <v/>
      </c>
    </row>
    <row r="7827" spans="9:9" x14ac:dyDescent="0.25">
      <c r="I7827" s="227" t="str">
        <f>MID(excPisCofins[[#This Row],[CodBarras2]],2,50)</f>
        <v/>
      </c>
    </row>
    <row r="7828" spans="9:9" x14ac:dyDescent="0.25">
      <c r="I7828" s="227" t="str">
        <f>MID(excPisCofins[[#This Row],[CodBarras2]],2,50)</f>
        <v/>
      </c>
    </row>
    <row r="7829" spans="9:9" x14ac:dyDescent="0.25">
      <c r="I7829" s="227" t="str">
        <f>MID(excPisCofins[[#This Row],[CodBarras2]],2,50)</f>
        <v/>
      </c>
    </row>
    <row r="7830" spans="9:9" x14ac:dyDescent="0.25">
      <c r="I7830" s="227" t="str">
        <f>MID(excPisCofins[[#This Row],[CodBarras2]],2,50)</f>
        <v/>
      </c>
    </row>
    <row r="7831" spans="9:9" x14ac:dyDescent="0.25">
      <c r="I7831" s="227" t="str">
        <f>MID(excPisCofins[[#This Row],[CodBarras2]],2,50)</f>
        <v/>
      </c>
    </row>
    <row r="7832" spans="9:9" x14ac:dyDescent="0.25">
      <c r="I7832" s="227" t="str">
        <f>MID(excPisCofins[[#This Row],[CodBarras2]],2,50)</f>
        <v/>
      </c>
    </row>
    <row r="7833" spans="9:9" x14ac:dyDescent="0.25">
      <c r="I7833" s="227" t="str">
        <f>MID(excPisCofins[[#This Row],[CodBarras2]],2,50)</f>
        <v/>
      </c>
    </row>
    <row r="7834" spans="9:9" x14ac:dyDescent="0.25">
      <c r="I7834" s="227" t="str">
        <f>MID(excPisCofins[[#This Row],[CodBarras2]],2,50)</f>
        <v/>
      </c>
    </row>
    <row r="7835" spans="9:9" x14ac:dyDescent="0.25">
      <c r="I7835" s="227" t="str">
        <f>MID(excPisCofins[[#This Row],[CodBarras2]],2,50)</f>
        <v/>
      </c>
    </row>
    <row r="7836" spans="9:9" x14ac:dyDescent="0.25">
      <c r="I7836" s="227" t="str">
        <f>MID(excPisCofins[[#This Row],[CodBarras2]],2,50)</f>
        <v/>
      </c>
    </row>
    <row r="7837" spans="9:9" x14ac:dyDescent="0.25">
      <c r="I7837" s="227" t="str">
        <f>MID(excPisCofins[[#This Row],[CodBarras2]],2,50)</f>
        <v/>
      </c>
    </row>
    <row r="7838" spans="9:9" x14ac:dyDescent="0.25">
      <c r="I7838" s="227" t="str">
        <f>MID(excPisCofins[[#This Row],[CodBarras2]],2,50)</f>
        <v/>
      </c>
    </row>
    <row r="7839" spans="9:9" x14ac:dyDescent="0.25">
      <c r="I7839" s="227" t="str">
        <f>MID(excPisCofins[[#This Row],[CodBarras2]],2,50)</f>
        <v/>
      </c>
    </row>
    <row r="7840" spans="9:9" x14ac:dyDescent="0.25">
      <c r="I7840" s="227" t="str">
        <f>MID(excPisCofins[[#This Row],[CodBarras2]],2,50)</f>
        <v/>
      </c>
    </row>
    <row r="7841" spans="9:9" x14ac:dyDescent="0.25">
      <c r="I7841" s="227" t="str">
        <f>MID(excPisCofins[[#This Row],[CodBarras2]],2,50)</f>
        <v/>
      </c>
    </row>
    <row r="7842" spans="9:9" x14ac:dyDescent="0.25">
      <c r="I7842" s="227" t="str">
        <f>MID(excPisCofins[[#This Row],[CodBarras2]],2,50)</f>
        <v/>
      </c>
    </row>
    <row r="7843" spans="9:9" x14ac:dyDescent="0.25">
      <c r="I7843" s="227" t="str">
        <f>MID(excPisCofins[[#This Row],[CodBarras2]],2,50)</f>
        <v/>
      </c>
    </row>
    <row r="7844" spans="9:9" x14ac:dyDescent="0.25">
      <c r="I7844" s="227" t="str">
        <f>MID(excPisCofins[[#This Row],[CodBarras2]],2,50)</f>
        <v/>
      </c>
    </row>
    <row r="7845" spans="9:9" x14ac:dyDescent="0.25">
      <c r="I7845" s="227" t="str">
        <f>MID(excPisCofins[[#This Row],[CodBarras2]],2,50)</f>
        <v/>
      </c>
    </row>
    <row r="7846" spans="9:9" x14ac:dyDescent="0.25">
      <c r="I7846" s="227" t="str">
        <f>MID(excPisCofins[[#This Row],[CodBarras2]],2,50)</f>
        <v/>
      </c>
    </row>
    <row r="7847" spans="9:9" x14ac:dyDescent="0.25">
      <c r="I7847" s="227" t="str">
        <f>MID(excPisCofins[[#This Row],[CodBarras2]],2,50)</f>
        <v/>
      </c>
    </row>
    <row r="7848" spans="9:9" x14ac:dyDescent="0.25">
      <c r="I7848" s="227" t="str">
        <f>MID(excPisCofins[[#This Row],[CodBarras2]],2,50)</f>
        <v/>
      </c>
    </row>
    <row r="7849" spans="9:9" x14ac:dyDescent="0.25">
      <c r="I7849" s="227" t="str">
        <f>MID(excPisCofins[[#This Row],[CodBarras2]],2,50)</f>
        <v/>
      </c>
    </row>
    <row r="7850" spans="9:9" x14ac:dyDescent="0.25">
      <c r="I7850" s="227" t="str">
        <f>MID(excPisCofins[[#This Row],[CodBarras2]],2,50)</f>
        <v/>
      </c>
    </row>
    <row r="7851" spans="9:9" x14ac:dyDescent="0.25">
      <c r="I7851" s="227" t="str">
        <f>MID(excPisCofins[[#This Row],[CodBarras2]],2,50)</f>
        <v/>
      </c>
    </row>
    <row r="7852" spans="9:9" x14ac:dyDescent="0.25">
      <c r="I7852" s="227" t="str">
        <f>MID(excPisCofins[[#This Row],[CodBarras2]],2,50)</f>
        <v/>
      </c>
    </row>
    <row r="7853" spans="9:9" x14ac:dyDescent="0.25">
      <c r="I7853" s="227" t="str">
        <f>MID(excPisCofins[[#This Row],[CodBarras2]],2,50)</f>
        <v/>
      </c>
    </row>
    <row r="7854" spans="9:9" x14ac:dyDescent="0.25">
      <c r="I7854" s="227" t="str">
        <f>MID(excPisCofins[[#This Row],[CodBarras2]],2,50)</f>
        <v/>
      </c>
    </row>
    <row r="7855" spans="9:9" x14ac:dyDescent="0.25">
      <c r="I7855" s="227" t="str">
        <f>MID(excPisCofins[[#This Row],[CodBarras2]],2,50)</f>
        <v/>
      </c>
    </row>
    <row r="7856" spans="9:9" x14ac:dyDescent="0.25">
      <c r="I7856" s="227" t="str">
        <f>MID(excPisCofins[[#This Row],[CodBarras2]],2,50)</f>
        <v/>
      </c>
    </row>
    <row r="7857" spans="9:9" x14ac:dyDescent="0.25">
      <c r="I7857" s="227" t="str">
        <f>MID(excPisCofins[[#This Row],[CodBarras2]],2,50)</f>
        <v/>
      </c>
    </row>
    <row r="7858" spans="9:9" x14ac:dyDescent="0.25">
      <c r="I7858" s="227" t="str">
        <f>MID(excPisCofins[[#This Row],[CodBarras2]],2,50)</f>
        <v/>
      </c>
    </row>
    <row r="7859" spans="9:9" x14ac:dyDescent="0.25">
      <c r="I7859" s="227" t="str">
        <f>MID(excPisCofins[[#This Row],[CodBarras2]],2,50)</f>
        <v/>
      </c>
    </row>
    <row r="7860" spans="9:9" x14ac:dyDescent="0.25">
      <c r="I7860" s="227" t="str">
        <f>MID(excPisCofins[[#This Row],[CodBarras2]],2,50)</f>
        <v/>
      </c>
    </row>
    <row r="7861" spans="9:9" x14ac:dyDescent="0.25">
      <c r="I7861" s="227" t="str">
        <f>MID(excPisCofins[[#This Row],[CodBarras2]],2,50)</f>
        <v/>
      </c>
    </row>
    <row r="7862" spans="9:9" x14ac:dyDescent="0.25">
      <c r="I7862" s="227" t="str">
        <f>MID(excPisCofins[[#This Row],[CodBarras2]],2,50)</f>
        <v/>
      </c>
    </row>
    <row r="7863" spans="9:9" x14ac:dyDescent="0.25">
      <c r="I7863" s="227" t="str">
        <f>MID(excPisCofins[[#This Row],[CodBarras2]],2,50)</f>
        <v/>
      </c>
    </row>
    <row r="7864" spans="9:9" x14ac:dyDescent="0.25">
      <c r="I7864" s="227" t="str">
        <f>MID(excPisCofins[[#This Row],[CodBarras2]],2,50)</f>
        <v/>
      </c>
    </row>
    <row r="7865" spans="9:9" x14ac:dyDescent="0.25">
      <c r="I7865" s="227" t="str">
        <f>MID(excPisCofins[[#This Row],[CodBarras2]],2,50)</f>
        <v/>
      </c>
    </row>
    <row r="7866" spans="9:9" x14ac:dyDescent="0.25">
      <c r="I7866" s="227" t="str">
        <f>MID(excPisCofins[[#This Row],[CodBarras2]],2,50)</f>
        <v/>
      </c>
    </row>
    <row r="7867" spans="9:9" x14ac:dyDescent="0.25">
      <c r="I7867" s="227" t="str">
        <f>MID(excPisCofins[[#This Row],[CodBarras2]],2,50)</f>
        <v/>
      </c>
    </row>
    <row r="7868" spans="9:9" x14ac:dyDescent="0.25">
      <c r="I7868" s="227" t="str">
        <f>MID(excPisCofins[[#This Row],[CodBarras2]],2,50)</f>
        <v/>
      </c>
    </row>
    <row r="7869" spans="9:9" x14ac:dyDescent="0.25">
      <c r="I7869" s="227" t="str">
        <f>MID(excPisCofins[[#This Row],[CodBarras2]],2,50)</f>
        <v/>
      </c>
    </row>
    <row r="7870" spans="9:9" x14ac:dyDescent="0.25">
      <c r="I7870" s="227" t="str">
        <f>MID(excPisCofins[[#This Row],[CodBarras2]],2,50)</f>
        <v/>
      </c>
    </row>
    <row r="7871" spans="9:9" x14ac:dyDescent="0.25">
      <c r="I7871" s="227" t="str">
        <f>MID(excPisCofins[[#This Row],[CodBarras2]],2,50)</f>
        <v/>
      </c>
    </row>
    <row r="7872" spans="9:9" x14ac:dyDescent="0.25">
      <c r="I7872" s="227" t="str">
        <f>MID(excPisCofins[[#This Row],[CodBarras2]],2,50)</f>
        <v/>
      </c>
    </row>
    <row r="7873" spans="9:9" x14ac:dyDescent="0.25">
      <c r="I7873" s="227" t="str">
        <f>MID(excPisCofins[[#This Row],[CodBarras2]],2,50)</f>
        <v/>
      </c>
    </row>
    <row r="7874" spans="9:9" x14ac:dyDescent="0.25">
      <c r="I7874" s="227" t="str">
        <f>MID(excPisCofins[[#This Row],[CodBarras2]],2,50)</f>
        <v/>
      </c>
    </row>
    <row r="7875" spans="9:9" x14ac:dyDescent="0.25">
      <c r="I7875" s="227" t="str">
        <f>MID(excPisCofins[[#This Row],[CodBarras2]],2,50)</f>
        <v/>
      </c>
    </row>
    <row r="7876" spans="9:9" x14ac:dyDescent="0.25">
      <c r="I7876" s="227" t="str">
        <f>MID(excPisCofins[[#This Row],[CodBarras2]],2,50)</f>
        <v/>
      </c>
    </row>
    <row r="7877" spans="9:9" x14ac:dyDescent="0.25">
      <c r="I7877" s="227" t="str">
        <f>MID(excPisCofins[[#This Row],[CodBarras2]],2,50)</f>
        <v/>
      </c>
    </row>
    <row r="7878" spans="9:9" x14ac:dyDescent="0.25">
      <c r="I7878" s="227" t="str">
        <f>MID(excPisCofins[[#This Row],[CodBarras2]],2,50)</f>
        <v/>
      </c>
    </row>
    <row r="7879" spans="9:9" x14ac:dyDescent="0.25">
      <c r="I7879" s="227" t="str">
        <f>MID(excPisCofins[[#This Row],[CodBarras2]],2,50)</f>
        <v/>
      </c>
    </row>
    <row r="7880" spans="9:9" x14ac:dyDescent="0.25">
      <c r="I7880" s="227" t="str">
        <f>MID(excPisCofins[[#This Row],[CodBarras2]],2,50)</f>
        <v/>
      </c>
    </row>
    <row r="7881" spans="9:9" x14ac:dyDescent="0.25">
      <c r="I7881" s="227" t="str">
        <f>MID(excPisCofins[[#This Row],[CodBarras2]],2,50)</f>
        <v/>
      </c>
    </row>
    <row r="7882" spans="9:9" x14ac:dyDescent="0.25">
      <c r="I7882" s="227" t="str">
        <f>MID(excPisCofins[[#This Row],[CodBarras2]],2,50)</f>
        <v/>
      </c>
    </row>
    <row r="7883" spans="9:9" x14ac:dyDescent="0.25">
      <c r="I7883" s="227" t="str">
        <f>MID(excPisCofins[[#This Row],[CodBarras2]],2,50)</f>
        <v/>
      </c>
    </row>
    <row r="7884" spans="9:9" x14ac:dyDescent="0.25">
      <c r="I7884" s="227" t="str">
        <f>MID(excPisCofins[[#This Row],[CodBarras2]],2,50)</f>
        <v/>
      </c>
    </row>
    <row r="7885" spans="9:9" x14ac:dyDescent="0.25">
      <c r="I7885" s="227" t="str">
        <f>MID(excPisCofins[[#This Row],[CodBarras2]],2,50)</f>
        <v/>
      </c>
    </row>
    <row r="7886" spans="9:9" x14ac:dyDescent="0.25">
      <c r="I7886" s="227" t="str">
        <f>MID(excPisCofins[[#This Row],[CodBarras2]],2,50)</f>
        <v/>
      </c>
    </row>
    <row r="7887" spans="9:9" x14ac:dyDescent="0.25">
      <c r="I7887" s="227" t="str">
        <f>MID(excPisCofins[[#This Row],[CodBarras2]],2,50)</f>
        <v/>
      </c>
    </row>
    <row r="7888" spans="9:9" x14ac:dyDescent="0.25">
      <c r="I7888" s="227" t="str">
        <f>MID(excPisCofins[[#This Row],[CodBarras2]],2,50)</f>
        <v/>
      </c>
    </row>
    <row r="7889" spans="9:9" x14ac:dyDescent="0.25">
      <c r="I7889" s="227" t="str">
        <f>MID(excPisCofins[[#This Row],[CodBarras2]],2,50)</f>
        <v/>
      </c>
    </row>
    <row r="7890" spans="9:9" x14ac:dyDescent="0.25">
      <c r="I7890" s="227" t="str">
        <f>MID(excPisCofins[[#This Row],[CodBarras2]],2,50)</f>
        <v/>
      </c>
    </row>
    <row r="7891" spans="9:9" x14ac:dyDescent="0.25">
      <c r="I7891" s="227" t="str">
        <f>MID(excPisCofins[[#This Row],[CodBarras2]],2,50)</f>
        <v/>
      </c>
    </row>
    <row r="7892" spans="9:9" x14ac:dyDescent="0.25">
      <c r="I7892" s="227" t="str">
        <f>MID(excPisCofins[[#This Row],[CodBarras2]],2,50)</f>
        <v/>
      </c>
    </row>
    <row r="7893" spans="9:9" x14ac:dyDescent="0.25">
      <c r="I7893" s="227" t="str">
        <f>MID(excPisCofins[[#This Row],[CodBarras2]],2,50)</f>
        <v/>
      </c>
    </row>
    <row r="7894" spans="9:9" x14ac:dyDescent="0.25">
      <c r="I7894" s="227" t="str">
        <f>MID(excPisCofins[[#This Row],[CodBarras2]],2,50)</f>
        <v/>
      </c>
    </row>
    <row r="7895" spans="9:9" x14ac:dyDescent="0.25">
      <c r="I7895" s="227" t="str">
        <f>MID(excPisCofins[[#This Row],[CodBarras2]],2,50)</f>
        <v/>
      </c>
    </row>
    <row r="7896" spans="9:9" x14ac:dyDescent="0.25">
      <c r="I7896" s="227" t="str">
        <f>MID(excPisCofins[[#This Row],[CodBarras2]],2,50)</f>
        <v/>
      </c>
    </row>
    <row r="7897" spans="9:9" x14ac:dyDescent="0.25">
      <c r="I7897" s="227" t="str">
        <f>MID(excPisCofins[[#This Row],[CodBarras2]],2,50)</f>
        <v/>
      </c>
    </row>
    <row r="7898" spans="9:9" x14ac:dyDescent="0.25">
      <c r="I7898" s="227" t="str">
        <f>MID(excPisCofins[[#This Row],[CodBarras2]],2,50)</f>
        <v/>
      </c>
    </row>
    <row r="7899" spans="9:9" x14ac:dyDescent="0.25">
      <c r="I7899" s="227" t="str">
        <f>MID(excPisCofins[[#This Row],[CodBarras2]],2,50)</f>
        <v/>
      </c>
    </row>
    <row r="7900" spans="9:9" x14ac:dyDescent="0.25">
      <c r="I7900" s="227" t="str">
        <f>MID(excPisCofins[[#This Row],[CodBarras2]],2,50)</f>
        <v/>
      </c>
    </row>
    <row r="7901" spans="9:9" x14ac:dyDescent="0.25">
      <c r="I7901" s="227" t="str">
        <f>MID(excPisCofins[[#This Row],[CodBarras2]],2,50)</f>
        <v/>
      </c>
    </row>
    <row r="7902" spans="9:9" x14ac:dyDescent="0.25">
      <c r="I7902" s="227" t="str">
        <f>MID(excPisCofins[[#This Row],[CodBarras2]],2,50)</f>
        <v/>
      </c>
    </row>
    <row r="7903" spans="9:9" x14ac:dyDescent="0.25">
      <c r="I7903" s="227" t="str">
        <f>MID(excPisCofins[[#This Row],[CodBarras2]],2,50)</f>
        <v/>
      </c>
    </row>
    <row r="7904" spans="9:9" x14ac:dyDescent="0.25">
      <c r="I7904" s="227" t="str">
        <f>MID(excPisCofins[[#This Row],[CodBarras2]],2,50)</f>
        <v/>
      </c>
    </row>
    <row r="7905" spans="9:9" x14ac:dyDescent="0.25">
      <c r="I7905" s="227" t="str">
        <f>MID(excPisCofins[[#This Row],[CodBarras2]],2,50)</f>
        <v/>
      </c>
    </row>
    <row r="7906" spans="9:9" x14ac:dyDescent="0.25">
      <c r="I7906" s="227" t="str">
        <f>MID(excPisCofins[[#This Row],[CodBarras2]],2,50)</f>
        <v/>
      </c>
    </row>
    <row r="7907" spans="9:9" x14ac:dyDescent="0.25">
      <c r="I7907" s="227" t="str">
        <f>MID(excPisCofins[[#This Row],[CodBarras2]],2,50)</f>
        <v/>
      </c>
    </row>
    <row r="7908" spans="9:9" x14ac:dyDescent="0.25">
      <c r="I7908" s="227" t="str">
        <f>MID(excPisCofins[[#This Row],[CodBarras2]],2,50)</f>
        <v/>
      </c>
    </row>
    <row r="7909" spans="9:9" x14ac:dyDescent="0.25">
      <c r="I7909" s="227" t="str">
        <f>MID(excPisCofins[[#This Row],[CodBarras2]],2,50)</f>
        <v/>
      </c>
    </row>
    <row r="7910" spans="9:9" x14ac:dyDescent="0.25">
      <c r="I7910" s="227" t="str">
        <f>MID(excPisCofins[[#This Row],[CodBarras2]],2,50)</f>
        <v/>
      </c>
    </row>
    <row r="7911" spans="9:9" x14ac:dyDescent="0.25">
      <c r="I7911" s="227" t="str">
        <f>MID(excPisCofins[[#This Row],[CodBarras2]],2,50)</f>
        <v/>
      </c>
    </row>
    <row r="7912" spans="9:9" x14ac:dyDescent="0.25">
      <c r="I7912" s="227" t="str">
        <f>MID(excPisCofins[[#This Row],[CodBarras2]],2,50)</f>
        <v/>
      </c>
    </row>
    <row r="7913" spans="9:9" x14ac:dyDescent="0.25">
      <c r="I7913" s="227" t="str">
        <f>MID(excPisCofins[[#This Row],[CodBarras2]],2,50)</f>
        <v/>
      </c>
    </row>
    <row r="7914" spans="9:9" x14ac:dyDescent="0.25">
      <c r="I7914" s="227" t="str">
        <f>MID(excPisCofins[[#This Row],[CodBarras2]],2,50)</f>
        <v/>
      </c>
    </row>
    <row r="7915" spans="9:9" x14ac:dyDescent="0.25">
      <c r="I7915" s="227" t="str">
        <f>MID(excPisCofins[[#This Row],[CodBarras2]],2,50)</f>
        <v/>
      </c>
    </row>
    <row r="7916" spans="9:9" x14ac:dyDescent="0.25">
      <c r="I7916" s="227" t="str">
        <f>MID(excPisCofins[[#This Row],[CodBarras2]],2,50)</f>
        <v/>
      </c>
    </row>
    <row r="7917" spans="9:9" x14ac:dyDescent="0.25">
      <c r="I7917" s="227" t="str">
        <f>MID(excPisCofins[[#This Row],[CodBarras2]],2,50)</f>
        <v/>
      </c>
    </row>
    <row r="7918" spans="9:9" x14ac:dyDescent="0.25">
      <c r="I7918" s="227" t="str">
        <f>MID(excPisCofins[[#This Row],[CodBarras2]],2,50)</f>
        <v/>
      </c>
    </row>
    <row r="7919" spans="9:9" x14ac:dyDescent="0.25">
      <c r="I7919" s="227" t="str">
        <f>MID(excPisCofins[[#This Row],[CodBarras2]],2,50)</f>
        <v/>
      </c>
    </row>
    <row r="7920" spans="9:9" x14ac:dyDescent="0.25">
      <c r="I7920" s="227" t="str">
        <f>MID(excPisCofins[[#This Row],[CodBarras2]],2,50)</f>
        <v/>
      </c>
    </row>
    <row r="7921" spans="9:9" x14ac:dyDescent="0.25">
      <c r="I7921" s="227" t="str">
        <f>MID(excPisCofins[[#This Row],[CodBarras2]],2,50)</f>
        <v/>
      </c>
    </row>
    <row r="7922" spans="9:9" x14ac:dyDescent="0.25">
      <c r="I7922" s="227" t="str">
        <f>MID(excPisCofins[[#This Row],[CodBarras2]],2,50)</f>
        <v/>
      </c>
    </row>
    <row r="7923" spans="9:9" x14ac:dyDescent="0.25">
      <c r="I7923" s="227" t="str">
        <f>MID(excPisCofins[[#This Row],[CodBarras2]],2,50)</f>
        <v/>
      </c>
    </row>
    <row r="7924" spans="9:9" x14ac:dyDescent="0.25">
      <c r="I7924" s="227" t="str">
        <f>MID(excPisCofins[[#This Row],[CodBarras2]],2,50)</f>
        <v/>
      </c>
    </row>
    <row r="7925" spans="9:9" x14ac:dyDescent="0.25">
      <c r="I7925" s="227" t="str">
        <f>MID(excPisCofins[[#This Row],[CodBarras2]],2,50)</f>
        <v/>
      </c>
    </row>
    <row r="7926" spans="9:9" x14ac:dyDescent="0.25">
      <c r="I7926" s="227" t="str">
        <f>MID(excPisCofins[[#This Row],[CodBarras2]],2,50)</f>
        <v/>
      </c>
    </row>
    <row r="7927" spans="9:9" x14ac:dyDescent="0.25">
      <c r="I7927" s="227" t="str">
        <f>MID(excPisCofins[[#This Row],[CodBarras2]],2,50)</f>
        <v/>
      </c>
    </row>
    <row r="7928" spans="9:9" x14ac:dyDescent="0.25">
      <c r="I7928" s="227" t="str">
        <f>MID(excPisCofins[[#This Row],[CodBarras2]],2,50)</f>
        <v/>
      </c>
    </row>
    <row r="7929" spans="9:9" x14ac:dyDescent="0.25">
      <c r="I7929" s="227" t="str">
        <f>MID(excPisCofins[[#This Row],[CodBarras2]],2,50)</f>
        <v/>
      </c>
    </row>
    <row r="7930" spans="9:9" x14ac:dyDescent="0.25">
      <c r="I7930" s="227" t="str">
        <f>MID(excPisCofins[[#This Row],[CodBarras2]],2,50)</f>
        <v/>
      </c>
    </row>
    <row r="7931" spans="9:9" x14ac:dyDescent="0.25">
      <c r="I7931" s="227" t="str">
        <f>MID(excPisCofins[[#This Row],[CodBarras2]],2,50)</f>
        <v/>
      </c>
    </row>
    <row r="7932" spans="9:9" x14ac:dyDescent="0.25">
      <c r="I7932" s="227" t="str">
        <f>MID(excPisCofins[[#This Row],[CodBarras2]],2,50)</f>
        <v/>
      </c>
    </row>
    <row r="7933" spans="9:9" x14ac:dyDescent="0.25">
      <c r="I7933" s="227" t="str">
        <f>MID(excPisCofins[[#This Row],[CodBarras2]],2,50)</f>
        <v/>
      </c>
    </row>
    <row r="7934" spans="9:9" x14ac:dyDescent="0.25">
      <c r="I7934" s="227" t="str">
        <f>MID(excPisCofins[[#This Row],[CodBarras2]],2,50)</f>
        <v/>
      </c>
    </row>
    <row r="7935" spans="9:9" x14ac:dyDescent="0.25">
      <c r="I7935" s="227" t="str">
        <f>MID(excPisCofins[[#This Row],[CodBarras2]],2,50)</f>
        <v/>
      </c>
    </row>
    <row r="7936" spans="9:9" x14ac:dyDescent="0.25">
      <c r="I7936" s="227" t="str">
        <f>MID(excPisCofins[[#This Row],[CodBarras2]],2,50)</f>
        <v/>
      </c>
    </row>
    <row r="7937" spans="9:9" x14ac:dyDescent="0.25">
      <c r="I7937" s="227" t="str">
        <f>MID(excPisCofins[[#This Row],[CodBarras2]],2,50)</f>
        <v/>
      </c>
    </row>
    <row r="7938" spans="9:9" x14ac:dyDescent="0.25">
      <c r="I7938" s="227" t="str">
        <f>MID(excPisCofins[[#This Row],[CodBarras2]],2,50)</f>
        <v/>
      </c>
    </row>
    <row r="7939" spans="9:9" x14ac:dyDescent="0.25">
      <c r="I7939" s="227" t="str">
        <f>MID(excPisCofins[[#This Row],[CodBarras2]],2,50)</f>
        <v/>
      </c>
    </row>
    <row r="7940" spans="9:9" x14ac:dyDescent="0.25">
      <c r="I7940" s="227" t="str">
        <f>MID(excPisCofins[[#This Row],[CodBarras2]],2,50)</f>
        <v/>
      </c>
    </row>
    <row r="7941" spans="9:9" x14ac:dyDescent="0.25">
      <c r="I7941" s="227" t="str">
        <f>MID(excPisCofins[[#This Row],[CodBarras2]],2,50)</f>
        <v/>
      </c>
    </row>
    <row r="7942" spans="9:9" x14ac:dyDescent="0.25">
      <c r="I7942" s="227" t="str">
        <f>MID(excPisCofins[[#This Row],[CodBarras2]],2,50)</f>
        <v/>
      </c>
    </row>
    <row r="7943" spans="9:9" x14ac:dyDescent="0.25">
      <c r="I7943" s="227" t="str">
        <f>MID(excPisCofins[[#This Row],[CodBarras2]],2,50)</f>
        <v/>
      </c>
    </row>
    <row r="7944" spans="9:9" x14ac:dyDescent="0.25">
      <c r="I7944" s="227" t="str">
        <f>MID(excPisCofins[[#This Row],[CodBarras2]],2,50)</f>
        <v/>
      </c>
    </row>
    <row r="7945" spans="9:9" x14ac:dyDescent="0.25">
      <c r="I7945" s="227" t="str">
        <f>MID(excPisCofins[[#This Row],[CodBarras2]],2,50)</f>
        <v/>
      </c>
    </row>
    <row r="7946" spans="9:9" x14ac:dyDescent="0.25">
      <c r="I7946" s="227" t="str">
        <f>MID(excPisCofins[[#This Row],[CodBarras2]],2,50)</f>
        <v/>
      </c>
    </row>
    <row r="7947" spans="9:9" x14ac:dyDescent="0.25">
      <c r="I7947" s="227" t="str">
        <f>MID(excPisCofins[[#This Row],[CodBarras2]],2,50)</f>
        <v/>
      </c>
    </row>
    <row r="7948" spans="9:9" x14ac:dyDescent="0.25">
      <c r="I7948" s="227" t="str">
        <f>MID(excPisCofins[[#This Row],[CodBarras2]],2,50)</f>
        <v/>
      </c>
    </row>
    <row r="7949" spans="9:9" x14ac:dyDescent="0.25">
      <c r="I7949" s="227" t="str">
        <f>MID(excPisCofins[[#This Row],[CodBarras2]],2,50)</f>
        <v/>
      </c>
    </row>
    <row r="7950" spans="9:9" x14ac:dyDescent="0.25">
      <c r="I7950" s="227" t="str">
        <f>MID(excPisCofins[[#This Row],[CodBarras2]],2,50)</f>
        <v/>
      </c>
    </row>
    <row r="7951" spans="9:9" x14ac:dyDescent="0.25">
      <c r="I7951" s="227" t="str">
        <f>MID(excPisCofins[[#This Row],[CodBarras2]],2,50)</f>
        <v/>
      </c>
    </row>
    <row r="7952" spans="9:9" x14ac:dyDescent="0.25">
      <c r="I7952" s="227" t="str">
        <f>MID(excPisCofins[[#This Row],[CodBarras2]],2,50)</f>
        <v/>
      </c>
    </row>
    <row r="7953" spans="9:9" x14ac:dyDescent="0.25">
      <c r="I7953" s="227" t="str">
        <f>MID(excPisCofins[[#This Row],[CodBarras2]],2,50)</f>
        <v/>
      </c>
    </row>
    <row r="7954" spans="9:9" x14ac:dyDescent="0.25">
      <c r="I7954" s="227" t="str">
        <f>MID(excPisCofins[[#This Row],[CodBarras2]],2,50)</f>
        <v/>
      </c>
    </row>
    <row r="7955" spans="9:9" x14ac:dyDescent="0.25">
      <c r="I7955" s="227" t="str">
        <f>MID(excPisCofins[[#This Row],[CodBarras2]],2,50)</f>
        <v/>
      </c>
    </row>
    <row r="7956" spans="9:9" x14ac:dyDescent="0.25">
      <c r="I7956" s="227" t="str">
        <f>MID(excPisCofins[[#This Row],[CodBarras2]],2,50)</f>
        <v/>
      </c>
    </row>
    <row r="7957" spans="9:9" x14ac:dyDescent="0.25">
      <c r="I7957" s="227" t="str">
        <f>MID(excPisCofins[[#This Row],[CodBarras2]],2,50)</f>
        <v/>
      </c>
    </row>
    <row r="7958" spans="9:9" x14ac:dyDescent="0.25">
      <c r="I7958" s="227" t="str">
        <f>MID(excPisCofins[[#This Row],[CodBarras2]],2,50)</f>
        <v/>
      </c>
    </row>
    <row r="7959" spans="9:9" x14ac:dyDescent="0.25">
      <c r="I7959" s="227" t="str">
        <f>MID(excPisCofins[[#This Row],[CodBarras2]],2,50)</f>
        <v/>
      </c>
    </row>
    <row r="7960" spans="9:9" x14ac:dyDescent="0.25">
      <c r="I7960" s="227" t="str">
        <f>MID(excPisCofins[[#This Row],[CodBarras2]],2,50)</f>
        <v/>
      </c>
    </row>
    <row r="7961" spans="9:9" x14ac:dyDescent="0.25">
      <c r="I7961" s="227" t="str">
        <f>MID(excPisCofins[[#This Row],[CodBarras2]],2,50)</f>
        <v/>
      </c>
    </row>
    <row r="7962" spans="9:9" x14ac:dyDescent="0.25">
      <c r="I7962" s="227" t="str">
        <f>MID(excPisCofins[[#This Row],[CodBarras2]],2,50)</f>
        <v/>
      </c>
    </row>
    <row r="7963" spans="9:9" x14ac:dyDescent="0.25">
      <c r="I7963" s="227" t="str">
        <f>MID(excPisCofins[[#This Row],[CodBarras2]],2,50)</f>
        <v/>
      </c>
    </row>
    <row r="7964" spans="9:9" x14ac:dyDescent="0.25">
      <c r="I7964" s="227" t="str">
        <f>MID(excPisCofins[[#This Row],[CodBarras2]],2,50)</f>
        <v/>
      </c>
    </row>
    <row r="7965" spans="9:9" x14ac:dyDescent="0.25">
      <c r="I7965" s="227" t="str">
        <f>MID(excPisCofins[[#This Row],[CodBarras2]],2,50)</f>
        <v/>
      </c>
    </row>
    <row r="7966" spans="9:9" x14ac:dyDescent="0.25">
      <c r="I7966" s="227" t="str">
        <f>MID(excPisCofins[[#This Row],[CodBarras2]],2,50)</f>
        <v/>
      </c>
    </row>
    <row r="7967" spans="9:9" x14ac:dyDescent="0.25">
      <c r="I7967" s="227" t="str">
        <f>MID(excPisCofins[[#This Row],[CodBarras2]],2,50)</f>
        <v/>
      </c>
    </row>
    <row r="7968" spans="9:9" x14ac:dyDescent="0.25">
      <c r="I7968" s="227" t="str">
        <f>MID(excPisCofins[[#This Row],[CodBarras2]],2,50)</f>
        <v/>
      </c>
    </row>
    <row r="7969" spans="9:9" x14ac:dyDescent="0.25">
      <c r="I7969" s="227" t="str">
        <f>MID(excPisCofins[[#This Row],[CodBarras2]],2,50)</f>
        <v/>
      </c>
    </row>
    <row r="7970" spans="9:9" x14ac:dyDescent="0.25">
      <c r="I7970" s="227" t="str">
        <f>MID(excPisCofins[[#This Row],[CodBarras2]],2,50)</f>
        <v/>
      </c>
    </row>
    <row r="7971" spans="9:9" x14ac:dyDescent="0.25">
      <c r="I7971" s="227" t="str">
        <f>MID(excPisCofins[[#This Row],[CodBarras2]],2,50)</f>
        <v/>
      </c>
    </row>
    <row r="7972" spans="9:9" x14ac:dyDescent="0.25">
      <c r="I7972" s="227" t="str">
        <f>MID(excPisCofins[[#This Row],[CodBarras2]],2,50)</f>
        <v/>
      </c>
    </row>
    <row r="7973" spans="9:9" x14ac:dyDescent="0.25">
      <c r="I7973" s="227" t="str">
        <f>MID(excPisCofins[[#This Row],[CodBarras2]],2,50)</f>
        <v/>
      </c>
    </row>
    <row r="7974" spans="9:9" x14ac:dyDescent="0.25">
      <c r="I7974" s="227" t="str">
        <f>MID(excPisCofins[[#This Row],[CodBarras2]],2,50)</f>
        <v/>
      </c>
    </row>
    <row r="7975" spans="9:9" x14ac:dyDescent="0.25">
      <c r="I7975" s="227" t="str">
        <f>MID(excPisCofins[[#This Row],[CodBarras2]],2,50)</f>
        <v/>
      </c>
    </row>
    <row r="7976" spans="9:9" x14ac:dyDescent="0.25">
      <c r="I7976" s="227" t="str">
        <f>MID(excPisCofins[[#This Row],[CodBarras2]],2,50)</f>
        <v/>
      </c>
    </row>
    <row r="7977" spans="9:9" x14ac:dyDescent="0.25">
      <c r="I7977" s="227" t="str">
        <f>MID(excPisCofins[[#This Row],[CodBarras2]],2,50)</f>
        <v/>
      </c>
    </row>
    <row r="7978" spans="9:9" x14ac:dyDescent="0.25">
      <c r="I7978" s="227" t="str">
        <f>MID(excPisCofins[[#This Row],[CodBarras2]],2,50)</f>
        <v/>
      </c>
    </row>
    <row r="7979" spans="9:9" x14ac:dyDescent="0.25">
      <c r="I7979" s="227" t="str">
        <f>MID(excPisCofins[[#This Row],[CodBarras2]],2,50)</f>
        <v/>
      </c>
    </row>
    <row r="7980" spans="9:9" x14ac:dyDescent="0.25">
      <c r="I7980" s="227" t="str">
        <f>MID(excPisCofins[[#This Row],[CodBarras2]],2,50)</f>
        <v/>
      </c>
    </row>
    <row r="7981" spans="9:9" x14ac:dyDescent="0.25">
      <c r="I7981" s="227" t="str">
        <f>MID(excPisCofins[[#This Row],[CodBarras2]],2,50)</f>
        <v/>
      </c>
    </row>
    <row r="7982" spans="9:9" x14ac:dyDescent="0.25">
      <c r="I7982" s="227" t="str">
        <f>MID(excPisCofins[[#This Row],[CodBarras2]],2,50)</f>
        <v/>
      </c>
    </row>
    <row r="7983" spans="9:9" x14ac:dyDescent="0.25">
      <c r="I7983" s="227" t="str">
        <f>MID(excPisCofins[[#This Row],[CodBarras2]],2,50)</f>
        <v/>
      </c>
    </row>
    <row r="7984" spans="9:9" x14ac:dyDescent="0.25">
      <c r="I7984" s="227" t="str">
        <f>MID(excPisCofins[[#This Row],[CodBarras2]],2,50)</f>
        <v/>
      </c>
    </row>
    <row r="7985" spans="9:9" x14ac:dyDescent="0.25">
      <c r="I7985" s="227" t="str">
        <f>MID(excPisCofins[[#This Row],[CodBarras2]],2,50)</f>
        <v/>
      </c>
    </row>
    <row r="7986" spans="9:9" x14ac:dyDescent="0.25">
      <c r="I7986" s="227" t="str">
        <f>MID(excPisCofins[[#This Row],[CodBarras2]],2,50)</f>
        <v/>
      </c>
    </row>
    <row r="7987" spans="9:9" x14ac:dyDescent="0.25">
      <c r="I7987" s="227" t="str">
        <f>MID(excPisCofins[[#This Row],[CodBarras2]],2,50)</f>
        <v/>
      </c>
    </row>
    <row r="7988" spans="9:9" x14ac:dyDescent="0.25">
      <c r="I7988" s="227" t="str">
        <f>MID(excPisCofins[[#This Row],[CodBarras2]],2,50)</f>
        <v/>
      </c>
    </row>
    <row r="7989" spans="9:9" x14ac:dyDescent="0.25">
      <c r="I7989" s="227" t="str">
        <f>MID(excPisCofins[[#This Row],[CodBarras2]],2,50)</f>
        <v/>
      </c>
    </row>
    <row r="7990" spans="9:9" x14ac:dyDescent="0.25">
      <c r="I7990" s="227" t="str">
        <f>MID(excPisCofins[[#This Row],[CodBarras2]],2,50)</f>
        <v/>
      </c>
    </row>
    <row r="7991" spans="9:9" x14ac:dyDescent="0.25">
      <c r="I7991" s="227" t="str">
        <f>MID(excPisCofins[[#This Row],[CodBarras2]],2,50)</f>
        <v/>
      </c>
    </row>
    <row r="7992" spans="9:9" x14ac:dyDescent="0.25">
      <c r="I7992" s="227" t="str">
        <f>MID(excPisCofins[[#This Row],[CodBarras2]],2,50)</f>
        <v/>
      </c>
    </row>
    <row r="7993" spans="9:9" x14ac:dyDescent="0.25">
      <c r="I7993" s="227" t="str">
        <f>MID(excPisCofins[[#This Row],[CodBarras2]],2,50)</f>
        <v/>
      </c>
    </row>
    <row r="7994" spans="9:9" x14ac:dyDescent="0.25">
      <c r="I7994" s="227" t="str">
        <f>MID(excPisCofins[[#This Row],[CodBarras2]],2,50)</f>
        <v/>
      </c>
    </row>
    <row r="7995" spans="9:9" x14ac:dyDescent="0.25">
      <c r="I7995" s="227" t="str">
        <f>MID(excPisCofins[[#This Row],[CodBarras2]],2,50)</f>
        <v/>
      </c>
    </row>
    <row r="7996" spans="9:9" x14ac:dyDescent="0.25">
      <c r="I7996" s="227" t="str">
        <f>MID(excPisCofins[[#This Row],[CodBarras2]],2,50)</f>
        <v/>
      </c>
    </row>
    <row r="7997" spans="9:9" x14ac:dyDescent="0.25">
      <c r="I7997" s="227" t="str">
        <f>MID(excPisCofins[[#This Row],[CodBarras2]],2,50)</f>
        <v/>
      </c>
    </row>
    <row r="7998" spans="9:9" x14ac:dyDescent="0.25">
      <c r="I7998" s="227" t="str">
        <f>MID(excPisCofins[[#This Row],[CodBarras2]],2,50)</f>
        <v/>
      </c>
    </row>
    <row r="7999" spans="9:9" x14ac:dyDescent="0.25">
      <c r="I7999" s="227" t="str">
        <f>MID(excPisCofins[[#This Row],[CodBarras2]],2,50)</f>
        <v/>
      </c>
    </row>
    <row r="8000" spans="9:9" x14ac:dyDescent="0.25">
      <c r="I8000" s="227" t="str">
        <f>MID(excPisCofins[[#This Row],[CodBarras2]],2,50)</f>
        <v/>
      </c>
    </row>
    <row r="8001" spans="9:9" x14ac:dyDescent="0.25">
      <c r="I8001" s="227" t="str">
        <f>MID(excPisCofins[[#This Row],[CodBarras2]],2,50)</f>
        <v/>
      </c>
    </row>
    <row r="8002" spans="9:9" x14ac:dyDescent="0.25">
      <c r="I8002" s="227" t="str">
        <f>MID(excPisCofins[[#This Row],[CodBarras2]],2,50)</f>
        <v/>
      </c>
    </row>
    <row r="8003" spans="9:9" x14ac:dyDescent="0.25">
      <c r="I8003" s="227" t="str">
        <f>MID(excPisCofins[[#This Row],[CodBarras2]],2,50)</f>
        <v/>
      </c>
    </row>
    <row r="8004" spans="9:9" x14ac:dyDescent="0.25">
      <c r="I8004" s="227" t="str">
        <f>MID(excPisCofins[[#This Row],[CodBarras2]],2,50)</f>
        <v/>
      </c>
    </row>
    <row r="8005" spans="9:9" x14ac:dyDescent="0.25">
      <c r="I8005" s="227" t="str">
        <f>MID(excPisCofins[[#This Row],[CodBarras2]],2,50)</f>
        <v/>
      </c>
    </row>
    <row r="8006" spans="9:9" x14ac:dyDescent="0.25">
      <c r="I8006" s="227" t="str">
        <f>MID(excPisCofins[[#This Row],[CodBarras2]],2,50)</f>
        <v/>
      </c>
    </row>
    <row r="8007" spans="9:9" x14ac:dyDescent="0.25">
      <c r="I8007" s="227" t="str">
        <f>MID(excPisCofins[[#This Row],[CodBarras2]],2,50)</f>
        <v/>
      </c>
    </row>
    <row r="8008" spans="9:9" x14ac:dyDescent="0.25">
      <c r="I8008" s="227" t="str">
        <f>MID(excPisCofins[[#This Row],[CodBarras2]],2,50)</f>
        <v/>
      </c>
    </row>
    <row r="8009" spans="9:9" x14ac:dyDescent="0.25">
      <c r="I8009" s="227" t="str">
        <f>MID(excPisCofins[[#This Row],[CodBarras2]],2,50)</f>
        <v/>
      </c>
    </row>
    <row r="8010" spans="9:9" x14ac:dyDescent="0.25">
      <c r="I8010" s="227" t="str">
        <f>MID(excPisCofins[[#This Row],[CodBarras2]],2,50)</f>
        <v/>
      </c>
    </row>
    <row r="8011" spans="9:9" x14ac:dyDescent="0.25">
      <c r="I8011" s="227" t="str">
        <f>MID(excPisCofins[[#This Row],[CodBarras2]],2,50)</f>
        <v/>
      </c>
    </row>
    <row r="8012" spans="9:9" x14ac:dyDescent="0.25">
      <c r="I8012" s="227" t="str">
        <f>MID(excPisCofins[[#This Row],[CodBarras2]],2,50)</f>
        <v/>
      </c>
    </row>
    <row r="8013" spans="9:9" x14ac:dyDescent="0.25">
      <c r="I8013" s="227" t="str">
        <f>MID(excPisCofins[[#This Row],[CodBarras2]],2,50)</f>
        <v/>
      </c>
    </row>
    <row r="8014" spans="9:9" x14ac:dyDescent="0.25">
      <c r="I8014" s="227" t="str">
        <f>MID(excPisCofins[[#This Row],[CodBarras2]],2,50)</f>
        <v/>
      </c>
    </row>
    <row r="8015" spans="9:9" x14ac:dyDescent="0.25">
      <c r="I8015" s="227" t="str">
        <f>MID(excPisCofins[[#This Row],[CodBarras2]],2,50)</f>
        <v/>
      </c>
    </row>
    <row r="8016" spans="9:9" x14ac:dyDescent="0.25">
      <c r="I8016" s="227" t="str">
        <f>MID(excPisCofins[[#This Row],[CodBarras2]],2,50)</f>
        <v/>
      </c>
    </row>
    <row r="8017" spans="9:9" x14ac:dyDescent="0.25">
      <c r="I8017" s="227" t="str">
        <f>MID(excPisCofins[[#This Row],[CodBarras2]],2,50)</f>
        <v/>
      </c>
    </row>
    <row r="8018" spans="9:9" x14ac:dyDescent="0.25">
      <c r="I8018" s="227" t="str">
        <f>MID(excPisCofins[[#This Row],[CodBarras2]],2,50)</f>
        <v/>
      </c>
    </row>
    <row r="8019" spans="9:9" x14ac:dyDescent="0.25">
      <c r="I8019" s="227" t="str">
        <f>MID(excPisCofins[[#This Row],[CodBarras2]],2,50)</f>
        <v/>
      </c>
    </row>
    <row r="8020" spans="9:9" x14ac:dyDescent="0.25">
      <c r="I8020" s="227" t="str">
        <f>MID(excPisCofins[[#This Row],[CodBarras2]],2,50)</f>
        <v/>
      </c>
    </row>
    <row r="8021" spans="9:9" x14ac:dyDescent="0.25">
      <c r="I8021" s="227" t="str">
        <f>MID(excPisCofins[[#This Row],[CodBarras2]],2,50)</f>
        <v/>
      </c>
    </row>
    <row r="8022" spans="9:9" x14ac:dyDescent="0.25">
      <c r="I8022" s="227" t="str">
        <f>MID(excPisCofins[[#This Row],[CodBarras2]],2,50)</f>
        <v/>
      </c>
    </row>
    <row r="8023" spans="9:9" x14ac:dyDescent="0.25">
      <c r="I8023" s="227" t="str">
        <f>MID(excPisCofins[[#This Row],[CodBarras2]],2,50)</f>
        <v/>
      </c>
    </row>
    <row r="8024" spans="9:9" x14ac:dyDescent="0.25">
      <c r="I8024" s="227" t="str">
        <f>MID(excPisCofins[[#This Row],[CodBarras2]],2,50)</f>
        <v/>
      </c>
    </row>
    <row r="8025" spans="9:9" x14ac:dyDescent="0.25">
      <c r="I8025" s="227" t="str">
        <f>MID(excPisCofins[[#This Row],[CodBarras2]],2,50)</f>
        <v/>
      </c>
    </row>
    <row r="8026" spans="9:9" x14ac:dyDescent="0.25">
      <c r="I8026" s="227" t="str">
        <f>MID(excPisCofins[[#This Row],[CodBarras2]],2,50)</f>
        <v/>
      </c>
    </row>
    <row r="8027" spans="9:9" x14ac:dyDescent="0.25">
      <c r="I8027" s="227" t="str">
        <f>MID(excPisCofins[[#This Row],[CodBarras2]],2,50)</f>
        <v/>
      </c>
    </row>
    <row r="8028" spans="9:9" x14ac:dyDescent="0.25">
      <c r="I8028" s="227" t="str">
        <f>MID(excPisCofins[[#This Row],[CodBarras2]],2,50)</f>
        <v/>
      </c>
    </row>
    <row r="8029" spans="9:9" x14ac:dyDescent="0.25">
      <c r="I8029" s="227" t="str">
        <f>MID(excPisCofins[[#This Row],[CodBarras2]],2,50)</f>
        <v/>
      </c>
    </row>
    <row r="8030" spans="9:9" x14ac:dyDescent="0.25">
      <c r="I8030" s="227" t="str">
        <f>MID(excPisCofins[[#This Row],[CodBarras2]],2,50)</f>
        <v/>
      </c>
    </row>
    <row r="8031" spans="9:9" x14ac:dyDescent="0.25">
      <c r="I8031" s="227" t="str">
        <f>MID(excPisCofins[[#This Row],[CodBarras2]],2,50)</f>
        <v/>
      </c>
    </row>
    <row r="8032" spans="9:9" x14ac:dyDescent="0.25">
      <c r="I8032" s="227" t="str">
        <f>MID(excPisCofins[[#This Row],[CodBarras2]],2,50)</f>
        <v/>
      </c>
    </row>
    <row r="8033" spans="9:9" x14ac:dyDescent="0.25">
      <c r="I8033" s="227" t="str">
        <f>MID(excPisCofins[[#This Row],[CodBarras2]],2,50)</f>
        <v/>
      </c>
    </row>
    <row r="8034" spans="9:9" x14ac:dyDescent="0.25">
      <c r="I8034" s="227" t="str">
        <f>MID(excPisCofins[[#This Row],[CodBarras2]],2,50)</f>
        <v/>
      </c>
    </row>
    <row r="8035" spans="9:9" x14ac:dyDescent="0.25">
      <c r="I8035" s="227" t="str">
        <f>MID(excPisCofins[[#This Row],[CodBarras2]],2,50)</f>
        <v/>
      </c>
    </row>
    <row r="8036" spans="9:9" x14ac:dyDescent="0.25">
      <c r="I8036" s="227" t="str">
        <f>MID(excPisCofins[[#This Row],[CodBarras2]],2,50)</f>
        <v/>
      </c>
    </row>
    <row r="8037" spans="9:9" x14ac:dyDescent="0.25">
      <c r="I8037" s="227" t="str">
        <f>MID(excPisCofins[[#This Row],[CodBarras2]],2,50)</f>
        <v/>
      </c>
    </row>
    <row r="8038" spans="9:9" x14ac:dyDescent="0.25">
      <c r="I8038" s="227" t="str">
        <f>MID(excPisCofins[[#This Row],[CodBarras2]],2,50)</f>
        <v/>
      </c>
    </row>
    <row r="8039" spans="9:9" x14ac:dyDescent="0.25">
      <c r="I8039" s="227" t="str">
        <f>MID(excPisCofins[[#This Row],[CodBarras2]],2,50)</f>
        <v/>
      </c>
    </row>
    <row r="8040" spans="9:9" x14ac:dyDescent="0.25">
      <c r="I8040" s="227" t="str">
        <f>MID(excPisCofins[[#This Row],[CodBarras2]],2,50)</f>
        <v/>
      </c>
    </row>
    <row r="8041" spans="9:9" x14ac:dyDescent="0.25">
      <c r="I8041" s="227" t="str">
        <f>MID(excPisCofins[[#This Row],[CodBarras2]],2,50)</f>
        <v/>
      </c>
    </row>
    <row r="8042" spans="9:9" x14ac:dyDescent="0.25">
      <c r="I8042" s="227" t="str">
        <f>MID(excPisCofins[[#This Row],[CodBarras2]],2,50)</f>
        <v/>
      </c>
    </row>
    <row r="8043" spans="9:9" x14ac:dyDescent="0.25">
      <c r="I8043" s="227" t="str">
        <f>MID(excPisCofins[[#This Row],[CodBarras2]],2,50)</f>
        <v/>
      </c>
    </row>
    <row r="8044" spans="9:9" x14ac:dyDescent="0.25">
      <c r="I8044" s="227" t="str">
        <f>MID(excPisCofins[[#This Row],[CodBarras2]],2,50)</f>
        <v/>
      </c>
    </row>
    <row r="8045" spans="9:9" x14ac:dyDescent="0.25">
      <c r="I8045" s="227" t="str">
        <f>MID(excPisCofins[[#This Row],[CodBarras2]],2,50)</f>
        <v/>
      </c>
    </row>
    <row r="8046" spans="9:9" x14ac:dyDescent="0.25">
      <c r="I8046" s="227" t="str">
        <f>MID(excPisCofins[[#This Row],[CodBarras2]],2,50)</f>
        <v/>
      </c>
    </row>
    <row r="8047" spans="9:9" x14ac:dyDescent="0.25">
      <c r="I8047" s="227" t="str">
        <f>MID(excPisCofins[[#This Row],[CodBarras2]],2,50)</f>
        <v/>
      </c>
    </row>
    <row r="8048" spans="9:9" x14ac:dyDescent="0.25">
      <c r="I8048" s="227" t="str">
        <f>MID(excPisCofins[[#This Row],[CodBarras2]],2,50)</f>
        <v/>
      </c>
    </row>
    <row r="8049" spans="9:9" x14ac:dyDescent="0.25">
      <c r="I8049" s="227" t="str">
        <f>MID(excPisCofins[[#This Row],[CodBarras2]],2,50)</f>
        <v/>
      </c>
    </row>
    <row r="8050" spans="9:9" x14ac:dyDescent="0.25">
      <c r="I8050" s="227" t="str">
        <f>MID(excPisCofins[[#This Row],[CodBarras2]],2,50)</f>
        <v/>
      </c>
    </row>
    <row r="8051" spans="9:9" x14ac:dyDescent="0.25">
      <c r="I8051" s="227" t="str">
        <f>MID(excPisCofins[[#This Row],[CodBarras2]],2,50)</f>
        <v/>
      </c>
    </row>
    <row r="8052" spans="9:9" x14ac:dyDescent="0.25">
      <c r="I8052" s="227" t="str">
        <f>MID(excPisCofins[[#This Row],[CodBarras2]],2,50)</f>
        <v/>
      </c>
    </row>
    <row r="8053" spans="9:9" x14ac:dyDescent="0.25">
      <c r="I8053" s="227" t="str">
        <f>MID(excPisCofins[[#This Row],[CodBarras2]],2,50)</f>
        <v/>
      </c>
    </row>
    <row r="8054" spans="9:9" x14ac:dyDescent="0.25">
      <c r="I8054" s="227" t="str">
        <f>MID(excPisCofins[[#This Row],[CodBarras2]],2,50)</f>
        <v/>
      </c>
    </row>
    <row r="8055" spans="9:9" x14ac:dyDescent="0.25">
      <c r="I8055" s="227" t="str">
        <f>MID(excPisCofins[[#This Row],[CodBarras2]],2,50)</f>
        <v/>
      </c>
    </row>
    <row r="8056" spans="9:9" x14ac:dyDescent="0.25">
      <c r="I8056" s="227" t="str">
        <f>MID(excPisCofins[[#This Row],[CodBarras2]],2,50)</f>
        <v/>
      </c>
    </row>
    <row r="8057" spans="9:9" x14ac:dyDescent="0.25">
      <c r="I8057" s="227" t="str">
        <f>MID(excPisCofins[[#This Row],[CodBarras2]],2,50)</f>
        <v/>
      </c>
    </row>
    <row r="8058" spans="9:9" x14ac:dyDescent="0.25">
      <c r="I8058" s="227" t="str">
        <f>MID(excPisCofins[[#This Row],[CodBarras2]],2,50)</f>
        <v/>
      </c>
    </row>
    <row r="8059" spans="9:9" x14ac:dyDescent="0.25">
      <c r="I8059" s="227" t="str">
        <f>MID(excPisCofins[[#This Row],[CodBarras2]],2,50)</f>
        <v/>
      </c>
    </row>
    <row r="8060" spans="9:9" x14ac:dyDescent="0.25">
      <c r="I8060" s="227" t="str">
        <f>MID(excPisCofins[[#This Row],[CodBarras2]],2,50)</f>
        <v/>
      </c>
    </row>
    <row r="8061" spans="9:9" x14ac:dyDescent="0.25">
      <c r="I8061" s="227" t="str">
        <f>MID(excPisCofins[[#This Row],[CodBarras2]],2,50)</f>
        <v/>
      </c>
    </row>
    <row r="8062" spans="9:9" x14ac:dyDescent="0.25">
      <c r="I8062" s="227" t="str">
        <f>MID(excPisCofins[[#This Row],[CodBarras2]],2,50)</f>
        <v/>
      </c>
    </row>
    <row r="8063" spans="9:9" x14ac:dyDescent="0.25">
      <c r="I8063" s="227" t="str">
        <f>MID(excPisCofins[[#This Row],[CodBarras2]],2,50)</f>
        <v/>
      </c>
    </row>
    <row r="8064" spans="9:9" x14ac:dyDescent="0.25">
      <c r="I8064" s="227" t="str">
        <f>MID(excPisCofins[[#This Row],[CodBarras2]],2,50)</f>
        <v/>
      </c>
    </row>
    <row r="8065" spans="9:9" x14ac:dyDescent="0.25">
      <c r="I8065" s="227" t="str">
        <f>MID(excPisCofins[[#This Row],[CodBarras2]],2,50)</f>
        <v/>
      </c>
    </row>
    <row r="8066" spans="9:9" x14ac:dyDescent="0.25">
      <c r="I8066" s="227" t="str">
        <f>MID(excPisCofins[[#This Row],[CodBarras2]],2,50)</f>
        <v/>
      </c>
    </row>
    <row r="8067" spans="9:9" x14ac:dyDescent="0.25">
      <c r="I8067" s="227" t="str">
        <f>MID(excPisCofins[[#This Row],[CodBarras2]],2,50)</f>
        <v/>
      </c>
    </row>
    <row r="8068" spans="9:9" x14ac:dyDescent="0.25">
      <c r="I8068" s="227" t="str">
        <f>MID(excPisCofins[[#This Row],[CodBarras2]],2,50)</f>
        <v/>
      </c>
    </row>
    <row r="8069" spans="9:9" x14ac:dyDescent="0.25">
      <c r="I8069" s="227" t="str">
        <f>MID(excPisCofins[[#This Row],[CodBarras2]],2,50)</f>
        <v/>
      </c>
    </row>
    <row r="8070" spans="9:9" x14ac:dyDescent="0.25">
      <c r="I8070" s="227" t="str">
        <f>MID(excPisCofins[[#This Row],[CodBarras2]],2,50)</f>
        <v/>
      </c>
    </row>
    <row r="8071" spans="9:9" x14ac:dyDescent="0.25">
      <c r="I8071" s="227" t="str">
        <f>MID(excPisCofins[[#This Row],[CodBarras2]],2,50)</f>
        <v/>
      </c>
    </row>
    <row r="8072" spans="9:9" x14ac:dyDescent="0.25">
      <c r="I8072" s="227" t="str">
        <f>MID(excPisCofins[[#This Row],[CodBarras2]],2,50)</f>
        <v/>
      </c>
    </row>
    <row r="8073" spans="9:9" x14ac:dyDescent="0.25">
      <c r="I8073" s="227" t="str">
        <f>MID(excPisCofins[[#This Row],[CodBarras2]],2,50)</f>
        <v/>
      </c>
    </row>
    <row r="8074" spans="9:9" x14ac:dyDescent="0.25">
      <c r="I8074" s="227" t="str">
        <f>MID(excPisCofins[[#This Row],[CodBarras2]],2,50)</f>
        <v/>
      </c>
    </row>
    <row r="8075" spans="9:9" x14ac:dyDescent="0.25">
      <c r="I8075" s="227" t="str">
        <f>MID(excPisCofins[[#This Row],[CodBarras2]],2,50)</f>
        <v/>
      </c>
    </row>
    <row r="8076" spans="9:9" x14ac:dyDescent="0.25">
      <c r="I8076" s="227" t="str">
        <f>MID(excPisCofins[[#This Row],[CodBarras2]],2,50)</f>
        <v/>
      </c>
    </row>
    <row r="8077" spans="9:9" x14ac:dyDescent="0.25">
      <c r="I8077" s="227" t="str">
        <f>MID(excPisCofins[[#This Row],[CodBarras2]],2,50)</f>
        <v/>
      </c>
    </row>
    <row r="8078" spans="9:9" x14ac:dyDescent="0.25">
      <c r="I8078" s="227" t="str">
        <f>MID(excPisCofins[[#This Row],[CodBarras2]],2,50)</f>
        <v/>
      </c>
    </row>
    <row r="8079" spans="9:9" x14ac:dyDescent="0.25">
      <c r="I8079" s="227" t="str">
        <f>MID(excPisCofins[[#This Row],[CodBarras2]],2,50)</f>
        <v/>
      </c>
    </row>
    <row r="8080" spans="9:9" x14ac:dyDescent="0.25">
      <c r="I8080" s="227" t="str">
        <f>MID(excPisCofins[[#This Row],[CodBarras2]],2,50)</f>
        <v/>
      </c>
    </row>
    <row r="8081" spans="9:9" x14ac:dyDescent="0.25">
      <c r="I8081" s="227" t="str">
        <f>MID(excPisCofins[[#This Row],[CodBarras2]],2,50)</f>
        <v/>
      </c>
    </row>
    <row r="8082" spans="9:9" x14ac:dyDescent="0.25">
      <c r="I8082" s="227" t="str">
        <f>MID(excPisCofins[[#This Row],[CodBarras2]],2,50)</f>
        <v/>
      </c>
    </row>
    <row r="8083" spans="9:9" x14ac:dyDescent="0.25">
      <c r="I8083" s="227" t="str">
        <f>MID(excPisCofins[[#This Row],[CodBarras2]],2,50)</f>
        <v/>
      </c>
    </row>
    <row r="8084" spans="9:9" x14ac:dyDescent="0.25">
      <c r="I8084" s="227" t="str">
        <f>MID(excPisCofins[[#This Row],[CodBarras2]],2,50)</f>
        <v/>
      </c>
    </row>
    <row r="8085" spans="9:9" x14ac:dyDescent="0.25">
      <c r="I8085" s="227" t="str">
        <f>MID(excPisCofins[[#This Row],[CodBarras2]],2,50)</f>
        <v/>
      </c>
    </row>
    <row r="8086" spans="9:9" x14ac:dyDescent="0.25">
      <c r="I8086" s="227" t="str">
        <f>MID(excPisCofins[[#This Row],[CodBarras2]],2,50)</f>
        <v/>
      </c>
    </row>
    <row r="8087" spans="9:9" x14ac:dyDescent="0.25">
      <c r="I8087" s="227" t="str">
        <f>MID(excPisCofins[[#This Row],[CodBarras2]],2,50)</f>
        <v/>
      </c>
    </row>
    <row r="8088" spans="9:9" x14ac:dyDescent="0.25">
      <c r="I8088" s="227" t="str">
        <f>MID(excPisCofins[[#This Row],[CodBarras2]],2,50)</f>
        <v/>
      </c>
    </row>
    <row r="8089" spans="9:9" x14ac:dyDescent="0.25">
      <c r="I8089" s="227" t="str">
        <f>MID(excPisCofins[[#This Row],[CodBarras2]],2,50)</f>
        <v/>
      </c>
    </row>
    <row r="8090" spans="9:9" x14ac:dyDescent="0.25">
      <c r="I8090" s="227" t="str">
        <f>MID(excPisCofins[[#This Row],[CodBarras2]],2,50)</f>
        <v/>
      </c>
    </row>
    <row r="8091" spans="9:9" x14ac:dyDescent="0.25">
      <c r="I8091" s="227" t="str">
        <f>MID(excPisCofins[[#This Row],[CodBarras2]],2,50)</f>
        <v/>
      </c>
    </row>
    <row r="8092" spans="9:9" x14ac:dyDescent="0.25">
      <c r="I8092" s="227" t="str">
        <f>MID(excPisCofins[[#This Row],[CodBarras2]],2,50)</f>
        <v/>
      </c>
    </row>
    <row r="8093" spans="9:9" x14ac:dyDescent="0.25">
      <c r="I8093" s="227" t="str">
        <f>MID(excPisCofins[[#This Row],[CodBarras2]],2,50)</f>
        <v/>
      </c>
    </row>
    <row r="8094" spans="9:9" x14ac:dyDescent="0.25">
      <c r="I8094" s="227" t="str">
        <f>MID(excPisCofins[[#This Row],[CodBarras2]],2,50)</f>
        <v/>
      </c>
    </row>
    <row r="8095" spans="9:9" x14ac:dyDescent="0.25">
      <c r="I8095" s="227" t="str">
        <f>MID(excPisCofins[[#This Row],[CodBarras2]],2,50)</f>
        <v/>
      </c>
    </row>
    <row r="8096" spans="9:9" x14ac:dyDescent="0.25">
      <c r="I8096" s="227" t="str">
        <f>MID(excPisCofins[[#This Row],[CodBarras2]],2,50)</f>
        <v/>
      </c>
    </row>
    <row r="8097" spans="9:9" x14ac:dyDescent="0.25">
      <c r="I8097" s="227" t="str">
        <f>MID(excPisCofins[[#This Row],[CodBarras2]],2,50)</f>
        <v/>
      </c>
    </row>
    <row r="8098" spans="9:9" x14ac:dyDescent="0.25">
      <c r="I8098" s="227" t="str">
        <f>MID(excPisCofins[[#This Row],[CodBarras2]],2,50)</f>
        <v/>
      </c>
    </row>
    <row r="8099" spans="9:9" x14ac:dyDescent="0.25">
      <c r="I8099" s="227" t="str">
        <f>MID(excPisCofins[[#This Row],[CodBarras2]],2,50)</f>
        <v/>
      </c>
    </row>
    <row r="8100" spans="9:9" x14ac:dyDescent="0.25">
      <c r="I8100" s="227" t="str">
        <f>MID(excPisCofins[[#This Row],[CodBarras2]],2,50)</f>
        <v/>
      </c>
    </row>
    <row r="8101" spans="9:9" x14ac:dyDescent="0.25">
      <c r="I8101" s="227" t="str">
        <f>MID(excPisCofins[[#This Row],[CodBarras2]],2,50)</f>
        <v/>
      </c>
    </row>
    <row r="8102" spans="9:9" x14ac:dyDescent="0.25">
      <c r="I8102" s="227" t="str">
        <f>MID(excPisCofins[[#This Row],[CodBarras2]],2,50)</f>
        <v/>
      </c>
    </row>
    <row r="8103" spans="9:9" x14ac:dyDescent="0.25">
      <c r="I8103" s="227" t="str">
        <f>MID(excPisCofins[[#This Row],[CodBarras2]],2,50)</f>
        <v/>
      </c>
    </row>
    <row r="8104" spans="9:9" x14ac:dyDescent="0.25">
      <c r="I8104" s="227" t="str">
        <f>MID(excPisCofins[[#This Row],[CodBarras2]],2,50)</f>
        <v/>
      </c>
    </row>
    <row r="8105" spans="9:9" x14ac:dyDescent="0.25">
      <c r="I8105" s="227" t="str">
        <f>MID(excPisCofins[[#This Row],[CodBarras2]],2,50)</f>
        <v/>
      </c>
    </row>
    <row r="8106" spans="9:9" x14ac:dyDescent="0.25">
      <c r="I8106" s="227" t="str">
        <f>MID(excPisCofins[[#This Row],[CodBarras2]],2,50)</f>
        <v/>
      </c>
    </row>
    <row r="8107" spans="9:9" x14ac:dyDescent="0.25">
      <c r="I8107" s="227" t="str">
        <f>MID(excPisCofins[[#This Row],[CodBarras2]],2,50)</f>
        <v/>
      </c>
    </row>
    <row r="8108" spans="9:9" x14ac:dyDescent="0.25">
      <c r="I8108" s="227" t="str">
        <f>MID(excPisCofins[[#This Row],[CodBarras2]],2,50)</f>
        <v/>
      </c>
    </row>
    <row r="8109" spans="9:9" x14ac:dyDescent="0.25">
      <c r="I8109" s="227" t="str">
        <f>MID(excPisCofins[[#This Row],[CodBarras2]],2,50)</f>
        <v/>
      </c>
    </row>
    <row r="8110" spans="9:9" x14ac:dyDescent="0.25">
      <c r="I8110" s="227" t="str">
        <f>MID(excPisCofins[[#This Row],[CodBarras2]],2,50)</f>
        <v/>
      </c>
    </row>
    <row r="8111" spans="9:9" x14ac:dyDescent="0.25">
      <c r="I8111" s="227" t="str">
        <f>MID(excPisCofins[[#This Row],[CodBarras2]],2,50)</f>
        <v/>
      </c>
    </row>
    <row r="8112" spans="9:9" x14ac:dyDescent="0.25">
      <c r="I8112" s="227" t="str">
        <f>MID(excPisCofins[[#This Row],[CodBarras2]],2,50)</f>
        <v/>
      </c>
    </row>
    <row r="8113" spans="9:9" x14ac:dyDescent="0.25">
      <c r="I8113" s="227" t="str">
        <f>MID(excPisCofins[[#This Row],[CodBarras2]],2,50)</f>
        <v/>
      </c>
    </row>
    <row r="8114" spans="9:9" x14ac:dyDescent="0.25">
      <c r="I8114" s="227" t="str">
        <f>MID(excPisCofins[[#This Row],[CodBarras2]],2,50)</f>
        <v/>
      </c>
    </row>
    <row r="8115" spans="9:9" x14ac:dyDescent="0.25">
      <c r="I8115" s="227" t="str">
        <f>MID(excPisCofins[[#This Row],[CodBarras2]],2,50)</f>
        <v/>
      </c>
    </row>
    <row r="8116" spans="9:9" x14ac:dyDescent="0.25">
      <c r="I8116" s="227" t="str">
        <f>MID(excPisCofins[[#This Row],[CodBarras2]],2,50)</f>
        <v/>
      </c>
    </row>
    <row r="8117" spans="9:9" x14ac:dyDescent="0.25">
      <c r="I8117" s="227" t="str">
        <f>MID(excPisCofins[[#This Row],[CodBarras2]],2,50)</f>
        <v/>
      </c>
    </row>
    <row r="8118" spans="9:9" x14ac:dyDescent="0.25">
      <c r="I8118" s="227" t="str">
        <f>MID(excPisCofins[[#This Row],[CodBarras2]],2,50)</f>
        <v/>
      </c>
    </row>
    <row r="8119" spans="9:9" x14ac:dyDescent="0.25">
      <c r="I8119" s="227" t="str">
        <f>MID(excPisCofins[[#This Row],[CodBarras2]],2,50)</f>
        <v/>
      </c>
    </row>
    <row r="8120" spans="9:9" x14ac:dyDescent="0.25">
      <c r="I8120" s="227" t="str">
        <f>MID(excPisCofins[[#This Row],[CodBarras2]],2,50)</f>
        <v/>
      </c>
    </row>
    <row r="8121" spans="9:9" x14ac:dyDescent="0.25">
      <c r="I8121" s="227" t="str">
        <f>MID(excPisCofins[[#This Row],[CodBarras2]],2,50)</f>
        <v/>
      </c>
    </row>
    <row r="8122" spans="9:9" x14ac:dyDescent="0.25">
      <c r="I8122" s="227" t="str">
        <f>MID(excPisCofins[[#This Row],[CodBarras2]],2,50)</f>
        <v/>
      </c>
    </row>
    <row r="8123" spans="9:9" x14ac:dyDescent="0.25">
      <c r="I8123" s="227" t="str">
        <f>MID(excPisCofins[[#This Row],[CodBarras2]],2,50)</f>
        <v/>
      </c>
    </row>
    <row r="8124" spans="9:9" x14ac:dyDescent="0.25">
      <c r="I8124" s="227" t="str">
        <f>MID(excPisCofins[[#This Row],[CodBarras2]],2,50)</f>
        <v/>
      </c>
    </row>
    <row r="8125" spans="9:9" x14ac:dyDescent="0.25">
      <c r="I8125" s="227" t="str">
        <f>MID(excPisCofins[[#This Row],[CodBarras2]],2,50)</f>
        <v/>
      </c>
    </row>
    <row r="8126" spans="9:9" x14ac:dyDescent="0.25">
      <c r="I8126" s="227" t="str">
        <f>MID(excPisCofins[[#This Row],[CodBarras2]],2,50)</f>
        <v/>
      </c>
    </row>
    <row r="8127" spans="9:9" x14ac:dyDescent="0.25">
      <c r="I8127" s="227" t="str">
        <f>MID(excPisCofins[[#This Row],[CodBarras2]],2,50)</f>
        <v/>
      </c>
    </row>
    <row r="8128" spans="9:9" x14ac:dyDescent="0.25">
      <c r="I8128" s="227" t="str">
        <f>MID(excPisCofins[[#This Row],[CodBarras2]],2,50)</f>
        <v/>
      </c>
    </row>
    <row r="8129" spans="9:9" x14ac:dyDescent="0.25">
      <c r="I8129" s="227" t="str">
        <f>MID(excPisCofins[[#This Row],[CodBarras2]],2,50)</f>
        <v/>
      </c>
    </row>
    <row r="8130" spans="9:9" x14ac:dyDescent="0.25">
      <c r="I8130" s="227" t="str">
        <f>MID(excPisCofins[[#This Row],[CodBarras2]],2,50)</f>
        <v/>
      </c>
    </row>
    <row r="8131" spans="9:9" x14ac:dyDescent="0.25">
      <c r="I8131" s="227" t="str">
        <f>MID(excPisCofins[[#This Row],[CodBarras2]],2,50)</f>
        <v/>
      </c>
    </row>
    <row r="8132" spans="9:9" x14ac:dyDescent="0.25">
      <c r="I8132" s="227" t="str">
        <f>MID(excPisCofins[[#This Row],[CodBarras2]],2,50)</f>
        <v/>
      </c>
    </row>
    <row r="8133" spans="9:9" x14ac:dyDescent="0.25">
      <c r="I8133" s="227" t="str">
        <f>MID(excPisCofins[[#This Row],[CodBarras2]],2,50)</f>
        <v/>
      </c>
    </row>
    <row r="8134" spans="9:9" x14ac:dyDescent="0.25">
      <c r="I8134" s="227" t="str">
        <f>MID(excPisCofins[[#This Row],[CodBarras2]],2,50)</f>
        <v/>
      </c>
    </row>
    <row r="8135" spans="9:9" x14ac:dyDescent="0.25">
      <c r="I8135" s="227" t="str">
        <f>MID(excPisCofins[[#This Row],[CodBarras2]],2,50)</f>
        <v/>
      </c>
    </row>
    <row r="8136" spans="9:9" x14ac:dyDescent="0.25">
      <c r="I8136" s="227" t="str">
        <f>MID(excPisCofins[[#This Row],[CodBarras2]],2,50)</f>
        <v/>
      </c>
    </row>
    <row r="8137" spans="9:9" x14ac:dyDescent="0.25">
      <c r="I8137" s="227" t="str">
        <f>MID(excPisCofins[[#This Row],[CodBarras2]],2,50)</f>
        <v/>
      </c>
    </row>
    <row r="8138" spans="9:9" x14ac:dyDescent="0.25">
      <c r="I8138" s="227" t="str">
        <f>MID(excPisCofins[[#This Row],[CodBarras2]],2,50)</f>
        <v/>
      </c>
    </row>
    <row r="8139" spans="9:9" x14ac:dyDescent="0.25">
      <c r="I8139" s="227" t="str">
        <f>MID(excPisCofins[[#This Row],[CodBarras2]],2,50)</f>
        <v/>
      </c>
    </row>
    <row r="8140" spans="9:9" x14ac:dyDescent="0.25">
      <c r="I8140" s="227" t="str">
        <f>MID(excPisCofins[[#This Row],[CodBarras2]],2,50)</f>
        <v/>
      </c>
    </row>
    <row r="8141" spans="9:9" x14ac:dyDescent="0.25">
      <c r="I8141" s="227" t="str">
        <f>MID(excPisCofins[[#This Row],[CodBarras2]],2,50)</f>
        <v/>
      </c>
    </row>
    <row r="8142" spans="9:9" x14ac:dyDescent="0.25">
      <c r="I8142" s="227" t="str">
        <f>MID(excPisCofins[[#This Row],[CodBarras2]],2,50)</f>
        <v/>
      </c>
    </row>
    <row r="8143" spans="9:9" x14ac:dyDescent="0.25">
      <c r="I8143" s="227" t="str">
        <f>MID(excPisCofins[[#This Row],[CodBarras2]],2,50)</f>
        <v/>
      </c>
    </row>
    <row r="8144" spans="9:9" x14ac:dyDescent="0.25">
      <c r="I8144" s="227" t="str">
        <f>MID(excPisCofins[[#This Row],[CodBarras2]],2,50)</f>
        <v/>
      </c>
    </row>
    <row r="8145" spans="9:9" x14ac:dyDescent="0.25">
      <c r="I8145" s="227" t="str">
        <f>MID(excPisCofins[[#This Row],[CodBarras2]],2,50)</f>
        <v/>
      </c>
    </row>
    <row r="8146" spans="9:9" x14ac:dyDescent="0.25">
      <c r="I8146" s="227" t="str">
        <f>MID(excPisCofins[[#This Row],[CodBarras2]],2,50)</f>
        <v/>
      </c>
    </row>
    <row r="8147" spans="9:9" x14ac:dyDescent="0.25">
      <c r="I8147" s="227" t="str">
        <f>MID(excPisCofins[[#This Row],[CodBarras2]],2,50)</f>
        <v/>
      </c>
    </row>
    <row r="8148" spans="9:9" x14ac:dyDescent="0.25">
      <c r="I8148" s="227" t="str">
        <f>MID(excPisCofins[[#This Row],[CodBarras2]],2,50)</f>
        <v/>
      </c>
    </row>
    <row r="8149" spans="9:9" x14ac:dyDescent="0.25">
      <c r="I8149" s="227" t="str">
        <f>MID(excPisCofins[[#This Row],[CodBarras2]],2,50)</f>
        <v/>
      </c>
    </row>
    <row r="8150" spans="9:9" x14ac:dyDescent="0.25">
      <c r="I8150" s="227" t="str">
        <f>MID(excPisCofins[[#This Row],[CodBarras2]],2,50)</f>
        <v/>
      </c>
    </row>
    <row r="8151" spans="9:9" x14ac:dyDescent="0.25">
      <c r="I8151" s="227" t="str">
        <f>MID(excPisCofins[[#This Row],[CodBarras2]],2,50)</f>
        <v/>
      </c>
    </row>
    <row r="8152" spans="9:9" x14ac:dyDescent="0.25">
      <c r="I8152" s="227" t="str">
        <f>MID(excPisCofins[[#This Row],[CodBarras2]],2,50)</f>
        <v/>
      </c>
    </row>
    <row r="8153" spans="9:9" x14ac:dyDescent="0.25">
      <c r="I8153" s="227" t="str">
        <f>MID(excPisCofins[[#This Row],[CodBarras2]],2,50)</f>
        <v/>
      </c>
    </row>
    <row r="8154" spans="9:9" x14ac:dyDescent="0.25">
      <c r="I8154" s="227" t="str">
        <f>MID(excPisCofins[[#This Row],[CodBarras2]],2,50)</f>
        <v/>
      </c>
    </row>
    <row r="8155" spans="9:9" x14ac:dyDescent="0.25">
      <c r="I8155" s="227" t="str">
        <f>MID(excPisCofins[[#This Row],[CodBarras2]],2,50)</f>
        <v/>
      </c>
    </row>
    <row r="8156" spans="9:9" x14ac:dyDescent="0.25">
      <c r="I8156" s="227" t="str">
        <f>MID(excPisCofins[[#This Row],[CodBarras2]],2,50)</f>
        <v/>
      </c>
    </row>
    <row r="8157" spans="9:9" x14ac:dyDescent="0.25">
      <c r="I8157" s="227" t="str">
        <f>MID(excPisCofins[[#This Row],[CodBarras2]],2,50)</f>
        <v/>
      </c>
    </row>
    <row r="8158" spans="9:9" x14ac:dyDescent="0.25">
      <c r="I8158" s="227" t="str">
        <f>MID(excPisCofins[[#This Row],[CodBarras2]],2,50)</f>
        <v/>
      </c>
    </row>
    <row r="8159" spans="9:9" x14ac:dyDescent="0.25">
      <c r="I8159" s="227" t="str">
        <f>MID(excPisCofins[[#This Row],[CodBarras2]],2,50)</f>
        <v/>
      </c>
    </row>
    <row r="8160" spans="9:9" x14ac:dyDescent="0.25">
      <c r="I8160" s="227" t="str">
        <f>MID(excPisCofins[[#This Row],[CodBarras2]],2,50)</f>
        <v/>
      </c>
    </row>
    <row r="8161" spans="9:9" x14ac:dyDescent="0.25">
      <c r="I8161" s="227" t="str">
        <f>MID(excPisCofins[[#This Row],[CodBarras2]],2,50)</f>
        <v/>
      </c>
    </row>
    <row r="8162" spans="9:9" x14ac:dyDescent="0.25">
      <c r="I8162" s="227" t="str">
        <f>MID(excPisCofins[[#This Row],[CodBarras2]],2,50)</f>
        <v/>
      </c>
    </row>
    <row r="8163" spans="9:9" x14ac:dyDescent="0.25">
      <c r="I8163" s="227" t="str">
        <f>MID(excPisCofins[[#This Row],[CodBarras2]],2,50)</f>
        <v/>
      </c>
    </row>
    <row r="8164" spans="9:9" x14ac:dyDescent="0.25">
      <c r="I8164" s="227" t="str">
        <f>MID(excPisCofins[[#This Row],[CodBarras2]],2,50)</f>
        <v/>
      </c>
    </row>
    <row r="8165" spans="9:9" x14ac:dyDescent="0.25">
      <c r="I8165" s="227" t="str">
        <f>MID(excPisCofins[[#This Row],[CodBarras2]],2,50)</f>
        <v/>
      </c>
    </row>
    <row r="8166" spans="9:9" x14ac:dyDescent="0.25">
      <c r="I8166" s="227" t="str">
        <f>MID(excPisCofins[[#This Row],[CodBarras2]],2,50)</f>
        <v/>
      </c>
    </row>
    <row r="8167" spans="9:9" x14ac:dyDescent="0.25">
      <c r="I8167" s="227" t="str">
        <f>MID(excPisCofins[[#This Row],[CodBarras2]],2,50)</f>
        <v/>
      </c>
    </row>
    <row r="8168" spans="9:9" x14ac:dyDescent="0.25">
      <c r="I8168" s="227" t="str">
        <f>MID(excPisCofins[[#This Row],[CodBarras2]],2,50)</f>
        <v/>
      </c>
    </row>
    <row r="8169" spans="9:9" x14ac:dyDescent="0.25">
      <c r="I8169" s="227" t="str">
        <f>MID(excPisCofins[[#This Row],[CodBarras2]],2,50)</f>
        <v/>
      </c>
    </row>
    <row r="8170" spans="9:9" x14ac:dyDescent="0.25">
      <c r="I8170" s="227" t="str">
        <f>MID(excPisCofins[[#This Row],[CodBarras2]],2,50)</f>
        <v/>
      </c>
    </row>
    <row r="8171" spans="9:9" x14ac:dyDescent="0.25">
      <c r="I8171" s="227" t="str">
        <f>MID(excPisCofins[[#This Row],[CodBarras2]],2,50)</f>
        <v/>
      </c>
    </row>
    <row r="8172" spans="9:9" x14ac:dyDescent="0.25">
      <c r="I8172" s="227" t="str">
        <f>MID(excPisCofins[[#This Row],[CodBarras2]],2,50)</f>
        <v/>
      </c>
    </row>
    <row r="8173" spans="9:9" x14ac:dyDescent="0.25">
      <c r="I8173" s="227" t="str">
        <f>MID(excPisCofins[[#This Row],[CodBarras2]],2,50)</f>
        <v/>
      </c>
    </row>
    <row r="8174" spans="9:9" x14ac:dyDescent="0.25">
      <c r="I8174" s="227" t="str">
        <f>MID(excPisCofins[[#This Row],[CodBarras2]],2,50)</f>
        <v/>
      </c>
    </row>
    <row r="8175" spans="9:9" x14ac:dyDescent="0.25">
      <c r="I8175" s="227" t="str">
        <f>MID(excPisCofins[[#This Row],[CodBarras2]],2,50)</f>
        <v/>
      </c>
    </row>
    <row r="8176" spans="9:9" x14ac:dyDescent="0.25">
      <c r="I8176" s="227" t="str">
        <f>MID(excPisCofins[[#This Row],[CodBarras2]],2,50)</f>
        <v/>
      </c>
    </row>
    <row r="8177" spans="9:9" x14ac:dyDescent="0.25">
      <c r="I8177" s="227" t="str">
        <f>MID(excPisCofins[[#This Row],[CodBarras2]],2,50)</f>
        <v/>
      </c>
    </row>
    <row r="8178" spans="9:9" x14ac:dyDescent="0.25">
      <c r="I8178" s="227" t="str">
        <f>MID(excPisCofins[[#This Row],[CodBarras2]],2,50)</f>
        <v/>
      </c>
    </row>
    <row r="8179" spans="9:9" x14ac:dyDescent="0.25">
      <c r="I8179" s="227" t="str">
        <f>MID(excPisCofins[[#This Row],[CodBarras2]],2,50)</f>
        <v/>
      </c>
    </row>
    <row r="8180" spans="9:9" x14ac:dyDescent="0.25">
      <c r="I8180" s="227" t="str">
        <f>MID(excPisCofins[[#This Row],[CodBarras2]],2,50)</f>
        <v/>
      </c>
    </row>
    <row r="8181" spans="9:9" x14ac:dyDescent="0.25">
      <c r="I8181" s="227" t="str">
        <f>MID(excPisCofins[[#This Row],[CodBarras2]],2,50)</f>
        <v/>
      </c>
    </row>
    <row r="8182" spans="9:9" x14ac:dyDescent="0.25">
      <c r="I8182" s="227" t="str">
        <f>MID(excPisCofins[[#This Row],[CodBarras2]],2,50)</f>
        <v/>
      </c>
    </row>
    <row r="8183" spans="9:9" x14ac:dyDescent="0.25">
      <c r="I8183" s="227" t="str">
        <f>MID(excPisCofins[[#This Row],[CodBarras2]],2,50)</f>
        <v/>
      </c>
    </row>
    <row r="8184" spans="9:9" x14ac:dyDescent="0.25">
      <c r="I8184" s="227" t="str">
        <f>MID(excPisCofins[[#This Row],[CodBarras2]],2,50)</f>
        <v/>
      </c>
    </row>
    <row r="8185" spans="9:9" x14ac:dyDescent="0.25">
      <c r="I8185" s="227" t="str">
        <f>MID(excPisCofins[[#This Row],[CodBarras2]],2,50)</f>
        <v/>
      </c>
    </row>
    <row r="8186" spans="9:9" x14ac:dyDescent="0.25">
      <c r="I8186" s="227" t="str">
        <f>MID(excPisCofins[[#This Row],[CodBarras2]],2,50)</f>
        <v/>
      </c>
    </row>
    <row r="8187" spans="9:9" x14ac:dyDescent="0.25">
      <c r="I8187" s="227" t="str">
        <f>MID(excPisCofins[[#This Row],[CodBarras2]],2,50)</f>
        <v/>
      </c>
    </row>
    <row r="8188" spans="9:9" x14ac:dyDescent="0.25">
      <c r="I8188" s="227" t="str">
        <f>MID(excPisCofins[[#This Row],[CodBarras2]],2,50)</f>
        <v/>
      </c>
    </row>
    <row r="8189" spans="9:9" x14ac:dyDescent="0.25">
      <c r="I8189" s="227" t="str">
        <f>MID(excPisCofins[[#This Row],[CodBarras2]],2,50)</f>
        <v/>
      </c>
    </row>
    <row r="8190" spans="9:9" x14ac:dyDescent="0.25">
      <c r="I8190" s="227" t="str">
        <f>MID(excPisCofins[[#This Row],[CodBarras2]],2,50)</f>
        <v/>
      </c>
    </row>
    <row r="8191" spans="9:9" x14ac:dyDescent="0.25">
      <c r="I8191" s="227" t="str">
        <f>MID(excPisCofins[[#This Row],[CodBarras2]],2,50)</f>
        <v/>
      </c>
    </row>
    <row r="8192" spans="9:9" x14ac:dyDescent="0.25">
      <c r="I8192" s="227" t="str">
        <f>MID(excPisCofins[[#This Row],[CodBarras2]],2,50)</f>
        <v/>
      </c>
    </row>
    <row r="8193" spans="9:9" x14ac:dyDescent="0.25">
      <c r="I8193" s="227" t="str">
        <f>MID(excPisCofins[[#This Row],[CodBarras2]],2,50)</f>
        <v/>
      </c>
    </row>
    <row r="8194" spans="9:9" x14ac:dyDescent="0.25">
      <c r="I8194" s="227" t="str">
        <f>MID(excPisCofins[[#This Row],[CodBarras2]],2,50)</f>
        <v/>
      </c>
    </row>
    <row r="8195" spans="9:9" x14ac:dyDescent="0.25">
      <c r="I8195" s="227" t="str">
        <f>MID(excPisCofins[[#This Row],[CodBarras2]],2,50)</f>
        <v/>
      </c>
    </row>
    <row r="8196" spans="9:9" x14ac:dyDescent="0.25">
      <c r="I8196" s="227" t="str">
        <f>MID(excPisCofins[[#This Row],[CodBarras2]],2,50)</f>
        <v/>
      </c>
    </row>
    <row r="8197" spans="9:9" x14ac:dyDescent="0.25">
      <c r="I8197" s="227" t="str">
        <f>MID(excPisCofins[[#This Row],[CodBarras2]],2,50)</f>
        <v/>
      </c>
    </row>
    <row r="8198" spans="9:9" x14ac:dyDescent="0.25">
      <c r="I8198" s="227" t="str">
        <f>MID(excPisCofins[[#This Row],[CodBarras2]],2,50)</f>
        <v/>
      </c>
    </row>
    <row r="8199" spans="9:9" x14ac:dyDescent="0.25">
      <c r="I8199" s="227" t="str">
        <f>MID(excPisCofins[[#This Row],[CodBarras2]],2,50)</f>
        <v/>
      </c>
    </row>
    <row r="8200" spans="9:9" x14ac:dyDescent="0.25">
      <c r="I8200" s="227" t="str">
        <f>MID(excPisCofins[[#This Row],[CodBarras2]],2,50)</f>
        <v/>
      </c>
    </row>
    <row r="8201" spans="9:9" x14ac:dyDescent="0.25">
      <c r="I8201" s="227" t="str">
        <f>MID(excPisCofins[[#This Row],[CodBarras2]],2,50)</f>
        <v/>
      </c>
    </row>
    <row r="8202" spans="9:9" x14ac:dyDescent="0.25">
      <c r="I8202" s="227" t="str">
        <f>MID(excPisCofins[[#This Row],[CodBarras2]],2,50)</f>
        <v/>
      </c>
    </row>
    <row r="8203" spans="9:9" x14ac:dyDescent="0.25">
      <c r="I8203" s="227" t="str">
        <f>MID(excPisCofins[[#This Row],[CodBarras2]],2,50)</f>
        <v/>
      </c>
    </row>
    <row r="8204" spans="9:9" x14ac:dyDescent="0.25">
      <c r="I8204" s="227" t="str">
        <f>MID(excPisCofins[[#This Row],[CodBarras2]],2,50)</f>
        <v/>
      </c>
    </row>
    <row r="8205" spans="9:9" x14ac:dyDescent="0.25">
      <c r="I8205" s="227" t="str">
        <f>MID(excPisCofins[[#This Row],[CodBarras2]],2,50)</f>
        <v/>
      </c>
    </row>
    <row r="8206" spans="9:9" x14ac:dyDescent="0.25">
      <c r="I8206" s="227" t="str">
        <f>MID(excPisCofins[[#This Row],[CodBarras2]],2,50)</f>
        <v/>
      </c>
    </row>
    <row r="8207" spans="9:9" x14ac:dyDescent="0.25">
      <c r="I8207" s="227" t="str">
        <f>MID(excPisCofins[[#This Row],[CodBarras2]],2,50)</f>
        <v/>
      </c>
    </row>
    <row r="8208" spans="9:9" x14ac:dyDescent="0.25">
      <c r="I8208" s="227" t="str">
        <f>MID(excPisCofins[[#This Row],[CodBarras2]],2,50)</f>
        <v/>
      </c>
    </row>
    <row r="8209" spans="9:9" x14ac:dyDescent="0.25">
      <c r="I8209" s="227" t="str">
        <f>MID(excPisCofins[[#This Row],[CodBarras2]],2,50)</f>
        <v/>
      </c>
    </row>
    <row r="8210" spans="9:9" x14ac:dyDescent="0.25">
      <c r="I8210" s="227" t="str">
        <f>MID(excPisCofins[[#This Row],[CodBarras2]],2,50)</f>
        <v/>
      </c>
    </row>
    <row r="8211" spans="9:9" x14ac:dyDescent="0.25">
      <c r="I8211" s="227" t="str">
        <f>MID(excPisCofins[[#This Row],[CodBarras2]],2,50)</f>
        <v/>
      </c>
    </row>
    <row r="8212" spans="9:9" x14ac:dyDescent="0.25">
      <c r="I8212" s="227" t="str">
        <f>MID(excPisCofins[[#This Row],[CodBarras2]],2,50)</f>
        <v/>
      </c>
    </row>
    <row r="8213" spans="9:9" x14ac:dyDescent="0.25">
      <c r="I8213" s="227" t="str">
        <f>MID(excPisCofins[[#This Row],[CodBarras2]],2,50)</f>
        <v/>
      </c>
    </row>
    <row r="8214" spans="9:9" x14ac:dyDescent="0.25">
      <c r="I8214" s="227" t="str">
        <f>MID(excPisCofins[[#This Row],[CodBarras2]],2,50)</f>
        <v/>
      </c>
    </row>
    <row r="8215" spans="9:9" x14ac:dyDescent="0.25">
      <c r="I8215" s="227" t="str">
        <f>MID(excPisCofins[[#This Row],[CodBarras2]],2,50)</f>
        <v/>
      </c>
    </row>
    <row r="8216" spans="9:9" x14ac:dyDescent="0.25">
      <c r="I8216" s="227" t="str">
        <f>MID(excPisCofins[[#This Row],[CodBarras2]],2,50)</f>
        <v/>
      </c>
    </row>
    <row r="8217" spans="9:9" x14ac:dyDescent="0.25">
      <c r="I8217" s="227" t="str">
        <f>MID(excPisCofins[[#This Row],[CodBarras2]],2,50)</f>
        <v/>
      </c>
    </row>
    <row r="8218" spans="9:9" x14ac:dyDescent="0.25">
      <c r="I8218" s="227" t="str">
        <f>MID(excPisCofins[[#This Row],[CodBarras2]],2,50)</f>
        <v/>
      </c>
    </row>
    <row r="8219" spans="9:9" x14ac:dyDescent="0.25">
      <c r="I8219" s="227" t="str">
        <f>MID(excPisCofins[[#This Row],[CodBarras2]],2,50)</f>
        <v/>
      </c>
    </row>
    <row r="8220" spans="9:9" x14ac:dyDescent="0.25">
      <c r="I8220" s="227" t="str">
        <f>MID(excPisCofins[[#This Row],[CodBarras2]],2,50)</f>
        <v/>
      </c>
    </row>
    <row r="8221" spans="9:9" x14ac:dyDescent="0.25">
      <c r="I8221" s="227" t="str">
        <f>MID(excPisCofins[[#This Row],[CodBarras2]],2,50)</f>
        <v/>
      </c>
    </row>
    <row r="8222" spans="9:9" x14ac:dyDescent="0.25">
      <c r="I8222" s="227" t="str">
        <f>MID(excPisCofins[[#This Row],[CodBarras2]],2,50)</f>
        <v/>
      </c>
    </row>
    <row r="8223" spans="9:9" x14ac:dyDescent="0.25">
      <c r="I8223" s="227" t="str">
        <f>MID(excPisCofins[[#This Row],[CodBarras2]],2,50)</f>
        <v/>
      </c>
    </row>
    <row r="8224" spans="9:9" x14ac:dyDescent="0.25">
      <c r="I8224" s="227" t="str">
        <f>MID(excPisCofins[[#This Row],[CodBarras2]],2,50)</f>
        <v/>
      </c>
    </row>
    <row r="8225" spans="9:9" x14ac:dyDescent="0.25">
      <c r="I8225" s="227" t="str">
        <f>MID(excPisCofins[[#This Row],[CodBarras2]],2,50)</f>
        <v/>
      </c>
    </row>
    <row r="8226" spans="9:9" x14ac:dyDescent="0.25">
      <c r="I8226" s="227" t="str">
        <f>MID(excPisCofins[[#This Row],[CodBarras2]],2,50)</f>
        <v/>
      </c>
    </row>
    <row r="8227" spans="9:9" x14ac:dyDescent="0.25">
      <c r="I8227" s="227" t="str">
        <f>MID(excPisCofins[[#This Row],[CodBarras2]],2,50)</f>
        <v/>
      </c>
    </row>
    <row r="8228" spans="9:9" x14ac:dyDescent="0.25">
      <c r="I8228" s="227" t="str">
        <f>MID(excPisCofins[[#This Row],[CodBarras2]],2,50)</f>
        <v/>
      </c>
    </row>
    <row r="8229" spans="9:9" x14ac:dyDescent="0.25">
      <c r="I8229" s="227" t="str">
        <f>MID(excPisCofins[[#This Row],[CodBarras2]],2,50)</f>
        <v/>
      </c>
    </row>
    <row r="8230" spans="9:9" x14ac:dyDescent="0.25">
      <c r="I8230" s="227" t="str">
        <f>MID(excPisCofins[[#This Row],[CodBarras2]],2,50)</f>
        <v/>
      </c>
    </row>
    <row r="8231" spans="9:9" x14ac:dyDescent="0.25">
      <c r="I8231" s="227" t="str">
        <f>MID(excPisCofins[[#This Row],[CodBarras2]],2,50)</f>
        <v/>
      </c>
    </row>
    <row r="8232" spans="9:9" x14ac:dyDescent="0.25">
      <c r="I8232" s="227" t="str">
        <f>MID(excPisCofins[[#This Row],[CodBarras2]],2,50)</f>
        <v/>
      </c>
    </row>
    <row r="8233" spans="9:9" x14ac:dyDescent="0.25">
      <c r="I8233" s="227" t="str">
        <f>MID(excPisCofins[[#This Row],[CodBarras2]],2,50)</f>
        <v/>
      </c>
    </row>
    <row r="8234" spans="9:9" x14ac:dyDescent="0.25">
      <c r="I8234" s="227" t="str">
        <f>MID(excPisCofins[[#This Row],[CodBarras2]],2,50)</f>
        <v/>
      </c>
    </row>
    <row r="8235" spans="9:9" x14ac:dyDescent="0.25">
      <c r="I8235" s="227" t="str">
        <f>MID(excPisCofins[[#This Row],[CodBarras2]],2,50)</f>
        <v/>
      </c>
    </row>
    <row r="8236" spans="9:9" x14ac:dyDescent="0.25">
      <c r="I8236" s="227" t="str">
        <f>MID(excPisCofins[[#This Row],[CodBarras2]],2,50)</f>
        <v/>
      </c>
    </row>
    <row r="8237" spans="9:9" x14ac:dyDescent="0.25">
      <c r="I8237" s="227" t="str">
        <f>MID(excPisCofins[[#This Row],[CodBarras2]],2,50)</f>
        <v/>
      </c>
    </row>
    <row r="8238" spans="9:9" x14ac:dyDescent="0.25">
      <c r="I8238" s="227" t="str">
        <f>MID(excPisCofins[[#This Row],[CodBarras2]],2,50)</f>
        <v/>
      </c>
    </row>
    <row r="8239" spans="9:9" x14ac:dyDescent="0.25">
      <c r="I8239" s="227" t="str">
        <f>MID(excPisCofins[[#This Row],[CodBarras2]],2,50)</f>
        <v/>
      </c>
    </row>
    <row r="8240" spans="9:9" x14ac:dyDescent="0.25">
      <c r="I8240" s="227" t="str">
        <f>MID(excPisCofins[[#This Row],[CodBarras2]],2,50)</f>
        <v/>
      </c>
    </row>
    <row r="8241" spans="9:9" x14ac:dyDescent="0.25">
      <c r="I8241" s="227" t="str">
        <f>MID(excPisCofins[[#This Row],[CodBarras2]],2,50)</f>
        <v/>
      </c>
    </row>
    <row r="8242" spans="9:9" x14ac:dyDescent="0.25">
      <c r="I8242" s="227" t="str">
        <f>MID(excPisCofins[[#This Row],[CodBarras2]],2,50)</f>
        <v/>
      </c>
    </row>
    <row r="8243" spans="9:9" x14ac:dyDescent="0.25">
      <c r="I8243" s="227" t="str">
        <f>MID(excPisCofins[[#This Row],[CodBarras2]],2,50)</f>
        <v/>
      </c>
    </row>
    <row r="8244" spans="9:9" x14ac:dyDescent="0.25">
      <c r="I8244" s="227" t="str">
        <f>MID(excPisCofins[[#This Row],[CodBarras2]],2,50)</f>
        <v/>
      </c>
    </row>
    <row r="8245" spans="9:9" x14ac:dyDescent="0.25">
      <c r="I8245" s="227" t="str">
        <f>MID(excPisCofins[[#This Row],[CodBarras2]],2,50)</f>
        <v/>
      </c>
    </row>
    <row r="8246" spans="9:9" x14ac:dyDescent="0.25">
      <c r="I8246" s="227" t="str">
        <f>MID(excPisCofins[[#This Row],[CodBarras2]],2,50)</f>
        <v/>
      </c>
    </row>
    <row r="8247" spans="9:9" x14ac:dyDescent="0.25">
      <c r="I8247" s="227" t="str">
        <f>MID(excPisCofins[[#This Row],[CodBarras2]],2,50)</f>
        <v/>
      </c>
    </row>
    <row r="8248" spans="9:9" x14ac:dyDescent="0.25">
      <c r="I8248" s="227" t="str">
        <f>MID(excPisCofins[[#This Row],[CodBarras2]],2,50)</f>
        <v/>
      </c>
    </row>
    <row r="8249" spans="9:9" x14ac:dyDescent="0.25">
      <c r="I8249" s="227" t="str">
        <f>MID(excPisCofins[[#This Row],[CodBarras2]],2,50)</f>
        <v/>
      </c>
    </row>
    <row r="8250" spans="9:9" x14ac:dyDescent="0.25">
      <c r="I8250" s="227" t="str">
        <f>MID(excPisCofins[[#This Row],[CodBarras2]],2,50)</f>
        <v/>
      </c>
    </row>
    <row r="8251" spans="9:9" x14ac:dyDescent="0.25">
      <c r="I8251" s="227" t="str">
        <f>MID(excPisCofins[[#This Row],[CodBarras2]],2,50)</f>
        <v/>
      </c>
    </row>
    <row r="8252" spans="9:9" x14ac:dyDescent="0.25">
      <c r="I8252" s="227" t="str">
        <f>MID(excPisCofins[[#This Row],[CodBarras2]],2,50)</f>
        <v/>
      </c>
    </row>
    <row r="8253" spans="9:9" x14ac:dyDescent="0.25">
      <c r="I8253" s="227" t="str">
        <f>MID(excPisCofins[[#This Row],[CodBarras2]],2,50)</f>
        <v/>
      </c>
    </row>
    <row r="8254" spans="9:9" x14ac:dyDescent="0.25">
      <c r="I8254" s="227" t="str">
        <f>MID(excPisCofins[[#This Row],[CodBarras2]],2,50)</f>
        <v/>
      </c>
    </row>
    <row r="8255" spans="9:9" x14ac:dyDescent="0.25">
      <c r="I8255" s="227" t="str">
        <f>MID(excPisCofins[[#This Row],[CodBarras2]],2,50)</f>
        <v/>
      </c>
    </row>
    <row r="8256" spans="9:9" x14ac:dyDescent="0.25">
      <c r="I8256" s="227" t="str">
        <f>MID(excPisCofins[[#This Row],[CodBarras2]],2,50)</f>
        <v/>
      </c>
    </row>
    <row r="8257" spans="9:9" x14ac:dyDescent="0.25">
      <c r="I8257" s="227" t="str">
        <f>MID(excPisCofins[[#This Row],[CodBarras2]],2,50)</f>
        <v/>
      </c>
    </row>
    <row r="8258" spans="9:9" x14ac:dyDescent="0.25">
      <c r="I8258" s="227" t="str">
        <f>MID(excPisCofins[[#This Row],[CodBarras2]],2,50)</f>
        <v/>
      </c>
    </row>
    <row r="8259" spans="9:9" x14ac:dyDescent="0.25">
      <c r="I8259" s="227" t="str">
        <f>MID(excPisCofins[[#This Row],[CodBarras2]],2,50)</f>
        <v/>
      </c>
    </row>
    <row r="8260" spans="9:9" x14ac:dyDescent="0.25">
      <c r="I8260" s="227" t="str">
        <f>MID(excPisCofins[[#This Row],[CodBarras2]],2,50)</f>
        <v/>
      </c>
    </row>
    <row r="8261" spans="9:9" x14ac:dyDescent="0.25">
      <c r="I8261" s="227" t="str">
        <f>MID(excPisCofins[[#This Row],[CodBarras2]],2,50)</f>
        <v/>
      </c>
    </row>
    <row r="8262" spans="9:9" x14ac:dyDescent="0.25">
      <c r="I8262" s="227" t="str">
        <f>MID(excPisCofins[[#This Row],[CodBarras2]],2,50)</f>
        <v/>
      </c>
    </row>
    <row r="8263" spans="9:9" x14ac:dyDescent="0.25">
      <c r="I8263" s="227" t="str">
        <f>MID(excPisCofins[[#This Row],[CodBarras2]],2,50)</f>
        <v/>
      </c>
    </row>
    <row r="8264" spans="9:9" x14ac:dyDescent="0.25">
      <c r="I8264" s="227" t="str">
        <f>MID(excPisCofins[[#This Row],[CodBarras2]],2,50)</f>
        <v/>
      </c>
    </row>
    <row r="8265" spans="9:9" x14ac:dyDescent="0.25">
      <c r="I8265" s="227" t="str">
        <f>MID(excPisCofins[[#This Row],[CodBarras2]],2,50)</f>
        <v/>
      </c>
    </row>
    <row r="8266" spans="9:9" x14ac:dyDescent="0.25">
      <c r="I8266" s="227" t="str">
        <f>MID(excPisCofins[[#This Row],[CodBarras2]],2,50)</f>
        <v/>
      </c>
    </row>
    <row r="8267" spans="9:9" x14ac:dyDescent="0.25">
      <c r="I8267" s="227" t="str">
        <f>MID(excPisCofins[[#This Row],[CodBarras2]],2,50)</f>
        <v/>
      </c>
    </row>
    <row r="8268" spans="9:9" x14ac:dyDescent="0.25">
      <c r="I8268" s="227" t="str">
        <f>MID(excPisCofins[[#This Row],[CodBarras2]],2,50)</f>
        <v/>
      </c>
    </row>
    <row r="8269" spans="9:9" x14ac:dyDescent="0.25">
      <c r="I8269" s="227" t="str">
        <f>MID(excPisCofins[[#This Row],[CodBarras2]],2,50)</f>
        <v/>
      </c>
    </row>
    <row r="8270" spans="9:9" x14ac:dyDescent="0.25">
      <c r="I8270" s="227" t="str">
        <f>MID(excPisCofins[[#This Row],[CodBarras2]],2,50)</f>
        <v/>
      </c>
    </row>
    <row r="8271" spans="9:9" x14ac:dyDescent="0.25">
      <c r="I8271" s="227" t="str">
        <f>MID(excPisCofins[[#This Row],[CodBarras2]],2,50)</f>
        <v/>
      </c>
    </row>
    <row r="8272" spans="9:9" x14ac:dyDescent="0.25">
      <c r="I8272" s="227" t="str">
        <f>MID(excPisCofins[[#This Row],[CodBarras2]],2,50)</f>
        <v/>
      </c>
    </row>
    <row r="8273" spans="9:9" x14ac:dyDescent="0.25">
      <c r="I8273" s="227" t="str">
        <f>MID(excPisCofins[[#This Row],[CodBarras2]],2,50)</f>
        <v/>
      </c>
    </row>
    <row r="8274" spans="9:9" x14ac:dyDescent="0.25">
      <c r="I8274" s="227" t="str">
        <f>MID(excPisCofins[[#This Row],[CodBarras2]],2,50)</f>
        <v/>
      </c>
    </row>
    <row r="8275" spans="9:9" x14ac:dyDescent="0.25">
      <c r="I8275" s="227" t="str">
        <f>MID(excPisCofins[[#This Row],[CodBarras2]],2,50)</f>
        <v/>
      </c>
    </row>
    <row r="8276" spans="9:9" x14ac:dyDescent="0.25">
      <c r="I8276" s="227" t="str">
        <f>MID(excPisCofins[[#This Row],[CodBarras2]],2,50)</f>
        <v/>
      </c>
    </row>
    <row r="8277" spans="9:9" x14ac:dyDescent="0.25">
      <c r="I8277" s="227" t="str">
        <f>MID(excPisCofins[[#This Row],[CodBarras2]],2,50)</f>
        <v/>
      </c>
    </row>
    <row r="8278" spans="9:9" x14ac:dyDescent="0.25">
      <c r="I8278" s="227" t="str">
        <f>MID(excPisCofins[[#This Row],[CodBarras2]],2,50)</f>
        <v/>
      </c>
    </row>
    <row r="8279" spans="9:9" x14ac:dyDescent="0.25">
      <c r="I8279" s="227" t="str">
        <f>MID(excPisCofins[[#This Row],[CodBarras2]],2,50)</f>
        <v/>
      </c>
    </row>
    <row r="8280" spans="9:9" x14ac:dyDescent="0.25">
      <c r="I8280" s="227" t="str">
        <f>MID(excPisCofins[[#This Row],[CodBarras2]],2,50)</f>
        <v/>
      </c>
    </row>
    <row r="8281" spans="9:9" x14ac:dyDescent="0.25">
      <c r="I8281" s="227" t="str">
        <f>MID(excPisCofins[[#This Row],[CodBarras2]],2,50)</f>
        <v/>
      </c>
    </row>
    <row r="8282" spans="9:9" x14ac:dyDescent="0.25">
      <c r="I8282" s="227" t="str">
        <f>MID(excPisCofins[[#This Row],[CodBarras2]],2,50)</f>
        <v/>
      </c>
    </row>
    <row r="8283" spans="9:9" x14ac:dyDescent="0.25">
      <c r="I8283" s="227" t="str">
        <f>MID(excPisCofins[[#This Row],[CodBarras2]],2,50)</f>
        <v/>
      </c>
    </row>
    <row r="8284" spans="9:9" x14ac:dyDescent="0.25">
      <c r="I8284" s="227" t="str">
        <f>MID(excPisCofins[[#This Row],[CodBarras2]],2,50)</f>
        <v/>
      </c>
    </row>
    <row r="8285" spans="9:9" x14ac:dyDescent="0.25">
      <c r="I8285" s="227" t="str">
        <f>MID(excPisCofins[[#This Row],[CodBarras2]],2,50)</f>
        <v/>
      </c>
    </row>
    <row r="8286" spans="9:9" x14ac:dyDescent="0.25">
      <c r="I8286" s="227" t="str">
        <f>MID(excPisCofins[[#This Row],[CodBarras2]],2,50)</f>
        <v/>
      </c>
    </row>
    <row r="8287" spans="9:9" x14ac:dyDescent="0.25">
      <c r="I8287" s="227" t="str">
        <f>MID(excPisCofins[[#This Row],[CodBarras2]],2,50)</f>
        <v/>
      </c>
    </row>
    <row r="8288" spans="9:9" x14ac:dyDescent="0.25">
      <c r="I8288" s="227" t="str">
        <f>MID(excPisCofins[[#This Row],[CodBarras2]],2,50)</f>
        <v/>
      </c>
    </row>
    <row r="8289" spans="9:9" x14ac:dyDescent="0.25">
      <c r="I8289" s="227" t="str">
        <f>MID(excPisCofins[[#This Row],[CodBarras2]],2,50)</f>
        <v/>
      </c>
    </row>
    <row r="8290" spans="9:9" x14ac:dyDescent="0.25">
      <c r="I8290" s="227" t="str">
        <f>MID(excPisCofins[[#This Row],[CodBarras2]],2,50)</f>
        <v/>
      </c>
    </row>
    <row r="8291" spans="9:9" x14ac:dyDescent="0.25">
      <c r="I8291" s="227" t="str">
        <f>MID(excPisCofins[[#This Row],[CodBarras2]],2,50)</f>
        <v/>
      </c>
    </row>
    <row r="8292" spans="9:9" x14ac:dyDescent="0.25">
      <c r="I8292" s="227" t="str">
        <f>MID(excPisCofins[[#This Row],[CodBarras2]],2,50)</f>
        <v/>
      </c>
    </row>
    <row r="8293" spans="9:9" x14ac:dyDescent="0.25">
      <c r="I8293" s="227" t="str">
        <f>MID(excPisCofins[[#This Row],[CodBarras2]],2,50)</f>
        <v/>
      </c>
    </row>
    <row r="8294" spans="9:9" x14ac:dyDescent="0.25">
      <c r="I8294" s="227" t="str">
        <f>MID(excPisCofins[[#This Row],[CodBarras2]],2,50)</f>
        <v/>
      </c>
    </row>
    <row r="8295" spans="9:9" x14ac:dyDescent="0.25">
      <c r="I8295" s="227" t="str">
        <f>MID(excPisCofins[[#This Row],[CodBarras2]],2,50)</f>
        <v/>
      </c>
    </row>
    <row r="8296" spans="9:9" x14ac:dyDescent="0.25">
      <c r="I8296" s="227" t="str">
        <f>MID(excPisCofins[[#This Row],[CodBarras2]],2,50)</f>
        <v/>
      </c>
    </row>
    <row r="8297" spans="9:9" x14ac:dyDescent="0.25">
      <c r="I8297" s="227" t="str">
        <f>MID(excPisCofins[[#This Row],[CodBarras2]],2,50)</f>
        <v/>
      </c>
    </row>
    <row r="8298" spans="9:9" x14ac:dyDescent="0.25">
      <c r="I8298" s="227" t="str">
        <f>MID(excPisCofins[[#This Row],[CodBarras2]],2,50)</f>
        <v/>
      </c>
    </row>
    <row r="8299" spans="9:9" x14ac:dyDescent="0.25">
      <c r="I8299" s="227" t="str">
        <f>MID(excPisCofins[[#This Row],[CodBarras2]],2,50)</f>
        <v/>
      </c>
    </row>
    <row r="8300" spans="9:9" x14ac:dyDescent="0.25">
      <c r="I8300" s="227" t="str">
        <f>MID(excPisCofins[[#This Row],[CodBarras2]],2,50)</f>
        <v/>
      </c>
    </row>
    <row r="8301" spans="9:9" x14ac:dyDescent="0.25">
      <c r="I8301" s="227" t="str">
        <f>MID(excPisCofins[[#This Row],[CodBarras2]],2,50)</f>
        <v/>
      </c>
    </row>
    <row r="8302" spans="9:9" x14ac:dyDescent="0.25">
      <c r="I8302" s="227" t="str">
        <f>MID(excPisCofins[[#This Row],[CodBarras2]],2,50)</f>
        <v/>
      </c>
    </row>
    <row r="8303" spans="9:9" x14ac:dyDescent="0.25">
      <c r="I8303" s="227" t="str">
        <f>MID(excPisCofins[[#This Row],[CodBarras2]],2,50)</f>
        <v/>
      </c>
    </row>
    <row r="8304" spans="9:9" x14ac:dyDescent="0.25">
      <c r="I8304" s="227" t="str">
        <f>MID(excPisCofins[[#This Row],[CodBarras2]],2,50)</f>
        <v/>
      </c>
    </row>
    <row r="8305" spans="9:9" x14ac:dyDescent="0.25">
      <c r="I8305" s="227" t="str">
        <f>MID(excPisCofins[[#This Row],[CodBarras2]],2,50)</f>
        <v/>
      </c>
    </row>
    <row r="8306" spans="9:9" x14ac:dyDescent="0.25">
      <c r="I8306" s="227" t="str">
        <f>MID(excPisCofins[[#This Row],[CodBarras2]],2,50)</f>
        <v/>
      </c>
    </row>
    <row r="8307" spans="9:9" x14ac:dyDescent="0.25">
      <c r="I8307" s="227" t="str">
        <f>MID(excPisCofins[[#This Row],[CodBarras2]],2,50)</f>
        <v/>
      </c>
    </row>
    <row r="8308" spans="9:9" x14ac:dyDescent="0.25">
      <c r="I8308" s="227" t="str">
        <f>MID(excPisCofins[[#This Row],[CodBarras2]],2,50)</f>
        <v/>
      </c>
    </row>
    <row r="8309" spans="9:9" x14ac:dyDescent="0.25">
      <c r="I8309" s="227" t="str">
        <f>MID(excPisCofins[[#This Row],[CodBarras2]],2,50)</f>
        <v/>
      </c>
    </row>
    <row r="8310" spans="9:9" x14ac:dyDescent="0.25">
      <c r="I8310" s="227" t="str">
        <f>MID(excPisCofins[[#This Row],[CodBarras2]],2,50)</f>
        <v/>
      </c>
    </row>
    <row r="8311" spans="9:9" x14ac:dyDescent="0.25">
      <c r="I8311" s="227" t="str">
        <f>MID(excPisCofins[[#This Row],[CodBarras2]],2,50)</f>
        <v/>
      </c>
    </row>
    <row r="8312" spans="9:9" x14ac:dyDescent="0.25">
      <c r="I8312" s="227" t="str">
        <f>MID(excPisCofins[[#This Row],[CodBarras2]],2,50)</f>
        <v/>
      </c>
    </row>
    <row r="8313" spans="9:9" x14ac:dyDescent="0.25">
      <c r="I8313" s="227" t="str">
        <f>MID(excPisCofins[[#This Row],[CodBarras2]],2,50)</f>
        <v/>
      </c>
    </row>
    <row r="8314" spans="9:9" x14ac:dyDescent="0.25">
      <c r="I8314" s="227" t="str">
        <f>MID(excPisCofins[[#This Row],[CodBarras2]],2,50)</f>
        <v/>
      </c>
    </row>
    <row r="8315" spans="9:9" x14ac:dyDescent="0.25">
      <c r="I8315" s="227" t="str">
        <f>MID(excPisCofins[[#This Row],[CodBarras2]],2,50)</f>
        <v/>
      </c>
    </row>
    <row r="8316" spans="9:9" x14ac:dyDescent="0.25">
      <c r="I8316" s="227" t="str">
        <f>MID(excPisCofins[[#This Row],[CodBarras2]],2,50)</f>
        <v/>
      </c>
    </row>
    <row r="8317" spans="9:9" x14ac:dyDescent="0.25">
      <c r="I8317" s="227" t="str">
        <f>MID(excPisCofins[[#This Row],[CodBarras2]],2,50)</f>
        <v/>
      </c>
    </row>
    <row r="8318" spans="9:9" x14ac:dyDescent="0.25">
      <c r="I8318" s="227" t="str">
        <f>MID(excPisCofins[[#This Row],[CodBarras2]],2,50)</f>
        <v/>
      </c>
    </row>
    <row r="8319" spans="9:9" x14ac:dyDescent="0.25">
      <c r="I8319" s="227" t="str">
        <f>MID(excPisCofins[[#This Row],[CodBarras2]],2,50)</f>
        <v/>
      </c>
    </row>
    <row r="8320" spans="9:9" x14ac:dyDescent="0.25">
      <c r="I8320" s="227" t="str">
        <f>MID(excPisCofins[[#This Row],[CodBarras2]],2,50)</f>
        <v/>
      </c>
    </row>
    <row r="8321" spans="9:9" x14ac:dyDescent="0.25">
      <c r="I8321" s="227" t="str">
        <f>MID(excPisCofins[[#This Row],[CodBarras2]],2,50)</f>
        <v/>
      </c>
    </row>
    <row r="8322" spans="9:9" x14ac:dyDescent="0.25">
      <c r="I8322" s="227" t="str">
        <f>MID(excPisCofins[[#This Row],[CodBarras2]],2,50)</f>
        <v/>
      </c>
    </row>
    <row r="8323" spans="9:9" x14ac:dyDescent="0.25">
      <c r="I8323" s="227" t="str">
        <f>MID(excPisCofins[[#This Row],[CodBarras2]],2,50)</f>
        <v/>
      </c>
    </row>
    <row r="8324" spans="9:9" x14ac:dyDescent="0.25">
      <c r="I8324" s="227" t="str">
        <f>MID(excPisCofins[[#This Row],[CodBarras2]],2,50)</f>
        <v/>
      </c>
    </row>
    <row r="8325" spans="9:9" x14ac:dyDescent="0.25">
      <c r="I8325" s="227" t="str">
        <f>MID(excPisCofins[[#This Row],[CodBarras2]],2,50)</f>
        <v/>
      </c>
    </row>
    <row r="8326" spans="9:9" x14ac:dyDescent="0.25">
      <c r="I8326" s="227" t="str">
        <f>MID(excPisCofins[[#This Row],[CodBarras2]],2,50)</f>
        <v/>
      </c>
    </row>
    <row r="8327" spans="9:9" x14ac:dyDescent="0.25">
      <c r="I8327" s="227" t="str">
        <f>MID(excPisCofins[[#This Row],[CodBarras2]],2,50)</f>
        <v/>
      </c>
    </row>
    <row r="8328" spans="9:9" x14ac:dyDescent="0.25">
      <c r="I8328" s="227" t="str">
        <f>MID(excPisCofins[[#This Row],[CodBarras2]],2,50)</f>
        <v/>
      </c>
    </row>
    <row r="8329" spans="9:9" x14ac:dyDescent="0.25">
      <c r="I8329" s="227" t="str">
        <f>MID(excPisCofins[[#This Row],[CodBarras2]],2,50)</f>
        <v/>
      </c>
    </row>
    <row r="8330" spans="9:9" x14ac:dyDescent="0.25">
      <c r="I8330" s="227" t="str">
        <f>MID(excPisCofins[[#This Row],[CodBarras2]],2,50)</f>
        <v/>
      </c>
    </row>
    <row r="8331" spans="9:9" x14ac:dyDescent="0.25">
      <c r="I8331" s="227" t="str">
        <f>MID(excPisCofins[[#This Row],[CodBarras2]],2,50)</f>
        <v/>
      </c>
    </row>
    <row r="8332" spans="9:9" x14ac:dyDescent="0.25">
      <c r="I8332" s="227" t="str">
        <f>MID(excPisCofins[[#This Row],[CodBarras2]],2,50)</f>
        <v/>
      </c>
    </row>
    <row r="8333" spans="9:9" x14ac:dyDescent="0.25">
      <c r="I8333" s="227" t="str">
        <f>MID(excPisCofins[[#This Row],[CodBarras2]],2,50)</f>
        <v/>
      </c>
    </row>
    <row r="8334" spans="9:9" x14ac:dyDescent="0.25">
      <c r="I8334" s="227" t="str">
        <f>MID(excPisCofins[[#This Row],[CodBarras2]],2,50)</f>
        <v/>
      </c>
    </row>
    <row r="8335" spans="9:9" x14ac:dyDescent="0.25">
      <c r="I8335" s="227" t="str">
        <f>MID(excPisCofins[[#This Row],[CodBarras2]],2,50)</f>
        <v/>
      </c>
    </row>
    <row r="8336" spans="9:9" x14ac:dyDescent="0.25">
      <c r="I8336" s="227" t="str">
        <f>MID(excPisCofins[[#This Row],[CodBarras2]],2,50)</f>
        <v/>
      </c>
    </row>
    <row r="8337" spans="9:9" x14ac:dyDescent="0.25">
      <c r="I8337" s="227" t="str">
        <f>MID(excPisCofins[[#This Row],[CodBarras2]],2,50)</f>
        <v/>
      </c>
    </row>
    <row r="8338" spans="9:9" x14ac:dyDescent="0.25">
      <c r="I8338" s="227" t="str">
        <f>MID(excPisCofins[[#This Row],[CodBarras2]],2,50)</f>
        <v/>
      </c>
    </row>
    <row r="8339" spans="9:9" x14ac:dyDescent="0.25">
      <c r="I8339" s="227" t="str">
        <f>MID(excPisCofins[[#This Row],[CodBarras2]],2,50)</f>
        <v/>
      </c>
    </row>
    <row r="8340" spans="9:9" x14ac:dyDescent="0.25">
      <c r="I8340" s="227" t="str">
        <f>MID(excPisCofins[[#This Row],[CodBarras2]],2,50)</f>
        <v/>
      </c>
    </row>
    <row r="8341" spans="9:9" x14ac:dyDescent="0.25">
      <c r="I8341" s="227" t="str">
        <f>MID(excPisCofins[[#This Row],[CodBarras2]],2,50)</f>
        <v/>
      </c>
    </row>
    <row r="8342" spans="9:9" x14ac:dyDescent="0.25">
      <c r="I8342" s="227" t="str">
        <f>MID(excPisCofins[[#This Row],[CodBarras2]],2,50)</f>
        <v/>
      </c>
    </row>
    <row r="8343" spans="9:9" x14ac:dyDescent="0.25">
      <c r="I8343" s="227" t="str">
        <f>MID(excPisCofins[[#This Row],[CodBarras2]],2,50)</f>
        <v/>
      </c>
    </row>
    <row r="8344" spans="9:9" x14ac:dyDescent="0.25">
      <c r="I8344" s="227" t="str">
        <f>MID(excPisCofins[[#This Row],[CodBarras2]],2,50)</f>
        <v/>
      </c>
    </row>
    <row r="8345" spans="9:9" x14ac:dyDescent="0.25">
      <c r="I8345" s="227" t="str">
        <f>MID(excPisCofins[[#This Row],[CodBarras2]],2,50)</f>
        <v/>
      </c>
    </row>
    <row r="8346" spans="9:9" x14ac:dyDescent="0.25">
      <c r="I8346" s="227" t="str">
        <f>MID(excPisCofins[[#This Row],[CodBarras2]],2,50)</f>
        <v/>
      </c>
    </row>
    <row r="8347" spans="9:9" x14ac:dyDescent="0.25">
      <c r="I8347" s="227" t="str">
        <f>MID(excPisCofins[[#This Row],[CodBarras2]],2,50)</f>
        <v/>
      </c>
    </row>
    <row r="8348" spans="9:9" x14ac:dyDescent="0.25">
      <c r="I8348" s="227" t="str">
        <f>MID(excPisCofins[[#This Row],[CodBarras2]],2,50)</f>
        <v/>
      </c>
    </row>
    <row r="8349" spans="9:9" x14ac:dyDescent="0.25">
      <c r="I8349" s="227" t="str">
        <f>MID(excPisCofins[[#This Row],[CodBarras2]],2,50)</f>
        <v/>
      </c>
    </row>
    <row r="8350" spans="9:9" x14ac:dyDescent="0.25">
      <c r="I8350" s="227" t="str">
        <f>MID(excPisCofins[[#This Row],[CodBarras2]],2,50)</f>
        <v/>
      </c>
    </row>
    <row r="8351" spans="9:9" x14ac:dyDescent="0.25">
      <c r="I8351" s="227" t="str">
        <f>MID(excPisCofins[[#This Row],[CodBarras2]],2,50)</f>
        <v/>
      </c>
    </row>
    <row r="8352" spans="9:9" x14ac:dyDescent="0.25">
      <c r="I8352" s="227" t="str">
        <f>MID(excPisCofins[[#This Row],[CodBarras2]],2,50)</f>
        <v/>
      </c>
    </row>
    <row r="8353" spans="9:9" x14ac:dyDescent="0.25">
      <c r="I8353" s="227" t="str">
        <f>MID(excPisCofins[[#This Row],[CodBarras2]],2,50)</f>
        <v/>
      </c>
    </row>
    <row r="8354" spans="9:9" x14ac:dyDescent="0.25">
      <c r="I8354" s="227" t="str">
        <f>MID(excPisCofins[[#This Row],[CodBarras2]],2,50)</f>
        <v/>
      </c>
    </row>
    <row r="8355" spans="9:9" x14ac:dyDescent="0.25">
      <c r="I8355" s="227" t="str">
        <f>MID(excPisCofins[[#This Row],[CodBarras2]],2,50)</f>
        <v/>
      </c>
    </row>
    <row r="8356" spans="9:9" x14ac:dyDescent="0.25">
      <c r="I8356" s="227" t="str">
        <f>MID(excPisCofins[[#This Row],[CodBarras2]],2,50)</f>
        <v/>
      </c>
    </row>
    <row r="8357" spans="9:9" x14ac:dyDescent="0.25">
      <c r="I8357" s="227" t="str">
        <f>MID(excPisCofins[[#This Row],[CodBarras2]],2,50)</f>
        <v/>
      </c>
    </row>
    <row r="8358" spans="9:9" x14ac:dyDescent="0.25">
      <c r="I8358" s="227" t="str">
        <f>MID(excPisCofins[[#This Row],[CodBarras2]],2,50)</f>
        <v/>
      </c>
    </row>
    <row r="8359" spans="9:9" x14ac:dyDescent="0.25">
      <c r="I8359" s="227" t="str">
        <f>MID(excPisCofins[[#This Row],[CodBarras2]],2,50)</f>
        <v/>
      </c>
    </row>
    <row r="8360" spans="9:9" x14ac:dyDescent="0.25">
      <c r="I8360" s="227" t="str">
        <f>MID(excPisCofins[[#This Row],[CodBarras2]],2,50)</f>
        <v/>
      </c>
    </row>
    <row r="8361" spans="9:9" x14ac:dyDescent="0.25">
      <c r="I8361" s="227" t="str">
        <f>MID(excPisCofins[[#This Row],[CodBarras2]],2,50)</f>
        <v/>
      </c>
    </row>
    <row r="8362" spans="9:9" x14ac:dyDescent="0.25">
      <c r="I8362" s="227" t="str">
        <f>MID(excPisCofins[[#This Row],[CodBarras2]],2,50)</f>
        <v/>
      </c>
    </row>
    <row r="8363" spans="9:9" x14ac:dyDescent="0.25">
      <c r="I8363" s="227" t="str">
        <f>MID(excPisCofins[[#This Row],[CodBarras2]],2,50)</f>
        <v/>
      </c>
    </row>
    <row r="8364" spans="9:9" x14ac:dyDescent="0.25">
      <c r="I8364" s="227" t="str">
        <f>MID(excPisCofins[[#This Row],[CodBarras2]],2,50)</f>
        <v/>
      </c>
    </row>
    <row r="8365" spans="9:9" x14ac:dyDescent="0.25">
      <c r="I8365" s="227" t="str">
        <f>MID(excPisCofins[[#This Row],[CodBarras2]],2,50)</f>
        <v/>
      </c>
    </row>
    <row r="8366" spans="9:9" x14ac:dyDescent="0.25">
      <c r="I8366" s="227" t="str">
        <f>MID(excPisCofins[[#This Row],[CodBarras2]],2,50)</f>
        <v/>
      </c>
    </row>
    <row r="8367" spans="9:9" x14ac:dyDescent="0.25">
      <c r="I8367" s="227" t="str">
        <f>MID(excPisCofins[[#This Row],[CodBarras2]],2,50)</f>
        <v/>
      </c>
    </row>
    <row r="8368" spans="9:9" x14ac:dyDescent="0.25">
      <c r="I8368" s="227" t="str">
        <f>MID(excPisCofins[[#This Row],[CodBarras2]],2,50)</f>
        <v/>
      </c>
    </row>
    <row r="8369" spans="9:9" x14ac:dyDescent="0.25">
      <c r="I8369" s="227" t="str">
        <f>MID(excPisCofins[[#This Row],[CodBarras2]],2,50)</f>
        <v/>
      </c>
    </row>
    <row r="8370" spans="9:9" x14ac:dyDescent="0.25">
      <c r="I8370" s="227" t="str">
        <f>MID(excPisCofins[[#This Row],[CodBarras2]],2,50)</f>
        <v/>
      </c>
    </row>
    <row r="8371" spans="9:9" x14ac:dyDescent="0.25">
      <c r="I8371" s="227" t="str">
        <f>MID(excPisCofins[[#This Row],[CodBarras2]],2,50)</f>
        <v/>
      </c>
    </row>
    <row r="8372" spans="9:9" x14ac:dyDescent="0.25">
      <c r="I8372" s="227" t="str">
        <f>MID(excPisCofins[[#This Row],[CodBarras2]],2,50)</f>
        <v/>
      </c>
    </row>
    <row r="8373" spans="9:9" x14ac:dyDescent="0.25">
      <c r="I8373" s="227" t="str">
        <f>MID(excPisCofins[[#This Row],[CodBarras2]],2,50)</f>
        <v/>
      </c>
    </row>
    <row r="8374" spans="9:9" x14ac:dyDescent="0.25">
      <c r="I8374" s="227" t="str">
        <f>MID(excPisCofins[[#This Row],[CodBarras2]],2,50)</f>
        <v/>
      </c>
    </row>
    <row r="8375" spans="9:9" x14ac:dyDescent="0.25">
      <c r="I8375" s="227" t="str">
        <f>MID(excPisCofins[[#This Row],[CodBarras2]],2,50)</f>
        <v/>
      </c>
    </row>
    <row r="8376" spans="9:9" x14ac:dyDescent="0.25">
      <c r="I8376" s="227" t="str">
        <f>MID(excPisCofins[[#This Row],[CodBarras2]],2,50)</f>
        <v/>
      </c>
    </row>
    <row r="8377" spans="9:9" x14ac:dyDescent="0.25">
      <c r="I8377" s="227" t="str">
        <f>MID(excPisCofins[[#This Row],[CodBarras2]],2,50)</f>
        <v/>
      </c>
    </row>
    <row r="8378" spans="9:9" x14ac:dyDescent="0.25">
      <c r="I8378" s="227" t="str">
        <f>MID(excPisCofins[[#This Row],[CodBarras2]],2,50)</f>
        <v/>
      </c>
    </row>
    <row r="8379" spans="9:9" x14ac:dyDescent="0.25">
      <c r="I8379" s="227" t="str">
        <f>MID(excPisCofins[[#This Row],[CodBarras2]],2,50)</f>
        <v/>
      </c>
    </row>
    <row r="8380" spans="9:9" x14ac:dyDescent="0.25">
      <c r="I8380" s="227" t="str">
        <f>MID(excPisCofins[[#This Row],[CodBarras2]],2,50)</f>
        <v/>
      </c>
    </row>
    <row r="8381" spans="9:9" x14ac:dyDescent="0.25">
      <c r="I8381" s="227" t="str">
        <f>MID(excPisCofins[[#This Row],[CodBarras2]],2,50)</f>
        <v/>
      </c>
    </row>
    <row r="8382" spans="9:9" x14ac:dyDescent="0.25">
      <c r="I8382" s="227" t="str">
        <f>MID(excPisCofins[[#This Row],[CodBarras2]],2,50)</f>
        <v/>
      </c>
    </row>
    <row r="8383" spans="9:9" x14ac:dyDescent="0.25">
      <c r="I8383" s="227" t="str">
        <f>MID(excPisCofins[[#This Row],[CodBarras2]],2,50)</f>
        <v/>
      </c>
    </row>
    <row r="8384" spans="9:9" x14ac:dyDescent="0.25">
      <c r="I8384" s="227" t="str">
        <f>MID(excPisCofins[[#This Row],[CodBarras2]],2,50)</f>
        <v/>
      </c>
    </row>
    <row r="8385" spans="9:9" x14ac:dyDescent="0.25">
      <c r="I8385" s="227" t="str">
        <f>MID(excPisCofins[[#This Row],[CodBarras2]],2,50)</f>
        <v/>
      </c>
    </row>
    <row r="8386" spans="9:9" x14ac:dyDescent="0.25">
      <c r="I8386" s="227" t="str">
        <f>MID(excPisCofins[[#This Row],[CodBarras2]],2,50)</f>
        <v/>
      </c>
    </row>
    <row r="8387" spans="9:9" x14ac:dyDescent="0.25">
      <c r="I8387" s="227" t="str">
        <f>MID(excPisCofins[[#This Row],[CodBarras2]],2,50)</f>
        <v/>
      </c>
    </row>
    <row r="8388" spans="9:9" x14ac:dyDescent="0.25">
      <c r="I8388" s="227" t="str">
        <f>MID(excPisCofins[[#This Row],[CodBarras2]],2,50)</f>
        <v/>
      </c>
    </row>
    <row r="8389" spans="9:9" x14ac:dyDescent="0.25">
      <c r="I8389" s="227" t="str">
        <f>MID(excPisCofins[[#This Row],[CodBarras2]],2,50)</f>
        <v/>
      </c>
    </row>
    <row r="8390" spans="9:9" x14ac:dyDescent="0.25">
      <c r="I8390" s="227" t="str">
        <f>MID(excPisCofins[[#This Row],[CodBarras2]],2,50)</f>
        <v/>
      </c>
    </row>
    <row r="8391" spans="9:9" x14ac:dyDescent="0.25">
      <c r="I8391" s="227" t="str">
        <f>MID(excPisCofins[[#This Row],[CodBarras2]],2,50)</f>
        <v/>
      </c>
    </row>
    <row r="8392" spans="9:9" x14ac:dyDescent="0.25">
      <c r="I8392" s="227" t="str">
        <f>MID(excPisCofins[[#This Row],[CodBarras2]],2,50)</f>
        <v/>
      </c>
    </row>
    <row r="8393" spans="9:9" x14ac:dyDescent="0.25">
      <c r="I8393" s="227" t="str">
        <f>MID(excPisCofins[[#This Row],[CodBarras2]],2,50)</f>
        <v/>
      </c>
    </row>
    <row r="8394" spans="9:9" x14ac:dyDescent="0.25">
      <c r="I8394" s="227" t="str">
        <f>MID(excPisCofins[[#This Row],[CodBarras2]],2,50)</f>
        <v/>
      </c>
    </row>
    <row r="8395" spans="9:9" x14ac:dyDescent="0.25">
      <c r="I8395" s="227" t="str">
        <f>MID(excPisCofins[[#This Row],[CodBarras2]],2,50)</f>
        <v/>
      </c>
    </row>
    <row r="8396" spans="9:9" x14ac:dyDescent="0.25">
      <c r="I8396" s="227" t="str">
        <f>MID(excPisCofins[[#This Row],[CodBarras2]],2,50)</f>
        <v/>
      </c>
    </row>
    <row r="8397" spans="9:9" x14ac:dyDescent="0.25">
      <c r="I8397" s="227" t="str">
        <f>MID(excPisCofins[[#This Row],[CodBarras2]],2,50)</f>
        <v/>
      </c>
    </row>
    <row r="8398" spans="9:9" x14ac:dyDescent="0.25">
      <c r="I8398" s="227" t="str">
        <f>MID(excPisCofins[[#This Row],[CodBarras2]],2,50)</f>
        <v/>
      </c>
    </row>
    <row r="8399" spans="9:9" x14ac:dyDescent="0.25">
      <c r="I8399" s="227" t="str">
        <f>MID(excPisCofins[[#This Row],[CodBarras2]],2,50)</f>
        <v/>
      </c>
    </row>
    <row r="8400" spans="9:9" x14ac:dyDescent="0.25">
      <c r="I8400" s="227" t="str">
        <f>MID(excPisCofins[[#This Row],[CodBarras2]],2,50)</f>
        <v/>
      </c>
    </row>
    <row r="8401" spans="9:9" x14ac:dyDescent="0.25">
      <c r="I8401" s="227" t="str">
        <f>MID(excPisCofins[[#This Row],[CodBarras2]],2,50)</f>
        <v/>
      </c>
    </row>
    <row r="8402" spans="9:9" x14ac:dyDescent="0.25">
      <c r="I8402" s="227" t="str">
        <f>MID(excPisCofins[[#This Row],[CodBarras2]],2,50)</f>
        <v/>
      </c>
    </row>
    <row r="8403" spans="9:9" x14ac:dyDescent="0.25">
      <c r="I8403" s="227" t="str">
        <f>MID(excPisCofins[[#This Row],[CodBarras2]],2,50)</f>
        <v/>
      </c>
    </row>
    <row r="8404" spans="9:9" x14ac:dyDescent="0.25">
      <c r="I8404" s="227" t="str">
        <f>MID(excPisCofins[[#This Row],[CodBarras2]],2,50)</f>
        <v/>
      </c>
    </row>
    <row r="8405" spans="9:9" x14ac:dyDescent="0.25">
      <c r="I8405" s="227" t="str">
        <f>MID(excPisCofins[[#This Row],[CodBarras2]],2,50)</f>
        <v/>
      </c>
    </row>
    <row r="8406" spans="9:9" x14ac:dyDescent="0.25">
      <c r="I8406" s="227" t="str">
        <f>MID(excPisCofins[[#This Row],[CodBarras2]],2,50)</f>
        <v/>
      </c>
    </row>
    <row r="8407" spans="9:9" x14ac:dyDescent="0.25">
      <c r="I8407" s="227" t="str">
        <f>MID(excPisCofins[[#This Row],[CodBarras2]],2,50)</f>
        <v/>
      </c>
    </row>
    <row r="8408" spans="9:9" x14ac:dyDescent="0.25">
      <c r="I8408" s="227" t="str">
        <f>MID(excPisCofins[[#This Row],[CodBarras2]],2,50)</f>
        <v/>
      </c>
    </row>
    <row r="8409" spans="9:9" x14ac:dyDescent="0.25">
      <c r="I8409" s="227" t="str">
        <f>MID(excPisCofins[[#This Row],[CodBarras2]],2,50)</f>
        <v/>
      </c>
    </row>
    <row r="8410" spans="9:9" x14ac:dyDescent="0.25">
      <c r="I8410" s="227" t="str">
        <f>MID(excPisCofins[[#This Row],[CodBarras2]],2,50)</f>
        <v/>
      </c>
    </row>
    <row r="8411" spans="9:9" x14ac:dyDescent="0.25">
      <c r="I8411" s="227" t="str">
        <f>MID(excPisCofins[[#This Row],[CodBarras2]],2,50)</f>
        <v/>
      </c>
    </row>
    <row r="8412" spans="9:9" x14ac:dyDescent="0.25">
      <c r="I8412" s="227" t="str">
        <f>MID(excPisCofins[[#This Row],[CodBarras2]],2,50)</f>
        <v/>
      </c>
    </row>
    <row r="8413" spans="9:9" x14ac:dyDescent="0.25">
      <c r="I8413" s="227" t="str">
        <f>MID(excPisCofins[[#This Row],[CodBarras2]],2,50)</f>
        <v/>
      </c>
    </row>
    <row r="8414" spans="9:9" x14ac:dyDescent="0.25">
      <c r="I8414" s="227" t="str">
        <f>MID(excPisCofins[[#This Row],[CodBarras2]],2,50)</f>
        <v/>
      </c>
    </row>
    <row r="8415" spans="9:9" x14ac:dyDescent="0.25">
      <c r="I8415" s="227" t="str">
        <f>MID(excPisCofins[[#This Row],[CodBarras2]],2,50)</f>
        <v/>
      </c>
    </row>
    <row r="8416" spans="9:9" x14ac:dyDescent="0.25">
      <c r="I8416" s="227" t="str">
        <f>MID(excPisCofins[[#This Row],[CodBarras2]],2,50)</f>
        <v/>
      </c>
    </row>
    <row r="8417" spans="9:9" x14ac:dyDescent="0.25">
      <c r="I8417" s="227" t="str">
        <f>MID(excPisCofins[[#This Row],[CodBarras2]],2,50)</f>
        <v/>
      </c>
    </row>
    <row r="8418" spans="9:9" x14ac:dyDescent="0.25">
      <c r="I8418" s="227" t="str">
        <f>MID(excPisCofins[[#This Row],[CodBarras2]],2,50)</f>
        <v/>
      </c>
    </row>
    <row r="8419" spans="9:9" x14ac:dyDescent="0.25">
      <c r="I8419" s="227" t="str">
        <f>MID(excPisCofins[[#This Row],[CodBarras2]],2,50)</f>
        <v/>
      </c>
    </row>
    <row r="8420" spans="9:9" x14ac:dyDescent="0.25">
      <c r="I8420" s="227" t="str">
        <f>MID(excPisCofins[[#This Row],[CodBarras2]],2,50)</f>
        <v/>
      </c>
    </row>
    <row r="8421" spans="9:9" x14ac:dyDescent="0.25">
      <c r="I8421" s="227" t="str">
        <f>MID(excPisCofins[[#This Row],[CodBarras2]],2,50)</f>
        <v/>
      </c>
    </row>
    <row r="8422" spans="9:9" x14ac:dyDescent="0.25">
      <c r="I8422" s="227" t="str">
        <f>MID(excPisCofins[[#This Row],[CodBarras2]],2,50)</f>
        <v/>
      </c>
    </row>
    <row r="8423" spans="9:9" x14ac:dyDescent="0.25">
      <c r="I8423" s="227" t="str">
        <f>MID(excPisCofins[[#This Row],[CodBarras2]],2,50)</f>
        <v/>
      </c>
    </row>
    <row r="8424" spans="9:9" x14ac:dyDescent="0.25">
      <c r="I8424" s="227" t="str">
        <f>MID(excPisCofins[[#This Row],[CodBarras2]],2,50)</f>
        <v/>
      </c>
    </row>
    <row r="8425" spans="9:9" x14ac:dyDescent="0.25">
      <c r="I8425" s="227" t="str">
        <f>MID(excPisCofins[[#This Row],[CodBarras2]],2,50)</f>
        <v/>
      </c>
    </row>
    <row r="8426" spans="9:9" x14ac:dyDescent="0.25">
      <c r="I8426" s="227" t="str">
        <f>MID(excPisCofins[[#This Row],[CodBarras2]],2,50)</f>
        <v/>
      </c>
    </row>
    <row r="8427" spans="9:9" x14ac:dyDescent="0.25">
      <c r="I8427" s="227" t="str">
        <f>MID(excPisCofins[[#This Row],[CodBarras2]],2,50)</f>
        <v/>
      </c>
    </row>
    <row r="8428" spans="9:9" x14ac:dyDescent="0.25">
      <c r="I8428" s="227" t="str">
        <f>MID(excPisCofins[[#This Row],[CodBarras2]],2,50)</f>
        <v/>
      </c>
    </row>
    <row r="8429" spans="9:9" x14ac:dyDescent="0.25">
      <c r="I8429" s="227" t="str">
        <f>MID(excPisCofins[[#This Row],[CodBarras2]],2,50)</f>
        <v/>
      </c>
    </row>
    <row r="8430" spans="9:9" x14ac:dyDescent="0.25">
      <c r="I8430" s="227" t="str">
        <f>MID(excPisCofins[[#This Row],[CodBarras2]],2,50)</f>
        <v/>
      </c>
    </row>
    <row r="8431" spans="9:9" x14ac:dyDescent="0.25">
      <c r="I8431" s="227" t="str">
        <f>MID(excPisCofins[[#This Row],[CodBarras2]],2,50)</f>
        <v/>
      </c>
    </row>
    <row r="8432" spans="9:9" x14ac:dyDescent="0.25">
      <c r="I8432" s="227" t="str">
        <f>MID(excPisCofins[[#This Row],[CodBarras2]],2,50)</f>
        <v/>
      </c>
    </row>
    <row r="8433" spans="9:9" x14ac:dyDescent="0.25">
      <c r="I8433" s="227" t="str">
        <f>MID(excPisCofins[[#This Row],[CodBarras2]],2,50)</f>
        <v/>
      </c>
    </row>
    <row r="8434" spans="9:9" x14ac:dyDescent="0.25">
      <c r="I8434" s="227" t="str">
        <f>MID(excPisCofins[[#This Row],[CodBarras2]],2,50)</f>
        <v/>
      </c>
    </row>
    <row r="8435" spans="9:9" x14ac:dyDescent="0.25">
      <c r="I8435" s="227" t="str">
        <f>MID(excPisCofins[[#This Row],[CodBarras2]],2,50)</f>
        <v/>
      </c>
    </row>
    <row r="8436" spans="9:9" x14ac:dyDescent="0.25">
      <c r="I8436" s="227" t="str">
        <f>MID(excPisCofins[[#This Row],[CodBarras2]],2,50)</f>
        <v/>
      </c>
    </row>
    <row r="8437" spans="9:9" x14ac:dyDescent="0.25">
      <c r="I8437" s="227" t="str">
        <f>MID(excPisCofins[[#This Row],[CodBarras2]],2,50)</f>
        <v/>
      </c>
    </row>
    <row r="8438" spans="9:9" x14ac:dyDescent="0.25">
      <c r="I8438" s="227" t="str">
        <f>MID(excPisCofins[[#This Row],[CodBarras2]],2,50)</f>
        <v/>
      </c>
    </row>
    <row r="8439" spans="9:9" x14ac:dyDescent="0.25">
      <c r="I8439" s="227" t="str">
        <f>MID(excPisCofins[[#This Row],[CodBarras2]],2,50)</f>
        <v/>
      </c>
    </row>
    <row r="8440" spans="9:9" x14ac:dyDescent="0.25">
      <c r="I8440" s="227" t="str">
        <f>MID(excPisCofins[[#This Row],[CodBarras2]],2,50)</f>
        <v/>
      </c>
    </row>
    <row r="8441" spans="9:9" x14ac:dyDescent="0.25">
      <c r="I8441" s="227" t="str">
        <f>MID(excPisCofins[[#This Row],[CodBarras2]],2,50)</f>
        <v/>
      </c>
    </row>
    <row r="8442" spans="9:9" x14ac:dyDescent="0.25">
      <c r="I8442" s="227" t="str">
        <f>MID(excPisCofins[[#This Row],[CodBarras2]],2,50)</f>
        <v/>
      </c>
    </row>
    <row r="8443" spans="9:9" x14ac:dyDescent="0.25">
      <c r="I8443" s="227" t="str">
        <f>MID(excPisCofins[[#This Row],[CodBarras2]],2,50)</f>
        <v/>
      </c>
    </row>
    <row r="8444" spans="9:9" x14ac:dyDescent="0.25">
      <c r="I8444" s="227" t="str">
        <f>MID(excPisCofins[[#This Row],[CodBarras2]],2,50)</f>
        <v/>
      </c>
    </row>
    <row r="8445" spans="9:9" x14ac:dyDescent="0.25">
      <c r="I8445" s="227" t="str">
        <f>MID(excPisCofins[[#This Row],[CodBarras2]],2,50)</f>
        <v/>
      </c>
    </row>
    <row r="8446" spans="9:9" x14ac:dyDescent="0.25">
      <c r="I8446" s="227" t="str">
        <f>MID(excPisCofins[[#This Row],[CodBarras2]],2,50)</f>
        <v/>
      </c>
    </row>
    <row r="8447" spans="9:9" x14ac:dyDescent="0.25">
      <c r="I8447" s="227" t="str">
        <f>MID(excPisCofins[[#This Row],[CodBarras2]],2,50)</f>
        <v/>
      </c>
    </row>
    <row r="8448" spans="9:9" x14ac:dyDescent="0.25">
      <c r="I8448" s="227" t="str">
        <f>MID(excPisCofins[[#This Row],[CodBarras2]],2,50)</f>
        <v/>
      </c>
    </row>
    <row r="8449" spans="9:9" x14ac:dyDescent="0.25">
      <c r="I8449" s="227" t="str">
        <f>MID(excPisCofins[[#This Row],[CodBarras2]],2,50)</f>
        <v/>
      </c>
    </row>
    <row r="8450" spans="9:9" x14ac:dyDescent="0.25">
      <c r="I8450" s="227" t="str">
        <f>MID(excPisCofins[[#This Row],[CodBarras2]],2,50)</f>
        <v/>
      </c>
    </row>
    <row r="8451" spans="9:9" x14ac:dyDescent="0.25">
      <c r="I8451" s="227" t="str">
        <f>MID(excPisCofins[[#This Row],[CodBarras2]],2,50)</f>
        <v/>
      </c>
    </row>
    <row r="8452" spans="9:9" x14ac:dyDescent="0.25">
      <c r="I8452" s="227" t="str">
        <f>MID(excPisCofins[[#This Row],[CodBarras2]],2,50)</f>
        <v/>
      </c>
    </row>
    <row r="8453" spans="9:9" x14ac:dyDescent="0.25">
      <c r="I8453" s="227" t="str">
        <f>MID(excPisCofins[[#This Row],[CodBarras2]],2,50)</f>
        <v/>
      </c>
    </row>
    <row r="8454" spans="9:9" x14ac:dyDescent="0.25">
      <c r="I8454" s="227" t="str">
        <f>MID(excPisCofins[[#This Row],[CodBarras2]],2,50)</f>
        <v/>
      </c>
    </row>
    <row r="8455" spans="9:9" x14ac:dyDescent="0.25">
      <c r="I8455" s="227" t="str">
        <f>MID(excPisCofins[[#This Row],[CodBarras2]],2,50)</f>
        <v/>
      </c>
    </row>
    <row r="8456" spans="9:9" x14ac:dyDescent="0.25">
      <c r="I8456" s="227" t="str">
        <f>MID(excPisCofins[[#This Row],[CodBarras2]],2,50)</f>
        <v/>
      </c>
    </row>
    <row r="8457" spans="9:9" x14ac:dyDescent="0.25">
      <c r="I8457" s="227" t="str">
        <f>MID(excPisCofins[[#This Row],[CodBarras2]],2,50)</f>
        <v/>
      </c>
    </row>
    <row r="8458" spans="9:9" x14ac:dyDescent="0.25">
      <c r="I8458" s="227" t="str">
        <f>MID(excPisCofins[[#This Row],[CodBarras2]],2,50)</f>
        <v/>
      </c>
    </row>
    <row r="8459" spans="9:9" x14ac:dyDescent="0.25">
      <c r="I8459" s="227" t="str">
        <f>MID(excPisCofins[[#This Row],[CodBarras2]],2,50)</f>
        <v/>
      </c>
    </row>
    <row r="8460" spans="9:9" x14ac:dyDescent="0.25">
      <c r="I8460" s="227" t="str">
        <f>MID(excPisCofins[[#This Row],[CodBarras2]],2,50)</f>
        <v/>
      </c>
    </row>
    <row r="8461" spans="9:9" x14ac:dyDescent="0.25">
      <c r="I8461" s="227" t="str">
        <f>MID(excPisCofins[[#This Row],[CodBarras2]],2,50)</f>
        <v/>
      </c>
    </row>
    <row r="8462" spans="9:9" x14ac:dyDescent="0.25">
      <c r="I8462" s="227" t="str">
        <f>MID(excPisCofins[[#This Row],[CodBarras2]],2,50)</f>
        <v/>
      </c>
    </row>
    <row r="8463" spans="9:9" x14ac:dyDescent="0.25">
      <c r="I8463" s="227" t="str">
        <f>MID(excPisCofins[[#This Row],[CodBarras2]],2,50)</f>
        <v/>
      </c>
    </row>
    <row r="8464" spans="9:9" x14ac:dyDescent="0.25">
      <c r="I8464" s="227" t="str">
        <f>MID(excPisCofins[[#This Row],[CodBarras2]],2,50)</f>
        <v/>
      </c>
    </row>
    <row r="8465" spans="9:9" x14ac:dyDescent="0.25">
      <c r="I8465" s="227" t="str">
        <f>MID(excPisCofins[[#This Row],[CodBarras2]],2,50)</f>
        <v/>
      </c>
    </row>
    <row r="8466" spans="9:9" x14ac:dyDescent="0.25">
      <c r="I8466" s="227" t="str">
        <f>MID(excPisCofins[[#This Row],[CodBarras2]],2,50)</f>
        <v/>
      </c>
    </row>
    <row r="8467" spans="9:9" x14ac:dyDescent="0.25">
      <c r="I8467" s="227" t="str">
        <f>MID(excPisCofins[[#This Row],[CodBarras2]],2,50)</f>
        <v/>
      </c>
    </row>
    <row r="8468" spans="9:9" x14ac:dyDescent="0.25">
      <c r="I8468" s="227" t="str">
        <f>MID(excPisCofins[[#This Row],[CodBarras2]],2,50)</f>
        <v/>
      </c>
    </row>
    <row r="8469" spans="9:9" x14ac:dyDescent="0.25">
      <c r="I8469" s="227" t="str">
        <f>MID(excPisCofins[[#This Row],[CodBarras2]],2,50)</f>
        <v/>
      </c>
    </row>
    <row r="8470" spans="9:9" x14ac:dyDescent="0.25">
      <c r="I8470" s="227" t="str">
        <f>MID(excPisCofins[[#This Row],[CodBarras2]],2,50)</f>
        <v/>
      </c>
    </row>
    <row r="8471" spans="9:9" x14ac:dyDescent="0.25">
      <c r="I8471" s="227" t="str">
        <f>MID(excPisCofins[[#This Row],[CodBarras2]],2,50)</f>
        <v/>
      </c>
    </row>
    <row r="8472" spans="9:9" x14ac:dyDescent="0.25">
      <c r="I8472" s="227" t="str">
        <f>MID(excPisCofins[[#This Row],[CodBarras2]],2,50)</f>
        <v/>
      </c>
    </row>
    <row r="8473" spans="9:9" x14ac:dyDescent="0.25">
      <c r="I8473" s="227" t="str">
        <f>MID(excPisCofins[[#This Row],[CodBarras2]],2,50)</f>
        <v/>
      </c>
    </row>
    <row r="8474" spans="9:9" x14ac:dyDescent="0.25">
      <c r="I8474" s="227" t="str">
        <f>MID(excPisCofins[[#This Row],[CodBarras2]],2,50)</f>
        <v/>
      </c>
    </row>
    <row r="8475" spans="9:9" x14ac:dyDescent="0.25">
      <c r="I8475" s="227" t="str">
        <f>MID(excPisCofins[[#This Row],[CodBarras2]],2,50)</f>
        <v/>
      </c>
    </row>
    <row r="8476" spans="9:9" x14ac:dyDescent="0.25">
      <c r="I8476" s="227" t="str">
        <f>MID(excPisCofins[[#This Row],[CodBarras2]],2,50)</f>
        <v/>
      </c>
    </row>
    <row r="8477" spans="9:9" x14ac:dyDescent="0.25">
      <c r="I8477" s="227" t="str">
        <f>MID(excPisCofins[[#This Row],[CodBarras2]],2,50)</f>
        <v/>
      </c>
    </row>
    <row r="8478" spans="9:9" x14ac:dyDescent="0.25">
      <c r="I8478" s="227" t="str">
        <f>MID(excPisCofins[[#This Row],[CodBarras2]],2,50)</f>
        <v/>
      </c>
    </row>
    <row r="8479" spans="9:9" x14ac:dyDescent="0.25">
      <c r="I8479" s="227" t="str">
        <f>MID(excPisCofins[[#This Row],[CodBarras2]],2,50)</f>
        <v/>
      </c>
    </row>
    <row r="8480" spans="9:9" x14ac:dyDescent="0.25">
      <c r="I8480" s="227" t="str">
        <f>MID(excPisCofins[[#This Row],[CodBarras2]],2,50)</f>
        <v/>
      </c>
    </row>
    <row r="8481" spans="9:9" x14ac:dyDescent="0.25">
      <c r="I8481" s="227" t="str">
        <f>MID(excPisCofins[[#This Row],[CodBarras2]],2,50)</f>
        <v/>
      </c>
    </row>
    <row r="8482" spans="9:9" x14ac:dyDescent="0.25">
      <c r="I8482" s="227" t="str">
        <f>MID(excPisCofins[[#This Row],[CodBarras2]],2,50)</f>
        <v/>
      </c>
    </row>
    <row r="8483" spans="9:9" x14ac:dyDescent="0.25">
      <c r="I8483" s="227" t="str">
        <f>MID(excPisCofins[[#This Row],[CodBarras2]],2,50)</f>
        <v/>
      </c>
    </row>
    <row r="8484" spans="9:9" x14ac:dyDescent="0.25">
      <c r="I8484" s="227" t="str">
        <f>MID(excPisCofins[[#This Row],[CodBarras2]],2,50)</f>
        <v/>
      </c>
    </row>
    <row r="8485" spans="9:9" x14ac:dyDescent="0.25">
      <c r="I8485" s="227" t="str">
        <f>MID(excPisCofins[[#This Row],[CodBarras2]],2,50)</f>
        <v/>
      </c>
    </row>
    <row r="8486" spans="9:9" x14ac:dyDescent="0.25">
      <c r="I8486" s="227" t="str">
        <f>MID(excPisCofins[[#This Row],[CodBarras2]],2,50)</f>
        <v/>
      </c>
    </row>
    <row r="8487" spans="9:9" x14ac:dyDescent="0.25">
      <c r="I8487" s="227" t="str">
        <f>MID(excPisCofins[[#This Row],[CodBarras2]],2,50)</f>
        <v/>
      </c>
    </row>
    <row r="8488" spans="9:9" x14ac:dyDescent="0.25">
      <c r="I8488" s="227" t="str">
        <f>MID(excPisCofins[[#This Row],[CodBarras2]],2,50)</f>
        <v/>
      </c>
    </row>
    <row r="8489" spans="9:9" x14ac:dyDescent="0.25">
      <c r="I8489" s="227" t="str">
        <f>MID(excPisCofins[[#This Row],[CodBarras2]],2,50)</f>
        <v/>
      </c>
    </row>
    <row r="8490" spans="9:9" x14ac:dyDescent="0.25">
      <c r="I8490" s="227" t="str">
        <f>MID(excPisCofins[[#This Row],[CodBarras2]],2,50)</f>
        <v/>
      </c>
    </row>
    <row r="8491" spans="9:9" x14ac:dyDescent="0.25">
      <c r="I8491" s="227" t="str">
        <f>MID(excPisCofins[[#This Row],[CodBarras2]],2,50)</f>
        <v/>
      </c>
    </row>
    <row r="8492" spans="9:9" x14ac:dyDescent="0.25">
      <c r="I8492" s="227" t="str">
        <f>MID(excPisCofins[[#This Row],[CodBarras2]],2,50)</f>
        <v/>
      </c>
    </row>
    <row r="8493" spans="9:9" x14ac:dyDescent="0.25">
      <c r="I8493" s="227" t="str">
        <f>MID(excPisCofins[[#This Row],[CodBarras2]],2,50)</f>
        <v/>
      </c>
    </row>
    <row r="8494" spans="9:9" x14ac:dyDescent="0.25">
      <c r="I8494" s="227" t="str">
        <f>MID(excPisCofins[[#This Row],[CodBarras2]],2,50)</f>
        <v/>
      </c>
    </row>
    <row r="8495" spans="9:9" x14ac:dyDescent="0.25">
      <c r="I8495" s="227" t="str">
        <f>MID(excPisCofins[[#This Row],[CodBarras2]],2,50)</f>
        <v/>
      </c>
    </row>
    <row r="8496" spans="9:9" x14ac:dyDescent="0.25">
      <c r="I8496" s="227" t="str">
        <f>MID(excPisCofins[[#This Row],[CodBarras2]],2,50)</f>
        <v/>
      </c>
    </row>
    <row r="8497" spans="9:9" x14ac:dyDescent="0.25">
      <c r="I8497" s="227" t="str">
        <f>MID(excPisCofins[[#This Row],[CodBarras2]],2,50)</f>
        <v/>
      </c>
    </row>
    <row r="8498" spans="9:9" x14ac:dyDescent="0.25">
      <c r="I8498" s="227" t="str">
        <f>MID(excPisCofins[[#This Row],[CodBarras2]],2,50)</f>
        <v/>
      </c>
    </row>
    <row r="8499" spans="9:9" x14ac:dyDescent="0.25">
      <c r="I8499" s="227" t="str">
        <f>MID(excPisCofins[[#This Row],[CodBarras2]],2,50)</f>
        <v/>
      </c>
    </row>
    <row r="8500" spans="9:9" x14ac:dyDescent="0.25">
      <c r="I8500" s="227" t="str">
        <f>MID(excPisCofins[[#This Row],[CodBarras2]],2,50)</f>
        <v/>
      </c>
    </row>
    <row r="8501" spans="9:9" x14ac:dyDescent="0.25">
      <c r="I8501" s="227" t="str">
        <f>MID(excPisCofins[[#This Row],[CodBarras2]],2,50)</f>
        <v/>
      </c>
    </row>
    <row r="8502" spans="9:9" x14ac:dyDescent="0.25">
      <c r="I8502" s="227" t="str">
        <f>MID(excPisCofins[[#This Row],[CodBarras2]],2,50)</f>
        <v/>
      </c>
    </row>
    <row r="8503" spans="9:9" x14ac:dyDescent="0.25">
      <c r="I8503" s="227" t="str">
        <f>MID(excPisCofins[[#This Row],[CodBarras2]],2,50)</f>
        <v/>
      </c>
    </row>
    <row r="8504" spans="9:9" x14ac:dyDescent="0.25">
      <c r="I8504" s="227" t="str">
        <f>MID(excPisCofins[[#This Row],[CodBarras2]],2,50)</f>
        <v/>
      </c>
    </row>
    <row r="8505" spans="9:9" x14ac:dyDescent="0.25">
      <c r="I8505" s="227" t="str">
        <f>MID(excPisCofins[[#This Row],[CodBarras2]],2,50)</f>
        <v/>
      </c>
    </row>
    <row r="8506" spans="9:9" x14ac:dyDescent="0.25">
      <c r="I8506" s="227" t="str">
        <f>MID(excPisCofins[[#This Row],[CodBarras2]],2,50)</f>
        <v/>
      </c>
    </row>
    <row r="8507" spans="9:9" x14ac:dyDescent="0.25">
      <c r="I8507" s="227" t="str">
        <f>MID(excPisCofins[[#This Row],[CodBarras2]],2,50)</f>
        <v/>
      </c>
    </row>
    <row r="8508" spans="9:9" x14ac:dyDescent="0.25">
      <c r="I8508" s="227" t="str">
        <f>MID(excPisCofins[[#This Row],[CodBarras2]],2,50)</f>
        <v/>
      </c>
    </row>
    <row r="8509" spans="9:9" x14ac:dyDescent="0.25">
      <c r="I8509" s="227" t="str">
        <f>MID(excPisCofins[[#This Row],[CodBarras2]],2,50)</f>
        <v/>
      </c>
    </row>
    <row r="8510" spans="9:9" x14ac:dyDescent="0.25">
      <c r="I8510" s="227" t="str">
        <f>MID(excPisCofins[[#This Row],[CodBarras2]],2,50)</f>
        <v/>
      </c>
    </row>
    <row r="8511" spans="9:9" x14ac:dyDescent="0.25">
      <c r="I8511" s="227" t="str">
        <f>MID(excPisCofins[[#This Row],[CodBarras2]],2,50)</f>
        <v/>
      </c>
    </row>
    <row r="8512" spans="9:9" x14ac:dyDescent="0.25">
      <c r="I8512" s="227" t="str">
        <f>MID(excPisCofins[[#This Row],[CodBarras2]],2,50)</f>
        <v/>
      </c>
    </row>
    <row r="8513" spans="9:9" x14ac:dyDescent="0.25">
      <c r="I8513" s="227" t="str">
        <f>MID(excPisCofins[[#This Row],[CodBarras2]],2,50)</f>
        <v/>
      </c>
    </row>
    <row r="8514" spans="9:9" x14ac:dyDescent="0.25">
      <c r="I8514" s="227" t="str">
        <f>MID(excPisCofins[[#This Row],[CodBarras2]],2,50)</f>
        <v/>
      </c>
    </row>
    <row r="8515" spans="9:9" x14ac:dyDescent="0.25">
      <c r="I8515" s="227" t="str">
        <f>MID(excPisCofins[[#This Row],[CodBarras2]],2,50)</f>
        <v/>
      </c>
    </row>
    <row r="8516" spans="9:9" x14ac:dyDescent="0.25">
      <c r="I8516" s="227" t="str">
        <f>MID(excPisCofins[[#This Row],[CodBarras2]],2,50)</f>
        <v/>
      </c>
    </row>
    <row r="8517" spans="9:9" x14ac:dyDescent="0.25">
      <c r="I8517" s="227" t="str">
        <f>MID(excPisCofins[[#This Row],[CodBarras2]],2,50)</f>
        <v/>
      </c>
    </row>
    <row r="8518" spans="9:9" x14ac:dyDescent="0.25">
      <c r="I8518" s="227" t="str">
        <f>MID(excPisCofins[[#This Row],[CodBarras2]],2,50)</f>
        <v/>
      </c>
    </row>
    <row r="8519" spans="9:9" x14ac:dyDescent="0.25">
      <c r="I8519" s="227" t="str">
        <f>MID(excPisCofins[[#This Row],[CodBarras2]],2,50)</f>
        <v/>
      </c>
    </row>
    <row r="8520" spans="9:9" x14ac:dyDescent="0.25">
      <c r="I8520" s="227" t="str">
        <f>MID(excPisCofins[[#This Row],[CodBarras2]],2,50)</f>
        <v/>
      </c>
    </row>
    <row r="8521" spans="9:9" x14ac:dyDescent="0.25">
      <c r="I8521" s="227" t="str">
        <f>MID(excPisCofins[[#This Row],[CodBarras2]],2,50)</f>
        <v/>
      </c>
    </row>
    <row r="8522" spans="9:9" x14ac:dyDescent="0.25">
      <c r="I8522" s="227" t="str">
        <f>MID(excPisCofins[[#This Row],[CodBarras2]],2,50)</f>
        <v/>
      </c>
    </row>
    <row r="8523" spans="9:9" x14ac:dyDescent="0.25">
      <c r="I8523" s="227" t="str">
        <f>MID(excPisCofins[[#This Row],[CodBarras2]],2,50)</f>
        <v/>
      </c>
    </row>
    <row r="8524" spans="9:9" x14ac:dyDescent="0.25">
      <c r="I8524" s="227" t="str">
        <f>MID(excPisCofins[[#This Row],[CodBarras2]],2,50)</f>
        <v/>
      </c>
    </row>
    <row r="8525" spans="9:9" x14ac:dyDescent="0.25">
      <c r="I8525" s="227" t="str">
        <f>MID(excPisCofins[[#This Row],[CodBarras2]],2,50)</f>
        <v/>
      </c>
    </row>
    <row r="8526" spans="9:9" x14ac:dyDescent="0.25">
      <c r="I8526" s="227" t="str">
        <f>MID(excPisCofins[[#This Row],[CodBarras2]],2,50)</f>
        <v/>
      </c>
    </row>
    <row r="8527" spans="9:9" x14ac:dyDescent="0.25">
      <c r="I8527" s="227" t="str">
        <f>MID(excPisCofins[[#This Row],[CodBarras2]],2,50)</f>
        <v/>
      </c>
    </row>
    <row r="8528" spans="9:9" x14ac:dyDescent="0.25">
      <c r="I8528" s="227" t="str">
        <f>MID(excPisCofins[[#This Row],[CodBarras2]],2,50)</f>
        <v/>
      </c>
    </row>
    <row r="8529" spans="9:9" x14ac:dyDescent="0.25">
      <c r="I8529" s="227" t="str">
        <f>MID(excPisCofins[[#This Row],[CodBarras2]],2,50)</f>
        <v/>
      </c>
    </row>
    <row r="8530" spans="9:9" x14ac:dyDescent="0.25">
      <c r="I8530" s="227" t="str">
        <f>MID(excPisCofins[[#This Row],[CodBarras2]],2,50)</f>
        <v/>
      </c>
    </row>
    <row r="8531" spans="9:9" x14ac:dyDescent="0.25">
      <c r="I8531" s="227" t="str">
        <f>MID(excPisCofins[[#This Row],[CodBarras2]],2,50)</f>
        <v/>
      </c>
    </row>
    <row r="8532" spans="9:9" x14ac:dyDescent="0.25">
      <c r="I8532" s="227" t="str">
        <f>MID(excPisCofins[[#This Row],[CodBarras2]],2,50)</f>
        <v/>
      </c>
    </row>
    <row r="8533" spans="9:9" x14ac:dyDescent="0.25">
      <c r="I8533" s="227" t="str">
        <f>MID(excPisCofins[[#This Row],[CodBarras2]],2,50)</f>
        <v/>
      </c>
    </row>
    <row r="8534" spans="9:9" x14ac:dyDescent="0.25">
      <c r="I8534" s="227" t="str">
        <f>MID(excPisCofins[[#This Row],[CodBarras2]],2,50)</f>
        <v/>
      </c>
    </row>
    <row r="8535" spans="9:9" x14ac:dyDescent="0.25">
      <c r="I8535" s="227" t="str">
        <f>MID(excPisCofins[[#This Row],[CodBarras2]],2,50)</f>
        <v/>
      </c>
    </row>
    <row r="8536" spans="9:9" x14ac:dyDescent="0.25">
      <c r="I8536" s="227" t="str">
        <f>MID(excPisCofins[[#This Row],[CodBarras2]],2,50)</f>
        <v/>
      </c>
    </row>
    <row r="8537" spans="9:9" x14ac:dyDescent="0.25">
      <c r="I8537" s="227" t="str">
        <f>MID(excPisCofins[[#This Row],[CodBarras2]],2,50)</f>
        <v/>
      </c>
    </row>
    <row r="8538" spans="9:9" x14ac:dyDescent="0.25">
      <c r="I8538" s="227" t="str">
        <f>MID(excPisCofins[[#This Row],[CodBarras2]],2,50)</f>
        <v/>
      </c>
    </row>
    <row r="8539" spans="9:9" x14ac:dyDescent="0.25">
      <c r="I8539" s="227" t="str">
        <f>MID(excPisCofins[[#This Row],[CodBarras2]],2,50)</f>
        <v/>
      </c>
    </row>
    <row r="8540" spans="9:9" x14ac:dyDescent="0.25">
      <c r="I8540" s="227" t="str">
        <f>MID(excPisCofins[[#This Row],[CodBarras2]],2,50)</f>
        <v/>
      </c>
    </row>
    <row r="8541" spans="9:9" x14ac:dyDescent="0.25">
      <c r="I8541" s="227" t="str">
        <f>MID(excPisCofins[[#This Row],[CodBarras2]],2,50)</f>
        <v/>
      </c>
    </row>
    <row r="8542" spans="9:9" x14ac:dyDescent="0.25">
      <c r="I8542" s="227" t="str">
        <f>MID(excPisCofins[[#This Row],[CodBarras2]],2,50)</f>
        <v/>
      </c>
    </row>
    <row r="8543" spans="9:9" x14ac:dyDescent="0.25">
      <c r="I8543" s="227" t="str">
        <f>MID(excPisCofins[[#This Row],[CodBarras2]],2,50)</f>
        <v/>
      </c>
    </row>
    <row r="8544" spans="9:9" x14ac:dyDescent="0.25">
      <c r="I8544" s="227" t="str">
        <f>MID(excPisCofins[[#This Row],[CodBarras2]],2,50)</f>
        <v/>
      </c>
    </row>
    <row r="8545" spans="9:9" x14ac:dyDescent="0.25">
      <c r="I8545" s="227" t="str">
        <f>MID(excPisCofins[[#This Row],[CodBarras2]],2,50)</f>
        <v/>
      </c>
    </row>
    <row r="8546" spans="9:9" x14ac:dyDescent="0.25">
      <c r="I8546" s="227" t="str">
        <f>MID(excPisCofins[[#This Row],[CodBarras2]],2,50)</f>
        <v/>
      </c>
    </row>
    <row r="8547" spans="9:9" x14ac:dyDescent="0.25">
      <c r="I8547" s="227" t="str">
        <f>MID(excPisCofins[[#This Row],[CodBarras2]],2,50)</f>
        <v/>
      </c>
    </row>
    <row r="8548" spans="9:9" x14ac:dyDescent="0.25">
      <c r="I8548" s="227" t="str">
        <f>MID(excPisCofins[[#This Row],[CodBarras2]],2,50)</f>
        <v/>
      </c>
    </row>
    <row r="8549" spans="9:9" x14ac:dyDescent="0.25">
      <c r="I8549" s="227" t="str">
        <f>MID(excPisCofins[[#This Row],[CodBarras2]],2,50)</f>
        <v/>
      </c>
    </row>
    <row r="8550" spans="9:9" x14ac:dyDescent="0.25">
      <c r="I8550" s="227" t="str">
        <f>MID(excPisCofins[[#This Row],[CodBarras2]],2,50)</f>
        <v/>
      </c>
    </row>
    <row r="8551" spans="9:9" x14ac:dyDescent="0.25">
      <c r="I8551" s="227" t="str">
        <f>MID(excPisCofins[[#This Row],[CodBarras2]],2,50)</f>
        <v/>
      </c>
    </row>
    <row r="8552" spans="9:9" x14ac:dyDescent="0.25">
      <c r="I8552" s="227" t="str">
        <f>MID(excPisCofins[[#This Row],[CodBarras2]],2,50)</f>
        <v/>
      </c>
    </row>
    <row r="8553" spans="9:9" x14ac:dyDescent="0.25">
      <c r="I8553" s="227" t="str">
        <f>MID(excPisCofins[[#This Row],[CodBarras2]],2,50)</f>
        <v/>
      </c>
    </row>
    <row r="8554" spans="9:9" x14ac:dyDescent="0.25">
      <c r="I8554" s="227" t="str">
        <f>MID(excPisCofins[[#This Row],[CodBarras2]],2,50)</f>
        <v/>
      </c>
    </row>
    <row r="8555" spans="9:9" x14ac:dyDescent="0.25">
      <c r="I8555" s="227" t="str">
        <f>MID(excPisCofins[[#This Row],[CodBarras2]],2,50)</f>
        <v/>
      </c>
    </row>
    <row r="8556" spans="9:9" x14ac:dyDescent="0.25">
      <c r="I8556" s="227" t="str">
        <f>MID(excPisCofins[[#This Row],[CodBarras2]],2,50)</f>
        <v/>
      </c>
    </row>
    <row r="8557" spans="9:9" x14ac:dyDescent="0.25">
      <c r="I8557" s="227" t="str">
        <f>MID(excPisCofins[[#This Row],[CodBarras2]],2,50)</f>
        <v/>
      </c>
    </row>
    <row r="8558" spans="9:9" x14ac:dyDescent="0.25">
      <c r="I8558" s="227" t="str">
        <f>MID(excPisCofins[[#This Row],[CodBarras2]],2,50)</f>
        <v/>
      </c>
    </row>
    <row r="8559" spans="9:9" x14ac:dyDescent="0.25">
      <c r="I8559" s="227" t="str">
        <f>MID(excPisCofins[[#This Row],[CodBarras2]],2,50)</f>
        <v/>
      </c>
    </row>
    <row r="8560" spans="9:9" x14ac:dyDescent="0.25">
      <c r="I8560" s="227" t="str">
        <f>MID(excPisCofins[[#This Row],[CodBarras2]],2,50)</f>
        <v/>
      </c>
    </row>
    <row r="8561" spans="9:9" x14ac:dyDescent="0.25">
      <c r="I8561" s="227" t="str">
        <f>MID(excPisCofins[[#This Row],[CodBarras2]],2,50)</f>
        <v/>
      </c>
    </row>
    <row r="8562" spans="9:9" x14ac:dyDescent="0.25">
      <c r="I8562" s="227" t="str">
        <f>MID(excPisCofins[[#This Row],[CodBarras2]],2,50)</f>
        <v/>
      </c>
    </row>
    <row r="8563" spans="9:9" x14ac:dyDescent="0.25">
      <c r="I8563" s="227" t="str">
        <f>MID(excPisCofins[[#This Row],[CodBarras2]],2,50)</f>
        <v/>
      </c>
    </row>
    <row r="8564" spans="9:9" x14ac:dyDescent="0.25">
      <c r="I8564" s="227" t="str">
        <f>MID(excPisCofins[[#This Row],[CodBarras2]],2,50)</f>
        <v/>
      </c>
    </row>
    <row r="8565" spans="9:9" x14ac:dyDescent="0.25">
      <c r="I8565" s="227" t="str">
        <f>MID(excPisCofins[[#This Row],[CodBarras2]],2,50)</f>
        <v/>
      </c>
    </row>
    <row r="8566" spans="9:9" x14ac:dyDescent="0.25">
      <c r="I8566" s="227" t="str">
        <f>MID(excPisCofins[[#This Row],[CodBarras2]],2,50)</f>
        <v/>
      </c>
    </row>
    <row r="8567" spans="9:9" x14ac:dyDescent="0.25">
      <c r="I8567" s="227" t="str">
        <f>MID(excPisCofins[[#This Row],[CodBarras2]],2,50)</f>
        <v/>
      </c>
    </row>
    <row r="8568" spans="9:9" x14ac:dyDescent="0.25">
      <c r="I8568" s="227" t="str">
        <f>MID(excPisCofins[[#This Row],[CodBarras2]],2,50)</f>
        <v/>
      </c>
    </row>
    <row r="8569" spans="9:9" x14ac:dyDescent="0.25">
      <c r="I8569" s="227" t="str">
        <f>MID(excPisCofins[[#This Row],[CodBarras2]],2,50)</f>
        <v/>
      </c>
    </row>
    <row r="8570" spans="9:9" x14ac:dyDescent="0.25">
      <c r="I8570" s="227" t="str">
        <f>MID(excPisCofins[[#This Row],[CodBarras2]],2,50)</f>
        <v/>
      </c>
    </row>
    <row r="8571" spans="9:9" x14ac:dyDescent="0.25">
      <c r="I8571" s="227" t="str">
        <f>MID(excPisCofins[[#This Row],[CodBarras2]],2,50)</f>
        <v/>
      </c>
    </row>
    <row r="8572" spans="9:9" x14ac:dyDescent="0.25">
      <c r="I8572" s="227" t="str">
        <f>MID(excPisCofins[[#This Row],[CodBarras2]],2,50)</f>
        <v/>
      </c>
    </row>
    <row r="8573" spans="9:9" x14ac:dyDescent="0.25">
      <c r="I8573" s="227" t="str">
        <f>MID(excPisCofins[[#This Row],[CodBarras2]],2,50)</f>
        <v/>
      </c>
    </row>
    <row r="8574" spans="9:9" x14ac:dyDescent="0.25">
      <c r="I8574" s="227" t="str">
        <f>MID(excPisCofins[[#This Row],[CodBarras2]],2,50)</f>
        <v/>
      </c>
    </row>
    <row r="8575" spans="9:9" x14ac:dyDescent="0.25">
      <c r="I8575" s="227" t="str">
        <f>MID(excPisCofins[[#This Row],[CodBarras2]],2,50)</f>
        <v/>
      </c>
    </row>
    <row r="8576" spans="9:9" x14ac:dyDescent="0.25">
      <c r="I8576" s="227" t="str">
        <f>MID(excPisCofins[[#This Row],[CodBarras2]],2,50)</f>
        <v/>
      </c>
    </row>
    <row r="8577" spans="9:9" x14ac:dyDescent="0.25">
      <c r="I8577" s="227" t="str">
        <f>MID(excPisCofins[[#This Row],[CodBarras2]],2,50)</f>
        <v/>
      </c>
    </row>
    <row r="8578" spans="9:9" x14ac:dyDescent="0.25">
      <c r="I8578" s="227" t="str">
        <f>MID(excPisCofins[[#This Row],[CodBarras2]],2,50)</f>
        <v/>
      </c>
    </row>
    <row r="8579" spans="9:9" x14ac:dyDescent="0.25">
      <c r="I8579" s="227" t="str">
        <f>MID(excPisCofins[[#This Row],[CodBarras2]],2,50)</f>
        <v/>
      </c>
    </row>
    <row r="8580" spans="9:9" x14ac:dyDescent="0.25">
      <c r="I8580" s="227" t="str">
        <f>MID(excPisCofins[[#This Row],[CodBarras2]],2,50)</f>
        <v/>
      </c>
    </row>
    <row r="8581" spans="9:9" x14ac:dyDescent="0.25">
      <c r="I8581" s="227" t="str">
        <f>MID(excPisCofins[[#This Row],[CodBarras2]],2,50)</f>
        <v/>
      </c>
    </row>
    <row r="8582" spans="9:9" x14ac:dyDescent="0.25">
      <c r="I8582" s="227" t="str">
        <f>MID(excPisCofins[[#This Row],[CodBarras2]],2,50)</f>
        <v/>
      </c>
    </row>
    <row r="8583" spans="9:9" x14ac:dyDescent="0.25">
      <c r="I8583" s="227" t="str">
        <f>MID(excPisCofins[[#This Row],[CodBarras2]],2,50)</f>
        <v/>
      </c>
    </row>
    <row r="8584" spans="9:9" x14ac:dyDescent="0.25">
      <c r="I8584" s="227" t="str">
        <f>MID(excPisCofins[[#This Row],[CodBarras2]],2,50)</f>
        <v/>
      </c>
    </row>
    <row r="8585" spans="9:9" x14ac:dyDescent="0.25">
      <c r="I8585" s="227" t="str">
        <f>MID(excPisCofins[[#This Row],[CodBarras2]],2,50)</f>
        <v/>
      </c>
    </row>
    <row r="8586" spans="9:9" x14ac:dyDescent="0.25">
      <c r="I8586" s="227" t="str">
        <f>MID(excPisCofins[[#This Row],[CodBarras2]],2,50)</f>
        <v/>
      </c>
    </row>
    <row r="8587" spans="9:9" x14ac:dyDescent="0.25">
      <c r="I8587" s="227" t="str">
        <f>MID(excPisCofins[[#This Row],[CodBarras2]],2,50)</f>
        <v/>
      </c>
    </row>
    <row r="8588" spans="9:9" x14ac:dyDescent="0.25">
      <c r="I8588" s="227" t="str">
        <f>MID(excPisCofins[[#This Row],[CodBarras2]],2,50)</f>
        <v/>
      </c>
    </row>
    <row r="8589" spans="9:9" x14ac:dyDescent="0.25">
      <c r="I8589" s="227" t="str">
        <f>MID(excPisCofins[[#This Row],[CodBarras2]],2,50)</f>
        <v/>
      </c>
    </row>
    <row r="8590" spans="9:9" x14ac:dyDescent="0.25">
      <c r="I8590" s="227" t="str">
        <f>MID(excPisCofins[[#This Row],[CodBarras2]],2,50)</f>
        <v/>
      </c>
    </row>
    <row r="8591" spans="9:9" x14ac:dyDescent="0.25">
      <c r="I8591" s="227" t="str">
        <f>MID(excPisCofins[[#This Row],[CodBarras2]],2,50)</f>
        <v/>
      </c>
    </row>
    <row r="8592" spans="9:9" x14ac:dyDescent="0.25">
      <c r="I8592" s="227" t="str">
        <f>MID(excPisCofins[[#This Row],[CodBarras2]],2,50)</f>
        <v/>
      </c>
    </row>
    <row r="8593" spans="9:9" x14ac:dyDescent="0.25">
      <c r="I8593" s="227" t="str">
        <f>MID(excPisCofins[[#This Row],[CodBarras2]],2,50)</f>
        <v/>
      </c>
    </row>
    <row r="8594" spans="9:9" x14ac:dyDescent="0.25">
      <c r="I8594" s="227" t="str">
        <f>MID(excPisCofins[[#This Row],[CodBarras2]],2,50)</f>
        <v/>
      </c>
    </row>
    <row r="8595" spans="9:9" x14ac:dyDescent="0.25">
      <c r="I8595" s="227" t="str">
        <f>MID(excPisCofins[[#This Row],[CodBarras2]],2,50)</f>
        <v/>
      </c>
    </row>
    <row r="8596" spans="9:9" x14ac:dyDescent="0.25">
      <c r="I8596" s="227" t="str">
        <f>MID(excPisCofins[[#This Row],[CodBarras2]],2,50)</f>
        <v/>
      </c>
    </row>
    <row r="8597" spans="9:9" x14ac:dyDescent="0.25">
      <c r="I8597" s="227" t="str">
        <f>MID(excPisCofins[[#This Row],[CodBarras2]],2,50)</f>
        <v/>
      </c>
    </row>
    <row r="8598" spans="9:9" x14ac:dyDescent="0.25">
      <c r="I8598" s="227" t="str">
        <f>MID(excPisCofins[[#This Row],[CodBarras2]],2,50)</f>
        <v/>
      </c>
    </row>
    <row r="8599" spans="9:9" x14ac:dyDescent="0.25">
      <c r="I8599" s="227" t="str">
        <f>MID(excPisCofins[[#This Row],[CodBarras2]],2,50)</f>
        <v/>
      </c>
    </row>
    <row r="8600" spans="9:9" x14ac:dyDescent="0.25">
      <c r="I8600" s="227" t="str">
        <f>MID(excPisCofins[[#This Row],[CodBarras2]],2,50)</f>
        <v/>
      </c>
    </row>
    <row r="8601" spans="9:9" x14ac:dyDescent="0.25">
      <c r="I8601" s="227" t="str">
        <f>MID(excPisCofins[[#This Row],[CodBarras2]],2,50)</f>
        <v/>
      </c>
    </row>
    <row r="8602" spans="9:9" x14ac:dyDescent="0.25">
      <c r="I8602" s="227" t="str">
        <f>MID(excPisCofins[[#This Row],[CodBarras2]],2,50)</f>
        <v/>
      </c>
    </row>
    <row r="8603" spans="9:9" x14ac:dyDescent="0.25">
      <c r="I8603" s="227" t="str">
        <f>MID(excPisCofins[[#This Row],[CodBarras2]],2,50)</f>
        <v/>
      </c>
    </row>
    <row r="8604" spans="9:9" x14ac:dyDescent="0.25">
      <c r="I8604" s="227" t="str">
        <f>MID(excPisCofins[[#This Row],[CodBarras2]],2,50)</f>
        <v/>
      </c>
    </row>
    <row r="8605" spans="9:9" x14ac:dyDescent="0.25">
      <c r="I8605" s="227" t="str">
        <f>MID(excPisCofins[[#This Row],[CodBarras2]],2,50)</f>
        <v/>
      </c>
    </row>
    <row r="8606" spans="9:9" x14ac:dyDescent="0.25">
      <c r="I8606" s="227" t="str">
        <f>MID(excPisCofins[[#This Row],[CodBarras2]],2,50)</f>
        <v/>
      </c>
    </row>
    <row r="8607" spans="9:9" x14ac:dyDescent="0.25">
      <c r="I8607" s="227" t="str">
        <f>MID(excPisCofins[[#This Row],[CodBarras2]],2,50)</f>
        <v/>
      </c>
    </row>
    <row r="8608" spans="9:9" x14ac:dyDescent="0.25">
      <c r="I8608" s="227" t="str">
        <f>MID(excPisCofins[[#This Row],[CodBarras2]],2,50)</f>
        <v/>
      </c>
    </row>
    <row r="8609" spans="9:9" x14ac:dyDescent="0.25">
      <c r="I8609" s="227" t="str">
        <f>MID(excPisCofins[[#This Row],[CodBarras2]],2,50)</f>
        <v/>
      </c>
    </row>
    <row r="8610" spans="9:9" x14ac:dyDescent="0.25">
      <c r="I8610" s="227" t="str">
        <f>MID(excPisCofins[[#This Row],[CodBarras2]],2,50)</f>
        <v/>
      </c>
    </row>
    <row r="8611" spans="9:9" x14ac:dyDescent="0.25">
      <c r="I8611" s="227" t="str">
        <f>MID(excPisCofins[[#This Row],[CodBarras2]],2,50)</f>
        <v/>
      </c>
    </row>
    <row r="8612" spans="9:9" x14ac:dyDescent="0.25">
      <c r="I8612" s="227" t="str">
        <f>MID(excPisCofins[[#This Row],[CodBarras2]],2,50)</f>
        <v/>
      </c>
    </row>
    <row r="8613" spans="9:9" x14ac:dyDescent="0.25">
      <c r="I8613" s="227" t="str">
        <f>MID(excPisCofins[[#This Row],[CodBarras2]],2,50)</f>
        <v/>
      </c>
    </row>
    <row r="8614" spans="9:9" x14ac:dyDescent="0.25">
      <c r="I8614" s="227" t="str">
        <f>MID(excPisCofins[[#This Row],[CodBarras2]],2,50)</f>
        <v/>
      </c>
    </row>
    <row r="8615" spans="9:9" x14ac:dyDescent="0.25">
      <c r="I8615" s="227" t="str">
        <f>MID(excPisCofins[[#This Row],[CodBarras2]],2,50)</f>
        <v/>
      </c>
    </row>
    <row r="8616" spans="9:9" x14ac:dyDescent="0.25">
      <c r="I8616" s="227" t="str">
        <f>MID(excPisCofins[[#This Row],[CodBarras2]],2,50)</f>
        <v/>
      </c>
    </row>
    <row r="8617" spans="9:9" x14ac:dyDescent="0.25">
      <c r="I8617" s="227" t="str">
        <f>MID(excPisCofins[[#This Row],[CodBarras2]],2,50)</f>
        <v/>
      </c>
    </row>
    <row r="8618" spans="9:9" x14ac:dyDescent="0.25">
      <c r="I8618" s="227" t="str">
        <f>MID(excPisCofins[[#This Row],[CodBarras2]],2,50)</f>
        <v/>
      </c>
    </row>
    <row r="8619" spans="9:9" x14ac:dyDescent="0.25">
      <c r="I8619" s="227" t="str">
        <f>MID(excPisCofins[[#This Row],[CodBarras2]],2,50)</f>
        <v/>
      </c>
    </row>
    <row r="8620" spans="9:9" x14ac:dyDescent="0.25">
      <c r="I8620" s="227" t="str">
        <f>MID(excPisCofins[[#This Row],[CodBarras2]],2,50)</f>
        <v/>
      </c>
    </row>
    <row r="8621" spans="9:9" x14ac:dyDescent="0.25">
      <c r="I8621" s="227" t="str">
        <f>MID(excPisCofins[[#This Row],[CodBarras2]],2,50)</f>
        <v/>
      </c>
    </row>
    <row r="8622" spans="9:9" x14ac:dyDescent="0.25">
      <c r="I8622" s="227" t="str">
        <f>MID(excPisCofins[[#This Row],[CodBarras2]],2,50)</f>
        <v/>
      </c>
    </row>
    <row r="8623" spans="9:9" x14ac:dyDescent="0.25">
      <c r="I8623" s="227" t="str">
        <f>MID(excPisCofins[[#This Row],[CodBarras2]],2,50)</f>
        <v/>
      </c>
    </row>
    <row r="8624" spans="9:9" x14ac:dyDescent="0.25">
      <c r="I8624" s="227" t="str">
        <f>MID(excPisCofins[[#This Row],[CodBarras2]],2,50)</f>
        <v/>
      </c>
    </row>
    <row r="8625" spans="9:9" x14ac:dyDescent="0.25">
      <c r="I8625" s="227" t="str">
        <f>MID(excPisCofins[[#This Row],[CodBarras2]],2,50)</f>
        <v/>
      </c>
    </row>
    <row r="8626" spans="9:9" x14ac:dyDescent="0.25">
      <c r="I8626" s="227" t="str">
        <f>MID(excPisCofins[[#This Row],[CodBarras2]],2,50)</f>
        <v/>
      </c>
    </row>
    <row r="8627" spans="9:9" x14ac:dyDescent="0.25">
      <c r="I8627" s="227" t="str">
        <f>MID(excPisCofins[[#This Row],[CodBarras2]],2,50)</f>
        <v/>
      </c>
    </row>
    <row r="8628" spans="9:9" x14ac:dyDescent="0.25">
      <c r="I8628" s="227" t="str">
        <f>MID(excPisCofins[[#This Row],[CodBarras2]],2,50)</f>
        <v/>
      </c>
    </row>
    <row r="8629" spans="9:9" x14ac:dyDescent="0.25">
      <c r="I8629" s="227" t="str">
        <f>MID(excPisCofins[[#This Row],[CodBarras2]],2,50)</f>
        <v/>
      </c>
    </row>
    <row r="8630" spans="9:9" x14ac:dyDescent="0.25">
      <c r="I8630" s="227" t="str">
        <f>MID(excPisCofins[[#This Row],[CodBarras2]],2,50)</f>
        <v/>
      </c>
    </row>
    <row r="8631" spans="9:9" x14ac:dyDescent="0.25">
      <c r="I8631" s="227" t="str">
        <f>MID(excPisCofins[[#This Row],[CodBarras2]],2,50)</f>
        <v/>
      </c>
    </row>
    <row r="8632" spans="9:9" x14ac:dyDescent="0.25">
      <c r="I8632" s="227" t="str">
        <f>MID(excPisCofins[[#This Row],[CodBarras2]],2,50)</f>
        <v/>
      </c>
    </row>
    <row r="8633" spans="9:9" x14ac:dyDescent="0.25">
      <c r="I8633" s="227" t="str">
        <f>MID(excPisCofins[[#This Row],[CodBarras2]],2,50)</f>
        <v/>
      </c>
    </row>
    <row r="8634" spans="9:9" x14ac:dyDescent="0.25">
      <c r="I8634" s="227" t="str">
        <f>MID(excPisCofins[[#This Row],[CodBarras2]],2,50)</f>
        <v/>
      </c>
    </row>
    <row r="8635" spans="9:9" x14ac:dyDescent="0.25">
      <c r="I8635" s="227" t="str">
        <f>MID(excPisCofins[[#This Row],[CodBarras2]],2,50)</f>
        <v/>
      </c>
    </row>
    <row r="8636" spans="9:9" x14ac:dyDescent="0.25">
      <c r="I8636" s="227" t="str">
        <f>MID(excPisCofins[[#This Row],[CodBarras2]],2,50)</f>
        <v/>
      </c>
    </row>
    <row r="8637" spans="9:9" x14ac:dyDescent="0.25">
      <c r="I8637" s="227" t="str">
        <f>MID(excPisCofins[[#This Row],[CodBarras2]],2,50)</f>
        <v/>
      </c>
    </row>
    <row r="8638" spans="9:9" x14ac:dyDescent="0.25">
      <c r="I8638" s="227" t="str">
        <f>MID(excPisCofins[[#This Row],[CodBarras2]],2,50)</f>
        <v/>
      </c>
    </row>
    <row r="8639" spans="9:9" x14ac:dyDescent="0.25">
      <c r="I8639" s="227" t="str">
        <f>MID(excPisCofins[[#This Row],[CodBarras2]],2,50)</f>
        <v/>
      </c>
    </row>
    <row r="8640" spans="9:9" x14ac:dyDescent="0.25">
      <c r="I8640" s="227" t="str">
        <f>MID(excPisCofins[[#This Row],[CodBarras2]],2,50)</f>
        <v/>
      </c>
    </row>
    <row r="8641" spans="9:9" x14ac:dyDescent="0.25">
      <c r="I8641" s="227" t="str">
        <f>MID(excPisCofins[[#This Row],[CodBarras2]],2,50)</f>
        <v/>
      </c>
    </row>
    <row r="8642" spans="9:9" x14ac:dyDescent="0.25">
      <c r="I8642" s="227" t="str">
        <f>MID(excPisCofins[[#This Row],[CodBarras2]],2,50)</f>
        <v/>
      </c>
    </row>
    <row r="8643" spans="9:9" x14ac:dyDescent="0.25">
      <c r="I8643" s="227" t="str">
        <f>MID(excPisCofins[[#This Row],[CodBarras2]],2,50)</f>
        <v/>
      </c>
    </row>
    <row r="8644" spans="9:9" x14ac:dyDescent="0.25">
      <c r="I8644" s="227" t="str">
        <f>MID(excPisCofins[[#This Row],[CodBarras2]],2,50)</f>
        <v/>
      </c>
    </row>
    <row r="8645" spans="9:9" x14ac:dyDescent="0.25">
      <c r="I8645" s="227" t="str">
        <f>MID(excPisCofins[[#This Row],[CodBarras2]],2,50)</f>
        <v/>
      </c>
    </row>
    <row r="8646" spans="9:9" x14ac:dyDescent="0.25">
      <c r="I8646" s="227" t="str">
        <f>MID(excPisCofins[[#This Row],[CodBarras2]],2,50)</f>
        <v/>
      </c>
    </row>
    <row r="8647" spans="9:9" x14ac:dyDescent="0.25">
      <c r="I8647" s="227" t="str">
        <f>MID(excPisCofins[[#This Row],[CodBarras2]],2,50)</f>
        <v/>
      </c>
    </row>
    <row r="8648" spans="9:9" x14ac:dyDescent="0.25">
      <c r="I8648" s="227" t="str">
        <f>MID(excPisCofins[[#This Row],[CodBarras2]],2,50)</f>
        <v/>
      </c>
    </row>
    <row r="8649" spans="9:9" x14ac:dyDescent="0.25">
      <c r="I8649" s="227" t="str">
        <f>MID(excPisCofins[[#This Row],[CodBarras2]],2,50)</f>
        <v/>
      </c>
    </row>
    <row r="8650" spans="9:9" x14ac:dyDescent="0.25">
      <c r="I8650" s="227" t="str">
        <f>MID(excPisCofins[[#This Row],[CodBarras2]],2,50)</f>
        <v/>
      </c>
    </row>
    <row r="8651" spans="9:9" x14ac:dyDescent="0.25">
      <c r="I8651" s="227" t="str">
        <f>MID(excPisCofins[[#This Row],[CodBarras2]],2,50)</f>
        <v/>
      </c>
    </row>
    <row r="8652" spans="9:9" x14ac:dyDescent="0.25">
      <c r="I8652" s="227" t="str">
        <f>MID(excPisCofins[[#This Row],[CodBarras2]],2,50)</f>
        <v/>
      </c>
    </row>
    <row r="8653" spans="9:9" x14ac:dyDescent="0.25">
      <c r="I8653" s="227" t="str">
        <f>MID(excPisCofins[[#This Row],[CodBarras2]],2,50)</f>
        <v/>
      </c>
    </row>
    <row r="8654" spans="9:9" x14ac:dyDescent="0.25">
      <c r="I8654" s="227" t="str">
        <f>MID(excPisCofins[[#This Row],[CodBarras2]],2,50)</f>
        <v/>
      </c>
    </row>
    <row r="8655" spans="9:9" x14ac:dyDescent="0.25">
      <c r="I8655" s="227" t="str">
        <f>MID(excPisCofins[[#This Row],[CodBarras2]],2,50)</f>
        <v/>
      </c>
    </row>
    <row r="8656" spans="9:9" x14ac:dyDescent="0.25">
      <c r="I8656" s="227" t="str">
        <f>MID(excPisCofins[[#This Row],[CodBarras2]],2,50)</f>
        <v/>
      </c>
    </row>
    <row r="8657" spans="9:9" x14ac:dyDescent="0.25">
      <c r="I8657" s="227" t="str">
        <f>MID(excPisCofins[[#This Row],[CodBarras2]],2,50)</f>
        <v/>
      </c>
    </row>
    <row r="8658" spans="9:9" x14ac:dyDescent="0.25">
      <c r="I8658" s="227" t="str">
        <f>MID(excPisCofins[[#This Row],[CodBarras2]],2,50)</f>
        <v/>
      </c>
    </row>
    <row r="8659" spans="9:9" x14ac:dyDescent="0.25">
      <c r="I8659" s="227" t="str">
        <f>MID(excPisCofins[[#This Row],[CodBarras2]],2,50)</f>
        <v/>
      </c>
    </row>
    <row r="8660" spans="9:9" x14ac:dyDescent="0.25">
      <c r="I8660" s="227" t="str">
        <f>MID(excPisCofins[[#This Row],[CodBarras2]],2,50)</f>
        <v/>
      </c>
    </row>
    <row r="8661" spans="9:9" x14ac:dyDescent="0.25">
      <c r="I8661" s="227" t="str">
        <f>MID(excPisCofins[[#This Row],[CodBarras2]],2,50)</f>
        <v/>
      </c>
    </row>
    <row r="8662" spans="9:9" x14ac:dyDescent="0.25">
      <c r="I8662" s="227" t="str">
        <f>MID(excPisCofins[[#This Row],[CodBarras2]],2,50)</f>
        <v/>
      </c>
    </row>
    <row r="8663" spans="9:9" x14ac:dyDescent="0.25">
      <c r="I8663" s="227" t="str">
        <f>MID(excPisCofins[[#This Row],[CodBarras2]],2,50)</f>
        <v/>
      </c>
    </row>
    <row r="8664" spans="9:9" x14ac:dyDescent="0.25">
      <c r="I8664" s="227" t="str">
        <f>MID(excPisCofins[[#This Row],[CodBarras2]],2,50)</f>
        <v/>
      </c>
    </row>
    <row r="8665" spans="9:9" x14ac:dyDescent="0.25">
      <c r="I8665" s="227" t="str">
        <f>MID(excPisCofins[[#This Row],[CodBarras2]],2,50)</f>
        <v/>
      </c>
    </row>
    <row r="8666" spans="9:9" x14ac:dyDescent="0.25">
      <c r="I8666" s="227" t="str">
        <f>MID(excPisCofins[[#This Row],[CodBarras2]],2,50)</f>
        <v/>
      </c>
    </row>
    <row r="8667" spans="9:9" x14ac:dyDescent="0.25">
      <c r="I8667" s="227" t="str">
        <f>MID(excPisCofins[[#This Row],[CodBarras2]],2,50)</f>
        <v/>
      </c>
    </row>
    <row r="8668" spans="9:9" x14ac:dyDescent="0.25">
      <c r="I8668" s="227" t="str">
        <f>MID(excPisCofins[[#This Row],[CodBarras2]],2,50)</f>
        <v/>
      </c>
    </row>
    <row r="8669" spans="9:9" x14ac:dyDescent="0.25">
      <c r="I8669" s="227" t="str">
        <f>MID(excPisCofins[[#This Row],[CodBarras2]],2,50)</f>
        <v/>
      </c>
    </row>
    <row r="8670" spans="9:9" x14ac:dyDescent="0.25">
      <c r="I8670" s="227" t="str">
        <f>MID(excPisCofins[[#This Row],[CodBarras2]],2,50)</f>
        <v/>
      </c>
    </row>
    <row r="8671" spans="9:9" x14ac:dyDescent="0.25">
      <c r="I8671" s="227" t="str">
        <f>MID(excPisCofins[[#This Row],[CodBarras2]],2,50)</f>
        <v/>
      </c>
    </row>
    <row r="8672" spans="9:9" x14ac:dyDescent="0.25">
      <c r="I8672" s="227" t="str">
        <f>MID(excPisCofins[[#This Row],[CodBarras2]],2,50)</f>
        <v/>
      </c>
    </row>
    <row r="8673" spans="9:9" x14ac:dyDescent="0.25">
      <c r="I8673" s="227" t="str">
        <f>MID(excPisCofins[[#This Row],[CodBarras2]],2,50)</f>
        <v/>
      </c>
    </row>
    <row r="8674" spans="9:9" x14ac:dyDescent="0.25">
      <c r="I8674" s="227" t="str">
        <f>MID(excPisCofins[[#This Row],[CodBarras2]],2,50)</f>
        <v/>
      </c>
    </row>
    <row r="8675" spans="9:9" x14ac:dyDescent="0.25">
      <c r="I8675" s="227" t="str">
        <f>MID(excPisCofins[[#This Row],[CodBarras2]],2,50)</f>
        <v/>
      </c>
    </row>
    <row r="8676" spans="9:9" x14ac:dyDescent="0.25">
      <c r="I8676" s="227" t="str">
        <f>MID(excPisCofins[[#This Row],[CodBarras2]],2,50)</f>
        <v/>
      </c>
    </row>
    <row r="8677" spans="9:9" x14ac:dyDescent="0.25">
      <c r="I8677" s="227" t="str">
        <f>MID(excPisCofins[[#This Row],[CodBarras2]],2,50)</f>
        <v/>
      </c>
    </row>
    <row r="8678" spans="9:9" x14ac:dyDescent="0.25">
      <c r="I8678" s="227" t="str">
        <f>MID(excPisCofins[[#This Row],[CodBarras2]],2,50)</f>
        <v/>
      </c>
    </row>
    <row r="8679" spans="9:9" x14ac:dyDescent="0.25">
      <c r="I8679" s="227" t="str">
        <f>MID(excPisCofins[[#This Row],[CodBarras2]],2,50)</f>
        <v/>
      </c>
    </row>
    <row r="8680" spans="9:9" x14ac:dyDescent="0.25">
      <c r="I8680" s="227" t="str">
        <f>MID(excPisCofins[[#This Row],[CodBarras2]],2,50)</f>
        <v/>
      </c>
    </row>
    <row r="8681" spans="9:9" x14ac:dyDescent="0.25">
      <c r="I8681" s="227" t="str">
        <f>MID(excPisCofins[[#This Row],[CodBarras2]],2,50)</f>
        <v/>
      </c>
    </row>
    <row r="8682" spans="9:9" x14ac:dyDescent="0.25">
      <c r="I8682" s="227" t="str">
        <f>MID(excPisCofins[[#This Row],[CodBarras2]],2,50)</f>
        <v/>
      </c>
    </row>
    <row r="8683" spans="9:9" x14ac:dyDescent="0.25">
      <c r="I8683" s="227" t="str">
        <f>MID(excPisCofins[[#This Row],[CodBarras2]],2,50)</f>
        <v/>
      </c>
    </row>
    <row r="8684" spans="9:9" x14ac:dyDescent="0.25">
      <c r="I8684" s="227" t="str">
        <f>MID(excPisCofins[[#This Row],[CodBarras2]],2,50)</f>
        <v/>
      </c>
    </row>
    <row r="8685" spans="9:9" x14ac:dyDescent="0.25">
      <c r="I8685" s="227" t="str">
        <f>MID(excPisCofins[[#This Row],[CodBarras2]],2,50)</f>
        <v/>
      </c>
    </row>
    <row r="8686" spans="9:9" x14ac:dyDescent="0.25">
      <c r="I8686" s="227" t="str">
        <f>MID(excPisCofins[[#This Row],[CodBarras2]],2,50)</f>
        <v/>
      </c>
    </row>
    <row r="8687" spans="9:9" x14ac:dyDescent="0.25">
      <c r="I8687" s="227" t="str">
        <f>MID(excPisCofins[[#This Row],[CodBarras2]],2,50)</f>
        <v/>
      </c>
    </row>
    <row r="8688" spans="9:9" x14ac:dyDescent="0.25">
      <c r="I8688" s="227" t="str">
        <f>MID(excPisCofins[[#This Row],[CodBarras2]],2,50)</f>
        <v/>
      </c>
    </row>
    <row r="8689" spans="9:9" x14ac:dyDescent="0.25">
      <c r="I8689" s="227" t="str">
        <f>MID(excPisCofins[[#This Row],[CodBarras2]],2,50)</f>
        <v/>
      </c>
    </row>
    <row r="8690" spans="9:9" x14ac:dyDescent="0.25">
      <c r="I8690" s="227" t="str">
        <f>MID(excPisCofins[[#This Row],[CodBarras2]],2,50)</f>
        <v/>
      </c>
    </row>
    <row r="8691" spans="9:9" x14ac:dyDescent="0.25">
      <c r="I8691" s="227" t="str">
        <f>MID(excPisCofins[[#This Row],[CodBarras2]],2,50)</f>
        <v/>
      </c>
    </row>
    <row r="8692" spans="9:9" x14ac:dyDescent="0.25">
      <c r="I8692" s="227" t="str">
        <f>MID(excPisCofins[[#This Row],[CodBarras2]],2,50)</f>
        <v/>
      </c>
    </row>
    <row r="8693" spans="9:9" x14ac:dyDescent="0.25">
      <c r="I8693" s="227" t="str">
        <f>MID(excPisCofins[[#This Row],[CodBarras2]],2,50)</f>
        <v/>
      </c>
    </row>
    <row r="8694" spans="9:9" x14ac:dyDescent="0.25">
      <c r="I8694" s="227" t="str">
        <f>MID(excPisCofins[[#This Row],[CodBarras2]],2,50)</f>
        <v/>
      </c>
    </row>
    <row r="8695" spans="9:9" x14ac:dyDescent="0.25">
      <c r="I8695" s="227" t="str">
        <f>MID(excPisCofins[[#This Row],[CodBarras2]],2,50)</f>
        <v/>
      </c>
    </row>
    <row r="8696" spans="9:9" x14ac:dyDescent="0.25">
      <c r="I8696" s="227" t="str">
        <f>MID(excPisCofins[[#This Row],[CodBarras2]],2,50)</f>
        <v/>
      </c>
    </row>
    <row r="8697" spans="9:9" x14ac:dyDescent="0.25">
      <c r="I8697" s="227" t="str">
        <f>MID(excPisCofins[[#This Row],[CodBarras2]],2,50)</f>
        <v/>
      </c>
    </row>
    <row r="8698" spans="9:9" x14ac:dyDescent="0.25">
      <c r="I8698" s="227" t="str">
        <f>MID(excPisCofins[[#This Row],[CodBarras2]],2,50)</f>
        <v/>
      </c>
    </row>
    <row r="8699" spans="9:9" x14ac:dyDescent="0.25">
      <c r="I8699" s="227" t="str">
        <f>MID(excPisCofins[[#This Row],[CodBarras2]],2,50)</f>
        <v/>
      </c>
    </row>
    <row r="8700" spans="9:9" x14ac:dyDescent="0.25">
      <c r="I8700" s="227" t="str">
        <f>MID(excPisCofins[[#This Row],[CodBarras2]],2,50)</f>
        <v/>
      </c>
    </row>
    <row r="8701" spans="9:9" x14ac:dyDescent="0.25">
      <c r="I8701" s="227" t="str">
        <f>MID(excPisCofins[[#This Row],[CodBarras2]],2,50)</f>
        <v/>
      </c>
    </row>
    <row r="8702" spans="9:9" x14ac:dyDescent="0.25">
      <c r="I8702" s="227" t="str">
        <f>MID(excPisCofins[[#This Row],[CodBarras2]],2,50)</f>
        <v/>
      </c>
    </row>
    <row r="8703" spans="9:9" x14ac:dyDescent="0.25">
      <c r="I8703" s="227" t="str">
        <f>MID(excPisCofins[[#This Row],[CodBarras2]],2,50)</f>
        <v/>
      </c>
    </row>
    <row r="8704" spans="9:9" x14ac:dyDescent="0.25">
      <c r="I8704" s="227" t="str">
        <f>MID(excPisCofins[[#This Row],[CodBarras2]],2,50)</f>
        <v/>
      </c>
    </row>
    <row r="8705" spans="9:9" x14ac:dyDescent="0.25">
      <c r="I8705" s="227" t="str">
        <f>MID(excPisCofins[[#This Row],[CodBarras2]],2,50)</f>
        <v/>
      </c>
    </row>
    <row r="8706" spans="9:9" x14ac:dyDescent="0.25">
      <c r="I8706" s="227" t="str">
        <f>MID(excPisCofins[[#This Row],[CodBarras2]],2,50)</f>
        <v/>
      </c>
    </row>
    <row r="8707" spans="9:9" x14ac:dyDescent="0.25">
      <c r="I8707" s="227" t="str">
        <f>MID(excPisCofins[[#This Row],[CodBarras2]],2,50)</f>
        <v/>
      </c>
    </row>
    <row r="8708" spans="9:9" x14ac:dyDescent="0.25">
      <c r="I8708" s="227" t="str">
        <f>MID(excPisCofins[[#This Row],[CodBarras2]],2,50)</f>
        <v/>
      </c>
    </row>
    <row r="8709" spans="9:9" x14ac:dyDescent="0.25">
      <c r="I8709" s="227" t="str">
        <f>MID(excPisCofins[[#This Row],[CodBarras2]],2,50)</f>
        <v/>
      </c>
    </row>
    <row r="8710" spans="9:9" x14ac:dyDescent="0.25">
      <c r="I8710" s="227" t="str">
        <f>MID(excPisCofins[[#This Row],[CodBarras2]],2,50)</f>
        <v/>
      </c>
    </row>
    <row r="8711" spans="9:9" x14ac:dyDescent="0.25">
      <c r="I8711" s="227" t="str">
        <f>MID(excPisCofins[[#This Row],[CodBarras2]],2,50)</f>
        <v/>
      </c>
    </row>
    <row r="8712" spans="9:9" x14ac:dyDescent="0.25">
      <c r="I8712" s="227" t="str">
        <f>MID(excPisCofins[[#This Row],[CodBarras2]],2,50)</f>
        <v/>
      </c>
    </row>
    <row r="8713" spans="9:9" x14ac:dyDescent="0.25">
      <c r="I8713" s="227" t="str">
        <f>MID(excPisCofins[[#This Row],[CodBarras2]],2,50)</f>
        <v/>
      </c>
    </row>
    <row r="8714" spans="9:9" x14ac:dyDescent="0.25">
      <c r="I8714" s="227" t="str">
        <f>MID(excPisCofins[[#This Row],[CodBarras2]],2,50)</f>
        <v/>
      </c>
    </row>
    <row r="8715" spans="9:9" x14ac:dyDescent="0.25">
      <c r="I8715" s="227" t="str">
        <f>MID(excPisCofins[[#This Row],[CodBarras2]],2,50)</f>
        <v/>
      </c>
    </row>
    <row r="8716" spans="9:9" x14ac:dyDescent="0.25">
      <c r="I8716" s="227" t="str">
        <f>MID(excPisCofins[[#This Row],[CodBarras2]],2,50)</f>
        <v/>
      </c>
    </row>
    <row r="8717" spans="9:9" x14ac:dyDescent="0.25">
      <c r="I8717" s="227" t="str">
        <f>MID(excPisCofins[[#This Row],[CodBarras2]],2,50)</f>
        <v/>
      </c>
    </row>
    <row r="8718" spans="9:9" x14ac:dyDescent="0.25">
      <c r="I8718" s="227" t="str">
        <f>MID(excPisCofins[[#This Row],[CodBarras2]],2,50)</f>
        <v/>
      </c>
    </row>
    <row r="8719" spans="9:9" x14ac:dyDescent="0.25">
      <c r="I8719" s="227" t="str">
        <f>MID(excPisCofins[[#This Row],[CodBarras2]],2,50)</f>
        <v/>
      </c>
    </row>
    <row r="8720" spans="9:9" x14ac:dyDescent="0.25">
      <c r="I8720" s="227" t="str">
        <f>MID(excPisCofins[[#This Row],[CodBarras2]],2,50)</f>
        <v/>
      </c>
    </row>
    <row r="8721" spans="9:9" x14ac:dyDescent="0.25">
      <c r="I8721" s="227" t="str">
        <f>MID(excPisCofins[[#This Row],[CodBarras2]],2,50)</f>
        <v/>
      </c>
    </row>
    <row r="8722" spans="9:9" x14ac:dyDescent="0.25">
      <c r="I8722" s="227" t="str">
        <f>MID(excPisCofins[[#This Row],[CodBarras2]],2,50)</f>
        <v/>
      </c>
    </row>
    <row r="8723" spans="9:9" x14ac:dyDescent="0.25">
      <c r="I8723" s="227" t="str">
        <f>MID(excPisCofins[[#This Row],[CodBarras2]],2,50)</f>
        <v/>
      </c>
    </row>
    <row r="8724" spans="9:9" x14ac:dyDescent="0.25">
      <c r="I8724" s="227" t="str">
        <f>MID(excPisCofins[[#This Row],[CodBarras2]],2,50)</f>
        <v/>
      </c>
    </row>
    <row r="8725" spans="9:9" x14ac:dyDescent="0.25">
      <c r="I8725" s="227" t="str">
        <f>MID(excPisCofins[[#This Row],[CodBarras2]],2,50)</f>
        <v/>
      </c>
    </row>
    <row r="8726" spans="9:9" x14ac:dyDescent="0.25">
      <c r="I8726" s="227" t="str">
        <f>MID(excPisCofins[[#This Row],[CodBarras2]],2,50)</f>
        <v/>
      </c>
    </row>
    <row r="8727" spans="9:9" x14ac:dyDescent="0.25">
      <c r="I8727" s="227" t="str">
        <f>MID(excPisCofins[[#This Row],[CodBarras2]],2,50)</f>
        <v/>
      </c>
    </row>
    <row r="8728" spans="9:9" x14ac:dyDescent="0.25">
      <c r="I8728" s="227" t="str">
        <f>MID(excPisCofins[[#This Row],[CodBarras2]],2,50)</f>
        <v/>
      </c>
    </row>
    <row r="8729" spans="9:9" x14ac:dyDescent="0.25">
      <c r="I8729" s="227" t="str">
        <f>MID(excPisCofins[[#This Row],[CodBarras2]],2,50)</f>
        <v/>
      </c>
    </row>
    <row r="8730" spans="9:9" x14ac:dyDescent="0.25">
      <c r="I8730" s="227" t="str">
        <f>MID(excPisCofins[[#This Row],[CodBarras2]],2,50)</f>
        <v/>
      </c>
    </row>
    <row r="8731" spans="9:9" x14ac:dyDescent="0.25">
      <c r="I8731" s="227" t="str">
        <f>MID(excPisCofins[[#This Row],[CodBarras2]],2,50)</f>
        <v/>
      </c>
    </row>
    <row r="8732" spans="9:9" x14ac:dyDescent="0.25">
      <c r="I8732" s="227" t="str">
        <f>MID(excPisCofins[[#This Row],[CodBarras2]],2,50)</f>
        <v/>
      </c>
    </row>
    <row r="8733" spans="9:9" x14ac:dyDescent="0.25">
      <c r="I8733" s="227" t="str">
        <f>MID(excPisCofins[[#This Row],[CodBarras2]],2,50)</f>
        <v/>
      </c>
    </row>
    <row r="8734" spans="9:9" x14ac:dyDescent="0.25">
      <c r="I8734" s="227" t="str">
        <f>MID(excPisCofins[[#This Row],[CodBarras2]],2,50)</f>
        <v/>
      </c>
    </row>
    <row r="8735" spans="9:9" x14ac:dyDescent="0.25">
      <c r="I8735" s="227" t="str">
        <f>MID(excPisCofins[[#This Row],[CodBarras2]],2,50)</f>
        <v/>
      </c>
    </row>
    <row r="8736" spans="9:9" x14ac:dyDescent="0.25">
      <c r="I8736" s="227" t="str">
        <f>MID(excPisCofins[[#This Row],[CodBarras2]],2,50)</f>
        <v/>
      </c>
    </row>
    <row r="8737" spans="9:9" x14ac:dyDescent="0.25">
      <c r="I8737" s="227" t="str">
        <f>MID(excPisCofins[[#This Row],[CodBarras2]],2,50)</f>
        <v/>
      </c>
    </row>
    <row r="8738" spans="9:9" x14ac:dyDescent="0.25">
      <c r="I8738" s="227" t="str">
        <f>MID(excPisCofins[[#This Row],[CodBarras2]],2,50)</f>
        <v/>
      </c>
    </row>
    <row r="8739" spans="9:9" x14ac:dyDescent="0.25">
      <c r="I8739" s="227" t="str">
        <f>MID(excPisCofins[[#This Row],[CodBarras2]],2,50)</f>
        <v/>
      </c>
    </row>
    <row r="8740" spans="9:9" x14ac:dyDescent="0.25">
      <c r="I8740" s="227" t="str">
        <f>MID(excPisCofins[[#This Row],[CodBarras2]],2,50)</f>
        <v/>
      </c>
    </row>
    <row r="8741" spans="9:9" x14ac:dyDescent="0.25">
      <c r="I8741" s="227" t="str">
        <f>MID(excPisCofins[[#This Row],[CodBarras2]],2,50)</f>
        <v/>
      </c>
    </row>
    <row r="8742" spans="9:9" x14ac:dyDescent="0.25">
      <c r="I8742" s="227" t="str">
        <f>MID(excPisCofins[[#This Row],[CodBarras2]],2,50)</f>
        <v/>
      </c>
    </row>
    <row r="8743" spans="9:9" x14ac:dyDescent="0.25">
      <c r="I8743" s="227" t="str">
        <f>MID(excPisCofins[[#This Row],[CodBarras2]],2,50)</f>
        <v/>
      </c>
    </row>
    <row r="8744" spans="9:9" x14ac:dyDescent="0.25">
      <c r="I8744" s="227" t="str">
        <f>MID(excPisCofins[[#This Row],[CodBarras2]],2,50)</f>
        <v/>
      </c>
    </row>
    <row r="8745" spans="9:9" x14ac:dyDescent="0.25">
      <c r="I8745" s="227" t="str">
        <f>MID(excPisCofins[[#This Row],[CodBarras2]],2,50)</f>
        <v/>
      </c>
    </row>
    <row r="8746" spans="9:9" x14ac:dyDescent="0.25">
      <c r="I8746" s="227" t="str">
        <f>MID(excPisCofins[[#This Row],[CodBarras2]],2,50)</f>
        <v/>
      </c>
    </row>
    <row r="8747" spans="9:9" x14ac:dyDescent="0.25">
      <c r="I8747" s="227" t="str">
        <f>MID(excPisCofins[[#This Row],[CodBarras2]],2,50)</f>
        <v/>
      </c>
    </row>
    <row r="8748" spans="9:9" x14ac:dyDescent="0.25">
      <c r="I8748" s="227" t="str">
        <f>MID(excPisCofins[[#This Row],[CodBarras2]],2,50)</f>
        <v/>
      </c>
    </row>
    <row r="8749" spans="9:9" x14ac:dyDescent="0.25">
      <c r="I8749" s="227" t="str">
        <f>MID(excPisCofins[[#This Row],[CodBarras2]],2,50)</f>
        <v/>
      </c>
    </row>
    <row r="8750" spans="9:9" x14ac:dyDescent="0.25">
      <c r="I8750" s="227" t="str">
        <f>MID(excPisCofins[[#This Row],[CodBarras2]],2,50)</f>
        <v/>
      </c>
    </row>
    <row r="8751" spans="9:9" x14ac:dyDescent="0.25">
      <c r="I8751" s="227" t="str">
        <f>MID(excPisCofins[[#This Row],[CodBarras2]],2,50)</f>
        <v/>
      </c>
    </row>
    <row r="8752" spans="9:9" x14ac:dyDescent="0.25">
      <c r="I8752" s="227" t="str">
        <f>MID(excPisCofins[[#This Row],[CodBarras2]],2,50)</f>
        <v/>
      </c>
    </row>
    <row r="8753" spans="9:9" x14ac:dyDescent="0.25">
      <c r="I8753" s="227" t="str">
        <f>MID(excPisCofins[[#This Row],[CodBarras2]],2,50)</f>
        <v/>
      </c>
    </row>
    <row r="8754" spans="9:9" x14ac:dyDescent="0.25">
      <c r="I8754" s="227" t="str">
        <f>MID(excPisCofins[[#This Row],[CodBarras2]],2,50)</f>
        <v/>
      </c>
    </row>
    <row r="8755" spans="9:9" x14ac:dyDescent="0.25">
      <c r="I8755" s="227" t="str">
        <f>MID(excPisCofins[[#This Row],[CodBarras2]],2,50)</f>
        <v/>
      </c>
    </row>
    <row r="8756" spans="9:9" x14ac:dyDescent="0.25">
      <c r="I8756" s="227" t="str">
        <f>MID(excPisCofins[[#This Row],[CodBarras2]],2,50)</f>
        <v/>
      </c>
    </row>
    <row r="8757" spans="9:9" x14ac:dyDescent="0.25">
      <c r="I8757" s="227" t="str">
        <f>MID(excPisCofins[[#This Row],[CodBarras2]],2,50)</f>
        <v/>
      </c>
    </row>
    <row r="8758" spans="9:9" x14ac:dyDescent="0.25">
      <c r="I8758" s="227" t="str">
        <f>MID(excPisCofins[[#This Row],[CodBarras2]],2,50)</f>
        <v/>
      </c>
    </row>
    <row r="8759" spans="9:9" x14ac:dyDescent="0.25">
      <c r="I8759" s="227" t="str">
        <f>MID(excPisCofins[[#This Row],[CodBarras2]],2,50)</f>
        <v/>
      </c>
    </row>
    <row r="8760" spans="9:9" x14ac:dyDescent="0.25">
      <c r="I8760" s="227" t="str">
        <f>MID(excPisCofins[[#This Row],[CodBarras2]],2,50)</f>
        <v/>
      </c>
    </row>
    <row r="8761" spans="9:9" x14ac:dyDescent="0.25">
      <c r="I8761" s="227" t="str">
        <f>MID(excPisCofins[[#This Row],[CodBarras2]],2,50)</f>
        <v/>
      </c>
    </row>
    <row r="8762" spans="9:9" x14ac:dyDescent="0.25">
      <c r="I8762" s="227" t="str">
        <f>MID(excPisCofins[[#This Row],[CodBarras2]],2,50)</f>
        <v/>
      </c>
    </row>
    <row r="8763" spans="9:9" x14ac:dyDescent="0.25">
      <c r="I8763" s="227" t="str">
        <f>MID(excPisCofins[[#This Row],[CodBarras2]],2,50)</f>
        <v/>
      </c>
    </row>
    <row r="8764" spans="9:9" x14ac:dyDescent="0.25">
      <c r="I8764" s="227" t="str">
        <f>MID(excPisCofins[[#This Row],[CodBarras2]],2,50)</f>
        <v/>
      </c>
    </row>
    <row r="8765" spans="9:9" x14ac:dyDescent="0.25">
      <c r="I8765" s="227" t="str">
        <f>MID(excPisCofins[[#This Row],[CodBarras2]],2,50)</f>
        <v/>
      </c>
    </row>
    <row r="8766" spans="9:9" x14ac:dyDescent="0.25">
      <c r="I8766" s="227" t="str">
        <f>MID(excPisCofins[[#This Row],[CodBarras2]],2,50)</f>
        <v/>
      </c>
    </row>
    <row r="8767" spans="9:9" x14ac:dyDescent="0.25">
      <c r="I8767" s="227" t="str">
        <f>MID(excPisCofins[[#This Row],[CodBarras2]],2,50)</f>
        <v/>
      </c>
    </row>
    <row r="8768" spans="9:9" x14ac:dyDescent="0.25">
      <c r="I8768" s="227" t="str">
        <f>MID(excPisCofins[[#This Row],[CodBarras2]],2,50)</f>
        <v/>
      </c>
    </row>
    <row r="8769" spans="9:9" x14ac:dyDescent="0.25">
      <c r="I8769" s="227" t="str">
        <f>MID(excPisCofins[[#This Row],[CodBarras2]],2,50)</f>
        <v/>
      </c>
    </row>
    <row r="8770" spans="9:9" x14ac:dyDescent="0.25">
      <c r="I8770" s="227" t="str">
        <f>MID(excPisCofins[[#This Row],[CodBarras2]],2,50)</f>
        <v/>
      </c>
    </row>
    <row r="8771" spans="9:9" x14ac:dyDescent="0.25">
      <c r="I8771" s="227" t="str">
        <f>MID(excPisCofins[[#This Row],[CodBarras2]],2,50)</f>
        <v/>
      </c>
    </row>
    <row r="8772" spans="9:9" x14ac:dyDescent="0.25">
      <c r="I8772" s="227" t="str">
        <f>MID(excPisCofins[[#This Row],[CodBarras2]],2,50)</f>
        <v/>
      </c>
    </row>
    <row r="8773" spans="9:9" x14ac:dyDescent="0.25">
      <c r="I8773" s="227" t="str">
        <f>MID(excPisCofins[[#This Row],[CodBarras2]],2,50)</f>
        <v/>
      </c>
    </row>
    <row r="8774" spans="9:9" x14ac:dyDescent="0.25">
      <c r="I8774" s="227" t="str">
        <f>MID(excPisCofins[[#This Row],[CodBarras2]],2,50)</f>
        <v/>
      </c>
    </row>
    <row r="8775" spans="9:9" x14ac:dyDescent="0.25">
      <c r="I8775" s="227" t="str">
        <f>MID(excPisCofins[[#This Row],[CodBarras2]],2,50)</f>
        <v/>
      </c>
    </row>
    <row r="8776" spans="9:9" x14ac:dyDescent="0.25">
      <c r="I8776" s="227" t="str">
        <f>MID(excPisCofins[[#This Row],[CodBarras2]],2,50)</f>
        <v/>
      </c>
    </row>
    <row r="8777" spans="9:9" x14ac:dyDescent="0.25">
      <c r="I8777" s="227" t="str">
        <f>MID(excPisCofins[[#This Row],[CodBarras2]],2,50)</f>
        <v/>
      </c>
    </row>
    <row r="8778" spans="9:9" x14ac:dyDescent="0.25">
      <c r="I8778" s="227" t="str">
        <f>MID(excPisCofins[[#This Row],[CodBarras2]],2,50)</f>
        <v/>
      </c>
    </row>
    <row r="8779" spans="9:9" x14ac:dyDescent="0.25">
      <c r="I8779" s="227" t="str">
        <f>MID(excPisCofins[[#This Row],[CodBarras2]],2,50)</f>
        <v/>
      </c>
    </row>
    <row r="8780" spans="9:9" x14ac:dyDescent="0.25">
      <c r="I8780" s="227" t="str">
        <f>MID(excPisCofins[[#This Row],[CodBarras2]],2,50)</f>
        <v/>
      </c>
    </row>
    <row r="8781" spans="9:9" x14ac:dyDescent="0.25">
      <c r="I8781" s="227" t="str">
        <f>MID(excPisCofins[[#This Row],[CodBarras2]],2,50)</f>
        <v/>
      </c>
    </row>
    <row r="8782" spans="9:9" x14ac:dyDescent="0.25">
      <c r="I8782" s="227" t="str">
        <f>MID(excPisCofins[[#This Row],[CodBarras2]],2,50)</f>
        <v/>
      </c>
    </row>
    <row r="8783" spans="9:9" x14ac:dyDescent="0.25">
      <c r="I8783" s="227" t="str">
        <f>MID(excPisCofins[[#This Row],[CodBarras2]],2,50)</f>
        <v/>
      </c>
    </row>
    <row r="8784" spans="9:9" x14ac:dyDescent="0.25">
      <c r="I8784" s="227" t="str">
        <f>MID(excPisCofins[[#This Row],[CodBarras2]],2,50)</f>
        <v/>
      </c>
    </row>
    <row r="8785" spans="9:9" x14ac:dyDescent="0.25">
      <c r="I8785" s="227" t="str">
        <f>MID(excPisCofins[[#This Row],[CodBarras2]],2,50)</f>
        <v/>
      </c>
    </row>
    <row r="8786" spans="9:9" x14ac:dyDescent="0.25">
      <c r="I8786" s="227" t="str">
        <f>MID(excPisCofins[[#This Row],[CodBarras2]],2,50)</f>
        <v/>
      </c>
    </row>
    <row r="8787" spans="9:9" x14ac:dyDescent="0.25">
      <c r="I8787" s="227" t="str">
        <f>MID(excPisCofins[[#This Row],[CodBarras2]],2,50)</f>
        <v/>
      </c>
    </row>
    <row r="8788" spans="9:9" x14ac:dyDescent="0.25">
      <c r="I8788" s="227" t="str">
        <f>MID(excPisCofins[[#This Row],[CodBarras2]],2,50)</f>
        <v/>
      </c>
    </row>
    <row r="8789" spans="9:9" x14ac:dyDescent="0.25">
      <c r="I8789" s="227" t="str">
        <f>MID(excPisCofins[[#This Row],[CodBarras2]],2,50)</f>
        <v/>
      </c>
    </row>
    <row r="8790" spans="9:9" x14ac:dyDescent="0.25">
      <c r="I8790" s="227" t="str">
        <f>MID(excPisCofins[[#This Row],[CodBarras2]],2,50)</f>
        <v/>
      </c>
    </row>
    <row r="8791" spans="9:9" x14ac:dyDescent="0.25">
      <c r="I8791" s="227" t="str">
        <f>MID(excPisCofins[[#This Row],[CodBarras2]],2,50)</f>
        <v/>
      </c>
    </row>
    <row r="8792" spans="9:9" x14ac:dyDescent="0.25">
      <c r="I8792" s="227" t="str">
        <f>MID(excPisCofins[[#This Row],[CodBarras2]],2,50)</f>
        <v/>
      </c>
    </row>
    <row r="8793" spans="9:9" x14ac:dyDescent="0.25">
      <c r="I8793" s="227" t="str">
        <f>MID(excPisCofins[[#This Row],[CodBarras2]],2,50)</f>
        <v/>
      </c>
    </row>
    <row r="8794" spans="9:9" x14ac:dyDescent="0.25">
      <c r="I8794" s="227" t="str">
        <f>MID(excPisCofins[[#This Row],[CodBarras2]],2,50)</f>
        <v/>
      </c>
    </row>
    <row r="8795" spans="9:9" x14ac:dyDescent="0.25">
      <c r="I8795" s="227" t="str">
        <f>MID(excPisCofins[[#This Row],[CodBarras2]],2,50)</f>
        <v/>
      </c>
    </row>
    <row r="8796" spans="9:9" x14ac:dyDescent="0.25">
      <c r="I8796" s="227" t="str">
        <f>MID(excPisCofins[[#This Row],[CodBarras2]],2,50)</f>
        <v/>
      </c>
    </row>
    <row r="8797" spans="9:9" x14ac:dyDescent="0.25">
      <c r="I8797" s="227" t="str">
        <f>MID(excPisCofins[[#This Row],[CodBarras2]],2,50)</f>
        <v/>
      </c>
    </row>
    <row r="8798" spans="9:9" x14ac:dyDescent="0.25">
      <c r="I8798" s="227" t="str">
        <f>MID(excPisCofins[[#This Row],[CodBarras2]],2,50)</f>
        <v/>
      </c>
    </row>
    <row r="8799" spans="9:9" x14ac:dyDescent="0.25">
      <c r="I8799" s="227" t="str">
        <f>MID(excPisCofins[[#This Row],[CodBarras2]],2,50)</f>
        <v/>
      </c>
    </row>
    <row r="8800" spans="9:9" x14ac:dyDescent="0.25">
      <c r="I8800" s="227" t="str">
        <f>MID(excPisCofins[[#This Row],[CodBarras2]],2,50)</f>
        <v/>
      </c>
    </row>
    <row r="8801" spans="9:9" x14ac:dyDescent="0.25">
      <c r="I8801" s="227" t="str">
        <f>MID(excPisCofins[[#This Row],[CodBarras2]],2,50)</f>
        <v/>
      </c>
    </row>
    <row r="8802" spans="9:9" x14ac:dyDescent="0.25">
      <c r="I8802" s="227" t="str">
        <f>MID(excPisCofins[[#This Row],[CodBarras2]],2,50)</f>
        <v/>
      </c>
    </row>
    <row r="8803" spans="9:9" x14ac:dyDescent="0.25">
      <c r="I8803" s="227" t="str">
        <f>MID(excPisCofins[[#This Row],[CodBarras2]],2,50)</f>
        <v/>
      </c>
    </row>
    <row r="8804" spans="9:9" x14ac:dyDescent="0.25">
      <c r="I8804" s="227" t="str">
        <f>MID(excPisCofins[[#This Row],[CodBarras2]],2,50)</f>
        <v/>
      </c>
    </row>
    <row r="8805" spans="9:9" x14ac:dyDescent="0.25">
      <c r="I8805" s="227" t="str">
        <f>MID(excPisCofins[[#This Row],[CodBarras2]],2,50)</f>
        <v/>
      </c>
    </row>
    <row r="8806" spans="9:9" x14ac:dyDescent="0.25">
      <c r="I8806" s="227" t="str">
        <f>MID(excPisCofins[[#This Row],[CodBarras2]],2,50)</f>
        <v/>
      </c>
    </row>
    <row r="8807" spans="9:9" x14ac:dyDescent="0.25">
      <c r="I8807" s="227" t="str">
        <f>MID(excPisCofins[[#This Row],[CodBarras2]],2,50)</f>
        <v/>
      </c>
    </row>
    <row r="8808" spans="9:9" x14ac:dyDescent="0.25">
      <c r="I8808" s="227" t="str">
        <f>MID(excPisCofins[[#This Row],[CodBarras2]],2,50)</f>
        <v/>
      </c>
    </row>
    <row r="8809" spans="9:9" x14ac:dyDescent="0.25">
      <c r="I8809" s="227" t="str">
        <f>MID(excPisCofins[[#This Row],[CodBarras2]],2,50)</f>
        <v/>
      </c>
    </row>
    <row r="8810" spans="9:9" x14ac:dyDescent="0.25">
      <c r="I8810" s="227" t="str">
        <f>MID(excPisCofins[[#This Row],[CodBarras2]],2,50)</f>
        <v/>
      </c>
    </row>
    <row r="8811" spans="9:9" x14ac:dyDescent="0.25">
      <c r="I8811" s="227" t="str">
        <f>MID(excPisCofins[[#This Row],[CodBarras2]],2,50)</f>
        <v/>
      </c>
    </row>
    <row r="8812" spans="9:9" x14ac:dyDescent="0.25">
      <c r="I8812" s="227" t="str">
        <f>MID(excPisCofins[[#This Row],[CodBarras2]],2,50)</f>
        <v/>
      </c>
    </row>
    <row r="8813" spans="9:9" x14ac:dyDescent="0.25">
      <c r="I8813" s="227" t="str">
        <f>MID(excPisCofins[[#This Row],[CodBarras2]],2,50)</f>
        <v/>
      </c>
    </row>
    <row r="8814" spans="9:9" x14ac:dyDescent="0.25">
      <c r="I8814" s="227" t="str">
        <f>MID(excPisCofins[[#This Row],[CodBarras2]],2,50)</f>
        <v/>
      </c>
    </row>
    <row r="8815" spans="9:9" x14ac:dyDescent="0.25">
      <c r="I8815" s="227" t="str">
        <f>MID(excPisCofins[[#This Row],[CodBarras2]],2,50)</f>
        <v/>
      </c>
    </row>
    <row r="8816" spans="9:9" x14ac:dyDescent="0.25">
      <c r="I8816" s="227" t="str">
        <f>MID(excPisCofins[[#This Row],[CodBarras2]],2,50)</f>
        <v/>
      </c>
    </row>
    <row r="8817" spans="9:9" x14ac:dyDescent="0.25">
      <c r="I8817" s="227" t="str">
        <f>MID(excPisCofins[[#This Row],[CodBarras2]],2,50)</f>
        <v/>
      </c>
    </row>
    <row r="8818" spans="9:9" x14ac:dyDescent="0.25">
      <c r="I8818" s="227" t="str">
        <f>MID(excPisCofins[[#This Row],[CodBarras2]],2,50)</f>
        <v/>
      </c>
    </row>
    <row r="8819" spans="9:9" x14ac:dyDescent="0.25">
      <c r="I8819" s="227" t="str">
        <f>MID(excPisCofins[[#This Row],[CodBarras2]],2,50)</f>
        <v/>
      </c>
    </row>
    <row r="8820" spans="9:9" x14ac:dyDescent="0.25">
      <c r="I8820" s="227" t="str">
        <f>MID(excPisCofins[[#This Row],[CodBarras2]],2,50)</f>
        <v/>
      </c>
    </row>
    <row r="8821" spans="9:9" x14ac:dyDescent="0.25">
      <c r="I8821" s="227" t="str">
        <f>MID(excPisCofins[[#This Row],[CodBarras2]],2,50)</f>
        <v/>
      </c>
    </row>
    <row r="8822" spans="9:9" x14ac:dyDescent="0.25">
      <c r="I8822" s="227" t="str">
        <f>MID(excPisCofins[[#This Row],[CodBarras2]],2,50)</f>
        <v/>
      </c>
    </row>
    <row r="8823" spans="9:9" x14ac:dyDescent="0.25">
      <c r="I8823" s="227" t="str">
        <f>MID(excPisCofins[[#This Row],[CodBarras2]],2,50)</f>
        <v/>
      </c>
    </row>
    <row r="8824" spans="9:9" x14ac:dyDescent="0.25">
      <c r="I8824" s="227" t="str">
        <f>MID(excPisCofins[[#This Row],[CodBarras2]],2,50)</f>
        <v/>
      </c>
    </row>
    <row r="8825" spans="9:9" x14ac:dyDescent="0.25">
      <c r="I8825" s="227" t="str">
        <f>MID(excPisCofins[[#This Row],[CodBarras2]],2,50)</f>
        <v/>
      </c>
    </row>
    <row r="8826" spans="9:9" x14ac:dyDescent="0.25">
      <c r="I8826" s="227" t="str">
        <f>MID(excPisCofins[[#This Row],[CodBarras2]],2,50)</f>
        <v/>
      </c>
    </row>
    <row r="8827" spans="9:9" x14ac:dyDescent="0.25">
      <c r="I8827" s="227" t="str">
        <f>MID(excPisCofins[[#This Row],[CodBarras2]],2,50)</f>
        <v/>
      </c>
    </row>
    <row r="8828" spans="9:9" x14ac:dyDescent="0.25">
      <c r="I8828" s="227" t="str">
        <f>MID(excPisCofins[[#This Row],[CodBarras2]],2,50)</f>
        <v/>
      </c>
    </row>
    <row r="8829" spans="9:9" x14ac:dyDescent="0.25">
      <c r="I8829" s="227" t="str">
        <f>MID(excPisCofins[[#This Row],[CodBarras2]],2,50)</f>
        <v/>
      </c>
    </row>
    <row r="8830" spans="9:9" x14ac:dyDescent="0.25">
      <c r="I8830" s="227" t="str">
        <f>MID(excPisCofins[[#This Row],[CodBarras2]],2,50)</f>
        <v/>
      </c>
    </row>
    <row r="8831" spans="9:9" x14ac:dyDescent="0.25">
      <c r="I8831" s="227" t="str">
        <f>MID(excPisCofins[[#This Row],[CodBarras2]],2,50)</f>
        <v/>
      </c>
    </row>
    <row r="8832" spans="9:9" x14ac:dyDescent="0.25">
      <c r="I8832" s="227" t="str">
        <f>MID(excPisCofins[[#This Row],[CodBarras2]],2,50)</f>
        <v/>
      </c>
    </row>
    <row r="8833" spans="9:9" x14ac:dyDescent="0.25">
      <c r="I8833" s="227" t="str">
        <f>MID(excPisCofins[[#This Row],[CodBarras2]],2,50)</f>
        <v/>
      </c>
    </row>
    <row r="8834" spans="9:9" x14ac:dyDescent="0.25">
      <c r="I8834" s="227" t="str">
        <f>MID(excPisCofins[[#This Row],[CodBarras2]],2,50)</f>
        <v/>
      </c>
    </row>
    <row r="8835" spans="9:9" x14ac:dyDescent="0.25">
      <c r="I8835" s="227" t="str">
        <f>MID(excPisCofins[[#This Row],[CodBarras2]],2,50)</f>
        <v/>
      </c>
    </row>
    <row r="8836" spans="9:9" x14ac:dyDescent="0.25">
      <c r="I8836" s="227" t="str">
        <f>MID(excPisCofins[[#This Row],[CodBarras2]],2,50)</f>
        <v/>
      </c>
    </row>
    <row r="8837" spans="9:9" x14ac:dyDescent="0.25">
      <c r="I8837" s="227" t="str">
        <f>MID(excPisCofins[[#This Row],[CodBarras2]],2,50)</f>
        <v/>
      </c>
    </row>
    <row r="8838" spans="9:9" x14ac:dyDescent="0.25">
      <c r="I8838" s="227" t="str">
        <f>MID(excPisCofins[[#This Row],[CodBarras2]],2,50)</f>
        <v/>
      </c>
    </row>
    <row r="8839" spans="9:9" x14ac:dyDescent="0.25">
      <c r="I8839" s="227" t="str">
        <f>MID(excPisCofins[[#This Row],[CodBarras2]],2,50)</f>
        <v/>
      </c>
    </row>
    <row r="8840" spans="9:9" x14ac:dyDescent="0.25">
      <c r="I8840" s="227" t="str">
        <f>MID(excPisCofins[[#This Row],[CodBarras2]],2,50)</f>
        <v/>
      </c>
    </row>
    <row r="8841" spans="9:9" x14ac:dyDescent="0.25">
      <c r="I8841" s="227" t="str">
        <f>MID(excPisCofins[[#This Row],[CodBarras2]],2,50)</f>
        <v/>
      </c>
    </row>
    <row r="8842" spans="9:9" x14ac:dyDescent="0.25">
      <c r="I8842" s="227" t="str">
        <f>MID(excPisCofins[[#This Row],[CodBarras2]],2,50)</f>
        <v/>
      </c>
    </row>
    <row r="8843" spans="9:9" x14ac:dyDescent="0.25">
      <c r="I8843" s="227" t="str">
        <f>MID(excPisCofins[[#This Row],[CodBarras2]],2,50)</f>
        <v/>
      </c>
    </row>
    <row r="8844" spans="9:9" x14ac:dyDescent="0.25">
      <c r="I8844" s="227" t="str">
        <f>MID(excPisCofins[[#This Row],[CodBarras2]],2,50)</f>
        <v/>
      </c>
    </row>
    <row r="8845" spans="9:9" x14ac:dyDescent="0.25">
      <c r="I8845" s="227" t="str">
        <f>MID(excPisCofins[[#This Row],[CodBarras2]],2,50)</f>
        <v/>
      </c>
    </row>
    <row r="8846" spans="9:9" x14ac:dyDescent="0.25">
      <c r="I8846" s="227" t="str">
        <f>MID(excPisCofins[[#This Row],[CodBarras2]],2,50)</f>
        <v/>
      </c>
    </row>
    <row r="8847" spans="9:9" x14ac:dyDescent="0.25">
      <c r="I8847" s="227" t="str">
        <f>MID(excPisCofins[[#This Row],[CodBarras2]],2,50)</f>
        <v/>
      </c>
    </row>
    <row r="8848" spans="9:9" x14ac:dyDescent="0.25">
      <c r="I8848" s="227" t="str">
        <f>MID(excPisCofins[[#This Row],[CodBarras2]],2,50)</f>
        <v/>
      </c>
    </row>
    <row r="8849" spans="9:9" x14ac:dyDescent="0.25">
      <c r="I8849" s="227" t="str">
        <f>MID(excPisCofins[[#This Row],[CodBarras2]],2,50)</f>
        <v/>
      </c>
    </row>
    <row r="8850" spans="9:9" x14ac:dyDescent="0.25">
      <c r="I8850" s="227" t="str">
        <f>MID(excPisCofins[[#This Row],[CodBarras2]],2,50)</f>
        <v/>
      </c>
    </row>
    <row r="8851" spans="9:9" x14ac:dyDescent="0.25">
      <c r="I8851" s="227" t="str">
        <f>MID(excPisCofins[[#This Row],[CodBarras2]],2,50)</f>
        <v/>
      </c>
    </row>
    <row r="8852" spans="9:9" x14ac:dyDescent="0.25">
      <c r="I8852" s="227" t="str">
        <f>MID(excPisCofins[[#This Row],[CodBarras2]],2,50)</f>
        <v/>
      </c>
    </row>
    <row r="8853" spans="9:9" x14ac:dyDescent="0.25">
      <c r="I8853" s="227" t="str">
        <f>MID(excPisCofins[[#This Row],[CodBarras2]],2,50)</f>
        <v/>
      </c>
    </row>
    <row r="8854" spans="9:9" x14ac:dyDescent="0.25">
      <c r="I8854" s="227" t="str">
        <f>MID(excPisCofins[[#This Row],[CodBarras2]],2,50)</f>
        <v/>
      </c>
    </row>
    <row r="8855" spans="9:9" x14ac:dyDescent="0.25">
      <c r="I8855" s="227" t="str">
        <f>MID(excPisCofins[[#This Row],[CodBarras2]],2,50)</f>
        <v/>
      </c>
    </row>
    <row r="8856" spans="9:9" x14ac:dyDescent="0.25">
      <c r="I8856" s="227" t="str">
        <f>MID(excPisCofins[[#This Row],[CodBarras2]],2,50)</f>
        <v/>
      </c>
    </row>
    <row r="8857" spans="9:9" x14ac:dyDescent="0.25">
      <c r="I8857" s="227" t="str">
        <f>MID(excPisCofins[[#This Row],[CodBarras2]],2,50)</f>
        <v/>
      </c>
    </row>
    <row r="8858" spans="9:9" x14ac:dyDescent="0.25">
      <c r="I8858" s="227" t="str">
        <f>MID(excPisCofins[[#This Row],[CodBarras2]],2,50)</f>
        <v/>
      </c>
    </row>
    <row r="8859" spans="9:9" x14ac:dyDescent="0.25">
      <c r="I8859" s="227" t="str">
        <f>MID(excPisCofins[[#This Row],[CodBarras2]],2,50)</f>
        <v/>
      </c>
    </row>
    <row r="8860" spans="9:9" x14ac:dyDescent="0.25">
      <c r="I8860" s="227" t="str">
        <f>MID(excPisCofins[[#This Row],[CodBarras2]],2,50)</f>
        <v/>
      </c>
    </row>
    <row r="8861" spans="9:9" x14ac:dyDescent="0.25">
      <c r="I8861" s="227" t="str">
        <f>MID(excPisCofins[[#This Row],[CodBarras2]],2,50)</f>
        <v/>
      </c>
    </row>
    <row r="8862" spans="9:9" x14ac:dyDescent="0.25">
      <c r="I8862" s="227" t="str">
        <f>MID(excPisCofins[[#This Row],[CodBarras2]],2,50)</f>
        <v/>
      </c>
    </row>
    <row r="8863" spans="9:9" x14ac:dyDescent="0.25">
      <c r="I8863" s="227" t="str">
        <f>MID(excPisCofins[[#This Row],[CodBarras2]],2,50)</f>
        <v/>
      </c>
    </row>
    <row r="8864" spans="9:9" x14ac:dyDescent="0.25">
      <c r="I8864" s="227" t="str">
        <f>MID(excPisCofins[[#This Row],[CodBarras2]],2,50)</f>
        <v/>
      </c>
    </row>
    <row r="8865" spans="9:9" x14ac:dyDescent="0.25">
      <c r="I8865" s="227" t="str">
        <f>MID(excPisCofins[[#This Row],[CodBarras2]],2,50)</f>
        <v/>
      </c>
    </row>
    <row r="8866" spans="9:9" x14ac:dyDescent="0.25">
      <c r="I8866" s="227" t="str">
        <f>MID(excPisCofins[[#This Row],[CodBarras2]],2,50)</f>
        <v/>
      </c>
    </row>
    <row r="8867" spans="9:9" x14ac:dyDescent="0.25">
      <c r="I8867" s="227" t="str">
        <f>MID(excPisCofins[[#This Row],[CodBarras2]],2,50)</f>
        <v/>
      </c>
    </row>
    <row r="8868" spans="9:9" x14ac:dyDescent="0.25">
      <c r="I8868" s="227" t="str">
        <f>MID(excPisCofins[[#This Row],[CodBarras2]],2,50)</f>
        <v/>
      </c>
    </row>
    <row r="8869" spans="9:9" x14ac:dyDescent="0.25">
      <c r="I8869" s="227" t="str">
        <f>MID(excPisCofins[[#This Row],[CodBarras2]],2,50)</f>
        <v/>
      </c>
    </row>
    <row r="8870" spans="9:9" x14ac:dyDescent="0.25">
      <c r="I8870" s="227" t="str">
        <f>MID(excPisCofins[[#This Row],[CodBarras2]],2,50)</f>
        <v/>
      </c>
    </row>
    <row r="8871" spans="9:9" x14ac:dyDescent="0.25">
      <c r="I8871" s="227" t="str">
        <f>MID(excPisCofins[[#This Row],[CodBarras2]],2,50)</f>
        <v/>
      </c>
    </row>
    <row r="8872" spans="9:9" x14ac:dyDescent="0.25">
      <c r="I8872" s="227" t="str">
        <f>MID(excPisCofins[[#This Row],[CodBarras2]],2,50)</f>
        <v/>
      </c>
    </row>
    <row r="8873" spans="9:9" x14ac:dyDescent="0.25">
      <c r="I8873" s="227" t="str">
        <f>MID(excPisCofins[[#This Row],[CodBarras2]],2,50)</f>
        <v/>
      </c>
    </row>
    <row r="8874" spans="9:9" x14ac:dyDescent="0.25">
      <c r="I8874" s="227" t="str">
        <f>MID(excPisCofins[[#This Row],[CodBarras2]],2,50)</f>
        <v/>
      </c>
    </row>
    <row r="8875" spans="9:9" x14ac:dyDescent="0.25">
      <c r="I8875" s="227" t="str">
        <f>MID(excPisCofins[[#This Row],[CodBarras2]],2,50)</f>
        <v/>
      </c>
    </row>
    <row r="8876" spans="9:9" x14ac:dyDescent="0.25">
      <c r="I8876" s="227" t="str">
        <f>MID(excPisCofins[[#This Row],[CodBarras2]],2,50)</f>
        <v/>
      </c>
    </row>
    <row r="8877" spans="9:9" x14ac:dyDescent="0.25">
      <c r="I8877" s="227" t="str">
        <f>MID(excPisCofins[[#This Row],[CodBarras2]],2,50)</f>
        <v/>
      </c>
    </row>
    <row r="8878" spans="9:9" x14ac:dyDescent="0.25">
      <c r="I8878" s="227" t="str">
        <f>MID(excPisCofins[[#This Row],[CodBarras2]],2,50)</f>
        <v/>
      </c>
    </row>
    <row r="8879" spans="9:9" x14ac:dyDescent="0.25">
      <c r="I8879" s="227" t="str">
        <f>MID(excPisCofins[[#This Row],[CodBarras2]],2,50)</f>
        <v/>
      </c>
    </row>
    <row r="8880" spans="9:9" x14ac:dyDescent="0.25">
      <c r="I8880" s="227" t="str">
        <f>MID(excPisCofins[[#This Row],[CodBarras2]],2,50)</f>
        <v/>
      </c>
    </row>
    <row r="8881" spans="9:9" x14ac:dyDescent="0.25">
      <c r="I8881" s="227" t="str">
        <f>MID(excPisCofins[[#This Row],[CodBarras2]],2,50)</f>
        <v/>
      </c>
    </row>
    <row r="8882" spans="9:9" x14ac:dyDescent="0.25">
      <c r="I8882" s="227" t="str">
        <f>MID(excPisCofins[[#This Row],[CodBarras2]],2,50)</f>
        <v/>
      </c>
    </row>
    <row r="8883" spans="9:9" x14ac:dyDescent="0.25">
      <c r="I8883" s="227" t="str">
        <f>MID(excPisCofins[[#This Row],[CodBarras2]],2,50)</f>
        <v/>
      </c>
    </row>
    <row r="8884" spans="9:9" x14ac:dyDescent="0.25">
      <c r="I8884" s="227" t="str">
        <f>MID(excPisCofins[[#This Row],[CodBarras2]],2,50)</f>
        <v/>
      </c>
    </row>
    <row r="8885" spans="9:9" x14ac:dyDescent="0.25">
      <c r="I8885" s="227" t="str">
        <f>MID(excPisCofins[[#This Row],[CodBarras2]],2,50)</f>
        <v/>
      </c>
    </row>
    <row r="8886" spans="9:9" x14ac:dyDescent="0.25">
      <c r="I8886" s="227" t="str">
        <f>MID(excPisCofins[[#This Row],[CodBarras2]],2,50)</f>
        <v/>
      </c>
    </row>
    <row r="8887" spans="9:9" x14ac:dyDescent="0.25">
      <c r="I8887" s="227" t="str">
        <f>MID(excPisCofins[[#This Row],[CodBarras2]],2,50)</f>
        <v/>
      </c>
    </row>
    <row r="8888" spans="9:9" x14ac:dyDescent="0.25">
      <c r="I8888" s="227" t="str">
        <f>MID(excPisCofins[[#This Row],[CodBarras2]],2,50)</f>
        <v/>
      </c>
    </row>
    <row r="8889" spans="9:9" x14ac:dyDescent="0.25">
      <c r="I8889" s="227" t="str">
        <f>MID(excPisCofins[[#This Row],[CodBarras2]],2,50)</f>
        <v/>
      </c>
    </row>
    <row r="8890" spans="9:9" x14ac:dyDescent="0.25">
      <c r="I8890" s="227" t="str">
        <f>MID(excPisCofins[[#This Row],[CodBarras2]],2,50)</f>
        <v/>
      </c>
    </row>
    <row r="8891" spans="9:9" x14ac:dyDescent="0.25">
      <c r="I8891" s="227" t="str">
        <f>MID(excPisCofins[[#This Row],[CodBarras2]],2,50)</f>
        <v/>
      </c>
    </row>
    <row r="8892" spans="9:9" x14ac:dyDescent="0.25">
      <c r="I8892" s="227" t="str">
        <f>MID(excPisCofins[[#This Row],[CodBarras2]],2,50)</f>
        <v/>
      </c>
    </row>
    <row r="8893" spans="9:9" x14ac:dyDescent="0.25">
      <c r="I8893" s="227" t="str">
        <f>MID(excPisCofins[[#This Row],[CodBarras2]],2,50)</f>
        <v/>
      </c>
    </row>
    <row r="8894" spans="9:9" x14ac:dyDescent="0.25">
      <c r="I8894" s="227" t="str">
        <f>MID(excPisCofins[[#This Row],[CodBarras2]],2,50)</f>
        <v/>
      </c>
    </row>
    <row r="8895" spans="9:9" x14ac:dyDescent="0.25">
      <c r="I8895" s="227" t="str">
        <f>MID(excPisCofins[[#This Row],[CodBarras2]],2,50)</f>
        <v/>
      </c>
    </row>
    <row r="8896" spans="9:9" x14ac:dyDescent="0.25">
      <c r="I8896" s="227" t="str">
        <f>MID(excPisCofins[[#This Row],[CodBarras2]],2,50)</f>
        <v/>
      </c>
    </row>
    <row r="8897" spans="9:9" x14ac:dyDescent="0.25">
      <c r="I8897" s="227" t="str">
        <f>MID(excPisCofins[[#This Row],[CodBarras2]],2,50)</f>
        <v/>
      </c>
    </row>
    <row r="8898" spans="9:9" x14ac:dyDescent="0.25">
      <c r="I8898" s="227" t="str">
        <f>MID(excPisCofins[[#This Row],[CodBarras2]],2,50)</f>
        <v/>
      </c>
    </row>
    <row r="8899" spans="9:9" x14ac:dyDescent="0.25">
      <c r="I8899" s="227" t="str">
        <f>MID(excPisCofins[[#This Row],[CodBarras2]],2,50)</f>
        <v/>
      </c>
    </row>
    <row r="8900" spans="9:9" x14ac:dyDescent="0.25">
      <c r="I8900" s="227" t="str">
        <f>MID(excPisCofins[[#This Row],[CodBarras2]],2,50)</f>
        <v/>
      </c>
    </row>
    <row r="8901" spans="9:9" x14ac:dyDescent="0.25">
      <c r="I8901" s="227" t="str">
        <f>MID(excPisCofins[[#This Row],[CodBarras2]],2,50)</f>
        <v/>
      </c>
    </row>
    <row r="8902" spans="9:9" x14ac:dyDescent="0.25">
      <c r="I8902" s="227" t="str">
        <f>MID(excPisCofins[[#This Row],[CodBarras2]],2,50)</f>
        <v/>
      </c>
    </row>
    <row r="8903" spans="9:9" x14ac:dyDescent="0.25">
      <c r="I8903" s="227" t="str">
        <f>MID(excPisCofins[[#This Row],[CodBarras2]],2,50)</f>
        <v/>
      </c>
    </row>
    <row r="8904" spans="9:9" x14ac:dyDescent="0.25">
      <c r="I8904" s="227" t="str">
        <f>MID(excPisCofins[[#This Row],[CodBarras2]],2,50)</f>
        <v/>
      </c>
    </row>
    <row r="8905" spans="9:9" x14ac:dyDescent="0.25">
      <c r="I8905" s="227" t="str">
        <f>MID(excPisCofins[[#This Row],[CodBarras2]],2,50)</f>
        <v/>
      </c>
    </row>
    <row r="8906" spans="9:9" x14ac:dyDescent="0.25">
      <c r="I8906" s="227" t="str">
        <f>MID(excPisCofins[[#This Row],[CodBarras2]],2,50)</f>
        <v/>
      </c>
    </row>
    <row r="8907" spans="9:9" x14ac:dyDescent="0.25">
      <c r="I8907" s="227" t="str">
        <f>MID(excPisCofins[[#This Row],[CodBarras2]],2,50)</f>
        <v/>
      </c>
    </row>
    <row r="8908" spans="9:9" x14ac:dyDescent="0.25">
      <c r="I8908" s="227" t="str">
        <f>MID(excPisCofins[[#This Row],[CodBarras2]],2,50)</f>
        <v/>
      </c>
    </row>
    <row r="8909" spans="9:9" x14ac:dyDescent="0.25">
      <c r="I8909" s="227" t="str">
        <f>MID(excPisCofins[[#This Row],[CodBarras2]],2,50)</f>
        <v/>
      </c>
    </row>
    <row r="8910" spans="9:9" x14ac:dyDescent="0.25">
      <c r="I8910" s="227" t="str">
        <f>MID(excPisCofins[[#This Row],[CodBarras2]],2,50)</f>
        <v/>
      </c>
    </row>
    <row r="8911" spans="9:9" x14ac:dyDescent="0.25">
      <c r="I8911" s="227" t="str">
        <f>MID(excPisCofins[[#This Row],[CodBarras2]],2,50)</f>
        <v/>
      </c>
    </row>
    <row r="8912" spans="9:9" x14ac:dyDescent="0.25">
      <c r="I8912" s="227" t="str">
        <f>MID(excPisCofins[[#This Row],[CodBarras2]],2,50)</f>
        <v/>
      </c>
    </row>
    <row r="8913" spans="9:9" x14ac:dyDescent="0.25">
      <c r="I8913" s="227" t="str">
        <f>MID(excPisCofins[[#This Row],[CodBarras2]],2,50)</f>
        <v/>
      </c>
    </row>
    <row r="8914" spans="9:9" x14ac:dyDescent="0.25">
      <c r="I8914" s="227" t="str">
        <f>MID(excPisCofins[[#This Row],[CodBarras2]],2,50)</f>
        <v/>
      </c>
    </row>
    <row r="8915" spans="9:9" x14ac:dyDescent="0.25">
      <c r="I8915" s="227" t="str">
        <f>MID(excPisCofins[[#This Row],[CodBarras2]],2,50)</f>
        <v/>
      </c>
    </row>
    <row r="8916" spans="9:9" x14ac:dyDescent="0.25">
      <c r="I8916" s="227" t="str">
        <f>MID(excPisCofins[[#This Row],[CodBarras2]],2,50)</f>
        <v/>
      </c>
    </row>
    <row r="8917" spans="9:9" x14ac:dyDescent="0.25">
      <c r="I8917" s="227" t="str">
        <f>MID(excPisCofins[[#This Row],[CodBarras2]],2,50)</f>
        <v/>
      </c>
    </row>
    <row r="8918" spans="9:9" x14ac:dyDescent="0.25">
      <c r="I8918" s="227" t="str">
        <f>MID(excPisCofins[[#This Row],[CodBarras2]],2,50)</f>
        <v/>
      </c>
    </row>
    <row r="8919" spans="9:9" x14ac:dyDescent="0.25">
      <c r="I8919" s="227" t="str">
        <f>MID(excPisCofins[[#This Row],[CodBarras2]],2,50)</f>
        <v/>
      </c>
    </row>
    <row r="8920" spans="9:9" x14ac:dyDescent="0.25">
      <c r="I8920" s="227" t="str">
        <f>MID(excPisCofins[[#This Row],[CodBarras2]],2,50)</f>
        <v/>
      </c>
    </row>
    <row r="8921" spans="9:9" x14ac:dyDescent="0.25">
      <c r="I8921" s="227" t="str">
        <f>MID(excPisCofins[[#This Row],[CodBarras2]],2,50)</f>
        <v/>
      </c>
    </row>
    <row r="8922" spans="9:9" x14ac:dyDescent="0.25">
      <c r="I8922" s="227" t="str">
        <f>MID(excPisCofins[[#This Row],[CodBarras2]],2,50)</f>
        <v/>
      </c>
    </row>
    <row r="8923" spans="9:9" x14ac:dyDescent="0.25">
      <c r="I8923" s="227" t="str">
        <f>MID(excPisCofins[[#This Row],[CodBarras2]],2,50)</f>
        <v/>
      </c>
    </row>
    <row r="8924" spans="9:9" x14ac:dyDescent="0.25">
      <c r="I8924" s="227" t="str">
        <f>MID(excPisCofins[[#This Row],[CodBarras2]],2,50)</f>
        <v/>
      </c>
    </row>
    <row r="8925" spans="9:9" x14ac:dyDescent="0.25">
      <c r="I8925" s="227" t="str">
        <f>MID(excPisCofins[[#This Row],[CodBarras2]],2,50)</f>
        <v/>
      </c>
    </row>
    <row r="8926" spans="9:9" x14ac:dyDescent="0.25">
      <c r="I8926" s="227" t="str">
        <f>MID(excPisCofins[[#This Row],[CodBarras2]],2,50)</f>
        <v/>
      </c>
    </row>
    <row r="8927" spans="9:9" x14ac:dyDescent="0.25">
      <c r="I8927" s="227" t="str">
        <f>MID(excPisCofins[[#This Row],[CodBarras2]],2,50)</f>
        <v/>
      </c>
    </row>
    <row r="8928" spans="9:9" x14ac:dyDescent="0.25">
      <c r="I8928" s="227" t="str">
        <f>MID(excPisCofins[[#This Row],[CodBarras2]],2,50)</f>
        <v/>
      </c>
    </row>
    <row r="8929" spans="9:9" x14ac:dyDescent="0.25">
      <c r="I8929" s="227" t="str">
        <f>MID(excPisCofins[[#This Row],[CodBarras2]],2,50)</f>
        <v/>
      </c>
    </row>
    <row r="8930" spans="9:9" x14ac:dyDescent="0.25">
      <c r="I8930" s="227" t="str">
        <f>MID(excPisCofins[[#This Row],[CodBarras2]],2,50)</f>
        <v/>
      </c>
    </row>
    <row r="8931" spans="9:9" x14ac:dyDescent="0.25">
      <c r="I8931" s="227" t="str">
        <f>MID(excPisCofins[[#This Row],[CodBarras2]],2,50)</f>
        <v/>
      </c>
    </row>
    <row r="8932" spans="9:9" x14ac:dyDescent="0.25">
      <c r="I8932" s="227" t="str">
        <f>MID(excPisCofins[[#This Row],[CodBarras2]],2,50)</f>
        <v/>
      </c>
    </row>
    <row r="8933" spans="9:9" x14ac:dyDescent="0.25">
      <c r="I8933" s="227" t="str">
        <f>MID(excPisCofins[[#This Row],[CodBarras2]],2,50)</f>
        <v/>
      </c>
    </row>
    <row r="8934" spans="9:9" x14ac:dyDescent="0.25">
      <c r="I8934" s="227" t="str">
        <f>MID(excPisCofins[[#This Row],[CodBarras2]],2,50)</f>
        <v/>
      </c>
    </row>
    <row r="8935" spans="9:9" x14ac:dyDescent="0.25">
      <c r="I8935" s="227" t="str">
        <f>MID(excPisCofins[[#This Row],[CodBarras2]],2,50)</f>
        <v/>
      </c>
    </row>
    <row r="8936" spans="9:9" x14ac:dyDescent="0.25">
      <c r="I8936" s="227" t="str">
        <f>MID(excPisCofins[[#This Row],[CodBarras2]],2,50)</f>
        <v/>
      </c>
    </row>
    <row r="8937" spans="9:9" x14ac:dyDescent="0.25">
      <c r="I8937" s="227" t="str">
        <f>MID(excPisCofins[[#This Row],[CodBarras2]],2,50)</f>
        <v/>
      </c>
    </row>
    <row r="8938" spans="9:9" x14ac:dyDescent="0.25">
      <c r="I8938" s="227" t="str">
        <f>MID(excPisCofins[[#This Row],[CodBarras2]],2,50)</f>
        <v/>
      </c>
    </row>
    <row r="8939" spans="9:9" x14ac:dyDescent="0.25">
      <c r="I8939" s="227" t="str">
        <f>MID(excPisCofins[[#This Row],[CodBarras2]],2,50)</f>
        <v/>
      </c>
    </row>
    <row r="8940" spans="9:9" x14ac:dyDescent="0.25">
      <c r="I8940" s="227" t="str">
        <f>MID(excPisCofins[[#This Row],[CodBarras2]],2,50)</f>
        <v/>
      </c>
    </row>
    <row r="8941" spans="9:9" x14ac:dyDescent="0.25">
      <c r="I8941" s="227" t="str">
        <f>MID(excPisCofins[[#This Row],[CodBarras2]],2,50)</f>
        <v/>
      </c>
    </row>
    <row r="8942" spans="9:9" x14ac:dyDescent="0.25">
      <c r="I8942" s="227" t="str">
        <f>MID(excPisCofins[[#This Row],[CodBarras2]],2,50)</f>
        <v/>
      </c>
    </row>
    <row r="8943" spans="9:9" x14ac:dyDescent="0.25">
      <c r="I8943" s="227" t="str">
        <f>MID(excPisCofins[[#This Row],[CodBarras2]],2,50)</f>
        <v/>
      </c>
    </row>
    <row r="8944" spans="9:9" x14ac:dyDescent="0.25">
      <c r="I8944" s="227" t="str">
        <f>MID(excPisCofins[[#This Row],[CodBarras2]],2,50)</f>
        <v/>
      </c>
    </row>
    <row r="8945" spans="9:9" x14ac:dyDescent="0.25">
      <c r="I8945" s="227" t="str">
        <f>MID(excPisCofins[[#This Row],[CodBarras2]],2,50)</f>
        <v/>
      </c>
    </row>
    <row r="8946" spans="9:9" x14ac:dyDescent="0.25">
      <c r="I8946" s="227" t="str">
        <f>MID(excPisCofins[[#This Row],[CodBarras2]],2,50)</f>
        <v/>
      </c>
    </row>
    <row r="8947" spans="9:9" x14ac:dyDescent="0.25">
      <c r="I8947" s="227" t="str">
        <f>MID(excPisCofins[[#This Row],[CodBarras2]],2,50)</f>
        <v/>
      </c>
    </row>
    <row r="8948" spans="9:9" x14ac:dyDescent="0.25">
      <c r="I8948" s="227" t="str">
        <f>MID(excPisCofins[[#This Row],[CodBarras2]],2,50)</f>
        <v/>
      </c>
    </row>
    <row r="8949" spans="9:9" x14ac:dyDescent="0.25">
      <c r="I8949" s="227" t="str">
        <f>MID(excPisCofins[[#This Row],[CodBarras2]],2,50)</f>
        <v/>
      </c>
    </row>
    <row r="8950" spans="9:9" x14ac:dyDescent="0.25">
      <c r="I8950" s="227" t="str">
        <f>MID(excPisCofins[[#This Row],[CodBarras2]],2,50)</f>
        <v/>
      </c>
    </row>
    <row r="8951" spans="9:9" x14ac:dyDescent="0.25">
      <c r="I8951" s="227" t="str">
        <f>MID(excPisCofins[[#This Row],[CodBarras2]],2,50)</f>
        <v/>
      </c>
    </row>
    <row r="8952" spans="9:9" x14ac:dyDescent="0.25">
      <c r="I8952" s="227" t="str">
        <f>MID(excPisCofins[[#This Row],[CodBarras2]],2,50)</f>
        <v/>
      </c>
    </row>
    <row r="8953" spans="9:9" x14ac:dyDescent="0.25">
      <c r="I8953" s="227" t="str">
        <f>MID(excPisCofins[[#This Row],[CodBarras2]],2,50)</f>
        <v/>
      </c>
    </row>
    <row r="8954" spans="9:9" x14ac:dyDescent="0.25">
      <c r="I8954" s="227" t="str">
        <f>MID(excPisCofins[[#This Row],[CodBarras2]],2,50)</f>
        <v/>
      </c>
    </row>
    <row r="8955" spans="9:9" x14ac:dyDescent="0.25">
      <c r="I8955" s="227" t="str">
        <f>MID(excPisCofins[[#This Row],[CodBarras2]],2,50)</f>
        <v/>
      </c>
    </row>
    <row r="8956" spans="9:9" x14ac:dyDescent="0.25">
      <c r="I8956" s="227" t="str">
        <f>MID(excPisCofins[[#This Row],[CodBarras2]],2,50)</f>
        <v/>
      </c>
    </row>
    <row r="8957" spans="9:9" x14ac:dyDescent="0.25">
      <c r="I8957" s="227" t="str">
        <f>MID(excPisCofins[[#This Row],[CodBarras2]],2,50)</f>
        <v/>
      </c>
    </row>
    <row r="8958" spans="9:9" x14ac:dyDescent="0.25">
      <c r="I8958" s="227" t="str">
        <f>MID(excPisCofins[[#This Row],[CodBarras2]],2,50)</f>
        <v/>
      </c>
    </row>
    <row r="8959" spans="9:9" x14ac:dyDescent="0.25">
      <c r="I8959" s="227" t="str">
        <f>MID(excPisCofins[[#This Row],[CodBarras2]],2,50)</f>
        <v/>
      </c>
    </row>
    <row r="8960" spans="9:9" x14ac:dyDescent="0.25">
      <c r="I8960" s="227" t="str">
        <f>MID(excPisCofins[[#This Row],[CodBarras2]],2,50)</f>
        <v/>
      </c>
    </row>
    <row r="8961" spans="9:9" x14ac:dyDescent="0.25">
      <c r="I8961" s="227" t="str">
        <f>MID(excPisCofins[[#This Row],[CodBarras2]],2,50)</f>
        <v/>
      </c>
    </row>
    <row r="8962" spans="9:9" x14ac:dyDescent="0.25">
      <c r="I8962" s="227" t="str">
        <f>MID(excPisCofins[[#This Row],[CodBarras2]],2,50)</f>
        <v/>
      </c>
    </row>
    <row r="8963" spans="9:9" x14ac:dyDescent="0.25">
      <c r="I8963" s="227" t="str">
        <f>MID(excPisCofins[[#This Row],[CodBarras2]],2,50)</f>
        <v/>
      </c>
    </row>
    <row r="8964" spans="9:9" x14ac:dyDescent="0.25">
      <c r="I8964" s="227" t="str">
        <f>MID(excPisCofins[[#This Row],[CodBarras2]],2,50)</f>
        <v/>
      </c>
    </row>
    <row r="8965" spans="9:9" x14ac:dyDescent="0.25">
      <c r="I8965" s="227" t="str">
        <f>MID(excPisCofins[[#This Row],[CodBarras2]],2,50)</f>
        <v/>
      </c>
    </row>
    <row r="8966" spans="9:9" x14ac:dyDescent="0.25">
      <c r="I8966" s="227" t="str">
        <f>MID(excPisCofins[[#This Row],[CodBarras2]],2,50)</f>
        <v/>
      </c>
    </row>
    <row r="8967" spans="9:9" x14ac:dyDescent="0.25">
      <c r="I8967" s="227" t="str">
        <f>MID(excPisCofins[[#This Row],[CodBarras2]],2,50)</f>
        <v/>
      </c>
    </row>
    <row r="8968" spans="9:9" x14ac:dyDescent="0.25">
      <c r="I8968" s="227" t="str">
        <f>MID(excPisCofins[[#This Row],[CodBarras2]],2,50)</f>
        <v/>
      </c>
    </row>
    <row r="8969" spans="9:9" x14ac:dyDescent="0.25">
      <c r="I8969" s="227" t="str">
        <f>MID(excPisCofins[[#This Row],[CodBarras2]],2,50)</f>
        <v/>
      </c>
    </row>
    <row r="8970" spans="9:9" x14ac:dyDescent="0.25">
      <c r="I8970" s="227" t="str">
        <f>MID(excPisCofins[[#This Row],[CodBarras2]],2,50)</f>
        <v/>
      </c>
    </row>
    <row r="8971" spans="9:9" x14ac:dyDescent="0.25">
      <c r="I8971" s="227" t="str">
        <f>MID(excPisCofins[[#This Row],[CodBarras2]],2,50)</f>
        <v/>
      </c>
    </row>
    <row r="8972" spans="9:9" x14ac:dyDescent="0.25">
      <c r="I8972" s="227" t="str">
        <f>MID(excPisCofins[[#This Row],[CodBarras2]],2,50)</f>
        <v/>
      </c>
    </row>
    <row r="8973" spans="9:9" x14ac:dyDescent="0.25">
      <c r="I8973" s="227" t="str">
        <f>MID(excPisCofins[[#This Row],[CodBarras2]],2,50)</f>
        <v/>
      </c>
    </row>
    <row r="8974" spans="9:9" x14ac:dyDescent="0.25">
      <c r="I8974" s="227" t="str">
        <f>MID(excPisCofins[[#This Row],[CodBarras2]],2,50)</f>
        <v/>
      </c>
    </row>
    <row r="8975" spans="9:9" x14ac:dyDescent="0.25">
      <c r="I8975" s="227" t="str">
        <f>MID(excPisCofins[[#This Row],[CodBarras2]],2,50)</f>
        <v/>
      </c>
    </row>
    <row r="8976" spans="9:9" x14ac:dyDescent="0.25">
      <c r="I8976" s="227" t="str">
        <f>MID(excPisCofins[[#This Row],[CodBarras2]],2,50)</f>
        <v/>
      </c>
    </row>
    <row r="8977" spans="9:9" x14ac:dyDescent="0.25">
      <c r="I8977" s="227" t="str">
        <f>MID(excPisCofins[[#This Row],[CodBarras2]],2,50)</f>
        <v/>
      </c>
    </row>
    <row r="8978" spans="9:9" x14ac:dyDescent="0.25">
      <c r="I8978" s="227" t="str">
        <f>MID(excPisCofins[[#This Row],[CodBarras2]],2,50)</f>
        <v/>
      </c>
    </row>
    <row r="8979" spans="9:9" x14ac:dyDescent="0.25">
      <c r="I8979" s="227" t="str">
        <f>MID(excPisCofins[[#This Row],[CodBarras2]],2,50)</f>
        <v/>
      </c>
    </row>
    <row r="8980" spans="9:9" x14ac:dyDescent="0.25">
      <c r="I8980" s="227" t="str">
        <f>MID(excPisCofins[[#This Row],[CodBarras2]],2,50)</f>
        <v/>
      </c>
    </row>
    <row r="8981" spans="9:9" x14ac:dyDescent="0.25">
      <c r="I8981" s="227" t="str">
        <f>MID(excPisCofins[[#This Row],[CodBarras2]],2,50)</f>
        <v/>
      </c>
    </row>
    <row r="8982" spans="9:9" x14ac:dyDescent="0.25">
      <c r="I8982" s="227" t="str">
        <f>MID(excPisCofins[[#This Row],[CodBarras2]],2,50)</f>
        <v/>
      </c>
    </row>
    <row r="8983" spans="9:9" x14ac:dyDescent="0.25">
      <c r="I8983" s="227" t="str">
        <f>MID(excPisCofins[[#This Row],[CodBarras2]],2,50)</f>
        <v/>
      </c>
    </row>
    <row r="8984" spans="9:9" x14ac:dyDescent="0.25">
      <c r="I8984" s="227" t="str">
        <f>MID(excPisCofins[[#This Row],[CodBarras2]],2,50)</f>
        <v/>
      </c>
    </row>
    <row r="8985" spans="9:9" x14ac:dyDescent="0.25">
      <c r="I8985" s="227" t="str">
        <f>MID(excPisCofins[[#This Row],[CodBarras2]],2,50)</f>
        <v/>
      </c>
    </row>
    <row r="8986" spans="9:9" x14ac:dyDescent="0.25">
      <c r="I8986" s="227" t="str">
        <f>MID(excPisCofins[[#This Row],[CodBarras2]],2,50)</f>
        <v/>
      </c>
    </row>
    <row r="8987" spans="9:9" x14ac:dyDescent="0.25">
      <c r="I8987" s="227" t="str">
        <f>MID(excPisCofins[[#This Row],[CodBarras2]],2,50)</f>
        <v/>
      </c>
    </row>
    <row r="8988" spans="9:9" x14ac:dyDescent="0.25">
      <c r="I8988" s="227" t="str">
        <f>MID(excPisCofins[[#This Row],[CodBarras2]],2,50)</f>
        <v/>
      </c>
    </row>
    <row r="8989" spans="9:9" x14ac:dyDescent="0.25">
      <c r="I8989" s="227" t="str">
        <f>MID(excPisCofins[[#This Row],[CodBarras2]],2,50)</f>
        <v/>
      </c>
    </row>
    <row r="8990" spans="9:9" x14ac:dyDescent="0.25">
      <c r="I8990" s="227" t="str">
        <f>MID(excPisCofins[[#This Row],[CodBarras2]],2,50)</f>
        <v/>
      </c>
    </row>
    <row r="8991" spans="9:9" x14ac:dyDescent="0.25">
      <c r="I8991" s="227" t="str">
        <f>MID(excPisCofins[[#This Row],[CodBarras2]],2,50)</f>
        <v/>
      </c>
    </row>
    <row r="8992" spans="9:9" x14ac:dyDescent="0.25">
      <c r="I8992" s="227" t="str">
        <f>MID(excPisCofins[[#This Row],[CodBarras2]],2,50)</f>
        <v/>
      </c>
    </row>
    <row r="8993" spans="9:9" x14ac:dyDescent="0.25">
      <c r="I8993" s="227" t="str">
        <f>MID(excPisCofins[[#This Row],[CodBarras2]],2,50)</f>
        <v/>
      </c>
    </row>
    <row r="8994" spans="9:9" x14ac:dyDescent="0.25">
      <c r="I8994" s="227" t="str">
        <f>MID(excPisCofins[[#This Row],[CodBarras2]],2,50)</f>
        <v/>
      </c>
    </row>
    <row r="8995" spans="9:9" x14ac:dyDescent="0.25">
      <c r="I8995" s="227" t="str">
        <f>MID(excPisCofins[[#This Row],[CodBarras2]],2,50)</f>
        <v/>
      </c>
    </row>
    <row r="8996" spans="9:9" x14ac:dyDescent="0.25">
      <c r="I8996" s="227" t="str">
        <f>MID(excPisCofins[[#This Row],[CodBarras2]],2,50)</f>
        <v/>
      </c>
    </row>
    <row r="8997" spans="9:9" x14ac:dyDescent="0.25">
      <c r="I8997" s="227" t="str">
        <f>MID(excPisCofins[[#This Row],[CodBarras2]],2,50)</f>
        <v/>
      </c>
    </row>
    <row r="8998" spans="9:9" x14ac:dyDescent="0.25">
      <c r="I8998" s="227" t="str">
        <f>MID(excPisCofins[[#This Row],[CodBarras2]],2,50)</f>
        <v/>
      </c>
    </row>
    <row r="8999" spans="9:9" x14ac:dyDescent="0.25">
      <c r="I8999" s="227" t="str">
        <f>MID(excPisCofins[[#This Row],[CodBarras2]],2,50)</f>
        <v/>
      </c>
    </row>
    <row r="9000" spans="9:9" x14ac:dyDescent="0.25">
      <c r="I9000" s="227" t="str">
        <f>MID(excPisCofins[[#This Row],[CodBarras2]],2,50)</f>
        <v/>
      </c>
    </row>
    <row r="9001" spans="9:9" x14ac:dyDescent="0.25">
      <c r="I9001" s="227" t="str">
        <f>MID(excPisCofins[[#This Row],[CodBarras2]],2,50)</f>
        <v/>
      </c>
    </row>
    <row r="9002" spans="9:9" x14ac:dyDescent="0.25">
      <c r="I9002" s="227" t="str">
        <f>MID(excPisCofins[[#This Row],[CodBarras2]],2,50)</f>
        <v/>
      </c>
    </row>
    <row r="9003" spans="9:9" x14ac:dyDescent="0.25">
      <c r="I9003" s="227" t="str">
        <f>MID(excPisCofins[[#This Row],[CodBarras2]],2,50)</f>
        <v/>
      </c>
    </row>
    <row r="9004" spans="9:9" x14ac:dyDescent="0.25">
      <c r="I9004" s="227" t="str">
        <f>MID(excPisCofins[[#This Row],[CodBarras2]],2,50)</f>
        <v/>
      </c>
    </row>
    <row r="9005" spans="9:9" x14ac:dyDescent="0.25">
      <c r="I9005" s="227" t="str">
        <f>MID(excPisCofins[[#This Row],[CodBarras2]],2,50)</f>
        <v/>
      </c>
    </row>
    <row r="9006" spans="9:9" x14ac:dyDescent="0.25">
      <c r="I9006" s="227" t="str">
        <f>MID(excPisCofins[[#This Row],[CodBarras2]],2,50)</f>
        <v/>
      </c>
    </row>
    <row r="9007" spans="9:9" x14ac:dyDescent="0.25">
      <c r="I9007" s="227" t="str">
        <f>MID(excPisCofins[[#This Row],[CodBarras2]],2,50)</f>
        <v/>
      </c>
    </row>
    <row r="9008" spans="9:9" x14ac:dyDescent="0.25">
      <c r="I9008" s="227" t="str">
        <f>MID(excPisCofins[[#This Row],[CodBarras2]],2,50)</f>
        <v/>
      </c>
    </row>
    <row r="9009" spans="9:9" x14ac:dyDescent="0.25">
      <c r="I9009" s="227" t="str">
        <f>MID(excPisCofins[[#This Row],[CodBarras2]],2,50)</f>
        <v/>
      </c>
    </row>
    <row r="9010" spans="9:9" x14ac:dyDescent="0.25">
      <c r="I9010" s="227" t="str">
        <f>MID(excPisCofins[[#This Row],[CodBarras2]],2,50)</f>
        <v/>
      </c>
    </row>
    <row r="9011" spans="9:9" x14ac:dyDescent="0.25">
      <c r="I9011" s="227" t="str">
        <f>MID(excPisCofins[[#This Row],[CodBarras2]],2,50)</f>
        <v/>
      </c>
    </row>
    <row r="9012" spans="9:9" x14ac:dyDescent="0.25">
      <c r="I9012" s="227" t="str">
        <f>MID(excPisCofins[[#This Row],[CodBarras2]],2,50)</f>
        <v/>
      </c>
    </row>
    <row r="9013" spans="9:9" x14ac:dyDescent="0.25">
      <c r="I9013" s="227" t="str">
        <f>MID(excPisCofins[[#This Row],[CodBarras2]],2,50)</f>
        <v/>
      </c>
    </row>
    <row r="9014" spans="9:9" x14ac:dyDescent="0.25">
      <c r="I9014" s="227" t="str">
        <f>MID(excPisCofins[[#This Row],[CodBarras2]],2,50)</f>
        <v/>
      </c>
    </row>
    <row r="9015" spans="9:9" x14ac:dyDescent="0.25">
      <c r="I9015" s="227" t="str">
        <f>MID(excPisCofins[[#This Row],[CodBarras2]],2,50)</f>
        <v/>
      </c>
    </row>
    <row r="9016" spans="9:9" x14ac:dyDescent="0.25">
      <c r="I9016" s="227" t="str">
        <f>MID(excPisCofins[[#This Row],[CodBarras2]],2,50)</f>
        <v/>
      </c>
    </row>
    <row r="9017" spans="9:9" x14ac:dyDescent="0.25">
      <c r="I9017" s="227" t="str">
        <f>MID(excPisCofins[[#This Row],[CodBarras2]],2,50)</f>
        <v/>
      </c>
    </row>
    <row r="9018" spans="9:9" x14ac:dyDescent="0.25">
      <c r="I9018" s="227" t="str">
        <f>MID(excPisCofins[[#This Row],[CodBarras2]],2,50)</f>
        <v/>
      </c>
    </row>
    <row r="9019" spans="9:9" x14ac:dyDescent="0.25">
      <c r="I9019" s="227" t="str">
        <f>MID(excPisCofins[[#This Row],[CodBarras2]],2,50)</f>
        <v/>
      </c>
    </row>
    <row r="9020" spans="9:9" x14ac:dyDescent="0.25">
      <c r="I9020" s="227" t="str">
        <f>MID(excPisCofins[[#This Row],[CodBarras2]],2,50)</f>
        <v/>
      </c>
    </row>
    <row r="9021" spans="9:9" x14ac:dyDescent="0.25">
      <c r="I9021" s="227" t="str">
        <f>MID(excPisCofins[[#This Row],[CodBarras2]],2,50)</f>
        <v/>
      </c>
    </row>
    <row r="9022" spans="9:9" x14ac:dyDescent="0.25">
      <c r="I9022" s="227" t="str">
        <f>MID(excPisCofins[[#This Row],[CodBarras2]],2,50)</f>
        <v/>
      </c>
    </row>
    <row r="9023" spans="9:9" x14ac:dyDescent="0.25">
      <c r="I9023" s="227" t="str">
        <f>MID(excPisCofins[[#This Row],[CodBarras2]],2,50)</f>
        <v/>
      </c>
    </row>
    <row r="9024" spans="9:9" x14ac:dyDescent="0.25">
      <c r="I9024" s="227" t="str">
        <f>MID(excPisCofins[[#This Row],[CodBarras2]],2,50)</f>
        <v/>
      </c>
    </row>
    <row r="9025" spans="9:9" x14ac:dyDescent="0.25">
      <c r="I9025" s="227" t="str">
        <f>MID(excPisCofins[[#This Row],[CodBarras2]],2,50)</f>
        <v/>
      </c>
    </row>
    <row r="9026" spans="9:9" x14ac:dyDescent="0.25">
      <c r="I9026" s="227" t="str">
        <f>MID(excPisCofins[[#This Row],[CodBarras2]],2,50)</f>
        <v/>
      </c>
    </row>
    <row r="9027" spans="9:9" x14ac:dyDescent="0.25">
      <c r="I9027" s="227" t="str">
        <f>MID(excPisCofins[[#This Row],[CodBarras2]],2,50)</f>
        <v/>
      </c>
    </row>
    <row r="9028" spans="9:9" x14ac:dyDescent="0.25">
      <c r="I9028" s="227" t="str">
        <f>MID(excPisCofins[[#This Row],[CodBarras2]],2,50)</f>
        <v/>
      </c>
    </row>
    <row r="9029" spans="9:9" x14ac:dyDescent="0.25">
      <c r="I9029" s="227" t="str">
        <f>MID(excPisCofins[[#This Row],[CodBarras2]],2,50)</f>
        <v/>
      </c>
    </row>
    <row r="9030" spans="9:9" x14ac:dyDescent="0.25">
      <c r="I9030" s="227" t="str">
        <f>MID(excPisCofins[[#This Row],[CodBarras2]],2,50)</f>
        <v/>
      </c>
    </row>
    <row r="9031" spans="9:9" x14ac:dyDescent="0.25">
      <c r="I9031" s="227" t="str">
        <f>MID(excPisCofins[[#This Row],[CodBarras2]],2,50)</f>
        <v/>
      </c>
    </row>
    <row r="9032" spans="9:9" x14ac:dyDescent="0.25">
      <c r="I9032" s="227" t="str">
        <f>MID(excPisCofins[[#This Row],[CodBarras2]],2,50)</f>
        <v/>
      </c>
    </row>
    <row r="9033" spans="9:9" x14ac:dyDescent="0.25">
      <c r="I9033" s="227" t="str">
        <f>MID(excPisCofins[[#This Row],[CodBarras2]],2,50)</f>
        <v/>
      </c>
    </row>
    <row r="9034" spans="9:9" x14ac:dyDescent="0.25">
      <c r="I9034" s="227" t="str">
        <f>MID(excPisCofins[[#This Row],[CodBarras2]],2,50)</f>
        <v/>
      </c>
    </row>
    <row r="9035" spans="9:9" x14ac:dyDescent="0.25">
      <c r="I9035" s="227" t="str">
        <f>MID(excPisCofins[[#This Row],[CodBarras2]],2,50)</f>
        <v/>
      </c>
    </row>
    <row r="9036" spans="9:9" x14ac:dyDescent="0.25">
      <c r="I9036" s="227" t="str">
        <f>MID(excPisCofins[[#This Row],[CodBarras2]],2,50)</f>
        <v/>
      </c>
    </row>
    <row r="9037" spans="9:9" x14ac:dyDescent="0.25">
      <c r="I9037" s="227" t="str">
        <f>MID(excPisCofins[[#This Row],[CodBarras2]],2,50)</f>
        <v/>
      </c>
    </row>
    <row r="9038" spans="9:9" x14ac:dyDescent="0.25">
      <c r="I9038" s="227" t="str">
        <f>MID(excPisCofins[[#This Row],[CodBarras2]],2,50)</f>
        <v/>
      </c>
    </row>
    <row r="9039" spans="9:9" x14ac:dyDescent="0.25">
      <c r="I9039" s="227" t="str">
        <f>MID(excPisCofins[[#This Row],[CodBarras2]],2,50)</f>
        <v/>
      </c>
    </row>
    <row r="9040" spans="9:9" x14ac:dyDescent="0.25">
      <c r="I9040" s="227" t="str">
        <f>MID(excPisCofins[[#This Row],[CodBarras2]],2,50)</f>
        <v/>
      </c>
    </row>
    <row r="9041" spans="9:9" x14ac:dyDescent="0.25">
      <c r="I9041" s="227" t="str">
        <f>MID(excPisCofins[[#This Row],[CodBarras2]],2,50)</f>
        <v/>
      </c>
    </row>
    <row r="9042" spans="9:9" x14ac:dyDescent="0.25">
      <c r="I9042" s="227" t="str">
        <f>MID(excPisCofins[[#This Row],[CodBarras2]],2,50)</f>
        <v/>
      </c>
    </row>
    <row r="9043" spans="9:9" x14ac:dyDescent="0.25">
      <c r="I9043" s="227" t="str">
        <f>MID(excPisCofins[[#This Row],[CodBarras2]],2,50)</f>
        <v/>
      </c>
    </row>
    <row r="9044" spans="9:9" x14ac:dyDescent="0.25">
      <c r="I9044" s="227" t="str">
        <f>MID(excPisCofins[[#This Row],[CodBarras2]],2,50)</f>
        <v/>
      </c>
    </row>
    <row r="9045" spans="9:9" x14ac:dyDescent="0.25">
      <c r="I9045" s="227" t="str">
        <f>MID(excPisCofins[[#This Row],[CodBarras2]],2,50)</f>
        <v/>
      </c>
    </row>
    <row r="9046" spans="9:9" x14ac:dyDescent="0.25">
      <c r="I9046" s="227" t="str">
        <f>MID(excPisCofins[[#This Row],[CodBarras2]],2,50)</f>
        <v/>
      </c>
    </row>
    <row r="9047" spans="9:9" x14ac:dyDescent="0.25">
      <c r="I9047" s="227" t="str">
        <f>MID(excPisCofins[[#This Row],[CodBarras2]],2,50)</f>
        <v/>
      </c>
    </row>
    <row r="9048" spans="9:9" x14ac:dyDescent="0.25">
      <c r="I9048" s="227" t="str">
        <f>MID(excPisCofins[[#This Row],[CodBarras2]],2,50)</f>
        <v/>
      </c>
    </row>
    <row r="9049" spans="9:9" x14ac:dyDescent="0.25">
      <c r="I9049" s="227" t="str">
        <f>MID(excPisCofins[[#This Row],[CodBarras2]],2,50)</f>
        <v/>
      </c>
    </row>
    <row r="9050" spans="9:9" x14ac:dyDescent="0.25">
      <c r="I9050" s="227" t="str">
        <f>MID(excPisCofins[[#This Row],[CodBarras2]],2,50)</f>
        <v/>
      </c>
    </row>
    <row r="9051" spans="9:9" x14ac:dyDescent="0.25">
      <c r="I9051" s="227" t="str">
        <f>MID(excPisCofins[[#This Row],[CodBarras2]],2,50)</f>
        <v/>
      </c>
    </row>
    <row r="9052" spans="9:9" x14ac:dyDescent="0.25">
      <c r="I9052" s="227" t="str">
        <f>MID(excPisCofins[[#This Row],[CodBarras2]],2,50)</f>
        <v/>
      </c>
    </row>
    <row r="9053" spans="9:9" x14ac:dyDescent="0.25">
      <c r="I9053" s="227" t="str">
        <f>MID(excPisCofins[[#This Row],[CodBarras2]],2,50)</f>
        <v/>
      </c>
    </row>
    <row r="9054" spans="9:9" x14ac:dyDescent="0.25">
      <c r="I9054" s="227" t="str">
        <f>MID(excPisCofins[[#This Row],[CodBarras2]],2,50)</f>
        <v/>
      </c>
    </row>
    <row r="9055" spans="9:9" x14ac:dyDescent="0.25">
      <c r="I9055" s="227" t="str">
        <f>MID(excPisCofins[[#This Row],[CodBarras2]],2,50)</f>
        <v/>
      </c>
    </row>
    <row r="9056" spans="9:9" x14ac:dyDescent="0.25">
      <c r="I9056" s="227" t="str">
        <f>MID(excPisCofins[[#This Row],[CodBarras2]],2,50)</f>
        <v/>
      </c>
    </row>
    <row r="9057" spans="9:9" x14ac:dyDescent="0.25">
      <c r="I9057" s="227" t="str">
        <f>MID(excPisCofins[[#This Row],[CodBarras2]],2,50)</f>
        <v/>
      </c>
    </row>
    <row r="9058" spans="9:9" x14ac:dyDescent="0.25">
      <c r="I9058" s="227" t="str">
        <f>MID(excPisCofins[[#This Row],[CodBarras2]],2,50)</f>
        <v/>
      </c>
    </row>
    <row r="9059" spans="9:9" x14ac:dyDescent="0.25">
      <c r="I9059" s="227" t="str">
        <f>MID(excPisCofins[[#This Row],[CodBarras2]],2,50)</f>
        <v/>
      </c>
    </row>
    <row r="9060" spans="9:9" x14ac:dyDescent="0.25">
      <c r="I9060" s="227" t="str">
        <f>MID(excPisCofins[[#This Row],[CodBarras2]],2,50)</f>
        <v/>
      </c>
    </row>
    <row r="9061" spans="9:9" x14ac:dyDescent="0.25">
      <c r="I9061" s="227" t="str">
        <f>MID(excPisCofins[[#This Row],[CodBarras2]],2,50)</f>
        <v/>
      </c>
    </row>
    <row r="9062" spans="9:9" x14ac:dyDescent="0.25">
      <c r="I9062" s="227" t="str">
        <f>MID(excPisCofins[[#This Row],[CodBarras2]],2,50)</f>
        <v/>
      </c>
    </row>
    <row r="9063" spans="9:9" x14ac:dyDescent="0.25">
      <c r="I9063" s="227" t="str">
        <f>MID(excPisCofins[[#This Row],[CodBarras2]],2,50)</f>
        <v/>
      </c>
    </row>
    <row r="9064" spans="9:9" x14ac:dyDescent="0.25">
      <c r="I9064" s="227" t="str">
        <f>MID(excPisCofins[[#This Row],[CodBarras2]],2,50)</f>
        <v/>
      </c>
    </row>
    <row r="9065" spans="9:9" x14ac:dyDescent="0.25">
      <c r="I9065" s="227" t="str">
        <f>MID(excPisCofins[[#This Row],[CodBarras2]],2,50)</f>
        <v/>
      </c>
    </row>
    <row r="9066" spans="9:9" x14ac:dyDescent="0.25">
      <c r="I9066" s="227" t="str">
        <f>MID(excPisCofins[[#This Row],[CodBarras2]],2,50)</f>
        <v/>
      </c>
    </row>
    <row r="9067" spans="9:9" x14ac:dyDescent="0.25">
      <c r="I9067" s="227" t="str">
        <f>MID(excPisCofins[[#This Row],[CodBarras2]],2,50)</f>
        <v/>
      </c>
    </row>
    <row r="9068" spans="9:9" x14ac:dyDescent="0.25">
      <c r="I9068" s="227" t="str">
        <f>MID(excPisCofins[[#This Row],[CodBarras2]],2,50)</f>
        <v/>
      </c>
    </row>
    <row r="9069" spans="9:9" x14ac:dyDescent="0.25">
      <c r="I9069" s="227" t="str">
        <f>MID(excPisCofins[[#This Row],[CodBarras2]],2,50)</f>
        <v/>
      </c>
    </row>
    <row r="9070" spans="9:9" x14ac:dyDescent="0.25">
      <c r="I9070" s="227" t="str">
        <f>MID(excPisCofins[[#This Row],[CodBarras2]],2,50)</f>
        <v/>
      </c>
    </row>
    <row r="9071" spans="9:9" x14ac:dyDescent="0.25">
      <c r="I9071" s="227" t="str">
        <f>MID(excPisCofins[[#This Row],[CodBarras2]],2,50)</f>
        <v/>
      </c>
    </row>
    <row r="9072" spans="9:9" x14ac:dyDescent="0.25">
      <c r="I9072" s="227" t="str">
        <f>MID(excPisCofins[[#This Row],[CodBarras2]],2,50)</f>
        <v/>
      </c>
    </row>
    <row r="9073" spans="9:9" x14ac:dyDescent="0.25">
      <c r="I9073" s="227" t="str">
        <f>MID(excPisCofins[[#This Row],[CodBarras2]],2,50)</f>
        <v/>
      </c>
    </row>
    <row r="9074" spans="9:9" x14ac:dyDescent="0.25">
      <c r="I9074" s="227" t="str">
        <f>MID(excPisCofins[[#This Row],[CodBarras2]],2,50)</f>
        <v/>
      </c>
    </row>
    <row r="9075" spans="9:9" x14ac:dyDescent="0.25">
      <c r="I9075" s="227" t="str">
        <f>MID(excPisCofins[[#This Row],[CodBarras2]],2,50)</f>
        <v/>
      </c>
    </row>
    <row r="9076" spans="9:9" x14ac:dyDescent="0.25">
      <c r="I9076" s="227" t="str">
        <f>MID(excPisCofins[[#This Row],[CodBarras2]],2,50)</f>
        <v/>
      </c>
    </row>
    <row r="9077" spans="9:9" x14ac:dyDescent="0.25">
      <c r="I9077" s="227" t="str">
        <f>MID(excPisCofins[[#This Row],[CodBarras2]],2,50)</f>
        <v/>
      </c>
    </row>
    <row r="9078" spans="9:9" x14ac:dyDescent="0.25">
      <c r="I9078" s="227" t="str">
        <f>MID(excPisCofins[[#This Row],[CodBarras2]],2,50)</f>
        <v/>
      </c>
    </row>
    <row r="9079" spans="9:9" x14ac:dyDescent="0.25">
      <c r="I9079" s="227" t="str">
        <f>MID(excPisCofins[[#This Row],[CodBarras2]],2,50)</f>
        <v/>
      </c>
    </row>
    <row r="9080" spans="9:9" x14ac:dyDescent="0.25">
      <c r="I9080" s="227" t="str">
        <f>MID(excPisCofins[[#This Row],[CodBarras2]],2,50)</f>
        <v/>
      </c>
    </row>
    <row r="9081" spans="9:9" x14ac:dyDescent="0.25">
      <c r="I9081" s="227" t="str">
        <f>MID(excPisCofins[[#This Row],[CodBarras2]],2,50)</f>
        <v/>
      </c>
    </row>
    <row r="9082" spans="9:9" x14ac:dyDescent="0.25">
      <c r="I9082" s="227" t="str">
        <f>MID(excPisCofins[[#This Row],[CodBarras2]],2,50)</f>
        <v/>
      </c>
    </row>
    <row r="9083" spans="9:9" x14ac:dyDescent="0.25">
      <c r="I9083" s="227" t="str">
        <f>MID(excPisCofins[[#This Row],[CodBarras2]],2,50)</f>
        <v/>
      </c>
    </row>
    <row r="9084" spans="9:9" x14ac:dyDescent="0.25">
      <c r="I9084" s="227" t="str">
        <f>MID(excPisCofins[[#This Row],[CodBarras2]],2,50)</f>
        <v/>
      </c>
    </row>
    <row r="9085" spans="9:9" x14ac:dyDescent="0.25">
      <c r="I9085" s="227" t="str">
        <f>MID(excPisCofins[[#This Row],[CodBarras2]],2,50)</f>
        <v/>
      </c>
    </row>
    <row r="9086" spans="9:9" x14ac:dyDescent="0.25">
      <c r="I9086" s="227" t="str">
        <f>MID(excPisCofins[[#This Row],[CodBarras2]],2,50)</f>
        <v/>
      </c>
    </row>
    <row r="9087" spans="9:9" x14ac:dyDescent="0.25">
      <c r="I9087" s="227" t="str">
        <f>MID(excPisCofins[[#This Row],[CodBarras2]],2,50)</f>
        <v/>
      </c>
    </row>
    <row r="9088" spans="9:9" x14ac:dyDescent="0.25">
      <c r="I9088" s="227" t="str">
        <f>MID(excPisCofins[[#This Row],[CodBarras2]],2,50)</f>
        <v/>
      </c>
    </row>
    <row r="9089" spans="9:9" x14ac:dyDescent="0.25">
      <c r="I9089" s="227" t="str">
        <f>MID(excPisCofins[[#This Row],[CodBarras2]],2,50)</f>
        <v/>
      </c>
    </row>
    <row r="9090" spans="9:9" x14ac:dyDescent="0.25">
      <c r="I9090" s="227" t="str">
        <f>MID(excPisCofins[[#This Row],[CodBarras2]],2,50)</f>
        <v/>
      </c>
    </row>
    <row r="9091" spans="9:9" x14ac:dyDescent="0.25">
      <c r="I9091" s="227" t="str">
        <f>MID(excPisCofins[[#This Row],[CodBarras2]],2,50)</f>
        <v/>
      </c>
    </row>
    <row r="9092" spans="9:9" x14ac:dyDescent="0.25">
      <c r="I9092" s="227" t="str">
        <f>MID(excPisCofins[[#This Row],[CodBarras2]],2,50)</f>
        <v/>
      </c>
    </row>
    <row r="9093" spans="9:9" x14ac:dyDescent="0.25">
      <c r="I9093" s="227" t="str">
        <f>MID(excPisCofins[[#This Row],[CodBarras2]],2,50)</f>
        <v/>
      </c>
    </row>
    <row r="9094" spans="9:9" x14ac:dyDescent="0.25">
      <c r="I9094" s="227" t="str">
        <f>MID(excPisCofins[[#This Row],[CodBarras2]],2,50)</f>
        <v/>
      </c>
    </row>
    <row r="9095" spans="9:9" x14ac:dyDescent="0.25">
      <c r="I9095" s="227" t="str">
        <f>MID(excPisCofins[[#This Row],[CodBarras2]],2,50)</f>
        <v/>
      </c>
    </row>
    <row r="9096" spans="9:9" x14ac:dyDescent="0.25">
      <c r="I9096" s="227" t="str">
        <f>MID(excPisCofins[[#This Row],[CodBarras2]],2,50)</f>
        <v/>
      </c>
    </row>
    <row r="9097" spans="9:9" x14ac:dyDescent="0.25">
      <c r="I9097" s="227" t="str">
        <f>MID(excPisCofins[[#This Row],[CodBarras2]],2,50)</f>
        <v/>
      </c>
    </row>
    <row r="9098" spans="9:9" x14ac:dyDescent="0.25">
      <c r="I9098" s="227" t="str">
        <f>MID(excPisCofins[[#This Row],[CodBarras2]],2,50)</f>
        <v/>
      </c>
    </row>
    <row r="9099" spans="9:9" x14ac:dyDescent="0.25">
      <c r="I9099" s="227" t="str">
        <f>MID(excPisCofins[[#This Row],[CodBarras2]],2,50)</f>
        <v/>
      </c>
    </row>
    <row r="9100" spans="9:9" x14ac:dyDescent="0.25">
      <c r="I9100" s="227" t="str">
        <f>MID(excPisCofins[[#This Row],[CodBarras2]],2,50)</f>
        <v/>
      </c>
    </row>
    <row r="9101" spans="9:9" x14ac:dyDescent="0.25">
      <c r="I9101" s="227" t="str">
        <f>MID(excPisCofins[[#This Row],[CodBarras2]],2,50)</f>
        <v/>
      </c>
    </row>
    <row r="9102" spans="9:9" x14ac:dyDescent="0.25">
      <c r="I9102" s="227" t="str">
        <f>MID(excPisCofins[[#This Row],[CodBarras2]],2,50)</f>
        <v/>
      </c>
    </row>
    <row r="9103" spans="9:9" x14ac:dyDescent="0.25">
      <c r="I9103" s="227" t="str">
        <f>MID(excPisCofins[[#This Row],[CodBarras2]],2,50)</f>
        <v/>
      </c>
    </row>
    <row r="9104" spans="9:9" x14ac:dyDescent="0.25">
      <c r="I9104" s="227" t="str">
        <f>MID(excPisCofins[[#This Row],[CodBarras2]],2,50)</f>
        <v/>
      </c>
    </row>
    <row r="9105" spans="9:9" x14ac:dyDescent="0.25">
      <c r="I9105" s="227" t="str">
        <f>MID(excPisCofins[[#This Row],[CodBarras2]],2,50)</f>
        <v/>
      </c>
    </row>
    <row r="9106" spans="9:9" x14ac:dyDescent="0.25">
      <c r="I9106" s="227" t="str">
        <f>MID(excPisCofins[[#This Row],[CodBarras2]],2,50)</f>
        <v/>
      </c>
    </row>
    <row r="9107" spans="9:9" x14ac:dyDescent="0.25">
      <c r="I9107" s="227" t="str">
        <f>MID(excPisCofins[[#This Row],[CodBarras2]],2,50)</f>
        <v/>
      </c>
    </row>
    <row r="9108" spans="9:9" x14ac:dyDescent="0.25">
      <c r="I9108" s="227" t="str">
        <f>MID(excPisCofins[[#This Row],[CodBarras2]],2,50)</f>
        <v/>
      </c>
    </row>
    <row r="9109" spans="9:9" x14ac:dyDescent="0.25">
      <c r="I9109" s="227" t="str">
        <f>MID(excPisCofins[[#This Row],[CodBarras2]],2,50)</f>
        <v/>
      </c>
    </row>
    <row r="9110" spans="9:9" x14ac:dyDescent="0.25">
      <c r="I9110" s="227" t="str">
        <f>MID(excPisCofins[[#This Row],[CodBarras2]],2,50)</f>
        <v/>
      </c>
    </row>
    <row r="9111" spans="9:9" x14ac:dyDescent="0.25">
      <c r="I9111" s="227" t="str">
        <f>MID(excPisCofins[[#This Row],[CodBarras2]],2,50)</f>
        <v/>
      </c>
    </row>
    <row r="9112" spans="9:9" x14ac:dyDescent="0.25">
      <c r="I9112" s="227" t="str">
        <f>MID(excPisCofins[[#This Row],[CodBarras2]],2,50)</f>
        <v/>
      </c>
    </row>
    <row r="9113" spans="9:9" x14ac:dyDescent="0.25">
      <c r="I9113" s="227" t="str">
        <f>MID(excPisCofins[[#This Row],[CodBarras2]],2,50)</f>
        <v/>
      </c>
    </row>
    <row r="9114" spans="9:9" x14ac:dyDescent="0.25">
      <c r="I9114" s="227" t="str">
        <f>MID(excPisCofins[[#This Row],[CodBarras2]],2,50)</f>
        <v/>
      </c>
    </row>
    <row r="9115" spans="9:9" x14ac:dyDescent="0.25">
      <c r="I9115" s="227" t="str">
        <f>MID(excPisCofins[[#This Row],[CodBarras2]],2,50)</f>
        <v/>
      </c>
    </row>
    <row r="9116" spans="9:9" x14ac:dyDescent="0.25">
      <c r="I9116" s="227" t="str">
        <f>MID(excPisCofins[[#This Row],[CodBarras2]],2,50)</f>
        <v/>
      </c>
    </row>
    <row r="9117" spans="9:9" x14ac:dyDescent="0.25">
      <c r="I9117" s="227" t="str">
        <f>MID(excPisCofins[[#This Row],[CodBarras2]],2,50)</f>
        <v/>
      </c>
    </row>
    <row r="9118" spans="9:9" x14ac:dyDescent="0.25">
      <c r="I9118" s="227" t="str">
        <f>MID(excPisCofins[[#This Row],[CodBarras2]],2,50)</f>
        <v/>
      </c>
    </row>
    <row r="9119" spans="9:9" x14ac:dyDescent="0.25">
      <c r="I9119" s="227" t="str">
        <f>MID(excPisCofins[[#This Row],[CodBarras2]],2,50)</f>
        <v/>
      </c>
    </row>
    <row r="9120" spans="9:9" x14ac:dyDescent="0.25">
      <c r="I9120" s="227" t="str">
        <f>MID(excPisCofins[[#This Row],[CodBarras2]],2,50)</f>
        <v/>
      </c>
    </row>
    <row r="9121" spans="9:9" x14ac:dyDescent="0.25">
      <c r="I9121" s="227" t="str">
        <f>MID(excPisCofins[[#This Row],[CodBarras2]],2,50)</f>
        <v/>
      </c>
    </row>
    <row r="9122" spans="9:9" x14ac:dyDescent="0.25">
      <c r="I9122" s="227" t="str">
        <f>MID(excPisCofins[[#This Row],[CodBarras2]],2,50)</f>
        <v/>
      </c>
    </row>
    <row r="9123" spans="9:9" x14ac:dyDescent="0.25">
      <c r="I9123" s="227" t="str">
        <f>MID(excPisCofins[[#This Row],[CodBarras2]],2,50)</f>
        <v/>
      </c>
    </row>
    <row r="9124" spans="9:9" x14ac:dyDescent="0.25">
      <c r="I9124" s="227" t="str">
        <f>MID(excPisCofins[[#This Row],[CodBarras2]],2,50)</f>
        <v/>
      </c>
    </row>
    <row r="9125" spans="9:9" x14ac:dyDescent="0.25">
      <c r="I9125" s="227" t="str">
        <f>MID(excPisCofins[[#This Row],[CodBarras2]],2,50)</f>
        <v/>
      </c>
    </row>
    <row r="9126" spans="9:9" x14ac:dyDescent="0.25">
      <c r="I9126" s="227" t="str">
        <f>MID(excPisCofins[[#This Row],[CodBarras2]],2,50)</f>
        <v/>
      </c>
    </row>
    <row r="9127" spans="9:9" x14ac:dyDescent="0.25">
      <c r="I9127" s="227" t="str">
        <f>MID(excPisCofins[[#This Row],[CodBarras2]],2,50)</f>
        <v/>
      </c>
    </row>
    <row r="9128" spans="9:9" x14ac:dyDescent="0.25">
      <c r="I9128" s="227" t="str">
        <f>MID(excPisCofins[[#This Row],[CodBarras2]],2,50)</f>
        <v/>
      </c>
    </row>
    <row r="9129" spans="9:9" x14ac:dyDescent="0.25">
      <c r="I9129" s="227" t="str">
        <f>MID(excPisCofins[[#This Row],[CodBarras2]],2,50)</f>
        <v/>
      </c>
    </row>
    <row r="9130" spans="9:9" x14ac:dyDescent="0.25">
      <c r="I9130" s="227" t="str">
        <f>MID(excPisCofins[[#This Row],[CodBarras2]],2,50)</f>
        <v/>
      </c>
    </row>
    <row r="9131" spans="9:9" x14ac:dyDescent="0.25">
      <c r="I9131" s="227" t="str">
        <f>MID(excPisCofins[[#This Row],[CodBarras2]],2,50)</f>
        <v/>
      </c>
    </row>
    <row r="9132" spans="9:9" x14ac:dyDescent="0.25">
      <c r="I9132" s="227" t="str">
        <f>MID(excPisCofins[[#This Row],[CodBarras2]],2,50)</f>
        <v/>
      </c>
    </row>
    <row r="9133" spans="9:9" x14ac:dyDescent="0.25">
      <c r="I9133" s="227" t="str">
        <f>MID(excPisCofins[[#This Row],[CodBarras2]],2,50)</f>
        <v/>
      </c>
    </row>
    <row r="9134" spans="9:9" x14ac:dyDescent="0.25">
      <c r="I9134" s="227" t="str">
        <f>MID(excPisCofins[[#This Row],[CodBarras2]],2,50)</f>
        <v/>
      </c>
    </row>
    <row r="9135" spans="9:9" x14ac:dyDescent="0.25">
      <c r="I9135" s="227" t="str">
        <f>MID(excPisCofins[[#This Row],[CodBarras2]],2,50)</f>
        <v/>
      </c>
    </row>
    <row r="9136" spans="9:9" x14ac:dyDescent="0.25">
      <c r="I9136" s="227" t="str">
        <f>MID(excPisCofins[[#This Row],[CodBarras2]],2,50)</f>
        <v/>
      </c>
    </row>
    <row r="9137" spans="9:9" x14ac:dyDescent="0.25">
      <c r="I9137" s="227" t="str">
        <f>MID(excPisCofins[[#This Row],[CodBarras2]],2,50)</f>
        <v/>
      </c>
    </row>
    <row r="9138" spans="9:9" x14ac:dyDescent="0.25">
      <c r="I9138" s="227" t="str">
        <f>MID(excPisCofins[[#This Row],[CodBarras2]],2,50)</f>
        <v/>
      </c>
    </row>
    <row r="9139" spans="9:9" x14ac:dyDescent="0.25">
      <c r="I9139" s="227" t="str">
        <f>MID(excPisCofins[[#This Row],[CodBarras2]],2,50)</f>
        <v/>
      </c>
    </row>
    <row r="9140" spans="9:9" x14ac:dyDescent="0.25">
      <c r="I9140" s="227" t="str">
        <f>MID(excPisCofins[[#This Row],[CodBarras2]],2,50)</f>
        <v/>
      </c>
    </row>
    <row r="9141" spans="9:9" x14ac:dyDescent="0.25">
      <c r="I9141" s="227" t="str">
        <f>MID(excPisCofins[[#This Row],[CodBarras2]],2,50)</f>
        <v/>
      </c>
    </row>
    <row r="9142" spans="9:9" x14ac:dyDescent="0.25">
      <c r="I9142" s="227" t="str">
        <f>MID(excPisCofins[[#This Row],[CodBarras2]],2,50)</f>
        <v/>
      </c>
    </row>
    <row r="9143" spans="9:9" x14ac:dyDescent="0.25">
      <c r="I9143" s="227" t="str">
        <f>MID(excPisCofins[[#This Row],[CodBarras2]],2,50)</f>
        <v/>
      </c>
    </row>
    <row r="9144" spans="9:9" x14ac:dyDescent="0.25">
      <c r="I9144" s="227" t="str">
        <f>MID(excPisCofins[[#This Row],[CodBarras2]],2,50)</f>
        <v/>
      </c>
    </row>
    <row r="9145" spans="9:9" x14ac:dyDescent="0.25">
      <c r="I9145" s="227" t="str">
        <f>MID(excPisCofins[[#This Row],[CodBarras2]],2,50)</f>
        <v/>
      </c>
    </row>
    <row r="9146" spans="9:9" x14ac:dyDescent="0.25">
      <c r="I9146" s="227" t="str">
        <f>MID(excPisCofins[[#This Row],[CodBarras2]],2,50)</f>
        <v/>
      </c>
    </row>
    <row r="9147" spans="9:9" x14ac:dyDescent="0.25">
      <c r="I9147" s="227" t="str">
        <f>MID(excPisCofins[[#This Row],[CodBarras2]],2,50)</f>
        <v/>
      </c>
    </row>
    <row r="9148" spans="9:9" x14ac:dyDescent="0.25">
      <c r="I9148" s="227" t="str">
        <f>MID(excPisCofins[[#This Row],[CodBarras2]],2,50)</f>
        <v/>
      </c>
    </row>
    <row r="9149" spans="9:9" x14ac:dyDescent="0.25">
      <c r="I9149" s="227" t="str">
        <f>MID(excPisCofins[[#This Row],[CodBarras2]],2,50)</f>
        <v/>
      </c>
    </row>
    <row r="9150" spans="9:9" x14ac:dyDescent="0.25">
      <c r="I9150" s="227" t="str">
        <f>MID(excPisCofins[[#This Row],[CodBarras2]],2,50)</f>
        <v/>
      </c>
    </row>
    <row r="9151" spans="9:9" x14ac:dyDescent="0.25">
      <c r="I9151" s="227" t="str">
        <f>MID(excPisCofins[[#This Row],[CodBarras2]],2,50)</f>
        <v/>
      </c>
    </row>
    <row r="9152" spans="9:9" x14ac:dyDescent="0.25">
      <c r="I9152" s="227" t="str">
        <f>MID(excPisCofins[[#This Row],[CodBarras2]],2,50)</f>
        <v/>
      </c>
    </row>
    <row r="9153" spans="9:9" x14ac:dyDescent="0.25">
      <c r="I9153" s="227" t="str">
        <f>MID(excPisCofins[[#This Row],[CodBarras2]],2,50)</f>
        <v/>
      </c>
    </row>
    <row r="9154" spans="9:9" x14ac:dyDescent="0.25">
      <c r="I9154" s="227" t="str">
        <f>MID(excPisCofins[[#This Row],[CodBarras2]],2,50)</f>
        <v/>
      </c>
    </row>
    <row r="9155" spans="9:9" x14ac:dyDescent="0.25">
      <c r="I9155" s="227" t="str">
        <f>MID(excPisCofins[[#This Row],[CodBarras2]],2,50)</f>
        <v/>
      </c>
    </row>
    <row r="9156" spans="9:9" x14ac:dyDescent="0.25">
      <c r="I9156" s="227" t="str">
        <f>MID(excPisCofins[[#This Row],[CodBarras2]],2,50)</f>
        <v/>
      </c>
    </row>
    <row r="9157" spans="9:9" x14ac:dyDescent="0.25">
      <c r="I9157" s="227" t="str">
        <f>MID(excPisCofins[[#This Row],[CodBarras2]],2,50)</f>
        <v/>
      </c>
    </row>
    <row r="9158" spans="9:9" x14ac:dyDescent="0.25">
      <c r="I9158" s="227" t="str">
        <f>MID(excPisCofins[[#This Row],[CodBarras2]],2,50)</f>
        <v/>
      </c>
    </row>
    <row r="9159" spans="9:9" x14ac:dyDescent="0.25">
      <c r="I9159" s="227" t="str">
        <f>MID(excPisCofins[[#This Row],[CodBarras2]],2,50)</f>
        <v/>
      </c>
    </row>
    <row r="9160" spans="9:9" x14ac:dyDescent="0.25">
      <c r="I9160" s="227" t="str">
        <f>MID(excPisCofins[[#This Row],[CodBarras2]],2,50)</f>
        <v/>
      </c>
    </row>
    <row r="9161" spans="9:9" x14ac:dyDescent="0.25">
      <c r="I9161" s="227" t="str">
        <f>MID(excPisCofins[[#This Row],[CodBarras2]],2,50)</f>
        <v/>
      </c>
    </row>
    <row r="9162" spans="9:9" x14ac:dyDescent="0.25">
      <c r="I9162" s="227" t="str">
        <f>MID(excPisCofins[[#This Row],[CodBarras2]],2,50)</f>
        <v/>
      </c>
    </row>
    <row r="9163" spans="9:9" x14ac:dyDescent="0.25">
      <c r="I9163" s="227" t="str">
        <f>MID(excPisCofins[[#This Row],[CodBarras2]],2,50)</f>
        <v/>
      </c>
    </row>
    <row r="9164" spans="9:9" x14ac:dyDescent="0.25">
      <c r="I9164" s="227" t="str">
        <f>MID(excPisCofins[[#This Row],[CodBarras2]],2,50)</f>
        <v/>
      </c>
    </row>
    <row r="9165" spans="9:9" x14ac:dyDescent="0.25">
      <c r="I9165" s="227" t="str">
        <f>MID(excPisCofins[[#This Row],[CodBarras2]],2,50)</f>
        <v/>
      </c>
    </row>
    <row r="9166" spans="9:9" x14ac:dyDescent="0.25">
      <c r="I9166" s="227" t="str">
        <f>MID(excPisCofins[[#This Row],[CodBarras2]],2,50)</f>
        <v/>
      </c>
    </row>
    <row r="9167" spans="9:9" x14ac:dyDescent="0.25">
      <c r="I9167" s="227" t="str">
        <f>MID(excPisCofins[[#This Row],[CodBarras2]],2,50)</f>
        <v/>
      </c>
    </row>
    <row r="9168" spans="9:9" x14ac:dyDescent="0.25">
      <c r="I9168" s="227" t="str">
        <f>MID(excPisCofins[[#This Row],[CodBarras2]],2,50)</f>
        <v/>
      </c>
    </row>
    <row r="9169" spans="9:9" x14ac:dyDescent="0.25">
      <c r="I9169" s="227" t="str">
        <f>MID(excPisCofins[[#This Row],[CodBarras2]],2,50)</f>
        <v/>
      </c>
    </row>
    <row r="9170" spans="9:9" x14ac:dyDescent="0.25">
      <c r="I9170" s="227" t="str">
        <f>MID(excPisCofins[[#This Row],[CodBarras2]],2,50)</f>
        <v/>
      </c>
    </row>
    <row r="9171" spans="9:9" x14ac:dyDescent="0.25">
      <c r="I9171" s="227" t="str">
        <f>MID(excPisCofins[[#This Row],[CodBarras2]],2,50)</f>
        <v/>
      </c>
    </row>
    <row r="9172" spans="9:9" x14ac:dyDescent="0.25">
      <c r="I9172" s="227" t="str">
        <f>MID(excPisCofins[[#This Row],[CodBarras2]],2,50)</f>
        <v/>
      </c>
    </row>
    <row r="9173" spans="9:9" x14ac:dyDescent="0.25">
      <c r="I9173" s="227" t="str">
        <f>MID(excPisCofins[[#This Row],[CodBarras2]],2,50)</f>
        <v/>
      </c>
    </row>
    <row r="9174" spans="9:9" x14ac:dyDescent="0.25">
      <c r="I9174" s="227" t="str">
        <f>MID(excPisCofins[[#This Row],[CodBarras2]],2,50)</f>
        <v/>
      </c>
    </row>
    <row r="9175" spans="9:9" x14ac:dyDescent="0.25">
      <c r="I9175" s="227" t="str">
        <f>MID(excPisCofins[[#This Row],[CodBarras2]],2,50)</f>
        <v/>
      </c>
    </row>
    <row r="9176" spans="9:9" x14ac:dyDescent="0.25">
      <c r="I9176" s="227" t="str">
        <f>MID(excPisCofins[[#This Row],[CodBarras2]],2,50)</f>
        <v/>
      </c>
    </row>
    <row r="9177" spans="9:9" x14ac:dyDescent="0.25">
      <c r="I9177" s="227" t="str">
        <f>MID(excPisCofins[[#This Row],[CodBarras2]],2,50)</f>
        <v/>
      </c>
    </row>
    <row r="9178" spans="9:9" x14ac:dyDescent="0.25">
      <c r="I9178" s="227" t="str">
        <f>MID(excPisCofins[[#This Row],[CodBarras2]],2,50)</f>
        <v/>
      </c>
    </row>
    <row r="9179" spans="9:9" x14ac:dyDescent="0.25">
      <c r="I9179" s="227" t="str">
        <f>MID(excPisCofins[[#This Row],[CodBarras2]],2,50)</f>
        <v/>
      </c>
    </row>
    <row r="9180" spans="9:9" x14ac:dyDescent="0.25">
      <c r="I9180" s="227" t="str">
        <f>MID(excPisCofins[[#This Row],[CodBarras2]],2,50)</f>
        <v/>
      </c>
    </row>
    <row r="9181" spans="9:9" x14ac:dyDescent="0.25">
      <c r="I9181" s="227" t="str">
        <f>MID(excPisCofins[[#This Row],[CodBarras2]],2,50)</f>
        <v/>
      </c>
    </row>
    <row r="9182" spans="9:9" x14ac:dyDescent="0.25">
      <c r="I9182" s="227" t="str">
        <f>MID(excPisCofins[[#This Row],[CodBarras2]],2,50)</f>
        <v/>
      </c>
    </row>
    <row r="9183" spans="9:9" x14ac:dyDescent="0.25">
      <c r="I9183" s="227" t="str">
        <f>MID(excPisCofins[[#This Row],[CodBarras2]],2,50)</f>
        <v/>
      </c>
    </row>
    <row r="9184" spans="9:9" x14ac:dyDescent="0.25">
      <c r="I9184" s="227" t="str">
        <f>MID(excPisCofins[[#This Row],[CodBarras2]],2,50)</f>
        <v/>
      </c>
    </row>
    <row r="9185" spans="9:9" x14ac:dyDescent="0.25">
      <c r="I9185" s="227" t="str">
        <f>MID(excPisCofins[[#This Row],[CodBarras2]],2,50)</f>
        <v/>
      </c>
    </row>
    <row r="9186" spans="9:9" x14ac:dyDescent="0.25">
      <c r="I9186" s="227" t="str">
        <f>MID(excPisCofins[[#This Row],[CodBarras2]],2,50)</f>
        <v/>
      </c>
    </row>
    <row r="9187" spans="9:9" x14ac:dyDescent="0.25">
      <c r="I9187" s="227" t="str">
        <f>MID(excPisCofins[[#This Row],[CodBarras2]],2,50)</f>
        <v/>
      </c>
    </row>
    <row r="9188" spans="9:9" x14ac:dyDescent="0.25">
      <c r="I9188" s="227" t="str">
        <f>MID(excPisCofins[[#This Row],[CodBarras2]],2,50)</f>
        <v/>
      </c>
    </row>
    <row r="9189" spans="9:9" x14ac:dyDescent="0.25">
      <c r="I9189" s="227" t="str">
        <f>MID(excPisCofins[[#This Row],[CodBarras2]],2,50)</f>
        <v/>
      </c>
    </row>
    <row r="9190" spans="9:9" x14ac:dyDescent="0.25">
      <c r="I9190" s="227" t="str">
        <f>MID(excPisCofins[[#This Row],[CodBarras2]],2,50)</f>
        <v/>
      </c>
    </row>
    <row r="9191" spans="9:9" x14ac:dyDescent="0.25">
      <c r="I9191" s="227" t="str">
        <f>MID(excPisCofins[[#This Row],[CodBarras2]],2,50)</f>
        <v/>
      </c>
    </row>
    <row r="9192" spans="9:9" x14ac:dyDescent="0.25">
      <c r="I9192" s="227" t="str">
        <f>MID(excPisCofins[[#This Row],[CodBarras2]],2,50)</f>
        <v/>
      </c>
    </row>
    <row r="9193" spans="9:9" x14ac:dyDescent="0.25">
      <c r="I9193" s="227" t="str">
        <f>MID(excPisCofins[[#This Row],[CodBarras2]],2,50)</f>
        <v/>
      </c>
    </row>
    <row r="9194" spans="9:9" x14ac:dyDescent="0.25">
      <c r="I9194" s="227" t="str">
        <f>MID(excPisCofins[[#This Row],[CodBarras2]],2,50)</f>
        <v/>
      </c>
    </row>
    <row r="9195" spans="9:9" x14ac:dyDescent="0.25">
      <c r="I9195" s="227" t="str">
        <f>MID(excPisCofins[[#This Row],[CodBarras2]],2,50)</f>
        <v/>
      </c>
    </row>
    <row r="9196" spans="9:9" x14ac:dyDescent="0.25">
      <c r="I9196" s="227" t="str">
        <f>MID(excPisCofins[[#This Row],[CodBarras2]],2,50)</f>
        <v/>
      </c>
    </row>
    <row r="9197" spans="9:9" x14ac:dyDescent="0.25">
      <c r="I9197" s="227" t="str">
        <f>MID(excPisCofins[[#This Row],[CodBarras2]],2,50)</f>
        <v/>
      </c>
    </row>
    <row r="9198" spans="9:9" x14ac:dyDescent="0.25">
      <c r="I9198" s="227" t="str">
        <f>MID(excPisCofins[[#This Row],[CodBarras2]],2,50)</f>
        <v/>
      </c>
    </row>
    <row r="9199" spans="9:9" x14ac:dyDescent="0.25">
      <c r="I9199" s="227" t="str">
        <f>MID(excPisCofins[[#This Row],[CodBarras2]],2,50)</f>
        <v/>
      </c>
    </row>
    <row r="9200" spans="9:9" x14ac:dyDescent="0.25">
      <c r="I9200" s="227" t="str">
        <f>MID(excPisCofins[[#This Row],[CodBarras2]],2,50)</f>
        <v/>
      </c>
    </row>
    <row r="9201" spans="9:9" x14ac:dyDescent="0.25">
      <c r="I9201" s="227" t="str">
        <f>MID(excPisCofins[[#This Row],[CodBarras2]],2,50)</f>
        <v/>
      </c>
    </row>
    <row r="9202" spans="9:9" x14ac:dyDescent="0.25">
      <c r="I9202" s="227" t="str">
        <f>MID(excPisCofins[[#This Row],[CodBarras2]],2,50)</f>
        <v/>
      </c>
    </row>
    <row r="9203" spans="9:9" x14ac:dyDescent="0.25">
      <c r="I9203" s="227" t="str">
        <f>MID(excPisCofins[[#This Row],[CodBarras2]],2,50)</f>
        <v/>
      </c>
    </row>
    <row r="9204" spans="9:9" x14ac:dyDescent="0.25">
      <c r="I9204" s="227" t="str">
        <f>MID(excPisCofins[[#This Row],[CodBarras2]],2,50)</f>
        <v/>
      </c>
    </row>
    <row r="9205" spans="9:9" x14ac:dyDescent="0.25">
      <c r="I9205" s="227" t="str">
        <f>MID(excPisCofins[[#This Row],[CodBarras2]],2,50)</f>
        <v/>
      </c>
    </row>
    <row r="9206" spans="9:9" x14ac:dyDescent="0.25">
      <c r="I9206" s="227" t="str">
        <f>MID(excPisCofins[[#This Row],[CodBarras2]],2,50)</f>
        <v/>
      </c>
    </row>
    <row r="9207" spans="9:9" x14ac:dyDescent="0.25">
      <c r="I9207" s="227" t="str">
        <f>MID(excPisCofins[[#This Row],[CodBarras2]],2,50)</f>
        <v/>
      </c>
    </row>
    <row r="9208" spans="9:9" x14ac:dyDescent="0.25">
      <c r="I9208" s="227" t="str">
        <f>MID(excPisCofins[[#This Row],[CodBarras2]],2,50)</f>
        <v/>
      </c>
    </row>
    <row r="9209" spans="9:9" x14ac:dyDescent="0.25">
      <c r="I9209" s="227" t="str">
        <f>MID(excPisCofins[[#This Row],[CodBarras2]],2,50)</f>
        <v/>
      </c>
    </row>
    <row r="9210" spans="9:9" x14ac:dyDescent="0.25">
      <c r="I9210" s="227" t="str">
        <f>MID(excPisCofins[[#This Row],[CodBarras2]],2,50)</f>
        <v/>
      </c>
    </row>
    <row r="9211" spans="9:9" x14ac:dyDescent="0.25">
      <c r="I9211" s="227" t="str">
        <f>MID(excPisCofins[[#This Row],[CodBarras2]],2,50)</f>
        <v/>
      </c>
    </row>
    <row r="9212" spans="9:9" x14ac:dyDescent="0.25">
      <c r="I9212" s="227" t="str">
        <f>MID(excPisCofins[[#This Row],[CodBarras2]],2,50)</f>
        <v/>
      </c>
    </row>
    <row r="9213" spans="9:9" x14ac:dyDescent="0.25">
      <c r="I9213" s="227" t="str">
        <f>MID(excPisCofins[[#This Row],[CodBarras2]],2,50)</f>
        <v/>
      </c>
    </row>
    <row r="9214" spans="9:9" x14ac:dyDescent="0.25">
      <c r="I9214" s="227" t="str">
        <f>MID(excPisCofins[[#This Row],[CodBarras2]],2,50)</f>
        <v/>
      </c>
    </row>
    <row r="9215" spans="9:9" x14ac:dyDescent="0.25">
      <c r="I9215" s="227" t="str">
        <f>MID(excPisCofins[[#This Row],[CodBarras2]],2,50)</f>
        <v/>
      </c>
    </row>
    <row r="9216" spans="9:9" x14ac:dyDescent="0.25">
      <c r="I9216" s="227" t="str">
        <f>MID(excPisCofins[[#This Row],[CodBarras2]],2,50)</f>
        <v/>
      </c>
    </row>
    <row r="9217" spans="9:9" x14ac:dyDescent="0.25">
      <c r="I9217" s="227" t="str">
        <f>MID(excPisCofins[[#This Row],[CodBarras2]],2,50)</f>
        <v/>
      </c>
    </row>
    <row r="9218" spans="9:9" x14ac:dyDescent="0.25">
      <c r="I9218" s="227" t="str">
        <f>MID(excPisCofins[[#This Row],[CodBarras2]],2,50)</f>
        <v/>
      </c>
    </row>
    <row r="9219" spans="9:9" x14ac:dyDescent="0.25">
      <c r="I9219" s="227" t="str">
        <f>MID(excPisCofins[[#This Row],[CodBarras2]],2,50)</f>
        <v/>
      </c>
    </row>
    <row r="9220" spans="9:9" x14ac:dyDescent="0.25">
      <c r="I9220" s="227" t="str">
        <f>MID(excPisCofins[[#This Row],[CodBarras2]],2,50)</f>
        <v/>
      </c>
    </row>
    <row r="9221" spans="9:9" x14ac:dyDescent="0.25">
      <c r="I9221" s="227" t="str">
        <f>MID(excPisCofins[[#This Row],[CodBarras2]],2,50)</f>
        <v/>
      </c>
    </row>
    <row r="9222" spans="9:9" x14ac:dyDescent="0.25">
      <c r="I9222" s="227" t="str">
        <f>MID(excPisCofins[[#This Row],[CodBarras2]],2,50)</f>
        <v/>
      </c>
    </row>
    <row r="9223" spans="9:9" x14ac:dyDescent="0.25">
      <c r="I9223" s="227" t="str">
        <f>MID(excPisCofins[[#This Row],[CodBarras2]],2,50)</f>
        <v/>
      </c>
    </row>
    <row r="9224" spans="9:9" x14ac:dyDescent="0.25">
      <c r="I9224" s="227" t="str">
        <f>MID(excPisCofins[[#This Row],[CodBarras2]],2,50)</f>
        <v/>
      </c>
    </row>
    <row r="9225" spans="9:9" x14ac:dyDescent="0.25">
      <c r="I9225" s="227" t="str">
        <f>MID(excPisCofins[[#This Row],[CodBarras2]],2,50)</f>
        <v/>
      </c>
    </row>
    <row r="9226" spans="9:9" x14ac:dyDescent="0.25">
      <c r="I9226" s="227" t="str">
        <f>MID(excPisCofins[[#This Row],[CodBarras2]],2,50)</f>
        <v/>
      </c>
    </row>
    <row r="9227" spans="9:9" x14ac:dyDescent="0.25">
      <c r="I9227" s="227" t="str">
        <f>MID(excPisCofins[[#This Row],[CodBarras2]],2,50)</f>
        <v/>
      </c>
    </row>
    <row r="9228" spans="9:9" x14ac:dyDescent="0.25">
      <c r="I9228" s="227" t="str">
        <f>MID(excPisCofins[[#This Row],[CodBarras2]],2,50)</f>
        <v/>
      </c>
    </row>
    <row r="9229" spans="9:9" x14ac:dyDescent="0.25">
      <c r="I9229" s="227" t="str">
        <f>MID(excPisCofins[[#This Row],[CodBarras2]],2,50)</f>
        <v/>
      </c>
    </row>
    <row r="9230" spans="9:9" x14ac:dyDescent="0.25">
      <c r="I9230" s="227" t="str">
        <f>MID(excPisCofins[[#This Row],[CodBarras2]],2,50)</f>
        <v/>
      </c>
    </row>
    <row r="9231" spans="9:9" x14ac:dyDescent="0.25">
      <c r="I9231" s="227" t="str">
        <f>MID(excPisCofins[[#This Row],[CodBarras2]],2,50)</f>
        <v/>
      </c>
    </row>
    <row r="9232" spans="9:9" x14ac:dyDescent="0.25">
      <c r="I9232" s="227" t="str">
        <f>MID(excPisCofins[[#This Row],[CodBarras2]],2,50)</f>
        <v/>
      </c>
    </row>
    <row r="9233" spans="9:9" x14ac:dyDescent="0.25">
      <c r="I9233" s="227" t="str">
        <f>MID(excPisCofins[[#This Row],[CodBarras2]],2,50)</f>
        <v/>
      </c>
    </row>
    <row r="9234" spans="9:9" x14ac:dyDescent="0.25">
      <c r="I9234" s="227" t="str">
        <f>MID(excPisCofins[[#This Row],[CodBarras2]],2,50)</f>
        <v/>
      </c>
    </row>
    <row r="9235" spans="9:9" x14ac:dyDescent="0.25">
      <c r="I9235" s="227" t="str">
        <f>MID(excPisCofins[[#This Row],[CodBarras2]],2,50)</f>
        <v/>
      </c>
    </row>
    <row r="9236" spans="9:9" x14ac:dyDescent="0.25">
      <c r="I9236" s="227" t="str">
        <f>MID(excPisCofins[[#This Row],[CodBarras2]],2,50)</f>
        <v/>
      </c>
    </row>
    <row r="9237" spans="9:9" x14ac:dyDescent="0.25">
      <c r="I9237" s="227" t="str">
        <f>MID(excPisCofins[[#This Row],[CodBarras2]],2,50)</f>
        <v/>
      </c>
    </row>
    <row r="9238" spans="9:9" x14ac:dyDescent="0.25">
      <c r="I9238" s="227" t="str">
        <f>MID(excPisCofins[[#This Row],[CodBarras2]],2,50)</f>
        <v/>
      </c>
    </row>
    <row r="9239" spans="9:9" x14ac:dyDescent="0.25">
      <c r="I9239" s="227" t="str">
        <f>MID(excPisCofins[[#This Row],[CodBarras2]],2,50)</f>
        <v/>
      </c>
    </row>
    <row r="9240" spans="9:9" x14ac:dyDescent="0.25">
      <c r="I9240" s="227" t="str">
        <f>MID(excPisCofins[[#This Row],[CodBarras2]],2,50)</f>
        <v/>
      </c>
    </row>
    <row r="9241" spans="9:9" x14ac:dyDescent="0.25">
      <c r="I9241" s="227" t="str">
        <f>MID(excPisCofins[[#This Row],[CodBarras2]],2,50)</f>
        <v/>
      </c>
    </row>
    <row r="9242" spans="9:9" x14ac:dyDescent="0.25">
      <c r="I9242" s="227" t="str">
        <f>MID(excPisCofins[[#This Row],[CodBarras2]],2,50)</f>
        <v/>
      </c>
    </row>
    <row r="9243" spans="9:9" x14ac:dyDescent="0.25">
      <c r="I9243" s="227" t="str">
        <f>MID(excPisCofins[[#This Row],[CodBarras2]],2,50)</f>
        <v/>
      </c>
    </row>
    <row r="9244" spans="9:9" x14ac:dyDescent="0.25">
      <c r="I9244" s="227" t="str">
        <f>MID(excPisCofins[[#This Row],[CodBarras2]],2,50)</f>
        <v/>
      </c>
    </row>
    <row r="9245" spans="9:9" x14ac:dyDescent="0.25">
      <c r="I9245" s="227" t="str">
        <f>MID(excPisCofins[[#This Row],[CodBarras2]],2,50)</f>
        <v/>
      </c>
    </row>
    <row r="9246" spans="9:9" x14ac:dyDescent="0.25">
      <c r="I9246" s="227" t="str">
        <f>MID(excPisCofins[[#This Row],[CodBarras2]],2,50)</f>
        <v/>
      </c>
    </row>
    <row r="9247" spans="9:9" x14ac:dyDescent="0.25">
      <c r="I9247" s="227" t="str">
        <f>MID(excPisCofins[[#This Row],[CodBarras2]],2,50)</f>
        <v/>
      </c>
    </row>
    <row r="9248" spans="9:9" x14ac:dyDescent="0.25">
      <c r="I9248" s="227" t="str">
        <f>MID(excPisCofins[[#This Row],[CodBarras2]],2,50)</f>
        <v/>
      </c>
    </row>
    <row r="9249" spans="9:9" x14ac:dyDescent="0.25">
      <c r="I9249" s="227" t="str">
        <f>MID(excPisCofins[[#This Row],[CodBarras2]],2,50)</f>
        <v/>
      </c>
    </row>
    <row r="9250" spans="9:9" x14ac:dyDescent="0.25">
      <c r="I9250" s="227" t="str">
        <f>MID(excPisCofins[[#This Row],[CodBarras2]],2,50)</f>
        <v/>
      </c>
    </row>
    <row r="9251" spans="9:9" x14ac:dyDescent="0.25">
      <c r="I9251" s="227" t="str">
        <f>MID(excPisCofins[[#This Row],[CodBarras2]],2,50)</f>
        <v/>
      </c>
    </row>
    <row r="9252" spans="9:9" x14ac:dyDescent="0.25">
      <c r="I9252" s="227" t="str">
        <f>MID(excPisCofins[[#This Row],[CodBarras2]],2,50)</f>
        <v/>
      </c>
    </row>
    <row r="9253" spans="9:9" x14ac:dyDescent="0.25">
      <c r="I9253" s="227" t="str">
        <f>MID(excPisCofins[[#This Row],[CodBarras2]],2,50)</f>
        <v/>
      </c>
    </row>
    <row r="9254" spans="9:9" x14ac:dyDescent="0.25">
      <c r="I9254" s="227" t="str">
        <f>MID(excPisCofins[[#This Row],[CodBarras2]],2,50)</f>
        <v/>
      </c>
    </row>
    <row r="9255" spans="9:9" x14ac:dyDescent="0.25">
      <c r="I9255" s="227" t="str">
        <f>MID(excPisCofins[[#This Row],[CodBarras2]],2,50)</f>
        <v/>
      </c>
    </row>
    <row r="9256" spans="9:9" x14ac:dyDescent="0.25">
      <c r="I9256" s="227" t="str">
        <f>MID(excPisCofins[[#This Row],[CodBarras2]],2,50)</f>
        <v/>
      </c>
    </row>
    <row r="9257" spans="9:9" x14ac:dyDescent="0.25">
      <c r="I9257" s="227" t="str">
        <f>MID(excPisCofins[[#This Row],[CodBarras2]],2,50)</f>
        <v/>
      </c>
    </row>
    <row r="9258" spans="9:9" x14ac:dyDescent="0.25">
      <c r="I9258" s="227" t="str">
        <f>MID(excPisCofins[[#This Row],[CodBarras2]],2,50)</f>
        <v/>
      </c>
    </row>
    <row r="9259" spans="9:9" x14ac:dyDescent="0.25">
      <c r="I9259" s="227" t="str">
        <f>MID(excPisCofins[[#This Row],[CodBarras2]],2,50)</f>
        <v/>
      </c>
    </row>
    <row r="9260" spans="9:9" x14ac:dyDescent="0.25">
      <c r="I9260" s="227" t="str">
        <f>MID(excPisCofins[[#This Row],[CodBarras2]],2,50)</f>
        <v/>
      </c>
    </row>
    <row r="9261" spans="9:9" x14ac:dyDescent="0.25">
      <c r="I9261" s="227" t="str">
        <f>MID(excPisCofins[[#This Row],[CodBarras2]],2,50)</f>
        <v/>
      </c>
    </row>
    <row r="9262" spans="9:9" x14ac:dyDescent="0.25">
      <c r="I9262" s="227" t="str">
        <f>MID(excPisCofins[[#This Row],[CodBarras2]],2,50)</f>
        <v/>
      </c>
    </row>
    <row r="9263" spans="9:9" x14ac:dyDescent="0.25">
      <c r="I9263" s="227" t="str">
        <f>MID(excPisCofins[[#This Row],[CodBarras2]],2,50)</f>
        <v/>
      </c>
    </row>
    <row r="9264" spans="9:9" x14ac:dyDescent="0.25">
      <c r="I9264" s="227" t="str">
        <f>MID(excPisCofins[[#This Row],[CodBarras2]],2,50)</f>
        <v/>
      </c>
    </row>
    <row r="9265" spans="9:9" x14ac:dyDescent="0.25">
      <c r="I9265" s="227" t="str">
        <f>MID(excPisCofins[[#This Row],[CodBarras2]],2,50)</f>
        <v/>
      </c>
    </row>
    <row r="9266" spans="9:9" x14ac:dyDescent="0.25">
      <c r="I9266" s="227" t="str">
        <f>MID(excPisCofins[[#This Row],[CodBarras2]],2,50)</f>
        <v/>
      </c>
    </row>
    <row r="9267" spans="9:9" x14ac:dyDescent="0.25">
      <c r="I9267" s="227" t="str">
        <f>MID(excPisCofins[[#This Row],[CodBarras2]],2,50)</f>
        <v/>
      </c>
    </row>
    <row r="9268" spans="9:9" x14ac:dyDescent="0.25">
      <c r="I9268" s="227" t="str">
        <f>MID(excPisCofins[[#This Row],[CodBarras2]],2,50)</f>
        <v/>
      </c>
    </row>
    <row r="9269" spans="9:9" x14ac:dyDescent="0.25">
      <c r="I9269" s="227" t="str">
        <f>MID(excPisCofins[[#This Row],[CodBarras2]],2,50)</f>
        <v/>
      </c>
    </row>
    <row r="9270" spans="9:9" x14ac:dyDescent="0.25">
      <c r="I9270" s="227" t="str">
        <f>MID(excPisCofins[[#This Row],[CodBarras2]],2,50)</f>
        <v/>
      </c>
    </row>
    <row r="9271" spans="9:9" x14ac:dyDescent="0.25">
      <c r="I9271" s="227" t="str">
        <f>MID(excPisCofins[[#This Row],[CodBarras2]],2,50)</f>
        <v/>
      </c>
    </row>
    <row r="9272" spans="9:9" x14ac:dyDescent="0.25">
      <c r="I9272" s="227" t="str">
        <f>MID(excPisCofins[[#This Row],[CodBarras2]],2,50)</f>
        <v/>
      </c>
    </row>
    <row r="9273" spans="9:9" x14ac:dyDescent="0.25">
      <c r="I9273" s="227" t="str">
        <f>MID(excPisCofins[[#This Row],[CodBarras2]],2,50)</f>
        <v/>
      </c>
    </row>
    <row r="9274" spans="9:9" x14ac:dyDescent="0.25">
      <c r="I9274" s="227" t="str">
        <f>MID(excPisCofins[[#This Row],[CodBarras2]],2,50)</f>
        <v/>
      </c>
    </row>
    <row r="9275" spans="9:9" x14ac:dyDescent="0.25">
      <c r="I9275" s="227" t="str">
        <f>MID(excPisCofins[[#This Row],[CodBarras2]],2,50)</f>
        <v/>
      </c>
    </row>
    <row r="9276" spans="9:9" x14ac:dyDescent="0.25">
      <c r="I9276" s="227" t="str">
        <f>MID(excPisCofins[[#This Row],[CodBarras2]],2,50)</f>
        <v/>
      </c>
    </row>
    <row r="9277" spans="9:9" x14ac:dyDescent="0.25">
      <c r="I9277" s="227" t="str">
        <f>MID(excPisCofins[[#This Row],[CodBarras2]],2,50)</f>
        <v/>
      </c>
    </row>
    <row r="9278" spans="9:9" x14ac:dyDescent="0.25">
      <c r="I9278" s="227" t="str">
        <f>MID(excPisCofins[[#This Row],[CodBarras2]],2,50)</f>
        <v/>
      </c>
    </row>
    <row r="9279" spans="9:9" x14ac:dyDescent="0.25">
      <c r="I9279" s="227" t="str">
        <f>MID(excPisCofins[[#This Row],[CodBarras2]],2,50)</f>
        <v/>
      </c>
    </row>
    <row r="9280" spans="9:9" x14ac:dyDescent="0.25">
      <c r="I9280" s="227" t="str">
        <f>MID(excPisCofins[[#This Row],[CodBarras2]],2,50)</f>
        <v/>
      </c>
    </row>
    <row r="9281" spans="9:9" x14ac:dyDescent="0.25">
      <c r="I9281" s="227" t="str">
        <f>MID(excPisCofins[[#This Row],[CodBarras2]],2,50)</f>
        <v/>
      </c>
    </row>
    <row r="9282" spans="9:9" x14ac:dyDescent="0.25">
      <c r="I9282" s="227" t="str">
        <f>MID(excPisCofins[[#This Row],[CodBarras2]],2,50)</f>
        <v/>
      </c>
    </row>
    <row r="9283" spans="9:9" x14ac:dyDescent="0.25">
      <c r="I9283" s="227" t="str">
        <f>MID(excPisCofins[[#This Row],[CodBarras2]],2,50)</f>
        <v/>
      </c>
    </row>
    <row r="9284" spans="9:9" x14ac:dyDescent="0.25">
      <c r="I9284" s="227" t="str">
        <f>MID(excPisCofins[[#This Row],[CodBarras2]],2,50)</f>
        <v/>
      </c>
    </row>
    <row r="9285" spans="9:9" x14ac:dyDescent="0.25">
      <c r="I9285" s="227" t="str">
        <f>MID(excPisCofins[[#This Row],[CodBarras2]],2,50)</f>
        <v/>
      </c>
    </row>
    <row r="9286" spans="9:9" x14ac:dyDescent="0.25">
      <c r="I9286" s="227" t="str">
        <f>MID(excPisCofins[[#This Row],[CodBarras2]],2,50)</f>
        <v/>
      </c>
    </row>
    <row r="9287" spans="9:9" x14ac:dyDescent="0.25">
      <c r="I9287" s="227" t="str">
        <f>MID(excPisCofins[[#This Row],[CodBarras2]],2,50)</f>
        <v/>
      </c>
    </row>
    <row r="9288" spans="9:9" x14ac:dyDescent="0.25">
      <c r="I9288" s="227" t="str">
        <f>MID(excPisCofins[[#This Row],[CodBarras2]],2,50)</f>
        <v/>
      </c>
    </row>
    <row r="9289" spans="9:9" x14ac:dyDescent="0.25">
      <c r="I9289" s="227" t="str">
        <f>MID(excPisCofins[[#This Row],[CodBarras2]],2,50)</f>
        <v/>
      </c>
    </row>
    <row r="9290" spans="9:9" x14ac:dyDescent="0.25">
      <c r="I9290" s="227" t="str">
        <f>MID(excPisCofins[[#This Row],[CodBarras2]],2,50)</f>
        <v/>
      </c>
    </row>
    <row r="9291" spans="9:9" x14ac:dyDescent="0.25">
      <c r="I9291" s="227" t="str">
        <f>MID(excPisCofins[[#This Row],[CodBarras2]],2,50)</f>
        <v/>
      </c>
    </row>
    <row r="9292" spans="9:9" x14ac:dyDescent="0.25">
      <c r="I9292" s="227" t="str">
        <f>MID(excPisCofins[[#This Row],[CodBarras2]],2,50)</f>
        <v/>
      </c>
    </row>
    <row r="9293" spans="9:9" x14ac:dyDescent="0.25">
      <c r="I9293" s="227" t="str">
        <f>MID(excPisCofins[[#This Row],[CodBarras2]],2,50)</f>
        <v/>
      </c>
    </row>
    <row r="9294" spans="9:9" x14ac:dyDescent="0.25">
      <c r="I9294" s="227" t="str">
        <f>MID(excPisCofins[[#This Row],[CodBarras2]],2,50)</f>
        <v/>
      </c>
    </row>
    <row r="9295" spans="9:9" x14ac:dyDescent="0.25">
      <c r="I9295" s="227" t="str">
        <f>MID(excPisCofins[[#This Row],[CodBarras2]],2,50)</f>
        <v/>
      </c>
    </row>
    <row r="9296" spans="9:9" x14ac:dyDescent="0.25">
      <c r="I9296" s="227" t="str">
        <f>MID(excPisCofins[[#This Row],[CodBarras2]],2,50)</f>
        <v/>
      </c>
    </row>
    <row r="9297" spans="9:9" x14ac:dyDescent="0.25">
      <c r="I9297" s="227" t="str">
        <f>MID(excPisCofins[[#This Row],[CodBarras2]],2,50)</f>
        <v/>
      </c>
    </row>
    <row r="9298" spans="9:9" x14ac:dyDescent="0.25">
      <c r="I9298" s="227" t="str">
        <f>MID(excPisCofins[[#This Row],[CodBarras2]],2,50)</f>
        <v/>
      </c>
    </row>
    <row r="9299" spans="9:9" x14ac:dyDescent="0.25">
      <c r="I9299" s="227" t="str">
        <f>MID(excPisCofins[[#This Row],[CodBarras2]],2,50)</f>
        <v/>
      </c>
    </row>
    <row r="9300" spans="9:9" x14ac:dyDescent="0.25">
      <c r="I9300" s="227" t="str">
        <f>MID(excPisCofins[[#This Row],[CodBarras2]],2,50)</f>
        <v/>
      </c>
    </row>
    <row r="9301" spans="9:9" x14ac:dyDescent="0.25">
      <c r="I9301" s="227" t="str">
        <f>MID(excPisCofins[[#This Row],[CodBarras2]],2,50)</f>
        <v/>
      </c>
    </row>
    <row r="9302" spans="9:9" x14ac:dyDescent="0.25">
      <c r="I9302" s="227" t="str">
        <f>MID(excPisCofins[[#This Row],[CodBarras2]],2,50)</f>
        <v/>
      </c>
    </row>
    <row r="9303" spans="9:9" x14ac:dyDescent="0.25">
      <c r="I9303" s="227" t="str">
        <f>MID(excPisCofins[[#This Row],[CodBarras2]],2,50)</f>
        <v/>
      </c>
    </row>
    <row r="9304" spans="9:9" x14ac:dyDescent="0.25">
      <c r="I9304" s="227" t="str">
        <f>MID(excPisCofins[[#This Row],[CodBarras2]],2,50)</f>
        <v/>
      </c>
    </row>
    <row r="9305" spans="9:9" x14ac:dyDescent="0.25">
      <c r="I9305" s="227" t="str">
        <f>MID(excPisCofins[[#This Row],[CodBarras2]],2,50)</f>
        <v/>
      </c>
    </row>
    <row r="9306" spans="9:9" x14ac:dyDescent="0.25">
      <c r="I9306" s="227" t="str">
        <f>MID(excPisCofins[[#This Row],[CodBarras2]],2,50)</f>
        <v/>
      </c>
    </row>
    <row r="9307" spans="9:9" x14ac:dyDescent="0.25">
      <c r="I9307" s="227" t="str">
        <f>MID(excPisCofins[[#This Row],[CodBarras2]],2,50)</f>
        <v/>
      </c>
    </row>
    <row r="9308" spans="9:9" x14ac:dyDescent="0.25">
      <c r="I9308" s="227" t="str">
        <f>MID(excPisCofins[[#This Row],[CodBarras2]],2,50)</f>
        <v/>
      </c>
    </row>
    <row r="9309" spans="9:9" x14ac:dyDescent="0.25">
      <c r="I9309" s="227" t="str">
        <f>MID(excPisCofins[[#This Row],[CodBarras2]],2,50)</f>
        <v/>
      </c>
    </row>
    <row r="9310" spans="9:9" x14ac:dyDescent="0.25">
      <c r="I9310" s="227" t="str">
        <f>MID(excPisCofins[[#This Row],[CodBarras2]],2,50)</f>
        <v/>
      </c>
    </row>
    <row r="9311" spans="9:9" x14ac:dyDescent="0.25">
      <c r="I9311" s="227" t="str">
        <f>MID(excPisCofins[[#This Row],[CodBarras2]],2,50)</f>
        <v/>
      </c>
    </row>
    <row r="9312" spans="9:9" x14ac:dyDescent="0.25">
      <c r="I9312" s="227" t="str">
        <f>MID(excPisCofins[[#This Row],[CodBarras2]],2,50)</f>
        <v/>
      </c>
    </row>
    <row r="9313" spans="9:9" x14ac:dyDescent="0.25">
      <c r="I9313" s="227" t="str">
        <f>MID(excPisCofins[[#This Row],[CodBarras2]],2,50)</f>
        <v/>
      </c>
    </row>
    <row r="9314" spans="9:9" x14ac:dyDescent="0.25">
      <c r="I9314" s="227" t="str">
        <f>MID(excPisCofins[[#This Row],[CodBarras2]],2,50)</f>
        <v/>
      </c>
    </row>
    <row r="9315" spans="9:9" x14ac:dyDescent="0.25">
      <c r="I9315" s="227" t="str">
        <f>MID(excPisCofins[[#This Row],[CodBarras2]],2,50)</f>
        <v/>
      </c>
    </row>
    <row r="9316" spans="9:9" x14ac:dyDescent="0.25">
      <c r="I9316" s="227" t="str">
        <f>MID(excPisCofins[[#This Row],[CodBarras2]],2,50)</f>
        <v/>
      </c>
    </row>
    <row r="9317" spans="9:9" x14ac:dyDescent="0.25">
      <c r="I9317" s="227" t="str">
        <f>MID(excPisCofins[[#This Row],[CodBarras2]],2,50)</f>
        <v/>
      </c>
    </row>
    <row r="9318" spans="9:9" x14ac:dyDescent="0.25">
      <c r="I9318" s="227" t="str">
        <f>MID(excPisCofins[[#This Row],[CodBarras2]],2,50)</f>
        <v/>
      </c>
    </row>
    <row r="9319" spans="9:9" x14ac:dyDescent="0.25">
      <c r="I9319" s="227" t="str">
        <f>MID(excPisCofins[[#This Row],[CodBarras2]],2,50)</f>
        <v/>
      </c>
    </row>
    <row r="9320" spans="9:9" x14ac:dyDescent="0.25">
      <c r="I9320" s="227" t="str">
        <f>MID(excPisCofins[[#This Row],[CodBarras2]],2,50)</f>
        <v/>
      </c>
    </row>
    <row r="9321" spans="9:9" x14ac:dyDescent="0.25">
      <c r="I9321" s="227" t="str">
        <f>MID(excPisCofins[[#This Row],[CodBarras2]],2,50)</f>
        <v/>
      </c>
    </row>
    <row r="9322" spans="9:9" x14ac:dyDescent="0.25">
      <c r="I9322" s="227" t="str">
        <f>MID(excPisCofins[[#This Row],[CodBarras2]],2,50)</f>
        <v/>
      </c>
    </row>
    <row r="9323" spans="9:9" x14ac:dyDescent="0.25">
      <c r="I9323" s="227" t="str">
        <f>MID(excPisCofins[[#This Row],[CodBarras2]],2,50)</f>
        <v/>
      </c>
    </row>
    <row r="9324" spans="9:9" x14ac:dyDescent="0.25">
      <c r="I9324" s="227" t="str">
        <f>MID(excPisCofins[[#This Row],[CodBarras2]],2,50)</f>
        <v/>
      </c>
    </row>
    <row r="9325" spans="9:9" x14ac:dyDescent="0.25">
      <c r="I9325" s="227" t="str">
        <f>MID(excPisCofins[[#This Row],[CodBarras2]],2,50)</f>
        <v/>
      </c>
    </row>
    <row r="9326" spans="9:9" x14ac:dyDescent="0.25">
      <c r="I9326" s="227" t="str">
        <f>MID(excPisCofins[[#This Row],[CodBarras2]],2,50)</f>
        <v/>
      </c>
    </row>
    <row r="9327" spans="9:9" x14ac:dyDescent="0.25">
      <c r="I9327" s="227" t="str">
        <f>MID(excPisCofins[[#This Row],[CodBarras2]],2,50)</f>
        <v/>
      </c>
    </row>
    <row r="9328" spans="9:9" x14ac:dyDescent="0.25">
      <c r="I9328" s="227" t="str">
        <f>MID(excPisCofins[[#This Row],[CodBarras2]],2,50)</f>
        <v/>
      </c>
    </row>
    <row r="9329" spans="9:9" x14ac:dyDescent="0.25">
      <c r="I9329" s="227" t="str">
        <f>MID(excPisCofins[[#This Row],[CodBarras2]],2,50)</f>
        <v/>
      </c>
    </row>
    <row r="9330" spans="9:9" x14ac:dyDescent="0.25">
      <c r="I9330" s="227" t="str">
        <f>MID(excPisCofins[[#This Row],[CodBarras2]],2,50)</f>
        <v/>
      </c>
    </row>
    <row r="9331" spans="9:9" x14ac:dyDescent="0.25">
      <c r="I9331" s="227" t="str">
        <f>MID(excPisCofins[[#This Row],[CodBarras2]],2,50)</f>
        <v/>
      </c>
    </row>
    <row r="9332" spans="9:9" x14ac:dyDescent="0.25">
      <c r="I9332" s="227" t="str">
        <f>MID(excPisCofins[[#This Row],[CodBarras2]],2,50)</f>
        <v/>
      </c>
    </row>
    <row r="9333" spans="9:9" x14ac:dyDescent="0.25">
      <c r="I9333" s="227" t="str">
        <f>MID(excPisCofins[[#This Row],[CodBarras2]],2,50)</f>
        <v/>
      </c>
    </row>
    <row r="9334" spans="9:9" x14ac:dyDescent="0.25">
      <c r="I9334" s="227" t="str">
        <f>MID(excPisCofins[[#This Row],[CodBarras2]],2,50)</f>
        <v/>
      </c>
    </row>
    <row r="9335" spans="9:9" x14ac:dyDescent="0.25">
      <c r="I9335" s="227" t="str">
        <f>MID(excPisCofins[[#This Row],[CodBarras2]],2,50)</f>
        <v/>
      </c>
    </row>
    <row r="9336" spans="9:9" x14ac:dyDescent="0.25">
      <c r="I9336" s="227" t="str">
        <f>MID(excPisCofins[[#This Row],[CodBarras2]],2,50)</f>
        <v/>
      </c>
    </row>
    <row r="9337" spans="9:9" x14ac:dyDescent="0.25">
      <c r="I9337" s="227" t="str">
        <f>MID(excPisCofins[[#This Row],[CodBarras2]],2,50)</f>
        <v/>
      </c>
    </row>
    <row r="9338" spans="9:9" x14ac:dyDescent="0.25">
      <c r="I9338" s="227" t="str">
        <f>MID(excPisCofins[[#This Row],[CodBarras2]],2,50)</f>
        <v/>
      </c>
    </row>
    <row r="9339" spans="9:9" x14ac:dyDescent="0.25">
      <c r="I9339" s="227" t="str">
        <f>MID(excPisCofins[[#This Row],[CodBarras2]],2,50)</f>
        <v/>
      </c>
    </row>
    <row r="9340" spans="9:9" x14ac:dyDescent="0.25">
      <c r="I9340" s="227" t="str">
        <f>MID(excPisCofins[[#This Row],[CodBarras2]],2,50)</f>
        <v/>
      </c>
    </row>
    <row r="9341" spans="9:9" x14ac:dyDescent="0.25">
      <c r="I9341" s="227" t="str">
        <f>MID(excPisCofins[[#This Row],[CodBarras2]],2,50)</f>
        <v/>
      </c>
    </row>
    <row r="9342" spans="9:9" x14ac:dyDescent="0.25">
      <c r="I9342" s="227" t="str">
        <f>MID(excPisCofins[[#This Row],[CodBarras2]],2,50)</f>
        <v/>
      </c>
    </row>
    <row r="9343" spans="9:9" x14ac:dyDescent="0.25">
      <c r="I9343" s="227" t="str">
        <f>MID(excPisCofins[[#This Row],[CodBarras2]],2,50)</f>
        <v/>
      </c>
    </row>
    <row r="9344" spans="9:9" x14ac:dyDescent="0.25">
      <c r="I9344" s="227" t="str">
        <f>MID(excPisCofins[[#This Row],[CodBarras2]],2,50)</f>
        <v/>
      </c>
    </row>
    <row r="9345" spans="9:9" x14ac:dyDescent="0.25">
      <c r="I9345" s="227" t="str">
        <f>MID(excPisCofins[[#This Row],[CodBarras2]],2,50)</f>
        <v/>
      </c>
    </row>
    <row r="9346" spans="9:9" x14ac:dyDescent="0.25">
      <c r="I9346" s="227" t="str">
        <f>MID(excPisCofins[[#This Row],[CodBarras2]],2,50)</f>
        <v/>
      </c>
    </row>
    <row r="9347" spans="9:9" x14ac:dyDescent="0.25">
      <c r="I9347" s="227" t="str">
        <f>MID(excPisCofins[[#This Row],[CodBarras2]],2,50)</f>
        <v/>
      </c>
    </row>
    <row r="9348" spans="9:9" x14ac:dyDescent="0.25">
      <c r="I9348" s="227" t="str">
        <f>MID(excPisCofins[[#This Row],[CodBarras2]],2,50)</f>
        <v/>
      </c>
    </row>
    <row r="9349" spans="9:9" x14ac:dyDescent="0.25">
      <c r="I9349" s="227" t="str">
        <f>MID(excPisCofins[[#This Row],[CodBarras2]],2,50)</f>
        <v/>
      </c>
    </row>
    <row r="9350" spans="9:9" x14ac:dyDescent="0.25">
      <c r="I9350" s="227" t="str">
        <f>MID(excPisCofins[[#This Row],[CodBarras2]],2,50)</f>
        <v/>
      </c>
    </row>
    <row r="9351" spans="9:9" x14ac:dyDescent="0.25">
      <c r="I9351" s="227" t="str">
        <f>MID(excPisCofins[[#This Row],[CodBarras2]],2,50)</f>
        <v/>
      </c>
    </row>
    <row r="9352" spans="9:9" x14ac:dyDescent="0.25">
      <c r="I9352" s="227" t="str">
        <f>MID(excPisCofins[[#This Row],[CodBarras2]],2,50)</f>
        <v/>
      </c>
    </row>
    <row r="9353" spans="9:9" x14ac:dyDescent="0.25">
      <c r="I9353" s="227" t="str">
        <f>MID(excPisCofins[[#This Row],[CodBarras2]],2,50)</f>
        <v/>
      </c>
    </row>
    <row r="9354" spans="9:9" x14ac:dyDescent="0.25">
      <c r="I9354" s="227" t="str">
        <f>MID(excPisCofins[[#This Row],[CodBarras2]],2,50)</f>
        <v/>
      </c>
    </row>
    <row r="9355" spans="9:9" x14ac:dyDescent="0.25">
      <c r="I9355" s="227" t="str">
        <f>MID(excPisCofins[[#This Row],[CodBarras2]],2,50)</f>
        <v/>
      </c>
    </row>
    <row r="9356" spans="9:9" x14ac:dyDescent="0.25">
      <c r="I9356" s="227" t="str">
        <f>MID(excPisCofins[[#This Row],[CodBarras2]],2,50)</f>
        <v/>
      </c>
    </row>
    <row r="9357" spans="9:9" x14ac:dyDescent="0.25">
      <c r="I9357" s="227" t="str">
        <f>MID(excPisCofins[[#This Row],[CodBarras2]],2,50)</f>
        <v/>
      </c>
    </row>
    <row r="9358" spans="9:9" x14ac:dyDescent="0.25">
      <c r="I9358" s="227" t="str">
        <f>MID(excPisCofins[[#This Row],[CodBarras2]],2,50)</f>
        <v/>
      </c>
    </row>
    <row r="9359" spans="9:9" x14ac:dyDescent="0.25">
      <c r="I9359" s="227" t="str">
        <f>MID(excPisCofins[[#This Row],[CodBarras2]],2,50)</f>
        <v/>
      </c>
    </row>
    <row r="9360" spans="9:9" x14ac:dyDescent="0.25">
      <c r="I9360" s="227" t="str">
        <f>MID(excPisCofins[[#This Row],[CodBarras2]],2,50)</f>
        <v/>
      </c>
    </row>
    <row r="9361" spans="9:9" x14ac:dyDescent="0.25">
      <c r="I9361" s="227" t="str">
        <f>MID(excPisCofins[[#This Row],[CodBarras2]],2,50)</f>
        <v/>
      </c>
    </row>
    <row r="9362" spans="9:9" x14ac:dyDescent="0.25">
      <c r="I9362" s="227" t="str">
        <f>MID(excPisCofins[[#This Row],[CodBarras2]],2,50)</f>
        <v/>
      </c>
    </row>
    <row r="9363" spans="9:9" x14ac:dyDescent="0.25">
      <c r="I9363" s="227" t="str">
        <f>MID(excPisCofins[[#This Row],[CodBarras2]],2,50)</f>
        <v/>
      </c>
    </row>
    <row r="9364" spans="9:9" x14ac:dyDescent="0.25">
      <c r="I9364" s="227" t="str">
        <f>MID(excPisCofins[[#This Row],[CodBarras2]],2,50)</f>
        <v/>
      </c>
    </row>
    <row r="9365" spans="9:9" x14ac:dyDescent="0.25">
      <c r="I9365" s="227" t="str">
        <f>MID(excPisCofins[[#This Row],[CodBarras2]],2,50)</f>
        <v/>
      </c>
    </row>
    <row r="9366" spans="9:9" x14ac:dyDescent="0.25">
      <c r="I9366" s="227" t="str">
        <f>MID(excPisCofins[[#This Row],[CodBarras2]],2,50)</f>
        <v/>
      </c>
    </row>
    <row r="9367" spans="9:9" x14ac:dyDescent="0.25">
      <c r="I9367" s="227" t="str">
        <f>MID(excPisCofins[[#This Row],[CodBarras2]],2,50)</f>
        <v/>
      </c>
    </row>
    <row r="9368" spans="9:9" x14ac:dyDescent="0.25">
      <c r="I9368" s="227" t="str">
        <f>MID(excPisCofins[[#This Row],[CodBarras2]],2,50)</f>
        <v/>
      </c>
    </row>
    <row r="9369" spans="9:9" x14ac:dyDescent="0.25">
      <c r="I9369" s="227" t="str">
        <f>MID(excPisCofins[[#This Row],[CodBarras2]],2,50)</f>
        <v/>
      </c>
    </row>
    <row r="9370" spans="9:9" x14ac:dyDescent="0.25">
      <c r="I9370" s="227" t="str">
        <f>MID(excPisCofins[[#This Row],[CodBarras2]],2,50)</f>
        <v/>
      </c>
    </row>
    <row r="9371" spans="9:9" x14ac:dyDescent="0.25">
      <c r="I9371" s="227" t="str">
        <f>MID(excPisCofins[[#This Row],[CodBarras2]],2,50)</f>
        <v/>
      </c>
    </row>
    <row r="9372" spans="9:9" x14ac:dyDescent="0.25">
      <c r="I9372" s="227" t="str">
        <f>MID(excPisCofins[[#This Row],[CodBarras2]],2,50)</f>
        <v/>
      </c>
    </row>
    <row r="9373" spans="9:9" x14ac:dyDescent="0.25">
      <c r="I9373" s="227" t="str">
        <f>MID(excPisCofins[[#This Row],[CodBarras2]],2,50)</f>
        <v/>
      </c>
    </row>
    <row r="9374" spans="9:9" x14ac:dyDescent="0.25">
      <c r="I9374" s="227" t="str">
        <f>MID(excPisCofins[[#This Row],[CodBarras2]],2,50)</f>
        <v/>
      </c>
    </row>
    <row r="9375" spans="9:9" x14ac:dyDescent="0.25">
      <c r="I9375" s="227" t="str">
        <f>MID(excPisCofins[[#This Row],[CodBarras2]],2,50)</f>
        <v/>
      </c>
    </row>
    <row r="9376" spans="9:9" x14ac:dyDescent="0.25">
      <c r="I9376" s="227" t="str">
        <f>MID(excPisCofins[[#This Row],[CodBarras2]],2,50)</f>
        <v/>
      </c>
    </row>
    <row r="9377" spans="9:9" x14ac:dyDescent="0.25">
      <c r="I9377" s="227" t="str">
        <f>MID(excPisCofins[[#This Row],[CodBarras2]],2,50)</f>
        <v/>
      </c>
    </row>
    <row r="9378" spans="9:9" x14ac:dyDescent="0.25">
      <c r="I9378" s="227" t="str">
        <f>MID(excPisCofins[[#This Row],[CodBarras2]],2,50)</f>
        <v/>
      </c>
    </row>
    <row r="9379" spans="9:9" x14ac:dyDescent="0.25">
      <c r="I9379" s="227" t="str">
        <f>MID(excPisCofins[[#This Row],[CodBarras2]],2,50)</f>
        <v/>
      </c>
    </row>
    <row r="9380" spans="9:9" x14ac:dyDescent="0.25">
      <c r="I9380" s="227" t="str">
        <f>MID(excPisCofins[[#This Row],[CodBarras2]],2,50)</f>
        <v/>
      </c>
    </row>
    <row r="9381" spans="9:9" x14ac:dyDescent="0.25">
      <c r="I9381" s="227" t="str">
        <f>MID(excPisCofins[[#This Row],[CodBarras2]],2,50)</f>
        <v/>
      </c>
    </row>
    <row r="9382" spans="9:9" x14ac:dyDescent="0.25">
      <c r="I9382" s="227" t="str">
        <f>MID(excPisCofins[[#This Row],[CodBarras2]],2,50)</f>
        <v/>
      </c>
    </row>
    <row r="9383" spans="9:9" x14ac:dyDescent="0.25">
      <c r="I9383" s="227" t="str">
        <f>MID(excPisCofins[[#This Row],[CodBarras2]],2,50)</f>
        <v/>
      </c>
    </row>
    <row r="9384" spans="9:9" x14ac:dyDescent="0.25">
      <c r="I9384" s="227" t="str">
        <f>MID(excPisCofins[[#This Row],[CodBarras2]],2,50)</f>
        <v/>
      </c>
    </row>
    <row r="9385" spans="9:9" x14ac:dyDescent="0.25">
      <c r="I9385" s="227" t="str">
        <f>MID(excPisCofins[[#This Row],[CodBarras2]],2,50)</f>
        <v/>
      </c>
    </row>
    <row r="9386" spans="9:9" x14ac:dyDescent="0.25">
      <c r="I9386" s="227" t="str">
        <f>MID(excPisCofins[[#This Row],[CodBarras2]],2,50)</f>
        <v/>
      </c>
    </row>
    <row r="9387" spans="9:9" x14ac:dyDescent="0.25">
      <c r="I9387" s="227" t="str">
        <f>MID(excPisCofins[[#This Row],[CodBarras2]],2,50)</f>
        <v/>
      </c>
    </row>
    <row r="9388" spans="9:9" x14ac:dyDescent="0.25">
      <c r="I9388" s="227" t="str">
        <f>MID(excPisCofins[[#This Row],[CodBarras2]],2,50)</f>
        <v/>
      </c>
    </row>
    <row r="9389" spans="9:9" x14ac:dyDescent="0.25">
      <c r="I9389" s="227" t="str">
        <f>MID(excPisCofins[[#This Row],[CodBarras2]],2,50)</f>
        <v/>
      </c>
    </row>
    <row r="9390" spans="9:9" x14ac:dyDescent="0.25">
      <c r="I9390" s="227" t="str">
        <f>MID(excPisCofins[[#This Row],[CodBarras2]],2,50)</f>
        <v/>
      </c>
    </row>
    <row r="9391" spans="9:9" x14ac:dyDescent="0.25">
      <c r="I9391" s="227" t="str">
        <f>MID(excPisCofins[[#This Row],[CodBarras2]],2,50)</f>
        <v/>
      </c>
    </row>
    <row r="9392" spans="9:9" x14ac:dyDescent="0.25">
      <c r="I9392" s="227" t="str">
        <f>MID(excPisCofins[[#This Row],[CodBarras2]],2,50)</f>
        <v/>
      </c>
    </row>
    <row r="9393" spans="9:9" x14ac:dyDescent="0.25">
      <c r="I9393" s="227" t="str">
        <f>MID(excPisCofins[[#This Row],[CodBarras2]],2,50)</f>
        <v/>
      </c>
    </row>
    <row r="9394" spans="9:9" x14ac:dyDescent="0.25">
      <c r="I9394" s="227" t="str">
        <f>MID(excPisCofins[[#This Row],[CodBarras2]],2,50)</f>
        <v/>
      </c>
    </row>
    <row r="9395" spans="9:9" x14ac:dyDescent="0.25">
      <c r="I9395" s="227" t="str">
        <f>MID(excPisCofins[[#This Row],[CodBarras2]],2,50)</f>
        <v/>
      </c>
    </row>
    <row r="9396" spans="9:9" x14ac:dyDescent="0.25">
      <c r="I9396" s="227" t="str">
        <f>MID(excPisCofins[[#This Row],[CodBarras2]],2,50)</f>
        <v/>
      </c>
    </row>
    <row r="9397" spans="9:9" x14ac:dyDescent="0.25">
      <c r="I9397" s="227" t="str">
        <f>MID(excPisCofins[[#This Row],[CodBarras2]],2,50)</f>
        <v/>
      </c>
    </row>
    <row r="9398" spans="9:9" x14ac:dyDescent="0.25">
      <c r="I9398" s="227" t="str">
        <f>MID(excPisCofins[[#This Row],[CodBarras2]],2,50)</f>
        <v/>
      </c>
    </row>
    <row r="9399" spans="9:9" x14ac:dyDescent="0.25">
      <c r="I9399" s="227" t="str">
        <f>MID(excPisCofins[[#This Row],[CodBarras2]],2,50)</f>
        <v/>
      </c>
    </row>
    <row r="9400" spans="9:9" x14ac:dyDescent="0.25">
      <c r="I9400" s="227" t="str">
        <f>MID(excPisCofins[[#This Row],[CodBarras2]],2,50)</f>
        <v/>
      </c>
    </row>
    <row r="9401" spans="9:9" x14ac:dyDescent="0.25">
      <c r="I9401" s="227" t="str">
        <f>MID(excPisCofins[[#This Row],[CodBarras2]],2,50)</f>
        <v/>
      </c>
    </row>
    <row r="9402" spans="9:9" x14ac:dyDescent="0.25">
      <c r="I9402" s="227" t="str">
        <f>MID(excPisCofins[[#This Row],[CodBarras2]],2,50)</f>
        <v/>
      </c>
    </row>
    <row r="9403" spans="9:9" x14ac:dyDescent="0.25">
      <c r="I9403" s="227" t="str">
        <f>MID(excPisCofins[[#This Row],[CodBarras2]],2,50)</f>
        <v/>
      </c>
    </row>
    <row r="9404" spans="9:9" x14ac:dyDescent="0.25">
      <c r="I9404" s="227" t="str">
        <f>MID(excPisCofins[[#This Row],[CodBarras2]],2,50)</f>
        <v/>
      </c>
    </row>
    <row r="9405" spans="9:9" x14ac:dyDescent="0.25">
      <c r="I9405" s="227" t="str">
        <f>MID(excPisCofins[[#This Row],[CodBarras2]],2,50)</f>
        <v/>
      </c>
    </row>
    <row r="9406" spans="9:9" x14ac:dyDescent="0.25">
      <c r="I9406" s="227" t="str">
        <f>MID(excPisCofins[[#This Row],[CodBarras2]],2,50)</f>
        <v/>
      </c>
    </row>
    <row r="9407" spans="9:9" x14ac:dyDescent="0.25">
      <c r="I9407" s="227" t="str">
        <f>MID(excPisCofins[[#This Row],[CodBarras2]],2,50)</f>
        <v/>
      </c>
    </row>
    <row r="9408" spans="9:9" x14ac:dyDescent="0.25">
      <c r="I9408" s="227" t="str">
        <f>MID(excPisCofins[[#This Row],[CodBarras2]],2,50)</f>
        <v/>
      </c>
    </row>
    <row r="9409" spans="9:9" x14ac:dyDescent="0.25">
      <c r="I9409" s="227" t="str">
        <f>MID(excPisCofins[[#This Row],[CodBarras2]],2,50)</f>
        <v/>
      </c>
    </row>
    <row r="9410" spans="9:9" x14ac:dyDescent="0.25">
      <c r="I9410" s="227" t="str">
        <f>MID(excPisCofins[[#This Row],[CodBarras2]],2,50)</f>
        <v/>
      </c>
    </row>
    <row r="9411" spans="9:9" x14ac:dyDescent="0.25">
      <c r="I9411" s="227" t="str">
        <f>MID(excPisCofins[[#This Row],[CodBarras2]],2,50)</f>
        <v/>
      </c>
    </row>
    <row r="9412" spans="9:9" x14ac:dyDescent="0.25">
      <c r="I9412" s="227" t="str">
        <f>MID(excPisCofins[[#This Row],[CodBarras2]],2,50)</f>
        <v/>
      </c>
    </row>
    <row r="9413" spans="9:9" x14ac:dyDescent="0.25">
      <c r="I9413" s="227" t="str">
        <f>MID(excPisCofins[[#This Row],[CodBarras2]],2,50)</f>
        <v/>
      </c>
    </row>
    <row r="9414" spans="9:9" x14ac:dyDescent="0.25">
      <c r="I9414" s="227" t="str">
        <f>MID(excPisCofins[[#This Row],[CodBarras2]],2,50)</f>
        <v/>
      </c>
    </row>
    <row r="9415" spans="9:9" x14ac:dyDescent="0.25">
      <c r="I9415" s="227" t="str">
        <f>MID(excPisCofins[[#This Row],[CodBarras2]],2,50)</f>
        <v/>
      </c>
    </row>
    <row r="9416" spans="9:9" x14ac:dyDescent="0.25">
      <c r="I9416" s="227" t="str">
        <f>MID(excPisCofins[[#This Row],[CodBarras2]],2,50)</f>
        <v/>
      </c>
    </row>
    <row r="9417" spans="9:9" x14ac:dyDescent="0.25">
      <c r="I9417" s="227" t="str">
        <f>MID(excPisCofins[[#This Row],[CodBarras2]],2,50)</f>
        <v/>
      </c>
    </row>
    <row r="9418" spans="9:9" x14ac:dyDescent="0.25">
      <c r="I9418" s="227" t="str">
        <f>MID(excPisCofins[[#This Row],[CodBarras2]],2,50)</f>
        <v/>
      </c>
    </row>
    <row r="9419" spans="9:9" x14ac:dyDescent="0.25">
      <c r="I9419" s="227" t="str">
        <f>MID(excPisCofins[[#This Row],[CodBarras2]],2,50)</f>
        <v/>
      </c>
    </row>
    <row r="9420" spans="9:9" x14ac:dyDescent="0.25">
      <c r="I9420" s="227" t="str">
        <f>MID(excPisCofins[[#This Row],[CodBarras2]],2,50)</f>
        <v/>
      </c>
    </row>
    <row r="9421" spans="9:9" x14ac:dyDescent="0.25">
      <c r="I9421" s="227" t="str">
        <f>MID(excPisCofins[[#This Row],[CodBarras2]],2,50)</f>
        <v/>
      </c>
    </row>
    <row r="9422" spans="9:9" x14ac:dyDescent="0.25">
      <c r="I9422" s="227" t="str">
        <f>MID(excPisCofins[[#This Row],[CodBarras2]],2,50)</f>
        <v/>
      </c>
    </row>
    <row r="9423" spans="9:9" x14ac:dyDescent="0.25">
      <c r="I9423" s="227" t="str">
        <f>MID(excPisCofins[[#This Row],[CodBarras2]],2,50)</f>
        <v/>
      </c>
    </row>
    <row r="9424" spans="9:9" x14ac:dyDescent="0.25">
      <c r="I9424" s="227" t="str">
        <f>MID(excPisCofins[[#This Row],[CodBarras2]],2,50)</f>
        <v/>
      </c>
    </row>
    <row r="9425" spans="9:9" x14ac:dyDescent="0.25">
      <c r="I9425" s="227" t="str">
        <f>MID(excPisCofins[[#This Row],[CodBarras2]],2,50)</f>
        <v/>
      </c>
    </row>
    <row r="9426" spans="9:9" x14ac:dyDescent="0.25">
      <c r="I9426" s="227" t="str">
        <f>MID(excPisCofins[[#This Row],[CodBarras2]],2,50)</f>
        <v/>
      </c>
    </row>
    <row r="9427" spans="9:9" x14ac:dyDescent="0.25">
      <c r="I9427" s="227" t="str">
        <f>MID(excPisCofins[[#This Row],[CodBarras2]],2,50)</f>
        <v/>
      </c>
    </row>
    <row r="9428" spans="9:9" x14ac:dyDescent="0.25">
      <c r="I9428" s="227" t="str">
        <f>MID(excPisCofins[[#This Row],[CodBarras2]],2,50)</f>
        <v/>
      </c>
    </row>
    <row r="9429" spans="9:9" x14ac:dyDescent="0.25">
      <c r="I9429" s="227" t="str">
        <f>MID(excPisCofins[[#This Row],[CodBarras2]],2,50)</f>
        <v/>
      </c>
    </row>
    <row r="9430" spans="9:9" x14ac:dyDescent="0.25">
      <c r="I9430" s="227" t="str">
        <f>MID(excPisCofins[[#This Row],[CodBarras2]],2,50)</f>
        <v/>
      </c>
    </row>
    <row r="9431" spans="9:9" x14ac:dyDescent="0.25">
      <c r="I9431" s="227" t="str">
        <f>MID(excPisCofins[[#This Row],[CodBarras2]],2,50)</f>
        <v/>
      </c>
    </row>
    <row r="9432" spans="9:9" x14ac:dyDescent="0.25">
      <c r="I9432" s="227" t="str">
        <f>MID(excPisCofins[[#This Row],[CodBarras2]],2,50)</f>
        <v/>
      </c>
    </row>
    <row r="9433" spans="9:9" x14ac:dyDescent="0.25">
      <c r="I9433" s="227" t="str">
        <f>MID(excPisCofins[[#This Row],[CodBarras2]],2,50)</f>
        <v/>
      </c>
    </row>
    <row r="9434" spans="9:9" x14ac:dyDescent="0.25">
      <c r="I9434" s="227" t="str">
        <f>MID(excPisCofins[[#This Row],[CodBarras2]],2,50)</f>
        <v/>
      </c>
    </row>
    <row r="9435" spans="9:9" x14ac:dyDescent="0.25">
      <c r="I9435" s="227" t="str">
        <f>MID(excPisCofins[[#This Row],[CodBarras2]],2,50)</f>
        <v/>
      </c>
    </row>
    <row r="9436" spans="9:9" x14ac:dyDescent="0.25">
      <c r="I9436" s="227" t="str">
        <f>MID(excPisCofins[[#This Row],[CodBarras2]],2,50)</f>
        <v/>
      </c>
    </row>
    <row r="9437" spans="9:9" x14ac:dyDescent="0.25">
      <c r="I9437" s="227" t="str">
        <f>MID(excPisCofins[[#This Row],[CodBarras2]],2,50)</f>
        <v/>
      </c>
    </row>
    <row r="9438" spans="9:9" x14ac:dyDescent="0.25">
      <c r="I9438" s="227" t="str">
        <f>MID(excPisCofins[[#This Row],[CodBarras2]],2,50)</f>
        <v/>
      </c>
    </row>
    <row r="9439" spans="9:9" x14ac:dyDescent="0.25">
      <c r="I9439" s="227" t="str">
        <f>MID(excPisCofins[[#This Row],[CodBarras2]],2,50)</f>
        <v/>
      </c>
    </row>
    <row r="9440" spans="9:9" x14ac:dyDescent="0.25">
      <c r="I9440" s="227" t="str">
        <f>MID(excPisCofins[[#This Row],[CodBarras2]],2,50)</f>
        <v/>
      </c>
    </row>
    <row r="9441" spans="9:9" x14ac:dyDescent="0.25">
      <c r="I9441" s="227" t="str">
        <f>MID(excPisCofins[[#This Row],[CodBarras2]],2,50)</f>
        <v/>
      </c>
    </row>
    <row r="9442" spans="9:9" x14ac:dyDescent="0.25">
      <c r="I9442" s="227" t="str">
        <f>MID(excPisCofins[[#This Row],[CodBarras2]],2,50)</f>
        <v/>
      </c>
    </row>
    <row r="9443" spans="9:9" x14ac:dyDescent="0.25">
      <c r="I9443" s="227" t="str">
        <f>MID(excPisCofins[[#This Row],[CodBarras2]],2,50)</f>
        <v/>
      </c>
    </row>
    <row r="9444" spans="9:9" x14ac:dyDescent="0.25">
      <c r="I9444" s="227" t="str">
        <f>MID(excPisCofins[[#This Row],[CodBarras2]],2,50)</f>
        <v/>
      </c>
    </row>
    <row r="9445" spans="9:9" x14ac:dyDescent="0.25">
      <c r="I9445" s="227" t="str">
        <f>MID(excPisCofins[[#This Row],[CodBarras2]],2,50)</f>
        <v/>
      </c>
    </row>
    <row r="9446" spans="9:9" x14ac:dyDescent="0.25">
      <c r="I9446" s="227" t="str">
        <f>MID(excPisCofins[[#This Row],[CodBarras2]],2,50)</f>
        <v/>
      </c>
    </row>
    <row r="9447" spans="9:9" x14ac:dyDescent="0.25">
      <c r="I9447" s="227" t="str">
        <f>MID(excPisCofins[[#This Row],[CodBarras2]],2,50)</f>
        <v/>
      </c>
    </row>
    <row r="9448" spans="9:9" x14ac:dyDescent="0.25">
      <c r="I9448" s="227" t="str">
        <f>MID(excPisCofins[[#This Row],[CodBarras2]],2,50)</f>
        <v/>
      </c>
    </row>
    <row r="9449" spans="9:9" x14ac:dyDescent="0.25">
      <c r="I9449" s="227" t="str">
        <f>MID(excPisCofins[[#This Row],[CodBarras2]],2,50)</f>
        <v/>
      </c>
    </row>
    <row r="9450" spans="9:9" x14ac:dyDescent="0.25">
      <c r="I9450" s="227" t="str">
        <f>MID(excPisCofins[[#This Row],[CodBarras2]],2,50)</f>
        <v/>
      </c>
    </row>
    <row r="9451" spans="9:9" x14ac:dyDescent="0.25">
      <c r="I9451" s="227" t="str">
        <f>MID(excPisCofins[[#This Row],[CodBarras2]],2,50)</f>
        <v/>
      </c>
    </row>
    <row r="9452" spans="9:9" x14ac:dyDescent="0.25">
      <c r="I9452" s="227" t="str">
        <f>MID(excPisCofins[[#This Row],[CodBarras2]],2,50)</f>
        <v/>
      </c>
    </row>
    <row r="9453" spans="9:9" x14ac:dyDescent="0.25">
      <c r="I9453" s="227" t="str">
        <f>MID(excPisCofins[[#This Row],[CodBarras2]],2,50)</f>
        <v/>
      </c>
    </row>
    <row r="9454" spans="9:9" x14ac:dyDescent="0.25">
      <c r="I9454" s="227" t="str">
        <f>MID(excPisCofins[[#This Row],[CodBarras2]],2,50)</f>
        <v/>
      </c>
    </row>
    <row r="9455" spans="9:9" x14ac:dyDescent="0.25">
      <c r="I9455" s="227" t="str">
        <f>MID(excPisCofins[[#This Row],[CodBarras2]],2,50)</f>
        <v/>
      </c>
    </row>
    <row r="9456" spans="9:9" x14ac:dyDescent="0.25">
      <c r="I9456" s="227" t="str">
        <f>MID(excPisCofins[[#This Row],[CodBarras2]],2,50)</f>
        <v/>
      </c>
    </row>
    <row r="9457" spans="9:9" x14ac:dyDescent="0.25">
      <c r="I9457" s="227" t="str">
        <f>MID(excPisCofins[[#This Row],[CodBarras2]],2,50)</f>
        <v/>
      </c>
    </row>
    <row r="9458" spans="9:9" x14ac:dyDescent="0.25">
      <c r="I9458" s="227" t="str">
        <f>MID(excPisCofins[[#This Row],[CodBarras2]],2,50)</f>
        <v/>
      </c>
    </row>
    <row r="9459" spans="9:9" x14ac:dyDescent="0.25">
      <c r="I9459" s="227" t="str">
        <f>MID(excPisCofins[[#This Row],[CodBarras2]],2,50)</f>
        <v/>
      </c>
    </row>
    <row r="9460" spans="9:9" x14ac:dyDescent="0.25">
      <c r="I9460" s="227" t="str">
        <f>MID(excPisCofins[[#This Row],[CodBarras2]],2,50)</f>
        <v/>
      </c>
    </row>
    <row r="9461" spans="9:9" x14ac:dyDescent="0.25">
      <c r="I9461" s="227" t="str">
        <f>MID(excPisCofins[[#This Row],[CodBarras2]],2,50)</f>
        <v/>
      </c>
    </row>
    <row r="9462" spans="9:9" x14ac:dyDescent="0.25">
      <c r="I9462" s="227" t="str">
        <f>MID(excPisCofins[[#This Row],[CodBarras2]],2,50)</f>
        <v/>
      </c>
    </row>
    <row r="9463" spans="9:9" x14ac:dyDescent="0.25">
      <c r="I9463" s="227" t="str">
        <f>MID(excPisCofins[[#This Row],[CodBarras2]],2,50)</f>
        <v/>
      </c>
    </row>
    <row r="9464" spans="9:9" x14ac:dyDescent="0.25">
      <c r="I9464" s="227" t="str">
        <f>MID(excPisCofins[[#This Row],[CodBarras2]],2,50)</f>
        <v/>
      </c>
    </row>
    <row r="9465" spans="9:9" x14ac:dyDescent="0.25">
      <c r="I9465" s="227" t="str">
        <f>MID(excPisCofins[[#This Row],[CodBarras2]],2,50)</f>
        <v/>
      </c>
    </row>
    <row r="9466" spans="9:9" x14ac:dyDescent="0.25">
      <c r="I9466" s="227" t="str">
        <f>MID(excPisCofins[[#This Row],[CodBarras2]],2,50)</f>
        <v/>
      </c>
    </row>
    <row r="9467" spans="9:9" x14ac:dyDescent="0.25">
      <c r="I9467" s="227" t="str">
        <f>MID(excPisCofins[[#This Row],[CodBarras2]],2,50)</f>
        <v/>
      </c>
    </row>
    <row r="9468" spans="9:9" x14ac:dyDescent="0.25">
      <c r="I9468" s="227" t="str">
        <f>MID(excPisCofins[[#This Row],[CodBarras2]],2,50)</f>
        <v/>
      </c>
    </row>
    <row r="9469" spans="9:9" x14ac:dyDescent="0.25">
      <c r="I9469" s="227" t="str">
        <f>MID(excPisCofins[[#This Row],[CodBarras2]],2,50)</f>
        <v/>
      </c>
    </row>
    <row r="9470" spans="9:9" x14ac:dyDescent="0.25">
      <c r="I9470" s="227" t="str">
        <f>MID(excPisCofins[[#This Row],[CodBarras2]],2,50)</f>
        <v/>
      </c>
    </row>
    <row r="9471" spans="9:9" x14ac:dyDescent="0.25">
      <c r="I9471" s="227" t="str">
        <f>MID(excPisCofins[[#This Row],[CodBarras2]],2,50)</f>
        <v/>
      </c>
    </row>
    <row r="9472" spans="9:9" x14ac:dyDescent="0.25">
      <c r="I9472" s="227" t="str">
        <f>MID(excPisCofins[[#This Row],[CodBarras2]],2,50)</f>
        <v/>
      </c>
    </row>
    <row r="9473" spans="9:9" x14ac:dyDescent="0.25">
      <c r="I9473" s="227" t="str">
        <f>MID(excPisCofins[[#This Row],[CodBarras2]],2,50)</f>
        <v/>
      </c>
    </row>
    <row r="9474" spans="9:9" x14ac:dyDescent="0.25">
      <c r="I9474" s="227" t="str">
        <f>MID(excPisCofins[[#This Row],[CodBarras2]],2,50)</f>
        <v/>
      </c>
    </row>
    <row r="9475" spans="9:9" x14ac:dyDescent="0.25">
      <c r="I9475" s="227" t="str">
        <f>MID(excPisCofins[[#This Row],[CodBarras2]],2,50)</f>
        <v/>
      </c>
    </row>
    <row r="9476" spans="9:9" x14ac:dyDescent="0.25">
      <c r="I9476" s="227" t="str">
        <f>MID(excPisCofins[[#This Row],[CodBarras2]],2,50)</f>
        <v/>
      </c>
    </row>
    <row r="9477" spans="9:9" x14ac:dyDescent="0.25">
      <c r="I9477" s="227" t="str">
        <f>MID(excPisCofins[[#This Row],[CodBarras2]],2,50)</f>
        <v/>
      </c>
    </row>
    <row r="9478" spans="9:9" x14ac:dyDescent="0.25">
      <c r="I9478" s="227" t="str">
        <f>MID(excPisCofins[[#This Row],[CodBarras2]],2,50)</f>
        <v/>
      </c>
    </row>
    <row r="9479" spans="9:9" x14ac:dyDescent="0.25">
      <c r="I9479" s="227" t="str">
        <f>MID(excPisCofins[[#This Row],[CodBarras2]],2,50)</f>
        <v/>
      </c>
    </row>
    <row r="9480" spans="9:9" x14ac:dyDescent="0.25">
      <c r="I9480" s="227" t="str">
        <f>MID(excPisCofins[[#This Row],[CodBarras2]],2,50)</f>
        <v/>
      </c>
    </row>
    <row r="9481" spans="9:9" x14ac:dyDescent="0.25">
      <c r="I9481" s="227" t="str">
        <f>MID(excPisCofins[[#This Row],[CodBarras2]],2,50)</f>
        <v/>
      </c>
    </row>
    <row r="9482" spans="9:9" x14ac:dyDescent="0.25">
      <c r="I9482" s="227" t="str">
        <f>MID(excPisCofins[[#This Row],[CodBarras2]],2,50)</f>
        <v/>
      </c>
    </row>
    <row r="9483" spans="9:9" x14ac:dyDescent="0.25">
      <c r="I9483" s="227" t="str">
        <f>MID(excPisCofins[[#This Row],[CodBarras2]],2,50)</f>
        <v/>
      </c>
    </row>
    <row r="9484" spans="9:9" x14ac:dyDescent="0.25">
      <c r="I9484" s="227" t="str">
        <f>MID(excPisCofins[[#This Row],[CodBarras2]],2,50)</f>
        <v/>
      </c>
    </row>
    <row r="9485" spans="9:9" x14ac:dyDescent="0.25">
      <c r="I9485" s="227" t="str">
        <f>MID(excPisCofins[[#This Row],[CodBarras2]],2,50)</f>
        <v/>
      </c>
    </row>
    <row r="9486" spans="9:9" x14ac:dyDescent="0.25">
      <c r="I9486" s="227" t="str">
        <f>MID(excPisCofins[[#This Row],[CodBarras2]],2,50)</f>
        <v/>
      </c>
    </row>
    <row r="9487" spans="9:9" x14ac:dyDescent="0.25">
      <c r="I9487" s="227" t="str">
        <f>MID(excPisCofins[[#This Row],[CodBarras2]],2,50)</f>
        <v/>
      </c>
    </row>
    <row r="9488" spans="9:9" x14ac:dyDescent="0.25">
      <c r="I9488" s="227" t="str">
        <f>MID(excPisCofins[[#This Row],[CodBarras2]],2,50)</f>
        <v/>
      </c>
    </row>
    <row r="9489" spans="9:9" x14ac:dyDescent="0.25">
      <c r="I9489" s="227" t="str">
        <f>MID(excPisCofins[[#This Row],[CodBarras2]],2,50)</f>
        <v/>
      </c>
    </row>
    <row r="9490" spans="9:9" x14ac:dyDescent="0.25">
      <c r="I9490" s="227" t="str">
        <f>MID(excPisCofins[[#This Row],[CodBarras2]],2,50)</f>
        <v/>
      </c>
    </row>
    <row r="9491" spans="9:9" x14ac:dyDescent="0.25">
      <c r="I9491" s="227" t="str">
        <f>MID(excPisCofins[[#This Row],[CodBarras2]],2,50)</f>
        <v/>
      </c>
    </row>
    <row r="9492" spans="9:9" x14ac:dyDescent="0.25">
      <c r="I9492" s="227" t="str">
        <f>MID(excPisCofins[[#This Row],[CodBarras2]],2,50)</f>
        <v/>
      </c>
    </row>
    <row r="9493" spans="9:9" x14ac:dyDescent="0.25">
      <c r="I9493" s="227" t="str">
        <f>MID(excPisCofins[[#This Row],[CodBarras2]],2,50)</f>
        <v/>
      </c>
    </row>
    <row r="9494" spans="9:9" x14ac:dyDescent="0.25">
      <c r="I9494" s="227" t="str">
        <f>MID(excPisCofins[[#This Row],[CodBarras2]],2,50)</f>
        <v/>
      </c>
    </row>
    <row r="9495" spans="9:9" x14ac:dyDescent="0.25">
      <c r="I9495" s="227" t="str">
        <f>MID(excPisCofins[[#This Row],[CodBarras2]],2,50)</f>
        <v/>
      </c>
    </row>
    <row r="9496" spans="9:9" x14ac:dyDescent="0.25">
      <c r="I9496" s="227" t="str">
        <f>MID(excPisCofins[[#This Row],[CodBarras2]],2,50)</f>
        <v/>
      </c>
    </row>
    <row r="9497" spans="9:9" x14ac:dyDescent="0.25">
      <c r="I9497" s="227" t="str">
        <f>MID(excPisCofins[[#This Row],[CodBarras2]],2,50)</f>
        <v/>
      </c>
    </row>
    <row r="9498" spans="9:9" x14ac:dyDescent="0.25">
      <c r="I9498" s="227" t="str">
        <f>MID(excPisCofins[[#This Row],[CodBarras2]],2,50)</f>
        <v/>
      </c>
    </row>
    <row r="9499" spans="9:9" x14ac:dyDescent="0.25">
      <c r="I9499" s="227" t="str">
        <f>MID(excPisCofins[[#This Row],[CodBarras2]],2,50)</f>
        <v/>
      </c>
    </row>
    <row r="9500" spans="9:9" x14ac:dyDescent="0.25">
      <c r="I9500" s="227" t="str">
        <f>MID(excPisCofins[[#This Row],[CodBarras2]],2,50)</f>
        <v/>
      </c>
    </row>
    <row r="9501" spans="9:9" x14ac:dyDescent="0.25">
      <c r="I9501" s="227" t="str">
        <f>MID(excPisCofins[[#This Row],[CodBarras2]],2,50)</f>
        <v/>
      </c>
    </row>
    <row r="9502" spans="9:9" x14ac:dyDescent="0.25">
      <c r="I9502" s="227" t="str">
        <f>MID(excPisCofins[[#This Row],[CodBarras2]],2,50)</f>
        <v/>
      </c>
    </row>
    <row r="9503" spans="9:9" x14ac:dyDescent="0.25">
      <c r="I9503" s="227" t="str">
        <f>MID(excPisCofins[[#This Row],[CodBarras2]],2,50)</f>
        <v/>
      </c>
    </row>
    <row r="9504" spans="9:9" x14ac:dyDescent="0.25">
      <c r="I9504" s="227" t="str">
        <f>MID(excPisCofins[[#This Row],[CodBarras2]],2,50)</f>
        <v/>
      </c>
    </row>
    <row r="9505" spans="9:9" x14ac:dyDescent="0.25">
      <c r="I9505" s="227" t="str">
        <f>MID(excPisCofins[[#This Row],[CodBarras2]],2,50)</f>
        <v/>
      </c>
    </row>
    <row r="9506" spans="9:9" x14ac:dyDescent="0.25">
      <c r="I9506" s="227" t="str">
        <f>MID(excPisCofins[[#This Row],[CodBarras2]],2,50)</f>
        <v/>
      </c>
    </row>
    <row r="9507" spans="9:9" x14ac:dyDescent="0.25">
      <c r="I9507" s="227" t="str">
        <f>MID(excPisCofins[[#This Row],[CodBarras2]],2,50)</f>
        <v/>
      </c>
    </row>
    <row r="9508" spans="9:9" x14ac:dyDescent="0.25">
      <c r="I9508" s="227" t="str">
        <f>MID(excPisCofins[[#This Row],[CodBarras2]],2,50)</f>
        <v/>
      </c>
    </row>
    <row r="9509" spans="9:9" x14ac:dyDescent="0.25">
      <c r="I9509" s="227" t="str">
        <f>MID(excPisCofins[[#This Row],[CodBarras2]],2,50)</f>
        <v/>
      </c>
    </row>
    <row r="9510" spans="9:9" x14ac:dyDescent="0.25">
      <c r="I9510" s="227" t="str">
        <f>MID(excPisCofins[[#This Row],[CodBarras2]],2,50)</f>
        <v/>
      </c>
    </row>
    <row r="9511" spans="9:9" x14ac:dyDescent="0.25">
      <c r="I9511" s="227" t="str">
        <f>MID(excPisCofins[[#This Row],[CodBarras2]],2,50)</f>
        <v/>
      </c>
    </row>
    <row r="9512" spans="9:9" x14ac:dyDescent="0.25">
      <c r="I9512" s="227" t="str">
        <f>MID(excPisCofins[[#This Row],[CodBarras2]],2,50)</f>
        <v/>
      </c>
    </row>
    <row r="9513" spans="9:9" x14ac:dyDescent="0.25">
      <c r="I9513" s="227" t="str">
        <f>MID(excPisCofins[[#This Row],[CodBarras2]],2,50)</f>
        <v/>
      </c>
    </row>
    <row r="9514" spans="9:9" x14ac:dyDescent="0.25">
      <c r="I9514" s="227" t="str">
        <f>MID(excPisCofins[[#This Row],[CodBarras2]],2,50)</f>
        <v/>
      </c>
    </row>
    <row r="9515" spans="9:9" x14ac:dyDescent="0.25">
      <c r="I9515" s="227" t="str">
        <f>MID(excPisCofins[[#This Row],[CodBarras2]],2,50)</f>
        <v/>
      </c>
    </row>
    <row r="9516" spans="9:9" x14ac:dyDescent="0.25">
      <c r="I9516" s="227" t="str">
        <f>MID(excPisCofins[[#This Row],[CodBarras2]],2,50)</f>
        <v/>
      </c>
    </row>
    <row r="9517" spans="9:9" x14ac:dyDescent="0.25">
      <c r="I9517" s="227" t="str">
        <f>MID(excPisCofins[[#This Row],[CodBarras2]],2,50)</f>
        <v/>
      </c>
    </row>
    <row r="9518" spans="9:9" x14ac:dyDescent="0.25">
      <c r="I9518" s="227" t="str">
        <f>MID(excPisCofins[[#This Row],[CodBarras2]],2,50)</f>
        <v/>
      </c>
    </row>
    <row r="9519" spans="9:9" x14ac:dyDescent="0.25">
      <c r="I9519" s="227" t="str">
        <f>MID(excPisCofins[[#This Row],[CodBarras2]],2,50)</f>
        <v/>
      </c>
    </row>
    <row r="9520" spans="9:9" x14ac:dyDescent="0.25">
      <c r="I9520" s="227" t="str">
        <f>MID(excPisCofins[[#This Row],[CodBarras2]],2,50)</f>
        <v/>
      </c>
    </row>
    <row r="9521" spans="9:9" x14ac:dyDescent="0.25">
      <c r="I9521" s="227" t="str">
        <f>MID(excPisCofins[[#This Row],[CodBarras2]],2,50)</f>
        <v/>
      </c>
    </row>
    <row r="9522" spans="9:9" x14ac:dyDescent="0.25">
      <c r="I9522" s="227" t="str">
        <f>MID(excPisCofins[[#This Row],[CodBarras2]],2,50)</f>
        <v/>
      </c>
    </row>
    <row r="9523" spans="9:9" x14ac:dyDescent="0.25">
      <c r="I9523" s="227" t="str">
        <f>MID(excPisCofins[[#This Row],[CodBarras2]],2,50)</f>
        <v/>
      </c>
    </row>
    <row r="9524" spans="9:9" x14ac:dyDescent="0.25">
      <c r="I9524" s="227" t="str">
        <f>MID(excPisCofins[[#This Row],[CodBarras2]],2,50)</f>
        <v/>
      </c>
    </row>
    <row r="9525" spans="9:9" x14ac:dyDescent="0.25">
      <c r="I9525" s="227" t="str">
        <f>MID(excPisCofins[[#This Row],[CodBarras2]],2,50)</f>
        <v/>
      </c>
    </row>
    <row r="9526" spans="9:9" x14ac:dyDescent="0.25">
      <c r="I9526" s="227" t="str">
        <f>MID(excPisCofins[[#This Row],[CodBarras2]],2,50)</f>
        <v/>
      </c>
    </row>
    <row r="9527" spans="9:9" x14ac:dyDescent="0.25">
      <c r="I9527" s="227" t="str">
        <f>MID(excPisCofins[[#This Row],[CodBarras2]],2,50)</f>
        <v/>
      </c>
    </row>
    <row r="9528" spans="9:9" x14ac:dyDescent="0.25">
      <c r="I9528" s="227" t="str">
        <f>MID(excPisCofins[[#This Row],[CodBarras2]],2,50)</f>
        <v/>
      </c>
    </row>
    <row r="9529" spans="9:9" x14ac:dyDescent="0.25">
      <c r="I9529" s="227" t="str">
        <f>MID(excPisCofins[[#This Row],[CodBarras2]],2,50)</f>
        <v/>
      </c>
    </row>
    <row r="9530" spans="9:9" x14ac:dyDescent="0.25">
      <c r="I9530" s="227" t="str">
        <f>MID(excPisCofins[[#This Row],[CodBarras2]],2,50)</f>
        <v/>
      </c>
    </row>
    <row r="9531" spans="9:9" x14ac:dyDescent="0.25">
      <c r="I9531" s="227" t="str">
        <f>MID(excPisCofins[[#This Row],[CodBarras2]],2,50)</f>
        <v/>
      </c>
    </row>
    <row r="9532" spans="9:9" x14ac:dyDescent="0.25">
      <c r="I9532" s="227" t="str">
        <f>MID(excPisCofins[[#This Row],[CodBarras2]],2,50)</f>
        <v/>
      </c>
    </row>
    <row r="9533" spans="9:9" x14ac:dyDescent="0.25">
      <c r="I9533" s="227" t="str">
        <f>MID(excPisCofins[[#This Row],[CodBarras2]],2,50)</f>
        <v/>
      </c>
    </row>
    <row r="9534" spans="9:9" x14ac:dyDescent="0.25">
      <c r="I9534" s="227" t="str">
        <f>MID(excPisCofins[[#This Row],[CodBarras2]],2,50)</f>
        <v/>
      </c>
    </row>
    <row r="9535" spans="9:9" x14ac:dyDescent="0.25">
      <c r="I9535" s="227" t="str">
        <f>MID(excPisCofins[[#This Row],[CodBarras2]],2,50)</f>
        <v/>
      </c>
    </row>
    <row r="9536" spans="9:9" x14ac:dyDescent="0.25">
      <c r="I9536" s="227" t="str">
        <f>MID(excPisCofins[[#This Row],[CodBarras2]],2,50)</f>
        <v/>
      </c>
    </row>
    <row r="9537" spans="9:9" x14ac:dyDescent="0.25">
      <c r="I9537" s="227" t="str">
        <f>MID(excPisCofins[[#This Row],[CodBarras2]],2,50)</f>
        <v/>
      </c>
    </row>
    <row r="9538" spans="9:9" x14ac:dyDescent="0.25">
      <c r="I9538" s="227" t="str">
        <f>MID(excPisCofins[[#This Row],[CodBarras2]],2,50)</f>
        <v/>
      </c>
    </row>
    <row r="9539" spans="9:9" x14ac:dyDescent="0.25">
      <c r="I9539" s="227" t="str">
        <f>MID(excPisCofins[[#This Row],[CodBarras2]],2,50)</f>
        <v/>
      </c>
    </row>
    <row r="9540" spans="9:9" x14ac:dyDescent="0.25">
      <c r="I9540" s="227" t="str">
        <f>MID(excPisCofins[[#This Row],[CodBarras2]],2,50)</f>
        <v/>
      </c>
    </row>
    <row r="9541" spans="9:9" x14ac:dyDescent="0.25">
      <c r="I9541" s="227" t="str">
        <f>MID(excPisCofins[[#This Row],[CodBarras2]],2,50)</f>
        <v/>
      </c>
    </row>
    <row r="9542" spans="9:9" x14ac:dyDescent="0.25">
      <c r="I9542" s="227" t="str">
        <f>MID(excPisCofins[[#This Row],[CodBarras2]],2,50)</f>
        <v/>
      </c>
    </row>
    <row r="9543" spans="9:9" x14ac:dyDescent="0.25">
      <c r="I9543" s="227" t="str">
        <f>MID(excPisCofins[[#This Row],[CodBarras2]],2,50)</f>
        <v/>
      </c>
    </row>
    <row r="9544" spans="9:9" x14ac:dyDescent="0.25">
      <c r="I9544" s="227" t="str">
        <f>MID(excPisCofins[[#This Row],[CodBarras2]],2,50)</f>
        <v/>
      </c>
    </row>
    <row r="9545" spans="9:9" x14ac:dyDescent="0.25">
      <c r="I9545" s="227" t="str">
        <f>MID(excPisCofins[[#This Row],[CodBarras2]],2,50)</f>
        <v/>
      </c>
    </row>
    <row r="9546" spans="9:9" x14ac:dyDescent="0.25">
      <c r="I9546" s="227" t="str">
        <f>MID(excPisCofins[[#This Row],[CodBarras2]],2,50)</f>
        <v/>
      </c>
    </row>
    <row r="9547" spans="9:9" x14ac:dyDescent="0.25">
      <c r="I9547" s="227" t="str">
        <f>MID(excPisCofins[[#This Row],[CodBarras2]],2,50)</f>
        <v/>
      </c>
    </row>
    <row r="9548" spans="9:9" x14ac:dyDescent="0.25">
      <c r="I9548" s="227" t="str">
        <f>MID(excPisCofins[[#This Row],[CodBarras2]],2,50)</f>
        <v/>
      </c>
    </row>
    <row r="9549" spans="9:9" x14ac:dyDescent="0.25">
      <c r="I9549" s="227" t="str">
        <f>MID(excPisCofins[[#This Row],[CodBarras2]],2,50)</f>
        <v/>
      </c>
    </row>
    <row r="9550" spans="9:9" x14ac:dyDescent="0.25">
      <c r="I9550" s="227" t="str">
        <f>MID(excPisCofins[[#This Row],[CodBarras2]],2,50)</f>
        <v/>
      </c>
    </row>
    <row r="9551" spans="9:9" x14ac:dyDescent="0.25">
      <c r="I9551" s="227" t="str">
        <f>MID(excPisCofins[[#This Row],[CodBarras2]],2,50)</f>
        <v/>
      </c>
    </row>
    <row r="9552" spans="9:9" x14ac:dyDescent="0.25">
      <c r="I9552" s="227" t="str">
        <f>MID(excPisCofins[[#This Row],[CodBarras2]],2,50)</f>
        <v/>
      </c>
    </row>
    <row r="9553" spans="9:9" x14ac:dyDescent="0.25">
      <c r="I9553" s="227" t="str">
        <f>MID(excPisCofins[[#This Row],[CodBarras2]],2,50)</f>
        <v/>
      </c>
    </row>
    <row r="9554" spans="9:9" x14ac:dyDescent="0.25">
      <c r="I9554" s="227" t="str">
        <f>MID(excPisCofins[[#This Row],[CodBarras2]],2,50)</f>
        <v/>
      </c>
    </row>
    <row r="9555" spans="9:9" x14ac:dyDescent="0.25">
      <c r="I9555" s="227" t="str">
        <f>MID(excPisCofins[[#This Row],[CodBarras2]],2,50)</f>
        <v/>
      </c>
    </row>
    <row r="9556" spans="9:9" x14ac:dyDescent="0.25">
      <c r="I9556" s="227" t="str">
        <f>MID(excPisCofins[[#This Row],[CodBarras2]],2,50)</f>
        <v/>
      </c>
    </row>
    <row r="9557" spans="9:9" x14ac:dyDescent="0.25">
      <c r="I9557" s="227" t="str">
        <f>MID(excPisCofins[[#This Row],[CodBarras2]],2,50)</f>
        <v/>
      </c>
    </row>
    <row r="9558" spans="9:9" x14ac:dyDescent="0.25">
      <c r="I9558" s="227" t="str">
        <f>MID(excPisCofins[[#This Row],[CodBarras2]],2,50)</f>
        <v/>
      </c>
    </row>
    <row r="9559" spans="9:9" x14ac:dyDescent="0.25">
      <c r="I9559" s="227" t="str">
        <f>MID(excPisCofins[[#This Row],[CodBarras2]],2,50)</f>
        <v/>
      </c>
    </row>
    <row r="9560" spans="9:9" x14ac:dyDescent="0.25">
      <c r="I9560" s="227" t="str">
        <f>MID(excPisCofins[[#This Row],[CodBarras2]],2,50)</f>
        <v/>
      </c>
    </row>
    <row r="9561" spans="9:9" x14ac:dyDescent="0.25">
      <c r="I9561" s="227" t="str">
        <f>MID(excPisCofins[[#This Row],[CodBarras2]],2,50)</f>
        <v/>
      </c>
    </row>
    <row r="9562" spans="9:9" x14ac:dyDescent="0.25">
      <c r="I9562" s="227" t="str">
        <f>MID(excPisCofins[[#This Row],[CodBarras2]],2,50)</f>
        <v/>
      </c>
    </row>
    <row r="9563" spans="9:9" x14ac:dyDescent="0.25">
      <c r="I9563" s="227" t="str">
        <f>MID(excPisCofins[[#This Row],[CodBarras2]],2,50)</f>
        <v/>
      </c>
    </row>
    <row r="9564" spans="9:9" x14ac:dyDescent="0.25">
      <c r="I9564" s="227" t="str">
        <f>MID(excPisCofins[[#This Row],[CodBarras2]],2,50)</f>
        <v/>
      </c>
    </row>
    <row r="9565" spans="9:9" x14ac:dyDescent="0.25">
      <c r="I9565" s="227" t="str">
        <f>MID(excPisCofins[[#This Row],[CodBarras2]],2,50)</f>
        <v/>
      </c>
    </row>
    <row r="9566" spans="9:9" x14ac:dyDescent="0.25">
      <c r="I9566" s="227" t="str">
        <f>MID(excPisCofins[[#This Row],[CodBarras2]],2,50)</f>
        <v/>
      </c>
    </row>
    <row r="9567" spans="9:9" x14ac:dyDescent="0.25">
      <c r="I9567" s="227" t="str">
        <f>MID(excPisCofins[[#This Row],[CodBarras2]],2,50)</f>
        <v/>
      </c>
    </row>
    <row r="9568" spans="9:9" x14ac:dyDescent="0.25">
      <c r="I9568" s="227" t="str">
        <f>MID(excPisCofins[[#This Row],[CodBarras2]],2,50)</f>
        <v/>
      </c>
    </row>
    <row r="9569" spans="9:9" x14ac:dyDescent="0.25">
      <c r="I9569" s="227" t="str">
        <f>MID(excPisCofins[[#This Row],[CodBarras2]],2,50)</f>
        <v/>
      </c>
    </row>
    <row r="9570" spans="9:9" x14ac:dyDescent="0.25">
      <c r="I9570" s="227" t="str">
        <f>MID(excPisCofins[[#This Row],[CodBarras2]],2,50)</f>
        <v/>
      </c>
    </row>
    <row r="9571" spans="9:9" x14ac:dyDescent="0.25">
      <c r="I9571" s="227" t="str">
        <f>MID(excPisCofins[[#This Row],[CodBarras2]],2,50)</f>
        <v/>
      </c>
    </row>
    <row r="9572" spans="9:9" x14ac:dyDescent="0.25">
      <c r="I9572" s="227" t="str">
        <f>MID(excPisCofins[[#This Row],[CodBarras2]],2,50)</f>
        <v/>
      </c>
    </row>
    <row r="9573" spans="9:9" x14ac:dyDescent="0.25">
      <c r="I9573" s="227" t="str">
        <f>MID(excPisCofins[[#This Row],[CodBarras2]],2,50)</f>
        <v/>
      </c>
    </row>
    <row r="9574" spans="9:9" x14ac:dyDescent="0.25">
      <c r="I9574" s="227" t="str">
        <f>MID(excPisCofins[[#This Row],[CodBarras2]],2,50)</f>
        <v/>
      </c>
    </row>
    <row r="9575" spans="9:9" x14ac:dyDescent="0.25">
      <c r="I9575" s="227" t="str">
        <f>MID(excPisCofins[[#This Row],[CodBarras2]],2,50)</f>
        <v/>
      </c>
    </row>
    <row r="9576" spans="9:9" x14ac:dyDescent="0.25">
      <c r="I9576" s="227" t="str">
        <f>MID(excPisCofins[[#This Row],[CodBarras2]],2,50)</f>
        <v/>
      </c>
    </row>
    <row r="9577" spans="9:9" x14ac:dyDescent="0.25">
      <c r="I9577" s="227" t="str">
        <f>MID(excPisCofins[[#This Row],[CodBarras2]],2,50)</f>
        <v/>
      </c>
    </row>
    <row r="9578" spans="9:9" x14ac:dyDescent="0.25">
      <c r="I9578" s="227" t="str">
        <f>MID(excPisCofins[[#This Row],[CodBarras2]],2,50)</f>
        <v/>
      </c>
    </row>
    <row r="9579" spans="9:9" x14ac:dyDescent="0.25">
      <c r="I9579" s="227" t="str">
        <f>MID(excPisCofins[[#This Row],[CodBarras2]],2,50)</f>
        <v/>
      </c>
    </row>
    <row r="9580" spans="9:9" x14ac:dyDescent="0.25">
      <c r="I9580" s="227" t="str">
        <f>MID(excPisCofins[[#This Row],[CodBarras2]],2,50)</f>
        <v/>
      </c>
    </row>
    <row r="9581" spans="9:9" x14ac:dyDescent="0.25">
      <c r="I9581" s="227" t="str">
        <f>MID(excPisCofins[[#This Row],[CodBarras2]],2,50)</f>
        <v/>
      </c>
    </row>
    <row r="9582" spans="9:9" x14ac:dyDescent="0.25">
      <c r="I9582" s="227" t="str">
        <f>MID(excPisCofins[[#This Row],[CodBarras2]],2,50)</f>
        <v/>
      </c>
    </row>
    <row r="9583" spans="9:9" x14ac:dyDescent="0.25">
      <c r="I9583" s="227" t="str">
        <f>MID(excPisCofins[[#This Row],[CodBarras2]],2,50)</f>
        <v/>
      </c>
    </row>
    <row r="9584" spans="9:9" x14ac:dyDescent="0.25">
      <c r="I9584" s="227" t="str">
        <f>MID(excPisCofins[[#This Row],[CodBarras2]],2,50)</f>
        <v/>
      </c>
    </row>
    <row r="9585" spans="9:9" x14ac:dyDescent="0.25">
      <c r="I9585" s="227" t="str">
        <f>MID(excPisCofins[[#This Row],[CodBarras2]],2,50)</f>
        <v/>
      </c>
    </row>
    <row r="9586" spans="9:9" x14ac:dyDescent="0.25">
      <c r="I9586" s="227" t="str">
        <f>MID(excPisCofins[[#This Row],[CodBarras2]],2,50)</f>
        <v/>
      </c>
    </row>
    <row r="9587" spans="9:9" x14ac:dyDescent="0.25">
      <c r="I9587" s="227" t="str">
        <f>MID(excPisCofins[[#This Row],[CodBarras2]],2,50)</f>
        <v/>
      </c>
    </row>
    <row r="9588" spans="9:9" x14ac:dyDescent="0.25">
      <c r="I9588" s="227" t="str">
        <f>MID(excPisCofins[[#This Row],[CodBarras2]],2,50)</f>
        <v/>
      </c>
    </row>
    <row r="9589" spans="9:9" x14ac:dyDescent="0.25">
      <c r="I9589" s="227" t="str">
        <f>MID(excPisCofins[[#This Row],[CodBarras2]],2,50)</f>
        <v/>
      </c>
    </row>
    <row r="9590" spans="9:9" x14ac:dyDescent="0.25">
      <c r="I9590" s="227" t="str">
        <f>MID(excPisCofins[[#This Row],[CodBarras2]],2,50)</f>
        <v/>
      </c>
    </row>
    <row r="9591" spans="9:9" x14ac:dyDescent="0.25">
      <c r="I9591" s="227" t="str">
        <f>MID(excPisCofins[[#This Row],[CodBarras2]],2,50)</f>
        <v/>
      </c>
    </row>
    <row r="9592" spans="9:9" x14ac:dyDescent="0.25">
      <c r="I9592" s="227" t="str">
        <f>MID(excPisCofins[[#This Row],[CodBarras2]],2,50)</f>
        <v/>
      </c>
    </row>
    <row r="9593" spans="9:9" x14ac:dyDescent="0.25">
      <c r="I9593" s="227" t="str">
        <f>MID(excPisCofins[[#This Row],[CodBarras2]],2,50)</f>
        <v/>
      </c>
    </row>
    <row r="9594" spans="9:9" x14ac:dyDescent="0.25">
      <c r="I9594" s="227" t="str">
        <f>MID(excPisCofins[[#This Row],[CodBarras2]],2,50)</f>
        <v/>
      </c>
    </row>
    <row r="9595" spans="9:9" x14ac:dyDescent="0.25">
      <c r="I9595" s="227" t="str">
        <f>MID(excPisCofins[[#This Row],[CodBarras2]],2,50)</f>
        <v/>
      </c>
    </row>
    <row r="9596" spans="9:9" x14ac:dyDescent="0.25">
      <c r="I9596" s="227" t="str">
        <f>MID(excPisCofins[[#This Row],[CodBarras2]],2,50)</f>
        <v/>
      </c>
    </row>
    <row r="9597" spans="9:9" x14ac:dyDescent="0.25">
      <c r="I9597" s="227" t="str">
        <f>MID(excPisCofins[[#This Row],[CodBarras2]],2,50)</f>
        <v/>
      </c>
    </row>
    <row r="9598" spans="9:9" x14ac:dyDescent="0.25">
      <c r="I9598" s="227" t="str">
        <f>MID(excPisCofins[[#This Row],[CodBarras2]],2,50)</f>
        <v/>
      </c>
    </row>
    <row r="9599" spans="9:9" x14ac:dyDescent="0.25">
      <c r="I9599" s="227" t="str">
        <f>MID(excPisCofins[[#This Row],[CodBarras2]],2,50)</f>
        <v/>
      </c>
    </row>
    <row r="9600" spans="9:9" x14ac:dyDescent="0.25">
      <c r="I9600" s="227" t="str">
        <f>MID(excPisCofins[[#This Row],[CodBarras2]],2,50)</f>
        <v/>
      </c>
    </row>
    <row r="9601" spans="9:9" x14ac:dyDescent="0.25">
      <c r="I9601" s="227" t="str">
        <f>MID(excPisCofins[[#This Row],[CodBarras2]],2,50)</f>
        <v/>
      </c>
    </row>
    <row r="9602" spans="9:9" x14ac:dyDescent="0.25">
      <c r="I9602" s="227" t="str">
        <f>MID(excPisCofins[[#This Row],[CodBarras2]],2,50)</f>
        <v/>
      </c>
    </row>
    <row r="9603" spans="9:9" x14ac:dyDescent="0.25">
      <c r="I9603" s="227" t="str">
        <f>MID(excPisCofins[[#This Row],[CodBarras2]],2,50)</f>
        <v/>
      </c>
    </row>
    <row r="9604" spans="9:9" x14ac:dyDescent="0.25">
      <c r="I9604" s="227" t="str">
        <f>MID(excPisCofins[[#This Row],[CodBarras2]],2,50)</f>
        <v/>
      </c>
    </row>
    <row r="9605" spans="9:9" x14ac:dyDescent="0.25">
      <c r="I9605" s="227" t="str">
        <f>MID(excPisCofins[[#This Row],[CodBarras2]],2,50)</f>
        <v/>
      </c>
    </row>
    <row r="9606" spans="9:9" x14ac:dyDescent="0.25">
      <c r="I9606" s="227" t="str">
        <f>MID(excPisCofins[[#This Row],[CodBarras2]],2,50)</f>
        <v/>
      </c>
    </row>
    <row r="9607" spans="9:9" x14ac:dyDescent="0.25">
      <c r="I9607" s="227" t="str">
        <f>MID(excPisCofins[[#This Row],[CodBarras2]],2,50)</f>
        <v/>
      </c>
    </row>
    <row r="9608" spans="9:9" x14ac:dyDescent="0.25">
      <c r="I9608" s="227" t="str">
        <f>MID(excPisCofins[[#This Row],[CodBarras2]],2,50)</f>
        <v/>
      </c>
    </row>
    <row r="9609" spans="9:9" x14ac:dyDescent="0.25">
      <c r="I9609" s="227" t="str">
        <f>MID(excPisCofins[[#This Row],[CodBarras2]],2,50)</f>
        <v/>
      </c>
    </row>
    <row r="9610" spans="9:9" x14ac:dyDescent="0.25">
      <c r="I9610" s="227" t="str">
        <f>MID(excPisCofins[[#This Row],[CodBarras2]],2,50)</f>
        <v/>
      </c>
    </row>
    <row r="9611" spans="9:9" x14ac:dyDescent="0.25">
      <c r="I9611" s="227" t="str">
        <f>MID(excPisCofins[[#This Row],[CodBarras2]],2,50)</f>
        <v/>
      </c>
    </row>
    <row r="9612" spans="9:9" x14ac:dyDescent="0.25">
      <c r="I9612" s="227" t="str">
        <f>MID(excPisCofins[[#This Row],[CodBarras2]],2,50)</f>
        <v/>
      </c>
    </row>
    <row r="9613" spans="9:9" x14ac:dyDescent="0.25">
      <c r="I9613" s="227" t="str">
        <f>MID(excPisCofins[[#This Row],[CodBarras2]],2,50)</f>
        <v/>
      </c>
    </row>
    <row r="9614" spans="9:9" x14ac:dyDescent="0.25">
      <c r="I9614" s="227" t="str">
        <f>MID(excPisCofins[[#This Row],[CodBarras2]],2,50)</f>
        <v/>
      </c>
    </row>
    <row r="9615" spans="9:9" x14ac:dyDescent="0.25">
      <c r="I9615" s="227" t="str">
        <f>MID(excPisCofins[[#This Row],[CodBarras2]],2,50)</f>
        <v/>
      </c>
    </row>
    <row r="9616" spans="9:9" x14ac:dyDescent="0.25">
      <c r="I9616" s="227" t="str">
        <f>MID(excPisCofins[[#This Row],[CodBarras2]],2,50)</f>
        <v/>
      </c>
    </row>
    <row r="9617" spans="9:9" x14ac:dyDescent="0.25">
      <c r="I9617" s="227" t="str">
        <f>MID(excPisCofins[[#This Row],[CodBarras2]],2,50)</f>
        <v/>
      </c>
    </row>
    <row r="9618" spans="9:9" x14ac:dyDescent="0.25">
      <c r="I9618" s="227" t="str">
        <f>MID(excPisCofins[[#This Row],[CodBarras2]],2,50)</f>
        <v/>
      </c>
    </row>
    <row r="9619" spans="9:9" x14ac:dyDescent="0.25">
      <c r="I9619" s="227" t="str">
        <f>MID(excPisCofins[[#This Row],[CodBarras2]],2,50)</f>
        <v/>
      </c>
    </row>
    <row r="9620" spans="9:9" x14ac:dyDescent="0.25">
      <c r="I9620" s="227" t="str">
        <f>MID(excPisCofins[[#This Row],[CodBarras2]],2,50)</f>
        <v/>
      </c>
    </row>
    <row r="9621" spans="9:9" x14ac:dyDescent="0.25">
      <c r="I9621" s="227" t="str">
        <f>MID(excPisCofins[[#This Row],[CodBarras2]],2,50)</f>
        <v/>
      </c>
    </row>
    <row r="9622" spans="9:9" x14ac:dyDescent="0.25">
      <c r="I9622" s="227" t="str">
        <f>MID(excPisCofins[[#This Row],[CodBarras2]],2,50)</f>
        <v/>
      </c>
    </row>
    <row r="9623" spans="9:9" x14ac:dyDescent="0.25">
      <c r="I9623" s="227" t="str">
        <f>MID(excPisCofins[[#This Row],[CodBarras2]],2,50)</f>
        <v/>
      </c>
    </row>
    <row r="9624" spans="9:9" x14ac:dyDescent="0.25">
      <c r="I9624" s="227" t="str">
        <f>MID(excPisCofins[[#This Row],[CodBarras2]],2,50)</f>
        <v/>
      </c>
    </row>
    <row r="9625" spans="9:9" x14ac:dyDescent="0.25">
      <c r="I9625" s="227" t="str">
        <f>MID(excPisCofins[[#This Row],[CodBarras2]],2,50)</f>
        <v/>
      </c>
    </row>
    <row r="9626" spans="9:9" x14ac:dyDescent="0.25">
      <c r="I9626" s="227" t="str">
        <f>MID(excPisCofins[[#This Row],[CodBarras2]],2,50)</f>
        <v/>
      </c>
    </row>
    <row r="9627" spans="9:9" x14ac:dyDescent="0.25">
      <c r="I9627" s="227" t="str">
        <f>MID(excPisCofins[[#This Row],[CodBarras2]],2,50)</f>
        <v/>
      </c>
    </row>
    <row r="9628" spans="9:9" x14ac:dyDescent="0.25">
      <c r="I9628" s="227" t="str">
        <f>MID(excPisCofins[[#This Row],[CodBarras2]],2,50)</f>
        <v/>
      </c>
    </row>
    <row r="9629" spans="9:9" x14ac:dyDescent="0.25">
      <c r="I9629" s="227" t="str">
        <f>MID(excPisCofins[[#This Row],[CodBarras2]],2,50)</f>
        <v/>
      </c>
    </row>
    <row r="9630" spans="9:9" x14ac:dyDescent="0.25">
      <c r="I9630" s="227" t="str">
        <f>MID(excPisCofins[[#This Row],[CodBarras2]],2,50)</f>
        <v/>
      </c>
    </row>
    <row r="9631" spans="9:9" x14ac:dyDescent="0.25">
      <c r="I9631" s="227" t="str">
        <f>MID(excPisCofins[[#This Row],[CodBarras2]],2,50)</f>
        <v/>
      </c>
    </row>
    <row r="9632" spans="9:9" x14ac:dyDescent="0.25">
      <c r="I9632" s="227" t="str">
        <f>MID(excPisCofins[[#This Row],[CodBarras2]],2,50)</f>
        <v/>
      </c>
    </row>
    <row r="9633" spans="9:9" x14ac:dyDescent="0.25">
      <c r="I9633" s="227" t="str">
        <f>MID(excPisCofins[[#This Row],[CodBarras2]],2,50)</f>
        <v/>
      </c>
    </row>
    <row r="9634" spans="9:9" x14ac:dyDescent="0.25">
      <c r="I9634" s="227" t="str">
        <f>MID(excPisCofins[[#This Row],[CodBarras2]],2,50)</f>
        <v/>
      </c>
    </row>
    <row r="9635" spans="9:9" x14ac:dyDescent="0.25">
      <c r="I9635" s="227" t="str">
        <f>MID(excPisCofins[[#This Row],[CodBarras2]],2,50)</f>
        <v/>
      </c>
    </row>
    <row r="9636" spans="9:9" x14ac:dyDescent="0.25">
      <c r="I9636" s="227" t="str">
        <f>MID(excPisCofins[[#This Row],[CodBarras2]],2,50)</f>
        <v/>
      </c>
    </row>
    <row r="9637" spans="9:9" x14ac:dyDescent="0.25">
      <c r="I9637" s="227" t="str">
        <f>MID(excPisCofins[[#This Row],[CodBarras2]],2,50)</f>
        <v/>
      </c>
    </row>
    <row r="9638" spans="9:9" x14ac:dyDescent="0.25">
      <c r="I9638" s="227" t="str">
        <f>MID(excPisCofins[[#This Row],[CodBarras2]],2,50)</f>
        <v/>
      </c>
    </row>
    <row r="9639" spans="9:9" x14ac:dyDescent="0.25">
      <c r="I9639" s="227" t="str">
        <f>MID(excPisCofins[[#This Row],[CodBarras2]],2,50)</f>
        <v/>
      </c>
    </row>
    <row r="9640" spans="9:9" x14ac:dyDescent="0.25">
      <c r="I9640" s="227" t="str">
        <f>MID(excPisCofins[[#This Row],[CodBarras2]],2,50)</f>
        <v/>
      </c>
    </row>
    <row r="9641" spans="9:9" x14ac:dyDescent="0.25">
      <c r="I9641" s="227" t="str">
        <f>MID(excPisCofins[[#This Row],[CodBarras2]],2,50)</f>
        <v/>
      </c>
    </row>
    <row r="9642" spans="9:9" x14ac:dyDescent="0.25">
      <c r="I9642" s="227" t="str">
        <f>MID(excPisCofins[[#This Row],[CodBarras2]],2,50)</f>
        <v/>
      </c>
    </row>
    <row r="9643" spans="9:9" x14ac:dyDescent="0.25">
      <c r="I9643" s="227" t="str">
        <f>MID(excPisCofins[[#This Row],[CodBarras2]],2,50)</f>
        <v/>
      </c>
    </row>
    <row r="9644" spans="9:9" x14ac:dyDescent="0.25">
      <c r="I9644" s="227" t="str">
        <f>MID(excPisCofins[[#This Row],[CodBarras2]],2,50)</f>
        <v/>
      </c>
    </row>
    <row r="9645" spans="9:9" x14ac:dyDescent="0.25">
      <c r="I9645" s="227" t="str">
        <f>MID(excPisCofins[[#This Row],[CodBarras2]],2,50)</f>
        <v/>
      </c>
    </row>
    <row r="9646" spans="9:9" x14ac:dyDescent="0.25">
      <c r="I9646" s="227" t="str">
        <f>MID(excPisCofins[[#This Row],[CodBarras2]],2,50)</f>
        <v/>
      </c>
    </row>
    <row r="9647" spans="9:9" x14ac:dyDescent="0.25">
      <c r="I9647" s="227" t="str">
        <f>MID(excPisCofins[[#This Row],[CodBarras2]],2,50)</f>
        <v/>
      </c>
    </row>
    <row r="9648" spans="9:9" x14ac:dyDescent="0.25">
      <c r="I9648" s="227" t="str">
        <f>MID(excPisCofins[[#This Row],[CodBarras2]],2,50)</f>
        <v/>
      </c>
    </row>
    <row r="9649" spans="9:9" x14ac:dyDescent="0.25">
      <c r="I9649" s="227" t="str">
        <f>MID(excPisCofins[[#This Row],[CodBarras2]],2,50)</f>
        <v/>
      </c>
    </row>
    <row r="9650" spans="9:9" x14ac:dyDescent="0.25">
      <c r="I9650" s="227" t="str">
        <f>MID(excPisCofins[[#This Row],[CodBarras2]],2,50)</f>
        <v/>
      </c>
    </row>
    <row r="9651" spans="9:9" x14ac:dyDescent="0.25">
      <c r="I9651" s="227" t="str">
        <f>MID(excPisCofins[[#This Row],[CodBarras2]],2,50)</f>
        <v/>
      </c>
    </row>
    <row r="9652" spans="9:9" x14ac:dyDescent="0.25">
      <c r="I9652" s="227" t="str">
        <f>MID(excPisCofins[[#This Row],[CodBarras2]],2,50)</f>
        <v/>
      </c>
    </row>
    <row r="9653" spans="9:9" x14ac:dyDescent="0.25">
      <c r="I9653" s="227" t="str">
        <f>MID(excPisCofins[[#This Row],[CodBarras2]],2,50)</f>
        <v/>
      </c>
    </row>
    <row r="9654" spans="9:9" x14ac:dyDescent="0.25">
      <c r="I9654" s="227" t="str">
        <f>MID(excPisCofins[[#This Row],[CodBarras2]],2,50)</f>
        <v/>
      </c>
    </row>
    <row r="9655" spans="9:9" x14ac:dyDescent="0.25">
      <c r="I9655" s="227" t="str">
        <f>MID(excPisCofins[[#This Row],[CodBarras2]],2,50)</f>
        <v/>
      </c>
    </row>
    <row r="9656" spans="9:9" x14ac:dyDescent="0.25">
      <c r="I9656" s="227" t="str">
        <f>MID(excPisCofins[[#This Row],[CodBarras2]],2,50)</f>
        <v/>
      </c>
    </row>
    <row r="9657" spans="9:9" x14ac:dyDescent="0.25">
      <c r="I9657" s="227" t="str">
        <f>MID(excPisCofins[[#This Row],[CodBarras2]],2,50)</f>
        <v/>
      </c>
    </row>
    <row r="9658" spans="9:9" x14ac:dyDescent="0.25">
      <c r="I9658" s="227" t="str">
        <f>MID(excPisCofins[[#This Row],[CodBarras2]],2,50)</f>
        <v/>
      </c>
    </row>
    <row r="9659" spans="9:9" x14ac:dyDescent="0.25">
      <c r="I9659" s="227" t="str">
        <f>MID(excPisCofins[[#This Row],[CodBarras2]],2,50)</f>
        <v/>
      </c>
    </row>
    <row r="9660" spans="9:9" x14ac:dyDescent="0.25">
      <c r="I9660" s="227" t="str">
        <f>MID(excPisCofins[[#This Row],[CodBarras2]],2,50)</f>
        <v/>
      </c>
    </row>
    <row r="9661" spans="9:9" x14ac:dyDescent="0.25">
      <c r="I9661" s="227" t="str">
        <f>MID(excPisCofins[[#This Row],[CodBarras2]],2,50)</f>
        <v/>
      </c>
    </row>
    <row r="9662" spans="9:9" x14ac:dyDescent="0.25">
      <c r="I9662" s="227" t="str">
        <f>MID(excPisCofins[[#This Row],[CodBarras2]],2,50)</f>
        <v/>
      </c>
    </row>
    <row r="9663" spans="9:9" x14ac:dyDescent="0.25">
      <c r="I9663" s="227" t="str">
        <f>MID(excPisCofins[[#This Row],[CodBarras2]],2,50)</f>
        <v/>
      </c>
    </row>
    <row r="9664" spans="9:9" x14ac:dyDescent="0.25">
      <c r="I9664" s="227" t="str">
        <f>MID(excPisCofins[[#This Row],[CodBarras2]],2,50)</f>
        <v/>
      </c>
    </row>
    <row r="9665" spans="9:9" x14ac:dyDescent="0.25">
      <c r="I9665" s="227" t="str">
        <f>MID(excPisCofins[[#This Row],[CodBarras2]],2,50)</f>
        <v/>
      </c>
    </row>
    <row r="9666" spans="9:9" x14ac:dyDescent="0.25">
      <c r="I9666" s="227" t="str">
        <f>MID(excPisCofins[[#This Row],[CodBarras2]],2,50)</f>
        <v/>
      </c>
    </row>
    <row r="9667" spans="9:9" x14ac:dyDescent="0.25">
      <c r="I9667" s="227" t="str">
        <f>MID(excPisCofins[[#This Row],[CodBarras2]],2,50)</f>
        <v/>
      </c>
    </row>
    <row r="9668" spans="9:9" x14ac:dyDescent="0.25">
      <c r="I9668" s="227" t="str">
        <f>MID(excPisCofins[[#This Row],[CodBarras2]],2,50)</f>
        <v/>
      </c>
    </row>
    <row r="9669" spans="9:9" x14ac:dyDescent="0.25">
      <c r="I9669" s="227" t="str">
        <f>MID(excPisCofins[[#This Row],[CodBarras2]],2,50)</f>
        <v/>
      </c>
    </row>
    <row r="9670" spans="9:9" x14ac:dyDescent="0.25">
      <c r="I9670" s="227" t="str">
        <f>MID(excPisCofins[[#This Row],[CodBarras2]],2,50)</f>
        <v/>
      </c>
    </row>
    <row r="9671" spans="9:9" x14ac:dyDescent="0.25">
      <c r="I9671" s="227" t="str">
        <f>MID(excPisCofins[[#This Row],[CodBarras2]],2,50)</f>
        <v/>
      </c>
    </row>
    <row r="9672" spans="9:9" x14ac:dyDescent="0.25">
      <c r="I9672" s="227" t="str">
        <f>MID(excPisCofins[[#This Row],[CodBarras2]],2,50)</f>
        <v/>
      </c>
    </row>
    <row r="9673" spans="9:9" x14ac:dyDescent="0.25">
      <c r="I9673" s="227" t="str">
        <f>MID(excPisCofins[[#This Row],[CodBarras2]],2,50)</f>
        <v/>
      </c>
    </row>
    <row r="9674" spans="9:9" x14ac:dyDescent="0.25">
      <c r="I9674" s="227" t="str">
        <f>MID(excPisCofins[[#This Row],[CodBarras2]],2,50)</f>
        <v/>
      </c>
    </row>
    <row r="9675" spans="9:9" x14ac:dyDescent="0.25">
      <c r="I9675" s="227" t="str">
        <f>MID(excPisCofins[[#This Row],[CodBarras2]],2,50)</f>
        <v/>
      </c>
    </row>
    <row r="9676" spans="9:9" x14ac:dyDescent="0.25">
      <c r="I9676" s="227" t="str">
        <f>MID(excPisCofins[[#This Row],[CodBarras2]],2,50)</f>
        <v/>
      </c>
    </row>
    <row r="9677" spans="9:9" x14ac:dyDescent="0.25">
      <c r="I9677" s="227" t="str">
        <f>MID(excPisCofins[[#This Row],[CodBarras2]],2,50)</f>
        <v/>
      </c>
    </row>
    <row r="9678" spans="9:9" x14ac:dyDescent="0.25">
      <c r="I9678" s="227" t="str">
        <f>MID(excPisCofins[[#This Row],[CodBarras2]],2,50)</f>
        <v/>
      </c>
    </row>
    <row r="9679" spans="9:9" x14ac:dyDescent="0.25">
      <c r="I9679" s="227" t="str">
        <f>MID(excPisCofins[[#This Row],[CodBarras2]],2,50)</f>
        <v/>
      </c>
    </row>
    <row r="9680" spans="9:9" x14ac:dyDescent="0.25">
      <c r="I9680" s="227" t="str">
        <f>MID(excPisCofins[[#This Row],[CodBarras2]],2,50)</f>
        <v/>
      </c>
    </row>
    <row r="9681" spans="9:9" x14ac:dyDescent="0.25">
      <c r="I9681" s="227" t="str">
        <f>MID(excPisCofins[[#This Row],[CodBarras2]],2,50)</f>
        <v/>
      </c>
    </row>
    <row r="9682" spans="9:9" x14ac:dyDescent="0.25">
      <c r="I9682" s="227" t="str">
        <f>MID(excPisCofins[[#This Row],[CodBarras2]],2,50)</f>
        <v/>
      </c>
    </row>
    <row r="9683" spans="9:9" x14ac:dyDescent="0.25">
      <c r="I9683" s="227" t="str">
        <f>MID(excPisCofins[[#This Row],[CodBarras2]],2,50)</f>
        <v/>
      </c>
    </row>
    <row r="9684" spans="9:9" x14ac:dyDescent="0.25">
      <c r="I9684" s="227" t="str">
        <f>MID(excPisCofins[[#This Row],[CodBarras2]],2,50)</f>
        <v/>
      </c>
    </row>
    <row r="9685" spans="9:9" x14ac:dyDescent="0.25">
      <c r="I9685" s="227" t="str">
        <f>MID(excPisCofins[[#This Row],[CodBarras2]],2,50)</f>
        <v/>
      </c>
    </row>
    <row r="9686" spans="9:9" x14ac:dyDescent="0.25">
      <c r="I9686" s="227" t="str">
        <f>MID(excPisCofins[[#This Row],[CodBarras2]],2,50)</f>
        <v/>
      </c>
    </row>
    <row r="9687" spans="9:9" x14ac:dyDescent="0.25">
      <c r="I9687" s="227" t="str">
        <f>MID(excPisCofins[[#This Row],[CodBarras2]],2,50)</f>
        <v/>
      </c>
    </row>
    <row r="9688" spans="9:9" x14ac:dyDescent="0.25">
      <c r="I9688" s="227" t="str">
        <f>MID(excPisCofins[[#This Row],[CodBarras2]],2,50)</f>
        <v/>
      </c>
    </row>
    <row r="9689" spans="9:9" x14ac:dyDescent="0.25">
      <c r="I9689" s="227" t="str">
        <f>MID(excPisCofins[[#This Row],[CodBarras2]],2,50)</f>
        <v/>
      </c>
    </row>
    <row r="9690" spans="9:9" x14ac:dyDescent="0.25">
      <c r="I9690" s="227" t="str">
        <f>MID(excPisCofins[[#This Row],[CodBarras2]],2,50)</f>
        <v/>
      </c>
    </row>
    <row r="9691" spans="9:9" x14ac:dyDescent="0.25">
      <c r="I9691" s="227" t="str">
        <f>MID(excPisCofins[[#This Row],[CodBarras2]],2,50)</f>
        <v/>
      </c>
    </row>
    <row r="9692" spans="9:9" x14ac:dyDescent="0.25">
      <c r="I9692" s="227" t="str">
        <f>MID(excPisCofins[[#This Row],[CodBarras2]],2,50)</f>
        <v/>
      </c>
    </row>
    <row r="9693" spans="9:9" x14ac:dyDescent="0.25">
      <c r="I9693" s="227" t="str">
        <f>MID(excPisCofins[[#This Row],[CodBarras2]],2,50)</f>
        <v/>
      </c>
    </row>
    <row r="9694" spans="9:9" x14ac:dyDescent="0.25">
      <c r="I9694" s="227" t="str">
        <f>MID(excPisCofins[[#This Row],[CodBarras2]],2,50)</f>
        <v/>
      </c>
    </row>
    <row r="9695" spans="9:9" x14ac:dyDescent="0.25">
      <c r="I9695" s="227" t="str">
        <f>MID(excPisCofins[[#This Row],[CodBarras2]],2,50)</f>
        <v/>
      </c>
    </row>
    <row r="9696" spans="9:9" x14ac:dyDescent="0.25">
      <c r="I9696" s="227" t="str">
        <f>MID(excPisCofins[[#This Row],[CodBarras2]],2,50)</f>
        <v/>
      </c>
    </row>
    <row r="9697" spans="9:9" x14ac:dyDescent="0.25">
      <c r="I9697" s="227" t="str">
        <f>MID(excPisCofins[[#This Row],[CodBarras2]],2,50)</f>
        <v/>
      </c>
    </row>
    <row r="9698" spans="9:9" x14ac:dyDescent="0.25">
      <c r="I9698" s="227" t="str">
        <f>MID(excPisCofins[[#This Row],[CodBarras2]],2,50)</f>
        <v/>
      </c>
    </row>
    <row r="9699" spans="9:9" x14ac:dyDescent="0.25">
      <c r="I9699" s="227" t="str">
        <f>MID(excPisCofins[[#This Row],[CodBarras2]],2,50)</f>
        <v/>
      </c>
    </row>
    <row r="9700" spans="9:9" x14ac:dyDescent="0.25">
      <c r="I9700" s="227" t="str">
        <f>MID(excPisCofins[[#This Row],[CodBarras2]],2,50)</f>
        <v/>
      </c>
    </row>
    <row r="9701" spans="9:9" x14ac:dyDescent="0.25">
      <c r="I9701" s="227" t="str">
        <f>MID(excPisCofins[[#This Row],[CodBarras2]],2,50)</f>
        <v/>
      </c>
    </row>
    <row r="9702" spans="9:9" x14ac:dyDescent="0.25">
      <c r="I9702" s="227" t="str">
        <f>MID(excPisCofins[[#This Row],[CodBarras2]],2,50)</f>
        <v/>
      </c>
    </row>
    <row r="9703" spans="9:9" x14ac:dyDescent="0.25">
      <c r="I9703" s="227" t="str">
        <f>MID(excPisCofins[[#This Row],[CodBarras2]],2,50)</f>
        <v/>
      </c>
    </row>
    <row r="9704" spans="9:9" x14ac:dyDescent="0.25">
      <c r="I9704" s="227" t="str">
        <f>MID(excPisCofins[[#This Row],[CodBarras2]],2,50)</f>
        <v/>
      </c>
    </row>
    <row r="9705" spans="9:9" x14ac:dyDescent="0.25">
      <c r="I9705" s="227" t="str">
        <f>MID(excPisCofins[[#This Row],[CodBarras2]],2,50)</f>
        <v/>
      </c>
    </row>
    <row r="9706" spans="9:9" x14ac:dyDescent="0.25">
      <c r="I9706" s="227" t="str">
        <f>MID(excPisCofins[[#This Row],[CodBarras2]],2,50)</f>
        <v/>
      </c>
    </row>
    <row r="9707" spans="9:9" x14ac:dyDescent="0.25">
      <c r="I9707" s="227" t="str">
        <f>MID(excPisCofins[[#This Row],[CodBarras2]],2,50)</f>
        <v/>
      </c>
    </row>
    <row r="9708" spans="9:9" x14ac:dyDescent="0.25">
      <c r="I9708" s="227" t="str">
        <f>MID(excPisCofins[[#This Row],[CodBarras2]],2,50)</f>
        <v/>
      </c>
    </row>
    <row r="9709" spans="9:9" x14ac:dyDescent="0.25">
      <c r="I9709" s="227" t="str">
        <f>MID(excPisCofins[[#This Row],[CodBarras2]],2,50)</f>
        <v/>
      </c>
    </row>
    <row r="9710" spans="9:9" x14ac:dyDescent="0.25">
      <c r="I9710" s="227" t="str">
        <f>MID(excPisCofins[[#This Row],[CodBarras2]],2,50)</f>
        <v/>
      </c>
    </row>
    <row r="9711" spans="9:9" x14ac:dyDescent="0.25">
      <c r="I9711" s="227" t="str">
        <f>MID(excPisCofins[[#This Row],[CodBarras2]],2,50)</f>
        <v/>
      </c>
    </row>
    <row r="9712" spans="9:9" x14ac:dyDescent="0.25">
      <c r="I9712" s="227" t="str">
        <f>MID(excPisCofins[[#This Row],[CodBarras2]],2,50)</f>
        <v/>
      </c>
    </row>
    <row r="9713" spans="9:9" x14ac:dyDescent="0.25">
      <c r="I9713" s="227" t="str">
        <f>MID(excPisCofins[[#This Row],[CodBarras2]],2,50)</f>
        <v/>
      </c>
    </row>
    <row r="9714" spans="9:9" x14ac:dyDescent="0.25">
      <c r="I9714" s="227" t="str">
        <f>MID(excPisCofins[[#This Row],[CodBarras2]],2,50)</f>
        <v/>
      </c>
    </row>
    <row r="9715" spans="9:9" x14ac:dyDescent="0.25">
      <c r="I9715" s="227" t="str">
        <f>MID(excPisCofins[[#This Row],[CodBarras2]],2,50)</f>
        <v/>
      </c>
    </row>
    <row r="9716" spans="9:9" x14ac:dyDescent="0.25">
      <c r="I9716" s="227" t="str">
        <f>MID(excPisCofins[[#This Row],[CodBarras2]],2,50)</f>
        <v/>
      </c>
    </row>
    <row r="9717" spans="9:9" x14ac:dyDescent="0.25">
      <c r="I9717" s="227" t="str">
        <f>MID(excPisCofins[[#This Row],[CodBarras2]],2,50)</f>
        <v/>
      </c>
    </row>
    <row r="9718" spans="9:9" x14ac:dyDescent="0.25">
      <c r="I9718" s="227" t="str">
        <f>MID(excPisCofins[[#This Row],[CodBarras2]],2,50)</f>
        <v/>
      </c>
    </row>
    <row r="9719" spans="9:9" x14ac:dyDescent="0.25">
      <c r="I9719" s="227" t="str">
        <f>MID(excPisCofins[[#This Row],[CodBarras2]],2,50)</f>
        <v/>
      </c>
    </row>
    <row r="9720" spans="9:9" x14ac:dyDescent="0.25">
      <c r="I9720" s="227" t="str">
        <f>MID(excPisCofins[[#This Row],[CodBarras2]],2,50)</f>
        <v/>
      </c>
    </row>
    <row r="9721" spans="9:9" x14ac:dyDescent="0.25">
      <c r="I9721" s="227" t="str">
        <f>MID(excPisCofins[[#This Row],[CodBarras2]],2,50)</f>
        <v/>
      </c>
    </row>
    <row r="9722" spans="9:9" x14ac:dyDescent="0.25">
      <c r="I9722" s="227" t="str">
        <f>MID(excPisCofins[[#This Row],[CodBarras2]],2,50)</f>
        <v/>
      </c>
    </row>
    <row r="9723" spans="9:9" x14ac:dyDescent="0.25">
      <c r="I9723" s="227" t="str">
        <f>MID(excPisCofins[[#This Row],[CodBarras2]],2,50)</f>
        <v/>
      </c>
    </row>
    <row r="9724" spans="9:9" x14ac:dyDescent="0.25">
      <c r="I9724" s="227" t="str">
        <f>MID(excPisCofins[[#This Row],[CodBarras2]],2,50)</f>
        <v/>
      </c>
    </row>
    <row r="9725" spans="9:9" x14ac:dyDescent="0.25">
      <c r="I9725" s="227" t="str">
        <f>MID(excPisCofins[[#This Row],[CodBarras2]],2,50)</f>
        <v/>
      </c>
    </row>
    <row r="9726" spans="9:9" x14ac:dyDescent="0.25">
      <c r="I9726" s="227" t="str">
        <f>MID(excPisCofins[[#This Row],[CodBarras2]],2,50)</f>
        <v/>
      </c>
    </row>
    <row r="9727" spans="9:9" x14ac:dyDescent="0.25">
      <c r="I9727" s="227" t="str">
        <f>MID(excPisCofins[[#This Row],[CodBarras2]],2,50)</f>
        <v/>
      </c>
    </row>
    <row r="9728" spans="9:9" x14ac:dyDescent="0.25">
      <c r="I9728" s="227" t="str">
        <f>MID(excPisCofins[[#This Row],[CodBarras2]],2,50)</f>
        <v/>
      </c>
    </row>
    <row r="9729" spans="9:9" x14ac:dyDescent="0.25">
      <c r="I9729" s="227" t="str">
        <f>MID(excPisCofins[[#This Row],[CodBarras2]],2,50)</f>
        <v/>
      </c>
    </row>
    <row r="9730" spans="9:9" x14ac:dyDescent="0.25">
      <c r="I9730" s="227" t="str">
        <f>MID(excPisCofins[[#This Row],[CodBarras2]],2,50)</f>
        <v/>
      </c>
    </row>
    <row r="9731" spans="9:9" x14ac:dyDescent="0.25">
      <c r="I9731" s="227" t="str">
        <f>MID(excPisCofins[[#This Row],[CodBarras2]],2,50)</f>
        <v/>
      </c>
    </row>
    <row r="9732" spans="9:9" x14ac:dyDescent="0.25">
      <c r="I9732" s="227" t="str">
        <f>MID(excPisCofins[[#This Row],[CodBarras2]],2,50)</f>
        <v/>
      </c>
    </row>
    <row r="9733" spans="9:9" x14ac:dyDescent="0.25">
      <c r="I9733" s="227" t="str">
        <f>MID(excPisCofins[[#This Row],[CodBarras2]],2,50)</f>
        <v/>
      </c>
    </row>
    <row r="9734" spans="9:9" x14ac:dyDescent="0.25">
      <c r="I9734" s="227" t="str">
        <f>MID(excPisCofins[[#This Row],[CodBarras2]],2,50)</f>
        <v/>
      </c>
    </row>
    <row r="9735" spans="9:9" x14ac:dyDescent="0.25">
      <c r="I9735" s="227" t="str">
        <f>MID(excPisCofins[[#This Row],[CodBarras2]],2,50)</f>
        <v/>
      </c>
    </row>
    <row r="9736" spans="9:9" x14ac:dyDescent="0.25">
      <c r="I9736" s="227" t="str">
        <f>MID(excPisCofins[[#This Row],[CodBarras2]],2,50)</f>
        <v/>
      </c>
    </row>
    <row r="9737" spans="9:9" x14ac:dyDescent="0.25">
      <c r="I9737" s="227" t="str">
        <f>MID(excPisCofins[[#This Row],[CodBarras2]],2,50)</f>
        <v/>
      </c>
    </row>
    <row r="9738" spans="9:9" x14ac:dyDescent="0.25">
      <c r="I9738" s="227" t="str">
        <f>MID(excPisCofins[[#This Row],[CodBarras2]],2,50)</f>
        <v/>
      </c>
    </row>
    <row r="9739" spans="9:9" x14ac:dyDescent="0.25">
      <c r="I9739" s="227" t="str">
        <f>MID(excPisCofins[[#This Row],[CodBarras2]],2,50)</f>
        <v/>
      </c>
    </row>
    <row r="9740" spans="9:9" x14ac:dyDescent="0.25">
      <c r="I9740" s="227" t="str">
        <f>MID(excPisCofins[[#This Row],[CodBarras2]],2,50)</f>
        <v/>
      </c>
    </row>
    <row r="9741" spans="9:9" x14ac:dyDescent="0.25">
      <c r="I9741" s="227" t="str">
        <f>MID(excPisCofins[[#This Row],[CodBarras2]],2,50)</f>
        <v/>
      </c>
    </row>
    <row r="9742" spans="9:9" x14ac:dyDescent="0.25">
      <c r="I9742" s="227" t="str">
        <f>MID(excPisCofins[[#This Row],[CodBarras2]],2,50)</f>
        <v/>
      </c>
    </row>
    <row r="9743" spans="9:9" x14ac:dyDescent="0.25">
      <c r="I9743" s="227" t="str">
        <f>MID(excPisCofins[[#This Row],[CodBarras2]],2,50)</f>
        <v/>
      </c>
    </row>
    <row r="9744" spans="9:9" x14ac:dyDescent="0.25">
      <c r="I9744" s="227" t="str">
        <f>MID(excPisCofins[[#This Row],[CodBarras2]],2,50)</f>
        <v/>
      </c>
    </row>
    <row r="9745" spans="9:9" x14ac:dyDescent="0.25">
      <c r="I9745" s="227" t="str">
        <f>MID(excPisCofins[[#This Row],[CodBarras2]],2,50)</f>
        <v/>
      </c>
    </row>
    <row r="9746" spans="9:9" x14ac:dyDescent="0.25">
      <c r="I9746" s="227" t="str">
        <f>MID(excPisCofins[[#This Row],[CodBarras2]],2,50)</f>
        <v/>
      </c>
    </row>
    <row r="9747" spans="9:9" x14ac:dyDescent="0.25">
      <c r="I9747" s="227" t="str">
        <f>MID(excPisCofins[[#This Row],[CodBarras2]],2,50)</f>
        <v/>
      </c>
    </row>
    <row r="9748" spans="9:9" x14ac:dyDescent="0.25">
      <c r="I9748" s="227" t="str">
        <f>MID(excPisCofins[[#This Row],[CodBarras2]],2,50)</f>
        <v/>
      </c>
    </row>
    <row r="9749" spans="9:9" x14ac:dyDescent="0.25">
      <c r="I9749" s="227" t="str">
        <f>MID(excPisCofins[[#This Row],[CodBarras2]],2,50)</f>
        <v/>
      </c>
    </row>
    <row r="9750" spans="9:9" x14ac:dyDescent="0.25">
      <c r="I9750" s="227" t="str">
        <f>MID(excPisCofins[[#This Row],[CodBarras2]],2,50)</f>
        <v/>
      </c>
    </row>
    <row r="9751" spans="9:9" x14ac:dyDescent="0.25">
      <c r="I9751" s="227" t="str">
        <f>MID(excPisCofins[[#This Row],[CodBarras2]],2,50)</f>
        <v/>
      </c>
    </row>
    <row r="9752" spans="9:9" x14ac:dyDescent="0.25">
      <c r="I9752" s="227" t="str">
        <f>MID(excPisCofins[[#This Row],[CodBarras2]],2,50)</f>
        <v/>
      </c>
    </row>
    <row r="9753" spans="9:9" x14ac:dyDescent="0.25">
      <c r="I9753" s="227" t="str">
        <f>MID(excPisCofins[[#This Row],[CodBarras2]],2,50)</f>
        <v/>
      </c>
    </row>
    <row r="9754" spans="9:9" x14ac:dyDescent="0.25">
      <c r="I9754" s="227" t="str">
        <f>MID(excPisCofins[[#This Row],[CodBarras2]],2,50)</f>
        <v/>
      </c>
    </row>
    <row r="9755" spans="9:9" x14ac:dyDescent="0.25">
      <c r="I9755" s="227" t="str">
        <f>MID(excPisCofins[[#This Row],[CodBarras2]],2,50)</f>
        <v/>
      </c>
    </row>
    <row r="9756" spans="9:9" x14ac:dyDescent="0.25">
      <c r="I9756" s="227" t="str">
        <f>MID(excPisCofins[[#This Row],[CodBarras2]],2,50)</f>
        <v/>
      </c>
    </row>
    <row r="9757" spans="9:9" x14ac:dyDescent="0.25">
      <c r="I9757" s="227" t="str">
        <f>MID(excPisCofins[[#This Row],[CodBarras2]],2,50)</f>
        <v/>
      </c>
    </row>
    <row r="9758" spans="9:9" x14ac:dyDescent="0.25">
      <c r="I9758" s="227" t="str">
        <f>MID(excPisCofins[[#This Row],[CodBarras2]],2,50)</f>
        <v/>
      </c>
    </row>
    <row r="9759" spans="9:9" x14ac:dyDescent="0.25">
      <c r="I9759" s="227" t="str">
        <f>MID(excPisCofins[[#This Row],[CodBarras2]],2,50)</f>
        <v/>
      </c>
    </row>
    <row r="9760" spans="9:9" x14ac:dyDescent="0.25">
      <c r="I9760" s="227" t="str">
        <f>MID(excPisCofins[[#This Row],[CodBarras2]],2,50)</f>
        <v/>
      </c>
    </row>
    <row r="9761" spans="9:9" x14ac:dyDescent="0.25">
      <c r="I9761" s="227" t="str">
        <f>MID(excPisCofins[[#This Row],[CodBarras2]],2,50)</f>
        <v/>
      </c>
    </row>
    <row r="9762" spans="9:9" x14ac:dyDescent="0.25">
      <c r="I9762" s="227" t="str">
        <f>MID(excPisCofins[[#This Row],[CodBarras2]],2,50)</f>
        <v/>
      </c>
    </row>
    <row r="9763" spans="9:9" x14ac:dyDescent="0.25">
      <c r="I9763" s="227" t="str">
        <f>MID(excPisCofins[[#This Row],[CodBarras2]],2,50)</f>
        <v/>
      </c>
    </row>
    <row r="9764" spans="9:9" x14ac:dyDescent="0.25">
      <c r="I9764" s="227" t="str">
        <f>MID(excPisCofins[[#This Row],[CodBarras2]],2,50)</f>
        <v/>
      </c>
    </row>
    <row r="9765" spans="9:9" x14ac:dyDescent="0.25">
      <c r="I9765" s="227" t="str">
        <f>MID(excPisCofins[[#This Row],[CodBarras2]],2,50)</f>
        <v/>
      </c>
    </row>
    <row r="9766" spans="9:9" x14ac:dyDescent="0.25">
      <c r="I9766" s="227" t="str">
        <f>MID(excPisCofins[[#This Row],[CodBarras2]],2,50)</f>
        <v/>
      </c>
    </row>
    <row r="9767" spans="9:9" x14ac:dyDescent="0.25">
      <c r="I9767" s="227" t="str">
        <f>MID(excPisCofins[[#This Row],[CodBarras2]],2,50)</f>
        <v/>
      </c>
    </row>
    <row r="9768" spans="9:9" x14ac:dyDescent="0.25">
      <c r="I9768" s="227" t="str">
        <f>MID(excPisCofins[[#This Row],[CodBarras2]],2,50)</f>
        <v/>
      </c>
    </row>
    <row r="9769" spans="9:9" x14ac:dyDescent="0.25">
      <c r="I9769" s="227" t="str">
        <f>MID(excPisCofins[[#This Row],[CodBarras2]],2,50)</f>
        <v/>
      </c>
    </row>
    <row r="9770" spans="9:9" x14ac:dyDescent="0.25">
      <c r="I9770" s="227" t="str">
        <f>MID(excPisCofins[[#This Row],[CodBarras2]],2,50)</f>
        <v/>
      </c>
    </row>
    <row r="9771" spans="9:9" x14ac:dyDescent="0.25">
      <c r="I9771" s="227" t="str">
        <f>MID(excPisCofins[[#This Row],[CodBarras2]],2,50)</f>
        <v/>
      </c>
    </row>
    <row r="9772" spans="9:9" x14ac:dyDescent="0.25">
      <c r="I9772" s="227" t="str">
        <f>MID(excPisCofins[[#This Row],[CodBarras2]],2,50)</f>
        <v/>
      </c>
    </row>
    <row r="9773" spans="9:9" x14ac:dyDescent="0.25">
      <c r="I9773" s="227" t="str">
        <f>MID(excPisCofins[[#This Row],[CodBarras2]],2,50)</f>
        <v/>
      </c>
    </row>
    <row r="9774" spans="9:9" x14ac:dyDescent="0.25">
      <c r="I9774" s="227" t="str">
        <f>MID(excPisCofins[[#This Row],[CodBarras2]],2,50)</f>
        <v/>
      </c>
    </row>
    <row r="9775" spans="9:9" x14ac:dyDescent="0.25">
      <c r="I9775" s="227" t="str">
        <f>MID(excPisCofins[[#This Row],[CodBarras2]],2,50)</f>
        <v/>
      </c>
    </row>
    <row r="9776" spans="9:9" x14ac:dyDescent="0.25">
      <c r="I9776" s="227" t="str">
        <f>MID(excPisCofins[[#This Row],[CodBarras2]],2,50)</f>
        <v/>
      </c>
    </row>
    <row r="9777" spans="9:9" x14ac:dyDescent="0.25">
      <c r="I9777" s="227" t="str">
        <f>MID(excPisCofins[[#This Row],[CodBarras2]],2,50)</f>
        <v/>
      </c>
    </row>
    <row r="9778" spans="9:9" x14ac:dyDescent="0.25">
      <c r="I9778" s="227" t="str">
        <f>MID(excPisCofins[[#This Row],[CodBarras2]],2,50)</f>
        <v/>
      </c>
    </row>
    <row r="9779" spans="9:9" x14ac:dyDescent="0.25">
      <c r="I9779" s="227" t="str">
        <f>MID(excPisCofins[[#This Row],[CodBarras2]],2,50)</f>
        <v/>
      </c>
    </row>
    <row r="9780" spans="9:9" x14ac:dyDescent="0.25">
      <c r="I9780" s="227" t="str">
        <f>MID(excPisCofins[[#This Row],[CodBarras2]],2,50)</f>
        <v/>
      </c>
    </row>
    <row r="9781" spans="9:9" x14ac:dyDescent="0.25">
      <c r="I9781" s="227" t="str">
        <f>MID(excPisCofins[[#This Row],[CodBarras2]],2,50)</f>
        <v/>
      </c>
    </row>
    <row r="9782" spans="9:9" x14ac:dyDescent="0.25">
      <c r="I9782" s="227" t="str">
        <f>MID(excPisCofins[[#This Row],[CodBarras2]],2,50)</f>
        <v/>
      </c>
    </row>
    <row r="9783" spans="9:9" x14ac:dyDescent="0.25">
      <c r="I9783" s="227" t="str">
        <f>MID(excPisCofins[[#This Row],[CodBarras2]],2,50)</f>
        <v/>
      </c>
    </row>
    <row r="9784" spans="9:9" x14ac:dyDescent="0.25">
      <c r="I9784" s="227" t="str">
        <f>MID(excPisCofins[[#This Row],[CodBarras2]],2,50)</f>
        <v/>
      </c>
    </row>
    <row r="9785" spans="9:9" x14ac:dyDescent="0.25">
      <c r="I9785" s="227" t="str">
        <f>MID(excPisCofins[[#This Row],[CodBarras2]],2,50)</f>
        <v/>
      </c>
    </row>
    <row r="9786" spans="9:9" x14ac:dyDescent="0.25">
      <c r="I9786" s="227" t="str">
        <f>MID(excPisCofins[[#This Row],[CodBarras2]],2,50)</f>
        <v/>
      </c>
    </row>
    <row r="9787" spans="9:9" x14ac:dyDescent="0.25">
      <c r="I9787" s="227" t="str">
        <f>MID(excPisCofins[[#This Row],[CodBarras2]],2,50)</f>
        <v/>
      </c>
    </row>
    <row r="9788" spans="9:9" x14ac:dyDescent="0.25">
      <c r="I9788" s="227" t="str">
        <f>MID(excPisCofins[[#This Row],[CodBarras2]],2,50)</f>
        <v/>
      </c>
    </row>
    <row r="9789" spans="9:9" x14ac:dyDescent="0.25">
      <c r="I9789" s="227" t="str">
        <f>MID(excPisCofins[[#This Row],[CodBarras2]],2,50)</f>
        <v/>
      </c>
    </row>
    <row r="9790" spans="9:9" x14ac:dyDescent="0.25">
      <c r="I9790" s="227" t="str">
        <f>MID(excPisCofins[[#This Row],[CodBarras2]],2,50)</f>
        <v/>
      </c>
    </row>
    <row r="9791" spans="9:9" x14ac:dyDescent="0.25">
      <c r="I9791" s="227" t="str">
        <f>MID(excPisCofins[[#This Row],[CodBarras2]],2,50)</f>
        <v/>
      </c>
    </row>
    <row r="9792" spans="9:9" x14ac:dyDescent="0.25">
      <c r="I9792" s="227" t="str">
        <f>MID(excPisCofins[[#This Row],[CodBarras2]],2,50)</f>
        <v/>
      </c>
    </row>
    <row r="9793" spans="9:9" x14ac:dyDescent="0.25">
      <c r="I9793" s="227" t="str">
        <f>MID(excPisCofins[[#This Row],[CodBarras2]],2,50)</f>
        <v/>
      </c>
    </row>
    <row r="9794" spans="9:9" x14ac:dyDescent="0.25">
      <c r="I9794" s="227" t="str">
        <f>MID(excPisCofins[[#This Row],[CodBarras2]],2,50)</f>
        <v/>
      </c>
    </row>
    <row r="9795" spans="9:9" x14ac:dyDescent="0.25">
      <c r="I9795" s="227" t="str">
        <f>MID(excPisCofins[[#This Row],[CodBarras2]],2,50)</f>
        <v/>
      </c>
    </row>
    <row r="9796" spans="9:9" x14ac:dyDescent="0.25">
      <c r="I9796" s="227" t="str">
        <f>MID(excPisCofins[[#This Row],[CodBarras2]],2,50)</f>
        <v/>
      </c>
    </row>
    <row r="9797" spans="9:9" x14ac:dyDescent="0.25">
      <c r="I9797" s="227" t="str">
        <f>MID(excPisCofins[[#This Row],[CodBarras2]],2,50)</f>
        <v/>
      </c>
    </row>
    <row r="9798" spans="9:9" x14ac:dyDescent="0.25">
      <c r="I9798" s="227" t="str">
        <f>MID(excPisCofins[[#This Row],[CodBarras2]],2,50)</f>
        <v/>
      </c>
    </row>
    <row r="9799" spans="9:9" x14ac:dyDescent="0.25">
      <c r="I9799" s="227" t="str">
        <f>MID(excPisCofins[[#This Row],[CodBarras2]],2,50)</f>
        <v/>
      </c>
    </row>
    <row r="9800" spans="9:9" x14ac:dyDescent="0.25">
      <c r="I9800" s="227" t="str">
        <f>MID(excPisCofins[[#This Row],[CodBarras2]],2,50)</f>
        <v/>
      </c>
    </row>
    <row r="9801" spans="9:9" x14ac:dyDescent="0.25">
      <c r="I9801" s="227" t="str">
        <f>MID(excPisCofins[[#This Row],[CodBarras2]],2,50)</f>
        <v/>
      </c>
    </row>
    <row r="9802" spans="9:9" x14ac:dyDescent="0.25">
      <c r="I9802" s="227" t="str">
        <f>MID(excPisCofins[[#This Row],[CodBarras2]],2,50)</f>
        <v/>
      </c>
    </row>
    <row r="9803" spans="9:9" x14ac:dyDescent="0.25">
      <c r="I9803" s="227" t="str">
        <f>MID(excPisCofins[[#This Row],[CodBarras2]],2,50)</f>
        <v/>
      </c>
    </row>
    <row r="9804" spans="9:9" x14ac:dyDescent="0.25">
      <c r="I9804" s="227" t="str">
        <f>MID(excPisCofins[[#This Row],[CodBarras2]],2,50)</f>
        <v/>
      </c>
    </row>
    <row r="9805" spans="9:9" x14ac:dyDescent="0.25">
      <c r="I9805" s="227" t="str">
        <f>MID(excPisCofins[[#This Row],[CodBarras2]],2,50)</f>
        <v/>
      </c>
    </row>
    <row r="9806" spans="9:9" x14ac:dyDescent="0.25">
      <c r="I9806" s="227" t="str">
        <f>MID(excPisCofins[[#This Row],[CodBarras2]],2,50)</f>
        <v/>
      </c>
    </row>
    <row r="9807" spans="9:9" x14ac:dyDescent="0.25">
      <c r="I9807" s="227" t="str">
        <f>MID(excPisCofins[[#This Row],[CodBarras2]],2,50)</f>
        <v/>
      </c>
    </row>
    <row r="9808" spans="9:9" x14ac:dyDescent="0.25">
      <c r="I9808" s="227" t="str">
        <f>MID(excPisCofins[[#This Row],[CodBarras2]],2,50)</f>
        <v/>
      </c>
    </row>
    <row r="9809" spans="9:9" x14ac:dyDescent="0.25">
      <c r="I9809" s="227" t="str">
        <f>MID(excPisCofins[[#This Row],[CodBarras2]],2,50)</f>
        <v/>
      </c>
    </row>
    <row r="9810" spans="9:9" x14ac:dyDescent="0.25">
      <c r="I9810" s="227" t="str">
        <f>MID(excPisCofins[[#This Row],[CodBarras2]],2,50)</f>
        <v/>
      </c>
    </row>
    <row r="9811" spans="9:9" x14ac:dyDescent="0.25">
      <c r="I9811" s="227" t="str">
        <f>MID(excPisCofins[[#This Row],[CodBarras2]],2,50)</f>
        <v/>
      </c>
    </row>
    <row r="9812" spans="9:9" x14ac:dyDescent="0.25">
      <c r="I9812" s="227" t="str">
        <f>MID(excPisCofins[[#This Row],[CodBarras2]],2,50)</f>
        <v/>
      </c>
    </row>
    <row r="9813" spans="9:9" x14ac:dyDescent="0.25">
      <c r="I9813" s="227" t="str">
        <f>MID(excPisCofins[[#This Row],[CodBarras2]],2,50)</f>
        <v/>
      </c>
    </row>
    <row r="9814" spans="9:9" x14ac:dyDescent="0.25">
      <c r="I9814" s="227" t="str">
        <f>MID(excPisCofins[[#This Row],[CodBarras2]],2,50)</f>
        <v/>
      </c>
    </row>
    <row r="9815" spans="9:9" x14ac:dyDescent="0.25">
      <c r="I9815" s="227" t="str">
        <f>MID(excPisCofins[[#This Row],[CodBarras2]],2,50)</f>
        <v/>
      </c>
    </row>
    <row r="9816" spans="9:9" x14ac:dyDescent="0.25">
      <c r="I9816" s="227" t="str">
        <f>MID(excPisCofins[[#This Row],[CodBarras2]],2,50)</f>
        <v/>
      </c>
    </row>
    <row r="9817" spans="9:9" x14ac:dyDescent="0.25">
      <c r="I9817" s="227" t="str">
        <f>MID(excPisCofins[[#This Row],[CodBarras2]],2,50)</f>
        <v/>
      </c>
    </row>
    <row r="9818" spans="9:9" x14ac:dyDescent="0.25">
      <c r="I9818" s="227" t="str">
        <f>MID(excPisCofins[[#This Row],[CodBarras2]],2,50)</f>
        <v/>
      </c>
    </row>
    <row r="9819" spans="9:9" x14ac:dyDescent="0.25">
      <c r="I9819" s="227" t="str">
        <f>MID(excPisCofins[[#This Row],[CodBarras2]],2,50)</f>
        <v/>
      </c>
    </row>
    <row r="9820" spans="9:9" x14ac:dyDescent="0.25">
      <c r="I9820" s="227" t="str">
        <f>MID(excPisCofins[[#This Row],[CodBarras2]],2,50)</f>
        <v/>
      </c>
    </row>
    <row r="9821" spans="9:9" x14ac:dyDescent="0.25">
      <c r="I9821" s="227" t="str">
        <f>MID(excPisCofins[[#This Row],[CodBarras2]],2,50)</f>
        <v/>
      </c>
    </row>
    <row r="9822" spans="9:9" x14ac:dyDescent="0.25">
      <c r="I9822" s="227" t="str">
        <f>MID(excPisCofins[[#This Row],[CodBarras2]],2,50)</f>
        <v/>
      </c>
    </row>
    <row r="9823" spans="9:9" x14ac:dyDescent="0.25">
      <c r="I9823" s="227" t="str">
        <f>MID(excPisCofins[[#This Row],[CodBarras2]],2,50)</f>
        <v/>
      </c>
    </row>
    <row r="9824" spans="9:9" x14ac:dyDescent="0.25">
      <c r="I9824" s="227" t="str">
        <f>MID(excPisCofins[[#This Row],[CodBarras2]],2,50)</f>
        <v/>
      </c>
    </row>
    <row r="9825" spans="9:9" x14ac:dyDescent="0.25">
      <c r="I9825" s="227" t="str">
        <f>MID(excPisCofins[[#This Row],[CodBarras2]],2,50)</f>
        <v/>
      </c>
    </row>
    <row r="9826" spans="9:9" x14ac:dyDescent="0.25">
      <c r="I9826" s="227" t="str">
        <f>MID(excPisCofins[[#This Row],[CodBarras2]],2,50)</f>
        <v/>
      </c>
    </row>
    <row r="9827" spans="9:9" x14ac:dyDescent="0.25">
      <c r="I9827" s="227" t="str">
        <f>MID(excPisCofins[[#This Row],[CodBarras2]],2,50)</f>
        <v/>
      </c>
    </row>
    <row r="9828" spans="9:9" x14ac:dyDescent="0.25">
      <c r="I9828" s="227" t="str">
        <f>MID(excPisCofins[[#This Row],[CodBarras2]],2,50)</f>
        <v/>
      </c>
    </row>
    <row r="9829" spans="9:9" x14ac:dyDescent="0.25">
      <c r="I9829" s="227" t="str">
        <f>MID(excPisCofins[[#This Row],[CodBarras2]],2,50)</f>
        <v/>
      </c>
    </row>
    <row r="9830" spans="9:9" x14ac:dyDescent="0.25">
      <c r="I9830" s="227" t="str">
        <f>MID(excPisCofins[[#This Row],[CodBarras2]],2,50)</f>
        <v/>
      </c>
    </row>
    <row r="9831" spans="9:9" x14ac:dyDescent="0.25">
      <c r="I9831" s="227" t="str">
        <f>MID(excPisCofins[[#This Row],[CodBarras2]],2,50)</f>
        <v/>
      </c>
    </row>
    <row r="9832" spans="9:9" x14ac:dyDescent="0.25">
      <c r="I9832" s="227" t="str">
        <f>MID(excPisCofins[[#This Row],[CodBarras2]],2,50)</f>
        <v/>
      </c>
    </row>
    <row r="9833" spans="9:9" x14ac:dyDescent="0.25">
      <c r="I9833" s="227" t="str">
        <f>MID(excPisCofins[[#This Row],[CodBarras2]],2,50)</f>
        <v/>
      </c>
    </row>
    <row r="9834" spans="9:9" x14ac:dyDescent="0.25">
      <c r="I9834" s="227" t="str">
        <f>MID(excPisCofins[[#This Row],[CodBarras2]],2,50)</f>
        <v/>
      </c>
    </row>
    <row r="9835" spans="9:9" x14ac:dyDescent="0.25">
      <c r="I9835" s="227" t="str">
        <f>MID(excPisCofins[[#This Row],[CodBarras2]],2,50)</f>
        <v/>
      </c>
    </row>
    <row r="9836" spans="9:9" x14ac:dyDescent="0.25">
      <c r="I9836" s="227" t="str">
        <f>MID(excPisCofins[[#This Row],[CodBarras2]],2,50)</f>
        <v/>
      </c>
    </row>
    <row r="9837" spans="9:9" x14ac:dyDescent="0.25">
      <c r="I9837" s="227" t="str">
        <f>MID(excPisCofins[[#This Row],[CodBarras2]],2,50)</f>
        <v/>
      </c>
    </row>
    <row r="9838" spans="9:9" x14ac:dyDescent="0.25">
      <c r="I9838" s="227" t="str">
        <f>MID(excPisCofins[[#This Row],[CodBarras2]],2,50)</f>
        <v/>
      </c>
    </row>
    <row r="9839" spans="9:9" x14ac:dyDescent="0.25">
      <c r="I9839" s="227" t="str">
        <f>MID(excPisCofins[[#This Row],[CodBarras2]],2,50)</f>
        <v/>
      </c>
    </row>
    <row r="9840" spans="9:9" x14ac:dyDescent="0.25">
      <c r="I9840" s="227" t="str">
        <f>MID(excPisCofins[[#This Row],[CodBarras2]],2,50)</f>
        <v/>
      </c>
    </row>
    <row r="9841" spans="9:9" x14ac:dyDescent="0.25">
      <c r="I9841" s="227" t="str">
        <f>MID(excPisCofins[[#This Row],[CodBarras2]],2,50)</f>
        <v/>
      </c>
    </row>
    <row r="9842" spans="9:9" x14ac:dyDescent="0.25">
      <c r="I9842" s="227" t="str">
        <f>MID(excPisCofins[[#This Row],[CodBarras2]],2,50)</f>
        <v/>
      </c>
    </row>
    <row r="9843" spans="9:9" x14ac:dyDescent="0.25">
      <c r="I9843" s="227" t="str">
        <f>MID(excPisCofins[[#This Row],[CodBarras2]],2,50)</f>
        <v/>
      </c>
    </row>
    <row r="9844" spans="9:9" x14ac:dyDescent="0.25">
      <c r="I9844" s="227" t="str">
        <f>MID(excPisCofins[[#This Row],[CodBarras2]],2,50)</f>
        <v/>
      </c>
    </row>
    <row r="9845" spans="9:9" x14ac:dyDescent="0.25">
      <c r="I9845" s="227" t="str">
        <f>MID(excPisCofins[[#This Row],[CodBarras2]],2,50)</f>
        <v/>
      </c>
    </row>
    <row r="9846" spans="9:9" x14ac:dyDescent="0.25">
      <c r="I9846" s="227" t="str">
        <f>MID(excPisCofins[[#This Row],[CodBarras2]],2,50)</f>
        <v/>
      </c>
    </row>
    <row r="9847" spans="9:9" x14ac:dyDescent="0.25">
      <c r="I9847" s="227" t="str">
        <f>MID(excPisCofins[[#This Row],[CodBarras2]],2,50)</f>
        <v/>
      </c>
    </row>
    <row r="9848" spans="9:9" x14ac:dyDescent="0.25">
      <c r="I9848" s="227" t="str">
        <f>MID(excPisCofins[[#This Row],[CodBarras2]],2,50)</f>
        <v/>
      </c>
    </row>
    <row r="9849" spans="9:9" x14ac:dyDescent="0.25">
      <c r="I9849" s="227" t="str">
        <f>MID(excPisCofins[[#This Row],[CodBarras2]],2,50)</f>
        <v/>
      </c>
    </row>
    <row r="9850" spans="9:9" x14ac:dyDescent="0.25">
      <c r="I9850" s="227" t="str">
        <f>MID(excPisCofins[[#This Row],[CodBarras2]],2,50)</f>
        <v/>
      </c>
    </row>
    <row r="9851" spans="9:9" x14ac:dyDescent="0.25">
      <c r="I9851" s="227" t="str">
        <f>MID(excPisCofins[[#This Row],[CodBarras2]],2,50)</f>
        <v/>
      </c>
    </row>
    <row r="9852" spans="9:9" x14ac:dyDescent="0.25">
      <c r="I9852" s="227" t="str">
        <f>MID(excPisCofins[[#This Row],[CodBarras2]],2,50)</f>
        <v/>
      </c>
    </row>
    <row r="9853" spans="9:9" x14ac:dyDescent="0.25">
      <c r="I9853" s="227" t="str">
        <f>MID(excPisCofins[[#This Row],[CodBarras2]],2,50)</f>
        <v/>
      </c>
    </row>
    <row r="9854" spans="9:9" x14ac:dyDescent="0.25">
      <c r="I9854" s="227" t="str">
        <f>MID(excPisCofins[[#This Row],[CodBarras2]],2,50)</f>
        <v/>
      </c>
    </row>
    <row r="9855" spans="9:9" x14ac:dyDescent="0.25">
      <c r="I9855" s="227" t="str">
        <f>MID(excPisCofins[[#This Row],[CodBarras2]],2,50)</f>
        <v/>
      </c>
    </row>
    <row r="9856" spans="9:9" x14ac:dyDescent="0.25">
      <c r="I9856" s="227" t="str">
        <f>MID(excPisCofins[[#This Row],[CodBarras2]],2,50)</f>
        <v/>
      </c>
    </row>
    <row r="9857" spans="9:9" x14ac:dyDescent="0.25">
      <c r="I9857" s="227" t="str">
        <f>MID(excPisCofins[[#This Row],[CodBarras2]],2,50)</f>
        <v/>
      </c>
    </row>
    <row r="9858" spans="9:9" x14ac:dyDescent="0.25">
      <c r="I9858" s="227" t="str">
        <f>MID(excPisCofins[[#This Row],[CodBarras2]],2,50)</f>
        <v/>
      </c>
    </row>
    <row r="9859" spans="9:9" x14ac:dyDescent="0.25">
      <c r="I9859" s="227" t="str">
        <f>MID(excPisCofins[[#This Row],[CodBarras2]],2,50)</f>
        <v/>
      </c>
    </row>
    <row r="9860" spans="9:9" x14ac:dyDescent="0.25">
      <c r="I9860" s="227" t="str">
        <f>MID(excPisCofins[[#This Row],[CodBarras2]],2,50)</f>
        <v/>
      </c>
    </row>
    <row r="9861" spans="9:9" x14ac:dyDescent="0.25">
      <c r="I9861" s="227" t="str">
        <f>MID(excPisCofins[[#This Row],[CodBarras2]],2,50)</f>
        <v/>
      </c>
    </row>
    <row r="9862" spans="9:9" x14ac:dyDescent="0.25">
      <c r="I9862" s="227" t="str">
        <f>MID(excPisCofins[[#This Row],[CodBarras2]],2,50)</f>
        <v/>
      </c>
    </row>
    <row r="9863" spans="9:9" x14ac:dyDescent="0.25">
      <c r="I9863" s="227" t="str">
        <f>MID(excPisCofins[[#This Row],[CodBarras2]],2,50)</f>
        <v/>
      </c>
    </row>
    <row r="9864" spans="9:9" x14ac:dyDescent="0.25">
      <c r="I9864" s="227" t="str">
        <f>MID(excPisCofins[[#This Row],[CodBarras2]],2,50)</f>
        <v/>
      </c>
    </row>
    <row r="9865" spans="9:9" x14ac:dyDescent="0.25">
      <c r="I9865" s="227" t="str">
        <f>MID(excPisCofins[[#This Row],[CodBarras2]],2,50)</f>
        <v/>
      </c>
    </row>
    <row r="9866" spans="9:9" x14ac:dyDescent="0.25">
      <c r="I9866" s="227" t="str">
        <f>MID(excPisCofins[[#This Row],[CodBarras2]],2,50)</f>
        <v/>
      </c>
    </row>
    <row r="9867" spans="9:9" x14ac:dyDescent="0.25">
      <c r="I9867" s="227" t="str">
        <f>MID(excPisCofins[[#This Row],[CodBarras2]],2,50)</f>
        <v/>
      </c>
    </row>
    <row r="9868" spans="9:9" x14ac:dyDescent="0.25">
      <c r="I9868" s="227" t="str">
        <f>MID(excPisCofins[[#This Row],[CodBarras2]],2,50)</f>
        <v/>
      </c>
    </row>
    <row r="9869" spans="9:9" x14ac:dyDescent="0.25">
      <c r="I9869" s="227" t="str">
        <f>MID(excPisCofins[[#This Row],[CodBarras2]],2,50)</f>
        <v/>
      </c>
    </row>
    <row r="9870" spans="9:9" x14ac:dyDescent="0.25">
      <c r="I9870" s="227" t="str">
        <f>MID(excPisCofins[[#This Row],[CodBarras2]],2,50)</f>
        <v/>
      </c>
    </row>
    <row r="9871" spans="9:9" x14ac:dyDescent="0.25">
      <c r="I9871" s="227" t="str">
        <f>MID(excPisCofins[[#This Row],[CodBarras2]],2,50)</f>
        <v/>
      </c>
    </row>
    <row r="9872" spans="9:9" x14ac:dyDescent="0.25">
      <c r="I9872" s="227" t="str">
        <f>MID(excPisCofins[[#This Row],[CodBarras2]],2,50)</f>
        <v/>
      </c>
    </row>
    <row r="9873" spans="9:9" x14ac:dyDescent="0.25">
      <c r="I9873" s="227" t="str">
        <f>MID(excPisCofins[[#This Row],[CodBarras2]],2,50)</f>
        <v/>
      </c>
    </row>
    <row r="9874" spans="9:9" x14ac:dyDescent="0.25">
      <c r="I9874" s="227" t="str">
        <f>MID(excPisCofins[[#This Row],[CodBarras2]],2,50)</f>
        <v/>
      </c>
    </row>
    <row r="9875" spans="9:9" x14ac:dyDescent="0.25">
      <c r="I9875" s="227" t="str">
        <f>MID(excPisCofins[[#This Row],[CodBarras2]],2,50)</f>
        <v/>
      </c>
    </row>
    <row r="9876" spans="9:9" x14ac:dyDescent="0.25">
      <c r="I9876" s="227" t="str">
        <f>MID(excPisCofins[[#This Row],[CodBarras2]],2,50)</f>
        <v/>
      </c>
    </row>
    <row r="9877" spans="9:9" x14ac:dyDescent="0.25">
      <c r="I9877" s="227" t="str">
        <f>MID(excPisCofins[[#This Row],[CodBarras2]],2,50)</f>
        <v/>
      </c>
    </row>
    <row r="9878" spans="9:9" x14ac:dyDescent="0.25">
      <c r="I9878" s="227" t="str">
        <f>MID(excPisCofins[[#This Row],[CodBarras2]],2,50)</f>
        <v/>
      </c>
    </row>
    <row r="9879" spans="9:9" x14ac:dyDescent="0.25">
      <c r="I9879" s="227" t="str">
        <f>MID(excPisCofins[[#This Row],[CodBarras2]],2,50)</f>
        <v/>
      </c>
    </row>
    <row r="9880" spans="9:9" x14ac:dyDescent="0.25">
      <c r="I9880" s="227" t="str">
        <f>MID(excPisCofins[[#This Row],[CodBarras2]],2,50)</f>
        <v/>
      </c>
    </row>
    <row r="9881" spans="9:9" x14ac:dyDescent="0.25">
      <c r="I9881" s="227" t="str">
        <f>MID(excPisCofins[[#This Row],[CodBarras2]],2,50)</f>
        <v/>
      </c>
    </row>
    <row r="9882" spans="9:9" x14ac:dyDescent="0.25">
      <c r="I9882" s="227" t="str">
        <f>MID(excPisCofins[[#This Row],[CodBarras2]],2,50)</f>
        <v/>
      </c>
    </row>
    <row r="9883" spans="9:9" x14ac:dyDescent="0.25">
      <c r="I9883" s="227" t="str">
        <f>MID(excPisCofins[[#This Row],[CodBarras2]],2,50)</f>
        <v/>
      </c>
    </row>
    <row r="9884" spans="9:9" x14ac:dyDescent="0.25">
      <c r="I9884" s="227" t="str">
        <f>MID(excPisCofins[[#This Row],[CodBarras2]],2,50)</f>
        <v/>
      </c>
    </row>
    <row r="9885" spans="9:9" x14ac:dyDescent="0.25">
      <c r="I9885" s="227" t="str">
        <f>MID(excPisCofins[[#This Row],[CodBarras2]],2,50)</f>
        <v/>
      </c>
    </row>
    <row r="9886" spans="9:9" x14ac:dyDescent="0.25">
      <c r="I9886" s="227" t="str">
        <f>MID(excPisCofins[[#This Row],[CodBarras2]],2,50)</f>
        <v/>
      </c>
    </row>
    <row r="9887" spans="9:9" x14ac:dyDescent="0.25">
      <c r="I9887" s="227" t="str">
        <f>MID(excPisCofins[[#This Row],[CodBarras2]],2,50)</f>
        <v/>
      </c>
    </row>
    <row r="9888" spans="9:9" x14ac:dyDescent="0.25">
      <c r="I9888" s="227" t="str">
        <f>MID(excPisCofins[[#This Row],[CodBarras2]],2,50)</f>
        <v/>
      </c>
    </row>
    <row r="9889" spans="9:9" x14ac:dyDescent="0.25">
      <c r="I9889" s="227" t="str">
        <f>MID(excPisCofins[[#This Row],[CodBarras2]],2,50)</f>
        <v/>
      </c>
    </row>
    <row r="9890" spans="9:9" x14ac:dyDescent="0.25">
      <c r="I9890" s="227" t="str">
        <f>MID(excPisCofins[[#This Row],[CodBarras2]],2,50)</f>
        <v/>
      </c>
    </row>
    <row r="9891" spans="9:9" x14ac:dyDescent="0.25">
      <c r="I9891" s="227" t="str">
        <f>MID(excPisCofins[[#This Row],[CodBarras2]],2,50)</f>
        <v/>
      </c>
    </row>
    <row r="9892" spans="9:9" x14ac:dyDescent="0.25">
      <c r="I9892" s="227" t="str">
        <f>MID(excPisCofins[[#This Row],[CodBarras2]],2,50)</f>
        <v/>
      </c>
    </row>
    <row r="9893" spans="9:9" x14ac:dyDescent="0.25">
      <c r="I9893" s="227" t="str">
        <f>MID(excPisCofins[[#This Row],[CodBarras2]],2,50)</f>
        <v/>
      </c>
    </row>
    <row r="9894" spans="9:9" x14ac:dyDescent="0.25">
      <c r="I9894" s="227" t="str">
        <f>MID(excPisCofins[[#This Row],[CodBarras2]],2,50)</f>
        <v/>
      </c>
    </row>
    <row r="9895" spans="9:9" x14ac:dyDescent="0.25">
      <c r="I9895" s="227" t="str">
        <f>MID(excPisCofins[[#This Row],[CodBarras2]],2,50)</f>
        <v/>
      </c>
    </row>
    <row r="9896" spans="9:9" x14ac:dyDescent="0.25">
      <c r="I9896" s="227" t="str">
        <f>MID(excPisCofins[[#This Row],[CodBarras2]],2,50)</f>
        <v/>
      </c>
    </row>
    <row r="9897" spans="9:9" x14ac:dyDescent="0.25">
      <c r="I9897" s="227" t="str">
        <f>MID(excPisCofins[[#This Row],[CodBarras2]],2,50)</f>
        <v/>
      </c>
    </row>
    <row r="9898" spans="9:9" x14ac:dyDescent="0.25">
      <c r="I9898" s="227" t="str">
        <f>MID(excPisCofins[[#This Row],[CodBarras2]],2,50)</f>
        <v/>
      </c>
    </row>
    <row r="9899" spans="9:9" x14ac:dyDescent="0.25">
      <c r="I9899" s="227" t="str">
        <f>MID(excPisCofins[[#This Row],[CodBarras2]],2,50)</f>
        <v/>
      </c>
    </row>
    <row r="9900" spans="9:9" x14ac:dyDescent="0.25">
      <c r="I9900" s="227" t="str">
        <f>MID(excPisCofins[[#This Row],[CodBarras2]],2,50)</f>
        <v/>
      </c>
    </row>
    <row r="9901" spans="9:9" x14ac:dyDescent="0.25">
      <c r="I9901" s="227" t="str">
        <f>MID(excPisCofins[[#This Row],[CodBarras2]],2,50)</f>
        <v/>
      </c>
    </row>
    <row r="9902" spans="9:9" x14ac:dyDescent="0.25">
      <c r="I9902" s="227" t="str">
        <f>MID(excPisCofins[[#This Row],[CodBarras2]],2,50)</f>
        <v/>
      </c>
    </row>
    <row r="9903" spans="9:9" x14ac:dyDescent="0.25">
      <c r="I9903" s="227" t="str">
        <f>MID(excPisCofins[[#This Row],[CodBarras2]],2,50)</f>
        <v/>
      </c>
    </row>
    <row r="9904" spans="9:9" x14ac:dyDescent="0.25">
      <c r="I9904" s="227" t="str">
        <f>MID(excPisCofins[[#This Row],[CodBarras2]],2,50)</f>
        <v/>
      </c>
    </row>
    <row r="9905" spans="9:9" x14ac:dyDescent="0.25">
      <c r="I9905" s="227" t="str">
        <f>MID(excPisCofins[[#This Row],[CodBarras2]],2,50)</f>
        <v/>
      </c>
    </row>
    <row r="9906" spans="9:9" x14ac:dyDescent="0.25">
      <c r="I9906" s="227" t="str">
        <f>MID(excPisCofins[[#This Row],[CodBarras2]],2,50)</f>
        <v/>
      </c>
    </row>
    <row r="9907" spans="9:9" x14ac:dyDescent="0.25">
      <c r="I9907" s="227" t="str">
        <f>MID(excPisCofins[[#This Row],[CodBarras2]],2,50)</f>
        <v/>
      </c>
    </row>
    <row r="9908" spans="9:9" x14ac:dyDescent="0.25">
      <c r="I9908" s="227" t="str">
        <f>MID(excPisCofins[[#This Row],[CodBarras2]],2,50)</f>
        <v/>
      </c>
    </row>
    <row r="9909" spans="9:9" x14ac:dyDescent="0.25">
      <c r="I9909" s="227" t="str">
        <f>MID(excPisCofins[[#This Row],[CodBarras2]],2,50)</f>
        <v/>
      </c>
    </row>
    <row r="9910" spans="9:9" x14ac:dyDescent="0.25">
      <c r="I9910" s="227" t="str">
        <f>MID(excPisCofins[[#This Row],[CodBarras2]],2,50)</f>
        <v/>
      </c>
    </row>
    <row r="9911" spans="9:9" x14ac:dyDescent="0.25">
      <c r="I9911" s="227" t="str">
        <f>MID(excPisCofins[[#This Row],[CodBarras2]],2,50)</f>
        <v/>
      </c>
    </row>
    <row r="9912" spans="9:9" x14ac:dyDescent="0.25">
      <c r="I9912" s="227" t="str">
        <f>MID(excPisCofins[[#This Row],[CodBarras2]],2,50)</f>
        <v/>
      </c>
    </row>
    <row r="9913" spans="9:9" x14ac:dyDescent="0.25">
      <c r="I9913" s="227" t="str">
        <f>MID(excPisCofins[[#This Row],[CodBarras2]],2,50)</f>
        <v/>
      </c>
    </row>
    <row r="9914" spans="9:9" x14ac:dyDescent="0.25">
      <c r="I9914" s="227" t="str">
        <f>MID(excPisCofins[[#This Row],[CodBarras2]],2,50)</f>
        <v/>
      </c>
    </row>
    <row r="9915" spans="9:9" x14ac:dyDescent="0.25">
      <c r="I9915" s="227" t="str">
        <f>MID(excPisCofins[[#This Row],[CodBarras2]],2,50)</f>
        <v/>
      </c>
    </row>
    <row r="9916" spans="9:9" x14ac:dyDescent="0.25">
      <c r="I9916" s="227" t="str">
        <f>MID(excPisCofins[[#This Row],[CodBarras2]],2,50)</f>
        <v/>
      </c>
    </row>
    <row r="9917" spans="9:9" x14ac:dyDescent="0.25">
      <c r="I9917" s="227" t="str">
        <f>MID(excPisCofins[[#This Row],[CodBarras2]],2,50)</f>
        <v/>
      </c>
    </row>
    <row r="9918" spans="9:9" x14ac:dyDescent="0.25">
      <c r="I9918" s="227" t="str">
        <f>MID(excPisCofins[[#This Row],[CodBarras2]],2,50)</f>
        <v/>
      </c>
    </row>
    <row r="9919" spans="9:9" x14ac:dyDescent="0.25">
      <c r="I9919" s="227" t="str">
        <f>MID(excPisCofins[[#This Row],[CodBarras2]],2,50)</f>
        <v/>
      </c>
    </row>
    <row r="9920" spans="9:9" x14ac:dyDescent="0.25">
      <c r="I9920" s="227" t="str">
        <f>MID(excPisCofins[[#This Row],[CodBarras2]],2,50)</f>
        <v/>
      </c>
    </row>
    <row r="9921" spans="9:9" x14ac:dyDescent="0.25">
      <c r="I9921" s="227" t="str">
        <f>MID(excPisCofins[[#This Row],[CodBarras2]],2,50)</f>
        <v/>
      </c>
    </row>
    <row r="9922" spans="9:9" x14ac:dyDescent="0.25">
      <c r="I9922" s="227" t="str">
        <f>MID(excPisCofins[[#This Row],[CodBarras2]],2,50)</f>
        <v/>
      </c>
    </row>
    <row r="9923" spans="9:9" x14ac:dyDescent="0.25">
      <c r="I9923" s="227" t="str">
        <f>MID(excPisCofins[[#This Row],[CodBarras2]],2,50)</f>
        <v/>
      </c>
    </row>
    <row r="9924" spans="9:9" x14ac:dyDescent="0.25">
      <c r="I9924" s="227" t="str">
        <f>MID(excPisCofins[[#This Row],[CodBarras2]],2,50)</f>
        <v/>
      </c>
    </row>
    <row r="9925" spans="9:9" x14ac:dyDescent="0.25">
      <c r="I9925" s="227" t="str">
        <f>MID(excPisCofins[[#This Row],[CodBarras2]],2,50)</f>
        <v/>
      </c>
    </row>
    <row r="9926" spans="9:9" x14ac:dyDescent="0.25">
      <c r="I9926" s="227" t="str">
        <f>MID(excPisCofins[[#This Row],[CodBarras2]],2,50)</f>
        <v/>
      </c>
    </row>
    <row r="9927" spans="9:9" x14ac:dyDescent="0.25">
      <c r="I9927" s="227" t="str">
        <f>MID(excPisCofins[[#This Row],[CodBarras2]],2,50)</f>
        <v/>
      </c>
    </row>
    <row r="9928" spans="9:9" x14ac:dyDescent="0.25">
      <c r="I9928" s="227" t="str">
        <f>MID(excPisCofins[[#This Row],[CodBarras2]],2,50)</f>
        <v/>
      </c>
    </row>
    <row r="9929" spans="9:9" x14ac:dyDescent="0.25">
      <c r="I9929" s="227" t="str">
        <f>MID(excPisCofins[[#This Row],[CodBarras2]],2,50)</f>
        <v/>
      </c>
    </row>
    <row r="9930" spans="9:9" x14ac:dyDescent="0.25">
      <c r="I9930" s="227" t="str">
        <f>MID(excPisCofins[[#This Row],[CodBarras2]],2,50)</f>
        <v/>
      </c>
    </row>
    <row r="9931" spans="9:9" x14ac:dyDescent="0.25">
      <c r="I9931" s="227" t="str">
        <f>MID(excPisCofins[[#This Row],[CodBarras2]],2,50)</f>
        <v/>
      </c>
    </row>
    <row r="9932" spans="9:9" x14ac:dyDescent="0.25">
      <c r="I9932" s="227" t="str">
        <f>MID(excPisCofins[[#This Row],[CodBarras2]],2,50)</f>
        <v/>
      </c>
    </row>
    <row r="9933" spans="9:9" x14ac:dyDescent="0.25">
      <c r="I9933" s="227" t="str">
        <f>MID(excPisCofins[[#This Row],[CodBarras2]],2,50)</f>
        <v/>
      </c>
    </row>
    <row r="9934" spans="9:9" x14ac:dyDescent="0.25">
      <c r="I9934" s="227" t="str">
        <f>MID(excPisCofins[[#This Row],[CodBarras2]],2,50)</f>
        <v/>
      </c>
    </row>
    <row r="9935" spans="9:9" x14ac:dyDescent="0.25">
      <c r="I9935" s="227" t="str">
        <f>MID(excPisCofins[[#This Row],[CodBarras2]],2,50)</f>
        <v/>
      </c>
    </row>
    <row r="9936" spans="9:9" x14ac:dyDescent="0.25">
      <c r="I9936" s="227" t="str">
        <f>MID(excPisCofins[[#This Row],[CodBarras2]],2,50)</f>
        <v/>
      </c>
    </row>
    <row r="9937" spans="9:9" x14ac:dyDescent="0.25">
      <c r="I9937" s="227" t="str">
        <f>MID(excPisCofins[[#This Row],[CodBarras2]],2,50)</f>
        <v/>
      </c>
    </row>
    <row r="9938" spans="9:9" x14ac:dyDescent="0.25">
      <c r="I9938" s="227" t="str">
        <f>MID(excPisCofins[[#This Row],[CodBarras2]],2,50)</f>
        <v/>
      </c>
    </row>
    <row r="9939" spans="9:9" x14ac:dyDescent="0.25">
      <c r="I9939" s="227" t="str">
        <f>MID(excPisCofins[[#This Row],[CodBarras2]],2,50)</f>
        <v/>
      </c>
    </row>
    <row r="9940" spans="9:9" x14ac:dyDescent="0.25">
      <c r="I9940" s="227" t="str">
        <f>MID(excPisCofins[[#This Row],[CodBarras2]],2,50)</f>
        <v/>
      </c>
    </row>
    <row r="9941" spans="9:9" x14ac:dyDescent="0.25">
      <c r="I9941" s="227" t="str">
        <f>MID(excPisCofins[[#This Row],[CodBarras2]],2,50)</f>
        <v/>
      </c>
    </row>
    <row r="9942" spans="9:9" x14ac:dyDescent="0.25">
      <c r="I9942" s="227" t="str">
        <f>MID(excPisCofins[[#This Row],[CodBarras2]],2,50)</f>
        <v/>
      </c>
    </row>
    <row r="9943" spans="9:9" x14ac:dyDescent="0.25">
      <c r="I9943" s="227" t="str">
        <f>MID(excPisCofins[[#This Row],[CodBarras2]],2,50)</f>
        <v/>
      </c>
    </row>
    <row r="9944" spans="9:9" x14ac:dyDescent="0.25">
      <c r="I9944" s="227" t="str">
        <f>MID(excPisCofins[[#This Row],[CodBarras2]],2,50)</f>
        <v/>
      </c>
    </row>
    <row r="9945" spans="9:9" x14ac:dyDescent="0.25">
      <c r="I9945" s="227" t="str">
        <f>MID(excPisCofins[[#This Row],[CodBarras2]],2,50)</f>
        <v/>
      </c>
    </row>
    <row r="9946" spans="9:9" x14ac:dyDescent="0.25">
      <c r="I9946" s="227" t="str">
        <f>MID(excPisCofins[[#This Row],[CodBarras2]],2,50)</f>
        <v/>
      </c>
    </row>
    <row r="9947" spans="9:9" x14ac:dyDescent="0.25">
      <c r="I9947" s="227" t="str">
        <f>MID(excPisCofins[[#This Row],[CodBarras2]],2,50)</f>
        <v/>
      </c>
    </row>
    <row r="9948" spans="9:9" x14ac:dyDescent="0.25">
      <c r="I9948" s="227" t="str">
        <f>MID(excPisCofins[[#This Row],[CodBarras2]],2,50)</f>
        <v/>
      </c>
    </row>
    <row r="9949" spans="9:9" x14ac:dyDescent="0.25">
      <c r="I9949" s="227" t="str">
        <f>MID(excPisCofins[[#This Row],[CodBarras2]],2,50)</f>
        <v/>
      </c>
    </row>
    <row r="9950" spans="9:9" x14ac:dyDescent="0.25">
      <c r="I9950" s="227" t="str">
        <f>MID(excPisCofins[[#This Row],[CodBarras2]],2,50)</f>
        <v/>
      </c>
    </row>
    <row r="9951" spans="9:9" x14ac:dyDescent="0.25">
      <c r="I9951" s="227" t="str">
        <f>MID(excPisCofins[[#This Row],[CodBarras2]],2,50)</f>
        <v/>
      </c>
    </row>
    <row r="9952" spans="9:9" x14ac:dyDescent="0.25">
      <c r="I9952" s="227" t="str">
        <f>MID(excPisCofins[[#This Row],[CodBarras2]],2,50)</f>
        <v/>
      </c>
    </row>
    <row r="9953" spans="9:9" x14ac:dyDescent="0.25">
      <c r="I9953" s="227" t="str">
        <f>MID(excPisCofins[[#This Row],[CodBarras2]],2,50)</f>
        <v/>
      </c>
    </row>
    <row r="9954" spans="9:9" x14ac:dyDescent="0.25">
      <c r="I9954" s="227" t="str">
        <f>MID(excPisCofins[[#This Row],[CodBarras2]],2,50)</f>
        <v/>
      </c>
    </row>
    <row r="9955" spans="9:9" x14ac:dyDescent="0.25">
      <c r="I9955" s="227" t="str">
        <f>MID(excPisCofins[[#This Row],[CodBarras2]],2,50)</f>
        <v/>
      </c>
    </row>
    <row r="9956" spans="9:9" x14ac:dyDescent="0.25">
      <c r="I9956" s="227" t="str">
        <f>MID(excPisCofins[[#This Row],[CodBarras2]],2,50)</f>
        <v/>
      </c>
    </row>
    <row r="9957" spans="9:9" x14ac:dyDescent="0.25">
      <c r="I9957" s="227" t="str">
        <f>MID(excPisCofins[[#This Row],[CodBarras2]],2,50)</f>
        <v/>
      </c>
    </row>
    <row r="9958" spans="9:9" x14ac:dyDescent="0.25">
      <c r="I9958" s="227" t="str">
        <f>MID(excPisCofins[[#This Row],[CodBarras2]],2,50)</f>
        <v/>
      </c>
    </row>
    <row r="9959" spans="9:9" x14ac:dyDescent="0.25">
      <c r="I9959" s="227" t="str">
        <f>MID(excPisCofins[[#This Row],[CodBarras2]],2,50)</f>
        <v/>
      </c>
    </row>
    <row r="9960" spans="9:9" x14ac:dyDescent="0.25">
      <c r="I9960" s="227" t="str">
        <f>MID(excPisCofins[[#This Row],[CodBarras2]],2,50)</f>
        <v/>
      </c>
    </row>
    <row r="9961" spans="9:9" x14ac:dyDescent="0.25">
      <c r="I9961" s="227" t="str">
        <f>MID(excPisCofins[[#This Row],[CodBarras2]],2,50)</f>
        <v/>
      </c>
    </row>
    <row r="9962" spans="9:9" x14ac:dyDescent="0.25">
      <c r="I9962" s="227" t="str">
        <f>MID(excPisCofins[[#This Row],[CodBarras2]],2,50)</f>
        <v/>
      </c>
    </row>
    <row r="9963" spans="9:9" x14ac:dyDescent="0.25">
      <c r="I9963" s="227" t="str">
        <f>MID(excPisCofins[[#This Row],[CodBarras2]],2,50)</f>
        <v/>
      </c>
    </row>
    <row r="9964" spans="9:9" x14ac:dyDescent="0.25">
      <c r="I9964" s="227" t="str">
        <f>MID(excPisCofins[[#This Row],[CodBarras2]],2,50)</f>
        <v/>
      </c>
    </row>
    <row r="9965" spans="9:9" x14ac:dyDescent="0.25">
      <c r="I9965" s="227" t="str">
        <f>MID(excPisCofins[[#This Row],[CodBarras2]],2,50)</f>
        <v/>
      </c>
    </row>
    <row r="9966" spans="9:9" x14ac:dyDescent="0.25">
      <c r="I9966" s="227" t="str">
        <f>MID(excPisCofins[[#This Row],[CodBarras2]],2,50)</f>
        <v/>
      </c>
    </row>
    <row r="9967" spans="9:9" x14ac:dyDescent="0.25">
      <c r="I9967" s="227" t="str">
        <f>MID(excPisCofins[[#This Row],[CodBarras2]],2,50)</f>
        <v/>
      </c>
    </row>
    <row r="9968" spans="9:9" x14ac:dyDescent="0.25">
      <c r="I9968" s="227" t="str">
        <f>MID(excPisCofins[[#This Row],[CodBarras2]],2,50)</f>
        <v/>
      </c>
    </row>
    <row r="9969" spans="9:9" x14ac:dyDescent="0.25">
      <c r="I9969" s="227" t="str">
        <f>MID(excPisCofins[[#This Row],[CodBarras2]],2,50)</f>
        <v/>
      </c>
    </row>
    <row r="9970" spans="9:9" x14ac:dyDescent="0.25">
      <c r="I9970" s="227" t="str">
        <f>MID(excPisCofins[[#This Row],[CodBarras2]],2,50)</f>
        <v/>
      </c>
    </row>
    <row r="9971" spans="9:9" x14ac:dyDescent="0.25">
      <c r="I9971" s="227" t="str">
        <f>MID(excPisCofins[[#This Row],[CodBarras2]],2,50)</f>
        <v/>
      </c>
    </row>
    <row r="9972" spans="9:9" x14ac:dyDescent="0.25">
      <c r="I9972" s="227" t="str">
        <f>MID(excPisCofins[[#This Row],[CodBarras2]],2,50)</f>
        <v/>
      </c>
    </row>
    <row r="9973" spans="9:9" x14ac:dyDescent="0.25">
      <c r="I9973" s="227" t="str">
        <f>MID(excPisCofins[[#This Row],[CodBarras2]],2,50)</f>
        <v/>
      </c>
    </row>
    <row r="9974" spans="9:9" x14ac:dyDescent="0.25">
      <c r="I9974" s="227" t="str">
        <f>MID(excPisCofins[[#This Row],[CodBarras2]],2,50)</f>
        <v/>
      </c>
    </row>
    <row r="9975" spans="9:9" x14ac:dyDescent="0.25">
      <c r="I9975" s="227" t="str">
        <f>MID(excPisCofins[[#This Row],[CodBarras2]],2,50)</f>
        <v/>
      </c>
    </row>
    <row r="9976" spans="9:9" x14ac:dyDescent="0.25">
      <c r="I9976" s="227" t="str">
        <f>MID(excPisCofins[[#This Row],[CodBarras2]],2,50)</f>
        <v/>
      </c>
    </row>
    <row r="9977" spans="9:9" x14ac:dyDescent="0.25">
      <c r="I9977" s="227" t="str">
        <f>MID(excPisCofins[[#This Row],[CodBarras2]],2,50)</f>
        <v/>
      </c>
    </row>
    <row r="9978" spans="9:9" x14ac:dyDescent="0.25">
      <c r="I9978" s="227" t="str">
        <f>MID(excPisCofins[[#This Row],[CodBarras2]],2,50)</f>
        <v/>
      </c>
    </row>
    <row r="9979" spans="9:9" x14ac:dyDescent="0.25">
      <c r="I9979" s="227" t="str">
        <f>MID(excPisCofins[[#This Row],[CodBarras2]],2,50)</f>
        <v/>
      </c>
    </row>
    <row r="9980" spans="9:9" x14ac:dyDescent="0.25">
      <c r="I9980" s="227" t="str">
        <f>MID(excPisCofins[[#This Row],[CodBarras2]],2,50)</f>
        <v/>
      </c>
    </row>
    <row r="9981" spans="9:9" x14ac:dyDescent="0.25">
      <c r="I9981" s="227" t="str">
        <f>MID(excPisCofins[[#This Row],[CodBarras2]],2,50)</f>
        <v/>
      </c>
    </row>
    <row r="9982" spans="9:9" x14ac:dyDescent="0.25">
      <c r="I9982" s="227" t="str">
        <f>MID(excPisCofins[[#This Row],[CodBarras2]],2,50)</f>
        <v/>
      </c>
    </row>
    <row r="9983" spans="9:9" x14ac:dyDescent="0.25">
      <c r="I9983" s="227" t="str">
        <f>MID(excPisCofins[[#This Row],[CodBarras2]],2,50)</f>
        <v/>
      </c>
    </row>
    <row r="9984" spans="9:9" x14ac:dyDescent="0.25">
      <c r="I9984" s="227" t="str">
        <f>MID(excPisCofins[[#This Row],[CodBarras2]],2,50)</f>
        <v/>
      </c>
    </row>
    <row r="9985" spans="9:9" x14ac:dyDescent="0.25">
      <c r="I9985" s="227" t="str">
        <f>MID(excPisCofins[[#This Row],[CodBarras2]],2,50)</f>
        <v/>
      </c>
    </row>
    <row r="9986" spans="9:9" x14ac:dyDescent="0.25">
      <c r="I9986" s="227" t="str">
        <f>MID(excPisCofins[[#This Row],[CodBarras2]],2,50)</f>
        <v/>
      </c>
    </row>
    <row r="9987" spans="9:9" x14ac:dyDescent="0.25">
      <c r="I9987" s="227" t="str">
        <f>MID(excPisCofins[[#This Row],[CodBarras2]],2,50)</f>
        <v/>
      </c>
    </row>
    <row r="9988" spans="9:9" x14ac:dyDescent="0.25">
      <c r="I9988" s="227" t="str">
        <f>MID(excPisCofins[[#This Row],[CodBarras2]],2,50)</f>
        <v/>
      </c>
    </row>
    <row r="9989" spans="9:9" x14ac:dyDescent="0.25">
      <c r="I9989" s="227" t="str">
        <f>MID(excPisCofins[[#This Row],[CodBarras2]],2,50)</f>
        <v/>
      </c>
    </row>
    <row r="9990" spans="9:9" x14ac:dyDescent="0.25">
      <c r="I9990" s="227" t="str">
        <f>MID(excPisCofins[[#This Row],[CodBarras2]],2,50)</f>
        <v/>
      </c>
    </row>
    <row r="9991" spans="9:9" x14ac:dyDescent="0.25">
      <c r="I9991" s="227" t="str">
        <f>MID(excPisCofins[[#This Row],[CodBarras2]],2,50)</f>
        <v/>
      </c>
    </row>
    <row r="9992" spans="9:9" x14ac:dyDescent="0.25">
      <c r="I9992" s="227" t="str">
        <f>MID(excPisCofins[[#This Row],[CodBarras2]],2,50)</f>
        <v/>
      </c>
    </row>
    <row r="9993" spans="9:9" x14ac:dyDescent="0.25">
      <c r="I9993" s="227" t="str">
        <f>MID(excPisCofins[[#This Row],[CodBarras2]],2,50)</f>
        <v/>
      </c>
    </row>
    <row r="9994" spans="9:9" x14ac:dyDescent="0.25">
      <c r="I9994" s="227" t="str">
        <f>MID(excPisCofins[[#This Row],[CodBarras2]],2,50)</f>
        <v/>
      </c>
    </row>
    <row r="9995" spans="9:9" x14ac:dyDescent="0.25">
      <c r="I9995" s="227" t="str">
        <f>MID(excPisCofins[[#This Row],[CodBarras2]],2,50)</f>
        <v/>
      </c>
    </row>
    <row r="9996" spans="9:9" x14ac:dyDescent="0.25">
      <c r="I9996" s="227" t="str">
        <f>MID(excPisCofins[[#This Row],[CodBarras2]],2,50)</f>
        <v/>
      </c>
    </row>
    <row r="9997" spans="9:9" x14ac:dyDescent="0.25">
      <c r="I9997" s="227" t="str">
        <f>MID(excPisCofins[[#This Row],[CodBarras2]],2,50)</f>
        <v/>
      </c>
    </row>
    <row r="9998" spans="9:9" x14ac:dyDescent="0.25">
      <c r="I9998" s="227" t="str">
        <f>MID(excPisCofins[[#This Row],[CodBarras2]],2,50)</f>
        <v/>
      </c>
    </row>
    <row r="9999" spans="9:9" x14ac:dyDescent="0.25">
      <c r="I9999" s="227" t="str">
        <f>MID(excPisCofins[[#This Row],[CodBarras2]],2,50)</f>
        <v/>
      </c>
    </row>
    <row r="10000" spans="9:9" x14ac:dyDescent="0.25">
      <c r="I10000" s="227" t="str">
        <f>MID(excPisCofins[[#This Row],[CodBarras2]],2,50)</f>
        <v/>
      </c>
    </row>
    <row r="10001" spans="9:9" x14ac:dyDescent="0.25">
      <c r="I10001" s="227" t="str">
        <f>MID(excPisCofins[[#This Row],[CodBarras2]],2,50)</f>
        <v/>
      </c>
    </row>
    <row r="10002" spans="9:9" x14ac:dyDescent="0.25">
      <c r="I10002" s="227" t="str">
        <f>MID(excPisCofins[[#This Row],[CodBarras2]],2,50)</f>
        <v/>
      </c>
    </row>
    <row r="10003" spans="9:9" x14ac:dyDescent="0.25">
      <c r="I10003" s="227" t="str">
        <f>MID(excPisCofins[[#This Row],[CodBarras2]],2,50)</f>
        <v/>
      </c>
    </row>
    <row r="10004" spans="9:9" x14ac:dyDescent="0.25">
      <c r="I10004" s="227" t="str">
        <f>MID(excPisCofins[[#This Row],[CodBarras2]],2,50)</f>
        <v/>
      </c>
    </row>
    <row r="10005" spans="9:9" x14ac:dyDescent="0.25">
      <c r="I10005" s="227" t="str">
        <f>MID(excPisCofins[[#This Row],[CodBarras2]],2,50)</f>
        <v/>
      </c>
    </row>
    <row r="10006" spans="9:9" x14ac:dyDescent="0.25">
      <c r="I10006" s="227" t="str">
        <f>MID(excPisCofins[[#This Row],[CodBarras2]],2,50)</f>
        <v/>
      </c>
    </row>
    <row r="10007" spans="9:9" x14ac:dyDescent="0.25">
      <c r="I10007" s="227" t="str">
        <f>MID(excPisCofins[[#This Row],[CodBarras2]],2,50)</f>
        <v/>
      </c>
    </row>
    <row r="10008" spans="9:9" x14ac:dyDescent="0.25">
      <c r="I10008" s="227" t="str">
        <f>MID(excPisCofins[[#This Row],[CodBarras2]],2,50)</f>
        <v/>
      </c>
    </row>
    <row r="10009" spans="9:9" x14ac:dyDescent="0.25">
      <c r="I10009" s="227" t="str">
        <f>MID(excPisCofins[[#This Row],[CodBarras2]],2,50)</f>
        <v/>
      </c>
    </row>
    <row r="10010" spans="9:9" x14ac:dyDescent="0.25">
      <c r="I10010" s="227" t="str">
        <f>MID(excPisCofins[[#This Row],[CodBarras2]],2,50)</f>
        <v/>
      </c>
    </row>
    <row r="10011" spans="9:9" x14ac:dyDescent="0.25">
      <c r="I10011" s="227" t="str">
        <f>MID(excPisCofins[[#This Row],[CodBarras2]],2,50)</f>
        <v/>
      </c>
    </row>
    <row r="10012" spans="9:9" x14ac:dyDescent="0.25">
      <c r="I10012" s="227" t="str">
        <f>MID(excPisCofins[[#This Row],[CodBarras2]],2,50)</f>
        <v/>
      </c>
    </row>
    <row r="10013" spans="9:9" x14ac:dyDescent="0.25">
      <c r="I10013" s="227" t="str">
        <f>MID(excPisCofins[[#This Row],[CodBarras2]],2,50)</f>
        <v/>
      </c>
    </row>
    <row r="10014" spans="9:9" x14ac:dyDescent="0.25">
      <c r="I10014" s="227" t="str">
        <f>MID(excPisCofins[[#This Row],[CodBarras2]],2,50)</f>
        <v/>
      </c>
    </row>
    <row r="10015" spans="9:9" x14ac:dyDescent="0.25">
      <c r="I10015" s="227" t="str">
        <f>MID(excPisCofins[[#This Row],[CodBarras2]],2,50)</f>
        <v/>
      </c>
    </row>
    <row r="10016" spans="9:9" x14ac:dyDescent="0.25">
      <c r="I10016" s="227" t="str">
        <f>MID(excPisCofins[[#This Row],[CodBarras2]],2,50)</f>
        <v/>
      </c>
    </row>
    <row r="10017" spans="9:9" x14ac:dyDescent="0.25">
      <c r="I10017" s="227" t="str">
        <f>MID(excPisCofins[[#This Row],[CodBarras2]],2,50)</f>
        <v/>
      </c>
    </row>
    <row r="10018" spans="9:9" x14ac:dyDescent="0.25">
      <c r="I10018" s="227" t="str">
        <f>MID(excPisCofins[[#This Row],[CodBarras2]],2,50)</f>
        <v/>
      </c>
    </row>
    <row r="10019" spans="9:9" x14ac:dyDescent="0.25">
      <c r="I10019" s="227" t="str">
        <f>MID(excPisCofins[[#This Row],[CodBarras2]],2,50)</f>
        <v/>
      </c>
    </row>
    <row r="10020" spans="9:9" x14ac:dyDescent="0.25">
      <c r="I10020" s="227" t="str">
        <f>MID(excPisCofins[[#This Row],[CodBarras2]],2,50)</f>
        <v/>
      </c>
    </row>
    <row r="10021" spans="9:9" x14ac:dyDescent="0.25">
      <c r="I10021" s="227" t="str">
        <f>MID(excPisCofins[[#This Row],[CodBarras2]],2,50)</f>
        <v/>
      </c>
    </row>
    <row r="10022" spans="9:9" x14ac:dyDescent="0.25">
      <c r="I10022" s="227" t="str">
        <f>MID(excPisCofins[[#This Row],[CodBarras2]],2,50)</f>
        <v/>
      </c>
    </row>
    <row r="10023" spans="9:9" x14ac:dyDescent="0.25">
      <c r="I10023" s="227" t="str">
        <f>MID(excPisCofins[[#This Row],[CodBarras2]],2,50)</f>
        <v/>
      </c>
    </row>
    <row r="10024" spans="9:9" x14ac:dyDescent="0.25">
      <c r="I10024" s="227" t="str">
        <f>MID(excPisCofins[[#This Row],[CodBarras2]],2,50)</f>
        <v/>
      </c>
    </row>
    <row r="10025" spans="9:9" x14ac:dyDescent="0.25">
      <c r="I10025" s="227" t="str">
        <f>MID(excPisCofins[[#This Row],[CodBarras2]],2,50)</f>
        <v/>
      </c>
    </row>
    <row r="10026" spans="9:9" x14ac:dyDescent="0.25">
      <c r="I10026" s="227" t="str">
        <f>MID(excPisCofins[[#This Row],[CodBarras2]],2,50)</f>
        <v/>
      </c>
    </row>
    <row r="10027" spans="9:9" x14ac:dyDescent="0.25">
      <c r="I10027" s="227" t="str">
        <f>MID(excPisCofins[[#This Row],[CodBarras2]],2,50)</f>
        <v/>
      </c>
    </row>
    <row r="10028" spans="9:9" x14ac:dyDescent="0.25">
      <c r="I10028" s="227" t="str">
        <f>MID(excPisCofins[[#This Row],[CodBarras2]],2,50)</f>
        <v/>
      </c>
    </row>
    <row r="10029" spans="9:9" x14ac:dyDescent="0.25">
      <c r="I10029" s="227" t="str">
        <f>MID(excPisCofins[[#This Row],[CodBarras2]],2,50)</f>
        <v/>
      </c>
    </row>
    <row r="10030" spans="9:9" x14ac:dyDescent="0.25">
      <c r="I10030" s="227" t="str">
        <f>MID(excPisCofins[[#This Row],[CodBarras2]],2,50)</f>
        <v/>
      </c>
    </row>
    <row r="10031" spans="9:9" x14ac:dyDescent="0.25">
      <c r="I10031" s="227" t="str">
        <f>MID(excPisCofins[[#This Row],[CodBarras2]],2,50)</f>
        <v/>
      </c>
    </row>
    <row r="10032" spans="9:9" x14ac:dyDescent="0.25">
      <c r="I10032" s="227" t="str">
        <f>MID(excPisCofins[[#This Row],[CodBarras2]],2,50)</f>
        <v/>
      </c>
    </row>
    <row r="10033" spans="9:9" x14ac:dyDescent="0.25">
      <c r="I10033" s="227" t="str">
        <f>MID(excPisCofins[[#This Row],[CodBarras2]],2,50)</f>
        <v/>
      </c>
    </row>
    <row r="10034" spans="9:9" x14ac:dyDescent="0.25">
      <c r="I10034" s="227" t="str">
        <f>MID(excPisCofins[[#This Row],[CodBarras2]],2,50)</f>
        <v/>
      </c>
    </row>
    <row r="10035" spans="9:9" x14ac:dyDescent="0.25">
      <c r="I10035" s="227" t="str">
        <f>MID(excPisCofins[[#This Row],[CodBarras2]],2,50)</f>
        <v/>
      </c>
    </row>
    <row r="10036" spans="9:9" x14ac:dyDescent="0.25">
      <c r="I10036" s="227" t="str">
        <f>MID(excPisCofins[[#This Row],[CodBarras2]],2,50)</f>
        <v/>
      </c>
    </row>
    <row r="10037" spans="9:9" x14ac:dyDescent="0.25">
      <c r="I10037" s="227" t="str">
        <f>MID(excPisCofins[[#This Row],[CodBarras2]],2,50)</f>
        <v/>
      </c>
    </row>
    <row r="10038" spans="9:9" x14ac:dyDescent="0.25">
      <c r="I10038" s="227" t="str">
        <f>MID(excPisCofins[[#This Row],[CodBarras2]],2,50)</f>
        <v/>
      </c>
    </row>
    <row r="10039" spans="9:9" x14ac:dyDescent="0.25">
      <c r="I10039" s="227" t="str">
        <f>MID(excPisCofins[[#This Row],[CodBarras2]],2,50)</f>
        <v/>
      </c>
    </row>
    <row r="10040" spans="9:9" x14ac:dyDescent="0.25">
      <c r="I10040" s="227" t="str">
        <f>MID(excPisCofins[[#This Row],[CodBarras2]],2,50)</f>
        <v/>
      </c>
    </row>
    <row r="10041" spans="9:9" x14ac:dyDescent="0.25">
      <c r="I10041" s="227" t="str">
        <f>MID(excPisCofins[[#This Row],[CodBarras2]],2,50)</f>
        <v/>
      </c>
    </row>
    <row r="10042" spans="9:9" x14ac:dyDescent="0.25">
      <c r="I10042" s="227" t="str">
        <f>MID(excPisCofins[[#This Row],[CodBarras2]],2,50)</f>
        <v/>
      </c>
    </row>
    <row r="10043" spans="9:9" x14ac:dyDescent="0.25">
      <c r="I10043" s="227" t="str">
        <f>MID(excPisCofins[[#This Row],[CodBarras2]],2,50)</f>
        <v/>
      </c>
    </row>
    <row r="10044" spans="9:9" x14ac:dyDescent="0.25">
      <c r="I10044" s="227" t="str">
        <f>MID(excPisCofins[[#This Row],[CodBarras2]],2,50)</f>
        <v/>
      </c>
    </row>
    <row r="10045" spans="9:9" x14ac:dyDescent="0.25">
      <c r="I10045" s="227" t="str">
        <f>MID(excPisCofins[[#This Row],[CodBarras2]],2,50)</f>
        <v/>
      </c>
    </row>
    <row r="10046" spans="9:9" x14ac:dyDescent="0.25">
      <c r="I10046" s="227" t="str">
        <f>MID(excPisCofins[[#This Row],[CodBarras2]],2,50)</f>
        <v/>
      </c>
    </row>
    <row r="10047" spans="9:9" x14ac:dyDescent="0.25">
      <c r="I10047" s="227" t="str">
        <f>MID(excPisCofins[[#This Row],[CodBarras2]],2,50)</f>
        <v/>
      </c>
    </row>
    <row r="10048" spans="9:9" x14ac:dyDescent="0.25">
      <c r="I10048" s="227" t="str">
        <f>MID(excPisCofins[[#This Row],[CodBarras2]],2,50)</f>
        <v/>
      </c>
    </row>
    <row r="10049" spans="9:9" x14ac:dyDescent="0.25">
      <c r="I10049" s="227" t="str">
        <f>MID(excPisCofins[[#This Row],[CodBarras2]],2,50)</f>
        <v/>
      </c>
    </row>
    <row r="10050" spans="9:9" x14ac:dyDescent="0.25">
      <c r="I10050" s="227" t="str">
        <f>MID(excPisCofins[[#This Row],[CodBarras2]],2,50)</f>
        <v/>
      </c>
    </row>
    <row r="10051" spans="9:9" x14ac:dyDescent="0.25">
      <c r="I10051" s="227" t="str">
        <f>MID(excPisCofins[[#This Row],[CodBarras2]],2,50)</f>
        <v/>
      </c>
    </row>
    <row r="10052" spans="9:9" x14ac:dyDescent="0.25">
      <c r="I10052" s="227" t="str">
        <f>MID(excPisCofins[[#This Row],[CodBarras2]],2,50)</f>
        <v/>
      </c>
    </row>
    <row r="10053" spans="9:9" x14ac:dyDescent="0.25">
      <c r="I10053" s="227" t="str">
        <f>MID(excPisCofins[[#This Row],[CodBarras2]],2,50)</f>
        <v/>
      </c>
    </row>
    <row r="10054" spans="9:9" x14ac:dyDescent="0.25">
      <c r="I10054" s="227" t="str">
        <f>MID(excPisCofins[[#This Row],[CodBarras2]],2,50)</f>
        <v/>
      </c>
    </row>
    <row r="10055" spans="9:9" x14ac:dyDescent="0.25">
      <c r="I10055" s="227" t="str">
        <f>MID(excPisCofins[[#This Row],[CodBarras2]],2,50)</f>
        <v/>
      </c>
    </row>
    <row r="10056" spans="9:9" x14ac:dyDescent="0.25">
      <c r="I10056" s="227" t="str">
        <f>MID(excPisCofins[[#This Row],[CodBarras2]],2,50)</f>
        <v/>
      </c>
    </row>
    <row r="10057" spans="9:9" x14ac:dyDescent="0.25">
      <c r="I10057" s="227" t="str">
        <f>MID(excPisCofins[[#This Row],[CodBarras2]],2,50)</f>
        <v/>
      </c>
    </row>
    <row r="10058" spans="9:9" x14ac:dyDescent="0.25">
      <c r="I10058" s="227" t="str">
        <f>MID(excPisCofins[[#This Row],[CodBarras2]],2,50)</f>
        <v/>
      </c>
    </row>
    <row r="10059" spans="9:9" x14ac:dyDescent="0.25">
      <c r="I10059" s="227" t="str">
        <f>MID(excPisCofins[[#This Row],[CodBarras2]],2,50)</f>
        <v/>
      </c>
    </row>
    <row r="10060" spans="9:9" x14ac:dyDescent="0.25">
      <c r="I10060" s="227" t="str">
        <f>MID(excPisCofins[[#This Row],[CodBarras2]],2,50)</f>
        <v/>
      </c>
    </row>
    <row r="10061" spans="9:9" x14ac:dyDescent="0.25">
      <c r="I10061" s="227" t="str">
        <f>MID(excPisCofins[[#This Row],[CodBarras2]],2,50)</f>
        <v/>
      </c>
    </row>
    <row r="10062" spans="9:9" x14ac:dyDescent="0.25">
      <c r="I10062" s="227" t="str">
        <f>MID(excPisCofins[[#This Row],[CodBarras2]],2,50)</f>
        <v/>
      </c>
    </row>
    <row r="10063" spans="9:9" x14ac:dyDescent="0.25">
      <c r="I10063" s="227" t="str">
        <f>MID(excPisCofins[[#This Row],[CodBarras2]],2,50)</f>
        <v/>
      </c>
    </row>
    <row r="10064" spans="9:9" x14ac:dyDescent="0.25">
      <c r="I10064" s="227" t="str">
        <f>MID(excPisCofins[[#This Row],[CodBarras2]],2,50)</f>
        <v/>
      </c>
    </row>
    <row r="10065" spans="9:9" x14ac:dyDescent="0.25">
      <c r="I10065" s="227" t="str">
        <f>MID(excPisCofins[[#This Row],[CodBarras2]],2,50)</f>
        <v/>
      </c>
    </row>
    <row r="10066" spans="9:9" x14ac:dyDescent="0.25">
      <c r="I10066" s="227" t="str">
        <f>MID(excPisCofins[[#This Row],[CodBarras2]],2,50)</f>
        <v/>
      </c>
    </row>
    <row r="10067" spans="9:9" x14ac:dyDescent="0.25">
      <c r="I10067" s="227" t="str">
        <f>MID(excPisCofins[[#This Row],[CodBarras2]],2,50)</f>
        <v/>
      </c>
    </row>
    <row r="10068" spans="9:9" x14ac:dyDescent="0.25">
      <c r="I10068" s="227" t="str">
        <f>MID(excPisCofins[[#This Row],[CodBarras2]],2,50)</f>
        <v/>
      </c>
    </row>
    <row r="10069" spans="9:9" x14ac:dyDescent="0.25">
      <c r="I10069" s="227" t="str">
        <f>MID(excPisCofins[[#This Row],[CodBarras2]],2,50)</f>
        <v/>
      </c>
    </row>
    <row r="10070" spans="9:9" x14ac:dyDescent="0.25">
      <c r="I10070" s="227" t="str">
        <f>MID(excPisCofins[[#This Row],[CodBarras2]],2,50)</f>
        <v/>
      </c>
    </row>
    <row r="10071" spans="9:9" x14ac:dyDescent="0.25">
      <c r="I10071" s="227" t="str">
        <f>MID(excPisCofins[[#This Row],[CodBarras2]],2,50)</f>
        <v/>
      </c>
    </row>
    <row r="10072" spans="9:9" x14ac:dyDescent="0.25">
      <c r="I10072" s="227" t="str">
        <f>MID(excPisCofins[[#This Row],[CodBarras2]],2,50)</f>
        <v/>
      </c>
    </row>
    <row r="10073" spans="9:9" x14ac:dyDescent="0.25">
      <c r="I10073" s="227" t="str">
        <f>MID(excPisCofins[[#This Row],[CodBarras2]],2,50)</f>
        <v/>
      </c>
    </row>
    <row r="10074" spans="9:9" x14ac:dyDescent="0.25">
      <c r="I10074" s="227" t="str">
        <f>MID(excPisCofins[[#This Row],[CodBarras2]],2,50)</f>
        <v/>
      </c>
    </row>
    <row r="10075" spans="9:9" x14ac:dyDescent="0.25">
      <c r="I10075" s="227" t="str">
        <f>MID(excPisCofins[[#This Row],[CodBarras2]],2,50)</f>
        <v/>
      </c>
    </row>
    <row r="10076" spans="9:9" x14ac:dyDescent="0.25">
      <c r="I10076" s="227" t="str">
        <f>MID(excPisCofins[[#This Row],[CodBarras2]],2,50)</f>
        <v/>
      </c>
    </row>
    <row r="10077" spans="9:9" x14ac:dyDescent="0.25">
      <c r="I10077" s="227" t="str">
        <f>MID(excPisCofins[[#This Row],[CodBarras2]],2,50)</f>
        <v/>
      </c>
    </row>
    <row r="10078" spans="9:9" x14ac:dyDescent="0.25">
      <c r="I10078" s="227" t="str">
        <f>MID(excPisCofins[[#This Row],[CodBarras2]],2,50)</f>
        <v/>
      </c>
    </row>
    <row r="10079" spans="9:9" x14ac:dyDescent="0.25">
      <c r="I10079" s="227" t="str">
        <f>MID(excPisCofins[[#This Row],[CodBarras2]],2,50)</f>
        <v/>
      </c>
    </row>
    <row r="10080" spans="9:9" x14ac:dyDescent="0.25">
      <c r="I10080" s="227" t="str">
        <f>MID(excPisCofins[[#This Row],[CodBarras2]],2,50)</f>
        <v/>
      </c>
    </row>
    <row r="10081" spans="9:9" x14ac:dyDescent="0.25">
      <c r="I10081" s="227" t="str">
        <f>MID(excPisCofins[[#This Row],[CodBarras2]],2,50)</f>
        <v/>
      </c>
    </row>
    <row r="10082" spans="9:9" x14ac:dyDescent="0.25">
      <c r="I10082" s="227" t="str">
        <f>MID(excPisCofins[[#This Row],[CodBarras2]],2,50)</f>
        <v/>
      </c>
    </row>
    <row r="10083" spans="9:9" x14ac:dyDescent="0.25">
      <c r="I10083" s="227" t="str">
        <f>MID(excPisCofins[[#This Row],[CodBarras2]],2,50)</f>
        <v/>
      </c>
    </row>
    <row r="10084" spans="9:9" x14ac:dyDescent="0.25">
      <c r="I10084" s="227" t="str">
        <f>MID(excPisCofins[[#This Row],[CodBarras2]],2,50)</f>
        <v/>
      </c>
    </row>
    <row r="10085" spans="9:9" x14ac:dyDescent="0.25">
      <c r="I10085" s="227" t="str">
        <f>MID(excPisCofins[[#This Row],[CodBarras2]],2,50)</f>
        <v/>
      </c>
    </row>
    <row r="10086" spans="9:9" x14ac:dyDescent="0.25">
      <c r="I10086" s="227" t="str">
        <f>MID(excPisCofins[[#This Row],[CodBarras2]],2,50)</f>
        <v/>
      </c>
    </row>
    <row r="10087" spans="9:9" x14ac:dyDescent="0.25">
      <c r="I10087" s="227" t="str">
        <f>MID(excPisCofins[[#This Row],[CodBarras2]],2,50)</f>
        <v/>
      </c>
    </row>
    <row r="10088" spans="9:9" x14ac:dyDescent="0.25">
      <c r="I10088" s="227" t="str">
        <f>MID(excPisCofins[[#This Row],[CodBarras2]],2,50)</f>
        <v/>
      </c>
    </row>
    <row r="10089" spans="9:9" x14ac:dyDescent="0.25">
      <c r="I10089" s="227" t="str">
        <f>MID(excPisCofins[[#This Row],[CodBarras2]],2,50)</f>
        <v/>
      </c>
    </row>
    <row r="10090" spans="9:9" x14ac:dyDescent="0.25">
      <c r="I10090" s="227" t="str">
        <f>MID(excPisCofins[[#This Row],[CodBarras2]],2,50)</f>
        <v/>
      </c>
    </row>
    <row r="10091" spans="9:9" x14ac:dyDescent="0.25">
      <c r="I10091" s="227" t="str">
        <f>MID(excPisCofins[[#This Row],[CodBarras2]],2,50)</f>
        <v/>
      </c>
    </row>
    <row r="10092" spans="9:9" x14ac:dyDescent="0.25">
      <c r="I10092" s="227" t="str">
        <f>MID(excPisCofins[[#This Row],[CodBarras2]],2,50)</f>
        <v/>
      </c>
    </row>
    <row r="10093" spans="9:9" x14ac:dyDescent="0.25">
      <c r="I10093" s="227" t="str">
        <f>MID(excPisCofins[[#This Row],[CodBarras2]],2,50)</f>
        <v/>
      </c>
    </row>
    <row r="10094" spans="9:9" x14ac:dyDescent="0.25">
      <c r="I10094" s="227" t="str">
        <f>MID(excPisCofins[[#This Row],[CodBarras2]],2,50)</f>
        <v/>
      </c>
    </row>
    <row r="10095" spans="9:9" x14ac:dyDescent="0.25">
      <c r="I10095" s="227" t="str">
        <f>MID(excPisCofins[[#This Row],[CodBarras2]],2,50)</f>
        <v/>
      </c>
    </row>
    <row r="10096" spans="9:9" x14ac:dyDescent="0.25">
      <c r="I10096" s="227" t="str">
        <f>MID(excPisCofins[[#This Row],[CodBarras2]],2,50)</f>
        <v/>
      </c>
    </row>
    <row r="10097" spans="9:9" x14ac:dyDescent="0.25">
      <c r="I10097" s="227" t="str">
        <f>MID(excPisCofins[[#This Row],[CodBarras2]],2,50)</f>
        <v/>
      </c>
    </row>
    <row r="10098" spans="9:9" x14ac:dyDescent="0.25">
      <c r="I10098" s="227" t="str">
        <f>MID(excPisCofins[[#This Row],[CodBarras2]],2,50)</f>
        <v/>
      </c>
    </row>
    <row r="10099" spans="9:9" x14ac:dyDescent="0.25">
      <c r="I10099" s="227" t="str">
        <f>MID(excPisCofins[[#This Row],[CodBarras2]],2,50)</f>
        <v/>
      </c>
    </row>
    <row r="10100" spans="9:9" x14ac:dyDescent="0.25">
      <c r="I10100" s="227" t="str">
        <f>MID(excPisCofins[[#This Row],[CodBarras2]],2,50)</f>
        <v/>
      </c>
    </row>
    <row r="10101" spans="9:9" x14ac:dyDescent="0.25">
      <c r="I10101" s="227" t="str">
        <f>MID(excPisCofins[[#This Row],[CodBarras2]],2,50)</f>
        <v/>
      </c>
    </row>
    <row r="10102" spans="9:9" x14ac:dyDescent="0.25">
      <c r="I10102" s="227" t="str">
        <f>MID(excPisCofins[[#This Row],[CodBarras2]],2,50)</f>
        <v/>
      </c>
    </row>
    <row r="10103" spans="9:9" x14ac:dyDescent="0.25">
      <c r="I10103" s="227" t="str">
        <f>MID(excPisCofins[[#This Row],[CodBarras2]],2,50)</f>
        <v/>
      </c>
    </row>
    <row r="10104" spans="9:9" x14ac:dyDescent="0.25">
      <c r="I10104" s="227" t="str">
        <f>MID(excPisCofins[[#This Row],[CodBarras2]],2,50)</f>
        <v/>
      </c>
    </row>
    <row r="10105" spans="9:9" x14ac:dyDescent="0.25">
      <c r="I10105" s="227" t="str">
        <f>MID(excPisCofins[[#This Row],[CodBarras2]],2,50)</f>
        <v/>
      </c>
    </row>
    <row r="10106" spans="9:9" x14ac:dyDescent="0.25">
      <c r="I10106" s="227" t="str">
        <f>MID(excPisCofins[[#This Row],[CodBarras2]],2,50)</f>
        <v/>
      </c>
    </row>
    <row r="10107" spans="9:9" x14ac:dyDescent="0.25">
      <c r="I10107" s="227" t="str">
        <f>MID(excPisCofins[[#This Row],[CodBarras2]],2,50)</f>
        <v/>
      </c>
    </row>
    <row r="10108" spans="9:9" x14ac:dyDescent="0.25">
      <c r="I10108" s="227" t="str">
        <f>MID(excPisCofins[[#This Row],[CodBarras2]],2,50)</f>
        <v/>
      </c>
    </row>
    <row r="10109" spans="9:9" x14ac:dyDescent="0.25">
      <c r="I10109" s="227" t="str">
        <f>MID(excPisCofins[[#This Row],[CodBarras2]],2,50)</f>
        <v/>
      </c>
    </row>
    <row r="10110" spans="9:9" x14ac:dyDescent="0.25">
      <c r="I10110" s="227" t="str">
        <f>MID(excPisCofins[[#This Row],[CodBarras2]],2,50)</f>
        <v/>
      </c>
    </row>
    <row r="10111" spans="9:9" x14ac:dyDescent="0.25">
      <c r="I10111" s="227" t="str">
        <f>MID(excPisCofins[[#This Row],[CodBarras2]],2,50)</f>
        <v/>
      </c>
    </row>
    <row r="10112" spans="9:9" x14ac:dyDescent="0.25">
      <c r="I10112" s="227" t="str">
        <f>MID(excPisCofins[[#This Row],[CodBarras2]],2,50)</f>
        <v/>
      </c>
    </row>
    <row r="10113" spans="9:9" x14ac:dyDescent="0.25">
      <c r="I10113" s="227" t="str">
        <f>MID(excPisCofins[[#This Row],[CodBarras2]],2,50)</f>
        <v/>
      </c>
    </row>
    <row r="10114" spans="9:9" x14ac:dyDescent="0.25">
      <c r="I10114" s="227" t="str">
        <f>MID(excPisCofins[[#This Row],[CodBarras2]],2,50)</f>
        <v/>
      </c>
    </row>
    <row r="10115" spans="9:9" x14ac:dyDescent="0.25">
      <c r="I10115" s="227" t="str">
        <f>MID(excPisCofins[[#This Row],[CodBarras2]],2,50)</f>
        <v/>
      </c>
    </row>
    <row r="10116" spans="9:9" x14ac:dyDescent="0.25">
      <c r="I10116" s="227" t="str">
        <f>MID(excPisCofins[[#This Row],[CodBarras2]],2,50)</f>
        <v/>
      </c>
    </row>
    <row r="10117" spans="9:9" x14ac:dyDescent="0.25">
      <c r="I10117" s="227" t="str">
        <f>MID(excPisCofins[[#This Row],[CodBarras2]],2,50)</f>
        <v/>
      </c>
    </row>
    <row r="10118" spans="9:9" x14ac:dyDescent="0.25">
      <c r="I10118" s="227" t="str">
        <f>MID(excPisCofins[[#This Row],[CodBarras2]],2,50)</f>
        <v/>
      </c>
    </row>
    <row r="10119" spans="9:9" x14ac:dyDescent="0.25">
      <c r="I10119" s="227" t="str">
        <f>MID(excPisCofins[[#This Row],[CodBarras2]],2,50)</f>
        <v/>
      </c>
    </row>
    <row r="10120" spans="9:9" x14ac:dyDescent="0.25">
      <c r="I10120" s="227" t="str">
        <f>MID(excPisCofins[[#This Row],[CodBarras2]],2,50)</f>
        <v/>
      </c>
    </row>
    <row r="10121" spans="9:9" x14ac:dyDescent="0.25">
      <c r="I10121" s="227" t="str">
        <f>MID(excPisCofins[[#This Row],[CodBarras2]],2,50)</f>
        <v/>
      </c>
    </row>
    <row r="10122" spans="9:9" x14ac:dyDescent="0.25">
      <c r="I10122" s="227" t="str">
        <f>MID(excPisCofins[[#This Row],[CodBarras2]],2,50)</f>
        <v/>
      </c>
    </row>
    <row r="10123" spans="9:9" x14ac:dyDescent="0.25">
      <c r="I10123" s="227" t="str">
        <f>MID(excPisCofins[[#This Row],[CodBarras2]],2,50)</f>
        <v/>
      </c>
    </row>
    <row r="10124" spans="9:9" x14ac:dyDescent="0.25">
      <c r="I10124" s="227" t="str">
        <f>MID(excPisCofins[[#This Row],[CodBarras2]],2,50)</f>
        <v/>
      </c>
    </row>
    <row r="10125" spans="9:9" x14ac:dyDescent="0.25">
      <c r="I10125" s="227" t="str">
        <f>MID(excPisCofins[[#This Row],[CodBarras2]],2,50)</f>
        <v/>
      </c>
    </row>
    <row r="10126" spans="9:9" x14ac:dyDescent="0.25">
      <c r="I10126" s="227" t="str">
        <f>MID(excPisCofins[[#This Row],[CodBarras2]],2,50)</f>
        <v/>
      </c>
    </row>
    <row r="10127" spans="9:9" x14ac:dyDescent="0.25">
      <c r="I10127" s="227" t="str">
        <f>MID(excPisCofins[[#This Row],[CodBarras2]],2,50)</f>
        <v/>
      </c>
    </row>
    <row r="10128" spans="9:9" x14ac:dyDescent="0.25">
      <c r="I10128" s="227" t="str">
        <f>MID(excPisCofins[[#This Row],[CodBarras2]],2,50)</f>
        <v/>
      </c>
    </row>
    <row r="10129" spans="9:9" x14ac:dyDescent="0.25">
      <c r="I10129" s="227" t="str">
        <f>MID(excPisCofins[[#This Row],[CodBarras2]],2,50)</f>
        <v/>
      </c>
    </row>
    <row r="10130" spans="9:9" x14ac:dyDescent="0.25">
      <c r="I10130" s="227" t="str">
        <f>MID(excPisCofins[[#This Row],[CodBarras2]],2,50)</f>
        <v/>
      </c>
    </row>
    <row r="10131" spans="9:9" x14ac:dyDescent="0.25">
      <c r="I10131" s="227" t="str">
        <f>MID(excPisCofins[[#This Row],[CodBarras2]],2,50)</f>
        <v/>
      </c>
    </row>
    <row r="10132" spans="9:9" x14ac:dyDescent="0.25">
      <c r="I10132" s="227" t="str">
        <f>MID(excPisCofins[[#This Row],[CodBarras2]],2,50)</f>
        <v/>
      </c>
    </row>
    <row r="10133" spans="9:9" x14ac:dyDescent="0.25">
      <c r="I10133" s="227" t="str">
        <f>MID(excPisCofins[[#This Row],[CodBarras2]],2,50)</f>
        <v/>
      </c>
    </row>
    <row r="10134" spans="9:9" x14ac:dyDescent="0.25">
      <c r="I10134" s="227" t="str">
        <f>MID(excPisCofins[[#This Row],[CodBarras2]],2,50)</f>
        <v/>
      </c>
    </row>
    <row r="10135" spans="9:9" x14ac:dyDescent="0.25">
      <c r="I10135" s="227" t="str">
        <f>MID(excPisCofins[[#This Row],[CodBarras2]],2,50)</f>
        <v/>
      </c>
    </row>
    <row r="10136" spans="9:9" x14ac:dyDescent="0.25">
      <c r="I10136" s="227" t="str">
        <f>MID(excPisCofins[[#This Row],[CodBarras2]],2,50)</f>
        <v/>
      </c>
    </row>
    <row r="10137" spans="9:9" x14ac:dyDescent="0.25">
      <c r="I10137" s="227" t="str">
        <f>MID(excPisCofins[[#This Row],[CodBarras2]],2,50)</f>
        <v/>
      </c>
    </row>
    <row r="10138" spans="9:9" x14ac:dyDescent="0.25">
      <c r="I10138" s="227" t="str">
        <f>MID(excPisCofins[[#This Row],[CodBarras2]],2,50)</f>
        <v/>
      </c>
    </row>
    <row r="10139" spans="9:9" x14ac:dyDescent="0.25">
      <c r="I10139" s="227" t="str">
        <f>MID(excPisCofins[[#This Row],[CodBarras2]],2,50)</f>
        <v/>
      </c>
    </row>
    <row r="10140" spans="9:9" x14ac:dyDescent="0.25">
      <c r="I10140" s="227" t="str">
        <f>MID(excPisCofins[[#This Row],[CodBarras2]],2,50)</f>
        <v/>
      </c>
    </row>
    <row r="10141" spans="9:9" x14ac:dyDescent="0.25">
      <c r="I10141" s="227" t="str">
        <f>MID(excPisCofins[[#This Row],[CodBarras2]],2,50)</f>
        <v/>
      </c>
    </row>
    <row r="10142" spans="9:9" x14ac:dyDescent="0.25">
      <c r="I10142" s="227" t="str">
        <f>MID(excPisCofins[[#This Row],[CodBarras2]],2,50)</f>
        <v/>
      </c>
    </row>
    <row r="10143" spans="9:9" x14ac:dyDescent="0.25">
      <c r="I10143" s="227" t="str">
        <f>MID(excPisCofins[[#This Row],[CodBarras2]],2,50)</f>
        <v/>
      </c>
    </row>
    <row r="10144" spans="9:9" x14ac:dyDescent="0.25">
      <c r="I10144" s="227" t="str">
        <f>MID(excPisCofins[[#This Row],[CodBarras2]],2,50)</f>
        <v/>
      </c>
    </row>
    <row r="10145" spans="9:9" x14ac:dyDescent="0.25">
      <c r="I10145" s="227" t="str">
        <f>MID(excPisCofins[[#This Row],[CodBarras2]],2,50)</f>
        <v/>
      </c>
    </row>
    <row r="10146" spans="9:9" x14ac:dyDescent="0.25">
      <c r="I10146" s="227" t="str">
        <f>MID(excPisCofins[[#This Row],[CodBarras2]],2,50)</f>
        <v/>
      </c>
    </row>
    <row r="10147" spans="9:9" x14ac:dyDescent="0.25">
      <c r="I10147" s="227" t="str">
        <f>MID(excPisCofins[[#This Row],[CodBarras2]],2,50)</f>
        <v/>
      </c>
    </row>
    <row r="10148" spans="9:9" x14ac:dyDescent="0.25">
      <c r="I10148" s="227" t="str">
        <f>MID(excPisCofins[[#This Row],[CodBarras2]],2,50)</f>
        <v/>
      </c>
    </row>
    <row r="10149" spans="9:9" x14ac:dyDescent="0.25">
      <c r="I10149" s="227" t="str">
        <f>MID(excPisCofins[[#This Row],[CodBarras2]],2,50)</f>
        <v/>
      </c>
    </row>
    <row r="10150" spans="9:9" x14ac:dyDescent="0.25">
      <c r="I10150" s="227" t="str">
        <f>MID(excPisCofins[[#This Row],[CodBarras2]],2,50)</f>
        <v/>
      </c>
    </row>
    <row r="10151" spans="9:9" x14ac:dyDescent="0.25">
      <c r="I10151" s="227" t="str">
        <f>MID(excPisCofins[[#This Row],[CodBarras2]],2,50)</f>
        <v/>
      </c>
    </row>
    <row r="10152" spans="9:9" x14ac:dyDescent="0.25">
      <c r="I10152" s="227" t="str">
        <f>MID(excPisCofins[[#This Row],[CodBarras2]],2,50)</f>
        <v/>
      </c>
    </row>
    <row r="10153" spans="9:9" x14ac:dyDescent="0.25">
      <c r="I10153" s="227" t="str">
        <f>MID(excPisCofins[[#This Row],[CodBarras2]],2,50)</f>
        <v/>
      </c>
    </row>
    <row r="10154" spans="9:9" x14ac:dyDescent="0.25">
      <c r="I10154" s="227" t="str">
        <f>MID(excPisCofins[[#This Row],[CodBarras2]],2,50)</f>
        <v/>
      </c>
    </row>
    <row r="10155" spans="9:9" x14ac:dyDescent="0.25">
      <c r="I10155" s="227" t="str">
        <f>MID(excPisCofins[[#This Row],[CodBarras2]],2,50)</f>
        <v/>
      </c>
    </row>
    <row r="10156" spans="9:9" x14ac:dyDescent="0.25">
      <c r="I10156" s="227" t="str">
        <f>MID(excPisCofins[[#This Row],[CodBarras2]],2,50)</f>
        <v/>
      </c>
    </row>
    <row r="10157" spans="9:9" x14ac:dyDescent="0.25">
      <c r="I10157" s="227" t="str">
        <f>MID(excPisCofins[[#This Row],[CodBarras2]],2,50)</f>
        <v/>
      </c>
    </row>
    <row r="10158" spans="9:9" x14ac:dyDescent="0.25">
      <c r="I10158" s="227" t="str">
        <f>MID(excPisCofins[[#This Row],[CodBarras2]],2,50)</f>
        <v/>
      </c>
    </row>
    <row r="10159" spans="9:9" x14ac:dyDescent="0.25">
      <c r="I10159" s="227" t="str">
        <f>MID(excPisCofins[[#This Row],[CodBarras2]],2,50)</f>
        <v/>
      </c>
    </row>
    <row r="10160" spans="9:9" x14ac:dyDescent="0.25">
      <c r="I10160" s="227" t="str">
        <f>MID(excPisCofins[[#This Row],[CodBarras2]],2,50)</f>
        <v/>
      </c>
    </row>
    <row r="10161" spans="9:9" x14ac:dyDescent="0.25">
      <c r="I10161" s="227" t="str">
        <f>MID(excPisCofins[[#This Row],[CodBarras2]],2,50)</f>
        <v/>
      </c>
    </row>
    <row r="10162" spans="9:9" x14ac:dyDescent="0.25">
      <c r="I10162" s="227" t="str">
        <f>MID(excPisCofins[[#This Row],[CodBarras2]],2,50)</f>
        <v/>
      </c>
    </row>
    <row r="10163" spans="9:9" x14ac:dyDescent="0.25">
      <c r="I10163" s="227" t="str">
        <f>MID(excPisCofins[[#This Row],[CodBarras2]],2,50)</f>
        <v/>
      </c>
    </row>
    <row r="10164" spans="9:9" x14ac:dyDescent="0.25">
      <c r="I10164" s="227" t="str">
        <f>MID(excPisCofins[[#This Row],[CodBarras2]],2,50)</f>
        <v/>
      </c>
    </row>
    <row r="10165" spans="9:9" x14ac:dyDescent="0.25">
      <c r="I10165" s="227" t="str">
        <f>MID(excPisCofins[[#This Row],[CodBarras2]],2,50)</f>
        <v/>
      </c>
    </row>
    <row r="10166" spans="9:9" x14ac:dyDescent="0.25">
      <c r="I10166" s="227" t="str">
        <f>MID(excPisCofins[[#This Row],[CodBarras2]],2,50)</f>
        <v/>
      </c>
    </row>
    <row r="10167" spans="9:9" x14ac:dyDescent="0.25">
      <c r="I10167" s="227" t="str">
        <f>MID(excPisCofins[[#This Row],[CodBarras2]],2,50)</f>
        <v/>
      </c>
    </row>
    <row r="10168" spans="9:9" x14ac:dyDescent="0.25">
      <c r="I10168" s="227" t="str">
        <f>MID(excPisCofins[[#This Row],[CodBarras2]],2,50)</f>
        <v/>
      </c>
    </row>
    <row r="10169" spans="9:9" x14ac:dyDescent="0.25">
      <c r="I10169" s="227" t="str">
        <f>MID(excPisCofins[[#This Row],[CodBarras2]],2,50)</f>
        <v/>
      </c>
    </row>
    <row r="10170" spans="9:9" x14ac:dyDescent="0.25">
      <c r="I10170" s="227" t="str">
        <f>MID(excPisCofins[[#This Row],[CodBarras2]],2,50)</f>
        <v/>
      </c>
    </row>
    <row r="10171" spans="9:9" x14ac:dyDescent="0.25">
      <c r="I10171" s="227" t="str">
        <f>MID(excPisCofins[[#This Row],[CodBarras2]],2,50)</f>
        <v/>
      </c>
    </row>
    <row r="10172" spans="9:9" x14ac:dyDescent="0.25">
      <c r="I10172" s="227" t="str">
        <f>MID(excPisCofins[[#This Row],[CodBarras2]],2,50)</f>
        <v/>
      </c>
    </row>
    <row r="10173" spans="9:9" x14ac:dyDescent="0.25">
      <c r="I10173" s="227" t="str">
        <f>MID(excPisCofins[[#This Row],[CodBarras2]],2,50)</f>
        <v/>
      </c>
    </row>
    <row r="10174" spans="9:9" x14ac:dyDescent="0.25">
      <c r="I10174" s="227" t="str">
        <f>MID(excPisCofins[[#This Row],[CodBarras2]],2,50)</f>
        <v/>
      </c>
    </row>
    <row r="10175" spans="9:9" x14ac:dyDescent="0.25">
      <c r="I10175" s="227" t="str">
        <f>MID(excPisCofins[[#This Row],[CodBarras2]],2,50)</f>
        <v/>
      </c>
    </row>
    <row r="10176" spans="9:9" x14ac:dyDescent="0.25">
      <c r="I10176" s="227" t="str">
        <f>MID(excPisCofins[[#This Row],[CodBarras2]],2,50)</f>
        <v/>
      </c>
    </row>
    <row r="10177" spans="9:9" x14ac:dyDescent="0.25">
      <c r="I10177" s="227" t="str">
        <f>MID(excPisCofins[[#This Row],[CodBarras2]],2,50)</f>
        <v/>
      </c>
    </row>
    <row r="10178" spans="9:9" x14ac:dyDescent="0.25">
      <c r="I10178" s="227" t="str">
        <f>MID(excPisCofins[[#This Row],[CodBarras2]],2,50)</f>
        <v/>
      </c>
    </row>
    <row r="10179" spans="9:9" x14ac:dyDescent="0.25">
      <c r="I10179" s="227" t="str">
        <f>MID(excPisCofins[[#This Row],[CodBarras2]],2,50)</f>
        <v/>
      </c>
    </row>
    <row r="10180" spans="9:9" x14ac:dyDescent="0.25">
      <c r="I10180" s="227" t="str">
        <f>MID(excPisCofins[[#This Row],[CodBarras2]],2,50)</f>
        <v/>
      </c>
    </row>
    <row r="10181" spans="9:9" x14ac:dyDescent="0.25">
      <c r="I10181" s="227" t="str">
        <f>MID(excPisCofins[[#This Row],[CodBarras2]],2,50)</f>
        <v/>
      </c>
    </row>
    <row r="10182" spans="9:9" x14ac:dyDescent="0.25">
      <c r="I10182" s="227" t="str">
        <f>MID(excPisCofins[[#This Row],[CodBarras2]],2,50)</f>
        <v/>
      </c>
    </row>
    <row r="10183" spans="9:9" x14ac:dyDescent="0.25">
      <c r="I10183" s="227" t="str">
        <f>MID(excPisCofins[[#This Row],[CodBarras2]],2,50)</f>
        <v/>
      </c>
    </row>
    <row r="10184" spans="9:9" x14ac:dyDescent="0.25">
      <c r="I10184" s="227" t="str">
        <f>MID(excPisCofins[[#This Row],[CodBarras2]],2,50)</f>
        <v/>
      </c>
    </row>
    <row r="10185" spans="9:9" x14ac:dyDescent="0.25">
      <c r="I10185" s="227" t="str">
        <f>MID(excPisCofins[[#This Row],[CodBarras2]],2,50)</f>
        <v/>
      </c>
    </row>
    <row r="10186" spans="9:9" x14ac:dyDescent="0.25">
      <c r="I10186" s="227" t="str">
        <f>MID(excPisCofins[[#This Row],[CodBarras2]],2,50)</f>
        <v/>
      </c>
    </row>
    <row r="10187" spans="9:9" x14ac:dyDescent="0.25">
      <c r="I10187" s="227" t="str">
        <f>MID(excPisCofins[[#This Row],[CodBarras2]],2,50)</f>
        <v/>
      </c>
    </row>
    <row r="10188" spans="9:9" x14ac:dyDescent="0.25">
      <c r="I10188" s="227" t="str">
        <f>MID(excPisCofins[[#This Row],[CodBarras2]],2,50)</f>
        <v/>
      </c>
    </row>
    <row r="10189" spans="9:9" x14ac:dyDescent="0.25">
      <c r="I10189" s="227" t="str">
        <f>MID(excPisCofins[[#This Row],[CodBarras2]],2,50)</f>
        <v/>
      </c>
    </row>
    <row r="10190" spans="9:9" x14ac:dyDescent="0.25">
      <c r="I10190" s="227" t="str">
        <f>MID(excPisCofins[[#This Row],[CodBarras2]],2,50)</f>
        <v/>
      </c>
    </row>
    <row r="10191" spans="9:9" x14ac:dyDescent="0.25">
      <c r="I10191" s="227" t="str">
        <f>MID(excPisCofins[[#This Row],[CodBarras2]],2,50)</f>
        <v/>
      </c>
    </row>
    <row r="10192" spans="9:9" x14ac:dyDescent="0.25">
      <c r="I10192" s="227" t="str">
        <f>MID(excPisCofins[[#This Row],[CodBarras2]],2,50)</f>
        <v/>
      </c>
    </row>
    <row r="10193" spans="9:9" x14ac:dyDescent="0.25">
      <c r="I10193" s="227" t="str">
        <f>MID(excPisCofins[[#This Row],[CodBarras2]],2,50)</f>
        <v/>
      </c>
    </row>
    <row r="10194" spans="9:9" x14ac:dyDescent="0.25">
      <c r="I10194" s="227" t="str">
        <f>MID(excPisCofins[[#This Row],[CodBarras2]],2,50)</f>
        <v/>
      </c>
    </row>
    <row r="10195" spans="9:9" x14ac:dyDescent="0.25">
      <c r="I10195" s="227" t="str">
        <f>MID(excPisCofins[[#This Row],[CodBarras2]],2,50)</f>
        <v/>
      </c>
    </row>
    <row r="10196" spans="9:9" x14ac:dyDescent="0.25">
      <c r="I10196" s="227" t="str">
        <f>MID(excPisCofins[[#This Row],[CodBarras2]],2,50)</f>
        <v/>
      </c>
    </row>
    <row r="10197" spans="9:9" x14ac:dyDescent="0.25">
      <c r="I10197" s="227" t="str">
        <f>MID(excPisCofins[[#This Row],[CodBarras2]],2,50)</f>
        <v/>
      </c>
    </row>
    <row r="10198" spans="9:9" x14ac:dyDescent="0.25">
      <c r="I10198" s="227" t="str">
        <f>MID(excPisCofins[[#This Row],[CodBarras2]],2,50)</f>
        <v/>
      </c>
    </row>
    <row r="10199" spans="9:9" x14ac:dyDescent="0.25">
      <c r="I10199" s="227" t="str">
        <f>MID(excPisCofins[[#This Row],[CodBarras2]],2,50)</f>
        <v/>
      </c>
    </row>
    <row r="10200" spans="9:9" x14ac:dyDescent="0.25">
      <c r="I10200" s="227" t="str">
        <f>MID(excPisCofins[[#This Row],[CodBarras2]],2,50)</f>
        <v/>
      </c>
    </row>
    <row r="10201" spans="9:9" x14ac:dyDescent="0.25">
      <c r="I10201" s="227" t="str">
        <f>MID(excPisCofins[[#This Row],[CodBarras2]],2,50)</f>
        <v/>
      </c>
    </row>
    <row r="10202" spans="9:9" x14ac:dyDescent="0.25">
      <c r="I10202" s="227" t="str">
        <f>MID(excPisCofins[[#This Row],[CodBarras2]],2,50)</f>
        <v/>
      </c>
    </row>
    <row r="10203" spans="9:9" x14ac:dyDescent="0.25">
      <c r="I10203" s="227" t="str">
        <f>MID(excPisCofins[[#This Row],[CodBarras2]],2,50)</f>
        <v/>
      </c>
    </row>
    <row r="10204" spans="9:9" x14ac:dyDescent="0.25">
      <c r="I10204" s="227" t="str">
        <f>MID(excPisCofins[[#This Row],[CodBarras2]],2,50)</f>
        <v/>
      </c>
    </row>
    <row r="10205" spans="9:9" x14ac:dyDescent="0.25">
      <c r="I10205" s="227" t="str">
        <f>MID(excPisCofins[[#This Row],[CodBarras2]],2,50)</f>
        <v/>
      </c>
    </row>
    <row r="10206" spans="9:9" x14ac:dyDescent="0.25">
      <c r="I10206" s="227" t="str">
        <f>MID(excPisCofins[[#This Row],[CodBarras2]],2,50)</f>
        <v/>
      </c>
    </row>
    <row r="10207" spans="9:9" x14ac:dyDescent="0.25">
      <c r="I10207" s="227" t="str">
        <f>MID(excPisCofins[[#This Row],[CodBarras2]],2,50)</f>
        <v/>
      </c>
    </row>
    <row r="10208" spans="9:9" x14ac:dyDescent="0.25">
      <c r="I10208" s="227" t="str">
        <f>MID(excPisCofins[[#This Row],[CodBarras2]],2,50)</f>
        <v/>
      </c>
    </row>
    <row r="10209" spans="9:9" x14ac:dyDescent="0.25">
      <c r="I10209" s="227" t="str">
        <f>MID(excPisCofins[[#This Row],[CodBarras2]],2,50)</f>
        <v/>
      </c>
    </row>
    <row r="10210" spans="9:9" x14ac:dyDescent="0.25">
      <c r="I10210" s="227" t="str">
        <f>MID(excPisCofins[[#This Row],[CodBarras2]],2,50)</f>
        <v/>
      </c>
    </row>
    <row r="10211" spans="9:9" x14ac:dyDescent="0.25">
      <c r="I10211" s="227" t="str">
        <f>MID(excPisCofins[[#This Row],[CodBarras2]],2,50)</f>
        <v/>
      </c>
    </row>
    <row r="10212" spans="9:9" x14ac:dyDescent="0.25">
      <c r="I10212" s="227" t="str">
        <f>MID(excPisCofins[[#This Row],[CodBarras2]],2,50)</f>
        <v/>
      </c>
    </row>
    <row r="10213" spans="9:9" x14ac:dyDescent="0.25">
      <c r="I10213" s="227" t="str">
        <f>MID(excPisCofins[[#This Row],[CodBarras2]],2,50)</f>
        <v/>
      </c>
    </row>
    <row r="10214" spans="9:9" x14ac:dyDescent="0.25">
      <c r="I10214" s="227" t="str">
        <f>MID(excPisCofins[[#This Row],[CodBarras2]],2,50)</f>
        <v/>
      </c>
    </row>
    <row r="10215" spans="9:9" x14ac:dyDescent="0.25">
      <c r="I10215" s="227" t="str">
        <f>MID(excPisCofins[[#This Row],[CodBarras2]],2,50)</f>
        <v/>
      </c>
    </row>
    <row r="10216" spans="9:9" x14ac:dyDescent="0.25">
      <c r="I10216" s="227" t="str">
        <f>MID(excPisCofins[[#This Row],[CodBarras2]],2,50)</f>
        <v/>
      </c>
    </row>
    <row r="10217" spans="9:9" x14ac:dyDescent="0.25">
      <c r="I10217" s="227" t="str">
        <f>MID(excPisCofins[[#This Row],[CodBarras2]],2,50)</f>
        <v/>
      </c>
    </row>
    <row r="10218" spans="9:9" x14ac:dyDescent="0.25">
      <c r="I10218" s="227" t="str">
        <f>MID(excPisCofins[[#This Row],[CodBarras2]],2,50)</f>
        <v/>
      </c>
    </row>
    <row r="10219" spans="9:9" x14ac:dyDescent="0.25">
      <c r="I10219" s="227" t="str">
        <f>MID(excPisCofins[[#This Row],[CodBarras2]],2,50)</f>
        <v/>
      </c>
    </row>
    <row r="10220" spans="9:9" x14ac:dyDescent="0.25">
      <c r="I10220" s="227" t="str">
        <f>MID(excPisCofins[[#This Row],[CodBarras2]],2,50)</f>
        <v/>
      </c>
    </row>
    <row r="10221" spans="9:9" x14ac:dyDescent="0.25">
      <c r="I10221" s="227" t="str">
        <f>MID(excPisCofins[[#This Row],[CodBarras2]],2,50)</f>
        <v/>
      </c>
    </row>
    <row r="10222" spans="9:9" x14ac:dyDescent="0.25">
      <c r="I10222" s="227" t="str">
        <f>MID(excPisCofins[[#This Row],[CodBarras2]],2,50)</f>
        <v/>
      </c>
    </row>
    <row r="10223" spans="9:9" x14ac:dyDescent="0.25">
      <c r="I10223" s="227" t="str">
        <f>MID(excPisCofins[[#This Row],[CodBarras2]],2,50)</f>
        <v/>
      </c>
    </row>
    <row r="10224" spans="9:9" x14ac:dyDescent="0.25">
      <c r="I10224" s="227" t="str">
        <f>MID(excPisCofins[[#This Row],[CodBarras2]],2,50)</f>
        <v/>
      </c>
    </row>
    <row r="10225" spans="9:9" x14ac:dyDescent="0.25">
      <c r="I10225" s="227" t="str">
        <f>MID(excPisCofins[[#This Row],[CodBarras2]],2,50)</f>
        <v/>
      </c>
    </row>
    <row r="10226" spans="9:9" x14ac:dyDescent="0.25">
      <c r="I10226" s="227" t="str">
        <f>MID(excPisCofins[[#This Row],[CodBarras2]],2,50)</f>
        <v/>
      </c>
    </row>
    <row r="10227" spans="9:9" x14ac:dyDescent="0.25">
      <c r="I10227" s="227" t="str">
        <f>MID(excPisCofins[[#This Row],[CodBarras2]],2,50)</f>
        <v/>
      </c>
    </row>
    <row r="10228" spans="9:9" x14ac:dyDescent="0.25">
      <c r="I10228" s="227" t="str">
        <f>MID(excPisCofins[[#This Row],[CodBarras2]],2,50)</f>
        <v/>
      </c>
    </row>
    <row r="10229" spans="9:9" x14ac:dyDescent="0.25">
      <c r="I10229" s="227" t="str">
        <f>MID(excPisCofins[[#This Row],[CodBarras2]],2,50)</f>
        <v/>
      </c>
    </row>
    <row r="10230" spans="9:9" x14ac:dyDescent="0.25">
      <c r="I10230" s="227" t="str">
        <f>MID(excPisCofins[[#This Row],[CodBarras2]],2,50)</f>
        <v/>
      </c>
    </row>
    <row r="10231" spans="9:9" x14ac:dyDescent="0.25">
      <c r="I10231" s="227" t="str">
        <f>MID(excPisCofins[[#This Row],[CodBarras2]],2,50)</f>
        <v/>
      </c>
    </row>
    <row r="10232" spans="9:9" x14ac:dyDescent="0.25">
      <c r="I10232" s="227" t="str">
        <f>MID(excPisCofins[[#This Row],[CodBarras2]],2,50)</f>
        <v/>
      </c>
    </row>
    <row r="10233" spans="9:9" x14ac:dyDescent="0.25">
      <c r="I10233" s="227" t="str">
        <f>MID(excPisCofins[[#This Row],[CodBarras2]],2,50)</f>
        <v/>
      </c>
    </row>
    <row r="10234" spans="9:9" x14ac:dyDescent="0.25">
      <c r="I10234" s="227" t="str">
        <f>MID(excPisCofins[[#This Row],[CodBarras2]],2,50)</f>
        <v/>
      </c>
    </row>
    <row r="10235" spans="9:9" x14ac:dyDescent="0.25">
      <c r="I10235" s="227" t="str">
        <f>MID(excPisCofins[[#This Row],[CodBarras2]],2,50)</f>
        <v/>
      </c>
    </row>
    <row r="10236" spans="9:9" x14ac:dyDescent="0.25">
      <c r="I10236" s="227" t="str">
        <f>MID(excPisCofins[[#This Row],[CodBarras2]],2,50)</f>
        <v/>
      </c>
    </row>
    <row r="10237" spans="9:9" x14ac:dyDescent="0.25">
      <c r="I10237" s="227" t="str">
        <f>MID(excPisCofins[[#This Row],[CodBarras2]],2,50)</f>
        <v/>
      </c>
    </row>
    <row r="10238" spans="9:9" x14ac:dyDescent="0.25">
      <c r="I10238" s="227" t="str">
        <f>MID(excPisCofins[[#This Row],[CodBarras2]],2,50)</f>
        <v/>
      </c>
    </row>
    <row r="10239" spans="9:9" x14ac:dyDescent="0.25">
      <c r="I10239" s="227" t="str">
        <f>MID(excPisCofins[[#This Row],[CodBarras2]],2,50)</f>
        <v/>
      </c>
    </row>
    <row r="10240" spans="9:9" x14ac:dyDescent="0.25">
      <c r="I10240" s="227" t="str">
        <f>MID(excPisCofins[[#This Row],[CodBarras2]],2,50)</f>
        <v/>
      </c>
    </row>
    <row r="10241" spans="9:9" x14ac:dyDescent="0.25">
      <c r="I10241" s="227" t="str">
        <f>MID(excPisCofins[[#This Row],[CodBarras2]],2,50)</f>
        <v/>
      </c>
    </row>
    <row r="10242" spans="9:9" x14ac:dyDescent="0.25">
      <c r="I10242" s="227" t="str">
        <f>MID(excPisCofins[[#This Row],[CodBarras2]],2,50)</f>
        <v/>
      </c>
    </row>
    <row r="10243" spans="9:9" x14ac:dyDescent="0.25">
      <c r="I10243" s="227" t="str">
        <f>MID(excPisCofins[[#This Row],[CodBarras2]],2,50)</f>
        <v/>
      </c>
    </row>
    <row r="10244" spans="9:9" x14ac:dyDescent="0.25">
      <c r="I10244" s="227" t="str">
        <f>MID(excPisCofins[[#This Row],[CodBarras2]],2,50)</f>
        <v/>
      </c>
    </row>
    <row r="10245" spans="9:9" x14ac:dyDescent="0.25">
      <c r="I10245" s="227" t="str">
        <f>MID(excPisCofins[[#This Row],[CodBarras2]],2,50)</f>
        <v/>
      </c>
    </row>
    <row r="10246" spans="9:9" x14ac:dyDescent="0.25">
      <c r="I10246" s="227" t="str">
        <f>MID(excPisCofins[[#This Row],[CodBarras2]],2,50)</f>
        <v/>
      </c>
    </row>
    <row r="10247" spans="9:9" x14ac:dyDescent="0.25">
      <c r="I10247" s="227" t="str">
        <f>MID(excPisCofins[[#This Row],[CodBarras2]],2,50)</f>
        <v/>
      </c>
    </row>
    <row r="10248" spans="9:9" x14ac:dyDescent="0.25">
      <c r="I10248" s="227" t="str">
        <f>MID(excPisCofins[[#This Row],[CodBarras2]],2,50)</f>
        <v/>
      </c>
    </row>
    <row r="10249" spans="9:9" x14ac:dyDescent="0.25">
      <c r="I10249" s="227" t="str">
        <f>MID(excPisCofins[[#This Row],[CodBarras2]],2,50)</f>
        <v/>
      </c>
    </row>
    <row r="10250" spans="9:9" x14ac:dyDescent="0.25">
      <c r="I10250" s="227" t="str">
        <f>MID(excPisCofins[[#This Row],[CodBarras2]],2,50)</f>
        <v/>
      </c>
    </row>
    <row r="10251" spans="9:9" x14ac:dyDescent="0.25">
      <c r="I10251" s="227" t="str">
        <f>MID(excPisCofins[[#This Row],[CodBarras2]],2,50)</f>
        <v/>
      </c>
    </row>
    <row r="10252" spans="9:9" x14ac:dyDescent="0.25">
      <c r="I10252" s="227" t="str">
        <f>MID(excPisCofins[[#This Row],[CodBarras2]],2,50)</f>
        <v/>
      </c>
    </row>
    <row r="10253" spans="9:9" x14ac:dyDescent="0.25">
      <c r="I10253" s="227" t="str">
        <f>MID(excPisCofins[[#This Row],[CodBarras2]],2,50)</f>
        <v/>
      </c>
    </row>
    <row r="10254" spans="9:9" x14ac:dyDescent="0.25">
      <c r="I10254" s="227" t="str">
        <f>MID(excPisCofins[[#This Row],[CodBarras2]],2,50)</f>
        <v/>
      </c>
    </row>
    <row r="10255" spans="9:9" x14ac:dyDescent="0.25">
      <c r="I10255" s="227" t="str">
        <f>MID(excPisCofins[[#This Row],[CodBarras2]],2,50)</f>
        <v/>
      </c>
    </row>
    <row r="10256" spans="9:9" x14ac:dyDescent="0.25">
      <c r="I10256" s="227" t="str">
        <f>MID(excPisCofins[[#This Row],[CodBarras2]],2,50)</f>
        <v/>
      </c>
    </row>
    <row r="10257" spans="9:9" x14ac:dyDescent="0.25">
      <c r="I10257" s="227" t="str">
        <f>MID(excPisCofins[[#This Row],[CodBarras2]],2,50)</f>
        <v/>
      </c>
    </row>
    <row r="10258" spans="9:9" x14ac:dyDescent="0.25">
      <c r="I10258" s="227" t="str">
        <f>MID(excPisCofins[[#This Row],[CodBarras2]],2,50)</f>
        <v/>
      </c>
    </row>
    <row r="10259" spans="9:9" x14ac:dyDescent="0.25">
      <c r="I10259" s="227" t="str">
        <f>MID(excPisCofins[[#This Row],[CodBarras2]],2,50)</f>
        <v/>
      </c>
    </row>
    <row r="10260" spans="9:9" x14ac:dyDescent="0.25">
      <c r="I10260" s="227" t="str">
        <f>MID(excPisCofins[[#This Row],[CodBarras2]],2,50)</f>
        <v/>
      </c>
    </row>
    <row r="10261" spans="9:9" x14ac:dyDescent="0.25">
      <c r="I10261" s="227" t="str">
        <f>MID(excPisCofins[[#This Row],[CodBarras2]],2,50)</f>
        <v/>
      </c>
    </row>
    <row r="10262" spans="9:9" x14ac:dyDescent="0.25">
      <c r="I10262" s="227" t="str">
        <f>MID(excPisCofins[[#This Row],[CodBarras2]],2,50)</f>
        <v/>
      </c>
    </row>
    <row r="10263" spans="9:9" x14ac:dyDescent="0.25">
      <c r="I10263" s="227" t="str">
        <f>MID(excPisCofins[[#This Row],[CodBarras2]],2,50)</f>
        <v/>
      </c>
    </row>
    <row r="10264" spans="9:9" x14ac:dyDescent="0.25">
      <c r="I10264" s="227" t="str">
        <f>MID(excPisCofins[[#This Row],[CodBarras2]],2,50)</f>
        <v/>
      </c>
    </row>
    <row r="10265" spans="9:9" x14ac:dyDescent="0.25">
      <c r="I10265" s="227" t="str">
        <f>MID(excPisCofins[[#This Row],[CodBarras2]],2,50)</f>
        <v/>
      </c>
    </row>
    <row r="10266" spans="9:9" x14ac:dyDescent="0.25">
      <c r="I10266" s="227" t="str">
        <f>MID(excPisCofins[[#This Row],[CodBarras2]],2,50)</f>
        <v/>
      </c>
    </row>
    <row r="10267" spans="9:9" x14ac:dyDescent="0.25">
      <c r="I10267" s="227" t="str">
        <f>MID(excPisCofins[[#This Row],[CodBarras2]],2,50)</f>
        <v/>
      </c>
    </row>
    <row r="10268" spans="9:9" x14ac:dyDescent="0.25">
      <c r="I10268" s="227" t="str">
        <f>MID(excPisCofins[[#This Row],[CodBarras2]],2,50)</f>
        <v/>
      </c>
    </row>
    <row r="10269" spans="9:9" x14ac:dyDescent="0.25">
      <c r="I10269" s="227" t="str">
        <f>MID(excPisCofins[[#This Row],[CodBarras2]],2,50)</f>
        <v/>
      </c>
    </row>
    <row r="10270" spans="9:9" x14ac:dyDescent="0.25">
      <c r="I10270" s="227" t="str">
        <f>MID(excPisCofins[[#This Row],[CodBarras2]],2,50)</f>
        <v/>
      </c>
    </row>
    <row r="10271" spans="9:9" x14ac:dyDescent="0.25">
      <c r="I10271" s="227" t="str">
        <f>MID(excPisCofins[[#This Row],[CodBarras2]],2,50)</f>
        <v/>
      </c>
    </row>
    <row r="10272" spans="9:9" x14ac:dyDescent="0.25">
      <c r="I10272" s="227" t="str">
        <f>MID(excPisCofins[[#This Row],[CodBarras2]],2,50)</f>
        <v/>
      </c>
    </row>
    <row r="10273" spans="9:9" x14ac:dyDescent="0.25">
      <c r="I10273" s="227" t="str">
        <f>MID(excPisCofins[[#This Row],[CodBarras2]],2,50)</f>
        <v/>
      </c>
    </row>
    <row r="10274" spans="9:9" x14ac:dyDescent="0.25">
      <c r="I10274" s="227" t="str">
        <f>MID(excPisCofins[[#This Row],[CodBarras2]],2,50)</f>
        <v/>
      </c>
    </row>
    <row r="10275" spans="9:9" x14ac:dyDescent="0.25">
      <c r="I10275" s="227" t="str">
        <f>MID(excPisCofins[[#This Row],[CodBarras2]],2,50)</f>
        <v/>
      </c>
    </row>
    <row r="10276" spans="9:9" x14ac:dyDescent="0.25">
      <c r="I10276" s="227" t="str">
        <f>MID(excPisCofins[[#This Row],[CodBarras2]],2,50)</f>
        <v/>
      </c>
    </row>
    <row r="10277" spans="9:9" x14ac:dyDescent="0.25">
      <c r="I10277" s="227" t="str">
        <f>MID(excPisCofins[[#This Row],[CodBarras2]],2,50)</f>
        <v/>
      </c>
    </row>
    <row r="10278" spans="9:9" x14ac:dyDescent="0.25">
      <c r="I10278" s="227" t="str">
        <f>MID(excPisCofins[[#This Row],[CodBarras2]],2,50)</f>
        <v/>
      </c>
    </row>
    <row r="10279" spans="9:9" x14ac:dyDescent="0.25">
      <c r="I10279" s="227" t="str">
        <f>MID(excPisCofins[[#This Row],[CodBarras2]],2,50)</f>
        <v/>
      </c>
    </row>
    <row r="10280" spans="9:9" x14ac:dyDescent="0.25">
      <c r="I10280" s="227" t="str">
        <f>MID(excPisCofins[[#This Row],[CodBarras2]],2,50)</f>
        <v/>
      </c>
    </row>
    <row r="10281" spans="9:9" x14ac:dyDescent="0.25">
      <c r="I10281" s="227" t="str">
        <f>MID(excPisCofins[[#This Row],[CodBarras2]],2,50)</f>
        <v/>
      </c>
    </row>
    <row r="10282" spans="9:9" x14ac:dyDescent="0.25">
      <c r="I10282" s="227" t="str">
        <f>MID(excPisCofins[[#This Row],[CodBarras2]],2,50)</f>
        <v/>
      </c>
    </row>
    <row r="10283" spans="9:9" x14ac:dyDescent="0.25">
      <c r="I10283" s="227" t="str">
        <f>MID(excPisCofins[[#This Row],[CodBarras2]],2,50)</f>
        <v/>
      </c>
    </row>
    <row r="10284" spans="9:9" x14ac:dyDescent="0.25">
      <c r="I10284" s="227" t="str">
        <f>MID(excPisCofins[[#This Row],[CodBarras2]],2,50)</f>
        <v/>
      </c>
    </row>
    <row r="10285" spans="9:9" x14ac:dyDescent="0.25">
      <c r="I10285" s="227" t="str">
        <f>MID(excPisCofins[[#This Row],[CodBarras2]],2,50)</f>
        <v/>
      </c>
    </row>
    <row r="10286" spans="9:9" x14ac:dyDescent="0.25">
      <c r="I10286" s="227" t="str">
        <f>MID(excPisCofins[[#This Row],[CodBarras2]],2,50)</f>
        <v/>
      </c>
    </row>
    <row r="10287" spans="9:9" x14ac:dyDescent="0.25">
      <c r="I10287" s="227" t="str">
        <f>MID(excPisCofins[[#This Row],[CodBarras2]],2,50)</f>
        <v/>
      </c>
    </row>
    <row r="10288" spans="9:9" x14ac:dyDescent="0.25">
      <c r="I10288" s="227" t="str">
        <f>MID(excPisCofins[[#This Row],[CodBarras2]],2,50)</f>
        <v/>
      </c>
    </row>
    <row r="10289" spans="9:9" x14ac:dyDescent="0.25">
      <c r="I10289" s="227" t="str">
        <f>MID(excPisCofins[[#This Row],[CodBarras2]],2,50)</f>
        <v/>
      </c>
    </row>
    <row r="10290" spans="9:9" x14ac:dyDescent="0.25">
      <c r="I10290" s="227" t="str">
        <f>MID(excPisCofins[[#This Row],[CodBarras2]],2,50)</f>
        <v/>
      </c>
    </row>
    <row r="10291" spans="9:9" x14ac:dyDescent="0.25">
      <c r="I10291" s="227" t="str">
        <f>MID(excPisCofins[[#This Row],[CodBarras2]],2,50)</f>
        <v/>
      </c>
    </row>
    <row r="10292" spans="9:9" x14ac:dyDescent="0.25">
      <c r="I10292" s="227" t="str">
        <f>MID(excPisCofins[[#This Row],[CodBarras2]],2,50)</f>
        <v/>
      </c>
    </row>
    <row r="10293" spans="9:9" x14ac:dyDescent="0.25">
      <c r="I10293" s="227" t="str">
        <f>MID(excPisCofins[[#This Row],[CodBarras2]],2,50)</f>
        <v/>
      </c>
    </row>
    <row r="10294" spans="9:9" x14ac:dyDescent="0.25">
      <c r="I10294" s="227" t="str">
        <f>MID(excPisCofins[[#This Row],[CodBarras2]],2,50)</f>
        <v/>
      </c>
    </row>
    <row r="10295" spans="9:9" x14ac:dyDescent="0.25">
      <c r="I10295" s="227" t="str">
        <f>MID(excPisCofins[[#This Row],[CodBarras2]],2,50)</f>
        <v/>
      </c>
    </row>
    <row r="10296" spans="9:9" x14ac:dyDescent="0.25">
      <c r="I10296" s="227" t="str">
        <f>MID(excPisCofins[[#This Row],[CodBarras2]],2,50)</f>
        <v/>
      </c>
    </row>
    <row r="10297" spans="9:9" x14ac:dyDescent="0.25">
      <c r="I10297" s="227" t="str">
        <f>MID(excPisCofins[[#This Row],[CodBarras2]],2,50)</f>
        <v/>
      </c>
    </row>
    <row r="10298" spans="9:9" x14ac:dyDescent="0.25">
      <c r="I10298" s="227" t="str">
        <f>MID(excPisCofins[[#This Row],[CodBarras2]],2,50)</f>
        <v/>
      </c>
    </row>
    <row r="10299" spans="9:9" x14ac:dyDescent="0.25">
      <c r="I10299" s="227" t="str">
        <f>MID(excPisCofins[[#This Row],[CodBarras2]],2,50)</f>
        <v/>
      </c>
    </row>
    <row r="10300" spans="9:9" x14ac:dyDescent="0.25">
      <c r="I10300" s="227" t="str">
        <f>MID(excPisCofins[[#This Row],[CodBarras2]],2,50)</f>
        <v/>
      </c>
    </row>
    <row r="10301" spans="9:9" x14ac:dyDescent="0.25">
      <c r="I10301" s="227" t="str">
        <f>MID(excPisCofins[[#This Row],[CodBarras2]],2,50)</f>
        <v/>
      </c>
    </row>
    <row r="10302" spans="9:9" x14ac:dyDescent="0.25">
      <c r="I10302" s="227" t="str">
        <f>MID(excPisCofins[[#This Row],[CodBarras2]],2,50)</f>
        <v/>
      </c>
    </row>
    <row r="10303" spans="9:9" x14ac:dyDescent="0.25">
      <c r="I10303" s="227" t="str">
        <f>MID(excPisCofins[[#This Row],[CodBarras2]],2,50)</f>
        <v/>
      </c>
    </row>
    <row r="10304" spans="9:9" x14ac:dyDescent="0.25">
      <c r="I10304" s="227" t="str">
        <f>MID(excPisCofins[[#This Row],[CodBarras2]],2,50)</f>
        <v/>
      </c>
    </row>
    <row r="10305" spans="9:9" x14ac:dyDescent="0.25">
      <c r="I10305" s="227" t="str">
        <f>MID(excPisCofins[[#This Row],[CodBarras2]],2,50)</f>
        <v/>
      </c>
    </row>
    <row r="10306" spans="9:9" x14ac:dyDescent="0.25">
      <c r="I10306" s="227" t="str">
        <f>MID(excPisCofins[[#This Row],[CodBarras2]],2,50)</f>
        <v/>
      </c>
    </row>
    <row r="10307" spans="9:9" x14ac:dyDescent="0.25">
      <c r="I10307" s="227" t="str">
        <f>MID(excPisCofins[[#This Row],[CodBarras2]],2,50)</f>
        <v/>
      </c>
    </row>
    <row r="10308" spans="9:9" x14ac:dyDescent="0.25">
      <c r="I10308" s="227" t="str">
        <f>MID(excPisCofins[[#This Row],[CodBarras2]],2,50)</f>
        <v/>
      </c>
    </row>
    <row r="10309" spans="9:9" x14ac:dyDescent="0.25">
      <c r="I10309" s="227" t="str">
        <f>MID(excPisCofins[[#This Row],[CodBarras2]],2,50)</f>
        <v/>
      </c>
    </row>
    <row r="10310" spans="9:9" x14ac:dyDescent="0.25">
      <c r="I10310" s="227" t="str">
        <f>MID(excPisCofins[[#This Row],[CodBarras2]],2,50)</f>
        <v/>
      </c>
    </row>
    <row r="10311" spans="9:9" x14ac:dyDescent="0.25">
      <c r="I10311" s="227" t="str">
        <f>MID(excPisCofins[[#This Row],[CodBarras2]],2,50)</f>
        <v/>
      </c>
    </row>
    <row r="10312" spans="9:9" x14ac:dyDescent="0.25">
      <c r="I10312" s="227" t="str">
        <f>MID(excPisCofins[[#This Row],[CodBarras2]],2,50)</f>
        <v/>
      </c>
    </row>
    <row r="10313" spans="9:9" x14ac:dyDescent="0.25">
      <c r="I10313" s="227" t="str">
        <f>MID(excPisCofins[[#This Row],[CodBarras2]],2,50)</f>
        <v/>
      </c>
    </row>
    <row r="10314" spans="9:9" x14ac:dyDescent="0.25">
      <c r="I10314" s="227" t="str">
        <f>MID(excPisCofins[[#This Row],[CodBarras2]],2,50)</f>
        <v/>
      </c>
    </row>
    <row r="10315" spans="9:9" x14ac:dyDescent="0.25">
      <c r="I10315" s="227" t="str">
        <f>MID(excPisCofins[[#This Row],[CodBarras2]],2,50)</f>
        <v/>
      </c>
    </row>
    <row r="10316" spans="9:9" x14ac:dyDescent="0.25">
      <c r="I10316" s="227" t="str">
        <f>MID(excPisCofins[[#This Row],[CodBarras2]],2,50)</f>
        <v/>
      </c>
    </row>
    <row r="10317" spans="9:9" x14ac:dyDescent="0.25">
      <c r="I10317" s="227" t="str">
        <f>MID(excPisCofins[[#This Row],[CodBarras2]],2,50)</f>
        <v/>
      </c>
    </row>
    <row r="10318" spans="9:9" x14ac:dyDescent="0.25">
      <c r="I10318" s="227" t="str">
        <f>MID(excPisCofins[[#This Row],[CodBarras2]],2,50)</f>
        <v/>
      </c>
    </row>
    <row r="10319" spans="9:9" x14ac:dyDescent="0.25">
      <c r="I10319" s="227" t="str">
        <f>MID(excPisCofins[[#This Row],[CodBarras2]],2,50)</f>
        <v/>
      </c>
    </row>
    <row r="10320" spans="9:9" x14ac:dyDescent="0.25">
      <c r="I10320" s="227" t="str">
        <f>MID(excPisCofins[[#This Row],[CodBarras2]],2,50)</f>
        <v/>
      </c>
    </row>
    <row r="10321" spans="9:9" x14ac:dyDescent="0.25">
      <c r="I10321" s="227" t="str">
        <f>MID(excPisCofins[[#This Row],[CodBarras2]],2,50)</f>
        <v/>
      </c>
    </row>
    <row r="10322" spans="9:9" x14ac:dyDescent="0.25">
      <c r="I10322" s="227" t="str">
        <f>MID(excPisCofins[[#This Row],[CodBarras2]],2,50)</f>
        <v/>
      </c>
    </row>
    <row r="10323" spans="9:9" x14ac:dyDescent="0.25">
      <c r="I10323" s="227" t="str">
        <f>MID(excPisCofins[[#This Row],[CodBarras2]],2,50)</f>
        <v/>
      </c>
    </row>
    <row r="10324" spans="9:9" x14ac:dyDescent="0.25">
      <c r="I10324" s="227" t="str">
        <f>MID(excPisCofins[[#This Row],[CodBarras2]],2,50)</f>
        <v/>
      </c>
    </row>
    <row r="10325" spans="9:9" x14ac:dyDescent="0.25">
      <c r="I10325" s="227" t="str">
        <f>MID(excPisCofins[[#This Row],[CodBarras2]],2,50)</f>
        <v/>
      </c>
    </row>
    <row r="10326" spans="9:9" x14ac:dyDescent="0.25">
      <c r="I10326" s="227" t="str">
        <f>MID(excPisCofins[[#This Row],[CodBarras2]],2,50)</f>
        <v/>
      </c>
    </row>
    <row r="10327" spans="9:9" x14ac:dyDescent="0.25">
      <c r="I10327" s="227" t="str">
        <f>MID(excPisCofins[[#This Row],[CodBarras2]],2,50)</f>
        <v/>
      </c>
    </row>
    <row r="10328" spans="9:9" x14ac:dyDescent="0.25">
      <c r="I10328" s="227" t="str">
        <f>MID(excPisCofins[[#This Row],[CodBarras2]],2,50)</f>
        <v/>
      </c>
    </row>
    <row r="10329" spans="9:9" x14ac:dyDescent="0.25">
      <c r="I10329" s="227" t="str">
        <f>MID(excPisCofins[[#This Row],[CodBarras2]],2,50)</f>
        <v/>
      </c>
    </row>
    <row r="10330" spans="9:9" x14ac:dyDescent="0.25">
      <c r="I10330" s="227" t="str">
        <f>MID(excPisCofins[[#This Row],[CodBarras2]],2,50)</f>
        <v/>
      </c>
    </row>
    <row r="10331" spans="9:9" x14ac:dyDescent="0.25">
      <c r="I10331" s="227" t="str">
        <f>MID(excPisCofins[[#This Row],[CodBarras2]],2,50)</f>
        <v/>
      </c>
    </row>
    <row r="10332" spans="9:9" x14ac:dyDescent="0.25">
      <c r="I10332" s="227" t="str">
        <f>MID(excPisCofins[[#This Row],[CodBarras2]],2,50)</f>
        <v/>
      </c>
    </row>
    <row r="10333" spans="9:9" x14ac:dyDescent="0.25">
      <c r="I10333" s="227" t="str">
        <f>MID(excPisCofins[[#This Row],[CodBarras2]],2,50)</f>
        <v/>
      </c>
    </row>
    <row r="10334" spans="9:9" x14ac:dyDescent="0.25">
      <c r="I10334" s="227" t="str">
        <f>MID(excPisCofins[[#This Row],[CodBarras2]],2,50)</f>
        <v/>
      </c>
    </row>
    <row r="10335" spans="9:9" x14ac:dyDescent="0.25">
      <c r="I10335" s="227" t="str">
        <f>MID(excPisCofins[[#This Row],[CodBarras2]],2,50)</f>
        <v/>
      </c>
    </row>
    <row r="10336" spans="9:9" x14ac:dyDescent="0.25">
      <c r="I10336" s="227" t="str">
        <f>MID(excPisCofins[[#This Row],[CodBarras2]],2,50)</f>
        <v/>
      </c>
    </row>
    <row r="10337" spans="9:9" x14ac:dyDescent="0.25">
      <c r="I10337" s="227" t="str">
        <f>MID(excPisCofins[[#This Row],[CodBarras2]],2,50)</f>
        <v/>
      </c>
    </row>
    <row r="10338" spans="9:9" x14ac:dyDescent="0.25">
      <c r="I10338" s="227" t="str">
        <f>MID(excPisCofins[[#This Row],[CodBarras2]],2,50)</f>
        <v/>
      </c>
    </row>
    <row r="10339" spans="9:9" x14ac:dyDescent="0.25">
      <c r="I10339" s="227" t="str">
        <f>MID(excPisCofins[[#This Row],[CodBarras2]],2,50)</f>
        <v/>
      </c>
    </row>
    <row r="10340" spans="9:9" x14ac:dyDescent="0.25">
      <c r="I10340" s="227" t="str">
        <f>MID(excPisCofins[[#This Row],[CodBarras2]],2,50)</f>
        <v/>
      </c>
    </row>
    <row r="10341" spans="9:9" x14ac:dyDescent="0.25">
      <c r="I10341" s="227" t="str">
        <f>MID(excPisCofins[[#This Row],[CodBarras2]],2,50)</f>
        <v/>
      </c>
    </row>
    <row r="10342" spans="9:9" x14ac:dyDescent="0.25">
      <c r="I10342" s="227" t="str">
        <f>MID(excPisCofins[[#This Row],[CodBarras2]],2,50)</f>
        <v/>
      </c>
    </row>
    <row r="10343" spans="9:9" x14ac:dyDescent="0.25">
      <c r="I10343" s="227" t="str">
        <f>MID(excPisCofins[[#This Row],[CodBarras2]],2,50)</f>
        <v/>
      </c>
    </row>
    <row r="10344" spans="9:9" x14ac:dyDescent="0.25">
      <c r="I10344" s="227" t="str">
        <f>MID(excPisCofins[[#This Row],[CodBarras2]],2,50)</f>
        <v/>
      </c>
    </row>
    <row r="10345" spans="9:9" x14ac:dyDescent="0.25">
      <c r="I10345" s="227" t="str">
        <f>MID(excPisCofins[[#This Row],[CodBarras2]],2,50)</f>
        <v/>
      </c>
    </row>
    <row r="10346" spans="9:9" x14ac:dyDescent="0.25">
      <c r="I10346" s="227" t="str">
        <f>MID(excPisCofins[[#This Row],[CodBarras2]],2,50)</f>
        <v/>
      </c>
    </row>
    <row r="10347" spans="9:9" x14ac:dyDescent="0.25">
      <c r="I10347" s="227" t="str">
        <f>MID(excPisCofins[[#This Row],[CodBarras2]],2,50)</f>
        <v/>
      </c>
    </row>
    <row r="10348" spans="9:9" x14ac:dyDescent="0.25">
      <c r="I10348" s="227" t="str">
        <f>MID(excPisCofins[[#This Row],[CodBarras2]],2,50)</f>
        <v/>
      </c>
    </row>
    <row r="10349" spans="9:9" x14ac:dyDescent="0.25">
      <c r="I10349" s="227" t="str">
        <f>MID(excPisCofins[[#This Row],[CodBarras2]],2,50)</f>
        <v/>
      </c>
    </row>
    <row r="10350" spans="9:9" x14ac:dyDescent="0.25">
      <c r="I10350" s="227" t="str">
        <f>MID(excPisCofins[[#This Row],[CodBarras2]],2,50)</f>
        <v/>
      </c>
    </row>
    <row r="10351" spans="9:9" x14ac:dyDescent="0.25">
      <c r="I10351" s="227" t="str">
        <f>MID(excPisCofins[[#This Row],[CodBarras2]],2,50)</f>
        <v/>
      </c>
    </row>
    <row r="10352" spans="9:9" x14ac:dyDescent="0.25">
      <c r="I10352" s="227" t="str">
        <f>MID(excPisCofins[[#This Row],[CodBarras2]],2,50)</f>
        <v/>
      </c>
    </row>
    <row r="10353" spans="9:9" x14ac:dyDescent="0.25">
      <c r="I10353" s="227" t="str">
        <f>MID(excPisCofins[[#This Row],[CodBarras2]],2,50)</f>
        <v/>
      </c>
    </row>
    <row r="10354" spans="9:9" x14ac:dyDescent="0.25">
      <c r="I10354" s="227" t="str">
        <f>MID(excPisCofins[[#This Row],[CodBarras2]],2,50)</f>
        <v/>
      </c>
    </row>
    <row r="10355" spans="9:9" x14ac:dyDescent="0.25">
      <c r="I10355" s="227" t="str">
        <f>MID(excPisCofins[[#This Row],[CodBarras2]],2,50)</f>
        <v/>
      </c>
    </row>
    <row r="10356" spans="9:9" x14ac:dyDescent="0.25">
      <c r="I10356" s="227" t="str">
        <f>MID(excPisCofins[[#This Row],[CodBarras2]],2,50)</f>
        <v/>
      </c>
    </row>
    <row r="10357" spans="9:9" x14ac:dyDescent="0.25">
      <c r="I10357" s="227" t="str">
        <f>MID(excPisCofins[[#This Row],[CodBarras2]],2,50)</f>
        <v/>
      </c>
    </row>
    <row r="10358" spans="9:9" x14ac:dyDescent="0.25">
      <c r="I10358" s="227" t="str">
        <f>MID(excPisCofins[[#This Row],[CodBarras2]],2,50)</f>
        <v/>
      </c>
    </row>
    <row r="10359" spans="9:9" x14ac:dyDescent="0.25">
      <c r="I10359" s="227" t="str">
        <f>MID(excPisCofins[[#This Row],[CodBarras2]],2,50)</f>
        <v/>
      </c>
    </row>
    <row r="10360" spans="9:9" x14ac:dyDescent="0.25">
      <c r="I10360" s="227" t="str">
        <f>MID(excPisCofins[[#This Row],[CodBarras2]],2,50)</f>
        <v/>
      </c>
    </row>
    <row r="10361" spans="9:9" x14ac:dyDescent="0.25">
      <c r="I10361" s="227" t="str">
        <f>MID(excPisCofins[[#This Row],[CodBarras2]],2,50)</f>
        <v/>
      </c>
    </row>
    <row r="10362" spans="9:9" x14ac:dyDescent="0.25">
      <c r="I10362" s="227" t="str">
        <f>MID(excPisCofins[[#This Row],[CodBarras2]],2,50)</f>
        <v/>
      </c>
    </row>
    <row r="10363" spans="9:9" x14ac:dyDescent="0.25">
      <c r="I10363" s="227" t="str">
        <f>MID(excPisCofins[[#This Row],[CodBarras2]],2,50)</f>
        <v/>
      </c>
    </row>
    <row r="10364" spans="9:9" x14ac:dyDescent="0.25">
      <c r="I10364" s="227" t="str">
        <f>MID(excPisCofins[[#This Row],[CodBarras2]],2,50)</f>
        <v/>
      </c>
    </row>
    <row r="10365" spans="9:9" x14ac:dyDescent="0.25">
      <c r="I10365" s="227" t="str">
        <f>MID(excPisCofins[[#This Row],[CodBarras2]],2,50)</f>
        <v/>
      </c>
    </row>
    <row r="10366" spans="9:9" x14ac:dyDescent="0.25">
      <c r="I10366" s="227" t="str">
        <f>MID(excPisCofins[[#This Row],[CodBarras2]],2,50)</f>
        <v/>
      </c>
    </row>
    <row r="10367" spans="9:9" x14ac:dyDescent="0.25">
      <c r="I10367" s="227" t="str">
        <f>MID(excPisCofins[[#This Row],[CodBarras2]],2,50)</f>
        <v/>
      </c>
    </row>
    <row r="10368" spans="9:9" x14ac:dyDescent="0.25">
      <c r="I10368" s="227" t="str">
        <f>MID(excPisCofins[[#This Row],[CodBarras2]],2,50)</f>
        <v/>
      </c>
    </row>
    <row r="10369" spans="9:9" x14ac:dyDescent="0.25">
      <c r="I10369" s="227" t="str">
        <f>MID(excPisCofins[[#This Row],[CodBarras2]],2,50)</f>
        <v/>
      </c>
    </row>
    <row r="10370" spans="9:9" x14ac:dyDescent="0.25">
      <c r="I10370" s="227" t="str">
        <f>MID(excPisCofins[[#This Row],[CodBarras2]],2,50)</f>
        <v/>
      </c>
    </row>
    <row r="10371" spans="9:9" x14ac:dyDescent="0.25">
      <c r="I10371" s="227" t="str">
        <f>MID(excPisCofins[[#This Row],[CodBarras2]],2,50)</f>
        <v/>
      </c>
    </row>
    <row r="10372" spans="9:9" x14ac:dyDescent="0.25">
      <c r="I10372" s="227" t="str">
        <f>MID(excPisCofins[[#This Row],[CodBarras2]],2,50)</f>
        <v/>
      </c>
    </row>
    <row r="10373" spans="9:9" x14ac:dyDescent="0.25">
      <c r="I10373" s="227" t="str">
        <f>MID(excPisCofins[[#This Row],[CodBarras2]],2,50)</f>
        <v/>
      </c>
    </row>
    <row r="10374" spans="9:9" x14ac:dyDescent="0.25">
      <c r="I10374" s="227" t="str">
        <f>MID(excPisCofins[[#This Row],[CodBarras2]],2,50)</f>
        <v/>
      </c>
    </row>
    <row r="10375" spans="9:9" x14ac:dyDescent="0.25">
      <c r="I10375" s="227" t="str">
        <f>MID(excPisCofins[[#This Row],[CodBarras2]],2,50)</f>
        <v/>
      </c>
    </row>
    <row r="10376" spans="9:9" x14ac:dyDescent="0.25">
      <c r="I10376" s="227" t="str">
        <f>MID(excPisCofins[[#This Row],[CodBarras2]],2,50)</f>
        <v/>
      </c>
    </row>
    <row r="10377" spans="9:9" x14ac:dyDescent="0.25">
      <c r="I10377" s="227" t="str">
        <f>MID(excPisCofins[[#This Row],[CodBarras2]],2,50)</f>
        <v/>
      </c>
    </row>
    <row r="10378" spans="9:9" x14ac:dyDescent="0.25">
      <c r="I10378" s="227" t="str">
        <f>MID(excPisCofins[[#This Row],[CodBarras2]],2,50)</f>
        <v/>
      </c>
    </row>
    <row r="10379" spans="9:9" x14ac:dyDescent="0.25">
      <c r="I10379" s="227" t="str">
        <f>MID(excPisCofins[[#This Row],[CodBarras2]],2,50)</f>
        <v/>
      </c>
    </row>
    <row r="10380" spans="9:9" x14ac:dyDescent="0.25">
      <c r="I10380" s="227" t="str">
        <f>MID(excPisCofins[[#This Row],[CodBarras2]],2,50)</f>
        <v/>
      </c>
    </row>
    <row r="10381" spans="9:9" x14ac:dyDescent="0.25">
      <c r="I10381" s="227" t="str">
        <f>MID(excPisCofins[[#This Row],[CodBarras2]],2,50)</f>
        <v/>
      </c>
    </row>
    <row r="10382" spans="9:9" x14ac:dyDescent="0.25">
      <c r="I10382" s="227" t="str">
        <f>MID(excPisCofins[[#This Row],[CodBarras2]],2,50)</f>
        <v/>
      </c>
    </row>
    <row r="10383" spans="9:9" x14ac:dyDescent="0.25">
      <c r="I10383" s="227" t="str">
        <f>MID(excPisCofins[[#This Row],[CodBarras2]],2,50)</f>
        <v/>
      </c>
    </row>
    <row r="10384" spans="9:9" x14ac:dyDescent="0.25">
      <c r="I10384" s="227" t="str">
        <f>MID(excPisCofins[[#This Row],[CodBarras2]],2,50)</f>
        <v/>
      </c>
    </row>
    <row r="10385" spans="9:9" x14ac:dyDescent="0.25">
      <c r="I10385" s="227" t="str">
        <f>MID(excPisCofins[[#This Row],[CodBarras2]],2,50)</f>
        <v/>
      </c>
    </row>
    <row r="10386" spans="9:9" x14ac:dyDescent="0.25">
      <c r="I10386" s="227" t="str">
        <f>MID(excPisCofins[[#This Row],[CodBarras2]],2,50)</f>
        <v/>
      </c>
    </row>
    <row r="10387" spans="9:9" x14ac:dyDescent="0.25">
      <c r="I10387" s="227" t="str">
        <f>MID(excPisCofins[[#This Row],[CodBarras2]],2,50)</f>
        <v/>
      </c>
    </row>
    <row r="10388" spans="9:9" x14ac:dyDescent="0.25">
      <c r="I10388" s="227" t="str">
        <f>MID(excPisCofins[[#This Row],[CodBarras2]],2,50)</f>
        <v/>
      </c>
    </row>
    <row r="10389" spans="9:9" x14ac:dyDescent="0.25">
      <c r="I10389" s="227" t="str">
        <f>MID(excPisCofins[[#This Row],[CodBarras2]],2,50)</f>
        <v/>
      </c>
    </row>
    <row r="10390" spans="9:9" x14ac:dyDescent="0.25">
      <c r="I10390" s="227" t="str">
        <f>MID(excPisCofins[[#This Row],[CodBarras2]],2,50)</f>
        <v/>
      </c>
    </row>
    <row r="10391" spans="9:9" x14ac:dyDescent="0.25">
      <c r="I10391" s="227" t="str">
        <f>MID(excPisCofins[[#This Row],[CodBarras2]],2,50)</f>
        <v/>
      </c>
    </row>
    <row r="10392" spans="9:9" x14ac:dyDescent="0.25">
      <c r="I10392" s="227" t="str">
        <f>MID(excPisCofins[[#This Row],[CodBarras2]],2,50)</f>
        <v/>
      </c>
    </row>
    <row r="10393" spans="9:9" x14ac:dyDescent="0.25">
      <c r="I10393" s="227" t="str">
        <f>MID(excPisCofins[[#This Row],[CodBarras2]],2,50)</f>
        <v/>
      </c>
    </row>
    <row r="10394" spans="9:9" x14ac:dyDescent="0.25">
      <c r="I10394" s="227" t="str">
        <f>MID(excPisCofins[[#This Row],[CodBarras2]],2,50)</f>
        <v/>
      </c>
    </row>
    <row r="10395" spans="9:9" x14ac:dyDescent="0.25">
      <c r="I10395" s="227" t="str">
        <f>MID(excPisCofins[[#This Row],[CodBarras2]],2,50)</f>
        <v/>
      </c>
    </row>
    <row r="10396" spans="9:9" x14ac:dyDescent="0.25">
      <c r="I10396" s="227" t="str">
        <f>MID(excPisCofins[[#This Row],[CodBarras2]],2,50)</f>
        <v/>
      </c>
    </row>
    <row r="10397" spans="9:9" x14ac:dyDescent="0.25">
      <c r="I10397" s="227" t="str">
        <f>MID(excPisCofins[[#This Row],[CodBarras2]],2,50)</f>
        <v/>
      </c>
    </row>
    <row r="10398" spans="9:9" x14ac:dyDescent="0.25">
      <c r="I10398" s="227" t="str">
        <f>MID(excPisCofins[[#This Row],[CodBarras2]],2,50)</f>
        <v/>
      </c>
    </row>
    <row r="10399" spans="9:9" x14ac:dyDescent="0.25">
      <c r="I10399" s="227" t="str">
        <f>MID(excPisCofins[[#This Row],[CodBarras2]],2,50)</f>
        <v/>
      </c>
    </row>
    <row r="10400" spans="9:9" x14ac:dyDescent="0.25">
      <c r="I10400" s="227" t="str">
        <f>MID(excPisCofins[[#This Row],[CodBarras2]],2,50)</f>
        <v/>
      </c>
    </row>
    <row r="10401" spans="9:9" x14ac:dyDescent="0.25">
      <c r="I10401" s="227" t="str">
        <f>MID(excPisCofins[[#This Row],[CodBarras2]],2,50)</f>
        <v/>
      </c>
    </row>
    <row r="10402" spans="9:9" x14ac:dyDescent="0.25">
      <c r="I10402" s="227" t="str">
        <f>MID(excPisCofins[[#This Row],[CodBarras2]],2,50)</f>
        <v/>
      </c>
    </row>
    <row r="10403" spans="9:9" x14ac:dyDescent="0.25">
      <c r="I10403" s="227" t="str">
        <f>MID(excPisCofins[[#This Row],[CodBarras2]],2,50)</f>
        <v/>
      </c>
    </row>
    <row r="10404" spans="9:9" x14ac:dyDescent="0.25">
      <c r="I10404" s="227" t="str">
        <f>MID(excPisCofins[[#This Row],[CodBarras2]],2,50)</f>
        <v/>
      </c>
    </row>
    <row r="10405" spans="9:9" x14ac:dyDescent="0.25">
      <c r="I10405" s="227" t="str">
        <f>MID(excPisCofins[[#This Row],[CodBarras2]],2,50)</f>
        <v/>
      </c>
    </row>
    <row r="10406" spans="9:9" x14ac:dyDescent="0.25">
      <c r="I10406" s="227" t="str">
        <f>MID(excPisCofins[[#This Row],[CodBarras2]],2,50)</f>
        <v/>
      </c>
    </row>
    <row r="10407" spans="9:9" x14ac:dyDescent="0.25">
      <c r="I10407" s="227" t="str">
        <f>MID(excPisCofins[[#This Row],[CodBarras2]],2,50)</f>
        <v/>
      </c>
    </row>
    <row r="10408" spans="9:9" x14ac:dyDescent="0.25">
      <c r="I10408" s="227" t="str">
        <f>MID(excPisCofins[[#This Row],[CodBarras2]],2,50)</f>
        <v/>
      </c>
    </row>
    <row r="10409" spans="9:9" x14ac:dyDescent="0.25">
      <c r="I10409" s="227" t="str">
        <f>MID(excPisCofins[[#This Row],[CodBarras2]],2,50)</f>
        <v/>
      </c>
    </row>
    <row r="10410" spans="9:9" x14ac:dyDescent="0.25">
      <c r="I10410" s="227" t="str">
        <f>MID(excPisCofins[[#This Row],[CodBarras2]],2,50)</f>
        <v/>
      </c>
    </row>
    <row r="10411" spans="9:9" x14ac:dyDescent="0.25">
      <c r="I10411" s="227" t="str">
        <f>MID(excPisCofins[[#This Row],[CodBarras2]],2,50)</f>
        <v/>
      </c>
    </row>
    <row r="10412" spans="9:9" x14ac:dyDescent="0.25">
      <c r="I10412" s="227" t="str">
        <f>MID(excPisCofins[[#This Row],[CodBarras2]],2,50)</f>
        <v/>
      </c>
    </row>
    <row r="10413" spans="9:9" x14ac:dyDescent="0.25">
      <c r="I10413" s="227" t="str">
        <f>MID(excPisCofins[[#This Row],[CodBarras2]],2,50)</f>
        <v/>
      </c>
    </row>
    <row r="10414" spans="9:9" x14ac:dyDescent="0.25">
      <c r="I10414" s="227" t="str">
        <f>MID(excPisCofins[[#This Row],[CodBarras2]],2,50)</f>
        <v/>
      </c>
    </row>
    <row r="10415" spans="9:9" x14ac:dyDescent="0.25">
      <c r="I10415" s="227" t="str">
        <f>MID(excPisCofins[[#This Row],[CodBarras2]],2,50)</f>
        <v/>
      </c>
    </row>
    <row r="10416" spans="9:9" x14ac:dyDescent="0.25">
      <c r="I10416" s="227" t="str">
        <f>MID(excPisCofins[[#This Row],[CodBarras2]],2,50)</f>
        <v/>
      </c>
    </row>
    <row r="10417" spans="9:9" x14ac:dyDescent="0.25">
      <c r="I10417" s="227" t="str">
        <f>MID(excPisCofins[[#This Row],[CodBarras2]],2,50)</f>
        <v/>
      </c>
    </row>
    <row r="10418" spans="9:9" x14ac:dyDescent="0.25">
      <c r="I10418" s="227" t="str">
        <f>MID(excPisCofins[[#This Row],[CodBarras2]],2,50)</f>
        <v/>
      </c>
    </row>
    <row r="10419" spans="9:9" x14ac:dyDescent="0.25">
      <c r="I10419" s="227" t="str">
        <f>MID(excPisCofins[[#This Row],[CodBarras2]],2,50)</f>
        <v/>
      </c>
    </row>
    <row r="10420" spans="9:9" x14ac:dyDescent="0.25">
      <c r="I10420" s="227" t="str">
        <f>MID(excPisCofins[[#This Row],[CodBarras2]],2,50)</f>
        <v/>
      </c>
    </row>
    <row r="10421" spans="9:9" x14ac:dyDescent="0.25">
      <c r="I10421" s="227" t="str">
        <f>MID(excPisCofins[[#This Row],[CodBarras2]],2,50)</f>
        <v/>
      </c>
    </row>
    <row r="10422" spans="9:9" x14ac:dyDescent="0.25">
      <c r="I10422" s="227" t="str">
        <f>MID(excPisCofins[[#This Row],[CodBarras2]],2,50)</f>
        <v/>
      </c>
    </row>
    <row r="10423" spans="9:9" x14ac:dyDescent="0.25">
      <c r="I10423" s="227" t="str">
        <f>MID(excPisCofins[[#This Row],[CodBarras2]],2,50)</f>
        <v/>
      </c>
    </row>
    <row r="10424" spans="9:9" x14ac:dyDescent="0.25">
      <c r="I10424" s="227" t="str">
        <f>MID(excPisCofins[[#This Row],[CodBarras2]],2,50)</f>
        <v/>
      </c>
    </row>
    <row r="10425" spans="9:9" x14ac:dyDescent="0.25">
      <c r="I10425" s="227" t="str">
        <f>MID(excPisCofins[[#This Row],[CodBarras2]],2,50)</f>
        <v/>
      </c>
    </row>
    <row r="10426" spans="9:9" x14ac:dyDescent="0.25">
      <c r="I10426" s="227" t="str">
        <f>MID(excPisCofins[[#This Row],[CodBarras2]],2,50)</f>
        <v/>
      </c>
    </row>
    <row r="10427" spans="9:9" x14ac:dyDescent="0.25">
      <c r="I10427" s="227" t="str">
        <f>MID(excPisCofins[[#This Row],[CodBarras2]],2,50)</f>
        <v/>
      </c>
    </row>
    <row r="10428" spans="9:9" x14ac:dyDescent="0.25">
      <c r="I10428" s="227" t="str">
        <f>MID(excPisCofins[[#This Row],[CodBarras2]],2,50)</f>
        <v/>
      </c>
    </row>
    <row r="10429" spans="9:9" x14ac:dyDescent="0.25">
      <c r="I10429" s="227" t="str">
        <f>MID(excPisCofins[[#This Row],[CodBarras2]],2,50)</f>
        <v/>
      </c>
    </row>
    <row r="10430" spans="9:9" x14ac:dyDescent="0.25">
      <c r="I10430" s="227" t="str">
        <f>MID(excPisCofins[[#This Row],[CodBarras2]],2,50)</f>
        <v/>
      </c>
    </row>
    <row r="10431" spans="9:9" x14ac:dyDescent="0.25">
      <c r="I10431" s="227" t="str">
        <f>MID(excPisCofins[[#This Row],[CodBarras2]],2,50)</f>
        <v/>
      </c>
    </row>
    <row r="10432" spans="9:9" x14ac:dyDescent="0.25">
      <c r="I10432" s="227" t="str">
        <f>MID(excPisCofins[[#This Row],[CodBarras2]],2,50)</f>
        <v/>
      </c>
    </row>
    <row r="10433" spans="9:9" x14ac:dyDescent="0.25">
      <c r="I10433" s="227" t="str">
        <f>MID(excPisCofins[[#This Row],[CodBarras2]],2,50)</f>
        <v/>
      </c>
    </row>
    <row r="10434" spans="9:9" x14ac:dyDescent="0.25">
      <c r="I10434" s="227" t="str">
        <f>MID(excPisCofins[[#This Row],[CodBarras2]],2,50)</f>
        <v/>
      </c>
    </row>
    <row r="10435" spans="9:9" x14ac:dyDescent="0.25">
      <c r="I10435" s="227" t="str">
        <f>MID(excPisCofins[[#This Row],[CodBarras2]],2,50)</f>
        <v/>
      </c>
    </row>
    <row r="10436" spans="9:9" x14ac:dyDescent="0.25">
      <c r="I10436" s="227" t="str">
        <f>MID(excPisCofins[[#This Row],[CodBarras2]],2,50)</f>
        <v/>
      </c>
    </row>
    <row r="10437" spans="9:9" x14ac:dyDescent="0.25">
      <c r="I10437" s="227" t="str">
        <f>MID(excPisCofins[[#This Row],[CodBarras2]],2,50)</f>
        <v/>
      </c>
    </row>
    <row r="10438" spans="9:9" x14ac:dyDescent="0.25">
      <c r="I10438" s="227" t="str">
        <f>MID(excPisCofins[[#This Row],[CodBarras2]],2,50)</f>
        <v/>
      </c>
    </row>
    <row r="10439" spans="9:9" x14ac:dyDescent="0.25">
      <c r="I10439" s="227" t="str">
        <f>MID(excPisCofins[[#This Row],[CodBarras2]],2,50)</f>
        <v/>
      </c>
    </row>
    <row r="10440" spans="9:9" x14ac:dyDescent="0.25">
      <c r="I10440" s="227" t="str">
        <f>MID(excPisCofins[[#This Row],[CodBarras2]],2,50)</f>
        <v/>
      </c>
    </row>
    <row r="10441" spans="9:9" x14ac:dyDescent="0.25">
      <c r="I10441" s="227" t="str">
        <f>MID(excPisCofins[[#This Row],[CodBarras2]],2,50)</f>
        <v/>
      </c>
    </row>
    <row r="10442" spans="9:9" x14ac:dyDescent="0.25">
      <c r="I10442" s="227" t="str">
        <f>MID(excPisCofins[[#This Row],[CodBarras2]],2,50)</f>
        <v/>
      </c>
    </row>
    <row r="10443" spans="9:9" x14ac:dyDescent="0.25">
      <c r="I10443" s="227" t="str">
        <f>MID(excPisCofins[[#This Row],[CodBarras2]],2,50)</f>
        <v/>
      </c>
    </row>
    <row r="10444" spans="9:9" x14ac:dyDescent="0.25">
      <c r="I10444" s="227" t="str">
        <f>MID(excPisCofins[[#This Row],[CodBarras2]],2,50)</f>
        <v/>
      </c>
    </row>
    <row r="10445" spans="9:9" x14ac:dyDescent="0.25">
      <c r="I10445" s="227" t="str">
        <f>MID(excPisCofins[[#This Row],[CodBarras2]],2,50)</f>
        <v/>
      </c>
    </row>
    <row r="10446" spans="9:9" x14ac:dyDescent="0.25">
      <c r="I10446" s="227" t="str">
        <f>MID(excPisCofins[[#This Row],[CodBarras2]],2,50)</f>
        <v/>
      </c>
    </row>
    <row r="10447" spans="9:9" x14ac:dyDescent="0.25">
      <c r="I10447" s="227" t="str">
        <f>MID(excPisCofins[[#This Row],[CodBarras2]],2,50)</f>
        <v/>
      </c>
    </row>
    <row r="10448" spans="9:9" x14ac:dyDescent="0.25">
      <c r="I10448" s="227" t="str">
        <f>MID(excPisCofins[[#This Row],[CodBarras2]],2,50)</f>
        <v/>
      </c>
    </row>
    <row r="10449" spans="9:9" x14ac:dyDescent="0.25">
      <c r="I10449" s="227" t="str">
        <f>MID(excPisCofins[[#This Row],[CodBarras2]],2,50)</f>
        <v/>
      </c>
    </row>
    <row r="10450" spans="9:9" x14ac:dyDescent="0.25">
      <c r="I10450" s="227" t="str">
        <f>MID(excPisCofins[[#This Row],[CodBarras2]],2,50)</f>
        <v/>
      </c>
    </row>
    <row r="10451" spans="9:9" x14ac:dyDescent="0.25">
      <c r="I10451" s="227" t="str">
        <f>MID(excPisCofins[[#This Row],[CodBarras2]],2,50)</f>
        <v/>
      </c>
    </row>
    <row r="10452" spans="9:9" x14ac:dyDescent="0.25">
      <c r="I10452" s="227" t="str">
        <f>MID(excPisCofins[[#This Row],[CodBarras2]],2,50)</f>
        <v/>
      </c>
    </row>
    <row r="10453" spans="9:9" x14ac:dyDescent="0.25">
      <c r="I10453" s="227" t="str">
        <f>MID(excPisCofins[[#This Row],[CodBarras2]],2,50)</f>
        <v/>
      </c>
    </row>
    <row r="10454" spans="9:9" x14ac:dyDescent="0.25">
      <c r="I10454" s="227" t="str">
        <f>MID(excPisCofins[[#This Row],[CodBarras2]],2,50)</f>
        <v/>
      </c>
    </row>
    <row r="10455" spans="9:9" x14ac:dyDescent="0.25">
      <c r="I10455" s="227" t="str">
        <f>MID(excPisCofins[[#This Row],[CodBarras2]],2,50)</f>
        <v/>
      </c>
    </row>
    <row r="10456" spans="9:9" x14ac:dyDescent="0.25">
      <c r="I10456" s="227" t="str">
        <f>MID(excPisCofins[[#This Row],[CodBarras2]],2,50)</f>
        <v/>
      </c>
    </row>
    <row r="10457" spans="9:9" x14ac:dyDescent="0.25">
      <c r="I10457" s="227" t="str">
        <f>MID(excPisCofins[[#This Row],[CodBarras2]],2,50)</f>
        <v/>
      </c>
    </row>
    <row r="10458" spans="9:9" x14ac:dyDescent="0.25">
      <c r="I10458" s="227" t="str">
        <f>MID(excPisCofins[[#This Row],[CodBarras2]],2,50)</f>
        <v/>
      </c>
    </row>
    <row r="10459" spans="9:9" x14ac:dyDescent="0.25">
      <c r="I10459" s="227" t="str">
        <f>MID(excPisCofins[[#This Row],[CodBarras2]],2,50)</f>
        <v/>
      </c>
    </row>
    <row r="10460" spans="9:9" x14ac:dyDescent="0.25">
      <c r="I10460" s="227" t="str">
        <f>MID(excPisCofins[[#This Row],[CodBarras2]],2,50)</f>
        <v/>
      </c>
    </row>
    <row r="10461" spans="9:9" x14ac:dyDescent="0.25">
      <c r="I10461" s="227" t="str">
        <f>MID(excPisCofins[[#This Row],[CodBarras2]],2,50)</f>
        <v/>
      </c>
    </row>
    <row r="10462" spans="9:9" x14ac:dyDescent="0.25">
      <c r="I10462" s="227" t="str">
        <f>MID(excPisCofins[[#This Row],[CodBarras2]],2,50)</f>
        <v/>
      </c>
    </row>
    <row r="10463" spans="9:9" x14ac:dyDescent="0.25">
      <c r="I10463" s="227" t="str">
        <f>MID(excPisCofins[[#This Row],[CodBarras2]],2,50)</f>
        <v/>
      </c>
    </row>
    <row r="10464" spans="9:9" x14ac:dyDescent="0.25">
      <c r="I10464" s="227" t="str">
        <f>MID(excPisCofins[[#This Row],[CodBarras2]],2,50)</f>
        <v/>
      </c>
    </row>
    <row r="10465" spans="9:9" x14ac:dyDescent="0.25">
      <c r="I10465" s="227" t="str">
        <f>MID(excPisCofins[[#This Row],[CodBarras2]],2,50)</f>
        <v/>
      </c>
    </row>
    <row r="10466" spans="9:9" x14ac:dyDescent="0.25">
      <c r="I10466" s="227" t="str">
        <f>MID(excPisCofins[[#This Row],[CodBarras2]],2,50)</f>
        <v/>
      </c>
    </row>
    <row r="10467" spans="9:9" x14ac:dyDescent="0.25">
      <c r="I10467" s="227" t="str">
        <f>MID(excPisCofins[[#This Row],[CodBarras2]],2,50)</f>
        <v/>
      </c>
    </row>
    <row r="10468" spans="9:9" x14ac:dyDescent="0.25">
      <c r="I10468" s="227" t="str">
        <f>MID(excPisCofins[[#This Row],[CodBarras2]],2,50)</f>
        <v/>
      </c>
    </row>
    <row r="10469" spans="9:9" x14ac:dyDescent="0.25">
      <c r="I10469" s="227" t="str">
        <f>MID(excPisCofins[[#This Row],[CodBarras2]],2,50)</f>
        <v/>
      </c>
    </row>
    <row r="10470" spans="9:9" x14ac:dyDescent="0.25">
      <c r="I10470" s="227" t="str">
        <f>MID(excPisCofins[[#This Row],[CodBarras2]],2,50)</f>
        <v/>
      </c>
    </row>
    <row r="10471" spans="9:9" x14ac:dyDescent="0.25">
      <c r="I10471" s="227" t="str">
        <f>MID(excPisCofins[[#This Row],[CodBarras2]],2,50)</f>
        <v/>
      </c>
    </row>
    <row r="10472" spans="9:9" x14ac:dyDescent="0.25">
      <c r="I10472" s="227" t="str">
        <f>MID(excPisCofins[[#This Row],[CodBarras2]],2,50)</f>
        <v/>
      </c>
    </row>
    <row r="10473" spans="9:9" x14ac:dyDescent="0.25">
      <c r="I10473" s="227" t="str">
        <f>MID(excPisCofins[[#This Row],[CodBarras2]],2,50)</f>
        <v/>
      </c>
    </row>
    <row r="10474" spans="9:9" x14ac:dyDescent="0.25">
      <c r="I10474" s="227" t="str">
        <f>MID(excPisCofins[[#This Row],[CodBarras2]],2,50)</f>
        <v/>
      </c>
    </row>
    <row r="10475" spans="9:9" x14ac:dyDescent="0.25">
      <c r="I10475" s="227" t="str">
        <f>MID(excPisCofins[[#This Row],[CodBarras2]],2,50)</f>
        <v/>
      </c>
    </row>
    <row r="10476" spans="9:9" x14ac:dyDescent="0.25">
      <c r="I10476" s="227" t="str">
        <f>MID(excPisCofins[[#This Row],[CodBarras2]],2,50)</f>
        <v/>
      </c>
    </row>
    <row r="10477" spans="9:9" x14ac:dyDescent="0.25">
      <c r="I10477" s="227" t="str">
        <f>MID(excPisCofins[[#This Row],[CodBarras2]],2,50)</f>
        <v/>
      </c>
    </row>
    <row r="10478" spans="9:9" x14ac:dyDescent="0.25">
      <c r="I10478" s="227" t="str">
        <f>MID(excPisCofins[[#This Row],[CodBarras2]],2,50)</f>
        <v/>
      </c>
    </row>
    <row r="10479" spans="9:9" x14ac:dyDescent="0.25">
      <c r="I10479" s="227" t="str">
        <f>MID(excPisCofins[[#This Row],[CodBarras2]],2,50)</f>
        <v/>
      </c>
    </row>
    <row r="10480" spans="9:9" x14ac:dyDescent="0.25">
      <c r="I10480" s="227" t="str">
        <f>MID(excPisCofins[[#This Row],[CodBarras2]],2,50)</f>
        <v/>
      </c>
    </row>
    <row r="10481" spans="9:9" x14ac:dyDescent="0.25">
      <c r="I10481" s="227" t="str">
        <f>MID(excPisCofins[[#This Row],[CodBarras2]],2,50)</f>
        <v/>
      </c>
    </row>
    <row r="10482" spans="9:9" x14ac:dyDescent="0.25">
      <c r="I10482" s="227" t="str">
        <f>MID(excPisCofins[[#This Row],[CodBarras2]],2,50)</f>
        <v/>
      </c>
    </row>
    <row r="10483" spans="9:9" x14ac:dyDescent="0.25">
      <c r="I10483" s="227" t="str">
        <f>MID(excPisCofins[[#This Row],[CodBarras2]],2,50)</f>
        <v/>
      </c>
    </row>
    <row r="10484" spans="9:9" x14ac:dyDescent="0.25">
      <c r="I10484" s="227" t="str">
        <f>MID(excPisCofins[[#This Row],[CodBarras2]],2,50)</f>
        <v/>
      </c>
    </row>
    <row r="10485" spans="9:9" x14ac:dyDescent="0.25">
      <c r="I10485" s="227" t="str">
        <f>MID(excPisCofins[[#This Row],[CodBarras2]],2,50)</f>
        <v/>
      </c>
    </row>
    <row r="10486" spans="9:9" x14ac:dyDescent="0.25">
      <c r="I10486" s="227" t="str">
        <f>MID(excPisCofins[[#This Row],[CodBarras2]],2,50)</f>
        <v/>
      </c>
    </row>
    <row r="10487" spans="9:9" x14ac:dyDescent="0.25">
      <c r="I10487" s="227" t="str">
        <f>MID(excPisCofins[[#This Row],[CodBarras2]],2,50)</f>
        <v/>
      </c>
    </row>
    <row r="10488" spans="9:9" x14ac:dyDescent="0.25">
      <c r="I10488" s="227" t="str">
        <f>MID(excPisCofins[[#This Row],[CodBarras2]],2,50)</f>
        <v/>
      </c>
    </row>
    <row r="10489" spans="9:9" x14ac:dyDescent="0.25">
      <c r="I10489" s="227" t="str">
        <f>MID(excPisCofins[[#This Row],[CodBarras2]],2,50)</f>
        <v/>
      </c>
    </row>
    <row r="10490" spans="9:9" x14ac:dyDescent="0.25">
      <c r="I10490" s="227" t="str">
        <f>MID(excPisCofins[[#This Row],[CodBarras2]],2,50)</f>
        <v/>
      </c>
    </row>
    <row r="10491" spans="9:9" x14ac:dyDescent="0.25">
      <c r="I10491" s="227" t="str">
        <f>MID(excPisCofins[[#This Row],[CodBarras2]],2,50)</f>
        <v/>
      </c>
    </row>
    <row r="10492" spans="9:9" x14ac:dyDescent="0.25">
      <c r="I10492" s="227" t="str">
        <f>MID(excPisCofins[[#This Row],[CodBarras2]],2,50)</f>
        <v/>
      </c>
    </row>
    <row r="10493" spans="9:9" x14ac:dyDescent="0.25">
      <c r="I10493" s="227" t="str">
        <f>MID(excPisCofins[[#This Row],[CodBarras2]],2,50)</f>
        <v/>
      </c>
    </row>
    <row r="10494" spans="9:9" x14ac:dyDescent="0.25">
      <c r="I10494" s="227" t="str">
        <f>MID(excPisCofins[[#This Row],[CodBarras2]],2,50)</f>
        <v/>
      </c>
    </row>
    <row r="10495" spans="9:9" x14ac:dyDescent="0.25">
      <c r="I10495" s="227" t="str">
        <f>MID(excPisCofins[[#This Row],[CodBarras2]],2,50)</f>
        <v/>
      </c>
    </row>
    <row r="10496" spans="9:9" x14ac:dyDescent="0.25">
      <c r="I10496" s="227" t="str">
        <f>MID(excPisCofins[[#This Row],[CodBarras2]],2,50)</f>
        <v/>
      </c>
    </row>
    <row r="10497" spans="9:9" x14ac:dyDescent="0.25">
      <c r="I10497" s="227" t="str">
        <f>MID(excPisCofins[[#This Row],[CodBarras2]],2,50)</f>
        <v/>
      </c>
    </row>
    <row r="10498" spans="9:9" x14ac:dyDescent="0.25">
      <c r="I10498" s="227" t="str">
        <f>MID(excPisCofins[[#This Row],[CodBarras2]],2,50)</f>
        <v/>
      </c>
    </row>
    <row r="10499" spans="9:9" x14ac:dyDescent="0.25">
      <c r="I10499" s="227" t="str">
        <f>MID(excPisCofins[[#This Row],[CodBarras2]],2,50)</f>
        <v/>
      </c>
    </row>
    <row r="10500" spans="9:9" x14ac:dyDescent="0.25">
      <c r="I10500" s="227" t="str">
        <f>MID(excPisCofins[[#This Row],[CodBarras2]],2,50)</f>
        <v/>
      </c>
    </row>
    <row r="10501" spans="9:9" x14ac:dyDescent="0.25">
      <c r="I10501" s="227" t="str">
        <f>MID(excPisCofins[[#This Row],[CodBarras2]],2,50)</f>
        <v/>
      </c>
    </row>
    <row r="10502" spans="9:9" x14ac:dyDescent="0.25">
      <c r="I10502" s="227" t="str">
        <f>MID(excPisCofins[[#This Row],[CodBarras2]],2,50)</f>
        <v/>
      </c>
    </row>
    <row r="10503" spans="9:9" x14ac:dyDescent="0.25">
      <c r="I10503" s="227" t="str">
        <f>MID(excPisCofins[[#This Row],[CodBarras2]],2,50)</f>
        <v/>
      </c>
    </row>
    <row r="10504" spans="9:9" x14ac:dyDescent="0.25">
      <c r="I10504" s="227" t="str">
        <f>MID(excPisCofins[[#This Row],[CodBarras2]],2,50)</f>
        <v/>
      </c>
    </row>
    <row r="10505" spans="9:9" x14ac:dyDescent="0.25">
      <c r="I10505" s="227" t="str">
        <f>MID(excPisCofins[[#This Row],[CodBarras2]],2,50)</f>
        <v/>
      </c>
    </row>
    <row r="10506" spans="9:9" x14ac:dyDescent="0.25">
      <c r="I10506" s="227" t="str">
        <f>MID(excPisCofins[[#This Row],[CodBarras2]],2,50)</f>
        <v/>
      </c>
    </row>
    <row r="10507" spans="9:9" x14ac:dyDescent="0.25">
      <c r="I10507" s="227" t="str">
        <f>MID(excPisCofins[[#This Row],[CodBarras2]],2,50)</f>
        <v/>
      </c>
    </row>
    <row r="10508" spans="9:9" x14ac:dyDescent="0.25">
      <c r="I10508" s="227" t="str">
        <f>MID(excPisCofins[[#This Row],[CodBarras2]],2,50)</f>
        <v/>
      </c>
    </row>
    <row r="10509" spans="9:9" x14ac:dyDescent="0.25">
      <c r="I10509" s="227" t="str">
        <f>MID(excPisCofins[[#This Row],[CodBarras2]],2,50)</f>
        <v/>
      </c>
    </row>
    <row r="10510" spans="9:9" x14ac:dyDescent="0.25">
      <c r="I10510" s="227" t="str">
        <f>MID(excPisCofins[[#This Row],[CodBarras2]],2,50)</f>
        <v/>
      </c>
    </row>
    <row r="10511" spans="9:9" x14ac:dyDescent="0.25">
      <c r="I10511" s="227" t="str">
        <f>MID(excPisCofins[[#This Row],[CodBarras2]],2,50)</f>
        <v/>
      </c>
    </row>
    <row r="10512" spans="9:9" x14ac:dyDescent="0.25">
      <c r="I10512" s="227" t="str">
        <f>MID(excPisCofins[[#This Row],[CodBarras2]],2,50)</f>
        <v/>
      </c>
    </row>
    <row r="10513" spans="9:9" x14ac:dyDescent="0.25">
      <c r="I10513" s="227" t="str">
        <f>MID(excPisCofins[[#This Row],[CodBarras2]],2,50)</f>
        <v/>
      </c>
    </row>
    <row r="10514" spans="9:9" x14ac:dyDescent="0.25">
      <c r="I10514" s="227" t="str">
        <f>MID(excPisCofins[[#This Row],[CodBarras2]],2,50)</f>
        <v/>
      </c>
    </row>
    <row r="10515" spans="9:9" x14ac:dyDescent="0.25">
      <c r="I10515" s="227" t="str">
        <f>MID(excPisCofins[[#This Row],[CodBarras2]],2,50)</f>
        <v/>
      </c>
    </row>
    <row r="10516" spans="9:9" x14ac:dyDescent="0.25">
      <c r="I10516" s="227" t="str">
        <f>MID(excPisCofins[[#This Row],[CodBarras2]],2,50)</f>
        <v/>
      </c>
    </row>
    <row r="10517" spans="9:9" x14ac:dyDescent="0.25">
      <c r="I10517" s="227" t="str">
        <f>MID(excPisCofins[[#This Row],[CodBarras2]],2,50)</f>
        <v/>
      </c>
    </row>
    <row r="10518" spans="9:9" x14ac:dyDescent="0.25">
      <c r="I10518" s="227" t="str">
        <f>MID(excPisCofins[[#This Row],[CodBarras2]],2,50)</f>
        <v/>
      </c>
    </row>
    <row r="10519" spans="9:9" x14ac:dyDescent="0.25">
      <c r="I10519" s="227" t="str">
        <f>MID(excPisCofins[[#This Row],[CodBarras2]],2,50)</f>
        <v/>
      </c>
    </row>
    <row r="10520" spans="9:9" x14ac:dyDescent="0.25">
      <c r="I10520" s="227" t="str">
        <f>MID(excPisCofins[[#This Row],[CodBarras2]],2,50)</f>
        <v/>
      </c>
    </row>
    <row r="10521" spans="9:9" x14ac:dyDescent="0.25">
      <c r="I10521" s="227" t="str">
        <f>MID(excPisCofins[[#This Row],[CodBarras2]],2,50)</f>
        <v/>
      </c>
    </row>
    <row r="10522" spans="9:9" x14ac:dyDescent="0.25">
      <c r="I10522" s="227" t="str">
        <f>MID(excPisCofins[[#This Row],[CodBarras2]],2,50)</f>
        <v/>
      </c>
    </row>
    <row r="10523" spans="9:9" x14ac:dyDescent="0.25">
      <c r="I10523" s="227" t="str">
        <f>MID(excPisCofins[[#This Row],[CodBarras2]],2,50)</f>
        <v/>
      </c>
    </row>
    <row r="10524" spans="9:9" x14ac:dyDescent="0.25">
      <c r="I10524" s="227" t="str">
        <f>MID(excPisCofins[[#This Row],[CodBarras2]],2,50)</f>
        <v/>
      </c>
    </row>
    <row r="10525" spans="9:9" x14ac:dyDescent="0.25">
      <c r="I10525" s="227" t="str">
        <f>MID(excPisCofins[[#This Row],[CodBarras2]],2,50)</f>
        <v/>
      </c>
    </row>
    <row r="10526" spans="9:9" x14ac:dyDescent="0.25">
      <c r="I10526" s="227" t="str">
        <f>MID(excPisCofins[[#This Row],[CodBarras2]],2,50)</f>
        <v/>
      </c>
    </row>
    <row r="10527" spans="9:9" x14ac:dyDescent="0.25">
      <c r="I10527" s="227" t="str">
        <f>MID(excPisCofins[[#This Row],[CodBarras2]],2,50)</f>
        <v/>
      </c>
    </row>
    <row r="10528" spans="9:9" x14ac:dyDescent="0.25">
      <c r="I10528" s="227" t="str">
        <f>MID(excPisCofins[[#This Row],[CodBarras2]],2,50)</f>
        <v/>
      </c>
    </row>
    <row r="10529" spans="9:9" x14ac:dyDescent="0.25">
      <c r="I10529" s="227" t="str">
        <f>MID(excPisCofins[[#This Row],[CodBarras2]],2,50)</f>
        <v/>
      </c>
    </row>
    <row r="10530" spans="9:9" x14ac:dyDescent="0.25">
      <c r="I10530" s="227" t="str">
        <f>MID(excPisCofins[[#This Row],[CodBarras2]],2,50)</f>
        <v/>
      </c>
    </row>
    <row r="10531" spans="9:9" x14ac:dyDescent="0.25">
      <c r="I10531" s="227" t="str">
        <f>MID(excPisCofins[[#This Row],[CodBarras2]],2,50)</f>
        <v/>
      </c>
    </row>
    <row r="10532" spans="9:9" x14ac:dyDescent="0.25">
      <c r="I10532" s="227" t="str">
        <f>MID(excPisCofins[[#This Row],[CodBarras2]],2,50)</f>
        <v/>
      </c>
    </row>
    <row r="10533" spans="9:9" x14ac:dyDescent="0.25">
      <c r="I10533" s="227" t="str">
        <f>MID(excPisCofins[[#This Row],[CodBarras2]],2,50)</f>
        <v/>
      </c>
    </row>
    <row r="10534" spans="9:9" x14ac:dyDescent="0.25">
      <c r="I10534" s="227" t="str">
        <f>MID(excPisCofins[[#This Row],[CodBarras2]],2,50)</f>
        <v/>
      </c>
    </row>
    <row r="10535" spans="9:9" x14ac:dyDescent="0.25">
      <c r="I10535" s="227" t="str">
        <f>MID(excPisCofins[[#This Row],[CodBarras2]],2,50)</f>
        <v/>
      </c>
    </row>
    <row r="10536" spans="9:9" x14ac:dyDescent="0.25">
      <c r="I10536" s="227" t="str">
        <f>MID(excPisCofins[[#This Row],[CodBarras2]],2,50)</f>
        <v/>
      </c>
    </row>
    <row r="10537" spans="9:9" x14ac:dyDescent="0.25">
      <c r="I10537" s="227" t="str">
        <f>MID(excPisCofins[[#This Row],[CodBarras2]],2,50)</f>
        <v/>
      </c>
    </row>
    <row r="10538" spans="9:9" x14ac:dyDescent="0.25">
      <c r="I10538" s="227" t="str">
        <f>MID(excPisCofins[[#This Row],[CodBarras2]],2,50)</f>
        <v/>
      </c>
    </row>
    <row r="10539" spans="9:9" x14ac:dyDescent="0.25">
      <c r="I10539" s="227" t="str">
        <f>MID(excPisCofins[[#This Row],[CodBarras2]],2,50)</f>
        <v/>
      </c>
    </row>
    <row r="10540" spans="9:9" x14ac:dyDescent="0.25">
      <c r="I10540" s="227" t="str">
        <f>MID(excPisCofins[[#This Row],[CodBarras2]],2,50)</f>
        <v/>
      </c>
    </row>
    <row r="10541" spans="9:9" x14ac:dyDescent="0.25">
      <c r="I10541" s="227" t="str">
        <f>MID(excPisCofins[[#This Row],[CodBarras2]],2,50)</f>
        <v/>
      </c>
    </row>
    <row r="10542" spans="9:9" x14ac:dyDescent="0.25">
      <c r="I10542" s="227" t="str">
        <f>MID(excPisCofins[[#This Row],[CodBarras2]],2,50)</f>
        <v/>
      </c>
    </row>
    <row r="10543" spans="9:9" x14ac:dyDescent="0.25">
      <c r="I10543" s="227" t="str">
        <f>MID(excPisCofins[[#This Row],[CodBarras2]],2,50)</f>
        <v/>
      </c>
    </row>
    <row r="10544" spans="9:9" x14ac:dyDescent="0.25">
      <c r="I10544" s="227" t="str">
        <f>MID(excPisCofins[[#This Row],[CodBarras2]],2,50)</f>
        <v/>
      </c>
    </row>
    <row r="10545" spans="9:9" x14ac:dyDescent="0.25">
      <c r="I10545" s="227" t="str">
        <f>MID(excPisCofins[[#This Row],[CodBarras2]],2,50)</f>
        <v/>
      </c>
    </row>
    <row r="10546" spans="9:9" x14ac:dyDescent="0.25">
      <c r="I10546" s="227" t="str">
        <f>MID(excPisCofins[[#This Row],[CodBarras2]],2,50)</f>
        <v/>
      </c>
    </row>
    <row r="10547" spans="9:9" x14ac:dyDescent="0.25">
      <c r="I10547" s="227" t="str">
        <f>MID(excPisCofins[[#This Row],[CodBarras2]],2,50)</f>
        <v/>
      </c>
    </row>
    <row r="10548" spans="9:9" x14ac:dyDescent="0.25">
      <c r="I10548" s="227" t="str">
        <f>MID(excPisCofins[[#This Row],[CodBarras2]],2,50)</f>
        <v/>
      </c>
    </row>
    <row r="10549" spans="9:9" x14ac:dyDescent="0.25">
      <c r="I10549" s="227" t="str">
        <f>MID(excPisCofins[[#This Row],[CodBarras2]],2,50)</f>
        <v/>
      </c>
    </row>
    <row r="10550" spans="9:9" x14ac:dyDescent="0.25">
      <c r="I10550" s="227" t="str">
        <f>MID(excPisCofins[[#This Row],[CodBarras2]],2,50)</f>
        <v/>
      </c>
    </row>
    <row r="10551" spans="9:9" x14ac:dyDescent="0.25">
      <c r="I10551" s="227" t="str">
        <f>MID(excPisCofins[[#This Row],[CodBarras2]],2,50)</f>
        <v/>
      </c>
    </row>
    <row r="10552" spans="9:9" x14ac:dyDescent="0.25">
      <c r="I10552" s="227" t="str">
        <f>MID(excPisCofins[[#This Row],[CodBarras2]],2,50)</f>
        <v/>
      </c>
    </row>
    <row r="10553" spans="9:9" x14ac:dyDescent="0.25">
      <c r="I10553" s="227" t="str">
        <f>MID(excPisCofins[[#This Row],[CodBarras2]],2,50)</f>
        <v/>
      </c>
    </row>
    <row r="10554" spans="9:9" x14ac:dyDescent="0.25">
      <c r="I10554" s="227" t="str">
        <f>MID(excPisCofins[[#This Row],[CodBarras2]],2,50)</f>
        <v/>
      </c>
    </row>
    <row r="10555" spans="9:9" x14ac:dyDescent="0.25">
      <c r="I10555" s="227" t="str">
        <f>MID(excPisCofins[[#This Row],[CodBarras2]],2,50)</f>
        <v/>
      </c>
    </row>
    <row r="10556" spans="9:9" x14ac:dyDescent="0.25">
      <c r="I10556" s="227" t="str">
        <f>MID(excPisCofins[[#This Row],[CodBarras2]],2,50)</f>
        <v/>
      </c>
    </row>
    <row r="10557" spans="9:9" x14ac:dyDescent="0.25">
      <c r="I10557" s="227" t="str">
        <f>MID(excPisCofins[[#This Row],[CodBarras2]],2,50)</f>
        <v/>
      </c>
    </row>
    <row r="10558" spans="9:9" x14ac:dyDescent="0.25">
      <c r="I10558" s="227" t="str">
        <f>MID(excPisCofins[[#This Row],[CodBarras2]],2,50)</f>
        <v/>
      </c>
    </row>
    <row r="10559" spans="9:9" x14ac:dyDescent="0.25">
      <c r="I10559" s="227" t="str">
        <f>MID(excPisCofins[[#This Row],[CodBarras2]],2,50)</f>
        <v/>
      </c>
    </row>
    <row r="10560" spans="9:9" x14ac:dyDescent="0.25">
      <c r="I10560" s="227" t="str">
        <f>MID(excPisCofins[[#This Row],[CodBarras2]],2,50)</f>
        <v/>
      </c>
    </row>
    <row r="10561" spans="9:9" x14ac:dyDescent="0.25">
      <c r="I10561" s="227" t="str">
        <f>MID(excPisCofins[[#This Row],[CodBarras2]],2,50)</f>
        <v/>
      </c>
    </row>
    <row r="10562" spans="9:9" x14ac:dyDescent="0.25">
      <c r="I10562" s="227" t="str">
        <f>MID(excPisCofins[[#This Row],[CodBarras2]],2,50)</f>
        <v/>
      </c>
    </row>
    <row r="10563" spans="9:9" x14ac:dyDescent="0.25">
      <c r="I10563" s="227" t="str">
        <f>MID(excPisCofins[[#This Row],[CodBarras2]],2,50)</f>
        <v/>
      </c>
    </row>
    <row r="10564" spans="9:9" x14ac:dyDescent="0.25">
      <c r="I10564" s="227" t="str">
        <f>MID(excPisCofins[[#This Row],[CodBarras2]],2,50)</f>
        <v/>
      </c>
    </row>
    <row r="10565" spans="9:9" x14ac:dyDescent="0.25">
      <c r="I10565" s="227" t="str">
        <f>MID(excPisCofins[[#This Row],[CodBarras2]],2,50)</f>
        <v/>
      </c>
    </row>
    <row r="10566" spans="9:9" x14ac:dyDescent="0.25">
      <c r="I10566" s="227" t="str">
        <f>MID(excPisCofins[[#This Row],[CodBarras2]],2,50)</f>
        <v/>
      </c>
    </row>
    <row r="10567" spans="9:9" x14ac:dyDescent="0.25">
      <c r="I10567" s="227" t="str">
        <f>MID(excPisCofins[[#This Row],[CodBarras2]],2,50)</f>
        <v/>
      </c>
    </row>
    <row r="10568" spans="9:9" x14ac:dyDescent="0.25">
      <c r="I10568" s="227" t="str">
        <f>MID(excPisCofins[[#This Row],[CodBarras2]],2,50)</f>
        <v/>
      </c>
    </row>
    <row r="10569" spans="9:9" x14ac:dyDescent="0.25">
      <c r="I10569" s="227" t="str">
        <f>MID(excPisCofins[[#This Row],[CodBarras2]],2,50)</f>
        <v/>
      </c>
    </row>
    <row r="10570" spans="9:9" x14ac:dyDescent="0.25">
      <c r="I10570" s="227" t="str">
        <f>MID(excPisCofins[[#This Row],[CodBarras2]],2,50)</f>
        <v/>
      </c>
    </row>
    <row r="10571" spans="9:9" x14ac:dyDescent="0.25">
      <c r="I10571" s="227" t="str">
        <f>MID(excPisCofins[[#This Row],[CodBarras2]],2,50)</f>
        <v/>
      </c>
    </row>
    <row r="10572" spans="9:9" x14ac:dyDescent="0.25">
      <c r="I10572" s="227" t="str">
        <f>MID(excPisCofins[[#This Row],[CodBarras2]],2,50)</f>
        <v/>
      </c>
    </row>
    <row r="10573" spans="9:9" x14ac:dyDescent="0.25">
      <c r="I10573" s="227" t="str">
        <f>MID(excPisCofins[[#This Row],[CodBarras2]],2,50)</f>
        <v/>
      </c>
    </row>
    <row r="10574" spans="9:9" x14ac:dyDescent="0.25">
      <c r="I10574" s="227" t="str">
        <f>MID(excPisCofins[[#This Row],[CodBarras2]],2,50)</f>
        <v/>
      </c>
    </row>
    <row r="10575" spans="9:9" x14ac:dyDescent="0.25">
      <c r="I10575" s="227" t="str">
        <f>MID(excPisCofins[[#This Row],[CodBarras2]],2,50)</f>
        <v/>
      </c>
    </row>
    <row r="10576" spans="9:9" x14ac:dyDescent="0.25">
      <c r="I10576" s="227" t="str">
        <f>MID(excPisCofins[[#This Row],[CodBarras2]],2,50)</f>
        <v/>
      </c>
    </row>
    <row r="10577" spans="9:9" x14ac:dyDescent="0.25">
      <c r="I10577" s="227" t="str">
        <f>MID(excPisCofins[[#This Row],[CodBarras2]],2,50)</f>
        <v/>
      </c>
    </row>
    <row r="10578" spans="9:9" x14ac:dyDescent="0.25">
      <c r="I10578" s="227" t="str">
        <f>MID(excPisCofins[[#This Row],[CodBarras2]],2,50)</f>
        <v/>
      </c>
    </row>
    <row r="10579" spans="9:9" x14ac:dyDescent="0.25">
      <c r="I10579" s="227" t="str">
        <f>MID(excPisCofins[[#This Row],[CodBarras2]],2,50)</f>
        <v/>
      </c>
    </row>
    <row r="10580" spans="9:9" x14ac:dyDescent="0.25">
      <c r="I10580" s="227" t="str">
        <f>MID(excPisCofins[[#This Row],[CodBarras2]],2,50)</f>
        <v/>
      </c>
    </row>
    <row r="10581" spans="9:9" x14ac:dyDescent="0.25">
      <c r="I10581" s="227" t="str">
        <f>MID(excPisCofins[[#This Row],[CodBarras2]],2,50)</f>
        <v/>
      </c>
    </row>
    <row r="10582" spans="9:9" x14ac:dyDescent="0.25">
      <c r="I10582" s="227" t="str">
        <f>MID(excPisCofins[[#This Row],[CodBarras2]],2,50)</f>
        <v/>
      </c>
    </row>
    <row r="10583" spans="9:9" x14ac:dyDescent="0.25">
      <c r="I10583" s="227" t="str">
        <f>MID(excPisCofins[[#This Row],[CodBarras2]],2,50)</f>
        <v/>
      </c>
    </row>
    <row r="10584" spans="9:9" x14ac:dyDescent="0.25">
      <c r="I10584" s="227" t="str">
        <f>MID(excPisCofins[[#This Row],[CodBarras2]],2,50)</f>
        <v/>
      </c>
    </row>
    <row r="10585" spans="9:9" x14ac:dyDescent="0.25">
      <c r="I10585" s="227" t="str">
        <f>MID(excPisCofins[[#This Row],[CodBarras2]],2,50)</f>
        <v/>
      </c>
    </row>
    <row r="10586" spans="9:9" x14ac:dyDescent="0.25">
      <c r="I10586" s="227" t="str">
        <f>MID(excPisCofins[[#This Row],[CodBarras2]],2,50)</f>
        <v/>
      </c>
    </row>
    <row r="10587" spans="9:9" x14ac:dyDescent="0.25">
      <c r="I10587" s="227" t="str">
        <f>MID(excPisCofins[[#This Row],[CodBarras2]],2,50)</f>
        <v/>
      </c>
    </row>
    <row r="10588" spans="9:9" x14ac:dyDescent="0.25">
      <c r="I10588" s="227" t="str">
        <f>MID(excPisCofins[[#This Row],[CodBarras2]],2,50)</f>
        <v/>
      </c>
    </row>
    <row r="10589" spans="9:9" x14ac:dyDescent="0.25">
      <c r="I10589" s="227" t="str">
        <f>MID(excPisCofins[[#This Row],[CodBarras2]],2,50)</f>
        <v/>
      </c>
    </row>
    <row r="10590" spans="9:9" x14ac:dyDescent="0.25">
      <c r="I10590" s="227" t="str">
        <f>MID(excPisCofins[[#This Row],[CodBarras2]],2,50)</f>
        <v/>
      </c>
    </row>
    <row r="10591" spans="9:9" x14ac:dyDescent="0.25">
      <c r="I10591" s="227" t="str">
        <f>MID(excPisCofins[[#This Row],[CodBarras2]],2,50)</f>
        <v/>
      </c>
    </row>
    <row r="10592" spans="9:9" x14ac:dyDescent="0.25">
      <c r="I10592" s="227" t="str">
        <f>MID(excPisCofins[[#This Row],[CodBarras2]],2,50)</f>
        <v/>
      </c>
    </row>
    <row r="10593" spans="9:9" x14ac:dyDescent="0.25">
      <c r="I10593" s="227" t="str">
        <f>MID(excPisCofins[[#This Row],[CodBarras2]],2,50)</f>
        <v/>
      </c>
    </row>
    <row r="10594" spans="9:9" x14ac:dyDescent="0.25">
      <c r="I10594" s="227" t="str">
        <f>MID(excPisCofins[[#This Row],[CodBarras2]],2,50)</f>
        <v/>
      </c>
    </row>
    <row r="10595" spans="9:9" x14ac:dyDescent="0.25">
      <c r="I10595" s="227" t="str">
        <f>MID(excPisCofins[[#This Row],[CodBarras2]],2,50)</f>
        <v/>
      </c>
    </row>
    <row r="10596" spans="9:9" x14ac:dyDescent="0.25">
      <c r="I10596" s="227" t="str">
        <f>MID(excPisCofins[[#This Row],[CodBarras2]],2,50)</f>
        <v/>
      </c>
    </row>
    <row r="10597" spans="9:9" x14ac:dyDescent="0.25">
      <c r="I10597" s="227" t="str">
        <f>MID(excPisCofins[[#This Row],[CodBarras2]],2,50)</f>
        <v/>
      </c>
    </row>
    <row r="10598" spans="9:9" x14ac:dyDescent="0.25">
      <c r="I10598" s="227" t="str">
        <f>MID(excPisCofins[[#This Row],[CodBarras2]],2,50)</f>
        <v/>
      </c>
    </row>
    <row r="10599" spans="9:9" x14ac:dyDescent="0.25">
      <c r="I10599" s="227" t="str">
        <f>MID(excPisCofins[[#This Row],[CodBarras2]],2,50)</f>
        <v/>
      </c>
    </row>
    <row r="10600" spans="9:9" x14ac:dyDescent="0.25">
      <c r="I10600" s="227" t="str">
        <f>MID(excPisCofins[[#This Row],[CodBarras2]],2,50)</f>
        <v/>
      </c>
    </row>
    <row r="10601" spans="9:9" x14ac:dyDescent="0.25">
      <c r="I10601" s="227" t="str">
        <f>MID(excPisCofins[[#This Row],[CodBarras2]],2,50)</f>
        <v/>
      </c>
    </row>
    <row r="10602" spans="9:9" x14ac:dyDescent="0.25">
      <c r="I10602" s="227" t="str">
        <f>MID(excPisCofins[[#This Row],[CodBarras2]],2,50)</f>
        <v/>
      </c>
    </row>
    <row r="10603" spans="9:9" x14ac:dyDescent="0.25">
      <c r="I10603" s="227" t="str">
        <f>MID(excPisCofins[[#This Row],[CodBarras2]],2,50)</f>
        <v/>
      </c>
    </row>
    <row r="10604" spans="9:9" x14ac:dyDescent="0.25">
      <c r="I10604" s="227" t="str">
        <f>MID(excPisCofins[[#This Row],[CodBarras2]],2,50)</f>
        <v/>
      </c>
    </row>
    <row r="10605" spans="9:9" x14ac:dyDescent="0.25">
      <c r="I10605" s="227" t="str">
        <f>MID(excPisCofins[[#This Row],[CodBarras2]],2,50)</f>
        <v/>
      </c>
    </row>
    <row r="10606" spans="9:9" x14ac:dyDescent="0.25">
      <c r="I10606" s="227" t="str">
        <f>MID(excPisCofins[[#This Row],[CodBarras2]],2,50)</f>
        <v/>
      </c>
    </row>
    <row r="10607" spans="9:9" x14ac:dyDescent="0.25">
      <c r="I10607" s="227" t="str">
        <f>MID(excPisCofins[[#This Row],[CodBarras2]],2,50)</f>
        <v/>
      </c>
    </row>
    <row r="10608" spans="9:9" x14ac:dyDescent="0.25">
      <c r="I10608" s="227" t="str">
        <f>MID(excPisCofins[[#This Row],[CodBarras2]],2,50)</f>
        <v/>
      </c>
    </row>
    <row r="10609" spans="9:9" x14ac:dyDescent="0.25">
      <c r="I10609" s="227" t="str">
        <f>MID(excPisCofins[[#This Row],[CodBarras2]],2,50)</f>
        <v/>
      </c>
    </row>
    <row r="10610" spans="9:9" x14ac:dyDescent="0.25">
      <c r="I10610" s="227" t="str">
        <f>MID(excPisCofins[[#This Row],[CodBarras2]],2,50)</f>
        <v/>
      </c>
    </row>
    <row r="10611" spans="9:9" x14ac:dyDescent="0.25">
      <c r="I10611" s="227" t="str">
        <f>MID(excPisCofins[[#This Row],[CodBarras2]],2,50)</f>
        <v/>
      </c>
    </row>
    <row r="10612" spans="9:9" x14ac:dyDescent="0.25">
      <c r="I10612" s="227" t="str">
        <f>MID(excPisCofins[[#This Row],[CodBarras2]],2,50)</f>
        <v/>
      </c>
    </row>
    <row r="10613" spans="9:9" x14ac:dyDescent="0.25">
      <c r="I10613" s="227" t="str">
        <f>MID(excPisCofins[[#This Row],[CodBarras2]],2,50)</f>
        <v/>
      </c>
    </row>
    <row r="10614" spans="9:9" x14ac:dyDescent="0.25">
      <c r="I10614" s="227" t="str">
        <f>MID(excPisCofins[[#This Row],[CodBarras2]],2,50)</f>
        <v/>
      </c>
    </row>
    <row r="10615" spans="9:9" x14ac:dyDescent="0.25">
      <c r="I10615" s="227" t="str">
        <f>MID(excPisCofins[[#This Row],[CodBarras2]],2,50)</f>
        <v/>
      </c>
    </row>
    <row r="10616" spans="9:9" x14ac:dyDescent="0.25">
      <c r="I10616" s="227" t="str">
        <f>MID(excPisCofins[[#This Row],[CodBarras2]],2,50)</f>
        <v/>
      </c>
    </row>
    <row r="10617" spans="9:9" x14ac:dyDescent="0.25">
      <c r="I10617" s="227" t="str">
        <f>MID(excPisCofins[[#This Row],[CodBarras2]],2,50)</f>
        <v/>
      </c>
    </row>
    <row r="10618" spans="9:9" x14ac:dyDescent="0.25">
      <c r="I10618" s="227" t="str">
        <f>MID(excPisCofins[[#This Row],[CodBarras2]],2,50)</f>
        <v/>
      </c>
    </row>
    <row r="10619" spans="9:9" x14ac:dyDescent="0.25">
      <c r="I10619" s="227" t="str">
        <f>MID(excPisCofins[[#This Row],[CodBarras2]],2,50)</f>
        <v/>
      </c>
    </row>
    <row r="10620" spans="9:9" x14ac:dyDescent="0.25">
      <c r="I10620" s="227" t="str">
        <f>MID(excPisCofins[[#This Row],[CodBarras2]],2,50)</f>
        <v/>
      </c>
    </row>
    <row r="10621" spans="9:9" x14ac:dyDescent="0.25">
      <c r="I10621" s="227" t="str">
        <f>MID(excPisCofins[[#This Row],[CodBarras2]],2,50)</f>
        <v/>
      </c>
    </row>
    <row r="10622" spans="9:9" x14ac:dyDescent="0.25">
      <c r="I10622" s="227" t="str">
        <f>MID(excPisCofins[[#This Row],[CodBarras2]],2,50)</f>
        <v/>
      </c>
    </row>
    <row r="10623" spans="9:9" x14ac:dyDescent="0.25">
      <c r="I10623" s="227" t="str">
        <f>MID(excPisCofins[[#This Row],[CodBarras2]],2,50)</f>
        <v/>
      </c>
    </row>
    <row r="10624" spans="9:9" x14ac:dyDescent="0.25">
      <c r="I10624" s="227" t="str">
        <f>MID(excPisCofins[[#This Row],[CodBarras2]],2,50)</f>
        <v/>
      </c>
    </row>
    <row r="10625" spans="9:9" x14ac:dyDescent="0.25">
      <c r="I10625" s="227" t="str">
        <f>MID(excPisCofins[[#This Row],[CodBarras2]],2,50)</f>
        <v/>
      </c>
    </row>
    <row r="10626" spans="9:9" x14ac:dyDescent="0.25">
      <c r="I10626" s="227" t="str">
        <f>MID(excPisCofins[[#This Row],[CodBarras2]],2,50)</f>
        <v/>
      </c>
    </row>
    <row r="10627" spans="9:9" x14ac:dyDescent="0.25">
      <c r="I10627" s="227" t="str">
        <f>MID(excPisCofins[[#This Row],[CodBarras2]],2,50)</f>
        <v/>
      </c>
    </row>
    <row r="10628" spans="9:9" x14ac:dyDescent="0.25">
      <c r="I10628" s="227" t="str">
        <f>MID(excPisCofins[[#This Row],[CodBarras2]],2,50)</f>
        <v/>
      </c>
    </row>
    <row r="10629" spans="9:9" x14ac:dyDescent="0.25">
      <c r="I10629" s="227" t="str">
        <f>MID(excPisCofins[[#This Row],[CodBarras2]],2,50)</f>
        <v/>
      </c>
    </row>
    <row r="10630" spans="9:9" x14ac:dyDescent="0.25">
      <c r="I10630" s="227" t="str">
        <f>MID(excPisCofins[[#This Row],[CodBarras2]],2,50)</f>
        <v/>
      </c>
    </row>
    <row r="10631" spans="9:9" x14ac:dyDescent="0.25">
      <c r="I10631" s="227" t="str">
        <f>MID(excPisCofins[[#This Row],[CodBarras2]],2,50)</f>
        <v/>
      </c>
    </row>
    <row r="10632" spans="9:9" x14ac:dyDescent="0.25">
      <c r="I10632" s="227" t="str">
        <f>MID(excPisCofins[[#This Row],[CodBarras2]],2,50)</f>
        <v/>
      </c>
    </row>
    <row r="10633" spans="9:9" x14ac:dyDescent="0.25">
      <c r="I10633" s="227" t="str">
        <f>MID(excPisCofins[[#This Row],[CodBarras2]],2,50)</f>
        <v/>
      </c>
    </row>
    <row r="10634" spans="9:9" x14ac:dyDescent="0.25">
      <c r="I10634" s="227" t="str">
        <f>MID(excPisCofins[[#This Row],[CodBarras2]],2,50)</f>
        <v/>
      </c>
    </row>
    <row r="10635" spans="9:9" x14ac:dyDescent="0.25">
      <c r="I10635" s="227" t="str">
        <f>MID(excPisCofins[[#This Row],[CodBarras2]],2,50)</f>
        <v/>
      </c>
    </row>
    <row r="10636" spans="9:9" x14ac:dyDescent="0.25">
      <c r="I10636" s="227" t="str">
        <f>MID(excPisCofins[[#This Row],[CodBarras2]],2,50)</f>
        <v/>
      </c>
    </row>
    <row r="10637" spans="9:9" x14ac:dyDescent="0.25">
      <c r="I10637" s="227" t="str">
        <f>MID(excPisCofins[[#This Row],[CodBarras2]],2,50)</f>
        <v/>
      </c>
    </row>
    <row r="10638" spans="9:9" x14ac:dyDescent="0.25">
      <c r="I10638" s="227" t="str">
        <f>MID(excPisCofins[[#This Row],[CodBarras2]],2,50)</f>
        <v/>
      </c>
    </row>
    <row r="10639" spans="9:9" x14ac:dyDescent="0.25">
      <c r="I10639" s="227" t="str">
        <f>MID(excPisCofins[[#This Row],[CodBarras2]],2,50)</f>
        <v/>
      </c>
    </row>
    <row r="10640" spans="9:9" x14ac:dyDescent="0.25">
      <c r="I10640" s="227" t="str">
        <f>MID(excPisCofins[[#This Row],[CodBarras2]],2,50)</f>
        <v/>
      </c>
    </row>
    <row r="10641" spans="9:9" x14ac:dyDescent="0.25">
      <c r="I10641" s="227" t="str">
        <f>MID(excPisCofins[[#This Row],[CodBarras2]],2,50)</f>
        <v/>
      </c>
    </row>
    <row r="10642" spans="9:9" x14ac:dyDescent="0.25">
      <c r="I10642" s="227" t="str">
        <f>MID(excPisCofins[[#This Row],[CodBarras2]],2,50)</f>
        <v/>
      </c>
    </row>
    <row r="10643" spans="9:9" x14ac:dyDescent="0.25">
      <c r="I10643" s="227" t="str">
        <f>MID(excPisCofins[[#This Row],[CodBarras2]],2,50)</f>
        <v/>
      </c>
    </row>
    <row r="10644" spans="9:9" x14ac:dyDescent="0.25">
      <c r="I10644" s="227" t="str">
        <f>MID(excPisCofins[[#This Row],[CodBarras2]],2,50)</f>
        <v/>
      </c>
    </row>
    <row r="10645" spans="9:9" x14ac:dyDescent="0.25">
      <c r="I10645" s="227" t="str">
        <f>MID(excPisCofins[[#This Row],[CodBarras2]],2,50)</f>
        <v/>
      </c>
    </row>
    <row r="10646" spans="9:9" x14ac:dyDescent="0.25">
      <c r="I10646" s="227" t="str">
        <f>MID(excPisCofins[[#This Row],[CodBarras2]],2,50)</f>
        <v/>
      </c>
    </row>
    <row r="10647" spans="9:9" x14ac:dyDescent="0.25">
      <c r="I10647" s="227" t="str">
        <f>MID(excPisCofins[[#This Row],[CodBarras2]],2,50)</f>
        <v/>
      </c>
    </row>
    <row r="10648" spans="9:9" x14ac:dyDescent="0.25">
      <c r="I10648" s="227" t="str">
        <f>MID(excPisCofins[[#This Row],[CodBarras2]],2,50)</f>
        <v/>
      </c>
    </row>
    <row r="10649" spans="9:9" x14ac:dyDescent="0.25">
      <c r="I10649" s="227" t="str">
        <f>MID(excPisCofins[[#This Row],[CodBarras2]],2,50)</f>
        <v/>
      </c>
    </row>
    <row r="10650" spans="9:9" x14ac:dyDescent="0.25">
      <c r="I10650" s="227" t="str">
        <f>MID(excPisCofins[[#This Row],[CodBarras2]],2,50)</f>
        <v/>
      </c>
    </row>
    <row r="10651" spans="9:9" x14ac:dyDescent="0.25">
      <c r="I10651" s="227" t="str">
        <f>MID(excPisCofins[[#This Row],[CodBarras2]],2,50)</f>
        <v/>
      </c>
    </row>
    <row r="10652" spans="9:9" x14ac:dyDescent="0.25">
      <c r="I10652" s="227" t="str">
        <f>MID(excPisCofins[[#This Row],[CodBarras2]],2,50)</f>
        <v/>
      </c>
    </row>
    <row r="10653" spans="9:9" x14ac:dyDescent="0.25">
      <c r="I10653" s="227" t="str">
        <f>MID(excPisCofins[[#This Row],[CodBarras2]],2,50)</f>
        <v/>
      </c>
    </row>
    <row r="10654" spans="9:9" x14ac:dyDescent="0.25">
      <c r="I10654" s="227" t="str">
        <f>MID(excPisCofins[[#This Row],[CodBarras2]],2,50)</f>
        <v/>
      </c>
    </row>
    <row r="10655" spans="9:9" x14ac:dyDescent="0.25">
      <c r="I10655" s="227" t="str">
        <f>MID(excPisCofins[[#This Row],[CodBarras2]],2,50)</f>
        <v/>
      </c>
    </row>
    <row r="10656" spans="9:9" x14ac:dyDescent="0.25">
      <c r="I10656" s="227" t="str">
        <f>MID(excPisCofins[[#This Row],[CodBarras2]],2,50)</f>
        <v/>
      </c>
    </row>
    <row r="10657" spans="9:9" x14ac:dyDescent="0.25">
      <c r="I10657" s="227" t="str">
        <f>MID(excPisCofins[[#This Row],[CodBarras2]],2,50)</f>
        <v/>
      </c>
    </row>
    <row r="10658" spans="9:9" x14ac:dyDescent="0.25">
      <c r="I10658" s="227" t="str">
        <f>MID(excPisCofins[[#This Row],[CodBarras2]],2,50)</f>
        <v/>
      </c>
    </row>
    <row r="10659" spans="9:9" x14ac:dyDescent="0.25">
      <c r="I10659" s="227" t="str">
        <f>MID(excPisCofins[[#This Row],[CodBarras2]],2,50)</f>
        <v/>
      </c>
    </row>
    <row r="10660" spans="9:9" x14ac:dyDescent="0.25">
      <c r="I10660" s="227" t="str">
        <f>MID(excPisCofins[[#This Row],[CodBarras2]],2,50)</f>
        <v/>
      </c>
    </row>
    <row r="10661" spans="9:9" x14ac:dyDescent="0.25">
      <c r="I10661" s="227" t="str">
        <f>MID(excPisCofins[[#This Row],[CodBarras2]],2,50)</f>
        <v/>
      </c>
    </row>
    <row r="10662" spans="9:9" x14ac:dyDescent="0.25">
      <c r="I10662" s="227" t="str">
        <f>MID(excPisCofins[[#This Row],[CodBarras2]],2,50)</f>
        <v/>
      </c>
    </row>
    <row r="10663" spans="9:9" x14ac:dyDescent="0.25">
      <c r="I10663" s="227" t="str">
        <f>MID(excPisCofins[[#This Row],[CodBarras2]],2,50)</f>
        <v/>
      </c>
    </row>
    <row r="10664" spans="9:9" x14ac:dyDescent="0.25">
      <c r="I10664" s="227" t="str">
        <f>MID(excPisCofins[[#This Row],[CodBarras2]],2,50)</f>
        <v/>
      </c>
    </row>
    <row r="10665" spans="9:9" x14ac:dyDescent="0.25">
      <c r="I10665" s="227" t="str">
        <f>MID(excPisCofins[[#This Row],[CodBarras2]],2,50)</f>
        <v/>
      </c>
    </row>
    <row r="10666" spans="9:9" x14ac:dyDescent="0.25">
      <c r="I10666" s="227" t="str">
        <f>MID(excPisCofins[[#This Row],[CodBarras2]],2,50)</f>
        <v/>
      </c>
    </row>
    <row r="10667" spans="9:9" x14ac:dyDescent="0.25">
      <c r="I10667" s="227" t="str">
        <f>MID(excPisCofins[[#This Row],[CodBarras2]],2,50)</f>
        <v/>
      </c>
    </row>
    <row r="10668" spans="9:9" x14ac:dyDescent="0.25">
      <c r="I10668" s="227" t="str">
        <f>MID(excPisCofins[[#This Row],[CodBarras2]],2,50)</f>
        <v/>
      </c>
    </row>
    <row r="10669" spans="9:9" x14ac:dyDescent="0.25">
      <c r="I10669" s="227" t="str">
        <f>MID(excPisCofins[[#This Row],[CodBarras2]],2,50)</f>
        <v/>
      </c>
    </row>
    <row r="10670" spans="9:9" x14ac:dyDescent="0.25">
      <c r="I10670" s="227" t="str">
        <f>MID(excPisCofins[[#This Row],[CodBarras2]],2,50)</f>
        <v/>
      </c>
    </row>
    <row r="10671" spans="9:9" x14ac:dyDescent="0.25">
      <c r="I10671" s="227" t="str">
        <f>MID(excPisCofins[[#This Row],[CodBarras2]],2,50)</f>
        <v/>
      </c>
    </row>
    <row r="10672" spans="9:9" x14ac:dyDescent="0.25">
      <c r="I10672" s="227" t="str">
        <f>MID(excPisCofins[[#This Row],[CodBarras2]],2,50)</f>
        <v/>
      </c>
    </row>
    <row r="10673" spans="9:9" x14ac:dyDescent="0.25">
      <c r="I10673" s="227" t="str">
        <f>MID(excPisCofins[[#This Row],[CodBarras2]],2,50)</f>
        <v/>
      </c>
    </row>
    <row r="10674" spans="9:9" x14ac:dyDescent="0.25">
      <c r="I10674" s="227" t="str">
        <f>MID(excPisCofins[[#This Row],[CodBarras2]],2,50)</f>
        <v/>
      </c>
    </row>
    <row r="10675" spans="9:9" x14ac:dyDescent="0.25">
      <c r="I10675" s="227" t="str">
        <f>MID(excPisCofins[[#This Row],[CodBarras2]],2,50)</f>
        <v/>
      </c>
    </row>
    <row r="10676" spans="9:9" x14ac:dyDescent="0.25">
      <c r="I10676" s="227" t="str">
        <f>MID(excPisCofins[[#This Row],[CodBarras2]],2,50)</f>
        <v/>
      </c>
    </row>
    <row r="10677" spans="9:9" x14ac:dyDescent="0.25">
      <c r="I10677" s="227" t="str">
        <f>MID(excPisCofins[[#This Row],[CodBarras2]],2,50)</f>
        <v/>
      </c>
    </row>
    <row r="10678" spans="9:9" x14ac:dyDescent="0.25">
      <c r="I10678" s="227" t="str">
        <f>MID(excPisCofins[[#This Row],[CodBarras2]],2,50)</f>
        <v/>
      </c>
    </row>
    <row r="10679" spans="9:9" x14ac:dyDescent="0.25">
      <c r="I10679" s="227" t="str">
        <f>MID(excPisCofins[[#This Row],[CodBarras2]],2,50)</f>
        <v/>
      </c>
    </row>
    <row r="10680" spans="9:9" x14ac:dyDescent="0.25">
      <c r="I10680" s="227" t="str">
        <f>MID(excPisCofins[[#This Row],[CodBarras2]],2,50)</f>
        <v/>
      </c>
    </row>
    <row r="10681" spans="9:9" x14ac:dyDescent="0.25">
      <c r="I10681" s="227" t="str">
        <f>MID(excPisCofins[[#This Row],[CodBarras2]],2,50)</f>
        <v/>
      </c>
    </row>
    <row r="10682" spans="9:9" x14ac:dyDescent="0.25">
      <c r="I10682" s="227" t="str">
        <f>MID(excPisCofins[[#This Row],[CodBarras2]],2,50)</f>
        <v/>
      </c>
    </row>
    <row r="10683" spans="9:9" x14ac:dyDescent="0.25">
      <c r="I10683" s="227" t="str">
        <f>MID(excPisCofins[[#This Row],[CodBarras2]],2,50)</f>
        <v/>
      </c>
    </row>
    <row r="10684" spans="9:9" x14ac:dyDescent="0.25">
      <c r="I10684" s="227" t="str">
        <f>MID(excPisCofins[[#This Row],[CodBarras2]],2,50)</f>
        <v/>
      </c>
    </row>
    <row r="10685" spans="9:9" x14ac:dyDescent="0.25">
      <c r="I10685" s="227" t="str">
        <f>MID(excPisCofins[[#This Row],[CodBarras2]],2,50)</f>
        <v/>
      </c>
    </row>
    <row r="10686" spans="9:9" x14ac:dyDescent="0.25">
      <c r="I10686" s="227" t="str">
        <f>MID(excPisCofins[[#This Row],[CodBarras2]],2,50)</f>
        <v/>
      </c>
    </row>
    <row r="10687" spans="9:9" x14ac:dyDescent="0.25">
      <c r="I10687" s="227" t="str">
        <f>MID(excPisCofins[[#This Row],[CodBarras2]],2,50)</f>
        <v/>
      </c>
    </row>
    <row r="10688" spans="9:9" x14ac:dyDescent="0.25">
      <c r="I10688" s="227" t="str">
        <f>MID(excPisCofins[[#This Row],[CodBarras2]],2,50)</f>
        <v/>
      </c>
    </row>
    <row r="10689" spans="9:9" x14ac:dyDescent="0.25">
      <c r="I10689" s="227" t="str">
        <f>MID(excPisCofins[[#This Row],[CodBarras2]],2,50)</f>
        <v/>
      </c>
    </row>
    <row r="10690" spans="9:9" x14ac:dyDescent="0.25">
      <c r="I10690" s="227" t="str">
        <f>MID(excPisCofins[[#This Row],[CodBarras2]],2,50)</f>
        <v/>
      </c>
    </row>
    <row r="10691" spans="9:9" x14ac:dyDescent="0.25">
      <c r="I10691" s="227" t="str">
        <f>MID(excPisCofins[[#This Row],[CodBarras2]],2,50)</f>
        <v/>
      </c>
    </row>
    <row r="10692" spans="9:9" x14ac:dyDescent="0.25">
      <c r="I10692" s="227" t="str">
        <f>MID(excPisCofins[[#This Row],[CodBarras2]],2,50)</f>
        <v/>
      </c>
    </row>
    <row r="10693" spans="9:9" x14ac:dyDescent="0.25">
      <c r="I10693" s="227" t="str">
        <f>MID(excPisCofins[[#This Row],[CodBarras2]],2,50)</f>
        <v/>
      </c>
    </row>
    <row r="10694" spans="9:9" x14ac:dyDescent="0.25">
      <c r="I10694" s="227" t="str">
        <f>MID(excPisCofins[[#This Row],[CodBarras2]],2,50)</f>
        <v/>
      </c>
    </row>
    <row r="10695" spans="9:9" x14ac:dyDescent="0.25">
      <c r="I10695" s="227" t="str">
        <f>MID(excPisCofins[[#This Row],[CodBarras2]],2,50)</f>
        <v/>
      </c>
    </row>
    <row r="10696" spans="9:9" x14ac:dyDescent="0.25">
      <c r="I10696" s="227" t="str">
        <f>MID(excPisCofins[[#This Row],[CodBarras2]],2,50)</f>
        <v/>
      </c>
    </row>
    <row r="10697" spans="9:9" x14ac:dyDescent="0.25">
      <c r="I10697" s="227" t="str">
        <f>MID(excPisCofins[[#This Row],[CodBarras2]],2,50)</f>
        <v/>
      </c>
    </row>
    <row r="10698" spans="9:9" x14ac:dyDescent="0.25">
      <c r="I10698" s="227" t="str">
        <f>MID(excPisCofins[[#This Row],[CodBarras2]],2,50)</f>
        <v/>
      </c>
    </row>
    <row r="10699" spans="9:9" x14ac:dyDescent="0.25">
      <c r="I10699" s="227" t="str">
        <f>MID(excPisCofins[[#This Row],[CodBarras2]],2,50)</f>
        <v/>
      </c>
    </row>
    <row r="10700" spans="9:9" x14ac:dyDescent="0.25">
      <c r="I10700" s="227" t="str">
        <f>MID(excPisCofins[[#This Row],[CodBarras2]],2,50)</f>
        <v/>
      </c>
    </row>
    <row r="10701" spans="9:9" x14ac:dyDescent="0.25">
      <c r="I10701" s="227" t="str">
        <f>MID(excPisCofins[[#This Row],[CodBarras2]],2,50)</f>
        <v/>
      </c>
    </row>
    <row r="10702" spans="9:9" x14ac:dyDescent="0.25">
      <c r="I10702" s="227" t="str">
        <f>MID(excPisCofins[[#This Row],[CodBarras2]],2,50)</f>
        <v/>
      </c>
    </row>
    <row r="10703" spans="9:9" x14ac:dyDescent="0.25">
      <c r="I10703" s="227" t="str">
        <f>MID(excPisCofins[[#This Row],[CodBarras2]],2,50)</f>
        <v/>
      </c>
    </row>
    <row r="10704" spans="9:9" x14ac:dyDescent="0.25">
      <c r="I10704" s="227" t="str">
        <f>MID(excPisCofins[[#This Row],[CodBarras2]],2,50)</f>
        <v/>
      </c>
    </row>
    <row r="10705" spans="9:9" x14ac:dyDescent="0.25">
      <c r="I10705" s="227" t="str">
        <f>MID(excPisCofins[[#This Row],[CodBarras2]],2,50)</f>
        <v/>
      </c>
    </row>
    <row r="10706" spans="9:9" x14ac:dyDescent="0.25">
      <c r="I10706" s="227" t="str">
        <f>MID(excPisCofins[[#This Row],[CodBarras2]],2,50)</f>
        <v/>
      </c>
    </row>
    <row r="10707" spans="9:9" x14ac:dyDescent="0.25">
      <c r="I10707" s="227" t="str">
        <f>MID(excPisCofins[[#This Row],[CodBarras2]],2,50)</f>
        <v/>
      </c>
    </row>
    <row r="10708" spans="9:9" x14ac:dyDescent="0.25">
      <c r="I10708" s="227" t="str">
        <f>MID(excPisCofins[[#This Row],[CodBarras2]],2,50)</f>
        <v/>
      </c>
    </row>
    <row r="10709" spans="9:9" x14ac:dyDescent="0.25">
      <c r="I10709" s="227" t="str">
        <f>MID(excPisCofins[[#This Row],[CodBarras2]],2,50)</f>
        <v/>
      </c>
    </row>
    <row r="10710" spans="9:9" x14ac:dyDescent="0.25">
      <c r="I10710" s="227" t="str">
        <f>MID(excPisCofins[[#This Row],[CodBarras2]],2,50)</f>
        <v/>
      </c>
    </row>
    <row r="10711" spans="9:9" x14ac:dyDescent="0.25">
      <c r="I10711" s="227" t="str">
        <f>MID(excPisCofins[[#This Row],[CodBarras2]],2,50)</f>
        <v/>
      </c>
    </row>
    <row r="10712" spans="9:9" x14ac:dyDescent="0.25">
      <c r="I10712" s="227" t="str">
        <f>MID(excPisCofins[[#This Row],[CodBarras2]],2,50)</f>
        <v/>
      </c>
    </row>
    <row r="10713" spans="9:9" x14ac:dyDescent="0.25">
      <c r="I10713" s="227" t="str">
        <f>MID(excPisCofins[[#This Row],[CodBarras2]],2,50)</f>
        <v/>
      </c>
    </row>
    <row r="10714" spans="9:9" x14ac:dyDescent="0.25">
      <c r="I10714" s="227" t="str">
        <f>MID(excPisCofins[[#This Row],[CodBarras2]],2,50)</f>
        <v/>
      </c>
    </row>
    <row r="10715" spans="9:9" x14ac:dyDescent="0.25">
      <c r="I10715" s="227" t="str">
        <f>MID(excPisCofins[[#This Row],[CodBarras2]],2,50)</f>
        <v/>
      </c>
    </row>
    <row r="10716" spans="9:9" x14ac:dyDescent="0.25">
      <c r="I10716" s="227" t="str">
        <f>MID(excPisCofins[[#This Row],[CodBarras2]],2,50)</f>
        <v/>
      </c>
    </row>
    <row r="10717" spans="9:9" x14ac:dyDescent="0.25">
      <c r="I10717" s="227" t="str">
        <f>MID(excPisCofins[[#This Row],[CodBarras2]],2,50)</f>
        <v/>
      </c>
    </row>
    <row r="10718" spans="9:9" x14ac:dyDescent="0.25">
      <c r="I10718" s="227" t="str">
        <f>MID(excPisCofins[[#This Row],[CodBarras2]],2,50)</f>
        <v/>
      </c>
    </row>
    <row r="10719" spans="9:9" x14ac:dyDescent="0.25">
      <c r="I10719" s="227" t="str">
        <f>MID(excPisCofins[[#This Row],[CodBarras2]],2,50)</f>
        <v/>
      </c>
    </row>
    <row r="10720" spans="9:9" x14ac:dyDescent="0.25">
      <c r="I10720" s="227" t="str">
        <f>MID(excPisCofins[[#This Row],[CodBarras2]],2,50)</f>
        <v/>
      </c>
    </row>
    <row r="10721" spans="9:9" x14ac:dyDescent="0.25">
      <c r="I10721" s="227" t="str">
        <f>MID(excPisCofins[[#This Row],[CodBarras2]],2,50)</f>
        <v/>
      </c>
    </row>
    <row r="10722" spans="9:9" x14ac:dyDescent="0.25">
      <c r="I10722" s="227" t="str">
        <f>MID(excPisCofins[[#This Row],[CodBarras2]],2,50)</f>
        <v/>
      </c>
    </row>
    <row r="10723" spans="9:9" x14ac:dyDescent="0.25">
      <c r="I10723" s="227" t="str">
        <f>MID(excPisCofins[[#This Row],[CodBarras2]],2,50)</f>
        <v/>
      </c>
    </row>
    <row r="10724" spans="9:9" x14ac:dyDescent="0.25">
      <c r="I10724" s="227" t="str">
        <f>MID(excPisCofins[[#This Row],[CodBarras2]],2,50)</f>
        <v/>
      </c>
    </row>
    <row r="10725" spans="9:9" x14ac:dyDescent="0.25">
      <c r="I10725" s="227" t="str">
        <f>MID(excPisCofins[[#This Row],[CodBarras2]],2,50)</f>
        <v/>
      </c>
    </row>
    <row r="10726" spans="9:9" x14ac:dyDescent="0.25">
      <c r="I10726" s="227" t="str">
        <f>MID(excPisCofins[[#This Row],[CodBarras2]],2,50)</f>
        <v/>
      </c>
    </row>
    <row r="10727" spans="9:9" x14ac:dyDescent="0.25">
      <c r="I10727" s="227" t="str">
        <f>MID(excPisCofins[[#This Row],[CodBarras2]],2,50)</f>
        <v/>
      </c>
    </row>
    <row r="10728" spans="9:9" x14ac:dyDescent="0.25">
      <c r="I10728" s="227" t="str">
        <f>MID(excPisCofins[[#This Row],[CodBarras2]],2,50)</f>
        <v/>
      </c>
    </row>
    <row r="10729" spans="9:9" x14ac:dyDescent="0.25">
      <c r="I10729" s="227" t="str">
        <f>MID(excPisCofins[[#This Row],[CodBarras2]],2,50)</f>
        <v/>
      </c>
    </row>
    <row r="10730" spans="9:9" x14ac:dyDescent="0.25">
      <c r="I10730" s="227" t="str">
        <f>MID(excPisCofins[[#This Row],[CodBarras2]],2,50)</f>
        <v/>
      </c>
    </row>
    <row r="10731" spans="9:9" x14ac:dyDescent="0.25">
      <c r="I10731" s="227" t="str">
        <f>MID(excPisCofins[[#This Row],[CodBarras2]],2,50)</f>
        <v/>
      </c>
    </row>
    <row r="10732" spans="9:9" x14ac:dyDescent="0.25">
      <c r="I10732" s="227" t="str">
        <f>MID(excPisCofins[[#This Row],[CodBarras2]],2,50)</f>
        <v/>
      </c>
    </row>
    <row r="10733" spans="9:9" x14ac:dyDescent="0.25">
      <c r="I10733" s="227" t="str">
        <f>MID(excPisCofins[[#This Row],[CodBarras2]],2,50)</f>
        <v/>
      </c>
    </row>
    <row r="10734" spans="9:9" x14ac:dyDescent="0.25">
      <c r="I10734" s="227" t="str">
        <f>MID(excPisCofins[[#This Row],[CodBarras2]],2,50)</f>
        <v/>
      </c>
    </row>
    <row r="10735" spans="9:9" x14ac:dyDescent="0.25">
      <c r="I10735" s="227" t="str">
        <f>MID(excPisCofins[[#This Row],[CodBarras2]],2,50)</f>
        <v/>
      </c>
    </row>
    <row r="10736" spans="9:9" x14ac:dyDescent="0.25">
      <c r="I10736" s="227" t="str">
        <f>MID(excPisCofins[[#This Row],[CodBarras2]],2,50)</f>
        <v/>
      </c>
    </row>
    <row r="10737" spans="9:9" x14ac:dyDescent="0.25">
      <c r="I10737" s="227" t="str">
        <f>MID(excPisCofins[[#This Row],[CodBarras2]],2,50)</f>
        <v/>
      </c>
    </row>
    <row r="10738" spans="9:9" x14ac:dyDescent="0.25">
      <c r="I10738" s="227" t="str">
        <f>MID(excPisCofins[[#This Row],[CodBarras2]],2,50)</f>
        <v/>
      </c>
    </row>
    <row r="10739" spans="9:9" x14ac:dyDescent="0.25">
      <c r="I10739" s="227" t="str">
        <f>MID(excPisCofins[[#This Row],[CodBarras2]],2,50)</f>
        <v/>
      </c>
    </row>
    <row r="10740" spans="9:9" x14ac:dyDescent="0.25">
      <c r="I10740" s="227" t="str">
        <f>MID(excPisCofins[[#This Row],[CodBarras2]],2,50)</f>
        <v/>
      </c>
    </row>
    <row r="10741" spans="9:9" x14ac:dyDescent="0.25">
      <c r="I10741" s="227" t="str">
        <f>MID(excPisCofins[[#This Row],[CodBarras2]],2,50)</f>
        <v/>
      </c>
    </row>
    <row r="10742" spans="9:9" x14ac:dyDescent="0.25">
      <c r="I10742" s="227" t="str">
        <f>MID(excPisCofins[[#This Row],[CodBarras2]],2,50)</f>
        <v/>
      </c>
    </row>
    <row r="10743" spans="9:9" x14ac:dyDescent="0.25">
      <c r="I10743" s="227" t="str">
        <f>MID(excPisCofins[[#This Row],[CodBarras2]],2,50)</f>
        <v/>
      </c>
    </row>
    <row r="10744" spans="9:9" x14ac:dyDescent="0.25">
      <c r="I10744" s="227" t="str">
        <f>MID(excPisCofins[[#This Row],[CodBarras2]],2,50)</f>
        <v/>
      </c>
    </row>
    <row r="10745" spans="9:9" x14ac:dyDescent="0.25">
      <c r="I10745" s="227" t="str">
        <f>MID(excPisCofins[[#This Row],[CodBarras2]],2,50)</f>
        <v/>
      </c>
    </row>
    <row r="10746" spans="9:9" x14ac:dyDescent="0.25">
      <c r="I10746" s="227" t="str">
        <f>MID(excPisCofins[[#This Row],[CodBarras2]],2,50)</f>
        <v/>
      </c>
    </row>
    <row r="10747" spans="9:9" x14ac:dyDescent="0.25">
      <c r="I10747" s="227" t="str">
        <f>MID(excPisCofins[[#This Row],[CodBarras2]],2,50)</f>
        <v/>
      </c>
    </row>
    <row r="10748" spans="9:9" x14ac:dyDescent="0.25">
      <c r="I10748" s="227" t="str">
        <f>MID(excPisCofins[[#This Row],[CodBarras2]],2,50)</f>
        <v/>
      </c>
    </row>
    <row r="10749" spans="9:9" x14ac:dyDescent="0.25">
      <c r="I10749" s="227" t="str">
        <f>MID(excPisCofins[[#This Row],[CodBarras2]],2,50)</f>
        <v/>
      </c>
    </row>
    <row r="10750" spans="9:9" x14ac:dyDescent="0.25">
      <c r="I10750" s="227" t="str">
        <f>MID(excPisCofins[[#This Row],[CodBarras2]],2,50)</f>
        <v/>
      </c>
    </row>
    <row r="10751" spans="9:9" x14ac:dyDescent="0.25">
      <c r="I10751" s="227" t="str">
        <f>MID(excPisCofins[[#This Row],[CodBarras2]],2,50)</f>
        <v/>
      </c>
    </row>
    <row r="10752" spans="9:9" x14ac:dyDescent="0.25">
      <c r="I10752" s="227" t="str">
        <f>MID(excPisCofins[[#This Row],[CodBarras2]],2,50)</f>
        <v/>
      </c>
    </row>
    <row r="10753" spans="9:9" x14ac:dyDescent="0.25">
      <c r="I10753" s="227" t="str">
        <f>MID(excPisCofins[[#This Row],[CodBarras2]],2,50)</f>
        <v/>
      </c>
    </row>
    <row r="10754" spans="9:9" x14ac:dyDescent="0.25">
      <c r="I10754" s="227" t="str">
        <f>MID(excPisCofins[[#This Row],[CodBarras2]],2,50)</f>
        <v/>
      </c>
    </row>
    <row r="10755" spans="9:9" x14ac:dyDescent="0.25">
      <c r="I10755" s="227" t="str">
        <f>MID(excPisCofins[[#This Row],[CodBarras2]],2,50)</f>
        <v/>
      </c>
    </row>
    <row r="10756" spans="9:9" x14ac:dyDescent="0.25">
      <c r="I10756" s="227" t="str">
        <f>MID(excPisCofins[[#This Row],[CodBarras2]],2,50)</f>
        <v/>
      </c>
    </row>
    <row r="10757" spans="9:9" x14ac:dyDescent="0.25">
      <c r="I10757" s="227" t="str">
        <f>MID(excPisCofins[[#This Row],[CodBarras2]],2,50)</f>
        <v/>
      </c>
    </row>
    <row r="10758" spans="9:9" x14ac:dyDescent="0.25">
      <c r="I10758" s="227" t="str">
        <f>MID(excPisCofins[[#This Row],[CodBarras2]],2,50)</f>
        <v/>
      </c>
    </row>
    <row r="10759" spans="9:9" x14ac:dyDescent="0.25">
      <c r="I10759" s="227" t="str">
        <f>MID(excPisCofins[[#This Row],[CodBarras2]],2,50)</f>
        <v/>
      </c>
    </row>
    <row r="10760" spans="9:9" x14ac:dyDescent="0.25">
      <c r="I10760" s="227" t="str">
        <f>MID(excPisCofins[[#This Row],[CodBarras2]],2,50)</f>
        <v/>
      </c>
    </row>
    <row r="10761" spans="9:9" x14ac:dyDescent="0.25">
      <c r="I10761" s="227" t="str">
        <f>MID(excPisCofins[[#This Row],[CodBarras2]],2,50)</f>
        <v/>
      </c>
    </row>
    <row r="10762" spans="9:9" x14ac:dyDescent="0.25">
      <c r="I10762" s="227" t="str">
        <f>MID(excPisCofins[[#This Row],[CodBarras2]],2,50)</f>
        <v/>
      </c>
    </row>
    <row r="10763" spans="9:9" x14ac:dyDescent="0.25">
      <c r="I10763" s="227" t="str">
        <f>MID(excPisCofins[[#This Row],[CodBarras2]],2,50)</f>
        <v/>
      </c>
    </row>
    <row r="10764" spans="9:9" x14ac:dyDescent="0.25">
      <c r="I10764" s="227" t="str">
        <f>MID(excPisCofins[[#This Row],[CodBarras2]],2,50)</f>
        <v/>
      </c>
    </row>
    <row r="10765" spans="9:9" x14ac:dyDescent="0.25">
      <c r="I10765" s="227" t="str">
        <f>MID(excPisCofins[[#This Row],[CodBarras2]],2,50)</f>
        <v/>
      </c>
    </row>
    <row r="10766" spans="9:9" x14ac:dyDescent="0.25">
      <c r="I10766" s="227" t="str">
        <f>MID(excPisCofins[[#This Row],[CodBarras2]],2,50)</f>
        <v/>
      </c>
    </row>
    <row r="10767" spans="9:9" x14ac:dyDescent="0.25">
      <c r="I10767" s="227" t="str">
        <f>MID(excPisCofins[[#This Row],[CodBarras2]],2,50)</f>
        <v/>
      </c>
    </row>
    <row r="10768" spans="9:9" x14ac:dyDescent="0.25">
      <c r="I10768" s="227" t="str">
        <f>MID(excPisCofins[[#This Row],[CodBarras2]],2,50)</f>
        <v/>
      </c>
    </row>
    <row r="10769" spans="9:9" x14ac:dyDescent="0.25">
      <c r="I10769" s="227" t="str">
        <f>MID(excPisCofins[[#This Row],[CodBarras2]],2,50)</f>
        <v/>
      </c>
    </row>
    <row r="10770" spans="9:9" x14ac:dyDescent="0.25">
      <c r="I10770" s="227" t="str">
        <f>MID(excPisCofins[[#This Row],[CodBarras2]],2,50)</f>
        <v/>
      </c>
    </row>
    <row r="10771" spans="9:9" x14ac:dyDescent="0.25">
      <c r="I10771" s="227" t="str">
        <f>MID(excPisCofins[[#This Row],[CodBarras2]],2,50)</f>
        <v/>
      </c>
    </row>
    <row r="10772" spans="9:9" x14ac:dyDescent="0.25">
      <c r="I10772" s="227" t="str">
        <f>MID(excPisCofins[[#This Row],[CodBarras2]],2,50)</f>
        <v/>
      </c>
    </row>
    <row r="10773" spans="9:9" x14ac:dyDescent="0.25">
      <c r="I10773" s="227" t="str">
        <f>MID(excPisCofins[[#This Row],[CodBarras2]],2,50)</f>
        <v/>
      </c>
    </row>
    <row r="10774" spans="9:9" x14ac:dyDescent="0.25">
      <c r="I10774" s="227" t="str">
        <f>MID(excPisCofins[[#This Row],[CodBarras2]],2,50)</f>
        <v/>
      </c>
    </row>
    <row r="10775" spans="9:9" x14ac:dyDescent="0.25">
      <c r="I10775" s="227" t="str">
        <f>MID(excPisCofins[[#This Row],[CodBarras2]],2,50)</f>
        <v/>
      </c>
    </row>
    <row r="10776" spans="9:9" x14ac:dyDescent="0.25">
      <c r="I10776" s="227" t="str">
        <f>MID(excPisCofins[[#This Row],[CodBarras2]],2,50)</f>
        <v/>
      </c>
    </row>
    <row r="10777" spans="9:9" x14ac:dyDescent="0.25">
      <c r="I10777" s="227" t="str">
        <f>MID(excPisCofins[[#This Row],[CodBarras2]],2,50)</f>
        <v/>
      </c>
    </row>
    <row r="10778" spans="9:9" x14ac:dyDescent="0.25">
      <c r="I10778" s="227" t="str">
        <f>MID(excPisCofins[[#This Row],[CodBarras2]],2,50)</f>
        <v/>
      </c>
    </row>
    <row r="10779" spans="9:9" x14ac:dyDescent="0.25">
      <c r="I10779" s="227" t="str">
        <f>MID(excPisCofins[[#This Row],[CodBarras2]],2,50)</f>
        <v/>
      </c>
    </row>
    <row r="10780" spans="9:9" x14ac:dyDescent="0.25">
      <c r="I10780" s="227" t="str">
        <f>MID(excPisCofins[[#This Row],[CodBarras2]],2,50)</f>
        <v/>
      </c>
    </row>
    <row r="10781" spans="9:9" x14ac:dyDescent="0.25">
      <c r="I10781" s="227" t="str">
        <f>MID(excPisCofins[[#This Row],[CodBarras2]],2,50)</f>
        <v/>
      </c>
    </row>
    <row r="10782" spans="9:9" x14ac:dyDescent="0.25">
      <c r="I10782" s="227" t="str">
        <f>MID(excPisCofins[[#This Row],[CodBarras2]],2,50)</f>
        <v/>
      </c>
    </row>
    <row r="10783" spans="9:9" x14ac:dyDescent="0.25">
      <c r="I10783" s="227" t="str">
        <f>MID(excPisCofins[[#This Row],[CodBarras2]],2,50)</f>
        <v/>
      </c>
    </row>
    <row r="10784" spans="9:9" x14ac:dyDescent="0.25">
      <c r="I10784" s="227" t="str">
        <f>MID(excPisCofins[[#This Row],[CodBarras2]],2,50)</f>
        <v/>
      </c>
    </row>
    <row r="10785" spans="9:9" x14ac:dyDescent="0.25">
      <c r="I10785" s="227" t="str">
        <f>MID(excPisCofins[[#This Row],[CodBarras2]],2,50)</f>
        <v/>
      </c>
    </row>
    <row r="10786" spans="9:9" x14ac:dyDescent="0.25">
      <c r="I10786" s="227" t="str">
        <f>MID(excPisCofins[[#This Row],[CodBarras2]],2,50)</f>
        <v/>
      </c>
    </row>
    <row r="10787" spans="9:9" x14ac:dyDescent="0.25">
      <c r="I10787" s="227" t="str">
        <f>MID(excPisCofins[[#This Row],[CodBarras2]],2,50)</f>
        <v/>
      </c>
    </row>
    <row r="10788" spans="9:9" x14ac:dyDescent="0.25">
      <c r="I10788" s="227" t="str">
        <f>MID(excPisCofins[[#This Row],[CodBarras2]],2,50)</f>
        <v/>
      </c>
    </row>
    <row r="10789" spans="9:9" x14ac:dyDescent="0.25">
      <c r="I10789" s="227" t="str">
        <f>MID(excPisCofins[[#This Row],[CodBarras2]],2,50)</f>
        <v/>
      </c>
    </row>
    <row r="10790" spans="9:9" x14ac:dyDescent="0.25">
      <c r="I10790" s="227" t="str">
        <f>MID(excPisCofins[[#This Row],[CodBarras2]],2,50)</f>
        <v/>
      </c>
    </row>
    <row r="10791" spans="9:9" x14ac:dyDescent="0.25">
      <c r="I10791" s="227" t="str">
        <f>MID(excPisCofins[[#This Row],[CodBarras2]],2,50)</f>
        <v/>
      </c>
    </row>
    <row r="10792" spans="9:9" x14ac:dyDescent="0.25">
      <c r="I10792" s="227" t="str">
        <f>MID(excPisCofins[[#This Row],[CodBarras2]],2,50)</f>
        <v/>
      </c>
    </row>
    <row r="10793" spans="9:9" x14ac:dyDescent="0.25">
      <c r="I10793" s="227" t="str">
        <f>MID(excPisCofins[[#This Row],[CodBarras2]],2,50)</f>
        <v/>
      </c>
    </row>
    <row r="10794" spans="9:9" x14ac:dyDescent="0.25">
      <c r="I10794" s="227" t="str">
        <f>MID(excPisCofins[[#This Row],[CodBarras2]],2,50)</f>
        <v/>
      </c>
    </row>
    <row r="10795" spans="9:9" x14ac:dyDescent="0.25">
      <c r="I10795" s="227" t="str">
        <f>MID(excPisCofins[[#This Row],[CodBarras2]],2,50)</f>
        <v/>
      </c>
    </row>
    <row r="10796" spans="9:9" x14ac:dyDescent="0.25">
      <c r="I10796" s="227" t="str">
        <f>MID(excPisCofins[[#This Row],[CodBarras2]],2,50)</f>
        <v/>
      </c>
    </row>
    <row r="10797" spans="9:9" x14ac:dyDescent="0.25">
      <c r="I10797" s="227" t="str">
        <f>MID(excPisCofins[[#This Row],[CodBarras2]],2,50)</f>
        <v/>
      </c>
    </row>
    <row r="10798" spans="9:9" x14ac:dyDescent="0.25">
      <c r="I10798" s="227" t="str">
        <f>MID(excPisCofins[[#This Row],[CodBarras2]],2,50)</f>
        <v/>
      </c>
    </row>
    <row r="10799" spans="9:9" x14ac:dyDescent="0.25">
      <c r="I10799" s="227" t="str">
        <f>MID(excPisCofins[[#This Row],[CodBarras2]],2,50)</f>
        <v/>
      </c>
    </row>
    <row r="10800" spans="9:9" x14ac:dyDescent="0.25">
      <c r="I10800" s="227" t="str">
        <f>MID(excPisCofins[[#This Row],[CodBarras2]],2,50)</f>
        <v/>
      </c>
    </row>
    <row r="10801" spans="9:9" x14ac:dyDescent="0.25">
      <c r="I10801" s="227" t="str">
        <f>MID(excPisCofins[[#This Row],[CodBarras2]],2,50)</f>
        <v/>
      </c>
    </row>
    <row r="10802" spans="9:9" x14ac:dyDescent="0.25">
      <c r="I10802" s="227" t="str">
        <f>MID(excPisCofins[[#This Row],[CodBarras2]],2,50)</f>
        <v/>
      </c>
    </row>
    <row r="10803" spans="9:9" x14ac:dyDescent="0.25">
      <c r="I10803" s="227" t="str">
        <f>MID(excPisCofins[[#This Row],[CodBarras2]],2,50)</f>
        <v/>
      </c>
    </row>
    <row r="10804" spans="9:9" x14ac:dyDescent="0.25">
      <c r="I10804" s="227" t="str">
        <f>MID(excPisCofins[[#This Row],[CodBarras2]],2,50)</f>
        <v/>
      </c>
    </row>
    <row r="10805" spans="9:9" x14ac:dyDescent="0.25">
      <c r="I10805" s="227" t="str">
        <f>MID(excPisCofins[[#This Row],[CodBarras2]],2,50)</f>
        <v/>
      </c>
    </row>
    <row r="10806" spans="9:9" x14ac:dyDescent="0.25">
      <c r="I10806" s="227" t="str">
        <f>MID(excPisCofins[[#This Row],[CodBarras2]],2,50)</f>
        <v/>
      </c>
    </row>
    <row r="10807" spans="9:9" x14ac:dyDescent="0.25">
      <c r="I10807" s="227" t="str">
        <f>MID(excPisCofins[[#This Row],[CodBarras2]],2,50)</f>
        <v/>
      </c>
    </row>
    <row r="10808" spans="9:9" x14ac:dyDescent="0.25">
      <c r="I10808" s="227" t="str">
        <f>MID(excPisCofins[[#This Row],[CodBarras2]],2,50)</f>
        <v/>
      </c>
    </row>
    <row r="10809" spans="9:9" x14ac:dyDescent="0.25">
      <c r="I10809" s="227" t="str">
        <f>MID(excPisCofins[[#This Row],[CodBarras2]],2,50)</f>
        <v/>
      </c>
    </row>
    <row r="10810" spans="9:9" x14ac:dyDescent="0.25">
      <c r="I10810" s="227" t="str">
        <f>MID(excPisCofins[[#This Row],[CodBarras2]],2,50)</f>
        <v/>
      </c>
    </row>
    <row r="10811" spans="9:9" x14ac:dyDescent="0.25">
      <c r="I10811" s="227" t="str">
        <f>MID(excPisCofins[[#This Row],[CodBarras2]],2,50)</f>
        <v/>
      </c>
    </row>
    <row r="10812" spans="9:9" x14ac:dyDescent="0.25">
      <c r="I10812" s="227" t="str">
        <f>MID(excPisCofins[[#This Row],[CodBarras2]],2,50)</f>
        <v/>
      </c>
    </row>
    <row r="10813" spans="9:9" x14ac:dyDescent="0.25">
      <c r="I10813" s="227" t="str">
        <f>MID(excPisCofins[[#This Row],[CodBarras2]],2,50)</f>
        <v/>
      </c>
    </row>
    <row r="10814" spans="9:9" x14ac:dyDescent="0.25">
      <c r="I10814" s="227" t="str">
        <f>MID(excPisCofins[[#This Row],[CodBarras2]],2,50)</f>
        <v/>
      </c>
    </row>
    <row r="10815" spans="9:9" x14ac:dyDescent="0.25">
      <c r="I10815" s="227" t="str">
        <f>MID(excPisCofins[[#This Row],[CodBarras2]],2,50)</f>
        <v/>
      </c>
    </row>
    <row r="10816" spans="9:9" x14ac:dyDescent="0.25">
      <c r="I10816" s="227" t="str">
        <f>MID(excPisCofins[[#This Row],[CodBarras2]],2,50)</f>
        <v/>
      </c>
    </row>
    <row r="10817" spans="9:9" x14ac:dyDescent="0.25">
      <c r="I10817" s="227" t="str">
        <f>MID(excPisCofins[[#This Row],[CodBarras2]],2,50)</f>
        <v/>
      </c>
    </row>
    <row r="10818" spans="9:9" x14ac:dyDescent="0.25">
      <c r="I10818" s="227" t="str">
        <f>MID(excPisCofins[[#This Row],[CodBarras2]],2,50)</f>
        <v/>
      </c>
    </row>
    <row r="10819" spans="9:9" x14ac:dyDescent="0.25">
      <c r="I10819" s="227" t="str">
        <f>MID(excPisCofins[[#This Row],[CodBarras2]],2,50)</f>
        <v/>
      </c>
    </row>
    <row r="10820" spans="9:9" x14ac:dyDescent="0.25">
      <c r="I10820" s="227" t="str">
        <f>MID(excPisCofins[[#This Row],[CodBarras2]],2,50)</f>
        <v/>
      </c>
    </row>
    <row r="10821" spans="9:9" x14ac:dyDescent="0.25">
      <c r="I10821" s="227" t="str">
        <f>MID(excPisCofins[[#This Row],[CodBarras2]],2,50)</f>
        <v/>
      </c>
    </row>
    <row r="10822" spans="9:9" x14ac:dyDescent="0.25">
      <c r="I10822" s="227" t="str">
        <f>MID(excPisCofins[[#This Row],[CodBarras2]],2,50)</f>
        <v/>
      </c>
    </row>
    <row r="10823" spans="9:9" x14ac:dyDescent="0.25">
      <c r="I10823" s="227" t="str">
        <f>MID(excPisCofins[[#This Row],[CodBarras2]],2,50)</f>
        <v/>
      </c>
    </row>
    <row r="10824" spans="9:9" x14ac:dyDescent="0.25">
      <c r="I10824" s="227" t="str">
        <f>MID(excPisCofins[[#This Row],[CodBarras2]],2,50)</f>
        <v/>
      </c>
    </row>
    <row r="10825" spans="9:9" x14ac:dyDescent="0.25">
      <c r="I10825" s="227" t="str">
        <f>MID(excPisCofins[[#This Row],[CodBarras2]],2,50)</f>
        <v/>
      </c>
    </row>
    <row r="10826" spans="9:9" x14ac:dyDescent="0.25">
      <c r="I10826" s="227" t="str">
        <f>MID(excPisCofins[[#This Row],[CodBarras2]],2,50)</f>
        <v/>
      </c>
    </row>
    <row r="10827" spans="9:9" x14ac:dyDescent="0.25">
      <c r="I10827" s="227" t="str">
        <f>MID(excPisCofins[[#This Row],[CodBarras2]],2,50)</f>
        <v/>
      </c>
    </row>
    <row r="10828" spans="9:9" x14ac:dyDescent="0.25">
      <c r="I10828" s="227" t="str">
        <f>MID(excPisCofins[[#This Row],[CodBarras2]],2,50)</f>
        <v/>
      </c>
    </row>
    <row r="10829" spans="9:9" x14ac:dyDescent="0.25">
      <c r="I10829" s="227" t="str">
        <f>MID(excPisCofins[[#This Row],[CodBarras2]],2,50)</f>
        <v/>
      </c>
    </row>
    <row r="10830" spans="9:9" x14ac:dyDescent="0.25">
      <c r="I10830" s="227" t="str">
        <f>MID(excPisCofins[[#This Row],[CodBarras2]],2,50)</f>
        <v/>
      </c>
    </row>
    <row r="10831" spans="9:9" x14ac:dyDescent="0.25">
      <c r="I10831" s="227" t="str">
        <f>MID(excPisCofins[[#This Row],[CodBarras2]],2,50)</f>
        <v/>
      </c>
    </row>
    <row r="10832" spans="9:9" x14ac:dyDescent="0.25">
      <c r="I10832" s="227" t="str">
        <f>MID(excPisCofins[[#This Row],[CodBarras2]],2,50)</f>
        <v/>
      </c>
    </row>
    <row r="10833" spans="9:9" x14ac:dyDescent="0.25">
      <c r="I10833" s="227" t="str">
        <f>MID(excPisCofins[[#This Row],[CodBarras2]],2,50)</f>
        <v/>
      </c>
    </row>
    <row r="10834" spans="9:9" x14ac:dyDescent="0.25">
      <c r="I10834" s="227" t="str">
        <f>MID(excPisCofins[[#This Row],[CodBarras2]],2,50)</f>
        <v/>
      </c>
    </row>
    <row r="10835" spans="9:9" x14ac:dyDescent="0.25">
      <c r="I10835" s="227" t="str">
        <f>MID(excPisCofins[[#This Row],[CodBarras2]],2,50)</f>
        <v/>
      </c>
    </row>
    <row r="10836" spans="9:9" x14ac:dyDescent="0.25">
      <c r="I10836" s="227" t="str">
        <f>MID(excPisCofins[[#This Row],[CodBarras2]],2,50)</f>
        <v/>
      </c>
    </row>
    <row r="10837" spans="9:9" x14ac:dyDescent="0.25">
      <c r="I10837" s="227" t="str">
        <f>MID(excPisCofins[[#This Row],[CodBarras2]],2,50)</f>
        <v/>
      </c>
    </row>
    <row r="10838" spans="9:9" x14ac:dyDescent="0.25">
      <c r="I10838" s="227" t="str">
        <f>MID(excPisCofins[[#This Row],[CodBarras2]],2,50)</f>
        <v/>
      </c>
    </row>
    <row r="10839" spans="9:9" x14ac:dyDescent="0.25">
      <c r="I10839" s="227" t="str">
        <f>MID(excPisCofins[[#This Row],[CodBarras2]],2,50)</f>
        <v/>
      </c>
    </row>
    <row r="10840" spans="9:9" x14ac:dyDescent="0.25">
      <c r="I10840" s="227" t="str">
        <f>MID(excPisCofins[[#This Row],[CodBarras2]],2,50)</f>
        <v/>
      </c>
    </row>
    <row r="10841" spans="9:9" x14ac:dyDescent="0.25">
      <c r="I10841" s="227" t="str">
        <f>MID(excPisCofins[[#This Row],[CodBarras2]],2,50)</f>
        <v/>
      </c>
    </row>
    <row r="10842" spans="9:9" x14ac:dyDescent="0.25">
      <c r="I10842" s="227" t="str">
        <f>MID(excPisCofins[[#This Row],[CodBarras2]],2,50)</f>
        <v/>
      </c>
    </row>
    <row r="10843" spans="9:9" x14ac:dyDescent="0.25">
      <c r="I10843" s="227" t="str">
        <f>MID(excPisCofins[[#This Row],[CodBarras2]],2,50)</f>
        <v/>
      </c>
    </row>
    <row r="10844" spans="9:9" x14ac:dyDescent="0.25">
      <c r="I10844" s="227" t="str">
        <f>MID(excPisCofins[[#This Row],[CodBarras2]],2,50)</f>
        <v/>
      </c>
    </row>
    <row r="10845" spans="9:9" x14ac:dyDescent="0.25">
      <c r="I10845" s="227" t="str">
        <f>MID(excPisCofins[[#This Row],[CodBarras2]],2,50)</f>
        <v/>
      </c>
    </row>
    <row r="10846" spans="9:9" x14ac:dyDescent="0.25">
      <c r="I10846" s="227" t="str">
        <f>MID(excPisCofins[[#This Row],[CodBarras2]],2,50)</f>
        <v/>
      </c>
    </row>
    <row r="10847" spans="9:9" x14ac:dyDescent="0.25">
      <c r="I10847" s="227" t="str">
        <f>MID(excPisCofins[[#This Row],[CodBarras2]],2,50)</f>
        <v/>
      </c>
    </row>
    <row r="10848" spans="9:9" x14ac:dyDescent="0.25">
      <c r="I10848" s="227" t="str">
        <f>MID(excPisCofins[[#This Row],[CodBarras2]],2,50)</f>
        <v/>
      </c>
    </row>
    <row r="10849" spans="9:9" x14ac:dyDescent="0.25">
      <c r="I10849" s="227" t="str">
        <f>MID(excPisCofins[[#This Row],[CodBarras2]],2,50)</f>
        <v/>
      </c>
    </row>
    <row r="10850" spans="9:9" x14ac:dyDescent="0.25">
      <c r="I10850" s="227" t="str">
        <f>MID(excPisCofins[[#This Row],[CodBarras2]],2,50)</f>
        <v/>
      </c>
    </row>
    <row r="10851" spans="9:9" x14ac:dyDescent="0.25">
      <c r="I10851" s="227" t="str">
        <f>MID(excPisCofins[[#This Row],[CodBarras2]],2,50)</f>
        <v/>
      </c>
    </row>
    <row r="10852" spans="9:9" x14ac:dyDescent="0.25">
      <c r="I10852" s="227" t="str">
        <f>MID(excPisCofins[[#This Row],[CodBarras2]],2,50)</f>
        <v/>
      </c>
    </row>
    <row r="10853" spans="9:9" x14ac:dyDescent="0.25">
      <c r="I10853" s="227" t="str">
        <f>MID(excPisCofins[[#This Row],[CodBarras2]],2,50)</f>
        <v/>
      </c>
    </row>
    <row r="10854" spans="9:9" x14ac:dyDescent="0.25">
      <c r="I10854" s="227" t="str">
        <f>MID(excPisCofins[[#This Row],[CodBarras2]],2,50)</f>
        <v/>
      </c>
    </row>
    <row r="10855" spans="9:9" x14ac:dyDescent="0.25">
      <c r="I10855" s="227" t="str">
        <f>MID(excPisCofins[[#This Row],[CodBarras2]],2,50)</f>
        <v/>
      </c>
    </row>
    <row r="10856" spans="9:9" x14ac:dyDescent="0.25">
      <c r="I10856" s="227" t="str">
        <f>MID(excPisCofins[[#This Row],[CodBarras2]],2,50)</f>
        <v/>
      </c>
    </row>
    <row r="10857" spans="9:9" x14ac:dyDescent="0.25">
      <c r="I10857" s="227" t="str">
        <f>MID(excPisCofins[[#This Row],[CodBarras2]],2,50)</f>
        <v/>
      </c>
    </row>
    <row r="10858" spans="9:9" x14ac:dyDescent="0.25">
      <c r="I10858" s="227" t="str">
        <f>MID(excPisCofins[[#This Row],[CodBarras2]],2,50)</f>
        <v/>
      </c>
    </row>
    <row r="10859" spans="9:9" x14ac:dyDescent="0.25">
      <c r="I10859" s="227" t="str">
        <f>MID(excPisCofins[[#This Row],[CodBarras2]],2,50)</f>
        <v/>
      </c>
    </row>
    <row r="10860" spans="9:9" x14ac:dyDescent="0.25">
      <c r="I10860" s="227" t="str">
        <f>MID(excPisCofins[[#This Row],[CodBarras2]],2,50)</f>
        <v/>
      </c>
    </row>
    <row r="10861" spans="9:9" x14ac:dyDescent="0.25">
      <c r="I10861" s="227" t="str">
        <f>MID(excPisCofins[[#This Row],[CodBarras2]],2,50)</f>
        <v/>
      </c>
    </row>
    <row r="10862" spans="9:9" x14ac:dyDescent="0.25">
      <c r="I10862" s="227" t="str">
        <f>MID(excPisCofins[[#This Row],[CodBarras2]],2,50)</f>
        <v/>
      </c>
    </row>
    <row r="10863" spans="9:9" x14ac:dyDescent="0.25">
      <c r="I10863" s="227" t="str">
        <f>MID(excPisCofins[[#This Row],[CodBarras2]],2,50)</f>
        <v/>
      </c>
    </row>
    <row r="10864" spans="9:9" x14ac:dyDescent="0.25">
      <c r="I10864" s="227" t="str">
        <f>MID(excPisCofins[[#This Row],[CodBarras2]],2,50)</f>
        <v/>
      </c>
    </row>
    <row r="10865" spans="9:9" x14ac:dyDescent="0.25">
      <c r="I10865" s="227" t="str">
        <f>MID(excPisCofins[[#This Row],[CodBarras2]],2,50)</f>
        <v/>
      </c>
    </row>
    <row r="10866" spans="9:9" x14ac:dyDescent="0.25">
      <c r="I10866" s="227" t="str">
        <f>MID(excPisCofins[[#This Row],[CodBarras2]],2,50)</f>
        <v/>
      </c>
    </row>
    <row r="10867" spans="9:9" x14ac:dyDescent="0.25">
      <c r="I10867" s="227" t="str">
        <f>MID(excPisCofins[[#This Row],[CodBarras2]],2,50)</f>
        <v/>
      </c>
    </row>
    <row r="10868" spans="9:9" x14ac:dyDescent="0.25">
      <c r="I10868" s="227" t="str">
        <f>MID(excPisCofins[[#This Row],[CodBarras2]],2,50)</f>
        <v/>
      </c>
    </row>
    <row r="10869" spans="9:9" x14ac:dyDescent="0.25">
      <c r="I10869" s="227" t="str">
        <f>MID(excPisCofins[[#This Row],[CodBarras2]],2,50)</f>
        <v/>
      </c>
    </row>
    <row r="10870" spans="9:9" x14ac:dyDescent="0.25">
      <c r="I10870" s="227" t="str">
        <f>MID(excPisCofins[[#This Row],[CodBarras2]],2,50)</f>
        <v/>
      </c>
    </row>
    <row r="10871" spans="9:9" x14ac:dyDescent="0.25">
      <c r="I10871" s="227" t="str">
        <f>MID(excPisCofins[[#This Row],[CodBarras2]],2,50)</f>
        <v/>
      </c>
    </row>
    <row r="10872" spans="9:9" x14ac:dyDescent="0.25">
      <c r="I10872" s="227" t="str">
        <f>MID(excPisCofins[[#This Row],[CodBarras2]],2,50)</f>
        <v/>
      </c>
    </row>
    <row r="10873" spans="9:9" x14ac:dyDescent="0.25">
      <c r="I10873" s="227" t="str">
        <f>MID(excPisCofins[[#This Row],[CodBarras2]],2,50)</f>
        <v/>
      </c>
    </row>
    <row r="10874" spans="9:9" x14ac:dyDescent="0.25">
      <c r="I10874" s="227" t="str">
        <f>MID(excPisCofins[[#This Row],[CodBarras2]],2,50)</f>
        <v/>
      </c>
    </row>
    <row r="10875" spans="9:9" x14ac:dyDescent="0.25">
      <c r="I10875" s="227" t="str">
        <f>MID(excPisCofins[[#This Row],[CodBarras2]],2,50)</f>
        <v/>
      </c>
    </row>
    <row r="10876" spans="9:9" x14ac:dyDescent="0.25">
      <c r="I10876" s="227" t="str">
        <f>MID(excPisCofins[[#This Row],[CodBarras2]],2,50)</f>
        <v/>
      </c>
    </row>
    <row r="10877" spans="9:9" x14ac:dyDescent="0.25">
      <c r="I10877" s="227" t="str">
        <f>MID(excPisCofins[[#This Row],[CodBarras2]],2,50)</f>
        <v/>
      </c>
    </row>
    <row r="10878" spans="9:9" x14ac:dyDescent="0.25">
      <c r="I10878" s="227" t="str">
        <f>MID(excPisCofins[[#This Row],[CodBarras2]],2,50)</f>
        <v/>
      </c>
    </row>
    <row r="10879" spans="9:9" x14ac:dyDescent="0.25">
      <c r="I10879" s="227" t="str">
        <f>MID(excPisCofins[[#This Row],[CodBarras2]],2,50)</f>
        <v/>
      </c>
    </row>
    <row r="10880" spans="9:9" x14ac:dyDescent="0.25">
      <c r="I10880" s="227" t="str">
        <f>MID(excPisCofins[[#This Row],[CodBarras2]],2,50)</f>
        <v/>
      </c>
    </row>
    <row r="10881" spans="9:9" x14ac:dyDescent="0.25">
      <c r="I10881" s="227" t="str">
        <f>MID(excPisCofins[[#This Row],[CodBarras2]],2,50)</f>
        <v/>
      </c>
    </row>
    <row r="10882" spans="9:9" x14ac:dyDescent="0.25">
      <c r="I10882" s="227" t="str">
        <f>MID(excPisCofins[[#This Row],[CodBarras2]],2,50)</f>
        <v/>
      </c>
    </row>
    <row r="10883" spans="9:9" x14ac:dyDescent="0.25">
      <c r="I10883" s="227" t="str">
        <f>MID(excPisCofins[[#This Row],[CodBarras2]],2,50)</f>
        <v/>
      </c>
    </row>
    <row r="10884" spans="9:9" x14ac:dyDescent="0.25">
      <c r="I10884" s="227" t="str">
        <f>MID(excPisCofins[[#This Row],[CodBarras2]],2,50)</f>
        <v/>
      </c>
    </row>
    <row r="10885" spans="9:9" x14ac:dyDescent="0.25">
      <c r="I10885" s="227" t="str">
        <f>MID(excPisCofins[[#This Row],[CodBarras2]],2,50)</f>
        <v/>
      </c>
    </row>
    <row r="10886" spans="9:9" x14ac:dyDescent="0.25">
      <c r="I10886" s="227" t="str">
        <f>MID(excPisCofins[[#This Row],[CodBarras2]],2,50)</f>
        <v/>
      </c>
    </row>
    <row r="10887" spans="9:9" x14ac:dyDescent="0.25">
      <c r="I10887" s="227" t="str">
        <f>MID(excPisCofins[[#This Row],[CodBarras2]],2,50)</f>
        <v/>
      </c>
    </row>
    <row r="10888" spans="9:9" x14ac:dyDescent="0.25">
      <c r="I10888" s="227" t="str">
        <f>MID(excPisCofins[[#This Row],[CodBarras2]],2,50)</f>
        <v/>
      </c>
    </row>
    <row r="10889" spans="9:9" x14ac:dyDescent="0.25">
      <c r="I10889" s="227" t="str">
        <f>MID(excPisCofins[[#This Row],[CodBarras2]],2,50)</f>
        <v/>
      </c>
    </row>
    <row r="10890" spans="9:9" x14ac:dyDescent="0.25">
      <c r="I10890" s="227" t="str">
        <f>MID(excPisCofins[[#This Row],[CodBarras2]],2,50)</f>
        <v/>
      </c>
    </row>
    <row r="10891" spans="9:9" x14ac:dyDescent="0.25">
      <c r="I10891" s="227" t="str">
        <f>MID(excPisCofins[[#This Row],[CodBarras2]],2,50)</f>
        <v/>
      </c>
    </row>
    <row r="10892" spans="9:9" x14ac:dyDescent="0.25">
      <c r="I10892" s="227" t="str">
        <f>MID(excPisCofins[[#This Row],[CodBarras2]],2,50)</f>
        <v/>
      </c>
    </row>
    <row r="10893" spans="9:9" x14ac:dyDescent="0.25">
      <c r="I10893" s="227" t="str">
        <f>MID(excPisCofins[[#This Row],[CodBarras2]],2,50)</f>
        <v/>
      </c>
    </row>
    <row r="10894" spans="9:9" x14ac:dyDescent="0.25">
      <c r="I10894" s="227" t="str">
        <f>MID(excPisCofins[[#This Row],[CodBarras2]],2,50)</f>
        <v/>
      </c>
    </row>
    <row r="10895" spans="9:9" x14ac:dyDescent="0.25">
      <c r="I10895" s="227" t="str">
        <f>MID(excPisCofins[[#This Row],[CodBarras2]],2,50)</f>
        <v/>
      </c>
    </row>
    <row r="10896" spans="9:9" x14ac:dyDescent="0.25">
      <c r="I10896" s="227" t="str">
        <f>MID(excPisCofins[[#This Row],[CodBarras2]],2,50)</f>
        <v/>
      </c>
    </row>
    <row r="10897" spans="9:9" x14ac:dyDescent="0.25">
      <c r="I10897" s="227" t="str">
        <f>MID(excPisCofins[[#This Row],[CodBarras2]],2,50)</f>
        <v/>
      </c>
    </row>
    <row r="10898" spans="9:9" x14ac:dyDescent="0.25">
      <c r="I10898" s="227" t="str">
        <f>MID(excPisCofins[[#This Row],[CodBarras2]],2,50)</f>
        <v/>
      </c>
    </row>
    <row r="10899" spans="9:9" x14ac:dyDescent="0.25">
      <c r="I10899" s="227" t="str">
        <f>MID(excPisCofins[[#This Row],[CodBarras2]],2,50)</f>
        <v/>
      </c>
    </row>
    <row r="10900" spans="9:9" x14ac:dyDescent="0.25">
      <c r="I10900" s="227" t="str">
        <f>MID(excPisCofins[[#This Row],[CodBarras2]],2,50)</f>
        <v/>
      </c>
    </row>
    <row r="10901" spans="9:9" x14ac:dyDescent="0.25">
      <c r="I10901" s="227" t="str">
        <f>MID(excPisCofins[[#This Row],[CodBarras2]],2,50)</f>
        <v/>
      </c>
    </row>
    <row r="10902" spans="9:9" x14ac:dyDescent="0.25">
      <c r="I10902" s="227" t="str">
        <f>MID(excPisCofins[[#This Row],[CodBarras2]],2,50)</f>
        <v/>
      </c>
    </row>
    <row r="10903" spans="9:9" x14ac:dyDescent="0.25">
      <c r="I10903" s="227" t="str">
        <f>MID(excPisCofins[[#This Row],[CodBarras2]],2,50)</f>
        <v/>
      </c>
    </row>
    <row r="10904" spans="9:9" x14ac:dyDescent="0.25">
      <c r="I10904" s="227" t="str">
        <f>MID(excPisCofins[[#This Row],[CodBarras2]],2,50)</f>
        <v/>
      </c>
    </row>
    <row r="10905" spans="9:9" x14ac:dyDescent="0.25">
      <c r="I10905" s="227" t="str">
        <f>MID(excPisCofins[[#This Row],[CodBarras2]],2,50)</f>
        <v/>
      </c>
    </row>
    <row r="10906" spans="9:9" x14ac:dyDescent="0.25">
      <c r="I10906" s="227" t="str">
        <f>MID(excPisCofins[[#This Row],[CodBarras2]],2,50)</f>
        <v/>
      </c>
    </row>
    <row r="10907" spans="9:9" x14ac:dyDescent="0.25">
      <c r="I10907" s="227" t="str">
        <f>MID(excPisCofins[[#This Row],[CodBarras2]],2,50)</f>
        <v/>
      </c>
    </row>
    <row r="10908" spans="9:9" x14ac:dyDescent="0.25">
      <c r="I10908" s="227" t="str">
        <f>MID(excPisCofins[[#This Row],[CodBarras2]],2,50)</f>
        <v/>
      </c>
    </row>
    <row r="10909" spans="9:9" x14ac:dyDescent="0.25">
      <c r="I10909" s="227" t="str">
        <f>MID(excPisCofins[[#This Row],[CodBarras2]],2,50)</f>
        <v/>
      </c>
    </row>
    <row r="10910" spans="9:9" x14ac:dyDescent="0.25">
      <c r="I10910" s="227" t="str">
        <f>MID(excPisCofins[[#This Row],[CodBarras2]],2,50)</f>
        <v/>
      </c>
    </row>
    <row r="10911" spans="9:9" x14ac:dyDescent="0.25">
      <c r="I10911" s="227" t="str">
        <f>MID(excPisCofins[[#This Row],[CodBarras2]],2,50)</f>
        <v/>
      </c>
    </row>
    <row r="10912" spans="9:9" x14ac:dyDescent="0.25">
      <c r="I10912" s="227" t="str">
        <f>MID(excPisCofins[[#This Row],[CodBarras2]],2,50)</f>
        <v/>
      </c>
    </row>
    <row r="10913" spans="9:9" x14ac:dyDescent="0.25">
      <c r="I10913" s="227" t="str">
        <f>MID(excPisCofins[[#This Row],[CodBarras2]],2,50)</f>
        <v/>
      </c>
    </row>
    <row r="10914" spans="9:9" x14ac:dyDescent="0.25">
      <c r="I10914" s="227" t="str">
        <f>MID(excPisCofins[[#This Row],[CodBarras2]],2,50)</f>
        <v/>
      </c>
    </row>
    <row r="10915" spans="9:9" x14ac:dyDescent="0.25">
      <c r="I10915" s="227" t="str">
        <f>MID(excPisCofins[[#This Row],[CodBarras2]],2,50)</f>
        <v/>
      </c>
    </row>
    <row r="10916" spans="9:9" x14ac:dyDescent="0.25">
      <c r="I10916" s="227" t="str">
        <f>MID(excPisCofins[[#This Row],[CodBarras2]],2,50)</f>
        <v/>
      </c>
    </row>
    <row r="10917" spans="9:9" x14ac:dyDescent="0.25">
      <c r="I10917" s="227" t="str">
        <f>MID(excPisCofins[[#This Row],[CodBarras2]],2,50)</f>
        <v/>
      </c>
    </row>
    <row r="10918" spans="9:9" x14ac:dyDescent="0.25">
      <c r="I10918" s="227" t="str">
        <f>MID(excPisCofins[[#This Row],[CodBarras2]],2,50)</f>
        <v/>
      </c>
    </row>
    <row r="10919" spans="9:9" x14ac:dyDescent="0.25">
      <c r="I10919" s="227" t="str">
        <f>MID(excPisCofins[[#This Row],[CodBarras2]],2,50)</f>
        <v/>
      </c>
    </row>
    <row r="10920" spans="9:9" x14ac:dyDescent="0.25">
      <c r="I10920" s="227" t="str">
        <f>MID(excPisCofins[[#This Row],[CodBarras2]],2,50)</f>
        <v/>
      </c>
    </row>
    <row r="10921" spans="9:9" x14ac:dyDescent="0.25">
      <c r="I10921" s="227" t="str">
        <f>MID(excPisCofins[[#This Row],[CodBarras2]],2,50)</f>
        <v/>
      </c>
    </row>
    <row r="10922" spans="9:9" x14ac:dyDescent="0.25">
      <c r="I10922" s="227" t="str">
        <f>MID(excPisCofins[[#This Row],[CodBarras2]],2,50)</f>
        <v/>
      </c>
    </row>
    <row r="10923" spans="9:9" x14ac:dyDescent="0.25">
      <c r="I10923" s="227" t="str">
        <f>MID(excPisCofins[[#This Row],[CodBarras2]],2,50)</f>
        <v/>
      </c>
    </row>
    <row r="10924" spans="9:9" x14ac:dyDescent="0.25">
      <c r="I10924" s="227" t="str">
        <f>MID(excPisCofins[[#This Row],[CodBarras2]],2,50)</f>
        <v/>
      </c>
    </row>
    <row r="10925" spans="9:9" x14ac:dyDescent="0.25">
      <c r="I10925" s="227" t="str">
        <f>MID(excPisCofins[[#This Row],[CodBarras2]],2,50)</f>
        <v/>
      </c>
    </row>
    <row r="10926" spans="9:9" x14ac:dyDescent="0.25">
      <c r="I10926" s="227" t="str">
        <f>MID(excPisCofins[[#This Row],[CodBarras2]],2,50)</f>
        <v/>
      </c>
    </row>
    <row r="10927" spans="9:9" x14ac:dyDescent="0.25">
      <c r="I10927" s="227" t="str">
        <f>MID(excPisCofins[[#This Row],[CodBarras2]],2,50)</f>
        <v/>
      </c>
    </row>
    <row r="10928" spans="9:9" x14ac:dyDescent="0.25">
      <c r="I10928" s="227" t="str">
        <f>MID(excPisCofins[[#This Row],[CodBarras2]],2,50)</f>
        <v/>
      </c>
    </row>
    <row r="10929" spans="9:9" x14ac:dyDescent="0.25">
      <c r="I10929" s="227" t="str">
        <f>MID(excPisCofins[[#This Row],[CodBarras2]],2,50)</f>
        <v/>
      </c>
    </row>
    <row r="10930" spans="9:9" x14ac:dyDescent="0.25">
      <c r="I10930" s="227" t="str">
        <f>MID(excPisCofins[[#This Row],[CodBarras2]],2,50)</f>
        <v/>
      </c>
    </row>
    <row r="10931" spans="9:9" x14ac:dyDescent="0.25">
      <c r="I10931" s="227" t="str">
        <f>MID(excPisCofins[[#This Row],[CodBarras2]],2,50)</f>
        <v/>
      </c>
    </row>
    <row r="10932" spans="9:9" x14ac:dyDescent="0.25">
      <c r="I10932" s="227" t="str">
        <f>MID(excPisCofins[[#This Row],[CodBarras2]],2,50)</f>
        <v/>
      </c>
    </row>
    <row r="10933" spans="9:9" x14ac:dyDescent="0.25">
      <c r="I10933" s="227" t="str">
        <f>MID(excPisCofins[[#This Row],[CodBarras2]],2,50)</f>
        <v/>
      </c>
    </row>
    <row r="10934" spans="9:9" x14ac:dyDescent="0.25">
      <c r="I10934" s="227" t="str">
        <f>MID(excPisCofins[[#This Row],[CodBarras2]],2,50)</f>
        <v/>
      </c>
    </row>
    <row r="10935" spans="9:9" x14ac:dyDescent="0.25">
      <c r="I10935" s="227" t="str">
        <f>MID(excPisCofins[[#This Row],[CodBarras2]],2,50)</f>
        <v/>
      </c>
    </row>
    <row r="10936" spans="9:9" x14ac:dyDescent="0.25">
      <c r="I10936" s="227" t="str">
        <f>MID(excPisCofins[[#This Row],[CodBarras2]],2,50)</f>
        <v/>
      </c>
    </row>
    <row r="10937" spans="9:9" x14ac:dyDescent="0.25">
      <c r="I10937" s="227" t="str">
        <f>MID(excPisCofins[[#This Row],[CodBarras2]],2,50)</f>
        <v/>
      </c>
    </row>
    <row r="10938" spans="9:9" x14ac:dyDescent="0.25">
      <c r="I10938" s="227" t="str">
        <f>MID(excPisCofins[[#This Row],[CodBarras2]],2,50)</f>
        <v/>
      </c>
    </row>
    <row r="10939" spans="9:9" x14ac:dyDescent="0.25">
      <c r="I10939" s="227" t="str">
        <f>MID(excPisCofins[[#This Row],[CodBarras2]],2,50)</f>
        <v/>
      </c>
    </row>
    <row r="10940" spans="9:9" x14ac:dyDescent="0.25">
      <c r="I10940" s="227" t="str">
        <f>MID(excPisCofins[[#This Row],[CodBarras2]],2,50)</f>
        <v/>
      </c>
    </row>
    <row r="10941" spans="9:9" x14ac:dyDescent="0.25">
      <c r="I10941" s="227" t="str">
        <f>MID(excPisCofins[[#This Row],[CodBarras2]],2,50)</f>
        <v/>
      </c>
    </row>
    <row r="10942" spans="9:9" x14ac:dyDescent="0.25">
      <c r="I10942" s="227" t="str">
        <f>MID(excPisCofins[[#This Row],[CodBarras2]],2,50)</f>
        <v/>
      </c>
    </row>
    <row r="10943" spans="9:9" x14ac:dyDescent="0.25">
      <c r="I10943" s="227" t="str">
        <f>MID(excPisCofins[[#This Row],[CodBarras2]],2,50)</f>
        <v/>
      </c>
    </row>
    <row r="10944" spans="9:9" x14ac:dyDescent="0.25">
      <c r="I10944" s="227" t="str">
        <f>MID(excPisCofins[[#This Row],[CodBarras2]],2,50)</f>
        <v/>
      </c>
    </row>
    <row r="10945" spans="9:9" x14ac:dyDescent="0.25">
      <c r="I10945" s="227" t="str">
        <f>MID(excPisCofins[[#This Row],[CodBarras2]],2,50)</f>
        <v/>
      </c>
    </row>
    <row r="10946" spans="9:9" x14ac:dyDescent="0.25">
      <c r="I10946" s="227" t="str">
        <f>MID(excPisCofins[[#This Row],[CodBarras2]],2,50)</f>
        <v/>
      </c>
    </row>
    <row r="10947" spans="9:9" x14ac:dyDescent="0.25">
      <c r="I10947" s="227" t="str">
        <f>MID(excPisCofins[[#This Row],[CodBarras2]],2,50)</f>
        <v/>
      </c>
    </row>
    <row r="10948" spans="9:9" x14ac:dyDescent="0.25">
      <c r="I10948" s="227" t="str">
        <f>MID(excPisCofins[[#This Row],[CodBarras2]],2,50)</f>
        <v/>
      </c>
    </row>
    <row r="10949" spans="9:9" x14ac:dyDescent="0.25">
      <c r="I10949" s="227" t="str">
        <f>MID(excPisCofins[[#This Row],[CodBarras2]],2,50)</f>
        <v/>
      </c>
    </row>
    <row r="10950" spans="9:9" x14ac:dyDescent="0.25">
      <c r="I10950" s="227" t="str">
        <f>MID(excPisCofins[[#This Row],[CodBarras2]],2,50)</f>
        <v/>
      </c>
    </row>
    <row r="10951" spans="9:9" x14ac:dyDescent="0.25">
      <c r="I10951" s="227" t="str">
        <f>MID(excPisCofins[[#This Row],[CodBarras2]],2,50)</f>
        <v/>
      </c>
    </row>
    <row r="10952" spans="9:9" x14ac:dyDescent="0.25">
      <c r="I10952" s="227" t="str">
        <f>MID(excPisCofins[[#This Row],[CodBarras2]],2,50)</f>
        <v/>
      </c>
    </row>
    <row r="10953" spans="9:9" x14ac:dyDescent="0.25">
      <c r="I10953" s="227" t="str">
        <f>MID(excPisCofins[[#This Row],[CodBarras2]],2,50)</f>
        <v/>
      </c>
    </row>
    <row r="10954" spans="9:9" x14ac:dyDescent="0.25">
      <c r="I10954" s="227" t="str">
        <f>MID(excPisCofins[[#This Row],[CodBarras2]],2,50)</f>
        <v/>
      </c>
    </row>
    <row r="10955" spans="9:9" x14ac:dyDescent="0.25">
      <c r="I10955" s="227" t="str">
        <f>MID(excPisCofins[[#This Row],[CodBarras2]],2,50)</f>
        <v/>
      </c>
    </row>
    <row r="10956" spans="9:9" x14ac:dyDescent="0.25">
      <c r="I10956" s="227" t="str">
        <f>MID(excPisCofins[[#This Row],[CodBarras2]],2,50)</f>
        <v/>
      </c>
    </row>
    <row r="10957" spans="9:9" x14ac:dyDescent="0.25">
      <c r="I10957" s="227" t="str">
        <f>MID(excPisCofins[[#This Row],[CodBarras2]],2,50)</f>
        <v/>
      </c>
    </row>
    <row r="10958" spans="9:9" x14ac:dyDescent="0.25">
      <c r="I10958" s="227" t="str">
        <f>MID(excPisCofins[[#This Row],[CodBarras2]],2,50)</f>
        <v/>
      </c>
    </row>
    <row r="10959" spans="9:9" x14ac:dyDescent="0.25">
      <c r="I10959" s="227" t="str">
        <f>MID(excPisCofins[[#This Row],[CodBarras2]],2,50)</f>
        <v/>
      </c>
    </row>
    <row r="10960" spans="9:9" x14ac:dyDescent="0.25">
      <c r="I10960" s="227" t="str">
        <f>MID(excPisCofins[[#This Row],[CodBarras2]],2,50)</f>
        <v/>
      </c>
    </row>
    <row r="10961" spans="9:9" x14ac:dyDescent="0.25">
      <c r="I10961" s="227" t="str">
        <f>MID(excPisCofins[[#This Row],[CodBarras2]],2,50)</f>
        <v/>
      </c>
    </row>
    <row r="10962" spans="9:9" x14ac:dyDescent="0.25">
      <c r="I10962" s="227" t="str">
        <f>MID(excPisCofins[[#This Row],[CodBarras2]],2,50)</f>
        <v/>
      </c>
    </row>
    <row r="10963" spans="9:9" x14ac:dyDescent="0.25">
      <c r="I10963" s="227" t="str">
        <f>MID(excPisCofins[[#This Row],[CodBarras2]],2,50)</f>
        <v/>
      </c>
    </row>
    <row r="10964" spans="9:9" x14ac:dyDescent="0.25">
      <c r="I10964" s="227" t="str">
        <f>MID(excPisCofins[[#This Row],[CodBarras2]],2,50)</f>
        <v/>
      </c>
    </row>
    <row r="10965" spans="9:9" x14ac:dyDescent="0.25">
      <c r="I10965" s="227" t="str">
        <f>MID(excPisCofins[[#This Row],[CodBarras2]],2,50)</f>
        <v/>
      </c>
    </row>
    <row r="10966" spans="9:9" x14ac:dyDescent="0.25">
      <c r="I10966" s="227" t="str">
        <f>MID(excPisCofins[[#This Row],[CodBarras2]],2,50)</f>
        <v/>
      </c>
    </row>
    <row r="10967" spans="9:9" x14ac:dyDescent="0.25">
      <c r="I10967" s="227" t="str">
        <f>MID(excPisCofins[[#This Row],[CodBarras2]],2,50)</f>
        <v/>
      </c>
    </row>
    <row r="10968" spans="9:9" x14ac:dyDescent="0.25">
      <c r="I10968" s="227" t="str">
        <f>MID(excPisCofins[[#This Row],[CodBarras2]],2,50)</f>
        <v/>
      </c>
    </row>
    <row r="10969" spans="9:9" x14ac:dyDescent="0.25">
      <c r="I10969" s="227" t="str">
        <f>MID(excPisCofins[[#This Row],[CodBarras2]],2,50)</f>
        <v/>
      </c>
    </row>
    <row r="10970" spans="9:9" x14ac:dyDescent="0.25">
      <c r="I10970" s="227" t="str">
        <f>MID(excPisCofins[[#This Row],[CodBarras2]],2,50)</f>
        <v/>
      </c>
    </row>
    <row r="10971" spans="9:9" x14ac:dyDescent="0.25">
      <c r="I10971" s="227" t="str">
        <f>MID(excPisCofins[[#This Row],[CodBarras2]],2,50)</f>
        <v/>
      </c>
    </row>
    <row r="10972" spans="9:9" x14ac:dyDescent="0.25">
      <c r="I10972" s="227" t="str">
        <f>MID(excPisCofins[[#This Row],[CodBarras2]],2,50)</f>
        <v/>
      </c>
    </row>
    <row r="10973" spans="9:9" x14ac:dyDescent="0.25">
      <c r="I10973" s="227" t="str">
        <f>MID(excPisCofins[[#This Row],[CodBarras2]],2,50)</f>
        <v/>
      </c>
    </row>
    <row r="10974" spans="9:9" x14ac:dyDescent="0.25">
      <c r="I10974" s="227" t="str">
        <f>MID(excPisCofins[[#This Row],[CodBarras2]],2,50)</f>
        <v/>
      </c>
    </row>
    <row r="10975" spans="9:9" x14ac:dyDescent="0.25">
      <c r="I10975" s="227" t="str">
        <f>MID(excPisCofins[[#This Row],[CodBarras2]],2,50)</f>
        <v/>
      </c>
    </row>
    <row r="10976" spans="9:9" x14ac:dyDescent="0.25">
      <c r="I10976" s="227" t="str">
        <f>MID(excPisCofins[[#This Row],[CodBarras2]],2,50)</f>
        <v/>
      </c>
    </row>
    <row r="10977" spans="9:9" x14ac:dyDescent="0.25">
      <c r="I10977" s="227" t="str">
        <f>MID(excPisCofins[[#This Row],[CodBarras2]],2,50)</f>
        <v/>
      </c>
    </row>
    <row r="10978" spans="9:9" x14ac:dyDescent="0.25">
      <c r="I10978" s="227" t="str">
        <f>MID(excPisCofins[[#This Row],[CodBarras2]],2,50)</f>
        <v/>
      </c>
    </row>
    <row r="10979" spans="9:9" x14ac:dyDescent="0.25">
      <c r="I10979" s="227" t="str">
        <f>MID(excPisCofins[[#This Row],[CodBarras2]],2,50)</f>
        <v/>
      </c>
    </row>
    <row r="10980" spans="9:9" x14ac:dyDescent="0.25">
      <c r="I10980" s="227" t="str">
        <f>MID(excPisCofins[[#This Row],[CodBarras2]],2,50)</f>
        <v/>
      </c>
    </row>
    <row r="10981" spans="9:9" x14ac:dyDescent="0.25">
      <c r="I10981" s="227" t="str">
        <f>MID(excPisCofins[[#This Row],[CodBarras2]],2,50)</f>
        <v/>
      </c>
    </row>
    <row r="10982" spans="9:9" x14ac:dyDescent="0.25">
      <c r="I10982" s="227" t="str">
        <f>MID(excPisCofins[[#This Row],[CodBarras2]],2,50)</f>
        <v/>
      </c>
    </row>
    <row r="10983" spans="9:9" x14ac:dyDescent="0.25">
      <c r="I10983" s="227" t="str">
        <f>MID(excPisCofins[[#This Row],[CodBarras2]],2,50)</f>
        <v/>
      </c>
    </row>
    <row r="10984" spans="9:9" x14ac:dyDescent="0.25">
      <c r="I10984" s="227" t="str">
        <f>MID(excPisCofins[[#This Row],[CodBarras2]],2,50)</f>
        <v/>
      </c>
    </row>
    <row r="10985" spans="9:9" x14ac:dyDescent="0.25">
      <c r="I10985" s="227" t="str">
        <f>MID(excPisCofins[[#This Row],[CodBarras2]],2,50)</f>
        <v/>
      </c>
    </row>
    <row r="10986" spans="9:9" x14ac:dyDescent="0.25">
      <c r="I10986" s="227" t="str">
        <f>MID(excPisCofins[[#This Row],[CodBarras2]],2,50)</f>
        <v/>
      </c>
    </row>
    <row r="10987" spans="9:9" x14ac:dyDescent="0.25">
      <c r="I10987" s="227" t="str">
        <f>MID(excPisCofins[[#This Row],[CodBarras2]],2,50)</f>
        <v/>
      </c>
    </row>
    <row r="10988" spans="9:9" x14ac:dyDescent="0.25">
      <c r="I10988" s="227" t="str">
        <f>MID(excPisCofins[[#This Row],[CodBarras2]],2,50)</f>
        <v/>
      </c>
    </row>
    <row r="10989" spans="9:9" x14ac:dyDescent="0.25">
      <c r="I10989" s="227" t="str">
        <f>MID(excPisCofins[[#This Row],[CodBarras2]],2,50)</f>
        <v/>
      </c>
    </row>
    <row r="10990" spans="9:9" x14ac:dyDescent="0.25">
      <c r="I10990" s="227" t="str">
        <f>MID(excPisCofins[[#This Row],[CodBarras2]],2,50)</f>
        <v/>
      </c>
    </row>
    <row r="10991" spans="9:9" x14ac:dyDescent="0.25">
      <c r="I10991" s="227" t="str">
        <f>MID(excPisCofins[[#This Row],[CodBarras2]],2,50)</f>
        <v/>
      </c>
    </row>
    <row r="10992" spans="9:9" x14ac:dyDescent="0.25">
      <c r="I10992" s="227" t="str">
        <f>MID(excPisCofins[[#This Row],[CodBarras2]],2,50)</f>
        <v/>
      </c>
    </row>
    <row r="10993" spans="9:9" x14ac:dyDescent="0.25">
      <c r="I10993" s="227" t="str">
        <f>MID(excPisCofins[[#This Row],[CodBarras2]],2,50)</f>
        <v/>
      </c>
    </row>
    <row r="10994" spans="9:9" x14ac:dyDescent="0.25">
      <c r="I10994" s="227" t="str">
        <f>MID(excPisCofins[[#This Row],[CodBarras2]],2,50)</f>
        <v/>
      </c>
    </row>
    <row r="10995" spans="9:9" x14ac:dyDescent="0.25">
      <c r="I10995" s="227" t="str">
        <f>MID(excPisCofins[[#This Row],[CodBarras2]],2,50)</f>
        <v/>
      </c>
    </row>
    <row r="10996" spans="9:9" x14ac:dyDescent="0.25">
      <c r="I10996" s="227" t="str">
        <f>MID(excPisCofins[[#This Row],[CodBarras2]],2,50)</f>
        <v/>
      </c>
    </row>
    <row r="10997" spans="9:9" x14ac:dyDescent="0.25">
      <c r="I10997" s="227" t="str">
        <f>MID(excPisCofins[[#This Row],[CodBarras2]],2,50)</f>
        <v/>
      </c>
    </row>
    <row r="10998" spans="9:9" x14ac:dyDescent="0.25">
      <c r="I10998" s="227" t="str">
        <f>MID(excPisCofins[[#This Row],[CodBarras2]],2,50)</f>
        <v/>
      </c>
    </row>
    <row r="10999" spans="9:9" x14ac:dyDescent="0.25">
      <c r="I10999" s="227" t="str">
        <f>MID(excPisCofins[[#This Row],[CodBarras2]],2,50)</f>
        <v/>
      </c>
    </row>
    <row r="11000" spans="9:9" x14ac:dyDescent="0.25">
      <c r="I11000" s="227" t="str">
        <f>MID(excPisCofins[[#This Row],[CodBarras2]],2,50)</f>
        <v/>
      </c>
    </row>
    <row r="11001" spans="9:9" x14ac:dyDescent="0.25">
      <c r="I11001" s="227" t="str">
        <f>MID(excPisCofins[[#This Row],[CodBarras2]],2,50)</f>
        <v/>
      </c>
    </row>
    <row r="11002" spans="9:9" x14ac:dyDescent="0.25">
      <c r="I11002" s="227" t="str">
        <f>MID(excPisCofins[[#This Row],[CodBarras2]],2,50)</f>
        <v/>
      </c>
    </row>
    <row r="11003" spans="9:9" x14ac:dyDescent="0.25">
      <c r="I11003" s="227" t="str">
        <f>MID(excPisCofins[[#This Row],[CodBarras2]],2,50)</f>
        <v/>
      </c>
    </row>
    <row r="11004" spans="9:9" x14ac:dyDescent="0.25">
      <c r="I11004" s="227" t="str">
        <f>MID(excPisCofins[[#This Row],[CodBarras2]],2,50)</f>
        <v/>
      </c>
    </row>
    <row r="11005" spans="9:9" x14ac:dyDescent="0.25">
      <c r="I11005" s="227" t="str">
        <f>MID(excPisCofins[[#This Row],[CodBarras2]],2,50)</f>
        <v/>
      </c>
    </row>
    <row r="11006" spans="9:9" x14ac:dyDescent="0.25">
      <c r="I11006" s="227" t="str">
        <f>MID(excPisCofins[[#This Row],[CodBarras2]],2,50)</f>
        <v/>
      </c>
    </row>
    <row r="11007" spans="9:9" x14ac:dyDescent="0.25">
      <c r="I11007" s="227" t="str">
        <f>MID(excPisCofins[[#This Row],[CodBarras2]],2,50)</f>
        <v/>
      </c>
    </row>
    <row r="11008" spans="9:9" x14ac:dyDescent="0.25">
      <c r="I11008" s="227" t="str">
        <f>MID(excPisCofins[[#This Row],[CodBarras2]],2,50)</f>
        <v/>
      </c>
    </row>
    <row r="11009" spans="9:9" x14ac:dyDescent="0.25">
      <c r="I11009" s="227" t="str">
        <f>MID(excPisCofins[[#This Row],[CodBarras2]],2,50)</f>
        <v/>
      </c>
    </row>
    <row r="11010" spans="9:9" x14ac:dyDescent="0.25">
      <c r="I11010" s="227" t="str">
        <f>MID(excPisCofins[[#This Row],[CodBarras2]],2,50)</f>
        <v/>
      </c>
    </row>
    <row r="11011" spans="9:9" x14ac:dyDescent="0.25">
      <c r="I11011" s="227" t="str">
        <f>MID(excPisCofins[[#This Row],[CodBarras2]],2,50)</f>
        <v/>
      </c>
    </row>
    <row r="11012" spans="9:9" x14ac:dyDescent="0.25">
      <c r="I11012" s="227" t="str">
        <f>MID(excPisCofins[[#This Row],[CodBarras2]],2,50)</f>
        <v/>
      </c>
    </row>
    <row r="11013" spans="9:9" x14ac:dyDescent="0.25">
      <c r="I11013" s="227" t="str">
        <f>MID(excPisCofins[[#This Row],[CodBarras2]],2,50)</f>
        <v/>
      </c>
    </row>
    <row r="11014" spans="9:9" x14ac:dyDescent="0.25">
      <c r="I11014" s="227" t="str">
        <f>MID(excPisCofins[[#This Row],[CodBarras2]],2,50)</f>
        <v/>
      </c>
    </row>
    <row r="11015" spans="9:9" x14ac:dyDescent="0.25">
      <c r="I11015" s="227" t="str">
        <f>MID(excPisCofins[[#This Row],[CodBarras2]],2,50)</f>
        <v/>
      </c>
    </row>
    <row r="11016" spans="9:9" x14ac:dyDescent="0.25">
      <c r="I11016" s="227" t="str">
        <f>MID(excPisCofins[[#This Row],[CodBarras2]],2,50)</f>
        <v/>
      </c>
    </row>
    <row r="11017" spans="9:9" x14ac:dyDescent="0.25">
      <c r="I11017" s="227" t="str">
        <f>MID(excPisCofins[[#This Row],[CodBarras2]],2,50)</f>
        <v/>
      </c>
    </row>
    <row r="11018" spans="9:9" x14ac:dyDescent="0.25">
      <c r="I11018" s="227" t="str">
        <f>MID(excPisCofins[[#This Row],[CodBarras2]],2,50)</f>
        <v/>
      </c>
    </row>
    <row r="11019" spans="9:9" x14ac:dyDescent="0.25">
      <c r="I11019" s="227" t="str">
        <f>MID(excPisCofins[[#This Row],[CodBarras2]],2,50)</f>
        <v/>
      </c>
    </row>
    <row r="11020" spans="9:9" x14ac:dyDescent="0.25">
      <c r="I11020" s="227" t="str">
        <f>MID(excPisCofins[[#This Row],[CodBarras2]],2,50)</f>
        <v/>
      </c>
    </row>
    <row r="11021" spans="9:9" x14ac:dyDescent="0.25">
      <c r="I11021" s="227" t="str">
        <f>MID(excPisCofins[[#This Row],[CodBarras2]],2,50)</f>
        <v/>
      </c>
    </row>
    <row r="11022" spans="9:9" x14ac:dyDescent="0.25">
      <c r="I11022" s="227" t="str">
        <f>MID(excPisCofins[[#This Row],[CodBarras2]],2,50)</f>
        <v/>
      </c>
    </row>
    <row r="11023" spans="9:9" x14ac:dyDescent="0.25">
      <c r="I11023" s="227" t="str">
        <f>MID(excPisCofins[[#This Row],[CodBarras2]],2,50)</f>
        <v/>
      </c>
    </row>
    <row r="11024" spans="9:9" x14ac:dyDescent="0.25">
      <c r="I11024" s="227" t="str">
        <f>MID(excPisCofins[[#This Row],[CodBarras2]],2,50)</f>
        <v/>
      </c>
    </row>
    <row r="11025" spans="9:9" x14ac:dyDescent="0.25">
      <c r="I11025" s="227" t="str">
        <f>MID(excPisCofins[[#This Row],[CodBarras2]],2,50)</f>
        <v/>
      </c>
    </row>
    <row r="11026" spans="9:9" x14ac:dyDescent="0.25">
      <c r="I11026" s="227" t="str">
        <f>MID(excPisCofins[[#This Row],[CodBarras2]],2,50)</f>
        <v/>
      </c>
    </row>
    <row r="11027" spans="9:9" x14ac:dyDescent="0.25">
      <c r="I11027" s="227" t="str">
        <f>MID(excPisCofins[[#This Row],[CodBarras2]],2,50)</f>
        <v/>
      </c>
    </row>
    <row r="11028" spans="9:9" x14ac:dyDescent="0.25">
      <c r="I11028" s="227" t="str">
        <f>MID(excPisCofins[[#This Row],[CodBarras2]],2,50)</f>
        <v/>
      </c>
    </row>
    <row r="11029" spans="9:9" x14ac:dyDescent="0.25">
      <c r="I11029" s="227" t="str">
        <f>MID(excPisCofins[[#This Row],[CodBarras2]],2,50)</f>
        <v/>
      </c>
    </row>
    <row r="11030" spans="9:9" x14ac:dyDescent="0.25">
      <c r="I11030" s="227" t="str">
        <f>MID(excPisCofins[[#This Row],[CodBarras2]],2,50)</f>
        <v/>
      </c>
    </row>
    <row r="11031" spans="9:9" x14ac:dyDescent="0.25">
      <c r="I11031" s="227" t="str">
        <f>MID(excPisCofins[[#This Row],[CodBarras2]],2,50)</f>
        <v/>
      </c>
    </row>
    <row r="11032" spans="9:9" x14ac:dyDescent="0.25">
      <c r="I11032" s="227" t="str">
        <f>MID(excPisCofins[[#This Row],[CodBarras2]],2,50)</f>
        <v/>
      </c>
    </row>
    <row r="11033" spans="9:9" x14ac:dyDescent="0.25">
      <c r="I11033" s="227" t="str">
        <f>MID(excPisCofins[[#This Row],[CodBarras2]],2,50)</f>
        <v/>
      </c>
    </row>
    <row r="11034" spans="9:9" x14ac:dyDescent="0.25">
      <c r="I11034" s="227" t="str">
        <f>MID(excPisCofins[[#This Row],[CodBarras2]],2,50)</f>
        <v/>
      </c>
    </row>
    <row r="11035" spans="9:9" x14ac:dyDescent="0.25">
      <c r="I11035" s="227" t="str">
        <f>MID(excPisCofins[[#This Row],[CodBarras2]],2,50)</f>
        <v/>
      </c>
    </row>
    <row r="11036" spans="9:9" x14ac:dyDescent="0.25">
      <c r="I11036" s="227" t="str">
        <f>MID(excPisCofins[[#This Row],[CodBarras2]],2,50)</f>
        <v/>
      </c>
    </row>
    <row r="11037" spans="9:9" x14ac:dyDescent="0.25">
      <c r="I11037" s="227" t="str">
        <f>MID(excPisCofins[[#This Row],[CodBarras2]],2,50)</f>
        <v/>
      </c>
    </row>
    <row r="11038" spans="9:9" x14ac:dyDescent="0.25">
      <c r="I11038" s="227" t="str">
        <f>MID(excPisCofins[[#This Row],[CodBarras2]],2,50)</f>
        <v/>
      </c>
    </row>
    <row r="11039" spans="9:9" x14ac:dyDescent="0.25">
      <c r="I11039" s="227" t="str">
        <f>MID(excPisCofins[[#This Row],[CodBarras2]],2,50)</f>
        <v/>
      </c>
    </row>
    <row r="11040" spans="9:9" x14ac:dyDescent="0.25">
      <c r="I11040" s="227" t="str">
        <f>MID(excPisCofins[[#This Row],[CodBarras2]],2,50)</f>
        <v/>
      </c>
    </row>
    <row r="11041" spans="9:9" x14ac:dyDescent="0.25">
      <c r="I11041" s="227" t="str">
        <f>MID(excPisCofins[[#This Row],[CodBarras2]],2,50)</f>
        <v/>
      </c>
    </row>
    <row r="11042" spans="9:9" x14ac:dyDescent="0.25">
      <c r="I11042" s="227" t="str">
        <f>MID(excPisCofins[[#This Row],[CodBarras2]],2,50)</f>
        <v/>
      </c>
    </row>
    <row r="11043" spans="9:9" x14ac:dyDescent="0.25">
      <c r="I11043" s="227" t="str">
        <f>MID(excPisCofins[[#This Row],[CodBarras2]],2,50)</f>
        <v/>
      </c>
    </row>
    <row r="11044" spans="9:9" x14ac:dyDescent="0.25">
      <c r="I11044" s="227" t="str">
        <f>MID(excPisCofins[[#This Row],[CodBarras2]],2,50)</f>
        <v/>
      </c>
    </row>
    <row r="11045" spans="9:9" x14ac:dyDescent="0.25">
      <c r="I11045" s="227" t="str">
        <f>MID(excPisCofins[[#This Row],[CodBarras2]],2,50)</f>
        <v/>
      </c>
    </row>
    <row r="11046" spans="9:9" x14ac:dyDescent="0.25">
      <c r="I11046" s="227" t="str">
        <f>MID(excPisCofins[[#This Row],[CodBarras2]],2,50)</f>
        <v/>
      </c>
    </row>
    <row r="11047" spans="9:9" x14ac:dyDescent="0.25">
      <c r="I11047" s="227" t="str">
        <f>MID(excPisCofins[[#This Row],[CodBarras2]],2,50)</f>
        <v/>
      </c>
    </row>
    <row r="11048" spans="9:9" x14ac:dyDescent="0.25">
      <c r="I11048" s="227" t="str">
        <f>MID(excPisCofins[[#This Row],[CodBarras2]],2,50)</f>
        <v/>
      </c>
    </row>
    <row r="11049" spans="9:9" x14ac:dyDescent="0.25">
      <c r="I11049" s="227" t="str">
        <f>MID(excPisCofins[[#This Row],[CodBarras2]],2,50)</f>
        <v/>
      </c>
    </row>
    <row r="11050" spans="9:9" x14ac:dyDescent="0.25">
      <c r="I11050" s="227" t="str">
        <f>MID(excPisCofins[[#This Row],[CodBarras2]],2,50)</f>
        <v/>
      </c>
    </row>
    <row r="11051" spans="9:9" x14ac:dyDescent="0.25">
      <c r="I11051" s="227" t="str">
        <f>MID(excPisCofins[[#This Row],[CodBarras2]],2,50)</f>
        <v/>
      </c>
    </row>
    <row r="11052" spans="9:9" x14ac:dyDescent="0.25">
      <c r="I11052" s="227" t="str">
        <f>MID(excPisCofins[[#This Row],[CodBarras2]],2,50)</f>
        <v/>
      </c>
    </row>
    <row r="11053" spans="9:9" x14ac:dyDescent="0.25">
      <c r="I11053" s="227" t="str">
        <f>MID(excPisCofins[[#This Row],[CodBarras2]],2,50)</f>
        <v/>
      </c>
    </row>
    <row r="11054" spans="9:9" x14ac:dyDescent="0.25">
      <c r="I11054" s="227" t="str">
        <f>MID(excPisCofins[[#This Row],[CodBarras2]],2,50)</f>
        <v/>
      </c>
    </row>
    <row r="11055" spans="9:9" x14ac:dyDescent="0.25">
      <c r="I11055" s="227" t="str">
        <f>MID(excPisCofins[[#This Row],[CodBarras2]],2,50)</f>
        <v/>
      </c>
    </row>
    <row r="11056" spans="9:9" x14ac:dyDescent="0.25">
      <c r="I11056" s="227" t="str">
        <f>MID(excPisCofins[[#This Row],[CodBarras2]],2,50)</f>
        <v/>
      </c>
    </row>
    <row r="11057" spans="9:9" x14ac:dyDescent="0.25">
      <c r="I11057" s="227" t="str">
        <f>MID(excPisCofins[[#This Row],[CodBarras2]],2,50)</f>
        <v/>
      </c>
    </row>
    <row r="11058" spans="9:9" x14ac:dyDescent="0.25">
      <c r="I11058" s="227" t="str">
        <f>MID(excPisCofins[[#This Row],[CodBarras2]],2,50)</f>
        <v/>
      </c>
    </row>
    <row r="11059" spans="9:9" x14ac:dyDescent="0.25">
      <c r="I11059" s="227" t="str">
        <f>MID(excPisCofins[[#This Row],[CodBarras2]],2,50)</f>
        <v/>
      </c>
    </row>
    <row r="11060" spans="9:9" x14ac:dyDescent="0.25">
      <c r="I11060" s="227" t="str">
        <f>MID(excPisCofins[[#This Row],[CodBarras2]],2,50)</f>
        <v/>
      </c>
    </row>
    <row r="11061" spans="9:9" x14ac:dyDescent="0.25">
      <c r="I11061" s="227" t="str">
        <f>MID(excPisCofins[[#This Row],[CodBarras2]],2,50)</f>
        <v/>
      </c>
    </row>
    <row r="11062" spans="9:9" x14ac:dyDescent="0.25">
      <c r="I11062" s="227" t="str">
        <f>MID(excPisCofins[[#This Row],[CodBarras2]],2,50)</f>
        <v/>
      </c>
    </row>
    <row r="11063" spans="9:9" x14ac:dyDescent="0.25">
      <c r="I11063" s="227" t="str">
        <f>MID(excPisCofins[[#This Row],[CodBarras2]],2,50)</f>
        <v/>
      </c>
    </row>
    <row r="11064" spans="9:9" x14ac:dyDescent="0.25">
      <c r="I11064" s="227" t="str">
        <f>MID(excPisCofins[[#This Row],[CodBarras2]],2,50)</f>
        <v/>
      </c>
    </row>
    <row r="11065" spans="9:9" x14ac:dyDescent="0.25">
      <c r="I11065" s="227" t="str">
        <f>MID(excPisCofins[[#This Row],[CodBarras2]],2,50)</f>
        <v/>
      </c>
    </row>
    <row r="11066" spans="9:9" x14ac:dyDescent="0.25">
      <c r="I11066" s="227" t="str">
        <f>MID(excPisCofins[[#This Row],[CodBarras2]],2,50)</f>
        <v/>
      </c>
    </row>
    <row r="11067" spans="9:9" x14ac:dyDescent="0.25">
      <c r="I11067" s="227" t="str">
        <f>MID(excPisCofins[[#This Row],[CodBarras2]],2,50)</f>
        <v/>
      </c>
    </row>
    <row r="11068" spans="9:9" x14ac:dyDescent="0.25">
      <c r="I11068" s="227" t="str">
        <f>MID(excPisCofins[[#This Row],[CodBarras2]],2,50)</f>
        <v/>
      </c>
    </row>
    <row r="11069" spans="9:9" x14ac:dyDescent="0.25">
      <c r="I11069" s="227" t="str">
        <f>MID(excPisCofins[[#This Row],[CodBarras2]],2,50)</f>
        <v/>
      </c>
    </row>
    <row r="11070" spans="9:9" x14ac:dyDescent="0.25">
      <c r="I11070" s="227" t="str">
        <f>MID(excPisCofins[[#This Row],[CodBarras2]],2,50)</f>
        <v/>
      </c>
    </row>
    <row r="11071" spans="9:9" x14ac:dyDescent="0.25">
      <c r="I11071" s="227" t="str">
        <f>MID(excPisCofins[[#This Row],[CodBarras2]],2,50)</f>
        <v/>
      </c>
    </row>
    <row r="11072" spans="9:9" x14ac:dyDescent="0.25">
      <c r="I11072" s="227" t="str">
        <f>MID(excPisCofins[[#This Row],[CodBarras2]],2,50)</f>
        <v/>
      </c>
    </row>
    <row r="11073" spans="9:9" x14ac:dyDescent="0.25">
      <c r="I11073" s="227" t="str">
        <f>MID(excPisCofins[[#This Row],[CodBarras2]],2,50)</f>
        <v/>
      </c>
    </row>
    <row r="11074" spans="9:9" x14ac:dyDescent="0.25">
      <c r="I11074" s="227" t="str">
        <f>MID(excPisCofins[[#This Row],[CodBarras2]],2,50)</f>
        <v/>
      </c>
    </row>
    <row r="11075" spans="9:9" x14ac:dyDescent="0.25">
      <c r="I11075" s="227" t="str">
        <f>MID(excPisCofins[[#This Row],[CodBarras2]],2,50)</f>
        <v/>
      </c>
    </row>
    <row r="11076" spans="9:9" x14ac:dyDescent="0.25">
      <c r="I11076" s="227" t="str">
        <f>MID(excPisCofins[[#This Row],[CodBarras2]],2,50)</f>
        <v/>
      </c>
    </row>
    <row r="11077" spans="9:9" x14ac:dyDescent="0.25">
      <c r="I11077" s="227" t="str">
        <f>MID(excPisCofins[[#This Row],[CodBarras2]],2,50)</f>
        <v/>
      </c>
    </row>
    <row r="11078" spans="9:9" x14ac:dyDescent="0.25">
      <c r="I11078" s="227" t="str">
        <f>MID(excPisCofins[[#This Row],[CodBarras2]],2,50)</f>
        <v/>
      </c>
    </row>
    <row r="11079" spans="9:9" x14ac:dyDescent="0.25">
      <c r="I11079" s="227" t="str">
        <f>MID(excPisCofins[[#This Row],[CodBarras2]],2,50)</f>
        <v/>
      </c>
    </row>
    <row r="11080" spans="9:9" x14ac:dyDescent="0.25">
      <c r="I11080" s="227" t="str">
        <f>MID(excPisCofins[[#This Row],[CodBarras2]],2,50)</f>
        <v/>
      </c>
    </row>
    <row r="11081" spans="9:9" x14ac:dyDescent="0.25">
      <c r="I11081" s="227" t="str">
        <f>MID(excPisCofins[[#This Row],[CodBarras2]],2,50)</f>
        <v/>
      </c>
    </row>
    <row r="11082" spans="9:9" x14ac:dyDescent="0.25">
      <c r="I11082" s="227" t="str">
        <f>MID(excPisCofins[[#This Row],[CodBarras2]],2,50)</f>
        <v/>
      </c>
    </row>
    <row r="11083" spans="9:9" x14ac:dyDescent="0.25">
      <c r="I11083" s="227" t="str">
        <f>MID(excPisCofins[[#This Row],[CodBarras2]],2,50)</f>
        <v/>
      </c>
    </row>
    <row r="11084" spans="9:9" x14ac:dyDescent="0.25">
      <c r="I11084" s="227" t="str">
        <f>MID(excPisCofins[[#This Row],[CodBarras2]],2,50)</f>
        <v/>
      </c>
    </row>
    <row r="11085" spans="9:9" x14ac:dyDescent="0.25">
      <c r="I11085" s="227" t="str">
        <f>MID(excPisCofins[[#This Row],[CodBarras2]],2,50)</f>
        <v/>
      </c>
    </row>
    <row r="11086" spans="9:9" x14ac:dyDescent="0.25">
      <c r="I11086" s="227" t="str">
        <f>MID(excPisCofins[[#This Row],[CodBarras2]],2,50)</f>
        <v/>
      </c>
    </row>
    <row r="11087" spans="9:9" x14ac:dyDescent="0.25">
      <c r="I11087" s="227" t="str">
        <f>MID(excPisCofins[[#This Row],[CodBarras2]],2,50)</f>
        <v/>
      </c>
    </row>
    <row r="11088" spans="9:9" x14ac:dyDescent="0.25">
      <c r="I11088" s="227" t="str">
        <f>MID(excPisCofins[[#This Row],[CodBarras2]],2,50)</f>
        <v/>
      </c>
    </row>
    <row r="11089" spans="9:9" x14ac:dyDescent="0.25">
      <c r="I11089" s="227" t="str">
        <f>MID(excPisCofins[[#This Row],[CodBarras2]],2,50)</f>
        <v/>
      </c>
    </row>
    <row r="11090" spans="9:9" x14ac:dyDescent="0.25">
      <c r="I11090" s="227" t="str">
        <f>MID(excPisCofins[[#This Row],[CodBarras2]],2,50)</f>
        <v/>
      </c>
    </row>
    <row r="11091" spans="9:9" x14ac:dyDescent="0.25">
      <c r="I11091" s="227" t="str">
        <f>MID(excPisCofins[[#This Row],[CodBarras2]],2,50)</f>
        <v/>
      </c>
    </row>
    <row r="11092" spans="9:9" x14ac:dyDescent="0.25">
      <c r="I11092" s="227" t="str">
        <f>MID(excPisCofins[[#This Row],[CodBarras2]],2,50)</f>
        <v/>
      </c>
    </row>
    <row r="11093" spans="9:9" x14ac:dyDescent="0.25">
      <c r="I11093" s="227" t="str">
        <f>MID(excPisCofins[[#This Row],[CodBarras2]],2,50)</f>
        <v/>
      </c>
    </row>
    <row r="11094" spans="9:9" x14ac:dyDescent="0.25">
      <c r="I11094" s="227" t="str">
        <f>MID(excPisCofins[[#This Row],[CodBarras2]],2,50)</f>
        <v/>
      </c>
    </row>
    <row r="11095" spans="9:9" x14ac:dyDescent="0.25">
      <c r="I11095" s="227" t="str">
        <f>MID(excPisCofins[[#This Row],[CodBarras2]],2,50)</f>
        <v/>
      </c>
    </row>
    <row r="11096" spans="9:9" x14ac:dyDescent="0.25">
      <c r="I11096" s="227" t="str">
        <f>MID(excPisCofins[[#This Row],[CodBarras2]],2,50)</f>
        <v/>
      </c>
    </row>
    <row r="11097" spans="9:9" x14ac:dyDescent="0.25">
      <c r="I11097" s="227" t="str">
        <f>MID(excPisCofins[[#This Row],[CodBarras2]],2,50)</f>
        <v/>
      </c>
    </row>
    <row r="11098" spans="9:9" x14ac:dyDescent="0.25">
      <c r="I11098" s="227" t="str">
        <f>MID(excPisCofins[[#This Row],[CodBarras2]],2,50)</f>
        <v/>
      </c>
    </row>
    <row r="11099" spans="9:9" x14ac:dyDescent="0.25">
      <c r="I11099" s="227" t="str">
        <f>MID(excPisCofins[[#This Row],[CodBarras2]],2,50)</f>
        <v/>
      </c>
    </row>
    <row r="11100" spans="9:9" x14ac:dyDescent="0.25">
      <c r="I11100" s="227" t="str">
        <f>MID(excPisCofins[[#This Row],[CodBarras2]],2,50)</f>
        <v/>
      </c>
    </row>
    <row r="11101" spans="9:9" x14ac:dyDescent="0.25">
      <c r="I11101" s="227" t="str">
        <f>MID(excPisCofins[[#This Row],[CodBarras2]],2,50)</f>
        <v/>
      </c>
    </row>
    <row r="11102" spans="9:9" x14ac:dyDescent="0.25">
      <c r="I11102" s="227" t="str">
        <f>MID(excPisCofins[[#This Row],[CodBarras2]],2,50)</f>
        <v/>
      </c>
    </row>
    <row r="11103" spans="9:9" x14ac:dyDescent="0.25">
      <c r="I11103" s="227" t="str">
        <f>MID(excPisCofins[[#This Row],[CodBarras2]],2,50)</f>
        <v/>
      </c>
    </row>
    <row r="11104" spans="9:9" x14ac:dyDescent="0.25">
      <c r="I11104" s="227" t="str">
        <f>MID(excPisCofins[[#This Row],[CodBarras2]],2,50)</f>
        <v/>
      </c>
    </row>
    <row r="11105" spans="9:9" x14ac:dyDescent="0.25">
      <c r="I11105" s="227" t="str">
        <f>MID(excPisCofins[[#This Row],[CodBarras2]],2,50)</f>
        <v/>
      </c>
    </row>
    <row r="11106" spans="9:9" x14ac:dyDescent="0.25">
      <c r="I11106" s="227" t="str">
        <f>MID(excPisCofins[[#This Row],[CodBarras2]],2,50)</f>
        <v/>
      </c>
    </row>
    <row r="11107" spans="9:9" x14ac:dyDescent="0.25">
      <c r="I11107" s="227" t="str">
        <f>MID(excPisCofins[[#This Row],[CodBarras2]],2,50)</f>
        <v/>
      </c>
    </row>
    <row r="11108" spans="9:9" x14ac:dyDescent="0.25">
      <c r="I11108" s="227" t="str">
        <f>MID(excPisCofins[[#This Row],[CodBarras2]],2,50)</f>
        <v/>
      </c>
    </row>
    <row r="11109" spans="9:9" x14ac:dyDescent="0.25">
      <c r="I11109" s="227" t="str">
        <f>MID(excPisCofins[[#This Row],[CodBarras2]],2,50)</f>
        <v/>
      </c>
    </row>
    <row r="11110" spans="9:9" x14ac:dyDescent="0.25">
      <c r="I11110" s="227" t="str">
        <f>MID(excPisCofins[[#This Row],[CodBarras2]],2,50)</f>
        <v/>
      </c>
    </row>
    <row r="11111" spans="9:9" x14ac:dyDescent="0.25">
      <c r="I11111" s="227" t="str">
        <f>MID(excPisCofins[[#This Row],[CodBarras2]],2,50)</f>
        <v/>
      </c>
    </row>
    <row r="11112" spans="9:9" x14ac:dyDescent="0.25">
      <c r="I11112" s="227" t="str">
        <f>MID(excPisCofins[[#This Row],[CodBarras2]],2,50)</f>
        <v/>
      </c>
    </row>
    <row r="11113" spans="9:9" x14ac:dyDescent="0.25">
      <c r="I11113" s="227" t="str">
        <f>MID(excPisCofins[[#This Row],[CodBarras2]],2,50)</f>
        <v/>
      </c>
    </row>
    <row r="11114" spans="9:9" x14ac:dyDescent="0.25">
      <c r="I11114" s="227" t="str">
        <f>MID(excPisCofins[[#This Row],[CodBarras2]],2,50)</f>
        <v/>
      </c>
    </row>
    <row r="11115" spans="9:9" x14ac:dyDescent="0.25">
      <c r="I11115" s="227" t="str">
        <f>MID(excPisCofins[[#This Row],[CodBarras2]],2,50)</f>
        <v/>
      </c>
    </row>
    <row r="11116" spans="9:9" x14ac:dyDescent="0.25">
      <c r="I11116" s="227" t="str">
        <f>MID(excPisCofins[[#This Row],[CodBarras2]],2,50)</f>
        <v/>
      </c>
    </row>
    <row r="11117" spans="9:9" x14ac:dyDescent="0.25">
      <c r="I11117" s="227" t="str">
        <f>MID(excPisCofins[[#This Row],[CodBarras2]],2,50)</f>
        <v/>
      </c>
    </row>
    <row r="11118" spans="9:9" x14ac:dyDescent="0.25">
      <c r="I11118" s="227" t="str">
        <f>MID(excPisCofins[[#This Row],[CodBarras2]],2,50)</f>
        <v/>
      </c>
    </row>
    <row r="11119" spans="9:9" x14ac:dyDescent="0.25">
      <c r="I11119" s="227" t="str">
        <f>MID(excPisCofins[[#This Row],[CodBarras2]],2,50)</f>
        <v/>
      </c>
    </row>
    <row r="11120" spans="9:9" x14ac:dyDescent="0.25">
      <c r="I11120" s="227" t="str">
        <f>MID(excPisCofins[[#This Row],[CodBarras2]],2,50)</f>
        <v/>
      </c>
    </row>
    <row r="11121" spans="9:9" x14ac:dyDescent="0.25">
      <c r="I11121" s="227" t="str">
        <f>MID(excPisCofins[[#This Row],[CodBarras2]],2,50)</f>
        <v/>
      </c>
    </row>
    <row r="11122" spans="9:9" x14ac:dyDescent="0.25">
      <c r="I11122" s="227" t="str">
        <f>MID(excPisCofins[[#This Row],[CodBarras2]],2,50)</f>
        <v/>
      </c>
    </row>
    <row r="11123" spans="9:9" x14ac:dyDescent="0.25">
      <c r="I11123" s="227" t="str">
        <f>MID(excPisCofins[[#This Row],[CodBarras2]],2,50)</f>
        <v/>
      </c>
    </row>
    <row r="11124" spans="9:9" x14ac:dyDescent="0.25">
      <c r="I11124" s="227" t="str">
        <f>MID(excPisCofins[[#This Row],[CodBarras2]],2,50)</f>
        <v/>
      </c>
    </row>
    <row r="11125" spans="9:9" x14ac:dyDescent="0.25">
      <c r="I11125" s="227" t="str">
        <f>MID(excPisCofins[[#This Row],[CodBarras2]],2,50)</f>
        <v/>
      </c>
    </row>
    <row r="11126" spans="9:9" x14ac:dyDescent="0.25">
      <c r="I11126" s="227" t="str">
        <f>MID(excPisCofins[[#This Row],[CodBarras2]],2,50)</f>
        <v/>
      </c>
    </row>
    <row r="11127" spans="9:9" x14ac:dyDescent="0.25">
      <c r="I11127" s="227" t="str">
        <f>MID(excPisCofins[[#This Row],[CodBarras2]],2,50)</f>
        <v/>
      </c>
    </row>
    <row r="11128" spans="9:9" x14ac:dyDescent="0.25">
      <c r="I11128" s="227" t="str">
        <f>MID(excPisCofins[[#This Row],[CodBarras2]],2,50)</f>
        <v/>
      </c>
    </row>
    <row r="11129" spans="9:9" x14ac:dyDescent="0.25">
      <c r="I11129" s="227" t="str">
        <f>MID(excPisCofins[[#This Row],[CodBarras2]],2,50)</f>
        <v/>
      </c>
    </row>
    <row r="11130" spans="9:9" x14ac:dyDescent="0.25">
      <c r="I11130" s="227" t="str">
        <f>MID(excPisCofins[[#This Row],[CodBarras2]],2,50)</f>
        <v/>
      </c>
    </row>
    <row r="11131" spans="9:9" x14ac:dyDescent="0.25">
      <c r="I11131" s="227" t="str">
        <f>MID(excPisCofins[[#This Row],[CodBarras2]],2,50)</f>
        <v/>
      </c>
    </row>
    <row r="11132" spans="9:9" x14ac:dyDescent="0.25">
      <c r="I11132" s="227" t="str">
        <f>MID(excPisCofins[[#This Row],[CodBarras2]],2,50)</f>
        <v/>
      </c>
    </row>
    <row r="11133" spans="9:9" x14ac:dyDescent="0.25">
      <c r="I11133" s="227" t="str">
        <f>MID(excPisCofins[[#This Row],[CodBarras2]],2,50)</f>
        <v/>
      </c>
    </row>
    <row r="11134" spans="9:9" x14ac:dyDescent="0.25">
      <c r="I11134" s="227" t="str">
        <f>MID(excPisCofins[[#This Row],[CodBarras2]],2,50)</f>
        <v/>
      </c>
    </row>
    <row r="11135" spans="9:9" x14ac:dyDescent="0.25">
      <c r="I11135" s="227" t="str">
        <f>MID(excPisCofins[[#This Row],[CodBarras2]],2,50)</f>
        <v/>
      </c>
    </row>
    <row r="11136" spans="9:9" x14ac:dyDescent="0.25">
      <c r="I11136" s="227" t="str">
        <f>MID(excPisCofins[[#This Row],[CodBarras2]],2,50)</f>
        <v/>
      </c>
    </row>
    <row r="11137" spans="9:9" x14ac:dyDescent="0.25">
      <c r="I11137" s="227" t="str">
        <f>MID(excPisCofins[[#This Row],[CodBarras2]],2,50)</f>
        <v/>
      </c>
    </row>
    <row r="11138" spans="9:9" x14ac:dyDescent="0.25">
      <c r="I11138" s="227" t="str">
        <f>MID(excPisCofins[[#This Row],[CodBarras2]],2,50)</f>
        <v/>
      </c>
    </row>
    <row r="11139" spans="9:9" x14ac:dyDescent="0.25">
      <c r="I11139" s="227" t="str">
        <f>MID(excPisCofins[[#This Row],[CodBarras2]],2,50)</f>
        <v/>
      </c>
    </row>
    <row r="11140" spans="9:9" x14ac:dyDescent="0.25">
      <c r="I11140" s="227" t="str">
        <f>MID(excPisCofins[[#This Row],[CodBarras2]],2,50)</f>
        <v/>
      </c>
    </row>
    <row r="11141" spans="9:9" x14ac:dyDescent="0.25">
      <c r="I11141" s="227" t="str">
        <f>MID(excPisCofins[[#This Row],[CodBarras2]],2,50)</f>
        <v/>
      </c>
    </row>
    <row r="11142" spans="9:9" x14ac:dyDescent="0.25">
      <c r="I11142" s="227" t="str">
        <f>MID(excPisCofins[[#This Row],[CodBarras2]],2,50)</f>
        <v/>
      </c>
    </row>
    <row r="11143" spans="9:9" x14ac:dyDescent="0.25">
      <c r="I11143" s="227" t="str">
        <f>MID(excPisCofins[[#This Row],[CodBarras2]],2,50)</f>
        <v/>
      </c>
    </row>
    <row r="11144" spans="9:9" x14ac:dyDescent="0.25">
      <c r="I11144" s="227" t="str">
        <f>MID(excPisCofins[[#This Row],[CodBarras2]],2,50)</f>
        <v/>
      </c>
    </row>
    <row r="11145" spans="9:9" x14ac:dyDescent="0.25">
      <c r="I11145" s="227" t="str">
        <f>MID(excPisCofins[[#This Row],[CodBarras2]],2,50)</f>
        <v/>
      </c>
    </row>
    <row r="11146" spans="9:9" x14ac:dyDescent="0.25">
      <c r="I11146" s="227" t="str">
        <f>MID(excPisCofins[[#This Row],[CodBarras2]],2,50)</f>
        <v/>
      </c>
    </row>
    <row r="11147" spans="9:9" x14ac:dyDescent="0.25">
      <c r="I11147" s="227" t="str">
        <f>MID(excPisCofins[[#This Row],[CodBarras2]],2,50)</f>
        <v/>
      </c>
    </row>
    <row r="11148" spans="9:9" x14ac:dyDescent="0.25">
      <c r="I11148" s="227" t="str">
        <f>MID(excPisCofins[[#This Row],[CodBarras2]],2,50)</f>
        <v/>
      </c>
    </row>
    <row r="11149" spans="9:9" x14ac:dyDescent="0.25">
      <c r="I11149" s="227" t="str">
        <f>MID(excPisCofins[[#This Row],[CodBarras2]],2,50)</f>
        <v/>
      </c>
    </row>
    <row r="11150" spans="9:9" x14ac:dyDescent="0.25">
      <c r="I11150" s="227" t="str">
        <f>MID(excPisCofins[[#This Row],[CodBarras2]],2,50)</f>
        <v/>
      </c>
    </row>
    <row r="11151" spans="9:9" x14ac:dyDescent="0.25">
      <c r="I11151" s="227" t="str">
        <f>MID(excPisCofins[[#This Row],[CodBarras2]],2,50)</f>
        <v/>
      </c>
    </row>
    <row r="11152" spans="9:9" x14ac:dyDescent="0.25">
      <c r="I11152" s="227" t="str">
        <f>MID(excPisCofins[[#This Row],[CodBarras2]],2,50)</f>
        <v/>
      </c>
    </row>
    <row r="11153" spans="9:9" x14ac:dyDescent="0.25">
      <c r="I11153" s="227" t="str">
        <f>MID(excPisCofins[[#This Row],[CodBarras2]],2,50)</f>
        <v/>
      </c>
    </row>
    <row r="11154" spans="9:9" x14ac:dyDescent="0.25">
      <c r="I11154" s="227" t="str">
        <f>MID(excPisCofins[[#This Row],[CodBarras2]],2,50)</f>
        <v/>
      </c>
    </row>
    <row r="11155" spans="9:9" x14ac:dyDescent="0.25">
      <c r="I11155" s="227" t="str">
        <f>MID(excPisCofins[[#This Row],[CodBarras2]],2,50)</f>
        <v/>
      </c>
    </row>
    <row r="11156" spans="9:9" x14ac:dyDescent="0.25">
      <c r="I11156" s="227" t="str">
        <f>MID(excPisCofins[[#This Row],[CodBarras2]],2,50)</f>
        <v/>
      </c>
    </row>
    <row r="11157" spans="9:9" x14ac:dyDescent="0.25">
      <c r="I11157" s="227" t="str">
        <f>MID(excPisCofins[[#This Row],[CodBarras2]],2,50)</f>
        <v/>
      </c>
    </row>
    <row r="11158" spans="9:9" x14ac:dyDescent="0.25">
      <c r="I11158" s="227" t="str">
        <f>MID(excPisCofins[[#This Row],[CodBarras2]],2,50)</f>
        <v/>
      </c>
    </row>
    <row r="11159" spans="9:9" x14ac:dyDescent="0.25">
      <c r="I11159" s="227" t="str">
        <f>MID(excPisCofins[[#This Row],[CodBarras2]],2,50)</f>
        <v/>
      </c>
    </row>
    <row r="11160" spans="9:9" x14ac:dyDescent="0.25">
      <c r="I11160" s="227" t="str">
        <f>MID(excPisCofins[[#This Row],[CodBarras2]],2,50)</f>
        <v/>
      </c>
    </row>
    <row r="11161" spans="9:9" x14ac:dyDescent="0.25">
      <c r="I11161" s="227" t="str">
        <f>MID(excPisCofins[[#This Row],[CodBarras2]],2,50)</f>
        <v/>
      </c>
    </row>
    <row r="11162" spans="9:9" x14ac:dyDescent="0.25">
      <c r="I11162" s="227" t="str">
        <f>MID(excPisCofins[[#This Row],[CodBarras2]],2,50)</f>
        <v/>
      </c>
    </row>
    <row r="11163" spans="9:9" x14ac:dyDescent="0.25">
      <c r="I11163" s="227" t="str">
        <f>MID(excPisCofins[[#This Row],[CodBarras2]],2,50)</f>
        <v/>
      </c>
    </row>
    <row r="11164" spans="9:9" x14ac:dyDescent="0.25">
      <c r="I11164" s="227" t="str">
        <f>MID(excPisCofins[[#This Row],[CodBarras2]],2,50)</f>
        <v/>
      </c>
    </row>
    <row r="11165" spans="9:9" x14ac:dyDescent="0.25">
      <c r="I11165" s="227" t="str">
        <f>MID(excPisCofins[[#This Row],[CodBarras2]],2,50)</f>
        <v/>
      </c>
    </row>
    <row r="11166" spans="9:9" x14ac:dyDescent="0.25">
      <c r="I11166" s="227" t="str">
        <f>MID(excPisCofins[[#This Row],[CodBarras2]],2,50)</f>
        <v/>
      </c>
    </row>
    <row r="11167" spans="9:9" x14ac:dyDescent="0.25">
      <c r="I11167" s="227" t="str">
        <f>MID(excPisCofins[[#This Row],[CodBarras2]],2,50)</f>
        <v/>
      </c>
    </row>
    <row r="11168" spans="9:9" x14ac:dyDescent="0.25">
      <c r="I11168" s="227" t="str">
        <f>MID(excPisCofins[[#This Row],[CodBarras2]],2,50)</f>
        <v/>
      </c>
    </row>
    <row r="11169" spans="9:9" x14ac:dyDescent="0.25">
      <c r="I11169" s="227" t="str">
        <f>MID(excPisCofins[[#This Row],[CodBarras2]],2,50)</f>
        <v/>
      </c>
    </row>
    <row r="11170" spans="9:9" x14ac:dyDescent="0.25">
      <c r="I11170" s="227" t="str">
        <f>MID(excPisCofins[[#This Row],[CodBarras2]],2,50)</f>
        <v/>
      </c>
    </row>
    <row r="11171" spans="9:9" x14ac:dyDescent="0.25">
      <c r="I11171" s="227" t="str">
        <f>MID(excPisCofins[[#This Row],[CodBarras2]],2,50)</f>
        <v/>
      </c>
    </row>
    <row r="11172" spans="9:9" x14ac:dyDescent="0.25">
      <c r="I11172" s="227" t="str">
        <f>MID(excPisCofins[[#This Row],[CodBarras2]],2,50)</f>
        <v/>
      </c>
    </row>
    <row r="11173" spans="9:9" x14ac:dyDescent="0.25">
      <c r="I11173" s="227" t="str">
        <f>MID(excPisCofins[[#This Row],[CodBarras2]],2,50)</f>
        <v/>
      </c>
    </row>
    <row r="11174" spans="9:9" x14ac:dyDescent="0.25">
      <c r="I11174" s="227" t="str">
        <f>MID(excPisCofins[[#This Row],[CodBarras2]],2,50)</f>
        <v/>
      </c>
    </row>
    <row r="11175" spans="9:9" x14ac:dyDescent="0.25">
      <c r="I11175" s="227" t="str">
        <f>MID(excPisCofins[[#This Row],[CodBarras2]],2,50)</f>
        <v/>
      </c>
    </row>
    <row r="11176" spans="9:9" x14ac:dyDescent="0.25">
      <c r="I11176" s="227" t="str">
        <f>MID(excPisCofins[[#This Row],[CodBarras2]],2,50)</f>
        <v/>
      </c>
    </row>
    <row r="11177" spans="9:9" x14ac:dyDescent="0.25">
      <c r="I11177" s="227" t="str">
        <f>MID(excPisCofins[[#This Row],[CodBarras2]],2,50)</f>
        <v/>
      </c>
    </row>
    <row r="11178" spans="9:9" x14ac:dyDescent="0.25">
      <c r="I11178" s="227" t="str">
        <f>MID(excPisCofins[[#This Row],[CodBarras2]],2,50)</f>
        <v/>
      </c>
    </row>
    <row r="11179" spans="9:9" x14ac:dyDescent="0.25">
      <c r="I11179" s="227" t="str">
        <f>MID(excPisCofins[[#This Row],[CodBarras2]],2,50)</f>
        <v/>
      </c>
    </row>
    <row r="11180" spans="9:9" x14ac:dyDescent="0.25">
      <c r="I11180" s="227" t="str">
        <f>MID(excPisCofins[[#This Row],[CodBarras2]],2,50)</f>
        <v/>
      </c>
    </row>
    <row r="11181" spans="9:9" x14ac:dyDescent="0.25">
      <c r="I11181" s="227" t="str">
        <f>MID(excPisCofins[[#This Row],[CodBarras2]],2,50)</f>
        <v/>
      </c>
    </row>
    <row r="11182" spans="9:9" x14ac:dyDescent="0.25">
      <c r="I11182" s="227" t="str">
        <f>MID(excPisCofins[[#This Row],[CodBarras2]],2,50)</f>
        <v/>
      </c>
    </row>
    <row r="11183" spans="9:9" x14ac:dyDescent="0.25">
      <c r="I11183" s="227" t="str">
        <f>MID(excPisCofins[[#This Row],[CodBarras2]],2,50)</f>
        <v/>
      </c>
    </row>
    <row r="11184" spans="9:9" x14ac:dyDescent="0.25">
      <c r="I11184" s="227" t="str">
        <f>MID(excPisCofins[[#This Row],[CodBarras2]],2,50)</f>
        <v/>
      </c>
    </row>
    <row r="11185" spans="9:9" x14ac:dyDescent="0.25">
      <c r="I11185" s="227" t="str">
        <f>MID(excPisCofins[[#This Row],[CodBarras2]],2,50)</f>
        <v/>
      </c>
    </row>
    <row r="11186" spans="9:9" x14ac:dyDescent="0.25">
      <c r="I11186" s="227" t="str">
        <f>MID(excPisCofins[[#This Row],[CodBarras2]],2,50)</f>
        <v/>
      </c>
    </row>
    <row r="11187" spans="9:9" x14ac:dyDescent="0.25">
      <c r="I11187" s="227" t="str">
        <f>MID(excPisCofins[[#This Row],[CodBarras2]],2,50)</f>
        <v/>
      </c>
    </row>
    <row r="11188" spans="9:9" x14ac:dyDescent="0.25">
      <c r="I11188" s="227" t="str">
        <f>MID(excPisCofins[[#This Row],[CodBarras2]],2,50)</f>
        <v/>
      </c>
    </row>
    <row r="11189" spans="9:9" x14ac:dyDescent="0.25">
      <c r="I11189" s="227" t="str">
        <f>MID(excPisCofins[[#This Row],[CodBarras2]],2,50)</f>
        <v/>
      </c>
    </row>
    <row r="11190" spans="9:9" x14ac:dyDescent="0.25">
      <c r="I11190" s="227" t="str">
        <f>MID(excPisCofins[[#This Row],[CodBarras2]],2,50)</f>
        <v/>
      </c>
    </row>
    <row r="11191" spans="9:9" x14ac:dyDescent="0.25">
      <c r="I11191" s="227" t="str">
        <f>MID(excPisCofins[[#This Row],[CodBarras2]],2,50)</f>
        <v/>
      </c>
    </row>
    <row r="11192" spans="9:9" x14ac:dyDescent="0.25">
      <c r="I11192" s="227" t="str">
        <f>MID(excPisCofins[[#This Row],[CodBarras2]],2,50)</f>
        <v/>
      </c>
    </row>
    <row r="11193" spans="9:9" x14ac:dyDescent="0.25">
      <c r="I11193" s="227" t="str">
        <f>MID(excPisCofins[[#This Row],[CodBarras2]],2,50)</f>
        <v/>
      </c>
    </row>
    <row r="11194" spans="9:9" x14ac:dyDescent="0.25">
      <c r="I11194" s="227" t="str">
        <f>MID(excPisCofins[[#This Row],[CodBarras2]],2,50)</f>
        <v/>
      </c>
    </row>
    <row r="11195" spans="9:9" x14ac:dyDescent="0.25">
      <c r="I11195" s="227" t="str">
        <f>MID(excPisCofins[[#This Row],[CodBarras2]],2,50)</f>
        <v/>
      </c>
    </row>
    <row r="11196" spans="9:9" x14ac:dyDescent="0.25">
      <c r="I11196" s="227" t="str">
        <f>MID(excPisCofins[[#This Row],[CodBarras2]],2,50)</f>
        <v/>
      </c>
    </row>
    <row r="11197" spans="9:9" x14ac:dyDescent="0.25">
      <c r="I11197" s="227" t="str">
        <f>MID(excPisCofins[[#This Row],[CodBarras2]],2,50)</f>
        <v/>
      </c>
    </row>
    <row r="11198" spans="9:9" x14ac:dyDescent="0.25">
      <c r="I11198" s="227" t="str">
        <f>MID(excPisCofins[[#This Row],[CodBarras2]],2,50)</f>
        <v/>
      </c>
    </row>
    <row r="11199" spans="9:9" x14ac:dyDescent="0.25">
      <c r="I11199" s="227" t="str">
        <f>MID(excPisCofins[[#This Row],[CodBarras2]],2,50)</f>
        <v/>
      </c>
    </row>
    <row r="11200" spans="9:9" x14ac:dyDescent="0.25">
      <c r="I11200" s="227" t="str">
        <f>MID(excPisCofins[[#This Row],[CodBarras2]],2,50)</f>
        <v/>
      </c>
    </row>
    <row r="11201" spans="9:9" x14ac:dyDescent="0.25">
      <c r="I11201" s="227" t="str">
        <f>MID(excPisCofins[[#This Row],[CodBarras2]],2,50)</f>
        <v/>
      </c>
    </row>
    <row r="11202" spans="9:9" x14ac:dyDescent="0.25">
      <c r="I11202" s="227" t="str">
        <f>MID(excPisCofins[[#This Row],[CodBarras2]],2,50)</f>
        <v/>
      </c>
    </row>
    <row r="11203" spans="9:9" x14ac:dyDescent="0.25">
      <c r="I11203" s="227" t="str">
        <f>MID(excPisCofins[[#This Row],[CodBarras2]],2,50)</f>
        <v/>
      </c>
    </row>
    <row r="11204" spans="9:9" x14ac:dyDescent="0.25">
      <c r="I11204" s="227" t="str">
        <f>MID(excPisCofins[[#This Row],[CodBarras2]],2,50)</f>
        <v/>
      </c>
    </row>
    <row r="11205" spans="9:9" x14ac:dyDescent="0.25">
      <c r="I11205" s="227" t="str">
        <f>MID(excPisCofins[[#This Row],[CodBarras2]],2,50)</f>
        <v/>
      </c>
    </row>
    <row r="11206" spans="9:9" x14ac:dyDescent="0.25">
      <c r="I11206" s="227" t="str">
        <f>MID(excPisCofins[[#This Row],[CodBarras2]],2,50)</f>
        <v/>
      </c>
    </row>
    <row r="11207" spans="9:9" x14ac:dyDescent="0.25">
      <c r="I11207" s="227" t="str">
        <f>MID(excPisCofins[[#This Row],[CodBarras2]],2,50)</f>
        <v/>
      </c>
    </row>
    <row r="11208" spans="9:9" x14ac:dyDescent="0.25">
      <c r="I11208" s="227" t="str">
        <f>MID(excPisCofins[[#This Row],[CodBarras2]],2,50)</f>
        <v/>
      </c>
    </row>
    <row r="11209" spans="9:9" x14ac:dyDescent="0.25">
      <c r="I11209" s="227" t="str">
        <f>MID(excPisCofins[[#This Row],[CodBarras2]],2,50)</f>
        <v/>
      </c>
    </row>
    <row r="11210" spans="9:9" x14ac:dyDescent="0.25">
      <c r="I11210" s="227" t="str">
        <f>MID(excPisCofins[[#This Row],[CodBarras2]],2,50)</f>
        <v/>
      </c>
    </row>
    <row r="11211" spans="9:9" x14ac:dyDescent="0.25">
      <c r="I11211" s="227" t="str">
        <f>MID(excPisCofins[[#This Row],[CodBarras2]],2,50)</f>
        <v/>
      </c>
    </row>
    <row r="11212" spans="9:9" x14ac:dyDescent="0.25">
      <c r="I11212" s="227" t="str">
        <f>MID(excPisCofins[[#This Row],[CodBarras2]],2,50)</f>
        <v/>
      </c>
    </row>
    <row r="11213" spans="9:9" x14ac:dyDescent="0.25">
      <c r="I11213" s="227" t="str">
        <f>MID(excPisCofins[[#This Row],[CodBarras2]],2,50)</f>
        <v/>
      </c>
    </row>
    <row r="11214" spans="9:9" x14ac:dyDescent="0.25">
      <c r="I11214" s="227" t="str">
        <f>MID(excPisCofins[[#This Row],[CodBarras2]],2,50)</f>
        <v/>
      </c>
    </row>
    <row r="11215" spans="9:9" x14ac:dyDescent="0.25">
      <c r="I11215" s="227" t="str">
        <f>MID(excPisCofins[[#This Row],[CodBarras2]],2,50)</f>
        <v/>
      </c>
    </row>
    <row r="11216" spans="9:9" x14ac:dyDescent="0.25">
      <c r="I11216" s="227" t="str">
        <f>MID(excPisCofins[[#This Row],[CodBarras2]],2,50)</f>
        <v/>
      </c>
    </row>
    <row r="11217" spans="9:9" x14ac:dyDescent="0.25">
      <c r="I11217" s="227" t="str">
        <f>MID(excPisCofins[[#This Row],[CodBarras2]],2,50)</f>
        <v/>
      </c>
    </row>
    <row r="11218" spans="9:9" x14ac:dyDescent="0.25">
      <c r="I11218" s="227" t="str">
        <f>MID(excPisCofins[[#This Row],[CodBarras2]],2,50)</f>
        <v/>
      </c>
    </row>
    <row r="11219" spans="9:9" x14ac:dyDescent="0.25">
      <c r="I11219" s="227" t="str">
        <f>MID(excPisCofins[[#This Row],[CodBarras2]],2,50)</f>
        <v/>
      </c>
    </row>
    <row r="11220" spans="9:9" x14ac:dyDescent="0.25">
      <c r="I11220" s="227" t="str">
        <f>MID(excPisCofins[[#This Row],[CodBarras2]],2,50)</f>
        <v/>
      </c>
    </row>
    <row r="11221" spans="9:9" x14ac:dyDescent="0.25">
      <c r="I11221" s="227" t="str">
        <f>MID(excPisCofins[[#This Row],[CodBarras2]],2,50)</f>
        <v/>
      </c>
    </row>
    <row r="11222" spans="9:9" x14ac:dyDescent="0.25">
      <c r="I11222" s="227" t="str">
        <f>MID(excPisCofins[[#This Row],[CodBarras2]],2,50)</f>
        <v/>
      </c>
    </row>
    <row r="11223" spans="9:9" x14ac:dyDescent="0.25">
      <c r="I11223" s="227" t="str">
        <f>MID(excPisCofins[[#This Row],[CodBarras2]],2,50)</f>
        <v/>
      </c>
    </row>
    <row r="11224" spans="9:9" x14ac:dyDescent="0.25">
      <c r="I11224" s="227" t="str">
        <f>MID(excPisCofins[[#This Row],[CodBarras2]],2,50)</f>
        <v/>
      </c>
    </row>
    <row r="11225" spans="9:9" x14ac:dyDescent="0.25">
      <c r="I11225" s="227" t="str">
        <f>MID(excPisCofins[[#This Row],[CodBarras2]],2,50)</f>
        <v/>
      </c>
    </row>
    <row r="11226" spans="9:9" x14ac:dyDescent="0.25">
      <c r="I11226" s="227" t="str">
        <f>MID(excPisCofins[[#This Row],[CodBarras2]],2,50)</f>
        <v/>
      </c>
    </row>
    <row r="11227" spans="9:9" x14ac:dyDescent="0.25">
      <c r="I11227" s="227" t="str">
        <f>MID(excPisCofins[[#This Row],[CodBarras2]],2,50)</f>
        <v/>
      </c>
    </row>
    <row r="11228" spans="9:9" x14ac:dyDescent="0.25">
      <c r="I11228" s="227" t="str">
        <f>MID(excPisCofins[[#This Row],[CodBarras2]],2,50)</f>
        <v/>
      </c>
    </row>
    <row r="11229" spans="9:9" x14ac:dyDescent="0.25">
      <c r="I11229" s="227" t="str">
        <f>MID(excPisCofins[[#This Row],[CodBarras2]],2,50)</f>
        <v/>
      </c>
    </row>
    <row r="11230" spans="9:9" x14ac:dyDescent="0.25">
      <c r="I11230" s="227" t="str">
        <f>MID(excPisCofins[[#This Row],[CodBarras2]],2,50)</f>
        <v/>
      </c>
    </row>
    <row r="11231" spans="9:9" x14ac:dyDescent="0.25">
      <c r="I11231" s="227" t="str">
        <f>MID(excPisCofins[[#This Row],[CodBarras2]],2,50)</f>
        <v/>
      </c>
    </row>
    <row r="11232" spans="9:9" x14ac:dyDescent="0.25">
      <c r="I11232" s="227" t="str">
        <f>MID(excPisCofins[[#This Row],[CodBarras2]],2,50)</f>
        <v/>
      </c>
    </row>
    <row r="11233" spans="9:9" x14ac:dyDescent="0.25">
      <c r="I11233" s="227" t="str">
        <f>MID(excPisCofins[[#This Row],[CodBarras2]],2,50)</f>
        <v/>
      </c>
    </row>
    <row r="11234" spans="9:9" x14ac:dyDescent="0.25">
      <c r="I11234" s="227" t="str">
        <f>MID(excPisCofins[[#This Row],[CodBarras2]],2,50)</f>
        <v/>
      </c>
    </row>
    <row r="11235" spans="9:9" x14ac:dyDescent="0.25">
      <c r="I11235" s="227" t="str">
        <f>MID(excPisCofins[[#This Row],[CodBarras2]],2,50)</f>
        <v/>
      </c>
    </row>
    <row r="11236" spans="9:9" x14ac:dyDescent="0.25">
      <c r="I11236" s="227" t="str">
        <f>MID(excPisCofins[[#This Row],[CodBarras2]],2,50)</f>
        <v/>
      </c>
    </row>
    <row r="11237" spans="9:9" x14ac:dyDescent="0.25">
      <c r="I11237" s="227" t="str">
        <f>MID(excPisCofins[[#This Row],[CodBarras2]],2,50)</f>
        <v/>
      </c>
    </row>
    <row r="11238" spans="9:9" x14ac:dyDescent="0.25">
      <c r="I11238" s="227" t="str">
        <f>MID(excPisCofins[[#This Row],[CodBarras2]],2,50)</f>
        <v/>
      </c>
    </row>
    <row r="11239" spans="9:9" x14ac:dyDescent="0.25">
      <c r="I11239" s="227" t="str">
        <f>MID(excPisCofins[[#This Row],[CodBarras2]],2,50)</f>
        <v/>
      </c>
    </row>
    <row r="11240" spans="9:9" x14ac:dyDescent="0.25">
      <c r="I11240" s="227" t="str">
        <f>MID(excPisCofins[[#This Row],[CodBarras2]],2,50)</f>
        <v/>
      </c>
    </row>
    <row r="11241" spans="9:9" x14ac:dyDescent="0.25">
      <c r="I11241" s="227" t="str">
        <f>MID(excPisCofins[[#This Row],[CodBarras2]],2,50)</f>
        <v/>
      </c>
    </row>
    <row r="11242" spans="9:9" x14ac:dyDescent="0.25">
      <c r="I11242" s="227" t="str">
        <f>MID(excPisCofins[[#This Row],[CodBarras2]],2,50)</f>
        <v/>
      </c>
    </row>
    <row r="11243" spans="9:9" x14ac:dyDescent="0.25">
      <c r="I11243" s="227" t="str">
        <f>MID(excPisCofins[[#This Row],[CodBarras2]],2,50)</f>
        <v/>
      </c>
    </row>
    <row r="11244" spans="9:9" x14ac:dyDescent="0.25">
      <c r="I11244" s="227" t="str">
        <f>MID(excPisCofins[[#This Row],[CodBarras2]],2,50)</f>
        <v/>
      </c>
    </row>
    <row r="11245" spans="9:9" x14ac:dyDescent="0.25">
      <c r="I11245" s="227" t="str">
        <f>MID(excPisCofins[[#This Row],[CodBarras2]],2,50)</f>
        <v/>
      </c>
    </row>
    <row r="11246" spans="9:9" x14ac:dyDescent="0.25">
      <c r="I11246" s="227" t="str">
        <f>MID(excPisCofins[[#This Row],[CodBarras2]],2,50)</f>
        <v/>
      </c>
    </row>
    <row r="11247" spans="9:9" x14ac:dyDescent="0.25">
      <c r="I11247" s="227" t="str">
        <f>MID(excPisCofins[[#This Row],[CodBarras2]],2,50)</f>
        <v/>
      </c>
    </row>
    <row r="11248" spans="9:9" x14ac:dyDescent="0.25">
      <c r="I11248" s="227" t="str">
        <f>MID(excPisCofins[[#This Row],[CodBarras2]],2,50)</f>
        <v/>
      </c>
    </row>
    <row r="11249" spans="9:9" x14ac:dyDescent="0.25">
      <c r="I11249" s="227" t="str">
        <f>MID(excPisCofins[[#This Row],[CodBarras2]],2,50)</f>
        <v/>
      </c>
    </row>
    <row r="11250" spans="9:9" x14ac:dyDescent="0.25">
      <c r="I11250" s="227" t="str">
        <f>MID(excPisCofins[[#This Row],[CodBarras2]],2,50)</f>
        <v/>
      </c>
    </row>
    <row r="11251" spans="9:9" x14ac:dyDescent="0.25">
      <c r="I11251" s="227" t="str">
        <f>MID(excPisCofins[[#This Row],[CodBarras2]],2,50)</f>
        <v/>
      </c>
    </row>
    <row r="11252" spans="9:9" x14ac:dyDescent="0.25">
      <c r="I11252" s="227" t="str">
        <f>MID(excPisCofins[[#This Row],[CodBarras2]],2,50)</f>
        <v/>
      </c>
    </row>
    <row r="11253" spans="9:9" x14ac:dyDescent="0.25">
      <c r="I11253" s="227" t="str">
        <f>MID(excPisCofins[[#This Row],[CodBarras2]],2,50)</f>
        <v/>
      </c>
    </row>
    <row r="11254" spans="9:9" x14ac:dyDescent="0.25">
      <c r="I11254" s="227" t="str">
        <f>MID(excPisCofins[[#This Row],[CodBarras2]],2,50)</f>
        <v/>
      </c>
    </row>
    <row r="11255" spans="9:9" x14ac:dyDescent="0.25">
      <c r="I11255" s="227" t="str">
        <f>MID(excPisCofins[[#This Row],[CodBarras2]],2,50)</f>
        <v/>
      </c>
    </row>
    <row r="11256" spans="9:9" x14ac:dyDescent="0.25">
      <c r="I11256" s="227" t="str">
        <f>MID(excPisCofins[[#This Row],[CodBarras2]],2,50)</f>
        <v/>
      </c>
    </row>
    <row r="11257" spans="9:9" x14ac:dyDescent="0.25">
      <c r="I11257" s="227" t="str">
        <f>MID(excPisCofins[[#This Row],[CodBarras2]],2,50)</f>
        <v/>
      </c>
    </row>
    <row r="11258" spans="9:9" x14ac:dyDescent="0.25">
      <c r="I11258" s="227" t="str">
        <f>MID(excPisCofins[[#This Row],[CodBarras2]],2,50)</f>
        <v/>
      </c>
    </row>
    <row r="11259" spans="9:9" x14ac:dyDescent="0.25">
      <c r="I11259" s="227" t="str">
        <f>MID(excPisCofins[[#This Row],[CodBarras2]],2,50)</f>
        <v/>
      </c>
    </row>
    <row r="11260" spans="9:9" x14ac:dyDescent="0.25">
      <c r="I11260" s="227" t="str">
        <f>MID(excPisCofins[[#This Row],[CodBarras2]],2,50)</f>
        <v/>
      </c>
    </row>
    <row r="11261" spans="9:9" x14ac:dyDescent="0.25">
      <c r="I11261" s="227" t="str">
        <f>MID(excPisCofins[[#This Row],[CodBarras2]],2,50)</f>
        <v/>
      </c>
    </row>
    <row r="11262" spans="9:9" x14ac:dyDescent="0.25">
      <c r="I11262" s="227" t="str">
        <f>MID(excPisCofins[[#This Row],[CodBarras2]],2,50)</f>
        <v/>
      </c>
    </row>
    <row r="11263" spans="9:9" x14ac:dyDescent="0.25">
      <c r="I11263" s="227" t="str">
        <f>MID(excPisCofins[[#This Row],[CodBarras2]],2,50)</f>
        <v/>
      </c>
    </row>
    <row r="11264" spans="9:9" x14ac:dyDescent="0.25">
      <c r="I11264" s="227" t="str">
        <f>MID(excPisCofins[[#This Row],[CodBarras2]],2,50)</f>
        <v/>
      </c>
    </row>
    <row r="11265" spans="9:9" x14ac:dyDescent="0.25">
      <c r="I11265" s="227" t="str">
        <f>MID(excPisCofins[[#This Row],[CodBarras2]],2,50)</f>
        <v/>
      </c>
    </row>
    <row r="11266" spans="9:9" x14ac:dyDescent="0.25">
      <c r="I11266" s="227" t="str">
        <f>MID(excPisCofins[[#This Row],[CodBarras2]],2,50)</f>
        <v/>
      </c>
    </row>
    <row r="11267" spans="9:9" x14ac:dyDescent="0.25">
      <c r="I11267" s="227" t="str">
        <f>MID(excPisCofins[[#This Row],[CodBarras2]],2,50)</f>
        <v/>
      </c>
    </row>
    <row r="11268" spans="9:9" x14ac:dyDescent="0.25">
      <c r="I11268" s="227" t="str">
        <f>MID(excPisCofins[[#This Row],[CodBarras2]],2,50)</f>
        <v/>
      </c>
    </row>
    <row r="11269" spans="9:9" x14ac:dyDescent="0.25">
      <c r="I11269" s="227" t="str">
        <f>MID(excPisCofins[[#This Row],[CodBarras2]],2,50)</f>
        <v/>
      </c>
    </row>
    <row r="11270" spans="9:9" x14ac:dyDescent="0.25">
      <c r="I11270" s="227" t="str">
        <f>MID(excPisCofins[[#This Row],[CodBarras2]],2,50)</f>
        <v/>
      </c>
    </row>
    <row r="11271" spans="9:9" x14ac:dyDescent="0.25">
      <c r="I11271" s="227" t="str">
        <f>MID(excPisCofins[[#This Row],[CodBarras2]],2,50)</f>
        <v/>
      </c>
    </row>
    <row r="11272" spans="9:9" x14ac:dyDescent="0.25">
      <c r="I11272" s="227" t="str">
        <f>MID(excPisCofins[[#This Row],[CodBarras2]],2,50)</f>
        <v/>
      </c>
    </row>
    <row r="11273" spans="9:9" x14ac:dyDescent="0.25">
      <c r="I11273" s="227" t="str">
        <f>MID(excPisCofins[[#This Row],[CodBarras2]],2,50)</f>
        <v/>
      </c>
    </row>
    <row r="11274" spans="9:9" x14ac:dyDescent="0.25">
      <c r="I11274" s="227" t="str">
        <f>MID(excPisCofins[[#This Row],[CodBarras2]],2,50)</f>
        <v/>
      </c>
    </row>
    <row r="11275" spans="9:9" x14ac:dyDescent="0.25">
      <c r="I11275" s="227" t="str">
        <f>MID(excPisCofins[[#This Row],[CodBarras2]],2,50)</f>
        <v/>
      </c>
    </row>
    <row r="11276" spans="9:9" x14ac:dyDescent="0.25">
      <c r="I11276" s="227" t="str">
        <f>MID(excPisCofins[[#This Row],[CodBarras2]],2,50)</f>
        <v/>
      </c>
    </row>
    <row r="11277" spans="9:9" x14ac:dyDescent="0.25">
      <c r="I11277" s="227" t="str">
        <f>MID(excPisCofins[[#This Row],[CodBarras2]],2,50)</f>
        <v/>
      </c>
    </row>
    <row r="11278" spans="9:9" x14ac:dyDescent="0.25">
      <c r="I11278" s="227" t="str">
        <f>MID(excPisCofins[[#This Row],[CodBarras2]],2,50)</f>
        <v/>
      </c>
    </row>
    <row r="11279" spans="9:9" x14ac:dyDescent="0.25">
      <c r="I11279" s="227" t="str">
        <f>MID(excPisCofins[[#This Row],[CodBarras2]],2,50)</f>
        <v/>
      </c>
    </row>
    <row r="11280" spans="9:9" x14ac:dyDescent="0.25">
      <c r="I11280" s="227" t="str">
        <f>MID(excPisCofins[[#This Row],[CodBarras2]],2,50)</f>
        <v/>
      </c>
    </row>
    <row r="11281" spans="9:9" x14ac:dyDescent="0.25">
      <c r="I11281" s="227" t="str">
        <f>MID(excPisCofins[[#This Row],[CodBarras2]],2,50)</f>
        <v/>
      </c>
    </row>
    <row r="11282" spans="9:9" x14ac:dyDescent="0.25">
      <c r="I11282" s="227" t="str">
        <f>MID(excPisCofins[[#This Row],[CodBarras2]],2,50)</f>
        <v/>
      </c>
    </row>
    <row r="11283" spans="9:9" x14ac:dyDescent="0.25">
      <c r="I11283" s="227" t="str">
        <f>MID(excPisCofins[[#This Row],[CodBarras2]],2,50)</f>
        <v/>
      </c>
    </row>
    <row r="11284" spans="9:9" x14ac:dyDescent="0.25">
      <c r="I11284" s="227" t="str">
        <f>MID(excPisCofins[[#This Row],[CodBarras2]],2,50)</f>
        <v/>
      </c>
    </row>
    <row r="11285" spans="9:9" x14ac:dyDescent="0.25">
      <c r="I11285" s="227" t="str">
        <f>MID(excPisCofins[[#This Row],[CodBarras2]],2,50)</f>
        <v/>
      </c>
    </row>
    <row r="11286" spans="9:9" x14ac:dyDescent="0.25">
      <c r="I11286" s="227" t="str">
        <f>MID(excPisCofins[[#This Row],[CodBarras2]],2,50)</f>
        <v/>
      </c>
    </row>
    <row r="11287" spans="9:9" x14ac:dyDescent="0.25">
      <c r="I11287" s="227" t="str">
        <f>MID(excPisCofins[[#This Row],[CodBarras2]],2,50)</f>
        <v/>
      </c>
    </row>
    <row r="11288" spans="9:9" x14ac:dyDescent="0.25">
      <c r="I11288" s="227" t="str">
        <f>MID(excPisCofins[[#This Row],[CodBarras2]],2,50)</f>
        <v/>
      </c>
    </row>
    <row r="11289" spans="9:9" x14ac:dyDescent="0.25">
      <c r="I11289" s="227" t="str">
        <f>MID(excPisCofins[[#This Row],[CodBarras2]],2,50)</f>
        <v/>
      </c>
    </row>
    <row r="11290" spans="9:9" x14ac:dyDescent="0.25">
      <c r="I11290" s="227" t="str">
        <f>MID(excPisCofins[[#This Row],[CodBarras2]],2,50)</f>
        <v/>
      </c>
    </row>
    <row r="11291" spans="9:9" x14ac:dyDescent="0.25">
      <c r="I11291" s="227" t="str">
        <f>MID(excPisCofins[[#This Row],[CodBarras2]],2,50)</f>
        <v/>
      </c>
    </row>
    <row r="11292" spans="9:9" x14ac:dyDescent="0.25">
      <c r="I11292" s="227" t="str">
        <f>MID(excPisCofins[[#This Row],[CodBarras2]],2,50)</f>
        <v/>
      </c>
    </row>
    <row r="11293" spans="9:9" x14ac:dyDescent="0.25">
      <c r="I11293" s="227" t="str">
        <f>MID(excPisCofins[[#This Row],[CodBarras2]],2,50)</f>
        <v/>
      </c>
    </row>
    <row r="11294" spans="9:9" x14ac:dyDescent="0.25">
      <c r="I11294" s="227" t="str">
        <f>MID(excPisCofins[[#This Row],[CodBarras2]],2,50)</f>
        <v/>
      </c>
    </row>
    <row r="11295" spans="9:9" x14ac:dyDescent="0.25">
      <c r="I11295" s="227" t="str">
        <f>MID(excPisCofins[[#This Row],[CodBarras2]],2,50)</f>
        <v/>
      </c>
    </row>
    <row r="11296" spans="9:9" x14ac:dyDescent="0.25">
      <c r="I11296" s="227" t="str">
        <f>MID(excPisCofins[[#This Row],[CodBarras2]],2,50)</f>
        <v/>
      </c>
    </row>
    <row r="11297" spans="9:9" x14ac:dyDescent="0.25">
      <c r="I11297" s="227" t="str">
        <f>MID(excPisCofins[[#This Row],[CodBarras2]],2,50)</f>
        <v/>
      </c>
    </row>
    <row r="11298" spans="9:9" x14ac:dyDescent="0.25">
      <c r="I11298" s="227" t="str">
        <f>MID(excPisCofins[[#This Row],[CodBarras2]],2,50)</f>
        <v/>
      </c>
    </row>
    <row r="11299" spans="9:9" x14ac:dyDescent="0.25">
      <c r="I11299" s="227" t="str">
        <f>MID(excPisCofins[[#This Row],[CodBarras2]],2,50)</f>
        <v/>
      </c>
    </row>
    <row r="11300" spans="9:9" x14ac:dyDescent="0.25">
      <c r="I11300" s="227" t="str">
        <f>MID(excPisCofins[[#This Row],[CodBarras2]],2,50)</f>
        <v/>
      </c>
    </row>
    <row r="11301" spans="9:9" x14ac:dyDescent="0.25">
      <c r="I11301" s="227" t="str">
        <f>MID(excPisCofins[[#This Row],[CodBarras2]],2,50)</f>
        <v/>
      </c>
    </row>
    <row r="11302" spans="9:9" x14ac:dyDescent="0.25">
      <c r="I11302" s="227" t="str">
        <f>MID(excPisCofins[[#This Row],[CodBarras2]],2,50)</f>
        <v/>
      </c>
    </row>
    <row r="11303" spans="9:9" x14ac:dyDescent="0.25">
      <c r="I11303" s="227" t="str">
        <f>MID(excPisCofins[[#This Row],[CodBarras2]],2,50)</f>
        <v/>
      </c>
    </row>
    <row r="11304" spans="9:9" x14ac:dyDescent="0.25">
      <c r="I11304" s="227" t="str">
        <f>MID(excPisCofins[[#This Row],[CodBarras2]],2,50)</f>
        <v/>
      </c>
    </row>
    <row r="11305" spans="9:9" x14ac:dyDescent="0.25">
      <c r="I11305" s="227" t="str">
        <f>MID(excPisCofins[[#This Row],[CodBarras2]],2,50)</f>
        <v/>
      </c>
    </row>
    <row r="11306" spans="9:9" x14ac:dyDescent="0.25">
      <c r="I11306" s="227" t="str">
        <f>MID(excPisCofins[[#This Row],[CodBarras2]],2,50)</f>
        <v/>
      </c>
    </row>
    <row r="11307" spans="9:9" x14ac:dyDescent="0.25">
      <c r="I11307" s="227" t="str">
        <f>MID(excPisCofins[[#This Row],[CodBarras2]],2,50)</f>
        <v/>
      </c>
    </row>
    <row r="11308" spans="9:9" x14ac:dyDescent="0.25">
      <c r="I11308" s="227" t="str">
        <f>MID(excPisCofins[[#This Row],[CodBarras2]],2,50)</f>
        <v/>
      </c>
    </row>
    <row r="11309" spans="9:9" x14ac:dyDescent="0.25">
      <c r="I11309" s="227" t="str">
        <f>MID(excPisCofins[[#This Row],[CodBarras2]],2,50)</f>
        <v/>
      </c>
    </row>
    <row r="11310" spans="9:9" x14ac:dyDescent="0.25">
      <c r="I11310" s="227" t="str">
        <f>MID(excPisCofins[[#This Row],[CodBarras2]],2,50)</f>
        <v/>
      </c>
    </row>
    <row r="11311" spans="9:9" x14ac:dyDescent="0.25">
      <c r="I11311" s="227" t="str">
        <f>MID(excPisCofins[[#This Row],[CodBarras2]],2,50)</f>
        <v/>
      </c>
    </row>
    <row r="11312" spans="9:9" x14ac:dyDescent="0.25">
      <c r="I11312" s="227" t="str">
        <f>MID(excPisCofins[[#This Row],[CodBarras2]],2,50)</f>
        <v/>
      </c>
    </row>
    <row r="11313" spans="9:9" x14ac:dyDescent="0.25">
      <c r="I11313" s="227" t="str">
        <f>MID(excPisCofins[[#This Row],[CodBarras2]],2,50)</f>
        <v/>
      </c>
    </row>
    <row r="11314" spans="9:9" x14ac:dyDescent="0.25">
      <c r="I11314" s="227" t="str">
        <f>MID(excPisCofins[[#This Row],[CodBarras2]],2,50)</f>
        <v/>
      </c>
    </row>
    <row r="11315" spans="9:9" x14ac:dyDescent="0.25">
      <c r="I11315" s="227" t="str">
        <f>MID(excPisCofins[[#This Row],[CodBarras2]],2,50)</f>
        <v/>
      </c>
    </row>
    <row r="11316" spans="9:9" x14ac:dyDescent="0.25">
      <c r="I11316" s="227" t="str">
        <f>MID(excPisCofins[[#This Row],[CodBarras2]],2,50)</f>
        <v/>
      </c>
    </row>
    <row r="11317" spans="9:9" x14ac:dyDescent="0.25">
      <c r="I11317" s="227" t="str">
        <f>MID(excPisCofins[[#This Row],[CodBarras2]],2,50)</f>
        <v/>
      </c>
    </row>
    <row r="11318" spans="9:9" x14ac:dyDescent="0.25">
      <c r="I11318" s="227" t="str">
        <f>MID(excPisCofins[[#This Row],[CodBarras2]],2,50)</f>
        <v/>
      </c>
    </row>
    <row r="11319" spans="9:9" x14ac:dyDescent="0.25">
      <c r="I11319" s="227" t="str">
        <f>MID(excPisCofins[[#This Row],[CodBarras2]],2,50)</f>
        <v/>
      </c>
    </row>
    <row r="11320" spans="9:9" x14ac:dyDescent="0.25">
      <c r="I11320" s="227" t="str">
        <f>MID(excPisCofins[[#This Row],[CodBarras2]],2,50)</f>
        <v/>
      </c>
    </row>
    <row r="11321" spans="9:9" x14ac:dyDescent="0.25">
      <c r="I11321" s="227" t="str">
        <f>MID(excPisCofins[[#This Row],[CodBarras2]],2,50)</f>
        <v/>
      </c>
    </row>
    <row r="11322" spans="9:9" x14ac:dyDescent="0.25">
      <c r="I11322" s="227" t="str">
        <f>MID(excPisCofins[[#This Row],[CodBarras2]],2,50)</f>
        <v/>
      </c>
    </row>
    <row r="11323" spans="9:9" x14ac:dyDescent="0.25">
      <c r="I11323" s="227" t="str">
        <f>MID(excPisCofins[[#This Row],[CodBarras2]],2,50)</f>
        <v/>
      </c>
    </row>
    <row r="11324" spans="9:9" x14ac:dyDescent="0.25">
      <c r="I11324" s="227" t="str">
        <f>MID(excPisCofins[[#This Row],[CodBarras2]],2,50)</f>
        <v/>
      </c>
    </row>
    <row r="11325" spans="9:9" x14ac:dyDescent="0.25">
      <c r="I11325" s="227" t="str">
        <f>MID(excPisCofins[[#This Row],[CodBarras2]],2,50)</f>
        <v/>
      </c>
    </row>
    <row r="11326" spans="9:9" x14ac:dyDescent="0.25">
      <c r="I11326" s="227" t="str">
        <f>MID(excPisCofins[[#This Row],[CodBarras2]],2,50)</f>
        <v/>
      </c>
    </row>
    <row r="11327" spans="9:9" x14ac:dyDescent="0.25">
      <c r="I11327" s="227" t="str">
        <f>MID(excPisCofins[[#This Row],[CodBarras2]],2,50)</f>
        <v/>
      </c>
    </row>
    <row r="11328" spans="9:9" x14ac:dyDescent="0.25">
      <c r="I11328" s="227" t="str">
        <f>MID(excPisCofins[[#This Row],[CodBarras2]],2,50)</f>
        <v/>
      </c>
    </row>
    <row r="11329" spans="9:9" x14ac:dyDescent="0.25">
      <c r="I11329" s="227" t="str">
        <f>MID(excPisCofins[[#This Row],[CodBarras2]],2,50)</f>
        <v/>
      </c>
    </row>
    <row r="11330" spans="9:9" x14ac:dyDescent="0.25">
      <c r="I11330" s="227" t="str">
        <f>MID(excPisCofins[[#This Row],[CodBarras2]],2,50)</f>
        <v/>
      </c>
    </row>
    <row r="11331" spans="9:9" x14ac:dyDescent="0.25">
      <c r="I11331" s="227" t="str">
        <f>MID(excPisCofins[[#This Row],[CodBarras2]],2,50)</f>
        <v/>
      </c>
    </row>
    <row r="11332" spans="9:9" x14ac:dyDescent="0.25">
      <c r="I11332" s="227" t="str">
        <f>MID(excPisCofins[[#This Row],[CodBarras2]],2,50)</f>
        <v/>
      </c>
    </row>
    <row r="11333" spans="9:9" x14ac:dyDescent="0.25">
      <c r="I11333" s="227" t="str">
        <f>MID(excPisCofins[[#This Row],[CodBarras2]],2,50)</f>
        <v/>
      </c>
    </row>
    <row r="11334" spans="9:9" x14ac:dyDescent="0.25">
      <c r="I11334" s="227" t="str">
        <f>MID(excPisCofins[[#This Row],[CodBarras2]],2,50)</f>
        <v/>
      </c>
    </row>
    <row r="11335" spans="9:9" x14ac:dyDescent="0.25">
      <c r="I11335" s="227" t="str">
        <f>MID(excPisCofins[[#This Row],[CodBarras2]],2,50)</f>
        <v/>
      </c>
    </row>
    <row r="11336" spans="9:9" x14ac:dyDescent="0.25">
      <c r="I11336" s="227" t="str">
        <f>MID(excPisCofins[[#This Row],[CodBarras2]],2,50)</f>
        <v/>
      </c>
    </row>
    <row r="11337" spans="9:9" x14ac:dyDescent="0.25">
      <c r="I11337" s="227" t="str">
        <f>MID(excPisCofins[[#This Row],[CodBarras2]],2,50)</f>
        <v/>
      </c>
    </row>
    <row r="11338" spans="9:9" x14ac:dyDescent="0.25">
      <c r="I11338" s="227" t="str">
        <f>MID(excPisCofins[[#This Row],[CodBarras2]],2,50)</f>
        <v/>
      </c>
    </row>
    <row r="11339" spans="9:9" x14ac:dyDescent="0.25">
      <c r="I11339" s="227" t="str">
        <f>MID(excPisCofins[[#This Row],[CodBarras2]],2,50)</f>
        <v/>
      </c>
    </row>
    <row r="11340" spans="9:9" x14ac:dyDescent="0.25">
      <c r="I11340" s="227" t="str">
        <f>MID(excPisCofins[[#This Row],[CodBarras2]],2,50)</f>
        <v/>
      </c>
    </row>
    <row r="11341" spans="9:9" x14ac:dyDescent="0.25">
      <c r="I11341" s="227" t="str">
        <f>MID(excPisCofins[[#This Row],[CodBarras2]],2,50)</f>
        <v/>
      </c>
    </row>
    <row r="11342" spans="9:9" x14ac:dyDescent="0.25">
      <c r="I11342" s="227" t="str">
        <f>MID(excPisCofins[[#This Row],[CodBarras2]],2,50)</f>
        <v/>
      </c>
    </row>
    <row r="11343" spans="9:9" x14ac:dyDescent="0.25">
      <c r="I11343" s="227" t="str">
        <f>MID(excPisCofins[[#This Row],[CodBarras2]],2,50)</f>
        <v/>
      </c>
    </row>
    <row r="11344" spans="9:9" x14ac:dyDescent="0.25">
      <c r="I11344" s="227" t="str">
        <f>MID(excPisCofins[[#This Row],[CodBarras2]],2,50)</f>
        <v/>
      </c>
    </row>
    <row r="11345" spans="9:9" x14ac:dyDescent="0.25">
      <c r="I11345" s="227" t="str">
        <f>MID(excPisCofins[[#This Row],[CodBarras2]],2,50)</f>
        <v/>
      </c>
    </row>
    <row r="11346" spans="9:9" x14ac:dyDescent="0.25">
      <c r="I11346" s="227" t="str">
        <f>MID(excPisCofins[[#This Row],[CodBarras2]],2,50)</f>
        <v/>
      </c>
    </row>
    <row r="11347" spans="9:9" x14ac:dyDescent="0.25">
      <c r="I11347" s="227" t="str">
        <f>MID(excPisCofins[[#This Row],[CodBarras2]],2,50)</f>
        <v/>
      </c>
    </row>
    <row r="11348" spans="9:9" x14ac:dyDescent="0.25">
      <c r="I11348" s="227" t="str">
        <f>MID(excPisCofins[[#This Row],[CodBarras2]],2,50)</f>
        <v/>
      </c>
    </row>
    <row r="11349" spans="9:9" x14ac:dyDescent="0.25">
      <c r="I11349" s="227" t="str">
        <f>MID(excPisCofins[[#This Row],[CodBarras2]],2,50)</f>
        <v/>
      </c>
    </row>
    <row r="11350" spans="9:9" x14ac:dyDescent="0.25">
      <c r="I11350" s="227" t="str">
        <f>MID(excPisCofins[[#This Row],[CodBarras2]],2,50)</f>
        <v/>
      </c>
    </row>
    <row r="11351" spans="9:9" x14ac:dyDescent="0.25">
      <c r="I11351" s="227" t="str">
        <f>MID(excPisCofins[[#This Row],[CodBarras2]],2,50)</f>
        <v/>
      </c>
    </row>
    <row r="11352" spans="9:9" x14ac:dyDescent="0.25">
      <c r="I11352" s="227" t="str">
        <f>MID(excPisCofins[[#This Row],[CodBarras2]],2,50)</f>
        <v/>
      </c>
    </row>
    <row r="11353" spans="9:9" x14ac:dyDescent="0.25">
      <c r="I11353" s="227" t="str">
        <f>MID(excPisCofins[[#This Row],[CodBarras2]],2,50)</f>
        <v/>
      </c>
    </row>
    <row r="11354" spans="9:9" x14ac:dyDescent="0.25">
      <c r="I11354" s="227" t="str">
        <f>MID(excPisCofins[[#This Row],[CodBarras2]],2,50)</f>
        <v/>
      </c>
    </row>
    <row r="11355" spans="9:9" x14ac:dyDescent="0.25">
      <c r="I11355" s="227" t="str">
        <f>MID(excPisCofins[[#This Row],[CodBarras2]],2,50)</f>
        <v/>
      </c>
    </row>
    <row r="11356" spans="9:9" x14ac:dyDescent="0.25">
      <c r="I11356" s="227" t="str">
        <f>MID(excPisCofins[[#This Row],[CodBarras2]],2,50)</f>
        <v/>
      </c>
    </row>
    <row r="11357" spans="9:9" x14ac:dyDescent="0.25">
      <c r="I11357" s="227" t="str">
        <f>MID(excPisCofins[[#This Row],[CodBarras2]],2,50)</f>
        <v/>
      </c>
    </row>
    <row r="11358" spans="9:9" x14ac:dyDescent="0.25">
      <c r="I11358" s="227" t="str">
        <f>MID(excPisCofins[[#This Row],[CodBarras2]],2,50)</f>
        <v/>
      </c>
    </row>
    <row r="11359" spans="9:9" x14ac:dyDescent="0.25">
      <c r="I11359" s="227" t="str">
        <f>MID(excPisCofins[[#This Row],[CodBarras2]],2,50)</f>
        <v/>
      </c>
    </row>
    <row r="11360" spans="9:9" x14ac:dyDescent="0.25">
      <c r="I11360" s="227" t="str">
        <f>MID(excPisCofins[[#This Row],[CodBarras2]],2,50)</f>
        <v/>
      </c>
    </row>
    <row r="11361" spans="9:9" x14ac:dyDescent="0.25">
      <c r="I11361" s="227" t="str">
        <f>MID(excPisCofins[[#This Row],[CodBarras2]],2,50)</f>
        <v/>
      </c>
    </row>
    <row r="11362" spans="9:9" x14ac:dyDescent="0.25">
      <c r="I11362" s="227" t="str">
        <f>MID(excPisCofins[[#This Row],[CodBarras2]],2,50)</f>
        <v/>
      </c>
    </row>
    <row r="11363" spans="9:9" x14ac:dyDescent="0.25">
      <c r="I11363" s="227" t="str">
        <f>MID(excPisCofins[[#This Row],[CodBarras2]],2,50)</f>
        <v/>
      </c>
    </row>
    <row r="11364" spans="9:9" x14ac:dyDescent="0.25">
      <c r="I11364" s="227" t="str">
        <f>MID(excPisCofins[[#This Row],[CodBarras2]],2,50)</f>
        <v/>
      </c>
    </row>
    <row r="11365" spans="9:9" x14ac:dyDescent="0.25">
      <c r="I11365" s="227" t="str">
        <f>MID(excPisCofins[[#This Row],[CodBarras2]],2,50)</f>
        <v/>
      </c>
    </row>
    <row r="11366" spans="9:9" x14ac:dyDescent="0.25">
      <c r="I11366" s="227" t="str">
        <f>MID(excPisCofins[[#This Row],[CodBarras2]],2,50)</f>
        <v/>
      </c>
    </row>
    <row r="11367" spans="9:9" x14ac:dyDescent="0.25">
      <c r="I11367" s="227" t="str">
        <f>MID(excPisCofins[[#This Row],[CodBarras2]],2,50)</f>
        <v/>
      </c>
    </row>
    <row r="11368" spans="9:9" x14ac:dyDescent="0.25">
      <c r="I11368" s="227" t="str">
        <f>MID(excPisCofins[[#This Row],[CodBarras2]],2,50)</f>
        <v/>
      </c>
    </row>
    <row r="11369" spans="9:9" x14ac:dyDescent="0.25">
      <c r="I11369" s="227" t="str">
        <f>MID(excPisCofins[[#This Row],[CodBarras2]],2,50)</f>
        <v/>
      </c>
    </row>
    <row r="11370" spans="9:9" x14ac:dyDescent="0.25">
      <c r="I11370" s="227" t="str">
        <f>MID(excPisCofins[[#This Row],[CodBarras2]],2,50)</f>
        <v/>
      </c>
    </row>
    <row r="11371" spans="9:9" x14ac:dyDescent="0.25">
      <c r="I11371" s="227" t="str">
        <f>MID(excPisCofins[[#This Row],[CodBarras2]],2,50)</f>
        <v/>
      </c>
    </row>
    <row r="11372" spans="9:9" x14ac:dyDescent="0.25">
      <c r="I11372" s="227" t="str">
        <f>MID(excPisCofins[[#This Row],[CodBarras2]],2,50)</f>
        <v/>
      </c>
    </row>
    <row r="11373" spans="9:9" x14ac:dyDescent="0.25">
      <c r="I11373" s="227" t="str">
        <f>MID(excPisCofins[[#This Row],[CodBarras2]],2,50)</f>
        <v/>
      </c>
    </row>
    <row r="11374" spans="9:9" x14ac:dyDescent="0.25">
      <c r="I11374" s="227" t="str">
        <f>MID(excPisCofins[[#This Row],[CodBarras2]],2,50)</f>
        <v/>
      </c>
    </row>
    <row r="11375" spans="9:9" x14ac:dyDescent="0.25">
      <c r="I11375" s="227" t="str">
        <f>MID(excPisCofins[[#This Row],[CodBarras2]],2,50)</f>
        <v/>
      </c>
    </row>
    <row r="11376" spans="9:9" x14ac:dyDescent="0.25">
      <c r="I11376" s="227" t="str">
        <f>MID(excPisCofins[[#This Row],[CodBarras2]],2,50)</f>
        <v/>
      </c>
    </row>
    <row r="11377" spans="9:9" x14ac:dyDescent="0.25">
      <c r="I11377" s="227" t="str">
        <f>MID(excPisCofins[[#This Row],[CodBarras2]],2,50)</f>
        <v/>
      </c>
    </row>
    <row r="11378" spans="9:9" x14ac:dyDescent="0.25">
      <c r="I11378" s="227" t="str">
        <f>MID(excPisCofins[[#This Row],[CodBarras2]],2,50)</f>
        <v/>
      </c>
    </row>
    <row r="11379" spans="9:9" x14ac:dyDescent="0.25">
      <c r="I11379" s="227" t="str">
        <f>MID(excPisCofins[[#This Row],[CodBarras2]],2,50)</f>
        <v/>
      </c>
    </row>
    <row r="11380" spans="9:9" x14ac:dyDescent="0.25">
      <c r="I11380" s="227" t="str">
        <f>MID(excPisCofins[[#This Row],[CodBarras2]],2,50)</f>
        <v/>
      </c>
    </row>
    <row r="11381" spans="9:9" x14ac:dyDescent="0.25">
      <c r="I11381" s="227" t="str">
        <f>MID(excPisCofins[[#This Row],[CodBarras2]],2,50)</f>
        <v/>
      </c>
    </row>
    <row r="11382" spans="9:9" x14ac:dyDescent="0.25">
      <c r="I11382" s="227" t="str">
        <f>MID(excPisCofins[[#This Row],[CodBarras2]],2,50)</f>
        <v/>
      </c>
    </row>
    <row r="11383" spans="9:9" x14ac:dyDescent="0.25">
      <c r="I11383" s="227" t="str">
        <f>MID(excPisCofins[[#This Row],[CodBarras2]],2,50)</f>
        <v/>
      </c>
    </row>
    <row r="11384" spans="9:9" x14ac:dyDescent="0.25">
      <c r="I11384" s="227" t="str">
        <f>MID(excPisCofins[[#This Row],[CodBarras2]],2,50)</f>
        <v/>
      </c>
    </row>
    <row r="11385" spans="9:9" x14ac:dyDescent="0.25">
      <c r="I11385" s="227" t="str">
        <f>MID(excPisCofins[[#This Row],[CodBarras2]],2,50)</f>
        <v/>
      </c>
    </row>
    <row r="11386" spans="9:9" x14ac:dyDescent="0.25">
      <c r="I11386" s="227" t="str">
        <f>MID(excPisCofins[[#This Row],[CodBarras2]],2,50)</f>
        <v/>
      </c>
    </row>
    <row r="11387" spans="9:9" x14ac:dyDescent="0.25">
      <c r="I11387" s="227" t="str">
        <f>MID(excPisCofins[[#This Row],[CodBarras2]],2,50)</f>
        <v/>
      </c>
    </row>
    <row r="11388" spans="9:9" x14ac:dyDescent="0.25">
      <c r="I11388" s="227" t="str">
        <f>MID(excPisCofins[[#This Row],[CodBarras2]],2,50)</f>
        <v/>
      </c>
    </row>
    <row r="11389" spans="9:9" x14ac:dyDescent="0.25">
      <c r="I11389" s="227" t="str">
        <f>MID(excPisCofins[[#This Row],[CodBarras2]],2,50)</f>
        <v/>
      </c>
    </row>
    <row r="11390" spans="9:9" x14ac:dyDescent="0.25">
      <c r="I11390" s="227" t="str">
        <f>MID(excPisCofins[[#This Row],[CodBarras2]],2,50)</f>
        <v/>
      </c>
    </row>
    <row r="11391" spans="9:9" x14ac:dyDescent="0.25">
      <c r="I11391" s="227" t="str">
        <f>MID(excPisCofins[[#This Row],[CodBarras2]],2,50)</f>
        <v/>
      </c>
    </row>
    <row r="11392" spans="9:9" x14ac:dyDescent="0.25">
      <c r="I11392" s="227" t="str">
        <f>MID(excPisCofins[[#This Row],[CodBarras2]],2,50)</f>
        <v/>
      </c>
    </row>
    <row r="11393" spans="9:9" x14ac:dyDescent="0.25">
      <c r="I11393" s="227" t="str">
        <f>MID(excPisCofins[[#This Row],[CodBarras2]],2,50)</f>
        <v/>
      </c>
    </row>
    <row r="11394" spans="9:9" x14ac:dyDescent="0.25">
      <c r="I11394" s="227" t="str">
        <f>MID(excPisCofins[[#This Row],[CodBarras2]],2,50)</f>
        <v/>
      </c>
    </row>
    <row r="11395" spans="9:9" x14ac:dyDescent="0.25">
      <c r="I11395" s="227" t="str">
        <f>MID(excPisCofins[[#This Row],[CodBarras2]],2,50)</f>
        <v/>
      </c>
    </row>
    <row r="11396" spans="9:9" x14ac:dyDescent="0.25">
      <c r="I11396" s="227" t="str">
        <f>MID(excPisCofins[[#This Row],[CodBarras2]],2,50)</f>
        <v/>
      </c>
    </row>
    <row r="11397" spans="9:9" x14ac:dyDescent="0.25">
      <c r="I11397" s="227" t="str">
        <f>MID(excPisCofins[[#This Row],[CodBarras2]],2,50)</f>
        <v/>
      </c>
    </row>
    <row r="11398" spans="9:9" x14ac:dyDescent="0.25">
      <c r="I11398" s="227" t="str">
        <f>MID(excPisCofins[[#This Row],[CodBarras2]],2,50)</f>
        <v/>
      </c>
    </row>
    <row r="11399" spans="9:9" x14ac:dyDescent="0.25">
      <c r="I11399" s="227" t="str">
        <f>MID(excPisCofins[[#This Row],[CodBarras2]],2,50)</f>
        <v/>
      </c>
    </row>
    <row r="11400" spans="9:9" x14ac:dyDescent="0.25">
      <c r="I11400" s="227" t="str">
        <f>MID(excPisCofins[[#This Row],[CodBarras2]],2,50)</f>
        <v/>
      </c>
    </row>
    <row r="11401" spans="9:9" x14ac:dyDescent="0.25">
      <c r="I11401" s="227" t="str">
        <f>MID(excPisCofins[[#This Row],[CodBarras2]],2,50)</f>
        <v/>
      </c>
    </row>
    <row r="11402" spans="9:9" x14ac:dyDescent="0.25">
      <c r="I11402" s="227" t="str">
        <f>MID(excPisCofins[[#This Row],[CodBarras2]],2,50)</f>
        <v/>
      </c>
    </row>
    <row r="11403" spans="9:9" x14ac:dyDescent="0.25">
      <c r="I11403" s="227" t="str">
        <f>MID(excPisCofins[[#This Row],[CodBarras2]],2,50)</f>
        <v/>
      </c>
    </row>
    <row r="11404" spans="9:9" x14ac:dyDescent="0.25">
      <c r="I11404" s="227" t="str">
        <f>MID(excPisCofins[[#This Row],[CodBarras2]],2,50)</f>
        <v/>
      </c>
    </row>
    <row r="11405" spans="9:9" x14ac:dyDescent="0.25">
      <c r="I11405" s="227" t="str">
        <f>MID(excPisCofins[[#This Row],[CodBarras2]],2,50)</f>
        <v/>
      </c>
    </row>
    <row r="11406" spans="9:9" x14ac:dyDescent="0.25">
      <c r="I11406" s="227" t="str">
        <f>MID(excPisCofins[[#This Row],[CodBarras2]],2,50)</f>
        <v/>
      </c>
    </row>
    <row r="11407" spans="9:9" x14ac:dyDescent="0.25">
      <c r="I11407" s="227" t="str">
        <f>MID(excPisCofins[[#This Row],[CodBarras2]],2,50)</f>
        <v/>
      </c>
    </row>
    <row r="11408" spans="9:9" x14ac:dyDescent="0.25">
      <c r="I11408" s="227" t="str">
        <f>MID(excPisCofins[[#This Row],[CodBarras2]],2,50)</f>
        <v/>
      </c>
    </row>
    <row r="11409" spans="9:9" x14ac:dyDescent="0.25">
      <c r="I11409" s="227" t="str">
        <f>MID(excPisCofins[[#This Row],[CodBarras2]],2,50)</f>
        <v/>
      </c>
    </row>
    <row r="11410" spans="9:9" x14ac:dyDescent="0.25">
      <c r="I11410" s="227" t="str">
        <f>MID(excPisCofins[[#This Row],[CodBarras2]],2,50)</f>
        <v/>
      </c>
    </row>
    <row r="11411" spans="9:9" x14ac:dyDescent="0.25">
      <c r="I11411" s="227" t="str">
        <f>MID(excPisCofins[[#This Row],[CodBarras2]],2,50)</f>
        <v/>
      </c>
    </row>
    <row r="11412" spans="9:9" x14ac:dyDescent="0.25">
      <c r="I11412" s="227" t="str">
        <f>MID(excPisCofins[[#This Row],[CodBarras2]],2,50)</f>
        <v/>
      </c>
    </row>
    <row r="11413" spans="9:9" x14ac:dyDescent="0.25">
      <c r="I11413" s="227" t="str">
        <f>MID(excPisCofins[[#This Row],[CodBarras2]],2,50)</f>
        <v/>
      </c>
    </row>
    <row r="11414" spans="9:9" x14ac:dyDescent="0.25">
      <c r="I11414" s="227" t="str">
        <f>MID(excPisCofins[[#This Row],[CodBarras2]],2,50)</f>
        <v/>
      </c>
    </row>
    <row r="11415" spans="9:9" x14ac:dyDescent="0.25">
      <c r="I11415" s="227" t="str">
        <f>MID(excPisCofins[[#This Row],[CodBarras2]],2,50)</f>
        <v/>
      </c>
    </row>
    <row r="11416" spans="9:9" x14ac:dyDescent="0.25">
      <c r="I11416" s="227" t="str">
        <f>MID(excPisCofins[[#This Row],[CodBarras2]],2,50)</f>
        <v/>
      </c>
    </row>
    <row r="11417" spans="9:9" x14ac:dyDescent="0.25">
      <c r="I11417" s="227" t="str">
        <f>MID(excPisCofins[[#This Row],[CodBarras2]],2,50)</f>
        <v/>
      </c>
    </row>
    <row r="11418" spans="9:9" x14ac:dyDescent="0.25">
      <c r="I11418" s="227" t="str">
        <f>MID(excPisCofins[[#This Row],[CodBarras2]],2,50)</f>
        <v/>
      </c>
    </row>
    <row r="11419" spans="9:9" x14ac:dyDescent="0.25">
      <c r="I11419" s="227" t="str">
        <f>MID(excPisCofins[[#This Row],[CodBarras2]],2,50)</f>
        <v/>
      </c>
    </row>
    <row r="11420" spans="9:9" x14ac:dyDescent="0.25">
      <c r="I11420" s="227" t="str">
        <f>MID(excPisCofins[[#This Row],[CodBarras2]],2,50)</f>
        <v/>
      </c>
    </row>
    <row r="11421" spans="9:9" x14ac:dyDescent="0.25">
      <c r="I11421" s="227" t="str">
        <f>MID(excPisCofins[[#This Row],[CodBarras2]],2,50)</f>
        <v/>
      </c>
    </row>
    <row r="11422" spans="9:9" x14ac:dyDescent="0.25">
      <c r="I11422" s="227" t="str">
        <f>MID(excPisCofins[[#This Row],[CodBarras2]],2,50)</f>
        <v/>
      </c>
    </row>
    <row r="11423" spans="9:9" x14ac:dyDescent="0.25">
      <c r="I11423" s="227" t="str">
        <f>MID(excPisCofins[[#This Row],[CodBarras2]],2,50)</f>
        <v/>
      </c>
    </row>
    <row r="11424" spans="9:9" x14ac:dyDescent="0.25">
      <c r="I11424" s="227" t="str">
        <f>MID(excPisCofins[[#This Row],[CodBarras2]],2,50)</f>
        <v/>
      </c>
    </row>
    <row r="11425" spans="9:9" x14ac:dyDescent="0.25">
      <c r="I11425" s="227" t="str">
        <f>MID(excPisCofins[[#This Row],[CodBarras2]],2,50)</f>
        <v/>
      </c>
    </row>
    <row r="11426" spans="9:9" x14ac:dyDescent="0.25">
      <c r="I11426" s="227" t="str">
        <f>MID(excPisCofins[[#This Row],[CodBarras2]],2,50)</f>
        <v/>
      </c>
    </row>
    <row r="11427" spans="9:9" x14ac:dyDescent="0.25">
      <c r="I11427" s="227" t="str">
        <f>MID(excPisCofins[[#This Row],[CodBarras2]],2,50)</f>
        <v/>
      </c>
    </row>
    <row r="11428" spans="9:9" x14ac:dyDescent="0.25">
      <c r="I11428" s="227" t="str">
        <f>MID(excPisCofins[[#This Row],[CodBarras2]],2,50)</f>
        <v/>
      </c>
    </row>
    <row r="11429" spans="9:9" x14ac:dyDescent="0.25">
      <c r="I11429" s="227" t="str">
        <f>MID(excPisCofins[[#This Row],[CodBarras2]],2,50)</f>
        <v/>
      </c>
    </row>
    <row r="11430" spans="9:9" x14ac:dyDescent="0.25">
      <c r="I11430" s="227" t="str">
        <f>MID(excPisCofins[[#This Row],[CodBarras2]],2,50)</f>
        <v/>
      </c>
    </row>
    <row r="11431" spans="9:9" x14ac:dyDescent="0.25">
      <c r="I11431" s="227" t="str">
        <f>MID(excPisCofins[[#This Row],[CodBarras2]],2,50)</f>
        <v/>
      </c>
    </row>
    <row r="11432" spans="9:9" x14ac:dyDescent="0.25">
      <c r="I11432" s="227" t="str">
        <f>MID(excPisCofins[[#This Row],[CodBarras2]],2,50)</f>
        <v/>
      </c>
    </row>
    <row r="11433" spans="9:9" x14ac:dyDescent="0.25">
      <c r="I11433" s="227" t="str">
        <f>MID(excPisCofins[[#This Row],[CodBarras2]],2,50)</f>
        <v/>
      </c>
    </row>
    <row r="11434" spans="9:9" x14ac:dyDescent="0.25">
      <c r="I11434" s="227" t="str">
        <f>MID(excPisCofins[[#This Row],[CodBarras2]],2,50)</f>
        <v/>
      </c>
    </row>
    <row r="11435" spans="9:9" x14ac:dyDescent="0.25">
      <c r="I11435" s="227" t="str">
        <f>MID(excPisCofins[[#This Row],[CodBarras2]],2,50)</f>
        <v/>
      </c>
    </row>
    <row r="11436" spans="9:9" x14ac:dyDescent="0.25">
      <c r="I11436" s="227" t="str">
        <f>MID(excPisCofins[[#This Row],[CodBarras2]],2,50)</f>
        <v/>
      </c>
    </row>
    <row r="11437" spans="9:9" x14ac:dyDescent="0.25">
      <c r="I11437" s="227" t="str">
        <f>MID(excPisCofins[[#This Row],[CodBarras2]],2,50)</f>
        <v/>
      </c>
    </row>
    <row r="11438" spans="9:9" x14ac:dyDescent="0.25">
      <c r="I11438" s="227" t="str">
        <f>MID(excPisCofins[[#This Row],[CodBarras2]],2,50)</f>
        <v/>
      </c>
    </row>
    <row r="11439" spans="9:9" x14ac:dyDescent="0.25">
      <c r="I11439" s="227" t="str">
        <f>MID(excPisCofins[[#This Row],[CodBarras2]],2,50)</f>
        <v/>
      </c>
    </row>
    <row r="11440" spans="9:9" x14ac:dyDescent="0.25">
      <c r="I11440" s="227" t="str">
        <f>MID(excPisCofins[[#This Row],[CodBarras2]],2,50)</f>
        <v/>
      </c>
    </row>
    <row r="11441" spans="9:9" x14ac:dyDescent="0.25">
      <c r="I11441" s="227" t="str">
        <f>MID(excPisCofins[[#This Row],[CodBarras2]],2,50)</f>
        <v/>
      </c>
    </row>
    <row r="11442" spans="9:9" x14ac:dyDescent="0.25">
      <c r="I11442" s="227" t="str">
        <f>MID(excPisCofins[[#This Row],[CodBarras2]],2,50)</f>
        <v/>
      </c>
    </row>
    <row r="11443" spans="9:9" x14ac:dyDescent="0.25">
      <c r="I11443" s="227" t="str">
        <f>MID(excPisCofins[[#This Row],[CodBarras2]],2,50)</f>
        <v/>
      </c>
    </row>
    <row r="11444" spans="9:9" x14ac:dyDescent="0.25">
      <c r="I11444" s="227" t="str">
        <f>MID(excPisCofins[[#This Row],[CodBarras2]],2,50)</f>
        <v/>
      </c>
    </row>
    <row r="11445" spans="9:9" x14ac:dyDescent="0.25">
      <c r="I11445" s="227" t="str">
        <f>MID(excPisCofins[[#This Row],[CodBarras2]],2,50)</f>
        <v/>
      </c>
    </row>
    <row r="11446" spans="9:9" x14ac:dyDescent="0.25">
      <c r="I11446" s="227" t="str">
        <f>MID(excPisCofins[[#This Row],[CodBarras2]],2,50)</f>
        <v/>
      </c>
    </row>
    <row r="11447" spans="9:9" x14ac:dyDescent="0.25">
      <c r="I11447" s="227" t="str">
        <f>MID(excPisCofins[[#This Row],[CodBarras2]],2,50)</f>
        <v/>
      </c>
    </row>
    <row r="11448" spans="9:9" x14ac:dyDescent="0.25">
      <c r="I11448" s="227" t="str">
        <f>MID(excPisCofins[[#This Row],[CodBarras2]],2,50)</f>
        <v/>
      </c>
    </row>
    <row r="11449" spans="9:9" x14ac:dyDescent="0.25">
      <c r="I11449" s="227" t="str">
        <f>MID(excPisCofins[[#This Row],[CodBarras2]],2,50)</f>
        <v/>
      </c>
    </row>
    <row r="11450" spans="9:9" x14ac:dyDescent="0.25">
      <c r="I11450" s="227" t="str">
        <f>MID(excPisCofins[[#This Row],[CodBarras2]],2,50)</f>
        <v/>
      </c>
    </row>
    <row r="11451" spans="9:9" x14ac:dyDescent="0.25">
      <c r="I11451" s="227" t="str">
        <f>MID(excPisCofins[[#This Row],[CodBarras2]],2,50)</f>
        <v/>
      </c>
    </row>
    <row r="11452" spans="9:9" x14ac:dyDescent="0.25">
      <c r="I11452" s="227" t="str">
        <f>MID(excPisCofins[[#This Row],[CodBarras2]],2,50)</f>
        <v/>
      </c>
    </row>
    <row r="11453" spans="9:9" x14ac:dyDescent="0.25">
      <c r="I11453" s="227" t="str">
        <f>MID(excPisCofins[[#This Row],[CodBarras2]],2,50)</f>
        <v/>
      </c>
    </row>
    <row r="11454" spans="9:9" x14ac:dyDescent="0.25">
      <c r="I11454" s="227" t="str">
        <f>MID(excPisCofins[[#This Row],[CodBarras2]],2,50)</f>
        <v/>
      </c>
    </row>
    <row r="11455" spans="9:9" x14ac:dyDescent="0.25">
      <c r="I11455" s="227" t="str">
        <f>MID(excPisCofins[[#This Row],[CodBarras2]],2,50)</f>
        <v/>
      </c>
    </row>
    <row r="11456" spans="9:9" x14ac:dyDescent="0.25">
      <c r="I11456" s="227" t="str">
        <f>MID(excPisCofins[[#This Row],[CodBarras2]],2,50)</f>
        <v/>
      </c>
    </row>
    <row r="11457" spans="9:9" x14ac:dyDescent="0.25">
      <c r="I11457" s="227" t="str">
        <f>MID(excPisCofins[[#This Row],[CodBarras2]],2,50)</f>
        <v/>
      </c>
    </row>
    <row r="11458" spans="9:9" x14ac:dyDescent="0.25">
      <c r="I11458" s="227" t="str">
        <f>MID(excPisCofins[[#This Row],[CodBarras2]],2,50)</f>
        <v/>
      </c>
    </row>
    <row r="11459" spans="9:9" x14ac:dyDescent="0.25">
      <c r="I11459" s="227" t="str">
        <f>MID(excPisCofins[[#This Row],[CodBarras2]],2,50)</f>
        <v/>
      </c>
    </row>
    <row r="11460" spans="9:9" x14ac:dyDescent="0.25">
      <c r="I11460" s="227" t="str">
        <f>MID(excPisCofins[[#This Row],[CodBarras2]],2,50)</f>
        <v/>
      </c>
    </row>
    <row r="11461" spans="9:9" x14ac:dyDescent="0.25">
      <c r="I11461" s="227" t="str">
        <f>MID(excPisCofins[[#This Row],[CodBarras2]],2,50)</f>
        <v/>
      </c>
    </row>
    <row r="11462" spans="9:9" x14ac:dyDescent="0.25">
      <c r="I11462" s="227" t="str">
        <f>MID(excPisCofins[[#This Row],[CodBarras2]],2,50)</f>
        <v/>
      </c>
    </row>
    <row r="11463" spans="9:9" x14ac:dyDescent="0.25">
      <c r="I11463" s="227" t="str">
        <f>MID(excPisCofins[[#This Row],[CodBarras2]],2,50)</f>
        <v/>
      </c>
    </row>
    <row r="11464" spans="9:9" x14ac:dyDescent="0.25">
      <c r="I11464" s="227" t="str">
        <f>MID(excPisCofins[[#This Row],[CodBarras2]],2,50)</f>
        <v/>
      </c>
    </row>
    <row r="11465" spans="9:9" x14ac:dyDescent="0.25">
      <c r="I11465" s="227" t="str">
        <f>MID(excPisCofins[[#This Row],[CodBarras2]],2,50)</f>
        <v/>
      </c>
    </row>
    <row r="11466" spans="9:9" x14ac:dyDescent="0.25">
      <c r="I11466" s="227" t="str">
        <f>MID(excPisCofins[[#This Row],[CodBarras2]],2,50)</f>
        <v/>
      </c>
    </row>
    <row r="11467" spans="9:9" x14ac:dyDescent="0.25">
      <c r="I11467" s="227" t="str">
        <f>MID(excPisCofins[[#This Row],[CodBarras2]],2,50)</f>
        <v/>
      </c>
    </row>
    <row r="11468" spans="9:9" x14ac:dyDescent="0.25">
      <c r="I11468" s="227" t="str">
        <f>MID(excPisCofins[[#This Row],[CodBarras2]],2,50)</f>
        <v/>
      </c>
    </row>
    <row r="11469" spans="9:9" x14ac:dyDescent="0.25">
      <c r="I11469" s="227" t="str">
        <f>MID(excPisCofins[[#This Row],[CodBarras2]],2,50)</f>
        <v/>
      </c>
    </row>
    <row r="11470" spans="9:9" x14ac:dyDescent="0.25">
      <c r="I11470" s="227" t="str">
        <f>MID(excPisCofins[[#This Row],[CodBarras2]],2,50)</f>
        <v/>
      </c>
    </row>
    <row r="11471" spans="9:9" x14ac:dyDescent="0.25">
      <c r="I11471" s="227" t="str">
        <f>MID(excPisCofins[[#This Row],[CodBarras2]],2,50)</f>
        <v/>
      </c>
    </row>
    <row r="11472" spans="9:9" x14ac:dyDescent="0.25">
      <c r="I11472" s="227" t="str">
        <f>MID(excPisCofins[[#This Row],[CodBarras2]],2,50)</f>
        <v/>
      </c>
    </row>
    <row r="11473" spans="9:9" x14ac:dyDescent="0.25">
      <c r="I11473" s="227" t="str">
        <f>MID(excPisCofins[[#This Row],[CodBarras2]],2,50)</f>
        <v/>
      </c>
    </row>
    <row r="11474" spans="9:9" x14ac:dyDescent="0.25">
      <c r="I11474" s="227" t="str">
        <f>MID(excPisCofins[[#This Row],[CodBarras2]],2,50)</f>
        <v/>
      </c>
    </row>
    <row r="11475" spans="9:9" x14ac:dyDescent="0.25">
      <c r="I11475" s="227" t="str">
        <f>MID(excPisCofins[[#This Row],[CodBarras2]],2,50)</f>
        <v/>
      </c>
    </row>
    <row r="11476" spans="9:9" x14ac:dyDescent="0.25">
      <c r="I11476" s="227" t="str">
        <f>MID(excPisCofins[[#This Row],[CodBarras2]],2,50)</f>
        <v/>
      </c>
    </row>
    <row r="11477" spans="9:9" x14ac:dyDescent="0.25">
      <c r="I11477" s="227" t="str">
        <f>MID(excPisCofins[[#This Row],[CodBarras2]],2,50)</f>
        <v/>
      </c>
    </row>
    <row r="11478" spans="9:9" x14ac:dyDescent="0.25">
      <c r="I11478" s="227" t="str">
        <f>MID(excPisCofins[[#This Row],[CodBarras2]],2,50)</f>
        <v/>
      </c>
    </row>
    <row r="11479" spans="9:9" x14ac:dyDescent="0.25">
      <c r="I11479" s="227" t="str">
        <f>MID(excPisCofins[[#This Row],[CodBarras2]],2,50)</f>
        <v/>
      </c>
    </row>
    <row r="11480" spans="9:9" x14ac:dyDescent="0.25">
      <c r="I11480" s="227" t="str">
        <f>MID(excPisCofins[[#This Row],[CodBarras2]],2,50)</f>
        <v/>
      </c>
    </row>
    <row r="11481" spans="9:9" x14ac:dyDescent="0.25">
      <c r="I11481" s="227" t="str">
        <f>MID(excPisCofins[[#This Row],[CodBarras2]],2,50)</f>
        <v/>
      </c>
    </row>
    <row r="11482" spans="9:9" x14ac:dyDescent="0.25">
      <c r="I11482" s="227" t="str">
        <f>MID(excPisCofins[[#This Row],[CodBarras2]],2,50)</f>
        <v/>
      </c>
    </row>
    <row r="11483" spans="9:9" x14ac:dyDescent="0.25">
      <c r="I11483" s="227" t="str">
        <f>MID(excPisCofins[[#This Row],[CodBarras2]],2,50)</f>
        <v/>
      </c>
    </row>
    <row r="11484" spans="9:9" x14ac:dyDescent="0.25">
      <c r="I11484" s="227" t="str">
        <f>MID(excPisCofins[[#This Row],[CodBarras2]],2,50)</f>
        <v/>
      </c>
    </row>
    <row r="11485" spans="9:9" x14ac:dyDescent="0.25">
      <c r="I11485" s="227" t="str">
        <f>MID(excPisCofins[[#This Row],[CodBarras2]],2,50)</f>
        <v/>
      </c>
    </row>
    <row r="11486" spans="9:9" x14ac:dyDescent="0.25">
      <c r="I11486" s="227" t="str">
        <f>MID(excPisCofins[[#This Row],[CodBarras2]],2,50)</f>
        <v/>
      </c>
    </row>
    <row r="11487" spans="9:9" x14ac:dyDescent="0.25">
      <c r="I11487" s="227" t="str">
        <f>MID(excPisCofins[[#This Row],[CodBarras2]],2,50)</f>
        <v/>
      </c>
    </row>
    <row r="11488" spans="9:9" x14ac:dyDescent="0.25">
      <c r="I11488" s="227" t="str">
        <f>MID(excPisCofins[[#This Row],[CodBarras2]],2,50)</f>
        <v/>
      </c>
    </row>
    <row r="11489" spans="9:9" x14ac:dyDescent="0.25">
      <c r="I11489" s="227" t="str">
        <f>MID(excPisCofins[[#This Row],[CodBarras2]],2,50)</f>
        <v/>
      </c>
    </row>
    <row r="11490" spans="9:9" x14ac:dyDescent="0.25">
      <c r="I11490" s="227" t="str">
        <f>MID(excPisCofins[[#This Row],[CodBarras2]],2,50)</f>
        <v/>
      </c>
    </row>
    <row r="11491" spans="9:9" x14ac:dyDescent="0.25">
      <c r="I11491" s="227" t="str">
        <f>MID(excPisCofins[[#This Row],[CodBarras2]],2,50)</f>
        <v/>
      </c>
    </row>
    <row r="11492" spans="9:9" x14ac:dyDescent="0.25">
      <c r="I11492" s="227" t="str">
        <f>MID(excPisCofins[[#This Row],[CodBarras2]],2,50)</f>
        <v/>
      </c>
    </row>
    <row r="11493" spans="9:9" x14ac:dyDescent="0.25">
      <c r="I11493" s="227" t="str">
        <f>MID(excPisCofins[[#This Row],[CodBarras2]],2,50)</f>
        <v/>
      </c>
    </row>
    <row r="11494" spans="9:9" x14ac:dyDescent="0.25">
      <c r="I11494" s="227" t="str">
        <f>MID(excPisCofins[[#This Row],[CodBarras2]],2,50)</f>
        <v/>
      </c>
    </row>
    <row r="11495" spans="9:9" x14ac:dyDescent="0.25">
      <c r="I11495" s="227" t="str">
        <f>MID(excPisCofins[[#This Row],[CodBarras2]],2,50)</f>
        <v/>
      </c>
    </row>
    <row r="11496" spans="9:9" x14ac:dyDescent="0.25">
      <c r="I11496" s="227" t="str">
        <f>MID(excPisCofins[[#This Row],[CodBarras2]],2,50)</f>
        <v/>
      </c>
    </row>
    <row r="11497" spans="9:9" x14ac:dyDescent="0.25">
      <c r="I11497" s="227" t="str">
        <f>MID(excPisCofins[[#This Row],[CodBarras2]],2,50)</f>
        <v/>
      </c>
    </row>
    <row r="11498" spans="9:9" x14ac:dyDescent="0.25">
      <c r="I11498" s="227" t="str">
        <f>MID(excPisCofins[[#This Row],[CodBarras2]],2,50)</f>
        <v/>
      </c>
    </row>
    <row r="11499" spans="9:9" x14ac:dyDescent="0.25">
      <c r="I11499" s="227" t="str">
        <f>MID(excPisCofins[[#This Row],[CodBarras2]],2,50)</f>
        <v/>
      </c>
    </row>
    <row r="11500" spans="9:9" x14ac:dyDescent="0.25">
      <c r="I11500" s="227" t="str">
        <f>MID(excPisCofins[[#This Row],[CodBarras2]],2,50)</f>
        <v/>
      </c>
    </row>
    <row r="11501" spans="9:9" x14ac:dyDescent="0.25">
      <c r="I11501" s="227" t="str">
        <f>MID(excPisCofins[[#This Row],[CodBarras2]],2,50)</f>
        <v/>
      </c>
    </row>
    <row r="11502" spans="9:9" x14ac:dyDescent="0.25">
      <c r="I11502" s="227" t="str">
        <f>MID(excPisCofins[[#This Row],[CodBarras2]],2,50)</f>
        <v/>
      </c>
    </row>
    <row r="11503" spans="9:9" x14ac:dyDescent="0.25">
      <c r="I11503" s="227" t="str">
        <f>MID(excPisCofins[[#This Row],[CodBarras2]],2,50)</f>
        <v/>
      </c>
    </row>
    <row r="11504" spans="9:9" x14ac:dyDescent="0.25">
      <c r="I11504" s="227" t="str">
        <f>MID(excPisCofins[[#This Row],[CodBarras2]],2,50)</f>
        <v/>
      </c>
    </row>
    <row r="11505" spans="9:9" x14ac:dyDescent="0.25">
      <c r="I11505" s="227" t="str">
        <f>MID(excPisCofins[[#This Row],[CodBarras2]],2,50)</f>
        <v/>
      </c>
    </row>
    <row r="11506" spans="9:9" x14ac:dyDescent="0.25">
      <c r="I11506" s="227" t="str">
        <f>MID(excPisCofins[[#This Row],[CodBarras2]],2,50)</f>
        <v/>
      </c>
    </row>
    <row r="11507" spans="9:9" x14ac:dyDescent="0.25">
      <c r="I11507" s="227" t="str">
        <f>MID(excPisCofins[[#This Row],[CodBarras2]],2,50)</f>
        <v/>
      </c>
    </row>
    <row r="11508" spans="9:9" x14ac:dyDescent="0.25">
      <c r="I11508" s="227" t="str">
        <f>MID(excPisCofins[[#This Row],[CodBarras2]],2,50)</f>
        <v/>
      </c>
    </row>
    <row r="11509" spans="9:9" x14ac:dyDescent="0.25">
      <c r="I11509" s="227" t="str">
        <f>MID(excPisCofins[[#This Row],[CodBarras2]],2,50)</f>
        <v/>
      </c>
    </row>
    <row r="11510" spans="9:9" x14ac:dyDescent="0.25">
      <c r="I11510" s="227" t="str">
        <f>MID(excPisCofins[[#This Row],[CodBarras2]],2,50)</f>
        <v/>
      </c>
    </row>
    <row r="11511" spans="9:9" x14ac:dyDescent="0.25">
      <c r="I11511" s="227" t="str">
        <f>MID(excPisCofins[[#This Row],[CodBarras2]],2,50)</f>
        <v/>
      </c>
    </row>
    <row r="11512" spans="9:9" x14ac:dyDescent="0.25">
      <c r="I11512" s="227" t="str">
        <f>MID(excPisCofins[[#This Row],[CodBarras2]],2,50)</f>
        <v/>
      </c>
    </row>
    <row r="11513" spans="9:9" x14ac:dyDescent="0.25">
      <c r="I11513" s="227" t="str">
        <f>MID(excPisCofins[[#This Row],[CodBarras2]],2,50)</f>
        <v/>
      </c>
    </row>
    <row r="11514" spans="9:9" x14ac:dyDescent="0.25">
      <c r="I11514" s="227" t="str">
        <f>MID(excPisCofins[[#This Row],[CodBarras2]],2,50)</f>
        <v/>
      </c>
    </row>
    <row r="11515" spans="9:9" x14ac:dyDescent="0.25">
      <c r="I11515" s="227" t="str">
        <f>MID(excPisCofins[[#This Row],[CodBarras2]],2,50)</f>
        <v/>
      </c>
    </row>
    <row r="11516" spans="9:9" x14ac:dyDescent="0.25">
      <c r="I11516" s="227" t="str">
        <f>MID(excPisCofins[[#This Row],[CodBarras2]],2,50)</f>
        <v/>
      </c>
    </row>
    <row r="11517" spans="9:9" x14ac:dyDescent="0.25">
      <c r="I11517" s="227" t="str">
        <f>MID(excPisCofins[[#This Row],[CodBarras2]],2,50)</f>
        <v/>
      </c>
    </row>
    <row r="11518" spans="9:9" x14ac:dyDescent="0.25">
      <c r="I11518" s="227" t="str">
        <f>MID(excPisCofins[[#This Row],[CodBarras2]],2,50)</f>
        <v/>
      </c>
    </row>
    <row r="11519" spans="9:9" x14ac:dyDescent="0.25">
      <c r="I11519" s="227" t="str">
        <f>MID(excPisCofins[[#This Row],[CodBarras2]],2,50)</f>
        <v/>
      </c>
    </row>
    <row r="11520" spans="9:9" x14ac:dyDescent="0.25">
      <c r="I11520" s="227" t="str">
        <f>MID(excPisCofins[[#This Row],[CodBarras2]],2,50)</f>
        <v/>
      </c>
    </row>
    <row r="11521" spans="9:9" x14ac:dyDescent="0.25">
      <c r="I11521" s="227" t="str">
        <f>MID(excPisCofins[[#This Row],[CodBarras2]],2,50)</f>
        <v/>
      </c>
    </row>
    <row r="11522" spans="9:9" x14ac:dyDescent="0.25">
      <c r="I11522" s="227" t="str">
        <f>MID(excPisCofins[[#This Row],[CodBarras2]],2,50)</f>
        <v/>
      </c>
    </row>
    <row r="11523" spans="9:9" x14ac:dyDescent="0.25">
      <c r="I11523" s="227" t="str">
        <f>MID(excPisCofins[[#This Row],[CodBarras2]],2,50)</f>
        <v/>
      </c>
    </row>
    <row r="11524" spans="9:9" x14ac:dyDescent="0.25">
      <c r="I11524" s="227" t="str">
        <f>MID(excPisCofins[[#This Row],[CodBarras2]],2,50)</f>
        <v/>
      </c>
    </row>
    <row r="11525" spans="9:9" x14ac:dyDescent="0.25">
      <c r="I11525" s="227" t="str">
        <f>MID(excPisCofins[[#This Row],[CodBarras2]],2,50)</f>
        <v/>
      </c>
    </row>
    <row r="11526" spans="9:9" x14ac:dyDescent="0.25">
      <c r="I11526" s="227" t="str">
        <f>MID(excPisCofins[[#This Row],[CodBarras2]],2,50)</f>
        <v/>
      </c>
    </row>
    <row r="11527" spans="9:9" x14ac:dyDescent="0.25">
      <c r="I11527" s="227" t="str">
        <f>MID(excPisCofins[[#This Row],[CodBarras2]],2,50)</f>
        <v/>
      </c>
    </row>
    <row r="11528" spans="9:9" x14ac:dyDescent="0.25">
      <c r="I11528" s="227" t="str">
        <f>MID(excPisCofins[[#This Row],[CodBarras2]],2,50)</f>
        <v/>
      </c>
    </row>
    <row r="11529" spans="9:9" x14ac:dyDescent="0.25">
      <c r="I11529" s="227" t="str">
        <f>MID(excPisCofins[[#This Row],[CodBarras2]],2,50)</f>
        <v/>
      </c>
    </row>
    <row r="11530" spans="9:9" x14ac:dyDescent="0.25">
      <c r="I11530" s="227" t="str">
        <f>MID(excPisCofins[[#This Row],[CodBarras2]],2,50)</f>
        <v/>
      </c>
    </row>
    <row r="11531" spans="9:9" x14ac:dyDescent="0.25">
      <c r="I11531" s="227" t="str">
        <f>MID(excPisCofins[[#This Row],[CodBarras2]],2,50)</f>
        <v/>
      </c>
    </row>
    <row r="11532" spans="9:9" x14ac:dyDescent="0.25">
      <c r="I11532" s="227" t="str">
        <f>MID(excPisCofins[[#This Row],[CodBarras2]],2,50)</f>
        <v/>
      </c>
    </row>
    <row r="11533" spans="9:9" x14ac:dyDescent="0.25">
      <c r="I11533" s="227" t="str">
        <f>MID(excPisCofins[[#This Row],[CodBarras2]],2,50)</f>
        <v/>
      </c>
    </row>
    <row r="11534" spans="9:9" x14ac:dyDescent="0.25">
      <c r="I11534" s="227" t="str">
        <f>MID(excPisCofins[[#This Row],[CodBarras2]],2,50)</f>
        <v/>
      </c>
    </row>
    <row r="11535" spans="9:9" x14ac:dyDescent="0.25">
      <c r="I11535" s="227" t="str">
        <f>MID(excPisCofins[[#This Row],[CodBarras2]],2,50)</f>
        <v/>
      </c>
    </row>
    <row r="11536" spans="9:9" x14ac:dyDescent="0.25">
      <c r="I11536" s="227" t="str">
        <f>MID(excPisCofins[[#This Row],[CodBarras2]],2,50)</f>
        <v/>
      </c>
    </row>
    <row r="11537" spans="9:9" x14ac:dyDescent="0.25">
      <c r="I11537" s="227" t="str">
        <f>MID(excPisCofins[[#This Row],[CodBarras2]],2,50)</f>
        <v/>
      </c>
    </row>
    <row r="11538" spans="9:9" x14ac:dyDescent="0.25">
      <c r="I11538" s="227" t="str">
        <f>MID(excPisCofins[[#This Row],[CodBarras2]],2,50)</f>
        <v/>
      </c>
    </row>
    <row r="11539" spans="9:9" x14ac:dyDescent="0.25">
      <c r="I11539" s="227" t="str">
        <f>MID(excPisCofins[[#This Row],[CodBarras2]],2,50)</f>
        <v/>
      </c>
    </row>
    <row r="11540" spans="9:9" x14ac:dyDescent="0.25">
      <c r="I11540" s="227" t="str">
        <f>MID(excPisCofins[[#This Row],[CodBarras2]],2,50)</f>
        <v/>
      </c>
    </row>
    <row r="11541" spans="9:9" x14ac:dyDescent="0.25">
      <c r="I11541" s="227" t="str">
        <f>MID(excPisCofins[[#This Row],[CodBarras2]],2,50)</f>
        <v/>
      </c>
    </row>
    <row r="11542" spans="9:9" x14ac:dyDescent="0.25">
      <c r="I11542" s="227" t="str">
        <f>MID(excPisCofins[[#This Row],[CodBarras2]],2,50)</f>
        <v/>
      </c>
    </row>
    <row r="11543" spans="9:9" x14ac:dyDescent="0.25">
      <c r="I11543" s="227" t="str">
        <f>MID(excPisCofins[[#This Row],[CodBarras2]],2,50)</f>
        <v/>
      </c>
    </row>
    <row r="11544" spans="9:9" x14ac:dyDescent="0.25">
      <c r="I11544" s="227" t="str">
        <f>MID(excPisCofins[[#This Row],[CodBarras2]],2,50)</f>
        <v/>
      </c>
    </row>
    <row r="11545" spans="9:9" x14ac:dyDescent="0.25">
      <c r="I11545" s="227" t="str">
        <f>MID(excPisCofins[[#This Row],[CodBarras2]],2,50)</f>
        <v/>
      </c>
    </row>
    <row r="11546" spans="9:9" x14ac:dyDescent="0.25">
      <c r="I11546" s="227" t="str">
        <f>MID(excPisCofins[[#This Row],[CodBarras2]],2,50)</f>
        <v/>
      </c>
    </row>
    <row r="11547" spans="9:9" x14ac:dyDescent="0.25">
      <c r="I11547" s="227" t="str">
        <f>MID(excPisCofins[[#This Row],[CodBarras2]],2,50)</f>
        <v/>
      </c>
    </row>
    <row r="11548" spans="9:9" x14ac:dyDescent="0.25">
      <c r="I11548" s="227" t="str">
        <f>MID(excPisCofins[[#This Row],[CodBarras2]],2,50)</f>
        <v/>
      </c>
    </row>
    <row r="11549" spans="9:9" x14ac:dyDescent="0.25">
      <c r="I11549" s="227" t="str">
        <f>MID(excPisCofins[[#This Row],[CodBarras2]],2,50)</f>
        <v/>
      </c>
    </row>
    <row r="11550" spans="9:9" x14ac:dyDescent="0.25">
      <c r="I11550" s="227" t="str">
        <f>MID(excPisCofins[[#This Row],[CodBarras2]],2,50)</f>
        <v/>
      </c>
    </row>
    <row r="11551" spans="9:9" x14ac:dyDescent="0.25">
      <c r="I11551" s="227" t="str">
        <f>MID(excPisCofins[[#This Row],[CodBarras2]],2,50)</f>
        <v/>
      </c>
    </row>
    <row r="11552" spans="9:9" x14ac:dyDescent="0.25">
      <c r="I11552" s="227" t="str">
        <f>MID(excPisCofins[[#This Row],[CodBarras2]],2,50)</f>
        <v/>
      </c>
    </row>
    <row r="11553" spans="9:9" x14ac:dyDescent="0.25">
      <c r="I11553" s="227" t="str">
        <f>MID(excPisCofins[[#This Row],[CodBarras2]],2,50)</f>
        <v/>
      </c>
    </row>
    <row r="11554" spans="9:9" x14ac:dyDescent="0.25">
      <c r="I11554" s="227" t="str">
        <f>MID(excPisCofins[[#This Row],[CodBarras2]],2,50)</f>
        <v/>
      </c>
    </row>
    <row r="11555" spans="9:9" x14ac:dyDescent="0.25">
      <c r="I11555" s="227" t="str">
        <f>MID(excPisCofins[[#This Row],[CodBarras2]],2,50)</f>
        <v/>
      </c>
    </row>
    <row r="11556" spans="9:9" x14ac:dyDescent="0.25">
      <c r="I11556" s="227" t="str">
        <f>MID(excPisCofins[[#This Row],[CodBarras2]],2,50)</f>
        <v/>
      </c>
    </row>
    <row r="11557" spans="9:9" x14ac:dyDescent="0.25">
      <c r="I11557" s="227" t="str">
        <f>MID(excPisCofins[[#This Row],[CodBarras2]],2,50)</f>
        <v/>
      </c>
    </row>
    <row r="11558" spans="9:9" x14ac:dyDescent="0.25">
      <c r="I11558" s="227" t="str">
        <f>MID(excPisCofins[[#This Row],[CodBarras2]],2,50)</f>
        <v/>
      </c>
    </row>
    <row r="11559" spans="9:9" x14ac:dyDescent="0.25">
      <c r="I11559" s="227" t="str">
        <f>MID(excPisCofins[[#This Row],[CodBarras2]],2,50)</f>
        <v/>
      </c>
    </row>
    <row r="11560" spans="9:9" x14ac:dyDescent="0.25">
      <c r="I11560" s="227" t="str">
        <f>MID(excPisCofins[[#This Row],[CodBarras2]],2,50)</f>
        <v/>
      </c>
    </row>
    <row r="11561" spans="9:9" x14ac:dyDescent="0.25">
      <c r="I11561" s="227" t="str">
        <f>MID(excPisCofins[[#This Row],[CodBarras2]],2,50)</f>
        <v/>
      </c>
    </row>
    <row r="11562" spans="9:9" x14ac:dyDescent="0.25">
      <c r="I11562" s="227" t="str">
        <f>MID(excPisCofins[[#This Row],[CodBarras2]],2,50)</f>
        <v/>
      </c>
    </row>
    <row r="11563" spans="9:9" x14ac:dyDescent="0.25">
      <c r="I11563" s="227" t="str">
        <f>MID(excPisCofins[[#This Row],[CodBarras2]],2,50)</f>
        <v/>
      </c>
    </row>
    <row r="11564" spans="9:9" x14ac:dyDescent="0.25">
      <c r="I11564" s="227" t="str">
        <f>MID(excPisCofins[[#This Row],[CodBarras2]],2,50)</f>
        <v/>
      </c>
    </row>
    <row r="11565" spans="9:9" x14ac:dyDescent="0.25">
      <c r="I11565" s="227" t="str">
        <f>MID(excPisCofins[[#This Row],[CodBarras2]],2,50)</f>
        <v/>
      </c>
    </row>
    <row r="11566" spans="9:9" x14ac:dyDescent="0.25">
      <c r="I11566" s="227" t="str">
        <f>MID(excPisCofins[[#This Row],[CodBarras2]],2,50)</f>
        <v/>
      </c>
    </row>
    <row r="11567" spans="9:9" x14ac:dyDescent="0.25">
      <c r="I11567" s="227" t="str">
        <f>MID(excPisCofins[[#This Row],[CodBarras2]],2,50)</f>
        <v/>
      </c>
    </row>
    <row r="11568" spans="9:9" x14ac:dyDescent="0.25">
      <c r="I11568" s="227" t="str">
        <f>MID(excPisCofins[[#This Row],[CodBarras2]],2,50)</f>
        <v/>
      </c>
    </row>
    <row r="11569" spans="9:9" x14ac:dyDescent="0.25">
      <c r="I11569" s="227" t="str">
        <f>MID(excPisCofins[[#This Row],[CodBarras2]],2,50)</f>
        <v/>
      </c>
    </row>
    <row r="11570" spans="9:9" x14ac:dyDescent="0.25">
      <c r="I11570" s="227" t="str">
        <f>MID(excPisCofins[[#This Row],[CodBarras2]],2,50)</f>
        <v/>
      </c>
    </row>
    <row r="11571" spans="9:9" x14ac:dyDescent="0.25">
      <c r="I11571" s="227" t="str">
        <f>MID(excPisCofins[[#This Row],[CodBarras2]],2,50)</f>
        <v/>
      </c>
    </row>
    <row r="11572" spans="9:9" x14ac:dyDescent="0.25">
      <c r="I11572" s="227" t="str">
        <f>MID(excPisCofins[[#This Row],[CodBarras2]],2,50)</f>
        <v/>
      </c>
    </row>
    <row r="11573" spans="9:9" x14ac:dyDescent="0.25">
      <c r="I11573" s="227" t="str">
        <f>MID(excPisCofins[[#This Row],[CodBarras2]],2,50)</f>
        <v/>
      </c>
    </row>
    <row r="11574" spans="9:9" x14ac:dyDescent="0.25">
      <c r="I11574" s="227" t="str">
        <f>MID(excPisCofins[[#This Row],[CodBarras2]],2,50)</f>
        <v/>
      </c>
    </row>
    <row r="11575" spans="9:9" x14ac:dyDescent="0.25">
      <c r="I11575" s="227" t="str">
        <f>MID(excPisCofins[[#This Row],[CodBarras2]],2,50)</f>
        <v/>
      </c>
    </row>
    <row r="11576" spans="9:9" x14ac:dyDescent="0.25">
      <c r="I11576" s="227" t="str">
        <f>MID(excPisCofins[[#This Row],[CodBarras2]],2,50)</f>
        <v/>
      </c>
    </row>
    <row r="11577" spans="9:9" x14ac:dyDescent="0.25">
      <c r="I11577" s="227" t="str">
        <f>MID(excPisCofins[[#This Row],[CodBarras2]],2,50)</f>
        <v/>
      </c>
    </row>
    <row r="11578" spans="9:9" x14ac:dyDescent="0.25">
      <c r="I11578" s="227" t="str">
        <f>MID(excPisCofins[[#This Row],[CodBarras2]],2,50)</f>
        <v/>
      </c>
    </row>
    <row r="11579" spans="9:9" x14ac:dyDescent="0.25">
      <c r="I11579" s="227" t="str">
        <f>MID(excPisCofins[[#This Row],[CodBarras2]],2,50)</f>
        <v/>
      </c>
    </row>
    <row r="11580" spans="9:9" x14ac:dyDescent="0.25">
      <c r="I11580" s="227" t="str">
        <f>MID(excPisCofins[[#This Row],[CodBarras2]],2,50)</f>
        <v/>
      </c>
    </row>
    <row r="11581" spans="9:9" x14ac:dyDescent="0.25">
      <c r="I11581" s="227" t="str">
        <f>MID(excPisCofins[[#This Row],[CodBarras2]],2,50)</f>
        <v/>
      </c>
    </row>
    <row r="11582" spans="9:9" x14ac:dyDescent="0.25">
      <c r="I11582" s="227" t="str">
        <f>MID(excPisCofins[[#This Row],[CodBarras2]],2,50)</f>
        <v/>
      </c>
    </row>
    <row r="11583" spans="9:9" x14ac:dyDescent="0.25">
      <c r="I11583" s="227" t="str">
        <f>MID(excPisCofins[[#This Row],[CodBarras2]],2,50)</f>
        <v/>
      </c>
    </row>
    <row r="11584" spans="9:9" x14ac:dyDescent="0.25">
      <c r="I11584" s="227" t="str">
        <f>MID(excPisCofins[[#This Row],[CodBarras2]],2,50)</f>
        <v/>
      </c>
    </row>
    <row r="11585" spans="9:9" x14ac:dyDescent="0.25">
      <c r="I11585" s="227" t="str">
        <f>MID(excPisCofins[[#This Row],[CodBarras2]],2,50)</f>
        <v/>
      </c>
    </row>
    <row r="11586" spans="9:9" x14ac:dyDescent="0.25">
      <c r="I11586" s="227" t="str">
        <f>MID(excPisCofins[[#This Row],[CodBarras2]],2,50)</f>
        <v/>
      </c>
    </row>
    <row r="11587" spans="9:9" x14ac:dyDescent="0.25">
      <c r="I11587" s="227" t="str">
        <f>MID(excPisCofins[[#This Row],[CodBarras2]],2,50)</f>
        <v/>
      </c>
    </row>
    <row r="11588" spans="9:9" x14ac:dyDescent="0.25">
      <c r="I11588" s="227" t="str">
        <f>MID(excPisCofins[[#This Row],[CodBarras2]],2,50)</f>
        <v/>
      </c>
    </row>
    <row r="11589" spans="9:9" x14ac:dyDescent="0.25">
      <c r="I11589" s="227" t="str">
        <f>MID(excPisCofins[[#This Row],[CodBarras2]],2,50)</f>
        <v/>
      </c>
    </row>
    <row r="11590" spans="9:9" x14ac:dyDescent="0.25">
      <c r="I11590" s="227" t="str">
        <f>MID(excPisCofins[[#This Row],[CodBarras2]],2,50)</f>
        <v/>
      </c>
    </row>
    <row r="11591" spans="9:9" x14ac:dyDescent="0.25">
      <c r="I11591" s="227" t="str">
        <f>MID(excPisCofins[[#This Row],[CodBarras2]],2,50)</f>
        <v/>
      </c>
    </row>
    <row r="11592" spans="9:9" x14ac:dyDescent="0.25">
      <c r="I11592" s="227" t="str">
        <f>MID(excPisCofins[[#This Row],[CodBarras2]],2,50)</f>
        <v/>
      </c>
    </row>
    <row r="11593" spans="9:9" x14ac:dyDescent="0.25">
      <c r="I11593" s="227" t="str">
        <f>MID(excPisCofins[[#This Row],[CodBarras2]],2,50)</f>
        <v/>
      </c>
    </row>
    <row r="11594" spans="9:9" x14ac:dyDescent="0.25">
      <c r="I11594" s="227" t="str">
        <f>MID(excPisCofins[[#This Row],[CodBarras2]],2,50)</f>
        <v/>
      </c>
    </row>
    <row r="11595" spans="9:9" x14ac:dyDescent="0.25">
      <c r="I11595" s="227" t="str">
        <f>MID(excPisCofins[[#This Row],[CodBarras2]],2,50)</f>
        <v/>
      </c>
    </row>
    <row r="11596" spans="9:9" x14ac:dyDescent="0.25">
      <c r="I11596" s="227" t="str">
        <f>MID(excPisCofins[[#This Row],[CodBarras2]],2,50)</f>
        <v/>
      </c>
    </row>
    <row r="11597" spans="9:9" x14ac:dyDescent="0.25">
      <c r="I11597" s="227" t="str">
        <f>MID(excPisCofins[[#This Row],[CodBarras2]],2,50)</f>
        <v/>
      </c>
    </row>
    <row r="11598" spans="9:9" x14ac:dyDescent="0.25">
      <c r="I11598" s="227" t="str">
        <f>MID(excPisCofins[[#This Row],[CodBarras2]],2,50)</f>
        <v/>
      </c>
    </row>
    <row r="11599" spans="9:9" x14ac:dyDescent="0.25">
      <c r="I11599" s="227" t="str">
        <f>MID(excPisCofins[[#This Row],[CodBarras2]],2,50)</f>
        <v/>
      </c>
    </row>
    <row r="11600" spans="9:9" x14ac:dyDescent="0.25">
      <c r="I11600" s="227" t="str">
        <f>MID(excPisCofins[[#This Row],[CodBarras2]],2,50)</f>
        <v/>
      </c>
    </row>
    <row r="11601" spans="9:9" x14ac:dyDescent="0.25">
      <c r="I11601" s="227" t="str">
        <f>MID(excPisCofins[[#This Row],[CodBarras2]],2,50)</f>
        <v/>
      </c>
    </row>
    <row r="11602" spans="9:9" x14ac:dyDescent="0.25">
      <c r="I11602" s="227" t="str">
        <f>MID(excPisCofins[[#This Row],[CodBarras2]],2,50)</f>
        <v/>
      </c>
    </row>
    <row r="11603" spans="9:9" x14ac:dyDescent="0.25">
      <c r="I11603" s="227" t="str">
        <f>MID(excPisCofins[[#This Row],[CodBarras2]],2,50)</f>
        <v/>
      </c>
    </row>
    <row r="11604" spans="9:9" x14ac:dyDescent="0.25">
      <c r="I11604" s="227" t="str">
        <f>MID(excPisCofins[[#This Row],[CodBarras2]],2,50)</f>
        <v/>
      </c>
    </row>
    <row r="11605" spans="9:9" x14ac:dyDescent="0.25">
      <c r="I11605" s="227" t="str">
        <f>MID(excPisCofins[[#This Row],[CodBarras2]],2,50)</f>
        <v/>
      </c>
    </row>
    <row r="11606" spans="9:9" x14ac:dyDescent="0.25">
      <c r="I11606" s="227" t="str">
        <f>MID(excPisCofins[[#This Row],[CodBarras2]],2,50)</f>
        <v/>
      </c>
    </row>
    <row r="11607" spans="9:9" x14ac:dyDescent="0.25">
      <c r="I11607" s="227" t="str">
        <f>MID(excPisCofins[[#This Row],[CodBarras2]],2,50)</f>
        <v/>
      </c>
    </row>
    <row r="11608" spans="9:9" x14ac:dyDescent="0.25">
      <c r="I11608" s="227" t="str">
        <f>MID(excPisCofins[[#This Row],[CodBarras2]],2,50)</f>
        <v/>
      </c>
    </row>
    <row r="11609" spans="9:9" x14ac:dyDescent="0.25">
      <c r="I11609" s="227" t="str">
        <f>MID(excPisCofins[[#This Row],[CodBarras2]],2,50)</f>
        <v/>
      </c>
    </row>
    <row r="11610" spans="9:9" x14ac:dyDescent="0.25">
      <c r="I11610" s="227" t="str">
        <f>MID(excPisCofins[[#This Row],[CodBarras2]],2,50)</f>
        <v/>
      </c>
    </row>
    <row r="11611" spans="9:9" x14ac:dyDescent="0.25">
      <c r="I11611" s="227" t="str">
        <f>MID(excPisCofins[[#This Row],[CodBarras2]],2,50)</f>
        <v/>
      </c>
    </row>
    <row r="11612" spans="9:9" x14ac:dyDescent="0.25">
      <c r="I11612" s="227" t="str">
        <f>MID(excPisCofins[[#This Row],[CodBarras2]],2,50)</f>
        <v/>
      </c>
    </row>
    <row r="11613" spans="9:9" x14ac:dyDescent="0.25">
      <c r="I11613" s="227" t="str">
        <f>MID(excPisCofins[[#This Row],[CodBarras2]],2,50)</f>
        <v/>
      </c>
    </row>
    <row r="11614" spans="9:9" x14ac:dyDescent="0.25">
      <c r="I11614" s="227" t="str">
        <f>MID(excPisCofins[[#This Row],[CodBarras2]],2,50)</f>
        <v/>
      </c>
    </row>
    <row r="11615" spans="9:9" x14ac:dyDescent="0.25">
      <c r="I11615" s="227" t="str">
        <f>MID(excPisCofins[[#This Row],[CodBarras2]],2,50)</f>
        <v/>
      </c>
    </row>
    <row r="11616" spans="9:9" x14ac:dyDescent="0.25">
      <c r="I11616" s="227" t="str">
        <f>MID(excPisCofins[[#This Row],[CodBarras2]],2,50)</f>
        <v/>
      </c>
    </row>
    <row r="11617" spans="9:9" x14ac:dyDescent="0.25">
      <c r="I11617" s="227" t="str">
        <f>MID(excPisCofins[[#This Row],[CodBarras2]],2,50)</f>
        <v/>
      </c>
    </row>
    <row r="11618" spans="9:9" x14ac:dyDescent="0.25">
      <c r="I11618" s="227" t="str">
        <f>MID(excPisCofins[[#This Row],[CodBarras2]],2,50)</f>
        <v/>
      </c>
    </row>
    <row r="11619" spans="9:9" x14ac:dyDescent="0.25">
      <c r="I11619" s="227" t="str">
        <f>MID(excPisCofins[[#This Row],[CodBarras2]],2,50)</f>
        <v/>
      </c>
    </row>
    <row r="11620" spans="9:9" x14ac:dyDescent="0.25">
      <c r="I11620" s="227" t="str">
        <f>MID(excPisCofins[[#This Row],[CodBarras2]],2,50)</f>
        <v/>
      </c>
    </row>
    <row r="11621" spans="9:9" x14ac:dyDescent="0.25">
      <c r="I11621" s="227" t="str">
        <f>MID(excPisCofins[[#This Row],[CodBarras2]],2,50)</f>
        <v/>
      </c>
    </row>
    <row r="11622" spans="9:9" x14ac:dyDescent="0.25">
      <c r="I11622" s="227" t="str">
        <f>MID(excPisCofins[[#This Row],[CodBarras2]],2,50)</f>
        <v/>
      </c>
    </row>
    <row r="11623" spans="9:9" x14ac:dyDescent="0.25">
      <c r="I11623" s="227" t="str">
        <f>MID(excPisCofins[[#This Row],[CodBarras2]],2,50)</f>
        <v/>
      </c>
    </row>
    <row r="11624" spans="9:9" x14ac:dyDescent="0.25">
      <c r="I11624" s="227" t="str">
        <f>MID(excPisCofins[[#This Row],[CodBarras2]],2,50)</f>
        <v/>
      </c>
    </row>
    <row r="11625" spans="9:9" x14ac:dyDescent="0.25">
      <c r="I11625" s="227" t="str">
        <f>MID(excPisCofins[[#This Row],[CodBarras2]],2,50)</f>
        <v/>
      </c>
    </row>
    <row r="11626" spans="9:9" x14ac:dyDescent="0.25">
      <c r="I11626" s="227" t="str">
        <f>MID(excPisCofins[[#This Row],[CodBarras2]],2,50)</f>
        <v/>
      </c>
    </row>
    <row r="11627" spans="9:9" x14ac:dyDescent="0.25">
      <c r="I11627" s="227" t="str">
        <f>MID(excPisCofins[[#This Row],[CodBarras2]],2,50)</f>
        <v/>
      </c>
    </row>
    <row r="11628" spans="9:9" x14ac:dyDescent="0.25">
      <c r="I11628" s="227" t="str">
        <f>MID(excPisCofins[[#This Row],[CodBarras2]],2,50)</f>
        <v/>
      </c>
    </row>
    <row r="11629" spans="9:9" x14ac:dyDescent="0.25">
      <c r="I11629" s="227" t="str">
        <f>MID(excPisCofins[[#This Row],[CodBarras2]],2,50)</f>
        <v/>
      </c>
    </row>
    <row r="11630" spans="9:9" x14ac:dyDescent="0.25">
      <c r="I11630" s="227" t="str">
        <f>MID(excPisCofins[[#This Row],[CodBarras2]],2,50)</f>
        <v/>
      </c>
    </row>
    <row r="11631" spans="9:9" x14ac:dyDescent="0.25">
      <c r="I11631" s="227" t="str">
        <f>MID(excPisCofins[[#This Row],[CodBarras2]],2,50)</f>
        <v/>
      </c>
    </row>
    <row r="11632" spans="9:9" x14ac:dyDescent="0.25">
      <c r="I11632" s="227" t="str">
        <f>MID(excPisCofins[[#This Row],[CodBarras2]],2,50)</f>
        <v/>
      </c>
    </row>
    <row r="11633" spans="9:9" x14ac:dyDescent="0.25">
      <c r="I11633" s="227" t="str">
        <f>MID(excPisCofins[[#This Row],[CodBarras2]],2,50)</f>
        <v/>
      </c>
    </row>
    <row r="11634" spans="9:9" x14ac:dyDescent="0.25">
      <c r="I11634" s="227" t="str">
        <f>MID(excPisCofins[[#This Row],[CodBarras2]],2,50)</f>
        <v/>
      </c>
    </row>
    <row r="11635" spans="9:9" x14ac:dyDescent="0.25">
      <c r="I11635" s="227" t="str">
        <f>MID(excPisCofins[[#This Row],[CodBarras2]],2,50)</f>
        <v/>
      </c>
    </row>
    <row r="11636" spans="9:9" x14ac:dyDescent="0.25">
      <c r="I11636" s="227" t="str">
        <f>MID(excPisCofins[[#This Row],[CodBarras2]],2,50)</f>
        <v/>
      </c>
    </row>
    <row r="11637" spans="9:9" x14ac:dyDescent="0.25">
      <c r="I11637" s="227" t="str">
        <f>MID(excPisCofins[[#This Row],[CodBarras2]],2,50)</f>
        <v/>
      </c>
    </row>
    <row r="11638" spans="9:9" x14ac:dyDescent="0.25">
      <c r="I11638" s="227" t="str">
        <f>MID(excPisCofins[[#This Row],[CodBarras2]],2,50)</f>
        <v/>
      </c>
    </row>
    <row r="11639" spans="9:9" x14ac:dyDescent="0.25">
      <c r="I11639" s="227" t="str">
        <f>MID(excPisCofins[[#This Row],[CodBarras2]],2,50)</f>
        <v/>
      </c>
    </row>
    <row r="11640" spans="9:9" x14ac:dyDescent="0.25">
      <c r="I11640" s="227" t="str">
        <f>MID(excPisCofins[[#This Row],[CodBarras2]],2,50)</f>
        <v/>
      </c>
    </row>
    <row r="11641" spans="9:9" x14ac:dyDescent="0.25">
      <c r="I11641" s="227" t="str">
        <f>MID(excPisCofins[[#This Row],[CodBarras2]],2,50)</f>
        <v/>
      </c>
    </row>
    <row r="11642" spans="9:9" x14ac:dyDescent="0.25">
      <c r="I11642" s="227" t="str">
        <f>MID(excPisCofins[[#This Row],[CodBarras2]],2,50)</f>
        <v/>
      </c>
    </row>
    <row r="11643" spans="9:9" x14ac:dyDescent="0.25">
      <c r="I11643" s="227" t="str">
        <f>MID(excPisCofins[[#This Row],[CodBarras2]],2,50)</f>
        <v/>
      </c>
    </row>
    <row r="11644" spans="9:9" x14ac:dyDescent="0.25">
      <c r="I11644" s="227" t="str">
        <f>MID(excPisCofins[[#This Row],[CodBarras2]],2,50)</f>
        <v/>
      </c>
    </row>
    <row r="11645" spans="9:9" x14ac:dyDescent="0.25">
      <c r="I11645" s="227" t="str">
        <f>MID(excPisCofins[[#This Row],[CodBarras2]],2,50)</f>
        <v/>
      </c>
    </row>
    <row r="11646" spans="9:9" x14ac:dyDescent="0.25">
      <c r="I11646" s="227" t="str">
        <f>MID(excPisCofins[[#This Row],[CodBarras2]],2,50)</f>
        <v/>
      </c>
    </row>
    <row r="11647" spans="9:9" x14ac:dyDescent="0.25">
      <c r="I11647" s="227" t="str">
        <f>MID(excPisCofins[[#This Row],[CodBarras2]],2,50)</f>
        <v/>
      </c>
    </row>
    <row r="11648" spans="9:9" x14ac:dyDescent="0.25">
      <c r="I11648" s="227" t="str">
        <f>MID(excPisCofins[[#This Row],[CodBarras2]],2,50)</f>
        <v/>
      </c>
    </row>
    <row r="11649" spans="9:9" x14ac:dyDescent="0.25">
      <c r="I11649" s="227" t="str">
        <f>MID(excPisCofins[[#This Row],[CodBarras2]],2,50)</f>
        <v/>
      </c>
    </row>
    <row r="11650" spans="9:9" x14ac:dyDescent="0.25">
      <c r="I11650" s="227" t="str">
        <f>MID(excPisCofins[[#This Row],[CodBarras2]],2,50)</f>
        <v/>
      </c>
    </row>
    <row r="11651" spans="9:9" x14ac:dyDescent="0.25">
      <c r="I11651" s="227" t="str">
        <f>MID(excPisCofins[[#This Row],[CodBarras2]],2,50)</f>
        <v/>
      </c>
    </row>
    <row r="11652" spans="9:9" x14ac:dyDescent="0.25">
      <c r="I11652" s="227" t="str">
        <f>MID(excPisCofins[[#This Row],[CodBarras2]],2,50)</f>
        <v/>
      </c>
    </row>
    <row r="11653" spans="9:9" x14ac:dyDescent="0.25">
      <c r="I11653" s="227" t="str">
        <f>MID(excPisCofins[[#This Row],[CodBarras2]],2,50)</f>
        <v/>
      </c>
    </row>
    <row r="11654" spans="9:9" x14ac:dyDescent="0.25">
      <c r="I11654" s="227" t="str">
        <f>MID(excPisCofins[[#This Row],[CodBarras2]],2,50)</f>
        <v/>
      </c>
    </row>
    <row r="11655" spans="9:9" x14ac:dyDescent="0.25">
      <c r="I11655" s="227" t="str">
        <f>MID(excPisCofins[[#This Row],[CodBarras2]],2,50)</f>
        <v/>
      </c>
    </row>
    <row r="11656" spans="9:9" x14ac:dyDescent="0.25">
      <c r="I11656" s="227" t="str">
        <f>MID(excPisCofins[[#This Row],[CodBarras2]],2,50)</f>
        <v/>
      </c>
    </row>
    <row r="11657" spans="9:9" x14ac:dyDescent="0.25">
      <c r="I11657" s="227" t="str">
        <f>MID(excPisCofins[[#This Row],[CodBarras2]],2,50)</f>
        <v/>
      </c>
    </row>
    <row r="11658" spans="9:9" x14ac:dyDescent="0.25">
      <c r="I11658" s="227" t="str">
        <f>MID(excPisCofins[[#This Row],[CodBarras2]],2,50)</f>
        <v/>
      </c>
    </row>
    <row r="11659" spans="9:9" x14ac:dyDescent="0.25">
      <c r="I11659" s="227" t="str">
        <f>MID(excPisCofins[[#This Row],[CodBarras2]],2,50)</f>
        <v/>
      </c>
    </row>
    <row r="11660" spans="9:9" x14ac:dyDescent="0.25">
      <c r="I11660" s="227" t="str">
        <f>MID(excPisCofins[[#This Row],[CodBarras2]],2,50)</f>
        <v/>
      </c>
    </row>
    <row r="11661" spans="9:9" x14ac:dyDescent="0.25">
      <c r="I11661" s="227" t="str">
        <f>MID(excPisCofins[[#This Row],[CodBarras2]],2,50)</f>
        <v/>
      </c>
    </row>
    <row r="11662" spans="9:9" x14ac:dyDescent="0.25">
      <c r="I11662" s="227" t="str">
        <f>MID(excPisCofins[[#This Row],[CodBarras2]],2,50)</f>
        <v/>
      </c>
    </row>
    <row r="11663" spans="9:9" x14ac:dyDescent="0.25">
      <c r="I11663" s="227" t="str">
        <f>MID(excPisCofins[[#This Row],[CodBarras2]],2,50)</f>
        <v/>
      </c>
    </row>
    <row r="11664" spans="9:9" x14ac:dyDescent="0.25">
      <c r="I11664" s="227" t="str">
        <f>MID(excPisCofins[[#This Row],[CodBarras2]],2,50)</f>
        <v/>
      </c>
    </row>
    <row r="11665" spans="9:9" x14ac:dyDescent="0.25">
      <c r="I11665" s="227" t="str">
        <f>MID(excPisCofins[[#This Row],[CodBarras2]],2,50)</f>
        <v/>
      </c>
    </row>
    <row r="11666" spans="9:9" x14ac:dyDescent="0.25">
      <c r="I11666" s="227" t="str">
        <f>MID(excPisCofins[[#This Row],[CodBarras2]],2,50)</f>
        <v/>
      </c>
    </row>
    <row r="11667" spans="9:9" x14ac:dyDescent="0.25">
      <c r="I11667" s="227" t="str">
        <f>MID(excPisCofins[[#This Row],[CodBarras2]],2,50)</f>
        <v/>
      </c>
    </row>
    <row r="11668" spans="9:9" x14ac:dyDescent="0.25">
      <c r="I11668" s="227" t="str">
        <f>MID(excPisCofins[[#This Row],[CodBarras2]],2,50)</f>
        <v/>
      </c>
    </row>
    <row r="11669" spans="9:9" x14ac:dyDescent="0.25">
      <c r="I11669" s="227" t="str">
        <f>MID(excPisCofins[[#This Row],[CodBarras2]],2,50)</f>
        <v/>
      </c>
    </row>
    <row r="11670" spans="9:9" x14ac:dyDescent="0.25">
      <c r="I11670" s="227" t="str">
        <f>MID(excPisCofins[[#This Row],[CodBarras2]],2,50)</f>
        <v/>
      </c>
    </row>
    <row r="11671" spans="9:9" x14ac:dyDescent="0.25">
      <c r="I11671" s="227" t="str">
        <f>MID(excPisCofins[[#This Row],[CodBarras2]],2,50)</f>
        <v/>
      </c>
    </row>
    <row r="11672" spans="9:9" x14ac:dyDescent="0.25">
      <c r="I11672" s="227" t="str">
        <f>MID(excPisCofins[[#This Row],[CodBarras2]],2,50)</f>
        <v/>
      </c>
    </row>
    <row r="11673" spans="9:9" x14ac:dyDescent="0.25">
      <c r="I11673" s="227" t="str">
        <f>MID(excPisCofins[[#This Row],[CodBarras2]],2,50)</f>
        <v/>
      </c>
    </row>
    <row r="11674" spans="9:9" x14ac:dyDescent="0.25">
      <c r="I11674" s="227" t="str">
        <f>MID(excPisCofins[[#This Row],[CodBarras2]],2,50)</f>
        <v/>
      </c>
    </row>
    <row r="11675" spans="9:9" x14ac:dyDescent="0.25">
      <c r="I11675" s="227" t="str">
        <f>MID(excPisCofins[[#This Row],[CodBarras2]],2,50)</f>
        <v/>
      </c>
    </row>
    <row r="11676" spans="9:9" x14ac:dyDescent="0.25">
      <c r="I11676" s="227" t="str">
        <f>MID(excPisCofins[[#This Row],[CodBarras2]],2,50)</f>
        <v/>
      </c>
    </row>
    <row r="11677" spans="9:9" x14ac:dyDescent="0.25">
      <c r="I11677" s="227" t="str">
        <f>MID(excPisCofins[[#This Row],[CodBarras2]],2,50)</f>
        <v/>
      </c>
    </row>
    <row r="11678" spans="9:9" x14ac:dyDescent="0.25">
      <c r="I11678" s="227" t="str">
        <f>MID(excPisCofins[[#This Row],[CodBarras2]],2,50)</f>
        <v/>
      </c>
    </row>
    <row r="11679" spans="9:9" x14ac:dyDescent="0.25">
      <c r="I11679" s="227" t="str">
        <f>MID(excPisCofins[[#This Row],[CodBarras2]],2,50)</f>
        <v/>
      </c>
    </row>
    <row r="11680" spans="9:9" x14ac:dyDescent="0.25">
      <c r="I11680" s="227" t="str">
        <f>MID(excPisCofins[[#This Row],[CodBarras2]],2,50)</f>
        <v/>
      </c>
    </row>
    <row r="11681" spans="9:9" x14ac:dyDescent="0.25">
      <c r="I11681" s="227" t="str">
        <f>MID(excPisCofins[[#This Row],[CodBarras2]],2,50)</f>
        <v/>
      </c>
    </row>
    <row r="11682" spans="9:9" x14ac:dyDescent="0.25">
      <c r="I11682" s="227" t="str">
        <f>MID(excPisCofins[[#This Row],[CodBarras2]],2,50)</f>
        <v/>
      </c>
    </row>
    <row r="11683" spans="9:9" x14ac:dyDescent="0.25">
      <c r="I11683" s="227" t="str">
        <f>MID(excPisCofins[[#This Row],[CodBarras2]],2,50)</f>
        <v/>
      </c>
    </row>
    <row r="11684" spans="9:9" x14ac:dyDescent="0.25">
      <c r="I11684" s="227" t="str">
        <f>MID(excPisCofins[[#This Row],[CodBarras2]],2,50)</f>
        <v/>
      </c>
    </row>
    <row r="11685" spans="9:9" x14ac:dyDescent="0.25">
      <c r="I11685" s="227" t="str">
        <f>MID(excPisCofins[[#This Row],[CodBarras2]],2,50)</f>
        <v/>
      </c>
    </row>
    <row r="11686" spans="9:9" x14ac:dyDescent="0.25">
      <c r="I11686" s="227" t="str">
        <f>MID(excPisCofins[[#This Row],[CodBarras2]],2,50)</f>
        <v/>
      </c>
    </row>
    <row r="11687" spans="9:9" x14ac:dyDescent="0.25">
      <c r="I11687" s="227" t="str">
        <f>MID(excPisCofins[[#This Row],[CodBarras2]],2,50)</f>
        <v/>
      </c>
    </row>
    <row r="11688" spans="9:9" x14ac:dyDescent="0.25">
      <c r="I11688" s="227" t="str">
        <f>MID(excPisCofins[[#This Row],[CodBarras2]],2,50)</f>
        <v/>
      </c>
    </row>
    <row r="11689" spans="9:9" x14ac:dyDescent="0.25">
      <c r="I11689" s="227" t="str">
        <f>MID(excPisCofins[[#This Row],[CodBarras2]],2,50)</f>
        <v/>
      </c>
    </row>
    <row r="11690" spans="9:9" x14ac:dyDescent="0.25">
      <c r="I11690" s="227" t="str">
        <f>MID(excPisCofins[[#This Row],[CodBarras2]],2,50)</f>
        <v/>
      </c>
    </row>
    <row r="11691" spans="9:9" x14ac:dyDescent="0.25">
      <c r="I11691" s="227" t="str">
        <f>MID(excPisCofins[[#This Row],[CodBarras2]],2,50)</f>
        <v/>
      </c>
    </row>
    <row r="11692" spans="9:9" x14ac:dyDescent="0.25">
      <c r="I11692" s="227" t="str">
        <f>MID(excPisCofins[[#This Row],[CodBarras2]],2,50)</f>
        <v/>
      </c>
    </row>
    <row r="11693" spans="9:9" x14ac:dyDescent="0.25">
      <c r="I11693" s="227" t="str">
        <f>MID(excPisCofins[[#This Row],[CodBarras2]],2,50)</f>
        <v/>
      </c>
    </row>
    <row r="11694" spans="9:9" x14ac:dyDescent="0.25">
      <c r="I11694" s="227" t="str">
        <f>MID(excPisCofins[[#This Row],[CodBarras2]],2,50)</f>
        <v/>
      </c>
    </row>
    <row r="11695" spans="9:9" x14ac:dyDescent="0.25">
      <c r="I11695" s="227" t="str">
        <f>MID(excPisCofins[[#This Row],[CodBarras2]],2,50)</f>
        <v/>
      </c>
    </row>
    <row r="11696" spans="9:9" x14ac:dyDescent="0.25">
      <c r="I11696" s="227" t="str">
        <f>MID(excPisCofins[[#This Row],[CodBarras2]],2,50)</f>
        <v/>
      </c>
    </row>
    <row r="11697" spans="9:9" x14ac:dyDescent="0.25">
      <c r="I11697" s="227" t="str">
        <f>MID(excPisCofins[[#This Row],[CodBarras2]],2,50)</f>
        <v/>
      </c>
    </row>
    <row r="11698" spans="9:9" x14ac:dyDescent="0.25">
      <c r="I11698" s="227" t="str">
        <f>MID(excPisCofins[[#This Row],[CodBarras2]],2,50)</f>
        <v/>
      </c>
    </row>
    <row r="11699" spans="9:9" x14ac:dyDescent="0.25">
      <c r="I11699" s="227" t="str">
        <f>MID(excPisCofins[[#This Row],[CodBarras2]],2,50)</f>
        <v/>
      </c>
    </row>
    <row r="11700" spans="9:9" x14ac:dyDescent="0.25">
      <c r="I11700" s="227" t="str">
        <f>MID(excPisCofins[[#This Row],[CodBarras2]],2,50)</f>
        <v/>
      </c>
    </row>
    <row r="11701" spans="9:9" x14ac:dyDescent="0.25">
      <c r="I11701" s="227" t="str">
        <f>MID(excPisCofins[[#This Row],[CodBarras2]],2,50)</f>
        <v/>
      </c>
    </row>
    <row r="11702" spans="9:9" x14ac:dyDescent="0.25">
      <c r="I11702" s="227" t="str">
        <f>MID(excPisCofins[[#This Row],[CodBarras2]],2,50)</f>
        <v/>
      </c>
    </row>
    <row r="11703" spans="9:9" x14ac:dyDescent="0.25">
      <c r="I11703" s="227" t="str">
        <f>MID(excPisCofins[[#This Row],[CodBarras2]],2,50)</f>
        <v/>
      </c>
    </row>
    <row r="11704" spans="9:9" x14ac:dyDescent="0.25">
      <c r="I11704" s="227" t="str">
        <f>MID(excPisCofins[[#This Row],[CodBarras2]],2,50)</f>
        <v/>
      </c>
    </row>
    <row r="11705" spans="9:9" x14ac:dyDescent="0.25">
      <c r="I11705" s="227" t="str">
        <f>MID(excPisCofins[[#This Row],[CodBarras2]],2,50)</f>
        <v/>
      </c>
    </row>
    <row r="11706" spans="9:9" x14ac:dyDescent="0.25">
      <c r="I11706" s="227" t="str">
        <f>MID(excPisCofins[[#This Row],[CodBarras2]],2,50)</f>
        <v/>
      </c>
    </row>
    <row r="11707" spans="9:9" x14ac:dyDescent="0.25">
      <c r="I11707" s="227" t="str">
        <f>MID(excPisCofins[[#This Row],[CodBarras2]],2,50)</f>
        <v/>
      </c>
    </row>
    <row r="11708" spans="9:9" x14ac:dyDescent="0.25">
      <c r="I11708" s="227" t="str">
        <f>MID(excPisCofins[[#This Row],[CodBarras2]],2,50)</f>
        <v/>
      </c>
    </row>
    <row r="11709" spans="9:9" x14ac:dyDescent="0.25">
      <c r="I11709" s="227" t="str">
        <f>MID(excPisCofins[[#This Row],[CodBarras2]],2,50)</f>
        <v/>
      </c>
    </row>
    <row r="11710" spans="9:9" x14ac:dyDescent="0.25">
      <c r="I11710" s="227" t="str">
        <f>MID(excPisCofins[[#This Row],[CodBarras2]],2,50)</f>
        <v/>
      </c>
    </row>
    <row r="11711" spans="9:9" x14ac:dyDescent="0.25">
      <c r="I11711" s="227" t="str">
        <f>MID(excPisCofins[[#This Row],[CodBarras2]],2,50)</f>
        <v/>
      </c>
    </row>
    <row r="11712" spans="9:9" x14ac:dyDescent="0.25">
      <c r="I11712" s="227" t="str">
        <f>MID(excPisCofins[[#This Row],[CodBarras2]],2,50)</f>
        <v/>
      </c>
    </row>
    <row r="11713" spans="9:9" x14ac:dyDescent="0.25">
      <c r="I11713" s="227" t="str">
        <f>MID(excPisCofins[[#This Row],[CodBarras2]],2,50)</f>
        <v/>
      </c>
    </row>
    <row r="11714" spans="9:9" x14ac:dyDescent="0.25">
      <c r="I11714" s="227" t="str">
        <f>MID(excPisCofins[[#This Row],[CodBarras2]],2,50)</f>
        <v/>
      </c>
    </row>
    <row r="11715" spans="9:9" x14ac:dyDescent="0.25">
      <c r="I11715" s="227" t="str">
        <f>MID(excPisCofins[[#This Row],[CodBarras2]],2,50)</f>
        <v/>
      </c>
    </row>
    <row r="11716" spans="9:9" x14ac:dyDescent="0.25">
      <c r="I11716" s="227" t="str">
        <f>MID(excPisCofins[[#This Row],[CodBarras2]],2,50)</f>
        <v/>
      </c>
    </row>
    <row r="11717" spans="9:9" x14ac:dyDescent="0.25">
      <c r="I11717" s="227" t="str">
        <f>MID(excPisCofins[[#This Row],[CodBarras2]],2,50)</f>
        <v/>
      </c>
    </row>
    <row r="11718" spans="9:9" x14ac:dyDescent="0.25">
      <c r="I11718" s="227" t="str">
        <f>MID(excPisCofins[[#This Row],[CodBarras2]],2,50)</f>
        <v/>
      </c>
    </row>
    <row r="11719" spans="9:9" x14ac:dyDescent="0.25">
      <c r="I11719" s="227" t="str">
        <f>MID(excPisCofins[[#This Row],[CodBarras2]],2,50)</f>
        <v/>
      </c>
    </row>
    <row r="11720" spans="9:9" x14ac:dyDescent="0.25">
      <c r="I11720" s="227" t="str">
        <f>MID(excPisCofins[[#This Row],[CodBarras2]],2,50)</f>
        <v/>
      </c>
    </row>
    <row r="11721" spans="9:9" x14ac:dyDescent="0.25">
      <c r="I11721" s="227" t="str">
        <f>MID(excPisCofins[[#This Row],[CodBarras2]],2,50)</f>
        <v/>
      </c>
    </row>
    <row r="11722" spans="9:9" x14ac:dyDescent="0.25">
      <c r="I11722" s="227" t="str">
        <f>MID(excPisCofins[[#This Row],[CodBarras2]],2,50)</f>
        <v/>
      </c>
    </row>
    <row r="11723" spans="9:9" x14ac:dyDescent="0.25">
      <c r="I11723" s="227" t="str">
        <f>MID(excPisCofins[[#This Row],[CodBarras2]],2,50)</f>
        <v/>
      </c>
    </row>
    <row r="11724" spans="9:9" x14ac:dyDescent="0.25">
      <c r="I11724" s="227" t="str">
        <f>MID(excPisCofins[[#This Row],[CodBarras2]],2,50)</f>
        <v/>
      </c>
    </row>
    <row r="11725" spans="9:9" x14ac:dyDescent="0.25">
      <c r="I11725" s="227" t="str">
        <f>MID(excPisCofins[[#This Row],[CodBarras2]],2,50)</f>
        <v/>
      </c>
    </row>
    <row r="11726" spans="9:9" x14ac:dyDescent="0.25">
      <c r="I11726" s="227" t="str">
        <f>MID(excPisCofins[[#This Row],[CodBarras2]],2,50)</f>
        <v/>
      </c>
    </row>
    <row r="11727" spans="9:9" x14ac:dyDescent="0.25">
      <c r="I11727" s="227" t="str">
        <f>MID(excPisCofins[[#This Row],[CodBarras2]],2,50)</f>
        <v/>
      </c>
    </row>
    <row r="11728" spans="9:9" x14ac:dyDescent="0.25">
      <c r="I11728" s="227" t="str">
        <f>MID(excPisCofins[[#This Row],[CodBarras2]],2,50)</f>
        <v/>
      </c>
    </row>
    <row r="11729" spans="9:9" x14ac:dyDescent="0.25">
      <c r="I11729" s="227" t="str">
        <f>MID(excPisCofins[[#This Row],[CodBarras2]],2,50)</f>
        <v/>
      </c>
    </row>
    <row r="11730" spans="9:9" x14ac:dyDescent="0.25">
      <c r="I11730" s="227" t="str">
        <f>MID(excPisCofins[[#This Row],[CodBarras2]],2,50)</f>
        <v/>
      </c>
    </row>
    <row r="11731" spans="9:9" x14ac:dyDescent="0.25">
      <c r="I11731" s="227" t="str">
        <f>MID(excPisCofins[[#This Row],[CodBarras2]],2,50)</f>
        <v/>
      </c>
    </row>
    <row r="11732" spans="9:9" x14ac:dyDescent="0.25">
      <c r="I11732" s="227" t="str">
        <f>MID(excPisCofins[[#This Row],[CodBarras2]],2,50)</f>
        <v/>
      </c>
    </row>
    <row r="11733" spans="9:9" x14ac:dyDescent="0.25">
      <c r="I11733" s="227" t="str">
        <f>MID(excPisCofins[[#This Row],[CodBarras2]],2,50)</f>
        <v/>
      </c>
    </row>
    <row r="11734" spans="9:9" x14ac:dyDescent="0.25">
      <c r="I11734" s="227" t="str">
        <f>MID(excPisCofins[[#This Row],[CodBarras2]],2,50)</f>
        <v/>
      </c>
    </row>
    <row r="11735" spans="9:9" x14ac:dyDescent="0.25">
      <c r="I11735" s="227" t="str">
        <f>MID(excPisCofins[[#This Row],[CodBarras2]],2,50)</f>
        <v/>
      </c>
    </row>
    <row r="11736" spans="9:9" x14ac:dyDescent="0.25">
      <c r="I11736" s="227" t="str">
        <f>MID(excPisCofins[[#This Row],[CodBarras2]],2,50)</f>
        <v/>
      </c>
    </row>
    <row r="11737" spans="9:9" x14ac:dyDescent="0.25">
      <c r="I11737" s="227" t="str">
        <f>MID(excPisCofins[[#This Row],[CodBarras2]],2,50)</f>
        <v/>
      </c>
    </row>
    <row r="11738" spans="9:9" x14ac:dyDescent="0.25">
      <c r="I11738" s="227" t="str">
        <f>MID(excPisCofins[[#This Row],[CodBarras2]],2,50)</f>
        <v/>
      </c>
    </row>
    <row r="11739" spans="9:9" x14ac:dyDescent="0.25">
      <c r="I11739" s="227" t="str">
        <f>MID(excPisCofins[[#This Row],[CodBarras2]],2,50)</f>
        <v/>
      </c>
    </row>
    <row r="11740" spans="9:9" x14ac:dyDescent="0.25">
      <c r="I11740" s="227" t="str">
        <f>MID(excPisCofins[[#This Row],[CodBarras2]],2,50)</f>
        <v/>
      </c>
    </row>
    <row r="11741" spans="9:9" x14ac:dyDescent="0.25">
      <c r="I11741" s="227" t="str">
        <f>MID(excPisCofins[[#This Row],[CodBarras2]],2,50)</f>
        <v/>
      </c>
    </row>
    <row r="11742" spans="9:9" x14ac:dyDescent="0.25">
      <c r="I11742" s="227" t="str">
        <f>MID(excPisCofins[[#This Row],[CodBarras2]],2,50)</f>
        <v/>
      </c>
    </row>
    <row r="11743" spans="9:9" x14ac:dyDescent="0.25">
      <c r="I11743" s="227" t="str">
        <f>MID(excPisCofins[[#This Row],[CodBarras2]],2,50)</f>
        <v/>
      </c>
    </row>
    <row r="11744" spans="9:9" x14ac:dyDescent="0.25">
      <c r="I11744" s="227" t="str">
        <f>MID(excPisCofins[[#This Row],[CodBarras2]],2,50)</f>
        <v/>
      </c>
    </row>
    <row r="11745" spans="9:9" x14ac:dyDescent="0.25">
      <c r="I11745" s="227" t="str">
        <f>MID(excPisCofins[[#This Row],[CodBarras2]],2,50)</f>
        <v/>
      </c>
    </row>
    <row r="11746" spans="9:9" x14ac:dyDescent="0.25">
      <c r="I11746" s="227" t="str">
        <f>MID(excPisCofins[[#This Row],[CodBarras2]],2,50)</f>
        <v/>
      </c>
    </row>
    <row r="11747" spans="9:9" x14ac:dyDescent="0.25">
      <c r="I11747" s="227" t="str">
        <f>MID(excPisCofins[[#This Row],[CodBarras2]],2,50)</f>
        <v/>
      </c>
    </row>
    <row r="11748" spans="9:9" x14ac:dyDescent="0.25">
      <c r="I11748" s="227" t="str">
        <f>MID(excPisCofins[[#This Row],[CodBarras2]],2,50)</f>
        <v/>
      </c>
    </row>
    <row r="11749" spans="9:9" x14ac:dyDescent="0.25">
      <c r="I11749" s="227" t="str">
        <f>MID(excPisCofins[[#This Row],[CodBarras2]],2,50)</f>
        <v/>
      </c>
    </row>
    <row r="11750" spans="9:9" x14ac:dyDescent="0.25">
      <c r="I11750" s="227" t="str">
        <f>MID(excPisCofins[[#This Row],[CodBarras2]],2,50)</f>
        <v/>
      </c>
    </row>
    <row r="11751" spans="9:9" x14ac:dyDescent="0.25">
      <c r="I11751" s="227" t="str">
        <f>MID(excPisCofins[[#This Row],[CodBarras2]],2,50)</f>
        <v/>
      </c>
    </row>
    <row r="11752" spans="9:9" x14ac:dyDescent="0.25">
      <c r="I11752" s="227" t="str">
        <f>MID(excPisCofins[[#This Row],[CodBarras2]],2,50)</f>
        <v/>
      </c>
    </row>
    <row r="11753" spans="9:9" x14ac:dyDescent="0.25">
      <c r="I11753" s="227" t="str">
        <f>MID(excPisCofins[[#This Row],[CodBarras2]],2,50)</f>
        <v/>
      </c>
    </row>
    <row r="11754" spans="9:9" x14ac:dyDescent="0.25">
      <c r="I11754" s="227" t="str">
        <f>MID(excPisCofins[[#This Row],[CodBarras2]],2,50)</f>
        <v/>
      </c>
    </row>
    <row r="11755" spans="9:9" x14ac:dyDescent="0.25">
      <c r="I11755" s="227" t="str">
        <f>MID(excPisCofins[[#This Row],[CodBarras2]],2,50)</f>
        <v/>
      </c>
    </row>
    <row r="11756" spans="9:9" x14ac:dyDescent="0.25">
      <c r="I11756" s="227" t="str">
        <f>MID(excPisCofins[[#This Row],[CodBarras2]],2,50)</f>
        <v/>
      </c>
    </row>
    <row r="11757" spans="9:9" x14ac:dyDescent="0.25">
      <c r="I11757" s="227" t="str">
        <f>MID(excPisCofins[[#This Row],[CodBarras2]],2,50)</f>
        <v/>
      </c>
    </row>
    <row r="11758" spans="9:9" x14ac:dyDescent="0.25">
      <c r="I11758" s="227" t="str">
        <f>MID(excPisCofins[[#This Row],[CodBarras2]],2,50)</f>
        <v/>
      </c>
    </row>
    <row r="11759" spans="9:9" x14ac:dyDescent="0.25">
      <c r="I11759" s="227" t="str">
        <f>MID(excPisCofins[[#This Row],[CodBarras2]],2,50)</f>
        <v/>
      </c>
    </row>
    <row r="11760" spans="9:9" x14ac:dyDescent="0.25">
      <c r="I11760" s="227" t="str">
        <f>MID(excPisCofins[[#This Row],[CodBarras2]],2,50)</f>
        <v/>
      </c>
    </row>
    <row r="11761" spans="9:9" x14ac:dyDescent="0.25">
      <c r="I11761" s="227" t="str">
        <f>MID(excPisCofins[[#This Row],[CodBarras2]],2,50)</f>
        <v/>
      </c>
    </row>
    <row r="11762" spans="9:9" x14ac:dyDescent="0.25">
      <c r="I11762" s="227" t="str">
        <f>MID(excPisCofins[[#This Row],[CodBarras2]],2,50)</f>
        <v/>
      </c>
    </row>
    <row r="11763" spans="9:9" x14ac:dyDescent="0.25">
      <c r="I11763" s="227" t="str">
        <f>MID(excPisCofins[[#This Row],[CodBarras2]],2,50)</f>
        <v/>
      </c>
    </row>
    <row r="11764" spans="9:9" x14ac:dyDescent="0.25">
      <c r="I11764" s="227" t="str">
        <f>MID(excPisCofins[[#This Row],[CodBarras2]],2,50)</f>
        <v/>
      </c>
    </row>
    <row r="11765" spans="9:9" x14ac:dyDescent="0.25">
      <c r="I11765" s="227" t="str">
        <f>MID(excPisCofins[[#This Row],[CodBarras2]],2,50)</f>
        <v/>
      </c>
    </row>
    <row r="11766" spans="9:9" x14ac:dyDescent="0.25">
      <c r="I11766" s="227" t="str">
        <f>MID(excPisCofins[[#This Row],[CodBarras2]],2,50)</f>
        <v/>
      </c>
    </row>
    <row r="11767" spans="9:9" x14ac:dyDescent="0.25">
      <c r="I11767" s="227" t="str">
        <f>MID(excPisCofins[[#This Row],[CodBarras2]],2,50)</f>
        <v/>
      </c>
    </row>
    <row r="11768" spans="9:9" x14ac:dyDescent="0.25">
      <c r="I11768" s="227" t="str">
        <f>MID(excPisCofins[[#This Row],[CodBarras2]],2,50)</f>
        <v/>
      </c>
    </row>
    <row r="11769" spans="9:9" x14ac:dyDescent="0.25">
      <c r="I11769" s="227" t="str">
        <f>MID(excPisCofins[[#This Row],[CodBarras2]],2,50)</f>
        <v/>
      </c>
    </row>
    <row r="11770" spans="9:9" x14ac:dyDescent="0.25">
      <c r="I11770" s="227" t="str">
        <f>MID(excPisCofins[[#This Row],[CodBarras2]],2,50)</f>
        <v/>
      </c>
    </row>
    <row r="11771" spans="9:9" x14ac:dyDescent="0.25">
      <c r="I11771" s="227" t="str">
        <f>MID(excPisCofins[[#This Row],[CodBarras2]],2,50)</f>
        <v/>
      </c>
    </row>
    <row r="11772" spans="9:9" x14ac:dyDescent="0.25">
      <c r="I11772" s="227" t="str">
        <f>MID(excPisCofins[[#This Row],[CodBarras2]],2,50)</f>
        <v/>
      </c>
    </row>
    <row r="11773" spans="9:9" x14ac:dyDescent="0.25">
      <c r="I11773" s="227" t="str">
        <f>MID(excPisCofins[[#This Row],[CodBarras2]],2,50)</f>
        <v/>
      </c>
    </row>
    <row r="11774" spans="9:9" x14ac:dyDescent="0.25">
      <c r="I11774" s="227" t="str">
        <f>MID(excPisCofins[[#This Row],[CodBarras2]],2,50)</f>
        <v/>
      </c>
    </row>
    <row r="11775" spans="9:9" x14ac:dyDescent="0.25">
      <c r="I11775" s="227" t="str">
        <f>MID(excPisCofins[[#This Row],[CodBarras2]],2,50)</f>
        <v/>
      </c>
    </row>
    <row r="11776" spans="9:9" x14ac:dyDescent="0.25">
      <c r="I11776" s="227" t="str">
        <f>MID(excPisCofins[[#This Row],[CodBarras2]],2,50)</f>
        <v/>
      </c>
    </row>
    <row r="11777" spans="9:9" x14ac:dyDescent="0.25">
      <c r="I11777" s="227" t="str">
        <f>MID(excPisCofins[[#This Row],[CodBarras2]],2,50)</f>
        <v/>
      </c>
    </row>
    <row r="11778" spans="9:9" x14ac:dyDescent="0.25">
      <c r="I11778" s="227" t="str">
        <f>MID(excPisCofins[[#This Row],[CodBarras2]],2,50)</f>
        <v/>
      </c>
    </row>
    <row r="11779" spans="9:9" x14ac:dyDescent="0.25">
      <c r="I11779" s="227" t="str">
        <f>MID(excPisCofins[[#This Row],[CodBarras2]],2,50)</f>
        <v/>
      </c>
    </row>
    <row r="11780" spans="9:9" x14ac:dyDescent="0.25">
      <c r="I11780" s="227" t="str">
        <f>MID(excPisCofins[[#This Row],[CodBarras2]],2,50)</f>
        <v/>
      </c>
    </row>
    <row r="11781" spans="9:9" x14ac:dyDescent="0.25">
      <c r="I11781" s="227" t="str">
        <f>MID(excPisCofins[[#This Row],[CodBarras2]],2,50)</f>
        <v/>
      </c>
    </row>
    <row r="11782" spans="9:9" x14ac:dyDescent="0.25">
      <c r="I11782" s="227" t="str">
        <f>MID(excPisCofins[[#This Row],[CodBarras2]],2,50)</f>
        <v/>
      </c>
    </row>
    <row r="11783" spans="9:9" x14ac:dyDescent="0.25">
      <c r="I11783" s="227" t="str">
        <f>MID(excPisCofins[[#This Row],[CodBarras2]],2,50)</f>
        <v/>
      </c>
    </row>
    <row r="11784" spans="9:9" x14ac:dyDescent="0.25">
      <c r="I11784" s="227" t="str">
        <f>MID(excPisCofins[[#This Row],[CodBarras2]],2,50)</f>
        <v/>
      </c>
    </row>
    <row r="11785" spans="9:9" x14ac:dyDescent="0.25">
      <c r="I11785" s="227" t="str">
        <f>MID(excPisCofins[[#This Row],[CodBarras2]],2,50)</f>
        <v/>
      </c>
    </row>
    <row r="11786" spans="9:9" x14ac:dyDescent="0.25">
      <c r="I11786" s="227" t="str">
        <f>MID(excPisCofins[[#This Row],[CodBarras2]],2,50)</f>
        <v/>
      </c>
    </row>
    <row r="11787" spans="9:9" x14ac:dyDescent="0.25">
      <c r="I11787" s="227" t="str">
        <f>MID(excPisCofins[[#This Row],[CodBarras2]],2,50)</f>
        <v/>
      </c>
    </row>
    <row r="11788" spans="9:9" x14ac:dyDescent="0.25">
      <c r="I11788" s="227" t="str">
        <f>MID(excPisCofins[[#This Row],[CodBarras2]],2,50)</f>
        <v/>
      </c>
    </row>
    <row r="11789" spans="9:9" x14ac:dyDescent="0.25">
      <c r="I11789" s="227" t="str">
        <f>MID(excPisCofins[[#This Row],[CodBarras2]],2,50)</f>
        <v/>
      </c>
    </row>
    <row r="11790" spans="9:9" x14ac:dyDescent="0.25">
      <c r="I11790" s="227" t="str">
        <f>MID(excPisCofins[[#This Row],[CodBarras2]],2,50)</f>
        <v/>
      </c>
    </row>
    <row r="11791" spans="9:9" x14ac:dyDescent="0.25">
      <c r="I11791" s="227" t="str">
        <f>MID(excPisCofins[[#This Row],[CodBarras2]],2,50)</f>
        <v/>
      </c>
    </row>
    <row r="11792" spans="9:9" x14ac:dyDescent="0.25">
      <c r="I11792" s="227" t="str">
        <f>MID(excPisCofins[[#This Row],[CodBarras2]],2,50)</f>
        <v/>
      </c>
    </row>
    <row r="11793" spans="9:9" x14ac:dyDescent="0.25">
      <c r="I11793" s="227" t="str">
        <f>MID(excPisCofins[[#This Row],[CodBarras2]],2,50)</f>
        <v/>
      </c>
    </row>
    <row r="11794" spans="9:9" x14ac:dyDescent="0.25">
      <c r="I11794" s="227" t="str">
        <f>MID(excPisCofins[[#This Row],[CodBarras2]],2,50)</f>
        <v/>
      </c>
    </row>
    <row r="11795" spans="9:9" x14ac:dyDescent="0.25">
      <c r="I11795" s="227" t="str">
        <f>MID(excPisCofins[[#This Row],[CodBarras2]],2,50)</f>
        <v/>
      </c>
    </row>
    <row r="11796" spans="9:9" x14ac:dyDescent="0.25">
      <c r="I11796" s="227" t="str">
        <f>MID(excPisCofins[[#This Row],[CodBarras2]],2,50)</f>
        <v/>
      </c>
    </row>
    <row r="11797" spans="9:9" x14ac:dyDescent="0.25">
      <c r="I11797" s="227" t="str">
        <f>MID(excPisCofins[[#This Row],[CodBarras2]],2,50)</f>
        <v/>
      </c>
    </row>
    <row r="11798" spans="9:9" x14ac:dyDescent="0.25">
      <c r="I11798" s="227" t="str">
        <f>MID(excPisCofins[[#This Row],[CodBarras2]],2,50)</f>
        <v/>
      </c>
    </row>
    <row r="11799" spans="9:9" x14ac:dyDescent="0.25">
      <c r="I11799" s="227" t="str">
        <f>MID(excPisCofins[[#This Row],[CodBarras2]],2,50)</f>
        <v/>
      </c>
    </row>
    <row r="11800" spans="9:9" x14ac:dyDescent="0.25">
      <c r="I11800" s="227" t="str">
        <f>MID(excPisCofins[[#This Row],[CodBarras2]],2,50)</f>
        <v/>
      </c>
    </row>
    <row r="11801" spans="9:9" x14ac:dyDescent="0.25">
      <c r="I11801" s="227" t="str">
        <f>MID(excPisCofins[[#This Row],[CodBarras2]],2,50)</f>
        <v/>
      </c>
    </row>
    <row r="11802" spans="9:9" x14ac:dyDescent="0.25">
      <c r="I11802" s="227" t="str">
        <f>MID(excPisCofins[[#This Row],[CodBarras2]],2,50)</f>
        <v/>
      </c>
    </row>
    <row r="11803" spans="9:9" x14ac:dyDescent="0.25">
      <c r="I11803" s="227" t="str">
        <f>MID(excPisCofins[[#This Row],[CodBarras2]],2,50)</f>
        <v/>
      </c>
    </row>
    <row r="11804" spans="9:9" x14ac:dyDescent="0.25">
      <c r="I11804" s="227" t="str">
        <f>MID(excPisCofins[[#This Row],[CodBarras2]],2,50)</f>
        <v/>
      </c>
    </row>
    <row r="11805" spans="9:9" x14ac:dyDescent="0.25">
      <c r="I11805" s="227" t="str">
        <f>MID(excPisCofins[[#This Row],[CodBarras2]],2,50)</f>
        <v/>
      </c>
    </row>
    <row r="11806" spans="9:9" x14ac:dyDescent="0.25">
      <c r="I11806" s="227" t="str">
        <f>MID(excPisCofins[[#This Row],[CodBarras2]],2,50)</f>
        <v/>
      </c>
    </row>
    <row r="11807" spans="9:9" x14ac:dyDescent="0.25">
      <c r="I11807" s="227" t="str">
        <f>MID(excPisCofins[[#This Row],[CodBarras2]],2,50)</f>
        <v/>
      </c>
    </row>
    <row r="11808" spans="9:9" x14ac:dyDescent="0.25">
      <c r="I11808" s="227" t="str">
        <f>MID(excPisCofins[[#This Row],[CodBarras2]],2,50)</f>
        <v/>
      </c>
    </row>
    <row r="11809" spans="9:9" x14ac:dyDescent="0.25">
      <c r="I11809" s="227" t="str">
        <f>MID(excPisCofins[[#This Row],[CodBarras2]],2,50)</f>
        <v/>
      </c>
    </row>
    <row r="11810" spans="9:9" x14ac:dyDescent="0.25">
      <c r="I11810" s="227" t="str">
        <f>MID(excPisCofins[[#This Row],[CodBarras2]],2,50)</f>
        <v/>
      </c>
    </row>
    <row r="11811" spans="9:9" x14ac:dyDescent="0.25">
      <c r="I11811" s="227" t="str">
        <f>MID(excPisCofins[[#This Row],[CodBarras2]],2,50)</f>
        <v/>
      </c>
    </row>
    <row r="11812" spans="9:9" x14ac:dyDescent="0.25">
      <c r="I11812" s="227" t="str">
        <f>MID(excPisCofins[[#This Row],[CodBarras2]],2,50)</f>
        <v/>
      </c>
    </row>
    <row r="11813" spans="9:9" x14ac:dyDescent="0.25">
      <c r="I11813" s="227" t="str">
        <f>MID(excPisCofins[[#This Row],[CodBarras2]],2,50)</f>
        <v/>
      </c>
    </row>
    <row r="11814" spans="9:9" x14ac:dyDescent="0.25">
      <c r="I11814" s="227" t="str">
        <f>MID(excPisCofins[[#This Row],[CodBarras2]],2,50)</f>
        <v/>
      </c>
    </row>
    <row r="11815" spans="9:9" x14ac:dyDescent="0.25">
      <c r="I11815" s="227" t="str">
        <f>MID(excPisCofins[[#This Row],[CodBarras2]],2,50)</f>
        <v/>
      </c>
    </row>
    <row r="11816" spans="9:9" x14ac:dyDescent="0.25">
      <c r="I11816" s="227" t="str">
        <f>MID(excPisCofins[[#This Row],[CodBarras2]],2,50)</f>
        <v/>
      </c>
    </row>
    <row r="11817" spans="9:9" x14ac:dyDescent="0.25">
      <c r="I11817" s="227" t="str">
        <f>MID(excPisCofins[[#This Row],[CodBarras2]],2,50)</f>
        <v/>
      </c>
    </row>
    <row r="11818" spans="9:9" x14ac:dyDescent="0.25">
      <c r="I11818" s="227" t="str">
        <f>MID(excPisCofins[[#This Row],[CodBarras2]],2,50)</f>
        <v/>
      </c>
    </row>
    <row r="11819" spans="9:9" x14ac:dyDescent="0.25">
      <c r="I11819" s="227" t="str">
        <f>MID(excPisCofins[[#This Row],[CodBarras2]],2,50)</f>
        <v/>
      </c>
    </row>
    <row r="11820" spans="9:9" x14ac:dyDescent="0.25">
      <c r="I11820" s="227" t="str">
        <f>MID(excPisCofins[[#This Row],[CodBarras2]],2,50)</f>
        <v/>
      </c>
    </row>
    <row r="11821" spans="9:9" x14ac:dyDescent="0.25">
      <c r="I11821" s="227" t="str">
        <f>MID(excPisCofins[[#This Row],[CodBarras2]],2,50)</f>
        <v/>
      </c>
    </row>
    <row r="11822" spans="9:9" x14ac:dyDescent="0.25">
      <c r="I11822" s="227" t="str">
        <f>MID(excPisCofins[[#This Row],[CodBarras2]],2,50)</f>
        <v/>
      </c>
    </row>
    <row r="11823" spans="9:9" x14ac:dyDescent="0.25">
      <c r="I11823" s="227" t="str">
        <f>MID(excPisCofins[[#This Row],[CodBarras2]],2,50)</f>
        <v/>
      </c>
    </row>
    <row r="11824" spans="9:9" x14ac:dyDescent="0.25">
      <c r="I11824" s="227" t="str">
        <f>MID(excPisCofins[[#This Row],[CodBarras2]],2,50)</f>
        <v/>
      </c>
    </row>
    <row r="11825" spans="9:9" x14ac:dyDescent="0.25">
      <c r="I11825" s="227" t="str">
        <f>MID(excPisCofins[[#This Row],[CodBarras2]],2,50)</f>
        <v/>
      </c>
    </row>
    <row r="11826" spans="9:9" x14ac:dyDescent="0.25">
      <c r="I11826" s="227" t="str">
        <f>MID(excPisCofins[[#This Row],[CodBarras2]],2,50)</f>
        <v/>
      </c>
    </row>
    <row r="11827" spans="9:9" x14ac:dyDescent="0.25">
      <c r="I11827" s="227" t="str">
        <f>MID(excPisCofins[[#This Row],[CodBarras2]],2,50)</f>
        <v/>
      </c>
    </row>
    <row r="11828" spans="9:9" x14ac:dyDescent="0.25">
      <c r="I11828" s="227" t="str">
        <f>MID(excPisCofins[[#This Row],[CodBarras2]],2,50)</f>
        <v/>
      </c>
    </row>
    <row r="11829" spans="9:9" x14ac:dyDescent="0.25">
      <c r="I11829" s="227" t="str">
        <f>MID(excPisCofins[[#This Row],[CodBarras2]],2,50)</f>
        <v/>
      </c>
    </row>
    <row r="11830" spans="9:9" x14ac:dyDescent="0.25">
      <c r="I11830" s="227" t="str">
        <f>MID(excPisCofins[[#This Row],[CodBarras2]],2,50)</f>
        <v/>
      </c>
    </row>
    <row r="11831" spans="9:9" x14ac:dyDescent="0.25">
      <c r="I11831" s="227" t="str">
        <f>MID(excPisCofins[[#This Row],[CodBarras2]],2,50)</f>
        <v/>
      </c>
    </row>
    <row r="11832" spans="9:9" x14ac:dyDescent="0.25">
      <c r="I11832" s="227" t="str">
        <f>MID(excPisCofins[[#This Row],[CodBarras2]],2,50)</f>
        <v/>
      </c>
    </row>
    <row r="11833" spans="9:9" x14ac:dyDescent="0.25">
      <c r="I11833" s="227" t="str">
        <f>MID(excPisCofins[[#This Row],[CodBarras2]],2,50)</f>
        <v/>
      </c>
    </row>
    <row r="11834" spans="9:9" x14ac:dyDescent="0.25">
      <c r="I11834" s="227" t="str">
        <f>MID(excPisCofins[[#This Row],[CodBarras2]],2,50)</f>
        <v/>
      </c>
    </row>
    <row r="11835" spans="9:9" x14ac:dyDescent="0.25">
      <c r="I11835" s="227" t="str">
        <f>MID(excPisCofins[[#This Row],[CodBarras2]],2,50)</f>
        <v/>
      </c>
    </row>
    <row r="11836" spans="9:9" x14ac:dyDescent="0.25">
      <c r="I11836" s="227" t="str">
        <f>MID(excPisCofins[[#This Row],[CodBarras2]],2,50)</f>
        <v/>
      </c>
    </row>
    <row r="11837" spans="9:9" x14ac:dyDescent="0.25">
      <c r="I11837" s="227" t="str">
        <f>MID(excPisCofins[[#This Row],[CodBarras2]],2,50)</f>
        <v/>
      </c>
    </row>
    <row r="11838" spans="9:9" x14ac:dyDescent="0.25">
      <c r="I11838" s="227" t="str">
        <f>MID(excPisCofins[[#This Row],[CodBarras2]],2,50)</f>
        <v/>
      </c>
    </row>
    <row r="11839" spans="9:9" x14ac:dyDescent="0.25">
      <c r="I11839" s="227" t="str">
        <f>MID(excPisCofins[[#This Row],[CodBarras2]],2,50)</f>
        <v/>
      </c>
    </row>
    <row r="11840" spans="9:9" x14ac:dyDescent="0.25">
      <c r="I11840" s="227" t="str">
        <f>MID(excPisCofins[[#This Row],[CodBarras2]],2,50)</f>
        <v/>
      </c>
    </row>
    <row r="11841" spans="9:9" x14ac:dyDescent="0.25">
      <c r="I11841" s="227" t="str">
        <f>MID(excPisCofins[[#This Row],[CodBarras2]],2,50)</f>
        <v/>
      </c>
    </row>
    <row r="11842" spans="9:9" x14ac:dyDescent="0.25">
      <c r="I11842" s="227" t="str">
        <f>MID(excPisCofins[[#This Row],[CodBarras2]],2,50)</f>
        <v/>
      </c>
    </row>
    <row r="11843" spans="9:9" x14ac:dyDescent="0.25">
      <c r="I11843" s="227" t="str">
        <f>MID(excPisCofins[[#This Row],[CodBarras2]],2,50)</f>
        <v/>
      </c>
    </row>
    <row r="11844" spans="9:9" x14ac:dyDescent="0.25">
      <c r="I11844" s="227" t="str">
        <f>MID(excPisCofins[[#This Row],[CodBarras2]],2,50)</f>
        <v/>
      </c>
    </row>
    <row r="11845" spans="9:9" x14ac:dyDescent="0.25">
      <c r="I11845" s="227" t="str">
        <f>MID(excPisCofins[[#This Row],[CodBarras2]],2,50)</f>
        <v/>
      </c>
    </row>
    <row r="11846" spans="9:9" x14ac:dyDescent="0.25">
      <c r="I11846" s="227" t="str">
        <f>MID(excPisCofins[[#This Row],[CodBarras2]],2,50)</f>
        <v/>
      </c>
    </row>
    <row r="11847" spans="9:9" x14ac:dyDescent="0.25">
      <c r="I11847" s="227" t="str">
        <f>MID(excPisCofins[[#This Row],[CodBarras2]],2,50)</f>
        <v/>
      </c>
    </row>
    <row r="11848" spans="9:9" x14ac:dyDescent="0.25">
      <c r="I11848" s="227" t="str">
        <f>MID(excPisCofins[[#This Row],[CodBarras2]],2,50)</f>
        <v/>
      </c>
    </row>
    <row r="11849" spans="9:9" x14ac:dyDescent="0.25">
      <c r="I11849" s="227" t="str">
        <f>MID(excPisCofins[[#This Row],[CodBarras2]],2,50)</f>
        <v/>
      </c>
    </row>
    <row r="11850" spans="9:9" x14ac:dyDescent="0.25">
      <c r="I11850" s="227" t="str">
        <f>MID(excPisCofins[[#This Row],[CodBarras2]],2,50)</f>
        <v/>
      </c>
    </row>
    <row r="11851" spans="9:9" x14ac:dyDescent="0.25">
      <c r="I11851" s="227" t="str">
        <f>MID(excPisCofins[[#This Row],[CodBarras2]],2,50)</f>
        <v/>
      </c>
    </row>
    <row r="11852" spans="9:9" x14ac:dyDescent="0.25">
      <c r="I11852" s="227" t="str">
        <f>MID(excPisCofins[[#This Row],[CodBarras2]],2,50)</f>
        <v/>
      </c>
    </row>
    <row r="11853" spans="9:9" x14ac:dyDescent="0.25">
      <c r="I11853" s="227" t="str">
        <f>MID(excPisCofins[[#This Row],[CodBarras2]],2,50)</f>
        <v/>
      </c>
    </row>
    <row r="11854" spans="9:9" x14ac:dyDescent="0.25">
      <c r="I11854" s="227" t="str">
        <f>MID(excPisCofins[[#This Row],[CodBarras2]],2,50)</f>
        <v/>
      </c>
    </row>
    <row r="11855" spans="9:9" x14ac:dyDescent="0.25">
      <c r="I11855" s="227" t="str">
        <f>MID(excPisCofins[[#This Row],[CodBarras2]],2,50)</f>
        <v/>
      </c>
    </row>
    <row r="11856" spans="9:9" x14ac:dyDescent="0.25">
      <c r="I11856" s="227" t="str">
        <f>MID(excPisCofins[[#This Row],[CodBarras2]],2,50)</f>
        <v/>
      </c>
    </row>
    <row r="11857" spans="9:9" x14ac:dyDescent="0.25">
      <c r="I11857" s="227" t="str">
        <f>MID(excPisCofins[[#This Row],[CodBarras2]],2,50)</f>
        <v/>
      </c>
    </row>
    <row r="11858" spans="9:9" x14ac:dyDescent="0.25">
      <c r="I11858" s="227" t="str">
        <f>MID(excPisCofins[[#This Row],[CodBarras2]],2,50)</f>
        <v/>
      </c>
    </row>
    <row r="11859" spans="9:9" x14ac:dyDescent="0.25">
      <c r="I11859" s="227" t="str">
        <f>MID(excPisCofins[[#This Row],[CodBarras2]],2,50)</f>
        <v/>
      </c>
    </row>
    <row r="11860" spans="9:9" x14ac:dyDescent="0.25">
      <c r="I11860" s="227" t="str">
        <f>MID(excPisCofins[[#This Row],[CodBarras2]],2,50)</f>
        <v/>
      </c>
    </row>
    <row r="11861" spans="9:9" x14ac:dyDescent="0.25">
      <c r="I11861" s="227" t="str">
        <f>MID(excPisCofins[[#This Row],[CodBarras2]],2,50)</f>
        <v/>
      </c>
    </row>
    <row r="11862" spans="9:9" x14ac:dyDescent="0.25">
      <c r="I11862" s="227" t="str">
        <f>MID(excPisCofins[[#This Row],[CodBarras2]],2,50)</f>
        <v/>
      </c>
    </row>
    <row r="11863" spans="9:9" x14ac:dyDescent="0.25">
      <c r="I11863" s="227" t="str">
        <f>MID(excPisCofins[[#This Row],[CodBarras2]],2,50)</f>
        <v/>
      </c>
    </row>
    <row r="11864" spans="9:9" x14ac:dyDescent="0.25">
      <c r="I11864" s="227" t="str">
        <f>MID(excPisCofins[[#This Row],[CodBarras2]],2,50)</f>
        <v/>
      </c>
    </row>
    <row r="11865" spans="9:9" x14ac:dyDescent="0.25">
      <c r="I11865" s="227" t="str">
        <f>MID(excPisCofins[[#This Row],[CodBarras2]],2,50)</f>
        <v/>
      </c>
    </row>
    <row r="11866" spans="9:9" x14ac:dyDescent="0.25">
      <c r="I11866" s="227" t="str">
        <f>MID(excPisCofins[[#This Row],[CodBarras2]],2,50)</f>
        <v/>
      </c>
    </row>
    <row r="11867" spans="9:9" x14ac:dyDescent="0.25">
      <c r="I11867" s="227" t="str">
        <f>MID(excPisCofins[[#This Row],[CodBarras2]],2,50)</f>
        <v/>
      </c>
    </row>
    <row r="11868" spans="9:9" x14ac:dyDescent="0.25">
      <c r="I11868" s="227" t="str">
        <f>MID(excPisCofins[[#This Row],[CodBarras2]],2,50)</f>
        <v/>
      </c>
    </row>
    <row r="11869" spans="9:9" x14ac:dyDescent="0.25">
      <c r="I11869" s="227" t="str">
        <f>MID(excPisCofins[[#This Row],[CodBarras2]],2,50)</f>
        <v/>
      </c>
    </row>
    <row r="11870" spans="9:9" x14ac:dyDescent="0.25">
      <c r="I11870" s="227" t="str">
        <f>MID(excPisCofins[[#This Row],[CodBarras2]],2,50)</f>
        <v/>
      </c>
    </row>
    <row r="11871" spans="9:9" x14ac:dyDescent="0.25">
      <c r="I11871" s="227" t="str">
        <f>MID(excPisCofins[[#This Row],[CodBarras2]],2,50)</f>
        <v/>
      </c>
    </row>
    <row r="11872" spans="9:9" x14ac:dyDescent="0.25">
      <c r="I11872" s="227" t="str">
        <f>MID(excPisCofins[[#This Row],[CodBarras2]],2,50)</f>
        <v/>
      </c>
    </row>
    <row r="11873" spans="9:9" x14ac:dyDescent="0.25">
      <c r="I11873" s="227" t="str">
        <f>MID(excPisCofins[[#This Row],[CodBarras2]],2,50)</f>
        <v/>
      </c>
    </row>
    <row r="11874" spans="9:9" x14ac:dyDescent="0.25">
      <c r="I11874" s="227" t="str">
        <f>MID(excPisCofins[[#This Row],[CodBarras2]],2,50)</f>
        <v/>
      </c>
    </row>
    <row r="11875" spans="9:9" x14ac:dyDescent="0.25">
      <c r="I11875" s="227" t="str">
        <f>MID(excPisCofins[[#This Row],[CodBarras2]],2,50)</f>
        <v/>
      </c>
    </row>
    <row r="11876" spans="9:9" x14ac:dyDescent="0.25">
      <c r="I11876" s="227" t="str">
        <f>MID(excPisCofins[[#This Row],[CodBarras2]],2,50)</f>
        <v/>
      </c>
    </row>
    <row r="11877" spans="9:9" x14ac:dyDescent="0.25">
      <c r="I11877" s="227" t="str">
        <f>MID(excPisCofins[[#This Row],[CodBarras2]],2,50)</f>
        <v/>
      </c>
    </row>
    <row r="11878" spans="9:9" x14ac:dyDescent="0.25">
      <c r="I11878" s="227" t="str">
        <f>MID(excPisCofins[[#This Row],[CodBarras2]],2,50)</f>
        <v/>
      </c>
    </row>
    <row r="11879" spans="9:9" x14ac:dyDescent="0.25">
      <c r="I11879" s="227" t="str">
        <f>MID(excPisCofins[[#This Row],[CodBarras2]],2,50)</f>
        <v/>
      </c>
    </row>
    <row r="11880" spans="9:9" x14ac:dyDescent="0.25">
      <c r="I11880" s="227" t="str">
        <f>MID(excPisCofins[[#This Row],[CodBarras2]],2,50)</f>
        <v/>
      </c>
    </row>
    <row r="11881" spans="9:9" x14ac:dyDescent="0.25">
      <c r="I11881" s="227" t="str">
        <f>MID(excPisCofins[[#This Row],[CodBarras2]],2,50)</f>
        <v/>
      </c>
    </row>
    <row r="11882" spans="9:9" x14ac:dyDescent="0.25">
      <c r="I11882" s="227" t="str">
        <f>MID(excPisCofins[[#This Row],[CodBarras2]],2,50)</f>
        <v/>
      </c>
    </row>
    <row r="11883" spans="9:9" x14ac:dyDescent="0.25">
      <c r="I11883" s="227" t="str">
        <f>MID(excPisCofins[[#This Row],[CodBarras2]],2,50)</f>
        <v/>
      </c>
    </row>
    <row r="11884" spans="9:9" x14ac:dyDescent="0.25">
      <c r="I11884" s="227" t="str">
        <f>MID(excPisCofins[[#This Row],[CodBarras2]],2,50)</f>
        <v/>
      </c>
    </row>
    <row r="11885" spans="9:9" x14ac:dyDescent="0.25">
      <c r="I11885" s="227" t="str">
        <f>MID(excPisCofins[[#This Row],[CodBarras2]],2,50)</f>
        <v/>
      </c>
    </row>
    <row r="11886" spans="9:9" x14ac:dyDescent="0.25">
      <c r="I11886" s="227" t="str">
        <f>MID(excPisCofins[[#This Row],[CodBarras2]],2,50)</f>
        <v/>
      </c>
    </row>
    <row r="11887" spans="9:9" x14ac:dyDescent="0.25">
      <c r="I11887" s="227" t="str">
        <f>MID(excPisCofins[[#This Row],[CodBarras2]],2,50)</f>
        <v/>
      </c>
    </row>
    <row r="11888" spans="9:9" x14ac:dyDescent="0.25">
      <c r="I11888" s="227" t="str">
        <f>MID(excPisCofins[[#This Row],[CodBarras2]],2,50)</f>
        <v/>
      </c>
    </row>
    <row r="11889" spans="9:9" x14ac:dyDescent="0.25">
      <c r="I11889" s="227" t="str">
        <f>MID(excPisCofins[[#This Row],[CodBarras2]],2,50)</f>
        <v/>
      </c>
    </row>
    <row r="11890" spans="9:9" x14ac:dyDescent="0.25">
      <c r="I11890" s="227" t="str">
        <f>MID(excPisCofins[[#This Row],[CodBarras2]],2,50)</f>
        <v/>
      </c>
    </row>
    <row r="11891" spans="9:9" x14ac:dyDescent="0.25">
      <c r="I11891" s="227" t="str">
        <f>MID(excPisCofins[[#This Row],[CodBarras2]],2,50)</f>
        <v/>
      </c>
    </row>
    <row r="11892" spans="9:9" x14ac:dyDescent="0.25">
      <c r="I11892" s="227" t="str">
        <f>MID(excPisCofins[[#This Row],[CodBarras2]],2,50)</f>
        <v/>
      </c>
    </row>
    <row r="11893" spans="9:9" x14ac:dyDescent="0.25">
      <c r="I11893" s="227" t="str">
        <f>MID(excPisCofins[[#This Row],[CodBarras2]],2,50)</f>
        <v/>
      </c>
    </row>
    <row r="11894" spans="9:9" x14ac:dyDescent="0.25">
      <c r="I11894" s="227" t="str">
        <f>MID(excPisCofins[[#This Row],[CodBarras2]],2,50)</f>
        <v/>
      </c>
    </row>
    <row r="11895" spans="9:9" x14ac:dyDescent="0.25">
      <c r="I11895" s="227" t="str">
        <f>MID(excPisCofins[[#This Row],[CodBarras2]],2,50)</f>
        <v/>
      </c>
    </row>
    <row r="11896" spans="9:9" x14ac:dyDescent="0.25">
      <c r="I11896" s="227" t="str">
        <f>MID(excPisCofins[[#This Row],[CodBarras2]],2,50)</f>
        <v/>
      </c>
    </row>
    <row r="11897" spans="9:9" x14ac:dyDescent="0.25">
      <c r="I11897" s="227" t="str">
        <f>MID(excPisCofins[[#This Row],[CodBarras2]],2,50)</f>
        <v/>
      </c>
    </row>
    <row r="11898" spans="9:9" x14ac:dyDescent="0.25">
      <c r="I11898" s="227" t="str">
        <f>MID(excPisCofins[[#This Row],[CodBarras2]],2,50)</f>
        <v/>
      </c>
    </row>
    <row r="11899" spans="9:9" x14ac:dyDescent="0.25">
      <c r="I11899" s="227" t="str">
        <f>MID(excPisCofins[[#This Row],[CodBarras2]],2,50)</f>
        <v/>
      </c>
    </row>
    <row r="11900" spans="9:9" x14ac:dyDescent="0.25">
      <c r="I11900" s="227" t="str">
        <f>MID(excPisCofins[[#This Row],[CodBarras2]],2,50)</f>
        <v/>
      </c>
    </row>
    <row r="11901" spans="9:9" x14ac:dyDescent="0.25">
      <c r="I11901" s="227" t="str">
        <f>MID(excPisCofins[[#This Row],[CodBarras2]],2,50)</f>
        <v/>
      </c>
    </row>
    <row r="11902" spans="9:9" x14ac:dyDescent="0.25">
      <c r="I11902" s="227" t="str">
        <f>MID(excPisCofins[[#This Row],[CodBarras2]],2,50)</f>
        <v/>
      </c>
    </row>
    <row r="11903" spans="9:9" x14ac:dyDescent="0.25">
      <c r="I11903" s="227" t="str">
        <f>MID(excPisCofins[[#This Row],[CodBarras2]],2,50)</f>
        <v/>
      </c>
    </row>
    <row r="11904" spans="9:9" x14ac:dyDescent="0.25">
      <c r="I11904" s="227" t="str">
        <f>MID(excPisCofins[[#This Row],[CodBarras2]],2,50)</f>
        <v/>
      </c>
    </row>
    <row r="11905" spans="9:9" x14ac:dyDescent="0.25">
      <c r="I11905" s="227" t="str">
        <f>MID(excPisCofins[[#This Row],[CodBarras2]],2,50)</f>
        <v/>
      </c>
    </row>
    <row r="11906" spans="9:9" x14ac:dyDescent="0.25">
      <c r="I11906" s="227" t="str">
        <f>MID(excPisCofins[[#This Row],[CodBarras2]],2,50)</f>
        <v/>
      </c>
    </row>
    <row r="11907" spans="9:9" x14ac:dyDescent="0.25">
      <c r="I11907" s="227" t="str">
        <f>MID(excPisCofins[[#This Row],[CodBarras2]],2,50)</f>
        <v/>
      </c>
    </row>
    <row r="11908" spans="9:9" x14ac:dyDescent="0.25">
      <c r="I11908" s="227" t="str">
        <f>MID(excPisCofins[[#This Row],[CodBarras2]],2,50)</f>
        <v/>
      </c>
    </row>
    <row r="11909" spans="9:9" x14ac:dyDescent="0.25">
      <c r="I11909" s="227" t="str">
        <f>MID(excPisCofins[[#This Row],[CodBarras2]],2,50)</f>
        <v/>
      </c>
    </row>
    <row r="11910" spans="9:9" x14ac:dyDescent="0.25">
      <c r="I11910" s="227" t="str">
        <f>MID(excPisCofins[[#This Row],[CodBarras2]],2,50)</f>
        <v/>
      </c>
    </row>
    <row r="11911" spans="9:9" x14ac:dyDescent="0.25">
      <c r="I11911" s="227" t="str">
        <f>MID(excPisCofins[[#This Row],[CodBarras2]],2,50)</f>
        <v/>
      </c>
    </row>
    <row r="11912" spans="9:9" x14ac:dyDescent="0.25">
      <c r="I11912" s="227" t="str">
        <f>MID(excPisCofins[[#This Row],[CodBarras2]],2,50)</f>
        <v/>
      </c>
    </row>
    <row r="11913" spans="9:9" x14ac:dyDescent="0.25">
      <c r="I11913" s="227" t="str">
        <f>MID(excPisCofins[[#This Row],[CodBarras2]],2,50)</f>
        <v/>
      </c>
    </row>
    <row r="11914" spans="9:9" x14ac:dyDescent="0.25">
      <c r="I11914" s="227" t="str">
        <f>MID(excPisCofins[[#This Row],[CodBarras2]],2,50)</f>
        <v/>
      </c>
    </row>
    <row r="11915" spans="9:9" x14ac:dyDescent="0.25">
      <c r="I11915" s="227" t="str">
        <f>MID(excPisCofins[[#This Row],[CodBarras2]],2,50)</f>
        <v/>
      </c>
    </row>
    <row r="11916" spans="9:9" x14ac:dyDescent="0.25">
      <c r="I11916" s="227" t="str">
        <f>MID(excPisCofins[[#This Row],[CodBarras2]],2,50)</f>
        <v/>
      </c>
    </row>
    <row r="11917" spans="9:9" x14ac:dyDescent="0.25">
      <c r="I11917" s="227" t="str">
        <f>MID(excPisCofins[[#This Row],[CodBarras2]],2,50)</f>
        <v/>
      </c>
    </row>
    <row r="11918" spans="9:9" x14ac:dyDescent="0.25">
      <c r="I11918" s="227" t="str">
        <f>MID(excPisCofins[[#This Row],[CodBarras2]],2,50)</f>
        <v/>
      </c>
    </row>
    <row r="11919" spans="9:9" x14ac:dyDescent="0.25">
      <c r="I11919" s="227" t="str">
        <f>MID(excPisCofins[[#This Row],[CodBarras2]],2,50)</f>
        <v/>
      </c>
    </row>
    <row r="11920" spans="9:9" x14ac:dyDescent="0.25">
      <c r="I11920" s="227" t="str">
        <f>MID(excPisCofins[[#This Row],[CodBarras2]],2,50)</f>
        <v/>
      </c>
    </row>
    <row r="11921" spans="9:9" x14ac:dyDescent="0.25">
      <c r="I11921" s="227" t="str">
        <f>MID(excPisCofins[[#This Row],[CodBarras2]],2,50)</f>
        <v/>
      </c>
    </row>
    <row r="11922" spans="9:9" x14ac:dyDescent="0.25">
      <c r="I11922" s="227" t="str">
        <f>MID(excPisCofins[[#This Row],[CodBarras2]],2,50)</f>
        <v/>
      </c>
    </row>
    <row r="11923" spans="9:9" x14ac:dyDescent="0.25">
      <c r="I11923" s="227" t="str">
        <f>MID(excPisCofins[[#This Row],[CodBarras2]],2,50)</f>
        <v/>
      </c>
    </row>
    <row r="11924" spans="9:9" x14ac:dyDescent="0.25">
      <c r="I11924" s="227" t="str">
        <f>MID(excPisCofins[[#This Row],[CodBarras2]],2,50)</f>
        <v/>
      </c>
    </row>
    <row r="11925" spans="9:9" x14ac:dyDescent="0.25">
      <c r="I11925" s="227" t="str">
        <f>MID(excPisCofins[[#This Row],[CodBarras2]],2,50)</f>
        <v/>
      </c>
    </row>
    <row r="11926" spans="9:9" x14ac:dyDescent="0.25">
      <c r="I11926" s="227" t="str">
        <f>MID(excPisCofins[[#This Row],[CodBarras2]],2,50)</f>
        <v/>
      </c>
    </row>
    <row r="11927" spans="9:9" x14ac:dyDescent="0.25">
      <c r="I11927" s="227" t="str">
        <f>MID(excPisCofins[[#This Row],[CodBarras2]],2,50)</f>
        <v/>
      </c>
    </row>
    <row r="11928" spans="9:9" x14ac:dyDescent="0.25">
      <c r="I11928" s="227" t="str">
        <f>MID(excPisCofins[[#This Row],[CodBarras2]],2,50)</f>
        <v/>
      </c>
    </row>
    <row r="11929" spans="9:9" x14ac:dyDescent="0.25">
      <c r="I11929" s="227" t="str">
        <f>MID(excPisCofins[[#This Row],[CodBarras2]],2,50)</f>
        <v/>
      </c>
    </row>
    <row r="11930" spans="9:9" x14ac:dyDescent="0.25">
      <c r="I11930" s="227" t="str">
        <f>MID(excPisCofins[[#This Row],[CodBarras2]],2,50)</f>
        <v/>
      </c>
    </row>
    <row r="11931" spans="9:9" x14ac:dyDescent="0.25">
      <c r="I11931" s="227" t="str">
        <f>MID(excPisCofins[[#This Row],[CodBarras2]],2,50)</f>
        <v/>
      </c>
    </row>
    <row r="11932" spans="9:9" x14ac:dyDescent="0.25">
      <c r="I11932" s="227" t="str">
        <f>MID(excPisCofins[[#This Row],[CodBarras2]],2,50)</f>
        <v/>
      </c>
    </row>
    <row r="11933" spans="9:9" x14ac:dyDescent="0.25">
      <c r="I11933" s="227" t="str">
        <f>MID(excPisCofins[[#This Row],[CodBarras2]],2,50)</f>
        <v/>
      </c>
    </row>
    <row r="11934" spans="9:9" x14ac:dyDescent="0.25">
      <c r="I11934" s="227" t="str">
        <f>MID(excPisCofins[[#This Row],[CodBarras2]],2,50)</f>
        <v/>
      </c>
    </row>
    <row r="11935" spans="9:9" x14ac:dyDescent="0.25">
      <c r="I11935" s="227" t="str">
        <f>MID(excPisCofins[[#This Row],[CodBarras2]],2,50)</f>
        <v/>
      </c>
    </row>
    <row r="11936" spans="9:9" x14ac:dyDescent="0.25">
      <c r="I11936" s="227" t="str">
        <f>MID(excPisCofins[[#This Row],[CodBarras2]],2,50)</f>
        <v/>
      </c>
    </row>
    <row r="11937" spans="9:9" x14ac:dyDescent="0.25">
      <c r="I11937" s="227" t="str">
        <f>MID(excPisCofins[[#This Row],[CodBarras2]],2,50)</f>
        <v/>
      </c>
    </row>
    <row r="11938" spans="9:9" x14ac:dyDescent="0.25">
      <c r="I11938" s="227" t="str">
        <f>MID(excPisCofins[[#This Row],[CodBarras2]],2,50)</f>
        <v/>
      </c>
    </row>
    <row r="11939" spans="9:9" x14ac:dyDescent="0.25">
      <c r="I11939" s="227" t="str">
        <f>MID(excPisCofins[[#This Row],[CodBarras2]],2,50)</f>
        <v/>
      </c>
    </row>
    <row r="11940" spans="9:9" x14ac:dyDescent="0.25">
      <c r="I11940" s="227" t="str">
        <f>MID(excPisCofins[[#This Row],[CodBarras2]],2,50)</f>
        <v/>
      </c>
    </row>
    <row r="11941" spans="9:9" x14ac:dyDescent="0.25">
      <c r="I11941" s="227" t="str">
        <f>MID(excPisCofins[[#This Row],[CodBarras2]],2,50)</f>
        <v/>
      </c>
    </row>
    <row r="11942" spans="9:9" x14ac:dyDescent="0.25">
      <c r="I11942" s="227" t="str">
        <f>MID(excPisCofins[[#This Row],[CodBarras2]],2,50)</f>
        <v/>
      </c>
    </row>
    <row r="11943" spans="9:9" x14ac:dyDescent="0.25">
      <c r="I11943" s="227" t="str">
        <f>MID(excPisCofins[[#This Row],[CodBarras2]],2,50)</f>
        <v/>
      </c>
    </row>
    <row r="11944" spans="9:9" x14ac:dyDescent="0.25">
      <c r="I11944" s="227" t="str">
        <f>MID(excPisCofins[[#This Row],[CodBarras2]],2,50)</f>
        <v/>
      </c>
    </row>
    <row r="11945" spans="9:9" x14ac:dyDescent="0.25">
      <c r="I11945" s="227" t="str">
        <f>MID(excPisCofins[[#This Row],[CodBarras2]],2,50)</f>
        <v/>
      </c>
    </row>
    <row r="11946" spans="9:9" x14ac:dyDescent="0.25">
      <c r="I11946" s="227" t="str">
        <f>MID(excPisCofins[[#This Row],[CodBarras2]],2,50)</f>
        <v/>
      </c>
    </row>
    <row r="11947" spans="9:9" x14ac:dyDescent="0.25">
      <c r="I11947" s="227" t="str">
        <f>MID(excPisCofins[[#This Row],[CodBarras2]],2,50)</f>
        <v/>
      </c>
    </row>
    <row r="11948" spans="9:9" x14ac:dyDescent="0.25">
      <c r="I11948" s="227" t="str">
        <f>MID(excPisCofins[[#This Row],[CodBarras2]],2,50)</f>
        <v/>
      </c>
    </row>
    <row r="11949" spans="9:9" x14ac:dyDescent="0.25">
      <c r="I11949" s="227" t="str">
        <f>MID(excPisCofins[[#This Row],[CodBarras2]],2,50)</f>
        <v/>
      </c>
    </row>
    <row r="11950" spans="9:9" x14ac:dyDescent="0.25">
      <c r="I11950" s="227" t="str">
        <f>MID(excPisCofins[[#This Row],[CodBarras2]],2,50)</f>
        <v/>
      </c>
    </row>
    <row r="11951" spans="9:9" x14ac:dyDescent="0.25">
      <c r="I11951" s="227" t="str">
        <f>MID(excPisCofins[[#This Row],[CodBarras2]],2,50)</f>
        <v/>
      </c>
    </row>
    <row r="11952" spans="9:9" x14ac:dyDescent="0.25">
      <c r="I11952" s="227" t="str">
        <f>MID(excPisCofins[[#This Row],[CodBarras2]],2,50)</f>
        <v/>
      </c>
    </row>
    <row r="11953" spans="9:9" x14ac:dyDescent="0.25">
      <c r="I11953" s="227" t="str">
        <f>MID(excPisCofins[[#This Row],[CodBarras2]],2,50)</f>
        <v/>
      </c>
    </row>
    <row r="11954" spans="9:9" x14ac:dyDescent="0.25">
      <c r="I11954" s="227" t="str">
        <f>MID(excPisCofins[[#This Row],[CodBarras2]],2,50)</f>
        <v/>
      </c>
    </row>
    <row r="11955" spans="9:9" x14ac:dyDescent="0.25">
      <c r="I11955" s="227" t="str">
        <f>MID(excPisCofins[[#This Row],[CodBarras2]],2,50)</f>
        <v/>
      </c>
    </row>
    <row r="11956" spans="9:9" x14ac:dyDescent="0.25">
      <c r="I11956" s="227" t="str">
        <f>MID(excPisCofins[[#This Row],[CodBarras2]],2,50)</f>
        <v/>
      </c>
    </row>
    <row r="11957" spans="9:9" x14ac:dyDescent="0.25">
      <c r="I11957" s="227" t="str">
        <f>MID(excPisCofins[[#This Row],[CodBarras2]],2,50)</f>
        <v/>
      </c>
    </row>
    <row r="11958" spans="9:9" x14ac:dyDescent="0.25">
      <c r="I11958" s="227" t="str">
        <f>MID(excPisCofins[[#This Row],[CodBarras2]],2,50)</f>
        <v/>
      </c>
    </row>
    <row r="11959" spans="9:9" x14ac:dyDescent="0.25">
      <c r="I11959" s="227" t="str">
        <f>MID(excPisCofins[[#This Row],[CodBarras2]],2,50)</f>
        <v/>
      </c>
    </row>
    <row r="11960" spans="9:9" x14ac:dyDescent="0.25">
      <c r="I11960" s="227" t="str">
        <f>MID(excPisCofins[[#This Row],[CodBarras2]],2,50)</f>
        <v/>
      </c>
    </row>
    <row r="11961" spans="9:9" x14ac:dyDescent="0.25">
      <c r="I11961" s="227" t="str">
        <f>MID(excPisCofins[[#This Row],[CodBarras2]],2,50)</f>
        <v/>
      </c>
    </row>
    <row r="11962" spans="9:9" x14ac:dyDescent="0.25">
      <c r="I11962" s="227" t="str">
        <f>MID(excPisCofins[[#This Row],[CodBarras2]],2,50)</f>
        <v/>
      </c>
    </row>
    <row r="11963" spans="9:9" x14ac:dyDescent="0.25">
      <c r="I11963" s="227" t="str">
        <f>MID(excPisCofins[[#This Row],[CodBarras2]],2,50)</f>
        <v/>
      </c>
    </row>
    <row r="11964" spans="9:9" x14ac:dyDescent="0.25">
      <c r="I11964" s="227" t="str">
        <f>MID(excPisCofins[[#This Row],[CodBarras2]],2,50)</f>
        <v/>
      </c>
    </row>
    <row r="11965" spans="9:9" x14ac:dyDescent="0.25">
      <c r="I11965" s="227" t="str">
        <f>MID(excPisCofins[[#This Row],[CodBarras2]],2,50)</f>
        <v/>
      </c>
    </row>
    <row r="11966" spans="9:9" x14ac:dyDescent="0.25">
      <c r="I11966" s="227" t="str">
        <f>MID(excPisCofins[[#This Row],[CodBarras2]],2,50)</f>
        <v/>
      </c>
    </row>
    <row r="11967" spans="9:9" x14ac:dyDescent="0.25">
      <c r="I11967" s="227" t="str">
        <f>MID(excPisCofins[[#This Row],[CodBarras2]],2,50)</f>
        <v/>
      </c>
    </row>
    <row r="11968" spans="9:9" x14ac:dyDescent="0.25">
      <c r="I11968" s="227" t="str">
        <f>MID(excPisCofins[[#This Row],[CodBarras2]],2,50)</f>
        <v/>
      </c>
    </row>
    <row r="11969" spans="9:9" x14ac:dyDescent="0.25">
      <c r="I11969" s="227" t="str">
        <f>MID(excPisCofins[[#This Row],[CodBarras2]],2,50)</f>
        <v/>
      </c>
    </row>
    <row r="11970" spans="9:9" x14ac:dyDescent="0.25">
      <c r="I11970" s="227" t="str">
        <f>MID(excPisCofins[[#This Row],[CodBarras2]],2,50)</f>
        <v/>
      </c>
    </row>
    <row r="11971" spans="9:9" x14ac:dyDescent="0.25">
      <c r="I11971" s="227" t="str">
        <f>MID(excPisCofins[[#This Row],[CodBarras2]],2,50)</f>
        <v/>
      </c>
    </row>
    <row r="11972" spans="9:9" x14ac:dyDescent="0.25">
      <c r="I11972" s="227" t="str">
        <f>MID(excPisCofins[[#This Row],[CodBarras2]],2,50)</f>
        <v/>
      </c>
    </row>
    <row r="11973" spans="9:9" x14ac:dyDescent="0.25">
      <c r="I11973" s="227" t="str">
        <f>MID(excPisCofins[[#This Row],[CodBarras2]],2,50)</f>
        <v/>
      </c>
    </row>
    <row r="11974" spans="9:9" x14ac:dyDescent="0.25">
      <c r="I11974" s="227" t="str">
        <f>MID(excPisCofins[[#This Row],[CodBarras2]],2,50)</f>
        <v/>
      </c>
    </row>
    <row r="11975" spans="9:9" x14ac:dyDescent="0.25">
      <c r="I11975" s="227" t="str">
        <f>MID(excPisCofins[[#This Row],[CodBarras2]],2,50)</f>
        <v/>
      </c>
    </row>
    <row r="11976" spans="9:9" x14ac:dyDescent="0.25">
      <c r="I11976" s="227" t="str">
        <f>MID(excPisCofins[[#This Row],[CodBarras2]],2,50)</f>
        <v/>
      </c>
    </row>
    <row r="11977" spans="9:9" x14ac:dyDescent="0.25">
      <c r="I11977" s="227" t="str">
        <f>MID(excPisCofins[[#This Row],[CodBarras2]],2,50)</f>
        <v/>
      </c>
    </row>
    <row r="11978" spans="9:9" x14ac:dyDescent="0.25">
      <c r="I11978" s="227" t="str">
        <f>MID(excPisCofins[[#This Row],[CodBarras2]],2,50)</f>
        <v/>
      </c>
    </row>
    <row r="11979" spans="9:9" x14ac:dyDescent="0.25">
      <c r="I11979" s="227" t="str">
        <f>MID(excPisCofins[[#This Row],[CodBarras2]],2,50)</f>
        <v/>
      </c>
    </row>
    <row r="11980" spans="9:9" x14ac:dyDescent="0.25">
      <c r="I11980" s="227" t="str">
        <f>MID(excPisCofins[[#This Row],[CodBarras2]],2,50)</f>
        <v/>
      </c>
    </row>
    <row r="11981" spans="9:9" x14ac:dyDescent="0.25">
      <c r="I11981" s="227" t="str">
        <f>MID(excPisCofins[[#This Row],[CodBarras2]],2,50)</f>
        <v/>
      </c>
    </row>
    <row r="11982" spans="9:9" x14ac:dyDescent="0.25">
      <c r="I11982" s="227" t="str">
        <f>MID(excPisCofins[[#This Row],[CodBarras2]],2,50)</f>
        <v/>
      </c>
    </row>
    <row r="11983" spans="9:9" x14ac:dyDescent="0.25">
      <c r="I11983" s="227" t="str">
        <f>MID(excPisCofins[[#This Row],[CodBarras2]],2,50)</f>
        <v/>
      </c>
    </row>
    <row r="11984" spans="9:9" x14ac:dyDescent="0.25">
      <c r="I11984" s="227" t="str">
        <f>MID(excPisCofins[[#This Row],[CodBarras2]],2,50)</f>
        <v/>
      </c>
    </row>
    <row r="11985" spans="9:9" x14ac:dyDescent="0.25">
      <c r="I11985" s="227" t="str">
        <f>MID(excPisCofins[[#This Row],[CodBarras2]],2,50)</f>
        <v/>
      </c>
    </row>
    <row r="11986" spans="9:9" x14ac:dyDescent="0.25">
      <c r="I11986" s="227" t="str">
        <f>MID(excPisCofins[[#This Row],[CodBarras2]],2,50)</f>
        <v/>
      </c>
    </row>
    <row r="11987" spans="9:9" x14ac:dyDescent="0.25">
      <c r="I11987" s="227" t="str">
        <f>MID(excPisCofins[[#This Row],[CodBarras2]],2,50)</f>
        <v/>
      </c>
    </row>
    <row r="11988" spans="9:9" x14ac:dyDescent="0.25">
      <c r="I11988" s="227" t="str">
        <f>MID(excPisCofins[[#This Row],[CodBarras2]],2,50)</f>
        <v/>
      </c>
    </row>
    <row r="11989" spans="9:9" x14ac:dyDescent="0.25">
      <c r="I11989" s="227" t="str">
        <f>MID(excPisCofins[[#This Row],[CodBarras2]],2,50)</f>
        <v/>
      </c>
    </row>
    <row r="11990" spans="9:9" x14ac:dyDescent="0.25">
      <c r="I11990" s="227" t="str">
        <f>MID(excPisCofins[[#This Row],[CodBarras2]],2,50)</f>
        <v/>
      </c>
    </row>
    <row r="11991" spans="9:9" x14ac:dyDescent="0.25">
      <c r="I11991" s="227" t="str">
        <f>MID(excPisCofins[[#This Row],[CodBarras2]],2,50)</f>
        <v/>
      </c>
    </row>
    <row r="11992" spans="9:9" x14ac:dyDescent="0.25">
      <c r="I11992" s="227" t="str">
        <f>MID(excPisCofins[[#This Row],[CodBarras2]],2,50)</f>
        <v/>
      </c>
    </row>
    <row r="11993" spans="9:9" x14ac:dyDescent="0.25">
      <c r="I11993" s="227" t="str">
        <f>MID(excPisCofins[[#This Row],[CodBarras2]],2,50)</f>
        <v/>
      </c>
    </row>
    <row r="11994" spans="9:9" x14ac:dyDescent="0.25">
      <c r="I11994" s="227" t="str">
        <f>MID(excPisCofins[[#This Row],[CodBarras2]],2,50)</f>
        <v/>
      </c>
    </row>
    <row r="11995" spans="9:9" x14ac:dyDescent="0.25">
      <c r="I11995" s="227" t="str">
        <f>MID(excPisCofins[[#This Row],[CodBarras2]],2,50)</f>
        <v/>
      </c>
    </row>
    <row r="11996" spans="9:9" x14ac:dyDescent="0.25">
      <c r="I11996" s="227" t="str">
        <f>MID(excPisCofins[[#This Row],[CodBarras2]],2,50)</f>
        <v/>
      </c>
    </row>
    <row r="11997" spans="9:9" x14ac:dyDescent="0.25">
      <c r="I11997" s="227" t="str">
        <f>MID(excPisCofins[[#This Row],[CodBarras2]],2,50)</f>
        <v/>
      </c>
    </row>
    <row r="11998" spans="9:9" x14ac:dyDescent="0.25">
      <c r="I11998" s="227" t="str">
        <f>MID(excPisCofins[[#This Row],[CodBarras2]],2,50)</f>
        <v/>
      </c>
    </row>
    <row r="11999" spans="9:9" x14ac:dyDescent="0.25">
      <c r="I11999" s="227" t="str">
        <f>MID(excPisCofins[[#This Row],[CodBarras2]],2,50)</f>
        <v/>
      </c>
    </row>
    <row r="12000" spans="9:9" x14ac:dyDescent="0.25">
      <c r="I12000" s="227" t="str">
        <f>MID(excPisCofins[[#This Row],[CodBarras2]],2,50)</f>
        <v/>
      </c>
    </row>
    <row r="12001" spans="9:9" x14ac:dyDescent="0.25">
      <c r="I12001" s="227" t="str">
        <f>MID(excPisCofins[[#This Row],[CodBarras2]],2,50)</f>
        <v/>
      </c>
    </row>
    <row r="12002" spans="9:9" x14ac:dyDescent="0.25">
      <c r="I12002" s="227" t="str">
        <f>MID(excPisCofins[[#This Row],[CodBarras2]],2,50)</f>
        <v/>
      </c>
    </row>
    <row r="12003" spans="9:9" x14ac:dyDescent="0.25">
      <c r="I12003" s="227" t="str">
        <f>MID(excPisCofins[[#This Row],[CodBarras2]],2,50)</f>
        <v/>
      </c>
    </row>
    <row r="12004" spans="9:9" x14ac:dyDescent="0.25">
      <c r="I12004" s="227" t="str">
        <f>MID(excPisCofins[[#This Row],[CodBarras2]],2,50)</f>
        <v/>
      </c>
    </row>
    <row r="12005" spans="9:9" x14ac:dyDescent="0.25">
      <c r="I12005" s="227" t="str">
        <f>MID(excPisCofins[[#This Row],[CodBarras2]],2,50)</f>
        <v/>
      </c>
    </row>
    <row r="12006" spans="9:9" x14ac:dyDescent="0.25">
      <c r="I12006" s="227" t="str">
        <f>MID(excPisCofins[[#This Row],[CodBarras2]],2,50)</f>
        <v/>
      </c>
    </row>
    <row r="12007" spans="9:9" x14ac:dyDescent="0.25">
      <c r="I12007" s="227" t="str">
        <f>MID(excPisCofins[[#This Row],[CodBarras2]],2,50)</f>
        <v/>
      </c>
    </row>
    <row r="12008" spans="9:9" x14ac:dyDescent="0.25">
      <c r="I12008" s="227" t="str">
        <f>MID(excPisCofins[[#This Row],[CodBarras2]],2,50)</f>
        <v/>
      </c>
    </row>
    <row r="12009" spans="9:9" x14ac:dyDescent="0.25">
      <c r="I12009" s="227" t="str">
        <f>MID(excPisCofins[[#This Row],[CodBarras2]],2,50)</f>
        <v/>
      </c>
    </row>
    <row r="12010" spans="9:9" x14ac:dyDescent="0.25">
      <c r="I12010" s="227" t="str">
        <f>MID(excPisCofins[[#This Row],[CodBarras2]],2,50)</f>
        <v/>
      </c>
    </row>
    <row r="12011" spans="9:9" x14ac:dyDescent="0.25">
      <c r="I12011" s="227" t="str">
        <f>MID(excPisCofins[[#This Row],[CodBarras2]],2,50)</f>
        <v/>
      </c>
    </row>
    <row r="12012" spans="9:9" x14ac:dyDescent="0.25">
      <c r="I12012" s="227" t="str">
        <f>MID(excPisCofins[[#This Row],[CodBarras2]],2,50)</f>
        <v/>
      </c>
    </row>
    <row r="12013" spans="9:9" x14ac:dyDescent="0.25">
      <c r="I12013" s="227" t="str">
        <f>MID(excPisCofins[[#This Row],[CodBarras2]],2,50)</f>
        <v/>
      </c>
    </row>
    <row r="12014" spans="9:9" x14ac:dyDescent="0.25">
      <c r="I12014" s="227" t="str">
        <f>MID(excPisCofins[[#This Row],[CodBarras2]],2,50)</f>
        <v/>
      </c>
    </row>
    <row r="12015" spans="9:9" x14ac:dyDescent="0.25">
      <c r="I12015" s="227" t="str">
        <f>MID(excPisCofins[[#This Row],[CodBarras2]],2,50)</f>
        <v/>
      </c>
    </row>
    <row r="12016" spans="9:9" x14ac:dyDescent="0.25">
      <c r="I12016" s="227" t="str">
        <f>MID(excPisCofins[[#This Row],[CodBarras2]],2,50)</f>
        <v/>
      </c>
    </row>
    <row r="12017" spans="9:9" x14ac:dyDescent="0.25">
      <c r="I12017" s="227" t="str">
        <f>MID(excPisCofins[[#This Row],[CodBarras2]],2,50)</f>
        <v/>
      </c>
    </row>
    <row r="12018" spans="9:9" x14ac:dyDescent="0.25">
      <c r="I12018" s="227" t="str">
        <f>MID(excPisCofins[[#This Row],[CodBarras2]],2,50)</f>
        <v/>
      </c>
    </row>
    <row r="12019" spans="9:9" x14ac:dyDescent="0.25">
      <c r="I12019" s="227" t="str">
        <f>MID(excPisCofins[[#This Row],[CodBarras2]],2,50)</f>
        <v/>
      </c>
    </row>
    <row r="12020" spans="9:9" x14ac:dyDescent="0.25">
      <c r="I12020" s="227" t="str">
        <f>MID(excPisCofins[[#This Row],[CodBarras2]],2,50)</f>
        <v/>
      </c>
    </row>
    <row r="12021" spans="9:9" x14ac:dyDescent="0.25">
      <c r="I12021" s="227" t="str">
        <f>MID(excPisCofins[[#This Row],[CodBarras2]],2,50)</f>
        <v/>
      </c>
    </row>
    <row r="12022" spans="9:9" x14ac:dyDescent="0.25">
      <c r="I12022" s="227" t="str">
        <f>MID(excPisCofins[[#This Row],[CodBarras2]],2,50)</f>
        <v/>
      </c>
    </row>
    <row r="12023" spans="9:9" x14ac:dyDescent="0.25">
      <c r="I12023" s="227" t="str">
        <f>MID(excPisCofins[[#This Row],[CodBarras2]],2,50)</f>
        <v/>
      </c>
    </row>
    <row r="12024" spans="9:9" x14ac:dyDescent="0.25">
      <c r="I12024" s="227" t="str">
        <f>MID(excPisCofins[[#This Row],[CodBarras2]],2,50)</f>
        <v/>
      </c>
    </row>
    <row r="12025" spans="9:9" x14ac:dyDescent="0.25">
      <c r="I12025" s="227" t="str">
        <f>MID(excPisCofins[[#This Row],[CodBarras2]],2,50)</f>
        <v/>
      </c>
    </row>
    <row r="12026" spans="9:9" x14ac:dyDescent="0.25">
      <c r="I12026" s="227" t="str">
        <f>MID(excPisCofins[[#This Row],[CodBarras2]],2,50)</f>
        <v/>
      </c>
    </row>
    <row r="12027" spans="9:9" x14ac:dyDescent="0.25">
      <c r="I12027" s="227" t="str">
        <f>MID(excPisCofins[[#This Row],[CodBarras2]],2,50)</f>
        <v/>
      </c>
    </row>
    <row r="12028" spans="9:9" x14ac:dyDescent="0.25">
      <c r="I12028" s="227" t="str">
        <f>MID(excPisCofins[[#This Row],[CodBarras2]],2,50)</f>
        <v/>
      </c>
    </row>
    <row r="12029" spans="9:9" x14ac:dyDescent="0.25">
      <c r="I12029" s="227" t="str">
        <f>MID(excPisCofins[[#This Row],[CodBarras2]],2,50)</f>
        <v/>
      </c>
    </row>
    <row r="12030" spans="9:9" x14ac:dyDescent="0.25">
      <c r="I12030" s="227" t="str">
        <f>MID(excPisCofins[[#This Row],[CodBarras2]],2,50)</f>
        <v/>
      </c>
    </row>
    <row r="12031" spans="9:9" x14ac:dyDescent="0.25">
      <c r="I12031" s="227" t="str">
        <f>MID(excPisCofins[[#This Row],[CodBarras2]],2,50)</f>
        <v/>
      </c>
    </row>
    <row r="12032" spans="9:9" x14ac:dyDescent="0.25">
      <c r="I12032" s="227" t="str">
        <f>MID(excPisCofins[[#This Row],[CodBarras2]],2,50)</f>
        <v/>
      </c>
    </row>
    <row r="12033" spans="9:9" x14ac:dyDescent="0.25">
      <c r="I12033" s="227" t="str">
        <f>MID(excPisCofins[[#This Row],[CodBarras2]],2,50)</f>
        <v/>
      </c>
    </row>
    <row r="12034" spans="9:9" x14ac:dyDescent="0.25">
      <c r="I12034" s="227" t="str">
        <f>MID(excPisCofins[[#This Row],[CodBarras2]],2,50)</f>
        <v/>
      </c>
    </row>
    <row r="12035" spans="9:9" x14ac:dyDescent="0.25">
      <c r="I12035" s="227" t="str">
        <f>MID(excPisCofins[[#This Row],[CodBarras2]],2,50)</f>
        <v/>
      </c>
    </row>
    <row r="12036" spans="9:9" x14ac:dyDescent="0.25">
      <c r="I12036" s="227" t="str">
        <f>MID(excPisCofins[[#This Row],[CodBarras2]],2,50)</f>
        <v/>
      </c>
    </row>
    <row r="12037" spans="9:9" x14ac:dyDescent="0.25">
      <c r="I12037" s="227" t="str">
        <f>MID(excPisCofins[[#This Row],[CodBarras2]],2,50)</f>
        <v/>
      </c>
    </row>
    <row r="12038" spans="9:9" x14ac:dyDescent="0.25">
      <c r="I12038" s="227" t="str">
        <f>MID(excPisCofins[[#This Row],[CodBarras2]],2,50)</f>
        <v/>
      </c>
    </row>
    <row r="12039" spans="9:9" x14ac:dyDescent="0.25">
      <c r="I12039" s="227" t="str">
        <f>MID(excPisCofins[[#This Row],[CodBarras2]],2,50)</f>
        <v/>
      </c>
    </row>
    <row r="12040" spans="9:9" x14ac:dyDescent="0.25">
      <c r="I12040" s="227" t="str">
        <f>MID(excPisCofins[[#This Row],[CodBarras2]],2,50)</f>
        <v/>
      </c>
    </row>
    <row r="12041" spans="9:9" x14ac:dyDescent="0.25">
      <c r="I12041" s="227" t="str">
        <f>MID(excPisCofins[[#This Row],[CodBarras2]],2,50)</f>
        <v/>
      </c>
    </row>
    <row r="12042" spans="9:9" x14ac:dyDescent="0.25">
      <c r="I12042" s="227" t="str">
        <f>MID(excPisCofins[[#This Row],[CodBarras2]],2,50)</f>
        <v/>
      </c>
    </row>
    <row r="12043" spans="9:9" x14ac:dyDescent="0.25">
      <c r="I12043" s="227" t="str">
        <f>MID(excPisCofins[[#This Row],[CodBarras2]],2,50)</f>
        <v/>
      </c>
    </row>
    <row r="12044" spans="9:9" x14ac:dyDescent="0.25">
      <c r="I12044" s="227" t="str">
        <f>MID(excPisCofins[[#This Row],[CodBarras2]],2,50)</f>
        <v/>
      </c>
    </row>
    <row r="12045" spans="9:9" x14ac:dyDescent="0.25">
      <c r="I12045" s="227" t="str">
        <f>MID(excPisCofins[[#This Row],[CodBarras2]],2,50)</f>
        <v/>
      </c>
    </row>
    <row r="12046" spans="9:9" x14ac:dyDescent="0.25">
      <c r="I12046" s="227" t="str">
        <f>MID(excPisCofins[[#This Row],[CodBarras2]],2,50)</f>
        <v/>
      </c>
    </row>
    <row r="12047" spans="9:9" x14ac:dyDescent="0.25">
      <c r="I12047" s="227" t="str">
        <f>MID(excPisCofins[[#This Row],[CodBarras2]],2,50)</f>
        <v/>
      </c>
    </row>
    <row r="12048" spans="9:9" x14ac:dyDescent="0.25">
      <c r="I12048" s="227" t="str">
        <f>MID(excPisCofins[[#This Row],[CodBarras2]],2,50)</f>
        <v/>
      </c>
    </row>
    <row r="12049" spans="9:9" x14ac:dyDescent="0.25">
      <c r="I12049" s="227" t="str">
        <f>MID(excPisCofins[[#This Row],[CodBarras2]],2,50)</f>
        <v/>
      </c>
    </row>
    <row r="12050" spans="9:9" x14ac:dyDescent="0.25">
      <c r="I12050" s="227" t="str">
        <f>MID(excPisCofins[[#This Row],[CodBarras2]],2,50)</f>
        <v/>
      </c>
    </row>
    <row r="12051" spans="9:9" x14ac:dyDescent="0.25">
      <c r="I12051" s="227" t="str">
        <f>MID(excPisCofins[[#This Row],[CodBarras2]],2,50)</f>
        <v/>
      </c>
    </row>
    <row r="12052" spans="9:9" x14ac:dyDescent="0.25">
      <c r="I12052" s="227" t="str">
        <f>MID(excPisCofins[[#This Row],[CodBarras2]],2,50)</f>
        <v/>
      </c>
    </row>
    <row r="12053" spans="9:9" x14ac:dyDescent="0.25">
      <c r="I12053" s="227" t="str">
        <f>MID(excPisCofins[[#This Row],[CodBarras2]],2,50)</f>
        <v/>
      </c>
    </row>
    <row r="12054" spans="9:9" x14ac:dyDescent="0.25">
      <c r="I12054" s="227" t="str">
        <f>MID(excPisCofins[[#This Row],[CodBarras2]],2,50)</f>
        <v/>
      </c>
    </row>
    <row r="12055" spans="9:9" x14ac:dyDescent="0.25">
      <c r="I12055" s="227" t="str">
        <f>MID(excPisCofins[[#This Row],[CodBarras2]],2,50)</f>
        <v/>
      </c>
    </row>
    <row r="12056" spans="9:9" x14ac:dyDescent="0.25">
      <c r="I12056" s="227" t="str">
        <f>MID(excPisCofins[[#This Row],[CodBarras2]],2,50)</f>
        <v/>
      </c>
    </row>
    <row r="12057" spans="9:9" x14ac:dyDescent="0.25">
      <c r="I12057" s="227" t="str">
        <f>MID(excPisCofins[[#This Row],[CodBarras2]],2,50)</f>
        <v/>
      </c>
    </row>
    <row r="12058" spans="9:9" x14ac:dyDescent="0.25">
      <c r="I12058" s="227" t="str">
        <f>MID(excPisCofins[[#This Row],[CodBarras2]],2,50)</f>
        <v/>
      </c>
    </row>
    <row r="12059" spans="9:9" x14ac:dyDescent="0.25">
      <c r="I12059" s="227" t="str">
        <f>MID(excPisCofins[[#This Row],[CodBarras2]],2,50)</f>
        <v/>
      </c>
    </row>
    <row r="12060" spans="9:9" x14ac:dyDescent="0.25">
      <c r="I12060" s="227" t="str">
        <f>MID(excPisCofins[[#This Row],[CodBarras2]],2,50)</f>
        <v/>
      </c>
    </row>
    <row r="12061" spans="9:9" x14ac:dyDescent="0.25">
      <c r="I12061" s="227" t="str">
        <f>MID(excPisCofins[[#This Row],[CodBarras2]],2,50)</f>
        <v/>
      </c>
    </row>
    <row r="12062" spans="9:9" x14ac:dyDescent="0.25">
      <c r="I12062" s="227" t="str">
        <f>MID(excPisCofins[[#This Row],[CodBarras2]],2,50)</f>
        <v/>
      </c>
    </row>
    <row r="12063" spans="9:9" x14ac:dyDescent="0.25">
      <c r="I12063" s="227" t="str">
        <f>MID(excPisCofins[[#This Row],[CodBarras2]],2,50)</f>
        <v/>
      </c>
    </row>
    <row r="12064" spans="9:9" x14ac:dyDescent="0.25">
      <c r="I12064" s="227" t="str">
        <f>MID(excPisCofins[[#This Row],[CodBarras2]],2,50)</f>
        <v/>
      </c>
    </row>
    <row r="12065" spans="9:9" x14ac:dyDescent="0.25">
      <c r="I12065" s="227" t="str">
        <f>MID(excPisCofins[[#This Row],[CodBarras2]],2,50)</f>
        <v/>
      </c>
    </row>
    <row r="12066" spans="9:9" x14ac:dyDescent="0.25">
      <c r="I12066" s="227" t="str">
        <f>MID(excPisCofins[[#This Row],[CodBarras2]],2,50)</f>
        <v/>
      </c>
    </row>
    <row r="12067" spans="9:9" x14ac:dyDescent="0.25">
      <c r="I12067" s="227" t="str">
        <f>MID(excPisCofins[[#This Row],[CodBarras2]],2,50)</f>
        <v/>
      </c>
    </row>
    <row r="12068" spans="9:9" x14ac:dyDescent="0.25">
      <c r="I12068" s="227" t="str">
        <f>MID(excPisCofins[[#This Row],[CodBarras2]],2,50)</f>
        <v/>
      </c>
    </row>
    <row r="12069" spans="9:9" x14ac:dyDescent="0.25">
      <c r="I12069" s="227" t="str">
        <f>MID(excPisCofins[[#This Row],[CodBarras2]],2,50)</f>
        <v/>
      </c>
    </row>
    <row r="12070" spans="9:9" x14ac:dyDescent="0.25">
      <c r="I12070" s="227" t="str">
        <f>MID(excPisCofins[[#This Row],[CodBarras2]],2,50)</f>
        <v/>
      </c>
    </row>
    <row r="12071" spans="9:9" x14ac:dyDescent="0.25">
      <c r="I12071" s="227" t="str">
        <f>MID(excPisCofins[[#This Row],[CodBarras2]],2,50)</f>
        <v/>
      </c>
    </row>
    <row r="12072" spans="9:9" x14ac:dyDescent="0.25">
      <c r="I12072" s="227" t="str">
        <f>MID(excPisCofins[[#This Row],[CodBarras2]],2,50)</f>
        <v/>
      </c>
    </row>
    <row r="12073" spans="9:9" x14ac:dyDescent="0.25">
      <c r="I12073" s="227" t="str">
        <f>MID(excPisCofins[[#This Row],[CodBarras2]],2,50)</f>
        <v/>
      </c>
    </row>
    <row r="12074" spans="9:9" x14ac:dyDescent="0.25">
      <c r="I12074" s="227" t="str">
        <f>MID(excPisCofins[[#This Row],[CodBarras2]],2,50)</f>
        <v/>
      </c>
    </row>
    <row r="12075" spans="9:9" x14ac:dyDescent="0.25">
      <c r="I12075" s="227" t="str">
        <f>MID(excPisCofins[[#This Row],[CodBarras2]],2,50)</f>
        <v/>
      </c>
    </row>
    <row r="12076" spans="9:9" x14ac:dyDescent="0.25">
      <c r="I12076" s="227" t="str">
        <f>MID(excPisCofins[[#This Row],[CodBarras2]],2,50)</f>
        <v/>
      </c>
    </row>
    <row r="12077" spans="9:9" x14ac:dyDescent="0.25">
      <c r="I12077" s="227" t="str">
        <f>MID(excPisCofins[[#This Row],[CodBarras2]],2,50)</f>
        <v/>
      </c>
    </row>
    <row r="12078" spans="9:9" x14ac:dyDescent="0.25">
      <c r="I12078" s="227" t="str">
        <f>MID(excPisCofins[[#This Row],[CodBarras2]],2,50)</f>
        <v/>
      </c>
    </row>
    <row r="12079" spans="9:9" x14ac:dyDescent="0.25">
      <c r="I12079" s="227" t="str">
        <f>MID(excPisCofins[[#This Row],[CodBarras2]],2,50)</f>
        <v/>
      </c>
    </row>
    <row r="12080" spans="9:9" x14ac:dyDescent="0.25">
      <c r="I12080" s="227" t="str">
        <f>MID(excPisCofins[[#This Row],[CodBarras2]],2,50)</f>
        <v/>
      </c>
    </row>
    <row r="12081" spans="9:9" x14ac:dyDescent="0.25">
      <c r="I12081" s="227" t="str">
        <f>MID(excPisCofins[[#This Row],[CodBarras2]],2,50)</f>
        <v/>
      </c>
    </row>
    <row r="12082" spans="9:9" x14ac:dyDescent="0.25">
      <c r="I12082" s="227" t="str">
        <f>MID(excPisCofins[[#This Row],[CodBarras2]],2,50)</f>
        <v/>
      </c>
    </row>
    <row r="12083" spans="9:9" x14ac:dyDescent="0.25">
      <c r="I12083" s="227" t="str">
        <f>MID(excPisCofins[[#This Row],[CodBarras2]],2,50)</f>
        <v/>
      </c>
    </row>
    <row r="12084" spans="9:9" x14ac:dyDescent="0.25">
      <c r="I12084" s="227" t="str">
        <f>MID(excPisCofins[[#This Row],[CodBarras2]],2,50)</f>
        <v/>
      </c>
    </row>
    <row r="12085" spans="9:9" x14ac:dyDescent="0.25">
      <c r="I12085" s="227" t="str">
        <f>MID(excPisCofins[[#This Row],[CodBarras2]],2,50)</f>
        <v/>
      </c>
    </row>
    <row r="12086" spans="9:9" x14ac:dyDescent="0.25">
      <c r="I12086" s="227" t="str">
        <f>MID(excPisCofins[[#This Row],[CodBarras2]],2,50)</f>
        <v/>
      </c>
    </row>
    <row r="12087" spans="9:9" x14ac:dyDescent="0.25">
      <c r="I12087" s="227" t="str">
        <f>MID(excPisCofins[[#This Row],[CodBarras2]],2,50)</f>
        <v/>
      </c>
    </row>
    <row r="12088" spans="9:9" x14ac:dyDescent="0.25">
      <c r="I12088" s="227" t="str">
        <f>MID(excPisCofins[[#This Row],[CodBarras2]],2,50)</f>
        <v/>
      </c>
    </row>
    <row r="12089" spans="9:9" x14ac:dyDescent="0.25">
      <c r="I12089" s="227" t="str">
        <f>MID(excPisCofins[[#This Row],[CodBarras2]],2,50)</f>
        <v/>
      </c>
    </row>
    <row r="12090" spans="9:9" x14ac:dyDescent="0.25">
      <c r="I12090" s="227" t="str">
        <f>MID(excPisCofins[[#This Row],[CodBarras2]],2,50)</f>
        <v/>
      </c>
    </row>
    <row r="12091" spans="9:9" x14ac:dyDescent="0.25">
      <c r="I12091" s="227" t="str">
        <f>MID(excPisCofins[[#This Row],[CodBarras2]],2,50)</f>
        <v/>
      </c>
    </row>
    <row r="12092" spans="9:9" x14ac:dyDescent="0.25">
      <c r="I12092" s="227" t="str">
        <f>MID(excPisCofins[[#This Row],[CodBarras2]],2,50)</f>
        <v/>
      </c>
    </row>
    <row r="12093" spans="9:9" x14ac:dyDescent="0.25">
      <c r="I12093" s="227" t="str">
        <f>MID(excPisCofins[[#This Row],[CodBarras2]],2,50)</f>
        <v/>
      </c>
    </row>
    <row r="12094" spans="9:9" x14ac:dyDescent="0.25">
      <c r="I12094" s="227" t="str">
        <f>MID(excPisCofins[[#This Row],[CodBarras2]],2,50)</f>
        <v/>
      </c>
    </row>
    <row r="12095" spans="9:9" x14ac:dyDescent="0.25">
      <c r="I12095" s="227" t="str">
        <f>MID(excPisCofins[[#This Row],[CodBarras2]],2,50)</f>
        <v/>
      </c>
    </row>
    <row r="12096" spans="9:9" x14ac:dyDescent="0.25">
      <c r="I12096" s="227" t="str">
        <f>MID(excPisCofins[[#This Row],[CodBarras2]],2,50)</f>
        <v/>
      </c>
    </row>
    <row r="12097" spans="9:9" x14ac:dyDescent="0.25">
      <c r="I12097" s="227" t="str">
        <f>MID(excPisCofins[[#This Row],[CodBarras2]],2,50)</f>
        <v/>
      </c>
    </row>
    <row r="12098" spans="9:9" x14ac:dyDescent="0.25">
      <c r="I12098" s="227" t="str">
        <f>MID(excPisCofins[[#This Row],[CodBarras2]],2,50)</f>
        <v/>
      </c>
    </row>
    <row r="12099" spans="9:9" x14ac:dyDescent="0.25">
      <c r="I12099" s="227" t="str">
        <f>MID(excPisCofins[[#This Row],[CodBarras2]],2,50)</f>
        <v/>
      </c>
    </row>
    <row r="12100" spans="9:9" x14ac:dyDescent="0.25">
      <c r="I12100" s="227" t="str">
        <f>MID(excPisCofins[[#This Row],[CodBarras2]],2,50)</f>
        <v/>
      </c>
    </row>
    <row r="12101" spans="9:9" x14ac:dyDescent="0.25">
      <c r="I12101" s="227" t="str">
        <f>MID(excPisCofins[[#This Row],[CodBarras2]],2,50)</f>
        <v/>
      </c>
    </row>
    <row r="12102" spans="9:9" x14ac:dyDescent="0.25">
      <c r="I12102" s="227" t="str">
        <f>MID(excPisCofins[[#This Row],[CodBarras2]],2,50)</f>
        <v/>
      </c>
    </row>
    <row r="12103" spans="9:9" x14ac:dyDescent="0.25">
      <c r="I12103" s="227" t="str">
        <f>MID(excPisCofins[[#This Row],[CodBarras2]],2,50)</f>
        <v/>
      </c>
    </row>
    <row r="12104" spans="9:9" x14ac:dyDescent="0.25">
      <c r="I12104" s="227" t="str">
        <f>MID(excPisCofins[[#This Row],[CodBarras2]],2,50)</f>
        <v/>
      </c>
    </row>
    <row r="12105" spans="9:9" x14ac:dyDescent="0.25">
      <c r="I12105" s="227" t="str">
        <f>MID(excPisCofins[[#This Row],[CodBarras2]],2,50)</f>
        <v/>
      </c>
    </row>
    <row r="12106" spans="9:9" x14ac:dyDescent="0.25">
      <c r="I12106" s="227" t="str">
        <f>MID(excPisCofins[[#This Row],[CodBarras2]],2,50)</f>
        <v/>
      </c>
    </row>
    <row r="12107" spans="9:9" x14ac:dyDescent="0.25">
      <c r="I12107" s="227" t="str">
        <f>MID(excPisCofins[[#This Row],[CodBarras2]],2,50)</f>
        <v/>
      </c>
    </row>
    <row r="12108" spans="9:9" x14ac:dyDescent="0.25">
      <c r="I12108" s="227" t="str">
        <f>MID(excPisCofins[[#This Row],[CodBarras2]],2,50)</f>
        <v/>
      </c>
    </row>
    <row r="12109" spans="9:9" x14ac:dyDescent="0.25">
      <c r="I12109" s="227" t="str">
        <f>MID(excPisCofins[[#This Row],[CodBarras2]],2,50)</f>
        <v/>
      </c>
    </row>
    <row r="12110" spans="9:9" x14ac:dyDescent="0.25">
      <c r="I12110" s="227" t="str">
        <f>MID(excPisCofins[[#This Row],[CodBarras2]],2,50)</f>
        <v/>
      </c>
    </row>
    <row r="12111" spans="9:9" x14ac:dyDescent="0.25">
      <c r="I12111" s="227" t="str">
        <f>MID(excPisCofins[[#This Row],[CodBarras2]],2,50)</f>
        <v/>
      </c>
    </row>
    <row r="12112" spans="9:9" x14ac:dyDescent="0.25">
      <c r="I12112" s="227" t="str">
        <f>MID(excPisCofins[[#This Row],[CodBarras2]],2,50)</f>
        <v/>
      </c>
    </row>
    <row r="12113" spans="9:9" x14ac:dyDescent="0.25">
      <c r="I12113" s="227" t="str">
        <f>MID(excPisCofins[[#This Row],[CodBarras2]],2,50)</f>
        <v/>
      </c>
    </row>
    <row r="12114" spans="9:9" x14ac:dyDescent="0.25">
      <c r="I12114" s="227" t="str">
        <f>MID(excPisCofins[[#This Row],[CodBarras2]],2,50)</f>
        <v/>
      </c>
    </row>
    <row r="12115" spans="9:9" x14ac:dyDescent="0.25">
      <c r="I12115" s="227" t="str">
        <f>MID(excPisCofins[[#This Row],[CodBarras2]],2,50)</f>
        <v/>
      </c>
    </row>
    <row r="12116" spans="9:9" x14ac:dyDescent="0.25">
      <c r="I12116" s="227" t="str">
        <f>MID(excPisCofins[[#This Row],[CodBarras2]],2,50)</f>
        <v/>
      </c>
    </row>
    <row r="12117" spans="9:9" x14ac:dyDescent="0.25">
      <c r="I12117" s="227" t="str">
        <f>MID(excPisCofins[[#This Row],[CodBarras2]],2,50)</f>
        <v/>
      </c>
    </row>
    <row r="12118" spans="9:9" x14ac:dyDescent="0.25">
      <c r="I12118" s="227" t="str">
        <f>MID(excPisCofins[[#This Row],[CodBarras2]],2,50)</f>
        <v/>
      </c>
    </row>
    <row r="12119" spans="9:9" x14ac:dyDescent="0.25">
      <c r="I12119" s="227" t="str">
        <f>MID(excPisCofins[[#This Row],[CodBarras2]],2,50)</f>
        <v/>
      </c>
    </row>
    <row r="12120" spans="9:9" x14ac:dyDescent="0.25">
      <c r="I12120" s="227" t="str">
        <f>MID(excPisCofins[[#This Row],[CodBarras2]],2,50)</f>
        <v/>
      </c>
    </row>
    <row r="12121" spans="9:9" x14ac:dyDescent="0.25">
      <c r="I12121" s="227" t="str">
        <f>MID(excPisCofins[[#This Row],[CodBarras2]],2,50)</f>
        <v/>
      </c>
    </row>
    <row r="12122" spans="9:9" x14ac:dyDescent="0.25">
      <c r="I12122" s="227" t="str">
        <f>MID(excPisCofins[[#This Row],[CodBarras2]],2,50)</f>
        <v/>
      </c>
    </row>
    <row r="12123" spans="9:9" x14ac:dyDescent="0.25">
      <c r="I12123" s="227" t="str">
        <f>MID(excPisCofins[[#This Row],[CodBarras2]],2,50)</f>
        <v/>
      </c>
    </row>
    <row r="12124" spans="9:9" x14ac:dyDescent="0.25">
      <c r="I12124" s="227" t="str">
        <f>MID(excPisCofins[[#This Row],[CodBarras2]],2,50)</f>
        <v/>
      </c>
    </row>
    <row r="12125" spans="9:9" x14ac:dyDescent="0.25">
      <c r="I12125" s="227" t="str">
        <f>MID(excPisCofins[[#This Row],[CodBarras2]],2,50)</f>
        <v/>
      </c>
    </row>
    <row r="12126" spans="9:9" x14ac:dyDescent="0.25">
      <c r="I12126" s="227" t="str">
        <f>MID(excPisCofins[[#This Row],[CodBarras2]],2,50)</f>
        <v/>
      </c>
    </row>
    <row r="12127" spans="9:9" x14ac:dyDescent="0.25">
      <c r="I12127" s="227" t="str">
        <f>MID(excPisCofins[[#This Row],[CodBarras2]],2,50)</f>
        <v/>
      </c>
    </row>
    <row r="12128" spans="9:9" x14ac:dyDescent="0.25">
      <c r="I12128" s="227" t="str">
        <f>MID(excPisCofins[[#This Row],[CodBarras2]],2,50)</f>
        <v/>
      </c>
    </row>
    <row r="12129" spans="9:9" x14ac:dyDescent="0.25">
      <c r="I12129" s="227" t="str">
        <f>MID(excPisCofins[[#This Row],[CodBarras2]],2,50)</f>
        <v/>
      </c>
    </row>
    <row r="12130" spans="9:9" x14ac:dyDescent="0.25">
      <c r="I12130" s="227" t="str">
        <f>MID(excPisCofins[[#This Row],[CodBarras2]],2,50)</f>
        <v/>
      </c>
    </row>
    <row r="12131" spans="9:9" x14ac:dyDescent="0.25">
      <c r="I12131" s="227" t="str">
        <f>MID(excPisCofins[[#This Row],[CodBarras2]],2,50)</f>
        <v/>
      </c>
    </row>
    <row r="12132" spans="9:9" x14ac:dyDescent="0.25">
      <c r="I12132" s="227" t="str">
        <f>MID(excPisCofins[[#This Row],[CodBarras2]],2,50)</f>
        <v/>
      </c>
    </row>
    <row r="12133" spans="9:9" x14ac:dyDescent="0.25">
      <c r="I12133" s="227" t="str">
        <f>MID(excPisCofins[[#This Row],[CodBarras2]],2,50)</f>
        <v/>
      </c>
    </row>
    <row r="12134" spans="9:9" x14ac:dyDescent="0.25">
      <c r="I12134" s="227" t="str">
        <f>MID(excPisCofins[[#This Row],[CodBarras2]],2,50)</f>
        <v/>
      </c>
    </row>
    <row r="12135" spans="9:9" x14ac:dyDescent="0.25">
      <c r="I12135" s="227" t="str">
        <f>MID(excPisCofins[[#This Row],[CodBarras2]],2,50)</f>
        <v/>
      </c>
    </row>
    <row r="12136" spans="9:9" x14ac:dyDescent="0.25">
      <c r="I12136" s="227" t="str">
        <f>MID(excPisCofins[[#This Row],[CodBarras2]],2,50)</f>
        <v/>
      </c>
    </row>
    <row r="12137" spans="9:9" x14ac:dyDescent="0.25">
      <c r="I12137" s="227" t="str">
        <f>MID(excPisCofins[[#This Row],[CodBarras2]],2,50)</f>
        <v/>
      </c>
    </row>
    <row r="12138" spans="9:9" x14ac:dyDescent="0.25">
      <c r="I12138" s="227" t="str">
        <f>MID(excPisCofins[[#This Row],[CodBarras2]],2,50)</f>
        <v/>
      </c>
    </row>
    <row r="12139" spans="9:9" x14ac:dyDescent="0.25">
      <c r="I12139" s="227" t="str">
        <f>MID(excPisCofins[[#This Row],[CodBarras2]],2,50)</f>
        <v/>
      </c>
    </row>
    <row r="12140" spans="9:9" x14ac:dyDescent="0.25">
      <c r="I12140" s="227" t="str">
        <f>MID(excPisCofins[[#This Row],[CodBarras2]],2,50)</f>
        <v/>
      </c>
    </row>
    <row r="12141" spans="9:9" x14ac:dyDescent="0.25">
      <c r="I12141" s="227" t="str">
        <f>MID(excPisCofins[[#This Row],[CodBarras2]],2,50)</f>
        <v/>
      </c>
    </row>
    <row r="12142" spans="9:9" x14ac:dyDescent="0.25">
      <c r="I12142" s="227" t="str">
        <f>MID(excPisCofins[[#This Row],[CodBarras2]],2,50)</f>
        <v/>
      </c>
    </row>
    <row r="12143" spans="9:9" x14ac:dyDescent="0.25">
      <c r="I12143" s="227" t="str">
        <f>MID(excPisCofins[[#This Row],[CodBarras2]],2,50)</f>
        <v/>
      </c>
    </row>
    <row r="12144" spans="9:9" x14ac:dyDescent="0.25">
      <c r="I12144" s="227" t="str">
        <f>MID(excPisCofins[[#This Row],[CodBarras2]],2,50)</f>
        <v/>
      </c>
    </row>
    <row r="12145" spans="9:9" x14ac:dyDescent="0.25">
      <c r="I12145" s="227" t="str">
        <f>MID(excPisCofins[[#This Row],[CodBarras2]],2,50)</f>
        <v/>
      </c>
    </row>
    <row r="12146" spans="9:9" x14ac:dyDescent="0.25">
      <c r="I12146" s="227" t="str">
        <f>MID(excPisCofins[[#This Row],[CodBarras2]],2,50)</f>
        <v/>
      </c>
    </row>
    <row r="12147" spans="9:9" x14ac:dyDescent="0.25">
      <c r="I12147" s="227" t="str">
        <f>MID(excPisCofins[[#This Row],[CodBarras2]],2,50)</f>
        <v/>
      </c>
    </row>
    <row r="12148" spans="9:9" x14ac:dyDescent="0.25">
      <c r="I12148" s="227" t="str">
        <f>MID(excPisCofins[[#This Row],[CodBarras2]],2,50)</f>
        <v/>
      </c>
    </row>
    <row r="12149" spans="9:9" x14ac:dyDescent="0.25">
      <c r="I12149" s="227" t="str">
        <f>MID(excPisCofins[[#This Row],[CodBarras2]],2,50)</f>
        <v/>
      </c>
    </row>
    <row r="12150" spans="9:9" x14ac:dyDescent="0.25">
      <c r="I12150" s="227" t="str">
        <f>MID(excPisCofins[[#This Row],[CodBarras2]],2,50)</f>
        <v/>
      </c>
    </row>
    <row r="12151" spans="9:9" x14ac:dyDescent="0.25">
      <c r="I12151" s="227" t="str">
        <f>MID(excPisCofins[[#This Row],[CodBarras2]],2,50)</f>
        <v/>
      </c>
    </row>
    <row r="12152" spans="9:9" x14ac:dyDescent="0.25">
      <c r="I12152" s="227" t="str">
        <f>MID(excPisCofins[[#This Row],[CodBarras2]],2,50)</f>
        <v/>
      </c>
    </row>
    <row r="12153" spans="9:9" x14ac:dyDescent="0.25">
      <c r="I12153" s="227" t="str">
        <f>MID(excPisCofins[[#This Row],[CodBarras2]],2,50)</f>
        <v/>
      </c>
    </row>
    <row r="12154" spans="9:9" x14ac:dyDescent="0.25">
      <c r="I12154" s="227" t="str">
        <f>MID(excPisCofins[[#This Row],[CodBarras2]],2,50)</f>
        <v/>
      </c>
    </row>
    <row r="12155" spans="9:9" x14ac:dyDescent="0.25">
      <c r="I12155" s="227" t="str">
        <f>MID(excPisCofins[[#This Row],[CodBarras2]],2,50)</f>
        <v/>
      </c>
    </row>
    <row r="12156" spans="9:9" x14ac:dyDescent="0.25">
      <c r="I12156" s="227" t="str">
        <f>MID(excPisCofins[[#This Row],[CodBarras2]],2,50)</f>
        <v/>
      </c>
    </row>
    <row r="12157" spans="9:9" x14ac:dyDescent="0.25">
      <c r="I12157" s="227" t="str">
        <f>MID(excPisCofins[[#This Row],[CodBarras2]],2,50)</f>
        <v/>
      </c>
    </row>
    <row r="12158" spans="9:9" x14ac:dyDescent="0.25">
      <c r="I12158" s="227" t="str">
        <f>MID(excPisCofins[[#This Row],[CodBarras2]],2,50)</f>
        <v/>
      </c>
    </row>
    <row r="12159" spans="9:9" x14ac:dyDescent="0.25">
      <c r="I12159" s="227" t="str">
        <f>MID(excPisCofins[[#This Row],[CodBarras2]],2,50)</f>
        <v/>
      </c>
    </row>
    <row r="12160" spans="9:9" x14ac:dyDescent="0.25">
      <c r="I12160" s="227" t="str">
        <f>MID(excPisCofins[[#This Row],[CodBarras2]],2,50)</f>
        <v/>
      </c>
    </row>
    <row r="12161" spans="9:9" x14ac:dyDescent="0.25">
      <c r="I12161" s="227" t="str">
        <f>MID(excPisCofins[[#This Row],[CodBarras2]],2,50)</f>
        <v/>
      </c>
    </row>
    <row r="12162" spans="9:9" x14ac:dyDescent="0.25">
      <c r="I12162" s="227" t="str">
        <f>MID(excPisCofins[[#This Row],[CodBarras2]],2,50)</f>
        <v/>
      </c>
    </row>
    <row r="12163" spans="9:9" x14ac:dyDescent="0.25">
      <c r="I12163" s="227" t="str">
        <f>MID(excPisCofins[[#This Row],[CodBarras2]],2,50)</f>
        <v/>
      </c>
    </row>
    <row r="12164" spans="9:9" x14ac:dyDescent="0.25">
      <c r="I12164" s="227" t="str">
        <f>MID(excPisCofins[[#This Row],[CodBarras2]],2,50)</f>
        <v/>
      </c>
    </row>
    <row r="12165" spans="9:9" x14ac:dyDescent="0.25">
      <c r="I12165" s="227" t="str">
        <f>MID(excPisCofins[[#This Row],[CodBarras2]],2,50)</f>
        <v/>
      </c>
    </row>
    <row r="12166" spans="9:9" x14ac:dyDescent="0.25">
      <c r="I12166" s="227" t="str">
        <f>MID(excPisCofins[[#This Row],[CodBarras2]],2,50)</f>
        <v/>
      </c>
    </row>
    <row r="12167" spans="9:9" x14ac:dyDescent="0.25">
      <c r="I12167" s="227" t="str">
        <f>MID(excPisCofins[[#This Row],[CodBarras2]],2,50)</f>
        <v/>
      </c>
    </row>
    <row r="12168" spans="9:9" x14ac:dyDescent="0.25">
      <c r="I12168" s="227" t="str">
        <f>MID(excPisCofins[[#This Row],[CodBarras2]],2,50)</f>
        <v/>
      </c>
    </row>
    <row r="12169" spans="9:9" x14ac:dyDescent="0.25">
      <c r="I12169" s="227" t="str">
        <f>MID(excPisCofins[[#This Row],[CodBarras2]],2,50)</f>
        <v/>
      </c>
    </row>
    <row r="12170" spans="9:9" x14ac:dyDescent="0.25">
      <c r="I12170" s="227" t="str">
        <f>MID(excPisCofins[[#This Row],[CodBarras2]],2,50)</f>
        <v/>
      </c>
    </row>
    <row r="12171" spans="9:9" x14ac:dyDescent="0.25">
      <c r="I12171" s="227" t="str">
        <f>MID(excPisCofins[[#This Row],[CodBarras2]],2,50)</f>
        <v/>
      </c>
    </row>
    <row r="12172" spans="9:9" x14ac:dyDescent="0.25">
      <c r="I12172" s="227" t="str">
        <f>MID(excPisCofins[[#This Row],[CodBarras2]],2,50)</f>
        <v/>
      </c>
    </row>
    <row r="12173" spans="9:9" x14ac:dyDescent="0.25">
      <c r="I12173" s="227" t="str">
        <f>MID(excPisCofins[[#This Row],[CodBarras2]],2,50)</f>
        <v/>
      </c>
    </row>
    <row r="12174" spans="9:9" x14ac:dyDescent="0.25">
      <c r="I12174" s="227" t="str">
        <f>MID(excPisCofins[[#This Row],[CodBarras2]],2,50)</f>
        <v/>
      </c>
    </row>
    <row r="12175" spans="9:9" x14ac:dyDescent="0.25">
      <c r="I12175" s="227" t="str">
        <f>MID(excPisCofins[[#This Row],[CodBarras2]],2,50)</f>
        <v/>
      </c>
    </row>
    <row r="12176" spans="9:9" x14ac:dyDescent="0.25">
      <c r="I12176" s="227" t="str">
        <f>MID(excPisCofins[[#This Row],[CodBarras2]],2,50)</f>
        <v/>
      </c>
    </row>
    <row r="12177" spans="9:9" x14ac:dyDescent="0.25">
      <c r="I12177" s="227" t="str">
        <f>MID(excPisCofins[[#This Row],[CodBarras2]],2,50)</f>
        <v/>
      </c>
    </row>
    <row r="12178" spans="9:9" x14ac:dyDescent="0.25">
      <c r="I12178" s="227" t="str">
        <f>MID(excPisCofins[[#This Row],[CodBarras2]],2,50)</f>
        <v/>
      </c>
    </row>
    <row r="12179" spans="9:9" x14ac:dyDescent="0.25">
      <c r="I12179" s="227" t="str">
        <f>MID(excPisCofins[[#This Row],[CodBarras2]],2,50)</f>
        <v/>
      </c>
    </row>
    <row r="12180" spans="9:9" x14ac:dyDescent="0.25">
      <c r="I12180" s="227" t="str">
        <f>MID(excPisCofins[[#This Row],[CodBarras2]],2,50)</f>
        <v/>
      </c>
    </row>
    <row r="12181" spans="9:9" x14ac:dyDescent="0.25">
      <c r="I12181" s="227" t="str">
        <f>MID(excPisCofins[[#This Row],[CodBarras2]],2,50)</f>
        <v/>
      </c>
    </row>
    <row r="12182" spans="9:9" x14ac:dyDescent="0.25">
      <c r="I12182" s="227" t="str">
        <f>MID(excPisCofins[[#This Row],[CodBarras2]],2,50)</f>
        <v/>
      </c>
    </row>
    <row r="12183" spans="9:9" x14ac:dyDescent="0.25">
      <c r="I12183" s="227" t="str">
        <f>MID(excPisCofins[[#This Row],[CodBarras2]],2,50)</f>
        <v/>
      </c>
    </row>
    <row r="12184" spans="9:9" x14ac:dyDescent="0.25">
      <c r="I12184" s="227" t="str">
        <f>MID(excPisCofins[[#This Row],[CodBarras2]],2,50)</f>
        <v/>
      </c>
    </row>
    <row r="12185" spans="9:9" x14ac:dyDescent="0.25">
      <c r="I12185" s="227" t="str">
        <f>MID(excPisCofins[[#This Row],[CodBarras2]],2,50)</f>
        <v/>
      </c>
    </row>
    <row r="12186" spans="9:9" x14ac:dyDescent="0.25">
      <c r="I12186" s="227" t="str">
        <f>MID(excPisCofins[[#This Row],[CodBarras2]],2,50)</f>
        <v/>
      </c>
    </row>
    <row r="12187" spans="9:9" x14ac:dyDescent="0.25">
      <c r="I12187" s="227" t="str">
        <f>MID(excPisCofins[[#This Row],[CodBarras2]],2,50)</f>
        <v/>
      </c>
    </row>
    <row r="12188" spans="9:9" x14ac:dyDescent="0.25">
      <c r="I12188" s="227" t="str">
        <f>MID(excPisCofins[[#This Row],[CodBarras2]],2,50)</f>
        <v/>
      </c>
    </row>
    <row r="12189" spans="9:9" x14ac:dyDescent="0.25">
      <c r="I12189" s="227" t="str">
        <f>MID(excPisCofins[[#This Row],[CodBarras2]],2,50)</f>
        <v/>
      </c>
    </row>
    <row r="12190" spans="9:9" x14ac:dyDescent="0.25">
      <c r="I12190" s="227" t="str">
        <f>MID(excPisCofins[[#This Row],[CodBarras2]],2,50)</f>
        <v/>
      </c>
    </row>
    <row r="12191" spans="9:9" x14ac:dyDescent="0.25">
      <c r="I12191" s="227" t="str">
        <f>MID(excPisCofins[[#This Row],[CodBarras2]],2,50)</f>
        <v/>
      </c>
    </row>
    <row r="12192" spans="9:9" x14ac:dyDescent="0.25">
      <c r="I12192" s="227" t="str">
        <f>MID(excPisCofins[[#This Row],[CodBarras2]],2,50)</f>
        <v/>
      </c>
    </row>
    <row r="12193" spans="9:9" x14ac:dyDescent="0.25">
      <c r="I12193" s="227" t="str">
        <f>MID(excPisCofins[[#This Row],[CodBarras2]],2,50)</f>
        <v/>
      </c>
    </row>
    <row r="12194" spans="9:9" x14ac:dyDescent="0.25">
      <c r="I12194" s="227" t="str">
        <f>MID(excPisCofins[[#This Row],[CodBarras2]],2,50)</f>
        <v/>
      </c>
    </row>
    <row r="12195" spans="9:9" x14ac:dyDescent="0.25">
      <c r="I12195" s="227" t="str">
        <f>MID(excPisCofins[[#This Row],[CodBarras2]],2,50)</f>
        <v/>
      </c>
    </row>
    <row r="12196" spans="9:9" x14ac:dyDescent="0.25">
      <c r="I12196" s="227" t="str">
        <f>MID(excPisCofins[[#This Row],[CodBarras2]],2,50)</f>
        <v/>
      </c>
    </row>
    <row r="12197" spans="9:9" x14ac:dyDescent="0.25">
      <c r="I12197" s="227" t="str">
        <f>MID(excPisCofins[[#This Row],[CodBarras2]],2,50)</f>
        <v/>
      </c>
    </row>
    <row r="12198" spans="9:9" x14ac:dyDescent="0.25">
      <c r="I12198" s="227" t="str">
        <f>MID(excPisCofins[[#This Row],[CodBarras2]],2,50)</f>
        <v/>
      </c>
    </row>
    <row r="12199" spans="9:9" x14ac:dyDescent="0.25">
      <c r="I12199" s="227" t="str">
        <f>MID(excPisCofins[[#This Row],[CodBarras2]],2,50)</f>
        <v/>
      </c>
    </row>
    <row r="12200" spans="9:9" x14ac:dyDescent="0.25">
      <c r="I12200" s="227" t="str">
        <f>MID(excPisCofins[[#This Row],[CodBarras2]],2,50)</f>
        <v/>
      </c>
    </row>
    <row r="12201" spans="9:9" x14ac:dyDescent="0.25">
      <c r="I12201" s="227" t="str">
        <f>MID(excPisCofins[[#This Row],[CodBarras2]],2,50)</f>
        <v/>
      </c>
    </row>
    <row r="12202" spans="9:9" x14ac:dyDescent="0.25">
      <c r="I12202" s="227" t="str">
        <f>MID(excPisCofins[[#This Row],[CodBarras2]],2,50)</f>
        <v/>
      </c>
    </row>
    <row r="12203" spans="9:9" x14ac:dyDescent="0.25">
      <c r="I12203" s="227" t="str">
        <f>MID(excPisCofins[[#This Row],[CodBarras2]],2,50)</f>
        <v/>
      </c>
    </row>
    <row r="12204" spans="9:9" x14ac:dyDescent="0.25">
      <c r="I12204" s="227" t="str">
        <f>MID(excPisCofins[[#This Row],[CodBarras2]],2,50)</f>
        <v/>
      </c>
    </row>
    <row r="12205" spans="9:9" x14ac:dyDescent="0.25">
      <c r="I12205" s="227" t="str">
        <f>MID(excPisCofins[[#This Row],[CodBarras2]],2,50)</f>
        <v/>
      </c>
    </row>
    <row r="12206" spans="9:9" x14ac:dyDescent="0.25">
      <c r="I12206" s="227" t="str">
        <f>MID(excPisCofins[[#This Row],[CodBarras2]],2,50)</f>
        <v/>
      </c>
    </row>
    <row r="12207" spans="9:9" x14ac:dyDescent="0.25">
      <c r="I12207" s="227" t="str">
        <f>MID(excPisCofins[[#This Row],[CodBarras2]],2,50)</f>
        <v/>
      </c>
    </row>
    <row r="12208" spans="9:9" x14ac:dyDescent="0.25">
      <c r="I12208" s="227" t="str">
        <f>MID(excPisCofins[[#This Row],[CodBarras2]],2,50)</f>
        <v/>
      </c>
    </row>
    <row r="12209" spans="9:9" x14ac:dyDescent="0.25">
      <c r="I12209" s="227" t="str">
        <f>MID(excPisCofins[[#This Row],[CodBarras2]],2,50)</f>
        <v/>
      </c>
    </row>
    <row r="12210" spans="9:9" x14ac:dyDescent="0.25">
      <c r="I12210" s="227" t="str">
        <f>MID(excPisCofins[[#This Row],[CodBarras2]],2,50)</f>
        <v/>
      </c>
    </row>
    <row r="12211" spans="9:9" x14ac:dyDescent="0.25">
      <c r="I12211" s="227" t="str">
        <f>MID(excPisCofins[[#This Row],[CodBarras2]],2,50)</f>
        <v/>
      </c>
    </row>
    <row r="12212" spans="9:9" x14ac:dyDescent="0.25">
      <c r="I12212" s="227" t="str">
        <f>MID(excPisCofins[[#This Row],[CodBarras2]],2,50)</f>
        <v/>
      </c>
    </row>
    <row r="12213" spans="9:9" x14ac:dyDescent="0.25">
      <c r="I12213" s="227" t="str">
        <f>MID(excPisCofins[[#This Row],[CodBarras2]],2,50)</f>
        <v/>
      </c>
    </row>
    <row r="12214" spans="9:9" x14ac:dyDescent="0.25">
      <c r="I12214" s="227" t="str">
        <f>MID(excPisCofins[[#This Row],[CodBarras2]],2,50)</f>
        <v/>
      </c>
    </row>
    <row r="12215" spans="9:9" x14ac:dyDescent="0.25">
      <c r="I12215" s="227" t="str">
        <f>MID(excPisCofins[[#This Row],[CodBarras2]],2,50)</f>
        <v/>
      </c>
    </row>
    <row r="12216" spans="9:9" x14ac:dyDescent="0.25">
      <c r="I12216" s="227" t="str">
        <f>MID(excPisCofins[[#This Row],[CodBarras2]],2,50)</f>
        <v/>
      </c>
    </row>
    <row r="12217" spans="9:9" x14ac:dyDescent="0.25">
      <c r="I12217" s="227" t="str">
        <f>MID(excPisCofins[[#This Row],[CodBarras2]],2,50)</f>
        <v/>
      </c>
    </row>
    <row r="12218" spans="9:9" x14ac:dyDescent="0.25">
      <c r="I12218" s="227" t="str">
        <f>MID(excPisCofins[[#This Row],[CodBarras2]],2,50)</f>
        <v/>
      </c>
    </row>
    <row r="12219" spans="9:9" x14ac:dyDescent="0.25">
      <c r="I12219" s="227" t="str">
        <f>MID(excPisCofins[[#This Row],[CodBarras2]],2,50)</f>
        <v/>
      </c>
    </row>
    <row r="12220" spans="9:9" x14ac:dyDescent="0.25">
      <c r="I12220" s="227" t="str">
        <f>MID(excPisCofins[[#This Row],[CodBarras2]],2,50)</f>
        <v/>
      </c>
    </row>
    <row r="12221" spans="9:9" x14ac:dyDescent="0.25">
      <c r="I12221" s="227" t="str">
        <f>MID(excPisCofins[[#This Row],[CodBarras2]],2,50)</f>
        <v/>
      </c>
    </row>
    <row r="12222" spans="9:9" x14ac:dyDescent="0.25">
      <c r="I12222" s="227" t="str">
        <f>MID(excPisCofins[[#This Row],[CodBarras2]],2,50)</f>
        <v/>
      </c>
    </row>
    <row r="12223" spans="9:9" x14ac:dyDescent="0.25">
      <c r="I12223" s="227" t="str">
        <f>MID(excPisCofins[[#This Row],[CodBarras2]],2,50)</f>
        <v/>
      </c>
    </row>
    <row r="12224" spans="9:9" x14ac:dyDescent="0.25">
      <c r="I12224" s="227" t="str">
        <f>MID(excPisCofins[[#This Row],[CodBarras2]],2,50)</f>
        <v/>
      </c>
    </row>
    <row r="12225" spans="9:9" x14ac:dyDescent="0.25">
      <c r="I12225" s="227" t="str">
        <f>MID(excPisCofins[[#This Row],[CodBarras2]],2,50)</f>
        <v/>
      </c>
    </row>
    <row r="12226" spans="9:9" x14ac:dyDescent="0.25">
      <c r="I12226" s="227" t="str">
        <f>MID(excPisCofins[[#This Row],[CodBarras2]],2,50)</f>
        <v/>
      </c>
    </row>
    <row r="12227" spans="9:9" x14ac:dyDescent="0.25">
      <c r="I12227" s="227" t="str">
        <f>MID(excPisCofins[[#This Row],[CodBarras2]],2,50)</f>
        <v/>
      </c>
    </row>
    <row r="12228" spans="9:9" x14ac:dyDescent="0.25">
      <c r="I12228" s="227" t="str">
        <f>MID(excPisCofins[[#This Row],[CodBarras2]],2,50)</f>
        <v/>
      </c>
    </row>
    <row r="12229" spans="9:9" x14ac:dyDescent="0.25">
      <c r="I12229" s="227" t="str">
        <f>MID(excPisCofins[[#This Row],[CodBarras2]],2,50)</f>
        <v/>
      </c>
    </row>
    <row r="12230" spans="9:9" x14ac:dyDescent="0.25">
      <c r="I12230" s="227" t="str">
        <f>MID(excPisCofins[[#This Row],[CodBarras2]],2,50)</f>
        <v/>
      </c>
    </row>
    <row r="12231" spans="9:9" x14ac:dyDescent="0.25">
      <c r="I12231" s="227" t="str">
        <f>MID(excPisCofins[[#This Row],[CodBarras2]],2,50)</f>
        <v/>
      </c>
    </row>
    <row r="12232" spans="9:9" x14ac:dyDescent="0.25">
      <c r="I12232" s="227" t="str">
        <f>MID(excPisCofins[[#This Row],[CodBarras2]],2,50)</f>
        <v/>
      </c>
    </row>
    <row r="12233" spans="9:9" x14ac:dyDescent="0.25">
      <c r="I12233" s="227" t="str">
        <f>MID(excPisCofins[[#This Row],[CodBarras2]],2,50)</f>
        <v/>
      </c>
    </row>
    <row r="12234" spans="9:9" x14ac:dyDescent="0.25">
      <c r="I12234" s="227" t="str">
        <f>MID(excPisCofins[[#This Row],[CodBarras2]],2,50)</f>
        <v/>
      </c>
    </row>
    <row r="12235" spans="9:9" x14ac:dyDescent="0.25">
      <c r="I12235" s="227" t="str">
        <f>MID(excPisCofins[[#This Row],[CodBarras2]],2,50)</f>
        <v/>
      </c>
    </row>
    <row r="12236" spans="9:9" x14ac:dyDescent="0.25">
      <c r="I12236" s="227" t="str">
        <f>MID(excPisCofins[[#This Row],[CodBarras2]],2,50)</f>
        <v/>
      </c>
    </row>
    <row r="12237" spans="9:9" x14ac:dyDescent="0.25">
      <c r="I12237" s="227" t="str">
        <f>MID(excPisCofins[[#This Row],[CodBarras2]],2,50)</f>
        <v/>
      </c>
    </row>
    <row r="12238" spans="9:9" x14ac:dyDescent="0.25">
      <c r="I12238" s="227" t="str">
        <f>MID(excPisCofins[[#This Row],[CodBarras2]],2,50)</f>
        <v/>
      </c>
    </row>
    <row r="12239" spans="9:9" x14ac:dyDescent="0.25">
      <c r="I12239" s="227" t="str">
        <f>MID(excPisCofins[[#This Row],[CodBarras2]],2,50)</f>
        <v/>
      </c>
    </row>
    <row r="12240" spans="9:9" x14ac:dyDescent="0.25">
      <c r="I12240" s="227" t="str">
        <f>MID(excPisCofins[[#This Row],[CodBarras2]],2,50)</f>
        <v/>
      </c>
    </row>
    <row r="12241" spans="9:9" x14ac:dyDescent="0.25">
      <c r="I12241" s="227" t="str">
        <f>MID(excPisCofins[[#This Row],[CodBarras2]],2,50)</f>
        <v/>
      </c>
    </row>
    <row r="12242" spans="9:9" x14ac:dyDescent="0.25">
      <c r="I12242" s="227" t="str">
        <f>MID(excPisCofins[[#This Row],[CodBarras2]],2,50)</f>
        <v/>
      </c>
    </row>
    <row r="12243" spans="9:9" x14ac:dyDescent="0.25">
      <c r="I12243" s="227" t="str">
        <f>MID(excPisCofins[[#This Row],[CodBarras2]],2,50)</f>
        <v/>
      </c>
    </row>
    <row r="12244" spans="9:9" x14ac:dyDescent="0.25">
      <c r="I12244" s="227" t="str">
        <f>MID(excPisCofins[[#This Row],[CodBarras2]],2,50)</f>
        <v/>
      </c>
    </row>
    <row r="12245" spans="9:9" x14ac:dyDescent="0.25">
      <c r="I12245" s="227" t="str">
        <f>MID(excPisCofins[[#This Row],[CodBarras2]],2,50)</f>
        <v/>
      </c>
    </row>
    <row r="12246" spans="9:9" x14ac:dyDescent="0.25">
      <c r="I12246" s="227" t="str">
        <f>MID(excPisCofins[[#This Row],[CodBarras2]],2,50)</f>
        <v/>
      </c>
    </row>
    <row r="12247" spans="9:9" x14ac:dyDescent="0.25">
      <c r="I12247" s="227" t="str">
        <f>MID(excPisCofins[[#This Row],[CodBarras2]],2,50)</f>
        <v/>
      </c>
    </row>
    <row r="12248" spans="9:9" x14ac:dyDescent="0.25">
      <c r="I12248" s="227" t="str">
        <f>MID(excPisCofins[[#This Row],[CodBarras2]],2,50)</f>
        <v/>
      </c>
    </row>
    <row r="12249" spans="9:9" x14ac:dyDescent="0.25">
      <c r="I12249" s="227" t="str">
        <f>MID(excPisCofins[[#This Row],[CodBarras2]],2,50)</f>
        <v/>
      </c>
    </row>
    <row r="12250" spans="9:9" x14ac:dyDescent="0.25">
      <c r="I12250" s="227" t="str">
        <f>MID(excPisCofins[[#This Row],[CodBarras2]],2,50)</f>
        <v/>
      </c>
    </row>
    <row r="12251" spans="9:9" x14ac:dyDescent="0.25">
      <c r="I12251" s="227" t="str">
        <f>MID(excPisCofins[[#This Row],[CodBarras2]],2,50)</f>
        <v/>
      </c>
    </row>
    <row r="12252" spans="9:9" x14ac:dyDescent="0.25">
      <c r="I12252" s="227" t="str">
        <f>MID(excPisCofins[[#This Row],[CodBarras2]],2,50)</f>
        <v/>
      </c>
    </row>
    <row r="12253" spans="9:9" x14ac:dyDescent="0.25">
      <c r="I12253" s="227" t="str">
        <f>MID(excPisCofins[[#This Row],[CodBarras2]],2,50)</f>
        <v/>
      </c>
    </row>
    <row r="12254" spans="9:9" x14ac:dyDescent="0.25">
      <c r="I12254" s="227" t="str">
        <f>MID(excPisCofins[[#This Row],[CodBarras2]],2,50)</f>
        <v/>
      </c>
    </row>
    <row r="12255" spans="9:9" x14ac:dyDescent="0.25">
      <c r="I12255" s="227" t="str">
        <f>MID(excPisCofins[[#This Row],[CodBarras2]],2,50)</f>
        <v/>
      </c>
    </row>
    <row r="12256" spans="9:9" x14ac:dyDescent="0.25">
      <c r="I12256" s="227" t="str">
        <f>MID(excPisCofins[[#This Row],[CodBarras2]],2,50)</f>
        <v/>
      </c>
    </row>
    <row r="12257" spans="9:9" x14ac:dyDescent="0.25">
      <c r="I12257" s="227" t="str">
        <f>MID(excPisCofins[[#This Row],[CodBarras2]],2,50)</f>
        <v/>
      </c>
    </row>
    <row r="12258" spans="9:9" x14ac:dyDescent="0.25">
      <c r="I12258" s="227" t="str">
        <f>MID(excPisCofins[[#This Row],[CodBarras2]],2,50)</f>
        <v/>
      </c>
    </row>
    <row r="12259" spans="9:9" x14ac:dyDescent="0.25">
      <c r="I12259" s="227" t="str">
        <f>MID(excPisCofins[[#This Row],[CodBarras2]],2,50)</f>
        <v/>
      </c>
    </row>
    <row r="12260" spans="9:9" x14ac:dyDescent="0.25">
      <c r="I12260" s="227" t="str">
        <f>MID(excPisCofins[[#This Row],[CodBarras2]],2,50)</f>
        <v/>
      </c>
    </row>
    <row r="12261" spans="9:9" x14ac:dyDescent="0.25">
      <c r="I12261" s="227" t="str">
        <f>MID(excPisCofins[[#This Row],[CodBarras2]],2,50)</f>
        <v/>
      </c>
    </row>
    <row r="12262" spans="9:9" x14ac:dyDescent="0.25">
      <c r="I12262" s="227" t="str">
        <f>MID(excPisCofins[[#This Row],[CodBarras2]],2,50)</f>
        <v/>
      </c>
    </row>
    <row r="12263" spans="9:9" x14ac:dyDescent="0.25">
      <c r="I12263" s="227" t="str">
        <f>MID(excPisCofins[[#This Row],[CodBarras2]],2,50)</f>
        <v/>
      </c>
    </row>
    <row r="12264" spans="9:9" x14ac:dyDescent="0.25">
      <c r="I12264" s="227" t="str">
        <f>MID(excPisCofins[[#This Row],[CodBarras2]],2,50)</f>
        <v/>
      </c>
    </row>
    <row r="12265" spans="9:9" x14ac:dyDescent="0.25">
      <c r="I12265" s="227" t="str">
        <f>MID(excPisCofins[[#This Row],[CodBarras2]],2,50)</f>
        <v/>
      </c>
    </row>
    <row r="12266" spans="9:9" x14ac:dyDescent="0.25">
      <c r="I12266" s="227" t="str">
        <f>MID(excPisCofins[[#This Row],[CodBarras2]],2,50)</f>
        <v/>
      </c>
    </row>
    <row r="12267" spans="9:9" x14ac:dyDescent="0.25">
      <c r="I12267" s="227" t="str">
        <f>MID(excPisCofins[[#This Row],[CodBarras2]],2,50)</f>
        <v/>
      </c>
    </row>
    <row r="12268" spans="9:9" x14ac:dyDescent="0.25">
      <c r="I12268" s="227" t="str">
        <f>MID(excPisCofins[[#This Row],[CodBarras2]],2,50)</f>
        <v/>
      </c>
    </row>
    <row r="12269" spans="9:9" x14ac:dyDescent="0.25">
      <c r="I12269" s="227" t="str">
        <f>MID(excPisCofins[[#This Row],[CodBarras2]],2,50)</f>
        <v/>
      </c>
    </row>
    <row r="12270" spans="9:9" x14ac:dyDescent="0.25">
      <c r="I12270" s="227" t="str">
        <f>MID(excPisCofins[[#This Row],[CodBarras2]],2,50)</f>
        <v/>
      </c>
    </row>
    <row r="12271" spans="9:9" x14ac:dyDescent="0.25">
      <c r="I12271" s="227" t="str">
        <f>MID(excPisCofins[[#This Row],[CodBarras2]],2,50)</f>
        <v/>
      </c>
    </row>
    <row r="12272" spans="9:9" x14ac:dyDescent="0.25">
      <c r="I12272" s="227" t="str">
        <f>MID(excPisCofins[[#This Row],[CodBarras2]],2,50)</f>
        <v/>
      </c>
    </row>
    <row r="12273" spans="9:9" x14ac:dyDescent="0.25">
      <c r="I12273" s="227" t="str">
        <f>MID(excPisCofins[[#This Row],[CodBarras2]],2,50)</f>
        <v/>
      </c>
    </row>
    <row r="12274" spans="9:9" x14ac:dyDescent="0.25">
      <c r="I12274" s="227" t="str">
        <f>MID(excPisCofins[[#This Row],[CodBarras2]],2,50)</f>
        <v/>
      </c>
    </row>
    <row r="12275" spans="9:9" x14ac:dyDescent="0.25">
      <c r="I12275" s="227" t="str">
        <f>MID(excPisCofins[[#This Row],[CodBarras2]],2,50)</f>
        <v/>
      </c>
    </row>
    <row r="12276" spans="9:9" x14ac:dyDescent="0.25">
      <c r="I12276" s="227" t="str">
        <f>MID(excPisCofins[[#This Row],[CodBarras2]],2,50)</f>
        <v/>
      </c>
    </row>
    <row r="12277" spans="9:9" x14ac:dyDescent="0.25">
      <c r="I12277" s="227" t="str">
        <f>MID(excPisCofins[[#This Row],[CodBarras2]],2,50)</f>
        <v/>
      </c>
    </row>
    <row r="12278" spans="9:9" x14ac:dyDescent="0.25">
      <c r="I12278" s="227" t="str">
        <f>MID(excPisCofins[[#This Row],[CodBarras2]],2,50)</f>
        <v/>
      </c>
    </row>
    <row r="12279" spans="9:9" x14ac:dyDescent="0.25">
      <c r="I12279" s="227" t="str">
        <f>MID(excPisCofins[[#This Row],[CodBarras2]],2,50)</f>
        <v/>
      </c>
    </row>
    <row r="12280" spans="9:9" x14ac:dyDescent="0.25">
      <c r="I12280" s="227" t="str">
        <f>MID(excPisCofins[[#This Row],[CodBarras2]],2,50)</f>
        <v/>
      </c>
    </row>
    <row r="12281" spans="9:9" x14ac:dyDescent="0.25">
      <c r="I12281" s="227" t="str">
        <f>MID(excPisCofins[[#This Row],[CodBarras2]],2,50)</f>
        <v/>
      </c>
    </row>
    <row r="12282" spans="9:9" x14ac:dyDescent="0.25">
      <c r="I12282" s="227" t="str">
        <f>MID(excPisCofins[[#This Row],[CodBarras2]],2,50)</f>
        <v/>
      </c>
    </row>
    <row r="12283" spans="9:9" x14ac:dyDescent="0.25">
      <c r="I12283" s="227" t="str">
        <f>MID(excPisCofins[[#This Row],[CodBarras2]],2,50)</f>
        <v/>
      </c>
    </row>
    <row r="12284" spans="9:9" x14ac:dyDescent="0.25">
      <c r="I12284" s="227" t="str">
        <f>MID(excPisCofins[[#This Row],[CodBarras2]],2,50)</f>
        <v/>
      </c>
    </row>
    <row r="12285" spans="9:9" x14ac:dyDescent="0.25">
      <c r="I12285" s="227" t="str">
        <f>MID(excPisCofins[[#This Row],[CodBarras2]],2,50)</f>
        <v/>
      </c>
    </row>
    <row r="12286" spans="9:9" x14ac:dyDescent="0.25">
      <c r="I12286" s="227" t="str">
        <f>MID(excPisCofins[[#This Row],[CodBarras2]],2,50)</f>
        <v/>
      </c>
    </row>
    <row r="12287" spans="9:9" x14ac:dyDescent="0.25">
      <c r="I12287" s="227" t="str">
        <f>MID(excPisCofins[[#This Row],[CodBarras2]],2,50)</f>
        <v/>
      </c>
    </row>
    <row r="12288" spans="9:9" x14ac:dyDescent="0.25">
      <c r="I12288" s="227" t="str">
        <f>MID(excPisCofins[[#This Row],[CodBarras2]],2,50)</f>
        <v/>
      </c>
    </row>
    <row r="12289" spans="9:9" x14ac:dyDescent="0.25">
      <c r="I12289" s="227" t="str">
        <f>MID(excPisCofins[[#This Row],[CodBarras2]],2,50)</f>
        <v/>
      </c>
    </row>
    <row r="12290" spans="9:9" x14ac:dyDescent="0.25">
      <c r="I12290" s="227" t="str">
        <f>MID(excPisCofins[[#This Row],[CodBarras2]],2,50)</f>
        <v/>
      </c>
    </row>
    <row r="12291" spans="9:9" x14ac:dyDescent="0.25">
      <c r="I12291" s="227" t="str">
        <f>MID(excPisCofins[[#This Row],[CodBarras2]],2,50)</f>
        <v/>
      </c>
    </row>
    <row r="12292" spans="9:9" x14ac:dyDescent="0.25">
      <c r="I12292" s="227" t="str">
        <f>MID(excPisCofins[[#This Row],[CodBarras2]],2,50)</f>
        <v/>
      </c>
    </row>
    <row r="12293" spans="9:9" x14ac:dyDescent="0.25">
      <c r="I12293" s="227" t="str">
        <f>MID(excPisCofins[[#This Row],[CodBarras2]],2,50)</f>
        <v/>
      </c>
    </row>
    <row r="12294" spans="9:9" x14ac:dyDescent="0.25">
      <c r="I12294" s="227" t="str">
        <f>MID(excPisCofins[[#This Row],[CodBarras2]],2,50)</f>
        <v/>
      </c>
    </row>
    <row r="12295" spans="9:9" x14ac:dyDescent="0.25">
      <c r="I12295" s="227" t="str">
        <f>MID(excPisCofins[[#This Row],[CodBarras2]],2,50)</f>
        <v/>
      </c>
    </row>
    <row r="12296" spans="9:9" x14ac:dyDescent="0.25">
      <c r="I12296" s="227" t="str">
        <f>MID(excPisCofins[[#This Row],[CodBarras2]],2,50)</f>
        <v/>
      </c>
    </row>
    <row r="12297" spans="9:9" x14ac:dyDescent="0.25">
      <c r="I12297" s="227" t="str">
        <f>MID(excPisCofins[[#This Row],[CodBarras2]],2,50)</f>
        <v/>
      </c>
    </row>
    <row r="12298" spans="9:9" x14ac:dyDescent="0.25">
      <c r="I12298" s="227" t="str">
        <f>MID(excPisCofins[[#This Row],[CodBarras2]],2,50)</f>
        <v/>
      </c>
    </row>
    <row r="12299" spans="9:9" x14ac:dyDescent="0.25">
      <c r="I12299" s="227" t="str">
        <f>MID(excPisCofins[[#This Row],[CodBarras2]],2,50)</f>
        <v/>
      </c>
    </row>
    <row r="12300" spans="9:9" x14ac:dyDescent="0.25">
      <c r="I12300" s="227" t="str">
        <f>MID(excPisCofins[[#This Row],[CodBarras2]],2,50)</f>
        <v/>
      </c>
    </row>
    <row r="12301" spans="9:9" x14ac:dyDescent="0.25">
      <c r="I12301" s="227" t="str">
        <f>MID(excPisCofins[[#This Row],[CodBarras2]],2,50)</f>
        <v/>
      </c>
    </row>
    <row r="12302" spans="9:9" x14ac:dyDescent="0.25">
      <c r="I12302" s="227" t="str">
        <f>MID(excPisCofins[[#This Row],[CodBarras2]],2,50)</f>
        <v/>
      </c>
    </row>
    <row r="12303" spans="9:9" x14ac:dyDescent="0.25">
      <c r="I12303" s="227" t="str">
        <f>MID(excPisCofins[[#This Row],[CodBarras2]],2,50)</f>
        <v/>
      </c>
    </row>
    <row r="12304" spans="9:9" x14ac:dyDescent="0.25">
      <c r="I12304" s="227" t="str">
        <f>MID(excPisCofins[[#This Row],[CodBarras2]],2,50)</f>
        <v/>
      </c>
    </row>
    <row r="12305" spans="9:9" x14ac:dyDescent="0.25">
      <c r="I12305" s="227" t="str">
        <f>MID(excPisCofins[[#This Row],[CodBarras2]],2,50)</f>
        <v/>
      </c>
    </row>
    <row r="12306" spans="9:9" x14ac:dyDescent="0.25">
      <c r="I12306" s="227" t="str">
        <f>MID(excPisCofins[[#This Row],[CodBarras2]],2,50)</f>
        <v/>
      </c>
    </row>
    <row r="12307" spans="9:9" x14ac:dyDescent="0.25">
      <c r="I12307" s="227" t="str">
        <f>MID(excPisCofins[[#This Row],[CodBarras2]],2,50)</f>
        <v/>
      </c>
    </row>
    <row r="12308" spans="9:9" x14ac:dyDescent="0.25">
      <c r="I12308" s="227" t="str">
        <f>MID(excPisCofins[[#This Row],[CodBarras2]],2,50)</f>
        <v/>
      </c>
    </row>
    <row r="12309" spans="9:9" x14ac:dyDescent="0.25">
      <c r="I12309" s="227" t="str">
        <f>MID(excPisCofins[[#This Row],[CodBarras2]],2,50)</f>
        <v/>
      </c>
    </row>
    <row r="12310" spans="9:9" x14ac:dyDescent="0.25">
      <c r="I12310" s="227" t="str">
        <f>MID(excPisCofins[[#This Row],[CodBarras2]],2,50)</f>
        <v/>
      </c>
    </row>
    <row r="12311" spans="9:9" x14ac:dyDescent="0.25">
      <c r="I12311" s="227" t="str">
        <f>MID(excPisCofins[[#This Row],[CodBarras2]],2,50)</f>
        <v/>
      </c>
    </row>
    <row r="12312" spans="9:9" x14ac:dyDescent="0.25">
      <c r="I12312" s="227" t="str">
        <f>MID(excPisCofins[[#This Row],[CodBarras2]],2,50)</f>
        <v/>
      </c>
    </row>
    <row r="12313" spans="9:9" x14ac:dyDescent="0.25">
      <c r="I12313" s="227" t="str">
        <f>MID(excPisCofins[[#This Row],[CodBarras2]],2,50)</f>
        <v/>
      </c>
    </row>
    <row r="12314" spans="9:9" x14ac:dyDescent="0.25">
      <c r="I12314" s="227" t="str">
        <f>MID(excPisCofins[[#This Row],[CodBarras2]],2,50)</f>
        <v/>
      </c>
    </row>
    <row r="12315" spans="9:9" x14ac:dyDescent="0.25">
      <c r="I12315" s="227" t="str">
        <f>MID(excPisCofins[[#This Row],[CodBarras2]],2,50)</f>
        <v/>
      </c>
    </row>
    <row r="12316" spans="9:9" x14ac:dyDescent="0.25">
      <c r="I12316" s="227" t="str">
        <f>MID(excPisCofins[[#This Row],[CodBarras2]],2,50)</f>
        <v/>
      </c>
    </row>
    <row r="12317" spans="9:9" x14ac:dyDescent="0.25">
      <c r="I12317" s="227" t="str">
        <f>MID(excPisCofins[[#This Row],[CodBarras2]],2,50)</f>
        <v/>
      </c>
    </row>
    <row r="12318" spans="9:9" x14ac:dyDescent="0.25">
      <c r="I12318" s="227" t="str">
        <f>MID(excPisCofins[[#This Row],[CodBarras2]],2,50)</f>
        <v/>
      </c>
    </row>
    <row r="12319" spans="9:9" x14ac:dyDescent="0.25">
      <c r="I12319" s="227" t="str">
        <f>MID(excPisCofins[[#This Row],[CodBarras2]],2,50)</f>
        <v/>
      </c>
    </row>
    <row r="12320" spans="9:9" x14ac:dyDescent="0.25">
      <c r="I12320" s="227" t="str">
        <f>MID(excPisCofins[[#This Row],[CodBarras2]],2,50)</f>
        <v/>
      </c>
    </row>
    <row r="12321" spans="9:9" x14ac:dyDescent="0.25">
      <c r="I12321" s="227" t="str">
        <f>MID(excPisCofins[[#This Row],[CodBarras2]],2,50)</f>
        <v/>
      </c>
    </row>
    <row r="12322" spans="9:9" x14ac:dyDescent="0.25">
      <c r="I12322" s="227" t="str">
        <f>MID(excPisCofins[[#This Row],[CodBarras2]],2,50)</f>
        <v/>
      </c>
    </row>
    <row r="12323" spans="9:9" x14ac:dyDescent="0.25">
      <c r="I12323" s="227" t="str">
        <f>MID(excPisCofins[[#This Row],[CodBarras2]],2,50)</f>
        <v/>
      </c>
    </row>
    <row r="12324" spans="9:9" x14ac:dyDescent="0.25">
      <c r="I12324" s="227" t="str">
        <f>MID(excPisCofins[[#This Row],[CodBarras2]],2,50)</f>
        <v/>
      </c>
    </row>
    <row r="12325" spans="9:9" x14ac:dyDescent="0.25">
      <c r="I12325" s="227" t="str">
        <f>MID(excPisCofins[[#This Row],[CodBarras2]],2,50)</f>
        <v/>
      </c>
    </row>
    <row r="12326" spans="9:9" x14ac:dyDescent="0.25">
      <c r="I12326" s="227" t="str">
        <f>MID(excPisCofins[[#This Row],[CodBarras2]],2,50)</f>
        <v/>
      </c>
    </row>
    <row r="12327" spans="9:9" x14ac:dyDescent="0.25">
      <c r="I12327" s="227" t="str">
        <f>MID(excPisCofins[[#This Row],[CodBarras2]],2,50)</f>
        <v/>
      </c>
    </row>
    <row r="12328" spans="9:9" x14ac:dyDescent="0.25">
      <c r="I12328" s="227" t="str">
        <f>MID(excPisCofins[[#This Row],[CodBarras2]],2,50)</f>
        <v/>
      </c>
    </row>
    <row r="12329" spans="9:9" x14ac:dyDescent="0.25">
      <c r="I12329" s="227" t="str">
        <f>MID(excPisCofins[[#This Row],[CodBarras2]],2,50)</f>
        <v/>
      </c>
    </row>
    <row r="12330" spans="9:9" x14ac:dyDescent="0.25">
      <c r="I12330" s="227" t="str">
        <f>MID(excPisCofins[[#This Row],[CodBarras2]],2,50)</f>
        <v/>
      </c>
    </row>
    <row r="12331" spans="9:9" x14ac:dyDescent="0.25">
      <c r="I12331" s="227" t="str">
        <f>MID(excPisCofins[[#This Row],[CodBarras2]],2,50)</f>
        <v/>
      </c>
    </row>
    <row r="12332" spans="9:9" x14ac:dyDescent="0.25">
      <c r="I12332" s="227" t="str">
        <f>MID(excPisCofins[[#This Row],[CodBarras2]],2,50)</f>
        <v/>
      </c>
    </row>
    <row r="12333" spans="9:9" x14ac:dyDescent="0.25">
      <c r="I12333" s="227" t="str">
        <f>MID(excPisCofins[[#This Row],[CodBarras2]],2,50)</f>
        <v/>
      </c>
    </row>
    <row r="12334" spans="9:9" x14ac:dyDescent="0.25">
      <c r="I12334" s="227" t="str">
        <f>MID(excPisCofins[[#This Row],[CodBarras2]],2,50)</f>
        <v/>
      </c>
    </row>
    <row r="12335" spans="9:9" x14ac:dyDescent="0.25">
      <c r="I12335" s="227" t="str">
        <f>MID(excPisCofins[[#This Row],[CodBarras2]],2,50)</f>
        <v/>
      </c>
    </row>
    <row r="12336" spans="9:9" x14ac:dyDescent="0.25">
      <c r="I12336" s="227" t="str">
        <f>MID(excPisCofins[[#This Row],[CodBarras2]],2,50)</f>
        <v/>
      </c>
    </row>
    <row r="12337" spans="9:9" x14ac:dyDescent="0.25">
      <c r="I12337" s="227" t="str">
        <f>MID(excPisCofins[[#This Row],[CodBarras2]],2,50)</f>
        <v/>
      </c>
    </row>
    <row r="12338" spans="9:9" x14ac:dyDescent="0.25">
      <c r="I12338" s="227" t="str">
        <f>MID(excPisCofins[[#This Row],[CodBarras2]],2,50)</f>
        <v/>
      </c>
    </row>
    <row r="12339" spans="9:9" x14ac:dyDescent="0.25">
      <c r="I12339" s="227" t="str">
        <f>MID(excPisCofins[[#This Row],[CodBarras2]],2,50)</f>
        <v/>
      </c>
    </row>
    <row r="12340" spans="9:9" x14ac:dyDescent="0.25">
      <c r="I12340" s="227" t="str">
        <f>MID(excPisCofins[[#This Row],[CodBarras2]],2,50)</f>
        <v/>
      </c>
    </row>
    <row r="12341" spans="9:9" x14ac:dyDescent="0.25">
      <c r="I12341" s="227" t="str">
        <f>MID(excPisCofins[[#This Row],[CodBarras2]],2,50)</f>
        <v/>
      </c>
    </row>
    <row r="12342" spans="9:9" x14ac:dyDescent="0.25">
      <c r="I12342" s="227" t="str">
        <f>MID(excPisCofins[[#This Row],[CodBarras2]],2,50)</f>
        <v/>
      </c>
    </row>
    <row r="12343" spans="9:9" x14ac:dyDescent="0.25">
      <c r="I12343" s="227" t="str">
        <f>MID(excPisCofins[[#This Row],[CodBarras2]],2,50)</f>
        <v/>
      </c>
    </row>
    <row r="12344" spans="9:9" x14ac:dyDescent="0.25">
      <c r="I12344" s="227" t="str">
        <f>MID(excPisCofins[[#This Row],[CodBarras2]],2,50)</f>
        <v/>
      </c>
    </row>
    <row r="12345" spans="9:9" x14ac:dyDescent="0.25">
      <c r="I12345" s="227" t="str">
        <f>MID(excPisCofins[[#This Row],[CodBarras2]],2,50)</f>
        <v/>
      </c>
    </row>
    <row r="12346" spans="9:9" x14ac:dyDescent="0.25">
      <c r="I12346" s="227" t="str">
        <f>MID(excPisCofins[[#This Row],[CodBarras2]],2,50)</f>
        <v/>
      </c>
    </row>
    <row r="12347" spans="9:9" x14ac:dyDescent="0.25">
      <c r="I12347" s="227" t="str">
        <f>MID(excPisCofins[[#This Row],[CodBarras2]],2,50)</f>
        <v/>
      </c>
    </row>
    <row r="12348" spans="9:9" x14ac:dyDescent="0.25">
      <c r="I12348" s="227" t="str">
        <f>MID(excPisCofins[[#This Row],[CodBarras2]],2,50)</f>
        <v/>
      </c>
    </row>
    <row r="12349" spans="9:9" x14ac:dyDescent="0.25">
      <c r="I12349" s="227" t="str">
        <f>MID(excPisCofins[[#This Row],[CodBarras2]],2,50)</f>
        <v/>
      </c>
    </row>
    <row r="12350" spans="9:9" x14ac:dyDescent="0.25">
      <c r="I12350" s="227" t="str">
        <f>MID(excPisCofins[[#This Row],[CodBarras2]],2,50)</f>
        <v/>
      </c>
    </row>
    <row r="12351" spans="9:9" x14ac:dyDescent="0.25">
      <c r="I12351" s="227" t="str">
        <f>MID(excPisCofins[[#This Row],[CodBarras2]],2,50)</f>
        <v/>
      </c>
    </row>
    <row r="12352" spans="9:9" x14ac:dyDescent="0.25">
      <c r="I12352" s="227" t="str">
        <f>MID(excPisCofins[[#This Row],[CodBarras2]],2,50)</f>
        <v/>
      </c>
    </row>
    <row r="12353" spans="9:9" x14ac:dyDescent="0.25">
      <c r="I12353" s="227" t="str">
        <f>MID(excPisCofins[[#This Row],[CodBarras2]],2,50)</f>
        <v/>
      </c>
    </row>
    <row r="12354" spans="9:9" x14ac:dyDescent="0.25">
      <c r="I12354" s="227" t="str">
        <f>MID(excPisCofins[[#This Row],[CodBarras2]],2,50)</f>
        <v/>
      </c>
    </row>
    <row r="12355" spans="9:9" x14ac:dyDescent="0.25">
      <c r="I12355" s="227" t="str">
        <f>MID(excPisCofins[[#This Row],[CodBarras2]],2,50)</f>
        <v/>
      </c>
    </row>
    <row r="12356" spans="9:9" x14ac:dyDescent="0.25">
      <c r="I12356" s="227" t="str">
        <f>MID(excPisCofins[[#This Row],[CodBarras2]],2,50)</f>
        <v/>
      </c>
    </row>
    <row r="12357" spans="9:9" x14ac:dyDescent="0.25">
      <c r="I12357" s="227" t="str">
        <f>MID(excPisCofins[[#This Row],[CodBarras2]],2,50)</f>
        <v/>
      </c>
    </row>
    <row r="12358" spans="9:9" x14ac:dyDescent="0.25">
      <c r="I12358" s="227" t="str">
        <f>MID(excPisCofins[[#This Row],[CodBarras2]],2,50)</f>
        <v/>
      </c>
    </row>
    <row r="12359" spans="9:9" x14ac:dyDescent="0.25">
      <c r="I12359" s="227" t="str">
        <f>MID(excPisCofins[[#This Row],[CodBarras2]],2,50)</f>
        <v/>
      </c>
    </row>
    <row r="12360" spans="9:9" x14ac:dyDescent="0.25">
      <c r="I12360" s="227" t="str">
        <f>MID(excPisCofins[[#This Row],[CodBarras2]],2,50)</f>
        <v/>
      </c>
    </row>
    <row r="12361" spans="9:9" x14ac:dyDescent="0.25">
      <c r="I12361" s="227" t="str">
        <f>MID(excPisCofins[[#This Row],[CodBarras2]],2,50)</f>
        <v/>
      </c>
    </row>
    <row r="12362" spans="9:9" x14ac:dyDescent="0.25">
      <c r="I12362" s="227" t="str">
        <f>MID(excPisCofins[[#This Row],[CodBarras2]],2,50)</f>
        <v/>
      </c>
    </row>
    <row r="12363" spans="9:9" x14ac:dyDescent="0.25">
      <c r="I12363" s="227" t="str">
        <f>MID(excPisCofins[[#This Row],[CodBarras2]],2,50)</f>
        <v/>
      </c>
    </row>
    <row r="12364" spans="9:9" x14ac:dyDescent="0.25">
      <c r="I12364" s="227" t="str">
        <f>MID(excPisCofins[[#This Row],[CodBarras2]],2,50)</f>
        <v/>
      </c>
    </row>
    <row r="12365" spans="9:9" x14ac:dyDescent="0.25">
      <c r="I12365" s="227" t="str">
        <f>MID(excPisCofins[[#This Row],[CodBarras2]],2,50)</f>
        <v/>
      </c>
    </row>
    <row r="12366" spans="9:9" x14ac:dyDescent="0.25">
      <c r="I12366" s="227" t="str">
        <f>MID(excPisCofins[[#This Row],[CodBarras2]],2,50)</f>
        <v/>
      </c>
    </row>
    <row r="12367" spans="9:9" x14ac:dyDescent="0.25">
      <c r="I12367" s="227" t="str">
        <f>MID(excPisCofins[[#This Row],[CodBarras2]],2,50)</f>
        <v/>
      </c>
    </row>
    <row r="12368" spans="9:9" x14ac:dyDescent="0.25">
      <c r="I12368" s="227" t="str">
        <f>MID(excPisCofins[[#This Row],[CodBarras2]],2,50)</f>
        <v/>
      </c>
    </row>
    <row r="12369" spans="9:9" x14ac:dyDescent="0.25">
      <c r="I12369" s="227" t="str">
        <f>MID(excPisCofins[[#This Row],[CodBarras2]],2,50)</f>
        <v/>
      </c>
    </row>
    <row r="12370" spans="9:9" x14ac:dyDescent="0.25">
      <c r="I12370" s="227" t="str">
        <f>MID(excPisCofins[[#This Row],[CodBarras2]],2,50)</f>
        <v/>
      </c>
    </row>
    <row r="12371" spans="9:9" x14ac:dyDescent="0.25">
      <c r="I12371" s="227" t="str">
        <f>MID(excPisCofins[[#This Row],[CodBarras2]],2,50)</f>
        <v/>
      </c>
    </row>
    <row r="12372" spans="9:9" x14ac:dyDescent="0.25">
      <c r="I12372" s="227" t="str">
        <f>MID(excPisCofins[[#This Row],[CodBarras2]],2,50)</f>
        <v/>
      </c>
    </row>
    <row r="12373" spans="9:9" x14ac:dyDescent="0.25">
      <c r="I12373" s="227" t="str">
        <f>MID(excPisCofins[[#This Row],[CodBarras2]],2,50)</f>
        <v/>
      </c>
    </row>
    <row r="12374" spans="9:9" x14ac:dyDescent="0.25">
      <c r="I12374" s="227" t="str">
        <f>MID(excPisCofins[[#This Row],[CodBarras2]],2,50)</f>
        <v/>
      </c>
    </row>
    <row r="12375" spans="9:9" x14ac:dyDescent="0.25">
      <c r="I12375" s="227" t="str">
        <f>MID(excPisCofins[[#This Row],[CodBarras2]],2,50)</f>
        <v/>
      </c>
    </row>
    <row r="12376" spans="9:9" x14ac:dyDescent="0.25">
      <c r="I12376" s="227" t="str">
        <f>MID(excPisCofins[[#This Row],[CodBarras2]],2,50)</f>
        <v/>
      </c>
    </row>
    <row r="12377" spans="9:9" x14ac:dyDescent="0.25">
      <c r="I12377" s="227" t="str">
        <f>MID(excPisCofins[[#This Row],[CodBarras2]],2,50)</f>
        <v/>
      </c>
    </row>
    <row r="12378" spans="9:9" x14ac:dyDescent="0.25">
      <c r="I12378" s="227" t="str">
        <f>MID(excPisCofins[[#This Row],[CodBarras2]],2,50)</f>
        <v/>
      </c>
    </row>
    <row r="12379" spans="9:9" x14ac:dyDescent="0.25">
      <c r="I12379" s="227" t="str">
        <f>MID(excPisCofins[[#This Row],[CodBarras2]],2,50)</f>
        <v/>
      </c>
    </row>
    <row r="12380" spans="9:9" x14ac:dyDescent="0.25">
      <c r="I12380" s="227" t="str">
        <f>MID(excPisCofins[[#This Row],[CodBarras2]],2,50)</f>
        <v/>
      </c>
    </row>
    <row r="12381" spans="9:9" x14ac:dyDescent="0.25">
      <c r="I12381" s="227" t="str">
        <f>MID(excPisCofins[[#This Row],[CodBarras2]],2,50)</f>
        <v/>
      </c>
    </row>
    <row r="12382" spans="9:9" x14ac:dyDescent="0.25">
      <c r="I12382" s="227" t="str">
        <f>MID(excPisCofins[[#This Row],[CodBarras2]],2,50)</f>
        <v/>
      </c>
    </row>
    <row r="12383" spans="9:9" x14ac:dyDescent="0.25">
      <c r="I12383" s="227" t="str">
        <f>MID(excPisCofins[[#This Row],[CodBarras2]],2,50)</f>
        <v/>
      </c>
    </row>
    <row r="12384" spans="9:9" x14ac:dyDescent="0.25">
      <c r="I12384" s="227" t="str">
        <f>MID(excPisCofins[[#This Row],[CodBarras2]],2,50)</f>
        <v/>
      </c>
    </row>
    <row r="12385" spans="9:9" x14ac:dyDescent="0.25">
      <c r="I12385" s="227" t="str">
        <f>MID(excPisCofins[[#This Row],[CodBarras2]],2,50)</f>
        <v/>
      </c>
    </row>
    <row r="12386" spans="9:9" x14ac:dyDescent="0.25">
      <c r="I12386" s="227" t="str">
        <f>MID(excPisCofins[[#This Row],[CodBarras2]],2,50)</f>
        <v/>
      </c>
    </row>
    <row r="12387" spans="9:9" x14ac:dyDescent="0.25">
      <c r="I12387" s="227" t="str">
        <f>MID(excPisCofins[[#This Row],[CodBarras2]],2,50)</f>
        <v/>
      </c>
    </row>
    <row r="12388" spans="9:9" x14ac:dyDescent="0.25">
      <c r="I12388" s="227" t="str">
        <f>MID(excPisCofins[[#This Row],[CodBarras2]],2,50)</f>
        <v/>
      </c>
    </row>
    <row r="12389" spans="9:9" x14ac:dyDescent="0.25">
      <c r="I12389" s="227" t="str">
        <f>MID(excPisCofins[[#This Row],[CodBarras2]],2,50)</f>
        <v/>
      </c>
    </row>
    <row r="12390" spans="9:9" x14ac:dyDescent="0.25">
      <c r="I12390" s="227" t="str">
        <f>MID(excPisCofins[[#This Row],[CodBarras2]],2,50)</f>
        <v/>
      </c>
    </row>
    <row r="12391" spans="9:9" x14ac:dyDescent="0.25">
      <c r="I12391" s="227" t="str">
        <f>MID(excPisCofins[[#This Row],[CodBarras2]],2,50)</f>
        <v/>
      </c>
    </row>
    <row r="12392" spans="9:9" x14ac:dyDescent="0.25">
      <c r="I12392" s="227" t="str">
        <f>MID(excPisCofins[[#This Row],[CodBarras2]],2,50)</f>
        <v/>
      </c>
    </row>
    <row r="12393" spans="9:9" x14ac:dyDescent="0.25">
      <c r="I12393" s="227" t="str">
        <f>MID(excPisCofins[[#This Row],[CodBarras2]],2,50)</f>
        <v/>
      </c>
    </row>
    <row r="12394" spans="9:9" x14ac:dyDescent="0.25">
      <c r="I12394" s="227" t="str">
        <f>MID(excPisCofins[[#This Row],[CodBarras2]],2,50)</f>
        <v/>
      </c>
    </row>
    <row r="12395" spans="9:9" x14ac:dyDescent="0.25">
      <c r="I12395" s="227" t="str">
        <f>MID(excPisCofins[[#This Row],[CodBarras2]],2,50)</f>
        <v/>
      </c>
    </row>
    <row r="12396" spans="9:9" x14ac:dyDescent="0.25">
      <c r="I12396" s="227" t="str">
        <f>MID(excPisCofins[[#This Row],[CodBarras2]],2,50)</f>
        <v/>
      </c>
    </row>
    <row r="12397" spans="9:9" x14ac:dyDescent="0.25">
      <c r="I12397" s="227" t="str">
        <f>MID(excPisCofins[[#This Row],[CodBarras2]],2,50)</f>
        <v/>
      </c>
    </row>
    <row r="12398" spans="9:9" x14ac:dyDescent="0.25">
      <c r="I12398" s="227" t="str">
        <f>MID(excPisCofins[[#This Row],[CodBarras2]],2,50)</f>
        <v/>
      </c>
    </row>
    <row r="12399" spans="9:9" x14ac:dyDescent="0.25">
      <c r="I12399" s="227" t="str">
        <f>MID(excPisCofins[[#This Row],[CodBarras2]],2,50)</f>
        <v/>
      </c>
    </row>
    <row r="12400" spans="9:9" x14ac:dyDescent="0.25">
      <c r="I12400" s="227" t="str">
        <f>MID(excPisCofins[[#This Row],[CodBarras2]],2,50)</f>
        <v/>
      </c>
    </row>
    <row r="12401" spans="9:9" x14ac:dyDescent="0.25">
      <c r="I12401" s="227" t="str">
        <f>MID(excPisCofins[[#This Row],[CodBarras2]],2,50)</f>
        <v/>
      </c>
    </row>
    <row r="12402" spans="9:9" x14ac:dyDescent="0.25">
      <c r="I12402" s="227" t="str">
        <f>MID(excPisCofins[[#This Row],[CodBarras2]],2,50)</f>
        <v/>
      </c>
    </row>
    <row r="12403" spans="9:9" x14ac:dyDescent="0.25">
      <c r="I12403" s="227" t="str">
        <f>MID(excPisCofins[[#This Row],[CodBarras2]],2,50)</f>
        <v/>
      </c>
    </row>
    <row r="12404" spans="9:9" x14ac:dyDescent="0.25">
      <c r="I12404" s="227" t="str">
        <f>MID(excPisCofins[[#This Row],[CodBarras2]],2,50)</f>
        <v/>
      </c>
    </row>
    <row r="12405" spans="9:9" x14ac:dyDescent="0.25">
      <c r="I12405" s="227" t="str">
        <f>MID(excPisCofins[[#This Row],[CodBarras2]],2,50)</f>
        <v/>
      </c>
    </row>
    <row r="12406" spans="9:9" x14ac:dyDescent="0.25">
      <c r="I12406" s="227" t="str">
        <f>MID(excPisCofins[[#This Row],[CodBarras2]],2,50)</f>
        <v/>
      </c>
    </row>
    <row r="12407" spans="9:9" x14ac:dyDescent="0.25">
      <c r="I12407" s="227" t="str">
        <f>MID(excPisCofins[[#This Row],[CodBarras2]],2,50)</f>
        <v/>
      </c>
    </row>
    <row r="12408" spans="9:9" x14ac:dyDescent="0.25">
      <c r="I12408" s="227" t="str">
        <f>MID(excPisCofins[[#This Row],[CodBarras2]],2,50)</f>
        <v/>
      </c>
    </row>
    <row r="12409" spans="9:9" x14ac:dyDescent="0.25">
      <c r="I12409" s="227" t="str">
        <f>MID(excPisCofins[[#This Row],[CodBarras2]],2,50)</f>
        <v/>
      </c>
    </row>
    <row r="12410" spans="9:9" x14ac:dyDescent="0.25">
      <c r="I12410" s="227" t="str">
        <f>MID(excPisCofins[[#This Row],[CodBarras2]],2,50)</f>
        <v/>
      </c>
    </row>
    <row r="12411" spans="9:9" x14ac:dyDescent="0.25">
      <c r="I12411" s="227" t="str">
        <f>MID(excPisCofins[[#This Row],[CodBarras2]],2,50)</f>
        <v/>
      </c>
    </row>
    <row r="12412" spans="9:9" x14ac:dyDescent="0.25">
      <c r="I12412" s="227" t="str">
        <f>MID(excPisCofins[[#This Row],[CodBarras2]],2,50)</f>
        <v/>
      </c>
    </row>
    <row r="12413" spans="9:9" x14ac:dyDescent="0.25">
      <c r="I12413" s="227" t="str">
        <f>MID(excPisCofins[[#This Row],[CodBarras2]],2,50)</f>
        <v/>
      </c>
    </row>
    <row r="12414" spans="9:9" x14ac:dyDescent="0.25">
      <c r="I12414" s="227" t="str">
        <f>MID(excPisCofins[[#This Row],[CodBarras2]],2,50)</f>
        <v/>
      </c>
    </row>
    <row r="12415" spans="9:9" x14ac:dyDescent="0.25">
      <c r="I12415" s="227" t="str">
        <f>MID(excPisCofins[[#This Row],[CodBarras2]],2,50)</f>
        <v/>
      </c>
    </row>
    <row r="12416" spans="9:9" x14ac:dyDescent="0.25">
      <c r="I12416" s="227" t="str">
        <f>MID(excPisCofins[[#This Row],[CodBarras2]],2,50)</f>
        <v/>
      </c>
    </row>
    <row r="12417" spans="9:9" x14ac:dyDescent="0.25">
      <c r="I12417" s="227" t="str">
        <f>MID(excPisCofins[[#This Row],[CodBarras2]],2,50)</f>
        <v/>
      </c>
    </row>
    <row r="12418" spans="9:9" x14ac:dyDescent="0.25">
      <c r="I12418" s="227" t="str">
        <f>MID(excPisCofins[[#This Row],[CodBarras2]],2,50)</f>
        <v/>
      </c>
    </row>
    <row r="12419" spans="9:9" x14ac:dyDescent="0.25">
      <c r="I12419" s="227" t="str">
        <f>MID(excPisCofins[[#This Row],[CodBarras2]],2,50)</f>
        <v/>
      </c>
    </row>
    <row r="12420" spans="9:9" x14ac:dyDescent="0.25">
      <c r="I12420" s="227" t="str">
        <f>MID(excPisCofins[[#This Row],[CodBarras2]],2,50)</f>
        <v/>
      </c>
    </row>
    <row r="12421" spans="9:9" x14ac:dyDescent="0.25">
      <c r="I12421" s="227" t="str">
        <f>MID(excPisCofins[[#This Row],[CodBarras2]],2,50)</f>
        <v/>
      </c>
    </row>
    <row r="12422" spans="9:9" x14ac:dyDescent="0.25">
      <c r="I12422" s="227" t="str">
        <f>MID(excPisCofins[[#This Row],[CodBarras2]],2,50)</f>
        <v/>
      </c>
    </row>
    <row r="12423" spans="9:9" x14ac:dyDescent="0.25">
      <c r="I12423" s="227" t="str">
        <f>MID(excPisCofins[[#This Row],[CodBarras2]],2,50)</f>
        <v/>
      </c>
    </row>
    <row r="12424" spans="9:9" x14ac:dyDescent="0.25">
      <c r="I12424" s="227" t="str">
        <f>MID(excPisCofins[[#This Row],[CodBarras2]],2,50)</f>
        <v/>
      </c>
    </row>
    <row r="12425" spans="9:9" x14ac:dyDescent="0.25">
      <c r="I12425" s="227" t="str">
        <f>MID(excPisCofins[[#This Row],[CodBarras2]],2,50)</f>
        <v/>
      </c>
    </row>
    <row r="12426" spans="9:9" x14ac:dyDescent="0.25">
      <c r="I12426" s="227" t="str">
        <f>MID(excPisCofins[[#This Row],[CodBarras2]],2,50)</f>
        <v/>
      </c>
    </row>
    <row r="12427" spans="9:9" x14ac:dyDescent="0.25">
      <c r="I12427" s="227" t="str">
        <f>MID(excPisCofins[[#This Row],[CodBarras2]],2,50)</f>
        <v/>
      </c>
    </row>
    <row r="12428" spans="9:9" x14ac:dyDescent="0.25">
      <c r="I12428" s="227" t="str">
        <f>MID(excPisCofins[[#This Row],[CodBarras2]],2,50)</f>
        <v/>
      </c>
    </row>
    <row r="12429" spans="9:9" x14ac:dyDescent="0.25">
      <c r="I12429" s="227" t="str">
        <f>MID(excPisCofins[[#This Row],[CodBarras2]],2,50)</f>
        <v/>
      </c>
    </row>
    <row r="12430" spans="9:9" x14ac:dyDescent="0.25">
      <c r="I12430" s="227" t="str">
        <f>MID(excPisCofins[[#This Row],[CodBarras2]],2,50)</f>
        <v/>
      </c>
    </row>
    <row r="12431" spans="9:9" x14ac:dyDescent="0.25">
      <c r="I12431" s="227" t="str">
        <f>MID(excPisCofins[[#This Row],[CodBarras2]],2,50)</f>
        <v/>
      </c>
    </row>
    <row r="12432" spans="9:9" x14ac:dyDescent="0.25">
      <c r="I12432" s="227" t="str">
        <f>MID(excPisCofins[[#This Row],[CodBarras2]],2,50)</f>
        <v/>
      </c>
    </row>
    <row r="12433" spans="9:9" x14ac:dyDescent="0.25">
      <c r="I12433" s="227" t="str">
        <f>MID(excPisCofins[[#This Row],[CodBarras2]],2,50)</f>
        <v/>
      </c>
    </row>
    <row r="12434" spans="9:9" x14ac:dyDescent="0.25">
      <c r="I12434" s="227" t="str">
        <f>MID(excPisCofins[[#This Row],[CodBarras2]],2,50)</f>
        <v/>
      </c>
    </row>
    <row r="12435" spans="9:9" x14ac:dyDescent="0.25">
      <c r="I12435" s="227" t="str">
        <f>MID(excPisCofins[[#This Row],[CodBarras2]],2,50)</f>
        <v/>
      </c>
    </row>
    <row r="12436" spans="9:9" x14ac:dyDescent="0.25">
      <c r="I12436" s="227" t="str">
        <f>MID(excPisCofins[[#This Row],[CodBarras2]],2,50)</f>
        <v/>
      </c>
    </row>
    <row r="12437" spans="9:9" x14ac:dyDescent="0.25">
      <c r="I12437" s="227" t="str">
        <f>MID(excPisCofins[[#This Row],[CodBarras2]],2,50)</f>
        <v/>
      </c>
    </row>
    <row r="12438" spans="9:9" x14ac:dyDescent="0.25">
      <c r="I12438" s="227" t="str">
        <f>MID(excPisCofins[[#This Row],[CodBarras2]],2,50)</f>
        <v/>
      </c>
    </row>
    <row r="12439" spans="9:9" x14ac:dyDescent="0.25">
      <c r="I12439" s="227" t="str">
        <f>MID(excPisCofins[[#This Row],[CodBarras2]],2,50)</f>
        <v/>
      </c>
    </row>
    <row r="12440" spans="9:9" x14ac:dyDescent="0.25">
      <c r="I12440" s="227" t="str">
        <f>MID(excPisCofins[[#This Row],[CodBarras2]],2,50)</f>
        <v/>
      </c>
    </row>
    <row r="12441" spans="9:9" x14ac:dyDescent="0.25">
      <c r="I12441" s="227" t="str">
        <f>MID(excPisCofins[[#This Row],[CodBarras2]],2,50)</f>
        <v/>
      </c>
    </row>
    <row r="12442" spans="9:9" x14ac:dyDescent="0.25">
      <c r="I12442" s="227" t="str">
        <f>MID(excPisCofins[[#This Row],[CodBarras2]],2,50)</f>
        <v/>
      </c>
    </row>
    <row r="12443" spans="9:9" x14ac:dyDescent="0.25">
      <c r="I12443" s="227" t="str">
        <f>MID(excPisCofins[[#This Row],[CodBarras2]],2,50)</f>
        <v/>
      </c>
    </row>
    <row r="12444" spans="9:9" x14ac:dyDescent="0.25">
      <c r="I12444" s="227" t="str">
        <f>MID(excPisCofins[[#This Row],[CodBarras2]],2,50)</f>
        <v/>
      </c>
    </row>
    <row r="12445" spans="9:9" x14ac:dyDescent="0.25">
      <c r="I12445" s="227" t="str">
        <f>MID(excPisCofins[[#This Row],[CodBarras2]],2,50)</f>
        <v/>
      </c>
    </row>
    <row r="12446" spans="9:9" x14ac:dyDescent="0.25">
      <c r="I12446" s="227" t="str">
        <f>MID(excPisCofins[[#This Row],[CodBarras2]],2,50)</f>
        <v/>
      </c>
    </row>
    <row r="12447" spans="9:9" x14ac:dyDescent="0.25">
      <c r="I12447" s="227" t="str">
        <f>MID(excPisCofins[[#This Row],[CodBarras2]],2,50)</f>
        <v/>
      </c>
    </row>
    <row r="12448" spans="9:9" x14ac:dyDescent="0.25">
      <c r="I12448" s="227" t="str">
        <f>MID(excPisCofins[[#This Row],[CodBarras2]],2,50)</f>
        <v/>
      </c>
    </row>
    <row r="12449" spans="9:9" x14ac:dyDescent="0.25">
      <c r="I12449" s="227" t="str">
        <f>MID(excPisCofins[[#This Row],[CodBarras2]],2,50)</f>
        <v/>
      </c>
    </row>
    <row r="12450" spans="9:9" x14ac:dyDescent="0.25">
      <c r="I12450" s="227" t="str">
        <f>MID(excPisCofins[[#This Row],[CodBarras2]],2,50)</f>
        <v/>
      </c>
    </row>
    <row r="12451" spans="9:9" x14ac:dyDescent="0.25">
      <c r="I12451" s="227" t="str">
        <f>MID(excPisCofins[[#This Row],[CodBarras2]],2,50)</f>
        <v/>
      </c>
    </row>
    <row r="12452" spans="9:9" x14ac:dyDescent="0.25">
      <c r="I12452" s="227" t="str">
        <f>MID(excPisCofins[[#This Row],[CodBarras2]],2,50)</f>
        <v/>
      </c>
    </row>
    <row r="12453" spans="9:9" x14ac:dyDescent="0.25">
      <c r="I12453" s="227" t="str">
        <f>MID(excPisCofins[[#This Row],[CodBarras2]],2,50)</f>
        <v/>
      </c>
    </row>
    <row r="12454" spans="9:9" x14ac:dyDescent="0.25">
      <c r="I12454" s="227" t="str">
        <f>MID(excPisCofins[[#This Row],[CodBarras2]],2,50)</f>
        <v/>
      </c>
    </row>
    <row r="12455" spans="9:9" x14ac:dyDescent="0.25">
      <c r="I12455" s="227" t="str">
        <f>MID(excPisCofins[[#This Row],[CodBarras2]],2,50)</f>
        <v/>
      </c>
    </row>
    <row r="12456" spans="9:9" x14ac:dyDescent="0.25">
      <c r="I12456" s="227" t="str">
        <f>MID(excPisCofins[[#This Row],[CodBarras2]],2,50)</f>
        <v/>
      </c>
    </row>
    <row r="12457" spans="9:9" x14ac:dyDescent="0.25">
      <c r="I12457" s="227" t="str">
        <f>MID(excPisCofins[[#This Row],[CodBarras2]],2,50)</f>
        <v/>
      </c>
    </row>
    <row r="12458" spans="9:9" x14ac:dyDescent="0.25">
      <c r="I12458" s="227" t="str">
        <f>MID(excPisCofins[[#This Row],[CodBarras2]],2,50)</f>
        <v/>
      </c>
    </row>
    <row r="12459" spans="9:9" x14ac:dyDescent="0.25">
      <c r="I12459" s="227" t="str">
        <f>MID(excPisCofins[[#This Row],[CodBarras2]],2,50)</f>
        <v/>
      </c>
    </row>
    <row r="12460" spans="9:9" x14ac:dyDescent="0.25">
      <c r="I12460" s="227" t="str">
        <f>MID(excPisCofins[[#This Row],[CodBarras2]],2,50)</f>
        <v/>
      </c>
    </row>
    <row r="12461" spans="9:9" x14ac:dyDescent="0.25">
      <c r="I12461" s="227" t="str">
        <f>MID(excPisCofins[[#This Row],[CodBarras2]],2,50)</f>
        <v/>
      </c>
    </row>
    <row r="12462" spans="9:9" x14ac:dyDescent="0.25">
      <c r="I12462" s="227" t="str">
        <f>MID(excPisCofins[[#This Row],[CodBarras2]],2,50)</f>
        <v/>
      </c>
    </row>
    <row r="12463" spans="9:9" x14ac:dyDescent="0.25">
      <c r="I12463" s="227" t="str">
        <f>MID(excPisCofins[[#This Row],[CodBarras2]],2,50)</f>
        <v/>
      </c>
    </row>
    <row r="12464" spans="9:9" x14ac:dyDescent="0.25">
      <c r="I12464" s="227" t="str">
        <f>MID(excPisCofins[[#This Row],[CodBarras2]],2,50)</f>
        <v/>
      </c>
    </row>
    <row r="12465" spans="9:9" x14ac:dyDescent="0.25">
      <c r="I12465" s="227" t="str">
        <f>MID(excPisCofins[[#This Row],[CodBarras2]],2,50)</f>
        <v/>
      </c>
    </row>
    <row r="12466" spans="9:9" x14ac:dyDescent="0.25">
      <c r="I12466" s="227" t="str">
        <f>MID(excPisCofins[[#This Row],[CodBarras2]],2,50)</f>
        <v/>
      </c>
    </row>
    <row r="12467" spans="9:9" x14ac:dyDescent="0.25">
      <c r="I12467" s="227" t="str">
        <f>MID(excPisCofins[[#This Row],[CodBarras2]],2,50)</f>
        <v/>
      </c>
    </row>
    <row r="12468" spans="9:9" x14ac:dyDescent="0.25">
      <c r="I12468" s="227" t="str">
        <f>MID(excPisCofins[[#This Row],[CodBarras2]],2,50)</f>
        <v/>
      </c>
    </row>
    <row r="12469" spans="9:9" x14ac:dyDescent="0.25">
      <c r="I12469" s="227" t="str">
        <f>MID(excPisCofins[[#This Row],[CodBarras2]],2,50)</f>
        <v/>
      </c>
    </row>
    <row r="12470" spans="9:9" x14ac:dyDescent="0.25">
      <c r="I12470" s="227" t="str">
        <f>MID(excPisCofins[[#This Row],[CodBarras2]],2,50)</f>
        <v/>
      </c>
    </row>
    <row r="12471" spans="9:9" x14ac:dyDescent="0.25">
      <c r="I12471" s="227" t="str">
        <f>MID(excPisCofins[[#This Row],[CodBarras2]],2,50)</f>
        <v/>
      </c>
    </row>
    <row r="12472" spans="9:9" x14ac:dyDescent="0.25">
      <c r="I12472" s="227" t="str">
        <f>MID(excPisCofins[[#This Row],[CodBarras2]],2,50)</f>
        <v/>
      </c>
    </row>
    <row r="12473" spans="9:9" x14ac:dyDescent="0.25">
      <c r="I12473" s="227" t="str">
        <f>MID(excPisCofins[[#This Row],[CodBarras2]],2,50)</f>
        <v/>
      </c>
    </row>
    <row r="12474" spans="9:9" x14ac:dyDescent="0.25">
      <c r="I12474" s="227" t="str">
        <f>MID(excPisCofins[[#This Row],[CodBarras2]],2,50)</f>
        <v/>
      </c>
    </row>
    <row r="12475" spans="9:9" x14ac:dyDescent="0.25">
      <c r="I12475" s="227" t="str">
        <f>MID(excPisCofins[[#This Row],[CodBarras2]],2,50)</f>
        <v/>
      </c>
    </row>
    <row r="12476" spans="9:9" x14ac:dyDescent="0.25">
      <c r="I12476" s="227" t="str">
        <f>MID(excPisCofins[[#This Row],[CodBarras2]],2,50)</f>
        <v/>
      </c>
    </row>
    <row r="12477" spans="9:9" x14ac:dyDescent="0.25">
      <c r="I12477" s="227" t="str">
        <f>MID(excPisCofins[[#This Row],[CodBarras2]],2,50)</f>
        <v/>
      </c>
    </row>
    <row r="12478" spans="9:9" x14ac:dyDescent="0.25">
      <c r="I12478" s="227" t="str">
        <f>MID(excPisCofins[[#This Row],[CodBarras2]],2,50)</f>
        <v/>
      </c>
    </row>
    <row r="12479" spans="9:9" x14ac:dyDescent="0.25">
      <c r="I12479" s="227" t="str">
        <f>MID(excPisCofins[[#This Row],[CodBarras2]],2,50)</f>
        <v/>
      </c>
    </row>
    <row r="12480" spans="9:9" x14ac:dyDescent="0.25">
      <c r="I12480" s="227" t="str">
        <f>MID(excPisCofins[[#This Row],[CodBarras2]],2,50)</f>
        <v/>
      </c>
    </row>
    <row r="12481" spans="9:9" x14ac:dyDescent="0.25">
      <c r="I12481" s="227" t="str">
        <f>MID(excPisCofins[[#This Row],[CodBarras2]],2,50)</f>
        <v/>
      </c>
    </row>
    <row r="12482" spans="9:9" x14ac:dyDescent="0.25">
      <c r="I12482" s="227" t="str">
        <f>MID(excPisCofins[[#This Row],[CodBarras2]],2,50)</f>
        <v/>
      </c>
    </row>
    <row r="12483" spans="9:9" x14ac:dyDescent="0.25">
      <c r="I12483" s="227" t="str">
        <f>MID(excPisCofins[[#This Row],[CodBarras2]],2,50)</f>
        <v/>
      </c>
    </row>
    <row r="12484" spans="9:9" x14ac:dyDescent="0.25">
      <c r="I12484" s="227" t="str">
        <f>MID(excPisCofins[[#This Row],[CodBarras2]],2,50)</f>
        <v/>
      </c>
    </row>
    <row r="12485" spans="9:9" x14ac:dyDescent="0.25">
      <c r="I12485" s="227" t="str">
        <f>MID(excPisCofins[[#This Row],[CodBarras2]],2,50)</f>
        <v/>
      </c>
    </row>
    <row r="12486" spans="9:9" x14ac:dyDescent="0.25">
      <c r="I12486" s="227" t="str">
        <f>MID(excPisCofins[[#This Row],[CodBarras2]],2,50)</f>
        <v/>
      </c>
    </row>
    <row r="12487" spans="9:9" x14ac:dyDescent="0.25">
      <c r="I12487" s="227" t="str">
        <f>MID(excPisCofins[[#This Row],[CodBarras2]],2,50)</f>
        <v/>
      </c>
    </row>
    <row r="12488" spans="9:9" x14ac:dyDescent="0.25">
      <c r="I12488" s="227" t="str">
        <f>MID(excPisCofins[[#This Row],[CodBarras2]],2,50)</f>
        <v/>
      </c>
    </row>
    <row r="12489" spans="9:9" x14ac:dyDescent="0.25">
      <c r="I12489" s="227" t="str">
        <f>MID(excPisCofins[[#This Row],[CodBarras2]],2,50)</f>
        <v/>
      </c>
    </row>
    <row r="12490" spans="9:9" x14ac:dyDescent="0.25">
      <c r="I12490" s="227" t="str">
        <f>MID(excPisCofins[[#This Row],[CodBarras2]],2,50)</f>
        <v/>
      </c>
    </row>
    <row r="12491" spans="9:9" x14ac:dyDescent="0.25">
      <c r="I12491" s="227" t="str">
        <f>MID(excPisCofins[[#This Row],[CodBarras2]],2,50)</f>
        <v/>
      </c>
    </row>
    <row r="12492" spans="9:9" x14ac:dyDescent="0.25">
      <c r="I12492" s="227" t="str">
        <f>MID(excPisCofins[[#This Row],[CodBarras2]],2,50)</f>
        <v/>
      </c>
    </row>
    <row r="12493" spans="9:9" x14ac:dyDescent="0.25">
      <c r="I12493" s="227" t="str">
        <f>MID(excPisCofins[[#This Row],[CodBarras2]],2,50)</f>
        <v/>
      </c>
    </row>
    <row r="12494" spans="9:9" x14ac:dyDescent="0.25">
      <c r="I12494" s="227" t="str">
        <f>MID(excPisCofins[[#This Row],[CodBarras2]],2,50)</f>
        <v/>
      </c>
    </row>
    <row r="12495" spans="9:9" x14ac:dyDescent="0.25">
      <c r="I12495" s="227" t="str">
        <f>MID(excPisCofins[[#This Row],[CodBarras2]],2,50)</f>
        <v/>
      </c>
    </row>
    <row r="12496" spans="9:9" x14ac:dyDescent="0.25">
      <c r="I12496" s="227" t="str">
        <f>MID(excPisCofins[[#This Row],[CodBarras2]],2,50)</f>
        <v/>
      </c>
    </row>
    <row r="12497" spans="9:9" x14ac:dyDescent="0.25">
      <c r="I12497" s="227" t="str">
        <f>MID(excPisCofins[[#This Row],[CodBarras2]],2,50)</f>
        <v/>
      </c>
    </row>
    <row r="12498" spans="9:9" x14ac:dyDescent="0.25">
      <c r="I12498" s="227" t="str">
        <f>MID(excPisCofins[[#This Row],[CodBarras2]],2,50)</f>
        <v/>
      </c>
    </row>
    <row r="12499" spans="9:9" x14ac:dyDescent="0.25">
      <c r="I12499" s="227" t="str">
        <f>MID(excPisCofins[[#This Row],[CodBarras2]],2,50)</f>
        <v/>
      </c>
    </row>
    <row r="12500" spans="9:9" x14ac:dyDescent="0.25">
      <c r="I12500" s="227" t="str">
        <f>MID(excPisCofins[[#This Row],[CodBarras2]],2,50)</f>
        <v/>
      </c>
    </row>
    <row r="12501" spans="9:9" x14ac:dyDescent="0.25">
      <c r="I12501" s="227" t="str">
        <f>MID(excPisCofins[[#This Row],[CodBarras2]],2,50)</f>
        <v/>
      </c>
    </row>
    <row r="12502" spans="9:9" x14ac:dyDescent="0.25">
      <c r="I12502" s="227" t="str">
        <f>MID(excPisCofins[[#This Row],[CodBarras2]],2,50)</f>
        <v/>
      </c>
    </row>
    <row r="12503" spans="9:9" x14ac:dyDescent="0.25">
      <c r="I12503" s="227" t="str">
        <f>MID(excPisCofins[[#This Row],[CodBarras2]],2,50)</f>
        <v/>
      </c>
    </row>
    <row r="12504" spans="9:9" x14ac:dyDescent="0.25">
      <c r="I12504" s="227" t="str">
        <f>MID(excPisCofins[[#This Row],[CodBarras2]],2,50)</f>
        <v/>
      </c>
    </row>
    <row r="12505" spans="9:9" x14ac:dyDescent="0.25">
      <c r="I12505" s="227" t="str">
        <f>MID(excPisCofins[[#This Row],[CodBarras2]],2,50)</f>
        <v/>
      </c>
    </row>
    <row r="12506" spans="9:9" x14ac:dyDescent="0.25">
      <c r="I12506" s="227" t="str">
        <f>MID(excPisCofins[[#This Row],[CodBarras2]],2,50)</f>
        <v/>
      </c>
    </row>
    <row r="12507" spans="9:9" x14ac:dyDescent="0.25">
      <c r="I12507" s="227" t="str">
        <f>MID(excPisCofins[[#This Row],[CodBarras2]],2,50)</f>
        <v/>
      </c>
    </row>
    <row r="12508" spans="9:9" x14ac:dyDescent="0.25">
      <c r="I12508" s="227" t="str">
        <f>MID(excPisCofins[[#This Row],[CodBarras2]],2,50)</f>
        <v/>
      </c>
    </row>
    <row r="12509" spans="9:9" x14ac:dyDescent="0.25">
      <c r="I12509" s="227" t="str">
        <f>MID(excPisCofins[[#This Row],[CodBarras2]],2,50)</f>
        <v/>
      </c>
    </row>
    <row r="12510" spans="9:9" x14ac:dyDescent="0.25">
      <c r="I12510" s="227" t="str">
        <f>MID(excPisCofins[[#This Row],[CodBarras2]],2,50)</f>
        <v/>
      </c>
    </row>
    <row r="12511" spans="9:9" x14ac:dyDescent="0.25">
      <c r="I12511" s="227" t="str">
        <f>MID(excPisCofins[[#This Row],[CodBarras2]],2,50)</f>
        <v/>
      </c>
    </row>
    <row r="12512" spans="9:9" x14ac:dyDescent="0.25">
      <c r="I12512" s="227" t="str">
        <f>MID(excPisCofins[[#This Row],[CodBarras2]],2,50)</f>
        <v/>
      </c>
    </row>
    <row r="12513" spans="9:9" x14ac:dyDescent="0.25">
      <c r="I12513" s="227" t="str">
        <f>MID(excPisCofins[[#This Row],[CodBarras2]],2,50)</f>
        <v/>
      </c>
    </row>
    <row r="12514" spans="9:9" x14ac:dyDescent="0.25">
      <c r="I12514" s="227" t="str">
        <f>MID(excPisCofins[[#This Row],[CodBarras2]],2,50)</f>
        <v/>
      </c>
    </row>
    <row r="12515" spans="9:9" x14ac:dyDescent="0.25">
      <c r="I12515" s="227" t="str">
        <f>MID(excPisCofins[[#This Row],[CodBarras2]],2,50)</f>
        <v/>
      </c>
    </row>
    <row r="12516" spans="9:9" x14ac:dyDescent="0.25">
      <c r="I12516" s="227" t="str">
        <f>MID(excPisCofins[[#This Row],[CodBarras2]],2,50)</f>
        <v/>
      </c>
    </row>
    <row r="12517" spans="9:9" x14ac:dyDescent="0.25">
      <c r="I12517" s="227" t="str">
        <f>MID(excPisCofins[[#This Row],[CodBarras2]],2,50)</f>
        <v/>
      </c>
    </row>
    <row r="12518" spans="9:9" x14ac:dyDescent="0.25">
      <c r="I12518" s="227" t="str">
        <f>MID(excPisCofins[[#This Row],[CodBarras2]],2,50)</f>
        <v/>
      </c>
    </row>
    <row r="12519" spans="9:9" x14ac:dyDescent="0.25">
      <c r="I12519" s="227" t="str">
        <f>MID(excPisCofins[[#This Row],[CodBarras2]],2,50)</f>
        <v/>
      </c>
    </row>
    <row r="12520" spans="9:9" x14ac:dyDescent="0.25">
      <c r="I12520" s="227" t="str">
        <f>MID(excPisCofins[[#This Row],[CodBarras2]],2,50)</f>
        <v/>
      </c>
    </row>
    <row r="12521" spans="9:9" x14ac:dyDescent="0.25">
      <c r="I12521" s="227" t="str">
        <f>MID(excPisCofins[[#This Row],[CodBarras2]],2,50)</f>
        <v/>
      </c>
    </row>
    <row r="12522" spans="9:9" x14ac:dyDescent="0.25">
      <c r="I12522" s="227" t="str">
        <f>MID(excPisCofins[[#This Row],[CodBarras2]],2,50)</f>
        <v/>
      </c>
    </row>
    <row r="12523" spans="9:9" x14ac:dyDescent="0.25">
      <c r="I12523" s="227" t="str">
        <f>MID(excPisCofins[[#This Row],[CodBarras2]],2,50)</f>
        <v/>
      </c>
    </row>
    <row r="12524" spans="9:9" x14ac:dyDescent="0.25">
      <c r="I12524" s="227" t="str">
        <f>MID(excPisCofins[[#This Row],[CodBarras2]],2,50)</f>
        <v/>
      </c>
    </row>
    <row r="12525" spans="9:9" x14ac:dyDescent="0.25">
      <c r="I12525" s="227" t="str">
        <f>MID(excPisCofins[[#This Row],[CodBarras2]],2,50)</f>
        <v/>
      </c>
    </row>
    <row r="12526" spans="9:9" x14ac:dyDescent="0.25">
      <c r="I12526" s="227" t="str">
        <f>MID(excPisCofins[[#This Row],[CodBarras2]],2,50)</f>
        <v/>
      </c>
    </row>
    <row r="12527" spans="9:9" x14ac:dyDescent="0.25">
      <c r="I12527" s="227" t="str">
        <f>MID(excPisCofins[[#This Row],[CodBarras2]],2,50)</f>
        <v/>
      </c>
    </row>
    <row r="12528" spans="9:9" x14ac:dyDescent="0.25">
      <c r="I12528" s="227" t="str">
        <f>MID(excPisCofins[[#This Row],[CodBarras2]],2,50)</f>
        <v/>
      </c>
    </row>
    <row r="12529" spans="9:9" x14ac:dyDescent="0.25">
      <c r="I12529" s="227" t="str">
        <f>MID(excPisCofins[[#This Row],[CodBarras2]],2,50)</f>
        <v/>
      </c>
    </row>
    <row r="12530" spans="9:9" x14ac:dyDescent="0.25">
      <c r="I12530" s="227" t="str">
        <f>MID(excPisCofins[[#This Row],[CodBarras2]],2,50)</f>
        <v/>
      </c>
    </row>
    <row r="12531" spans="9:9" x14ac:dyDescent="0.25">
      <c r="I12531" s="227" t="str">
        <f>MID(excPisCofins[[#This Row],[CodBarras2]],2,50)</f>
        <v/>
      </c>
    </row>
    <row r="12532" spans="9:9" x14ac:dyDescent="0.25">
      <c r="I12532" s="227" t="str">
        <f>MID(excPisCofins[[#This Row],[CodBarras2]],2,50)</f>
        <v/>
      </c>
    </row>
    <row r="12533" spans="9:9" x14ac:dyDescent="0.25">
      <c r="I12533" s="227" t="str">
        <f>MID(excPisCofins[[#This Row],[CodBarras2]],2,50)</f>
        <v/>
      </c>
    </row>
    <row r="12534" spans="9:9" x14ac:dyDescent="0.25">
      <c r="I12534" s="227" t="str">
        <f>MID(excPisCofins[[#This Row],[CodBarras2]],2,50)</f>
        <v/>
      </c>
    </row>
    <row r="12535" spans="9:9" x14ac:dyDescent="0.25">
      <c r="I12535" s="227" t="str">
        <f>MID(excPisCofins[[#This Row],[CodBarras2]],2,50)</f>
        <v/>
      </c>
    </row>
    <row r="12536" spans="9:9" x14ac:dyDescent="0.25">
      <c r="I12536" s="227" t="str">
        <f>MID(excPisCofins[[#This Row],[CodBarras2]],2,50)</f>
        <v/>
      </c>
    </row>
    <row r="12537" spans="9:9" x14ac:dyDescent="0.25">
      <c r="I12537" s="227" t="str">
        <f>MID(excPisCofins[[#This Row],[CodBarras2]],2,50)</f>
        <v/>
      </c>
    </row>
    <row r="12538" spans="9:9" x14ac:dyDescent="0.25">
      <c r="I12538" s="227" t="str">
        <f>MID(excPisCofins[[#This Row],[CodBarras2]],2,50)</f>
        <v/>
      </c>
    </row>
    <row r="12539" spans="9:9" x14ac:dyDescent="0.25">
      <c r="I12539" s="227" t="str">
        <f>MID(excPisCofins[[#This Row],[CodBarras2]],2,50)</f>
        <v/>
      </c>
    </row>
    <row r="12540" spans="9:9" x14ac:dyDescent="0.25">
      <c r="I12540" s="227" t="str">
        <f>MID(excPisCofins[[#This Row],[CodBarras2]],2,50)</f>
        <v/>
      </c>
    </row>
    <row r="12541" spans="9:9" x14ac:dyDescent="0.25">
      <c r="I12541" s="227" t="str">
        <f>MID(excPisCofins[[#This Row],[CodBarras2]],2,50)</f>
        <v/>
      </c>
    </row>
    <row r="12542" spans="9:9" x14ac:dyDescent="0.25">
      <c r="I12542" s="227" t="str">
        <f>MID(excPisCofins[[#This Row],[CodBarras2]],2,50)</f>
        <v/>
      </c>
    </row>
    <row r="12543" spans="9:9" x14ac:dyDescent="0.25">
      <c r="I12543" s="227" t="str">
        <f>MID(excPisCofins[[#This Row],[CodBarras2]],2,50)</f>
        <v/>
      </c>
    </row>
    <row r="12544" spans="9:9" x14ac:dyDescent="0.25">
      <c r="I12544" s="227" t="str">
        <f>MID(excPisCofins[[#This Row],[CodBarras2]],2,50)</f>
        <v/>
      </c>
    </row>
    <row r="12545" spans="9:9" x14ac:dyDescent="0.25">
      <c r="I12545" s="227" t="str">
        <f>MID(excPisCofins[[#This Row],[CodBarras2]],2,50)</f>
        <v/>
      </c>
    </row>
    <row r="12546" spans="9:9" x14ac:dyDescent="0.25">
      <c r="I12546" s="227" t="str">
        <f>MID(excPisCofins[[#This Row],[CodBarras2]],2,50)</f>
        <v/>
      </c>
    </row>
    <row r="12547" spans="9:9" x14ac:dyDescent="0.25">
      <c r="I12547" s="227" t="str">
        <f>MID(excPisCofins[[#This Row],[CodBarras2]],2,50)</f>
        <v/>
      </c>
    </row>
    <row r="12548" spans="9:9" x14ac:dyDescent="0.25">
      <c r="I12548" s="227" t="str">
        <f>MID(excPisCofins[[#This Row],[CodBarras2]],2,50)</f>
        <v/>
      </c>
    </row>
    <row r="12549" spans="9:9" x14ac:dyDescent="0.25">
      <c r="I12549" s="227" t="str">
        <f>MID(excPisCofins[[#This Row],[CodBarras2]],2,50)</f>
        <v/>
      </c>
    </row>
    <row r="12550" spans="9:9" x14ac:dyDescent="0.25">
      <c r="I12550" s="227" t="str">
        <f>MID(excPisCofins[[#This Row],[CodBarras2]],2,50)</f>
        <v/>
      </c>
    </row>
    <row r="12551" spans="9:9" x14ac:dyDescent="0.25">
      <c r="I12551" s="227" t="str">
        <f>MID(excPisCofins[[#This Row],[CodBarras2]],2,50)</f>
        <v/>
      </c>
    </row>
    <row r="12552" spans="9:9" x14ac:dyDescent="0.25">
      <c r="I12552" s="227" t="str">
        <f>MID(excPisCofins[[#This Row],[CodBarras2]],2,50)</f>
        <v/>
      </c>
    </row>
    <row r="12553" spans="9:9" x14ac:dyDescent="0.25">
      <c r="I12553" s="227" t="str">
        <f>MID(excPisCofins[[#This Row],[CodBarras2]],2,50)</f>
        <v/>
      </c>
    </row>
    <row r="12554" spans="9:9" x14ac:dyDescent="0.25">
      <c r="I12554" s="227" t="str">
        <f>MID(excPisCofins[[#This Row],[CodBarras2]],2,50)</f>
        <v/>
      </c>
    </row>
    <row r="12555" spans="9:9" x14ac:dyDescent="0.25">
      <c r="I12555" s="227" t="str">
        <f>MID(excPisCofins[[#This Row],[CodBarras2]],2,50)</f>
        <v/>
      </c>
    </row>
    <row r="12556" spans="9:9" x14ac:dyDescent="0.25">
      <c r="I12556" s="227" t="str">
        <f>MID(excPisCofins[[#This Row],[CodBarras2]],2,50)</f>
        <v/>
      </c>
    </row>
    <row r="12557" spans="9:9" x14ac:dyDescent="0.25">
      <c r="I12557" s="227" t="str">
        <f>MID(excPisCofins[[#This Row],[CodBarras2]],2,50)</f>
        <v/>
      </c>
    </row>
    <row r="12558" spans="9:9" x14ac:dyDescent="0.25">
      <c r="I12558" s="227" t="str">
        <f>MID(excPisCofins[[#This Row],[CodBarras2]],2,50)</f>
        <v/>
      </c>
    </row>
    <row r="12559" spans="9:9" x14ac:dyDescent="0.25">
      <c r="I12559" s="227" t="str">
        <f>MID(excPisCofins[[#This Row],[CodBarras2]],2,50)</f>
        <v/>
      </c>
    </row>
    <row r="12560" spans="9:9" x14ac:dyDescent="0.25">
      <c r="I12560" s="227" t="str">
        <f>MID(excPisCofins[[#This Row],[CodBarras2]],2,50)</f>
        <v/>
      </c>
    </row>
    <row r="12561" spans="9:9" x14ac:dyDescent="0.25">
      <c r="I12561" s="227" t="str">
        <f>MID(excPisCofins[[#This Row],[CodBarras2]],2,50)</f>
        <v/>
      </c>
    </row>
    <row r="12562" spans="9:9" x14ac:dyDescent="0.25">
      <c r="I12562" s="227" t="str">
        <f>MID(excPisCofins[[#This Row],[CodBarras2]],2,50)</f>
        <v/>
      </c>
    </row>
    <row r="12563" spans="9:9" x14ac:dyDescent="0.25">
      <c r="I12563" s="227" t="str">
        <f>MID(excPisCofins[[#This Row],[CodBarras2]],2,50)</f>
        <v/>
      </c>
    </row>
    <row r="12564" spans="9:9" x14ac:dyDescent="0.25">
      <c r="I12564" s="227" t="str">
        <f>MID(excPisCofins[[#This Row],[CodBarras2]],2,50)</f>
        <v/>
      </c>
    </row>
    <row r="12565" spans="9:9" x14ac:dyDescent="0.25">
      <c r="I12565" s="227" t="str">
        <f>MID(excPisCofins[[#This Row],[CodBarras2]],2,50)</f>
        <v/>
      </c>
    </row>
    <row r="12566" spans="9:9" x14ac:dyDescent="0.25">
      <c r="I12566" s="227" t="str">
        <f>MID(excPisCofins[[#This Row],[CodBarras2]],2,50)</f>
        <v/>
      </c>
    </row>
    <row r="12567" spans="9:9" x14ac:dyDescent="0.25">
      <c r="I12567" s="227" t="str">
        <f>MID(excPisCofins[[#This Row],[CodBarras2]],2,50)</f>
        <v/>
      </c>
    </row>
    <row r="12568" spans="9:9" x14ac:dyDescent="0.25">
      <c r="I12568" s="227" t="str">
        <f>MID(excPisCofins[[#This Row],[CodBarras2]],2,50)</f>
        <v/>
      </c>
    </row>
    <row r="12569" spans="9:9" x14ac:dyDescent="0.25">
      <c r="I12569" s="227" t="str">
        <f>MID(excPisCofins[[#This Row],[CodBarras2]],2,50)</f>
        <v/>
      </c>
    </row>
    <row r="12570" spans="9:9" x14ac:dyDescent="0.25">
      <c r="I12570" s="227" t="str">
        <f>MID(excPisCofins[[#This Row],[CodBarras2]],2,50)</f>
        <v/>
      </c>
    </row>
    <row r="12571" spans="9:9" x14ac:dyDescent="0.25">
      <c r="I12571" s="227" t="str">
        <f>MID(excPisCofins[[#This Row],[CodBarras2]],2,50)</f>
        <v/>
      </c>
    </row>
    <row r="12572" spans="9:9" x14ac:dyDescent="0.25">
      <c r="I12572" s="227" t="str">
        <f>MID(excPisCofins[[#This Row],[CodBarras2]],2,50)</f>
        <v/>
      </c>
    </row>
    <row r="12573" spans="9:9" x14ac:dyDescent="0.25">
      <c r="I12573" s="227" t="str">
        <f>MID(excPisCofins[[#This Row],[CodBarras2]],2,50)</f>
        <v/>
      </c>
    </row>
    <row r="12574" spans="9:9" x14ac:dyDescent="0.25">
      <c r="I12574" s="227" t="str">
        <f>MID(excPisCofins[[#This Row],[CodBarras2]],2,50)</f>
        <v/>
      </c>
    </row>
    <row r="12575" spans="9:9" x14ac:dyDescent="0.25">
      <c r="I12575" s="227" t="str">
        <f>MID(excPisCofins[[#This Row],[CodBarras2]],2,50)</f>
        <v/>
      </c>
    </row>
    <row r="12576" spans="9:9" x14ac:dyDescent="0.25">
      <c r="I12576" s="227" t="str">
        <f>MID(excPisCofins[[#This Row],[CodBarras2]],2,50)</f>
        <v/>
      </c>
    </row>
    <row r="12577" spans="9:9" x14ac:dyDescent="0.25">
      <c r="I12577" s="227" t="str">
        <f>MID(excPisCofins[[#This Row],[CodBarras2]],2,50)</f>
        <v/>
      </c>
    </row>
    <row r="12578" spans="9:9" x14ac:dyDescent="0.25">
      <c r="I12578" s="227" t="str">
        <f>MID(excPisCofins[[#This Row],[CodBarras2]],2,50)</f>
        <v/>
      </c>
    </row>
    <row r="12579" spans="9:9" x14ac:dyDescent="0.25">
      <c r="I12579" s="227" t="str">
        <f>MID(excPisCofins[[#This Row],[CodBarras2]],2,50)</f>
        <v/>
      </c>
    </row>
    <row r="12580" spans="9:9" x14ac:dyDescent="0.25">
      <c r="I12580" s="227" t="str">
        <f>MID(excPisCofins[[#This Row],[CodBarras2]],2,50)</f>
        <v/>
      </c>
    </row>
    <row r="12581" spans="9:9" x14ac:dyDescent="0.25">
      <c r="I12581" s="227" t="str">
        <f>MID(excPisCofins[[#This Row],[CodBarras2]],2,50)</f>
        <v/>
      </c>
    </row>
    <row r="12582" spans="9:9" x14ac:dyDescent="0.25">
      <c r="I12582" s="227" t="str">
        <f>MID(excPisCofins[[#This Row],[CodBarras2]],2,50)</f>
        <v/>
      </c>
    </row>
    <row r="12583" spans="9:9" x14ac:dyDescent="0.25">
      <c r="I12583" s="227" t="str">
        <f>MID(excPisCofins[[#This Row],[CodBarras2]],2,50)</f>
        <v/>
      </c>
    </row>
    <row r="12584" spans="9:9" x14ac:dyDescent="0.25">
      <c r="I12584" s="227" t="str">
        <f>MID(excPisCofins[[#This Row],[CodBarras2]],2,50)</f>
        <v/>
      </c>
    </row>
    <row r="12585" spans="9:9" x14ac:dyDescent="0.25">
      <c r="I12585" s="227" t="str">
        <f>MID(excPisCofins[[#This Row],[CodBarras2]],2,50)</f>
        <v/>
      </c>
    </row>
    <row r="12586" spans="9:9" x14ac:dyDescent="0.25">
      <c r="I12586" s="227" t="str">
        <f>MID(excPisCofins[[#This Row],[CodBarras2]],2,50)</f>
        <v/>
      </c>
    </row>
    <row r="12587" spans="9:9" x14ac:dyDescent="0.25">
      <c r="I12587" s="227" t="str">
        <f>MID(excPisCofins[[#This Row],[CodBarras2]],2,50)</f>
        <v/>
      </c>
    </row>
    <row r="12588" spans="9:9" x14ac:dyDescent="0.25">
      <c r="I12588" s="227" t="str">
        <f>MID(excPisCofins[[#This Row],[CodBarras2]],2,50)</f>
        <v/>
      </c>
    </row>
    <row r="12589" spans="9:9" x14ac:dyDescent="0.25">
      <c r="I12589" s="227" t="str">
        <f>MID(excPisCofins[[#This Row],[CodBarras2]],2,50)</f>
        <v/>
      </c>
    </row>
    <row r="12590" spans="9:9" x14ac:dyDescent="0.25">
      <c r="I12590" s="227" t="str">
        <f>MID(excPisCofins[[#This Row],[CodBarras2]],2,50)</f>
        <v/>
      </c>
    </row>
    <row r="12591" spans="9:9" x14ac:dyDescent="0.25">
      <c r="I12591" s="227" t="str">
        <f>MID(excPisCofins[[#This Row],[CodBarras2]],2,50)</f>
        <v/>
      </c>
    </row>
    <row r="12592" spans="9:9" x14ac:dyDescent="0.25">
      <c r="I12592" s="227" t="str">
        <f>MID(excPisCofins[[#This Row],[CodBarras2]],2,50)</f>
        <v/>
      </c>
    </row>
    <row r="12593" spans="9:9" x14ac:dyDescent="0.25">
      <c r="I12593" s="227" t="str">
        <f>MID(excPisCofins[[#This Row],[CodBarras2]],2,50)</f>
        <v/>
      </c>
    </row>
    <row r="12594" spans="9:9" x14ac:dyDescent="0.25">
      <c r="I12594" s="227" t="str">
        <f>MID(excPisCofins[[#This Row],[CodBarras2]],2,50)</f>
        <v/>
      </c>
    </row>
    <row r="12595" spans="9:9" x14ac:dyDescent="0.25">
      <c r="I12595" s="227" t="str">
        <f>MID(excPisCofins[[#This Row],[CodBarras2]],2,50)</f>
        <v/>
      </c>
    </row>
    <row r="12596" spans="9:9" x14ac:dyDescent="0.25">
      <c r="I12596" s="227" t="str">
        <f>MID(excPisCofins[[#This Row],[CodBarras2]],2,50)</f>
        <v/>
      </c>
    </row>
    <row r="12597" spans="9:9" x14ac:dyDescent="0.25">
      <c r="I12597" s="227" t="str">
        <f>MID(excPisCofins[[#This Row],[CodBarras2]],2,50)</f>
        <v/>
      </c>
    </row>
    <row r="12598" spans="9:9" x14ac:dyDescent="0.25">
      <c r="I12598" s="227" t="str">
        <f>MID(excPisCofins[[#This Row],[CodBarras2]],2,50)</f>
        <v/>
      </c>
    </row>
    <row r="12599" spans="9:9" x14ac:dyDescent="0.25">
      <c r="I12599" s="227" t="str">
        <f>MID(excPisCofins[[#This Row],[CodBarras2]],2,50)</f>
        <v/>
      </c>
    </row>
    <row r="12600" spans="9:9" x14ac:dyDescent="0.25">
      <c r="I12600" s="227" t="str">
        <f>MID(excPisCofins[[#This Row],[CodBarras2]],2,50)</f>
        <v/>
      </c>
    </row>
    <row r="12601" spans="9:9" x14ac:dyDescent="0.25">
      <c r="I12601" s="227" t="str">
        <f>MID(excPisCofins[[#This Row],[CodBarras2]],2,50)</f>
        <v/>
      </c>
    </row>
    <row r="12602" spans="9:9" x14ac:dyDescent="0.25">
      <c r="I12602" s="227" t="str">
        <f>MID(excPisCofins[[#This Row],[CodBarras2]],2,50)</f>
        <v/>
      </c>
    </row>
    <row r="12603" spans="9:9" x14ac:dyDescent="0.25">
      <c r="I12603" s="227" t="str">
        <f>MID(excPisCofins[[#This Row],[CodBarras2]],2,50)</f>
        <v/>
      </c>
    </row>
    <row r="12604" spans="9:9" x14ac:dyDescent="0.25">
      <c r="I12604" s="227" t="str">
        <f>MID(excPisCofins[[#This Row],[CodBarras2]],2,50)</f>
        <v/>
      </c>
    </row>
    <row r="12605" spans="9:9" x14ac:dyDescent="0.25">
      <c r="I12605" s="227" t="str">
        <f>MID(excPisCofins[[#This Row],[CodBarras2]],2,50)</f>
        <v/>
      </c>
    </row>
    <row r="12606" spans="9:9" x14ac:dyDescent="0.25">
      <c r="I12606" s="227" t="str">
        <f>MID(excPisCofins[[#This Row],[CodBarras2]],2,50)</f>
        <v/>
      </c>
    </row>
    <row r="12607" spans="9:9" x14ac:dyDescent="0.25">
      <c r="I12607" s="227" t="str">
        <f>MID(excPisCofins[[#This Row],[CodBarras2]],2,50)</f>
        <v/>
      </c>
    </row>
    <row r="12608" spans="9:9" x14ac:dyDescent="0.25">
      <c r="I12608" s="227" t="str">
        <f>MID(excPisCofins[[#This Row],[CodBarras2]],2,50)</f>
        <v/>
      </c>
    </row>
    <row r="12609" spans="9:9" x14ac:dyDescent="0.25">
      <c r="I12609" s="227" t="str">
        <f>MID(excPisCofins[[#This Row],[CodBarras2]],2,50)</f>
        <v/>
      </c>
    </row>
    <row r="12610" spans="9:9" x14ac:dyDescent="0.25">
      <c r="I12610" s="227" t="str">
        <f>MID(excPisCofins[[#This Row],[CodBarras2]],2,50)</f>
        <v/>
      </c>
    </row>
    <row r="12611" spans="9:9" x14ac:dyDescent="0.25">
      <c r="I12611" s="227" t="str">
        <f>MID(excPisCofins[[#This Row],[CodBarras2]],2,50)</f>
        <v/>
      </c>
    </row>
    <row r="12612" spans="9:9" x14ac:dyDescent="0.25">
      <c r="I12612" s="227" t="str">
        <f>MID(excPisCofins[[#This Row],[CodBarras2]],2,50)</f>
        <v/>
      </c>
    </row>
    <row r="12613" spans="9:9" x14ac:dyDescent="0.25">
      <c r="I12613" s="227" t="str">
        <f>MID(excPisCofins[[#This Row],[CodBarras2]],2,50)</f>
        <v/>
      </c>
    </row>
    <row r="12614" spans="9:9" x14ac:dyDescent="0.25">
      <c r="I12614" s="227" t="str">
        <f>MID(excPisCofins[[#This Row],[CodBarras2]],2,50)</f>
        <v/>
      </c>
    </row>
    <row r="12615" spans="9:9" x14ac:dyDescent="0.25">
      <c r="I12615" s="227" t="str">
        <f>MID(excPisCofins[[#This Row],[CodBarras2]],2,50)</f>
        <v/>
      </c>
    </row>
    <row r="12616" spans="9:9" x14ac:dyDescent="0.25">
      <c r="I12616" s="227" t="str">
        <f>MID(excPisCofins[[#This Row],[CodBarras2]],2,50)</f>
        <v/>
      </c>
    </row>
    <row r="12617" spans="9:9" x14ac:dyDescent="0.25">
      <c r="I12617" s="227" t="str">
        <f>MID(excPisCofins[[#This Row],[CodBarras2]],2,50)</f>
        <v/>
      </c>
    </row>
    <row r="12618" spans="9:9" x14ac:dyDescent="0.25">
      <c r="I12618" s="227" t="str">
        <f>MID(excPisCofins[[#This Row],[CodBarras2]],2,50)</f>
        <v/>
      </c>
    </row>
    <row r="12619" spans="9:9" x14ac:dyDescent="0.25">
      <c r="I12619" s="227" t="str">
        <f>MID(excPisCofins[[#This Row],[CodBarras2]],2,50)</f>
        <v/>
      </c>
    </row>
    <row r="12620" spans="9:9" x14ac:dyDescent="0.25">
      <c r="I12620" s="227" t="str">
        <f>MID(excPisCofins[[#This Row],[CodBarras2]],2,50)</f>
        <v/>
      </c>
    </row>
    <row r="12621" spans="9:9" x14ac:dyDescent="0.25">
      <c r="I12621" s="227" t="str">
        <f>MID(excPisCofins[[#This Row],[CodBarras2]],2,50)</f>
        <v/>
      </c>
    </row>
    <row r="12622" spans="9:9" x14ac:dyDescent="0.25">
      <c r="I12622" s="227" t="str">
        <f>MID(excPisCofins[[#This Row],[CodBarras2]],2,50)</f>
        <v/>
      </c>
    </row>
    <row r="12623" spans="9:9" x14ac:dyDescent="0.25">
      <c r="I12623" s="227" t="str">
        <f>MID(excPisCofins[[#This Row],[CodBarras2]],2,50)</f>
        <v/>
      </c>
    </row>
    <row r="12624" spans="9:9" x14ac:dyDescent="0.25">
      <c r="I12624" s="227" t="str">
        <f>MID(excPisCofins[[#This Row],[CodBarras2]],2,50)</f>
        <v/>
      </c>
    </row>
    <row r="12625" spans="9:9" x14ac:dyDescent="0.25">
      <c r="I12625" s="227" t="str">
        <f>MID(excPisCofins[[#This Row],[CodBarras2]],2,50)</f>
        <v/>
      </c>
    </row>
    <row r="12626" spans="9:9" x14ac:dyDescent="0.25">
      <c r="I12626" s="227" t="str">
        <f>MID(excPisCofins[[#This Row],[CodBarras2]],2,50)</f>
        <v/>
      </c>
    </row>
    <row r="12627" spans="9:9" x14ac:dyDescent="0.25">
      <c r="I12627" s="227" t="str">
        <f>MID(excPisCofins[[#This Row],[CodBarras2]],2,50)</f>
        <v/>
      </c>
    </row>
    <row r="12628" spans="9:9" x14ac:dyDescent="0.25">
      <c r="I12628" s="227" t="str">
        <f>MID(excPisCofins[[#This Row],[CodBarras2]],2,50)</f>
        <v/>
      </c>
    </row>
    <row r="12629" spans="9:9" x14ac:dyDescent="0.25">
      <c r="I12629" s="227" t="str">
        <f>MID(excPisCofins[[#This Row],[CodBarras2]],2,50)</f>
        <v/>
      </c>
    </row>
    <row r="12630" spans="9:9" x14ac:dyDescent="0.25">
      <c r="I12630" s="227" t="str">
        <f>MID(excPisCofins[[#This Row],[CodBarras2]],2,50)</f>
        <v/>
      </c>
    </row>
    <row r="12631" spans="9:9" x14ac:dyDescent="0.25">
      <c r="I12631" s="227" t="str">
        <f>MID(excPisCofins[[#This Row],[CodBarras2]],2,50)</f>
        <v/>
      </c>
    </row>
    <row r="12632" spans="9:9" x14ac:dyDescent="0.25">
      <c r="I12632" s="227" t="str">
        <f>MID(excPisCofins[[#This Row],[CodBarras2]],2,50)</f>
        <v/>
      </c>
    </row>
    <row r="12633" spans="9:9" x14ac:dyDescent="0.25">
      <c r="I12633" s="227" t="str">
        <f>MID(excPisCofins[[#This Row],[CodBarras2]],2,50)</f>
        <v/>
      </c>
    </row>
    <row r="12634" spans="9:9" x14ac:dyDescent="0.25">
      <c r="I12634" s="227" t="str">
        <f>MID(excPisCofins[[#This Row],[CodBarras2]],2,50)</f>
        <v/>
      </c>
    </row>
    <row r="12635" spans="9:9" x14ac:dyDescent="0.25">
      <c r="I12635" s="227" t="str">
        <f>MID(excPisCofins[[#This Row],[CodBarras2]],2,50)</f>
        <v/>
      </c>
    </row>
    <row r="12636" spans="9:9" x14ac:dyDescent="0.25">
      <c r="I12636" s="227" t="str">
        <f>MID(excPisCofins[[#This Row],[CodBarras2]],2,50)</f>
        <v/>
      </c>
    </row>
    <row r="12637" spans="9:9" x14ac:dyDescent="0.25">
      <c r="I12637" s="227" t="str">
        <f>MID(excPisCofins[[#This Row],[CodBarras2]],2,50)</f>
        <v/>
      </c>
    </row>
    <row r="12638" spans="9:9" x14ac:dyDescent="0.25">
      <c r="I12638" s="227" t="str">
        <f>MID(excPisCofins[[#This Row],[CodBarras2]],2,50)</f>
        <v/>
      </c>
    </row>
    <row r="12639" spans="9:9" x14ac:dyDescent="0.25">
      <c r="I12639" s="227" t="str">
        <f>MID(excPisCofins[[#This Row],[CodBarras2]],2,50)</f>
        <v/>
      </c>
    </row>
    <row r="12640" spans="9:9" x14ac:dyDescent="0.25">
      <c r="I12640" s="227" t="str">
        <f>MID(excPisCofins[[#This Row],[CodBarras2]],2,50)</f>
        <v/>
      </c>
    </row>
    <row r="12641" spans="9:9" x14ac:dyDescent="0.25">
      <c r="I12641" s="227" t="str">
        <f>MID(excPisCofins[[#This Row],[CodBarras2]],2,50)</f>
        <v/>
      </c>
    </row>
    <row r="12642" spans="9:9" x14ac:dyDescent="0.25">
      <c r="I12642" s="227" t="str">
        <f>MID(excPisCofins[[#This Row],[CodBarras2]],2,50)</f>
        <v/>
      </c>
    </row>
    <row r="12643" spans="9:9" x14ac:dyDescent="0.25">
      <c r="I12643" s="227" t="str">
        <f>MID(excPisCofins[[#This Row],[CodBarras2]],2,50)</f>
        <v/>
      </c>
    </row>
    <row r="12644" spans="9:9" x14ac:dyDescent="0.25">
      <c r="I12644" s="227" t="str">
        <f>MID(excPisCofins[[#This Row],[CodBarras2]],2,50)</f>
        <v/>
      </c>
    </row>
    <row r="12645" spans="9:9" x14ac:dyDescent="0.25">
      <c r="I12645" s="227" t="str">
        <f>MID(excPisCofins[[#This Row],[CodBarras2]],2,50)</f>
        <v/>
      </c>
    </row>
    <row r="12646" spans="9:9" x14ac:dyDescent="0.25">
      <c r="I12646" s="227" t="str">
        <f>MID(excPisCofins[[#This Row],[CodBarras2]],2,50)</f>
        <v/>
      </c>
    </row>
    <row r="12647" spans="9:9" x14ac:dyDescent="0.25">
      <c r="I12647" s="227" t="str">
        <f>MID(excPisCofins[[#This Row],[CodBarras2]],2,50)</f>
        <v/>
      </c>
    </row>
    <row r="12648" spans="9:9" x14ac:dyDescent="0.25">
      <c r="I12648" s="227" t="str">
        <f>MID(excPisCofins[[#This Row],[CodBarras2]],2,50)</f>
        <v/>
      </c>
    </row>
    <row r="12649" spans="9:9" x14ac:dyDescent="0.25">
      <c r="I12649" s="227" t="str">
        <f>MID(excPisCofins[[#This Row],[CodBarras2]],2,50)</f>
        <v/>
      </c>
    </row>
    <row r="12650" spans="9:9" x14ac:dyDescent="0.25">
      <c r="I12650" s="227" t="str">
        <f>MID(excPisCofins[[#This Row],[CodBarras2]],2,50)</f>
        <v/>
      </c>
    </row>
    <row r="12651" spans="9:9" x14ac:dyDescent="0.25">
      <c r="I12651" s="227" t="str">
        <f>MID(excPisCofins[[#This Row],[CodBarras2]],2,50)</f>
        <v/>
      </c>
    </row>
    <row r="12652" spans="9:9" x14ac:dyDescent="0.25">
      <c r="I12652" s="227" t="str">
        <f>MID(excPisCofins[[#This Row],[CodBarras2]],2,50)</f>
        <v/>
      </c>
    </row>
    <row r="12653" spans="9:9" x14ac:dyDescent="0.25">
      <c r="I12653" s="227" t="str">
        <f>MID(excPisCofins[[#This Row],[CodBarras2]],2,50)</f>
        <v/>
      </c>
    </row>
    <row r="12654" spans="9:9" x14ac:dyDescent="0.25">
      <c r="I12654" s="227" t="str">
        <f>MID(excPisCofins[[#This Row],[CodBarras2]],2,50)</f>
        <v/>
      </c>
    </row>
    <row r="12655" spans="9:9" x14ac:dyDescent="0.25">
      <c r="I12655" s="227" t="str">
        <f>MID(excPisCofins[[#This Row],[CodBarras2]],2,50)</f>
        <v/>
      </c>
    </row>
    <row r="12656" spans="9:9" x14ac:dyDescent="0.25">
      <c r="I12656" s="227" t="str">
        <f>MID(excPisCofins[[#This Row],[CodBarras2]],2,50)</f>
        <v/>
      </c>
    </row>
    <row r="12657" spans="9:9" x14ac:dyDescent="0.25">
      <c r="I12657" s="227" t="str">
        <f>MID(excPisCofins[[#This Row],[CodBarras2]],2,50)</f>
        <v/>
      </c>
    </row>
    <row r="12658" spans="9:9" x14ac:dyDescent="0.25">
      <c r="I12658" s="227" t="str">
        <f>MID(excPisCofins[[#This Row],[CodBarras2]],2,50)</f>
        <v/>
      </c>
    </row>
    <row r="12659" spans="9:9" x14ac:dyDescent="0.25">
      <c r="I12659" s="227" t="str">
        <f>MID(excPisCofins[[#This Row],[CodBarras2]],2,50)</f>
        <v/>
      </c>
    </row>
    <row r="12660" spans="9:9" x14ac:dyDescent="0.25">
      <c r="I12660" s="227" t="str">
        <f>MID(excPisCofins[[#This Row],[CodBarras2]],2,50)</f>
        <v/>
      </c>
    </row>
    <row r="12661" spans="9:9" x14ac:dyDescent="0.25">
      <c r="I12661" s="227" t="str">
        <f>MID(excPisCofins[[#This Row],[CodBarras2]],2,50)</f>
        <v/>
      </c>
    </row>
    <row r="12662" spans="9:9" x14ac:dyDescent="0.25">
      <c r="I12662" s="227" t="str">
        <f>MID(excPisCofins[[#This Row],[CodBarras2]],2,50)</f>
        <v/>
      </c>
    </row>
    <row r="12663" spans="9:9" x14ac:dyDescent="0.25">
      <c r="I12663" s="227" t="str">
        <f>MID(excPisCofins[[#This Row],[CodBarras2]],2,50)</f>
        <v/>
      </c>
    </row>
    <row r="12664" spans="9:9" x14ac:dyDescent="0.25">
      <c r="I12664" s="227" t="str">
        <f>MID(excPisCofins[[#This Row],[CodBarras2]],2,50)</f>
        <v/>
      </c>
    </row>
    <row r="12665" spans="9:9" x14ac:dyDescent="0.25">
      <c r="I12665" s="227" t="str">
        <f>MID(excPisCofins[[#This Row],[CodBarras2]],2,50)</f>
        <v/>
      </c>
    </row>
    <row r="12666" spans="9:9" x14ac:dyDescent="0.25">
      <c r="I12666" s="227" t="str">
        <f>MID(excPisCofins[[#This Row],[CodBarras2]],2,50)</f>
        <v/>
      </c>
    </row>
    <row r="12667" spans="9:9" x14ac:dyDescent="0.25">
      <c r="I12667" s="227" t="str">
        <f>MID(excPisCofins[[#This Row],[CodBarras2]],2,50)</f>
        <v/>
      </c>
    </row>
    <row r="12668" spans="9:9" x14ac:dyDescent="0.25">
      <c r="I12668" s="227" t="str">
        <f>MID(excPisCofins[[#This Row],[CodBarras2]],2,50)</f>
        <v/>
      </c>
    </row>
    <row r="12669" spans="9:9" x14ac:dyDescent="0.25">
      <c r="I12669" s="227" t="str">
        <f>MID(excPisCofins[[#This Row],[CodBarras2]],2,50)</f>
        <v/>
      </c>
    </row>
    <row r="12670" spans="9:9" x14ac:dyDescent="0.25">
      <c r="I12670" s="227" t="str">
        <f>MID(excPisCofins[[#This Row],[CodBarras2]],2,50)</f>
        <v/>
      </c>
    </row>
    <row r="12671" spans="9:9" x14ac:dyDescent="0.25">
      <c r="I12671" s="227" t="str">
        <f>MID(excPisCofins[[#This Row],[CodBarras2]],2,50)</f>
        <v/>
      </c>
    </row>
    <row r="12672" spans="9:9" x14ac:dyDescent="0.25">
      <c r="I12672" s="227" t="str">
        <f>MID(excPisCofins[[#This Row],[CodBarras2]],2,50)</f>
        <v/>
      </c>
    </row>
    <row r="12673" spans="9:9" x14ac:dyDescent="0.25">
      <c r="I12673" s="227" t="str">
        <f>MID(excPisCofins[[#This Row],[CodBarras2]],2,50)</f>
        <v/>
      </c>
    </row>
    <row r="12674" spans="9:9" x14ac:dyDescent="0.25">
      <c r="I12674" s="227" t="str">
        <f>MID(excPisCofins[[#This Row],[CodBarras2]],2,50)</f>
        <v/>
      </c>
    </row>
    <row r="12675" spans="9:9" x14ac:dyDescent="0.25">
      <c r="I12675" s="227" t="str">
        <f>MID(excPisCofins[[#This Row],[CodBarras2]],2,50)</f>
        <v/>
      </c>
    </row>
    <row r="12676" spans="9:9" x14ac:dyDescent="0.25">
      <c r="I12676" s="227" t="str">
        <f>MID(excPisCofins[[#This Row],[CodBarras2]],2,50)</f>
        <v/>
      </c>
    </row>
    <row r="12677" spans="9:9" x14ac:dyDescent="0.25">
      <c r="I12677" s="227" t="str">
        <f>MID(excPisCofins[[#This Row],[CodBarras2]],2,50)</f>
        <v/>
      </c>
    </row>
    <row r="12678" spans="9:9" x14ac:dyDescent="0.25">
      <c r="I12678" s="227" t="str">
        <f>MID(excPisCofins[[#This Row],[CodBarras2]],2,50)</f>
        <v/>
      </c>
    </row>
    <row r="12679" spans="9:9" x14ac:dyDescent="0.25">
      <c r="I12679" s="227" t="str">
        <f>MID(excPisCofins[[#This Row],[CodBarras2]],2,50)</f>
        <v/>
      </c>
    </row>
    <row r="12680" spans="9:9" x14ac:dyDescent="0.25">
      <c r="I12680" s="227" t="str">
        <f>MID(excPisCofins[[#This Row],[CodBarras2]],2,50)</f>
        <v/>
      </c>
    </row>
    <row r="12681" spans="9:9" x14ac:dyDescent="0.25">
      <c r="I12681" s="227" t="str">
        <f>MID(excPisCofins[[#This Row],[CodBarras2]],2,50)</f>
        <v/>
      </c>
    </row>
    <row r="12682" spans="9:9" x14ac:dyDescent="0.25">
      <c r="I12682" s="227" t="str">
        <f>MID(excPisCofins[[#This Row],[CodBarras2]],2,50)</f>
        <v/>
      </c>
    </row>
    <row r="12683" spans="9:9" x14ac:dyDescent="0.25">
      <c r="I12683" s="227" t="str">
        <f>MID(excPisCofins[[#This Row],[CodBarras2]],2,50)</f>
        <v/>
      </c>
    </row>
    <row r="12684" spans="9:9" x14ac:dyDescent="0.25">
      <c r="I12684" s="227" t="str">
        <f>MID(excPisCofins[[#This Row],[CodBarras2]],2,50)</f>
        <v/>
      </c>
    </row>
    <row r="12685" spans="9:9" x14ac:dyDescent="0.25">
      <c r="I12685" s="227" t="str">
        <f>MID(excPisCofins[[#This Row],[CodBarras2]],2,50)</f>
        <v/>
      </c>
    </row>
    <row r="12686" spans="9:9" x14ac:dyDescent="0.25">
      <c r="I12686" s="227" t="str">
        <f>MID(excPisCofins[[#This Row],[CodBarras2]],2,50)</f>
        <v/>
      </c>
    </row>
    <row r="12687" spans="9:9" x14ac:dyDescent="0.25">
      <c r="I12687" s="227" t="str">
        <f>MID(excPisCofins[[#This Row],[CodBarras2]],2,50)</f>
        <v/>
      </c>
    </row>
    <row r="12688" spans="9:9" x14ac:dyDescent="0.25">
      <c r="I12688" s="227" t="str">
        <f>MID(excPisCofins[[#This Row],[CodBarras2]],2,50)</f>
        <v/>
      </c>
    </row>
    <row r="12689" spans="9:9" x14ac:dyDescent="0.25">
      <c r="I12689" s="227" t="str">
        <f>MID(excPisCofins[[#This Row],[CodBarras2]],2,50)</f>
        <v/>
      </c>
    </row>
    <row r="12690" spans="9:9" x14ac:dyDescent="0.25">
      <c r="I12690" s="227" t="str">
        <f>MID(excPisCofins[[#This Row],[CodBarras2]],2,50)</f>
        <v/>
      </c>
    </row>
    <row r="12691" spans="9:9" x14ac:dyDescent="0.25">
      <c r="I12691" s="227" t="str">
        <f>MID(excPisCofins[[#This Row],[CodBarras2]],2,50)</f>
        <v/>
      </c>
    </row>
    <row r="12692" spans="9:9" x14ac:dyDescent="0.25">
      <c r="I12692" s="227" t="str">
        <f>MID(excPisCofins[[#This Row],[CodBarras2]],2,50)</f>
        <v/>
      </c>
    </row>
    <row r="12693" spans="9:9" x14ac:dyDescent="0.25">
      <c r="I12693" s="227" t="str">
        <f>MID(excPisCofins[[#This Row],[CodBarras2]],2,50)</f>
        <v/>
      </c>
    </row>
    <row r="12694" spans="9:9" x14ac:dyDescent="0.25">
      <c r="I12694" s="227" t="str">
        <f>MID(excPisCofins[[#This Row],[CodBarras2]],2,50)</f>
        <v/>
      </c>
    </row>
    <row r="12695" spans="9:9" x14ac:dyDescent="0.25">
      <c r="I12695" s="227" t="str">
        <f>MID(excPisCofins[[#This Row],[CodBarras2]],2,50)</f>
        <v/>
      </c>
    </row>
    <row r="12696" spans="9:9" x14ac:dyDescent="0.25">
      <c r="I12696" s="227" t="str">
        <f>MID(excPisCofins[[#This Row],[CodBarras2]],2,50)</f>
        <v/>
      </c>
    </row>
    <row r="12697" spans="9:9" x14ac:dyDescent="0.25">
      <c r="I12697" s="227" t="str">
        <f>MID(excPisCofins[[#This Row],[CodBarras2]],2,50)</f>
        <v/>
      </c>
    </row>
    <row r="12698" spans="9:9" x14ac:dyDescent="0.25">
      <c r="I12698" s="227" t="str">
        <f>MID(excPisCofins[[#This Row],[CodBarras2]],2,50)</f>
        <v/>
      </c>
    </row>
    <row r="12699" spans="9:9" x14ac:dyDescent="0.25">
      <c r="I12699" s="227" t="str">
        <f>MID(excPisCofins[[#This Row],[CodBarras2]],2,50)</f>
        <v/>
      </c>
    </row>
    <row r="12700" spans="9:9" x14ac:dyDescent="0.25">
      <c r="I12700" s="227" t="str">
        <f>MID(excPisCofins[[#This Row],[CodBarras2]],2,50)</f>
        <v/>
      </c>
    </row>
    <row r="12701" spans="9:9" x14ac:dyDescent="0.25">
      <c r="I12701" s="227" t="str">
        <f>MID(excPisCofins[[#This Row],[CodBarras2]],2,50)</f>
        <v/>
      </c>
    </row>
    <row r="12702" spans="9:9" x14ac:dyDescent="0.25">
      <c r="I12702" s="227" t="str">
        <f>MID(excPisCofins[[#This Row],[CodBarras2]],2,50)</f>
        <v/>
      </c>
    </row>
    <row r="12703" spans="9:9" x14ac:dyDescent="0.25">
      <c r="I12703" s="227" t="str">
        <f>MID(excPisCofins[[#This Row],[CodBarras2]],2,50)</f>
        <v/>
      </c>
    </row>
    <row r="12704" spans="9:9" x14ac:dyDescent="0.25">
      <c r="I12704" s="227" t="str">
        <f>MID(excPisCofins[[#This Row],[CodBarras2]],2,50)</f>
        <v/>
      </c>
    </row>
    <row r="12705" spans="9:9" x14ac:dyDescent="0.25">
      <c r="I12705" s="227" t="str">
        <f>MID(excPisCofins[[#This Row],[CodBarras2]],2,50)</f>
        <v/>
      </c>
    </row>
    <row r="12706" spans="9:9" x14ac:dyDescent="0.25">
      <c r="I12706" s="227" t="str">
        <f>MID(excPisCofins[[#This Row],[CodBarras2]],2,50)</f>
        <v/>
      </c>
    </row>
    <row r="12707" spans="9:9" x14ac:dyDescent="0.25">
      <c r="I12707" s="227" t="str">
        <f>MID(excPisCofins[[#This Row],[CodBarras2]],2,50)</f>
        <v/>
      </c>
    </row>
    <row r="12708" spans="9:9" x14ac:dyDescent="0.25">
      <c r="I12708" s="227" t="str">
        <f>MID(excPisCofins[[#This Row],[CodBarras2]],2,50)</f>
        <v/>
      </c>
    </row>
    <row r="12709" spans="9:9" x14ac:dyDescent="0.25">
      <c r="I12709" s="227" t="str">
        <f>MID(excPisCofins[[#This Row],[CodBarras2]],2,50)</f>
        <v/>
      </c>
    </row>
    <row r="12710" spans="9:9" x14ac:dyDescent="0.25">
      <c r="I12710" s="227" t="str">
        <f>MID(excPisCofins[[#This Row],[CodBarras2]],2,50)</f>
        <v/>
      </c>
    </row>
    <row r="12711" spans="9:9" x14ac:dyDescent="0.25">
      <c r="I12711" s="227" t="str">
        <f>MID(excPisCofins[[#This Row],[CodBarras2]],2,50)</f>
        <v/>
      </c>
    </row>
    <row r="12712" spans="9:9" x14ac:dyDescent="0.25">
      <c r="I12712" s="227" t="str">
        <f>MID(excPisCofins[[#This Row],[CodBarras2]],2,50)</f>
        <v/>
      </c>
    </row>
    <row r="12713" spans="9:9" x14ac:dyDescent="0.25">
      <c r="I12713" s="227" t="str">
        <f>MID(excPisCofins[[#This Row],[CodBarras2]],2,50)</f>
        <v/>
      </c>
    </row>
    <row r="12714" spans="9:9" x14ac:dyDescent="0.25">
      <c r="I12714" s="227" t="str">
        <f>MID(excPisCofins[[#This Row],[CodBarras2]],2,50)</f>
        <v/>
      </c>
    </row>
    <row r="12715" spans="9:9" x14ac:dyDescent="0.25">
      <c r="I12715" s="227" t="str">
        <f>MID(excPisCofins[[#This Row],[CodBarras2]],2,50)</f>
        <v/>
      </c>
    </row>
    <row r="12716" spans="9:9" x14ac:dyDescent="0.25">
      <c r="I12716" s="227" t="str">
        <f>MID(excPisCofins[[#This Row],[CodBarras2]],2,50)</f>
        <v/>
      </c>
    </row>
    <row r="12717" spans="9:9" x14ac:dyDescent="0.25">
      <c r="I12717" s="227" t="str">
        <f>MID(excPisCofins[[#This Row],[CodBarras2]],2,50)</f>
        <v/>
      </c>
    </row>
    <row r="12718" spans="9:9" x14ac:dyDescent="0.25">
      <c r="I12718" s="227" t="str">
        <f>MID(excPisCofins[[#This Row],[CodBarras2]],2,50)</f>
        <v/>
      </c>
    </row>
    <row r="12719" spans="9:9" x14ac:dyDescent="0.25">
      <c r="I12719" s="227" t="str">
        <f>MID(excPisCofins[[#This Row],[CodBarras2]],2,50)</f>
        <v/>
      </c>
    </row>
    <row r="12720" spans="9:9" x14ac:dyDescent="0.25">
      <c r="I12720" s="227" t="str">
        <f>MID(excPisCofins[[#This Row],[CodBarras2]],2,50)</f>
        <v/>
      </c>
    </row>
    <row r="12721" spans="9:9" x14ac:dyDescent="0.25">
      <c r="I12721" s="227" t="str">
        <f>MID(excPisCofins[[#This Row],[CodBarras2]],2,50)</f>
        <v/>
      </c>
    </row>
    <row r="12722" spans="9:9" x14ac:dyDescent="0.25">
      <c r="I12722" s="227" t="str">
        <f>MID(excPisCofins[[#This Row],[CodBarras2]],2,50)</f>
        <v/>
      </c>
    </row>
    <row r="12723" spans="9:9" x14ac:dyDescent="0.25">
      <c r="I12723" s="227" t="str">
        <f>MID(excPisCofins[[#This Row],[CodBarras2]],2,50)</f>
        <v/>
      </c>
    </row>
    <row r="12724" spans="9:9" x14ac:dyDescent="0.25">
      <c r="I12724" s="227" t="str">
        <f>MID(excPisCofins[[#This Row],[CodBarras2]],2,50)</f>
        <v/>
      </c>
    </row>
    <row r="12725" spans="9:9" x14ac:dyDescent="0.25">
      <c r="I12725" s="227" t="str">
        <f>MID(excPisCofins[[#This Row],[CodBarras2]],2,50)</f>
        <v/>
      </c>
    </row>
    <row r="12726" spans="9:9" x14ac:dyDescent="0.25">
      <c r="I12726" s="227" t="str">
        <f>MID(excPisCofins[[#This Row],[CodBarras2]],2,50)</f>
        <v/>
      </c>
    </row>
    <row r="12727" spans="9:9" x14ac:dyDescent="0.25">
      <c r="I12727" s="227" t="str">
        <f>MID(excPisCofins[[#This Row],[CodBarras2]],2,50)</f>
        <v/>
      </c>
    </row>
    <row r="12728" spans="9:9" x14ac:dyDescent="0.25">
      <c r="I12728" s="227" t="str">
        <f>MID(excPisCofins[[#This Row],[CodBarras2]],2,50)</f>
        <v/>
      </c>
    </row>
    <row r="12729" spans="9:9" x14ac:dyDescent="0.25">
      <c r="I12729" s="227" t="str">
        <f>MID(excPisCofins[[#This Row],[CodBarras2]],2,50)</f>
        <v/>
      </c>
    </row>
    <row r="12730" spans="9:9" x14ac:dyDescent="0.25">
      <c r="I12730" s="227" t="str">
        <f>MID(excPisCofins[[#This Row],[CodBarras2]],2,50)</f>
        <v/>
      </c>
    </row>
    <row r="12731" spans="9:9" x14ac:dyDescent="0.25">
      <c r="I12731" s="227" t="str">
        <f>MID(excPisCofins[[#This Row],[CodBarras2]],2,50)</f>
        <v/>
      </c>
    </row>
    <row r="12732" spans="9:9" x14ac:dyDescent="0.25">
      <c r="I12732" s="227" t="str">
        <f>MID(excPisCofins[[#This Row],[CodBarras2]],2,50)</f>
        <v/>
      </c>
    </row>
    <row r="12733" spans="9:9" x14ac:dyDescent="0.25">
      <c r="I12733" s="227" t="str">
        <f>MID(excPisCofins[[#This Row],[CodBarras2]],2,50)</f>
        <v/>
      </c>
    </row>
    <row r="12734" spans="9:9" x14ac:dyDescent="0.25">
      <c r="I12734" s="227" t="str">
        <f>MID(excPisCofins[[#This Row],[CodBarras2]],2,50)</f>
        <v/>
      </c>
    </row>
    <row r="12735" spans="9:9" x14ac:dyDescent="0.25">
      <c r="I12735" s="227" t="str">
        <f>MID(excPisCofins[[#This Row],[CodBarras2]],2,50)</f>
        <v/>
      </c>
    </row>
    <row r="12736" spans="9:9" x14ac:dyDescent="0.25">
      <c r="I12736" s="227" t="str">
        <f>MID(excPisCofins[[#This Row],[CodBarras2]],2,50)</f>
        <v/>
      </c>
    </row>
    <row r="12737" spans="9:9" x14ac:dyDescent="0.25">
      <c r="I12737" s="227" t="str">
        <f>MID(excPisCofins[[#This Row],[CodBarras2]],2,50)</f>
        <v/>
      </c>
    </row>
    <row r="12738" spans="9:9" x14ac:dyDescent="0.25">
      <c r="I12738" s="227" t="str">
        <f>MID(excPisCofins[[#This Row],[CodBarras2]],2,50)</f>
        <v/>
      </c>
    </row>
    <row r="12739" spans="9:9" x14ac:dyDescent="0.25">
      <c r="I12739" s="227" t="str">
        <f>MID(excPisCofins[[#This Row],[CodBarras2]],2,50)</f>
        <v/>
      </c>
    </row>
    <row r="12740" spans="9:9" x14ac:dyDescent="0.25">
      <c r="I12740" s="227" t="str">
        <f>MID(excPisCofins[[#This Row],[CodBarras2]],2,50)</f>
        <v/>
      </c>
    </row>
    <row r="12741" spans="9:9" x14ac:dyDescent="0.25">
      <c r="I12741" s="227" t="str">
        <f>MID(excPisCofins[[#This Row],[CodBarras2]],2,50)</f>
        <v/>
      </c>
    </row>
    <row r="12742" spans="9:9" x14ac:dyDescent="0.25">
      <c r="I12742" s="227" t="str">
        <f>MID(excPisCofins[[#This Row],[CodBarras2]],2,50)</f>
        <v/>
      </c>
    </row>
    <row r="12743" spans="9:9" x14ac:dyDescent="0.25">
      <c r="I12743" s="227" t="str">
        <f>MID(excPisCofins[[#This Row],[CodBarras2]],2,50)</f>
        <v/>
      </c>
    </row>
    <row r="12744" spans="9:9" x14ac:dyDescent="0.25">
      <c r="I12744" s="227" t="str">
        <f>MID(excPisCofins[[#This Row],[CodBarras2]],2,50)</f>
        <v/>
      </c>
    </row>
    <row r="12745" spans="9:9" x14ac:dyDescent="0.25">
      <c r="I12745" s="227" t="str">
        <f>MID(excPisCofins[[#This Row],[CodBarras2]],2,50)</f>
        <v/>
      </c>
    </row>
    <row r="12746" spans="9:9" x14ac:dyDescent="0.25">
      <c r="I12746" s="227" t="str">
        <f>MID(excPisCofins[[#This Row],[CodBarras2]],2,50)</f>
        <v/>
      </c>
    </row>
    <row r="12747" spans="9:9" x14ac:dyDescent="0.25">
      <c r="I12747" s="227" t="str">
        <f>MID(excPisCofins[[#This Row],[CodBarras2]],2,50)</f>
        <v/>
      </c>
    </row>
    <row r="12748" spans="9:9" x14ac:dyDescent="0.25">
      <c r="I12748" s="227" t="str">
        <f>MID(excPisCofins[[#This Row],[CodBarras2]],2,50)</f>
        <v/>
      </c>
    </row>
    <row r="12749" spans="9:9" x14ac:dyDescent="0.25">
      <c r="I12749" s="227" t="str">
        <f>MID(excPisCofins[[#This Row],[CodBarras2]],2,50)</f>
        <v/>
      </c>
    </row>
    <row r="12750" spans="9:9" x14ac:dyDescent="0.25">
      <c r="I12750" s="227" t="str">
        <f>MID(excPisCofins[[#This Row],[CodBarras2]],2,50)</f>
        <v/>
      </c>
    </row>
    <row r="12751" spans="9:9" x14ac:dyDescent="0.25">
      <c r="I12751" s="227" t="str">
        <f>MID(excPisCofins[[#This Row],[CodBarras2]],2,50)</f>
        <v/>
      </c>
    </row>
    <row r="12752" spans="9:9" x14ac:dyDescent="0.25">
      <c r="I12752" s="227" t="str">
        <f>MID(excPisCofins[[#This Row],[CodBarras2]],2,50)</f>
        <v/>
      </c>
    </row>
    <row r="12753" spans="9:9" x14ac:dyDescent="0.25">
      <c r="I12753" s="227" t="str">
        <f>MID(excPisCofins[[#This Row],[CodBarras2]],2,50)</f>
        <v/>
      </c>
    </row>
    <row r="12754" spans="9:9" x14ac:dyDescent="0.25">
      <c r="I12754" s="227" t="str">
        <f>MID(excPisCofins[[#This Row],[CodBarras2]],2,50)</f>
        <v/>
      </c>
    </row>
    <row r="12755" spans="9:9" x14ac:dyDescent="0.25">
      <c r="I12755" s="227" t="str">
        <f>MID(excPisCofins[[#This Row],[CodBarras2]],2,50)</f>
        <v/>
      </c>
    </row>
    <row r="12756" spans="9:9" x14ac:dyDescent="0.25">
      <c r="I12756" s="227" t="str">
        <f>MID(excPisCofins[[#This Row],[CodBarras2]],2,50)</f>
        <v/>
      </c>
    </row>
    <row r="12757" spans="9:9" x14ac:dyDescent="0.25">
      <c r="I12757" s="227" t="str">
        <f>MID(excPisCofins[[#This Row],[CodBarras2]],2,50)</f>
        <v/>
      </c>
    </row>
    <row r="12758" spans="9:9" x14ac:dyDescent="0.25">
      <c r="I12758" s="227" t="str">
        <f>MID(excPisCofins[[#This Row],[CodBarras2]],2,50)</f>
        <v/>
      </c>
    </row>
    <row r="12759" spans="9:9" x14ac:dyDescent="0.25">
      <c r="I12759" s="227" t="str">
        <f>MID(excPisCofins[[#This Row],[CodBarras2]],2,50)</f>
        <v/>
      </c>
    </row>
    <row r="12760" spans="9:9" x14ac:dyDescent="0.25">
      <c r="I12760" s="227" t="str">
        <f>MID(excPisCofins[[#This Row],[CodBarras2]],2,50)</f>
        <v/>
      </c>
    </row>
    <row r="12761" spans="9:9" x14ac:dyDescent="0.25">
      <c r="I12761" s="227" t="str">
        <f>MID(excPisCofins[[#This Row],[CodBarras2]],2,50)</f>
        <v/>
      </c>
    </row>
    <row r="12762" spans="9:9" x14ac:dyDescent="0.25">
      <c r="I12762" s="227" t="str">
        <f>MID(excPisCofins[[#This Row],[CodBarras2]],2,50)</f>
        <v/>
      </c>
    </row>
    <row r="12763" spans="9:9" x14ac:dyDescent="0.25">
      <c r="I12763" s="227" t="str">
        <f>MID(excPisCofins[[#This Row],[CodBarras2]],2,50)</f>
        <v/>
      </c>
    </row>
    <row r="12764" spans="9:9" x14ac:dyDescent="0.25">
      <c r="I12764" s="227" t="str">
        <f>MID(excPisCofins[[#This Row],[CodBarras2]],2,50)</f>
        <v/>
      </c>
    </row>
    <row r="12765" spans="9:9" x14ac:dyDescent="0.25">
      <c r="I12765" s="227" t="str">
        <f>MID(excPisCofins[[#This Row],[CodBarras2]],2,50)</f>
        <v/>
      </c>
    </row>
    <row r="12766" spans="9:9" x14ac:dyDescent="0.25">
      <c r="I12766" s="227" t="str">
        <f>MID(excPisCofins[[#This Row],[CodBarras2]],2,50)</f>
        <v/>
      </c>
    </row>
    <row r="12767" spans="9:9" x14ac:dyDescent="0.25">
      <c r="I12767" s="227" t="str">
        <f>MID(excPisCofins[[#This Row],[CodBarras2]],2,50)</f>
        <v/>
      </c>
    </row>
    <row r="12768" spans="9:9" x14ac:dyDescent="0.25">
      <c r="I12768" s="227" t="str">
        <f>MID(excPisCofins[[#This Row],[CodBarras2]],2,50)</f>
        <v/>
      </c>
    </row>
    <row r="12769" spans="9:9" x14ac:dyDescent="0.25">
      <c r="I12769" s="227" t="str">
        <f>MID(excPisCofins[[#This Row],[CodBarras2]],2,50)</f>
        <v/>
      </c>
    </row>
    <row r="12770" spans="9:9" x14ac:dyDescent="0.25">
      <c r="I12770" s="227" t="str">
        <f>MID(excPisCofins[[#This Row],[CodBarras2]],2,50)</f>
        <v/>
      </c>
    </row>
    <row r="12771" spans="9:9" x14ac:dyDescent="0.25">
      <c r="I12771" s="227" t="str">
        <f>MID(excPisCofins[[#This Row],[CodBarras2]],2,50)</f>
        <v/>
      </c>
    </row>
    <row r="12772" spans="9:9" x14ac:dyDescent="0.25">
      <c r="I12772" s="227" t="str">
        <f>MID(excPisCofins[[#This Row],[CodBarras2]],2,50)</f>
        <v/>
      </c>
    </row>
    <row r="12773" spans="9:9" x14ac:dyDescent="0.25">
      <c r="I12773" s="227" t="str">
        <f>MID(excPisCofins[[#This Row],[CodBarras2]],2,50)</f>
        <v/>
      </c>
    </row>
    <row r="12774" spans="9:9" x14ac:dyDescent="0.25">
      <c r="I12774" s="227" t="str">
        <f>MID(excPisCofins[[#This Row],[CodBarras2]],2,50)</f>
        <v/>
      </c>
    </row>
    <row r="12775" spans="9:9" x14ac:dyDescent="0.25">
      <c r="I12775" s="227" t="str">
        <f>MID(excPisCofins[[#This Row],[CodBarras2]],2,50)</f>
        <v/>
      </c>
    </row>
    <row r="12776" spans="9:9" x14ac:dyDescent="0.25">
      <c r="I12776" s="227" t="str">
        <f>MID(excPisCofins[[#This Row],[CodBarras2]],2,50)</f>
        <v/>
      </c>
    </row>
    <row r="12777" spans="9:9" x14ac:dyDescent="0.25">
      <c r="I12777" s="227" t="str">
        <f>MID(excPisCofins[[#This Row],[CodBarras2]],2,50)</f>
        <v/>
      </c>
    </row>
    <row r="12778" spans="9:9" x14ac:dyDescent="0.25">
      <c r="I12778" s="227" t="str">
        <f>MID(excPisCofins[[#This Row],[CodBarras2]],2,50)</f>
        <v/>
      </c>
    </row>
    <row r="12779" spans="9:9" x14ac:dyDescent="0.25">
      <c r="I12779" s="227" t="str">
        <f>MID(excPisCofins[[#This Row],[CodBarras2]],2,50)</f>
        <v/>
      </c>
    </row>
    <row r="12780" spans="9:9" x14ac:dyDescent="0.25">
      <c r="I12780" s="227" t="str">
        <f>MID(excPisCofins[[#This Row],[CodBarras2]],2,50)</f>
        <v/>
      </c>
    </row>
    <row r="12781" spans="9:9" x14ac:dyDescent="0.25">
      <c r="I12781" s="227" t="str">
        <f>MID(excPisCofins[[#This Row],[CodBarras2]],2,50)</f>
        <v/>
      </c>
    </row>
    <row r="12782" spans="9:9" x14ac:dyDescent="0.25">
      <c r="I12782" s="227" t="str">
        <f>MID(excPisCofins[[#This Row],[CodBarras2]],2,50)</f>
        <v/>
      </c>
    </row>
    <row r="12783" spans="9:9" x14ac:dyDescent="0.25">
      <c r="I12783" s="227" t="str">
        <f>MID(excPisCofins[[#This Row],[CodBarras2]],2,50)</f>
        <v/>
      </c>
    </row>
    <row r="12784" spans="9:9" x14ac:dyDescent="0.25">
      <c r="I12784" s="227" t="str">
        <f>MID(excPisCofins[[#This Row],[CodBarras2]],2,50)</f>
        <v/>
      </c>
    </row>
    <row r="12785" spans="9:9" x14ac:dyDescent="0.25">
      <c r="I12785" s="227" t="str">
        <f>MID(excPisCofins[[#This Row],[CodBarras2]],2,50)</f>
        <v/>
      </c>
    </row>
    <row r="12786" spans="9:9" x14ac:dyDescent="0.25">
      <c r="I12786" s="227" t="str">
        <f>MID(excPisCofins[[#This Row],[CodBarras2]],2,50)</f>
        <v/>
      </c>
    </row>
    <row r="12787" spans="9:9" x14ac:dyDescent="0.25">
      <c r="I12787" s="227" t="str">
        <f>MID(excPisCofins[[#This Row],[CodBarras2]],2,50)</f>
        <v/>
      </c>
    </row>
    <row r="12788" spans="9:9" x14ac:dyDescent="0.25">
      <c r="I12788" s="227" t="str">
        <f>MID(excPisCofins[[#This Row],[CodBarras2]],2,50)</f>
        <v/>
      </c>
    </row>
    <row r="12789" spans="9:9" x14ac:dyDescent="0.25">
      <c r="I12789" s="227" t="str">
        <f>MID(excPisCofins[[#This Row],[CodBarras2]],2,50)</f>
        <v/>
      </c>
    </row>
    <row r="12790" spans="9:9" x14ac:dyDescent="0.25">
      <c r="I12790" s="227" t="str">
        <f>MID(excPisCofins[[#This Row],[CodBarras2]],2,50)</f>
        <v/>
      </c>
    </row>
    <row r="12791" spans="9:9" x14ac:dyDescent="0.25">
      <c r="I12791" s="227" t="str">
        <f>MID(excPisCofins[[#This Row],[CodBarras2]],2,50)</f>
        <v/>
      </c>
    </row>
    <row r="12792" spans="9:9" x14ac:dyDescent="0.25">
      <c r="I12792" s="227" t="str">
        <f>MID(excPisCofins[[#This Row],[CodBarras2]],2,50)</f>
        <v/>
      </c>
    </row>
    <row r="12793" spans="9:9" x14ac:dyDescent="0.25">
      <c r="I12793" s="227" t="str">
        <f>MID(excPisCofins[[#This Row],[CodBarras2]],2,50)</f>
        <v/>
      </c>
    </row>
    <row r="12794" spans="9:9" x14ac:dyDescent="0.25">
      <c r="I12794" s="227" t="str">
        <f>MID(excPisCofins[[#This Row],[CodBarras2]],2,50)</f>
        <v/>
      </c>
    </row>
    <row r="12795" spans="9:9" x14ac:dyDescent="0.25">
      <c r="I12795" s="227" t="str">
        <f>MID(excPisCofins[[#This Row],[CodBarras2]],2,50)</f>
        <v/>
      </c>
    </row>
    <row r="12796" spans="9:9" x14ac:dyDescent="0.25">
      <c r="I12796" s="227" t="str">
        <f>MID(excPisCofins[[#This Row],[CodBarras2]],2,50)</f>
        <v/>
      </c>
    </row>
    <row r="12797" spans="9:9" x14ac:dyDescent="0.25">
      <c r="I12797" s="227" t="str">
        <f>MID(excPisCofins[[#This Row],[CodBarras2]],2,50)</f>
        <v/>
      </c>
    </row>
    <row r="12798" spans="9:9" x14ac:dyDescent="0.25">
      <c r="I12798" s="227" t="str">
        <f>MID(excPisCofins[[#This Row],[CodBarras2]],2,50)</f>
        <v/>
      </c>
    </row>
    <row r="12799" spans="9:9" x14ac:dyDescent="0.25">
      <c r="I12799" s="227" t="str">
        <f>MID(excPisCofins[[#This Row],[CodBarras2]],2,50)</f>
        <v/>
      </c>
    </row>
    <row r="12800" spans="9:9" x14ac:dyDescent="0.25">
      <c r="I12800" s="227" t="str">
        <f>MID(excPisCofins[[#This Row],[CodBarras2]],2,50)</f>
        <v/>
      </c>
    </row>
    <row r="12801" spans="9:9" x14ac:dyDescent="0.25">
      <c r="I12801" s="227" t="str">
        <f>MID(excPisCofins[[#This Row],[CodBarras2]],2,50)</f>
        <v/>
      </c>
    </row>
    <row r="12802" spans="9:9" x14ac:dyDescent="0.25">
      <c r="I12802" s="227" t="str">
        <f>MID(excPisCofins[[#This Row],[CodBarras2]],2,50)</f>
        <v/>
      </c>
    </row>
    <row r="12803" spans="9:9" x14ac:dyDescent="0.25">
      <c r="I12803" s="227" t="str">
        <f>MID(excPisCofins[[#This Row],[CodBarras2]],2,50)</f>
        <v/>
      </c>
    </row>
    <row r="12804" spans="9:9" x14ac:dyDescent="0.25">
      <c r="I12804" s="227" t="str">
        <f>MID(excPisCofins[[#This Row],[CodBarras2]],2,50)</f>
        <v/>
      </c>
    </row>
    <row r="12805" spans="9:9" x14ac:dyDescent="0.25">
      <c r="I12805" s="227" t="str">
        <f>MID(excPisCofins[[#This Row],[CodBarras2]],2,50)</f>
        <v/>
      </c>
    </row>
    <row r="12806" spans="9:9" x14ac:dyDescent="0.25">
      <c r="I12806" s="227" t="str">
        <f>MID(excPisCofins[[#This Row],[CodBarras2]],2,50)</f>
        <v/>
      </c>
    </row>
    <row r="12807" spans="9:9" x14ac:dyDescent="0.25">
      <c r="I12807" s="227" t="str">
        <f>MID(excPisCofins[[#This Row],[CodBarras2]],2,50)</f>
        <v/>
      </c>
    </row>
    <row r="12808" spans="9:9" x14ac:dyDescent="0.25">
      <c r="I12808" s="227" t="str">
        <f>MID(excPisCofins[[#This Row],[CodBarras2]],2,50)</f>
        <v/>
      </c>
    </row>
    <row r="12809" spans="9:9" x14ac:dyDescent="0.25">
      <c r="I12809" s="227" t="str">
        <f>MID(excPisCofins[[#This Row],[CodBarras2]],2,50)</f>
        <v/>
      </c>
    </row>
    <row r="12810" spans="9:9" x14ac:dyDescent="0.25">
      <c r="I12810" s="227" t="str">
        <f>MID(excPisCofins[[#This Row],[CodBarras2]],2,50)</f>
        <v/>
      </c>
    </row>
    <row r="12811" spans="9:9" x14ac:dyDescent="0.25">
      <c r="I12811" s="227" t="str">
        <f>MID(excPisCofins[[#This Row],[CodBarras2]],2,50)</f>
        <v/>
      </c>
    </row>
    <row r="12812" spans="9:9" x14ac:dyDescent="0.25">
      <c r="I12812" s="227" t="str">
        <f>MID(excPisCofins[[#This Row],[CodBarras2]],2,50)</f>
        <v/>
      </c>
    </row>
    <row r="12813" spans="9:9" x14ac:dyDescent="0.25">
      <c r="I12813" s="227" t="str">
        <f>MID(excPisCofins[[#This Row],[CodBarras2]],2,50)</f>
        <v/>
      </c>
    </row>
    <row r="12814" spans="9:9" x14ac:dyDescent="0.25">
      <c r="I12814" s="227" t="str">
        <f>MID(excPisCofins[[#This Row],[CodBarras2]],2,50)</f>
        <v/>
      </c>
    </row>
    <row r="12815" spans="9:9" x14ac:dyDescent="0.25">
      <c r="I12815" s="227" t="str">
        <f>MID(excPisCofins[[#This Row],[CodBarras2]],2,50)</f>
        <v/>
      </c>
    </row>
    <row r="12816" spans="9:9" x14ac:dyDescent="0.25">
      <c r="I12816" s="227" t="str">
        <f>MID(excPisCofins[[#This Row],[CodBarras2]],2,50)</f>
        <v/>
      </c>
    </row>
    <row r="12817" spans="9:9" x14ac:dyDescent="0.25">
      <c r="I12817" s="227" t="str">
        <f>MID(excPisCofins[[#This Row],[CodBarras2]],2,50)</f>
        <v/>
      </c>
    </row>
    <row r="12818" spans="9:9" x14ac:dyDescent="0.25">
      <c r="I12818" s="227" t="str">
        <f>MID(excPisCofins[[#This Row],[CodBarras2]],2,50)</f>
        <v/>
      </c>
    </row>
    <row r="12819" spans="9:9" x14ac:dyDescent="0.25">
      <c r="I12819" s="227" t="str">
        <f>MID(excPisCofins[[#This Row],[CodBarras2]],2,50)</f>
        <v/>
      </c>
    </row>
    <row r="12820" spans="9:9" x14ac:dyDescent="0.25">
      <c r="I12820" s="227" t="str">
        <f>MID(excPisCofins[[#This Row],[CodBarras2]],2,50)</f>
        <v/>
      </c>
    </row>
    <row r="12821" spans="9:9" x14ac:dyDescent="0.25">
      <c r="I12821" s="227" t="str">
        <f>MID(excPisCofins[[#This Row],[CodBarras2]],2,50)</f>
        <v/>
      </c>
    </row>
    <row r="12822" spans="9:9" x14ac:dyDescent="0.25">
      <c r="I12822" s="227" t="str">
        <f>MID(excPisCofins[[#This Row],[CodBarras2]],2,50)</f>
        <v/>
      </c>
    </row>
    <row r="12823" spans="9:9" x14ac:dyDescent="0.25">
      <c r="I12823" s="227" t="str">
        <f>MID(excPisCofins[[#This Row],[CodBarras2]],2,50)</f>
        <v/>
      </c>
    </row>
    <row r="12824" spans="9:9" x14ac:dyDescent="0.25">
      <c r="I12824" s="227" t="str">
        <f>MID(excPisCofins[[#This Row],[CodBarras2]],2,50)</f>
        <v/>
      </c>
    </row>
    <row r="12825" spans="9:9" x14ac:dyDescent="0.25">
      <c r="I12825" s="227" t="str">
        <f>MID(excPisCofins[[#This Row],[CodBarras2]],2,50)</f>
        <v/>
      </c>
    </row>
    <row r="12826" spans="9:9" x14ac:dyDescent="0.25">
      <c r="I12826" s="227" t="str">
        <f>MID(excPisCofins[[#This Row],[CodBarras2]],2,50)</f>
        <v/>
      </c>
    </row>
    <row r="12827" spans="9:9" x14ac:dyDescent="0.25">
      <c r="I12827" s="227" t="str">
        <f>MID(excPisCofins[[#This Row],[CodBarras2]],2,50)</f>
        <v/>
      </c>
    </row>
    <row r="12828" spans="9:9" x14ac:dyDescent="0.25">
      <c r="I12828" s="227" t="str">
        <f>MID(excPisCofins[[#This Row],[CodBarras2]],2,50)</f>
        <v/>
      </c>
    </row>
    <row r="12829" spans="9:9" x14ac:dyDescent="0.25">
      <c r="I12829" s="227" t="str">
        <f>MID(excPisCofins[[#This Row],[CodBarras2]],2,50)</f>
        <v/>
      </c>
    </row>
    <row r="12830" spans="9:9" x14ac:dyDescent="0.25">
      <c r="I12830" s="227" t="str">
        <f>MID(excPisCofins[[#This Row],[CodBarras2]],2,50)</f>
        <v/>
      </c>
    </row>
    <row r="12831" spans="9:9" x14ac:dyDescent="0.25">
      <c r="I12831" s="227" t="str">
        <f>MID(excPisCofins[[#This Row],[CodBarras2]],2,50)</f>
        <v/>
      </c>
    </row>
    <row r="12832" spans="9:9" x14ac:dyDescent="0.25">
      <c r="I12832" s="227" t="str">
        <f>MID(excPisCofins[[#This Row],[CodBarras2]],2,50)</f>
        <v/>
      </c>
    </row>
    <row r="12833" spans="9:9" x14ac:dyDescent="0.25">
      <c r="I12833" s="227" t="str">
        <f>MID(excPisCofins[[#This Row],[CodBarras2]],2,50)</f>
        <v/>
      </c>
    </row>
    <row r="12834" spans="9:9" x14ac:dyDescent="0.25">
      <c r="I12834" s="227" t="str">
        <f>MID(excPisCofins[[#This Row],[CodBarras2]],2,50)</f>
        <v/>
      </c>
    </row>
    <row r="12835" spans="9:9" x14ac:dyDescent="0.25">
      <c r="I12835" s="227" t="str">
        <f>MID(excPisCofins[[#This Row],[CodBarras2]],2,50)</f>
        <v/>
      </c>
    </row>
    <row r="12836" spans="9:9" x14ac:dyDescent="0.25">
      <c r="I12836" s="227" t="str">
        <f>MID(excPisCofins[[#This Row],[CodBarras2]],2,50)</f>
        <v/>
      </c>
    </row>
    <row r="12837" spans="9:9" x14ac:dyDescent="0.25">
      <c r="I12837" s="227" t="str">
        <f>MID(excPisCofins[[#This Row],[CodBarras2]],2,50)</f>
        <v/>
      </c>
    </row>
    <row r="12838" spans="9:9" x14ac:dyDescent="0.25">
      <c r="I12838" s="227" t="str">
        <f>MID(excPisCofins[[#This Row],[CodBarras2]],2,50)</f>
        <v/>
      </c>
    </row>
    <row r="12839" spans="9:9" x14ac:dyDescent="0.25">
      <c r="I12839" s="227" t="str">
        <f>MID(excPisCofins[[#This Row],[CodBarras2]],2,50)</f>
        <v/>
      </c>
    </row>
    <row r="12840" spans="9:9" x14ac:dyDescent="0.25">
      <c r="I12840" s="227" t="str">
        <f>MID(excPisCofins[[#This Row],[CodBarras2]],2,50)</f>
        <v/>
      </c>
    </row>
    <row r="12841" spans="9:9" x14ac:dyDescent="0.25">
      <c r="I12841" s="227" t="str">
        <f>MID(excPisCofins[[#This Row],[CodBarras2]],2,50)</f>
        <v/>
      </c>
    </row>
    <row r="12842" spans="9:9" x14ac:dyDescent="0.25">
      <c r="I12842" s="227" t="str">
        <f>MID(excPisCofins[[#This Row],[CodBarras2]],2,50)</f>
        <v/>
      </c>
    </row>
    <row r="12843" spans="9:9" x14ac:dyDescent="0.25">
      <c r="I12843" s="227" t="str">
        <f>MID(excPisCofins[[#This Row],[CodBarras2]],2,50)</f>
        <v/>
      </c>
    </row>
    <row r="12844" spans="9:9" x14ac:dyDescent="0.25">
      <c r="I12844" s="227" t="str">
        <f>MID(excPisCofins[[#This Row],[CodBarras2]],2,50)</f>
        <v/>
      </c>
    </row>
    <row r="12845" spans="9:9" x14ac:dyDescent="0.25">
      <c r="I12845" s="227" t="str">
        <f>MID(excPisCofins[[#This Row],[CodBarras2]],2,50)</f>
        <v/>
      </c>
    </row>
    <row r="12846" spans="9:9" x14ac:dyDescent="0.25">
      <c r="I12846" s="227" t="str">
        <f>MID(excPisCofins[[#This Row],[CodBarras2]],2,50)</f>
        <v/>
      </c>
    </row>
    <row r="12847" spans="9:9" x14ac:dyDescent="0.25">
      <c r="I12847" s="227" t="str">
        <f>MID(excPisCofins[[#This Row],[CodBarras2]],2,50)</f>
        <v/>
      </c>
    </row>
    <row r="12848" spans="9:9" x14ac:dyDescent="0.25">
      <c r="I12848" s="227" t="str">
        <f>MID(excPisCofins[[#This Row],[CodBarras2]],2,50)</f>
        <v/>
      </c>
    </row>
    <row r="12849" spans="9:9" x14ac:dyDescent="0.25">
      <c r="I12849" s="227" t="str">
        <f>MID(excPisCofins[[#This Row],[CodBarras2]],2,50)</f>
        <v/>
      </c>
    </row>
    <row r="12850" spans="9:9" x14ac:dyDescent="0.25">
      <c r="I12850" s="227" t="str">
        <f>MID(excPisCofins[[#This Row],[CodBarras2]],2,50)</f>
        <v/>
      </c>
    </row>
    <row r="12851" spans="9:9" x14ac:dyDescent="0.25">
      <c r="I12851" s="227" t="str">
        <f>MID(excPisCofins[[#This Row],[CodBarras2]],2,50)</f>
        <v/>
      </c>
    </row>
    <row r="12852" spans="9:9" x14ac:dyDescent="0.25">
      <c r="I12852" s="227" t="str">
        <f>MID(excPisCofins[[#This Row],[CodBarras2]],2,50)</f>
        <v/>
      </c>
    </row>
    <row r="12853" spans="9:9" x14ac:dyDescent="0.25">
      <c r="I12853" s="227" t="str">
        <f>MID(excPisCofins[[#This Row],[CodBarras2]],2,50)</f>
        <v/>
      </c>
    </row>
    <row r="12854" spans="9:9" x14ac:dyDescent="0.25">
      <c r="I12854" s="227" t="str">
        <f>MID(excPisCofins[[#This Row],[CodBarras2]],2,50)</f>
        <v/>
      </c>
    </row>
    <row r="12855" spans="9:9" x14ac:dyDescent="0.25">
      <c r="I12855" s="227" t="str">
        <f>MID(excPisCofins[[#This Row],[CodBarras2]],2,50)</f>
        <v/>
      </c>
    </row>
    <row r="12856" spans="9:9" x14ac:dyDescent="0.25">
      <c r="I12856" s="227" t="str">
        <f>MID(excPisCofins[[#This Row],[CodBarras2]],2,50)</f>
        <v/>
      </c>
    </row>
    <row r="12857" spans="9:9" x14ac:dyDescent="0.25">
      <c r="I12857" s="227" t="str">
        <f>MID(excPisCofins[[#This Row],[CodBarras2]],2,50)</f>
        <v/>
      </c>
    </row>
    <row r="12858" spans="9:9" x14ac:dyDescent="0.25">
      <c r="I12858" s="227" t="str">
        <f>MID(excPisCofins[[#This Row],[CodBarras2]],2,50)</f>
        <v/>
      </c>
    </row>
    <row r="12859" spans="9:9" x14ac:dyDescent="0.25">
      <c r="I12859" s="227" t="str">
        <f>MID(excPisCofins[[#This Row],[CodBarras2]],2,50)</f>
        <v/>
      </c>
    </row>
    <row r="12860" spans="9:9" x14ac:dyDescent="0.25">
      <c r="I12860" s="227" t="str">
        <f>MID(excPisCofins[[#This Row],[CodBarras2]],2,50)</f>
        <v/>
      </c>
    </row>
    <row r="12861" spans="9:9" x14ac:dyDescent="0.25">
      <c r="I12861" s="227" t="str">
        <f>MID(excPisCofins[[#This Row],[CodBarras2]],2,50)</f>
        <v/>
      </c>
    </row>
    <row r="12862" spans="9:9" x14ac:dyDescent="0.25">
      <c r="I12862" s="227" t="str">
        <f>MID(excPisCofins[[#This Row],[CodBarras2]],2,50)</f>
        <v/>
      </c>
    </row>
    <row r="12863" spans="9:9" x14ac:dyDescent="0.25">
      <c r="I12863" s="227" t="str">
        <f>MID(excPisCofins[[#This Row],[CodBarras2]],2,50)</f>
        <v/>
      </c>
    </row>
    <row r="12864" spans="9:9" x14ac:dyDescent="0.25">
      <c r="I12864" s="227" t="str">
        <f>MID(excPisCofins[[#This Row],[CodBarras2]],2,50)</f>
        <v/>
      </c>
    </row>
    <row r="12865" spans="9:9" x14ac:dyDescent="0.25">
      <c r="I12865" s="227" t="str">
        <f>MID(excPisCofins[[#This Row],[CodBarras2]],2,50)</f>
        <v/>
      </c>
    </row>
    <row r="12866" spans="9:9" x14ac:dyDescent="0.25">
      <c r="I12866" s="227" t="str">
        <f>MID(excPisCofins[[#This Row],[CodBarras2]],2,50)</f>
        <v/>
      </c>
    </row>
    <row r="12867" spans="9:9" x14ac:dyDescent="0.25">
      <c r="I12867" s="227" t="str">
        <f>MID(excPisCofins[[#This Row],[CodBarras2]],2,50)</f>
        <v/>
      </c>
    </row>
    <row r="12868" spans="9:9" x14ac:dyDescent="0.25">
      <c r="I12868" s="227" t="str">
        <f>MID(excPisCofins[[#This Row],[CodBarras2]],2,50)</f>
        <v/>
      </c>
    </row>
    <row r="12869" spans="9:9" x14ac:dyDescent="0.25">
      <c r="I12869" s="227" t="str">
        <f>MID(excPisCofins[[#This Row],[CodBarras2]],2,50)</f>
        <v/>
      </c>
    </row>
    <row r="12870" spans="9:9" x14ac:dyDescent="0.25">
      <c r="I12870" s="227" t="str">
        <f>MID(excPisCofins[[#This Row],[CodBarras2]],2,50)</f>
        <v/>
      </c>
    </row>
    <row r="12871" spans="9:9" x14ac:dyDescent="0.25">
      <c r="I12871" s="227" t="str">
        <f>MID(excPisCofins[[#This Row],[CodBarras2]],2,50)</f>
        <v/>
      </c>
    </row>
    <row r="12872" spans="9:9" x14ac:dyDescent="0.25">
      <c r="I12872" s="227" t="str">
        <f>MID(excPisCofins[[#This Row],[CodBarras2]],2,50)</f>
        <v/>
      </c>
    </row>
    <row r="12873" spans="9:9" x14ac:dyDescent="0.25">
      <c r="I12873" s="227" t="str">
        <f>MID(excPisCofins[[#This Row],[CodBarras2]],2,50)</f>
        <v/>
      </c>
    </row>
    <row r="12874" spans="9:9" x14ac:dyDescent="0.25">
      <c r="I12874" s="227" t="str">
        <f>MID(excPisCofins[[#This Row],[CodBarras2]],2,50)</f>
        <v/>
      </c>
    </row>
    <row r="12875" spans="9:9" x14ac:dyDescent="0.25">
      <c r="I12875" s="227" t="str">
        <f>MID(excPisCofins[[#This Row],[CodBarras2]],2,50)</f>
        <v/>
      </c>
    </row>
    <row r="12876" spans="9:9" x14ac:dyDescent="0.25">
      <c r="I12876" s="227" t="str">
        <f>MID(excPisCofins[[#This Row],[CodBarras2]],2,50)</f>
        <v/>
      </c>
    </row>
    <row r="12877" spans="9:9" x14ac:dyDescent="0.25">
      <c r="I12877" s="227" t="str">
        <f>MID(excPisCofins[[#This Row],[CodBarras2]],2,50)</f>
        <v/>
      </c>
    </row>
    <row r="12878" spans="9:9" x14ac:dyDescent="0.25">
      <c r="I12878" s="227" t="str">
        <f>MID(excPisCofins[[#This Row],[CodBarras2]],2,50)</f>
        <v/>
      </c>
    </row>
    <row r="12879" spans="9:9" x14ac:dyDescent="0.25">
      <c r="I12879" s="227" t="str">
        <f>MID(excPisCofins[[#This Row],[CodBarras2]],2,50)</f>
        <v/>
      </c>
    </row>
    <row r="12880" spans="9:9" x14ac:dyDescent="0.25">
      <c r="I12880" s="227" t="str">
        <f>MID(excPisCofins[[#This Row],[CodBarras2]],2,50)</f>
        <v/>
      </c>
    </row>
    <row r="12881" spans="9:9" x14ac:dyDescent="0.25">
      <c r="I12881" s="227" t="str">
        <f>MID(excPisCofins[[#This Row],[CodBarras2]],2,50)</f>
        <v/>
      </c>
    </row>
    <row r="12882" spans="9:9" x14ac:dyDescent="0.25">
      <c r="I12882" s="227" t="str">
        <f>MID(excPisCofins[[#This Row],[CodBarras2]],2,50)</f>
        <v/>
      </c>
    </row>
    <row r="12883" spans="9:9" x14ac:dyDescent="0.25">
      <c r="I12883" s="227" t="str">
        <f>MID(excPisCofins[[#This Row],[CodBarras2]],2,50)</f>
        <v/>
      </c>
    </row>
    <row r="12884" spans="9:9" x14ac:dyDescent="0.25">
      <c r="I12884" s="227" t="str">
        <f>MID(excPisCofins[[#This Row],[CodBarras2]],2,50)</f>
        <v/>
      </c>
    </row>
    <row r="12885" spans="9:9" x14ac:dyDescent="0.25">
      <c r="I12885" s="227" t="str">
        <f>MID(excPisCofins[[#This Row],[CodBarras2]],2,50)</f>
        <v/>
      </c>
    </row>
    <row r="12886" spans="9:9" x14ac:dyDescent="0.25">
      <c r="I12886" s="227" t="str">
        <f>MID(excPisCofins[[#This Row],[CodBarras2]],2,50)</f>
        <v/>
      </c>
    </row>
    <row r="12887" spans="9:9" x14ac:dyDescent="0.25">
      <c r="I12887" s="227" t="str">
        <f>MID(excPisCofins[[#This Row],[CodBarras2]],2,50)</f>
        <v/>
      </c>
    </row>
    <row r="12888" spans="9:9" x14ac:dyDescent="0.25">
      <c r="I12888" s="227" t="str">
        <f>MID(excPisCofins[[#This Row],[CodBarras2]],2,50)</f>
        <v/>
      </c>
    </row>
    <row r="12889" spans="9:9" x14ac:dyDescent="0.25">
      <c r="I12889" s="227" t="str">
        <f>MID(excPisCofins[[#This Row],[CodBarras2]],2,50)</f>
        <v/>
      </c>
    </row>
    <row r="12890" spans="9:9" x14ac:dyDescent="0.25">
      <c r="I12890" s="227" t="str">
        <f>MID(excPisCofins[[#This Row],[CodBarras2]],2,50)</f>
        <v/>
      </c>
    </row>
    <row r="12891" spans="9:9" x14ac:dyDescent="0.25">
      <c r="I12891" s="227" t="str">
        <f>MID(excPisCofins[[#This Row],[CodBarras2]],2,50)</f>
        <v/>
      </c>
    </row>
    <row r="12892" spans="9:9" x14ac:dyDescent="0.25">
      <c r="I12892" s="227" t="str">
        <f>MID(excPisCofins[[#This Row],[CodBarras2]],2,50)</f>
        <v/>
      </c>
    </row>
    <row r="12893" spans="9:9" x14ac:dyDescent="0.25">
      <c r="I12893" s="227" t="str">
        <f>MID(excPisCofins[[#This Row],[CodBarras2]],2,50)</f>
        <v/>
      </c>
    </row>
    <row r="12894" spans="9:9" x14ac:dyDescent="0.25">
      <c r="I12894" s="227" t="str">
        <f>MID(excPisCofins[[#This Row],[CodBarras2]],2,50)</f>
        <v/>
      </c>
    </row>
    <row r="12895" spans="9:9" x14ac:dyDescent="0.25">
      <c r="I12895" s="227" t="str">
        <f>MID(excPisCofins[[#This Row],[CodBarras2]],2,50)</f>
        <v/>
      </c>
    </row>
    <row r="12896" spans="9:9" x14ac:dyDescent="0.25">
      <c r="I12896" s="227" t="str">
        <f>MID(excPisCofins[[#This Row],[CodBarras2]],2,50)</f>
        <v/>
      </c>
    </row>
    <row r="12897" spans="9:9" x14ac:dyDescent="0.25">
      <c r="I12897" s="227" t="str">
        <f>MID(excPisCofins[[#This Row],[CodBarras2]],2,50)</f>
        <v/>
      </c>
    </row>
    <row r="12898" spans="9:9" x14ac:dyDescent="0.25">
      <c r="I12898" s="227" t="str">
        <f>MID(excPisCofins[[#This Row],[CodBarras2]],2,50)</f>
        <v/>
      </c>
    </row>
    <row r="12899" spans="9:9" x14ac:dyDescent="0.25">
      <c r="I12899" s="227" t="str">
        <f>MID(excPisCofins[[#This Row],[CodBarras2]],2,50)</f>
        <v/>
      </c>
    </row>
    <row r="12900" spans="9:9" x14ac:dyDescent="0.25">
      <c r="I12900" s="227" t="str">
        <f>MID(excPisCofins[[#This Row],[CodBarras2]],2,50)</f>
        <v/>
      </c>
    </row>
    <row r="12901" spans="9:9" x14ac:dyDescent="0.25">
      <c r="I12901" s="227" t="str">
        <f>MID(excPisCofins[[#This Row],[CodBarras2]],2,50)</f>
        <v/>
      </c>
    </row>
    <row r="12902" spans="9:9" x14ac:dyDescent="0.25">
      <c r="I12902" s="227" t="str">
        <f>MID(excPisCofins[[#This Row],[CodBarras2]],2,50)</f>
        <v/>
      </c>
    </row>
    <row r="12903" spans="9:9" x14ac:dyDescent="0.25">
      <c r="I12903" s="227" t="str">
        <f>MID(excPisCofins[[#This Row],[CodBarras2]],2,50)</f>
        <v/>
      </c>
    </row>
    <row r="12904" spans="9:9" x14ac:dyDescent="0.25">
      <c r="I12904" s="227" t="str">
        <f>MID(excPisCofins[[#This Row],[CodBarras2]],2,50)</f>
        <v/>
      </c>
    </row>
    <row r="12905" spans="9:9" x14ac:dyDescent="0.25">
      <c r="I12905" s="227" t="str">
        <f>MID(excPisCofins[[#This Row],[CodBarras2]],2,50)</f>
        <v/>
      </c>
    </row>
    <row r="12906" spans="9:9" x14ac:dyDescent="0.25">
      <c r="I12906" s="227" t="str">
        <f>MID(excPisCofins[[#This Row],[CodBarras2]],2,50)</f>
        <v/>
      </c>
    </row>
    <row r="12907" spans="9:9" x14ac:dyDescent="0.25">
      <c r="I12907" s="227" t="str">
        <f>MID(excPisCofins[[#This Row],[CodBarras2]],2,50)</f>
        <v/>
      </c>
    </row>
    <row r="12908" spans="9:9" x14ac:dyDescent="0.25">
      <c r="I12908" s="227" t="str">
        <f>MID(excPisCofins[[#This Row],[CodBarras2]],2,50)</f>
        <v/>
      </c>
    </row>
    <row r="12909" spans="9:9" x14ac:dyDescent="0.25">
      <c r="I12909" s="227" t="str">
        <f>MID(excPisCofins[[#This Row],[CodBarras2]],2,50)</f>
        <v/>
      </c>
    </row>
    <row r="12910" spans="9:9" x14ac:dyDescent="0.25">
      <c r="I12910" s="227" t="str">
        <f>MID(excPisCofins[[#This Row],[CodBarras2]],2,50)</f>
        <v/>
      </c>
    </row>
    <row r="12911" spans="9:9" x14ac:dyDescent="0.25">
      <c r="I12911" s="227" t="str">
        <f>MID(excPisCofins[[#This Row],[CodBarras2]],2,50)</f>
        <v/>
      </c>
    </row>
    <row r="12912" spans="9:9" x14ac:dyDescent="0.25">
      <c r="I12912" s="227" t="str">
        <f>MID(excPisCofins[[#This Row],[CodBarras2]],2,50)</f>
        <v/>
      </c>
    </row>
    <row r="12913" spans="9:9" x14ac:dyDescent="0.25">
      <c r="I12913" s="227" t="str">
        <f>MID(excPisCofins[[#This Row],[CodBarras2]],2,50)</f>
        <v/>
      </c>
    </row>
    <row r="12914" spans="9:9" x14ac:dyDescent="0.25">
      <c r="I12914" s="227" t="str">
        <f>MID(excPisCofins[[#This Row],[CodBarras2]],2,50)</f>
        <v/>
      </c>
    </row>
    <row r="12915" spans="9:9" x14ac:dyDescent="0.25">
      <c r="I12915" s="227" t="str">
        <f>MID(excPisCofins[[#This Row],[CodBarras2]],2,50)</f>
        <v/>
      </c>
    </row>
    <row r="12916" spans="9:9" x14ac:dyDescent="0.25">
      <c r="I12916" s="227" t="str">
        <f>MID(excPisCofins[[#This Row],[CodBarras2]],2,50)</f>
        <v/>
      </c>
    </row>
    <row r="12917" spans="9:9" x14ac:dyDescent="0.25">
      <c r="I12917" s="227" t="str">
        <f>MID(excPisCofins[[#This Row],[CodBarras2]],2,50)</f>
        <v/>
      </c>
    </row>
    <row r="12918" spans="9:9" x14ac:dyDescent="0.25">
      <c r="I12918" s="227" t="str">
        <f>MID(excPisCofins[[#This Row],[CodBarras2]],2,50)</f>
        <v/>
      </c>
    </row>
    <row r="12919" spans="9:9" x14ac:dyDescent="0.25">
      <c r="I12919" s="227" t="str">
        <f>MID(excPisCofins[[#This Row],[CodBarras2]],2,50)</f>
        <v/>
      </c>
    </row>
    <row r="12920" spans="9:9" x14ac:dyDescent="0.25">
      <c r="I12920" s="227" t="str">
        <f>MID(excPisCofins[[#This Row],[CodBarras2]],2,50)</f>
        <v/>
      </c>
    </row>
    <row r="12921" spans="9:9" x14ac:dyDescent="0.25">
      <c r="I12921" s="227" t="str">
        <f>MID(excPisCofins[[#This Row],[CodBarras2]],2,50)</f>
        <v/>
      </c>
    </row>
    <row r="12922" spans="9:9" x14ac:dyDescent="0.25">
      <c r="I12922" s="227" t="str">
        <f>MID(excPisCofins[[#This Row],[CodBarras2]],2,50)</f>
        <v/>
      </c>
    </row>
    <row r="12923" spans="9:9" x14ac:dyDescent="0.25">
      <c r="I12923" s="227" t="str">
        <f>MID(excPisCofins[[#This Row],[CodBarras2]],2,50)</f>
        <v/>
      </c>
    </row>
    <row r="12924" spans="9:9" x14ac:dyDescent="0.25">
      <c r="I12924" s="227" t="str">
        <f>MID(excPisCofins[[#This Row],[CodBarras2]],2,50)</f>
        <v/>
      </c>
    </row>
    <row r="12925" spans="9:9" x14ac:dyDescent="0.25">
      <c r="I12925" s="227" t="str">
        <f>MID(excPisCofins[[#This Row],[CodBarras2]],2,50)</f>
        <v/>
      </c>
    </row>
    <row r="12926" spans="9:9" x14ac:dyDescent="0.25">
      <c r="I12926" s="227" t="str">
        <f>MID(excPisCofins[[#This Row],[CodBarras2]],2,50)</f>
        <v/>
      </c>
    </row>
    <row r="12927" spans="9:9" x14ac:dyDescent="0.25">
      <c r="I12927" s="227" t="str">
        <f>MID(excPisCofins[[#This Row],[CodBarras2]],2,50)</f>
        <v/>
      </c>
    </row>
    <row r="12928" spans="9:9" x14ac:dyDescent="0.25">
      <c r="I12928" s="227" t="str">
        <f>MID(excPisCofins[[#This Row],[CodBarras2]],2,50)</f>
        <v/>
      </c>
    </row>
    <row r="12929" spans="9:9" x14ac:dyDescent="0.25">
      <c r="I12929" s="227" t="str">
        <f>MID(excPisCofins[[#This Row],[CodBarras2]],2,50)</f>
        <v/>
      </c>
    </row>
    <row r="12930" spans="9:9" x14ac:dyDescent="0.25">
      <c r="I12930" s="227" t="str">
        <f>MID(excPisCofins[[#This Row],[CodBarras2]],2,50)</f>
        <v/>
      </c>
    </row>
    <row r="12931" spans="9:9" x14ac:dyDescent="0.25">
      <c r="I12931" s="227" t="str">
        <f>MID(excPisCofins[[#This Row],[CodBarras2]],2,50)</f>
        <v/>
      </c>
    </row>
    <row r="12932" spans="9:9" x14ac:dyDescent="0.25">
      <c r="I12932" s="227" t="str">
        <f>MID(excPisCofins[[#This Row],[CodBarras2]],2,50)</f>
        <v/>
      </c>
    </row>
    <row r="12933" spans="9:9" x14ac:dyDescent="0.25">
      <c r="I12933" s="227" t="str">
        <f>MID(excPisCofins[[#This Row],[CodBarras2]],2,50)</f>
        <v/>
      </c>
    </row>
    <row r="12934" spans="9:9" x14ac:dyDescent="0.25">
      <c r="I12934" s="227" t="str">
        <f>MID(excPisCofins[[#This Row],[CodBarras2]],2,50)</f>
        <v/>
      </c>
    </row>
    <row r="12935" spans="9:9" x14ac:dyDescent="0.25">
      <c r="I12935" s="227" t="str">
        <f>MID(excPisCofins[[#This Row],[CodBarras2]],2,50)</f>
        <v/>
      </c>
    </row>
    <row r="12936" spans="9:9" x14ac:dyDescent="0.25">
      <c r="I12936" s="227" t="str">
        <f>MID(excPisCofins[[#This Row],[CodBarras2]],2,50)</f>
        <v/>
      </c>
    </row>
    <row r="12937" spans="9:9" x14ac:dyDescent="0.25">
      <c r="I12937" s="227" t="str">
        <f>MID(excPisCofins[[#This Row],[CodBarras2]],2,50)</f>
        <v/>
      </c>
    </row>
    <row r="12938" spans="9:9" x14ac:dyDescent="0.25">
      <c r="I12938" s="227" t="str">
        <f>MID(excPisCofins[[#This Row],[CodBarras2]],2,50)</f>
        <v/>
      </c>
    </row>
    <row r="12939" spans="9:9" x14ac:dyDescent="0.25">
      <c r="I12939" s="227" t="str">
        <f>MID(excPisCofins[[#This Row],[CodBarras2]],2,50)</f>
        <v/>
      </c>
    </row>
    <row r="12940" spans="9:9" x14ac:dyDescent="0.25">
      <c r="I12940" s="227" t="str">
        <f>MID(excPisCofins[[#This Row],[CodBarras2]],2,50)</f>
        <v/>
      </c>
    </row>
    <row r="12941" spans="9:9" x14ac:dyDescent="0.25">
      <c r="I12941" s="227" t="str">
        <f>MID(excPisCofins[[#This Row],[CodBarras2]],2,50)</f>
        <v/>
      </c>
    </row>
    <row r="12942" spans="9:9" x14ac:dyDescent="0.25">
      <c r="I12942" s="227" t="str">
        <f>MID(excPisCofins[[#This Row],[CodBarras2]],2,50)</f>
        <v/>
      </c>
    </row>
    <row r="12943" spans="9:9" x14ac:dyDescent="0.25">
      <c r="I12943" s="227" t="str">
        <f>MID(excPisCofins[[#This Row],[CodBarras2]],2,50)</f>
        <v/>
      </c>
    </row>
    <row r="12944" spans="9:9" x14ac:dyDescent="0.25">
      <c r="I12944" s="227" t="str">
        <f>MID(excPisCofins[[#This Row],[CodBarras2]],2,50)</f>
        <v/>
      </c>
    </row>
    <row r="12945" spans="9:9" x14ac:dyDescent="0.25">
      <c r="I12945" s="227" t="str">
        <f>MID(excPisCofins[[#This Row],[CodBarras2]],2,50)</f>
        <v/>
      </c>
    </row>
    <row r="12946" spans="9:9" x14ac:dyDescent="0.25">
      <c r="I12946" s="227" t="str">
        <f>MID(excPisCofins[[#This Row],[CodBarras2]],2,50)</f>
        <v/>
      </c>
    </row>
    <row r="12947" spans="9:9" x14ac:dyDescent="0.25">
      <c r="I12947" s="227" t="str">
        <f>MID(excPisCofins[[#This Row],[CodBarras2]],2,50)</f>
        <v/>
      </c>
    </row>
    <row r="12948" spans="9:9" x14ac:dyDescent="0.25">
      <c r="I12948" s="227" t="str">
        <f>MID(excPisCofins[[#This Row],[CodBarras2]],2,50)</f>
        <v/>
      </c>
    </row>
    <row r="12949" spans="9:9" x14ac:dyDescent="0.25">
      <c r="I12949" s="227" t="str">
        <f>MID(excPisCofins[[#This Row],[CodBarras2]],2,50)</f>
        <v/>
      </c>
    </row>
    <row r="12950" spans="9:9" x14ac:dyDescent="0.25">
      <c r="I12950" s="227" t="str">
        <f>MID(excPisCofins[[#This Row],[CodBarras2]],2,50)</f>
        <v/>
      </c>
    </row>
    <row r="12951" spans="9:9" x14ac:dyDescent="0.25">
      <c r="I12951" s="227" t="str">
        <f>MID(excPisCofins[[#This Row],[CodBarras2]],2,50)</f>
        <v/>
      </c>
    </row>
    <row r="12952" spans="9:9" x14ac:dyDescent="0.25">
      <c r="I12952" s="227" t="str">
        <f>MID(excPisCofins[[#This Row],[CodBarras2]],2,50)</f>
        <v/>
      </c>
    </row>
    <row r="12953" spans="9:9" x14ac:dyDescent="0.25">
      <c r="I12953" s="227" t="str">
        <f>MID(excPisCofins[[#This Row],[CodBarras2]],2,50)</f>
        <v/>
      </c>
    </row>
    <row r="12954" spans="9:9" x14ac:dyDescent="0.25">
      <c r="I12954" s="227" t="str">
        <f>MID(excPisCofins[[#This Row],[CodBarras2]],2,50)</f>
        <v/>
      </c>
    </row>
    <row r="12955" spans="9:9" x14ac:dyDescent="0.25">
      <c r="I12955" s="227" t="str">
        <f>MID(excPisCofins[[#This Row],[CodBarras2]],2,50)</f>
        <v/>
      </c>
    </row>
    <row r="12956" spans="9:9" x14ac:dyDescent="0.25">
      <c r="I12956" s="227" t="str">
        <f>MID(excPisCofins[[#This Row],[CodBarras2]],2,50)</f>
        <v/>
      </c>
    </row>
    <row r="12957" spans="9:9" x14ac:dyDescent="0.25">
      <c r="I12957" s="227" t="str">
        <f>MID(excPisCofins[[#This Row],[CodBarras2]],2,50)</f>
        <v/>
      </c>
    </row>
    <row r="12958" spans="9:9" x14ac:dyDescent="0.25">
      <c r="I12958" s="227" t="str">
        <f>MID(excPisCofins[[#This Row],[CodBarras2]],2,50)</f>
        <v/>
      </c>
    </row>
    <row r="12959" spans="9:9" x14ac:dyDescent="0.25">
      <c r="I12959" s="227" t="str">
        <f>MID(excPisCofins[[#This Row],[CodBarras2]],2,50)</f>
        <v/>
      </c>
    </row>
    <row r="12960" spans="9:9" x14ac:dyDescent="0.25">
      <c r="I12960" s="227" t="str">
        <f>MID(excPisCofins[[#This Row],[CodBarras2]],2,50)</f>
        <v/>
      </c>
    </row>
    <row r="12961" spans="9:9" x14ac:dyDescent="0.25">
      <c r="I12961" s="227" t="str">
        <f>MID(excPisCofins[[#This Row],[CodBarras2]],2,50)</f>
        <v/>
      </c>
    </row>
    <row r="12962" spans="9:9" x14ac:dyDescent="0.25">
      <c r="I12962" s="227" t="str">
        <f>MID(excPisCofins[[#This Row],[CodBarras2]],2,50)</f>
        <v/>
      </c>
    </row>
    <row r="12963" spans="9:9" x14ac:dyDescent="0.25">
      <c r="I12963" s="227" t="str">
        <f>MID(excPisCofins[[#This Row],[CodBarras2]],2,50)</f>
        <v/>
      </c>
    </row>
    <row r="12964" spans="9:9" x14ac:dyDescent="0.25">
      <c r="I12964" s="227" t="str">
        <f>MID(excPisCofins[[#This Row],[CodBarras2]],2,50)</f>
        <v/>
      </c>
    </row>
    <row r="12965" spans="9:9" x14ac:dyDescent="0.25">
      <c r="I12965" s="227" t="str">
        <f>MID(excPisCofins[[#This Row],[CodBarras2]],2,50)</f>
        <v/>
      </c>
    </row>
    <row r="12966" spans="9:9" x14ac:dyDescent="0.25">
      <c r="I12966" s="227" t="str">
        <f>MID(excPisCofins[[#This Row],[CodBarras2]],2,50)</f>
        <v/>
      </c>
    </row>
    <row r="12967" spans="9:9" x14ac:dyDescent="0.25">
      <c r="I12967" s="227" t="str">
        <f>MID(excPisCofins[[#This Row],[CodBarras2]],2,50)</f>
        <v/>
      </c>
    </row>
    <row r="12968" spans="9:9" x14ac:dyDescent="0.25">
      <c r="I12968" s="227" t="str">
        <f>MID(excPisCofins[[#This Row],[CodBarras2]],2,50)</f>
        <v/>
      </c>
    </row>
    <row r="12969" spans="9:9" x14ac:dyDescent="0.25">
      <c r="I12969" s="227" t="str">
        <f>MID(excPisCofins[[#This Row],[CodBarras2]],2,50)</f>
        <v/>
      </c>
    </row>
    <row r="12970" spans="9:9" x14ac:dyDescent="0.25">
      <c r="I12970" s="227" t="str">
        <f>MID(excPisCofins[[#This Row],[CodBarras2]],2,50)</f>
        <v/>
      </c>
    </row>
    <row r="12971" spans="9:9" x14ac:dyDescent="0.25">
      <c r="I12971" s="227" t="str">
        <f>MID(excPisCofins[[#This Row],[CodBarras2]],2,50)</f>
        <v/>
      </c>
    </row>
    <row r="12972" spans="9:9" x14ac:dyDescent="0.25">
      <c r="I12972" s="227" t="str">
        <f>MID(excPisCofins[[#This Row],[CodBarras2]],2,50)</f>
        <v/>
      </c>
    </row>
    <row r="12973" spans="9:9" x14ac:dyDescent="0.25">
      <c r="I12973" s="227" t="str">
        <f>MID(excPisCofins[[#This Row],[CodBarras2]],2,50)</f>
        <v/>
      </c>
    </row>
    <row r="12974" spans="9:9" x14ac:dyDescent="0.25">
      <c r="I12974" s="227" t="str">
        <f>MID(excPisCofins[[#This Row],[CodBarras2]],2,50)</f>
        <v/>
      </c>
    </row>
    <row r="12975" spans="9:9" x14ac:dyDescent="0.25">
      <c r="I12975" s="227" t="str">
        <f>MID(excPisCofins[[#This Row],[CodBarras2]],2,50)</f>
        <v/>
      </c>
    </row>
    <row r="12976" spans="9:9" x14ac:dyDescent="0.25">
      <c r="I12976" s="227" t="str">
        <f>MID(excPisCofins[[#This Row],[CodBarras2]],2,50)</f>
        <v/>
      </c>
    </row>
    <row r="12977" spans="9:9" x14ac:dyDescent="0.25">
      <c r="I12977" s="227" t="str">
        <f>MID(excPisCofins[[#This Row],[CodBarras2]],2,50)</f>
        <v/>
      </c>
    </row>
    <row r="12978" spans="9:9" x14ac:dyDescent="0.25">
      <c r="I12978" s="227" t="str">
        <f>MID(excPisCofins[[#This Row],[CodBarras2]],2,50)</f>
        <v/>
      </c>
    </row>
    <row r="12979" spans="9:9" x14ac:dyDescent="0.25">
      <c r="I12979" s="227" t="str">
        <f>MID(excPisCofins[[#This Row],[CodBarras2]],2,50)</f>
        <v/>
      </c>
    </row>
    <row r="12980" spans="9:9" x14ac:dyDescent="0.25">
      <c r="I12980" s="227" t="str">
        <f>MID(excPisCofins[[#This Row],[CodBarras2]],2,50)</f>
        <v/>
      </c>
    </row>
    <row r="12981" spans="9:9" x14ac:dyDescent="0.25">
      <c r="I12981" s="227" t="str">
        <f>MID(excPisCofins[[#This Row],[CodBarras2]],2,50)</f>
        <v/>
      </c>
    </row>
    <row r="12982" spans="9:9" x14ac:dyDescent="0.25">
      <c r="I12982" s="227" t="str">
        <f>MID(excPisCofins[[#This Row],[CodBarras2]],2,50)</f>
        <v/>
      </c>
    </row>
    <row r="12983" spans="9:9" x14ac:dyDescent="0.25">
      <c r="I12983" s="227" t="str">
        <f>MID(excPisCofins[[#This Row],[CodBarras2]],2,50)</f>
        <v/>
      </c>
    </row>
    <row r="12984" spans="9:9" x14ac:dyDescent="0.25">
      <c r="I12984" s="227" t="str">
        <f>MID(excPisCofins[[#This Row],[CodBarras2]],2,50)</f>
        <v/>
      </c>
    </row>
    <row r="12985" spans="9:9" x14ac:dyDescent="0.25">
      <c r="I12985" s="227" t="str">
        <f>MID(excPisCofins[[#This Row],[CodBarras2]],2,50)</f>
        <v/>
      </c>
    </row>
    <row r="12986" spans="9:9" x14ac:dyDescent="0.25">
      <c r="I12986" s="227" t="str">
        <f>MID(excPisCofins[[#This Row],[CodBarras2]],2,50)</f>
        <v/>
      </c>
    </row>
    <row r="12987" spans="9:9" x14ac:dyDescent="0.25">
      <c r="I12987" s="227" t="str">
        <f>MID(excPisCofins[[#This Row],[CodBarras2]],2,50)</f>
        <v/>
      </c>
    </row>
    <row r="12988" spans="9:9" x14ac:dyDescent="0.25">
      <c r="I12988" s="227" t="str">
        <f>MID(excPisCofins[[#This Row],[CodBarras2]],2,50)</f>
        <v/>
      </c>
    </row>
    <row r="12989" spans="9:9" x14ac:dyDescent="0.25">
      <c r="I12989" s="227" t="str">
        <f>MID(excPisCofins[[#This Row],[CodBarras2]],2,50)</f>
        <v/>
      </c>
    </row>
    <row r="12990" spans="9:9" x14ac:dyDescent="0.25">
      <c r="I12990" s="227" t="str">
        <f>MID(excPisCofins[[#This Row],[CodBarras2]],2,50)</f>
        <v/>
      </c>
    </row>
    <row r="12991" spans="9:9" x14ac:dyDescent="0.25">
      <c r="I12991" s="227" t="str">
        <f>MID(excPisCofins[[#This Row],[CodBarras2]],2,50)</f>
        <v/>
      </c>
    </row>
    <row r="12992" spans="9:9" x14ac:dyDescent="0.25">
      <c r="I12992" s="227" t="str">
        <f>MID(excPisCofins[[#This Row],[CodBarras2]],2,50)</f>
        <v/>
      </c>
    </row>
    <row r="12993" spans="9:9" x14ac:dyDescent="0.25">
      <c r="I12993" s="227" t="str">
        <f>MID(excPisCofins[[#This Row],[CodBarras2]],2,50)</f>
        <v/>
      </c>
    </row>
    <row r="12994" spans="9:9" x14ac:dyDescent="0.25">
      <c r="I12994" s="227" t="str">
        <f>MID(excPisCofins[[#This Row],[CodBarras2]],2,50)</f>
        <v/>
      </c>
    </row>
    <row r="12995" spans="9:9" x14ac:dyDescent="0.25">
      <c r="I12995" s="227" t="str">
        <f>MID(excPisCofins[[#This Row],[CodBarras2]],2,50)</f>
        <v/>
      </c>
    </row>
    <row r="12996" spans="9:9" x14ac:dyDescent="0.25">
      <c r="I12996" s="227" t="str">
        <f>MID(excPisCofins[[#This Row],[CodBarras2]],2,50)</f>
        <v/>
      </c>
    </row>
    <row r="12997" spans="9:9" x14ac:dyDescent="0.25">
      <c r="I12997" s="227" t="str">
        <f>MID(excPisCofins[[#This Row],[CodBarras2]],2,50)</f>
        <v/>
      </c>
    </row>
    <row r="12998" spans="9:9" x14ac:dyDescent="0.25">
      <c r="I12998" s="227" t="str">
        <f>MID(excPisCofins[[#This Row],[CodBarras2]],2,50)</f>
        <v/>
      </c>
    </row>
    <row r="12999" spans="9:9" x14ac:dyDescent="0.25">
      <c r="I12999" s="227" t="str">
        <f>MID(excPisCofins[[#This Row],[CodBarras2]],2,50)</f>
        <v/>
      </c>
    </row>
    <row r="13000" spans="9:9" x14ac:dyDescent="0.25">
      <c r="I13000" s="227" t="str">
        <f>MID(excPisCofins[[#This Row],[CodBarras2]],2,50)</f>
        <v/>
      </c>
    </row>
    <row r="13001" spans="9:9" x14ac:dyDescent="0.25">
      <c r="I13001" s="227" t="str">
        <f>MID(excPisCofins[[#This Row],[CodBarras2]],2,50)</f>
        <v/>
      </c>
    </row>
    <row r="13002" spans="9:9" x14ac:dyDescent="0.25">
      <c r="I13002" s="227" t="str">
        <f>MID(excPisCofins[[#This Row],[CodBarras2]],2,50)</f>
        <v/>
      </c>
    </row>
    <row r="13003" spans="9:9" x14ac:dyDescent="0.25">
      <c r="I13003" s="227" t="str">
        <f>MID(excPisCofins[[#This Row],[CodBarras2]],2,50)</f>
        <v/>
      </c>
    </row>
    <row r="13004" spans="9:9" x14ac:dyDescent="0.25">
      <c r="I13004" s="227" t="str">
        <f>MID(excPisCofins[[#This Row],[CodBarras2]],2,50)</f>
        <v/>
      </c>
    </row>
    <row r="13005" spans="9:9" x14ac:dyDescent="0.25">
      <c r="I13005" s="227" t="str">
        <f>MID(excPisCofins[[#This Row],[CodBarras2]],2,50)</f>
        <v/>
      </c>
    </row>
    <row r="13006" spans="9:9" x14ac:dyDescent="0.25">
      <c r="I13006" s="227" t="str">
        <f>MID(excPisCofins[[#This Row],[CodBarras2]],2,50)</f>
        <v/>
      </c>
    </row>
    <row r="13007" spans="9:9" x14ac:dyDescent="0.25">
      <c r="I13007" s="227" t="str">
        <f>MID(excPisCofins[[#This Row],[CodBarras2]],2,50)</f>
        <v/>
      </c>
    </row>
    <row r="13008" spans="9:9" x14ac:dyDescent="0.25">
      <c r="I13008" s="227" t="str">
        <f>MID(excPisCofins[[#This Row],[CodBarras2]],2,50)</f>
        <v/>
      </c>
    </row>
    <row r="13009" spans="9:9" x14ac:dyDescent="0.25">
      <c r="I13009" s="227" t="str">
        <f>MID(excPisCofins[[#This Row],[CodBarras2]],2,50)</f>
        <v/>
      </c>
    </row>
    <row r="13010" spans="9:9" x14ac:dyDescent="0.25">
      <c r="I13010" s="227" t="str">
        <f>MID(excPisCofins[[#This Row],[CodBarras2]],2,50)</f>
        <v/>
      </c>
    </row>
    <row r="13011" spans="9:9" x14ac:dyDescent="0.25">
      <c r="I13011" s="227" t="str">
        <f>MID(excPisCofins[[#This Row],[CodBarras2]],2,50)</f>
        <v/>
      </c>
    </row>
    <row r="13012" spans="9:9" x14ac:dyDescent="0.25">
      <c r="I13012" s="227" t="str">
        <f>MID(excPisCofins[[#This Row],[CodBarras2]],2,50)</f>
        <v/>
      </c>
    </row>
    <row r="13013" spans="9:9" x14ac:dyDescent="0.25">
      <c r="I13013" s="227" t="str">
        <f>MID(excPisCofins[[#This Row],[CodBarras2]],2,50)</f>
        <v/>
      </c>
    </row>
    <row r="13014" spans="9:9" x14ac:dyDescent="0.25">
      <c r="I13014" s="227" t="str">
        <f>MID(excPisCofins[[#This Row],[CodBarras2]],2,50)</f>
        <v/>
      </c>
    </row>
    <row r="13015" spans="9:9" x14ac:dyDescent="0.25">
      <c r="I13015" s="227" t="str">
        <f>MID(excPisCofins[[#This Row],[CodBarras2]],2,50)</f>
        <v/>
      </c>
    </row>
    <row r="13016" spans="9:9" x14ac:dyDescent="0.25">
      <c r="I13016" s="227" t="str">
        <f>MID(excPisCofins[[#This Row],[CodBarras2]],2,50)</f>
        <v/>
      </c>
    </row>
    <row r="13017" spans="9:9" x14ac:dyDescent="0.25">
      <c r="I13017" s="227" t="str">
        <f>MID(excPisCofins[[#This Row],[CodBarras2]],2,50)</f>
        <v/>
      </c>
    </row>
    <row r="13018" spans="9:9" x14ac:dyDescent="0.25">
      <c r="I13018" s="227" t="str">
        <f>MID(excPisCofins[[#This Row],[CodBarras2]],2,50)</f>
        <v/>
      </c>
    </row>
    <row r="13019" spans="9:9" x14ac:dyDescent="0.25">
      <c r="I13019" s="227" t="str">
        <f>MID(excPisCofins[[#This Row],[CodBarras2]],2,50)</f>
        <v/>
      </c>
    </row>
    <row r="13020" spans="9:9" x14ac:dyDescent="0.25">
      <c r="I13020" s="227" t="str">
        <f>MID(excPisCofins[[#This Row],[CodBarras2]],2,50)</f>
        <v/>
      </c>
    </row>
    <row r="13021" spans="9:9" x14ac:dyDescent="0.25">
      <c r="I13021" s="227" t="str">
        <f>MID(excPisCofins[[#This Row],[CodBarras2]],2,50)</f>
        <v/>
      </c>
    </row>
    <row r="13022" spans="9:9" x14ac:dyDescent="0.25">
      <c r="I13022" s="227" t="str">
        <f>MID(excPisCofins[[#This Row],[CodBarras2]],2,50)</f>
        <v/>
      </c>
    </row>
    <row r="13023" spans="9:9" x14ac:dyDescent="0.25">
      <c r="I13023" s="227" t="str">
        <f>MID(excPisCofins[[#This Row],[CodBarras2]],2,50)</f>
        <v/>
      </c>
    </row>
    <row r="13024" spans="9:9" x14ac:dyDescent="0.25">
      <c r="I13024" s="227" t="str">
        <f>MID(excPisCofins[[#This Row],[CodBarras2]],2,50)</f>
        <v/>
      </c>
    </row>
    <row r="13025" spans="9:9" x14ac:dyDescent="0.25">
      <c r="I13025" s="227" t="str">
        <f>MID(excPisCofins[[#This Row],[CodBarras2]],2,50)</f>
        <v/>
      </c>
    </row>
    <row r="13026" spans="9:9" x14ac:dyDescent="0.25">
      <c r="I13026" s="227" t="str">
        <f>MID(excPisCofins[[#This Row],[CodBarras2]],2,50)</f>
        <v/>
      </c>
    </row>
    <row r="13027" spans="9:9" x14ac:dyDescent="0.25">
      <c r="I13027" s="227" t="str">
        <f>MID(excPisCofins[[#This Row],[CodBarras2]],2,50)</f>
        <v/>
      </c>
    </row>
    <row r="13028" spans="9:9" x14ac:dyDescent="0.25">
      <c r="I13028" s="227" t="str">
        <f>MID(excPisCofins[[#This Row],[CodBarras2]],2,50)</f>
        <v/>
      </c>
    </row>
    <row r="13029" spans="9:9" x14ac:dyDescent="0.25">
      <c r="I13029" s="227" t="str">
        <f>MID(excPisCofins[[#This Row],[CodBarras2]],2,50)</f>
        <v/>
      </c>
    </row>
    <row r="13030" spans="9:9" x14ac:dyDescent="0.25">
      <c r="I13030" s="227" t="str">
        <f>MID(excPisCofins[[#This Row],[CodBarras2]],2,50)</f>
        <v/>
      </c>
    </row>
    <row r="13031" spans="9:9" x14ac:dyDescent="0.25">
      <c r="I13031" s="227" t="str">
        <f>MID(excPisCofins[[#This Row],[CodBarras2]],2,50)</f>
        <v/>
      </c>
    </row>
    <row r="13032" spans="9:9" x14ac:dyDescent="0.25">
      <c r="I13032" s="227" t="str">
        <f>MID(excPisCofins[[#This Row],[CodBarras2]],2,50)</f>
        <v/>
      </c>
    </row>
    <row r="13033" spans="9:9" x14ac:dyDescent="0.25">
      <c r="I13033" s="227" t="str">
        <f>MID(excPisCofins[[#This Row],[CodBarras2]],2,50)</f>
        <v/>
      </c>
    </row>
    <row r="13034" spans="9:9" x14ac:dyDescent="0.25">
      <c r="I13034" s="227" t="str">
        <f>MID(excPisCofins[[#This Row],[CodBarras2]],2,50)</f>
        <v/>
      </c>
    </row>
    <row r="13035" spans="9:9" x14ac:dyDescent="0.25">
      <c r="I13035" s="227" t="str">
        <f>MID(excPisCofins[[#This Row],[CodBarras2]],2,50)</f>
        <v/>
      </c>
    </row>
    <row r="13036" spans="9:9" x14ac:dyDescent="0.25">
      <c r="I13036" s="227" t="str">
        <f>MID(excPisCofins[[#This Row],[CodBarras2]],2,50)</f>
        <v/>
      </c>
    </row>
    <row r="13037" spans="9:9" x14ac:dyDescent="0.25">
      <c r="I13037" s="227" t="str">
        <f>MID(excPisCofins[[#This Row],[CodBarras2]],2,50)</f>
        <v/>
      </c>
    </row>
    <row r="13038" spans="9:9" x14ac:dyDescent="0.25">
      <c r="I13038" s="227" t="str">
        <f>MID(excPisCofins[[#This Row],[CodBarras2]],2,50)</f>
        <v/>
      </c>
    </row>
    <row r="13039" spans="9:9" x14ac:dyDescent="0.25">
      <c r="I13039" s="227" t="str">
        <f>MID(excPisCofins[[#This Row],[CodBarras2]],2,50)</f>
        <v/>
      </c>
    </row>
    <row r="13040" spans="9:9" x14ac:dyDescent="0.25">
      <c r="I13040" s="227" t="str">
        <f>MID(excPisCofins[[#This Row],[CodBarras2]],2,50)</f>
        <v/>
      </c>
    </row>
    <row r="13041" spans="9:9" x14ac:dyDescent="0.25">
      <c r="I13041" s="227" t="str">
        <f>MID(excPisCofins[[#This Row],[CodBarras2]],2,50)</f>
        <v/>
      </c>
    </row>
    <row r="13042" spans="9:9" x14ac:dyDescent="0.25">
      <c r="I13042" s="227" t="str">
        <f>MID(excPisCofins[[#This Row],[CodBarras2]],2,50)</f>
        <v/>
      </c>
    </row>
    <row r="13043" spans="9:9" x14ac:dyDescent="0.25">
      <c r="I13043" s="227" t="str">
        <f>MID(excPisCofins[[#This Row],[CodBarras2]],2,50)</f>
        <v/>
      </c>
    </row>
    <row r="13044" spans="9:9" x14ac:dyDescent="0.25">
      <c r="I13044" s="227" t="str">
        <f>MID(excPisCofins[[#This Row],[CodBarras2]],2,50)</f>
        <v/>
      </c>
    </row>
    <row r="13045" spans="9:9" x14ac:dyDescent="0.25">
      <c r="I13045" s="227" t="str">
        <f>MID(excPisCofins[[#This Row],[CodBarras2]],2,50)</f>
        <v/>
      </c>
    </row>
    <row r="13046" spans="9:9" x14ac:dyDescent="0.25">
      <c r="I13046" s="227" t="str">
        <f>MID(excPisCofins[[#This Row],[CodBarras2]],2,50)</f>
        <v/>
      </c>
    </row>
    <row r="13047" spans="9:9" x14ac:dyDescent="0.25">
      <c r="I13047" s="227" t="str">
        <f>MID(excPisCofins[[#This Row],[CodBarras2]],2,50)</f>
        <v/>
      </c>
    </row>
    <row r="13048" spans="9:9" x14ac:dyDescent="0.25">
      <c r="I13048" s="227" t="str">
        <f>MID(excPisCofins[[#This Row],[CodBarras2]],2,50)</f>
        <v/>
      </c>
    </row>
    <row r="13049" spans="9:9" x14ac:dyDescent="0.25">
      <c r="I13049" s="227" t="str">
        <f>MID(excPisCofins[[#This Row],[CodBarras2]],2,50)</f>
        <v/>
      </c>
    </row>
    <row r="13050" spans="9:9" x14ac:dyDescent="0.25">
      <c r="I13050" s="227" t="str">
        <f>MID(excPisCofins[[#This Row],[CodBarras2]],2,50)</f>
        <v/>
      </c>
    </row>
    <row r="13051" spans="9:9" x14ac:dyDescent="0.25">
      <c r="I13051" s="227" t="str">
        <f>MID(excPisCofins[[#This Row],[CodBarras2]],2,50)</f>
        <v/>
      </c>
    </row>
    <row r="13052" spans="9:9" x14ac:dyDescent="0.25">
      <c r="I13052" s="227" t="str">
        <f>MID(excPisCofins[[#This Row],[CodBarras2]],2,50)</f>
        <v/>
      </c>
    </row>
    <row r="13053" spans="9:9" x14ac:dyDescent="0.25">
      <c r="I13053" s="227" t="str">
        <f>MID(excPisCofins[[#This Row],[CodBarras2]],2,50)</f>
        <v/>
      </c>
    </row>
    <row r="13054" spans="9:9" x14ac:dyDescent="0.25">
      <c r="I13054" s="227" t="str">
        <f>MID(excPisCofins[[#This Row],[CodBarras2]],2,50)</f>
        <v/>
      </c>
    </row>
    <row r="13055" spans="9:9" x14ac:dyDescent="0.25">
      <c r="I13055" s="227" t="str">
        <f>MID(excPisCofins[[#This Row],[CodBarras2]],2,50)</f>
        <v/>
      </c>
    </row>
    <row r="13056" spans="9:9" x14ac:dyDescent="0.25">
      <c r="I13056" s="227" t="str">
        <f>MID(excPisCofins[[#This Row],[CodBarras2]],2,50)</f>
        <v/>
      </c>
    </row>
    <row r="13057" spans="9:9" x14ac:dyDescent="0.25">
      <c r="I13057" s="227" t="str">
        <f>MID(excPisCofins[[#This Row],[CodBarras2]],2,50)</f>
        <v/>
      </c>
    </row>
    <row r="13058" spans="9:9" x14ac:dyDescent="0.25">
      <c r="I13058" s="227" t="str">
        <f>MID(excPisCofins[[#This Row],[CodBarras2]],2,50)</f>
        <v/>
      </c>
    </row>
    <row r="13059" spans="9:9" x14ac:dyDescent="0.25">
      <c r="I13059" s="227" t="str">
        <f>MID(excPisCofins[[#This Row],[CodBarras2]],2,50)</f>
        <v/>
      </c>
    </row>
    <row r="13060" spans="9:9" x14ac:dyDescent="0.25">
      <c r="I13060" s="227" t="str">
        <f>MID(excPisCofins[[#This Row],[CodBarras2]],2,50)</f>
        <v/>
      </c>
    </row>
    <row r="13061" spans="9:9" x14ac:dyDescent="0.25">
      <c r="I13061" s="227" t="str">
        <f>MID(excPisCofins[[#This Row],[CodBarras2]],2,50)</f>
        <v/>
      </c>
    </row>
    <row r="13062" spans="9:9" x14ac:dyDescent="0.25">
      <c r="I13062" s="227" t="str">
        <f>MID(excPisCofins[[#This Row],[CodBarras2]],2,50)</f>
        <v/>
      </c>
    </row>
    <row r="13063" spans="9:9" x14ac:dyDescent="0.25">
      <c r="I13063" s="227" t="str">
        <f>MID(excPisCofins[[#This Row],[CodBarras2]],2,50)</f>
        <v/>
      </c>
    </row>
    <row r="13064" spans="9:9" x14ac:dyDescent="0.25">
      <c r="I13064" s="227" t="str">
        <f>MID(excPisCofins[[#This Row],[CodBarras2]],2,50)</f>
        <v/>
      </c>
    </row>
    <row r="13065" spans="9:9" x14ac:dyDescent="0.25">
      <c r="I13065" s="227" t="str">
        <f>MID(excPisCofins[[#This Row],[CodBarras2]],2,50)</f>
        <v/>
      </c>
    </row>
    <row r="13066" spans="9:9" x14ac:dyDescent="0.25">
      <c r="I13066" s="227" t="str">
        <f>MID(excPisCofins[[#This Row],[CodBarras2]],2,50)</f>
        <v/>
      </c>
    </row>
    <row r="13067" spans="9:9" x14ac:dyDescent="0.25">
      <c r="I13067" s="227" t="str">
        <f>MID(excPisCofins[[#This Row],[CodBarras2]],2,50)</f>
        <v/>
      </c>
    </row>
    <row r="13068" spans="9:9" x14ac:dyDescent="0.25">
      <c r="I13068" s="227" t="str">
        <f>MID(excPisCofins[[#This Row],[CodBarras2]],2,50)</f>
        <v/>
      </c>
    </row>
    <row r="13069" spans="9:9" x14ac:dyDescent="0.25">
      <c r="I13069" s="227" t="str">
        <f>MID(excPisCofins[[#This Row],[CodBarras2]],2,50)</f>
        <v/>
      </c>
    </row>
    <row r="13070" spans="9:9" x14ac:dyDescent="0.25">
      <c r="I13070" s="227" t="str">
        <f>MID(excPisCofins[[#This Row],[CodBarras2]],2,50)</f>
        <v/>
      </c>
    </row>
    <row r="13071" spans="9:9" x14ac:dyDescent="0.25">
      <c r="I13071" s="227" t="str">
        <f>MID(excPisCofins[[#This Row],[CodBarras2]],2,50)</f>
        <v/>
      </c>
    </row>
    <row r="13072" spans="9:9" x14ac:dyDescent="0.25">
      <c r="I13072" s="227" t="str">
        <f>MID(excPisCofins[[#This Row],[CodBarras2]],2,50)</f>
        <v/>
      </c>
    </row>
    <row r="13073" spans="9:9" x14ac:dyDescent="0.25">
      <c r="I13073" s="227" t="str">
        <f>MID(excPisCofins[[#This Row],[CodBarras2]],2,50)</f>
        <v/>
      </c>
    </row>
    <row r="13074" spans="9:9" x14ac:dyDescent="0.25">
      <c r="I13074" s="227" t="str">
        <f>MID(excPisCofins[[#This Row],[CodBarras2]],2,50)</f>
        <v/>
      </c>
    </row>
    <row r="13075" spans="9:9" x14ac:dyDescent="0.25">
      <c r="I13075" s="227" t="str">
        <f>MID(excPisCofins[[#This Row],[CodBarras2]],2,50)</f>
        <v/>
      </c>
    </row>
    <row r="13076" spans="9:9" x14ac:dyDescent="0.25">
      <c r="I13076" s="227" t="str">
        <f>MID(excPisCofins[[#This Row],[CodBarras2]],2,50)</f>
        <v/>
      </c>
    </row>
    <row r="13077" spans="9:9" x14ac:dyDescent="0.25">
      <c r="I13077" s="227" t="str">
        <f>MID(excPisCofins[[#This Row],[CodBarras2]],2,50)</f>
        <v/>
      </c>
    </row>
    <row r="13078" spans="9:9" x14ac:dyDescent="0.25">
      <c r="I13078" s="227" t="str">
        <f>MID(excPisCofins[[#This Row],[CodBarras2]],2,50)</f>
        <v/>
      </c>
    </row>
    <row r="13079" spans="9:9" x14ac:dyDescent="0.25">
      <c r="I13079" s="227" t="str">
        <f>MID(excPisCofins[[#This Row],[CodBarras2]],2,50)</f>
        <v/>
      </c>
    </row>
    <row r="13080" spans="9:9" x14ac:dyDescent="0.25">
      <c r="I13080" s="227" t="str">
        <f>MID(excPisCofins[[#This Row],[CodBarras2]],2,50)</f>
        <v/>
      </c>
    </row>
    <row r="13081" spans="9:9" x14ac:dyDescent="0.25">
      <c r="I13081" s="227" t="str">
        <f>MID(excPisCofins[[#This Row],[CodBarras2]],2,50)</f>
        <v/>
      </c>
    </row>
    <row r="13082" spans="9:9" x14ac:dyDescent="0.25">
      <c r="I13082" s="227" t="str">
        <f>MID(excPisCofins[[#This Row],[CodBarras2]],2,50)</f>
        <v/>
      </c>
    </row>
    <row r="13083" spans="9:9" x14ac:dyDescent="0.25">
      <c r="I13083" s="227" t="str">
        <f>MID(excPisCofins[[#This Row],[CodBarras2]],2,50)</f>
        <v/>
      </c>
    </row>
    <row r="13084" spans="9:9" x14ac:dyDescent="0.25">
      <c r="I13084" s="227" t="str">
        <f>MID(excPisCofins[[#This Row],[CodBarras2]],2,50)</f>
        <v/>
      </c>
    </row>
    <row r="13085" spans="9:9" x14ac:dyDescent="0.25">
      <c r="I13085" s="227" t="str">
        <f>MID(excPisCofins[[#This Row],[CodBarras2]],2,50)</f>
        <v/>
      </c>
    </row>
    <row r="13086" spans="9:9" x14ac:dyDescent="0.25">
      <c r="I13086" s="227" t="str">
        <f>MID(excPisCofins[[#This Row],[CodBarras2]],2,50)</f>
        <v/>
      </c>
    </row>
    <row r="13087" spans="9:9" x14ac:dyDescent="0.25">
      <c r="I13087" s="227" t="str">
        <f>MID(excPisCofins[[#This Row],[CodBarras2]],2,50)</f>
        <v/>
      </c>
    </row>
    <row r="13088" spans="9:9" x14ac:dyDescent="0.25">
      <c r="I13088" s="227" t="str">
        <f>MID(excPisCofins[[#This Row],[CodBarras2]],2,50)</f>
        <v/>
      </c>
    </row>
    <row r="13089" spans="9:9" x14ac:dyDescent="0.25">
      <c r="I13089" s="227" t="str">
        <f>MID(excPisCofins[[#This Row],[CodBarras2]],2,50)</f>
        <v/>
      </c>
    </row>
    <row r="13090" spans="9:9" x14ac:dyDescent="0.25">
      <c r="I13090" s="227" t="str">
        <f>MID(excPisCofins[[#This Row],[CodBarras2]],2,50)</f>
        <v/>
      </c>
    </row>
    <row r="13091" spans="9:9" x14ac:dyDescent="0.25">
      <c r="I13091" s="227" t="str">
        <f>MID(excPisCofins[[#This Row],[CodBarras2]],2,50)</f>
        <v/>
      </c>
    </row>
    <row r="13092" spans="9:9" x14ac:dyDescent="0.25">
      <c r="I13092" s="227" t="str">
        <f>MID(excPisCofins[[#This Row],[CodBarras2]],2,50)</f>
        <v/>
      </c>
    </row>
    <row r="13093" spans="9:9" x14ac:dyDescent="0.25">
      <c r="I13093" s="227" t="str">
        <f>MID(excPisCofins[[#This Row],[CodBarras2]],2,50)</f>
        <v/>
      </c>
    </row>
    <row r="13094" spans="9:9" x14ac:dyDescent="0.25">
      <c r="I13094" s="227" t="str">
        <f>MID(excPisCofins[[#This Row],[CodBarras2]],2,50)</f>
        <v/>
      </c>
    </row>
    <row r="13095" spans="9:9" x14ac:dyDescent="0.25">
      <c r="I13095" s="227" t="str">
        <f>MID(excPisCofins[[#This Row],[CodBarras2]],2,50)</f>
        <v/>
      </c>
    </row>
    <row r="13096" spans="9:9" x14ac:dyDescent="0.25">
      <c r="I13096" s="227" t="str">
        <f>MID(excPisCofins[[#This Row],[CodBarras2]],2,50)</f>
        <v/>
      </c>
    </row>
    <row r="13097" spans="9:9" x14ac:dyDescent="0.25">
      <c r="I13097" s="227" t="str">
        <f>MID(excPisCofins[[#This Row],[CodBarras2]],2,50)</f>
        <v/>
      </c>
    </row>
    <row r="13098" spans="9:9" x14ac:dyDescent="0.25">
      <c r="I13098" s="227" t="str">
        <f>MID(excPisCofins[[#This Row],[CodBarras2]],2,50)</f>
        <v/>
      </c>
    </row>
    <row r="13099" spans="9:9" x14ac:dyDescent="0.25">
      <c r="I13099" s="227" t="str">
        <f>MID(excPisCofins[[#This Row],[CodBarras2]],2,50)</f>
        <v/>
      </c>
    </row>
    <row r="13100" spans="9:9" x14ac:dyDescent="0.25">
      <c r="I13100" s="227" t="str">
        <f>MID(excPisCofins[[#This Row],[CodBarras2]],2,50)</f>
        <v/>
      </c>
    </row>
    <row r="13101" spans="9:9" x14ac:dyDescent="0.25">
      <c r="I13101" s="227" t="str">
        <f>MID(excPisCofins[[#This Row],[CodBarras2]],2,50)</f>
        <v/>
      </c>
    </row>
    <row r="13102" spans="9:9" x14ac:dyDescent="0.25">
      <c r="I13102" s="227" t="str">
        <f>MID(excPisCofins[[#This Row],[CodBarras2]],2,50)</f>
        <v/>
      </c>
    </row>
    <row r="13103" spans="9:9" x14ac:dyDescent="0.25">
      <c r="I13103" s="227" t="str">
        <f>MID(excPisCofins[[#This Row],[CodBarras2]],2,50)</f>
        <v/>
      </c>
    </row>
    <row r="13104" spans="9:9" x14ac:dyDescent="0.25">
      <c r="I13104" s="227" t="str">
        <f>MID(excPisCofins[[#This Row],[CodBarras2]],2,50)</f>
        <v/>
      </c>
    </row>
    <row r="13105" spans="9:9" x14ac:dyDescent="0.25">
      <c r="I13105" s="227" t="str">
        <f>MID(excPisCofins[[#This Row],[CodBarras2]],2,50)</f>
        <v/>
      </c>
    </row>
    <row r="13106" spans="9:9" x14ac:dyDescent="0.25">
      <c r="I13106" s="227" t="str">
        <f>MID(excPisCofins[[#This Row],[CodBarras2]],2,50)</f>
        <v/>
      </c>
    </row>
    <row r="13107" spans="9:9" x14ac:dyDescent="0.25">
      <c r="I13107" s="227" t="str">
        <f>MID(excPisCofins[[#This Row],[CodBarras2]],2,50)</f>
        <v/>
      </c>
    </row>
    <row r="13108" spans="9:9" x14ac:dyDescent="0.25">
      <c r="I13108" s="227" t="str">
        <f>MID(excPisCofins[[#This Row],[CodBarras2]],2,50)</f>
        <v/>
      </c>
    </row>
    <row r="13109" spans="9:9" x14ac:dyDescent="0.25">
      <c r="I13109" s="227" t="str">
        <f>MID(excPisCofins[[#This Row],[CodBarras2]],2,50)</f>
        <v/>
      </c>
    </row>
    <row r="13110" spans="9:9" x14ac:dyDescent="0.25">
      <c r="I13110" s="227" t="str">
        <f>MID(excPisCofins[[#This Row],[CodBarras2]],2,50)</f>
        <v/>
      </c>
    </row>
    <row r="13111" spans="9:9" x14ac:dyDescent="0.25">
      <c r="I13111" s="227" t="str">
        <f>MID(excPisCofins[[#This Row],[CodBarras2]],2,50)</f>
        <v/>
      </c>
    </row>
    <row r="13112" spans="9:9" x14ac:dyDescent="0.25">
      <c r="I13112" s="227" t="str">
        <f>MID(excPisCofins[[#This Row],[CodBarras2]],2,50)</f>
        <v/>
      </c>
    </row>
    <row r="13113" spans="9:9" x14ac:dyDescent="0.25">
      <c r="I13113" s="227" t="str">
        <f>MID(excPisCofins[[#This Row],[CodBarras2]],2,50)</f>
        <v/>
      </c>
    </row>
    <row r="13114" spans="9:9" x14ac:dyDescent="0.25">
      <c r="I13114" s="227" t="str">
        <f>MID(excPisCofins[[#This Row],[CodBarras2]],2,50)</f>
        <v/>
      </c>
    </row>
    <row r="13115" spans="9:9" x14ac:dyDescent="0.25">
      <c r="I13115" s="227" t="str">
        <f>MID(excPisCofins[[#This Row],[CodBarras2]],2,50)</f>
        <v/>
      </c>
    </row>
    <row r="13116" spans="9:9" x14ac:dyDescent="0.25">
      <c r="I13116" s="227" t="str">
        <f>MID(excPisCofins[[#This Row],[CodBarras2]],2,50)</f>
        <v/>
      </c>
    </row>
    <row r="13117" spans="9:9" x14ac:dyDescent="0.25">
      <c r="I13117" s="227" t="str">
        <f>MID(excPisCofins[[#This Row],[CodBarras2]],2,50)</f>
        <v/>
      </c>
    </row>
    <row r="13118" spans="9:9" x14ac:dyDescent="0.25">
      <c r="I13118" s="227" t="str">
        <f>MID(excPisCofins[[#This Row],[CodBarras2]],2,50)</f>
        <v/>
      </c>
    </row>
    <row r="13119" spans="9:9" x14ac:dyDescent="0.25">
      <c r="I13119" s="227" t="str">
        <f>MID(excPisCofins[[#This Row],[CodBarras2]],2,50)</f>
        <v/>
      </c>
    </row>
    <row r="13120" spans="9:9" x14ac:dyDescent="0.25">
      <c r="I13120" s="227" t="str">
        <f>MID(excPisCofins[[#This Row],[CodBarras2]],2,50)</f>
        <v/>
      </c>
    </row>
    <row r="13121" spans="9:9" x14ac:dyDescent="0.25">
      <c r="I13121" s="227" t="str">
        <f>MID(excPisCofins[[#This Row],[CodBarras2]],2,50)</f>
        <v/>
      </c>
    </row>
    <row r="13122" spans="9:9" x14ac:dyDescent="0.25">
      <c r="I13122" s="227" t="str">
        <f>MID(excPisCofins[[#This Row],[CodBarras2]],2,50)</f>
        <v/>
      </c>
    </row>
    <row r="13123" spans="9:9" x14ac:dyDescent="0.25">
      <c r="I13123" s="227" t="str">
        <f>MID(excPisCofins[[#This Row],[CodBarras2]],2,50)</f>
        <v/>
      </c>
    </row>
    <row r="13124" spans="9:9" x14ac:dyDescent="0.25">
      <c r="I13124" s="227" t="str">
        <f>MID(excPisCofins[[#This Row],[CodBarras2]],2,50)</f>
        <v/>
      </c>
    </row>
    <row r="13125" spans="9:9" x14ac:dyDescent="0.25">
      <c r="I13125" s="227" t="str">
        <f>MID(excPisCofins[[#This Row],[CodBarras2]],2,50)</f>
        <v/>
      </c>
    </row>
    <row r="13126" spans="9:9" x14ac:dyDescent="0.25">
      <c r="I13126" s="227" t="str">
        <f>MID(excPisCofins[[#This Row],[CodBarras2]],2,50)</f>
        <v/>
      </c>
    </row>
    <row r="13127" spans="9:9" x14ac:dyDescent="0.25">
      <c r="I13127" s="227" t="str">
        <f>MID(excPisCofins[[#This Row],[CodBarras2]],2,50)</f>
        <v/>
      </c>
    </row>
    <row r="13128" spans="9:9" x14ac:dyDescent="0.25">
      <c r="I13128" s="227" t="str">
        <f>MID(excPisCofins[[#This Row],[CodBarras2]],2,50)</f>
        <v/>
      </c>
    </row>
    <row r="13129" spans="9:9" x14ac:dyDescent="0.25">
      <c r="I13129" s="227" t="str">
        <f>MID(excPisCofins[[#This Row],[CodBarras2]],2,50)</f>
        <v/>
      </c>
    </row>
    <row r="13130" spans="9:9" x14ac:dyDescent="0.25">
      <c r="I13130" s="227" t="str">
        <f>MID(excPisCofins[[#This Row],[CodBarras2]],2,50)</f>
        <v/>
      </c>
    </row>
    <row r="13131" spans="9:9" x14ac:dyDescent="0.25">
      <c r="I13131" s="227" t="str">
        <f>MID(excPisCofins[[#This Row],[CodBarras2]],2,50)</f>
        <v/>
      </c>
    </row>
    <row r="13132" spans="9:9" x14ac:dyDescent="0.25">
      <c r="I13132" s="227" t="str">
        <f>MID(excPisCofins[[#This Row],[CodBarras2]],2,50)</f>
        <v/>
      </c>
    </row>
    <row r="13133" spans="9:9" x14ac:dyDescent="0.25">
      <c r="I13133" s="227" t="str">
        <f>MID(excPisCofins[[#This Row],[CodBarras2]],2,50)</f>
        <v/>
      </c>
    </row>
    <row r="13134" spans="9:9" x14ac:dyDescent="0.25">
      <c r="I13134" s="227" t="str">
        <f>MID(excPisCofins[[#This Row],[CodBarras2]],2,50)</f>
        <v/>
      </c>
    </row>
    <row r="13135" spans="9:9" x14ac:dyDescent="0.25">
      <c r="I13135" s="227" t="str">
        <f>MID(excPisCofins[[#This Row],[CodBarras2]],2,50)</f>
        <v/>
      </c>
    </row>
    <row r="13136" spans="9:9" x14ac:dyDescent="0.25">
      <c r="I13136" s="227" t="str">
        <f>MID(excPisCofins[[#This Row],[CodBarras2]],2,50)</f>
        <v/>
      </c>
    </row>
    <row r="13137" spans="9:9" x14ac:dyDescent="0.25">
      <c r="I13137" s="227" t="str">
        <f>MID(excPisCofins[[#This Row],[CodBarras2]],2,50)</f>
        <v/>
      </c>
    </row>
    <row r="13138" spans="9:9" x14ac:dyDescent="0.25">
      <c r="I13138" s="227" t="str">
        <f>MID(excPisCofins[[#This Row],[CodBarras2]],2,50)</f>
        <v/>
      </c>
    </row>
    <row r="13139" spans="9:9" x14ac:dyDescent="0.25">
      <c r="I13139" s="227" t="str">
        <f>MID(excPisCofins[[#This Row],[CodBarras2]],2,50)</f>
        <v/>
      </c>
    </row>
    <row r="13140" spans="9:9" x14ac:dyDescent="0.25">
      <c r="I13140" s="227" t="str">
        <f>MID(excPisCofins[[#This Row],[CodBarras2]],2,50)</f>
        <v/>
      </c>
    </row>
    <row r="13141" spans="9:9" x14ac:dyDescent="0.25">
      <c r="I13141" s="227" t="str">
        <f>MID(excPisCofins[[#This Row],[CodBarras2]],2,50)</f>
        <v/>
      </c>
    </row>
    <row r="13142" spans="9:9" x14ac:dyDescent="0.25">
      <c r="I13142" s="227" t="str">
        <f>MID(excPisCofins[[#This Row],[CodBarras2]],2,50)</f>
        <v/>
      </c>
    </row>
    <row r="13143" spans="9:9" x14ac:dyDescent="0.25">
      <c r="I13143" s="227" t="str">
        <f>MID(excPisCofins[[#This Row],[CodBarras2]],2,50)</f>
        <v/>
      </c>
    </row>
    <row r="13144" spans="9:9" x14ac:dyDescent="0.25">
      <c r="I13144" s="227" t="str">
        <f>MID(excPisCofins[[#This Row],[CodBarras2]],2,50)</f>
        <v/>
      </c>
    </row>
    <row r="13145" spans="9:9" x14ac:dyDescent="0.25">
      <c r="I13145" s="227" t="str">
        <f>MID(excPisCofins[[#This Row],[CodBarras2]],2,50)</f>
        <v/>
      </c>
    </row>
    <row r="13146" spans="9:9" x14ac:dyDescent="0.25">
      <c r="I13146" s="227" t="str">
        <f>MID(excPisCofins[[#This Row],[CodBarras2]],2,50)</f>
        <v/>
      </c>
    </row>
    <row r="13147" spans="9:9" x14ac:dyDescent="0.25">
      <c r="I13147" s="227" t="str">
        <f>MID(excPisCofins[[#This Row],[CodBarras2]],2,50)</f>
        <v/>
      </c>
    </row>
    <row r="13148" spans="9:9" x14ac:dyDescent="0.25">
      <c r="I13148" s="227" t="str">
        <f>MID(excPisCofins[[#This Row],[CodBarras2]],2,50)</f>
        <v/>
      </c>
    </row>
    <row r="13149" spans="9:9" x14ac:dyDescent="0.25">
      <c r="I13149" s="227" t="str">
        <f>MID(excPisCofins[[#This Row],[CodBarras2]],2,50)</f>
        <v/>
      </c>
    </row>
    <row r="13150" spans="9:9" x14ac:dyDescent="0.25">
      <c r="I13150" s="227" t="str">
        <f>MID(excPisCofins[[#This Row],[CodBarras2]],2,50)</f>
        <v/>
      </c>
    </row>
    <row r="13151" spans="9:9" x14ac:dyDescent="0.25">
      <c r="I13151" s="227" t="str">
        <f>MID(excPisCofins[[#This Row],[CodBarras2]],2,50)</f>
        <v/>
      </c>
    </row>
    <row r="13152" spans="9:9" x14ac:dyDescent="0.25">
      <c r="I13152" s="227" t="str">
        <f>MID(excPisCofins[[#This Row],[CodBarras2]],2,50)</f>
        <v/>
      </c>
    </row>
    <row r="13153" spans="9:9" x14ac:dyDescent="0.25">
      <c r="I13153" s="227" t="str">
        <f>MID(excPisCofins[[#This Row],[CodBarras2]],2,50)</f>
        <v/>
      </c>
    </row>
    <row r="13154" spans="9:9" x14ac:dyDescent="0.25">
      <c r="I13154" s="227" t="str">
        <f>MID(excPisCofins[[#This Row],[CodBarras2]],2,50)</f>
        <v/>
      </c>
    </row>
    <row r="13155" spans="9:9" x14ac:dyDescent="0.25">
      <c r="I13155" s="227" t="str">
        <f>MID(excPisCofins[[#This Row],[CodBarras2]],2,50)</f>
        <v/>
      </c>
    </row>
    <row r="13156" spans="9:9" x14ac:dyDescent="0.25">
      <c r="I13156" s="227" t="str">
        <f>MID(excPisCofins[[#This Row],[CodBarras2]],2,50)</f>
        <v/>
      </c>
    </row>
    <row r="13157" spans="9:9" x14ac:dyDescent="0.25">
      <c r="I13157" s="227" t="str">
        <f>MID(excPisCofins[[#This Row],[CodBarras2]],2,50)</f>
        <v/>
      </c>
    </row>
    <row r="13158" spans="9:9" x14ac:dyDescent="0.25">
      <c r="I13158" s="227" t="str">
        <f>MID(excPisCofins[[#This Row],[CodBarras2]],2,50)</f>
        <v/>
      </c>
    </row>
    <row r="13159" spans="9:9" x14ac:dyDescent="0.25">
      <c r="I13159" s="227" t="str">
        <f>MID(excPisCofins[[#This Row],[CodBarras2]],2,50)</f>
        <v/>
      </c>
    </row>
    <row r="13160" spans="9:9" x14ac:dyDescent="0.25">
      <c r="I13160" s="227" t="str">
        <f>MID(excPisCofins[[#This Row],[CodBarras2]],2,50)</f>
        <v/>
      </c>
    </row>
    <row r="13161" spans="9:9" x14ac:dyDescent="0.25">
      <c r="I13161" s="227" t="str">
        <f>MID(excPisCofins[[#This Row],[CodBarras2]],2,50)</f>
        <v/>
      </c>
    </row>
    <row r="13162" spans="9:9" x14ac:dyDescent="0.25">
      <c r="I13162" s="227" t="str">
        <f>MID(excPisCofins[[#This Row],[CodBarras2]],2,50)</f>
        <v/>
      </c>
    </row>
    <row r="13163" spans="9:9" x14ac:dyDescent="0.25">
      <c r="I13163" s="227" t="str">
        <f>MID(excPisCofins[[#This Row],[CodBarras2]],2,50)</f>
        <v/>
      </c>
    </row>
    <row r="13164" spans="9:9" x14ac:dyDescent="0.25">
      <c r="I13164" s="227" t="str">
        <f>MID(excPisCofins[[#This Row],[CodBarras2]],2,50)</f>
        <v/>
      </c>
    </row>
    <row r="13165" spans="9:9" x14ac:dyDescent="0.25">
      <c r="I13165" s="227" t="str">
        <f>MID(excPisCofins[[#This Row],[CodBarras2]],2,50)</f>
        <v/>
      </c>
    </row>
    <row r="13166" spans="9:9" x14ac:dyDescent="0.25">
      <c r="I13166" s="227" t="str">
        <f>MID(excPisCofins[[#This Row],[CodBarras2]],2,50)</f>
        <v/>
      </c>
    </row>
    <row r="13167" spans="9:9" x14ac:dyDescent="0.25">
      <c r="I13167" s="227" t="str">
        <f>MID(excPisCofins[[#This Row],[CodBarras2]],2,50)</f>
        <v/>
      </c>
    </row>
    <row r="13168" spans="9:9" x14ac:dyDescent="0.25">
      <c r="I13168" s="227" t="str">
        <f>MID(excPisCofins[[#This Row],[CodBarras2]],2,50)</f>
        <v/>
      </c>
    </row>
    <row r="13169" spans="9:9" x14ac:dyDescent="0.25">
      <c r="I13169" s="227" t="str">
        <f>MID(excPisCofins[[#This Row],[CodBarras2]],2,50)</f>
        <v/>
      </c>
    </row>
    <row r="13170" spans="9:9" x14ac:dyDescent="0.25">
      <c r="I13170" s="227" t="str">
        <f>MID(excPisCofins[[#This Row],[CodBarras2]],2,50)</f>
        <v/>
      </c>
    </row>
    <row r="13171" spans="9:9" x14ac:dyDescent="0.25">
      <c r="I13171" s="227" t="str">
        <f>MID(excPisCofins[[#This Row],[CodBarras2]],2,50)</f>
        <v/>
      </c>
    </row>
    <row r="13172" spans="9:9" x14ac:dyDescent="0.25">
      <c r="I13172" s="227" t="str">
        <f>MID(excPisCofins[[#This Row],[CodBarras2]],2,50)</f>
        <v/>
      </c>
    </row>
    <row r="13173" spans="9:9" x14ac:dyDescent="0.25">
      <c r="I13173" s="227" t="str">
        <f>MID(excPisCofins[[#This Row],[CodBarras2]],2,50)</f>
        <v/>
      </c>
    </row>
    <row r="13174" spans="9:9" x14ac:dyDescent="0.25">
      <c r="I13174" s="227" t="str">
        <f>MID(excPisCofins[[#This Row],[CodBarras2]],2,50)</f>
        <v/>
      </c>
    </row>
    <row r="13175" spans="9:9" x14ac:dyDescent="0.25">
      <c r="I13175" s="227" t="str">
        <f>MID(excPisCofins[[#This Row],[CodBarras2]],2,50)</f>
        <v/>
      </c>
    </row>
    <row r="13176" spans="9:9" x14ac:dyDescent="0.25">
      <c r="I13176" s="227" t="str">
        <f>MID(excPisCofins[[#This Row],[CodBarras2]],2,50)</f>
        <v/>
      </c>
    </row>
    <row r="13177" spans="9:9" x14ac:dyDescent="0.25">
      <c r="I13177" s="227" t="str">
        <f>MID(excPisCofins[[#This Row],[CodBarras2]],2,50)</f>
        <v/>
      </c>
    </row>
    <row r="13178" spans="9:9" x14ac:dyDescent="0.25">
      <c r="I13178" s="227" t="str">
        <f>MID(excPisCofins[[#This Row],[CodBarras2]],2,50)</f>
        <v/>
      </c>
    </row>
    <row r="13179" spans="9:9" x14ac:dyDescent="0.25">
      <c r="I13179" s="227" t="str">
        <f>MID(excPisCofins[[#This Row],[CodBarras2]],2,50)</f>
        <v/>
      </c>
    </row>
    <row r="13180" spans="9:9" x14ac:dyDescent="0.25">
      <c r="I13180" s="227" t="str">
        <f>MID(excPisCofins[[#This Row],[CodBarras2]],2,50)</f>
        <v/>
      </c>
    </row>
    <row r="13181" spans="9:9" x14ac:dyDescent="0.25">
      <c r="I13181" s="227" t="str">
        <f>MID(excPisCofins[[#This Row],[CodBarras2]],2,50)</f>
        <v/>
      </c>
    </row>
    <row r="13182" spans="9:9" x14ac:dyDescent="0.25">
      <c r="I13182" s="227" t="str">
        <f>MID(excPisCofins[[#This Row],[CodBarras2]],2,50)</f>
        <v/>
      </c>
    </row>
    <row r="13183" spans="9:9" x14ac:dyDescent="0.25">
      <c r="I13183" s="227" t="str">
        <f>MID(excPisCofins[[#This Row],[CodBarras2]],2,50)</f>
        <v/>
      </c>
    </row>
    <row r="13184" spans="9:9" x14ac:dyDescent="0.25">
      <c r="I13184" s="227" t="str">
        <f>MID(excPisCofins[[#This Row],[CodBarras2]],2,50)</f>
        <v/>
      </c>
    </row>
    <row r="13185" spans="9:9" x14ac:dyDescent="0.25">
      <c r="I13185" s="227" t="str">
        <f>MID(excPisCofins[[#This Row],[CodBarras2]],2,50)</f>
        <v/>
      </c>
    </row>
    <row r="13186" spans="9:9" x14ac:dyDescent="0.25">
      <c r="I13186" s="227" t="str">
        <f>MID(excPisCofins[[#This Row],[CodBarras2]],2,50)</f>
        <v/>
      </c>
    </row>
    <row r="13187" spans="9:9" x14ac:dyDescent="0.25">
      <c r="I13187" s="227" t="str">
        <f>MID(excPisCofins[[#This Row],[CodBarras2]],2,50)</f>
        <v/>
      </c>
    </row>
    <row r="13188" spans="9:9" x14ac:dyDescent="0.25">
      <c r="I13188" s="227" t="str">
        <f>MID(excPisCofins[[#This Row],[CodBarras2]],2,50)</f>
        <v/>
      </c>
    </row>
    <row r="13189" spans="9:9" x14ac:dyDescent="0.25">
      <c r="I13189" s="227" t="str">
        <f>MID(excPisCofins[[#This Row],[CodBarras2]],2,50)</f>
        <v/>
      </c>
    </row>
    <row r="13190" spans="9:9" x14ac:dyDescent="0.25">
      <c r="I13190" s="227" t="str">
        <f>MID(excPisCofins[[#This Row],[CodBarras2]],2,50)</f>
        <v/>
      </c>
    </row>
    <row r="13191" spans="9:9" x14ac:dyDescent="0.25">
      <c r="I13191" s="227" t="str">
        <f>MID(excPisCofins[[#This Row],[CodBarras2]],2,50)</f>
        <v/>
      </c>
    </row>
    <row r="13192" spans="9:9" x14ac:dyDescent="0.25">
      <c r="I13192" s="227" t="str">
        <f>MID(excPisCofins[[#This Row],[CodBarras2]],2,50)</f>
        <v/>
      </c>
    </row>
    <row r="13193" spans="9:9" x14ac:dyDescent="0.25">
      <c r="I13193" s="227" t="str">
        <f>MID(excPisCofins[[#This Row],[CodBarras2]],2,50)</f>
        <v/>
      </c>
    </row>
    <row r="13194" spans="9:9" x14ac:dyDescent="0.25">
      <c r="I13194" s="227" t="str">
        <f>MID(excPisCofins[[#This Row],[CodBarras2]],2,50)</f>
        <v/>
      </c>
    </row>
    <row r="13195" spans="9:9" x14ac:dyDescent="0.25">
      <c r="I13195" s="227" t="str">
        <f>MID(excPisCofins[[#This Row],[CodBarras2]],2,50)</f>
        <v/>
      </c>
    </row>
    <row r="13196" spans="9:9" x14ac:dyDescent="0.25">
      <c r="I13196" s="227" t="str">
        <f>MID(excPisCofins[[#This Row],[CodBarras2]],2,50)</f>
        <v/>
      </c>
    </row>
    <row r="13197" spans="9:9" x14ac:dyDescent="0.25">
      <c r="I13197" s="227" t="str">
        <f>MID(excPisCofins[[#This Row],[CodBarras2]],2,50)</f>
        <v/>
      </c>
    </row>
    <row r="13198" spans="9:9" x14ac:dyDescent="0.25">
      <c r="I13198" s="227" t="str">
        <f>MID(excPisCofins[[#This Row],[CodBarras2]],2,50)</f>
        <v/>
      </c>
    </row>
    <row r="13199" spans="9:9" x14ac:dyDescent="0.25">
      <c r="I13199" s="227" t="str">
        <f>MID(excPisCofins[[#This Row],[CodBarras2]],2,50)</f>
        <v/>
      </c>
    </row>
    <row r="13200" spans="9:9" x14ac:dyDescent="0.25">
      <c r="I13200" s="227" t="str">
        <f>MID(excPisCofins[[#This Row],[CodBarras2]],2,50)</f>
        <v/>
      </c>
    </row>
    <row r="13201" spans="9:9" x14ac:dyDescent="0.25">
      <c r="I13201" s="227" t="str">
        <f>MID(excPisCofins[[#This Row],[CodBarras2]],2,50)</f>
        <v/>
      </c>
    </row>
    <row r="13202" spans="9:9" x14ac:dyDescent="0.25">
      <c r="I13202" s="227" t="str">
        <f>MID(excPisCofins[[#This Row],[CodBarras2]],2,50)</f>
        <v/>
      </c>
    </row>
    <row r="13203" spans="9:9" x14ac:dyDescent="0.25">
      <c r="I13203" s="227" t="str">
        <f>MID(excPisCofins[[#This Row],[CodBarras2]],2,50)</f>
        <v/>
      </c>
    </row>
    <row r="13204" spans="9:9" x14ac:dyDescent="0.25">
      <c r="I13204" s="227" t="str">
        <f>MID(excPisCofins[[#This Row],[CodBarras2]],2,50)</f>
        <v/>
      </c>
    </row>
    <row r="13205" spans="9:9" x14ac:dyDescent="0.25">
      <c r="I13205" s="227" t="str">
        <f>MID(excPisCofins[[#This Row],[CodBarras2]],2,50)</f>
        <v/>
      </c>
    </row>
    <row r="13206" spans="9:9" x14ac:dyDescent="0.25">
      <c r="I13206" s="227" t="str">
        <f>MID(excPisCofins[[#This Row],[CodBarras2]],2,50)</f>
        <v/>
      </c>
    </row>
    <row r="13207" spans="9:9" x14ac:dyDescent="0.25">
      <c r="I13207" s="227" t="str">
        <f>MID(excPisCofins[[#This Row],[CodBarras2]],2,50)</f>
        <v/>
      </c>
    </row>
    <row r="13208" spans="9:9" x14ac:dyDescent="0.25">
      <c r="I13208" s="227" t="str">
        <f>MID(excPisCofins[[#This Row],[CodBarras2]],2,50)</f>
        <v/>
      </c>
    </row>
    <row r="13209" spans="9:9" x14ac:dyDescent="0.25">
      <c r="I13209" s="227" t="str">
        <f>MID(excPisCofins[[#This Row],[CodBarras2]],2,50)</f>
        <v/>
      </c>
    </row>
    <row r="13210" spans="9:9" x14ac:dyDescent="0.25">
      <c r="I13210" s="227" t="str">
        <f>MID(excPisCofins[[#This Row],[CodBarras2]],2,50)</f>
        <v/>
      </c>
    </row>
    <row r="13211" spans="9:9" x14ac:dyDescent="0.25">
      <c r="I13211" s="227" t="str">
        <f>MID(excPisCofins[[#This Row],[CodBarras2]],2,50)</f>
        <v/>
      </c>
    </row>
    <row r="13212" spans="9:9" x14ac:dyDescent="0.25">
      <c r="I13212" s="227" t="str">
        <f>MID(excPisCofins[[#This Row],[CodBarras2]],2,50)</f>
        <v/>
      </c>
    </row>
    <row r="13213" spans="9:9" x14ac:dyDescent="0.25">
      <c r="I13213" s="227" t="str">
        <f>MID(excPisCofins[[#This Row],[CodBarras2]],2,50)</f>
        <v/>
      </c>
    </row>
    <row r="13214" spans="9:9" x14ac:dyDescent="0.25">
      <c r="I13214" s="227" t="str">
        <f>MID(excPisCofins[[#This Row],[CodBarras2]],2,50)</f>
        <v/>
      </c>
    </row>
    <row r="13215" spans="9:9" x14ac:dyDescent="0.25">
      <c r="I13215" s="227" t="str">
        <f>MID(excPisCofins[[#This Row],[CodBarras2]],2,50)</f>
        <v/>
      </c>
    </row>
    <row r="13216" spans="9:9" x14ac:dyDescent="0.25">
      <c r="I13216" s="227" t="str">
        <f>MID(excPisCofins[[#This Row],[CodBarras2]],2,50)</f>
        <v/>
      </c>
    </row>
    <row r="13217" spans="9:9" x14ac:dyDescent="0.25">
      <c r="I13217" s="227" t="str">
        <f>MID(excPisCofins[[#This Row],[CodBarras2]],2,50)</f>
        <v/>
      </c>
    </row>
    <row r="13218" spans="9:9" x14ac:dyDescent="0.25">
      <c r="I13218" s="227" t="str">
        <f>MID(excPisCofins[[#This Row],[CodBarras2]],2,50)</f>
        <v/>
      </c>
    </row>
    <row r="13219" spans="9:9" x14ac:dyDescent="0.25">
      <c r="I13219" s="227" t="str">
        <f>MID(excPisCofins[[#This Row],[CodBarras2]],2,50)</f>
        <v/>
      </c>
    </row>
    <row r="13220" spans="9:9" x14ac:dyDescent="0.25">
      <c r="I13220" s="227" t="str">
        <f>MID(excPisCofins[[#This Row],[CodBarras2]],2,50)</f>
        <v/>
      </c>
    </row>
    <row r="13221" spans="9:9" x14ac:dyDescent="0.25">
      <c r="I13221" s="227" t="str">
        <f>MID(excPisCofins[[#This Row],[CodBarras2]],2,50)</f>
        <v/>
      </c>
    </row>
    <row r="13222" spans="9:9" x14ac:dyDescent="0.25">
      <c r="I13222" s="227" t="str">
        <f>MID(excPisCofins[[#This Row],[CodBarras2]],2,50)</f>
        <v/>
      </c>
    </row>
    <row r="13223" spans="9:9" x14ac:dyDescent="0.25">
      <c r="I13223" s="227" t="str">
        <f>MID(excPisCofins[[#This Row],[CodBarras2]],2,50)</f>
        <v/>
      </c>
    </row>
    <row r="13224" spans="9:9" x14ac:dyDescent="0.25">
      <c r="I13224" s="227" t="str">
        <f>MID(excPisCofins[[#This Row],[CodBarras2]],2,50)</f>
        <v/>
      </c>
    </row>
    <row r="13225" spans="9:9" x14ac:dyDescent="0.25">
      <c r="I13225" s="227" t="str">
        <f>MID(excPisCofins[[#This Row],[CodBarras2]],2,50)</f>
        <v/>
      </c>
    </row>
    <row r="13226" spans="9:9" x14ac:dyDescent="0.25">
      <c r="I13226" s="227" t="str">
        <f>MID(excPisCofins[[#This Row],[CodBarras2]],2,50)</f>
        <v/>
      </c>
    </row>
    <row r="13227" spans="9:9" x14ac:dyDescent="0.25">
      <c r="I13227" s="227" t="str">
        <f>MID(excPisCofins[[#This Row],[CodBarras2]],2,50)</f>
        <v/>
      </c>
    </row>
    <row r="13228" spans="9:9" x14ac:dyDescent="0.25">
      <c r="I13228" s="227" t="str">
        <f>MID(excPisCofins[[#This Row],[CodBarras2]],2,50)</f>
        <v/>
      </c>
    </row>
    <row r="13229" spans="9:9" x14ac:dyDescent="0.25">
      <c r="I13229" s="227" t="str">
        <f>MID(excPisCofins[[#This Row],[CodBarras2]],2,50)</f>
        <v/>
      </c>
    </row>
    <row r="13230" spans="9:9" x14ac:dyDescent="0.25">
      <c r="I13230" s="227" t="str">
        <f>MID(excPisCofins[[#This Row],[CodBarras2]],2,50)</f>
        <v/>
      </c>
    </row>
    <row r="13231" spans="9:9" x14ac:dyDescent="0.25">
      <c r="I13231" s="227" t="str">
        <f>MID(excPisCofins[[#This Row],[CodBarras2]],2,50)</f>
        <v/>
      </c>
    </row>
    <row r="13232" spans="9:9" x14ac:dyDescent="0.25">
      <c r="I13232" s="227" t="str">
        <f>MID(excPisCofins[[#This Row],[CodBarras2]],2,50)</f>
        <v/>
      </c>
    </row>
    <row r="13233" spans="9:9" x14ac:dyDescent="0.25">
      <c r="I13233" s="227" t="str">
        <f>MID(excPisCofins[[#This Row],[CodBarras2]],2,50)</f>
        <v/>
      </c>
    </row>
    <row r="13234" spans="9:9" x14ac:dyDescent="0.25">
      <c r="I13234" s="227" t="str">
        <f>MID(excPisCofins[[#This Row],[CodBarras2]],2,50)</f>
        <v/>
      </c>
    </row>
    <row r="13235" spans="9:9" x14ac:dyDescent="0.25">
      <c r="I13235" s="227" t="str">
        <f>MID(excPisCofins[[#This Row],[CodBarras2]],2,50)</f>
        <v/>
      </c>
    </row>
    <row r="13236" spans="9:9" x14ac:dyDescent="0.25">
      <c r="I13236" s="227" t="str">
        <f>MID(excPisCofins[[#This Row],[CodBarras2]],2,50)</f>
        <v/>
      </c>
    </row>
    <row r="13237" spans="9:9" x14ac:dyDescent="0.25">
      <c r="I13237" s="227" t="str">
        <f>MID(excPisCofins[[#This Row],[CodBarras2]],2,50)</f>
        <v/>
      </c>
    </row>
    <row r="13238" spans="9:9" x14ac:dyDescent="0.25">
      <c r="I13238" s="227" t="str">
        <f>MID(excPisCofins[[#This Row],[CodBarras2]],2,50)</f>
        <v/>
      </c>
    </row>
    <row r="13239" spans="9:9" x14ac:dyDescent="0.25">
      <c r="I13239" s="227" t="str">
        <f>MID(excPisCofins[[#This Row],[CodBarras2]],2,50)</f>
        <v/>
      </c>
    </row>
    <row r="13240" spans="9:9" x14ac:dyDescent="0.25">
      <c r="I13240" s="227" t="str">
        <f>MID(excPisCofins[[#This Row],[CodBarras2]],2,50)</f>
        <v/>
      </c>
    </row>
    <row r="13241" spans="9:9" x14ac:dyDescent="0.25">
      <c r="I13241" s="227" t="str">
        <f>MID(excPisCofins[[#This Row],[CodBarras2]],2,50)</f>
        <v/>
      </c>
    </row>
    <row r="13242" spans="9:9" x14ac:dyDescent="0.25">
      <c r="I13242" s="227" t="str">
        <f>MID(excPisCofins[[#This Row],[CodBarras2]],2,50)</f>
        <v/>
      </c>
    </row>
    <row r="13243" spans="9:9" x14ac:dyDescent="0.25">
      <c r="I13243" s="227" t="str">
        <f>MID(excPisCofins[[#This Row],[CodBarras2]],2,50)</f>
        <v/>
      </c>
    </row>
    <row r="13244" spans="9:9" x14ac:dyDescent="0.25">
      <c r="I13244" s="227" t="str">
        <f>MID(excPisCofins[[#This Row],[CodBarras2]],2,50)</f>
        <v/>
      </c>
    </row>
    <row r="13245" spans="9:9" x14ac:dyDescent="0.25">
      <c r="I13245" s="227" t="str">
        <f>MID(excPisCofins[[#This Row],[CodBarras2]],2,50)</f>
        <v/>
      </c>
    </row>
    <row r="13246" spans="9:9" x14ac:dyDescent="0.25">
      <c r="I13246" s="227" t="str">
        <f>MID(excPisCofins[[#This Row],[CodBarras2]],2,50)</f>
        <v/>
      </c>
    </row>
    <row r="13247" spans="9:9" x14ac:dyDescent="0.25">
      <c r="I13247" s="227" t="str">
        <f>MID(excPisCofins[[#This Row],[CodBarras2]],2,50)</f>
        <v/>
      </c>
    </row>
    <row r="13248" spans="9:9" x14ac:dyDescent="0.25">
      <c r="I13248" s="227" t="str">
        <f>MID(excPisCofins[[#This Row],[CodBarras2]],2,50)</f>
        <v/>
      </c>
    </row>
    <row r="13249" spans="9:9" x14ac:dyDescent="0.25">
      <c r="I13249" s="227" t="str">
        <f>MID(excPisCofins[[#This Row],[CodBarras2]],2,50)</f>
        <v/>
      </c>
    </row>
    <row r="13250" spans="9:9" x14ac:dyDescent="0.25">
      <c r="I13250" s="227" t="str">
        <f>MID(excPisCofins[[#This Row],[CodBarras2]],2,50)</f>
        <v/>
      </c>
    </row>
    <row r="13251" spans="9:9" x14ac:dyDescent="0.25">
      <c r="I13251" s="227" t="str">
        <f>MID(excPisCofins[[#This Row],[CodBarras2]],2,50)</f>
        <v/>
      </c>
    </row>
    <row r="13252" spans="9:9" x14ac:dyDescent="0.25">
      <c r="I13252" s="227" t="str">
        <f>MID(excPisCofins[[#This Row],[CodBarras2]],2,50)</f>
        <v/>
      </c>
    </row>
    <row r="13253" spans="9:9" x14ac:dyDescent="0.25">
      <c r="I13253" s="227" t="str">
        <f>MID(excPisCofins[[#This Row],[CodBarras2]],2,50)</f>
        <v/>
      </c>
    </row>
    <row r="13254" spans="9:9" x14ac:dyDescent="0.25">
      <c r="I13254" s="227" t="str">
        <f>MID(excPisCofins[[#This Row],[CodBarras2]],2,50)</f>
        <v/>
      </c>
    </row>
    <row r="13255" spans="9:9" x14ac:dyDescent="0.25">
      <c r="I13255" s="227" t="str">
        <f>MID(excPisCofins[[#This Row],[CodBarras2]],2,50)</f>
        <v/>
      </c>
    </row>
    <row r="13256" spans="9:9" x14ac:dyDescent="0.25">
      <c r="I13256" s="227" t="str">
        <f>MID(excPisCofins[[#This Row],[CodBarras2]],2,50)</f>
        <v/>
      </c>
    </row>
    <row r="13257" spans="9:9" x14ac:dyDescent="0.25">
      <c r="I13257" s="227" t="str">
        <f>MID(excPisCofins[[#This Row],[CodBarras2]],2,50)</f>
        <v/>
      </c>
    </row>
    <row r="13258" spans="9:9" x14ac:dyDescent="0.25">
      <c r="I13258" s="227" t="str">
        <f>MID(excPisCofins[[#This Row],[CodBarras2]],2,50)</f>
        <v/>
      </c>
    </row>
    <row r="13259" spans="9:9" x14ac:dyDescent="0.25">
      <c r="I13259" s="227" t="str">
        <f>MID(excPisCofins[[#This Row],[CodBarras2]],2,50)</f>
        <v/>
      </c>
    </row>
    <row r="13260" spans="9:9" x14ac:dyDescent="0.25">
      <c r="I13260" s="227" t="str">
        <f>MID(excPisCofins[[#This Row],[CodBarras2]],2,50)</f>
        <v/>
      </c>
    </row>
    <row r="13261" spans="9:9" x14ac:dyDescent="0.25">
      <c r="I13261" s="227" t="str">
        <f>MID(excPisCofins[[#This Row],[CodBarras2]],2,50)</f>
        <v/>
      </c>
    </row>
    <row r="13262" spans="9:9" x14ac:dyDescent="0.25">
      <c r="I13262" s="227" t="str">
        <f>MID(excPisCofins[[#This Row],[CodBarras2]],2,50)</f>
        <v/>
      </c>
    </row>
    <row r="13263" spans="9:9" x14ac:dyDescent="0.25">
      <c r="I13263" s="227" t="str">
        <f>MID(excPisCofins[[#This Row],[CodBarras2]],2,50)</f>
        <v/>
      </c>
    </row>
    <row r="13264" spans="9:9" x14ac:dyDescent="0.25">
      <c r="I13264" s="227" t="str">
        <f>MID(excPisCofins[[#This Row],[CodBarras2]],2,50)</f>
        <v/>
      </c>
    </row>
    <row r="13265" spans="9:9" x14ac:dyDescent="0.25">
      <c r="I13265" s="227" t="str">
        <f>MID(excPisCofins[[#This Row],[CodBarras2]],2,50)</f>
        <v/>
      </c>
    </row>
    <row r="13266" spans="9:9" x14ac:dyDescent="0.25">
      <c r="I13266" s="227" t="str">
        <f>MID(excPisCofins[[#This Row],[CodBarras2]],2,50)</f>
        <v/>
      </c>
    </row>
    <row r="13267" spans="9:9" x14ac:dyDescent="0.25">
      <c r="I13267" s="227" t="str">
        <f>MID(excPisCofins[[#This Row],[CodBarras2]],2,50)</f>
        <v/>
      </c>
    </row>
    <row r="13268" spans="9:9" x14ac:dyDescent="0.25">
      <c r="I13268" s="227" t="str">
        <f>MID(excPisCofins[[#This Row],[CodBarras2]],2,50)</f>
        <v/>
      </c>
    </row>
    <row r="13269" spans="9:9" x14ac:dyDescent="0.25">
      <c r="I13269" s="227" t="str">
        <f>MID(excPisCofins[[#This Row],[CodBarras2]],2,50)</f>
        <v/>
      </c>
    </row>
    <row r="13270" spans="9:9" x14ac:dyDescent="0.25">
      <c r="I13270" s="227" t="str">
        <f>MID(excPisCofins[[#This Row],[CodBarras2]],2,50)</f>
        <v/>
      </c>
    </row>
    <row r="13271" spans="9:9" x14ac:dyDescent="0.25">
      <c r="I13271" s="227" t="str">
        <f>MID(excPisCofins[[#This Row],[CodBarras2]],2,50)</f>
        <v/>
      </c>
    </row>
    <row r="13272" spans="9:9" x14ac:dyDescent="0.25">
      <c r="I13272" s="227" t="str">
        <f>MID(excPisCofins[[#This Row],[CodBarras2]],2,50)</f>
        <v/>
      </c>
    </row>
    <row r="13273" spans="9:9" x14ac:dyDescent="0.25">
      <c r="I13273" s="227" t="str">
        <f>MID(excPisCofins[[#This Row],[CodBarras2]],2,50)</f>
        <v/>
      </c>
    </row>
    <row r="13274" spans="9:9" x14ac:dyDescent="0.25">
      <c r="I13274" s="227" t="str">
        <f>MID(excPisCofins[[#This Row],[CodBarras2]],2,50)</f>
        <v/>
      </c>
    </row>
    <row r="13275" spans="9:9" x14ac:dyDescent="0.25">
      <c r="I13275" s="227" t="str">
        <f>MID(excPisCofins[[#This Row],[CodBarras2]],2,50)</f>
        <v/>
      </c>
    </row>
    <row r="13276" spans="9:9" x14ac:dyDescent="0.25">
      <c r="I13276" s="227" t="str">
        <f>MID(excPisCofins[[#This Row],[CodBarras2]],2,50)</f>
        <v/>
      </c>
    </row>
    <row r="13277" spans="9:9" x14ac:dyDescent="0.25">
      <c r="I13277" s="227" t="str">
        <f>MID(excPisCofins[[#This Row],[CodBarras2]],2,50)</f>
        <v/>
      </c>
    </row>
    <row r="13278" spans="9:9" x14ac:dyDescent="0.25">
      <c r="I13278" s="227" t="str">
        <f>MID(excPisCofins[[#This Row],[CodBarras2]],2,50)</f>
        <v/>
      </c>
    </row>
    <row r="13279" spans="9:9" x14ac:dyDescent="0.25">
      <c r="I13279" s="227" t="str">
        <f>MID(excPisCofins[[#This Row],[CodBarras2]],2,50)</f>
        <v/>
      </c>
    </row>
    <row r="13280" spans="9:9" x14ac:dyDescent="0.25">
      <c r="I13280" s="227" t="str">
        <f>MID(excPisCofins[[#This Row],[CodBarras2]],2,50)</f>
        <v/>
      </c>
    </row>
    <row r="13281" spans="9:9" x14ac:dyDescent="0.25">
      <c r="I13281" s="227" t="str">
        <f>MID(excPisCofins[[#This Row],[CodBarras2]],2,50)</f>
        <v/>
      </c>
    </row>
    <row r="13282" spans="9:9" x14ac:dyDescent="0.25">
      <c r="I13282" s="227" t="str">
        <f>MID(excPisCofins[[#This Row],[CodBarras2]],2,50)</f>
        <v/>
      </c>
    </row>
    <row r="13283" spans="9:9" x14ac:dyDescent="0.25">
      <c r="I13283" s="227" t="str">
        <f>MID(excPisCofins[[#This Row],[CodBarras2]],2,50)</f>
        <v/>
      </c>
    </row>
    <row r="13284" spans="9:9" x14ac:dyDescent="0.25">
      <c r="I13284" s="227" t="str">
        <f>MID(excPisCofins[[#This Row],[CodBarras2]],2,50)</f>
        <v/>
      </c>
    </row>
    <row r="13285" spans="9:9" x14ac:dyDescent="0.25">
      <c r="I13285" s="227" t="str">
        <f>MID(excPisCofins[[#This Row],[CodBarras2]],2,50)</f>
        <v/>
      </c>
    </row>
    <row r="13286" spans="9:9" x14ac:dyDescent="0.25">
      <c r="I13286" s="227" t="str">
        <f>MID(excPisCofins[[#This Row],[CodBarras2]],2,50)</f>
        <v/>
      </c>
    </row>
    <row r="13287" spans="9:9" x14ac:dyDescent="0.25">
      <c r="I13287" s="227" t="str">
        <f>MID(excPisCofins[[#This Row],[CodBarras2]],2,50)</f>
        <v/>
      </c>
    </row>
    <row r="13288" spans="9:9" x14ac:dyDescent="0.25">
      <c r="I13288" s="227" t="str">
        <f>MID(excPisCofins[[#This Row],[CodBarras2]],2,50)</f>
        <v/>
      </c>
    </row>
    <row r="13289" spans="9:9" x14ac:dyDescent="0.25">
      <c r="I13289" s="227" t="str">
        <f>MID(excPisCofins[[#This Row],[CodBarras2]],2,50)</f>
        <v/>
      </c>
    </row>
    <row r="13290" spans="9:9" x14ac:dyDescent="0.25">
      <c r="I13290" s="227" t="str">
        <f>MID(excPisCofins[[#This Row],[CodBarras2]],2,50)</f>
        <v/>
      </c>
    </row>
    <row r="13291" spans="9:9" x14ac:dyDescent="0.25">
      <c r="I13291" s="227" t="str">
        <f>MID(excPisCofins[[#This Row],[CodBarras2]],2,50)</f>
        <v/>
      </c>
    </row>
    <row r="13292" spans="9:9" x14ac:dyDescent="0.25">
      <c r="I13292" s="227" t="str">
        <f>MID(excPisCofins[[#This Row],[CodBarras2]],2,50)</f>
        <v/>
      </c>
    </row>
    <row r="13293" spans="9:9" x14ac:dyDescent="0.25">
      <c r="I13293" s="227" t="str">
        <f>MID(excPisCofins[[#This Row],[CodBarras2]],2,50)</f>
        <v/>
      </c>
    </row>
    <row r="13294" spans="9:9" x14ac:dyDescent="0.25">
      <c r="I13294" s="227" t="str">
        <f>MID(excPisCofins[[#This Row],[CodBarras2]],2,50)</f>
        <v/>
      </c>
    </row>
    <row r="13295" spans="9:9" x14ac:dyDescent="0.25">
      <c r="I13295" s="227" t="str">
        <f>MID(excPisCofins[[#This Row],[CodBarras2]],2,50)</f>
        <v/>
      </c>
    </row>
    <row r="13296" spans="9:9" x14ac:dyDescent="0.25">
      <c r="I13296" s="227" t="str">
        <f>MID(excPisCofins[[#This Row],[CodBarras2]],2,50)</f>
        <v/>
      </c>
    </row>
    <row r="13297" spans="9:9" x14ac:dyDescent="0.25">
      <c r="I13297" s="227" t="str">
        <f>MID(excPisCofins[[#This Row],[CodBarras2]],2,50)</f>
        <v/>
      </c>
    </row>
    <row r="13298" spans="9:9" x14ac:dyDescent="0.25">
      <c r="I13298" s="227" t="str">
        <f>MID(excPisCofins[[#This Row],[CodBarras2]],2,50)</f>
        <v/>
      </c>
    </row>
    <row r="13299" spans="9:9" x14ac:dyDescent="0.25">
      <c r="I13299" s="227" t="str">
        <f>MID(excPisCofins[[#This Row],[CodBarras2]],2,50)</f>
        <v/>
      </c>
    </row>
    <row r="13300" spans="9:9" x14ac:dyDescent="0.25">
      <c r="I13300" s="227" t="str">
        <f>MID(excPisCofins[[#This Row],[CodBarras2]],2,50)</f>
        <v/>
      </c>
    </row>
    <row r="13301" spans="9:9" x14ac:dyDescent="0.25">
      <c r="I13301" s="227" t="str">
        <f>MID(excPisCofins[[#This Row],[CodBarras2]],2,50)</f>
        <v/>
      </c>
    </row>
    <row r="13302" spans="9:9" x14ac:dyDescent="0.25">
      <c r="I13302" s="227" t="str">
        <f>MID(excPisCofins[[#This Row],[CodBarras2]],2,50)</f>
        <v/>
      </c>
    </row>
    <row r="13303" spans="9:9" x14ac:dyDescent="0.25">
      <c r="I13303" s="227" t="str">
        <f>MID(excPisCofins[[#This Row],[CodBarras2]],2,50)</f>
        <v/>
      </c>
    </row>
    <row r="13304" spans="9:9" x14ac:dyDescent="0.25">
      <c r="I13304" s="227" t="str">
        <f>MID(excPisCofins[[#This Row],[CodBarras2]],2,50)</f>
        <v/>
      </c>
    </row>
    <row r="13305" spans="9:9" x14ac:dyDescent="0.25">
      <c r="I13305" s="227" t="str">
        <f>MID(excPisCofins[[#This Row],[CodBarras2]],2,50)</f>
        <v/>
      </c>
    </row>
    <row r="13306" spans="9:9" x14ac:dyDescent="0.25">
      <c r="I13306" s="227" t="str">
        <f>MID(excPisCofins[[#This Row],[CodBarras2]],2,50)</f>
        <v/>
      </c>
    </row>
    <row r="13307" spans="9:9" x14ac:dyDescent="0.25">
      <c r="I13307" s="227" t="str">
        <f>MID(excPisCofins[[#This Row],[CodBarras2]],2,50)</f>
        <v/>
      </c>
    </row>
    <row r="13308" spans="9:9" x14ac:dyDescent="0.25">
      <c r="I13308" s="227" t="str">
        <f>MID(excPisCofins[[#This Row],[CodBarras2]],2,50)</f>
        <v/>
      </c>
    </row>
    <row r="13309" spans="9:9" x14ac:dyDescent="0.25">
      <c r="I13309" s="227" t="str">
        <f>MID(excPisCofins[[#This Row],[CodBarras2]],2,50)</f>
        <v/>
      </c>
    </row>
    <row r="13310" spans="9:9" x14ac:dyDescent="0.25">
      <c r="I13310" s="227" t="str">
        <f>MID(excPisCofins[[#This Row],[CodBarras2]],2,50)</f>
        <v/>
      </c>
    </row>
    <row r="13311" spans="9:9" x14ac:dyDescent="0.25">
      <c r="I13311" s="227" t="str">
        <f>MID(excPisCofins[[#This Row],[CodBarras2]],2,50)</f>
        <v/>
      </c>
    </row>
    <row r="13312" spans="9:9" x14ac:dyDescent="0.25">
      <c r="I13312" s="227" t="str">
        <f>MID(excPisCofins[[#This Row],[CodBarras2]],2,50)</f>
        <v/>
      </c>
    </row>
    <row r="13313" spans="9:9" x14ac:dyDescent="0.25">
      <c r="I13313" s="227" t="str">
        <f>MID(excPisCofins[[#This Row],[CodBarras2]],2,50)</f>
        <v/>
      </c>
    </row>
    <row r="13314" spans="9:9" x14ac:dyDescent="0.25">
      <c r="I13314" s="227" t="str">
        <f>MID(excPisCofins[[#This Row],[CodBarras2]],2,50)</f>
        <v/>
      </c>
    </row>
    <row r="13315" spans="9:9" x14ac:dyDescent="0.25">
      <c r="I13315" s="227" t="str">
        <f>MID(excPisCofins[[#This Row],[CodBarras2]],2,50)</f>
        <v/>
      </c>
    </row>
    <row r="13316" spans="9:9" x14ac:dyDescent="0.25">
      <c r="I13316" s="227" t="str">
        <f>MID(excPisCofins[[#This Row],[CodBarras2]],2,50)</f>
        <v/>
      </c>
    </row>
    <row r="13317" spans="9:9" x14ac:dyDescent="0.25">
      <c r="I13317" s="227" t="str">
        <f>MID(excPisCofins[[#This Row],[CodBarras2]],2,50)</f>
        <v/>
      </c>
    </row>
    <row r="13318" spans="9:9" x14ac:dyDescent="0.25">
      <c r="I13318" s="227" t="str">
        <f>MID(excPisCofins[[#This Row],[CodBarras2]],2,50)</f>
        <v/>
      </c>
    </row>
    <row r="13319" spans="9:9" x14ac:dyDescent="0.25">
      <c r="I13319" s="227" t="str">
        <f>MID(excPisCofins[[#This Row],[CodBarras2]],2,50)</f>
        <v/>
      </c>
    </row>
    <row r="13320" spans="9:9" x14ac:dyDescent="0.25">
      <c r="I13320" s="227" t="str">
        <f>MID(excPisCofins[[#This Row],[CodBarras2]],2,50)</f>
        <v/>
      </c>
    </row>
    <row r="13321" spans="9:9" x14ac:dyDescent="0.25">
      <c r="I13321" s="227" t="str">
        <f>MID(excPisCofins[[#This Row],[CodBarras2]],2,50)</f>
        <v/>
      </c>
    </row>
    <row r="13322" spans="9:9" x14ac:dyDescent="0.25">
      <c r="I13322" s="227" t="str">
        <f>MID(excPisCofins[[#This Row],[CodBarras2]],2,50)</f>
        <v/>
      </c>
    </row>
    <row r="13323" spans="9:9" x14ac:dyDescent="0.25">
      <c r="I13323" s="227" t="str">
        <f>MID(excPisCofins[[#This Row],[CodBarras2]],2,50)</f>
        <v/>
      </c>
    </row>
    <row r="13324" spans="9:9" x14ac:dyDescent="0.25">
      <c r="I13324" s="227" t="str">
        <f>MID(excPisCofins[[#This Row],[CodBarras2]],2,50)</f>
        <v/>
      </c>
    </row>
    <row r="13325" spans="9:9" x14ac:dyDescent="0.25">
      <c r="I13325" s="227" t="str">
        <f>MID(excPisCofins[[#This Row],[CodBarras2]],2,50)</f>
        <v/>
      </c>
    </row>
    <row r="13326" spans="9:9" x14ac:dyDescent="0.25">
      <c r="I13326" s="227" t="str">
        <f>MID(excPisCofins[[#This Row],[CodBarras2]],2,50)</f>
        <v/>
      </c>
    </row>
    <row r="13327" spans="9:9" x14ac:dyDescent="0.25">
      <c r="I13327" s="227" t="str">
        <f>MID(excPisCofins[[#This Row],[CodBarras2]],2,50)</f>
        <v/>
      </c>
    </row>
    <row r="13328" spans="9:9" x14ac:dyDescent="0.25">
      <c r="I13328" s="227" t="str">
        <f>MID(excPisCofins[[#This Row],[CodBarras2]],2,50)</f>
        <v/>
      </c>
    </row>
    <row r="13329" spans="9:9" x14ac:dyDescent="0.25">
      <c r="I13329" s="227" t="str">
        <f>MID(excPisCofins[[#This Row],[CodBarras2]],2,50)</f>
        <v/>
      </c>
    </row>
    <row r="13330" spans="9:9" x14ac:dyDescent="0.25">
      <c r="I13330" s="227" t="str">
        <f>MID(excPisCofins[[#This Row],[CodBarras2]],2,50)</f>
        <v/>
      </c>
    </row>
    <row r="13331" spans="9:9" x14ac:dyDescent="0.25">
      <c r="I13331" s="227" t="str">
        <f>MID(excPisCofins[[#This Row],[CodBarras2]],2,50)</f>
        <v/>
      </c>
    </row>
    <row r="13332" spans="9:9" x14ac:dyDescent="0.25">
      <c r="I13332" s="227" t="str">
        <f>MID(excPisCofins[[#This Row],[CodBarras2]],2,50)</f>
        <v/>
      </c>
    </row>
    <row r="13333" spans="9:9" x14ac:dyDescent="0.25">
      <c r="I13333" s="227" t="str">
        <f>MID(excPisCofins[[#This Row],[CodBarras2]],2,50)</f>
        <v/>
      </c>
    </row>
    <row r="13334" spans="9:9" x14ac:dyDescent="0.25">
      <c r="I13334" s="227" t="str">
        <f>MID(excPisCofins[[#This Row],[CodBarras2]],2,50)</f>
        <v/>
      </c>
    </row>
    <row r="13335" spans="9:9" x14ac:dyDescent="0.25">
      <c r="I13335" s="227" t="str">
        <f>MID(excPisCofins[[#This Row],[CodBarras2]],2,50)</f>
        <v/>
      </c>
    </row>
    <row r="13336" spans="9:9" x14ac:dyDescent="0.25">
      <c r="I13336" s="227" t="str">
        <f>MID(excPisCofins[[#This Row],[CodBarras2]],2,50)</f>
        <v/>
      </c>
    </row>
    <row r="13337" spans="9:9" x14ac:dyDescent="0.25">
      <c r="I13337" s="227" t="str">
        <f>MID(excPisCofins[[#This Row],[CodBarras2]],2,50)</f>
        <v/>
      </c>
    </row>
    <row r="13338" spans="9:9" x14ac:dyDescent="0.25">
      <c r="I13338" s="227" t="str">
        <f>MID(excPisCofins[[#This Row],[CodBarras2]],2,50)</f>
        <v/>
      </c>
    </row>
    <row r="13339" spans="9:9" x14ac:dyDescent="0.25">
      <c r="I13339" s="227" t="str">
        <f>MID(excPisCofins[[#This Row],[CodBarras2]],2,50)</f>
        <v/>
      </c>
    </row>
    <row r="13340" spans="9:9" x14ac:dyDescent="0.25">
      <c r="I13340" s="227" t="str">
        <f>MID(excPisCofins[[#This Row],[CodBarras2]],2,50)</f>
        <v/>
      </c>
    </row>
    <row r="13341" spans="9:9" x14ac:dyDescent="0.25">
      <c r="I13341" s="227" t="str">
        <f>MID(excPisCofins[[#This Row],[CodBarras2]],2,50)</f>
        <v/>
      </c>
    </row>
    <row r="13342" spans="9:9" x14ac:dyDescent="0.25">
      <c r="I13342" s="227" t="str">
        <f>MID(excPisCofins[[#This Row],[CodBarras2]],2,50)</f>
        <v/>
      </c>
    </row>
    <row r="13343" spans="9:9" x14ac:dyDescent="0.25">
      <c r="I13343" s="227" t="str">
        <f>MID(excPisCofins[[#This Row],[CodBarras2]],2,50)</f>
        <v/>
      </c>
    </row>
    <row r="13344" spans="9:9" x14ac:dyDescent="0.25">
      <c r="I13344" s="227" t="str">
        <f>MID(excPisCofins[[#This Row],[CodBarras2]],2,50)</f>
        <v/>
      </c>
    </row>
    <row r="13345" spans="9:9" x14ac:dyDescent="0.25">
      <c r="I13345" s="227" t="str">
        <f>MID(excPisCofins[[#This Row],[CodBarras2]],2,50)</f>
        <v/>
      </c>
    </row>
    <row r="13346" spans="9:9" x14ac:dyDescent="0.25">
      <c r="I13346" s="227" t="str">
        <f>MID(excPisCofins[[#This Row],[CodBarras2]],2,50)</f>
        <v/>
      </c>
    </row>
    <row r="13347" spans="9:9" x14ac:dyDescent="0.25">
      <c r="I13347" s="227" t="str">
        <f>MID(excPisCofins[[#This Row],[CodBarras2]],2,50)</f>
        <v/>
      </c>
    </row>
    <row r="13348" spans="9:9" x14ac:dyDescent="0.25">
      <c r="I13348" s="227" t="str">
        <f>MID(excPisCofins[[#This Row],[CodBarras2]],2,50)</f>
        <v/>
      </c>
    </row>
    <row r="13349" spans="9:9" x14ac:dyDescent="0.25">
      <c r="I13349" s="227" t="str">
        <f>MID(excPisCofins[[#This Row],[CodBarras2]],2,50)</f>
        <v/>
      </c>
    </row>
    <row r="13350" spans="9:9" x14ac:dyDescent="0.25">
      <c r="I13350" s="227" t="str">
        <f>MID(excPisCofins[[#This Row],[CodBarras2]],2,50)</f>
        <v/>
      </c>
    </row>
    <row r="13351" spans="9:9" x14ac:dyDescent="0.25">
      <c r="I13351" s="227" t="str">
        <f>MID(excPisCofins[[#This Row],[CodBarras2]],2,50)</f>
        <v/>
      </c>
    </row>
    <row r="13352" spans="9:9" x14ac:dyDescent="0.25">
      <c r="I13352" s="227" t="str">
        <f>MID(excPisCofins[[#This Row],[CodBarras2]],2,50)</f>
        <v/>
      </c>
    </row>
    <row r="13353" spans="9:9" x14ac:dyDescent="0.25">
      <c r="I13353" s="227" t="str">
        <f>MID(excPisCofins[[#This Row],[CodBarras2]],2,50)</f>
        <v/>
      </c>
    </row>
    <row r="13354" spans="9:9" x14ac:dyDescent="0.25">
      <c r="I13354" s="227" t="str">
        <f>MID(excPisCofins[[#This Row],[CodBarras2]],2,50)</f>
        <v/>
      </c>
    </row>
    <row r="13355" spans="9:9" x14ac:dyDescent="0.25">
      <c r="I13355" s="227" t="str">
        <f>MID(excPisCofins[[#This Row],[CodBarras2]],2,50)</f>
        <v/>
      </c>
    </row>
    <row r="13356" spans="9:9" x14ac:dyDescent="0.25">
      <c r="I13356" s="227" t="str">
        <f>MID(excPisCofins[[#This Row],[CodBarras2]],2,50)</f>
        <v/>
      </c>
    </row>
    <row r="13357" spans="9:9" x14ac:dyDescent="0.25">
      <c r="I13357" s="227" t="str">
        <f>MID(excPisCofins[[#This Row],[CodBarras2]],2,50)</f>
        <v/>
      </c>
    </row>
    <row r="13358" spans="9:9" x14ac:dyDescent="0.25">
      <c r="I13358" s="227" t="str">
        <f>MID(excPisCofins[[#This Row],[CodBarras2]],2,50)</f>
        <v/>
      </c>
    </row>
    <row r="13359" spans="9:9" x14ac:dyDescent="0.25">
      <c r="I13359" s="227" t="str">
        <f>MID(excPisCofins[[#This Row],[CodBarras2]],2,50)</f>
        <v/>
      </c>
    </row>
    <row r="13360" spans="9:9" x14ac:dyDescent="0.25">
      <c r="I13360" s="227" t="str">
        <f>MID(excPisCofins[[#This Row],[CodBarras2]],2,50)</f>
        <v/>
      </c>
    </row>
    <row r="13361" spans="9:9" x14ac:dyDescent="0.25">
      <c r="I13361" s="227" t="str">
        <f>MID(excPisCofins[[#This Row],[CodBarras2]],2,50)</f>
        <v/>
      </c>
    </row>
    <row r="13362" spans="9:9" x14ac:dyDescent="0.25">
      <c r="I13362" s="227" t="str">
        <f>MID(excPisCofins[[#This Row],[CodBarras2]],2,50)</f>
        <v/>
      </c>
    </row>
    <row r="13363" spans="9:9" x14ac:dyDescent="0.25">
      <c r="I13363" s="227" t="str">
        <f>MID(excPisCofins[[#This Row],[CodBarras2]],2,50)</f>
        <v/>
      </c>
    </row>
    <row r="13364" spans="9:9" x14ac:dyDescent="0.25">
      <c r="I13364" s="227" t="str">
        <f>MID(excPisCofins[[#This Row],[CodBarras2]],2,50)</f>
        <v/>
      </c>
    </row>
    <row r="13365" spans="9:9" x14ac:dyDescent="0.25">
      <c r="I13365" s="227" t="str">
        <f>MID(excPisCofins[[#This Row],[CodBarras2]],2,50)</f>
        <v/>
      </c>
    </row>
    <row r="13366" spans="9:9" x14ac:dyDescent="0.25">
      <c r="I13366" s="227" t="str">
        <f>MID(excPisCofins[[#This Row],[CodBarras2]],2,50)</f>
        <v/>
      </c>
    </row>
    <row r="13367" spans="9:9" x14ac:dyDescent="0.25">
      <c r="I13367" s="227" t="str">
        <f>MID(excPisCofins[[#This Row],[CodBarras2]],2,50)</f>
        <v/>
      </c>
    </row>
    <row r="13368" spans="9:9" x14ac:dyDescent="0.25">
      <c r="I13368" s="227" t="str">
        <f>MID(excPisCofins[[#This Row],[CodBarras2]],2,50)</f>
        <v/>
      </c>
    </row>
    <row r="13369" spans="9:9" x14ac:dyDescent="0.25">
      <c r="I13369" s="227" t="str">
        <f>MID(excPisCofins[[#This Row],[CodBarras2]],2,50)</f>
        <v/>
      </c>
    </row>
    <row r="13370" spans="9:9" x14ac:dyDescent="0.25">
      <c r="I13370" s="227" t="str">
        <f>MID(excPisCofins[[#This Row],[CodBarras2]],2,50)</f>
        <v/>
      </c>
    </row>
    <row r="13371" spans="9:9" x14ac:dyDescent="0.25">
      <c r="I13371" s="227" t="str">
        <f>MID(excPisCofins[[#This Row],[CodBarras2]],2,50)</f>
        <v/>
      </c>
    </row>
    <row r="13372" spans="9:9" x14ac:dyDescent="0.25">
      <c r="I13372" s="227" t="str">
        <f>MID(excPisCofins[[#This Row],[CodBarras2]],2,50)</f>
        <v/>
      </c>
    </row>
    <row r="13373" spans="9:9" x14ac:dyDescent="0.25">
      <c r="I13373" s="227" t="str">
        <f>MID(excPisCofins[[#This Row],[CodBarras2]],2,50)</f>
        <v/>
      </c>
    </row>
    <row r="13374" spans="9:9" x14ac:dyDescent="0.25">
      <c r="I13374" s="227" t="str">
        <f>MID(excPisCofins[[#This Row],[CodBarras2]],2,50)</f>
        <v/>
      </c>
    </row>
    <row r="13375" spans="9:9" x14ac:dyDescent="0.25">
      <c r="I13375" s="227" t="str">
        <f>MID(excPisCofins[[#This Row],[CodBarras2]],2,50)</f>
        <v/>
      </c>
    </row>
    <row r="13376" spans="9:9" x14ac:dyDescent="0.25">
      <c r="I13376" s="227" t="str">
        <f>MID(excPisCofins[[#This Row],[CodBarras2]],2,50)</f>
        <v/>
      </c>
    </row>
    <row r="13377" spans="9:9" x14ac:dyDescent="0.25">
      <c r="I13377" s="227" t="str">
        <f>MID(excPisCofins[[#This Row],[CodBarras2]],2,50)</f>
        <v/>
      </c>
    </row>
    <row r="13378" spans="9:9" x14ac:dyDescent="0.25">
      <c r="I13378" s="227" t="str">
        <f>MID(excPisCofins[[#This Row],[CodBarras2]],2,50)</f>
        <v/>
      </c>
    </row>
    <row r="13379" spans="9:9" x14ac:dyDescent="0.25">
      <c r="I13379" s="227" t="str">
        <f>MID(excPisCofins[[#This Row],[CodBarras2]],2,50)</f>
        <v/>
      </c>
    </row>
    <row r="13380" spans="9:9" x14ac:dyDescent="0.25">
      <c r="I13380" s="227" t="str">
        <f>MID(excPisCofins[[#This Row],[CodBarras2]],2,50)</f>
        <v/>
      </c>
    </row>
    <row r="13381" spans="9:9" x14ac:dyDescent="0.25">
      <c r="I13381" s="227" t="str">
        <f>MID(excPisCofins[[#This Row],[CodBarras2]],2,50)</f>
        <v/>
      </c>
    </row>
    <row r="13382" spans="9:9" x14ac:dyDescent="0.25">
      <c r="I13382" s="227" t="str">
        <f>MID(excPisCofins[[#This Row],[CodBarras2]],2,50)</f>
        <v/>
      </c>
    </row>
    <row r="13383" spans="9:9" x14ac:dyDescent="0.25">
      <c r="I13383" s="227" t="str">
        <f>MID(excPisCofins[[#This Row],[CodBarras2]],2,50)</f>
        <v/>
      </c>
    </row>
    <row r="13384" spans="9:9" x14ac:dyDescent="0.25">
      <c r="I13384" s="227" t="str">
        <f>MID(excPisCofins[[#This Row],[CodBarras2]],2,50)</f>
        <v/>
      </c>
    </row>
    <row r="13385" spans="9:9" x14ac:dyDescent="0.25">
      <c r="I13385" s="227" t="str">
        <f>MID(excPisCofins[[#This Row],[CodBarras2]],2,50)</f>
        <v/>
      </c>
    </row>
    <row r="13386" spans="9:9" x14ac:dyDescent="0.25">
      <c r="I13386" s="227" t="str">
        <f>MID(excPisCofins[[#This Row],[CodBarras2]],2,50)</f>
        <v/>
      </c>
    </row>
    <row r="13387" spans="9:9" x14ac:dyDescent="0.25">
      <c r="I13387" s="227" t="str">
        <f>MID(excPisCofins[[#This Row],[CodBarras2]],2,50)</f>
        <v/>
      </c>
    </row>
    <row r="13388" spans="9:9" x14ac:dyDescent="0.25">
      <c r="I13388" s="227" t="str">
        <f>MID(excPisCofins[[#This Row],[CodBarras2]],2,50)</f>
        <v/>
      </c>
    </row>
    <row r="13389" spans="9:9" x14ac:dyDescent="0.25">
      <c r="I13389" s="227" t="str">
        <f>MID(excPisCofins[[#This Row],[CodBarras2]],2,50)</f>
        <v/>
      </c>
    </row>
    <row r="13390" spans="9:9" x14ac:dyDescent="0.25">
      <c r="I13390" s="227" t="str">
        <f>MID(excPisCofins[[#This Row],[CodBarras2]],2,50)</f>
        <v/>
      </c>
    </row>
    <row r="13391" spans="9:9" x14ac:dyDescent="0.25">
      <c r="I13391" s="227" t="str">
        <f>MID(excPisCofins[[#This Row],[CodBarras2]],2,50)</f>
        <v/>
      </c>
    </row>
    <row r="13392" spans="9:9" x14ac:dyDescent="0.25">
      <c r="I13392" s="227" t="str">
        <f>MID(excPisCofins[[#This Row],[CodBarras2]],2,50)</f>
        <v/>
      </c>
    </row>
    <row r="13393" spans="9:9" x14ac:dyDescent="0.25">
      <c r="I13393" s="227" t="str">
        <f>MID(excPisCofins[[#This Row],[CodBarras2]],2,50)</f>
        <v/>
      </c>
    </row>
    <row r="13394" spans="9:9" x14ac:dyDescent="0.25">
      <c r="I13394" s="227" t="str">
        <f>MID(excPisCofins[[#This Row],[CodBarras2]],2,50)</f>
        <v/>
      </c>
    </row>
    <row r="13395" spans="9:9" x14ac:dyDescent="0.25">
      <c r="I13395" s="227" t="str">
        <f>MID(excPisCofins[[#This Row],[CodBarras2]],2,50)</f>
        <v/>
      </c>
    </row>
    <row r="13396" spans="9:9" x14ac:dyDescent="0.25">
      <c r="I13396" s="227" t="str">
        <f>MID(excPisCofins[[#This Row],[CodBarras2]],2,50)</f>
        <v/>
      </c>
    </row>
    <row r="13397" spans="9:9" x14ac:dyDescent="0.25">
      <c r="I13397" s="227" t="str">
        <f>MID(excPisCofins[[#This Row],[CodBarras2]],2,50)</f>
        <v/>
      </c>
    </row>
    <row r="13398" spans="9:9" x14ac:dyDescent="0.25">
      <c r="I13398" s="227" t="str">
        <f>MID(excPisCofins[[#This Row],[CodBarras2]],2,50)</f>
        <v/>
      </c>
    </row>
    <row r="13399" spans="9:9" x14ac:dyDescent="0.25">
      <c r="I13399" s="227" t="str">
        <f>MID(excPisCofins[[#This Row],[CodBarras2]],2,50)</f>
        <v/>
      </c>
    </row>
    <row r="13400" spans="9:9" x14ac:dyDescent="0.25">
      <c r="I13400" s="227" t="str">
        <f>MID(excPisCofins[[#This Row],[CodBarras2]],2,50)</f>
        <v/>
      </c>
    </row>
    <row r="13401" spans="9:9" x14ac:dyDescent="0.25">
      <c r="I13401" s="227" t="str">
        <f>MID(excPisCofins[[#This Row],[CodBarras2]],2,50)</f>
        <v/>
      </c>
    </row>
    <row r="13402" spans="9:9" x14ac:dyDescent="0.25">
      <c r="I13402" s="227" t="str">
        <f>MID(excPisCofins[[#This Row],[CodBarras2]],2,50)</f>
        <v/>
      </c>
    </row>
    <row r="13403" spans="9:9" x14ac:dyDescent="0.25">
      <c r="I13403" s="227" t="str">
        <f>MID(excPisCofins[[#This Row],[CodBarras2]],2,50)</f>
        <v/>
      </c>
    </row>
    <row r="13404" spans="9:9" x14ac:dyDescent="0.25">
      <c r="I13404" s="227" t="str">
        <f>MID(excPisCofins[[#This Row],[CodBarras2]],2,50)</f>
        <v/>
      </c>
    </row>
    <row r="13405" spans="9:9" x14ac:dyDescent="0.25">
      <c r="I13405" s="227" t="str">
        <f>MID(excPisCofins[[#This Row],[CodBarras2]],2,50)</f>
        <v/>
      </c>
    </row>
    <row r="13406" spans="9:9" x14ac:dyDescent="0.25">
      <c r="I13406" s="227" t="str">
        <f>MID(excPisCofins[[#This Row],[CodBarras2]],2,50)</f>
        <v/>
      </c>
    </row>
    <row r="13407" spans="9:9" x14ac:dyDescent="0.25">
      <c r="I13407" s="227" t="str">
        <f>MID(excPisCofins[[#This Row],[CodBarras2]],2,50)</f>
        <v/>
      </c>
    </row>
    <row r="13408" spans="9:9" x14ac:dyDescent="0.25">
      <c r="I13408" s="227" t="str">
        <f>MID(excPisCofins[[#This Row],[CodBarras2]],2,50)</f>
        <v/>
      </c>
    </row>
    <row r="13409" spans="9:9" x14ac:dyDescent="0.25">
      <c r="I13409" s="227" t="str">
        <f>MID(excPisCofins[[#This Row],[CodBarras2]],2,50)</f>
        <v/>
      </c>
    </row>
    <row r="13410" spans="9:9" x14ac:dyDescent="0.25">
      <c r="I13410" s="227" t="str">
        <f>MID(excPisCofins[[#This Row],[CodBarras2]],2,50)</f>
        <v/>
      </c>
    </row>
    <row r="13411" spans="9:9" x14ac:dyDescent="0.25">
      <c r="I13411" s="227" t="str">
        <f>MID(excPisCofins[[#This Row],[CodBarras2]],2,50)</f>
        <v/>
      </c>
    </row>
    <row r="13412" spans="9:9" x14ac:dyDescent="0.25">
      <c r="I13412" s="227" t="str">
        <f>MID(excPisCofins[[#This Row],[CodBarras2]],2,50)</f>
        <v/>
      </c>
    </row>
    <row r="13413" spans="9:9" x14ac:dyDescent="0.25">
      <c r="I13413" s="227" t="str">
        <f>MID(excPisCofins[[#This Row],[CodBarras2]],2,50)</f>
        <v/>
      </c>
    </row>
    <row r="13414" spans="9:9" x14ac:dyDescent="0.25">
      <c r="I13414" s="227" t="str">
        <f>MID(excPisCofins[[#This Row],[CodBarras2]],2,50)</f>
        <v/>
      </c>
    </row>
    <row r="13415" spans="9:9" x14ac:dyDescent="0.25">
      <c r="I13415" s="227" t="str">
        <f>MID(excPisCofins[[#This Row],[CodBarras2]],2,50)</f>
        <v/>
      </c>
    </row>
    <row r="13416" spans="9:9" x14ac:dyDescent="0.25">
      <c r="I13416" s="227" t="str">
        <f>MID(excPisCofins[[#This Row],[CodBarras2]],2,50)</f>
        <v/>
      </c>
    </row>
    <row r="13417" spans="9:9" x14ac:dyDescent="0.25">
      <c r="I13417" s="227" t="str">
        <f>MID(excPisCofins[[#This Row],[CodBarras2]],2,50)</f>
        <v/>
      </c>
    </row>
    <row r="13418" spans="9:9" x14ac:dyDescent="0.25">
      <c r="I13418" s="227" t="str">
        <f>MID(excPisCofins[[#This Row],[CodBarras2]],2,50)</f>
        <v/>
      </c>
    </row>
    <row r="13419" spans="9:9" x14ac:dyDescent="0.25">
      <c r="I13419" s="227" t="str">
        <f>MID(excPisCofins[[#This Row],[CodBarras2]],2,50)</f>
        <v/>
      </c>
    </row>
    <row r="13420" spans="9:9" x14ac:dyDescent="0.25">
      <c r="I13420" s="227" t="str">
        <f>MID(excPisCofins[[#This Row],[CodBarras2]],2,50)</f>
        <v/>
      </c>
    </row>
    <row r="13421" spans="9:9" x14ac:dyDescent="0.25">
      <c r="I13421" s="227" t="str">
        <f>MID(excPisCofins[[#This Row],[CodBarras2]],2,50)</f>
        <v/>
      </c>
    </row>
    <row r="13422" spans="9:9" x14ac:dyDescent="0.25">
      <c r="I13422" s="227" t="str">
        <f>MID(excPisCofins[[#This Row],[CodBarras2]],2,50)</f>
        <v/>
      </c>
    </row>
    <row r="13423" spans="9:9" x14ac:dyDescent="0.25">
      <c r="I13423" s="227" t="str">
        <f>MID(excPisCofins[[#This Row],[CodBarras2]],2,50)</f>
        <v/>
      </c>
    </row>
    <row r="13424" spans="9:9" x14ac:dyDescent="0.25">
      <c r="I13424" s="227" t="str">
        <f>MID(excPisCofins[[#This Row],[CodBarras2]],2,50)</f>
        <v/>
      </c>
    </row>
    <row r="13425" spans="9:9" x14ac:dyDescent="0.25">
      <c r="I13425" s="227" t="str">
        <f>MID(excPisCofins[[#This Row],[CodBarras2]],2,50)</f>
        <v/>
      </c>
    </row>
    <row r="13426" spans="9:9" x14ac:dyDescent="0.25">
      <c r="I13426" s="227" t="str">
        <f>MID(excPisCofins[[#This Row],[CodBarras2]],2,50)</f>
        <v/>
      </c>
    </row>
    <row r="13427" spans="9:9" x14ac:dyDescent="0.25">
      <c r="I13427" s="227" t="str">
        <f>MID(excPisCofins[[#This Row],[CodBarras2]],2,50)</f>
        <v/>
      </c>
    </row>
    <row r="13428" spans="9:9" x14ac:dyDescent="0.25">
      <c r="I13428" s="227" t="str">
        <f>MID(excPisCofins[[#This Row],[CodBarras2]],2,50)</f>
        <v/>
      </c>
    </row>
    <row r="13429" spans="9:9" x14ac:dyDescent="0.25">
      <c r="I13429" s="227" t="str">
        <f>MID(excPisCofins[[#This Row],[CodBarras2]],2,50)</f>
        <v/>
      </c>
    </row>
    <row r="13430" spans="9:9" x14ac:dyDescent="0.25">
      <c r="I13430" s="227" t="str">
        <f>MID(excPisCofins[[#This Row],[CodBarras2]],2,50)</f>
        <v/>
      </c>
    </row>
    <row r="13431" spans="9:9" x14ac:dyDescent="0.25">
      <c r="I13431" s="227" t="str">
        <f>MID(excPisCofins[[#This Row],[CodBarras2]],2,50)</f>
        <v/>
      </c>
    </row>
    <row r="13432" spans="9:9" x14ac:dyDescent="0.25">
      <c r="I13432" s="227" t="str">
        <f>MID(excPisCofins[[#This Row],[CodBarras2]],2,50)</f>
        <v/>
      </c>
    </row>
    <row r="13433" spans="9:9" x14ac:dyDescent="0.25">
      <c r="I13433" s="227" t="str">
        <f>MID(excPisCofins[[#This Row],[CodBarras2]],2,50)</f>
        <v/>
      </c>
    </row>
    <row r="13434" spans="9:9" x14ac:dyDescent="0.25">
      <c r="I13434" s="227" t="str">
        <f>MID(excPisCofins[[#This Row],[CodBarras2]],2,50)</f>
        <v/>
      </c>
    </row>
    <row r="13435" spans="9:9" x14ac:dyDescent="0.25">
      <c r="I13435" s="227" t="str">
        <f>MID(excPisCofins[[#This Row],[CodBarras2]],2,50)</f>
        <v/>
      </c>
    </row>
    <row r="13436" spans="9:9" x14ac:dyDescent="0.25">
      <c r="I13436" s="227" t="str">
        <f>MID(excPisCofins[[#This Row],[CodBarras2]],2,50)</f>
        <v/>
      </c>
    </row>
    <row r="13437" spans="9:9" x14ac:dyDescent="0.25">
      <c r="I13437" s="227" t="str">
        <f>MID(excPisCofins[[#This Row],[CodBarras2]],2,50)</f>
        <v/>
      </c>
    </row>
    <row r="13438" spans="9:9" x14ac:dyDescent="0.25">
      <c r="I13438" s="227" t="str">
        <f>MID(excPisCofins[[#This Row],[CodBarras2]],2,50)</f>
        <v/>
      </c>
    </row>
    <row r="13439" spans="9:9" x14ac:dyDescent="0.25">
      <c r="I13439" s="227" t="str">
        <f>MID(excPisCofins[[#This Row],[CodBarras2]],2,50)</f>
        <v/>
      </c>
    </row>
    <row r="13440" spans="9:9" x14ac:dyDescent="0.25">
      <c r="I13440" s="227" t="str">
        <f>MID(excPisCofins[[#This Row],[CodBarras2]],2,50)</f>
        <v/>
      </c>
    </row>
    <row r="13441" spans="9:9" x14ac:dyDescent="0.25">
      <c r="I13441" s="227" t="str">
        <f>MID(excPisCofins[[#This Row],[CodBarras2]],2,50)</f>
        <v/>
      </c>
    </row>
    <row r="13442" spans="9:9" x14ac:dyDescent="0.25">
      <c r="I13442" s="227" t="str">
        <f>MID(excPisCofins[[#This Row],[CodBarras2]],2,50)</f>
        <v/>
      </c>
    </row>
    <row r="13443" spans="9:9" x14ac:dyDescent="0.25">
      <c r="I13443" s="227" t="str">
        <f>MID(excPisCofins[[#This Row],[CodBarras2]],2,50)</f>
        <v/>
      </c>
    </row>
    <row r="13444" spans="9:9" x14ac:dyDescent="0.25">
      <c r="I13444" s="227" t="str">
        <f>MID(excPisCofins[[#This Row],[CodBarras2]],2,50)</f>
        <v/>
      </c>
    </row>
    <row r="13445" spans="9:9" x14ac:dyDescent="0.25">
      <c r="I13445" s="227" t="str">
        <f>MID(excPisCofins[[#This Row],[CodBarras2]],2,50)</f>
        <v/>
      </c>
    </row>
    <row r="13446" spans="9:9" x14ac:dyDescent="0.25">
      <c r="I13446" s="227" t="str">
        <f>MID(excPisCofins[[#This Row],[CodBarras2]],2,50)</f>
        <v/>
      </c>
    </row>
    <row r="13447" spans="9:9" x14ac:dyDescent="0.25">
      <c r="I13447" s="227" t="str">
        <f>MID(excPisCofins[[#This Row],[CodBarras2]],2,50)</f>
        <v/>
      </c>
    </row>
    <row r="13448" spans="9:9" x14ac:dyDescent="0.25">
      <c r="I13448" s="227" t="str">
        <f>MID(excPisCofins[[#This Row],[CodBarras2]],2,50)</f>
        <v/>
      </c>
    </row>
    <row r="13449" spans="9:9" x14ac:dyDescent="0.25">
      <c r="I13449" s="227" t="str">
        <f>MID(excPisCofins[[#This Row],[CodBarras2]],2,50)</f>
        <v/>
      </c>
    </row>
    <row r="13450" spans="9:9" x14ac:dyDescent="0.25">
      <c r="I13450" s="227" t="str">
        <f>MID(excPisCofins[[#This Row],[CodBarras2]],2,50)</f>
        <v/>
      </c>
    </row>
    <row r="13451" spans="9:9" x14ac:dyDescent="0.25">
      <c r="I13451" s="227" t="str">
        <f>MID(excPisCofins[[#This Row],[CodBarras2]],2,50)</f>
        <v/>
      </c>
    </row>
    <row r="13452" spans="9:9" x14ac:dyDescent="0.25">
      <c r="I13452" s="227" t="str">
        <f>MID(excPisCofins[[#This Row],[CodBarras2]],2,50)</f>
        <v/>
      </c>
    </row>
    <row r="13453" spans="9:9" x14ac:dyDescent="0.25">
      <c r="I13453" s="227" t="str">
        <f>MID(excPisCofins[[#This Row],[CodBarras2]],2,50)</f>
        <v/>
      </c>
    </row>
    <row r="13454" spans="9:9" x14ac:dyDescent="0.25">
      <c r="I13454" s="227" t="str">
        <f>MID(excPisCofins[[#This Row],[CodBarras2]],2,50)</f>
        <v/>
      </c>
    </row>
    <row r="13455" spans="9:9" x14ac:dyDescent="0.25">
      <c r="I13455" s="227" t="str">
        <f>MID(excPisCofins[[#This Row],[CodBarras2]],2,50)</f>
        <v/>
      </c>
    </row>
    <row r="13456" spans="9:9" x14ac:dyDescent="0.25">
      <c r="I13456" s="227" t="str">
        <f>MID(excPisCofins[[#This Row],[CodBarras2]],2,50)</f>
        <v/>
      </c>
    </row>
    <row r="13457" spans="9:9" x14ac:dyDescent="0.25">
      <c r="I13457" s="227" t="str">
        <f>MID(excPisCofins[[#This Row],[CodBarras2]],2,50)</f>
        <v/>
      </c>
    </row>
    <row r="13458" spans="9:9" x14ac:dyDescent="0.25">
      <c r="I13458" s="227" t="str">
        <f>MID(excPisCofins[[#This Row],[CodBarras2]],2,50)</f>
        <v/>
      </c>
    </row>
    <row r="13459" spans="9:9" x14ac:dyDescent="0.25">
      <c r="I13459" s="227" t="str">
        <f>MID(excPisCofins[[#This Row],[CodBarras2]],2,50)</f>
        <v/>
      </c>
    </row>
    <row r="13460" spans="9:9" x14ac:dyDescent="0.25">
      <c r="I13460" s="227" t="str">
        <f>MID(excPisCofins[[#This Row],[CodBarras2]],2,50)</f>
        <v/>
      </c>
    </row>
    <row r="13461" spans="9:9" x14ac:dyDescent="0.25">
      <c r="I13461" s="227" t="str">
        <f>MID(excPisCofins[[#This Row],[CodBarras2]],2,50)</f>
        <v/>
      </c>
    </row>
    <row r="13462" spans="9:9" x14ac:dyDescent="0.25">
      <c r="I13462" s="227" t="str">
        <f>MID(excPisCofins[[#This Row],[CodBarras2]],2,50)</f>
        <v/>
      </c>
    </row>
    <row r="13463" spans="9:9" x14ac:dyDescent="0.25">
      <c r="I13463" s="227" t="str">
        <f>MID(excPisCofins[[#This Row],[CodBarras2]],2,50)</f>
        <v/>
      </c>
    </row>
    <row r="13464" spans="9:9" x14ac:dyDescent="0.25">
      <c r="I13464" s="227" t="str">
        <f>MID(excPisCofins[[#This Row],[CodBarras2]],2,50)</f>
        <v/>
      </c>
    </row>
    <row r="13465" spans="9:9" x14ac:dyDescent="0.25">
      <c r="I13465" s="227" t="str">
        <f>MID(excPisCofins[[#This Row],[CodBarras2]],2,50)</f>
        <v/>
      </c>
    </row>
    <row r="13466" spans="9:9" x14ac:dyDescent="0.25">
      <c r="I13466" s="227" t="str">
        <f>MID(excPisCofins[[#This Row],[CodBarras2]],2,50)</f>
        <v/>
      </c>
    </row>
    <row r="13467" spans="9:9" x14ac:dyDescent="0.25">
      <c r="I13467" s="227" t="str">
        <f>MID(excPisCofins[[#This Row],[CodBarras2]],2,50)</f>
        <v/>
      </c>
    </row>
    <row r="13468" spans="9:9" x14ac:dyDescent="0.25">
      <c r="I13468" s="227" t="str">
        <f>MID(excPisCofins[[#This Row],[CodBarras2]],2,50)</f>
        <v/>
      </c>
    </row>
    <row r="13469" spans="9:9" x14ac:dyDescent="0.25">
      <c r="I13469" s="227" t="str">
        <f>MID(excPisCofins[[#This Row],[CodBarras2]],2,50)</f>
        <v/>
      </c>
    </row>
    <row r="13470" spans="9:9" x14ac:dyDescent="0.25">
      <c r="I13470" s="227" t="str">
        <f>MID(excPisCofins[[#This Row],[CodBarras2]],2,50)</f>
        <v/>
      </c>
    </row>
    <row r="13471" spans="9:9" x14ac:dyDescent="0.25">
      <c r="I13471" s="227" t="str">
        <f>MID(excPisCofins[[#This Row],[CodBarras2]],2,50)</f>
        <v/>
      </c>
    </row>
    <row r="13472" spans="9:9" x14ac:dyDescent="0.25">
      <c r="I13472" s="227" t="str">
        <f>MID(excPisCofins[[#This Row],[CodBarras2]],2,50)</f>
        <v/>
      </c>
    </row>
    <row r="13473" spans="9:9" x14ac:dyDescent="0.25">
      <c r="I13473" s="227" t="str">
        <f>MID(excPisCofins[[#This Row],[CodBarras2]],2,50)</f>
        <v/>
      </c>
    </row>
    <row r="13474" spans="9:9" x14ac:dyDescent="0.25">
      <c r="I13474" s="227" t="str">
        <f>MID(excPisCofins[[#This Row],[CodBarras2]],2,50)</f>
        <v/>
      </c>
    </row>
    <row r="13475" spans="9:9" x14ac:dyDescent="0.25">
      <c r="I13475" s="227" t="str">
        <f>MID(excPisCofins[[#This Row],[CodBarras2]],2,50)</f>
        <v/>
      </c>
    </row>
    <row r="13476" spans="9:9" x14ac:dyDescent="0.25">
      <c r="I13476" s="227" t="str">
        <f>MID(excPisCofins[[#This Row],[CodBarras2]],2,50)</f>
        <v/>
      </c>
    </row>
    <row r="13477" spans="9:9" x14ac:dyDescent="0.25">
      <c r="I13477" s="227" t="str">
        <f>MID(excPisCofins[[#This Row],[CodBarras2]],2,50)</f>
        <v/>
      </c>
    </row>
    <row r="13478" spans="9:9" x14ac:dyDescent="0.25">
      <c r="I13478" s="227" t="str">
        <f>MID(excPisCofins[[#This Row],[CodBarras2]],2,50)</f>
        <v/>
      </c>
    </row>
    <row r="13479" spans="9:9" x14ac:dyDescent="0.25">
      <c r="I13479" s="227" t="str">
        <f>MID(excPisCofins[[#This Row],[CodBarras2]],2,50)</f>
        <v/>
      </c>
    </row>
    <row r="13480" spans="9:9" x14ac:dyDescent="0.25">
      <c r="I13480" s="227" t="str">
        <f>MID(excPisCofins[[#This Row],[CodBarras2]],2,50)</f>
        <v/>
      </c>
    </row>
    <row r="13481" spans="9:9" x14ac:dyDescent="0.25">
      <c r="I13481" s="227" t="str">
        <f>MID(excPisCofins[[#This Row],[CodBarras2]],2,50)</f>
        <v/>
      </c>
    </row>
    <row r="13482" spans="9:9" x14ac:dyDescent="0.25">
      <c r="I13482" s="227" t="str">
        <f>MID(excPisCofins[[#This Row],[CodBarras2]],2,50)</f>
        <v/>
      </c>
    </row>
    <row r="13483" spans="9:9" x14ac:dyDescent="0.25">
      <c r="I13483" s="227" t="str">
        <f>MID(excPisCofins[[#This Row],[CodBarras2]],2,50)</f>
        <v/>
      </c>
    </row>
    <row r="13484" spans="9:9" x14ac:dyDescent="0.25">
      <c r="I13484" s="227" t="str">
        <f>MID(excPisCofins[[#This Row],[CodBarras2]],2,50)</f>
        <v/>
      </c>
    </row>
    <row r="13485" spans="9:9" x14ac:dyDescent="0.25">
      <c r="I13485" s="227" t="str">
        <f>MID(excPisCofins[[#This Row],[CodBarras2]],2,50)</f>
        <v/>
      </c>
    </row>
    <row r="13486" spans="9:9" x14ac:dyDescent="0.25">
      <c r="I13486" s="227" t="str">
        <f>MID(excPisCofins[[#This Row],[CodBarras2]],2,50)</f>
        <v/>
      </c>
    </row>
    <row r="13487" spans="9:9" x14ac:dyDescent="0.25">
      <c r="I13487" s="227" t="str">
        <f>MID(excPisCofins[[#This Row],[CodBarras2]],2,50)</f>
        <v/>
      </c>
    </row>
    <row r="13488" spans="9:9" x14ac:dyDescent="0.25">
      <c r="I13488" s="227" t="str">
        <f>MID(excPisCofins[[#This Row],[CodBarras2]],2,50)</f>
        <v/>
      </c>
    </row>
    <row r="13489" spans="9:9" x14ac:dyDescent="0.25">
      <c r="I13489" s="227" t="str">
        <f>MID(excPisCofins[[#This Row],[CodBarras2]],2,50)</f>
        <v/>
      </c>
    </row>
    <row r="13490" spans="9:9" x14ac:dyDescent="0.25">
      <c r="I13490" s="227" t="str">
        <f>MID(excPisCofins[[#This Row],[CodBarras2]],2,50)</f>
        <v/>
      </c>
    </row>
    <row r="13491" spans="9:9" x14ac:dyDescent="0.25">
      <c r="I13491" s="227" t="str">
        <f>MID(excPisCofins[[#This Row],[CodBarras2]],2,50)</f>
        <v/>
      </c>
    </row>
    <row r="13492" spans="9:9" x14ac:dyDescent="0.25">
      <c r="I13492" s="227" t="str">
        <f>MID(excPisCofins[[#This Row],[CodBarras2]],2,50)</f>
        <v/>
      </c>
    </row>
    <row r="13493" spans="9:9" x14ac:dyDescent="0.25">
      <c r="I13493" s="227" t="str">
        <f>MID(excPisCofins[[#This Row],[CodBarras2]],2,50)</f>
        <v/>
      </c>
    </row>
    <row r="13494" spans="9:9" x14ac:dyDescent="0.25">
      <c r="I13494" s="227" t="str">
        <f>MID(excPisCofins[[#This Row],[CodBarras2]],2,50)</f>
        <v/>
      </c>
    </row>
    <row r="13495" spans="9:9" x14ac:dyDescent="0.25">
      <c r="I13495" s="227" t="str">
        <f>MID(excPisCofins[[#This Row],[CodBarras2]],2,50)</f>
        <v/>
      </c>
    </row>
    <row r="13496" spans="9:9" x14ac:dyDescent="0.25">
      <c r="I13496" s="227" t="str">
        <f>MID(excPisCofins[[#This Row],[CodBarras2]],2,50)</f>
        <v/>
      </c>
    </row>
    <row r="13497" spans="9:9" x14ac:dyDescent="0.25">
      <c r="I13497" s="227" t="str">
        <f>MID(excPisCofins[[#This Row],[CodBarras2]],2,50)</f>
        <v/>
      </c>
    </row>
    <row r="13498" spans="9:9" x14ac:dyDescent="0.25">
      <c r="I13498" s="227" t="str">
        <f>MID(excPisCofins[[#This Row],[CodBarras2]],2,50)</f>
        <v/>
      </c>
    </row>
    <row r="13499" spans="9:9" x14ac:dyDescent="0.25">
      <c r="I13499" s="227" t="str">
        <f>MID(excPisCofins[[#This Row],[CodBarras2]],2,50)</f>
        <v/>
      </c>
    </row>
    <row r="13500" spans="9:9" x14ac:dyDescent="0.25">
      <c r="I13500" s="227" t="str">
        <f>MID(excPisCofins[[#This Row],[CodBarras2]],2,50)</f>
        <v/>
      </c>
    </row>
    <row r="13501" spans="9:9" x14ac:dyDescent="0.25">
      <c r="I13501" s="227" t="str">
        <f>MID(excPisCofins[[#This Row],[CodBarras2]],2,50)</f>
        <v/>
      </c>
    </row>
    <row r="13502" spans="9:9" x14ac:dyDescent="0.25">
      <c r="I13502" s="227" t="str">
        <f>MID(excPisCofins[[#This Row],[CodBarras2]],2,50)</f>
        <v/>
      </c>
    </row>
    <row r="13503" spans="9:9" x14ac:dyDescent="0.25">
      <c r="I13503" s="227" t="str">
        <f>MID(excPisCofins[[#This Row],[CodBarras2]],2,50)</f>
        <v/>
      </c>
    </row>
    <row r="13504" spans="9:9" x14ac:dyDescent="0.25">
      <c r="I13504" s="227" t="str">
        <f>MID(excPisCofins[[#This Row],[CodBarras2]],2,50)</f>
        <v/>
      </c>
    </row>
    <row r="13505" spans="9:9" x14ac:dyDescent="0.25">
      <c r="I13505" s="227" t="str">
        <f>MID(excPisCofins[[#This Row],[CodBarras2]],2,50)</f>
        <v/>
      </c>
    </row>
    <row r="13506" spans="9:9" x14ac:dyDescent="0.25">
      <c r="I13506" s="227" t="str">
        <f>MID(excPisCofins[[#This Row],[CodBarras2]],2,50)</f>
        <v/>
      </c>
    </row>
    <row r="13507" spans="9:9" x14ac:dyDescent="0.25">
      <c r="I13507" s="227" t="str">
        <f>MID(excPisCofins[[#This Row],[CodBarras2]],2,50)</f>
        <v/>
      </c>
    </row>
    <row r="13508" spans="9:9" x14ac:dyDescent="0.25">
      <c r="I13508" s="227" t="str">
        <f>MID(excPisCofins[[#This Row],[CodBarras2]],2,50)</f>
        <v/>
      </c>
    </row>
    <row r="13509" spans="9:9" x14ac:dyDescent="0.25">
      <c r="I13509" s="227" t="str">
        <f>MID(excPisCofins[[#This Row],[CodBarras2]],2,50)</f>
        <v/>
      </c>
    </row>
    <row r="13510" spans="9:9" x14ac:dyDescent="0.25">
      <c r="I13510" s="227" t="str">
        <f>MID(excPisCofins[[#This Row],[CodBarras2]],2,50)</f>
        <v/>
      </c>
    </row>
    <row r="13511" spans="9:9" x14ac:dyDescent="0.25">
      <c r="I13511" s="227" t="str">
        <f>MID(excPisCofins[[#This Row],[CodBarras2]],2,50)</f>
        <v/>
      </c>
    </row>
    <row r="13512" spans="9:9" x14ac:dyDescent="0.25">
      <c r="I13512" s="227" t="str">
        <f>MID(excPisCofins[[#This Row],[CodBarras2]],2,50)</f>
        <v/>
      </c>
    </row>
    <row r="13513" spans="9:9" x14ac:dyDescent="0.25">
      <c r="I13513" s="227" t="str">
        <f>MID(excPisCofins[[#This Row],[CodBarras2]],2,50)</f>
        <v/>
      </c>
    </row>
    <row r="13514" spans="9:9" x14ac:dyDescent="0.25">
      <c r="I13514" s="227" t="str">
        <f>MID(excPisCofins[[#This Row],[CodBarras2]],2,50)</f>
        <v/>
      </c>
    </row>
    <row r="13515" spans="9:9" x14ac:dyDescent="0.25">
      <c r="I13515" s="227" t="str">
        <f>MID(excPisCofins[[#This Row],[CodBarras2]],2,50)</f>
        <v/>
      </c>
    </row>
    <row r="13516" spans="9:9" x14ac:dyDescent="0.25">
      <c r="I13516" s="227" t="str">
        <f>MID(excPisCofins[[#This Row],[CodBarras2]],2,50)</f>
        <v/>
      </c>
    </row>
    <row r="13517" spans="9:9" x14ac:dyDescent="0.25">
      <c r="I13517" s="227" t="str">
        <f>MID(excPisCofins[[#This Row],[CodBarras2]],2,50)</f>
        <v/>
      </c>
    </row>
    <row r="13518" spans="9:9" x14ac:dyDescent="0.25">
      <c r="I13518" s="227" t="str">
        <f>MID(excPisCofins[[#This Row],[CodBarras2]],2,50)</f>
        <v/>
      </c>
    </row>
    <row r="13519" spans="9:9" x14ac:dyDescent="0.25">
      <c r="I13519" s="227" t="str">
        <f>MID(excPisCofins[[#This Row],[CodBarras2]],2,50)</f>
        <v/>
      </c>
    </row>
    <row r="13520" spans="9:9" x14ac:dyDescent="0.25">
      <c r="I13520" s="227" t="str">
        <f>MID(excPisCofins[[#This Row],[CodBarras2]],2,50)</f>
        <v/>
      </c>
    </row>
    <row r="13521" spans="9:9" x14ac:dyDescent="0.25">
      <c r="I13521" s="227" t="str">
        <f>MID(excPisCofins[[#This Row],[CodBarras2]],2,50)</f>
        <v/>
      </c>
    </row>
    <row r="13522" spans="9:9" x14ac:dyDescent="0.25">
      <c r="I13522" s="227" t="str">
        <f>MID(excPisCofins[[#This Row],[CodBarras2]],2,50)</f>
        <v/>
      </c>
    </row>
    <row r="13523" spans="9:9" x14ac:dyDescent="0.25">
      <c r="I13523" s="227" t="str">
        <f>MID(excPisCofins[[#This Row],[CodBarras2]],2,50)</f>
        <v/>
      </c>
    </row>
    <row r="13524" spans="9:9" x14ac:dyDescent="0.25">
      <c r="I13524" s="227" t="str">
        <f>MID(excPisCofins[[#This Row],[CodBarras2]],2,50)</f>
        <v/>
      </c>
    </row>
    <row r="13525" spans="9:9" x14ac:dyDescent="0.25">
      <c r="I13525" s="227" t="str">
        <f>MID(excPisCofins[[#This Row],[CodBarras2]],2,50)</f>
        <v/>
      </c>
    </row>
    <row r="13526" spans="9:9" x14ac:dyDescent="0.25">
      <c r="I13526" s="227" t="str">
        <f>MID(excPisCofins[[#This Row],[CodBarras2]],2,50)</f>
        <v/>
      </c>
    </row>
    <row r="13527" spans="9:9" x14ac:dyDescent="0.25">
      <c r="I13527" s="227" t="str">
        <f>MID(excPisCofins[[#This Row],[CodBarras2]],2,50)</f>
        <v/>
      </c>
    </row>
    <row r="13528" spans="9:9" x14ac:dyDescent="0.25">
      <c r="I13528" s="227" t="str">
        <f>MID(excPisCofins[[#This Row],[CodBarras2]],2,50)</f>
        <v/>
      </c>
    </row>
    <row r="13529" spans="9:9" x14ac:dyDescent="0.25">
      <c r="I13529" s="227" t="str">
        <f>MID(excPisCofins[[#This Row],[CodBarras2]],2,50)</f>
        <v/>
      </c>
    </row>
    <row r="13530" spans="9:9" x14ac:dyDescent="0.25">
      <c r="I13530" s="227" t="str">
        <f>MID(excPisCofins[[#This Row],[CodBarras2]],2,50)</f>
        <v/>
      </c>
    </row>
    <row r="13531" spans="9:9" x14ac:dyDescent="0.25">
      <c r="I13531" s="227" t="str">
        <f>MID(excPisCofins[[#This Row],[CodBarras2]],2,50)</f>
        <v/>
      </c>
    </row>
    <row r="13532" spans="9:9" x14ac:dyDescent="0.25">
      <c r="I13532" s="227" t="str">
        <f>MID(excPisCofins[[#This Row],[CodBarras2]],2,50)</f>
        <v/>
      </c>
    </row>
    <row r="13533" spans="9:9" x14ac:dyDescent="0.25">
      <c r="I13533" s="227" t="str">
        <f>MID(excPisCofins[[#This Row],[CodBarras2]],2,50)</f>
        <v/>
      </c>
    </row>
    <row r="13534" spans="9:9" x14ac:dyDescent="0.25">
      <c r="I13534" s="227" t="str">
        <f>MID(excPisCofins[[#This Row],[CodBarras2]],2,50)</f>
        <v/>
      </c>
    </row>
    <row r="13535" spans="9:9" x14ac:dyDescent="0.25">
      <c r="I13535" s="227" t="str">
        <f>MID(excPisCofins[[#This Row],[CodBarras2]],2,50)</f>
        <v/>
      </c>
    </row>
    <row r="13536" spans="9:9" x14ac:dyDescent="0.25">
      <c r="I13536" s="227" t="str">
        <f>MID(excPisCofins[[#This Row],[CodBarras2]],2,50)</f>
        <v/>
      </c>
    </row>
    <row r="13537" spans="9:9" x14ac:dyDescent="0.25">
      <c r="I13537" s="227" t="str">
        <f>MID(excPisCofins[[#This Row],[CodBarras2]],2,50)</f>
        <v/>
      </c>
    </row>
    <row r="13538" spans="9:9" x14ac:dyDescent="0.25">
      <c r="I13538" s="227" t="str">
        <f>MID(excPisCofins[[#This Row],[CodBarras2]],2,50)</f>
        <v/>
      </c>
    </row>
    <row r="13539" spans="9:9" x14ac:dyDescent="0.25">
      <c r="I13539" s="227" t="str">
        <f>MID(excPisCofins[[#This Row],[CodBarras2]],2,50)</f>
        <v/>
      </c>
    </row>
    <row r="13540" spans="9:9" x14ac:dyDescent="0.25">
      <c r="I13540" s="227" t="str">
        <f>MID(excPisCofins[[#This Row],[CodBarras2]],2,50)</f>
        <v/>
      </c>
    </row>
    <row r="13541" spans="9:9" x14ac:dyDescent="0.25">
      <c r="I13541" s="227" t="str">
        <f>MID(excPisCofins[[#This Row],[CodBarras2]],2,50)</f>
        <v/>
      </c>
    </row>
    <row r="13542" spans="9:9" x14ac:dyDescent="0.25">
      <c r="I13542" s="227" t="str">
        <f>MID(excPisCofins[[#This Row],[CodBarras2]],2,50)</f>
        <v/>
      </c>
    </row>
    <row r="13543" spans="9:9" x14ac:dyDescent="0.25">
      <c r="I13543" s="227" t="str">
        <f>MID(excPisCofins[[#This Row],[CodBarras2]],2,50)</f>
        <v/>
      </c>
    </row>
    <row r="13544" spans="9:9" x14ac:dyDescent="0.25">
      <c r="I13544" s="227" t="str">
        <f>MID(excPisCofins[[#This Row],[CodBarras2]],2,50)</f>
        <v/>
      </c>
    </row>
    <row r="13545" spans="9:9" x14ac:dyDescent="0.25">
      <c r="I13545" s="227" t="str">
        <f>MID(excPisCofins[[#This Row],[CodBarras2]],2,50)</f>
        <v/>
      </c>
    </row>
    <row r="13546" spans="9:9" x14ac:dyDescent="0.25">
      <c r="I13546" s="227" t="str">
        <f>MID(excPisCofins[[#This Row],[CodBarras2]],2,50)</f>
        <v/>
      </c>
    </row>
    <row r="13547" spans="9:9" x14ac:dyDescent="0.25">
      <c r="I13547" s="227" t="str">
        <f>MID(excPisCofins[[#This Row],[CodBarras2]],2,50)</f>
        <v/>
      </c>
    </row>
    <row r="13548" spans="9:9" x14ac:dyDescent="0.25">
      <c r="I13548" s="227" t="str">
        <f>MID(excPisCofins[[#This Row],[CodBarras2]],2,50)</f>
        <v/>
      </c>
    </row>
    <row r="13549" spans="9:9" x14ac:dyDescent="0.25">
      <c r="I13549" s="227" t="str">
        <f>MID(excPisCofins[[#This Row],[CodBarras2]],2,50)</f>
        <v/>
      </c>
    </row>
    <row r="13550" spans="9:9" x14ac:dyDescent="0.25">
      <c r="I13550" s="227" t="str">
        <f>MID(excPisCofins[[#This Row],[CodBarras2]],2,50)</f>
        <v/>
      </c>
    </row>
    <row r="13551" spans="9:9" x14ac:dyDescent="0.25">
      <c r="I13551" s="227" t="str">
        <f>MID(excPisCofins[[#This Row],[CodBarras2]],2,50)</f>
        <v/>
      </c>
    </row>
    <row r="13552" spans="9:9" x14ac:dyDescent="0.25">
      <c r="I13552" s="227" t="str">
        <f>MID(excPisCofins[[#This Row],[CodBarras2]],2,50)</f>
        <v/>
      </c>
    </row>
    <row r="13553" spans="9:9" x14ac:dyDescent="0.25">
      <c r="I13553" s="227" t="str">
        <f>MID(excPisCofins[[#This Row],[CodBarras2]],2,50)</f>
        <v/>
      </c>
    </row>
    <row r="13554" spans="9:9" x14ac:dyDescent="0.25">
      <c r="I13554" s="227" t="str">
        <f>MID(excPisCofins[[#This Row],[CodBarras2]],2,50)</f>
        <v/>
      </c>
    </row>
    <row r="13555" spans="9:9" x14ac:dyDescent="0.25">
      <c r="I13555" s="227" t="str">
        <f>MID(excPisCofins[[#This Row],[CodBarras2]],2,50)</f>
        <v/>
      </c>
    </row>
    <row r="13556" spans="9:9" x14ac:dyDescent="0.25">
      <c r="I13556" s="227" t="str">
        <f>MID(excPisCofins[[#This Row],[CodBarras2]],2,50)</f>
        <v/>
      </c>
    </row>
    <row r="13557" spans="9:9" x14ac:dyDescent="0.25">
      <c r="I13557" s="227" t="str">
        <f>MID(excPisCofins[[#This Row],[CodBarras2]],2,50)</f>
        <v/>
      </c>
    </row>
    <row r="13558" spans="9:9" x14ac:dyDescent="0.25">
      <c r="I13558" s="227" t="str">
        <f>MID(excPisCofins[[#This Row],[CodBarras2]],2,50)</f>
        <v/>
      </c>
    </row>
    <row r="13559" spans="9:9" x14ac:dyDescent="0.25">
      <c r="I13559" s="227" t="str">
        <f>MID(excPisCofins[[#This Row],[CodBarras2]],2,50)</f>
        <v/>
      </c>
    </row>
    <row r="13560" spans="9:9" x14ac:dyDescent="0.25">
      <c r="I13560" s="227" t="str">
        <f>MID(excPisCofins[[#This Row],[CodBarras2]],2,50)</f>
        <v/>
      </c>
    </row>
    <row r="13561" spans="9:9" x14ac:dyDescent="0.25">
      <c r="I13561" s="227" t="str">
        <f>MID(excPisCofins[[#This Row],[CodBarras2]],2,50)</f>
        <v/>
      </c>
    </row>
    <row r="13562" spans="9:9" x14ac:dyDescent="0.25">
      <c r="I13562" s="227" t="str">
        <f>MID(excPisCofins[[#This Row],[CodBarras2]],2,50)</f>
        <v/>
      </c>
    </row>
    <row r="13563" spans="9:9" x14ac:dyDescent="0.25">
      <c r="I13563" s="227" t="str">
        <f>MID(excPisCofins[[#This Row],[CodBarras2]],2,50)</f>
        <v/>
      </c>
    </row>
    <row r="13564" spans="9:9" x14ac:dyDescent="0.25">
      <c r="I13564" s="227" t="str">
        <f>MID(excPisCofins[[#This Row],[CodBarras2]],2,50)</f>
        <v/>
      </c>
    </row>
    <row r="13565" spans="9:9" x14ac:dyDescent="0.25">
      <c r="I13565" s="227" t="str">
        <f>MID(excPisCofins[[#This Row],[CodBarras2]],2,50)</f>
        <v/>
      </c>
    </row>
    <row r="13566" spans="9:9" x14ac:dyDescent="0.25">
      <c r="I13566" s="227" t="str">
        <f>MID(excPisCofins[[#This Row],[CodBarras2]],2,50)</f>
        <v/>
      </c>
    </row>
    <row r="13567" spans="9:9" x14ac:dyDescent="0.25">
      <c r="I13567" s="227" t="str">
        <f>MID(excPisCofins[[#This Row],[CodBarras2]],2,50)</f>
        <v/>
      </c>
    </row>
    <row r="13568" spans="9:9" x14ac:dyDescent="0.25">
      <c r="I13568" s="227" t="str">
        <f>MID(excPisCofins[[#This Row],[CodBarras2]],2,50)</f>
        <v/>
      </c>
    </row>
    <row r="13569" spans="9:9" x14ac:dyDescent="0.25">
      <c r="I13569" s="227" t="str">
        <f>MID(excPisCofins[[#This Row],[CodBarras2]],2,50)</f>
        <v/>
      </c>
    </row>
    <row r="13570" spans="9:9" x14ac:dyDescent="0.25">
      <c r="I13570" s="227" t="str">
        <f>MID(excPisCofins[[#This Row],[CodBarras2]],2,50)</f>
        <v/>
      </c>
    </row>
    <row r="13571" spans="9:9" x14ac:dyDescent="0.25">
      <c r="I13571" s="227" t="str">
        <f>MID(excPisCofins[[#This Row],[CodBarras2]],2,50)</f>
        <v/>
      </c>
    </row>
    <row r="13572" spans="9:9" x14ac:dyDescent="0.25">
      <c r="I13572" s="227" t="str">
        <f>MID(excPisCofins[[#This Row],[CodBarras2]],2,50)</f>
        <v/>
      </c>
    </row>
    <row r="13573" spans="9:9" x14ac:dyDescent="0.25">
      <c r="I13573" s="227" t="str">
        <f>MID(excPisCofins[[#This Row],[CodBarras2]],2,50)</f>
        <v/>
      </c>
    </row>
    <row r="13574" spans="9:9" x14ac:dyDescent="0.25">
      <c r="I13574" s="227" t="str">
        <f>MID(excPisCofins[[#This Row],[CodBarras2]],2,50)</f>
        <v/>
      </c>
    </row>
    <row r="13575" spans="9:9" x14ac:dyDescent="0.25">
      <c r="I13575" s="227" t="str">
        <f>MID(excPisCofins[[#This Row],[CodBarras2]],2,50)</f>
        <v/>
      </c>
    </row>
    <row r="13576" spans="9:9" x14ac:dyDescent="0.25">
      <c r="I13576" s="227" t="str">
        <f>MID(excPisCofins[[#This Row],[CodBarras2]],2,50)</f>
        <v/>
      </c>
    </row>
    <row r="13577" spans="9:9" x14ac:dyDescent="0.25">
      <c r="I13577" s="227" t="str">
        <f>MID(excPisCofins[[#This Row],[CodBarras2]],2,50)</f>
        <v/>
      </c>
    </row>
    <row r="13578" spans="9:9" x14ac:dyDescent="0.25">
      <c r="I13578" s="227" t="str">
        <f>MID(excPisCofins[[#This Row],[CodBarras2]],2,50)</f>
        <v/>
      </c>
    </row>
    <row r="13579" spans="9:9" x14ac:dyDescent="0.25">
      <c r="I13579" s="227" t="str">
        <f>MID(excPisCofins[[#This Row],[CodBarras2]],2,50)</f>
        <v/>
      </c>
    </row>
    <row r="13580" spans="9:9" x14ac:dyDescent="0.25">
      <c r="I13580" s="227" t="str">
        <f>MID(excPisCofins[[#This Row],[CodBarras2]],2,50)</f>
        <v/>
      </c>
    </row>
    <row r="13581" spans="9:9" x14ac:dyDescent="0.25">
      <c r="I13581" s="227" t="str">
        <f>MID(excPisCofins[[#This Row],[CodBarras2]],2,50)</f>
        <v/>
      </c>
    </row>
    <row r="13582" spans="9:9" x14ac:dyDescent="0.25">
      <c r="I13582" s="227" t="str">
        <f>MID(excPisCofins[[#This Row],[CodBarras2]],2,50)</f>
        <v/>
      </c>
    </row>
    <row r="13583" spans="9:9" x14ac:dyDescent="0.25">
      <c r="I13583" s="227" t="str">
        <f>MID(excPisCofins[[#This Row],[CodBarras2]],2,50)</f>
        <v/>
      </c>
    </row>
    <row r="13584" spans="9:9" x14ac:dyDescent="0.25">
      <c r="I13584" s="227" t="str">
        <f>MID(excPisCofins[[#This Row],[CodBarras2]],2,50)</f>
        <v/>
      </c>
    </row>
    <row r="13585" spans="9:9" x14ac:dyDescent="0.25">
      <c r="I13585" s="227" t="str">
        <f>MID(excPisCofins[[#This Row],[CodBarras2]],2,50)</f>
        <v/>
      </c>
    </row>
    <row r="13586" spans="9:9" x14ac:dyDescent="0.25">
      <c r="I13586" s="227" t="str">
        <f>MID(excPisCofins[[#This Row],[CodBarras2]],2,50)</f>
        <v/>
      </c>
    </row>
    <row r="13587" spans="9:9" x14ac:dyDescent="0.25">
      <c r="I13587" s="227" t="str">
        <f>MID(excPisCofins[[#This Row],[CodBarras2]],2,50)</f>
        <v/>
      </c>
    </row>
    <row r="13588" spans="9:9" x14ac:dyDescent="0.25">
      <c r="I13588" s="227" t="str">
        <f>MID(excPisCofins[[#This Row],[CodBarras2]],2,50)</f>
        <v/>
      </c>
    </row>
    <row r="13589" spans="9:9" x14ac:dyDescent="0.25">
      <c r="I13589" s="227" t="str">
        <f>MID(excPisCofins[[#This Row],[CodBarras2]],2,50)</f>
        <v/>
      </c>
    </row>
    <row r="13590" spans="9:9" x14ac:dyDescent="0.25">
      <c r="I13590" s="227" t="str">
        <f>MID(excPisCofins[[#This Row],[CodBarras2]],2,50)</f>
        <v/>
      </c>
    </row>
    <row r="13591" spans="9:9" x14ac:dyDescent="0.25">
      <c r="I13591" s="227" t="str">
        <f>MID(excPisCofins[[#This Row],[CodBarras2]],2,50)</f>
        <v/>
      </c>
    </row>
    <row r="13592" spans="9:9" x14ac:dyDescent="0.25">
      <c r="I13592" s="227" t="str">
        <f>MID(excPisCofins[[#This Row],[CodBarras2]],2,50)</f>
        <v/>
      </c>
    </row>
    <row r="13593" spans="9:9" x14ac:dyDescent="0.25">
      <c r="I13593" s="227" t="str">
        <f>MID(excPisCofins[[#This Row],[CodBarras2]],2,50)</f>
        <v/>
      </c>
    </row>
    <row r="13594" spans="9:9" x14ac:dyDescent="0.25">
      <c r="I13594" s="227" t="str">
        <f>MID(excPisCofins[[#This Row],[CodBarras2]],2,50)</f>
        <v/>
      </c>
    </row>
    <row r="13595" spans="9:9" x14ac:dyDescent="0.25">
      <c r="I13595" s="227" t="str">
        <f>MID(excPisCofins[[#This Row],[CodBarras2]],2,50)</f>
        <v/>
      </c>
    </row>
    <row r="13596" spans="9:9" x14ac:dyDescent="0.25">
      <c r="I13596" s="227" t="str">
        <f>MID(excPisCofins[[#This Row],[CodBarras2]],2,50)</f>
        <v/>
      </c>
    </row>
    <row r="13597" spans="9:9" x14ac:dyDescent="0.25">
      <c r="I13597" s="227" t="str">
        <f>MID(excPisCofins[[#This Row],[CodBarras2]],2,50)</f>
        <v/>
      </c>
    </row>
    <row r="13598" spans="9:9" x14ac:dyDescent="0.25">
      <c r="I13598" s="227" t="str">
        <f>MID(excPisCofins[[#This Row],[CodBarras2]],2,50)</f>
        <v/>
      </c>
    </row>
    <row r="13599" spans="9:9" x14ac:dyDescent="0.25">
      <c r="I13599" s="227" t="str">
        <f>MID(excPisCofins[[#This Row],[CodBarras2]],2,50)</f>
        <v/>
      </c>
    </row>
    <row r="13600" spans="9:9" x14ac:dyDescent="0.25">
      <c r="I13600" s="227" t="str">
        <f>MID(excPisCofins[[#This Row],[CodBarras2]],2,50)</f>
        <v/>
      </c>
    </row>
    <row r="13601" spans="9:9" x14ac:dyDescent="0.25">
      <c r="I13601" s="227" t="str">
        <f>MID(excPisCofins[[#This Row],[CodBarras2]],2,50)</f>
        <v/>
      </c>
    </row>
    <row r="13602" spans="9:9" x14ac:dyDescent="0.25">
      <c r="I13602" s="227" t="str">
        <f>MID(excPisCofins[[#This Row],[CodBarras2]],2,50)</f>
        <v/>
      </c>
    </row>
    <row r="13603" spans="9:9" x14ac:dyDescent="0.25">
      <c r="I13603" s="227" t="str">
        <f>MID(excPisCofins[[#This Row],[CodBarras2]],2,50)</f>
        <v/>
      </c>
    </row>
    <row r="13604" spans="9:9" x14ac:dyDescent="0.25">
      <c r="I13604" s="227" t="str">
        <f>MID(excPisCofins[[#This Row],[CodBarras2]],2,50)</f>
        <v/>
      </c>
    </row>
    <row r="13605" spans="9:9" x14ac:dyDescent="0.25">
      <c r="I13605" s="227" t="str">
        <f>MID(excPisCofins[[#This Row],[CodBarras2]],2,50)</f>
        <v/>
      </c>
    </row>
    <row r="13606" spans="9:9" x14ac:dyDescent="0.25">
      <c r="I13606" s="227" t="str">
        <f>MID(excPisCofins[[#This Row],[CodBarras2]],2,50)</f>
        <v/>
      </c>
    </row>
    <row r="13607" spans="9:9" x14ac:dyDescent="0.25">
      <c r="I13607" s="227" t="str">
        <f>MID(excPisCofins[[#This Row],[CodBarras2]],2,50)</f>
        <v/>
      </c>
    </row>
    <row r="13608" spans="9:9" x14ac:dyDescent="0.25">
      <c r="I13608" s="227" t="str">
        <f>MID(excPisCofins[[#This Row],[CodBarras2]],2,50)</f>
        <v/>
      </c>
    </row>
    <row r="13609" spans="9:9" x14ac:dyDescent="0.25">
      <c r="I13609" s="227" t="str">
        <f>MID(excPisCofins[[#This Row],[CodBarras2]],2,50)</f>
        <v/>
      </c>
    </row>
    <row r="13610" spans="9:9" x14ac:dyDescent="0.25">
      <c r="I13610" s="227" t="str">
        <f>MID(excPisCofins[[#This Row],[CodBarras2]],2,50)</f>
        <v/>
      </c>
    </row>
    <row r="13611" spans="9:9" x14ac:dyDescent="0.25">
      <c r="I13611" s="227" t="str">
        <f>MID(excPisCofins[[#This Row],[CodBarras2]],2,50)</f>
        <v/>
      </c>
    </row>
    <row r="13612" spans="9:9" x14ac:dyDescent="0.25">
      <c r="I13612" s="227" t="str">
        <f>MID(excPisCofins[[#This Row],[CodBarras2]],2,50)</f>
        <v/>
      </c>
    </row>
    <row r="13613" spans="9:9" x14ac:dyDescent="0.25">
      <c r="I13613" s="227" t="str">
        <f>MID(excPisCofins[[#This Row],[CodBarras2]],2,50)</f>
        <v/>
      </c>
    </row>
    <row r="13614" spans="9:9" x14ac:dyDescent="0.25">
      <c r="I13614" s="227" t="str">
        <f>MID(excPisCofins[[#This Row],[CodBarras2]],2,50)</f>
        <v/>
      </c>
    </row>
    <row r="13615" spans="9:9" x14ac:dyDescent="0.25">
      <c r="I13615" s="227" t="str">
        <f>MID(excPisCofins[[#This Row],[CodBarras2]],2,50)</f>
        <v/>
      </c>
    </row>
    <row r="13616" spans="9:9" x14ac:dyDescent="0.25">
      <c r="I13616" s="227" t="str">
        <f>MID(excPisCofins[[#This Row],[CodBarras2]],2,50)</f>
        <v/>
      </c>
    </row>
    <row r="13617" spans="9:9" x14ac:dyDescent="0.25">
      <c r="I13617" s="227" t="str">
        <f>MID(excPisCofins[[#This Row],[CodBarras2]],2,50)</f>
        <v/>
      </c>
    </row>
    <row r="13618" spans="9:9" x14ac:dyDescent="0.25">
      <c r="I13618" s="227" t="str">
        <f>MID(excPisCofins[[#This Row],[CodBarras2]],2,50)</f>
        <v/>
      </c>
    </row>
    <row r="13619" spans="9:9" x14ac:dyDescent="0.25">
      <c r="I13619" s="227" t="str">
        <f>MID(excPisCofins[[#This Row],[CodBarras2]],2,50)</f>
        <v/>
      </c>
    </row>
    <row r="13620" spans="9:9" x14ac:dyDescent="0.25">
      <c r="I13620" s="227" t="str">
        <f>MID(excPisCofins[[#This Row],[CodBarras2]],2,50)</f>
        <v/>
      </c>
    </row>
    <row r="13621" spans="9:9" x14ac:dyDescent="0.25">
      <c r="I13621" s="227" t="str">
        <f>MID(excPisCofins[[#This Row],[CodBarras2]],2,50)</f>
        <v/>
      </c>
    </row>
    <row r="13622" spans="9:9" x14ac:dyDescent="0.25">
      <c r="I13622" s="227" t="str">
        <f>MID(excPisCofins[[#This Row],[CodBarras2]],2,50)</f>
        <v/>
      </c>
    </row>
    <row r="13623" spans="9:9" x14ac:dyDescent="0.25">
      <c r="I13623" s="227" t="str">
        <f>MID(excPisCofins[[#This Row],[CodBarras2]],2,50)</f>
        <v/>
      </c>
    </row>
    <row r="13624" spans="9:9" x14ac:dyDescent="0.25">
      <c r="I13624" s="227" t="str">
        <f>MID(excPisCofins[[#This Row],[CodBarras2]],2,50)</f>
        <v/>
      </c>
    </row>
    <row r="13625" spans="9:9" x14ac:dyDescent="0.25">
      <c r="I13625" s="227" t="str">
        <f>MID(excPisCofins[[#This Row],[CodBarras2]],2,50)</f>
        <v/>
      </c>
    </row>
    <row r="13626" spans="9:9" x14ac:dyDescent="0.25">
      <c r="I13626" s="227" t="str">
        <f>MID(excPisCofins[[#This Row],[CodBarras2]],2,50)</f>
        <v/>
      </c>
    </row>
    <row r="13627" spans="9:9" x14ac:dyDescent="0.25">
      <c r="I13627" s="227" t="str">
        <f>MID(excPisCofins[[#This Row],[CodBarras2]],2,50)</f>
        <v/>
      </c>
    </row>
    <row r="13628" spans="9:9" x14ac:dyDescent="0.25">
      <c r="I13628" s="227" t="str">
        <f>MID(excPisCofins[[#This Row],[CodBarras2]],2,50)</f>
        <v/>
      </c>
    </row>
    <row r="13629" spans="9:9" x14ac:dyDescent="0.25">
      <c r="I13629" s="227" t="str">
        <f>MID(excPisCofins[[#This Row],[CodBarras2]],2,50)</f>
        <v/>
      </c>
    </row>
    <row r="13630" spans="9:9" x14ac:dyDescent="0.25">
      <c r="I13630" s="227" t="str">
        <f>MID(excPisCofins[[#This Row],[CodBarras2]],2,50)</f>
        <v/>
      </c>
    </row>
    <row r="13631" spans="9:9" x14ac:dyDescent="0.25">
      <c r="I13631" s="227" t="str">
        <f>MID(excPisCofins[[#This Row],[CodBarras2]],2,50)</f>
        <v/>
      </c>
    </row>
    <row r="13632" spans="9:9" x14ac:dyDescent="0.25">
      <c r="I13632" s="227" t="str">
        <f>MID(excPisCofins[[#This Row],[CodBarras2]],2,50)</f>
        <v/>
      </c>
    </row>
    <row r="13633" spans="9:9" x14ac:dyDescent="0.25">
      <c r="I13633" s="227" t="str">
        <f>MID(excPisCofins[[#This Row],[CodBarras2]],2,50)</f>
        <v/>
      </c>
    </row>
    <row r="13634" spans="9:9" x14ac:dyDescent="0.25">
      <c r="I13634" s="227" t="str">
        <f>MID(excPisCofins[[#This Row],[CodBarras2]],2,50)</f>
        <v/>
      </c>
    </row>
    <row r="13635" spans="9:9" x14ac:dyDescent="0.25">
      <c r="I13635" s="227" t="str">
        <f>MID(excPisCofins[[#This Row],[CodBarras2]],2,50)</f>
        <v/>
      </c>
    </row>
    <row r="13636" spans="9:9" x14ac:dyDescent="0.25">
      <c r="I13636" s="227" t="str">
        <f>MID(excPisCofins[[#This Row],[CodBarras2]],2,50)</f>
        <v/>
      </c>
    </row>
    <row r="13637" spans="9:9" x14ac:dyDescent="0.25">
      <c r="I13637" s="227" t="str">
        <f>MID(excPisCofins[[#This Row],[CodBarras2]],2,50)</f>
        <v/>
      </c>
    </row>
    <row r="13638" spans="9:9" x14ac:dyDescent="0.25">
      <c r="I13638" s="227" t="str">
        <f>MID(excPisCofins[[#This Row],[CodBarras2]],2,50)</f>
        <v/>
      </c>
    </row>
    <row r="13639" spans="9:9" x14ac:dyDescent="0.25">
      <c r="I13639" s="227" t="str">
        <f>MID(excPisCofins[[#This Row],[CodBarras2]],2,50)</f>
        <v/>
      </c>
    </row>
    <row r="13640" spans="9:9" x14ac:dyDescent="0.25">
      <c r="I13640" s="227" t="str">
        <f>MID(excPisCofins[[#This Row],[CodBarras2]],2,50)</f>
        <v/>
      </c>
    </row>
    <row r="13641" spans="9:9" x14ac:dyDescent="0.25">
      <c r="I13641" s="227" t="str">
        <f>MID(excPisCofins[[#This Row],[CodBarras2]],2,50)</f>
        <v/>
      </c>
    </row>
    <row r="13642" spans="9:9" x14ac:dyDescent="0.25">
      <c r="I13642" s="227" t="str">
        <f>MID(excPisCofins[[#This Row],[CodBarras2]],2,50)</f>
        <v/>
      </c>
    </row>
    <row r="13643" spans="9:9" x14ac:dyDescent="0.25">
      <c r="I13643" s="227" t="str">
        <f>MID(excPisCofins[[#This Row],[CodBarras2]],2,50)</f>
        <v/>
      </c>
    </row>
    <row r="13644" spans="9:9" x14ac:dyDescent="0.25">
      <c r="I13644" s="227" t="str">
        <f>MID(excPisCofins[[#This Row],[CodBarras2]],2,50)</f>
        <v/>
      </c>
    </row>
    <row r="13645" spans="9:9" x14ac:dyDescent="0.25">
      <c r="I13645" s="227" t="str">
        <f>MID(excPisCofins[[#This Row],[CodBarras2]],2,50)</f>
        <v/>
      </c>
    </row>
    <row r="13646" spans="9:9" x14ac:dyDescent="0.25">
      <c r="I13646" s="227" t="str">
        <f>MID(excPisCofins[[#This Row],[CodBarras2]],2,50)</f>
        <v/>
      </c>
    </row>
    <row r="13647" spans="9:9" x14ac:dyDescent="0.25">
      <c r="I13647" s="227" t="str">
        <f>MID(excPisCofins[[#This Row],[CodBarras2]],2,50)</f>
        <v/>
      </c>
    </row>
    <row r="13648" spans="9:9" x14ac:dyDescent="0.25">
      <c r="I13648" s="227" t="str">
        <f>MID(excPisCofins[[#This Row],[CodBarras2]],2,50)</f>
        <v/>
      </c>
    </row>
    <row r="13649" spans="9:9" x14ac:dyDescent="0.25">
      <c r="I13649" s="227" t="str">
        <f>MID(excPisCofins[[#This Row],[CodBarras2]],2,50)</f>
        <v/>
      </c>
    </row>
    <row r="13650" spans="9:9" x14ac:dyDescent="0.25">
      <c r="I13650" s="227" t="str">
        <f>MID(excPisCofins[[#This Row],[CodBarras2]],2,50)</f>
        <v/>
      </c>
    </row>
    <row r="13651" spans="9:9" x14ac:dyDescent="0.25">
      <c r="I13651" s="227" t="str">
        <f>MID(excPisCofins[[#This Row],[CodBarras2]],2,50)</f>
        <v/>
      </c>
    </row>
    <row r="13652" spans="9:9" x14ac:dyDescent="0.25">
      <c r="I13652" s="227" t="str">
        <f>MID(excPisCofins[[#This Row],[CodBarras2]],2,50)</f>
        <v/>
      </c>
    </row>
    <row r="13653" spans="9:9" x14ac:dyDescent="0.25">
      <c r="I13653" s="227" t="str">
        <f>MID(excPisCofins[[#This Row],[CodBarras2]],2,50)</f>
        <v/>
      </c>
    </row>
    <row r="13654" spans="9:9" x14ac:dyDescent="0.25">
      <c r="I13654" s="227" t="str">
        <f>MID(excPisCofins[[#This Row],[CodBarras2]],2,50)</f>
        <v/>
      </c>
    </row>
    <row r="13655" spans="9:9" x14ac:dyDescent="0.25">
      <c r="I13655" s="227" t="str">
        <f>MID(excPisCofins[[#This Row],[CodBarras2]],2,50)</f>
        <v/>
      </c>
    </row>
    <row r="13656" spans="9:9" x14ac:dyDescent="0.25">
      <c r="I13656" s="227" t="str">
        <f>MID(excPisCofins[[#This Row],[CodBarras2]],2,50)</f>
        <v/>
      </c>
    </row>
    <row r="13657" spans="9:9" x14ac:dyDescent="0.25">
      <c r="I13657" s="227" t="str">
        <f>MID(excPisCofins[[#This Row],[CodBarras2]],2,50)</f>
        <v/>
      </c>
    </row>
    <row r="13658" spans="9:9" x14ac:dyDescent="0.25">
      <c r="I13658" s="227" t="str">
        <f>MID(excPisCofins[[#This Row],[CodBarras2]],2,50)</f>
        <v/>
      </c>
    </row>
    <row r="13659" spans="9:9" x14ac:dyDescent="0.25">
      <c r="I13659" s="227" t="str">
        <f>MID(excPisCofins[[#This Row],[CodBarras2]],2,50)</f>
        <v/>
      </c>
    </row>
    <row r="13660" spans="9:9" x14ac:dyDescent="0.25">
      <c r="I13660" s="227" t="str">
        <f>MID(excPisCofins[[#This Row],[CodBarras2]],2,50)</f>
        <v/>
      </c>
    </row>
    <row r="13661" spans="9:9" x14ac:dyDescent="0.25">
      <c r="I13661" s="227" t="str">
        <f>MID(excPisCofins[[#This Row],[CodBarras2]],2,50)</f>
        <v/>
      </c>
    </row>
    <row r="13662" spans="9:9" x14ac:dyDescent="0.25">
      <c r="I13662" s="227" t="str">
        <f>MID(excPisCofins[[#This Row],[CodBarras2]],2,50)</f>
        <v/>
      </c>
    </row>
    <row r="13663" spans="9:9" x14ac:dyDescent="0.25">
      <c r="I13663" s="227" t="str">
        <f>MID(excPisCofins[[#This Row],[CodBarras2]],2,50)</f>
        <v/>
      </c>
    </row>
    <row r="13664" spans="9:9" x14ac:dyDescent="0.25">
      <c r="I13664" s="227" t="str">
        <f>MID(excPisCofins[[#This Row],[CodBarras2]],2,50)</f>
        <v/>
      </c>
    </row>
    <row r="13665" spans="9:9" x14ac:dyDescent="0.25">
      <c r="I13665" s="227" t="str">
        <f>MID(excPisCofins[[#This Row],[CodBarras2]],2,50)</f>
        <v/>
      </c>
    </row>
    <row r="13666" spans="9:9" x14ac:dyDescent="0.25">
      <c r="I13666" s="227" t="str">
        <f>MID(excPisCofins[[#This Row],[CodBarras2]],2,50)</f>
        <v/>
      </c>
    </row>
    <row r="13667" spans="9:9" x14ac:dyDescent="0.25">
      <c r="I13667" s="227" t="str">
        <f>MID(excPisCofins[[#This Row],[CodBarras2]],2,50)</f>
        <v/>
      </c>
    </row>
    <row r="13668" spans="9:9" x14ac:dyDescent="0.25">
      <c r="I13668" s="227" t="str">
        <f>MID(excPisCofins[[#This Row],[CodBarras2]],2,50)</f>
        <v/>
      </c>
    </row>
    <row r="13669" spans="9:9" x14ac:dyDescent="0.25">
      <c r="I13669" s="227" t="str">
        <f>MID(excPisCofins[[#This Row],[CodBarras2]],2,50)</f>
        <v/>
      </c>
    </row>
    <row r="13670" spans="9:9" x14ac:dyDescent="0.25">
      <c r="I13670" s="227" t="str">
        <f>MID(excPisCofins[[#This Row],[CodBarras2]],2,50)</f>
        <v/>
      </c>
    </row>
    <row r="13671" spans="9:9" x14ac:dyDescent="0.25">
      <c r="I13671" s="227" t="str">
        <f>MID(excPisCofins[[#This Row],[CodBarras2]],2,50)</f>
        <v/>
      </c>
    </row>
    <row r="13672" spans="9:9" x14ac:dyDescent="0.25">
      <c r="I13672" s="227" t="str">
        <f>MID(excPisCofins[[#This Row],[CodBarras2]],2,50)</f>
        <v/>
      </c>
    </row>
    <row r="13673" spans="9:9" x14ac:dyDescent="0.25">
      <c r="I13673" s="227" t="str">
        <f>MID(excPisCofins[[#This Row],[CodBarras2]],2,50)</f>
        <v/>
      </c>
    </row>
    <row r="13674" spans="9:9" x14ac:dyDescent="0.25">
      <c r="I13674" s="227" t="str">
        <f>MID(excPisCofins[[#This Row],[CodBarras2]],2,50)</f>
        <v/>
      </c>
    </row>
    <row r="13675" spans="9:9" x14ac:dyDescent="0.25">
      <c r="I13675" s="227" t="str">
        <f>MID(excPisCofins[[#This Row],[CodBarras2]],2,50)</f>
        <v/>
      </c>
    </row>
    <row r="13676" spans="9:9" x14ac:dyDescent="0.25">
      <c r="I13676" s="227" t="str">
        <f>MID(excPisCofins[[#This Row],[CodBarras2]],2,50)</f>
        <v/>
      </c>
    </row>
    <row r="13677" spans="9:9" x14ac:dyDescent="0.25">
      <c r="I13677" s="227" t="str">
        <f>MID(excPisCofins[[#This Row],[CodBarras2]],2,50)</f>
        <v/>
      </c>
    </row>
    <row r="13678" spans="9:9" x14ac:dyDescent="0.25">
      <c r="I13678" s="227" t="str">
        <f>MID(excPisCofins[[#This Row],[CodBarras2]],2,50)</f>
        <v/>
      </c>
    </row>
    <row r="13679" spans="9:9" x14ac:dyDescent="0.25">
      <c r="I13679" s="227" t="str">
        <f>MID(excPisCofins[[#This Row],[CodBarras2]],2,50)</f>
        <v/>
      </c>
    </row>
    <row r="13680" spans="9:9" x14ac:dyDescent="0.25">
      <c r="I13680" s="227" t="str">
        <f>MID(excPisCofins[[#This Row],[CodBarras2]],2,50)</f>
        <v/>
      </c>
    </row>
    <row r="13681" spans="9:9" x14ac:dyDescent="0.25">
      <c r="I13681" s="227" t="str">
        <f>MID(excPisCofins[[#This Row],[CodBarras2]],2,50)</f>
        <v/>
      </c>
    </row>
    <row r="13682" spans="9:9" x14ac:dyDescent="0.25">
      <c r="I13682" s="227" t="str">
        <f>MID(excPisCofins[[#This Row],[CodBarras2]],2,50)</f>
        <v/>
      </c>
    </row>
    <row r="13683" spans="9:9" x14ac:dyDescent="0.25">
      <c r="I13683" s="227" t="str">
        <f>MID(excPisCofins[[#This Row],[CodBarras2]],2,50)</f>
        <v/>
      </c>
    </row>
    <row r="13684" spans="9:9" x14ac:dyDescent="0.25">
      <c r="I13684" s="227" t="str">
        <f>MID(excPisCofins[[#This Row],[CodBarras2]],2,50)</f>
        <v/>
      </c>
    </row>
    <row r="13685" spans="9:9" x14ac:dyDescent="0.25">
      <c r="I13685" s="227" t="str">
        <f>MID(excPisCofins[[#This Row],[CodBarras2]],2,50)</f>
        <v/>
      </c>
    </row>
    <row r="13686" spans="9:9" x14ac:dyDescent="0.25">
      <c r="I13686" s="227" t="str">
        <f>MID(excPisCofins[[#This Row],[CodBarras2]],2,50)</f>
        <v/>
      </c>
    </row>
    <row r="13687" spans="9:9" x14ac:dyDescent="0.25">
      <c r="I13687" s="227" t="str">
        <f>MID(excPisCofins[[#This Row],[CodBarras2]],2,50)</f>
        <v/>
      </c>
    </row>
    <row r="13688" spans="9:9" x14ac:dyDescent="0.25">
      <c r="I13688" s="227" t="str">
        <f>MID(excPisCofins[[#This Row],[CodBarras2]],2,50)</f>
        <v/>
      </c>
    </row>
    <row r="13689" spans="9:9" x14ac:dyDescent="0.25">
      <c r="I13689" s="227" t="str">
        <f>MID(excPisCofins[[#This Row],[CodBarras2]],2,50)</f>
        <v/>
      </c>
    </row>
    <row r="13690" spans="9:9" x14ac:dyDescent="0.25">
      <c r="I13690" s="227" t="str">
        <f>MID(excPisCofins[[#This Row],[CodBarras2]],2,50)</f>
        <v/>
      </c>
    </row>
    <row r="13691" spans="9:9" x14ac:dyDescent="0.25">
      <c r="I13691" s="227" t="str">
        <f>MID(excPisCofins[[#This Row],[CodBarras2]],2,50)</f>
        <v/>
      </c>
    </row>
    <row r="13692" spans="9:9" x14ac:dyDescent="0.25">
      <c r="I13692" s="227" t="str">
        <f>MID(excPisCofins[[#This Row],[CodBarras2]],2,50)</f>
        <v/>
      </c>
    </row>
    <row r="13693" spans="9:9" x14ac:dyDescent="0.25">
      <c r="I13693" s="227" t="str">
        <f>MID(excPisCofins[[#This Row],[CodBarras2]],2,50)</f>
        <v/>
      </c>
    </row>
    <row r="13694" spans="9:9" x14ac:dyDescent="0.25">
      <c r="I13694" s="227" t="str">
        <f>MID(excPisCofins[[#This Row],[CodBarras2]],2,50)</f>
        <v/>
      </c>
    </row>
    <row r="13695" spans="9:9" x14ac:dyDescent="0.25">
      <c r="I13695" s="227" t="str">
        <f>MID(excPisCofins[[#This Row],[CodBarras2]],2,50)</f>
        <v/>
      </c>
    </row>
    <row r="13696" spans="9:9" x14ac:dyDescent="0.25">
      <c r="I13696" s="227" t="str">
        <f>MID(excPisCofins[[#This Row],[CodBarras2]],2,50)</f>
        <v/>
      </c>
    </row>
    <row r="13697" spans="9:9" x14ac:dyDescent="0.25">
      <c r="I13697" s="227" t="str">
        <f>MID(excPisCofins[[#This Row],[CodBarras2]],2,50)</f>
        <v/>
      </c>
    </row>
    <row r="13698" spans="9:9" x14ac:dyDescent="0.25">
      <c r="I13698" s="227" t="str">
        <f>MID(excPisCofins[[#This Row],[CodBarras2]],2,50)</f>
        <v/>
      </c>
    </row>
    <row r="13699" spans="9:9" x14ac:dyDescent="0.25">
      <c r="I13699" s="227" t="str">
        <f>MID(excPisCofins[[#This Row],[CodBarras2]],2,50)</f>
        <v/>
      </c>
    </row>
    <row r="13700" spans="9:9" x14ac:dyDescent="0.25">
      <c r="I13700" s="227" t="str">
        <f>MID(excPisCofins[[#This Row],[CodBarras2]],2,50)</f>
        <v/>
      </c>
    </row>
    <row r="13701" spans="9:9" x14ac:dyDescent="0.25">
      <c r="I13701" s="227" t="str">
        <f>MID(excPisCofins[[#This Row],[CodBarras2]],2,50)</f>
        <v/>
      </c>
    </row>
    <row r="13702" spans="9:9" x14ac:dyDescent="0.25">
      <c r="I13702" s="227" t="str">
        <f>MID(excPisCofins[[#This Row],[CodBarras2]],2,50)</f>
        <v/>
      </c>
    </row>
    <row r="13703" spans="9:9" x14ac:dyDescent="0.25">
      <c r="I13703" s="227" t="str">
        <f>MID(excPisCofins[[#This Row],[CodBarras2]],2,50)</f>
        <v/>
      </c>
    </row>
    <row r="13704" spans="9:9" x14ac:dyDescent="0.25">
      <c r="I13704" s="227" t="str">
        <f>MID(excPisCofins[[#This Row],[CodBarras2]],2,50)</f>
        <v/>
      </c>
    </row>
    <row r="13705" spans="9:9" x14ac:dyDescent="0.25">
      <c r="I13705" s="227" t="str">
        <f>MID(excPisCofins[[#This Row],[CodBarras2]],2,50)</f>
        <v/>
      </c>
    </row>
    <row r="13706" spans="9:9" x14ac:dyDescent="0.25">
      <c r="I13706" s="227" t="str">
        <f>MID(excPisCofins[[#This Row],[CodBarras2]],2,50)</f>
        <v/>
      </c>
    </row>
    <row r="13707" spans="9:9" x14ac:dyDescent="0.25">
      <c r="I13707" s="227" t="str">
        <f>MID(excPisCofins[[#This Row],[CodBarras2]],2,50)</f>
        <v/>
      </c>
    </row>
    <row r="13708" spans="9:9" x14ac:dyDescent="0.25">
      <c r="I13708" s="227" t="str">
        <f>MID(excPisCofins[[#This Row],[CodBarras2]],2,50)</f>
        <v/>
      </c>
    </row>
    <row r="13709" spans="9:9" x14ac:dyDescent="0.25">
      <c r="I13709" s="227" t="str">
        <f>MID(excPisCofins[[#This Row],[CodBarras2]],2,50)</f>
        <v/>
      </c>
    </row>
    <row r="13710" spans="9:9" x14ac:dyDescent="0.25">
      <c r="I13710" s="227" t="str">
        <f>MID(excPisCofins[[#This Row],[CodBarras2]],2,50)</f>
        <v/>
      </c>
    </row>
    <row r="13711" spans="9:9" x14ac:dyDescent="0.25">
      <c r="I13711" s="227" t="str">
        <f>MID(excPisCofins[[#This Row],[CodBarras2]],2,50)</f>
        <v/>
      </c>
    </row>
    <row r="13712" spans="9:9" x14ac:dyDescent="0.25">
      <c r="I13712" s="227" t="str">
        <f>MID(excPisCofins[[#This Row],[CodBarras2]],2,50)</f>
        <v/>
      </c>
    </row>
    <row r="13713" spans="9:9" x14ac:dyDescent="0.25">
      <c r="I13713" s="227" t="str">
        <f>MID(excPisCofins[[#This Row],[CodBarras2]],2,50)</f>
        <v/>
      </c>
    </row>
    <row r="13714" spans="9:9" x14ac:dyDescent="0.25">
      <c r="I13714" s="227" t="str">
        <f>MID(excPisCofins[[#This Row],[CodBarras2]],2,50)</f>
        <v/>
      </c>
    </row>
    <row r="13715" spans="9:9" x14ac:dyDescent="0.25">
      <c r="I13715" s="227" t="str">
        <f>MID(excPisCofins[[#This Row],[CodBarras2]],2,50)</f>
        <v/>
      </c>
    </row>
    <row r="13716" spans="9:9" x14ac:dyDescent="0.25">
      <c r="I13716" s="227" t="str">
        <f>MID(excPisCofins[[#This Row],[CodBarras2]],2,50)</f>
        <v/>
      </c>
    </row>
    <row r="13717" spans="9:9" x14ac:dyDescent="0.25">
      <c r="I13717" s="227" t="str">
        <f>MID(excPisCofins[[#This Row],[CodBarras2]],2,50)</f>
        <v/>
      </c>
    </row>
    <row r="13718" spans="9:9" x14ac:dyDescent="0.25">
      <c r="I13718" s="227" t="str">
        <f>MID(excPisCofins[[#This Row],[CodBarras2]],2,50)</f>
        <v/>
      </c>
    </row>
    <row r="13719" spans="9:9" x14ac:dyDescent="0.25">
      <c r="I13719" s="227" t="str">
        <f>MID(excPisCofins[[#This Row],[CodBarras2]],2,50)</f>
        <v/>
      </c>
    </row>
    <row r="13720" spans="9:9" x14ac:dyDescent="0.25">
      <c r="I13720" s="227" t="str">
        <f>MID(excPisCofins[[#This Row],[CodBarras2]],2,50)</f>
        <v/>
      </c>
    </row>
    <row r="13721" spans="9:9" x14ac:dyDescent="0.25">
      <c r="I13721" s="227" t="str">
        <f>MID(excPisCofins[[#This Row],[CodBarras2]],2,50)</f>
        <v/>
      </c>
    </row>
    <row r="13722" spans="9:9" x14ac:dyDescent="0.25">
      <c r="I13722" s="227" t="str">
        <f>MID(excPisCofins[[#This Row],[CodBarras2]],2,50)</f>
        <v/>
      </c>
    </row>
    <row r="13723" spans="9:9" x14ac:dyDescent="0.25">
      <c r="I13723" s="227" t="str">
        <f>MID(excPisCofins[[#This Row],[CodBarras2]],2,50)</f>
        <v/>
      </c>
    </row>
    <row r="13724" spans="9:9" x14ac:dyDescent="0.25">
      <c r="I13724" s="227" t="str">
        <f>MID(excPisCofins[[#This Row],[CodBarras2]],2,50)</f>
        <v/>
      </c>
    </row>
    <row r="13725" spans="9:9" x14ac:dyDescent="0.25">
      <c r="I13725" s="227" t="str">
        <f>MID(excPisCofins[[#This Row],[CodBarras2]],2,50)</f>
        <v/>
      </c>
    </row>
    <row r="13726" spans="9:9" x14ac:dyDescent="0.25">
      <c r="I13726" s="227" t="str">
        <f>MID(excPisCofins[[#This Row],[CodBarras2]],2,50)</f>
        <v/>
      </c>
    </row>
    <row r="13727" spans="9:9" x14ac:dyDescent="0.25">
      <c r="I13727" s="227" t="str">
        <f>MID(excPisCofins[[#This Row],[CodBarras2]],2,50)</f>
        <v/>
      </c>
    </row>
    <row r="13728" spans="9:9" x14ac:dyDescent="0.25">
      <c r="I13728" s="227" t="str">
        <f>MID(excPisCofins[[#This Row],[CodBarras2]],2,50)</f>
        <v/>
      </c>
    </row>
    <row r="13729" spans="9:9" x14ac:dyDescent="0.25">
      <c r="I13729" s="227" t="str">
        <f>MID(excPisCofins[[#This Row],[CodBarras2]],2,50)</f>
        <v/>
      </c>
    </row>
    <row r="13730" spans="9:9" x14ac:dyDescent="0.25">
      <c r="I13730" s="227" t="str">
        <f>MID(excPisCofins[[#This Row],[CodBarras2]],2,50)</f>
        <v/>
      </c>
    </row>
    <row r="13731" spans="9:9" x14ac:dyDescent="0.25">
      <c r="I13731" s="227" t="str">
        <f>MID(excPisCofins[[#This Row],[CodBarras2]],2,50)</f>
        <v/>
      </c>
    </row>
    <row r="13732" spans="9:9" x14ac:dyDescent="0.25">
      <c r="I13732" s="227" t="str">
        <f>MID(excPisCofins[[#This Row],[CodBarras2]],2,50)</f>
        <v/>
      </c>
    </row>
    <row r="13733" spans="9:9" x14ac:dyDescent="0.25">
      <c r="I13733" s="227" t="str">
        <f>MID(excPisCofins[[#This Row],[CodBarras2]],2,50)</f>
        <v/>
      </c>
    </row>
    <row r="13734" spans="9:9" x14ac:dyDescent="0.25">
      <c r="I13734" s="227" t="str">
        <f>MID(excPisCofins[[#This Row],[CodBarras2]],2,50)</f>
        <v/>
      </c>
    </row>
    <row r="13735" spans="9:9" x14ac:dyDescent="0.25">
      <c r="I13735" s="227" t="str">
        <f>MID(excPisCofins[[#This Row],[CodBarras2]],2,50)</f>
        <v/>
      </c>
    </row>
    <row r="13736" spans="9:9" x14ac:dyDescent="0.25">
      <c r="I13736" s="227" t="str">
        <f>MID(excPisCofins[[#This Row],[CodBarras2]],2,50)</f>
        <v/>
      </c>
    </row>
    <row r="13737" spans="9:9" x14ac:dyDescent="0.25">
      <c r="I13737" s="227" t="str">
        <f>MID(excPisCofins[[#This Row],[CodBarras2]],2,50)</f>
        <v/>
      </c>
    </row>
    <row r="13738" spans="9:9" x14ac:dyDescent="0.25">
      <c r="I13738" s="227" t="str">
        <f>MID(excPisCofins[[#This Row],[CodBarras2]],2,50)</f>
        <v/>
      </c>
    </row>
    <row r="13739" spans="9:9" x14ac:dyDescent="0.25">
      <c r="I13739" s="227" t="str">
        <f>MID(excPisCofins[[#This Row],[CodBarras2]],2,50)</f>
        <v/>
      </c>
    </row>
    <row r="13740" spans="9:9" x14ac:dyDescent="0.25">
      <c r="I13740" s="227" t="str">
        <f>MID(excPisCofins[[#This Row],[CodBarras2]],2,50)</f>
        <v/>
      </c>
    </row>
    <row r="13741" spans="9:9" x14ac:dyDescent="0.25">
      <c r="I13741" s="227" t="str">
        <f>MID(excPisCofins[[#This Row],[CodBarras2]],2,50)</f>
        <v/>
      </c>
    </row>
    <row r="13742" spans="9:9" x14ac:dyDescent="0.25">
      <c r="I13742" s="227" t="str">
        <f>MID(excPisCofins[[#This Row],[CodBarras2]],2,50)</f>
        <v/>
      </c>
    </row>
    <row r="13743" spans="9:9" x14ac:dyDescent="0.25">
      <c r="I13743" s="227" t="str">
        <f>MID(excPisCofins[[#This Row],[CodBarras2]],2,50)</f>
        <v/>
      </c>
    </row>
    <row r="13744" spans="9:9" x14ac:dyDescent="0.25">
      <c r="I13744" s="227" t="str">
        <f>MID(excPisCofins[[#This Row],[CodBarras2]],2,50)</f>
        <v/>
      </c>
    </row>
    <row r="13745" spans="9:9" x14ac:dyDescent="0.25">
      <c r="I13745" s="227" t="str">
        <f>MID(excPisCofins[[#This Row],[CodBarras2]],2,50)</f>
        <v/>
      </c>
    </row>
    <row r="13746" spans="9:9" x14ac:dyDescent="0.25">
      <c r="I13746" s="227" t="str">
        <f>MID(excPisCofins[[#This Row],[CodBarras2]],2,50)</f>
        <v/>
      </c>
    </row>
    <row r="13747" spans="9:9" x14ac:dyDescent="0.25">
      <c r="I13747" s="227" t="str">
        <f>MID(excPisCofins[[#This Row],[CodBarras2]],2,50)</f>
        <v/>
      </c>
    </row>
    <row r="13748" spans="9:9" x14ac:dyDescent="0.25">
      <c r="I13748" s="227" t="str">
        <f>MID(excPisCofins[[#This Row],[CodBarras2]],2,50)</f>
        <v/>
      </c>
    </row>
    <row r="13749" spans="9:9" x14ac:dyDescent="0.25">
      <c r="I13749" s="227" t="str">
        <f>MID(excPisCofins[[#This Row],[CodBarras2]],2,50)</f>
        <v/>
      </c>
    </row>
    <row r="13750" spans="9:9" x14ac:dyDescent="0.25">
      <c r="I13750" s="227" t="str">
        <f>MID(excPisCofins[[#This Row],[CodBarras2]],2,50)</f>
        <v/>
      </c>
    </row>
    <row r="13751" spans="9:9" x14ac:dyDescent="0.25">
      <c r="I13751" s="227" t="str">
        <f>MID(excPisCofins[[#This Row],[CodBarras2]],2,50)</f>
        <v/>
      </c>
    </row>
    <row r="13752" spans="9:9" x14ac:dyDescent="0.25">
      <c r="I13752" s="227" t="str">
        <f>MID(excPisCofins[[#This Row],[CodBarras2]],2,50)</f>
        <v/>
      </c>
    </row>
    <row r="13753" spans="9:9" x14ac:dyDescent="0.25">
      <c r="I13753" s="227" t="str">
        <f>MID(excPisCofins[[#This Row],[CodBarras2]],2,50)</f>
        <v/>
      </c>
    </row>
    <row r="13754" spans="9:9" x14ac:dyDescent="0.25">
      <c r="I13754" s="227" t="str">
        <f>MID(excPisCofins[[#This Row],[CodBarras2]],2,50)</f>
        <v/>
      </c>
    </row>
    <row r="13755" spans="9:9" x14ac:dyDescent="0.25">
      <c r="I13755" s="227" t="str">
        <f>MID(excPisCofins[[#This Row],[CodBarras2]],2,50)</f>
        <v/>
      </c>
    </row>
    <row r="13756" spans="9:9" x14ac:dyDescent="0.25">
      <c r="I13756" s="227" t="str">
        <f>MID(excPisCofins[[#This Row],[CodBarras2]],2,50)</f>
        <v/>
      </c>
    </row>
    <row r="13757" spans="9:9" x14ac:dyDescent="0.25">
      <c r="I13757" s="227" t="str">
        <f>MID(excPisCofins[[#This Row],[CodBarras2]],2,50)</f>
        <v/>
      </c>
    </row>
    <row r="13758" spans="9:9" x14ac:dyDescent="0.25">
      <c r="I13758" s="227" t="str">
        <f>MID(excPisCofins[[#This Row],[CodBarras2]],2,50)</f>
        <v/>
      </c>
    </row>
    <row r="13759" spans="9:9" x14ac:dyDescent="0.25">
      <c r="I13759" s="227" t="str">
        <f>MID(excPisCofins[[#This Row],[CodBarras2]],2,50)</f>
        <v/>
      </c>
    </row>
    <row r="13760" spans="9:9" x14ac:dyDescent="0.25">
      <c r="I13760" s="227" t="str">
        <f>MID(excPisCofins[[#This Row],[CodBarras2]],2,50)</f>
        <v/>
      </c>
    </row>
    <row r="13761" spans="9:9" x14ac:dyDescent="0.25">
      <c r="I13761" s="227" t="str">
        <f>MID(excPisCofins[[#This Row],[CodBarras2]],2,50)</f>
        <v/>
      </c>
    </row>
    <row r="13762" spans="9:9" x14ac:dyDescent="0.25">
      <c r="I13762" s="227" t="str">
        <f>MID(excPisCofins[[#This Row],[CodBarras2]],2,50)</f>
        <v/>
      </c>
    </row>
    <row r="13763" spans="9:9" x14ac:dyDescent="0.25">
      <c r="I13763" s="227" t="str">
        <f>MID(excPisCofins[[#This Row],[CodBarras2]],2,50)</f>
        <v/>
      </c>
    </row>
    <row r="13764" spans="9:9" x14ac:dyDescent="0.25">
      <c r="I13764" s="227" t="str">
        <f>MID(excPisCofins[[#This Row],[CodBarras2]],2,50)</f>
        <v/>
      </c>
    </row>
    <row r="13765" spans="9:9" x14ac:dyDescent="0.25">
      <c r="I13765" s="227" t="str">
        <f>MID(excPisCofins[[#This Row],[CodBarras2]],2,50)</f>
        <v/>
      </c>
    </row>
    <row r="13766" spans="9:9" x14ac:dyDescent="0.25">
      <c r="I13766" s="227" t="str">
        <f>MID(excPisCofins[[#This Row],[CodBarras2]],2,50)</f>
        <v/>
      </c>
    </row>
    <row r="13767" spans="9:9" x14ac:dyDescent="0.25">
      <c r="I13767" s="227" t="str">
        <f>MID(excPisCofins[[#This Row],[CodBarras2]],2,50)</f>
        <v/>
      </c>
    </row>
    <row r="13768" spans="9:9" x14ac:dyDescent="0.25">
      <c r="I13768" s="227" t="str">
        <f>MID(excPisCofins[[#This Row],[CodBarras2]],2,50)</f>
        <v/>
      </c>
    </row>
    <row r="13769" spans="9:9" x14ac:dyDescent="0.25">
      <c r="I13769" s="227" t="str">
        <f>MID(excPisCofins[[#This Row],[CodBarras2]],2,50)</f>
        <v/>
      </c>
    </row>
    <row r="13770" spans="9:9" x14ac:dyDescent="0.25">
      <c r="I13770" s="227" t="str">
        <f>MID(excPisCofins[[#This Row],[CodBarras2]],2,50)</f>
        <v/>
      </c>
    </row>
    <row r="13771" spans="9:9" x14ac:dyDescent="0.25">
      <c r="I13771" s="227" t="str">
        <f>MID(excPisCofins[[#This Row],[CodBarras2]],2,50)</f>
        <v/>
      </c>
    </row>
    <row r="13772" spans="9:9" x14ac:dyDescent="0.25">
      <c r="I13772" s="227" t="str">
        <f>MID(excPisCofins[[#This Row],[CodBarras2]],2,50)</f>
        <v/>
      </c>
    </row>
    <row r="13773" spans="9:9" x14ac:dyDescent="0.25">
      <c r="I13773" s="227" t="str">
        <f>MID(excPisCofins[[#This Row],[CodBarras2]],2,50)</f>
        <v/>
      </c>
    </row>
    <row r="13774" spans="9:9" x14ac:dyDescent="0.25">
      <c r="I13774" s="227" t="str">
        <f>MID(excPisCofins[[#This Row],[CodBarras2]],2,50)</f>
        <v/>
      </c>
    </row>
    <row r="13775" spans="9:9" x14ac:dyDescent="0.25">
      <c r="I13775" s="227" t="str">
        <f>MID(excPisCofins[[#This Row],[CodBarras2]],2,50)</f>
        <v/>
      </c>
    </row>
    <row r="13776" spans="9:9" x14ac:dyDescent="0.25">
      <c r="I13776" s="227" t="str">
        <f>MID(excPisCofins[[#This Row],[CodBarras2]],2,50)</f>
        <v/>
      </c>
    </row>
    <row r="13777" spans="9:9" x14ac:dyDescent="0.25">
      <c r="I13777" s="227" t="str">
        <f>MID(excPisCofins[[#This Row],[CodBarras2]],2,50)</f>
        <v/>
      </c>
    </row>
    <row r="13778" spans="9:9" x14ac:dyDescent="0.25">
      <c r="I13778" s="227" t="str">
        <f>MID(excPisCofins[[#This Row],[CodBarras2]],2,50)</f>
        <v/>
      </c>
    </row>
    <row r="13779" spans="9:9" x14ac:dyDescent="0.25">
      <c r="I13779" s="227" t="str">
        <f>MID(excPisCofins[[#This Row],[CodBarras2]],2,50)</f>
        <v/>
      </c>
    </row>
    <row r="13780" spans="9:9" x14ac:dyDescent="0.25">
      <c r="I13780" s="227" t="str">
        <f>MID(excPisCofins[[#This Row],[CodBarras2]],2,50)</f>
        <v/>
      </c>
    </row>
    <row r="13781" spans="9:9" x14ac:dyDescent="0.25">
      <c r="I13781" s="227" t="str">
        <f>MID(excPisCofins[[#This Row],[CodBarras2]],2,50)</f>
        <v/>
      </c>
    </row>
    <row r="13782" spans="9:9" x14ac:dyDescent="0.25">
      <c r="I13782" s="227" t="str">
        <f>MID(excPisCofins[[#This Row],[CodBarras2]],2,50)</f>
        <v/>
      </c>
    </row>
    <row r="13783" spans="9:9" x14ac:dyDescent="0.25">
      <c r="I13783" s="227" t="str">
        <f>MID(excPisCofins[[#This Row],[CodBarras2]],2,50)</f>
        <v/>
      </c>
    </row>
    <row r="13784" spans="9:9" x14ac:dyDescent="0.25">
      <c r="I13784" s="227" t="str">
        <f>MID(excPisCofins[[#This Row],[CodBarras2]],2,50)</f>
        <v/>
      </c>
    </row>
    <row r="13785" spans="9:9" x14ac:dyDescent="0.25">
      <c r="I13785" s="227" t="str">
        <f>MID(excPisCofins[[#This Row],[CodBarras2]],2,50)</f>
        <v/>
      </c>
    </row>
    <row r="13786" spans="9:9" x14ac:dyDescent="0.25">
      <c r="I13786" s="227" t="str">
        <f>MID(excPisCofins[[#This Row],[CodBarras2]],2,50)</f>
        <v/>
      </c>
    </row>
    <row r="13787" spans="9:9" x14ac:dyDescent="0.25">
      <c r="I13787" s="227" t="str">
        <f>MID(excPisCofins[[#This Row],[CodBarras2]],2,50)</f>
        <v/>
      </c>
    </row>
    <row r="13788" spans="9:9" x14ac:dyDescent="0.25">
      <c r="I13788" s="227" t="str">
        <f>MID(excPisCofins[[#This Row],[CodBarras2]],2,50)</f>
        <v/>
      </c>
    </row>
    <row r="13789" spans="9:9" x14ac:dyDescent="0.25">
      <c r="I13789" s="227" t="str">
        <f>MID(excPisCofins[[#This Row],[CodBarras2]],2,50)</f>
        <v/>
      </c>
    </row>
    <row r="13790" spans="9:9" x14ac:dyDescent="0.25">
      <c r="I13790" s="227" t="str">
        <f>MID(excPisCofins[[#This Row],[CodBarras2]],2,50)</f>
        <v/>
      </c>
    </row>
    <row r="13791" spans="9:9" x14ac:dyDescent="0.25">
      <c r="I13791" s="227" t="str">
        <f>MID(excPisCofins[[#This Row],[CodBarras2]],2,50)</f>
        <v/>
      </c>
    </row>
    <row r="13792" spans="9:9" x14ac:dyDescent="0.25">
      <c r="I13792" s="227" t="str">
        <f>MID(excPisCofins[[#This Row],[CodBarras2]],2,50)</f>
        <v/>
      </c>
    </row>
    <row r="13793" spans="9:9" x14ac:dyDescent="0.25">
      <c r="I13793" s="227" t="str">
        <f>MID(excPisCofins[[#This Row],[CodBarras2]],2,50)</f>
        <v/>
      </c>
    </row>
    <row r="13794" spans="9:9" x14ac:dyDescent="0.25">
      <c r="I13794" s="227" t="str">
        <f>MID(excPisCofins[[#This Row],[CodBarras2]],2,50)</f>
        <v/>
      </c>
    </row>
    <row r="13795" spans="9:9" x14ac:dyDescent="0.25">
      <c r="I13795" s="227" t="str">
        <f>MID(excPisCofins[[#This Row],[CodBarras2]],2,50)</f>
        <v/>
      </c>
    </row>
    <row r="13796" spans="9:9" x14ac:dyDescent="0.25">
      <c r="I13796" s="227" t="str">
        <f>MID(excPisCofins[[#This Row],[CodBarras2]],2,50)</f>
        <v/>
      </c>
    </row>
    <row r="13797" spans="9:9" x14ac:dyDescent="0.25">
      <c r="I13797" s="227" t="str">
        <f>MID(excPisCofins[[#This Row],[CodBarras2]],2,50)</f>
        <v/>
      </c>
    </row>
    <row r="13798" spans="9:9" x14ac:dyDescent="0.25">
      <c r="I13798" s="227" t="str">
        <f>MID(excPisCofins[[#This Row],[CodBarras2]],2,50)</f>
        <v/>
      </c>
    </row>
    <row r="13799" spans="9:9" x14ac:dyDescent="0.25">
      <c r="I13799" s="227" t="str">
        <f>MID(excPisCofins[[#This Row],[CodBarras2]],2,50)</f>
        <v/>
      </c>
    </row>
    <row r="13800" spans="9:9" x14ac:dyDescent="0.25">
      <c r="I13800" s="227" t="str">
        <f>MID(excPisCofins[[#This Row],[CodBarras2]],2,50)</f>
        <v/>
      </c>
    </row>
    <row r="13801" spans="9:9" x14ac:dyDescent="0.25">
      <c r="I13801" s="227" t="str">
        <f>MID(excPisCofins[[#This Row],[CodBarras2]],2,50)</f>
        <v/>
      </c>
    </row>
    <row r="13802" spans="9:9" x14ac:dyDescent="0.25">
      <c r="I13802" s="227" t="str">
        <f>MID(excPisCofins[[#This Row],[CodBarras2]],2,50)</f>
        <v/>
      </c>
    </row>
    <row r="13803" spans="9:9" x14ac:dyDescent="0.25">
      <c r="I13803" s="227" t="str">
        <f>MID(excPisCofins[[#This Row],[CodBarras2]],2,50)</f>
        <v/>
      </c>
    </row>
    <row r="13804" spans="9:9" x14ac:dyDescent="0.25">
      <c r="I13804" s="227" t="str">
        <f>MID(excPisCofins[[#This Row],[CodBarras2]],2,50)</f>
        <v/>
      </c>
    </row>
    <row r="13805" spans="9:9" x14ac:dyDescent="0.25">
      <c r="I13805" s="227" t="str">
        <f>MID(excPisCofins[[#This Row],[CodBarras2]],2,50)</f>
        <v/>
      </c>
    </row>
    <row r="13806" spans="9:9" x14ac:dyDescent="0.25">
      <c r="I13806" s="227" t="str">
        <f>MID(excPisCofins[[#This Row],[CodBarras2]],2,50)</f>
        <v/>
      </c>
    </row>
    <row r="13807" spans="9:9" x14ac:dyDescent="0.25">
      <c r="I13807" s="227" t="str">
        <f>MID(excPisCofins[[#This Row],[CodBarras2]],2,50)</f>
        <v/>
      </c>
    </row>
    <row r="13808" spans="9:9" x14ac:dyDescent="0.25">
      <c r="I13808" s="227" t="str">
        <f>MID(excPisCofins[[#This Row],[CodBarras2]],2,50)</f>
        <v/>
      </c>
    </row>
    <row r="13809" spans="9:9" x14ac:dyDescent="0.25">
      <c r="I13809" s="227" t="str">
        <f>MID(excPisCofins[[#This Row],[CodBarras2]],2,50)</f>
        <v/>
      </c>
    </row>
    <row r="13810" spans="9:9" x14ac:dyDescent="0.25">
      <c r="I13810" s="227" t="str">
        <f>MID(excPisCofins[[#This Row],[CodBarras2]],2,50)</f>
        <v/>
      </c>
    </row>
    <row r="13811" spans="9:9" x14ac:dyDescent="0.25">
      <c r="I13811" s="227" t="str">
        <f>MID(excPisCofins[[#This Row],[CodBarras2]],2,50)</f>
        <v/>
      </c>
    </row>
    <row r="13812" spans="9:9" x14ac:dyDescent="0.25">
      <c r="I13812" s="227" t="str">
        <f>MID(excPisCofins[[#This Row],[CodBarras2]],2,50)</f>
        <v/>
      </c>
    </row>
    <row r="13813" spans="9:9" x14ac:dyDescent="0.25">
      <c r="I13813" s="227" t="str">
        <f>MID(excPisCofins[[#This Row],[CodBarras2]],2,50)</f>
        <v/>
      </c>
    </row>
    <row r="13814" spans="9:9" x14ac:dyDescent="0.25">
      <c r="I13814" s="227" t="str">
        <f>MID(excPisCofins[[#This Row],[CodBarras2]],2,50)</f>
        <v/>
      </c>
    </row>
    <row r="13815" spans="9:9" x14ac:dyDescent="0.25">
      <c r="I13815" s="227" t="str">
        <f>MID(excPisCofins[[#This Row],[CodBarras2]],2,50)</f>
        <v/>
      </c>
    </row>
    <row r="13816" spans="9:9" x14ac:dyDescent="0.25">
      <c r="I13816" s="227" t="str">
        <f>MID(excPisCofins[[#This Row],[CodBarras2]],2,50)</f>
        <v/>
      </c>
    </row>
    <row r="13817" spans="9:9" x14ac:dyDescent="0.25">
      <c r="I13817" s="227" t="str">
        <f>MID(excPisCofins[[#This Row],[CodBarras2]],2,50)</f>
        <v/>
      </c>
    </row>
    <row r="13818" spans="9:9" x14ac:dyDescent="0.25">
      <c r="I13818" s="227" t="str">
        <f>MID(excPisCofins[[#This Row],[CodBarras2]],2,50)</f>
        <v/>
      </c>
    </row>
    <row r="13819" spans="9:9" x14ac:dyDescent="0.25">
      <c r="I13819" s="227" t="str">
        <f>MID(excPisCofins[[#This Row],[CodBarras2]],2,50)</f>
        <v/>
      </c>
    </row>
    <row r="13820" spans="9:9" x14ac:dyDescent="0.25">
      <c r="I13820" s="227" t="str">
        <f>MID(excPisCofins[[#This Row],[CodBarras2]],2,50)</f>
        <v/>
      </c>
    </row>
    <row r="13821" spans="9:9" x14ac:dyDescent="0.25">
      <c r="I13821" s="227" t="str">
        <f>MID(excPisCofins[[#This Row],[CodBarras2]],2,50)</f>
        <v/>
      </c>
    </row>
    <row r="13822" spans="9:9" x14ac:dyDescent="0.25">
      <c r="I13822" s="227" t="str">
        <f>MID(excPisCofins[[#This Row],[CodBarras2]],2,50)</f>
        <v/>
      </c>
    </row>
    <row r="13823" spans="9:9" x14ac:dyDescent="0.25">
      <c r="I13823" s="227" t="str">
        <f>MID(excPisCofins[[#This Row],[CodBarras2]],2,50)</f>
        <v/>
      </c>
    </row>
    <row r="13824" spans="9:9" x14ac:dyDescent="0.25">
      <c r="I13824" s="227" t="str">
        <f>MID(excPisCofins[[#This Row],[CodBarras2]],2,50)</f>
        <v/>
      </c>
    </row>
    <row r="13825" spans="9:9" x14ac:dyDescent="0.25">
      <c r="I13825" s="227" t="str">
        <f>MID(excPisCofins[[#This Row],[CodBarras2]],2,50)</f>
        <v/>
      </c>
    </row>
    <row r="13826" spans="9:9" x14ac:dyDescent="0.25">
      <c r="I13826" s="227" t="str">
        <f>MID(excPisCofins[[#This Row],[CodBarras2]],2,50)</f>
        <v/>
      </c>
    </row>
    <row r="13827" spans="9:9" x14ac:dyDescent="0.25">
      <c r="I13827" s="227" t="str">
        <f>MID(excPisCofins[[#This Row],[CodBarras2]],2,50)</f>
        <v/>
      </c>
    </row>
    <row r="13828" spans="9:9" x14ac:dyDescent="0.25">
      <c r="I13828" s="227" t="str">
        <f>MID(excPisCofins[[#This Row],[CodBarras2]],2,50)</f>
        <v/>
      </c>
    </row>
    <row r="13829" spans="9:9" x14ac:dyDescent="0.25">
      <c r="I13829" s="227" t="str">
        <f>MID(excPisCofins[[#This Row],[CodBarras2]],2,50)</f>
        <v/>
      </c>
    </row>
    <row r="13830" spans="9:9" x14ac:dyDescent="0.25">
      <c r="I13830" s="227" t="str">
        <f>MID(excPisCofins[[#This Row],[CodBarras2]],2,50)</f>
        <v/>
      </c>
    </row>
    <row r="13831" spans="9:9" x14ac:dyDescent="0.25">
      <c r="I13831" s="227" t="str">
        <f>MID(excPisCofins[[#This Row],[CodBarras2]],2,50)</f>
        <v/>
      </c>
    </row>
    <row r="13832" spans="9:9" x14ac:dyDescent="0.25">
      <c r="I13832" s="227" t="str">
        <f>MID(excPisCofins[[#This Row],[CodBarras2]],2,50)</f>
        <v/>
      </c>
    </row>
    <row r="13833" spans="9:9" x14ac:dyDescent="0.25">
      <c r="I13833" s="227" t="str">
        <f>MID(excPisCofins[[#This Row],[CodBarras2]],2,50)</f>
        <v/>
      </c>
    </row>
    <row r="13834" spans="9:9" x14ac:dyDescent="0.25">
      <c r="I13834" s="227" t="str">
        <f>MID(excPisCofins[[#This Row],[CodBarras2]],2,50)</f>
        <v/>
      </c>
    </row>
    <row r="13835" spans="9:9" x14ac:dyDescent="0.25">
      <c r="I13835" s="227" t="str">
        <f>MID(excPisCofins[[#This Row],[CodBarras2]],2,50)</f>
        <v/>
      </c>
    </row>
    <row r="13836" spans="9:9" x14ac:dyDescent="0.25">
      <c r="I13836" s="227" t="str">
        <f>MID(excPisCofins[[#This Row],[CodBarras2]],2,50)</f>
        <v/>
      </c>
    </row>
    <row r="13837" spans="9:9" x14ac:dyDescent="0.25">
      <c r="I13837" s="227" t="str">
        <f>MID(excPisCofins[[#This Row],[CodBarras2]],2,50)</f>
        <v/>
      </c>
    </row>
    <row r="13838" spans="9:9" x14ac:dyDescent="0.25">
      <c r="I13838" s="227" t="str">
        <f>MID(excPisCofins[[#This Row],[CodBarras2]],2,50)</f>
        <v/>
      </c>
    </row>
    <row r="13839" spans="9:9" x14ac:dyDescent="0.25">
      <c r="I13839" s="227" t="str">
        <f>MID(excPisCofins[[#This Row],[CodBarras2]],2,50)</f>
        <v/>
      </c>
    </row>
    <row r="13840" spans="9:9" x14ac:dyDescent="0.25">
      <c r="I13840" s="227" t="str">
        <f>MID(excPisCofins[[#This Row],[CodBarras2]],2,50)</f>
        <v/>
      </c>
    </row>
    <row r="13841" spans="9:9" x14ac:dyDescent="0.25">
      <c r="I13841" s="227" t="str">
        <f>MID(excPisCofins[[#This Row],[CodBarras2]],2,50)</f>
        <v/>
      </c>
    </row>
    <row r="13842" spans="9:9" x14ac:dyDescent="0.25">
      <c r="I13842" s="227" t="str">
        <f>MID(excPisCofins[[#This Row],[CodBarras2]],2,50)</f>
        <v/>
      </c>
    </row>
    <row r="13843" spans="9:9" x14ac:dyDescent="0.25">
      <c r="I13843" s="227" t="str">
        <f>MID(excPisCofins[[#This Row],[CodBarras2]],2,50)</f>
        <v/>
      </c>
    </row>
    <row r="13844" spans="9:9" x14ac:dyDescent="0.25">
      <c r="I13844" s="227" t="str">
        <f>MID(excPisCofins[[#This Row],[CodBarras2]],2,50)</f>
        <v/>
      </c>
    </row>
    <row r="13845" spans="9:9" x14ac:dyDescent="0.25">
      <c r="I13845" s="227" t="str">
        <f>MID(excPisCofins[[#This Row],[CodBarras2]],2,50)</f>
        <v/>
      </c>
    </row>
    <row r="13846" spans="9:9" x14ac:dyDescent="0.25">
      <c r="I13846" s="227" t="str">
        <f>MID(excPisCofins[[#This Row],[CodBarras2]],2,50)</f>
        <v/>
      </c>
    </row>
    <row r="13847" spans="9:9" x14ac:dyDescent="0.25">
      <c r="I13847" s="227" t="str">
        <f>MID(excPisCofins[[#This Row],[CodBarras2]],2,50)</f>
        <v/>
      </c>
    </row>
    <row r="13848" spans="9:9" x14ac:dyDescent="0.25">
      <c r="I13848" s="227" t="str">
        <f>MID(excPisCofins[[#This Row],[CodBarras2]],2,50)</f>
        <v/>
      </c>
    </row>
    <row r="13849" spans="9:9" x14ac:dyDescent="0.25">
      <c r="I13849" s="227" t="str">
        <f>MID(excPisCofins[[#This Row],[CodBarras2]],2,50)</f>
        <v/>
      </c>
    </row>
    <row r="13850" spans="9:9" x14ac:dyDescent="0.25">
      <c r="I13850" s="227" t="str">
        <f>MID(excPisCofins[[#This Row],[CodBarras2]],2,50)</f>
        <v/>
      </c>
    </row>
    <row r="13851" spans="9:9" x14ac:dyDescent="0.25">
      <c r="I13851" s="227" t="str">
        <f>MID(excPisCofins[[#This Row],[CodBarras2]],2,50)</f>
        <v/>
      </c>
    </row>
    <row r="13852" spans="9:9" x14ac:dyDescent="0.25">
      <c r="I13852" s="227" t="str">
        <f>MID(excPisCofins[[#This Row],[CodBarras2]],2,50)</f>
        <v/>
      </c>
    </row>
    <row r="13853" spans="9:9" x14ac:dyDescent="0.25">
      <c r="I13853" s="227" t="str">
        <f>MID(excPisCofins[[#This Row],[CodBarras2]],2,50)</f>
        <v/>
      </c>
    </row>
    <row r="13854" spans="9:9" x14ac:dyDescent="0.25">
      <c r="I13854" s="227" t="str">
        <f>MID(excPisCofins[[#This Row],[CodBarras2]],2,50)</f>
        <v/>
      </c>
    </row>
    <row r="13855" spans="9:9" x14ac:dyDescent="0.25">
      <c r="I13855" s="227" t="str">
        <f>MID(excPisCofins[[#This Row],[CodBarras2]],2,50)</f>
        <v/>
      </c>
    </row>
    <row r="13856" spans="9:9" x14ac:dyDescent="0.25">
      <c r="I13856" s="227" t="str">
        <f>MID(excPisCofins[[#This Row],[CodBarras2]],2,50)</f>
        <v/>
      </c>
    </row>
    <row r="13857" spans="9:9" x14ac:dyDescent="0.25">
      <c r="I13857" s="227" t="str">
        <f>MID(excPisCofins[[#This Row],[CodBarras2]],2,50)</f>
        <v/>
      </c>
    </row>
    <row r="13858" spans="9:9" x14ac:dyDescent="0.25">
      <c r="I13858" s="227" t="str">
        <f>MID(excPisCofins[[#This Row],[CodBarras2]],2,50)</f>
        <v/>
      </c>
    </row>
    <row r="13859" spans="9:9" x14ac:dyDescent="0.25">
      <c r="I13859" s="227" t="str">
        <f>MID(excPisCofins[[#This Row],[CodBarras2]],2,50)</f>
        <v/>
      </c>
    </row>
    <row r="13860" spans="9:9" x14ac:dyDescent="0.25">
      <c r="I13860" s="227" t="str">
        <f>MID(excPisCofins[[#This Row],[CodBarras2]],2,50)</f>
        <v/>
      </c>
    </row>
    <row r="13861" spans="9:9" x14ac:dyDescent="0.25">
      <c r="I13861" s="227" t="str">
        <f>MID(excPisCofins[[#This Row],[CodBarras2]],2,50)</f>
        <v/>
      </c>
    </row>
    <row r="13862" spans="9:9" x14ac:dyDescent="0.25">
      <c r="I13862" s="227" t="str">
        <f>MID(excPisCofins[[#This Row],[CodBarras2]],2,50)</f>
        <v/>
      </c>
    </row>
    <row r="13863" spans="9:9" x14ac:dyDescent="0.25">
      <c r="I13863" s="227" t="str">
        <f>MID(excPisCofins[[#This Row],[CodBarras2]],2,50)</f>
        <v/>
      </c>
    </row>
    <row r="13864" spans="9:9" x14ac:dyDescent="0.25">
      <c r="I13864" s="227" t="str">
        <f>MID(excPisCofins[[#This Row],[CodBarras2]],2,50)</f>
        <v/>
      </c>
    </row>
    <row r="13865" spans="9:9" x14ac:dyDescent="0.25">
      <c r="I13865" s="227" t="str">
        <f>MID(excPisCofins[[#This Row],[CodBarras2]],2,50)</f>
        <v/>
      </c>
    </row>
    <row r="13866" spans="9:9" x14ac:dyDescent="0.25">
      <c r="I13866" s="227" t="str">
        <f>MID(excPisCofins[[#This Row],[CodBarras2]],2,50)</f>
        <v/>
      </c>
    </row>
    <row r="13867" spans="9:9" x14ac:dyDescent="0.25">
      <c r="I13867" s="227" t="str">
        <f>MID(excPisCofins[[#This Row],[CodBarras2]],2,50)</f>
        <v/>
      </c>
    </row>
    <row r="13868" spans="9:9" x14ac:dyDescent="0.25">
      <c r="I13868" s="227" t="str">
        <f>MID(excPisCofins[[#This Row],[CodBarras2]],2,50)</f>
        <v/>
      </c>
    </row>
    <row r="13869" spans="9:9" x14ac:dyDescent="0.25">
      <c r="I13869" s="227" t="str">
        <f>MID(excPisCofins[[#This Row],[CodBarras2]],2,50)</f>
        <v/>
      </c>
    </row>
    <row r="13870" spans="9:9" x14ac:dyDescent="0.25">
      <c r="I13870" s="227" t="str">
        <f>MID(excPisCofins[[#This Row],[CodBarras2]],2,50)</f>
        <v/>
      </c>
    </row>
    <row r="13871" spans="9:9" x14ac:dyDescent="0.25">
      <c r="I13871" s="227" t="str">
        <f>MID(excPisCofins[[#This Row],[CodBarras2]],2,50)</f>
        <v/>
      </c>
    </row>
    <row r="13872" spans="9:9" x14ac:dyDescent="0.25">
      <c r="I13872" s="227" t="str">
        <f>MID(excPisCofins[[#This Row],[CodBarras2]],2,50)</f>
        <v/>
      </c>
    </row>
    <row r="13873" spans="9:9" x14ac:dyDescent="0.25">
      <c r="I13873" s="227" t="str">
        <f>MID(excPisCofins[[#This Row],[CodBarras2]],2,50)</f>
        <v/>
      </c>
    </row>
    <row r="13874" spans="9:9" x14ac:dyDescent="0.25">
      <c r="I13874" s="227" t="str">
        <f>MID(excPisCofins[[#This Row],[CodBarras2]],2,50)</f>
        <v/>
      </c>
    </row>
    <row r="13875" spans="9:9" x14ac:dyDescent="0.25">
      <c r="I13875" s="227" t="str">
        <f>MID(excPisCofins[[#This Row],[CodBarras2]],2,50)</f>
        <v/>
      </c>
    </row>
    <row r="13876" spans="9:9" x14ac:dyDescent="0.25">
      <c r="I13876" s="227" t="str">
        <f>MID(excPisCofins[[#This Row],[CodBarras2]],2,50)</f>
        <v/>
      </c>
    </row>
    <row r="13877" spans="9:9" x14ac:dyDescent="0.25">
      <c r="I13877" s="227" t="str">
        <f>MID(excPisCofins[[#This Row],[CodBarras2]],2,50)</f>
        <v/>
      </c>
    </row>
    <row r="13878" spans="9:9" x14ac:dyDescent="0.25">
      <c r="I13878" s="227" t="str">
        <f>MID(excPisCofins[[#This Row],[CodBarras2]],2,50)</f>
        <v/>
      </c>
    </row>
    <row r="13879" spans="9:9" x14ac:dyDescent="0.25">
      <c r="I13879" s="227" t="str">
        <f>MID(excPisCofins[[#This Row],[CodBarras2]],2,50)</f>
        <v/>
      </c>
    </row>
    <row r="13880" spans="9:9" x14ac:dyDescent="0.25">
      <c r="I13880" s="227" t="str">
        <f>MID(excPisCofins[[#This Row],[CodBarras2]],2,50)</f>
        <v/>
      </c>
    </row>
    <row r="13881" spans="9:9" x14ac:dyDescent="0.25">
      <c r="I13881" s="227" t="str">
        <f>MID(excPisCofins[[#This Row],[CodBarras2]],2,50)</f>
        <v/>
      </c>
    </row>
    <row r="13882" spans="9:9" x14ac:dyDescent="0.25">
      <c r="I13882" s="227" t="str">
        <f>MID(excPisCofins[[#This Row],[CodBarras2]],2,50)</f>
        <v/>
      </c>
    </row>
    <row r="13883" spans="9:9" x14ac:dyDescent="0.25">
      <c r="I13883" s="227" t="str">
        <f>MID(excPisCofins[[#This Row],[CodBarras2]],2,50)</f>
        <v/>
      </c>
    </row>
    <row r="13884" spans="9:9" x14ac:dyDescent="0.25">
      <c r="I13884" s="227" t="str">
        <f>MID(excPisCofins[[#This Row],[CodBarras2]],2,50)</f>
        <v/>
      </c>
    </row>
    <row r="13885" spans="9:9" x14ac:dyDescent="0.25">
      <c r="I13885" s="227" t="str">
        <f>MID(excPisCofins[[#This Row],[CodBarras2]],2,50)</f>
        <v/>
      </c>
    </row>
    <row r="13886" spans="9:9" x14ac:dyDescent="0.25">
      <c r="I13886" s="227" t="str">
        <f>MID(excPisCofins[[#This Row],[CodBarras2]],2,50)</f>
        <v/>
      </c>
    </row>
    <row r="13887" spans="9:9" x14ac:dyDescent="0.25">
      <c r="I13887" s="227" t="str">
        <f>MID(excPisCofins[[#This Row],[CodBarras2]],2,50)</f>
        <v/>
      </c>
    </row>
    <row r="13888" spans="9:9" x14ac:dyDescent="0.25">
      <c r="I13888" s="227" t="str">
        <f>MID(excPisCofins[[#This Row],[CodBarras2]],2,50)</f>
        <v/>
      </c>
    </row>
    <row r="13889" spans="9:9" x14ac:dyDescent="0.25">
      <c r="I13889" s="227" t="str">
        <f>MID(excPisCofins[[#This Row],[CodBarras2]],2,50)</f>
        <v/>
      </c>
    </row>
    <row r="13890" spans="9:9" x14ac:dyDescent="0.25">
      <c r="I13890" s="227" t="str">
        <f>MID(excPisCofins[[#This Row],[CodBarras2]],2,50)</f>
        <v/>
      </c>
    </row>
    <row r="13891" spans="9:9" x14ac:dyDescent="0.25">
      <c r="I13891" s="227" t="str">
        <f>MID(excPisCofins[[#This Row],[CodBarras2]],2,50)</f>
        <v/>
      </c>
    </row>
    <row r="13892" spans="9:9" x14ac:dyDescent="0.25">
      <c r="I13892" s="227" t="str">
        <f>MID(excPisCofins[[#This Row],[CodBarras2]],2,50)</f>
        <v/>
      </c>
    </row>
    <row r="13893" spans="9:9" x14ac:dyDescent="0.25">
      <c r="I13893" s="227" t="str">
        <f>MID(excPisCofins[[#This Row],[CodBarras2]],2,50)</f>
        <v/>
      </c>
    </row>
    <row r="13894" spans="9:9" x14ac:dyDescent="0.25">
      <c r="I13894" s="227" t="str">
        <f>MID(excPisCofins[[#This Row],[CodBarras2]],2,50)</f>
        <v/>
      </c>
    </row>
    <row r="13895" spans="9:9" x14ac:dyDescent="0.25">
      <c r="I13895" s="227" t="str">
        <f>MID(excPisCofins[[#This Row],[CodBarras2]],2,50)</f>
        <v/>
      </c>
    </row>
    <row r="13896" spans="9:9" x14ac:dyDescent="0.25">
      <c r="I13896" s="227" t="str">
        <f>MID(excPisCofins[[#This Row],[CodBarras2]],2,50)</f>
        <v/>
      </c>
    </row>
    <row r="13897" spans="9:9" x14ac:dyDescent="0.25">
      <c r="I13897" s="227" t="str">
        <f>MID(excPisCofins[[#This Row],[CodBarras2]],2,50)</f>
        <v/>
      </c>
    </row>
    <row r="13898" spans="9:9" x14ac:dyDescent="0.25">
      <c r="I13898" s="227" t="str">
        <f>MID(excPisCofins[[#This Row],[CodBarras2]],2,50)</f>
        <v/>
      </c>
    </row>
    <row r="13899" spans="9:9" x14ac:dyDescent="0.25">
      <c r="I13899" s="227" t="str">
        <f>MID(excPisCofins[[#This Row],[CodBarras2]],2,50)</f>
        <v/>
      </c>
    </row>
    <row r="13900" spans="9:9" x14ac:dyDescent="0.25">
      <c r="I13900" s="227" t="str">
        <f>MID(excPisCofins[[#This Row],[CodBarras2]],2,50)</f>
        <v/>
      </c>
    </row>
    <row r="13901" spans="9:9" x14ac:dyDescent="0.25">
      <c r="I13901" s="227" t="str">
        <f>MID(excPisCofins[[#This Row],[CodBarras2]],2,50)</f>
        <v/>
      </c>
    </row>
    <row r="13902" spans="9:9" x14ac:dyDescent="0.25">
      <c r="I13902" s="227" t="str">
        <f>MID(excPisCofins[[#This Row],[CodBarras2]],2,50)</f>
        <v/>
      </c>
    </row>
    <row r="13903" spans="9:9" x14ac:dyDescent="0.25">
      <c r="I13903" s="227" t="str">
        <f>MID(excPisCofins[[#This Row],[CodBarras2]],2,50)</f>
        <v/>
      </c>
    </row>
    <row r="13904" spans="9:9" x14ac:dyDescent="0.25">
      <c r="I13904" s="227" t="str">
        <f>MID(excPisCofins[[#This Row],[CodBarras2]],2,50)</f>
        <v/>
      </c>
    </row>
    <row r="13905" spans="9:9" x14ac:dyDescent="0.25">
      <c r="I13905" s="227" t="str">
        <f>MID(excPisCofins[[#This Row],[CodBarras2]],2,50)</f>
        <v/>
      </c>
    </row>
    <row r="13906" spans="9:9" x14ac:dyDescent="0.25">
      <c r="I13906" s="227" t="str">
        <f>MID(excPisCofins[[#This Row],[CodBarras2]],2,50)</f>
        <v/>
      </c>
    </row>
    <row r="13907" spans="9:9" x14ac:dyDescent="0.25">
      <c r="I13907" s="227" t="str">
        <f>MID(excPisCofins[[#This Row],[CodBarras2]],2,50)</f>
        <v/>
      </c>
    </row>
    <row r="13908" spans="9:9" x14ac:dyDescent="0.25">
      <c r="I13908" s="227" t="str">
        <f>MID(excPisCofins[[#This Row],[CodBarras2]],2,50)</f>
        <v/>
      </c>
    </row>
    <row r="13909" spans="9:9" x14ac:dyDescent="0.25">
      <c r="I13909" s="227" t="str">
        <f>MID(excPisCofins[[#This Row],[CodBarras2]],2,50)</f>
        <v/>
      </c>
    </row>
    <row r="13910" spans="9:9" x14ac:dyDescent="0.25">
      <c r="I13910" s="227" t="str">
        <f>MID(excPisCofins[[#This Row],[CodBarras2]],2,50)</f>
        <v/>
      </c>
    </row>
    <row r="13911" spans="9:9" x14ac:dyDescent="0.25">
      <c r="I13911" s="227" t="str">
        <f>MID(excPisCofins[[#This Row],[CodBarras2]],2,50)</f>
        <v/>
      </c>
    </row>
    <row r="13912" spans="9:9" x14ac:dyDescent="0.25">
      <c r="I13912" s="227" t="str">
        <f>MID(excPisCofins[[#This Row],[CodBarras2]],2,50)</f>
        <v/>
      </c>
    </row>
    <row r="13913" spans="9:9" x14ac:dyDescent="0.25">
      <c r="I13913" s="227" t="str">
        <f>MID(excPisCofins[[#This Row],[CodBarras2]],2,50)</f>
        <v/>
      </c>
    </row>
    <row r="13914" spans="9:9" x14ac:dyDescent="0.25">
      <c r="I13914" s="227" t="str">
        <f>MID(excPisCofins[[#This Row],[CodBarras2]],2,50)</f>
        <v/>
      </c>
    </row>
    <row r="13915" spans="9:9" x14ac:dyDescent="0.25">
      <c r="I13915" s="227" t="str">
        <f>MID(excPisCofins[[#This Row],[CodBarras2]],2,50)</f>
        <v/>
      </c>
    </row>
    <row r="13916" spans="9:9" x14ac:dyDescent="0.25">
      <c r="I13916" s="227" t="str">
        <f>MID(excPisCofins[[#This Row],[CodBarras2]],2,50)</f>
        <v/>
      </c>
    </row>
    <row r="13917" spans="9:9" x14ac:dyDescent="0.25">
      <c r="I13917" s="227" t="str">
        <f>MID(excPisCofins[[#This Row],[CodBarras2]],2,50)</f>
        <v/>
      </c>
    </row>
    <row r="13918" spans="9:9" x14ac:dyDescent="0.25">
      <c r="I13918" s="227" t="str">
        <f>MID(excPisCofins[[#This Row],[CodBarras2]],2,50)</f>
        <v/>
      </c>
    </row>
    <row r="13919" spans="9:9" x14ac:dyDescent="0.25">
      <c r="I13919" s="227" t="str">
        <f>MID(excPisCofins[[#This Row],[CodBarras2]],2,50)</f>
        <v/>
      </c>
    </row>
    <row r="13920" spans="9:9" x14ac:dyDescent="0.25">
      <c r="I13920" s="227" t="str">
        <f>MID(excPisCofins[[#This Row],[CodBarras2]],2,50)</f>
        <v/>
      </c>
    </row>
    <row r="13921" spans="9:9" x14ac:dyDescent="0.25">
      <c r="I13921" s="227" t="str">
        <f>MID(excPisCofins[[#This Row],[CodBarras2]],2,50)</f>
        <v/>
      </c>
    </row>
    <row r="13922" spans="9:9" x14ac:dyDescent="0.25">
      <c r="I13922" s="227" t="str">
        <f>MID(excPisCofins[[#This Row],[CodBarras2]],2,50)</f>
        <v/>
      </c>
    </row>
    <row r="13923" spans="9:9" x14ac:dyDescent="0.25">
      <c r="I13923" s="227" t="str">
        <f>MID(excPisCofins[[#This Row],[CodBarras2]],2,50)</f>
        <v/>
      </c>
    </row>
    <row r="13924" spans="9:9" x14ac:dyDescent="0.25">
      <c r="I13924" s="227" t="str">
        <f>MID(excPisCofins[[#This Row],[CodBarras2]],2,50)</f>
        <v/>
      </c>
    </row>
    <row r="13925" spans="9:9" x14ac:dyDescent="0.25">
      <c r="I13925" s="227" t="str">
        <f>MID(excPisCofins[[#This Row],[CodBarras2]],2,50)</f>
        <v/>
      </c>
    </row>
    <row r="13926" spans="9:9" x14ac:dyDescent="0.25">
      <c r="I13926" s="227" t="str">
        <f>MID(excPisCofins[[#This Row],[CodBarras2]],2,50)</f>
        <v/>
      </c>
    </row>
    <row r="13927" spans="9:9" x14ac:dyDescent="0.25">
      <c r="I13927" s="227" t="str">
        <f>MID(excPisCofins[[#This Row],[CodBarras2]],2,50)</f>
        <v/>
      </c>
    </row>
    <row r="13928" spans="9:9" x14ac:dyDescent="0.25">
      <c r="I13928" s="227" t="str">
        <f>MID(excPisCofins[[#This Row],[CodBarras2]],2,50)</f>
        <v/>
      </c>
    </row>
    <row r="13929" spans="9:9" x14ac:dyDescent="0.25">
      <c r="I13929" s="227" t="str">
        <f>MID(excPisCofins[[#This Row],[CodBarras2]],2,50)</f>
        <v/>
      </c>
    </row>
    <row r="13930" spans="9:9" x14ac:dyDescent="0.25">
      <c r="I13930" s="227" t="str">
        <f>MID(excPisCofins[[#This Row],[CodBarras2]],2,50)</f>
        <v/>
      </c>
    </row>
    <row r="13931" spans="9:9" x14ac:dyDescent="0.25">
      <c r="I13931" s="227" t="str">
        <f>MID(excPisCofins[[#This Row],[CodBarras2]],2,50)</f>
        <v/>
      </c>
    </row>
    <row r="13932" spans="9:9" x14ac:dyDescent="0.25">
      <c r="I13932" s="227" t="str">
        <f>MID(excPisCofins[[#This Row],[CodBarras2]],2,50)</f>
        <v/>
      </c>
    </row>
    <row r="13933" spans="9:9" x14ac:dyDescent="0.25">
      <c r="I13933" s="227" t="str">
        <f>MID(excPisCofins[[#This Row],[CodBarras2]],2,50)</f>
        <v/>
      </c>
    </row>
    <row r="13934" spans="9:9" x14ac:dyDescent="0.25">
      <c r="I13934" s="227" t="str">
        <f>MID(excPisCofins[[#This Row],[CodBarras2]],2,50)</f>
        <v/>
      </c>
    </row>
    <row r="13935" spans="9:9" x14ac:dyDescent="0.25">
      <c r="I13935" s="227" t="str">
        <f>MID(excPisCofins[[#This Row],[CodBarras2]],2,50)</f>
        <v/>
      </c>
    </row>
    <row r="13936" spans="9:9" x14ac:dyDescent="0.25">
      <c r="I13936" s="227" t="str">
        <f>MID(excPisCofins[[#This Row],[CodBarras2]],2,50)</f>
        <v/>
      </c>
    </row>
    <row r="13937" spans="9:9" x14ac:dyDescent="0.25">
      <c r="I13937" s="227" t="str">
        <f>MID(excPisCofins[[#This Row],[CodBarras2]],2,50)</f>
        <v/>
      </c>
    </row>
    <row r="13938" spans="9:9" x14ac:dyDescent="0.25">
      <c r="I13938" s="227" t="str">
        <f>MID(excPisCofins[[#This Row],[CodBarras2]],2,50)</f>
        <v/>
      </c>
    </row>
    <row r="13939" spans="9:9" x14ac:dyDescent="0.25">
      <c r="I13939" s="227" t="str">
        <f>MID(excPisCofins[[#This Row],[CodBarras2]],2,50)</f>
        <v/>
      </c>
    </row>
    <row r="13940" spans="9:9" x14ac:dyDescent="0.25">
      <c r="I13940" s="227" t="str">
        <f>MID(excPisCofins[[#This Row],[CodBarras2]],2,50)</f>
        <v/>
      </c>
    </row>
    <row r="13941" spans="9:9" x14ac:dyDescent="0.25">
      <c r="I13941" s="227" t="str">
        <f>MID(excPisCofins[[#This Row],[CodBarras2]],2,50)</f>
        <v/>
      </c>
    </row>
    <row r="13942" spans="9:9" x14ac:dyDescent="0.25">
      <c r="I13942" s="227" t="str">
        <f>MID(excPisCofins[[#This Row],[CodBarras2]],2,50)</f>
        <v/>
      </c>
    </row>
    <row r="13943" spans="9:9" x14ac:dyDescent="0.25">
      <c r="I13943" s="227" t="str">
        <f>MID(excPisCofins[[#This Row],[CodBarras2]],2,50)</f>
        <v/>
      </c>
    </row>
    <row r="13944" spans="9:9" x14ac:dyDescent="0.25">
      <c r="I13944" s="227" t="str">
        <f>MID(excPisCofins[[#This Row],[CodBarras2]],2,50)</f>
        <v/>
      </c>
    </row>
    <row r="13945" spans="9:9" x14ac:dyDescent="0.25">
      <c r="I13945" s="227" t="str">
        <f>MID(excPisCofins[[#This Row],[CodBarras2]],2,50)</f>
        <v/>
      </c>
    </row>
    <row r="13946" spans="9:9" x14ac:dyDescent="0.25">
      <c r="I13946" s="227" t="str">
        <f>MID(excPisCofins[[#This Row],[CodBarras2]],2,50)</f>
        <v/>
      </c>
    </row>
    <row r="13947" spans="9:9" x14ac:dyDescent="0.25">
      <c r="I13947" s="227" t="str">
        <f>MID(excPisCofins[[#This Row],[CodBarras2]],2,50)</f>
        <v/>
      </c>
    </row>
    <row r="13948" spans="9:9" x14ac:dyDescent="0.25">
      <c r="I13948" s="227" t="str">
        <f>MID(excPisCofins[[#This Row],[CodBarras2]],2,50)</f>
        <v/>
      </c>
    </row>
    <row r="13949" spans="9:9" x14ac:dyDescent="0.25">
      <c r="I13949" s="227" t="str">
        <f>MID(excPisCofins[[#This Row],[CodBarras2]],2,50)</f>
        <v/>
      </c>
    </row>
    <row r="13950" spans="9:9" x14ac:dyDescent="0.25">
      <c r="I13950" s="227" t="str">
        <f>MID(excPisCofins[[#This Row],[CodBarras2]],2,50)</f>
        <v/>
      </c>
    </row>
    <row r="13951" spans="9:9" x14ac:dyDescent="0.25">
      <c r="I13951" s="227" t="str">
        <f>MID(excPisCofins[[#This Row],[CodBarras2]],2,50)</f>
        <v/>
      </c>
    </row>
    <row r="13952" spans="9:9" x14ac:dyDescent="0.25">
      <c r="I13952" s="227" t="str">
        <f>MID(excPisCofins[[#This Row],[CodBarras2]],2,50)</f>
        <v/>
      </c>
    </row>
    <row r="13953" spans="9:9" x14ac:dyDescent="0.25">
      <c r="I13953" s="227" t="str">
        <f>MID(excPisCofins[[#This Row],[CodBarras2]],2,50)</f>
        <v/>
      </c>
    </row>
    <row r="13954" spans="9:9" x14ac:dyDescent="0.25">
      <c r="I13954" s="227" t="str">
        <f>MID(excPisCofins[[#This Row],[CodBarras2]],2,50)</f>
        <v/>
      </c>
    </row>
    <row r="13955" spans="9:9" x14ac:dyDescent="0.25">
      <c r="I13955" s="227" t="str">
        <f>MID(excPisCofins[[#This Row],[CodBarras2]],2,50)</f>
        <v/>
      </c>
    </row>
    <row r="13956" spans="9:9" x14ac:dyDescent="0.25">
      <c r="I13956" s="227" t="str">
        <f>MID(excPisCofins[[#This Row],[CodBarras2]],2,50)</f>
        <v/>
      </c>
    </row>
    <row r="13957" spans="9:9" x14ac:dyDescent="0.25">
      <c r="I13957" s="227" t="str">
        <f>MID(excPisCofins[[#This Row],[CodBarras2]],2,50)</f>
        <v/>
      </c>
    </row>
    <row r="13958" spans="9:9" x14ac:dyDescent="0.25">
      <c r="I13958" s="227" t="str">
        <f>MID(excPisCofins[[#This Row],[CodBarras2]],2,50)</f>
        <v/>
      </c>
    </row>
    <row r="13959" spans="9:9" x14ac:dyDescent="0.25">
      <c r="I13959" s="227" t="str">
        <f>MID(excPisCofins[[#This Row],[CodBarras2]],2,50)</f>
        <v/>
      </c>
    </row>
    <row r="13960" spans="9:9" x14ac:dyDescent="0.25">
      <c r="I13960" s="227" t="str">
        <f>MID(excPisCofins[[#This Row],[CodBarras2]],2,50)</f>
        <v/>
      </c>
    </row>
    <row r="13961" spans="9:9" x14ac:dyDescent="0.25">
      <c r="I13961" s="227" t="str">
        <f>MID(excPisCofins[[#This Row],[CodBarras2]],2,50)</f>
        <v/>
      </c>
    </row>
    <row r="13962" spans="9:9" x14ac:dyDescent="0.25">
      <c r="I13962" s="227" t="str">
        <f>MID(excPisCofins[[#This Row],[CodBarras2]],2,50)</f>
        <v/>
      </c>
    </row>
    <row r="13963" spans="9:9" x14ac:dyDescent="0.25">
      <c r="I13963" s="227" t="str">
        <f>MID(excPisCofins[[#This Row],[CodBarras2]],2,50)</f>
        <v/>
      </c>
    </row>
    <row r="13964" spans="9:9" x14ac:dyDescent="0.25">
      <c r="I13964" s="227" t="str">
        <f>MID(excPisCofins[[#This Row],[CodBarras2]],2,50)</f>
        <v/>
      </c>
    </row>
    <row r="13965" spans="9:9" x14ac:dyDescent="0.25">
      <c r="I13965" s="227" t="str">
        <f>MID(excPisCofins[[#This Row],[CodBarras2]],2,50)</f>
        <v/>
      </c>
    </row>
    <row r="13966" spans="9:9" x14ac:dyDescent="0.25">
      <c r="I13966" s="227" t="str">
        <f>MID(excPisCofins[[#This Row],[CodBarras2]],2,50)</f>
        <v/>
      </c>
    </row>
    <row r="13967" spans="9:9" x14ac:dyDescent="0.25">
      <c r="I13967" s="227" t="str">
        <f>MID(excPisCofins[[#This Row],[CodBarras2]],2,50)</f>
        <v/>
      </c>
    </row>
    <row r="13968" spans="9:9" x14ac:dyDescent="0.25">
      <c r="I13968" s="227" t="str">
        <f>MID(excPisCofins[[#This Row],[CodBarras2]],2,50)</f>
        <v/>
      </c>
    </row>
    <row r="13969" spans="9:9" x14ac:dyDescent="0.25">
      <c r="I13969" s="227" t="str">
        <f>MID(excPisCofins[[#This Row],[CodBarras2]],2,50)</f>
        <v/>
      </c>
    </row>
    <row r="13970" spans="9:9" x14ac:dyDescent="0.25">
      <c r="I13970" s="227" t="str">
        <f>MID(excPisCofins[[#This Row],[CodBarras2]],2,50)</f>
        <v/>
      </c>
    </row>
    <row r="13971" spans="9:9" x14ac:dyDescent="0.25">
      <c r="I13971" s="227" t="str">
        <f>MID(excPisCofins[[#This Row],[CodBarras2]],2,50)</f>
        <v/>
      </c>
    </row>
    <row r="13972" spans="9:9" x14ac:dyDescent="0.25">
      <c r="I13972" s="227" t="str">
        <f>MID(excPisCofins[[#This Row],[CodBarras2]],2,50)</f>
        <v/>
      </c>
    </row>
    <row r="13973" spans="9:9" x14ac:dyDescent="0.25">
      <c r="I13973" s="227" t="str">
        <f>MID(excPisCofins[[#This Row],[CodBarras2]],2,50)</f>
        <v/>
      </c>
    </row>
    <row r="13974" spans="9:9" x14ac:dyDescent="0.25">
      <c r="I13974" s="227" t="str">
        <f>MID(excPisCofins[[#This Row],[CodBarras2]],2,50)</f>
        <v/>
      </c>
    </row>
    <row r="13975" spans="9:9" x14ac:dyDescent="0.25">
      <c r="I13975" s="227" t="str">
        <f>MID(excPisCofins[[#This Row],[CodBarras2]],2,50)</f>
        <v/>
      </c>
    </row>
    <row r="13976" spans="9:9" x14ac:dyDescent="0.25">
      <c r="I13976" s="227" t="str">
        <f>MID(excPisCofins[[#This Row],[CodBarras2]],2,50)</f>
        <v/>
      </c>
    </row>
    <row r="13977" spans="9:9" x14ac:dyDescent="0.25">
      <c r="I13977" s="227" t="str">
        <f>MID(excPisCofins[[#This Row],[CodBarras2]],2,50)</f>
        <v/>
      </c>
    </row>
    <row r="13978" spans="9:9" x14ac:dyDescent="0.25">
      <c r="I13978" s="227" t="str">
        <f>MID(excPisCofins[[#This Row],[CodBarras2]],2,50)</f>
        <v/>
      </c>
    </row>
    <row r="13979" spans="9:9" x14ac:dyDescent="0.25">
      <c r="I13979" s="227" t="str">
        <f>MID(excPisCofins[[#This Row],[CodBarras2]],2,50)</f>
        <v/>
      </c>
    </row>
    <row r="13980" spans="9:9" x14ac:dyDescent="0.25">
      <c r="I13980" s="227" t="str">
        <f>MID(excPisCofins[[#This Row],[CodBarras2]],2,50)</f>
        <v/>
      </c>
    </row>
    <row r="13981" spans="9:9" x14ac:dyDescent="0.25">
      <c r="I13981" s="227" t="str">
        <f>MID(excPisCofins[[#This Row],[CodBarras2]],2,50)</f>
        <v/>
      </c>
    </row>
    <row r="13982" spans="9:9" x14ac:dyDescent="0.25">
      <c r="I13982" s="227" t="str">
        <f>MID(excPisCofins[[#This Row],[CodBarras2]],2,50)</f>
        <v/>
      </c>
    </row>
    <row r="13983" spans="9:9" x14ac:dyDescent="0.25">
      <c r="I13983" s="227" t="str">
        <f>MID(excPisCofins[[#This Row],[CodBarras2]],2,50)</f>
        <v/>
      </c>
    </row>
    <row r="13984" spans="9:9" x14ac:dyDescent="0.25">
      <c r="I13984" s="227" t="str">
        <f>MID(excPisCofins[[#This Row],[CodBarras2]],2,50)</f>
        <v/>
      </c>
    </row>
    <row r="13985" spans="9:9" x14ac:dyDescent="0.25">
      <c r="I13985" s="227" t="str">
        <f>MID(excPisCofins[[#This Row],[CodBarras2]],2,50)</f>
        <v/>
      </c>
    </row>
    <row r="13986" spans="9:9" x14ac:dyDescent="0.25">
      <c r="I13986" s="227" t="str">
        <f>MID(excPisCofins[[#This Row],[CodBarras2]],2,50)</f>
        <v/>
      </c>
    </row>
    <row r="13987" spans="9:9" x14ac:dyDescent="0.25">
      <c r="I13987" s="227" t="str">
        <f>MID(excPisCofins[[#This Row],[CodBarras2]],2,50)</f>
        <v/>
      </c>
    </row>
    <row r="13988" spans="9:9" x14ac:dyDescent="0.25">
      <c r="I13988" s="227" t="str">
        <f>MID(excPisCofins[[#This Row],[CodBarras2]],2,50)</f>
        <v/>
      </c>
    </row>
    <row r="13989" spans="9:9" x14ac:dyDescent="0.25">
      <c r="I13989" s="227" t="str">
        <f>MID(excPisCofins[[#This Row],[CodBarras2]],2,50)</f>
        <v/>
      </c>
    </row>
    <row r="13990" spans="9:9" x14ac:dyDescent="0.25">
      <c r="I13990" s="227" t="str">
        <f>MID(excPisCofins[[#This Row],[CodBarras2]],2,50)</f>
        <v/>
      </c>
    </row>
    <row r="13991" spans="9:9" x14ac:dyDescent="0.25">
      <c r="I13991" s="227" t="str">
        <f>MID(excPisCofins[[#This Row],[CodBarras2]],2,50)</f>
        <v/>
      </c>
    </row>
    <row r="13992" spans="9:9" x14ac:dyDescent="0.25">
      <c r="I13992" s="227" t="str">
        <f>MID(excPisCofins[[#This Row],[CodBarras2]],2,50)</f>
        <v/>
      </c>
    </row>
    <row r="13993" spans="9:9" x14ac:dyDescent="0.25">
      <c r="I13993" s="227" t="str">
        <f>MID(excPisCofins[[#This Row],[CodBarras2]],2,50)</f>
        <v/>
      </c>
    </row>
    <row r="13994" spans="9:9" x14ac:dyDescent="0.25">
      <c r="I13994" s="227" t="str">
        <f>MID(excPisCofins[[#This Row],[CodBarras2]],2,50)</f>
        <v/>
      </c>
    </row>
    <row r="13995" spans="9:9" x14ac:dyDescent="0.25">
      <c r="I13995" s="227" t="str">
        <f>MID(excPisCofins[[#This Row],[CodBarras2]],2,50)</f>
        <v/>
      </c>
    </row>
    <row r="13996" spans="9:9" x14ac:dyDescent="0.25">
      <c r="I13996" s="227" t="str">
        <f>MID(excPisCofins[[#This Row],[CodBarras2]],2,50)</f>
        <v/>
      </c>
    </row>
    <row r="13997" spans="9:9" x14ac:dyDescent="0.25">
      <c r="I13997" s="227" t="str">
        <f>MID(excPisCofins[[#This Row],[CodBarras2]],2,50)</f>
        <v/>
      </c>
    </row>
    <row r="13998" spans="9:9" x14ac:dyDescent="0.25">
      <c r="I13998" s="227" t="str">
        <f>MID(excPisCofins[[#This Row],[CodBarras2]],2,50)</f>
        <v/>
      </c>
    </row>
    <row r="13999" spans="9:9" x14ac:dyDescent="0.25">
      <c r="I13999" s="227" t="str">
        <f>MID(excPisCofins[[#This Row],[CodBarras2]],2,50)</f>
        <v/>
      </c>
    </row>
    <row r="14000" spans="9:9" x14ac:dyDescent="0.25">
      <c r="I14000" s="227" t="str">
        <f>MID(excPisCofins[[#This Row],[CodBarras2]],2,50)</f>
        <v/>
      </c>
    </row>
    <row r="14001" spans="9:9" x14ac:dyDescent="0.25">
      <c r="I14001" s="227" t="str">
        <f>MID(excPisCofins[[#This Row],[CodBarras2]],2,50)</f>
        <v/>
      </c>
    </row>
    <row r="14002" spans="9:9" x14ac:dyDescent="0.25">
      <c r="I14002" s="227" t="str">
        <f>MID(excPisCofins[[#This Row],[CodBarras2]],2,50)</f>
        <v/>
      </c>
    </row>
    <row r="14003" spans="9:9" x14ac:dyDescent="0.25">
      <c r="I14003" s="227" t="str">
        <f>MID(excPisCofins[[#This Row],[CodBarras2]],2,50)</f>
        <v/>
      </c>
    </row>
    <row r="14004" spans="9:9" x14ac:dyDescent="0.25">
      <c r="I14004" s="227" t="str">
        <f>MID(excPisCofins[[#This Row],[CodBarras2]],2,50)</f>
        <v/>
      </c>
    </row>
    <row r="14005" spans="9:9" x14ac:dyDescent="0.25">
      <c r="I14005" s="227" t="str">
        <f>MID(excPisCofins[[#This Row],[CodBarras2]],2,50)</f>
        <v/>
      </c>
    </row>
    <row r="14006" spans="9:9" x14ac:dyDescent="0.25">
      <c r="I14006" s="227" t="str">
        <f>MID(excPisCofins[[#This Row],[CodBarras2]],2,50)</f>
        <v/>
      </c>
    </row>
    <row r="14007" spans="9:9" x14ac:dyDescent="0.25">
      <c r="I14007" s="227" t="str">
        <f>MID(excPisCofins[[#This Row],[CodBarras2]],2,50)</f>
        <v/>
      </c>
    </row>
    <row r="14008" spans="9:9" x14ac:dyDescent="0.25">
      <c r="I14008" s="227" t="str">
        <f>MID(excPisCofins[[#This Row],[CodBarras2]],2,50)</f>
        <v/>
      </c>
    </row>
    <row r="14009" spans="9:9" x14ac:dyDescent="0.25">
      <c r="I14009" s="227" t="str">
        <f>MID(excPisCofins[[#This Row],[CodBarras2]],2,50)</f>
        <v/>
      </c>
    </row>
    <row r="14010" spans="9:9" x14ac:dyDescent="0.25">
      <c r="I14010" s="227" t="str">
        <f>MID(excPisCofins[[#This Row],[CodBarras2]],2,50)</f>
        <v/>
      </c>
    </row>
    <row r="14011" spans="9:9" x14ac:dyDescent="0.25">
      <c r="I14011" s="227" t="str">
        <f>MID(excPisCofins[[#This Row],[CodBarras2]],2,50)</f>
        <v/>
      </c>
    </row>
    <row r="14012" spans="9:9" x14ac:dyDescent="0.25">
      <c r="I14012" s="227" t="str">
        <f>MID(excPisCofins[[#This Row],[CodBarras2]],2,50)</f>
        <v/>
      </c>
    </row>
    <row r="14013" spans="9:9" x14ac:dyDescent="0.25">
      <c r="I14013" s="227" t="str">
        <f>MID(excPisCofins[[#This Row],[CodBarras2]],2,50)</f>
        <v/>
      </c>
    </row>
    <row r="14014" spans="9:9" x14ac:dyDescent="0.25">
      <c r="I14014" s="227" t="str">
        <f>MID(excPisCofins[[#This Row],[CodBarras2]],2,50)</f>
        <v/>
      </c>
    </row>
    <row r="14015" spans="9:9" x14ac:dyDescent="0.25">
      <c r="I14015" s="227" t="str">
        <f>MID(excPisCofins[[#This Row],[CodBarras2]],2,50)</f>
        <v/>
      </c>
    </row>
    <row r="14016" spans="9:9" x14ac:dyDescent="0.25">
      <c r="I14016" s="227" t="str">
        <f>MID(excPisCofins[[#This Row],[CodBarras2]],2,50)</f>
        <v/>
      </c>
    </row>
    <row r="14017" spans="9:9" x14ac:dyDescent="0.25">
      <c r="I14017" s="227" t="str">
        <f>MID(excPisCofins[[#This Row],[CodBarras2]],2,50)</f>
        <v/>
      </c>
    </row>
    <row r="14018" spans="9:9" x14ac:dyDescent="0.25">
      <c r="I14018" s="227" t="str">
        <f>MID(excPisCofins[[#This Row],[CodBarras2]],2,50)</f>
        <v/>
      </c>
    </row>
    <row r="14019" spans="9:9" x14ac:dyDescent="0.25">
      <c r="I14019" s="227" t="str">
        <f>MID(excPisCofins[[#This Row],[CodBarras2]],2,50)</f>
        <v/>
      </c>
    </row>
    <row r="14020" spans="9:9" x14ac:dyDescent="0.25">
      <c r="I14020" s="227" t="str">
        <f>MID(excPisCofins[[#This Row],[CodBarras2]],2,50)</f>
        <v/>
      </c>
    </row>
    <row r="14021" spans="9:9" x14ac:dyDescent="0.25">
      <c r="I14021" s="227" t="str">
        <f>MID(excPisCofins[[#This Row],[CodBarras2]],2,50)</f>
        <v/>
      </c>
    </row>
    <row r="14022" spans="9:9" x14ac:dyDescent="0.25">
      <c r="I14022" s="227" t="str">
        <f>MID(excPisCofins[[#This Row],[CodBarras2]],2,50)</f>
        <v/>
      </c>
    </row>
    <row r="14023" spans="9:9" x14ac:dyDescent="0.25">
      <c r="I14023" s="227" t="str">
        <f>MID(excPisCofins[[#This Row],[CodBarras2]],2,50)</f>
        <v/>
      </c>
    </row>
    <row r="14024" spans="9:9" x14ac:dyDescent="0.25">
      <c r="I14024" s="227" t="str">
        <f>MID(excPisCofins[[#This Row],[CodBarras2]],2,50)</f>
        <v/>
      </c>
    </row>
    <row r="14025" spans="9:9" x14ac:dyDescent="0.25">
      <c r="I14025" s="227" t="str">
        <f>MID(excPisCofins[[#This Row],[CodBarras2]],2,50)</f>
        <v/>
      </c>
    </row>
    <row r="14026" spans="9:9" x14ac:dyDescent="0.25">
      <c r="I14026" s="227" t="str">
        <f>MID(excPisCofins[[#This Row],[CodBarras2]],2,50)</f>
        <v/>
      </c>
    </row>
    <row r="14027" spans="9:9" x14ac:dyDescent="0.25">
      <c r="I14027" s="227" t="str">
        <f>MID(excPisCofins[[#This Row],[CodBarras2]],2,50)</f>
        <v/>
      </c>
    </row>
    <row r="14028" spans="9:9" x14ac:dyDescent="0.25">
      <c r="I14028" s="227" t="str">
        <f>MID(excPisCofins[[#This Row],[CodBarras2]],2,50)</f>
        <v/>
      </c>
    </row>
    <row r="14029" spans="9:9" x14ac:dyDescent="0.25">
      <c r="I14029" s="227" t="str">
        <f>MID(excPisCofins[[#This Row],[CodBarras2]],2,50)</f>
        <v/>
      </c>
    </row>
    <row r="14030" spans="9:9" x14ac:dyDescent="0.25">
      <c r="I14030" s="227" t="str">
        <f>MID(excPisCofins[[#This Row],[CodBarras2]],2,50)</f>
        <v/>
      </c>
    </row>
    <row r="14031" spans="9:9" x14ac:dyDescent="0.25">
      <c r="I14031" s="227" t="str">
        <f>MID(excPisCofins[[#This Row],[CodBarras2]],2,50)</f>
        <v/>
      </c>
    </row>
    <row r="14032" spans="9:9" x14ac:dyDescent="0.25">
      <c r="I14032" s="227" t="str">
        <f>MID(excPisCofins[[#This Row],[CodBarras2]],2,50)</f>
        <v/>
      </c>
    </row>
    <row r="14033" spans="9:9" x14ac:dyDescent="0.25">
      <c r="I14033" s="227" t="str">
        <f>MID(excPisCofins[[#This Row],[CodBarras2]],2,50)</f>
        <v/>
      </c>
    </row>
    <row r="14034" spans="9:9" x14ac:dyDescent="0.25">
      <c r="I14034" s="227" t="str">
        <f>MID(excPisCofins[[#This Row],[CodBarras2]],2,50)</f>
        <v/>
      </c>
    </row>
    <row r="14035" spans="9:9" x14ac:dyDescent="0.25">
      <c r="I14035" s="227" t="str">
        <f>MID(excPisCofins[[#This Row],[CodBarras2]],2,50)</f>
        <v/>
      </c>
    </row>
    <row r="14036" spans="9:9" x14ac:dyDescent="0.25">
      <c r="I14036" s="227" t="str">
        <f>MID(excPisCofins[[#This Row],[CodBarras2]],2,50)</f>
        <v/>
      </c>
    </row>
    <row r="14037" spans="9:9" x14ac:dyDescent="0.25">
      <c r="I14037" s="227" t="str">
        <f>MID(excPisCofins[[#This Row],[CodBarras2]],2,50)</f>
        <v/>
      </c>
    </row>
    <row r="14038" spans="9:9" x14ac:dyDescent="0.25">
      <c r="I14038" s="227" t="str">
        <f>MID(excPisCofins[[#This Row],[CodBarras2]],2,50)</f>
        <v/>
      </c>
    </row>
    <row r="14039" spans="9:9" x14ac:dyDescent="0.25">
      <c r="I14039" s="227" t="str">
        <f>MID(excPisCofins[[#This Row],[CodBarras2]],2,50)</f>
        <v/>
      </c>
    </row>
    <row r="14040" spans="9:9" x14ac:dyDescent="0.25">
      <c r="I14040" s="227" t="str">
        <f>MID(excPisCofins[[#This Row],[CodBarras2]],2,50)</f>
        <v/>
      </c>
    </row>
    <row r="14041" spans="9:9" x14ac:dyDescent="0.25">
      <c r="I14041" s="227" t="str">
        <f>MID(excPisCofins[[#This Row],[CodBarras2]],2,50)</f>
        <v/>
      </c>
    </row>
    <row r="14042" spans="9:9" x14ac:dyDescent="0.25">
      <c r="I14042" s="227" t="str">
        <f>MID(excPisCofins[[#This Row],[CodBarras2]],2,50)</f>
        <v/>
      </c>
    </row>
    <row r="14043" spans="9:9" x14ac:dyDescent="0.25">
      <c r="I14043" s="227" t="str">
        <f>MID(excPisCofins[[#This Row],[CodBarras2]],2,50)</f>
        <v/>
      </c>
    </row>
    <row r="14044" spans="9:9" x14ac:dyDescent="0.25">
      <c r="I14044" s="227" t="str">
        <f>MID(excPisCofins[[#This Row],[CodBarras2]],2,50)</f>
        <v/>
      </c>
    </row>
    <row r="14045" spans="9:9" x14ac:dyDescent="0.25">
      <c r="I14045" s="227" t="str">
        <f>MID(excPisCofins[[#This Row],[CodBarras2]],2,50)</f>
        <v/>
      </c>
    </row>
    <row r="14046" spans="9:9" x14ac:dyDescent="0.25">
      <c r="I14046" s="227" t="str">
        <f>MID(excPisCofins[[#This Row],[CodBarras2]],2,50)</f>
        <v/>
      </c>
    </row>
    <row r="14047" spans="9:9" x14ac:dyDescent="0.25">
      <c r="I14047" s="227" t="str">
        <f>MID(excPisCofins[[#This Row],[CodBarras2]],2,50)</f>
        <v/>
      </c>
    </row>
    <row r="14048" spans="9:9" x14ac:dyDescent="0.25">
      <c r="I14048" s="227" t="str">
        <f>MID(excPisCofins[[#This Row],[CodBarras2]],2,50)</f>
        <v/>
      </c>
    </row>
    <row r="14049" spans="9:9" x14ac:dyDescent="0.25">
      <c r="I14049" s="227" t="str">
        <f>MID(excPisCofins[[#This Row],[CodBarras2]],2,50)</f>
        <v/>
      </c>
    </row>
    <row r="14050" spans="9:9" x14ac:dyDescent="0.25">
      <c r="I14050" s="227" t="str">
        <f>MID(excPisCofins[[#This Row],[CodBarras2]],2,50)</f>
        <v/>
      </c>
    </row>
    <row r="14051" spans="9:9" x14ac:dyDescent="0.25">
      <c r="I14051" s="227" t="str">
        <f>MID(excPisCofins[[#This Row],[CodBarras2]],2,50)</f>
        <v/>
      </c>
    </row>
    <row r="14052" spans="9:9" x14ac:dyDescent="0.25">
      <c r="I14052" s="227" t="str">
        <f>MID(excPisCofins[[#This Row],[CodBarras2]],2,50)</f>
        <v/>
      </c>
    </row>
    <row r="14053" spans="9:9" x14ac:dyDescent="0.25">
      <c r="I14053" s="227" t="str">
        <f>MID(excPisCofins[[#This Row],[CodBarras2]],2,50)</f>
        <v/>
      </c>
    </row>
    <row r="14054" spans="9:9" x14ac:dyDescent="0.25">
      <c r="I14054" s="227" t="str">
        <f>MID(excPisCofins[[#This Row],[CodBarras2]],2,50)</f>
        <v/>
      </c>
    </row>
    <row r="14055" spans="9:9" x14ac:dyDescent="0.25">
      <c r="I14055" s="227" t="str">
        <f>MID(excPisCofins[[#This Row],[CodBarras2]],2,50)</f>
        <v/>
      </c>
    </row>
    <row r="14056" spans="9:9" x14ac:dyDescent="0.25">
      <c r="I14056" s="227" t="str">
        <f>MID(excPisCofins[[#This Row],[CodBarras2]],2,50)</f>
        <v/>
      </c>
    </row>
    <row r="14057" spans="9:9" x14ac:dyDescent="0.25">
      <c r="I14057" s="227" t="str">
        <f>MID(excPisCofins[[#This Row],[CodBarras2]],2,50)</f>
        <v/>
      </c>
    </row>
    <row r="14058" spans="9:9" x14ac:dyDescent="0.25">
      <c r="I14058" s="227" t="str">
        <f>MID(excPisCofins[[#This Row],[CodBarras2]],2,50)</f>
        <v/>
      </c>
    </row>
    <row r="14059" spans="9:9" x14ac:dyDescent="0.25">
      <c r="I14059" s="227" t="str">
        <f>MID(excPisCofins[[#This Row],[CodBarras2]],2,50)</f>
        <v/>
      </c>
    </row>
    <row r="14060" spans="9:9" x14ac:dyDescent="0.25">
      <c r="I14060" s="227" t="str">
        <f>MID(excPisCofins[[#This Row],[CodBarras2]],2,50)</f>
        <v/>
      </c>
    </row>
    <row r="14061" spans="9:9" x14ac:dyDescent="0.25">
      <c r="I14061" s="227" t="str">
        <f>MID(excPisCofins[[#This Row],[CodBarras2]],2,50)</f>
        <v/>
      </c>
    </row>
    <row r="14062" spans="9:9" x14ac:dyDescent="0.25">
      <c r="I14062" s="227" t="str">
        <f>MID(excPisCofins[[#This Row],[CodBarras2]],2,50)</f>
        <v/>
      </c>
    </row>
    <row r="14063" spans="9:9" x14ac:dyDescent="0.25">
      <c r="I14063" s="227" t="str">
        <f>MID(excPisCofins[[#This Row],[CodBarras2]],2,50)</f>
        <v/>
      </c>
    </row>
    <row r="14064" spans="9:9" x14ac:dyDescent="0.25">
      <c r="I14064" s="227" t="str">
        <f>MID(excPisCofins[[#This Row],[CodBarras2]],2,50)</f>
        <v/>
      </c>
    </row>
    <row r="14065" spans="9:9" x14ac:dyDescent="0.25">
      <c r="I14065" s="227" t="str">
        <f>MID(excPisCofins[[#This Row],[CodBarras2]],2,50)</f>
        <v/>
      </c>
    </row>
    <row r="14066" spans="9:9" x14ac:dyDescent="0.25">
      <c r="I14066" s="227" t="str">
        <f>MID(excPisCofins[[#This Row],[CodBarras2]],2,50)</f>
        <v/>
      </c>
    </row>
    <row r="14067" spans="9:9" x14ac:dyDescent="0.25">
      <c r="I14067" s="227" t="str">
        <f>MID(excPisCofins[[#This Row],[CodBarras2]],2,50)</f>
        <v/>
      </c>
    </row>
    <row r="14068" spans="9:9" x14ac:dyDescent="0.25">
      <c r="I14068" s="227" t="str">
        <f>MID(excPisCofins[[#This Row],[CodBarras2]],2,50)</f>
        <v/>
      </c>
    </row>
    <row r="14069" spans="9:9" x14ac:dyDescent="0.25">
      <c r="I14069" s="227" t="str">
        <f>MID(excPisCofins[[#This Row],[CodBarras2]],2,50)</f>
        <v/>
      </c>
    </row>
    <row r="14070" spans="9:9" x14ac:dyDescent="0.25">
      <c r="I14070" s="227" t="str">
        <f>MID(excPisCofins[[#This Row],[CodBarras2]],2,50)</f>
        <v/>
      </c>
    </row>
    <row r="14071" spans="9:9" x14ac:dyDescent="0.25">
      <c r="I14071" s="227" t="str">
        <f>MID(excPisCofins[[#This Row],[CodBarras2]],2,50)</f>
        <v/>
      </c>
    </row>
    <row r="14072" spans="9:9" x14ac:dyDescent="0.25">
      <c r="I14072" s="227" t="str">
        <f>MID(excPisCofins[[#This Row],[CodBarras2]],2,50)</f>
        <v/>
      </c>
    </row>
    <row r="14073" spans="9:9" x14ac:dyDescent="0.25">
      <c r="I14073" s="227" t="str">
        <f>MID(excPisCofins[[#This Row],[CodBarras2]],2,50)</f>
        <v/>
      </c>
    </row>
    <row r="14074" spans="9:9" x14ac:dyDescent="0.25">
      <c r="I14074" s="227" t="str">
        <f>MID(excPisCofins[[#This Row],[CodBarras2]],2,50)</f>
        <v/>
      </c>
    </row>
    <row r="14075" spans="9:9" x14ac:dyDescent="0.25">
      <c r="I14075" s="227" t="str">
        <f>MID(excPisCofins[[#This Row],[CodBarras2]],2,50)</f>
        <v/>
      </c>
    </row>
    <row r="14076" spans="9:9" x14ac:dyDescent="0.25">
      <c r="I14076" s="227" t="str">
        <f>MID(excPisCofins[[#This Row],[CodBarras2]],2,50)</f>
        <v/>
      </c>
    </row>
    <row r="14077" spans="9:9" x14ac:dyDescent="0.25">
      <c r="I14077" s="227" t="str">
        <f>MID(excPisCofins[[#This Row],[CodBarras2]],2,50)</f>
        <v/>
      </c>
    </row>
    <row r="14078" spans="9:9" x14ac:dyDescent="0.25">
      <c r="I14078" s="227" t="str">
        <f>MID(excPisCofins[[#This Row],[CodBarras2]],2,50)</f>
        <v/>
      </c>
    </row>
    <row r="14079" spans="9:9" x14ac:dyDescent="0.25">
      <c r="I14079" s="227" t="str">
        <f>MID(excPisCofins[[#This Row],[CodBarras2]],2,50)</f>
        <v/>
      </c>
    </row>
    <row r="14080" spans="9:9" x14ac:dyDescent="0.25">
      <c r="I14080" s="227" t="str">
        <f>MID(excPisCofins[[#This Row],[CodBarras2]],2,50)</f>
        <v/>
      </c>
    </row>
    <row r="14081" spans="9:9" x14ac:dyDescent="0.25">
      <c r="I14081" s="227" t="str">
        <f>MID(excPisCofins[[#This Row],[CodBarras2]],2,50)</f>
        <v/>
      </c>
    </row>
    <row r="14082" spans="9:9" x14ac:dyDescent="0.25">
      <c r="I14082" s="227" t="str">
        <f>MID(excPisCofins[[#This Row],[CodBarras2]],2,50)</f>
        <v/>
      </c>
    </row>
    <row r="14083" spans="9:9" x14ac:dyDescent="0.25">
      <c r="I14083" s="227" t="str">
        <f>MID(excPisCofins[[#This Row],[CodBarras2]],2,50)</f>
        <v/>
      </c>
    </row>
    <row r="14084" spans="9:9" x14ac:dyDescent="0.25">
      <c r="I14084" s="227" t="str">
        <f>MID(excPisCofins[[#This Row],[CodBarras2]],2,50)</f>
        <v/>
      </c>
    </row>
    <row r="14085" spans="9:9" x14ac:dyDescent="0.25">
      <c r="I14085" s="227" t="str">
        <f>MID(excPisCofins[[#This Row],[CodBarras2]],2,50)</f>
        <v/>
      </c>
    </row>
    <row r="14086" spans="9:9" x14ac:dyDescent="0.25">
      <c r="I14086" s="227" t="str">
        <f>MID(excPisCofins[[#This Row],[CodBarras2]],2,50)</f>
        <v/>
      </c>
    </row>
    <row r="14087" spans="9:9" x14ac:dyDescent="0.25">
      <c r="I14087" s="227" t="str">
        <f>MID(excPisCofins[[#This Row],[CodBarras2]],2,50)</f>
        <v/>
      </c>
    </row>
    <row r="14088" spans="9:9" x14ac:dyDescent="0.25">
      <c r="I14088" s="227" t="str">
        <f>MID(excPisCofins[[#This Row],[CodBarras2]],2,50)</f>
        <v/>
      </c>
    </row>
    <row r="14089" spans="9:9" x14ac:dyDescent="0.25">
      <c r="I14089" s="227" t="str">
        <f>MID(excPisCofins[[#This Row],[CodBarras2]],2,50)</f>
        <v/>
      </c>
    </row>
    <row r="14090" spans="9:9" x14ac:dyDescent="0.25">
      <c r="I14090" s="227" t="str">
        <f>MID(excPisCofins[[#This Row],[CodBarras2]],2,50)</f>
        <v/>
      </c>
    </row>
    <row r="14091" spans="9:9" x14ac:dyDescent="0.25">
      <c r="I14091" s="227" t="str">
        <f>MID(excPisCofins[[#This Row],[CodBarras2]],2,50)</f>
        <v/>
      </c>
    </row>
    <row r="14092" spans="9:9" x14ac:dyDescent="0.25">
      <c r="I14092" s="227" t="str">
        <f>MID(excPisCofins[[#This Row],[CodBarras2]],2,50)</f>
        <v/>
      </c>
    </row>
    <row r="14093" spans="9:9" x14ac:dyDescent="0.25">
      <c r="I14093" s="227" t="str">
        <f>MID(excPisCofins[[#This Row],[CodBarras2]],2,50)</f>
        <v/>
      </c>
    </row>
    <row r="14094" spans="9:9" x14ac:dyDescent="0.25">
      <c r="I14094" s="227" t="str">
        <f>MID(excPisCofins[[#This Row],[CodBarras2]],2,50)</f>
        <v/>
      </c>
    </row>
    <row r="14095" spans="9:9" x14ac:dyDescent="0.25">
      <c r="I14095" s="227" t="str">
        <f>MID(excPisCofins[[#This Row],[CodBarras2]],2,50)</f>
        <v/>
      </c>
    </row>
    <row r="14096" spans="9:9" x14ac:dyDescent="0.25">
      <c r="I14096" s="227" t="str">
        <f>MID(excPisCofins[[#This Row],[CodBarras2]],2,50)</f>
        <v/>
      </c>
    </row>
    <row r="14097" spans="9:9" x14ac:dyDescent="0.25">
      <c r="I14097" s="227" t="str">
        <f>MID(excPisCofins[[#This Row],[CodBarras2]],2,50)</f>
        <v/>
      </c>
    </row>
    <row r="14098" spans="9:9" x14ac:dyDescent="0.25">
      <c r="I14098" s="227" t="str">
        <f>MID(excPisCofins[[#This Row],[CodBarras2]],2,50)</f>
        <v/>
      </c>
    </row>
    <row r="14099" spans="9:9" x14ac:dyDescent="0.25">
      <c r="I14099" s="227" t="str">
        <f>MID(excPisCofins[[#This Row],[CodBarras2]],2,50)</f>
        <v/>
      </c>
    </row>
    <row r="14100" spans="9:9" x14ac:dyDescent="0.25">
      <c r="I14100" s="227" t="str">
        <f>MID(excPisCofins[[#This Row],[CodBarras2]],2,50)</f>
        <v/>
      </c>
    </row>
    <row r="14101" spans="9:9" x14ac:dyDescent="0.25">
      <c r="I14101" s="227" t="str">
        <f>MID(excPisCofins[[#This Row],[CodBarras2]],2,50)</f>
        <v/>
      </c>
    </row>
    <row r="14102" spans="9:9" x14ac:dyDescent="0.25">
      <c r="I14102" s="227" t="str">
        <f>MID(excPisCofins[[#This Row],[CodBarras2]],2,50)</f>
        <v/>
      </c>
    </row>
    <row r="14103" spans="9:9" x14ac:dyDescent="0.25">
      <c r="I14103" s="227" t="str">
        <f>MID(excPisCofins[[#This Row],[CodBarras2]],2,50)</f>
        <v/>
      </c>
    </row>
    <row r="14104" spans="9:9" x14ac:dyDescent="0.25">
      <c r="I14104" s="227" t="str">
        <f>MID(excPisCofins[[#This Row],[CodBarras2]],2,50)</f>
        <v/>
      </c>
    </row>
    <row r="14105" spans="9:9" x14ac:dyDescent="0.25">
      <c r="I14105" s="227" t="str">
        <f>MID(excPisCofins[[#This Row],[CodBarras2]],2,50)</f>
        <v/>
      </c>
    </row>
    <row r="14106" spans="9:9" x14ac:dyDescent="0.25">
      <c r="I14106" s="227" t="str">
        <f>MID(excPisCofins[[#This Row],[CodBarras2]],2,50)</f>
        <v/>
      </c>
    </row>
    <row r="14107" spans="9:9" x14ac:dyDescent="0.25">
      <c r="I14107" s="227" t="str">
        <f>MID(excPisCofins[[#This Row],[CodBarras2]],2,50)</f>
        <v/>
      </c>
    </row>
    <row r="14108" spans="9:9" x14ac:dyDescent="0.25">
      <c r="I14108" s="227" t="str">
        <f>MID(excPisCofins[[#This Row],[CodBarras2]],2,50)</f>
        <v/>
      </c>
    </row>
    <row r="14109" spans="9:9" x14ac:dyDescent="0.25">
      <c r="I14109" s="227" t="str">
        <f>MID(excPisCofins[[#This Row],[CodBarras2]],2,50)</f>
        <v/>
      </c>
    </row>
    <row r="14110" spans="9:9" x14ac:dyDescent="0.25">
      <c r="I14110" s="227" t="str">
        <f>MID(excPisCofins[[#This Row],[CodBarras2]],2,50)</f>
        <v/>
      </c>
    </row>
    <row r="14111" spans="9:9" x14ac:dyDescent="0.25">
      <c r="I14111" s="227" t="str">
        <f>MID(excPisCofins[[#This Row],[CodBarras2]],2,50)</f>
        <v/>
      </c>
    </row>
    <row r="14112" spans="9:9" x14ac:dyDescent="0.25">
      <c r="I14112" s="227" t="str">
        <f>MID(excPisCofins[[#This Row],[CodBarras2]],2,50)</f>
        <v/>
      </c>
    </row>
    <row r="14113" spans="9:9" x14ac:dyDescent="0.25">
      <c r="I14113" s="227" t="str">
        <f>MID(excPisCofins[[#This Row],[CodBarras2]],2,50)</f>
        <v/>
      </c>
    </row>
    <row r="14114" spans="9:9" x14ac:dyDescent="0.25">
      <c r="I14114" s="227" t="str">
        <f>MID(excPisCofins[[#This Row],[CodBarras2]],2,50)</f>
        <v/>
      </c>
    </row>
    <row r="14115" spans="9:9" x14ac:dyDescent="0.25">
      <c r="I14115" s="227" t="str">
        <f>MID(excPisCofins[[#This Row],[CodBarras2]],2,50)</f>
        <v/>
      </c>
    </row>
    <row r="14116" spans="9:9" x14ac:dyDescent="0.25">
      <c r="I14116" s="227" t="str">
        <f>MID(excPisCofins[[#This Row],[CodBarras2]],2,50)</f>
        <v/>
      </c>
    </row>
    <row r="14117" spans="9:9" x14ac:dyDescent="0.25">
      <c r="I14117" s="227" t="str">
        <f>MID(excPisCofins[[#This Row],[CodBarras2]],2,50)</f>
        <v/>
      </c>
    </row>
    <row r="14118" spans="9:9" x14ac:dyDescent="0.25">
      <c r="I14118" s="227" t="str">
        <f>MID(excPisCofins[[#This Row],[CodBarras2]],2,50)</f>
        <v/>
      </c>
    </row>
    <row r="14119" spans="9:9" x14ac:dyDescent="0.25">
      <c r="I14119" s="227" t="str">
        <f>MID(excPisCofins[[#This Row],[CodBarras2]],2,50)</f>
        <v/>
      </c>
    </row>
    <row r="14120" spans="9:9" x14ac:dyDescent="0.25">
      <c r="I14120" s="227" t="str">
        <f>MID(excPisCofins[[#This Row],[CodBarras2]],2,50)</f>
        <v/>
      </c>
    </row>
    <row r="14121" spans="9:9" x14ac:dyDescent="0.25">
      <c r="I14121" s="227" t="str">
        <f>MID(excPisCofins[[#This Row],[CodBarras2]],2,50)</f>
        <v/>
      </c>
    </row>
    <row r="14122" spans="9:9" x14ac:dyDescent="0.25">
      <c r="I14122" s="227" t="str">
        <f>MID(excPisCofins[[#This Row],[CodBarras2]],2,50)</f>
        <v/>
      </c>
    </row>
    <row r="14123" spans="9:9" x14ac:dyDescent="0.25">
      <c r="I14123" s="227" t="str">
        <f>MID(excPisCofins[[#This Row],[CodBarras2]],2,50)</f>
        <v/>
      </c>
    </row>
    <row r="14124" spans="9:9" x14ac:dyDescent="0.25">
      <c r="I14124" s="227" t="str">
        <f>MID(excPisCofins[[#This Row],[CodBarras2]],2,50)</f>
        <v/>
      </c>
    </row>
    <row r="14125" spans="9:9" x14ac:dyDescent="0.25">
      <c r="I14125" s="227" t="str">
        <f>MID(excPisCofins[[#This Row],[CodBarras2]],2,50)</f>
        <v/>
      </c>
    </row>
    <row r="14126" spans="9:9" x14ac:dyDescent="0.25">
      <c r="I14126" s="227" t="str">
        <f>MID(excPisCofins[[#This Row],[CodBarras2]],2,50)</f>
        <v/>
      </c>
    </row>
    <row r="14127" spans="9:9" x14ac:dyDescent="0.25">
      <c r="I14127" s="227" t="str">
        <f>MID(excPisCofins[[#This Row],[CodBarras2]],2,50)</f>
        <v/>
      </c>
    </row>
    <row r="14128" spans="9:9" x14ac:dyDescent="0.25">
      <c r="I14128" s="227" t="str">
        <f>MID(excPisCofins[[#This Row],[CodBarras2]],2,50)</f>
        <v/>
      </c>
    </row>
    <row r="14129" spans="9:9" x14ac:dyDescent="0.25">
      <c r="I14129" s="227" t="str">
        <f>MID(excPisCofins[[#This Row],[CodBarras2]],2,50)</f>
        <v/>
      </c>
    </row>
    <row r="14130" spans="9:9" x14ac:dyDescent="0.25">
      <c r="I14130" s="227" t="str">
        <f>MID(excPisCofins[[#This Row],[CodBarras2]],2,50)</f>
        <v/>
      </c>
    </row>
    <row r="14131" spans="9:9" x14ac:dyDescent="0.25">
      <c r="I14131" s="227" t="str">
        <f>MID(excPisCofins[[#This Row],[CodBarras2]],2,50)</f>
        <v/>
      </c>
    </row>
    <row r="14132" spans="9:9" x14ac:dyDescent="0.25">
      <c r="I14132" s="227" t="str">
        <f>MID(excPisCofins[[#This Row],[CodBarras2]],2,50)</f>
        <v/>
      </c>
    </row>
    <row r="14133" spans="9:9" x14ac:dyDescent="0.25">
      <c r="I14133" s="227" t="str">
        <f>MID(excPisCofins[[#This Row],[CodBarras2]],2,50)</f>
        <v/>
      </c>
    </row>
    <row r="14134" spans="9:9" x14ac:dyDescent="0.25">
      <c r="I14134" s="227" t="str">
        <f>MID(excPisCofins[[#This Row],[CodBarras2]],2,50)</f>
        <v/>
      </c>
    </row>
    <row r="14135" spans="9:9" x14ac:dyDescent="0.25">
      <c r="I14135" s="227" t="str">
        <f>MID(excPisCofins[[#This Row],[CodBarras2]],2,50)</f>
        <v/>
      </c>
    </row>
    <row r="14136" spans="9:9" x14ac:dyDescent="0.25">
      <c r="I14136" s="227" t="str">
        <f>MID(excPisCofins[[#This Row],[CodBarras2]],2,50)</f>
        <v/>
      </c>
    </row>
    <row r="14137" spans="9:9" x14ac:dyDescent="0.25">
      <c r="I14137" s="227" t="str">
        <f>MID(excPisCofins[[#This Row],[CodBarras2]],2,50)</f>
        <v/>
      </c>
    </row>
    <row r="14138" spans="9:9" x14ac:dyDescent="0.25">
      <c r="I14138" s="227" t="str">
        <f>MID(excPisCofins[[#This Row],[CodBarras2]],2,50)</f>
        <v/>
      </c>
    </row>
    <row r="14139" spans="9:9" x14ac:dyDescent="0.25">
      <c r="I14139" s="227" t="str">
        <f>MID(excPisCofins[[#This Row],[CodBarras2]],2,50)</f>
        <v/>
      </c>
    </row>
    <row r="14140" spans="9:9" x14ac:dyDescent="0.25">
      <c r="I14140" s="227" t="str">
        <f>MID(excPisCofins[[#This Row],[CodBarras2]],2,50)</f>
        <v/>
      </c>
    </row>
    <row r="14141" spans="9:9" x14ac:dyDescent="0.25">
      <c r="I14141" s="227" t="str">
        <f>MID(excPisCofins[[#This Row],[CodBarras2]],2,50)</f>
        <v/>
      </c>
    </row>
    <row r="14142" spans="9:9" x14ac:dyDescent="0.25">
      <c r="I14142" s="227" t="str">
        <f>MID(excPisCofins[[#This Row],[CodBarras2]],2,50)</f>
        <v/>
      </c>
    </row>
    <row r="14143" spans="9:9" x14ac:dyDescent="0.25">
      <c r="I14143" s="227" t="str">
        <f>MID(excPisCofins[[#This Row],[CodBarras2]],2,50)</f>
        <v/>
      </c>
    </row>
    <row r="14144" spans="9:9" x14ac:dyDescent="0.25">
      <c r="I14144" s="227" t="str">
        <f>MID(excPisCofins[[#This Row],[CodBarras2]],2,50)</f>
        <v/>
      </c>
    </row>
    <row r="14145" spans="9:9" x14ac:dyDescent="0.25">
      <c r="I14145" s="227" t="str">
        <f>MID(excPisCofins[[#This Row],[CodBarras2]],2,50)</f>
        <v/>
      </c>
    </row>
    <row r="14146" spans="9:9" x14ac:dyDescent="0.25">
      <c r="I14146" s="227" t="str">
        <f>MID(excPisCofins[[#This Row],[CodBarras2]],2,50)</f>
        <v/>
      </c>
    </row>
    <row r="14147" spans="9:9" x14ac:dyDescent="0.25">
      <c r="I14147" s="227" t="str">
        <f>MID(excPisCofins[[#This Row],[CodBarras2]],2,50)</f>
        <v/>
      </c>
    </row>
    <row r="14148" spans="9:9" x14ac:dyDescent="0.25">
      <c r="I14148" s="227" t="str">
        <f>MID(excPisCofins[[#This Row],[CodBarras2]],2,50)</f>
        <v/>
      </c>
    </row>
    <row r="14149" spans="9:9" x14ac:dyDescent="0.25">
      <c r="I14149" s="227" t="str">
        <f>MID(excPisCofins[[#This Row],[CodBarras2]],2,50)</f>
        <v/>
      </c>
    </row>
    <row r="14150" spans="9:9" x14ac:dyDescent="0.25">
      <c r="I14150" s="227" t="str">
        <f>MID(excPisCofins[[#This Row],[CodBarras2]],2,50)</f>
        <v/>
      </c>
    </row>
    <row r="14151" spans="9:9" x14ac:dyDescent="0.25">
      <c r="I14151" s="227" t="str">
        <f>MID(excPisCofins[[#This Row],[CodBarras2]],2,50)</f>
        <v/>
      </c>
    </row>
    <row r="14152" spans="9:9" x14ac:dyDescent="0.25">
      <c r="I14152" s="227" t="str">
        <f>MID(excPisCofins[[#This Row],[CodBarras2]],2,50)</f>
        <v/>
      </c>
    </row>
    <row r="14153" spans="9:9" x14ac:dyDescent="0.25">
      <c r="I14153" s="227" t="str">
        <f>MID(excPisCofins[[#This Row],[CodBarras2]],2,50)</f>
        <v/>
      </c>
    </row>
    <row r="14154" spans="9:9" x14ac:dyDescent="0.25">
      <c r="I14154" s="227" t="str">
        <f>MID(excPisCofins[[#This Row],[CodBarras2]],2,50)</f>
        <v/>
      </c>
    </row>
    <row r="14155" spans="9:9" x14ac:dyDescent="0.25">
      <c r="I14155" s="227" t="str">
        <f>MID(excPisCofins[[#This Row],[CodBarras2]],2,50)</f>
        <v/>
      </c>
    </row>
    <row r="14156" spans="9:9" x14ac:dyDescent="0.25">
      <c r="I14156" s="227" t="str">
        <f>MID(excPisCofins[[#This Row],[CodBarras2]],2,50)</f>
        <v/>
      </c>
    </row>
    <row r="14157" spans="9:9" x14ac:dyDescent="0.25">
      <c r="I14157" s="227" t="str">
        <f>MID(excPisCofins[[#This Row],[CodBarras2]],2,50)</f>
        <v/>
      </c>
    </row>
    <row r="14158" spans="9:9" x14ac:dyDescent="0.25">
      <c r="I14158" s="227" t="str">
        <f>MID(excPisCofins[[#This Row],[CodBarras2]],2,50)</f>
        <v/>
      </c>
    </row>
    <row r="14159" spans="9:9" x14ac:dyDescent="0.25">
      <c r="I14159" s="227" t="str">
        <f>MID(excPisCofins[[#This Row],[CodBarras2]],2,50)</f>
        <v/>
      </c>
    </row>
    <row r="14160" spans="9:9" x14ac:dyDescent="0.25">
      <c r="I14160" s="227" t="str">
        <f>MID(excPisCofins[[#This Row],[CodBarras2]],2,50)</f>
        <v/>
      </c>
    </row>
    <row r="14161" spans="9:9" x14ac:dyDescent="0.25">
      <c r="I14161" s="227" t="str">
        <f>MID(excPisCofins[[#This Row],[CodBarras2]],2,50)</f>
        <v/>
      </c>
    </row>
    <row r="14162" spans="9:9" x14ac:dyDescent="0.25">
      <c r="I14162" s="227" t="str">
        <f>MID(excPisCofins[[#This Row],[CodBarras2]],2,50)</f>
        <v/>
      </c>
    </row>
    <row r="14163" spans="9:9" x14ac:dyDescent="0.25">
      <c r="I14163" s="227" t="str">
        <f>MID(excPisCofins[[#This Row],[CodBarras2]],2,50)</f>
        <v/>
      </c>
    </row>
    <row r="14164" spans="9:9" x14ac:dyDescent="0.25">
      <c r="I14164" s="227" t="str">
        <f>MID(excPisCofins[[#This Row],[CodBarras2]],2,50)</f>
        <v/>
      </c>
    </row>
    <row r="14165" spans="9:9" x14ac:dyDescent="0.25">
      <c r="I14165" s="227" t="str">
        <f>MID(excPisCofins[[#This Row],[CodBarras2]],2,50)</f>
        <v/>
      </c>
    </row>
    <row r="14166" spans="9:9" x14ac:dyDescent="0.25">
      <c r="I14166" s="227" t="str">
        <f>MID(excPisCofins[[#This Row],[CodBarras2]],2,50)</f>
        <v/>
      </c>
    </row>
    <row r="14167" spans="9:9" x14ac:dyDescent="0.25">
      <c r="I14167" s="227" t="str">
        <f>MID(excPisCofins[[#This Row],[CodBarras2]],2,50)</f>
        <v/>
      </c>
    </row>
    <row r="14168" spans="9:9" x14ac:dyDescent="0.25">
      <c r="I14168" s="227" t="str">
        <f>MID(excPisCofins[[#This Row],[CodBarras2]],2,50)</f>
        <v/>
      </c>
    </row>
    <row r="14169" spans="9:9" x14ac:dyDescent="0.25">
      <c r="I14169" s="227" t="str">
        <f>MID(excPisCofins[[#This Row],[CodBarras2]],2,50)</f>
        <v/>
      </c>
    </row>
    <row r="14170" spans="9:9" x14ac:dyDescent="0.25">
      <c r="I14170" s="227" t="str">
        <f>MID(excPisCofins[[#This Row],[CodBarras2]],2,50)</f>
        <v/>
      </c>
    </row>
    <row r="14171" spans="9:9" x14ac:dyDescent="0.25">
      <c r="I14171" s="227" t="str">
        <f>MID(excPisCofins[[#This Row],[CodBarras2]],2,50)</f>
        <v/>
      </c>
    </row>
    <row r="14172" spans="9:9" x14ac:dyDescent="0.25">
      <c r="I14172" s="227" t="str">
        <f>MID(excPisCofins[[#This Row],[CodBarras2]],2,50)</f>
        <v/>
      </c>
    </row>
    <row r="14173" spans="9:9" x14ac:dyDescent="0.25">
      <c r="I14173" s="227" t="str">
        <f>MID(excPisCofins[[#This Row],[CodBarras2]],2,50)</f>
        <v/>
      </c>
    </row>
    <row r="14174" spans="9:9" x14ac:dyDescent="0.25">
      <c r="I14174" s="227" t="str">
        <f>MID(excPisCofins[[#This Row],[CodBarras2]],2,50)</f>
        <v/>
      </c>
    </row>
    <row r="14175" spans="9:9" x14ac:dyDescent="0.25">
      <c r="I14175" s="227" t="str">
        <f>MID(excPisCofins[[#This Row],[CodBarras2]],2,50)</f>
        <v/>
      </c>
    </row>
    <row r="14176" spans="9:9" x14ac:dyDescent="0.25">
      <c r="I14176" s="227" t="str">
        <f>MID(excPisCofins[[#This Row],[CodBarras2]],2,50)</f>
        <v/>
      </c>
    </row>
    <row r="14177" spans="9:9" x14ac:dyDescent="0.25">
      <c r="I14177" s="227" t="str">
        <f>MID(excPisCofins[[#This Row],[CodBarras2]],2,50)</f>
        <v/>
      </c>
    </row>
    <row r="14178" spans="9:9" x14ac:dyDescent="0.25">
      <c r="I14178" s="227" t="str">
        <f>MID(excPisCofins[[#This Row],[CodBarras2]],2,50)</f>
        <v/>
      </c>
    </row>
    <row r="14179" spans="9:9" x14ac:dyDescent="0.25">
      <c r="I14179" s="227" t="str">
        <f>MID(excPisCofins[[#This Row],[CodBarras2]],2,50)</f>
        <v/>
      </c>
    </row>
    <row r="14180" spans="9:9" x14ac:dyDescent="0.25">
      <c r="I14180" s="227" t="str">
        <f>MID(excPisCofins[[#This Row],[CodBarras2]],2,50)</f>
        <v/>
      </c>
    </row>
    <row r="14181" spans="9:9" x14ac:dyDescent="0.25">
      <c r="I14181" s="227" t="str">
        <f>MID(excPisCofins[[#This Row],[CodBarras2]],2,50)</f>
        <v/>
      </c>
    </row>
    <row r="14182" spans="9:9" x14ac:dyDescent="0.25">
      <c r="I14182" s="227" t="str">
        <f>MID(excPisCofins[[#This Row],[CodBarras2]],2,50)</f>
        <v/>
      </c>
    </row>
    <row r="14183" spans="9:9" x14ac:dyDescent="0.25">
      <c r="I14183" s="227" t="str">
        <f>MID(excPisCofins[[#This Row],[CodBarras2]],2,50)</f>
        <v/>
      </c>
    </row>
    <row r="14184" spans="9:9" x14ac:dyDescent="0.25">
      <c r="I14184" s="227" t="str">
        <f>MID(excPisCofins[[#This Row],[CodBarras2]],2,50)</f>
        <v/>
      </c>
    </row>
    <row r="14185" spans="9:9" x14ac:dyDescent="0.25">
      <c r="I14185" s="227" t="str">
        <f>MID(excPisCofins[[#This Row],[CodBarras2]],2,50)</f>
        <v/>
      </c>
    </row>
    <row r="14186" spans="9:9" x14ac:dyDescent="0.25">
      <c r="I14186" s="227" t="str">
        <f>MID(excPisCofins[[#This Row],[CodBarras2]],2,50)</f>
        <v/>
      </c>
    </row>
    <row r="14187" spans="9:9" x14ac:dyDescent="0.25">
      <c r="I14187" s="227" t="str">
        <f>MID(excPisCofins[[#This Row],[CodBarras2]],2,50)</f>
        <v/>
      </c>
    </row>
    <row r="14188" spans="9:9" x14ac:dyDescent="0.25">
      <c r="I14188" s="227" t="str">
        <f>MID(excPisCofins[[#This Row],[CodBarras2]],2,50)</f>
        <v/>
      </c>
    </row>
    <row r="14189" spans="9:9" x14ac:dyDescent="0.25">
      <c r="I14189" s="227" t="str">
        <f>MID(excPisCofins[[#This Row],[CodBarras2]],2,50)</f>
        <v/>
      </c>
    </row>
    <row r="14190" spans="9:9" x14ac:dyDescent="0.25">
      <c r="I14190" s="227" t="str">
        <f>MID(excPisCofins[[#This Row],[CodBarras2]],2,50)</f>
        <v/>
      </c>
    </row>
    <row r="14191" spans="9:9" x14ac:dyDescent="0.25">
      <c r="I14191" s="227" t="str">
        <f>MID(excPisCofins[[#This Row],[CodBarras2]],2,50)</f>
        <v/>
      </c>
    </row>
    <row r="14192" spans="9:9" x14ac:dyDescent="0.25">
      <c r="I14192" s="227" t="str">
        <f>MID(excPisCofins[[#This Row],[CodBarras2]],2,50)</f>
        <v/>
      </c>
    </row>
    <row r="14193" spans="9:9" x14ac:dyDescent="0.25">
      <c r="I14193" s="227" t="str">
        <f>MID(excPisCofins[[#This Row],[CodBarras2]],2,50)</f>
        <v/>
      </c>
    </row>
    <row r="14194" spans="9:9" x14ac:dyDescent="0.25">
      <c r="I14194" s="227" t="str">
        <f>MID(excPisCofins[[#This Row],[CodBarras2]],2,50)</f>
        <v/>
      </c>
    </row>
    <row r="14195" spans="9:9" x14ac:dyDescent="0.25">
      <c r="I14195" s="227" t="str">
        <f>MID(excPisCofins[[#This Row],[CodBarras2]],2,50)</f>
        <v/>
      </c>
    </row>
    <row r="14196" spans="9:9" x14ac:dyDescent="0.25">
      <c r="I14196" s="227" t="str">
        <f>MID(excPisCofins[[#This Row],[CodBarras2]],2,50)</f>
        <v/>
      </c>
    </row>
    <row r="14197" spans="9:9" x14ac:dyDescent="0.25">
      <c r="I14197" s="227" t="str">
        <f>MID(excPisCofins[[#This Row],[CodBarras2]],2,50)</f>
        <v/>
      </c>
    </row>
    <row r="14198" spans="9:9" x14ac:dyDescent="0.25">
      <c r="I14198" s="227" t="str">
        <f>MID(excPisCofins[[#This Row],[CodBarras2]],2,50)</f>
        <v/>
      </c>
    </row>
    <row r="14199" spans="9:9" x14ac:dyDescent="0.25">
      <c r="I14199" s="227" t="str">
        <f>MID(excPisCofins[[#This Row],[CodBarras2]],2,50)</f>
        <v/>
      </c>
    </row>
    <row r="14200" spans="9:9" x14ac:dyDescent="0.25">
      <c r="I14200" s="227" t="str">
        <f>MID(excPisCofins[[#This Row],[CodBarras2]],2,50)</f>
        <v/>
      </c>
    </row>
    <row r="14201" spans="9:9" x14ac:dyDescent="0.25">
      <c r="I14201" s="227" t="str">
        <f>MID(excPisCofins[[#This Row],[CodBarras2]],2,50)</f>
        <v/>
      </c>
    </row>
    <row r="14202" spans="9:9" x14ac:dyDescent="0.25">
      <c r="I14202" s="227" t="str">
        <f>MID(excPisCofins[[#This Row],[CodBarras2]],2,50)</f>
        <v/>
      </c>
    </row>
    <row r="14203" spans="9:9" x14ac:dyDescent="0.25">
      <c r="I14203" s="227" t="str">
        <f>MID(excPisCofins[[#This Row],[CodBarras2]],2,50)</f>
        <v/>
      </c>
    </row>
    <row r="14204" spans="9:9" x14ac:dyDescent="0.25">
      <c r="I14204" s="227" t="str">
        <f>MID(excPisCofins[[#This Row],[CodBarras2]],2,50)</f>
        <v/>
      </c>
    </row>
    <row r="14205" spans="9:9" x14ac:dyDescent="0.25">
      <c r="I14205" s="227" t="str">
        <f>MID(excPisCofins[[#This Row],[CodBarras2]],2,50)</f>
        <v/>
      </c>
    </row>
    <row r="14206" spans="9:9" x14ac:dyDescent="0.25">
      <c r="I14206" s="227" t="str">
        <f>MID(excPisCofins[[#This Row],[CodBarras2]],2,50)</f>
        <v/>
      </c>
    </row>
    <row r="14207" spans="9:9" x14ac:dyDescent="0.25">
      <c r="I14207" s="227" t="str">
        <f>MID(excPisCofins[[#This Row],[CodBarras2]],2,50)</f>
        <v/>
      </c>
    </row>
    <row r="14208" spans="9:9" x14ac:dyDescent="0.25">
      <c r="I14208" s="227" t="str">
        <f>MID(excPisCofins[[#This Row],[CodBarras2]],2,50)</f>
        <v/>
      </c>
    </row>
    <row r="14209" spans="9:9" x14ac:dyDescent="0.25">
      <c r="I14209" s="227" t="str">
        <f>MID(excPisCofins[[#This Row],[CodBarras2]],2,50)</f>
        <v/>
      </c>
    </row>
    <row r="14210" spans="9:9" x14ac:dyDescent="0.25">
      <c r="I14210" s="227" t="str">
        <f>MID(excPisCofins[[#This Row],[CodBarras2]],2,50)</f>
        <v/>
      </c>
    </row>
    <row r="14211" spans="9:9" x14ac:dyDescent="0.25">
      <c r="I14211" s="227" t="str">
        <f>MID(excPisCofins[[#This Row],[CodBarras2]],2,50)</f>
        <v/>
      </c>
    </row>
    <row r="14212" spans="9:9" x14ac:dyDescent="0.25">
      <c r="I14212" s="227" t="str">
        <f>MID(excPisCofins[[#This Row],[CodBarras2]],2,50)</f>
        <v/>
      </c>
    </row>
    <row r="14213" spans="9:9" x14ac:dyDescent="0.25">
      <c r="I14213" s="227" t="str">
        <f>MID(excPisCofins[[#This Row],[CodBarras2]],2,50)</f>
        <v/>
      </c>
    </row>
    <row r="14214" spans="9:9" x14ac:dyDescent="0.25">
      <c r="I14214" s="227" t="str">
        <f>MID(excPisCofins[[#This Row],[CodBarras2]],2,50)</f>
        <v/>
      </c>
    </row>
    <row r="14215" spans="9:9" x14ac:dyDescent="0.25">
      <c r="I14215" s="227" t="str">
        <f>MID(excPisCofins[[#This Row],[CodBarras2]],2,50)</f>
        <v/>
      </c>
    </row>
    <row r="14216" spans="9:9" x14ac:dyDescent="0.25">
      <c r="I14216" s="227" t="str">
        <f>MID(excPisCofins[[#This Row],[CodBarras2]],2,50)</f>
        <v/>
      </c>
    </row>
    <row r="14217" spans="9:9" x14ac:dyDescent="0.25">
      <c r="I14217" s="227" t="str">
        <f>MID(excPisCofins[[#This Row],[CodBarras2]],2,50)</f>
        <v/>
      </c>
    </row>
    <row r="14218" spans="9:9" x14ac:dyDescent="0.25">
      <c r="I14218" s="227" t="str">
        <f>MID(excPisCofins[[#This Row],[CodBarras2]],2,50)</f>
        <v/>
      </c>
    </row>
    <row r="14219" spans="9:9" x14ac:dyDescent="0.25">
      <c r="I14219" s="227" t="str">
        <f>MID(excPisCofins[[#This Row],[CodBarras2]],2,50)</f>
        <v/>
      </c>
    </row>
    <row r="14220" spans="9:9" x14ac:dyDescent="0.25">
      <c r="I14220" s="227" t="str">
        <f>MID(excPisCofins[[#This Row],[CodBarras2]],2,50)</f>
        <v/>
      </c>
    </row>
    <row r="14221" spans="9:9" x14ac:dyDescent="0.25">
      <c r="I14221" s="227" t="str">
        <f>MID(excPisCofins[[#This Row],[CodBarras2]],2,50)</f>
        <v/>
      </c>
    </row>
    <row r="14222" spans="9:9" x14ac:dyDescent="0.25">
      <c r="I14222" s="227" t="str">
        <f>MID(excPisCofins[[#This Row],[CodBarras2]],2,50)</f>
        <v/>
      </c>
    </row>
    <row r="14223" spans="9:9" x14ac:dyDescent="0.25">
      <c r="I14223" s="227" t="str">
        <f>MID(excPisCofins[[#This Row],[CodBarras2]],2,50)</f>
        <v/>
      </c>
    </row>
    <row r="14224" spans="9:9" x14ac:dyDescent="0.25">
      <c r="I14224" s="227" t="str">
        <f>MID(excPisCofins[[#This Row],[CodBarras2]],2,50)</f>
        <v/>
      </c>
    </row>
    <row r="14225" spans="9:9" x14ac:dyDescent="0.25">
      <c r="I14225" s="227" t="str">
        <f>MID(excPisCofins[[#This Row],[CodBarras2]],2,50)</f>
        <v/>
      </c>
    </row>
    <row r="14226" spans="9:9" x14ac:dyDescent="0.25">
      <c r="I14226" s="227" t="str">
        <f>MID(excPisCofins[[#This Row],[CodBarras2]],2,50)</f>
        <v/>
      </c>
    </row>
    <row r="14227" spans="9:9" x14ac:dyDescent="0.25">
      <c r="I14227" s="227" t="str">
        <f>MID(excPisCofins[[#This Row],[CodBarras2]],2,50)</f>
        <v/>
      </c>
    </row>
    <row r="14228" spans="9:9" x14ac:dyDescent="0.25">
      <c r="I14228" s="227" t="str">
        <f>MID(excPisCofins[[#This Row],[CodBarras2]],2,50)</f>
        <v/>
      </c>
    </row>
    <row r="14229" spans="9:9" x14ac:dyDescent="0.25">
      <c r="I14229" s="227" t="str">
        <f>MID(excPisCofins[[#This Row],[CodBarras2]],2,50)</f>
        <v/>
      </c>
    </row>
    <row r="14230" spans="9:9" x14ac:dyDescent="0.25">
      <c r="I14230" s="227" t="str">
        <f>MID(excPisCofins[[#This Row],[CodBarras2]],2,50)</f>
        <v/>
      </c>
    </row>
    <row r="14231" spans="9:9" x14ac:dyDescent="0.25">
      <c r="I14231" s="227" t="str">
        <f>MID(excPisCofins[[#This Row],[CodBarras2]],2,50)</f>
        <v/>
      </c>
    </row>
    <row r="14232" spans="9:9" x14ac:dyDescent="0.25">
      <c r="I14232" s="227" t="str">
        <f>MID(excPisCofins[[#This Row],[CodBarras2]],2,50)</f>
        <v/>
      </c>
    </row>
    <row r="14233" spans="9:9" x14ac:dyDescent="0.25">
      <c r="I14233" s="227" t="str">
        <f>MID(excPisCofins[[#This Row],[CodBarras2]],2,50)</f>
        <v/>
      </c>
    </row>
    <row r="14234" spans="9:9" x14ac:dyDescent="0.25">
      <c r="I14234" s="227" t="str">
        <f>MID(excPisCofins[[#This Row],[CodBarras2]],2,50)</f>
        <v/>
      </c>
    </row>
    <row r="14235" spans="9:9" x14ac:dyDescent="0.25">
      <c r="I14235" s="227" t="str">
        <f>MID(excPisCofins[[#This Row],[CodBarras2]],2,50)</f>
        <v/>
      </c>
    </row>
    <row r="14236" spans="9:9" x14ac:dyDescent="0.25">
      <c r="I14236" s="227" t="str">
        <f>MID(excPisCofins[[#This Row],[CodBarras2]],2,50)</f>
        <v/>
      </c>
    </row>
    <row r="14237" spans="9:9" x14ac:dyDescent="0.25">
      <c r="I14237" s="227" t="str">
        <f>MID(excPisCofins[[#This Row],[CodBarras2]],2,50)</f>
        <v/>
      </c>
    </row>
    <row r="14238" spans="9:9" x14ac:dyDescent="0.25">
      <c r="I14238" s="227" t="str">
        <f>MID(excPisCofins[[#This Row],[CodBarras2]],2,50)</f>
        <v/>
      </c>
    </row>
    <row r="14239" spans="9:9" x14ac:dyDescent="0.25">
      <c r="I14239" s="227" t="str">
        <f>MID(excPisCofins[[#This Row],[CodBarras2]],2,50)</f>
        <v/>
      </c>
    </row>
    <row r="14240" spans="9:9" x14ac:dyDescent="0.25">
      <c r="I14240" s="227" t="str">
        <f>MID(excPisCofins[[#This Row],[CodBarras2]],2,50)</f>
        <v/>
      </c>
    </row>
    <row r="14241" spans="9:9" x14ac:dyDescent="0.25">
      <c r="I14241" s="227" t="str">
        <f>MID(excPisCofins[[#This Row],[CodBarras2]],2,50)</f>
        <v/>
      </c>
    </row>
    <row r="14242" spans="9:9" x14ac:dyDescent="0.25">
      <c r="I14242" s="227" t="str">
        <f>MID(excPisCofins[[#This Row],[CodBarras2]],2,50)</f>
        <v/>
      </c>
    </row>
    <row r="14243" spans="9:9" x14ac:dyDescent="0.25">
      <c r="I14243" s="227" t="str">
        <f>MID(excPisCofins[[#This Row],[CodBarras2]],2,50)</f>
        <v/>
      </c>
    </row>
    <row r="14244" spans="9:9" x14ac:dyDescent="0.25">
      <c r="I14244" s="227" t="str">
        <f>MID(excPisCofins[[#This Row],[CodBarras2]],2,50)</f>
        <v/>
      </c>
    </row>
    <row r="14245" spans="9:9" x14ac:dyDescent="0.25">
      <c r="I14245" s="227" t="str">
        <f>MID(excPisCofins[[#This Row],[CodBarras2]],2,50)</f>
        <v/>
      </c>
    </row>
    <row r="14246" spans="9:9" x14ac:dyDescent="0.25">
      <c r="I14246" s="227" t="str">
        <f>MID(excPisCofins[[#This Row],[CodBarras2]],2,50)</f>
        <v/>
      </c>
    </row>
    <row r="14247" spans="9:9" x14ac:dyDescent="0.25">
      <c r="I14247" s="227" t="str">
        <f>MID(excPisCofins[[#This Row],[CodBarras2]],2,50)</f>
        <v/>
      </c>
    </row>
    <row r="14248" spans="9:9" x14ac:dyDescent="0.25">
      <c r="I14248" s="227" t="str">
        <f>MID(excPisCofins[[#This Row],[CodBarras2]],2,50)</f>
        <v/>
      </c>
    </row>
    <row r="14249" spans="9:9" x14ac:dyDescent="0.25">
      <c r="I14249" s="227" t="str">
        <f>MID(excPisCofins[[#This Row],[CodBarras2]],2,50)</f>
        <v/>
      </c>
    </row>
    <row r="14250" spans="9:9" x14ac:dyDescent="0.25">
      <c r="I14250" s="227" t="str">
        <f>MID(excPisCofins[[#This Row],[CodBarras2]],2,50)</f>
        <v/>
      </c>
    </row>
    <row r="14251" spans="9:9" x14ac:dyDescent="0.25">
      <c r="I14251" s="227" t="str">
        <f>MID(excPisCofins[[#This Row],[CodBarras2]],2,50)</f>
        <v/>
      </c>
    </row>
    <row r="14252" spans="9:9" x14ac:dyDescent="0.25">
      <c r="I14252" s="227" t="str">
        <f>MID(excPisCofins[[#This Row],[CodBarras2]],2,50)</f>
        <v/>
      </c>
    </row>
    <row r="14253" spans="9:9" x14ac:dyDescent="0.25">
      <c r="I14253" s="227" t="str">
        <f>MID(excPisCofins[[#This Row],[CodBarras2]],2,50)</f>
        <v/>
      </c>
    </row>
    <row r="14254" spans="9:9" x14ac:dyDescent="0.25">
      <c r="I14254" s="227" t="str">
        <f>MID(excPisCofins[[#This Row],[CodBarras2]],2,50)</f>
        <v/>
      </c>
    </row>
    <row r="14255" spans="9:9" x14ac:dyDescent="0.25">
      <c r="I14255" s="227" t="str">
        <f>MID(excPisCofins[[#This Row],[CodBarras2]],2,50)</f>
        <v/>
      </c>
    </row>
    <row r="14256" spans="9:9" x14ac:dyDescent="0.25">
      <c r="I14256" s="227" t="str">
        <f>MID(excPisCofins[[#This Row],[CodBarras2]],2,50)</f>
        <v/>
      </c>
    </row>
    <row r="14257" spans="9:9" x14ac:dyDescent="0.25">
      <c r="I14257" s="227" t="str">
        <f>MID(excPisCofins[[#This Row],[CodBarras2]],2,50)</f>
        <v/>
      </c>
    </row>
    <row r="14258" spans="9:9" x14ac:dyDescent="0.25">
      <c r="I14258" s="227" t="str">
        <f>MID(excPisCofins[[#This Row],[CodBarras2]],2,50)</f>
        <v/>
      </c>
    </row>
    <row r="14259" spans="9:9" x14ac:dyDescent="0.25">
      <c r="I14259" s="227" t="str">
        <f>MID(excPisCofins[[#This Row],[CodBarras2]],2,50)</f>
        <v/>
      </c>
    </row>
    <row r="14260" spans="9:9" x14ac:dyDescent="0.25">
      <c r="I14260" s="227" t="str">
        <f>MID(excPisCofins[[#This Row],[CodBarras2]],2,50)</f>
        <v/>
      </c>
    </row>
    <row r="14261" spans="9:9" x14ac:dyDescent="0.25">
      <c r="I14261" s="227" t="str">
        <f>MID(excPisCofins[[#This Row],[CodBarras2]],2,50)</f>
        <v/>
      </c>
    </row>
    <row r="14262" spans="9:9" x14ac:dyDescent="0.25">
      <c r="I14262" s="227" t="str">
        <f>MID(excPisCofins[[#This Row],[CodBarras2]],2,50)</f>
        <v/>
      </c>
    </row>
    <row r="14263" spans="9:9" x14ac:dyDescent="0.25">
      <c r="I14263" s="227" t="str">
        <f>MID(excPisCofins[[#This Row],[CodBarras2]],2,50)</f>
        <v/>
      </c>
    </row>
    <row r="14264" spans="9:9" x14ac:dyDescent="0.25">
      <c r="I14264" s="227" t="str">
        <f>MID(excPisCofins[[#This Row],[CodBarras2]],2,50)</f>
        <v/>
      </c>
    </row>
    <row r="14265" spans="9:9" x14ac:dyDescent="0.25">
      <c r="I14265" s="227" t="str">
        <f>MID(excPisCofins[[#This Row],[CodBarras2]],2,50)</f>
        <v/>
      </c>
    </row>
    <row r="14266" spans="9:9" x14ac:dyDescent="0.25">
      <c r="I14266" s="227" t="str">
        <f>MID(excPisCofins[[#This Row],[CodBarras2]],2,50)</f>
        <v/>
      </c>
    </row>
    <row r="14267" spans="9:9" x14ac:dyDescent="0.25">
      <c r="I14267" s="227" t="str">
        <f>MID(excPisCofins[[#This Row],[CodBarras2]],2,50)</f>
        <v/>
      </c>
    </row>
    <row r="14268" spans="9:9" x14ac:dyDescent="0.25">
      <c r="I14268" s="227" t="str">
        <f>MID(excPisCofins[[#This Row],[CodBarras2]],2,50)</f>
        <v/>
      </c>
    </row>
    <row r="14269" spans="9:9" x14ac:dyDescent="0.25">
      <c r="I14269" s="227" t="str">
        <f>MID(excPisCofins[[#This Row],[CodBarras2]],2,50)</f>
        <v/>
      </c>
    </row>
    <row r="14270" spans="9:9" x14ac:dyDescent="0.25">
      <c r="I14270" s="227" t="str">
        <f>MID(excPisCofins[[#This Row],[CodBarras2]],2,50)</f>
        <v/>
      </c>
    </row>
    <row r="14271" spans="9:9" x14ac:dyDescent="0.25">
      <c r="I14271" s="227" t="str">
        <f>MID(excPisCofins[[#This Row],[CodBarras2]],2,50)</f>
        <v/>
      </c>
    </row>
    <row r="14272" spans="9:9" x14ac:dyDescent="0.25">
      <c r="I14272" s="227" t="str">
        <f>MID(excPisCofins[[#This Row],[CodBarras2]],2,50)</f>
        <v/>
      </c>
    </row>
    <row r="14273" spans="9:9" x14ac:dyDescent="0.25">
      <c r="I14273" s="227" t="str">
        <f>MID(excPisCofins[[#This Row],[CodBarras2]],2,50)</f>
        <v/>
      </c>
    </row>
    <row r="14274" spans="9:9" x14ac:dyDescent="0.25">
      <c r="I14274" s="227" t="str">
        <f>MID(excPisCofins[[#This Row],[CodBarras2]],2,50)</f>
        <v/>
      </c>
    </row>
    <row r="14275" spans="9:9" x14ac:dyDescent="0.25">
      <c r="I14275" s="227" t="str">
        <f>MID(excPisCofins[[#This Row],[CodBarras2]],2,50)</f>
        <v/>
      </c>
    </row>
    <row r="14276" spans="9:9" x14ac:dyDescent="0.25">
      <c r="I14276" s="227" t="str">
        <f>MID(excPisCofins[[#This Row],[CodBarras2]],2,50)</f>
        <v/>
      </c>
    </row>
    <row r="14277" spans="9:9" x14ac:dyDescent="0.25">
      <c r="I14277" s="227" t="str">
        <f>MID(excPisCofins[[#This Row],[CodBarras2]],2,50)</f>
        <v/>
      </c>
    </row>
    <row r="14278" spans="9:9" x14ac:dyDescent="0.25">
      <c r="I14278" s="227" t="str">
        <f>MID(excPisCofins[[#This Row],[CodBarras2]],2,50)</f>
        <v/>
      </c>
    </row>
    <row r="14279" spans="9:9" x14ac:dyDescent="0.25">
      <c r="I14279" s="227" t="str">
        <f>MID(excPisCofins[[#This Row],[CodBarras2]],2,50)</f>
        <v/>
      </c>
    </row>
    <row r="14280" spans="9:9" x14ac:dyDescent="0.25">
      <c r="I14280" s="227" t="str">
        <f>MID(excPisCofins[[#This Row],[CodBarras2]],2,50)</f>
        <v/>
      </c>
    </row>
    <row r="14281" spans="9:9" x14ac:dyDescent="0.25">
      <c r="I14281" s="227" t="str">
        <f>MID(excPisCofins[[#This Row],[CodBarras2]],2,50)</f>
        <v/>
      </c>
    </row>
    <row r="14282" spans="9:9" x14ac:dyDescent="0.25">
      <c r="I14282" s="227" t="str">
        <f>MID(excPisCofins[[#This Row],[CodBarras2]],2,50)</f>
        <v/>
      </c>
    </row>
    <row r="14283" spans="9:9" x14ac:dyDescent="0.25">
      <c r="I14283" s="227" t="str">
        <f>MID(excPisCofins[[#This Row],[CodBarras2]],2,50)</f>
        <v/>
      </c>
    </row>
    <row r="14284" spans="9:9" x14ac:dyDescent="0.25">
      <c r="I14284" s="227" t="str">
        <f>MID(excPisCofins[[#This Row],[CodBarras2]],2,50)</f>
        <v/>
      </c>
    </row>
    <row r="14285" spans="9:9" x14ac:dyDescent="0.25">
      <c r="I14285" s="227" t="str">
        <f>MID(excPisCofins[[#This Row],[CodBarras2]],2,50)</f>
        <v/>
      </c>
    </row>
    <row r="14286" spans="9:9" x14ac:dyDescent="0.25">
      <c r="I14286" s="227" t="str">
        <f>MID(excPisCofins[[#This Row],[CodBarras2]],2,50)</f>
        <v/>
      </c>
    </row>
    <row r="14287" spans="9:9" x14ac:dyDescent="0.25">
      <c r="I14287" s="227" t="str">
        <f>MID(excPisCofins[[#This Row],[CodBarras2]],2,50)</f>
        <v/>
      </c>
    </row>
    <row r="14288" spans="9:9" x14ac:dyDescent="0.25">
      <c r="I14288" s="227" t="str">
        <f>MID(excPisCofins[[#This Row],[CodBarras2]],2,50)</f>
        <v/>
      </c>
    </row>
    <row r="14289" spans="9:9" x14ac:dyDescent="0.25">
      <c r="I14289" s="227" t="str">
        <f>MID(excPisCofins[[#This Row],[CodBarras2]],2,50)</f>
        <v/>
      </c>
    </row>
    <row r="14290" spans="9:9" x14ac:dyDescent="0.25">
      <c r="I14290" s="227" t="str">
        <f>MID(excPisCofins[[#This Row],[CodBarras2]],2,50)</f>
        <v/>
      </c>
    </row>
    <row r="14291" spans="9:9" x14ac:dyDescent="0.25">
      <c r="I14291" s="227" t="str">
        <f>MID(excPisCofins[[#This Row],[CodBarras2]],2,50)</f>
        <v/>
      </c>
    </row>
    <row r="14292" spans="9:9" x14ac:dyDescent="0.25">
      <c r="I14292" s="227" t="str">
        <f>MID(excPisCofins[[#This Row],[CodBarras2]],2,50)</f>
        <v/>
      </c>
    </row>
    <row r="14293" spans="9:9" x14ac:dyDescent="0.25">
      <c r="I14293" s="227" t="str">
        <f>MID(excPisCofins[[#This Row],[CodBarras2]],2,50)</f>
        <v/>
      </c>
    </row>
    <row r="14294" spans="9:9" x14ac:dyDescent="0.25">
      <c r="I14294" s="227" t="str">
        <f>MID(excPisCofins[[#This Row],[CodBarras2]],2,50)</f>
        <v/>
      </c>
    </row>
    <row r="14295" spans="9:9" x14ac:dyDescent="0.25">
      <c r="I14295" s="227" t="str">
        <f>MID(excPisCofins[[#This Row],[CodBarras2]],2,50)</f>
        <v/>
      </c>
    </row>
    <row r="14296" spans="9:9" x14ac:dyDescent="0.25">
      <c r="I14296" s="227" t="str">
        <f>MID(excPisCofins[[#This Row],[CodBarras2]],2,50)</f>
        <v/>
      </c>
    </row>
    <row r="14297" spans="9:9" x14ac:dyDescent="0.25">
      <c r="I14297" s="227" t="str">
        <f>MID(excPisCofins[[#This Row],[CodBarras2]],2,50)</f>
        <v/>
      </c>
    </row>
    <row r="14298" spans="9:9" x14ac:dyDescent="0.25">
      <c r="I14298" s="227" t="str">
        <f>MID(excPisCofins[[#This Row],[CodBarras2]],2,50)</f>
        <v/>
      </c>
    </row>
    <row r="14299" spans="9:9" x14ac:dyDescent="0.25">
      <c r="I14299" s="227" t="str">
        <f>MID(excPisCofins[[#This Row],[CodBarras2]],2,50)</f>
        <v/>
      </c>
    </row>
    <row r="14300" spans="9:9" x14ac:dyDescent="0.25">
      <c r="I14300" s="227" t="str">
        <f>MID(excPisCofins[[#This Row],[CodBarras2]],2,50)</f>
        <v/>
      </c>
    </row>
    <row r="14301" spans="9:9" x14ac:dyDescent="0.25">
      <c r="I14301" s="227" t="str">
        <f>MID(excPisCofins[[#This Row],[CodBarras2]],2,50)</f>
        <v/>
      </c>
    </row>
    <row r="14302" spans="9:9" x14ac:dyDescent="0.25">
      <c r="I14302" s="227" t="str">
        <f>MID(excPisCofins[[#This Row],[CodBarras2]],2,50)</f>
        <v/>
      </c>
    </row>
    <row r="14303" spans="9:9" x14ac:dyDescent="0.25">
      <c r="I14303" s="227" t="str">
        <f>MID(excPisCofins[[#This Row],[CodBarras2]],2,50)</f>
        <v/>
      </c>
    </row>
    <row r="14304" spans="9:9" x14ac:dyDescent="0.25">
      <c r="I14304" s="227" t="str">
        <f>MID(excPisCofins[[#This Row],[CodBarras2]],2,50)</f>
        <v/>
      </c>
    </row>
    <row r="14305" spans="9:9" x14ac:dyDescent="0.25">
      <c r="I14305" s="227" t="str">
        <f>MID(excPisCofins[[#This Row],[CodBarras2]],2,50)</f>
        <v/>
      </c>
    </row>
    <row r="14306" spans="9:9" x14ac:dyDescent="0.25">
      <c r="I14306" s="227" t="str">
        <f>MID(excPisCofins[[#This Row],[CodBarras2]],2,50)</f>
        <v/>
      </c>
    </row>
    <row r="14307" spans="9:9" x14ac:dyDescent="0.25">
      <c r="I14307" s="227" t="str">
        <f>MID(excPisCofins[[#This Row],[CodBarras2]],2,50)</f>
        <v/>
      </c>
    </row>
    <row r="14308" spans="9:9" x14ac:dyDescent="0.25">
      <c r="I14308" s="227" t="str">
        <f>MID(excPisCofins[[#This Row],[CodBarras2]],2,50)</f>
        <v/>
      </c>
    </row>
    <row r="14309" spans="9:9" x14ac:dyDescent="0.25">
      <c r="I14309" s="227" t="str">
        <f>MID(excPisCofins[[#This Row],[CodBarras2]],2,50)</f>
        <v/>
      </c>
    </row>
    <row r="14310" spans="9:9" x14ac:dyDescent="0.25">
      <c r="I14310" s="227" t="str">
        <f>MID(excPisCofins[[#This Row],[CodBarras2]],2,50)</f>
        <v/>
      </c>
    </row>
    <row r="14311" spans="9:9" x14ac:dyDescent="0.25">
      <c r="I14311" s="227" t="str">
        <f>MID(excPisCofins[[#This Row],[CodBarras2]],2,50)</f>
        <v/>
      </c>
    </row>
    <row r="14312" spans="9:9" x14ac:dyDescent="0.25">
      <c r="I14312" s="227" t="str">
        <f>MID(excPisCofins[[#This Row],[CodBarras2]],2,50)</f>
        <v/>
      </c>
    </row>
    <row r="14313" spans="9:9" x14ac:dyDescent="0.25">
      <c r="I14313" s="227" t="str">
        <f>MID(excPisCofins[[#This Row],[CodBarras2]],2,50)</f>
        <v/>
      </c>
    </row>
    <row r="14314" spans="9:9" x14ac:dyDescent="0.25">
      <c r="I14314" s="227" t="str">
        <f>MID(excPisCofins[[#This Row],[CodBarras2]],2,50)</f>
        <v/>
      </c>
    </row>
    <row r="14315" spans="9:9" x14ac:dyDescent="0.25">
      <c r="I14315" s="227" t="str">
        <f>MID(excPisCofins[[#This Row],[CodBarras2]],2,50)</f>
        <v/>
      </c>
    </row>
    <row r="14316" spans="9:9" x14ac:dyDescent="0.25">
      <c r="I14316" s="227" t="str">
        <f>MID(excPisCofins[[#This Row],[CodBarras2]],2,50)</f>
        <v/>
      </c>
    </row>
    <row r="14317" spans="9:9" x14ac:dyDescent="0.25">
      <c r="I14317" s="227" t="str">
        <f>MID(excPisCofins[[#This Row],[CodBarras2]],2,50)</f>
        <v/>
      </c>
    </row>
    <row r="14318" spans="9:9" x14ac:dyDescent="0.25">
      <c r="I14318" s="227" t="str">
        <f>MID(excPisCofins[[#This Row],[CodBarras2]],2,50)</f>
        <v/>
      </c>
    </row>
    <row r="14319" spans="9:9" x14ac:dyDescent="0.25">
      <c r="I14319" s="227" t="str">
        <f>MID(excPisCofins[[#This Row],[CodBarras2]],2,50)</f>
        <v/>
      </c>
    </row>
    <row r="14320" spans="9:9" x14ac:dyDescent="0.25">
      <c r="I14320" s="227" t="str">
        <f>MID(excPisCofins[[#This Row],[CodBarras2]],2,50)</f>
        <v/>
      </c>
    </row>
    <row r="14321" spans="9:9" x14ac:dyDescent="0.25">
      <c r="I14321" s="227" t="str">
        <f>MID(excPisCofins[[#This Row],[CodBarras2]],2,50)</f>
        <v/>
      </c>
    </row>
    <row r="14322" spans="9:9" x14ac:dyDescent="0.25">
      <c r="I14322" s="227" t="str">
        <f>MID(excPisCofins[[#This Row],[CodBarras2]],2,50)</f>
        <v/>
      </c>
    </row>
    <row r="14323" spans="9:9" x14ac:dyDescent="0.25">
      <c r="I14323" s="227" t="str">
        <f>MID(excPisCofins[[#This Row],[CodBarras2]],2,50)</f>
        <v/>
      </c>
    </row>
    <row r="14324" spans="9:9" x14ac:dyDescent="0.25">
      <c r="I14324" s="227" t="str">
        <f>MID(excPisCofins[[#This Row],[CodBarras2]],2,50)</f>
        <v/>
      </c>
    </row>
    <row r="14325" spans="9:9" x14ac:dyDescent="0.25">
      <c r="I14325" s="227" t="str">
        <f>MID(excPisCofins[[#This Row],[CodBarras2]],2,50)</f>
        <v/>
      </c>
    </row>
    <row r="14326" spans="9:9" x14ac:dyDescent="0.25">
      <c r="I14326" s="227" t="str">
        <f>MID(excPisCofins[[#This Row],[CodBarras2]],2,50)</f>
        <v/>
      </c>
    </row>
    <row r="14327" spans="9:9" x14ac:dyDescent="0.25">
      <c r="I14327" s="227" t="str">
        <f>MID(excPisCofins[[#This Row],[CodBarras2]],2,50)</f>
        <v/>
      </c>
    </row>
    <row r="14328" spans="9:9" x14ac:dyDescent="0.25">
      <c r="I14328" s="227" t="str">
        <f>MID(excPisCofins[[#This Row],[CodBarras2]],2,50)</f>
        <v/>
      </c>
    </row>
    <row r="14329" spans="9:9" x14ac:dyDescent="0.25">
      <c r="I14329" s="227" t="str">
        <f>MID(excPisCofins[[#This Row],[CodBarras2]],2,50)</f>
        <v/>
      </c>
    </row>
    <row r="14330" spans="9:9" x14ac:dyDescent="0.25">
      <c r="I14330" s="227" t="str">
        <f>MID(excPisCofins[[#This Row],[CodBarras2]],2,50)</f>
        <v/>
      </c>
    </row>
    <row r="14331" spans="9:9" x14ac:dyDescent="0.25">
      <c r="I14331" s="227" t="str">
        <f>MID(excPisCofins[[#This Row],[CodBarras2]],2,50)</f>
        <v/>
      </c>
    </row>
    <row r="14332" spans="9:9" x14ac:dyDescent="0.25">
      <c r="I14332" s="227" t="str">
        <f>MID(excPisCofins[[#This Row],[CodBarras2]],2,50)</f>
        <v/>
      </c>
    </row>
    <row r="14333" spans="9:9" x14ac:dyDescent="0.25">
      <c r="I14333" s="227" t="str">
        <f>MID(excPisCofins[[#This Row],[CodBarras2]],2,50)</f>
        <v/>
      </c>
    </row>
    <row r="14334" spans="9:9" x14ac:dyDescent="0.25">
      <c r="I14334" s="227" t="str">
        <f>MID(excPisCofins[[#This Row],[CodBarras2]],2,50)</f>
        <v/>
      </c>
    </row>
    <row r="14335" spans="9:9" x14ac:dyDescent="0.25">
      <c r="I14335" s="227" t="str">
        <f>MID(excPisCofins[[#This Row],[CodBarras2]],2,50)</f>
        <v/>
      </c>
    </row>
    <row r="14336" spans="9:9" x14ac:dyDescent="0.25">
      <c r="I14336" s="227" t="str">
        <f>MID(excPisCofins[[#This Row],[CodBarras2]],2,50)</f>
        <v/>
      </c>
    </row>
    <row r="14337" spans="9:9" x14ac:dyDescent="0.25">
      <c r="I14337" s="227" t="str">
        <f>MID(excPisCofins[[#This Row],[CodBarras2]],2,50)</f>
        <v/>
      </c>
    </row>
    <row r="14338" spans="9:9" x14ac:dyDescent="0.25">
      <c r="I14338" s="227" t="str">
        <f>MID(excPisCofins[[#This Row],[CodBarras2]],2,50)</f>
        <v/>
      </c>
    </row>
    <row r="14339" spans="9:9" x14ac:dyDescent="0.25">
      <c r="I14339" s="227" t="str">
        <f>MID(excPisCofins[[#This Row],[CodBarras2]],2,50)</f>
        <v/>
      </c>
    </row>
    <row r="14340" spans="9:9" x14ac:dyDescent="0.25">
      <c r="I14340" s="227" t="str">
        <f>MID(excPisCofins[[#This Row],[CodBarras2]],2,50)</f>
        <v/>
      </c>
    </row>
    <row r="14341" spans="9:9" x14ac:dyDescent="0.25">
      <c r="I14341" s="227" t="str">
        <f>MID(excPisCofins[[#This Row],[CodBarras2]],2,50)</f>
        <v/>
      </c>
    </row>
    <row r="14342" spans="9:9" x14ac:dyDescent="0.25">
      <c r="I14342" s="227" t="str">
        <f>MID(excPisCofins[[#This Row],[CodBarras2]],2,50)</f>
        <v/>
      </c>
    </row>
    <row r="14343" spans="9:9" x14ac:dyDescent="0.25">
      <c r="I14343" s="227" t="str">
        <f>MID(excPisCofins[[#This Row],[CodBarras2]],2,50)</f>
        <v/>
      </c>
    </row>
    <row r="14344" spans="9:9" x14ac:dyDescent="0.25">
      <c r="I14344" s="227" t="str">
        <f>MID(excPisCofins[[#This Row],[CodBarras2]],2,50)</f>
        <v/>
      </c>
    </row>
    <row r="14345" spans="9:9" x14ac:dyDescent="0.25">
      <c r="I14345" s="227" t="str">
        <f>MID(excPisCofins[[#This Row],[CodBarras2]],2,50)</f>
        <v/>
      </c>
    </row>
    <row r="14346" spans="9:9" x14ac:dyDescent="0.25">
      <c r="I14346" s="227" t="str">
        <f>MID(excPisCofins[[#This Row],[CodBarras2]],2,50)</f>
        <v/>
      </c>
    </row>
    <row r="14347" spans="9:9" x14ac:dyDescent="0.25">
      <c r="I14347" s="227" t="str">
        <f>MID(excPisCofins[[#This Row],[CodBarras2]],2,50)</f>
        <v/>
      </c>
    </row>
    <row r="14348" spans="9:9" x14ac:dyDescent="0.25">
      <c r="I14348" s="227" t="str">
        <f>MID(excPisCofins[[#This Row],[CodBarras2]],2,50)</f>
        <v/>
      </c>
    </row>
    <row r="14349" spans="9:9" x14ac:dyDescent="0.25">
      <c r="I14349" s="227" t="str">
        <f>MID(excPisCofins[[#This Row],[CodBarras2]],2,50)</f>
        <v/>
      </c>
    </row>
    <row r="14350" spans="9:9" x14ac:dyDescent="0.25">
      <c r="I14350" s="227" t="str">
        <f>MID(excPisCofins[[#This Row],[CodBarras2]],2,50)</f>
        <v/>
      </c>
    </row>
    <row r="14351" spans="9:9" x14ac:dyDescent="0.25">
      <c r="I14351" s="227" t="str">
        <f>MID(excPisCofins[[#This Row],[CodBarras2]],2,50)</f>
        <v/>
      </c>
    </row>
    <row r="14352" spans="9:9" x14ac:dyDescent="0.25">
      <c r="I14352" s="227" t="str">
        <f>MID(excPisCofins[[#This Row],[CodBarras2]],2,50)</f>
        <v/>
      </c>
    </row>
    <row r="14353" spans="9:9" x14ac:dyDescent="0.25">
      <c r="I14353" s="227" t="str">
        <f>MID(excPisCofins[[#This Row],[CodBarras2]],2,50)</f>
        <v/>
      </c>
    </row>
    <row r="14354" spans="9:9" x14ac:dyDescent="0.25">
      <c r="I14354" s="227" t="str">
        <f>MID(excPisCofins[[#This Row],[CodBarras2]],2,50)</f>
        <v/>
      </c>
    </row>
    <row r="14355" spans="9:9" x14ac:dyDescent="0.25">
      <c r="I14355" s="227" t="str">
        <f>MID(excPisCofins[[#This Row],[CodBarras2]],2,50)</f>
        <v/>
      </c>
    </row>
    <row r="14356" spans="9:9" x14ac:dyDescent="0.25">
      <c r="I14356" s="227" t="str">
        <f>MID(excPisCofins[[#This Row],[CodBarras2]],2,50)</f>
        <v/>
      </c>
    </row>
    <row r="14357" spans="9:9" x14ac:dyDescent="0.25">
      <c r="I14357" s="227" t="str">
        <f>MID(excPisCofins[[#This Row],[CodBarras2]],2,50)</f>
        <v/>
      </c>
    </row>
    <row r="14358" spans="9:9" x14ac:dyDescent="0.25">
      <c r="I14358" s="227" t="str">
        <f>MID(excPisCofins[[#This Row],[CodBarras2]],2,50)</f>
        <v/>
      </c>
    </row>
    <row r="14359" spans="9:9" x14ac:dyDescent="0.25">
      <c r="I14359" s="227" t="str">
        <f>MID(excPisCofins[[#This Row],[CodBarras2]],2,50)</f>
        <v/>
      </c>
    </row>
    <row r="14360" spans="9:9" x14ac:dyDescent="0.25">
      <c r="I14360" s="227" t="str">
        <f>MID(excPisCofins[[#This Row],[CodBarras2]],2,50)</f>
        <v/>
      </c>
    </row>
    <row r="14361" spans="9:9" x14ac:dyDescent="0.25">
      <c r="I14361" s="227" t="str">
        <f>MID(excPisCofins[[#This Row],[CodBarras2]],2,50)</f>
        <v/>
      </c>
    </row>
    <row r="14362" spans="9:9" x14ac:dyDescent="0.25">
      <c r="I14362" s="227" t="str">
        <f>MID(excPisCofins[[#This Row],[CodBarras2]],2,50)</f>
        <v/>
      </c>
    </row>
    <row r="14363" spans="9:9" x14ac:dyDescent="0.25">
      <c r="I14363" s="227" t="str">
        <f>MID(excPisCofins[[#This Row],[CodBarras2]],2,50)</f>
        <v/>
      </c>
    </row>
    <row r="14364" spans="9:9" x14ac:dyDescent="0.25">
      <c r="I14364" s="227" t="str">
        <f>MID(excPisCofins[[#This Row],[CodBarras2]],2,50)</f>
        <v/>
      </c>
    </row>
    <row r="14365" spans="9:9" x14ac:dyDescent="0.25">
      <c r="I14365" s="227" t="str">
        <f>MID(excPisCofins[[#This Row],[CodBarras2]],2,50)</f>
        <v/>
      </c>
    </row>
    <row r="14366" spans="9:9" x14ac:dyDescent="0.25">
      <c r="I14366" s="227" t="str">
        <f>MID(excPisCofins[[#This Row],[CodBarras2]],2,50)</f>
        <v/>
      </c>
    </row>
    <row r="14367" spans="9:9" x14ac:dyDescent="0.25">
      <c r="I14367" s="227" t="str">
        <f>MID(excPisCofins[[#This Row],[CodBarras2]],2,50)</f>
        <v/>
      </c>
    </row>
    <row r="14368" spans="9:9" x14ac:dyDescent="0.25">
      <c r="I14368" s="227" t="str">
        <f>MID(excPisCofins[[#This Row],[CodBarras2]],2,50)</f>
        <v/>
      </c>
    </row>
    <row r="14369" spans="9:9" x14ac:dyDescent="0.25">
      <c r="I14369" s="227" t="str">
        <f>MID(excPisCofins[[#This Row],[CodBarras2]],2,50)</f>
        <v/>
      </c>
    </row>
    <row r="14370" spans="9:9" x14ac:dyDescent="0.25">
      <c r="I14370" s="227" t="str">
        <f>MID(excPisCofins[[#This Row],[CodBarras2]],2,50)</f>
        <v/>
      </c>
    </row>
    <row r="14371" spans="9:9" x14ac:dyDescent="0.25">
      <c r="I14371" s="227" t="str">
        <f>MID(excPisCofins[[#This Row],[CodBarras2]],2,50)</f>
        <v/>
      </c>
    </row>
    <row r="14372" spans="9:9" x14ac:dyDescent="0.25">
      <c r="I14372" s="227" t="str">
        <f>MID(excPisCofins[[#This Row],[CodBarras2]],2,50)</f>
        <v/>
      </c>
    </row>
    <row r="14373" spans="9:9" x14ac:dyDescent="0.25">
      <c r="I14373" s="227" t="str">
        <f>MID(excPisCofins[[#This Row],[CodBarras2]],2,50)</f>
        <v/>
      </c>
    </row>
    <row r="14374" spans="9:9" x14ac:dyDescent="0.25">
      <c r="I14374" s="227" t="str">
        <f>MID(excPisCofins[[#This Row],[CodBarras2]],2,50)</f>
        <v/>
      </c>
    </row>
    <row r="14375" spans="9:9" x14ac:dyDescent="0.25">
      <c r="I14375" s="227" t="str">
        <f>MID(excPisCofins[[#This Row],[CodBarras2]],2,50)</f>
        <v/>
      </c>
    </row>
    <row r="14376" spans="9:9" x14ac:dyDescent="0.25">
      <c r="I14376" s="227" t="str">
        <f>MID(excPisCofins[[#This Row],[CodBarras2]],2,50)</f>
        <v/>
      </c>
    </row>
    <row r="14377" spans="9:9" x14ac:dyDescent="0.25">
      <c r="I14377" s="227" t="str">
        <f>MID(excPisCofins[[#This Row],[CodBarras2]],2,50)</f>
        <v/>
      </c>
    </row>
    <row r="14378" spans="9:9" x14ac:dyDescent="0.25">
      <c r="I14378" s="227" t="str">
        <f>MID(excPisCofins[[#This Row],[CodBarras2]],2,50)</f>
        <v/>
      </c>
    </row>
    <row r="14379" spans="9:9" x14ac:dyDescent="0.25">
      <c r="I14379" s="227" t="str">
        <f>MID(excPisCofins[[#This Row],[CodBarras2]],2,50)</f>
        <v/>
      </c>
    </row>
    <row r="14380" spans="9:9" x14ac:dyDescent="0.25">
      <c r="I14380" s="227" t="str">
        <f>MID(excPisCofins[[#This Row],[CodBarras2]],2,50)</f>
        <v/>
      </c>
    </row>
    <row r="14381" spans="9:9" x14ac:dyDescent="0.25">
      <c r="I14381" s="227" t="str">
        <f>MID(excPisCofins[[#This Row],[CodBarras2]],2,50)</f>
        <v/>
      </c>
    </row>
    <row r="14382" spans="9:9" x14ac:dyDescent="0.25">
      <c r="I14382" s="227" t="str">
        <f>MID(excPisCofins[[#This Row],[CodBarras2]],2,50)</f>
        <v/>
      </c>
    </row>
    <row r="14383" spans="9:9" x14ac:dyDescent="0.25">
      <c r="I14383" s="227" t="str">
        <f>MID(excPisCofins[[#This Row],[CodBarras2]],2,50)</f>
        <v/>
      </c>
    </row>
    <row r="14384" spans="9:9" x14ac:dyDescent="0.25">
      <c r="I14384" s="227" t="str">
        <f>MID(excPisCofins[[#This Row],[CodBarras2]],2,50)</f>
        <v/>
      </c>
    </row>
    <row r="14385" spans="9:9" x14ac:dyDescent="0.25">
      <c r="I14385" s="227" t="str">
        <f>MID(excPisCofins[[#This Row],[CodBarras2]],2,50)</f>
        <v/>
      </c>
    </row>
    <row r="14386" spans="9:9" x14ac:dyDescent="0.25">
      <c r="I14386" s="227" t="str">
        <f>MID(excPisCofins[[#This Row],[CodBarras2]],2,50)</f>
        <v/>
      </c>
    </row>
    <row r="14387" spans="9:9" x14ac:dyDescent="0.25">
      <c r="I14387" s="227" t="str">
        <f>MID(excPisCofins[[#This Row],[CodBarras2]],2,50)</f>
        <v/>
      </c>
    </row>
    <row r="14388" spans="9:9" x14ac:dyDescent="0.25">
      <c r="I14388" s="227" t="str">
        <f>MID(excPisCofins[[#This Row],[CodBarras2]],2,50)</f>
        <v/>
      </c>
    </row>
    <row r="14389" spans="9:9" x14ac:dyDescent="0.25">
      <c r="I14389" s="227" t="str">
        <f>MID(excPisCofins[[#This Row],[CodBarras2]],2,50)</f>
        <v/>
      </c>
    </row>
    <row r="14390" spans="9:9" x14ac:dyDescent="0.25">
      <c r="I14390" s="227" t="str">
        <f>MID(excPisCofins[[#This Row],[CodBarras2]],2,50)</f>
        <v/>
      </c>
    </row>
    <row r="14391" spans="9:9" x14ac:dyDescent="0.25">
      <c r="I14391" s="227" t="str">
        <f>MID(excPisCofins[[#This Row],[CodBarras2]],2,50)</f>
        <v/>
      </c>
    </row>
    <row r="14392" spans="9:9" x14ac:dyDescent="0.25">
      <c r="I14392" s="227" t="str">
        <f>MID(excPisCofins[[#This Row],[CodBarras2]],2,50)</f>
        <v/>
      </c>
    </row>
    <row r="14393" spans="9:9" x14ac:dyDescent="0.25">
      <c r="I14393" s="227" t="str">
        <f>MID(excPisCofins[[#This Row],[CodBarras2]],2,50)</f>
        <v/>
      </c>
    </row>
    <row r="14394" spans="9:9" x14ac:dyDescent="0.25">
      <c r="I14394" s="227" t="str">
        <f>MID(excPisCofins[[#This Row],[CodBarras2]],2,50)</f>
        <v/>
      </c>
    </row>
    <row r="14395" spans="9:9" x14ac:dyDescent="0.25">
      <c r="I14395" s="227" t="str">
        <f>MID(excPisCofins[[#This Row],[CodBarras2]],2,50)</f>
        <v/>
      </c>
    </row>
    <row r="14396" spans="9:9" x14ac:dyDescent="0.25">
      <c r="I14396" s="227" t="str">
        <f>MID(excPisCofins[[#This Row],[CodBarras2]],2,50)</f>
        <v/>
      </c>
    </row>
    <row r="14397" spans="9:9" x14ac:dyDescent="0.25">
      <c r="I14397" s="227" t="str">
        <f>MID(excPisCofins[[#This Row],[CodBarras2]],2,50)</f>
        <v/>
      </c>
    </row>
    <row r="14398" spans="9:9" x14ac:dyDescent="0.25">
      <c r="I14398" s="227" t="str">
        <f>MID(excPisCofins[[#This Row],[CodBarras2]],2,50)</f>
        <v/>
      </c>
    </row>
    <row r="14399" spans="9:9" x14ac:dyDescent="0.25">
      <c r="I14399" s="227" t="str">
        <f>MID(excPisCofins[[#This Row],[CodBarras2]],2,50)</f>
        <v/>
      </c>
    </row>
    <row r="14400" spans="9:9" x14ac:dyDescent="0.25">
      <c r="I14400" s="227" t="str">
        <f>MID(excPisCofins[[#This Row],[CodBarras2]],2,50)</f>
        <v/>
      </c>
    </row>
    <row r="14401" spans="9:9" x14ac:dyDescent="0.25">
      <c r="I14401" s="227" t="str">
        <f>MID(excPisCofins[[#This Row],[CodBarras2]],2,50)</f>
        <v/>
      </c>
    </row>
    <row r="14402" spans="9:9" x14ac:dyDescent="0.25">
      <c r="I14402" s="227" t="str">
        <f>MID(excPisCofins[[#This Row],[CodBarras2]],2,50)</f>
        <v/>
      </c>
    </row>
    <row r="14403" spans="9:9" x14ac:dyDescent="0.25">
      <c r="I14403" s="227" t="str">
        <f>MID(excPisCofins[[#This Row],[CodBarras2]],2,50)</f>
        <v/>
      </c>
    </row>
    <row r="14404" spans="9:9" x14ac:dyDescent="0.25">
      <c r="I14404" s="227" t="str">
        <f>MID(excPisCofins[[#This Row],[CodBarras2]],2,50)</f>
        <v/>
      </c>
    </row>
    <row r="14405" spans="9:9" x14ac:dyDescent="0.25">
      <c r="I14405" s="227" t="str">
        <f>MID(excPisCofins[[#This Row],[CodBarras2]],2,50)</f>
        <v/>
      </c>
    </row>
    <row r="14406" spans="9:9" x14ac:dyDescent="0.25">
      <c r="I14406" s="227" t="str">
        <f>MID(excPisCofins[[#This Row],[CodBarras2]],2,50)</f>
        <v/>
      </c>
    </row>
    <row r="14407" spans="9:9" x14ac:dyDescent="0.25">
      <c r="I14407" s="227" t="str">
        <f>MID(excPisCofins[[#This Row],[CodBarras2]],2,50)</f>
        <v/>
      </c>
    </row>
    <row r="14408" spans="9:9" x14ac:dyDescent="0.25">
      <c r="I14408" s="227" t="str">
        <f>MID(excPisCofins[[#This Row],[CodBarras2]],2,50)</f>
        <v/>
      </c>
    </row>
    <row r="14409" spans="9:9" x14ac:dyDescent="0.25">
      <c r="I14409" s="227" t="str">
        <f>MID(excPisCofins[[#This Row],[CodBarras2]],2,50)</f>
        <v/>
      </c>
    </row>
    <row r="14410" spans="9:9" x14ac:dyDescent="0.25">
      <c r="I14410" s="227" t="str">
        <f>MID(excPisCofins[[#This Row],[CodBarras2]],2,50)</f>
        <v/>
      </c>
    </row>
    <row r="14411" spans="9:9" x14ac:dyDescent="0.25">
      <c r="I14411" s="227" t="str">
        <f>MID(excPisCofins[[#This Row],[CodBarras2]],2,50)</f>
        <v/>
      </c>
    </row>
    <row r="14412" spans="9:9" x14ac:dyDescent="0.25">
      <c r="I14412" s="227" t="str">
        <f>MID(excPisCofins[[#This Row],[CodBarras2]],2,50)</f>
        <v/>
      </c>
    </row>
    <row r="14413" spans="9:9" x14ac:dyDescent="0.25">
      <c r="I14413" s="227" t="str">
        <f>MID(excPisCofins[[#This Row],[CodBarras2]],2,50)</f>
        <v/>
      </c>
    </row>
    <row r="14414" spans="9:9" x14ac:dyDescent="0.25">
      <c r="I14414" s="227" t="str">
        <f>MID(excPisCofins[[#This Row],[CodBarras2]],2,50)</f>
        <v/>
      </c>
    </row>
    <row r="14415" spans="9:9" x14ac:dyDescent="0.25">
      <c r="I14415" s="227" t="str">
        <f>MID(excPisCofins[[#This Row],[CodBarras2]],2,50)</f>
        <v/>
      </c>
    </row>
    <row r="14416" spans="9:9" x14ac:dyDescent="0.25">
      <c r="I14416" s="227" t="str">
        <f>MID(excPisCofins[[#This Row],[CodBarras2]],2,50)</f>
        <v/>
      </c>
    </row>
    <row r="14417" spans="9:9" x14ac:dyDescent="0.25">
      <c r="I14417" s="227" t="str">
        <f>MID(excPisCofins[[#This Row],[CodBarras2]],2,50)</f>
        <v/>
      </c>
    </row>
    <row r="14418" spans="9:9" x14ac:dyDescent="0.25">
      <c r="I14418" s="227" t="str">
        <f>MID(excPisCofins[[#This Row],[CodBarras2]],2,50)</f>
        <v/>
      </c>
    </row>
    <row r="14419" spans="9:9" x14ac:dyDescent="0.25">
      <c r="I14419" s="227" t="str">
        <f>MID(excPisCofins[[#This Row],[CodBarras2]],2,50)</f>
        <v/>
      </c>
    </row>
    <row r="14420" spans="9:9" x14ac:dyDescent="0.25">
      <c r="I14420" s="227" t="str">
        <f>MID(excPisCofins[[#This Row],[CodBarras2]],2,50)</f>
        <v/>
      </c>
    </row>
    <row r="14421" spans="9:9" x14ac:dyDescent="0.25">
      <c r="I14421" s="227" t="str">
        <f>MID(excPisCofins[[#This Row],[CodBarras2]],2,50)</f>
        <v/>
      </c>
    </row>
    <row r="14422" spans="9:9" x14ac:dyDescent="0.25">
      <c r="I14422" s="227" t="str">
        <f>MID(excPisCofins[[#This Row],[CodBarras2]],2,50)</f>
        <v/>
      </c>
    </row>
    <row r="14423" spans="9:9" x14ac:dyDescent="0.25">
      <c r="I14423" s="227" t="str">
        <f>MID(excPisCofins[[#This Row],[CodBarras2]],2,50)</f>
        <v/>
      </c>
    </row>
    <row r="14424" spans="9:9" x14ac:dyDescent="0.25">
      <c r="I14424" s="227" t="str">
        <f>MID(excPisCofins[[#This Row],[CodBarras2]],2,50)</f>
        <v/>
      </c>
    </row>
    <row r="14425" spans="9:9" x14ac:dyDescent="0.25">
      <c r="I14425" s="227" t="str">
        <f>MID(excPisCofins[[#This Row],[CodBarras2]],2,50)</f>
        <v/>
      </c>
    </row>
    <row r="14426" spans="9:9" x14ac:dyDescent="0.25">
      <c r="I14426" s="227" t="str">
        <f>MID(excPisCofins[[#This Row],[CodBarras2]],2,50)</f>
        <v/>
      </c>
    </row>
    <row r="14427" spans="9:9" x14ac:dyDescent="0.25">
      <c r="I14427" s="227" t="str">
        <f>MID(excPisCofins[[#This Row],[CodBarras2]],2,50)</f>
        <v/>
      </c>
    </row>
    <row r="14428" spans="9:9" x14ac:dyDescent="0.25">
      <c r="I14428" s="227" t="str">
        <f>MID(excPisCofins[[#This Row],[CodBarras2]],2,50)</f>
        <v/>
      </c>
    </row>
    <row r="14429" spans="9:9" x14ac:dyDescent="0.25">
      <c r="I14429" s="227" t="str">
        <f>MID(excPisCofins[[#This Row],[CodBarras2]],2,50)</f>
        <v/>
      </c>
    </row>
    <row r="14430" spans="9:9" x14ac:dyDescent="0.25">
      <c r="I14430" s="227" t="str">
        <f>MID(excPisCofins[[#This Row],[CodBarras2]],2,50)</f>
        <v/>
      </c>
    </row>
    <row r="14431" spans="9:9" x14ac:dyDescent="0.25">
      <c r="I14431" s="227" t="str">
        <f>MID(excPisCofins[[#This Row],[CodBarras2]],2,50)</f>
        <v/>
      </c>
    </row>
    <row r="14432" spans="9:9" x14ac:dyDescent="0.25">
      <c r="I14432" s="227" t="str">
        <f>MID(excPisCofins[[#This Row],[CodBarras2]],2,50)</f>
        <v/>
      </c>
    </row>
    <row r="14433" spans="9:9" x14ac:dyDescent="0.25">
      <c r="I14433" s="227" t="str">
        <f>MID(excPisCofins[[#This Row],[CodBarras2]],2,50)</f>
        <v/>
      </c>
    </row>
    <row r="14434" spans="9:9" x14ac:dyDescent="0.25">
      <c r="I14434" s="227" t="str">
        <f>MID(excPisCofins[[#This Row],[CodBarras2]],2,50)</f>
        <v/>
      </c>
    </row>
    <row r="14435" spans="9:9" x14ac:dyDescent="0.25">
      <c r="I14435" s="227" t="str">
        <f>MID(excPisCofins[[#This Row],[CodBarras2]],2,50)</f>
        <v/>
      </c>
    </row>
    <row r="14436" spans="9:9" x14ac:dyDescent="0.25">
      <c r="I14436" s="227" t="str">
        <f>MID(excPisCofins[[#This Row],[CodBarras2]],2,50)</f>
        <v/>
      </c>
    </row>
    <row r="14437" spans="9:9" x14ac:dyDescent="0.25">
      <c r="I14437" s="227" t="str">
        <f>MID(excPisCofins[[#This Row],[CodBarras2]],2,50)</f>
        <v/>
      </c>
    </row>
    <row r="14438" spans="9:9" x14ac:dyDescent="0.25">
      <c r="I14438" s="227" t="str">
        <f>MID(excPisCofins[[#This Row],[CodBarras2]],2,50)</f>
        <v/>
      </c>
    </row>
    <row r="14439" spans="9:9" x14ac:dyDescent="0.25">
      <c r="I14439" s="227" t="str">
        <f>MID(excPisCofins[[#This Row],[CodBarras2]],2,50)</f>
        <v/>
      </c>
    </row>
    <row r="14440" spans="9:9" x14ac:dyDescent="0.25">
      <c r="I14440" s="227" t="str">
        <f>MID(excPisCofins[[#This Row],[CodBarras2]],2,50)</f>
        <v/>
      </c>
    </row>
    <row r="14441" spans="9:9" x14ac:dyDescent="0.25">
      <c r="I14441" s="227" t="str">
        <f>MID(excPisCofins[[#This Row],[CodBarras2]],2,50)</f>
        <v/>
      </c>
    </row>
    <row r="14442" spans="9:9" x14ac:dyDescent="0.25">
      <c r="I14442" s="227" t="str">
        <f>MID(excPisCofins[[#This Row],[CodBarras2]],2,50)</f>
        <v/>
      </c>
    </row>
    <row r="14443" spans="9:9" x14ac:dyDescent="0.25">
      <c r="I14443" s="227" t="str">
        <f>MID(excPisCofins[[#This Row],[CodBarras2]],2,50)</f>
        <v/>
      </c>
    </row>
    <row r="14444" spans="9:9" x14ac:dyDescent="0.25">
      <c r="I14444" s="227" t="str">
        <f>MID(excPisCofins[[#This Row],[CodBarras2]],2,50)</f>
        <v/>
      </c>
    </row>
    <row r="14445" spans="9:9" x14ac:dyDescent="0.25">
      <c r="I14445" s="227" t="str">
        <f>MID(excPisCofins[[#This Row],[CodBarras2]],2,50)</f>
        <v/>
      </c>
    </row>
    <row r="14446" spans="9:9" x14ac:dyDescent="0.25">
      <c r="I14446" s="227" t="str">
        <f>MID(excPisCofins[[#This Row],[CodBarras2]],2,50)</f>
        <v/>
      </c>
    </row>
    <row r="14447" spans="9:9" x14ac:dyDescent="0.25">
      <c r="I14447" s="227" t="str">
        <f>MID(excPisCofins[[#This Row],[CodBarras2]],2,50)</f>
        <v/>
      </c>
    </row>
    <row r="14448" spans="9:9" x14ac:dyDescent="0.25">
      <c r="I14448" s="227" t="str">
        <f>MID(excPisCofins[[#This Row],[CodBarras2]],2,50)</f>
        <v/>
      </c>
    </row>
    <row r="14449" spans="9:9" x14ac:dyDescent="0.25">
      <c r="I14449" s="227" t="str">
        <f>MID(excPisCofins[[#This Row],[CodBarras2]],2,50)</f>
        <v/>
      </c>
    </row>
    <row r="14450" spans="9:9" x14ac:dyDescent="0.25">
      <c r="I14450" s="227" t="str">
        <f>MID(excPisCofins[[#This Row],[CodBarras2]],2,50)</f>
        <v/>
      </c>
    </row>
    <row r="14451" spans="9:9" x14ac:dyDescent="0.25">
      <c r="I14451" s="227" t="str">
        <f>MID(excPisCofins[[#This Row],[CodBarras2]],2,50)</f>
        <v/>
      </c>
    </row>
    <row r="14452" spans="9:9" x14ac:dyDescent="0.25">
      <c r="I14452" s="227" t="str">
        <f>MID(excPisCofins[[#This Row],[CodBarras2]],2,50)</f>
        <v/>
      </c>
    </row>
    <row r="14453" spans="9:9" x14ac:dyDescent="0.25">
      <c r="I14453" s="227" t="str">
        <f>MID(excPisCofins[[#This Row],[CodBarras2]],2,50)</f>
        <v/>
      </c>
    </row>
    <row r="14454" spans="9:9" x14ac:dyDescent="0.25">
      <c r="I14454" s="227" t="str">
        <f>MID(excPisCofins[[#This Row],[CodBarras2]],2,50)</f>
        <v/>
      </c>
    </row>
    <row r="14455" spans="9:9" x14ac:dyDescent="0.25">
      <c r="I14455" s="227" t="str">
        <f>MID(excPisCofins[[#This Row],[CodBarras2]],2,50)</f>
        <v/>
      </c>
    </row>
    <row r="14456" spans="9:9" x14ac:dyDescent="0.25">
      <c r="I14456" s="227" t="str">
        <f>MID(excPisCofins[[#This Row],[CodBarras2]],2,50)</f>
        <v/>
      </c>
    </row>
    <row r="14457" spans="9:9" x14ac:dyDescent="0.25">
      <c r="I14457" s="227" t="str">
        <f>MID(excPisCofins[[#This Row],[CodBarras2]],2,50)</f>
        <v/>
      </c>
    </row>
    <row r="14458" spans="9:9" x14ac:dyDescent="0.25">
      <c r="I14458" s="227" t="str">
        <f>MID(excPisCofins[[#This Row],[CodBarras2]],2,50)</f>
        <v/>
      </c>
    </row>
    <row r="14459" spans="9:9" x14ac:dyDescent="0.25">
      <c r="I14459" s="227" t="str">
        <f>MID(excPisCofins[[#This Row],[CodBarras2]],2,50)</f>
        <v/>
      </c>
    </row>
    <row r="14460" spans="9:9" x14ac:dyDescent="0.25">
      <c r="I14460" s="227" t="str">
        <f>MID(excPisCofins[[#This Row],[CodBarras2]],2,50)</f>
        <v/>
      </c>
    </row>
    <row r="14461" spans="9:9" x14ac:dyDescent="0.25">
      <c r="I14461" s="227" t="str">
        <f>MID(excPisCofins[[#This Row],[CodBarras2]],2,50)</f>
        <v/>
      </c>
    </row>
    <row r="14462" spans="9:9" x14ac:dyDescent="0.25">
      <c r="I14462" s="227" t="str">
        <f>MID(excPisCofins[[#This Row],[CodBarras2]],2,50)</f>
        <v/>
      </c>
    </row>
    <row r="14463" spans="9:9" x14ac:dyDescent="0.25">
      <c r="I14463" s="227" t="str">
        <f>MID(excPisCofins[[#This Row],[CodBarras2]],2,50)</f>
        <v/>
      </c>
    </row>
    <row r="14464" spans="9:9" x14ac:dyDescent="0.25">
      <c r="I14464" s="227" t="str">
        <f>MID(excPisCofins[[#This Row],[CodBarras2]],2,50)</f>
        <v/>
      </c>
    </row>
    <row r="14465" spans="9:9" x14ac:dyDescent="0.25">
      <c r="I14465" s="227" t="str">
        <f>MID(excPisCofins[[#This Row],[CodBarras2]],2,50)</f>
        <v/>
      </c>
    </row>
    <row r="14466" spans="9:9" x14ac:dyDescent="0.25">
      <c r="I14466" s="227" t="str">
        <f>MID(excPisCofins[[#This Row],[CodBarras2]],2,50)</f>
        <v/>
      </c>
    </row>
    <row r="14467" spans="9:9" x14ac:dyDescent="0.25">
      <c r="I14467" s="227" t="str">
        <f>MID(excPisCofins[[#This Row],[CodBarras2]],2,50)</f>
        <v/>
      </c>
    </row>
    <row r="14468" spans="9:9" x14ac:dyDescent="0.25">
      <c r="I14468" s="227" t="str">
        <f>MID(excPisCofins[[#This Row],[CodBarras2]],2,50)</f>
        <v/>
      </c>
    </row>
    <row r="14469" spans="9:9" x14ac:dyDescent="0.25">
      <c r="I14469" s="227" t="str">
        <f>MID(excPisCofins[[#This Row],[CodBarras2]],2,50)</f>
        <v/>
      </c>
    </row>
    <row r="14470" spans="9:9" x14ac:dyDescent="0.25">
      <c r="I14470" s="227" t="str">
        <f>MID(excPisCofins[[#This Row],[CodBarras2]],2,50)</f>
        <v/>
      </c>
    </row>
    <row r="14471" spans="9:9" x14ac:dyDescent="0.25">
      <c r="I14471" s="227" t="str">
        <f>MID(excPisCofins[[#This Row],[CodBarras2]],2,50)</f>
        <v/>
      </c>
    </row>
    <row r="14472" spans="9:9" x14ac:dyDescent="0.25">
      <c r="I14472" s="227" t="str">
        <f>MID(excPisCofins[[#This Row],[CodBarras2]],2,50)</f>
        <v/>
      </c>
    </row>
    <row r="14473" spans="9:9" x14ac:dyDescent="0.25">
      <c r="I14473" s="227" t="str">
        <f>MID(excPisCofins[[#This Row],[CodBarras2]],2,50)</f>
        <v/>
      </c>
    </row>
    <row r="14474" spans="9:9" x14ac:dyDescent="0.25">
      <c r="I14474" s="227" t="str">
        <f>MID(excPisCofins[[#This Row],[CodBarras2]],2,50)</f>
        <v/>
      </c>
    </row>
    <row r="14475" spans="9:9" x14ac:dyDescent="0.25">
      <c r="I14475" s="227" t="str">
        <f>MID(excPisCofins[[#This Row],[CodBarras2]],2,50)</f>
        <v/>
      </c>
    </row>
    <row r="14476" spans="9:9" x14ac:dyDescent="0.25">
      <c r="I14476" s="227" t="str">
        <f>MID(excPisCofins[[#This Row],[CodBarras2]],2,50)</f>
        <v/>
      </c>
    </row>
    <row r="14477" spans="9:9" x14ac:dyDescent="0.25">
      <c r="I14477" s="227" t="str">
        <f>MID(excPisCofins[[#This Row],[CodBarras2]],2,50)</f>
        <v/>
      </c>
    </row>
    <row r="14478" spans="9:9" x14ac:dyDescent="0.25">
      <c r="I14478" s="227" t="str">
        <f>MID(excPisCofins[[#This Row],[CodBarras2]],2,50)</f>
        <v/>
      </c>
    </row>
    <row r="14479" spans="9:9" x14ac:dyDescent="0.25">
      <c r="I14479" s="227" t="str">
        <f>MID(excPisCofins[[#This Row],[CodBarras2]],2,50)</f>
        <v/>
      </c>
    </row>
    <row r="14480" spans="9:9" x14ac:dyDescent="0.25">
      <c r="I14480" s="227" t="str">
        <f>MID(excPisCofins[[#This Row],[CodBarras2]],2,50)</f>
        <v/>
      </c>
    </row>
    <row r="14481" spans="9:9" x14ac:dyDescent="0.25">
      <c r="I14481" s="227" t="str">
        <f>MID(excPisCofins[[#This Row],[CodBarras2]],2,50)</f>
        <v/>
      </c>
    </row>
    <row r="14482" spans="9:9" x14ac:dyDescent="0.25">
      <c r="I14482" s="227" t="str">
        <f>MID(excPisCofins[[#This Row],[CodBarras2]],2,50)</f>
        <v/>
      </c>
    </row>
    <row r="14483" spans="9:9" x14ac:dyDescent="0.25">
      <c r="I14483" s="227" t="str">
        <f>MID(excPisCofins[[#This Row],[CodBarras2]],2,50)</f>
        <v/>
      </c>
    </row>
    <row r="14484" spans="9:9" x14ac:dyDescent="0.25">
      <c r="I14484" s="227" t="str">
        <f>MID(excPisCofins[[#This Row],[CodBarras2]],2,50)</f>
        <v/>
      </c>
    </row>
    <row r="14485" spans="9:9" x14ac:dyDescent="0.25">
      <c r="I14485" s="227" t="str">
        <f>MID(excPisCofins[[#This Row],[CodBarras2]],2,50)</f>
        <v/>
      </c>
    </row>
    <row r="14486" spans="9:9" x14ac:dyDescent="0.25">
      <c r="I14486" s="227" t="str">
        <f>MID(excPisCofins[[#This Row],[CodBarras2]],2,50)</f>
        <v/>
      </c>
    </row>
    <row r="14487" spans="9:9" x14ac:dyDescent="0.25">
      <c r="I14487" s="227" t="str">
        <f>MID(excPisCofins[[#This Row],[CodBarras2]],2,50)</f>
        <v/>
      </c>
    </row>
    <row r="14488" spans="9:9" x14ac:dyDescent="0.25">
      <c r="I14488" s="227" t="str">
        <f>MID(excPisCofins[[#This Row],[CodBarras2]],2,50)</f>
        <v/>
      </c>
    </row>
    <row r="14489" spans="9:9" x14ac:dyDescent="0.25">
      <c r="I14489" s="227" t="str">
        <f>MID(excPisCofins[[#This Row],[CodBarras2]],2,50)</f>
        <v/>
      </c>
    </row>
    <row r="14490" spans="9:9" x14ac:dyDescent="0.25">
      <c r="I14490" s="227" t="str">
        <f>MID(excPisCofins[[#This Row],[CodBarras2]],2,50)</f>
        <v/>
      </c>
    </row>
    <row r="14491" spans="9:9" x14ac:dyDescent="0.25">
      <c r="I14491" s="227" t="str">
        <f>MID(excPisCofins[[#This Row],[CodBarras2]],2,50)</f>
        <v/>
      </c>
    </row>
    <row r="14492" spans="9:9" x14ac:dyDescent="0.25">
      <c r="I14492" s="227" t="str">
        <f>MID(excPisCofins[[#This Row],[CodBarras2]],2,50)</f>
        <v/>
      </c>
    </row>
    <row r="14493" spans="9:9" x14ac:dyDescent="0.25">
      <c r="I14493" s="227" t="str">
        <f>MID(excPisCofins[[#This Row],[CodBarras2]],2,50)</f>
        <v/>
      </c>
    </row>
    <row r="14494" spans="9:9" x14ac:dyDescent="0.25">
      <c r="I14494" s="227" t="str">
        <f>MID(excPisCofins[[#This Row],[CodBarras2]],2,50)</f>
        <v/>
      </c>
    </row>
    <row r="14495" spans="9:9" x14ac:dyDescent="0.25">
      <c r="I14495" s="227" t="str">
        <f>MID(excPisCofins[[#This Row],[CodBarras2]],2,50)</f>
        <v/>
      </c>
    </row>
    <row r="14496" spans="9:9" x14ac:dyDescent="0.25">
      <c r="I14496" s="227" t="str">
        <f>MID(excPisCofins[[#This Row],[CodBarras2]],2,50)</f>
        <v/>
      </c>
    </row>
    <row r="14497" spans="9:9" x14ac:dyDescent="0.25">
      <c r="I14497" s="227" t="str">
        <f>MID(excPisCofins[[#This Row],[CodBarras2]],2,50)</f>
        <v/>
      </c>
    </row>
    <row r="14498" spans="9:9" x14ac:dyDescent="0.25">
      <c r="I14498" s="227" t="str">
        <f>MID(excPisCofins[[#This Row],[CodBarras2]],2,50)</f>
        <v/>
      </c>
    </row>
    <row r="14499" spans="9:9" x14ac:dyDescent="0.25">
      <c r="I14499" s="227" t="str">
        <f>MID(excPisCofins[[#This Row],[CodBarras2]],2,50)</f>
        <v/>
      </c>
    </row>
    <row r="14500" spans="9:9" x14ac:dyDescent="0.25">
      <c r="I14500" s="227" t="str">
        <f>MID(excPisCofins[[#This Row],[CodBarras2]],2,50)</f>
        <v/>
      </c>
    </row>
    <row r="14501" spans="9:9" x14ac:dyDescent="0.25">
      <c r="I14501" s="227" t="str">
        <f>MID(excPisCofins[[#This Row],[CodBarras2]],2,50)</f>
        <v/>
      </c>
    </row>
    <row r="14502" spans="9:9" x14ac:dyDescent="0.25">
      <c r="I14502" s="227" t="str">
        <f>MID(excPisCofins[[#This Row],[CodBarras2]],2,50)</f>
        <v/>
      </c>
    </row>
    <row r="14503" spans="9:9" x14ac:dyDescent="0.25">
      <c r="I14503" s="227" t="str">
        <f>MID(excPisCofins[[#This Row],[CodBarras2]],2,50)</f>
        <v/>
      </c>
    </row>
    <row r="14504" spans="9:9" x14ac:dyDescent="0.25">
      <c r="I14504" s="227" t="str">
        <f>MID(excPisCofins[[#This Row],[CodBarras2]],2,50)</f>
        <v/>
      </c>
    </row>
    <row r="14505" spans="9:9" x14ac:dyDescent="0.25">
      <c r="I14505" s="227" t="str">
        <f>MID(excPisCofins[[#This Row],[CodBarras2]],2,50)</f>
        <v/>
      </c>
    </row>
    <row r="14506" spans="9:9" x14ac:dyDescent="0.25">
      <c r="I14506" s="227" t="str">
        <f>MID(excPisCofins[[#This Row],[CodBarras2]],2,50)</f>
        <v/>
      </c>
    </row>
    <row r="14507" spans="9:9" x14ac:dyDescent="0.25">
      <c r="I14507" s="227" t="str">
        <f>MID(excPisCofins[[#This Row],[CodBarras2]],2,50)</f>
        <v/>
      </c>
    </row>
    <row r="14508" spans="9:9" x14ac:dyDescent="0.25">
      <c r="I14508" s="227" t="str">
        <f>MID(excPisCofins[[#This Row],[CodBarras2]],2,50)</f>
        <v/>
      </c>
    </row>
    <row r="14509" spans="9:9" x14ac:dyDescent="0.25">
      <c r="I14509" s="227" t="str">
        <f>MID(excPisCofins[[#This Row],[CodBarras2]],2,50)</f>
        <v/>
      </c>
    </row>
    <row r="14510" spans="9:9" x14ac:dyDescent="0.25">
      <c r="I14510" s="227" t="str">
        <f>MID(excPisCofins[[#This Row],[CodBarras2]],2,50)</f>
        <v/>
      </c>
    </row>
    <row r="14511" spans="9:9" x14ac:dyDescent="0.25">
      <c r="I14511" s="227" t="str">
        <f>MID(excPisCofins[[#This Row],[CodBarras2]],2,50)</f>
        <v/>
      </c>
    </row>
    <row r="14512" spans="9:9" x14ac:dyDescent="0.25">
      <c r="I14512" s="227" t="str">
        <f>MID(excPisCofins[[#This Row],[CodBarras2]],2,50)</f>
        <v/>
      </c>
    </row>
    <row r="14513" spans="9:9" x14ac:dyDescent="0.25">
      <c r="I14513" s="227" t="str">
        <f>MID(excPisCofins[[#This Row],[CodBarras2]],2,50)</f>
        <v/>
      </c>
    </row>
    <row r="14514" spans="9:9" x14ac:dyDescent="0.25">
      <c r="I14514" s="227" t="str">
        <f>MID(excPisCofins[[#This Row],[CodBarras2]],2,50)</f>
        <v/>
      </c>
    </row>
    <row r="14515" spans="9:9" x14ac:dyDescent="0.25">
      <c r="I14515" s="227" t="str">
        <f>MID(excPisCofins[[#This Row],[CodBarras2]],2,50)</f>
        <v/>
      </c>
    </row>
    <row r="14516" spans="9:9" x14ac:dyDescent="0.25">
      <c r="I14516" s="227" t="str">
        <f>MID(excPisCofins[[#This Row],[CodBarras2]],2,50)</f>
        <v/>
      </c>
    </row>
    <row r="14517" spans="9:9" x14ac:dyDescent="0.25">
      <c r="I14517" s="227" t="str">
        <f>MID(excPisCofins[[#This Row],[CodBarras2]],2,50)</f>
        <v/>
      </c>
    </row>
    <row r="14518" spans="9:9" x14ac:dyDescent="0.25">
      <c r="I14518" s="227" t="str">
        <f>MID(excPisCofins[[#This Row],[CodBarras2]],2,50)</f>
        <v/>
      </c>
    </row>
    <row r="14519" spans="9:9" x14ac:dyDescent="0.25">
      <c r="I14519" s="227" t="str">
        <f>MID(excPisCofins[[#This Row],[CodBarras2]],2,50)</f>
        <v/>
      </c>
    </row>
    <row r="14520" spans="9:9" x14ac:dyDescent="0.25">
      <c r="I14520" s="227" t="str">
        <f>MID(excPisCofins[[#This Row],[CodBarras2]],2,50)</f>
        <v/>
      </c>
    </row>
    <row r="14521" spans="9:9" x14ac:dyDescent="0.25">
      <c r="I14521" s="227" t="str">
        <f>MID(excPisCofins[[#This Row],[CodBarras2]],2,50)</f>
        <v/>
      </c>
    </row>
    <row r="14522" spans="9:9" x14ac:dyDescent="0.25">
      <c r="I14522" s="227" t="str">
        <f>MID(excPisCofins[[#This Row],[CodBarras2]],2,50)</f>
        <v/>
      </c>
    </row>
    <row r="14523" spans="9:9" x14ac:dyDescent="0.25">
      <c r="I14523" s="227" t="str">
        <f>MID(excPisCofins[[#This Row],[CodBarras2]],2,50)</f>
        <v/>
      </c>
    </row>
    <row r="14524" spans="9:9" x14ac:dyDescent="0.25">
      <c r="I14524" s="227" t="str">
        <f>MID(excPisCofins[[#This Row],[CodBarras2]],2,50)</f>
        <v/>
      </c>
    </row>
    <row r="14525" spans="9:9" x14ac:dyDescent="0.25">
      <c r="I14525" s="227" t="str">
        <f>MID(excPisCofins[[#This Row],[CodBarras2]],2,50)</f>
        <v/>
      </c>
    </row>
    <row r="14526" spans="9:9" x14ac:dyDescent="0.25">
      <c r="I14526" s="227" t="str">
        <f>MID(excPisCofins[[#This Row],[CodBarras2]],2,50)</f>
        <v/>
      </c>
    </row>
    <row r="14527" spans="9:9" x14ac:dyDescent="0.25">
      <c r="I14527" s="227" t="str">
        <f>MID(excPisCofins[[#This Row],[CodBarras2]],2,50)</f>
        <v/>
      </c>
    </row>
    <row r="14528" spans="9:9" x14ac:dyDescent="0.25">
      <c r="I14528" s="227" t="str">
        <f>MID(excPisCofins[[#This Row],[CodBarras2]],2,50)</f>
        <v/>
      </c>
    </row>
    <row r="14529" spans="9:9" x14ac:dyDescent="0.25">
      <c r="I14529" s="227" t="str">
        <f>MID(excPisCofins[[#This Row],[CodBarras2]],2,50)</f>
        <v/>
      </c>
    </row>
    <row r="14530" spans="9:9" x14ac:dyDescent="0.25">
      <c r="I14530" s="227" t="str">
        <f>MID(excPisCofins[[#This Row],[CodBarras2]],2,50)</f>
        <v/>
      </c>
    </row>
    <row r="14531" spans="9:9" x14ac:dyDescent="0.25">
      <c r="I14531" s="227" t="str">
        <f>MID(excPisCofins[[#This Row],[CodBarras2]],2,50)</f>
        <v/>
      </c>
    </row>
    <row r="14532" spans="9:9" x14ac:dyDescent="0.25">
      <c r="I14532" s="227" t="str">
        <f>MID(excPisCofins[[#This Row],[CodBarras2]],2,50)</f>
        <v/>
      </c>
    </row>
    <row r="14533" spans="9:9" x14ac:dyDescent="0.25">
      <c r="I14533" s="227" t="str">
        <f>MID(excPisCofins[[#This Row],[CodBarras2]],2,50)</f>
        <v/>
      </c>
    </row>
    <row r="14534" spans="9:9" x14ac:dyDescent="0.25">
      <c r="I14534" s="227" t="str">
        <f>MID(excPisCofins[[#This Row],[CodBarras2]],2,50)</f>
        <v/>
      </c>
    </row>
    <row r="14535" spans="9:9" x14ac:dyDescent="0.25">
      <c r="I14535" s="227" t="str">
        <f>MID(excPisCofins[[#This Row],[CodBarras2]],2,50)</f>
        <v/>
      </c>
    </row>
    <row r="14536" spans="9:9" x14ac:dyDescent="0.25">
      <c r="I14536" s="227" t="str">
        <f>MID(excPisCofins[[#This Row],[CodBarras2]],2,50)</f>
        <v/>
      </c>
    </row>
    <row r="14537" spans="9:9" x14ac:dyDescent="0.25">
      <c r="I14537" s="227" t="str">
        <f>MID(excPisCofins[[#This Row],[CodBarras2]],2,50)</f>
        <v/>
      </c>
    </row>
    <row r="14538" spans="9:9" x14ac:dyDescent="0.25">
      <c r="I14538" s="227" t="str">
        <f>MID(excPisCofins[[#This Row],[CodBarras2]],2,50)</f>
        <v/>
      </c>
    </row>
    <row r="14539" spans="9:9" x14ac:dyDescent="0.25">
      <c r="I14539" s="227" t="str">
        <f>MID(excPisCofins[[#This Row],[CodBarras2]],2,50)</f>
        <v/>
      </c>
    </row>
    <row r="14540" spans="9:9" x14ac:dyDescent="0.25">
      <c r="I14540" s="227" t="str">
        <f>MID(excPisCofins[[#This Row],[CodBarras2]],2,50)</f>
        <v/>
      </c>
    </row>
    <row r="14541" spans="9:9" x14ac:dyDescent="0.25">
      <c r="I14541" s="227" t="str">
        <f>MID(excPisCofins[[#This Row],[CodBarras2]],2,50)</f>
        <v/>
      </c>
    </row>
    <row r="14542" spans="9:9" x14ac:dyDescent="0.25">
      <c r="I14542" s="227" t="str">
        <f>MID(excPisCofins[[#This Row],[CodBarras2]],2,50)</f>
        <v/>
      </c>
    </row>
    <row r="14543" spans="9:9" x14ac:dyDescent="0.25">
      <c r="I14543" s="227" t="str">
        <f>MID(excPisCofins[[#This Row],[CodBarras2]],2,50)</f>
        <v/>
      </c>
    </row>
    <row r="14544" spans="9:9" x14ac:dyDescent="0.25">
      <c r="I14544" s="227" t="str">
        <f>MID(excPisCofins[[#This Row],[CodBarras2]],2,50)</f>
        <v/>
      </c>
    </row>
    <row r="14545" spans="9:9" x14ac:dyDescent="0.25">
      <c r="I14545" s="227" t="str">
        <f>MID(excPisCofins[[#This Row],[CodBarras2]],2,50)</f>
        <v/>
      </c>
    </row>
    <row r="14546" spans="9:9" x14ac:dyDescent="0.25">
      <c r="I14546" s="227" t="str">
        <f>MID(excPisCofins[[#This Row],[CodBarras2]],2,50)</f>
        <v/>
      </c>
    </row>
    <row r="14547" spans="9:9" x14ac:dyDescent="0.25">
      <c r="I14547" s="227" t="str">
        <f>MID(excPisCofins[[#This Row],[CodBarras2]],2,50)</f>
        <v/>
      </c>
    </row>
    <row r="14548" spans="9:9" x14ac:dyDescent="0.25">
      <c r="I14548" s="227" t="str">
        <f>MID(excPisCofins[[#This Row],[CodBarras2]],2,50)</f>
        <v/>
      </c>
    </row>
    <row r="14549" spans="9:9" x14ac:dyDescent="0.25">
      <c r="I14549" s="227" t="str">
        <f>MID(excPisCofins[[#This Row],[CodBarras2]],2,50)</f>
        <v/>
      </c>
    </row>
    <row r="14550" spans="9:9" x14ac:dyDescent="0.25">
      <c r="I14550" s="227" t="str">
        <f>MID(excPisCofins[[#This Row],[CodBarras2]],2,50)</f>
        <v/>
      </c>
    </row>
    <row r="14551" spans="9:9" x14ac:dyDescent="0.25">
      <c r="I14551" s="227" t="str">
        <f>MID(excPisCofins[[#This Row],[CodBarras2]],2,50)</f>
        <v/>
      </c>
    </row>
    <row r="14552" spans="9:9" x14ac:dyDescent="0.25">
      <c r="I14552" s="227" t="str">
        <f>MID(excPisCofins[[#This Row],[CodBarras2]],2,50)</f>
        <v/>
      </c>
    </row>
    <row r="14553" spans="9:9" x14ac:dyDescent="0.25">
      <c r="I14553" s="227" t="str">
        <f>MID(excPisCofins[[#This Row],[CodBarras2]],2,50)</f>
        <v/>
      </c>
    </row>
    <row r="14554" spans="9:9" x14ac:dyDescent="0.25">
      <c r="I14554" s="227" t="str">
        <f>MID(excPisCofins[[#This Row],[CodBarras2]],2,50)</f>
        <v/>
      </c>
    </row>
    <row r="14555" spans="9:9" x14ac:dyDescent="0.25">
      <c r="I14555" s="227" t="str">
        <f>MID(excPisCofins[[#This Row],[CodBarras2]],2,50)</f>
        <v/>
      </c>
    </row>
    <row r="14556" spans="9:9" x14ac:dyDescent="0.25">
      <c r="I14556" s="227" t="str">
        <f>MID(excPisCofins[[#This Row],[CodBarras2]],2,50)</f>
        <v/>
      </c>
    </row>
    <row r="14557" spans="9:9" x14ac:dyDescent="0.25">
      <c r="I14557" s="227" t="str">
        <f>MID(excPisCofins[[#This Row],[CodBarras2]],2,50)</f>
        <v/>
      </c>
    </row>
    <row r="14558" spans="9:9" x14ac:dyDescent="0.25">
      <c r="I14558" s="227" t="str">
        <f>MID(excPisCofins[[#This Row],[CodBarras2]],2,50)</f>
        <v/>
      </c>
    </row>
    <row r="14559" spans="9:9" x14ac:dyDescent="0.25">
      <c r="I14559" s="227" t="str">
        <f>MID(excPisCofins[[#This Row],[CodBarras2]],2,50)</f>
        <v/>
      </c>
    </row>
    <row r="14560" spans="9:9" x14ac:dyDescent="0.25">
      <c r="I14560" s="227" t="str">
        <f>MID(excPisCofins[[#This Row],[CodBarras2]],2,50)</f>
        <v/>
      </c>
    </row>
    <row r="14561" spans="9:9" x14ac:dyDescent="0.25">
      <c r="I14561" s="227" t="str">
        <f>MID(excPisCofins[[#This Row],[CodBarras2]],2,50)</f>
        <v/>
      </c>
    </row>
    <row r="14562" spans="9:9" x14ac:dyDescent="0.25">
      <c r="I14562" s="227" t="str">
        <f>MID(excPisCofins[[#This Row],[CodBarras2]],2,50)</f>
        <v/>
      </c>
    </row>
    <row r="14563" spans="9:9" x14ac:dyDescent="0.25">
      <c r="I14563" s="227" t="str">
        <f>MID(excPisCofins[[#This Row],[CodBarras2]],2,50)</f>
        <v/>
      </c>
    </row>
    <row r="14564" spans="9:9" x14ac:dyDescent="0.25">
      <c r="I14564" s="227" t="str">
        <f>MID(excPisCofins[[#This Row],[CodBarras2]],2,50)</f>
        <v/>
      </c>
    </row>
    <row r="14565" spans="9:9" x14ac:dyDescent="0.25">
      <c r="I14565" s="227" t="str">
        <f>MID(excPisCofins[[#This Row],[CodBarras2]],2,50)</f>
        <v/>
      </c>
    </row>
    <row r="14566" spans="9:9" x14ac:dyDescent="0.25">
      <c r="I14566" s="227" t="str">
        <f>MID(excPisCofins[[#This Row],[CodBarras2]],2,50)</f>
        <v/>
      </c>
    </row>
    <row r="14567" spans="9:9" x14ac:dyDescent="0.25">
      <c r="I14567" s="227" t="str">
        <f>MID(excPisCofins[[#This Row],[CodBarras2]],2,50)</f>
        <v/>
      </c>
    </row>
    <row r="14568" spans="9:9" x14ac:dyDescent="0.25">
      <c r="I14568" s="227" t="str">
        <f>MID(excPisCofins[[#This Row],[CodBarras2]],2,50)</f>
        <v/>
      </c>
    </row>
    <row r="14569" spans="9:9" x14ac:dyDescent="0.25">
      <c r="I14569" s="227" t="str">
        <f>MID(excPisCofins[[#This Row],[CodBarras2]],2,50)</f>
        <v/>
      </c>
    </row>
    <row r="14570" spans="9:9" x14ac:dyDescent="0.25">
      <c r="I14570" s="227" t="str">
        <f>MID(excPisCofins[[#This Row],[CodBarras2]],2,50)</f>
        <v/>
      </c>
    </row>
    <row r="14571" spans="9:9" x14ac:dyDescent="0.25">
      <c r="I14571" s="227" t="str">
        <f>MID(excPisCofins[[#This Row],[CodBarras2]],2,50)</f>
        <v/>
      </c>
    </row>
    <row r="14572" spans="9:9" x14ac:dyDescent="0.25">
      <c r="I14572" s="227" t="str">
        <f>MID(excPisCofins[[#This Row],[CodBarras2]],2,50)</f>
        <v/>
      </c>
    </row>
    <row r="14573" spans="9:9" x14ac:dyDescent="0.25">
      <c r="I14573" s="227" t="str">
        <f>MID(excPisCofins[[#This Row],[CodBarras2]],2,50)</f>
        <v/>
      </c>
    </row>
    <row r="14574" spans="9:9" x14ac:dyDescent="0.25">
      <c r="I14574" s="227" t="str">
        <f>MID(excPisCofins[[#This Row],[CodBarras2]],2,50)</f>
        <v/>
      </c>
    </row>
    <row r="14575" spans="9:9" x14ac:dyDescent="0.25">
      <c r="I14575" s="227" t="str">
        <f>MID(excPisCofins[[#This Row],[CodBarras2]],2,50)</f>
        <v/>
      </c>
    </row>
    <row r="14576" spans="9:9" x14ac:dyDescent="0.25">
      <c r="I14576" s="227" t="str">
        <f>MID(excPisCofins[[#This Row],[CodBarras2]],2,50)</f>
        <v/>
      </c>
    </row>
    <row r="14577" spans="9:9" x14ac:dyDescent="0.25">
      <c r="I14577" s="227" t="str">
        <f>MID(excPisCofins[[#This Row],[CodBarras2]],2,50)</f>
        <v/>
      </c>
    </row>
    <row r="14578" spans="9:9" x14ac:dyDescent="0.25">
      <c r="I14578" s="227" t="str">
        <f>MID(excPisCofins[[#This Row],[CodBarras2]],2,50)</f>
        <v/>
      </c>
    </row>
    <row r="14579" spans="9:9" x14ac:dyDescent="0.25">
      <c r="I14579" s="227" t="str">
        <f>MID(excPisCofins[[#This Row],[CodBarras2]],2,50)</f>
        <v/>
      </c>
    </row>
    <row r="14580" spans="9:9" x14ac:dyDescent="0.25">
      <c r="I14580" s="227" t="str">
        <f>MID(excPisCofins[[#This Row],[CodBarras2]],2,50)</f>
        <v/>
      </c>
    </row>
    <row r="14581" spans="9:9" x14ac:dyDescent="0.25">
      <c r="I14581" s="227" t="str">
        <f>MID(excPisCofins[[#This Row],[CodBarras2]],2,50)</f>
        <v/>
      </c>
    </row>
    <row r="14582" spans="9:9" x14ac:dyDescent="0.25">
      <c r="I14582" s="227" t="str">
        <f>MID(excPisCofins[[#This Row],[CodBarras2]],2,50)</f>
        <v/>
      </c>
    </row>
    <row r="14583" spans="9:9" x14ac:dyDescent="0.25">
      <c r="I14583" s="227" t="str">
        <f>MID(excPisCofins[[#This Row],[CodBarras2]],2,50)</f>
        <v/>
      </c>
    </row>
    <row r="14584" spans="9:9" x14ac:dyDescent="0.25">
      <c r="I14584" s="227" t="str">
        <f>MID(excPisCofins[[#This Row],[CodBarras2]],2,50)</f>
        <v/>
      </c>
    </row>
    <row r="14585" spans="9:9" x14ac:dyDescent="0.25">
      <c r="I14585" s="227" t="str">
        <f>MID(excPisCofins[[#This Row],[CodBarras2]],2,50)</f>
        <v/>
      </c>
    </row>
    <row r="14586" spans="9:9" x14ac:dyDescent="0.25">
      <c r="I14586" s="227" t="str">
        <f>MID(excPisCofins[[#This Row],[CodBarras2]],2,50)</f>
        <v/>
      </c>
    </row>
    <row r="14587" spans="9:9" x14ac:dyDescent="0.25">
      <c r="I14587" s="227" t="str">
        <f>MID(excPisCofins[[#This Row],[CodBarras2]],2,50)</f>
        <v/>
      </c>
    </row>
    <row r="14588" spans="9:9" x14ac:dyDescent="0.25">
      <c r="I14588" s="227" t="str">
        <f>MID(excPisCofins[[#This Row],[CodBarras2]],2,50)</f>
        <v/>
      </c>
    </row>
    <row r="14589" spans="9:9" x14ac:dyDescent="0.25">
      <c r="I14589" s="227" t="str">
        <f>MID(excPisCofins[[#This Row],[CodBarras2]],2,50)</f>
        <v/>
      </c>
    </row>
    <row r="14590" spans="9:9" x14ac:dyDescent="0.25">
      <c r="I14590" s="227" t="str">
        <f>MID(excPisCofins[[#This Row],[CodBarras2]],2,50)</f>
        <v/>
      </c>
    </row>
    <row r="14591" spans="9:9" x14ac:dyDescent="0.25">
      <c r="I14591" s="227" t="str">
        <f>MID(excPisCofins[[#This Row],[CodBarras2]],2,50)</f>
        <v/>
      </c>
    </row>
    <row r="14592" spans="9:9" x14ac:dyDescent="0.25">
      <c r="I14592" s="227" t="str">
        <f>MID(excPisCofins[[#This Row],[CodBarras2]],2,50)</f>
        <v/>
      </c>
    </row>
    <row r="14593" spans="9:9" x14ac:dyDescent="0.25">
      <c r="I14593" s="227" t="str">
        <f>MID(excPisCofins[[#This Row],[CodBarras2]],2,50)</f>
        <v/>
      </c>
    </row>
    <row r="14594" spans="9:9" x14ac:dyDescent="0.25">
      <c r="I14594" s="227" t="str">
        <f>MID(excPisCofins[[#This Row],[CodBarras2]],2,50)</f>
        <v/>
      </c>
    </row>
    <row r="14595" spans="9:9" x14ac:dyDescent="0.25">
      <c r="I14595" s="227" t="str">
        <f>MID(excPisCofins[[#This Row],[CodBarras2]],2,50)</f>
        <v/>
      </c>
    </row>
    <row r="14596" spans="9:9" x14ac:dyDescent="0.25">
      <c r="I14596" s="227" t="str">
        <f>MID(excPisCofins[[#This Row],[CodBarras2]],2,50)</f>
        <v/>
      </c>
    </row>
    <row r="14597" spans="9:9" x14ac:dyDescent="0.25">
      <c r="I14597" s="227" t="str">
        <f>MID(excPisCofins[[#This Row],[CodBarras2]],2,50)</f>
        <v/>
      </c>
    </row>
    <row r="14598" spans="9:9" x14ac:dyDescent="0.25">
      <c r="I14598" s="227" t="str">
        <f>MID(excPisCofins[[#This Row],[CodBarras2]],2,50)</f>
        <v/>
      </c>
    </row>
    <row r="14599" spans="9:9" x14ac:dyDescent="0.25">
      <c r="I14599" s="227" t="str">
        <f>MID(excPisCofins[[#This Row],[CodBarras2]],2,50)</f>
        <v/>
      </c>
    </row>
    <row r="14600" spans="9:9" x14ac:dyDescent="0.25">
      <c r="I14600" s="227" t="str">
        <f>MID(excPisCofins[[#This Row],[CodBarras2]],2,50)</f>
        <v/>
      </c>
    </row>
    <row r="14601" spans="9:9" x14ac:dyDescent="0.25">
      <c r="I14601" s="227" t="str">
        <f>MID(excPisCofins[[#This Row],[CodBarras2]],2,50)</f>
        <v/>
      </c>
    </row>
    <row r="14602" spans="9:9" x14ac:dyDescent="0.25">
      <c r="I14602" s="227" t="str">
        <f>MID(excPisCofins[[#This Row],[CodBarras2]],2,50)</f>
        <v/>
      </c>
    </row>
    <row r="14603" spans="9:9" x14ac:dyDescent="0.25">
      <c r="I14603" s="227" t="str">
        <f>MID(excPisCofins[[#This Row],[CodBarras2]],2,50)</f>
        <v/>
      </c>
    </row>
    <row r="14604" spans="9:9" x14ac:dyDescent="0.25">
      <c r="I14604" s="227" t="str">
        <f>MID(excPisCofins[[#This Row],[CodBarras2]],2,50)</f>
        <v/>
      </c>
    </row>
    <row r="14605" spans="9:9" x14ac:dyDescent="0.25">
      <c r="I14605" s="227" t="str">
        <f>MID(excPisCofins[[#This Row],[CodBarras2]],2,50)</f>
        <v/>
      </c>
    </row>
    <row r="14606" spans="9:9" x14ac:dyDescent="0.25">
      <c r="I14606" s="227" t="str">
        <f>MID(excPisCofins[[#This Row],[CodBarras2]],2,50)</f>
        <v/>
      </c>
    </row>
    <row r="14607" spans="9:9" x14ac:dyDescent="0.25">
      <c r="I14607" s="227" t="str">
        <f>MID(excPisCofins[[#This Row],[CodBarras2]],2,50)</f>
        <v/>
      </c>
    </row>
    <row r="14608" spans="9:9" x14ac:dyDescent="0.25">
      <c r="I14608" s="227" t="str">
        <f>MID(excPisCofins[[#This Row],[CodBarras2]],2,50)</f>
        <v/>
      </c>
    </row>
    <row r="14609" spans="9:9" x14ac:dyDescent="0.25">
      <c r="I14609" s="227" t="str">
        <f>MID(excPisCofins[[#This Row],[CodBarras2]],2,50)</f>
        <v/>
      </c>
    </row>
    <row r="14610" spans="9:9" x14ac:dyDescent="0.25">
      <c r="I14610" s="227" t="str">
        <f>MID(excPisCofins[[#This Row],[CodBarras2]],2,50)</f>
        <v/>
      </c>
    </row>
    <row r="14611" spans="9:9" x14ac:dyDescent="0.25">
      <c r="I14611" s="227" t="str">
        <f>MID(excPisCofins[[#This Row],[CodBarras2]],2,50)</f>
        <v/>
      </c>
    </row>
    <row r="14612" spans="9:9" x14ac:dyDescent="0.25">
      <c r="I14612" s="227" t="str">
        <f>MID(excPisCofins[[#This Row],[CodBarras2]],2,50)</f>
        <v/>
      </c>
    </row>
    <row r="14613" spans="9:9" x14ac:dyDescent="0.25">
      <c r="I14613" s="227" t="str">
        <f>MID(excPisCofins[[#This Row],[CodBarras2]],2,50)</f>
        <v/>
      </c>
    </row>
    <row r="14614" spans="9:9" x14ac:dyDescent="0.25">
      <c r="I14614" s="227" t="str">
        <f>MID(excPisCofins[[#This Row],[CodBarras2]],2,50)</f>
        <v/>
      </c>
    </row>
    <row r="14615" spans="9:9" x14ac:dyDescent="0.25">
      <c r="I14615" s="227" t="str">
        <f>MID(excPisCofins[[#This Row],[CodBarras2]],2,50)</f>
        <v/>
      </c>
    </row>
    <row r="14616" spans="9:9" x14ac:dyDescent="0.25">
      <c r="I14616" s="227" t="str">
        <f>MID(excPisCofins[[#This Row],[CodBarras2]],2,50)</f>
        <v/>
      </c>
    </row>
    <row r="14617" spans="9:9" x14ac:dyDescent="0.25">
      <c r="I14617" s="227" t="str">
        <f>MID(excPisCofins[[#This Row],[CodBarras2]],2,50)</f>
        <v/>
      </c>
    </row>
    <row r="14618" spans="9:9" x14ac:dyDescent="0.25">
      <c r="I14618" s="227" t="str">
        <f>MID(excPisCofins[[#This Row],[CodBarras2]],2,50)</f>
        <v/>
      </c>
    </row>
    <row r="14619" spans="9:9" x14ac:dyDescent="0.25">
      <c r="I14619" s="227" t="str">
        <f>MID(excPisCofins[[#This Row],[CodBarras2]],2,50)</f>
        <v/>
      </c>
    </row>
    <row r="14620" spans="9:9" x14ac:dyDescent="0.25">
      <c r="I14620" s="227" t="str">
        <f>MID(excPisCofins[[#This Row],[CodBarras2]],2,50)</f>
        <v/>
      </c>
    </row>
    <row r="14621" spans="9:9" x14ac:dyDescent="0.25">
      <c r="I14621" s="227" t="str">
        <f>MID(excPisCofins[[#This Row],[CodBarras2]],2,50)</f>
        <v/>
      </c>
    </row>
    <row r="14622" spans="9:9" x14ac:dyDescent="0.25">
      <c r="I14622" s="227" t="str">
        <f>MID(excPisCofins[[#This Row],[CodBarras2]],2,50)</f>
        <v/>
      </c>
    </row>
    <row r="14623" spans="9:9" x14ac:dyDescent="0.25">
      <c r="I14623" s="227" t="str">
        <f>MID(excPisCofins[[#This Row],[CodBarras2]],2,50)</f>
        <v/>
      </c>
    </row>
    <row r="14624" spans="9:9" x14ac:dyDescent="0.25">
      <c r="I14624" s="227" t="str">
        <f>MID(excPisCofins[[#This Row],[CodBarras2]],2,50)</f>
        <v/>
      </c>
    </row>
    <row r="14625" spans="9:9" x14ac:dyDescent="0.25">
      <c r="I14625" s="227" t="str">
        <f>MID(excPisCofins[[#This Row],[CodBarras2]],2,50)</f>
        <v/>
      </c>
    </row>
    <row r="14626" spans="9:9" x14ac:dyDescent="0.25">
      <c r="I14626" s="227" t="str">
        <f>MID(excPisCofins[[#This Row],[CodBarras2]],2,50)</f>
        <v/>
      </c>
    </row>
    <row r="14627" spans="9:9" x14ac:dyDescent="0.25">
      <c r="I14627" s="227" t="str">
        <f>MID(excPisCofins[[#This Row],[CodBarras2]],2,50)</f>
        <v/>
      </c>
    </row>
    <row r="14628" spans="9:9" x14ac:dyDescent="0.25">
      <c r="I14628" s="227" t="str">
        <f>MID(excPisCofins[[#This Row],[CodBarras2]],2,50)</f>
        <v/>
      </c>
    </row>
    <row r="14629" spans="9:9" x14ac:dyDescent="0.25">
      <c r="I14629" s="227" t="str">
        <f>MID(excPisCofins[[#This Row],[CodBarras2]],2,50)</f>
        <v/>
      </c>
    </row>
    <row r="14630" spans="9:9" x14ac:dyDescent="0.25">
      <c r="I14630" s="227" t="str">
        <f>MID(excPisCofins[[#This Row],[CodBarras2]],2,50)</f>
        <v/>
      </c>
    </row>
    <row r="14631" spans="9:9" x14ac:dyDescent="0.25">
      <c r="I14631" s="227" t="str">
        <f>MID(excPisCofins[[#This Row],[CodBarras2]],2,50)</f>
        <v/>
      </c>
    </row>
    <row r="14632" spans="9:9" x14ac:dyDescent="0.25">
      <c r="I14632" s="227" t="str">
        <f>MID(excPisCofins[[#This Row],[CodBarras2]],2,50)</f>
        <v/>
      </c>
    </row>
    <row r="14633" spans="9:9" x14ac:dyDescent="0.25">
      <c r="I14633" s="227" t="str">
        <f>MID(excPisCofins[[#This Row],[CodBarras2]],2,50)</f>
        <v/>
      </c>
    </row>
    <row r="14634" spans="9:9" x14ac:dyDescent="0.25">
      <c r="I14634" s="227" t="str">
        <f>MID(excPisCofins[[#This Row],[CodBarras2]],2,50)</f>
        <v/>
      </c>
    </row>
    <row r="14635" spans="9:9" x14ac:dyDescent="0.25">
      <c r="I14635" s="227" t="str">
        <f>MID(excPisCofins[[#This Row],[CodBarras2]],2,50)</f>
        <v/>
      </c>
    </row>
    <row r="14636" spans="9:9" x14ac:dyDescent="0.25">
      <c r="I14636" s="227" t="str">
        <f>MID(excPisCofins[[#This Row],[CodBarras2]],2,50)</f>
        <v/>
      </c>
    </row>
    <row r="14637" spans="9:9" x14ac:dyDescent="0.25">
      <c r="I14637" s="227" t="str">
        <f>MID(excPisCofins[[#This Row],[CodBarras2]],2,50)</f>
        <v/>
      </c>
    </row>
    <row r="14638" spans="9:9" x14ac:dyDescent="0.25">
      <c r="I14638" s="227" t="str">
        <f>MID(excPisCofins[[#This Row],[CodBarras2]],2,50)</f>
        <v/>
      </c>
    </row>
    <row r="14639" spans="9:9" x14ac:dyDescent="0.25">
      <c r="I14639" s="227" t="str">
        <f>MID(excPisCofins[[#This Row],[CodBarras2]],2,50)</f>
        <v/>
      </c>
    </row>
    <row r="14640" spans="9:9" x14ac:dyDescent="0.25">
      <c r="I14640" s="227" t="str">
        <f>MID(excPisCofins[[#This Row],[CodBarras2]],2,50)</f>
        <v/>
      </c>
    </row>
    <row r="14641" spans="9:9" x14ac:dyDescent="0.25">
      <c r="I14641" s="227" t="str">
        <f>MID(excPisCofins[[#This Row],[CodBarras2]],2,50)</f>
        <v/>
      </c>
    </row>
    <row r="14642" spans="9:9" x14ac:dyDescent="0.25">
      <c r="I14642" s="227" t="str">
        <f>MID(excPisCofins[[#This Row],[CodBarras2]],2,50)</f>
        <v/>
      </c>
    </row>
    <row r="14643" spans="9:9" x14ac:dyDescent="0.25">
      <c r="I14643" s="227" t="str">
        <f>MID(excPisCofins[[#This Row],[CodBarras2]],2,50)</f>
        <v/>
      </c>
    </row>
    <row r="14644" spans="9:9" x14ac:dyDescent="0.25">
      <c r="I14644" s="227" t="str">
        <f>MID(excPisCofins[[#This Row],[CodBarras2]],2,50)</f>
        <v/>
      </c>
    </row>
    <row r="14645" spans="9:9" x14ac:dyDescent="0.25">
      <c r="I14645" s="227" t="str">
        <f>MID(excPisCofins[[#This Row],[CodBarras2]],2,50)</f>
        <v/>
      </c>
    </row>
    <row r="14646" spans="9:9" x14ac:dyDescent="0.25">
      <c r="I14646" s="227" t="str">
        <f>MID(excPisCofins[[#This Row],[CodBarras2]],2,50)</f>
        <v/>
      </c>
    </row>
    <row r="14647" spans="9:9" x14ac:dyDescent="0.25">
      <c r="I14647" s="227" t="str">
        <f>MID(excPisCofins[[#This Row],[CodBarras2]],2,50)</f>
        <v/>
      </c>
    </row>
    <row r="14648" spans="9:9" x14ac:dyDescent="0.25">
      <c r="I14648" s="227" t="str">
        <f>MID(excPisCofins[[#This Row],[CodBarras2]],2,50)</f>
        <v/>
      </c>
    </row>
    <row r="14649" spans="9:9" x14ac:dyDescent="0.25">
      <c r="I14649" s="227" t="str">
        <f>MID(excPisCofins[[#This Row],[CodBarras2]],2,50)</f>
        <v/>
      </c>
    </row>
    <row r="14650" spans="9:9" x14ac:dyDescent="0.25">
      <c r="I14650" s="227" t="str">
        <f>MID(excPisCofins[[#This Row],[CodBarras2]],2,50)</f>
        <v/>
      </c>
    </row>
    <row r="14651" spans="9:9" x14ac:dyDescent="0.25">
      <c r="I14651" s="227" t="str">
        <f>MID(excPisCofins[[#This Row],[CodBarras2]],2,50)</f>
        <v/>
      </c>
    </row>
    <row r="14652" spans="9:9" x14ac:dyDescent="0.25">
      <c r="I14652" s="227" t="str">
        <f>MID(excPisCofins[[#This Row],[CodBarras2]],2,50)</f>
        <v/>
      </c>
    </row>
    <row r="14653" spans="9:9" x14ac:dyDescent="0.25">
      <c r="I14653" s="227" t="str">
        <f>MID(excPisCofins[[#This Row],[CodBarras2]],2,50)</f>
        <v/>
      </c>
    </row>
    <row r="14654" spans="9:9" x14ac:dyDescent="0.25">
      <c r="I14654" s="227" t="str">
        <f>MID(excPisCofins[[#This Row],[CodBarras2]],2,50)</f>
        <v/>
      </c>
    </row>
    <row r="14655" spans="9:9" x14ac:dyDescent="0.25">
      <c r="I14655" s="227" t="str">
        <f>MID(excPisCofins[[#This Row],[CodBarras2]],2,50)</f>
        <v/>
      </c>
    </row>
    <row r="14656" spans="9:9" x14ac:dyDescent="0.25">
      <c r="I14656" s="227" t="str">
        <f>MID(excPisCofins[[#This Row],[CodBarras2]],2,50)</f>
        <v/>
      </c>
    </row>
    <row r="14657" spans="9:9" x14ac:dyDescent="0.25">
      <c r="I14657" s="227" t="str">
        <f>MID(excPisCofins[[#This Row],[CodBarras2]],2,50)</f>
        <v/>
      </c>
    </row>
    <row r="14658" spans="9:9" x14ac:dyDescent="0.25">
      <c r="I14658" s="227" t="str">
        <f>MID(excPisCofins[[#This Row],[CodBarras2]],2,50)</f>
        <v/>
      </c>
    </row>
    <row r="14659" spans="9:9" x14ac:dyDescent="0.25">
      <c r="I14659" s="227" t="str">
        <f>MID(excPisCofins[[#This Row],[CodBarras2]],2,50)</f>
        <v/>
      </c>
    </row>
    <row r="14660" spans="9:9" x14ac:dyDescent="0.25">
      <c r="I14660" s="227" t="str">
        <f>MID(excPisCofins[[#This Row],[CodBarras2]],2,50)</f>
        <v/>
      </c>
    </row>
    <row r="14661" spans="9:9" x14ac:dyDescent="0.25">
      <c r="I14661" s="227" t="str">
        <f>MID(excPisCofins[[#This Row],[CodBarras2]],2,50)</f>
        <v/>
      </c>
    </row>
    <row r="14662" spans="9:9" x14ac:dyDescent="0.25">
      <c r="I14662" s="227" t="str">
        <f>MID(excPisCofins[[#This Row],[CodBarras2]],2,50)</f>
        <v/>
      </c>
    </row>
    <row r="14663" spans="9:9" x14ac:dyDescent="0.25">
      <c r="I14663" s="227" t="str">
        <f>MID(excPisCofins[[#This Row],[CodBarras2]],2,50)</f>
        <v/>
      </c>
    </row>
    <row r="14664" spans="9:9" x14ac:dyDescent="0.25">
      <c r="I14664" s="227" t="str">
        <f>MID(excPisCofins[[#This Row],[CodBarras2]],2,50)</f>
        <v/>
      </c>
    </row>
    <row r="14665" spans="9:9" x14ac:dyDescent="0.25">
      <c r="I14665" s="227" t="str">
        <f>MID(excPisCofins[[#This Row],[CodBarras2]],2,50)</f>
        <v/>
      </c>
    </row>
    <row r="14666" spans="9:9" x14ac:dyDescent="0.25">
      <c r="I14666" s="227" t="str">
        <f>MID(excPisCofins[[#This Row],[CodBarras2]],2,50)</f>
        <v/>
      </c>
    </row>
    <row r="14667" spans="9:9" x14ac:dyDescent="0.25">
      <c r="I14667" s="227" t="str">
        <f>MID(excPisCofins[[#This Row],[CodBarras2]],2,50)</f>
        <v/>
      </c>
    </row>
    <row r="14668" spans="9:9" x14ac:dyDescent="0.25">
      <c r="I14668" s="227" t="str">
        <f>MID(excPisCofins[[#This Row],[CodBarras2]],2,50)</f>
        <v/>
      </c>
    </row>
    <row r="14669" spans="9:9" x14ac:dyDescent="0.25">
      <c r="I14669" s="227" t="str">
        <f>MID(excPisCofins[[#This Row],[CodBarras2]],2,50)</f>
        <v/>
      </c>
    </row>
    <row r="14670" spans="9:9" x14ac:dyDescent="0.25">
      <c r="I14670" s="227" t="str">
        <f>MID(excPisCofins[[#This Row],[CodBarras2]],2,50)</f>
        <v/>
      </c>
    </row>
    <row r="14671" spans="9:9" x14ac:dyDescent="0.25">
      <c r="I14671" s="227" t="str">
        <f>MID(excPisCofins[[#This Row],[CodBarras2]],2,50)</f>
        <v/>
      </c>
    </row>
    <row r="14672" spans="9:9" x14ac:dyDescent="0.25">
      <c r="I14672" s="227" t="str">
        <f>MID(excPisCofins[[#This Row],[CodBarras2]],2,50)</f>
        <v/>
      </c>
    </row>
    <row r="14673" spans="9:9" x14ac:dyDescent="0.25">
      <c r="I14673" s="227" t="str">
        <f>MID(excPisCofins[[#This Row],[CodBarras2]],2,50)</f>
        <v/>
      </c>
    </row>
    <row r="14674" spans="9:9" x14ac:dyDescent="0.25">
      <c r="I14674" s="227" t="str">
        <f>MID(excPisCofins[[#This Row],[CodBarras2]],2,50)</f>
        <v/>
      </c>
    </row>
    <row r="14675" spans="9:9" x14ac:dyDescent="0.25">
      <c r="I14675" s="227" t="str">
        <f>MID(excPisCofins[[#This Row],[CodBarras2]],2,50)</f>
        <v/>
      </c>
    </row>
    <row r="14676" spans="9:9" x14ac:dyDescent="0.25">
      <c r="I14676" s="227" t="str">
        <f>MID(excPisCofins[[#This Row],[CodBarras2]],2,50)</f>
        <v/>
      </c>
    </row>
    <row r="14677" spans="9:9" x14ac:dyDescent="0.25">
      <c r="I14677" s="227" t="str">
        <f>MID(excPisCofins[[#This Row],[CodBarras2]],2,50)</f>
        <v/>
      </c>
    </row>
    <row r="14678" spans="9:9" x14ac:dyDescent="0.25">
      <c r="I14678" s="227" t="str">
        <f>MID(excPisCofins[[#This Row],[CodBarras2]],2,50)</f>
        <v/>
      </c>
    </row>
    <row r="14679" spans="9:9" x14ac:dyDescent="0.25">
      <c r="I14679" s="227" t="str">
        <f>MID(excPisCofins[[#This Row],[CodBarras2]],2,50)</f>
        <v/>
      </c>
    </row>
    <row r="14680" spans="9:9" x14ac:dyDescent="0.25">
      <c r="I14680" s="227" t="str">
        <f>MID(excPisCofins[[#This Row],[CodBarras2]],2,50)</f>
        <v/>
      </c>
    </row>
    <row r="14681" spans="9:9" x14ac:dyDescent="0.25">
      <c r="I14681" s="227" t="str">
        <f>MID(excPisCofins[[#This Row],[CodBarras2]],2,50)</f>
        <v/>
      </c>
    </row>
    <row r="14682" spans="9:9" x14ac:dyDescent="0.25">
      <c r="I14682" s="227" t="str">
        <f>MID(excPisCofins[[#This Row],[CodBarras2]],2,50)</f>
        <v/>
      </c>
    </row>
    <row r="14683" spans="9:9" x14ac:dyDescent="0.25">
      <c r="I14683" s="227" t="str">
        <f>MID(excPisCofins[[#This Row],[CodBarras2]],2,50)</f>
        <v/>
      </c>
    </row>
    <row r="14684" spans="9:9" x14ac:dyDescent="0.25">
      <c r="I14684" s="227" t="str">
        <f>MID(excPisCofins[[#This Row],[CodBarras2]],2,50)</f>
        <v/>
      </c>
    </row>
    <row r="14685" spans="9:9" x14ac:dyDescent="0.25">
      <c r="I14685" s="227" t="str">
        <f>MID(excPisCofins[[#This Row],[CodBarras2]],2,50)</f>
        <v/>
      </c>
    </row>
    <row r="14686" spans="9:9" x14ac:dyDescent="0.25">
      <c r="I14686" s="227" t="str">
        <f>MID(excPisCofins[[#This Row],[CodBarras2]],2,50)</f>
        <v/>
      </c>
    </row>
    <row r="14687" spans="9:9" x14ac:dyDescent="0.25">
      <c r="I14687" s="227" t="str">
        <f>MID(excPisCofins[[#This Row],[CodBarras2]],2,50)</f>
        <v/>
      </c>
    </row>
    <row r="14688" spans="9:9" x14ac:dyDescent="0.25">
      <c r="I14688" s="227" t="str">
        <f>MID(excPisCofins[[#This Row],[CodBarras2]],2,50)</f>
        <v/>
      </c>
    </row>
    <row r="14689" spans="9:9" x14ac:dyDescent="0.25">
      <c r="I14689" s="227" t="str">
        <f>MID(excPisCofins[[#This Row],[CodBarras2]],2,50)</f>
        <v/>
      </c>
    </row>
    <row r="14690" spans="9:9" x14ac:dyDescent="0.25">
      <c r="I14690" s="227" t="str">
        <f>MID(excPisCofins[[#This Row],[CodBarras2]],2,50)</f>
        <v/>
      </c>
    </row>
    <row r="14691" spans="9:9" x14ac:dyDescent="0.25">
      <c r="I14691" s="227" t="str">
        <f>MID(excPisCofins[[#This Row],[CodBarras2]],2,50)</f>
        <v/>
      </c>
    </row>
    <row r="14692" spans="9:9" x14ac:dyDescent="0.25">
      <c r="I14692" s="227" t="str">
        <f>MID(excPisCofins[[#This Row],[CodBarras2]],2,50)</f>
        <v/>
      </c>
    </row>
    <row r="14693" spans="9:9" x14ac:dyDescent="0.25">
      <c r="I14693" s="227" t="str">
        <f>MID(excPisCofins[[#This Row],[CodBarras2]],2,50)</f>
        <v/>
      </c>
    </row>
    <row r="14694" spans="9:9" x14ac:dyDescent="0.25">
      <c r="I14694" s="227" t="str">
        <f>MID(excPisCofins[[#This Row],[CodBarras2]],2,50)</f>
        <v/>
      </c>
    </row>
    <row r="14695" spans="9:9" x14ac:dyDescent="0.25">
      <c r="I14695" s="227" t="str">
        <f>MID(excPisCofins[[#This Row],[CodBarras2]],2,50)</f>
        <v/>
      </c>
    </row>
    <row r="14696" spans="9:9" x14ac:dyDescent="0.25">
      <c r="I14696" s="227" t="str">
        <f>MID(excPisCofins[[#This Row],[CodBarras2]],2,50)</f>
        <v/>
      </c>
    </row>
    <row r="14697" spans="9:9" x14ac:dyDescent="0.25">
      <c r="I14697" s="227" t="str">
        <f>MID(excPisCofins[[#This Row],[CodBarras2]],2,50)</f>
        <v/>
      </c>
    </row>
    <row r="14698" spans="9:9" x14ac:dyDescent="0.25">
      <c r="I14698" s="227" t="str">
        <f>MID(excPisCofins[[#This Row],[CodBarras2]],2,50)</f>
        <v/>
      </c>
    </row>
    <row r="14699" spans="9:9" x14ac:dyDescent="0.25">
      <c r="I14699" s="227" t="str">
        <f>MID(excPisCofins[[#This Row],[CodBarras2]],2,50)</f>
        <v/>
      </c>
    </row>
    <row r="14700" spans="9:9" x14ac:dyDescent="0.25">
      <c r="I14700" s="227" t="str">
        <f>MID(excPisCofins[[#This Row],[CodBarras2]],2,50)</f>
        <v/>
      </c>
    </row>
    <row r="14701" spans="9:9" x14ac:dyDescent="0.25">
      <c r="I14701" s="227" t="str">
        <f>MID(excPisCofins[[#This Row],[CodBarras2]],2,50)</f>
        <v/>
      </c>
    </row>
    <row r="14702" spans="9:9" x14ac:dyDescent="0.25">
      <c r="I14702" s="227" t="str">
        <f>MID(excPisCofins[[#This Row],[CodBarras2]],2,50)</f>
        <v/>
      </c>
    </row>
    <row r="14703" spans="9:9" x14ac:dyDescent="0.25">
      <c r="I14703" s="227" t="str">
        <f>MID(excPisCofins[[#This Row],[CodBarras2]],2,50)</f>
        <v/>
      </c>
    </row>
    <row r="14704" spans="9:9" x14ac:dyDescent="0.25">
      <c r="I14704" s="227" t="str">
        <f>MID(excPisCofins[[#This Row],[CodBarras2]],2,50)</f>
        <v/>
      </c>
    </row>
    <row r="14705" spans="9:9" x14ac:dyDescent="0.25">
      <c r="I14705" s="227" t="str">
        <f>MID(excPisCofins[[#This Row],[CodBarras2]],2,50)</f>
        <v/>
      </c>
    </row>
    <row r="14706" spans="9:9" x14ac:dyDescent="0.25">
      <c r="I14706" s="227" t="str">
        <f>MID(excPisCofins[[#This Row],[CodBarras2]],2,50)</f>
        <v/>
      </c>
    </row>
    <row r="14707" spans="9:9" x14ac:dyDescent="0.25">
      <c r="I14707" s="227" t="str">
        <f>MID(excPisCofins[[#This Row],[CodBarras2]],2,50)</f>
        <v/>
      </c>
    </row>
    <row r="14708" spans="9:9" x14ac:dyDescent="0.25">
      <c r="I14708" s="227" t="str">
        <f>MID(excPisCofins[[#This Row],[CodBarras2]],2,50)</f>
        <v/>
      </c>
    </row>
    <row r="14709" spans="9:9" x14ac:dyDescent="0.25">
      <c r="I14709" s="227" t="str">
        <f>MID(excPisCofins[[#This Row],[CodBarras2]],2,50)</f>
        <v/>
      </c>
    </row>
    <row r="14710" spans="9:9" x14ac:dyDescent="0.25">
      <c r="I14710" s="227" t="str">
        <f>MID(excPisCofins[[#This Row],[CodBarras2]],2,50)</f>
        <v/>
      </c>
    </row>
    <row r="14711" spans="9:9" x14ac:dyDescent="0.25">
      <c r="I14711" s="227" t="str">
        <f>MID(excPisCofins[[#This Row],[CodBarras2]],2,50)</f>
        <v/>
      </c>
    </row>
    <row r="14712" spans="9:9" x14ac:dyDescent="0.25">
      <c r="I14712" s="227" t="str">
        <f>MID(excPisCofins[[#This Row],[CodBarras2]],2,50)</f>
        <v/>
      </c>
    </row>
    <row r="14713" spans="9:9" x14ac:dyDescent="0.25">
      <c r="I14713" s="227" t="str">
        <f>MID(excPisCofins[[#This Row],[CodBarras2]],2,50)</f>
        <v/>
      </c>
    </row>
    <row r="14714" spans="9:9" x14ac:dyDescent="0.25">
      <c r="I14714" s="227" t="str">
        <f>MID(excPisCofins[[#This Row],[CodBarras2]],2,50)</f>
        <v/>
      </c>
    </row>
    <row r="14715" spans="9:9" x14ac:dyDescent="0.25">
      <c r="I14715" s="227" t="str">
        <f>MID(excPisCofins[[#This Row],[CodBarras2]],2,50)</f>
        <v/>
      </c>
    </row>
    <row r="14716" spans="9:9" x14ac:dyDescent="0.25">
      <c r="I14716" s="227" t="str">
        <f>MID(excPisCofins[[#This Row],[CodBarras2]],2,50)</f>
        <v/>
      </c>
    </row>
    <row r="14717" spans="9:9" x14ac:dyDescent="0.25">
      <c r="I14717" s="227" t="str">
        <f>MID(excPisCofins[[#This Row],[CodBarras2]],2,50)</f>
        <v/>
      </c>
    </row>
    <row r="14718" spans="9:9" x14ac:dyDescent="0.25">
      <c r="I14718" s="227" t="str">
        <f>MID(excPisCofins[[#This Row],[CodBarras2]],2,50)</f>
        <v/>
      </c>
    </row>
    <row r="14719" spans="9:9" x14ac:dyDescent="0.25">
      <c r="I14719" s="227" t="str">
        <f>MID(excPisCofins[[#This Row],[CodBarras2]],2,50)</f>
        <v/>
      </c>
    </row>
    <row r="14720" spans="9:9" x14ac:dyDescent="0.25">
      <c r="I14720" s="227" t="str">
        <f>MID(excPisCofins[[#This Row],[CodBarras2]],2,50)</f>
        <v/>
      </c>
    </row>
    <row r="14721" spans="9:9" x14ac:dyDescent="0.25">
      <c r="I14721" s="227" t="str">
        <f>MID(excPisCofins[[#This Row],[CodBarras2]],2,50)</f>
        <v/>
      </c>
    </row>
    <row r="14722" spans="9:9" x14ac:dyDescent="0.25">
      <c r="I14722" s="227" t="str">
        <f>MID(excPisCofins[[#This Row],[CodBarras2]],2,50)</f>
        <v/>
      </c>
    </row>
    <row r="14723" spans="9:9" x14ac:dyDescent="0.25">
      <c r="I14723" s="227" t="str">
        <f>MID(excPisCofins[[#This Row],[CodBarras2]],2,50)</f>
        <v/>
      </c>
    </row>
    <row r="14724" spans="9:9" x14ac:dyDescent="0.25">
      <c r="I14724" s="227" t="str">
        <f>MID(excPisCofins[[#This Row],[CodBarras2]],2,50)</f>
        <v/>
      </c>
    </row>
    <row r="14725" spans="9:9" x14ac:dyDescent="0.25">
      <c r="I14725" s="227" t="str">
        <f>MID(excPisCofins[[#This Row],[CodBarras2]],2,50)</f>
        <v/>
      </c>
    </row>
    <row r="14726" spans="9:9" x14ac:dyDescent="0.25">
      <c r="I14726" s="227" t="str">
        <f>MID(excPisCofins[[#This Row],[CodBarras2]],2,50)</f>
        <v/>
      </c>
    </row>
    <row r="14727" spans="9:9" x14ac:dyDescent="0.25">
      <c r="I14727" s="227" t="str">
        <f>MID(excPisCofins[[#This Row],[CodBarras2]],2,50)</f>
        <v/>
      </c>
    </row>
    <row r="14728" spans="9:9" x14ac:dyDescent="0.25">
      <c r="I14728" s="227" t="str">
        <f>MID(excPisCofins[[#This Row],[CodBarras2]],2,50)</f>
        <v/>
      </c>
    </row>
    <row r="14729" spans="9:9" x14ac:dyDescent="0.25">
      <c r="I14729" s="227" t="str">
        <f>MID(excPisCofins[[#This Row],[CodBarras2]],2,50)</f>
        <v/>
      </c>
    </row>
    <row r="14730" spans="9:9" x14ac:dyDescent="0.25">
      <c r="I14730" s="227" t="str">
        <f>MID(excPisCofins[[#This Row],[CodBarras2]],2,50)</f>
        <v/>
      </c>
    </row>
    <row r="14731" spans="9:9" x14ac:dyDescent="0.25">
      <c r="I14731" s="227" t="str">
        <f>MID(excPisCofins[[#This Row],[CodBarras2]],2,50)</f>
        <v/>
      </c>
    </row>
    <row r="14732" spans="9:9" x14ac:dyDescent="0.25">
      <c r="I14732" s="227" t="str">
        <f>MID(excPisCofins[[#This Row],[CodBarras2]],2,50)</f>
        <v/>
      </c>
    </row>
    <row r="14733" spans="9:9" x14ac:dyDescent="0.25">
      <c r="I14733" s="227" t="str">
        <f>MID(excPisCofins[[#This Row],[CodBarras2]],2,50)</f>
        <v/>
      </c>
    </row>
    <row r="14734" spans="9:9" x14ac:dyDescent="0.25">
      <c r="I14734" s="227" t="str">
        <f>MID(excPisCofins[[#This Row],[CodBarras2]],2,50)</f>
        <v/>
      </c>
    </row>
    <row r="14735" spans="9:9" x14ac:dyDescent="0.25">
      <c r="I14735" s="227" t="str">
        <f>MID(excPisCofins[[#This Row],[CodBarras2]],2,50)</f>
        <v/>
      </c>
    </row>
    <row r="14736" spans="9:9" x14ac:dyDescent="0.25">
      <c r="I14736" s="227" t="str">
        <f>MID(excPisCofins[[#This Row],[CodBarras2]],2,50)</f>
        <v/>
      </c>
    </row>
    <row r="14737" spans="9:9" x14ac:dyDescent="0.25">
      <c r="I14737" s="227" t="str">
        <f>MID(excPisCofins[[#This Row],[CodBarras2]],2,50)</f>
        <v/>
      </c>
    </row>
    <row r="14738" spans="9:9" x14ac:dyDescent="0.25">
      <c r="I14738" s="227" t="str">
        <f>MID(excPisCofins[[#This Row],[CodBarras2]],2,50)</f>
        <v/>
      </c>
    </row>
    <row r="14739" spans="9:9" x14ac:dyDescent="0.25">
      <c r="I14739" s="227" t="str">
        <f>MID(excPisCofins[[#This Row],[CodBarras2]],2,50)</f>
        <v/>
      </c>
    </row>
    <row r="14740" spans="9:9" x14ac:dyDescent="0.25">
      <c r="I14740" s="227" t="str">
        <f>MID(excPisCofins[[#This Row],[CodBarras2]],2,50)</f>
        <v/>
      </c>
    </row>
    <row r="14741" spans="9:9" x14ac:dyDescent="0.25">
      <c r="I14741" s="227" t="str">
        <f>MID(excPisCofins[[#This Row],[CodBarras2]],2,50)</f>
        <v/>
      </c>
    </row>
    <row r="14742" spans="9:9" x14ac:dyDescent="0.25">
      <c r="I14742" s="227" t="str">
        <f>MID(excPisCofins[[#This Row],[CodBarras2]],2,50)</f>
        <v/>
      </c>
    </row>
    <row r="14743" spans="9:9" x14ac:dyDescent="0.25">
      <c r="I14743" s="227" t="str">
        <f>MID(excPisCofins[[#This Row],[CodBarras2]],2,50)</f>
        <v/>
      </c>
    </row>
    <row r="14744" spans="9:9" x14ac:dyDescent="0.25">
      <c r="I14744" s="227" t="str">
        <f>MID(excPisCofins[[#This Row],[CodBarras2]],2,50)</f>
        <v/>
      </c>
    </row>
    <row r="14745" spans="9:9" x14ac:dyDescent="0.25">
      <c r="I14745" s="227" t="str">
        <f>MID(excPisCofins[[#This Row],[CodBarras2]],2,50)</f>
        <v/>
      </c>
    </row>
    <row r="14746" spans="9:9" x14ac:dyDescent="0.25">
      <c r="I14746" s="227" t="str">
        <f>MID(excPisCofins[[#This Row],[CodBarras2]],2,50)</f>
        <v/>
      </c>
    </row>
    <row r="14747" spans="9:9" x14ac:dyDescent="0.25">
      <c r="I14747" s="227" t="str">
        <f>MID(excPisCofins[[#This Row],[CodBarras2]],2,50)</f>
        <v/>
      </c>
    </row>
    <row r="14748" spans="9:9" x14ac:dyDescent="0.25">
      <c r="I14748" s="227" t="str">
        <f>MID(excPisCofins[[#This Row],[CodBarras2]],2,50)</f>
        <v/>
      </c>
    </row>
    <row r="14749" spans="9:9" x14ac:dyDescent="0.25">
      <c r="I14749" s="227" t="str">
        <f>MID(excPisCofins[[#This Row],[CodBarras2]],2,50)</f>
        <v/>
      </c>
    </row>
    <row r="14750" spans="9:9" x14ac:dyDescent="0.25">
      <c r="I14750" s="227" t="str">
        <f>MID(excPisCofins[[#This Row],[CodBarras2]],2,50)</f>
        <v/>
      </c>
    </row>
    <row r="14751" spans="9:9" x14ac:dyDescent="0.25">
      <c r="I14751" s="227" t="str">
        <f>MID(excPisCofins[[#This Row],[CodBarras2]],2,50)</f>
        <v/>
      </c>
    </row>
    <row r="14752" spans="9:9" x14ac:dyDescent="0.25">
      <c r="I14752" s="227" t="str">
        <f>MID(excPisCofins[[#This Row],[CodBarras2]],2,50)</f>
        <v/>
      </c>
    </row>
    <row r="14753" spans="9:9" x14ac:dyDescent="0.25">
      <c r="I14753" s="227" t="str">
        <f>MID(excPisCofins[[#This Row],[CodBarras2]],2,50)</f>
        <v/>
      </c>
    </row>
    <row r="14754" spans="9:9" x14ac:dyDescent="0.25">
      <c r="I14754" s="227" t="str">
        <f>MID(excPisCofins[[#This Row],[CodBarras2]],2,50)</f>
        <v/>
      </c>
    </row>
    <row r="14755" spans="9:9" x14ac:dyDescent="0.25">
      <c r="I14755" s="227" t="str">
        <f>MID(excPisCofins[[#This Row],[CodBarras2]],2,50)</f>
        <v/>
      </c>
    </row>
    <row r="14756" spans="9:9" x14ac:dyDescent="0.25">
      <c r="I14756" s="227" t="str">
        <f>MID(excPisCofins[[#This Row],[CodBarras2]],2,50)</f>
        <v/>
      </c>
    </row>
    <row r="14757" spans="9:9" x14ac:dyDescent="0.25">
      <c r="I14757" s="227" t="str">
        <f>MID(excPisCofins[[#This Row],[CodBarras2]],2,50)</f>
        <v/>
      </c>
    </row>
    <row r="14758" spans="9:9" x14ac:dyDescent="0.25">
      <c r="I14758" s="227" t="str">
        <f>MID(excPisCofins[[#This Row],[CodBarras2]],2,50)</f>
        <v/>
      </c>
    </row>
    <row r="14759" spans="9:9" x14ac:dyDescent="0.25">
      <c r="I14759" s="227" t="str">
        <f>MID(excPisCofins[[#This Row],[CodBarras2]],2,50)</f>
        <v/>
      </c>
    </row>
    <row r="14760" spans="9:9" x14ac:dyDescent="0.25">
      <c r="I14760" s="227" t="str">
        <f>MID(excPisCofins[[#This Row],[CodBarras2]],2,50)</f>
        <v/>
      </c>
    </row>
    <row r="14761" spans="9:9" x14ac:dyDescent="0.25">
      <c r="I14761" s="227" t="str">
        <f>MID(excPisCofins[[#This Row],[CodBarras2]],2,50)</f>
        <v/>
      </c>
    </row>
    <row r="14762" spans="9:9" x14ac:dyDescent="0.25">
      <c r="I14762" s="227" t="str">
        <f>MID(excPisCofins[[#This Row],[CodBarras2]],2,50)</f>
        <v/>
      </c>
    </row>
    <row r="14763" spans="9:9" x14ac:dyDescent="0.25">
      <c r="I14763" s="227" t="str">
        <f>MID(excPisCofins[[#This Row],[CodBarras2]],2,50)</f>
        <v/>
      </c>
    </row>
    <row r="14764" spans="9:9" x14ac:dyDescent="0.25">
      <c r="I14764" s="227" t="str">
        <f>MID(excPisCofins[[#This Row],[CodBarras2]],2,50)</f>
        <v/>
      </c>
    </row>
    <row r="14765" spans="9:9" x14ac:dyDescent="0.25">
      <c r="I14765" s="227" t="str">
        <f>MID(excPisCofins[[#This Row],[CodBarras2]],2,50)</f>
        <v/>
      </c>
    </row>
    <row r="14766" spans="9:9" x14ac:dyDescent="0.25">
      <c r="I14766" s="227" t="str">
        <f>MID(excPisCofins[[#This Row],[CodBarras2]],2,50)</f>
        <v/>
      </c>
    </row>
    <row r="14767" spans="9:9" x14ac:dyDescent="0.25">
      <c r="I14767" s="227" t="str">
        <f>MID(excPisCofins[[#This Row],[CodBarras2]],2,50)</f>
        <v/>
      </c>
    </row>
    <row r="14768" spans="9:9" x14ac:dyDescent="0.25">
      <c r="I14768" s="227" t="str">
        <f>MID(excPisCofins[[#This Row],[CodBarras2]],2,50)</f>
        <v/>
      </c>
    </row>
    <row r="14769" spans="9:9" x14ac:dyDescent="0.25">
      <c r="I14769" s="227" t="str">
        <f>MID(excPisCofins[[#This Row],[CodBarras2]],2,50)</f>
        <v/>
      </c>
    </row>
    <row r="14770" spans="9:9" x14ac:dyDescent="0.25">
      <c r="I14770" s="227" t="str">
        <f>MID(excPisCofins[[#This Row],[CodBarras2]],2,50)</f>
        <v/>
      </c>
    </row>
    <row r="14771" spans="9:9" x14ac:dyDescent="0.25">
      <c r="I14771" s="227" t="str">
        <f>MID(excPisCofins[[#This Row],[CodBarras2]],2,50)</f>
        <v/>
      </c>
    </row>
    <row r="14772" spans="9:9" x14ac:dyDescent="0.25">
      <c r="I14772" s="227" t="str">
        <f>MID(excPisCofins[[#This Row],[CodBarras2]],2,50)</f>
        <v/>
      </c>
    </row>
    <row r="14773" spans="9:9" x14ac:dyDescent="0.25">
      <c r="I14773" s="227" t="str">
        <f>MID(excPisCofins[[#This Row],[CodBarras2]],2,50)</f>
        <v/>
      </c>
    </row>
    <row r="14774" spans="9:9" x14ac:dyDescent="0.25">
      <c r="I14774" s="227" t="str">
        <f>MID(excPisCofins[[#This Row],[CodBarras2]],2,50)</f>
        <v/>
      </c>
    </row>
    <row r="14775" spans="9:9" x14ac:dyDescent="0.25">
      <c r="I14775" s="227" t="str">
        <f>MID(excPisCofins[[#This Row],[CodBarras2]],2,50)</f>
        <v/>
      </c>
    </row>
    <row r="14776" spans="9:9" x14ac:dyDescent="0.25">
      <c r="I14776" s="227" t="str">
        <f>MID(excPisCofins[[#This Row],[CodBarras2]],2,50)</f>
        <v/>
      </c>
    </row>
    <row r="14777" spans="9:9" x14ac:dyDescent="0.25">
      <c r="I14777" s="227" t="str">
        <f>MID(excPisCofins[[#This Row],[CodBarras2]],2,50)</f>
        <v/>
      </c>
    </row>
    <row r="14778" spans="9:9" x14ac:dyDescent="0.25">
      <c r="I14778" s="227" t="str">
        <f>MID(excPisCofins[[#This Row],[CodBarras2]],2,50)</f>
        <v/>
      </c>
    </row>
    <row r="14779" spans="9:9" x14ac:dyDescent="0.25">
      <c r="I14779" s="227" t="str">
        <f>MID(excPisCofins[[#This Row],[CodBarras2]],2,50)</f>
        <v/>
      </c>
    </row>
    <row r="14780" spans="9:9" x14ac:dyDescent="0.25">
      <c r="I14780" s="227" t="str">
        <f>MID(excPisCofins[[#This Row],[CodBarras2]],2,50)</f>
        <v/>
      </c>
    </row>
    <row r="14781" spans="9:9" x14ac:dyDescent="0.25">
      <c r="I14781" s="227" t="str">
        <f>MID(excPisCofins[[#This Row],[CodBarras2]],2,50)</f>
        <v/>
      </c>
    </row>
    <row r="14782" spans="9:9" x14ac:dyDescent="0.25">
      <c r="I14782" s="227" t="str">
        <f>MID(excPisCofins[[#This Row],[CodBarras2]],2,50)</f>
        <v/>
      </c>
    </row>
    <row r="14783" spans="9:9" x14ac:dyDescent="0.25">
      <c r="I14783" s="227" t="str">
        <f>MID(excPisCofins[[#This Row],[CodBarras2]],2,50)</f>
        <v/>
      </c>
    </row>
    <row r="14784" spans="9:9" x14ac:dyDescent="0.25">
      <c r="I14784" s="227" t="str">
        <f>MID(excPisCofins[[#This Row],[CodBarras2]],2,50)</f>
        <v/>
      </c>
    </row>
    <row r="14785" spans="9:9" x14ac:dyDescent="0.25">
      <c r="I14785" s="227" t="str">
        <f>MID(excPisCofins[[#This Row],[CodBarras2]],2,50)</f>
        <v/>
      </c>
    </row>
    <row r="14786" spans="9:9" x14ac:dyDescent="0.25">
      <c r="I14786" s="227" t="str">
        <f>MID(excPisCofins[[#This Row],[CodBarras2]],2,50)</f>
        <v/>
      </c>
    </row>
    <row r="14787" spans="9:9" x14ac:dyDescent="0.25">
      <c r="I14787" s="227" t="str">
        <f>MID(excPisCofins[[#This Row],[CodBarras2]],2,50)</f>
        <v/>
      </c>
    </row>
    <row r="14788" spans="9:9" x14ac:dyDescent="0.25">
      <c r="I14788" s="227" t="str">
        <f>MID(excPisCofins[[#This Row],[CodBarras2]],2,50)</f>
        <v/>
      </c>
    </row>
    <row r="14789" spans="9:9" x14ac:dyDescent="0.25">
      <c r="I14789" s="227" t="str">
        <f>MID(excPisCofins[[#This Row],[CodBarras2]],2,50)</f>
        <v/>
      </c>
    </row>
    <row r="14790" spans="9:9" x14ac:dyDescent="0.25">
      <c r="I14790" s="227" t="str">
        <f>MID(excPisCofins[[#This Row],[CodBarras2]],2,50)</f>
        <v/>
      </c>
    </row>
    <row r="14791" spans="9:9" x14ac:dyDescent="0.25">
      <c r="I14791" s="227" t="str">
        <f>MID(excPisCofins[[#This Row],[CodBarras2]],2,50)</f>
        <v/>
      </c>
    </row>
    <row r="14792" spans="9:9" x14ac:dyDescent="0.25">
      <c r="I14792" s="227" t="str">
        <f>MID(excPisCofins[[#This Row],[CodBarras2]],2,50)</f>
        <v/>
      </c>
    </row>
    <row r="14793" spans="9:9" x14ac:dyDescent="0.25">
      <c r="I14793" s="227" t="str">
        <f>MID(excPisCofins[[#This Row],[CodBarras2]],2,50)</f>
        <v/>
      </c>
    </row>
    <row r="14794" spans="9:9" x14ac:dyDescent="0.25">
      <c r="I14794" s="227" t="str">
        <f>MID(excPisCofins[[#This Row],[CodBarras2]],2,50)</f>
        <v/>
      </c>
    </row>
    <row r="14795" spans="9:9" x14ac:dyDescent="0.25">
      <c r="I14795" s="227" t="str">
        <f>MID(excPisCofins[[#This Row],[CodBarras2]],2,50)</f>
        <v/>
      </c>
    </row>
    <row r="14796" spans="9:9" x14ac:dyDescent="0.25">
      <c r="I14796" s="227" t="str">
        <f>MID(excPisCofins[[#This Row],[CodBarras2]],2,50)</f>
        <v/>
      </c>
    </row>
    <row r="14797" spans="9:9" x14ac:dyDescent="0.25">
      <c r="I14797" s="227" t="str">
        <f>MID(excPisCofins[[#This Row],[CodBarras2]],2,50)</f>
        <v/>
      </c>
    </row>
    <row r="14798" spans="9:9" x14ac:dyDescent="0.25">
      <c r="I14798" s="227" t="str">
        <f>MID(excPisCofins[[#This Row],[CodBarras2]],2,50)</f>
        <v/>
      </c>
    </row>
    <row r="14799" spans="9:9" x14ac:dyDescent="0.25">
      <c r="I14799" s="227" t="str">
        <f>MID(excPisCofins[[#This Row],[CodBarras2]],2,50)</f>
        <v/>
      </c>
    </row>
    <row r="14800" spans="9:9" x14ac:dyDescent="0.25">
      <c r="I14800" s="227" t="str">
        <f>MID(excPisCofins[[#This Row],[CodBarras2]],2,50)</f>
        <v/>
      </c>
    </row>
    <row r="14801" spans="9:9" x14ac:dyDescent="0.25">
      <c r="I14801" s="227" t="str">
        <f>MID(excPisCofins[[#This Row],[CodBarras2]],2,50)</f>
        <v/>
      </c>
    </row>
    <row r="14802" spans="9:9" x14ac:dyDescent="0.25">
      <c r="I14802" s="227" t="str">
        <f>MID(excPisCofins[[#This Row],[CodBarras2]],2,50)</f>
        <v/>
      </c>
    </row>
    <row r="14803" spans="9:9" x14ac:dyDescent="0.25">
      <c r="I14803" s="227" t="str">
        <f>MID(excPisCofins[[#This Row],[CodBarras2]],2,50)</f>
        <v/>
      </c>
    </row>
    <row r="14804" spans="9:9" x14ac:dyDescent="0.25">
      <c r="I14804" s="227" t="str">
        <f>MID(excPisCofins[[#This Row],[CodBarras2]],2,50)</f>
        <v/>
      </c>
    </row>
    <row r="14805" spans="9:9" x14ac:dyDescent="0.25">
      <c r="I14805" s="227" t="str">
        <f>MID(excPisCofins[[#This Row],[CodBarras2]],2,50)</f>
        <v/>
      </c>
    </row>
    <row r="14806" spans="9:9" x14ac:dyDescent="0.25">
      <c r="I14806" s="227" t="str">
        <f>MID(excPisCofins[[#This Row],[CodBarras2]],2,50)</f>
        <v/>
      </c>
    </row>
    <row r="14807" spans="9:9" x14ac:dyDescent="0.25">
      <c r="I14807" s="227" t="str">
        <f>MID(excPisCofins[[#This Row],[CodBarras2]],2,50)</f>
        <v/>
      </c>
    </row>
    <row r="14808" spans="9:9" x14ac:dyDescent="0.25">
      <c r="I14808" s="227" t="str">
        <f>MID(excPisCofins[[#This Row],[CodBarras2]],2,50)</f>
        <v/>
      </c>
    </row>
    <row r="14809" spans="9:9" x14ac:dyDescent="0.25">
      <c r="I14809" s="227" t="str">
        <f>MID(excPisCofins[[#This Row],[CodBarras2]],2,50)</f>
        <v/>
      </c>
    </row>
    <row r="14810" spans="9:9" x14ac:dyDescent="0.25">
      <c r="I14810" s="227" t="str">
        <f>MID(excPisCofins[[#This Row],[CodBarras2]],2,50)</f>
        <v/>
      </c>
    </row>
    <row r="14811" spans="9:9" x14ac:dyDescent="0.25">
      <c r="I14811" s="227" t="str">
        <f>MID(excPisCofins[[#This Row],[CodBarras2]],2,50)</f>
        <v/>
      </c>
    </row>
    <row r="14812" spans="9:9" x14ac:dyDescent="0.25">
      <c r="I14812" s="227" t="str">
        <f>MID(excPisCofins[[#This Row],[CodBarras2]],2,50)</f>
        <v/>
      </c>
    </row>
    <row r="14813" spans="9:9" x14ac:dyDescent="0.25">
      <c r="I14813" s="227" t="str">
        <f>MID(excPisCofins[[#This Row],[CodBarras2]],2,50)</f>
        <v/>
      </c>
    </row>
    <row r="14814" spans="9:9" x14ac:dyDescent="0.25">
      <c r="I14814" s="227" t="str">
        <f>MID(excPisCofins[[#This Row],[CodBarras2]],2,50)</f>
        <v/>
      </c>
    </row>
    <row r="14815" spans="9:9" x14ac:dyDescent="0.25">
      <c r="I14815" s="227" t="str">
        <f>MID(excPisCofins[[#This Row],[CodBarras2]],2,50)</f>
        <v/>
      </c>
    </row>
    <row r="14816" spans="9:9" x14ac:dyDescent="0.25">
      <c r="I14816" s="227" t="str">
        <f>MID(excPisCofins[[#This Row],[CodBarras2]],2,50)</f>
        <v/>
      </c>
    </row>
    <row r="14817" spans="9:9" x14ac:dyDescent="0.25">
      <c r="I14817" s="227" t="str">
        <f>MID(excPisCofins[[#This Row],[CodBarras2]],2,50)</f>
        <v/>
      </c>
    </row>
    <row r="14818" spans="9:9" x14ac:dyDescent="0.25">
      <c r="I14818" s="227" t="str">
        <f>MID(excPisCofins[[#This Row],[CodBarras2]],2,50)</f>
        <v/>
      </c>
    </row>
    <row r="14819" spans="9:9" x14ac:dyDescent="0.25">
      <c r="I14819" s="227" t="str">
        <f>MID(excPisCofins[[#This Row],[CodBarras2]],2,50)</f>
        <v/>
      </c>
    </row>
    <row r="14820" spans="9:9" x14ac:dyDescent="0.25">
      <c r="I14820" s="227" t="str">
        <f>MID(excPisCofins[[#This Row],[CodBarras2]],2,50)</f>
        <v/>
      </c>
    </row>
    <row r="14821" spans="9:9" x14ac:dyDescent="0.25">
      <c r="I14821" s="227" t="str">
        <f>MID(excPisCofins[[#This Row],[CodBarras2]],2,50)</f>
        <v/>
      </c>
    </row>
    <row r="14822" spans="9:9" x14ac:dyDescent="0.25">
      <c r="I14822" s="227" t="str">
        <f>MID(excPisCofins[[#This Row],[CodBarras2]],2,50)</f>
        <v/>
      </c>
    </row>
    <row r="14823" spans="9:9" x14ac:dyDescent="0.25">
      <c r="I14823" s="227" t="str">
        <f>MID(excPisCofins[[#This Row],[CodBarras2]],2,50)</f>
        <v/>
      </c>
    </row>
    <row r="14824" spans="9:9" x14ac:dyDescent="0.25">
      <c r="I14824" s="227" t="str">
        <f>MID(excPisCofins[[#This Row],[CodBarras2]],2,50)</f>
        <v/>
      </c>
    </row>
    <row r="14825" spans="9:9" x14ac:dyDescent="0.25">
      <c r="I14825" s="227" t="str">
        <f>MID(excPisCofins[[#This Row],[CodBarras2]],2,50)</f>
        <v/>
      </c>
    </row>
    <row r="14826" spans="9:9" x14ac:dyDescent="0.25">
      <c r="I14826" s="227" t="str">
        <f>MID(excPisCofins[[#This Row],[CodBarras2]],2,50)</f>
        <v/>
      </c>
    </row>
    <row r="14827" spans="9:9" x14ac:dyDescent="0.25">
      <c r="I14827" s="227" t="str">
        <f>MID(excPisCofins[[#This Row],[CodBarras2]],2,50)</f>
        <v/>
      </c>
    </row>
    <row r="14828" spans="9:9" x14ac:dyDescent="0.25">
      <c r="I14828" s="227" t="str">
        <f>MID(excPisCofins[[#This Row],[CodBarras2]],2,50)</f>
        <v/>
      </c>
    </row>
    <row r="14829" spans="9:9" x14ac:dyDescent="0.25">
      <c r="I14829" s="227" t="str">
        <f>MID(excPisCofins[[#This Row],[CodBarras2]],2,50)</f>
        <v/>
      </c>
    </row>
    <row r="14830" spans="9:9" x14ac:dyDescent="0.25">
      <c r="I14830" s="227" t="str">
        <f>MID(excPisCofins[[#This Row],[CodBarras2]],2,50)</f>
        <v/>
      </c>
    </row>
    <row r="14831" spans="9:9" x14ac:dyDescent="0.25">
      <c r="I14831" s="227" t="str">
        <f>MID(excPisCofins[[#This Row],[CodBarras2]],2,50)</f>
        <v/>
      </c>
    </row>
    <row r="14832" spans="9:9" x14ac:dyDescent="0.25">
      <c r="I14832" s="227" t="str">
        <f>MID(excPisCofins[[#This Row],[CodBarras2]],2,50)</f>
        <v/>
      </c>
    </row>
    <row r="14833" spans="9:9" x14ac:dyDescent="0.25">
      <c r="I14833" s="227" t="str">
        <f>MID(excPisCofins[[#This Row],[CodBarras2]],2,50)</f>
        <v/>
      </c>
    </row>
    <row r="14834" spans="9:9" x14ac:dyDescent="0.25">
      <c r="I14834" s="227" t="str">
        <f>MID(excPisCofins[[#This Row],[CodBarras2]],2,50)</f>
        <v/>
      </c>
    </row>
    <row r="14835" spans="9:9" x14ac:dyDescent="0.25">
      <c r="I14835" s="227" t="str">
        <f>MID(excPisCofins[[#This Row],[CodBarras2]],2,50)</f>
        <v/>
      </c>
    </row>
    <row r="14836" spans="9:9" x14ac:dyDescent="0.25">
      <c r="I14836" s="227" t="str">
        <f>MID(excPisCofins[[#This Row],[CodBarras2]],2,50)</f>
        <v/>
      </c>
    </row>
    <row r="14837" spans="9:9" x14ac:dyDescent="0.25">
      <c r="I14837" s="227" t="str">
        <f>MID(excPisCofins[[#This Row],[CodBarras2]],2,50)</f>
        <v/>
      </c>
    </row>
    <row r="14838" spans="9:9" x14ac:dyDescent="0.25">
      <c r="I14838" s="227" t="str">
        <f>MID(excPisCofins[[#This Row],[CodBarras2]],2,50)</f>
        <v/>
      </c>
    </row>
    <row r="14839" spans="9:9" x14ac:dyDescent="0.25">
      <c r="I14839" s="227" t="str">
        <f>MID(excPisCofins[[#This Row],[CodBarras2]],2,50)</f>
        <v/>
      </c>
    </row>
    <row r="14840" spans="9:9" x14ac:dyDescent="0.25">
      <c r="I14840" s="227" t="str">
        <f>MID(excPisCofins[[#This Row],[CodBarras2]],2,50)</f>
        <v/>
      </c>
    </row>
    <row r="14841" spans="9:9" x14ac:dyDescent="0.25">
      <c r="I14841" s="227" t="str">
        <f>MID(excPisCofins[[#This Row],[CodBarras2]],2,50)</f>
        <v/>
      </c>
    </row>
    <row r="14842" spans="9:9" x14ac:dyDescent="0.25">
      <c r="I14842" s="227" t="str">
        <f>MID(excPisCofins[[#This Row],[CodBarras2]],2,50)</f>
        <v/>
      </c>
    </row>
    <row r="14843" spans="9:9" x14ac:dyDescent="0.25">
      <c r="I14843" s="227" t="str">
        <f>MID(excPisCofins[[#This Row],[CodBarras2]],2,50)</f>
        <v/>
      </c>
    </row>
    <row r="14844" spans="9:9" x14ac:dyDescent="0.25">
      <c r="I14844" s="227" t="str">
        <f>MID(excPisCofins[[#This Row],[CodBarras2]],2,50)</f>
        <v/>
      </c>
    </row>
    <row r="14845" spans="9:9" x14ac:dyDescent="0.25">
      <c r="I14845" s="227" t="str">
        <f>MID(excPisCofins[[#This Row],[CodBarras2]],2,50)</f>
        <v/>
      </c>
    </row>
    <row r="14846" spans="9:9" x14ac:dyDescent="0.25">
      <c r="I14846" s="227" t="str">
        <f>MID(excPisCofins[[#This Row],[CodBarras2]],2,50)</f>
        <v/>
      </c>
    </row>
    <row r="14847" spans="9:9" x14ac:dyDescent="0.25">
      <c r="I14847" s="227" t="str">
        <f>MID(excPisCofins[[#This Row],[CodBarras2]],2,50)</f>
        <v/>
      </c>
    </row>
    <row r="14848" spans="9:9" x14ac:dyDescent="0.25">
      <c r="I14848" s="227" t="str">
        <f>MID(excPisCofins[[#This Row],[CodBarras2]],2,50)</f>
        <v/>
      </c>
    </row>
    <row r="14849" spans="9:9" x14ac:dyDescent="0.25">
      <c r="I14849" s="227" t="str">
        <f>MID(excPisCofins[[#This Row],[CodBarras2]],2,50)</f>
        <v/>
      </c>
    </row>
    <row r="14850" spans="9:9" x14ac:dyDescent="0.25">
      <c r="I14850" s="227" t="str">
        <f>MID(excPisCofins[[#This Row],[CodBarras2]],2,50)</f>
        <v/>
      </c>
    </row>
    <row r="14851" spans="9:9" x14ac:dyDescent="0.25">
      <c r="I14851" s="227" t="str">
        <f>MID(excPisCofins[[#This Row],[CodBarras2]],2,50)</f>
        <v/>
      </c>
    </row>
    <row r="14852" spans="9:9" x14ac:dyDescent="0.25">
      <c r="I14852" s="227" t="str">
        <f>MID(excPisCofins[[#This Row],[CodBarras2]],2,50)</f>
        <v/>
      </c>
    </row>
    <row r="14853" spans="9:9" x14ac:dyDescent="0.25">
      <c r="I14853" s="227" t="str">
        <f>MID(excPisCofins[[#This Row],[CodBarras2]],2,50)</f>
        <v/>
      </c>
    </row>
    <row r="14854" spans="9:9" x14ac:dyDescent="0.25">
      <c r="I14854" s="227" t="str">
        <f>MID(excPisCofins[[#This Row],[CodBarras2]],2,50)</f>
        <v/>
      </c>
    </row>
    <row r="14855" spans="9:9" x14ac:dyDescent="0.25">
      <c r="I14855" s="227" t="str">
        <f>MID(excPisCofins[[#This Row],[CodBarras2]],2,50)</f>
        <v/>
      </c>
    </row>
    <row r="14856" spans="9:9" x14ac:dyDescent="0.25">
      <c r="I14856" s="227" t="str">
        <f>MID(excPisCofins[[#This Row],[CodBarras2]],2,50)</f>
        <v/>
      </c>
    </row>
    <row r="14857" spans="9:9" x14ac:dyDescent="0.25">
      <c r="I14857" s="227" t="str">
        <f>MID(excPisCofins[[#This Row],[CodBarras2]],2,50)</f>
        <v/>
      </c>
    </row>
    <row r="14858" spans="9:9" x14ac:dyDescent="0.25">
      <c r="I14858" s="227" t="str">
        <f>MID(excPisCofins[[#This Row],[CodBarras2]],2,50)</f>
        <v/>
      </c>
    </row>
    <row r="14859" spans="9:9" x14ac:dyDescent="0.25">
      <c r="I14859" s="227" t="str">
        <f>MID(excPisCofins[[#This Row],[CodBarras2]],2,50)</f>
        <v/>
      </c>
    </row>
    <row r="14860" spans="9:9" x14ac:dyDescent="0.25">
      <c r="I14860" s="227" t="str">
        <f>MID(excPisCofins[[#This Row],[CodBarras2]],2,50)</f>
        <v/>
      </c>
    </row>
    <row r="14861" spans="9:9" x14ac:dyDescent="0.25">
      <c r="I14861" s="227" t="str">
        <f>MID(excPisCofins[[#This Row],[CodBarras2]],2,50)</f>
        <v/>
      </c>
    </row>
    <row r="14862" spans="9:9" x14ac:dyDescent="0.25">
      <c r="I14862" s="227" t="str">
        <f>MID(excPisCofins[[#This Row],[CodBarras2]],2,50)</f>
        <v/>
      </c>
    </row>
    <row r="14863" spans="9:9" x14ac:dyDescent="0.25">
      <c r="I14863" s="227" t="str">
        <f>MID(excPisCofins[[#This Row],[CodBarras2]],2,50)</f>
        <v/>
      </c>
    </row>
    <row r="14864" spans="9:9" x14ac:dyDescent="0.25">
      <c r="I14864" s="227" t="str">
        <f>MID(excPisCofins[[#This Row],[CodBarras2]],2,50)</f>
        <v/>
      </c>
    </row>
    <row r="14865" spans="9:9" x14ac:dyDescent="0.25">
      <c r="I14865" s="227" t="str">
        <f>MID(excPisCofins[[#This Row],[CodBarras2]],2,50)</f>
        <v/>
      </c>
    </row>
    <row r="14866" spans="9:9" x14ac:dyDescent="0.25">
      <c r="I14866" s="227" t="str">
        <f>MID(excPisCofins[[#This Row],[CodBarras2]],2,50)</f>
        <v/>
      </c>
    </row>
    <row r="14867" spans="9:9" x14ac:dyDescent="0.25">
      <c r="I14867" s="227" t="str">
        <f>MID(excPisCofins[[#This Row],[CodBarras2]],2,50)</f>
        <v/>
      </c>
    </row>
    <row r="14868" spans="9:9" x14ac:dyDescent="0.25">
      <c r="I14868" s="227" t="str">
        <f>MID(excPisCofins[[#This Row],[CodBarras2]],2,50)</f>
        <v/>
      </c>
    </row>
    <row r="14869" spans="9:9" x14ac:dyDescent="0.25">
      <c r="I14869" s="227" t="str">
        <f>MID(excPisCofins[[#This Row],[CodBarras2]],2,50)</f>
        <v/>
      </c>
    </row>
    <row r="14870" spans="9:9" x14ac:dyDescent="0.25">
      <c r="I14870" s="227" t="str">
        <f>MID(excPisCofins[[#This Row],[CodBarras2]],2,50)</f>
        <v/>
      </c>
    </row>
    <row r="14871" spans="9:9" x14ac:dyDescent="0.25">
      <c r="I14871" s="227" t="str">
        <f>MID(excPisCofins[[#This Row],[CodBarras2]],2,50)</f>
        <v/>
      </c>
    </row>
    <row r="14872" spans="9:9" x14ac:dyDescent="0.25">
      <c r="I14872" s="227" t="str">
        <f>MID(excPisCofins[[#This Row],[CodBarras2]],2,50)</f>
        <v/>
      </c>
    </row>
    <row r="14873" spans="9:9" x14ac:dyDescent="0.25">
      <c r="I14873" s="227" t="str">
        <f>MID(excPisCofins[[#This Row],[CodBarras2]],2,50)</f>
        <v/>
      </c>
    </row>
    <row r="14874" spans="9:9" x14ac:dyDescent="0.25">
      <c r="I14874" s="227" t="str">
        <f>MID(excPisCofins[[#This Row],[CodBarras2]],2,50)</f>
        <v/>
      </c>
    </row>
    <row r="14875" spans="9:9" x14ac:dyDescent="0.25">
      <c r="I14875" s="227" t="str">
        <f>MID(excPisCofins[[#This Row],[CodBarras2]],2,50)</f>
        <v/>
      </c>
    </row>
    <row r="14876" spans="9:9" x14ac:dyDescent="0.25">
      <c r="I14876" s="227" t="str">
        <f>MID(excPisCofins[[#This Row],[CodBarras2]],2,50)</f>
        <v/>
      </c>
    </row>
    <row r="14877" spans="9:9" x14ac:dyDescent="0.25">
      <c r="I14877" s="227" t="str">
        <f>MID(excPisCofins[[#This Row],[CodBarras2]],2,50)</f>
        <v/>
      </c>
    </row>
    <row r="14878" spans="9:9" x14ac:dyDescent="0.25">
      <c r="I14878" s="227" t="str">
        <f>MID(excPisCofins[[#This Row],[CodBarras2]],2,50)</f>
        <v/>
      </c>
    </row>
    <row r="14879" spans="9:9" x14ac:dyDescent="0.25">
      <c r="I14879" s="227" t="str">
        <f>MID(excPisCofins[[#This Row],[CodBarras2]],2,50)</f>
        <v/>
      </c>
    </row>
    <row r="14880" spans="9:9" x14ac:dyDescent="0.25">
      <c r="I14880" s="227" t="str">
        <f>MID(excPisCofins[[#This Row],[CodBarras2]],2,50)</f>
        <v/>
      </c>
    </row>
    <row r="14881" spans="9:9" x14ac:dyDescent="0.25">
      <c r="I14881" s="227" t="str">
        <f>MID(excPisCofins[[#This Row],[CodBarras2]],2,50)</f>
        <v/>
      </c>
    </row>
    <row r="14882" spans="9:9" x14ac:dyDescent="0.25">
      <c r="I14882" s="227" t="str">
        <f>MID(excPisCofins[[#This Row],[CodBarras2]],2,50)</f>
        <v/>
      </c>
    </row>
    <row r="14883" spans="9:9" x14ac:dyDescent="0.25">
      <c r="I14883" s="227" t="str">
        <f>MID(excPisCofins[[#This Row],[CodBarras2]],2,50)</f>
        <v/>
      </c>
    </row>
    <row r="14884" spans="9:9" x14ac:dyDescent="0.25">
      <c r="I14884" s="227" t="str">
        <f>MID(excPisCofins[[#This Row],[CodBarras2]],2,50)</f>
        <v/>
      </c>
    </row>
    <row r="14885" spans="9:9" x14ac:dyDescent="0.25">
      <c r="I14885" s="227" t="str">
        <f>MID(excPisCofins[[#This Row],[CodBarras2]],2,50)</f>
        <v/>
      </c>
    </row>
    <row r="14886" spans="9:9" x14ac:dyDescent="0.25">
      <c r="I14886" s="227" t="str">
        <f>MID(excPisCofins[[#This Row],[CodBarras2]],2,50)</f>
        <v/>
      </c>
    </row>
    <row r="14887" spans="9:9" x14ac:dyDescent="0.25">
      <c r="I14887" s="227" t="str">
        <f>MID(excPisCofins[[#This Row],[CodBarras2]],2,50)</f>
        <v/>
      </c>
    </row>
    <row r="14888" spans="9:9" x14ac:dyDescent="0.25">
      <c r="I14888" s="227" t="str">
        <f>MID(excPisCofins[[#This Row],[CodBarras2]],2,50)</f>
        <v/>
      </c>
    </row>
    <row r="14889" spans="9:9" x14ac:dyDescent="0.25">
      <c r="I14889" s="227" t="str">
        <f>MID(excPisCofins[[#This Row],[CodBarras2]],2,50)</f>
        <v/>
      </c>
    </row>
    <row r="14890" spans="9:9" x14ac:dyDescent="0.25">
      <c r="I14890" s="227" t="str">
        <f>MID(excPisCofins[[#This Row],[CodBarras2]],2,50)</f>
        <v/>
      </c>
    </row>
    <row r="14891" spans="9:9" x14ac:dyDescent="0.25">
      <c r="I14891" s="227" t="str">
        <f>MID(excPisCofins[[#This Row],[CodBarras2]],2,50)</f>
        <v/>
      </c>
    </row>
    <row r="14892" spans="9:9" x14ac:dyDescent="0.25">
      <c r="I14892" s="227" t="str">
        <f>MID(excPisCofins[[#This Row],[CodBarras2]],2,50)</f>
        <v/>
      </c>
    </row>
    <row r="14893" spans="9:9" x14ac:dyDescent="0.25">
      <c r="I14893" s="227" t="str">
        <f>MID(excPisCofins[[#This Row],[CodBarras2]],2,50)</f>
        <v/>
      </c>
    </row>
    <row r="14894" spans="9:9" x14ac:dyDescent="0.25">
      <c r="I14894" s="227" t="str">
        <f>MID(excPisCofins[[#This Row],[CodBarras2]],2,50)</f>
        <v/>
      </c>
    </row>
    <row r="14895" spans="9:9" x14ac:dyDescent="0.25">
      <c r="I14895" s="227" t="str">
        <f>MID(excPisCofins[[#This Row],[CodBarras2]],2,50)</f>
        <v/>
      </c>
    </row>
    <row r="14896" spans="9:9" x14ac:dyDescent="0.25">
      <c r="I14896" s="227" t="str">
        <f>MID(excPisCofins[[#This Row],[CodBarras2]],2,50)</f>
        <v/>
      </c>
    </row>
    <row r="14897" spans="9:9" x14ac:dyDescent="0.25">
      <c r="I14897" s="227" t="str">
        <f>MID(excPisCofins[[#This Row],[CodBarras2]],2,50)</f>
        <v/>
      </c>
    </row>
    <row r="14898" spans="9:9" x14ac:dyDescent="0.25">
      <c r="I14898" s="227" t="str">
        <f>MID(excPisCofins[[#This Row],[CodBarras2]],2,50)</f>
        <v/>
      </c>
    </row>
    <row r="14899" spans="9:9" x14ac:dyDescent="0.25">
      <c r="I14899" s="227" t="str">
        <f>MID(excPisCofins[[#This Row],[CodBarras2]],2,50)</f>
        <v/>
      </c>
    </row>
    <row r="14900" spans="9:9" x14ac:dyDescent="0.25">
      <c r="I14900" s="227" t="str">
        <f>MID(excPisCofins[[#This Row],[CodBarras2]],2,50)</f>
        <v/>
      </c>
    </row>
    <row r="14901" spans="9:9" x14ac:dyDescent="0.25">
      <c r="I14901" s="227" t="str">
        <f>MID(excPisCofins[[#This Row],[CodBarras2]],2,50)</f>
        <v/>
      </c>
    </row>
    <row r="14902" spans="9:9" x14ac:dyDescent="0.25">
      <c r="I14902" s="227" t="str">
        <f>MID(excPisCofins[[#This Row],[CodBarras2]],2,50)</f>
        <v/>
      </c>
    </row>
    <row r="14903" spans="9:9" x14ac:dyDescent="0.25">
      <c r="I14903" s="227" t="str">
        <f>MID(excPisCofins[[#This Row],[CodBarras2]],2,50)</f>
        <v/>
      </c>
    </row>
    <row r="14904" spans="9:9" x14ac:dyDescent="0.25">
      <c r="I14904" s="227" t="str">
        <f>MID(excPisCofins[[#This Row],[CodBarras2]],2,50)</f>
        <v/>
      </c>
    </row>
    <row r="14905" spans="9:9" x14ac:dyDescent="0.25">
      <c r="I14905" s="227" t="str">
        <f>MID(excPisCofins[[#This Row],[CodBarras2]],2,50)</f>
        <v/>
      </c>
    </row>
    <row r="14906" spans="9:9" x14ac:dyDescent="0.25">
      <c r="I14906" s="227" t="str">
        <f>MID(excPisCofins[[#This Row],[CodBarras2]],2,50)</f>
        <v/>
      </c>
    </row>
    <row r="14907" spans="9:9" x14ac:dyDescent="0.25">
      <c r="I14907" s="227" t="str">
        <f>MID(excPisCofins[[#This Row],[CodBarras2]],2,50)</f>
        <v/>
      </c>
    </row>
    <row r="14908" spans="9:9" x14ac:dyDescent="0.25">
      <c r="I14908" s="227" t="str">
        <f>MID(excPisCofins[[#This Row],[CodBarras2]],2,50)</f>
        <v/>
      </c>
    </row>
    <row r="14909" spans="9:9" x14ac:dyDescent="0.25">
      <c r="I14909" s="227" t="str">
        <f>MID(excPisCofins[[#This Row],[CodBarras2]],2,50)</f>
        <v/>
      </c>
    </row>
    <row r="14910" spans="9:9" x14ac:dyDescent="0.25">
      <c r="I14910" s="227" t="str">
        <f>MID(excPisCofins[[#This Row],[CodBarras2]],2,50)</f>
        <v/>
      </c>
    </row>
    <row r="14911" spans="9:9" x14ac:dyDescent="0.25">
      <c r="I14911" s="227" t="str">
        <f>MID(excPisCofins[[#This Row],[CodBarras2]],2,50)</f>
        <v/>
      </c>
    </row>
    <row r="14912" spans="9:9" x14ac:dyDescent="0.25">
      <c r="I14912" s="227" t="str">
        <f>MID(excPisCofins[[#This Row],[CodBarras2]],2,50)</f>
        <v/>
      </c>
    </row>
    <row r="14913" spans="9:9" x14ac:dyDescent="0.25">
      <c r="I14913" s="227" t="str">
        <f>MID(excPisCofins[[#This Row],[CodBarras2]],2,50)</f>
        <v/>
      </c>
    </row>
    <row r="14914" spans="9:9" x14ac:dyDescent="0.25">
      <c r="I14914" s="227" t="str">
        <f>MID(excPisCofins[[#This Row],[CodBarras2]],2,50)</f>
        <v/>
      </c>
    </row>
    <row r="14915" spans="9:9" x14ac:dyDescent="0.25">
      <c r="I14915" s="227" t="str">
        <f>MID(excPisCofins[[#This Row],[CodBarras2]],2,50)</f>
        <v/>
      </c>
    </row>
    <row r="14916" spans="9:9" x14ac:dyDescent="0.25">
      <c r="I14916" s="227" t="str">
        <f>MID(excPisCofins[[#This Row],[CodBarras2]],2,50)</f>
        <v/>
      </c>
    </row>
    <row r="14917" spans="9:9" x14ac:dyDescent="0.25">
      <c r="I14917" s="227" t="str">
        <f>MID(excPisCofins[[#This Row],[CodBarras2]],2,50)</f>
        <v/>
      </c>
    </row>
    <row r="14918" spans="9:9" x14ac:dyDescent="0.25">
      <c r="I14918" s="227" t="str">
        <f>MID(excPisCofins[[#This Row],[CodBarras2]],2,50)</f>
        <v/>
      </c>
    </row>
    <row r="14919" spans="9:9" x14ac:dyDescent="0.25">
      <c r="I14919" s="227" t="str">
        <f>MID(excPisCofins[[#This Row],[CodBarras2]],2,50)</f>
        <v/>
      </c>
    </row>
    <row r="14920" spans="9:9" x14ac:dyDescent="0.25">
      <c r="I14920" s="227" t="str">
        <f>MID(excPisCofins[[#This Row],[CodBarras2]],2,50)</f>
        <v/>
      </c>
    </row>
    <row r="14921" spans="9:9" x14ac:dyDescent="0.25">
      <c r="I14921" s="227" t="str">
        <f>MID(excPisCofins[[#This Row],[CodBarras2]],2,50)</f>
        <v/>
      </c>
    </row>
    <row r="14922" spans="9:9" x14ac:dyDescent="0.25">
      <c r="I14922" s="227" t="str">
        <f>MID(excPisCofins[[#This Row],[CodBarras2]],2,50)</f>
        <v/>
      </c>
    </row>
    <row r="14923" spans="9:9" x14ac:dyDescent="0.25">
      <c r="I14923" s="227" t="str">
        <f>MID(excPisCofins[[#This Row],[CodBarras2]],2,50)</f>
        <v/>
      </c>
    </row>
    <row r="14924" spans="9:9" x14ac:dyDescent="0.25">
      <c r="I14924" s="227" t="str">
        <f>MID(excPisCofins[[#This Row],[CodBarras2]],2,50)</f>
        <v/>
      </c>
    </row>
    <row r="14925" spans="9:9" x14ac:dyDescent="0.25">
      <c r="I14925" s="227" t="str">
        <f>MID(excPisCofins[[#This Row],[CodBarras2]],2,50)</f>
        <v/>
      </c>
    </row>
    <row r="14926" spans="9:9" x14ac:dyDescent="0.25">
      <c r="I14926" s="227" t="str">
        <f>MID(excPisCofins[[#This Row],[CodBarras2]],2,50)</f>
        <v/>
      </c>
    </row>
    <row r="14927" spans="9:9" x14ac:dyDescent="0.25">
      <c r="I14927" s="227" t="str">
        <f>MID(excPisCofins[[#This Row],[CodBarras2]],2,50)</f>
        <v/>
      </c>
    </row>
    <row r="14928" spans="9:9" x14ac:dyDescent="0.25">
      <c r="I14928" s="227" t="str">
        <f>MID(excPisCofins[[#This Row],[CodBarras2]],2,50)</f>
        <v/>
      </c>
    </row>
    <row r="14929" spans="9:9" x14ac:dyDescent="0.25">
      <c r="I14929" s="227" t="str">
        <f>MID(excPisCofins[[#This Row],[CodBarras2]],2,50)</f>
        <v/>
      </c>
    </row>
    <row r="14930" spans="9:9" x14ac:dyDescent="0.25">
      <c r="I14930" s="227" t="str">
        <f>MID(excPisCofins[[#This Row],[CodBarras2]],2,50)</f>
        <v/>
      </c>
    </row>
    <row r="14931" spans="9:9" x14ac:dyDescent="0.25">
      <c r="I14931" s="227" t="str">
        <f>MID(excPisCofins[[#This Row],[CodBarras2]],2,50)</f>
        <v/>
      </c>
    </row>
    <row r="14932" spans="9:9" x14ac:dyDescent="0.25">
      <c r="I14932" s="227" t="str">
        <f>MID(excPisCofins[[#This Row],[CodBarras2]],2,50)</f>
        <v/>
      </c>
    </row>
    <row r="14933" spans="9:9" x14ac:dyDescent="0.25">
      <c r="I14933" s="227" t="str">
        <f>MID(excPisCofins[[#This Row],[CodBarras2]],2,50)</f>
        <v/>
      </c>
    </row>
    <row r="14934" spans="9:9" x14ac:dyDescent="0.25">
      <c r="I14934" s="227" t="str">
        <f>MID(excPisCofins[[#This Row],[CodBarras2]],2,50)</f>
        <v/>
      </c>
    </row>
    <row r="14935" spans="9:9" x14ac:dyDescent="0.25">
      <c r="I14935" s="227" t="str">
        <f>MID(excPisCofins[[#This Row],[CodBarras2]],2,50)</f>
        <v/>
      </c>
    </row>
    <row r="14936" spans="9:9" x14ac:dyDescent="0.25">
      <c r="I14936" s="227" t="str">
        <f>MID(excPisCofins[[#This Row],[CodBarras2]],2,50)</f>
        <v/>
      </c>
    </row>
    <row r="14937" spans="9:9" x14ac:dyDescent="0.25">
      <c r="I14937" s="227" t="str">
        <f>MID(excPisCofins[[#This Row],[CodBarras2]],2,50)</f>
        <v/>
      </c>
    </row>
    <row r="14938" spans="9:9" x14ac:dyDescent="0.25">
      <c r="I14938" s="227" t="str">
        <f>MID(excPisCofins[[#This Row],[CodBarras2]],2,50)</f>
        <v/>
      </c>
    </row>
    <row r="14939" spans="9:9" x14ac:dyDescent="0.25">
      <c r="I14939" s="227" t="str">
        <f>MID(excPisCofins[[#This Row],[CodBarras2]],2,50)</f>
        <v/>
      </c>
    </row>
    <row r="14940" spans="9:9" x14ac:dyDescent="0.25">
      <c r="I14940" s="227" t="str">
        <f>MID(excPisCofins[[#This Row],[CodBarras2]],2,50)</f>
        <v/>
      </c>
    </row>
    <row r="14941" spans="9:9" x14ac:dyDescent="0.25">
      <c r="I14941" s="227" t="str">
        <f>MID(excPisCofins[[#This Row],[CodBarras2]],2,50)</f>
        <v/>
      </c>
    </row>
    <row r="14942" spans="9:9" x14ac:dyDescent="0.25">
      <c r="I14942" s="227" t="str">
        <f>MID(excPisCofins[[#This Row],[CodBarras2]],2,50)</f>
        <v/>
      </c>
    </row>
    <row r="14943" spans="9:9" x14ac:dyDescent="0.25">
      <c r="I14943" s="227" t="str">
        <f>MID(excPisCofins[[#This Row],[CodBarras2]],2,50)</f>
        <v/>
      </c>
    </row>
    <row r="14944" spans="9:9" x14ac:dyDescent="0.25">
      <c r="I14944" s="227" t="str">
        <f>MID(excPisCofins[[#This Row],[CodBarras2]],2,50)</f>
        <v/>
      </c>
    </row>
    <row r="14945" spans="9:9" x14ac:dyDescent="0.25">
      <c r="I14945" s="227" t="str">
        <f>MID(excPisCofins[[#This Row],[CodBarras2]],2,50)</f>
        <v/>
      </c>
    </row>
    <row r="14946" spans="9:9" x14ac:dyDescent="0.25">
      <c r="I14946" s="227" t="str">
        <f>MID(excPisCofins[[#This Row],[CodBarras2]],2,50)</f>
        <v/>
      </c>
    </row>
    <row r="14947" spans="9:9" x14ac:dyDescent="0.25">
      <c r="I14947" s="227" t="str">
        <f>MID(excPisCofins[[#This Row],[CodBarras2]],2,50)</f>
        <v/>
      </c>
    </row>
    <row r="14948" spans="9:9" x14ac:dyDescent="0.25">
      <c r="I14948" s="227" t="str">
        <f>MID(excPisCofins[[#This Row],[CodBarras2]],2,50)</f>
        <v/>
      </c>
    </row>
    <row r="14949" spans="9:9" x14ac:dyDescent="0.25">
      <c r="I14949" s="227" t="str">
        <f>MID(excPisCofins[[#This Row],[CodBarras2]],2,50)</f>
        <v/>
      </c>
    </row>
    <row r="14950" spans="9:9" x14ac:dyDescent="0.25">
      <c r="I14950" s="227" t="str">
        <f>MID(excPisCofins[[#This Row],[CodBarras2]],2,50)</f>
        <v/>
      </c>
    </row>
    <row r="14951" spans="9:9" x14ac:dyDescent="0.25">
      <c r="I14951" s="227" t="str">
        <f>MID(excPisCofins[[#This Row],[CodBarras2]],2,50)</f>
        <v/>
      </c>
    </row>
    <row r="14952" spans="9:9" x14ac:dyDescent="0.25">
      <c r="I14952" s="227" t="str">
        <f>MID(excPisCofins[[#This Row],[CodBarras2]],2,50)</f>
        <v/>
      </c>
    </row>
    <row r="14953" spans="9:9" x14ac:dyDescent="0.25">
      <c r="I14953" s="227" t="str">
        <f>MID(excPisCofins[[#This Row],[CodBarras2]],2,50)</f>
        <v/>
      </c>
    </row>
    <row r="14954" spans="9:9" x14ac:dyDescent="0.25">
      <c r="I14954" s="227" t="str">
        <f>MID(excPisCofins[[#This Row],[CodBarras2]],2,50)</f>
        <v/>
      </c>
    </row>
    <row r="14955" spans="9:9" x14ac:dyDescent="0.25">
      <c r="I14955" s="227" t="str">
        <f>MID(excPisCofins[[#This Row],[CodBarras2]],2,50)</f>
        <v/>
      </c>
    </row>
    <row r="14956" spans="9:9" x14ac:dyDescent="0.25">
      <c r="I14956" s="227" t="str">
        <f>MID(excPisCofins[[#This Row],[CodBarras2]],2,50)</f>
        <v/>
      </c>
    </row>
    <row r="14957" spans="9:9" x14ac:dyDescent="0.25">
      <c r="I14957" s="227" t="str">
        <f>MID(excPisCofins[[#This Row],[CodBarras2]],2,50)</f>
        <v/>
      </c>
    </row>
    <row r="14958" spans="9:9" x14ac:dyDescent="0.25">
      <c r="I14958" s="227" t="str">
        <f>MID(excPisCofins[[#This Row],[CodBarras2]],2,50)</f>
        <v/>
      </c>
    </row>
    <row r="14959" spans="9:9" x14ac:dyDescent="0.25">
      <c r="I14959" s="227" t="str">
        <f>MID(excPisCofins[[#This Row],[CodBarras2]],2,50)</f>
        <v/>
      </c>
    </row>
    <row r="14960" spans="9:9" x14ac:dyDescent="0.25">
      <c r="I14960" s="227" t="str">
        <f>MID(excPisCofins[[#This Row],[CodBarras2]],2,50)</f>
        <v/>
      </c>
    </row>
    <row r="14961" spans="9:9" x14ac:dyDescent="0.25">
      <c r="I14961" s="227" t="str">
        <f>MID(excPisCofins[[#This Row],[CodBarras2]],2,50)</f>
        <v/>
      </c>
    </row>
    <row r="14962" spans="9:9" x14ac:dyDescent="0.25">
      <c r="I14962" s="227" t="str">
        <f>MID(excPisCofins[[#This Row],[CodBarras2]],2,50)</f>
        <v/>
      </c>
    </row>
    <row r="14963" spans="9:9" x14ac:dyDescent="0.25">
      <c r="I14963" s="227" t="str">
        <f>MID(excPisCofins[[#This Row],[CodBarras2]],2,50)</f>
        <v/>
      </c>
    </row>
    <row r="14964" spans="9:9" x14ac:dyDescent="0.25">
      <c r="I14964" s="227" t="str">
        <f>MID(excPisCofins[[#This Row],[CodBarras2]],2,50)</f>
        <v/>
      </c>
    </row>
    <row r="14965" spans="9:9" x14ac:dyDescent="0.25">
      <c r="I14965" s="227" t="str">
        <f>MID(excPisCofins[[#This Row],[CodBarras2]],2,50)</f>
        <v/>
      </c>
    </row>
    <row r="14966" spans="9:9" x14ac:dyDescent="0.25">
      <c r="I14966" s="227" t="str">
        <f>MID(excPisCofins[[#This Row],[CodBarras2]],2,50)</f>
        <v/>
      </c>
    </row>
    <row r="14967" spans="9:9" x14ac:dyDescent="0.25">
      <c r="I14967" s="227" t="str">
        <f>MID(excPisCofins[[#This Row],[CodBarras2]],2,50)</f>
        <v/>
      </c>
    </row>
    <row r="14968" spans="9:9" x14ac:dyDescent="0.25">
      <c r="I14968" s="227" t="str">
        <f>MID(excPisCofins[[#This Row],[CodBarras2]],2,50)</f>
        <v/>
      </c>
    </row>
    <row r="14969" spans="9:9" x14ac:dyDescent="0.25">
      <c r="I14969" s="227" t="str">
        <f>MID(excPisCofins[[#This Row],[CodBarras2]],2,50)</f>
        <v/>
      </c>
    </row>
    <row r="14970" spans="9:9" x14ac:dyDescent="0.25">
      <c r="I14970" s="227" t="str">
        <f>MID(excPisCofins[[#This Row],[CodBarras2]],2,50)</f>
        <v/>
      </c>
    </row>
    <row r="14971" spans="9:9" x14ac:dyDescent="0.25">
      <c r="I14971" s="227" t="str">
        <f>MID(excPisCofins[[#This Row],[CodBarras2]],2,50)</f>
        <v/>
      </c>
    </row>
    <row r="14972" spans="9:9" x14ac:dyDescent="0.25">
      <c r="I14972" s="227" t="str">
        <f>MID(excPisCofins[[#This Row],[CodBarras2]],2,50)</f>
        <v/>
      </c>
    </row>
    <row r="14973" spans="9:9" x14ac:dyDescent="0.25">
      <c r="I14973" s="227" t="str">
        <f>MID(excPisCofins[[#This Row],[CodBarras2]],2,50)</f>
        <v/>
      </c>
    </row>
    <row r="14974" spans="9:9" x14ac:dyDescent="0.25">
      <c r="I14974" s="227" t="str">
        <f>MID(excPisCofins[[#This Row],[CodBarras2]],2,50)</f>
        <v/>
      </c>
    </row>
    <row r="14975" spans="9:9" x14ac:dyDescent="0.25">
      <c r="I14975" s="227" t="str">
        <f>MID(excPisCofins[[#This Row],[CodBarras2]],2,50)</f>
        <v/>
      </c>
    </row>
    <row r="14976" spans="9:9" x14ac:dyDescent="0.25">
      <c r="I14976" s="227" t="str">
        <f>MID(excPisCofins[[#This Row],[CodBarras2]],2,50)</f>
        <v/>
      </c>
    </row>
    <row r="14977" spans="9:9" x14ac:dyDescent="0.25">
      <c r="I14977" s="227" t="str">
        <f>MID(excPisCofins[[#This Row],[CodBarras2]],2,50)</f>
        <v/>
      </c>
    </row>
    <row r="14978" spans="9:9" x14ac:dyDescent="0.25">
      <c r="I14978" s="227" t="str">
        <f>MID(excPisCofins[[#This Row],[CodBarras2]],2,50)</f>
        <v/>
      </c>
    </row>
    <row r="14979" spans="9:9" x14ac:dyDescent="0.25">
      <c r="I14979" s="227" t="str">
        <f>MID(excPisCofins[[#This Row],[CodBarras2]],2,50)</f>
        <v/>
      </c>
    </row>
    <row r="14980" spans="9:9" x14ac:dyDescent="0.25">
      <c r="I14980" s="227" t="str">
        <f>MID(excPisCofins[[#This Row],[CodBarras2]],2,50)</f>
        <v/>
      </c>
    </row>
    <row r="14981" spans="9:9" x14ac:dyDescent="0.25">
      <c r="I14981" s="227" t="str">
        <f>MID(excPisCofins[[#This Row],[CodBarras2]],2,50)</f>
        <v/>
      </c>
    </row>
    <row r="14982" spans="9:9" x14ac:dyDescent="0.25">
      <c r="I14982" s="227" t="str">
        <f>MID(excPisCofins[[#This Row],[CodBarras2]],2,50)</f>
        <v/>
      </c>
    </row>
    <row r="14983" spans="9:9" x14ac:dyDescent="0.25">
      <c r="I14983" s="227" t="str">
        <f>MID(excPisCofins[[#This Row],[CodBarras2]],2,50)</f>
        <v/>
      </c>
    </row>
    <row r="14984" spans="9:9" x14ac:dyDescent="0.25">
      <c r="I14984" s="227" t="str">
        <f>MID(excPisCofins[[#This Row],[CodBarras2]],2,50)</f>
        <v/>
      </c>
    </row>
    <row r="14985" spans="9:9" x14ac:dyDescent="0.25">
      <c r="I14985" s="227" t="str">
        <f>MID(excPisCofins[[#This Row],[CodBarras2]],2,50)</f>
        <v/>
      </c>
    </row>
    <row r="14986" spans="9:9" x14ac:dyDescent="0.25">
      <c r="I14986" s="227" t="str">
        <f>MID(excPisCofins[[#This Row],[CodBarras2]],2,50)</f>
        <v/>
      </c>
    </row>
    <row r="14987" spans="9:9" x14ac:dyDescent="0.25">
      <c r="I14987" s="227" t="str">
        <f>MID(excPisCofins[[#This Row],[CodBarras2]],2,50)</f>
        <v/>
      </c>
    </row>
    <row r="14988" spans="9:9" x14ac:dyDescent="0.25">
      <c r="I14988" s="227" t="str">
        <f>MID(excPisCofins[[#This Row],[CodBarras2]],2,50)</f>
        <v/>
      </c>
    </row>
    <row r="14989" spans="9:9" x14ac:dyDescent="0.25">
      <c r="I14989" s="227" t="str">
        <f>MID(excPisCofins[[#This Row],[CodBarras2]],2,50)</f>
        <v/>
      </c>
    </row>
    <row r="14990" spans="9:9" x14ac:dyDescent="0.25">
      <c r="I14990" s="227" t="str">
        <f>MID(excPisCofins[[#This Row],[CodBarras2]],2,50)</f>
        <v/>
      </c>
    </row>
    <row r="14991" spans="9:9" x14ac:dyDescent="0.25">
      <c r="I14991" s="227" t="str">
        <f>MID(excPisCofins[[#This Row],[CodBarras2]],2,50)</f>
        <v/>
      </c>
    </row>
    <row r="14992" spans="9:9" x14ac:dyDescent="0.25">
      <c r="I14992" s="227" t="str">
        <f>MID(excPisCofins[[#This Row],[CodBarras2]],2,50)</f>
        <v/>
      </c>
    </row>
    <row r="14993" spans="9:9" x14ac:dyDescent="0.25">
      <c r="I14993" s="227" t="str">
        <f>MID(excPisCofins[[#This Row],[CodBarras2]],2,50)</f>
        <v/>
      </c>
    </row>
    <row r="14994" spans="9:9" x14ac:dyDescent="0.25">
      <c r="I14994" s="227" t="str">
        <f>MID(excPisCofins[[#This Row],[CodBarras2]],2,50)</f>
        <v/>
      </c>
    </row>
    <row r="14995" spans="9:9" x14ac:dyDescent="0.25">
      <c r="I14995" s="227" t="str">
        <f>MID(excPisCofins[[#This Row],[CodBarras2]],2,50)</f>
        <v/>
      </c>
    </row>
    <row r="14996" spans="9:9" x14ac:dyDescent="0.25">
      <c r="I14996" s="227" t="str">
        <f>MID(excPisCofins[[#This Row],[CodBarras2]],2,50)</f>
        <v/>
      </c>
    </row>
    <row r="14997" spans="9:9" x14ac:dyDescent="0.25">
      <c r="I14997" s="227" t="str">
        <f>MID(excPisCofins[[#This Row],[CodBarras2]],2,50)</f>
        <v/>
      </c>
    </row>
    <row r="14998" spans="9:9" x14ac:dyDescent="0.25">
      <c r="I14998" s="227" t="str">
        <f>MID(excPisCofins[[#This Row],[CodBarras2]],2,50)</f>
        <v/>
      </c>
    </row>
    <row r="14999" spans="9:9" x14ac:dyDescent="0.25">
      <c r="I14999" s="227" t="str">
        <f>MID(excPisCofins[[#This Row],[CodBarras2]],2,50)</f>
        <v/>
      </c>
    </row>
    <row r="15000" spans="9:9" x14ac:dyDescent="0.25">
      <c r="I15000" s="227" t="str">
        <f>MID(excPisCofins[[#This Row],[CodBarras2]],2,50)</f>
        <v/>
      </c>
    </row>
    <row r="15001" spans="9:9" x14ac:dyDescent="0.25">
      <c r="I15001" s="227" t="str">
        <f>MID(excPisCofins[[#This Row],[CodBarras2]],2,50)</f>
        <v/>
      </c>
    </row>
    <row r="15002" spans="9:9" x14ac:dyDescent="0.25">
      <c r="I15002" s="227" t="str">
        <f>MID(excPisCofins[[#This Row],[CodBarras2]],2,50)</f>
        <v/>
      </c>
    </row>
    <row r="15003" spans="9:9" x14ac:dyDescent="0.25">
      <c r="I15003" s="227" t="str">
        <f>MID(excPisCofins[[#This Row],[CodBarras2]],2,50)</f>
        <v/>
      </c>
    </row>
    <row r="15004" spans="9:9" x14ac:dyDescent="0.25">
      <c r="I15004" s="227" t="str">
        <f>MID(excPisCofins[[#This Row],[CodBarras2]],2,50)</f>
        <v/>
      </c>
    </row>
    <row r="15005" spans="9:9" x14ac:dyDescent="0.25">
      <c r="I15005" s="227" t="str">
        <f>MID(excPisCofins[[#This Row],[CodBarras2]],2,50)</f>
        <v/>
      </c>
    </row>
    <row r="15006" spans="9:9" x14ac:dyDescent="0.25">
      <c r="I15006" s="227" t="str">
        <f>MID(excPisCofins[[#This Row],[CodBarras2]],2,50)</f>
        <v/>
      </c>
    </row>
    <row r="15007" spans="9:9" x14ac:dyDescent="0.25">
      <c r="I15007" s="227" t="str">
        <f>MID(excPisCofins[[#This Row],[CodBarras2]],2,50)</f>
        <v/>
      </c>
    </row>
    <row r="15008" spans="9:9" x14ac:dyDescent="0.25">
      <c r="I15008" s="227" t="str">
        <f>MID(excPisCofins[[#This Row],[CodBarras2]],2,50)</f>
        <v/>
      </c>
    </row>
    <row r="15009" spans="9:9" x14ac:dyDescent="0.25">
      <c r="I15009" s="227" t="str">
        <f>MID(excPisCofins[[#This Row],[CodBarras2]],2,50)</f>
        <v/>
      </c>
    </row>
    <row r="15010" spans="9:9" x14ac:dyDescent="0.25">
      <c r="I15010" s="227" t="str">
        <f>MID(excPisCofins[[#This Row],[CodBarras2]],2,50)</f>
        <v/>
      </c>
    </row>
    <row r="15011" spans="9:9" x14ac:dyDescent="0.25">
      <c r="I15011" s="227" t="str">
        <f>MID(excPisCofins[[#This Row],[CodBarras2]],2,50)</f>
        <v/>
      </c>
    </row>
    <row r="15012" spans="9:9" x14ac:dyDescent="0.25">
      <c r="I15012" s="227" t="str">
        <f>MID(excPisCofins[[#This Row],[CodBarras2]],2,50)</f>
        <v/>
      </c>
    </row>
    <row r="15013" spans="9:9" x14ac:dyDescent="0.25">
      <c r="I15013" s="227" t="str">
        <f>MID(excPisCofins[[#This Row],[CodBarras2]],2,50)</f>
        <v/>
      </c>
    </row>
    <row r="15014" spans="9:9" x14ac:dyDescent="0.25">
      <c r="I15014" s="227" t="str">
        <f>MID(excPisCofins[[#This Row],[CodBarras2]],2,50)</f>
        <v/>
      </c>
    </row>
    <row r="15015" spans="9:9" x14ac:dyDescent="0.25">
      <c r="I15015" s="227" t="str">
        <f>MID(excPisCofins[[#This Row],[CodBarras2]],2,50)</f>
        <v/>
      </c>
    </row>
    <row r="15016" spans="9:9" x14ac:dyDescent="0.25">
      <c r="I15016" s="227" t="str">
        <f>MID(excPisCofins[[#This Row],[CodBarras2]],2,50)</f>
        <v/>
      </c>
    </row>
    <row r="15017" spans="9:9" x14ac:dyDescent="0.25">
      <c r="I15017" s="227" t="str">
        <f>MID(excPisCofins[[#This Row],[CodBarras2]],2,50)</f>
        <v/>
      </c>
    </row>
    <row r="15018" spans="9:9" x14ac:dyDescent="0.25">
      <c r="I15018" s="227" t="str">
        <f>MID(excPisCofins[[#This Row],[CodBarras2]],2,50)</f>
        <v/>
      </c>
    </row>
    <row r="15019" spans="9:9" x14ac:dyDescent="0.25">
      <c r="I15019" s="227" t="str">
        <f>MID(excPisCofins[[#This Row],[CodBarras2]],2,50)</f>
        <v/>
      </c>
    </row>
    <row r="15020" spans="9:9" x14ac:dyDescent="0.25">
      <c r="I15020" s="227" t="str">
        <f>MID(excPisCofins[[#This Row],[CodBarras2]],2,50)</f>
        <v/>
      </c>
    </row>
    <row r="15021" spans="9:9" x14ac:dyDescent="0.25">
      <c r="I15021" s="227" t="str">
        <f>MID(excPisCofins[[#This Row],[CodBarras2]],2,50)</f>
        <v/>
      </c>
    </row>
    <row r="15022" spans="9:9" x14ac:dyDescent="0.25">
      <c r="I15022" s="227" t="str">
        <f>MID(excPisCofins[[#This Row],[CodBarras2]],2,50)</f>
        <v/>
      </c>
    </row>
    <row r="15023" spans="9:9" x14ac:dyDescent="0.25">
      <c r="I15023" s="227" t="str">
        <f>MID(excPisCofins[[#This Row],[CodBarras2]],2,50)</f>
        <v/>
      </c>
    </row>
    <row r="15024" spans="9:9" x14ac:dyDescent="0.25">
      <c r="I15024" s="227" t="str">
        <f>MID(excPisCofins[[#This Row],[CodBarras2]],2,50)</f>
        <v/>
      </c>
    </row>
    <row r="15025" spans="9:9" x14ac:dyDescent="0.25">
      <c r="I15025" s="227" t="str">
        <f>MID(excPisCofins[[#This Row],[CodBarras2]],2,50)</f>
        <v/>
      </c>
    </row>
    <row r="15026" spans="9:9" x14ac:dyDescent="0.25">
      <c r="I15026" s="227" t="str">
        <f>MID(excPisCofins[[#This Row],[CodBarras2]],2,50)</f>
        <v/>
      </c>
    </row>
    <row r="15027" spans="9:9" x14ac:dyDescent="0.25">
      <c r="I15027" s="227" t="str">
        <f>MID(excPisCofins[[#This Row],[CodBarras2]],2,50)</f>
        <v/>
      </c>
    </row>
    <row r="15028" spans="9:9" x14ac:dyDescent="0.25">
      <c r="I15028" s="227" t="str">
        <f>MID(excPisCofins[[#This Row],[CodBarras2]],2,50)</f>
        <v/>
      </c>
    </row>
    <row r="15029" spans="9:9" x14ac:dyDescent="0.25">
      <c r="I15029" s="227" t="str">
        <f>MID(excPisCofins[[#This Row],[CodBarras2]],2,50)</f>
        <v/>
      </c>
    </row>
    <row r="15030" spans="9:9" x14ac:dyDescent="0.25">
      <c r="I15030" s="227" t="str">
        <f>MID(excPisCofins[[#This Row],[CodBarras2]],2,50)</f>
        <v/>
      </c>
    </row>
    <row r="15031" spans="9:9" x14ac:dyDescent="0.25">
      <c r="I15031" s="227" t="str">
        <f>MID(excPisCofins[[#This Row],[CodBarras2]],2,50)</f>
        <v/>
      </c>
    </row>
    <row r="15032" spans="9:9" x14ac:dyDescent="0.25">
      <c r="I15032" s="227" t="str">
        <f>MID(excPisCofins[[#This Row],[CodBarras2]],2,50)</f>
        <v/>
      </c>
    </row>
    <row r="15033" spans="9:9" x14ac:dyDescent="0.25">
      <c r="I15033" s="227" t="str">
        <f>MID(excPisCofins[[#This Row],[CodBarras2]],2,50)</f>
        <v/>
      </c>
    </row>
    <row r="15034" spans="9:9" x14ac:dyDescent="0.25">
      <c r="I15034" s="227" t="str">
        <f>MID(excPisCofins[[#This Row],[CodBarras2]],2,50)</f>
        <v/>
      </c>
    </row>
    <row r="15035" spans="9:9" x14ac:dyDescent="0.25">
      <c r="I15035" s="227" t="str">
        <f>MID(excPisCofins[[#This Row],[CodBarras2]],2,50)</f>
        <v/>
      </c>
    </row>
    <row r="15036" spans="9:9" x14ac:dyDescent="0.25">
      <c r="I15036" s="227" t="str">
        <f>MID(excPisCofins[[#This Row],[CodBarras2]],2,50)</f>
        <v/>
      </c>
    </row>
    <row r="15037" spans="9:9" x14ac:dyDescent="0.25">
      <c r="I15037" s="227" t="str">
        <f>MID(excPisCofins[[#This Row],[CodBarras2]],2,50)</f>
        <v/>
      </c>
    </row>
    <row r="15038" spans="9:9" x14ac:dyDescent="0.25">
      <c r="I15038" s="227" t="str">
        <f>MID(excPisCofins[[#This Row],[CodBarras2]],2,50)</f>
        <v/>
      </c>
    </row>
    <row r="15039" spans="9:9" x14ac:dyDescent="0.25">
      <c r="I15039" s="227" t="str">
        <f>MID(excPisCofins[[#This Row],[CodBarras2]],2,50)</f>
        <v/>
      </c>
    </row>
    <row r="15040" spans="9:9" x14ac:dyDescent="0.25">
      <c r="I15040" s="227" t="str">
        <f>MID(excPisCofins[[#This Row],[CodBarras2]],2,50)</f>
        <v/>
      </c>
    </row>
    <row r="15041" spans="9:9" x14ac:dyDescent="0.25">
      <c r="I15041" s="227" t="str">
        <f>MID(excPisCofins[[#This Row],[CodBarras2]],2,50)</f>
        <v/>
      </c>
    </row>
    <row r="15042" spans="9:9" x14ac:dyDescent="0.25">
      <c r="I15042" s="227" t="str">
        <f>MID(excPisCofins[[#This Row],[CodBarras2]],2,50)</f>
        <v/>
      </c>
    </row>
    <row r="15043" spans="9:9" x14ac:dyDescent="0.25">
      <c r="I15043" s="227" t="str">
        <f>MID(excPisCofins[[#This Row],[CodBarras2]],2,50)</f>
        <v/>
      </c>
    </row>
    <row r="15044" spans="9:9" x14ac:dyDescent="0.25">
      <c r="I15044" s="227" t="str">
        <f>MID(excPisCofins[[#This Row],[CodBarras2]],2,50)</f>
        <v/>
      </c>
    </row>
    <row r="15045" spans="9:9" x14ac:dyDescent="0.25">
      <c r="I15045" s="227" t="str">
        <f>MID(excPisCofins[[#This Row],[CodBarras2]],2,50)</f>
        <v/>
      </c>
    </row>
    <row r="15046" spans="9:9" x14ac:dyDescent="0.25">
      <c r="I15046" s="227" t="str">
        <f>MID(excPisCofins[[#This Row],[CodBarras2]],2,50)</f>
        <v/>
      </c>
    </row>
    <row r="15047" spans="9:9" x14ac:dyDescent="0.25">
      <c r="I15047" s="227" t="str">
        <f>MID(excPisCofins[[#This Row],[CodBarras2]],2,50)</f>
        <v/>
      </c>
    </row>
    <row r="15048" spans="9:9" x14ac:dyDescent="0.25">
      <c r="I15048" s="227" t="str">
        <f>MID(excPisCofins[[#This Row],[CodBarras2]],2,50)</f>
        <v/>
      </c>
    </row>
    <row r="15049" spans="9:9" x14ac:dyDescent="0.25">
      <c r="I15049" s="227" t="str">
        <f>MID(excPisCofins[[#This Row],[CodBarras2]],2,50)</f>
        <v/>
      </c>
    </row>
    <row r="15050" spans="9:9" x14ac:dyDescent="0.25">
      <c r="I15050" s="227" t="str">
        <f>MID(excPisCofins[[#This Row],[CodBarras2]],2,50)</f>
        <v/>
      </c>
    </row>
    <row r="15051" spans="9:9" x14ac:dyDescent="0.25">
      <c r="I15051" s="227" t="str">
        <f>MID(excPisCofins[[#This Row],[CodBarras2]],2,50)</f>
        <v/>
      </c>
    </row>
    <row r="15052" spans="9:9" x14ac:dyDescent="0.25">
      <c r="I15052" s="227" t="str">
        <f>MID(excPisCofins[[#This Row],[CodBarras2]],2,50)</f>
        <v/>
      </c>
    </row>
    <row r="15053" spans="9:9" x14ac:dyDescent="0.25">
      <c r="I15053" s="227" t="str">
        <f>MID(excPisCofins[[#This Row],[CodBarras2]],2,50)</f>
        <v/>
      </c>
    </row>
    <row r="15054" spans="9:9" x14ac:dyDescent="0.25">
      <c r="I15054" s="227" t="str">
        <f>MID(excPisCofins[[#This Row],[CodBarras2]],2,50)</f>
        <v/>
      </c>
    </row>
    <row r="15055" spans="9:9" x14ac:dyDescent="0.25">
      <c r="I15055" s="227" t="str">
        <f>MID(excPisCofins[[#This Row],[CodBarras2]],2,50)</f>
        <v/>
      </c>
    </row>
    <row r="15056" spans="9:9" x14ac:dyDescent="0.25">
      <c r="I15056" s="227" t="str">
        <f>MID(excPisCofins[[#This Row],[CodBarras2]],2,50)</f>
        <v/>
      </c>
    </row>
    <row r="15057" spans="9:9" x14ac:dyDescent="0.25">
      <c r="I15057" s="227" t="str">
        <f>MID(excPisCofins[[#This Row],[CodBarras2]],2,50)</f>
        <v/>
      </c>
    </row>
    <row r="15058" spans="9:9" x14ac:dyDescent="0.25">
      <c r="I15058" s="227" t="str">
        <f>MID(excPisCofins[[#This Row],[CodBarras2]],2,50)</f>
        <v/>
      </c>
    </row>
    <row r="15059" spans="9:9" x14ac:dyDescent="0.25">
      <c r="I15059" s="227" t="str">
        <f>MID(excPisCofins[[#This Row],[CodBarras2]],2,50)</f>
        <v/>
      </c>
    </row>
    <row r="15060" spans="9:9" x14ac:dyDescent="0.25">
      <c r="I15060" s="227" t="str">
        <f>MID(excPisCofins[[#This Row],[CodBarras2]],2,50)</f>
        <v/>
      </c>
    </row>
    <row r="15061" spans="9:9" x14ac:dyDescent="0.25">
      <c r="I15061" s="227" t="str">
        <f>MID(excPisCofins[[#This Row],[CodBarras2]],2,50)</f>
        <v/>
      </c>
    </row>
    <row r="15062" spans="9:9" x14ac:dyDescent="0.25">
      <c r="I15062" s="227" t="str">
        <f>MID(excPisCofins[[#This Row],[CodBarras2]],2,50)</f>
        <v/>
      </c>
    </row>
    <row r="15063" spans="9:9" x14ac:dyDescent="0.25">
      <c r="I15063" s="227" t="str">
        <f>MID(excPisCofins[[#This Row],[CodBarras2]],2,50)</f>
        <v/>
      </c>
    </row>
    <row r="15064" spans="9:9" x14ac:dyDescent="0.25">
      <c r="I15064" s="227" t="str">
        <f>MID(excPisCofins[[#This Row],[CodBarras2]],2,50)</f>
        <v/>
      </c>
    </row>
    <row r="15065" spans="9:9" x14ac:dyDescent="0.25">
      <c r="I15065" s="227" t="str">
        <f>MID(excPisCofins[[#This Row],[CodBarras2]],2,50)</f>
        <v/>
      </c>
    </row>
    <row r="15066" spans="9:9" x14ac:dyDescent="0.25">
      <c r="I15066" s="227" t="str">
        <f>MID(excPisCofins[[#This Row],[CodBarras2]],2,50)</f>
        <v/>
      </c>
    </row>
    <row r="15067" spans="9:9" x14ac:dyDescent="0.25">
      <c r="I15067" s="227" t="str">
        <f>MID(excPisCofins[[#This Row],[CodBarras2]],2,50)</f>
        <v/>
      </c>
    </row>
    <row r="15068" spans="9:9" x14ac:dyDescent="0.25">
      <c r="I15068" s="227" t="str">
        <f>MID(excPisCofins[[#This Row],[CodBarras2]],2,50)</f>
        <v/>
      </c>
    </row>
    <row r="15069" spans="9:9" x14ac:dyDescent="0.25">
      <c r="I15069" s="227" t="str">
        <f>MID(excPisCofins[[#This Row],[CodBarras2]],2,50)</f>
        <v/>
      </c>
    </row>
    <row r="15070" spans="9:9" x14ac:dyDescent="0.25">
      <c r="I15070" s="227" t="str">
        <f>MID(excPisCofins[[#This Row],[CodBarras2]],2,50)</f>
        <v/>
      </c>
    </row>
    <row r="15071" spans="9:9" x14ac:dyDescent="0.25">
      <c r="I15071" s="227" t="str">
        <f>MID(excPisCofins[[#This Row],[CodBarras2]],2,50)</f>
        <v/>
      </c>
    </row>
    <row r="15072" spans="9:9" x14ac:dyDescent="0.25">
      <c r="I15072" s="227" t="str">
        <f>MID(excPisCofins[[#This Row],[CodBarras2]],2,50)</f>
        <v/>
      </c>
    </row>
    <row r="15073" spans="9:9" x14ac:dyDescent="0.25">
      <c r="I15073" s="227" t="str">
        <f>MID(excPisCofins[[#This Row],[CodBarras2]],2,50)</f>
        <v/>
      </c>
    </row>
    <row r="15074" spans="9:9" x14ac:dyDescent="0.25">
      <c r="I15074" s="227" t="str">
        <f>MID(excPisCofins[[#This Row],[CodBarras2]],2,50)</f>
        <v/>
      </c>
    </row>
    <row r="15075" spans="9:9" x14ac:dyDescent="0.25">
      <c r="I15075" s="227" t="str">
        <f>MID(excPisCofins[[#This Row],[CodBarras2]],2,50)</f>
        <v/>
      </c>
    </row>
    <row r="15076" spans="9:9" x14ac:dyDescent="0.25">
      <c r="I15076" s="227" t="str">
        <f>MID(excPisCofins[[#This Row],[CodBarras2]],2,50)</f>
        <v/>
      </c>
    </row>
    <row r="15077" spans="9:9" x14ac:dyDescent="0.25">
      <c r="I15077" s="227" t="str">
        <f>MID(excPisCofins[[#This Row],[CodBarras2]],2,50)</f>
        <v/>
      </c>
    </row>
    <row r="15078" spans="9:9" x14ac:dyDescent="0.25">
      <c r="I15078" s="227" t="str">
        <f>MID(excPisCofins[[#This Row],[CodBarras2]],2,50)</f>
        <v/>
      </c>
    </row>
    <row r="15079" spans="9:9" x14ac:dyDescent="0.25">
      <c r="I15079" s="227" t="str">
        <f>MID(excPisCofins[[#This Row],[CodBarras2]],2,50)</f>
        <v/>
      </c>
    </row>
    <row r="15080" spans="9:9" x14ac:dyDescent="0.25">
      <c r="I15080" s="227" t="str">
        <f>MID(excPisCofins[[#This Row],[CodBarras2]],2,50)</f>
        <v/>
      </c>
    </row>
    <row r="15081" spans="9:9" x14ac:dyDescent="0.25">
      <c r="I15081" s="227" t="str">
        <f>MID(excPisCofins[[#This Row],[CodBarras2]],2,50)</f>
        <v/>
      </c>
    </row>
    <row r="15082" spans="9:9" x14ac:dyDescent="0.25">
      <c r="I15082" s="227" t="str">
        <f>MID(excPisCofins[[#This Row],[CodBarras2]],2,50)</f>
        <v/>
      </c>
    </row>
    <row r="15083" spans="9:9" x14ac:dyDescent="0.25">
      <c r="I15083" s="227" t="str">
        <f>MID(excPisCofins[[#This Row],[CodBarras2]],2,50)</f>
        <v/>
      </c>
    </row>
    <row r="15084" spans="9:9" x14ac:dyDescent="0.25">
      <c r="I15084" s="227" t="str">
        <f>MID(excPisCofins[[#This Row],[CodBarras2]],2,50)</f>
        <v/>
      </c>
    </row>
    <row r="15085" spans="9:9" x14ac:dyDescent="0.25">
      <c r="I15085" s="227" t="str">
        <f>MID(excPisCofins[[#This Row],[CodBarras2]],2,50)</f>
        <v/>
      </c>
    </row>
    <row r="15086" spans="9:9" x14ac:dyDescent="0.25">
      <c r="I15086" s="227" t="str">
        <f>MID(excPisCofins[[#This Row],[CodBarras2]],2,50)</f>
        <v/>
      </c>
    </row>
    <row r="15087" spans="9:9" x14ac:dyDescent="0.25">
      <c r="I15087" s="227" t="str">
        <f>MID(excPisCofins[[#This Row],[CodBarras2]],2,50)</f>
        <v/>
      </c>
    </row>
    <row r="15088" spans="9:9" x14ac:dyDescent="0.25">
      <c r="I15088" s="227" t="str">
        <f>MID(excPisCofins[[#This Row],[CodBarras2]],2,50)</f>
        <v/>
      </c>
    </row>
    <row r="15089" spans="9:9" x14ac:dyDescent="0.25">
      <c r="I15089" s="227" t="str">
        <f>MID(excPisCofins[[#This Row],[CodBarras2]],2,50)</f>
        <v/>
      </c>
    </row>
    <row r="15090" spans="9:9" x14ac:dyDescent="0.25">
      <c r="I15090" s="227" t="str">
        <f>MID(excPisCofins[[#This Row],[CodBarras2]],2,50)</f>
        <v/>
      </c>
    </row>
    <row r="15091" spans="9:9" x14ac:dyDescent="0.25">
      <c r="I15091" s="227" t="str">
        <f>MID(excPisCofins[[#This Row],[CodBarras2]],2,50)</f>
        <v/>
      </c>
    </row>
    <row r="15092" spans="9:9" x14ac:dyDescent="0.25">
      <c r="I15092" s="227" t="str">
        <f>MID(excPisCofins[[#This Row],[CodBarras2]],2,50)</f>
        <v/>
      </c>
    </row>
    <row r="15093" spans="9:9" x14ac:dyDescent="0.25">
      <c r="I15093" s="227" t="str">
        <f>MID(excPisCofins[[#This Row],[CodBarras2]],2,50)</f>
        <v/>
      </c>
    </row>
    <row r="15094" spans="9:9" x14ac:dyDescent="0.25">
      <c r="I15094" s="227" t="str">
        <f>MID(excPisCofins[[#This Row],[CodBarras2]],2,50)</f>
        <v/>
      </c>
    </row>
    <row r="15095" spans="9:9" x14ac:dyDescent="0.25">
      <c r="I15095" s="227" t="str">
        <f>MID(excPisCofins[[#This Row],[CodBarras2]],2,50)</f>
        <v/>
      </c>
    </row>
    <row r="15096" spans="9:9" x14ac:dyDescent="0.25">
      <c r="I15096" s="227" t="str">
        <f>MID(excPisCofins[[#This Row],[CodBarras2]],2,50)</f>
        <v/>
      </c>
    </row>
    <row r="15097" spans="9:9" x14ac:dyDescent="0.25">
      <c r="I15097" s="227" t="str">
        <f>MID(excPisCofins[[#This Row],[CodBarras2]],2,50)</f>
        <v/>
      </c>
    </row>
    <row r="15098" spans="9:9" x14ac:dyDescent="0.25">
      <c r="I15098" s="227" t="str">
        <f>MID(excPisCofins[[#This Row],[CodBarras2]],2,50)</f>
        <v/>
      </c>
    </row>
    <row r="15099" spans="9:9" x14ac:dyDescent="0.25">
      <c r="I15099" s="227" t="str">
        <f>MID(excPisCofins[[#This Row],[CodBarras2]],2,50)</f>
        <v/>
      </c>
    </row>
    <row r="15100" spans="9:9" x14ac:dyDescent="0.25">
      <c r="I15100" s="227" t="str">
        <f>MID(excPisCofins[[#This Row],[CodBarras2]],2,50)</f>
        <v/>
      </c>
    </row>
    <row r="15101" spans="9:9" x14ac:dyDescent="0.25">
      <c r="I15101" s="227" t="str">
        <f>MID(excPisCofins[[#This Row],[CodBarras2]],2,50)</f>
        <v/>
      </c>
    </row>
    <row r="15102" spans="9:9" x14ac:dyDescent="0.25">
      <c r="I15102" s="227" t="str">
        <f>MID(excPisCofins[[#This Row],[CodBarras2]],2,50)</f>
        <v/>
      </c>
    </row>
    <row r="15103" spans="9:9" x14ac:dyDescent="0.25">
      <c r="I15103" s="227" t="str">
        <f>MID(excPisCofins[[#This Row],[CodBarras2]],2,50)</f>
        <v/>
      </c>
    </row>
    <row r="15104" spans="9:9" x14ac:dyDescent="0.25">
      <c r="I15104" s="227" t="str">
        <f>MID(excPisCofins[[#This Row],[CodBarras2]],2,50)</f>
        <v/>
      </c>
    </row>
    <row r="15105" spans="9:9" x14ac:dyDescent="0.25">
      <c r="I15105" s="227" t="str">
        <f>MID(excPisCofins[[#This Row],[CodBarras2]],2,50)</f>
        <v/>
      </c>
    </row>
    <row r="15106" spans="9:9" x14ac:dyDescent="0.25">
      <c r="I15106" s="227" t="str">
        <f>MID(excPisCofins[[#This Row],[CodBarras2]],2,50)</f>
        <v/>
      </c>
    </row>
    <row r="15107" spans="9:9" x14ac:dyDescent="0.25">
      <c r="I15107" s="227" t="str">
        <f>MID(excPisCofins[[#This Row],[CodBarras2]],2,50)</f>
        <v/>
      </c>
    </row>
    <row r="15108" spans="9:9" x14ac:dyDescent="0.25">
      <c r="I15108" s="227" t="str">
        <f>MID(excPisCofins[[#This Row],[CodBarras2]],2,50)</f>
        <v/>
      </c>
    </row>
    <row r="15109" spans="9:9" x14ac:dyDescent="0.25">
      <c r="I15109" s="227" t="str">
        <f>MID(excPisCofins[[#This Row],[CodBarras2]],2,50)</f>
        <v/>
      </c>
    </row>
    <row r="15110" spans="9:9" x14ac:dyDescent="0.25">
      <c r="I15110" s="227" t="str">
        <f>MID(excPisCofins[[#This Row],[CodBarras2]],2,50)</f>
        <v/>
      </c>
    </row>
    <row r="15111" spans="9:9" x14ac:dyDescent="0.25">
      <c r="I15111" s="227" t="str">
        <f>MID(excPisCofins[[#This Row],[CodBarras2]],2,50)</f>
        <v/>
      </c>
    </row>
    <row r="15112" spans="9:9" x14ac:dyDescent="0.25">
      <c r="I15112" s="227" t="str">
        <f>MID(excPisCofins[[#This Row],[CodBarras2]],2,50)</f>
        <v/>
      </c>
    </row>
    <row r="15113" spans="9:9" x14ac:dyDescent="0.25">
      <c r="I15113" s="227" t="str">
        <f>MID(excPisCofins[[#This Row],[CodBarras2]],2,50)</f>
        <v/>
      </c>
    </row>
    <row r="15114" spans="9:9" x14ac:dyDescent="0.25">
      <c r="I15114" s="227" t="str">
        <f>MID(excPisCofins[[#This Row],[CodBarras2]],2,50)</f>
        <v/>
      </c>
    </row>
    <row r="15115" spans="9:9" x14ac:dyDescent="0.25">
      <c r="I15115" s="227" t="str">
        <f>MID(excPisCofins[[#This Row],[CodBarras2]],2,50)</f>
        <v/>
      </c>
    </row>
    <row r="15116" spans="9:9" x14ac:dyDescent="0.25">
      <c r="I15116" s="227" t="str">
        <f>MID(excPisCofins[[#This Row],[CodBarras2]],2,50)</f>
        <v/>
      </c>
    </row>
    <row r="15117" spans="9:9" x14ac:dyDescent="0.25">
      <c r="I15117" s="227" t="str">
        <f>MID(excPisCofins[[#This Row],[CodBarras2]],2,50)</f>
        <v/>
      </c>
    </row>
    <row r="15118" spans="9:9" x14ac:dyDescent="0.25">
      <c r="I15118" s="227" t="str">
        <f>MID(excPisCofins[[#This Row],[CodBarras2]],2,50)</f>
        <v/>
      </c>
    </row>
    <row r="15119" spans="9:9" x14ac:dyDescent="0.25">
      <c r="I15119" s="227" t="str">
        <f>MID(excPisCofins[[#This Row],[CodBarras2]],2,50)</f>
        <v/>
      </c>
    </row>
    <row r="15120" spans="9:9" x14ac:dyDescent="0.25">
      <c r="I15120" s="227" t="str">
        <f>MID(excPisCofins[[#This Row],[CodBarras2]],2,50)</f>
        <v/>
      </c>
    </row>
    <row r="15121" spans="9:9" x14ac:dyDescent="0.25">
      <c r="I15121" s="227" t="str">
        <f>MID(excPisCofins[[#This Row],[CodBarras2]],2,50)</f>
        <v/>
      </c>
    </row>
    <row r="15122" spans="9:9" x14ac:dyDescent="0.25">
      <c r="I15122" s="227" t="str">
        <f>MID(excPisCofins[[#This Row],[CodBarras2]],2,50)</f>
        <v/>
      </c>
    </row>
    <row r="15123" spans="9:9" x14ac:dyDescent="0.25">
      <c r="I15123" s="227" t="str">
        <f>MID(excPisCofins[[#This Row],[CodBarras2]],2,50)</f>
        <v/>
      </c>
    </row>
    <row r="15124" spans="9:9" x14ac:dyDescent="0.25">
      <c r="I15124" s="227" t="str">
        <f>MID(excPisCofins[[#This Row],[CodBarras2]],2,50)</f>
        <v/>
      </c>
    </row>
    <row r="15125" spans="9:9" x14ac:dyDescent="0.25">
      <c r="I15125" s="227" t="str">
        <f>MID(excPisCofins[[#This Row],[CodBarras2]],2,50)</f>
        <v/>
      </c>
    </row>
    <row r="15126" spans="9:9" x14ac:dyDescent="0.25">
      <c r="I15126" s="227" t="str">
        <f>MID(excPisCofins[[#This Row],[CodBarras2]],2,50)</f>
        <v/>
      </c>
    </row>
    <row r="15127" spans="9:9" x14ac:dyDescent="0.25">
      <c r="I15127" s="227" t="str">
        <f>MID(excPisCofins[[#This Row],[CodBarras2]],2,50)</f>
        <v/>
      </c>
    </row>
    <row r="15128" spans="9:9" x14ac:dyDescent="0.25">
      <c r="I15128" s="227" t="str">
        <f>MID(excPisCofins[[#This Row],[CodBarras2]],2,50)</f>
        <v/>
      </c>
    </row>
    <row r="15129" spans="9:9" x14ac:dyDescent="0.25">
      <c r="I15129" s="227" t="str">
        <f>MID(excPisCofins[[#This Row],[CodBarras2]],2,50)</f>
        <v/>
      </c>
    </row>
    <row r="15130" spans="9:9" x14ac:dyDescent="0.25">
      <c r="I15130" s="227" t="str">
        <f>MID(excPisCofins[[#This Row],[CodBarras2]],2,50)</f>
        <v/>
      </c>
    </row>
    <row r="15131" spans="9:9" x14ac:dyDescent="0.25">
      <c r="I15131" s="227" t="str">
        <f>MID(excPisCofins[[#This Row],[CodBarras2]],2,50)</f>
        <v/>
      </c>
    </row>
    <row r="15132" spans="9:9" x14ac:dyDescent="0.25">
      <c r="I15132" s="227" t="str">
        <f>MID(excPisCofins[[#This Row],[CodBarras2]],2,50)</f>
        <v/>
      </c>
    </row>
    <row r="15133" spans="9:9" x14ac:dyDescent="0.25">
      <c r="I15133" s="227" t="str">
        <f>MID(excPisCofins[[#This Row],[CodBarras2]],2,50)</f>
        <v/>
      </c>
    </row>
    <row r="15134" spans="9:9" x14ac:dyDescent="0.25">
      <c r="I15134" s="227" t="str">
        <f>MID(excPisCofins[[#This Row],[CodBarras2]],2,50)</f>
        <v/>
      </c>
    </row>
    <row r="15135" spans="9:9" x14ac:dyDescent="0.25">
      <c r="I15135" s="227" t="str">
        <f>MID(excPisCofins[[#This Row],[CodBarras2]],2,50)</f>
        <v/>
      </c>
    </row>
    <row r="15136" spans="9:9" x14ac:dyDescent="0.25">
      <c r="I15136" s="227" t="str">
        <f>MID(excPisCofins[[#This Row],[CodBarras2]],2,50)</f>
        <v/>
      </c>
    </row>
    <row r="15137" spans="9:9" x14ac:dyDescent="0.25">
      <c r="I15137" s="227" t="str">
        <f>MID(excPisCofins[[#This Row],[CodBarras2]],2,50)</f>
        <v/>
      </c>
    </row>
    <row r="15138" spans="9:9" x14ac:dyDescent="0.25">
      <c r="I15138" s="227" t="str">
        <f>MID(excPisCofins[[#This Row],[CodBarras2]],2,50)</f>
        <v/>
      </c>
    </row>
    <row r="15139" spans="9:9" x14ac:dyDescent="0.25">
      <c r="I15139" s="227" t="str">
        <f>MID(excPisCofins[[#This Row],[CodBarras2]],2,50)</f>
        <v/>
      </c>
    </row>
    <row r="15140" spans="9:9" x14ac:dyDescent="0.25">
      <c r="I15140" s="227" t="str">
        <f>MID(excPisCofins[[#This Row],[CodBarras2]],2,50)</f>
        <v/>
      </c>
    </row>
    <row r="15141" spans="9:9" x14ac:dyDescent="0.25">
      <c r="I15141" s="227" t="str">
        <f>MID(excPisCofins[[#This Row],[CodBarras2]],2,50)</f>
        <v/>
      </c>
    </row>
    <row r="15142" spans="9:9" x14ac:dyDescent="0.25">
      <c r="I15142" s="227" t="str">
        <f>MID(excPisCofins[[#This Row],[CodBarras2]],2,50)</f>
        <v/>
      </c>
    </row>
    <row r="15143" spans="9:9" x14ac:dyDescent="0.25">
      <c r="I15143" s="227" t="str">
        <f>MID(excPisCofins[[#This Row],[CodBarras2]],2,50)</f>
        <v/>
      </c>
    </row>
    <row r="15144" spans="9:9" x14ac:dyDescent="0.25">
      <c r="I15144" s="227" t="str">
        <f>MID(excPisCofins[[#This Row],[CodBarras2]],2,50)</f>
        <v/>
      </c>
    </row>
    <row r="15145" spans="9:9" x14ac:dyDescent="0.25">
      <c r="I15145" s="227" t="str">
        <f>MID(excPisCofins[[#This Row],[CodBarras2]],2,50)</f>
        <v/>
      </c>
    </row>
    <row r="15146" spans="9:9" x14ac:dyDescent="0.25">
      <c r="I15146" s="227" t="str">
        <f>MID(excPisCofins[[#This Row],[CodBarras2]],2,50)</f>
        <v/>
      </c>
    </row>
    <row r="15147" spans="9:9" x14ac:dyDescent="0.25">
      <c r="I15147" s="227" t="str">
        <f>MID(excPisCofins[[#This Row],[CodBarras2]],2,50)</f>
        <v/>
      </c>
    </row>
    <row r="15148" spans="9:9" x14ac:dyDescent="0.25">
      <c r="I15148" s="227" t="str">
        <f>MID(excPisCofins[[#This Row],[CodBarras2]],2,50)</f>
        <v/>
      </c>
    </row>
    <row r="15149" spans="9:9" x14ac:dyDescent="0.25">
      <c r="I15149" s="227" t="str">
        <f>MID(excPisCofins[[#This Row],[CodBarras2]],2,50)</f>
        <v/>
      </c>
    </row>
    <row r="15150" spans="9:9" x14ac:dyDescent="0.25">
      <c r="I15150" s="227" t="str">
        <f>MID(excPisCofins[[#This Row],[CodBarras2]],2,50)</f>
        <v/>
      </c>
    </row>
    <row r="15151" spans="9:9" x14ac:dyDescent="0.25">
      <c r="I15151" s="227" t="str">
        <f>MID(excPisCofins[[#This Row],[CodBarras2]],2,50)</f>
        <v/>
      </c>
    </row>
    <row r="15152" spans="9:9" x14ac:dyDescent="0.25">
      <c r="I15152" s="227" t="str">
        <f>MID(excPisCofins[[#This Row],[CodBarras2]],2,50)</f>
        <v/>
      </c>
    </row>
    <row r="15153" spans="9:9" x14ac:dyDescent="0.25">
      <c r="I15153" s="227" t="str">
        <f>MID(excPisCofins[[#This Row],[CodBarras2]],2,50)</f>
        <v/>
      </c>
    </row>
    <row r="15154" spans="9:9" x14ac:dyDescent="0.25">
      <c r="I15154" s="227" t="str">
        <f>MID(excPisCofins[[#This Row],[CodBarras2]],2,50)</f>
        <v/>
      </c>
    </row>
    <row r="15155" spans="9:9" x14ac:dyDescent="0.25">
      <c r="I15155" s="227" t="str">
        <f>MID(excPisCofins[[#This Row],[CodBarras2]],2,50)</f>
        <v/>
      </c>
    </row>
    <row r="15156" spans="9:9" x14ac:dyDescent="0.25">
      <c r="I15156" s="227" t="str">
        <f>MID(excPisCofins[[#This Row],[CodBarras2]],2,50)</f>
        <v/>
      </c>
    </row>
    <row r="15157" spans="9:9" x14ac:dyDescent="0.25">
      <c r="I15157" s="227" t="str">
        <f>MID(excPisCofins[[#This Row],[CodBarras2]],2,50)</f>
        <v/>
      </c>
    </row>
    <row r="15158" spans="9:9" x14ac:dyDescent="0.25">
      <c r="I15158" s="227" t="str">
        <f>MID(excPisCofins[[#This Row],[CodBarras2]],2,50)</f>
        <v/>
      </c>
    </row>
    <row r="15159" spans="9:9" x14ac:dyDescent="0.25">
      <c r="I15159" s="227" t="str">
        <f>MID(excPisCofins[[#This Row],[CodBarras2]],2,50)</f>
        <v/>
      </c>
    </row>
    <row r="15160" spans="9:9" x14ac:dyDescent="0.25">
      <c r="I15160" s="227" t="str">
        <f>MID(excPisCofins[[#This Row],[CodBarras2]],2,50)</f>
        <v/>
      </c>
    </row>
    <row r="15161" spans="9:9" x14ac:dyDescent="0.25">
      <c r="I15161" s="227" t="str">
        <f>MID(excPisCofins[[#This Row],[CodBarras2]],2,50)</f>
        <v/>
      </c>
    </row>
    <row r="15162" spans="9:9" x14ac:dyDescent="0.25">
      <c r="I15162" s="227" t="str">
        <f>MID(excPisCofins[[#This Row],[CodBarras2]],2,50)</f>
        <v/>
      </c>
    </row>
    <row r="15163" spans="9:9" x14ac:dyDescent="0.25">
      <c r="I15163" s="227" t="str">
        <f>MID(excPisCofins[[#This Row],[CodBarras2]],2,50)</f>
        <v/>
      </c>
    </row>
    <row r="15164" spans="9:9" x14ac:dyDescent="0.25">
      <c r="I15164" s="227" t="str">
        <f>MID(excPisCofins[[#This Row],[CodBarras2]],2,50)</f>
        <v/>
      </c>
    </row>
    <row r="15165" spans="9:9" x14ac:dyDescent="0.25">
      <c r="I15165" s="227" t="str">
        <f>MID(excPisCofins[[#This Row],[CodBarras2]],2,50)</f>
        <v/>
      </c>
    </row>
    <row r="15166" spans="9:9" x14ac:dyDescent="0.25">
      <c r="I15166" s="227" t="str">
        <f>MID(excPisCofins[[#This Row],[CodBarras2]],2,50)</f>
        <v/>
      </c>
    </row>
    <row r="15167" spans="9:9" x14ac:dyDescent="0.25">
      <c r="I15167" s="227" t="str">
        <f>MID(excPisCofins[[#This Row],[CodBarras2]],2,50)</f>
        <v/>
      </c>
    </row>
    <row r="15168" spans="9:9" x14ac:dyDescent="0.25">
      <c r="I15168" s="227" t="str">
        <f>MID(excPisCofins[[#This Row],[CodBarras2]],2,50)</f>
        <v/>
      </c>
    </row>
    <row r="15169" spans="9:9" x14ac:dyDescent="0.25">
      <c r="I15169" s="227" t="str">
        <f>MID(excPisCofins[[#This Row],[CodBarras2]],2,50)</f>
        <v/>
      </c>
    </row>
    <row r="15170" spans="9:9" x14ac:dyDescent="0.25">
      <c r="I15170" s="227" t="str">
        <f>MID(excPisCofins[[#This Row],[CodBarras2]],2,50)</f>
        <v/>
      </c>
    </row>
    <row r="15171" spans="9:9" x14ac:dyDescent="0.25">
      <c r="I15171" s="227" t="str">
        <f>MID(excPisCofins[[#This Row],[CodBarras2]],2,50)</f>
        <v/>
      </c>
    </row>
    <row r="15172" spans="9:9" x14ac:dyDescent="0.25">
      <c r="I15172" s="227" t="str">
        <f>MID(excPisCofins[[#This Row],[CodBarras2]],2,50)</f>
        <v/>
      </c>
    </row>
    <row r="15173" spans="9:9" x14ac:dyDescent="0.25">
      <c r="I15173" s="227" t="str">
        <f>MID(excPisCofins[[#This Row],[CodBarras2]],2,50)</f>
        <v/>
      </c>
    </row>
    <row r="15174" spans="9:9" x14ac:dyDescent="0.25">
      <c r="I15174" s="227" t="str">
        <f>MID(excPisCofins[[#This Row],[CodBarras2]],2,50)</f>
        <v/>
      </c>
    </row>
    <row r="15175" spans="9:9" x14ac:dyDescent="0.25">
      <c r="I15175" s="227" t="str">
        <f>MID(excPisCofins[[#This Row],[CodBarras2]],2,50)</f>
        <v/>
      </c>
    </row>
    <row r="15176" spans="9:9" x14ac:dyDescent="0.25">
      <c r="I15176" s="227" t="str">
        <f>MID(excPisCofins[[#This Row],[CodBarras2]],2,50)</f>
        <v/>
      </c>
    </row>
    <row r="15177" spans="9:9" x14ac:dyDescent="0.25">
      <c r="I15177" s="227" t="str">
        <f>MID(excPisCofins[[#This Row],[CodBarras2]],2,50)</f>
        <v/>
      </c>
    </row>
    <row r="15178" spans="9:9" x14ac:dyDescent="0.25">
      <c r="I15178" s="227" t="str">
        <f>MID(excPisCofins[[#This Row],[CodBarras2]],2,50)</f>
        <v/>
      </c>
    </row>
    <row r="15179" spans="9:9" x14ac:dyDescent="0.25">
      <c r="I15179" s="227" t="str">
        <f>MID(excPisCofins[[#This Row],[CodBarras2]],2,50)</f>
        <v/>
      </c>
    </row>
    <row r="15180" spans="9:9" x14ac:dyDescent="0.25">
      <c r="I15180" s="227" t="str">
        <f>MID(excPisCofins[[#This Row],[CodBarras2]],2,50)</f>
        <v/>
      </c>
    </row>
    <row r="15181" spans="9:9" x14ac:dyDescent="0.25">
      <c r="I15181" s="227" t="str">
        <f>MID(excPisCofins[[#This Row],[CodBarras2]],2,50)</f>
        <v/>
      </c>
    </row>
    <row r="15182" spans="9:9" x14ac:dyDescent="0.25">
      <c r="I15182" s="227" t="str">
        <f>MID(excPisCofins[[#This Row],[CodBarras2]],2,50)</f>
        <v/>
      </c>
    </row>
    <row r="15183" spans="9:9" x14ac:dyDescent="0.25">
      <c r="I15183" s="227" t="str">
        <f>MID(excPisCofins[[#This Row],[CodBarras2]],2,50)</f>
        <v/>
      </c>
    </row>
    <row r="15184" spans="9:9" x14ac:dyDescent="0.25">
      <c r="I15184" s="227" t="str">
        <f>MID(excPisCofins[[#This Row],[CodBarras2]],2,50)</f>
        <v/>
      </c>
    </row>
    <row r="15185" spans="9:9" x14ac:dyDescent="0.25">
      <c r="I15185" s="227" t="str">
        <f>MID(excPisCofins[[#This Row],[CodBarras2]],2,50)</f>
        <v/>
      </c>
    </row>
    <row r="15186" spans="9:9" x14ac:dyDescent="0.25">
      <c r="I15186" s="227" t="str">
        <f>MID(excPisCofins[[#This Row],[CodBarras2]],2,50)</f>
        <v/>
      </c>
    </row>
    <row r="15187" spans="9:9" x14ac:dyDescent="0.25">
      <c r="I15187" s="227" t="str">
        <f>MID(excPisCofins[[#This Row],[CodBarras2]],2,50)</f>
        <v/>
      </c>
    </row>
    <row r="15188" spans="9:9" x14ac:dyDescent="0.25">
      <c r="I15188" s="227" t="str">
        <f>MID(excPisCofins[[#This Row],[CodBarras2]],2,50)</f>
        <v/>
      </c>
    </row>
    <row r="15189" spans="9:9" x14ac:dyDescent="0.25">
      <c r="I15189" s="227" t="str">
        <f>MID(excPisCofins[[#This Row],[CodBarras2]],2,50)</f>
        <v/>
      </c>
    </row>
    <row r="15190" spans="9:9" x14ac:dyDescent="0.25">
      <c r="I15190" s="227" t="str">
        <f>MID(excPisCofins[[#This Row],[CodBarras2]],2,50)</f>
        <v/>
      </c>
    </row>
    <row r="15191" spans="9:9" x14ac:dyDescent="0.25">
      <c r="I15191" s="227" t="str">
        <f>MID(excPisCofins[[#This Row],[CodBarras2]],2,50)</f>
        <v/>
      </c>
    </row>
    <row r="15192" spans="9:9" x14ac:dyDescent="0.25">
      <c r="I15192" s="227" t="str">
        <f>MID(excPisCofins[[#This Row],[CodBarras2]],2,50)</f>
        <v/>
      </c>
    </row>
    <row r="15193" spans="9:9" x14ac:dyDescent="0.25">
      <c r="I15193" s="227" t="str">
        <f>MID(excPisCofins[[#This Row],[CodBarras2]],2,50)</f>
        <v/>
      </c>
    </row>
    <row r="15194" spans="9:9" x14ac:dyDescent="0.25">
      <c r="I15194" s="227" t="str">
        <f>MID(excPisCofins[[#This Row],[CodBarras2]],2,50)</f>
        <v/>
      </c>
    </row>
    <row r="15195" spans="9:9" x14ac:dyDescent="0.25">
      <c r="I15195" s="227" t="str">
        <f>MID(excPisCofins[[#This Row],[CodBarras2]],2,50)</f>
        <v/>
      </c>
    </row>
    <row r="15196" spans="9:9" x14ac:dyDescent="0.25">
      <c r="I15196" s="227" t="str">
        <f>MID(excPisCofins[[#This Row],[CodBarras2]],2,50)</f>
        <v/>
      </c>
    </row>
    <row r="15197" spans="9:9" x14ac:dyDescent="0.25">
      <c r="I15197" s="227" t="str">
        <f>MID(excPisCofins[[#This Row],[CodBarras2]],2,50)</f>
        <v/>
      </c>
    </row>
    <row r="15198" spans="9:9" x14ac:dyDescent="0.25">
      <c r="I15198" s="227" t="str">
        <f>MID(excPisCofins[[#This Row],[CodBarras2]],2,50)</f>
        <v/>
      </c>
    </row>
    <row r="15199" spans="9:9" x14ac:dyDescent="0.25">
      <c r="I15199" s="227" t="str">
        <f>MID(excPisCofins[[#This Row],[CodBarras2]],2,50)</f>
        <v/>
      </c>
    </row>
    <row r="15200" spans="9:9" x14ac:dyDescent="0.25">
      <c r="I15200" s="227" t="str">
        <f>MID(excPisCofins[[#This Row],[CodBarras2]],2,50)</f>
        <v/>
      </c>
    </row>
    <row r="15201" spans="9:9" x14ac:dyDescent="0.25">
      <c r="I15201" s="227" t="str">
        <f>MID(excPisCofins[[#This Row],[CodBarras2]],2,50)</f>
        <v/>
      </c>
    </row>
    <row r="15202" spans="9:9" x14ac:dyDescent="0.25">
      <c r="I15202" s="227" t="str">
        <f>MID(excPisCofins[[#This Row],[CodBarras2]],2,50)</f>
        <v/>
      </c>
    </row>
    <row r="15203" spans="9:9" x14ac:dyDescent="0.25">
      <c r="I15203" s="227" t="str">
        <f>MID(excPisCofins[[#This Row],[CodBarras2]],2,50)</f>
        <v/>
      </c>
    </row>
    <row r="15204" spans="9:9" x14ac:dyDescent="0.25">
      <c r="I15204" s="227" t="str">
        <f>MID(excPisCofins[[#This Row],[CodBarras2]],2,50)</f>
        <v/>
      </c>
    </row>
    <row r="15205" spans="9:9" x14ac:dyDescent="0.25">
      <c r="I15205" s="227" t="str">
        <f>MID(excPisCofins[[#This Row],[CodBarras2]],2,50)</f>
        <v/>
      </c>
    </row>
    <row r="15206" spans="9:9" x14ac:dyDescent="0.25">
      <c r="I15206" s="227" t="str">
        <f>MID(excPisCofins[[#This Row],[CodBarras2]],2,50)</f>
        <v/>
      </c>
    </row>
    <row r="15207" spans="9:9" x14ac:dyDescent="0.25">
      <c r="I15207" s="227" t="str">
        <f>MID(excPisCofins[[#This Row],[CodBarras2]],2,50)</f>
        <v/>
      </c>
    </row>
    <row r="15208" spans="9:9" x14ac:dyDescent="0.25">
      <c r="I15208" s="227" t="str">
        <f>MID(excPisCofins[[#This Row],[CodBarras2]],2,50)</f>
        <v/>
      </c>
    </row>
    <row r="15209" spans="9:9" x14ac:dyDescent="0.25">
      <c r="I15209" s="227" t="str">
        <f>MID(excPisCofins[[#This Row],[CodBarras2]],2,50)</f>
        <v/>
      </c>
    </row>
    <row r="15210" spans="9:9" x14ac:dyDescent="0.25">
      <c r="I15210" s="227" t="str">
        <f>MID(excPisCofins[[#This Row],[CodBarras2]],2,50)</f>
        <v/>
      </c>
    </row>
    <row r="15211" spans="9:9" x14ac:dyDescent="0.25">
      <c r="I15211" s="227" t="str">
        <f>MID(excPisCofins[[#This Row],[CodBarras2]],2,50)</f>
        <v/>
      </c>
    </row>
    <row r="15212" spans="9:9" x14ac:dyDescent="0.25">
      <c r="I15212" s="227" t="str">
        <f>MID(excPisCofins[[#This Row],[CodBarras2]],2,50)</f>
        <v/>
      </c>
    </row>
    <row r="15213" spans="9:9" x14ac:dyDescent="0.25">
      <c r="I15213" s="227" t="str">
        <f>MID(excPisCofins[[#This Row],[CodBarras2]],2,50)</f>
        <v/>
      </c>
    </row>
    <row r="15214" spans="9:9" x14ac:dyDescent="0.25">
      <c r="I15214" s="227" t="str">
        <f>MID(excPisCofins[[#This Row],[CodBarras2]],2,50)</f>
        <v/>
      </c>
    </row>
    <row r="15215" spans="9:9" x14ac:dyDescent="0.25">
      <c r="I15215" s="227" t="str">
        <f>MID(excPisCofins[[#This Row],[CodBarras2]],2,50)</f>
        <v/>
      </c>
    </row>
    <row r="15216" spans="9:9" x14ac:dyDescent="0.25">
      <c r="I15216" s="227" t="str">
        <f>MID(excPisCofins[[#This Row],[CodBarras2]],2,50)</f>
        <v/>
      </c>
    </row>
    <row r="15217" spans="9:9" x14ac:dyDescent="0.25">
      <c r="I15217" s="227" t="str">
        <f>MID(excPisCofins[[#This Row],[CodBarras2]],2,50)</f>
        <v/>
      </c>
    </row>
    <row r="15218" spans="9:9" x14ac:dyDescent="0.25">
      <c r="I15218" s="227" t="str">
        <f>MID(excPisCofins[[#This Row],[CodBarras2]],2,50)</f>
        <v/>
      </c>
    </row>
    <row r="15219" spans="9:9" x14ac:dyDescent="0.25">
      <c r="I15219" s="227" t="str">
        <f>MID(excPisCofins[[#This Row],[CodBarras2]],2,50)</f>
        <v/>
      </c>
    </row>
    <row r="15220" spans="9:9" x14ac:dyDescent="0.25">
      <c r="I15220" s="227" t="str">
        <f>MID(excPisCofins[[#This Row],[CodBarras2]],2,50)</f>
        <v/>
      </c>
    </row>
    <row r="15221" spans="9:9" x14ac:dyDescent="0.25">
      <c r="I15221" s="227" t="str">
        <f>MID(excPisCofins[[#This Row],[CodBarras2]],2,50)</f>
        <v/>
      </c>
    </row>
    <row r="15222" spans="9:9" x14ac:dyDescent="0.25">
      <c r="I15222" s="227" t="str">
        <f>MID(excPisCofins[[#This Row],[CodBarras2]],2,50)</f>
        <v/>
      </c>
    </row>
    <row r="15223" spans="9:9" x14ac:dyDescent="0.25">
      <c r="I15223" s="227" t="str">
        <f>MID(excPisCofins[[#This Row],[CodBarras2]],2,50)</f>
        <v/>
      </c>
    </row>
    <row r="15224" spans="9:9" x14ac:dyDescent="0.25">
      <c r="I15224" s="227" t="str">
        <f>MID(excPisCofins[[#This Row],[CodBarras2]],2,50)</f>
        <v/>
      </c>
    </row>
    <row r="15225" spans="9:9" x14ac:dyDescent="0.25">
      <c r="I15225" s="227" t="str">
        <f>MID(excPisCofins[[#This Row],[CodBarras2]],2,50)</f>
        <v/>
      </c>
    </row>
    <row r="15226" spans="9:9" x14ac:dyDescent="0.25">
      <c r="I15226" s="227" t="str">
        <f>MID(excPisCofins[[#This Row],[CodBarras2]],2,50)</f>
        <v/>
      </c>
    </row>
    <row r="15227" spans="9:9" x14ac:dyDescent="0.25">
      <c r="I15227" s="227" t="str">
        <f>MID(excPisCofins[[#This Row],[CodBarras2]],2,50)</f>
        <v/>
      </c>
    </row>
    <row r="15228" spans="9:9" x14ac:dyDescent="0.25">
      <c r="I15228" s="227" t="str">
        <f>MID(excPisCofins[[#This Row],[CodBarras2]],2,50)</f>
        <v/>
      </c>
    </row>
    <row r="15229" spans="9:9" x14ac:dyDescent="0.25">
      <c r="I15229" s="227" t="str">
        <f>MID(excPisCofins[[#This Row],[CodBarras2]],2,50)</f>
        <v/>
      </c>
    </row>
    <row r="15230" spans="9:9" x14ac:dyDescent="0.25">
      <c r="I15230" s="227" t="str">
        <f>MID(excPisCofins[[#This Row],[CodBarras2]],2,50)</f>
        <v/>
      </c>
    </row>
    <row r="15231" spans="9:9" x14ac:dyDescent="0.25">
      <c r="I15231" s="227" t="str">
        <f>MID(excPisCofins[[#This Row],[CodBarras2]],2,50)</f>
        <v/>
      </c>
    </row>
    <row r="15232" spans="9:9" x14ac:dyDescent="0.25">
      <c r="I15232" s="227" t="str">
        <f>MID(excPisCofins[[#This Row],[CodBarras2]],2,50)</f>
        <v/>
      </c>
    </row>
    <row r="15233" spans="9:9" x14ac:dyDescent="0.25">
      <c r="I15233" s="227" t="str">
        <f>MID(excPisCofins[[#This Row],[CodBarras2]],2,50)</f>
        <v/>
      </c>
    </row>
    <row r="15234" spans="9:9" x14ac:dyDescent="0.25">
      <c r="I15234" s="227" t="str">
        <f>MID(excPisCofins[[#This Row],[CodBarras2]],2,50)</f>
        <v/>
      </c>
    </row>
    <row r="15235" spans="9:9" x14ac:dyDescent="0.25">
      <c r="I15235" s="227" t="str">
        <f>MID(excPisCofins[[#This Row],[CodBarras2]],2,50)</f>
        <v/>
      </c>
    </row>
    <row r="15236" spans="9:9" x14ac:dyDescent="0.25">
      <c r="I15236" s="227" t="str">
        <f>MID(excPisCofins[[#This Row],[CodBarras2]],2,50)</f>
        <v/>
      </c>
    </row>
    <row r="15237" spans="9:9" x14ac:dyDescent="0.25">
      <c r="I15237" s="227" t="str">
        <f>MID(excPisCofins[[#This Row],[CodBarras2]],2,50)</f>
        <v/>
      </c>
    </row>
    <row r="15238" spans="9:9" x14ac:dyDescent="0.25">
      <c r="I15238" s="227" t="str">
        <f>MID(excPisCofins[[#This Row],[CodBarras2]],2,50)</f>
        <v/>
      </c>
    </row>
    <row r="15239" spans="9:9" x14ac:dyDescent="0.25">
      <c r="I15239" s="227" t="str">
        <f>MID(excPisCofins[[#This Row],[CodBarras2]],2,50)</f>
        <v/>
      </c>
    </row>
    <row r="15240" spans="9:9" x14ac:dyDescent="0.25">
      <c r="I15240" s="227" t="str">
        <f>MID(excPisCofins[[#This Row],[CodBarras2]],2,50)</f>
        <v/>
      </c>
    </row>
    <row r="15241" spans="9:9" x14ac:dyDescent="0.25">
      <c r="I15241" s="227" t="str">
        <f>MID(excPisCofins[[#This Row],[CodBarras2]],2,50)</f>
        <v/>
      </c>
    </row>
    <row r="15242" spans="9:9" x14ac:dyDescent="0.25">
      <c r="I15242" s="227" t="str">
        <f>MID(excPisCofins[[#This Row],[CodBarras2]],2,50)</f>
        <v/>
      </c>
    </row>
    <row r="15243" spans="9:9" x14ac:dyDescent="0.25">
      <c r="I15243" s="227" t="str">
        <f>MID(excPisCofins[[#This Row],[CodBarras2]],2,50)</f>
        <v/>
      </c>
    </row>
    <row r="15244" spans="9:9" x14ac:dyDescent="0.25">
      <c r="I15244" s="227" t="str">
        <f>MID(excPisCofins[[#This Row],[CodBarras2]],2,50)</f>
        <v/>
      </c>
    </row>
    <row r="15245" spans="9:9" x14ac:dyDescent="0.25">
      <c r="I15245" s="227" t="str">
        <f>MID(excPisCofins[[#This Row],[CodBarras2]],2,50)</f>
        <v/>
      </c>
    </row>
    <row r="15246" spans="9:9" x14ac:dyDescent="0.25">
      <c r="I15246" s="227" t="str">
        <f>MID(excPisCofins[[#This Row],[CodBarras2]],2,50)</f>
        <v/>
      </c>
    </row>
    <row r="15247" spans="9:9" x14ac:dyDescent="0.25">
      <c r="I15247" s="227" t="str">
        <f>MID(excPisCofins[[#This Row],[CodBarras2]],2,50)</f>
        <v/>
      </c>
    </row>
    <row r="15248" spans="9:9" x14ac:dyDescent="0.25">
      <c r="I15248" s="227" t="str">
        <f>MID(excPisCofins[[#This Row],[CodBarras2]],2,50)</f>
        <v/>
      </c>
    </row>
    <row r="15249" spans="9:9" x14ac:dyDescent="0.25">
      <c r="I15249" s="227" t="str">
        <f>MID(excPisCofins[[#This Row],[CodBarras2]],2,50)</f>
        <v/>
      </c>
    </row>
    <row r="15250" spans="9:9" x14ac:dyDescent="0.25">
      <c r="I15250" s="227" t="str">
        <f>MID(excPisCofins[[#This Row],[CodBarras2]],2,50)</f>
        <v/>
      </c>
    </row>
    <row r="15251" spans="9:9" x14ac:dyDescent="0.25">
      <c r="I15251" s="227" t="str">
        <f>MID(excPisCofins[[#This Row],[CodBarras2]],2,50)</f>
        <v/>
      </c>
    </row>
    <row r="15252" spans="9:9" x14ac:dyDescent="0.25">
      <c r="I15252" s="227" t="str">
        <f>MID(excPisCofins[[#This Row],[CodBarras2]],2,50)</f>
        <v/>
      </c>
    </row>
    <row r="15253" spans="9:9" x14ac:dyDescent="0.25">
      <c r="I15253" s="227" t="str">
        <f>MID(excPisCofins[[#This Row],[CodBarras2]],2,50)</f>
        <v/>
      </c>
    </row>
    <row r="15254" spans="9:9" x14ac:dyDescent="0.25">
      <c r="I15254" s="227" t="str">
        <f>MID(excPisCofins[[#This Row],[CodBarras2]],2,50)</f>
        <v/>
      </c>
    </row>
    <row r="15255" spans="9:9" x14ac:dyDescent="0.25">
      <c r="I15255" s="227" t="str">
        <f>MID(excPisCofins[[#This Row],[CodBarras2]],2,50)</f>
        <v/>
      </c>
    </row>
    <row r="15256" spans="9:9" x14ac:dyDescent="0.25">
      <c r="I15256" s="227" t="str">
        <f>MID(excPisCofins[[#This Row],[CodBarras2]],2,50)</f>
        <v/>
      </c>
    </row>
    <row r="15257" spans="9:9" x14ac:dyDescent="0.25">
      <c r="I15257" s="227" t="str">
        <f>MID(excPisCofins[[#This Row],[CodBarras2]],2,50)</f>
        <v/>
      </c>
    </row>
    <row r="15258" spans="9:9" x14ac:dyDescent="0.25">
      <c r="I15258" s="227" t="str">
        <f>MID(excPisCofins[[#This Row],[CodBarras2]],2,50)</f>
        <v/>
      </c>
    </row>
    <row r="15259" spans="9:9" x14ac:dyDescent="0.25">
      <c r="I15259" s="227" t="str">
        <f>MID(excPisCofins[[#This Row],[CodBarras2]],2,50)</f>
        <v/>
      </c>
    </row>
    <row r="15260" spans="9:9" x14ac:dyDescent="0.25">
      <c r="I15260" s="227" t="str">
        <f>MID(excPisCofins[[#This Row],[CodBarras2]],2,50)</f>
        <v/>
      </c>
    </row>
    <row r="15261" spans="9:9" x14ac:dyDescent="0.25">
      <c r="I15261" s="227" t="str">
        <f>MID(excPisCofins[[#This Row],[CodBarras2]],2,50)</f>
        <v/>
      </c>
    </row>
    <row r="15262" spans="9:9" x14ac:dyDescent="0.25">
      <c r="I15262" s="227" t="str">
        <f>MID(excPisCofins[[#This Row],[CodBarras2]],2,50)</f>
        <v/>
      </c>
    </row>
    <row r="15263" spans="9:9" x14ac:dyDescent="0.25">
      <c r="I15263" s="227" t="str">
        <f>MID(excPisCofins[[#This Row],[CodBarras2]],2,50)</f>
        <v/>
      </c>
    </row>
    <row r="15264" spans="9:9" x14ac:dyDescent="0.25">
      <c r="I15264" s="227" t="str">
        <f>MID(excPisCofins[[#This Row],[CodBarras2]],2,50)</f>
        <v/>
      </c>
    </row>
    <row r="15265" spans="9:9" x14ac:dyDescent="0.25">
      <c r="I15265" s="227" t="str">
        <f>MID(excPisCofins[[#This Row],[CodBarras2]],2,50)</f>
        <v/>
      </c>
    </row>
    <row r="15266" spans="9:9" x14ac:dyDescent="0.25">
      <c r="I15266" s="227" t="str">
        <f>MID(excPisCofins[[#This Row],[CodBarras2]],2,50)</f>
        <v/>
      </c>
    </row>
    <row r="15267" spans="9:9" x14ac:dyDescent="0.25">
      <c r="I15267" s="227" t="str">
        <f>MID(excPisCofins[[#This Row],[CodBarras2]],2,50)</f>
        <v/>
      </c>
    </row>
    <row r="15268" spans="9:9" x14ac:dyDescent="0.25">
      <c r="I15268" s="227" t="str">
        <f>MID(excPisCofins[[#This Row],[CodBarras2]],2,50)</f>
        <v/>
      </c>
    </row>
    <row r="15269" spans="9:9" x14ac:dyDescent="0.25">
      <c r="I15269" s="227" t="str">
        <f>MID(excPisCofins[[#This Row],[CodBarras2]],2,50)</f>
        <v/>
      </c>
    </row>
    <row r="15270" spans="9:9" x14ac:dyDescent="0.25">
      <c r="I15270" s="227" t="str">
        <f>MID(excPisCofins[[#This Row],[CodBarras2]],2,50)</f>
        <v/>
      </c>
    </row>
    <row r="15271" spans="9:9" x14ac:dyDescent="0.25">
      <c r="I15271" s="227" t="str">
        <f>MID(excPisCofins[[#This Row],[CodBarras2]],2,50)</f>
        <v/>
      </c>
    </row>
    <row r="15272" spans="9:9" x14ac:dyDescent="0.25">
      <c r="I15272" s="227" t="str">
        <f>MID(excPisCofins[[#This Row],[CodBarras2]],2,50)</f>
        <v/>
      </c>
    </row>
    <row r="15273" spans="9:9" x14ac:dyDescent="0.25">
      <c r="I15273" s="227" t="str">
        <f>MID(excPisCofins[[#This Row],[CodBarras2]],2,50)</f>
        <v/>
      </c>
    </row>
    <row r="15274" spans="9:9" x14ac:dyDescent="0.25">
      <c r="I15274" s="227" t="str">
        <f>MID(excPisCofins[[#This Row],[CodBarras2]],2,50)</f>
        <v/>
      </c>
    </row>
    <row r="15275" spans="9:9" x14ac:dyDescent="0.25">
      <c r="I15275" s="227" t="str">
        <f>MID(excPisCofins[[#This Row],[CodBarras2]],2,50)</f>
        <v/>
      </c>
    </row>
    <row r="15276" spans="9:9" x14ac:dyDescent="0.25">
      <c r="I15276" s="227" t="str">
        <f>MID(excPisCofins[[#This Row],[CodBarras2]],2,50)</f>
        <v/>
      </c>
    </row>
    <row r="15277" spans="9:9" x14ac:dyDescent="0.25">
      <c r="I15277" s="227" t="str">
        <f>MID(excPisCofins[[#This Row],[CodBarras2]],2,50)</f>
        <v/>
      </c>
    </row>
    <row r="15278" spans="9:9" x14ac:dyDescent="0.25">
      <c r="I15278" s="227" t="str">
        <f>MID(excPisCofins[[#This Row],[CodBarras2]],2,50)</f>
        <v/>
      </c>
    </row>
    <row r="15279" spans="9:9" x14ac:dyDescent="0.25">
      <c r="I15279" s="227" t="str">
        <f>MID(excPisCofins[[#This Row],[CodBarras2]],2,50)</f>
        <v/>
      </c>
    </row>
    <row r="15280" spans="9:9" x14ac:dyDescent="0.25">
      <c r="I15280" s="227" t="str">
        <f>MID(excPisCofins[[#This Row],[CodBarras2]],2,50)</f>
        <v/>
      </c>
    </row>
    <row r="15281" spans="9:9" x14ac:dyDescent="0.25">
      <c r="I15281" s="227" t="str">
        <f>MID(excPisCofins[[#This Row],[CodBarras2]],2,50)</f>
        <v/>
      </c>
    </row>
    <row r="15282" spans="9:9" x14ac:dyDescent="0.25">
      <c r="I15282" s="227" t="str">
        <f>MID(excPisCofins[[#This Row],[CodBarras2]],2,50)</f>
        <v/>
      </c>
    </row>
    <row r="15283" spans="9:9" x14ac:dyDescent="0.25">
      <c r="I15283" s="227" t="str">
        <f>MID(excPisCofins[[#This Row],[CodBarras2]],2,50)</f>
        <v/>
      </c>
    </row>
    <row r="15284" spans="9:9" x14ac:dyDescent="0.25">
      <c r="I15284" s="227" t="str">
        <f>MID(excPisCofins[[#This Row],[CodBarras2]],2,50)</f>
        <v/>
      </c>
    </row>
    <row r="15285" spans="9:9" x14ac:dyDescent="0.25">
      <c r="I15285" s="227" t="str">
        <f>MID(excPisCofins[[#This Row],[CodBarras2]],2,50)</f>
        <v/>
      </c>
    </row>
    <row r="15286" spans="9:9" x14ac:dyDescent="0.25">
      <c r="I15286" s="227" t="str">
        <f>MID(excPisCofins[[#This Row],[CodBarras2]],2,50)</f>
        <v/>
      </c>
    </row>
    <row r="15287" spans="9:9" x14ac:dyDescent="0.25">
      <c r="I15287" s="227" t="str">
        <f>MID(excPisCofins[[#This Row],[CodBarras2]],2,50)</f>
        <v/>
      </c>
    </row>
    <row r="15288" spans="9:9" x14ac:dyDescent="0.25">
      <c r="I15288" s="227" t="str">
        <f>MID(excPisCofins[[#This Row],[CodBarras2]],2,50)</f>
        <v/>
      </c>
    </row>
    <row r="15289" spans="9:9" x14ac:dyDescent="0.25">
      <c r="I15289" s="227" t="str">
        <f>MID(excPisCofins[[#This Row],[CodBarras2]],2,50)</f>
        <v/>
      </c>
    </row>
    <row r="15290" spans="9:9" x14ac:dyDescent="0.25">
      <c r="I15290" s="227" t="str">
        <f>MID(excPisCofins[[#This Row],[CodBarras2]],2,50)</f>
        <v/>
      </c>
    </row>
    <row r="15291" spans="9:9" x14ac:dyDescent="0.25">
      <c r="I15291" s="227" t="str">
        <f>MID(excPisCofins[[#This Row],[CodBarras2]],2,50)</f>
        <v/>
      </c>
    </row>
    <row r="15292" spans="9:9" x14ac:dyDescent="0.25">
      <c r="I15292" s="227" t="str">
        <f>MID(excPisCofins[[#This Row],[CodBarras2]],2,50)</f>
        <v/>
      </c>
    </row>
    <row r="15293" spans="9:9" x14ac:dyDescent="0.25">
      <c r="I15293" s="227" t="str">
        <f>MID(excPisCofins[[#This Row],[CodBarras2]],2,50)</f>
        <v/>
      </c>
    </row>
    <row r="15294" spans="9:9" x14ac:dyDescent="0.25">
      <c r="I15294" s="227" t="str">
        <f>MID(excPisCofins[[#This Row],[CodBarras2]],2,50)</f>
        <v/>
      </c>
    </row>
    <row r="15295" spans="9:9" x14ac:dyDescent="0.25">
      <c r="I15295" s="227" t="str">
        <f>MID(excPisCofins[[#This Row],[CodBarras2]],2,50)</f>
        <v/>
      </c>
    </row>
    <row r="15296" spans="9:9" x14ac:dyDescent="0.25">
      <c r="I15296" s="227" t="str">
        <f>MID(excPisCofins[[#This Row],[CodBarras2]],2,50)</f>
        <v/>
      </c>
    </row>
    <row r="15297" spans="9:9" x14ac:dyDescent="0.25">
      <c r="I15297" s="227" t="str">
        <f>MID(excPisCofins[[#This Row],[CodBarras2]],2,50)</f>
        <v/>
      </c>
    </row>
    <row r="15298" spans="9:9" x14ac:dyDescent="0.25">
      <c r="I15298" s="227" t="str">
        <f>MID(excPisCofins[[#This Row],[CodBarras2]],2,50)</f>
        <v/>
      </c>
    </row>
    <row r="15299" spans="9:9" x14ac:dyDescent="0.25">
      <c r="I15299" s="227" t="str">
        <f>MID(excPisCofins[[#This Row],[CodBarras2]],2,50)</f>
        <v/>
      </c>
    </row>
    <row r="15300" spans="9:9" x14ac:dyDescent="0.25">
      <c r="I15300" s="227" t="str">
        <f>MID(excPisCofins[[#This Row],[CodBarras2]],2,50)</f>
        <v/>
      </c>
    </row>
    <row r="15301" spans="9:9" x14ac:dyDescent="0.25">
      <c r="I15301" s="227" t="str">
        <f>MID(excPisCofins[[#This Row],[CodBarras2]],2,50)</f>
        <v/>
      </c>
    </row>
    <row r="15302" spans="9:9" x14ac:dyDescent="0.25">
      <c r="I15302" s="227" t="str">
        <f>MID(excPisCofins[[#This Row],[CodBarras2]],2,50)</f>
        <v/>
      </c>
    </row>
    <row r="15303" spans="9:9" x14ac:dyDescent="0.25">
      <c r="I15303" s="227" t="str">
        <f>MID(excPisCofins[[#This Row],[CodBarras2]],2,50)</f>
        <v/>
      </c>
    </row>
    <row r="15304" spans="9:9" x14ac:dyDescent="0.25">
      <c r="I15304" s="227" t="str">
        <f>MID(excPisCofins[[#This Row],[CodBarras2]],2,50)</f>
        <v/>
      </c>
    </row>
    <row r="15305" spans="9:9" x14ac:dyDescent="0.25">
      <c r="I15305" s="227" t="str">
        <f>MID(excPisCofins[[#This Row],[CodBarras2]],2,50)</f>
        <v/>
      </c>
    </row>
    <row r="15306" spans="9:9" x14ac:dyDescent="0.25">
      <c r="I15306" s="227" t="str">
        <f>MID(excPisCofins[[#This Row],[CodBarras2]],2,50)</f>
        <v/>
      </c>
    </row>
    <row r="15307" spans="9:9" x14ac:dyDescent="0.25">
      <c r="I15307" s="227" t="str">
        <f>MID(excPisCofins[[#This Row],[CodBarras2]],2,50)</f>
        <v/>
      </c>
    </row>
    <row r="15308" spans="9:9" x14ac:dyDescent="0.25">
      <c r="I15308" s="227" t="str">
        <f>MID(excPisCofins[[#This Row],[CodBarras2]],2,50)</f>
        <v/>
      </c>
    </row>
    <row r="15309" spans="9:9" x14ac:dyDescent="0.25">
      <c r="I15309" s="227" t="str">
        <f>MID(excPisCofins[[#This Row],[CodBarras2]],2,50)</f>
        <v/>
      </c>
    </row>
    <row r="15310" spans="9:9" x14ac:dyDescent="0.25">
      <c r="I15310" s="227" t="str">
        <f>MID(excPisCofins[[#This Row],[CodBarras2]],2,50)</f>
        <v/>
      </c>
    </row>
    <row r="15311" spans="9:9" x14ac:dyDescent="0.25">
      <c r="I15311" s="227" t="str">
        <f>MID(excPisCofins[[#This Row],[CodBarras2]],2,50)</f>
        <v/>
      </c>
    </row>
    <row r="15312" spans="9:9" x14ac:dyDescent="0.25">
      <c r="I15312" s="227" t="str">
        <f>MID(excPisCofins[[#This Row],[CodBarras2]],2,50)</f>
        <v/>
      </c>
    </row>
    <row r="15313" spans="9:9" x14ac:dyDescent="0.25">
      <c r="I15313" s="227" t="str">
        <f>MID(excPisCofins[[#This Row],[CodBarras2]],2,50)</f>
        <v/>
      </c>
    </row>
    <row r="15314" spans="9:9" x14ac:dyDescent="0.25">
      <c r="I15314" s="227" t="str">
        <f>MID(excPisCofins[[#This Row],[CodBarras2]],2,50)</f>
        <v/>
      </c>
    </row>
    <row r="15315" spans="9:9" x14ac:dyDescent="0.25">
      <c r="I15315" s="227" t="str">
        <f>MID(excPisCofins[[#This Row],[CodBarras2]],2,50)</f>
        <v/>
      </c>
    </row>
    <row r="15316" spans="9:9" x14ac:dyDescent="0.25">
      <c r="I15316" s="227" t="str">
        <f>MID(excPisCofins[[#This Row],[CodBarras2]],2,50)</f>
        <v/>
      </c>
    </row>
    <row r="15317" spans="9:9" x14ac:dyDescent="0.25">
      <c r="I15317" s="227" t="str">
        <f>MID(excPisCofins[[#This Row],[CodBarras2]],2,50)</f>
        <v/>
      </c>
    </row>
    <row r="15318" spans="9:9" x14ac:dyDescent="0.25">
      <c r="I15318" s="227" t="str">
        <f>MID(excPisCofins[[#This Row],[CodBarras2]],2,50)</f>
        <v/>
      </c>
    </row>
    <row r="15319" spans="9:9" x14ac:dyDescent="0.25">
      <c r="I15319" s="227" t="str">
        <f>MID(excPisCofins[[#This Row],[CodBarras2]],2,50)</f>
        <v/>
      </c>
    </row>
    <row r="15320" spans="9:9" x14ac:dyDescent="0.25">
      <c r="I15320" s="227" t="str">
        <f>MID(excPisCofins[[#This Row],[CodBarras2]],2,50)</f>
        <v/>
      </c>
    </row>
    <row r="15321" spans="9:9" x14ac:dyDescent="0.25">
      <c r="I15321" s="227" t="str">
        <f>MID(excPisCofins[[#This Row],[CodBarras2]],2,50)</f>
        <v/>
      </c>
    </row>
    <row r="15322" spans="9:9" x14ac:dyDescent="0.25">
      <c r="I15322" s="227" t="str">
        <f>MID(excPisCofins[[#This Row],[CodBarras2]],2,50)</f>
        <v/>
      </c>
    </row>
    <row r="15323" spans="9:9" x14ac:dyDescent="0.25">
      <c r="I15323" s="227" t="str">
        <f>MID(excPisCofins[[#This Row],[CodBarras2]],2,50)</f>
        <v/>
      </c>
    </row>
    <row r="15324" spans="9:9" x14ac:dyDescent="0.25">
      <c r="I15324" s="227" t="str">
        <f>MID(excPisCofins[[#This Row],[CodBarras2]],2,50)</f>
        <v/>
      </c>
    </row>
    <row r="15325" spans="9:9" x14ac:dyDescent="0.25">
      <c r="I15325" s="227" t="str">
        <f>MID(excPisCofins[[#This Row],[CodBarras2]],2,50)</f>
        <v/>
      </c>
    </row>
    <row r="15326" spans="9:9" x14ac:dyDescent="0.25">
      <c r="I15326" s="227" t="str">
        <f>MID(excPisCofins[[#This Row],[CodBarras2]],2,50)</f>
        <v/>
      </c>
    </row>
    <row r="15327" spans="9:9" x14ac:dyDescent="0.25">
      <c r="I15327" s="227" t="str">
        <f>MID(excPisCofins[[#This Row],[CodBarras2]],2,50)</f>
        <v/>
      </c>
    </row>
    <row r="15328" spans="9:9" x14ac:dyDescent="0.25">
      <c r="I15328" s="227" t="str">
        <f>MID(excPisCofins[[#This Row],[CodBarras2]],2,50)</f>
        <v/>
      </c>
    </row>
    <row r="15329" spans="9:9" x14ac:dyDescent="0.25">
      <c r="I15329" s="227" t="str">
        <f>MID(excPisCofins[[#This Row],[CodBarras2]],2,50)</f>
        <v/>
      </c>
    </row>
    <row r="15330" spans="9:9" x14ac:dyDescent="0.25">
      <c r="I15330" s="227" t="str">
        <f>MID(excPisCofins[[#This Row],[CodBarras2]],2,50)</f>
        <v/>
      </c>
    </row>
    <row r="15331" spans="9:9" x14ac:dyDescent="0.25">
      <c r="I15331" s="227" t="str">
        <f>MID(excPisCofins[[#This Row],[CodBarras2]],2,50)</f>
        <v/>
      </c>
    </row>
    <row r="15332" spans="9:9" x14ac:dyDescent="0.25">
      <c r="I15332" s="227" t="str">
        <f>MID(excPisCofins[[#This Row],[CodBarras2]],2,50)</f>
        <v/>
      </c>
    </row>
    <row r="15333" spans="9:9" x14ac:dyDescent="0.25">
      <c r="I15333" s="227" t="str">
        <f>MID(excPisCofins[[#This Row],[CodBarras2]],2,50)</f>
        <v/>
      </c>
    </row>
    <row r="15334" spans="9:9" x14ac:dyDescent="0.25">
      <c r="I15334" s="227" t="str">
        <f>MID(excPisCofins[[#This Row],[CodBarras2]],2,50)</f>
        <v/>
      </c>
    </row>
    <row r="15335" spans="9:9" x14ac:dyDescent="0.25">
      <c r="I15335" s="227" t="str">
        <f>MID(excPisCofins[[#This Row],[CodBarras2]],2,50)</f>
        <v/>
      </c>
    </row>
    <row r="15336" spans="9:9" x14ac:dyDescent="0.25">
      <c r="I15336" s="227" t="str">
        <f>MID(excPisCofins[[#This Row],[CodBarras2]],2,50)</f>
        <v/>
      </c>
    </row>
    <row r="15337" spans="9:9" x14ac:dyDescent="0.25">
      <c r="I15337" s="227" t="str">
        <f>MID(excPisCofins[[#This Row],[CodBarras2]],2,50)</f>
        <v/>
      </c>
    </row>
    <row r="15338" spans="9:9" x14ac:dyDescent="0.25">
      <c r="I15338" s="227" t="str">
        <f>MID(excPisCofins[[#This Row],[CodBarras2]],2,50)</f>
        <v/>
      </c>
    </row>
    <row r="15339" spans="9:9" x14ac:dyDescent="0.25">
      <c r="I15339" s="227" t="str">
        <f>MID(excPisCofins[[#This Row],[CodBarras2]],2,50)</f>
        <v/>
      </c>
    </row>
    <row r="15340" spans="9:9" x14ac:dyDescent="0.25">
      <c r="I15340" s="227" t="str">
        <f>MID(excPisCofins[[#This Row],[CodBarras2]],2,50)</f>
        <v/>
      </c>
    </row>
    <row r="15341" spans="9:9" x14ac:dyDescent="0.25">
      <c r="I15341" s="227" t="str">
        <f>MID(excPisCofins[[#This Row],[CodBarras2]],2,50)</f>
        <v/>
      </c>
    </row>
    <row r="15342" spans="9:9" x14ac:dyDescent="0.25">
      <c r="I15342" s="227" t="str">
        <f>MID(excPisCofins[[#This Row],[CodBarras2]],2,50)</f>
        <v/>
      </c>
    </row>
    <row r="15343" spans="9:9" x14ac:dyDescent="0.25">
      <c r="I15343" s="227" t="str">
        <f>MID(excPisCofins[[#This Row],[CodBarras2]],2,50)</f>
        <v/>
      </c>
    </row>
    <row r="15344" spans="9:9" x14ac:dyDescent="0.25">
      <c r="I15344" s="227" t="str">
        <f>MID(excPisCofins[[#This Row],[CodBarras2]],2,50)</f>
        <v/>
      </c>
    </row>
    <row r="15345" spans="9:9" x14ac:dyDescent="0.25">
      <c r="I15345" s="227" t="str">
        <f>MID(excPisCofins[[#This Row],[CodBarras2]],2,50)</f>
        <v/>
      </c>
    </row>
    <row r="15346" spans="9:9" x14ac:dyDescent="0.25">
      <c r="I15346" s="227" t="str">
        <f>MID(excPisCofins[[#This Row],[CodBarras2]],2,50)</f>
        <v/>
      </c>
    </row>
    <row r="15347" spans="9:9" x14ac:dyDescent="0.25">
      <c r="I15347" s="227" t="str">
        <f>MID(excPisCofins[[#This Row],[CodBarras2]],2,50)</f>
        <v/>
      </c>
    </row>
    <row r="15348" spans="9:9" x14ac:dyDescent="0.25">
      <c r="I15348" s="227" t="str">
        <f>MID(excPisCofins[[#This Row],[CodBarras2]],2,50)</f>
        <v/>
      </c>
    </row>
    <row r="15349" spans="9:9" x14ac:dyDescent="0.25">
      <c r="I15349" s="227" t="str">
        <f>MID(excPisCofins[[#This Row],[CodBarras2]],2,50)</f>
        <v/>
      </c>
    </row>
    <row r="15350" spans="9:9" x14ac:dyDescent="0.25">
      <c r="I15350" s="227" t="str">
        <f>MID(excPisCofins[[#This Row],[CodBarras2]],2,50)</f>
        <v/>
      </c>
    </row>
    <row r="15351" spans="9:9" x14ac:dyDescent="0.25">
      <c r="I15351" s="227" t="str">
        <f>MID(excPisCofins[[#This Row],[CodBarras2]],2,50)</f>
        <v/>
      </c>
    </row>
    <row r="15352" spans="9:9" x14ac:dyDescent="0.25">
      <c r="I15352" s="227" t="str">
        <f>MID(excPisCofins[[#This Row],[CodBarras2]],2,50)</f>
        <v/>
      </c>
    </row>
    <row r="15353" spans="9:9" x14ac:dyDescent="0.25">
      <c r="I15353" s="227" t="str">
        <f>MID(excPisCofins[[#This Row],[CodBarras2]],2,50)</f>
        <v/>
      </c>
    </row>
    <row r="15354" spans="9:9" x14ac:dyDescent="0.25">
      <c r="I15354" s="227" t="str">
        <f>MID(excPisCofins[[#This Row],[CodBarras2]],2,50)</f>
        <v/>
      </c>
    </row>
    <row r="15355" spans="9:9" x14ac:dyDescent="0.25">
      <c r="I15355" s="227" t="str">
        <f>MID(excPisCofins[[#This Row],[CodBarras2]],2,50)</f>
        <v/>
      </c>
    </row>
    <row r="15356" spans="9:9" x14ac:dyDescent="0.25">
      <c r="I15356" s="227" t="str">
        <f>MID(excPisCofins[[#This Row],[CodBarras2]],2,50)</f>
        <v/>
      </c>
    </row>
    <row r="15357" spans="9:9" x14ac:dyDescent="0.25">
      <c r="I15357" s="227" t="str">
        <f>MID(excPisCofins[[#This Row],[CodBarras2]],2,50)</f>
        <v/>
      </c>
    </row>
    <row r="15358" spans="9:9" x14ac:dyDescent="0.25">
      <c r="I15358" s="227" t="str">
        <f>MID(excPisCofins[[#This Row],[CodBarras2]],2,50)</f>
        <v/>
      </c>
    </row>
    <row r="15359" spans="9:9" x14ac:dyDescent="0.25">
      <c r="I15359" s="227" t="str">
        <f>MID(excPisCofins[[#This Row],[CodBarras2]],2,50)</f>
        <v/>
      </c>
    </row>
    <row r="15360" spans="9:9" x14ac:dyDescent="0.25">
      <c r="I15360" s="227" t="str">
        <f>MID(excPisCofins[[#This Row],[CodBarras2]],2,50)</f>
        <v/>
      </c>
    </row>
    <row r="15361" spans="9:9" x14ac:dyDescent="0.25">
      <c r="I15361" s="227" t="str">
        <f>MID(excPisCofins[[#This Row],[CodBarras2]],2,50)</f>
        <v/>
      </c>
    </row>
    <row r="15362" spans="9:9" x14ac:dyDescent="0.25">
      <c r="I15362" s="227" t="str">
        <f>MID(excPisCofins[[#This Row],[CodBarras2]],2,50)</f>
        <v/>
      </c>
    </row>
    <row r="15363" spans="9:9" x14ac:dyDescent="0.25">
      <c r="I15363" s="227" t="str">
        <f>MID(excPisCofins[[#This Row],[CodBarras2]],2,50)</f>
        <v/>
      </c>
    </row>
    <row r="15364" spans="9:9" x14ac:dyDescent="0.25">
      <c r="I15364" s="227" t="str">
        <f>MID(excPisCofins[[#This Row],[CodBarras2]],2,50)</f>
        <v/>
      </c>
    </row>
    <row r="15365" spans="9:9" x14ac:dyDescent="0.25">
      <c r="I15365" s="227" t="str">
        <f>MID(excPisCofins[[#This Row],[CodBarras2]],2,50)</f>
        <v/>
      </c>
    </row>
    <row r="15366" spans="9:9" x14ac:dyDescent="0.25">
      <c r="I15366" s="227" t="str">
        <f>MID(excPisCofins[[#This Row],[CodBarras2]],2,50)</f>
        <v/>
      </c>
    </row>
    <row r="15367" spans="9:9" x14ac:dyDescent="0.25">
      <c r="I15367" s="227" t="str">
        <f>MID(excPisCofins[[#This Row],[CodBarras2]],2,50)</f>
        <v/>
      </c>
    </row>
    <row r="15368" spans="9:9" x14ac:dyDescent="0.25">
      <c r="I15368" s="227" t="str">
        <f>MID(excPisCofins[[#This Row],[CodBarras2]],2,50)</f>
        <v/>
      </c>
    </row>
    <row r="15369" spans="9:9" x14ac:dyDescent="0.25">
      <c r="I15369" s="227" t="str">
        <f>MID(excPisCofins[[#This Row],[CodBarras2]],2,50)</f>
        <v/>
      </c>
    </row>
    <row r="15370" spans="9:9" x14ac:dyDescent="0.25">
      <c r="I15370" s="227" t="str">
        <f>MID(excPisCofins[[#This Row],[CodBarras2]],2,50)</f>
        <v/>
      </c>
    </row>
    <row r="15371" spans="9:9" x14ac:dyDescent="0.25">
      <c r="I15371" s="227" t="str">
        <f>MID(excPisCofins[[#This Row],[CodBarras2]],2,50)</f>
        <v/>
      </c>
    </row>
    <row r="15372" spans="9:9" x14ac:dyDescent="0.25">
      <c r="I15372" s="227" t="str">
        <f>MID(excPisCofins[[#This Row],[CodBarras2]],2,50)</f>
        <v/>
      </c>
    </row>
    <row r="15373" spans="9:9" x14ac:dyDescent="0.25">
      <c r="I15373" s="227" t="str">
        <f>MID(excPisCofins[[#This Row],[CodBarras2]],2,50)</f>
        <v/>
      </c>
    </row>
    <row r="15374" spans="9:9" x14ac:dyDescent="0.25">
      <c r="I15374" s="227" t="str">
        <f>MID(excPisCofins[[#This Row],[CodBarras2]],2,50)</f>
        <v/>
      </c>
    </row>
    <row r="15375" spans="9:9" x14ac:dyDescent="0.25">
      <c r="I15375" s="227" t="str">
        <f>MID(excPisCofins[[#This Row],[CodBarras2]],2,50)</f>
        <v/>
      </c>
    </row>
    <row r="15376" spans="9:9" x14ac:dyDescent="0.25">
      <c r="I15376" s="227" t="str">
        <f>MID(excPisCofins[[#This Row],[CodBarras2]],2,50)</f>
        <v/>
      </c>
    </row>
    <row r="15377" spans="9:9" x14ac:dyDescent="0.25">
      <c r="I15377" s="227" t="str">
        <f>MID(excPisCofins[[#This Row],[CodBarras2]],2,50)</f>
        <v/>
      </c>
    </row>
    <row r="15378" spans="9:9" x14ac:dyDescent="0.25">
      <c r="I15378" s="227" t="str">
        <f>MID(excPisCofins[[#This Row],[CodBarras2]],2,50)</f>
        <v/>
      </c>
    </row>
    <row r="15379" spans="9:9" x14ac:dyDescent="0.25">
      <c r="I15379" s="227" t="str">
        <f>MID(excPisCofins[[#This Row],[CodBarras2]],2,50)</f>
        <v/>
      </c>
    </row>
    <row r="15380" spans="9:9" x14ac:dyDescent="0.25">
      <c r="I15380" s="227" t="str">
        <f>MID(excPisCofins[[#This Row],[CodBarras2]],2,50)</f>
        <v/>
      </c>
    </row>
    <row r="15381" spans="9:9" x14ac:dyDescent="0.25">
      <c r="I15381" s="227" t="str">
        <f>MID(excPisCofins[[#This Row],[CodBarras2]],2,50)</f>
        <v/>
      </c>
    </row>
    <row r="15382" spans="9:9" x14ac:dyDescent="0.25">
      <c r="I15382" s="227" t="str">
        <f>MID(excPisCofins[[#This Row],[CodBarras2]],2,50)</f>
        <v/>
      </c>
    </row>
    <row r="15383" spans="9:9" x14ac:dyDescent="0.25">
      <c r="I15383" s="227" t="str">
        <f>MID(excPisCofins[[#This Row],[CodBarras2]],2,50)</f>
        <v/>
      </c>
    </row>
    <row r="15384" spans="9:9" x14ac:dyDescent="0.25">
      <c r="I15384" s="227" t="str">
        <f>MID(excPisCofins[[#This Row],[CodBarras2]],2,50)</f>
        <v/>
      </c>
    </row>
    <row r="15385" spans="9:9" x14ac:dyDescent="0.25">
      <c r="I15385" s="227" t="str">
        <f>MID(excPisCofins[[#This Row],[CodBarras2]],2,50)</f>
        <v/>
      </c>
    </row>
    <row r="15386" spans="9:9" x14ac:dyDescent="0.25">
      <c r="I15386" s="227" t="str">
        <f>MID(excPisCofins[[#This Row],[CodBarras2]],2,50)</f>
        <v/>
      </c>
    </row>
    <row r="15387" spans="9:9" x14ac:dyDescent="0.25">
      <c r="I15387" s="227" t="str">
        <f>MID(excPisCofins[[#This Row],[CodBarras2]],2,50)</f>
        <v/>
      </c>
    </row>
    <row r="15388" spans="9:9" x14ac:dyDescent="0.25">
      <c r="I15388" s="227" t="str">
        <f>MID(excPisCofins[[#This Row],[CodBarras2]],2,50)</f>
        <v/>
      </c>
    </row>
    <row r="15389" spans="9:9" x14ac:dyDescent="0.25">
      <c r="I15389" s="227" t="str">
        <f>MID(excPisCofins[[#This Row],[CodBarras2]],2,50)</f>
        <v/>
      </c>
    </row>
    <row r="15390" spans="9:9" x14ac:dyDescent="0.25">
      <c r="I15390" s="227" t="str">
        <f>MID(excPisCofins[[#This Row],[CodBarras2]],2,50)</f>
        <v/>
      </c>
    </row>
    <row r="15391" spans="9:9" x14ac:dyDescent="0.25">
      <c r="I15391" s="227" t="str">
        <f>MID(excPisCofins[[#This Row],[CodBarras2]],2,50)</f>
        <v/>
      </c>
    </row>
    <row r="15392" spans="9:9" x14ac:dyDescent="0.25">
      <c r="I15392" s="227" t="str">
        <f>MID(excPisCofins[[#This Row],[CodBarras2]],2,50)</f>
        <v/>
      </c>
    </row>
    <row r="15393" spans="9:9" x14ac:dyDescent="0.25">
      <c r="I15393" s="227" t="str">
        <f>MID(excPisCofins[[#This Row],[CodBarras2]],2,50)</f>
        <v/>
      </c>
    </row>
    <row r="15394" spans="9:9" x14ac:dyDescent="0.25">
      <c r="I15394" s="227" t="str">
        <f>MID(excPisCofins[[#This Row],[CodBarras2]],2,50)</f>
        <v/>
      </c>
    </row>
    <row r="15395" spans="9:9" x14ac:dyDescent="0.25">
      <c r="I15395" s="227" t="str">
        <f>MID(excPisCofins[[#This Row],[CodBarras2]],2,50)</f>
        <v/>
      </c>
    </row>
    <row r="15396" spans="9:9" x14ac:dyDescent="0.25">
      <c r="I15396" s="227" t="str">
        <f>MID(excPisCofins[[#This Row],[CodBarras2]],2,50)</f>
        <v/>
      </c>
    </row>
    <row r="15397" spans="9:9" x14ac:dyDescent="0.25">
      <c r="I15397" s="227" t="str">
        <f>MID(excPisCofins[[#This Row],[CodBarras2]],2,50)</f>
        <v/>
      </c>
    </row>
    <row r="15398" spans="9:9" x14ac:dyDescent="0.25">
      <c r="I15398" s="227" t="str">
        <f>MID(excPisCofins[[#This Row],[CodBarras2]],2,50)</f>
        <v/>
      </c>
    </row>
    <row r="15399" spans="9:9" x14ac:dyDescent="0.25">
      <c r="I15399" s="227" t="str">
        <f>MID(excPisCofins[[#This Row],[CodBarras2]],2,50)</f>
        <v/>
      </c>
    </row>
    <row r="15400" spans="9:9" x14ac:dyDescent="0.25">
      <c r="I15400" s="227" t="str">
        <f>MID(excPisCofins[[#This Row],[CodBarras2]],2,50)</f>
        <v/>
      </c>
    </row>
    <row r="15401" spans="9:9" x14ac:dyDescent="0.25">
      <c r="I15401" s="227" t="str">
        <f>MID(excPisCofins[[#This Row],[CodBarras2]],2,50)</f>
        <v/>
      </c>
    </row>
    <row r="15402" spans="9:9" x14ac:dyDescent="0.25">
      <c r="I15402" s="227" t="str">
        <f>MID(excPisCofins[[#This Row],[CodBarras2]],2,50)</f>
        <v/>
      </c>
    </row>
    <row r="15403" spans="9:9" x14ac:dyDescent="0.25">
      <c r="I15403" s="227" t="str">
        <f>MID(excPisCofins[[#This Row],[CodBarras2]],2,50)</f>
        <v/>
      </c>
    </row>
    <row r="15404" spans="9:9" x14ac:dyDescent="0.25">
      <c r="I15404" s="227" t="str">
        <f>MID(excPisCofins[[#This Row],[CodBarras2]],2,50)</f>
        <v/>
      </c>
    </row>
    <row r="15405" spans="9:9" x14ac:dyDescent="0.25">
      <c r="I15405" s="227" t="str">
        <f>MID(excPisCofins[[#This Row],[CodBarras2]],2,50)</f>
        <v/>
      </c>
    </row>
    <row r="15406" spans="9:9" x14ac:dyDescent="0.25">
      <c r="I15406" s="227" t="str">
        <f>MID(excPisCofins[[#This Row],[CodBarras2]],2,50)</f>
        <v/>
      </c>
    </row>
    <row r="15407" spans="9:9" x14ac:dyDescent="0.25">
      <c r="I15407" s="227" t="str">
        <f>MID(excPisCofins[[#This Row],[CodBarras2]],2,50)</f>
        <v/>
      </c>
    </row>
    <row r="15408" spans="9:9" x14ac:dyDescent="0.25">
      <c r="I15408" s="227" t="str">
        <f>MID(excPisCofins[[#This Row],[CodBarras2]],2,50)</f>
        <v/>
      </c>
    </row>
    <row r="15409" spans="9:9" x14ac:dyDescent="0.25">
      <c r="I15409" s="227" t="str">
        <f>MID(excPisCofins[[#This Row],[CodBarras2]],2,50)</f>
        <v/>
      </c>
    </row>
    <row r="15410" spans="9:9" x14ac:dyDescent="0.25">
      <c r="I15410" s="227" t="str">
        <f>MID(excPisCofins[[#This Row],[CodBarras2]],2,50)</f>
        <v/>
      </c>
    </row>
    <row r="15411" spans="9:9" x14ac:dyDescent="0.25">
      <c r="I15411" s="227" t="str">
        <f>MID(excPisCofins[[#This Row],[CodBarras2]],2,50)</f>
        <v/>
      </c>
    </row>
    <row r="15412" spans="9:9" x14ac:dyDescent="0.25">
      <c r="I15412" s="227" t="str">
        <f>MID(excPisCofins[[#This Row],[CodBarras2]],2,50)</f>
        <v/>
      </c>
    </row>
    <row r="15413" spans="9:9" x14ac:dyDescent="0.25">
      <c r="I15413" s="227" t="str">
        <f>MID(excPisCofins[[#This Row],[CodBarras2]],2,50)</f>
        <v/>
      </c>
    </row>
    <row r="15414" spans="9:9" x14ac:dyDescent="0.25">
      <c r="I15414" s="227" t="str">
        <f>MID(excPisCofins[[#This Row],[CodBarras2]],2,50)</f>
        <v/>
      </c>
    </row>
    <row r="15415" spans="9:9" x14ac:dyDescent="0.25">
      <c r="I15415" s="227" t="str">
        <f>MID(excPisCofins[[#This Row],[CodBarras2]],2,50)</f>
        <v/>
      </c>
    </row>
    <row r="15416" spans="9:9" x14ac:dyDescent="0.25">
      <c r="I15416" s="227" t="str">
        <f>MID(excPisCofins[[#This Row],[CodBarras2]],2,50)</f>
        <v/>
      </c>
    </row>
    <row r="15417" spans="9:9" x14ac:dyDescent="0.25">
      <c r="I15417" s="227" t="str">
        <f>MID(excPisCofins[[#This Row],[CodBarras2]],2,50)</f>
        <v/>
      </c>
    </row>
    <row r="15418" spans="9:9" x14ac:dyDescent="0.25">
      <c r="I15418" s="227" t="str">
        <f>MID(excPisCofins[[#This Row],[CodBarras2]],2,50)</f>
        <v/>
      </c>
    </row>
    <row r="15419" spans="9:9" x14ac:dyDescent="0.25">
      <c r="I15419" s="227" t="str">
        <f>MID(excPisCofins[[#This Row],[CodBarras2]],2,50)</f>
        <v/>
      </c>
    </row>
    <row r="15420" spans="9:9" x14ac:dyDescent="0.25">
      <c r="I15420" s="227" t="str">
        <f>MID(excPisCofins[[#This Row],[CodBarras2]],2,50)</f>
        <v/>
      </c>
    </row>
    <row r="15421" spans="9:9" x14ac:dyDescent="0.25">
      <c r="I15421" s="227" t="str">
        <f>MID(excPisCofins[[#This Row],[CodBarras2]],2,50)</f>
        <v/>
      </c>
    </row>
    <row r="15422" spans="9:9" x14ac:dyDescent="0.25">
      <c r="I15422" s="227" t="str">
        <f>MID(excPisCofins[[#This Row],[CodBarras2]],2,50)</f>
        <v/>
      </c>
    </row>
    <row r="15423" spans="9:9" x14ac:dyDescent="0.25">
      <c r="I15423" s="227" t="str">
        <f>MID(excPisCofins[[#This Row],[CodBarras2]],2,50)</f>
        <v/>
      </c>
    </row>
    <row r="15424" spans="9:9" x14ac:dyDescent="0.25">
      <c r="I15424" s="227" t="str">
        <f>MID(excPisCofins[[#This Row],[CodBarras2]],2,50)</f>
        <v/>
      </c>
    </row>
    <row r="15425" spans="9:9" x14ac:dyDescent="0.25">
      <c r="I15425" s="227" t="str">
        <f>MID(excPisCofins[[#This Row],[CodBarras2]],2,50)</f>
        <v/>
      </c>
    </row>
    <row r="15426" spans="9:9" x14ac:dyDescent="0.25">
      <c r="I15426" s="227" t="str">
        <f>MID(excPisCofins[[#This Row],[CodBarras2]],2,50)</f>
        <v/>
      </c>
    </row>
    <row r="15427" spans="9:9" x14ac:dyDescent="0.25">
      <c r="I15427" s="227" t="str">
        <f>MID(excPisCofins[[#This Row],[CodBarras2]],2,50)</f>
        <v/>
      </c>
    </row>
    <row r="15428" spans="9:9" x14ac:dyDescent="0.25">
      <c r="I15428" s="227" t="str">
        <f>MID(excPisCofins[[#This Row],[CodBarras2]],2,50)</f>
        <v/>
      </c>
    </row>
    <row r="15429" spans="9:9" x14ac:dyDescent="0.25">
      <c r="I15429" s="227" t="str">
        <f>MID(excPisCofins[[#This Row],[CodBarras2]],2,50)</f>
        <v/>
      </c>
    </row>
    <row r="15430" spans="9:9" x14ac:dyDescent="0.25">
      <c r="I15430" s="227" t="str">
        <f>MID(excPisCofins[[#This Row],[CodBarras2]],2,50)</f>
        <v/>
      </c>
    </row>
    <row r="15431" spans="9:9" x14ac:dyDescent="0.25">
      <c r="I15431" s="227" t="str">
        <f>MID(excPisCofins[[#This Row],[CodBarras2]],2,50)</f>
        <v/>
      </c>
    </row>
    <row r="15432" spans="9:9" x14ac:dyDescent="0.25">
      <c r="I15432" s="227" t="str">
        <f>MID(excPisCofins[[#This Row],[CodBarras2]],2,50)</f>
        <v/>
      </c>
    </row>
    <row r="15433" spans="9:9" x14ac:dyDescent="0.25">
      <c r="I15433" s="227" t="str">
        <f>MID(excPisCofins[[#This Row],[CodBarras2]],2,50)</f>
        <v/>
      </c>
    </row>
    <row r="15434" spans="9:9" x14ac:dyDescent="0.25">
      <c r="I15434" s="227" t="str">
        <f>MID(excPisCofins[[#This Row],[CodBarras2]],2,50)</f>
        <v/>
      </c>
    </row>
    <row r="15435" spans="9:9" x14ac:dyDescent="0.25">
      <c r="I15435" s="227" t="str">
        <f>MID(excPisCofins[[#This Row],[CodBarras2]],2,50)</f>
        <v/>
      </c>
    </row>
    <row r="15436" spans="9:9" x14ac:dyDescent="0.25">
      <c r="I15436" s="227" t="str">
        <f>MID(excPisCofins[[#This Row],[CodBarras2]],2,50)</f>
        <v/>
      </c>
    </row>
    <row r="15437" spans="9:9" x14ac:dyDescent="0.25">
      <c r="I15437" s="227" t="str">
        <f>MID(excPisCofins[[#This Row],[CodBarras2]],2,50)</f>
        <v/>
      </c>
    </row>
    <row r="15438" spans="9:9" x14ac:dyDescent="0.25">
      <c r="I15438" s="227" t="str">
        <f>MID(excPisCofins[[#This Row],[CodBarras2]],2,50)</f>
        <v/>
      </c>
    </row>
    <row r="15439" spans="9:9" x14ac:dyDescent="0.25">
      <c r="I15439" s="227" t="str">
        <f>MID(excPisCofins[[#This Row],[CodBarras2]],2,50)</f>
        <v/>
      </c>
    </row>
    <row r="15440" spans="9:9" x14ac:dyDescent="0.25">
      <c r="I15440" s="227" t="str">
        <f>MID(excPisCofins[[#This Row],[CodBarras2]],2,50)</f>
        <v/>
      </c>
    </row>
    <row r="15441" spans="9:9" x14ac:dyDescent="0.25">
      <c r="I15441" s="227" t="str">
        <f>MID(excPisCofins[[#This Row],[CodBarras2]],2,50)</f>
        <v/>
      </c>
    </row>
    <row r="15442" spans="9:9" x14ac:dyDescent="0.25">
      <c r="I15442" s="227" t="str">
        <f>MID(excPisCofins[[#This Row],[CodBarras2]],2,50)</f>
        <v/>
      </c>
    </row>
    <row r="15443" spans="9:9" x14ac:dyDescent="0.25">
      <c r="I15443" s="227" t="str">
        <f>MID(excPisCofins[[#This Row],[CodBarras2]],2,50)</f>
        <v/>
      </c>
    </row>
    <row r="15444" spans="9:9" x14ac:dyDescent="0.25">
      <c r="I15444" s="227" t="str">
        <f>MID(excPisCofins[[#This Row],[CodBarras2]],2,50)</f>
        <v/>
      </c>
    </row>
    <row r="15445" spans="9:9" x14ac:dyDescent="0.25">
      <c r="I15445" s="227" t="str">
        <f>MID(excPisCofins[[#This Row],[CodBarras2]],2,50)</f>
        <v/>
      </c>
    </row>
    <row r="15446" spans="9:9" x14ac:dyDescent="0.25">
      <c r="I15446" s="227" t="str">
        <f>MID(excPisCofins[[#This Row],[CodBarras2]],2,50)</f>
        <v/>
      </c>
    </row>
    <row r="15447" spans="9:9" x14ac:dyDescent="0.25">
      <c r="I15447" s="227" t="str">
        <f>MID(excPisCofins[[#This Row],[CodBarras2]],2,50)</f>
        <v/>
      </c>
    </row>
    <row r="15448" spans="9:9" x14ac:dyDescent="0.25">
      <c r="I15448" s="227" t="str">
        <f>MID(excPisCofins[[#This Row],[CodBarras2]],2,50)</f>
        <v/>
      </c>
    </row>
    <row r="15449" spans="9:9" x14ac:dyDescent="0.25">
      <c r="I15449" s="227" t="str">
        <f>MID(excPisCofins[[#This Row],[CodBarras2]],2,50)</f>
        <v/>
      </c>
    </row>
    <row r="15450" spans="9:9" x14ac:dyDescent="0.25">
      <c r="I15450" s="227" t="str">
        <f>MID(excPisCofins[[#This Row],[CodBarras2]],2,50)</f>
        <v/>
      </c>
    </row>
    <row r="15451" spans="9:9" x14ac:dyDescent="0.25">
      <c r="I15451" s="227" t="str">
        <f>MID(excPisCofins[[#This Row],[CodBarras2]],2,50)</f>
        <v/>
      </c>
    </row>
    <row r="15452" spans="9:9" x14ac:dyDescent="0.25">
      <c r="I15452" s="227" t="str">
        <f>MID(excPisCofins[[#This Row],[CodBarras2]],2,50)</f>
        <v/>
      </c>
    </row>
    <row r="15453" spans="9:9" x14ac:dyDescent="0.25">
      <c r="I15453" s="227" t="str">
        <f>MID(excPisCofins[[#This Row],[CodBarras2]],2,50)</f>
        <v/>
      </c>
    </row>
    <row r="15454" spans="9:9" x14ac:dyDescent="0.25">
      <c r="I15454" s="227" t="str">
        <f>MID(excPisCofins[[#This Row],[CodBarras2]],2,50)</f>
        <v/>
      </c>
    </row>
    <row r="15455" spans="9:9" x14ac:dyDescent="0.25">
      <c r="I15455" s="227" t="str">
        <f>MID(excPisCofins[[#This Row],[CodBarras2]],2,50)</f>
        <v/>
      </c>
    </row>
    <row r="15456" spans="9:9" x14ac:dyDescent="0.25">
      <c r="I15456" s="227" t="str">
        <f>MID(excPisCofins[[#This Row],[CodBarras2]],2,50)</f>
        <v/>
      </c>
    </row>
    <row r="15457" spans="9:9" x14ac:dyDescent="0.25">
      <c r="I15457" s="227" t="str">
        <f>MID(excPisCofins[[#This Row],[CodBarras2]],2,50)</f>
        <v/>
      </c>
    </row>
    <row r="15458" spans="9:9" x14ac:dyDescent="0.25">
      <c r="I15458" s="227" t="str">
        <f>MID(excPisCofins[[#This Row],[CodBarras2]],2,50)</f>
        <v/>
      </c>
    </row>
    <row r="15459" spans="9:9" x14ac:dyDescent="0.25">
      <c r="I15459" s="227" t="str">
        <f>MID(excPisCofins[[#This Row],[CodBarras2]],2,50)</f>
        <v/>
      </c>
    </row>
    <row r="15460" spans="9:9" x14ac:dyDescent="0.25">
      <c r="I15460" s="227" t="str">
        <f>MID(excPisCofins[[#This Row],[CodBarras2]],2,50)</f>
        <v/>
      </c>
    </row>
    <row r="15461" spans="9:9" x14ac:dyDescent="0.25">
      <c r="I15461" s="227" t="str">
        <f>MID(excPisCofins[[#This Row],[CodBarras2]],2,50)</f>
        <v/>
      </c>
    </row>
    <row r="15462" spans="9:9" x14ac:dyDescent="0.25">
      <c r="I15462" s="227" t="str">
        <f>MID(excPisCofins[[#This Row],[CodBarras2]],2,50)</f>
        <v/>
      </c>
    </row>
    <row r="15463" spans="9:9" x14ac:dyDescent="0.25">
      <c r="I15463" s="227" t="str">
        <f>MID(excPisCofins[[#This Row],[CodBarras2]],2,50)</f>
        <v/>
      </c>
    </row>
    <row r="15464" spans="9:9" x14ac:dyDescent="0.25">
      <c r="I15464" s="227" t="str">
        <f>MID(excPisCofins[[#This Row],[CodBarras2]],2,50)</f>
        <v/>
      </c>
    </row>
    <row r="15465" spans="9:9" x14ac:dyDescent="0.25">
      <c r="I15465" s="227" t="str">
        <f>MID(excPisCofins[[#This Row],[CodBarras2]],2,50)</f>
        <v/>
      </c>
    </row>
    <row r="15466" spans="9:9" x14ac:dyDescent="0.25">
      <c r="I15466" s="227" t="str">
        <f>MID(excPisCofins[[#This Row],[CodBarras2]],2,50)</f>
        <v/>
      </c>
    </row>
    <row r="15467" spans="9:9" x14ac:dyDescent="0.25">
      <c r="I15467" s="227" t="str">
        <f>MID(excPisCofins[[#This Row],[CodBarras2]],2,50)</f>
        <v/>
      </c>
    </row>
    <row r="15468" spans="9:9" x14ac:dyDescent="0.25">
      <c r="I15468" s="227" t="str">
        <f>MID(excPisCofins[[#This Row],[CodBarras2]],2,50)</f>
        <v/>
      </c>
    </row>
    <row r="15469" spans="9:9" x14ac:dyDescent="0.25">
      <c r="I15469" s="227" t="str">
        <f>MID(excPisCofins[[#This Row],[CodBarras2]],2,50)</f>
        <v/>
      </c>
    </row>
    <row r="15470" spans="9:9" x14ac:dyDescent="0.25">
      <c r="I15470" s="227" t="str">
        <f>MID(excPisCofins[[#This Row],[CodBarras2]],2,50)</f>
        <v/>
      </c>
    </row>
    <row r="15471" spans="9:9" x14ac:dyDescent="0.25">
      <c r="I15471" s="227" t="str">
        <f>MID(excPisCofins[[#This Row],[CodBarras2]],2,50)</f>
        <v/>
      </c>
    </row>
    <row r="15472" spans="9:9" x14ac:dyDescent="0.25">
      <c r="I15472" s="227" t="str">
        <f>MID(excPisCofins[[#This Row],[CodBarras2]],2,50)</f>
        <v/>
      </c>
    </row>
    <row r="15473" spans="9:9" x14ac:dyDescent="0.25">
      <c r="I15473" s="227" t="str">
        <f>MID(excPisCofins[[#This Row],[CodBarras2]],2,50)</f>
        <v/>
      </c>
    </row>
    <row r="15474" spans="9:9" x14ac:dyDescent="0.25">
      <c r="I15474" s="227" t="str">
        <f>MID(excPisCofins[[#This Row],[CodBarras2]],2,50)</f>
        <v/>
      </c>
    </row>
    <row r="15475" spans="9:9" x14ac:dyDescent="0.25">
      <c r="I15475" s="227" t="str">
        <f>MID(excPisCofins[[#This Row],[CodBarras2]],2,50)</f>
        <v/>
      </c>
    </row>
    <row r="15476" spans="9:9" x14ac:dyDescent="0.25">
      <c r="I15476" s="227" t="str">
        <f>MID(excPisCofins[[#This Row],[CodBarras2]],2,50)</f>
        <v/>
      </c>
    </row>
    <row r="15477" spans="9:9" x14ac:dyDescent="0.25">
      <c r="I15477" s="227" t="str">
        <f>MID(excPisCofins[[#This Row],[CodBarras2]],2,50)</f>
        <v/>
      </c>
    </row>
    <row r="15478" spans="9:9" x14ac:dyDescent="0.25">
      <c r="I15478" s="227" t="str">
        <f>MID(excPisCofins[[#This Row],[CodBarras2]],2,50)</f>
        <v/>
      </c>
    </row>
    <row r="15479" spans="9:9" x14ac:dyDescent="0.25">
      <c r="I15479" s="227" t="str">
        <f>MID(excPisCofins[[#This Row],[CodBarras2]],2,50)</f>
        <v/>
      </c>
    </row>
    <row r="15480" spans="9:9" x14ac:dyDescent="0.25">
      <c r="I15480" s="227" t="str">
        <f>MID(excPisCofins[[#This Row],[CodBarras2]],2,50)</f>
        <v/>
      </c>
    </row>
    <row r="15481" spans="9:9" x14ac:dyDescent="0.25">
      <c r="I15481" s="227" t="str">
        <f>MID(excPisCofins[[#This Row],[CodBarras2]],2,50)</f>
        <v/>
      </c>
    </row>
    <row r="15482" spans="9:9" x14ac:dyDescent="0.25">
      <c r="I15482" s="227" t="str">
        <f>MID(excPisCofins[[#This Row],[CodBarras2]],2,50)</f>
        <v/>
      </c>
    </row>
    <row r="15483" spans="9:9" x14ac:dyDescent="0.25">
      <c r="I15483" s="227" t="str">
        <f>MID(excPisCofins[[#This Row],[CodBarras2]],2,50)</f>
        <v/>
      </c>
    </row>
    <row r="15484" spans="9:9" x14ac:dyDescent="0.25">
      <c r="I15484" s="227" t="str">
        <f>MID(excPisCofins[[#This Row],[CodBarras2]],2,50)</f>
        <v/>
      </c>
    </row>
    <row r="15485" spans="9:9" x14ac:dyDescent="0.25">
      <c r="I15485" s="227" t="str">
        <f>MID(excPisCofins[[#This Row],[CodBarras2]],2,50)</f>
        <v/>
      </c>
    </row>
    <row r="15486" spans="9:9" x14ac:dyDescent="0.25">
      <c r="I15486" s="227" t="str">
        <f>MID(excPisCofins[[#This Row],[CodBarras2]],2,50)</f>
        <v/>
      </c>
    </row>
    <row r="15487" spans="9:9" x14ac:dyDescent="0.25">
      <c r="I15487" s="227" t="str">
        <f>MID(excPisCofins[[#This Row],[CodBarras2]],2,50)</f>
        <v/>
      </c>
    </row>
    <row r="15488" spans="9:9" x14ac:dyDescent="0.25">
      <c r="I15488" s="227" t="str">
        <f>MID(excPisCofins[[#This Row],[CodBarras2]],2,50)</f>
        <v/>
      </c>
    </row>
    <row r="15489" spans="9:9" x14ac:dyDescent="0.25">
      <c r="I15489" s="227" t="str">
        <f>MID(excPisCofins[[#This Row],[CodBarras2]],2,50)</f>
        <v/>
      </c>
    </row>
    <row r="15490" spans="9:9" x14ac:dyDescent="0.25">
      <c r="I15490" s="227" t="str">
        <f>MID(excPisCofins[[#This Row],[CodBarras2]],2,50)</f>
        <v/>
      </c>
    </row>
    <row r="15491" spans="9:9" x14ac:dyDescent="0.25">
      <c r="I15491" s="227" t="str">
        <f>MID(excPisCofins[[#This Row],[CodBarras2]],2,50)</f>
        <v/>
      </c>
    </row>
    <row r="15492" spans="9:9" x14ac:dyDescent="0.25">
      <c r="I15492" s="227" t="str">
        <f>MID(excPisCofins[[#This Row],[CodBarras2]],2,50)</f>
        <v/>
      </c>
    </row>
    <row r="15493" spans="9:9" x14ac:dyDescent="0.25">
      <c r="I15493" s="227" t="str">
        <f>MID(excPisCofins[[#This Row],[CodBarras2]],2,50)</f>
        <v/>
      </c>
    </row>
    <row r="15494" spans="9:9" x14ac:dyDescent="0.25">
      <c r="I15494" s="227" t="str">
        <f>MID(excPisCofins[[#This Row],[CodBarras2]],2,50)</f>
        <v/>
      </c>
    </row>
    <row r="15495" spans="9:9" x14ac:dyDescent="0.25">
      <c r="I15495" s="227" t="str">
        <f>MID(excPisCofins[[#This Row],[CodBarras2]],2,50)</f>
        <v/>
      </c>
    </row>
    <row r="15496" spans="9:9" x14ac:dyDescent="0.25">
      <c r="I15496" s="227" t="str">
        <f>MID(excPisCofins[[#This Row],[CodBarras2]],2,50)</f>
        <v/>
      </c>
    </row>
    <row r="15497" spans="9:9" x14ac:dyDescent="0.25">
      <c r="I15497" s="227" t="str">
        <f>MID(excPisCofins[[#This Row],[CodBarras2]],2,50)</f>
        <v/>
      </c>
    </row>
    <row r="15498" spans="9:9" x14ac:dyDescent="0.25">
      <c r="I15498" s="227" t="str">
        <f>MID(excPisCofins[[#This Row],[CodBarras2]],2,50)</f>
        <v/>
      </c>
    </row>
    <row r="15499" spans="9:9" x14ac:dyDescent="0.25">
      <c r="I15499" s="227" t="str">
        <f>MID(excPisCofins[[#This Row],[CodBarras2]],2,50)</f>
        <v/>
      </c>
    </row>
    <row r="15500" spans="9:9" x14ac:dyDescent="0.25">
      <c r="I15500" s="227" t="str">
        <f>MID(excPisCofins[[#This Row],[CodBarras2]],2,50)</f>
        <v/>
      </c>
    </row>
    <row r="15501" spans="9:9" x14ac:dyDescent="0.25">
      <c r="I15501" s="227" t="str">
        <f>MID(excPisCofins[[#This Row],[CodBarras2]],2,50)</f>
        <v/>
      </c>
    </row>
    <row r="15502" spans="9:9" x14ac:dyDescent="0.25">
      <c r="I15502" s="227" t="str">
        <f>MID(excPisCofins[[#This Row],[CodBarras2]],2,50)</f>
        <v/>
      </c>
    </row>
    <row r="15503" spans="9:9" x14ac:dyDescent="0.25">
      <c r="I15503" s="227" t="str">
        <f>MID(excPisCofins[[#This Row],[CodBarras2]],2,50)</f>
        <v/>
      </c>
    </row>
    <row r="15504" spans="9:9" x14ac:dyDescent="0.25">
      <c r="I15504" s="227" t="str">
        <f>MID(excPisCofins[[#This Row],[CodBarras2]],2,50)</f>
        <v/>
      </c>
    </row>
    <row r="15505" spans="9:9" x14ac:dyDescent="0.25">
      <c r="I15505" s="227" t="str">
        <f>MID(excPisCofins[[#This Row],[CodBarras2]],2,50)</f>
        <v/>
      </c>
    </row>
    <row r="15506" spans="9:9" x14ac:dyDescent="0.25">
      <c r="I15506" s="227" t="str">
        <f>MID(excPisCofins[[#This Row],[CodBarras2]],2,50)</f>
        <v/>
      </c>
    </row>
    <row r="15507" spans="9:9" x14ac:dyDescent="0.25">
      <c r="I15507" s="227" t="str">
        <f>MID(excPisCofins[[#This Row],[CodBarras2]],2,50)</f>
        <v/>
      </c>
    </row>
    <row r="15508" spans="9:9" x14ac:dyDescent="0.25">
      <c r="I15508" s="227" t="str">
        <f>MID(excPisCofins[[#This Row],[CodBarras2]],2,50)</f>
        <v/>
      </c>
    </row>
    <row r="15509" spans="9:9" x14ac:dyDescent="0.25">
      <c r="I15509" s="227" t="str">
        <f>MID(excPisCofins[[#This Row],[CodBarras2]],2,50)</f>
        <v/>
      </c>
    </row>
    <row r="15510" spans="9:9" x14ac:dyDescent="0.25">
      <c r="I15510" s="227" t="str">
        <f>MID(excPisCofins[[#This Row],[CodBarras2]],2,50)</f>
        <v/>
      </c>
    </row>
    <row r="15511" spans="9:9" x14ac:dyDescent="0.25">
      <c r="I15511" s="227" t="str">
        <f>MID(excPisCofins[[#This Row],[CodBarras2]],2,50)</f>
        <v/>
      </c>
    </row>
    <row r="15512" spans="9:9" x14ac:dyDescent="0.25">
      <c r="I15512" s="227" t="str">
        <f>MID(excPisCofins[[#This Row],[CodBarras2]],2,50)</f>
        <v/>
      </c>
    </row>
    <row r="15513" spans="9:9" x14ac:dyDescent="0.25">
      <c r="I15513" s="227" t="str">
        <f>MID(excPisCofins[[#This Row],[CodBarras2]],2,50)</f>
        <v/>
      </c>
    </row>
    <row r="15514" spans="9:9" x14ac:dyDescent="0.25">
      <c r="I15514" s="227" t="str">
        <f>MID(excPisCofins[[#This Row],[CodBarras2]],2,50)</f>
        <v/>
      </c>
    </row>
    <row r="15515" spans="9:9" x14ac:dyDescent="0.25">
      <c r="I15515" s="227" t="str">
        <f>MID(excPisCofins[[#This Row],[CodBarras2]],2,50)</f>
        <v/>
      </c>
    </row>
    <row r="15516" spans="9:9" x14ac:dyDescent="0.25">
      <c r="I15516" s="227" t="str">
        <f>MID(excPisCofins[[#This Row],[CodBarras2]],2,50)</f>
        <v/>
      </c>
    </row>
    <row r="15517" spans="9:9" x14ac:dyDescent="0.25">
      <c r="I15517" s="227" t="str">
        <f>MID(excPisCofins[[#This Row],[CodBarras2]],2,50)</f>
        <v/>
      </c>
    </row>
    <row r="15518" spans="9:9" x14ac:dyDescent="0.25">
      <c r="I15518" s="227" t="str">
        <f>MID(excPisCofins[[#This Row],[CodBarras2]],2,50)</f>
        <v/>
      </c>
    </row>
    <row r="15519" spans="9:9" x14ac:dyDescent="0.25">
      <c r="I15519" s="227" t="str">
        <f>MID(excPisCofins[[#This Row],[CodBarras2]],2,50)</f>
        <v/>
      </c>
    </row>
    <row r="15520" spans="9:9" x14ac:dyDescent="0.25">
      <c r="I15520" s="227" t="str">
        <f>MID(excPisCofins[[#This Row],[CodBarras2]],2,50)</f>
        <v/>
      </c>
    </row>
    <row r="15521" spans="9:9" x14ac:dyDescent="0.25">
      <c r="I15521" s="227" t="str">
        <f>MID(excPisCofins[[#This Row],[CodBarras2]],2,50)</f>
        <v/>
      </c>
    </row>
    <row r="15522" spans="9:9" x14ac:dyDescent="0.25">
      <c r="I15522" s="227" t="str">
        <f>MID(excPisCofins[[#This Row],[CodBarras2]],2,50)</f>
        <v/>
      </c>
    </row>
    <row r="15523" spans="9:9" x14ac:dyDescent="0.25">
      <c r="I15523" s="227" t="str">
        <f>MID(excPisCofins[[#This Row],[CodBarras2]],2,50)</f>
        <v/>
      </c>
    </row>
    <row r="15524" spans="9:9" x14ac:dyDescent="0.25">
      <c r="I15524" s="227" t="str">
        <f>MID(excPisCofins[[#This Row],[CodBarras2]],2,50)</f>
        <v/>
      </c>
    </row>
    <row r="15525" spans="9:9" x14ac:dyDescent="0.25">
      <c r="I15525" s="227" t="str">
        <f>MID(excPisCofins[[#This Row],[CodBarras2]],2,50)</f>
        <v/>
      </c>
    </row>
    <row r="15526" spans="9:9" x14ac:dyDescent="0.25">
      <c r="I15526" s="227" t="str">
        <f>MID(excPisCofins[[#This Row],[CodBarras2]],2,50)</f>
        <v/>
      </c>
    </row>
    <row r="15527" spans="9:9" x14ac:dyDescent="0.25">
      <c r="I15527" s="227" t="str">
        <f>MID(excPisCofins[[#This Row],[CodBarras2]],2,50)</f>
        <v/>
      </c>
    </row>
    <row r="15528" spans="9:9" x14ac:dyDescent="0.25">
      <c r="I15528" s="227" t="str">
        <f>MID(excPisCofins[[#This Row],[CodBarras2]],2,50)</f>
        <v/>
      </c>
    </row>
    <row r="15529" spans="9:9" x14ac:dyDescent="0.25">
      <c r="I15529" s="227" t="str">
        <f>MID(excPisCofins[[#This Row],[CodBarras2]],2,50)</f>
        <v/>
      </c>
    </row>
    <row r="15530" spans="9:9" x14ac:dyDescent="0.25">
      <c r="I15530" s="227" t="str">
        <f>MID(excPisCofins[[#This Row],[CodBarras2]],2,50)</f>
        <v/>
      </c>
    </row>
    <row r="15531" spans="9:9" x14ac:dyDescent="0.25">
      <c r="I15531" s="227" t="str">
        <f>MID(excPisCofins[[#This Row],[CodBarras2]],2,50)</f>
        <v/>
      </c>
    </row>
    <row r="15532" spans="9:9" x14ac:dyDescent="0.25">
      <c r="I15532" s="227" t="str">
        <f>MID(excPisCofins[[#This Row],[CodBarras2]],2,50)</f>
        <v/>
      </c>
    </row>
    <row r="15533" spans="9:9" x14ac:dyDescent="0.25">
      <c r="I15533" s="227" t="str">
        <f>MID(excPisCofins[[#This Row],[CodBarras2]],2,50)</f>
        <v/>
      </c>
    </row>
    <row r="15534" spans="9:9" x14ac:dyDescent="0.25">
      <c r="I15534" s="227" t="str">
        <f>MID(excPisCofins[[#This Row],[CodBarras2]],2,50)</f>
        <v/>
      </c>
    </row>
    <row r="15535" spans="9:9" x14ac:dyDescent="0.25">
      <c r="I15535" s="227" t="str">
        <f>MID(excPisCofins[[#This Row],[CodBarras2]],2,50)</f>
        <v/>
      </c>
    </row>
    <row r="15536" spans="9:9" x14ac:dyDescent="0.25">
      <c r="I15536" s="227" t="str">
        <f>MID(excPisCofins[[#This Row],[CodBarras2]],2,50)</f>
        <v/>
      </c>
    </row>
    <row r="15537" spans="9:9" x14ac:dyDescent="0.25">
      <c r="I15537" s="227" t="str">
        <f>MID(excPisCofins[[#This Row],[CodBarras2]],2,50)</f>
        <v/>
      </c>
    </row>
    <row r="15538" spans="9:9" x14ac:dyDescent="0.25">
      <c r="I15538" s="227" t="str">
        <f>MID(excPisCofins[[#This Row],[CodBarras2]],2,50)</f>
        <v/>
      </c>
    </row>
    <row r="15539" spans="9:9" x14ac:dyDescent="0.25">
      <c r="I15539" s="227" t="str">
        <f>MID(excPisCofins[[#This Row],[CodBarras2]],2,50)</f>
        <v/>
      </c>
    </row>
    <row r="15540" spans="9:9" x14ac:dyDescent="0.25">
      <c r="I15540" s="227" t="str">
        <f>MID(excPisCofins[[#This Row],[CodBarras2]],2,50)</f>
        <v/>
      </c>
    </row>
    <row r="15541" spans="9:9" x14ac:dyDescent="0.25">
      <c r="I15541" s="227" t="str">
        <f>MID(excPisCofins[[#This Row],[CodBarras2]],2,50)</f>
        <v/>
      </c>
    </row>
    <row r="15542" spans="9:9" x14ac:dyDescent="0.25">
      <c r="I15542" s="227" t="str">
        <f>MID(excPisCofins[[#This Row],[CodBarras2]],2,50)</f>
        <v/>
      </c>
    </row>
    <row r="15543" spans="9:9" x14ac:dyDescent="0.25">
      <c r="I15543" s="227" t="str">
        <f>MID(excPisCofins[[#This Row],[CodBarras2]],2,50)</f>
        <v/>
      </c>
    </row>
    <row r="15544" spans="9:9" x14ac:dyDescent="0.25">
      <c r="I15544" s="227" t="str">
        <f>MID(excPisCofins[[#This Row],[CodBarras2]],2,50)</f>
        <v/>
      </c>
    </row>
    <row r="15545" spans="9:9" x14ac:dyDescent="0.25">
      <c r="I15545" s="227" t="str">
        <f>MID(excPisCofins[[#This Row],[CodBarras2]],2,50)</f>
        <v/>
      </c>
    </row>
    <row r="15546" spans="9:9" x14ac:dyDescent="0.25">
      <c r="I15546" s="227" t="str">
        <f>MID(excPisCofins[[#This Row],[CodBarras2]],2,50)</f>
        <v/>
      </c>
    </row>
    <row r="15547" spans="9:9" x14ac:dyDescent="0.25">
      <c r="I15547" s="227" t="str">
        <f>MID(excPisCofins[[#This Row],[CodBarras2]],2,50)</f>
        <v/>
      </c>
    </row>
    <row r="15548" spans="9:9" x14ac:dyDescent="0.25">
      <c r="I15548" s="227" t="str">
        <f>MID(excPisCofins[[#This Row],[CodBarras2]],2,50)</f>
        <v/>
      </c>
    </row>
    <row r="15549" spans="9:9" x14ac:dyDescent="0.25">
      <c r="I15549" s="227" t="str">
        <f>MID(excPisCofins[[#This Row],[CodBarras2]],2,50)</f>
        <v/>
      </c>
    </row>
    <row r="15550" spans="9:9" x14ac:dyDescent="0.25">
      <c r="I15550" s="227" t="str">
        <f>MID(excPisCofins[[#This Row],[CodBarras2]],2,50)</f>
        <v/>
      </c>
    </row>
    <row r="15551" spans="9:9" x14ac:dyDescent="0.25">
      <c r="I15551" s="227" t="str">
        <f>MID(excPisCofins[[#This Row],[CodBarras2]],2,50)</f>
        <v/>
      </c>
    </row>
    <row r="15552" spans="9:9" x14ac:dyDescent="0.25">
      <c r="I15552" s="227" t="str">
        <f>MID(excPisCofins[[#This Row],[CodBarras2]],2,50)</f>
        <v/>
      </c>
    </row>
    <row r="15553" spans="9:9" x14ac:dyDescent="0.25">
      <c r="I15553" s="227" t="str">
        <f>MID(excPisCofins[[#This Row],[CodBarras2]],2,50)</f>
        <v/>
      </c>
    </row>
    <row r="15554" spans="9:9" x14ac:dyDescent="0.25">
      <c r="I15554" s="227" t="str">
        <f>MID(excPisCofins[[#This Row],[CodBarras2]],2,50)</f>
        <v/>
      </c>
    </row>
    <row r="15555" spans="9:9" x14ac:dyDescent="0.25">
      <c r="I15555" s="227" t="str">
        <f>MID(excPisCofins[[#This Row],[CodBarras2]],2,50)</f>
        <v/>
      </c>
    </row>
    <row r="15556" spans="9:9" x14ac:dyDescent="0.25">
      <c r="I15556" s="227" t="str">
        <f>MID(excPisCofins[[#This Row],[CodBarras2]],2,50)</f>
        <v/>
      </c>
    </row>
    <row r="15557" spans="9:9" x14ac:dyDescent="0.25">
      <c r="I15557" s="227" t="str">
        <f>MID(excPisCofins[[#This Row],[CodBarras2]],2,50)</f>
        <v/>
      </c>
    </row>
    <row r="15558" spans="9:9" x14ac:dyDescent="0.25">
      <c r="I15558" s="227" t="str">
        <f>MID(excPisCofins[[#This Row],[CodBarras2]],2,50)</f>
        <v/>
      </c>
    </row>
    <row r="15559" spans="9:9" x14ac:dyDescent="0.25">
      <c r="I15559" s="227" t="str">
        <f>MID(excPisCofins[[#This Row],[CodBarras2]],2,50)</f>
        <v/>
      </c>
    </row>
    <row r="15560" spans="9:9" x14ac:dyDescent="0.25">
      <c r="I15560" s="227" t="str">
        <f>MID(excPisCofins[[#This Row],[CodBarras2]],2,50)</f>
        <v/>
      </c>
    </row>
    <row r="15561" spans="9:9" x14ac:dyDescent="0.25">
      <c r="I15561" s="227" t="str">
        <f>MID(excPisCofins[[#This Row],[CodBarras2]],2,50)</f>
        <v/>
      </c>
    </row>
    <row r="15562" spans="9:9" x14ac:dyDescent="0.25">
      <c r="I15562" s="227" t="str">
        <f>MID(excPisCofins[[#This Row],[CodBarras2]],2,50)</f>
        <v/>
      </c>
    </row>
    <row r="15563" spans="9:9" x14ac:dyDescent="0.25">
      <c r="I15563" s="227" t="str">
        <f>MID(excPisCofins[[#This Row],[CodBarras2]],2,50)</f>
        <v/>
      </c>
    </row>
    <row r="15564" spans="9:9" x14ac:dyDescent="0.25">
      <c r="I15564" s="227" t="str">
        <f>MID(excPisCofins[[#This Row],[CodBarras2]],2,50)</f>
        <v/>
      </c>
    </row>
    <row r="15565" spans="9:9" x14ac:dyDescent="0.25">
      <c r="I15565" s="227" t="str">
        <f>MID(excPisCofins[[#This Row],[CodBarras2]],2,50)</f>
        <v/>
      </c>
    </row>
    <row r="15566" spans="9:9" x14ac:dyDescent="0.25">
      <c r="I15566" s="227" t="str">
        <f>MID(excPisCofins[[#This Row],[CodBarras2]],2,50)</f>
        <v/>
      </c>
    </row>
    <row r="15567" spans="9:9" x14ac:dyDescent="0.25">
      <c r="I15567" s="227" t="str">
        <f>MID(excPisCofins[[#This Row],[CodBarras2]],2,50)</f>
        <v/>
      </c>
    </row>
    <row r="15568" spans="9:9" x14ac:dyDescent="0.25">
      <c r="I15568" s="227" t="str">
        <f>MID(excPisCofins[[#This Row],[CodBarras2]],2,50)</f>
        <v/>
      </c>
    </row>
    <row r="15569" spans="9:9" x14ac:dyDescent="0.25">
      <c r="I15569" s="227" t="str">
        <f>MID(excPisCofins[[#This Row],[CodBarras2]],2,50)</f>
        <v/>
      </c>
    </row>
    <row r="15570" spans="9:9" x14ac:dyDescent="0.25">
      <c r="I15570" s="227" t="str">
        <f>MID(excPisCofins[[#This Row],[CodBarras2]],2,50)</f>
        <v/>
      </c>
    </row>
    <row r="15571" spans="9:9" x14ac:dyDescent="0.25">
      <c r="I15571" s="227" t="str">
        <f>MID(excPisCofins[[#This Row],[CodBarras2]],2,50)</f>
        <v/>
      </c>
    </row>
    <row r="15572" spans="9:9" x14ac:dyDescent="0.25">
      <c r="I15572" s="227" t="str">
        <f>MID(excPisCofins[[#This Row],[CodBarras2]],2,50)</f>
        <v/>
      </c>
    </row>
    <row r="15573" spans="9:9" x14ac:dyDescent="0.25">
      <c r="I15573" s="227" t="str">
        <f>MID(excPisCofins[[#This Row],[CodBarras2]],2,50)</f>
        <v/>
      </c>
    </row>
    <row r="15574" spans="9:9" x14ac:dyDescent="0.25">
      <c r="I15574" s="227" t="str">
        <f>MID(excPisCofins[[#This Row],[CodBarras2]],2,50)</f>
        <v/>
      </c>
    </row>
    <row r="15575" spans="9:9" x14ac:dyDescent="0.25">
      <c r="I15575" s="227" t="str">
        <f>MID(excPisCofins[[#This Row],[CodBarras2]],2,50)</f>
        <v/>
      </c>
    </row>
    <row r="15576" spans="9:9" x14ac:dyDescent="0.25">
      <c r="I15576" s="227" t="str">
        <f>MID(excPisCofins[[#This Row],[CodBarras2]],2,50)</f>
        <v/>
      </c>
    </row>
    <row r="15577" spans="9:9" x14ac:dyDescent="0.25">
      <c r="I15577" s="227" t="str">
        <f>MID(excPisCofins[[#This Row],[CodBarras2]],2,50)</f>
        <v/>
      </c>
    </row>
    <row r="15578" spans="9:9" x14ac:dyDescent="0.25">
      <c r="I15578" s="227" t="str">
        <f>MID(excPisCofins[[#This Row],[CodBarras2]],2,50)</f>
        <v/>
      </c>
    </row>
    <row r="15579" spans="9:9" x14ac:dyDescent="0.25">
      <c r="I15579" s="227" t="str">
        <f>MID(excPisCofins[[#This Row],[CodBarras2]],2,50)</f>
        <v/>
      </c>
    </row>
    <row r="15580" spans="9:9" x14ac:dyDescent="0.25">
      <c r="I15580" s="227" t="str">
        <f>MID(excPisCofins[[#This Row],[CodBarras2]],2,50)</f>
        <v/>
      </c>
    </row>
    <row r="15581" spans="9:9" x14ac:dyDescent="0.25">
      <c r="I15581" s="227" t="str">
        <f>MID(excPisCofins[[#This Row],[CodBarras2]],2,50)</f>
        <v/>
      </c>
    </row>
    <row r="15582" spans="9:9" x14ac:dyDescent="0.25">
      <c r="I15582" s="227" t="str">
        <f>MID(excPisCofins[[#This Row],[CodBarras2]],2,50)</f>
        <v/>
      </c>
    </row>
    <row r="15583" spans="9:9" x14ac:dyDescent="0.25">
      <c r="I15583" s="227" t="str">
        <f>MID(excPisCofins[[#This Row],[CodBarras2]],2,50)</f>
        <v/>
      </c>
    </row>
    <row r="15584" spans="9:9" x14ac:dyDescent="0.25">
      <c r="I15584" s="227" t="str">
        <f>MID(excPisCofins[[#This Row],[CodBarras2]],2,50)</f>
        <v/>
      </c>
    </row>
    <row r="15585" spans="9:9" x14ac:dyDescent="0.25">
      <c r="I15585" s="227" t="str">
        <f>MID(excPisCofins[[#This Row],[CodBarras2]],2,50)</f>
        <v/>
      </c>
    </row>
    <row r="15586" spans="9:9" x14ac:dyDescent="0.25">
      <c r="I15586" s="227" t="str">
        <f>MID(excPisCofins[[#This Row],[CodBarras2]],2,50)</f>
        <v/>
      </c>
    </row>
    <row r="15587" spans="9:9" x14ac:dyDescent="0.25">
      <c r="I15587" s="227" t="str">
        <f>MID(excPisCofins[[#This Row],[CodBarras2]],2,50)</f>
        <v/>
      </c>
    </row>
    <row r="15588" spans="9:9" x14ac:dyDescent="0.25">
      <c r="I15588" s="227" t="str">
        <f>MID(excPisCofins[[#This Row],[CodBarras2]],2,50)</f>
        <v/>
      </c>
    </row>
    <row r="15589" spans="9:9" x14ac:dyDescent="0.25">
      <c r="I15589" s="227" t="str">
        <f>MID(excPisCofins[[#This Row],[CodBarras2]],2,50)</f>
        <v/>
      </c>
    </row>
    <row r="15590" spans="9:9" x14ac:dyDescent="0.25">
      <c r="I15590" s="227" t="str">
        <f>MID(excPisCofins[[#This Row],[CodBarras2]],2,50)</f>
        <v/>
      </c>
    </row>
    <row r="15591" spans="9:9" x14ac:dyDescent="0.25">
      <c r="I15591" s="227" t="str">
        <f>MID(excPisCofins[[#This Row],[CodBarras2]],2,50)</f>
        <v/>
      </c>
    </row>
    <row r="15592" spans="9:9" x14ac:dyDescent="0.25">
      <c r="I15592" s="227" t="str">
        <f>MID(excPisCofins[[#This Row],[CodBarras2]],2,50)</f>
        <v/>
      </c>
    </row>
    <row r="15593" spans="9:9" x14ac:dyDescent="0.25">
      <c r="I15593" s="227" t="str">
        <f>MID(excPisCofins[[#This Row],[CodBarras2]],2,50)</f>
        <v/>
      </c>
    </row>
    <row r="15594" spans="9:9" x14ac:dyDescent="0.25">
      <c r="I15594" s="227" t="str">
        <f>MID(excPisCofins[[#This Row],[CodBarras2]],2,50)</f>
        <v/>
      </c>
    </row>
    <row r="15595" spans="9:9" x14ac:dyDescent="0.25">
      <c r="I15595" s="227" t="str">
        <f>MID(excPisCofins[[#This Row],[CodBarras2]],2,50)</f>
        <v/>
      </c>
    </row>
    <row r="15596" spans="9:9" x14ac:dyDescent="0.25">
      <c r="I15596" s="227" t="str">
        <f>MID(excPisCofins[[#This Row],[CodBarras2]],2,50)</f>
        <v/>
      </c>
    </row>
    <row r="15597" spans="9:9" x14ac:dyDescent="0.25">
      <c r="I15597" s="227" t="str">
        <f>MID(excPisCofins[[#This Row],[CodBarras2]],2,50)</f>
        <v/>
      </c>
    </row>
    <row r="15598" spans="9:9" x14ac:dyDescent="0.25">
      <c r="I15598" s="227" t="str">
        <f>MID(excPisCofins[[#This Row],[CodBarras2]],2,50)</f>
        <v/>
      </c>
    </row>
    <row r="15599" spans="9:9" x14ac:dyDescent="0.25">
      <c r="I15599" s="227" t="str">
        <f>MID(excPisCofins[[#This Row],[CodBarras2]],2,50)</f>
        <v/>
      </c>
    </row>
    <row r="15600" spans="9:9" x14ac:dyDescent="0.25">
      <c r="I15600" s="227" t="str">
        <f>MID(excPisCofins[[#This Row],[CodBarras2]],2,50)</f>
        <v/>
      </c>
    </row>
    <row r="15601" spans="9:9" x14ac:dyDescent="0.25">
      <c r="I15601" s="227" t="str">
        <f>MID(excPisCofins[[#This Row],[CodBarras2]],2,50)</f>
        <v/>
      </c>
    </row>
    <row r="15602" spans="9:9" x14ac:dyDescent="0.25">
      <c r="I15602" s="227" t="str">
        <f>MID(excPisCofins[[#This Row],[CodBarras2]],2,50)</f>
        <v/>
      </c>
    </row>
    <row r="15603" spans="9:9" x14ac:dyDescent="0.25">
      <c r="I15603" s="227" t="str">
        <f>MID(excPisCofins[[#This Row],[CodBarras2]],2,50)</f>
        <v/>
      </c>
    </row>
    <row r="15604" spans="9:9" x14ac:dyDescent="0.25">
      <c r="I15604" s="227" t="str">
        <f>MID(excPisCofins[[#This Row],[CodBarras2]],2,50)</f>
        <v/>
      </c>
    </row>
    <row r="15605" spans="9:9" x14ac:dyDescent="0.25">
      <c r="I15605" s="227" t="str">
        <f>MID(excPisCofins[[#This Row],[CodBarras2]],2,50)</f>
        <v/>
      </c>
    </row>
    <row r="15606" spans="9:9" x14ac:dyDescent="0.25">
      <c r="I15606" s="227" t="str">
        <f>MID(excPisCofins[[#This Row],[CodBarras2]],2,50)</f>
        <v/>
      </c>
    </row>
    <row r="15607" spans="9:9" x14ac:dyDescent="0.25">
      <c r="I15607" s="227" t="str">
        <f>MID(excPisCofins[[#This Row],[CodBarras2]],2,50)</f>
        <v/>
      </c>
    </row>
    <row r="15608" spans="9:9" x14ac:dyDescent="0.25">
      <c r="I15608" s="227" t="str">
        <f>MID(excPisCofins[[#This Row],[CodBarras2]],2,50)</f>
        <v/>
      </c>
    </row>
    <row r="15609" spans="9:9" x14ac:dyDescent="0.25">
      <c r="I15609" s="227" t="str">
        <f>MID(excPisCofins[[#This Row],[CodBarras2]],2,50)</f>
        <v/>
      </c>
    </row>
    <row r="15610" spans="9:9" x14ac:dyDescent="0.25">
      <c r="I15610" s="227" t="str">
        <f>MID(excPisCofins[[#This Row],[CodBarras2]],2,50)</f>
        <v/>
      </c>
    </row>
    <row r="15611" spans="9:9" x14ac:dyDescent="0.25">
      <c r="I15611" s="227" t="str">
        <f>MID(excPisCofins[[#This Row],[CodBarras2]],2,50)</f>
        <v/>
      </c>
    </row>
    <row r="15612" spans="9:9" x14ac:dyDescent="0.25">
      <c r="I15612" s="227" t="str">
        <f>MID(excPisCofins[[#This Row],[CodBarras2]],2,50)</f>
        <v/>
      </c>
    </row>
    <row r="15613" spans="9:9" x14ac:dyDescent="0.25">
      <c r="I15613" s="227" t="str">
        <f>MID(excPisCofins[[#This Row],[CodBarras2]],2,50)</f>
        <v/>
      </c>
    </row>
    <row r="15614" spans="9:9" x14ac:dyDescent="0.25">
      <c r="I15614" s="227" t="str">
        <f>MID(excPisCofins[[#This Row],[CodBarras2]],2,50)</f>
        <v/>
      </c>
    </row>
    <row r="15615" spans="9:9" x14ac:dyDescent="0.25">
      <c r="I15615" s="227" t="str">
        <f>MID(excPisCofins[[#This Row],[CodBarras2]],2,50)</f>
        <v/>
      </c>
    </row>
    <row r="15616" spans="9:9" x14ac:dyDescent="0.25">
      <c r="I15616" s="227" t="str">
        <f>MID(excPisCofins[[#This Row],[CodBarras2]],2,50)</f>
        <v/>
      </c>
    </row>
    <row r="15617" spans="9:9" x14ac:dyDescent="0.25">
      <c r="I15617" s="227" t="str">
        <f>MID(excPisCofins[[#This Row],[CodBarras2]],2,50)</f>
        <v/>
      </c>
    </row>
    <row r="15618" spans="9:9" x14ac:dyDescent="0.25">
      <c r="I15618" s="227" t="str">
        <f>MID(excPisCofins[[#This Row],[CodBarras2]],2,50)</f>
        <v/>
      </c>
    </row>
    <row r="15619" spans="9:9" x14ac:dyDescent="0.25">
      <c r="I15619" s="227" t="str">
        <f>MID(excPisCofins[[#This Row],[CodBarras2]],2,50)</f>
        <v/>
      </c>
    </row>
    <row r="15620" spans="9:9" x14ac:dyDescent="0.25">
      <c r="I15620" s="227" t="str">
        <f>MID(excPisCofins[[#This Row],[CodBarras2]],2,50)</f>
        <v/>
      </c>
    </row>
    <row r="15621" spans="9:9" x14ac:dyDescent="0.25">
      <c r="I15621" s="227" t="str">
        <f>MID(excPisCofins[[#This Row],[CodBarras2]],2,50)</f>
        <v/>
      </c>
    </row>
    <row r="15622" spans="9:9" x14ac:dyDescent="0.25">
      <c r="I15622" s="227" t="str">
        <f>MID(excPisCofins[[#This Row],[CodBarras2]],2,50)</f>
        <v/>
      </c>
    </row>
    <row r="15623" spans="9:9" x14ac:dyDescent="0.25">
      <c r="I15623" s="227" t="str">
        <f>MID(excPisCofins[[#This Row],[CodBarras2]],2,50)</f>
        <v/>
      </c>
    </row>
    <row r="15624" spans="9:9" x14ac:dyDescent="0.25">
      <c r="I15624" s="227" t="str">
        <f>MID(excPisCofins[[#This Row],[CodBarras2]],2,50)</f>
        <v/>
      </c>
    </row>
    <row r="15625" spans="9:9" x14ac:dyDescent="0.25">
      <c r="I15625" s="227" t="str">
        <f>MID(excPisCofins[[#This Row],[CodBarras2]],2,50)</f>
        <v/>
      </c>
    </row>
    <row r="15626" spans="9:9" x14ac:dyDescent="0.25">
      <c r="I15626" s="227" t="str">
        <f>MID(excPisCofins[[#This Row],[CodBarras2]],2,50)</f>
        <v/>
      </c>
    </row>
    <row r="15627" spans="9:9" x14ac:dyDescent="0.25">
      <c r="I15627" s="227" t="str">
        <f>MID(excPisCofins[[#This Row],[CodBarras2]],2,50)</f>
        <v/>
      </c>
    </row>
    <row r="15628" spans="9:9" x14ac:dyDescent="0.25">
      <c r="I15628" s="227" t="str">
        <f>MID(excPisCofins[[#This Row],[CodBarras2]],2,50)</f>
        <v/>
      </c>
    </row>
    <row r="15629" spans="9:9" x14ac:dyDescent="0.25">
      <c r="I15629" s="227" t="str">
        <f>MID(excPisCofins[[#This Row],[CodBarras2]],2,50)</f>
        <v/>
      </c>
    </row>
    <row r="15630" spans="9:9" x14ac:dyDescent="0.25">
      <c r="I15630" s="227" t="str">
        <f>MID(excPisCofins[[#This Row],[CodBarras2]],2,50)</f>
        <v/>
      </c>
    </row>
    <row r="15631" spans="9:9" x14ac:dyDescent="0.25">
      <c r="I15631" s="227" t="str">
        <f>MID(excPisCofins[[#This Row],[CodBarras2]],2,50)</f>
        <v/>
      </c>
    </row>
    <row r="15632" spans="9:9" x14ac:dyDescent="0.25">
      <c r="I15632" s="227" t="str">
        <f>MID(excPisCofins[[#This Row],[CodBarras2]],2,50)</f>
        <v/>
      </c>
    </row>
    <row r="15633" spans="9:9" x14ac:dyDescent="0.25">
      <c r="I15633" s="227" t="str">
        <f>MID(excPisCofins[[#This Row],[CodBarras2]],2,50)</f>
        <v/>
      </c>
    </row>
    <row r="15634" spans="9:9" x14ac:dyDescent="0.25">
      <c r="I15634" s="227" t="str">
        <f>MID(excPisCofins[[#This Row],[CodBarras2]],2,50)</f>
        <v/>
      </c>
    </row>
    <row r="15635" spans="9:9" x14ac:dyDescent="0.25">
      <c r="I15635" s="227" t="str">
        <f>MID(excPisCofins[[#This Row],[CodBarras2]],2,50)</f>
        <v/>
      </c>
    </row>
    <row r="15636" spans="9:9" x14ac:dyDescent="0.25">
      <c r="I15636" s="227" t="str">
        <f>MID(excPisCofins[[#This Row],[CodBarras2]],2,50)</f>
        <v/>
      </c>
    </row>
    <row r="15637" spans="9:9" x14ac:dyDescent="0.25">
      <c r="I15637" s="227" t="str">
        <f>MID(excPisCofins[[#This Row],[CodBarras2]],2,50)</f>
        <v/>
      </c>
    </row>
    <row r="15638" spans="9:9" x14ac:dyDescent="0.25">
      <c r="I15638" s="227" t="str">
        <f>MID(excPisCofins[[#This Row],[CodBarras2]],2,50)</f>
        <v/>
      </c>
    </row>
    <row r="15639" spans="9:9" x14ac:dyDescent="0.25">
      <c r="I15639" s="227" t="str">
        <f>MID(excPisCofins[[#This Row],[CodBarras2]],2,50)</f>
        <v/>
      </c>
    </row>
    <row r="15640" spans="9:9" x14ac:dyDescent="0.25">
      <c r="I15640" s="227" t="str">
        <f>MID(excPisCofins[[#This Row],[CodBarras2]],2,50)</f>
        <v/>
      </c>
    </row>
    <row r="15641" spans="9:9" x14ac:dyDescent="0.25">
      <c r="I15641" s="227" t="str">
        <f>MID(excPisCofins[[#This Row],[CodBarras2]],2,50)</f>
        <v/>
      </c>
    </row>
    <row r="15642" spans="9:9" x14ac:dyDescent="0.25">
      <c r="I15642" s="227" t="str">
        <f>MID(excPisCofins[[#This Row],[CodBarras2]],2,50)</f>
        <v/>
      </c>
    </row>
    <row r="15643" spans="9:9" x14ac:dyDescent="0.25">
      <c r="I15643" s="227" t="str">
        <f>MID(excPisCofins[[#This Row],[CodBarras2]],2,50)</f>
        <v/>
      </c>
    </row>
    <row r="15644" spans="9:9" x14ac:dyDescent="0.25">
      <c r="I15644" s="227" t="str">
        <f>MID(excPisCofins[[#This Row],[CodBarras2]],2,50)</f>
        <v/>
      </c>
    </row>
    <row r="15645" spans="9:9" x14ac:dyDescent="0.25">
      <c r="I15645" s="227" t="str">
        <f>MID(excPisCofins[[#This Row],[CodBarras2]],2,50)</f>
        <v/>
      </c>
    </row>
    <row r="15646" spans="9:9" x14ac:dyDescent="0.25">
      <c r="I15646" s="227" t="str">
        <f>MID(excPisCofins[[#This Row],[CodBarras2]],2,50)</f>
        <v/>
      </c>
    </row>
    <row r="15647" spans="9:9" x14ac:dyDescent="0.25">
      <c r="I15647" s="227" t="str">
        <f>MID(excPisCofins[[#This Row],[CodBarras2]],2,50)</f>
        <v/>
      </c>
    </row>
    <row r="15648" spans="9:9" x14ac:dyDescent="0.25">
      <c r="I15648" s="227" t="str">
        <f>MID(excPisCofins[[#This Row],[CodBarras2]],2,50)</f>
        <v/>
      </c>
    </row>
    <row r="15649" spans="9:9" x14ac:dyDescent="0.25">
      <c r="I15649" s="227" t="str">
        <f>MID(excPisCofins[[#This Row],[CodBarras2]],2,50)</f>
        <v/>
      </c>
    </row>
    <row r="15650" spans="9:9" x14ac:dyDescent="0.25">
      <c r="I15650" s="227" t="str">
        <f>MID(excPisCofins[[#This Row],[CodBarras2]],2,50)</f>
        <v/>
      </c>
    </row>
    <row r="15651" spans="9:9" x14ac:dyDescent="0.25">
      <c r="I15651" s="227" t="str">
        <f>MID(excPisCofins[[#This Row],[CodBarras2]],2,50)</f>
        <v/>
      </c>
    </row>
    <row r="15652" spans="9:9" x14ac:dyDescent="0.25">
      <c r="I15652" s="227" t="str">
        <f>MID(excPisCofins[[#This Row],[CodBarras2]],2,50)</f>
        <v/>
      </c>
    </row>
    <row r="15653" spans="9:9" x14ac:dyDescent="0.25">
      <c r="I15653" s="227" t="str">
        <f>MID(excPisCofins[[#This Row],[CodBarras2]],2,50)</f>
        <v/>
      </c>
    </row>
    <row r="15654" spans="9:9" x14ac:dyDescent="0.25">
      <c r="I15654" s="227" t="str">
        <f>MID(excPisCofins[[#This Row],[CodBarras2]],2,50)</f>
        <v/>
      </c>
    </row>
    <row r="15655" spans="9:9" x14ac:dyDescent="0.25">
      <c r="I15655" s="227" t="str">
        <f>MID(excPisCofins[[#This Row],[CodBarras2]],2,50)</f>
        <v/>
      </c>
    </row>
    <row r="15656" spans="9:9" x14ac:dyDescent="0.25">
      <c r="I15656" s="227" t="str">
        <f>MID(excPisCofins[[#This Row],[CodBarras2]],2,50)</f>
        <v/>
      </c>
    </row>
    <row r="15657" spans="9:9" x14ac:dyDescent="0.25">
      <c r="I15657" s="227" t="str">
        <f>MID(excPisCofins[[#This Row],[CodBarras2]],2,50)</f>
        <v/>
      </c>
    </row>
    <row r="15658" spans="9:9" x14ac:dyDescent="0.25">
      <c r="I15658" s="227" t="str">
        <f>MID(excPisCofins[[#This Row],[CodBarras2]],2,50)</f>
        <v/>
      </c>
    </row>
    <row r="15659" spans="9:9" x14ac:dyDescent="0.25">
      <c r="I15659" s="227" t="str">
        <f>MID(excPisCofins[[#This Row],[CodBarras2]],2,50)</f>
        <v/>
      </c>
    </row>
    <row r="15660" spans="9:9" x14ac:dyDescent="0.25">
      <c r="I15660" s="227" t="str">
        <f>MID(excPisCofins[[#This Row],[CodBarras2]],2,50)</f>
        <v/>
      </c>
    </row>
    <row r="15661" spans="9:9" x14ac:dyDescent="0.25">
      <c r="I15661" s="227" t="str">
        <f>MID(excPisCofins[[#This Row],[CodBarras2]],2,50)</f>
        <v/>
      </c>
    </row>
    <row r="15662" spans="9:9" x14ac:dyDescent="0.25">
      <c r="I15662" s="227" t="str">
        <f>MID(excPisCofins[[#This Row],[CodBarras2]],2,50)</f>
        <v/>
      </c>
    </row>
    <row r="15663" spans="9:9" x14ac:dyDescent="0.25">
      <c r="I15663" s="227" t="str">
        <f>MID(excPisCofins[[#This Row],[CodBarras2]],2,50)</f>
        <v/>
      </c>
    </row>
    <row r="15664" spans="9:9" x14ac:dyDescent="0.25">
      <c r="I15664" s="227" t="str">
        <f>MID(excPisCofins[[#This Row],[CodBarras2]],2,50)</f>
        <v/>
      </c>
    </row>
    <row r="15665" spans="9:9" x14ac:dyDescent="0.25">
      <c r="I15665" s="227" t="str">
        <f>MID(excPisCofins[[#This Row],[CodBarras2]],2,50)</f>
        <v/>
      </c>
    </row>
    <row r="15666" spans="9:9" x14ac:dyDescent="0.25">
      <c r="I15666" s="227" t="str">
        <f>MID(excPisCofins[[#This Row],[CodBarras2]],2,50)</f>
        <v/>
      </c>
    </row>
    <row r="15667" spans="9:9" x14ac:dyDescent="0.25">
      <c r="I15667" s="227" t="str">
        <f>MID(excPisCofins[[#This Row],[CodBarras2]],2,50)</f>
        <v/>
      </c>
    </row>
    <row r="15668" spans="9:9" x14ac:dyDescent="0.25">
      <c r="I15668" s="227" t="str">
        <f>MID(excPisCofins[[#This Row],[CodBarras2]],2,50)</f>
        <v/>
      </c>
    </row>
    <row r="15669" spans="9:9" x14ac:dyDescent="0.25">
      <c r="I15669" s="227" t="str">
        <f>MID(excPisCofins[[#This Row],[CodBarras2]],2,50)</f>
        <v/>
      </c>
    </row>
    <row r="15670" spans="9:9" x14ac:dyDescent="0.25">
      <c r="I15670" s="227" t="str">
        <f>MID(excPisCofins[[#This Row],[CodBarras2]],2,50)</f>
        <v/>
      </c>
    </row>
    <row r="15671" spans="9:9" x14ac:dyDescent="0.25">
      <c r="I15671" s="227" t="str">
        <f>MID(excPisCofins[[#This Row],[CodBarras2]],2,50)</f>
        <v/>
      </c>
    </row>
    <row r="15672" spans="9:9" x14ac:dyDescent="0.25">
      <c r="I15672" s="227" t="str">
        <f>MID(excPisCofins[[#This Row],[CodBarras2]],2,50)</f>
        <v/>
      </c>
    </row>
    <row r="15673" spans="9:9" x14ac:dyDescent="0.25">
      <c r="I15673" s="227" t="str">
        <f>MID(excPisCofins[[#This Row],[CodBarras2]],2,50)</f>
        <v/>
      </c>
    </row>
    <row r="15674" spans="9:9" x14ac:dyDescent="0.25">
      <c r="I15674" s="227" t="str">
        <f>MID(excPisCofins[[#This Row],[CodBarras2]],2,50)</f>
        <v/>
      </c>
    </row>
    <row r="15675" spans="9:9" x14ac:dyDescent="0.25">
      <c r="I15675" s="227" t="str">
        <f>MID(excPisCofins[[#This Row],[CodBarras2]],2,50)</f>
        <v/>
      </c>
    </row>
    <row r="15676" spans="9:9" x14ac:dyDescent="0.25">
      <c r="I15676" s="227" t="str">
        <f>MID(excPisCofins[[#This Row],[CodBarras2]],2,50)</f>
        <v/>
      </c>
    </row>
    <row r="15677" spans="9:9" x14ac:dyDescent="0.25">
      <c r="I15677" s="227" t="str">
        <f>MID(excPisCofins[[#This Row],[CodBarras2]],2,50)</f>
        <v/>
      </c>
    </row>
    <row r="15678" spans="9:9" x14ac:dyDescent="0.25">
      <c r="I15678" s="227" t="str">
        <f>MID(excPisCofins[[#This Row],[CodBarras2]],2,50)</f>
        <v/>
      </c>
    </row>
    <row r="15679" spans="9:9" x14ac:dyDescent="0.25">
      <c r="I15679" s="227" t="str">
        <f>MID(excPisCofins[[#This Row],[CodBarras2]],2,50)</f>
        <v/>
      </c>
    </row>
    <row r="15680" spans="9:9" x14ac:dyDescent="0.25">
      <c r="I15680" s="227" t="str">
        <f>MID(excPisCofins[[#This Row],[CodBarras2]],2,50)</f>
        <v/>
      </c>
    </row>
    <row r="15681" spans="9:9" x14ac:dyDescent="0.25">
      <c r="I15681" s="227" t="str">
        <f>MID(excPisCofins[[#This Row],[CodBarras2]],2,50)</f>
        <v/>
      </c>
    </row>
    <row r="15682" spans="9:9" x14ac:dyDescent="0.25">
      <c r="I15682" s="227" t="str">
        <f>MID(excPisCofins[[#This Row],[CodBarras2]],2,50)</f>
        <v/>
      </c>
    </row>
    <row r="15683" spans="9:9" x14ac:dyDescent="0.25">
      <c r="I15683" s="227" t="str">
        <f>MID(excPisCofins[[#This Row],[CodBarras2]],2,50)</f>
        <v/>
      </c>
    </row>
    <row r="15684" spans="9:9" x14ac:dyDescent="0.25">
      <c r="I15684" s="227" t="str">
        <f>MID(excPisCofins[[#This Row],[CodBarras2]],2,50)</f>
        <v/>
      </c>
    </row>
    <row r="15685" spans="9:9" x14ac:dyDescent="0.25">
      <c r="I15685" s="227" t="str">
        <f>MID(excPisCofins[[#This Row],[CodBarras2]],2,50)</f>
        <v/>
      </c>
    </row>
    <row r="15686" spans="9:9" x14ac:dyDescent="0.25">
      <c r="I15686" s="227" t="str">
        <f>MID(excPisCofins[[#This Row],[CodBarras2]],2,50)</f>
        <v/>
      </c>
    </row>
    <row r="15687" spans="9:9" x14ac:dyDescent="0.25">
      <c r="I15687" s="227" t="str">
        <f>MID(excPisCofins[[#This Row],[CodBarras2]],2,50)</f>
        <v/>
      </c>
    </row>
    <row r="15688" spans="9:9" x14ac:dyDescent="0.25">
      <c r="I15688" s="227" t="str">
        <f>MID(excPisCofins[[#This Row],[CodBarras2]],2,50)</f>
        <v/>
      </c>
    </row>
    <row r="15689" spans="9:9" x14ac:dyDescent="0.25">
      <c r="I15689" s="227" t="str">
        <f>MID(excPisCofins[[#This Row],[CodBarras2]],2,50)</f>
        <v/>
      </c>
    </row>
    <row r="15690" spans="9:9" x14ac:dyDescent="0.25">
      <c r="I15690" s="227" t="str">
        <f>MID(excPisCofins[[#This Row],[CodBarras2]],2,50)</f>
        <v/>
      </c>
    </row>
    <row r="15691" spans="9:9" x14ac:dyDescent="0.25">
      <c r="I15691" s="227" t="str">
        <f>MID(excPisCofins[[#This Row],[CodBarras2]],2,50)</f>
        <v/>
      </c>
    </row>
    <row r="15692" spans="9:9" x14ac:dyDescent="0.25">
      <c r="I15692" s="227" t="str">
        <f>MID(excPisCofins[[#This Row],[CodBarras2]],2,50)</f>
        <v/>
      </c>
    </row>
    <row r="15693" spans="9:9" x14ac:dyDescent="0.25">
      <c r="I15693" s="227" t="str">
        <f>MID(excPisCofins[[#This Row],[CodBarras2]],2,50)</f>
        <v/>
      </c>
    </row>
    <row r="15694" spans="9:9" x14ac:dyDescent="0.25">
      <c r="I15694" s="227" t="str">
        <f>MID(excPisCofins[[#This Row],[CodBarras2]],2,50)</f>
        <v/>
      </c>
    </row>
    <row r="15695" spans="9:9" x14ac:dyDescent="0.25">
      <c r="I15695" s="227" t="str">
        <f>MID(excPisCofins[[#This Row],[CodBarras2]],2,50)</f>
        <v/>
      </c>
    </row>
    <row r="15696" spans="9:9" x14ac:dyDescent="0.25">
      <c r="I15696" s="227" t="str">
        <f>MID(excPisCofins[[#This Row],[CodBarras2]],2,50)</f>
        <v/>
      </c>
    </row>
    <row r="15697" spans="9:9" x14ac:dyDescent="0.25">
      <c r="I15697" s="227" t="str">
        <f>MID(excPisCofins[[#This Row],[CodBarras2]],2,50)</f>
        <v/>
      </c>
    </row>
    <row r="15698" spans="9:9" x14ac:dyDescent="0.25">
      <c r="I15698" s="227" t="str">
        <f>MID(excPisCofins[[#This Row],[CodBarras2]],2,50)</f>
        <v/>
      </c>
    </row>
    <row r="15699" spans="9:9" x14ac:dyDescent="0.25">
      <c r="I15699" s="227" t="str">
        <f>MID(excPisCofins[[#This Row],[CodBarras2]],2,50)</f>
        <v/>
      </c>
    </row>
    <row r="15700" spans="9:9" x14ac:dyDescent="0.25">
      <c r="I15700" s="227" t="str">
        <f>MID(excPisCofins[[#This Row],[CodBarras2]],2,50)</f>
        <v/>
      </c>
    </row>
    <row r="15701" spans="9:9" x14ac:dyDescent="0.25">
      <c r="I15701" s="227" t="str">
        <f>MID(excPisCofins[[#This Row],[CodBarras2]],2,50)</f>
        <v/>
      </c>
    </row>
    <row r="15702" spans="9:9" x14ac:dyDescent="0.25">
      <c r="I15702" s="227" t="str">
        <f>MID(excPisCofins[[#This Row],[CodBarras2]],2,50)</f>
        <v/>
      </c>
    </row>
    <row r="15703" spans="9:9" x14ac:dyDescent="0.25">
      <c r="I15703" s="227" t="str">
        <f>MID(excPisCofins[[#This Row],[CodBarras2]],2,50)</f>
        <v/>
      </c>
    </row>
    <row r="15704" spans="9:9" x14ac:dyDescent="0.25">
      <c r="I15704" s="227" t="str">
        <f>MID(excPisCofins[[#This Row],[CodBarras2]],2,50)</f>
        <v/>
      </c>
    </row>
    <row r="15705" spans="9:9" x14ac:dyDescent="0.25">
      <c r="I15705" s="227" t="str">
        <f>MID(excPisCofins[[#This Row],[CodBarras2]],2,50)</f>
        <v/>
      </c>
    </row>
    <row r="15706" spans="9:9" x14ac:dyDescent="0.25">
      <c r="I15706" s="227" t="str">
        <f>MID(excPisCofins[[#This Row],[CodBarras2]],2,50)</f>
        <v/>
      </c>
    </row>
    <row r="15707" spans="9:9" x14ac:dyDescent="0.25">
      <c r="I15707" s="227" t="str">
        <f>MID(excPisCofins[[#This Row],[CodBarras2]],2,50)</f>
        <v/>
      </c>
    </row>
    <row r="15708" spans="9:9" x14ac:dyDescent="0.25">
      <c r="I15708" s="227" t="str">
        <f>MID(excPisCofins[[#This Row],[CodBarras2]],2,50)</f>
        <v/>
      </c>
    </row>
    <row r="15709" spans="9:9" x14ac:dyDescent="0.25">
      <c r="I15709" s="227" t="str">
        <f>MID(excPisCofins[[#This Row],[CodBarras2]],2,50)</f>
        <v/>
      </c>
    </row>
    <row r="15710" spans="9:9" x14ac:dyDescent="0.25">
      <c r="I15710" s="227" t="str">
        <f>MID(excPisCofins[[#This Row],[CodBarras2]],2,50)</f>
        <v/>
      </c>
    </row>
    <row r="15711" spans="9:9" x14ac:dyDescent="0.25">
      <c r="I15711" s="227" t="str">
        <f>MID(excPisCofins[[#This Row],[CodBarras2]],2,50)</f>
        <v/>
      </c>
    </row>
    <row r="15712" spans="9:9" x14ac:dyDescent="0.25">
      <c r="I15712" s="227" t="str">
        <f>MID(excPisCofins[[#This Row],[CodBarras2]],2,50)</f>
        <v/>
      </c>
    </row>
    <row r="15713" spans="9:9" x14ac:dyDescent="0.25">
      <c r="I15713" s="227" t="str">
        <f>MID(excPisCofins[[#This Row],[CodBarras2]],2,50)</f>
        <v/>
      </c>
    </row>
    <row r="15714" spans="9:9" x14ac:dyDescent="0.25">
      <c r="I15714" s="227" t="str">
        <f>MID(excPisCofins[[#This Row],[CodBarras2]],2,50)</f>
        <v/>
      </c>
    </row>
    <row r="15715" spans="9:9" x14ac:dyDescent="0.25">
      <c r="I15715" s="227" t="str">
        <f>MID(excPisCofins[[#This Row],[CodBarras2]],2,50)</f>
        <v/>
      </c>
    </row>
    <row r="15716" spans="9:9" x14ac:dyDescent="0.25">
      <c r="I15716" s="227" t="str">
        <f>MID(excPisCofins[[#This Row],[CodBarras2]],2,50)</f>
        <v/>
      </c>
    </row>
    <row r="15717" spans="9:9" x14ac:dyDescent="0.25">
      <c r="I15717" s="227" t="str">
        <f>MID(excPisCofins[[#This Row],[CodBarras2]],2,50)</f>
        <v/>
      </c>
    </row>
    <row r="15718" spans="9:9" x14ac:dyDescent="0.25">
      <c r="I15718" s="227" t="str">
        <f>MID(excPisCofins[[#This Row],[CodBarras2]],2,50)</f>
        <v/>
      </c>
    </row>
    <row r="15719" spans="9:9" x14ac:dyDescent="0.25">
      <c r="I15719" s="227" t="str">
        <f>MID(excPisCofins[[#This Row],[CodBarras2]],2,50)</f>
        <v/>
      </c>
    </row>
    <row r="15720" spans="9:9" x14ac:dyDescent="0.25">
      <c r="I15720" s="227" t="str">
        <f>MID(excPisCofins[[#This Row],[CodBarras2]],2,50)</f>
        <v/>
      </c>
    </row>
    <row r="15721" spans="9:9" x14ac:dyDescent="0.25">
      <c r="I15721" s="227" t="str">
        <f>MID(excPisCofins[[#This Row],[CodBarras2]],2,50)</f>
        <v/>
      </c>
    </row>
    <row r="15722" spans="9:9" x14ac:dyDescent="0.25">
      <c r="I15722" s="227" t="str">
        <f>MID(excPisCofins[[#This Row],[CodBarras2]],2,50)</f>
        <v/>
      </c>
    </row>
    <row r="15723" spans="9:9" x14ac:dyDescent="0.25">
      <c r="I15723" s="227" t="str">
        <f>MID(excPisCofins[[#This Row],[CodBarras2]],2,50)</f>
        <v/>
      </c>
    </row>
    <row r="15724" spans="9:9" x14ac:dyDescent="0.25">
      <c r="I15724" s="227" t="str">
        <f>MID(excPisCofins[[#This Row],[CodBarras2]],2,50)</f>
        <v/>
      </c>
    </row>
    <row r="15725" spans="9:9" x14ac:dyDescent="0.25">
      <c r="I15725" s="227" t="str">
        <f>MID(excPisCofins[[#This Row],[CodBarras2]],2,50)</f>
        <v/>
      </c>
    </row>
    <row r="15726" spans="9:9" x14ac:dyDescent="0.25">
      <c r="I15726" s="227" t="str">
        <f>MID(excPisCofins[[#This Row],[CodBarras2]],2,50)</f>
        <v/>
      </c>
    </row>
    <row r="15727" spans="9:9" x14ac:dyDescent="0.25">
      <c r="I15727" s="227" t="str">
        <f>MID(excPisCofins[[#This Row],[CodBarras2]],2,50)</f>
        <v/>
      </c>
    </row>
    <row r="15728" spans="9:9" x14ac:dyDescent="0.25">
      <c r="I15728" s="227" t="str">
        <f>MID(excPisCofins[[#This Row],[CodBarras2]],2,50)</f>
        <v/>
      </c>
    </row>
    <row r="15729" spans="9:9" x14ac:dyDescent="0.25">
      <c r="I15729" s="227" t="str">
        <f>MID(excPisCofins[[#This Row],[CodBarras2]],2,50)</f>
        <v/>
      </c>
    </row>
    <row r="15730" spans="9:9" x14ac:dyDescent="0.25">
      <c r="I15730" s="227" t="str">
        <f>MID(excPisCofins[[#This Row],[CodBarras2]],2,50)</f>
        <v/>
      </c>
    </row>
    <row r="15731" spans="9:9" x14ac:dyDescent="0.25">
      <c r="I15731" s="227" t="str">
        <f>MID(excPisCofins[[#This Row],[CodBarras2]],2,50)</f>
        <v/>
      </c>
    </row>
    <row r="15732" spans="9:9" x14ac:dyDescent="0.25">
      <c r="I15732" s="227" t="str">
        <f>MID(excPisCofins[[#This Row],[CodBarras2]],2,50)</f>
        <v/>
      </c>
    </row>
    <row r="15733" spans="9:9" x14ac:dyDescent="0.25">
      <c r="I15733" s="227" t="str">
        <f>MID(excPisCofins[[#This Row],[CodBarras2]],2,50)</f>
        <v/>
      </c>
    </row>
    <row r="15734" spans="9:9" x14ac:dyDescent="0.25">
      <c r="I15734" s="227" t="str">
        <f>MID(excPisCofins[[#This Row],[CodBarras2]],2,50)</f>
        <v/>
      </c>
    </row>
    <row r="15735" spans="9:9" x14ac:dyDescent="0.25">
      <c r="I15735" s="227" t="str">
        <f>MID(excPisCofins[[#This Row],[CodBarras2]],2,50)</f>
        <v/>
      </c>
    </row>
    <row r="15736" spans="9:9" x14ac:dyDescent="0.25">
      <c r="I15736" s="227" t="str">
        <f>MID(excPisCofins[[#This Row],[CodBarras2]],2,50)</f>
        <v/>
      </c>
    </row>
    <row r="15737" spans="9:9" x14ac:dyDescent="0.25">
      <c r="I15737" s="227" t="str">
        <f>MID(excPisCofins[[#This Row],[CodBarras2]],2,50)</f>
        <v/>
      </c>
    </row>
    <row r="15738" spans="9:9" x14ac:dyDescent="0.25">
      <c r="I15738" s="227" t="str">
        <f>MID(excPisCofins[[#This Row],[CodBarras2]],2,50)</f>
        <v/>
      </c>
    </row>
    <row r="15739" spans="9:9" x14ac:dyDescent="0.25">
      <c r="I15739" s="227" t="str">
        <f>MID(excPisCofins[[#This Row],[CodBarras2]],2,50)</f>
        <v/>
      </c>
    </row>
    <row r="15740" spans="9:9" x14ac:dyDescent="0.25">
      <c r="I15740" s="227" t="str">
        <f>MID(excPisCofins[[#This Row],[CodBarras2]],2,50)</f>
        <v/>
      </c>
    </row>
    <row r="15741" spans="9:9" x14ac:dyDescent="0.25">
      <c r="I15741" s="227" t="str">
        <f>MID(excPisCofins[[#This Row],[CodBarras2]],2,50)</f>
        <v/>
      </c>
    </row>
    <row r="15742" spans="9:9" x14ac:dyDescent="0.25">
      <c r="I15742" s="227" t="str">
        <f>MID(excPisCofins[[#This Row],[CodBarras2]],2,50)</f>
        <v/>
      </c>
    </row>
    <row r="15743" spans="9:9" x14ac:dyDescent="0.25">
      <c r="I15743" s="227" t="str">
        <f>MID(excPisCofins[[#This Row],[CodBarras2]],2,50)</f>
        <v/>
      </c>
    </row>
    <row r="15744" spans="9:9" x14ac:dyDescent="0.25">
      <c r="I15744" s="227" t="str">
        <f>MID(excPisCofins[[#This Row],[CodBarras2]],2,50)</f>
        <v/>
      </c>
    </row>
    <row r="15745" spans="9:9" x14ac:dyDescent="0.25">
      <c r="I15745" s="227" t="str">
        <f>MID(excPisCofins[[#This Row],[CodBarras2]],2,50)</f>
        <v/>
      </c>
    </row>
    <row r="15746" spans="9:9" x14ac:dyDescent="0.25">
      <c r="I15746" s="227" t="str">
        <f>MID(excPisCofins[[#This Row],[CodBarras2]],2,50)</f>
        <v/>
      </c>
    </row>
    <row r="15747" spans="9:9" x14ac:dyDescent="0.25">
      <c r="I15747" s="227" t="str">
        <f>MID(excPisCofins[[#This Row],[CodBarras2]],2,50)</f>
        <v/>
      </c>
    </row>
    <row r="15748" spans="9:9" x14ac:dyDescent="0.25">
      <c r="I15748" s="227" t="str">
        <f>MID(excPisCofins[[#This Row],[CodBarras2]],2,50)</f>
        <v/>
      </c>
    </row>
    <row r="15749" spans="9:9" x14ac:dyDescent="0.25">
      <c r="I15749" s="227" t="str">
        <f>MID(excPisCofins[[#This Row],[CodBarras2]],2,50)</f>
        <v/>
      </c>
    </row>
    <row r="15750" spans="9:9" x14ac:dyDescent="0.25">
      <c r="I15750" s="227" t="str">
        <f>MID(excPisCofins[[#This Row],[CodBarras2]],2,50)</f>
        <v/>
      </c>
    </row>
    <row r="15751" spans="9:9" x14ac:dyDescent="0.25">
      <c r="I15751" s="227" t="str">
        <f>MID(excPisCofins[[#This Row],[CodBarras2]],2,50)</f>
        <v/>
      </c>
    </row>
    <row r="15752" spans="9:9" x14ac:dyDescent="0.25">
      <c r="I15752" s="227" t="str">
        <f>MID(excPisCofins[[#This Row],[CodBarras2]],2,50)</f>
        <v/>
      </c>
    </row>
    <row r="15753" spans="9:9" x14ac:dyDescent="0.25">
      <c r="I15753" s="227" t="str">
        <f>MID(excPisCofins[[#This Row],[CodBarras2]],2,50)</f>
        <v/>
      </c>
    </row>
    <row r="15754" spans="9:9" x14ac:dyDescent="0.25">
      <c r="I15754" s="227" t="str">
        <f>MID(excPisCofins[[#This Row],[CodBarras2]],2,50)</f>
        <v/>
      </c>
    </row>
    <row r="15755" spans="9:9" x14ac:dyDescent="0.25">
      <c r="I15755" s="227" t="str">
        <f>MID(excPisCofins[[#This Row],[CodBarras2]],2,50)</f>
        <v/>
      </c>
    </row>
    <row r="15756" spans="9:9" x14ac:dyDescent="0.25">
      <c r="I15756" s="227" t="str">
        <f>MID(excPisCofins[[#This Row],[CodBarras2]],2,50)</f>
        <v/>
      </c>
    </row>
    <row r="15757" spans="9:9" x14ac:dyDescent="0.25">
      <c r="I15757" s="227" t="str">
        <f>MID(excPisCofins[[#This Row],[CodBarras2]],2,50)</f>
        <v/>
      </c>
    </row>
    <row r="15758" spans="9:9" x14ac:dyDescent="0.25">
      <c r="I15758" s="227" t="str">
        <f>MID(excPisCofins[[#This Row],[CodBarras2]],2,50)</f>
        <v/>
      </c>
    </row>
    <row r="15759" spans="9:9" x14ac:dyDescent="0.25">
      <c r="I15759" s="227" t="str">
        <f>MID(excPisCofins[[#This Row],[CodBarras2]],2,50)</f>
        <v/>
      </c>
    </row>
    <row r="15760" spans="9:9" x14ac:dyDescent="0.25">
      <c r="I15760" s="227" t="str">
        <f>MID(excPisCofins[[#This Row],[CodBarras2]],2,50)</f>
        <v/>
      </c>
    </row>
    <row r="15761" spans="9:9" x14ac:dyDescent="0.25">
      <c r="I15761" s="227" t="str">
        <f>MID(excPisCofins[[#This Row],[CodBarras2]],2,50)</f>
        <v/>
      </c>
    </row>
    <row r="15762" spans="9:9" x14ac:dyDescent="0.25">
      <c r="I15762" s="227" t="str">
        <f>MID(excPisCofins[[#This Row],[CodBarras2]],2,50)</f>
        <v/>
      </c>
    </row>
    <row r="15763" spans="9:9" x14ac:dyDescent="0.25">
      <c r="I15763" s="227" t="str">
        <f>MID(excPisCofins[[#This Row],[CodBarras2]],2,50)</f>
        <v/>
      </c>
    </row>
    <row r="15764" spans="9:9" x14ac:dyDescent="0.25">
      <c r="I15764" s="227" t="str">
        <f>MID(excPisCofins[[#This Row],[CodBarras2]],2,50)</f>
        <v/>
      </c>
    </row>
    <row r="15765" spans="9:9" x14ac:dyDescent="0.25">
      <c r="I15765" s="227" t="str">
        <f>MID(excPisCofins[[#This Row],[CodBarras2]],2,50)</f>
        <v/>
      </c>
    </row>
    <row r="15766" spans="9:9" x14ac:dyDescent="0.25">
      <c r="I15766" s="227" t="str">
        <f>MID(excPisCofins[[#This Row],[CodBarras2]],2,50)</f>
        <v/>
      </c>
    </row>
    <row r="15767" spans="9:9" x14ac:dyDescent="0.25">
      <c r="I15767" s="227" t="str">
        <f>MID(excPisCofins[[#This Row],[CodBarras2]],2,50)</f>
        <v/>
      </c>
    </row>
    <row r="15768" spans="9:9" x14ac:dyDescent="0.25">
      <c r="I15768" s="227" t="str">
        <f>MID(excPisCofins[[#This Row],[CodBarras2]],2,50)</f>
        <v/>
      </c>
    </row>
    <row r="15769" spans="9:9" x14ac:dyDescent="0.25">
      <c r="I15769" s="227" t="str">
        <f>MID(excPisCofins[[#This Row],[CodBarras2]],2,50)</f>
        <v/>
      </c>
    </row>
    <row r="15770" spans="9:9" x14ac:dyDescent="0.25">
      <c r="I15770" s="227" t="str">
        <f>MID(excPisCofins[[#This Row],[CodBarras2]],2,50)</f>
        <v/>
      </c>
    </row>
    <row r="15771" spans="9:9" x14ac:dyDescent="0.25">
      <c r="I15771" s="227" t="str">
        <f>MID(excPisCofins[[#This Row],[CodBarras2]],2,50)</f>
        <v/>
      </c>
    </row>
    <row r="15772" spans="9:9" x14ac:dyDescent="0.25">
      <c r="I15772" s="227" t="str">
        <f>MID(excPisCofins[[#This Row],[CodBarras2]],2,50)</f>
        <v/>
      </c>
    </row>
    <row r="15773" spans="9:9" x14ac:dyDescent="0.25">
      <c r="I15773" s="227" t="str">
        <f>MID(excPisCofins[[#This Row],[CodBarras2]],2,50)</f>
        <v/>
      </c>
    </row>
    <row r="15774" spans="9:9" x14ac:dyDescent="0.25">
      <c r="I15774" s="227" t="str">
        <f>MID(excPisCofins[[#This Row],[CodBarras2]],2,50)</f>
        <v/>
      </c>
    </row>
    <row r="15775" spans="9:9" x14ac:dyDescent="0.25">
      <c r="I15775" s="227" t="str">
        <f>MID(excPisCofins[[#This Row],[CodBarras2]],2,50)</f>
        <v/>
      </c>
    </row>
    <row r="15776" spans="9:9" x14ac:dyDescent="0.25">
      <c r="I15776" s="227" t="str">
        <f>MID(excPisCofins[[#This Row],[CodBarras2]],2,50)</f>
        <v/>
      </c>
    </row>
    <row r="15777" spans="9:9" x14ac:dyDescent="0.25">
      <c r="I15777" s="227" t="str">
        <f>MID(excPisCofins[[#This Row],[CodBarras2]],2,50)</f>
        <v/>
      </c>
    </row>
    <row r="15778" spans="9:9" x14ac:dyDescent="0.25">
      <c r="I15778" s="227" t="str">
        <f>MID(excPisCofins[[#This Row],[CodBarras2]],2,50)</f>
        <v/>
      </c>
    </row>
    <row r="15779" spans="9:9" x14ac:dyDescent="0.25">
      <c r="I15779" s="227" t="str">
        <f>MID(excPisCofins[[#This Row],[CodBarras2]],2,50)</f>
        <v/>
      </c>
    </row>
    <row r="15780" spans="9:9" x14ac:dyDescent="0.25">
      <c r="I15780" s="227" t="str">
        <f>MID(excPisCofins[[#This Row],[CodBarras2]],2,50)</f>
        <v/>
      </c>
    </row>
    <row r="15781" spans="9:9" x14ac:dyDescent="0.25">
      <c r="I15781" s="227" t="str">
        <f>MID(excPisCofins[[#This Row],[CodBarras2]],2,50)</f>
        <v/>
      </c>
    </row>
    <row r="15782" spans="9:9" x14ac:dyDescent="0.25">
      <c r="I15782" s="227" t="str">
        <f>MID(excPisCofins[[#This Row],[CodBarras2]],2,50)</f>
        <v/>
      </c>
    </row>
    <row r="15783" spans="9:9" x14ac:dyDescent="0.25">
      <c r="I15783" s="227" t="str">
        <f>MID(excPisCofins[[#This Row],[CodBarras2]],2,50)</f>
        <v/>
      </c>
    </row>
    <row r="15784" spans="9:9" x14ac:dyDescent="0.25">
      <c r="I15784" s="227" t="str">
        <f>MID(excPisCofins[[#This Row],[CodBarras2]],2,50)</f>
        <v/>
      </c>
    </row>
    <row r="15785" spans="9:9" x14ac:dyDescent="0.25">
      <c r="I15785" s="227" t="str">
        <f>MID(excPisCofins[[#This Row],[CodBarras2]],2,50)</f>
        <v/>
      </c>
    </row>
    <row r="15786" spans="9:9" x14ac:dyDescent="0.25">
      <c r="I15786" s="227" t="str">
        <f>MID(excPisCofins[[#This Row],[CodBarras2]],2,50)</f>
        <v/>
      </c>
    </row>
    <row r="15787" spans="9:9" x14ac:dyDescent="0.25">
      <c r="I15787" s="227" t="str">
        <f>MID(excPisCofins[[#This Row],[CodBarras2]],2,50)</f>
        <v/>
      </c>
    </row>
    <row r="15788" spans="9:9" x14ac:dyDescent="0.25">
      <c r="I15788" s="227" t="str">
        <f>MID(excPisCofins[[#This Row],[CodBarras2]],2,50)</f>
        <v/>
      </c>
    </row>
    <row r="15789" spans="9:9" x14ac:dyDescent="0.25">
      <c r="I15789" s="227" t="str">
        <f>MID(excPisCofins[[#This Row],[CodBarras2]],2,50)</f>
        <v/>
      </c>
    </row>
    <row r="15790" spans="9:9" x14ac:dyDescent="0.25">
      <c r="I15790" s="227" t="str">
        <f>MID(excPisCofins[[#This Row],[CodBarras2]],2,50)</f>
        <v/>
      </c>
    </row>
    <row r="15791" spans="9:9" x14ac:dyDescent="0.25">
      <c r="I15791" s="227" t="str">
        <f>MID(excPisCofins[[#This Row],[CodBarras2]],2,50)</f>
        <v/>
      </c>
    </row>
    <row r="15792" spans="9:9" x14ac:dyDescent="0.25">
      <c r="I15792" s="227" t="str">
        <f>MID(excPisCofins[[#This Row],[CodBarras2]],2,50)</f>
        <v/>
      </c>
    </row>
    <row r="15793" spans="9:9" x14ac:dyDescent="0.25">
      <c r="I15793" s="227" t="str">
        <f>MID(excPisCofins[[#This Row],[CodBarras2]],2,50)</f>
        <v/>
      </c>
    </row>
    <row r="15794" spans="9:9" x14ac:dyDescent="0.25">
      <c r="I15794" s="227" t="str">
        <f>MID(excPisCofins[[#This Row],[CodBarras2]],2,50)</f>
        <v/>
      </c>
    </row>
    <row r="15795" spans="9:9" x14ac:dyDescent="0.25">
      <c r="I15795" s="227" t="str">
        <f>MID(excPisCofins[[#This Row],[CodBarras2]],2,50)</f>
        <v/>
      </c>
    </row>
    <row r="15796" spans="9:9" x14ac:dyDescent="0.25">
      <c r="I15796" s="227" t="str">
        <f>MID(excPisCofins[[#This Row],[CodBarras2]],2,50)</f>
        <v/>
      </c>
    </row>
    <row r="15797" spans="9:9" x14ac:dyDescent="0.25">
      <c r="I15797" s="227" t="str">
        <f>MID(excPisCofins[[#This Row],[CodBarras2]],2,50)</f>
        <v/>
      </c>
    </row>
    <row r="15798" spans="9:9" x14ac:dyDescent="0.25">
      <c r="I15798" s="227" t="str">
        <f>MID(excPisCofins[[#This Row],[CodBarras2]],2,50)</f>
        <v/>
      </c>
    </row>
    <row r="15799" spans="9:9" x14ac:dyDescent="0.25">
      <c r="I15799" s="227" t="str">
        <f>MID(excPisCofins[[#This Row],[CodBarras2]],2,50)</f>
        <v/>
      </c>
    </row>
    <row r="15800" spans="9:9" x14ac:dyDescent="0.25">
      <c r="I15800" s="227" t="str">
        <f>MID(excPisCofins[[#This Row],[CodBarras2]],2,50)</f>
        <v/>
      </c>
    </row>
    <row r="15801" spans="9:9" x14ac:dyDescent="0.25">
      <c r="I15801" s="227" t="str">
        <f>MID(excPisCofins[[#This Row],[CodBarras2]],2,50)</f>
        <v/>
      </c>
    </row>
    <row r="15802" spans="9:9" x14ac:dyDescent="0.25">
      <c r="I15802" s="227" t="str">
        <f>MID(excPisCofins[[#This Row],[CodBarras2]],2,50)</f>
        <v/>
      </c>
    </row>
    <row r="15803" spans="9:9" x14ac:dyDescent="0.25">
      <c r="I15803" s="227" t="str">
        <f>MID(excPisCofins[[#This Row],[CodBarras2]],2,50)</f>
        <v/>
      </c>
    </row>
    <row r="15804" spans="9:9" x14ac:dyDescent="0.25">
      <c r="I15804" s="227" t="str">
        <f>MID(excPisCofins[[#This Row],[CodBarras2]],2,50)</f>
        <v/>
      </c>
    </row>
    <row r="15805" spans="9:9" x14ac:dyDescent="0.25">
      <c r="I15805" s="227" t="str">
        <f>MID(excPisCofins[[#This Row],[CodBarras2]],2,50)</f>
        <v/>
      </c>
    </row>
    <row r="15806" spans="9:9" x14ac:dyDescent="0.25">
      <c r="I15806" s="227" t="str">
        <f>MID(excPisCofins[[#This Row],[CodBarras2]],2,50)</f>
        <v/>
      </c>
    </row>
    <row r="15807" spans="9:9" x14ac:dyDescent="0.25">
      <c r="I15807" s="227" t="str">
        <f>MID(excPisCofins[[#This Row],[CodBarras2]],2,50)</f>
        <v/>
      </c>
    </row>
    <row r="15808" spans="9:9" x14ac:dyDescent="0.25">
      <c r="I15808" s="227" t="str">
        <f>MID(excPisCofins[[#This Row],[CodBarras2]],2,50)</f>
        <v/>
      </c>
    </row>
    <row r="15809" spans="9:9" x14ac:dyDescent="0.25">
      <c r="I15809" s="227" t="str">
        <f>MID(excPisCofins[[#This Row],[CodBarras2]],2,50)</f>
        <v/>
      </c>
    </row>
    <row r="15810" spans="9:9" x14ac:dyDescent="0.25">
      <c r="I15810" s="227" t="str">
        <f>MID(excPisCofins[[#This Row],[CodBarras2]],2,50)</f>
        <v/>
      </c>
    </row>
    <row r="15811" spans="9:9" x14ac:dyDescent="0.25">
      <c r="I15811" s="227" t="str">
        <f>MID(excPisCofins[[#This Row],[CodBarras2]],2,50)</f>
        <v/>
      </c>
    </row>
    <row r="15812" spans="9:9" x14ac:dyDescent="0.25">
      <c r="I15812" s="227" t="str">
        <f>MID(excPisCofins[[#This Row],[CodBarras2]],2,50)</f>
        <v/>
      </c>
    </row>
    <row r="15813" spans="9:9" x14ac:dyDescent="0.25">
      <c r="I15813" s="227" t="str">
        <f>MID(excPisCofins[[#This Row],[CodBarras2]],2,50)</f>
        <v/>
      </c>
    </row>
    <row r="15814" spans="9:9" x14ac:dyDescent="0.25">
      <c r="I15814" s="227" t="str">
        <f>MID(excPisCofins[[#This Row],[CodBarras2]],2,50)</f>
        <v/>
      </c>
    </row>
    <row r="15815" spans="9:9" x14ac:dyDescent="0.25">
      <c r="I15815" s="227" t="str">
        <f>MID(excPisCofins[[#This Row],[CodBarras2]],2,50)</f>
        <v/>
      </c>
    </row>
    <row r="15816" spans="9:9" x14ac:dyDescent="0.25">
      <c r="I15816" s="227" t="str">
        <f>MID(excPisCofins[[#This Row],[CodBarras2]],2,50)</f>
        <v/>
      </c>
    </row>
    <row r="15817" spans="9:9" x14ac:dyDescent="0.25">
      <c r="I15817" s="227" t="str">
        <f>MID(excPisCofins[[#This Row],[CodBarras2]],2,50)</f>
        <v/>
      </c>
    </row>
    <row r="15818" spans="9:9" x14ac:dyDescent="0.25">
      <c r="I15818" s="227" t="str">
        <f>MID(excPisCofins[[#This Row],[CodBarras2]],2,50)</f>
        <v/>
      </c>
    </row>
    <row r="15819" spans="9:9" x14ac:dyDescent="0.25">
      <c r="I15819" s="227" t="str">
        <f>MID(excPisCofins[[#This Row],[CodBarras2]],2,50)</f>
        <v/>
      </c>
    </row>
    <row r="15820" spans="9:9" x14ac:dyDescent="0.25">
      <c r="I15820" s="227" t="str">
        <f>MID(excPisCofins[[#This Row],[CodBarras2]],2,50)</f>
        <v/>
      </c>
    </row>
    <row r="15821" spans="9:9" x14ac:dyDescent="0.25">
      <c r="I15821" s="227" t="str">
        <f>MID(excPisCofins[[#This Row],[CodBarras2]],2,50)</f>
        <v/>
      </c>
    </row>
    <row r="15822" spans="9:9" x14ac:dyDescent="0.25">
      <c r="I15822" s="227" t="str">
        <f>MID(excPisCofins[[#This Row],[CodBarras2]],2,50)</f>
        <v/>
      </c>
    </row>
    <row r="15823" spans="9:9" x14ac:dyDescent="0.25">
      <c r="I15823" s="227" t="str">
        <f>MID(excPisCofins[[#This Row],[CodBarras2]],2,50)</f>
        <v/>
      </c>
    </row>
    <row r="15824" spans="9:9" x14ac:dyDescent="0.25">
      <c r="I15824" s="227" t="str">
        <f>MID(excPisCofins[[#This Row],[CodBarras2]],2,50)</f>
        <v/>
      </c>
    </row>
    <row r="15825" spans="9:9" x14ac:dyDescent="0.25">
      <c r="I15825" s="227" t="str">
        <f>MID(excPisCofins[[#This Row],[CodBarras2]],2,50)</f>
        <v/>
      </c>
    </row>
    <row r="15826" spans="9:9" x14ac:dyDescent="0.25">
      <c r="I15826" s="227" t="str">
        <f>MID(excPisCofins[[#This Row],[CodBarras2]],2,50)</f>
        <v/>
      </c>
    </row>
    <row r="15827" spans="9:9" x14ac:dyDescent="0.25">
      <c r="I15827" s="227" t="str">
        <f>MID(excPisCofins[[#This Row],[CodBarras2]],2,50)</f>
        <v/>
      </c>
    </row>
    <row r="15828" spans="9:9" x14ac:dyDescent="0.25">
      <c r="I15828" s="227" t="str">
        <f>MID(excPisCofins[[#This Row],[CodBarras2]],2,50)</f>
        <v/>
      </c>
    </row>
    <row r="15829" spans="9:9" x14ac:dyDescent="0.25">
      <c r="I15829" s="227" t="str">
        <f>MID(excPisCofins[[#This Row],[CodBarras2]],2,50)</f>
        <v/>
      </c>
    </row>
    <row r="15830" spans="9:9" x14ac:dyDescent="0.25">
      <c r="I15830" s="227" t="str">
        <f>MID(excPisCofins[[#This Row],[CodBarras2]],2,50)</f>
        <v/>
      </c>
    </row>
    <row r="15831" spans="9:9" x14ac:dyDescent="0.25">
      <c r="I15831" s="227" t="str">
        <f>MID(excPisCofins[[#This Row],[CodBarras2]],2,50)</f>
        <v/>
      </c>
    </row>
    <row r="15832" spans="9:9" x14ac:dyDescent="0.25">
      <c r="I15832" s="227" t="str">
        <f>MID(excPisCofins[[#This Row],[CodBarras2]],2,50)</f>
        <v/>
      </c>
    </row>
    <row r="15833" spans="9:9" x14ac:dyDescent="0.25">
      <c r="I15833" s="227" t="str">
        <f>MID(excPisCofins[[#This Row],[CodBarras2]],2,50)</f>
        <v/>
      </c>
    </row>
    <row r="15834" spans="9:9" x14ac:dyDescent="0.25">
      <c r="I15834" s="227" t="str">
        <f>MID(excPisCofins[[#This Row],[CodBarras2]],2,50)</f>
        <v/>
      </c>
    </row>
    <row r="15835" spans="9:9" x14ac:dyDescent="0.25">
      <c r="I15835" s="227" t="str">
        <f>MID(excPisCofins[[#This Row],[CodBarras2]],2,50)</f>
        <v/>
      </c>
    </row>
    <row r="15836" spans="9:9" x14ac:dyDescent="0.25">
      <c r="I15836" s="227" t="str">
        <f>MID(excPisCofins[[#This Row],[CodBarras2]],2,50)</f>
        <v/>
      </c>
    </row>
    <row r="15837" spans="9:9" x14ac:dyDescent="0.25">
      <c r="I15837" s="227" t="str">
        <f>MID(excPisCofins[[#This Row],[CodBarras2]],2,50)</f>
        <v/>
      </c>
    </row>
    <row r="15838" spans="9:9" x14ac:dyDescent="0.25">
      <c r="I15838" s="227" t="str">
        <f>MID(excPisCofins[[#This Row],[CodBarras2]],2,50)</f>
        <v/>
      </c>
    </row>
    <row r="15839" spans="9:9" x14ac:dyDescent="0.25">
      <c r="I15839" s="227" t="str">
        <f>MID(excPisCofins[[#This Row],[CodBarras2]],2,50)</f>
        <v/>
      </c>
    </row>
    <row r="15840" spans="9:9" x14ac:dyDescent="0.25">
      <c r="I15840" s="227" t="str">
        <f>MID(excPisCofins[[#This Row],[CodBarras2]],2,50)</f>
        <v/>
      </c>
    </row>
    <row r="15841" spans="9:9" x14ac:dyDescent="0.25">
      <c r="I15841" s="227" t="str">
        <f>MID(excPisCofins[[#This Row],[CodBarras2]],2,50)</f>
        <v/>
      </c>
    </row>
    <row r="15842" spans="9:9" x14ac:dyDescent="0.25">
      <c r="I15842" s="227" t="str">
        <f>MID(excPisCofins[[#This Row],[CodBarras2]],2,50)</f>
        <v/>
      </c>
    </row>
    <row r="15843" spans="9:9" x14ac:dyDescent="0.25">
      <c r="I15843" s="227" t="str">
        <f>MID(excPisCofins[[#This Row],[CodBarras2]],2,50)</f>
        <v/>
      </c>
    </row>
    <row r="15844" spans="9:9" x14ac:dyDescent="0.25">
      <c r="I15844" s="227" t="str">
        <f>MID(excPisCofins[[#This Row],[CodBarras2]],2,50)</f>
        <v/>
      </c>
    </row>
    <row r="15845" spans="9:9" x14ac:dyDescent="0.25">
      <c r="I15845" s="227" t="str">
        <f>MID(excPisCofins[[#This Row],[CodBarras2]],2,50)</f>
        <v/>
      </c>
    </row>
    <row r="15846" spans="9:9" x14ac:dyDescent="0.25">
      <c r="I15846" s="227" t="str">
        <f>MID(excPisCofins[[#This Row],[CodBarras2]],2,50)</f>
        <v/>
      </c>
    </row>
    <row r="15847" spans="9:9" x14ac:dyDescent="0.25">
      <c r="I15847" s="227" t="str">
        <f>MID(excPisCofins[[#This Row],[CodBarras2]],2,50)</f>
        <v/>
      </c>
    </row>
    <row r="15848" spans="9:9" x14ac:dyDescent="0.25">
      <c r="I15848" s="227" t="str">
        <f>MID(excPisCofins[[#This Row],[CodBarras2]],2,50)</f>
        <v/>
      </c>
    </row>
    <row r="15849" spans="9:9" x14ac:dyDescent="0.25">
      <c r="I15849" s="227" t="str">
        <f>MID(excPisCofins[[#This Row],[CodBarras2]],2,50)</f>
        <v/>
      </c>
    </row>
    <row r="15850" spans="9:9" x14ac:dyDescent="0.25">
      <c r="I15850" s="227" t="str">
        <f>MID(excPisCofins[[#This Row],[CodBarras2]],2,50)</f>
        <v/>
      </c>
    </row>
    <row r="15851" spans="9:9" x14ac:dyDescent="0.25">
      <c r="I15851" s="227" t="str">
        <f>MID(excPisCofins[[#This Row],[CodBarras2]],2,50)</f>
        <v/>
      </c>
    </row>
    <row r="15852" spans="9:9" x14ac:dyDescent="0.25">
      <c r="I15852" s="227" t="str">
        <f>MID(excPisCofins[[#This Row],[CodBarras2]],2,50)</f>
        <v/>
      </c>
    </row>
    <row r="15853" spans="9:9" x14ac:dyDescent="0.25">
      <c r="I15853" s="227" t="str">
        <f>MID(excPisCofins[[#This Row],[CodBarras2]],2,50)</f>
        <v/>
      </c>
    </row>
    <row r="15854" spans="9:9" x14ac:dyDescent="0.25">
      <c r="I15854" s="227" t="str">
        <f>MID(excPisCofins[[#This Row],[CodBarras2]],2,50)</f>
        <v/>
      </c>
    </row>
    <row r="15855" spans="9:9" x14ac:dyDescent="0.25">
      <c r="I15855" s="227" t="str">
        <f>MID(excPisCofins[[#This Row],[CodBarras2]],2,50)</f>
        <v/>
      </c>
    </row>
    <row r="15856" spans="9:9" x14ac:dyDescent="0.25">
      <c r="I15856" s="227" t="str">
        <f>MID(excPisCofins[[#This Row],[CodBarras2]],2,50)</f>
        <v/>
      </c>
    </row>
    <row r="15857" spans="9:9" x14ac:dyDescent="0.25">
      <c r="I15857" s="227" t="str">
        <f>MID(excPisCofins[[#This Row],[CodBarras2]],2,50)</f>
        <v/>
      </c>
    </row>
    <row r="15858" spans="9:9" x14ac:dyDescent="0.25">
      <c r="I15858" s="227" t="str">
        <f>MID(excPisCofins[[#This Row],[CodBarras2]],2,50)</f>
        <v/>
      </c>
    </row>
    <row r="15859" spans="9:9" x14ac:dyDescent="0.25">
      <c r="I15859" s="227" t="str">
        <f>MID(excPisCofins[[#This Row],[CodBarras2]],2,50)</f>
        <v/>
      </c>
    </row>
    <row r="15860" spans="9:9" x14ac:dyDescent="0.25">
      <c r="I15860" s="227" t="str">
        <f>MID(excPisCofins[[#This Row],[CodBarras2]],2,50)</f>
        <v/>
      </c>
    </row>
    <row r="15861" spans="9:9" x14ac:dyDescent="0.25">
      <c r="I15861" s="227" t="str">
        <f>MID(excPisCofins[[#This Row],[CodBarras2]],2,50)</f>
        <v/>
      </c>
    </row>
    <row r="15862" spans="9:9" x14ac:dyDescent="0.25">
      <c r="I15862" s="227" t="str">
        <f>MID(excPisCofins[[#This Row],[CodBarras2]],2,50)</f>
        <v/>
      </c>
    </row>
    <row r="15863" spans="9:9" x14ac:dyDescent="0.25">
      <c r="I15863" s="227" t="str">
        <f>MID(excPisCofins[[#This Row],[CodBarras2]],2,50)</f>
        <v/>
      </c>
    </row>
    <row r="15864" spans="9:9" x14ac:dyDescent="0.25">
      <c r="I15864" s="227" t="str">
        <f>MID(excPisCofins[[#This Row],[CodBarras2]],2,50)</f>
        <v/>
      </c>
    </row>
    <row r="15865" spans="9:9" x14ac:dyDescent="0.25">
      <c r="I15865" s="227" t="str">
        <f>MID(excPisCofins[[#This Row],[CodBarras2]],2,50)</f>
        <v/>
      </c>
    </row>
    <row r="15866" spans="9:9" x14ac:dyDescent="0.25">
      <c r="I15866" s="227" t="str">
        <f>MID(excPisCofins[[#This Row],[CodBarras2]],2,50)</f>
        <v/>
      </c>
    </row>
    <row r="15867" spans="9:9" x14ac:dyDescent="0.25">
      <c r="I15867" s="227" t="str">
        <f>MID(excPisCofins[[#This Row],[CodBarras2]],2,50)</f>
        <v/>
      </c>
    </row>
    <row r="15868" spans="9:9" x14ac:dyDescent="0.25">
      <c r="I15868" s="227" t="str">
        <f>MID(excPisCofins[[#This Row],[CodBarras2]],2,50)</f>
        <v/>
      </c>
    </row>
    <row r="15869" spans="9:9" x14ac:dyDescent="0.25">
      <c r="I15869" s="227" t="str">
        <f>MID(excPisCofins[[#This Row],[CodBarras2]],2,50)</f>
        <v/>
      </c>
    </row>
    <row r="15870" spans="9:9" x14ac:dyDescent="0.25">
      <c r="I15870" s="227" t="str">
        <f>MID(excPisCofins[[#This Row],[CodBarras2]],2,50)</f>
        <v/>
      </c>
    </row>
    <row r="15871" spans="9:9" x14ac:dyDescent="0.25">
      <c r="I15871" s="227" t="str">
        <f>MID(excPisCofins[[#This Row],[CodBarras2]],2,50)</f>
        <v/>
      </c>
    </row>
    <row r="15872" spans="9:9" x14ac:dyDescent="0.25">
      <c r="I15872" s="227" t="str">
        <f>MID(excPisCofins[[#This Row],[CodBarras2]],2,50)</f>
        <v/>
      </c>
    </row>
    <row r="15873" spans="9:9" x14ac:dyDescent="0.25">
      <c r="I15873" s="227" t="str">
        <f>MID(excPisCofins[[#This Row],[CodBarras2]],2,50)</f>
        <v/>
      </c>
    </row>
    <row r="15874" spans="9:9" x14ac:dyDescent="0.25">
      <c r="I15874" s="227" t="str">
        <f>MID(excPisCofins[[#This Row],[CodBarras2]],2,50)</f>
        <v/>
      </c>
    </row>
    <row r="15875" spans="9:9" x14ac:dyDescent="0.25">
      <c r="I15875" s="227" t="str">
        <f>MID(excPisCofins[[#This Row],[CodBarras2]],2,50)</f>
        <v/>
      </c>
    </row>
    <row r="15876" spans="9:9" x14ac:dyDescent="0.25">
      <c r="I15876" s="227" t="str">
        <f>MID(excPisCofins[[#This Row],[CodBarras2]],2,50)</f>
        <v/>
      </c>
    </row>
    <row r="15877" spans="9:9" x14ac:dyDescent="0.25">
      <c r="I15877" s="227" t="str">
        <f>MID(excPisCofins[[#This Row],[CodBarras2]],2,50)</f>
        <v/>
      </c>
    </row>
    <row r="15878" spans="9:9" x14ac:dyDescent="0.25">
      <c r="I15878" s="227" t="str">
        <f>MID(excPisCofins[[#This Row],[CodBarras2]],2,50)</f>
        <v/>
      </c>
    </row>
    <row r="15879" spans="9:9" x14ac:dyDescent="0.25">
      <c r="I15879" s="227" t="str">
        <f>MID(excPisCofins[[#This Row],[CodBarras2]],2,50)</f>
        <v/>
      </c>
    </row>
    <row r="15880" spans="9:9" x14ac:dyDescent="0.25">
      <c r="I15880" s="227" t="str">
        <f>MID(excPisCofins[[#This Row],[CodBarras2]],2,50)</f>
        <v/>
      </c>
    </row>
    <row r="15881" spans="9:9" x14ac:dyDescent="0.25">
      <c r="I15881" s="227" t="str">
        <f>MID(excPisCofins[[#This Row],[CodBarras2]],2,50)</f>
        <v/>
      </c>
    </row>
    <row r="15882" spans="9:9" x14ac:dyDescent="0.25">
      <c r="I15882" s="227" t="str">
        <f>MID(excPisCofins[[#This Row],[CodBarras2]],2,50)</f>
        <v/>
      </c>
    </row>
    <row r="15883" spans="9:9" x14ac:dyDescent="0.25">
      <c r="I15883" s="227" t="str">
        <f>MID(excPisCofins[[#This Row],[CodBarras2]],2,50)</f>
        <v/>
      </c>
    </row>
    <row r="15884" spans="9:9" x14ac:dyDescent="0.25">
      <c r="I15884" s="227" t="str">
        <f>MID(excPisCofins[[#This Row],[CodBarras2]],2,50)</f>
        <v/>
      </c>
    </row>
    <row r="15885" spans="9:9" x14ac:dyDescent="0.25">
      <c r="I15885" s="227" t="str">
        <f>MID(excPisCofins[[#This Row],[CodBarras2]],2,50)</f>
        <v/>
      </c>
    </row>
    <row r="15886" spans="9:9" x14ac:dyDescent="0.25">
      <c r="I15886" s="227" t="str">
        <f>MID(excPisCofins[[#This Row],[CodBarras2]],2,50)</f>
        <v/>
      </c>
    </row>
    <row r="15887" spans="9:9" x14ac:dyDescent="0.25">
      <c r="I15887" s="227" t="str">
        <f>MID(excPisCofins[[#This Row],[CodBarras2]],2,50)</f>
        <v/>
      </c>
    </row>
    <row r="15888" spans="9:9" x14ac:dyDescent="0.25">
      <c r="I15888" s="227" t="str">
        <f>MID(excPisCofins[[#This Row],[CodBarras2]],2,50)</f>
        <v/>
      </c>
    </row>
    <row r="15889" spans="9:9" x14ac:dyDescent="0.25">
      <c r="I15889" s="227" t="str">
        <f>MID(excPisCofins[[#This Row],[CodBarras2]],2,50)</f>
        <v/>
      </c>
    </row>
    <row r="15890" spans="9:9" x14ac:dyDescent="0.25">
      <c r="I15890" s="227" t="str">
        <f>MID(excPisCofins[[#This Row],[CodBarras2]],2,50)</f>
        <v/>
      </c>
    </row>
    <row r="15891" spans="9:9" x14ac:dyDescent="0.25">
      <c r="I15891" s="227" t="str">
        <f>MID(excPisCofins[[#This Row],[CodBarras2]],2,50)</f>
        <v/>
      </c>
    </row>
    <row r="15892" spans="9:9" x14ac:dyDescent="0.25">
      <c r="I15892" s="227" t="str">
        <f>MID(excPisCofins[[#This Row],[CodBarras2]],2,50)</f>
        <v/>
      </c>
    </row>
    <row r="15893" spans="9:9" x14ac:dyDescent="0.25">
      <c r="I15893" s="227" t="str">
        <f>MID(excPisCofins[[#This Row],[CodBarras2]],2,50)</f>
        <v/>
      </c>
    </row>
    <row r="15894" spans="9:9" x14ac:dyDescent="0.25">
      <c r="I15894" s="227" t="str">
        <f>MID(excPisCofins[[#This Row],[CodBarras2]],2,50)</f>
        <v/>
      </c>
    </row>
    <row r="15895" spans="9:9" x14ac:dyDescent="0.25">
      <c r="I15895" s="227" t="str">
        <f>MID(excPisCofins[[#This Row],[CodBarras2]],2,50)</f>
        <v/>
      </c>
    </row>
    <row r="15896" spans="9:9" x14ac:dyDescent="0.25">
      <c r="I15896" s="227" t="str">
        <f>MID(excPisCofins[[#This Row],[CodBarras2]],2,50)</f>
        <v/>
      </c>
    </row>
    <row r="15897" spans="9:9" x14ac:dyDescent="0.25">
      <c r="I15897" s="227" t="str">
        <f>MID(excPisCofins[[#This Row],[CodBarras2]],2,50)</f>
        <v/>
      </c>
    </row>
    <row r="15898" spans="9:9" x14ac:dyDescent="0.25">
      <c r="I15898" s="227" t="str">
        <f>MID(excPisCofins[[#This Row],[CodBarras2]],2,50)</f>
        <v/>
      </c>
    </row>
    <row r="15899" spans="9:9" x14ac:dyDescent="0.25">
      <c r="I15899" s="227" t="str">
        <f>MID(excPisCofins[[#This Row],[CodBarras2]],2,50)</f>
        <v/>
      </c>
    </row>
    <row r="15900" spans="9:9" x14ac:dyDescent="0.25">
      <c r="I15900" s="227" t="str">
        <f>MID(excPisCofins[[#This Row],[CodBarras2]],2,50)</f>
        <v/>
      </c>
    </row>
    <row r="15901" spans="9:9" x14ac:dyDescent="0.25">
      <c r="I15901" s="227" t="str">
        <f>MID(excPisCofins[[#This Row],[CodBarras2]],2,50)</f>
        <v/>
      </c>
    </row>
    <row r="15902" spans="9:9" x14ac:dyDescent="0.25">
      <c r="I15902" s="227" t="str">
        <f>MID(excPisCofins[[#This Row],[CodBarras2]],2,50)</f>
        <v/>
      </c>
    </row>
    <row r="15903" spans="9:9" x14ac:dyDescent="0.25">
      <c r="I15903" s="227" t="str">
        <f>MID(excPisCofins[[#This Row],[CodBarras2]],2,50)</f>
        <v/>
      </c>
    </row>
    <row r="15904" spans="9:9" x14ac:dyDescent="0.25">
      <c r="I15904" s="227" t="str">
        <f>MID(excPisCofins[[#This Row],[CodBarras2]],2,50)</f>
        <v/>
      </c>
    </row>
    <row r="15905" spans="9:9" x14ac:dyDescent="0.25">
      <c r="I15905" s="227" t="str">
        <f>MID(excPisCofins[[#This Row],[CodBarras2]],2,50)</f>
        <v/>
      </c>
    </row>
    <row r="15906" spans="9:9" x14ac:dyDescent="0.25">
      <c r="I15906" s="227" t="str">
        <f>MID(excPisCofins[[#This Row],[CodBarras2]],2,50)</f>
        <v/>
      </c>
    </row>
    <row r="15907" spans="9:9" x14ac:dyDescent="0.25">
      <c r="I15907" s="227" t="str">
        <f>MID(excPisCofins[[#This Row],[CodBarras2]],2,50)</f>
        <v/>
      </c>
    </row>
    <row r="15908" spans="9:9" x14ac:dyDescent="0.25">
      <c r="I15908" s="227" t="str">
        <f>MID(excPisCofins[[#This Row],[CodBarras2]],2,50)</f>
        <v/>
      </c>
    </row>
    <row r="15909" spans="9:9" x14ac:dyDescent="0.25">
      <c r="I15909" s="227" t="str">
        <f>MID(excPisCofins[[#This Row],[CodBarras2]],2,50)</f>
        <v/>
      </c>
    </row>
    <row r="15910" spans="9:9" x14ac:dyDescent="0.25">
      <c r="I15910" s="227" t="str">
        <f>MID(excPisCofins[[#This Row],[CodBarras2]],2,50)</f>
        <v/>
      </c>
    </row>
    <row r="15911" spans="9:9" x14ac:dyDescent="0.25">
      <c r="I15911" s="227" t="str">
        <f>MID(excPisCofins[[#This Row],[CodBarras2]],2,50)</f>
        <v/>
      </c>
    </row>
    <row r="15912" spans="9:9" x14ac:dyDescent="0.25">
      <c r="I15912" s="227" t="str">
        <f>MID(excPisCofins[[#This Row],[CodBarras2]],2,50)</f>
        <v/>
      </c>
    </row>
    <row r="15913" spans="9:9" x14ac:dyDescent="0.25">
      <c r="I15913" s="227" t="str">
        <f>MID(excPisCofins[[#This Row],[CodBarras2]],2,50)</f>
        <v/>
      </c>
    </row>
    <row r="15914" spans="9:9" x14ac:dyDescent="0.25">
      <c r="I15914" s="227" t="str">
        <f>MID(excPisCofins[[#This Row],[CodBarras2]],2,50)</f>
        <v/>
      </c>
    </row>
    <row r="15915" spans="9:9" x14ac:dyDescent="0.25">
      <c r="I15915" s="227" t="str">
        <f>MID(excPisCofins[[#This Row],[CodBarras2]],2,50)</f>
        <v/>
      </c>
    </row>
    <row r="15916" spans="9:9" x14ac:dyDescent="0.25">
      <c r="I15916" s="227" t="str">
        <f>MID(excPisCofins[[#This Row],[CodBarras2]],2,50)</f>
        <v/>
      </c>
    </row>
    <row r="15917" spans="9:9" x14ac:dyDescent="0.25">
      <c r="I15917" s="227" t="str">
        <f>MID(excPisCofins[[#This Row],[CodBarras2]],2,50)</f>
        <v/>
      </c>
    </row>
    <row r="15918" spans="9:9" x14ac:dyDescent="0.25">
      <c r="I15918" s="227" t="str">
        <f>MID(excPisCofins[[#This Row],[CodBarras2]],2,50)</f>
        <v/>
      </c>
    </row>
    <row r="15919" spans="9:9" x14ac:dyDescent="0.25">
      <c r="I15919" s="227" t="str">
        <f>MID(excPisCofins[[#This Row],[CodBarras2]],2,50)</f>
        <v/>
      </c>
    </row>
    <row r="15920" spans="9:9" x14ac:dyDescent="0.25">
      <c r="I15920" s="227" t="str">
        <f>MID(excPisCofins[[#This Row],[CodBarras2]],2,50)</f>
        <v/>
      </c>
    </row>
    <row r="15921" spans="9:9" x14ac:dyDescent="0.25">
      <c r="I15921" s="227" t="str">
        <f>MID(excPisCofins[[#This Row],[CodBarras2]],2,50)</f>
        <v/>
      </c>
    </row>
    <row r="15922" spans="9:9" x14ac:dyDescent="0.25">
      <c r="I15922" s="227" t="str">
        <f>MID(excPisCofins[[#This Row],[CodBarras2]],2,50)</f>
        <v/>
      </c>
    </row>
    <row r="15923" spans="9:9" x14ac:dyDescent="0.25">
      <c r="I15923" s="227" t="str">
        <f>MID(excPisCofins[[#This Row],[CodBarras2]],2,50)</f>
        <v/>
      </c>
    </row>
    <row r="15924" spans="9:9" x14ac:dyDescent="0.25">
      <c r="I15924" s="227" t="str">
        <f>MID(excPisCofins[[#This Row],[CodBarras2]],2,50)</f>
        <v/>
      </c>
    </row>
    <row r="15925" spans="9:9" x14ac:dyDescent="0.25">
      <c r="I15925" s="227" t="str">
        <f>MID(excPisCofins[[#This Row],[CodBarras2]],2,50)</f>
        <v/>
      </c>
    </row>
    <row r="15926" spans="9:9" x14ac:dyDescent="0.25">
      <c r="I15926" s="227" t="str">
        <f>MID(excPisCofins[[#This Row],[CodBarras2]],2,50)</f>
        <v/>
      </c>
    </row>
    <row r="15927" spans="9:9" x14ac:dyDescent="0.25">
      <c r="I15927" s="227" t="str">
        <f>MID(excPisCofins[[#This Row],[CodBarras2]],2,50)</f>
        <v/>
      </c>
    </row>
    <row r="15928" spans="9:9" x14ac:dyDescent="0.25">
      <c r="I15928" s="227" t="str">
        <f>MID(excPisCofins[[#This Row],[CodBarras2]],2,50)</f>
        <v/>
      </c>
    </row>
    <row r="15929" spans="9:9" x14ac:dyDescent="0.25">
      <c r="I15929" s="227" t="str">
        <f>MID(excPisCofins[[#This Row],[CodBarras2]],2,50)</f>
        <v/>
      </c>
    </row>
    <row r="15930" spans="9:9" x14ac:dyDescent="0.25">
      <c r="I15930" s="227" t="str">
        <f>MID(excPisCofins[[#This Row],[CodBarras2]],2,50)</f>
        <v/>
      </c>
    </row>
    <row r="15931" spans="9:9" x14ac:dyDescent="0.25">
      <c r="I15931" s="227" t="str">
        <f>MID(excPisCofins[[#This Row],[CodBarras2]],2,50)</f>
        <v/>
      </c>
    </row>
    <row r="15932" spans="9:9" x14ac:dyDescent="0.25">
      <c r="I15932" s="227" t="str">
        <f>MID(excPisCofins[[#This Row],[CodBarras2]],2,50)</f>
        <v/>
      </c>
    </row>
    <row r="15933" spans="9:9" x14ac:dyDescent="0.25">
      <c r="I15933" s="227" t="str">
        <f>MID(excPisCofins[[#This Row],[CodBarras2]],2,50)</f>
        <v/>
      </c>
    </row>
    <row r="15934" spans="9:9" x14ac:dyDescent="0.25">
      <c r="I15934" s="227" t="str">
        <f>MID(excPisCofins[[#This Row],[CodBarras2]],2,50)</f>
        <v/>
      </c>
    </row>
    <row r="15935" spans="9:9" x14ac:dyDescent="0.25">
      <c r="I15935" s="227" t="str">
        <f>MID(excPisCofins[[#This Row],[CodBarras2]],2,50)</f>
        <v/>
      </c>
    </row>
    <row r="15936" spans="9:9" x14ac:dyDescent="0.25">
      <c r="I15936" s="227" t="str">
        <f>MID(excPisCofins[[#This Row],[CodBarras2]],2,50)</f>
        <v/>
      </c>
    </row>
    <row r="15937" spans="9:9" x14ac:dyDescent="0.25">
      <c r="I15937" s="227" t="str">
        <f>MID(excPisCofins[[#This Row],[CodBarras2]],2,50)</f>
        <v/>
      </c>
    </row>
    <row r="15938" spans="9:9" x14ac:dyDescent="0.25">
      <c r="I15938" s="227" t="str">
        <f>MID(excPisCofins[[#This Row],[CodBarras2]],2,50)</f>
        <v/>
      </c>
    </row>
    <row r="15939" spans="9:9" x14ac:dyDescent="0.25">
      <c r="I15939" s="227" t="str">
        <f>MID(excPisCofins[[#This Row],[CodBarras2]],2,50)</f>
        <v/>
      </c>
    </row>
    <row r="15940" spans="9:9" x14ac:dyDescent="0.25">
      <c r="I15940" s="227" t="str">
        <f>MID(excPisCofins[[#This Row],[CodBarras2]],2,50)</f>
        <v/>
      </c>
    </row>
    <row r="15941" spans="9:9" x14ac:dyDescent="0.25">
      <c r="I15941" s="227" t="str">
        <f>MID(excPisCofins[[#This Row],[CodBarras2]],2,50)</f>
        <v/>
      </c>
    </row>
    <row r="15942" spans="9:9" x14ac:dyDescent="0.25">
      <c r="I15942" s="227" t="str">
        <f>MID(excPisCofins[[#This Row],[CodBarras2]],2,50)</f>
        <v/>
      </c>
    </row>
    <row r="15943" spans="9:9" x14ac:dyDescent="0.25">
      <c r="I15943" s="227" t="str">
        <f>MID(excPisCofins[[#This Row],[CodBarras2]],2,50)</f>
        <v/>
      </c>
    </row>
    <row r="15944" spans="9:9" x14ac:dyDescent="0.25">
      <c r="I15944" s="227" t="str">
        <f>MID(excPisCofins[[#This Row],[CodBarras2]],2,50)</f>
        <v/>
      </c>
    </row>
    <row r="15945" spans="9:9" x14ac:dyDescent="0.25">
      <c r="I15945" s="227" t="str">
        <f>MID(excPisCofins[[#This Row],[CodBarras2]],2,50)</f>
        <v/>
      </c>
    </row>
    <row r="15946" spans="9:9" x14ac:dyDescent="0.25">
      <c r="I15946" s="227" t="str">
        <f>MID(excPisCofins[[#This Row],[CodBarras2]],2,50)</f>
        <v/>
      </c>
    </row>
    <row r="15947" spans="9:9" x14ac:dyDescent="0.25">
      <c r="I15947" s="227" t="str">
        <f>MID(excPisCofins[[#This Row],[CodBarras2]],2,50)</f>
        <v/>
      </c>
    </row>
    <row r="15948" spans="9:9" x14ac:dyDescent="0.25">
      <c r="I15948" s="227" t="str">
        <f>MID(excPisCofins[[#This Row],[CodBarras2]],2,50)</f>
        <v/>
      </c>
    </row>
    <row r="15949" spans="9:9" x14ac:dyDescent="0.25">
      <c r="I15949" s="227" t="str">
        <f>MID(excPisCofins[[#This Row],[CodBarras2]],2,50)</f>
        <v/>
      </c>
    </row>
    <row r="15950" spans="9:9" x14ac:dyDescent="0.25">
      <c r="I15950" s="227" t="str">
        <f>MID(excPisCofins[[#This Row],[CodBarras2]],2,50)</f>
        <v/>
      </c>
    </row>
    <row r="15951" spans="9:9" x14ac:dyDescent="0.25">
      <c r="I15951" s="227" t="str">
        <f>MID(excPisCofins[[#This Row],[CodBarras2]],2,50)</f>
        <v/>
      </c>
    </row>
    <row r="15952" spans="9:9" x14ac:dyDescent="0.25">
      <c r="I15952" s="227" t="str">
        <f>MID(excPisCofins[[#This Row],[CodBarras2]],2,50)</f>
        <v/>
      </c>
    </row>
    <row r="15953" spans="9:9" x14ac:dyDescent="0.25">
      <c r="I15953" s="227" t="str">
        <f>MID(excPisCofins[[#This Row],[CodBarras2]],2,50)</f>
        <v/>
      </c>
    </row>
    <row r="15954" spans="9:9" x14ac:dyDescent="0.25">
      <c r="I15954" s="227" t="str">
        <f>MID(excPisCofins[[#This Row],[CodBarras2]],2,50)</f>
        <v/>
      </c>
    </row>
    <row r="15955" spans="9:9" x14ac:dyDescent="0.25">
      <c r="I15955" s="227" t="str">
        <f>MID(excPisCofins[[#This Row],[CodBarras2]],2,50)</f>
        <v/>
      </c>
    </row>
    <row r="15956" spans="9:9" x14ac:dyDescent="0.25">
      <c r="I15956" s="227" t="str">
        <f>MID(excPisCofins[[#This Row],[CodBarras2]],2,50)</f>
        <v/>
      </c>
    </row>
    <row r="15957" spans="9:9" x14ac:dyDescent="0.25">
      <c r="I15957" s="227" t="str">
        <f>MID(excPisCofins[[#This Row],[CodBarras2]],2,50)</f>
        <v/>
      </c>
    </row>
    <row r="15958" spans="9:9" x14ac:dyDescent="0.25">
      <c r="I15958" s="227" t="str">
        <f>MID(excPisCofins[[#This Row],[CodBarras2]],2,50)</f>
        <v/>
      </c>
    </row>
    <row r="15959" spans="9:9" x14ac:dyDescent="0.25">
      <c r="I15959" s="227" t="str">
        <f>MID(excPisCofins[[#This Row],[CodBarras2]],2,50)</f>
        <v/>
      </c>
    </row>
    <row r="15960" spans="9:9" x14ac:dyDescent="0.25">
      <c r="I15960" s="227" t="str">
        <f>MID(excPisCofins[[#This Row],[CodBarras2]],2,50)</f>
        <v/>
      </c>
    </row>
    <row r="15961" spans="9:9" x14ac:dyDescent="0.25">
      <c r="I15961" s="227" t="str">
        <f>MID(excPisCofins[[#This Row],[CodBarras2]],2,50)</f>
        <v/>
      </c>
    </row>
    <row r="15962" spans="9:9" x14ac:dyDescent="0.25">
      <c r="I15962" s="227" t="str">
        <f>MID(excPisCofins[[#This Row],[CodBarras2]],2,50)</f>
        <v/>
      </c>
    </row>
    <row r="15963" spans="9:9" x14ac:dyDescent="0.25">
      <c r="I15963" s="227" t="str">
        <f>MID(excPisCofins[[#This Row],[CodBarras2]],2,50)</f>
        <v/>
      </c>
    </row>
    <row r="15964" spans="9:9" x14ac:dyDescent="0.25">
      <c r="I15964" s="227" t="str">
        <f>MID(excPisCofins[[#This Row],[CodBarras2]],2,50)</f>
        <v/>
      </c>
    </row>
    <row r="15965" spans="9:9" x14ac:dyDescent="0.25">
      <c r="I15965" s="227" t="str">
        <f>MID(excPisCofins[[#This Row],[CodBarras2]],2,50)</f>
        <v/>
      </c>
    </row>
    <row r="15966" spans="9:9" x14ac:dyDescent="0.25">
      <c r="I15966" s="227" t="str">
        <f>MID(excPisCofins[[#This Row],[CodBarras2]],2,50)</f>
        <v/>
      </c>
    </row>
    <row r="15967" spans="9:9" x14ac:dyDescent="0.25">
      <c r="I15967" s="227" t="str">
        <f>MID(excPisCofins[[#This Row],[CodBarras2]],2,50)</f>
        <v/>
      </c>
    </row>
    <row r="15968" spans="9:9" x14ac:dyDescent="0.25">
      <c r="I15968" s="227" t="str">
        <f>MID(excPisCofins[[#This Row],[CodBarras2]],2,50)</f>
        <v/>
      </c>
    </row>
    <row r="15969" spans="9:9" x14ac:dyDescent="0.25">
      <c r="I15969" s="227" t="str">
        <f>MID(excPisCofins[[#This Row],[CodBarras2]],2,50)</f>
        <v/>
      </c>
    </row>
    <row r="15970" spans="9:9" x14ac:dyDescent="0.25">
      <c r="I15970" s="227" t="str">
        <f>MID(excPisCofins[[#This Row],[CodBarras2]],2,50)</f>
        <v/>
      </c>
    </row>
    <row r="15971" spans="9:9" x14ac:dyDescent="0.25">
      <c r="I15971" s="227" t="str">
        <f>MID(excPisCofins[[#This Row],[CodBarras2]],2,50)</f>
        <v/>
      </c>
    </row>
    <row r="15972" spans="9:9" x14ac:dyDescent="0.25">
      <c r="I15972" s="227" t="str">
        <f>MID(excPisCofins[[#This Row],[CodBarras2]],2,50)</f>
        <v/>
      </c>
    </row>
    <row r="15973" spans="9:9" x14ac:dyDescent="0.25">
      <c r="I15973" s="227" t="str">
        <f>MID(excPisCofins[[#This Row],[CodBarras2]],2,50)</f>
        <v/>
      </c>
    </row>
    <row r="15974" spans="9:9" x14ac:dyDescent="0.25">
      <c r="I15974" s="227" t="str">
        <f>MID(excPisCofins[[#This Row],[CodBarras2]],2,50)</f>
        <v/>
      </c>
    </row>
    <row r="15975" spans="9:9" x14ac:dyDescent="0.25">
      <c r="I15975" s="227" t="str">
        <f>MID(excPisCofins[[#This Row],[CodBarras2]],2,50)</f>
        <v/>
      </c>
    </row>
    <row r="15976" spans="9:9" x14ac:dyDescent="0.25">
      <c r="I15976" s="227" t="str">
        <f>MID(excPisCofins[[#This Row],[CodBarras2]],2,50)</f>
        <v/>
      </c>
    </row>
    <row r="15977" spans="9:9" x14ac:dyDescent="0.25">
      <c r="I15977" s="227" t="str">
        <f>MID(excPisCofins[[#This Row],[CodBarras2]],2,50)</f>
        <v/>
      </c>
    </row>
    <row r="15978" spans="9:9" x14ac:dyDescent="0.25">
      <c r="I15978" s="227" t="str">
        <f>MID(excPisCofins[[#This Row],[CodBarras2]],2,50)</f>
        <v/>
      </c>
    </row>
    <row r="15979" spans="9:9" x14ac:dyDescent="0.25">
      <c r="I15979" s="227" t="str">
        <f>MID(excPisCofins[[#This Row],[CodBarras2]],2,50)</f>
        <v/>
      </c>
    </row>
    <row r="15980" spans="9:9" x14ac:dyDescent="0.25">
      <c r="I15980" s="227" t="str">
        <f>MID(excPisCofins[[#This Row],[CodBarras2]],2,50)</f>
        <v/>
      </c>
    </row>
    <row r="15981" spans="9:9" x14ac:dyDescent="0.25">
      <c r="I15981" s="227" t="str">
        <f>MID(excPisCofins[[#This Row],[CodBarras2]],2,50)</f>
        <v/>
      </c>
    </row>
    <row r="15982" spans="9:9" x14ac:dyDescent="0.25">
      <c r="I15982" s="227" t="str">
        <f>MID(excPisCofins[[#This Row],[CodBarras2]],2,50)</f>
        <v/>
      </c>
    </row>
    <row r="15983" spans="9:9" x14ac:dyDescent="0.25">
      <c r="I15983" s="227" t="str">
        <f>MID(excPisCofins[[#This Row],[CodBarras2]],2,50)</f>
        <v/>
      </c>
    </row>
    <row r="15984" spans="9:9" x14ac:dyDescent="0.25">
      <c r="I15984" s="227" t="str">
        <f>MID(excPisCofins[[#This Row],[CodBarras2]],2,50)</f>
        <v/>
      </c>
    </row>
    <row r="15985" spans="9:9" x14ac:dyDescent="0.25">
      <c r="I15985" s="227" t="str">
        <f>MID(excPisCofins[[#This Row],[CodBarras2]],2,50)</f>
        <v/>
      </c>
    </row>
    <row r="15986" spans="9:9" x14ac:dyDescent="0.25">
      <c r="I15986" s="227" t="str">
        <f>MID(excPisCofins[[#This Row],[CodBarras2]],2,50)</f>
        <v/>
      </c>
    </row>
    <row r="15987" spans="9:9" x14ac:dyDescent="0.25">
      <c r="I15987" s="227" t="str">
        <f>MID(excPisCofins[[#This Row],[CodBarras2]],2,50)</f>
        <v/>
      </c>
    </row>
    <row r="15988" spans="9:9" x14ac:dyDescent="0.25">
      <c r="I15988" s="227" t="str">
        <f>MID(excPisCofins[[#This Row],[CodBarras2]],2,50)</f>
        <v/>
      </c>
    </row>
    <row r="15989" spans="9:9" x14ac:dyDescent="0.25">
      <c r="I15989" s="227" t="str">
        <f>MID(excPisCofins[[#This Row],[CodBarras2]],2,50)</f>
        <v/>
      </c>
    </row>
    <row r="15990" spans="9:9" x14ac:dyDescent="0.25">
      <c r="I15990" s="227" t="str">
        <f>MID(excPisCofins[[#This Row],[CodBarras2]],2,50)</f>
        <v/>
      </c>
    </row>
    <row r="15991" spans="9:9" x14ac:dyDescent="0.25">
      <c r="I15991" s="227" t="str">
        <f>MID(excPisCofins[[#This Row],[CodBarras2]],2,50)</f>
        <v/>
      </c>
    </row>
    <row r="15992" spans="9:9" x14ac:dyDescent="0.25">
      <c r="I15992" s="227" t="str">
        <f>MID(excPisCofins[[#This Row],[CodBarras2]],2,50)</f>
        <v/>
      </c>
    </row>
    <row r="15993" spans="9:9" x14ac:dyDescent="0.25">
      <c r="I15993" s="227" t="str">
        <f>MID(excPisCofins[[#This Row],[CodBarras2]],2,50)</f>
        <v/>
      </c>
    </row>
    <row r="15994" spans="9:9" x14ac:dyDescent="0.25">
      <c r="I15994" s="227" t="str">
        <f>MID(excPisCofins[[#This Row],[CodBarras2]],2,50)</f>
        <v/>
      </c>
    </row>
    <row r="15995" spans="9:9" x14ac:dyDescent="0.25">
      <c r="I15995" s="227" t="str">
        <f>MID(excPisCofins[[#This Row],[CodBarras2]],2,50)</f>
        <v/>
      </c>
    </row>
    <row r="15996" spans="9:9" x14ac:dyDescent="0.25">
      <c r="I15996" s="227" t="str">
        <f>MID(excPisCofins[[#This Row],[CodBarras2]],2,50)</f>
        <v/>
      </c>
    </row>
    <row r="15997" spans="9:9" x14ac:dyDescent="0.25">
      <c r="I15997" s="227" t="str">
        <f>MID(excPisCofins[[#This Row],[CodBarras2]],2,50)</f>
        <v/>
      </c>
    </row>
    <row r="15998" spans="9:9" x14ac:dyDescent="0.25">
      <c r="I15998" s="227" t="str">
        <f>MID(excPisCofins[[#This Row],[CodBarras2]],2,50)</f>
        <v/>
      </c>
    </row>
    <row r="15999" spans="9:9" x14ac:dyDescent="0.25">
      <c r="I15999" s="227" t="str">
        <f>MID(excPisCofins[[#This Row],[CodBarras2]],2,50)</f>
        <v/>
      </c>
    </row>
    <row r="16000" spans="9:9" x14ac:dyDescent="0.25">
      <c r="I16000" s="227" t="str">
        <f>MID(excPisCofins[[#This Row],[CodBarras2]],2,50)</f>
        <v/>
      </c>
    </row>
    <row r="16001" spans="9:9" x14ac:dyDescent="0.25">
      <c r="I16001" s="227" t="str">
        <f>MID(excPisCofins[[#This Row],[CodBarras2]],2,50)</f>
        <v/>
      </c>
    </row>
    <row r="16002" spans="9:9" x14ac:dyDescent="0.25">
      <c r="I16002" s="227" t="str">
        <f>MID(excPisCofins[[#This Row],[CodBarras2]],2,50)</f>
        <v/>
      </c>
    </row>
    <row r="16003" spans="9:9" x14ac:dyDescent="0.25">
      <c r="I16003" s="227" t="str">
        <f>MID(excPisCofins[[#This Row],[CodBarras2]],2,50)</f>
        <v/>
      </c>
    </row>
    <row r="16004" spans="9:9" x14ac:dyDescent="0.25">
      <c r="I16004" s="227" t="str">
        <f>MID(excPisCofins[[#This Row],[CodBarras2]],2,50)</f>
        <v/>
      </c>
    </row>
    <row r="16005" spans="9:9" x14ac:dyDescent="0.25">
      <c r="I16005" s="227" t="str">
        <f>MID(excPisCofins[[#This Row],[CodBarras2]],2,50)</f>
        <v/>
      </c>
    </row>
    <row r="16006" spans="9:9" x14ac:dyDescent="0.25">
      <c r="I16006" s="227" t="str">
        <f>MID(excPisCofins[[#This Row],[CodBarras2]],2,50)</f>
        <v/>
      </c>
    </row>
    <row r="16007" spans="9:9" x14ac:dyDescent="0.25">
      <c r="I16007" s="227" t="str">
        <f>MID(excPisCofins[[#This Row],[CodBarras2]],2,50)</f>
        <v/>
      </c>
    </row>
    <row r="16008" spans="9:9" x14ac:dyDescent="0.25">
      <c r="I16008" s="227" t="str">
        <f>MID(excPisCofins[[#This Row],[CodBarras2]],2,50)</f>
        <v/>
      </c>
    </row>
    <row r="16009" spans="9:9" x14ac:dyDescent="0.25">
      <c r="I16009" s="227" t="str">
        <f>MID(excPisCofins[[#This Row],[CodBarras2]],2,50)</f>
        <v/>
      </c>
    </row>
    <row r="16010" spans="9:9" x14ac:dyDescent="0.25">
      <c r="I16010" s="227" t="str">
        <f>MID(excPisCofins[[#This Row],[CodBarras2]],2,50)</f>
        <v/>
      </c>
    </row>
    <row r="16011" spans="9:9" x14ac:dyDescent="0.25">
      <c r="I16011" s="227" t="str">
        <f>MID(excPisCofins[[#This Row],[CodBarras2]],2,50)</f>
        <v/>
      </c>
    </row>
    <row r="16012" spans="9:9" x14ac:dyDescent="0.25">
      <c r="I16012" s="227" t="str">
        <f>MID(excPisCofins[[#This Row],[CodBarras2]],2,50)</f>
        <v/>
      </c>
    </row>
    <row r="16013" spans="9:9" x14ac:dyDescent="0.25">
      <c r="I16013" s="227" t="str">
        <f>MID(excPisCofins[[#This Row],[CodBarras2]],2,50)</f>
        <v/>
      </c>
    </row>
    <row r="16014" spans="9:9" x14ac:dyDescent="0.25">
      <c r="I16014" s="227" t="str">
        <f>MID(excPisCofins[[#This Row],[CodBarras2]],2,50)</f>
        <v/>
      </c>
    </row>
    <row r="16015" spans="9:9" x14ac:dyDescent="0.25">
      <c r="I16015" s="227" t="str">
        <f>MID(excPisCofins[[#This Row],[CodBarras2]],2,50)</f>
        <v/>
      </c>
    </row>
    <row r="16016" spans="9:9" x14ac:dyDescent="0.25">
      <c r="I16016" s="227" t="str">
        <f>MID(excPisCofins[[#This Row],[CodBarras2]],2,50)</f>
        <v/>
      </c>
    </row>
    <row r="16017" spans="9:9" x14ac:dyDescent="0.25">
      <c r="I16017" s="227" t="str">
        <f>MID(excPisCofins[[#This Row],[CodBarras2]],2,50)</f>
        <v/>
      </c>
    </row>
    <row r="16018" spans="9:9" x14ac:dyDescent="0.25">
      <c r="I16018" s="227" t="str">
        <f>MID(excPisCofins[[#This Row],[CodBarras2]],2,50)</f>
        <v/>
      </c>
    </row>
    <row r="16019" spans="9:9" x14ac:dyDescent="0.25">
      <c r="I16019" s="227" t="str">
        <f>MID(excPisCofins[[#This Row],[CodBarras2]],2,50)</f>
        <v/>
      </c>
    </row>
    <row r="16020" spans="9:9" x14ac:dyDescent="0.25">
      <c r="I16020" s="227" t="str">
        <f>MID(excPisCofins[[#This Row],[CodBarras2]],2,50)</f>
        <v/>
      </c>
    </row>
    <row r="16021" spans="9:9" x14ac:dyDescent="0.25">
      <c r="I16021" s="227" t="str">
        <f>MID(excPisCofins[[#This Row],[CodBarras2]],2,50)</f>
        <v/>
      </c>
    </row>
    <row r="16022" spans="9:9" x14ac:dyDescent="0.25">
      <c r="I16022" s="227" t="str">
        <f>MID(excPisCofins[[#This Row],[CodBarras2]],2,50)</f>
        <v/>
      </c>
    </row>
    <row r="16023" spans="9:9" x14ac:dyDescent="0.25">
      <c r="I16023" s="227" t="str">
        <f>MID(excPisCofins[[#This Row],[CodBarras2]],2,50)</f>
        <v/>
      </c>
    </row>
    <row r="16024" spans="9:9" x14ac:dyDescent="0.25">
      <c r="I16024" s="227" t="str">
        <f>MID(excPisCofins[[#This Row],[CodBarras2]],2,50)</f>
        <v/>
      </c>
    </row>
    <row r="16025" spans="9:9" x14ac:dyDescent="0.25">
      <c r="I16025" s="227" t="str">
        <f>MID(excPisCofins[[#This Row],[CodBarras2]],2,50)</f>
        <v/>
      </c>
    </row>
    <row r="16026" spans="9:9" x14ac:dyDescent="0.25">
      <c r="I16026" s="227" t="str">
        <f>MID(excPisCofins[[#This Row],[CodBarras2]],2,50)</f>
        <v/>
      </c>
    </row>
    <row r="16027" spans="9:9" x14ac:dyDescent="0.25">
      <c r="I16027" s="227" t="str">
        <f>MID(excPisCofins[[#This Row],[CodBarras2]],2,50)</f>
        <v/>
      </c>
    </row>
    <row r="16028" spans="9:9" x14ac:dyDescent="0.25">
      <c r="I16028" s="227" t="str">
        <f>MID(excPisCofins[[#This Row],[CodBarras2]],2,50)</f>
        <v/>
      </c>
    </row>
    <row r="16029" spans="9:9" x14ac:dyDescent="0.25">
      <c r="I16029" s="227" t="str">
        <f>MID(excPisCofins[[#This Row],[CodBarras2]],2,50)</f>
        <v/>
      </c>
    </row>
    <row r="16030" spans="9:9" x14ac:dyDescent="0.25">
      <c r="I16030" s="227" t="str">
        <f>MID(excPisCofins[[#This Row],[CodBarras2]],2,50)</f>
        <v/>
      </c>
    </row>
    <row r="16031" spans="9:9" x14ac:dyDescent="0.25">
      <c r="I16031" s="227" t="str">
        <f>MID(excPisCofins[[#This Row],[CodBarras2]],2,50)</f>
        <v/>
      </c>
    </row>
    <row r="16032" spans="9:9" x14ac:dyDescent="0.25">
      <c r="I16032" s="227" t="str">
        <f>MID(excPisCofins[[#This Row],[CodBarras2]],2,50)</f>
        <v/>
      </c>
    </row>
    <row r="16033" spans="9:9" x14ac:dyDescent="0.25">
      <c r="I16033" s="227" t="str">
        <f>MID(excPisCofins[[#This Row],[CodBarras2]],2,50)</f>
        <v/>
      </c>
    </row>
    <row r="16034" spans="9:9" x14ac:dyDescent="0.25">
      <c r="I16034" s="227" t="str">
        <f>MID(excPisCofins[[#This Row],[CodBarras2]],2,50)</f>
        <v/>
      </c>
    </row>
    <row r="16035" spans="9:9" x14ac:dyDescent="0.25">
      <c r="I16035" s="227" t="str">
        <f>MID(excPisCofins[[#This Row],[CodBarras2]],2,50)</f>
        <v/>
      </c>
    </row>
    <row r="16036" spans="9:9" x14ac:dyDescent="0.25">
      <c r="I16036" s="227" t="str">
        <f>MID(excPisCofins[[#This Row],[CodBarras2]],2,50)</f>
        <v/>
      </c>
    </row>
    <row r="16037" spans="9:9" x14ac:dyDescent="0.25">
      <c r="I16037" s="227" t="str">
        <f>MID(excPisCofins[[#This Row],[CodBarras2]],2,50)</f>
        <v/>
      </c>
    </row>
    <row r="16038" spans="9:9" x14ac:dyDescent="0.25">
      <c r="I16038" s="227" t="str">
        <f>MID(excPisCofins[[#This Row],[CodBarras2]],2,50)</f>
        <v/>
      </c>
    </row>
    <row r="16039" spans="9:9" x14ac:dyDescent="0.25">
      <c r="I16039" s="227" t="str">
        <f>MID(excPisCofins[[#This Row],[CodBarras2]],2,50)</f>
        <v/>
      </c>
    </row>
    <row r="16040" spans="9:9" x14ac:dyDescent="0.25">
      <c r="I16040" s="227" t="str">
        <f>MID(excPisCofins[[#This Row],[CodBarras2]],2,50)</f>
        <v/>
      </c>
    </row>
    <row r="16041" spans="9:9" x14ac:dyDescent="0.25">
      <c r="I16041" s="227" t="str">
        <f>MID(excPisCofins[[#This Row],[CodBarras2]],2,50)</f>
        <v/>
      </c>
    </row>
    <row r="16042" spans="9:9" x14ac:dyDescent="0.25">
      <c r="I16042" s="227" t="str">
        <f>MID(excPisCofins[[#This Row],[CodBarras2]],2,50)</f>
        <v/>
      </c>
    </row>
    <row r="16043" spans="9:9" x14ac:dyDescent="0.25">
      <c r="I16043" s="227" t="str">
        <f>MID(excPisCofins[[#This Row],[CodBarras2]],2,50)</f>
        <v/>
      </c>
    </row>
    <row r="16044" spans="9:9" x14ac:dyDescent="0.25">
      <c r="I16044" s="227" t="str">
        <f>MID(excPisCofins[[#This Row],[CodBarras2]],2,50)</f>
        <v/>
      </c>
    </row>
    <row r="16045" spans="9:9" x14ac:dyDescent="0.25">
      <c r="I16045" s="227" t="str">
        <f>MID(excPisCofins[[#This Row],[CodBarras2]],2,50)</f>
        <v/>
      </c>
    </row>
    <row r="16046" spans="9:9" x14ac:dyDescent="0.25">
      <c r="I16046" s="227" t="str">
        <f>MID(excPisCofins[[#This Row],[CodBarras2]],2,50)</f>
        <v/>
      </c>
    </row>
    <row r="16047" spans="9:9" x14ac:dyDescent="0.25">
      <c r="I16047" s="227" t="str">
        <f>MID(excPisCofins[[#This Row],[CodBarras2]],2,50)</f>
        <v/>
      </c>
    </row>
    <row r="16048" spans="9:9" x14ac:dyDescent="0.25">
      <c r="I16048" s="227" t="str">
        <f>MID(excPisCofins[[#This Row],[CodBarras2]],2,50)</f>
        <v/>
      </c>
    </row>
    <row r="16049" spans="9:9" x14ac:dyDescent="0.25">
      <c r="I16049" s="227" t="str">
        <f>MID(excPisCofins[[#This Row],[CodBarras2]],2,50)</f>
        <v/>
      </c>
    </row>
    <row r="16050" spans="9:9" x14ac:dyDescent="0.25">
      <c r="I16050" s="227" t="str">
        <f>MID(excPisCofins[[#This Row],[CodBarras2]],2,50)</f>
        <v/>
      </c>
    </row>
    <row r="16051" spans="9:9" x14ac:dyDescent="0.25">
      <c r="I16051" s="227" t="str">
        <f>MID(excPisCofins[[#This Row],[CodBarras2]],2,50)</f>
        <v/>
      </c>
    </row>
    <row r="16052" spans="9:9" x14ac:dyDescent="0.25">
      <c r="I16052" s="227" t="str">
        <f>MID(excPisCofins[[#This Row],[CodBarras2]],2,50)</f>
        <v/>
      </c>
    </row>
    <row r="16053" spans="9:9" x14ac:dyDescent="0.25">
      <c r="I16053" s="227" t="str">
        <f>MID(excPisCofins[[#This Row],[CodBarras2]],2,50)</f>
        <v/>
      </c>
    </row>
    <row r="16054" spans="9:9" x14ac:dyDescent="0.25">
      <c r="I16054" s="227" t="str">
        <f>MID(excPisCofins[[#This Row],[CodBarras2]],2,50)</f>
        <v/>
      </c>
    </row>
    <row r="16055" spans="9:9" x14ac:dyDescent="0.25">
      <c r="I16055" s="227" t="str">
        <f>MID(excPisCofins[[#This Row],[CodBarras2]],2,50)</f>
        <v/>
      </c>
    </row>
    <row r="16056" spans="9:9" x14ac:dyDescent="0.25">
      <c r="I16056" s="227" t="str">
        <f>MID(excPisCofins[[#This Row],[CodBarras2]],2,50)</f>
        <v/>
      </c>
    </row>
    <row r="16057" spans="9:9" x14ac:dyDescent="0.25">
      <c r="I16057" s="227" t="str">
        <f>MID(excPisCofins[[#This Row],[CodBarras2]],2,50)</f>
        <v/>
      </c>
    </row>
    <row r="16058" spans="9:9" x14ac:dyDescent="0.25">
      <c r="I16058" s="227" t="str">
        <f>MID(excPisCofins[[#This Row],[CodBarras2]],2,50)</f>
        <v/>
      </c>
    </row>
    <row r="16059" spans="9:9" x14ac:dyDescent="0.25">
      <c r="I16059" s="227" t="str">
        <f>MID(excPisCofins[[#This Row],[CodBarras2]],2,50)</f>
        <v/>
      </c>
    </row>
    <row r="16060" spans="9:9" x14ac:dyDescent="0.25">
      <c r="I16060" s="227" t="str">
        <f>MID(excPisCofins[[#This Row],[CodBarras2]],2,50)</f>
        <v/>
      </c>
    </row>
    <row r="16061" spans="9:9" x14ac:dyDescent="0.25">
      <c r="I16061" s="227" t="str">
        <f>MID(excPisCofins[[#This Row],[CodBarras2]],2,50)</f>
        <v/>
      </c>
    </row>
    <row r="16062" spans="9:9" x14ac:dyDescent="0.25">
      <c r="I16062" s="227" t="str">
        <f>MID(excPisCofins[[#This Row],[CodBarras2]],2,50)</f>
        <v/>
      </c>
    </row>
    <row r="16063" spans="9:9" x14ac:dyDescent="0.25">
      <c r="I16063" s="227" t="str">
        <f>MID(excPisCofins[[#This Row],[CodBarras2]],2,50)</f>
        <v/>
      </c>
    </row>
    <row r="16064" spans="9:9" x14ac:dyDescent="0.25">
      <c r="I16064" s="227" t="str">
        <f>MID(excPisCofins[[#This Row],[CodBarras2]],2,50)</f>
        <v/>
      </c>
    </row>
    <row r="16065" spans="9:9" x14ac:dyDescent="0.25">
      <c r="I16065" s="227" t="str">
        <f>MID(excPisCofins[[#This Row],[CodBarras2]],2,50)</f>
        <v/>
      </c>
    </row>
    <row r="16066" spans="9:9" x14ac:dyDescent="0.25">
      <c r="I16066" s="227" t="str">
        <f>MID(excPisCofins[[#This Row],[CodBarras2]],2,50)</f>
        <v/>
      </c>
    </row>
    <row r="16067" spans="9:9" x14ac:dyDescent="0.25">
      <c r="I16067" s="227" t="str">
        <f>MID(excPisCofins[[#This Row],[CodBarras2]],2,50)</f>
        <v/>
      </c>
    </row>
    <row r="16068" spans="9:9" x14ac:dyDescent="0.25">
      <c r="I16068" s="227" t="str">
        <f>MID(excPisCofins[[#This Row],[CodBarras2]],2,50)</f>
        <v/>
      </c>
    </row>
    <row r="16069" spans="9:9" x14ac:dyDescent="0.25">
      <c r="I16069" s="227" t="str">
        <f>MID(excPisCofins[[#This Row],[CodBarras2]],2,50)</f>
        <v/>
      </c>
    </row>
    <row r="16070" spans="9:9" x14ac:dyDescent="0.25">
      <c r="I16070" s="227" t="str">
        <f>MID(excPisCofins[[#This Row],[CodBarras2]],2,50)</f>
        <v/>
      </c>
    </row>
    <row r="16071" spans="9:9" x14ac:dyDescent="0.25">
      <c r="I16071" s="227" t="str">
        <f>MID(excPisCofins[[#This Row],[CodBarras2]],2,50)</f>
        <v/>
      </c>
    </row>
    <row r="16072" spans="9:9" x14ac:dyDescent="0.25">
      <c r="I16072" s="227" t="str">
        <f>MID(excPisCofins[[#This Row],[CodBarras2]],2,50)</f>
        <v/>
      </c>
    </row>
    <row r="16073" spans="9:9" x14ac:dyDescent="0.25">
      <c r="I16073" s="227" t="str">
        <f>MID(excPisCofins[[#This Row],[CodBarras2]],2,50)</f>
        <v/>
      </c>
    </row>
    <row r="16074" spans="9:9" x14ac:dyDescent="0.25">
      <c r="I16074" s="227" t="str">
        <f>MID(excPisCofins[[#This Row],[CodBarras2]],2,50)</f>
        <v/>
      </c>
    </row>
    <row r="16075" spans="9:9" x14ac:dyDescent="0.25">
      <c r="I16075" s="227" t="str">
        <f>MID(excPisCofins[[#This Row],[CodBarras2]],2,50)</f>
        <v/>
      </c>
    </row>
    <row r="16076" spans="9:9" x14ac:dyDescent="0.25">
      <c r="I16076" s="227" t="str">
        <f>MID(excPisCofins[[#This Row],[CodBarras2]],2,50)</f>
        <v/>
      </c>
    </row>
    <row r="16077" spans="9:9" x14ac:dyDescent="0.25">
      <c r="I16077" s="227" t="str">
        <f>MID(excPisCofins[[#This Row],[CodBarras2]],2,50)</f>
        <v/>
      </c>
    </row>
    <row r="16078" spans="9:9" x14ac:dyDescent="0.25">
      <c r="I16078" s="227" t="str">
        <f>MID(excPisCofins[[#This Row],[CodBarras2]],2,50)</f>
        <v/>
      </c>
    </row>
    <row r="16079" spans="9:9" x14ac:dyDescent="0.25">
      <c r="I16079" s="227" t="str">
        <f>MID(excPisCofins[[#This Row],[CodBarras2]],2,50)</f>
        <v/>
      </c>
    </row>
    <row r="16080" spans="9:9" x14ac:dyDescent="0.25">
      <c r="I16080" s="227" t="str">
        <f>MID(excPisCofins[[#This Row],[CodBarras2]],2,50)</f>
        <v/>
      </c>
    </row>
    <row r="16081" spans="9:9" x14ac:dyDescent="0.25">
      <c r="I16081" s="227" t="str">
        <f>MID(excPisCofins[[#This Row],[CodBarras2]],2,50)</f>
        <v/>
      </c>
    </row>
    <row r="16082" spans="9:9" x14ac:dyDescent="0.25">
      <c r="I16082" s="227" t="str">
        <f>MID(excPisCofins[[#This Row],[CodBarras2]],2,50)</f>
        <v/>
      </c>
    </row>
    <row r="16083" spans="9:9" x14ac:dyDescent="0.25">
      <c r="I16083" s="227" t="str">
        <f>MID(excPisCofins[[#This Row],[CodBarras2]],2,50)</f>
        <v/>
      </c>
    </row>
    <row r="16084" spans="9:9" x14ac:dyDescent="0.25">
      <c r="I16084" s="227" t="str">
        <f>MID(excPisCofins[[#This Row],[CodBarras2]],2,50)</f>
        <v/>
      </c>
    </row>
    <row r="16085" spans="9:9" x14ac:dyDescent="0.25">
      <c r="I16085" s="227" t="str">
        <f>MID(excPisCofins[[#This Row],[CodBarras2]],2,50)</f>
        <v/>
      </c>
    </row>
    <row r="16086" spans="9:9" x14ac:dyDescent="0.25">
      <c r="I16086" s="227" t="str">
        <f>MID(excPisCofins[[#This Row],[CodBarras2]],2,50)</f>
        <v/>
      </c>
    </row>
    <row r="16087" spans="9:9" x14ac:dyDescent="0.25">
      <c r="I16087" s="227" t="str">
        <f>MID(excPisCofins[[#This Row],[CodBarras2]],2,50)</f>
        <v/>
      </c>
    </row>
    <row r="16088" spans="9:9" x14ac:dyDescent="0.25">
      <c r="I16088" s="227" t="str">
        <f>MID(excPisCofins[[#This Row],[CodBarras2]],2,50)</f>
        <v/>
      </c>
    </row>
    <row r="16089" spans="9:9" x14ac:dyDescent="0.25">
      <c r="I16089" s="227" t="str">
        <f>MID(excPisCofins[[#This Row],[CodBarras2]],2,50)</f>
        <v/>
      </c>
    </row>
    <row r="16090" spans="9:9" x14ac:dyDescent="0.25">
      <c r="I16090" s="227" t="str">
        <f>MID(excPisCofins[[#This Row],[CodBarras2]],2,50)</f>
        <v/>
      </c>
    </row>
    <row r="16091" spans="9:9" x14ac:dyDescent="0.25">
      <c r="I16091" s="227" t="str">
        <f>MID(excPisCofins[[#This Row],[CodBarras2]],2,50)</f>
        <v/>
      </c>
    </row>
    <row r="16092" spans="9:9" x14ac:dyDescent="0.25">
      <c r="I16092" s="227" t="str">
        <f>MID(excPisCofins[[#This Row],[CodBarras2]],2,50)</f>
        <v/>
      </c>
    </row>
    <row r="16093" spans="9:9" x14ac:dyDescent="0.25">
      <c r="I16093" s="227" t="str">
        <f>MID(excPisCofins[[#This Row],[CodBarras2]],2,50)</f>
        <v/>
      </c>
    </row>
    <row r="16094" spans="9:9" x14ac:dyDescent="0.25">
      <c r="I16094" s="227" t="str">
        <f>MID(excPisCofins[[#This Row],[CodBarras2]],2,50)</f>
        <v/>
      </c>
    </row>
    <row r="16095" spans="9:9" x14ac:dyDescent="0.25">
      <c r="I16095" s="227" t="str">
        <f>MID(excPisCofins[[#This Row],[CodBarras2]],2,50)</f>
        <v/>
      </c>
    </row>
    <row r="16096" spans="9:9" x14ac:dyDescent="0.25">
      <c r="I16096" s="227" t="str">
        <f>MID(excPisCofins[[#This Row],[CodBarras2]],2,50)</f>
        <v/>
      </c>
    </row>
    <row r="16097" spans="9:9" x14ac:dyDescent="0.25">
      <c r="I16097" s="227" t="str">
        <f>MID(excPisCofins[[#This Row],[CodBarras2]],2,50)</f>
        <v/>
      </c>
    </row>
    <row r="16098" spans="9:9" x14ac:dyDescent="0.25">
      <c r="I16098" s="227" t="str">
        <f>MID(excPisCofins[[#This Row],[CodBarras2]],2,50)</f>
        <v/>
      </c>
    </row>
    <row r="16099" spans="9:9" x14ac:dyDescent="0.25">
      <c r="I16099" s="227" t="str">
        <f>MID(excPisCofins[[#This Row],[CodBarras2]],2,50)</f>
        <v/>
      </c>
    </row>
    <row r="16100" spans="9:9" x14ac:dyDescent="0.25">
      <c r="I16100" s="227" t="str">
        <f>MID(excPisCofins[[#This Row],[CodBarras2]],2,50)</f>
        <v/>
      </c>
    </row>
    <row r="16101" spans="9:9" x14ac:dyDescent="0.25">
      <c r="I16101" s="227" t="str">
        <f>MID(excPisCofins[[#This Row],[CodBarras2]],2,50)</f>
        <v/>
      </c>
    </row>
    <row r="16102" spans="9:9" x14ac:dyDescent="0.25">
      <c r="I16102" s="227" t="str">
        <f>MID(excPisCofins[[#This Row],[CodBarras2]],2,50)</f>
        <v/>
      </c>
    </row>
    <row r="16103" spans="9:9" x14ac:dyDescent="0.25">
      <c r="I16103" s="227" t="str">
        <f>MID(excPisCofins[[#This Row],[CodBarras2]],2,50)</f>
        <v/>
      </c>
    </row>
    <row r="16104" spans="9:9" x14ac:dyDescent="0.25">
      <c r="I16104" s="227" t="str">
        <f>MID(excPisCofins[[#This Row],[CodBarras2]],2,50)</f>
        <v/>
      </c>
    </row>
    <row r="16105" spans="9:9" x14ac:dyDescent="0.25">
      <c r="I16105" s="227" t="str">
        <f>MID(excPisCofins[[#This Row],[CodBarras2]],2,50)</f>
        <v/>
      </c>
    </row>
    <row r="16106" spans="9:9" x14ac:dyDescent="0.25">
      <c r="I16106" s="227" t="str">
        <f>MID(excPisCofins[[#This Row],[CodBarras2]],2,50)</f>
        <v/>
      </c>
    </row>
    <row r="16107" spans="9:9" x14ac:dyDescent="0.25">
      <c r="I16107" s="227" t="str">
        <f>MID(excPisCofins[[#This Row],[CodBarras2]],2,50)</f>
        <v/>
      </c>
    </row>
    <row r="16108" spans="9:9" x14ac:dyDescent="0.25">
      <c r="I16108" s="227" t="str">
        <f>MID(excPisCofins[[#This Row],[CodBarras2]],2,50)</f>
        <v/>
      </c>
    </row>
    <row r="16109" spans="9:9" x14ac:dyDescent="0.25">
      <c r="I16109" s="227" t="str">
        <f>MID(excPisCofins[[#This Row],[CodBarras2]],2,50)</f>
        <v/>
      </c>
    </row>
    <row r="16110" spans="9:9" x14ac:dyDescent="0.25">
      <c r="I16110" s="227" t="str">
        <f>MID(excPisCofins[[#This Row],[CodBarras2]],2,50)</f>
        <v/>
      </c>
    </row>
    <row r="16111" spans="9:9" x14ac:dyDescent="0.25">
      <c r="I16111" s="227" t="str">
        <f>MID(excPisCofins[[#This Row],[CodBarras2]],2,50)</f>
        <v/>
      </c>
    </row>
    <row r="16112" spans="9:9" x14ac:dyDescent="0.25">
      <c r="I16112" s="227" t="str">
        <f>MID(excPisCofins[[#This Row],[CodBarras2]],2,50)</f>
        <v/>
      </c>
    </row>
    <row r="16113" spans="9:9" x14ac:dyDescent="0.25">
      <c r="I16113" s="227" t="str">
        <f>MID(excPisCofins[[#This Row],[CodBarras2]],2,50)</f>
        <v/>
      </c>
    </row>
    <row r="16114" spans="9:9" x14ac:dyDescent="0.25">
      <c r="I16114" s="227" t="str">
        <f>MID(excPisCofins[[#This Row],[CodBarras2]],2,50)</f>
        <v/>
      </c>
    </row>
    <row r="16115" spans="9:9" x14ac:dyDescent="0.25">
      <c r="I16115" s="227" t="str">
        <f>MID(excPisCofins[[#This Row],[CodBarras2]],2,50)</f>
        <v/>
      </c>
    </row>
    <row r="16116" spans="9:9" x14ac:dyDescent="0.25">
      <c r="I16116" s="227" t="str">
        <f>MID(excPisCofins[[#This Row],[CodBarras2]],2,50)</f>
        <v/>
      </c>
    </row>
    <row r="16117" spans="9:9" x14ac:dyDescent="0.25">
      <c r="I16117" s="227" t="str">
        <f>MID(excPisCofins[[#This Row],[CodBarras2]],2,50)</f>
        <v/>
      </c>
    </row>
    <row r="16118" spans="9:9" x14ac:dyDescent="0.25">
      <c r="I16118" s="227" t="str">
        <f>MID(excPisCofins[[#This Row],[CodBarras2]],2,50)</f>
        <v/>
      </c>
    </row>
    <row r="16119" spans="9:9" x14ac:dyDescent="0.25">
      <c r="I16119" s="227" t="str">
        <f>MID(excPisCofins[[#This Row],[CodBarras2]],2,50)</f>
        <v/>
      </c>
    </row>
    <row r="16120" spans="9:9" x14ac:dyDescent="0.25">
      <c r="I16120" s="227" t="str">
        <f>MID(excPisCofins[[#This Row],[CodBarras2]],2,50)</f>
        <v/>
      </c>
    </row>
    <row r="16121" spans="9:9" x14ac:dyDescent="0.25">
      <c r="I16121" s="227" t="str">
        <f>MID(excPisCofins[[#This Row],[CodBarras2]],2,50)</f>
        <v/>
      </c>
    </row>
    <row r="16122" spans="9:9" x14ac:dyDescent="0.25">
      <c r="I16122" s="227" t="str">
        <f>MID(excPisCofins[[#This Row],[CodBarras2]],2,50)</f>
        <v/>
      </c>
    </row>
    <row r="16123" spans="9:9" x14ac:dyDescent="0.25">
      <c r="I16123" s="227" t="str">
        <f>MID(excPisCofins[[#This Row],[CodBarras2]],2,50)</f>
        <v/>
      </c>
    </row>
    <row r="16124" spans="9:9" x14ac:dyDescent="0.25">
      <c r="I16124" s="227" t="str">
        <f>MID(excPisCofins[[#This Row],[CodBarras2]],2,50)</f>
        <v/>
      </c>
    </row>
    <row r="16125" spans="9:9" x14ac:dyDescent="0.25">
      <c r="I16125" s="227" t="str">
        <f>MID(excPisCofins[[#This Row],[CodBarras2]],2,50)</f>
        <v/>
      </c>
    </row>
    <row r="16126" spans="9:9" x14ac:dyDescent="0.25">
      <c r="I16126" s="227" t="str">
        <f>MID(excPisCofins[[#This Row],[CodBarras2]],2,50)</f>
        <v/>
      </c>
    </row>
    <row r="16127" spans="9:9" x14ac:dyDescent="0.25">
      <c r="I16127" s="227" t="str">
        <f>MID(excPisCofins[[#This Row],[CodBarras2]],2,50)</f>
        <v/>
      </c>
    </row>
    <row r="16128" spans="9:9" x14ac:dyDescent="0.25">
      <c r="I16128" s="227" t="str">
        <f>MID(excPisCofins[[#This Row],[CodBarras2]],2,50)</f>
        <v/>
      </c>
    </row>
    <row r="16129" spans="9:9" x14ac:dyDescent="0.25">
      <c r="I16129" s="227" t="str">
        <f>MID(excPisCofins[[#This Row],[CodBarras2]],2,50)</f>
        <v/>
      </c>
    </row>
    <row r="16130" spans="9:9" x14ac:dyDescent="0.25">
      <c r="I16130" s="227" t="str">
        <f>MID(excPisCofins[[#This Row],[CodBarras2]],2,50)</f>
        <v/>
      </c>
    </row>
    <row r="16131" spans="9:9" x14ac:dyDescent="0.25">
      <c r="I16131" s="227" t="str">
        <f>MID(excPisCofins[[#This Row],[CodBarras2]],2,50)</f>
        <v/>
      </c>
    </row>
    <row r="16132" spans="9:9" x14ac:dyDescent="0.25">
      <c r="I16132" s="227" t="str">
        <f>MID(excPisCofins[[#This Row],[CodBarras2]],2,50)</f>
        <v/>
      </c>
    </row>
    <row r="16133" spans="9:9" x14ac:dyDescent="0.25">
      <c r="I16133" s="227" t="str">
        <f>MID(excPisCofins[[#This Row],[CodBarras2]],2,50)</f>
        <v/>
      </c>
    </row>
    <row r="16134" spans="9:9" x14ac:dyDescent="0.25">
      <c r="I16134" s="227" t="str">
        <f>MID(excPisCofins[[#This Row],[CodBarras2]],2,50)</f>
        <v/>
      </c>
    </row>
    <row r="16135" spans="9:9" x14ac:dyDescent="0.25">
      <c r="I16135" s="227" t="str">
        <f>MID(excPisCofins[[#This Row],[CodBarras2]],2,50)</f>
        <v/>
      </c>
    </row>
    <row r="16136" spans="9:9" x14ac:dyDescent="0.25">
      <c r="I16136" s="227" t="str">
        <f>MID(excPisCofins[[#This Row],[CodBarras2]],2,50)</f>
        <v/>
      </c>
    </row>
    <row r="16137" spans="9:9" x14ac:dyDescent="0.25">
      <c r="I16137" s="227" t="str">
        <f>MID(excPisCofins[[#This Row],[CodBarras2]],2,50)</f>
        <v/>
      </c>
    </row>
    <row r="16138" spans="9:9" x14ac:dyDescent="0.25">
      <c r="I16138" s="227" t="str">
        <f>MID(excPisCofins[[#This Row],[CodBarras2]],2,50)</f>
        <v/>
      </c>
    </row>
    <row r="16139" spans="9:9" x14ac:dyDescent="0.25">
      <c r="I16139" s="227" t="str">
        <f>MID(excPisCofins[[#This Row],[CodBarras2]],2,50)</f>
        <v/>
      </c>
    </row>
    <row r="16140" spans="9:9" x14ac:dyDescent="0.25">
      <c r="I16140" s="227" t="str">
        <f>MID(excPisCofins[[#This Row],[CodBarras2]],2,50)</f>
        <v/>
      </c>
    </row>
    <row r="16141" spans="9:9" x14ac:dyDescent="0.25">
      <c r="I16141" s="227" t="str">
        <f>MID(excPisCofins[[#This Row],[CodBarras2]],2,50)</f>
        <v/>
      </c>
    </row>
    <row r="16142" spans="9:9" x14ac:dyDescent="0.25">
      <c r="I16142" s="227" t="str">
        <f>MID(excPisCofins[[#This Row],[CodBarras2]],2,50)</f>
        <v/>
      </c>
    </row>
    <row r="16143" spans="9:9" x14ac:dyDescent="0.25">
      <c r="I16143" s="227" t="str">
        <f>MID(excPisCofins[[#This Row],[CodBarras2]],2,50)</f>
        <v/>
      </c>
    </row>
    <row r="16144" spans="9:9" x14ac:dyDescent="0.25">
      <c r="I16144" s="227" t="str">
        <f>MID(excPisCofins[[#This Row],[CodBarras2]],2,50)</f>
        <v/>
      </c>
    </row>
    <row r="16145" spans="9:9" x14ac:dyDescent="0.25">
      <c r="I16145" s="227" t="str">
        <f>MID(excPisCofins[[#This Row],[CodBarras2]],2,50)</f>
        <v/>
      </c>
    </row>
    <row r="16146" spans="9:9" x14ac:dyDescent="0.25">
      <c r="I16146" s="227" t="str">
        <f>MID(excPisCofins[[#This Row],[CodBarras2]],2,50)</f>
        <v/>
      </c>
    </row>
    <row r="16147" spans="9:9" x14ac:dyDescent="0.25">
      <c r="I16147" s="227" t="str">
        <f>MID(excPisCofins[[#This Row],[CodBarras2]],2,50)</f>
        <v/>
      </c>
    </row>
    <row r="16148" spans="9:9" x14ac:dyDescent="0.25">
      <c r="I16148" s="227" t="str">
        <f>MID(excPisCofins[[#This Row],[CodBarras2]],2,50)</f>
        <v/>
      </c>
    </row>
    <row r="16149" spans="9:9" x14ac:dyDescent="0.25">
      <c r="I16149" s="227" t="str">
        <f>MID(excPisCofins[[#This Row],[CodBarras2]],2,50)</f>
        <v/>
      </c>
    </row>
    <row r="16150" spans="9:9" x14ac:dyDescent="0.25">
      <c r="I16150" s="227" t="str">
        <f>MID(excPisCofins[[#This Row],[CodBarras2]],2,50)</f>
        <v/>
      </c>
    </row>
    <row r="16151" spans="9:9" x14ac:dyDescent="0.25">
      <c r="I16151" s="227" t="str">
        <f>MID(excPisCofins[[#This Row],[CodBarras2]],2,50)</f>
        <v/>
      </c>
    </row>
    <row r="16152" spans="9:9" x14ac:dyDescent="0.25">
      <c r="I16152" s="227" t="str">
        <f>MID(excPisCofins[[#This Row],[CodBarras2]],2,50)</f>
        <v/>
      </c>
    </row>
    <row r="16153" spans="9:9" x14ac:dyDescent="0.25">
      <c r="I16153" s="227" t="str">
        <f>MID(excPisCofins[[#This Row],[CodBarras2]],2,50)</f>
        <v/>
      </c>
    </row>
    <row r="16154" spans="9:9" x14ac:dyDescent="0.25">
      <c r="I16154" s="227" t="str">
        <f>MID(excPisCofins[[#This Row],[CodBarras2]],2,50)</f>
        <v/>
      </c>
    </row>
    <row r="16155" spans="9:9" x14ac:dyDescent="0.25">
      <c r="I16155" s="227" t="str">
        <f>MID(excPisCofins[[#This Row],[CodBarras2]],2,50)</f>
        <v/>
      </c>
    </row>
    <row r="16156" spans="9:9" x14ac:dyDescent="0.25">
      <c r="I16156" s="227" t="str">
        <f>MID(excPisCofins[[#This Row],[CodBarras2]],2,50)</f>
        <v/>
      </c>
    </row>
    <row r="16157" spans="9:9" x14ac:dyDescent="0.25">
      <c r="I16157" s="227" t="str">
        <f>MID(excPisCofins[[#This Row],[CodBarras2]],2,50)</f>
        <v/>
      </c>
    </row>
    <row r="16158" spans="9:9" x14ac:dyDescent="0.25">
      <c r="I16158" s="227" t="str">
        <f>MID(excPisCofins[[#This Row],[CodBarras2]],2,50)</f>
        <v/>
      </c>
    </row>
    <row r="16159" spans="9:9" x14ac:dyDescent="0.25">
      <c r="I16159" s="227" t="str">
        <f>MID(excPisCofins[[#This Row],[CodBarras2]],2,50)</f>
        <v/>
      </c>
    </row>
    <row r="16160" spans="9:9" x14ac:dyDescent="0.25">
      <c r="I16160" s="227" t="str">
        <f>MID(excPisCofins[[#This Row],[CodBarras2]],2,50)</f>
        <v/>
      </c>
    </row>
    <row r="16161" spans="9:9" x14ac:dyDescent="0.25">
      <c r="I16161" s="227" t="str">
        <f>MID(excPisCofins[[#This Row],[CodBarras2]],2,50)</f>
        <v/>
      </c>
    </row>
    <row r="16162" spans="9:9" x14ac:dyDescent="0.25">
      <c r="I16162" s="227" t="str">
        <f>MID(excPisCofins[[#This Row],[CodBarras2]],2,50)</f>
        <v/>
      </c>
    </row>
    <row r="16163" spans="9:9" x14ac:dyDescent="0.25">
      <c r="I16163" s="227" t="str">
        <f>MID(excPisCofins[[#This Row],[CodBarras2]],2,50)</f>
        <v/>
      </c>
    </row>
    <row r="16164" spans="9:9" x14ac:dyDescent="0.25">
      <c r="I16164" s="227" t="str">
        <f>MID(excPisCofins[[#This Row],[CodBarras2]],2,50)</f>
        <v/>
      </c>
    </row>
    <row r="16165" spans="9:9" x14ac:dyDescent="0.25">
      <c r="I16165" s="227" t="str">
        <f>MID(excPisCofins[[#This Row],[CodBarras2]],2,50)</f>
        <v/>
      </c>
    </row>
    <row r="16166" spans="9:9" x14ac:dyDescent="0.25">
      <c r="I16166" s="227" t="str">
        <f>MID(excPisCofins[[#This Row],[CodBarras2]],2,50)</f>
        <v/>
      </c>
    </row>
    <row r="16167" spans="9:9" x14ac:dyDescent="0.25">
      <c r="I16167" s="227" t="str">
        <f>MID(excPisCofins[[#This Row],[CodBarras2]],2,50)</f>
        <v/>
      </c>
    </row>
    <row r="16168" spans="9:9" x14ac:dyDescent="0.25">
      <c r="I16168" s="227" t="str">
        <f>MID(excPisCofins[[#This Row],[CodBarras2]],2,50)</f>
        <v/>
      </c>
    </row>
    <row r="16169" spans="9:9" x14ac:dyDescent="0.25">
      <c r="I16169" s="227" t="str">
        <f>MID(excPisCofins[[#This Row],[CodBarras2]],2,50)</f>
        <v/>
      </c>
    </row>
    <row r="16170" spans="9:9" x14ac:dyDescent="0.25">
      <c r="I16170" s="227" t="str">
        <f>MID(excPisCofins[[#This Row],[CodBarras2]],2,50)</f>
        <v/>
      </c>
    </row>
    <row r="16171" spans="9:9" x14ac:dyDescent="0.25">
      <c r="I16171" s="227" t="str">
        <f>MID(excPisCofins[[#This Row],[CodBarras2]],2,50)</f>
        <v/>
      </c>
    </row>
    <row r="16172" spans="9:9" x14ac:dyDescent="0.25">
      <c r="I16172" s="227" t="str">
        <f>MID(excPisCofins[[#This Row],[CodBarras2]],2,50)</f>
        <v/>
      </c>
    </row>
    <row r="16173" spans="9:9" x14ac:dyDescent="0.25">
      <c r="I16173" s="227" t="str">
        <f>MID(excPisCofins[[#This Row],[CodBarras2]],2,50)</f>
        <v/>
      </c>
    </row>
    <row r="16174" spans="9:9" x14ac:dyDescent="0.25">
      <c r="I16174" s="227" t="str">
        <f>MID(excPisCofins[[#This Row],[CodBarras2]],2,50)</f>
        <v/>
      </c>
    </row>
    <row r="16175" spans="9:9" x14ac:dyDescent="0.25">
      <c r="I16175" s="227" t="str">
        <f>MID(excPisCofins[[#This Row],[CodBarras2]],2,50)</f>
        <v/>
      </c>
    </row>
    <row r="16176" spans="9:9" x14ac:dyDescent="0.25">
      <c r="I16176" s="227" t="str">
        <f>MID(excPisCofins[[#This Row],[CodBarras2]],2,50)</f>
        <v/>
      </c>
    </row>
    <row r="16177" spans="9:9" x14ac:dyDescent="0.25">
      <c r="I16177" s="227" t="str">
        <f>MID(excPisCofins[[#This Row],[CodBarras2]],2,50)</f>
        <v/>
      </c>
    </row>
    <row r="16178" spans="9:9" x14ac:dyDescent="0.25">
      <c r="I16178" s="227" t="str">
        <f>MID(excPisCofins[[#This Row],[CodBarras2]],2,50)</f>
        <v/>
      </c>
    </row>
    <row r="16179" spans="9:9" x14ac:dyDescent="0.25">
      <c r="I16179" s="227" t="str">
        <f>MID(excPisCofins[[#This Row],[CodBarras2]],2,50)</f>
        <v/>
      </c>
    </row>
    <row r="16180" spans="9:9" x14ac:dyDescent="0.25">
      <c r="I16180" s="227" t="str">
        <f>MID(excPisCofins[[#This Row],[CodBarras2]],2,50)</f>
        <v/>
      </c>
    </row>
    <row r="16181" spans="9:9" x14ac:dyDescent="0.25">
      <c r="I16181" s="227" t="str">
        <f>MID(excPisCofins[[#This Row],[CodBarras2]],2,50)</f>
        <v/>
      </c>
    </row>
    <row r="16182" spans="9:9" x14ac:dyDescent="0.25">
      <c r="I16182" s="227" t="str">
        <f>MID(excPisCofins[[#This Row],[CodBarras2]],2,50)</f>
        <v/>
      </c>
    </row>
    <row r="16183" spans="9:9" x14ac:dyDescent="0.25">
      <c r="I16183" s="227" t="str">
        <f>MID(excPisCofins[[#This Row],[CodBarras2]],2,50)</f>
        <v/>
      </c>
    </row>
    <row r="16184" spans="9:9" x14ac:dyDescent="0.25">
      <c r="I16184" s="227" t="str">
        <f>MID(excPisCofins[[#This Row],[CodBarras2]],2,50)</f>
        <v/>
      </c>
    </row>
    <row r="16185" spans="9:9" x14ac:dyDescent="0.25">
      <c r="I16185" s="227" t="str">
        <f>MID(excPisCofins[[#This Row],[CodBarras2]],2,50)</f>
        <v/>
      </c>
    </row>
    <row r="16186" spans="9:9" x14ac:dyDescent="0.25">
      <c r="I16186" s="227" t="str">
        <f>MID(excPisCofins[[#This Row],[CodBarras2]],2,50)</f>
        <v/>
      </c>
    </row>
    <row r="16187" spans="9:9" x14ac:dyDescent="0.25">
      <c r="I16187" s="227" t="str">
        <f>MID(excPisCofins[[#This Row],[CodBarras2]],2,50)</f>
        <v/>
      </c>
    </row>
    <row r="16188" spans="9:9" x14ac:dyDescent="0.25">
      <c r="I16188" s="227" t="str">
        <f>MID(excPisCofins[[#This Row],[CodBarras2]],2,50)</f>
        <v/>
      </c>
    </row>
    <row r="16189" spans="9:9" x14ac:dyDescent="0.25">
      <c r="I16189" s="227" t="str">
        <f>MID(excPisCofins[[#This Row],[CodBarras2]],2,50)</f>
        <v/>
      </c>
    </row>
    <row r="16190" spans="9:9" x14ac:dyDescent="0.25">
      <c r="I16190" s="227" t="str">
        <f>MID(excPisCofins[[#This Row],[CodBarras2]],2,50)</f>
        <v/>
      </c>
    </row>
    <row r="16191" spans="9:9" x14ac:dyDescent="0.25">
      <c r="I16191" s="227" t="str">
        <f>MID(excPisCofins[[#This Row],[CodBarras2]],2,50)</f>
        <v/>
      </c>
    </row>
    <row r="16192" spans="9:9" x14ac:dyDescent="0.25">
      <c r="I16192" s="227" t="str">
        <f>MID(excPisCofins[[#This Row],[CodBarras2]],2,50)</f>
        <v/>
      </c>
    </row>
    <row r="16193" spans="9:9" x14ac:dyDescent="0.25">
      <c r="I16193" s="227" t="str">
        <f>MID(excPisCofins[[#This Row],[CodBarras2]],2,50)</f>
        <v/>
      </c>
    </row>
    <row r="16194" spans="9:9" x14ac:dyDescent="0.25">
      <c r="I16194" s="227" t="str">
        <f>MID(excPisCofins[[#This Row],[CodBarras2]],2,50)</f>
        <v/>
      </c>
    </row>
    <row r="16195" spans="9:9" x14ac:dyDescent="0.25">
      <c r="I16195" s="227" t="str">
        <f>MID(excPisCofins[[#This Row],[CodBarras2]],2,50)</f>
        <v/>
      </c>
    </row>
    <row r="16196" spans="9:9" x14ac:dyDescent="0.25">
      <c r="I16196" s="227" t="str">
        <f>MID(excPisCofins[[#This Row],[CodBarras2]],2,50)</f>
        <v/>
      </c>
    </row>
    <row r="16197" spans="9:9" x14ac:dyDescent="0.25">
      <c r="I16197" s="227" t="str">
        <f>MID(excPisCofins[[#This Row],[CodBarras2]],2,50)</f>
        <v/>
      </c>
    </row>
    <row r="16198" spans="9:9" x14ac:dyDescent="0.25">
      <c r="I16198" s="227" t="str">
        <f>MID(excPisCofins[[#This Row],[CodBarras2]],2,50)</f>
        <v/>
      </c>
    </row>
    <row r="16199" spans="9:9" x14ac:dyDescent="0.25">
      <c r="I16199" s="227" t="str">
        <f>MID(excPisCofins[[#This Row],[CodBarras2]],2,50)</f>
        <v/>
      </c>
    </row>
    <row r="16200" spans="9:9" x14ac:dyDescent="0.25">
      <c r="I16200" s="227" t="str">
        <f>MID(excPisCofins[[#This Row],[CodBarras2]],2,50)</f>
        <v/>
      </c>
    </row>
    <row r="16201" spans="9:9" x14ac:dyDescent="0.25">
      <c r="I16201" s="227" t="str">
        <f>MID(excPisCofins[[#This Row],[CodBarras2]],2,50)</f>
        <v/>
      </c>
    </row>
    <row r="16202" spans="9:9" x14ac:dyDescent="0.25">
      <c r="I16202" s="227" t="str">
        <f>MID(excPisCofins[[#This Row],[CodBarras2]],2,50)</f>
        <v/>
      </c>
    </row>
    <row r="16203" spans="9:9" x14ac:dyDescent="0.25">
      <c r="I16203" s="227" t="str">
        <f>MID(excPisCofins[[#This Row],[CodBarras2]],2,50)</f>
        <v/>
      </c>
    </row>
    <row r="16204" spans="9:9" x14ac:dyDescent="0.25">
      <c r="I16204" s="227" t="str">
        <f>MID(excPisCofins[[#This Row],[CodBarras2]],2,50)</f>
        <v/>
      </c>
    </row>
    <row r="16205" spans="9:9" x14ac:dyDescent="0.25">
      <c r="I16205" s="227" t="str">
        <f>MID(excPisCofins[[#This Row],[CodBarras2]],2,50)</f>
        <v/>
      </c>
    </row>
    <row r="16206" spans="9:9" x14ac:dyDescent="0.25">
      <c r="I16206" s="227" t="str">
        <f>MID(excPisCofins[[#This Row],[CodBarras2]],2,50)</f>
        <v/>
      </c>
    </row>
    <row r="16207" spans="9:9" x14ac:dyDescent="0.25">
      <c r="I16207" s="227" t="str">
        <f>MID(excPisCofins[[#This Row],[CodBarras2]],2,50)</f>
        <v/>
      </c>
    </row>
    <row r="16208" spans="9:9" x14ac:dyDescent="0.25">
      <c r="I16208" s="227" t="str">
        <f>MID(excPisCofins[[#This Row],[CodBarras2]],2,50)</f>
        <v/>
      </c>
    </row>
    <row r="16209" spans="9:9" x14ac:dyDescent="0.25">
      <c r="I16209" s="227" t="str">
        <f>MID(excPisCofins[[#This Row],[CodBarras2]],2,50)</f>
        <v/>
      </c>
    </row>
    <row r="16210" spans="9:9" x14ac:dyDescent="0.25">
      <c r="I16210" s="227" t="str">
        <f>MID(excPisCofins[[#This Row],[CodBarras2]],2,50)</f>
        <v/>
      </c>
    </row>
    <row r="16211" spans="9:9" x14ac:dyDescent="0.25">
      <c r="I16211" s="227" t="str">
        <f>MID(excPisCofins[[#This Row],[CodBarras2]],2,50)</f>
        <v/>
      </c>
    </row>
    <row r="16212" spans="9:9" x14ac:dyDescent="0.25">
      <c r="I16212" s="227" t="str">
        <f>MID(excPisCofins[[#This Row],[CodBarras2]],2,50)</f>
        <v/>
      </c>
    </row>
    <row r="16213" spans="9:9" x14ac:dyDescent="0.25">
      <c r="I16213" s="227" t="str">
        <f>MID(excPisCofins[[#This Row],[CodBarras2]],2,50)</f>
        <v/>
      </c>
    </row>
    <row r="16214" spans="9:9" x14ac:dyDescent="0.25">
      <c r="I16214" s="227" t="str">
        <f>MID(excPisCofins[[#This Row],[CodBarras2]],2,50)</f>
        <v/>
      </c>
    </row>
    <row r="16215" spans="9:9" x14ac:dyDescent="0.25">
      <c r="I16215" s="227" t="str">
        <f>MID(excPisCofins[[#This Row],[CodBarras2]],2,50)</f>
        <v/>
      </c>
    </row>
    <row r="16216" spans="9:9" x14ac:dyDescent="0.25">
      <c r="I16216" s="227" t="str">
        <f>MID(excPisCofins[[#This Row],[CodBarras2]],2,50)</f>
        <v/>
      </c>
    </row>
    <row r="16217" spans="9:9" x14ac:dyDescent="0.25">
      <c r="I16217" s="227" t="str">
        <f>MID(excPisCofins[[#This Row],[CodBarras2]],2,50)</f>
        <v/>
      </c>
    </row>
    <row r="16218" spans="9:9" x14ac:dyDescent="0.25">
      <c r="I16218" s="227" t="str">
        <f>MID(excPisCofins[[#This Row],[CodBarras2]],2,50)</f>
        <v/>
      </c>
    </row>
    <row r="16219" spans="9:9" x14ac:dyDescent="0.25">
      <c r="I16219" s="227" t="str">
        <f>MID(excPisCofins[[#This Row],[CodBarras2]],2,50)</f>
        <v/>
      </c>
    </row>
    <row r="16220" spans="9:9" x14ac:dyDescent="0.25">
      <c r="I16220" s="227" t="str">
        <f>MID(excPisCofins[[#This Row],[CodBarras2]],2,50)</f>
        <v/>
      </c>
    </row>
    <row r="16221" spans="9:9" x14ac:dyDescent="0.25">
      <c r="I16221" s="227" t="str">
        <f>MID(excPisCofins[[#This Row],[CodBarras2]],2,50)</f>
        <v/>
      </c>
    </row>
    <row r="16222" spans="9:9" x14ac:dyDescent="0.25">
      <c r="I16222" s="227" t="str">
        <f>MID(excPisCofins[[#This Row],[CodBarras2]],2,50)</f>
        <v/>
      </c>
    </row>
    <row r="16223" spans="9:9" x14ac:dyDescent="0.25">
      <c r="I16223" s="227" t="str">
        <f>MID(excPisCofins[[#This Row],[CodBarras2]],2,50)</f>
        <v/>
      </c>
    </row>
    <row r="16224" spans="9:9" x14ac:dyDescent="0.25">
      <c r="I16224" s="227" t="str">
        <f>MID(excPisCofins[[#This Row],[CodBarras2]],2,50)</f>
        <v/>
      </c>
    </row>
    <row r="16225" spans="9:9" x14ac:dyDescent="0.25">
      <c r="I16225" s="227" t="str">
        <f>MID(excPisCofins[[#This Row],[CodBarras2]],2,50)</f>
        <v/>
      </c>
    </row>
    <row r="16226" spans="9:9" x14ac:dyDescent="0.25">
      <c r="I16226" s="227" t="str">
        <f>MID(excPisCofins[[#This Row],[CodBarras2]],2,50)</f>
        <v/>
      </c>
    </row>
    <row r="16227" spans="9:9" x14ac:dyDescent="0.25">
      <c r="I16227" s="227" t="str">
        <f>MID(excPisCofins[[#This Row],[CodBarras2]],2,50)</f>
        <v/>
      </c>
    </row>
    <row r="16228" spans="9:9" x14ac:dyDescent="0.25">
      <c r="I16228" s="227" t="str">
        <f>MID(excPisCofins[[#This Row],[CodBarras2]],2,50)</f>
        <v/>
      </c>
    </row>
    <row r="16229" spans="9:9" x14ac:dyDescent="0.25">
      <c r="I16229" s="227" t="str">
        <f>MID(excPisCofins[[#This Row],[CodBarras2]],2,50)</f>
        <v/>
      </c>
    </row>
    <row r="16230" spans="9:9" x14ac:dyDescent="0.25">
      <c r="I16230" s="227" t="str">
        <f>MID(excPisCofins[[#This Row],[CodBarras2]],2,50)</f>
        <v/>
      </c>
    </row>
    <row r="16231" spans="9:9" x14ac:dyDescent="0.25">
      <c r="I16231" s="227" t="str">
        <f>MID(excPisCofins[[#This Row],[CodBarras2]],2,50)</f>
        <v/>
      </c>
    </row>
    <row r="16232" spans="9:9" x14ac:dyDescent="0.25">
      <c r="I16232" s="227" t="str">
        <f>MID(excPisCofins[[#This Row],[CodBarras2]],2,50)</f>
        <v/>
      </c>
    </row>
    <row r="16233" spans="9:9" x14ac:dyDescent="0.25">
      <c r="I16233" s="227" t="str">
        <f>MID(excPisCofins[[#This Row],[CodBarras2]],2,50)</f>
        <v/>
      </c>
    </row>
    <row r="16234" spans="9:9" x14ac:dyDescent="0.25">
      <c r="I16234" s="227" t="str">
        <f>MID(excPisCofins[[#This Row],[CodBarras2]],2,50)</f>
        <v/>
      </c>
    </row>
    <row r="16235" spans="9:9" x14ac:dyDescent="0.25">
      <c r="I16235" s="227" t="str">
        <f>MID(excPisCofins[[#This Row],[CodBarras2]],2,50)</f>
        <v/>
      </c>
    </row>
    <row r="16236" spans="9:9" x14ac:dyDescent="0.25">
      <c r="I16236" s="227" t="str">
        <f>MID(excPisCofins[[#This Row],[CodBarras2]],2,50)</f>
        <v/>
      </c>
    </row>
    <row r="16237" spans="9:9" x14ac:dyDescent="0.25">
      <c r="I16237" s="227" t="str">
        <f>MID(excPisCofins[[#This Row],[CodBarras2]],2,50)</f>
        <v/>
      </c>
    </row>
    <row r="16238" spans="9:9" x14ac:dyDescent="0.25">
      <c r="I16238" s="227" t="str">
        <f>MID(excPisCofins[[#This Row],[CodBarras2]],2,50)</f>
        <v/>
      </c>
    </row>
    <row r="16239" spans="9:9" x14ac:dyDescent="0.25">
      <c r="I16239" s="227" t="str">
        <f>MID(excPisCofins[[#This Row],[CodBarras2]],2,50)</f>
        <v/>
      </c>
    </row>
    <row r="16240" spans="9:9" x14ac:dyDescent="0.25">
      <c r="I16240" s="227" t="str">
        <f>MID(excPisCofins[[#This Row],[CodBarras2]],2,50)</f>
        <v/>
      </c>
    </row>
    <row r="16241" spans="9:9" x14ac:dyDescent="0.25">
      <c r="I16241" s="227" t="str">
        <f>MID(excPisCofins[[#This Row],[CodBarras2]],2,50)</f>
        <v/>
      </c>
    </row>
    <row r="16242" spans="9:9" x14ac:dyDescent="0.25">
      <c r="I16242" s="227" t="str">
        <f>MID(excPisCofins[[#This Row],[CodBarras2]],2,50)</f>
        <v/>
      </c>
    </row>
    <row r="16243" spans="9:9" x14ac:dyDescent="0.25">
      <c r="I16243" s="227" t="str">
        <f>MID(excPisCofins[[#This Row],[CodBarras2]],2,50)</f>
        <v/>
      </c>
    </row>
    <row r="16244" spans="9:9" x14ac:dyDescent="0.25">
      <c r="I16244" s="227" t="str">
        <f>MID(excPisCofins[[#This Row],[CodBarras2]],2,50)</f>
        <v/>
      </c>
    </row>
    <row r="16245" spans="9:9" x14ac:dyDescent="0.25">
      <c r="I16245" s="227" t="str">
        <f>MID(excPisCofins[[#This Row],[CodBarras2]],2,50)</f>
        <v/>
      </c>
    </row>
    <row r="16246" spans="9:9" x14ac:dyDescent="0.25">
      <c r="I16246" s="227" t="str">
        <f>MID(excPisCofins[[#This Row],[CodBarras2]],2,50)</f>
        <v/>
      </c>
    </row>
    <row r="16247" spans="9:9" x14ac:dyDescent="0.25">
      <c r="I16247" s="227" t="str">
        <f>MID(excPisCofins[[#This Row],[CodBarras2]],2,50)</f>
        <v/>
      </c>
    </row>
    <row r="16248" spans="9:9" x14ac:dyDescent="0.25">
      <c r="I16248" s="227" t="str">
        <f>MID(excPisCofins[[#This Row],[CodBarras2]],2,50)</f>
        <v/>
      </c>
    </row>
    <row r="16249" spans="9:9" x14ac:dyDescent="0.25">
      <c r="I16249" s="227" t="str">
        <f>MID(excPisCofins[[#This Row],[CodBarras2]],2,50)</f>
        <v/>
      </c>
    </row>
    <row r="16250" spans="9:9" x14ac:dyDescent="0.25">
      <c r="I16250" s="227" t="str">
        <f>MID(excPisCofins[[#This Row],[CodBarras2]],2,50)</f>
        <v/>
      </c>
    </row>
    <row r="16251" spans="9:9" x14ac:dyDescent="0.25">
      <c r="I16251" s="227" t="str">
        <f>MID(excPisCofins[[#This Row],[CodBarras2]],2,50)</f>
        <v/>
      </c>
    </row>
    <row r="16252" spans="9:9" x14ac:dyDescent="0.25">
      <c r="I16252" s="227" t="str">
        <f>MID(excPisCofins[[#This Row],[CodBarras2]],2,50)</f>
        <v/>
      </c>
    </row>
    <row r="16253" spans="9:9" x14ac:dyDescent="0.25">
      <c r="I16253" s="227" t="str">
        <f>MID(excPisCofins[[#This Row],[CodBarras2]],2,50)</f>
        <v/>
      </c>
    </row>
    <row r="16254" spans="9:9" x14ac:dyDescent="0.25">
      <c r="I16254" s="227" t="str">
        <f>MID(excPisCofins[[#This Row],[CodBarras2]],2,50)</f>
        <v/>
      </c>
    </row>
    <row r="16255" spans="9:9" x14ac:dyDescent="0.25">
      <c r="I16255" s="227" t="str">
        <f>MID(excPisCofins[[#This Row],[CodBarras2]],2,50)</f>
        <v/>
      </c>
    </row>
    <row r="16256" spans="9:9" x14ac:dyDescent="0.25">
      <c r="I16256" s="227" t="str">
        <f>MID(excPisCofins[[#This Row],[CodBarras2]],2,50)</f>
        <v/>
      </c>
    </row>
    <row r="16257" spans="9:9" x14ac:dyDescent="0.25">
      <c r="I16257" s="227" t="str">
        <f>MID(excPisCofins[[#This Row],[CodBarras2]],2,50)</f>
        <v/>
      </c>
    </row>
    <row r="16258" spans="9:9" x14ac:dyDescent="0.25">
      <c r="I16258" s="227" t="str">
        <f>MID(excPisCofins[[#This Row],[CodBarras2]],2,50)</f>
        <v/>
      </c>
    </row>
    <row r="16259" spans="9:9" x14ac:dyDescent="0.25">
      <c r="I16259" s="227" t="str">
        <f>MID(excPisCofins[[#This Row],[CodBarras2]],2,50)</f>
        <v/>
      </c>
    </row>
    <row r="16260" spans="9:9" x14ac:dyDescent="0.25">
      <c r="I16260" s="227" t="str">
        <f>MID(excPisCofins[[#This Row],[CodBarras2]],2,50)</f>
        <v/>
      </c>
    </row>
    <row r="16261" spans="9:9" x14ac:dyDescent="0.25">
      <c r="I16261" s="227" t="str">
        <f>MID(excPisCofins[[#This Row],[CodBarras2]],2,50)</f>
        <v/>
      </c>
    </row>
    <row r="16262" spans="9:9" x14ac:dyDescent="0.25">
      <c r="I16262" s="227" t="str">
        <f>MID(excPisCofins[[#This Row],[CodBarras2]],2,50)</f>
        <v/>
      </c>
    </row>
    <row r="16263" spans="9:9" x14ac:dyDescent="0.25">
      <c r="I16263" s="227" t="str">
        <f>MID(excPisCofins[[#This Row],[CodBarras2]],2,50)</f>
        <v/>
      </c>
    </row>
    <row r="16264" spans="9:9" x14ac:dyDescent="0.25">
      <c r="I16264" s="227" t="str">
        <f>MID(excPisCofins[[#This Row],[CodBarras2]],2,50)</f>
        <v/>
      </c>
    </row>
    <row r="16265" spans="9:9" x14ac:dyDescent="0.25">
      <c r="I16265" s="227" t="str">
        <f>MID(excPisCofins[[#This Row],[CodBarras2]],2,50)</f>
        <v/>
      </c>
    </row>
    <row r="16266" spans="9:9" x14ac:dyDescent="0.25">
      <c r="I16266" s="227" t="str">
        <f>MID(excPisCofins[[#This Row],[CodBarras2]],2,50)</f>
        <v/>
      </c>
    </row>
    <row r="16267" spans="9:9" x14ac:dyDescent="0.25">
      <c r="I16267" s="227" t="str">
        <f>MID(excPisCofins[[#This Row],[CodBarras2]],2,50)</f>
        <v/>
      </c>
    </row>
    <row r="16268" spans="9:9" x14ac:dyDescent="0.25">
      <c r="I16268" s="227" t="str">
        <f>MID(excPisCofins[[#This Row],[CodBarras2]],2,50)</f>
        <v/>
      </c>
    </row>
    <row r="16269" spans="9:9" x14ac:dyDescent="0.25">
      <c r="I16269" s="227" t="str">
        <f>MID(excPisCofins[[#This Row],[CodBarras2]],2,50)</f>
        <v/>
      </c>
    </row>
    <row r="16270" spans="9:9" x14ac:dyDescent="0.25">
      <c r="I16270" s="227" t="str">
        <f>MID(excPisCofins[[#This Row],[CodBarras2]],2,50)</f>
        <v/>
      </c>
    </row>
    <row r="16271" spans="9:9" x14ac:dyDescent="0.25">
      <c r="I16271" s="227" t="str">
        <f>MID(excPisCofins[[#This Row],[CodBarras2]],2,50)</f>
        <v/>
      </c>
    </row>
    <row r="16272" spans="9:9" x14ac:dyDescent="0.25">
      <c r="I16272" s="227" t="str">
        <f>MID(excPisCofins[[#This Row],[CodBarras2]],2,50)</f>
        <v/>
      </c>
    </row>
    <row r="16273" spans="9:9" x14ac:dyDescent="0.25">
      <c r="I16273" s="227" t="str">
        <f>MID(excPisCofins[[#This Row],[CodBarras2]],2,50)</f>
        <v/>
      </c>
    </row>
    <row r="16274" spans="9:9" x14ac:dyDescent="0.25">
      <c r="I16274" s="227" t="str">
        <f>MID(excPisCofins[[#This Row],[CodBarras2]],2,50)</f>
        <v/>
      </c>
    </row>
    <row r="16275" spans="9:9" x14ac:dyDescent="0.25">
      <c r="I16275" s="227" t="str">
        <f>MID(excPisCofins[[#This Row],[CodBarras2]],2,50)</f>
        <v/>
      </c>
    </row>
    <row r="16276" spans="9:9" x14ac:dyDescent="0.25">
      <c r="I16276" s="227" t="str">
        <f>MID(excPisCofins[[#This Row],[CodBarras2]],2,50)</f>
        <v/>
      </c>
    </row>
    <row r="16277" spans="9:9" x14ac:dyDescent="0.25">
      <c r="I16277" s="227" t="str">
        <f>MID(excPisCofins[[#This Row],[CodBarras2]],2,50)</f>
        <v/>
      </c>
    </row>
    <row r="16278" spans="9:9" x14ac:dyDescent="0.25">
      <c r="I16278" s="227" t="str">
        <f>MID(excPisCofins[[#This Row],[CodBarras2]],2,50)</f>
        <v/>
      </c>
    </row>
    <row r="16279" spans="9:9" x14ac:dyDescent="0.25">
      <c r="I16279" s="227" t="str">
        <f>MID(excPisCofins[[#This Row],[CodBarras2]],2,50)</f>
        <v/>
      </c>
    </row>
    <row r="16280" spans="9:9" x14ac:dyDescent="0.25">
      <c r="I16280" s="227" t="str">
        <f>MID(excPisCofins[[#This Row],[CodBarras2]],2,50)</f>
        <v/>
      </c>
    </row>
    <row r="16281" spans="9:9" x14ac:dyDescent="0.25">
      <c r="I16281" s="227" t="str">
        <f>MID(excPisCofins[[#This Row],[CodBarras2]],2,50)</f>
        <v/>
      </c>
    </row>
    <row r="16282" spans="9:9" x14ac:dyDescent="0.25">
      <c r="I16282" s="227" t="str">
        <f>MID(excPisCofins[[#This Row],[CodBarras2]],2,50)</f>
        <v/>
      </c>
    </row>
    <row r="16283" spans="9:9" x14ac:dyDescent="0.25">
      <c r="I16283" s="227" t="str">
        <f>MID(excPisCofins[[#This Row],[CodBarras2]],2,50)</f>
        <v/>
      </c>
    </row>
    <row r="16284" spans="9:9" x14ac:dyDescent="0.25">
      <c r="I16284" s="227" t="str">
        <f>MID(excPisCofins[[#This Row],[CodBarras2]],2,50)</f>
        <v/>
      </c>
    </row>
    <row r="16285" spans="9:9" x14ac:dyDescent="0.25">
      <c r="I16285" s="227" t="str">
        <f>MID(excPisCofins[[#This Row],[CodBarras2]],2,50)</f>
        <v/>
      </c>
    </row>
    <row r="16286" spans="9:9" x14ac:dyDescent="0.25">
      <c r="I16286" s="227" t="str">
        <f>MID(excPisCofins[[#This Row],[CodBarras2]],2,50)</f>
        <v/>
      </c>
    </row>
    <row r="16287" spans="9:9" x14ac:dyDescent="0.25">
      <c r="I16287" s="227" t="str">
        <f>MID(excPisCofins[[#This Row],[CodBarras2]],2,50)</f>
        <v/>
      </c>
    </row>
    <row r="16288" spans="9:9" x14ac:dyDescent="0.25">
      <c r="I16288" s="227" t="str">
        <f>MID(excPisCofins[[#This Row],[CodBarras2]],2,50)</f>
        <v/>
      </c>
    </row>
    <row r="16289" spans="9:9" x14ac:dyDescent="0.25">
      <c r="I16289" s="227" t="str">
        <f>MID(excPisCofins[[#This Row],[CodBarras2]],2,50)</f>
        <v/>
      </c>
    </row>
    <row r="16290" spans="9:9" x14ac:dyDescent="0.25">
      <c r="I16290" s="227" t="str">
        <f>MID(excPisCofins[[#This Row],[CodBarras2]],2,50)</f>
        <v/>
      </c>
    </row>
    <row r="16291" spans="9:9" x14ac:dyDescent="0.25">
      <c r="I16291" s="227" t="str">
        <f>MID(excPisCofins[[#This Row],[CodBarras2]],2,50)</f>
        <v/>
      </c>
    </row>
    <row r="16292" spans="9:9" x14ac:dyDescent="0.25">
      <c r="I16292" s="227" t="str">
        <f>MID(excPisCofins[[#This Row],[CodBarras2]],2,50)</f>
        <v/>
      </c>
    </row>
    <row r="16293" spans="9:9" x14ac:dyDescent="0.25">
      <c r="I16293" s="227" t="str">
        <f>MID(excPisCofins[[#This Row],[CodBarras2]],2,50)</f>
        <v/>
      </c>
    </row>
    <row r="16294" spans="9:9" x14ac:dyDescent="0.25">
      <c r="I16294" s="227" t="str">
        <f>MID(excPisCofins[[#This Row],[CodBarras2]],2,50)</f>
        <v/>
      </c>
    </row>
    <row r="16295" spans="9:9" x14ac:dyDescent="0.25">
      <c r="I16295" s="227" t="str">
        <f>MID(excPisCofins[[#This Row],[CodBarras2]],2,50)</f>
        <v/>
      </c>
    </row>
    <row r="16296" spans="9:9" x14ac:dyDescent="0.25">
      <c r="I16296" s="227" t="str">
        <f>MID(excPisCofins[[#This Row],[CodBarras2]],2,50)</f>
        <v/>
      </c>
    </row>
    <row r="16297" spans="9:9" x14ac:dyDescent="0.25">
      <c r="I16297" s="227" t="str">
        <f>MID(excPisCofins[[#This Row],[CodBarras2]],2,50)</f>
        <v/>
      </c>
    </row>
    <row r="16298" spans="9:9" x14ac:dyDescent="0.25">
      <c r="I16298" s="227" t="str">
        <f>MID(excPisCofins[[#This Row],[CodBarras2]],2,50)</f>
        <v/>
      </c>
    </row>
    <row r="16299" spans="9:9" x14ac:dyDescent="0.25">
      <c r="I16299" s="227" t="str">
        <f>MID(excPisCofins[[#This Row],[CodBarras2]],2,50)</f>
        <v/>
      </c>
    </row>
    <row r="16300" spans="9:9" x14ac:dyDescent="0.25">
      <c r="I16300" s="227" t="str">
        <f>MID(excPisCofins[[#This Row],[CodBarras2]],2,50)</f>
        <v/>
      </c>
    </row>
    <row r="16301" spans="9:9" x14ac:dyDescent="0.25">
      <c r="I16301" s="227" t="str">
        <f>MID(excPisCofins[[#This Row],[CodBarras2]],2,50)</f>
        <v/>
      </c>
    </row>
    <row r="16302" spans="9:9" x14ac:dyDescent="0.25">
      <c r="I16302" s="227" t="str">
        <f>MID(excPisCofins[[#This Row],[CodBarras2]],2,50)</f>
        <v/>
      </c>
    </row>
    <row r="16303" spans="9:9" x14ac:dyDescent="0.25">
      <c r="I16303" s="227" t="str">
        <f>MID(excPisCofins[[#This Row],[CodBarras2]],2,50)</f>
        <v/>
      </c>
    </row>
    <row r="16304" spans="9:9" x14ac:dyDescent="0.25">
      <c r="I16304" s="227" t="str">
        <f>MID(excPisCofins[[#This Row],[CodBarras2]],2,50)</f>
        <v/>
      </c>
    </row>
    <row r="16305" spans="9:9" x14ac:dyDescent="0.25">
      <c r="I16305" s="227" t="str">
        <f>MID(excPisCofins[[#This Row],[CodBarras2]],2,50)</f>
        <v/>
      </c>
    </row>
    <row r="16306" spans="9:9" x14ac:dyDescent="0.25">
      <c r="I16306" s="227" t="str">
        <f>MID(excPisCofins[[#This Row],[CodBarras2]],2,50)</f>
        <v/>
      </c>
    </row>
    <row r="16307" spans="9:9" x14ac:dyDescent="0.25">
      <c r="I16307" s="227" t="str">
        <f>MID(excPisCofins[[#This Row],[CodBarras2]],2,50)</f>
        <v/>
      </c>
    </row>
    <row r="16308" spans="9:9" x14ac:dyDescent="0.25">
      <c r="I16308" s="227" t="str">
        <f>MID(excPisCofins[[#This Row],[CodBarras2]],2,50)</f>
        <v/>
      </c>
    </row>
    <row r="16309" spans="9:9" x14ac:dyDescent="0.25">
      <c r="I16309" s="227" t="str">
        <f>MID(excPisCofins[[#This Row],[CodBarras2]],2,50)</f>
        <v/>
      </c>
    </row>
    <row r="16310" spans="9:9" x14ac:dyDescent="0.25">
      <c r="I16310" s="227" t="str">
        <f>MID(excPisCofins[[#This Row],[CodBarras2]],2,50)</f>
        <v/>
      </c>
    </row>
    <row r="16311" spans="9:9" x14ac:dyDescent="0.25">
      <c r="I16311" s="227" t="str">
        <f>MID(excPisCofins[[#This Row],[CodBarras2]],2,50)</f>
        <v/>
      </c>
    </row>
    <row r="16312" spans="9:9" x14ac:dyDescent="0.25">
      <c r="I16312" s="227" t="str">
        <f>MID(excPisCofins[[#This Row],[CodBarras2]],2,50)</f>
        <v/>
      </c>
    </row>
    <row r="16313" spans="9:9" x14ac:dyDescent="0.25">
      <c r="I16313" s="227" t="str">
        <f>MID(excPisCofins[[#This Row],[CodBarras2]],2,50)</f>
        <v/>
      </c>
    </row>
    <row r="16314" spans="9:9" x14ac:dyDescent="0.25">
      <c r="I16314" s="227" t="str">
        <f>MID(excPisCofins[[#This Row],[CodBarras2]],2,50)</f>
        <v/>
      </c>
    </row>
    <row r="16315" spans="9:9" x14ac:dyDescent="0.25">
      <c r="I16315" s="227" t="str">
        <f>MID(excPisCofins[[#This Row],[CodBarras2]],2,50)</f>
        <v/>
      </c>
    </row>
    <row r="16316" spans="9:9" x14ac:dyDescent="0.25">
      <c r="I16316" s="227" t="str">
        <f>MID(excPisCofins[[#This Row],[CodBarras2]],2,50)</f>
        <v/>
      </c>
    </row>
    <row r="16317" spans="9:9" x14ac:dyDescent="0.25">
      <c r="I16317" s="227" t="str">
        <f>MID(excPisCofins[[#This Row],[CodBarras2]],2,50)</f>
        <v/>
      </c>
    </row>
    <row r="16318" spans="9:9" x14ac:dyDescent="0.25">
      <c r="I16318" s="227" t="str">
        <f>MID(excPisCofins[[#This Row],[CodBarras2]],2,50)</f>
        <v/>
      </c>
    </row>
    <row r="16319" spans="9:9" x14ac:dyDescent="0.25">
      <c r="I16319" s="227" t="str">
        <f>MID(excPisCofins[[#This Row],[CodBarras2]],2,50)</f>
        <v/>
      </c>
    </row>
    <row r="16320" spans="9:9" x14ac:dyDescent="0.25">
      <c r="I16320" s="227" t="str">
        <f>MID(excPisCofins[[#This Row],[CodBarras2]],2,50)</f>
        <v/>
      </c>
    </row>
    <row r="16321" spans="9:9" x14ac:dyDescent="0.25">
      <c r="I16321" s="227" t="str">
        <f>MID(excPisCofins[[#This Row],[CodBarras2]],2,50)</f>
        <v/>
      </c>
    </row>
    <row r="16322" spans="9:9" x14ac:dyDescent="0.25">
      <c r="I16322" s="227" t="str">
        <f>MID(excPisCofins[[#This Row],[CodBarras2]],2,50)</f>
        <v/>
      </c>
    </row>
    <row r="16323" spans="9:9" x14ac:dyDescent="0.25">
      <c r="I16323" s="227" t="str">
        <f>MID(excPisCofins[[#This Row],[CodBarras2]],2,50)</f>
        <v/>
      </c>
    </row>
    <row r="16324" spans="9:9" x14ac:dyDescent="0.25">
      <c r="I16324" s="227" t="str">
        <f>MID(excPisCofins[[#This Row],[CodBarras2]],2,50)</f>
        <v/>
      </c>
    </row>
    <row r="16325" spans="9:9" x14ac:dyDescent="0.25">
      <c r="I16325" s="227" t="str">
        <f>MID(excPisCofins[[#This Row],[CodBarras2]],2,50)</f>
        <v/>
      </c>
    </row>
    <row r="16326" spans="9:9" x14ac:dyDescent="0.25">
      <c r="I16326" s="227" t="str">
        <f>MID(excPisCofins[[#This Row],[CodBarras2]],2,50)</f>
        <v/>
      </c>
    </row>
    <row r="16327" spans="9:9" x14ac:dyDescent="0.25">
      <c r="I16327" s="227" t="str">
        <f>MID(excPisCofins[[#This Row],[CodBarras2]],2,50)</f>
        <v/>
      </c>
    </row>
    <row r="16328" spans="9:9" x14ac:dyDescent="0.25">
      <c r="I16328" s="227" t="str">
        <f>MID(excPisCofins[[#This Row],[CodBarras2]],2,50)</f>
        <v/>
      </c>
    </row>
    <row r="16329" spans="9:9" x14ac:dyDescent="0.25">
      <c r="I16329" s="227" t="str">
        <f>MID(excPisCofins[[#This Row],[CodBarras2]],2,50)</f>
        <v/>
      </c>
    </row>
    <row r="16330" spans="9:9" x14ac:dyDescent="0.25">
      <c r="I16330" s="227" t="str">
        <f>MID(excPisCofins[[#This Row],[CodBarras2]],2,50)</f>
        <v/>
      </c>
    </row>
    <row r="16331" spans="9:9" x14ac:dyDescent="0.25">
      <c r="I16331" s="227" t="str">
        <f>MID(excPisCofins[[#This Row],[CodBarras2]],2,50)</f>
        <v/>
      </c>
    </row>
    <row r="16332" spans="9:9" x14ac:dyDescent="0.25">
      <c r="I16332" s="227" t="str">
        <f>MID(excPisCofins[[#This Row],[CodBarras2]],2,50)</f>
        <v/>
      </c>
    </row>
    <row r="16333" spans="9:9" x14ac:dyDescent="0.25">
      <c r="I16333" s="227" t="str">
        <f>MID(excPisCofins[[#This Row],[CodBarras2]],2,50)</f>
        <v/>
      </c>
    </row>
    <row r="16334" spans="9:9" x14ac:dyDescent="0.25">
      <c r="I16334" s="227" t="str">
        <f>MID(excPisCofins[[#This Row],[CodBarras2]],2,50)</f>
        <v/>
      </c>
    </row>
    <row r="16335" spans="9:9" x14ac:dyDescent="0.25">
      <c r="I16335" s="227" t="str">
        <f>MID(excPisCofins[[#This Row],[CodBarras2]],2,50)</f>
        <v/>
      </c>
    </row>
    <row r="16336" spans="9:9" x14ac:dyDescent="0.25">
      <c r="I16336" s="227" t="str">
        <f>MID(excPisCofins[[#This Row],[CodBarras2]],2,50)</f>
        <v/>
      </c>
    </row>
    <row r="16337" spans="9:9" x14ac:dyDescent="0.25">
      <c r="I16337" s="227" t="str">
        <f>MID(excPisCofins[[#This Row],[CodBarras2]],2,50)</f>
        <v/>
      </c>
    </row>
    <row r="16338" spans="9:9" x14ac:dyDescent="0.25">
      <c r="I16338" s="227" t="str">
        <f>MID(excPisCofins[[#This Row],[CodBarras2]],2,50)</f>
        <v/>
      </c>
    </row>
    <row r="16339" spans="9:9" x14ac:dyDescent="0.25">
      <c r="I16339" s="227" t="str">
        <f>MID(excPisCofins[[#This Row],[CodBarras2]],2,50)</f>
        <v/>
      </c>
    </row>
    <row r="16340" spans="9:9" x14ac:dyDescent="0.25">
      <c r="I16340" s="227" t="str">
        <f>MID(excPisCofins[[#This Row],[CodBarras2]],2,50)</f>
        <v/>
      </c>
    </row>
    <row r="16341" spans="9:9" x14ac:dyDescent="0.25">
      <c r="I16341" s="227" t="str">
        <f>MID(excPisCofins[[#This Row],[CodBarras2]],2,50)</f>
        <v/>
      </c>
    </row>
    <row r="16342" spans="9:9" x14ac:dyDescent="0.25">
      <c r="I16342" s="227" t="str">
        <f>MID(excPisCofins[[#This Row],[CodBarras2]],2,50)</f>
        <v/>
      </c>
    </row>
    <row r="16343" spans="9:9" x14ac:dyDescent="0.25">
      <c r="I16343" s="227" t="str">
        <f>MID(excPisCofins[[#This Row],[CodBarras2]],2,50)</f>
        <v/>
      </c>
    </row>
    <row r="16344" spans="9:9" x14ac:dyDescent="0.25">
      <c r="I16344" s="227" t="str">
        <f>MID(excPisCofins[[#This Row],[CodBarras2]],2,50)</f>
        <v/>
      </c>
    </row>
    <row r="16345" spans="9:9" x14ac:dyDescent="0.25">
      <c r="I16345" s="227" t="str">
        <f>MID(excPisCofins[[#This Row],[CodBarras2]],2,50)</f>
        <v/>
      </c>
    </row>
    <row r="16346" spans="9:9" x14ac:dyDescent="0.25">
      <c r="I16346" s="227" t="str">
        <f>MID(excPisCofins[[#This Row],[CodBarras2]],2,50)</f>
        <v/>
      </c>
    </row>
    <row r="16347" spans="9:9" x14ac:dyDescent="0.25">
      <c r="I16347" s="227" t="str">
        <f>MID(excPisCofins[[#This Row],[CodBarras2]],2,50)</f>
        <v/>
      </c>
    </row>
    <row r="16348" spans="9:9" x14ac:dyDescent="0.25">
      <c r="I16348" s="227" t="str">
        <f>MID(excPisCofins[[#This Row],[CodBarras2]],2,50)</f>
        <v/>
      </c>
    </row>
    <row r="16349" spans="9:9" x14ac:dyDescent="0.25">
      <c r="I16349" s="227" t="str">
        <f>MID(excPisCofins[[#This Row],[CodBarras2]],2,50)</f>
        <v/>
      </c>
    </row>
    <row r="16350" spans="9:9" x14ac:dyDescent="0.25">
      <c r="I16350" s="227" t="str">
        <f>MID(excPisCofins[[#This Row],[CodBarras2]],2,50)</f>
        <v/>
      </c>
    </row>
    <row r="16351" spans="9:9" x14ac:dyDescent="0.25">
      <c r="I16351" s="227" t="str">
        <f>MID(excPisCofins[[#This Row],[CodBarras2]],2,50)</f>
        <v/>
      </c>
    </row>
    <row r="16352" spans="9:9" x14ac:dyDescent="0.25">
      <c r="I16352" s="227" t="str">
        <f>MID(excPisCofins[[#This Row],[CodBarras2]],2,50)</f>
        <v/>
      </c>
    </row>
    <row r="16353" spans="9:9" x14ac:dyDescent="0.25">
      <c r="I16353" s="227" t="str">
        <f>MID(excPisCofins[[#This Row],[CodBarras2]],2,50)</f>
        <v/>
      </c>
    </row>
    <row r="16354" spans="9:9" x14ac:dyDescent="0.25">
      <c r="I16354" s="227" t="str">
        <f>MID(excPisCofins[[#This Row],[CodBarras2]],2,50)</f>
        <v/>
      </c>
    </row>
    <row r="16355" spans="9:9" x14ac:dyDescent="0.25">
      <c r="I16355" s="227" t="str">
        <f>MID(excPisCofins[[#This Row],[CodBarras2]],2,50)</f>
        <v/>
      </c>
    </row>
    <row r="16356" spans="9:9" x14ac:dyDescent="0.25">
      <c r="I16356" s="227" t="str">
        <f>MID(excPisCofins[[#This Row],[CodBarras2]],2,50)</f>
        <v/>
      </c>
    </row>
    <row r="16357" spans="9:9" x14ac:dyDescent="0.25">
      <c r="I16357" s="227" t="str">
        <f>MID(excPisCofins[[#This Row],[CodBarras2]],2,50)</f>
        <v/>
      </c>
    </row>
    <row r="16358" spans="9:9" x14ac:dyDescent="0.25">
      <c r="I16358" s="227" t="str">
        <f>MID(excPisCofins[[#This Row],[CodBarras2]],2,50)</f>
        <v/>
      </c>
    </row>
    <row r="16359" spans="9:9" x14ac:dyDescent="0.25">
      <c r="I16359" s="227" t="str">
        <f>MID(excPisCofins[[#This Row],[CodBarras2]],2,50)</f>
        <v/>
      </c>
    </row>
    <row r="16360" spans="9:9" x14ac:dyDescent="0.25">
      <c r="I16360" s="227" t="str">
        <f>MID(excPisCofins[[#This Row],[CodBarras2]],2,50)</f>
        <v/>
      </c>
    </row>
    <row r="16361" spans="9:9" x14ac:dyDescent="0.25">
      <c r="I16361" s="227" t="str">
        <f>MID(excPisCofins[[#This Row],[CodBarras2]],2,50)</f>
        <v/>
      </c>
    </row>
    <row r="16362" spans="9:9" x14ac:dyDescent="0.25">
      <c r="I16362" s="227" t="str">
        <f>MID(excPisCofins[[#This Row],[CodBarras2]],2,50)</f>
        <v/>
      </c>
    </row>
    <row r="16363" spans="9:9" x14ac:dyDescent="0.25">
      <c r="I16363" s="227" t="str">
        <f>MID(excPisCofins[[#This Row],[CodBarras2]],2,50)</f>
        <v/>
      </c>
    </row>
    <row r="16364" spans="9:9" x14ac:dyDescent="0.25">
      <c r="I16364" s="227" t="str">
        <f>MID(excPisCofins[[#This Row],[CodBarras2]],2,50)</f>
        <v/>
      </c>
    </row>
    <row r="16365" spans="9:9" x14ac:dyDescent="0.25">
      <c r="I16365" s="227" t="str">
        <f>MID(excPisCofins[[#This Row],[CodBarras2]],2,50)</f>
        <v/>
      </c>
    </row>
    <row r="16366" spans="9:9" x14ac:dyDescent="0.25">
      <c r="I16366" s="227" t="str">
        <f>MID(excPisCofins[[#This Row],[CodBarras2]],2,50)</f>
        <v/>
      </c>
    </row>
    <row r="16367" spans="9:9" x14ac:dyDescent="0.25">
      <c r="I16367" s="227" t="str">
        <f>MID(excPisCofins[[#This Row],[CodBarras2]],2,50)</f>
        <v/>
      </c>
    </row>
    <row r="16368" spans="9:9" x14ac:dyDescent="0.25">
      <c r="I16368" s="227" t="str">
        <f>MID(excPisCofins[[#This Row],[CodBarras2]],2,50)</f>
        <v/>
      </c>
    </row>
    <row r="16369" spans="9:9" x14ac:dyDescent="0.25">
      <c r="I16369" s="227" t="str">
        <f>MID(excPisCofins[[#This Row],[CodBarras2]],2,50)</f>
        <v/>
      </c>
    </row>
    <row r="16370" spans="9:9" x14ac:dyDescent="0.25">
      <c r="I16370" s="227" t="str">
        <f>MID(excPisCofins[[#This Row],[CodBarras2]],2,50)</f>
        <v/>
      </c>
    </row>
    <row r="16371" spans="9:9" x14ac:dyDescent="0.25">
      <c r="I16371" s="227" t="str">
        <f>MID(excPisCofins[[#This Row],[CodBarras2]],2,50)</f>
        <v/>
      </c>
    </row>
    <row r="16372" spans="9:9" x14ac:dyDescent="0.25">
      <c r="I16372" s="227" t="str">
        <f>MID(excPisCofins[[#This Row],[CodBarras2]],2,50)</f>
        <v/>
      </c>
    </row>
    <row r="16373" spans="9:9" x14ac:dyDescent="0.25">
      <c r="I16373" s="227" t="str">
        <f>MID(excPisCofins[[#This Row],[CodBarras2]],2,50)</f>
        <v/>
      </c>
    </row>
    <row r="16374" spans="9:9" x14ac:dyDescent="0.25">
      <c r="I16374" s="227" t="str">
        <f>MID(excPisCofins[[#This Row],[CodBarras2]],2,50)</f>
        <v/>
      </c>
    </row>
    <row r="16375" spans="9:9" x14ac:dyDescent="0.25">
      <c r="I16375" s="227" t="str">
        <f>MID(excPisCofins[[#This Row],[CodBarras2]],2,50)</f>
        <v/>
      </c>
    </row>
    <row r="16376" spans="9:9" x14ac:dyDescent="0.25">
      <c r="I16376" s="227" t="str">
        <f>MID(excPisCofins[[#This Row],[CodBarras2]],2,50)</f>
        <v/>
      </c>
    </row>
    <row r="16377" spans="9:9" x14ac:dyDescent="0.25">
      <c r="I16377" s="227" t="str">
        <f>MID(excPisCofins[[#This Row],[CodBarras2]],2,50)</f>
        <v/>
      </c>
    </row>
    <row r="16378" spans="9:9" x14ac:dyDescent="0.25">
      <c r="I16378" s="227" t="str">
        <f>MID(excPisCofins[[#This Row],[CodBarras2]],2,50)</f>
        <v/>
      </c>
    </row>
    <row r="16379" spans="9:9" x14ac:dyDescent="0.25">
      <c r="I16379" s="227" t="str">
        <f>MID(excPisCofins[[#This Row],[CodBarras2]],2,50)</f>
        <v/>
      </c>
    </row>
    <row r="16380" spans="9:9" x14ac:dyDescent="0.25">
      <c r="I16380" s="227" t="str">
        <f>MID(excPisCofins[[#This Row],[CodBarras2]],2,50)</f>
        <v/>
      </c>
    </row>
    <row r="16381" spans="9:9" x14ac:dyDescent="0.25">
      <c r="I16381" s="227" t="str">
        <f>MID(excPisCofins[[#This Row],[CodBarras2]],2,50)</f>
        <v/>
      </c>
    </row>
    <row r="16382" spans="9:9" x14ac:dyDescent="0.25">
      <c r="I16382" s="227" t="str">
        <f>MID(excPisCofins[[#This Row],[CodBarras2]],2,50)</f>
        <v/>
      </c>
    </row>
    <row r="16383" spans="9:9" x14ac:dyDescent="0.25">
      <c r="I16383" s="227" t="str">
        <f>MID(excPisCofins[[#This Row],[CodBarras2]],2,50)</f>
        <v/>
      </c>
    </row>
    <row r="16384" spans="9:9" x14ac:dyDescent="0.25">
      <c r="I16384" s="227" t="str">
        <f>MID(excPisCofins[[#This Row],[CodBarras2]],2,50)</f>
        <v/>
      </c>
    </row>
    <row r="16385" spans="9:9" x14ac:dyDescent="0.25">
      <c r="I16385" s="227" t="str">
        <f>MID(excPisCofins[[#This Row],[CodBarras2]],2,50)</f>
        <v/>
      </c>
    </row>
    <row r="16386" spans="9:9" x14ac:dyDescent="0.25">
      <c r="I16386" s="227" t="str">
        <f>MID(excPisCofins[[#This Row],[CodBarras2]],2,50)</f>
        <v/>
      </c>
    </row>
    <row r="16387" spans="9:9" x14ac:dyDescent="0.25">
      <c r="I16387" s="227" t="str">
        <f>MID(excPisCofins[[#This Row],[CodBarras2]],2,50)</f>
        <v/>
      </c>
    </row>
    <row r="16388" spans="9:9" x14ac:dyDescent="0.25">
      <c r="I16388" s="227" t="str">
        <f>MID(excPisCofins[[#This Row],[CodBarras2]],2,50)</f>
        <v/>
      </c>
    </row>
    <row r="16389" spans="9:9" x14ac:dyDescent="0.25">
      <c r="I16389" s="227" t="str">
        <f>MID(excPisCofins[[#This Row],[CodBarras2]],2,50)</f>
        <v/>
      </c>
    </row>
    <row r="16390" spans="9:9" x14ac:dyDescent="0.25">
      <c r="I16390" s="227" t="str">
        <f>MID(excPisCofins[[#This Row],[CodBarras2]],2,50)</f>
        <v/>
      </c>
    </row>
    <row r="16391" spans="9:9" x14ac:dyDescent="0.25">
      <c r="I16391" s="227" t="str">
        <f>MID(excPisCofins[[#This Row],[CodBarras2]],2,50)</f>
        <v/>
      </c>
    </row>
    <row r="16392" spans="9:9" x14ac:dyDescent="0.25">
      <c r="I16392" s="227" t="str">
        <f>MID(excPisCofins[[#This Row],[CodBarras2]],2,50)</f>
        <v/>
      </c>
    </row>
    <row r="16393" spans="9:9" x14ac:dyDescent="0.25">
      <c r="I16393" s="227" t="str">
        <f>MID(excPisCofins[[#This Row],[CodBarras2]],2,50)</f>
        <v/>
      </c>
    </row>
    <row r="16394" spans="9:9" x14ac:dyDescent="0.25">
      <c r="I16394" s="227" t="str">
        <f>MID(excPisCofins[[#This Row],[CodBarras2]],2,50)</f>
        <v/>
      </c>
    </row>
    <row r="16395" spans="9:9" x14ac:dyDescent="0.25">
      <c r="I16395" s="227" t="str">
        <f>MID(excPisCofins[[#This Row],[CodBarras2]],2,50)</f>
        <v/>
      </c>
    </row>
    <row r="16396" spans="9:9" x14ac:dyDescent="0.25">
      <c r="I16396" s="227" t="str">
        <f>MID(excPisCofins[[#This Row],[CodBarras2]],2,50)</f>
        <v/>
      </c>
    </row>
    <row r="16397" spans="9:9" x14ac:dyDescent="0.25">
      <c r="I16397" s="227" t="str">
        <f>MID(excPisCofins[[#This Row],[CodBarras2]],2,50)</f>
        <v/>
      </c>
    </row>
    <row r="16398" spans="9:9" x14ac:dyDescent="0.25">
      <c r="I16398" s="227" t="str">
        <f>MID(excPisCofins[[#This Row],[CodBarras2]],2,50)</f>
        <v/>
      </c>
    </row>
    <row r="16399" spans="9:9" x14ac:dyDescent="0.25">
      <c r="I16399" s="227" t="str">
        <f>MID(excPisCofins[[#This Row],[CodBarras2]],2,50)</f>
        <v/>
      </c>
    </row>
    <row r="16400" spans="9:9" x14ac:dyDescent="0.25">
      <c r="I16400" s="227" t="str">
        <f>MID(excPisCofins[[#This Row],[CodBarras2]],2,50)</f>
        <v/>
      </c>
    </row>
    <row r="16401" spans="9:9" x14ac:dyDescent="0.25">
      <c r="I16401" s="227" t="str">
        <f>MID(excPisCofins[[#This Row],[CodBarras2]],2,50)</f>
        <v/>
      </c>
    </row>
    <row r="16402" spans="9:9" x14ac:dyDescent="0.25">
      <c r="I16402" s="227" t="str">
        <f>MID(excPisCofins[[#This Row],[CodBarras2]],2,50)</f>
        <v/>
      </c>
    </row>
    <row r="16403" spans="9:9" x14ac:dyDescent="0.25">
      <c r="I16403" s="227" t="str">
        <f>MID(excPisCofins[[#This Row],[CodBarras2]],2,50)</f>
        <v/>
      </c>
    </row>
    <row r="16404" spans="9:9" x14ac:dyDescent="0.25">
      <c r="I16404" s="227" t="str">
        <f>MID(excPisCofins[[#This Row],[CodBarras2]],2,50)</f>
        <v/>
      </c>
    </row>
    <row r="16405" spans="9:9" x14ac:dyDescent="0.25">
      <c r="I16405" s="227" t="str">
        <f>MID(excPisCofins[[#This Row],[CodBarras2]],2,50)</f>
        <v/>
      </c>
    </row>
    <row r="16406" spans="9:9" x14ac:dyDescent="0.25">
      <c r="I16406" s="227" t="str">
        <f>MID(excPisCofins[[#This Row],[CodBarras2]],2,50)</f>
        <v/>
      </c>
    </row>
    <row r="16407" spans="9:9" x14ac:dyDescent="0.25">
      <c r="I16407" s="227" t="str">
        <f>MID(excPisCofins[[#This Row],[CodBarras2]],2,50)</f>
        <v/>
      </c>
    </row>
    <row r="16408" spans="9:9" x14ac:dyDescent="0.25">
      <c r="I16408" s="227" t="str">
        <f>MID(excPisCofins[[#This Row],[CodBarras2]],2,50)</f>
        <v/>
      </c>
    </row>
    <row r="16409" spans="9:9" x14ac:dyDescent="0.25">
      <c r="I16409" s="227" t="str">
        <f>MID(excPisCofins[[#This Row],[CodBarras2]],2,50)</f>
        <v/>
      </c>
    </row>
    <row r="16410" spans="9:9" x14ac:dyDescent="0.25">
      <c r="I16410" s="227" t="str">
        <f>MID(excPisCofins[[#This Row],[CodBarras2]],2,50)</f>
        <v/>
      </c>
    </row>
    <row r="16411" spans="9:9" x14ac:dyDescent="0.25">
      <c r="I16411" s="227" t="str">
        <f>MID(excPisCofins[[#This Row],[CodBarras2]],2,50)</f>
        <v/>
      </c>
    </row>
    <row r="16412" spans="9:9" x14ac:dyDescent="0.25">
      <c r="I16412" s="227" t="str">
        <f>MID(excPisCofins[[#This Row],[CodBarras2]],2,50)</f>
        <v/>
      </c>
    </row>
    <row r="16413" spans="9:9" x14ac:dyDescent="0.25">
      <c r="I16413" s="227" t="str">
        <f>MID(excPisCofins[[#This Row],[CodBarras2]],2,50)</f>
        <v/>
      </c>
    </row>
    <row r="16414" spans="9:9" x14ac:dyDescent="0.25">
      <c r="I16414" s="227" t="str">
        <f>MID(excPisCofins[[#This Row],[CodBarras2]],2,50)</f>
        <v/>
      </c>
    </row>
    <row r="16415" spans="9:9" x14ac:dyDescent="0.25">
      <c r="I16415" s="227" t="str">
        <f>MID(excPisCofins[[#This Row],[CodBarras2]],2,50)</f>
        <v/>
      </c>
    </row>
    <row r="16416" spans="9:9" x14ac:dyDescent="0.25">
      <c r="I16416" s="227" t="str">
        <f>MID(excPisCofins[[#This Row],[CodBarras2]],2,50)</f>
        <v/>
      </c>
    </row>
    <row r="16417" spans="9:9" x14ac:dyDescent="0.25">
      <c r="I16417" s="227" t="str">
        <f>MID(excPisCofins[[#This Row],[CodBarras2]],2,50)</f>
        <v/>
      </c>
    </row>
    <row r="16418" spans="9:9" x14ac:dyDescent="0.25">
      <c r="I16418" s="227" t="str">
        <f>MID(excPisCofins[[#This Row],[CodBarras2]],2,50)</f>
        <v/>
      </c>
    </row>
    <row r="16419" spans="9:9" x14ac:dyDescent="0.25">
      <c r="I16419" s="227" t="str">
        <f>MID(excPisCofins[[#This Row],[CodBarras2]],2,50)</f>
        <v/>
      </c>
    </row>
    <row r="16420" spans="9:9" x14ac:dyDescent="0.25">
      <c r="I16420" s="227" t="str">
        <f>MID(excPisCofins[[#This Row],[CodBarras2]],2,50)</f>
        <v/>
      </c>
    </row>
    <row r="16421" spans="9:9" x14ac:dyDescent="0.25">
      <c r="I16421" s="227" t="str">
        <f>MID(excPisCofins[[#This Row],[CodBarras2]],2,50)</f>
        <v/>
      </c>
    </row>
    <row r="16422" spans="9:9" x14ac:dyDescent="0.25">
      <c r="I16422" s="227" t="str">
        <f>MID(excPisCofins[[#This Row],[CodBarras2]],2,50)</f>
        <v/>
      </c>
    </row>
    <row r="16423" spans="9:9" x14ac:dyDescent="0.25">
      <c r="I16423" s="227" t="str">
        <f>MID(excPisCofins[[#This Row],[CodBarras2]],2,50)</f>
        <v/>
      </c>
    </row>
    <row r="16424" spans="9:9" x14ac:dyDescent="0.25">
      <c r="I16424" s="227" t="str">
        <f>MID(excPisCofins[[#This Row],[CodBarras2]],2,50)</f>
        <v/>
      </c>
    </row>
    <row r="16425" spans="9:9" x14ac:dyDescent="0.25">
      <c r="I16425" s="227" t="str">
        <f>MID(excPisCofins[[#This Row],[CodBarras2]],2,50)</f>
        <v/>
      </c>
    </row>
    <row r="16426" spans="9:9" x14ac:dyDescent="0.25">
      <c r="I16426" s="227" t="str">
        <f>MID(excPisCofins[[#This Row],[CodBarras2]],2,50)</f>
        <v/>
      </c>
    </row>
    <row r="16427" spans="9:9" x14ac:dyDescent="0.25">
      <c r="I16427" s="227" t="str">
        <f>MID(excPisCofins[[#This Row],[CodBarras2]],2,50)</f>
        <v/>
      </c>
    </row>
    <row r="16428" spans="9:9" x14ac:dyDescent="0.25">
      <c r="I16428" s="227" t="str">
        <f>MID(excPisCofins[[#This Row],[CodBarras2]],2,50)</f>
        <v/>
      </c>
    </row>
    <row r="16429" spans="9:9" x14ac:dyDescent="0.25">
      <c r="I16429" s="227" t="str">
        <f>MID(excPisCofins[[#This Row],[CodBarras2]],2,50)</f>
        <v/>
      </c>
    </row>
    <row r="16430" spans="9:9" x14ac:dyDescent="0.25">
      <c r="I16430" s="227" t="str">
        <f>MID(excPisCofins[[#This Row],[CodBarras2]],2,50)</f>
        <v/>
      </c>
    </row>
    <row r="16431" spans="9:9" x14ac:dyDescent="0.25">
      <c r="I16431" s="227" t="str">
        <f>MID(excPisCofins[[#This Row],[CodBarras2]],2,50)</f>
        <v/>
      </c>
    </row>
    <row r="16432" spans="9:9" x14ac:dyDescent="0.25">
      <c r="I16432" s="227" t="str">
        <f>MID(excPisCofins[[#This Row],[CodBarras2]],2,50)</f>
        <v/>
      </c>
    </row>
    <row r="16433" spans="9:9" x14ac:dyDescent="0.25">
      <c r="I16433" s="227" t="str">
        <f>MID(excPisCofins[[#This Row],[CodBarras2]],2,50)</f>
        <v/>
      </c>
    </row>
    <row r="16434" spans="9:9" x14ac:dyDescent="0.25">
      <c r="I16434" s="227" t="str">
        <f>MID(excPisCofins[[#This Row],[CodBarras2]],2,50)</f>
        <v/>
      </c>
    </row>
    <row r="16435" spans="9:9" x14ac:dyDescent="0.25">
      <c r="I16435" s="227" t="str">
        <f>MID(excPisCofins[[#This Row],[CodBarras2]],2,50)</f>
        <v/>
      </c>
    </row>
    <row r="16436" spans="9:9" x14ac:dyDescent="0.25">
      <c r="I16436" s="227" t="str">
        <f>MID(excPisCofins[[#This Row],[CodBarras2]],2,50)</f>
        <v/>
      </c>
    </row>
    <row r="16437" spans="9:9" x14ac:dyDescent="0.25">
      <c r="I16437" s="227" t="str">
        <f>MID(excPisCofins[[#This Row],[CodBarras2]],2,50)</f>
        <v/>
      </c>
    </row>
    <row r="16438" spans="9:9" x14ac:dyDescent="0.25">
      <c r="I16438" s="227" t="str">
        <f>MID(excPisCofins[[#This Row],[CodBarras2]],2,50)</f>
        <v/>
      </c>
    </row>
    <row r="16439" spans="9:9" x14ac:dyDescent="0.25">
      <c r="I16439" s="227" t="str">
        <f>MID(excPisCofins[[#This Row],[CodBarras2]],2,50)</f>
        <v/>
      </c>
    </row>
    <row r="16440" spans="9:9" x14ac:dyDescent="0.25">
      <c r="I16440" s="227" t="str">
        <f>MID(excPisCofins[[#This Row],[CodBarras2]],2,50)</f>
        <v/>
      </c>
    </row>
    <row r="16441" spans="9:9" x14ac:dyDescent="0.25">
      <c r="I16441" s="227" t="str">
        <f>MID(excPisCofins[[#This Row],[CodBarras2]],2,50)</f>
        <v/>
      </c>
    </row>
    <row r="16442" spans="9:9" x14ac:dyDescent="0.25">
      <c r="I16442" s="227" t="str">
        <f>MID(excPisCofins[[#This Row],[CodBarras2]],2,50)</f>
        <v/>
      </c>
    </row>
    <row r="16443" spans="9:9" x14ac:dyDescent="0.25">
      <c r="I16443" s="227" t="str">
        <f>MID(excPisCofins[[#This Row],[CodBarras2]],2,50)</f>
        <v/>
      </c>
    </row>
    <row r="16444" spans="9:9" x14ac:dyDescent="0.25">
      <c r="I16444" s="227" t="str">
        <f>MID(excPisCofins[[#This Row],[CodBarras2]],2,50)</f>
        <v/>
      </c>
    </row>
    <row r="16445" spans="9:9" x14ac:dyDescent="0.25">
      <c r="I16445" s="227" t="str">
        <f>MID(excPisCofins[[#This Row],[CodBarras2]],2,50)</f>
        <v/>
      </c>
    </row>
    <row r="16446" spans="9:9" x14ac:dyDescent="0.25">
      <c r="I16446" s="227" t="str">
        <f>MID(excPisCofins[[#This Row],[CodBarras2]],2,50)</f>
        <v/>
      </c>
    </row>
    <row r="16447" spans="9:9" x14ac:dyDescent="0.25">
      <c r="I16447" s="227" t="str">
        <f>MID(excPisCofins[[#This Row],[CodBarras2]],2,50)</f>
        <v/>
      </c>
    </row>
    <row r="16448" spans="9:9" x14ac:dyDescent="0.25">
      <c r="I16448" s="227" t="str">
        <f>MID(excPisCofins[[#This Row],[CodBarras2]],2,50)</f>
        <v/>
      </c>
    </row>
    <row r="16449" spans="9:9" x14ac:dyDescent="0.25">
      <c r="I16449" s="227" t="str">
        <f>MID(excPisCofins[[#This Row],[CodBarras2]],2,50)</f>
        <v/>
      </c>
    </row>
    <row r="16450" spans="9:9" x14ac:dyDescent="0.25">
      <c r="I16450" s="227" t="str">
        <f>MID(excPisCofins[[#This Row],[CodBarras2]],2,50)</f>
        <v/>
      </c>
    </row>
    <row r="16451" spans="9:9" x14ac:dyDescent="0.25">
      <c r="I16451" s="227" t="str">
        <f>MID(excPisCofins[[#This Row],[CodBarras2]],2,50)</f>
        <v/>
      </c>
    </row>
    <row r="16452" spans="9:9" x14ac:dyDescent="0.25">
      <c r="I16452" s="227" t="str">
        <f>MID(excPisCofins[[#This Row],[CodBarras2]],2,50)</f>
        <v/>
      </c>
    </row>
    <row r="16453" spans="9:9" x14ac:dyDescent="0.25">
      <c r="I16453" s="227" t="str">
        <f>MID(excPisCofins[[#This Row],[CodBarras2]],2,50)</f>
        <v/>
      </c>
    </row>
    <row r="16454" spans="9:9" x14ac:dyDescent="0.25">
      <c r="I16454" s="227" t="str">
        <f>MID(excPisCofins[[#This Row],[CodBarras2]],2,50)</f>
        <v/>
      </c>
    </row>
    <row r="16455" spans="9:9" x14ac:dyDescent="0.25">
      <c r="I16455" s="227" t="str">
        <f>MID(excPisCofins[[#This Row],[CodBarras2]],2,50)</f>
        <v/>
      </c>
    </row>
    <row r="16456" spans="9:9" x14ac:dyDescent="0.25">
      <c r="I16456" s="227" t="str">
        <f>MID(excPisCofins[[#This Row],[CodBarras2]],2,50)</f>
        <v/>
      </c>
    </row>
    <row r="16457" spans="9:9" x14ac:dyDescent="0.25">
      <c r="I16457" s="227" t="str">
        <f>MID(excPisCofins[[#This Row],[CodBarras2]],2,50)</f>
        <v/>
      </c>
    </row>
    <row r="16458" spans="9:9" x14ac:dyDescent="0.25">
      <c r="I16458" s="227" t="str">
        <f>MID(excPisCofins[[#This Row],[CodBarras2]],2,50)</f>
        <v/>
      </c>
    </row>
    <row r="16459" spans="9:9" x14ac:dyDescent="0.25">
      <c r="I16459" s="227" t="str">
        <f>MID(excPisCofins[[#This Row],[CodBarras2]],2,50)</f>
        <v/>
      </c>
    </row>
    <row r="16460" spans="9:9" x14ac:dyDescent="0.25">
      <c r="I16460" s="227" t="str">
        <f>MID(excPisCofins[[#This Row],[CodBarras2]],2,50)</f>
        <v/>
      </c>
    </row>
    <row r="16461" spans="9:9" x14ac:dyDescent="0.25">
      <c r="I16461" s="227" t="str">
        <f>MID(excPisCofins[[#This Row],[CodBarras2]],2,50)</f>
        <v/>
      </c>
    </row>
    <row r="16462" spans="9:9" x14ac:dyDescent="0.25">
      <c r="I16462" s="227" t="str">
        <f>MID(excPisCofins[[#This Row],[CodBarras2]],2,50)</f>
        <v/>
      </c>
    </row>
    <row r="16463" spans="9:9" x14ac:dyDescent="0.25">
      <c r="I16463" s="227" t="str">
        <f>MID(excPisCofins[[#This Row],[CodBarras2]],2,50)</f>
        <v/>
      </c>
    </row>
    <row r="16464" spans="9:9" x14ac:dyDescent="0.25">
      <c r="I16464" s="227" t="str">
        <f>MID(excPisCofins[[#This Row],[CodBarras2]],2,50)</f>
        <v/>
      </c>
    </row>
    <row r="16465" spans="9:9" x14ac:dyDescent="0.25">
      <c r="I16465" s="227" t="str">
        <f>MID(excPisCofins[[#This Row],[CodBarras2]],2,50)</f>
        <v/>
      </c>
    </row>
    <row r="16466" spans="9:9" x14ac:dyDescent="0.25">
      <c r="I16466" s="227" t="str">
        <f>MID(excPisCofins[[#This Row],[CodBarras2]],2,50)</f>
        <v/>
      </c>
    </row>
    <row r="16467" spans="9:9" x14ac:dyDescent="0.25">
      <c r="I16467" s="227" t="str">
        <f>MID(excPisCofins[[#This Row],[CodBarras2]],2,50)</f>
        <v/>
      </c>
    </row>
    <row r="16468" spans="9:9" x14ac:dyDescent="0.25">
      <c r="I16468" s="227" t="str">
        <f>MID(excPisCofins[[#This Row],[CodBarras2]],2,50)</f>
        <v/>
      </c>
    </row>
    <row r="16469" spans="9:9" x14ac:dyDescent="0.25">
      <c r="I16469" s="227" t="str">
        <f>MID(excPisCofins[[#This Row],[CodBarras2]],2,50)</f>
        <v/>
      </c>
    </row>
    <row r="16470" spans="9:9" x14ac:dyDescent="0.25">
      <c r="I16470" s="227" t="str">
        <f>MID(excPisCofins[[#This Row],[CodBarras2]],2,50)</f>
        <v/>
      </c>
    </row>
    <row r="16471" spans="9:9" x14ac:dyDescent="0.25">
      <c r="I16471" s="227" t="str">
        <f>MID(excPisCofins[[#This Row],[CodBarras2]],2,50)</f>
        <v/>
      </c>
    </row>
    <row r="16472" spans="9:9" x14ac:dyDescent="0.25">
      <c r="I16472" s="227" t="str">
        <f>MID(excPisCofins[[#This Row],[CodBarras2]],2,50)</f>
        <v/>
      </c>
    </row>
    <row r="16473" spans="9:9" x14ac:dyDescent="0.25">
      <c r="I16473" s="227" t="str">
        <f>MID(excPisCofins[[#This Row],[CodBarras2]],2,50)</f>
        <v/>
      </c>
    </row>
    <row r="16474" spans="9:9" x14ac:dyDescent="0.25">
      <c r="I16474" s="227" t="str">
        <f>MID(excPisCofins[[#This Row],[CodBarras2]],2,50)</f>
        <v/>
      </c>
    </row>
    <row r="16475" spans="9:9" x14ac:dyDescent="0.25">
      <c r="I16475" s="227" t="str">
        <f>MID(excPisCofins[[#This Row],[CodBarras2]],2,50)</f>
        <v/>
      </c>
    </row>
    <row r="16476" spans="9:9" x14ac:dyDescent="0.25">
      <c r="I16476" s="227" t="str">
        <f>MID(excPisCofins[[#This Row],[CodBarras2]],2,50)</f>
        <v/>
      </c>
    </row>
    <row r="16477" spans="9:9" x14ac:dyDescent="0.25">
      <c r="I16477" s="227" t="str">
        <f>MID(excPisCofins[[#This Row],[CodBarras2]],2,50)</f>
        <v/>
      </c>
    </row>
    <row r="16478" spans="9:9" x14ac:dyDescent="0.25">
      <c r="I16478" s="227" t="str">
        <f>MID(excPisCofins[[#This Row],[CodBarras2]],2,50)</f>
        <v/>
      </c>
    </row>
    <row r="16479" spans="9:9" x14ac:dyDescent="0.25">
      <c r="I16479" s="227" t="str">
        <f>MID(excPisCofins[[#This Row],[CodBarras2]],2,50)</f>
        <v/>
      </c>
    </row>
    <row r="16480" spans="9:9" x14ac:dyDescent="0.25">
      <c r="I16480" s="227" t="str">
        <f>MID(excPisCofins[[#This Row],[CodBarras2]],2,50)</f>
        <v/>
      </c>
    </row>
    <row r="16481" spans="9:9" x14ac:dyDescent="0.25">
      <c r="I16481" s="227" t="str">
        <f>MID(excPisCofins[[#This Row],[CodBarras2]],2,50)</f>
        <v/>
      </c>
    </row>
    <row r="16482" spans="9:9" x14ac:dyDescent="0.25">
      <c r="I16482" s="227" t="str">
        <f>MID(excPisCofins[[#This Row],[CodBarras2]],2,50)</f>
        <v/>
      </c>
    </row>
    <row r="16483" spans="9:9" x14ac:dyDescent="0.25">
      <c r="I16483" s="227" t="str">
        <f>MID(excPisCofins[[#This Row],[CodBarras2]],2,50)</f>
        <v/>
      </c>
    </row>
    <row r="16484" spans="9:9" x14ac:dyDescent="0.25">
      <c r="I16484" s="227" t="str">
        <f>MID(excPisCofins[[#This Row],[CodBarras2]],2,50)</f>
        <v/>
      </c>
    </row>
    <row r="16485" spans="9:9" x14ac:dyDescent="0.25">
      <c r="I16485" s="227" t="str">
        <f>MID(excPisCofins[[#This Row],[CodBarras2]],2,50)</f>
        <v/>
      </c>
    </row>
    <row r="16486" spans="9:9" x14ac:dyDescent="0.25">
      <c r="I16486" s="227" t="str">
        <f>MID(excPisCofins[[#This Row],[CodBarras2]],2,50)</f>
        <v/>
      </c>
    </row>
    <row r="16487" spans="9:9" x14ac:dyDescent="0.25">
      <c r="I16487" s="227" t="str">
        <f>MID(excPisCofins[[#This Row],[CodBarras2]],2,50)</f>
        <v/>
      </c>
    </row>
    <row r="16488" spans="9:9" x14ac:dyDescent="0.25">
      <c r="I16488" s="227" t="str">
        <f>MID(excPisCofins[[#This Row],[CodBarras2]],2,50)</f>
        <v/>
      </c>
    </row>
    <row r="16489" spans="9:9" x14ac:dyDescent="0.25">
      <c r="I16489" s="227" t="str">
        <f>MID(excPisCofins[[#This Row],[CodBarras2]],2,50)</f>
        <v/>
      </c>
    </row>
    <row r="16490" spans="9:9" x14ac:dyDescent="0.25">
      <c r="I16490" s="227" t="str">
        <f>MID(excPisCofins[[#This Row],[CodBarras2]],2,50)</f>
        <v/>
      </c>
    </row>
    <row r="16491" spans="9:9" x14ac:dyDescent="0.25">
      <c r="I16491" s="227" t="str">
        <f>MID(excPisCofins[[#This Row],[CodBarras2]],2,50)</f>
        <v/>
      </c>
    </row>
    <row r="16492" spans="9:9" x14ac:dyDescent="0.25">
      <c r="I16492" s="227" t="str">
        <f>MID(excPisCofins[[#This Row],[CodBarras2]],2,50)</f>
        <v/>
      </c>
    </row>
    <row r="16493" spans="9:9" x14ac:dyDescent="0.25">
      <c r="I16493" s="227" t="str">
        <f>MID(excPisCofins[[#This Row],[CodBarras2]],2,50)</f>
        <v/>
      </c>
    </row>
    <row r="16494" spans="9:9" x14ac:dyDescent="0.25">
      <c r="I16494" s="227" t="str">
        <f>MID(excPisCofins[[#This Row],[CodBarras2]],2,50)</f>
        <v/>
      </c>
    </row>
    <row r="16495" spans="9:9" x14ac:dyDescent="0.25">
      <c r="I16495" s="227" t="str">
        <f>MID(excPisCofins[[#This Row],[CodBarras2]],2,50)</f>
        <v/>
      </c>
    </row>
    <row r="16496" spans="9:9" x14ac:dyDescent="0.25">
      <c r="I16496" s="227" t="str">
        <f>MID(excPisCofins[[#This Row],[CodBarras2]],2,50)</f>
        <v/>
      </c>
    </row>
    <row r="16497" spans="9:9" x14ac:dyDescent="0.25">
      <c r="I16497" s="227" t="str">
        <f>MID(excPisCofins[[#This Row],[CodBarras2]],2,50)</f>
        <v/>
      </c>
    </row>
    <row r="16498" spans="9:9" x14ac:dyDescent="0.25">
      <c r="I16498" s="227" t="str">
        <f>MID(excPisCofins[[#This Row],[CodBarras2]],2,50)</f>
        <v/>
      </c>
    </row>
    <row r="16499" spans="9:9" x14ac:dyDescent="0.25">
      <c r="I16499" s="227" t="str">
        <f>MID(excPisCofins[[#This Row],[CodBarras2]],2,50)</f>
        <v/>
      </c>
    </row>
    <row r="16500" spans="9:9" x14ac:dyDescent="0.25">
      <c r="I16500" s="227" t="str">
        <f>MID(excPisCofins[[#This Row],[CodBarras2]],2,50)</f>
        <v/>
      </c>
    </row>
    <row r="16501" spans="9:9" x14ac:dyDescent="0.25">
      <c r="I16501" s="227" t="str">
        <f>MID(excPisCofins[[#This Row],[CodBarras2]],2,50)</f>
        <v/>
      </c>
    </row>
    <row r="16502" spans="9:9" x14ac:dyDescent="0.25">
      <c r="I16502" s="227" t="str">
        <f>MID(excPisCofins[[#This Row],[CodBarras2]],2,50)</f>
        <v/>
      </c>
    </row>
    <row r="16503" spans="9:9" x14ac:dyDescent="0.25">
      <c r="I16503" s="227" t="str">
        <f>MID(excPisCofins[[#This Row],[CodBarras2]],2,50)</f>
        <v/>
      </c>
    </row>
    <row r="16504" spans="9:9" x14ac:dyDescent="0.25">
      <c r="I16504" s="227" t="str">
        <f>MID(excPisCofins[[#This Row],[CodBarras2]],2,50)</f>
        <v/>
      </c>
    </row>
    <row r="16505" spans="9:9" x14ac:dyDescent="0.25">
      <c r="I16505" s="227" t="str">
        <f>MID(excPisCofins[[#This Row],[CodBarras2]],2,50)</f>
        <v/>
      </c>
    </row>
    <row r="16506" spans="9:9" x14ac:dyDescent="0.25">
      <c r="I16506" s="227" t="str">
        <f>MID(excPisCofins[[#This Row],[CodBarras2]],2,50)</f>
        <v/>
      </c>
    </row>
    <row r="16507" spans="9:9" x14ac:dyDescent="0.25">
      <c r="I16507" s="227" t="str">
        <f>MID(excPisCofins[[#This Row],[CodBarras2]],2,50)</f>
        <v/>
      </c>
    </row>
    <row r="16508" spans="9:9" x14ac:dyDescent="0.25">
      <c r="I16508" s="227" t="str">
        <f>MID(excPisCofins[[#This Row],[CodBarras2]],2,50)</f>
        <v/>
      </c>
    </row>
    <row r="16509" spans="9:9" x14ac:dyDescent="0.25">
      <c r="I16509" s="227" t="str">
        <f>MID(excPisCofins[[#This Row],[CodBarras2]],2,50)</f>
        <v/>
      </c>
    </row>
    <row r="16510" spans="9:9" x14ac:dyDescent="0.25">
      <c r="I16510" s="227" t="str">
        <f>MID(excPisCofins[[#This Row],[CodBarras2]],2,50)</f>
        <v/>
      </c>
    </row>
    <row r="16511" spans="9:9" x14ac:dyDescent="0.25">
      <c r="I16511" s="227" t="str">
        <f>MID(excPisCofins[[#This Row],[CodBarras2]],2,50)</f>
        <v/>
      </c>
    </row>
    <row r="16512" spans="9:9" x14ac:dyDescent="0.25">
      <c r="I16512" s="227" t="str">
        <f>MID(excPisCofins[[#This Row],[CodBarras2]],2,50)</f>
        <v/>
      </c>
    </row>
    <row r="16513" spans="9:9" x14ac:dyDescent="0.25">
      <c r="I16513" s="227" t="str">
        <f>MID(excPisCofins[[#This Row],[CodBarras2]],2,50)</f>
        <v/>
      </c>
    </row>
    <row r="16514" spans="9:9" x14ac:dyDescent="0.25">
      <c r="I16514" s="227" t="str">
        <f>MID(excPisCofins[[#This Row],[CodBarras2]],2,50)</f>
        <v/>
      </c>
    </row>
    <row r="16515" spans="9:9" x14ac:dyDescent="0.25">
      <c r="I16515" s="227" t="str">
        <f>MID(excPisCofins[[#This Row],[CodBarras2]],2,50)</f>
        <v/>
      </c>
    </row>
    <row r="16516" spans="9:9" x14ac:dyDescent="0.25">
      <c r="I16516" s="227" t="str">
        <f>MID(excPisCofins[[#This Row],[CodBarras2]],2,50)</f>
        <v/>
      </c>
    </row>
    <row r="16517" spans="9:9" x14ac:dyDescent="0.25">
      <c r="I16517" s="227" t="str">
        <f>MID(excPisCofins[[#This Row],[CodBarras2]],2,50)</f>
        <v/>
      </c>
    </row>
    <row r="16518" spans="9:9" x14ac:dyDescent="0.25">
      <c r="I16518" s="227" t="str">
        <f>MID(excPisCofins[[#This Row],[CodBarras2]],2,50)</f>
        <v/>
      </c>
    </row>
    <row r="16519" spans="9:9" x14ac:dyDescent="0.25">
      <c r="I16519" s="227" t="str">
        <f>MID(excPisCofins[[#This Row],[CodBarras2]],2,50)</f>
        <v/>
      </c>
    </row>
    <row r="16520" spans="9:9" x14ac:dyDescent="0.25">
      <c r="I16520" s="227" t="str">
        <f>MID(excPisCofins[[#This Row],[CodBarras2]],2,50)</f>
        <v/>
      </c>
    </row>
    <row r="16521" spans="9:9" x14ac:dyDescent="0.25">
      <c r="I16521" s="227" t="str">
        <f>MID(excPisCofins[[#This Row],[CodBarras2]],2,50)</f>
        <v/>
      </c>
    </row>
    <row r="16522" spans="9:9" x14ac:dyDescent="0.25">
      <c r="I16522" s="227" t="str">
        <f>MID(excPisCofins[[#This Row],[CodBarras2]],2,50)</f>
        <v/>
      </c>
    </row>
    <row r="16523" spans="9:9" x14ac:dyDescent="0.25">
      <c r="I16523" s="227" t="str">
        <f>MID(excPisCofins[[#This Row],[CodBarras2]],2,50)</f>
        <v/>
      </c>
    </row>
    <row r="16524" spans="9:9" x14ac:dyDescent="0.25">
      <c r="I16524" s="227" t="str">
        <f>MID(excPisCofins[[#This Row],[CodBarras2]],2,50)</f>
        <v/>
      </c>
    </row>
    <row r="16525" spans="9:9" x14ac:dyDescent="0.25">
      <c r="I16525" s="227" t="str">
        <f>MID(excPisCofins[[#This Row],[CodBarras2]],2,50)</f>
        <v/>
      </c>
    </row>
    <row r="16526" spans="9:9" x14ac:dyDescent="0.25">
      <c r="I16526" s="227" t="str">
        <f>MID(excPisCofins[[#This Row],[CodBarras2]],2,50)</f>
        <v/>
      </c>
    </row>
    <row r="16527" spans="9:9" x14ac:dyDescent="0.25">
      <c r="I16527" s="227" t="str">
        <f>MID(excPisCofins[[#This Row],[CodBarras2]],2,50)</f>
        <v/>
      </c>
    </row>
    <row r="16528" spans="9:9" x14ac:dyDescent="0.25">
      <c r="I16528" s="227" t="str">
        <f>MID(excPisCofins[[#This Row],[CodBarras2]],2,50)</f>
        <v/>
      </c>
    </row>
    <row r="16529" spans="9:9" x14ac:dyDescent="0.25">
      <c r="I16529" s="227" t="str">
        <f>MID(excPisCofins[[#This Row],[CodBarras2]],2,50)</f>
        <v/>
      </c>
    </row>
    <row r="16530" spans="9:9" x14ac:dyDescent="0.25">
      <c r="I16530" s="227" t="str">
        <f>MID(excPisCofins[[#This Row],[CodBarras2]],2,50)</f>
        <v/>
      </c>
    </row>
    <row r="16531" spans="9:9" x14ac:dyDescent="0.25">
      <c r="I16531" s="227" t="str">
        <f>MID(excPisCofins[[#This Row],[CodBarras2]],2,50)</f>
        <v/>
      </c>
    </row>
    <row r="16532" spans="9:9" x14ac:dyDescent="0.25">
      <c r="I16532" s="227" t="str">
        <f>MID(excPisCofins[[#This Row],[CodBarras2]],2,50)</f>
        <v/>
      </c>
    </row>
    <row r="16533" spans="9:9" x14ac:dyDescent="0.25">
      <c r="I16533" s="227" t="str">
        <f>MID(excPisCofins[[#This Row],[CodBarras2]],2,50)</f>
        <v/>
      </c>
    </row>
    <row r="16534" spans="9:9" x14ac:dyDescent="0.25">
      <c r="I16534" s="227" t="str">
        <f>MID(excPisCofins[[#This Row],[CodBarras2]],2,50)</f>
        <v/>
      </c>
    </row>
    <row r="16535" spans="9:9" x14ac:dyDescent="0.25">
      <c r="I16535" s="227" t="str">
        <f>MID(excPisCofins[[#This Row],[CodBarras2]],2,50)</f>
        <v/>
      </c>
    </row>
    <row r="16536" spans="9:9" x14ac:dyDescent="0.25">
      <c r="I16536" s="227" t="str">
        <f>MID(excPisCofins[[#This Row],[CodBarras2]],2,50)</f>
        <v/>
      </c>
    </row>
    <row r="16537" spans="9:9" x14ac:dyDescent="0.25">
      <c r="I16537" s="227" t="str">
        <f>MID(excPisCofins[[#This Row],[CodBarras2]],2,50)</f>
        <v/>
      </c>
    </row>
    <row r="16538" spans="9:9" x14ac:dyDescent="0.25">
      <c r="I16538" s="227" t="str">
        <f>MID(excPisCofins[[#This Row],[CodBarras2]],2,50)</f>
        <v/>
      </c>
    </row>
    <row r="16539" spans="9:9" x14ac:dyDescent="0.25">
      <c r="I16539" s="227" t="str">
        <f>MID(excPisCofins[[#This Row],[CodBarras2]],2,50)</f>
        <v/>
      </c>
    </row>
    <row r="16540" spans="9:9" x14ac:dyDescent="0.25">
      <c r="I16540" s="227" t="str">
        <f>MID(excPisCofins[[#This Row],[CodBarras2]],2,50)</f>
        <v/>
      </c>
    </row>
    <row r="16541" spans="9:9" x14ac:dyDescent="0.25">
      <c r="I16541" s="227" t="str">
        <f>MID(excPisCofins[[#This Row],[CodBarras2]],2,50)</f>
        <v/>
      </c>
    </row>
    <row r="16542" spans="9:9" x14ac:dyDescent="0.25">
      <c r="I16542" s="227" t="str">
        <f>MID(excPisCofins[[#This Row],[CodBarras2]],2,50)</f>
        <v/>
      </c>
    </row>
    <row r="16543" spans="9:9" x14ac:dyDescent="0.25">
      <c r="I16543" s="227" t="str">
        <f>MID(excPisCofins[[#This Row],[CodBarras2]],2,50)</f>
        <v/>
      </c>
    </row>
    <row r="16544" spans="9:9" x14ac:dyDescent="0.25">
      <c r="I16544" s="227" t="str">
        <f>MID(excPisCofins[[#This Row],[CodBarras2]],2,50)</f>
        <v/>
      </c>
    </row>
    <row r="16545" spans="9:9" x14ac:dyDescent="0.25">
      <c r="I16545" s="227" t="str">
        <f>MID(excPisCofins[[#This Row],[CodBarras2]],2,50)</f>
        <v/>
      </c>
    </row>
    <row r="16546" spans="9:9" x14ac:dyDescent="0.25">
      <c r="I16546" s="227" t="str">
        <f>MID(excPisCofins[[#This Row],[CodBarras2]],2,50)</f>
        <v/>
      </c>
    </row>
    <row r="16547" spans="9:9" x14ac:dyDescent="0.25">
      <c r="I16547" s="227" t="str">
        <f>MID(excPisCofins[[#This Row],[CodBarras2]],2,50)</f>
        <v/>
      </c>
    </row>
    <row r="16548" spans="9:9" x14ac:dyDescent="0.25">
      <c r="I16548" s="227" t="str">
        <f>MID(excPisCofins[[#This Row],[CodBarras2]],2,50)</f>
        <v/>
      </c>
    </row>
    <row r="16549" spans="9:9" x14ac:dyDescent="0.25">
      <c r="I16549" s="227" t="str">
        <f>MID(excPisCofins[[#This Row],[CodBarras2]],2,50)</f>
        <v/>
      </c>
    </row>
    <row r="16550" spans="9:9" x14ac:dyDescent="0.25">
      <c r="I16550" s="227" t="str">
        <f>MID(excPisCofins[[#This Row],[CodBarras2]],2,50)</f>
        <v/>
      </c>
    </row>
    <row r="16551" spans="9:9" x14ac:dyDescent="0.25">
      <c r="I16551" s="227" t="str">
        <f>MID(excPisCofins[[#This Row],[CodBarras2]],2,50)</f>
        <v/>
      </c>
    </row>
    <row r="16552" spans="9:9" x14ac:dyDescent="0.25">
      <c r="I16552" s="227" t="str">
        <f>MID(excPisCofins[[#This Row],[CodBarras2]],2,50)</f>
        <v/>
      </c>
    </row>
    <row r="16553" spans="9:9" x14ac:dyDescent="0.25">
      <c r="I16553" s="227" t="str">
        <f>MID(excPisCofins[[#This Row],[CodBarras2]],2,50)</f>
        <v/>
      </c>
    </row>
    <row r="16554" spans="9:9" x14ac:dyDescent="0.25">
      <c r="I16554" s="227" t="str">
        <f>MID(excPisCofins[[#This Row],[CodBarras2]],2,50)</f>
        <v/>
      </c>
    </row>
    <row r="16555" spans="9:9" x14ac:dyDescent="0.25">
      <c r="I16555" s="227" t="str">
        <f>MID(excPisCofins[[#This Row],[CodBarras2]],2,50)</f>
        <v/>
      </c>
    </row>
    <row r="16556" spans="9:9" x14ac:dyDescent="0.25">
      <c r="I16556" s="227" t="str">
        <f>MID(excPisCofins[[#This Row],[CodBarras2]],2,50)</f>
        <v/>
      </c>
    </row>
    <row r="16557" spans="9:9" x14ac:dyDescent="0.25">
      <c r="I16557" s="227" t="str">
        <f>MID(excPisCofins[[#This Row],[CodBarras2]],2,50)</f>
        <v/>
      </c>
    </row>
    <row r="16558" spans="9:9" x14ac:dyDescent="0.25">
      <c r="I16558" s="227" t="str">
        <f>MID(excPisCofins[[#This Row],[CodBarras2]],2,50)</f>
        <v/>
      </c>
    </row>
    <row r="16559" spans="9:9" x14ac:dyDescent="0.25">
      <c r="I16559" s="227" t="str">
        <f>MID(excPisCofins[[#This Row],[CodBarras2]],2,50)</f>
        <v/>
      </c>
    </row>
    <row r="16560" spans="9:9" x14ac:dyDescent="0.25">
      <c r="I16560" s="227" t="str">
        <f>MID(excPisCofins[[#This Row],[CodBarras2]],2,50)</f>
        <v/>
      </c>
    </row>
    <row r="16561" spans="9:9" x14ac:dyDescent="0.25">
      <c r="I16561" s="227" t="str">
        <f>MID(excPisCofins[[#This Row],[CodBarras2]],2,50)</f>
        <v/>
      </c>
    </row>
    <row r="16562" spans="9:9" x14ac:dyDescent="0.25">
      <c r="I16562" s="227" t="str">
        <f>MID(excPisCofins[[#This Row],[CodBarras2]],2,50)</f>
        <v/>
      </c>
    </row>
    <row r="16563" spans="9:9" x14ac:dyDescent="0.25">
      <c r="I16563" s="227" t="str">
        <f>MID(excPisCofins[[#This Row],[CodBarras2]],2,50)</f>
        <v/>
      </c>
    </row>
    <row r="16564" spans="9:9" x14ac:dyDescent="0.25">
      <c r="I16564" s="227" t="str">
        <f>MID(excPisCofins[[#This Row],[CodBarras2]],2,50)</f>
        <v/>
      </c>
    </row>
    <row r="16565" spans="9:9" x14ac:dyDescent="0.25">
      <c r="I16565" s="227" t="str">
        <f>MID(excPisCofins[[#This Row],[CodBarras2]],2,50)</f>
        <v/>
      </c>
    </row>
    <row r="16566" spans="9:9" x14ac:dyDescent="0.25">
      <c r="I16566" s="227" t="str">
        <f>MID(excPisCofins[[#This Row],[CodBarras2]],2,50)</f>
        <v/>
      </c>
    </row>
    <row r="16567" spans="9:9" x14ac:dyDescent="0.25">
      <c r="I16567" s="227" t="str">
        <f>MID(excPisCofins[[#This Row],[CodBarras2]],2,50)</f>
        <v/>
      </c>
    </row>
    <row r="16568" spans="9:9" x14ac:dyDescent="0.25">
      <c r="I16568" s="227" t="str">
        <f>MID(excPisCofins[[#This Row],[CodBarras2]],2,50)</f>
        <v/>
      </c>
    </row>
    <row r="16569" spans="9:9" x14ac:dyDescent="0.25">
      <c r="I16569" s="227" t="str">
        <f>MID(excPisCofins[[#This Row],[CodBarras2]],2,50)</f>
        <v/>
      </c>
    </row>
    <row r="16570" spans="9:9" x14ac:dyDescent="0.25">
      <c r="I16570" s="227" t="str">
        <f>MID(excPisCofins[[#This Row],[CodBarras2]],2,50)</f>
        <v/>
      </c>
    </row>
    <row r="16571" spans="9:9" x14ac:dyDescent="0.25">
      <c r="I16571" s="227" t="str">
        <f>MID(excPisCofins[[#This Row],[CodBarras2]],2,50)</f>
        <v/>
      </c>
    </row>
    <row r="16572" spans="9:9" x14ac:dyDescent="0.25">
      <c r="I16572" s="227" t="str">
        <f>MID(excPisCofins[[#This Row],[CodBarras2]],2,50)</f>
        <v/>
      </c>
    </row>
    <row r="16573" spans="9:9" x14ac:dyDescent="0.25">
      <c r="I16573" s="227" t="str">
        <f>MID(excPisCofins[[#This Row],[CodBarras2]],2,50)</f>
        <v/>
      </c>
    </row>
    <row r="16574" spans="9:9" x14ac:dyDescent="0.25">
      <c r="I16574" s="227" t="str">
        <f>MID(excPisCofins[[#This Row],[CodBarras2]],2,50)</f>
        <v/>
      </c>
    </row>
    <row r="16575" spans="9:9" x14ac:dyDescent="0.25">
      <c r="I16575" s="227" t="str">
        <f>MID(excPisCofins[[#This Row],[CodBarras2]],2,50)</f>
        <v/>
      </c>
    </row>
    <row r="16576" spans="9:9" x14ac:dyDescent="0.25">
      <c r="I16576" s="227" t="str">
        <f>MID(excPisCofins[[#This Row],[CodBarras2]],2,50)</f>
        <v/>
      </c>
    </row>
    <row r="16577" spans="9:9" x14ac:dyDescent="0.25">
      <c r="I16577" s="227" t="str">
        <f>MID(excPisCofins[[#This Row],[CodBarras2]],2,50)</f>
        <v/>
      </c>
    </row>
    <row r="16578" spans="9:9" x14ac:dyDescent="0.25">
      <c r="I16578" s="227" t="str">
        <f>MID(excPisCofins[[#This Row],[CodBarras2]],2,50)</f>
        <v/>
      </c>
    </row>
    <row r="16579" spans="9:9" x14ac:dyDescent="0.25">
      <c r="I16579" s="227" t="str">
        <f>MID(excPisCofins[[#This Row],[CodBarras2]],2,50)</f>
        <v/>
      </c>
    </row>
    <row r="16580" spans="9:9" x14ac:dyDescent="0.25">
      <c r="I16580" s="227" t="str">
        <f>MID(excPisCofins[[#This Row],[CodBarras2]],2,50)</f>
        <v/>
      </c>
    </row>
    <row r="16581" spans="9:9" x14ac:dyDescent="0.25">
      <c r="I16581" s="227" t="str">
        <f>MID(excPisCofins[[#This Row],[CodBarras2]],2,50)</f>
        <v/>
      </c>
    </row>
    <row r="16582" spans="9:9" x14ac:dyDescent="0.25">
      <c r="I16582" s="227" t="str">
        <f>MID(excPisCofins[[#This Row],[CodBarras2]],2,50)</f>
        <v/>
      </c>
    </row>
    <row r="16583" spans="9:9" x14ac:dyDescent="0.25">
      <c r="I16583" s="227" t="str">
        <f>MID(excPisCofins[[#This Row],[CodBarras2]],2,50)</f>
        <v/>
      </c>
    </row>
    <row r="16584" spans="9:9" x14ac:dyDescent="0.25">
      <c r="I16584" s="227" t="str">
        <f>MID(excPisCofins[[#This Row],[CodBarras2]],2,50)</f>
        <v/>
      </c>
    </row>
    <row r="16585" spans="9:9" x14ac:dyDescent="0.25">
      <c r="I16585" s="227" t="str">
        <f>MID(excPisCofins[[#This Row],[CodBarras2]],2,50)</f>
        <v/>
      </c>
    </row>
    <row r="16586" spans="9:9" x14ac:dyDescent="0.25">
      <c r="I16586" s="227" t="str">
        <f>MID(excPisCofins[[#This Row],[CodBarras2]],2,50)</f>
        <v/>
      </c>
    </row>
    <row r="16587" spans="9:9" x14ac:dyDescent="0.25">
      <c r="I16587" s="227" t="str">
        <f>MID(excPisCofins[[#This Row],[CodBarras2]],2,50)</f>
        <v/>
      </c>
    </row>
    <row r="16588" spans="9:9" x14ac:dyDescent="0.25">
      <c r="I16588" s="227" t="str">
        <f>MID(excPisCofins[[#This Row],[CodBarras2]],2,50)</f>
        <v/>
      </c>
    </row>
    <row r="16589" spans="9:9" x14ac:dyDescent="0.25">
      <c r="I16589" s="227" t="str">
        <f>MID(excPisCofins[[#This Row],[CodBarras2]],2,50)</f>
        <v/>
      </c>
    </row>
    <row r="16590" spans="9:9" x14ac:dyDescent="0.25">
      <c r="I16590" s="227" t="str">
        <f>MID(excPisCofins[[#This Row],[CodBarras2]],2,50)</f>
        <v/>
      </c>
    </row>
    <row r="16591" spans="9:9" x14ac:dyDescent="0.25">
      <c r="I16591" s="227" t="str">
        <f>MID(excPisCofins[[#This Row],[CodBarras2]],2,50)</f>
        <v/>
      </c>
    </row>
    <row r="16592" spans="9:9" x14ac:dyDescent="0.25">
      <c r="I16592" s="227" t="str">
        <f>MID(excPisCofins[[#This Row],[CodBarras2]],2,50)</f>
        <v/>
      </c>
    </row>
    <row r="16593" spans="9:9" x14ac:dyDescent="0.25">
      <c r="I16593" s="227" t="str">
        <f>MID(excPisCofins[[#This Row],[CodBarras2]],2,50)</f>
        <v/>
      </c>
    </row>
    <row r="16594" spans="9:9" x14ac:dyDescent="0.25">
      <c r="I16594" s="227" t="str">
        <f>MID(excPisCofins[[#This Row],[CodBarras2]],2,50)</f>
        <v/>
      </c>
    </row>
    <row r="16595" spans="9:9" x14ac:dyDescent="0.25">
      <c r="I16595" s="227" t="str">
        <f>MID(excPisCofins[[#This Row],[CodBarras2]],2,50)</f>
        <v/>
      </c>
    </row>
    <row r="16596" spans="9:9" x14ac:dyDescent="0.25">
      <c r="I16596" s="227" t="str">
        <f>MID(excPisCofins[[#This Row],[CodBarras2]],2,50)</f>
        <v/>
      </c>
    </row>
    <row r="16597" spans="9:9" x14ac:dyDescent="0.25">
      <c r="I16597" s="227" t="str">
        <f>MID(excPisCofins[[#This Row],[CodBarras2]],2,50)</f>
        <v/>
      </c>
    </row>
    <row r="16598" spans="9:9" x14ac:dyDescent="0.25">
      <c r="I16598" s="227" t="str">
        <f>MID(excPisCofins[[#This Row],[CodBarras2]],2,50)</f>
        <v/>
      </c>
    </row>
    <row r="16599" spans="9:9" x14ac:dyDescent="0.25">
      <c r="I16599" s="227" t="str">
        <f>MID(excPisCofins[[#This Row],[CodBarras2]],2,50)</f>
        <v/>
      </c>
    </row>
    <row r="16600" spans="9:9" x14ac:dyDescent="0.25">
      <c r="I16600" s="227" t="str">
        <f>MID(excPisCofins[[#This Row],[CodBarras2]],2,50)</f>
        <v/>
      </c>
    </row>
    <row r="16601" spans="9:9" x14ac:dyDescent="0.25">
      <c r="I16601" s="227" t="str">
        <f>MID(excPisCofins[[#This Row],[CodBarras2]],2,50)</f>
        <v/>
      </c>
    </row>
    <row r="16602" spans="9:9" x14ac:dyDescent="0.25">
      <c r="I16602" s="227" t="str">
        <f>MID(excPisCofins[[#This Row],[CodBarras2]],2,50)</f>
        <v/>
      </c>
    </row>
    <row r="16603" spans="9:9" x14ac:dyDescent="0.25">
      <c r="I16603" s="227" t="str">
        <f>MID(excPisCofins[[#This Row],[CodBarras2]],2,50)</f>
        <v/>
      </c>
    </row>
    <row r="16604" spans="9:9" x14ac:dyDescent="0.25">
      <c r="I16604" s="227" t="str">
        <f>MID(excPisCofins[[#This Row],[CodBarras2]],2,50)</f>
        <v/>
      </c>
    </row>
    <row r="16605" spans="9:9" x14ac:dyDescent="0.25">
      <c r="I16605" s="227" t="str">
        <f>MID(excPisCofins[[#This Row],[CodBarras2]],2,50)</f>
        <v/>
      </c>
    </row>
    <row r="16606" spans="9:9" x14ac:dyDescent="0.25">
      <c r="I16606" s="227" t="str">
        <f>MID(excPisCofins[[#This Row],[CodBarras2]],2,50)</f>
        <v/>
      </c>
    </row>
    <row r="16607" spans="9:9" x14ac:dyDescent="0.25">
      <c r="I16607" s="227" t="str">
        <f>MID(excPisCofins[[#This Row],[CodBarras2]],2,50)</f>
        <v/>
      </c>
    </row>
    <row r="16608" spans="9:9" x14ac:dyDescent="0.25">
      <c r="I16608" s="227" t="str">
        <f>MID(excPisCofins[[#This Row],[CodBarras2]],2,50)</f>
        <v/>
      </c>
    </row>
    <row r="16609" spans="9:9" x14ac:dyDescent="0.25">
      <c r="I16609" s="227" t="str">
        <f>MID(excPisCofins[[#This Row],[CodBarras2]],2,50)</f>
        <v/>
      </c>
    </row>
    <row r="16610" spans="9:9" x14ac:dyDescent="0.25">
      <c r="I16610" s="227" t="str">
        <f>MID(excPisCofins[[#This Row],[CodBarras2]],2,50)</f>
        <v/>
      </c>
    </row>
    <row r="16611" spans="9:9" x14ac:dyDescent="0.25">
      <c r="I16611" s="227" t="str">
        <f>MID(excPisCofins[[#This Row],[CodBarras2]],2,50)</f>
        <v/>
      </c>
    </row>
    <row r="16612" spans="9:9" x14ac:dyDescent="0.25">
      <c r="I16612" s="227" t="str">
        <f>MID(excPisCofins[[#This Row],[CodBarras2]],2,50)</f>
        <v/>
      </c>
    </row>
    <row r="16613" spans="9:9" x14ac:dyDescent="0.25">
      <c r="I16613" s="227" t="str">
        <f>MID(excPisCofins[[#This Row],[CodBarras2]],2,50)</f>
        <v/>
      </c>
    </row>
    <row r="16614" spans="9:9" x14ac:dyDescent="0.25">
      <c r="I16614" s="227" t="str">
        <f>MID(excPisCofins[[#This Row],[CodBarras2]],2,50)</f>
        <v/>
      </c>
    </row>
    <row r="16615" spans="9:9" x14ac:dyDescent="0.25">
      <c r="I16615" s="227" t="str">
        <f>MID(excPisCofins[[#This Row],[CodBarras2]],2,50)</f>
        <v/>
      </c>
    </row>
    <row r="16616" spans="9:9" x14ac:dyDescent="0.25">
      <c r="I16616" s="227" t="str">
        <f>MID(excPisCofins[[#This Row],[CodBarras2]],2,50)</f>
        <v/>
      </c>
    </row>
    <row r="16617" spans="9:9" x14ac:dyDescent="0.25">
      <c r="I16617" s="227" t="str">
        <f>MID(excPisCofins[[#This Row],[CodBarras2]],2,50)</f>
        <v/>
      </c>
    </row>
    <row r="16618" spans="9:9" x14ac:dyDescent="0.25">
      <c r="I16618" s="227" t="str">
        <f>MID(excPisCofins[[#This Row],[CodBarras2]],2,50)</f>
        <v/>
      </c>
    </row>
    <row r="16619" spans="9:9" x14ac:dyDescent="0.25">
      <c r="I16619" s="227" t="str">
        <f>MID(excPisCofins[[#This Row],[CodBarras2]],2,50)</f>
        <v/>
      </c>
    </row>
    <row r="16620" spans="9:9" x14ac:dyDescent="0.25">
      <c r="I16620" s="227" t="str">
        <f>MID(excPisCofins[[#This Row],[CodBarras2]],2,50)</f>
        <v/>
      </c>
    </row>
    <row r="16621" spans="9:9" x14ac:dyDescent="0.25">
      <c r="I16621" s="227" t="str">
        <f>MID(excPisCofins[[#This Row],[CodBarras2]],2,50)</f>
        <v/>
      </c>
    </row>
    <row r="16622" spans="9:9" x14ac:dyDescent="0.25">
      <c r="I16622" s="227" t="str">
        <f>MID(excPisCofins[[#This Row],[CodBarras2]],2,50)</f>
        <v/>
      </c>
    </row>
    <row r="16623" spans="9:9" x14ac:dyDescent="0.25">
      <c r="I16623" s="227" t="str">
        <f>MID(excPisCofins[[#This Row],[CodBarras2]],2,50)</f>
        <v/>
      </c>
    </row>
    <row r="16624" spans="9:9" x14ac:dyDescent="0.25">
      <c r="I16624" s="227" t="str">
        <f>MID(excPisCofins[[#This Row],[CodBarras2]],2,50)</f>
        <v/>
      </c>
    </row>
    <row r="16625" spans="9:9" x14ac:dyDescent="0.25">
      <c r="I16625" s="227" t="str">
        <f>MID(excPisCofins[[#This Row],[CodBarras2]],2,50)</f>
        <v/>
      </c>
    </row>
    <row r="16626" spans="9:9" x14ac:dyDescent="0.25">
      <c r="I16626" s="227" t="str">
        <f>MID(excPisCofins[[#This Row],[CodBarras2]],2,50)</f>
        <v/>
      </c>
    </row>
    <row r="16627" spans="9:9" x14ac:dyDescent="0.25">
      <c r="I16627" s="227" t="str">
        <f>MID(excPisCofins[[#This Row],[CodBarras2]],2,50)</f>
        <v/>
      </c>
    </row>
    <row r="16628" spans="9:9" x14ac:dyDescent="0.25">
      <c r="I16628" s="227" t="str">
        <f>MID(excPisCofins[[#This Row],[CodBarras2]],2,50)</f>
        <v/>
      </c>
    </row>
    <row r="16629" spans="9:9" x14ac:dyDescent="0.25">
      <c r="I16629" s="227" t="str">
        <f>MID(excPisCofins[[#This Row],[CodBarras2]],2,50)</f>
        <v/>
      </c>
    </row>
    <row r="16630" spans="9:9" x14ac:dyDescent="0.25">
      <c r="I16630" s="227" t="str">
        <f>MID(excPisCofins[[#This Row],[CodBarras2]],2,50)</f>
        <v/>
      </c>
    </row>
    <row r="16631" spans="9:9" x14ac:dyDescent="0.25">
      <c r="I16631" s="227" t="str">
        <f>MID(excPisCofins[[#This Row],[CodBarras2]],2,50)</f>
        <v/>
      </c>
    </row>
    <row r="16632" spans="9:9" x14ac:dyDescent="0.25">
      <c r="I16632" s="227" t="str">
        <f>MID(excPisCofins[[#This Row],[CodBarras2]],2,50)</f>
        <v/>
      </c>
    </row>
    <row r="16633" spans="9:9" x14ac:dyDescent="0.25">
      <c r="I16633" s="227" t="str">
        <f>MID(excPisCofins[[#This Row],[CodBarras2]],2,50)</f>
        <v/>
      </c>
    </row>
    <row r="16634" spans="9:9" x14ac:dyDescent="0.25">
      <c r="I16634" s="227" t="str">
        <f>MID(excPisCofins[[#This Row],[CodBarras2]],2,50)</f>
        <v/>
      </c>
    </row>
    <row r="16635" spans="9:9" x14ac:dyDescent="0.25">
      <c r="I16635" s="227" t="str">
        <f>MID(excPisCofins[[#This Row],[CodBarras2]],2,50)</f>
        <v/>
      </c>
    </row>
    <row r="16636" spans="9:9" x14ac:dyDescent="0.25">
      <c r="I16636" s="227" t="str">
        <f>MID(excPisCofins[[#This Row],[CodBarras2]],2,50)</f>
        <v/>
      </c>
    </row>
    <row r="16637" spans="9:9" x14ac:dyDescent="0.25">
      <c r="I16637" s="227" t="str">
        <f>MID(excPisCofins[[#This Row],[CodBarras2]],2,50)</f>
        <v/>
      </c>
    </row>
    <row r="16638" spans="9:9" x14ac:dyDescent="0.25">
      <c r="I16638" s="227" t="str">
        <f>MID(excPisCofins[[#This Row],[CodBarras2]],2,50)</f>
        <v/>
      </c>
    </row>
    <row r="16639" spans="9:9" x14ac:dyDescent="0.25">
      <c r="I16639" s="227" t="str">
        <f>MID(excPisCofins[[#This Row],[CodBarras2]],2,50)</f>
        <v/>
      </c>
    </row>
    <row r="16640" spans="9:9" x14ac:dyDescent="0.25">
      <c r="I16640" s="227" t="str">
        <f>MID(excPisCofins[[#This Row],[CodBarras2]],2,50)</f>
        <v/>
      </c>
    </row>
    <row r="16641" spans="9:9" x14ac:dyDescent="0.25">
      <c r="I16641" s="227" t="str">
        <f>MID(excPisCofins[[#This Row],[CodBarras2]],2,50)</f>
        <v/>
      </c>
    </row>
    <row r="16642" spans="9:9" x14ac:dyDescent="0.25">
      <c r="I16642" s="227" t="str">
        <f>MID(excPisCofins[[#This Row],[CodBarras2]],2,50)</f>
        <v/>
      </c>
    </row>
    <row r="16643" spans="9:9" x14ac:dyDescent="0.25">
      <c r="I16643" s="227" t="str">
        <f>MID(excPisCofins[[#This Row],[CodBarras2]],2,50)</f>
        <v/>
      </c>
    </row>
    <row r="16644" spans="9:9" x14ac:dyDescent="0.25">
      <c r="I16644" s="227" t="str">
        <f>MID(excPisCofins[[#This Row],[CodBarras2]],2,50)</f>
        <v/>
      </c>
    </row>
    <row r="16645" spans="9:9" x14ac:dyDescent="0.25">
      <c r="I16645" s="227" t="str">
        <f>MID(excPisCofins[[#This Row],[CodBarras2]],2,50)</f>
        <v/>
      </c>
    </row>
    <row r="16646" spans="9:9" x14ac:dyDescent="0.25">
      <c r="I16646" s="227" t="str">
        <f>MID(excPisCofins[[#This Row],[CodBarras2]],2,50)</f>
        <v/>
      </c>
    </row>
    <row r="16647" spans="9:9" x14ac:dyDescent="0.25">
      <c r="I16647" s="227" t="str">
        <f>MID(excPisCofins[[#This Row],[CodBarras2]],2,50)</f>
        <v/>
      </c>
    </row>
    <row r="16648" spans="9:9" x14ac:dyDescent="0.25">
      <c r="I16648" s="227" t="str">
        <f>MID(excPisCofins[[#This Row],[CodBarras2]],2,50)</f>
        <v/>
      </c>
    </row>
    <row r="16649" spans="9:9" x14ac:dyDescent="0.25">
      <c r="I16649" s="227" t="str">
        <f>MID(excPisCofins[[#This Row],[CodBarras2]],2,50)</f>
        <v/>
      </c>
    </row>
    <row r="16650" spans="9:9" x14ac:dyDescent="0.25">
      <c r="I16650" s="227" t="str">
        <f>MID(excPisCofins[[#This Row],[CodBarras2]],2,50)</f>
        <v/>
      </c>
    </row>
    <row r="16651" spans="9:9" x14ac:dyDescent="0.25">
      <c r="I16651" s="227" t="str">
        <f>MID(excPisCofins[[#This Row],[CodBarras2]],2,50)</f>
        <v/>
      </c>
    </row>
    <row r="16652" spans="9:9" x14ac:dyDescent="0.25">
      <c r="I16652" s="227" t="str">
        <f>MID(excPisCofins[[#This Row],[CodBarras2]],2,50)</f>
        <v/>
      </c>
    </row>
    <row r="16653" spans="9:9" x14ac:dyDescent="0.25">
      <c r="I16653" s="227" t="str">
        <f>MID(excPisCofins[[#This Row],[CodBarras2]],2,50)</f>
        <v/>
      </c>
    </row>
    <row r="16654" spans="9:9" x14ac:dyDescent="0.25">
      <c r="I16654" s="227" t="str">
        <f>MID(excPisCofins[[#This Row],[CodBarras2]],2,50)</f>
        <v/>
      </c>
    </row>
    <row r="16655" spans="9:9" x14ac:dyDescent="0.25">
      <c r="I16655" s="227" t="str">
        <f>MID(excPisCofins[[#This Row],[CodBarras2]],2,50)</f>
        <v/>
      </c>
    </row>
    <row r="16656" spans="9:9" x14ac:dyDescent="0.25">
      <c r="I16656" s="227" t="str">
        <f>MID(excPisCofins[[#This Row],[CodBarras2]],2,50)</f>
        <v/>
      </c>
    </row>
    <row r="16657" spans="9:9" x14ac:dyDescent="0.25">
      <c r="I16657" s="227" t="str">
        <f>MID(excPisCofins[[#This Row],[CodBarras2]],2,50)</f>
        <v/>
      </c>
    </row>
    <row r="16658" spans="9:9" x14ac:dyDescent="0.25">
      <c r="I16658" s="227" t="str">
        <f>MID(excPisCofins[[#This Row],[CodBarras2]],2,50)</f>
        <v/>
      </c>
    </row>
    <row r="16659" spans="9:9" x14ac:dyDescent="0.25">
      <c r="I16659" s="227" t="str">
        <f>MID(excPisCofins[[#This Row],[CodBarras2]],2,50)</f>
        <v/>
      </c>
    </row>
    <row r="16660" spans="9:9" x14ac:dyDescent="0.25">
      <c r="I16660" s="227" t="str">
        <f>MID(excPisCofins[[#This Row],[CodBarras2]],2,50)</f>
        <v/>
      </c>
    </row>
    <row r="16661" spans="9:9" x14ac:dyDescent="0.25">
      <c r="I16661" s="227" t="str">
        <f>MID(excPisCofins[[#This Row],[CodBarras2]],2,50)</f>
        <v/>
      </c>
    </row>
    <row r="16662" spans="9:9" x14ac:dyDescent="0.25">
      <c r="I16662" s="227" t="str">
        <f>MID(excPisCofins[[#This Row],[CodBarras2]],2,50)</f>
        <v/>
      </c>
    </row>
    <row r="16663" spans="9:9" x14ac:dyDescent="0.25">
      <c r="I16663" s="227" t="str">
        <f>MID(excPisCofins[[#This Row],[CodBarras2]],2,50)</f>
        <v/>
      </c>
    </row>
    <row r="16664" spans="9:9" x14ac:dyDescent="0.25">
      <c r="I16664" s="227" t="str">
        <f>MID(excPisCofins[[#This Row],[CodBarras2]],2,50)</f>
        <v/>
      </c>
    </row>
    <row r="16665" spans="9:9" x14ac:dyDescent="0.25">
      <c r="I16665" s="227" t="str">
        <f>MID(excPisCofins[[#This Row],[CodBarras2]],2,50)</f>
        <v/>
      </c>
    </row>
    <row r="16666" spans="9:9" x14ac:dyDescent="0.25">
      <c r="I16666" s="227" t="str">
        <f>MID(excPisCofins[[#This Row],[CodBarras2]],2,50)</f>
        <v/>
      </c>
    </row>
    <row r="16667" spans="9:9" x14ac:dyDescent="0.25">
      <c r="I16667" s="227" t="str">
        <f>MID(excPisCofins[[#This Row],[CodBarras2]],2,50)</f>
        <v/>
      </c>
    </row>
    <row r="16668" spans="9:9" x14ac:dyDescent="0.25">
      <c r="I16668" s="227" t="str">
        <f>MID(excPisCofins[[#This Row],[CodBarras2]],2,50)</f>
        <v/>
      </c>
    </row>
    <row r="16669" spans="9:9" x14ac:dyDescent="0.25">
      <c r="I16669" s="227" t="str">
        <f>MID(excPisCofins[[#This Row],[CodBarras2]],2,50)</f>
        <v/>
      </c>
    </row>
    <row r="16670" spans="9:9" x14ac:dyDescent="0.25">
      <c r="I16670" s="227" t="str">
        <f>MID(excPisCofins[[#This Row],[CodBarras2]],2,50)</f>
        <v/>
      </c>
    </row>
    <row r="16671" spans="9:9" x14ac:dyDescent="0.25">
      <c r="I16671" s="227" t="str">
        <f>MID(excPisCofins[[#This Row],[CodBarras2]],2,50)</f>
        <v/>
      </c>
    </row>
    <row r="16672" spans="9:9" x14ac:dyDescent="0.25">
      <c r="I16672" s="227" t="str">
        <f>MID(excPisCofins[[#This Row],[CodBarras2]],2,50)</f>
        <v/>
      </c>
    </row>
    <row r="16673" spans="9:9" x14ac:dyDescent="0.25">
      <c r="I16673" s="227" t="str">
        <f>MID(excPisCofins[[#This Row],[CodBarras2]],2,50)</f>
        <v/>
      </c>
    </row>
    <row r="16674" spans="9:9" x14ac:dyDescent="0.25">
      <c r="I16674" s="227" t="str">
        <f>MID(excPisCofins[[#This Row],[CodBarras2]],2,50)</f>
        <v/>
      </c>
    </row>
    <row r="16675" spans="9:9" x14ac:dyDescent="0.25">
      <c r="I16675" s="227" t="str">
        <f>MID(excPisCofins[[#This Row],[CodBarras2]],2,50)</f>
        <v/>
      </c>
    </row>
    <row r="16676" spans="9:9" x14ac:dyDescent="0.25">
      <c r="I16676" s="227" t="str">
        <f>MID(excPisCofins[[#This Row],[CodBarras2]],2,50)</f>
        <v/>
      </c>
    </row>
    <row r="16677" spans="9:9" x14ac:dyDescent="0.25">
      <c r="I16677" s="227" t="str">
        <f>MID(excPisCofins[[#This Row],[CodBarras2]],2,50)</f>
        <v/>
      </c>
    </row>
    <row r="16678" spans="9:9" x14ac:dyDescent="0.25">
      <c r="I16678" s="227" t="str">
        <f>MID(excPisCofins[[#This Row],[CodBarras2]],2,50)</f>
        <v/>
      </c>
    </row>
    <row r="16679" spans="9:9" x14ac:dyDescent="0.25">
      <c r="I16679" s="227" t="str">
        <f>MID(excPisCofins[[#This Row],[CodBarras2]],2,50)</f>
        <v/>
      </c>
    </row>
    <row r="16680" spans="9:9" x14ac:dyDescent="0.25">
      <c r="I16680" s="227" t="str">
        <f>MID(excPisCofins[[#This Row],[CodBarras2]],2,50)</f>
        <v/>
      </c>
    </row>
    <row r="16681" spans="9:9" x14ac:dyDescent="0.25">
      <c r="I16681" s="227" t="str">
        <f>MID(excPisCofins[[#This Row],[CodBarras2]],2,50)</f>
        <v/>
      </c>
    </row>
    <row r="16682" spans="9:9" x14ac:dyDescent="0.25">
      <c r="I16682" s="227" t="str">
        <f>MID(excPisCofins[[#This Row],[CodBarras2]],2,50)</f>
        <v/>
      </c>
    </row>
    <row r="16683" spans="9:9" x14ac:dyDescent="0.25">
      <c r="I16683" s="227" t="str">
        <f>MID(excPisCofins[[#This Row],[CodBarras2]],2,50)</f>
        <v/>
      </c>
    </row>
    <row r="16684" spans="9:9" x14ac:dyDescent="0.25">
      <c r="I16684" s="227" t="str">
        <f>MID(excPisCofins[[#This Row],[CodBarras2]],2,50)</f>
        <v/>
      </c>
    </row>
    <row r="16685" spans="9:9" x14ac:dyDescent="0.25">
      <c r="I16685" s="227" t="str">
        <f>MID(excPisCofins[[#This Row],[CodBarras2]],2,50)</f>
        <v/>
      </c>
    </row>
    <row r="16686" spans="9:9" x14ac:dyDescent="0.25">
      <c r="I16686" s="227" t="str">
        <f>MID(excPisCofins[[#This Row],[CodBarras2]],2,50)</f>
        <v/>
      </c>
    </row>
    <row r="16687" spans="9:9" x14ac:dyDescent="0.25">
      <c r="I16687" s="227" t="str">
        <f>MID(excPisCofins[[#This Row],[CodBarras2]],2,50)</f>
        <v/>
      </c>
    </row>
    <row r="16688" spans="9:9" x14ac:dyDescent="0.25">
      <c r="I16688" s="227" t="str">
        <f>MID(excPisCofins[[#This Row],[CodBarras2]],2,50)</f>
        <v/>
      </c>
    </row>
    <row r="16689" spans="9:9" x14ac:dyDescent="0.25">
      <c r="I16689" s="227" t="str">
        <f>MID(excPisCofins[[#This Row],[CodBarras2]],2,50)</f>
        <v/>
      </c>
    </row>
    <row r="16690" spans="9:9" x14ac:dyDescent="0.25">
      <c r="I16690" s="227" t="str">
        <f>MID(excPisCofins[[#This Row],[CodBarras2]],2,50)</f>
        <v/>
      </c>
    </row>
    <row r="16691" spans="9:9" x14ac:dyDescent="0.25">
      <c r="I16691" s="227" t="str">
        <f>MID(excPisCofins[[#This Row],[CodBarras2]],2,50)</f>
        <v/>
      </c>
    </row>
    <row r="16692" spans="9:9" x14ac:dyDescent="0.25">
      <c r="I16692" s="227" t="str">
        <f>MID(excPisCofins[[#This Row],[CodBarras2]],2,50)</f>
        <v/>
      </c>
    </row>
    <row r="16693" spans="9:9" x14ac:dyDescent="0.25">
      <c r="I16693" s="227" t="str">
        <f>MID(excPisCofins[[#This Row],[CodBarras2]],2,50)</f>
        <v/>
      </c>
    </row>
    <row r="16694" spans="9:9" x14ac:dyDescent="0.25">
      <c r="I16694" s="227" t="str">
        <f>MID(excPisCofins[[#This Row],[CodBarras2]],2,50)</f>
        <v/>
      </c>
    </row>
    <row r="16695" spans="9:9" x14ac:dyDescent="0.25">
      <c r="I16695" s="227" t="str">
        <f>MID(excPisCofins[[#This Row],[CodBarras2]],2,50)</f>
        <v/>
      </c>
    </row>
    <row r="16696" spans="9:9" x14ac:dyDescent="0.25">
      <c r="I16696" s="227" t="str">
        <f>MID(excPisCofins[[#This Row],[CodBarras2]],2,50)</f>
        <v/>
      </c>
    </row>
    <row r="16697" spans="9:9" x14ac:dyDescent="0.25">
      <c r="I16697" s="227" t="str">
        <f>MID(excPisCofins[[#This Row],[CodBarras2]],2,50)</f>
        <v/>
      </c>
    </row>
    <row r="16698" spans="9:9" x14ac:dyDescent="0.25">
      <c r="I16698" s="227" t="str">
        <f>MID(excPisCofins[[#This Row],[CodBarras2]],2,50)</f>
        <v/>
      </c>
    </row>
    <row r="16699" spans="9:9" x14ac:dyDescent="0.25">
      <c r="I16699" s="227" t="str">
        <f>MID(excPisCofins[[#This Row],[CodBarras2]],2,50)</f>
        <v/>
      </c>
    </row>
    <row r="16700" spans="9:9" x14ac:dyDescent="0.25">
      <c r="I16700" s="227" t="str">
        <f>MID(excPisCofins[[#This Row],[CodBarras2]],2,50)</f>
        <v/>
      </c>
    </row>
    <row r="16701" spans="9:9" x14ac:dyDescent="0.25">
      <c r="I16701" s="227" t="str">
        <f>MID(excPisCofins[[#This Row],[CodBarras2]],2,50)</f>
        <v/>
      </c>
    </row>
    <row r="16702" spans="9:9" x14ac:dyDescent="0.25">
      <c r="I16702" s="227" t="str">
        <f>MID(excPisCofins[[#This Row],[CodBarras2]],2,50)</f>
        <v/>
      </c>
    </row>
    <row r="16703" spans="9:9" x14ac:dyDescent="0.25">
      <c r="I16703" s="227" t="str">
        <f>MID(excPisCofins[[#This Row],[CodBarras2]],2,50)</f>
        <v/>
      </c>
    </row>
    <row r="16704" spans="9:9" x14ac:dyDescent="0.25">
      <c r="I16704" s="227" t="str">
        <f>MID(excPisCofins[[#This Row],[CodBarras2]],2,50)</f>
        <v/>
      </c>
    </row>
    <row r="16705" spans="9:9" x14ac:dyDescent="0.25">
      <c r="I16705" s="227" t="str">
        <f>MID(excPisCofins[[#This Row],[CodBarras2]],2,50)</f>
        <v/>
      </c>
    </row>
    <row r="16706" spans="9:9" x14ac:dyDescent="0.25">
      <c r="I16706" s="227" t="str">
        <f>MID(excPisCofins[[#This Row],[CodBarras2]],2,50)</f>
        <v/>
      </c>
    </row>
    <row r="16707" spans="9:9" x14ac:dyDescent="0.25">
      <c r="I16707" s="227" t="str">
        <f>MID(excPisCofins[[#This Row],[CodBarras2]],2,50)</f>
        <v/>
      </c>
    </row>
    <row r="16708" spans="9:9" x14ac:dyDescent="0.25">
      <c r="I16708" s="227" t="str">
        <f>MID(excPisCofins[[#This Row],[CodBarras2]],2,50)</f>
        <v/>
      </c>
    </row>
    <row r="16709" spans="9:9" x14ac:dyDescent="0.25">
      <c r="I16709" s="227" t="str">
        <f>MID(excPisCofins[[#This Row],[CodBarras2]],2,50)</f>
        <v/>
      </c>
    </row>
    <row r="16710" spans="9:9" x14ac:dyDescent="0.25">
      <c r="I16710" s="227" t="str">
        <f>MID(excPisCofins[[#This Row],[CodBarras2]],2,50)</f>
        <v/>
      </c>
    </row>
    <row r="16711" spans="9:9" x14ac:dyDescent="0.25">
      <c r="I16711" s="227" t="str">
        <f>MID(excPisCofins[[#This Row],[CodBarras2]],2,50)</f>
        <v/>
      </c>
    </row>
    <row r="16712" spans="9:9" x14ac:dyDescent="0.25">
      <c r="I16712" s="227" t="str">
        <f>MID(excPisCofins[[#This Row],[CodBarras2]],2,50)</f>
        <v/>
      </c>
    </row>
    <row r="16713" spans="9:9" x14ac:dyDescent="0.25">
      <c r="I16713" s="227" t="str">
        <f>MID(excPisCofins[[#This Row],[CodBarras2]],2,50)</f>
        <v/>
      </c>
    </row>
    <row r="16714" spans="9:9" x14ac:dyDescent="0.25">
      <c r="I16714" s="227" t="str">
        <f>MID(excPisCofins[[#This Row],[CodBarras2]],2,50)</f>
        <v/>
      </c>
    </row>
    <row r="16715" spans="9:9" x14ac:dyDescent="0.25">
      <c r="I16715" s="227" t="str">
        <f>MID(excPisCofins[[#This Row],[CodBarras2]],2,50)</f>
        <v/>
      </c>
    </row>
    <row r="16716" spans="9:9" x14ac:dyDescent="0.25">
      <c r="I16716" s="227" t="str">
        <f>MID(excPisCofins[[#This Row],[CodBarras2]],2,50)</f>
        <v/>
      </c>
    </row>
    <row r="16717" spans="9:9" x14ac:dyDescent="0.25">
      <c r="I16717" s="227" t="str">
        <f>MID(excPisCofins[[#This Row],[CodBarras2]],2,50)</f>
        <v/>
      </c>
    </row>
    <row r="16718" spans="9:9" x14ac:dyDescent="0.25">
      <c r="I16718" s="227" t="str">
        <f>MID(excPisCofins[[#This Row],[CodBarras2]],2,50)</f>
        <v/>
      </c>
    </row>
    <row r="16719" spans="9:9" x14ac:dyDescent="0.25">
      <c r="I16719" s="227" t="str">
        <f>MID(excPisCofins[[#This Row],[CodBarras2]],2,50)</f>
        <v/>
      </c>
    </row>
    <row r="16720" spans="9:9" x14ac:dyDescent="0.25">
      <c r="I16720" s="227" t="str">
        <f>MID(excPisCofins[[#This Row],[CodBarras2]],2,50)</f>
        <v/>
      </c>
    </row>
    <row r="16721" spans="9:9" x14ac:dyDescent="0.25">
      <c r="I16721" s="227" t="str">
        <f>MID(excPisCofins[[#This Row],[CodBarras2]],2,50)</f>
        <v/>
      </c>
    </row>
    <row r="16722" spans="9:9" x14ac:dyDescent="0.25">
      <c r="I16722" s="227" t="str">
        <f>MID(excPisCofins[[#This Row],[CodBarras2]],2,50)</f>
        <v/>
      </c>
    </row>
    <row r="16723" spans="9:9" x14ac:dyDescent="0.25">
      <c r="I16723" s="227" t="str">
        <f>MID(excPisCofins[[#This Row],[CodBarras2]],2,50)</f>
        <v/>
      </c>
    </row>
    <row r="16724" spans="9:9" x14ac:dyDescent="0.25">
      <c r="I16724" s="227" t="str">
        <f>MID(excPisCofins[[#This Row],[CodBarras2]],2,50)</f>
        <v/>
      </c>
    </row>
    <row r="16725" spans="9:9" x14ac:dyDescent="0.25">
      <c r="I16725" s="227" t="str">
        <f>MID(excPisCofins[[#This Row],[CodBarras2]],2,50)</f>
        <v/>
      </c>
    </row>
    <row r="16726" spans="9:9" x14ac:dyDescent="0.25">
      <c r="I16726" s="227" t="str">
        <f>MID(excPisCofins[[#This Row],[CodBarras2]],2,50)</f>
        <v/>
      </c>
    </row>
    <row r="16727" spans="9:9" x14ac:dyDescent="0.25">
      <c r="I16727" s="227" t="str">
        <f>MID(excPisCofins[[#This Row],[CodBarras2]],2,50)</f>
        <v/>
      </c>
    </row>
    <row r="16728" spans="9:9" x14ac:dyDescent="0.25">
      <c r="I16728" s="227" t="str">
        <f>MID(excPisCofins[[#This Row],[CodBarras2]],2,50)</f>
        <v/>
      </c>
    </row>
    <row r="16729" spans="9:9" x14ac:dyDescent="0.25">
      <c r="I16729" s="227" t="str">
        <f>MID(excPisCofins[[#This Row],[CodBarras2]],2,50)</f>
        <v/>
      </c>
    </row>
    <row r="16730" spans="9:9" x14ac:dyDescent="0.25">
      <c r="I16730" s="227" t="str">
        <f>MID(excPisCofins[[#This Row],[CodBarras2]],2,50)</f>
        <v/>
      </c>
    </row>
    <row r="16731" spans="9:9" x14ac:dyDescent="0.25">
      <c r="I16731" s="227" t="str">
        <f>MID(excPisCofins[[#This Row],[CodBarras2]],2,50)</f>
        <v/>
      </c>
    </row>
    <row r="16732" spans="9:9" x14ac:dyDescent="0.25">
      <c r="I16732" s="227" t="str">
        <f>MID(excPisCofins[[#This Row],[CodBarras2]],2,50)</f>
        <v/>
      </c>
    </row>
    <row r="16733" spans="9:9" x14ac:dyDescent="0.25">
      <c r="I16733" s="227" t="str">
        <f>MID(excPisCofins[[#This Row],[CodBarras2]],2,50)</f>
        <v/>
      </c>
    </row>
    <row r="16734" spans="9:9" x14ac:dyDescent="0.25">
      <c r="I16734" s="227" t="str">
        <f>MID(excPisCofins[[#This Row],[CodBarras2]],2,50)</f>
        <v/>
      </c>
    </row>
    <row r="16735" spans="9:9" x14ac:dyDescent="0.25">
      <c r="I16735" s="227" t="str">
        <f>MID(excPisCofins[[#This Row],[CodBarras2]],2,50)</f>
        <v/>
      </c>
    </row>
    <row r="16736" spans="9:9" x14ac:dyDescent="0.25">
      <c r="I16736" s="227" t="str">
        <f>MID(excPisCofins[[#This Row],[CodBarras2]],2,50)</f>
        <v/>
      </c>
    </row>
    <row r="16737" spans="9:9" x14ac:dyDescent="0.25">
      <c r="I16737" s="227" t="str">
        <f>MID(excPisCofins[[#This Row],[CodBarras2]],2,50)</f>
        <v/>
      </c>
    </row>
    <row r="16738" spans="9:9" x14ac:dyDescent="0.25">
      <c r="I16738" s="227" t="str">
        <f>MID(excPisCofins[[#This Row],[CodBarras2]],2,50)</f>
        <v/>
      </c>
    </row>
    <row r="16739" spans="9:9" x14ac:dyDescent="0.25">
      <c r="I16739" s="227" t="str">
        <f>MID(excPisCofins[[#This Row],[CodBarras2]],2,50)</f>
        <v/>
      </c>
    </row>
    <row r="16740" spans="9:9" x14ac:dyDescent="0.25">
      <c r="I16740" s="227" t="str">
        <f>MID(excPisCofins[[#This Row],[CodBarras2]],2,50)</f>
        <v/>
      </c>
    </row>
    <row r="16741" spans="9:9" x14ac:dyDescent="0.25">
      <c r="I16741" s="227" t="str">
        <f>MID(excPisCofins[[#This Row],[CodBarras2]],2,50)</f>
        <v/>
      </c>
    </row>
    <row r="16742" spans="9:9" x14ac:dyDescent="0.25">
      <c r="I16742" s="227" t="str">
        <f>MID(excPisCofins[[#This Row],[CodBarras2]],2,50)</f>
        <v/>
      </c>
    </row>
    <row r="16743" spans="9:9" x14ac:dyDescent="0.25">
      <c r="I16743" s="227" t="str">
        <f>MID(excPisCofins[[#This Row],[CodBarras2]],2,50)</f>
        <v/>
      </c>
    </row>
    <row r="16744" spans="9:9" x14ac:dyDescent="0.25">
      <c r="I16744" s="227" t="str">
        <f>MID(excPisCofins[[#This Row],[CodBarras2]],2,50)</f>
        <v/>
      </c>
    </row>
    <row r="16745" spans="9:9" x14ac:dyDescent="0.25">
      <c r="I16745" s="227" t="str">
        <f>MID(excPisCofins[[#This Row],[CodBarras2]],2,50)</f>
        <v/>
      </c>
    </row>
    <row r="16746" spans="9:9" x14ac:dyDescent="0.25">
      <c r="I16746" s="227" t="str">
        <f>MID(excPisCofins[[#This Row],[CodBarras2]],2,50)</f>
        <v/>
      </c>
    </row>
    <row r="16747" spans="9:9" x14ac:dyDescent="0.25">
      <c r="I16747" s="227" t="str">
        <f>MID(excPisCofins[[#This Row],[CodBarras2]],2,50)</f>
        <v/>
      </c>
    </row>
    <row r="16748" spans="9:9" x14ac:dyDescent="0.25">
      <c r="I16748" s="227" t="str">
        <f>MID(excPisCofins[[#This Row],[CodBarras2]],2,50)</f>
        <v/>
      </c>
    </row>
    <row r="16749" spans="9:9" x14ac:dyDescent="0.25">
      <c r="I16749" s="227" t="str">
        <f>MID(excPisCofins[[#This Row],[CodBarras2]],2,50)</f>
        <v/>
      </c>
    </row>
    <row r="16750" spans="9:9" x14ac:dyDescent="0.25">
      <c r="I16750" s="227" t="str">
        <f>MID(excPisCofins[[#This Row],[CodBarras2]],2,50)</f>
        <v/>
      </c>
    </row>
    <row r="16751" spans="9:9" x14ac:dyDescent="0.25">
      <c r="I16751" s="227" t="str">
        <f>MID(excPisCofins[[#This Row],[CodBarras2]],2,50)</f>
        <v/>
      </c>
    </row>
    <row r="16752" spans="9:9" x14ac:dyDescent="0.25">
      <c r="I16752" s="227" t="str">
        <f>MID(excPisCofins[[#This Row],[CodBarras2]],2,50)</f>
        <v/>
      </c>
    </row>
    <row r="16753" spans="9:9" x14ac:dyDescent="0.25">
      <c r="I16753" s="227" t="str">
        <f>MID(excPisCofins[[#This Row],[CodBarras2]],2,50)</f>
        <v/>
      </c>
    </row>
    <row r="16754" spans="9:9" x14ac:dyDescent="0.25">
      <c r="I16754" s="227" t="str">
        <f>MID(excPisCofins[[#This Row],[CodBarras2]],2,50)</f>
        <v/>
      </c>
    </row>
    <row r="16755" spans="9:9" x14ac:dyDescent="0.25">
      <c r="I16755" s="227" t="str">
        <f>MID(excPisCofins[[#This Row],[CodBarras2]],2,50)</f>
        <v/>
      </c>
    </row>
    <row r="16756" spans="9:9" x14ac:dyDescent="0.25">
      <c r="I16756" s="227" t="str">
        <f>MID(excPisCofins[[#This Row],[CodBarras2]],2,50)</f>
        <v/>
      </c>
    </row>
    <row r="16757" spans="9:9" x14ac:dyDescent="0.25">
      <c r="I16757" s="227" t="str">
        <f>MID(excPisCofins[[#This Row],[CodBarras2]],2,50)</f>
        <v/>
      </c>
    </row>
    <row r="16758" spans="9:9" x14ac:dyDescent="0.25">
      <c r="I16758" s="227" t="str">
        <f>MID(excPisCofins[[#This Row],[CodBarras2]],2,50)</f>
        <v/>
      </c>
    </row>
    <row r="16759" spans="9:9" x14ac:dyDescent="0.25">
      <c r="I16759" s="227" t="str">
        <f>MID(excPisCofins[[#This Row],[CodBarras2]],2,50)</f>
        <v/>
      </c>
    </row>
    <row r="16760" spans="9:9" x14ac:dyDescent="0.25">
      <c r="I16760" s="227" t="str">
        <f>MID(excPisCofins[[#This Row],[CodBarras2]],2,50)</f>
        <v/>
      </c>
    </row>
    <row r="16761" spans="9:9" x14ac:dyDescent="0.25">
      <c r="I16761" s="227" t="str">
        <f>MID(excPisCofins[[#This Row],[CodBarras2]],2,50)</f>
        <v/>
      </c>
    </row>
    <row r="16762" spans="9:9" x14ac:dyDescent="0.25">
      <c r="I16762" s="227" t="str">
        <f>MID(excPisCofins[[#This Row],[CodBarras2]],2,50)</f>
        <v/>
      </c>
    </row>
    <row r="16763" spans="9:9" x14ac:dyDescent="0.25">
      <c r="I16763" s="227" t="str">
        <f>MID(excPisCofins[[#This Row],[CodBarras2]],2,50)</f>
        <v/>
      </c>
    </row>
    <row r="16764" spans="9:9" x14ac:dyDescent="0.25">
      <c r="I16764" s="227" t="str">
        <f>MID(excPisCofins[[#This Row],[CodBarras2]],2,50)</f>
        <v/>
      </c>
    </row>
    <row r="16765" spans="9:9" x14ac:dyDescent="0.25">
      <c r="I16765" s="227" t="str">
        <f>MID(excPisCofins[[#This Row],[CodBarras2]],2,50)</f>
        <v/>
      </c>
    </row>
    <row r="16766" spans="9:9" x14ac:dyDescent="0.25">
      <c r="I16766" s="227" t="str">
        <f>MID(excPisCofins[[#This Row],[CodBarras2]],2,50)</f>
        <v/>
      </c>
    </row>
    <row r="16767" spans="9:9" x14ac:dyDescent="0.25">
      <c r="I16767" s="227" t="str">
        <f>MID(excPisCofins[[#This Row],[CodBarras2]],2,50)</f>
        <v/>
      </c>
    </row>
    <row r="16768" spans="9:9" x14ac:dyDescent="0.25">
      <c r="I16768" s="227" t="str">
        <f>MID(excPisCofins[[#This Row],[CodBarras2]],2,50)</f>
        <v/>
      </c>
    </row>
    <row r="16769" spans="9:9" x14ac:dyDescent="0.25">
      <c r="I16769" s="227" t="str">
        <f>MID(excPisCofins[[#This Row],[CodBarras2]],2,50)</f>
        <v/>
      </c>
    </row>
    <row r="16770" spans="9:9" x14ac:dyDescent="0.25">
      <c r="I16770" s="227" t="str">
        <f>MID(excPisCofins[[#This Row],[CodBarras2]],2,50)</f>
        <v/>
      </c>
    </row>
    <row r="16771" spans="9:9" x14ac:dyDescent="0.25">
      <c r="I16771" s="227" t="str">
        <f>MID(excPisCofins[[#This Row],[CodBarras2]],2,50)</f>
        <v/>
      </c>
    </row>
    <row r="16772" spans="9:9" x14ac:dyDescent="0.25">
      <c r="I16772" s="227" t="str">
        <f>MID(excPisCofins[[#This Row],[CodBarras2]],2,50)</f>
        <v/>
      </c>
    </row>
    <row r="16773" spans="9:9" x14ac:dyDescent="0.25">
      <c r="I16773" s="227" t="str">
        <f>MID(excPisCofins[[#This Row],[CodBarras2]],2,50)</f>
        <v/>
      </c>
    </row>
    <row r="16774" spans="9:9" x14ac:dyDescent="0.25">
      <c r="I16774" s="227" t="str">
        <f>MID(excPisCofins[[#This Row],[CodBarras2]],2,50)</f>
        <v/>
      </c>
    </row>
    <row r="16775" spans="9:9" x14ac:dyDescent="0.25">
      <c r="I16775" s="227" t="str">
        <f>MID(excPisCofins[[#This Row],[CodBarras2]],2,50)</f>
        <v/>
      </c>
    </row>
    <row r="16776" spans="9:9" x14ac:dyDescent="0.25">
      <c r="I16776" s="227" t="str">
        <f>MID(excPisCofins[[#This Row],[CodBarras2]],2,50)</f>
        <v/>
      </c>
    </row>
    <row r="16777" spans="9:9" x14ac:dyDescent="0.25">
      <c r="I16777" s="227" t="str">
        <f>MID(excPisCofins[[#This Row],[CodBarras2]],2,50)</f>
        <v/>
      </c>
    </row>
    <row r="16778" spans="9:9" x14ac:dyDescent="0.25">
      <c r="I16778" s="227" t="str">
        <f>MID(excPisCofins[[#This Row],[CodBarras2]],2,50)</f>
        <v/>
      </c>
    </row>
    <row r="16779" spans="9:9" x14ac:dyDescent="0.25">
      <c r="I16779" s="227" t="str">
        <f>MID(excPisCofins[[#This Row],[CodBarras2]],2,50)</f>
        <v/>
      </c>
    </row>
    <row r="16780" spans="9:9" x14ac:dyDescent="0.25">
      <c r="I16780" s="227" t="str">
        <f>MID(excPisCofins[[#This Row],[CodBarras2]],2,50)</f>
        <v/>
      </c>
    </row>
    <row r="16781" spans="9:9" x14ac:dyDescent="0.25">
      <c r="I16781" s="227" t="str">
        <f>MID(excPisCofins[[#This Row],[CodBarras2]],2,50)</f>
        <v/>
      </c>
    </row>
    <row r="16782" spans="9:9" x14ac:dyDescent="0.25">
      <c r="I16782" s="227" t="str">
        <f>MID(excPisCofins[[#This Row],[CodBarras2]],2,50)</f>
        <v/>
      </c>
    </row>
    <row r="16783" spans="9:9" x14ac:dyDescent="0.25">
      <c r="I16783" s="227" t="str">
        <f>MID(excPisCofins[[#This Row],[CodBarras2]],2,50)</f>
        <v/>
      </c>
    </row>
    <row r="16784" spans="9:9" x14ac:dyDescent="0.25">
      <c r="I16784" s="227" t="str">
        <f>MID(excPisCofins[[#This Row],[CodBarras2]],2,50)</f>
        <v/>
      </c>
    </row>
    <row r="16785" spans="9:9" x14ac:dyDescent="0.25">
      <c r="I16785" s="227" t="str">
        <f>MID(excPisCofins[[#This Row],[CodBarras2]],2,50)</f>
        <v/>
      </c>
    </row>
    <row r="16786" spans="9:9" x14ac:dyDescent="0.25">
      <c r="I16786" s="227" t="str">
        <f>MID(excPisCofins[[#This Row],[CodBarras2]],2,50)</f>
        <v/>
      </c>
    </row>
    <row r="16787" spans="9:9" x14ac:dyDescent="0.25">
      <c r="I16787" s="227" t="str">
        <f>MID(excPisCofins[[#This Row],[CodBarras2]],2,50)</f>
        <v/>
      </c>
    </row>
    <row r="16788" spans="9:9" x14ac:dyDescent="0.25">
      <c r="I16788" s="227" t="str">
        <f>MID(excPisCofins[[#This Row],[CodBarras2]],2,50)</f>
        <v/>
      </c>
    </row>
    <row r="16789" spans="9:9" x14ac:dyDescent="0.25">
      <c r="I16789" s="227" t="str">
        <f>MID(excPisCofins[[#This Row],[CodBarras2]],2,50)</f>
        <v/>
      </c>
    </row>
    <row r="16790" spans="9:9" x14ac:dyDescent="0.25">
      <c r="I16790" s="227" t="str">
        <f>MID(excPisCofins[[#This Row],[CodBarras2]],2,50)</f>
        <v/>
      </c>
    </row>
    <row r="16791" spans="9:9" x14ac:dyDescent="0.25">
      <c r="I16791" s="227" t="str">
        <f>MID(excPisCofins[[#This Row],[CodBarras2]],2,50)</f>
        <v/>
      </c>
    </row>
    <row r="16792" spans="9:9" x14ac:dyDescent="0.25">
      <c r="I16792" s="227" t="str">
        <f>MID(excPisCofins[[#This Row],[CodBarras2]],2,50)</f>
        <v/>
      </c>
    </row>
    <row r="16793" spans="9:9" x14ac:dyDescent="0.25">
      <c r="I16793" s="227" t="str">
        <f>MID(excPisCofins[[#This Row],[CodBarras2]],2,50)</f>
        <v/>
      </c>
    </row>
    <row r="16794" spans="9:9" x14ac:dyDescent="0.25">
      <c r="I16794" s="227" t="str">
        <f>MID(excPisCofins[[#This Row],[CodBarras2]],2,50)</f>
        <v/>
      </c>
    </row>
    <row r="16795" spans="9:9" x14ac:dyDescent="0.25">
      <c r="I16795" s="227" t="str">
        <f>MID(excPisCofins[[#This Row],[CodBarras2]],2,50)</f>
        <v/>
      </c>
    </row>
    <row r="16796" spans="9:9" x14ac:dyDescent="0.25">
      <c r="I16796" s="227" t="str">
        <f>MID(excPisCofins[[#This Row],[CodBarras2]],2,50)</f>
        <v/>
      </c>
    </row>
    <row r="16797" spans="9:9" x14ac:dyDescent="0.25">
      <c r="I16797" s="227" t="str">
        <f>MID(excPisCofins[[#This Row],[CodBarras2]],2,50)</f>
        <v/>
      </c>
    </row>
    <row r="16798" spans="9:9" x14ac:dyDescent="0.25">
      <c r="I16798" s="227" t="str">
        <f>MID(excPisCofins[[#This Row],[CodBarras2]],2,50)</f>
        <v/>
      </c>
    </row>
    <row r="16799" spans="9:9" x14ac:dyDescent="0.25">
      <c r="I16799" s="227" t="str">
        <f>MID(excPisCofins[[#This Row],[CodBarras2]],2,50)</f>
        <v/>
      </c>
    </row>
    <row r="16800" spans="9:9" x14ac:dyDescent="0.25">
      <c r="I16800" s="227" t="str">
        <f>MID(excPisCofins[[#This Row],[CodBarras2]],2,50)</f>
        <v/>
      </c>
    </row>
    <row r="16801" spans="9:9" x14ac:dyDescent="0.25">
      <c r="I16801" s="227" t="str">
        <f>MID(excPisCofins[[#This Row],[CodBarras2]],2,50)</f>
        <v/>
      </c>
    </row>
    <row r="16802" spans="9:9" x14ac:dyDescent="0.25">
      <c r="I16802" s="227" t="str">
        <f>MID(excPisCofins[[#This Row],[CodBarras2]],2,50)</f>
        <v/>
      </c>
    </row>
    <row r="16803" spans="9:9" x14ac:dyDescent="0.25">
      <c r="I16803" s="227" t="str">
        <f>MID(excPisCofins[[#This Row],[CodBarras2]],2,50)</f>
        <v/>
      </c>
    </row>
    <row r="16804" spans="9:9" x14ac:dyDescent="0.25">
      <c r="I16804" s="227" t="str">
        <f>MID(excPisCofins[[#This Row],[CodBarras2]],2,50)</f>
        <v/>
      </c>
    </row>
    <row r="16805" spans="9:9" x14ac:dyDescent="0.25">
      <c r="I16805" s="227" t="str">
        <f>MID(excPisCofins[[#This Row],[CodBarras2]],2,50)</f>
        <v/>
      </c>
    </row>
    <row r="16806" spans="9:9" x14ac:dyDescent="0.25">
      <c r="I16806" s="227" t="str">
        <f>MID(excPisCofins[[#This Row],[CodBarras2]],2,50)</f>
        <v/>
      </c>
    </row>
    <row r="16807" spans="9:9" x14ac:dyDescent="0.25">
      <c r="I16807" s="227" t="str">
        <f>MID(excPisCofins[[#This Row],[CodBarras2]],2,50)</f>
        <v/>
      </c>
    </row>
    <row r="16808" spans="9:9" x14ac:dyDescent="0.25">
      <c r="I16808" s="227" t="str">
        <f>MID(excPisCofins[[#This Row],[CodBarras2]],2,50)</f>
        <v/>
      </c>
    </row>
    <row r="16809" spans="9:9" x14ac:dyDescent="0.25">
      <c r="I16809" s="227" t="str">
        <f>MID(excPisCofins[[#This Row],[CodBarras2]],2,50)</f>
        <v/>
      </c>
    </row>
    <row r="16810" spans="9:9" x14ac:dyDescent="0.25">
      <c r="I16810" s="227" t="str">
        <f>MID(excPisCofins[[#This Row],[CodBarras2]],2,50)</f>
        <v/>
      </c>
    </row>
    <row r="16811" spans="9:9" x14ac:dyDescent="0.25">
      <c r="I16811" s="227" t="str">
        <f>MID(excPisCofins[[#This Row],[CodBarras2]],2,50)</f>
        <v/>
      </c>
    </row>
    <row r="16812" spans="9:9" x14ac:dyDescent="0.25">
      <c r="I16812" s="227" t="str">
        <f>MID(excPisCofins[[#This Row],[CodBarras2]],2,50)</f>
        <v/>
      </c>
    </row>
    <row r="16813" spans="9:9" x14ac:dyDescent="0.25">
      <c r="I16813" s="227" t="str">
        <f>MID(excPisCofins[[#This Row],[CodBarras2]],2,50)</f>
        <v/>
      </c>
    </row>
    <row r="16814" spans="9:9" x14ac:dyDescent="0.25">
      <c r="I16814" s="227" t="str">
        <f>MID(excPisCofins[[#This Row],[CodBarras2]],2,50)</f>
        <v/>
      </c>
    </row>
    <row r="16815" spans="9:9" x14ac:dyDescent="0.25">
      <c r="I16815" s="227" t="str">
        <f>MID(excPisCofins[[#This Row],[CodBarras2]],2,50)</f>
        <v/>
      </c>
    </row>
    <row r="16816" spans="9:9" x14ac:dyDescent="0.25">
      <c r="I16816" s="227" t="str">
        <f>MID(excPisCofins[[#This Row],[CodBarras2]],2,50)</f>
        <v/>
      </c>
    </row>
    <row r="16817" spans="9:9" x14ac:dyDescent="0.25">
      <c r="I16817" s="227" t="str">
        <f>MID(excPisCofins[[#This Row],[CodBarras2]],2,50)</f>
        <v/>
      </c>
    </row>
    <row r="16818" spans="9:9" x14ac:dyDescent="0.25">
      <c r="I16818" s="227" t="str">
        <f>MID(excPisCofins[[#This Row],[CodBarras2]],2,50)</f>
        <v/>
      </c>
    </row>
    <row r="16819" spans="9:9" x14ac:dyDescent="0.25">
      <c r="I16819" s="227" t="str">
        <f>MID(excPisCofins[[#This Row],[CodBarras2]],2,50)</f>
        <v/>
      </c>
    </row>
    <row r="16820" spans="9:9" x14ac:dyDescent="0.25">
      <c r="I16820" s="227" t="str">
        <f>MID(excPisCofins[[#This Row],[CodBarras2]],2,50)</f>
        <v/>
      </c>
    </row>
    <row r="16821" spans="9:9" x14ac:dyDescent="0.25">
      <c r="I16821" s="227" t="str">
        <f>MID(excPisCofins[[#This Row],[CodBarras2]],2,50)</f>
        <v/>
      </c>
    </row>
    <row r="16822" spans="9:9" x14ac:dyDescent="0.25">
      <c r="I16822" s="227" t="str">
        <f>MID(excPisCofins[[#This Row],[CodBarras2]],2,50)</f>
        <v/>
      </c>
    </row>
    <row r="16823" spans="9:9" x14ac:dyDescent="0.25">
      <c r="I16823" s="227" t="str">
        <f>MID(excPisCofins[[#This Row],[CodBarras2]],2,50)</f>
        <v/>
      </c>
    </row>
    <row r="16824" spans="9:9" x14ac:dyDescent="0.25">
      <c r="I16824" s="227" t="str">
        <f>MID(excPisCofins[[#This Row],[CodBarras2]],2,50)</f>
        <v/>
      </c>
    </row>
    <row r="16825" spans="9:9" x14ac:dyDescent="0.25">
      <c r="I16825" s="227" t="str">
        <f>MID(excPisCofins[[#This Row],[CodBarras2]],2,50)</f>
        <v/>
      </c>
    </row>
    <row r="16826" spans="9:9" x14ac:dyDescent="0.25">
      <c r="I16826" s="227" t="str">
        <f>MID(excPisCofins[[#This Row],[CodBarras2]],2,50)</f>
        <v/>
      </c>
    </row>
    <row r="16827" spans="9:9" x14ac:dyDescent="0.25">
      <c r="I16827" s="227" t="str">
        <f>MID(excPisCofins[[#This Row],[CodBarras2]],2,50)</f>
        <v/>
      </c>
    </row>
    <row r="16828" spans="9:9" x14ac:dyDescent="0.25">
      <c r="I16828" s="227" t="str">
        <f>MID(excPisCofins[[#This Row],[CodBarras2]],2,50)</f>
        <v/>
      </c>
    </row>
    <row r="16829" spans="9:9" x14ac:dyDescent="0.25">
      <c r="I16829" s="227" t="str">
        <f>MID(excPisCofins[[#This Row],[CodBarras2]],2,50)</f>
        <v/>
      </c>
    </row>
    <row r="16830" spans="9:9" x14ac:dyDescent="0.25">
      <c r="I16830" s="227" t="str">
        <f>MID(excPisCofins[[#This Row],[CodBarras2]],2,50)</f>
        <v/>
      </c>
    </row>
    <row r="16831" spans="9:9" x14ac:dyDescent="0.25">
      <c r="I16831" s="227" t="str">
        <f>MID(excPisCofins[[#This Row],[CodBarras2]],2,50)</f>
        <v/>
      </c>
    </row>
    <row r="16832" spans="9:9" x14ac:dyDescent="0.25">
      <c r="I16832" s="227" t="str">
        <f>MID(excPisCofins[[#This Row],[CodBarras2]],2,50)</f>
        <v/>
      </c>
    </row>
    <row r="16833" spans="9:9" x14ac:dyDescent="0.25">
      <c r="I16833" s="227" t="str">
        <f>MID(excPisCofins[[#This Row],[CodBarras2]],2,50)</f>
        <v/>
      </c>
    </row>
    <row r="16834" spans="9:9" x14ac:dyDescent="0.25">
      <c r="I16834" s="227" t="str">
        <f>MID(excPisCofins[[#This Row],[CodBarras2]],2,50)</f>
        <v/>
      </c>
    </row>
    <row r="16835" spans="9:9" x14ac:dyDescent="0.25">
      <c r="I16835" s="227" t="str">
        <f>MID(excPisCofins[[#This Row],[CodBarras2]],2,50)</f>
        <v/>
      </c>
    </row>
    <row r="16836" spans="9:9" x14ac:dyDescent="0.25">
      <c r="I16836" s="227" t="str">
        <f>MID(excPisCofins[[#This Row],[CodBarras2]],2,50)</f>
        <v/>
      </c>
    </row>
    <row r="16837" spans="9:9" x14ac:dyDescent="0.25">
      <c r="I16837" s="227" t="str">
        <f>MID(excPisCofins[[#This Row],[CodBarras2]],2,50)</f>
        <v/>
      </c>
    </row>
    <row r="16838" spans="9:9" x14ac:dyDescent="0.25">
      <c r="I16838" s="227" t="str">
        <f>MID(excPisCofins[[#This Row],[CodBarras2]],2,50)</f>
        <v/>
      </c>
    </row>
    <row r="16839" spans="9:9" x14ac:dyDescent="0.25">
      <c r="I16839" s="227" t="str">
        <f>MID(excPisCofins[[#This Row],[CodBarras2]],2,50)</f>
        <v/>
      </c>
    </row>
    <row r="16840" spans="9:9" x14ac:dyDescent="0.25">
      <c r="I16840" s="227" t="str">
        <f>MID(excPisCofins[[#This Row],[CodBarras2]],2,50)</f>
        <v/>
      </c>
    </row>
    <row r="16841" spans="9:9" x14ac:dyDescent="0.25">
      <c r="I16841" s="227" t="str">
        <f>MID(excPisCofins[[#This Row],[CodBarras2]],2,50)</f>
        <v/>
      </c>
    </row>
    <row r="16842" spans="9:9" x14ac:dyDescent="0.25">
      <c r="I16842" s="227" t="str">
        <f>MID(excPisCofins[[#This Row],[CodBarras2]],2,50)</f>
        <v/>
      </c>
    </row>
    <row r="16843" spans="9:9" x14ac:dyDescent="0.25">
      <c r="I16843" s="227" t="str">
        <f>MID(excPisCofins[[#This Row],[CodBarras2]],2,50)</f>
        <v/>
      </c>
    </row>
    <row r="16844" spans="9:9" x14ac:dyDescent="0.25">
      <c r="I16844" s="227" t="str">
        <f>MID(excPisCofins[[#This Row],[CodBarras2]],2,50)</f>
        <v/>
      </c>
    </row>
    <row r="16845" spans="9:9" x14ac:dyDescent="0.25">
      <c r="I16845" s="227" t="str">
        <f>MID(excPisCofins[[#This Row],[CodBarras2]],2,50)</f>
        <v/>
      </c>
    </row>
    <row r="16846" spans="9:9" x14ac:dyDescent="0.25">
      <c r="I16846" s="227" t="str">
        <f>MID(excPisCofins[[#This Row],[CodBarras2]],2,50)</f>
        <v/>
      </c>
    </row>
    <row r="16847" spans="9:9" x14ac:dyDescent="0.25">
      <c r="I16847" s="227" t="str">
        <f>MID(excPisCofins[[#This Row],[CodBarras2]],2,50)</f>
        <v/>
      </c>
    </row>
    <row r="16848" spans="9:9" x14ac:dyDescent="0.25">
      <c r="I16848" s="227" t="str">
        <f>MID(excPisCofins[[#This Row],[CodBarras2]],2,50)</f>
        <v/>
      </c>
    </row>
    <row r="16849" spans="9:9" x14ac:dyDescent="0.25">
      <c r="I16849" s="227" t="str">
        <f>MID(excPisCofins[[#This Row],[CodBarras2]],2,50)</f>
        <v/>
      </c>
    </row>
    <row r="16850" spans="9:9" x14ac:dyDescent="0.25">
      <c r="I16850" s="227" t="str">
        <f>MID(excPisCofins[[#This Row],[CodBarras2]],2,50)</f>
        <v/>
      </c>
    </row>
    <row r="16851" spans="9:9" x14ac:dyDescent="0.25">
      <c r="I16851" s="227" t="str">
        <f>MID(excPisCofins[[#This Row],[CodBarras2]],2,50)</f>
        <v/>
      </c>
    </row>
    <row r="16852" spans="9:9" x14ac:dyDescent="0.25">
      <c r="I16852" s="227" t="str">
        <f>MID(excPisCofins[[#This Row],[CodBarras2]],2,50)</f>
        <v/>
      </c>
    </row>
    <row r="16853" spans="9:9" x14ac:dyDescent="0.25">
      <c r="I16853" s="227" t="str">
        <f>MID(excPisCofins[[#This Row],[CodBarras2]],2,50)</f>
        <v/>
      </c>
    </row>
    <row r="16854" spans="9:9" x14ac:dyDescent="0.25">
      <c r="I16854" s="227" t="str">
        <f>MID(excPisCofins[[#This Row],[CodBarras2]],2,50)</f>
        <v/>
      </c>
    </row>
    <row r="16855" spans="9:9" x14ac:dyDescent="0.25">
      <c r="I16855" s="227" t="str">
        <f>MID(excPisCofins[[#This Row],[CodBarras2]],2,50)</f>
        <v/>
      </c>
    </row>
    <row r="16856" spans="9:9" x14ac:dyDescent="0.25">
      <c r="I16856" s="227" t="str">
        <f>MID(excPisCofins[[#This Row],[CodBarras2]],2,50)</f>
        <v/>
      </c>
    </row>
    <row r="16857" spans="9:9" x14ac:dyDescent="0.25">
      <c r="I16857" s="227" t="str">
        <f>MID(excPisCofins[[#This Row],[CodBarras2]],2,50)</f>
        <v/>
      </c>
    </row>
    <row r="16858" spans="9:9" x14ac:dyDescent="0.25">
      <c r="I16858" s="227" t="str">
        <f>MID(excPisCofins[[#This Row],[CodBarras2]],2,50)</f>
        <v/>
      </c>
    </row>
    <row r="16859" spans="9:9" x14ac:dyDescent="0.25">
      <c r="I16859" s="227" t="str">
        <f>MID(excPisCofins[[#This Row],[CodBarras2]],2,50)</f>
        <v/>
      </c>
    </row>
    <row r="16860" spans="9:9" x14ac:dyDescent="0.25">
      <c r="I16860" s="227" t="str">
        <f>MID(excPisCofins[[#This Row],[CodBarras2]],2,50)</f>
        <v/>
      </c>
    </row>
    <row r="16861" spans="9:9" x14ac:dyDescent="0.25">
      <c r="I16861" s="227" t="str">
        <f>MID(excPisCofins[[#This Row],[CodBarras2]],2,50)</f>
        <v/>
      </c>
    </row>
    <row r="16862" spans="9:9" x14ac:dyDescent="0.25">
      <c r="I16862" s="227" t="str">
        <f>MID(excPisCofins[[#This Row],[CodBarras2]],2,50)</f>
        <v/>
      </c>
    </row>
    <row r="16863" spans="9:9" x14ac:dyDescent="0.25">
      <c r="I16863" s="227" t="str">
        <f>MID(excPisCofins[[#This Row],[CodBarras2]],2,50)</f>
        <v/>
      </c>
    </row>
    <row r="16864" spans="9:9" x14ac:dyDescent="0.25">
      <c r="I16864" s="227" t="str">
        <f>MID(excPisCofins[[#This Row],[CodBarras2]],2,50)</f>
        <v/>
      </c>
    </row>
    <row r="16865" spans="9:9" x14ac:dyDescent="0.25">
      <c r="I16865" s="227" t="str">
        <f>MID(excPisCofins[[#This Row],[CodBarras2]],2,50)</f>
        <v/>
      </c>
    </row>
    <row r="16866" spans="9:9" x14ac:dyDescent="0.25">
      <c r="I16866" s="227" t="str">
        <f>MID(excPisCofins[[#This Row],[CodBarras2]],2,50)</f>
        <v/>
      </c>
    </row>
    <row r="16867" spans="9:9" x14ac:dyDescent="0.25">
      <c r="I16867" s="227" t="str">
        <f>MID(excPisCofins[[#This Row],[CodBarras2]],2,50)</f>
        <v/>
      </c>
    </row>
    <row r="16868" spans="9:9" x14ac:dyDescent="0.25">
      <c r="I16868" s="227" t="str">
        <f>MID(excPisCofins[[#This Row],[CodBarras2]],2,50)</f>
        <v/>
      </c>
    </row>
    <row r="16869" spans="9:9" x14ac:dyDescent="0.25">
      <c r="I16869" s="227" t="str">
        <f>MID(excPisCofins[[#This Row],[CodBarras2]],2,50)</f>
        <v/>
      </c>
    </row>
    <row r="16870" spans="9:9" x14ac:dyDescent="0.25">
      <c r="I16870" s="227" t="str">
        <f>MID(excPisCofins[[#This Row],[CodBarras2]],2,50)</f>
        <v/>
      </c>
    </row>
    <row r="16871" spans="9:9" x14ac:dyDescent="0.25">
      <c r="I16871" s="227" t="str">
        <f>MID(excPisCofins[[#This Row],[CodBarras2]],2,50)</f>
        <v/>
      </c>
    </row>
    <row r="16872" spans="9:9" x14ac:dyDescent="0.25">
      <c r="I16872" s="227" t="str">
        <f>MID(excPisCofins[[#This Row],[CodBarras2]],2,50)</f>
        <v/>
      </c>
    </row>
    <row r="16873" spans="9:9" x14ac:dyDescent="0.25">
      <c r="I16873" s="227" t="str">
        <f>MID(excPisCofins[[#This Row],[CodBarras2]],2,50)</f>
        <v/>
      </c>
    </row>
    <row r="16874" spans="9:9" x14ac:dyDescent="0.25">
      <c r="I16874" s="227" t="str">
        <f>MID(excPisCofins[[#This Row],[CodBarras2]],2,50)</f>
        <v/>
      </c>
    </row>
    <row r="16875" spans="9:9" x14ac:dyDescent="0.25">
      <c r="I16875" s="227" t="str">
        <f>MID(excPisCofins[[#This Row],[CodBarras2]],2,50)</f>
        <v/>
      </c>
    </row>
    <row r="16876" spans="9:9" x14ac:dyDescent="0.25">
      <c r="I16876" s="227" t="str">
        <f>MID(excPisCofins[[#This Row],[CodBarras2]],2,50)</f>
        <v/>
      </c>
    </row>
    <row r="16877" spans="9:9" x14ac:dyDescent="0.25">
      <c r="I16877" s="227" t="str">
        <f>MID(excPisCofins[[#This Row],[CodBarras2]],2,50)</f>
        <v/>
      </c>
    </row>
    <row r="16878" spans="9:9" x14ac:dyDescent="0.25">
      <c r="I16878" s="227" t="str">
        <f>MID(excPisCofins[[#This Row],[CodBarras2]],2,50)</f>
        <v/>
      </c>
    </row>
    <row r="16879" spans="9:9" x14ac:dyDescent="0.25">
      <c r="I16879" s="227" t="str">
        <f>MID(excPisCofins[[#This Row],[CodBarras2]],2,50)</f>
        <v/>
      </c>
    </row>
    <row r="16880" spans="9:9" x14ac:dyDescent="0.25">
      <c r="I16880" s="227" t="str">
        <f>MID(excPisCofins[[#This Row],[CodBarras2]],2,50)</f>
        <v/>
      </c>
    </row>
    <row r="16881" spans="9:9" x14ac:dyDescent="0.25">
      <c r="I16881" s="227" t="str">
        <f>MID(excPisCofins[[#This Row],[CodBarras2]],2,50)</f>
        <v/>
      </c>
    </row>
    <row r="16882" spans="9:9" x14ac:dyDescent="0.25">
      <c r="I16882" s="227" t="str">
        <f>MID(excPisCofins[[#This Row],[CodBarras2]],2,50)</f>
        <v/>
      </c>
    </row>
    <row r="16883" spans="9:9" x14ac:dyDescent="0.25">
      <c r="I16883" s="227" t="str">
        <f>MID(excPisCofins[[#This Row],[CodBarras2]],2,50)</f>
        <v/>
      </c>
    </row>
    <row r="16884" spans="9:9" x14ac:dyDescent="0.25">
      <c r="I16884" s="227" t="str">
        <f>MID(excPisCofins[[#This Row],[CodBarras2]],2,50)</f>
        <v/>
      </c>
    </row>
    <row r="16885" spans="9:9" x14ac:dyDescent="0.25">
      <c r="I16885" s="227" t="str">
        <f>MID(excPisCofins[[#This Row],[CodBarras2]],2,50)</f>
        <v/>
      </c>
    </row>
    <row r="16886" spans="9:9" x14ac:dyDescent="0.25">
      <c r="I16886" s="227" t="str">
        <f>MID(excPisCofins[[#This Row],[CodBarras2]],2,50)</f>
        <v/>
      </c>
    </row>
    <row r="16887" spans="9:9" x14ac:dyDescent="0.25">
      <c r="I16887" s="227" t="str">
        <f>MID(excPisCofins[[#This Row],[CodBarras2]],2,50)</f>
        <v/>
      </c>
    </row>
    <row r="16888" spans="9:9" x14ac:dyDescent="0.25">
      <c r="I16888" s="227" t="str">
        <f>MID(excPisCofins[[#This Row],[CodBarras2]],2,50)</f>
        <v/>
      </c>
    </row>
    <row r="16889" spans="9:9" x14ac:dyDescent="0.25">
      <c r="I16889" s="227" t="str">
        <f>MID(excPisCofins[[#This Row],[CodBarras2]],2,50)</f>
        <v/>
      </c>
    </row>
    <row r="16890" spans="9:9" x14ac:dyDescent="0.25">
      <c r="I16890" s="227" t="str">
        <f>MID(excPisCofins[[#This Row],[CodBarras2]],2,50)</f>
        <v/>
      </c>
    </row>
    <row r="16891" spans="9:9" x14ac:dyDescent="0.25">
      <c r="I16891" s="227" t="str">
        <f>MID(excPisCofins[[#This Row],[CodBarras2]],2,50)</f>
        <v/>
      </c>
    </row>
    <row r="16892" spans="9:9" x14ac:dyDescent="0.25">
      <c r="I16892" s="227" t="str">
        <f>MID(excPisCofins[[#This Row],[CodBarras2]],2,50)</f>
        <v/>
      </c>
    </row>
    <row r="16893" spans="9:9" x14ac:dyDescent="0.25">
      <c r="I16893" s="227" t="str">
        <f>MID(excPisCofins[[#This Row],[CodBarras2]],2,50)</f>
        <v/>
      </c>
    </row>
    <row r="16894" spans="9:9" x14ac:dyDescent="0.25">
      <c r="I16894" s="227" t="str">
        <f>MID(excPisCofins[[#This Row],[CodBarras2]],2,50)</f>
        <v/>
      </c>
    </row>
    <row r="16895" spans="9:9" x14ac:dyDescent="0.25">
      <c r="I16895" s="227" t="str">
        <f>MID(excPisCofins[[#This Row],[CodBarras2]],2,50)</f>
        <v/>
      </c>
    </row>
    <row r="16896" spans="9:9" x14ac:dyDescent="0.25">
      <c r="I16896" s="227" t="str">
        <f>MID(excPisCofins[[#This Row],[CodBarras2]],2,50)</f>
        <v/>
      </c>
    </row>
    <row r="16897" spans="9:9" x14ac:dyDescent="0.25">
      <c r="I16897" s="227" t="str">
        <f>MID(excPisCofins[[#This Row],[CodBarras2]],2,50)</f>
        <v/>
      </c>
    </row>
    <row r="16898" spans="9:9" x14ac:dyDescent="0.25">
      <c r="I16898" s="227" t="str">
        <f>MID(excPisCofins[[#This Row],[CodBarras2]],2,50)</f>
        <v/>
      </c>
    </row>
    <row r="16899" spans="9:9" x14ac:dyDescent="0.25">
      <c r="I16899" s="227" t="str">
        <f>MID(excPisCofins[[#This Row],[CodBarras2]],2,50)</f>
        <v/>
      </c>
    </row>
    <row r="16900" spans="9:9" x14ac:dyDescent="0.25">
      <c r="I16900" s="227" t="str">
        <f>MID(excPisCofins[[#This Row],[CodBarras2]],2,50)</f>
        <v/>
      </c>
    </row>
    <row r="16901" spans="9:9" x14ac:dyDescent="0.25">
      <c r="I16901" s="227" t="str">
        <f>MID(excPisCofins[[#This Row],[CodBarras2]],2,50)</f>
        <v/>
      </c>
    </row>
    <row r="16902" spans="9:9" x14ac:dyDescent="0.25">
      <c r="I16902" s="227" t="str">
        <f>MID(excPisCofins[[#This Row],[CodBarras2]],2,50)</f>
        <v/>
      </c>
    </row>
    <row r="16903" spans="9:9" x14ac:dyDescent="0.25">
      <c r="I16903" s="227" t="str">
        <f>MID(excPisCofins[[#This Row],[CodBarras2]],2,50)</f>
        <v/>
      </c>
    </row>
    <row r="16904" spans="9:9" x14ac:dyDescent="0.25">
      <c r="I16904" s="227" t="str">
        <f>MID(excPisCofins[[#This Row],[CodBarras2]],2,50)</f>
        <v/>
      </c>
    </row>
    <row r="16905" spans="9:9" x14ac:dyDescent="0.25">
      <c r="I16905" s="227" t="str">
        <f>MID(excPisCofins[[#This Row],[CodBarras2]],2,50)</f>
        <v/>
      </c>
    </row>
    <row r="16906" spans="9:9" x14ac:dyDescent="0.25">
      <c r="I16906" s="227" t="str">
        <f>MID(excPisCofins[[#This Row],[CodBarras2]],2,50)</f>
        <v/>
      </c>
    </row>
    <row r="16907" spans="9:9" x14ac:dyDescent="0.25">
      <c r="I16907" s="227" t="str">
        <f>MID(excPisCofins[[#This Row],[CodBarras2]],2,50)</f>
        <v/>
      </c>
    </row>
    <row r="16908" spans="9:9" x14ac:dyDescent="0.25">
      <c r="I16908" s="227" t="str">
        <f>MID(excPisCofins[[#This Row],[CodBarras2]],2,50)</f>
        <v/>
      </c>
    </row>
    <row r="16909" spans="9:9" x14ac:dyDescent="0.25">
      <c r="I16909" s="227" t="str">
        <f>MID(excPisCofins[[#This Row],[CodBarras2]],2,50)</f>
        <v/>
      </c>
    </row>
    <row r="16910" spans="9:9" x14ac:dyDescent="0.25">
      <c r="I16910" s="227" t="str">
        <f>MID(excPisCofins[[#This Row],[CodBarras2]],2,50)</f>
        <v/>
      </c>
    </row>
    <row r="16911" spans="9:9" x14ac:dyDescent="0.25">
      <c r="I16911" s="227" t="str">
        <f>MID(excPisCofins[[#This Row],[CodBarras2]],2,50)</f>
        <v/>
      </c>
    </row>
    <row r="16912" spans="9:9" x14ac:dyDescent="0.25">
      <c r="I16912" s="227" t="str">
        <f>MID(excPisCofins[[#This Row],[CodBarras2]],2,50)</f>
        <v/>
      </c>
    </row>
    <row r="16913" spans="9:9" x14ac:dyDescent="0.25">
      <c r="I16913" s="227" t="str">
        <f>MID(excPisCofins[[#This Row],[CodBarras2]],2,50)</f>
        <v/>
      </c>
    </row>
    <row r="16914" spans="9:9" x14ac:dyDescent="0.25">
      <c r="I16914" s="227" t="str">
        <f>MID(excPisCofins[[#This Row],[CodBarras2]],2,50)</f>
        <v/>
      </c>
    </row>
    <row r="16915" spans="9:9" x14ac:dyDescent="0.25">
      <c r="I16915" s="227" t="str">
        <f>MID(excPisCofins[[#This Row],[CodBarras2]],2,50)</f>
        <v/>
      </c>
    </row>
    <row r="16916" spans="9:9" x14ac:dyDescent="0.25">
      <c r="I16916" s="227" t="str">
        <f>MID(excPisCofins[[#This Row],[CodBarras2]],2,50)</f>
        <v/>
      </c>
    </row>
    <row r="16917" spans="9:9" x14ac:dyDescent="0.25">
      <c r="I16917" s="227" t="str">
        <f>MID(excPisCofins[[#This Row],[CodBarras2]],2,50)</f>
        <v/>
      </c>
    </row>
    <row r="16918" spans="9:9" x14ac:dyDescent="0.25">
      <c r="I16918" s="227" t="str">
        <f>MID(excPisCofins[[#This Row],[CodBarras2]],2,50)</f>
        <v/>
      </c>
    </row>
    <row r="16919" spans="9:9" x14ac:dyDescent="0.25">
      <c r="I16919" s="227" t="str">
        <f>MID(excPisCofins[[#This Row],[CodBarras2]],2,50)</f>
        <v/>
      </c>
    </row>
    <row r="16920" spans="9:9" x14ac:dyDescent="0.25">
      <c r="I16920" s="227" t="str">
        <f>MID(excPisCofins[[#This Row],[CodBarras2]],2,50)</f>
        <v/>
      </c>
    </row>
    <row r="16921" spans="9:9" x14ac:dyDescent="0.25">
      <c r="I16921" s="227" t="str">
        <f>MID(excPisCofins[[#This Row],[CodBarras2]],2,50)</f>
        <v/>
      </c>
    </row>
    <row r="16922" spans="9:9" x14ac:dyDescent="0.25">
      <c r="I16922" s="227" t="str">
        <f>MID(excPisCofins[[#This Row],[CodBarras2]],2,50)</f>
        <v/>
      </c>
    </row>
    <row r="16923" spans="9:9" x14ac:dyDescent="0.25">
      <c r="I16923" s="227" t="str">
        <f>MID(excPisCofins[[#This Row],[CodBarras2]],2,50)</f>
        <v/>
      </c>
    </row>
    <row r="16924" spans="9:9" x14ac:dyDescent="0.25">
      <c r="I16924" s="227" t="str">
        <f>MID(excPisCofins[[#This Row],[CodBarras2]],2,50)</f>
        <v/>
      </c>
    </row>
    <row r="16925" spans="9:9" x14ac:dyDescent="0.25">
      <c r="I16925" s="227" t="str">
        <f>MID(excPisCofins[[#This Row],[CodBarras2]],2,50)</f>
        <v/>
      </c>
    </row>
    <row r="16926" spans="9:9" x14ac:dyDescent="0.25">
      <c r="I16926" s="227" t="str">
        <f>MID(excPisCofins[[#This Row],[CodBarras2]],2,50)</f>
        <v/>
      </c>
    </row>
    <row r="16927" spans="9:9" x14ac:dyDescent="0.25">
      <c r="I16927" s="227" t="str">
        <f>MID(excPisCofins[[#This Row],[CodBarras2]],2,50)</f>
        <v/>
      </c>
    </row>
    <row r="16928" spans="9:9" x14ac:dyDescent="0.25">
      <c r="I16928" s="227" t="str">
        <f>MID(excPisCofins[[#This Row],[CodBarras2]],2,50)</f>
        <v/>
      </c>
    </row>
    <row r="16929" spans="9:9" x14ac:dyDescent="0.25">
      <c r="I16929" s="227" t="str">
        <f>MID(excPisCofins[[#This Row],[CodBarras2]],2,50)</f>
        <v/>
      </c>
    </row>
    <row r="16930" spans="9:9" x14ac:dyDescent="0.25">
      <c r="I16930" s="227" t="str">
        <f>MID(excPisCofins[[#This Row],[CodBarras2]],2,50)</f>
        <v/>
      </c>
    </row>
    <row r="16931" spans="9:9" x14ac:dyDescent="0.25">
      <c r="I16931" s="227" t="str">
        <f>MID(excPisCofins[[#This Row],[CodBarras2]],2,50)</f>
        <v/>
      </c>
    </row>
    <row r="16932" spans="9:9" x14ac:dyDescent="0.25">
      <c r="I16932" s="227" t="str">
        <f>MID(excPisCofins[[#This Row],[CodBarras2]],2,50)</f>
        <v/>
      </c>
    </row>
    <row r="16933" spans="9:9" x14ac:dyDescent="0.25">
      <c r="I16933" s="227" t="str">
        <f>MID(excPisCofins[[#This Row],[CodBarras2]],2,50)</f>
        <v/>
      </c>
    </row>
    <row r="16934" spans="9:9" x14ac:dyDescent="0.25">
      <c r="I16934" s="227" t="str">
        <f>MID(excPisCofins[[#This Row],[CodBarras2]],2,50)</f>
        <v/>
      </c>
    </row>
    <row r="16935" spans="9:9" x14ac:dyDescent="0.25">
      <c r="I16935" s="227" t="str">
        <f>MID(excPisCofins[[#This Row],[CodBarras2]],2,50)</f>
        <v/>
      </c>
    </row>
    <row r="16936" spans="9:9" x14ac:dyDescent="0.25">
      <c r="I16936" s="227" t="str">
        <f>MID(excPisCofins[[#This Row],[CodBarras2]],2,50)</f>
        <v/>
      </c>
    </row>
    <row r="16937" spans="9:9" x14ac:dyDescent="0.25">
      <c r="I16937" s="227" t="str">
        <f>MID(excPisCofins[[#This Row],[CodBarras2]],2,50)</f>
        <v/>
      </c>
    </row>
    <row r="16938" spans="9:9" x14ac:dyDescent="0.25">
      <c r="I16938" s="227" t="str">
        <f>MID(excPisCofins[[#This Row],[CodBarras2]],2,50)</f>
        <v/>
      </c>
    </row>
    <row r="16939" spans="9:9" x14ac:dyDescent="0.25">
      <c r="I16939" s="227" t="str">
        <f>MID(excPisCofins[[#This Row],[CodBarras2]],2,50)</f>
        <v/>
      </c>
    </row>
    <row r="16940" spans="9:9" x14ac:dyDescent="0.25">
      <c r="I16940" s="227" t="str">
        <f>MID(excPisCofins[[#This Row],[CodBarras2]],2,50)</f>
        <v/>
      </c>
    </row>
    <row r="16941" spans="9:9" x14ac:dyDescent="0.25">
      <c r="I16941" s="227" t="str">
        <f>MID(excPisCofins[[#This Row],[CodBarras2]],2,50)</f>
        <v/>
      </c>
    </row>
    <row r="16942" spans="9:9" x14ac:dyDescent="0.25">
      <c r="I16942" s="227" t="str">
        <f>MID(excPisCofins[[#This Row],[CodBarras2]],2,50)</f>
        <v/>
      </c>
    </row>
    <row r="16943" spans="9:9" x14ac:dyDescent="0.25">
      <c r="I16943" s="227" t="str">
        <f>MID(excPisCofins[[#This Row],[CodBarras2]],2,50)</f>
        <v/>
      </c>
    </row>
    <row r="16944" spans="9:9" x14ac:dyDescent="0.25">
      <c r="I16944" s="227" t="str">
        <f>MID(excPisCofins[[#This Row],[CodBarras2]],2,50)</f>
        <v/>
      </c>
    </row>
    <row r="16945" spans="9:9" x14ac:dyDescent="0.25">
      <c r="I16945" s="227" t="str">
        <f>MID(excPisCofins[[#This Row],[CodBarras2]],2,50)</f>
        <v/>
      </c>
    </row>
    <row r="16946" spans="9:9" x14ac:dyDescent="0.25">
      <c r="I16946" s="227" t="str">
        <f>MID(excPisCofins[[#This Row],[CodBarras2]],2,50)</f>
        <v/>
      </c>
    </row>
    <row r="16947" spans="9:9" x14ac:dyDescent="0.25">
      <c r="I16947" s="227" t="str">
        <f>MID(excPisCofins[[#This Row],[CodBarras2]],2,50)</f>
        <v/>
      </c>
    </row>
    <row r="16948" spans="9:9" x14ac:dyDescent="0.25">
      <c r="I16948" s="227" t="str">
        <f>MID(excPisCofins[[#This Row],[CodBarras2]],2,50)</f>
        <v/>
      </c>
    </row>
    <row r="16949" spans="9:9" x14ac:dyDescent="0.25">
      <c r="I16949" s="227" t="str">
        <f>MID(excPisCofins[[#This Row],[CodBarras2]],2,50)</f>
        <v/>
      </c>
    </row>
    <row r="16950" spans="9:9" x14ac:dyDescent="0.25">
      <c r="I16950" s="227" t="str">
        <f>MID(excPisCofins[[#This Row],[CodBarras2]],2,50)</f>
        <v/>
      </c>
    </row>
    <row r="16951" spans="9:9" x14ac:dyDescent="0.25">
      <c r="I16951" s="227" t="str">
        <f>MID(excPisCofins[[#This Row],[CodBarras2]],2,50)</f>
        <v/>
      </c>
    </row>
    <row r="16952" spans="9:9" x14ac:dyDescent="0.25">
      <c r="I16952" s="227" t="str">
        <f>MID(excPisCofins[[#This Row],[CodBarras2]],2,50)</f>
        <v/>
      </c>
    </row>
    <row r="16953" spans="9:9" x14ac:dyDescent="0.25">
      <c r="I16953" s="227" t="str">
        <f>MID(excPisCofins[[#This Row],[CodBarras2]],2,50)</f>
        <v/>
      </c>
    </row>
    <row r="16954" spans="9:9" x14ac:dyDescent="0.25">
      <c r="I16954" s="227" t="str">
        <f>MID(excPisCofins[[#This Row],[CodBarras2]],2,50)</f>
        <v/>
      </c>
    </row>
    <row r="16955" spans="9:9" x14ac:dyDescent="0.25">
      <c r="I16955" s="227" t="str">
        <f>MID(excPisCofins[[#This Row],[CodBarras2]],2,50)</f>
        <v/>
      </c>
    </row>
    <row r="16956" spans="9:9" x14ac:dyDescent="0.25">
      <c r="I16956" s="227" t="str">
        <f>MID(excPisCofins[[#This Row],[CodBarras2]],2,50)</f>
        <v/>
      </c>
    </row>
    <row r="16957" spans="9:9" x14ac:dyDescent="0.25">
      <c r="I16957" s="227" t="str">
        <f>MID(excPisCofins[[#This Row],[CodBarras2]],2,50)</f>
        <v/>
      </c>
    </row>
    <row r="16958" spans="9:9" x14ac:dyDescent="0.25">
      <c r="I16958" s="227" t="str">
        <f>MID(excPisCofins[[#This Row],[CodBarras2]],2,50)</f>
        <v/>
      </c>
    </row>
    <row r="16959" spans="9:9" x14ac:dyDescent="0.25">
      <c r="I16959" s="227" t="str">
        <f>MID(excPisCofins[[#This Row],[CodBarras2]],2,50)</f>
        <v/>
      </c>
    </row>
    <row r="16960" spans="9:9" x14ac:dyDescent="0.25">
      <c r="I16960" s="227" t="str">
        <f>MID(excPisCofins[[#This Row],[CodBarras2]],2,50)</f>
        <v/>
      </c>
    </row>
    <row r="16961" spans="9:9" x14ac:dyDescent="0.25">
      <c r="I16961" s="227" t="str">
        <f>MID(excPisCofins[[#This Row],[CodBarras2]],2,50)</f>
        <v/>
      </c>
    </row>
    <row r="16962" spans="9:9" x14ac:dyDescent="0.25">
      <c r="I16962" s="227" t="str">
        <f>MID(excPisCofins[[#This Row],[CodBarras2]],2,50)</f>
        <v/>
      </c>
    </row>
    <row r="16963" spans="9:9" x14ac:dyDescent="0.25">
      <c r="I16963" s="227" t="str">
        <f>MID(excPisCofins[[#This Row],[CodBarras2]],2,50)</f>
        <v/>
      </c>
    </row>
    <row r="16964" spans="9:9" x14ac:dyDescent="0.25">
      <c r="I16964" s="227" t="str">
        <f>MID(excPisCofins[[#This Row],[CodBarras2]],2,50)</f>
        <v/>
      </c>
    </row>
    <row r="16965" spans="9:9" x14ac:dyDescent="0.25">
      <c r="I16965" s="227" t="str">
        <f>MID(excPisCofins[[#This Row],[CodBarras2]],2,50)</f>
        <v/>
      </c>
    </row>
    <row r="16966" spans="9:9" x14ac:dyDescent="0.25">
      <c r="I16966" s="227" t="str">
        <f>MID(excPisCofins[[#This Row],[CodBarras2]],2,50)</f>
        <v/>
      </c>
    </row>
    <row r="16967" spans="9:9" x14ac:dyDescent="0.25">
      <c r="I16967" s="227" t="str">
        <f>MID(excPisCofins[[#This Row],[CodBarras2]],2,50)</f>
        <v/>
      </c>
    </row>
    <row r="16968" spans="9:9" x14ac:dyDescent="0.25">
      <c r="I16968" s="227" t="str">
        <f>MID(excPisCofins[[#This Row],[CodBarras2]],2,50)</f>
        <v/>
      </c>
    </row>
    <row r="16969" spans="9:9" x14ac:dyDescent="0.25">
      <c r="I16969" s="227" t="str">
        <f>MID(excPisCofins[[#This Row],[CodBarras2]],2,50)</f>
        <v/>
      </c>
    </row>
    <row r="16970" spans="9:9" x14ac:dyDescent="0.25">
      <c r="I16970" s="227" t="str">
        <f>MID(excPisCofins[[#This Row],[CodBarras2]],2,50)</f>
        <v/>
      </c>
    </row>
    <row r="16971" spans="9:9" x14ac:dyDescent="0.25">
      <c r="I16971" s="227" t="str">
        <f>MID(excPisCofins[[#This Row],[CodBarras2]],2,50)</f>
        <v/>
      </c>
    </row>
    <row r="16972" spans="9:9" x14ac:dyDescent="0.25">
      <c r="I16972" s="227" t="str">
        <f>MID(excPisCofins[[#This Row],[CodBarras2]],2,50)</f>
        <v/>
      </c>
    </row>
    <row r="16973" spans="9:9" x14ac:dyDescent="0.25">
      <c r="I16973" s="227" t="str">
        <f>MID(excPisCofins[[#This Row],[CodBarras2]],2,50)</f>
        <v/>
      </c>
    </row>
    <row r="16974" spans="9:9" x14ac:dyDescent="0.25">
      <c r="I16974" s="227" t="str">
        <f>MID(excPisCofins[[#This Row],[CodBarras2]],2,50)</f>
        <v/>
      </c>
    </row>
    <row r="16975" spans="9:9" x14ac:dyDescent="0.25">
      <c r="I16975" s="227" t="str">
        <f>MID(excPisCofins[[#This Row],[CodBarras2]],2,50)</f>
        <v/>
      </c>
    </row>
    <row r="16976" spans="9:9" x14ac:dyDescent="0.25">
      <c r="I16976" s="227" t="str">
        <f>MID(excPisCofins[[#This Row],[CodBarras2]],2,50)</f>
        <v/>
      </c>
    </row>
    <row r="16977" spans="9:9" x14ac:dyDescent="0.25">
      <c r="I16977" s="227" t="str">
        <f>MID(excPisCofins[[#This Row],[CodBarras2]],2,50)</f>
        <v/>
      </c>
    </row>
    <row r="16978" spans="9:9" x14ac:dyDescent="0.25">
      <c r="I16978" s="227" t="str">
        <f>MID(excPisCofins[[#This Row],[CodBarras2]],2,50)</f>
        <v/>
      </c>
    </row>
    <row r="16979" spans="9:9" x14ac:dyDescent="0.25">
      <c r="I16979" s="227" t="str">
        <f>MID(excPisCofins[[#This Row],[CodBarras2]],2,50)</f>
        <v/>
      </c>
    </row>
    <row r="16980" spans="9:9" x14ac:dyDescent="0.25">
      <c r="I16980" s="227" t="str">
        <f>MID(excPisCofins[[#This Row],[CodBarras2]],2,50)</f>
        <v/>
      </c>
    </row>
    <row r="16981" spans="9:9" x14ac:dyDescent="0.25">
      <c r="I16981" s="227" t="str">
        <f>MID(excPisCofins[[#This Row],[CodBarras2]],2,50)</f>
        <v/>
      </c>
    </row>
    <row r="16982" spans="9:9" x14ac:dyDescent="0.25">
      <c r="I16982" s="227" t="str">
        <f>MID(excPisCofins[[#This Row],[CodBarras2]],2,50)</f>
        <v/>
      </c>
    </row>
    <row r="16983" spans="9:9" x14ac:dyDescent="0.25">
      <c r="I16983" s="227" t="str">
        <f>MID(excPisCofins[[#This Row],[CodBarras2]],2,50)</f>
        <v/>
      </c>
    </row>
    <row r="16984" spans="9:9" x14ac:dyDescent="0.25">
      <c r="I16984" s="227" t="str">
        <f>MID(excPisCofins[[#This Row],[CodBarras2]],2,50)</f>
        <v/>
      </c>
    </row>
    <row r="16985" spans="9:9" x14ac:dyDescent="0.25">
      <c r="I16985" s="227" t="str">
        <f>MID(excPisCofins[[#This Row],[CodBarras2]],2,50)</f>
        <v/>
      </c>
    </row>
    <row r="16986" spans="9:9" x14ac:dyDescent="0.25">
      <c r="I16986" s="227" t="str">
        <f>MID(excPisCofins[[#This Row],[CodBarras2]],2,50)</f>
        <v/>
      </c>
    </row>
    <row r="16987" spans="9:9" x14ac:dyDescent="0.25">
      <c r="I16987" s="227" t="str">
        <f>MID(excPisCofins[[#This Row],[CodBarras2]],2,50)</f>
        <v/>
      </c>
    </row>
    <row r="16988" spans="9:9" x14ac:dyDescent="0.25">
      <c r="I16988" s="227" t="str">
        <f>MID(excPisCofins[[#This Row],[CodBarras2]],2,50)</f>
        <v/>
      </c>
    </row>
    <row r="16989" spans="9:9" x14ac:dyDescent="0.25">
      <c r="I16989" s="227" t="str">
        <f>MID(excPisCofins[[#This Row],[CodBarras2]],2,50)</f>
        <v/>
      </c>
    </row>
    <row r="16990" spans="9:9" x14ac:dyDescent="0.25">
      <c r="I16990" s="227" t="str">
        <f>MID(excPisCofins[[#This Row],[CodBarras2]],2,50)</f>
        <v/>
      </c>
    </row>
    <row r="16991" spans="9:9" x14ac:dyDescent="0.25">
      <c r="I16991" s="227" t="str">
        <f>MID(excPisCofins[[#This Row],[CodBarras2]],2,50)</f>
        <v/>
      </c>
    </row>
    <row r="16992" spans="9:9" x14ac:dyDescent="0.25">
      <c r="I16992" s="227" t="str">
        <f>MID(excPisCofins[[#This Row],[CodBarras2]],2,50)</f>
        <v/>
      </c>
    </row>
    <row r="16993" spans="9:9" x14ac:dyDescent="0.25">
      <c r="I16993" s="227" t="str">
        <f>MID(excPisCofins[[#This Row],[CodBarras2]],2,50)</f>
        <v/>
      </c>
    </row>
    <row r="16994" spans="9:9" x14ac:dyDescent="0.25">
      <c r="I16994" s="227" t="str">
        <f>MID(excPisCofins[[#This Row],[CodBarras2]],2,50)</f>
        <v/>
      </c>
    </row>
    <row r="16995" spans="9:9" x14ac:dyDescent="0.25">
      <c r="I16995" s="227" t="str">
        <f>MID(excPisCofins[[#This Row],[CodBarras2]],2,50)</f>
        <v/>
      </c>
    </row>
    <row r="16996" spans="9:9" x14ac:dyDescent="0.25">
      <c r="I16996" s="227" t="str">
        <f>MID(excPisCofins[[#This Row],[CodBarras2]],2,50)</f>
        <v/>
      </c>
    </row>
    <row r="16997" spans="9:9" x14ac:dyDescent="0.25">
      <c r="I16997" s="227" t="str">
        <f>MID(excPisCofins[[#This Row],[CodBarras2]],2,50)</f>
        <v/>
      </c>
    </row>
    <row r="16998" spans="9:9" x14ac:dyDescent="0.25">
      <c r="I16998" s="227" t="str">
        <f>MID(excPisCofins[[#This Row],[CodBarras2]],2,50)</f>
        <v/>
      </c>
    </row>
    <row r="16999" spans="9:9" x14ac:dyDescent="0.25">
      <c r="I16999" s="227" t="str">
        <f>MID(excPisCofins[[#This Row],[CodBarras2]],2,50)</f>
        <v/>
      </c>
    </row>
    <row r="17000" spans="9:9" x14ac:dyDescent="0.25">
      <c r="I17000" s="227" t="str">
        <f>MID(excPisCofins[[#This Row],[CodBarras2]],2,50)</f>
        <v/>
      </c>
    </row>
    <row r="17001" spans="9:9" x14ac:dyDescent="0.25">
      <c r="I17001" s="227" t="str">
        <f>MID(excPisCofins[[#This Row],[CodBarras2]],2,50)</f>
        <v/>
      </c>
    </row>
    <row r="17002" spans="9:9" x14ac:dyDescent="0.25">
      <c r="I17002" s="227" t="str">
        <f>MID(excPisCofins[[#This Row],[CodBarras2]],2,50)</f>
        <v/>
      </c>
    </row>
    <row r="17003" spans="9:9" x14ac:dyDescent="0.25">
      <c r="I17003" s="227" t="str">
        <f>MID(excPisCofins[[#This Row],[CodBarras2]],2,50)</f>
        <v/>
      </c>
    </row>
    <row r="17004" spans="9:9" x14ac:dyDescent="0.25">
      <c r="I17004" s="227" t="str">
        <f>MID(excPisCofins[[#This Row],[CodBarras2]],2,50)</f>
        <v/>
      </c>
    </row>
    <row r="17005" spans="9:9" x14ac:dyDescent="0.25">
      <c r="I17005" s="227" t="str">
        <f>MID(excPisCofins[[#This Row],[CodBarras2]],2,50)</f>
        <v/>
      </c>
    </row>
    <row r="17006" spans="9:9" x14ac:dyDescent="0.25">
      <c r="I17006" s="227" t="str">
        <f>MID(excPisCofins[[#This Row],[CodBarras2]],2,50)</f>
        <v/>
      </c>
    </row>
    <row r="17007" spans="9:9" x14ac:dyDescent="0.25">
      <c r="I17007" s="227" t="str">
        <f>MID(excPisCofins[[#This Row],[CodBarras2]],2,50)</f>
        <v/>
      </c>
    </row>
    <row r="17008" spans="9:9" x14ac:dyDescent="0.25">
      <c r="I17008" s="227" t="str">
        <f>MID(excPisCofins[[#This Row],[CodBarras2]],2,50)</f>
        <v/>
      </c>
    </row>
    <row r="17009" spans="9:9" x14ac:dyDescent="0.25">
      <c r="I17009" s="227" t="str">
        <f>MID(excPisCofins[[#This Row],[CodBarras2]],2,50)</f>
        <v/>
      </c>
    </row>
    <row r="17010" spans="9:9" x14ac:dyDescent="0.25">
      <c r="I17010" s="227" t="str">
        <f>MID(excPisCofins[[#This Row],[CodBarras2]],2,50)</f>
        <v/>
      </c>
    </row>
    <row r="17011" spans="9:9" x14ac:dyDescent="0.25">
      <c r="I17011" s="227" t="str">
        <f>MID(excPisCofins[[#This Row],[CodBarras2]],2,50)</f>
        <v/>
      </c>
    </row>
    <row r="17012" spans="9:9" x14ac:dyDescent="0.25">
      <c r="I17012" s="227" t="str">
        <f>MID(excPisCofins[[#This Row],[CodBarras2]],2,50)</f>
        <v/>
      </c>
    </row>
    <row r="17013" spans="9:9" x14ac:dyDescent="0.25">
      <c r="I17013" s="227" t="str">
        <f>MID(excPisCofins[[#This Row],[CodBarras2]],2,50)</f>
        <v/>
      </c>
    </row>
    <row r="17014" spans="9:9" x14ac:dyDescent="0.25">
      <c r="I17014" s="227" t="str">
        <f>MID(excPisCofins[[#This Row],[CodBarras2]],2,50)</f>
        <v/>
      </c>
    </row>
    <row r="17015" spans="9:9" x14ac:dyDescent="0.25">
      <c r="I17015" s="227" t="str">
        <f>MID(excPisCofins[[#This Row],[CodBarras2]],2,50)</f>
        <v/>
      </c>
    </row>
    <row r="17016" spans="9:9" x14ac:dyDescent="0.25">
      <c r="I17016" s="227" t="str">
        <f>MID(excPisCofins[[#This Row],[CodBarras2]],2,50)</f>
        <v/>
      </c>
    </row>
    <row r="17017" spans="9:9" x14ac:dyDescent="0.25">
      <c r="I17017" s="227" t="str">
        <f>MID(excPisCofins[[#This Row],[CodBarras2]],2,50)</f>
        <v/>
      </c>
    </row>
    <row r="17018" spans="9:9" x14ac:dyDescent="0.25">
      <c r="I17018" s="227" t="str">
        <f>MID(excPisCofins[[#This Row],[CodBarras2]],2,50)</f>
        <v/>
      </c>
    </row>
    <row r="17019" spans="9:9" x14ac:dyDescent="0.25">
      <c r="I17019" s="227" t="str">
        <f>MID(excPisCofins[[#This Row],[CodBarras2]],2,50)</f>
        <v/>
      </c>
    </row>
    <row r="17020" spans="9:9" x14ac:dyDescent="0.25">
      <c r="I17020" s="227" t="str">
        <f>MID(excPisCofins[[#This Row],[CodBarras2]],2,50)</f>
        <v/>
      </c>
    </row>
    <row r="17021" spans="9:9" x14ac:dyDescent="0.25">
      <c r="I17021" s="227" t="str">
        <f>MID(excPisCofins[[#This Row],[CodBarras2]],2,50)</f>
        <v/>
      </c>
    </row>
    <row r="17022" spans="9:9" x14ac:dyDescent="0.25">
      <c r="I17022" s="227" t="str">
        <f>MID(excPisCofins[[#This Row],[CodBarras2]],2,50)</f>
        <v/>
      </c>
    </row>
    <row r="17023" spans="9:9" x14ac:dyDescent="0.25">
      <c r="I17023" s="227" t="str">
        <f>MID(excPisCofins[[#This Row],[CodBarras2]],2,50)</f>
        <v/>
      </c>
    </row>
    <row r="17024" spans="9:9" x14ac:dyDescent="0.25">
      <c r="I17024" s="227" t="str">
        <f>MID(excPisCofins[[#This Row],[CodBarras2]],2,50)</f>
        <v/>
      </c>
    </row>
    <row r="17025" spans="9:9" x14ac:dyDescent="0.25">
      <c r="I17025" s="227" t="str">
        <f>MID(excPisCofins[[#This Row],[CodBarras2]],2,50)</f>
        <v/>
      </c>
    </row>
    <row r="17026" spans="9:9" x14ac:dyDescent="0.25">
      <c r="I17026" s="227" t="str">
        <f>MID(excPisCofins[[#This Row],[CodBarras2]],2,50)</f>
        <v/>
      </c>
    </row>
    <row r="17027" spans="9:9" x14ac:dyDescent="0.25">
      <c r="I17027" s="227" t="str">
        <f>MID(excPisCofins[[#This Row],[CodBarras2]],2,50)</f>
        <v/>
      </c>
    </row>
    <row r="17028" spans="9:9" x14ac:dyDescent="0.25">
      <c r="I17028" s="227" t="str">
        <f>MID(excPisCofins[[#This Row],[CodBarras2]],2,50)</f>
        <v/>
      </c>
    </row>
    <row r="17029" spans="9:9" x14ac:dyDescent="0.25">
      <c r="I17029" s="227" t="str">
        <f>MID(excPisCofins[[#This Row],[CodBarras2]],2,50)</f>
        <v/>
      </c>
    </row>
    <row r="17030" spans="9:9" x14ac:dyDescent="0.25">
      <c r="I17030" s="227" t="str">
        <f>MID(excPisCofins[[#This Row],[CodBarras2]],2,50)</f>
        <v/>
      </c>
    </row>
    <row r="17031" spans="9:9" x14ac:dyDescent="0.25">
      <c r="I17031" s="227" t="str">
        <f>MID(excPisCofins[[#This Row],[CodBarras2]],2,50)</f>
        <v/>
      </c>
    </row>
    <row r="17032" spans="9:9" x14ac:dyDescent="0.25">
      <c r="I17032" s="227" t="str">
        <f>MID(excPisCofins[[#This Row],[CodBarras2]],2,50)</f>
        <v/>
      </c>
    </row>
    <row r="17033" spans="9:9" x14ac:dyDescent="0.25">
      <c r="I17033" s="227" t="str">
        <f>MID(excPisCofins[[#This Row],[CodBarras2]],2,50)</f>
        <v/>
      </c>
    </row>
    <row r="17034" spans="9:9" x14ac:dyDescent="0.25">
      <c r="I17034" s="227" t="str">
        <f>MID(excPisCofins[[#This Row],[CodBarras2]],2,50)</f>
        <v/>
      </c>
    </row>
    <row r="17035" spans="9:9" x14ac:dyDescent="0.25">
      <c r="I17035" s="227" t="str">
        <f>MID(excPisCofins[[#This Row],[CodBarras2]],2,50)</f>
        <v/>
      </c>
    </row>
    <row r="17036" spans="9:9" x14ac:dyDescent="0.25">
      <c r="I17036" s="227" t="str">
        <f>MID(excPisCofins[[#This Row],[CodBarras2]],2,50)</f>
        <v/>
      </c>
    </row>
    <row r="17037" spans="9:9" x14ac:dyDescent="0.25">
      <c r="I17037" s="227" t="str">
        <f>MID(excPisCofins[[#This Row],[CodBarras2]],2,50)</f>
        <v/>
      </c>
    </row>
    <row r="17038" spans="9:9" x14ac:dyDescent="0.25">
      <c r="I17038" s="227" t="str">
        <f>MID(excPisCofins[[#This Row],[CodBarras2]],2,50)</f>
        <v/>
      </c>
    </row>
    <row r="17039" spans="9:9" x14ac:dyDescent="0.25">
      <c r="I17039" s="227" t="str">
        <f>MID(excPisCofins[[#This Row],[CodBarras2]],2,50)</f>
        <v/>
      </c>
    </row>
    <row r="17040" spans="9:9" x14ac:dyDescent="0.25">
      <c r="I17040" s="227" t="str">
        <f>MID(excPisCofins[[#This Row],[CodBarras2]],2,50)</f>
        <v/>
      </c>
    </row>
    <row r="17041" spans="9:9" x14ac:dyDescent="0.25">
      <c r="I17041" s="227" t="str">
        <f>MID(excPisCofins[[#This Row],[CodBarras2]],2,50)</f>
        <v/>
      </c>
    </row>
    <row r="17042" spans="9:9" x14ac:dyDescent="0.25">
      <c r="I17042" s="227" t="str">
        <f>MID(excPisCofins[[#This Row],[CodBarras2]],2,50)</f>
        <v/>
      </c>
    </row>
    <row r="17043" spans="9:9" x14ac:dyDescent="0.25">
      <c r="I17043" s="227" t="str">
        <f>MID(excPisCofins[[#This Row],[CodBarras2]],2,50)</f>
        <v/>
      </c>
    </row>
    <row r="17044" spans="9:9" x14ac:dyDescent="0.25">
      <c r="I17044" s="227" t="str">
        <f>MID(excPisCofins[[#This Row],[CodBarras2]],2,50)</f>
        <v/>
      </c>
    </row>
    <row r="17045" spans="9:9" x14ac:dyDescent="0.25">
      <c r="I17045" s="227" t="str">
        <f>MID(excPisCofins[[#This Row],[CodBarras2]],2,50)</f>
        <v/>
      </c>
    </row>
    <row r="17046" spans="9:9" x14ac:dyDescent="0.25">
      <c r="I17046" s="227" t="str">
        <f>MID(excPisCofins[[#This Row],[CodBarras2]],2,50)</f>
        <v/>
      </c>
    </row>
    <row r="17047" spans="9:9" x14ac:dyDescent="0.25">
      <c r="I17047" s="227" t="str">
        <f>MID(excPisCofins[[#This Row],[CodBarras2]],2,50)</f>
        <v/>
      </c>
    </row>
    <row r="17048" spans="9:9" x14ac:dyDescent="0.25">
      <c r="I17048" s="227" t="str">
        <f>MID(excPisCofins[[#This Row],[CodBarras2]],2,50)</f>
        <v/>
      </c>
    </row>
    <row r="17049" spans="9:9" x14ac:dyDescent="0.25">
      <c r="I17049" s="227" t="str">
        <f>MID(excPisCofins[[#This Row],[CodBarras2]],2,50)</f>
        <v/>
      </c>
    </row>
    <row r="17050" spans="9:9" x14ac:dyDescent="0.25">
      <c r="I17050" s="227" t="str">
        <f>MID(excPisCofins[[#This Row],[CodBarras2]],2,50)</f>
        <v/>
      </c>
    </row>
    <row r="17051" spans="9:9" x14ac:dyDescent="0.25">
      <c r="I17051" s="227" t="str">
        <f>MID(excPisCofins[[#This Row],[CodBarras2]],2,50)</f>
        <v/>
      </c>
    </row>
    <row r="17052" spans="9:9" x14ac:dyDescent="0.25">
      <c r="I17052" s="227" t="str">
        <f>MID(excPisCofins[[#This Row],[CodBarras2]],2,50)</f>
        <v/>
      </c>
    </row>
    <row r="17053" spans="9:9" x14ac:dyDescent="0.25">
      <c r="I17053" s="227" t="str">
        <f>MID(excPisCofins[[#This Row],[CodBarras2]],2,50)</f>
        <v/>
      </c>
    </row>
    <row r="17054" spans="9:9" x14ac:dyDescent="0.25">
      <c r="I17054" s="227" t="str">
        <f>MID(excPisCofins[[#This Row],[CodBarras2]],2,50)</f>
        <v/>
      </c>
    </row>
    <row r="17055" spans="9:9" x14ac:dyDescent="0.25">
      <c r="I17055" s="227" t="str">
        <f>MID(excPisCofins[[#This Row],[CodBarras2]],2,50)</f>
        <v/>
      </c>
    </row>
    <row r="17056" spans="9:9" x14ac:dyDescent="0.25">
      <c r="I17056" s="227" t="str">
        <f>MID(excPisCofins[[#This Row],[CodBarras2]],2,50)</f>
        <v/>
      </c>
    </row>
    <row r="17057" spans="9:9" x14ac:dyDescent="0.25">
      <c r="I17057" s="227" t="str">
        <f>MID(excPisCofins[[#This Row],[CodBarras2]],2,50)</f>
        <v/>
      </c>
    </row>
    <row r="17058" spans="9:9" x14ac:dyDescent="0.25">
      <c r="I17058" s="227" t="str">
        <f>MID(excPisCofins[[#This Row],[CodBarras2]],2,50)</f>
        <v/>
      </c>
    </row>
    <row r="17059" spans="9:9" x14ac:dyDescent="0.25">
      <c r="I17059" s="227" t="str">
        <f>MID(excPisCofins[[#This Row],[CodBarras2]],2,50)</f>
        <v/>
      </c>
    </row>
    <row r="17060" spans="9:9" x14ac:dyDescent="0.25">
      <c r="I17060" s="227" t="str">
        <f>MID(excPisCofins[[#This Row],[CodBarras2]],2,50)</f>
        <v/>
      </c>
    </row>
    <row r="17061" spans="9:9" x14ac:dyDescent="0.25">
      <c r="I17061" s="227" t="str">
        <f>MID(excPisCofins[[#This Row],[CodBarras2]],2,50)</f>
        <v/>
      </c>
    </row>
    <row r="17062" spans="9:9" x14ac:dyDescent="0.25">
      <c r="I17062" s="227" t="str">
        <f>MID(excPisCofins[[#This Row],[CodBarras2]],2,50)</f>
        <v/>
      </c>
    </row>
    <row r="17063" spans="9:9" x14ac:dyDescent="0.25">
      <c r="I17063" s="227" t="str">
        <f>MID(excPisCofins[[#This Row],[CodBarras2]],2,50)</f>
        <v/>
      </c>
    </row>
    <row r="17064" spans="9:9" x14ac:dyDescent="0.25">
      <c r="I17064" s="227" t="str">
        <f>MID(excPisCofins[[#This Row],[CodBarras2]],2,50)</f>
        <v/>
      </c>
    </row>
    <row r="17065" spans="9:9" x14ac:dyDescent="0.25">
      <c r="I17065" s="227" t="str">
        <f>MID(excPisCofins[[#This Row],[CodBarras2]],2,50)</f>
        <v/>
      </c>
    </row>
    <row r="17066" spans="9:9" x14ac:dyDescent="0.25">
      <c r="I17066" s="227" t="str">
        <f>MID(excPisCofins[[#This Row],[CodBarras2]],2,50)</f>
        <v/>
      </c>
    </row>
    <row r="17067" spans="9:9" x14ac:dyDescent="0.25">
      <c r="I17067" s="227" t="str">
        <f>MID(excPisCofins[[#This Row],[CodBarras2]],2,50)</f>
        <v/>
      </c>
    </row>
    <row r="17068" spans="9:9" x14ac:dyDescent="0.25">
      <c r="I17068" s="227" t="str">
        <f>MID(excPisCofins[[#This Row],[CodBarras2]],2,50)</f>
        <v/>
      </c>
    </row>
    <row r="17069" spans="9:9" x14ac:dyDescent="0.25">
      <c r="I17069" s="227" t="str">
        <f>MID(excPisCofins[[#This Row],[CodBarras2]],2,50)</f>
        <v/>
      </c>
    </row>
    <row r="17070" spans="9:9" x14ac:dyDescent="0.25">
      <c r="I17070" s="227" t="str">
        <f>MID(excPisCofins[[#This Row],[CodBarras2]],2,50)</f>
        <v/>
      </c>
    </row>
    <row r="17071" spans="9:9" x14ac:dyDescent="0.25">
      <c r="I17071" s="227" t="str">
        <f>MID(excPisCofins[[#This Row],[CodBarras2]],2,50)</f>
        <v/>
      </c>
    </row>
    <row r="17072" spans="9:9" x14ac:dyDescent="0.25">
      <c r="I17072" s="227" t="str">
        <f>MID(excPisCofins[[#This Row],[CodBarras2]],2,50)</f>
        <v/>
      </c>
    </row>
    <row r="17073" spans="9:9" x14ac:dyDescent="0.25">
      <c r="I17073" s="227" t="str">
        <f>MID(excPisCofins[[#This Row],[CodBarras2]],2,50)</f>
        <v/>
      </c>
    </row>
    <row r="17074" spans="9:9" x14ac:dyDescent="0.25">
      <c r="I17074" s="227" t="str">
        <f>MID(excPisCofins[[#This Row],[CodBarras2]],2,50)</f>
        <v/>
      </c>
    </row>
    <row r="17075" spans="9:9" x14ac:dyDescent="0.25">
      <c r="I17075" s="227" t="str">
        <f>MID(excPisCofins[[#This Row],[CodBarras2]],2,50)</f>
        <v/>
      </c>
    </row>
    <row r="17076" spans="9:9" x14ac:dyDescent="0.25">
      <c r="I17076" s="227" t="str">
        <f>MID(excPisCofins[[#This Row],[CodBarras2]],2,50)</f>
        <v/>
      </c>
    </row>
    <row r="17077" spans="9:9" x14ac:dyDescent="0.25">
      <c r="I17077" s="227" t="str">
        <f>MID(excPisCofins[[#This Row],[CodBarras2]],2,50)</f>
        <v/>
      </c>
    </row>
    <row r="17078" spans="9:9" x14ac:dyDescent="0.25">
      <c r="I17078" s="227" t="str">
        <f>MID(excPisCofins[[#This Row],[CodBarras2]],2,50)</f>
        <v/>
      </c>
    </row>
    <row r="17079" spans="9:9" x14ac:dyDescent="0.25">
      <c r="I17079" s="227" t="str">
        <f>MID(excPisCofins[[#This Row],[CodBarras2]],2,50)</f>
        <v/>
      </c>
    </row>
    <row r="17080" spans="9:9" x14ac:dyDescent="0.25">
      <c r="I17080" s="227" t="str">
        <f>MID(excPisCofins[[#This Row],[CodBarras2]],2,50)</f>
        <v/>
      </c>
    </row>
    <row r="17081" spans="9:9" x14ac:dyDescent="0.25">
      <c r="I17081" s="227" t="str">
        <f>MID(excPisCofins[[#This Row],[CodBarras2]],2,50)</f>
        <v/>
      </c>
    </row>
    <row r="17082" spans="9:9" x14ac:dyDescent="0.25">
      <c r="I17082" s="227" t="str">
        <f>MID(excPisCofins[[#This Row],[CodBarras2]],2,50)</f>
        <v/>
      </c>
    </row>
    <row r="17083" spans="9:9" x14ac:dyDescent="0.25">
      <c r="I17083" s="227" t="str">
        <f>MID(excPisCofins[[#This Row],[CodBarras2]],2,50)</f>
        <v/>
      </c>
    </row>
    <row r="17084" spans="9:9" x14ac:dyDescent="0.25">
      <c r="I17084" s="227" t="str">
        <f>MID(excPisCofins[[#This Row],[CodBarras2]],2,50)</f>
        <v/>
      </c>
    </row>
    <row r="17085" spans="9:9" x14ac:dyDescent="0.25">
      <c r="I17085" s="227" t="str">
        <f>MID(excPisCofins[[#This Row],[CodBarras2]],2,50)</f>
        <v/>
      </c>
    </row>
    <row r="17086" spans="9:9" x14ac:dyDescent="0.25">
      <c r="I17086" s="227" t="str">
        <f>MID(excPisCofins[[#This Row],[CodBarras2]],2,50)</f>
        <v/>
      </c>
    </row>
    <row r="17087" spans="9:9" x14ac:dyDescent="0.25">
      <c r="I17087" s="227" t="str">
        <f>MID(excPisCofins[[#This Row],[CodBarras2]],2,50)</f>
        <v/>
      </c>
    </row>
    <row r="17088" spans="9:9" x14ac:dyDescent="0.25">
      <c r="I17088" s="227" t="str">
        <f>MID(excPisCofins[[#This Row],[CodBarras2]],2,50)</f>
        <v/>
      </c>
    </row>
    <row r="17089" spans="9:9" x14ac:dyDescent="0.25">
      <c r="I17089" s="227" t="str">
        <f>MID(excPisCofins[[#This Row],[CodBarras2]],2,50)</f>
        <v/>
      </c>
    </row>
    <row r="17090" spans="9:9" x14ac:dyDescent="0.25">
      <c r="I17090" s="227" t="str">
        <f>MID(excPisCofins[[#This Row],[CodBarras2]],2,50)</f>
        <v/>
      </c>
    </row>
    <row r="17091" spans="9:9" x14ac:dyDescent="0.25">
      <c r="I17091" s="227" t="str">
        <f>MID(excPisCofins[[#This Row],[CodBarras2]],2,50)</f>
        <v/>
      </c>
    </row>
    <row r="17092" spans="9:9" x14ac:dyDescent="0.25">
      <c r="I17092" s="227" t="str">
        <f>MID(excPisCofins[[#This Row],[CodBarras2]],2,50)</f>
        <v/>
      </c>
    </row>
    <row r="17093" spans="9:9" x14ac:dyDescent="0.25">
      <c r="I17093" s="227" t="str">
        <f>MID(excPisCofins[[#This Row],[CodBarras2]],2,50)</f>
        <v/>
      </c>
    </row>
    <row r="17094" spans="9:9" x14ac:dyDescent="0.25">
      <c r="I17094" s="227" t="str">
        <f>MID(excPisCofins[[#This Row],[CodBarras2]],2,50)</f>
        <v/>
      </c>
    </row>
    <row r="17095" spans="9:9" x14ac:dyDescent="0.25">
      <c r="I17095" s="227" t="str">
        <f>MID(excPisCofins[[#This Row],[CodBarras2]],2,50)</f>
        <v/>
      </c>
    </row>
    <row r="17096" spans="9:9" x14ac:dyDescent="0.25">
      <c r="I17096" s="227" t="str">
        <f>MID(excPisCofins[[#This Row],[CodBarras2]],2,50)</f>
        <v/>
      </c>
    </row>
    <row r="17097" spans="9:9" x14ac:dyDescent="0.25">
      <c r="I17097" s="227" t="str">
        <f>MID(excPisCofins[[#This Row],[CodBarras2]],2,50)</f>
        <v/>
      </c>
    </row>
    <row r="17098" spans="9:9" x14ac:dyDescent="0.25">
      <c r="I17098" s="227" t="str">
        <f>MID(excPisCofins[[#This Row],[CodBarras2]],2,50)</f>
        <v/>
      </c>
    </row>
    <row r="17099" spans="9:9" x14ac:dyDescent="0.25">
      <c r="I17099" s="227" t="str">
        <f>MID(excPisCofins[[#This Row],[CodBarras2]],2,50)</f>
        <v/>
      </c>
    </row>
    <row r="17100" spans="9:9" x14ac:dyDescent="0.25">
      <c r="I17100" s="227" t="str">
        <f>MID(excPisCofins[[#This Row],[CodBarras2]],2,50)</f>
        <v/>
      </c>
    </row>
    <row r="17101" spans="9:9" x14ac:dyDescent="0.25">
      <c r="I17101" s="227" t="str">
        <f>MID(excPisCofins[[#This Row],[CodBarras2]],2,50)</f>
        <v/>
      </c>
    </row>
    <row r="17102" spans="9:9" x14ac:dyDescent="0.25">
      <c r="I17102" s="227" t="str">
        <f>MID(excPisCofins[[#This Row],[CodBarras2]],2,50)</f>
        <v/>
      </c>
    </row>
    <row r="17103" spans="9:9" x14ac:dyDescent="0.25">
      <c r="I17103" s="227" t="str">
        <f>MID(excPisCofins[[#This Row],[CodBarras2]],2,50)</f>
        <v/>
      </c>
    </row>
    <row r="17104" spans="9:9" x14ac:dyDescent="0.25">
      <c r="I17104" s="227" t="str">
        <f>MID(excPisCofins[[#This Row],[CodBarras2]],2,50)</f>
        <v/>
      </c>
    </row>
    <row r="17105" spans="9:9" x14ac:dyDescent="0.25">
      <c r="I17105" s="227" t="str">
        <f>MID(excPisCofins[[#This Row],[CodBarras2]],2,50)</f>
        <v/>
      </c>
    </row>
    <row r="17106" spans="9:9" x14ac:dyDescent="0.25">
      <c r="I17106" s="227" t="str">
        <f>MID(excPisCofins[[#This Row],[CodBarras2]],2,50)</f>
        <v/>
      </c>
    </row>
    <row r="17107" spans="9:9" x14ac:dyDescent="0.25">
      <c r="I17107" s="227" t="str">
        <f>MID(excPisCofins[[#This Row],[CodBarras2]],2,50)</f>
        <v/>
      </c>
    </row>
    <row r="17108" spans="9:9" x14ac:dyDescent="0.25">
      <c r="I17108" s="227" t="str">
        <f>MID(excPisCofins[[#This Row],[CodBarras2]],2,50)</f>
        <v/>
      </c>
    </row>
    <row r="17109" spans="9:9" x14ac:dyDescent="0.25">
      <c r="I17109" s="227" t="str">
        <f>MID(excPisCofins[[#This Row],[CodBarras2]],2,50)</f>
        <v/>
      </c>
    </row>
    <row r="17110" spans="9:9" x14ac:dyDescent="0.25">
      <c r="I17110" s="227" t="str">
        <f>MID(excPisCofins[[#This Row],[CodBarras2]],2,50)</f>
        <v/>
      </c>
    </row>
    <row r="17111" spans="9:9" x14ac:dyDescent="0.25">
      <c r="I17111" s="227" t="str">
        <f>MID(excPisCofins[[#This Row],[CodBarras2]],2,50)</f>
        <v/>
      </c>
    </row>
    <row r="17112" spans="9:9" x14ac:dyDescent="0.25">
      <c r="I17112" s="227" t="str">
        <f>MID(excPisCofins[[#This Row],[CodBarras2]],2,50)</f>
        <v/>
      </c>
    </row>
    <row r="17113" spans="9:9" x14ac:dyDescent="0.25">
      <c r="I17113" s="227" t="str">
        <f>MID(excPisCofins[[#This Row],[CodBarras2]],2,50)</f>
        <v/>
      </c>
    </row>
    <row r="17114" spans="9:9" x14ac:dyDescent="0.25">
      <c r="I17114" s="227" t="str">
        <f>MID(excPisCofins[[#This Row],[CodBarras2]],2,50)</f>
        <v/>
      </c>
    </row>
    <row r="17115" spans="9:9" x14ac:dyDescent="0.25">
      <c r="I17115" s="227" t="str">
        <f>MID(excPisCofins[[#This Row],[CodBarras2]],2,50)</f>
        <v/>
      </c>
    </row>
    <row r="17116" spans="9:9" x14ac:dyDescent="0.25">
      <c r="I17116" s="227" t="str">
        <f>MID(excPisCofins[[#This Row],[CodBarras2]],2,50)</f>
        <v/>
      </c>
    </row>
    <row r="17117" spans="9:9" x14ac:dyDescent="0.25">
      <c r="I17117" s="227" t="str">
        <f>MID(excPisCofins[[#This Row],[CodBarras2]],2,50)</f>
        <v/>
      </c>
    </row>
    <row r="17118" spans="9:9" x14ac:dyDescent="0.25">
      <c r="I17118" s="227" t="str">
        <f>MID(excPisCofins[[#This Row],[CodBarras2]],2,50)</f>
        <v/>
      </c>
    </row>
    <row r="17119" spans="9:9" x14ac:dyDescent="0.25">
      <c r="I17119" s="227" t="str">
        <f>MID(excPisCofins[[#This Row],[CodBarras2]],2,50)</f>
        <v/>
      </c>
    </row>
    <row r="17120" spans="9:9" x14ac:dyDescent="0.25">
      <c r="I17120" s="227" t="str">
        <f>MID(excPisCofins[[#This Row],[CodBarras2]],2,50)</f>
        <v/>
      </c>
    </row>
    <row r="17121" spans="9:9" x14ac:dyDescent="0.25">
      <c r="I17121" s="227" t="str">
        <f>MID(excPisCofins[[#This Row],[CodBarras2]],2,50)</f>
        <v/>
      </c>
    </row>
    <row r="17122" spans="9:9" x14ac:dyDescent="0.25">
      <c r="I17122" s="227" t="str">
        <f>MID(excPisCofins[[#This Row],[CodBarras2]],2,50)</f>
        <v/>
      </c>
    </row>
    <row r="17123" spans="9:9" x14ac:dyDescent="0.25">
      <c r="I17123" s="227" t="str">
        <f>MID(excPisCofins[[#This Row],[CodBarras2]],2,50)</f>
        <v/>
      </c>
    </row>
    <row r="17124" spans="9:9" x14ac:dyDescent="0.25">
      <c r="I17124" s="227" t="str">
        <f>MID(excPisCofins[[#This Row],[CodBarras2]],2,50)</f>
        <v/>
      </c>
    </row>
    <row r="17125" spans="9:9" x14ac:dyDescent="0.25">
      <c r="I17125" s="227" t="str">
        <f>MID(excPisCofins[[#This Row],[CodBarras2]],2,50)</f>
        <v/>
      </c>
    </row>
    <row r="17126" spans="9:9" x14ac:dyDescent="0.25">
      <c r="I17126" s="227" t="str">
        <f>MID(excPisCofins[[#This Row],[CodBarras2]],2,50)</f>
        <v/>
      </c>
    </row>
    <row r="17127" spans="9:9" x14ac:dyDescent="0.25">
      <c r="I17127" s="227" t="str">
        <f>MID(excPisCofins[[#This Row],[CodBarras2]],2,50)</f>
        <v/>
      </c>
    </row>
    <row r="17128" spans="9:9" x14ac:dyDescent="0.25">
      <c r="I17128" s="227" t="str">
        <f>MID(excPisCofins[[#This Row],[CodBarras2]],2,50)</f>
        <v/>
      </c>
    </row>
    <row r="17129" spans="9:9" x14ac:dyDescent="0.25">
      <c r="I17129" s="227" t="str">
        <f>MID(excPisCofins[[#This Row],[CodBarras2]],2,50)</f>
        <v/>
      </c>
    </row>
    <row r="17130" spans="9:9" x14ac:dyDescent="0.25">
      <c r="I17130" s="227" t="str">
        <f>MID(excPisCofins[[#This Row],[CodBarras2]],2,50)</f>
        <v/>
      </c>
    </row>
    <row r="17131" spans="9:9" x14ac:dyDescent="0.25">
      <c r="I17131" s="227" t="str">
        <f>MID(excPisCofins[[#This Row],[CodBarras2]],2,50)</f>
        <v/>
      </c>
    </row>
    <row r="17132" spans="9:9" x14ac:dyDescent="0.25">
      <c r="I17132" s="227" t="str">
        <f>MID(excPisCofins[[#This Row],[CodBarras2]],2,50)</f>
        <v/>
      </c>
    </row>
    <row r="17133" spans="9:9" x14ac:dyDescent="0.25">
      <c r="I17133" s="227" t="str">
        <f>MID(excPisCofins[[#This Row],[CodBarras2]],2,50)</f>
        <v/>
      </c>
    </row>
    <row r="17134" spans="9:9" x14ac:dyDescent="0.25">
      <c r="I17134" s="227" t="str">
        <f>MID(excPisCofins[[#This Row],[CodBarras2]],2,50)</f>
        <v/>
      </c>
    </row>
    <row r="17135" spans="9:9" x14ac:dyDescent="0.25">
      <c r="I17135" s="227" t="str">
        <f>MID(excPisCofins[[#This Row],[CodBarras2]],2,50)</f>
        <v/>
      </c>
    </row>
    <row r="17136" spans="9:9" x14ac:dyDescent="0.25">
      <c r="I17136" s="227" t="str">
        <f>MID(excPisCofins[[#This Row],[CodBarras2]],2,50)</f>
        <v/>
      </c>
    </row>
    <row r="17137" spans="9:9" x14ac:dyDescent="0.25">
      <c r="I17137" s="227" t="str">
        <f>MID(excPisCofins[[#This Row],[CodBarras2]],2,50)</f>
        <v/>
      </c>
    </row>
    <row r="17138" spans="9:9" x14ac:dyDescent="0.25">
      <c r="I17138" s="227" t="str">
        <f>MID(excPisCofins[[#This Row],[CodBarras2]],2,50)</f>
        <v/>
      </c>
    </row>
    <row r="17139" spans="9:9" x14ac:dyDescent="0.25">
      <c r="I17139" s="227" t="str">
        <f>MID(excPisCofins[[#This Row],[CodBarras2]],2,50)</f>
        <v/>
      </c>
    </row>
    <row r="17140" spans="9:9" x14ac:dyDescent="0.25">
      <c r="I17140" s="227" t="str">
        <f>MID(excPisCofins[[#This Row],[CodBarras2]],2,50)</f>
        <v/>
      </c>
    </row>
    <row r="17141" spans="9:9" x14ac:dyDescent="0.25">
      <c r="I17141" s="227" t="str">
        <f>MID(excPisCofins[[#This Row],[CodBarras2]],2,50)</f>
        <v/>
      </c>
    </row>
    <row r="17142" spans="9:9" x14ac:dyDescent="0.25">
      <c r="I17142" s="227" t="str">
        <f>MID(excPisCofins[[#This Row],[CodBarras2]],2,50)</f>
        <v/>
      </c>
    </row>
    <row r="17143" spans="9:9" x14ac:dyDescent="0.25">
      <c r="I17143" s="227" t="str">
        <f>MID(excPisCofins[[#This Row],[CodBarras2]],2,50)</f>
        <v/>
      </c>
    </row>
    <row r="17144" spans="9:9" x14ac:dyDescent="0.25">
      <c r="I17144" s="227" t="str">
        <f>MID(excPisCofins[[#This Row],[CodBarras2]],2,50)</f>
        <v/>
      </c>
    </row>
    <row r="17145" spans="9:9" x14ac:dyDescent="0.25">
      <c r="I17145" s="227" t="str">
        <f>MID(excPisCofins[[#This Row],[CodBarras2]],2,50)</f>
        <v/>
      </c>
    </row>
    <row r="17146" spans="9:9" x14ac:dyDescent="0.25">
      <c r="I17146" s="227" t="str">
        <f>MID(excPisCofins[[#This Row],[CodBarras2]],2,50)</f>
        <v/>
      </c>
    </row>
    <row r="17147" spans="9:9" x14ac:dyDescent="0.25">
      <c r="I17147" s="227" t="str">
        <f>MID(excPisCofins[[#This Row],[CodBarras2]],2,50)</f>
        <v/>
      </c>
    </row>
    <row r="17148" spans="9:9" x14ac:dyDescent="0.25">
      <c r="I17148" s="227" t="str">
        <f>MID(excPisCofins[[#This Row],[CodBarras2]],2,50)</f>
        <v/>
      </c>
    </row>
    <row r="17149" spans="9:9" x14ac:dyDescent="0.25">
      <c r="I17149" s="227" t="str">
        <f>MID(excPisCofins[[#This Row],[CodBarras2]],2,50)</f>
        <v/>
      </c>
    </row>
    <row r="17150" spans="9:9" x14ac:dyDescent="0.25">
      <c r="I17150" s="227" t="str">
        <f>MID(excPisCofins[[#This Row],[CodBarras2]],2,50)</f>
        <v/>
      </c>
    </row>
    <row r="17151" spans="9:9" x14ac:dyDescent="0.25">
      <c r="I17151" s="227" t="str">
        <f>MID(excPisCofins[[#This Row],[CodBarras2]],2,50)</f>
        <v/>
      </c>
    </row>
    <row r="17152" spans="9:9" x14ac:dyDescent="0.25">
      <c r="I17152" s="227" t="str">
        <f>MID(excPisCofins[[#This Row],[CodBarras2]],2,50)</f>
        <v/>
      </c>
    </row>
    <row r="17153" spans="9:9" x14ac:dyDescent="0.25">
      <c r="I17153" s="227" t="str">
        <f>MID(excPisCofins[[#This Row],[CodBarras2]],2,50)</f>
        <v/>
      </c>
    </row>
    <row r="17154" spans="9:9" x14ac:dyDescent="0.25">
      <c r="I17154" s="227" t="str">
        <f>MID(excPisCofins[[#This Row],[CodBarras2]],2,50)</f>
        <v/>
      </c>
    </row>
    <row r="17155" spans="9:9" x14ac:dyDescent="0.25">
      <c r="I17155" s="227" t="str">
        <f>MID(excPisCofins[[#This Row],[CodBarras2]],2,50)</f>
        <v/>
      </c>
    </row>
    <row r="17156" spans="9:9" x14ac:dyDescent="0.25">
      <c r="I17156" s="227" t="str">
        <f>MID(excPisCofins[[#This Row],[CodBarras2]],2,50)</f>
        <v/>
      </c>
    </row>
    <row r="17157" spans="9:9" x14ac:dyDescent="0.25">
      <c r="I17157" s="227" t="str">
        <f>MID(excPisCofins[[#This Row],[CodBarras2]],2,50)</f>
        <v/>
      </c>
    </row>
    <row r="17158" spans="9:9" x14ac:dyDescent="0.25">
      <c r="I17158" s="227" t="str">
        <f>MID(excPisCofins[[#This Row],[CodBarras2]],2,50)</f>
        <v/>
      </c>
    </row>
    <row r="17159" spans="9:9" x14ac:dyDescent="0.25">
      <c r="I17159" s="227" t="str">
        <f>MID(excPisCofins[[#This Row],[CodBarras2]],2,50)</f>
        <v/>
      </c>
    </row>
    <row r="17160" spans="9:9" x14ac:dyDescent="0.25">
      <c r="I17160" s="227" t="str">
        <f>MID(excPisCofins[[#This Row],[CodBarras2]],2,50)</f>
        <v/>
      </c>
    </row>
    <row r="17161" spans="9:9" x14ac:dyDescent="0.25">
      <c r="I17161" s="227" t="str">
        <f>MID(excPisCofins[[#This Row],[CodBarras2]],2,50)</f>
        <v/>
      </c>
    </row>
    <row r="17162" spans="9:9" x14ac:dyDescent="0.25">
      <c r="I17162" s="227" t="str">
        <f>MID(excPisCofins[[#This Row],[CodBarras2]],2,50)</f>
        <v/>
      </c>
    </row>
    <row r="17163" spans="9:9" x14ac:dyDescent="0.25">
      <c r="I17163" s="227" t="str">
        <f>MID(excPisCofins[[#This Row],[CodBarras2]],2,50)</f>
        <v/>
      </c>
    </row>
    <row r="17164" spans="9:9" x14ac:dyDescent="0.25">
      <c r="I17164" s="227" t="str">
        <f>MID(excPisCofins[[#This Row],[CodBarras2]],2,50)</f>
        <v/>
      </c>
    </row>
    <row r="17165" spans="9:9" x14ac:dyDescent="0.25">
      <c r="I17165" s="227" t="str">
        <f>MID(excPisCofins[[#This Row],[CodBarras2]],2,50)</f>
        <v/>
      </c>
    </row>
    <row r="17166" spans="9:9" x14ac:dyDescent="0.25">
      <c r="I17166" s="227" t="str">
        <f>MID(excPisCofins[[#This Row],[CodBarras2]],2,50)</f>
        <v/>
      </c>
    </row>
    <row r="17167" spans="9:9" x14ac:dyDescent="0.25">
      <c r="I17167" s="227" t="str">
        <f>MID(excPisCofins[[#This Row],[CodBarras2]],2,50)</f>
        <v/>
      </c>
    </row>
    <row r="17168" spans="9:9" x14ac:dyDescent="0.25">
      <c r="I17168" s="227" t="str">
        <f>MID(excPisCofins[[#This Row],[CodBarras2]],2,50)</f>
        <v/>
      </c>
    </row>
    <row r="17169" spans="9:9" x14ac:dyDescent="0.25">
      <c r="I17169" s="227" t="str">
        <f>MID(excPisCofins[[#This Row],[CodBarras2]],2,50)</f>
        <v/>
      </c>
    </row>
    <row r="17170" spans="9:9" x14ac:dyDescent="0.25">
      <c r="I17170" s="227" t="str">
        <f>MID(excPisCofins[[#This Row],[CodBarras2]],2,50)</f>
        <v/>
      </c>
    </row>
    <row r="17171" spans="9:9" x14ac:dyDescent="0.25">
      <c r="I17171" s="227" t="str">
        <f>MID(excPisCofins[[#This Row],[CodBarras2]],2,50)</f>
        <v/>
      </c>
    </row>
    <row r="17172" spans="9:9" x14ac:dyDescent="0.25">
      <c r="I17172" s="227" t="str">
        <f>MID(excPisCofins[[#This Row],[CodBarras2]],2,50)</f>
        <v/>
      </c>
    </row>
    <row r="17173" spans="9:9" x14ac:dyDescent="0.25">
      <c r="I17173" s="227" t="str">
        <f>MID(excPisCofins[[#This Row],[CodBarras2]],2,50)</f>
        <v/>
      </c>
    </row>
    <row r="17174" spans="9:9" x14ac:dyDescent="0.25">
      <c r="I17174" s="227" t="str">
        <f>MID(excPisCofins[[#This Row],[CodBarras2]],2,50)</f>
        <v/>
      </c>
    </row>
    <row r="17175" spans="9:9" x14ac:dyDescent="0.25">
      <c r="I17175" s="227" t="str">
        <f>MID(excPisCofins[[#This Row],[CodBarras2]],2,50)</f>
        <v/>
      </c>
    </row>
    <row r="17176" spans="9:9" x14ac:dyDescent="0.25">
      <c r="I17176" s="227" t="str">
        <f>MID(excPisCofins[[#This Row],[CodBarras2]],2,50)</f>
        <v/>
      </c>
    </row>
    <row r="17177" spans="9:9" x14ac:dyDescent="0.25">
      <c r="I17177" s="227" t="str">
        <f>MID(excPisCofins[[#This Row],[CodBarras2]],2,50)</f>
        <v/>
      </c>
    </row>
    <row r="17178" spans="9:9" x14ac:dyDescent="0.25">
      <c r="I17178" s="227" t="str">
        <f>MID(excPisCofins[[#This Row],[CodBarras2]],2,50)</f>
        <v/>
      </c>
    </row>
    <row r="17179" spans="9:9" x14ac:dyDescent="0.25">
      <c r="I17179" s="227" t="str">
        <f>MID(excPisCofins[[#This Row],[CodBarras2]],2,50)</f>
        <v/>
      </c>
    </row>
    <row r="17180" spans="9:9" x14ac:dyDescent="0.25">
      <c r="I17180" s="227" t="str">
        <f>MID(excPisCofins[[#This Row],[CodBarras2]],2,50)</f>
        <v/>
      </c>
    </row>
    <row r="17181" spans="9:9" x14ac:dyDescent="0.25">
      <c r="I17181" s="227" t="str">
        <f>MID(excPisCofins[[#This Row],[CodBarras2]],2,50)</f>
        <v/>
      </c>
    </row>
    <row r="17182" spans="9:9" x14ac:dyDescent="0.25">
      <c r="I17182" s="227" t="str">
        <f>MID(excPisCofins[[#This Row],[CodBarras2]],2,50)</f>
        <v/>
      </c>
    </row>
    <row r="17183" spans="9:9" x14ac:dyDescent="0.25">
      <c r="I17183" s="227" t="str">
        <f>MID(excPisCofins[[#This Row],[CodBarras2]],2,50)</f>
        <v/>
      </c>
    </row>
    <row r="17184" spans="9:9" x14ac:dyDescent="0.25">
      <c r="I17184" s="227" t="str">
        <f>MID(excPisCofins[[#This Row],[CodBarras2]],2,50)</f>
        <v/>
      </c>
    </row>
    <row r="17185" spans="9:9" x14ac:dyDescent="0.25">
      <c r="I17185" s="227" t="str">
        <f>MID(excPisCofins[[#This Row],[CodBarras2]],2,50)</f>
        <v/>
      </c>
    </row>
    <row r="17186" spans="9:9" x14ac:dyDescent="0.25">
      <c r="I17186" s="227" t="str">
        <f>MID(excPisCofins[[#This Row],[CodBarras2]],2,50)</f>
        <v/>
      </c>
    </row>
    <row r="17187" spans="9:9" x14ac:dyDescent="0.25">
      <c r="I17187" s="227" t="str">
        <f>MID(excPisCofins[[#This Row],[CodBarras2]],2,50)</f>
        <v/>
      </c>
    </row>
    <row r="17188" spans="9:9" x14ac:dyDescent="0.25">
      <c r="I17188" s="227" t="str">
        <f>MID(excPisCofins[[#This Row],[CodBarras2]],2,50)</f>
        <v/>
      </c>
    </row>
    <row r="17189" spans="9:9" x14ac:dyDescent="0.25">
      <c r="I17189" s="227" t="str">
        <f>MID(excPisCofins[[#This Row],[CodBarras2]],2,50)</f>
        <v/>
      </c>
    </row>
    <row r="17190" spans="9:9" x14ac:dyDescent="0.25">
      <c r="I17190" s="227" t="str">
        <f>MID(excPisCofins[[#This Row],[CodBarras2]],2,50)</f>
        <v/>
      </c>
    </row>
    <row r="17191" spans="9:9" x14ac:dyDescent="0.25">
      <c r="I17191" s="227" t="str">
        <f>MID(excPisCofins[[#This Row],[CodBarras2]],2,50)</f>
        <v/>
      </c>
    </row>
    <row r="17192" spans="9:9" x14ac:dyDescent="0.25">
      <c r="I17192" s="227" t="str">
        <f>MID(excPisCofins[[#This Row],[CodBarras2]],2,50)</f>
        <v/>
      </c>
    </row>
    <row r="17193" spans="9:9" x14ac:dyDescent="0.25">
      <c r="I17193" s="227" t="str">
        <f>MID(excPisCofins[[#This Row],[CodBarras2]],2,50)</f>
        <v/>
      </c>
    </row>
    <row r="17194" spans="9:9" x14ac:dyDescent="0.25">
      <c r="I17194" s="227" t="str">
        <f>MID(excPisCofins[[#This Row],[CodBarras2]],2,50)</f>
        <v/>
      </c>
    </row>
    <row r="17195" spans="9:9" x14ac:dyDescent="0.25">
      <c r="I17195" s="227" t="str">
        <f>MID(excPisCofins[[#This Row],[CodBarras2]],2,50)</f>
        <v/>
      </c>
    </row>
    <row r="17196" spans="9:9" x14ac:dyDescent="0.25">
      <c r="I17196" s="227" t="str">
        <f>MID(excPisCofins[[#This Row],[CodBarras2]],2,50)</f>
        <v/>
      </c>
    </row>
    <row r="17197" spans="9:9" x14ac:dyDescent="0.25">
      <c r="I17197" s="227" t="str">
        <f>MID(excPisCofins[[#This Row],[CodBarras2]],2,50)</f>
        <v/>
      </c>
    </row>
    <row r="17198" spans="9:9" x14ac:dyDescent="0.25">
      <c r="I17198" s="227" t="str">
        <f>MID(excPisCofins[[#This Row],[CodBarras2]],2,50)</f>
        <v/>
      </c>
    </row>
    <row r="17199" spans="9:9" x14ac:dyDescent="0.25">
      <c r="I17199" s="227" t="str">
        <f>MID(excPisCofins[[#This Row],[CodBarras2]],2,50)</f>
        <v/>
      </c>
    </row>
    <row r="17200" spans="9:9" x14ac:dyDescent="0.25">
      <c r="I17200" s="227" t="str">
        <f>MID(excPisCofins[[#This Row],[CodBarras2]],2,50)</f>
        <v/>
      </c>
    </row>
    <row r="17201" spans="9:9" x14ac:dyDescent="0.25">
      <c r="I17201" s="227" t="str">
        <f>MID(excPisCofins[[#This Row],[CodBarras2]],2,50)</f>
        <v/>
      </c>
    </row>
    <row r="17202" spans="9:9" x14ac:dyDescent="0.25">
      <c r="I17202" s="227" t="str">
        <f>MID(excPisCofins[[#This Row],[CodBarras2]],2,50)</f>
        <v/>
      </c>
    </row>
    <row r="17203" spans="9:9" x14ac:dyDescent="0.25">
      <c r="I17203" s="227" t="str">
        <f>MID(excPisCofins[[#This Row],[CodBarras2]],2,50)</f>
        <v/>
      </c>
    </row>
    <row r="17204" spans="9:9" x14ac:dyDescent="0.25">
      <c r="I17204" s="227" t="str">
        <f>MID(excPisCofins[[#This Row],[CodBarras2]],2,50)</f>
        <v/>
      </c>
    </row>
    <row r="17205" spans="9:9" x14ac:dyDescent="0.25">
      <c r="I17205" s="227" t="str">
        <f>MID(excPisCofins[[#This Row],[CodBarras2]],2,50)</f>
        <v/>
      </c>
    </row>
    <row r="17206" spans="9:9" x14ac:dyDescent="0.25">
      <c r="I17206" s="227" t="str">
        <f>MID(excPisCofins[[#This Row],[CodBarras2]],2,50)</f>
        <v/>
      </c>
    </row>
    <row r="17207" spans="9:9" x14ac:dyDescent="0.25">
      <c r="I17207" s="227" t="str">
        <f>MID(excPisCofins[[#This Row],[CodBarras2]],2,50)</f>
        <v/>
      </c>
    </row>
    <row r="17208" spans="9:9" x14ac:dyDescent="0.25">
      <c r="I17208" s="227" t="str">
        <f>MID(excPisCofins[[#This Row],[CodBarras2]],2,50)</f>
        <v/>
      </c>
    </row>
    <row r="17209" spans="9:9" x14ac:dyDescent="0.25">
      <c r="I17209" s="227" t="str">
        <f>MID(excPisCofins[[#This Row],[CodBarras2]],2,50)</f>
        <v/>
      </c>
    </row>
    <row r="17210" spans="9:9" x14ac:dyDescent="0.25">
      <c r="I17210" s="227" t="str">
        <f>MID(excPisCofins[[#This Row],[CodBarras2]],2,50)</f>
        <v/>
      </c>
    </row>
    <row r="17211" spans="9:9" x14ac:dyDescent="0.25">
      <c r="I17211" s="227" t="str">
        <f>MID(excPisCofins[[#This Row],[CodBarras2]],2,50)</f>
        <v/>
      </c>
    </row>
    <row r="17212" spans="9:9" x14ac:dyDescent="0.25">
      <c r="I17212" s="227" t="str">
        <f>MID(excPisCofins[[#This Row],[CodBarras2]],2,50)</f>
        <v/>
      </c>
    </row>
    <row r="17213" spans="9:9" x14ac:dyDescent="0.25">
      <c r="I17213" s="227" t="str">
        <f>MID(excPisCofins[[#This Row],[CodBarras2]],2,50)</f>
        <v/>
      </c>
    </row>
    <row r="17214" spans="9:9" x14ac:dyDescent="0.25">
      <c r="I17214" s="227" t="str">
        <f>MID(excPisCofins[[#This Row],[CodBarras2]],2,50)</f>
        <v/>
      </c>
    </row>
    <row r="17215" spans="9:9" x14ac:dyDescent="0.25">
      <c r="I17215" s="227" t="str">
        <f>MID(excPisCofins[[#This Row],[CodBarras2]],2,50)</f>
        <v/>
      </c>
    </row>
    <row r="17216" spans="9:9" x14ac:dyDescent="0.25">
      <c r="I17216" s="227" t="str">
        <f>MID(excPisCofins[[#This Row],[CodBarras2]],2,50)</f>
        <v/>
      </c>
    </row>
    <row r="17217" spans="9:9" x14ac:dyDescent="0.25">
      <c r="I17217" s="227" t="str">
        <f>MID(excPisCofins[[#This Row],[CodBarras2]],2,50)</f>
        <v/>
      </c>
    </row>
    <row r="17218" spans="9:9" x14ac:dyDescent="0.25">
      <c r="I17218" s="227" t="str">
        <f>MID(excPisCofins[[#This Row],[CodBarras2]],2,50)</f>
        <v/>
      </c>
    </row>
    <row r="17219" spans="9:9" x14ac:dyDescent="0.25">
      <c r="I17219" s="227" t="str">
        <f>MID(excPisCofins[[#This Row],[CodBarras2]],2,50)</f>
        <v/>
      </c>
    </row>
    <row r="17220" spans="9:9" x14ac:dyDescent="0.25">
      <c r="I17220" s="227" t="str">
        <f>MID(excPisCofins[[#This Row],[CodBarras2]],2,50)</f>
        <v/>
      </c>
    </row>
    <row r="17221" spans="9:9" x14ac:dyDescent="0.25">
      <c r="I17221" s="227" t="str">
        <f>MID(excPisCofins[[#This Row],[CodBarras2]],2,50)</f>
        <v/>
      </c>
    </row>
    <row r="17222" spans="9:9" x14ac:dyDescent="0.25">
      <c r="I17222" s="227" t="str">
        <f>MID(excPisCofins[[#This Row],[CodBarras2]],2,50)</f>
        <v/>
      </c>
    </row>
    <row r="17223" spans="9:9" x14ac:dyDescent="0.25">
      <c r="I17223" s="227" t="str">
        <f>MID(excPisCofins[[#This Row],[CodBarras2]],2,50)</f>
        <v/>
      </c>
    </row>
    <row r="17224" spans="9:9" x14ac:dyDescent="0.25">
      <c r="I17224" s="227" t="str">
        <f>MID(excPisCofins[[#This Row],[CodBarras2]],2,50)</f>
        <v/>
      </c>
    </row>
    <row r="17225" spans="9:9" x14ac:dyDescent="0.25">
      <c r="I17225" s="227" t="str">
        <f>MID(excPisCofins[[#This Row],[CodBarras2]],2,50)</f>
        <v/>
      </c>
    </row>
    <row r="17226" spans="9:9" x14ac:dyDescent="0.25">
      <c r="I17226" s="227" t="str">
        <f>MID(excPisCofins[[#This Row],[CodBarras2]],2,50)</f>
        <v/>
      </c>
    </row>
    <row r="17227" spans="9:9" x14ac:dyDescent="0.25">
      <c r="I17227" s="227" t="str">
        <f>MID(excPisCofins[[#This Row],[CodBarras2]],2,50)</f>
        <v/>
      </c>
    </row>
    <row r="17228" spans="9:9" x14ac:dyDescent="0.25">
      <c r="I17228" s="227" t="str">
        <f>MID(excPisCofins[[#This Row],[CodBarras2]],2,50)</f>
        <v/>
      </c>
    </row>
    <row r="17229" spans="9:9" x14ac:dyDescent="0.25">
      <c r="I17229" s="227" t="str">
        <f>MID(excPisCofins[[#This Row],[CodBarras2]],2,50)</f>
        <v/>
      </c>
    </row>
    <row r="17230" spans="9:9" x14ac:dyDescent="0.25">
      <c r="I17230" s="227" t="str">
        <f>MID(excPisCofins[[#This Row],[CodBarras2]],2,50)</f>
        <v/>
      </c>
    </row>
    <row r="17231" spans="9:9" x14ac:dyDescent="0.25">
      <c r="I17231" s="227" t="str">
        <f>MID(excPisCofins[[#This Row],[CodBarras2]],2,50)</f>
        <v/>
      </c>
    </row>
    <row r="17232" spans="9:9" x14ac:dyDescent="0.25">
      <c r="I17232" s="227" t="str">
        <f>MID(excPisCofins[[#This Row],[CodBarras2]],2,50)</f>
        <v/>
      </c>
    </row>
    <row r="17233" spans="9:9" x14ac:dyDescent="0.25">
      <c r="I17233" s="227" t="str">
        <f>MID(excPisCofins[[#This Row],[CodBarras2]],2,50)</f>
        <v/>
      </c>
    </row>
    <row r="17234" spans="9:9" x14ac:dyDescent="0.25">
      <c r="I17234" s="227" t="str">
        <f>MID(excPisCofins[[#This Row],[CodBarras2]],2,50)</f>
        <v/>
      </c>
    </row>
    <row r="17235" spans="9:9" x14ac:dyDescent="0.25">
      <c r="I17235" s="227" t="str">
        <f>MID(excPisCofins[[#This Row],[CodBarras2]],2,50)</f>
        <v/>
      </c>
    </row>
    <row r="17236" spans="9:9" x14ac:dyDescent="0.25">
      <c r="I17236" s="227" t="str">
        <f>MID(excPisCofins[[#This Row],[CodBarras2]],2,50)</f>
        <v/>
      </c>
    </row>
    <row r="17237" spans="9:9" x14ac:dyDescent="0.25">
      <c r="I17237" s="227" t="str">
        <f>MID(excPisCofins[[#This Row],[CodBarras2]],2,50)</f>
        <v/>
      </c>
    </row>
    <row r="17238" spans="9:9" x14ac:dyDescent="0.25">
      <c r="I17238" s="227" t="str">
        <f>MID(excPisCofins[[#This Row],[CodBarras2]],2,50)</f>
        <v/>
      </c>
    </row>
    <row r="17239" spans="9:9" x14ac:dyDescent="0.25">
      <c r="I17239" s="227" t="str">
        <f>MID(excPisCofins[[#This Row],[CodBarras2]],2,50)</f>
        <v/>
      </c>
    </row>
    <row r="17240" spans="9:9" x14ac:dyDescent="0.25">
      <c r="I17240" s="227" t="str">
        <f>MID(excPisCofins[[#This Row],[CodBarras2]],2,50)</f>
        <v/>
      </c>
    </row>
    <row r="17241" spans="9:9" x14ac:dyDescent="0.25">
      <c r="I17241" s="227" t="str">
        <f>MID(excPisCofins[[#This Row],[CodBarras2]],2,50)</f>
        <v/>
      </c>
    </row>
    <row r="17242" spans="9:9" x14ac:dyDescent="0.25">
      <c r="I17242" s="227" t="str">
        <f>MID(excPisCofins[[#This Row],[CodBarras2]],2,50)</f>
        <v/>
      </c>
    </row>
    <row r="17243" spans="9:9" x14ac:dyDescent="0.25">
      <c r="I17243" s="227" t="str">
        <f>MID(excPisCofins[[#This Row],[CodBarras2]],2,50)</f>
        <v/>
      </c>
    </row>
    <row r="17244" spans="9:9" x14ac:dyDescent="0.25">
      <c r="I17244" s="227" t="str">
        <f>MID(excPisCofins[[#This Row],[CodBarras2]],2,50)</f>
        <v/>
      </c>
    </row>
    <row r="17245" spans="9:9" x14ac:dyDescent="0.25">
      <c r="I17245" s="227" t="str">
        <f>MID(excPisCofins[[#This Row],[CodBarras2]],2,50)</f>
        <v/>
      </c>
    </row>
    <row r="17246" spans="9:9" x14ac:dyDescent="0.25">
      <c r="I17246" s="227" t="str">
        <f>MID(excPisCofins[[#This Row],[CodBarras2]],2,50)</f>
        <v/>
      </c>
    </row>
    <row r="17247" spans="9:9" x14ac:dyDescent="0.25">
      <c r="I17247" s="227" t="str">
        <f>MID(excPisCofins[[#This Row],[CodBarras2]],2,50)</f>
        <v/>
      </c>
    </row>
    <row r="17248" spans="9:9" x14ac:dyDescent="0.25">
      <c r="I17248" s="227" t="str">
        <f>MID(excPisCofins[[#This Row],[CodBarras2]],2,50)</f>
        <v/>
      </c>
    </row>
    <row r="17249" spans="9:9" x14ac:dyDescent="0.25">
      <c r="I17249" s="227" t="str">
        <f>MID(excPisCofins[[#This Row],[CodBarras2]],2,50)</f>
        <v/>
      </c>
    </row>
    <row r="17250" spans="9:9" x14ac:dyDescent="0.25">
      <c r="I17250" s="227" t="str">
        <f>MID(excPisCofins[[#This Row],[CodBarras2]],2,50)</f>
        <v/>
      </c>
    </row>
    <row r="17251" spans="9:9" x14ac:dyDescent="0.25">
      <c r="I17251" s="227" t="str">
        <f>MID(excPisCofins[[#This Row],[CodBarras2]],2,50)</f>
        <v/>
      </c>
    </row>
    <row r="17252" spans="9:9" x14ac:dyDescent="0.25">
      <c r="I17252" s="227" t="str">
        <f>MID(excPisCofins[[#This Row],[CodBarras2]],2,50)</f>
        <v/>
      </c>
    </row>
    <row r="17253" spans="9:9" x14ac:dyDescent="0.25">
      <c r="I17253" s="227" t="str">
        <f>MID(excPisCofins[[#This Row],[CodBarras2]],2,50)</f>
        <v/>
      </c>
    </row>
    <row r="17254" spans="9:9" x14ac:dyDescent="0.25">
      <c r="I17254" s="227" t="str">
        <f>MID(excPisCofins[[#This Row],[CodBarras2]],2,50)</f>
        <v/>
      </c>
    </row>
    <row r="17255" spans="9:9" x14ac:dyDescent="0.25">
      <c r="I17255" s="227" t="str">
        <f>MID(excPisCofins[[#This Row],[CodBarras2]],2,50)</f>
        <v/>
      </c>
    </row>
    <row r="17256" spans="9:9" x14ac:dyDescent="0.25">
      <c r="I17256" s="227" t="str">
        <f>MID(excPisCofins[[#This Row],[CodBarras2]],2,50)</f>
        <v/>
      </c>
    </row>
    <row r="17257" spans="9:9" x14ac:dyDescent="0.25">
      <c r="I17257" s="227" t="str">
        <f>MID(excPisCofins[[#This Row],[CodBarras2]],2,50)</f>
        <v/>
      </c>
    </row>
    <row r="17258" spans="9:9" x14ac:dyDescent="0.25">
      <c r="I17258" s="227" t="str">
        <f>MID(excPisCofins[[#This Row],[CodBarras2]],2,50)</f>
        <v/>
      </c>
    </row>
    <row r="17259" spans="9:9" x14ac:dyDescent="0.25">
      <c r="I17259" s="227" t="str">
        <f>MID(excPisCofins[[#This Row],[CodBarras2]],2,50)</f>
        <v/>
      </c>
    </row>
    <row r="17260" spans="9:9" x14ac:dyDescent="0.25">
      <c r="I17260" s="227" t="str">
        <f>MID(excPisCofins[[#This Row],[CodBarras2]],2,50)</f>
        <v/>
      </c>
    </row>
    <row r="17261" spans="9:9" x14ac:dyDescent="0.25">
      <c r="I17261" s="227" t="str">
        <f>MID(excPisCofins[[#This Row],[CodBarras2]],2,50)</f>
        <v/>
      </c>
    </row>
    <row r="17262" spans="9:9" x14ac:dyDescent="0.25">
      <c r="I17262" s="227" t="str">
        <f>MID(excPisCofins[[#This Row],[CodBarras2]],2,50)</f>
        <v/>
      </c>
    </row>
    <row r="17263" spans="9:9" x14ac:dyDescent="0.25">
      <c r="I17263" s="227" t="str">
        <f>MID(excPisCofins[[#This Row],[CodBarras2]],2,50)</f>
        <v/>
      </c>
    </row>
    <row r="17264" spans="9:9" x14ac:dyDescent="0.25">
      <c r="I17264" s="227" t="str">
        <f>MID(excPisCofins[[#This Row],[CodBarras2]],2,50)</f>
        <v/>
      </c>
    </row>
    <row r="17265" spans="9:9" x14ac:dyDescent="0.25">
      <c r="I17265" s="227" t="str">
        <f>MID(excPisCofins[[#This Row],[CodBarras2]],2,50)</f>
        <v/>
      </c>
    </row>
    <row r="17266" spans="9:9" x14ac:dyDescent="0.25">
      <c r="I17266" s="227" t="str">
        <f>MID(excPisCofins[[#This Row],[CodBarras2]],2,50)</f>
        <v/>
      </c>
    </row>
    <row r="17267" spans="9:9" x14ac:dyDescent="0.25">
      <c r="I17267" s="227" t="str">
        <f>MID(excPisCofins[[#This Row],[CodBarras2]],2,50)</f>
        <v/>
      </c>
    </row>
    <row r="17268" spans="9:9" x14ac:dyDescent="0.25">
      <c r="I17268" s="227" t="str">
        <f>MID(excPisCofins[[#This Row],[CodBarras2]],2,50)</f>
        <v/>
      </c>
    </row>
    <row r="17269" spans="9:9" x14ac:dyDescent="0.25">
      <c r="I17269" s="227" t="str">
        <f>MID(excPisCofins[[#This Row],[CodBarras2]],2,50)</f>
        <v/>
      </c>
    </row>
    <row r="17270" spans="9:9" x14ac:dyDescent="0.25">
      <c r="I17270" s="227" t="str">
        <f>MID(excPisCofins[[#This Row],[CodBarras2]],2,50)</f>
        <v/>
      </c>
    </row>
    <row r="17271" spans="9:9" x14ac:dyDescent="0.25">
      <c r="I17271" s="227" t="str">
        <f>MID(excPisCofins[[#This Row],[CodBarras2]],2,50)</f>
        <v/>
      </c>
    </row>
    <row r="17272" spans="9:9" x14ac:dyDescent="0.25">
      <c r="I17272" s="227" t="str">
        <f>MID(excPisCofins[[#This Row],[CodBarras2]],2,50)</f>
        <v/>
      </c>
    </row>
    <row r="17273" spans="9:9" x14ac:dyDescent="0.25">
      <c r="I17273" s="227" t="str">
        <f>MID(excPisCofins[[#This Row],[CodBarras2]],2,50)</f>
        <v/>
      </c>
    </row>
    <row r="17274" spans="9:9" x14ac:dyDescent="0.25">
      <c r="I17274" s="227" t="str">
        <f>MID(excPisCofins[[#This Row],[CodBarras2]],2,50)</f>
        <v/>
      </c>
    </row>
    <row r="17275" spans="9:9" x14ac:dyDescent="0.25">
      <c r="I17275" s="227" t="str">
        <f>MID(excPisCofins[[#This Row],[CodBarras2]],2,50)</f>
        <v/>
      </c>
    </row>
    <row r="17276" spans="9:9" x14ac:dyDescent="0.25">
      <c r="I17276" s="227" t="str">
        <f>MID(excPisCofins[[#This Row],[CodBarras2]],2,50)</f>
        <v/>
      </c>
    </row>
    <row r="17277" spans="9:9" x14ac:dyDescent="0.25">
      <c r="I17277" s="227" t="str">
        <f>MID(excPisCofins[[#This Row],[CodBarras2]],2,50)</f>
        <v/>
      </c>
    </row>
    <row r="17278" spans="9:9" x14ac:dyDescent="0.25">
      <c r="I17278" s="227" t="str">
        <f>MID(excPisCofins[[#This Row],[CodBarras2]],2,50)</f>
        <v/>
      </c>
    </row>
    <row r="17279" spans="9:9" x14ac:dyDescent="0.25">
      <c r="I17279" s="227" t="str">
        <f>MID(excPisCofins[[#This Row],[CodBarras2]],2,50)</f>
        <v/>
      </c>
    </row>
    <row r="17280" spans="9:9" x14ac:dyDescent="0.25">
      <c r="I17280" s="227" t="str">
        <f>MID(excPisCofins[[#This Row],[CodBarras2]],2,50)</f>
        <v/>
      </c>
    </row>
    <row r="17281" spans="9:9" x14ac:dyDescent="0.25">
      <c r="I17281" s="227" t="str">
        <f>MID(excPisCofins[[#This Row],[CodBarras2]],2,50)</f>
        <v/>
      </c>
    </row>
    <row r="17282" spans="9:9" x14ac:dyDescent="0.25">
      <c r="I17282" s="227" t="str">
        <f>MID(excPisCofins[[#This Row],[CodBarras2]],2,50)</f>
        <v/>
      </c>
    </row>
    <row r="17283" spans="9:9" x14ac:dyDescent="0.25">
      <c r="I17283" s="227" t="str">
        <f>MID(excPisCofins[[#This Row],[CodBarras2]],2,50)</f>
        <v/>
      </c>
    </row>
    <row r="17284" spans="9:9" x14ac:dyDescent="0.25">
      <c r="I17284" s="227" t="str">
        <f>MID(excPisCofins[[#This Row],[CodBarras2]],2,50)</f>
        <v/>
      </c>
    </row>
    <row r="17285" spans="9:9" x14ac:dyDescent="0.25">
      <c r="I17285" s="227" t="str">
        <f>MID(excPisCofins[[#This Row],[CodBarras2]],2,50)</f>
        <v/>
      </c>
    </row>
    <row r="17286" spans="9:9" x14ac:dyDescent="0.25">
      <c r="I17286" s="227" t="str">
        <f>MID(excPisCofins[[#This Row],[CodBarras2]],2,50)</f>
        <v/>
      </c>
    </row>
    <row r="17287" spans="9:9" x14ac:dyDescent="0.25">
      <c r="I17287" s="227" t="str">
        <f>MID(excPisCofins[[#This Row],[CodBarras2]],2,50)</f>
        <v/>
      </c>
    </row>
    <row r="17288" spans="9:9" x14ac:dyDescent="0.25">
      <c r="I17288" s="227" t="str">
        <f>MID(excPisCofins[[#This Row],[CodBarras2]],2,50)</f>
        <v/>
      </c>
    </row>
    <row r="17289" spans="9:9" x14ac:dyDescent="0.25">
      <c r="I17289" s="227" t="str">
        <f>MID(excPisCofins[[#This Row],[CodBarras2]],2,50)</f>
        <v/>
      </c>
    </row>
    <row r="17290" spans="9:9" x14ac:dyDescent="0.25">
      <c r="I17290" s="227" t="str">
        <f>MID(excPisCofins[[#This Row],[CodBarras2]],2,50)</f>
        <v/>
      </c>
    </row>
    <row r="17291" spans="9:9" x14ac:dyDescent="0.25">
      <c r="I17291" s="227" t="str">
        <f>MID(excPisCofins[[#This Row],[CodBarras2]],2,50)</f>
        <v/>
      </c>
    </row>
    <row r="17292" spans="9:9" x14ac:dyDescent="0.25">
      <c r="I17292" s="227" t="str">
        <f>MID(excPisCofins[[#This Row],[CodBarras2]],2,50)</f>
        <v/>
      </c>
    </row>
    <row r="17293" spans="9:9" x14ac:dyDescent="0.25">
      <c r="I17293" s="227" t="str">
        <f>MID(excPisCofins[[#This Row],[CodBarras2]],2,50)</f>
        <v/>
      </c>
    </row>
    <row r="17294" spans="9:9" x14ac:dyDescent="0.25">
      <c r="I17294" s="227" t="str">
        <f>MID(excPisCofins[[#This Row],[CodBarras2]],2,50)</f>
        <v/>
      </c>
    </row>
    <row r="17295" spans="9:9" x14ac:dyDescent="0.25">
      <c r="I17295" s="227" t="str">
        <f>MID(excPisCofins[[#This Row],[CodBarras2]],2,50)</f>
        <v/>
      </c>
    </row>
    <row r="17296" spans="9:9" x14ac:dyDescent="0.25">
      <c r="I17296" s="227" t="str">
        <f>MID(excPisCofins[[#This Row],[CodBarras2]],2,50)</f>
        <v/>
      </c>
    </row>
    <row r="17297" spans="9:9" x14ac:dyDescent="0.25">
      <c r="I17297" s="227" t="str">
        <f>MID(excPisCofins[[#This Row],[CodBarras2]],2,50)</f>
        <v/>
      </c>
    </row>
    <row r="17298" spans="9:9" x14ac:dyDescent="0.25">
      <c r="I17298" s="227" t="str">
        <f>MID(excPisCofins[[#This Row],[CodBarras2]],2,50)</f>
        <v/>
      </c>
    </row>
    <row r="17299" spans="9:9" x14ac:dyDescent="0.25">
      <c r="I17299" s="227" t="str">
        <f>MID(excPisCofins[[#This Row],[CodBarras2]],2,50)</f>
        <v/>
      </c>
    </row>
    <row r="17300" spans="9:9" x14ac:dyDescent="0.25">
      <c r="I17300" s="227" t="str">
        <f>MID(excPisCofins[[#This Row],[CodBarras2]],2,50)</f>
        <v/>
      </c>
    </row>
    <row r="17301" spans="9:9" x14ac:dyDescent="0.25">
      <c r="I17301" s="227" t="str">
        <f>MID(excPisCofins[[#This Row],[CodBarras2]],2,50)</f>
        <v/>
      </c>
    </row>
    <row r="17302" spans="9:9" x14ac:dyDescent="0.25">
      <c r="I17302" s="227" t="str">
        <f>MID(excPisCofins[[#This Row],[CodBarras2]],2,50)</f>
        <v/>
      </c>
    </row>
    <row r="17303" spans="9:9" x14ac:dyDescent="0.25">
      <c r="I17303" s="227" t="str">
        <f>MID(excPisCofins[[#This Row],[CodBarras2]],2,50)</f>
        <v/>
      </c>
    </row>
    <row r="17304" spans="9:9" x14ac:dyDescent="0.25">
      <c r="I17304" s="227" t="str">
        <f>MID(excPisCofins[[#This Row],[CodBarras2]],2,50)</f>
        <v/>
      </c>
    </row>
    <row r="17305" spans="9:9" x14ac:dyDescent="0.25">
      <c r="I17305" s="227" t="str">
        <f>MID(excPisCofins[[#This Row],[CodBarras2]],2,50)</f>
        <v/>
      </c>
    </row>
    <row r="17306" spans="9:9" x14ac:dyDescent="0.25">
      <c r="I17306" s="227" t="str">
        <f>MID(excPisCofins[[#This Row],[CodBarras2]],2,50)</f>
        <v/>
      </c>
    </row>
    <row r="17307" spans="9:9" x14ac:dyDescent="0.25">
      <c r="I17307" s="227" t="str">
        <f>MID(excPisCofins[[#This Row],[CodBarras2]],2,50)</f>
        <v/>
      </c>
    </row>
    <row r="17308" spans="9:9" x14ac:dyDescent="0.25">
      <c r="I17308" s="227" t="str">
        <f>MID(excPisCofins[[#This Row],[CodBarras2]],2,50)</f>
        <v/>
      </c>
    </row>
    <row r="17309" spans="9:9" x14ac:dyDescent="0.25">
      <c r="I17309" s="227" t="str">
        <f>MID(excPisCofins[[#This Row],[CodBarras2]],2,50)</f>
        <v/>
      </c>
    </row>
    <row r="17310" spans="9:9" x14ac:dyDescent="0.25">
      <c r="I17310" s="227" t="str">
        <f>MID(excPisCofins[[#This Row],[CodBarras2]],2,50)</f>
        <v/>
      </c>
    </row>
    <row r="17311" spans="9:9" x14ac:dyDescent="0.25">
      <c r="I17311" s="227" t="str">
        <f>MID(excPisCofins[[#This Row],[CodBarras2]],2,50)</f>
        <v/>
      </c>
    </row>
    <row r="17312" spans="9:9" x14ac:dyDescent="0.25">
      <c r="I17312" s="227" t="str">
        <f>MID(excPisCofins[[#This Row],[CodBarras2]],2,50)</f>
        <v/>
      </c>
    </row>
    <row r="17313" spans="9:9" x14ac:dyDescent="0.25">
      <c r="I17313" s="227" t="str">
        <f>MID(excPisCofins[[#This Row],[CodBarras2]],2,50)</f>
        <v/>
      </c>
    </row>
    <row r="17314" spans="9:9" x14ac:dyDescent="0.25">
      <c r="I17314" s="227" t="str">
        <f>MID(excPisCofins[[#This Row],[CodBarras2]],2,50)</f>
        <v/>
      </c>
    </row>
    <row r="17315" spans="9:9" x14ac:dyDescent="0.25">
      <c r="I17315" s="227" t="str">
        <f>MID(excPisCofins[[#This Row],[CodBarras2]],2,50)</f>
        <v/>
      </c>
    </row>
    <row r="17316" spans="9:9" x14ac:dyDescent="0.25">
      <c r="I17316" s="227" t="str">
        <f>MID(excPisCofins[[#This Row],[CodBarras2]],2,50)</f>
        <v/>
      </c>
    </row>
    <row r="17317" spans="9:9" x14ac:dyDescent="0.25">
      <c r="I17317" s="227" t="str">
        <f>MID(excPisCofins[[#This Row],[CodBarras2]],2,50)</f>
        <v/>
      </c>
    </row>
    <row r="17318" spans="9:9" x14ac:dyDescent="0.25">
      <c r="I17318" s="227" t="str">
        <f>MID(excPisCofins[[#This Row],[CodBarras2]],2,50)</f>
        <v/>
      </c>
    </row>
    <row r="17319" spans="9:9" x14ac:dyDescent="0.25">
      <c r="I17319" s="227" t="str">
        <f>MID(excPisCofins[[#This Row],[CodBarras2]],2,50)</f>
        <v/>
      </c>
    </row>
    <row r="17320" spans="9:9" x14ac:dyDescent="0.25">
      <c r="I17320" s="227" t="str">
        <f>MID(excPisCofins[[#This Row],[CodBarras2]],2,50)</f>
        <v/>
      </c>
    </row>
    <row r="17321" spans="9:9" x14ac:dyDescent="0.25">
      <c r="I17321" s="227" t="str">
        <f>MID(excPisCofins[[#This Row],[CodBarras2]],2,50)</f>
        <v/>
      </c>
    </row>
    <row r="17322" spans="9:9" x14ac:dyDescent="0.25">
      <c r="I17322" s="227" t="str">
        <f>MID(excPisCofins[[#This Row],[CodBarras2]],2,50)</f>
        <v/>
      </c>
    </row>
    <row r="17323" spans="9:9" x14ac:dyDescent="0.25">
      <c r="I17323" s="227" t="str">
        <f>MID(excPisCofins[[#This Row],[CodBarras2]],2,50)</f>
        <v/>
      </c>
    </row>
    <row r="17324" spans="9:9" x14ac:dyDescent="0.25">
      <c r="I17324" s="227" t="str">
        <f>MID(excPisCofins[[#This Row],[CodBarras2]],2,50)</f>
        <v/>
      </c>
    </row>
    <row r="17325" spans="9:9" x14ac:dyDescent="0.25">
      <c r="I17325" s="227" t="str">
        <f>MID(excPisCofins[[#This Row],[CodBarras2]],2,50)</f>
        <v/>
      </c>
    </row>
    <row r="17326" spans="9:9" x14ac:dyDescent="0.25">
      <c r="I17326" s="227" t="str">
        <f>MID(excPisCofins[[#This Row],[CodBarras2]],2,50)</f>
        <v/>
      </c>
    </row>
    <row r="17327" spans="9:9" x14ac:dyDescent="0.25">
      <c r="I17327" s="227" t="str">
        <f>MID(excPisCofins[[#This Row],[CodBarras2]],2,50)</f>
        <v/>
      </c>
    </row>
    <row r="17328" spans="9:9" x14ac:dyDescent="0.25">
      <c r="I17328" s="227" t="str">
        <f>MID(excPisCofins[[#This Row],[CodBarras2]],2,50)</f>
        <v/>
      </c>
    </row>
    <row r="17329" spans="9:9" x14ac:dyDescent="0.25">
      <c r="I17329" s="227" t="str">
        <f>MID(excPisCofins[[#This Row],[CodBarras2]],2,50)</f>
        <v/>
      </c>
    </row>
    <row r="17330" spans="9:9" x14ac:dyDescent="0.25">
      <c r="I17330" s="227" t="str">
        <f>MID(excPisCofins[[#This Row],[CodBarras2]],2,50)</f>
        <v/>
      </c>
    </row>
    <row r="17331" spans="9:9" x14ac:dyDescent="0.25">
      <c r="I17331" s="227" t="str">
        <f>MID(excPisCofins[[#This Row],[CodBarras2]],2,50)</f>
        <v/>
      </c>
    </row>
    <row r="17332" spans="9:9" x14ac:dyDescent="0.25">
      <c r="I17332" s="227" t="str">
        <f>MID(excPisCofins[[#This Row],[CodBarras2]],2,50)</f>
        <v/>
      </c>
    </row>
    <row r="17333" spans="9:9" x14ac:dyDescent="0.25">
      <c r="I17333" s="227" t="str">
        <f>MID(excPisCofins[[#This Row],[CodBarras2]],2,50)</f>
        <v/>
      </c>
    </row>
    <row r="17334" spans="9:9" x14ac:dyDescent="0.25">
      <c r="I17334" s="227" t="str">
        <f>MID(excPisCofins[[#This Row],[CodBarras2]],2,50)</f>
        <v/>
      </c>
    </row>
    <row r="17335" spans="9:9" x14ac:dyDescent="0.25">
      <c r="I17335" s="227" t="str">
        <f>MID(excPisCofins[[#This Row],[CodBarras2]],2,50)</f>
        <v/>
      </c>
    </row>
    <row r="17336" spans="9:9" x14ac:dyDescent="0.25">
      <c r="I17336" s="227" t="str">
        <f>MID(excPisCofins[[#This Row],[CodBarras2]],2,50)</f>
        <v/>
      </c>
    </row>
    <row r="17337" spans="9:9" x14ac:dyDescent="0.25">
      <c r="I17337" s="227" t="str">
        <f>MID(excPisCofins[[#This Row],[CodBarras2]],2,50)</f>
        <v/>
      </c>
    </row>
    <row r="17338" spans="9:9" x14ac:dyDescent="0.25">
      <c r="I17338" s="227" t="str">
        <f>MID(excPisCofins[[#This Row],[CodBarras2]],2,50)</f>
        <v/>
      </c>
    </row>
    <row r="17339" spans="9:9" x14ac:dyDescent="0.25">
      <c r="I17339" s="227" t="str">
        <f>MID(excPisCofins[[#This Row],[CodBarras2]],2,50)</f>
        <v/>
      </c>
    </row>
    <row r="17340" spans="9:9" x14ac:dyDescent="0.25">
      <c r="I17340" s="227" t="str">
        <f>MID(excPisCofins[[#This Row],[CodBarras2]],2,50)</f>
        <v/>
      </c>
    </row>
    <row r="17341" spans="9:9" x14ac:dyDescent="0.25">
      <c r="I17341" s="227" t="str">
        <f>MID(excPisCofins[[#This Row],[CodBarras2]],2,50)</f>
        <v/>
      </c>
    </row>
    <row r="17342" spans="9:9" x14ac:dyDescent="0.25">
      <c r="I17342" s="227" t="str">
        <f>MID(excPisCofins[[#This Row],[CodBarras2]],2,50)</f>
        <v/>
      </c>
    </row>
    <row r="17343" spans="9:9" x14ac:dyDescent="0.25">
      <c r="I17343" s="227" t="str">
        <f>MID(excPisCofins[[#This Row],[CodBarras2]],2,50)</f>
        <v/>
      </c>
    </row>
    <row r="17344" spans="9:9" x14ac:dyDescent="0.25">
      <c r="I17344" s="227" t="str">
        <f>MID(excPisCofins[[#This Row],[CodBarras2]],2,50)</f>
        <v/>
      </c>
    </row>
    <row r="17345" spans="9:9" x14ac:dyDescent="0.25">
      <c r="I17345" s="227" t="str">
        <f>MID(excPisCofins[[#This Row],[CodBarras2]],2,50)</f>
        <v/>
      </c>
    </row>
    <row r="17346" spans="9:9" x14ac:dyDescent="0.25">
      <c r="I17346" s="227" t="str">
        <f>MID(excPisCofins[[#This Row],[CodBarras2]],2,50)</f>
        <v/>
      </c>
    </row>
    <row r="17347" spans="9:9" x14ac:dyDescent="0.25">
      <c r="I17347" s="227" t="str">
        <f>MID(excPisCofins[[#This Row],[CodBarras2]],2,50)</f>
        <v/>
      </c>
    </row>
    <row r="17348" spans="9:9" x14ac:dyDescent="0.25">
      <c r="I17348" s="227" t="str">
        <f>MID(excPisCofins[[#This Row],[CodBarras2]],2,50)</f>
        <v/>
      </c>
    </row>
    <row r="17349" spans="9:9" x14ac:dyDescent="0.25">
      <c r="I17349" s="227" t="str">
        <f>MID(excPisCofins[[#This Row],[CodBarras2]],2,50)</f>
        <v/>
      </c>
    </row>
    <row r="17350" spans="9:9" x14ac:dyDescent="0.25">
      <c r="I17350" s="227" t="str">
        <f>MID(excPisCofins[[#This Row],[CodBarras2]],2,50)</f>
        <v/>
      </c>
    </row>
    <row r="17351" spans="9:9" x14ac:dyDescent="0.25">
      <c r="I17351" s="227" t="str">
        <f>MID(excPisCofins[[#This Row],[CodBarras2]],2,50)</f>
        <v/>
      </c>
    </row>
    <row r="17352" spans="9:9" x14ac:dyDescent="0.25">
      <c r="I17352" s="227" t="str">
        <f>MID(excPisCofins[[#This Row],[CodBarras2]],2,50)</f>
        <v/>
      </c>
    </row>
    <row r="17353" spans="9:9" x14ac:dyDescent="0.25">
      <c r="I17353" s="227" t="str">
        <f>MID(excPisCofins[[#This Row],[CodBarras2]],2,50)</f>
        <v/>
      </c>
    </row>
    <row r="17354" spans="9:9" x14ac:dyDescent="0.25">
      <c r="I17354" s="227" t="str">
        <f>MID(excPisCofins[[#This Row],[CodBarras2]],2,50)</f>
        <v/>
      </c>
    </row>
    <row r="17355" spans="9:9" x14ac:dyDescent="0.25">
      <c r="I17355" s="227" t="str">
        <f>MID(excPisCofins[[#This Row],[CodBarras2]],2,50)</f>
        <v/>
      </c>
    </row>
    <row r="17356" spans="9:9" x14ac:dyDescent="0.25">
      <c r="I17356" s="227" t="str">
        <f>MID(excPisCofins[[#This Row],[CodBarras2]],2,50)</f>
        <v/>
      </c>
    </row>
    <row r="17357" spans="9:9" x14ac:dyDescent="0.25">
      <c r="I17357" s="227" t="str">
        <f>MID(excPisCofins[[#This Row],[CodBarras2]],2,50)</f>
        <v/>
      </c>
    </row>
    <row r="17358" spans="9:9" x14ac:dyDescent="0.25">
      <c r="I17358" s="227" t="str">
        <f>MID(excPisCofins[[#This Row],[CodBarras2]],2,50)</f>
        <v/>
      </c>
    </row>
    <row r="17359" spans="9:9" x14ac:dyDescent="0.25">
      <c r="I17359" s="227" t="str">
        <f>MID(excPisCofins[[#This Row],[CodBarras2]],2,50)</f>
        <v/>
      </c>
    </row>
    <row r="17360" spans="9:9" x14ac:dyDescent="0.25">
      <c r="I17360" s="227" t="str">
        <f>MID(excPisCofins[[#This Row],[CodBarras2]],2,50)</f>
        <v/>
      </c>
    </row>
    <row r="17361" spans="9:9" x14ac:dyDescent="0.25">
      <c r="I17361" s="227" t="str">
        <f>MID(excPisCofins[[#This Row],[CodBarras2]],2,50)</f>
        <v/>
      </c>
    </row>
    <row r="17362" spans="9:9" x14ac:dyDescent="0.25">
      <c r="I17362" s="227" t="str">
        <f>MID(excPisCofins[[#This Row],[CodBarras2]],2,50)</f>
        <v/>
      </c>
    </row>
    <row r="17363" spans="9:9" x14ac:dyDescent="0.25">
      <c r="I17363" s="227" t="str">
        <f>MID(excPisCofins[[#This Row],[CodBarras2]],2,50)</f>
        <v/>
      </c>
    </row>
    <row r="17364" spans="9:9" x14ac:dyDescent="0.25">
      <c r="I17364" s="227" t="str">
        <f>MID(excPisCofins[[#This Row],[CodBarras2]],2,50)</f>
        <v/>
      </c>
    </row>
    <row r="17365" spans="9:9" x14ac:dyDescent="0.25">
      <c r="I17365" s="227" t="str">
        <f>MID(excPisCofins[[#This Row],[CodBarras2]],2,50)</f>
        <v/>
      </c>
    </row>
    <row r="17366" spans="9:9" x14ac:dyDescent="0.25">
      <c r="I17366" s="227" t="str">
        <f>MID(excPisCofins[[#This Row],[CodBarras2]],2,50)</f>
        <v/>
      </c>
    </row>
    <row r="17367" spans="9:9" x14ac:dyDescent="0.25">
      <c r="I17367" s="227" t="str">
        <f>MID(excPisCofins[[#This Row],[CodBarras2]],2,50)</f>
        <v/>
      </c>
    </row>
    <row r="17368" spans="9:9" x14ac:dyDescent="0.25">
      <c r="I17368" s="227" t="str">
        <f>MID(excPisCofins[[#This Row],[CodBarras2]],2,50)</f>
        <v/>
      </c>
    </row>
    <row r="17369" spans="9:9" x14ac:dyDescent="0.25">
      <c r="I17369" s="227" t="str">
        <f>MID(excPisCofins[[#This Row],[CodBarras2]],2,50)</f>
        <v/>
      </c>
    </row>
    <row r="17370" spans="9:9" x14ac:dyDescent="0.25">
      <c r="I17370" s="227" t="str">
        <f>MID(excPisCofins[[#This Row],[CodBarras2]],2,50)</f>
        <v/>
      </c>
    </row>
    <row r="17371" spans="9:9" x14ac:dyDescent="0.25">
      <c r="I17371" s="227" t="str">
        <f>MID(excPisCofins[[#This Row],[CodBarras2]],2,50)</f>
        <v/>
      </c>
    </row>
    <row r="17372" spans="9:9" x14ac:dyDescent="0.25">
      <c r="I17372" s="227" t="str">
        <f>MID(excPisCofins[[#This Row],[CodBarras2]],2,50)</f>
        <v/>
      </c>
    </row>
    <row r="17373" spans="9:9" x14ac:dyDescent="0.25">
      <c r="I17373" s="227" t="str">
        <f>MID(excPisCofins[[#This Row],[CodBarras2]],2,50)</f>
        <v/>
      </c>
    </row>
    <row r="17374" spans="9:9" x14ac:dyDescent="0.25">
      <c r="I17374" s="227" t="str">
        <f>MID(excPisCofins[[#This Row],[CodBarras2]],2,50)</f>
        <v/>
      </c>
    </row>
    <row r="17375" spans="9:9" x14ac:dyDescent="0.25">
      <c r="I17375" s="227" t="str">
        <f>MID(excPisCofins[[#This Row],[CodBarras2]],2,50)</f>
        <v/>
      </c>
    </row>
    <row r="17376" spans="9:9" x14ac:dyDescent="0.25">
      <c r="I17376" s="227" t="str">
        <f>MID(excPisCofins[[#This Row],[CodBarras2]],2,50)</f>
        <v/>
      </c>
    </row>
    <row r="17377" spans="9:9" x14ac:dyDescent="0.25">
      <c r="I17377" s="227" t="str">
        <f>MID(excPisCofins[[#This Row],[CodBarras2]],2,50)</f>
        <v/>
      </c>
    </row>
    <row r="17378" spans="9:9" x14ac:dyDescent="0.25">
      <c r="I17378" s="227" t="str">
        <f>MID(excPisCofins[[#This Row],[CodBarras2]],2,50)</f>
        <v/>
      </c>
    </row>
    <row r="17379" spans="9:9" x14ac:dyDescent="0.25">
      <c r="I17379" s="227" t="str">
        <f>MID(excPisCofins[[#This Row],[CodBarras2]],2,50)</f>
        <v/>
      </c>
    </row>
    <row r="17380" spans="9:9" x14ac:dyDescent="0.25">
      <c r="I17380" s="227" t="str">
        <f>MID(excPisCofins[[#This Row],[CodBarras2]],2,50)</f>
        <v/>
      </c>
    </row>
    <row r="17381" spans="9:9" x14ac:dyDescent="0.25">
      <c r="I17381" s="227" t="str">
        <f>MID(excPisCofins[[#This Row],[CodBarras2]],2,50)</f>
        <v/>
      </c>
    </row>
    <row r="17382" spans="9:9" x14ac:dyDescent="0.25">
      <c r="I17382" s="227" t="str">
        <f>MID(excPisCofins[[#This Row],[CodBarras2]],2,50)</f>
        <v/>
      </c>
    </row>
    <row r="17383" spans="9:9" x14ac:dyDescent="0.25">
      <c r="I17383" s="227" t="str">
        <f>MID(excPisCofins[[#This Row],[CodBarras2]],2,50)</f>
        <v/>
      </c>
    </row>
    <row r="17384" spans="9:9" x14ac:dyDescent="0.25">
      <c r="I17384" s="227" t="str">
        <f>MID(excPisCofins[[#This Row],[CodBarras2]],2,50)</f>
        <v/>
      </c>
    </row>
    <row r="17385" spans="9:9" x14ac:dyDescent="0.25">
      <c r="I17385" s="227" t="str">
        <f>MID(excPisCofins[[#This Row],[CodBarras2]],2,50)</f>
        <v/>
      </c>
    </row>
    <row r="17386" spans="9:9" x14ac:dyDescent="0.25">
      <c r="I17386" s="227" t="str">
        <f>MID(excPisCofins[[#This Row],[CodBarras2]],2,50)</f>
        <v/>
      </c>
    </row>
    <row r="17387" spans="9:9" x14ac:dyDescent="0.25">
      <c r="I17387" s="227" t="str">
        <f>MID(excPisCofins[[#This Row],[CodBarras2]],2,50)</f>
        <v/>
      </c>
    </row>
    <row r="17388" spans="9:9" x14ac:dyDescent="0.25">
      <c r="I17388" s="227" t="str">
        <f>MID(excPisCofins[[#This Row],[CodBarras2]],2,50)</f>
        <v/>
      </c>
    </row>
    <row r="17389" spans="9:9" x14ac:dyDescent="0.25">
      <c r="I17389" s="227" t="str">
        <f>MID(excPisCofins[[#This Row],[CodBarras2]],2,50)</f>
        <v/>
      </c>
    </row>
    <row r="17390" spans="9:9" x14ac:dyDescent="0.25">
      <c r="I17390" s="227" t="str">
        <f>MID(excPisCofins[[#This Row],[CodBarras2]],2,50)</f>
        <v/>
      </c>
    </row>
    <row r="17391" spans="9:9" x14ac:dyDescent="0.25">
      <c r="I17391" s="227" t="str">
        <f>MID(excPisCofins[[#This Row],[CodBarras2]],2,50)</f>
        <v/>
      </c>
    </row>
    <row r="17392" spans="9:9" x14ac:dyDescent="0.25">
      <c r="I17392" s="227" t="str">
        <f>MID(excPisCofins[[#This Row],[CodBarras2]],2,50)</f>
        <v/>
      </c>
    </row>
    <row r="17393" spans="9:9" x14ac:dyDescent="0.25">
      <c r="I17393" s="227" t="str">
        <f>MID(excPisCofins[[#This Row],[CodBarras2]],2,50)</f>
        <v/>
      </c>
    </row>
    <row r="17394" spans="9:9" x14ac:dyDescent="0.25">
      <c r="I17394" s="227" t="str">
        <f>MID(excPisCofins[[#This Row],[CodBarras2]],2,50)</f>
        <v/>
      </c>
    </row>
    <row r="17395" spans="9:9" x14ac:dyDescent="0.25">
      <c r="I17395" s="227" t="str">
        <f>MID(excPisCofins[[#This Row],[CodBarras2]],2,50)</f>
        <v/>
      </c>
    </row>
    <row r="17396" spans="9:9" x14ac:dyDescent="0.25">
      <c r="I17396" s="227" t="str">
        <f>MID(excPisCofins[[#This Row],[CodBarras2]],2,50)</f>
        <v/>
      </c>
    </row>
    <row r="17397" spans="9:9" x14ac:dyDescent="0.25">
      <c r="I17397" s="227" t="str">
        <f>MID(excPisCofins[[#This Row],[CodBarras2]],2,50)</f>
        <v/>
      </c>
    </row>
    <row r="17398" spans="9:9" x14ac:dyDescent="0.25">
      <c r="I17398" s="227" t="str">
        <f>MID(excPisCofins[[#This Row],[CodBarras2]],2,50)</f>
        <v/>
      </c>
    </row>
    <row r="17399" spans="9:9" x14ac:dyDescent="0.25">
      <c r="I17399" s="227" t="str">
        <f>MID(excPisCofins[[#This Row],[CodBarras2]],2,50)</f>
        <v/>
      </c>
    </row>
    <row r="17400" spans="9:9" x14ac:dyDescent="0.25">
      <c r="I17400" s="227" t="str">
        <f>MID(excPisCofins[[#This Row],[CodBarras2]],2,50)</f>
        <v/>
      </c>
    </row>
    <row r="17401" spans="9:9" x14ac:dyDescent="0.25">
      <c r="I17401" s="227" t="str">
        <f>MID(excPisCofins[[#This Row],[CodBarras2]],2,50)</f>
        <v/>
      </c>
    </row>
    <row r="17402" spans="9:9" x14ac:dyDescent="0.25">
      <c r="I17402" s="227" t="str">
        <f>MID(excPisCofins[[#This Row],[CodBarras2]],2,50)</f>
        <v/>
      </c>
    </row>
    <row r="17403" spans="9:9" x14ac:dyDescent="0.25">
      <c r="I17403" s="227" t="str">
        <f>MID(excPisCofins[[#This Row],[CodBarras2]],2,50)</f>
        <v/>
      </c>
    </row>
    <row r="17404" spans="9:9" x14ac:dyDescent="0.25">
      <c r="I17404" s="227" t="str">
        <f>MID(excPisCofins[[#This Row],[CodBarras2]],2,50)</f>
        <v/>
      </c>
    </row>
    <row r="17405" spans="9:9" x14ac:dyDescent="0.25">
      <c r="I17405" s="227" t="str">
        <f>MID(excPisCofins[[#This Row],[CodBarras2]],2,50)</f>
        <v/>
      </c>
    </row>
    <row r="17406" spans="9:9" x14ac:dyDescent="0.25">
      <c r="I17406" s="227" t="str">
        <f>MID(excPisCofins[[#This Row],[CodBarras2]],2,50)</f>
        <v/>
      </c>
    </row>
    <row r="17407" spans="9:9" x14ac:dyDescent="0.25">
      <c r="I17407" s="227" t="str">
        <f>MID(excPisCofins[[#This Row],[CodBarras2]],2,50)</f>
        <v/>
      </c>
    </row>
    <row r="17408" spans="9:9" x14ac:dyDescent="0.25">
      <c r="I17408" s="227" t="str">
        <f>MID(excPisCofins[[#This Row],[CodBarras2]],2,50)</f>
        <v/>
      </c>
    </row>
    <row r="17409" spans="9:9" x14ac:dyDescent="0.25">
      <c r="I17409" s="227" t="str">
        <f>MID(excPisCofins[[#This Row],[CodBarras2]],2,50)</f>
        <v/>
      </c>
    </row>
    <row r="17410" spans="9:9" x14ac:dyDescent="0.25">
      <c r="I17410" s="227" t="str">
        <f>MID(excPisCofins[[#This Row],[CodBarras2]],2,50)</f>
        <v/>
      </c>
    </row>
    <row r="17411" spans="9:9" x14ac:dyDescent="0.25">
      <c r="I17411" s="227" t="str">
        <f>MID(excPisCofins[[#This Row],[CodBarras2]],2,50)</f>
        <v/>
      </c>
    </row>
    <row r="17412" spans="9:9" x14ac:dyDescent="0.25">
      <c r="I17412" s="227" t="str">
        <f>MID(excPisCofins[[#This Row],[CodBarras2]],2,50)</f>
        <v/>
      </c>
    </row>
    <row r="17413" spans="9:9" x14ac:dyDescent="0.25">
      <c r="I17413" s="227" t="str">
        <f>MID(excPisCofins[[#This Row],[CodBarras2]],2,50)</f>
        <v/>
      </c>
    </row>
    <row r="17414" spans="9:9" x14ac:dyDescent="0.25">
      <c r="I17414" s="227" t="str">
        <f>MID(excPisCofins[[#This Row],[CodBarras2]],2,50)</f>
        <v/>
      </c>
    </row>
    <row r="17415" spans="9:9" x14ac:dyDescent="0.25">
      <c r="I17415" s="227" t="str">
        <f>MID(excPisCofins[[#This Row],[CodBarras2]],2,50)</f>
        <v/>
      </c>
    </row>
    <row r="17416" spans="9:9" x14ac:dyDescent="0.25">
      <c r="I17416" s="227" t="str">
        <f>MID(excPisCofins[[#This Row],[CodBarras2]],2,50)</f>
        <v/>
      </c>
    </row>
    <row r="17417" spans="9:9" x14ac:dyDescent="0.25">
      <c r="I17417" s="227" t="str">
        <f>MID(excPisCofins[[#This Row],[CodBarras2]],2,50)</f>
        <v/>
      </c>
    </row>
    <row r="17418" spans="9:9" x14ac:dyDescent="0.25">
      <c r="I17418" s="227" t="str">
        <f>MID(excPisCofins[[#This Row],[CodBarras2]],2,50)</f>
        <v/>
      </c>
    </row>
    <row r="17419" spans="9:9" x14ac:dyDescent="0.25">
      <c r="I17419" s="227" t="str">
        <f>MID(excPisCofins[[#This Row],[CodBarras2]],2,50)</f>
        <v/>
      </c>
    </row>
    <row r="17420" spans="9:9" x14ac:dyDescent="0.25">
      <c r="I17420" s="227" t="str">
        <f>MID(excPisCofins[[#This Row],[CodBarras2]],2,50)</f>
        <v/>
      </c>
    </row>
    <row r="17421" spans="9:9" x14ac:dyDescent="0.25">
      <c r="I17421" s="227" t="str">
        <f>MID(excPisCofins[[#This Row],[CodBarras2]],2,50)</f>
        <v/>
      </c>
    </row>
    <row r="17422" spans="9:9" x14ac:dyDescent="0.25">
      <c r="I17422" s="227" t="str">
        <f>MID(excPisCofins[[#This Row],[CodBarras2]],2,50)</f>
        <v/>
      </c>
    </row>
    <row r="17423" spans="9:9" x14ac:dyDescent="0.25">
      <c r="I17423" s="227" t="str">
        <f>MID(excPisCofins[[#This Row],[CodBarras2]],2,50)</f>
        <v/>
      </c>
    </row>
    <row r="17424" spans="9:9" x14ac:dyDescent="0.25">
      <c r="I17424" s="227" t="str">
        <f>MID(excPisCofins[[#This Row],[CodBarras2]],2,50)</f>
        <v/>
      </c>
    </row>
    <row r="17425" spans="9:9" x14ac:dyDescent="0.25">
      <c r="I17425" s="227" t="str">
        <f>MID(excPisCofins[[#This Row],[CodBarras2]],2,50)</f>
        <v/>
      </c>
    </row>
    <row r="17426" spans="9:9" x14ac:dyDescent="0.25">
      <c r="I17426" s="227" t="str">
        <f>MID(excPisCofins[[#This Row],[CodBarras2]],2,50)</f>
        <v/>
      </c>
    </row>
    <row r="17427" spans="9:9" x14ac:dyDescent="0.25">
      <c r="I17427" s="227" t="str">
        <f>MID(excPisCofins[[#This Row],[CodBarras2]],2,50)</f>
        <v/>
      </c>
    </row>
    <row r="17428" spans="9:9" x14ac:dyDescent="0.25">
      <c r="I17428" s="227" t="str">
        <f>MID(excPisCofins[[#This Row],[CodBarras2]],2,50)</f>
        <v/>
      </c>
    </row>
    <row r="17429" spans="9:9" x14ac:dyDescent="0.25">
      <c r="I17429" s="227" t="str">
        <f>MID(excPisCofins[[#This Row],[CodBarras2]],2,50)</f>
        <v/>
      </c>
    </row>
    <row r="17430" spans="9:9" x14ac:dyDescent="0.25">
      <c r="I17430" s="227" t="str">
        <f>MID(excPisCofins[[#This Row],[CodBarras2]],2,50)</f>
        <v/>
      </c>
    </row>
    <row r="17431" spans="9:9" x14ac:dyDescent="0.25">
      <c r="I17431" s="227" t="str">
        <f>MID(excPisCofins[[#This Row],[CodBarras2]],2,50)</f>
        <v/>
      </c>
    </row>
    <row r="17432" spans="9:9" x14ac:dyDescent="0.25">
      <c r="I17432" s="227" t="str">
        <f>MID(excPisCofins[[#This Row],[CodBarras2]],2,50)</f>
        <v/>
      </c>
    </row>
    <row r="17433" spans="9:9" x14ac:dyDescent="0.25">
      <c r="I17433" s="227" t="str">
        <f>MID(excPisCofins[[#This Row],[CodBarras2]],2,50)</f>
        <v/>
      </c>
    </row>
    <row r="17434" spans="9:9" x14ac:dyDescent="0.25">
      <c r="I17434" s="227" t="str">
        <f>MID(excPisCofins[[#This Row],[CodBarras2]],2,50)</f>
        <v/>
      </c>
    </row>
    <row r="17435" spans="9:9" x14ac:dyDescent="0.25">
      <c r="I17435" s="227" t="str">
        <f>MID(excPisCofins[[#This Row],[CodBarras2]],2,50)</f>
        <v/>
      </c>
    </row>
    <row r="17436" spans="9:9" x14ac:dyDescent="0.25">
      <c r="I17436" s="227" t="str">
        <f>MID(excPisCofins[[#This Row],[CodBarras2]],2,50)</f>
        <v/>
      </c>
    </row>
    <row r="17437" spans="9:9" x14ac:dyDescent="0.25">
      <c r="I17437" s="227" t="str">
        <f>MID(excPisCofins[[#This Row],[CodBarras2]],2,50)</f>
        <v/>
      </c>
    </row>
    <row r="17438" spans="9:9" x14ac:dyDescent="0.25">
      <c r="I17438" s="227" t="str">
        <f>MID(excPisCofins[[#This Row],[CodBarras2]],2,50)</f>
        <v/>
      </c>
    </row>
    <row r="17439" spans="9:9" x14ac:dyDescent="0.25">
      <c r="I17439" s="227" t="str">
        <f>MID(excPisCofins[[#This Row],[CodBarras2]],2,50)</f>
        <v/>
      </c>
    </row>
    <row r="17440" spans="9:9" x14ac:dyDescent="0.25">
      <c r="I17440" s="227" t="str">
        <f>MID(excPisCofins[[#This Row],[CodBarras2]],2,50)</f>
        <v/>
      </c>
    </row>
    <row r="17441" spans="9:9" x14ac:dyDescent="0.25">
      <c r="I17441" s="227" t="str">
        <f>MID(excPisCofins[[#This Row],[CodBarras2]],2,50)</f>
        <v/>
      </c>
    </row>
    <row r="17442" spans="9:9" x14ac:dyDescent="0.25">
      <c r="I17442" s="227" t="str">
        <f>MID(excPisCofins[[#This Row],[CodBarras2]],2,50)</f>
        <v/>
      </c>
    </row>
    <row r="17443" spans="9:9" x14ac:dyDescent="0.25">
      <c r="I17443" s="227" t="str">
        <f>MID(excPisCofins[[#This Row],[CodBarras2]],2,50)</f>
        <v/>
      </c>
    </row>
    <row r="17444" spans="9:9" x14ac:dyDescent="0.25">
      <c r="I17444" s="227" t="str">
        <f>MID(excPisCofins[[#This Row],[CodBarras2]],2,50)</f>
        <v/>
      </c>
    </row>
    <row r="17445" spans="9:9" x14ac:dyDescent="0.25">
      <c r="I17445" s="227" t="str">
        <f>MID(excPisCofins[[#This Row],[CodBarras2]],2,50)</f>
        <v/>
      </c>
    </row>
    <row r="17446" spans="9:9" x14ac:dyDescent="0.25">
      <c r="I17446" s="227" t="str">
        <f>MID(excPisCofins[[#This Row],[CodBarras2]],2,50)</f>
        <v/>
      </c>
    </row>
    <row r="17447" spans="9:9" x14ac:dyDescent="0.25">
      <c r="I17447" s="227" t="str">
        <f>MID(excPisCofins[[#This Row],[CodBarras2]],2,50)</f>
        <v/>
      </c>
    </row>
    <row r="17448" spans="9:9" x14ac:dyDescent="0.25">
      <c r="I17448" s="227" t="str">
        <f>MID(excPisCofins[[#This Row],[CodBarras2]],2,50)</f>
        <v/>
      </c>
    </row>
    <row r="17449" spans="9:9" x14ac:dyDescent="0.25">
      <c r="I17449" s="227" t="str">
        <f>MID(excPisCofins[[#This Row],[CodBarras2]],2,50)</f>
        <v/>
      </c>
    </row>
    <row r="17450" spans="9:9" x14ac:dyDescent="0.25">
      <c r="I17450" s="227" t="str">
        <f>MID(excPisCofins[[#This Row],[CodBarras2]],2,50)</f>
        <v/>
      </c>
    </row>
    <row r="17451" spans="9:9" x14ac:dyDescent="0.25">
      <c r="I17451" s="227" t="str">
        <f>MID(excPisCofins[[#This Row],[CodBarras2]],2,50)</f>
        <v/>
      </c>
    </row>
    <row r="17452" spans="9:9" x14ac:dyDescent="0.25">
      <c r="I17452" s="227" t="str">
        <f>MID(excPisCofins[[#This Row],[CodBarras2]],2,50)</f>
        <v/>
      </c>
    </row>
    <row r="17453" spans="9:9" x14ac:dyDescent="0.25">
      <c r="I17453" s="227" t="str">
        <f>MID(excPisCofins[[#This Row],[CodBarras2]],2,50)</f>
        <v/>
      </c>
    </row>
    <row r="17454" spans="9:9" x14ac:dyDescent="0.25">
      <c r="I17454" s="227" t="str">
        <f>MID(excPisCofins[[#This Row],[CodBarras2]],2,50)</f>
        <v/>
      </c>
    </row>
    <row r="17455" spans="9:9" x14ac:dyDescent="0.25">
      <c r="I17455" s="227" t="str">
        <f>MID(excPisCofins[[#This Row],[CodBarras2]],2,50)</f>
        <v/>
      </c>
    </row>
    <row r="17456" spans="9:9" x14ac:dyDescent="0.25">
      <c r="I17456" s="227" t="str">
        <f>MID(excPisCofins[[#This Row],[CodBarras2]],2,50)</f>
        <v/>
      </c>
    </row>
    <row r="17457" spans="9:9" x14ac:dyDescent="0.25">
      <c r="I17457" s="227" t="str">
        <f>MID(excPisCofins[[#This Row],[CodBarras2]],2,50)</f>
        <v/>
      </c>
    </row>
    <row r="17458" spans="9:9" x14ac:dyDescent="0.25">
      <c r="I17458" s="227" t="str">
        <f>MID(excPisCofins[[#This Row],[CodBarras2]],2,50)</f>
        <v/>
      </c>
    </row>
    <row r="17459" spans="9:9" x14ac:dyDescent="0.25">
      <c r="I17459" s="227" t="str">
        <f>MID(excPisCofins[[#This Row],[CodBarras2]],2,50)</f>
        <v/>
      </c>
    </row>
    <row r="17460" spans="9:9" x14ac:dyDescent="0.25">
      <c r="I17460" s="227" t="str">
        <f>MID(excPisCofins[[#This Row],[CodBarras2]],2,50)</f>
        <v/>
      </c>
    </row>
    <row r="17461" spans="9:9" x14ac:dyDescent="0.25">
      <c r="I17461" s="227" t="str">
        <f>MID(excPisCofins[[#This Row],[CodBarras2]],2,50)</f>
        <v/>
      </c>
    </row>
    <row r="17462" spans="9:9" x14ac:dyDescent="0.25">
      <c r="I17462" s="227" t="str">
        <f>MID(excPisCofins[[#This Row],[CodBarras2]],2,50)</f>
        <v/>
      </c>
    </row>
    <row r="17463" spans="9:9" x14ac:dyDescent="0.25">
      <c r="I17463" s="227" t="str">
        <f>MID(excPisCofins[[#This Row],[CodBarras2]],2,50)</f>
        <v/>
      </c>
    </row>
    <row r="17464" spans="9:9" x14ac:dyDescent="0.25">
      <c r="I17464" s="227" t="str">
        <f>MID(excPisCofins[[#This Row],[CodBarras2]],2,50)</f>
        <v/>
      </c>
    </row>
    <row r="17465" spans="9:9" x14ac:dyDescent="0.25">
      <c r="I17465" s="227" t="str">
        <f>MID(excPisCofins[[#This Row],[CodBarras2]],2,50)</f>
        <v/>
      </c>
    </row>
    <row r="17466" spans="9:9" x14ac:dyDescent="0.25">
      <c r="I17466" s="227" t="str">
        <f>MID(excPisCofins[[#This Row],[CodBarras2]],2,50)</f>
        <v/>
      </c>
    </row>
    <row r="17467" spans="9:9" x14ac:dyDescent="0.25">
      <c r="I17467" s="227" t="str">
        <f>MID(excPisCofins[[#This Row],[CodBarras2]],2,50)</f>
        <v/>
      </c>
    </row>
    <row r="17468" spans="9:9" x14ac:dyDescent="0.25">
      <c r="I17468" s="227" t="str">
        <f>MID(excPisCofins[[#This Row],[CodBarras2]],2,50)</f>
        <v/>
      </c>
    </row>
    <row r="17469" spans="9:9" x14ac:dyDescent="0.25">
      <c r="I17469" s="227" t="str">
        <f>MID(excPisCofins[[#This Row],[CodBarras2]],2,50)</f>
        <v/>
      </c>
    </row>
    <row r="17470" spans="9:9" x14ac:dyDescent="0.25">
      <c r="I17470" s="227" t="str">
        <f>MID(excPisCofins[[#This Row],[CodBarras2]],2,50)</f>
        <v/>
      </c>
    </row>
    <row r="17471" spans="9:9" x14ac:dyDescent="0.25">
      <c r="I17471" s="227" t="str">
        <f>MID(excPisCofins[[#This Row],[CodBarras2]],2,50)</f>
        <v/>
      </c>
    </row>
    <row r="17472" spans="9:9" x14ac:dyDescent="0.25">
      <c r="I17472" s="227" t="str">
        <f>MID(excPisCofins[[#This Row],[CodBarras2]],2,50)</f>
        <v/>
      </c>
    </row>
    <row r="17473" spans="9:9" x14ac:dyDescent="0.25">
      <c r="I17473" s="227" t="str">
        <f>MID(excPisCofins[[#This Row],[CodBarras2]],2,50)</f>
        <v/>
      </c>
    </row>
    <row r="17474" spans="9:9" x14ac:dyDescent="0.25">
      <c r="I17474" s="227" t="str">
        <f>MID(excPisCofins[[#This Row],[CodBarras2]],2,50)</f>
        <v/>
      </c>
    </row>
    <row r="17475" spans="9:9" x14ac:dyDescent="0.25">
      <c r="I17475" s="227" t="str">
        <f>MID(excPisCofins[[#This Row],[CodBarras2]],2,50)</f>
        <v/>
      </c>
    </row>
    <row r="17476" spans="9:9" x14ac:dyDescent="0.25">
      <c r="I17476" s="227" t="str">
        <f>MID(excPisCofins[[#This Row],[CodBarras2]],2,50)</f>
        <v/>
      </c>
    </row>
    <row r="17477" spans="9:9" x14ac:dyDescent="0.25">
      <c r="I17477" s="227" t="str">
        <f>MID(excPisCofins[[#This Row],[CodBarras2]],2,50)</f>
        <v/>
      </c>
    </row>
    <row r="17478" spans="9:9" x14ac:dyDescent="0.25">
      <c r="I17478" s="227" t="str">
        <f>MID(excPisCofins[[#This Row],[CodBarras2]],2,50)</f>
        <v/>
      </c>
    </row>
    <row r="17479" spans="9:9" x14ac:dyDescent="0.25">
      <c r="I17479" s="227" t="str">
        <f>MID(excPisCofins[[#This Row],[CodBarras2]],2,50)</f>
        <v/>
      </c>
    </row>
    <row r="17480" spans="9:9" x14ac:dyDescent="0.25">
      <c r="I17480" s="227" t="str">
        <f>MID(excPisCofins[[#This Row],[CodBarras2]],2,50)</f>
        <v/>
      </c>
    </row>
    <row r="17481" spans="9:9" x14ac:dyDescent="0.25">
      <c r="I17481" s="227" t="str">
        <f>MID(excPisCofins[[#This Row],[CodBarras2]],2,50)</f>
        <v/>
      </c>
    </row>
    <row r="17482" spans="9:9" x14ac:dyDescent="0.25">
      <c r="I17482" s="227" t="str">
        <f>MID(excPisCofins[[#This Row],[CodBarras2]],2,50)</f>
        <v/>
      </c>
    </row>
    <row r="17483" spans="9:9" x14ac:dyDescent="0.25">
      <c r="I17483" s="227" t="str">
        <f>MID(excPisCofins[[#This Row],[CodBarras2]],2,50)</f>
        <v/>
      </c>
    </row>
    <row r="17484" spans="9:9" x14ac:dyDescent="0.25">
      <c r="I17484" s="227" t="str">
        <f>MID(excPisCofins[[#This Row],[CodBarras2]],2,50)</f>
        <v/>
      </c>
    </row>
    <row r="17485" spans="9:9" x14ac:dyDescent="0.25">
      <c r="I17485" s="227" t="str">
        <f>MID(excPisCofins[[#This Row],[CodBarras2]],2,50)</f>
        <v/>
      </c>
    </row>
    <row r="17486" spans="9:9" x14ac:dyDescent="0.25">
      <c r="I17486" s="227" t="str">
        <f>MID(excPisCofins[[#This Row],[CodBarras2]],2,50)</f>
        <v/>
      </c>
    </row>
    <row r="17487" spans="9:9" x14ac:dyDescent="0.25">
      <c r="I17487" s="227" t="str">
        <f>MID(excPisCofins[[#This Row],[CodBarras2]],2,50)</f>
        <v/>
      </c>
    </row>
    <row r="17488" spans="9:9" x14ac:dyDescent="0.25">
      <c r="I17488" s="227" t="str">
        <f>MID(excPisCofins[[#This Row],[CodBarras2]],2,50)</f>
        <v/>
      </c>
    </row>
    <row r="17489" spans="9:9" x14ac:dyDescent="0.25">
      <c r="I17489" s="227" t="str">
        <f>MID(excPisCofins[[#This Row],[CodBarras2]],2,50)</f>
        <v/>
      </c>
    </row>
    <row r="17490" spans="9:9" x14ac:dyDescent="0.25">
      <c r="I17490" s="227" t="str">
        <f>MID(excPisCofins[[#This Row],[CodBarras2]],2,50)</f>
        <v/>
      </c>
    </row>
    <row r="17491" spans="9:9" x14ac:dyDescent="0.25">
      <c r="I17491" s="227" t="str">
        <f>MID(excPisCofins[[#This Row],[CodBarras2]],2,50)</f>
        <v/>
      </c>
    </row>
    <row r="17492" spans="9:9" x14ac:dyDescent="0.25">
      <c r="I17492" s="227" t="str">
        <f>MID(excPisCofins[[#This Row],[CodBarras2]],2,50)</f>
        <v/>
      </c>
    </row>
    <row r="17493" spans="9:9" x14ac:dyDescent="0.25">
      <c r="I17493" s="227" t="str">
        <f>MID(excPisCofins[[#This Row],[CodBarras2]],2,50)</f>
        <v/>
      </c>
    </row>
    <row r="17494" spans="9:9" x14ac:dyDescent="0.25">
      <c r="I17494" s="227" t="str">
        <f>MID(excPisCofins[[#This Row],[CodBarras2]],2,50)</f>
        <v/>
      </c>
    </row>
    <row r="17495" spans="9:9" x14ac:dyDescent="0.25">
      <c r="I17495" s="227" t="str">
        <f>MID(excPisCofins[[#This Row],[CodBarras2]],2,50)</f>
        <v/>
      </c>
    </row>
    <row r="17496" spans="9:9" x14ac:dyDescent="0.25">
      <c r="I17496" s="227" t="str">
        <f>MID(excPisCofins[[#This Row],[CodBarras2]],2,50)</f>
        <v/>
      </c>
    </row>
    <row r="17497" spans="9:9" x14ac:dyDescent="0.25">
      <c r="I17497" s="227" t="str">
        <f>MID(excPisCofins[[#This Row],[CodBarras2]],2,50)</f>
        <v/>
      </c>
    </row>
    <row r="17498" spans="9:9" x14ac:dyDescent="0.25">
      <c r="I17498" s="227" t="str">
        <f>MID(excPisCofins[[#This Row],[CodBarras2]],2,50)</f>
        <v/>
      </c>
    </row>
    <row r="17499" spans="9:9" x14ac:dyDescent="0.25">
      <c r="I17499" s="227" t="str">
        <f>MID(excPisCofins[[#This Row],[CodBarras2]],2,50)</f>
        <v/>
      </c>
    </row>
    <row r="17500" spans="9:9" x14ac:dyDescent="0.25">
      <c r="I17500" s="227" t="str">
        <f>MID(excPisCofins[[#This Row],[CodBarras2]],2,50)</f>
        <v/>
      </c>
    </row>
    <row r="17501" spans="9:9" x14ac:dyDescent="0.25">
      <c r="I17501" s="227" t="str">
        <f>MID(excPisCofins[[#This Row],[CodBarras2]],2,50)</f>
        <v/>
      </c>
    </row>
    <row r="17502" spans="9:9" x14ac:dyDescent="0.25">
      <c r="I17502" s="227" t="str">
        <f>MID(excPisCofins[[#This Row],[CodBarras2]],2,50)</f>
        <v/>
      </c>
    </row>
    <row r="17503" spans="9:9" x14ac:dyDescent="0.25">
      <c r="I17503" s="227" t="str">
        <f>MID(excPisCofins[[#This Row],[CodBarras2]],2,50)</f>
        <v/>
      </c>
    </row>
    <row r="17504" spans="9:9" x14ac:dyDescent="0.25">
      <c r="I17504" s="227" t="str">
        <f>MID(excPisCofins[[#This Row],[CodBarras2]],2,50)</f>
        <v/>
      </c>
    </row>
    <row r="17505" spans="9:9" x14ac:dyDescent="0.25">
      <c r="I17505" s="227" t="str">
        <f>MID(excPisCofins[[#This Row],[CodBarras2]],2,50)</f>
        <v/>
      </c>
    </row>
    <row r="17506" spans="9:9" x14ac:dyDescent="0.25">
      <c r="I17506" s="227" t="str">
        <f>MID(excPisCofins[[#This Row],[CodBarras2]],2,50)</f>
        <v/>
      </c>
    </row>
    <row r="17507" spans="9:9" x14ac:dyDescent="0.25">
      <c r="I17507" s="227" t="str">
        <f>MID(excPisCofins[[#This Row],[CodBarras2]],2,50)</f>
        <v/>
      </c>
    </row>
    <row r="17508" spans="9:9" x14ac:dyDescent="0.25">
      <c r="I17508" s="227" t="str">
        <f>MID(excPisCofins[[#This Row],[CodBarras2]],2,50)</f>
        <v/>
      </c>
    </row>
    <row r="17509" spans="9:9" x14ac:dyDescent="0.25">
      <c r="I17509" s="227" t="str">
        <f>MID(excPisCofins[[#This Row],[CodBarras2]],2,50)</f>
        <v/>
      </c>
    </row>
    <row r="17510" spans="9:9" x14ac:dyDescent="0.25">
      <c r="I17510" s="227" t="str">
        <f>MID(excPisCofins[[#This Row],[CodBarras2]],2,50)</f>
        <v/>
      </c>
    </row>
    <row r="17511" spans="9:9" x14ac:dyDescent="0.25">
      <c r="I17511" s="227" t="str">
        <f>MID(excPisCofins[[#This Row],[CodBarras2]],2,50)</f>
        <v/>
      </c>
    </row>
    <row r="17512" spans="9:9" x14ac:dyDescent="0.25">
      <c r="I17512" s="227" t="str">
        <f>MID(excPisCofins[[#This Row],[CodBarras2]],2,50)</f>
        <v/>
      </c>
    </row>
    <row r="17513" spans="9:9" x14ac:dyDescent="0.25">
      <c r="I17513" s="227" t="str">
        <f>MID(excPisCofins[[#This Row],[CodBarras2]],2,50)</f>
        <v/>
      </c>
    </row>
    <row r="17514" spans="9:9" x14ac:dyDescent="0.25">
      <c r="I17514" s="227" t="str">
        <f>MID(excPisCofins[[#This Row],[CodBarras2]],2,50)</f>
        <v/>
      </c>
    </row>
    <row r="17515" spans="9:9" x14ac:dyDescent="0.25">
      <c r="I17515" s="227" t="str">
        <f>MID(excPisCofins[[#This Row],[CodBarras2]],2,50)</f>
        <v/>
      </c>
    </row>
    <row r="17516" spans="9:9" x14ac:dyDescent="0.25">
      <c r="I17516" s="227" t="str">
        <f>MID(excPisCofins[[#This Row],[CodBarras2]],2,50)</f>
        <v/>
      </c>
    </row>
    <row r="17517" spans="9:9" x14ac:dyDescent="0.25">
      <c r="I17517" s="227" t="str">
        <f>MID(excPisCofins[[#This Row],[CodBarras2]],2,50)</f>
        <v/>
      </c>
    </row>
    <row r="17518" spans="9:9" x14ac:dyDescent="0.25">
      <c r="I17518" s="227" t="str">
        <f>MID(excPisCofins[[#This Row],[CodBarras2]],2,50)</f>
        <v/>
      </c>
    </row>
    <row r="17519" spans="9:9" x14ac:dyDescent="0.25">
      <c r="I17519" s="227" t="str">
        <f>MID(excPisCofins[[#This Row],[CodBarras2]],2,50)</f>
        <v/>
      </c>
    </row>
    <row r="17520" spans="9:9" x14ac:dyDescent="0.25">
      <c r="I17520" s="227" t="str">
        <f>MID(excPisCofins[[#This Row],[CodBarras2]],2,50)</f>
        <v/>
      </c>
    </row>
    <row r="17521" spans="9:9" x14ac:dyDescent="0.25">
      <c r="I17521" s="227" t="str">
        <f>MID(excPisCofins[[#This Row],[CodBarras2]],2,50)</f>
        <v/>
      </c>
    </row>
    <row r="17522" spans="9:9" x14ac:dyDescent="0.25">
      <c r="I17522" s="227" t="str">
        <f>MID(excPisCofins[[#This Row],[CodBarras2]],2,50)</f>
        <v/>
      </c>
    </row>
    <row r="17523" spans="9:9" x14ac:dyDescent="0.25">
      <c r="I17523" s="227" t="str">
        <f>MID(excPisCofins[[#This Row],[CodBarras2]],2,50)</f>
        <v/>
      </c>
    </row>
    <row r="17524" spans="9:9" x14ac:dyDescent="0.25">
      <c r="I17524" s="227" t="str">
        <f>MID(excPisCofins[[#This Row],[CodBarras2]],2,50)</f>
        <v/>
      </c>
    </row>
    <row r="17525" spans="9:9" x14ac:dyDescent="0.25">
      <c r="I17525" s="227" t="str">
        <f>MID(excPisCofins[[#This Row],[CodBarras2]],2,50)</f>
        <v/>
      </c>
    </row>
    <row r="17526" spans="9:9" x14ac:dyDescent="0.25">
      <c r="I17526" s="227" t="str">
        <f>MID(excPisCofins[[#This Row],[CodBarras2]],2,50)</f>
        <v/>
      </c>
    </row>
    <row r="17527" spans="9:9" x14ac:dyDescent="0.25">
      <c r="I17527" s="227" t="str">
        <f>MID(excPisCofins[[#This Row],[CodBarras2]],2,50)</f>
        <v/>
      </c>
    </row>
    <row r="17528" spans="9:9" x14ac:dyDescent="0.25">
      <c r="I17528" s="227" t="str">
        <f>MID(excPisCofins[[#This Row],[CodBarras2]],2,50)</f>
        <v/>
      </c>
    </row>
    <row r="17529" spans="9:9" x14ac:dyDescent="0.25">
      <c r="I17529" s="227" t="str">
        <f>MID(excPisCofins[[#This Row],[CodBarras2]],2,50)</f>
        <v/>
      </c>
    </row>
    <row r="17530" spans="9:9" x14ac:dyDescent="0.25">
      <c r="I17530" s="227" t="str">
        <f>MID(excPisCofins[[#This Row],[CodBarras2]],2,50)</f>
        <v/>
      </c>
    </row>
    <row r="17531" spans="9:9" x14ac:dyDescent="0.25">
      <c r="I17531" s="227" t="str">
        <f>MID(excPisCofins[[#This Row],[CodBarras2]],2,50)</f>
        <v/>
      </c>
    </row>
    <row r="17532" spans="9:9" x14ac:dyDescent="0.25">
      <c r="I17532" s="227" t="str">
        <f>MID(excPisCofins[[#This Row],[CodBarras2]],2,50)</f>
        <v/>
      </c>
    </row>
    <row r="17533" spans="9:9" x14ac:dyDescent="0.25">
      <c r="I17533" s="227" t="str">
        <f>MID(excPisCofins[[#This Row],[CodBarras2]],2,50)</f>
        <v/>
      </c>
    </row>
    <row r="17534" spans="9:9" x14ac:dyDescent="0.25">
      <c r="I17534" s="227" t="str">
        <f>MID(excPisCofins[[#This Row],[CodBarras2]],2,50)</f>
        <v/>
      </c>
    </row>
    <row r="17535" spans="9:9" x14ac:dyDescent="0.25">
      <c r="I17535" s="227" t="str">
        <f>MID(excPisCofins[[#This Row],[CodBarras2]],2,50)</f>
        <v/>
      </c>
    </row>
    <row r="17536" spans="9:9" x14ac:dyDescent="0.25">
      <c r="I17536" s="227" t="str">
        <f>MID(excPisCofins[[#This Row],[CodBarras2]],2,50)</f>
        <v/>
      </c>
    </row>
    <row r="17537" spans="9:9" x14ac:dyDescent="0.25">
      <c r="I17537" s="227" t="str">
        <f>MID(excPisCofins[[#This Row],[CodBarras2]],2,50)</f>
        <v/>
      </c>
    </row>
    <row r="17538" spans="9:9" x14ac:dyDescent="0.25">
      <c r="I17538" s="227" t="str">
        <f>MID(excPisCofins[[#This Row],[CodBarras2]],2,50)</f>
        <v/>
      </c>
    </row>
    <row r="17539" spans="9:9" x14ac:dyDescent="0.25">
      <c r="I17539" s="227" t="str">
        <f>MID(excPisCofins[[#This Row],[CodBarras2]],2,50)</f>
        <v/>
      </c>
    </row>
    <row r="17540" spans="9:9" x14ac:dyDescent="0.25">
      <c r="I17540" s="227" t="str">
        <f>MID(excPisCofins[[#This Row],[CodBarras2]],2,50)</f>
        <v/>
      </c>
    </row>
    <row r="17541" spans="9:9" x14ac:dyDescent="0.25">
      <c r="I17541" s="227" t="str">
        <f>MID(excPisCofins[[#This Row],[CodBarras2]],2,50)</f>
        <v/>
      </c>
    </row>
    <row r="17542" spans="9:9" x14ac:dyDescent="0.25">
      <c r="I17542" s="227" t="str">
        <f>MID(excPisCofins[[#This Row],[CodBarras2]],2,50)</f>
        <v/>
      </c>
    </row>
    <row r="17543" spans="9:9" x14ac:dyDescent="0.25">
      <c r="I17543" s="227" t="str">
        <f>MID(excPisCofins[[#This Row],[CodBarras2]],2,50)</f>
        <v/>
      </c>
    </row>
    <row r="17544" spans="9:9" x14ac:dyDescent="0.25">
      <c r="I17544" s="227" t="str">
        <f>MID(excPisCofins[[#This Row],[CodBarras2]],2,50)</f>
        <v/>
      </c>
    </row>
    <row r="17545" spans="9:9" x14ac:dyDescent="0.25">
      <c r="I17545" s="227" t="str">
        <f>MID(excPisCofins[[#This Row],[CodBarras2]],2,50)</f>
        <v/>
      </c>
    </row>
    <row r="17546" spans="9:9" x14ac:dyDescent="0.25">
      <c r="I17546" s="227" t="str">
        <f>MID(excPisCofins[[#This Row],[CodBarras2]],2,50)</f>
        <v/>
      </c>
    </row>
    <row r="17547" spans="9:9" x14ac:dyDescent="0.25">
      <c r="I17547" s="227" t="str">
        <f>MID(excPisCofins[[#This Row],[CodBarras2]],2,50)</f>
        <v/>
      </c>
    </row>
    <row r="17548" spans="9:9" x14ac:dyDescent="0.25">
      <c r="I17548" s="227" t="str">
        <f>MID(excPisCofins[[#This Row],[CodBarras2]],2,50)</f>
        <v/>
      </c>
    </row>
    <row r="17549" spans="9:9" x14ac:dyDescent="0.25">
      <c r="I17549" s="227" t="str">
        <f>MID(excPisCofins[[#This Row],[CodBarras2]],2,50)</f>
        <v/>
      </c>
    </row>
    <row r="17550" spans="9:9" x14ac:dyDescent="0.25">
      <c r="I17550" s="227" t="str">
        <f>MID(excPisCofins[[#This Row],[CodBarras2]],2,50)</f>
        <v/>
      </c>
    </row>
    <row r="17551" spans="9:9" x14ac:dyDescent="0.25">
      <c r="I17551" s="227" t="str">
        <f>MID(excPisCofins[[#This Row],[CodBarras2]],2,50)</f>
        <v/>
      </c>
    </row>
    <row r="17552" spans="9:9" x14ac:dyDescent="0.25">
      <c r="I17552" s="227" t="str">
        <f>MID(excPisCofins[[#This Row],[CodBarras2]],2,50)</f>
        <v/>
      </c>
    </row>
    <row r="17553" spans="9:9" x14ac:dyDescent="0.25">
      <c r="I17553" s="227" t="str">
        <f>MID(excPisCofins[[#This Row],[CodBarras2]],2,50)</f>
        <v/>
      </c>
    </row>
    <row r="17554" spans="9:9" x14ac:dyDescent="0.25">
      <c r="I17554" s="227" t="str">
        <f>MID(excPisCofins[[#This Row],[CodBarras2]],2,50)</f>
        <v/>
      </c>
    </row>
    <row r="17555" spans="9:9" x14ac:dyDescent="0.25">
      <c r="I17555" s="227" t="str">
        <f>MID(excPisCofins[[#This Row],[CodBarras2]],2,50)</f>
        <v/>
      </c>
    </row>
    <row r="17556" spans="9:9" x14ac:dyDescent="0.25">
      <c r="I17556" s="227" t="str">
        <f>MID(excPisCofins[[#This Row],[CodBarras2]],2,50)</f>
        <v/>
      </c>
    </row>
    <row r="17557" spans="9:9" x14ac:dyDescent="0.25">
      <c r="I17557" s="227" t="str">
        <f>MID(excPisCofins[[#This Row],[CodBarras2]],2,50)</f>
        <v/>
      </c>
    </row>
    <row r="17558" spans="9:9" x14ac:dyDescent="0.25">
      <c r="I17558" s="227" t="str">
        <f>MID(excPisCofins[[#This Row],[CodBarras2]],2,50)</f>
        <v/>
      </c>
    </row>
    <row r="17559" spans="9:9" x14ac:dyDescent="0.25">
      <c r="I17559" s="227" t="str">
        <f>MID(excPisCofins[[#This Row],[CodBarras2]],2,50)</f>
        <v/>
      </c>
    </row>
    <row r="17560" spans="9:9" x14ac:dyDescent="0.25">
      <c r="I17560" s="227" t="str">
        <f>MID(excPisCofins[[#This Row],[CodBarras2]],2,50)</f>
        <v/>
      </c>
    </row>
    <row r="17561" spans="9:9" x14ac:dyDescent="0.25">
      <c r="I17561" s="227" t="str">
        <f>MID(excPisCofins[[#This Row],[CodBarras2]],2,50)</f>
        <v/>
      </c>
    </row>
    <row r="17562" spans="9:9" x14ac:dyDescent="0.25">
      <c r="I17562" s="227" t="str">
        <f>MID(excPisCofins[[#This Row],[CodBarras2]],2,50)</f>
        <v/>
      </c>
    </row>
    <row r="17563" spans="9:9" x14ac:dyDescent="0.25">
      <c r="I17563" s="227" t="str">
        <f>MID(excPisCofins[[#This Row],[CodBarras2]],2,50)</f>
        <v/>
      </c>
    </row>
    <row r="17564" spans="9:9" x14ac:dyDescent="0.25">
      <c r="I17564" s="227" t="str">
        <f>MID(excPisCofins[[#This Row],[CodBarras2]],2,50)</f>
        <v/>
      </c>
    </row>
    <row r="17565" spans="9:9" x14ac:dyDescent="0.25">
      <c r="I17565" s="227" t="str">
        <f>MID(excPisCofins[[#This Row],[CodBarras2]],2,50)</f>
        <v/>
      </c>
    </row>
    <row r="17566" spans="9:9" x14ac:dyDescent="0.25">
      <c r="I17566" s="227" t="str">
        <f>MID(excPisCofins[[#This Row],[CodBarras2]],2,50)</f>
        <v/>
      </c>
    </row>
    <row r="17567" spans="9:9" x14ac:dyDescent="0.25">
      <c r="I17567" s="227" t="str">
        <f>MID(excPisCofins[[#This Row],[CodBarras2]],2,50)</f>
        <v/>
      </c>
    </row>
    <row r="17568" spans="9:9" x14ac:dyDescent="0.25">
      <c r="I17568" s="227" t="str">
        <f>MID(excPisCofins[[#This Row],[CodBarras2]],2,50)</f>
        <v/>
      </c>
    </row>
    <row r="17569" spans="9:9" x14ac:dyDescent="0.25">
      <c r="I17569" s="227" t="str">
        <f>MID(excPisCofins[[#This Row],[CodBarras2]],2,50)</f>
        <v/>
      </c>
    </row>
    <row r="17570" spans="9:9" x14ac:dyDescent="0.25">
      <c r="I17570" s="227" t="str">
        <f>MID(excPisCofins[[#This Row],[CodBarras2]],2,50)</f>
        <v/>
      </c>
    </row>
    <row r="17571" spans="9:9" x14ac:dyDescent="0.25">
      <c r="I17571" s="227" t="str">
        <f>MID(excPisCofins[[#This Row],[CodBarras2]],2,50)</f>
        <v/>
      </c>
    </row>
    <row r="17572" spans="9:9" x14ac:dyDescent="0.25">
      <c r="I17572" s="227" t="str">
        <f>MID(excPisCofins[[#This Row],[CodBarras2]],2,50)</f>
        <v/>
      </c>
    </row>
    <row r="17573" spans="9:9" x14ac:dyDescent="0.25">
      <c r="I17573" s="227" t="str">
        <f>MID(excPisCofins[[#This Row],[CodBarras2]],2,50)</f>
        <v/>
      </c>
    </row>
    <row r="17574" spans="9:9" x14ac:dyDescent="0.25">
      <c r="I17574" s="227" t="str">
        <f>MID(excPisCofins[[#This Row],[CodBarras2]],2,50)</f>
        <v/>
      </c>
    </row>
    <row r="17575" spans="9:9" x14ac:dyDescent="0.25">
      <c r="I17575" s="227" t="str">
        <f>MID(excPisCofins[[#This Row],[CodBarras2]],2,50)</f>
        <v/>
      </c>
    </row>
    <row r="17576" spans="9:9" x14ac:dyDescent="0.25">
      <c r="I17576" s="227" t="str">
        <f>MID(excPisCofins[[#This Row],[CodBarras2]],2,50)</f>
        <v/>
      </c>
    </row>
    <row r="17577" spans="9:9" x14ac:dyDescent="0.25">
      <c r="I17577" s="227" t="str">
        <f>MID(excPisCofins[[#This Row],[CodBarras2]],2,50)</f>
        <v/>
      </c>
    </row>
    <row r="17578" spans="9:9" x14ac:dyDescent="0.25">
      <c r="I17578" s="227" t="str">
        <f>MID(excPisCofins[[#This Row],[CodBarras2]],2,50)</f>
        <v/>
      </c>
    </row>
    <row r="17579" spans="9:9" x14ac:dyDescent="0.25">
      <c r="I17579" s="227" t="str">
        <f>MID(excPisCofins[[#This Row],[CodBarras2]],2,50)</f>
        <v/>
      </c>
    </row>
    <row r="17580" spans="9:9" x14ac:dyDescent="0.25">
      <c r="I17580" s="227" t="str">
        <f>MID(excPisCofins[[#This Row],[CodBarras2]],2,50)</f>
        <v/>
      </c>
    </row>
    <row r="17581" spans="9:9" x14ac:dyDescent="0.25">
      <c r="I17581" s="227" t="str">
        <f>MID(excPisCofins[[#This Row],[CodBarras2]],2,50)</f>
        <v/>
      </c>
    </row>
    <row r="17582" spans="9:9" x14ac:dyDescent="0.25">
      <c r="I17582" s="227" t="str">
        <f>MID(excPisCofins[[#This Row],[CodBarras2]],2,50)</f>
        <v/>
      </c>
    </row>
    <row r="17583" spans="9:9" x14ac:dyDescent="0.25">
      <c r="I17583" s="227" t="str">
        <f>MID(excPisCofins[[#This Row],[CodBarras2]],2,50)</f>
        <v/>
      </c>
    </row>
    <row r="17584" spans="9:9" x14ac:dyDescent="0.25">
      <c r="I17584" s="227" t="str">
        <f>MID(excPisCofins[[#This Row],[CodBarras2]],2,50)</f>
        <v/>
      </c>
    </row>
    <row r="17585" spans="9:9" x14ac:dyDescent="0.25">
      <c r="I17585" s="227" t="str">
        <f>MID(excPisCofins[[#This Row],[CodBarras2]],2,50)</f>
        <v/>
      </c>
    </row>
    <row r="17586" spans="9:9" x14ac:dyDescent="0.25">
      <c r="I17586" s="227" t="str">
        <f>MID(excPisCofins[[#This Row],[CodBarras2]],2,50)</f>
        <v/>
      </c>
    </row>
    <row r="17587" spans="9:9" x14ac:dyDescent="0.25">
      <c r="I17587" s="227" t="str">
        <f>MID(excPisCofins[[#This Row],[CodBarras2]],2,50)</f>
        <v/>
      </c>
    </row>
    <row r="17588" spans="9:9" x14ac:dyDescent="0.25">
      <c r="I17588" s="227" t="str">
        <f>MID(excPisCofins[[#This Row],[CodBarras2]],2,50)</f>
        <v/>
      </c>
    </row>
    <row r="17589" spans="9:9" x14ac:dyDescent="0.25">
      <c r="I17589" s="227" t="str">
        <f>MID(excPisCofins[[#This Row],[CodBarras2]],2,50)</f>
        <v/>
      </c>
    </row>
    <row r="17590" spans="9:9" x14ac:dyDescent="0.25">
      <c r="I17590" s="227" t="str">
        <f>MID(excPisCofins[[#This Row],[CodBarras2]],2,50)</f>
        <v/>
      </c>
    </row>
    <row r="17591" spans="9:9" x14ac:dyDescent="0.25">
      <c r="I17591" s="227" t="str">
        <f>MID(excPisCofins[[#This Row],[CodBarras2]],2,50)</f>
        <v/>
      </c>
    </row>
    <row r="17592" spans="9:9" x14ac:dyDescent="0.25">
      <c r="I17592" s="227" t="str">
        <f>MID(excPisCofins[[#This Row],[CodBarras2]],2,50)</f>
        <v/>
      </c>
    </row>
    <row r="17593" spans="9:9" x14ac:dyDescent="0.25">
      <c r="I17593" s="227" t="str">
        <f>MID(excPisCofins[[#This Row],[CodBarras2]],2,50)</f>
        <v/>
      </c>
    </row>
    <row r="17594" spans="9:9" x14ac:dyDescent="0.25">
      <c r="I17594" s="227" t="str">
        <f>MID(excPisCofins[[#This Row],[CodBarras2]],2,50)</f>
        <v/>
      </c>
    </row>
    <row r="17595" spans="9:9" x14ac:dyDescent="0.25">
      <c r="I17595" s="227" t="str">
        <f>MID(excPisCofins[[#This Row],[CodBarras2]],2,50)</f>
        <v/>
      </c>
    </row>
    <row r="17596" spans="9:9" x14ac:dyDescent="0.25">
      <c r="I17596" s="227" t="str">
        <f>MID(excPisCofins[[#This Row],[CodBarras2]],2,50)</f>
        <v/>
      </c>
    </row>
    <row r="17597" spans="9:9" x14ac:dyDescent="0.25">
      <c r="I17597" s="227" t="str">
        <f>MID(excPisCofins[[#This Row],[CodBarras2]],2,50)</f>
        <v/>
      </c>
    </row>
    <row r="17598" spans="9:9" x14ac:dyDescent="0.25">
      <c r="I17598" s="227" t="str">
        <f>MID(excPisCofins[[#This Row],[CodBarras2]],2,50)</f>
        <v/>
      </c>
    </row>
    <row r="17599" spans="9:9" x14ac:dyDescent="0.25">
      <c r="I17599" s="227" t="str">
        <f>MID(excPisCofins[[#This Row],[CodBarras2]],2,50)</f>
        <v/>
      </c>
    </row>
    <row r="17600" spans="9:9" x14ac:dyDescent="0.25">
      <c r="I17600" s="227" t="str">
        <f>MID(excPisCofins[[#This Row],[CodBarras2]],2,50)</f>
        <v/>
      </c>
    </row>
    <row r="17601" spans="9:9" x14ac:dyDescent="0.25">
      <c r="I17601" s="227" t="str">
        <f>MID(excPisCofins[[#This Row],[CodBarras2]],2,50)</f>
        <v/>
      </c>
    </row>
    <row r="17602" spans="9:9" x14ac:dyDescent="0.25">
      <c r="I17602" s="227" t="str">
        <f>MID(excPisCofins[[#This Row],[CodBarras2]],2,50)</f>
        <v/>
      </c>
    </row>
    <row r="17603" spans="9:9" x14ac:dyDescent="0.25">
      <c r="I17603" s="227" t="str">
        <f>MID(excPisCofins[[#This Row],[CodBarras2]],2,50)</f>
        <v/>
      </c>
    </row>
    <row r="17604" spans="9:9" x14ac:dyDescent="0.25">
      <c r="I17604" s="227" t="str">
        <f>MID(excPisCofins[[#This Row],[CodBarras2]],2,50)</f>
        <v/>
      </c>
    </row>
    <row r="17605" spans="9:9" x14ac:dyDescent="0.25">
      <c r="I17605" s="227" t="str">
        <f>MID(excPisCofins[[#This Row],[CodBarras2]],2,50)</f>
        <v/>
      </c>
    </row>
    <row r="17606" spans="9:9" x14ac:dyDescent="0.25">
      <c r="I17606" s="227" t="str">
        <f>MID(excPisCofins[[#This Row],[CodBarras2]],2,50)</f>
        <v/>
      </c>
    </row>
    <row r="17607" spans="9:9" x14ac:dyDescent="0.25">
      <c r="I17607" s="227" t="str">
        <f>MID(excPisCofins[[#This Row],[CodBarras2]],2,50)</f>
        <v/>
      </c>
    </row>
    <row r="17608" spans="9:9" x14ac:dyDescent="0.25">
      <c r="I17608" s="227" t="str">
        <f>MID(excPisCofins[[#This Row],[CodBarras2]],2,50)</f>
        <v/>
      </c>
    </row>
    <row r="17609" spans="9:9" x14ac:dyDescent="0.25">
      <c r="I17609" s="227" t="str">
        <f>MID(excPisCofins[[#This Row],[CodBarras2]],2,50)</f>
        <v/>
      </c>
    </row>
    <row r="17610" spans="9:9" x14ac:dyDescent="0.25">
      <c r="I17610" s="227" t="str">
        <f>MID(excPisCofins[[#This Row],[CodBarras2]],2,50)</f>
        <v/>
      </c>
    </row>
    <row r="17611" spans="9:9" x14ac:dyDescent="0.25">
      <c r="I17611" s="227" t="str">
        <f>MID(excPisCofins[[#This Row],[CodBarras2]],2,50)</f>
        <v/>
      </c>
    </row>
    <row r="17612" spans="9:9" x14ac:dyDescent="0.25">
      <c r="I17612" s="227" t="str">
        <f>MID(excPisCofins[[#This Row],[CodBarras2]],2,50)</f>
        <v/>
      </c>
    </row>
    <row r="17613" spans="9:9" x14ac:dyDescent="0.25">
      <c r="I17613" s="227" t="str">
        <f>MID(excPisCofins[[#This Row],[CodBarras2]],2,50)</f>
        <v/>
      </c>
    </row>
    <row r="17614" spans="9:9" x14ac:dyDescent="0.25">
      <c r="I17614" s="227" t="str">
        <f>MID(excPisCofins[[#This Row],[CodBarras2]],2,50)</f>
        <v/>
      </c>
    </row>
    <row r="17615" spans="9:9" x14ac:dyDescent="0.25">
      <c r="I17615" s="227" t="str">
        <f>MID(excPisCofins[[#This Row],[CodBarras2]],2,50)</f>
        <v/>
      </c>
    </row>
    <row r="17616" spans="9:9" x14ac:dyDescent="0.25">
      <c r="I17616" s="227" t="str">
        <f>MID(excPisCofins[[#This Row],[CodBarras2]],2,50)</f>
        <v/>
      </c>
    </row>
    <row r="17617" spans="9:9" x14ac:dyDescent="0.25">
      <c r="I17617" s="227" t="str">
        <f>MID(excPisCofins[[#This Row],[CodBarras2]],2,50)</f>
        <v/>
      </c>
    </row>
    <row r="17618" spans="9:9" x14ac:dyDescent="0.25">
      <c r="I17618" s="227" t="str">
        <f>MID(excPisCofins[[#This Row],[CodBarras2]],2,50)</f>
        <v/>
      </c>
    </row>
    <row r="17619" spans="9:9" x14ac:dyDescent="0.25">
      <c r="I17619" s="227" t="str">
        <f>MID(excPisCofins[[#This Row],[CodBarras2]],2,50)</f>
        <v/>
      </c>
    </row>
    <row r="17620" spans="9:9" x14ac:dyDescent="0.25">
      <c r="I17620" s="227" t="str">
        <f>MID(excPisCofins[[#This Row],[CodBarras2]],2,50)</f>
        <v/>
      </c>
    </row>
    <row r="17621" spans="9:9" x14ac:dyDescent="0.25">
      <c r="I17621" s="227" t="str">
        <f>MID(excPisCofins[[#This Row],[CodBarras2]],2,50)</f>
        <v/>
      </c>
    </row>
    <row r="17622" spans="9:9" x14ac:dyDescent="0.25">
      <c r="I17622" s="227" t="str">
        <f>MID(excPisCofins[[#This Row],[CodBarras2]],2,50)</f>
        <v/>
      </c>
    </row>
    <row r="17623" spans="9:9" x14ac:dyDescent="0.25">
      <c r="I17623" s="227" t="str">
        <f>MID(excPisCofins[[#This Row],[CodBarras2]],2,50)</f>
        <v/>
      </c>
    </row>
    <row r="17624" spans="9:9" x14ac:dyDescent="0.25">
      <c r="I17624" s="227" t="str">
        <f>MID(excPisCofins[[#This Row],[CodBarras2]],2,50)</f>
        <v/>
      </c>
    </row>
    <row r="17625" spans="9:9" x14ac:dyDescent="0.25">
      <c r="I17625" s="227" t="str">
        <f>MID(excPisCofins[[#This Row],[CodBarras2]],2,50)</f>
        <v/>
      </c>
    </row>
    <row r="17626" spans="9:9" x14ac:dyDescent="0.25">
      <c r="I17626" s="227" t="str">
        <f>MID(excPisCofins[[#This Row],[CodBarras2]],2,50)</f>
        <v/>
      </c>
    </row>
    <row r="17627" spans="9:9" x14ac:dyDescent="0.25">
      <c r="I17627" s="227" t="str">
        <f>MID(excPisCofins[[#This Row],[CodBarras2]],2,50)</f>
        <v/>
      </c>
    </row>
    <row r="17628" spans="9:9" x14ac:dyDescent="0.25">
      <c r="I17628" s="227" t="str">
        <f>MID(excPisCofins[[#This Row],[CodBarras2]],2,50)</f>
        <v/>
      </c>
    </row>
    <row r="17629" spans="9:9" x14ac:dyDescent="0.25">
      <c r="I17629" s="227" t="str">
        <f>MID(excPisCofins[[#This Row],[CodBarras2]],2,50)</f>
        <v/>
      </c>
    </row>
    <row r="17630" spans="9:9" x14ac:dyDescent="0.25">
      <c r="I17630" s="227" t="str">
        <f>MID(excPisCofins[[#This Row],[CodBarras2]],2,50)</f>
        <v/>
      </c>
    </row>
    <row r="17631" spans="9:9" x14ac:dyDescent="0.25">
      <c r="I17631" s="227" t="str">
        <f>MID(excPisCofins[[#This Row],[CodBarras2]],2,50)</f>
        <v/>
      </c>
    </row>
    <row r="17632" spans="9:9" x14ac:dyDescent="0.25">
      <c r="I17632" s="227" t="str">
        <f>MID(excPisCofins[[#This Row],[CodBarras2]],2,50)</f>
        <v/>
      </c>
    </row>
    <row r="17633" spans="9:9" x14ac:dyDescent="0.25">
      <c r="I17633" s="227" t="str">
        <f>MID(excPisCofins[[#This Row],[CodBarras2]],2,50)</f>
        <v/>
      </c>
    </row>
    <row r="17634" spans="9:9" x14ac:dyDescent="0.25">
      <c r="I17634" s="227" t="str">
        <f>MID(excPisCofins[[#This Row],[CodBarras2]],2,50)</f>
        <v/>
      </c>
    </row>
    <row r="17635" spans="9:9" x14ac:dyDescent="0.25">
      <c r="I17635" s="227" t="str">
        <f>MID(excPisCofins[[#This Row],[CodBarras2]],2,50)</f>
        <v/>
      </c>
    </row>
    <row r="17636" spans="9:9" x14ac:dyDescent="0.25">
      <c r="I17636" s="227" t="str">
        <f>MID(excPisCofins[[#This Row],[CodBarras2]],2,50)</f>
        <v/>
      </c>
    </row>
    <row r="17637" spans="9:9" x14ac:dyDescent="0.25">
      <c r="I17637" s="227" t="str">
        <f>MID(excPisCofins[[#This Row],[CodBarras2]],2,50)</f>
        <v/>
      </c>
    </row>
    <row r="17638" spans="9:9" x14ac:dyDescent="0.25">
      <c r="I17638" s="227" t="str">
        <f>MID(excPisCofins[[#This Row],[CodBarras2]],2,50)</f>
        <v/>
      </c>
    </row>
    <row r="17639" spans="9:9" x14ac:dyDescent="0.25">
      <c r="I17639" s="227" t="str">
        <f>MID(excPisCofins[[#This Row],[CodBarras2]],2,50)</f>
        <v/>
      </c>
    </row>
    <row r="17640" spans="9:9" x14ac:dyDescent="0.25">
      <c r="I17640" s="227" t="str">
        <f>MID(excPisCofins[[#This Row],[CodBarras2]],2,50)</f>
        <v/>
      </c>
    </row>
    <row r="17641" spans="9:9" x14ac:dyDescent="0.25">
      <c r="I17641" s="227" t="str">
        <f>MID(excPisCofins[[#This Row],[CodBarras2]],2,50)</f>
        <v/>
      </c>
    </row>
    <row r="17642" spans="9:9" x14ac:dyDescent="0.25">
      <c r="I17642" s="227" t="str">
        <f>MID(excPisCofins[[#This Row],[CodBarras2]],2,50)</f>
        <v/>
      </c>
    </row>
    <row r="17643" spans="9:9" x14ac:dyDescent="0.25">
      <c r="I17643" s="227" t="str">
        <f>MID(excPisCofins[[#This Row],[CodBarras2]],2,50)</f>
        <v/>
      </c>
    </row>
    <row r="17644" spans="9:9" x14ac:dyDescent="0.25">
      <c r="I17644" s="227" t="str">
        <f>MID(excPisCofins[[#This Row],[CodBarras2]],2,50)</f>
        <v/>
      </c>
    </row>
    <row r="17645" spans="9:9" x14ac:dyDescent="0.25">
      <c r="I17645" s="227" t="str">
        <f>MID(excPisCofins[[#This Row],[CodBarras2]],2,50)</f>
        <v/>
      </c>
    </row>
    <row r="17646" spans="9:9" x14ac:dyDescent="0.25">
      <c r="I17646" s="227" t="str">
        <f>MID(excPisCofins[[#This Row],[CodBarras2]],2,50)</f>
        <v/>
      </c>
    </row>
    <row r="17647" spans="9:9" x14ac:dyDescent="0.25">
      <c r="I17647" s="227" t="str">
        <f>MID(excPisCofins[[#This Row],[CodBarras2]],2,50)</f>
        <v/>
      </c>
    </row>
    <row r="17648" spans="9:9" x14ac:dyDescent="0.25">
      <c r="I17648" s="227" t="str">
        <f>MID(excPisCofins[[#This Row],[CodBarras2]],2,50)</f>
        <v/>
      </c>
    </row>
    <row r="17649" spans="9:9" x14ac:dyDescent="0.25">
      <c r="I17649" s="227" t="str">
        <f>MID(excPisCofins[[#This Row],[CodBarras2]],2,50)</f>
        <v/>
      </c>
    </row>
    <row r="17650" spans="9:9" x14ac:dyDescent="0.25">
      <c r="I17650" s="227" t="str">
        <f>MID(excPisCofins[[#This Row],[CodBarras2]],2,50)</f>
        <v/>
      </c>
    </row>
    <row r="17651" spans="9:9" x14ac:dyDescent="0.25">
      <c r="I17651" s="227" t="str">
        <f>MID(excPisCofins[[#This Row],[CodBarras2]],2,50)</f>
        <v/>
      </c>
    </row>
    <row r="17652" spans="9:9" x14ac:dyDescent="0.25">
      <c r="I17652" s="227" t="str">
        <f>MID(excPisCofins[[#This Row],[CodBarras2]],2,50)</f>
        <v/>
      </c>
    </row>
    <row r="17653" spans="9:9" x14ac:dyDescent="0.25">
      <c r="I17653" s="227" t="str">
        <f>MID(excPisCofins[[#This Row],[CodBarras2]],2,50)</f>
        <v/>
      </c>
    </row>
    <row r="17654" spans="9:9" x14ac:dyDescent="0.25">
      <c r="I17654" s="227" t="str">
        <f>MID(excPisCofins[[#This Row],[CodBarras2]],2,50)</f>
        <v/>
      </c>
    </row>
    <row r="17655" spans="9:9" x14ac:dyDescent="0.25">
      <c r="I17655" s="227" t="str">
        <f>MID(excPisCofins[[#This Row],[CodBarras2]],2,50)</f>
        <v/>
      </c>
    </row>
    <row r="17656" spans="9:9" x14ac:dyDescent="0.25">
      <c r="I17656" s="227" t="str">
        <f>MID(excPisCofins[[#This Row],[CodBarras2]],2,50)</f>
        <v/>
      </c>
    </row>
    <row r="17657" spans="9:9" x14ac:dyDescent="0.25">
      <c r="I17657" s="227" t="str">
        <f>MID(excPisCofins[[#This Row],[CodBarras2]],2,50)</f>
        <v/>
      </c>
    </row>
    <row r="17658" spans="9:9" x14ac:dyDescent="0.25">
      <c r="I17658" s="227" t="str">
        <f>MID(excPisCofins[[#This Row],[CodBarras2]],2,50)</f>
        <v/>
      </c>
    </row>
    <row r="17659" spans="9:9" x14ac:dyDescent="0.25">
      <c r="I17659" s="227" t="str">
        <f>MID(excPisCofins[[#This Row],[CodBarras2]],2,50)</f>
        <v/>
      </c>
    </row>
    <row r="17660" spans="9:9" x14ac:dyDescent="0.25">
      <c r="I17660" s="227" t="str">
        <f>MID(excPisCofins[[#This Row],[CodBarras2]],2,50)</f>
        <v/>
      </c>
    </row>
    <row r="17661" spans="9:9" x14ac:dyDescent="0.25">
      <c r="I17661" s="227" t="str">
        <f>MID(excPisCofins[[#This Row],[CodBarras2]],2,50)</f>
        <v/>
      </c>
    </row>
    <row r="17662" spans="9:9" x14ac:dyDescent="0.25">
      <c r="I17662" s="227" t="str">
        <f>MID(excPisCofins[[#This Row],[CodBarras2]],2,50)</f>
        <v/>
      </c>
    </row>
    <row r="17663" spans="9:9" x14ac:dyDescent="0.25">
      <c r="I17663" s="227" t="str">
        <f>MID(excPisCofins[[#This Row],[CodBarras2]],2,50)</f>
        <v/>
      </c>
    </row>
    <row r="17664" spans="9:9" x14ac:dyDescent="0.25">
      <c r="I17664" s="227" t="str">
        <f>MID(excPisCofins[[#This Row],[CodBarras2]],2,50)</f>
        <v/>
      </c>
    </row>
    <row r="17665" spans="9:9" x14ac:dyDescent="0.25">
      <c r="I17665" s="227" t="str">
        <f>MID(excPisCofins[[#This Row],[CodBarras2]],2,50)</f>
        <v/>
      </c>
    </row>
    <row r="17666" spans="9:9" x14ac:dyDescent="0.25">
      <c r="I17666" s="227" t="str">
        <f>MID(excPisCofins[[#This Row],[CodBarras2]],2,50)</f>
        <v/>
      </c>
    </row>
    <row r="17667" spans="9:9" x14ac:dyDescent="0.25">
      <c r="I17667" s="227" t="str">
        <f>MID(excPisCofins[[#This Row],[CodBarras2]],2,50)</f>
        <v/>
      </c>
    </row>
    <row r="17668" spans="9:9" x14ac:dyDescent="0.25">
      <c r="I17668" s="227" t="str">
        <f>MID(excPisCofins[[#This Row],[CodBarras2]],2,50)</f>
        <v/>
      </c>
    </row>
    <row r="17669" spans="9:9" x14ac:dyDescent="0.25">
      <c r="I17669" s="227" t="str">
        <f>MID(excPisCofins[[#This Row],[CodBarras2]],2,50)</f>
        <v/>
      </c>
    </row>
    <row r="17670" spans="9:9" x14ac:dyDescent="0.25">
      <c r="I17670" s="227" t="str">
        <f>MID(excPisCofins[[#This Row],[CodBarras2]],2,50)</f>
        <v/>
      </c>
    </row>
    <row r="17671" spans="9:9" x14ac:dyDescent="0.25">
      <c r="I17671" s="227" t="str">
        <f>MID(excPisCofins[[#This Row],[CodBarras2]],2,50)</f>
        <v/>
      </c>
    </row>
    <row r="17672" spans="9:9" x14ac:dyDescent="0.25">
      <c r="I17672" s="227" t="str">
        <f>MID(excPisCofins[[#This Row],[CodBarras2]],2,50)</f>
        <v/>
      </c>
    </row>
    <row r="17673" spans="9:9" x14ac:dyDescent="0.25">
      <c r="I17673" s="227" t="str">
        <f>MID(excPisCofins[[#This Row],[CodBarras2]],2,50)</f>
        <v/>
      </c>
    </row>
    <row r="17674" spans="9:9" x14ac:dyDescent="0.25">
      <c r="I17674" s="227" t="str">
        <f>MID(excPisCofins[[#This Row],[CodBarras2]],2,50)</f>
        <v/>
      </c>
    </row>
    <row r="17675" spans="9:9" x14ac:dyDescent="0.25">
      <c r="I17675" s="227" t="str">
        <f>MID(excPisCofins[[#This Row],[CodBarras2]],2,50)</f>
        <v/>
      </c>
    </row>
    <row r="17676" spans="9:9" x14ac:dyDescent="0.25">
      <c r="I17676" s="227" t="str">
        <f>MID(excPisCofins[[#This Row],[CodBarras2]],2,50)</f>
        <v/>
      </c>
    </row>
    <row r="17677" spans="9:9" x14ac:dyDescent="0.25">
      <c r="I17677" s="227" t="str">
        <f>MID(excPisCofins[[#This Row],[CodBarras2]],2,50)</f>
        <v/>
      </c>
    </row>
    <row r="17678" spans="9:9" x14ac:dyDescent="0.25">
      <c r="I17678" s="227" t="str">
        <f>MID(excPisCofins[[#This Row],[CodBarras2]],2,50)</f>
        <v/>
      </c>
    </row>
    <row r="17679" spans="9:9" x14ac:dyDescent="0.25">
      <c r="I17679" s="227" t="str">
        <f>MID(excPisCofins[[#This Row],[CodBarras2]],2,50)</f>
        <v/>
      </c>
    </row>
    <row r="17680" spans="9:9" x14ac:dyDescent="0.25">
      <c r="I17680" s="227" t="str">
        <f>MID(excPisCofins[[#This Row],[CodBarras2]],2,50)</f>
        <v/>
      </c>
    </row>
    <row r="17681" spans="9:9" x14ac:dyDescent="0.25">
      <c r="I17681" s="227" t="str">
        <f>MID(excPisCofins[[#This Row],[CodBarras2]],2,50)</f>
        <v/>
      </c>
    </row>
    <row r="17682" spans="9:9" x14ac:dyDescent="0.25">
      <c r="I17682" s="227" t="str">
        <f>MID(excPisCofins[[#This Row],[CodBarras2]],2,50)</f>
        <v/>
      </c>
    </row>
    <row r="17683" spans="9:9" x14ac:dyDescent="0.25">
      <c r="I17683" s="227" t="str">
        <f>MID(excPisCofins[[#This Row],[CodBarras2]],2,50)</f>
        <v/>
      </c>
    </row>
    <row r="17684" spans="9:9" x14ac:dyDescent="0.25">
      <c r="I17684" s="227" t="str">
        <f>MID(excPisCofins[[#This Row],[CodBarras2]],2,50)</f>
        <v/>
      </c>
    </row>
    <row r="17685" spans="9:9" x14ac:dyDescent="0.25">
      <c r="I17685" s="227" t="str">
        <f>MID(excPisCofins[[#This Row],[CodBarras2]],2,50)</f>
        <v/>
      </c>
    </row>
    <row r="17686" spans="9:9" x14ac:dyDescent="0.25">
      <c r="I17686" s="227" t="str">
        <f>MID(excPisCofins[[#This Row],[CodBarras2]],2,50)</f>
        <v/>
      </c>
    </row>
    <row r="17687" spans="9:9" x14ac:dyDescent="0.25">
      <c r="I17687" s="227" t="str">
        <f>MID(excPisCofins[[#This Row],[CodBarras2]],2,50)</f>
        <v/>
      </c>
    </row>
    <row r="17688" spans="9:9" x14ac:dyDescent="0.25">
      <c r="I17688" s="227" t="str">
        <f>MID(excPisCofins[[#This Row],[CodBarras2]],2,50)</f>
        <v/>
      </c>
    </row>
    <row r="17689" spans="9:9" x14ac:dyDescent="0.25">
      <c r="I17689" s="227" t="str">
        <f>MID(excPisCofins[[#This Row],[CodBarras2]],2,50)</f>
        <v/>
      </c>
    </row>
    <row r="17690" spans="9:9" x14ac:dyDescent="0.25">
      <c r="I17690" s="227" t="str">
        <f>MID(excPisCofins[[#This Row],[CodBarras2]],2,50)</f>
        <v/>
      </c>
    </row>
    <row r="17691" spans="9:9" x14ac:dyDescent="0.25">
      <c r="I17691" s="227" t="str">
        <f>MID(excPisCofins[[#This Row],[CodBarras2]],2,50)</f>
        <v/>
      </c>
    </row>
    <row r="17692" spans="9:9" x14ac:dyDescent="0.25">
      <c r="I17692" s="227" t="str">
        <f>MID(excPisCofins[[#This Row],[CodBarras2]],2,50)</f>
        <v/>
      </c>
    </row>
    <row r="17693" spans="9:9" x14ac:dyDescent="0.25">
      <c r="I17693" s="227" t="str">
        <f>MID(excPisCofins[[#This Row],[CodBarras2]],2,50)</f>
        <v/>
      </c>
    </row>
    <row r="17694" spans="9:9" x14ac:dyDescent="0.25">
      <c r="I17694" s="227" t="str">
        <f>MID(excPisCofins[[#This Row],[CodBarras2]],2,50)</f>
        <v/>
      </c>
    </row>
    <row r="17695" spans="9:9" x14ac:dyDescent="0.25">
      <c r="I17695" s="227" t="str">
        <f>MID(excPisCofins[[#This Row],[CodBarras2]],2,50)</f>
        <v/>
      </c>
    </row>
    <row r="17696" spans="9:9" x14ac:dyDescent="0.25">
      <c r="I17696" s="227" t="str">
        <f>MID(excPisCofins[[#This Row],[CodBarras2]],2,50)</f>
        <v/>
      </c>
    </row>
    <row r="17697" spans="9:9" x14ac:dyDescent="0.25">
      <c r="I17697" s="227" t="str">
        <f>MID(excPisCofins[[#This Row],[CodBarras2]],2,50)</f>
        <v/>
      </c>
    </row>
    <row r="17698" spans="9:9" x14ac:dyDescent="0.25">
      <c r="I17698" s="227" t="str">
        <f>MID(excPisCofins[[#This Row],[CodBarras2]],2,50)</f>
        <v/>
      </c>
    </row>
    <row r="17699" spans="9:9" x14ac:dyDescent="0.25">
      <c r="I17699" s="227" t="str">
        <f>MID(excPisCofins[[#This Row],[CodBarras2]],2,50)</f>
        <v/>
      </c>
    </row>
    <row r="17700" spans="9:9" x14ac:dyDescent="0.25">
      <c r="I17700" s="227" t="str">
        <f>MID(excPisCofins[[#This Row],[CodBarras2]],2,50)</f>
        <v/>
      </c>
    </row>
    <row r="17701" spans="9:9" x14ac:dyDescent="0.25">
      <c r="I17701" s="227" t="str">
        <f>MID(excPisCofins[[#This Row],[CodBarras2]],2,50)</f>
        <v/>
      </c>
    </row>
    <row r="17702" spans="9:9" x14ac:dyDescent="0.25">
      <c r="I17702" s="227" t="str">
        <f>MID(excPisCofins[[#This Row],[CodBarras2]],2,50)</f>
        <v/>
      </c>
    </row>
    <row r="17703" spans="9:9" x14ac:dyDescent="0.25">
      <c r="I17703" s="227" t="str">
        <f>MID(excPisCofins[[#This Row],[CodBarras2]],2,50)</f>
        <v/>
      </c>
    </row>
    <row r="17704" spans="9:9" x14ac:dyDescent="0.25">
      <c r="I17704" s="227" t="str">
        <f>MID(excPisCofins[[#This Row],[CodBarras2]],2,50)</f>
        <v/>
      </c>
    </row>
    <row r="17705" spans="9:9" x14ac:dyDescent="0.25">
      <c r="I17705" s="227" t="str">
        <f>MID(excPisCofins[[#This Row],[CodBarras2]],2,50)</f>
        <v/>
      </c>
    </row>
    <row r="17706" spans="9:9" x14ac:dyDescent="0.25">
      <c r="I17706" s="227" t="str">
        <f>MID(excPisCofins[[#This Row],[CodBarras2]],2,50)</f>
        <v/>
      </c>
    </row>
    <row r="17707" spans="9:9" x14ac:dyDescent="0.25">
      <c r="I17707" s="227" t="str">
        <f>MID(excPisCofins[[#This Row],[CodBarras2]],2,50)</f>
        <v/>
      </c>
    </row>
    <row r="17708" spans="9:9" x14ac:dyDescent="0.25">
      <c r="I17708" s="227" t="str">
        <f>MID(excPisCofins[[#This Row],[CodBarras2]],2,50)</f>
        <v/>
      </c>
    </row>
    <row r="17709" spans="9:9" x14ac:dyDescent="0.25">
      <c r="I17709" s="227" t="str">
        <f>MID(excPisCofins[[#This Row],[CodBarras2]],2,50)</f>
        <v/>
      </c>
    </row>
    <row r="17710" spans="9:9" x14ac:dyDescent="0.25">
      <c r="I17710" s="227" t="str">
        <f>MID(excPisCofins[[#This Row],[CodBarras2]],2,50)</f>
        <v/>
      </c>
    </row>
    <row r="17711" spans="9:9" x14ac:dyDescent="0.25">
      <c r="I17711" s="227" t="str">
        <f>MID(excPisCofins[[#This Row],[CodBarras2]],2,50)</f>
        <v/>
      </c>
    </row>
    <row r="17712" spans="9:9" x14ac:dyDescent="0.25">
      <c r="I17712" s="227" t="str">
        <f>MID(excPisCofins[[#This Row],[CodBarras2]],2,50)</f>
        <v/>
      </c>
    </row>
    <row r="17713" spans="9:9" x14ac:dyDescent="0.25">
      <c r="I17713" s="227" t="str">
        <f>MID(excPisCofins[[#This Row],[CodBarras2]],2,50)</f>
        <v/>
      </c>
    </row>
    <row r="17714" spans="9:9" x14ac:dyDescent="0.25">
      <c r="I17714" s="227" t="str">
        <f>MID(excPisCofins[[#This Row],[CodBarras2]],2,50)</f>
        <v/>
      </c>
    </row>
    <row r="17715" spans="9:9" x14ac:dyDescent="0.25">
      <c r="I17715" s="227" t="str">
        <f>MID(excPisCofins[[#This Row],[CodBarras2]],2,50)</f>
        <v/>
      </c>
    </row>
    <row r="17716" spans="9:9" x14ac:dyDescent="0.25">
      <c r="I17716" s="227" t="str">
        <f>MID(excPisCofins[[#This Row],[CodBarras2]],2,50)</f>
        <v/>
      </c>
    </row>
    <row r="17717" spans="9:9" x14ac:dyDescent="0.25">
      <c r="I17717" s="227" t="str">
        <f>MID(excPisCofins[[#This Row],[CodBarras2]],2,50)</f>
        <v/>
      </c>
    </row>
    <row r="17718" spans="9:9" x14ac:dyDescent="0.25">
      <c r="I17718" s="227" t="str">
        <f>MID(excPisCofins[[#This Row],[CodBarras2]],2,50)</f>
        <v/>
      </c>
    </row>
    <row r="17719" spans="9:9" x14ac:dyDescent="0.25">
      <c r="I17719" s="227" t="str">
        <f>MID(excPisCofins[[#This Row],[CodBarras2]],2,50)</f>
        <v/>
      </c>
    </row>
    <row r="17720" spans="9:9" x14ac:dyDescent="0.25">
      <c r="I17720" s="227" t="str">
        <f>MID(excPisCofins[[#This Row],[CodBarras2]],2,50)</f>
        <v/>
      </c>
    </row>
    <row r="17721" spans="9:9" x14ac:dyDescent="0.25">
      <c r="I17721" s="227" t="str">
        <f>MID(excPisCofins[[#This Row],[CodBarras2]],2,50)</f>
        <v/>
      </c>
    </row>
    <row r="17722" spans="9:9" x14ac:dyDescent="0.25">
      <c r="I17722" s="227" t="str">
        <f>MID(excPisCofins[[#This Row],[CodBarras2]],2,50)</f>
        <v/>
      </c>
    </row>
    <row r="17723" spans="9:9" x14ac:dyDescent="0.25">
      <c r="I17723" s="227" t="str">
        <f>MID(excPisCofins[[#This Row],[CodBarras2]],2,50)</f>
        <v/>
      </c>
    </row>
    <row r="17724" spans="9:9" x14ac:dyDescent="0.25">
      <c r="I17724" s="227" t="str">
        <f>MID(excPisCofins[[#This Row],[CodBarras2]],2,50)</f>
        <v/>
      </c>
    </row>
    <row r="17725" spans="9:9" x14ac:dyDescent="0.25">
      <c r="I17725" s="227" t="str">
        <f>MID(excPisCofins[[#This Row],[CodBarras2]],2,50)</f>
        <v/>
      </c>
    </row>
    <row r="17726" spans="9:9" x14ac:dyDescent="0.25">
      <c r="I17726" s="227" t="str">
        <f>MID(excPisCofins[[#This Row],[CodBarras2]],2,50)</f>
        <v/>
      </c>
    </row>
    <row r="17727" spans="9:9" x14ac:dyDescent="0.25">
      <c r="I17727" s="227" t="str">
        <f>MID(excPisCofins[[#This Row],[CodBarras2]],2,50)</f>
        <v/>
      </c>
    </row>
    <row r="17728" spans="9:9" x14ac:dyDescent="0.25">
      <c r="I17728" s="227" t="str">
        <f>MID(excPisCofins[[#This Row],[CodBarras2]],2,50)</f>
        <v/>
      </c>
    </row>
    <row r="17729" spans="9:9" x14ac:dyDescent="0.25">
      <c r="I17729" s="227" t="str">
        <f>MID(excPisCofins[[#This Row],[CodBarras2]],2,50)</f>
        <v/>
      </c>
    </row>
    <row r="17730" spans="9:9" x14ac:dyDescent="0.25">
      <c r="I17730" s="227" t="str">
        <f>MID(excPisCofins[[#This Row],[CodBarras2]],2,50)</f>
        <v/>
      </c>
    </row>
    <row r="17731" spans="9:9" x14ac:dyDescent="0.25">
      <c r="I17731" s="227" t="str">
        <f>MID(excPisCofins[[#This Row],[CodBarras2]],2,50)</f>
        <v/>
      </c>
    </row>
    <row r="17732" spans="9:9" x14ac:dyDescent="0.25">
      <c r="I17732" s="227" t="str">
        <f>MID(excPisCofins[[#This Row],[CodBarras2]],2,50)</f>
        <v/>
      </c>
    </row>
    <row r="17733" spans="9:9" x14ac:dyDescent="0.25">
      <c r="I17733" s="227" t="str">
        <f>MID(excPisCofins[[#This Row],[CodBarras2]],2,50)</f>
        <v/>
      </c>
    </row>
    <row r="17734" spans="9:9" x14ac:dyDescent="0.25">
      <c r="I17734" s="227" t="str">
        <f>MID(excPisCofins[[#This Row],[CodBarras2]],2,50)</f>
        <v/>
      </c>
    </row>
    <row r="17735" spans="9:9" x14ac:dyDescent="0.25">
      <c r="I17735" s="227" t="str">
        <f>MID(excPisCofins[[#This Row],[CodBarras2]],2,50)</f>
        <v/>
      </c>
    </row>
    <row r="17736" spans="9:9" x14ac:dyDescent="0.25">
      <c r="I17736" s="227" t="str">
        <f>MID(excPisCofins[[#This Row],[CodBarras2]],2,50)</f>
        <v/>
      </c>
    </row>
    <row r="17737" spans="9:9" x14ac:dyDescent="0.25">
      <c r="I17737" s="227" t="str">
        <f>MID(excPisCofins[[#This Row],[CodBarras2]],2,50)</f>
        <v/>
      </c>
    </row>
    <row r="17738" spans="9:9" x14ac:dyDescent="0.25">
      <c r="I17738" s="227" t="str">
        <f>MID(excPisCofins[[#This Row],[CodBarras2]],2,50)</f>
        <v/>
      </c>
    </row>
    <row r="17739" spans="9:9" x14ac:dyDescent="0.25">
      <c r="I17739" s="227" t="str">
        <f>MID(excPisCofins[[#This Row],[CodBarras2]],2,50)</f>
        <v/>
      </c>
    </row>
    <row r="17740" spans="9:9" x14ac:dyDescent="0.25">
      <c r="I17740" s="227" t="str">
        <f>MID(excPisCofins[[#This Row],[CodBarras2]],2,50)</f>
        <v/>
      </c>
    </row>
    <row r="17741" spans="9:9" x14ac:dyDescent="0.25">
      <c r="I17741" s="227" t="str">
        <f>MID(excPisCofins[[#This Row],[CodBarras2]],2,50)</f>
        <v/>
      </c>
    </row>
    <row r="17742" spans="9:9" x14ac:dyDescent="0.25">
      <c r="I17742" s="227" t="str">
        <f>MID(excPisCofins[[#This Row],[CodBarras2]],2,50)</f>
        <v/>
      </c>
    </row>
    <row r="17743" spans="9:9" x14ac:dyDescent="0.25">
      <c r="I17743" s="227" t="str">
        <f>MID(excPisCofins[[#This Row],[CodBarras2]],2,50)</f>
        <v/>
      </c>
    </row>
    <row r="17744" spans="9:9" x14ac:dyDescent="0.25">
      <c r="I17744" s="227" t="str">
        <f>MID(excPisCofins[[#This Row],[CodBarras2]],2,50)</f>
        <v/>
      </c>
    </row>
    <row r="17745" spans="9:9" x14ac:dyDescent="0.25">
      <c r="I17745" s="227" t="str">
        <f>MID(excPisCofins[[#This Row],[CodBarras2]],2,50)</f>
        <v/>
      </c>
    </row>
    <row r="17746" spans="9:9" x14ac:dyDescent="0.25">
      <c r="I17746" s="227" t="str">
        <f>MID(excPisCofins[[#This Row],[CodBarras2]],2,50)</f>
        <v/>
      </c>
    </row>
    <row r="17747" spans="9:9" x14ac:dyDescent="0.25">
      <c r="I17747" s="227" t="str">
        <f>MID(excPisCofins[[#This Row],[CodBarras2]],2,50)</f>
        <v/>
      </c>
    </row>
    <row r="17748" spans="9:9" x14ac:dyDescent="0.25">
      <c r="I17748" s="227" t="str">
        <f>MID(excPisCofins[[#This Row],[CodBarras2]],2,50)</f>
        <v/>
      </c>
    </row>
    <row r="17749" spans="9:9" x14ac:dyDescent="0.25">
      <c r="I17749" s="227" t="str">
        <f>MID(excPisCofins[[#This Row],[CodBarras2]],2,50)</f>
        <v/>
      </c>
    </row>
    <row r="17750" spans="9:9" x14ac:dyDescent="0.25">
      <c r="I17750" s="227" t="str">
        <f>MID(excPisCofins[[#This Row],[CodBarras2]],2,50)</f>
        <v/>
      </c>
    </row>
    <row r="17751" spans="9:9" x14ac:dyDescent="0.25">
      <c r="I17751" s="227" t="str">
        <f>MID(excPisCofins[[#This Row],[CodBarras2]],2,50)</f>
        <v/>
      </c>
    </row>
    <row r="17752" spans="9:9" x14ac:dyDescent="0.25">
      <c r="I17752" s="227" t="str">
        <f>MID(excPisCofins[[#This Row],[CodBarras2]],2,50)</f>
        <v/>
      </c>
    </row>
    <row r="17753" spans="9:9" x14ac:dyDescent="0.25">
      <c r="I17753" s="227" t="str">
        <f>MID(excPisCofins[[#This Row],[CodBarras2]],2,50)</f>
        <v/>
      </c>
    </row>
    <row r="17754" spans="9:9" x14ac:dyDescent="0.25">
      <c r="I17754" s="227" t="str">
        <f>MID(excPisCofins[[#This Row],[CodBarras2]],2,50)</f>
        <v/>
      </c>
    </row>
    <row r="17755" spans="9:9" x14ac:dyDescent="0.25">
      <c r="I17755" s="227" t="str">
        <f>MID(excPisCofins[[#This Row],[CodBarras2]],2,50)</f>
        <v/>
      </c>
    </row>
    <row r="17756" spans="9:9" x14ac:dyDescent="0.25">
      <c r="I17756" s="227" t="str">
        <f>MID(excPisCofins[[#This Row],[CodBarras2]],2,50)</f>
        <v/>
      </c>
    </row>
    <row r="17757" spans="9:9" x14ac:dyDescent="0.25">
      <c r="I17757" s="227" t="str">
        <f>MID(excPisCofins[[#This Row],[CodBarras2]],2,50)</f>
        <v/>
      </c>
    </row>
    <row r="17758" spans="9:9" x14ac:dyDescent="0.25">
      <c r="I17758" s="227" t="str">
        <f>MID(excPisCofins[[#This Row],[CodBarras2]],2,50)</f>
        <v/>
      </c>
    </row>
    <row r="17759" spans="9:9" x14ac:dyDescent="0.25">
      <c r="I17759" s="227" t="str">
        <f>MID(excPisCofins[[#This Row],[CodBarras2]],2,50)</f>
        <v/>
      </c>
    </row>
    <row r="17760" spans="9:9" x14ac:dyDescent="0.25">
      <c r="I17760" s="227" t="str">
        <f>MID(excPisCofins[[#This Row],[CodBarras2]],2,50)</f>
        <v/>
      </c>
    </row>
    <row r="17761" spans="9:9" x14ac:dyDescent="0.25">
      <c r="I17761" s="227" t="str">
        <f>MID(excPisCofins[[#This Row],[CodBarras2]],2,50)</f>
        <v/>
      </c>
    </row>
    <row r="17762" spans="9:9" x14ac:dyDescent="0.25">
      <c r="I17762" s="227" t="str">
        <f>MID(excPisCofins[[#This Row],[CodBarras2]],2,50)</f>
        <v/>
      </c>
    </row>
    <row r="17763" spans="9:9" x14ac:dyDescent="0.25">
      <c r="I17763" s="227" t="str">
        <f>MID(excPisCofins[[#This Row],[CodBarras2]],2,50)</f>
        <v/>
      </c>
    </row>
    <row r="17764" spans="9:9" x14ac:dyDescent="0.25">
      <c r="I17764" s="227" t="str">
        <f>MID(excPisCofins[[#This Row],[CodBarras2]],2,50)</f>
        <v/>
      </c>
    </row>
    <row r="17765" spans="9:9" x14ac:dyDescent="0.25">
      <c r="I17765" s="227" t="str">
        <f>MID(excPisCofins[[#This Row],[CodBarras2]],2,50)</f>
        <v/>
      </c>
    </row>
    <row r="17766" spans="9:9" x14ac:dyDescent="0.25">
      <c r="I17766" s="227" t="str">
        <f>MID(excPisCofins[[#This Row],[CodBarras2]],2,50)</f>
        <v/>
      </c>
    </row>
    <row r="17767" spans="9:9" x14ac:dyDescent="0.25">
      <c r="I17767" s="227" t="str">
        <f>MID(excPisCofins[[#This Row],[CodBarras2]],2,50)</f>
        <v/>
      </c>
    </row>
    <row r="17768" spans="9:9" x14ac:dyDescent="0.25">
      <c r="I17768" s="227" t="str">
        <f>MID(excPisCofins[[#This Row],[CodBarras2]],2,50)</f>
        <v/>
      </c>
    </row>
    <row r="17769" spans="9:9" x14ac:dyDescent="0.25">
      <c r="I17769" s="227" t="str">
        <f>MID(excPisCofins[[#This Row],[CodBarras2]],2,50)</f>
        <v/>
      </c>
    </row>
    <row r="17770" spans="9:9" x14ac:dyDescent="0.25">
      <c r="I17770" s="227" t="str">
        <f>MID(excPisCofins[[#This Row],[CodBarras2]],2,50)</f>
        <v/>
      </c>
    </row>
    <row r="17771" spans="9:9" x14ac:dyDescent="0.25">
      <c r="I17771" s="227" t="str">
        <f>MID(excPisCofins[[#This Row],[CodBarras2]],2,50)</f>
        <v/>
      </c>
    </row>
    <row r="17772" spans="9:9" x14ac:dyDescent="0.25">
      <c r="I17772" s="227" t="str">
        <f>MID(excPisCofins[[#This Row],[CodBarras2]],2,50)</f>
        <v/>
      </c>
    </row>
    <row r="17773" spans="9:9" x14ac:dyDescent="0.25">
      <c r="I17773" s="227" t="str">
        <f>MID(excPisCofins[[#This Row],[CodBarras2]],2,50)</f>
        <v/>
      </c>
    </row>
    <row r="17774" spans="9:9" x14ac:dyDescent="0.25">
      <c r="I17774" s="227" t="str">
        <f>MID(excPisCofins[[#This Row],[CodBarras2]],2,50)</f>
        <v/>
      </c>
    </row>
    <row r="17775" spans="9:9" x14ac:dyDescent="0.25">
      <c r="I17775" s="227" t="str">
        <f>MID(excPisCofins[[#This Row],[CodBarras2]],2,50)</f>
        <v/>
      </c>
    </row>
    <row r="17776" spans="9:9" x14ac:dyDescent="0.25">
      <c r="I17776" s="227" t="str">
        <f>MID(excPisCofins[[#This Row],[CodBarras2]],2,50)</f>
        <v/>
      </c>
    </row>
    <row r="17777" spans="9:9" x14ac:dyDescent="0.25">
      <c r="I17777" s="227" t="str">
        <f>MID(excPisCofins[[#This Row],[CodBarras2]],2,50)</f>
        <v/>
      </c>
    </row>
    <row r="17778" spans="9:9" x14ac:dyDescent="0.25">
      <c r="I17778" s="227" t="str">
        <f>MID(excPisCofins[[#This Row],[CodBarras2]],2,50)</f>
        <v/>
      </c>
    </row>
    <row r="17779" spans="9:9" x14ac:dyDescent="0.25">
      <c r="I17779" s="227" t="str">
        <f>MID(excPisCofins[[#This Row],[CodBarras2]],2,50)</f>
        <v/>
      </c>
    </row>
    <row r="17780" spans="9:9" x14ac:dyDescent="0.25">
      <c r="I17780" s="227" t="str">
        <f>MID(excPisCofins[[#This Row],[CodBarras2]],2,50)</f>
        <v/>
      </c>
    </row>
    <row r="17781" spans="9:9" x14ac:dyDescent="0.25">
      <c r="I17781" s="227" t="str">
        <f>MID(excPisCofins[[#This Row],[CodBarras2]],2,50)</f>
        <v/>
      </c>
    </row>
    <row r="17782" spans="9:9" x14ac:dyDescent="0.25">
      <c r="I17782" s="227" t="str">
        <f>MID(excPisCofins[[#This Row],[CodBarras2]],2,50)</f>
        <v/>
      </c>
    </row>
    <row r="17783" spans="9:9" x14ac:dyDescent="0.25">
      <c r="I17783" s="227" t="str">
        <f>MID(excPisCofins[[#This Row],[CodBarras2]],2,50)</f>
        <v/>
      </c>
    </row>
    <row r="17784" spans="9:9" x14ac:dyDescent="0.25">
      <c r="I17784" s="227" t="str">
        <f>MID(excPisCofins[[#This Row],[CodBarras2]],2,50)</f>
        <v/>
      </c>
    </row>
    <row r="17785" spans="9:9" x14ac:dyDescent="0.25">
      <c r="I17785" s="227" t="str">
        <f>MID(excPisCofins[[#This Row],[CodBarras2]],2,50)</f>
        <v/>
      </c>
    </row>
    <row r="17786" spans="9:9" x14ac:dyDescent="0.25">
      <c r="I17786" s="227" t="str">
        <f>MID(excPisCofins[[#This Row],[CodBarras2]],2,50)</f>
        <v/>
      </c>
    </row>
    <row r="17787" spans="9:9" x14ac:dyDescent="0.25">
      <c r="I17787" s="227" t="str">
        <f>MID(excPisCofins[[#This Row],[CodBarras2]],2,50)</f>
        <v/>
      </c>
    </row>
    <row r="17788" spans="9:9" x14ac:dyDescent="0.25">
      <c r="I17788" s="227" t="str">
        <f>MID(excPisCofins[[#This Row],[CodBarras2]],2,50)</f>
        <v/>
      </c>
    </row>
    <row r="17789" spans="9:9" x14ac:dyDescent="0.25">
      <c r="I17789" s="227" t="str">
        <f>MID(excPisCofins[[#This Row],[CodBarras2]],2,50)</f>
        <v/>
      </c>
    </row>
    <row r="17790" spans="9:9" x14ac:dyDescent="0.25">
      <c r="I17790" s="227" t="str">
        <f>MID(excPisCofins[[#This Row],[CodBarras2]],2,50)</f>
        <v/>
      </c>
    </row>
    <row r="17791" spans="9:9" x14ac:dyDescent="0.25">
      <c r="I17791" s="227" t="str">
        <f>MID(excPisCofins[[#This Row],[CodBarras2]],2,50)</f>
        <v/>
      </c>
    </row>
    <row r="17792" spans="9:9" x14ac:dyDescent="0.25">
      <c r="I17792" s="227" t="str">
        <f>MID(excPisCofins[[#This Row],[CodBarras2]],2,50)</f>
        <v/>
      </c>
    </row>
    <row r="17793" spans="9:9" x14ac:dyDescent="0.25">
      <c r="I17793" s="227" t="str">
        <f>MID(excPisCofins[[#This Row],[CodBarras2]],2,50)</f>
        <v/>
      </c>
    </row>
    <row r="17794" spans="9:9" x14ac:dyDescent="0.25">
      <c r="I17794" s="227" t="str">
        <f>MID(excPisCofins[[#This Row],[CodBarras2]],2,50)</f>
        <v/>
      </c>
    </row>
    <row r="17795" spans="9:9" x14ac:dyDescent="0.25">
      <c r="I17795" s="227" t="str">
        <f>MID(excPisCofins[[#This Row],[CodBarras2]],2,50)</f>
        <v/>
      </c>
    </row>
    <row r="17796" spans="9:9" x14ac:dyDescent="0.25">
      <c r="I17796" s="227" t="str">
        <f>MID(excPisCofins[[#This Row],[CodBarras2]],2,50)</f>
        <v/>
      </c>
    </row>
    <row r="17797" spans="9:9" x14ac:dyDescent="0.25">
      <c r="I17797" s="227" t="str">
        <f>MID(excPisCofins[[#This Row],[CodBarras2]],2,50)</f>
        <v/>
      </c>
    </row>
    <row r="17798" spans="9:9" x14ac:dyDescent="0.25">
      <c r="I17798" s="227" t="str">
        <f>MID(excPisCofins[[#This Row],[CodBarras2]],2,50)</f>
        <v/>
      </c>
    </row>
    <row r="17799" spans="9:9" x14ac:dyDescent="0.25">
      <c r="I17799" s="227" t="str">
        <f>MID(excPisCofins[[#This Row],[CodBarras2]],2,50)</f>
        <v/>
      </c>
    </row>
    <row r="17800" spans="9:9" x14ac:dyDescent="0.25">
      <c r="I17800" s="227" t="str">
        <f>MID(excPisCofins[[#This Row],[CodBarras2]],2,50)</f>
        <v/>
      </c>
    </row>
    <row r="17801" spans="9:9" x14ac:dyDescent="0.25">
      <c r="I17801" s="227" t="str">
        <f>MID(excPisCofins[[#This Row],[CodBarras2]],2,50)</f>
        <v/>
      </c>
    </row>
    <row r="17802" spans="9:9" x14ac:dyDescent="0.25">
      <c r="I17802" s="227" t="str">
        <f>MID(excPisCofins[[#This Row],[CodBarras2]],2,50)</f>
        <v/>
      </c>
    </row>
    <row r="17803" spans="9:9" x14ac:dyDescent="0.25">
      <c r="I17803" s="227" t="str">
        <f>MID(excPisCofins[[#This Row],[CodBarras2]],2,50)</f>
        <v/>
      </c>
    </row>
    <row r="17804" spans="9:9" x14ac:dyDescent="0.25">
      <c r="I17804" s="227" t="str">
        <f>MID(excPisCofins[[#This Row],[CodBarras2]],2,50)</f>
        <v/>
      </c>
    </row>
    <row r="17805" spans="9:9" x14ac:dyDescent="0.25">
      <c r="I17805" s="227" t="str">
        <f>MID(excPisCofins[[#This Row],[CodBarras2]],2,50)</f>
        <v/>
      </c>
    </row>
    <row r="17806" spans="9:9" x14ac:dyDescent="0.25">
      <c r="I17806" s="227" t="str">
        <f>MID(excPisCofins[[#This Row],[CodBarras2]],2,50)</f>
        <v/>
      </c>
    </row>
    <row r="17807" spans="9:9" x14ac:dyDescent="0.25">
      <c r="I17807" s="227" t="str">
        <f>MID(excPisCofins[[#This Row],[CodBarras2]],2,50)</f>
        <v/>
      </c>
    </row>
    <row r="17808" spans="9:9" x14ac:dyDescent="0.25">
      <c r="I17808" s="227" t="str">
        <f>MID(excPisCofins[[#This Row],[CodBarras2]],2,50)</f>
        <v/>
      </c>
    </row>
    <row r="17809" spans="9:9" x14ac:dyDescent="0.25">
      <c r="I17809" s="227" t="str">
        <f>MID(excPisCofins[[#This Row],[CodBarras2]],2,50)</f>
        <v/>
      </c>
    </row>
    <row r="17810" spans="9:9" x14ac:dyDescent="0.25">
      <c r="I17810" s="227" t="str">
        <f>MID(excPisCofins[[#This Row],[CodBarras2]],2,50)</f>
        <v/>
      </c>
    </row>
    <row r="17811" spans="9:9" x14ac:dyDescent="0.25">
      <c r="I17811" s="227" t="str">
        <f>MID(excPisCofins[[#This Row],[CodBarras2]],2,50)</f>
        <v/>
      </c>
    </row>
    <row r="17812" spans="9:9" x14ac:dyDescent="0.25">
      <c r="I17812" s="227" t="str">
        <f>MID(excPisCofins[[#This Row],[CodBarras2]],2,50)</f>
        <v/>
      </c>
    </row>
    <row r="17813" spans="9:9" x14ac:dyDescent="0.25">
      <c r="I17813" s="227" t="str">
        <f>MID(excPisCofins[[#This Row],[CodBarras2]],2,50)</f>
        <v/>
      </c>
    </row>
    <row r="17814" spans="9:9" x14ac:dyDescent="0.25">
      <c r="I17814" s="227" t="str">
        <f>MID(excPisCofins[[#This Row],[CodBarras2]],2,50)</f>
        <v/>
      </c>
    </row>
    <row r="17815" spans="9:9" x14ac:dyDescent="0.25">
      <c r="I17815" s="227" t="str">
        <f>MID(excPisCofins[[#This Row],[CodBarras2]],2,50)</f>
        <v/>
      </c>
    </row>
    <row r="17816" spans="9:9" x14ac:dyDescent="0.25">
      <c r="I17816" s="227" t="str">
        <f>MID(excPisCofins[[#This Row],[CodBarras2]],2,50)</f>
        <v/>
      </c>
    </row>
    <row r="17817" spans="9:9" x14ac:dyDescent="0.25">
      <c r="I17817" s="227" t="str">
        <f>MID(excPisCofins[[#This Row],[CodBarras2]],2,50)</f>
        <v/>
      </c>
    </row>
    <row r="17818" spans="9:9" x14ac:dyDescent="0.25">
      <c r="I17818" s="227" t="str">
        <f>MID(excPisCofins[[#This Row],[CodBarras2]],2,50)</f>
        <v/>
      </c>
    </row>
    <row r="17819" spans="9:9" x14ac:dyDescent="0.25">
      <c r="I17819" s="227" t="str">
        <f>MID(excPisCofins[[#This Row],[CodBarras2]],2,50)</f>
        <v/>
      </c>
    </row>
    <row r="17820" spans="9:9" x14ac:dyDescent="0.25">
      <c r="I17820" s="227" t="str">
        <f>MID(excPisCofins[[#This Row],[CodBarras2]],2,50)</f>
        <v/>
      </c>
    </row>
    <row r="17821" spans="9:9" x14ac:dyDescent="0.25">
      <c r="I17821" s="227" t="str">
        <f>MID(excPisCofins[[#This Row],[CodBarras2]],2,50)</f>
        <v/>
      </c>
    </row>
    <row r="17822" spans="9:9" x14ac:dyDescent="0.25">
      <c r="I17822" s="227" t="str">
        <f>MID(excPisCofins[[#This Row],[CodBarras2]],2,50)</f>
        <v/>
      </c>
    </row>
    <row r="17823" spans="9:9" x14ac:dyDescent="0.25">
      <c r="I17823" s="227" t="str">
        <f>MID(excPisCofins[[#This Row],[CodBarras2]],2,50)</f>
        <v/>
      </c>
    </row>
    <row r="17824" spans="9:9" x14ac:dyDescent="0.25">
      <c r="I17824" s="227" t="str">
        <f>MID(excPisCofins[[#This Row],[CodBarras2]],2,50)</f>
        <v/>
      </c>
    </row>
    <row r="17825" spans="9:9" x14ac:dyDescent="0.25">
      <c r="I17825" s="227" t="str">
        <f>MID(excPisCofins[[#This Row],[CodBarras2]],2,50)</f>
        <v/>
      </c>
    </row>
    <row r="17826" spans="9:9" x14ac:dyDescent="0.25">
      <c r="I17826" s="227" t="str">
        <f>MID(excPisCofins[[#This Row],[CodBarras2]],2,50)</f>
        <v/>
      </c>
    </row>
    <row r="17827" spans="9:9" x14ac:dyDescent="0.25">
      <c r="I17827" s="227" t="str">
        <f>MID(excPisCofins[[#This Row],[CodBarras2]],2,50)</f>
        <v/>
      </c>
    </row>
    <row r="17828" spans="9:9" x14ac:dyDescent="0.25">
      <c r="I17828" s="227" t="str">
        <f>MID(excPisCofins[[#This Row],[CodBarras2]],2,50)</f>
        <v/>
      </c>
    </row>
    <row r="17829" spans="9:9" x14ac:dyDescent="0.25">
      <c r="I17829" s="227" t="str">
        <f>MID(excPisCofins[[#This Row],[CodBarras2]],2,50)</f>
        <v/>
      </c>
    </row>
    <row r="17830" spans="9:9" x14ac:dyDescent="0.25">
      <c r="I17830" s="227" t="str">
        <f>MID(excPisCofins[[#This Row],[CodBarras2]],2,50)</f>
        <v/>
      </c>
    </row>
    <row r="17831" spans="9:9" x14ac:dyDescent="0.25">
      <c r="I17831" s="227" t="str">
        <f>MID(excPisCofins[[#This Row],[CodBarras2]],2,50)</f>
        <v/>
      </c>
    </row>
    <row r="17832" spans="9:9" x14ac:dyDescent="0.25">
      <c r="I17832" s="227" t="str">
        <f>MID(excPisCofins[[#This Row],[CodBarras2]],2,50)</f>
        <v/>
      </c>
    </row>
    <row r="17833" spans="9:9" x14ac:dyDescent="0.25">
      <c r="I17833" s="227" t="str">
        <f>MID(excPisCofins[[#This Row],[CodBarras2]],2,50)</f>
        <v/>
      </c>
    </row>
    <row r="17834" spans="9:9" x14ac:dyDescent="0.25">
      <c r="I17834" s="227" t="str">
        <f>MID(excPisCofins[[#This Row],[CodBarras2]],2,50)</f>
        <v/>
      </c>
    </row>
    <row r="17835" spans="9:9" x14ac:dyDescent="0.25">
      <c r="I17835" s="227" t="str">
        <f>MID(excPisCofins[[#This Row],[CodBarras2]],2,50)</f>
        <v/>
      </c>
    </row>
    <row r="17836" spans="9:9" x14ac:dyDescent="0.25">
      <c r="I17836" s="227" t="str">
        <f>MID(excPisCofins[[#This Row],[CodBarras2]],2,50)</f>
        <v/>
      </c>
    </row>
    <row r="17837" spans="9:9" x14ac:dyDescent="0.25">
      <c r="I17837" s="227" t="str">
        <f>MID(excPisCofins[[#This Row],[CodBarras2]],2,50)</f>
        <v/>
      </c>
    </row>
    <row r="17838" spans="9:9" x14ac:dyDescent="0.25">
      <c r="I17838" s="227" t="str">
        <f>MID(excPisCofins[[#This Row],[CodBarras2]],2,50)</f>
        <v/>
      </c>
    </row>
    <row r="17839" spans="9:9" x14ac:dyDescent="0.25">
      <c r="I17839" s="227" t="str">
        <f>MID(excPisCofins[[#This Row],[CodBarras2]],2,50)</f>
        <v/>
      </c>
    </row>
    <row r="17840" spans="9:9" x14ac:dyDescent="0.25">
      <c r="I17840" s="227" t="str">
        <f>MID(excPisCofins[[#This Row],[CodBarras2]],2,50)</f>
        <v/>
      </c>
    </row>
    <row r="17841" spans="9:9" x14ac:dyDescent="0.25">
      <c r="I17841" s="227" t="str">
        <f>MID(excPisCofins[[#This Row],[CodBarras2]],2,50)</f>
        <v/>
      </c>
    </row>
    <row r="17842" spans="9:9" x14ac:dyDescent="0.25">
      <c r="I17842" s="227" t="str">
        <f>MID(excPisCofins[[#This Row],[CodBarras2]],2,50)</f>
        <v/>
      </c>
    </row>
    <row r="17843" spans="9:9" x14ac:dyDescent="0.25">
      <c r="I17843" s="227" t="str">
        <f>MID(excPisCofins[[#This Row],[CodBarras2]],2,50)</f>
        <v/>
      </c>
    </row>
    <row r="17844" spans="9:9" x14ac:dyDescent="0.25">
      <c r="I17844" s="227" t="str">
        <f>MID(excPisCofins[[#This Row],[CodBarras2]],2,50)</f>
        <v/>
      </c>
    </row>
    <row r="17845" spans="9:9" x14ac:dyDescent="0.25">
      <c r="I17845" s="227" t="str">
        <f>MID(excPisCofins[[#This Row],[CodBarras2]],2,50)</f>
        <v/>
      </c>
    </row>
    <row r="17846" spans="9:9" x14ac:dyDescent="0.25">
      <c r="I17846" s="227" t="str">
        <f>MID(excPisCofins[[#This Row],[CodBarras2]],2,50)</f>
        <v/>
      </c>
    </row>
    <row r="17847" spans="9:9" x14ac:dyDescent="0.25">
      <c r="I17847" s="227" t="str">
        <f>MID(excPisCofins[[#This Row],[CodBarras2]],2,50)</f>
        <v/>
      </c>
    </row>
    <row r="17848" spans="9:9" x14ac:dyDescent="0.25">
      <c r="I17848" s="227" t="str">
        <f>MID(excPisCofins[[#This Row],[CodBarras2]],2,50)</f>
        <v/>
      </c>
    </row>
    <row r="17849" spans="9:9" x14ac:dyDescent="0.25">
      <c r="I17849" s="227" t="str">
        <f>MID(excPisCofins[[#This Row],[CodBarras2]],2,50)</f>
        <v/>
      </c>
    </row>
    <row r="17850" spans="9:9" x14ac:dyDescent="0.25">
      <c r="I17850" s="227" t="str">
        <f>MID(excPisCofins[[#This Row],[CodBarras2]],2,50)</f>
        <v/>
      </c>
    </row>
    <row r="17851" spans="9:9" x14ac:dyDescent="0.25">
      <c r="I17851" s="227" t="str">
        <f>MID(excPisCofins[[#This Row],[CodBarras2]],2,50)</f>
        <v/>
      </c>
    </row>
    <row r="17852" spans="9:9" x14ac:dyDescent="0.25">
      <c r="I17852" s="227" t="str">
        <f>MID(excPisCofins[[#This Row],[CodBarras2]],2,50)</f>
        <v/>
      </c>
    </row>
    <row r="17853" spans="9:9" x14ac:dyDescent="0.25">
      <c r="I17853" s="227" t="str">
        <f>MID(excPisCofins[[#This Row],[CodBarras2]],2,50)</f>
        <v/>
      </c>
    </row>
    <row r="17854" spans="9:9" x14ac:dyDescent="0.25">
      <c r="I17854" s="227" t="str">
        <f>MID(excPisCofins[[#This Row],[CodBarras2]],2,50)</f>
        <v/>
      </c>
    </row>
    <row r="17855" spans="9:9" x14ac:dyDescent="0.25">
      <c r="I17855" s="227" t="str">
        <f>MID(excPisCofins[[#This Row],[CodBarras2]],2,50)</f>
        <v/>
      </c>
    </row>
    <row r="17856" spans="9:9" x14ac:dyDescent="0.25">
      <c r="I17856" s="227" t="str">
        <f>MID(excPisCofins[[#This Row],[CodBarras2]],2,50)</f>
        <v/>
      </c>
    </row>
    <row r="17857" spans="9:9" x14ac:dyDescent="0.25">
      <c r="I17857" s="227" t="str">
        <f>MID(excPisCofins[[#This Row],[CodBarras2]],2,50)</f>
        <v/>
      </c>
    </row>
    <row r="17858" spans="9:9" x14ac:dyDescent="0.25">
      <c r="I17858" s="227" t="str">
        <f>MID(excPisCofins[[#This Row],[CodBarras2]],2,50)</f>
        <v/>
      </c>
    </row>
    <row r="17859" spans="9:9" x14ac:dyDescent="0.25">
      <c r="I17859" s="227" t="str">
        <f>MID(excPisCofins[[#This Row],[CodBarras2]],2,50)</f>
        <v/>
      </c>
    </row>
    <row r="17860" spans="9:9" x14ac:dyDescent="0.25">
      <c r="I17860" s="227" t="str">
        <f>MID(excPisCofins[[#This Row],[CodBarras2]],2,50)</f>
        <v/>
      </c>
    </row>
    <row r="17861" spans="9:9" x14ac:dyDescent="0.25">
      <c r="I17861" s="227" t="str">
        <f>MID(excPisCofins[[#This Row],[CodBarras2]],2,50)</f>
        <v/>
      </c>
    </row>
    <row r="17862" spans="9:9" x14ac:dyDescent="0.25">
      <c r="I17862" s="227" t="str">
        <f>MID(excPisCofins[[#This Row],[CodBarras2]],2,50)</f>
        <v/>
      </c>
    </row>
    <row r="17863" spans="9:9" x14ac:dyDescent="0.25">
      <c r="I17863" s="227" t="str">
        <f>MID(excPisCofins[[#This Row],[CodBarras2]],2,50)</f>
        <v/>
      </c>
    </row>
    <row r="17864" spans="9:9" x14ac:dyDescent="0.25">
      <c r="I17864" s="227" t="str">
        <f>MID(excPisCofins[[#This Row],[CodBarras2]],2,50)</f>
        <v/>
      </c>
    </row>
    <row r="17865" spans="9:9" x14ac:dyDescent="0.25">
      <c r="I17865" s="227" t="str">
        <f>MID(excPisCofins[[#This Row],[CodBarras2]],2,50)</f>
        <v/>
      </c>
    </row>
    <row r="17866" spans="9:9" x14ac:dyDescent="0.25">
      <c r="I17866" s="227" t="str">
        <f>MID(excPisCofins[[#This Row],[CodBarras2]],2,50)</f>
        <v/>
      </c>
    </row>
    <row r="17867" spans="9:9" x14ac:dyDescent="0.25">
      <c r="I17867" s="227" t="str">
        <f>MID(excPisCofins[[#This Row],[CodBarras2]],2,50)</f>
        <v/>
      </c>
    </row>
    <row r="17868" spans="9:9" x14ac:dyDescent="0.25">
      <c r="I17868" s="227" t="str">
        <f>MID(excPisCofins[[#This Row],[CodBarras2]],2,50)</f>
        <v/>
      </c>
    </row>
    <row r="17869" spans="9:9" x14ac:dyDescent="0.25">
      <c r="I17869" s="227" t="str">
        <f>MID(excPisCofins[[#This Row],[CodBarras2]],2,50)</f>
        <v/>
      </c>
    </row>
    <row r="17870" spans="9:9" x14ac:dyDescent="0.25">
      <c r="I17870" s="227" t="str">
        <f>MID(excPisCofins[[#This Row],[CodBarras2]],2,50)</f>
        <v/>
      </c>
    </row>
    <row r="17871" spans="9:9" x14ac:dyDescent="0.25">
      <c r="I17871" s="227" t="str">
        <f>MID(excPisCofins[[#This Row],[CodBarras2]],2,50)</f>
        <v/>
      </c>
    </row>
    <row r="17872" spans="9:9" x14ac:dyDescent="0.25">
      <c r="I17872" s="227" t="str">
        <f>MID(excPisCofins[[#This Row],[CodBarras2]],2,50)</f>
        <v/>
      </c>
    </row>
    <row r="17873" spans="9:9" x14ac:dyDescent="0.25">
      <c r="I17873" s="227" t="str">
        <f>MID(excPisCofins[[#This Row],[CodBarras2]],2,50)</f>
        <v/>
      </c>
    </row>
    <row r="17874" spans="9:9" x14ac:dyDescent="0.25">
      <c r="I17874" s="227" t="str">
        <f>MID(excPisCofins[[#This Row],[CodBarras2]],2,50)</f>
        <v/>
      </c>
    </row>
    <row r="17875" spans="9:9" x14ac:dyDescent="0.25">
      <c r="I17875" s="227" t="str">
        <f>MID(excPisCofins[[#This Row],[CodBarras2]],2,50)</f>
        <v/>
      </c>
    </row>
    <row r="17876" spans="9:9" x14ac:dyDescent="0.25">
      <c r="I17876" s="227" t="str">
        <f>MID(excPisCofins[[#This Row],[CodBarras2]],2,50)</f>
        <v/>
      </c>
    </row>
    <row r="17877" spans="9:9" x14ac:dyDescent="0.25">
      <c r="I17877" s="227" t="str">
        <f>MID(excPisCofins[[#This Row],[CodBarras2]],2,50)</f>
        <v/>
      </c>
    </row>
    <row r="17878" spans="9:9" x14ac:dyDescent="0.25">
      <c r="I17878" s="227" t="str">
        <f>MID(excPisCofins[[#This Row],[CodBarras2]],2,50)</f>
        <v/>
      </c>
    </row>
    <row r="17879" spans="9:9" x14ac:dyDescent="0.25">
      <c r="I17879" s="227" t="str">
        <f>MID(excPisCofins[[#This Row],[CodBarras2]],2,50)</f>
        <v/>
      </c>
    </row>
    <row r="17880" spans="9:9" x14ac:dyDescent="0.25">
      <c r="I17880" s="227" t="str">
        <f>MID(excPisCofins[[#This Row],[CodBarras2]],2,50)</f>
        <v/>
      </c>
    </row>
    <row r="17881" spans="9:9" x14ac:dyDescent="0.25">
      <c r="I17881" s="227" t="str">
        <f>MID(excPisCofins[[#This Row],[CodBarras2]],2,50)</f>
        <v/>
      </c>
    </row>
    <row r="17882" spans="9:9" x14ac:dyDescent="0.25">
      <c r="I17882" s="227" t="str">
        <f>MID(excPisCofins[[#This Row],[CodBarras2]],2,50)</f>
        <v/>
      </c>
    </row>
    <row r="17883" spans="9:9" x14ac:dyDescent="0.25">
      <c r="I17883" s="227" t="str">
        <f>MID(excPisCofins[[#This Row],[CodBarras2]],2,50)</f>
        <v/>
      </c>
    </row>
    <row r="17884" spans="9:9" x14ac:dyDescent="0.25">
      <c r="I17884" s="227" t="str">
        <f>MID(excPisCofins[[#This Row],[CodBarras2]],2,50)</f>
        <v/>
      </c>
    </row>
    <row r="17885" spans="9:9" x14ac:dyDescent="0.25">
      <c r="I17885" s="227" t="str">
        <f>MID(excPisCofins[[#This Row],[CodBarras2]],2,50)</f>
        <v/>
      </c>
    </row>
    <row r="17886" spans="9:9" x14ac:dyDescent="0.25">
      <c r="I17886" s="227" t="str">
        <f>MID(excPisCofins[[#This Row],[CodBarras2]],2,50)</f>
        <v/>
      </c>
    </row>
    <row r="17887" spans="9:9" x14ac:dyDescent="0.25">
      <c r="I17887" s="227" t="str">
        <f>MID(excPisCofins[[#This Row],[CodBarras2]],2,50)</f>
        <v/>
      </c>
    </row>
    <row r="17888" spans="9:9" x14ac:dyDescent="0.25">
      <c r="I17888" s="227" t="str">
        <f>MID(excPisCofins[[#This Row],[CodBarras2]],2,50)</f>
        <v/>
      </c>
    </row>
    <row r="17889" spans="9:9" x14ac:dyDescent="0.25">
      <c r="I17889" s="227" t="str">
        <f>MID(excPisCofins[[#This Row],[CodBarras2]],2,50)</f>
        <v/>
      </c>
    </row>
    <row r="17890" spans="9:9" x14ac:dyDescent="0.25">
      <c r="I17890" s="227" t="str">
        <f>MID(excPisCofins[[#This Row],[CodBarras2]],2,50)</f>
        <v/>
      </c>
    </row>
    <row r="17891" spans="9:9" x14ac:dyDescent="0.25">
      <c r="I17891" s="227" t="str">
        <f>MID(excPisCofins[[#This Row],[CodBarras2]],2,50)</f>
        <v/>
      </c>
    </row>
    <row r="17892" spans="9:9" x14ac:dyDescent="0.25">
      <c r="I17892" s="227" t="str">
        <f>MID(excPisCofins[[#This Row],[CodBarras2]],2,50)</f>
        <v/>
      </c>
    </row>
    <row r="17893" spans="9:9" x14ac:dyDescent="0.25">
      <c r="I17893" s="227" t="str">
        <f>MID(excPisCofins[[#This Row],[CodBarras2]],2,50)</f>
        <v/>
      </c>
    </row>
    <row r="17894" spans="9:9" x14ac:dyDescent="0.25">
      <c r="I17894" s="227" t="str">
        <f>MID(excPisCofins[[#This Row],[CodBarras2]],2,50)</f>
        <v/>
      </c>
    </row>
    <row r="17895" spans="9:9" x14ac:dyDescent="0.25">
      <c r="I17895" s="227" t="str">
        <f>MID(excPisCofins[[#This Row],[CodBarras2]],2,50)</f>
        <v/>
      </c>
    </row>
    <row r="17896" spans="9:9" x14ac:dyDescent="0.25">
      <c r="I17896" s="227" t="str">
        <f>MID(excPisCofins[[#This Row],[CodBarras2]],2,50)</f>
        <v/>
      </c>
    </row>
    <row r="17897" spans="9:9" x14ac:dyDescent="0.25">
      <c r="I17897" s="227" t="str">
        <f>MID(excPisCofins[[#This Row],[CodBarras2]],2,50)</f>
        <v/>
      </c>
    </row>
    <row r="17898" spans="9:9" x14ac:dyDescent="0.25">
      <c r="I17898" s="227" t="str">
        <f>MID(excPisCofins[[#This Row],[CodBarras2]],2,50)</f>
        <v/>
      </c>
    </row>
    <row r="17899" spans="9:9" x14ac:dyDescent="0.25">
      <c r="I17899" s="227" t="str">
        <f>MID(excPisCofins[[#This Row],[CodBarras2]],2,50)</f>
        <v/>
      </c>
    </row>
    <row r="17900" spans="9:9" x14ac:dyDescent="0.25">
      <c r="I17900" s="227" t="str">
        <f>MID(excPisCofins[[#This Row],[CodBarras2]],2,50)</f>
        <v/>
      </c>
    </row>
    <row r="17901" spans="9:9" x14ac:dyDescent="0.25">
      <c r="I17901" s="227" t="str">
        <f>MID(excPisCofins[[#This Row],[CodBarras2]],2,50)</f>
        <v/>
      </c>
    </row>
    <row r="17902" spans="9:9" x14ac:dyDescent="0.25">
      <c r="I17902" s="227" t="str">
        <f>MID(excPisCofins[[#This Row],[CodBarras2]],2,50)</f>
        <v/>
      </c>
    </row>
    <row r="17903" spans="9:9" x14ac:dyDescent="0.25">
      <c r="I17903" s="227" t="str">
        <f>MID(excPisCofins[[#This Row],[CodBarras2]],2,50)</f>
        <v/>
      </c>
    </row>
    <row r="17904" spans="9:9" x14ac:dyDescent="0.25">
      <c r="I17904" s="227" t="str">
        <f>MID(excPisCofins[[#This Row],[CodBarras2]],2,50)</f>
        <v/>
      </c>
    </row>
    <row r="17905" spans="9:9" x14ac:dyDescent="0.25">
      <c r="I17905" s="227" t="str">
        <f>MID(excPisCofins[[#This Row],[CodBarras2]],2,50)</f>
        <v/>
      </c>
    </row>
    <row r="17906" spans="9:9" x14ac:dyDescent="0.25">
      <c r="I17906" s="227" t="str">
        <f>MID(excPisCofins[[#This Row],[CodBarras2]],2,50)</f>
        <v/>
      </c>
    </row>
    <row r="17907" spans="9:9" x14ac:dyDescent="0.25">
      <c r="I17907" s="227" t="str">
        <f>MID(excPisCofins[[#This Row],[CodBarras2]],2,50)</f>
        <v/>
      </c>
    </row>
    <row r="17908" spans="9:9" x14ac:dyDescent="0.25">
      <c r="I17908" s="227" t="str">
        <f>MID(excPisCofins[[#This Row],[CodBarras2]],2,50)</f>
        <v/>
      </c>
    </row>
    <row r="17909" spans="9:9" x14ac:dyDescent="0.25">
      <c r="I17909" s="227" t="str">
        <f>MID(excPisCofins[[#This Row],[CodBarras2]],2,50)</f>
        <v/>
      </c>
    </row>
    <row r="17910" spans="9:9" x14ac:dyDescent="0.25">
      <c r="I17910" s="227" t="str">
        <f>MID(excPisCofins[[#This Row],[CodBarras2]],2,50)</f>
        <v/>
      </c>
    </row>
    <row r="17911" spans="9:9" x14ac:dyDescent="0.25">
      <c r="I17911" s="227" t="str">
        <f>MID(excPisCofins[[#This Row],[CodBarras2]],2,50)</f>
        <v/>
      </c>
    </row>
    <row r="17912" spans="9:9" x14ac:dyDescent="0.25">
      <c r="I17912" s="227" t="str">
        <f>MID(excPisCofins[[#This Row],[CodBarras2]],2,50)</f>
        <v/>
      </c>
    </row>
    <row r="17913" spans="9:9" x14ac:dyDescent="0.25">
      <c r="I17913" s="227" t="str">
        <f>MID(excPisCofins[[#This Row],[CodBarras2]],2,50)</f>
        <v/>
      </c>
    </row>
    <row r="17914" spans="9:9" x14ac:dyDescent="0.25">
      <c r="I17914" s="227" t="str">
        <f>MID(excPisCofins[[#This Row],[CodBarras2]],2,50)</f>
        <v/>
      </c>
    </row>
    <row r="17915" spans="9:9" x14ac:dyDescent="0.25">
      <c r="I17915" s="227" t="str">
        <f>MID(excPisCofins[[#This Row],[CodBarras2]],2,50)</f>
        <v/>
      </c>
    </row>
    <row r="17916" spans="9:9" x14ac:dyDescent="0.25">
      <c r="I17916" s="227" t="str">
        <f>MID(excPisCofins[[#This Row],[CodBarras2]],2,50)</f>
        <v/>
      </c>
    </row>
    <row r="17917" spans="9:9" x14ac:dyDescent="0.25">
      <c r="I17917" s="227" t="str">
        <f>MID(excPisCofins[[#This Row],[CodBarras2]],2,50)</f>
        <v/>
      </c>
    </row>
    <row r="17918" spans="9:9" x14ac:dyDescent="0.25">
      <c r="I17918" s="227" t="str">
        <f>MID(excPisCofins[[#This Row],[CodBarras2]],2,50)</f>
        <v/>
      </c>
    </row>
    <row r="17919" spans="9:9" x14ac:dyDescent="0.25">
      <c r="I17919" s="227" t="str">
        <f>MID(excPisCofins[[#This Row],[CodBarras2]],2,50)</f>
        <v/>
      </c>
    </row>
    <row r="17920" spans="9:9" x14ac:dyDescent="0.25">
      <c r="I17920" s="227" t="str">
        <f>MID(excPisCofins[[#This Row],[CodBarras2]],2,50)</f>
        <v/>
      </c>
    </row>
    <row r="17921" spans="9:9" x14ac:dyDescent="0.25">
      <c r="I17921" s="227" t="str">
        <f>MID(excPisCofins[[#This Row],[CodBarras2]],2,50)</f>
        <v/>
      </c>
    </row>
    <row r="17922" spans="9:9" x14ac:dyDescent="0.25">
      <c r="I17922" s="227" t="str">
        <f>MID(excPisCofins[[#This Row],[CodBarras2]],2,50)</f>
        <v/>
      </c>
    </row>
    <row r="17923" spans="9:9" x14ac:dyDescent="0.25">
      <c r="I17923" s="227" t="str">
        <f>MID(excPisCofins[[#This Row],[CodBarras2]],2,50)</f>
        <v/>
      </c>
    </row>
    <row r="17924" spans="9:9" x14ac:dyDescent="0.25">
      <c r="I17924" s="227" t="str">
        <f>MID(excPisCofins[[#This Row],[CodBarras2]],2,50)</f>
        <v/>
      </c>
    </row>
    <row r="17925" spans="9:9" x14ac:dyDescent="0.25">
      <c r="I17925" s="227" t="str">
        <f>MID(excPisCofins[[#This Row],[CodBarras2]],2,50)</f>
        <v/>
      </c>
    </row>
    <row r="17926" spans="9:9" x14ac:dyDescent="0.25">
      <c r="I17926" s="227" t="str">
        <f>MID(excPisCofins[[#This Row],[CodBarras2]],2,50)</f>
        <v/>
      </c>
    </row>
    <row r="17927" spans="9:9" x14ac:dyDescent="0.25">
      <c r="I17927" s="227" t="str">
        <f>MID(excPisCofins[[#This Row],[CodBarras2]],2,50)</f>
        <v/>
      </c>
    </row>
    <row r="17928" spans="9:9" x14ac:dyDescent="0.25">
      <c r="I17928" s="227" t="str">
        <f>MID(excPisCofins[[#This Row],[CodBarras2]],2,50)</f>
        <v/>
      </c>
    </row>
    <row r="17929" spans="9:9" x14ac:dyDescent="0.25">
      <c r="I17929" s="227" t="str">
        <f>MID(excPisCofins[[#This Row],[CodBarras2]],2,50)</f>
        <v/>
      </c>
    </row>
    <row r="17930" spans="9:9" x14ac:dyDescent="0.25">
      <c r="I17930" s="227" t="str">
        <f>MID(excPisCofins[[#This Row],[CodBarras2]],2,50)</f>
        <v/>
      </c>
    </row>
    <row r="17931" spans="9:9" x14ac:dyDescent="0.25">
      <c r="I17931" s="227" t="str">
        <f>MID(excPisCofins[[#This Row],[CodBarras2]],2,50)</f>
        <v/>
      </c>
    </row>
    <row r="17932" spans="9:9" x14ac:dyDescent="0.25">
      <c r="I17932" s="227" t="str">
        <f>MID(excPisCofins[[#This Row],[CodBarras2]],2,50)</f>
        <v/>
      </c>
    </row>
    <row r="17933" spans="9:9" x14ac:dyDescent="0.25">
      <c r="I17933" s="227" t="str">
        <f>MID(excPisCofins[[#This Row],[CodBarras2]],2,50)</f>
        <v/>
      </c>
    </row>
    <row r="17934" spans="9:9" x14ac:dyDescent="0.25">
      <c r="I17934" s="227" t="str">
        <f>MID(excPisCofins[[#This Row],[CodBarras2]],2,50)</f>
        <v/>
      </c>
    </row>
    <row r="17935" spans="9:9" x14ac:dyDescent="0.25">
      <c r="I17935" s="227" t="str">
        <f>MID(excPisCofins[[#This Row],[CodBarras2]],2,50)</f>
        <v/>
      </c>
    </row>
    <row r="17936" spans="9:9" x14ac:dyDescent="0.25">
      <c r="I17936" s="227" t="str">
        <f>MID(excPisCofins[[#This Row],[CodBarras2]],2,50)</f>
        <v/>
      </c>
    </row>
    <row r="17937" spans="9:9" x14ac:dyDescent="0.25">
      <c r="I17937" s="227" t="str">
        <f>MID(excPisCofins[[#This Row],[CodBarras2]],2,50)</f>
        <v/>
      </c>
    </row>
    <row r="17938" spans="9:9" x14ac:dyDescent="0.25">
      <c r="I17938" s="227" t="str">
        <f>MID(excPisCofins[[#This Row],[CodBarras2]],2,50)</f>
        <v/>
      </c>
    </row>
    <row r="17939" spans="9:9" x14ac:dyDescent="0.25">
      <c r="I17939" s="227" t="str">
        <f>MID(excPisCofins[[#This Row],[CodBarras2]],2,50)</f>
        <v/>
      </c>
    </row>
    <row r="17940" spans="9:9" x14ac:dyDescent="0.25">
      <c r="I17940" s="227" t="str">
        <f>MID(excPisCofins[[#This Row],[CodBarras2]],2,50)</f>
        <v/>
      </c>
    </row>
    <row r="17941" spans="9:9" x14ac:dyDescent="0.25">
      <c r="I17941" s="227" t="str">
        <f>MID(excPisCofins[[#This Row],[CodBarras2]],2,50)</f>
        <v/>
      </c>
    </row>
    <row r="17942" spans="9:9" x14ac:dyDescent="0.25">
      <c r="I17942" s="227" t="str">
        <f>MID(excPisCofins[[#This Row],[CodBarras2]],2,50)</f>
        <v/>
      </c>
    </row>
    <row r="17943" spans="9:9" x14ac:dyDescent="0.25">
      <c r="I17943" s="227" t="str">
        <f>MID(excPisCofins[[#This Row],[CodBarras2]],2,50)</f>
        <v/>
      </c>
    </row>
    <row r="17944" spans="9:9" x14ac:dyDescent="0.25">
      <c r="I17944" s="227" t="str">
        <f>MID(excPisCofins[[#This Row],[CodBarras2]],2,50)</f>
        <v/>
      </c>
    </row>
    <row r="17945" spans="9:9" x14ac:dyDescent="0.25">
      <c r="I17945" s="227" t="str">
        <f>MID(excPisCofins[[#This Row],[CodBarras2]],2,50)</f>
        <v/>
      </c>
    </row>
    <row r="17946" spans="9:9" x14ac:dyDescent="0.25">
      <c r="I17946" s="227" t="str">
        <f>MID(excPisCofins[[#This Row],[CodBarras2]],2,50)</f>
        <v/>
      </c>
    </row>
    <row r="17947" spans="9:9" x14ac:dyDescent="0.25">
      <c r="I17947" s="227" t="str">
        <f>MID(excPisCofins[[#This Row],[CodBarras2]],2,50)</f>
        <v/>
      </c>
    </row>
    <row r="17948" spans="9:9" x14ac:dyDescent="0.25">
      <c r="I17948" s="227" t="str">
        <f>MID(excPisCofins[[#This Row],[CodBarras2]],2,50)</f>
        <v/>
      </c>
    </row>
    <row r="17949" spans="9:9" x14ac:dyDescent="0.25">
      <c r="I17949" s="227" t="str">
        <f>MID(excPisCofins[[#This Row],[CodBarras2]],2,50)</f>
        <v/>
      </c>
    </row>
    <row r="17950" spans="9:9" x14ac:dyDescent="0.25">
      <c r="I17950" s="227" t="str">
        <f>MID(excPisCofins[[#This Row],[CodBarras2]],2,50)</f>
        <v/>
      </c>
    </row>
    <row r="17951" spans="9:9" x14ac:dyDescent="0.25">
      <c r="I17951" s="227" t="str">
        <f>MID(excPisCofins[[#This Row],[CodBarras2]],2,50)</f>
        <v/>
      </c>
    </row>
    <row r="17952" spans="9:9" x14ac:dyDescent="0.25">
      <c r="I17952" s="227" t="str">
        <f>MID(excPisCofins[[#This Row],[CodBarras2]],2,50)</f>
        <v/>
      </c>
    </row>
    <row r="17953" spans="9:9" x14ac:dyDescent="0.25">
      <c r="I17953" s="227" t="str">
        <f>MID(excPisCofins[[#This Row],[CodBarras2]],2,50)</f>
        <v/>
      </c>
    </row>
    <row r="17954" spans="9:9" x14ac:dyDescent="0.25">
      <c r="I17954" s="227" t="str">
        <f>MID(excPisCofins[[#This Row],[CodBarras2]],2,50)</f>
        <v/>
      </c>
    </row>
    <row r="17955" spans="9:9" x14ac:dyDescent="0.25">
      <c r="I17955" s="227" t="str">
        <f>MID(excPisCofins[[#This Row],[CodBarras2]],2,50)</f>
        <v/>
      </c>
    </row>
    <row r="17956" spans="9:9" x14ac:dyDescent="0.25">
      <c r="I17956" s="227" t="str">
        <f>MID(excPisCofins[[#This Row],[CodBarras2]],2,50)</f>
        <v/>
      </c>
    </row>
    <row r="17957" spans="9:9" x14ac:dyDescent="0.25">
      <c r="I17957" s="227" t="str">
        <f>MID(excPisCofins[[#This Row],[CodBarras2]],2,50)</f>
        <v/>
      </c>
    </row>
    <row r="17958" spans="9:9" x14ac:dyDescent="0.25">
      <c r="I17958" s="227" t="str">
        <f>MID(excPisCofins[[#This Row],[CodBarras2]],2,50)</f>
        <v/>
      </c>
    </row>
    <row r="17959" spans="9:9" x14ac:dyDescent="0.25">
      <c r="I17959" s="227" t="str">
        <f>MID(excPisCofins[[#This Row],[CodBarras2]],2,50)</f>
        <v/>
      </c>
    </row>
    <row r="17960" spans="9:9" x14ac:dyDescent="0.25">
      <c r="I17960" s="227" t="str">
        <f>MID(excPisCofins[[#This Row],[CodBarras2]],2,50)</f>
        <v/>
      </c>
    </row>
    <row r="17961" spans="9:9" x14ac:dyDescent="0.25">
      <c r="I17961" s="227" t="str">
        <f>MID(excPisCofins[[#This Row],[CodBarras2]],2,50)</f>
        <v/>
      </c>
    </row>
    <row r="17962" spans="9:9" x14ac:dyDescent="0.25">
      <c r="I17962" s="227" t="str">
        <f>MID(excPisCofins[[#This Row],[CodBarras2]],2,50)</f>
        <v/>
      </c>
    </row>
    <row r="17963" spans="9:9" x14ac:dyDescent="0.25">
      <c r="I17963" s="227" t="str">
        <f>MID(excPisCofins[[#This Row],[CodBarras2]],2,50)</f>
        <v/>
      </c>
    </row>
    <row r="17964" spans="9:9" x14ac:dyDescent="0.25">
      <c r="I17964" s="227" t="str">
        <f>MID(excPisCofins[[#This Row],[CodBarras2]],2,50)</f>
        <v/>
      </c>
    </row>
    <row r="17965" spans="9:9" x14ac:dyDescent="0.25">
      <c r="I17965" s="227" t="str">
        <f>MID(excPisCofins[[#This Row],[CodBarras2]],2,50)</f>
        <v/>
      </c>
    </row>
    <row r="17966" spans="9:9" x14ac:dyDescent="0.25">
      <c r="I17966" s="227" t="str">
        <f>MID(excPisCofins[[#This Row],[CodBarras2]],2,50)</f>
        <v/>
      </c>
    </row>
    <row r="17967" spans="9:9" x14ac:dyDescent="0.25">
      <c r="I17967" s="227" t="str">
        <f>MID(excPisCofins[[#This Row],[CodBarras2]],2,50)</f>
        <v/>
      </c>
    </row>
    <row r="17968" spans="9:9" x14ac:dyDescent="0.25">
      <c r="I17968" s="227" t="str">
        <f>MID(excPisCofins[[#This Row],[CodBarras2]],2,50)</f>
        <v/>
      </c>
    </row>
    <row r="17969" spans="9:9" x14ac:dyDescent="0.25">
      <c r="I17969" s="227" t="str">
        <f>MID(excPisCofins[[#This Row],[CodBarras2]],2,50)</f>
        <v/>
      </c>
    </row>
    <row r="17970" spans="9:9" x14ac:dyDescent="0.25">
      <c r="I17970" s="227" t="str">
        <f>MID(excPisCofins[[#This Row],[CodBarras2]],2,50)</f>
        <v/>
      </c>
    </row>
    <row r="17971" spans="9:9" x14ac:dyDescent="0.25">
      <c r="I17971" s="227" t="str">
        <f>MID(excPisCofins[[#This Row],[CodBarras2]],2,50)</f>
        <v/>
      </c>
    </row>
    <row r="17972" spans="9:9" x14ac:dyDescent="0.25">
      <c r="I17972" s="227" t="str">
        <f>MID(excPisCofins[[#This Row],[CodBarras2]],2,50)</f>
        <v/>
      </c>
    </row>
    <row r="17973" spans="9:9" x14ac:dyDescent="0.25">
      <c r="I17973" s="227" t="str">
        <f>MID(excPisCofins[[#This Row],[CodBarras2]],2,50)</f>
        <v/>
      </c>
    </row>
    <row r="17974" spans="9:9" x14ac:dyDescent="0.25">
      <c r="I17974" s="227" t="str">
        <f>MID(excPisCofins[[#This Row],[CodBarras2]],2,50)</f>
        <v/>
      </c>
    </row>
    <row r="17975" spans="9:9" x14ac:dyDescent="0.25">
      <c r="I17975" s="227" t="str">
        <f>MID(excPisCofins[[#This Row],[CodBarras2]],2,50)</f>
        <v/>
      </c>
    </row>
    <row r="17976" spans="9:9" x14ac:dyDescent="0.25">
      <c r="I17976" s="227" t="str">
        <f>MID(excPisCofins[[#This Row],[CodBarras2]],2,50)</f>
        <v/>
      </c>
    </row>
    <row r="17977" spans="9:9" x14ac:dyDescent="0.25">
      <c r="I17977" s="227" t="str">
        <f>MID(excPisCofins[[#This Row],[CodBarras2]],2,50)</f>
        <v/>
      </c>
    </row>
    <row r="17978" spans="9:9" x14ac:dyDescent="0.25">
      <c r="I17978" s="227" t="str">
        <f>MID(excPisCofins[[#This Row],[CodBarras2]],2,50)</f>
        <v/>
      </c>
    </row>
    <row r="17979" spans="9:9" x14ac:dyDescent="0.25">
      <c r="I17979" s="227" t="str">
        <f>MID(excPisCofins[[#This Row],[CodBarras2]],2,50)</f>
        <v/>
      </c>
    </row>
    <row r="17980" spans="9:9" x14ac:dyDescent="0.25">
      <c r="I17980" s="227" t="str">
        <f>MID(excPisCofins[[#This Row],[CodBarras2]],2,50)</f>
        <v/>
      </c>
    </row>
    <row r="17981" spans="9:9" x14ac:dyDescent="0.25">
      <c r="I17981" s="227" t="str">
        <f>MID(excPisCofins[[#This Row],[CodBarras2]],2,50)</f>
        <v/>
      </c>
    </row>
    <row r="17982" spans="9:9" x14ac:dyDescent="0.25">
      <c r="I17982" s="227" t="str">
        <f>MID(excPisCofins[[#This Row],[CodBarras2]],2,50)</f>
        <v/>
      </c>
    </row>
    <row r="17983" spans="9:9" x14ac:dyDescent="0.25">
      <c r="I17983" s="227" t="str">
        <f>MID(excPisCofins[[#This Row],[CodBarras2]],2,50)</f>
        <v/>
      </c>
    </row>
    <row r="17984" spans="9:9" x14ac:dyDescent="0.25">
      <c r="I17984" s="227" t="str">
        <f>MID(excPisCofins[[#This Row],[CodBarras2]],2,50)</f>
        <v/>
      </c>
    </row>
    <row r="17985" spans="9:9" x14ac:dyDescent="0.25">
      <c r="I17985" s="227" t="str">
        <f>MID(excPisCofins[[#This Row],[CodBarras2]],2,50)</f>
        <v/>
      </c>
    </row>
    <row r="17986" spans="9:9" x14ac:dyDescent="0.25">
      <c r="I17986" s="227" t="str">
        <f>MID(excPisCofins[[#This Row],[CodBarras2]],2,50)</f>
        <v/>
      </c>
    </row>
    <row r="17987" spans="9:9" x14ac:dyDescent="0.25">
      <c r="I17987" s="227" t="str">
        <f>MID(excPisCofins[[#This Row],[CodBarras2]],2,50)</f>
        <v/>
      </c>
    </row>
    <row r="17988" spans="9:9" x14ac:dyDescent="0.25">
      <c r="I17988" s="227" t="str">
        <f>MID(excPisCofins[[#This Row],[CodBarras2]],2,50)</f>
        <v/>
      </c>
    </row>
    <row r="17989" spans="9:9" x14ac:dyDescent="0.25">
      <c r="I17989" s="227" t="str">
        <f>MID(excPisCofins[[#This Row],[CodBarras2]],2,50)</f>
        <v/>
      </c>
    </row>
    <row r="17990" spans="9:9" x14ac:dyDescent="0.25">
      <c r="I17990" s="227" t="str">
        <f>MID(excPisCofins[[#This Row],[CodBarras2]],2,50)</f>
        <v/>
      </c>
    </row>
    <row r="17991" spans="9:9" x14ac:dyDescent="0.25">
      <c r="I17991" s="227" t="str">
        <f>MID(excPisCofins[[#This Row],[CodBarras2]],2,50)</f>
        <v/>
      </c>
    </row>
    <row r="17992" spans="9:9" x14ac:dyDescent="0.25">
      <c r="I17992" s="227" t="str">
        <f>MID(excPisCofins[[#This Row],[CodBarras2]],2,50)</f>
        <v/>
      </c>
    </row>
    <row r="17993" spans="9:9" x14ac:dyDescent="0.25">
      <c r="I17993" s="227" t="str">
        <f>MID(excPisCofins[[#This Row],[CodBarras2]],2,50)</f>
        <v/>
      </c>
    </row>
    <row r="17994" spans="9:9" x14ac:dyDescent="0.25">
      <c r="I17994" s="227" t="str">
        <f>MID(excPisCofins[[#This Row],[CodBarras2]],2,50)</f>
        <v/>
      </c>
    </row>
    <row r="17995" spans="9:9" x14ac:dyDescent="0.25">
      <c r="I17995" s="227" t="str">
        <f>MID(excPisCofins[[#This Row],[CodBarras2]],2,50)</f>
        <v/>
      </c>
    </row>
    <row r="17996" spans="9:9" x14ac:dyDescent="0.25">
      <c r="I17996" s="227" t="str">
        <f>MID(excPisCofins[[#This Row],[CodBarras2]],2,50)</f>
        <v/>
      </c>
    </row>
    <row r="17997" spans="9:9" x14ac:dyDescent="0.25">
      <c r="I17997" s="227" t="str">
        <f>MID(excPisCofins[[#This Row],[CodBarras2]],2,50)</f>
        <v/>
      </c>
    </row>
    <row r="17998" spans="9:9" x14ac:dyDescent="0.25">
      <c r="I17998" s="227" t="str">
        <f>MID(excPisCofins[[#This Row],[CodBarras2]],2,50)</f>
        <v/>
      </c>
    </row>
    <row r="17999" spans="9:9" x14ac:dyDescent="0.25">
      <c r="I17999" s="227" t="str">
        <f>MID(excPisCofins[[#This Row],[CodBarras2]],2,50)</f>
        <v/>
      </c>
    </row>
    <row r="18000" spans="9:9" x14ac:dyDescent="0.25">
      <c r="I18000" s="227" t="str">
        <f>MID(excPisCofins[[#This Row],[CodBarras2]],2,50)</f>
        <v/>
      </c>
    </row>
    <row r="18001" spans="9:9" x14ac:dyDescent="0.25">
      <c r="I18001" s="227" t="str">
        <f>MID(excPisCofins[[#This Row],[CodBarras2]],2,50)</f>
        <v/>
      </c>
    </row>
    <row r="18002" spans="9:9" x14ac:dyDescent="0.25">
      <c r="I18002" s="227" t="str">
        <f>MID(excPisCofins[[#This Row],[CodBarras2]],2,50)</f>
        <v/>
      </c>
    </row>
    <row r="18003" spans="9:9" x14ac:dyDescent="0.25">
      <c r="I18003" s="227" t="str">
        <f>MID(excPisCofins[[#This Row],[CodBarras2]],2,50)</f>
        <v/>
      </c>
    </row>
    <row r="18004" spans="9:9" x14ac:dyDescent="0.25">
      <c r="I18004" s="227" t="str">
        <f>MID(excPisCofins[[#This Row],[CodBarras2]],2,50)</f>
        <v/>
      </c>
    </row>
    <row r="18005" spans="9:9" x14ac:dyDescent="0.25">
      <c r="I18005" s="227" t="str">
        <f>MID(excPisCofins[[#This Row],[CodBarras2]],2,50)</f>
        <v/>
      </c>
    </row>
    <row r="18006" spans="9:9" x14ac:dyDescent="0.25">
      <c r="I18006" s="227" t="str">
        <f>MID(excPisCofins[[#This Row],[CodBarras2]],2,50)</f>
        <v/>
      </c>
    </row>
    <row r="18007" spans="9:9" x14ac:dyDescent="0.25">
      <c r="I18007" s="227" t="str">
        <f>MID(excPisCofins[[#This Row],[CodBarras2]],2,50)</f>
        <v/>
      </c>
    </row>
    <row r="18008" spans="9:9" x14ac:dyDescent="0.25">
      <c r="I18008" s="227" t="str">
        <f>MID(excPisCofins[[#This Row],[CodBarras2]],2,50)</f>
        <v/>
      </c>
    </row>
    <row r="18009" spans="9:9" x14ac:dyDescent="0.25">
      <c r="I18009" s="227" t="str">
        <f>MID(excPisCofins[[#This Row],[CodBarras2]],2,50)</f>
        <v/>
      </c>
    </row>
    <row r="18010" spans="9:9" x14ac:dyDescent="0.25">
      <c r="I18010" s="227" t="str">
        <f>MID(excPisCofins[[#This Row],[CodBarras2]],2,50)</f>
        <v/>
      </c>
    </row>
    <row r="18011" spans="9:9" x14ac:dyDescent="0.25">
      <c r="I18011" s="227" t="str">
        <f>MID(excPisCofins[[#This Row],[CodBarras2]],2,50)</f>
        <v/>
      </c>
    </row>
    <row r="18012" spans="9:9" x14ac:dyDescent="0.25">
      <c r="I18012" s="227" t="str">
        <f>MID(excPisCofins[[#This Row],[CodBarras2]],2,50)</f>
        <v/>
      </c>
    </row>
    <row r="18013" spans="9:9" x14ac:dyDescent="0.25">
      <c r="I18013" s="227" t="str">
        <f>MID(excPisCofins[[#This Row],[CodBarras2]],2,50)</f>
        <v/>
      </c>
    </row>
    <row r="18014" spans="9:9" x14ac:dyDescent="0.25">
      <c r="I18014" s="227" t="str">
        <f>MID(excPisCofins[[#This Row],[CodBarras2]],2,50)</f>
        <v/>
      </c>
    </row>
    <row r="18015" spans="9:9" x14ac:dyDescent="0.25">
      <c r="I18015" s="227" t="str">
        <f>MID(excPisCofins[[#This Row],[CodBarras2]],2,50)</f>
        <v/>
      </c>
    </row>
    <row r="18016" spans="9:9" x14ac:dyDescent="0.25">
      <c r="I18016" s="227" t="str">
        <f>MID(excPisCofins[[#This Row],[CodBarras2]],2,50)</f>
        <v/>
      </c>
    </row>
    <row r="18017" spans="9:9" x14ac:dyDescent="0.25">
      <c r="I18017" s="227" t="str">
        <f>MID(excPisCofins[[#This Row],[CodBarras2]],2,50)</f>
        <v/>
      </c>
    </row>
    <row r="18018" spans="9:9" x14ac:dyDescent="0.25">
      <c r="I18018" s="227" t="str">
        <f>MID(excPisCofins[[#This Row],[CodBarras2]],2,50)</f>
        <v/>
      </c>
    </row>
    <row r="18019" spans="9:9" x14ac:dyDescent="0.25">
      <c r="I18019" s="227" t="str">
        <f>MID(excPisCofins[[#This Row],[CodBarras2]],2,50)</f>
        <v/>
      </c>
    </row>
    <row r="18020" spans="9:9" x14ac:dyDescent="0.25">
      <c r="I18020" s="227" t="str">
        <f>MID(excPisCofins[[#This Row],[CodBarras2]],2,50)</f>
        <v/>
      </c>
    </row>
    <row r="18021" spans="9:9" x14ac:dyDescent="0.25">
      <c r="I18021" s="227" t="str">
        <f>MID(excPisCofins[[#This Row],[CodBarras2]],2,50)</f>
        <v/>
      </c>
    </row>
    <row r="18022" spans="9:9" x14ac:dyDescent="0.25">
      <c r="I18022" s="227" t="str">
        <f>MID(excPisCofins[[#This Row],[CodBarras2]],2,50)</f>
        <v/>
      </c>
    </row>
    <row r="18023" spans="9:9" x14ac:dyDescent="0.25">
      <c r="I18023" s="227" t="str">
        <f>MID(excPisCofins[[#This Row],[CodBarras2]],2,50)</f>
        <v/>
      </c>
    </row>
    <row r="18024" spans="9:9" x14ac:dyDescent="0.25">
      <c r="I18024" s="227" t="str">
        <f>MID(excPisCofins[[#This Row],[CodBarras2]],2,50)</f>
        <v/>
      </c>
    </row>
    <row r="18025" spans="9:9" x14ac:dyDescent="0.25">
      <c r="I18025" s="227" t="str">
        <f>MID(excPisCofins[[#This Row],[CodBarras2]],2,50)</f>
        <v/>
      </c>
    </row>
    <row r="18026" spans="9:9" x14ac:dyDescent="0.25">
      <c r="I18026" s="227" t="str">
        <f>MID(excPisCofins[[#This Row],[CodBarras2]],2,50)</f>
        <v/>
      </c>
    </row>
    <row r="18027" spans="9:9" x14ac:dyDescent="0.25">
      <c r="I18027" s="227" t="str">
        <f>MID(excPisCofins[[#This Row],[CodBarras2]],2,50)</f>
        <v/>
      </c>
    </row>
    <row r="18028" spans="9:9" x14ac:dyDescent="0.25">
      <c r="I18028" s="227" t="str">
        <f>MID(excPisCofins[[#This Row],[CodBarras2]],2,50)</f>
        <v/>
      </c>
    </row>
    <row r="18029" spans="9:9" x14ac:dyDescent="0.25">
      <c r="I18029" s="227" t="str">
        <f>MID(excPisCofins[[#This Row],[CodBarras2]],2,50)</f>
        <v/>
      </c>
    </row>
    <row r="18030" spans="9:9" x14ac:dyDescent="0.25">
      <c r="I18030" s="227" t="str">
        <f>MID(excPisCofins[[#This Row],[CodBarras2]],2,50)</f>
        <v/>
      </c>
    </row>
    <row r="18031" spans="9:9" x14ac:dyDescent="0.25">
      <c r="I18031" s="227" t="str">
        <f>MID(excPisCofins[[#This Row],[CodBarras2]],2,50)</f>
        <v/>
      </c>
    </row>
    <row r="18032" spans="9:9" x14ac:dyDescent="0.25">
      <c r="I18032" s="227" t="str">
        <f>MID(excPisCofins[[#This Row],[CodBarras2]],2,50)</f>
        <v/>
      </c>
    </row>
    <row r="18033" spans="9:9" x14ac:dyDescent="0.25">
      <c r="I18033" s="227" t="str">
        <f>MID(excPisCofins[[#This Row],[CodBarras2]],2,50)</f>
        <v/>
      </c>
    </row>
    <row r="18034" spans="9:9" x14ac:dyDescent="0.25">
      <c r="I18034" s="227" t="str">
        <f>MID(excPisCofins[[#This Row],[CodBarras2]],2,50)</f>
        <v/>
      </c>
    </row>
    <row r="18035" spans="9:9" x14ac:dyDescent="0.25">
      <c r="I18035" s="227" t="str">
        <f>MID(excPisCofins[[#This Row],[CodBarras2]],2,50)</f>
        <v/>
      </c>
    </row>
    <row r="18036" spans="9:9" x14ac:dyDescent="0.25">
      <c r="I18036" s="227" t="str">
        <f>MID(excPisCofins[[#This Row],[CodBarras2]],2,50)</f>
        <v/>
      </c>
    </row>
    <row r="18037" spans="9:9" x14ac:dyDescent="0.25">
      <c r="I18037" s="227" t="str">
        <f>MID(excPisCofins[[#This Row],[CodBarras2]],2,50)</f>
        <v/>
      </c>
    </row>
    <row r="18038" spans="9:9" x14ac:dyDescent="0.25">
      <c r="I18038" s="227" t="str">
        <f>MID(excPisCofins[[#This Row],[CodBarras2]],2,50)</f>
        <v/>
      </c>
    </row>
    <row r="18039" spans="9:9" x14ac:dyDescent="0.25">
      <c r="I18039" s="227" t="str">
        <f>MID(excPisCofins[[#This Row],[CodBarras2]],2,50)</f>
        <v/>
      </c>
    </row>
    <row r="18040" spans="9:9" x14ac:dyDescent="0.25">
      <c r="I18040" s="227" t="str">
        <f>MID(excPisCofins[[#This Row],[CodBarras2]],2,50)</f>
        <v/>
      </c>
    </row>
    <row r="18041" spans="9:9" x14ac:dyDescent="0.25">
      <c r="I18041" s="227" t="str">
        <f>MID(excPisCofins[[#This Row],[CodBarras2]],2,50)</f>
        <v/>
      </c>
    </row>
    <row r="18042" spans="9:9" x14ac:dyDescent="0.25">
      <c r="I18042" s="227" t="str">
        <f>MID(excPisCofins[[#This Row],[CodBarras2]],2,50)</f>
        <v/>
      </c>
    </row>
    <row r="18043" spans="9:9" x14ac:dyDescent="0.25">
      <c r="I18043" s="227" t="str">
        <f>MID(excPisCofins[[#This Row],[CodBarras2]],2,50)</f>
        <v/>
      </c>
    </row>
    <row r="18044" spans="9:9" x14ac:dyDescent="0.25">
      <c r="I18044" s="227" t="str">
        <f>MID(excPisCofins[[#This Row],[CodBarras2]],2,50)</f>
        <v/>
      </c>
    </row>
    <row r="18045" spans="9:9" x14ac:dyDescent="0.25">
      <c r="I18045" s="227" t="str">
        <f>MID(excPisCofins[[#This Row],[CodBarras2]],2,50)</f>
        <v/>
      </c>
    </row>
    <row r="18046" spans="9:9" x14ac:dyDescent="0.25">
      <c r="I18046" s="227" t="str">
        <f>MID(excPisCofins[[#This Row],[CodBarras2]],2,50)</f>
        <v/>
      </c>
    </row>
    <row r="18047" spans="9:9" x14ac:dyDescent="0.25">
      <c r="I18047" s="227" t="str">
        <f>MID(excPisCofins[[#This Row],[CodBarras2]],2,50)</f>
        <v/>
      </c>
    </row>
    <row r="18048" spans="9:9" x14ac:dyDescent="0.25">
      <c r="I18048" s="227" t="str">
        <f>MID(excPisCofins[[#This Row],[CodBarras2]],2,50)</f>
        <v/>
      </c>
    </row>
    <row r="18049" spans="9:9" x14ac:dyDescent="0.25">
      <c r="I18049" s="227" t="str">
        <f>MID(excPisCofins[[#This Row],[CodBarras2]],2,50)</f>
        <v/>
      </c>
    </row>
    <row r="18050" spans="9:9" x14ac:dyDescent="0.25">
      <c r="I18050" s="227" t="str">
        <f>MID(excPisCofins[[#This Row],[CodBarras2]],2,50)</f>
        <v/>
      </c>
    </row>
    <row r="18051" spans="9:9" x14ac:dyDescent="0.25">
      <c r="I18051" s="227" t="str">
        <f>MID(excPisCofins[[#This Row],[CodBarras2]],2,50)</f>
        <v/>
      </c>
    </row>
    <row r="18052" spans="9:9" x14ac:dyDescent="0.25">
      <c r="I18052" s="227" t="str">
        <f>MID(excPisCofins[[#This Row],[CodBarras2]],2,50)</f>
        <v/>
      </c>
    </row>
    <row r="18053" spans="9:9" x14ac:dyDescent="0.25">
      <c r="I18053" s="227" t="str">
        <f>MID(excPisCofins[[#This Row],[CodBarras2]],2,50)</f>
        <v/>
      </c>
    </row>
    <row r="18054" spans="9:9" x14ac:dyDescent="0.25">
      <c r="I18054" s="227" t="str">
        <f>MID(excPisCofins[[#This Row],[CodBarras2]],2,50)</f>
        <v/>
      </c>
    </row>
    <row r="18055" spans="9:9" x14ac:dyDescent="0.25">
      <c r="I18055" s="227" t="str">
        <f>MID(excPisCofins[[#This Row],[CodBarras2]],2,50)</f>
        <v/>
      </c>
    </row>
    <row r="18056" spans="9:9" x14ac:dyDescent="0.25">
      <c r="I18056" s="227" t="str">
        <f>MID(excPisCofins[[#This Row],[CodBarras2]],2,50)</f>
        <v/>
      </c>
    </row>
    <row r="18057" spans="9:9" x14ac:dyDescent="0.25">
      <c r="I18057" s="227" t="str">
        <f>MID(excPisCofins[[#This Row],[CodBarras2]],2,50)</f>
        <v/>
      </c>
    </row>
    <row r="18058" spans="9:9" x14ac:dyDescent="0.25">
      <c r="I18058" s="227" t="str">
        <f>MID(excPisCofins[[#This Row],[CodBarras2]],2,50)</f>
        <v/>
      </c>
    </row>
    <row r="18059" spans="9:9" x14ac:dyDescent="0.25">
      <c r="I18059" s="227" t="str">
        <f>MID(excPisCofins[[#This Row],[CodBarras2]],2,50)</f>
        <v/>
      </c>
    </row>
    <row r="18060" spans="9:9" x14ac:dyDescent="0.25">
      <c r="I18060" s="227" t="str">
        <f>MID(excPisCofins[[#This Row],[CodBarras2]],2,50)</f>
        <v/>
      </c>
    </row>
    <row r="18061" spans="9:9" x14ac:dyDescent="0.25">
      <c r="I18061" s="227" t="str">
        <f>MID(excPisCofins[[#This Row],[CodBarras2]],2,50)</f>
        <v/>
      </c>
    </row>
    <row r="18062" spans="9:9" x14ac:dyDescent="0.25">
      <c r="I18062" s="227" t="str">
        <f>MID(excPisCofins[[#This Row],[CodBarras2]],2,50)</f>
        <v/>
      </c>
    </row>
    <row r="18063" spans="9:9" x14ac:dyDescent="0.25">
      <c r="I18063" s="227" t="str">
        <f>MID(excPisCofins[[#This Row],[CodBarras2]],2,50)</f>
        <v/>
      </c>
    </row>
    <row r="18064" spans="9:9" x14ac:dyDescent="0.25">
      <c r="I18064" s="227" t="str">
        <f>MID(excPisCofins[[#This Row],[CodBarras2]],2,50)</f>
        <v/>
      </c>
    </row>
    <row r="18065" spans="9:9" x14ac:dyDescent="0.25">
      <c r="I18065" s="227" t="str">
        <f>MID(excPisCofins[[#This Row],[CodBarras2]],2,50)</f>
        <v/>
      </c>
    </row>
    <row r="18066" spans="9:9" x14ac:dyDescent="0.25">
      <c r="I18066" s="227" t="str">
        <f>MID(excPisCofins[[#This Row],[CodBarras2]],2,50)</f>
        <v/>
      </c>
    </row>
    <row r="18067" spans="9:9" x14ac:dyDescent="0.25">
      <c r="I18067" s="227" t="str">
        <f>MID(excPisCofins[[#This Row],[CodBarras2]],2,50)</f>
        <v/>
      </c>
    </row>
    <row r="18068" spans="9:9" x14ac:dyDescent="0.25">
      <c r="I18068" s="227" t="str">
        <f>MID(excPisCofins[[#This Row],[CodBarras2]],2,50)</f>
        <v/>
      </c>
    </row>
    <row r="18069" spans="9:9" x14ac:dyDescent="0.25">
      <c r="I18069" s="227" t="str">
        <f>MID(excPisCofins[[#This Row],[CodBarras2]],2,50)</f>
        <v/>
      </c>
    </row>
    <row r="18070" spans="9:9" x14ac:dyDescent="0.25">
      <c r="I18070" s="227" t="str">
        <f>MID(excPisCofins[[#This Row],[CodBarras2]],2,50)</f>
        <v/>
      </c>
    </row>
    <row r="18071" spans="9:9" x14ac:dyDescent="0.25">
      <c r="I18071" s="227" t="str">
        <f>MID(excPisCofins[[#This Row],[CodBarras2]],2,50)</f>
        <v/>
      </c>
    </row>
    <row r="18072" spans="9:9" x14ac:dyDescent="0.25">
      <c r="I18072" s="227" t="str">
        <f>MID(excPisCofins[[#This Row],[CodBarras2]],2,50)</f>
        <v/>
      </c>
    </row>
    <row r="18073" spans="9:9" x14ac:dyDescent="0.25">
      <c r="I18073" s="227" t="str">
        <f>MID(excPisCofins[[#This Row],[CodBarras2]],2,50)</f>
        <v/>
      </c>
    </row>
    <row r="18074" spans="9:9" x14ac:dyDescent="0.25">
      <c r="I18074" s="227" t="str">
        <f>MID(excPisCofins[[#This Row],[CodBarras2]],2,50)</f>
        <v/>
      </c>
    </row>
    <row r="18075" spans="9:9" x14ac:dyDescent="0.25">
      <c r="I18075" s="227" t="str">
        <f>MID(excPisCofins[[#This Row],[CodBarras2]],2,50)</f>
        <v/>
      </c>
    </row>
    <row r="18076" spans="9:9" x14ac:dyDescent="0.25">
      <c r="I18076" s="227" t="str">
        <f>MID(excPisCofins[[#This Row],[CodBarras2]],2,50)</f>
        <v/>
      </c>
    </row>
    <row r="18077" spans="9:9" x14ac:dyDescent="0.25">
      <c r="I18077" s="227" t="str">
        <f>MID(excPisCofins[[#This Row],[CodBarras2]],2,50)</f>
        <v/>
      </c>
    </row>
    <row r="18078" spans="9:9" x14ac:dyDescent="0.25">
      <c r="I18078" s="227" t="str">
        <f>MID(excPisCofins[[#This Row],[CodBarras2]],2,50)</f>
        <v/>
      </c>
    </row>
    <row r="18079" spans="9:9" x14ac:dyDescent="0.25">
      <c r="I18079" s="227" t="str">
        <f>MID(excPisCofins[[#This Row],[CodBarras2]],2,50)</f>
        <v/>
      </c>
    </row>
    <row r="18080" spans="9:9" x14ac:dyDescent="0.25">
      <c r="I18080" s="227" t="str">
        <f>MID(excPisCofins[[#This Row],[CodBarras2]],2,50)</f>
        <v/>
      </c>
    </row>
    <row r="18081" spans="9:9" x14ac:dyDescent="0.25">
      <c r="I18081" s="227" t="str">
        <f>MID(excPisCofins[[#This Row],[CodBarras2]],2,50)</f>
        <v/>
      </c>
    </row>
    <row r="18082" spans="9:9" x14ac:dyDescent="0.25">
      <c r="I18082" s="227" t="str">
        <f>MID(excPisCofins[[#This Row],[CodBarras2]],2,50)</f>
        <v/>
      </c>
    </row>
    <row r="18083" spans="9:9" x14ac:dyDescent="0.25">
      <c r="I18083" s="227" t="str">
        <f>MID(excPisCofins[[#This Row],[CodBarras2]],2,50)</f>
        <v/>
      </c>
    </row>
    <row r="18084" spans="9:9" x14ac:dyDescent="0.25">
      <c r="I18084" s="227" t="str">
        <f>MID(excPisCofins[[#This Row],[CodBarras2]],2,50)</f>
        <v/>
      </c>
    </row>
    <row r="18085" spans="9:9" x14ac:dyDescent="0.25">
      <c r="I18085" s="227" t="str">
        <f>MID(excPisCofins[[#This Row],[CodBarras2]],2,50)</f>
        <v/>
      </c>
    </row>
    <row r="18086" spans="9:9" x14ac:dyDescent="0.25">
      <c r="I18086" s="227" t="str">
        <f>MID(excPisCofins[[#This Row],[CodBarras2]],2,50)</f>
        <v/>
      </c>
    </row>
    <row r="18087" spans="9:9" x14ac:dyDescent="0.25">
      <c r="I18087" s="227" t="str">
        <f>MID(excPisCofins[[#This Row],[CodBarras2]],2,50)</f>
        <v/>
      </c>
    </row>
    <row r="18088" spans="9:9" x14ac:dyDescent="0.25">
      <c r="I18088" s="227" t="str">
        <f>MID(excPisCofins[[#This Row],[CodBarras2]],2,50)</f>
        <v/>
      </c>
    </row>
    <row r="18089" spans="9:9" x14ac:dyDescent="0.25">
      <c r="I18089" s="227" t="str">
        <f>MID(excPisCofins[[#This Row],[CodBarras2]],2,50)</f>
        <v/>
      </c>
    </row>
    <row r="18090" spans="9:9" x14ac:dyDescent="0.25">
      <c r="I18090" s="227" t="str">
        <f>MID(excPisCofins[[#This Row],[CodBarras2]],2,50)</f>
        <v/>
      </c>
    </row>
    <row r="18091" spans="9:9" x14ac:dyDescent="0.25">
      <c r="I18091" s="227" t="str">
        <f>MID(excPisCofins[[#This Row],[CodBarras2]],2,50)</f>
        <v/>
      </c>
    </row>
    <row r="18092" spans="9:9" x14ac:dyDescent="0.25">
      <c r="I18092" s="227" t="str">
        <f>MID(excPisCofins[[#This Row],[CodBarras2]],2,50)</f>
        <v/>
      </c>
    </row>
    <row r="18093" spans="9:9" x14ac:dyDescent="0.25">
      <c r="I18093" s="227" t="str">
        <f>MID(excPisCofins[[#This Row],[CodBarras2]],2,50)</f>
        <v/>
      </c>
    </row>
    <row r="18094" spans="9:9" x14ac:dyDescent="0.25">
      <c r="I18094" s="227" t="str">
        <f>MID(excPisCofins[[#This Row],[CodBarras2]],2,50)</f>
        <v/>
      </c>
    </row>
    <row r="18095" spans="9:9" x14ac:dyDescent="0.25">
      <c r="I18095" s="227" t="str">
        <f>MID(excPisCofins[[#This Row],[CodBarras2]],2,50)</f>
        <v/>
      </c>
    </row>
    <row r="18096" spans="9:9" x14ac:dyDescent="0.25">
      <c r="I18096" s="227" t="str">
        <f>MID(excPisCofins[[#This Row],[CodBarras2]],2,50)</f>
        <v/>
      </c>
    </row>
    <row r="18097" spans="9:9" x14ac:dyDescent="0.25">
      <c r="I18097" s="227" t="str">
        <f>MID(excPisCofins[[#This Row],[CodBarras2]],2,50)</f>
        <v/>
      </c>
    </row>
    <row r="18098" spans="9:9" x14ac:dyDescent="0.25">
      <c r="I18098" s="227" t="str">
        <f>MID(excPisCofins[[#This Row],[CodBarras2]],2,50)</f>
        <v/>
      </c>
    </row>
    <row r="18099" spans="9:9" x14ac:dyDescent="0.25">
      <c r="I18099" s="227" t="str">
        <f>MID(excPisCofins[[#This Row],[CodBarras2]],2,50)</f>
        <v/>
      </c>
    </row>
    <row r="18100" spans="9:9" x14ac:dyDescent="0.25">
      <c r="I18100" s="227" t="str">
        <f>MID(excPisCofins[[#This Row],[CodBarras2]],2,50)</f>
        <v/>
      </c>
    </row>
    <row r="18101" spans="9:9" x14ac:dyDescent="0.25">
      <c r="I18101" s="227" t="str">
        <f>MID(excPisCofins[[#This Row],[CodBarras2]],2,50)</f>
        <v/>
      </c>
    </row>
    <row r="18102" spans="9:9" x14ac:dyDescent="0.25">
      <c r="I18102" s="227" t="str">
        <f>MID(excPisCofins[[#This Row],[CodBarras2]],2,50)</f>
        <v/>
      </c>
    </row>
    <row r="18103" spans="9:9" x14ac:dyDescent="0.25">
      <c r="I18103" s="227" t="str">
        <f>MID(excPisCofins[[#This Row],[CodBarras2]],2,50)</f>
        <v/>
      </c>
    </row>
    <row r="18104" spans="9:9" x14ac:dyDescent="0.25">
      <c r="I18104" s="227" t="str">
        <f>MID(excPisCofins[[#This Row],[CodBarras2]],2,50)</f>
        <v/>
      </c>
    </row>
    <row r="18105" spans="9:9" x14ac:dyDescent="0.25">
      <c r="I18105" s="227" t="str">
        <f>MID(excPisCofins[[#This Row],[CodBarras2]],2,50)</f>
        <v/>
      </c>
    </row>
    <row r="18106" spans="9:9" x14ac:dyDescent="0.25">
      <c r="I18106" s="227" t="str">
        <f>MID(excPisCofins[[#This Row],[CodBarras2]],2,50)</f>
        <v/>
      </c>
    </row>
    <row r="18107" spans="9:9" x14ac:dyDescent="0.25">
      <c r="I18107" s="227" t="str">
        <f>MID(excPisCofins[[#This Row],[CodBarras2]],2,50)</f>
        <v/>
      </c>
    </row>
    <row r="18108" spans="9:9" x14ac:dyDescent="0.25">
      <c r="I18108" s="227" t="str">
        <f>MID(excPisCofins[[#This Row],[CodBarras2]],2,50)</f>
        <v/>
      </c>
    </row>
    <row r="18109" spans="9:9" x14ac:dyDescent="0.25">
      <c r="I18109" s="227" t="str">
        <f>MID(excPisCofins[[#This Row],[CodBarras2]],2,50)</f>
        <v/>
      </c>
    </row>
    <row r="18110" spans="9:9" x14ac:dyDescent="0.25">
      <c r="I18110" s="227" t="str">
        <f>MID(excPisCofins[[#This Row],[CodBarras2]],2,50)</f>
        <v/>
      </c>
    </row>
    <row r="18111" spans="9:9" x14ac:dyDescent="0.25">
      <c r="I18111" s="227" t="str">
        <f>MID(excPisCofins[[#This Row],[CodBarras2]],2,50)</f>
        <v/>
      </c>
    </row>
    <row r="18112" spans="9:9" x14ac:dyDescent="0.25">
      <c r="I18112" s="227" t="str">
        <f>MID(excPisCofins[[#This Row],[CodBarras2]],2,50)</f>
        <v/>
      </c>
    </row>
    <row r="18113" spans="9:9" x14ac:dyDescent="0.25">
      <c r="I18113" s="227" t="str">
        <f>MID(excPisCofins[[#This Row],[CodBarras2]],2,50)</f>
        <v/>
      </c>
    </row>
    <row r="18114" spans="9:9" x14ac:dyDescent="0.25">
      <c r="I18114" s="227" t="str">
        <f>MID(excPisCofins[[#This Row],[CodBarras2]],2,50)</f>
        <v/>
      </c>
    </row>
    <row r="18115" spans="9:9" x14ac:dyDescent="0.25">
      <c r="I18115" s="227" t="str">
        <f>MID(excPisCofins[[#This Row],[CodBarras2]],2,50)</f>
        <v/>
      </c>
    </row>
    <row r="18116" spans="9:9" x14ac:dyDescent="0.25">
      <c r="I18116" s="227" t="str">
        <f>MID(excPisCofins[[#This Row],[CodBarras2]],2,50)</f>
        <v/>
      </c>
    </row>
    <row r="18117" spans="9:9" x14ac:dyDescent="0.25">
      <c r="I18117" s="227" t="str">
        <f>MID(excPisCofins[[#This Row],[CodBarras2]],2,50)</f>
        <v/>
      </c>
    </row>
    <row r="18118" spans="9:9" x14ac:dyDescent="0.25">
      <c r="I18118" s="227" t="str">
        <f>MID(excPisCofins[[#This Row],[CodBarras2]],2,50)</f>
        <v/>
      </c>
    </row>
    <row r="18119" spans="9:9" x14ac:dyDescent="0.25">
      <c r="I18119" s="227" t="str">
        <f>MID(excPisCofins[[#This Row],[CodBarras2]],2,50)</f>
        <v/>
      </c>
    </row>
    <row r="18120" spans="9:9" x14ac:dyDescent="0.25">
      <c r="I18120" s="227" t="str">
        <f>MID(excPisCofins[[#This Row],[CodBarras2]],2,50)</f>
        <v/>
      </c>
    </row>
    <row r="18121" spans="9:9" x14ac:dyDescent="0.25">
      <c r="I18121" s="227" t="str">
        <f>MID(excPisCofins[[#This Row],[CodBarras2]],2,50)</f>
        <v/>
      </c>
    </row>
    <row r="18122" spans="9:9" x14ac:dyDescent="0.25">
      <c r="I18122" s="227" t="str">
        <f>MID(excPisCofins[[#This Row],[CodBarras2]],2,50)</f>
        <v/>
      </c>
    </row>
    <row r="18123" spans="9:9" x14ac:dyDescent="0.25">
      <c r="I18123" s="227" t="str">
        <f>MID(excPisCofins[[#This Row],[CodBarras2]],2,50)</f>
        <v/>
      </c>
    </row>
    <row r="18124" spans="9:9" x14ac:dyDescent="0.25">
      <c r="I18124" s="227" t="str">
        <f>MID(excPisCofins[[#This Row],[CodBarras2]],2,50)</f>
        <v/>
      </c>
    </row>
    <row r="18125" spans="9:9" x14ac:dyDescent="0.25">
      <c r="I18125" s="227" t="str">
        <f>MID(excPisCofins[[#This Row],[CodBarras2]],2,50)</f>
        <v/>
      </c>
    </row>
    <row r="18126" spans="9:9" x14ac:dyDescent="0.25">
      <c r="I18126" s="227" t="str">
        <f>MID(excPisCofins[[#This Row],[CodBarras2]],2,50)</f>
        <v/>
      </c>
    </row>
    <row r="18127" spans="9:9" x14ac:dyDescent="0.25">
      <c r="I18127" s="227" t="str">
        <f>MID(excPisCofins[[#This Row],[CodBarras2]],2,50)</f>
        <v/>
      </c>
    </row>
    <row r="18128" spans="9:9" x14ac:dyDescent="0.25">
      <c r="I18128" s="227" t="str">
        <f>MID(excPisCofins[[#This Row],[CodBarras2]],2,50)</f>
        <v/>
      </c>
    </row>
    <row r="18129" spans="9:9" x14ac:dyDescent="0.25">
      <c r="I18129" s="227" t="str">
        <f>MID(excPisCofins[[#This Row],[CodBarras2]],2,50)</f>
        <v/>
      </c>
    </row>
    <row r="18130" spans="9:9" x14ac:dyDescent="0.25">
      <c r="I18130" s="227" t="str">
        <f>MID(excPisCofins[[#This Row],[CodBarras2]],2,50)</f>
        <v/>
      </c>
    </row>
    <row r="18131" spans="9:9" x14ac:dyDescent="0.25">
      <c r="I18131" s="227" t="str">
        <f>MID(excPisCofins[[#This Row],[CodBarras2]],2,50)</f>
        <v/>
      </c>
    </row>
    <row r="18132" spans="9:9" x14ac:dyDescent="0.25">
      <c r="I18132" s="227" t="str">
        <f>MID(excPisCofins[[#This Row],[CodBarras2]],2,50)</f>
        <v/>
      </c>
    </row>
    <row r="18133" spans="9:9" x14ac:dyDescent="0.25">
      <c r="I18133" s="227" t="str">
        <f>MID(excPisCofins[[#This Row],[CodBarras2]],2,50)</f>
        <v/>
      </c>
    </row>
    <row r="18134" spans="9:9" x14ac:dyDescent="0.25">
      <c r="I18134" s="227" t="str">
        <f>MID(excPisCofins[[#This Row],[CodBarras2]],2,50)</f>
        <v/>
      </c>
    </row>
    <row r="18135" spans="9:9" x14ac:dyDescent="0.25">
      <c r="I18135" s="227" t="str">
        <f>MID(excPisCofins[[#This Row],[CodBarras2]],2,50)</f>
        <v/>
      </c>
    </row>
    <row r="18136" spans="9:9" x14ac:dyDescent="0.25">
      <c r="I18136" s="227" t="str">
        <f>MID(excPisCofins[[#This Row],[CodBarras2]],2,50)</f>
        <v/>
      </c>
    </row>
    <row r="18137" spans="9:9" x14ac:dyDescent="0.25">
      <c r="I18137" s="227" t="str">
        <f>MID(excPisCofins[[#This Row],[CodBarras2]],2,50)</f>
        <v/>
      </c>
    </row>
    <row r="18138" spans="9:9" x14ac:dyDescent="0.25">
      <c r="I18138" s="227" t="str">
        <f>MID(excPisCofins[[#This Row],[CodBarras2]],2,50)</f>
        <v/>
      </c>
    </row>
    <row r="18139" spans="9:9" x14ac:dyDescent="0.25">
      <c r="I18139" s="227" t="str">
        <f>MID(excPisCofins[[#This Row],[CodBarras2]],2,50)</f>
        <v/>
      </c>
    </row>
    <row r="18140" spans="9:9" x14ac:dyDescent="0.25">
      <c r="I18140" s="227" t="str">
        <f>MID(excPisCofins[[#This Row],[CodBarras2]],2,50)</f>
        <v/>
      </c>
    </row>
    <row r="18141" spans="9:9" x14ac:dyDescent="0.25">
      <c r="I18141" s="227" t="str">
        <f>MID(excPisCofins[[#This Row],[CodBarras2]],2,50)</f>
        <v/>
      </c>
    </row>
    <row r="18142" spans="9:9" x14ac:dyDescent="0.25">
      <c r="I18142" s="227" t="str">
        <f>MID(excPisCofins[[#This Row],[CodBarras2]],2,50)</f>
        <v/>
      </c>
    </row>
    <row r="18143" spans="9:9" x14ac:dyDescent="0.25">
      <c r="I18143" s="227" t="str">
        <f>MID(excPisCofins[[#This Row],[CodBarras2]],2,50)</f>
        <v/>
      </c>
    </row>
    <row r="18144" spans="9:9" x14ac:dyDescent="0.25">
      <c r="I18144" s="227" t="str">
        <f>MID(excPisCofins[[#This Row],[CodBarras2]],2,50)</f>
        <v/>
      </c>
    </row>
    <row r="18145" spans="9:9" x14ac:dyDescent="0.25">
      <c r="I18145" s="227" t="str">
        <f>MID(excPisCofins[[#This Row],[CodBarras2]],2,50)</f>
        <v/>
      </c>
    </row>
    <row r="18146" spans="9:9" x14ac:dyDescent="0.25">
      <c r="I18146" s="227" t="str">
        <f>MID(excPisCofins[[#This Row],[CodBarras2]],2,50)</f>
        <v/>
      </c>
    </row>
    <row r="18147" spans="9:9" x14ac:dyDescent="0.25">
      <c r="I18147" s="227" t="str">
        <f>MID(excPisCofins[[#This Row],[CodBarras2]],2,50)</f>
        <v/>
      </c>
    </row>
    <row r="18148" spans="9:9" x14ac:dyDescent="0.25">
      <c r="I18148" s="227" t="str">
        <f>MID(excPisCofins[[#This Row],[CodBarras2]],2,50)</f>
        <v/>
      </c>
    </row>
    <row r="18149" spans="9:9" x14ac:dyDescent="0.25">
      <c r="I18149" s="227" t="str">
        <f>MID(excPisCofins[[#This Row],[CodBarras2]],2,50)</f>
        <v/>
      </c>
    </row>
    <row r="18150" spans="9:9" x14ac:dyDescent="0.25">
      <c r="I18150" s="227" t="str">
        <f>MID(excPisCofins[[#This Row],[CodBarras2]],2,50)</f>
        <v/>
      </c>
    </row>
    <row r="18151" spans="9:9" x14ac:dyDescent="0.25">
      <c r="I18151" s="227" t="str">
        <f>MID(excPisCofins[[#This Row],[CodBarras2]],2,50)</f>
        <v/>
      </c>
    </row>
    <row r="18152" spans="9:9" x14ac:dyDescent="0.25">
      <c r="I18152" s="227" t="str">
        <f>MID(excPisCofins[[#This Row],[CodBarras2]],2,50)</f>
        <v/>
      </c>
    </row>
    <row r="18153" spans="9:9" x14ac:dyDescent="0.25">
      <c r="I18153" s="227" t="str">
        <f>MID(excPisCofins[[#This Row],[CodBarras2]],2,50)</f>
        <v/>
      </c>
    </row>
    <row r="18154" spans="9:9" x14ac:dyDescent="0.25">
      <c r="I18154" s="227" t="str">
        <f>MID(excPisCofins[[#This Row],[CodBarras2]],2,50)</f>
        <v/>
      </c>
    </row>
    <row r="18155" spans="9:9" x14ac:dyDescent="0.25">
      <c r="I18155" s="227" t="str">
        <f>MID(excPisCofins[[#This Row],[CodBarras2]],2,50)</f>
        <v/>
      </c>
    </row>
    <row r="18156" spans="9:9" x14ac:dyDescent="0.25">
      <c r="I18156" s="227" t="str">
        <f>MID(excPisCofins[[#This Row],[CodBarras2]],2,50)</f>
        <v/>
      </c>
    </row>
    <row r="18157" spans="9:9" x14ac:dyDescent="0.25">
      <c r="I18157" s="227" t="str">
        <f>MID(excPisCofins[[#This Row],[CodBarras2]],2,50)</f>
        <v/>
      </c>
    </row>
    <row r="18158" spans="9:9" x14ac:dyDescent="0.25">
      <c r="I18158" s="227" t="str">
        <f>MID(excPisCofins[[#This Row],[CodBarras2]],2,50)</f>
        <v/>
      </c>
    </row>
    <row r="18159" spans="9:9" x14ac:dyDescent="0.25">
      <c r="I18159" s="227" t="str">
        <f>MID(excPisCofins[[#This Row],[CodBarras2]],2,50)</f>
        <v/>
      </c>
    </row>
    <row r="18160" spans="9:9" x14ac:dyDescent="0.25">
      <c r="I18160" s="227" t="str">
        <f>MID(excPisCofins[[#This Row],[CodBarras2]],2,50)</f>
        <v/>
      </c>
    </row>
    <row r="18161" spans="9:9" x14ac:dyDescent="0.25">
      <c r="I18161" s="227" t="str">
        <f>MID(excPisCofins[[#This Row],[CodBarras2]],2,50)</f>
        <v/>
      </c>
    </row>
    <row r="18162" spans="9:9" x14ac:dyDescent="0.25">
      <c r="I18162" s="227" t="str">
        <f>MID(excPisCofins[[#This Row],[CodBarras2]],2,50)</f>
        <v/>
      </c>
    </row>
    <row r="18163" spans="9:9" x14ac:dyDescent="0.25">
      <c r="I18163" s="227" t="str">
        <f>MID(excPisCofins[[#This Row],[CodBarras2]],2,50)</f>
        <v/>
      </c>
    </row>
    <row r="18164" spans="9:9" x14ac:dyDescent="0.25">
      <c r="I18164" s="227" t="str">
        <f>MID(excPisCofins[[#This Row],[CodBarras2]],2,50)</f>
        <v/>
      </c>
    </row>
    <row r="18165" spans="9:9" x14ac:dyDescent="0.25">
      <c r="I18165" s="227" t="str">
        <f>MID(excPisCofins[[#This Row],[CodBarras2]],2,50)</f>
        <v/>
      </c>
    </row>
    <row r="18166" spans="9:9" x14ac:dyDescent="0.25">
      <c r="I18166" s="227" t="str">
        <f>MID(excPisCofins[[#This Row],[CodBarras2]],2,50)</f>
        <v/>
      </c>
    </row>
    <row r="18167" spans="9:9" x14ac:dyDescent="0.25">
      <c r="I18167" s="227" t="str">
        <f>MID(excPisCofins[[#This Row],[CodBarras2]],2,50)</f>
        <v/>
      </c>
    </row>
    <row r="18168" spans="9:9" x14ac:dyDescent="0.25">
      <c r="I18168" s="227" t="str">
        <f>MID(excPisCofins[[#This Row],[CodBarras2]],2,50)</f>
        <v/>
      </c>
    </row>
    <row r="18169" spans="9:9" x14ac:dyDescent="0.25">
      <c r="I18169" s="227" t="str">
        <f>MID(excPisCofins[[#This Row],[CodBarras2]],2,50)</f>
        <v/>
      </c>
    </row>
    <row r="18170" spans="9:9" x14ac:dyDescent="0.25">
      <c r="I18170" s="227" t="str">
        <f>MID(excPisCofins[[#This Row],[CodBarras2]],2,50)</f>
        <v/>
      </c>
    </row>
    <row r="18171" spans="9:9" x14ac:dyDescent="0.25">
      <c r="I18171" s="227" t="str">
        <f>MID(excPisCofins[[#This Row],[CodBarras2]],2,50)</f>
        <v/>
      </c>
    </row>
    <row r="18172" spans="9:9" x14ac:dyDescent="0.25">
      <c r="I18172" s="227" t="str">
        <f>MID(excPisCofins[[#This Row],[CodBarras2]],2,50)</f>
        <v/>
      </c>
    </row>
    <row r="18173" spans="9:9" x14ac:dyDescent="0.25">
      <c r="I18173" s="227" t="str">
        <f>MID(excPisCofins[[#This Row],[CodBarras2]],2,50)</f>
        <v/>
      </c>
    </row>
    <row r="18174" spans="9:9" x14ac:dyDescent="0.25">
      <c r="I18174" s="227" t="str">
        <f>MID(excPisCofins[[#This Row],[CodBarras2]],2,50)</f>
        <v/>
      </c>
    </row>
    <row r="18175" spans="9:9" x14ac:dyDescent="0.25">
      <c r="I18175" s="227" t="str">
        <f>MID(excPisCofins[[#This Row],[CodBarras2]],2,50)</f>
        <v/>
      </c>
    </row>
    <row r="18176" spans="9:9" x14ac:dyDescent="0.25">
      <c r="I18176" s="227" t="str">
        <f>MID(excPisCofins[[#This Row],[CodBarras2]],2,50)</f>
        <v/>
      </c>
    </row>
    <row r="18177" spans="9:9" x14ac:dyDescent="0.25">
      <c r="I18177" s="227" t="str">
        <f>MID(excPisCofins[[#This Row],[CodBarras2]],2,50)</f>
        <v/>
      </c>
    </row>
    <row r="18178" spans="9:9" x14ac:dyDescent="0.25">
      <c r="I18178" s="227" t="str">
        <f>MID(excPisCofins[[#This Row],[CodBarras2]],2,50)</f>
        <v/>
      </c>
    </row>
    <row r="18179" spans="9:9" x14ac:dyDescent="0.25">
      <c r="I18179" s="227" t="str">
        <f>MID(excPisCofins[[#This Row],[CodBarras2]],2,50)</f>
        <v/>
      </c>
    </row>
    <row r="18180" spans="9:9" x14ac:dyDescent="0.25">
      <c r="I18180" s="227" t="str">
        <f>MID(excPisCofins[[#This Row],[CodBarras2]],2,50)</f>
        <v/>
      </c>
    </row>
    <row r="18181" spans="9:9" x14ac:dyDescent="0.25">
      <c r="I18181" s="227" t="str">
        <f>MID(excPisCofins[[#This Row],[CodBarras2]],2,50)</f>
        <v/>
      </c>
    </row>
    <row r="18182" spans="9:9" x14ac:dyDescent="0.25">
      <c r="I18182" s="227" t="str">
        <f>MID(excPisCofins[[#This Row],[CodBarras2]],2,50)</f>
        <v/>
      </c>
    </row>
    <row r="18183" spans="9:9" x14ac:dyDescent="0.25">
      <c r="I18183" s="227" t="str">
        <f>MID(excPisCofins[[#This Row],[CodBarras2]],2,50)</f>
        <v/>
      </c>
    </row>
    <row r="18184" spans="9:9" x14ac:dyDescent="0.25">
      <c r="I18184" s="227" t="str">
        <f>MID(excPisCofins[[#This Row],[CodBarras2]],2,50)</f>
        <v/>
      </c>
    </row>
    <row r="18185" spans="9:9" x14ac:dyDescent="0.25">
      <c r="I18185" s="227" t="str">
        <f>MID(excPisCofins[[#This Row],[CodBarras2]],2,50)</f>
        <v/>
      </c>
    </row>
    <row r="18186" spans="9:9" x14ac:dyDescent="0.25">
      <c r="I18186" s="227" t="str">
        <f>MID(excPisCofins[[#This Row],[CodBarras2]],2,50)</f>
        <v/>
      </c>
    </row>
    <row r="18187" spans="9:9" x14ac:dyDescent="0.25">
      <c r="I18187" s="227" t="str">
        <f>MID(excPisCofins[[#This Row],[CodBarras2]],2,50)</f>
        <v/>
      </c>
    </row>
    <row r="18188" spans="9:9" x14ac:dyDescent="0.25">
      <c r="I18188" s="227" t="str">
        <f>MID(excPisCofins[[#This Row],[CodBarras2]],2,50)</f>
        <v/>
      </c>
    </row>
    <row r="18189" spans="9:9" x14ac:dyDescent="0.25">
      <c r="I18189" s="227" t="str">
        <f>MID(excPisCofins[[#This Row],[CodBarras2]],2,50)</f>
        <v/>
      </c>
    </row>
    <row r="18190" spans="9:9" x14ac:dyDescent="0.25">
      <c r="I18190" s="227" t="str">
        <f>MID(excPisCofins[[#This Row],[CodBarras2]],2,50)</f>
        <v/>
      </c>
    </row>
    <row r="18191" spans="9:9" x14ac:dyDescent="0.25">
      <c r="I18191" s="227" t="str">
        <f>MID(excPisCofins[[#This Row],[CodBarras2]],2,50)</f>
        <v/>
      </c>
    </row>
    <row r="18192" spans="9:9" x14ac:dyDescent="0.25">
      <c r="I18192" s="227" t="str">
        <f>MID(excPisCofins[[#This Row],[CodBarras2]],2,50)</f>
        <v/>
      </c>
    </row>
    <row r="18193" spans="9:9" x14ac:dyDescent="0.25">
      <c r="I18193" s="227" t="str">
        <f>MID(excPisCofins[[#This Row],[CodBarras2]],2,50)</f>
        <v/>
      </c>
    </row>
    <row r="18194" spans="9:9" x14ac:dyDescent="0.25">
      <c r="I18194" s="227" t="str">
        <f>MID(excPisCofins[[#This Row],[CodBarras2]],2,50)</f>
        <v/>
      </c>
    </row>
    <row r="18195" spans="9:9" x14ac:dyDescent="0.25">
      <c r="I18195" s="227" t="str">
        <f>MID(excPisCofins[[#This Row],[CodBarras2]],2,50)</f>
        <v/>
      </c>
    </row>
    <row r="18196" spans="9:9" x14ac:dyDescent="0.25">
      <c r="I18196" s="227" t="str">
        <f>MID(excPisCofins[[#This Row],[CodBarras2]],2,50)</f>
        <v/>
      </c>
    </row>
    <row r="18197" spans="9:9" x14ac:dyDescent="0.25">
      <c r="I18197" s="227" t="str">
        <f>MID(excPisCofins[[#This Row],[CodBarras2]],2,50)</f>
        <v/>
      </c>
    </row>
    <row r="18198" spans="9:9" x14ac:dyDescent="0.25">
      <c r="I18198" s="227" t="str">
        <f>MID(excPisCofins[[#This Row],[CodBarras2]],2,50)</f>
        <v/>
      </c>
    </row>
    <row r="18199" spans="9:9" x14ac:dyDescent="0.25">
      <c r="I18199" s="227" t="str">
        <f>MID(excPisCofins[[#This Row],[CodBarras2]],2,50)</f>
        <v/>
      </c>
    </row>
    <row r="18200" spans="9:9" x14ac:dyDescent="0.25">
      <c r="I18200" s="227" t="str">
        <f>MID(excPisCofins[[#This Row],[CodBarras2]],2,50)</f>
        <v/>
      </c>
    </row>
    <row r="18201" spans="9:9" x14ac:dyDescent="0.25">
      <c r="I18201" s="227" t="str">
        <f>MID(excPisCofins[[#This Row],[CodBarras2]],2,50)</f>
        <v/>
      </c>
    </row>
    <row r="18202" spans="9:9" x14ac:dyDescent="0.25">
      <c r="I18202" s="227" t="str">
        <f>MID(excPisCofins[[#This Row],[CodBarras2]],2,50)</f>
        <v/>
      </c>
    </row>
    <row r="18203" spans="9:9" x14ac:dyDescent="0.25">
      <c r="I18203" s="227" t="str">
        <f>MID(excPisCofins[[#This Row],[CodBarras2]],2,50)</f>
        <v/>
      </c>
    </row>
    <row r="18204" spans="9:9" x14ac:dyDescent="0.25">
      <c r="I18204" s="227" t="str">
        <f>MID(excPisCofins[[#This Row],[CodBarras2]],2,50)</f>
        <v/>
      </c>
    </row>
    <row r="18205" spans="9:9" x14ac:dyDescent="0.25">
      <c r="I18205" s="227" t="str">
        <f>MID(excPisCofins[[#This Row],[CodBarras2]],2,50)</f>
        <v/>
      </c>
    </row>
    <row r="18206" spans="9:9" x14ac:dyDescent="0.25">
      <c r="I18206" s="227" t="str">
        <f>MID(excPisCofins[[#This Row],[CodBarras2]],2,50)</f>
        <v/>
      </c>
    </row>
    <row r="18207" spans="9:9" x14ac:dyDescent="0.25">
      <c r="I18207" s="227" t="str">
        <f>MID(excPisCofins[[#This Row],[CodBarras2]],2,50)</f>
        <v/>
      </c>
    </row>
    <row r="18208" spans="9:9" x14ac:dyDescent="0.25">
      <c r="I18208" s="227" t="str">
        <f>MID(excPisCofins[[#This Row],[CodBarras2]],2,50)</f>
        <v/>
      </c>
    </row>
    <row r="18209" spans="9:9" x14ac:dyDescent="0.25">
      <c r="I18209" s="227" t="str">
        <f>MID(excPisCofins[[#This Row],[CodBarras2]],2,50)</f>
        <v/>
      </c>
    </row>
    <row r="18210" spans="9:9" x14ac:dyDescent="0.25">
      <c r="I18210" s="227" t="str">
        <f>MID(excPisCofins[[#This Row],[CodBarras2]],2,50)</f>
        <v/>
      </c>
    </row>
    <row r="18211" spans="9:9" x14ac:dyDescent="0.25">
      <c r="I18211" s="227" t="str">
        <f>MID(excPisCofins[[#This Row],[CodBarras2]],2,50)</f>
        <v/>
      </c>
    </row>
    <row r="18212" spans="9:9" x14ac:dyDescent="0.25">
      <c r="I18212" s="227" t="str">
        <f>MID(excPisCofins[[#This Row],[CodBarras2]],2,50)</f>
        <v/>
      </c>
    </row>
    <row r="18213" spans="9:9" x14ac:dyDescent="0.25">
      <c r="I18213" s="227" t="str">
        <f>MID(excPisCofins[[#This Row],[CodBarras2]],2,50)</f>
        <v/>
      </c>
    </row>
    <row r="18214" spans="9:9" x14ac:dyDescent="0.25">
      <c r="I18214" s="227" t="str">
        <f>MID(excPisCofins[[#This Row],[CodBarras2]],2,50)</f>
        <v/>
      </c>
    </row>
    <row r="18215" spans="9:9" x14ac:dyDescent="0.25">
      <c r="I18215" s="227" t="str">
        <f>MID(excPisCofins[[#This Row],[CodBarras2]],2,50)</f>
        <v/>
      </c>
    </row>
    <row r="18216" spans="9:9" x14ac:dyDescent="0.25">
      <c r="I18216" s="227" t="str">
        <f>MID(excPisCofins[[#This Row],[CodBarras2]],2,50)</f>
        <v/>
      </c>
    </row>
    <row r="18217" spans="9:9" x14ac:dyDescent="0.25">
      <c r="I18217" s="227" t="str">
        <f>MID(excPisCofins[[#This Row],[CodBarras2]],2,50)</f>
        <v/>
      </c>
    </row>
    <row r="18218" spans="9:9" x14ac:dyDescent="0.25">
      <c r="I18218" s="227" t="str">
        <f>MID(excPisCofins[[#This Row],[CodBarras2]],2,50)</f>
        <v/>
      </c>
    </row>
    <row r="18219" spans="9:9" x14ac:dyDescent="0.25">
      <c r="I18219" s="227" t="str">
        <f>MID(excPisCofins[[#This Row],[CodBarras2]],2,50)</f>
        <v/>
      </c>
    </row>
    <row r="18220" spans="9:9" x14ac:dyDescent="0.25">
      <c r="I18220" s="227" t="str">
        <f>MID(excPisCofins[[#This Row],[CodBarras2]],2,50)</f>
        <v/>
      </c>
    </row>
    <row r="18221" spans="9:9" x14ac:dyDescent="0.25">
      <c r="I18221" s="227" t="str">
        <f>MID(excPisCofins[[#This Row],[CodBarras2]],2,50)</f>
        <v/>
      </c>
    </row>
    <row r="18222" spans="9:9" x14ac:dyDescent="0.25">
      <c r="I18222" s="227" t="str">
        <f>MID(excPisCofins[[#This Row],[CodBarras2]],2,50)</f>
        <v/>
      </c>
    </row>
    <row r="18223" spans="9:9" x14ac:dyDescent="0.25">
      <c r="I18223" s="227" t="str">
        <f>MID(excPisCofins[[#This Row],[CodBarras2]],2,50)</f>
        <v/>
      </c>
    </row>
    <row r="18224" spans="9:9" x14ac:dyDescent="0.25">
      <c r="I18224" s="227" t="str">
        <f>MID(excPisCofins[[#This Row],[CodBarras2]],2,50)</f>
        <v/>
      </c>
    </row>
    <row r="18225" spans="9:9" x14ac:dyDescent="0.25">
      <c r="I18225" s="227" t="str">
        <f>MID(excPisCofins[[#This Row],[CodBarras2]],2,50)</f>
        <v/>
      </c>
    </row>
    <row r="18226" spans="9:9" x14ac:dyDescent="0.25">
      <c r="I18226" s="227" t="str">
        <f>MID(excPisCofins[[#This Row],[CodBarras2]],2,50)</f>
        <v/>
      </c>
    </row>
    <row r="18227" spans="9:9" x14ac:dyDescent="0.25">
      <c r="I18227" s="227" t="str">
        <f>MID(excPisCofins[[#This Row],[CodBarras2]],2,50)</f>
        <v/>
      </c>
    </row>
    <row r="18228" spans="9:9" x14ac:dyDescent="0.25">
      <c r="I18228" s="227" t="str">
        <f>MID(excPisCofins[[#This Row],[CodBarras2]],2,50)</f>
        <v/>
      </c>
    </row>
    <row r="18229" spans="9:9" x14ac:dyDescent="0.25">
      <c r="I18229" s="227" t="str">
        <f>MID(excPisCofins[[#This Row],[CodBarras2]],2,50)</f>
        <v/>
      </c>
    </row>
    <row r="18230" spans="9:9" x14ac:dyDescent="0.25">
      <c r="I18230" s="227" t="str">
        <f>MID(excPisCofins[[#This Row],[CodBarras2]],2,50)</f>
        <v/>
      </c>
    </row>
    <row r="18231" spans="9:9" x14ac:dyDescent="0.25">
      <c r="I18231" s="227" t="str">
        <f>MID(excPisCofins[[#This Row],[CodBarras2]],2,50)</f>
        <v/>
      </c>
    </row>
    <row r="18232" spans="9:9" x14ac:dyDescent="0.25">
      <c r="I18232" s="227" t="str">
        <f>MID(excPisCofins[[#This Row],[CodBarras2]],2,50)</f>
        <v/>
      </c>
    </row>
    <row r="18233" spans="9:9" x14ac:dyDescent="0.25">
      <c r="I18233" s="227" t="str">
        <f>MID(excPisCofins[[#This Row],[CodBarras2]],2,50)</f>
        <v/>
      </c>
    </row>
    <row r="18234" spans="9:9" x14ac:dyDescent="0.25">
      <c r="I18234" s="227" t="str">
        <f>MID(excPisCofins[[#This Row],[CodBarras2]],2,50)</f>
        <v/>
      </c>
    </row>
    <row r="18235" spans="9:9" x14ac:dyDescent="0.25">
      <c r="I18235" s="227" t="str">
        <f>MID(excPisCofins[[#This Row],[CodBarras2]],2,50)</f>
        <v/>
      </c>
    </row>
    <row r="18236" spans="9:9" x14ac:dyDescent="0.25">
      <c r="I18236" s="227" t="str">
        <f>MID(excPisCofins[[#This Row],[CodBarras2]],2,50)</f>
        <v/>
      </c>
    </row>
    <row r="18237" spans="9:9" x14ac:dyDescent="0.25">
      <c r="I18237" s="227" t="str">
        <f>MID(excPisCofins[[#This Row],[CodBarras2]],2,50)</f>
        <v/>
      </c>
    </row>
    <row r="18238" spans="9:9" x14ac:dyDescent="0.25">
      <c r="I18238" s="227" t="str">
        <f>MID(excPisCofins[[#This Row],[CodBarras2]],2,50)</f>
        <v/>
      </c>
    </row>
    <row r="18239" spans="9:9" x14ac:dyDescent="0.25">
      <c r="I18239" s="227" t="str">
        <f>MID(excPisCofins[[#This Row],[CodBarras2]],2,50)</f>
        <v/>
      </c>
    </row>
    <row r="18240" spans="9:9" x14ac:dyDescent="0.25">
      <c r="I18240" s="227" t="str">
        <f>MID(excPisCofins[[#This Row],[CodBarras2]],2,50)</f>
        <v/>
      </c>
    </row>
    <row r="18241" spans="9:9" x14ac:dyDescent="0.25">
      <c r="I18241" s="227" t="str">
        <f>MID(excPisCofins[[#This Row],[CodBarras2]],2,50)</f>
        <v/>
      </c>
    </row>
    <row r="18242" spans="9:9" x14ac:dyDescent="0.25">
      <c r="I18242" s="227" t="str">
        <f>MID(excPisCofins[[#This Row],[CodBarras2]],2,50)</f>
        <v/>
      </c>
    </row>
    <row r="18243" spans="9:9" x14ac:dyDescent="0.25">
      <c r="I18243" s="227" t="str">
        <f>MID(excPisCofins[[#This Row],[CodBarras2]],2,50)</f>
        <v/>
      </c>
    </row>
    <row r="18244" spans="9:9" x14ac:dyDescent="0.25">
      <c r="I18244" s="227" t="str">
        <f>MID(excPisCofins[[#This Row],[CodBarras2]],2,50)</f>
        <v/>
      </c>
    </row>
    <row r="18245" spans="9:9" x14ac:dyDescent="0.25">
      <c r="I18245" s="227" t="str">
        <f>MID(excPisCofins[[#This Row],[CodBarras2]],2,50)</f>
        <v/>
      </c>
    </row>
    <row r="18246" spans="9:9" x14ac:dyDescent="0.25">
      <c r="I18246" s="227" t="str">
        <f>MID(excPisCofins[[#This Row],[CodBarras2]],2,50)</f>
        <v/>
      </c>
    </row>
    <row r="18247" spans="9:9" x14ac:dyDescent="0.25">
      <c r="I18247" s="227" t="str">
        <f>MID(excPisCofins[[#This Row],[CodBarras2]],2,50)</f>
        <v/>
      </c>
    </row>
    <row r="18248" spans="9:9" x14ac:dyDescent="0.25">
      <c r="I18248" s="227" t="str">
        <f>MID(excPisCofins[[#This Row],[CodBarras2]],2,50)</f>
        <v/>
      </c>
    </row>
    <row r="18249" spans="9:9" x14ac:dyDescent="0.25">
      <c r="I18249" s="227" t="str">
        <f>MID(excPisCofins[[#This Row],[CodBarras2]],2,50)</f>
        <v/>
      </c>
    </row>
    <row r="18250" spans="9:9" x14ac:dyDescent="0.25">
      <c r="I18250" s="227" t="str">
        <f>MID(excPisCofins[[#This Row],[CodBarras2]],2,50)</f>
        <v/>
      </c>
    </row>
    <row r="18251" spans="9:9" x14ac:dyDescent="0.25">
      <c r="I18251" s="227" t="str">
        <f>MID(excPisCofins[[#This Row],[CodBarras2]],2,50)</f>
        <v/>
      </c>
    </row>
    <row r="18252" spans="9:9" x14ac:dyDescent="0.25">
      <c r="I18252" s="227" t="str">
        <f>MID(excPisCofins[[#This Row],[CodBarras2]],2,50)</f>
        <v/>
      </c>
    </row>
    <row r="18253" spans="9:9" x14ac:dyDescent="0.25">
      <c r="I18253" s="227" t="str">
        <f>MID(excPisCofins[[#This Row],[CodBarras2]],2,50)</f>
        <v/>
      </c>
    </row>
    <row r="18254" spans="9:9" x14ac:dyDescent="0.25">
      <c r="I18254" s="227" t="str">
        <f>MID(excPisCofins[[#This Row],[CodBarras2]],2,50)</f>
        <v/>
      </c>
    </row>
    <row r="18255" spans="9:9" x14ac:dyDescent="0.25">
      <c r="I18255" s="227" t="str">
        <f>MID(excPisCofins[[#This Row],[CodBarras2]],2,50)</f>
        <v/>
      </c>
    </row>
    <row r="18256" spans="9:9" x14ac:dyDescent="0.25">
      <c r="I18256" s="227" t="str">
        <f>MID(excPisCofins[[#This Row],[CodBarras2]],2,50)</f>
        <v/>
      </c>
    </row>
    <row r="18257" spans="9:9" x14ac:dyDescent="0.25">
      <c r="I18257" s="227" t="str">
        <f>MID(excPisCofins[[#This Row],[CodBarras2]],2,50)</f>
        <v/>
      </c>
    </row>
    <row r="18258" spans="9:9" x14ac:dyDescent="0.25">
      <c r="I18258" s="227" t="str">
        <f>MID(excPisCofins[[#This Row],[CodBarras2]],2,50)</f>
        <v/>
      </c>
    </row>
    <row r="18259" spans="9:9" x14ac:dyDescent="0.25">
      <c r="I18259" s="227" t="str">
        <f>MID(excPisCofins[[#This Row],[CodBarras2]],2,50)</f>
        <v/>
      </c>
    </row>
    <row r="18260" spans="9:9" x14ac:dyDescent="0.25">
      <c r="I18260" s="227" t="str">
        <f>MID(excPisCofins[[#This Row],[CodBarras2]],2,50)</f>
        <v/>
      </c>
    </row>
    <row r="18261" spans="9:9" x14ac:dyDescent="0.25">
      <c r="I18261" s="227" t="str">
        <f>MID(excPisCofins[[#This Row],[CodBarras2]],2,50)</f>
        <v/>
      </c>
    </row>
    <row r="18262" spans="9:9" x14ac:dyDescent="0.25">
      <c r="I18262" s="227" t="str">
        <f>MID(excPisCofins[[#This Row],[CodBarras2]],2,50)</f>
        <v/>
      </c>
    </row>
    <row r="18263" spans="9:9" x14ac:dyDescent="0.25">
      <c r="I18263" s="227" t="str">
        <f>MID(excPisCofins[[#This Row],[CodBarras2]],2,50)</f>
        <v/>
      </c>
    </row>
    <row r="18264" spans="9:9" x14ac:dyDescent="0.25">
      <c r="I18264" s="227" t="str">
        <f>MID(excPisCofins[[#This Row],[CodBarras2]],2,50)</f>
        <v/>
      </c>
    </row>
    <row r="18265" spans="9:9" x14ac:dyDescent="0.25">
      <c r="I18265" s="227" t="str">
        <f>MID(excPisCofins[[#This Row],[CodBarras2]],2,50)</f>
        <v/>
      </c>
    </row>
    <row r="18266" spans="9:9" x14ac:dyDescent="0.25">
      <c r="I18266" s="227" t="str">
        <f>MID(excPisCofins[[#This Row],[CodBarras2]],2,50)</f>
        <v/>
      </c>
    </row>
    <row r="18267" spans="9:9" x14ac:dyDescent="0.25">
      <c r="I18267" s="227" t="str">
        <f>MID(excPisCofins[[#This Row],[CodBarras2]],2,50)</f>
        <v/>
      </c>
    </row>
    <row r="18268" spans="9:9" x14ac:dyDescent="0.25">
      <c r="I18268" s="227" t="str">
        <f>MID(excPisCofins[[#This Row],[CodBarras2]],2,50)</f>
        <v/>
      </c>
    </row>
    <row r="18269" spans="9:9" x14ac:dyDescent="0.25">
      <c r="I18269" s="227" t="str">
        <f>MID(excPisCofins[[#This Row],[CodBarras2]],2,50)</f>
        <v/>
      </c>
    </row>
    <row r="18270" spans="9:9" x14ac:dyDescent="0.25">
      <c r="I18270" s="227" t="str">
        <f>MID(excPisCofins[[#This Row],[CodBarras2]],2,50)</f>
        <v/>
      </c>
    </row>
    <row r="18271" spans="9:9" x14ac:dyDescent="0.25">
      <c r="I18271" s="227" t="str">
        <f>MID(excPisCofins[[#This Row],[CodBarras2]],2,50)</f>
        <v/>
      </c>
    </row>
    <row r="18272" spans="9:9" x14ac:dyDescent="0.25">
      <c r="I18272" s="227" t="str">
        <f>MID(excPisCofins[[#This Row],[CodBarras2]],2,50)</f>
        <v/>
      </c>
    </row>
    <row r="18273" spans="9:9" x14ac:dyDescent="0.25">
      <c r="I18273" s="227" t="str">
        <f>MID(excPisCofins[[#This Row],[CodBarras2]],2,50)</f>
        <v/>
      </c>
    </row>
    <row r="18274" spans="9:9" x14ac:dyDescent="0.25">
      <c r="I18274" s="227" t="str">
        <f>MID(excPisCofins[[#This Row],[CodBarras2]],2,50)</f>
        <v/>
      </c>
    </row>
    <row r="18275" spans="9:9" x14ac:dyDescent="0.25">
      <c r="I18275" s="227" t="str">
        <f>MID(excPisCofins[[#This Row],[CodBarras2]],2,50)</f>
        <v/>
      </c>
    </row>
    <row r="18276" spans="9:9" x14ac:dyDescent="0.25">
      <c r="I18276" s="227" t="str">
        <f>MID(excPisCofins[[#This Row],[CodBarras2]],2,50)</f>
        <v/>
      </c>
    </row>
    <row r="18277" spans="9:9" x14ac:dyDescent="0.25">
      <c r="I18277" s="227" t="str">
        <f>MID(excPisCofins[[#This Row],[CodBarras2]],2,50)</f>
        <v/>
      </c>
    </row>
    <row r="18278" spans="9:9" x14ac:dyDescent="0.25">
      <c r="I18278" s="227" t="str">
        <f>MID(excPisCofins[[#This Row],[CodBarras2]],2,50)</f>
        <v/>
      </c>
    </row>
    <row r="18279" spans="9:9" x14ac:dyDescent="0.25">
      <c r="I18279" s="227" t="str">
        <f>MID(excPisCofins[[#This Row],[CodBarras2]],2,50)</f>
        <v/>
      </c>
    </row>
    <row r="18280" spans="9:9" x14ac:dyDescent="0.25">
      <c r="I18280" s="227" t="str">
        <f>MID(excPisCofins[[#This Row],[CodBarras2]],2,50)</f>
        <v/>
      </c>
    </row>
    <row r="18281" spans="9:9" x14ac:dyDescent="0.25">
      <c r="I18281" s="227" t="str">
        <f>MID(excPisCofins[[#This Row],[CodBarras2]],2,50)</f>
        <v/>
      </c>
    </row>
    <row r="18282" spans="9:9" x14ac:dyDescent="0.25">
      <c r="I18282" s="227" t="str">
        <f>MID(excPisCofins[[#This Row],[CodBarras2]],2,50)</f>
        <v/>
      </c>
    </row>
    <row r="18283" spans="9:9" x14ac:dyDescent="0.25">
      <c r="I18283" s="227" t="str">
        <f>MID(excPisCofins[[#This Row],[CodBarras2]],2,50)</f>
        <v/>
      </c>
    </row>
    <row r="18284" spans="9:9" x14ac:dyDescent="0.25">
      <c r="I18284" s="227" t="str">
        <f>MID(excPisCofins[[#This Row],[CodBarras2]],2,50)</f>
        <v/>
      </c>
    </row>
    <row r="18285" spans="9:9" x14ac:dyDescent="0.25">
      <c r="I18285" s="227" t="str">
        <f>MID(excPisCofins[[#This Row],[CodBarras2]],2,50)</f>
        <v/>
      </c>
    </row>
    <row r="18286" spans="9:9" x14ac:dyDescent="0.25">
      <c r="I18286" s="227" t="str">
        <f>MID(excPisCofins[[#This Row],[CodBarras2]],2,50)</f>
        <v/>
      </c>
    </row>
    <row r="18287" spans="9:9" x14ac:dyDescent="0.25">
      <c r="I18287" s="227" t="str">
        <f>MID(excPisCofins[[#This Row],[CodBarras2]],2,50)</f>
        <v/>
      </c>
    </row>
    <row r="18288" spans="9:9" x14ac:dyDescent="0.25">
      <c r="I18288" s="227" t="str">
        <f>MID(excPisCofins[[#This Row],[CodBarras2]],2,50)</f>
        <v/>
      </c>
    </row>
    <row r="18289" spans="9:9" x14ac:dyDescent="0.25">
      <c r="I18289" s="227" t="str">
        <f>MID(excPisCofins[[#This Row],[CodBarras2]],2,50)</f>
        <v/>
      </c>
    </row>
    <row r="18290" spans="9:9" x14ac:dyDescent="0.25">
      <c r="I18290" s="227" t="str">
        <f>MID(excPisCofins[[#This Row],[CodBarras2]],2,50)</f>
        <v/>
      </c>
    </row>
    <row r="18291" spans="9:9" x14ac:dyDescent="0.25">
      <c r="I18291" s="227" t="str">
        <f>MID(excPisCofins[[#This Row],[CodBarras2]],2,50)</f>
        <v/>
      </c>
    </row>
    <row r="18292" spans="9:9" x14ac:dyDescent="0.25">
      <c r="I18292" s="227" t="str">
        <f>MID(excPisCofins[[#This Row],[CodBarras2]],2,50)</f>
        <v/>
      </c>
    </row>
    <row r="18293" spans="9:9" x14ac:dyDescent="0.25">
      <c r="I18293" s="227" t="str">
        <f>MID(excPisCofins[[#This Row],[CodBarras2]],2,50)</f>
        <v/>
      </c>
    </row>
    <row r="18294" spans="9:9" x14ac:dyDescent="0.25">
      <c r="I18294" s="227" t="str">
        <f>MID(excPisCofins[[#This Row],[CodBarras2]],2,50)</f>
        <v/>
      </c>
    </row>
    <row r="18295" spans="9:9" x14ac:dyDescent="0.25">
      <c r="I18295" s="227" t="str">
        <f>MID(excPisCofins[[#This Row],[CodBarras2]],2,50)</f>
        <v/>
      </c>
    </row>
    <row r="18296" spans="9:9" x14ac:dyDescent="0.25">
      <c r="I18296" s="227" t="str">
        <f>MID(excPisCofins[[#This Row],[CodBarras2]],2,50)</f>
        <v/>
      </c>
    </row>
    <row r="18297" spans="9:9" x14ac:dyDescent="0.25">
      <c r="I18297" s="227" t="str">
        <f>MID(excPisCofins[[#This Row],[CodBarras2]],2,50)</f>
        <v/>
      </c>
    </row>
    <row r="18298" spans="9:9" x14ac:dyDescent="0.25">
      <c r="I18298" s="227" t="str">
        <f>MID(excPisCofins[[#This Row],[CodBarras2]],2,50)</f>
        <v/>
      </c>
    </row>
    <row r="18299" spans="9:9" x14ac:dyDescent="0.25">
      <c r="I18299" s="227" t="str">
        <f>MID(excPisCofins[[#This Row],[CodBarras2]],2,50)</f>
        <v/>
      </c>
    </row>
    <row r="18300" spans="9:9" x14ac:dyDescent="0.25">
      <c r="I18300" s="227" t="str">
        <f>MID(excPisCofins[[#This Row],[CodBarras2]],2,50)</f>
        <v/>
      </c>
    </row>
    <row r="18301" spans="9:9" x14ac:dyDescent="0.25">
      <c r="I18301" s="227" t="str">
        <f>MID(excPisCofins[[#This Row],[CodBarras2]],2,50)</f>
        <v/>
      </c>
    </row>
    <row r="18302" spans="9:9" x14ac:dyDescent="0.25">
      <c r="I18302" s="227" t="str">
        <f>MID(excPisCofins[[#This Row],[CodBarras2]],2,50)</f>
        <v/>
      </c>
    </row>
    <row r="18303" spans="9:9" x14ac:dyDescent="0.25">
      <c r="I18303" s="227" t="str">
        <f>MID(excPisCofins[[#This Row],[CodBarras2]],2,50)</f>
        <v/>
      </c>
    </row>
    <row r="18304" spans="9:9" x14ac:dyDescent="0.25">
      <c r="I18304" s="227" t="str">
        <f>MID(excPisCofins[[#This Row],[CodBarras2]],2,50)</f>
        <v/>
      </c>
    </row>
    <row r="18305" spans="9:9" x14ac:dyDescent="0.25">
      <c r="I18305" s="227" t="str">
        <f>MID(excPisCofins[[#This Row],[CodBarras2]],2,50)</f>
        <v/>
      </c>
    </row>
    <row r="18306" spans="9:9" x14ac:dyDescent="0.25">
      <c r="I18306" s="227" t="str">
        <f>MID(excPisCofins[[#This Row],[CodBarras2]],2,50)</f>
        <v/>
      </c>
    </row>
    <row r="18307" spans="9:9" x14ac:dyDescent="0.25">
      <c r="I18307" s="227" t="str">
        <f>MID(excPisCofins[[#This Row],[CodBarras2]],2,50)</f>
        <v/>
      </c>
    </row>
    <row r="18308" spans="9:9" x14ac:dyDescent="0.25">
      <c r="I18308" s="227" t="str">
        <f>MID(excPisCofins[[#This Row],[CodBarras2]],2,50)</f>
        <v/>
      </c>
    </row>
    <row r="18309" spans="9:9" x14ac:dyDescent="0.25">
      <c r="I18309" s="227" t="str">
        <f>MID(excPisCofins[[#This Row],[CodBarras2]],2,50)</f>
        <v/>
      </c>
    </row>
    <row r="18310" spans="9:9" x14ac:dyDescent="0.25">
      <c r="I18310" s="227" t="str">
        <f>MID(excPisCofins[[#This Row],[CodBarras2]],2,50)</f>
        <v/>
      </c>
    </row>
    <row r="18311" spans="9:9" x14ac:dyDescent="0.25">
      <c r="I18311" s="227" t="str">
        <f>MID(excPisCofins[[#This Row],[CodBarras2]],2,50)</f>
        <v/>
      </c>
    </row>
    <row r="18312" spans="9:9" x14ac:dyDescent="0.25">
      <c r="I18312" s="227" t="str">
        <f>MID(excPisCofins[[#This Row],[CodBarras2]],2,50)</f>
        <v/>
      </c>
    </row>
    <row r="18313" spans="9:9" x14ac:dyDescent="0.25">
      <c r="I18313" s="227" t="str">
        <f>MID(excPisCofins[[#This Row],[CodBarras2]],2,50)</f>
        <v/>
      </c>
    </row>
    <row r="18314" spans="9:9" x14ac:dyDescent="0.25">
      <c r="I18314" s="227" t="str">
        <f>MID(excPisCofins[[#This Row],[CodBarras2]],2,50)</f>
        <v/>
      </c>
    </row>
    <row r="18315" spans="9:9" x14ac:dyDescent="0.25">
      <c r="I18315" s="227" t="str">
        <f>MID(excPisCofins[[#This Row],[CodBarras2]],2,50)</f>
        <v/>
      </c>
    </row>
    <row r="18316" spans="9:9" x14ac:dyDescent="0.25">
      <c r="I18316" s="227" t="str">
        <f>MID(excPisCofins[[#This Row],[CodBarras2]],2,50)</f>
        <v/>
      </c>
    </row>
    <row r="18317" spans="9:9" x14ac:dyDescent="0.25">
      <c r="I18317" s="227" t="str">
        <f>MID(excPisCofins[[#This Row],[CodBarras2]],2,50)</f>
        <v/>
      </c>
    </row>
    <row r="18318" spans="9:9" x14ac:dyDescent="0.25">
      <c r="I18318" s="227" t="str">
        <f>MID(excPisCofins[[#This Row],[CodBarras2]],2,50)</f>
        <v/>
      </c>
    </row>
    <row r="18319" spans="9:9" x14ac:dyDescent="0.25">
      <c r="I18319" s="227" t="str">
        <f>MID(excPisCofins[[#This Row],[CodBarras2]],2,50)</f>
        <v/>
      </c>
    </row>
    <row r="18320" spans="9:9" x14ac:dyDescent="0.25">
      <c r="I18320" s="227" t="str">
        <f>MID(excPisCofins[[#This Row],[CodBarras2]],2,50)</f>
        <v/>
      </c>
    </row>
    <row r="18321" spans="9:9" x14ac:dyDescent="0.25">
      <c r="I18321" s="227" t="str">
        <f>MID(excPisCofins[[#This Row],[CodBarras2]],2,50)</f>
        <v/>
      </c>
    </row>
    <row r="18322" spans="9:9" x14ac:dyDescent="0.25">
      <c r="I18322" s="227" t="str">
        <f>MID(excPisCofins[[#This Row],[CodBarras2]],2,50)</f>
        <v/>
      </c>
    </row>
    <row r="18323" spans="9:9" x14ac:dyDescent="0.25">
      <c r="I18323" s="227" t="str">
        <f>MID(excPisCofins[[#This Row],[CodBarras2]],2,50)</f>
        <v/>
      </c>
    </row>
    <row r="18324" spans="9:9" x14ac:dyDescent="0.25">
      <c r="I18324" s="227" t="str">
        <f>MID(excPisCofins[[#This Row],[CodBarras2]],2,50)</f>
        <v/>
      </c>
    </row>
    <row r="18325" spans="9:9" x14ac:dyDescent="0.25">
      <c r="I18325" s="227" t="str">
        <f>MID(excPisCofins[[#This Row],[CodBarras2]],2,50)</f>
        <v/>
      </c>
    </row>
    <row r="18326" spans="9:9" x14ac:dyDescent="0.25">
      <c r="I18326" s="227" t="str">
        <f>MID(excPisCofins[[#This Row],[CodBarras2]],2,50)</f>
        <v/>
      </c>
    </row>
    <row r="18327" spans="9:9" x14ac:dyDescent="0.25">
      <c r="I18327" s="227" t="str">
        <f>MID(excPisCofins[[#This Row],[CodBarras2]],2,50)</f>
        <v/>
      </c>
    </row>
    <row r="18328" spans="9:9" x14ac:dyDescent="0.25">
      <c r="I18328" s="227" t="str">
        <f>MID(excPisCofins[[#This Row],[CodBarras2]],2,50)</f>
        <v/>
      </c>
    </row>
    <row r="18329" spans="9:9" x14ac:dyDescent="0.25">
      <c r="I18329" s="227" t="str">
        <f>MID(excPisCofins[[#This Row],[CodBarras2]],2,50)</f>
        <v/>
      </c>
    </row>
    <row r="18330" spans="9:9" x14ac:dyDescent="0.25">
      <c r="I18330" s="227" t="str">
        <f>MID(excPisCofins[[#This Row],[CodBarras2]],2,50)</f>
        <v/>
      </c>
    </row>
    <row r="18331" spans="9:9" x14ac:dyDescent="0.25">
      <c r="I18331" s="227" t="str">
        <f>MID(excPisCofins[[#This Row],[CodBarras2]],2,50)</f>
        <v/>
      </c>
    </row>
    <row r="18332" spans="9:9" x14ac:dyDescent="0.25">
      <c r="I18332" s="227" t="str">
        <f>MID(excPisCofins[[#This Row],[CodBarras2]],2,50)</f>
        <v/>
      </c>
    </row>
    <row r="18333" spans="9:9" x14ac:dyDescent="0.25">
      <c r="I18333" s="227" t="str">
        <f>MID(excPisCofins[[#This Row],[CodBarras2]],2,50)</f>
        <v/>
      </c>
    </row>
    <row r="18334" spans="9:9" x14ac:dyDescent="0.25">
      <c r="I18334" s="227" t="str">
        <f>MID(excPisCofins[[#This Row],[CodBarras2]],2,50)</f>
        <v/>
      </c>
    </row>
    <row r="18335" spans="9:9" x14ac:dyDescent="0.25">
      <c r="I18335" s="227" t="str">
        <f>MID(excPisCofins[[#This Row],[CodBarras2]],2,50)</f>
        <v/>
      </c>
    </row>
    <row r="18336" spans="9:9" x14ac:dyDescent="0.25">
      <c r="I18336" s="227" t="str">
        <f>MID(excPisCofins[[#This Row],[CodBarras2]],2,50)</f>
        <v/>
      </c>
    </row>
    <row r="18337" spans="9:9" x14ac:dyDescent="0.25">
      <c r="I18337" s="227" t="str">
        <f>MID(excPisCofins[[#This Row],[CodBarras2]],2,50)</f>
        <v/>
      </c>
    </row>
    <row r="18338" spans="9:9" x14ac:dyDescent="0.25">
      <c r="I18338" s="227" t="str">
        <f>MID(excPisCofins[[#This Row],[CodBarras2]],2,50)</f>
        <v/>
      </c>
    </row>
    <row r="18339" spans="9:9" x14ac:dyDescent="0.25">
      <c r="I18339" s="227" t="str">
        <f>MID(excPisCofins[[#This Row],[CodBarras2]],2,50)</f>
        <v/>
      </c>
    </row>
    <row r="18340" spans="9:9" x14ac:dyDescent="0.25">
      <c r="I18340" s="227" t="str">
        <f>MID(excPisCofins[[#This Row],[CodBarras2]],2,50)</f>
        <v/>
      </c>
    </row>
    <row r="18341" spans="9:9" x14ac:dyDescent="0.25">
      <c r="I18341" s="227" t="str">
        <f>MID(excPisCofins[[#This Row],[CodBarras2]],2,50)</f>
        <v/>
      </c>
    </row>
    <row r="18342" spans="9:9" x14ac:dyDescent="0.25">
      <c r="I18342" s="227" t="str">
        <f>MID(excPisCofins[[#This Row],[CodBarras2]],2,50)</f>
        <v/>
      </c>
    </row>
    <row r="18343" spans="9:9" x14ac:dyDescent="0.25">
      <c r="I18343" s="227" t="str">
        <f>MID(excPisCofins[[#This Row],[CodBarras2]],2,50)</f>
        <v/>
      </c>
    </row>
    <row r="18344" spans="9:9" x14ac:dyDescent="0.25">
      <c r="I18344" s="227" t="str">
        <f>MID(excPisCofins[[#This Row],[CodBarras2]],2,50)</f>
        <v/>
      </c>
    </row>
    <row r="18345" spans="9:9" x14ac:dyDescent="0.25">
      <c r="I18345" s="227" t="str">
        <f>MID(excPisCofins[[#This Row],[CodBarras2]],2,50)</f>
        <v/>
      </c>
    </row>
    <row r="18346" spans="9:9" x14ac:dyDescent="0.25">
      <c r="I18346" s="227" t="str">
        <f>MID(excPisCofins[[#This Row],[CodBarras2]],2,50)</f>
        <v/>
      </c>
    </row>
    <row r="18347" spans="9:9" x14ac:dyDescent="0.25">
      <c r="I18347" s="227" t="str">
        <f>MID(excPisCofins[[#This Row],[CodBarras2]],2,50)</f>
        <v/>
      </c>
    </row>
    <row r="18348" spans="9:9" x14ac:dyDescent="0.25">
      <c r="I18348" s="227" t="str">
        <f>MID(excPisCofins[[#This Row],[CodBarras2]],2,50)</f>
        <v/>
      </c>
    </row>
    <row r="18349" spans="9:9" x14ac:dyDescent="0.25">
      <c r="I18349" s="227" t="str">
        <f>MID(excPisCofins[[#This Row],[CodBarras2]],2,50)</f>
        <v/>
      </c>
    </row>
    <row r="18350" spans="9:9" x14ac:dyDescent="0.25">
      <c r="I18350" s="227" t="str">
        <f>MID(excPisCofins[[#This Row],[CodBarras2]],2,50)</f>
        <v/>
      </c>
    </row>
    <row r="18351" spans="9:9" x14ac:dyDescent="0.25">
      <c r="I18351" s="227" t="str">
        <f>MID(excPisCofins[[#This Row],[CodBarras2]],2,50)</f>
        <v/>
      </c>
    </row>
    <row r="18352" spans="9:9" x14ac:dyDescent="0.25">
      <c r="I18352" s="227" t="str">
        <f>MID(excPisCofins[[#This Row],[CodBarras2]],2,50)</f>
        <v/>
      </c>
    </row>
    <row r="18353" spans="9:9" x14ac:dyDescent="0.25">
      <c r="I18353" s="227" t="str">
        <f>MID(excPisCofins[[#This Row],[CodBarras2]],2,50)</f>
        <v/>
      </c>
    </row>
    <row r="18354" spans="9:9" x14ac:dyDescent="0.25">
      <c r="I18354" s="227" t="str">
        <f>MID(excPisCofins[[#This Row],[CodBarras2]],2,50)</f>
        <v/>
      </c>
    </row>
    <row r="18355" spans="9:9" x14ac:dyDescent="0.25">
      <c r="I18355" s="227" t="str">
        <f>MID(excPisCofins[[#This Row],[CodBarras2]],2,50)</f>
        <v/>
      </c>
    </row>
    <row r="18356" spans="9:9" x14ac:dyDescent="0.25">
      <c r="I18356" s="227" t="str">
        <f>MID(excPisCofins[[#This Row],[CodBarras2]],2,50)</f>
        <v/>
      </c>
    </row>
    <row r="18357" spans="9:9" x14ac:dyDescent="0.25">
      <c r="I18357" s="227" t="str">
        <f>MID(excPisCofins[[#This Row],[CodBarras2]],2,50)</f>
        <v/>
      </c>
    </row>
    <row r="18358" spans="9:9" x14ac:dyDescent="0.25">
      <c r="I18358" s="227" t="str">
        <f>MID(excPisCofins[[#This Row],[CodBarras2]],2,50)</f>
        <v/>
      </c>
    </row>
    <row r="18359" spans="9:9" x14ac:dyDescent="0.25">
      <c r="I18359" s="227" t="str">
        <f>MID(excPisCofins[[#This Row],[CodBarras2]],2,50)</f>
        <v/>
      </c>
    </row>
    <row r="18360" spans="9:9" x14ac:dyDescent="0.25">
      <c r="I18360" s="227" t="str">
        <f>MID(excPisCofins[[#This Row],[CodBarras2]],2,50)</f>
        <v/>
      </c>
    </row>
    <row r="18361" spans="9:9" x14ac:dyDescent="0.25">
      <c r="I18361" s="227" t="str">
        <f>MID(excPisCofins[[#This Row],[CodBarras2]],2,50)</f>
        <v/>
      </c>
    </row>
    <row r="18362" spans="9:9" x14ac:dyDescent="0.25">
      <c r="I18362" s="227" t="str">
        <f>MID(excPisCofins[[#This Row],[CodBarras2]],2,50)</f>
        <v/>
      </c>
    </row>
    <row r="18363" spans="9:9" x14ac:dyDescent="0.25">
      <c r="I18363" s="227" t="str">
        <f>MID(excPisCofins[[#This Row],[CodBarras2]],2,50)</f>
        <v/>
      </c>
    </row>
    <row r="18364" spans="9:9" x14ac:dyDescent="0.25">
      <c r="I18364" s="227" t="str">
        <f>MID(excPisCofins[[#This Row],[CodBarras2]],2,50)</f>
        <v/>
      </c>
    </row>
    <row r="18365" spans="9:9" x14ac:dyDescent="0.25">
      <c r="I18365" s="227" t="str">
        <f>MID(excPisCofins[[#This Row],[CodBarras2]],2,50)</f>
        <v/>
      </c>
    </row>
    <row r="18366" spans="9:9" x14ac:dyDescent="0.25">
      <c r="I18366" s="227" t="str">
        <f>MID(excPisCofins[[#This Row],[CodBarras2]],2,50)</f>
        <v/>
      </c>
    </row>
    <row r="18367" spans="9:9" x14ac:dyDescent="0.25">
      <c r="I18367" s="227" t="str">
        <f>MID(excPisCofins[[#This Row],[CodBarras2]],2,50)</f>
        <v/>
      </c>
    </row>
    <row r="18368" spans="9:9" x14ac:dyDescent="0.25">
      <c r="I18368" s="227" t="str">
        <f>MID(excPisCofins[[#This Row],[CodBarras2]],2,50)</f>
        <v/>
      </c>
    </row>
    <row r="18369" spans="9:9" x14ac:dyDescent="0.25">
      <c r="I18369" s="227" t="str">
        <f>MID(excPisCofins[[#This Row],[CodBarras2]],2,50)</f>
        <v/>
      </c>
    </row>
    <row r="18370" spans="9:9" x14ac:dyDescent="0.25">
      <c r="I18370" s="227" t="str">
        <f>MID(excPisCofins[[#This Row],[CodBarras2]],2,50)</f>
        <v/>
      </c>
    </row>
    <row r="18371" spans="9:9" x14ac:dyDescent="0.25">
      <c r="I18371" s="227" t="str">
        <f>MID(excPisCofins[[#This Row],[CodBarras2]],2,50)</f>
        <v/>
      </c>
    </row>
    <row r="18372" spans="9:9" x14ac:dyDescent="0.25">
      <c r="I18372" s="227" t="str">
        <f>MID(excPisCofins[[#This Row],[CodBarras2]],2,50)</f>
        <v/>
      </c>
    </row>
    <row r="18373" spans="9:9" x14ac:dyDescent="0.25">
      <c r="I18373" s="227" t="str">
        <f>MID(excPisCofins[[#This Row],[CodBarras2]],2,50)</f>
        <v/>
      </c>
    </row>
    <row r="18374" spans="9:9" x14ac:dyDescent="0.25">
      <c r="I18374" s="227" t="str">
        <f>MID(excPisCofins[[#This Row],[CodBarras2]],2,50)</f>
        <v/>
      </c>
    </row>
    <row r="18375" spans="9:9" x14ac:dyDescent="0.25">
      <c r="I18375" s="227" t="str">
        <f>MID(excPisCofins[[#This Row],[CodBarras2]],2,50)</f>
        <v/>
      </c>
    </row>
    <row r="18376" spans="9:9" x14ac:dyDescent="0.25">
      <c r="I18376" s="227" t="str">
        <f>MID(excPisCofins[[#This Row],[CodBarras2]],2,50)</f>
        <v/>
      </c>
    </row>
    <row r="18377" spans="9:9" x14ac:dyDescent="0.25">
      <c r="I18377" s="227" t="str">
        <f>MID(excPisCofins[[#This Row],[CodBarras2]],2,50)</f>
        <v/>
      </c>
    </row>
    <row r="18378" spans="9:9" x14ac:dyDescent="0.25">
      <c r="I18378" s="227" t="str">
        <f>MID(excPisCofins[[#This Row],[CodBarras2]],2,50)</f>
        <v/>
      </c>
    </row>
    <row r="18379" spans="9:9" x14ac:dyDescent="0.25">
      <c r="I18379" s="227" t="str">
        <f>MID(excPisCofins[[#This Row],[CodBarras2]],2,50)</f>
        <v/>
      </c>
    </row>
    <row r="18380" spans="9:9" x14ac:dyDescent="0.25">
      <c r="I18380" s="227" t="str">
        <f>MID(excPisCofins[[#This Row],[CodBarras2]],2,50)</f>
        <v/>
      </c>
    </row>
    <row r="18381" spans="9:9" x14ac:dyDescent="0.25">
      <c r="I18381" s="227" t="str">
        <f>MID(excPisCofins[[#This Row],[CodBarras2]],2,50)</f>
        <v/>
      </c>
    </row>
    <row r="18382" spans="9:9" x14ac:dyDescent="0.25">
      <c r="I18382" s="227" t="str">
        <f>MID(excPisCofins[[#This Row],[CodBarras2]],2,50)</f>
        <v/>
      </c>
    </row>
    <row r="18383" spans="9:9" x14ac:dyDescent="0.25">
      <c r="I18383" s="227" t="str">
        <f>MID(excPisCofins[[#This Row],[CodBarras2]],2,50)</f>
        <v/>
      </c>
    </row>
    <row r="18384" spans="9:9" x14ac:dyDescent="0.25">
      <c r="I18384" s="227" t="str">
        <f>MID(excPisCofins[[#This Row],[CodBarras2]],2,50)</f>
        <v/>
      </c>
    </row>
    <row r="18385" spans="9:9" x14ac:dyDescent="0.25">
      <c r="I18385" s="227" t="str">
        <f>MID(excPisCofins[[#This Row],[CodBarras2]],2,50)</f>
        <v/>
      </c>
    </row>
    <row r="18386" spans="9:9" x14ac:dyDescent="0.25">
      <c r="I18386" s="227" t="str">
        <f>MID(excPisCofins[[#This Row],[CodBarras2]],2,50)</f>
        <v/>
      </c>
    </row>
    <row r="18387" spans="9:9" x14ac:dyDescent="0.25">
      <c r="I18387" s="227" t="str">
        <f>MID(excPisCofins[[#This Row],[CodBarras2]],2,50)</f>
        <v/>
      </c>
    </row>
    <row r="18388" spans="9:9" x14ac:dyDescent="0.25">
      <c r="I18388" s="227" t="str">
        <f>MID(excPisCofins[[#This Row],[CodBarras2]],2,50)</f>
        <v/>
      </c>
    </row>
    <row r="18389" spans="9:9" x14ac:dyDescent="0.25">
      <c r="I18389" s="227" t="str">
        <f>MID(excPisCofins[[#This Row],[CodBarras2]],2,50)</f>
        <v/>
      </c>
    </row>
    <row r="18390" spans="9:9" x14ac:dyDescent="0.25">
      <c r="I18390" s="227" t="str">
        <f>MID(excPisCofins[[#This Row],[CodBarras2]],2,50)</f>
        <v/>
      </c>
    </row>
    <row r="18391" spans="9:9" x14ac:dyDescent="0.25">
      <c r="I18391" s="227" t="str">
        <f>MID(excPisCofins[[#This Row],[CodBarras2]],2,50)</f>
        <v/>
      </c>
    </row>
    <row r="18392" spans="9:9" x14ac:dyDescent="0.25">
      <c r="I18392" s="227" t="str">
        <f>MID(excPisCofins[[#This Row],[CodBarras2]],2,50)</f>
        <v/>
      </c>
    </row>
    <row r="18393" spans="9:9" x14ac:dyDescent="0.25">
      <c r="I18393" s="227" t="str">
        <f>MID(excPisCofins[[#This Row],[CodBarras2]],2,50)</f>
        <v/>
      </c>
    </row>
    <row r="18394" spans="9:9" x14ac:dyDescent="0.25">
      <c r="I18394" s="227" t="str">
        <f>MID(excPisCofins[[#This Row],[CodBarras2]],2,50)</f>
        <v/>
      </c>
    </row>
    <row r="18395" spans="9:9" x14ac:dyDescent="0.25">
      <c r="I18395" s="227" t="str">
        <f>MID(excPisCofins[[#This Row],[CodBarras2]],2,50)</f>
        <v/>
      </c>
    </row>
    <row r="18396" spans="9:9" x14ac:dyDescent="0.25">
      <c r="I18396" s="227" t="str">
        <f>MID(excPisCofins[[#This Row],[CodBarras2]],2,50)</f>
        <v/>
      </c>
    </row>
    <row r="18397" spans="9:9" x14ac:dyDescent="0.25">
      <c r="I18397" s="227" t="str">
        <f>MID(excPisCofins[[#This Row],[CodBarras2]],2,50)</f>
        <v/>
      </c>
    </row>
    <row r="18398" spans="9:9" x14ac:dyDescent="0.25">
      <c r="I18398" s="227" t="str">
        <f>MID(excPisCofins[[#This Row],[CodBarras2]],2,50)</f>
        <v/>
      </c>
    </row>
    <row r="18399" spans="9:9" x14ac:dyDescent="0.25">
      <c r="I18399" s="227" t="str">
        <f>MID(excPisCofins[[#This Row],[CodBarras2]],2,50)</f>
        <v/>
      </c>
    </row>
    <row r="18400" spans="9:9" x14ac:dyDescent="0.25">
      <c r="I18400" s="227" t="str">
        <f>MID(excPisCofins[[#This Row],[CodBarras2]],2,50)</f>
        <v/>
      </c>
    </row>
    <row r="18401" spans="9:9" x14ac:dyDescent="0.25">
      <c r="I18401" s="227" t="str">
        <f>MID(excPisCofins[[#This Row],[CodBarras2]],2,50)</f>
        <v/>
      </c>
    </row>
    <row r="18402" spans="9:9" x14ac:dyDescent="0.25">
      <c r="I18402" s="227" t="str">
        <f>MID(excPisCofins[[#This Row],[CodBarras2]],2,50)</f>
        <v/>
      </c>
    </row>
    <row r="18403" spans="9:9" x14ac:dyDescent="0.25">
      <c r="I18403" s="227" t="str">
        <f>MID(excPisCofins[[#This Row],[CodBarras2]],2,50)</f>
        <v/>
      </c>
    </row>
    <row r="18404" spans="9:9" x14ac:dyDescent="0.25">
      <c r="I18404" s="227" t="str">
        <f>MID(excPisCofins[[#This Row],[CodBarras2]],2,50)</f>
        <v/>
      </c>
    </row>
    <row r="18405" spans="9:9" x14ac:dyDescent="0.25">
      <c r="I18405" s="227" t="str">
        <f>MID(excPisCofins[[#This Row],[CodBarras2]],2,50)</f>
        <v/>
      </c>
    </row>
    <row r="18406" spans="9:9" x14ac:dyDescent="0.25">
      <c r="I18406" s="227" t="str">
        <f>MID(excPisCofins[[#This Row],[CodBarras2]],2,50)</f>
        <v/>
      </c>
    </row>
    <row r="18407" spans="9:9" x14ac:dyDescent="0.25">
      <c r="I18407" s="227" t="str">
        <f>MID(excPisCofins[[#This Row],[CodBarras2]],2,50)</f>
        <v/>
      </c>
    </row>
    <row r="18408" spans="9:9" x14ac:dyDescent="0.25">
      <c r="I18408" s="227" t="str">
        <f>MID(excPisCofins[[#This Row],[CodBarras2]],2,50)</f>
        <v/>
      </c>
    </row>
    <row r="18409" spans="9:9" x14ac:dyDescent="0.25">
      <c r="I18409" s="227" t="str">
        <f>MID(excPisCofins[[#This Row],[CodBarras2]],2,50)</f>
        <v/>
      </c>
    </row>
    <row r="18410" spans="9:9" x14ac:dyDescent="0.25">
      <c r="I18410" s="227" t="str">
        <f>MID(excPisCofins[[#This Row],[CodBarras2]],2,50)</f>
        <v/>
      </c>
    </row>
    <row r="18411" spans="9:9" x14ac:dyDescent="0.25">
      <c r="I18411" s="227" t="str">
        <f>MID(excPisCofins[[#This Row],[CodBarras2]],2,50)</f>
        <v/>
      </c>
    </row>
    <row r="18412" spans="9:9" x14ac:dyDescent="0.25">
      <c r="I18412" s="227" t="str">
        <f>MID(excPisCofins[[#This Row],[CodBarras2]],2,50)</f>
        <v/>
      </c>
    </row>
    <row r="18413" spans="9:9" x14ac:dyDescent="0.25">
      <c r="I18413" s="227" t="str">
        <f>MID(excPisCofins[[#This Row],[CodBarras2]],2,50)</f>
        <v/>
      </c>
    </row>
    <row r="18414" spans="9:9" x14ac:dyDescent="0.25">
      <c r="I18414" s="227" t="str">
        <f>MID(excPisCofins[[#This Row],[CodBarras2]],2,50)</f>
        <v/>
      </c>
    </row>
    <row r="18415" spans="9:9" x14ac:dyDescent="0.25">
      <c r="I18415" s="227" t="str">
        <f>MID(excPisCofins[[#This Row],[CodBarras2]],2,50)</f>
        <v/>
      </c>
    </row>
    <row r="18416" spans="9:9" x14ac:dyDescent="0.25">
      <c r="I18416" s="227" t="str">
        <f>MID(excPisCofins[[#This Row],[CodBarras2]],2,50)</f>
        <v/>
      </c>
    </row>
    <row r="18417" spans="9:9" x14ac:dyDescent="0.25">
      <c r="I18417" s="227" t="str">
        <f>MID(excPisCofins[[#This Row],[CodBarras2]],2,50)</f>
        <v/>
      </c>
    </row>
    <row r="18418" spans="9:9" x14ac:dyDescent="0.25">
      <c r="I18418" s="227" t="str">
        <f>MID(excPisCofins[[#This Row],[CodBarras2]],2,50)</f>
        <v/>
      </c>
    </row>
    <row r="18419" spans="9:9" x14ac:dyDescent="0.25">
      <c r="I18419" s="227" t="str">
        <f>MID(excPisCofins[[#This Row],[CodBarras2]],2,50)</f>
        <v/>
      </c>
    </row>
    <row r="18420" spans="9:9" x14ac:dyDescent="0.25">
      <c r="I18420" s="227" t="str">
        <f>MID(excPisCofins[[#This Row],[CodBarras2]],2,50)</f>
        <v/>
      </c>
    </row>
    <row r="18421" spans="9:9" x14ac:dyDescent="0.25">
      <c r="I18421" s="227" t="str">
        <f>MID(excPisCofins[[#This Row],[CodBarras2]],2,50)</f>
        <v/>
      </c>
    </row>
    <row r="18422" spans="9:9" x14ac:dyDescent="0.25">
      <c r="I18422" s="227" t="str">
        <f>MID(excPisCofins[[#This Row],[CodBarras2]],2,50)</f>
        <v/>
      </c>
    </row>
    <row r="18423" spans="9:9" x14ac:dyDescent="0.25">
      <c r="I18423" s="227" t="str">
        <f>MID(excPisCofins[[#This Row],[CodBarras2]],2,50)</f>
        <v/>
      </c>
    </row>
    <row r="18424" spans="9:9" x14ac:dyDescent="0.25">
      <c r="I18424" s="227" t="str">
        <f>MID(excPisCofins[[#This Row],[CodBarras2]],2,50)</f>
        <v/>
      </c>
    </row>
    <row r="18425" spans="9:9" x14ac:dyDescent="0.25">
      <c r="I18425" s="227" t="str">
        <f>MID(excPisCofins[[#This Row],[CodBarras2]],2,50)</f>
        <v/>
      </c>
    </row>
    <row r="18426" spans="9:9" x14ac:dyDescent="0.25">
      <c r="I18426" s="227" t="str">
        <f>MID(excPisCofins[[#This Row],[CodBarras2]],2,50)</f>
        <v/>
      </c>
    </row>
    <row r="18427" spans="9:9" x14ac:dyDescent="0.25">
      <c r="I18427" s="227" t="str">
        <f>MID(excPisCofins[[#This Row],[CodBarras2]],2,50)</f>
        <v/>
      </c>
    </row>
    <row r="18428" spans="9:9" x14ac:dyDescent="0.25">
      <c r="I18428" s="227" t="str">
        <f>MID(excPisCofins[[#This Row],[CodBarras2]],2,50)</f>
        <v/>
      </c>
    </row>
    <row r="18429" spans="9:9" x14ac:dyDescent="0.25">
      <c r="I18429" s="227" t="str">
        <f>MID(excPisCofins[[#This Row],[CodBarras2]],2,50)</f>
        <v/>
      </c>
    </row>
    <row r="18430" spans="9:9" x14ac:dyDescent="0.25">
      <c r="I18430" s="227" t="str">
        <f>MID(excPisCofins[[#This Row],[CodBarras2]],2,50)</f>
        <v/>
      </c>
    </row>
    <row r="18431" spans="9:9" x14ac:dyDescent="0.25">
      <c r="I18431" s="227" t="str">
        <f>MID(excPisCofins[[#This Row],[CodBarras2]],2,50)</f>
        <v/>
      </c>
    </row>
    <row r="18432" spans="9:9" x14ac:dyDescent="0.25">
      <c r="I18432" s="227" t="str">
        <f>MID(excPisCofins[[#This Row],[CodBarras2]],2,50)</f>
        <v/>
      </c>
    </row>
    <row r="18433" spans="9:9" x14ac:dyDescent="0.25">
      <c r="I18433" s="227" t="str">
        <f>MID(excPisCofins[[#This Row],[CodBarras2]],2,50)</f>
        <v/>
      </c>
    </row>
    <row r="18434" spans="9:9" x14ac:dyDescent="0.25">
      <c r="I18434" s="227" t="str">
        <f>MID(excPisCofins[[#This Row],[CodBarras2]],2,50)</f>
        <v/>
      </c>
    </row>
    <row r="18435" spans="9:9" x14ac:dyDescent="0.25">
      <c r="I18435" s="227" t="str">
        <f>MID(excPisCofins[[#This Row],[CodBarras2]],2,50)</f>
        <v/>
      </c>
    </row>
    <row r="18436" spans="9:9" x14ac:dyDescent="0.25">
      <c r="I18436" s="227" t="str">
        <f>MID(excPisCofins[[#This Row],[CodBarras2]],2,50)</f>
        <v/>
      </c>
    </row>
    <row r="18437" spans="9:9" x14ac:dyDescent="0.25">
      <c r="I18437" s="227" t="str">
        <f>MID(excPisCofins[[#This Row],[CodBarras2]],2,50)</f>
        <v/>
      </c>
    </row>
    <row r="18438" spans="9:9" x14ac:dyDescent="0.25">
      <c r="I18438" s="227" t="str">
        <f>MID(excPisCofins[[#This Row],[CodBarras2]],2,50)</f>
        <v/>
      </c>
    </row>
    <row r="18439" spans="9:9" x14ac:dyDescent="0.25">
      <c r="I18439" s="227" t="str">
        <f>MID(excPisCofins[[#This Row],[CodBarras2]],2,50)</f>
        <v/>
      </c>
    </row>
    <row r="18440" spans="9:9" x14ac:dyDescent="0.25">
      <c r="I18440" s="227" t="str">
        <f>MID(excPisCofins[[#This Row],[CodBarras2]],2,50)</f>
        <v/>
      </c>
    </row>
    <row r="18441" spans="9:9" x14ac:dyDescent="0.25">
      <c r="I18441" s="227" t="str">
        <f>MID(excPisCofins[[#This Row],[CodBarras2]],2,50)</f>
        <v/>
      </c>
    </row>
    <row r="18442" spans="9:9" x14ac:dyDescent="0.25">
      <c r="I18442" s="227" t="str">
        <f>MID(excPisCofins[[#This Row],[CodBarras2]],2,50)</f>
        <v/>
      </c>
    </row>
    <row r="18443" spans="9:9" x14ac:dyDescent="0.25">
      <c r="I18443" s="227" t="str">
        <f>MID(excPisCofins[[#This Row],[CodBarras2]],2,50)</f>
        <v/>
      </c>
    </row>
    <row r="18444" spans="9:9" x14ac:dyDescent="0.25">
      <c r="I18444" s="227" t="str">
        <f>MID(excPisCofins[[#This Row],[CodBarras2]],2,50)</f>
        <v/>
      </c>
    </row>
    <row r="18445" spans="9:9" x14ac:dyDescent="0.25">
      <c r="I18445" s="227" t="str">
        <f>MID(excPisCofins[[#This Row],[CodBarras2]],2,50)</f>
        <v/>
      </c>
    </row>
    <row r="18446" spans="9:9" x14ac:dyDescent="0.25">
      <c r="I18446" s="227" t="str">
        <f>MID(excPisCofins[[#This Row],[CodBarras2]],2,50)</f>
        <v/>
      </c>
    </row>
    <row r="18447" spans="9:9" x14ac:dyDescent="0.25">
      <c r="I18447" s="227" t="str">
        <f>MID(excPisCofins[[#This Row],[CodBarras2]],2,50)</f>
        <v/>
      </c>
    </row>
    <row r="18448" spans="9:9" x14ac:dyDescent="0.25">
      <c r="I18448" s="227" t="str">
        <f>MID(excPisCofins[[#This Row],[CodBarras2]],2,50)</f>
        <v/>
      </c>
    </row>
    <row r="18449" spans="9:9" x14ac:dyDescent="0.25">
      <c r="I18449" s="227" t="str">
        <f>MID(excPisCofins[[#This Row],[CodBarras2]],2,50)</f>
        <v/>
      </c>
    </row>
    <row r="18450" spans="9:9" x14ac:dyDescent="0.25">
      <c r="I18450" s="227" t="str">
        <f>MID(excPisCofins[[#This Row],[CodBarras2]],2,50)</f>
        <v/>
      </c>
    </row>
    <row r="18451" spans="9:9" x14ac:dyDescent="0.25">
      <c r="I18451" s="227" t="str">
        <f>MID(excPisCofins[[#This Row],[CodBarras2]],2,50)</f>
        <v/>
      </c>
    </row>
    <row r="18452" spans="9:9" x14ac:dyDescent="0.25">
      <c r="I18452" s="227" t="str">
        <f>MID(excPisCofins[[#This Row],[CodBarras2]],2,50)</f>
        <v/>
      </c>
    </row>
    <row r="18453" spans="9:9" x14ac:dyDescent="0.25">
      <c r="I18453" s="227" t="str">
        <f>MID(excPisCofins[[#This Row],[CodBarras2]],2,50)</f>
        <v/>
      </c>
    </row>
    <row r="18454" spans="9:9" x14ac:dyDescent="0.25">
      <c r="I18454" s="227" t="str">
        <f>MID(excPisCofins[[#This Row],[CodBarras2]],2,50)</f>
        <v/>
      </c>
    </row>
    <row r="18455" spans="9:9" x14ac:dyDescent="0.25">
      <c r="I18455" s="227" t="str">
        <f>MID(excPisCofins[[#This Row],[CodBarras2]],2,50)</f>
        <v/>
      </c>
    </row>
    <row r="18456" spans="9:9" x14ac:dyDescent="0.25">
      <c r="I18456" s="227" t="str">
        <f>MID(excPisCofins[[#This Row],[CodBarras2]],2,50)</f>
        <v/>
      </c>
    </row>
    <row r="18457" spans="9:9" x14ac:dyDescent="0.25">
      <c r="I18457" s="227" t="str">
        <f>MID(excPisCofins[[#This Row],[CodBarras2]],2,50)</f>
        <v/>
      </c>
    </row>
    <row r="18458" spans="9:9" x14ac:dyDescent="0.25">
      <c r="I18458" s="227" t="str">
        <f>MID(excPisCofins[[#This Row],[CodBarras2]],2,50)</f>
        <v/>
      </c>
    </row>
    <row r="18459" spans="9:9" x14ac:dyDescent="0.25">
      <c r="I18459" s="227" t="str">
        <f>MID(excPisCofins[[#This Row],[CodBarras2]],2,50)</f>
        <v/>
      </c>
    </row>
    <row r="18460" spans="9:9" x14ac:dyDescent="0.25">
      <c r="I18460" s="227" t="str">
        <f>MID(excPisCofins[[#This Row],[CodBarras2]],2,50)</f>
        <v/>
      </c>
    </row>
    <row r="18461" spans="9:9" x14ac:dyDescent="0.25">
      <c r="I18461" s="227" t="str">
        <f>MID(excPisCofins[[#This Row],[CodBarras2]],2,50)</f>
        <v/>
      </c>
    </row>
    <row r="18462" spans="9:9" x14ac:dyDescent="0.25">
      <c r="I18462" s="227" t="str">
        <f>MID(excPisCofins[[#This Row],[CodBarras2]],2,50)</f>
        <v/>
      </c>
    </row>
    <row r="18463" spans="9:9" x14ac:dyDescent="0.25">
      <c r="I18463" s="227" t="str">
        <f>MID(excPisCofins[[#This Row],[CodBarras2]],2,50)</f>
        <v/>
      </c>
    </row>
    <row r="18464" spans="9:9" x14ac:dyDescent="0.25">
      <c r="I18464" s="227" t="str">
        <f>MID(excPisCofins[[#This Row],[CodBarras2]],2,50)</f>
        <v/>
      </c>
    </row>
    <row r="18465" spans="9:9" x14ac:dyDescent="0.25">
      <c r="I18465" s="227" t="str">
        <f>MID(excPisCofins[[#This Row],[CodBarras2]],2,50)</f>
        <v/>
      </c>
    </row>
    <row r="18466" spans="9:9" x14ac:dyDescent="0.25">
      <c r="I18466" s="227" t="str">
        <f>MID(excPisCofins[[#This Row],[CodBarras2]],2,50)</f>
        <v/>
      </c>
    </row>
    <row r="18467" spans="9:9" x14ac:dyDescent="0.25">
      <c r="I18467" s="227" t="str">
        <f>MID(excPisCofins[[#This Row],[CodBarras2]],2,50)</f>
        <v/>
      </c>
    </row>
    <row r="18468" spans="9:9" x14ac:dyDescent="0.25">
      <c r="I18468" s="227" t="str">
        <f>MID(excPisCofins[[#This Row],[CodBarras2]],2,50)</f>
        <v/>
      </c>
    </row>
    <row r="18469" spans="9:9" x14ac:dyDescent="0.25">
      <c r="I18469" s="227" t="str">
        <f>MID(excPisCofins[[#This Row],[CodBarras2]],2,50)</f>
        <v/>
      </c>
    </row>
    <row r="18470" spans="9:9" x14ac:dyDescent="0.25">
      <c r="I18470" s="227" t="str">
        <f>MID(excPisCofins[[#This Row],[CodBarras2]],2,50)</f>
        <v/>
      </c>
    </row>
    <row r="18471" spans="9:9" x14ac:dyDescent="0.25">
      <c r="I18471" s="227" t="str">
        <f>MID(excPisCofins[[#This Row],[CodBarras2]],2,50)</f>
        <v/>
      </c>
    </row>
    <row r="18472" spans="9:9" x14ac:dyDescent="0.25">
      <c r="I18472" s="227" t="str">
        <f>MID(excPisCofins[[#This Row],[CodBarras2]],2,50)</f>
        <v/>
      </c>
    </row>
    <row r="18473" spans="9:9" x14ac:dyDescent="0.25">
      <c r="I18473" s="227" t="str">
        <f>MID(excPisCofins[[#This Row],[CodBarras2]],2,50)</f>
        <v/>
      </c>
    </row>
    <row r="18474" spans="9:9" x14ac:dyDescent="0.25">
      <c r="I18474" s="227" t="str">
        <f>MID(excPisCofins[[#This Row],[CodBarras2]],2,50)</f>
        <v/>
      </c>
    </row>
    <row r="18475" spans="9:9" x14ac:dyDescent="0.25">
      <c r="I18475" s="227" t="str">
        <f>MID(excPisCofins[[#This Row],[CodBarras2]],2,50)</f>
        <v/>
      </c>
    </row>
    <row r="18476" spans="9:9" x14ac:dyDescent="0.25">
      <c r="I18476" s="227" t="str">
        <f>MID(excPisCofins[[#This Row],[CodBarras2]],2,50)</f>
        <v/>
      </c>
    </row>
    <row r="18477" spans="9:9" x14ac:dyDescent="0.25">
      <c r="I18477" s="227" t="str">
        <f>MID(excPisCofins[[#This Row],[CodBarras2]],2,50)</f>
        <v/>
      </c>
    </row>
    <row r="18478" spans="9:9" x14ac:dyDescent="0.25">
      <c r="I18478" s="227" t="str">
        <f>MID(excPisCofins[[#This Row],[CodBarras2]],2,50)</f>
        <v/>
      </c>
    </row>
    <row r="18479" spans="9:9" x14ac:dyDescent="0.25">
      <c r="I18479" s="227" t="str">
        <f>MID(excPisCofins[[#This Row],[CodBarras2]],2,50)</f>
        <v/>
      </c>
    </row>
    <row r="18480" spans="9:9" x14ac:dyDescent="0.25">
      <c r="I18480" s="227" t="str">
        <f>MID(excPisCofins[[#This Row],[CodBarras2]],2,50)</f>
        <v/>
      </c>
    </row>
    <row r="18481" spans="9:9" x14ac:dyDescent="0.25">
      <c r="I18481" s="227" t="str">
        <f>MID(excPisCofins[[#This Row],[CodBarras2]],2,50)</f>
        <v/>
      </c>
    </row>
    <row r="18482" spans="9:9" x14ac:dyDescent="0.25">
      <c r="I18482" s="227" t="str">
        <f>MID(excPisCofins[[#This Row],[CodBarras2]],2,50)</f>
        <v/>
      </c>
    </row>
    <row r="18483" spans="9:9" x14ac:dyDescent="0.25">
      <c r="I18483" s="227" t="str">
        <f>MID(excPisCofins[[#This Row],[CodBarras2]],2,50)</f>
        <v/>
      </c>
    </row>
    <row r="18484" spans="9:9" x14ac:dyDescent="0.25">
      <c r="I18484" s="227" t="str">
        <f>MID(excPisCofins[[#This Row],[CodBarras2]],2,50)</f>
        <v/>
      </c>
    </row>
    <row r="18485" spans="9:9" x14ac:dyDescent="0.25">
      <c r="I18485" s="227" t="str">
        <f>MID(excPisCofins[[#This Row],[CodBarras2]],2,50)</f>
        <v/>
      </c>
    </row>
    <row r="18486" spans="9:9" x14ac:dyDescent="0.25">
      <c r="I18486" s="227" t="str">
        <f>MID(excPisCofins[[#This Row],[CodBarras2]],2,50)</f>
        <v/>
      </c>
    </row>
    <row r="18487" spans="9:9" x14ac:dyDescent="0.25">
      <c r="I18487" s="227" t="str">
        <f>MID(excPisCofins[[#This Row],[CodBarras2]],2,50)</f>
        <v/>
      </c>
    </row>
    <row r="18488" spans="9:9" x14ac:dyDescent="0.25">
      <c r="I18488" s="227" t="str">
        <f>MID(excPisCofins[[#This Row],[CodBarras2]],2,50)</f>
        <v/>
      </c>
    </row>
    <row r="18489" spans="9:9" x14ac:dyDescent="0.25">
      <c r="I18489" s="227" t="str">
        <f>MID(excPisCofins[[#This Row],[CodBarras2]],2,50)</f>
        <v/>
      </c>
    </row>
    <row r="18490" spans="9:9" x14ac:dyDescent="0.25">
      <c r="I18490" s="227" t="str">
        <f>MID(excPisCofins[[#This Row],[CodBarras2]],2,50)</f>
        <v/>
      </c>
    </row>
    <row r="18491" spans="9:9" x14ac:dyDescent="0.25">
      <c r="I18491" s="227" t="str">
        <f>MID(excPisCofins[[#This Row],[CodBarras2]],2,50)</f>
        <v/>
      </c>
    </row>
    <row r="18492" spans="9:9" x14ac:dyDescent="0.25">
      <c r="I18492" s="227" t="str">
        <f>MID(excPisCofins[[#This Row],[CodBarras2]],2,50)</f>
        <v/>
      </c>
    </row>
    <row r="18493" spans="9:9" x14ac:dyDescent="0.25">
      <c r="I18493" s="227" t="str">
        <f>MID(excPisCofins[[#This Row],[CodBarras2]],2,50)</f>
        <v/>
      </c>
    </row>
    <row r="18494" spans="9:9" x14ac:dyDescent="0.25">
      <c r="I18494" s="227" t="str">
        <f>MID(excPisCofins[[#This Row],[CodBarras2]],2,50)</f>
        <v/>
      </c>
    </row>
    <row r="18495" spans="9:9" x14ac:dyDescent="0.25">
      <c r="I18495" s="227" t="str">
        <f>MID(excPisCofins[[#This Row],[CodBarras2]],2,50)</f>
        <v/>
      </c>
    </row>
    <row r="18496" spans="9:9" x14ac:dyDescent="0.25">
      <c r="I18496" s="227" t="str">
        <f>MID(excPisCofins[[#This Row],[CodBarras2]],2,50)</f>
        <v/>
      </c>
    </row>
    <row r="18497" spans="9:9" x14ac:dyDescent="0.25">
      <c r="I18497" s="227" t="str">
        <f>MID(excPisCofins[[#This Row],[CodBarras2]],2,50)</f>
        <v/>
      </c>
    </row>
    <row r="18498" spans="9:9" x14ac:dyDescent="0.25">
      <c r="I18498" s="227" t="str">
        <f>MID(excPisCofins[[#This Row],[CodBarras2]],2,50)</f>
        <v/>
      </c>
    </row>
    <row r="18499" spans="9:9" x14ac:dyDescent="0.25">
      <c r="I18499" s="227" t="str">
        <f>MID(excPisCofins[[#This Row],[CodBarras2]],2,50)</f>
        <v/>
      </c>
    </row>
    <row r="18500" spans="9:9" x14ac:dyDescent="0.25">
      <c r="I18500" s="227" t="str">
        <f>MID(excPisCofins[[#This Row],[CodBarras2]],2,50)</f>
        <v/>
      </c>
    </row>
    <row r="18501" spans="9:9" x14ac:dyDescent="0.25">
      <c r="I18501" s="227" t="str">
        <f>MID(excPisCofins[[#This Row],[CodBarras2]],2,50)</f>
        <v/>
      </c>
    </row>
    <row r="18502" spans="9:9" x14ac:dyDescent="0.25">
      <c r="I18502" s="227" t="str">
        <f>MID(excPisCofins[[#This Row],[CodBarras2]],2,50)</f>
        <v/>
      </c>
    </row>
    <row r="18503" spans="9:9" x14ac:dyDescent="0.25">
      <c r="I18503" s="227" t="str">
        <f>MID(excPisCofins[[#This Row],[CodBarras2]],2,50)</f>
        <v/>
      </c>
    </row>
    <row r="18504" spans="9:9" x14ac:dyDescent="0.25">
      <c r="I18504" s="227" t="str">
        <f>MID(excPisCofins[[#This Row],[CodBarras2]],2,50)</f>
        <v/>
      </c>
    </row>
    <row r="18505" spans="9:9" x14ac:dyDescent="0.25">
      <c r="I18505" s="227" t="str">
        <f>MID(excPisCofins[[#This Row],[CodBarras2]],2,50)</f>
        <v/>
      </c>
    </row>
    <row r="18506" spans="9:9" x14ac:dyDescent="0.25">
      <c r="I18506" s="227" t="str">
        <f>MID(excPisCofins[[#This Row],[CodBarras2]],2,50)</f>
        <v/>
      </c>
    </row>
    <row r="18507" spans="9:9" x14ac:dyDescent="0.25">
      <c r="I18507" s="227" t="str">
        <f>MID(excPisCofins[[#This Row],[CodBarras2]],2,50)</f>
        <v/>
      </c>
    </row>
    <row r="18508" spans="9:9" x14ac:dyDescent="0.25">
      <c r="I18508" s="227" t="str">
        <f>MID(excPisCofins[[#This Row],[CodBarras2]],2,50)</f>
        <v/>
      </c>
    </row>
    <row r="18509" spans="9:9" x14ac:dyDescent="0.25">
      <c r="I18509" s="227" t="str">
        <f>MID(excPisCofins[[#This Row],[CodBarras2]],2,50)</f>
        <v/>
      </c>
    </row>
    <row r="18510" spans="9:9" x14ac:dyDescent="0.25">
      <c r="I18510" s="227" t="str">
        <f>MID(excPisCofins[[#This Row],[CodBarras2]],2,50)</f>
        <v/>
      </c>
    </row>
    <row r="18511" spans="9:9" x14ac:dyDescent="0.25">
      <c r="I18511" s="227" t="str">
        <f>MID(excPisCofins[[#This Row],[CodBarras2]],2,50)</f>
        <v/>
      </c>
    </row>
    <row r="18512" spans="9:9" x14ac:dyDescent="0.25">
      <c r="I18512" s="227" t="str">
        <f>MID(excPisCofins[[#This Row],[CodBarras2]],2,50)</f>
        <v/>
      </c>
    </row>
    <row r="18513" spans="9:9" x14ac:dyDescent="0.25">
      <c r="I18513" s="227" t="str">
        <f>MID(excPisCofins[[#This Row],[CodBarras2]],2,50)</f>
        <v/>
      </c>
    </row>
    <row r="18514" spans="9:9" x14ac:dyDescent="0.25">
      <c r="I18514" s="227" t="str">
        <f>MID(excPisCofins[[#This Row],[CodBarras2]],2,50)</f>
        <v/>
      </c>
    </row>
    <row r="18515" spans="9:9" x14ac:dyDescent="0.25">
      <c r="I18515" s="227" t="str">
        <f>MID(excPisCofins[[#This Row],[CodBarras2]],2,50)</f>
        <v/>
      </c>
    </row>
    <row r="18516" spans="9:9" x14ac:dyDescent="0.25">
      <c r="I18516" s="227" t="str">
        <f>MID(excPisCofins[[#This Row],[CodBarras2]],2,50)</f>
        <v/>
      </c>
    </row>
    <row r="18517" spans="9:9" x14ac:dyDescent="0.25">
      <c r="I18517" s="227" t="str">
        <f>MID(excPisCofins[[#This Row],[CodBarras2]],2,50)</f>
        <v/>
      </c>
    </row>
    <row r="18518" spans="9:9" x14ac:dyDescent="0.25">
      <c r="I18518" s="227" t="str">
        <f>MID(excPisCofins[[#This Row],[CodBarras2]],2,50)</f>
        <v/>
      </c>
    </row>
    <row r="18519" spans="9:9" x14ac:dyDescent="0.25">
      <c r="I18519" s="227" t="str">
        <f>MID(excPisCofins[[#This Row],[CodBarras2]],2,50)</f>
        <v/>
      </c>
    </row>
    <row r="18520" spans="9:9" x14ac:dyDescent="0.25">
      <c r="I18520" s="227" t="str">
        <f>MID(excPisCofins[[#This Row],[CodBarras2]],2,50)</f>
        <v/>
      </c>
    </row>
    <row r="18521" spans="9:9" x14ac:dyDescent="0.25">
      <c r="I18521" s="227" t="str">
        <f>MID(excPisCofins[[#This Row],[CodBarras2]],2,50)</f>
        <v/>
      </c>
    </row>
    <row r="18522" spans="9:9" x14ac:dyDescent="0.25">
      <c r="I18522" s="227" t="str">
        <f>MID(excPisCofins[[#This Row],[CodBarras2]],2,50)</f>
        <v/>
      </c>
    </row>
    <row r="18523" spans="9:9" x14ac:dyDescent="0.25">
      <c r="I18523" s="227" t="str">
        <f>MID(excPisCofins[[#This Row],[CodBarras2]],2,50)</f>
        <v/>
      </c>
    </row>
    <row r="18524" spans="9:9" x14ac:dyDescent="0.25">
      <c r="I18524" s="227" t="str">
        <f>MID(excPisCofins[[#This Row],[CodBarras2]],2,50)</f>
        <v/>
      </c>
    </row>
    <row r="18525" spans="9:9" x14ac:dyDescent="0.25">
      <c r="I18525" s="227" t="str">
        <f>MID(excPisCofins[[#This Row],[CodBarras2]],2,50)</f>
        <v/>
      </c>
    </row>
    <row r="18526" spans="9:9" x14ac:dyDescent="0.25">
      <c r="I18526" s="227" t="str">
        <f>MID(excPisCofins[[#This Row],[CodBarras2]],2,50)</f>
        <v/>
      </c>
    </row>
    <row r="18527" spans="9:9" x14ac:dyDescent="0.25">
      <c r="I18527" s="227" t="str">
        <f>MID(excPisCofins[[#This Row],[CodBarras2]],2,50)</f>
        <v/>
      </c>
    </row>
    <row r="18528" spans="9:9" x14ac:dyDescent="0.25">
      <c r="I18528" s="227" t="str">
        <f>MID(excPisCofins[[#This Row],[CodBarras2]],2,50)</f>
        <v/>
      </c>
    </row>
    <row r="18529" spans="9:9" x14ac:dyDescent="0.25">
      <c r="I18529" s="227" t="str">
        <f>MID(excPisCofins[[#This Row],[CodBarras2]],2,50)</f>
        <v/>
      </c>
    </row>
    <row r="18530" spans="9:9" x14ac:dyDescent="0.25">
      <c r="I18530" s="227" t="str">
        <f>MID(excPisCofins[[#This Row],[CodBarras2]],2,50)</f>
        <v/>
      </c>
    </row>
    <row r="18531" spans="9:9" x14ac:dyDescent="0.25">
      <c r="I18531" s="227" t="str">
        <f>MID(excPisCofins[[#This Row],[CodBarras2]],2,50)</f>
        <v/>
      </c>
    </row>
    <row r="18532" spans="9:9" x14ac:dyDescent="0.25">
      <c r="I18532" s="227" t="str">
        <f>MID(excPisCofins[[#This Row],[CodBarras2]],2,50)</f>
        <v/>
      </c>
    </row>
    <row r="18533" spans="9:9" x14ac:dyDescent="0.25">
      <c r="I18533" s="227" t="str">
        <f>MID(excPisCofins[[#This Row],[CodBarras2]],2,50)</f>
        <v/>
      </c>
    </row>
    <row r="18534" spans="9:9" x14ac:dyDescent="0.25">
      <c r="I18534" s="227" t="str">
        <f>MID(excPisCofins[[#This Row],[CodBarras2]],2,50)</f>
        <v/>
      </c>
    </row>
    <row r="18535" spans="9:9" x14ac:dyDescent="0.25">
      <c r="I18535" s="227" t="str">
        <f>MID(excPisCofins[[#This Row],[CodBarras2]],2,50)</f>
        <v/>
      </c>
    </row>
    <row r="18536" spans="9:9" x14ac:dyDescent="0.25">
      <c r="I18536" s="227" t="str">
        <f>MID(excPisCofins[[#This Row],[CodBarras2]],2,50)</f>
        <v/>
      </c>
    </row>
    <row r="18537" spans="9:9" x14ac:dyDescent="0.25">
      <c r="I18537" s="227" t="str">
        <f>MID(excPisCofins[[#This Row],[CodBarras2]],2,50)</f>
        <v/>
      </c>
    </row>
    <row r="18538" spans="9:9" x14ac:dyDescent="0.25">
      <c r="I18538" s="227" t="str">
        <f>MID(excPisCofins[[#This Row],[CodBarras2]],2,50)</f>
        <v/>
      </c>
    </row>
    <row r="18539" spans="9:9" x14ac:dyDescent="0.25">
      <c r="I18539" s="227" t="str">
        <f>MID(excPisCofins[[#This Row],[CodBarras2]],2,50)</f>
        <v/>
      </c>
    </row>
    <row r="18540" spans="9:9" x14ac:dyDescent="0.25">
      <c r="I18540" s="227" t="str">
        <f>MID(excPisCofins[[#This Row],[CodBarras2]],2,50)</f>
        <v/>
      </c>
    </row>
    <row r="18541" spans="9:9" x14ac:dyDescent="0.25">
      <c r="I18541" s="227" t="str">
        <f>MID(excPisCofins[[#This Row],[CodBarras2]],2,50)</f>
        <v/>
      </c>
    </row>
    <row r="18542" spans="9:9" x14ac:dyDescent="0.25">
      <c r="I18542" s="227" t="str">
        <f>MID(excPisCofins[[#This Row],[CodBarras2]],2,50)</f>
        <v/>
      </c>
    </row>
    <row r="18543" spans="9:9" x14ac:dyDescent="0.25">
      <c r="I18543" s="227" t="str">
        <f>MID(excPisCofins[[#This Row],[CodBarras2]],2,50)</f>
        <v/>
      </c>
    </row>
    <row r="18544" spans="9:9" x14ac:dyDescent="0.25">
      <c r="I18544" s="227" t="str">
        <f>MID(excPisCofins[[#This Row],[CodBarras2]],2,50)</f>
        <v/>
      </c>
    </row>
    <row r="18545" spans="9:9" x14ac:dyDescent="0.25">
      <c r="I18545" s="227" t="str">
        <f>MID(excPisCofins[[#This Row],[CodBarras2]],2,50)</f>
        <v/>
      </c>
    </row>
    <row r="18546" spans="9:9" x14ac:dyDescent="0.25">
      <c r="I18546" s="227" t="str">
        <f>MID(excPisCofins[[#This Row],[CodBarras2]],2,50)</f>
        <v/>
      </c>
    </row>
    <row r="18547" spans="9:9" x14ac:dyDescent="0.25">
      <c r="I18547" s="227" t="str">
        <f>MID(excPisCofins[[#This Row],[CodBarras2]],2,50)</f>
        <v/>
      </c>
    </row>
    <row r="18548" spans="9:9" x14ac:dyDescent="0.25">
      <c r="I18548" s="227" t="str">
        <f>MID(excPisCofins[[#This Row],[CodBarras2]],2,50)</f>
        <v/>
      </c>
    </row>
    <row r="18549" spans="9:9" x14ac:dyDescent="0.25">
      <c r="I18549" s="227" t="str">
        <f>MID(excPisCofins[[#This Row],[CodBarras2]],2,50)</f>
        <v/>
      </c>
    </row>
    <row r="18550" spans="9:9" x14ac:dyDescent="0.25">
      <c r="I18550" s="227" t="str">
        <f>MID(excPisCofins[[#This Row],[CodBarras2]],2,50)</f>
        <v/>
      </c>
    </row>
    <row r="18551" spans="9:9" x14ac:dyDescent="0.25">
      <c r="I18551" s="227" t="str">
        <f>MID(excPisCofins[[#This Row],[CodBarras2]],2,50)</f>
        <v/>
      </c>
    </row>
    <row r="18552" spans="9:9" x14ac:dyDescent="0.25">
      <c r="I18552" s="227" t="str">
        <f>MID(excPisCofins[[#This Row],[CodBarras2]],2,50)</f>
        <v/>
      </c>
    </row>
    <row r="18553" spans="9:9" x14ac:dyDescent="0.25">
      <c r="I18553" s="227" t="str">
        <f>MID(excPisCofins[[#This Row],[CodBarras2]],2,50)</f>
        <v/>
      </c>
    </row>
    <row r="18554" spans="9:9" x14ac:dyDescent="0.25">
      <c r="I18554" s="227" t="str">
        <f>MID(excPisCofins[[#This Row],[CodBarras2]],2,50)</f>
        <v/>
      </c>
    </row>
    <row r="18555" spans="9:9" x14ac:dyDescent="0.25">
      <c r="I18555" s="227" t="str">
        <f>MID(excPisCofins[[#This Row],[CodBarras2]],2,50)</f>
        <v/>
      </c>
    </row>
    <row r="18556" spans="9:9" x14ac:dyDescent="0.25">
      <c r="I18556" s="227" t="str">
        <f>MID(excPisCofins[[#This Row],[CodBarras2]],2,50)</f>
        <v/>
      </c>
    </row>
    <row r="18557" spans="9:9" x14ac:dyDescent="0.25">
      <c r="I18557" s="227" t="str">
        <f>MID(excPisCofins[[#This Row],[CodBarras2]],2,50)</f>
        <v/>
      </c>
    </row>
    <row r="18558" spans="9:9" x14ac:dyDescent="0.25">
      <c r="I18558" s="227" t="str">
        <f>MID(excPisCofins[[#This Row],[CodBarras2]],2,50)</f>
        <v/>
      </c>
    </row>
    <row r="18559" spans="9:9" x14ac:dyDescent="0.25">
      <c r="I18559" s="227" t="str">
        <f>MID(excPisCofins[[#This Row],[CodBarras2]],2,50)</f>
        <v/>
      </c>
    </row>
    <row r="18560" spans="9:9" x14ac:dyDescent="0.25">
      <c r="I18560" s="227" t="str">
        <f>MID(excPisCofins[[#This Row],[CodBarras2]],2,50)</f>
        <v/>
      </c>
    </row>
    <row r="18561" spans="9:9" x14ac:dyDescent="0.25">
      <c r="I18561" s="227" t="str">
        <f>MID(excPisCofins[[#This Row],[CodBarras2]],2,50)</f>
        <v/>
      </c>
    </row>
    <row r="18562" spans="9:9" x14ac:dyDescent="0.25">
      <c r="I18562" s="227" t="str">
        <f>MID(excPisCofins[[#This Row],[CodBarras2]],2,50)</f>
        <v/>
      </c>
    </row>
    <row r="18563" spans="9:9" x14ac:dyDescent="0.25">
      <c r="I18563" s="227" t="str">
        <f>MID(excPisCofins[[#This Row],[CodBarras2]],2,50)</f>
        <v/>
      </c>
    </row>
    <row r="18564" spans="9:9" x14ac:dyDescent="0.25">
      <c r="I18564" s="227" t="str">
        <f>MID(excPisCofins[[#This Row],[CodBarras2]],2,50)</f>
        <v/>
      </c>
    </row>
    <row r="18565" spans="9:9" x14ac:dyDescent="0.25">
      <c r="I18565" s="227" t="str">
        <f>MID(excPisCofins[[#This Row],[CodBarras2]],2,50)</f>
        <v/>
      </c>
    </row>
    <row r="18566" spans="9:9" x14ac:dyDescent="0.25">
      <c r="I18566" s="227" t="str">
        <f>MID(excPisCofins[[#This Row],[CodBarras2]],2,50)</f>
        <v/>
      </c>
    </row>
    <row r="18567" spans="9:9" x14ac:dyDescent="0.25">
      <c r="I18567" s="227" t="str">
        <f>MID(excPisCofins[[#This Row],[CodBarras2]],2,50)</f>
        <v/>
      </c>
    </row>
    <row r="18568" spans="9:9" x14ac:dyDescent="0.25">
      <c r="I18568" s="227" t="str">
        <f>MID(excPisCofins[[#This Row],[CodBarras2]],2,50)</f>
        <v/>
      </c>
    </row>
    <row r="18569" spans="9:9" x14ac:dyDescent="0.25">
      <c r="I18569" s="227" t="str">
        <f>MID(excPisCofins[[#This Row],[CodBarras2]],2,50)</f>
        <v/>
      </c>
    </row>
    <row r="18570" spans="9:9" x14ac:dyDescent="0.25">
      <c r="I18570" s="227" t="str">
        <f>MID(excPisCofins[[#This Row],[CodBarras2]],2,50)</f>
        <v/>
      </c>
    </row>
    <row r="18571" spans="9:9" x14ac:dyDescent="0.25">
      <c r="I18571" s="227" t="str">
        <f>MID(excPisCofins[[#This Row],[CodBarras2]],2,50)</f>
        <v/>
      </c>
    </row>
    <row r="18572" spans="9:9" x14ac:dyDescent="0.25">
      <c r="I18572" s="227" t="str">
        <f>MID(excPisCofins[[#This Row],[CodBarras2]],2,50)</f>
        <v/>
      </c>
    </row>
    <row r="18573" spans="9:9" x14ac:dyDescent="0.25">
      <c r="I18573" s="227" t="str">
        <f>MID(excPisCofins[[#This Row],[CodBarras2]],2,50)</f>
        <v/>
      </c>
    </row>
    <row r="18574" spans="9:9" x14ac:dyDescent="0.25">
      <c r="I18574" s="227" t="str">
        <f>MID(excPisCofins[[#This Row],[CodBarras2]],2,50)</f>
        <v/>
      </c>
    </row>
    <row r="18575" spans="9:9" x14ac:dyDescent="0.25">
      <c r="I18575" s="227" t="str">
        <f>MID(excPisCofins[[#This Row],[CodBarras2]],2,50)</f>
        <v/>
      </c>
    </row>
    <row r="18576" spans="9:9" x14ac:dyDescent="0.25">
      <c r="I18576" s="227" t="str">
        <f>MID(excPisCofins[[#This Row],[CodBarras2]],2,50)</f>
        <v/>
      </c>
    </row>
    <row r="18577" spans="9:9" x14ac:dyDescent="0.25">
      <c r="I18577" s="227" t="str">
        <f>MID(excPisCofins[[#This Row],[CodBarras2]],2,50)</f>
        <v/>
      </c>
    </row>
    <row r="18578" spans="9:9" x14ac:dyDescent="0.25">
      <c r="I18578" s="227" t="str">
        <f>MID(excPisCofins[[#This Row],[CodBarras2]],2,50)</f>
        <v/>
      </c>
    </row>
    <row r="18579" spans="9:9" x14ac:dyDescent="0.25">
      <c r="I18579" s="227" t="str">
        <f>MID(excPisCofins[[#This Row],[CodBarras2]],2,50)</f>
        <v/>
      </c>
    </row>
    <row r="18580" spans="9:9" x14ac:dyDescent="0.25">
      <c r="I18580" s="227" t="str">
        <f>MID(excPisCofins[[#This Row],[CodBarras2]],2,50)</f>
        <v/>
      </c>
    </row>
    <row r="18581" spans="9:9" x14ac:dyDescent="0.25">
      <c r="I18581" s="227" t="str">
        <f>MID(excPisCofins[[#This Row],[CodBarras2]],2,50)</f>
        <v/>
      </c>
    </row>
    <row r="18582" spans="9:9" x14ac:dyDescent="0.25">
      <c r="I18582" s="227" t="str">
        <f>MID(excPisCofins[[#This Row],[CodBarras2]],2,50)</f>
        <v/>
      </c>
    </row>
    <row r="18583" spans="9:9" x14ac:dyDescent="0.25">
      <c r="I18583" s="227" t="str">
        <f>MID(excPisCofins[[#This Row],[CodBarras2]],2,50)</f>
        <v/>
      </c>
    </row>
    <row r="18584" spans="9:9" x14ac:dyDescent="0.25">
      <c r="I18584" s="227" t="str">
        <f>MID(excPisCofins[[#This Row],[CodBarras2]],2,50)</f>
        <v/>
      </c>
    </row>
    <row r="18585" spans="9:9" x14ac:dyDescent="0.25">
      <c r="I18585" s="227" t="str">
        <f>MID(excPisCofins[[#This Row],[CodBarras2]],2,50)</f>
        <v/>
      </c>
    </row>
    <row r="18586" spans="9:9" x14ac:dyDescent="0.25">
      <c r="I18586" s="227" t="str">
        <f>MID(excPisCofins[[#This Row],[CodBarras2]],2,50)</f>
        <v/>
      </c>
    </row>
    <row r="18587" spans="9:9" x14ac:dyDescent="0.25">
      <c r="I18587" s="227" t="str">
        <f>MID(excPisCofins[[#This Row],[CodBarras2]],2,50)</f>
        <v/>
      </c>
    </row>
    <row r="18588" spans="9:9" x14ac:dyDescent="0.25">
      <c r="I18588" s="227" t="str">
        <f>MID(excPisCofins[[#This Row],[CodBarras2]],2,50)</f>
        <v/>
      </c>
    </row>
    <row r="18589" spans="9:9" x14ac:dyDescent="0.25">
      <c r="I18589" s="227" t="str">
        <f>MID(excPisCofins[[#This Row],[CodBarras2]],2,50)</f>
        <v/>
      </c>
    </row>
    <row r="18590" spans="9:9" x14ac:dyDescent="0.25">
      <c r="I18590" s="227" t="str">
        <f>MID(excPisCofins[[#This Row],[CodBarras2]],2,50)</f>
        <v/>
      </c>
    </row>
    <row r="18591" spans="9:9" x14ac:dyDescent="0.25">
      <c r="I18591" s="227" t="str">
        <f>MID(excPisCofins[[#This Row],[CodBarras2]],2,50)</f>
        <v/>
      </c>
    </row>
    <row r="18592" spans="9:9" x14ac:dyDescent="0.25">
      <c r="I18592" s="227" t="str">
        <f>MID(excPisCofins[[#This Row],[CodBarras2]],2,50)</f>
        <v/>
      </c>
    </row>
    <row r="18593" spans="9:9" x14ac:dyDescent="0.25">
      <c r="I18593" s="227" t="str">
        <f>MID(excPisCofins[[#This Row],[CodBarras2]],2,50)</f>
        <v/>
      </c>
    </row>
    <row r="18594" spans="9:9" x14ac:dyDescent="0.25">
      <c r="I18594" s="227" t="str">
        <f>MID(excPisCofins[[#This Row],[CodBarras2]],2,50)</f>
        <v/>
      </c>
    </row>
    <row r="18595" spans="9:9" x14ac:dyDescent="0.25">
      <c r="I18595" s="227" t="str">
        <f>MID(excPisCofins[[#This Row],[CodBarras2]],2,50)</f>
        <v/>
      </c>
    </row>
    <row r="18596" spans="9:9" x14ac:dyDescent="0.25">
      <c r="I18596" s="227" t="str">
        <f>MID(excPisCofins[[#This Row],[CodBarras2]],2,50)</f>
        <v/>
      </c>
    </row>
    <row r="18597" spans="9:9" x14ac:dyDescent="0.25">
      <c r="I18597" s="227" t="str">
        <f>MID(excPisCofins[[#This Row],[CodBarras2]],2,50)</f>
        <v/>
      </c>
    </row>
    <row r="18598" spans="9:9" x14ac:dyDescent="0.25">
      <c r="I18598" s="227" t="str">
        <f>MID(excPisCofins[[#This Row],[CodBarras2]],2,50)</f>
        <v/>
      </c>
    </row>
    <row r="18599" spans="9:9" x14ac:dyDescent="0.25">
      <c r="I18599" s="227" t="str">
        <f>MID(excPisCofins[[#This Row],[CodBarras2]],2,50)</f>
        <v/>
      </c>
    </row>
    <row r="18600" spans="9:9" x14ac:dyDescent="0.25">
      <c r="I18600" s="227" t="str">
        <f>MID(excPisCofins[[#This Row],[CodBarras2]],2,50)</f>
        <v/>
      </c>
    </row>
    <row r="18601" spans="9:9" x14ac:dyDescent="0.25">
      <c r="I18601" s="227" t="str">
        <f>MID(excPisCofins[[#This Row],[CodBarras2]],2,50)</f>
        <v/>
      </c>
    </row>
    <row r="18602" spans="9:9" x14ac:dyDescent="0.25">
      <c r="I18602" s="227" t="str">
        <f>MID(excPisCofins[[#This Row],[CodBarras2]],2,50)</f>
        <v/>
      </c>
    </row>
    <row r="18603" spans="9:9" x14ac:dyDescent="0.25">
      <c r="I18603" s="227" t="str">
        <f>MID(excPisCofins[[#This Row],[CodBarras2]],2,50)</f>
        <v/>
      </c>
    </row>
    <row r="18604" spans="9:9" x14ac:dyDescent="0.25">
      <c r="I18604" s="227" t="str">
        <f>MID(excPisCofins[[#This Row],[CodBarras2]],2,50)</f>
        <v/>
      </c>
    </row>
    <row r="18605" spans="9:9" x14ac:dyDescent="0.25">
      <c r="I18605" s="227" t="str">
        <f>MID(excPisCofins[[#This Row],[CodBarras2]],2,50)</f>
        <v/>
      </c>
    </row>
    <row r="18606" spans="9:9" x14ac:dyDescent="0.25">
      <c r="I18606" s="227" t="str">
        <f>MID(excPisCofins[[#This Row],[CodBarras2]],2,50)</f>
        <v/>
      </c>
    </row>
    <row r="18607" spans="9:9" x14ac:dyDescent="0.25">
      <c r="I18607" s="227" t="str">
        <f>MID(excPisCofins[[#This Row],[CodBarras2]],2,50)</f>
        <v/>
      </c>
    </row>
    <row r="18608" spans="9:9" x14ac:dyDescent="0.25">
      <c r="I18608" s="227" t="str">
        <f>MID(excPisCofins[[#This Row],[CodBarras2]],2,50)</f>
        <v/>
      </c>
    </row>
    <row r="18609" spans="9:9" x14ac:dyDescent="0.25">
      <c r="I18609" s="227" t="str">
        <f>MID(excPisCofins[[#This Row],[CodBarras2]],2,50)</f>
        <v/>
      </c>
    </row>
    <row r="18610" spans="9:9" x14ac:dyDescent="0.25">
      <c r="I18610" s="227" t="str">
        <f>MID(excPisCofins[[#This Row],[CodBarras2]],2,50)</f>
        <v/>
      </c>
    </row>
    <row r="18611" spans="9:9" x14ac:dyDescent="0.25">
      <c r="I18611" s="227" t="str">
        <f>MID(excPisCofins[[#This Row],[CodBarras2]],2,50)</f>
        <v/>
      </c>
    </row>
    <row r="18612" spans="9:9" x14ac:dyDescent="0.25">
      <c r="I18612" s="227" t="str">
        <f>MID(excPisCofins[[#This Row],[CodBarras2]],2,50)</f>
        <v/>
      </c>
    </row>
    <row r="18613" spans="9:9" x14ac:dyDescent="0.25">
      <c r="I18613" s="227" t="str">
        <f>MID(excPisCofins[[#This Row],[CodBarras2]],2,50)</f>
        <v/>
      </c>
    </row>
    <row r="18614" spans="9:9" x14ac:dyDescent="0.25">
      <c r="I18614" s="227" t="str">
        <f>MID(excPisCofins[[#This Row],[CodBarras2]],2,50)</f>
        <v/>
      </c>
    </row>
    <row r="18615" spans="9:9" x14ac:dyDescent="0.25">
      <c r="I18615" s="227" t="str">
        <f>MID(excPisCofins[[#This Row],[CodBarras2]],2,50)</f>
        <v/>
      </c>
    </row>
    <row r="18616" spans="9:9" x14ac:dyDescent="0.25">
      <c r="I18616" s="227" t="str">
        <f>MID(excPisCofins[[#This Row],[CodBarras2]],2,50)</f>
        <v/>
      </c>
    </row>
    <row r="18617" spans="9:9" x14ac:dyDescent="0.25">
      <c r="I18617" s="227" t="str">
        <f>MID(excPisCofins[[#This Row],[CodBarras2]],2,50)</f>
        <v/>
      </c>
    </row>
    <row r="18618" spans="9:9" x14ac:dyDescent="0.25">
      <c r="I18618" s="227" t="str">
        <f>MID(excPisCofins[[#This Row],[CodBarras2]],2,50)</f>
        <v/>
      </c>
    </row>
    <row r="18619" spans="9:9" x14ac:dyDescent="0.25">
      <c r="I18619" s="227" t="str">
        <f>MID(excPisCofins[[#This Row],[CodBarras2]],2,50)</f>
        <v/>
      </c>
    </row>
    <row r="18620" spans="9:9" x14ac:dyDescent="0.25">
      <c r="I18620" s="227" t="str">
        <f>MID(excPisCofins[[#This Row],[CodBarras2]],2,50)</f>
        <v/>
      </c>
    </row>
    <row r="18621" spans="9:9" x14ac:dyDescent="0.25">
      <c r="I18621" s="227" t="str">
        <f>MID(excPisCofins[[#This Row],[CodBarras2]],2,50)</f>
        <v/>
      </c>
    </row>
    <row r="18622" spans="9:9" x14ac:dyDescent="0.25">
      <c r="I18622" s="227" t="str">
        <f>MID(excPisCofins[[#This Row],[CodBarras2]],2,50)</f>
        <v/>
      </c>
    </row>
    <row r="18623" spans="9:9" x14ac:dyDescent="0.25">
      <c r="I18623" s="227" t="str">
        <f>MID(excPisCofins[[#This Row],[CodBarras2]],2,50)</f>
        <v/>
      </c>
    </row>
    <row r="18624" spans="9:9" x14ac:dyDescent="0.25">
      <c r="I18624" s="227" t="str">
        <f>MID(excPisCofins[[#This Row],[CodBarras2]],2,50)</f>
        <v/>
      </c>
    </row>
    <row r="18625" spans="9:9" x14ac:dyDescent="0.25">
      <c r="I18625" s="227" t="str">
        <f>MID(excPisCofins[[#This Row],[CodBarras2]],2,50)</f>
        <v/>
      </c>
    </row>
    <row r="18626" spans="9:9" x14ac:dyDescent="0.25">
      <c r="I18626" s="227" t="str">
        <f>MID(excPisCofins[[#This Row],[CodBarras2]],2,50)</f>
        <v/>
      </c>
    </row>
    <row r="18627" spans="9:9" x14ac:dyDescent="0.25">
      <c r="I18627" s="227" t="str">
        <f>MID(excPisCofins[[#This Row],[CodBarras2]],2,50)</f>
        <v/>
      </c>
    </row>
    <row r="18628" spans="9:9" x14ac:dyDescent="0.25">
      <c r="I18628" s="227" t="str">
        <f>MID(excPisCofins[[#This Row],[CodBarras2]],2,50)</f>
        <v/>
      </c>
    </row>
    <row r="18629" spans="9:9" x14ac:dyDescent="0.25">
      <c r="I18629" s="227" t="str">
        <f>MID(excPisCofins[[#This Row],[CodBarras2]],2,50)</f>
        <v/>
      </c>
    </row>
    <row r="18630" spans="9:9" x14ac:dyDescent="0.25">
      <c r="I18630" s="227" t="str">
        <f>MID(excPisCofins[[#This Row],[CodBarras2]],2,50)</f>
        <v/>
      </c>
    </row>
    <row r="18631" spans="9:9" x14ac:dyDescent="0.25">
      <c r="I18631" s="227" t="str">
        <f>MID(excPisCofins[[#This Row],[CodBarras2]],2,50)</f>
        <v/>
      </c>
    </row>
    <row r="18632" spans="9:9" x14ac:dyDescent="0.25">
      <c r="I18632" s="227" t="str">
        <f>MID(excPisCofins[[#This Row],[CodBarras2]],2,50)</f>
        <v/>
      </c>
    </row>
    <row r="18633" spans="9:9" x14ac:dyDescent="0.25">
      <c r="I18633" s="227" t="str">
        <f>MID(excPisCofins[[#This Row],[CodBarras2]],2,50)</f>
        <v/>
      </c>
    </row>
    <row r="18634" spans="9:9" x14ac:dyDescent="0.25">
      <c r="I18634" s="227" t="str">
        <f>MID(excPisCofins[[#This Row],[CodBarras2]],2,50)</f>
        <v/>
      </c>
    </row>
    <row r="18635" spans="9:9" x14ac:dyDescent="0.25">
      <c r="I18635" s="227" t="str">
        <f>MID(excPisCofins[[#This Row],[CodBarras2]],2,50)</f>
        <v/>
      </c>
    </row>
    <row r="18636" spans="9:9" x14ac:dyDescent="0.25">
      <c r="I18636" s="227" t="str">
        <f>MID(excPisCofins[[#This Row],[CodBarras2]],2,50)</f>
        <v/>
      </c>
    </row>
    <row r="18637" spans="9:9" x14ac:dyDescent="0.25">
      <c r="I18637" s="227" t="str">
        <f>MID(excPisCofins[[#This Row],[CodBarras2]],2,50)</f>
        <v/>
      </c>
    </row>
    <row r="18638" spans="9:9" x14ac:dyDescent="0.25">
      <c r="I18638" s="227" t="str">
        <f>MID(excPisCofins[[#This Row],[CodBarras2]],2,50)</f>
        <v/>
      </c>
    </row>
    <row r="18639" spans="9:9" x14ac:dyDescent="0.25">
      <c r="I18639" s="227" t="str">
        <f>MID(excPisCofins[[#This Row],[CodBarras2]],2,50)</f>
        <v/>
      </c>
    </row>
    <row r="18640" spans="9:9" x14ac:dyDescent="0.25">
      <c r="I18640" s="227" t="str">
        <f>MID(excPisCofins[[#This Row],[CodBarras2]],2,50)</f>
        <v/>
      </c>
    </row>
    <row r="18641" spans="9:9" x14ac:dyDescent="0.25">
      <c r="I18641" s="227" t="str">
        <f>MID(excPisCofins[[#This Row],[CodBarras2]],2,50)</f>
        <v/>
      </c>
    </row>
    <row r="18642" spans="9:9" x14ac:dyDescent="0.25">
      <c r="I18642" s="227" t="str">
        <f>MID(excPisCofins[[#This Row],[CodBarras2]],2,50)</f>
        <v/>
      </c>
    </row>
    <row r="18643" spans="9:9" x14ac:dyDescent="0.25">
      <c r="I18643" s="227" t="str">
        <f>MID(excPisCofins[[#This Row],[CodBarras2]],2,50)</f>
        <v/>
      </c>
    </row>
    <row r="18644" spans="9:9" x14ac:dyDescent="0.25">
      <c r="I18644" s="227" t="str">
        <f>MID(excPisCofins[[#This Row],[CodBarras2]],2,50)</f>
        <v/>
      </c>
    </row>
    <row r="18645" spans="9:9" x14ac:dyDescent="0.25">
      <c r="I18645" s="227" t="str">
        <f>MID(excPisCofins[[#This Row],[CodBarras2]],2,50)</f>
        <v/>
      </c>
    </row>
    <row r="18646" spans="9:9" x14ac:dyDescent="0.25">
      <c r="I18646" s="227" t="str">
        <f>MID(excPisCofins[[#This Row],[CodBarras2]],2,50)</f>
        <v/>
      </c>
    </row>
    <row r="18647" spans="9:9" x14ac:dyDescent="0.25">
      <c r="I18647" s="227" t="str">
        <f>MID(excPisCofins[[#This Row],[CodBarras2]],2,50)</f>
        <v/>
      </c>
    </row>
    <row r="18648" spans="9:9" x14ac:dyDescent="0.25">
      <c r="I18648" s="227" t="str">
        <f>MID(excPisCofins[[#This Row],[CodBarras2]],2,50)</f>
        <v/>
      </c>
    </row>
    <row r="18649" spans="9:9" x14ac:dyDescent="0.25">
      <c r="I18649" s="227" t="str">
        <f>MID(excPisCofins[[#This Row],[CodBarras2]],2,50)</f>
        <v/>
      </c>
    </row>
    <row r="18650" spans="9:9" x14ac:dyDescent="0.25">
      <c r="I18650" s="227" t="str">
        <f>MID(excPisCofins[[#This Row],[CodBarras2]],2,50)</f>
        <v/>
      </c>
    </row>
    <row r="18651" spans="9:9" x14ac:dyDescent="0.25">
      <c r="I18651" s="227" t="str">
        <f>MID(excPisCofins[[#This Row],[CodBarras2]],2,50)</f>
        <v/>
      </c>
    </row>
    <row r="18652" spans="9:9" x14ac:dyDescent="0.25">
      <c r="I18652" s="227" t="str">
        <f>MID(excPisCofins[[#This Row],[CodBarras2]],2,50)</f>
        <v/>
      </c>
    </row>
    <row r="18653" spans="9:9" x14ac:dyDescent="0.25">
      <c r="I18653" s="227" t="str">
        <f>MID(excPisCofins[[#This Row],[CodBarras2]],2,50)</f>
        <v/>
      </c>
    </row>
    <row r="18654" spans="9:9" x14ac:dyDescent="0.25">
      <c r="I18654" s="227" t="str">
        <f>MID(excPisCofins[[#This Row],[CodBarras2]],2,50)</f>
        <v/>
      </c>
    </row>
    <row r="18655" spans="9:9" x14ac:dyDescent="0.25">
      <c r="I18655" s="227" t="str">
        <f>MID(excPisCofins[[#This Row],[CodBarras2]],2,50)</f>
        <v/>
      </c>
    </row>
    <row r="18656" spans="9:9" x14ac:dyDescent="0.25">
      <c r="I18656" s="227" t="str">
        <f>MID(excPisCofins[[#This Row],[CodBarras2]],2,50)</f>
        <v/>
      </c>
    </row>
    <row r="18657" spans="9:9" x14ac:dyDescent="0.25">
      <c r="I18657" s="227" t="str">
        <f>MID(excPisCofins[[#This Row],[CodBarras2]],2,50)</f>
        <v/>
      </c>
    </row>
    <row r="18658" spans="9:9" x14ac:dyDescent="0.25">
      <c r="I18658" s="227" t="str">
        <f>MID(excPisCofins[[#This Row],[CodBarras2]],2,50)</f>
        <v/>
      </c>
    </row>
    <row r="18659" spans="9:9" x14ac:dyDescent="0.25">
      <c r="I18659" s="227" t="str">
        <f>MID(excPisCofins[[#This Row],[CodBarras2]],2,50)</f>
        <v/>
      </c>
    </row>
    <row r="18660" spans="9:9" x14ac:dyDescent="0.25">
      <c r="I18660" s="227" t="str">
        <f>MID(excPisCofins[[#This Row],[CodBarras2]],2,50)</f>
        <v/>
      </c>
    </row>
    <row r="18661" spans="9:9" x14ac:dyDescent="0.25">
      <c r="I18661" s="227" t="str">
        <f>MID(excPisCofins[[#This Row],[CodBarras2]],2,50)</f>
        <v/>
      </c>
    </row>
    <row r="18662" spans="9:9" x14ac:dyDescent="0.25">
      <c r="I18662" s="227" t="str">
        <f>MID(excPisCofins[[#This Row],[CodBarras2]],2,50)</f>
        <v/>
      </c>
    </row>
    <row r="18663" spans="9:9" x14ac:dyDescent="0.25">
      <c r="I18663" s="227" t="str">
        <f>MID(excPisCofins[[#This Row],[CodBarras2]],2,50)</f>
        <v/>
      </c>
    </row>
    <row r="18664" spans="9:9" x14ac:dyDescent="0.25">
      <c r="I18664" s="227" t="str">
        <f>MID(excPisCofins[[#This Row],[CodBarras2]],2,50)</f>
        <v/>
      </c>
    </row>
    <row r="18665" spans="9:9" x14ac:dyDescent="0.25">
      <c r="I18665" s="227" t="str">
        <f>MID(excPisCofins[[#This Row],[CodBarras2]],2,50)</f>
        <v/>
      </c>
    </row>
    <row r="18666" spans="9:9" x14ac:dyDescent="0.25">
      <c r="I18666" s="227" t="str">
        <f>MID(excPisCofins[[#This Row],[CodBarras2]],2,50)</f>
        <v/>
      </c>
    </row>
    <row r="18667" spans="9:9" x14ac:dyDescent="0.25">
      <c r="I18667" s="227" t="str">
        <f>MID(excPisCofins[[#This Row],[CodBarras2]],2,50)</f>
        <v/>
      </c>
    </row>
    <row r="18668" spans="9:9" x14ac:dyDescent="0.25">
      <c r="I18668" s="227" t="str">
        <f>MID(excPisCofins[[#This Row],[CodBarras2]],2,50)</f>
        <v/>
      </c>
    </row>
    <row r="18669" spans="9:9" x14ac:dyDescent="0.25">
      <c r="I18669" s="227" t="str">
        <f>MID(excPisCofins[[#This Row],[CodBarras2]],2,50)</f>
        <v/>
      </c>
    </row>
    <row r="18670" spans="9:9" x14ac:dyDescent="0.25">
      <c r="I18670" s="227" t="str">
        <f>MID(excPisCofins[[#This Row],[CodBarras2]],2,50)</f>
        <v/>
      </c>
    </row>
    <row r="18671" spans="9:9" x14ac:dyDescent="0.25">
      <c r="I18671" s="227" t="str">
        <f>MID(excPisCofins[[#This Row],[CodBarras2]],2,50)</f>
        <v/>
      </c>
    </row>
    <row r="18672" spans="9:9" x14ac:dyDescent="0.25">
      <c r="I18672" s="227" t="str">
        <f>MID(excPisCofins[[#This Row],[CodBarras2]],2,50)</f>
        <v/>
      </c>
    </row>
    <row r="18673" spans="9:9" x14ac:dyDescent="0.25">
      <c r="I18673" s="227" t="str">
        <f>MID(excPisCofins[[#This Row],[CodBarras2]],2,50)</f>
        <v/>
      </c>
    </row>
    <row r="18674" spans="9:9" x14ac:dyDescent="0.25">
      <c r="I18674" s="227" t="str">
        <f>MID(excPisCofins[[#This Row],[CodBarras2]],2,50)</f>
        <v/>
      </c>
    </row>
    <row r="18675" spans="9:9" x14ac:dyDescent="0.25">
      <c r="I18675" s="227" t="str">
        <f>MID(excPisCofins[[#This Row],[CodBarras2]],2,50)</f>
        <v/>
      </c>
    </row>
    <row r="18676" spans="9:9" x14ac:dyDescent="0.25">
      <c r="I18676" s="227" t="str">
        <f>MID(excPisCofins[[#This Row],[CodBarras2]],2,50)</f>
        <v/>
      </c>
    </row>
    <row r="18677" spans="9:9" x14ac:dyDescent="0.25">
      <c r="I18677" s="227" t="str">
        <f>MID(excPisCofins[[#This Row],[CodBarras2]],2,50)</f>
        <v/>
      </c>
    </row>
    <row r="18678" spans="9:9" x14ac:dyDescent="0.25">
      <c r="I18678" s="227" t="str">
        <f>MID(excPisCofins[[#This Row],[CodBarras2]],2,50)</f>
        <v/>
      </c>
    </row>
    <row r="18679" spans="9:9" x14ac:dyDescent="0.25">
      <c r="I18679" s="227" t="str">
        <f>MID(excPisCofins[[#This Row],[CodBarras2]],2,50)</f>
        <v/>
      </c>
    </row>
    <row r="18680" spans="9:9" x14ac:dyDescent="0.25">
      <c r="I18680" s="227" t="str">
        <f>MID(excPisCofins[[#This Row],[CodBarras2]],2,50)</f>
        <v/>
      </c>
    </row>
    <row r="18681" spans="9:9" x14ac:dyDescent="0.25">
      <c r="I18681" s="227" t="str">
        <f>MID(excPisCofins[[#This Row],[CodBarras2]],2,50)</f>
        <v/>
      </c>
    </row>
    <row r="18682" spans="9:9" x14ac:dyDescent="0.25">
      <c r="I18682" s="227" t="str">
        <f>MID(excPisCofins[[#This Row],[CodBarras2]],2,50)</f>
        <v/>
      </c>
    </row>
    <row r="18683" spans="9:9" x14ac:dyDescent="0.25">
      <c r="I18683" s="227" t="str">
        <f>MID(excPisCofins[[#This Row],[CodBarras2]],2,50)</f>
        <v/>
      </c>
    </row>
    <row r="18684" spans="9:9" x14ac:dyDescent="0.25">
      <c r="I18684" s="227" t="str">
        <f>MID(excPisCofins[[#This Row],[CodBarras2]],2,50)</f>
        <v/>
      </c>
    </row>
    <row r="18685" spans="9:9" x14ac:dyDescent="0.25">
      <c r="I18685" s="227" t="str">
        <f>MID(excPisCofins[[#This Row],[CodBarras2]],2,50)</f>
        <v/>
      </c>
    </row>
    <row r="18686" spans="9:9" x14ac:dyDescent="0.25">
      <c r="I18686" s="227" t="str">
        <f>MID(excPisCofins[[#This Row],[CodBarras2]],2,50)</f>
        <v/>
      </c>
    </row>
    <row r="18687" spans="9:9" x14ac:dyDescent="0.25">
      <c r="I18687" s="227" t="str">
        <f>MID(excPisCofins[[#This Row],[CodBarras2]],2,50)</f>
        <v/>
      </c>
    </row>
    <row r="18688" spans="9:9" x14ac:dyDescent="0.25">
      <c r="I18688" s="227" t="str">
        <f>MID(excPisCofins[[#This Row],[CodBarras2]],2,50)</f>
        <v/>
      </c>
    </row>
    <row r="18689" spans="9:9" x14ac:dyDescent="0.25">
      <c r="I18689" s="227" t="str">
        <f>MID(excPisCofins[[#This Row],[CodBarras2]],2,50)</f>
        <v/>
      </c>
    </row>
    <row r="18690" spans="9:9" x14ac:dyDescent="0.25">
      <c r="I18690" s="227" t="str">
        <f>MID(excPisCofins[[#This Row],[CodBarras2]],2,50)</f>
        <v/>
      </c>
    </row>
    <row r="18691" spans="9:9" x14ac:dyDescent="0.25">
      <c r="I18691" s="227" t="str">
        <f>MID(excPisCofins[[#This Row],[CodBarras2]],2,50)</f>
        <v/>
      </c>
    </row>
    <row r="18692" spans="9:9" x14ac:dyDescent="0.25">
      <c r="I18692" s="227" t="str">
        <f>MID(excPisCofins[[#This Row],[CodBarras2]],2,50)</f>
        <v/>
      </c>
    </row>
    <row r="18693" spans="9:9" x14ac:dyDescent="0.25">
      <c r="I18693" s="227" t="str">
        <f>MID(excPisCofins[[#This Row],[CodBarras2]],2,50)</f>
        <v/>
      </c>
    </row>
    <row r="18694" spans="9:9" x14ac:dyDescent="0.25">
      <c r="I18694" s="227" t="str">
        <f>MID(excPisCofins[[#This Row],[CodBarras2]],2,50)</f>
        <v/>
      </c>
    </row>
    <row r="18695" spans="9:9" x14ac:dyDescent="0.25">
      <c r="I18695" s="227" t="str">
        <f>MID(excPisCofins[[#This Row],[CodBarras2]],2,50)</f>
        <v/>
      </c>
    </row>
    <row r="18696" spans="9:9" x14ac:dyDescent="0.25">
      <c r="I18696" s="227" t="str">
        <f>MID(excPisCofins[[#This Row],[CodBarras2]],2,50)</f>
        <v/>
      </c>
    </row>
    <row r="18697" spans="9:9" x14ac:dyDescent="0.25">
      <c r="I18697" s="227" t="str">
        <f>MID(excPisCofins[[#This Row],[CodBarras2]],2,50)</f>
        <v/>
      </c>
    </row>
    <row r="18698" spans="9:9" x14ac:dyDescent="0.25">
      <c r="I18698" s="227" t="str">
        <f>MID(excPisCofins[[#This Row],[CodBarras2]],2,50)</f>
        <v/>
      </c>
    </row>
    <row r="18699" spans="9:9" x14ac:dyDescent="0.25">
      <c r="I18699" s="227" t="str">
        <f>MID(excPisCofins[[#This Row],[CodBarras2]],2,50)</f>
        <v/>
      </c>
    </row>
    <row r="18700" spans="9:9" x14ac:dyDescent="0.25">
      <c r="I18700" s="227" t="str">
        <f>MID(excPisCofins[[#This Row],[CodBarras2]],2,50)</f>
        <v/>
      </c>
    </row>
    <row r="18701" spans="9:9" x14ac:dyDescent="0.25">
      <c r="I18701" s="227" t="str">
        <f>MID(excPisCofins[[#This Row],[CodBarras2]],2,50)</f>
        <v/>
      </c>
    </row>
    <row r="18702" spans="9:9" x14ac:dyDescent="0.25">
      <c r="I18702" s="227" t="str">
        <f>MID(excPisCofins[[#This Row],[CodBarras2]],2,50)</f>
        <v/>
      </c>
    </row>
    <row r="18703" spans="9:9" x14ac:dyDescent="0.25">
      <c r="I18703" s="227" t="str">
        <f>MID(excPisCofins[[#This Row],[CodBarras2]],2,50)</f>
        <v/>
      </c>
    </row>
    <row r="18704" spans="9:9" x14ac:dyDescent="0.25">
      <c r="I18704" s="227" t="str">
        <f>MID(excPisCofins[[#This Row],[CodBarras2]],2,50)</f>
        <v/>
      </c>
    </row>
    <row r="18705" spans="9:9" x14ac:dyDescent="0.25">
      <c r="I18705" s="227" t="str">
        <f>MID(excPisCofins[[#This Row],[CodBarras2]],2,50)</f>
        <v/>
      </c>
    </row>
    <row r="18706" spans="9:9" x14ac:dyDescent="0.25">
      <c r="I18706" s="227" t="str">
        <f>MID(excPisCofins[[#This Row],[CodBarras2]],2,50)</f>
        <v/>
      </c>
    </row>
    <row r="18707" spans="9:9" x14ac:dyDescent="0.25">
      <c r="I18707" s="227" t="str">
        <f>MID(excPisCofins[[#This Row],[CodBarras2]],2,50)</f>
        <v/>
      </c>
    </row>
    <row r="18708" spans="9:9" x14ac:dyDescent="0.25">
      <c r="I18708" s="227" t="str">
        <f>MID(excPisCofins[[#This Row],[CodBarras2]],2,50)</f>
        <v/>
      </c>
    </row>
    <row r="18709" spans="9:9" x14ac:dyDescent="0.25">
      <c r="I18709" s="227" t="str">
        <f>MID(excPisCofins[[#This Row],[CodBarras2]],2,50)</f>
        <v/>
      </c>
    </row>
    <row r="18710" spans="9:9" x14ac:dyDescent="0.25">
      <c r="I18710" s="227" t="str">
        <f>MID(excPisCofins[[#This Row],[CodBarras2]],2,50)</f>
        <v/>
      </c>
    </row>
    <row r="18711" spans="9:9" x14ac:dyDescent="0.25">
      <c r="I18711" s="227" t="str">
        <f>MID(excPisCofins[[#This Row],[CodBarras2]],2,50)</f>
        <v/>
      </c>
    </row>
    <row r="18712" spans="9:9" x14ac:dyDescent="0.25">
      <c r="I18712" s="227" t="str">
        <f>MID(excPisCofins[[#This Row],[CodBarras2]],2,50)</f>
        <v/>
      </c>
    </row>
    <row r="18713" spans="9:9" x14ac:dyDescent="0.25">
      <c r="I18713" s="227" t="str">
        <f>MID(excPisCofins[[#This Row],[CodBarras2]],2,50)</f>
        <v/>
      </c>
    </row>
    <row r="18714" spans="9:9" x14ac:dyDescent="0.25">
      <c r="I18714" s="227" t="str">
        <f>MID(excPisCofins[[#This Row],[CodBarras2]],2,50)</f>
        <v/>
      </c>
    </row>
    <row r="18715" spans="9:9" x14ac:dyDescent="0.25">
      <c r="I18715" s="227" t="str">
        <f>MID(excPisCofins[[#This Row],[CodBarras2]],2,50)</f>
        <v/>
      </c>
    </row>
    <row r="18716" spans="9:9" x14ac:dyDescent="0.25">
      <c r="I18716" s="227" t="str">
        <f>MID(excPisCofins[[#This Row],[CodBarras2]],2,50)</f>
        <v/>
      </c>
    </row>
    <row r="18717" spans="9:9" x14ac:dyDescent="0.25">
      <c r="I18717" s="227" t="str">
        <f>MID(excPisCofins[[#This Row],[CodBarras2]],2,50)</f>
        <v/>
      </c>
    </row>
    <row r="18718" spans="9:9" x14ac:dyDescent="0.25">
      <c r="I18718" s="227" t="str">
        <f>MID(excPisCofins[[#This Row],[CodBarras2]],2,50)</f>
        <v/>
      </c>
    </row>
    <row r="18719" spans="9:9" x14ac:dyDescent="0.25">
      <c r="I18719" s="227" t="str">
        <f>MID(excPisCofins[[#This Row],[CodBarras2]],2,50)</f>
        <v/>
      </c>
    </row>
    <row r="18720" spans="9:9" x14ac:dyDescent="0.25">
      <c r="I18720" s="227" t="str">
        <f>MID(excPisCofins[[#This Row],[CodBarras2]],2,50)</f>
        <v/>
      </c>
    </row>
    <row r="18721" spans="9:9" x14ac:dyDescent="0.25">
      <c r="I18721" s="227" t="str">
        <f>MID(excPisCofins[[#This Row],[CodBarras2]],2,50)</f>
        <v/>
      </c>
    </row>
    <row r="18722" spans="9:9" x14ac:dyDescent="0.25">
      <c r="I18722" s="227" t="str">
        <f>MID(excPisCofins[[#This Row],[CodBarras2]],2,50)</f>
        <v/>
      </c>
    </row>
    <row r="18723" spans="9:9" x14ac:dyDescent="0.25">
      <c r="I18723" s="227" t="str">
        <f>MID(excPisCofins[[#This Row],[CodBarras2]],2,50)</f>
        <v/>
      </c>
    </row>
    <row r="18724" spans="9:9" x14ac:dyDescent="0.25">
      <c r="I18724" s="227" t="str">
        <f>MID(excPisCofins[[#This Row],[CodBarras2]],2,50)</f>
        <v/>
      </c>
    </row>
    <row r="18725" spans="9:9" x14ac:dyDescent="0.25">
      <c r="I18725" s="227" t="str">
        <f>MID(excPisCofins[[#This Row],[CodBarras2]],2,50)</f>
        <v/>
      </c>
    </row>
    <row r="18726" spans="9:9" x14ac:dyDescent="0.25">
      <c r="I18726" s="227" t="str">
        <f>MID(excPisCofins[[#This Row],[CodBarras2]],2,50)</f>
        <v/>
      </c>
    </row>
    <row r="18727" spans="9:9" x14ac:dyDescent="0.25">
      <c r="I18727" s="227" t="str">
        <f>MID(excPisCofins[[#This Row],[CodBarras2]],2,50)</f>
        <v/>
      </c>
    </row>
    <row r="18728" spans="9:9" x14ac:dyDescent="0.25">
      <c r="I18728" s="227" t="str">
        <f>MID(excPisCofins[[#This Row],[CodBarras2]],2,50)</f>
        <v/>
      </c>
    </row>
    <row r="18729" spans="9:9" x14ac:dyDescent="0.25">
      <c r="I18729" s="227" t="str">
        <f>MID(excPisCofins[[#This Row],[CodBarras2]],2,50)</f>
        <v/>
      </c>
    </row>
    <row r="18730" spans="9:9" x14ac:dyDescent="0.25">
      <c r="I18730" s="227" t="str">
        <f>MID(excPisCofins[[#This Row],[CodBarras2]],2,50)</f>
        <v/>
      </c>
    </row>
    <row r="18731" spans="9:9" x14ac:dyDescent="0.25">
      <c r="I18731" s="227" t="str">
        <f>MID(excPisCofins[[#This Row],[CodBarras2]],2,50)</f>
        <v/>
      </c>
    </row>
    <row r="18732" spans="9:9" x14ac:dyDescent="0.25">
      <c r="I18732" s="227" t="str">
        <f>MID(excPisCofins[[#This Row],[CodBarras2]],2,50)</f>
        <v/>
      </c>
    </row>
    <row r="18733" spans="9:9" x14ac:dyDescent="0.25">
      <c r="I18733" s="227" t="str">
        <f>MID(excPisCofins[[#This Row],[CodBarras2]],2,50)</f>
        <v/>
      </c>
    </row>
    <row r="18734" spans="9:9" x14ac:dyDescent="0.25">
      <c r="I18734" s="227" t="str">
        <f>MID(excPisCofins[[#This Row],[CodBarras2]],2,50)</f>
        <v/>
      </c>
    </row>
    <row r="18735" spans="9:9" x14ac:dyDescent="0.25">
      <c r="I18735" s="227" t="str">
        <f>MID(excPisCofins[[#This Row],[CodBarras2]],2,50)</f>
        <v/>
      </c>
    </row>
    <row r="18736" spans="9:9" x14ac:dyDescent="0.25">
      <c r="I18736" s="227" t="str">
        <f>MID(excPisCofins[[#This Row],[CodBarras2]],2,50)</f>
        <v/>
      </c>
    </row>
    <row r="18737" spans="9:9" x14ac:dyDescent="0.25">
      <c r="I18737" s="227" t="str">
        <f>MID(excPisCofins[[#This Row],[CodBarras2]],2,50)</f>
        <v/>
      </c>
    </row>
    <row r="18738" spans="9:9" x14ac:dyDescent="0.25">
      <c r="I18738" s="227" t="str">
        <f>MID(excPisCofins[[#This Row],[CodBarras2]],2,50)</f>
        <v/>
      </c>
    </row>
    <row r="18739" spans="9:9" x14ac:dyDescent="0.25">
      <c r="I18739" s="227" t="str">
        <f>MID(excPisCofins[[#This Row],[CodBarras2]],2,50)</f>
        <v/>
      </c>
    </row>
    <row r="18740" spans="9:9" x14ac:dyDescent="0.25">
      <c r="I18740" s="227" t="str">
        <f>MID(excPisCofins[[#This Row],[CodBarras2]],2,50)</f>
        <v/>
      </c>
    </row>
    <row r="18741" spans="9:9" x14ac:dyDescent="0.25">
      <c r="I18741" s="227" t="str">
        <f>MID(excPisCofins[[#This Row],[CodBarras2]],2,50)</f>
        <v/>
      </c>
    </row>
    <row r="18742" spans="9:9" x14ac:dyDescent="0.25">
      <c r="I18742" s="227" t="str">
        <f>MID(excPisCofins[[#This Row],[CodBarras2]],2,50)</f>
        <v/>
      </c>
    </row>
    <row r="18743" spans="9:9" x14ac:dyDescent="0.25">
      <c r="I18743" s="227" t="str">
        <f>MID(excPisCofins[[#This Row],[CodBarras2]],2,50)</f>
        <v/>
      </c>
    </row>
    <row r="18744" spans="9:9" x14ac:dyDescent="0.25">
      <c r="I18744" s="227" t="str">
        <f>MID(excPisCofins[[#This Row],[CodBarras2]],2,50)</f>
        <v/>
      </c>
    </row>
    <row r="18745" spans="9:9" x14ac:dyDescent="0.25">
      <c r="I18745" s="227" t="str">
        <f>MID(excPisCofins[[#This Row],[CodBarras2]],2,50)</f>
        <v/>
      </c>
    </row>
    <row r="18746" spans="9:9" x14ac:dyDescent="0.25">
      <c r="I18746" s="227" t="str">
        <f>MID(excPisCofins[[#This Row],[CodBarras2]],2,50)</f>
        <v/>
      </c>
    </row>
    <row r="18747" spans="9:9" x14ac:dyDescent="0.25">
      <c r="I18747" s="227" t="str">
        <f>MID(excPisCofins[[#This Row],[CodBarras2]],2,50)</f>
        <v/>
      </c>
    </row>
    <row r="18748" spans="9:9" x14ac:dyDescent="0.25">
      <c r="I18748" s="227" t="str">
        <f>MID(excPisCofins[[#This Row],[CodBarras2]],2,50)</f>
        <v/>
      </c>
    </row>
    <row r="18749" spans="9:9" x14ac:dyDescent="0.25">
      <c r="I18749" s="227" t="str">
        <f>MID(excPisCofins[[#This Row],[CodBarras2]],2,50)</f>
        <v/>
      </c>
    </row>
    <row r="18750" spans="9:9" x14ac:dyDescent="0.25">
      <c r="I18750" s="227" t="str">
        <f>MID(excPisCofins[[#This Row],[CodBarras2]],2,50)</f>
        <v/>
      </c>
    </row>
    <row r="18751" spans="9:9" x14ac:dyDescent="0.25">
      <c r="I18751" s="227" t="str">
        <f>MID(excPisCofins[[#This Row],[CodBarras2]],2,50)</f>
        <v/>
      </c>
    </row>
    <row r="18752" spans="9:9" x14ac:dyDescent="0.25">
      <c r="I18752" s="227" t="str">
        <f>MID(excPisCofins[[#This Row],[CodBarras2]],2,50)</f>
        <v/>
      </c>
    </row>
    <row r="18753" spans="9:9" x14ac:dyDescent="0.25">
      <c r="I18753" s="227" t="str">
        <f>MID(excPisCofins[[#This Row],[CodBarras2]],2,50)</f>
        <v/>
      </c>
    </row>
    <row r="18754" spans="9:9" x14ac:dyDescent="0.25">
      <c r="I18754" s="227" t="str">
        <f>MID(excPisCofins[[#This Row],[CodBarras2]],2,50)</f>
        <v/>
      </c>
    </row>
    <row r="18755" spans="9:9" x14ac:dyDescent="0.25">
      <c r="I18755" s="227" t="str">
        <f>MID(excPisCofins[[#This Row],[CodBarras2]],2,50)</f>
        <v/>
      </c>
    </row>
    <row r="18756" spans="9:9" x14ac:dyDescent="0.25">
      <c r="I18756" s="227" t="str">
        <f>MID(excPisCofins[[#This Row],[CodBarras2]],2,50)</f>
        <v/>
      </c>
    </row>
    <row r="18757" spans="9:9" x14ac:dyDescent="0.25">
      <c r="I18757" s="227" t="str">
        <f>MID(excPisCofins[[#This Row],[CodBarras2]],2,50)</f>
        <v/>
      </c>
    </row>
    <row r="18758" spans="9:9" x14ac:dyDescent="0.25">
      <c r="I18758" s="227" t="str">
        <f>MID(excPisCofins[[#This Row],[CodBarras2]],2,50)</f>
        <v/>
      </c>
    </row>
    <row r="18759" spans="9:9" x14ac:dyDescent="0.25">
      <c r="I18759" s="227" t="str">
        <f>MID(excPisCofins[[#This Row],[CodBarras2]],2,50)</f>
        <v/>
      </c>
    </row>
    <row r="18760" spans="9:9" x14ac:dyDescent="0.25">
      <c r="I18760" s="227" t="str">
        <f>MID(excPisCofins[[#This Row],[CodBarras2]],2,50)</f>
        <v/>
      </c>
    </row>
    <row r="18761" spans="9:9" x14ac:dyDescent="0.25">
      <c r="I18761" s="227" t="str">
        <f>MID(excPisCofins[[#This Row],[CodBarras2]],2,50)</f>
        <v/>
      </c>
    </row>
    <row r="18762" spans="9:9" x14ac:dyDescent="0.25">
      <c r="I18762" s="227" t="str">
        <f>MID(excPisCofins[[#This Row],[CodBarras2]],2,50)</f>
        <v/>
      </c>
    </row>
    <row r="18763" spans="9:9" x14ac:dyDescent="0.25">
      <c r="I18763" s="227" t="str">
        <f>MID(excPisCofins[[#This Row],[CodBarras2]],2,50)</f>
        <v/>
      </c>
    </row>
    <row r="18764" spans="9:9" x14ac:dyDescent="0.25">
      <c r="I18764" s="227" t="str">
        <f>MID(excPisCofins[[#This Row],[CodBarras2]],2,50)</f>
        <v/>
      </c>
    </row>
    <row r="18765" spans="9:9" x14ac:dyDescent="0.25">
      <c r="I18765" s="227" t="str">
        <f>MID(excPisCofins[[#This Row],[CodBarras2]],2,50)</f>
        <v/>
      </c>
    </row>
    <row r="18766" spans="9:9" x14ac:dyDescent="0.25">
      <c r="I18766" s="227" t="str">
        <f>MID(excPisCofins[[#This Row],[CodBarras2]],2,50)</f>
        <v/>
      </c>
    </row>
    <row r="18767" spans="9:9" x14ac:dyDescent="0.25">
      <c r="I18767" s="227" t="str">
        <f>MID(excPisCofins[[#This Row],[CodBarras2]],2,50)</f>
        <v/>
      </c>
    </row>
    <row r="18768" spans="9:9" x14ac:dyDescent="0.25">
      <c r="I18768" s="227" t="str">
        <f>MID(excPisCofins[[#This Row],[CodBarras2]],2,50)</f>
        <v/>
      </c>
    </row>
    <row r="18769" spans="9:9" x14ac:dyDescent="0.25">
      <c r="I18769" s="227" t="str">
        <f>MID(excPisCofins[[#This Row],[CodBarras2]],2,50)</f>
        <v/>
      </c>
    </row>
    <row r="18770" spans="9:9" x14ac:dyDescent="0.25">
      <c r="I18770" s="227" t="str">
        <f>MID(excPisCofins[[#This Row],[CodBarras2]],2,50)</f>
        <v/>
      </c>
    </row>
    <row r="18771" spans="9:9" x14ac:dyDescent="0.25">
      <c r="I18771" s="227" t="str">
        <f>MID(excPisCofins[[#This Row],[CodBarras2]],2,50)</f>
        <v/>
      </c>
    </row>
    <row r="18772" spans="9:9" x14ac:dyDescent="0.25">
      <c r="I18772" s="227" t="str">
        <f>MID(excPisCofins[[#This Row],[CodBarras2]],2,50)</f>
        <v/>
      </c>
    </row>
    <row r="18773" spans="9:9" x14ac:dyDescent="0.25">
      <c r="I18773" s="227" t="str">
        <f>MID(excPisCofins[[#This Row],[CodBarras2]],2,50)</f>
        <v/>
      </c>
    </row>
    <row r="18774" spans="9:9" x14ac:dyDescent="0.25">
      <c r="I18774" s="227" t="str">
        <f>MID(excPisCofins[[#This Row],[CodBarras2]],2,50)</f>
        <v/>
      </c>
    </row>
    <row r="18775" spans="9:9" x14ac:dyDescent="0.25">
      <c r="I18775" s="227" t="str">
        <f>MID(excPisCofins[[#This Row],[CodBarras2]],2,50)</f>
        <v/>
      </c>
    </row>
    <row r="18776" spans="9:9" x14ac:dyDescent="0.25">
      <c r="I18776" s="227" t="str">
        <f>MID(excPisCofins[[#This Row],[CodBarras2]],2,50)</f>
        <v/>
      </c>
    </row>
    <row r="18777" spans="9:9" x14ac:dyDescent="0.25">
      <c r="I18777" s="227" t="str">
        <f>MID(excPisCofins[[#This Row],[CodBarras2]],2,50)</f>
        <v/>
      </c>
    </row>
    <row r="18778" spans="9:9" x14ac:dyDescent="0.25">
      <c r="I18778" s="227" t="str">
        <f>MID(excPisCofins[[#This Row],[CodBarras2]],2,50)</f>
        <v/>
      </c>
    </row>
    <row r="18779" spans="9:9" x14ac:dyDescent="0.25">
      <c r="I18779" s="227" t="str">
        <f>MID(excPisCofins[[#This Row],[CodBarras2]],2,50)</f>
        <v/>
      </c>
    </row>
    <row r="18780" spans="9:9" x14ac:dyDescent="0.25">
      <c r="I18780" s="227" t="str">
        <f>MID(excPisCofins[[#This Row],[CodBarras2]],2,50)</f>
        <v/>
      </c>
    </row>
    <row r="18781" spans="9:9" x14ac:dyDescent="0.25">
      <c r="I18781" s="227" t="str">
        <f>MID(excPisCofins[[#This Row],[CodBarras2]],2,50)</f>
        <v/>
      </c>
    </row>
    <row r="18782" spans="9:9" x14ac:dyDescent="0.25">
      <c r="I18782" s="227" t="str">
        <f>MID(excPisCofins[[#This Row],[CodBarras2]],2,50)</f>
        <v/>
      </c>
    </row>
    <row r="18783" spans="9:9" x14ac:dyDescent="0.25">
      <c r="I18783" s="227" t="str">
        <f>MID(excPisCofins[[#This Row],[CodBarras2]],2,50)</f>
        <v/>
      </c>
    </row>
    <row r="18784" spans="9:9" x14ac:dyDescent="0.25">
      <c r="I18784" s="227" t="str">
        <f>MID(excPisCofins[[#This Row],[CodBarras2]],2,50)</f>
        <v/>
      </c>
    </row>
    <row r="18785" spans="9:9" x14ac:dyDescent="0.25">
      <c r="I18785" s="227" t="str">
        <f>MID(excPisCofins[[#This Row],[CodBarras2]],2,50)</f>
        <v/>
      </c>
    </row>
    <row r="18786" spans="9:9" x14ac:dyDescent="0.25">
      <c r="I18786" s="227" t="str">
        <f>MID(excPisCofins[[#This Row],[CodBarras2]],2,50)</f>
        <v/>
      </c>
    </row>
    <row r="18787" spans="9:9" x14ac:dyDescent="0.25">
      <c r="I18787" s="227" t="str">
        <f>MID(excPisCofins[[#This Row],[CodBarras2]],2,50)</f>
        <v/>
      </c>
    </row>
    <row r="18788" spans="9:9" x14ac:dyDescent="0.25">
      <c r="I18788" s="227" t="str">
        <f>MID(excPisCofins[[#This Row],[CodBarras2]],2,50)</f>
        <v/>
      </c>
    </row>
    <row r="18789" spans="9:9" x14ac:dyDescent="0.25">
      <c r="I18789" s="227" t="str">
        <f>MID(excPisCofins[[#This Row],[CodBarras2]],2,50)</f>
        <v/>
      </c>
    </row>
    <row r="18790" spans="9:9" x14ac:dyDescent="0.25">
      <c r="I18790" s="227" t="str">
        <f>MID(excPisCofins[[#This Row],[CodBarras2]],2,50)</f>
        <v/>
      </c>
    </row>
    <row r="18791" spans="9:9" x14ac:dyDescent="0.25">
      <c r="I18791" s="227" t="str">
        <f>MID(excPisCofins[[#This Row],[CodBarras2]],2,50)</f>
        <v/>
      </c>
    </row>
    <row r="18792" spans="9:9" x14ac:dyDescent="0.25">
      <c r="I18792" s="227" t="str">
        <f>MID(excPisCofins[[#This Row],[CodBarras2]],2,50)</f>
        <v/>
      </c>
    </row>
    <row r="18793" spans="9:9" x14ac:dyDescent="0.25">
      <c r="I18793" s="227" t="str">
        <f>MID(excPisCofins[[#This Row],[CodBarras2]],2,50)</f>
        <v/>
      </c>
    </row>
    <row r="18794" spans="9:9" x14ac:dyDescent="0.25">
      <c r="I18794" s="227" t="str">
        <f>MID(excPisCofins[[#This Row],[CodBarras2]],2,50)</f>
        <v/>
      </c>
    </row>
    <row r="18795" spans="9:9" x14ac:dyDescent="0.25">
      <c r="I18795" s="227" t="str">
        <f>MID(excPisCofins[[#This Row],[CodBarras2]],2,50)</f>
        <v/>
      </c>
    </row>
    <row r="18796" spans="9:9" x14ac:dyDescent="0.25">
      <c r="I18796" s="227" t="str">
        <f>MID(excPisCofins[[#This Row],[CodBarras2]],2,50)</f>
        <v/>
      </c>
    </row>
    <row r="18797" spans="9:9" x14ac:dyDescent="0.25">
      <c r="I18797" s="227" t="str">
        <f>MID(excPisCofins[[#This Row],[CodBarras2]],2,50)</f>
        <v/>
      </c>
    </row>
    <row r="18798" spans="9:9" x14ac:dyDescent="0.25">
      <c r="I18798" s="227" t="str">
        <f>MID(excPisCofins[[#This Row],[CodBarras2]],2,50)</f>
        <v/>
      </c>
    </row>
    <row r="18799" spans="9:9" x14ac:dyDescent="0.25">
      <c r="I18799" s="227" t="str">
        <f>MID(excPisCofins[[#This Row],[CodBarras2]],2,50)</f>
        <v/>
      </c>
    </row>
    <row r="18800" spans="9:9" x14ac:dyDescent="0.25">
      <c r="I18800" s="227" t="str">
        <f>MID(excPisCofins[[#This Row],[CodBarras2]],2,50)</f>
        <v/>
      </c>
    </row>
    <row r="18801" spans="9:9" x14ac:dyDescent="0.25">
      <c r="I18801" s="227" t="str">
        <f>MID(excPisCofins[[#This Row],[CodBarras2]],2,50)</f>
        <v/>
      </c>
    </row>
    <row r="18802" spans="9:9" x14ac:dyDescent="0.25">
      <c r="I18802" s="227" t="str">
        <f>MID(excPisCofins[[#This Row],[CodBarras2]],2,50)</f>
        <v/>
      </c>
    </row>
    <row r="18803" spans="9:9" x14ac:dyDescent="0.25">
      <c r="I18803" s="227" t="str">
        <f>MID(excPisCofins[[#This Row],[CodBarras2]],2,50)</f>
        <v/>
      </c>
    </row>
    <row r="18804" spans="9:9" x14ac:dyDescent="0.25">
      <c r="I18804" s="227" t="str">
        <f>MID(excPisCofins[[#This Row],[CodBarras2]],2,50)</f>
        <v/>
      </c>
    </row>
    <row r="18805" spans="9:9" x14ac:dyDescent="0.25">
      <c r="I18805" s="227" t="str">
        <f>MID(excPisCofins[[#This Row],[CodBarras2]],2,50)</f>
        <v/>
      </c>
    </row>
    <row r="18806" spans="9:9" x14ac:dyDescent="0.25">
      <c r="I18806" s="227" t="str">
        <f>MID(excPisCofins[[#This Row],[CodBarras2]],2,50)</f>
        <v/>
      </c>
    </row>
    <row r="18807" spans="9:9" x14ac:dyDescent="0.25">
      <c r="I18807" s="227" t="str">
        <f>MID(excPisCofins[[#This Row],[CodBarras2]],2,50)</f>
        <v/>
      </c>
    </row>
    <row r="18808" spans="9:9" x14ac:dyDescent="0.25">
      <c r="I18808" s="227" t="str">
        <f>MID(excPisCofins[[#This Row],[CodBarras2]],2,50)</f>
        <v/>
      </c>
    </row>
    <row r="18809" spans="9:9" x14ac:dyDescent="0.25">
      <c r="I18809" s="227" t="str">
        <f>MID(excPisCofins[[#This Row],[CodBarras2]],2,50)</f>
        <v/>
      </c>
    </row>
    <row r="18810" spans="9:9" x14ac:dyDescent="0.25">
      <c r="I18810" s="227" t="str">
        <f>MID(excPisCofins[[#This Row],[CodBarras2]],2,50)</f>
        <v/>
      </c>
    </row>
    <row r="18811" spans="9:9" x14ac:dyDescent="0.25">
      <c r="I18811" s="227" t="str">
        <f>MID(excPisCofins[[#This Row],[CodBarras2]],2,50)</f>
        <v/>
      </c>
    </row>
    <row r="18812" spans="9:9" x14ac:dyDescent="0.25">
      <c r="I18812" s="227" t="str">
        <f>MID(excPisCofins[[#This Row],[CodBarras2]],2,50)</f>
        <v/>
      </c>
    </row>
    <row r="18813" spans="9:9" x14ac:dyDescent="0.25">
      <c r="I18813" s="227" t="str">
        <f>MID(excPisCofins[[#This Row],[CodBarras2]],2,50)</f>
        <v/>
      </c>
    </row>
    <row r="18814" spans="9:9" x14ac:dyDescent="0.25">
      <c r="I18814" s="227" t="str">
        <f>MID(excPisCofins[[#This Row],[CodBarras2]],2,50)</f>
        <v/>
      </c>
    </row>
    <row r="18815" spans="9:9" x14ac:dyDescent="0.25">
      <c r="I18815" s="227" t="str">
        <f>MID(excPisCofins[[#This Row],[CodBarras2]],2,50)</f>
        <v/>
      </c>
    </row>
    <row r="18816" spans="9:9" x14ac:dyDescent="0.25">
      <c r="I18816" s="227" t="str">
        <f>MID(excPisCofins[[#This Row],[CodBarras2]],2,50)</f>
        <v/>
      </c>
    </row>
    <row r="18817" spans="9:9" x14ac:dyDescent="0.25">
      <c r="I18817" s="227" t="str">
        <f>MID(excPisCofins[[#This Row],[CodBarras2]],2,50)</f>
        <v/>
      </c>
    </row>
    <row r="18818" spans="9:9" x14ac:dyDescent="0.25">
      <c r="I18818" s="227" t="str">
        <f>MID(excPisCofins[[#This Row],[CodBarras2]],2,50)</f>
        <v/>
      </c>
    </row>
    <row r="18819" spans="9:9" x14ac:dyDescent="0.25">
      <c r="I18819" s="227" t="str">
        <f>MID(excPisCofins[[#This Row],[CodBarras2]],2,50)</f>
        <v/>
      </c>
    </row>
    <row r="18820" spans="9:9" x14ac:dyDescent="0.25">
      <c r="I18820" s="227" t="str">
        <f>MID(excPisCofins[[#This Row],[CodBarras2]],2,50)</f>
        <v/>
      </c>
    </row>
    <row r="18821" spans="9:9" x14ac:dyDescent="0.25">
      <c r="I18821" s="227" t="str">
        <f>MID(excPisCofins[[#This Row],[CodBarras2]],2,50)</f>
        <v/>
      </c>
    </row>
    <row r="18822" spans="9:9" x14ac:dyDescent="0.25">
      <c r="I18822" s="227" t="str">
        <f>MID(excPisCofins[[#This Row],[CodBarras2]],2,50)</f>
        <v/>
      </c>
    </row>
    <row r="18823" spans="9:9" x14ac:dyDescent="0.25">
      <c r="I18823" s="227" t="str">
        <f>MID(excPisCofins[[#This Row],[CodBarras2]],2,50)</f>
        <v/>
      </c>
    </row>
    <row r="18824" spans="9:9" x14ac:dyDescent="0.25">
      <c r="I18824" s="227" t="str">
        <f>MID(excPisCofins[[#This Row],[CodBarras2]],2,50)</f>
        <v/>
      </c>
    </row>
    <row r="18825" spans="9:9" x14ac:dyDescent="0.25">
      <c r="I18825" s="227" t="str">
        <f>MID(excPisCofins[[#This Row],[CodBarras2]],2,50)</f>
        <v/>
      </c>
    </row>
    <row r="18826" spans="9:9" x14ac:dyDescent="0.25">
      <c r="I18826" s="227" t="str">
        <f>MID(excPisCofins[[#This Row],[CodBarras2]],2,50)</f>
        <v/>
      </c>
    </row>
    <row r="18827" spans="9:9" x14ac:dyDescent="0.25">
      <c r="I18827" s="227" t="str">
        <f>MID(excPisCofins[[#This Row],[CodBarras2]],2,50)</f>
        <v/>
      </c>
    </row>
    <row r="18828" spans="9:9" x14ac:dyDescent="0.25">
      <c r="I18828" s="227" t="str">
        <f>MID(excPisCofins[[#This Row],[CodBarras2]],2,50)</f>
        <v/>
      </c>
    </row>
    <row r="18829" spans="9:9" x14ac:dyDescent="0.25">
      <c r="I18829" s="227" t="str">
        <f>MID(excPisCofins[[#This Row],[CodBarras2]],2,50)</f>
        <v/>
      </c>
    </row>
    <row r="18830" spans="9:9" x14ac:dyDescent="0.25">
      <c r="I18830" s="227" t="str">
        <f>MID(excPisCofins[[#This Row],[CodBarras2]],2,50)</f>
        <v/>
      </c>
    </row>
    <row r="18831" spans="9:9" x14ac:dyDescent="0.25">
      <c r="I18831" s="227" t="str">
        <f>MID(excPisCofins[[#This Row],[CodBarras2]],2,50)</f>
        <v/>
      </c>
    </row>
    <row r="18832" spans="9:9" x14ac:dyDescent="0.25">
      <c r="I18832" s="227" t="str">
        <f>MID(excPisCofins[[#This Row],[CodBarras2]],2,50)</f>
        <v/>
      </c>
    </row>
    <row r="18833" spans="9:9" x14ac:dyDescent="0.25">
      <c r="I18833" s="227" t="str">
        <f>MID(excPisCofins[[#This Row],[CodBarras2]],2,50)</f>
        <v/>
      </c>
    </row>
    <row r="18834" spans="9:9" x14ac:dyDescent="0.25">
      <c r="I18834" s="227" t="str">
        <f>MID(excPisCofins[[#This Row],[CodBarras2]],2,50)</f>
        <v/>
      </c>
    </row>
    <row r="18835" spans="9:9" x14ac:dyDescent="0.25">
      <c r="I18835" s="227" t="str">
        <f>MID(excPisCofins[[#This Row],[CodBarras2]],2,50)</f>
        <v/>
      </c>
    </row>
    <row r="18836" spans="9:9" x14ac:dyDescent="0.25">
      <c r="I18836" s="227" t="str">
        <f>MID(excPisCofins[[#This Row],[CodBarras2]],2,50)</f>
        <v/>
      </c>
    </row>
    <row r="18837" spans="9:9" x14ac:dyDescent="0.25">
      <c r="I18837" s="227" t="str">
        <f>MID(excPisCofins[[#This Row],[CodBarras2]],2,50)</f>
        <v/>
      </c>
    </row>
    <row r="18838" spans="9:9" x14ac:dyDescent="0.25">
      <c r="I18838" s="227" t="str">
        <f>MID(excPisCofins[[#This Row],[CodBarras2]],2,50)</f>
        <v/>
      </c>
    </row>
    <row r="18839" spans="9:9" x14ac:dyDescent="0.25">
      <c r="I18839" s="227" t="str">
        <f>MID(excPisCofins[[#This Row],[CodBarras2]],2,50)</f>
        <v/>
      </c>
    </row>
    <row r="18840" spans="9:9" x14ac:dyDescent="0.25">
      <c r="I18840" s="227" t="str">
        <f>MID(excPisCofins[[#This Row],[CodBarras2]],2,50)</f>
        <v/>
      </c>
    </row>
    <row r="18841" spans="9:9" x14ac:dyDescent="0.25">
      <c r="I18841" s="227" t="str">
        <f>MID(excPisCofins[[#This Row],[CodBarras2]],2,50)</f>
        <v/>
      </c>
    </row>
    <row r="18842" spans="9:9" x14ac:dyDescent="0.25">
      <c r="I18842" s="227" t="str">
        <f>MID(excPisCofins[[#This Row],[CodBarras2]],2,50)</f>
        <v/>
      </c>
    </row>
    <row r="18843" spans="9:9" x14ac:dyDescent="0.25">
      <c r="I18843" s="227" t="str">
        <f>MID(excPisCofins[[#This Row],[CodBarras2]],2,50)</f>
        <v/>
      </c>
    </row>
    <row r="18844" spans="9:9" x14ac:dyDescent="0.25">
      <c r="I18844" s="227" t="str">
        <f>MID(excPisCofins[[#This Row],[CodBarras2]],2,50)</f>
        <v/>
      </c>
    </row>
    <row r="18845" spans="9:9" x14ac:dyDescent="0.25">
      <c r="I18845" s="227" t="str">
        <f>MID(excPisCofins[[#This Row],[CodBarras2]],2,50)</f>
        <v/>
      </c>
    </row>
    <row r="18846" spans="9:9" x14ac:dyDescent="0.25">
      <c r="I18846" s="227" t="str">
        <f>MID(excPisCofins[[#This Row],[CodBarras2]],2,50)</f>
        <v/>
      </c>
    </row>
    <row r="18847" spans="9:9" x14ac:dyDescent="0.25">
      <c r="I18847" s="227" t="str">
        <f>MID(excPisCofins[[#This Row],[CodBarras2]],2,50)</f>
        <v/>
      </c>
    </row>
    <row r="18848" spans="9:9" x14ac:dyDescent="0.25">
      <c r="I18848" s="227" t="str">
        <f>MID(excPisCofins[[#This Row],[CodBarras2]],2,50)</f>
        <v/>
      </c>
    </row>
    <row r="18849" spans="9:9" x14ac:dyDescent="0.25">
      <c r="I18849" s="227" t="str">
        <f>MID(excPisCofins[[#This Row],[CodBarras2]],2,50)</f>
        <v/>
      </c>
    </row>
    <row r="18850" spans="9:9" x14ac:dyDescent="0.25">
      <c r="I18850" s="227" t="str">
        <f>MID(excPisCofins[[#This Row],[CodBarras2]],2,50)</f>
        <v/>
      </c>
    </row>
    <row r="18851" spans="9:9" x14ac:dyDescent="0.25">
      <c r="I18851" s="227" t="str">
        <f>MID(excPisCofins[[#This Row],[CodBarras2]],2,50)</f>
        <v/>
      </c>
    </row>
    <row r="18852" spans="9:9" x14ac:dyDescent="0.25">
      <c r="I18852" s="227" t="str">
        <f>MID(excPisCofins[[#This Row],[CodBarras2]],2,50)</f>
        <v/>
      </c>
    </row>
    <row r="18853" spans="9:9" x14ac:dyDescent="0.25">
      <c r="I18853" s="227" t="str">
        <f>MID(excPisCofins[[#This Row],[CodBarras2]],2,50)</f>
        <v/>
      </c>
    </row>
    <row r="18854" spans="9:9" x14ac:dyDescent="0.25">
      <c r="I18854" s="227" t="str">
        <f>MID(excPisCofins[[#This Row],[CodBarras2]],2,50)</f>
        <v/>
      </c>
    </row>
    <row r="18855" spans="9:9" x14ac:dyDescent="0.25">
      <c r="I18855" s="227" t="str">
        <f>MID(excPisCofins[[#This Row],[CodBarras2]],2,50)</f>
        <v/>
      </c>
    </row>
    <row r="18856" spans="9:9" x14ac:dyDescent="0.25">
      <c r="I18856" s="227" t="str">
        <f>MID(excPisCofins[[#This Row],[CodBarras2]],2,50)</f>
        <v/>
      </c>
    </row>
    <row r="18857" spans="9:9" x14ac:dyDescent="0.25">
      <c r="I18857" s="227" t="str">
        <f>MID(excPisCofins[[#This Row],[CodBarras2]],2,50)</f>
        <v/>
      </c>
    </row>
    <row r="18858" spans="9:9" x14ac:dyDescent="0.25">
      <c r="I18858" s="227" t="str">
        <f>MID(excPisCofins[[#This Row],[CodBarras2]],2,50)</f>
        <v/>
      </c>
    </row>
    <row r="18859" spans="9:9" x14ac:dyDescent="0.25">
      <c r="I18859" s="227" t="str">
        <f>MID(excPisCofins[[#This Row],[CodBarras2]],2,50)</f>
        <v/>
      </c>
    </row>
    <row r="18860" spans="9:9" x14ac:dyDescent="0.25">
      <c r="I18860" s="227" t="str">
        <f>MID(excPisCofins[[#This Row],[CodBarras2]],2,50)</f>
        <v/>
      </c>
    </row>
    <row r="18861" spans="9:9" x14ac:dyDescent="0.25">
      <c r="I18861" s="227" t="str">
        <f>MID(excPisCofins[[#This Row],[CodBarras2]],2,50)</f>
        <v/>
      </c>
    </row>
    <row r="18862" spans="9:9" x14ac:dyDescent="0.25">
      <c r="I18862" s="227" t="str">
        <f>MID(excPisCofins[[#This Row],[CodBarras2]],2,50)</f>
        <v/>
      </c>
    </row>
    <row r="18863" spans="9:9" x14ac:dyDescent="0.25">
      <c r="I18863" s="227" t="str">
        <f>MID(excPisCofins[[#This Row],[CodBarras2]],2,50)</f>
        <v/>
      </c>
    </row>
    <row r="18864" spans="9:9" x14ac:dyDescent="0.25">
      <c r="I18864" s="227" t="str">
        <f>MID(excPisCofins[[#This Row],[CodBarras2]],2,50)</f>
        <v/>
      </c>
    </row>
    <row r="18865" spans="9:9" x14ac:dyDescent="0.25">
      <c r="I18865" s="227" t="str">
        <f>MID(excPisCofins[[#This Row],[CodBarras2]],2,50)</f>
        <v/>
      </c>
    </row>
    <row r="18866" spans="9:9" x14ac:dyDescent="0.25">
      <c r="I18866" s="227" t="str">
        <f>MID(excPisCofins[[#This Row],[CodBarras2]],2,50)</f>
        <v/>
      </c>
    </row>
    <row r="18867" spans="9:9" x14ac:dyDescent="0.25">
      <c r="I18867" s="227" t="str">
        <f>MID(excPisCofins[[#This Row],[CodBarras2]],2,50)</f>
        <v/>
      </c>
    </row>
    <row r="18868" spans="9:9" x14ac:dyDescent="0.25">
      <c r="I18868" s="227" t="str">
        <f>MID(excPisCofins[[#This Row],[CodBarras2]],2,50)</f>
        <v/>
      </c>
    </row>
    <row r="18869" spans="9:9" x14ac:dyDescent="0.25">
      <c r="I18869" s="227" t="str">
        <f>MID(excPisCofins[[#This Row],[CodBarras2]],2,50)</f>
        <v/>
      </c>
    </row>
    <row r="18870" spans="9:9" x14ac:dyDescent="0.25">
      <c r="I18870" s="227" t="str">
        <f>MID(excPisCofins[[#This Row],[CodBarras2]],2,50)</f>
        <v/>
      </c>
    </row>
    <row r="18871" spans="9:9" x14ac:dyDescent="0.25">
      <c r="I18871" s="227" t="str">
        <f>MID(excPisCofins[[#This Row],[CodBarras2]],2,50)</f>
        <v/>
      </c>
    </row>
    <row r="18872" spans="9:9" x14ac:dyDescent="0.25">
      <c r="I18872" s="227" t="str">
        <f>MID(excPisCofins[[#This Row],[CodBarras2]],2,50)</f>
        <v/>
      </c>
    </row>
    <row r="18873" spans="9:9" x14ac:dyDescent="0.25">
      <c r="I18873" s="227" t="str">
        <f>MID(excPisCofins[[#This Row],[CodBarras2]],2,50)</f>
        <v/>
      </c>
    </row>
    <row r="18874" spans="9:9" x14ac:dyDescent="0.25">
      <c r="I18874" s="227" t="str">
        <f>MID(excPisCofins[[#This Row],[CodBarras2]],2,50)</f>
        <v/>
      </c>
    </row>
    <row r="18875" spans="9:9" x14ac:dyDescent="0.25">
      <c r="I18875" s="227" t="str">
        <f>MID(excPisCofins[[#This Row],[CodBarras2]],2,50)</f>
        <v/>
      </c>
    </row>
    <row r="18876" spans="9:9" x14ac:dyDescent="0.25">
      <c r="I18876" s="227" t="str">
        <f>MID(excPisCofins[[#This Row],[CodBarras2]],2,50)</f>
        <v/>
      </c>
    </row>
    <row r="18877" spans="9:9" x14ac:dyDescent="0.25">
      <c r="I18877" s="227" t="str">
        <f>MID(excPisCofins[[#This Row],[CodBarras2]],2,50)</f>
        <v/>
      </c>
    </row>
    <row r="18878" spans="9:9" x14ac:dyDescent="0.25">
      <c r="I18878" s="227" t="str">
        <f>MID(excPisCofins[[#This Row],[CodBarras2]],2,50)</f>
        <v/>
      </c>
    </row>
    <row r="18879" spans="9:9" x14ac:dyDescent="0.25">
      <c r="I18879" s="227" t="str">
        <f>MID(excPisCofins[[#This Row],[CodBarras2]],2,50)</f>
        <v/>
      </c>
    </row>
    <row r="18880" spans="9:9" x14ac:dyDescent="0.25">
      <c r="I18880" s="227" t="str">
        <f>MID(excPisCofins[[#This Row],[CodBarras2]],2,50)</f>
        <v/>
      </c>
    </row>
    <row r="18881" spans="9:9" x14ac:dyDescent="0.25">
      <c r="I18881" s="227" t="str">
        <f>MID(excPisCofins[[#This Row],[CodBarras2]],2,50)</f>
        <v/>
      </c>
    </row>
    <row r="18882" spans="9:9" x14ac:dyDescent="0.25">
      <c r="I18882" s="227" t="str">
        <f>MID(excPisCofins[[#This Row],[CodBarras2]],2,50)</f>
        <v/>
      </c>
    </row>
    <row r="18883" spans="9:9" x14ac:dyDescent="0.25">
      <c r="I18883" s="227" t="str">
        <f>MID(excPisCofins[[#This Row],[CodBarras2]],2,50)</f>
        <v/>
      </c>
    </row>
    <row r="18884" spans="9:9" x14ac:dyDescent="0.25">
      <c r="I18884" s="227" t="str">
        <f>MID(excPisCofins[[#This Row],[CodBarras2]],2,50)</f>
        <v/>
      </c>
    </row>
    <row r="18885" spans="9:9" x14ac:dyDescent="0.25">
      <c r="I18885" s="227" t="str">
        <f>MID(excPisCofins[[#This Row],[CodBarras2]],2,50)</f>
        <v/>
      </c>
    </row>
    <row r="18886" spans="9:9" x14ac:dyDescent="0.25">
      <c r="I18886" s="227" t="str">
        <f>MID(excPisCofins[[#This Row],[CodBarras2]],2,50)</f>
        <v/>
      </c>
    </row>
    <row r="18887" spans="9:9" x14ac:dyDescent="0.25">
      <c r="I18887" s="227" t="str">
        <f>MID(excPisCofins[[#This Row],[CodBarras2]],2,50)</f>
        <v/>
      </c>
    </row>
    <row r="18888" spans="9:9" x14ac:dyDescent="0.25">
      <c r="I18888" s="227" t="str">
        <f>MID(excPisCofins[[#This Row],[CodBarras2]],2,50)</f>
        <v/>
      </c>
    </row>
    <row r="18889" spans="9:9" x14ac:dyDescent="0.25">
      <c r="I18889" s="227" t="str">
        <f>MID(excPisCofins[[#This Row],[CodBarras2]],2,50)</f>
        <v/>
      </c>
    </row>
    <row r="18890" spans="9:9" x14ac:dyDescent="0.25">
      <c r="I18890" s="227" t="str">
        <f>MID(excPisCofins[[#This Row],[CodBarras2]],2,50)</f>
        <v/>
      </c>
    </row>
    <row r="18891" spans="9:9" x14ac:dyDescent="0.25">
      <c r="I18891" s="227" t="str">
        <f>MID(excPisCofins[[#This Row],[CodBarras2]],2,50)</f>
        <v/>
      </c>
    </row>
    <row r="18892" spans="9:9" x14ac:dyDescent="0.25">
      <c r="I18892" s="227" t="str">
        <f>MID(excPisCofins[[#This Row],[CodBarras2]],2,50)</f>
        <v/>
      </c>
    </row>
    <row r="18893" spans="9:9" x14ac:dyDescent="0.25">
      <c r="I18893" s="227" t="str">
        <f>MID(excPisCofins[[#This Row],[CodBarras2]],2,50)</f>
        <v/>
      </c>
    </row>
    <row r="18894" spans="9:9" x14ac:dyDescent="0.25">
      <c r="I18894" s="227" t="str">
        <f>MID(excPisCofins[[#This Row],[CodBarras2]],2,50)</f>
        <v/>
      </c>
    </row>
    <row r="18895" spans="9:9" x14ac:dyDescent="0.25">
      <c r="I18895" s="227" t="str">
        <f>MID(excPisCofins[[#This Row],[CodBarras2]],2,50)</f>
        <v/>
      </c>
    </row>
    <row r="18896" spans="9:9" x14ac:dyDescent="0.25">
      <c r="I18896" s="227" t="str">
        <f>MID(excPisCofins[[#This Row],[CodBarras2]],2,50)</f>
        <v/>
      </c>
    </row>
    <row r="18897" spans="9:9" x14ac:dyDescent="0.25">
      <c r="I18897" s="227" t="str">
        <f>MID(excPisCofins[[#This Row],[CodBarras2]],2,50)</f>
        <v/>
      </c>
    </row>
    <row r="18898" spans="9:9" x14ac:dyDescent="0.25">
      <c r="I18898" s="227" t="str">
        <f>MID(excPisCofins[[#This Row],[CodBarras2]],2,50)</f>
        <v/>
      </c>
    </row>
    <row r="18899" spans="9:9" x14ac:dyDescent="0.25">
      <c r="I18899" s="227" t="str">
        <f>MID(excPisCofins[[#This Row],[CodBarras2]],2,50)</f>
        <v/>
      </c>
    </row>
    <row r="18900" spans="9:9" x14ac:dyDescent="0.25">
      <c r="I18900" s="227" t="str">
        <f>MID(excPisCofins[[#This Row],[CodBarras2]],2,50)</f>
        <v/>
      </c>
    </row>
    <row r="18901" spans="9:9" x14ac:dyDescent="0.25">
      <c r="I18901" s="227" t="str">
        <f>MID(excPisCofins[[#This Row],[CodBarras2]],2,50)</f>
        <v/>
      </c>
    </row>
    <row r="18902" spans="9:9" x14ac:dyDescent="0.25">
      <c r="I18902" s="227" t="str">
        <f>MID(excPisCofins[[#This Row],[CodBarras2]],2,50)</f>
        <v/>
      </c>
    </row>
    <row r="18903" spans="9:9" x14ac:dyDescent="0.25">
      <c r="I18903" s="227" t="str">
        <f>MID(excPisCofins[[#This Row],[CodBarras2]],2,50)</f>
        <v/>
      </c>
    </row>
    <row r="18904" spans="9:9" x14ac:dyDescent="0.25">
      <c r="I18904" s="227" t="str">
        <f>MID(excPisCofins[[#This Row],[CodBarras2]],2,50)</f>
        <v/>
      </c>
    </row>
    <row r="18905" spans="9:9" x14ac:dyDescent="0.25">
      <c r="I18905" s="227" t="str">
        <f>MID(excPisCofins[[#This Row],[CodBarras2]],2,50)</f>
        <v/>
      </c>
    </row>
    <row r="18906" spans="9:9" x14ac:dyDescent="0.25">
      <c r="I18906" s="227" t="str">
        <f>MID(excPisCofins[[#This Row],[CodBarras2]],2,50)</f>
        <v/>
      </c>
    </row>
    <row r="18907" spans="9:9" x14ac:dyDescent="0.25">
      <c r="I18907" s="227" t="str">
        <f>MID(excPisCofins[[#This Row],[CodBarras2]],2,50)</f>
        <v/>
      </c>
    </row>
    <row r="18908" spans="9:9" x14ac:dyDescent="0.25">
      <c r="I18908" s="227" t="str">
        <f>MID(excPisCofins[[#This Row],[CodBarras2]],2,50)</f>
        <v/>
      </c>
    </row>
    <row r="18909" spans="9:9" x14ac:dyDescent="0.25">
      <c r="I18909" s="227" t="str">
        <f>MID(excPisCofins[[#This Row],[CodBarras2]],2,50)</f>
        <v/>
      </c>
    </row>
    <row r="18910" spans="9:9" x14ac:dyDescent="0.25">
      <c r="I18910" s="227" t="str">
        <f>MID(excPisCofins[[#This Row],[CodBarras2]],2,50)</f>
        <v/>
      </c>
    </row>
    <row r="18911" spans="9:9" x14ac:dyDescent="0.25">
      <c r="I18911" s="227" t="str">
        <f>MID(excPisCofins[[#This Row],[CodBarras2]],2,50)</f>
        <v/>
      </c>
    </row>
    <row r="18912" spans="9:9" x14ac:dyDescent="0.25">
      <c r="I18912" s="227" t="str">
        <f>MID(excPisCofins[[#This Row],[CodBarras2]],2,50)</f>
        <v/>
      </c>
    </row>
    <row r="18913" spans="9:9" x14ac:dyDescent="0.25">
      <c r="I18913" s="227" t="str">
        <f>MID(excPisCofins[[#This Row],[CodBarras2]],2,50)</f>
        <v/>
      </c>
    </row>
    <row r="18914" spans="9:9" x14ac:dyDescent="0.25">
      <c r="I18914" s="227" t="str">
        <f>MID(excPisCofins[[#This Row],[CodBarras2]],2,50)</f>
        <v/>
      </c>
    </row>
    <row r="18915" spans="9:9" x14ac:dyDescent="0.25">
      <c r="I18915" s="227" t="str">
        <f>MID(excPisCofins[[#This Row],[CodBarras2]],2,50)</f>
        <v/>
      </c>
    </row>
    <row r="18916" spans="9:9" x14ac:dyDescent="0.25">
      <c r="I18916" s="227" t="str">
        <f>MID(excPisCofins[[#This Row],[CodBarras2]],2,50)</f>
        <v/>
      </c>
    </row>
    <row r="18917" spans="9:9" x14ac:dyDescent="0.25">
      <c r="I18917" s="227" t="str">
        <f>MID(excPisCofins[[#This Row],[CodBarras2]],2,50)</f>
        <v/>
      </c>
    </row>
    <row r="18918" spans="9:9" x14ac:dyDescent="0.25">
      <c r="I18918" s="227" t="str">
        <f>MID(excPisCofins[[#This Row],[CodBarras2]],2,50)</f>
        <v/>
      </c>
    </row>
    <row r="18919" spans="9:9" x14ac:dyDescent="0.25">
      <c r="I18919" s="227" t="str">
        <f>MID(excPisCofins[[#This Row],[CodBarras2]],2,50)</f>
        <v/>
      </c>
    </row>
    <row r="18920" spans="9:9" x14ac:dyDescent="0.25">
      <c r="I18920" s="227" t="str">
        <f>MID(excPisCofins[[#This Row],[CodBarras2]],2,50)</f>
        <v/>
      </c>
    </row>
    <row r="18921" spans="9:9" x14ac:dyDescent="0.25">
      <c r="I18921" s="227" t="str">
        <f>MID(excPisCofins[[#This Row],[CodBarras2]],2,50)</f>
        <v/>
      </c>
    </row>
    <row r="18922" spans="9:9" x14ac:dyDescent="0.25">
      <c r="I18922" s="227" t="str">
        <f>MID(excPisCofins[[#This Row],[CodBarras2]],2,50)</f>
        <v/>
      </c>
    </row>
    <row r="18923" spans="9:9" x14ac:dyDescent="0.25">
      <c r="I18923" s="227" t="str">
        <f>MID(excPisCofins[[#This Row],[CodBarras2]],2,50)</f>
        <v/>
      </c>
    </row>
    <row r="18924" spans="9:9" x14ac:dyDescent="0.25">
      <c r="I18924" s="227" t="str">
        <f>MID(excPisCofins[[#This Row],[CodBarras2]],2,50)</f>
        <v/>
      </c>
    </row>
    <row r="18925" spans="9:9" x14ac:dyDescent="0.25">
      <c r="I18925" s="227" t="str">
        <f>MID(excPisCofins[[#This Row],[CodBarras2]],2,50)</f>
        <v/>
      </c>
    </row>
    <row r="18926" spans="9:9" x14ac:dyDescent="0.25">
      <c r="I18926" s="227" t="str">
        <f>MID(excPisCofins[[#This Row],[CodBarras2]],2,50)</f>
        <v/>
      </c>
    </row>
    <row r="18927" spans="9:9" x14ac:dyDescent="0.25">
      <c r="I18927" s="227" t="str">
        <f>MID(excPisCofins[[#This Row],[CodBarras2]],2,50)</f>
        <v/>
      </c>
    </row>
    <row r="18928" spans="9:9" x14ac:dyDescent="0.25">
      <c r="I18928" s="227" t="str">
        <f>MID(excPisCofins[[#This Row],[CodBarras2]],2,50)</f>
        <v/>
      </c>
    </row>
    <row r="18929" spans="9:9" x14ac:dyDescent="0.25">
      <c r="I18929" s="227" t="str">
        <f>MID(excPisCofins[[#This Row],[CodBarras2]],2,50)</f>
        <v/>
      </c>
    </row>
    <row r="18930" spans="9:9" x14ac:dyDescent="0.25">
      <c r="I18930" s="227" t="str">
        <f>MID(excPisCofins[[#This Row],[CodBarras2]],2,50)</f>
        <v/>
      </c>
    </row>
    <row r="18931" spans="9:9" x14ac:dyDescent="0.25">
      <c r="I18931" s="227" t="str">
        <f>MID(excPisCofins[[#This Row],[CodBarras2]],2,50)</f>
        <v/>
      </c>
    </row>
    <row r="18932" spans="9:9" x14ac:dyDescent="0.25">
      <c r="I18932" s="227" t="str">
        <f>MID(excPisCofins[[#This Row],[CodBarras2]],2,50)</f>
        <v/>
      </c>
    </row>
    <row r="18933" spans="9:9" x14ac:dyDescent="0.25">
      <c r="I18933" s="227" t="str">
        <f>MID(excPisCofins[[#This Row],[CodBarras2]],2,50)</f>
        <v/>
      </c>
    </row>
    <row r="18934" spans="9:9" x14ac:dyDescent="0.25">
      <c r="I18934" s="227" t="str">
        <f>MID(excPisCofins[[#This Row],[CodBarras2]],2,50)</f>
        <v/>
      </c>
    </row>
    <row r="18935" spans="9:9" x14ac:dyDescent="0.25">
      <c r="I18935" s="227" t="str">
        <f>MID(excPisCofins[[#This Row],[CodBarras2]],2,50)</f>
        <v/>
      </c>
    </row>
    <row r="18936" spans="9:9" x14ac:dyDescent="0.25">
      <c r="I18936" s="227" t="str">
        <f>MID(excPisCofins[[#This Row],[CodBarras2]],2,50)</f>
        <v/>
      </c>
    </row>
    <row r="18937" spans="9:9" x14ac:dyDescent="0.25">
      <c r="I18937" s="227" t="str">
        <f>MID(excPisCofins[[#This Row],[CodBarras2]],2,50)</f>
        <v/>
      </c>
    </row>
    <row r="18938" spans="9:9" x14ac:dyDescent="0.25">
      <c r="I18938" s="227" t="str">
        <f>MID(excPisCofins[[#This Row],[CodBarras2]],2,50)</f>
        <v/>
      </c>
    </row>
    <row r="18939" spans="9:9" x14ac:dyDescent="0.25">
      <c r="I18939" s="227" t="str">
        <f>MID(excPisCofins[[#This Row],[CodBarras2]],2,50)</f>
        <v/>
      </c>
    </row>
    <row r="18940" spans="9:9" x14ac:dyDescent="0.25">
      <c r="I18940" s="227" t="str">
        <f>MID(excPisCofins[[#This Row],[CodBarras2]],2,50)</f>
        <v/>
      </c>
    </row>
    <row r="18941" spans="9:9" x14ac:dyDescent="0.25">
      <c r="I18941" s="227" t="str">
        <f>MID(excPisCofins[[#This Row],[CodBarras2]],2,50)</f>
        <v/>
      </c>
    </row>
    <row r="18942" spans="9:9" x14ac:dyDescent="0.25">
      <c r="I18942" s="227" t="str">
        <f>MID(excPisCofins[[#This Row],[CodBarras2]],2,50)</f>
        <v/>
      </c>
    </row>
    <row r="18943" spans="9:9" x14ac:dyDescent="0.25">
      <c r="I18943" s="227" t="str">
        <f>MID(excPisCofins[[#This Row],[CodBarras2]],2,50)</f>
        <v/>
      </c>
    </row>
    <row r="18944" spans="9:9" x14ac:dyDescent="0.25">
      <c r="I18944" s="227" t="str">
        <f>MID(excPisCofins[[#This Row],[CodBarras2]],2,50)</f>
        <v/>
      </c>
    </row>
    <row r="18945" spans="9:9" x14ac:dyDescent="0.25">
      <c r="I18945" s="227" t="str">
        <f>MID(excPisCofins[[#This Row],[CodBarras2]],2,50)</f>
        <v/>
      </c>
    </row>
    <row r="18946" spans="9:9" x14ac:dyDescent="0.25">
      <c r="I18946" s="227" t="str">
        <f>MID(excPisCofins[[#This Row],[CodBarras2]],2,50)</f>
        <v/>
      </c>
    </row>
    <row r="18947" spans="9:9" x14ac:dyDescent="0.25">
      <c r="I18947" s="227" t="str">
        <f>MID(excPisCofins[[#This Row],[CodBarras2]],2,50)</f>
        <v/>
      </c>
    </row>
    <row r="18948" spans="9:9" x14ac:dyDescent="0.25">
      <c r="I18948" s="227" t="str">
        <f>MID(excPisCofins[[#This Row],[CodBarras2]],2,50)</f>
        <v/>
      </c>
    </row>
    <row r="18949" spans="9:9" x14ac:dyDescent="0.25">
      <c r="I18949" s="227" t="str">
        <f>MID(excPisCofins[[#This Row],[CodBarras2]],2,50)</f>
        <v/>
      </c>
    </row>
    <row r="18950" spans="9:9" x14ac:dyDescent="0.25">
      <c r="I18950" s="227" t="str">
        <f>MID(excPisCofins[[#This Row],[CodBarras2]],2,50)</f>
        <v/>
      </c>
    </row>
    <row r="18951" spans="9:9" x14ac:dyDescent="0.25">
      <c r="I18951" s="227" t="str">
        <f>MID(excPisCofins[[#This Row],[CodBarras2]],2,50)</f>
        <v/>
      </c>
    </row>
    <row r="18952" spans="9:9" x14ac:dyDescent="0.25">
      <c r="I18952" s="227" t="str">
        <f>MID(excPisCofins[[#This Row],[CodBarras2]],2,50)</f>
        <v/>
      </c>
    </row>
    <row r="18953" spans="9:9" x14ac:dyDescent="0.25">
      <c r="I18953" s="227" t="str">
        <f>MID(excPisCofins[[#This Row],[CodBarras2]],2,50)</f>
        <v/>
      </c>
    </row>
    <row r="18954" spans="9:9" x14ac:dyDescent="0.25">
      <c r="I18954" s="227" t="str">
        <f>MID(excPisCofins[[#This Row],[CodBarras2]],2,50)</f>
        <v/>
      </c>
    </row>
    <row r="18955" spans="9:9" x14ac:dyDescent="0.25">
      <c r="I18955" s="227" t="str">
        <f>MID(excPisCofins[[#This Row],[CodBarras2]],2,50)</f>
        <v/>
      </c>
    </row>
    <row r="18956" spans="9:9" x14ac:dyDescent="0.25">
      <c r="I18956" s="227" t="str">
        <f>MID(excPisCofins[[#This Row],[CodBarras2]],2,50)</f>
        <v/>
      </c>
    </row>
    <row r="18957" spans="9:9" x14ac:dyDescent="0.25">
      <c r="I18957" s="227" t="str">
        <f>MID(excPisCofins[[#This Row],[CodBarras2]],2,50)</f>
        <v/>
      </c>
    </row>
    <row r="18958" spans="9:9" x14ac:dyDescent="0.25">
      <c r="I18958" s="227" t="str">
        <f>MID(excPisCofins[[#This Row],[CodBarras2]],2,50)</f>
        <v/>
      </c>
    </row>
    <row r="18959" spans="9:9" x14ac:dyDescent="0.25">
      <c r="I18959" s="227" t="str">
        <f>MID(excPisCofins[[#This Row],[CodBarras2]],2,50)</f>
        <v/>
      </c>
    </row>
    <row r="18960" spans="9:9" x14ac:dyDescent="0.25">
      <c r="I18960" s="227" t="str">
        <f>MID(excPisCofins[[#This Row],[CodBarras2]],2,50)</f>
        <v/>
      </c>
    </row>
    <row r="18961" spans="9:9" x14ac:dyDescent="0.25">
      <c r="I18961" s="227" t="str">
        <f>MID(excPisCofins[[#This Row],[CodBarras2]],2,50)</f>
        <v/>
      </c>
    </row>
    <row r="18962" spans="9:9" x14ac:dyDescent="0.25">
      <c r="I18962" s="227" t="str">
        <f>MID(excPisCofins[[#This Row],[CodBarras2]],2,50)</f>
        <v/>
      </c>
    </row>
    <row r="18963" spans="9:9" x14ac:dyDescent="0.25">
      <c r="I18963" s="227" t="str">
        <f>MID(excPisCofins[[#This Row],[CodBarras2]],2,50)</f>
        <v/>
      </c>
    </row>
    <row r="18964" spans="9:9" x14ac:dyDescent="0.25">
      <c r="I18964" s="227" t="str">
        <f>MID(excPisCofins[[#This Row],[CodBarras2]],2,50)</f>
        <v/>
      </c>
    </row>
    <row r="18965" spans="9:9" x14ac:dyDescent="0.25">
      <c r="I18965" s="227" t="str">
        <f>MID(excPisCofins[[#This Row],[CodBarras2]],2,50)</f>
        <v/>
      </c>
    </row>
    <row r="18966" spans="9:9" x14ac:dyDescent="0.25">
      <c r="I18966" s="227" t="str">
        <f>MID(excPisCofins[[#This Row],[CodBarras2]],2,50)</f>
        <v/>
      </c>
    </row>
    <row r="18967" spans="9:9" x14ac:dyDescent="0.25">
      <c r="I18967" s="227" t="str">
        <f>MID(excPisCofins[[#This Row],[CodBarras2]],2,50)</f>
        <v/>
      </c>
    </row>
    <row r="18968" spans="9:9" x14ac:dyDescent="0.25">
      <c r="I18968" s="227" t="str">
        <f>MID(excPisCofins[[#This Row],[CodBarras2]],2,50)</f>
        <v/>
      </c>
    </row>
    <row r="18969" spans="9:9" x14ac:dyDescent="0.25">
      <c r="I18969" s="227" t="str">
        <f>MID(excPisCofins[[#This Row],[CodBarras2]],2,50)</f>
        <v/>
      </c>
    </row>
    <row r="18970" spans="9:9" x14ac:dyDescent="0.25">
      <c r="I18970" s="227" t="str">
        <f>MID(excPisCofins[[#This Row],[CodBarras2]],2,50)</f>
        <v/>
      </c>
    </row>
    <row r="18971" spans="9:9" x14ac:dyDescent="0.25">
      <c r="I18971" s="227" t="str">
        <f>MID(excPisCofins[[#This Row],[CodBarras2]],2,50)</f>
        <v/>
      </c>
    </row>
    <row r="18972" spans="9:9" x14ac:dyDescent="0.25">
      <c r="I18972" s="227" t="str">
        <f>MID(excPisCofins[[#This Row],[CodBarras2]],2,50)</f>
        <v/>
      </c>
    </row>
    <row r="18973" spans="9:9" x14ac:dyDescent="0.25">
      <c r="I18973" s="227" t="str">
        <f>MID(excPisCofins[[#This Row],[CodBarras2]],2,50)</f>
        <v/>
      </c>
    </row>
    <row r="18974" spans="9:9" x14ac:dyDescent="0.25">
      <c r="I18974" s="227" t="str">
        <f>MID(excPisCofins[[#This Row],[CodBarras2]],2,50)</f>
        <v/>
      </c>
    </row>
    <row r="18975" spans="9:9" x14ac:dyDescent="0.25">
      <c r="I18975" s="227" t="str">
        <f>MID(excPisCofins[[#This Row],[CodBarras2]],2,50)</f>
        <v/>
      </c>
    </row>
    <row r="18976" spans="9:9" x14ac:dyDescent="0.25">
      <c r="I18976" s="227" t="str">
        <f>MID(excPisCofins[[#This Row],[CodBarras2]],2,50)</f>
        <v/>
      </c>
    </row>
    <row r="18977" spans="9:9" x14ac:dyDescent="0.25">
      <c r="I18977" s="227" t="str">
        <f>MID(excPisCofins[[#This Row],[CodBarras2]],2,50)</f>
        <v/>
      </c>
    </row>
    <row r="18978" spans="9:9" x14ac:dyDescent="0.25">
      <c r="I18978" s="227" t="str">
        <f>MID(excPisCofins[[#This Row],[CodBarras2]],2,50)</f>
        <v/>
      </c>
    </row>
    <row r="18979" spans="9:9" x14ac:dyDescent="0.25">
      <c r="I18979" s="227" t="str">
        <f>MID(excPisCofins[[#This Row],[CodBarras2]],2,50)</f>
        <v/>
      </c>
    </row>
    <row r="18980" spans="9:9" x14ac:dyDescent="0.25">
      <c r="I18980" s="227" t="str">
        <f>MID(excPisCofins[[#This Row],[CodBarras2]],2,50)</f>
        <v/>
      </c>
    </row>
    <row r="18981" spans="9:9" x14ac:dyDescent="0.25">
      <c r="I18981" s="227" t="str">
        <f>MID(excPisCofins[[#This Row],[CodBarras2]],2,50)</f>
        <v/>
      </c>
    </row>
    <row r="18982" spans="9:9" x14ac:dyDescent="0.25">
      <c r="I18982" s="227" t="str">
        <f>MID(excPisCofins[[#This Row],[CodBarras2]],2,50)</f>
        <v/>
      </c>
    </row>
    <row r="18983" spans="9:9" x14ac:dyDescent="0.25">
      <c r="I18983" s="227" t="str">
        <f>MID(excPisCofins[[#This Row],[CodBarras2]],2,50)</f>
        <v/>
      </c>
    </row>
    <row r="18984" spans="9:9" x14ac:dyDescent="0.25">
      <c r="I18984" s="227" t="str">
        <f>MID(excPisCofins[[#This Row],[CodBarras2]],2,50)</f>
        <v/>
      </c>
    </row>
    <row r="18985" spans="9:9" x14ac:dyDescent="0.25">
      <c r="I18985" s="227" t="str">
        <f>MID(excPisCofins[[#This Row],[CodBarras2]],2,50)</f>
        <v/>
      </c>
    </row>
    <row r="18986" spans="9:9" x14ac:dyDescent="0.25">
      <c r="I18986" s="227" t="str">
        <f>MID(excPisCofins[[#This Row],[CodBarras2]],2,50)</f>
        <v/>
      </c>
    </row>
    <row r="18987" spans="9:9" x14ac:dyDescent="0.25">
      <c r="I18987" s="227" t="str">
        <f>MID(excPisCofins[[#This Row],[CodBarras2]],2,50)</f>
        <v/>
      </c>
    </row>
    <row r="18988" spans="9:9" x14ac:dyDescent="0.25">
      <c r="I18988" s="227" t="str">
        <f>MID(excPisCofins[[#This Row],[CodBarras2]],2,50)</f>
        <v/>
      </c>
    </row>
    <row r="18989" spans="9:9" x14ac:dyDescent="0.25">
      <c r="I18989" s="227" t="str">
        <f>MID(excPisCofins[[#This Row],[CodBarras2]],2,50)</f>
        <v/>
      </c>
    </row>
    <row r="18990" spans="9:9" x14ac:dyDescent="0.25">
      <c r="I18990" s="227" t="str">
        <f>MID(excPisCofins[[#This Row],[CodBarras2]],2,50)</f>
        <v/>
      </c>
    </row>
    <row r="18991" spans="9:9" x14ac:dyDescent="0.25">
      <c r="I18991" s="227" t="str">
        <f>MID(excPisCofins[[#This Row],[CodBarras2]],2,50)</f>
        <v/>
      </c>
    </row>
    <row r="18992" spans="9:9" x14ac:dyDescent="0.25">
      <c r="I18992" s="227" t="str">
        <f>MID(excPisCofins[[#This Row],[CodBarras2]],2,50)</f>
        <v/>
      </c>
    </row>
    <row r="18993" spans="9:9" x14ac:dyDescent="0.25">
      <c r="I18993" s="227" t="str">
        <f>MID(excPisCofins[[#This Row],[CodBarras2]],2,50)</f>
        <v/>
      </c>
    </row>
    <row r="18994" spans="9:9" x14ac:dyDescent="0.25">
      <c r="I18994" s="227" t="str">
        <f>MID(excPisCofins[[#This Row],[CodBarras2]],2,50)</f>
        <v/>
      </c>
    </row>
    <row r="18995" spans="9:9" x14ac:dyDescent="0.25">
      <c r="I18995" s="227" t="str">
        <f>MID(excPisCofins[[#This Row],[CodBarras2]],2,50)</f>
        <v/>
      </c>
    </row>
    <row r="18996" spans="9:9" x14ac:dyDescent="0.25">
      <c r="I18996" s="227" t="str">
        <f>MID(excPisCofins[[#This Row],[CodBarras2]],2,50)</f>
        <v/>
      </c>
    </row>
    <row r="18997" spans="9:9" x14ac:dyDescent="0.25">
      <c r="I18997" s="227" t="str">
        <f>MID(excPisCofins[[#This Row],[CodBarras2]],2,50)</f>
        <v/>
      </c>
    </row>
    <row r="18998" spans="9:9" x14ac:dyDescent="0.25">
      <c r="I18998" s="227" t="str">
        <f>MID(excPisCofins[[#This Row],[CodBarras2]],2,50)</f>
        <v/>
      </c>
    </row>
    <row r="18999" spans="9:9" x14ac:dyDescent="0.25">
      <c r="I18999" s="227" t="str">
        <f>MID(excPisCofins[[#This Row],[CodBarras2]],2,50)</f>
        <v/>
      </c>
    </row>
    <row r="19000" spans="9:9" x14ac:dyDescent="0.25">
      <c r="I19000" s="227" t="str">
        <f>MID(excPisCofins[[#This Row],[CodBarras2]],2,50)</f>
        <v/>
      </c>
    </row>
    <row r="19001" spans="9:9" x14ac:dyDescent="0.25">
      <c r="I19001" s="227" t="str">
        <f>MID(excPisCofins[[#This Row],[CodBarras2]],2,50)</f>
        <v/>
      </c>
    </row>
    <row r="19002" spans="9:9" x14ac:dyDescent="0.25">
      <c r="I19002" s="227" t="str">
        <f>MID(excPisCofins[[#This Row],[CodBarras2]],2,50)</f>
        <v/>
      </c>
    </row>
    <row r="19003" spans="9:9" x14ac:dyDescent="0.25">
      <c r="I19003" s="227" t="str">
        <f>MID(excPisCofins[[#This Row],[CodBarras2]],2,50)</f>
        <v/>
      </c>
    </row>
    <row r="19004" spans="9:9" x14ac:dyDescent="0.25">
      <c r="I19004" s="227" t="str">
        <f>MID(excPisCofins[[#This Row],[CodBarras2]],2,50)</f>
        <v/>
      </c>
    </row>
    <row r="19005" spans="9:9" x14ac:dyDescent="0.25">
      <c r="I19005" s="227" t="str">
        <f>MID(excPisCofins[[#This Row],[CodBarras2]],2,50)</f>
        <v/>
      </c>
    </row>
    <row r="19006" spans="9:9" x14ac:dyDescent="0.25">
      <c r="I19006" s="227" t="str">
        <f>MID(excPisCofins[[#This Row],[CodBarras2]],2,50)</f>
        <v/>
      </c>
    </row>
    <row r="19007" spans="9:9" x14ac:dyDescent="0.25">
      <c r="I19007" s="227" t="str">
        <f>MID(excPisCofins[[#This Row],[CodBarras2]],2,50)</f>
        <v/>
      </c>
    </row>
    <row r="19008" spans="9:9" x14ac:dyDescent="0.25">
      <c r="I19008" s="227" t="str">
        <f>MID(excPisCofins[[#This Row],[CodBarras2]],2,50)</f>
        <v/>
      </c>
    </row>
    <row r="19009" spans="9:9" x14ac:dyDescent="0.25">
      <c r="I19009" s="227" t="str">
        <f>MID(excPisCofins[[#This Row],[CodBarras2]],2,50)</f>
        <v/>
      </c>
    </row>
    <row r="19010" spans="9:9" x14ac:dyDescent="0.25">
      <c r="I19010" s="227" t="str">
        <f>MID(excPisCofins[[#This Row],[CodBarras2]],2,50)</f>
        <v/>
      </c>
    </row>
    <row r="19011" spans="9:9" x14ac:dyDescent="0.25">
      <c r="I19011" s="227" t="str">
        <f>MID(excPisCofins[[#This Row],[CodBarras2]],2,50)</f>
        <v/>
      </c>
    </row>
    <row r="19012" spans="9:9" x14ac:dyDescent="0.25">
      <c r="I19012" s="227" t="str">
        <f>MID(excPisCofins[[#This Row],[CodBarras2]],2,50)</f>
        <v/>
      </c>
    </row>
    <row r="19013" spans="9:9" x14ac:dyDescent="0.25">
      <c r="I19013" s="227" t="str">
        <f>MID(excPisCofins[[#This Row],[CodBarras2]],2,50)</f>
        <v/>
      </c>
    </row>
    <row r="19014" spans="9:9" x14ac:dyDescent="0.25">
      <c r="I19014" s="227" t="str">
        <f>MID(excPisCofins[[#This Row],[CodBarras2]],2,50)</f>
        <v/>
      </c>
    </row>
    <row r="19015" spans="9:9" x14ac:dyDescent="0.25">
      <c r="I19015" s="227" t="str">
        <f>MID(excPisCofins[[#This Row],[CodBarras2]],2,50)</f>
        <v/>
      </c>
    </row>
    <row r="19016" spans="9:9" x14ac:dyDescent="0.25">
      <c r="I19016" s="227" t="str">
        <f>MID(excPisCofins[[#This Row],[CodBarras2]],2,50)</f>
        <v/>
      </c>
    </row>
    <row r="19017" spans="9:9" x14ac:dyDescent="0.25">
      <c r="I19017" s="227" t="str">
        <f>MID(excPisCofins[[#This Row],[CodBarras2]],2,50)</f>
        <v/>
      </c>
    </row>
    <row r="19018" spans="9:9" x14ac:dyDescent="0.25">
      <c r="I19018" s="227" t="str">
        <f>MID(excPisCofins[[#This Row],[CodBarras2]],2,50)</f>
        <v/>
      </c>
    </row>
    <row r="19019" spans="9:9" x14ac:dyDescent="0.25">
      <c r="I19019" s="227" t="str">
        <f>MID(excPisCofins[[#This Row],[CodBarras2]],2,50)</f>
        <v/>
      </c>
    </row>
    <row r="19020" spans="9:9" x14ac:dyDescent="0.25">
      <c r="I19020" s="227" t="str">
        <f>MID(excPisCofins[[#This Row],[CodBarras2]],2,50)</f>
        <v/>
      </c>
    </row>
    <row r="19021" spans="9:9" x14ac:dyDescent="0.25">
      <c r="I19021" s="227" t="str">
        <f>MID(excPisCofins[[#This Row],[CodBarras2]],2,50)</f>
        <v/>
      </c>
    </row>
    <row r="19022" spans="9:9" x14ac:dyDescent="0.25">
      <c r="I19022" s="227" t="str">
        <f>MID(excPisCofins[[#This Row],[CodBarras2]],2,50)</f>
        <v/>
      </c>
    </row>
    <row r="19023" spans="9:9" x14ac:dyDescent="0.25">
      <c r="I19023" s="227" t="str">
        <f>MID(excPisCofins[[#This Row],[CodBarras2]],2,50)</f>
        <v/>
      </c>
    </row>
    <row r="19024" spans="9:9" x14ac:dyDescent="0.25">
      <c r="I19024" s="227" t="str">
        <f>MID(excPisCofins[[#This Row],[CodBarras2]],2,50)</f>
        <v/>
      </c>
    </row>
    <row r="19025" spans="9:9" x14ac:dyDescent="0.25">
      <c r="I19025" s="227" t="str">
        <f>MID(excPisCofins[[#This Row],[CodBarras2]],2,50)</f>
        <v/>
      </c>
    </row>
    <row r="19026" spans="9:9" x14ac:dyDescent="0.25">
      <c r="I19026" s="227" t="str">
        <f>MID(excPisCofins[[#This Row],[CodBarras2]],2,50)</f>
        <v/>
      </c>
    </row>
    <row r="19027" spans="9:9" x14ac:dyDescent="0.25">
      <c r="I19027" s="227" t="str">
        <f>MID(excPisCofins[[#This Row],[CodBarras2]],2,50)</f>
        <v/>
      </c>
    </row>
    <row r="19028" spans="9:9" x14ac:dyDescent="0.25">
      <c r="I19028" s="227" t="str">
        <f>MID(excPisCofins[[#This Row],[CodBarras2]],2,50)</f>
        <v/>
      </c>
    </row>
    <row r="19029" spans="9:9" x14ac:dyDescent="0.25">
      <c r="I19029" s="227" t="str">
        <f>MID(excPisCofins[[#This Row],[CodBarras2]],2,50)</f>
        <v/>
      </c>
    </row>
    <row r="19030" spans="9:9" x14ac:dyDescent="0.25">
      <c r="I19030" s="227" t="str">
        <f>MID(excPisCofins[[#This Row],[CodBarras2]],2,50)</f>
        <v/>
      </c>
    </row>
    <row r="19031" spans="9:9" x14ac:dyDescent="0.25">
      <c r="I19031" s="227" t="str">
        <f>MID(excPisCofins[[#This Row],[CodBarras2]],2,50)</f>
        <v/>
      </c>
    </row>
    <row r="19032" spans="9:9" x14ac:dyDescent="0.25">
      <c r="I19032" s="227" t="str">
        <f>MID(excPisCofins[[#This Row],[CodBarras2]],2,50)</f>
        <v/>
      </c>
    </row>
    <row r="19033" spans="9:9" x14ac:dyDescent="0.25">
      <c r="I19033" s="227" t="str">
        <f>MID(excPisCofins[[#This Row],[CodBarras2]],2,50)</f>
        <v/>
      </c>
    </row>
    <row r="19034" spans="9:9" x14ac:dyDescent="0.25">
      <c r="I19034" s="227" t="str">
        <f>MID(excPisCofins[[#This Row],[CodBarras2]],2,50)</f>
        <v/>
      </c>
    </row>
    <row r="19035" spans="9:9" x14ac:dyDescent="0.25">
      <c r="I19035" s="227" t="str">
        <f>MID(excPisCofins[[#This Row],[CodBarras2]],2,50)</f>
        <v/>
      </c>
    </row>
    <row r="19036" spans="9:9" x14ac:dyDescent="0.25">
      <c r="I19036" s="227" t="str">
        <f>MID(excPisCofins[[#This Row],[CodBarras2]],2,50)</f>
        <v/>
      </c>
    </row>
    <row r="19037" spans="9:9" x14ac:dyDescent="0.25">
      <c r="I19037" s="227" t="str">
        <f>MID(excPisCofins[[#This Row],[CodBarras2]],2,50)</f>
        <v/>
      </c>
    </row>
    <row r="19038" spans="9:9" x14ac:dyDescent="0.25">
      <c r="I19038" s="227" t="str">
        <f>MID(excPisCofins[[#This Row],[CodBarras2]],2,50)</f>
        <v/>
      </c>
    </row>
    <row r="19039" spans="9:9" x14ac:dyDescent="0.25">
      <c r="I19039" s="227" t="str">
        <f>MID(excPisCofins[[#This Row],[CodBarras2]],2,50)</f>
        <v/>
      </c>
    </row>
    <row r="19040" spans="9:9" x14ac:dyDescent="0.25">
      <c r="I19040" s="227" t="str">
        <f>MID(excPisCofins[[#This Row],[CodBarras2]],2,50)</f>
        <v/>
      </c>
    </row>
    <row r="19041" spans="9:9" x14ac:dyDescent="0.25">
      <c r="I19041" s="227" t="str">
        <f>MID(excPisCofins[[#This Row],[CodBarras2]],2,50)</f>
        <v/>
      </c>
    </row>
    <row r="19042" spans="9:9" x14ac:dyDescent="0.25">
      <c r="I19042" s="227" t="str">
        <f>MID(excPisCofins[[#This Row],[CodBarras2]],2,50)</f>
        <v/>
      </c>
    </row>
    <row r="19043" spans="9:9" x14ac:dyDescent="0.25">
      <c r="I19043" s="227" t="str">
        <f>MID(excPisCofins[[#This Row],[CodBarras2]],2,50)</f>
        <v/>
      </c>
    </row>
    <row r="19044" spans="9:9" x14ac:dyDescent="0.25">
      <c r="I19044" s="227" t="str">
        <f>MID(excPisCofins[[#This Row],[CodBarras2]],2,50)</f>
        <v/>
      </c>
    </row>
    <row r="19045" spans="9:9" x14ac:dyDescent="0.25">
      <c r="I19045" s="227" t="str">
        <f>MID(excPisCofins[[#This Row],[CodBarras2]],2,50)</f>
        <v/>
      </c>
    </row>
    <row r="19046" spans="9:9" x14ac:dyDescent="0.25">
      <c r="I19046" s="227" t="str">
        <f>MID(excPisCofins[[#This Row],[CodBarras2]],2,50)</f>
        <v/>
      </c>
    </row>
    <row r="19047" spans="9:9" x14ac:dyDescent="0.25">
      <c r="I19047" s="227" t="str">
        <f>MID(excPisCofins[[#This Row],[CodBarras2]],2,50)</f>
        <v/>
      </c>
    </row>
    <row r="19048" spans="9:9" x14ac:dyDescent="0.25">
      <c r="I19048" s="227" t="str">
        <f>MID(excPisCofins[[#This Row],[CodBarras2]],2,50)</f>
        <v/>
      </c>
    </row>
    <row r="19049" spans="9:9" x14ac:dyDescent="0.25">
      <c r="I19049" s="227" t="str">
        <f>MID(excPisCofins[[#This Row],[CodBarras2]],2,50)</f>
        <v/>
      </c>
    </row>
    <row r="19050" spans="9:9" x14ac:dyDescent="0.25">
      <c r="I19050" s="227" t="str">
        <f>MID(excPisCofins[[#This Row],[CodBarras2]],2,50)</f>
        <v/>
      </c>
    </row>
    <row r="19051" spans="9:9" x14ac:dyDescent="0.25">
      <c r="I19051" s="227" t="str">
        <f>MID(excPisCofins[[#This Row],[CodBarras2]],2,50)</f>
        <v/>
      </c>
    </row>
    <row r="19052" spans="9:9" x14ac:dyDescent="0.25">
      <c r="I19052" s="227" t="str">
        <f>MID(excPisCofins[[#This Row],[CodBarras2]],2,50)</f>
        <v/>
      </c>
    </row>
    <row r="19053" spans="9:9" x14ac:dyDescent="0.25">
      <c r="I19053" s="227" t="str">
        <f>MID(excPisCofins[[#This Row],[CodBarras2]],2,50)</f>
        <v/>
      </c>
    </row>
    <row r="19054" spans="9:9" x14ac:dyDescent="0.25">
      <c r="I19054" s="227" t="str">
        <f>MID(excPisCofins[[#This Row],[CodBarras2]],2,50)</f>
        <v/>
      </c>
    </row>
    <row r="19055" spans="9:9" x14ac:dyDescent="0.25">
      <c r="I19055" s="227" t="str">
        <f>MID(excPisCofins[[#This Row],[CodBarras2]],2,50)</f>
        <v/>
      </c>
    </row>
    <row r="19056" spans="9:9" x14ac:dyDescent="0.25">
      <c r="I19056" s="227" t="str">
        <f>MID(excPisCofins[[#This Row],[CodBarras2]],2,50)</f>
        <v/>
      </c>
    </row>
    <row r="19057" spans="9:9" x14ac:dyDescent="0.25">
      <c r="I19057" s="227" t="str">
        <f>MID(excPisCofins[[#This Row],[CodBarras2]],2,50)</f>
        <v/>
      </c>
    </row>
    <row r="19058" spans="9:9" x14ac:dyDescent="0.25">
      <c r="I19058" s="227" t="str">
        <f>MID(excPisCofins[[#This Row],[CodBarras2]],2,50)</f>
        <v/>
      </c>
    </row>
    <row r="19059" spans="9:9" x14ac:dyDescent="0.25">
      <c r="I19059" s="227" t="str">
        <f>MID(excPisCofins[[#This Row],[CodBarras2]],2,50)</f>
        <v/>
      </c>
    </row>
    <row r="19060" spans="9:9" x14ac:dyDescent="0.25">
      <c r="I19060" s="227" t="str">
        <f>MID(excPisCofins[[#This Row],[CodBarras2]],2,50)</f>
        <v/>
      </c>
    </row>
    <row r="19061" spans="9:9" x14ac:dyDescent="0.25">
      <c r="I19061" s="227" t="str">
        <f>MID(excPisCofins[[#This Row],[CodBarras2]],2,50)</f>
        <v/>
      </c>
    </row>
    <row r="19062" spans="9:9" x14ac:dyDescent="0.25">
      <c r="I19062" s="227" t="str">
        <f>MID(excPisCofins[[#This Row],[CodBarras2]],2,50)</f>
        <v/>
      </c>
    </row>
    <row r="19063" spans="9:9" x14ac:dyDescent="0.25">
      <c r="I19063" s="227" t="str">
        <f>MID(excPisCofins[[#This Row],[CodBarras2]],2,50)</f>
        <v/>
      </c>
    </row>
    <row r="19064" spans="9:9" x14ac:dyDescent="0.25">
      <c r="I19064" s="227" t="str">
        <f>MID(excPisCofins[[#This Row],[CodBarras2]],2,50)</f>
        <v/>
      </c>
    </row>
    <row r="19065" spans="9:9" x14ac:dyDescent="0.25">
      <c r="I19065" s="227" t="str">
        <f>MID(excPisCofins[[#This Row],[CodBarras2]],2,50)</f>
        <v/>
      </c>
    </row>
    <row r="19066" spans="9:9" x14ac:dyDescent="0.25">
      <c r="I19066" s="227" t="str">
        <f>MID(excPisCofins[[#This Row],[CodBarras2]],2,50)</f>
        <v/>
      </c>
    </row>
    <row r="19067" spans="9:9" x14ac:dyDescent="0.25">
      <c r="I19067" s="227" t="str">
        <f>MID(excPisCofins[[#This Row],[CodBarras2]],2,50)</f>
        <v/>
      </c>
    </row>
    <row r="19068" spans="9:9" x14ac:dyDescent="0.25">
      <c r="I19068" s="227" t="str">
        <f>MID(excPisCofins[[#This Row],[CodBarras2]],2,50)</f>
        <v/>
      </c>
    </row>
    <row r="19069" spans="9:9" x14ac:dyDescent="0.25">
      <c r="I19069" s="227" t="str">
        <f>MID(excPisCofins[[#This Row],[CodBarras2]],2,50)</f>
        <v/>
      </c>
    </row>
    <row r="19070" spans="9:9" x14ac:dyDescent="0.25">
      <c r="I19070" s="227" t="str">
        <f>MID(excPisCofins[[#This Row],[CodBarras2]],2,50)</f>
        <v/>
      </c>
    </row>
    <row r="19071" spans="9:9" x14ac:dyDescent="0.25">
      <c r="I19071" s="227" t="str">
        <f>MID(excPisCofins[[#This Row],[CodBarras2]],2,50)</f>
        <v/>
      </c>
    </row>
    <row r="19072" spans="9:9" x14ac:dyDescent="0.25">
      <c r="I19072" s="227" t="str">
        <f>MID(excPisCofins[[#This Row],[CodBarras2]],2,50)</f>
        <v/>
      </c>
    </row>
    <row r="19073" spans="9:9" x14ac:dyDescent="0.25">
      <c r="I19073" s="227" t="str">
        <f>MID(excPisCofins[[#This Row],[CodBarras2]],2,50)</f>
        <v/>
      </c>
    </row>
    <row r="19074" spans="9:9" x14ac:dyDescent="0.25">
      <c r="I19074" s="227" t="str">
        <f>MID(excPisCofins[[#This Row],[CodBarras2]],2,50)</f>
        <v/>
      </c>
    </row>
    <row r="19075" spans="9:9" x14ac:dyDescent="0.25">
      <c r="I19075" s="227" t="str">
        <f>MID(excPisCofins[[#This Row],[CodBarras2]],2,50)</f>
        <v/>
      </c>
    </row>
    <row r="19076" spans="9:9" x14ac:dyDescent="0.25">
      <c r="I19076" s="227" t="str">
        <f>MID(excPisCofins[[#This Row],[CodBarras2]],2,50)</f>
        <v/>
      </c>
    </row>
    <row r="19077" spans="9:9" x14ac:dyDescent="0.25">
      <c r="I19077" s="227" t="str">
        <f>MID(excPisCofins[[#This Row],[CodBarras2]],2,50)</f>
        <v/>
      </c>
    </row>
    <row r="19078" spans="9:9" x14ac:dyDescent="0.25">
      <c r="I19078" s="227" t="str">
        <f>MID(excPisCofins[[#This Row],[CodBarras2]],2,50)</f>
        <v/>
      </c>
    </row>
    <row r="19079" spans="9:9" x14ac:dyDescent="0.25">
      <c r="I19079" s="227" t="str">
        <f>MID(excPisCofins[[#This Row],[CodBarras2]],2,50)</f>
        <v/>
      </c>
    </row>
    <row r="19080" spans="9:9" x14ac:dyDescent="0.25">
      <c r="I19080" s="227" t="str">
        <f>MID(excPisCofins[[#This Row],[CodBarras2]],2,50)</f>
        <v/>
      </c>
    </row>
    <row r="19081" spans="9:9" x14ac:dyDescent="0.25">
      <c r="I19081" s="227" t="str">
        <f>MID(excPisCofins[[#This Row],[CodBarras2]],2,50)</f>
        <v/>
      </c>
    </row>
    <row r="19082" spans="9:9" x14ac:dyDescent="0.25">
      <c r="I19082" s="227" t="str">
        <f>MID(excPisCofins[[#This Row],[CodBarras2]],2,50)</f>
        <v/>
      </c>
    </row>
    <row r="19083" spans="9:9" x14ac:dyDescent="0.25">
      <c r="I19083" s="227" t="str">
        <f>MID(excPisCofins[[#This Row],[CodBarras2]],2,50)</f>
        <v/>
      </c>
    </row>
    <row r="19084" spans="9:9" x14ac:dyDescent="0.25">
      <c r="I19084" s="227" t="str">
        <f>MID(excPisCofins[[#This Row],[CodBarras2]],2,50)</f>
        <v/>
      </c>
    </row>
    <row r="19085" spans="9:9" x14ac:dyDescent="0.25">
      <c r="I19085" s="227" t="str">
        <f>MID(excPisCofins[[#This Row],[CodBarras2]],2,50)</f>
        <v/>
      </c>
    </row>
    <row r="19086" spans="9:9" x14ac:dyDescent="0.25">
      <c r="I19086" s="227" t="str">
        <f>MID(excPisCofins[[#This Row],[CodBarras2]],2,50)</f>
        <v/>
      </c>
    </row>
    <row r="19087" spans="9:9" x14ac:dyDescent="0.25">
      <c r="I19087" s="227" t="str">
        <f>MID(excPisCofins[[#This Row],[CodBarras2]],2,50)</f>
        <v/>
      </c>
    </row>
    <row r="19088" spans="9:9" x14ac:dyDescent="0.25">
      <c r="I19088" s="227" t="str">
        <f>MID(excPisCofins[[#This Row],[CodBarras2]],2,50)</f>
        <v/>
      </c>
    </row>
    <row r="19089" spans="9:9" x14ac:dyDescent="0.25">
      <c r="I19089" s="227" t="str">
        <f>MID(excPisCofins[[#This Row],[CodBarras2]],2,50)</f>
        <v/>
      </c>
    </row>
    <row r="19090" spans="9:9" x14ac:dyDescent="0.25">
      <c r="I19090" s="227" t="str">
        <f>MID(excPisCofins[[#This Row],[CodBarras2]],2,50)</f>
        <v/>
      </c>
    </row>
    <row r="19091" spans="9:9" x14ac:dyDescent="0.25">
      <c r="I19091" s="227" t="str">
        <f>MID(excPisCofins[[#This Row],[CodBarras2]],2,50)</f>
        <v/>
      </c>
    </row>
    <row r="19092" spans="9:9" x14ac:dyDescent="0.25">
      <c r="I19092" s="227" t="str">
        <f>MID(excPisCofins[[#This Row],[CodBarras2]],2,50)</f>
        <v/>
      </c>
    </row>
    <row r="19093" spans="9:9" x14ac:dyDescent="0.25">
      <c r="I19093" s="227" t="str">
        <f>MID(excPisCofins[[#This Row],[CodBarras2]],2,50)</f>
        <v/>
      </c>
    </row>
    <row r="19094" spans="9:9" x14ac:dyDescent="0.25">
      <c r="I19094" s="227" t="str">
        <f>MID(excPisCofins[[#This Row],[CodBarras2]],2,50)</f>
        <v/>
      </c>
    </row>
    <row r="19095" spans="9:9" x14ac:dyDescent="0.25">
      <c r="I19095" s="227" t="str">
        <f>MID(excPisCofins[[#This Row],[CodBarras2]],2,50)</f>
        <v/>
      </c>
    </row>
    <row r="19096" spans="9:9" x14ac:dyDescent="0.25">
      <c r="I19096" s="227" t="str">
        <f>MID(excPisCofins[[#This Row],[CodBarras2]],2,50)</f>
        <v/>
      </c>
    </row>
    <row r="19097" spans="9:9" x14ac:dyDescent="0.25">
      <c r="I19097" s="227" t="str">
        <f>MID(excPisCofins[[#This Row],[CodBarras2]],2,50)</f>
        <v/>
      </c>
    </row>
    <row r="19098" spans="9:9" x14ac:dyDescent="0.25">
      <c r="I19098" s="227" t="str">
        <f>MID(excPisCofins[[#This Row],[CodBarras2]],2,50)</f>
        <v/>
      </c>
    </row>
    <row r="19099" spans="9:9" x14ac:dyDescent="0.25">
      <c r="I19099" s="227" t="str">
        <f>MID(excPisCofins[[#This Row],[CodBarras2]],2,50)</f>
        <v/>
      </c>
    </row>
    <row r="19100" spans="9:9" x14ac:dyDescent="0.25">
      <c r="I19100" s="227" t="str">
        <f>MID(excPisCofins[[#This Row],[CodBarras2]],2,50)</f>
        <v/>
      </c>
    </row>
    <row r="19101" spans="9:9" x14ac:dyDescent="0.25">
      <c r="I19101" s="227" t="str">
        <f>MID(excPisCofins[[#This Row],[CodBarras2]],2,50)</f>
        <v/>
      </c>
    </row>
    <row r="19102" spans="9:9" x14ac:dyDescent="0.25">
      <c r="I19102" s="227" t="str">
        <f>MID(excPisCofins[[#This Row],[CodBarras2]],2,50)</f>
        <v/>
      </c>
    </row>
    <row r="19103" spans="9:9" x14ac:dyDescent="0.25">
      <c r="I19103" s="227" t="str">
        <f>MID(excPisCofins[[#This Row],[CodBarras2]],2,50)</f>
        <v/>
      </c>
    </row>
    <row r="19104" spans="9:9" x14ac:dyDescent="0.25">
      <c r="I19104" s="227" t="str">
        <f>MID(excPisCofins[[#This Row],[CodBarras2]],2,50)</f>
        <v/>
      </c>
    </row>
    <row r="19105" spans="9:9" x14ac:dyDescent="0.25">
      <c r="I19105" s="227" t="str">
        <f>MID(excPisCofins[[#This Row],[CodBarras2]],2,50)</f>
        <v/>
      </c>
    </row>
    <row r="19106" spans="9:9" x14ac:dyDescent="0.25">
      <c r="I19106" s="227" t="str">
        <f>MID(excPisCofins[[#This Row],[CodBarras2]],2,50)</f>
        <v/>
      </c>
    </row>
    <row r="19107" spans="9:9" x14ac:dyDescent="0.25">
      <c r="I19107" s="227" t="str">
        <f>MID(excPisCofins[[#This Row],[CodBarras2]],2,50)</f>
        <v/>
      </c>
    </row>
    <row r="19108" spans="9:9" x14ac:dyDescent="0.25">
      <c r="I19108" s="227" t="str">
        <f>MID(excPisCofins[[#This Row],[CodBarras2]],2,50)</f>
        <v/>
      </c>
    </row>
    <row r="19109" spans="9:9" x14ac:dyDescent="0.25">
      <c r="I19109" s="227" t="str">
        <f>MID(excPisCofins[[#This Row],[CodBarras2]],2,50)</f>
        <v/>
      </c>
    </row>
    <row r="19110" spans="9:9" x14ac:dyDescent="0.25">
      <c r="I19110" s="227" t="str">
        <f>MID(excPisCofins[[#This Row],[CodBarras2]],2,50)</f>
        <v/>
      </c>
    </row>
    <row r="19111" spans="9:9" x14ac:dyDescent="0.25">
      <c r="I19111" s="227" t="str">
        <f>MID(excPisCofins[[#This Row],[CodBarras2]],2,50)</f>
        <v/>
      </c>
    </row>
    <row r="19112" spans="9:9" x14ac:dyDescent="0.25">
      <c r="I19112" s="227" t="str">
        <f>MID(excPisCofins[[#This Row],[CodBarras2]],2,50)</f>
        <v/>
      </c>
    </row>
    <row r="19113" spans="9:9" x14ac:dyDescent="0.25">
      <c r="I19113" s="227" t="str">
        <f>MID(excPisCofins[[#This Row],[CodBarras2]],2,50)</f>
        <v/>
      </c>
    </row>
    <row r="19114" spans="9:9" x14ac:dyDescent="0.25">
      <c r="I19114" s="227" t="str">
        <f>MID(excPisCofins[[#This Row],[CodBarras2]],2,50)</f>
        <v/>
      </c>
    </row>
    <row r="19115" spans="9:9" x14ac:dyDescent="0.25">
      <c r="I19115" s="227" t="str">
        <f>MID(excPisCofins[[#This Row],[CodBarras2]],2,50)</f>
        <v/>
      </c>
    </row>
    <row r="19116" spans="9:9" x14ac:dyDescent="0.25">
      <c r="I19116" s="227" t="str">
        <f>MID(excPisCofins[[#This Row],[CodBarras2]],2,50)</f>
        <v/>
      </c>
    </row>
    <row r="19117" spans="9:9" x14ac:dyDescent="0.25">
      <c r="I19117" s="227" t="str">
        <f>MID(excPisCofins[[#This Row],[CodBarras2]],2,50)</f>
        <v/>
      </c>
    </row>
    <row r="19118" spans="9:9" x14ac:dyDescent="0.25">
      <c r="I19118" s="227" t="str">
        <f>MID(excPisCofins[[#This Row],[CodBarras2]],2,50)</f>
        <v/>
      </c>
    </row>
    <row r="19119" spans="9:9" x14ac:dyDescent="0.25">
      <c r="I19119" s="227" t="str">
        <f>MID(excPisCofins[[#This Row],[CodBarras2]],2,50)</f>
        <v/>
      </c>
    </row>
    <row r="19120" spans="9:9" x14ac:dyDescent="0.25">
      <c r="I19120" s="227" t="str">
        <f>MID(excPisCofins[[#This Row],[CodBarras2]],2,50)</f>
        <v/>
      </c>
    </row>
    <row r="19121" spans="9:9" x14ac:dyDescent="0.25">
      <c r="I19121" s="227" t="str">
        <f>MID(excPisCofins[[#This Row],[CodBarras2]],2,50)</f>
        <v/>
      </c>
    </row>
    <row r="19122" spans="9:9" x14ac:dyDescent="0.25">
      <c r="I19122" s="227" t="str">
        <f>MID(excPisCofins[[#This Row],[CodBarras2]],2,50)</f>
        <v/>
      </c>
    </row>
    <row r="19123" spans="9:9" x14ac:dyDescent="0.25">
      <c r="I19123" s="227" t="str">
        <f>MID(excPisCofins[[#This Row],[CodBarras2]],2,50)</f>
        <v/>
      </c>
    </row>
    <row r="19124" spans="9:9" x14ac:dyDescent="0.25">
      <c r="I19124" s="227" t="str">
        <f>MID(excPisCofins[[#This Row],[CodBarras2]],2,50)</f>
        <v/>
      </c>
    </row>
    <row r="19125" spans="9:9" x14ac:dyDescent="0.25">
      <c r="I19125" s="227" t="str">
        <f>MID(excPisCofins[[#This Row],[CodBarras2]],2,50)</f>
        <v/>
      </c>
    </row>
    <row r="19126" spans="9:9" x14ac:dyDescent="0.25">
      <c r="I19126" s="227" t="str">
        <f>MID(excPisCofins[[#This Row],[CodBarras2]],2,50)</f>
        <v/>
      </c>
    </row>
    <row r="19127" spans="9:9" x14ac:dyDescent="0.25">
      <c r="I19127" s="227" t="str">
        <f>MID(excPisCofins[[#This Row],[CodBarras2]],2,50)</f>
        <v/>
      </c>
    </row>
    <row r="19128" spans="9:9" x14ac:dyDescent="0.25">
      <c r="I19128" s="227" t="str">
        <f>MID(excPisCofins[[#This Row],[CodBarras2]],2,50)</f>
        <v/>
      </c>
    </row>
    <row r="19129" spans="9:9" x14ac:dyDescent="0.25">
      <c r="I19129" s="227" t="str">
        <f>MID(excPisCofins[[#This Row],[CodBarras2]],2,50)</f>
        <v/>
      </c>
    </row>
    <row r="19130" spans="9:9" x14ac:dyDescent="0.25">
      <c r="I19130" s="227" t="str">
        <f>MID(excPisCofins[[#This Row],[CodBarras2]],2,50)</f>
        <v/>
      </c>
    </row>
    <row r="19131" spans="9:9" x14ac:dyDescent="0.25">
      <c r="I19131" s="227" t="str">
        <f>MID(excPisCofins[[#This Row],[CodBarras2]],2,50)</f>
        <v/>
      </c>
    </row>
    <row r="19132" spans="9:9" x14ac:dyDescent="0.25">
      <c r="I19132" s="227" t="str">
        <f>MID(excPisCofins[[#This Row],[CodBarras2]],2,50)</f>
        <v/>
      </c>
    </row>
    <row r="19133" spans="9:9" x14ac:dyDescent="0.25">
      <c r="I19133" s="227" t="str">
        <f>MID(excPisCofins[[#This Row],[CodBarras2]],2,50)</f>
        <v/>
      </c>
    </row>
    <row r="19134" spans="9:9" x14ac:dyDescent="0.25">
      <c r="I19134" s="227" t="str">
        <f>MID(excPisCofins[[#This Row],[CodBarras2]],2,50)</f>
        <v/>
      </c>
    </row>
    <row r="19135" spans="9:9" x14ac:dyDescent="0.25">
      <c r="I19135" s="227" t="str">
        <f>MID(excPisCofins[[#This Row],[CodBarras2]],2,50)</f>
        <v/>
      </c>
    </row>
    <row r="19136" spans="9:9" x14ac:dyDescent="0.25">
      <c r="I19136" s="227" t="str">
        <f>MID(excPisCofins[[#This Row],[CodBarras2]],2,50)</f>
        <v/>
      </c>
    </row>
    <row r="19137" spans="9:9" x14ac:dyDescent="0.25">
      <c r="I19137" s="227" t="str">
        <f>MID(excPisCofins[[#This Row],[CodBarras2]],2,50)</f>
        <v/>
      </c>
    </row>
    <row r="19138" spans="9:9" x14ac:dyDescent="0.25">
      <c r="I19138" s="227" t="str">
        <f>MID(excPisCofins[[#This Row],[CodBarras2]],2,50)</f>
        <v/>
      </c>
    </row>
    <row r="19139" spans="9:9" x14ac:dyDescent="0.25">
      <c r="I19139" s="227" t="str">
        <f>MID(excPisCofins[[#This Row],[CodBarras2]],2,50)</f>
        <v/>
      </c>
    </row>
    <row r="19140" spans="9:9" x14ac:dyDescent="0.25">
      <c r="I19140" s="227" t="str">
        <f>MID(excPisCofins[[#This Row],[CodBarras2]],2,50)</f>
        <v/>
      </c>
    </row>
    <row r="19141" spans="9:9" x14ac:dyDescent="0.25">
      <c r="I19141" s="227" t="str">
        <f>MID(excPisCofins[[#This Row],[CodBarras2]],2,50)</f>
        <v/>
      </c>
    </row>
    <row r="19142" spans="9:9" x14ac:dyDescent="0.25">
      <c r="I19142" s="227" t="str">
        <f>MID(excPisCofins[[#This Row],[CodBarras2]],2,50)</f>
        <v/>
      </c>
    </row>
    <row r="19143" spans="9:9" x14ac:dyDescent="0.25">
      <c r="I19143" s="227" t="str">
        <f>MID(excPisCofins[[#This Row],[CodBarras2]],2,50)</f>
        <v/>
      </c>
    </row>
    <row r="19144" spans="9:9" x14ac:dyDescent="0.25">
      <c r="I19144" s="227" t="str">
        <f>MID(excPisCofins[[#This Row],[CodBarras2]],2,50)</f>
        <v/>
      </c>
    </row>
    <row r="19145" spans="9:9" x14ac:dyDescent="0.25">
      <c r="I19145" s="227" t="str">
        <f>MID(excPisCofins[[#This Row],[CodBarras2]],2,50)</f>
        <v/>
      </c>
    </row>
    <row r="19146" spans="9:9" x14ac:dyDescent="0.25">
      <c r="I19146" s="227" t="str">
        <f>MID(excPisCofins[[#This Row],[CodBarras2]],2,50)</f>
        <v/>
      </c>
    </row>
    <row r="19147" spans="9:9" x14ac:dyDescent="0.25">
      <c r="I19147" s="227" t="str">
        <f>MID(excPisCofins[[#This Row],[CodBarras2]],2,50)</f>
        <v/>
      </c>
    </row>
    <row r="19148" spans="9:9" x14ac:dyDescent="0.25">
      <c r="I19148" s="227" t="str">
        <f>MID(excPisCofins[[#This Row],[CodBarras2]],2,50)</f>
        <v/>
      </c>
    </row>
    <row r="19149" spans="9:9" x14ac:dyDescent="0.25">
      <c r="I19149" s="227" t="str">
        <f>MID(excPisCofins[[#This Row],[CodBarras2]],2,50)</f>
        <v/>
      </c>
    </row>
    <row r="19150" spans="9:9" x14ac:dyDescent="0.25">
      <c r="I19150" s="227" t="str">
        <f>MID(excPisCofins[[#This Row],[CodBarras2]],2,50)</f>
        <v/>
      </c>
    </row>
    <row r="19151" spans="9:9" x14ac:dyDescent="0.25">
      <c r="I19151" s="227" t="str">
        <f>MID(excPisCofins[[#This Row],[CodBarras2]],2,50)</f>
        <v/>
      </c>
    </row>
    <row r="19152" spans="9:9" x14ac:dyDescent="0.25">
      <c r="I19152" s="227" t="str">
        <f>MID(excPisCofins[[#This Row],[CodBarras2]],2,50)</f>
        <v/>
      </c>
    </row>
    <row r="19153" spans="9:9" x14ac:dyDescent="0.25">
      <c r="I19153" s="227" t="str">
        <f>MID(excPisCofins[[#This Row],[CodBarras2]],2,50)</f>
        <v/>
      </c>
    </row>
    <row r="19154" spans="9:9" x14ac:dyDescent="0.25">
      <c r="I19154" s="227" t="str">
        <f>MID(excPisCofins[[#This Row],[CodBarras2]],2,50)</f>
        <v/>
      </c>
    </row>
    <row r="19155" spans="9:9" x14ac:dyDescent="0.25">
      <c r="I19155" s="227" t="str">
        <f>MID(excPisCofins[[#This Row],[CodBarras2]],2,50)</f>
        <v/>
      </c>
    </row>
    <row r="19156" spans="9:9" x14ac:dyDescent="0.25">
      <c r="I19156" s="227" t="str">
        <f>MID(excPisCofins[[#This Row],[CodBarras2]],2,50)</f>
        <v/>
      </c>
    </row>
    <row r="19157" spans="9:9" x14ac:dyDescent="0.25">
      <c r="I19157" s="227" t="str">
        <f>MID(excPisCofins[[#This Row],[CodBarras2]],2,50)</f>
        <v/>
      </c>
    </row>
    <row r="19158" spans="9:9" x14ac:dyDescent="0.25">
      <c r="I19158" s="227" t="str">
        <f>MID(excPisCofins[[#This Row],[CodBarras2]],2,50)</f>
        <v/>
      </c>
    </row>
    <row r="19159" spans="9:9" x14ac:dyDescent="0.25">
      <c r="I19159" s="227" t="str">
        <f>MID(excPisCofins[[#This Row],[CodBarras2]],2,50)</f>
        <v/>
      </c>
    </row>
    <row r="19160" spans="9:9" x14ac:dyDescent="0.25">
      <c r="I19160" s="227" t="str">
        <f>MID(excPisCofins[[#This Row],[CodBarras2]],2,50)</f>
        <v/>
      </c>
    </row>
    <row r="19161" spans="9:9" x14ac:dyDescent="0.25">
      <c r="I19161" s="227" t="str">
        <f>MID(excPisCofins[[#This Row],[CodBarras2]],2,50)</f>
        <v/>
      </c>
    </row>
    <row r="19162" spans="9:9" x14ac:dyDescent="0.25">
      <c r="I19162" s="227" t="str">
        <f>MID(excPisCofins[[#This Row],[CodBarras2]],2,50)</f>
        <v/>
      </c>
    </row>
    <row r="19163" spans="9:9" x14ac:dyDescent="0.25">
      <c r="I19163" s="227" t="str">
        <f>MID(excPisCofins[[#This Row],[CodBarras2]],2,50)</f>
        <v/>
      </c>
    </row>
    <row r="19164" spans="9:9" x14ac:dyDescent="0.25">
      <c r="I19164" s="227" t="str">
        <f>MID(excPisCofins[[#This Row],[CodBarras2]],2,50)</f>
        <v/>
      </c>
    </row>
    <row r="19165" spans="9:9" x14ac:dyDescent="0.25">
      <c r="I19165" s="227" t="str">
        <f>MID(excPisCofins[[#This Row],[CodBarras2]],2,50)</f>
        <v/>
      </c>
    </row>
    <row r="19166" spans="9:9" x14ac:dyDescent="0.25">
      <c r="I19166" s="227" t="str">
        <f>MID(excPisCofins[[#This Row],[CodBarras2]],2,50)</f>
        <v/>
      </c>
    </row>
    <row r="19167" spans="9:9" x14ac:dyDescent="0.25">
      <c r="I19167" s="227" t="str">
        <f>MID(excPisCofins[[#This Row],[CodBarras2]],2,50)</f>
        <v/>
      </c>
    </row>
    <row r="19168" spans="9:9" x14ac:dyDescent="0.25">
      <c r="I19168" s="227" t="str">
        <f>MID(excPisCofins[[#This Row],[CodBarras2]],2,50)</f>
        <v/>
      </c>
    </row>
    <row r="19169" spans="9:9" x14ac:dyDescent="0.25">
      <c r="I19169" s="227" t="str">
        <f>MID(excPisCofins[[#This Row],[CodBarras2]],2,50)</f>
        <v/>
      </c>
    </row>
    <row r="19170" spans="9:9" x14ac:dyDescent="0.25">
      <c r="I19170" s="227" t="str">
        <f>MID(excPisCofins[[#This Row],[CodBarras2]],2,50)</f>
        <v/>
      </c>
    </row>
    <row r="19171" spans="9:9" x14ac:dyDescent="0.25">
      <c r="I19171" s="227" t="str">
        <f>MID(excPisCofins[[#This Row],[CodBarras2]],2,50)</f>
        <v/>
      </c>
    </row>
    <row r="19172" spans="9:9" x14ac:dyDescent="0.25">
      <c r="I19172" s="227" t="str">
        <f>MID(excPisCofins[[#This Row],[CodBarras2]],2,50)</f>
        <v/>
      </c>
    </row>
    <row r="19173" spans="9:9" x14ac:dyDescent="0.25">
      <c r="I19173" s="227" t="str">
        <f>MID(excPisCofins[[#This Row],[CodBarras2]],2,50)</f>
        <v/>
      </c>
    </row>
    <row r="19174" spans="9:9" x14ac:dyDescent="0.25">
      <c r="I19174" s="227" t="str">
        <f>MID(excPisCofins[[#This Row],[CodBarras2]],2,50)</f>
        <v/>
      </c>
    </row>
    <row r="19175" spans="9:9" x14ac:dyDescent="0.25">
      <c r="I19175" s="227" t="str">
        <f>MID(excPisCofins[[#This Row],[CodBarras2]],2,50)</f>
        <v/>
      </c>
    </row>
    <row r="19176" spans="9:9" x14ac:dyDescent="0.25">
      <c r="I19176" s="227" t="str">
        <f>MID(excPisCofins[[#This Row],[CodBarras2]],2,50)</f>
        <v/>
      </c>
    </row>
    <row r="19177" spans="9:9" x14ac:dyDescent="0.25">
      <c r="I19177" s="227" t="str">
        <f>MID(excPisCofins[[#This Row],[CodBarras2]],2,50)</f>
        <v/>
      </c>
    </row>
    <row r="19178" spans="9:9" x14ac:dyDescent="0.25">
      <c r="I19178" s="227" t="str">
        <f>MID(excPisCofins[[#This Row],[CodBarras2]],2,50)</f>
        <v/>
      </c>
    </row>
    <row r="19179" spans="9:9" x14ac:dyDescent="0.25">
      <c r="I19179" s="227" t="str">
        <f>MID(excPisCofins[[#This Row],[CodBarras2]],2,50)</f>
        <v/>
      </c>
    </row>
    <row r="19180" spans="9:9" x14ac:dyDescent="0.25">
      <c r="I19180" s="227" t="str">
        <f>MID(excPisCofins[[#This Row],[CodBarras2]],2,50)</f>
        <v/>
      </c>
    </row>
    <row r="19181" spans="9:9" x14ac:dyDescent="0.25">
      <c r="I19181" s="227" t="str">
        <f>MID(excPisCofins[[#This Row],[CodBarras2]],2,50)</f>
        <v/>
      </c>
    </row>
    <row r="19182" spans="9:9" x14ac:dyDescent="0.25">
      <c r="I19182" s="227" t="str">
        <f>MID(excPisCofins[[#This Row],[CodBarras2]],2,50)</f>
        <v/>
      </c>
    </row>
    <row r="19183" spans="9:9" x14ac:dyDescent="0.25">
      <c r="I19183" s="227" t="str">
        <f>MID(excPisCofins[[#This Row],[CodBarras2]],2,50)</f>
        <v/>
      </c>
    </row>
    <row r="19184" spans="9:9" x14ac:dyDescent="0.25">
      <c r="I19184" s="227" t="str">
        <f>MID(excPisCofins[[#This Row],[CodBarras2]],2,50)</f>
        <v/>
      </c>
    </row>
    <row r="19185" spans="9:9" x14ac:dyDescent="0.25">
      <c r="I19185" s="227" t="str">
        <f>MID(excPisCofins[[#This Row],[CodBarras2]],2,50)</f>
        <v/>
      </c>
    </row>
    <row r="19186" spans="9:9" x14ac:dyDescent="0.25">
      <c r="I19186" s="227" t="str">
        <f>MID(excPisCofins[[#This Row],[CodBarras2]],2,50)</f>
        <v/>
      </c>
    </row>
    <row r="19187" spans="9:9" x14ac:dyDescent="0.25">
      <c r="I19187" s="227" t="str">
        <f>MID(excPisCofins[[#This Row],[CodBarras2]],2,50)</f>
        <v/>
      </c>
    </row>
    <row r="19188" spans="9:9" x14ac:dyDescent="0.25">
      <c r="I19188" s="227" t="str">
        <f>MID(excPisCofins[[#This Row],[CodBarras2]],2,50)</f>
        <v/>
      </c>
    </row>
    <row r="19189" spans="9:9" x14ac:dyDescent="0.25">
      <c r="I19189" s="227" t="str">
        <f>MID(excPisCofins[[#This Row],[CodBarras2]],2,50)</f>
        <v/>
      </c>
    </row>
    <row r="19190" spans="9:9" x14ac:dyDescent="0.25">
      <c r="I19190" s="227" t="str">
        <f>MID(excPisCofins[[#This Row],[CodBarras2]],2,50)</f>
        <v/>
      </c>
    </row>
    <row r="19191" spans="9:9" x14ac:dyDescent="0.25">
      <c r="I19191" s="227" t="str">
        <f>MID(excPisCofins[[#This Row],[CodBarras2]],2,50)</f>
        <v/>
      </c>
    </row>
    <row r="19192" spans="9:9" x14ac:dyDescent="0.25">
      <c r="I19192" s="227" t="str">
        <f>MID(excPisCofins[[#This Row],[CodBarras2]],2,50)</f>
        <v/>
      </c>
    </row>
    <row r="19193" spans="9:9" x14ac:dyDescent="0.25">
      <c r="I19193" s="227" t="str">
        <f>MID(excPisCofins[[#This Row],[CodBarras2]],2,50)</f>
        <v/>
      </c>
    </row>
    <row r="19194" spans="9:9" x14ac:dyDescent="0.25">
      <c r="I19194" s="227" t="str">
        <f>MID(excPisCofins[[#This Row],[CodBarras2]],2,50)</f>
        <v/>
      </c>
    </row>
    <row r="19195" spans="9:9" x14ac:dyDescent="0.25">
      <c r="I19195" s="227" t="str">
        <f>MID(excPisCofins[[#This Row],[CodBarras2]],2,50)</f>
        <v/>
      </c>
    </row>
    <row r="19196" spans="9:9" x14ac:dyDescent="0.25">
      <c r="I19196" s="227" t="str">
        <f>MID(excPisCofins[[#This Row],[CodBarras2]],2,50)</f>
        <v/>
      </c>
    </row>
    <row r="19197" spans="9:9" x14ac:dyDescent="0.25">
      <c r="I19197" s="227" t="str">
        <f>MID(excPisCofins[[#This Row],[CodBarras2]],2,50)</f>
        <v/>
      </c>
    </row>
    <row r="19198" spans="9:9" x14ac:dyDescent="0.25">
      <c r="I19198" s="227" t="str">
        <f>MID(excPisCofins[[#This Row],[CodBarras2]],2,50)</f>
        <v/>
      </c>
    </row>
    <row r="19199" spans="9:9" x14ac:dyDescent="0.25">
      <c r="I19199" s="227" t="str">
        <f>MID(excPisCofins[[#This Row],[CodBarras2]],2,50)</f>
        <v/>
      </c>
    </row>
    <row r="19200" spans="9:9" x14ac:dyDescent="0.25">
      <c r="I19200" s="227" t="str">
        <f>MID(excPisCofins[[#This Row],[CodBarras2]],2,50)</f>
        <v/>
      </c>
    </row>
    <row r="19201" spans="9:9" x14ac:dyDescent="0.25">
      <c r="I19201" s="227" t="str">
        <f>MID(excPisCofins[[#This Row],[CodBarras2]],2,50)</f>
        <v/>
      </c>
    </row>
    <row r="19202" spans="9:9" x14ac:dyDescent="0.25">
      <c r="I19202" s="227" t="str">
        <f>MID(excPisCofins[[#This Row],[CodBarras2]],2,50)</f>
        <v/>
      </c>
    </row>
    <row r="19203" spans="9:9" x14ac:dyDescent="0.25">
      <c r="I19203" s="227" t="str">
        <f>MID(excPisCofins[[#This Row],[CodBarras2]],2,50)</f>
        <v/>
      </c>
    </row>
    <row r="19204" spans="9:9" x14ac:dyDescent="0.25">
      <c r="I19204" s="227" t="str">
        <f>MID(excPisCofins[[#This Row],[CodBarras2]],2,50)</f>
        <v/>
      </c>
    </row>
    <row r="19205" spans="9:9" x14ac:dyDescent="0.25">
      <c r="I19205" s="227" t="str">
        <f>MID(excPisCofins[[#This Row],[CodBarras2]],2,50)</f>
        <v/>
      </c>
    </row>
    <row r="19206" spans="9:9" x14ac:dyDescent="0.25">
      <c r="I19206" s="227" t="str">
        <f>MID(excPisCofins[[#This Row],[CodBarras2]],2,50)</f>
        <v/>
      </c>
    </row>
    <row r="19207" spans="9:9" x14ac:dyDescent="0.25">
      <c r="I19207" s="227" t="str">
        <f>MID(excPisCofins[[#This Row],[CodBarras2]],2,50)</f>
        <v/>
      </c>
    </row>
    <row r="19208" spans="9:9" x14ac:dyDescent="0.25">
      <c r="I19208" s="227" t="str">
        <f>MID(excPisCofins[[#This Row],[CodBarras2]],2,50)</f>
        <v/>
      </c>
    </row>
    <row r="19209" spans="9:9" x14ac:dyDescent="0.25">
      <c r="I19209" s="227" t="str">
        <f>MID(excPisCofins[[#This Row],[CodBarras2]],2,50)</f>
        <v/>
      </c>
    </row>
    <row r="19210" spans="9:9" x14ac:dyDescent="0.25">
      <c r="I19210" s="227" t="str">
        <f>MID(excPisCofins[[#This Row],[CodBarras2]],2,50)</f>
        <v/>
      </c>
    </row>
    <row r="19211" spans="9:9" x14ac:dyDescent="0.25">
      <c r="I19211" s="227" t="str">
        <f>MID(excPisCofins[[#This Row],[CodBarras2]],2,50)</f>
        <v/>
      </c>
    </row>
    <row r="19212" spans="9:9" x14ac:dyDescent="0.25">
      <c r="I19212" s="227" t="str">
        <f>MID(excPisCofins[[#This Row],[CodBarras2]],2,50)</f>
        <v/>
      </c>
    </row>
    <row r="19213" spans="9:9" x14ac:dyDescent="0.25">
      <c r="I19213" s="227" t="str">
        <f>MID(excPisCofins[[#This Row],[CodBarras2]],2,50)</f>
        <v/>
      </c>
    </row>
    <row r="19214" spans="9:9" x14ac:dyDescent="0.25">
      <c r="I19214" s="227" t="str">
        <f>MID(excPisCofins[[#This Row],[CodBarras2]],2,50)</f>
        <v/>
      </c>
    </row>
    <row r="19215" spans="9:9" x14ac:dyDescent="0.25">
      <c r="I19215" s="227" t="str">
        <f>MID(excPisCofins[[#This Row],[CodBarras2]],2,50)</f>
        <v/>
      </c>
    </row>
    <row r="19216" spans="9:9" x14ac:dyDescent="0.25">
      <c r="I19216" s="227" t="str">
        <f>MID(excPisCofins[[#This Row],[CodBarras2]],2,50)</f>
        <v/>
      </c>
    </row>
    <row r="19217" spans="9:9" x14ac:dyDescent="0.25">
      <c r="I19217" s="227" t="str">
        <f>MID(excPisCofins[[#This Row],[CodBarras2]],2,50)</f>
        <v/>
      </c>
    </row>
    <row r="19218" spans="9:9" x14ac:dyDescent="0.25">
      <c r="I19218" s="227" t="str">
        <f>MID(excPisCofins[[#This Row],[CodBarras2]],2,50)</f>
        <v/>
      </c>
    </row>
    <row r="19219" spans="9:9" x14ac:dyDescent="0.25">
      <c r="I19219" s="227" t="str">
        <f>MID(excPisCofins[[#This Row],[CodBarras2]],2,50)</f>
        <v/>
      </c>
    </row>
    <row r="19220" spans="9:9" x14ac:dyDescent="0.25">
      <c r="I19220" s="227" t="str">
        <f>MID(excPisCofins[[#This Row],[CodBarras2]],2,50)</f>
        <v/>
      </c>
    </row>
    <row r="19221" spans="9:9" x14ac:dyDescent="0.25">
      <c r="I19221" s="227" t="str">
        <f>MID(excPisCofins[[#This Row],[CodBarras2]],2,50)</f>
        <v/>
      </c>
    </row>
    <row r="19222" spans="9:9" x14ac:dyDescent="0.25">
      <c r="I19222" s="227" t="str">
        <f>MID(excPisCofins[[#This Row],[CodBarras2]],2,50)</f>
        <v/>
      </c>
    </row>
    <row r="19223" spans="9:9" x14ac:dyDescent="0.25">
      <c r="I19223" s="227" t="str">
        <f>MID(excPisCofins[[#This Row],[CodBarras2]],2,50)</f>
        <v/>
      </c>
    </row>
    <row r="19224" spans="9:9" x14ac:dyDescent="0.25">
      <c r="I19224" s="227" t="str">
        <f>MID(excPisCofins[[#This Row],[CodBarras2]],2,50)</f>
        <v/>
      </c>
    </row>
    <row r="19225" spans="9:9" x14ac:dyDescent="0.25">
      <c r="I19225" s="227" t="str">
        <f>MID(excPisCofins[[#This Row],[CodBarras2]],2,50)</f>
        <v/>
      </c>
    </row>
    <row r="19226" spans="9:9" x14ac:dyDescent="0.25">
      <c r="I19226" s="227" t="str">
        <f>MID(excPisCofins[[#This Row],[CodBarras2]],2,50)</f>
        <v/>
      </c>
    </row>
    <row r="19227" spans="9:9" x14ac:dyDescent="0.25">
      <c r="I19227" s="227" t="str">
        <f>MID(excPisCofins[[#This Row],[CodBarras2]],2,50)</f>
        <v/>
      </c>
    </row>
    <row r="19228" spans="9:9" x14ac:dyDescent="0.25">
      <c r="I19228" s="227" t="str">
        <f>MID(excPisCofins[[#This Row],[CodBarras2]],2,50)</f>
        <v/>
      </c>
    </row>
    <row r="19229" spans="9:9" x14ac:dyDescent="0.25">
      <c r="I19229" s="227" t="str">
        <f>MID(excPisCofins[[#This Row],[CodBarras2]],2,50)</f>
        <v/>
      </c>
    </row>
    <row r="19230" spans="9:9" x14ac:dyDescent="0.25">
      <c r="I19230" s="227" t="str">
        <f>MID(excPisCofins[[#This Row],[CodBarras2]],2,50)</f>
        <v/>
      </c>
    </row>
    <row r="19231" spans="9:9" x14ac:dyDescent="0.25">
      <c r="I19231" s="227" t="str">
        <f>MID(excPisCofins[[#This Row],[CodBarras2]],2,50)</f>
        <v/>
      </c>
    </row>
    <row r="19232" spans="9:9" x14ac:dyDescent="0.25">
      <c r="I19232" s="227" t="str">
        <f>MID(excPisCofins[[#This Row],[CodBarras2]],2,50)</f>
        <v/>
      </c>
    </row>
    <row r="19233" spans="9:9" x14ac:dyDescent="0.25">
      <c r="I19233" s="227" t="str">
        <f>MID(excPisCofins[[#This Row],[CodBarras2]],2,50)</f>
        <v/>
      </c>
    </row>
    <row r="19234" spans="9:9" x14ac:dyDescent="0.25">
      <c r="I19234" s="227" t="str">
        <f>MID(excPisCofins[[#This Row],[CodBarras2]],2,50)</f>
        <v/>
      </c>
    </row>
    <row r="19235" spans="9:9" x14ac:dyDescent="0.25">
      <c r="I19235" s="227" t="str">
        <f>MID(excPisCofins[[#This Row],[CodBarras2]],2,50)</f>
        <v/>
      </c>
    </row>
    <row r="19236" spans="9:9" x14ac:dyDescent="0.25">
      <c r="I19236" s="227" t="str">
        <f>MID(excPisCofins[[#This Row],[CodBarras2]],2,50)</f>
        <v/>
      </c>
    </row>
    <row r="19237" spans="9:9" x14ac:dyDescent="0.25">
      <c r="I19237" s="227" t="str">
        <f>MID(excPisCofins[[#This Row],[CodBarras2]],2,50)</f>
        <v/>
      </c>
    </row>
    <row r="19238" spans="9:9" x14ac:dyDescent="0.25">
      <c r="I19238" s="227" t="str">
        <f>MID(excPisCofins[[#This Row],[CodBarras2]],2,50)</f>
        <v/>
      </c>
    </row>
    <row r="19239" spans="9:9" x14ac:dyDescent="0.25">
      <c r="I19239" s="227" t="str">
        <f>MID(excPisCofins[[#This Row],[CodBarras2]],2,50)</f>
        <v/>
      </c>
    </row>
    <row r="19240" spans="9:9" x14ac:dyDescent="0.25">
      <c r="I19240" s="227" t="str">
        <f>MID(excPisCofins[[#This Row],[CodBarras2]],2,50)</f>
        <v/>
      </c>
    </row>
    <row r="19241" spans="9:9" x14ac:dyDescent="0.25">
      <c r="I19241" s="227" t="str">
        <f>MID(excPisCofins[[#This Row],[CodBarras2]],2,50)</f>
        <v/>
      </c>
    </row>
    <row r="19242" spans="9:9" x14ac:dyDescent="0.25">
      <c r="I19242" s="227" t="str">
        <f>MID(excPisCofins[[#This Row],[CodBarras2]],2,50)</f>
        <v/>
      </c>
    </row>
    <row r="19243" spans="9:9" x14ac:dyDescent="0.25">
      <c r="I19243" s="227" t="str">
        <f>MID(excPisCofins[[#This Row],[CodBarras2]],2,50)</f>
        <v/>
      </c>
    </row>
    <row r="19244" spans="9:9" x14ac:dyDescent="0.25">
      <c r="I19244" s="227" t="str">
        <f>MID(excPisCofins[[#This Row],[CodBarras2]],2,50)</f>
        <v/>
      </c>
    </row>
    <row r="19245" spans="9:9" x14ac:dyDescent="0.25">
      <c r="I19245" s="227" t="str">
        <f>MID(excPisCofins[[#This Row],[CodBarras2]],2,50)</f>
        <v/>
      </c>
    </row>
    <row r="19246" spans="9:9" x14ac:dyDescent="0.25">
      <c r="I19246" s="227" t="str">
        <f>MID(excPisCofins[[#This Row],[CodBarras2]],2,50)</f>
        <v/>
      </c>
    </row>
    <row r="19247" spans="9:9" x14ac:dyDescent="0.25">
      <c r="I19247" s="227" t="str">
        <f>MID(excPisCofins[[#This Row],[CodBarras2]],2,50)</f>
        <v/>
      </c>
    </row>
    <row r="19248" spans="9:9" x14ac:dyDescent="0.25">
      <c r="I19248" s="227" t="str">
        <f>MID(excPisCofins[[#This Row],[CodBarras2]],2,50)</f>
        <v/>
      </c>
    </row>
    <row r="19249" spans="9:9" x14ac:dyDescent="0.25">
      <c r="I19249" s="227" t="str">
        <f>MID(excPisCofins[[#This Row],[CodBarras2]],2,50)</f>
        <v/>
      </c>
    </row>
    <row r="19250" spans="9:9" x14ac:dyDescent="0.25">
      <c r="I19250" s="227" t="str">
        <f>MID(excPisCofins[[#This Row],[CodBarras2]],2,50)</f>
        <v/>
      </c>
    </row>
    <row r="19251" spans="9:9" x14ac:dyDescent="0.25">
      <c r="I19251" s="227" t="str">
        <f>MID(excPisCofins[[#This Row],[CodBarras2]],2,50)</f>
        <v/>
      </c>
    </row>
    <row r="19252" spans="9:9" x14ac:dyDescent="0.25">
      <c r="I19252" s="227" t="str">
        <f>MID(excPisCofins[[#This Row],[CodBarras2]],2,50)</f>
        <v/>
      </c>
    </row>
    <row r="19253" spans="9:9" x14ac:dyDescent="0.25">
      <c r="I19253" s="227" t="str">
        <f>MID(excPisCofins[[#This Row],[CodBarras2]],2,50)</f>
        <v/>
      </c>
    </row>
    <row r="19254" spans="9:9" x14ac:dyDescent="0.25">
      <c r="I19254" s="227" t="str">
        <f>MID(excPisCofins[[#This Row],[CodBarras2]],2,50)</f>
        <v/>
      </c>
    </row>
    <row r="19255" spans="9:9" x14ac:dyDescent="0.25">
      <c r="I19255" s="227" t="str">
        <f>MID(excPisCofins[[#This Row],[CodBarras2]],2,50)</f>
        <v/>
      </c>
    </row>
    <row r="19256" spans="9:9" x14ac:dyDescent="0.25">
      <c r="I19256" s="227" t="str">
        <f>MID(excPisCofins[[#This Row],[CodBarras2]],2,50)</f>
        <v/>
      </c>
    </row>
    <row r="19257" spans="9:9" x14ac:dyDescent="0.25">
      <c r="I19257" s="227" t="str">
        <f>MID(excPisCofins[[#This Row],[CodBarras2]],2,50)</f>
        <v/>
      </c>
    </row>
    <row r="19258" spans="9:9" x14ac:dyDescent="0.25">
      <c r="I19258" s="227" t="str">
        <f>MID(excPisCofins[[#This Row],[CodBarras2]],2,50)</f>
        <v/>
      </c>
    </row>
    <row r="19259" spans="9:9" x14ac:dyDescent="0.25">
      <c r="I19259" s="227" t="str">
        <f>MID(excPisCofins[[#This Row],[CodBarras2]],2,50)</f>
        <v/>
      </c>
    </row>
    <row r="19260" spans="9:9" x14ac:dyDescent="0.25">
      <c r="I19260" s="227" t="str">
        <f>MID(excPisCofins[[#This Row],[CodBarras2]],2,50)</f>
        <v/>
      </c>
    </row>
    <row r="19261" spans="9:9" x14ac:dyDescent="0.25">
      <c r="I19261" s="227" t="str">
        <f>MID(excPisCofins[[#This Row],[CodBarras2]],2,50)</f>
        <v/>
      </c>
    </row>
    <row r="19262" spans="9:9" x14ac:dyDescent="0.25">
      <c r="I19262" s="227" t="str">
        <f>MID(excPisCofins[[#This Row],[CodBarras2]],2,50)</f>
        <v/>
      </c>
    </row>
    <row r="19263" spans="9:9" x14ac:dyDescent="0.25">
      <c r="I19263" s="227" t="str">
        <f>MID(excPisCofins[[#This Row],[CodBarras2]],2,50)</f>
        <v/>
      </c>
    </row>
    <row r="19264" spans="9:9" x14ac:dyDescent="0.25">
      <c r="I19264" s="227" t="str">
        <f>MID(excPisCofins[[#This Row],[CodBarras2]],2,50)</f>
        <v/>
      </c>
    </row>
    <row r="19265" spans="9:9" x14ac:dyDescent="0.25">
      <c r="I19265" s="227" t="str">
        <f>MID(excPisCofins[[#This Row],[CodBarras2]],2,50)</f>
        <v/>
      </c>
    </row>
    <row r="19266" spans="9:9" x14ac:dyDescent="0.25">
      <c r="I19266" s="227" t="str">
        <f>MID(excPisCofins[[#This Row],[CodBarras2]],2,50)</f>
        <v/>
      </c>
    </row>
    <row r="19267" spans="9:9" x14ac:dyDescent="0.25">
      <c r="I19267" s="227" t="str">
        <f>MID(excPisCofins[[#This Row],[CodBarras2]],2,50)</f>
        <v/>
      </c>
    </row>
    <row r="19268" spans="9:9" x14ac:dyDescent="0.25">
      <c r="I19268" s="227" t="str">
        <f>MID(excPisCofins[[#This Row],[CodBarras2]],2,50)</f>
        <v/>
      </c>
    </row>
    <row r="19269" spans="9:9" x14ac:dyDescent="0.25">
      <c r="I19269" s="227" t="str">
        <f>MID(excPisCofins[[#This Row],[CodBarras2]],2,50)</f>
        <v/>
      </c>
    </row>
    <row r="19270" spans="9:9" x14ac:dyDescent="0.25">
      <c r="I19270" s="227" t="str">
        <f>MID(excPisCofins[[#This Row],[CodBarras2]],2,50)</f>
        <v/>
      </c>
    </row>
    <row r="19271" spans="9:9" x14ac:dyDescent="0.25">
      <c r="I19271" s="227" t="str">
        <f>MID(excPisCofins[[#This Row],[CodBarras2]],2,50)</f>
        <v/>
      </c>
    </row>
    <row r="19272" spans="9:9" x14ac:dyDescent="0.25">
      <c r="I19272" s="227" t="str">
        <f>MID(excPisCofins[[#This Row],[CodBarras2]],2,50)</f>
        <v/>
      </c>
    </row>
    <row r="19273" spans="9:9" x14ac:dyDescent="0.25">
      <c r="I19273" s="227" t="str">
        <f>MID(excPisCofins[[#This Row],[CodBarras2]],2,50)</f>
        <v/>
      </c>
    </row>
    <row r="19274" spans="9:9" x14ac:dyDescent="0.25">
      <c r="I19274" s="227" t="str">
        <f>MID(excPisCofins[[#This Row],[CodBarras2]],2,50)</f>
        <v/>
      </c>
    </row>
    <row r="19275" spans="9:9" x14ac:dyDescent="0.25">
      <c r="I19275" s="227" t="str">
        <f>MID(excPisCofins[[#This Row],[CodBarras2]],2,50)</f>
        <v/>
      </c>
    </row>
    <row r="19276" spans="9:9" x14ac:dyDescent="0.25">
      <c r="I19276" s="227" t="str">
        <f>MID(excPisCofins[[#This Row],[CodBarras2]],2,50)</f>
        <v/>
      </c>
    </row>
    <row r="19277" spans="9:9" x14ac:dyDescent="0.25">
      <c r="I19277" s="227" t="str">
        <f>MID(excPisCofins[[#This Row],[CodBarras2]],2,50)</f>
        <v/>
      </c>
    </row>
    <row r="19278" spans="9:9" x14ac:dyDescent="0.25">
      <c r="I19278" s="227" t="str">
        <f>MID(excPisCofins[[#This Row],[CodBarras2]],2,50)</f>
        <v/>
      </c>
    </row>
    <row r="19279" spans="9:9" x14ac:dyDescent="0.25">
      <c r="I19279" s="227" t="str">
        <f>MID(excPisCofins[[#This Row],[CodBarras2]],2,50)</f>
        <v/>
      </c>
    </row>
    <row r="19280" spans="9:9" x14ac:dyDescent="0.25">
      <c r="I19280" s="227" t="str">
        <f>MID(excPisCofins[[#This Row],[CodBarras2]],2,50)</f>
        <v/>
      </c>
    </row>
    <row r="19281" spans="9:9" x14ac:dyDescent="0.25">
      <c r="I19281" s="227" t="str">
        <f>MID(excPisCofins[[#This Row],[CodBarras2]],2,50)</f>
        <v/>
      </c>
    </row>
    <row r="19282" spans="9:9" x14ac:dyDescent="0.25">
      <c r="I19282" s="227" t="str">
        <f>MID(excPisCofins[[#This Row],[CodBarras2]],2,50)</f>
        <v/>
      </c>
    </row>
    <row r="19283" spans="9:9" x14ac:dyDescent="0.25">
      <c r="I19283" s="227" t="str">
        <f>MID(excPisCofins[[#This Row],[CodBarras2]],2,50)</f>
        <v/>
      </c>
    </row>
    <row r="19284" spans="9:9" x14ac:dyDescent="0.25">
      <c r="I19284" s="227" t="str">
        <f>MID(excPisCofins[[#This Row],[CodBarras2]],2,50)</f>
        <v/>
      </c>
    </row>
    <row r="19285" spans="9:9" x14ac:dyDescent="0.25">
      <c r="I19285" s="227" t="str">
        <f>MID(excPisCofins[[#This Row],[CodBarras2]],2,50)</f>
        <v/>
      </c>
    </row>
    <row r="19286" spans="9:9" x14ac:dyDescent="0.25">
      <c r="I19286" s="227" t="str">
        <f>MID(excPisCofins[[#This Row],[CodBarras2]],2,50)</f>
        <v/>
      </c>
    </row>
    <row r="19287" spans="9:9" x14ac:dyDescent="0.25">
      <c r="I19287" s="227" t="str">
        <f>MID(excPisCofins[[#This Row],[CodBarras2]],2,50)</f>
        <v/>
      </c>
    </row>
    <row r="19288" spans="9:9" x14ac:dyDescent="0.25">
      <c r="I19288" s="227" t="str">
        <f>MID(excPisCofins[[#This Row],[CodBarras2]],2,50)</f>
        <v/>
      </c>
    </row>
    <row r="19289" spans="9:9" x14ac:dyDescent="0.25">
      <c r="I19289" s="227" t="str">
        <f>MID(excPisCofins[[#This Row],[CodBarras2]],2,50)</f>
        <v/>
      </c>
    </row>
    <row r="19290" spans="9:9" x14ac:dyDescent="0.25">
      <c r="I19290" s="227" t="str">
        <f>MID(excPisCofins[[#This Row],[CodBarras2]],2,50)</f>
        <v/>
      </c>
    </row>
    <row r="19291" spans="9:9" x14ac:dyDescent="0.25">
      <c r="I19291" s="227" t="str">
        <f>MID(excPisCofins[[#This Row],[CodBarras2]],2,50)</f>
        <v/>
      </c>
    </row>
    <row r="19292" spans="9:9" x14ac:dyDescent="0.25">
      <c r="I19292" s="227" t="str">
        <f>MID(excPisCofins[[#This Row],[CodBarras2]],2,50)</f>
        <v/>
      </c>
    </row>
    <row r="19293" spans="9:9" x14ac:dyDescent="0.25">
      <c r="I19293" s="227" t="str">
        <f>MID(excPisCofins[[#This Row],[CodBarras2]],2,50)</f>
        <v/>
      </c>
    </row>
    <row r="19294" spans="9:9" x14ac:dyDescent="0.25">
      <c r="I19294" s="227" t="str">
        <f>MID(excPisCofins[[#This Row],[CodBarras2]],2,50)</f>
        <v/>
      </c>
    </row>
    <row r="19295" spans="9:9" x14ac:dyDescent="0.25">
      <c r="I19295" s="227" t="str">
        <f>MID(excPisCofins[[#This Row],[CodBarras2]],2,50)</f>
        <v/>
      </c>
    </row>
    <row r="19296" spans="9:9" x14ac:dyDescent="0.25">
      <c r="I19296" s="227" t="str">
        <f>MID(excPisCofins[[#This Row],[CodBarras2]],2,50)</f>
        <v/>
      </c>
    </row>
    <row r="19297" spans="9:9" x14ac:dyDescent="0.25">
      <c r="I19297" s="227" t="str">
        <f>MID(excPisCofins[[#This Row],[CodBarras2]],2,50)</f>
        <v/>
      </c>
    </row>
    <row r="19298" spans="9:9" x14ac:dyDescent="0.25">
      <c r="I19298" s="227" t="str">
        <f>MID(excPisCofins[[#This Row],[CodBarras2]],2,50)</f>
        <v/>
      </c>
    </row>
    <row r="19299" spans="9:9" x14ac:dyDescent="0.25">
      <c r="I19299" s="227" t="str">
        <f>MID(excPisCofins[[#This Row],[CodBarras2]],2,50)</f>
        <v/>
      </c>
    </row>
    <row r="19300" spans="9:9" x14ac:dyDescent="0.25">
      <c r="I19300" s="227" t="str">
        <f>MID(excPisCofins[[#This Row],[CodBarras2]],2,50)</f>
        <v/>
      </c>
    </row>
    <row r="19301" spans="9:9" x14ac:dyDescent="0.25">
      <c r="I19301" s="227" t="str">
        <f>MID(excPisCofins[[#This Row],[CodBarras2]],2,50)</f>
        <v/>
      </c>
    </row>
    <row r="19302" spans="9:9" x14ac:dyDescent="0.25">
      <c r="I19302" s="227" t="str">
        <f>MID(excPisCofins[[#This Row],[CodBarras2]],2,50)</f>
        <v/>
      </c>
    </row>
    <row r="19303" spans="9:9" x14ac:dyDescent="0.25">
      <c r="I19303" s="227" t="str">
        <f>MID(excPisCofins[[#This Row],[CodBarras2]],2,50)</f>
        <v/>
      </c>
    </row>
    <row r="19304" spans="9:9" x14ac:dyDescent="0.25">
      <c r="I19304" s="227" t="str">
        <f>MID(excPisCofins[[#This Row],[CodBarras2]],2,50)</f>
        <v/>
      </c>
    </row>
    <row r="19305" spans="9:9" x14ac:dyDescent="0.25">
      <c r="I19305" s="227" t="str">
        <f>MID(excPisCofins[[#This Row],[CodBarras2]],2,50)</f>
        <v/>
      </c>
    </row>
    <row r="19306" spans="9:9" x14ac:dyDescent="0.25">
      <c r="I19306" s="227" t="str">
        <f>MID(excPisCofins[[#This Row],[CodBarras2]],2,50)</f>
        <v/>
      </c>
    </row>
    <row r="19307" spans="9:9" x14ac:dyDescent="0.25">
      <c r="I19307" s="227" t="str">
        <f>MID(excPisCofins[[#This Row],[CodBarras2]],2,50)</f>
        <v/>
      </c>
    </row>
    <row r="19308" spans="9:9" x14ac:dyDescent="0.25">
      <c r="I19308" s="227" t="str">
        <f>MID(excPisCofins[[#This Row],[CodBarras2]],2,50)</f>
        <v/>
      </c>
    </row>
    <row r="19309" spans="9:9" x14ac:dyDescent="0.25">
      <c r="I19309" s="227" t="str">
        <f>MID(excPisCofins[[#This Row],[CodBarras2]],2,50)</f>
        <v/>
      </c>
    </row>
    <row r="19310" spans="9:9" x14ac:dyDescent="0.25">
      <c r="I19310" s="227" t="str">
        <f>MID(excPisCofins[[#This Row],[CodBarras2]],2,50)</f>
        <v/>
      </c>
    </row>
    <row r="19311" spans="9:9" x14ac:dyDescent="0.25">
      <c r="I19311" s="227" t="str">
        <f>MID(excPisCofins[[#This Row],[CodBarras2]],2,50)</f>
        <v/>
      </c>
    </row>
    <row r="19312" spans="9:9" x14ac:dyDescent="0.25">
      <c r="I19312" s="227" t="str">
        <f>MID(excPisCofins[[#This Row],[CodBarras2]],2,50)</f>
        <v/>
      </c>
    </row>
    <row r="19313" spans="9:9" x14ac:dyDescent="0.25">
      <c r="I19313" s="227" t="str">
        <f>MID(excPisCofins[[#This Row],[CodBarras2]],2,50)</f>
        <v/>
      </c>
    </row>
    <row r="19314" spans="9:9" x14ac:dyDescent="0.25">
      <c r="I19314" s="227" t="str">
        <f>MID(excPisCofins[[#This Row],[CodBarras2]],2,50)</f>
        <v/>
      </c>
    </row>
    <row r="19315" spans="9:9" x14ac:dyDescent="0.25">
      <c r="I19315" s="227" t="str">
        <f>MID(excPisCofins[[#This Row],[CodBarras2]],2,50)</f>
        <v/>
      </c>
    </row>
    <row r="19316" spans="9:9" x14ac:dyDescent="0.25">
      <c r="I19316" s="227" t="str">
        <f>MID(excPisCofins[[#This Row],[CodBarras2]],2,50)</f>
        <v/>
      </c>
    </row>
    <row r="19317" spans="9:9" x14ac:dyDescent="0.25">
      <c r="I19317" s="227" t="str">
        <f>MID(excPisCofins[[#This Row],[CodBarras2]],2,50)</f>
        <v/>
      </c>
    </row>
    <row r="19318" spans="9:9" x14ac:dyDescent="0.25">
      <c r="I19318" s="227" t="str">
        <f>MID(excPisCofins[[#This Row],[CodBarras2]],2,50)</f>
        <v/>
      </c>
    </row>
    <row r="19319" spans="9:9" x14ac:dyDescent="0.25">
      <c r="I19319" s="227" t="str">
        <f>MID(excPisCofins[[#This Row],[CodBarras2]],2,50)</f>
        <v/>
      </c>
    </row>
    <row r="19320" spans="9:9" x14ac:dyDescent="0.25">
      <c r="I19320" s="227" t="str">
        <f>MID(excPisCofins[[#This Row],[CodBarras2]],2,50)</f>
        <v/>
      </c>
    </row>
    <row r="19321" spans="9:9" x14ac:dyDescent="0.25">
      <c r="I19321" s="227" t="str">
        <f>MID(excPisCofins[[#This Row],[CodBarras2]],2,50)</f>
        <v/>
      </c>
    </row>
    <row r="19322" spans="9:9" x14ac:dyDescent="0.25">
      <c r="I19322" s="227" t="str">
        <f>MID(excPisCofins[[#This Row],[CodBarras2]],2,50)</f>
        <v/>
      </c>
    </row>
    <row r="19323" spans="9:9" x14ac:dyDescent="0.25">
      <c r="I19323" s="227" t="str">
        <f>MID(excPisCofins[[#This Row],[CodBarras2]],2,50)</f>
        <v/>
      </c>
    </row>
    <row r="19324" spans="9:9" x14ac:dyDescent="0.25">
      <c r="I19324" s="227" t="str">
        <f>MID(excPisCofins[[#This Row],[CodBarras2]],2,50)</f>
        <v/>
      </c>
    </row>
    <row r="19325" spans="9:9" x14ac:dyDescent="0.25">
      <c r="I19325" s="227" t="str">
        <f>MID(excPisCofins[[#This Row],[CodBarras2]],2,50)</f>
        <v/>
      </c>
    </row>
    <row r="19326" spans="9:9" x14ac:dyDescent="0.25">
      <c r="I19326" s="227" t="str">
        <f>MID(excPisCofins[[#This Row],[CodBarras2]],2,50)</f>
        <v/>
      </c>
    </row>
    <row r="19327" spans="9:9" x14ac:dyDescent="0.25">
      <c r="I19327" s="227" t="str">
        <f>MID(excPisCofins[[#This Row],[CodBarras2]],2,50)</f>
        <v/>
      </c>
    </row>
    <row r="19328" spans="9:9" x14ac:dyDescent="0.25">
      <c r="I19328" s="227" t="str">
        <f>MID(excPisCofins[[#This Row],[CodBarras2]],2,50)</f>
        <v/>
      </c>
    </row>
    <row r="19329" spans="9:9" x14ac:dyDescent="0.25">
      <c r="I19329" s="227" t="str">
        <f>MID(excPisCofins[[#This Row],[CodBarras2]],2,50)</f>
        <v/>
      </c>
    </row>
    <row r="19330" spans="9:9" x14ac:dyDescent="0.25">
      <c r="I19330" s="227" t="str">
        <f>MID(excPisCofins[[#This Row],[CodBarras2]],2,50)</f>
        <v/>
      </c>
    </row>
    <row r="19331" spans="9:9" x14ac:dyDescent="0.25">
      <c r="I19331" s="227" t="str">
        <f>MID(excPisCofins[[#This Row],[CodBarras2]],2,50)</f>
        <v/>
      </c>
    </row>
    <row r="19332" spans="9:9" x14ac:dyDescent="0.25">
      <c r="I19332" s="227" t="str">
        <f>MID(excPisCofins[[#This Row],[CodBarras2]],2,50)</f>
        <v/>
      </c>
    </row>
    <row r="19333" spans="9:9" x14ac:dyDescent="0.25">
      <c r="I19333" s="227" t="str">
        <f>MID(excPisCofins[[#This Row],[CodBarras2]],2,50)</f>
        <v/>
      </c>
    </row>
    <row r="19334" spans="9:9" x14ac:dyDescent="0.25">
      <c r="I19334" s="227" t="str">
        <f>MID(excPisCofins[[#This Row],[CodBarras2]],2,50)</f>
        <v/>
      </c>
    </row>
    <row r="19335" spans="9:9" x14ac:dyDescent="0.25">
      <c r="I19335" s="227" t="str">
        <f>MID(excPisCofins[[#This Row],[CodBarras2]],2,50)</f>
        <v/>
      </c>
    </row>
    <row r="19336" spans="9:9" x14ac:dyDescent="0.25">
      <c r="I19336" s="227" t="str">
        <f>MID(excPisCofins[[#This Row],[CodBarras2]],2,50)</f>
        <v/>
      </c>
    </row>
    <row r="19337" spans="9:9" x14ac:dyDescent="0.25">
      <c r="I19337" s="227" t="str">
        <f>MID(excPisCofins[[#This Row],[CodBarras2]],2,50)</f>
        <v/>
      </c>
    </row>
    <row r="19338" spans="9:9" x14ac:dyDescent="0.25">
      <c r="I19338" s="227" t="str">
        <f>MID(excPisCofins[[#This Row],[CodBarras2]],2,50)</f>
        <v/>
      </c>
    </row>
    <row r="19339" spans="9:9" x14ac:dyDescent="0.25">
      <c r="I19339" s="227" t="str">
        <f>MID(excPisCofins[[#This Row],[CodBarras2]],2,50)</f>
        <v/>
      </c>
    </row>
    <row r="19340" spans="9:9" x14ac:dyDescent="0.25">
      <c r="I19340" s="227" t="str">
        <f>MID(excPisCofins[[#This Row],[CodBarras2]],2,50)</f>
        <v/>
      </c>
    </row>
    <row r="19341" spans="9:9" x14ac:dyDescent="0.25">
      <c r="I19341" s="227" t="str">
        <f>MID(excPisCofins[[#This Row],[CodBarras2]],2,50)</f>
        <v/>
      </c>
    </row>
    <row r="19342" spans="9:9" x14ac:dyDescent="0.25">
      <c r="I19342" s="227" t="str">
        <f>MID(excPisCofins[[#This Row],[CodBarras2]],2,50)</f>
        <v/>
      </c>
    </row>
    <row r="19343" spans="9:9" x14ac:dyDescent="0.25">
      <c r="I19343" s="227" t="str">
        <f>MID(excPisCofins[[#This Row],[CodBarras2]],2,50)</f>
        <v/>
      </c>
    </row>
    <row r="19344" spans="9:9" x14ac:dyDescent="0.25">
      <c r="I19344" s="227" t="str">
        <f>MID(excPisCofins[[#This Row],[CodBarras2]],2,50)</f>
        <v/>
      </c>
    </row>
    <row r="19345" spans="9:9" x14ac:dyDescent="0.25">
      <c r="I19345" s="227" t="str">
        <f>MID(excPisCofins[[#This Row],[CodBarras2]],2,50)</f>
        <v/>
      </c>
    </row>
    <row r="19346" spans="9:9" x14ac:dyDescent="0.25">
      <c r="I19346" s="227" t="str">
        <f>MID(excPisCofins[[#This Row],[CodBarras2]],2,50)</f>
        <v/>
      </c>
    </row>
    <row r="19347" spans="9:9" x14ac:dyDescent="0.25">
      <c r="I19347" s="227" t="str">
        <f>MID(excPisCofins[[#This Row],[CodBarras2]],2,50)</f>
        <v/>
      </c>
    </row>
    <row r="19348" spans="9:9" x14ac:dyDescent="0.25">
      <c r="I19348" s="227" t="str">
        <f>MID(excPisCofins[[#This Row],[CodBarras2]],2,50)</f>
        <v/>
      </c>
    </row>
    <row r="19349" spans="9:9" x14ac:dyDescent="0.25">
      <c r="I19349" s="227" t="str">
        <f>MID(excPisCofins[[#This Row],[CodBarras2]],2,50)</f>
        <v/>
      </c>
    </row>
    <row r="19350" spans="9:9" x14ac:dyDescent="0.25">
      <c r="I19350" s="227" t="str">
        <f>MID(excPisCofins[[#This Row],[CodBarras2]],2,50)</f>
        <v/>
      </c>
    </row>
    <row r="19351" spans="9:9" x14ac:dyDescent="0.25">
      <c r="I19351" s="227" t="str">
        <f>MID(excPisCofins[[#This Row],[CodBarras2]],2,50)</f>
        <v/>
      </c>
    </row>
    <row r="19352" spans="9:9" x14ac:dyDescent="0.25">
      <c r="I19352" s="227" t="str">
        <f>MID(excPisCofins[[#This Row],[CodBarras2]],2,50)</f>
        <v/>
      </c>
    </row>
    <row r="19353" spans="9:9" x14ac:dyDescent="0.25">
      <c r="I19353" s="227" t="str">
        <f>MID(excPisCofins[[#This Row],[CodBarras2]],2,50)</f>
        <v/>
      </c>
    </row>
    <row r="19354" spans="9:9" x14ac:dyDescent="0.25">
      <c r="I19354" s="227" t="str">
        <f>MID(excPisCofins[[#This Row],[CodBarras2]],2,50)</f>
        <v/>
      </c>
    </row>
    <row r="19355" spans="9:9" x14ac:dyDescent="0.25">
      <c r="I19355" s="227" t="str">
        <f>MID(excPisCofins[[#This Row],[CodBarras2]],2,50)</f>
        <v/>
      </c>
    </row>
    <row r="19356" spans="9:9" x14ac:dyDescent="0.25">
      <c r="I19356" s="227" t="str">
        <f>MID(excPisCofins[[#This Row],[CodBarras2]],2,50)</f>
        <v/>
      </c>
    </row>
    <row r="19357" spans="9:9" x14ac:dyDescent="0.25">
      <c r="I19357" s="227" t="str">
        <f>MID(excPisCofins[[#This Row],[CodBarras2]],2,50)</f>
        <v/>
      </c>
    </row>
    <row r="19358" spans="9:9" x14ac:dyDescent="0.25">
      <c r="I19358" s="227" t="str">
        <f>MID(excPisCofins[[#This Row],[CodBarras2]],2,50)</f>
        <v/>
      </c>
    </row>
    <row r="19359" spans="9:9" x14ac:dyDescent="0.25">
      <c r="I19359" s="227" t="str">
        <f>MID(excPisCofins[[#This Row],[CodBarras2]],2,50)</f>
        <v/>
      </c>
    </row>
    <row r="19360" spans="9:9" x14ac:dyDescent="0.25">
      <c r="I19360" s="227" t="str">
        <f>MID(excPisCofins[[#This Row],[CodBarras2]],2,50)</f>
        <v/>
      </c>
    </row>
    <row r="19361" spans="9:9" x14ac:dyDescent="0.25">
      <c r="I19361" s="227" t="str">
        <f>MID(excPisCofins[[#This Row],[CodBarras2]],2,50)</f>
        <v/>
      </c>
    </row>
    <row r="19362" spans="9:9" x14ac:dyDescent="0.25">
      <c r="I19362" s="227" t="str">
        <f>MID(excPisCofins[[#This Row],[CodBarras2]],2,50)</f>
        <v/>
      </c>
    </row>
    <row r="19363" spans="9:9" x14ac:dyDescent="0.25">
      <c r="I19363" s="227" t="str">
        <f>MID(excPisCofins[[#This Row],[CodBarras2]],2,50)</f>
        <v/>
      </c>
    </row>
    <row r="19364" spans="9:9" x14ac:dyDescent="0.25">
      <c r="I19364" s="227" t="str">
        <f>MID(excPisCofins[[#This Row],[CodBarras2]],2,50)</f>
        <v/>
      </c>
    </row>
    <row r="19365" spans="9:9" x14ac:dyDescent="0.25">
      <c r="I19365" s="227" t="str">
        <f>MID(excPisCofins[[#This Row],[CodBarras2]],2,50)</f>
        <v/>
      </c>
    </row>
    <row r="19366" spans="9:9" x14ac:dyDescent="0.25">
      <c r="I19366" s="227" t="str">
        <f>MID(excPisCofins[[#This Row],[CodBarras2]],2,50)</f>
        <v/>
      </c>
    </row>
    <row r="19367" spans="9:9" x14ac:dyDescent="0.25">
      <c r="I19367" s="227" t="str">
        <f>MID(excPisCofins[[#This Row],[CodBarras2]],2,50)</f>
        <v/>
      </c>
    </row>
    <row r="19368" spans="9:9" x14ac:dyDescent="0.25">
      <c r="I19368" s="227" t="str">
        <f>MID(excPisCofins[[#This Row],[CodBarras2]],2,50)</f>
        <v/>
      </c>
    </row>
    <row r="19369" spans="9:9" x14ac:dyDescent="0.25">
      <c r="I19369" s="227" t="str">
        <f>MID(excPisCofins[[#This Row],[CodBarras2]],2,50)</f>
        <v/>
      </c>
    </row>
    <row r="19370" spans="9:9" x14ac:dyDescent="0.25">
      <c r="I19370" s="227" t="str">
        <f>MID(excPisCofins[[#This Row],[CodBarras2]],2,50)</f>
        <v/>
      </c>
    </row>
    <row r="19371" spans="9:9" x14ac:dyDescent="0.25">
      <c r="I19371" s="227" t="str">
        <f>MID(excPisCofins[[#This Row],[CodBarras2]],2,50)</f>
        <v/>
      </c>
    </row>
    <row r="19372" spans="9:9" x14ac:dyDescent="0.25">
      <c r="I19372" s="227" t="str">
        <f>MID(excPisCofins[[#This Row],[CodBarras2]],2,50)</f>
        <v/>
      </c>
    </row>
    <row r="19373" spans="9:9" x14ac:dyDescent="0.25">
      <c r="I19373" s="227" t="str">
        <f>MID(excPisCofins[[#This Row],[CodBarras2]],2,50)</f>
        <v/>
      </c>
    </row>
    <row r="19374" spans="9:9" x14ac:dyDescent="0.25">
      <c r="I19374" s="227" t="str">
        <f>MID(excPisCofins[[#This Row],[CodBarras2]],2,50)</f>
        <v/>
      </c>
    </row>
    <row r="19375" spans="9:9" x14ac:dyDescent="0.25">
      <c r="I19375" s="227" t="str">
        <f>MID(excPisCofins[[#This Row],[CodBarras2]],2,50)</f>
        <v/>
      </c>
    </row>
    <row r="19376" spans="9:9" x14ac:dyDescent="0.25">
      <c r="I19376" s="227" t="str">
        <f>MID(excPisCofins[[#This Row],[CodBarras2]],2,50)</f>
        <v/>
      </c>
    </row>
    <row r="19377" spans="9:9" x14ac:dyDescent="0.25">
      <c r="I19377" s="227" t="str">
        <f>MID(excPisCofins[[#This Row],[CodBarras2]],2,50)</f>
        <v/>
      </c>
    </row>
    <row r="19378" spans="9:9" x14ac:dyDescent="0.25">
      <c r="I19378" s="227" t="str">
        <f>MID(excPisCofins[[#This Row],[CodBarras2]],2,50)</f>
        <v/>
      </c>
    </row>
    <row r="19379" spans="9:9" x14ac:dyDescent="0.25">
      <c r="I19379" s="227" t="str">
        <f>MID(excPisCofins[[#This Row],[CodBarras2]],2,50)</f>
        <v/>
      </c>
    </row>
    <row r="19380" spans="9:9" x14ac:dyDescent="0.25">
      <c r="I19380" s="227" t="str">
        <f>MID(excPisCofins[[#This Row],[CodBarras2]],2,50)</f>
        <v/>
      </c>
    </row>
    <row r="19381" spans="9:9" x14ac:dyDescent="0.25">
      <c r="I19381" s="227" t="str">
        <f>MID(excPisCofins[[#This Row],[CodBarras2]],2,50)</f>
        <v/>
      </c>
    </row>
    <row r="19382" spans="9:9" x14ac:dyDescent="0.25">
      <c r="I19382" s="227" t="str">
        <f>MID(excPisCofins[[#This Row],[CodBarras2]],2,50)</f>
        <v/>
      </c>
    </row>
    <row r="19383" spans="9:9" x14ac:dyDescent="0.25">
      <c r="I19383" s="227" t="str">
        <f>MID(excPisCofins[[#This Row],[CodBarras2]],2,50)</f>
        <v/>
      </c>
    </row>
    <row r="19384" spans="9:9" x14ac:dyDescent="0.25">
      <c r="I19384" s="227" t="str">
        <f>MID(excPisCofins[[#This Row],[CodBarras2]],2,50)</f>
        <v/>
      </c>
    </row>
    <row r="19385" spans="9:9" x14ac:dyDescent="0.25">
      <c r="I19385" s="227" t="str">
        <f>MID(excPisCofins[[#This Row],[CodBarras2]],2,50)</f>
        <v/>
      </c>
    </row>
    <row r="19386" spans="9:9" x14ac:dyDescent="0.25">
      <c r="I19386" s="227" t="str">
        <f>MID(excPisCofins[[#This Row],[CodBarras2]],2,50)</f>
        <v/>
      </c>
    </row>
    <row r="19387" spans="9:9" x14ac:dyDescent="0.25">
      <c r="I19387" s="227" t="str">
        <f>MID(excPisCofins[[#This Row],[CodBarras2]],2,50)</f>
        <v/>
      </c>
    </row>
    <row r="19388" spans="9:9" x14ac:dyDescent="0.25">
      <c r="I19388" s="227" t="str">
        <f>MID(excPisCofins[[#This Row],[CodBarras2]],2,50)</f>
        <v/>
      </c>
    </row>
    <row r="19389" spans="9:9" x14ac:dyDescent="0.25">
      <c r="I19389" s="227" t="str">
        <f>MID(excPisCofins[[#This Row],[CodBarras2]],2,50)</f>
        <v/>
      </c>
    </row>
    <row r="19390" spans="9:9" x14ac:dyDescent="0.25">
      <c r="I19390" s="227" t="str">
        <f>MID(excPisCofins[[#This Row],[CodBarras2]],2,50)</f>
        <v/>
      </c>
    </row>
    <row r="19391" spans="9:9" x14ac:dyDescent="0.25">
      <c r="I19391" s="227" t="str">
        <f>MID(excPisCofins[[#This Row],[CodBarras2]],2,50)</f>
        <v/>
      </c>
    </row>
    <row r="19392" spans="9:9" x14ac:dyDescent="0.25">
      <c r="I19392" s="227" t="str">
        <f>MID(excPisCofins[[#This Row],[CodBarras2]],2,50)</f>
        <v/>
      </c>
    </row>
    <row r="19393" spans="9:9" x14ac:dyDescent="0.25">
      <c r="I19393" s="227" t="str">
        <f>MID(excPisCofins[[#This Row],[CodBarras2]],2,50)</f>
        <v/>
      </c>
    </row>
    <row r="19394" spans="9:9" x14ac:dyDescent="0.25">
      <c r="I19394" s="227" t="str">
        <f>MID(excPisCofins[[#This Row],[CodBarras2]],2,50)</f>
        <v/>
      </c>
    </row>
    <row r="19395" spans="9:9" x14ac:dyDescent="0.25">
      <c r="I19395" s="227" t="str">
        <f>MID(excPisCofins[[#This Row],[CodBarras2]],2,50)</f>
        <v/>
      </c>
    </row>
    <row r="19396" spans="9:9" x14ac:dyDescent="0.25">
      <c r="I19396" s="227" t="str">
        <f>MID(excPisCofins[[#This Row],[CodBarras2]],2,50)</f>
        <v/>
      </c>
    </row>
    <row r="19397" spans="9:9" x14ac:dyDescent="0.25">
      <c r="I19397" s="227" t="str">
        <f>MID(excPisCofins[[#This Row],[CodBarras2]],2,50)</f>
        <v/>
      </c>
    </row>
    <row r="19398" spans="9:9" x14ac:dyDescent="0.25">
      <c r="I19398" s="227" t="str">
        <f>MID(excPisCofins[[#This Row],[CodBarras2]],2,50)</f>
        <v/>
      </c>
    </row>
    <row r="19399" spans="9:9" x14ac:dyDescent="0.25">
      <c r="I19399" s="227" t="str">
        <f>MID(excPisCofins[[#This Row],[CodBarras2]],2,50)</f>
        <v/>
      </c>
    </row>
    <row r="19400" spans="9:9" x14ac:dyDescent="0.25">
      <c r="I19400" s="227" t="str">
        <f>MID(excPisCofins[[#This Row],[CodBarras2]],2,50)</f>
        <v/>
      </c>
    </row>
    <row r="19401" spans="9:9" x14ac:dyDescent="0.25">
      <c r="I19401" s="227" t="str">
        <f>MID(excPisCofins[[#This Row],[CodBarras2]],2,50)</f>
        <v/>
      </c>
    </row>
    <row r="19402" spans="9:9" x14ac:dyDescent="0.25">
      <c r="I19402" s="227" t="str">
        <f>MID(excPisCofins[[#This Row],[CodBarras2]],2,50)</f>
        <v/>
      </c>
    </row>
    <row r="19403" spans="9:9" x14ac:dyDescent="0.25">
      <c r="I19403" s="227" t="str">
        <f>MID(excPisCofins[[#This Row],[CodBarras2]],2,50)</f>
        <v/>
      </c>
    </row>
    <row r="19404" spans="9:9" x14ac:dyDescent="0.25">
      <c r="I19404" s="227" t="str">
        <f>MID(excPisCofins[[#This Row],[CodBarras2]],2,50)</f>
        <v/>
      </c>
    </row>
    <row r="19405" spans="9:9" x14ac:dyDescent="0.25">
      <c r="I19405" s="227" t="str">
        <f>MID(excPisCofins[[#This Row],[CodBarras2]],2,50)</f>
        <v/>
      </c>
    </row>
    <row r="19406" spans="9:9" x14ac:dyDescent="0.25">
      <c r="I19406" s="227" t="str">
        <f>MID(excPisCofins[[#This Row],[CodBarras2]],2,50)</f>
        <v/>
      </c>
    </row>
    <row r="19407" spans="9:9" x14ac:dyDescent="0.25">
      <c r="I19407" s="227" t="str">
        <f>MID(excPisCofins[[#This Row],[CodBarras2]],2,50)</f>
        <v/>
      </c>
    </row>
    <row r="19408" spans="9:9" x14ac:dyDescent="0.25">
      <c r="I19408" s="227" t="str">
        <f>MID(excPisCofins[[#This Row],[CodBarras2]],2,50)</f>
        <v/>
      </c>
    </row>
    <row r="19409" spans="9:9" x14ac:dyDescent="0.25">
      <c r="I19409" s="227" t="str">
        <f>MID(excPisCofins[[#This Row],[CodBarras2]],2,50)</f>
        <v/>
      </c>
    </row>
    <row r="19410" spans="9:9" x14ac:dyDescent="0.25">
      <c r="I19410" s="227" t="str">
        <f>MID(excPisCofins[[#This Row],[CodBarras2]],2,50)</f>
        <v/>
      </c>
    </row>
    <row r="19411" spans="9:9" x14ac:dyDescent="0.25">
      <c r="I19411" s="227" t="str">
        <f>MID(excPisCofins[[#This Row],[CodBarras2]],2,50)</f>
        <v/>
      </c>
    </row>
    <row r="19412" spans="9:9" x14ac:dyDescent="0.25">
      <c r="I19412" s="227" t="str">
        <f>MID(excPisCofins[[#This Row],[CodBarras2]],2,50)</f>
        <v/>
      </c>
    </row>
    <row r="19413" spans="9:9" x14ac:dyDescent="0.25">
      <c r="I19413" s="227" t="str">
        <f>MID(excPisCofins[[#This Row],[CodBarras2]],2,50)</f>
        <v/>
      </c>
    </row>
    <row r="19414" spans="9:9" x14ac:dyDescent="0.25">
      <c r="I19414" s="227" t="str">
        <f>MID(excPisCofins[[#This Row],[CodBarras2]],2,50)</f>
        <v/>
      </c>
    </row>
    <row r="19415" spans="9:9" x14ac:dyDescent="0.25">
      <c r="I19415" s="227" t="str">
        <f>MID(excPisCofins[[#This Row],[CodBarras2]],2,50)</f>
        <v/>
      </c>
    </row>
    <row r="19416" spans="9:9" x14ac:dyDescent="0.25">
      <c r="I19416" s="227" t="str">
        <f>MID(excPisCofins[[#This Row],[CodBarras2]],2,50)</f>
        <v/>
      </c>
    </row>
    <row r="19417" spans="9:9" x14ac:dyDescent="0.25">
      <c r="I19417" s="227" t="str">
        <f>MID(excPisCofins[[#This Row],[CodBarras2]],2,50)</f>
        <v/>
      </c>
    </row>
    <row r="19418" spans="9:9" x14ac:dyDescent="0.25">
      <c r="I19418" s="227" t="str">
        <f>MID(excPisCofins[[#This Row],[CodBarras2]],2,50)</f>
        <v/>
      </c>
    </row>
    <row r="19419" spans="9:9" x14ac:dyDescent="0.25">
      <c r="I19419" s="227" t="str">
        <f>MID(excPisCofins[[#This Row],[CodBarras2]],2,50)</f>
        <v/>
      </c>
    </row>
    <row r="19420" spans="9:9" x14ac:dyDescent="0.25">
      <c r="I19420" s="227" t="str">
        <f>MID(excPisCofins[[#This Row],[CodBarras2]],2,50)</f>
        <v/>
      </c>
    </row>
    <row r="19421" spans="9:9" x14ac:dyDescent="0.25">
      <c r="I19421" s="227" t="str">
        <f>MID(excPisCofins[[#This Row],[CodBarras2]],2,50)</f>
        <v/>
      </c>
    </row>
    <row r="19422" spans="9:9" x14ac:dyDescent="0.25">
      <c r="I19422" s="227" t="str">
        <f>MID(excPisCofins[[#This Row],[CodBarras2]],2,50)</f>
        <v/>
      </c>
    </row>
    <row r="19423" spans="9:9" x14ac:dyDescent="0.25">
      <c r="I19423" s="227" t="str">
        <f>MID(excPisCofins[[#This Row],[CodBarras2]],2,50)</f>
        <v/>
      </c>
    </row>
    <row r="19424" spans="9:9" x14ac:dyDescent="0.25">
      <c r="I19424" s="227" t="str">
        <f>MID(excPisCofins[[#This Row],[CodBarras2]],2,50)</f>
        <v/>
      </c>
    </row>
    <row r="19425" spans="9:9" x14ac:dyDescent="0.25">
      <c r="I19425" s="227" t="str">
        <f>MID(excPisCofins[[#This Row],[CodBarras2]],2,50)</f>
        <v/>
      </c>
    </row>
    <row r="19426" spans="9:9" x14ac:dyDescent="0.25">
      <c r="I19426" s="227" t="str">
        <f>MID(excPisCofins[[#This Row],[CodBarras2]],2,50)</f>
        <v/>
      </c>
    </row>
    <row r="19427" spans="9:9" x14ac:dyDescent="0.25">
      <c r="I19427" s="227" t="str">
        <f>MID(excPisCofins[[#This Row],[CodBarras2]],2,50)</f>
        <v/>
      </c>
    </row>
    <row r="19428" spans="9:9" x14ac:dyDescent="0.25">
      <c r="I19428" s="227" t="str">
        <f>MID(excPisCofins[[#This Row],[CodBarras2]],2,50)</f>
        <v/>
      </c>
    </row>
    <row r="19429" spans="9:9" x14ac:dyDescent="0.25">
      <c r="I19429" s="227" t="str">
        <f>MID(excPisCofins[[#This Row],[CodBarras2]],2,50)</f>
        <v/>
      </c>
    </row>
    <row r="19430" spans="9:9" x14ac:dyDescent="0.25">
      <c r="I19430" s="227" t="str">
        <f>MID(excPisCofins[[#This Row],[CodBarras2]],2,50)</f>
        <v/>
      </c>
    </row>
    <row r="19431" spans="9:9" x14ac:dyDescent="0.25">
      <c r="I19431" s="227" t="str">
        <f>MID(excPisCofins[[#This Row],[CodBarras2]],2,50)</f>
        <v/>
      </c>
    </row>
    <row r="19432" spans="9:9" x14ac:dyDescent="0.25">
      <c r="I19432" s="227" t="str">
        <f>MID(excPisCofins[[#This Row],[CodBarras2]],2,50)</f>
        <v/>
      </c>
    </row>
    <row r="19433" spans="9:9" x14ac:dyDescent="0.25">
      <c r="I19433" s="227" t="str">
        <f>MID(excPisCofins[[#This Row],[CodBarras2]],2,50)</f>
        <v/>
      </c>
    </row>
    <row r="19434" spans="9:9" x14ac:dyDescent="0.25">
      <c r="I19434" s="227" t="str">
        <f>MID(excPisCofins[[#This Row],[CodBarras2]],2,50)</f>
        <v/>
      </c>
    </row>
    <row r="19435" spans="9:9" x14ac:dyDescent="0.25">
      <c r="I19435" s="227" t="str">
        <f>MID(excPisCofins[[#This Row],[CodBarras2]],2,50)</f>
        <v/>
      </c>
    </row>
    <row r="19436" spans="9:9" x14ac:dyDescent="0.25">
      <c r="I19436" s="227" t="str">
        <f>MID(excPisCofins[[#This Row],[CodBarras2]],2,50)</f>
        <v/>
      </c>
    </row>
    <row r="19437" spans="9:9" x14ac:dyDescent="0.25">
      <c r="I19437" s="227" t="str">
        <f>MID(excPisCofins[[#This Row],[CodBarras2]],2,50)</f>
        <v/>
      </c>
    </row>
    <row r="19438" spans="9:9" x14ac:dyDescent="0.25">
      <c r="I19438" s="227" t="str">
        <f>MID(excPisCofins[[#This Row],[CodBarras2]],2,50)</f>
        <v/>
      </c>
    </row>
    <row r="19439" spans="9:9" x14ac:dyDescent="0.25">
      <c r="I19439" s="227" t="str">
        <f>MID(excPisCofins[[#This Row],[CodBarras2]],2,50)</f>
        <v/>
      </c>
    </row>
    <row r="19440" spans="9:9" x14ac:dyDescent="0.25">
      <c r="I19440" s="227" t="str">
        <f>MID(excPisCofins[[#This Row],[CodBarras2]],2,50)</f>
        <v/>
      </c>
    </row>
    <row r="19441" spans="9:9" x14ac:dyDescent="0.25">
      <c r="I19441" s="227" t="str">
        <f>MID(excPisCofins[[#This Row],[CodBarras2]],2,50)</f>
        <v/>
      </c>
    </row>
    <row r="19442" spans="9:9" x14ac:dyDescent="0.25">
      <c r="I19442" s="227" t="str">
        <f>MID(excPisCofins[[#This Row],[CodBarras2]],2,50)</f>
        <v/>
      </c>
    </row>
    <row r="19443" spans="9:9" x14ac:dyDescent="0.25">
      <c r="I19443" s="227" t="str">
        <f>MID(excPisCofins[[#This Row],[CodBarras2]],2,50)</f>
        <v/>
      </c>
    </row>
    <row r="19444" spans="9:9" x14ac:dyDescent="0.25">
      <c r="I19444" s="227" t="str">
        <f>MID(excPisCofins[[#This Row],[CodBarras2]],2,50)</f>
        <v/>
      </c>
    </row>
    <row r="19445" spans="9:9" x14ac:dyDescent="0.25">
      <c r="I19445" s="227" t="str">
        <f>MID(excPisCofins[[#This Row],[CodBarras2]],2,50)</f>
        <v/>
      </c>
    </row>
    <row r="19446" spans="9:9" x14ac:dyDescent="0.25">
      <c r="I19446" s="227" t="str">
        <f>MID(excPisCofins[[#This Row],[CodBarras2]],2,50)</f>
        <v/>
      </c>
    </row>
    <row r="19447" spans="9:9" x14ac:dyDescent="0.25">
      <c r="I19447" s="227" t="str">
        <f>MID(excPisCofins[[#This Row],[CodBarras2]],2,50)</f>
        <v/>
      </c>
    </row>
    <row r="19448" spans="9:9" x14ac:dyDescent="0.25">
      <c r="I19448" s="227" t="str">
        <f>MID(excPisCofins[[#This Row],[CodBarras2]],2,50)</f>
        <v/>
      </c>
    </row>
    <row r="19449" spans="9:9" x14ac:dyDescent="0.25">
      <c r="I19449" s="227" t="str">
        <f>MID(excPisCofins[[#This Row],[CodBarras2]],2,50)</f>
        <v/>
      </c>
    </row>
    <row r="19450" spans="9:9" x14ac:dyDescent="0.25">
      <c r="I19450" s="227" t="str">
        <f>MID(excPisCofins[[#This Row],[CodBarras2]],2,50)</f>
        <v/>
      </c>
    </row>
    <row r="19451" spans="9:9" x14ac:dyDescent="0.25">
      <c r="I19451" s="227" t="str">
        <f>MID(excPisCofins[[#This Row],[CodBarras2]],2,50)</f>
        <v/>
      </c>
    </row>
    <row r="19452" spans="9:9" x14ac:dyDescent="0.25">
      <c r="I19452" s="227" t="str">
        <f>MID(excPisCofins[[#This Row],[CodBarras2]],2,50)</f>
        <v/>
      </c>
    </row>
    <row r="19453" spans="9:9" x14ac:dyDescent="0.25">
      <c r="I19453" s="227" t="str">
        <f>MID(excPisCofins[[#This Row],[CodBarras2]],2,50)</f>
        <v/>
      </c>
    </row>
    <row r="19454" spans="9:9" x14ac:dyDescent="0.25">
      <c r="I19454" s="227" t="str">
        <f>MID(excPisCofins[[#This Row],[CodBarras2]],2,50)</f>
        <v/>
      </c>
    </row>
    <row r="19455" spans="9:9" x14ac:dyDescent="0.25">
      <c r="I19455" s="227" t="str">
        <f>MID(excPisCofins[[#This Row],[CodBarras2]],2,50)</f>
        <v/>
      </c>
    </row>
    <row r="19456" spans="9:9" x14ac:dyDescent="0.25">
      <c r="I19456" s="227" t="str">
        <f>MID(excPisCofins[[#This Row],[CodBarras2]],2,50)</f>
        <v/>
      </c>
    </row>
    <row r="19457" spans="9:9" x14ac:dyDescent="0.25">
      <c r="I19457" s="227" t="str">
        <f>MID(excPisCofins[[#This Row],[CodBarras2]],2,50)</f>
        <v/>
      </c>
    </row>
    <row r="19458" spans="9:9" x14ac:dyDescent="0.25">
      <c r="I19458" s="227" t="str">
        <f>MID(excPisCofins[[#This Row],[CodBarras2]],2,50)</f>
        <v/>
      </c>
    </row>
    <row r="19459" spans="9:9" x14ac:dyDescent="0.25">
      <c r="I19459" s="227" t="str">
        <f>MID(excPisCofins[[#This Row],[CodBarras2]],2,50)</f>
        <v/>
      </c>
    </row>
    <row r="19460" spans="9:9" x14ac:dyDescent="0.25">
      <c r="I19460" s="227" t="str">
        <f>MID(excPisCofins[[#This Row],[CodBarras2]],2,50)</f>
        <v/>
      </c>
    </row>
    <row r="19461" spans="9:9" x14ac:dyDescent="0.25">
      <c r="I19461" s="227" t="str">
        <f>MID(excPisCofins[[#This Row],[CodBarras2]],2,50)</f>
        <v/>
      </c>
    </row>
    <row r="19462" spans="9:9" x14ac:dyDescent="0.25">
      <c r="I19462" s="227" t="str">
        <f>MID(excPisCofins[[#This Row],[CodBarras2]],2,50)</f>
        <v/>
      </c>
    </row>
    <row r="19463" spans="9:9" x14ac:dyDescent="0.25">
      <c r="I19463" s="227" t="str">
        <f>MID(excPisCofins[[#This Row],[CodBarras2]],2,50)</f>
        <v/>
      </c>
    </row>
    <row r="19464" spans="9:9" x14ac:dyDescent="0.25">
      <c r="I19464" s="227" t="str">
        <f>MID(excPisCofins[[#This Row],[CodBarras2]],2,50)</f>
        <v/>
      </c>
    </row>
    <row r="19465" spans="9:9" x14ac:dyDescent="0.25">
      <c r="I19465" s="227" t="str">
        <f>MID(excPisCofins[[#This Row],[CodBarras2]],2,50)</f>
        <v/>
      </c>
    </row>
    <row r="19466" spans="9:9" x14ac:dyDescent="0.25">
      <c r="I19466" s="227" t="str">
        <f>MID(excPisCofins[[#This Row],[CodBarras2]],2,50)</f>
        <v/>
      </c>
    </row>
    <row r="19467" spans="9:9" x14ac:dyDescent="0.25">
      <c r="I19467" s="227" t="str">
        <f>MID(excPisCofins[[#This Row],[CodBarras2]],2,50)</f>
        <v/>
      </c>
    </row>
    <row r="19468" spans="9:9" x14ac:dyDescent="0.25">
      <c r="I19468" s="227" t="str">
        <f>MID(excPisCofins[[#This Row],[CodBarras2]],2,50)</f>
        <v/>
      </c>
    </row>
    <row r="19469" spans="9:9" x14ac:dyDescent="0.25">
      <c r="I19469" s="227" t="str">
        <f>MID(excPisCofins[[#This Row],[CodBarras2]],2,50)</f>
        <v/>
      </c>
    </row>
    <row r="19470" spans="9:9" x14ac:dyDescent="0.25">
      <c r="I19470" s="227" t="str">
        <f>MID(excPisCofins[[#This Row],[CodBarras2]],2,50)</f>
        <v/>
      </c>
    </row>
    <row r="19471" spans="9:9" x14ac:dyDescent="0.25">
      <c r="I19471" s="227" t="str">
        <f>MID(excPisCofins[[#This Row],[CodBarras2]],2,50)</f>
        <v/>
      </c>
    </row>
    <row r="19472" spans="9:9" x14ac:dyDescent="0.25">
      <c r="I19472" s="227" t="str">
        <f>MID(excPisCofins[[#This Row],[CodBarras2]],2,50)</f>
        <v/>
      </c>
    </row>
    <row r="19473" spans="9:9" x14ac:dyDescent="0.25">
      <c r="I19473" s="227" t="str">
        <f>MID(excPisCofins[[#This Row],[CodBarras2]],2,50)</f>
        <v/>
      </c>
    </row>
    <row r="19474" spans="9:9" x14ac:dyDescent="0.25">
      <c r="I19474" s="227" t="str">
        <f>MID(excPisCofins[[#This Row],[CodBarras2]],2,50)</f>
        <v/>
      </c>
    </row>
    <row r="19475" spans="9:9" x14ac:dyDescent="0.25">
      <c r="I19475" s="227" t="str">
        <f>MID(excPisCofins[[#This Row],[CodBarras2]],2,50)</f>
        <v/>
      </c>
    </row>
    <row r="19476" spans="9:9" x14ac:dyDescent="0.25">
      <c r="I19476" s="227" t="str">
        <f>MID(excPisCofins[[#This Row],[CodBarras2]],2,50)</f>
        <v/>
      </c>
    </row>
    <row r="19477" spans="9:9" x14ac:dyDescent="0.25">
      <c r="I19477" s="227" t="str">
        <f>MID(excPisCofins[[#This Row],[CodBarras2]],2,50)</f>
        <v/>
      </c>
    </row>
    <row r="19478" spans="9:9" x14ac:dyDescent="0.25">
      <c r="I19478" s="227" t="str">
        <f>MID(excPisCofins[[#This Row],[CodBarras2]],2,50)</f>
        <v/>
      </c>
    </row>
    <row r="19479" spans="9:9" x14ac:dyDescent="0.25">
      <c r="I19479" s="227" t="str">
        <f>MID(excPisCofins[[#This Row],[CodBarras2]],2,50)</f>
        <v/>
      </c>
    </row>
    <row r="19480" spans="9:9" x14ac:dyDescent="0.25">
      <c r="I19480" s="227" t="str">
        <f>MID(excPisCofins[[#This Row],[CodBarras2]],2,50)</f>
        <v/>
      </c>
    </row>
    <row r="19481" spans="9:9" x14ac:dyDescent="0.25">
      <c r="I19481" s="227" t="str">
        <f>MID(excPisCofins[[#This Row],[CodBarras2]],2,50)</f>
        <v/>
      </c>
    </row>
    <row r="19482" spans="9:9" x14ac:dyDescent="0.25">
      <c r="I19482" s="227" t="str">
        <f>MID(excPisCofins[[#This Row],[CodBarras2]],2,50)</f>
        <v/>
      </c>
    </row>
    <row r="19483" spans="9:9" x14ac:dyDescent="0.25">
      <c r="I19483" s="227" t="str">
        <f>MID(excPisCofins[[#This Row],[CodBarras2]],2,50)</f>
        <v/>
      </c>
    </row>
    <row r="19484" spans="9:9" x14ac:dyDescent="0.25">
      <c r="I19484" s="227" t="str">
        <f>MID(excPisCofins[[#This Row],[CodBarras2]],2,50)</f>
        <v/>
      </c>
    </row>
    <row r="19485" spans="9:9" x14ac:dyDescent="0.25">
      <c r="I19485" s="227" t="str">
        <f>MID(excPisCofins[[#This Row],[CodBarras2]],2,50)</f>
        <v/>
      </c>
    </row>
    <row r="19486" spans="9:9" x14ac:dyDescent="0.25">
      <c r="I19486" s="227" t="str">
        <f>MID(excPisCofins[[#This Row],[CodBarras2]],2,50)</f>
        <v/>
      </c>
    </row>
    <row r="19487" spans="9:9" x14ac:dyDescent="0.25">
      <c r="I19487" s="227" t="str">
        <f>MID(excPisCofins[[#This Row],[CodBarras2]],2,50)</f>
        <v/>
      </c>
    </row>
    <row r="19488" spans="9:9" x14ac:dyDescent="0.25">
      <c r="I19488" s="227" t="str">
        <f>MID(excPisCofins[[#This Row],[CodBarras2]],2,50)</f>
        <v/>
      </c>
    </row>
    <row r="19489" spans="9:9" x14ac:dyDescent="0.25">
      <c r="I19489" s="227" t="str">
        <f>MID(excPisCofins[[#This Row],[CodBarras2]],2,50)</f>
        <v/>
      </c>
    </row>
    <row r="19490" spans="9:9" x14ac:dyDescent="0.25">
      <c r="I19490" s="227" t="str">
        <f>MID(excPisCofins[[#This Row],[CodBarras2]],2,50)</f>
        <v/>
      </c>
    </row>
    <row r="19491" spans="9:9" x14ac:dyDescent="0.25">
      <c r="I19491" s="227" t="str">
        <f>MID(excPisCofins[[#This Row],[CodBarras2]],2,50)</f>
        <v/>
      </c>
    </row>
    <row r="19492" spans="9:9" x14ac:dyDescent="0.25">
      <c r="I19492" s="227" t="str">
        <f>MID(excPisCofins[[#This Row],[CodBarras2]],2,50)</f>
        <v/>
      </c>
    </row>
    <row r="19493" spans="9:9" x14ac:dyDescent="0.25">
      <c r="I19493" s="227" t="str">
        <f>MID(excPisCofins[[#This Row],[CodBarras2]],2,50)</f>
        <v/>
      </c>
    </row>
    <row r="19494" spans="9:9" x14ac:dyDescent="0.25">
      <c r="I19494" s="227" t="str">
        <f>MID(excPisCofins[[#This Row],[CodBarras2]],2,50)</f>
        <v/>
      </c>
    </row>
    <row r="19495" spans="9:9" x14ac:dyDescent="0.25">
      <c r="I19495" s="227" t="str">
        <f>MID(excPisCofins[[#This Row],[CodBarras2]],2,50)</f>
        <v/>
      </c>
    </row>
    <row r="19496" spans="9:9" x14ac:dyDescent="0.25">
      <c r="I19496" s="227" t="str">
        <f>MID(excPisCofins[[#This Row],[CodBarras2]],2,50)</f>
        <v/>
      </c>
    </row>
    <row r="19497" spans="9:9" x14ac:dyDescent="0.25">
      <c r="I19497" s="227" t="str">
        <f>MID(excPisCofins[[#This Row],[CodBarras2]],2,50)</f>
        <v/>
      </c>
    </row>
    <row r="19498" spans="9:9" x14ac:dyDescent="0.25">
      <c r="I19498" s="227" t="str">
        <f>MID(excPisCofins[[#This Row],[CodBarras2]],2,50)</f>
        <v/>
      </c>
    </row>
    <row r="19499" spans="9:9" x14ac:dyDescent="0.25">
      <c r="I19499" s="227" t="str">
        <f>MID(excPisCofins[[#This Row],[CodBarras2]],2,50)</f>
        <v/>
      </c>
    </row>
    <row r="19500" spans="9:9" x14ac:dyDescent="0.25">
      <c r="I19500" s="227" t="str">
        <f>MID(excPisCofins[[#This Row],[CodBarras2]],2,50)</f>
        <v/>
      </c>
    </row>
    <row r="19501" spans="9:9" x14ac:dyDescent="0.25">
      <c r="I19501" s="227" t="str">
        <f>MID(excPisCofins[[#This Row],[CodBarras2]],2,50)</f>
        <v/>
      </c>
    </row>
    <row r="19502" spans="9:9" x14ac:dyDescent="0.25">
      <c r="I19502" s="227" t="str">
        <f>MID(excPisCofins[[#This Row],[CodBarras2]],2,50)</f>
        <v/>
      </c>
    </row>
    <row r="19503" spans="9:9" x14ac:dyDescent="0.25">
      <c r="I19503" s="227" t="str">
        <f>MID(excPisCofins[[#This Row],[CodBarras2]],2,50)</f>
        <v/>
      </c>
    </row>
    <row r="19504" spans="9:9" x14ac:dyDescent="0.25">
      <c r="I19504" s="227" t="str">
        <f>MID(excPisCofins[[#This Row],[CodBarras2]],2,50)</f>
        <v/>
      </c>
    </row>
    <row r="19505" spans="9:9" x14ac:dyDescent="0.25">
      <c r="I19505" s="227" t="str">
        <f>MID(excPisCofins[[#This Row],[CodBarras2]],2,50)</f>
        <v/>
      </c>
    </row>
    <row r="19506" spans="9:9" x14ac:dyDescent="0.25">
      <c r="I19506" s="227" t="str">
        <f>MID(excPisCofins[[#This Row],[CodBarras2]],2,50)</f>
        <v/>
      </c>
    </row>
    <row r="19507" spans="9:9" x14ac:dyDescent="0.25">
      <c r="I19507" s="227" t="str">
        <f>MID(excPisCofins[[#This Row],[CodBarras2]],2,50)</f>
        <v/>
      </c>
    </row>
    <row r="19508" spans="9:9" x14ac:dyDescent="0.25">
      <c r="I19508" s="227" t="str">
        <f>MID(excPisCofins[[#This Row],[CodBarras2]],2,50)</f>
        <v/>
      </c>
    </row>
    <row r="19509" spans="9:9" x14ac:dyDescent="0.25">
      <c r="I19509" s="227" t="str">
        <f>MID(excPisCofins[[#This Row],[CodBarras2]],2,50)</f>
        <v/>
      </c>
    </row>
    <row r="19510" spans="9:9" x14ac:dyDescent="0.25">
      <c r="I19510" s="227" t="str">
        <f>MID(excPisCofins[[#This Row],[CodBarras2]],2,50)</f>
        <v/>
      </c>
    </row>
    <row r="19511" spans="9:9" x14ac:dyDescent="0.25">
      <c r="I19511" s="227" t="str">
        <f>MID(excPisCofins[[#This Row],[CodBarras2]],2,50)</f>
        <v/>
      </c>
    </row>
    <row r="19512" spans="9:9" x14ac:dyDescent="0.25">
      <c r="I19512" s="227" t="str">
        <f>MID(excPisCofins[[#This Row],[CodBarras2]],2,50)</f>
        <v/>
      </c>
    </row>
    <row r="19513" spans="9:9" x14ac:dyDescent="0.25">
      <c r="I19513" s="227" t="str">
        <f>MID(excPisCofins[[#This Row],[CodBarras2]],2,50)</f>
        <v/>
      </c>
    </row>
    <row r="19514" spans="9:9" x14ac:dyDescent="0.25">
      <c r="I19514" s="227" t="str">
        <f>MID(excPisCofins[[#This Row],[CodBarras2]],2,50)</f>
        <v/>
      </c>
    </row>
    <row r="19515" spans="9:9" x14ac:dyDescent="0.25">
      <c r="I19515" s="227" t="str">
        <f>MID(excPisCofins[[#This Row],[CodBarras2]],2,50)</f>
        <v/>
      </c>
    </row>
    <row r="19516" spans="9:9" x14ac:dyDescent="0.25">
      <c r="I19516" s="227" t="str">
        <f>MID(excPisCofins[[#This Row],[CodBarras2]],2,50)</f>
        <v/>
      </c>
    </row>
    <row r="19517" spans="9:9" x14ac:dyDescent="0.25">
      <c r="I19517" s="227" t="str">
        <f>MID(excPisCofins[[#This Row],[CodBarras2]],2,50)</f>
        <v/>
      </c>
    </row>
    <row r="19518" spans="9:9" x14ac:dyDescent="0.25">
      <c r="I19518" s="227" t="str">
        <f>MID(excPisCofins[[#This Row],[CodBarras2]],2,50)</f>
        <v/>
      </c>
    </row>
    <row r="19519" spans="9:9" x14ac:dyDescent="0.25">
      <c r="I19519" s="227" t="str">
        <f>MID(excPisCofins[[#This Row],[CodBarras2]],2,50)</f>
        <v/>
      </c>
    </row>
    <row r="19520" spans="9:9" x14ac:dyDescent="0.25">
      <c r="I19520" s="227" t="str">
        <f>MID(excPisCofins[[#This Row],[CodBarras2]],2,50)</f>
        <v/>
      </c>
    </row>
    <row r="19521" spans="9:9" x14ac:dyDescent="0.25">
      <c r="I19521" s="227" t="str">
        <f>MID(excPisCofins[[#This Row],[CodBarras2]],2,50)</f>
        <v/>
      </c>
    </row>
    <row r="19522" spans="9:9" x14ac:dyDescent="0.25">
      <c r="I19522" s="227" t="str">
        <f>MID(excPisCofins[[#This Row],[CodBarras2]],2,50)</f>
        <v/>
      </c>
    </row>
    <row r="19523" spans="9:9" x14ac:dyDescent="0.25">
      <c r="I19523" s="227" t="str">
        <f>MID(excPisCofins[[#This Row],[CodBarras2]],2,50)</f>
        <v/>
      </c>
    </row>
    <row r="19524" spans="9:9" x14ac:dyDescent="0.25">
      <c r="I19524" s="227" t="str">
        <f>MID(excPisCofins[[#This Row],[CodBarras2]],2,50)</f>
        <v/>
      </c>
    </row>
    <row r="19525" spans="9:9" x14ac:dyDescent="0.25">
      <c r="I19525" s="227" t="str">
        <f>MID(excPisCofins[[#This Row],[CodBarras2]],2,50)</f>
        <v/>
      </c>
    </row>
    <row r="19526" spans="9:9" x14ac:dyDescent="0.25">
      <c r="I19526" s="227" t="str">
        <f>MID(excPisCofins[[#This Row],[CodBarras2]],2,50)</f>
        <v/>
      </c>
    </row>
    <row r="19527" spans="9:9" x14ac:dyDescent="0.25">
      <c r="I19527" s="227" t="str">
        <f>MID(excPisCofins[[#This Row],[CodBarras2]],2,50)</f>
        <v/>
      </c>
    </row>
    <row r="19528" spans="9:9" x14ac:dyDescent="0.25">
      <c r="I19528" s="227" t="str">
        <f>MID(excPisCofins[[#This Row],[CodBarras2]],2,50)</f>
        <v/>
      </c>
    </row>
    <row r="19529" spans="9:9" x14ac:dyDescent="0.25">
      <c r="I19529" s="227" t="str">
        <f>MID(excPisCofins[[#This Row],[CodBarras2]],2,50)</f>
        <v/>
      </c>
    </row>
    <row r="19530" spans="9:9" x14ac:dyDescent="0.25">
      <c r="I19530" s="227" t="str">
        <f>MID(excPisCofins[[#This Row],[CodBarras2]],2,50)</f>
        <v/>
      </c>
    </row>
    <row r="19531" spans="9:9" x14ac:dyDescent="0.25">
      <c r="I19531" s="227" t="str">
        <f>MID(excPisCofins[[#This Row],[CodBarras2]],2,50)</f>
        <v/>
      </c>
    </row>
    <row r="19532" spans="9:9" x14ac:dyDescent="0.25">
      <c r="I19532" s="227" t="str">
        <f>MID(excPisCofins[[#This Row],[CodBarras2]],2,50)</f>
        <v/>
      </c>
    </row>
    <row r="19533" spans="9:9" x14ac:dyDescent="0.25">
      <c r="I19533" s="227" t="str">
        <f>MID(excPisCofins[[#This Row],[CodBarras2]],2,50)</f>
        <v/>
      </c>
    </row>
    <row r="19534" spans="9:9" x14ac:dyDescent="0.25">
      <c r="I19534" s="227" t="str">
        <f>MID(excPisCofins[[#This Row],[CodBarras2]],2,50)</f>
        <v/>
      </c>
    </row>
    <row r="19535" spans="9:9" x14ac:dyDescent="0.25">
      <c r="I19535" s="227" t="str">
        <f>MID(excPisCofins[[#This Row],[CodBarras2]],2,50)</f>
        <v/>
      </c>
    </row>
    <row r="19536" spans="9:9" x14ac:dyDescent="0.25">
      <c r="I19536" s="227" t="str">
        <f>MID(excPisCofins[[#This Row],[CodBarras2]],2,50)</f>
        <v/>
      </c>
    </row>
    <row r="19537" spans="9:9" x14ac:dyDescent="0.25">
      <c r="I19537" s="227" t="str">
        <f>MID(excPisCofins[[#This Row],[CodBarras2]],2,50)</f>
        <v/>
      </c>
    </row>
    <row r="19538" spans="9:9" x14ac:dyDescent="0.25">
      <c r="I19538" s="227" t="str">
        <f>MID(excPisCofins[[#This Row],[CodBarras2]],2,50)</f>
        <v/>
      </c>
    </row>
    <row r="19539" spans="9:9" x14ac:dyDescent="0.25">
      <c r="I19539" s="227" t="str">
        <f>MID(excPisCofins[[#This Row],[CodBarras2]],2,50)</f>
        <v/>
      </c>
    </row>
    <row r="19540" spans="9:9" x14ac:dyDescent="0.25">
      <c r="I19540" s="227" t="str">
        <f>MID(excPisCofins[[#This Row],[CodBarras2]],2,50)</f>
        <v/>
      </c>
    </row>
    <row r="19541" spans="9:9" x14ac:dyDescent="0.25">
      <c r="I19541" s="227" t="str">
        <f>MID(excPisCofins[[#This Row],[CodBarras2]],2,50)</f>
        <v/>
      </c>
    </row>
    <row r="19542" spans="9:9" x14ac:dyDescent="0.25">
      <c r="I19542" s="227" t="str">
        <f>MID(excPisCofins[[#This Row],[CodBarras2]],2,50)</f>
        <v/>
      </c>
    </row>
    <row r="19543" spans="9:9" x14ac:dyDescent="0.25">
      <c r="I19543" s="227" t="str">
        <f>MID(excPisCofins[[#This Row],[CodBarras2]],2,50)</f>
        <v/>
      </c>
    </row>
    <row r="19544" spans="9:9" x14ac:dyDescent="0.25">
      <c r="I19544" s="227" t="str">
        <f>MID(excPisCofins[[#This Row],[CodBarras2]],2,50)</f>
        <v/>
      </c>
    </row>
    <row r="19545" spans="9:9" x14ac:dyDescent="0.25">
      <c r="I19545" s="227" t="str">
        <f>MID(excPisCofins[[#This Row],[CodBarras2]],2,50)</f>
        <v/>
      </c>
    </row>
    <row r="19546" spans="9:9" x14ac:dyDescent="0.25">
      <c r="I19546" s="227" t="str">
        <f>MID(excPisCofins[[#This Row],[CodBarras2]],2,50)</f>
        <v/>
      </c>
    </row>
    <row r="19547" spans="9:9" x14ac:dyDescent="0.25">
      <c r="I19547" s="227" t="str">
        <f>MID(excPisCofins[[#This Row],[CodBarras2]],2,50)</f>
        <v/>
      </c>
    </row>
    <row r="19548" spans="9:9" x14ac:dyDescent="0.25">
      <c r="I19548" s="227" t="str">
        <f>MID(excPisCofins[[#This Row],[CodBarras2]],2,50)</f>
        <v/>
      </c>
    </row>
    <row r="19549" spans="9:9" x14ac:dyDescent="0.25">
      <c r="I19549" s="227" t="str">
        <f>MID(excPisCofins[[#This Row],[CodBarras2]],2,50)</f>
        <v/>
      </c>
    </row>
    <row r="19550" spans="9:9" x14ac:dyDescent="0.25">
      <c r="I19550" s="227" t="str">
        <f>MID(excPisCofins[[#This Row],[CodBarras2]],2,50)</f>
        <v/>
      </c>
    </row>
    <row r="19551" spans="9:9" x14ac:dyDescent="0.25">
      <c r="I19551" s="227" t="str">
        <f>MID(excPisCofins[[#This Row],[CodBarras2]],2,50)</f>
        <v/>
      </c>
    </row>
    <row r="19552" spans="9:9" x14ac:dyDescent="0.25">
      <c r="I19552" s="227" t="str">
        <f>MID(excPisCofins[[#This Row],[CodBarras2]],2,50)</f>
        <v/>
      </c>
    </row>
    <row r="19553" spans="9:9" x14ac:dyDescent="0.25">
      <c r="I19553" s="227" t="str">
        <f>MID(excPisCofins[[#This Row],[CodBarras2]],2,50)</f>
        <v/>
      </c>
    </row>
    <row r="19554" spans="9:9" x14ac:dyDescent="0.25">
      <c r="I19554" s="227" t="str">
        <f>MID(excPisCofins[[#This Row],[CodBarras2]],2,50)</f>
        <v/>
      </c>
    </row>
    <row r="19555" spans="9:9" x14ac:dyDescent="0.25">
      <c r="I19555" s="227" t="str">
        <f>MID(excPisCofins[[#This Row],[CodBarras2]],2,50)</f>
        <v/>
      </c>
    </row>
    <row r="19556" spans="9:9" x14ac:dyDescent="0.25">
      <c r="I19556" s="227" t="str">
        <f>MID(excPisCofins[[#This Row],[CodBarras2]],2,50)</f>
        <v/>
      </c>
    </row>
    <row r="19557" spans="9:9" x14ac:dyDescent="0.25">
      <c r="I19557" s="227" t="str">
        <f>MID(excPisCofins[[#This Row],[CodBarras2]],2,50)</f>
        <v/>
      </c>
    </row>
    <row r="19558" spans="9:9" x14ac:dyDescent="0.25">
      <c r="I19558" s="227" t="str">
        <f>MID(excPisCofins[[#This Row],[CodBarras2]],2,50)</f>
        <v/>
      </c>
    </row>
    <row r="19559" spans="9:9" x14ac:dyDescent="0.25">
      <c r="I19559" s="227" t="str">
        <f>MID(excPisCofins[[#This Row],[CodBarras2]],2,50)</f>
        <v/>
      </c>
    </row>
    <row r="19560" spans="9:9" x14ac:dyDescent="0.25">
      <c r="I19560" s="227" t="str">
        <f>MID(excPisCofins[[#This Row],[CodBarras2]],2,50)</f>
        <v/>
      </c>
    </row>
    <row r="19561" spans="9:9" x14ac:dyDescent="0.25">
      <c r="I19561" s="227" t="str">
        <f>MID(excPisCofins[[#This Row],[CodBarras2]],2,50)</f>
        <v/>
      </c>
    </row>
    <row r="19562" spans="9:9" x14ac:dyDescent="0.25">
      <c r="I19562" s="227" t="str">
        <f>MID(excPisCofins[[#This Row],[CodBarras2]],2,50)</f>
        <v/>
      </c>
    </row>
    <row r="19563" spans="9:9" x14ac:dyDescent="0.25">
      <c r="I19563" s="227" t="str">
        <f>MID(excPisCofins[[#This Row],[CodBarras2]],2,50)</f>
        <v/>
      </c>
    </row>
    <row r="19564" spans="9:9" x14ac:dyDescent="0.25">
      <c r="I19564" s="227" t="str">
        <f>MID(excPisCofins[[#This Row],[CodBarras2]],2,50)</f>
        <v/>
      </c>
    </row>
    <row r="19565" spans="9:9" x14ac:dyDescent="0.25">
      <c r="I19565" s="227" t="str">
        <f>MID(excPisCofins[[#This Row],[CodBarras2]],2,50)</f>
        <v/>
      </c>
    </row>
    <row r="19566" spans="9:9" x14ac:dyDescent="0.25">
      <c r="I19566" s="227" t="str">
        <f>MID(excPisCofins[[#This Row],[CodBarras2]],2,50)</f>
        <v/>
      </c>
    </row>
    <row r="19567" spans="9:9" x14ac:dyDescent="0.25">
      <c r="I19567" s="227" t="str">
        <f>MID(excPisCofins[[#This Row],[CodBarras2]],2,50)</f>
        <v/>
      </c>
    </row>
    <row r="19568" spans="9:9" x14ac:dyDescent="0.25">
      <c r="I19568" s="227" t="str">
        <f>MID(excPisCofins[[#This Row],[CodBarras2]],2,50)</f>
        <v/>
      </c>
    </row>
    <row r="19569" spans="9:9" x14ac:dyDescent="0.25">
      <c r="I19569" s="227" t="str">
        <f>MID(excPisCofins[[#This Row],[CodBarras2]],2,50)</f>
        <v/>
      </c>
    </row>
    <row r="19570" spans="9:9" x14ac:dyDescent="0.25">
      <c r="I19570" s="227" t="str">
        <f>MID(excPisCofins[[#This Row],[CodBarras2]],2,50)</f>
        <v/>
      </c>
    </row>
    <row r="19571" spans="9:9" x14ac:dyDescent="0.25">
      <c r="I19571" s="227" t="str">
        <f>MID(excPisCofins[[#This Row],[CodBarras2]],2,50)</f>
        <v/>
      </c>
    </row>
    <row r="19572" spans="9:9" x14ac:dyDescent="0.25">
      <c r="I19572" s="227" t="str">
        <f>MID(excPisCofins[[#This Row],[CodBarras2]],2,50)</f>
        <v/>
      </c>
    </row>
    <row r="19573" spans="9:9" x14ac:dyDescent="0.25">
      <c r="I19573" s="227" t="str">
        <f>MID(excPisCofins[[#This Row],[CodBarras2]],2,50)</f>
        <v/>
      </c>
    </row>
    <row r="19574" spans="9:9" x14ac:dyDescent="0.25">
      <c r="I19574" s="227" t="str">
        <f>MID(excPisCofins[[#This Row],[CodBarras2]],2,50)</f>
        <v/>
      </c>
    </row>
    <row r="19575" spans="9:9" x14ac:dyDescent="0.25">
      <c r="I19575" s="227" t="str">
        <f>MID(excPisCofins[[#This Row],[CodBarras2]],2,50)</f>
        <v/>
      </c>
    </row>
    <row r="19576" spans="9:9" x14ac:dyDescent="0.25">
      <c r="I19576" s="227" t="str">
        <f>MID(excPisCofins[[#This Row],[CodBarras2]],2,50)</f>
        <v/>
      </c>
    </row>
    <row r="19577" spans="9:9" x14ac:dyDescent="0.25">
      <c r="I19577" s="227" t="str">
        <f>MID(excPisCofins[[#This Row],[CodBarras2]],2,50)</f>
        <v/>
      </c>
    </row>
    <row r="19578" spans="9:9" x14ac:dyDescent="0.25">
      <c r="I19578" s="227" t="str">
        <f>MID(excPisCofins[[#This Row],[CodBarras2]],2,50)</f>
        <v/>
      </c>
    </row>
    <row r="19579" spans="9:9" x14ac:dyDescent="0.25">
      <c r="I19579" s="227" t="str">
        <f>MID(excPisCofins[[#This Row],[CodBarras2]],2,50)</f>
        <v/>
      </c>
    </row>
    <row r="19580" spans="9:9" x14ac:dyDescent="0.25">
      <c r="I19580" s="227" t="str">
        <f>MID(excPisCofins[[#This Row],[CodBarras2]],2,50)</f>
        <v/>
      </c>
    </row>
    <row r="19581" spans="9:9" x14ac:dyDescent="0.25">
      <c r="I19581" s="227" t="str">
        <f>MID(excPisCofins[[#This Row],[CodBarras2]],2,50)</f>
        <v/>
      </c>
    </row>
    <row r="19582" spans="9:9" x14ac:dyDescent="0.25">
      <c r="I19582" s="227" t="str">
        <f>MID(excPisCofins[[#This Row],[CodBarras2]],2,50)</f>
        <v/>
      </c>
    </row>
    <row r="19583" spans="9:9" x14ac:dyDescent="0.25">
      <c r="I19583" s="227" t="str">
        <f>MID(excPisCofins[[#This Row],[CodBarras2]],2,50)</f>
        <v/>
      </c>
    </row>
    <row r="19584" spans="9:9" x14ac:dyDescent="0.25">
      <c r="I19584" s="227" t="str">
        <f>MID(excPisCofins[[#This Row],[CodBarras2]],2,50)</f>
        <v/>
      </c>
    </row>
    <row r="19585" spans="9:9" x14ac:dyDescent="0.25">
      <c r="I19585" s="227" t="str">
        <f>MID(excPisCofins[[#This Row],[CodBarras2]],2,50)</f>
        <v/>
      </c>
    </row>
    <row r="19586" spans="9:9" x14ac:dyDescent="0.25">
      <c r="I19586" s="227" t="str">
        <f>MID(excPisCofins[[#This Row],[CodBarras2]],2,50)</f>
        <v/>
      </c>
    </row>
    <row r="19587" spans="9:9" x14ac:dyDescent="0.25">
      <c r="I19587" s="227" t="str">
        <f>MID(excPisCofins[[#This Row],[CodBarras2]],2,50)</f>
        <v/>
      </c>
    </row>
    <row r="19588" spans="9:9" x14ac:dyDescent="0.25">
      <c r="I19588" s="227" t="str">
        <f>MID(excPisCofins[[#This Row],[CodBarras2]],2,50)</f>
        <v/>
      </c>
    </row>
    <row r="19589" spans="9:9" x14ac:dyDescent="0.25">
      <c r="I19589" s="227" t="str">
        <f>MID(excPisCofins[[#This Row],[CodBarras2]],2,50)</f>
        <v/>
      </c>
    </row>
    <row r="19590" spans="9:9" x14ac:dyDescent="0.25">
      <c r="I19590" s="227" t="str">
        <f>MID(excPisCofins[[#This Row],[CodBarras2]],2,50)</f>
        <v/>
      </c>
    </row>
    <row r="19591" spans="9:9" x14ac:dyDescent="0.25">
      <c r="I19591" s="227" t="str">
        <f>MID(excPisCofins[[#This Row],[CodBarras2]],2,50)</f>
        <v/>
      </c>
    </row>
    <row r="19592" spans="9:9" x14ac:dyDescent="0.25">
      <c r="I19592" s="227" t="str">
        <f>MID(excPisCofins[[#This Row],[CodBarras2]],2,50)</f>
        <v/>
      </c>
    </row>
    <row r="19593" spans="9:9" x14ac:dyDescent="0.25">
      <c r="I19593" s="227" t="str">
        <f>MID(excPisCofins[[#This Row],[CodBarras2]],2,50)</f>
        <v/>
      </c>
    </row>
    <row r="19594" spans="9:9" x14ac:dyDescent="0.25">
      <c r="I19594" s="227" t="str">
        <f>MID(excPisCofins[[#This Row],[CodBarras2]],2,50)</f>
        <v/>
      </c>
    </row>
    <row r="19595" spans="9:9" x14ac:dyDescent="0.25">
      <c r="I19595" s="227" t="str">
        <f>MID(excPisCofins[[#This Row],[CodBarras2]],2,50)</f>
        <v/>
      </c>
    </row>
    <row r="19596" spans="9:9" x14ac:dyDescent="0.25">
      <c r="I19596" s="227" t="str">
        <f>MID(excPisCofins[[#This Row],[CodBarras2]],2,50)</f>
        <v/>
      </c>
    </row>
    <row r="19597" spans="9:9" x14ac:dyDescent="0.25">
      <c r="I19597" s="227" t="str">
        <f>MID(excPisCofins[[#This Row],[CodBarras2]],2,50)</f>
        <v/>
      </c>
    </row>
    <row r="19598" spans="9:9" x14ac:dyDescent="0.25">
      <c r="I19598" s="227" t="str">
        <f>MID(excPisCofins[[#This Row],[CodBarras2]],2,50)</f>
        <v/>
      </c>
    </row>
    <row r="19599" spans="9:9" x14ac:dyDescent="0.25">
      <c r="I19599" s="227" t="str">
        <f>MID(excPisCofins[[#This Row],[CodBarras2]],2,50)</f>
        <v/>
      </c>
    </row>
    <row r="19600" spans="9:9" x14ac:dyDescent="0.25">
      <c r="I19600" s="227" t="str">
        <f>MID(excPisCofins[[#This Row],[CodBarras2]],2,50)</f>
        <v/>
      </c>
    </row>
    <row r="19601" spans="9:9" x14ac:dyDescent="0.25">
      <c r="I19601" s="227" t="str">
        <f>MID(excPisCofins[[#This Row],[CodBarras2]],2,50)</f>
        <v/>
      </c>
    </row>
    <row r="19602" spans="9:9" x14ac:dyDescent="0.25">
      <c r="I19602" s="227" t="str">
        <f>MID(excPisCofins[[#This Row],[CodBarras2]],2,50)</f>
        <v/>
      </c>
    </row>
    <row r="19603" spans="9:9" x14ac:dyDescent="0.25">
      <c r="I19603" s="227" t="str">
        <f>MID(excPisCofins[[#This Row],[CodBarras2]],2,50)</f>
        <v/>
      </c>
    </row>
    <row r="19604" spans="9:9" x14ac:dyDescent="0.25">
      <c r="I19604" s="227" t="str">
        <f>MID(excPisCofins[[#This Row],[CodBarras2]],2,50)</f>
        <v/>
      </c>
    </row>
    <row r="19605" spans="9:9" x14ac:dyDescent="0.25">
      <c r="I19605" s="227" t="str">
        <f>MID(excPisCofins[[#This Row],[CodBarras2]],2,50)</f>
        <v/>
      </c>
    </row>
    <row r="19606" spans="9:9" x14ac:dyDescent="0.25">
      <c r="I19606" s="227" t="str">
        <f>MID(excPisCofins[[#This Row],[CodBarras2]],2,50)</f>
        <v/>
      </c>
    </row>
    <row r="19607" spans="9:9" x14ac:dyDescent="0.25">
      <c r="I19607" s="227" t="str">
        <f>MID(excPisCofins[[#This Row],[CodBarras2]],2,50)</f>
        <v/>
      </c>
    </row>
    <row r="19608" spans="9:9" x14ac:dyDescent="0.25">
      <c r="I19608" s="227" t="str">
        <f>MID(excPisCofins[[#This Row],[CodBarras2]],2,50)</f>
        <v/>
      </c>
    </row>
    <row r="19609" spans="9:9" x14ac:dyDescent="0.25">
      <c r="I19609" s="227" t="str">
        <f>MID(excPisCofins[[#This Row],[CodBarras2]],2,50)</f>
        <v/>
      </c>
    </row>
    <row r="19610" spans="9:9" x14ac:dyDescent="0.25">
      <c r="I19610" s="227" t="str">
        <f>MID(excPisCofins[[#This Row],[CodBarras2]],2,50)</f>
        <v/>
      </c>
    </row>
    <row r="19611" spans="9:9" x14ac:dyDescent="0.25">
      <c r="I19611" s="227" t="str">
        <f>MID(excPisCofins[[#This Row],[CodBarras2]],2,50)</f>
        <v/>
      </c>
    </row>
    <row r="19612" spans="9:9" x14ac:dyDescent="0.25">
      <c r="I19612" s="227" t="str">
        <f>MID(excPisCofins[[#This Row],[CodBarras2]],2,50)</f>
        <v/>
      </c>
    </row>
    <row r="19613" spans="9:9" x14ac:dyDescent="0.25">
      <c r="I19613" s="227" t="str">
        <f>MID(excPisCofins[[#This Row],[CodBarras2]],2,50)</f>
        <v/>
      </c>
    </row>
    <row r="19614" spans="9:9" x14ac:dyDescent="0.25">
      <c r="I19614" s="227" t="str">
        <f>MID(excPisCofins[[#This Row],[CodBarras2]],2,50)</f>
        <v/>
      </c>
    </row>
    <row r="19615" spans="9:9" x14ac:dyDescent="0.25">
      <c r="I19615" s="227" t="str">
        <f>MID(excPisCofins[[#This Row],[CodBarras2]],2,50)</f>
        <v/>
      </c>
    </row>
    <row r="19616" spans="9:9" x14ac:dyDescent="0.25">
      <c r="I19616" s="227" t="str">
        <f>MID(excPisCofins[[#This Row],[CodBarras2]],2,50)</f>
        <v/>
      </c>
    </row>
    <row r="19617" spans="9:9" x14ac:dyDescent="0.25">
      <c r="I19617" s="227" t="str">
        <f>MID(excPisCofins[[#This Row],[CodBarras2]],2,50)</f>
        <v/>
      </c>
    </row>
    <row r="19618" spans="9:9" x14ac:dyDescent="0.25">
      <c r="I19618" s="227" t="str">
        <f>MID(excPisCofins[[#This Row],[CodBarras2]],2,50)</f>
        <v/>
      </c>
    </row>
    <row r="19619" spans="9:9" x14ac:dyDescent="0.25">
      <c r="I19619" s="227" t="str">
        <f>MID(excPisCofins[[#This Row],[CodBarras2]],2,50)</f>
        <v/>
      </c>
    </row>
    <row r="19620" spans="9:9" x14ac:dyDescent="0.25">
      <c r="I19620" s="227" t="str">
        <f>MID(excPisCofins[[#This Row],[CodBarras2]],2,50)</f>
        <v/>
      </c>
    </row>
    <row r="19621" spans="9:9" x14ac:dyDescent="0.25">
      <c r="I19621" s="227" t="str">
        <f>MID(excPisCofins[[#This Row],[CodBarras2]],2,50)</f>
        <v/>
      </c>
    </row>
    <row r="19622" spans="9:9" x14ac:dyDescent="0.25">
      <c r="I19622" s="227" t="str">
        <f>MID(excPisCofins[[#This Row],[CodBarras2]],2,50)</f>
        <v/>
      </c>
    </row>
    <row r="19623" spans="9:9" x14ac:dyDescent="0.25">
      <c r="I19623" s="227" t="str">
        <f>MID(excPisCofins[[#This Row],[CodBarras2]],2,50)</f>
        <v/>
      </c>
    </row>
    <row r="19624" spans="9:9" x14ac:dyDescent="0.25">
      <c r="I19624" s="227" t="str">
        <f>MID(excPisCofins[[#This Row],[CodBarras2]],2,50)</f>
        <v/>
      </c>
    </row>
    <row r="19625" spans="9:9" x14ac:dyDescent="0.25">
      <c r="I19625" s="227" t="str">
        <f>MID(excPisCofins[[#This Row],[CodBarras2]],2,50)</f>
        <v/>
      </c>
    </row>
    <row r="19626" spans="9:9" x14ac:dyDescent="0.25">
      <c r="I19626" s="227" t="str">
        <f>MID(excPisCofins[[#This Row],[CodBarras2]],2,50)</f>
        <v/>
      </c>
    </row>
    <row r="19627" spans="9:9" x14ac:dyDescent="0.25">
      <c r="I19627" s="227" t="str">
        <f>MID(excPisCofins[[#This Row],[CodBarras2]],2,50)</f>
        <v/>
      </c>
    </row>
    <row r="19628" spans="9:9" x14ac:dyDescent="0.25">
      <c r="I19628" s="227" t="str">
        <f>MID(excPisCofins[[#This Row],[CodBarras2]],2,50)</f>
        <v/>
      </c>
    </row>
    <row r="19629" spans="9:9" x14ac:dyDescent="0.25">
      <c r="I19629" s="227" t="str">
        <f>MID(excPisCofins[[#This Row],[CodBarras2]],2,50)</f>
        <v/>
      </c>
    </row>
    <row r="19630" spans="9:9" x14ac:dyDescent="0.25">
      <c r="I19630" s="227" t="str">
        <f>MID(excPisCofins[[#This Row],[CodBarras2]],2,50)</f>
        <v/>
      </c>
    </row>
    <row r="19631" spans="9:9" x14ac:dyDescent="0.25">
      <c r="I19631" s="227" t="str">
        <f>MID(excPisCofins[[#This Row],[CodBarras2]],2,50)</f>
        <v/>
      </c>
    </row>
    <row r="19632" spans="9:9" x14ac:dyDescent="0.25">
      <c r="I19632" s="227" t="str">
        <f>MID(excPisCofins[[#This Row],[CodBarras2]],2,50)</f>
        <v/>
      </c>
    </row>
    <row r="19633" spans="9:9" x14ac:dyDescent="0.25">
      <c r="I19633" s="227" t="str">
        <f>MID(excPisCofins[[#This Row],[CodBarras2]],2,50)</f>
        <v/>
      </c>
    </row>
    <row r="19634" spans="9:9" x14ac:dyDescent="0.25">
      <c r="I19634" s="227" t="str">
        <f>MID(excPisCofins[[#This Row],[CodBarras2]],2,50)</f>
        <v/>
      </c>
    </row>
    <row r="19635" spans="9:9" x14ac:dyDescent="0.25">
      <c r="I19635" s="227" t="str">
        <f>MID(excPisCofins[[#This Row],[CodBarras2]],2,50)</f>
        <v/>
      </c>
    </row>
    <row r="19636" spans="9:9" x14ac:dyDescent="0.25">
      <c r="I19636" s="227" t="str">
        <f>MID(excPisCofins[[#This Row],[CodBarras2]],2,50)</f>
        <v/>
      </c>
    </row>
    <row r="19637" spans="9:9" x14ac:dyDescent="0.25">
      <c r="I19637" s="227" t="str">
        <f>MID(excPisCofins[[#This Row],[CodBarras2]],2,50)</f>
        <v/>
      </c>
    </row>
    <row r="19638" spans="9:9" x14ac:dyDescent="0.25">
      <c r="I19638" s="227" t="str">
        <f>MID(excPisCofins[[#This Row],[CodBarras2]],2,50)</f>
        <v/>
      </c>
    </row>
    <row r="19639" spans="9:9" x14ac:dyDescent="0.25">
      <c r="I19639" s="227" t="str">
        <f>MID(excPisCofins[[#This Row],[CodBarras2]],2,50)</f>
        <v/>
      </c>
    </row>
    <row r="19640" spans="9:9" x14ac:dyDescent="0.25">
      <c r="I19640" s="227" t="str">
        <f>MID(excPisCofins[[#This Row],[CodBarras2]],2,50)</f>
        <v/>
      </c>
    </row>
    <row r="19641" spans="9:9" x14ac:dyDescent="0.25">
      <c r="I19641" s="227" t="str">
        <f>MID(excPisCofins[[#This Row],[CodBarras2]],2,50)</f>
        <v/>
      </c>
    </row>
    <row r="19642" spans="9:9" x14ac:dyDescent="0.25">
      <c r="I19642" s="227" t="str">
        <f>MID(excPisCofins[[#This Row],[CodBarras2]],2,50)</f>
        <v/>
      </c>
    </row>
    <row r="19643" spans="9:9" x14ac:dyDescent="0.25">
      <c r="I19643" s="227" t="str">
        <f>MID(excPisCofins[[#This Row],[CodBarras2]],2,50)</f>
        <v/>
      </c>
    </row>
    <row r="19644" spans="9:9" x14ac:dyDescent="0.25">
      <c r="I19644" s="227" t="str">
        <f>MID(excPisCofins[[#This Row],[CodBarras2]],2,50)</f>
        <v/>
      </c>
    </row>
    <row r="19645" spans="9:9" x14ac:dyDescent="0.25">
      <c r="I19645" s="227" t="str">
        <f>MID(excPisCofins[[#This Row],[CodBarras2]],2,50)</f>
        <v/>
      </c>
    </row>
    <row r="19646" spans="9:9" x14ac:dyDescent="0.25">
      <c r="I19646" s="227" t="str">
        <f>MID(excPisCofins[[#This Row],[CodBarras2]],2,50)</f>
        <v/>
      </c>
    </row>
    <row r="19647" spans="9:9" x14ac:dyDescent="0.25">
      <c r="I19647" s="227" t="str">
        <f>MID(excPisCofins[[#This Row],[CodBarras2]],2,50)</f>
        <v/>
      </c>
    </row>
    <row r="19648" spans="9:9" x14ac:dyDescent="0.25">
      <c r="I19648" s="227" t="str">
        <f>MID(excPisCofins[[#This Row],[CodBarras2]],2,50)</f>
        <v/>
      </c>
    </row>
    <row r="19649" spans="9:9" x14ac:dyDescent="0.25">
      <c r="I19649" s="227" t="str">
        <f>MID(excPisCofins[[#This Row],[CodBarras2]],2,50)</f>
        <v/>
      </c>
    </row>
    <row r="19650" spans="9:9" x14ac:dyDescent="0.25">
      <c r="I19650" s="227" t="str">
        <f>MID(excPisCofins[[#This Row],[CodBarras2]],2,50)</f>
        <v/>
      </c>
    </row>
    <row r="19651" spans="9:9" x14ac:dyDescent="0.25">
      <c r="I19651" s="227" t="str">
        <f>MID(excPisCofins[[#This Row],[CodBarras2]],2,50)</f>
        <v/>
      </c>
    </row>
    <row r="19652" spans="9:9" x14ac:dyDescent="0.25">
      <c r="I19652" s="227" t="str">
        <f>MID(excPisCofins[[#This Row],[CodBarras2]],2,50)</f>
        <v/>
      </c>
    </row>
    <row r="19653" spans="9:9" x14ac:dyDescent="0.25">
      <c r="I19653" s="227" t="str">
        <f>MID(excPisCofins[[#This Row],[CodBarras2]],2,50)</f>
        <v/>
      </c>
    </row>
    <row r="19654" spans="9:9" x14ac:dyDescent="0.25">
      <c r="I19654" s="227" t="str">
        <f>MID(excPisCofins[[#This Row],[CodBarras2]],2,50)</f>
        <v/>
      </c>
    </row>
    <row r="19655" spans="9:9" x14ac:dyDescent="0.25">
      <c r="I19655" s="227" t="str">
        <f>MID(excPisCofins[[#This Row],[CodBarras2]],2,50)</f>
        <v/>
      </c>
    </row>
    <row r="19656" spans="9:9" x14ac:dyDescent="0.25">
      <c r="I19656" s="227" t="str">
        <f>MID(excPisCofins[[#This Row],[CodBarras2]],2,50)</f>
        <v/>
      </c>
    </row>
    <row r="19657" spans="9:9" x14ac:dyDescent="0.25">
      <c r="I19657" s="227" t="str">
        <f>MID(excPisCofins[[#This Row],[CodBarras2]],2,50)</f>
        <v/>
      </c>
    </row>
    <row r="19658" spans="9:9" x14ac:dyDescent="0.25">
      <c r="I19658" s="227" t="str">
        <f>MID(excPisCofins[[#This Row],[CodBarras2]],2,50)</f>
        <v/>
      </c>
    </row>
    <row r="19659" spans="9:9" x14ac:dyDescent="0.25">
      <c r="I19659" s="227" t="str">
        <f>MID(excPisCofins[[#This Row],[CodBarras2]],2,50)</f>
        <v/>
      </c>
    </row>
    <row r="19660" spans="9:9" x14ac:dyDescent="0.25">
      <c r="I19660" s="227" t="str">
        <f>MID(excPisCofins[[#This Row],[CodBarras2]],2,50)</f>
        <v/>
      </c>
    </row>
    <row r="19661" spans="9:9" x14ac:dyDescent="0.25">
      <c r="I19661" s="227" t="str">
        <f>MID(excPisCofins[[#This Row],[CodBarras2]],2,50)</f>
        <v/>
      </c>
    </row>
    <row r="19662" spans="9:9" x14ac:dyDescent="0.25">
      <c r="I19662" s="227" t="str">
        <f>MID(excPisCofins[[#This Row],[CodBarras2]],2,50)</f>
        <v/>
      </c>
    </row>
    <row r="19663" spans="9:9" x14ac:dyDescent="0.25">
      <c r="I19663" s="227" t="str">
        <f>MID(excPisCofins[[#This Row],[CodBarras2]],2,50)</f>
        <v/>
      </c>
    </row>
    <row r="19664" spans="9:9" x14ac:dyDescent="0.25">
      <c r="I19664" s="227" t="str">
        <f>MID(excPisCofins[[#This Row],[CodBarras2]],2,50)</f>
        <v/>
      </c>
    </row>
    <row r="19665" spans="9:9" x14ac:dyDescent="0.25">
      <c r="I19665" s="227" t="str">
        <f>MID(excPisCofins[[#This Row],[CodBarras2]],2,50)</f>
        <v/>
      </c>
    </row>
    <row r="19666" spans="9:9" x14ac:dyDescent="0.25">
      <c r="I19666" s="227" t="str">
        <f>MID(excPisCofins[[#This Row],[CodBarras2]],2,50)</f>
        <v/>
      </c>
    </row>
    <row r="19667" spans="9:9" x14ac:dyDescent="0.25">
      <c r="I19667" s="227" t="str">
        <f>MID(excPisCofins[[#This Row],[CodBarras2]],2,50)</f>
        <v/>
      </c>
    </row>
    <row r="19668" spans="9:9" x14ac:dyDescent="0.25">
      <c r="I19668" s="227" t="str">
        <f>MID(excPisCofins[[#This Row],[CodBarras2]],2,50)</f>
        <v/>
      </c>
    </row>
    <row r="19669" spans="9:9" x14ac:dyDescent="0.25">
      <c r="I19669" s="227" t="str">
        <f>MID(excPisCofins[[#This Row],[CodBarras2]],2,50)</f>
        <v/>
      </c>
    </row>
    <row r="19670" spans="9:9" x14ac:dyDescent="0.25">
      <c r="I19670" s="227" t="str">
        <f>MID(excPisCofins[[#This Row],[CodBarras2]],2,50)</f>
        <v/>
      </c>
    </row>
    <row r="19671" spans="9:9" x14ac:dyDescent="0.25">
      <c r="I19671" s="227" t="str">
        <f>MID(excPisCofins[[#This Row],[CodBarras2]],2,50)</f>
        <v/>
      </c>
    </row>
    <row r="19672" spans="9:9" x14ac:dyDescent="0.25">
      <c r="I19672" s="227" t="str">
        <f>MID(excPisCofins[[#This Row],[CodBarras2]],2,50)</f>
        <v/>
      </c>
    </row>
    <row r="19673" spans="9:9" x14ac:dyDescent="0.25">
      <c r="I19673" s="227" t="str">
        <f>MID(excPisCofins[[#This Row],[CodBarras2]],2,50)</f>
        <v/>
      </c>
    </row>
    <row r="19674" spans="9:9" x14ac:dyDescent="0.25">
      <c r="I19674" s="227" t="str">
        <f>MID(excPisCofins[[#This Row],[CodBarras2]],2,50)</f>
        <v/>
      </c>
    </row>
    <row r="19675" spans="9:9" x14ac:dyDescent="0.25">
      <c r="I19675" s="227" t="str">
        <f>MID(excPisCofins[[#This Row],[CodBarras2]],2,50)</f>
        <v/>
      </c>
    </row>
    <row r="19676" spans="9:9" x14ac:dyDescent="0.25">
      <c r="I19676" s="227" t="str">
        <f>MID(excPisCofins[[#This Row],[CodBarras2]],2,50)</f>
        <v/>
      </c>
    </row>
    <row r="19677" spans="9:9" x14ac:dyDescent="0.25">
      <c r="I19677" s="227" t="str">
        <f>MID(excPisCofins[[#This Row],[CodBarras2]],2,50)</f>
        <v/>
      </c>
    </row>
    <row r="19678" spans="9:9" x14ac:dyDescent="0.25">
      <c r="I19678" s="227" t="str">
        <f>MID(excPisCofins[[#This Row],[CodBarras2]],2,50)</f>
        <v/>
      </c>
    </row>
    <row r="19679" spans="9:9" x14ac:dyDescent="0.25">
      <c r="I19679" s="227" t="str">
        <f>MID(excPisCofins[[#This Row],[CodBarras2]],2,50)</f>
        <v/>
      </c>
    </row>
    <row r="19680" spans="9:9" x14ac:dyDescent="0.25">
      <c r="I19680" s="227" t="str">
        <f>MID(excPisCofins[[#This Row],[CodBarras2]],2,50)</f>
        <v/>
      </c>
    </row>
    <row r="19681" spans="9:9" x14ac:dyDescent="0.25">
      <c r="I19681" s="227" t="str">
        <f>MID(excPisCofins[[#This Row],[CodBarras2]],2,50)</f>
        <v/>
      </c>
    </row>
    <row r="19682" spans="9:9" x14ac:dyDescent="0.25">
      <c r="I19682" s="227" t="str">
        <f>MID(excPisCofins[[#This Row],[CodBarras2]],2,50)</f>
        <v/>
      </c>
    </row>
    <row r="19683" spans="9:9" x14ac:dyDescent="0.25">
      <c r="I19683" s="227" t="str">
        <f>MID(excPisCofins[[#This Row],[CodBarras2]],2,50)</f>
        <v/>
      </c>
    </row>
    <row r="19684" spans="9:9" x14ac:dyDescent="0.25">
      <c r="I19684" s="227" t="str">
        <f>MID(excPisCofins[[#This Row],[CodBarras2]],2,50)</f>
        <v/>
      </c>
    </row>
    <row r="19685" spans="9:9" x14ac:dyDescent="0.25">
      <c r="I19685" s="227" t="str">
        <f>MID(excPisCofins[[#This Row],[CodBarras2]],2,50)</f>
        <v/>
      </c>
    </row>
    <row r="19686" spans="9:9" x14ac:dyDescent="0.25">
      <c r="I19686" s="227" t="str">
        <f>MID(excPisCofins[[#This Row],[CodBarras2]],2,50)</f>
        <v/>
      </c>
    </row>
    <row r="19687" spans="9:9" x14ac:dyDescent="0.25">
      <c r="I19687" s="227" t="str">
        <f>MID(excPisCofins[[#This Row],[CodBarras2]],2,50)</f>
        <v/>
      </c>
    </row>
    <row r="19688" spans="9:9" x14ac:dyDescent="0.25">
      <c r="I19688" s="227" t="str">
        <f>MID(excPisCofins[[#This Row],[CodBarras2]],2,50)</f>
        <v/>
      </c>
    </row>
    <row r="19689" spans="9:9" x14ac:dyDescent="0.25">
      <c r="I19689" s="227" t="str">
        <f>MID(excPisCofins[[#This Row],[CodBarras2]],2,50)</f>
        <v/>
      </c>
    </row>
    <row r="19690" spans="9:9" x14ac:dyDescent="0.25">
      <c r="I19690" s="227" t="str">
        <f>MID(excPisCofins[[#This Row],[CodBarras2]],2,50)</f>
        <v/>
      </c>
    </row>
    <row r="19691" spans="9:9" x14ac:dyDescent="0.25">
      <c r="I19691" s="227" t="str">
        <f>MID(excPisCofins[[#This Row],[CodBarras2]],2,50)</f>
        <v/>
      </c>
    </row>
    <row r="19692" spans="9:9" x14ac:dyDescent="0.25">
      <c r="I19692" s="227" t="str">
        <f>MID(excPisCofins[[#This Row],[CodBarras2]],2,50)</f>
        <v/>
      </c>
    </row>
    <row r="19693" spans="9:9" x14ac:dyDescent="0.25">
      <c r="I19693" s="227" t="str">
        <f>MID(excPisCofins[[#This Row],[CodBarras2]],2,50)</f>
        <v/>
      </c>
    </row>
    <row r="19694" spans="9:9" x14ac:dyDescent="0.25">
      <c r="I19694" s="227" t="str">
        <f>MID(excPisCofins[[#This Row],[CodBarras2]],2,50)</f>
        <v/>
      </c>
    </row>
    <row r="19695" spans="9:9" x14ac:dyDescent="0.25">
      <c r="I19695" s="227" t="str">
        <f>MID(excPisCofins[[#This Row],[CodBarras2]],2,50)</f>
        <v/>
      </c>
    </row>
    <row r="19696" spans="9:9" x14ac:dyDescent="0.25">
      <c r="I19696" s="227" t="str">
        <f>MID(excPisCofins[[#This Row],[CodBarras2]],2,50)</f>
        <v/>
      </c>
    </row>
    <row r="19697" spans="9:9" x14ac:dyDescent="0.25">
      <c r="I19697" s="227" t="str">
        <f>MID(excPisCofins[[#This Row],[CodBarras2]],2,50)</f>
        <v/>
      </c>
    </row>
    <row r="19698" spans="9:9" x14ac:dyDescent="0.25">
      <c r="I19698" s="227" t="str">
        <f>MID(excPisCofins[[#This Row],[CodBarras2]],2,50)</f>
        <v/>
      </c>
    </row>
    <row r="19699" spans="9:9" x14ac:dyDescent="0.25">
      <c r="I19699" s="227" t="str">
        <f>MID(excPisCofins[[#This Row],[CodBarras2]],2,50)</f>
        <v/>
      </c>
    </row>
    <row r="19700" spans="9:9" x14ac:dyDescent="0.25">
      <c r="I19700" s="227" t="str">
        <f>MID(excPisCofins[[#This Row],[CodBarras2]],2,50)</f>
        <v/>
      </c>
    </row>
    <row r="19701" spans="9:9" x14ac:dyDescent="0.25">
      <c r="I19701" s="227" t="str">
        <f>MID(excPisCofins[[#This Row],[CodBarras2]],2,50)</f>
        <v/>
      </c>
    </row>
    <row r="19702" spans="9:9" x14ac:dyDescent="0.25">
      <c r="I19702" s="227" t="str">
        <f>MID(excPisCofins[[#This Row],[CodBarras2]],2,50)</f>
        <v/>
      </c>
    </row>
    <row r="19703" spans="9:9" x14ac:dyDescent="0.25">
      <c r="I19703" s="227" t="str">
        <f>MID(excPisCofins[[#This Row],[CodBarras2]],2,50)</f>
        <v/>
      </c>
    </row>
    <row r="19704" spans="9:9" x14ac:dyDescent="0.25">
      <c r="I19704" s="227" t="str">
        <f>MID(excPisCofins[[#This Row],[CodBarras2]],2,50)</f>
        <v/>
      </c>
    </row>
    <row r="19705" spans="9:9" x14ac:dyDescent="0.25">
      <c r="I19705" s="227" t="str">
        <f>MID(excPisCofins[[#This Row],[CodBarras2]],2,50)</f>
        <v/>
      </c>
    </row>
    <row r="19706" spans="9:9" x14ac:dyDescent="0.25">
      <c r="I19706" s="227" t="str">
        <f>MID(excPisCofins[[#This Row],[CodBarras2]],2,50)</f>
        <v/>
      </c>
    </row>
    <row r="19707" spans="9:9" x14ac:dyDescent="0.25">
      <c r="I19707" s="227" t="str">
        <f>MID(excPisCofins[[#This Row],[CodBarras2]],2,50)</f>
        <v/>
      </c>
    </row>
    <row r="19708" spans="9:9" x14ac:dyDescent="0.25">
      <c r="I19708" s="227" t="str">
        <f>MID(excPisCofins[[#This Row],[CodBarras2]],2,50)</f>
        <v/>
      </c>
    </row>
    <row r="19709" spans="9:9" x14ac:dyDescent="0.25">
      <c r="I19709" s="227" t="str">
        <f>MID(excPisCofins[[#This Row],[CodBarras2]],2,50)</f>
        <v/>
      </c>
    </row>
    <row r="19710" spans="9:9" x14ac:dyDescent="0.25">
      <c r="I19710" s="227" t="str">
        <f>MID(excPisCofins[[#This Row],[CodBarras2]],2,50)</f>
        <v/>
      </c>
    </row>
    <row r="19711" spans="9:9" x14ac:dyDescent="0.25">
      <c r="I19711" s="227" t="str">
        <f>MID(excPisCofins[[#This Row],[CodBarras2]],2,50)</f>
        <v/>
      </c>
    </row>
    <row r="19712" spans="9:9" x14ac:dyDescent="0.25">
      <c r="I19712" s="227" t="str">
        <f>MID(excPisCofins[[#This Row],[CodBarras2]],2,50)</f>
        <v/>
      </c>
    </row>
    <row r="19713" spans="9:9" x14ac:dyDescent="0.25">
      <c r="I19713" s="227" t="str">
        <f>MID(excPisCofins[[#This Row],[CodBarras2]],2,50)</f>
        <v/>
      </c>
    </row>
    <row r="19714" spans="9:9" x14ac:dyDescent="0.25">
      <c r="I19714" s="227" t="str">
        <f>MID(excPisCofins[[#This Row],[CodBarras2]],2,50)</f>
        <v/>
      </c>
    </row>
    <row r="19715" spans="9:9" x14ac:dyDescent="0.25">
      <c r="I19715" s="227" t="str">
        <f>MID(excPisCofins[[#This Row],[CodBarras2]],2,50)</f>
        <v/>
      </c>
    </row>
    <row r="19716" spans="9:9" x14ac:dyDescent="0.25">
      <c r="I19716" s="227" t="str">
        <f>MID(excPisCofins[[#This Row],[CodBarras2]],2,50)</f>
        <v/>
      </c>
    </row>
    <row r="19717" spans="9:9" x14ac:dyDescent="0.25">
      <c r="I19717" s="227" t="str">
        <f>MID(excPisCofins[[#This Row],[CodBarras2]],2,50)</f>
        <v/>
      </c>
    </row>
    <row r="19718" spans="9:9" x14ac:dyDescent="0.25">
      <c r="I19718" s="227" t="str">
        <f>MID(excPisCofins[[#This Row],[CodBarras2]],2,50)</f>
        <v/>
      </c>
    </row>
    <row r="19719" spans="9:9" x14ac:dyDescent="0.25">
      <c r="I19719" s="227" t="str">
        <f>MID(excPisCofins[[#This Row],[CodBarras2]],2,50)</f>
        <v/>
      </c>
    </row>
    <row r="19720" spans="9:9" x14ac:dyDescent="0.25">
      <c r="I19720" s="227" t="str">
        <f>MID(excPisCofins[[#This Row],[CodBarras2]],2,50)</f>
        <v/>
      </c>
    </row>
    <row r="19721" spans="9:9" x14ac:dyDescent="0.25">
      <c r="I19721" s="227" t="str">
        <f>MID(excPisCofins[[#This Row],[CodBarras2]],2,50)</f>
        <v/>
      </c>
    </row>
    <row r="19722" spans="9:9" x14ac:dyDescent="0.25">
      <c r="I19722" s="227" t="str">
        <f>MID(excPisCofins[[#This Row],[CodBarras2]],2,50)</f>
        <v/>
      </c>
    </row>
    <row r="19723" spans="9:9" x14ac:dyDescent="0.25">
      <c r="I19723" s="227" t="str">
        <f>MID(excPisCofins[[#This Row],[CodBarras2]],2,50)</f>
        <v/>
      </c>
    </row>
    <row r="19724" spans="9:9" x14ac:dyDescent="0.25">
      <c r="I19724" s="227" t="str">
        <f>MID(excPisCofins[[#This Row],[CodBarras2]],2,50)</f>
        <v/>
      </c>
    </row>
    <row r="19725" spans="9:9" x14ac:dyDescent="0.25">
      <c r="I19725" s="227" t="str">
        <f>MID(excPisCofins[[#This Row],[CodBarras2]],2,50)</f>
        <v/>
      </c>
    </row>
    <row r="19726" spans="9:9" x14ac:dyDescent="0.25">
      <c r="I19726" s="227" t="str">
        <f>MID(excPisCofins[[#This Row],[CodBarras2]],2,50)</f>
        <v/>
      </c>
    </row>
    <row r="19727" spans="9:9" x14ac:dyDescent="0.25">
      <c r="I19727" s="227" t="str">
        <f>MID(excPisCofins[[#This Row],[CodBarras2]],2,50)</f>
        <v/>
      </c>
    </row>
    <row r="19728" spans="9:9" x14ac:dyDescent="0.25">
      <c r="I19728" s="227" t="str">
        <f>MID(excPisCofins[[#This Row],[CodBarras2]],2,50)</f>
        <v/>
      </c>
    </row>
    <row r="19729" spans="9:9" x14ac:dyDescent="0.25">
      <c r="I19729" s="227" t="str">
        <f>MID(excPisCofins[[#This Row],[CodBarras2]],2,50)</f>
        <v/>
      </c>
    </row>
    <row r="19730" spans="9:9" x14ac:dyDescent="0.25">
      <c r="I19730" s="227" t="str">
        <f>MID(excPisCofins[[#This Row],[CodBarras2]],2,50)</f>
        <v/>
      </c>
    </row>
    <row r="19731" spans="9:9" x14ac:dyDescent="0.25">
      <c r="I19731" s="227" t="str">
        <f>MID(excPisCofins[[#This Row],[CodBarras2]],2,50)</f>
        <v/>
      </c>
    </row>
    <row r="19732" spans="9:9" x14ac:dyDescent="0.25">
      <c r="I19732" s="227" t="str">
        <f>MID(excPisCofins[[#This Row],[CodBarras2]],2,50)</f>
        <v/>
      </c>
    </row>
    <row r="19733" spans="9:9" x14ac:dyDescent="0.25">
      <c r="I19733" s="227" t="str">
        <f>MID(excPisCofins[[#This Row],[CodBarras2]],2,50)</f>
        <v/>
      </c>
    </row>
    <row r="19734" spans="9:9" x14ac:dyDescent="0.25">
      <c r="I19734" s="227" t="str">
        <f>MID(excPisCofins[[#This Row],[CodBarras2]],2,50)</f>
        <v/>
      </c>
    </row>
    <row r="19735" spans="9:9" x14ac:dyDescent="0.25">
      <c r="I19735" s="227" t="str">
        <f>MID(excPisCofins[[#This Row],[CodBarras2]],2,50)</f>
        <v/>
      </c>
    </row>
    <row r="19736" spans="9:9" x14ac:dyDescent="0.25">
      <c r="I19736" s="227" t="str">
        <f>MID(excPisCofins[[#This Row],[CodBarras2]],2,50)</f>
        <v/>
      </c>
    </row>
    <row r="19737" spans="9:9" x14ac:dyDescent="0.25">
      <c r="I19737" s="227" t="str">
        <f>MID(excPisCofins[[#This Row],[CodBarras2]],2,50)</f>
        <v/>
      </c>
    </row>
    <row r="19738" spans="9:9" x14ac:dyDescent="0.25">
      <c r="I19738" s="227" t="str">
        <f>MID(excPisCofins[[#This Row],[CodBarras2]],2,50)</f>
        <v/>
      </c>
    </row>
    <row r="19739" spans="9:9" x14ac:dyDescent="0.25">
      <c r="I19739" s="227" t="str">
        <f>MID(excPisCofins[[#This Row],[CodBarras2]],2,50)</f>
        <v/>
      </c>
    </row>
    <row r="19740" spans="9:9" x14ac:dyDescent="0.25">
      <c r="I19740" s="227" t="str">
        <f>MID(excPisCofins[[#This Row],[CodBarras2]],2,50)</f>
        <v/>
      </c>
    </row>
    <row r="19741" spans="9:9" x14ac:dyDescent="0.25">
      <c r="I19741" s="227" t="str">
        <f>MID(excPisCofins[[#This Row],[CodBarras2]],2,50)</f>
        <v/>
      </c>
    </row>
    <row r="19742" spans="9:9" x14ac:dyDescent="0.25">
      <c r="I19742" s="227" t="str">
        <f>MID(excPisCofins[[#This Row],[CodBarras2]],2,50)</f>
        <v/>
      </c>
    </row>
    <row r="19743" spans="9:9" x14ac:dyDescent="0.25">
      <c r="I19743" s="227" t="str">
        <f>MID(excPisCofins[[#This Row],[CodBarras2]],2,50)</f>
        <v/>
      </c>
    </row>
    <row r="19744" spans="9:9" x14ac:dyDescent="0.25">
      <c r="I19744" s="227" t="str">
        <f>MID(excPisCofins[[#This Row],[CodBarras2]],2,50)</f>
        <v/>
      </c>
    </row>
    <row r="19745" spans="9:9" x14ac:dyDescent="0.25">
      <c r="I19745" s="227" t="str">
        <f>MID(excPisCofins[[#This Row],[CodBarras2]],2,50)</f>
        <v/>
      </c>
    </row>
    <row r="19746" spans="9:9" x14ac:dyDescent="0.25">
      <c r="I19746" s="227" t="str">
        <f>MID(excPisCofins[[#This Row],[CodBarras2]],2,50)</f>
        <v/>
      </c>
    </row>
    <row r="19747" spans="9:9" x14ac:dyDescent="0.25">
      <c r="I19747" s="227" t="str">
        <f>MID(excPisCofins[[#This Row],[CodBarras2]],2,50)</f>
        <v/>
      </c>
    </row>
    <row r="19748" spans="9:9" x14ac:dyDescent="0.25">
      <c r="I19748" s="227" t="str">
        <f>MID(excPisCofins[[#This Row],[CodBarras2]],2,50)</f>
        <v/>
      </c>
    </row>
    <row r="19749" spans="9:9" x14ac:dyDescent="0.25">
      <c r="I19749" s="227" t="str">
        <f>MID(excPisCofins[[#This Row],[CodBarras2]],2,50)</f>
        <v/>
      </c>
    </row>
    <row r="19750" spans="9:9" x14ac:dyDescent="0.25">
      <c r="I19750" s="227" t="str">
        <f>MID(excPisCofins[[#This Row],[CodBarras2]],2,50)</f>
        <v/>
      </c>
    </row>
    <row r="19751" spans="9:9" x14ac:dyDescent="0.25">
      <c r="I19751" s="227" t="str">
        <f>MID(excPisCofins[[#This Row],[CodBarras2]],2,50)</f>
        <v/>
      </c>
    </row>
    <row r="19752" spans="9:9" x14ac:dyDescent="0.25">
      <c r="I19752" s="227" t="str">
        <f>MID(excPisCofins[[#This Row],[CodBarras2]],2,50)</f>
        <v/>
      </c>
    </row>
    <row r="19753" spans="9:9" x14ac:dyDescent="0.25">
      <c r="I19753" s="227" t="str">
        <f>MID(excPisCofins[[#This Row],[CodBarras2]],2,50)</f>
        <v/>
      </c>
    </row>
    <row r="19754" spans="9:9" x14ac:dyDescent="0.25">
      <c r="I19754" s="227" t="str">
        <f>MID(excPisCofins[[#This Row],[CodBarras2]],2,50)</f>
        <v/>
      </c>
    </row>
    <row r="19755" spans="9:9" x14ac:dyDescent="0.25">
      <c r="I19755" s="227" t="str">
        <f>MID(excPisCofins[[#This Row],[CodBarras2]],2,50)</f>
        <v/>
      </c>
    </row>
    <row r="19756" spans="9:9" x14ac:dyDescent="0.25">
      <c r="I19756" s="227" t="str">
        <f>MID(excPisCofins[[#This Row],[CodBarras2]],2,50)</f>
        <v/>
      </c>
    </row>
    <row r="19757" spans="9:9" x14ac:dyDescent="0.25">
      <c r="I19757" s="227" t="str">
        <f>MID(excPisCofins[[#This Row],[CodBarras2]],2,50)</f>
        <v/>
      </c>
    </row>
    <row r="19758" spans="9:9" x14ac:dyDescent="0.25">
      <c r="I19758" s="227" t="str">
        <f>MID(excPisCofins[[#This Row],[CodBarras2]],2,50)</f>
        <v/>
      </c>
    </row>
    <row r="19759" spans="9:9" x14ac:dyDescent="0.25">
      <c r="I19759" s="227" t="str">
        <f>MID(excPisCofins[[#This Row],[CodBarras2]],2,50)</f>
        <v/>
      </c>
    </row>
    <row r="19760" spans="9:9" x14ac:dyDescent="0.25">
      <c r="I19760" s="227" t="str">
        <f>MID(excPisCofins[[#This Row],[CodBarras2]],2,50)</f>
        <v/>
      </c>
    </row>
    <row r="19761" spans="9:9" x14ac:dyDescent="0.25">
      <c r="I19761" s="227" t="str">
        <f>MID(excPisCofins[[#This Row],[CodBarras2]],2,50)</f>
        <v/>
      </c>
    </row>
    <row r="19762" spans="9:9" x14ac:dyDescent="0.25">
      <c r="I19762" s="227" t="str">
        <f>MID(excPisCofins[[#This Row],[CodBarras2]],2,50)</f>
        <v/>
      </c>
    </row>
    <row r="19763" spans="9:9" x14ac:dyDescent="0.25">
      <c r="I19763" s="227" t="str">
        <f>MID(excPisCofins[[#This Row],[CodBarras2]],2,50)</f>
        <v/>
      </c>
    </row>
    <row r="19764" spans="9:9" x14ac:dyDescent="0.25">
      <c r="I19764" s="227" t="str">
        <f>MID(excPisCofins[[#This Row],[CodBarras2]],2,50)</f>
        <v/>
      </c>
    </row>
    <row r="19765" spans="9:9" x14ac:dyDescent="0.25">
      <c r="I19765" s="227" t="str">
        <f>MID(excPisCofins[[#This Row],[CodBarras2]],2,50)</f>
        <v/>
      </c>
    </row>
    <row r="19766" spans="9:9" x14ac:dyDescent="0.25">
      <c r="I19766" s="227" t="str">
        <f>MID(excPisCofins[[#This Row],[CodBarras2]],2,50)</f>
        <v/>
      </c>
    </row>
    <row r="19767" spans="9:9" x14ac:dyDescent="0.25">
      <c r="I19767" s="227" t="str">
        <f>MID(excPisCofins[[#This Row],[CodBarras2]],2,50)</f>
        <v/>
      </c>
    </row>
    <row r="19768" spans="9:9" x14ac:dyDescent="0.25">
      <c r="I19768" s="227" t="str">
        <f>MID(excPisCofins[[#This Row],[CodBarras2]],2,50)</f>
        <v/>
      </c>
    </row>
    <row r="19769" spans="9:9" x14ac:dyDescent="0.25">
      <c r="I19769" s="227" t="str">
        <f>MID(excPisCofins[[#This Row],[CodBarras2]],2,50)</f>
        <v/>
      </c>
    </row>
    <row r="19770" spans="9:9" x14ac:dyDescent="0.25">
      <c r="I19770" s="227" t="str">
        <f>MID(excPisCofins[[#This Row],[CodBarras2]],2,50)</f>
        <v/>
      </c>
    </row>
    <row r="19771" spans="9:9" x14ac:dyDescent="0.25">
      <c r="I19771" s="227" t="str">
        <f>MID(excPisCofins[[#This Row],[CodBarras2]],2,50)</f>
        <v/>
      </c>
    </row>
    <row r="19772" spans="9:9" x14ac:dyDescent="0.25">
      <c r="I19772" s="227" t="str">
        <f>MID(excPisCofins[[#This Row],[CodBarras2]],2,50)</f>
        <v/>
      </c>
    </row>
    <row r="19773" spans="9:9" x14ac:dyDescent="0.25">
      <c r="I19773" s="227" t="str">
        <f>MID(excPisCofins[[#This Row],[CodBarras2]],2,50)</f>
        <v/>
      </c>
    </row>
    <row r="19774" spans="9:9" x14ac:dyDescent="0.25">
      <c r="I19774" s="227" t="str">
        <f>MID(excPisCofins[[#This Row],[CodBarras2]],2,50)</f>
        <v/>
      </c>
    </row>
    <row r="19775" spans="9:9" x14ac:dyDescent="0.25">
      <c r="I19775" s="227" t="str">
        <f>MID(excPisCofins[[#This Row],[CodBarras2]],2,50)</f>
        <v/>
      </c>
    </row>
    <row r="19776" spans="9:9" x14ac:dyDescent="0.25">
      <c r="I19776" s="227" t="str">
        <f>MID(excPisCofins[[#This Row],[CodBarras2]],2,50)</f>
        <v/>
      </c>
    </row>
    <row r="19777" spans="9:9" x14ac:dyDescent="0.25">
      <c r="I19777" s="227" t="str">
        <f>MID(excPisCofins[[#This Row],[CodBarras2]],2,50)</f>
        <v/>
      </c>
    </row>
    <row r="19778" spans="9:9" x14ac:dyDescent="0.25">
      <c r="I19778" s="227" t="str">
        <f>MID(excPisCofins[[#This Row],[CodBarras2]],2,50)</f>
        <v/>
      </c>
    </row>
    <row r="19779" spans="9:9" x14ac:dyDescent="0.25">
      <c r="I19779" s="227" t="str">
        <f>MID(excPisCofins[[#This Row],[CodBarras2]],2,50)</f>
        <v/>
      </c>
    </row>
    <row r="19780" spans="9:9" x14ac:dyDescent="0.25">
      <c r="I19780" s="227" t="str">
        <f>MID(excPisCofins[[#This Row],[CodBarras2]],2,50)</f>
        <v/>
      </c>
    </row>
    <row r="19781" spans="9:9" x14ac:dyDescent="0.25">
      <c r="I19781" s="227" t="str">
        <f>MID(excPisCofins[[#This Row],[CodBarras2]],2,50)</f>
        <v/>
      </c>
    </row>
    <row r="19782" spans="9:9" x14ac:dyDescent="0.25">
      <c r="I19782" s="227" t="str">
        <f>MID(excPisCofins[[#This Row],[CodBarras2]],2,50)</f>
        <v/>
      </c>
    </row>
    <row r="19783" spans="9:9" x14ac:dyDescent="0.25">
      <c r="I19783" s="227" t="str">
        <f>MID(excPisCofins[[#This Row],[CodBarras2]],2,50)</f>
        <v/>
      </c>
    </row>
    <row r="19784" spans="9:9" x14ac:dyDescent="0.25">
      <c r="I19784" s="227" t="str">
        <f>MID(excPisCofins[[#This Row],[CodBarras2]],2,50)</f>
        <v/>
      </c>
    </row>
    <row r="19785" spans="9:9" x14ac:dyDescent="0.25">
      <c r="I19785" s="227" t="str">
        <f>MID(excPisCofins[[#This Row],[CodBarras2]],2,50)</f>
        <v/>
      </c>
    </row>
    <row r="19786" spans="9:9" x14ac:dyDescent="0.25">
      <c r="I19786" s="227" t="str">
        <f>MID(excPisCofins[[#This Row],[CodBarras2]],2,50)</f>
        <v/>
      </c>
    </row>
    <row r="19787" spans="9:9" x14ac:dyDescent="0.25">
      <c r="I19787" s="227" t="str">
        <f>MID(excPisCofins[[#This Row],[CodBarras2]],2,50)</f>
        <v/>
      </c>
    </row>
    <row r="19788" spans="9:9" x14ac:dyDescent="0.25">
      <c r="I19788" s="227" t="str">
        <f>MID(excPisCofins[[#This Row],[CodBarras2]],2,50)</f>
        <v/>
      </c>
    </row>
    <row r="19789" spans="9:9" x14ac:dyDescent="0.25">
      <c r="I19789" s="227" t="str">
        <f>MID(excPisCofins[[#This Row],[CodBarras2]],2,50)</f>
        <v/>
      </c>
    </row>
    <row r="19790" spans="9:9" x14ac:dyDescent="0.25">
      <c r="I19790" s="227" t="str">
        <f>MID(excPisCofins[[#This Row],[CodBarras2]],2,50)</f>
        <v/>
      </c>
    </row>
    <row r="19791" spans="9:9" x14ac:dyDescent="0.25">
      <c r="I19791" s="227" t="str">
        <f>MID(excPisCofins[[#This Row],[CodBarras2]],2,50)</f>
        <v/>
      </c>
    </row>
    <row r="19792" spans="9:9" x14ac:dyDescent="0.25">
      <c r="I19792" s="227" t="str">
        <f>MID(excPisCofins[[#This Row],[CodBarras2]],2,50)</f>
        <v/>
      </c>
    </row>
    <row r="19793" spans="9:9" x14ac:dyDescent="0.25">
      <c r="I19793" s="227" t="str">
        <f>MID(excPisCofins[[#This Row],[CodBarras2]],2,50)</f>
        <v/>
      </c>
    </row>
    <row r="19794" spans="9:9" x14ac:dyDescent="0.25">
      <c r="I19794" s="227" t="str">
        <f>MID(excPisCofins[[#This Row],[CodBarras2]],2,50)</f>
        <v/>
      </c>
    </row>
    <row r="19795" spans="9:9" x14ac:dyDescent="0.25">
      <c r="I19795" s="227" t="str">
        <f>MID(excPisCofins[[#This Row],[CodBarras2]],2,50)</f>
        <v/>
      </c>
    </row>
    <row r="19796" spans="9:9" x14ac:dyDescent="0.25">
      <c r="I19796" s="227" t="str">
        <f>MID(excPisCofins[[#This Row],[CodBarras2]],2,50)</f>
        <v/>
      </c>
    </row>
    <row r="19797" spans="9:9" x14ac:dyDescent="0.25">
      <c r="I19797" s="227" t="str">
        <f>MID(excPisCofins[[#This Row],[CodBarras2]],2,50)</f>
        <v/>
      </c>
    </row>
    <row r="19798" spans="9:9" x14ac:dyDescent="0.25">
      <c r="I19798" s="227" t="str">
        <f>MID(excPisCofins[[#This Row],[CodBarras2]],2,50)</f>
        <v/>
      </c>
    </row>
    <row r="19799" spans="9:9" x14ac:dyDescent="0.25">
      <c r="I19799" s="227" t="str">
        <f>MID(excPisCofins[[#This Row],[CodBarras2]],2,50)</f>
        <v/>
      </c>
    </row>
    <row r="19800" spans="9:9" x14ac:dyDescent="0.25">
      <c r="I19800" s="227" t="str">
        <f>MID(excPisCofins[[#This Row],[CodBarras2]],2,50)</f>
        <v/>
      </c>
    </row>
    <row r="19801" spans="9:9" x14ac:dyDescent="0.25">
      <c r="I19801" s="227" t="str">
        <f>MID(excPisCofins[[#This Row],[CodBarras2]],2,50)</f>
        <v/>
      </c>
    </row>
    <row r="19802" spans="9:9" x14ac:dyDescent="0.25">
      <c r="I19802" s="227" t="str">
        <f>MID(excPisCofins[[#This Row],[CodBarras2]],2,50)</f>
        <v/>
      </c>
    </row>
    <row r="19803" spans="9:9" x14ac:dyDescent="0.25">
      <c r="I19803" s="227" t="str">
        <f>MID(excPisCofins[[#This Row],[CodBarras2]],2,50)</f>
        <v/>
      </c>
    </row>
    <row r="19804" spans="9:9" x14ac:dyDescent="0.25">
      <c r="I19804" s="227" t="str">
        <f>MID(excPisCofins[[#This Row],[CodBarras2]],2,50)</f>
        <v/>
      </c>
    </row>
    <row r="19805" spans="9:9" x14ac:dyDescent="0.25">
      <c r="I19805" s="227" t="str">
        <f>MID(excPisCofins[[#This Row],[CodBarras2]],2,50)</f>
        <v/>
      </c>
    </row>
    <row r="19806" spans="9:9" x14ac:dyDescent="0.25">
      <c r="I19806" s="227" t="str">
        <f>MID(excPisCofins[[#This Row],[CodBarras2]],2,50)</f>
        <v/>
      </c>
    </row>
    <row r="19807" spans="9:9" x14ac:dyDescent="0.25">
      <c r="I19807" s="227" t="str">
        <f>MID(excPisCofins[[#This Row],[CodBarras2]],2,50)</f>
        <v/>
      </c>
    </row>
    <row r="19808" spans="9:9" x14ac:dyDescent="0.25">
      <c r="I19808" s="227" t="str">
        <f>MID(excPisCofins[[#This Row],[CodBarras2]],2,50)</f>
        <v/>
      </c>
    </row>
    <row r="19809" spans="9:9" x14ac:dyDescent="0.25">
      <c r="I19809" s="227" t="str">
        <f>MID(excPisCofins[[#This Row],[CodBarras2]],2,50)</f>
        <v/>
      </c>
    </row>
    <row r="19810" spans="9:9" x14ac:dyDescent="0.25">
      <c r="I19810" s="227" t="str">
        <f>MID(excPisCofins[[#This Row],[CodBarras2]],2,50)</f>
        <v/>
      </c>
    </row>
    <row r="19811" spans="9:9" x14ac:dyDescent="0.25">
      <c r="I19811" s="227" t="str">
        <f>MID(excPisCofins[[#This Row],[CodBarras2]],2,50)</f>
        <v/>
      </c>
    </row>
    <row r="19812" spans="9:9" x14ac:dyDescent="0.25">
      <c r="I19812" s="227" t="str">
        <f>MID(excPisCofins[[#This Row],[CodBarras2]],2,50)</f>
        <v/>
      </c>
    </row>
    <row r="19813" spans="9:9" x14ac:dyDescent="0.25">
      <c r="I19813" s="227" t="str">
        <f>MID(excPisCofins[[#This Row],[CodBarras2]],2,50)</f>
        <v/>
      </c>
    </row>
    <row r="19814" spans="9:9" x14ac:dyDescent="0.25">
      <c r="I19814" s="227" t="str">
        <f>MID(excPisCofins[[#This Row],[CodBarras2]],2,50)</f>
        <v/>
      </c>
    </row>
    <row r="19815" spans="9:9" x14ac:dyDescent="0.25">
      <c r="I19815" s="227" t="str">
        <f>MID(excPisCofins[[#This Row],[CodBarras2]],2,50)</f>
        <v/>
      </c>
    </row>
    <row r="19816" spans="9:9" x14ac:dyDescent="0.25">
      <c r="I19816" s="227" t="str">
        <f>MID(excPisCofins[[#This Row],[CodBarras2]],2,50)</f>
        <v/>
      </c>
    </row>
    <row r="19817" spans="9:9" x14ac:dyDescent="0.25">
      <c r="I19817" s="227" t="str">
        <f>MID(excPisCofins[[#This Row],[CodBarras2]],2,50)</f>
        <v/>
      </c>
    </row>
    <row r="19818" spans="9:9" x14ac:dyDescent="0.25">
      <c r="I19818" s="227" t="str">
        <f>MID(excPisCofins[[#This Row],[CodBarras2]],2,50)</f>
        <v/>
      </c>
    </row>
    <row r="19819" spans="9:9" x14ac:dyDescent="0.25">
      <c r="I19819" s="227" t="str">
        <f>MID(excPisCofins[[#This Row],[CodBarras2]],2,50)</f>
        <v/>
      </c>
    </row>
    <row r="19820" spans="9:9" x14ac:dyDescent="0.25">
      <c r="I19820" s="227" t="str">
        <f>MID(excPisCofins[[#This Row],[CodBarras2]],2,50)</f>
        <v/>
      </c>
    </row>
    <row r="19821" spans="9:9" x14ac:dyDescent="0.25">
      <c r="I19821" s="227" t="str">
        <f>MID(excPisCofins[[#This Row],[CodBarras2]],2,50)</f>
        <v/>
      </c>
    </row>
    <row r="19822" spans="9:9" x14ac:dyDescent="0.25">
      <c r="I19822" s="227" t="str">
        <f>MID(excPisCofins[[#This Row],[CodBarras2]],2,50)</f>
        <v/>
      </c>
    </row>
    <row r="19823" spans="9:9" x14ac:dyDescent="0.25">
      <c r="I19823" s="227" t="str">
        <f>MID(excPisCofins[[#This Row],[CodBarras2]],2,50)</f>
        <v/>
      </c>
    </row>
    <row r="19824" spans="9:9" x14ac:dyDescent="0.25">
      <c r="I19824" s="227" t="str">
        <f>MID(excPisCofins[[#This Row],[CodBarras2]],2,50)</f>
        <v/>
      </c>
    </row>
    <row r="19825" spans="9:9" x14ac:dyDescent="0.25">
      <c r="I19825" s="227" t="str">
        <f>MID(excPisCofins[[#This Row],[CodBarras2]],2,50)</f>
        <v/>
      </c>
    </row>
    <row r="19826" spans="9:9" x14ac:dyDescent="0.25">
      <c r="I19826" s="227" t="str">
        <f>MID(excPisCofins[[#This Row],[CodBarras2]],2,50)</f>
        <v/>
      </c>
    </row>
    <row r="19827" spans="9:9" x14ac:dyDescent="0.25">
      <c r="I19827" s="227" t="str">
        <f>MID(excPisCofins[[#This Row],[CodBarras2]],2,50)</f>
        <v/>
      </c>
    </row>
    <row r="19828" spans="9:9" x14ac:dyDescent="0.25">
      <c r="I19828" s="227" t="str">
        <f>MID(excPisCofins[[#This Row],[CodBarras2]],2,50)</f>
        <v/>
      </c>
    </row>
    <row r="19829" spans="9:9" x14ac:dyDescent="0.25">
      <c r="I19829" s="227" t="str">
        <f>MID(excPisCofins[[#This Row],[CodBarras2]],2,50)</f>
        <v/>
      </c>
    </row>
    <row r="19830" spans="9:9" x14ac:dyDescent="0.25">
      <c r="I19830" s="227" t="str">
        <f>MID(excPisCofins[[#This Row],[CodBarras2]],2,50)</f>
        <v/>
      </c>
    </row>
    <row r="19831" spans="9:9" x14ac:dyDescent="0.25">
      <c r="I19831" s="227" t="str">
        <f>MID(excPisCofins[[#This Row],[CodBarras2]],2,50)</f>
        <v/>
      </c>
    </row>
    <row r="19832" spans="9:9" x14ac:dyDescent="0.25">
      <c r="I19832" s="227" t="str">
        <f>MID(excPisCofins[[#This Row],[CodBarras2]],2,50)</f>
        <v/>
      </c>
    </row>
    <row r="19833" spans="9:9" x14ac:dyDescent="0.25">
      <c r="I19833" s="227" t="str">
        <f>MID(excPisCofins[[#This Row],[CodBarras2]],2,50)</f>
        <v/>
      </c>
    </row>
    <row r="19834" spans="9:9" x14ac:dyDescent="0.25">
      <c r="I19834" s="227" t="str">
        <f>MID(excPisCofins[[#This Row],[CodBarras2]],2,50)</f>
        <v/>
      </c>
    </row>
    <row r="19835" spans="9:9" x14ac:dyDescent="0.25">
      <c r="I19835" s="227" t="str">
        <f>MID(excPisCofins[[#This Row],[CodBarras2]],2,50)</f>
        <v/>
      </c>
    </row>
    <row r="19836" spans="9:9" x14ac:dyDescent="0.25">
      <c r="I19836" s="227" t="str">
        <f>MID(excPisCofins[[#This Row],[CodBarras2]],2,50)</f>
        <v/>
      </c>
    </row>
    <row r="19837" spans="9:9" x14ac:dyDescent="0.25">
      <c r="I19837" s="227" t="str">
        <f>MID(excPisCofins[[#This Row],[CodBarras2]],2,50)</f>
        <v/>
      </c>
    </row>
    <row r="19838" spans="9:9" x14ac:dyDescent="0.25">
      <c r="I19838" s="227" t="str">
        <f>MID(excPisCofins[[#This Row],[CodBarras2]],2,50)</f>
        <v/>
      </c>
    </row>
    <row r="19839" spans="9:9" x14ac:dyDescent="0.25">
      <c r="I19839" s="227" t="str">
        <f>MID(excPisCofins[[#This Row],[CodBarras2]],2,50)</f>
        <v/>
      </c>
    </row>
    <row r="19840" spans="9:9" x14ac:dyDescent="0.25">
      <c r="I19840" s="227" t="str">
        <f>MID(excPisCofins[[#This Row],[CodBarras2]],2,50)</f>
        <v/>
      </c>
    </row>
    <row r="19841" spans="9:9" x14ac:dyDescent="0.25">
      <c r="I19841" s="227" t="str">
        <f>MID(excPisCofins[[#This Row],[CodBarras2]],2,50)</f>
        <v/>
      </c>
    </row>
    <row r="19842" spans="9:9" x14ac:dyDescent="0.25">
      <c r="I19842" s="227" t="str">
        <f>MID(excPisCofins[[#This Row],[CodBarras2]],2,50)</f>
        <v/>
      </c>
    </row>
    <row r="19843" spans="9:9" x14ac:dyDescent="0.25">
      <c r="I19843" s="227" t="str">
        <f>MID(excPisCofins[[#This Row],[CodBarras2]],2,50)</f>
        <v/>
      </c>
    </row>
    <row r="19844" spans="9:9" x14ac:dyDescent="0.25">
      <c r="I19844" s="227" t="str">
        <f>MID(excPisCofins[[#This Row],[CodBarras2]],2,50)</f>
        <v/>
      </c>
    </row>
    <row r="19845" spans="9:9" x14ac:dyDescent="0.25">
      <c r="I19845" s="227" t="str">
        <f>MID(excPisCofins[[#This Row],[CodBarras2]],2,50)</f>
        <v/>
      </c>
    </row>
    <row r="19846" spans="9:9" x14ac:dyDescent="0.25">
      <c r="I19846" s="227" t="str">
        <f>MID(excPisCofins[[#This Row],[CodBarras2]],2,50)</f>
        <v/>
      </c>
    </row>
    <row r="19847" spans="9:9" x14ac:dyDescent="0.25">
      <c r="I19847" s="227" t="str">
        <f>MID(excPisCofins[[#This Row],[CodBarras2]],2,50)</f>
        <v/>
      </c>
    </row>
    <row r="19848" spans="9:9" x14ac:dyDescent="0.25">
      <c r="I19848" s="227" t="str">
        <f>MID(excPisCofins[[#This Row],[CodBarras2]],2,50)</f>
        <v/>
      </c>
    </row>
    <row r="19849" spans="9:9" x14ac:dyDescent="0.25">
      <c r="I19849" s="227" t="str">
        <f>MID(excPisCofins[[#This Row],[CodBarras2]],2,50)</f>
        <v/>
      </c>
    </row>
    <row r="19850" spans="9:9" x14ac:dyDescent="0.25">
      <c r="I19850" s="227" t="str">
        <f>MID(excPisCofins[[#This Row],[CodBarras2]],2,50)</f>
        <v/>
      </c>
    </row>
    <row r="19851" spans="9:9" x14ac:dyDescent="0.25">
      <c r="I19851" s="227" t="str">
        <f>MID(excPisCofins[[#This Row],[CodBarras2]],2,50)</f>
        <v/>
      </c>
    </row>
    <row r="19852" spans="9:9" x14ac:dyDescent="0.25">
      <c r="I19852" s="227" t="str">
        <f>MID(excPisCofins[[#This Row],[CodBarras2]],2,50)</f>
        <v/>
      </c>
    </row>
    <row r="19853" spans="9:9" x14ac:dyDescent="0.25">
      <c r="I19853" s="227" t="str">
        <f>MID(excPisCofins[[#This Row],[CodBarras2]],2,50)</f>
        <v/>
      </c>
    </row>
    <row r="19854" spans="9:9" x14ac:dyDescent="0.25">
      <c r="I19854" s="227" t="str">
        <f>MID(excPisCofins[[#This Row],[CodBarras2]],2,50)</f>
        <v/>
      </c>
    </row>
    <row r="19855" spans="9:9" x14ac:dyDescent="0.25">
      <c r="I19855" s="227" t="str">
        <f>MID(excPisCofins[[#This Row],[CodBarras2]],2,50)</f>
        <v/>
      </c>
    </row>
    <row r="19856" spans="9:9" x14ac:dyDescent="0.25">
      <c r="I19856" s="227" t="str">
        <f>MID(excPisCofins[[#This Row],[CodBarras2]],2,50)</f>
        <v/>
      </c>
    </row>
    <row r="19857" spans="9:9" x14ac:dyDescent="0.25">
      <c r="I19857" s="227" t="str">
        <f>MID(excPisCofins[[#This Row],[CodBarras2]],2,50)</f>
        <v/>
      </c>
    </row>
    <row r="19858" spans="9:9" x14ac:dyDescent="0.25">
      <c r="I19858" s="227" t="str">
        <f>MID(excPisCofins[[#This Row],[CodBarras2]],2,50)</f>
        <v/>
      </c>
    </row>
    <row r="19859" spans="9:9" x14ac:dyDescent="0.25">
      <c r="I19859" s="227" t="str">
        <f>MID(excPisCofins[[#This Row],[CodBarras2]],2,50)</f>
        <v/>
      </c>
    </row>
    <row r="19860" spans="9:9" x14ac:dyDescent="0.25">
      <c r="I19860" s="227" t="str">
        <f>MID(excPisCofins[[#This Row],[CodBarras2]],2,50)</f>
        <v/>
      </c>
    </row>
    <row r="19861" spans="9:9" x14ac:dyDescent="0.25">
      <c r="I19861" s="227" t="str">
        <f>MID(excPisCofins[[#This Row],[CodBarras2]],2,50)</f>
        <v/>
      </c>
    </row>
    <row r="19862" spans="9:9" x14ac:dyDescent="0.25">
      <c r="I19862" s="227" t="str">
        <f>MID(excPisCofins[[#This Row],[CodBarras2]],2,50)</f>
        <v/>
      </c>
    </row>
    <row r="19863" spans="9:9" x14ac:dyDescent="0.25">
      <c r="I19863" s="227" t="str">
        <f>MID(excPisCofins[[#This Row],[CodBarras2]],2,50)</f>
        <v/>
      </c>
    </row>
    <row r="19864" spans="9:9" x14ac:dyDescent="0.25">
      <c r="I19864" s="227" t="str">
        <f>MID(excPisCofins[[#This Row],[CodBarras2]],2,50)</f>
        <v/>
      </c>
    </row>
    <row r="19865" spans="9:9" x14ac:dyDescent="0.25">
      <c r="I19865" s="227" t="str">
        <f>MID(excPisCofins[[#This Row],[CodBarras2]],2,50)</f>
        <v/>
      </c>
    </row>
    <row r="19866" spans="9:9" x14ac:dyDescent="0.25">
      <c r="I19866" s="227" t="str">
        <f>MID(excPisCofins[[#This Row],[CodBarras2]],2,50)</f>
        <v/>
      </c>
    </row>
    <row r="19867" spans="9:9" x14ac:dyDescent="0.25">
      <c r="I19867" s="227" t="str">
        <f>MID(excPisCofins[[#This Row],[CodBarras2]],2,50)</f>
        <v/>
      </c>
    </row>
    <row r="19868" spans="9:9" x14ac:dyDescent="0.25">
      <c r="I19868" s="227" t="str">
        <f>MID(excPisCofins[[#This Row],[CodBarras2]],2,50)</f>
        <v/>
      </c>
    </row>
    <row r="19869" spans="9:9" x14ac:dyDescent="0.25">
      <c r="I19869" s="227" t="str">
        <f>MID(excPisCofins[[#This Row],[CodBarras2]],2,50)</f>
        <v/>
      </c>
    </row>
    <row r="19870" spans="9:9" x14ac:dyDescent="0.25">
      <c r="I19870" s="227" t="str">
        <f>MID(excPisCofins[[#This Row],[CodBarras2]],2,50)</f>
        <v/>
      </c>
    </row>
    <row r="19871" spans="9:9" x14ac:dyDescent="0.25">
      <c r="I19871" s="227" t="str">
        <f>MID(excPisCofins[[#This Row],[CodBarras2]],2,50)</f>
        <v/>
      </c>
    </row>
    <row r="19872" spans="9:9" x14ac:dyDescent="0.25">
      <c r="I19872" s="227" t="str">
        <f>MID(excPisCofins[[#This Row],[CodBarras2]],2,50)</f>
        <v/>
      </c>
    </row>
    <row r="19873" spans="9:9" x14ac:dyDescent="0.25">
      <c r="I19873" s="227" t="str">
        <f>MID(excPisCofins[[#This Row],[CodBarras2]],2,50)</f>
        <v/>
      </c>
    </row>
    <row r="19874" spans="9:9" x14ac:dyDescent="0.25">
      <c r="I19874" s="227" t="str">
        <f>MID(excPisCofins[[#This Row],[CodBarras2]],2,50)</f>
        <v/>
      </c>
    </row>
    <row r="19875" spans="9:9" x14ac:dyDescent="0.25">
      <c r="I19875" s="227" t="str">
        <f>MID(excPisCofins[[#This Row],[CodBarras2]],2,50)</f>
        <v/>
      </c>
    </row>
    <row r="19876" spans="9:9" x14ac:dyDescent="0.25">
      <c r="I19876" s="227" t="str">
        <f>MID(excPisCofins[[#This Row],[CodBarras2]],2,50)</f>
        <v/>
      </c>
    </row>
    <row r="19877" spans="9:9" x14ac:dyDescent="0.25">
      <c r="I19877" s="227" t="str">
        <f>MID(excPisCofins[[#This Row],[CodBarras2]],2,50)</f>
        <v/>
      </c>
    </row>
    <row r="19878" spans="9:9" x14ac:dyDescent="0.25">
      <c r="I19878" s="227" t="str">
        <f>MID(excPisCofins[[#This Row],[CodBarras2]],2,50)</f>
        <v/>
      </c>
    </row>
    <row r="19879" spans="9:9" x14ac:dyDescent="0.25">
      <c r="I19879" s="227" t="str">
        <f>MID(excPisCofins[[#This Row],[CodBarras2]],2,50)</f>
        <v/>
      </c>
    </row>
    <row r="19880" spans="9:9" x14ac:dyDescent="0.25">
      <c r="I19880" s="227" t="str">
        <f>MID(excPisCofins[[#This Row],[CodBarras2]],2,50)</f>
        <v/>
      </c>
    </row>
    <row r="19881" spans="9:9" x14ac:dyDescent="0.25">
      <c r="I19881" s="227" t="str">
        <f>MID(excPisCofins[[#This Row],[CodBarras2]],2,50)</f>
        <v/>
      </c>
    </row>
    <row r="19882" spans="9:9" x14ac:dyDescent="0.25">
      <c r="I19882" s="227" t="str">
        <f>MID(excPisCofins[[#This Row],[CodBarras2]],2,50)</f>
        <v/>
      </c>
    </row>
    <row r="19883" spans="9:9" x14ac:dyDescent="0.25">
      <c r="I19883" s="227" t="str">
        <f>MID(excPisCofins[[#This Row],[CodBarras2]],2,50)</f>
        <v/>
      </c>
    </row>
    <row r="19884" spans="9:9" x14ac:dyDescent="0.25">
      <c r="I19884" s="227" t="str">
        <f>MID(excPisCofins[[#This Row],[CodBarras2]],2,50)</f>
        <v/>
      </c>
    </row>
    <row r="19885" spans="9:9" x14ac:dyDescent="0.25">
      <c r="I19885" s="227" t="str">
        <f>MID(excPisCofins[[#This Row],[CodBarras2]],2,50)</f>
        <v/>
      </c>
    </row>
    <row r="19886" spans="9:9" x14ac:dyDescent="0.25">
      <c r="I19886" s="227" t="str">
        <f>MID(excPisCofins[[#This Row],[CodBarras2]],2,50)</f>
        <v/>
      </c>
    </row>
    <row r="19887" spans="9:9" x14ac:dyDescent="0.25">
      <c r="I19887" s="227" t="str">
        <f>MID(excPisCofins[[#This Row],[CodBarras2]],2,50)</f>
        <v/>
      </c>
    </row>
    <row r="19888" spans="9:9" x14ac:dyDescent="0.25">
      <c r="I19888" s="227" t="str">
        <f>MID(excPisCofins[[#This Row],[CodBarras2]],2,50)</f>
        <v/>
      </c>
    </row>
    <row r="19889" spans="9:9" x14ac:dyDescent="0.25">
      <c r="I19889" s="227" t="str">
        <f>MID(excPisCofins[[#This Row],[CodBarras2]],2,50)</f>
        <v/>
      </c>
    </row>
    <row r="19890" spans="9:9" x14ac:dyDescent="0.25">
      <c r="I19890" s="227" t="str">
        <f>MID(excPisCofins[[#This Row],[CodBarras2]],2,50)</f>
        <v/>
      </c>
    </row>
    <row r="19891" spans="9:9" x14ac:dyDescent="0.25">
      <c r="I19891" s="227" t="str">
        <f>MID(excPisCofins[[#This Row],[CodBarras2]],2,50)</f>
        <v/>
      </c>
    </row>
    <row r="19892" spans="9:9" x14ac:dyDescent="0.25">
      <c r="I19892" s="227" t="str">
        <f>MID(excPisCofins[[#This Row],[CodBarras2]],2,50)</f>
        <v/>
      </c>
    </row>
    <row r="19893" spans="9:9" x14ac:dyDescent="0.25">
      <c r="I19893" s="227" t="str">
        <f>MID(excPisCofins[[#This Row],[CodBarras2]],2,50)</f>
        <v/>
      </c>
    </row>
    <row r="19894" spans="9:9" x14ac:dyDescent="0.25">
      <c r="I19894" s="227" t="str">
        <f>MID(excPisCofins[[#This Row],[CodBarras2]],2,50)</f>
        <v/>
      </c>
    </row>
    <row r="19895" spans="9:9" x14ac:dyDescent="0.25">
      <c r="I19895" s="227" t="str">
        <f>MID(excPisCofins[[#This Row],[CodBarras2]],2,50)</f>
        <v/>
      </c>
    </row>
    <row r="19896" spans="9:9" x14ac:dyDescent="0.25">
      <c r="I19896" s="227" t="str">
        <f>MID(excPisCofins[[#This Row],[CodBarras2]],2,50)</f>
        <v/>
      </c>
    </row>
    <row r="19897" spans="9:9" x14ac:dyDescent="0.25">
      <c r="I19897" s="227" t="str">
        <f>MID(excPisCofins[[#This Row],[CodBarras2]],2,50)</f>
        <v/>
      </c>
    </row>
    <row r="19898" spans="9:9" x14ac:dyDescent="0.25">
      <c r="I19898" s="227" t="str">
        <f>MID(excPisCofins[[#This Row],[CodBarras2]],2,50)</f>
        <v/>
      </c>
    </row>
    <row r="19899" spans="9:9" x14ac:dyDescent="0.25">
      <c r="I19899" s="227" t="str">
        <f>MID(excPisCofins[[#This Row],[CodBarras2]],2,50)</f>
        <v/>
      </c>
    </row>
    <row r="19900" spans="9:9" x14ac:dyDescent="0.25">
      <c r="I19900" s="227" t="str">
        <f>MID(excPisCofins[[#This Row],[CodBarras2]],2,50)</f>
        <v/>
      </c>
    </row>
    <row r="19901" spans="9:9" x14ac:dyDescent="0.25">
      <c r="I19901" s="227" t="str">
        <f>MID(excPisCofins[[#This Row],[CodBarras2]],2,50)</f>
        <v/>
      </c>
    </row>
    <row r="19902" spans="9:9" x14ac:dyDescent="0.25">
      <c r="I19902" s="227" t="str">
        <f>MID(excPisCofins[[#This Row],[CodBarras2]],2,50)</f>
        <v/>
      </c>
    </row>
    <row r="19903" spans="9:9" x14ac:dyDescent="0.25">
      <c r="I19903" s="227" t="str">
        <f>MID(excPisCofins[[#This Row],[CodBarras2]],2,50)</f>
        <v/>
      </c>
    </row>
    <row r="19904" spans="9:9" x14ac:dyDescent="0.25">
      <c r="I19904" s="227" t="str">
        <f>MID(excPisCofins[[#This Row],[CodBarras2]],2,50)</f>
        <v/>
      </c>
    </row>
    <row r="19905" spans="9:9" x14ac:dyDescent="0.25">
      <c r="I19905" s="227" t="str">
        <f>MID(excPisCofins[[#This Row],[CodBarras2]],2,50)</f>
        <v/>
      </c>
    </row>
    <row r="19906" spans="9:9" x14ac:dyDescent="0.25">
      <c r="I19906" s="227" t="str">
        <f>MID(excPisCofins[[#This Row],[CodBarras2]],2,50)</f>
        <v/>
      </c>
    </row>
    <row r="19907" spans="9:9" x14ac:dyDescent="0.25">
      <c r="I19907" s="227" t="str">
        <f>MID(excPisCofins[[#This Row],[CodBarras2]],2,50)</f>
        <v/>
      </c>
    </row>
    <row r="19908" spans="9:9" x14ac:dyDescent="0.25">
      <c r="I19908" s="227" t="str">
        <f>MID(excPisCofins[[#This Row],[CodBarras2]],2,50)</f>
        <v/>
      </c>
    </row>
    <row r="19909" spans="9:9" x14ac:dyDescent="0.25">
      <c r="I19909" s="227" t="str">
        <f>MID(excPisCofins[[#This Row],[CodBarras2]],2,50)</f>
        <v/>
      </c>
    </row>
    <row r="19910" spans="9:9" x14ac:dyDescent="0.25">
      <c r="I19910" s="227" t="str">
        <f>MID(excPisCofins[[#This Row],[CodBarras2]],2,50)</f>
        <v/>
      </c>
    </row>
    <row r="19911" spans="9:9" x14ac:dyDescent="0.25">
      <c r="I19911" s="227" t="str">
        <f>MID(excPisCofins[[#This Row],[CodBarras2]],2,50)</f>
        <v/>
      </c>
    </row>
    <row r="19912" spans="9:9" x14ac:dyDescent="0.25">
      <c r="I19912" s="227" t="str">
        <f>MID(excPisCofins[[#This Row],[CodBarras2]],2,50)</f>
        <v/>
      </c>
    </row>
    <row r="19913" spans="9:9" x14ac:dyDescent="0.25">
      <c r="I19913" s="227" t="str">
        <f>MID(excPisCofins[[#This Row],[CodBarras2]],2,50)</f>
        <v/>
      </c>
    </row>
    <row r="19914" spans="9:9" x14ac:dyDescent="0.25">
      <c r="I19914" s="227" t="str">
        <f>MID(excPisCofins[[#This Row],[CodBarras2]],2,50)</f>
        <v/>
      </c>
    </row>
    <row r="19915" spans="9:9" x14ac:dyDescent="0.25">
      <c r="I19915" s="227" t="str">
        <f>MID(excPisCofins[[#This Row],[CodBarras2]],2,50)</f>
        <v/>
      </c>
    </row>
    <row r="19916" spans="9:9" x14ac:dyDescent="0.25">
      <c r="I19916" s="227" t="str">
        <f>MID(excPisCofins[[#This Row],[CodBarras2]],2,50)</f>
        <v/>
      </c>
    </row>
    <row r="19917" spans="9:9" x14ac:dyDescent="0.25">
      <c r="I19917" s="227" t="str">
        <f>MID(excPisCofins[[#This Row],[CodBarras2]],2,50)</f>
        <v/>
      </c>
    </row>
    <row r="19918" spans="9:9" x14ac:dyDescent="0.25">
      <c r="I19918" s="227" t="str">
        <f>MID(excPisCofins[[#This Row],[CodBarras2]],2,50)</f>
        <v/>
      </c>
    </row>
    <row r="19919" spans="9:9" x14ac:dyDescent="0.25">
      <c r="I19919" s="227" t="str">
        <f>MID(excPisCofins[[#This Row],[CodBarras2]],2,50)</f>
        <v/>
      </c>
    </row>
    <row r="19920" spans="9:9" x14ac:dyDescent="0.25">
      <c r="I19920" s="227" t="str">
        <f>MID(excPisCofins[[#This Row],[CodBarras2]],2,50)</f>
        <v/>
      </c>
    </row>
    <row r="19921" spans="9:9" x14ac:dyDescent="0.25">
      <c r="I19921" s="227" t="str">
        <f>MID(excPisCofins[[#This Row],[CodBarras2]],2,50)</f>
        <v/>
      </c>
    </row>
    <row r="19922" spans="9:9" x14ac:dyDescent="0.25">
      <c r="I19922" s="227" t="str">
        <f>MID(excPisCofins[[#This Row],[CodBarras2]],2,50)</f>
        <v/>
      </c>
    </row>
    <row r="19923" spans="9:9" x14ac:dyDescent="0.25">
      <c r="I19923" s="227" t="str">
        <f>MID(excPisCofins[[#This Row],[CodBarras2]],2,50)</f>
        <v/>
      </c>
    </row>
    <row r="19924" spans="9:9" x14ac:dyDescent="0.25">
      <c r="I19924" s="227" t="str">
        <f>MID(excPisCofins[[#This Row],[CodBarras2]],2,50)</f>
        <v/>
      </c>
    </row>
    <row r="19925" spans="9:9" x14ac:dyDescent="0.25">
      <c r="I19925" s="227" t="str">
        <f>MID(excPisCofins[[#This Row],[CodBarras2]],2,50)</f>
        <v/>
      </c>
    </row>
    <row r="19926" spans="9:9" x14ac:dyDescent="0.25">
      <c r="I19926" s="227" t="str">
        <f>MID(excPisCofins[[#This Row],[CodBarras2]],2,50)</f>
        <v/>
      </c>
    </row>
    <row r="19927" spans="9:9" x14ac:dyDescent="0.25">
      <c r="I19927" s="227" t="str">
        <f>MID(excPisCofins[[#This Row],[CodBarras2]],2,50)</f>
        <v/>
      </c>
    </row>
    <row r="19928" spans="9:9" x14ac:dyDescent="0.25">
      <c r="I19928" s="227" t="str">
        <f>MID(excPisCofins[[#This Row],[CodBarras2]],2,50)</f>
        <v/>
      </c>
    </row>
    <row r="19929" spans="9:9" x14ac:dyDescent="0.25">
      <c r="I19929" s="227" t="str">
        <f>MID(excPisCofins[[#This Row],[CodBarras2]],2,50)</f>
        <v/>
      </c>
    </row>
    <row r="19930" spans="9:9" x14ac:dyDescent="0.25">
      <c r="I19930" s="227" t="str">
        <f>MID(excPisCofins[[#This Row],[CodBarras2]],2,50)</f>
        <v/>
      </c>
    </row>
    <row r="19931" spans="9:9" x14ac:dyDescent="0.25">
      <c r="I19931" s="227" t="str">
        <f>MID(excPisCofins[[#This Row],[CodBarras2]],2,50)</f>
        <v/>
      </c>
    </row>
    <row r="19932" spans="9:9" x14ac:dyDescent="0.25">
      <c r="I19932" s="227" t="str">
        <f>MID(excPisCofins[[#This Row],[CodBarras2]],2,50)</f>
        <v/>
      </c>
    </row>
    <row r="19933" spans="9:9" x14ac:dyDescent="0.25">
      <c r="I19933" s="227" t="str">
        <f>MID(excPisCofins[[#This Row],[CodBarras2]],2,50)</f>
        <v/>
      </c>
    </row>
    <row r="19934" spans="9:9" x14ac:dyDescent="0.25">
      <c r="I19934" s="227" t="str">
        <f>MID(excPisCofins[[#This Row],[CodBarras2]],2,50)</f>
        <v/>
      </c>
    </row>
    <row r="19935" spans="9:9" x14ac:dyDescent="0.25">
      <c r="I19935" s="227" t="str">
        <f>MID(excPisCofins[[#This Row],[CodBarras2]],2,50)</f>
        <v/>
      </c>
    </row>
    <row r="19936" spans="9:9" x14ac:dyDescent="0.25">
      <c r="I19936" s="227" t="str">
        <f>MID(excPisCofins[[#This Row],[CodBarras2]],2,50)</f>
        <v/>
      </c>
    </row>
    <row r="19937" spans="9:9" x14ac:dyDescent="0.25">
      <c r="I19937" s="227" t="str">
        <f>MID(excPisCofins[[#This Row],[CodBarras2]],2,50)</f>
        <v/>
      </c>
    </row>
    <row r="19938" spans="9:9" x14ac:dyDescent="0.25">
      <c r="I19938" s="227" t="str">
        <f>MID(excPisCofins[[#This Row],[CodBarras2]],2,50)</f>
        <v/>
      </c>
    </row>
    <row r="19939" spans="9:9" x14ac:dyDescent="0.25">
      <c r="I19939" s="227" t="str">
        <f>MID(excPisCofins[[#This Row],[CodBarras2]],2,50)</f>
        <v/>
      </c>
    </row>
    <row r="19940" spans="9:9" x14ac:dyDescent="0.25">
      <c r="I19940" s="227" t="str">
        <f>MID(excPisCofins[[#This Row],[CodBarras2]],2,50)</f>
        <v/>
      </c>
    </row>
    <row r="19941" spans="9:9" x14ac:dyDescent="0.25">
      <c r="I19941" s="227" t="str">
        <f>MID(excPisCofins[[#This Row],[CodBarras2]],2,50)</f>
        <v/>
      </c>
    </row>
    <row r="19942" spans="9:9" x14ac:dyDescent="0.25">
      <c r="I19942" s="227" t="str">
        <f>MID(excPisCofins[[#This Row],[CodBarras2]],2,50)</f>
        <v/>
      </c>
    </row>
    <row r="19943" spans="9:9" x14ac:dyDescent="0.25">
      <c r="I19943" s="227" t="str">
        <f>MID(excPisCofins[[#This Row],[CodBarras2]],2,50)</f>
        <v/>
      </c>
    </row>
    <row r="19944" spans="9:9" x14ac:dyDescent="0.25">
      <c r="I19944" s="227" t="str">
        <f>MID(excPisCofins[[#This Row],[CodBarras2]],2,50)</f>
        <v/>
      </c>
    </row>
    <row r="19945" spans="9:9" x14ac:dyDescent="0.25">
      <c r="I19945" s="227" t="str">
        <f>MID(excPisCofins[[#This Row],[CodBarras2]],2,50)</f>
        <v/>
      </c>
    </row>
    <row r="19946" spans="9:9" x14ac:dyDescent="0.25">
      <c r="I19946" s="227" t="str">
        <f>MID(excPisCofins[[#This Row],[CodBarras2]],2,50)</f>
        <v/>
      </c>
    </row>
    <row r="19947" spans="9:9" x14ac:dyDescent="0.25">
      <c r="I19947" s="227" t="str">
        <f>MID(excPisCofins[[#This Row],[CodBarras2]],2,50)</f>
        <v/>
      </c>
    </row>
    <row r="19948" spans="9:9" x14ac:dyDescent="0.25">
      <c r="I19948" s="227" t="str">
        <f>MID(excPisCofins[[#This Row],[CodBarras2]],2,50)</f>
        <v/>
      </c>
    </row>
    <row r="19949" spans="9:9" x14ac:dyDescent="0.25">
      <c r="I19949" s="227" t="str">
        <f>MID(excPisCofins[[#This Row],[CodBarras2]],2,50)</f>
        <v/>
      </c>
    </row>
    <row r="19950" spans="9:9" x14ac:dyDescent="0.25">
      <c r="I19950" s="227" t="str">
        <f>MID(excPisCofins[[#This Row],[CodBarras2]],2,50)</f>
        <v/>
      </c>
    </row>
    <row r="19951" spans="9:9" x14ac:dyDescent="0.25">
      <c r="I19951" s="227" t="str">
        <f>MID(excPisCofins[[#This Row],[CodBarras2]],2,50)</f>
        <v/>
      </c>
    </row>
    <row r="19952" spans="9:9" x14ac:dyDescent="0.25">
      <c r="I19952" s="227" t="str">
        <f>MID(excPisCofins[[#This Row],[CodBarras2]],2,50)</f>
        <v/>
      </c>
    </row>
    <row r="19953" spans="9:9" x14ac:dyDescent="0.25">
      <c r="I19953" s="227" t="str">
        <f>MID(excPisCofins[[#This Row],[CodBarras2]],2,50)</f>
        <v/>
      </c>
    </row>
    <row r="19954" spans="9:9" x14ac:dyDescent="0.25">
      <c r="I19954" s="227" t="str">
        <f>MID(excPisCofins[[#This Row],[CodBarras2]],2,50)</f>
        <v/>
      </c>
    </row>
    <row r="19955" spans="9:9" x14ac:dyDescent="0.25">
      <c r="I19955" s="227" t="str">
        <f>MID(excPisCofins[[#This Row],[CodBarras2]],2,50)</f>
        <v/>
      </c>
    </row>
    <row r="19956" spans="9:9" x14ac:dyDescent="0.25">
      <c r="I19956" s="227" t="str">
        <f>MID(excPisCofins[[#This Row],[CodBarras2]],2,50)</f>
        <v/>
      </c>
    </row>
    <row r="19957" spans="9:9" x14ac:dyDescent="0.25">
      <c r="I19957" s="227" t="str">
        <f>MID(excPisCofins[[#This Row],[CodBarras2]],2,50)</f>
        <v/>
      </c>
    </row>
    <row r="19958" spans="9:9" x14ac:dyDescent="0.25">
      <c r="I19958" s="227" t="str">
        <f>MID(excPisCofins[[#This Row],[CodBarras2]],2,50)</f>
        <v/>
      </c>
    </row>
    <row r="19959" spans="9:9" x14ac:dyDescent="0.25">
      <c r="I19959" s="227" t="str">
        <f>MID(excPisCofins[[#This Row],[CodBarras2]],2,50)</f>
        <v/>
      </c>
    </row>
    <row r="19960" spans="9:9" x14ac:dyDescent="0.25">
      <c r="I19960" s="227" t="str">
        <f>MID(excPisCofins[[#This Row],[CodBarras2]],2,50)</f>
        <v/>
      </c>
    </row>
    <row r="19961" spans="9:9" x14ac:dyDescent="0.25">
      <c r="I19961" s="227" t="str">
        <f>MID(excPisCofins[[#This Row],[CodBarras2]],2,50)</f>
        <v/>
      </c>
    </row>
    <row r="19962" spans="9:9" x14ac:dyDescent="0.25">
      <c r="I19962" s="227" t="str">
        <f>MID(excPisCofins[[#This Row],[CodBarras2]],2,50)</f>
        <v/>
      </c>
    </row>
    <row r="19963" spans="9:9" x14ac:dyDescent="0.25">
      <c r="I19963" s="227" t="str">
        <f>MID(excPisCofins[[#This Row],[CodBarras2]],2,50)</f>
        <v/>
      </c>
    </row>
    <row r="19964" spans="9:9" x14ac:dyDescent="0.25">
      <c r="I19964" s="227" t="str">
        <f>MID(excPisCofins[[#This Row],[CodBarras2]],2,50)</f>
        <v/>
      </c>
    </row>
    <row r="19965" spans="9:9" x14ac:dyDescent="0.25">
      <c r="I19965" s="227" t="str">
        <f>MID(excPisCofins[[#This Row],[CodBarras2]],2,50)</f>
        <v/>
      </c>
    </row>
    <row r="19966" spans="9:9" x14ac:dyDescent="0.25">
      <c r="I19966" s="227" t="str">
        <f>MID(excPisCofins[[#This Row],[CodBarras2]],2,50)</f>
        <v/>
      </c>
    </row>
    <row r="19967" spans="9:9" x14ac:dyDescent="0.25">
      <c r="I19967" s="227" t="str">
        <f>MID(excPisCofins[[#This Row],[CodBarras2]],2,50)</f>
        <v/>
      </c>
    </row>
    <row r="19968" spans="9:9" x14ac:dyDescent="0.25">
      <c r="I19968" s="227" t="str">
        <f>MID(excPisCofins[[#This Row],[CodBarras2]],2,50)</f>
        <v/>
      </c>
    </row>
    <row r="19969" spans="9:9" x14ac:dyDescent="0.25">
      <c r="I19969" s="227" t="str">
        <f>MID(excPisCofins[[#This Row],[CodBarras2]],2,50)</f>
        <v/>
      </c>
    </row>
    <row r="19970" spans="9:9" x14ac:dyDescent="0.25">
      <c r="I19970" s="227" t="str">
        <f>MID(excPisCofins[[#This Row],[CodBarras2]],2,50)</f>
        <v/>
      </c>
    </row>
    <row r="19971" spans="9:9" x14ac:dyDescent="0.25">
      <c r="I19971" s="227" t="str">
        <f>MID(excPisCofins[[#This Row],[CodBarras2]],2,50)</f>
        <v/>
      </c>
    </row>
    <row r="19972" spans="9:9" x14ac:dyDescent="0.25">
      <c r="I19972" s="227" t="str">
        <f>MID(excPisCofins[[#This Row],[CodBarras2]],2,50)</f>
        <v/>
      </c>
    </row>
    <row r="19973" spans="9:9" x14ac:dyDescent="0.25">
      <c r="I19973" s="227" t="str">
        <f>MID(excPisCofins[[#This Row],[CodBarras2]],2,50)</f>
        <v/>
      </c>
    </row>
    <row r="19974" spans="9:9" x14ac:dyDescent="0.25">
      <c r="I19974" s="227" t="str">
        <f>MID(excPisCofins[[#This Row],[CodBarras2]],2,50)</f>
        <v/>
      </c>
    </row>
    <row r="19975" spans="9:9" x14ac:dyDescent="0.25">
      <c r="I19975" s="227" t="str">
        <f>MID(excPisCofins[[#This Row],[CodBarras2]],2,50)</f>
        <v/>
      </c>
    </row>
    <row r="19976" spans="9:9" x14ac:dyDescent="0.25">
      <c r="I19976" s="227" t="str">
        <f>MID(excPisCofins[[#This Row],[CodBarras2]],2,50)</f>
        <v/>
      </c>
    </row>
    <row r="19977" spans="9:9" x14ac:dyDescent="0.25">
      <c r="I19977" s="227" t="str">
        <f>MID(excPisCofins[[#This Row],[CodBarras2]],2,50)</f>
        <v/>
      </c>
    </row>
    <row r="19978" spans="9:9" x14ac:dyDescent="0.25">
      <c r="I19978" s="227" t="str">
        <f>MID(excPisCofins[[#This Row],[CodBarras2]],2,50)</f>
        <v/>
      </c>
    </row>
    <row r="19979" spans="9:9" x14ac:dyDescent="0.25">
      <c r="I19979" s="227" t="str">
        <f>MID(excPisCofins[[#This Row],[CodBarras2]],2,50)</f>
        <v/>
      </c>
    </row>
    <row r="19980" spans="9:9" x14ac:dyDescent="0.25">
      <c r="I19980" s="227" t="str">
        <f>MID(excPisCofins[[#This Row],[CodBarras2]],2,50)</f>
        <v/>
      </c>
    </row>
    <row r="19981" spans="9:9" x14ac:dyDescent="0.25">
      <c r="I19981" s="227" t="str">
        <f>MID(excPisCofins[[#This Row],[CodBarras2]],2,50)</f>
        <v/>
      </c>
    </row>
    <row r="19982" spans="9:9" x14ac:dyDescent="0.25">
      <c r="I19982" s="227" t="str">
        <f>MID(excPisCofins[[#This Row],[CodBarras2]],2,50)</f>
        <v/>
      </c>
    </row>
    <row r="19983" spans="9:9" x14ac:dyDescent="0.25">
      <c r="I19983" s="227" t="str">
        <f>MID(excPisCofins[[#This Row],[CodBarras2]],2,50)</f>
        <v/>
      </c>
    </row>
    <row r="19984" spans="9:9" x14ac:dyDescent="0.25">
      <c r="I19984" s="227" t="str">
        <f>MID(excPisCofins[[#This Row],[CodBarras2]],2,50)</f>
        <v/>
      </c>
    </row>
    <row r="19985" spans="9:9" x14ac:dyDescent="0.25">
      <c r="I19985" s="227" t="str">
        <f>MID(excPisCofins[[#This Row],[CodBarras2]],2,50)</f>
        <v/>
      </c>
    </row>
    <row r="19986" spans="9:9" x14ac:dyDescent="0.25">
      <c r="I19986" s="227" t="str">
        <f>MID(excPisCofins[[#This Row],[CodBarras2]],2,50)</f>
        <v/>
      </c>
    </row>
    <row r="19987" spans="9:9" x14ac:dyDescent="0.25">
      <c r="I19987" s="227" t="str">
        <f>MID(excPisCofins[[#This Row],[CodBarras2]],2,50)</f>
        <v/>
      </c>
    </row>
    <row r="19988" spans="9:9" x14ac:dyDescent="0.25">
      <c r="I19988" s="227" t="str">
        <f>MID(excPisCofins[[#This Row],[CodBarras2]],2,50)</f>
        <v/>
      </c>
    </row>
    <row r="19989" spans="9:9" x14ac:dyDescent="0.25">
      <c r="I19989" s="227" t="str">
        <f>MID(excPisCofins[[#This Row],[CodBarras2]],2,50)</f>
        <v/>
      </c>
    </row>
    <row r="19990" spans="9:9" x14ac:dyDescent="0.25">
      <c r="I19990" s="227" t="str">
        <f>MID(excPisCofins[[#This Row],[CodBarras2]],2,50)</f>
        <v/>
      </c>
    </row>
    <row r="19991" spans="9:9" x14ac:dyDescent="0.25">
      <c r="I19991" s="227" t="str">
        <f>MID(excPisCofins[[#This Row],[CodBarras2]],2,50)</f>
        <v/>
      </c>
    </row>
    <row r="19992" spans="9:9" x14ac:dyDescent="0.25">
      <c r="I19992" s="227" t="str">
        <f>MID(excPisCofins[[#This Row],[CodBarras2]],2,50)</f>
        <v/>
      </c>
    </row>
    <row r="19993" spans="9:9" x14ac:dyDescent="0.25">
      <c r="I19993" s="227" t="str">
        <f>MID(excPisCofins[[#This Row],[CodBarras2]],2,50)</f>
        <v/>
      </c>
    </row>
    <row r="19994" spans="9:9" x14ac:dyDescent="0.25">
      <c r="I19994" s="227" t="str">
        <f>MID(excPisCofins[[#This Row],[CodBarras2]],2,50)</f>
        <v/>
      </c>
    </row>
    <row r="19995" spans="9:9" x14ac:dyDescent="0.25">
      <c r="I19995" s="227" t="str">
        <f>MID(excPisCofins[[#This Row],[CodBarras2]],2,50)</f>
        <v/>
      </c>
    </row>
    <row r="19996" spans="9:9" x14ac:dyDescent="0.25">
      <c r="I19996" s="227" t="str">
        <f>MID(excPisCofins[[#This Row],[CodBarras2]],2,50)</f>
        <v/>
      </c>
    </row>
    <row r="19997" spans="9:9" x14ac:dyDescent="0.25">
      <c r="I19997" s="227" t="str">
        <f>MID(excPisCofins[[#This Row],[CodBarras2]],2,50)</f>
        <v/>
      </c>
    </row>
    <row r="19998" spans="9:9" x14ac:dyDescent="0.25">
      <c r="I19998" s="227" t="str">
        <f>MID(excPisCofins[[#This Row],[CodBarras2]],2,50)</f>
        <v/>
      </c>
    </row>
    <row r="19999" spans="9:9" x14ac:dyDescent="0.25">
      <c r="I19999" s="227" t="str">
        <f>MID(excPisCofins[[#This Row],[CodBarras2]],2,50)</f>
        <v/>
      </c>
    </row>
    <row r="20000" spans="9:9" x14ac:dyDescent="0.25">
      <c r="I20000" s="227" t="str">
        <f>MID(excPisCofins[[#This Row],[CodBarras2]],2,50)</f>
        <v/>
      </c>
    </row>
    <row r="20001" spans="9:9" x14ac:dyDescent="0.25">
      <c r="I20001" s="227" t="str">
        <f>MID(excPisCofins[[#This Row],[CodBarras2]],2,50)</f>
        <v/>
      </c>
    </row>
    <row r="20002" spans="9:9" x14ac:dyDescent="0.25">
      <c r="I20002" s="227" t="str">
        <f>MID(excPisCofins[[#This Row],[CodBarras2]],2,50)</f>
        <v/>
      </c>
    </row>
    <row r="20003" spans="9:9" x14ac:dyDescent="0.25">
      <c r="I20003" s="227" t="str">
        <f>MID(excPisCofins[[#This Row],[CodBarras2]],2,50)</f>
        <v/>
      </c>
    </row>
    <row r="20004" spans="9:9" x14ac:dyDescent="0.25">
      <c r="I20004" s="227" t="str">
        <f>MID(excPisCofins[[#This Row],[CodBarras2]],2,50)</f>
        <v/>
      </c>
    </row>
    <row r="20005" spans="9:9" x14ac:dyDescent="0.25">
      <c r="I20005" s="227" t="str">
        <f>MID(excPisCofins[[#This Row],[CodBarras2]],2,50)</f>
        <v/>
      </c>
    </row>
    <row r="20006" spans="9:9" x14ac:dyDescent="0.25">
      <c r="I20006" s="227" t="str">
        <f>MID(excPisCofins[[#This Row],[CodBarras2]],2,50)</f>
        <v/>
      </c>
    </row>
    <row r="20007" spans="9:9" x14ac:dyDescent="0.25">
      <c r="I20007" s="227" t="str">
        <f>MID(excPisCofins[[#This Row],[CodBarras2]],2,50)</f>
        <v/>
      </c>
    </row>
    <row r="20008" spans="9:9" x14ac:dyDescent="0.25">
      <c r="I20008" s="227" t="str">
        <f>MID(excPisCofins[[#This Row],[CodBarras2]],2,50)</f>
        <v/>
      </c>
    </row>
    <row r="20009" spans="9:9" x14ac:dyDescent="0.25">
      <c r="I20009" s="227" t="str">
        <f>MID(excPisCofins[[#This Row],[CodBarras2]],2,50)</f>
        <v/>
      </c>
    </row>
    <row r="20010" spans="9:9" x14ac:dyDescent="0.25">
      <c r="I20010" s="227" t="str">
        <f>MID(excPisCofins[[#This Row],[CodBarras2]],2,50)</f>
        <v/>
      </c>
    </row>
    <row r="20011" spans="9:9" x14ac:dyDescent="0.25">
      <c r="I20011" s="227" t="str">
        <f>MID(excPisCofins[[#This Row],[CodBarras2]],2,50)</f>
        <v/>
      </c>
    </row>
    <row r="20012" spans="9:9" x14ac:dyDescent="0.25">
      <c r="I20012" s="227" t="str">
        <f>MID(excPisCofins[[#This Row],[CodBarras2]],2,50)</f>
        <v/>
      </c>
    </row>
    <row r="20013" spans="9:9" x14ac:dyDescent="0.25">
      <c r="I20013" s="227" t="str">
        <f>MID(excPisCofins[[#This Row],[CodBarras2]],2,50)</f>
        <v/>
      </c>
    </row>
    <row r="20014" spans="9:9" x14ac:dyDescent="0.25">
      <c r="I20014" s="227" t="str">
        <f>MID(excPisCofins[[#This Row],[CodBarras2]],2,50)</f>
        <v/>
      </c>
    </row>
    <row r="20015" spans="9:9" x14ac:dyDescent="0.25">
      <c r="I20015" s="227" t="str">
        <f>MID(excPisCofins[[#This Row],[CodBarras2]],2,50)</f>
        <v/>
      </c>
    </row>
    <row r="20016" spans="9:9" x14ac:dyDescent="0.25">
      <c r="I20016" s="227" t="str">
        <f>MID(excPisCofins[[#This Row],[CodBarras2]],2,50)</f>
        <v/>
      </c>
    </row>
    <row r="20017" spans="9:9" x14ac:dyDescent="0.25">
      <c r="I20017" s="227" t="str">
        <f>MID(excPisCofins[[#This Row],[CodBarras2]],2,50)</f>
        <v/>
      </c>
    </row>
    <row r="20018" spans="9:9" x14ac:dyDescent="0.25">
      <c r="I20018" s="227" t="str">
        <f>MID(excPisCofins[[#This Row],[CodBarras2]],2,50)</f>
        <v/>
      </c>
    </row>
    <row r="20019" spans="9:9" x14ac:dyDescent="0.25">
      <c r="I20019" s="227" t="str">
        <f>MID(excPisCofins[[#This Row],[CodBarras2]],2,50)</f>
        <v/>
      </c>
    </row>
    <row r="20020" spans="9:9" x14ac:dyDescent="0.25">
      <c r="I20020" s="227" t="str">
        <f>MID(excPisCofins[[#This Row],[CodBarras2]],2,50)</f>
        <v/>
      </c>
    </row>
    <row r="20021" spans="9:9" x14ac:dyDescent="0.25">
      <c r="I20021" s="227" t="str">
        <f>MID(excPisCofins[[#This Row],[CodBarras2]],2,50)</f>
        <v/>
      </c>
    </row>
    <row r="20022" spans="9:9" x14ac:dyDescent="0.25">
      <c r="I20022" s="227" t="str">
        <f>MID(excPisCofins[[#This Row],[CodBarras2]],2,50)</f>
        <v/>
      </c>
    </row>
    <row r="20023" spans="9:9" x14ac:dyDescent="0.25">
      <c r="I20023" s="227" t="str">
        <f>MID(excPisCofins[[#This Row],[CodBarras2]],2,50)</f>
        <v/>
      </c>
    </row>
    <row r="20024" spans="9:9" x14ac:dyDescent="0.25">
      <c r="I20024" s="227" t="str">
        <f>MID(excPisCofins[[#This Row],[CodBarras2]],2,50)</f>
        <v/>
      </c>
    </row>
    <row r="20025" spans="9:9" x14ac:dyDescent="0.25">
      <c r="I20025" s="227" t="str">
        <f>MID(excPisCofins[[#This Row],[CodBarras2]],2,50)</f>
        <v/>
      </c>
    </row>
    <row r="20026" spans="9:9" x14ac:dyDescent="0.25">
      <c r="I20026" s="227" t="str">
        <f>MID(excPisCofins[[#This Row],[CodBarras2]],2,50)</f>
        <v/>
      </c>
    </row>
    <row r="20027" spans="9:9" x14ac:dyDescent="0.25">
      <c r="I20027" s="227" t="str">
        <f>MID(excPisCofins[[#This Row],[CodBarras2]],2,50)</f>
        <v/>
      </c>
    </row>
    <row r="20028" spans="9:9" x14ac:dyDescent="0.25">
      <c r="I20028" s="227" t="str">
        <f>MID(excPisCofins[[#This Row],[CodBarras2]],2,50)</f>
        <v/>
      </c>
    </row>
    <row r="20029" spans="9:9" x14ac:dyDescent="0.25">
      <c r="I20029" s="227" t="str">
        <f>MID(excPisCofins[[#This Row],[CodBarras2]],2,50)</f>
        <v/>
      </c>
    </row>
    <row r="20030" spans="9:9" x14ac:dyDescent="0.25">
      <c r="I20030" s="227" t="str">
        <f>MID(excPisCofins[[#This Row],[CodBarras2]],2,50)</f>
        <v/>
      </c>
    </row>
    <row r="20031" spans="9:9" x14ac:dyDescent="0.25">
      <c r="I20031" s="227" t="str">
        <f>MID(excPisCofins[[#This Row],[CodBarras2]],2,50)</f>
        <v/>
      </c>
    </row>
    <row r="20032" spans="9:9" x14ac:dyDescent="0.25">
      <c r="I20032" s="227" t="str">
        <f>MID(excPisCofins[[#This Row],[CodBarras2]],2,50)</f>
        <v/>
      </c>
    </row>
    <row r="20033" spans="9:9" x14ac:dyDescent="0.25">
      <c r="I20033" s="227" t="str">
        <f>MID(excPisCofins[[#This Row],[CodBarras2]],2,50)</f>
        <v/>
      </c>
    </row>
    <row r="20034" spans="9:9" x14ac:dyDescent="0.25">
      <c r="I20034" s="227" t="str">
        <f>MID(excPisCofins[[#This Row],[CodBarras2]],2,50)</f>
        <v/>
      </c>
    </row>
    <row r="20035" spans="9:9" x14ac:dyDescent="0.25">
      <c r="I20035" s="227" t="str">
        <f>MID(excPisCofins[[#This Row],[CodBarras2]],2,50)</f>
        <v/>
      </c>
    </row>
    <row r="20036" spans="9:9" x14ac:dyDescent="0.25">
      <c r="I20036" s="227" t="str">
        <f>MID(excPisCofins[[#This Row],[CodBarras2]],2,50)</f>
        <v/>
      </c>
    </row>
    <row r="20037" spans="9:9" x14ac:dyDescent="0.25">
      <c r="I20037" s="227" t="str">
        <f>MID(excPisCofins[[#This Row],[CodBarras2]],2,50)</f>
        <v/>
      </c>
    </row>
    <row r="20038" spans="9:9" x14ac:dyDescent="0.25">
      <c r="I20038" s="227" t="str">
        <f>MID(excPisCofins[[#This Row],[CodBarras2]],2,50)</f>
        <v/>
      </c>
    </row>
    <row r="20039" spans="9:9" x14ac:dyDescent="0.25">
      <c r="I20039" s="227" t="str">
        <f>MID(excPisCofins[[#This Row],[CodBarras2]],2,50)</f>
        <v/>
      </c>
    </row>
    <row r="20040" spans="9:9" x14ac:dyDescent="0.25">
      <c r="I20040" s="227" t="str">
        <f>MID(excPisCofins[[#This Row],[CodBarras2]],2,50)</f>
        <v/>
      </c>
    </row>
    <row r="20041" spans="9:9" x14ac:dyDescent="0.25">
      <c r="I20041" s="227" t="str">
        <f>MID(excPisCofins[[#This Row],[CodBarras2]],2,50)</f>
        <v/>
      </c>
    </row>
    <row r="20042" spans="9:9" x14ac:dyDescent="0.25">
      <c r="I20042" s="227" t="str">
        <f>MID(excPisCofins[[#This Row],[CodBarras2]],2,50)</f>
        <v/>
      </c>
    </row>
    <row r="20043" spans="9:9" x14ac:dyDescent="0.25">
      <c r="I20043" s="227" t="str">
        <f>MID(excPisCofins[[#This Row],[CodBarras2]],2,50)</f>
        <v/>
      </c>
    </row>
    <row r="20044" spans="9:9" x14ac:dyDescent="0.25">
      <c r="I20044" s="227" t="str">
        <f>MID(excPisCofins[[#This Row],[CodBarras2]],2,50)</f>
        <v/>
      </c>
    </row>
    <row r="20045" spans="9:9" x14ac:dyDescent="0.25">
      <c r="I20045" s="227" t="str">
        <f>MID(excPisCofins[[#This Row],[CodBarras2]],2,50)</f>
        <v/>
      </c>
    </row>
    <row r="20046" spans="9:9" x14ac:dyDescent="0.25">
      <c r="I20046" s="227" t="str">
        <f>MID(excPisCofins[[#This Row],[CodBarras2]],2,50)</f>
        <v/>
      </c>
    </row>
    <row r="20047" spans="9:9" x14ac:dyDescent="0.25">
      <c r="I20047" s="227" t="str">
        <f>MID(excPisCofins[[#This Row],[CodBarras2]],2,50)</f>
        <v/>
      </c>
    </row>
    <row r="20048" spans="9:9" x14ac:dyDescent="0.25">
      <c r="I20048" s="227" t="str">
        <f>MID(excPisCofins[[#This Row],[CodBarras2]],2,50)</f>
        <v/>
      </c>
    </row>
    <row r="20049" spans="9:9" x14ac:dyDescent="0.25">
      <c r="I20049" s="227" t="str">
        <f>MID(excPisCofins[[#This Row],[CodBarras2]],2,50)</f>
        <v/>
      </c>
    </row>
    <row r="20050" spans="9:9" x14ac:dyDescent="0.25">
      <c r="I20050" s="227" t="str">
        <f>MID(excPisCofins[[#This Row],[CodBarras2]],2,50)</f>
        <v/>
      </c>
    </row>
    <row r="20051" spans="9:9" x14ac:dyDescent="0.25">
      <c r="I20051" s="227" t="str">
        <f>MID(excPisCofins[[#This Row],[CodBarras2]],2,50)</f>
        <v/>
      </c>
    </row>
    <row r="20052" spans="9:9" x14ac:dyDescent="0.25">
      <c r="I20052" s="227" t="str">
        <f>MID(excPisCofins[[#This Row],[CodBarras2]],2,50)</f>
        <v/>
      </c>
    </row>
    <row r="20053" spans="9:9" x14ac:dyDescent="0.25">
      <c r="I20053" s="227" t="str">
        <f>MID(excPisCofins[[#This Row],[CodBarras2]],2,50)</f>
        <v/>
      </c>
    </row>
    <row r="20054" spans="9:9" x14ac:dyDescent="0.25">
      <c r="I20054" s="227" t="str">
        <f>MID(excPisCofins[[#This Row],[CodBarras2]],2,50)</f>
        <v/>
      </c>
    </row>
    <row r="20055" spans="9:9" x14ac:dyDescent="0.25">
      <c r="I20055" s="227" t="str">
        <f>MID(excPisCofins[[#This Row],[CodBarras2]],2,50)</f>
        <v/>
      </c>
    </row>
    <row r="20056" spans="9:9" x14ac:dyDescent="0.25">
      <c r="I20056" s="227" t="str">
        <f>MID(excPisCofins[[#This Row],[CodBarras2]],2,50)</f>
        <v/>
      </c>
    </row>
    <row r="20057" spans="9:9" x14ac:dyDescent="0.25">
      <c r="I20057" s="227" t="str">
        <f>MID(excPisCofins[[#This Row],[CodBarras2]],2,50)</f>
        <v/>
      </c>
    </row>
    <row r="20058" spans="9:9" x14ac:dyDescent="0.25">
      <c r="I20058" s="227" t="str">
        <f>MID(excPisCofins[[#This Row],[CodBarras2]],2,50)</f>
        <v/>
      </c>
    </row>
    <row r="20059" spans="9:9" x14ac:dyDescent="0.25">
      <c r="I20059" s="227" t="str">
        <f>MID(excPisCofins[[#This Row],[CodBarras2]],2,50)</f>
        <v/>
      </c>
    </row>
    <row r="20060" spans="9:9" x14ac:dyDescent="0.25">
      <c r="I20060" s="227" t="str">
        <f>MID(excPisCofins[[#This Row],[CodBarras2]],2,50)</f>
        <v/>
      </c>
    </row>
    <row r="20061" spans="9:9" x14ac:dyDescent="0.25">
      <c r="I20061" s="227" t="str">
        <f>MID(excPisCofins[[#This Row],[CodBarras2]],2,50)</f>
        <v/>
      </c>
    </row>
    <row r="20062" spans="9:9" x14ac:dyDescent="0.25">
      <c r="I20062" s="227" t="str">
        <f>MID(excPisCofins[[#This Row],[CodBarras2]],2,50)</f>
        <v/>
      </c>
    </row>
    <row r="20063" spans="9:9" x14ac:dyDescent="0.25">
      <c r="I20063" s="227" t="str">
        <f>MID(excPisCofins[[#This Row],[CodBarras2]],2,50)</f>
        <v/>
      </c>
    </row>
    <row r="20064" spans="9:9" x14ac:dyDescent="0.25">
      <c r="I20064" s="227" t="str">
        <f>MID(excPisCofins[[#This Row],[CodBarras2]],2,50)</f>
        <v/>
      </c>
    </row>
    <row r="20065" spans="9:9" x14ac:dyDescent="0.25">
      <c r="I20065" s="227" t="str">
        <f>MID(excPisCofins[[#This Row],[CodBarras2]],2,50)</f>
        <v/>
      </c>
    </row>
    <row r="20066" spans="9:9" x14ac:dyDescent="0.25">
      <c r="I20066" s="227" t="str">
        <f>MID(excPisCofins[[#This Row],[CodBarras2]],2,50)</f>
        <v/>
      </c>
    </row>
    <row r="20067" spans="9:9" x14ac:dyDescent="0.25">
      <c r="I20067" s="227" t="str">
        <f>MID(excPisCofins[[#This Row],[CodBarras2]],2,50)</f>
        <v/>
      </c>
    </row>
    <row r="20068" spans="9:9" x14ac:dyDescent="0.25">
      <c r="I20068" s="227" t="str">
        <f>MID(excPisCofins[[#This Row],[CodBarras2]],2,50)</f>
        <v/>
      </c>
    </row>
    <row r="20069" spans="9:9" x14ac:dyDescent="0.25">
      <c r="I20069" s="227" t="str">
        <f>MID(excPisCofins[[#This Row],[CodBarras2]],2,50)</f>
        <v/>
      </c>
    </row>
    <row r="20070" spans="9:9" x14ac:dyDescent="0.25">
      <c r="I20070" s="227" t="str">
        <f>MID(excPisCofins[[#This Row],[CodBarras2]],2,50)</f>
        <v/>
      </c>
    </row>
    <row r="20071" spans="9:9" x14ac:dyDescent="0.25">
      <c r="I20071" s="227" t="str">
        <f>MID(excPisCofins[[#This Row],[CodBarras2]],2,50)</f>
        <v/>
      </c>
    </row>
    <row r="20072" spans="9:9" x14ac:dyDescent="0.25">
      <c r="I20072" s="227" t="str">
        <f>MID(excPisCofins[[#This Row],[CodBarras2]],2,50)</f>
        <v/>
      </c>
    </row>
    <row r="20073" spans="9:9" x14ac:dyDescent="0.25">
      <c r="I20073" s="227" t="str">
        <f>MID(excPisCofins[[#This Row],[CodBarras2]],2,50)</f>
        <v/>
      </c>
    </row>
    <row r="20074" spans="9:9" x14ac:dyDescent="0.25">
      <c r="I20074" s="227" t="str">
        <f>MID(excPisCofins[[#This Row],[CodBarras2]],2,50)</f>
        <v/>
      </c>
    </row>
    <row r="20075" spans="9:9" x14ac:dyDescent="0.25">
      <c r="I20075" s="227" t="str">
        <f>MID(excPisCofins[[#This Row],[CodBarras2]],2,50)</f>
        <v/>
      </c>
    </row>
    <row r="20076" spans="9:9" x14ac:dyDescent="0.25">
      <c r="I20076" s="227" t="str">
        <f>MID(excPisCofins[[#This Row],[CodBarras2]],2,50)</f>
        <v/>
      </c>
    </row>
    <row r="20077" spans="9:9" x14ac:dyDescent="0.25">
      <c r="I20077" s="227" t="str">
        <f>MID(excPisCofins[[#This Row],[CodBarras2]],2,50)</f>
        <v/>
      </c>
    </row>
    <row r="20078" spans="9:9" x14ac:dyDescent="0.25">
      <c r="I20078" s="227" t="str">
        <f>MID(excPisCofins[[#This Row],[CodBarras2]],2,50)</f>
        <v/>
      </c>
    </row>
    <row r="20079" spans="9:9" x14ac:dyDescent="0.25">
      <c r="I20079" s="227" t="str">
        <f>MID(excPisCofins[[#This Row],[CodBarras2]],2,50)</f>
        <v/>
      </c>
    </row>
    <row r="20080" spans="9:9" x14ac:dyDescent="0.25">
      <c r="I20080" s="227" t="str">
        <f>MID(excPisCofins[[#This Row],[CodBarras2]],2,50)</f>
        <v/>
      </c>
    </row>
    <row r="20081" spans="9:9" x14ac:dyDescent="0.25">
      <c r="I20081" s="227" t="str">
        <f>MID(excPisCofins[[#This Row],[CodBarras2]],2,50)</f>
        <v/>
      </c>
    </row>
    <row r="20082" spans="9:9" x14ac:dyDescent="0.25">
      <c r="I20082" s="227" t="str">
        <f>MID(excPisCofins[[#This Row],[CodBarras2]],2,50)</f>
        <v/>
      </c>
    </row>
    <row r="20083" spans="9:9" x14ac:dyDescent="0.25">
      <c r="I20083" s="227" t="str">
        <f>MID(excPisCofins[[#This Row],[CodBarras2]],2,50)</f>
        <v/>
      </c>
    </row>
    <row r="20084" spans="9:9" x14ac:dyDescent="0.25">
      <c r="I20084" s="227" t="str">
        <f>MID(excPisCofins[[#This Row],[CodBarras2]],2,50)</f>
        <v/>
      </c>
    </row>
    <row r="20085" spans="9:9" x14ac:dyDescent="0.25">
      <c r="I20085" s="227" t="str">
        <f>MID(excPisCofins[[#This Row],[CodBarras2]],2,50)</f>
        <v/>
      </c>
    </row>
    <row r="20086" spans="9:9" x14ac:dyDescent="0.25">
      <c r="I20086" s="227" t="str">
        <f>MID(excPisCofins[[#This Row],[CodBarras2]],2,50)</f>
        <v/>
      </c>
    </row>
    <row r="20087" spans="9:9" x14ac:dyDescent="0.25">
      <c r="I20087" s="227" t="str">
        <f>MID(excPisCofins[[#This Row],[CodBarras2]],2,50)</f>
        <v/>
      </c>
    </row>
    <row r="20088" spans="9:9" x14ac:dyDescent="0.25">
      <c r="I20088" s="227" t="str">
        <f>MID(excPisCofins[[#This Row],[CodBarras2]],2,50)</f>
        <v/>
      </c>
    </row>
    <row r="20089" spans="9:9" x14ac:dyDescent="0.25">
      <c r="I20089" s="227" t="str">
        <f>MID(excPisCofins[[#This Row],[CodBarras2]],2,50)</f>
        <v/>
      </c>
    </row>
    <row r="20090" spans="9:9" x14ac:dyDescent="0.25">
      <c r="I20090" s="227" t="str">
        <f>MID(excPisCofins[[#This Row],[CodBarras2]],2,50)</f>
        <v/>
      </c>
    </row>
    <row r="20091" spans="9:9" x14ac:dyDescent="0.25">
      <c r="I20091" s="227" t="str">
        <f>MID(excPisCofins[[#This Row],[CodBarras2]],2,50)</f>
        <v/>
      </c>
    </row>
    <row r="20092" spans="9:9" x14ac:dyDescent="0.25">
      <c r="I20092" s="227" t="str">
        <f>MID(excPisCofins[[#This Row],[CodBarras2]],2,50)</f>
        <v/>
      </c>
    </row>
    <row r="20093" spans="9:9" x14ac:dyDescent="0.25">
      <c r="I20093" s="227" t="str">
        <f>MID(excPisCofins[[#This Row],[CodBarras2]],2,50)</f>
        <v/>
      </c>
    </row>
    <row r="20094" spans="9:9" x14ac:dyDescent="0.25">
      <c r="I20094" s="227" t="str">
        <f>MID(excPisCofins[[#This Row],[CodBarras2]],2,50)</f>
        <v/>
      </c>
    </row>
    <row r="20095" spans="9:9" x14ac:dyDescent="0.25">
      <c r="I20095" s="227" t="str">
        <f>MID(excPisCofins[[#This Row],[CodBarras2]],2,50)</f>
        <v/>
      </c>
    </row>
    <row r="20096" spans="9:9" x14ac:dyDescent="0.25">
      <c r="I20096" s="227" t="str">
        <f>MID(excPisCofins[[#This Row],[CodBarras2]],2,50)</f>
        <v/>
      </c>
    </row>
    <row r="20097" spans="9:9" x14ac:dyDescent="0.25">
      <c r="I20097" s="227" t="str">
        <f>MID(excPisCofins[[#This Row],[CodBarras2]],2,50)</f>
        <v/>
      </c>
    </row>
    <row r="20098" spans="9:9" x14ac:dyDescent="0.25">
      <c r="I20098" s="227" t="str">
        <f>MID(excPisCofins[[#This Row],[CodBarras2]],2,50)</f>
        <v/>
      </c>
    </row>
    <row r="20099" spans="9:9" x14ac:dyDescent="0.25">
      <c r="I20099" s="227" t="str">
        <f>MID(excPisCofins[[#This Row],[CodBarras2]],2,50)</f>
        <v/>
      </c>
    </row>
    <row r="20100" spans="9:9" x14ac:dyDescent="0.25">
      <c r="I20100" s="227" t="str">
        <f>MID(excPisCofins[[#This Row],[CodBarras2]],2,50)</f>
        <v/>
      </c>
    </row>
    <row r="20101" spans="9:9" x14ac:dyDescent="0.25">
      <c r="I20101" s="227" t="str">
        <f>MID(excPisCofins[[#This Row],[CodBarras2]],2,50)</f>
        <v/>
      </c>
    </row>
    <row r="20102" spans="9:9" x14ac:dyDescent="0.25">
      <c r="I20102" s="227" t="str">
        <f>MID(excPisCofins[[#This Row],[CodBarras2]],2,50)</f>
        <v/>
      </c>
    </row>
    <row r="20103" spans="9:9" x14ac:dyDescent="0.25">
      <c r="I20103" s="227" t="str">
        <f>MID(excPisCofins[[#This Row],[CodBarras2]],2,50)</f>
        <v/>
      </c>
    </row>
    <row r="20104" spans="9:9" x14ac:dyDescent="0.25">
      <c r="I20104" s="227" t="str">
        <f>MID(excPisCofins[[#This Row],[CodBarras2]],2,50)</f>
        <v/>
      </c>
    </row>
    <row r="20105" spans="9:9" x14ac:dyDescent="0.25">
      <c r="I20105" s="227" t="str">
        <f>MID(excPisCofins[[#This Row],[CodBarras2]],2,50)</f>
        <v/>
      </c>
    </row>
    <row r="20106" spans="9:9" x14ac:dyDescent="0.25">
      <c r="I20106" s="227" t="str">
        <f>MID(excPisCofins[[#This Row],[CodBarras2]],2,50)</f>
        <v/>
      </c>
    </row>
    <row r="20107" spans="9:9" x14ac:dyDescent="0.25">
      <c r="I20107" s="227" t="str">
        <f>MID(excPisCofins[[#This Row],[CodBarras2]],2,50)</f>
        <v/>
      </c>
    </row>
    <row r="20108" spans="9:9" x14ac:dyDescent="0.25">
      <c r="I20108" s="227" t="str">
        <f>MID(excPisCofins[[#This Row],[CodBarras2]],2,50)</f>
        <v/>
      </c>
    </row>
    <row r="20109" spans="9:9" x14ac:dyDescent="0.25">
      <c r="I20109" s="227" t="str">
        <f>MID(excPisCofins[[#This Row],[CodBarras2]],2,50)</f>
        <v/>
      </c>
    </row>
    <row r="20110" spans="9:9" x14ac:dyDescent="0.25">
      <c r="I20110" s="227" t="str">
        <f>MID(excPisCofins[[#This Row],[CodBarras2]],2,50)</f>
        <v/>
      </c>
    </row>
    <row r="20111" spans="9:9" x14ac:dyDescent="0.25">
      <c r="I20111" s="227" t="str">
        <f>MID(excPisCofins[[#This Row],[CodBarras2]],2,50)</f>
        <v/>
      </c>
    </row>
    <row r="20112" spans="9:9" x14ac:dyDescent="0.25">
      <c r="I20112" s="227" t="str">
        <f>MID(excPisCofins[[#This Row],[CodBarras2]],2,50)</f>
        <v/>
      </c>
    </row>
    <row r="20113" spans="9:9" x14ac:dyDescent="0.25">
      <c r="I20113" s="227" t="str">
        <f>MID(excPisCofins[[#This Row],[CodBarras2]],2,50)</f>
        <v/>
      </c>
    </row>
    <row r="20114" spans="9:9" x14ac:dyDescent="0.25">
      <c r="I20114" s="227" t="str">
        <f>MID(excPisCofins[[#This Row],[CodBarras2]],2,50)</f>
        <v/>
      </c>
    </row>
    <row r="20115" spans="9:9" x14ac:dyDescent="0.25">
      <c r="I20115" s="227" t="str">
        <f>MID(excPisCofins[[#This Row],[CodBarras2]],2,50)</f>
        <v/>
      </c>
    </row>
    <row r="20116" spans="9:9" x14ac:dyDescent="0.25">
      <c r="I20116" s="227" t="str">
        <f>MID(excPisCofins[[#This Row],[CodBarras2]],2,50)</f>
        <v/>
      </c>
    </row>
    <row r="20117" spans="9:9" x14ac:dyDescent="0.25">
      <c r="I20117" s="227" t="str">
        <f>MID(excPisCofins[[#This Row],[CodBarras2]],2,50)</f>
        <v/>
      </c>
    </row>
    <row r="20118" spans="9:9" x14ac:dyDescent="0.25">
      <c r="I20118" s="227" t="str">
        <f>MID(excPisCofins[[#This Row],[CodBarras2]],2,50)</f>
        <v/>
      </c>
    </row>
    <row r="20119" spans="9:9" x14ac:dyDescent="0.25">
      <c r="I20119" s="227" t="str">
        <f>MID(excPisCofins[[#This Row],[CodBarras2]],2,50)</f>
        <v/>
      </c>
    </row>
    <row r="20120" spans="9:9" x14ac:dyDescent="0.25">
      <c r="I20120" s="227" t="str">
        <f>MID(excPisCofins[[#This Row],[CodBarras2]],2,50)</f>
        <v/>
      </c>
    </row>
    <row r="20121" spans="9:9" x14ac:dyDescent="0.25">
      <c r="I20121" s="227" t="str">
        <f>MID(excPisCofins[[#This Row],[CodBarras2]],2,50)</f>
        <v/>
      </c>
    </row>
    <row r="20122" spans="9:9" x14ac:dyDescent="0.25">
      <c r="I20122" s="227" t="str">
        <f>MID(excPisCofins[[#This Row],[CodBarras2]],2,50)</f>
        <v/>
      </c>
    </row>
    <row r="20123" spans="9:9" x14ac:dyDescent="0.25">
      <c r="I20123" s="227" t="str">
        <f>MID(excPisCofins[[#This Row],[CodBarras2]],2,50)</f>
        <v/>
      </c>
    </row>
    <row r="20124" spans="9:9" x14ac:dyDescent="0.25">
      <c r="I20124" s="227" t="str">
        <f>MID(excPisCofins[[#This Row],[CodBarras2]],2,50)</f>
        <v/>
      </c>
    </row>
    <row r="20125" spans="9:9" x14ac:dyDescent="0.25">
      <c r="I20125" s="227" t="str">
        <f>MID(excPisCofins[[#This Row],[CodBarras2]],2,50)</f>
        <v/>
      </c>
    </row>
    <row r="20126" spans="9:9" x14ac:dyDescent="0.25">
      <c r="I20126" s="227" t="str">
        <f>MID(excPisCofins[[#This Row],[CodBarras2]],2,50)</f>
        <v/>
      </c>
    </row>
    <row r="20127" spans="9:9" x14ac:dyDescent="0.25">
      <c r="I20127" s="227" t="str">
        <f>MID(excPisCofins[[#This Row],[CodBarras2]],2,50)</f>
        <v/>
      </c>
    </row>
    <row r="20128" spans="9:9" x14ac:dyDescent="0.25">
      <c r="I20128" s="227" t="str">
        <f>MID(excPisCofins[[#This Row],[CodBarras2]],2,50)</f>
        <v/>
      </c>
    </row>
    <row r="20129" spans="9:9" x14ac:dyDescent="0.25">
      <c r="I20129" s="227" t="str">
        <f>MID(excPisCofins[[#This Row],[CodBarras2]],2,50)</f>
        <v/>
      </c>
    </row>
    <row r="20130" spans="9:9" x14ac:dyDescent="0.25">
      <c r="I20130" s="227" t="str">
        <f>MID(excPisCofins[[#This Row],[CodBarras2]],2,50)</f>
        <v/>
      </c>
    </row>
    <row r="20131" spans="9:9" x14ac:dyDescent="0.25">
      <c r="I20131" s="227" t="str">
        <f>MID(excPisCofins[[#This Row],[CodBarras2]],2,50)</f>
        <v/>
      </c>
    </row>
    <row r="20132" spans="9:9" x14ac:dyDescent="0.25">
      <c r="I20132" s="227" t="str">
        <f>MID(excPisCofins[[#This Row],[CodBarras2]],2,50)</f>
        <v/>
      </c>
    </row>
    <row r="20133" spans="9:9" x14ac:dyDescent="0.25">
      <c r="I20133" s="227" t="str">
        <f>MID(excPisCofins[[#This Row],[CodBarras2]],2,50)</f>
        <v/>
      </c>
    </row>
    <row r="20134" spans="9:9" x14ac:dyDescent="0.25">
      <c r="I20134" s="227" t="str">
        <f>MID(excPisCofins[[#This Row],[CodBarras2]],2,50)</f>
        <v/>
      </c>
    </row>
    <row r="20135" spans="9:9" x14ac:dyDescent="0.25">
      <c r="I20135" s="227" t="str">
        <f>MID(excPisCofins[[#This Row],[CodBarras2]],2,50)</f>
        <v/>
      </c>
    </row>
    <row r="20136" spans="9:9" x14ac:dyDescent="0.25">
      <c r="I20136" s="227" t="str">
        <f>MID(excPisCofins[[#This Row],[CodBarras2]],2,50)</f>
        <v/>
      </c>
    </row>
    <row r="20137" spans="9:9" x14ac:dyDescent="0.25">
      <c r="I20137" s="227" t="str">
        <f>MID(excPisCofins[[#This Row],[CodBarras2]],2,50)</f>
        <v/>
      </c>
    </row>
    <row r="20138" spans="9:9" x14ac:dyDescent="0.25">
      <c r="I20138" s="227" t="str">
        <f>MID(excPisCofins[[#This Row],[CodBarras2]],2,50)</f>
        <v/>
      </c>
    </row>
    <row r="20139" spans="9:9" x14ac:dyDescent="0.25">
      <c r="I20139" s="227" t="str">
        <f>MID(excPisCofins[[#This Row],[CodBarras2]],2,50)</f>
        <v/>
      </c>
    </row>
    <row r="20140" spans="9:9" x14ac:dyDescent="0.25">
      <c r="I20140" s="227" t="str">
        <f>MID(excPisCofins[[#This Row],[CodBarras2]],2,50)</f>
        <v/>
      </c>
    </row>
    <row r="20141" spans="9:9" x14ac:dyDescent="0.25">
      <c r="I20141" s="227" t="str">
        <f>MID(excPisCofins[[#This Row],[CodBarras2]],2,50)</f>
        <v/>
      </c>
    </row>
    <row r="20142" spans="9:9" x14ac:dyDescent="0.25">
      <c r="I20142" s="227" t="str">
        <f>MID(excPisCofins[[#This Row],[CodBarras2]],2,50)</f>
        <v/>
      </c>
    </row>
    <row r="20143" spans="9:9" x14ac:dyDescent="0.25">
      <c r="I20143" s="227" t="str">
        <f>MID(excPisCofins[[#This Row],[CodBarras2]],2,50)</f>
        <v/>
      </c>
    </row>
    <row r="20144" spans="9:9" x14ac:dyDescent="0.25">
      <c r="I20144" s="227" t="str">
        <f>MID(excPisCofins[[#This Row],[CodBarras2]],2,50)</f>
        <v/>
      </c>
    </row>
    <row r="20145" spans="9:9" x14ac:dyDescent="0.25">
      <c r="I20145" s="227" t="str">
        <f>MID(excPisCofins[[#This Row],[CodBarras2]],2,50)</f>
        <v/>
      </c>
    </row>
    <row r="20146" spans="9:9" x14ac:dyDescent="0.25">
      <c r="I20146" s="227" t="str">
        <f>MID(excPisCofins[[#This Row],[CodBarras2]],2,50)</f>
        <v/>
      </c>
    </row>
    <row r="20147" spans="9:9" x14ac:dyDescent="0.25">
      <c r="I20147" s="227" t="str">
        <f>MID(excPisCofins[[#This Row],[CodBarras2]],2,50)</f>
        <v/>
      </c>
    </row>
    <row r="20148" spans="9:9" x14ac:dyDescent="0.25">
      <c r="I20148" s="227" t="str">
        <f>MID(excPisCofins[[#This Row],[CodBarras2]],2,50)</f>
        <v/>
      </c>
    </row>
    <row r="20149" spans="9:9" x14ac:dyDescent="0.25">
      <c r="I20149" s="227" t="str">
        <f>MID(excPisCofins[[#This Row],[CodBarras2]],2,50)</f>
        <v/>
      </c>
    </row>
    <row r="20150" spans="9:9" x14ac:dyDescent="0.25">
      <c r="I20150" s="227" t="str">
        <f>MID(excPisCofins[[#This Row],[CodBarras2]],2,50)</f>
        <v/>
      </c>
    </row>
    <row r="20151" spans="9:9" x14ac:dyDescent="0.25">
      <c r="I20151" s="227" t="str">
        <f>MID(excPisCofins[[#This Row],[CodBarras2]],2,50)</f>
        <v/>
      </c>
    </row>
    <row r="20152" spans="9:9" x14ac:dyDescent="0.25">
      <c r="I20152" s="227" t="str">
        <f>MID(excPisCofins[[#This Row],[CodBarras2]],2,50)</f>
        <v/>
      </c>
    </row>
    <row r="20153" spans="9:9" x14ac:dyDescent="0.25">
      <c r="I20153" s="227" t="str">
        <f>MID(excPisCofins[[#This Row],[CodBarras2]],2,50)</f>
        <v/>
      </c>
    </row>
    <row r="20154" spans="9:9" x14ac:dyDescent="0.25">
      <c r="I20154" s="227" t="str">
        <f>MID(excPisCofins[[#This Row],[CodBarras2]],2,50)</f>
        <v/>
      </c>
    </row>
    <row r="20155" spans="9:9" x14ac:dyDescent="0.25">
      <c r="I20155" s="227" t="str">
        <f>MID(excPisCofins[[#This Row],[CodBarras2]],2,50)</f>
        <v/>
      </c>
    </row>
    <row r="20156" spans="9:9" x14ac:dyDescent="0.25">
      <c r="I20156" s="227" t="str">
        <f>MID(excPisCofins[[#This Row],[CodBarras2]],2,50)</f>
        <v/>
      </c>
    </row>
    <row r="20157" spans="9:9" x14ac:dyDescent="0.25">
      <c r="I20157" s="227" t="str">
        <f>MID(excPisCofins[[#This Row],[CodBarras2]],2,50)</f>
        <v/>
      </c>
    </row>
    <row r="20158" spans="9:9" x14ac:dyDescent="0.25">
      <c r="I20158" s="227" t="str">
        <f>MID(excPisCofins[[#This Row],[CodBarras2]],2,50)</f>
        <v/>
      </c>
    </row>
    <row r="20159" spans="9:9" x14ac:dyDescent="0.25">
      <c r="I20159" s="227" t="str">
        <f>MID(excPisCofins[[#This Row],[CodBarras2]],2,50)</f>
        <v/>
      </c>
    </row>
    <row r="20160" spans="9:9" x14ac:dyDescent="0.25">
      <c r="I20160" s="227" t="str">
        <f>MID(excPisCofins[[#This Row],[CodBarras2]],2,50)</f>
        <v/>
      </c>
    </row>
    <row r="20161" spans="9:9" x14ac:dyDescent="0.25">
      <c r="I20161" s="227" t="str">
        <f>MID(excPisCofins[[#This Row],[CodBarras2]],2,50)</f>
        <v/>
      </c>
    </row>
    <row r="20162" spans="9:9" x14ac:dyDescent="0.25">
      <c r="I20162" s="227" t="str">
        <f>MID(excPisCofins[[#This Row],[CodBarras2]],2,50)</f>
        <v/>
      </c>
    </row>
    <row r="20163" spans="9:9" x14ac:dyDescent="0.25">
      <c r="I20163" s="227" t="str">
        <f>MID(excPisCofins[[#This Row],[CodBarras2]],2,50)</f>
        <v/>
      </c>
    </row>
    <row r="20164" spans="9:9" x14ac:dyDescent="0.25">
      <c r="I20164" s="227" t="str">
        <f>MID(excPisCofins[[#This Row],[CodBarras2]],2,50)</f>
        <v/>
      </c>
    </row>
    <row r="20165" spans="9:9" x14ac:dyDescent="0.25">
      <c r="I20165" s="227" t="str">
        <f>MID(excPisCofins[[#This Row],[CodBarras2]],2,50)</f>
        <v/>
      </c>
    </row>
    <row r="20166" spans="9:9" x14ac:dyDescent="0.25">
      <c r="I20166" s="227" t="str">
        <f>MID(excPisCofins[[#This Row],[CodBarras2]],2,50)</f>
        <v/>
      </c>
    </row>
    <row r="20167" spans="9:9" x14ac:dyDescent="0.25">
      <c r="I20167" s="227" t="str">
        <f>MID(excPisCofins[[#This Row],[CodBarras2]],2,50)</f>
        <v/>
      </c>
    </row>
    <row r="20168" spans="9:9" x14ac:dyDescent="0.25">
      <c r="I20168" s="227" t="str">
        <f>MID(excPisCofins[[#This Row],[CodBarras2]],2,50)</f>
        <v/>
      </c>
    </row>
    <row r="20169" spans="9:9" x14ac:dyDescent="0.25">
      <c r="I20169" s="227" t="str">
        <f>MID(excPisCofins[[#This Row],[CodBarras2]],2,50)</f>
        <v/>
      </c>
    </row>
    <row r="20170" spans="9:9" x14ac:dyDescent="0.25">
      <c r="I20170" s="227" t="str">
        <f>MID(excPisCofins[[#This Row],[CodBarras2]],2,50)</f>
        <v/>
      </c>
    </row>
    <row r="20171" spans="9:9" x14ac:dyDescent="0.25">
      <c r="I20171" s="227" t="str">
        <f>MID(excPisCofins[[#This Row],[CodBarras2]],2,50)</f>
        <v/>
      </c>
    </row>
    <row r="20172" spans="9:9" x14ac:dyDescent="0.25">
      <c r="I20172" s="227" t="str">
        <f>MID(excPisCofins[[#This Row],[CodBarras2]],2,50)</f>
        <v/>
      </c>
    </row>
    <row r="20173" spans="9:9" x14ac:dyDescent="0.25">
      <c r="I20173" s="227" t="str">
        <f>MID(excPisCofins[[#This Row],[CodBarras2]],2,50)</f>
        <v/>
      </c>
    </row>
    <row r="20174" spans="9:9" x14ac:dyDescent="0.25">
      <c r="I20174" s="227" t="str">
        <f>MID(excPisCofins[[#This Row],[CodBarras2]],2,50)</f>
        <v/>
      </c>
    </row>
    <row r="20175" spans="9:9" x14ac:dyDescent="0.25">
      <c r="I20175" s="227" t="str">
        <f>MID(excPisCofins[[#This Row],[CodBarras2]],2,50)</f>
        <v/>
      </c>
    </row>
    <row r="20176" spans="9:9" x14ac:dyDescent="0.25">
      <c r="I20176" s="227" t="str">
        <f>MID(excPisCofins[[#This Row],[CodBarras2]],2,50)</f>
        <v/>
      </c>
    </row>
    <row r="20177" spans="9:9" x14ac:dyDescent="0.25">
      <c r="I20177" s="227" t="str">
        <f>MID(excPisCofins[[#This Row],[CodBarras2]],2,50)</f>
        <v/>
      </c>
    </row>
    <row r="20178" spans="9:9" x14ac:dyDescent="0.25">
      <c r="I20178" s="227" t="str">
        <f>MID(excPisCofins[[#This Row],[CodBarras2]],2,50)</f>
        <v/>
      </c>
    </row>
    <row r="20179" spans="9:9" x14ac:dyDescent="0.25">
      <c r="I20179" s="227" t="str">
        <f>MID(excPisCofins[[#This Row],[CodBarras2]],2,50)</f>
        <v/>
      </c>
    </row>
    <row r="20180" spans="9:9" x14ac:dyDescent="0.25">
      <c r="I20180" s="227" t="str">
        <f>MID(excPisCofins[[#This Row],[CodBarras2]],2,50)</f>
        <v/>
      </c>
    </row>
    <row r="20181" spans="9:9" x14ac:dyDescent="0.25">
      <c r="I20181" s="227" t="str">
        <f>MID(excPisCofins[[#This Row],[CodBarras2]],2,50)</f>
        <v/>
      </c>
    </row>
    <row r="20182" spans="9:9" x14ac:dyDescent="0.25">
      <c r="I20182" s="227" t="str">
        <f>MID(excPisCofins[[#This Row],[CodBarras2]],2,50)</f>
        <v/>
      </c>
    </row>
    <row r="20183" spans="9:9" x14ac:dyDescent="0.25">
      <c r="I20183" s="227" t="str">
        <f>MID(excPisCofins[[#This Row],[CodBarras2]],2,50)</f>
        <v/>
      </c>
    </row>
    <row r="20184" spans="9:9" x14ac:dyDescent="0.25">
      <c r="I20184" s="227" t="str">
        <f>MID(excPisCofins[[#This Row],[CodBarras2]],2,50)</f>
        <v/>
      </c>
    </row>
    <row r="20185" spans="9:9" x14ac:dyDescent="0.25">
      <c r="I20185" s="227" t="str">
        <f>MID(excPisCofins[[#This Row],[CodBarras2]],2,50)</f>
        <v/>
      </c>
    </row>
    <row r="20186" spans="9:9" x14ac:dyDescent="0.25">
      <c r="I20186" s="227" t="str">
        <f>MID(excPisCofins[[#This Row],[CodBarras2]],2,50)</f>
        <v/>
      </c>
    </row>
    <row r="20187" spans="9:9" x14ac:dyDescent="0.25">
      <c r="I20187" s="227" t="str">
        <f>MID(excPisCofins[[#This Row],[CodBarras2]],2,50)</f>
        <v/>
      </c>
    </row>
    <row r="20188" spans="9:9" x14ac:dyDescent="0.25">
      <c r="I20188" s="227" t="str">
        <f>MID(excPisCofins[[#This Row],[CodBarras2]],2,50)</f>
        <v/>
      </c>
    </row>
    <row r="20189" spans="9:9" x14ac:dyDescent="0.25">
      <c r="I20189" s="227" t="str">
        <f>MID(excPisCofins[[#This Row],[CodBarras2]],2,50)</f>
        <v/>
      </c>
    </row>
    <row r="20190" spans="9:9" x14ac:dyDescent="0.25">
      <c r="I20190" s="227" t="str">
        <f>MID(excPisCofins[[#This Row],[CodBarras2]],2,50)</f>
        <v/>
      </c>
    </row>
    <row r="20191" spans="9:9" x14ac:dyDescent="0.25">
      <c r="I20191" s="227" t="str">
        <f>MID(excPisCofins[[#This Row],[CodBarras2]],2,50)</f>
        <v/>
      </c>
    </row>
    <row r="20192" spans="9:9" x14ac:dyDescent="0.25">
      <c r="I20192" s="227" t="str">
        <f>MID(excPisCofins[[#This Row],[CodBarras2]],2,50)</f>
        <v/>
      </c>
    </row>
    <row r="20193" spans="9:9" x14ac:dyDescent="0.25">
      <c r="I20193" s="227" t="str">
        <f>MID(excPisCofins[[#This Row],[CodBarras2]],2,50)</f>
        <v/>
      </c>
    </row>
    <row r="20194" spans="9:9" x14ac:dyDescent="0.25">
      <c r="I20194" s="227" t="str">
        <f>MID(excPisCofins[[#This Row],[CodBarras2]],2,50)</f>
        <v/>
      </c>
    </row>
    <row r="20195" spans="9:9" x14ac:dyDescent="0.25">
      <c r="I20195" s="227" t="str">
        <f>MID(excPisCofins[[#This Row],[CodBarras2]],2,50)</f>
        <v/>
      </c>
    </row>
    <row r="20196" spans="9:9" x14ac:dyDescent="0.25">
      <c r="I20196" s="227" t="str">
        <f>MID(excPisCofins[[#This Row],[CodBarras2]],2,50)</f>
        <v/>
      </c>
    </row>
    <row r="20197" spans="9:9" x14ac:dyDescent="0.25">
      <c r="I20197" s="227" t="str">
        <f>MID(excPisCofins[[#This Row],[CodBarras2]],2,50)</f>
        <v/>
      </c>
    </row>
    <row r="20198" spans="9:9" x14ac:dyDescent="0.25">
      <c r="I20198" s="227" t="str">
        <f>MID(excPisCofins[[#This Row],[CodBarras2]],2,50)</f>
        <v/>
      </c>
    </row>
    <row r="20199" spans="9:9" x14ac:dyDescent="0.25">
      <c r="I20199" s="227" t="str">
        <f>MID(excPisCofins[[#This Row],[CodBarras2]],2,50)</f>
        <v/>
      </c>
    </row>
    <row r="20200" spans="9:9" x14ac:dyDescent="0.25">
      <c r="I20200" s="227" t="str">
        <f>MID(excPisCofins[[#This Row],[CodBarras2]],2,50)</f>
        <v/>
      </c>
    </row>
    <row r="20201" spans="9:9" x14ac:dyDescent="0.25">
      <c r="I20201" s="227" t="str">
        <f>MID(excPisCofins[[#This Row],[CodBarras2]],2,50)</f>
        <v/>
      </c>
    </row>
    <row r="20202" spans="9:9" x14ac:dyDescent="0.25">
      <c r="I20202" s="227" t="str">
        <f>MID(excPisCofins[[#This Row],[CodBarras2]],2,50)</f>
        <v/>
      </c>
    </row>
    <row r="20203" spans="9:9" x14ac:dyDescent="0.25">
      <c r="I20203" s="227" t="str">
        <f>MID(excPisCofins[[#This Row],[CodBarras2]],2,50)</f>
        <v/>
      </c>
    </row>
    <row r="20204" spans="9:9" x14ac:dyDescent="0.25">
      <c r="I20204" s="227" t="str">
        <f>MID(excPisCofins[[#This Row],[CodBarras2]],2,50)</f>
        <v/>
      </c>
    </row>
    <row r="20205" spans="9:9" x14ac:dyDescent="0.25">
      <c r="I20205" s="227" t="str">
        <f>MID(excPisCofins[[#This Row],[CodBarras2]],2,50)</f>
        <v/>
      </c>
    </row>
    <row r="20206" spans="9:9" x14ac:dyDescent="0.25">
      <c r="I20206" s="227" t="str">
        <f>MID(excPisCofins[[#This Row],[CodBarras2]],2,50)</f>
        <v/>
      </c>
    </row>
    <row r="20207" spans="9:9" x14ac:dyDescent="0.25">
      <c r="I20207" s="227" t="str">
        <f>MID(excPisCofins[[#This Row],[CodBarras2]],2,50)</f>
        <v/>
      </c>
    </row>
    <row r="20208" spans="9:9" x14ac:dyDescent="0.25">
      <c r="I20208" s="227" t="str">
        <f>MID(excPisCofins[[#This Row],[CodBarras2]],2,50)</f>
        <v/>
      </c>
    </row>
    <row r="20209" spans="9:9" x14ac:dyDescent="0.25">
      <c r="I20209" s="227" t="str">
        <f>MID(excPisCofins[[#This Row],[CodBarras2]],2,50)</f>
        <v/>
      </c>
    </row>
    <row r="20210" spans="9:9" x14ac:dyDescent="0.25">
      <c r="I20210" s="227" t="str">
        <f>MID(excPisCofins[[#This Row],[CodBarras2]],2,50)</f>
        <v/>
      </c>
    </row>
    <row r="20211" spans="9:9" x14ac:dyDescent="0.25">
      <c r="I20211" s="227" t="str">
        <f>MID(excPisCofins[[#This Row],[CodBarras2]],2,50)</f>
        <v/>
      </c>
    </row>
    <row r="20212" spans="9:9" x14ac:dyDescent="0.25">
      <c r="I20212" s="227" t="str">
        <f>MID(excPisCofins[[#This Row],[CodBarras2]],2,50)</f>
        <v/>
      </c>
    </row>
    <row r="20213" spans="9:9" x14ac:dyDescent="0.25">
      <c r="I20213" s="227" t="str">
        <f>MID(excPisCofins[[#This Row],[CodBarras2]],2,50)</f>
        <v/>
      </c>
    </row>
    <row r="20214" spans="9:9" x14ac:dyDescent="0.25">
      <c r="I20214" s="227" t="str">
        <f>MID(excPisCofins[[#This Row],[CodBarras2]],2,50)</f>
        <v/>
      </c>
    </row>
    <row r="20215" spans="9:9" x14ac:dyDescent="0.25">
      <c r="I20215" s="227" t="str">
        <f>MID(excPisCofins[[#This Row],[CodBarras2]],2,50)</f>
        <v/>
      </c>
    </row>
    <row r="20216" spans="9:9" x14ac:dyDescent="0.25">
      <c r="I20216" s="227" t="str">
        <f>MID(excPisCofins[[#This Row],[CodBarras2]],2,50)</f>
        <v/>
      </c>
    </row>
    <row r="20217" spans="9:9" x14ac:dyDescent="0.25">
      <c r="I20217" s="227" t="str">
        <f>MID(excPisCofins[[#This Row],[CodBarras2]],2,50)</f>
        <v/>
      </c>
    </row>
    <row r="20218" spans="9:9" x14ac:dyDescent="0.25">
      <c r="I20218" s="227" t="str">
        <f>MID(excPisCofins[[#This Row],[CodBarras2]],2,50)</f>
        <v/>
      </c>
    </row>
    <row r="20219" spans="9:9" x14ac:dyDescent="0.25">
      <c r="I20219" s="227" t="str">
        <f>MID(excPisCofins[[#This Row],[CodBarras2]],2,50)</f>
        <v/>
      </c>
    </row>
    <row r="20220" spans="9:9" x14ac:dyDescent="0.25">
      <c r="I20220" s="227" t="str">
        <f>MID(excPisCofins[[#This Row],[CodBarras2]],2,50)</f>
        <v/>
      </c>
    </row>
    <row r="20221" spans="9:9" x14ac:dyDescent="0.25">
      <c r="I20221" s="227" t="str">
        <f>MID(excPisCofins[[#This Row],[CodBarras2]],2,50)</f>
        <v/>
      </c>
    </row>
    <row r="20222" spans="9:9" x14ac:dyDescent="0.25">
      <c r="I20222" s="227" t="str">
        <f>MID(excPisCofins[[#This Row],[CodBarras2]],2,50)</f>
        <v/>
      </c>
    </row>
    <row r="20223" spans="9:9" x14ac:dyDescent="0.25">
      <c r="I20223" s="227" t="str">
        <f>MID(excPisCofins[[#This Row],[CodBarras2]],2,50)</f>
        <v/>
      </c>
    </row>
    <row r="20224" spans="9:9" x14ac:dyDescent="0.25">
      <c r="I20224" s="227" t="str">
        <f>MID(excPisCofins[[#This Row],[CodBarras2]],2,50)</f>
        <v/>
      </c>
    </row>
    <row r="20225" spans="9:9" x14ac:dyDescent="0.25">
      <c r="I20225" s="227" t="str">
        <f>MID(excPisCofins[[#This Row],[CodBarras2]],2,50)</f>
        <v/>
      </c>
    </row>
    <row r="20226" spans="9:9" x14ac:dyDescent="0.25">
      <c r="I20226" s="227" t="str">
        <f>MID(excPisCofins[[#This Row],[CodBarras2]],2,50)</f>
        <v/>
      </c>
    </row>
    <row r="20227" spans="9:9" x14ac:dyDescent="0.25">
      <c r="I20227" s="227" t="str">
        <f>MID(excPisCofins[[#This Row],[CodBarras2]],2,50)</f>
        <v/>
      </c>
    </row>
    <row r="20228" spans="9:9" x14ac:dyDescent="0.25">
      <c r="I20228" s="227" t="str">
        <f>MID(excPisCofins[[#This Row],[CodBarras2]],2,50)</f>
        <v/>
      </c>
    </row>
    <row r="20229" spans="9:9" x14ac:dyDescent="0.25">
      <c r="I20229" s="227" t="str">
        <f>MID(excPisCofins[[#This Row],[CodBarras2]],2,50)</f>
        <v/>
      </c>
    </row>
    <row r="20230" spans="9:9" x14ac:dyDescent="0.25">
      <c r="I20230" s="227" t="str">
        <f>MID(excPisCofins[[#This Row],[CodBarras2]],2,50)</f>
        <v/>
      </c>
    </row>
    <row r="20231" spans="9:9" x14ac:dyDescent="0.25">
      <c r="I20231" s="227" t="str">
        <f>MID(excPisCofins[[#This Row],[CodBarras2]],2,50)</f>
        <v/>
      </c>
    </row>
    <row r="20232" spans="9:9" x14ac:dyDescent="0.25">
      <c r="I20232" s="227" t="str">
        <f>MID(excPisCofins[[#This Row],[CodBarras2]],2,50)</f>
        <v/>
      </c>
    </row>
    <row r="20233" spans="9:9" x14ac:dyDescent="0.25">
      <c r="I20233" s="227" t="str">
        <f>MID(excPisCofins[[#This Row],[CodBarras2]],2,50)</f>
        <v/>
      </c>
    </row>
    <row r="20234" spans="9:9" x14ac:dyDescent="0.25">
      <c r="I20234" s="227" t="str">
        <f>MID(excPisCofins[[#This Row],[CodBarras2]],2,50)</f>
        <v/>
      </c>
    </row>
    <row r="20235" spans="9:9" x14ac:dyDescent="0.25">
      <c r="I20235" s="227" t="str">
        <f>MID(excPisCofins[[#This Row],[CodBarras2]],2,50)</f>
        <v/>
      </c>
    </row>
    <row r="20236" spans="9:9" x14ac:dyDescent="0.25">
      <c r="I20236" s="227" t="str">
        <f>MID(excPisCofins[[#This Row],[CodBarras2]],2,50)</f>
        <v/>
      </c>
    </row>
    <row r="20237" spans="9:9" x14ac:dyDescent="0.25">
      <c r="I20237" s="227" t="str">
        <f>MID(excPisCofins[[#This Row],[CodBarras2]],2,50)</f>
        <v/>
      </c>
    </row>
    <row r="20238" spans="9:9" x14ac:dyDescent="0.25">
      <c r="I20238" s="227" t="str">
        <f>MID(excPisCofins[[#This Row],[CodBarras2]],2,50)</f>
        <v/>
      </c>
    </row>
    <row r="20239" spans="9:9" x14ac:dyDescent="0.25">
      <c r="I20239" s="227" t="str">
        <f>MID(excPisCofins[[#This Row],[CodBarras2]],2,50)</f>
        <v/>
      </c>
    </row>
    <row r="20240" spans="9:9" x14ac:dyDescent="0.25">
      <c r="I20240" s="227" t="str">
        <f>MID(excPisCofins[[#This Row],[CodBarras2]],2,50)</f>
        <v/>
      </c>
    </row>
    <row r="20241" spans="9:9" x14ac:dyDescent="0.25">
      <c r="I20241" s="227" t="str">
        <f>MID(excPisCofins[[#This Row],[CodBarras2]],2,50)</f>
        <v/>
      </c>
    </row>
    <row r="20242" spans="9:9" x14ac:dyDescent="0.25">
      <c r="I20242" s="227" t="str">
        <f>MID(excPisCofins[[#This Row],[CodBarras2]],2,50)</f>
        <v/>
      </c>
    </row>
    <row r="20243" spans="9:9" x14ac:dyDescent="0.25">
      <c r="I20243" s="227" t="str">
        <f>MID(excPisCofins[[#This Row],[CodBarras2]],2,50)</f>
        <v/>
      </c>
    </row>
    <row r="20244" spans="9:9" x14ac:dyDescent="0.25">
      <c r="I20244" s="227" t="str">
        <f>MID(excPisCofins[[#This Row],[CodBarras2]],2,50)</f>
        <v/>
      </c>
    </row>
    <row r="20245" spans="9:9" x14ac:dyDescent="0.25">
      <c r="I20245" s="227" t="str">
        <f>MID(excPisCofins[[#This Row],[CodBarras2]],2,50)</f>
        <v/>
      </c>
    </row>
    <row r="20246" spans="9:9" x14ac:dyDescent="0.25">
      <c r="I20246" s="227" t="str">
        <f>MID(excPisCofins[[#This Row],[CodBarras2]],2,50)</f>
        <v/>
      </c>
    </row>
    <row r="20247" spans="9:9" x14ac:dyDescent="0.25">
      <c r="I20247" s="227" t="str">
        <f>MID(excPisCofins[[#This Row],[CodBarras2]],2,50)</f>
        <v/>
      </c>
    </row>
    <row r="20248" spans="9:9" x14ac:dyDescent="0.25">
      <c r="I20248" s="227" t="str">
        <f>MID(excPisCofins[[#This Row],[CodBarras2]],2,50)</f>
        <v/>
      </c>
    </row>
    <row r="20249" spans="9:9" x14ac:dyDescent="0.25">
      <c r="I20249" s="227" t="str">
        <f>MID(excPisCofins[[#This Row],[CodBarras2]],2,50)</f>
        <v/>
      </c>
    </row>
    <row r="20250" spans="9:9" x14ac:dyDescent="0.25">
      <c r="I20250" s="227" t="str">
        <f>MID(excPisCofins[[#This Row],[CodBarras2]],2,50)</f>
        <v/>
      </c>
    </row>
    <row r="20251" spans="9:9" x14ac:dyDescent="0.25">
      <c r="I20251" s="227" t="str">
        <f>MID(excPisCofins[[#This Row],[CodBarras2]],2,50)</f>
        <v/>
      </c>
    </row>
    <row r="20252" spans="9:9" x14ac:dyDescent="0.25">
      <c r="I20252" s="227" t="str">
        <f>MID(excPisCofins[[#This Row],[CodBarras2]],2,50)</f>
        <v/>
      </c>
    </row>
    <row r="20253" spans="9:9" x14ac:dyDescent="0.25">
      <c r="I20253" s="227" t="str">
        <f>MID(excPisCofins[[#This Row],[CodBarras2]],2,50)</f>
        <v/>
      </c>
    </row>
    <row r="20254" spans="9:9" x14ac:dyDescent="0.25">
      <c r="I20254" s="227" t="str">
        <f>MID(excPisCofins[[#This Row],[CodBarras2]],2,50)</f>
        <v/>
      </c>
    </row>
    <row r="20255" spans="9:9" x14ac:dyDescent="0.25">
      <c r="I20255" s="227" t="str">
        <f>MID(excPisCofins[[#This Row],[CodBarras2]],2,50)</f>
        <v/>
      </c>
    </row>
    <row r="20256" spans="9:9" x14ac:dyDescent="0.25">
      <c r="I20256" s="227" t="str">
        <f>MID(excPisCofins[[#This Row],[CodBarras2]],2,50)</f>
        <v/>
      </c>
    </row>
    <row r="20257" spans="9:9" x14ac:dyDescent="0.25">
      <c r="I20257" s="227" t="str">
        <f>MID(excPisCofins[[#This Row],[CodBarras2]],2,50)</f>
        <v/>
      </c>
    </row>
    <row r="20258" spans="9:9" x14ac:dyDescent="0.25">
      <c r="I20258" s="227" t="str">
        <f>MID(excPisCofins[[#This Row],[CodBarras2]],2,50)</f>
        <v/>
      </c>
    </row>
    <row r="20259" spans="9:9" x14ac:dyDescent="0.25">
      <c r="I20259" s="227" t="str">
        <f>MID(excPisCofins[[#This Row],[CodBarras2]],2,50)</f>
        <v/>
      </c>
    </row>
    <row r="20260" spans="9:9" x14ac:dyDescent="0.25">
      <c r="I20260" s="227" t="str">
        <f>MID(excPisCofins[[#This Row],[CodBarras2]],2,50)</f>
        <v/>
      </c>
    </row>
    <row r="20261" spans="9:9" x14ac:dyDescent="0.25">
      <c r="I20261" s="227" t="str">
        <f>MID(excPisCofins[[#This Row],[CodBarras2]],2,50)</f>
        <v/>
      </c>
    </row>
    <row r="20262" spans="9:9" x14ac:dyDescent="0.25">
      <c r="I20262" s="227" t="str">
        <f>MID(excPisCofins[[#This Row],[CodBarras2]],2,50)</f>
        <v/>
      </c>
    </row>
    <row r="20263" spans="9:9" x14ac:dyDescent="0.25">
      <c r="I20263" s="227" t="str">
        <f>MID(excPisCofins[[#This Row],[CodBarras2]],2,50)</f>
        <v/>
      </c>
    </row>
    <row r="20264" spans="9:9" x14ac:dyDescent="0.25">
      <c r="I20264" s="227" t="str">
        <f>MID(excPisCofins[[#This Row],[CodBarras2]],2,50)</f>
        <v/>
      </c>
    </row>
    <row r="20265" spans="9:9" x14ac:dyDescent="0.25">
      <c r="I20265" s="227" t="str">
        <f>MID(excPisCofins[[#This Row],[CodBarras2]],2,50)</f>
        <v/>
      </c>
    </row>
    <row r="20266" spans="9:9" x14ac:dyDescent="0.25">
      <c r="I20266" s="227" t="str">
        <f>MID(excPisCofins[[#This Row],[CodBarras2]],2,50)</f>
        <v/>
      </c>
    </row>
    <row r="20267" spans="9:9" x14ac:dyDescent="0.25">
      <c r="I20267" s="227" t="str">
        <f>MID(excPisCofins[[#This Row],[CodBarras2]],2,50)</f>
        <v/>
      </c>
    </row>
    <row r="20268" spans="9:9" x14ac:dyDescent="0.25">
      <c r="I20268" s="227" t="str">
        <f>MID(excPisCofins[[#This Row],[CodBarras2]],2,50)</f>
        <v/>
      </c>
    </row>
    <row r="20269" spans="9:9" x14ac:dyDescent="0.25">
      <c r="I20269" s="227" t="str">
        <f>MID(excPisCofins[[#This Row],[CodBarras2]],2,50)</f>
        <v/>
      </c>
    </row>
    <row r="20270" spans="9:9" x14ac:dyDescent="0.25">
      <c r="I20270" s="227" t="str">
        <f>MID(excPisCofins[[#This Row],[CodBarras2]],2,50)</f>
        <v/>
      </c>
    </row>
    <row r="20271" spans="9:9" x14ac:dyDescent="0.25">
      <c r="I20271" s="227" t="str">
        <f>MID(excPisCofins[[#This Row],[CodBarras2]],2,50)</f>
        <v/>
      </c>
    </row>
    <row r="20272" spans="9:9" x14ac:dyDescent="0.25">
      <c r="I20272" s="227" t="str">
        <f>MID(excPisCofins[[#This Row],[CodBarras2]],2,50)</f>
        <v/>
      </c>
    </row>
    <row r="20273" spans="9:9" x14ac:dyDescent="0.25">
      <c r="I20273" s="227" t="str">
        <f>MID(excPisCofins[[#This Row],[CodBarras2]],2,50)</f>
        <v/>
      </c>
    </row>
    <row r="20274" spans="9:9" x14ac:dyDescent="0.25">
      <c r="I20274" s="227" t="str">
        <f>MID(excPisCofins[[#This Row],[CodBarras2]],2,50)</f>
        <v/>
      </c>
    </row>
    <row r="20275" spans="9:9" x14ac:dyDescent="0.25">
      <c r="I20275" s="227" t="str">
        <f>MID(excPisCofins[[#This Row],[CodBarras2]],2,50)</f>
        <v/>
      </c>
    </row>
    <row r="20276" spans="9:9" x14ac:dyDescent="0.25">
      <c r="I20276" s="227" t="str">
        <f>MID(excPisCofins[[#This Row],[CodBarras2]],2,50)</f>
        <v/>
      </c>
    </row>
    <row r="20277" spans="9:9" x14ac:dyDescent="0.25">
      <c r="I20277" s="227" t="str">
        <f>MID(excPisCofins[[#This Row],[CodBarras2]],2,50)</f>
        <v/>
      </c>
    </row>
    <row r="20278" spans="9:9" x14ac:dyDescent="0.25">
      <c r="I20278" s="227" t="str">
        <f>MID(excPisCofins[[#This Row],[CodBarras2]],2,50)</f>
        <v/>
      </c>
    </row>
    <row r="20279" spans="9:9" x14ac:dyDescent="0.25">
      <c r="I20279" s="227" t="str">
        <f>MID(excPisCofins[[#This Row],[CodBarras2]],2,50)</f>
        <v/>
      </c>
    </row>
    <row r="20280" spans="9:9" x14ac:dyDescent="0.25">
      <c r="I20280" s="227" t="str">
        <f>MID(excPisCofins[[#This Row],[CodBarras2]],2,50)</f>
        <v/>
      </c>
    </row>
    <row r="20281" spans="9:9" x14ac:dyDescent="0.25">
      <c r="I20281" s="227" t="str">
        <f>MID(excPisCofins[[#This Row],[CodBarras2]],2,50)</f>
        <v/>
      </c>
    </row>
    <row r="20282" spans="9:9" x14ac:dyDescent="0.25">
      <c r="I20282" s="227" t="str">
        <f>MID(excPisCofins[[#This Row],[CodBarras2]],2,50)</f>
        <v/>
      </c>
    </row>
    <row r="20283" spans="9:9" x14ac:dyDescent="0.25">
      <c r="I20283" s="227" t="str">
        <f>MID(excPisCofins[[#This Row],[CodBarras2]],2,50)</f>
        <v/>
      </c>
    </row>
    <row r="20284" spans="9:9" x14ac:dyDescent="0.25">
      <c r="I20284" s="227" t="str">
        <f>MID(excPisCofins[[#This Row],[CodBarras2]],2,50)</f>
        <v/>
      </c>
    </row>
    <row r="20285" spans="9:9" x14ac:dyDescent="0.25">
      <c r="I20285" s="227" t="str">
        <f>MID(excPisCofins[[#This Row],[CodBarras2]],2,50)</f>
        <v/>
      </c>
    </row>
    <row r="20286" spans="9:9" x14ac:dyDescent="0.25">
      <c r="I20286" s="227" t="str">
        <f>MID(excPisCofins[[#This Row],[CodBarras2]],2,50)</f>
        <v/>
      </c>
    </row>
    <row r="20287" spans="9:9" x14ac:dyDescent="0.25">
      <c r="I20287" s="227" t="str">
        <f>MID(excPisCofins[[#This Row],[CodBarras2]],2,50)</f>
        <v/>
      </c>
    </row>
    <row r="20288" spans="9:9" x14ac:dyDescent="0.25">
      <c r="I20288" s="227" t="str">
        <f>MID(excPisCofins[[#This Row],[CodBarras2]],2,50)</f>
        <v/>
      </c>
    </row>
    <row r="20289" spans="9:9" x14ac:dyDescent="0.25">
      <c r="I20289" s="227" t="str">
        <f>MID(excPisCofins[[#This Row],[CodBarras2]],2,50)</f>
        <v/>
      </c>
    </row>
    <row r="20290" spans="9:9" x14ac:dyDescent="0.25">
      <c r="I20290" s="227" t="str">
        <f>MID(excPisCofins[[#This Row],[CodBarras2]],2,50)</f>
        <v/>
      </c>
    </row>
    <row r="20291" spans="9:9" x14ac:dyDescent="0.25">
      <c r="I20291" s="227" t="str">
        <f>MID(excPisCofins[[#This Row],[CodBarras2]],2,50)</f>
        <v/>
      </c>
    </row>
    <row r="20292" spans="9:9" x14ac:dyDescent="0.25">
      <c r="I20292" s="227" t="str">
        <f>MID(excPisCofins[[#This Row],[CodBarras2]],2,50)</f>
        <v/>
      </c>
    </row>
    <row r="20293" spans="9:9" x14ac:dyDescent="0.25">
      <c r="I20293" s="227" t="str">
        <f>MID(excPisCofins[[#This Row],[CodBarras2]],2,50)</f>
        <v/>
      </c>
    </row>
    <row r="20294" spans="9:9" x14ac:dyDescent="0.25">
      <c r="I20294" s="227" t="str">
        <f>MID(excPisCofins[[#This Row],[CodBarras2]],2,50)</f>
        <v/>
      </c>
    </row>
    <row r="20295" spans="9:9" x14ac:dyDescent="0.25">
      <c r="I20295" s="227" t="str">
        <f>MID(excPisCofins[[#This Row],[CodBarras2]],2,50)</f>
        <v/>
      </c>
    </row>
    <row r="20296" spans="9:9" x14ac:dyDescent="0.25">
      <c r="I20296" s="227" t="str">
        <f>MID(excPisCofins[[#This Row],[CodBarras2]],2,50)</f>
        <v/>
      </c>
    </row>
    <row r="20297" spans="9:9" x14ac:dyDescent="0.25">
      <c r="I20297" s="227" t="str">
        <f>MID(excPisCofins[[#This Row],[CodBarras2]],2,50)</f>
        <v/>
      </c>
    </row>
    <row r="20298" spans="9:9" x14ac:dyDescent="0.25">
      <c r="I20298" s="227" t="str">
        <f>MID(excPisCofins[[#This Row],[CodBarras2]],2,50)</f>
        <v/>
      </c>
    </row>
    <row r="20299" spans="9:9" x14ac:dyDescent="0.25">
      <c r="I20299" s="227" t="str">
        <f>MID(excPisCofins[[#This Row],[CodBarras2]],2,50)</f>
        <v/>
      </c>
    </row>
    <row r="20300" spans="9:9" x14ac:dyDescent="0.25">
      <c r="I20300" s="227" t="str">
        <f>MID(excPisCofins[[#This Row],[CodBarras2]],2,50)</f>
        <v/>
      </c>
    </row>
    <row r="20301" spans="9:9" x14ac:dyDescent="0.25">
      <c r="I20301" s="227" t="str">
        <f>MID(excPisCofins[[#This Row],[CodBarras2]],2,50)</f>
        <v/>
      </c>
    </row>
    <row r="20302" spans="9:9" x14ac:dyDescent="0.25">
      <c r="I20302" s="227" t="str">
        <f>MID(excPisCofins[[#This Row],[CodBarras2]],2,50)</f>
        <v/>
      </c>
    </row>
    <row r="20303" spans="9:9" x14ac:dyDescent="0.25">
      <c r="I20303" s="227" t="str">
        <f>MID(excPisCofins[[#This Row],[CodBarras2]],2,50)</f>
        <v/>
      </c>
    </row>
    <row r="20304" spans="9:9" x14ac:dyDescent="0.25">
      <c r="I20304" s="227" t="str">
        <f>MID(excPisCofins[[#This Row],[CodBarras2]],2,50)</f>
        <v/>
      </c>
    </row>
    <row r="20305" spans="9:9" x14ac:dyDescent="0.25">
      <c r="I20305" s="227" t="str">
        <f>MID(excPisCofins[[#This Row],[CodBarras2]],2,50)</f>
        <v/>
      </c>
    </row>
    <row r="20306" spans="9:9" x14ac:dyDescent="0.25">
      <c r="I20306" s="227" t="str">
        <f>MID(excPisCofins[[#This Row],[CodBarras2]],2,50)</f>
        <v/>
      </c>
    </row>
    <row r="20307" spans="9:9" x14ac:dyDescent="0.25">
      <c r="I20307" s="227" t="str">
        <f>MID(excPisCofins[[#This Row],[CodBarras2]],2,50)</f>
        <v/>
      </c>
    </row>
    <row r="20308" spans="9:9" x14ac:dyDescent="0.25">
      <c r="I20308" s="227" t="str">
        <f>MID(excPisCofins[[#This Row],[CodBarras2]],2,50)</f>
        <v/>
      </c>
    </row>
    <row r="20309" spans="9:9" x14ac:dyDescent="0.25">
      <c r="I20309" s="227" t="str">
        <f>MID(excPisCofins[[#This Row],[CodBarras2]],2,50)</f>
        <v/>
      </c>
    </row>
    <row r="20310" spans="9:9" x14ac:dyDescent="0.25">
      <c r="I20310" s="227" t="str">
        <f>MID(excPisCofins[[#This Row],[CodBarras2]],2,50)</f>
        <v/>
      </c>
    </row>
    <row r="20311" spans="9:9" x14ac:dyDescent="0.25">
      <c r="I20311" s="227" t="str">
        <f>MID(excPisCofins[[#This Row],[CodBarras2]],2,50)</f>
        <v/>
      </c>
    </row>
    <row r="20312" spans="9:9" x14ac:dyDescent="0.25">
      <c r="I20312" s="227" t="str">
        <f>MID(excPisCofins[[#This Row],[CodBarras2]],2,50)</f>
        <v/>
      </c>
    </row>
    <row r="20313" spans="9:9" x14ac:dyDescent="0.25">
      <c r="I20313" s="227" t="str">
        <f>MID(excPisCofins[[#This Row],[CodBarras2]],2,50)</f>
        <v/>
      </c>
    </row>
    <row r="20314" spans="9:9" x14ac:dyDescent="0.25">
      <c r="I20314" s="227" t="str">
        <f>MID(excPisCofins[[#This Row],[CodBarras2]],2,50)</f>
        <v/>
      </c>
    </row>
    <row r="20315" spans="9:9" x14ac:dyDescent="0.25">
      <c r="I20315" s="227" t="str">
        <f>MID(excPisCofins[[#This Row],[CodBarras2]],2,50)</f>
        <v/>
      </c>
    </row>
    <row r="20316" spans="9:9" x14ac:dyDescent="0.25">
      <c r="I20316" s="227" t="str">
        <f>MID(excPisCofins[[#This Row],[CodBarras2]],2,50)</f>
        <v/>
      </c>
    </row>
    <row r="20317" spans="9:9" x14ac:dyDescent="0.25">
      <c r="I20317" s="227" t="str">
        <f>MID(excPisCofins[[#This Row],[CodBarras2]],2,50)</f>
        <v/>
      </c>
    </row>
    <row r="20318" spans="9:9" x14ac:dyDescent="0.25">
      <c r="I20318" s="227" t="str">
        <f>MID(excPisCofins[[#This Row],[CodBarras2]],2,50)</f>
        <v/>
      </c>
    </row>
    <row r="20319" spans="9:9" x14ac:dyDescent="0.25">
      <c r="I20319" s="227" t="str">
        <f>MID(excPisCofins[[#This Row],[CodBarras2]],2,50)</f>
        <v/>
      </c>
    </row>
    <row r="20320" spans="9:9" x14ac:dyDescent="0.25">
      <c r="I20320" s="227" t="str">
        <f>MID(excPisCofins[[#This Row],[CodBarras2]],2,50)</f>
        <v/>
      </c>
    </row>
    <row r="20321" spans="9:9" x14ac:dyDescent="0.25">
      <c r="I20321" s="227" t="str">
        <f>MID(excPisCofins[[#This Row],[CodBarras2]],2,50)</f>
        <v/>
      </c>
    </row>
    <row r="20322" spans="9:9" x14ac:dyDescent="0.25">
      <c r="I20322" s="227" t="str">
        <f>MID(excPisCofins[[#This Row],[CodBarras2]],2,50)</f>
        <v/>
      </c>
    </row>
    <row r="20323" spans="9:9" x14ac:dyDescent="0.25">
      <c r="I20323" s="227" t="str">
        <f>MID(excPisCofins[[#This Row],[CodBarras2]],2,50)</f>
        <v/>
      </c>
    </row>
    <row r="20324" spans="9:9" x14ac:dyDescent="0.25">
      <c r="I20324" s="227" t="str">
        <f>MID(excPisCofins[[#This Row],[CodBarras2]],2,50)</f>
        <v/>
      </c>
    </row>
    <row r="20325" spans="9:9" x14ac:dyDescent="0.25">
      <c r="I20325" s="227" t="str">
        <f>MID(excPisCofins[[#This Row],[CodBarras2]],2,50)</f>
        <v/>
      </c>
    </row>
    <row r="20326" spans="9:9" x14ac:dyDescent="0.25">
      <c r="I20326" s="227" t="str">
        <f>MID(excPisCofins[[#This Row],[CodBarras2]],2,50)</f>
        <v/>
      </c>
    </row>
    <row r="20327" spans="9:9" x14ac:dyDescent="0.25">
      <c r="I20327" s="227" t="str">
        <f>MID(excPisCofins[[#This Row],[CodBarras2]],2,50)</f>
        <v/>
      </c>
    </row>
    <row r="20328" spans="9:9" x14ac:dyDescent="0.25">
      <c r="I20328" s="227" t="str">
        <f>MID(excPisCofins[[#This Row],[CodBarras2]],2,50)</f>
        <v/>
      </c>
    </row>
    <row r="20329" spans="9:9" x14ac:dyDescent="0.25">
      <c r="I20329" s="227" t="str">
        <f>MID(excPisCofins[[#This Row],[CodBarras2]],2,50)</f>
        <v/>
      </c>
    </row>
    <row r="20330" spans="9:9" x14ac:dyDescent="0.25">
      <c r="I20330" s="227" t="str">
        <f>MID(excPisCofins[[#This Row],[CodBarras2]],2,50)</f>
        <v/>
      </c>
    </row>
    <row r="20331" spans="9:9" x14ac:dyDescent="0.25">
      <c r="I20331" s="227" t="str">
        <f>MID(excPisCofins[[#This Row],[CodBarras2]],2,50)</f>
        <v/>
      </c>
    </row>
    <row r="20332" spans="9:9" x14ac:dyDescent="0.25">
      <c r="I20332" s="227" t="str">
        <f>MID(excPisCofins[[#This Row],[CodBarras2]],2,50)</f>
        <v/>
      </c>
    </row>
    <row r="20333" spans="9:9" x14ac:dyDescent="0.25">
      <c r="I20333" s="227" t="str">
        <f>MID(excPisCofins[[#This Row],[CodBarras2]],2,50)</f>
        <v/>
      </c>
    </row>
    <row r="20334" spans="9:9" x14ac:dyDescent="0.25">
      <c r="I20334" s="227" t="str">
        <f>MID(excPisCofins[[#This Row],[CodBarras2]],2,50)</f>
        <v/>
      </c>
    </row>
    <row r="20335" spans="9:9" x14ac:dyDescent="0.25">
      <c r="I20335" s="227" t="str">
        <f>MID(excPisCofins[[#This Row],[CodBarras2]],2,50)</f>
        <v/>
      </c>
    </row>
    <row r="20336" spans="9:9" x14ac:dyDescent="0.25">
      <c r="I20336" s="227" t="str">
        <f>MID(excPisCofins[[#This Row],[CodBarras2]],2,50)</f>
        <v/>
      </c>
    </row>
    <row r="20337" spans="9:9" x14ac:dyDescent="0.25">
      <c r="I20337" s="227" t="str">
        <f>MID(excPisCofins[[#This Row],[CodBarras2]],2,50)</f>
        <v/>
      </c>
    </row>
    <row r="20338" spans="9:9" x14ac:dyDescent="0.25">
      <c r="I20338" s="227" t="str">
        <f>MID(excPisCofins[[#This Row],[CodBarras2]],2,50)</f>
        <v/>
      </c>
    </row>
    <row r="20339" spans="9:9" x14ac:dyDescent="0.25">
      <c r="I20339" s="227" t="str">
        <f>MID(excPisCofins[[#This Row],[CodBarras2]],2,50)</f>
        <v/>
      </c>
    </row>
    <row r="20340" spans="9:9" x14ac:dyDescent="0.25">
      <c r="I20340" s="227" t="str">
        <f>MID(excPisCofins[[#This Row],[CodBarras2]],2,50)</f>
        <v/>
      </c>
    </row>
    <row r="20341" spans="9:9" x14ac:dyDescent="0.25">
      <c r="I20341" s="227" t="str">
        <f>MID(excPisCofins[[#This Row],[CodBarras2]],2,50)</f>
        <v/>
      </c>
    </row>
    <row r="20342" spans="9:9" x14ac:dyDescent="0.25">
      <c r="I20342" s="227" t="str">
        <f>MID(excPisCofins[[#This Row],[CodBarras2]],2,50)</f>
        <v/>
      </c>
    </row>
    <row r="20343" spans="9:9" x14ac:dyDescent="0.25">
      <c r="I20343" s="227" t="str">
        <f>MID(excPisCofins[[#This Row],[CodBarras2]],2,50)</f>
        <v/>
      </c>
    </row>
    <row r="20344" spans="9:9" x14ac:dyDescent="0.25">
      <c r="I20344" s="227" t="str">
        <f>MID(excPisCofins[[#This Row],[CodBarras2]],2,50)</f>
        <v/>
      </c>
    </row>
    <row r="20345" spans="9:9" x14ac:dyDescent="0.25">
      <c r="I20345" s="227" t="str">
        <f>MID(excPisCofins[[#This Row],[CodBarras2]],2,50)</f>
        <v/>
      </c>
    </row>
    <row r="20346" spans="9:9" x14ac:dyDescent="0.25">
      <c r="I20346" s="227" t="str">
        <f>MID(excPisCofins[[#This Row],[CodBarras2]],2,50)</f>
        <v/>
      </c>
    </row>
    <row r="20347" spans="9:9" x14ac:dyDescent="0.25">
      <c r="I20347" s="227" t="str">
        <f>MID(excPisCofins[[#This Row],[CodBarras2]],2,50)</f>
        <v/>
      </c>
    </row>
    <row r="20348" spans="9:9" x14ac:dyDescent="0.25">
      <c r="I20348" s="227" t="str">
        <f>MID(excPisCofins[[#This Row],[CodBarras2]],2,50)</f>
        <v/>
      </c>
    </row>
    <row r="20349" spans="9:9" x14ac:dyDescent="0.25">
      <c r="I20349" s="227" t="str">
        <f>MID(excPisCofins[[#This Row],[CodBarras2]],2,50)</f>
        <v/>
      </c>
    </row>
    <row r="20350" spans="9:9" x14ac:dyDescent="0.25">
      <c r="I20350" s="227" t="str">
        <f>MID(excPisCofins[[#This Row],[CodBarras2]],2,50)</f>
        <v/>
      </c>
    </row>
    <row r="20351" spans="9:9" x14ac:dyDescent="0.25">
      <c r="I20351" s="227" t="str">
        <f>MID(excPisCofins[[#This Row],[CodBarras2]],2,50)</f>
        <v/>
      </c>
    </row>
    <row r="20352" spans="9:9" x14ac:dyDescent="0.25">
      <c r="I20352" s="227" t="str">
        <f>MID(excPisCofins[[#This Row],[CodBarras2]],2,50)</f>
        <v/>
      </c>
    </row>
    <row r="20353" spans="9:9" x14ac:dyDescent="0.25">
      <c r="I20353" s="227" t="str">
        <f>MID(excPisCofins[[#This Row],[CodBarras2]],2,50)</f>
        <v/>
      </c>
    </row>
    <row r="20354" spans="9:9" x14ac:dyDescent="0.25">
      <c r="I20354" s="227" t="str">
        <f>MID(excPisCofins[[#This Row],[CodBarras2]],2,50)</f>
        <v/>
      </c>
    </row>
    <row r="20355" spans="9:9" x14ac:dyDescent="0.25">
      <c r="I20355" s="227" t="str">
        <f>MID(excPisCofins[[#This Row],[CodBarras2]],2,50)</f>
        <v/>
      </c>
    </row>
    <row r="20356" spans="9:9" x14ac:dyDescent="0.25">
      <c r="I20356" s="227" t="str">
        <f>MID(excPisCofins[[#This Row],[CodBarras2]],2,50)</f>
        <v/>
      </c>
    </row>
    <row r="20357" spans="9:9" x14ac:dyDescent="0.25">
      <c r="I20357" s="227" t="str">
        <f>MID(excPisCofins[[#This Row],[CodBarras2]],2,50)</f>
        <v/>
      </c>
    </row>
    <row r="20358" spans="9:9" x14ac:dyDescent="0.25">
      <c r="I20358" s="227" t="str">
        <f>MID(excPisCofins[[#This Row],[CodBarras2]],2,50)</f>
        <v/>
      </c>
    </row>
    <row r="20359" spans="9:9" x14ac:dyDescent="0.25">
      <c r="I20359" s="227" t="str">
        <f>MID(excPisCofins[[#This Row],[CodBarras2]],2,50)</f>
        <v/>
      </c>
    </row>
    <row r="20360" spans="9:9" x14ac:dyDescent="0.25">
      <c r="I20360" s="227" t="str">
        <f>MID(excPisCofins[[#This Row],[CodBarras2]],2,50)</f>
        <v/>
      </c>
    </row>
    <row r="20361" spans="9:9" x14ac:dyDescent="0.25">
      <c r="I20361" s="227" t="str">
        <f>MID(excPisCofins[[#This Row],[CodBarras2]],2,50)</f>
        <v/>
      </c>
    </row>
    <row r="20362" spans="9:9" x14ac:dyDescent="0.25">
      <c r="I20362" s="227" t="str">
        <f>MID(excPisCofins[[#This Row],[CodBarras2]],2,50)</f>
        <v/>
      </c>
    </row>
    <row r="20363" spans="9:9" x14ac:dyDescent="0.25">
      <c r="I20363" s="227" t="str">
        <f>MID(excPisCofins[[#This Row],[CodBarras2]],2,50)</f>
        <v/>
      </c>
    </row>
    <row r="20364" spans="9:9" x14ac:dyDescent="0.25">
      <c r="I20364" s="227" t="str">
        <f>MID(excPisCofins[[#This Row],[CodBarras2]],2,50)</f>
        <v/>
      </c>
    </row>
    <row r="20365" spans="9:9" x14ac:dyDescent="0.25">
      <c r="I20365" s="227" t="str">
        <f>MID(excPisCofins[[#This Row],[CodBarras2]],2,50)</f>
        <v/>
      </c>
    </row>
    <row r="20366" spans="9:9" x14ac:dyDescent="0.25">
      <c r="I20366" s="227" t="str">
        <f>MID(excPisCofins[[#This Row],[CodBarras2]],2,50)</f>
        <v/>
      </c>
    </row>
    <row r="20367" spans="9:9" x14ac:dyDescent="0.25">
      <c r="I20367" s="227" t="str">
        <f>MID(excPisCofins[[#This Row],[CodBarras2]],2,50)</f>
        <v/>
      </c>
    </row>
    <row r="20368" spans="9:9" x14ac:dyDescent="0.25">
      <c r="I20368" s="227" t="str">
        <f>MID(excPisCofins[[#This Row],[CodBarras2]],2,50)</f>
        <v/>
      </c>
    </row>
    <row r="20369" spans="9:9" x14ac:dyDescent="0.25">
      <c r="I20369" s="227" t="str">
        <f>MID(excPisCofins[[#This Row],[CodBarras2]],2,50)</f>
        <v/>
      </c>
    </row>
    <row r="20370" spans="9:9" x14ac:dyDescent="0.25">
      <c r="I20370" s="227" t="str">
        <f>MID(excPisCofins[[#This Row],[CodBarras2]],2,50)</f>
        <v/>
      </c>
    </row>
    <row r="20371" spans="9:9" x14ac:dyDescent="0.25">
      <c r="I20371" s="227" t="str">
        <f>MID(excPisCofins[[#This Row],[CodBarras2]],2,50)</f>
        <v/>
      </c>
    </row>
    <row r="20372" spans="9:9" x14ac:dyDescent="0.25">
      <c r="I20372" s="227" t="str">
        <f>MID(excPisCofins[[#This Row],[CodBarras2]],2,50)</f>
        <v/>
      </c>
    </row>
    <row r="20373" spans="9:9" x14ac:dyDescent="0.25">
      <c r="I20373" s="227" t="str">
        <f>MID(excPisCofins[[#This Row],[CodBarras2]],2,50)</f>
        <v/>
      </c>
    </row>
    <row r="20374" spans="9:9" x14ac:dyDescent="0.25">
      <c r="I20374" s="227" t="str">
        <f>MID(excPisCofins[[#This Row],[CodBarras2]],2,50)</f>
        <v/>
      </c>
    </row>
    <row r="20375" spans="9:9" x14ac:dyDescent="0.25">
      <c r="I20375" s="227" t="str">
        <f>MID(excPisCofins[[#This Row],[CodBarras2]],2,50)</f>
        <v/>
      </c>
    </row>
    <row r="20376" spans="9:9" x14ac:dyDescent="0.25">
      <c r="I20376" s="227" t="str">
        <f>MID(excPisCofins[[#This Row],[CodBarras2]],2,50)</f>
        <v/>
      </c>
    </row>
    <row r="20377" spans="9:9" x14ac:dyDescent="0.25">
      <c r="I20377" s="227" t="str">
        <f>MID(excPisCofins[[#This Row],[CodBarras2]],2,50)</f>
        <v/>
      </c>
    </row>
    <row r="20378" spans="9:9" x14ac:dyDescent="0.25">
      <c r="I20378" s="227" t="str">
        <f>MID(excPisCofins[[#This Row],[CodBarras2]],2,50)</f>
        <v/>
      </c>
    </row>
    <row r="20379" spans="9:9" x14ac:dyDescent="0.25">
      <c r="I20379" s="227" t="str">
        <f>MID(excPisCofins[[#This Row],[CodBarras2]],2,50)</f>
        <v/>
      </c>
    </row>
    <row r="20380" spans="9:9" x14ac:dyDescent="0.25">
      <c r="I20380" s="227" t="str">
        <f>MID(excPisCofins[[#This Row],[CodBarras2]],2,50)</f>
        <v/>
      </c>
    </row>
    <row r="20381" spans="9:9" x14ac:dyDescent="0.25">
      <c r="I20381" s="227" t="str">
        <f>MID(excPisCofins[[#This Row],[CodBarras2]],2,50)</f>
        <v/>
      </c>
    </row>
    <row r="20382" spans="9:9" x14ac:dyDescent="0.25">
      <c r="I20382" s="227" t="str">
        <f>MID(excPisCofins[[#This Row],[CodBarras2]],2,50)</f>
        <v/>
      </c>
    </row>
    <row r="20383" spans="9:9" x14ac:dyDescent="0.25">
      <c r="I20383" s="227" t="str">
        <f>MID(excPisCofins[[#This Row],[CodBarras2]],2,50)</f>
        <v/>
      </c>
    </row>
    <row r="20384" spans="9:9" x14ac:dyDescent="0.25">
      <c r="I20384" s="227" t="str">
        <f>MID(excPisCofins[[#This Row],[CodBarras2]],2,50)</f>
        <v/>
      </c>
    </row>
    <row r="20385" spans="9:9" x14ac:dyDescent="0.25">
      <c r="I20385" s="227" t="str">
        <f>MID(excPisCofins[[#This Row],[CodBarras2]],2,50)</f>
        <v/>
      </c>
    </row>
    <row r="20386" spans="9:9" x14ac:dyDescent="0.25">
      <c r="I20386" s="227" t="str">
        <f>MID(excPisCofins[[#This Row],[CodBarras2]],2,50)</f>
        <v/>
      </c>
    </row>
    <row r="20387" spans="9:9" x14ac:dyDescent="0.25">
      <c r="I20387" s="227" t="str">
        <f>MID(excPisCofins[[#This Row],[CodBarras2]],2,50)</f>
        <v/>
      </c>
    </row>
    <row r="20388" spans="9:9" x14ac:dyDescent="0.25">
      <c r="I20388" s="227" t="str">
        <f>MID(excPisCofins[[#This Row],[CodBarras2]],2,50)</f>
        <v/>
      </c>
    </row>
    <row r="20389" spans="9:9" x14ac:dyDescent="0.25">
      <c r="I20389" s="227" t="str">
        <f>MID(excPisCofins[[#This Row],[CodBarras2]],2,50)</f>
        <v/>
      </c>
    </row>
    <row r="20390" spans="9:9" x14ac:dyDescent="0.25">
      <c r="I20390" s="227" t="str">
        <f>MID(excPisCofins[[#This Row],[CodBarras2]],2,50)</f>
        <v/>
      </c>
    </row>
    <row r="20391" spans="9:9" x14ac:dyDescent="0.25">
      <c r="I20391" s="227" t="str">
        <f>MID(excPisCofins[[#This Row],[CodBarras2]],2,50)</f>
        <v/>
      </c>
    </row>
    <row r="20392" spans="9:9" x14ac:dyDescent="0.25">
      <c r="I20392" s="227" t="str">
        <f>MID(excPisCofins[[#This Row],[CodBarras2]],2,50)</f>
        <v/>
      </c>
    </row>
    <row r="20393" spans="9:9" x14ac:dyDescent="0.25">
      <c r="I20393" s="227" t="str">
        <f>MID(excPisCofins[[#This Row],[CodBarras2]],2,50)</f>
        <v/>
      </c>
    </row>
    <row r="20394" spans="9:9" x14ac:dyDescent="0.25">
      <c r="I20394" s="227" t="str">
        <f>MID(excPisCofins[[#This Row],[CodBarras2]],2,50)</f>
        <v/>
      </c>
    </row>
    <row r="20395" spans="9:9" x14ac:dyDescent="0.25">
      <c r="I20395" s="227" t="str">
        <f>MID(excPisCofins[[#This Row],[CodBarras2]],2,50)</f>
        <v/>
      </c>
    </row>
    <row r="20396" spans="9:9" x14ac:dyDescent="0.25">
      <c r="I20396" s="227" t="str">
        <f>MID(excPisCofins[[#This Row],[CodBarras2]],2,50)</f>
        <v/>
      </c>
    </row>
    <row r="20397" spans="9:9" x14ac:dyDescent="0.25">
      <c r="I20397" s="227" t="str">
        <f>MID(excPisCofins[[#This Row],[CodBarras2]],2,50)</f>
        <v/>
      </c>
    </row>
    <row r="20398" spans="9:9" x14ac:dyDescent="0.25">
      <c r="I20398" s="227" t="str">
        <f>MID(excPisCofins[[#This Row],[CodBarras2]],2,50)</f>
        <v/>
      </c>
    </row>
    <row r="20399" spans="9:9" x14ac:dyDescent="0.25">
      <c r="I20399" s="227" t="str">
        <f>MID(excPisCofins[[#This Row],[CodBarras2]],2,50)</f>
        <v/>
      </c>
    </row>
    <row r="20400" spans="9:9" x14ac:dyDescent="0.25">
      <c r="I20400" s="227" t="str">
        <f>MID(excPisCofins[[#This Row],[CodBarras2]],2,50)</f>
        <v/>
      </c>
    </row>
    <row r="20401" spans="9:9" x14ac:dyDescent="0.25">
      <c r="I20401" s="227" t="str">
        <f>MID(excPisCofins[[#This Row],[CodBarras2]],2,50)</f>
        <v/>
      </c>
    </row>
    <row r="20402" spans="9:9" x14ac:dyDescent="0.25">
      <c r="I20402" s="227" t="str">
        <f>MID(excPisCofins[[#This Row],[CodBarras2]],2,50)</f>
        <v/>
      </c>
    </row>
    <row r="20403" spans="9:9" x14ac:dyDescent="0.25">
      <c r="I20403" s="227" t="str">
        <f>MID(excPisCofins[[#This Row],[CodBarras2]],2,50)</f>
        <v/>
      </c>
    </row>
    <row r="20404" spans="9:9" x14ac:dyDescent="0.25">
      <c r="I20404" s="227" t="str">
        <f>MID(excPisCofins[[#This Row],[CodBarras2]],2,50)</f>
        <v/>
      </c>
    </row>
    <row r="20405" spans="9:9" x14ac:dyDescent="0.25">
      <c r="I20405" s="227" t="str">
        <f>MID(excPisCofins[[#This Row],[CodBarras2]],2,50)</f>
        <v/>
      </c>
    </row>
    <row r="20406" spans="9:9" x14ac:dyDescent="0.25">
      <c r="I20406" s="227" t="str">
        <f>MID(excPisCofins[[#This Row],[CodBarras2]],2,50)</f>
        <v/>
      </c>
    </row>
    <row r="20407" spans="9:9" x14ac:dyDescent="0.25">
      <c r="I20407" s="227" t="str">
        <f>MID(excPisCofins[[#This Row],[CodBarras2]],2,50)</f>
        <v/>
      </c>
    </row>
    <row r="20408" spans="9:9" x14ac:dyDescent="0.25">
      <c r="I20408" s="227" t="str">
        <f>MID(excPisCofins[[#This Row],[CodBarras2]],2,50)</f>
        <v/>
      </c>
    </row>
    <row r="20409" spans="9:9" x14ac:dyDescent="0.25">
      <c r="I20409" s="227" t="str">
        <f>MID(excPisCofins[[#This Row],[CodBarras2]],2,50)</f>
        <v/>
      </c>
    </row>
    <row r="20410" spans="9:9" x14ac:dyDescent="0.25">
      <c r="I20410" s="227" t="str">
        <f>MID(excPisCofins[[#This Row],[CodBarras2]],2,50)</f>
        <v/>
      </c>
    </row>
    <row r="20411" spans="9:9" x14ac:dyDescent="0.25">
      <c r="I20411" s="227" t="str">
        <f>MID(excPisCofins[[#This Row],[CodBarras2]],2,50)</f>
        <v/>
      </c>
    </row>
    <row r="20412" spans="9:9" x14ac:dyDescent="0.25">
      <c r="I20412" s="227" t="str">
        <f>MID(excPisCofins[[#This Row],[CodBarras2]],2,50)</f>
        <v/>
      </c>
    </row>
    <row r="20413" spans="9:9" x14ac:dyDescent="0.25">
      <c r="I20413" s="227" t="str">
        <f>MID(excPisCofins[[#This Row],[CodBarras2]],2,50)</f>
        <v/>
      </c>
    </row>
    <row r="20414" spans="9:9" x14ac:dyDescent="0.25">
      <c r="I20414" s="227" t="str">
        <f>MID(excPisCofins[[#This Row],[CodBarras2]],2,50)</f>
        <v/>
      </c>
    </row>
    <row r="20415" spans="9:9" x14ac:dyDescent="0.25">
      <c r="I20415" s="227" t="str">
        <f>MID(excPisCofins[[#This Row],[CodBarras2]],2,50)</f>
        <v/>
      </c>
    </row>
    <row r="20416" spans="9:9" x14ac:dyDescent="0.25">
      <c r="I20416" s="227" t="str">
        <f>MID(excPisCofins[[#This Row],[CodBarras2]],2,50)</f>
        <v/>
      </c>
    </row>
    <row r="20417" spans="9:9" x14ac:dyDescent="0.25">
      <c r="I20417" s="227" t="str">
        <f>MID(excPisCofins[[#This Row],[CodBarras2]],2,50)</f>
        <v/>
      </c>
    </row>
    <row r="20418" spans="9:9" x14ac:dyDescent="0.25">
      <c r="I20418" s="227" t="str">
        <f>MID(excPisCofins[[#This Row],[CodBarras2]],2,50)</f>
        <v/>
      </c>
    </row>
    <row r="20419" spans="9:9" x14ac:dyDescent="0.25">
      <c r="I20419" s="227" t="str">
        <f>MID(excPisCofins[[#This Row],[CodBarras2]],2,50)</f>
        <v/>
      </c>
    </row>
    <row r="20420" spans="9:9" x14ac:dyDescent="0.25">
      <c r="I20420" s="227" t="str">
        <f>MID(excPisCofins[[#This Row],[CodBarras2]],2,50)</f>
        <v/>
      </c>
    </row>
    <row r="20421" spans="9:9" x14ac:dyDescent="0.25">
      <c r="I20421" s="227" t="str">
        <f>MID(excPisCofins[[#This Row],[CodBarras2]],2,50)</f>
        <v/>
      </c>
    </row>
    <row r="20422" spans="9:9" x14ac:dyDescent="0.25">
      <c r="I20422" s="227" t="str">
        <f>MID(excPisCofins[[#This Row],[CodBarras2]],2,50)</f>
        <v/>
      </c>
    </row>
    <row r="20423" spans="9:9" x14ac:dyDescent="0.25">
      <c r="I20423" s="227" t="str">
        <f>MID(excPisCofins[[#This Row],[CodBarras2]],2,50)</f>
        <v/>
      </c>
    </row>
    <row r="20424" spans="9:9" x14ac:dyDescent="0.25">
      <c r="I20424" s="227" t="str">
        <f>MID(excPisCofins[[#This Row],[CodBarras2]],2,50)</f>
        <v/>
      </c>
    </row>
    <row r="20425" spans="9:9" x14ac:dyDescent="0.25">
      <c r="I20425" s="227" t="str">
        <f>MID(excPisCofins[[#This Row],[CodBarras2]],2,50)</f>
        <v/>
      </c>
    </row>
    <row r="20426" spans="9:9" x14ac:dyDescent="0.25">
      <c r="I20426" s="227" t="str">
        <f>MID(excPisCofins[[#This Row],[CodBarras2]],2,50)</f>
        <v/>
      </c>
    </row>
    <row r="20427" spans="9:9" x14ac:dyDescent="0.25">
      <c r="I20427" s="227" t="str">
        <f>MID(excPisCofins[[#This Row],[CodBarras2]],2,50)</f>
        <v/>
      </c>
    </row>
    <row r="20428" spans="9:9" x14ac:dyDescent="0.25">
      <c r="I20428" s="227" t="str">
        <f>MID(excPisCofins[[#This Row],[CodBarras2]],2,50)</f>
        <v/>
      </c>
    </row>
    <row r="20429" spans="9:9" x14ac:dyDescent="0.25">
      <c r="I20429" s="227" t="str">
        <f>MID(excPisCofins[[#This Row],[CodBarras2]],2,50)</f>
        <v/>
      </c>
    </row>
    <row r="20430" spans="9:9" x14ac:dyDescent="0.25">
      <c r="I20430" s="227" t="str">
        <f>MID(excPisCofins[[#This Row],[CodBarras2]],2,50)</f>
        <v/>
      </c>
    </row>
    <row r="20431" spans="9:9" x14ac:dyDescent="0.25">
      <c r="I20431" s="227" t="str">
        <f>MID(excPisCofins[[#This Row],[CodBarras2]],2,50)</f>
        <v/>
      </c>
    </row>
    <row r="20432" spans="9:9" x14ac:dyDescent="0.25">
      <c r="I20432" s="227" t="str">
        <f>MID(excPisCofins[[#This Row],[CodBarras2]],2,50)</f>
        <v/>
      </c>
    </row>
    <row r="20433" spans="9:9" x14ac:dyDescent="0.25">
      <c r="I20433" s="227" t="str">
        <f>MID(excPisCofins[[#This Row],[CodBarras2]],2,50)</f>
        <v/>
      </c>
    </row>
    <row r="20434" spans="9:9" x14ac:dyDescent="0.25">
      <c r="I20434" s="227" t="str">
        <f>MID(excPisCofins[[#This Row],[CodBarras2]],2,50)</f>
        <v/>
      </c>
    </row>
    <row r="20435" spans="9:9" x14ac:dyDescent="0.25">
      <c r="I20435" s="227" t="str">
        <f>MID(excPisCofins[[#This Row],[CodBarras2]],2,50)</f>
        <v/>
      </c>
    </row>
    <row r="20436" spans="9:9" x14ac:dyDescent="0.25">
      <c r="I20436" s="227" t="str">
        <f>MID(excPisCofins[[#This Row],[CodBarras2]],2,50)</f>
        <v/>
      </c>
    </row>
    <row r="20437" spans="9:9" x14ac:dyDescent="0.25">
      <c r="I20437" s="227" t="str">
        <f>MID(excPisCofins[[#This Row],[CodBarras2]],2,50)</f>
        <v/>
      </c>
    </row>
    <row r="20438" spans="9:9" x14ac:dyDescent="0.25">
      <c r="I20438" s="227" t="str">
        <f>MID(excPisCofins[[#This Row],[CodBarras2]],2,50)</f>
        <v/>
      </c>
    </row>
    <row r="20439" spans="9:9" x14ac:dyDescent="0.25">
      <c r="I20439" s="227" t="str">
        <f>MID(excPisCofins[[#This Row],[CodBarras2]],2,50)</f>
        <v/>
      </c>
    </row>
    <row r="20440" spans="9:9" x14ac:dyDescent="0.25">
      <c r="I20440" s="227" t="str">
        <f>MID(excPisCofins[[#This Row],[CodBarras2]],2,50)</f>
        <v/>
      </c>
    </row>
    <row r="20441" spans="9:9" x14ac:dyDescent="0.25">
      <c r="I20441" s="227" t="str">
        <f>MID(excPisCofins[[#This Row],[CodBarras2]],2,50)</f>
        <v/>
      </c>
    </row>
    <row r="20442" spans="9:9" x14ac:dyDescent="0.25">
      <c r="I20442" s="227" t="str">
        <f>MID(excPisCofins[[#This Row],[CodBarras2]],2,50)</f>
        <v/>
      </c>
    </row>
    <row r="20443" spans="9:9" x14ac:dyDescent="0.25">
      <c r="I20443" s="227" t="str">
        <f>MID(excPisCofins[[#This Row],[CodBarras2]],2,50)</f>
        <v/>
      </c>
    </row>
    <row r="20444" spans="9:9" x14ac:dyDescent="0.25">
      <c r="I20444" s="227" t="str">
        <f>MID(excPisCofins[[#This Row],[CodBarras2]],2,50)</f>
        <v/>
      </c>
    </row>
    <row r="20445" spans="9:9" x14ac:dyDescent="0.25">
      <c r="I20445" s="227" t="str">
        <f>MID(excPisCofins[[#This Row],[CodBarras2]],2,50)</f>
        <v/>
      </c>
    </row>
    <row r="20446" spans="9:9" x14ac:dyDescent="0.25">
      <c r="I20446" s="227" t="str">
        <f>MID(excPisCofins[[#This Row],[CodBarras2]],2,50)</f>
        <v/>
      </c>
    </row>
    <row r="20447" spans="9:9" x14ac:dyDescent="0.25">
      <c r="I20447" s="227" t="str">
        <f>MID(excPisCofins[[#This Row],[CodBarras2]],2,50)</f>
        <v/>
      </c>
    </row>
    <row r="20448" spans="9:9" x14ac:dyDescent="0.25">
      <c r="I20448" s="227" t="str">
        <f>MID(excPisCofins[[#This Row],[CodBarras2]],2,50)</f>
        <v/>
      </c>
    </row>
    <row r="20449" spans="9:9" x14ac:dyDescent="0.25">
      <c r="I20449" s="227" t="str">
        <f>MID(excPisCofins[[#This Row],[CodBarras2]],2,50)</f>
        <v/>
      </c>
    </row>
    <row r="20450" spans="9:9" x14ac:dyDescent="0.25">
      <c r="I20450" s="227" t="str">
        <f>MID(excPisCofins[[#This Row],[CodBarras2]],2,50)</f>
        <v/>
      </c>
    </row>
    <row r="20451" spans="9:9" x14ac:dyDescent="0.25">
      <c r="I20451" s="227" t="str">
        <f>MID(excPisCofins[[#This Row],[CodBarras2]],2,50)</f>
        <v/>
      </c>
    </row>
    <row r="20452" spans="9:9" x14ac:dyDescent="0.25">
      <c r="I20452" s="227" t="str">
        <f>MID(excPisCofins[[#This Row],[CodBarras2]],2,50)</f>
        <v/>
      </c>
    </row>
    <row r="20453" spans="9:9" x14ac:dyDescent="0.25">
      <c r="I20453" s="227" t="str">
        <f>MID(excPisCofins[[#This Row],[CodBarras2]],2,50)</f>
        <v/>
      </c>
    </row>
    <row r="20454" spans="9:9" x14ac:dyDescent="0.25">
      <c r="I20454" s="227" t="str">
        <f>MID(excPisCofins[[#This Row],[CodBarras2]],2,50)</f>
        <v/>
      </c>
    </row>
    <row r="20455" spans="9:9" x14ac:dyDescent="0.25">
      <c r="I20455" s="227" t="str">
        <f>MID(excPisCofins[[#This Row],[CodBarras2]],2,50)</f>
        <v/>
      </c>
    </row>
    <row r="20456" spans="9:9" x14ac:dyDescent="0.25">
      <c r="I20456" s="227" t="str">
        <f>MID(excPisCofins[[#This Row],[CodBarras2]],2,50)</f>
        <v/>
      </c>
    </row>
    <row r="20457" spans="9:9" x14ac:dyDescent="0.25">
      <c r="I20457" s="227" t="str">
        <f>MID(excPisCofins[[#This Row],[CodBarras2]],2,50)</f>
        <v/>
      </c>
    </row>
    <row r="20458" spans="9:9" x14ac:dyDescent="0.25">
      <c r="I20458" s="227" t="str">
        <f>MID(excPisCofins[[#This Row],[CodBarras2]],2,50)</f>
        <v/>
      </c>
    </row>
    <row r="20459" spans="9:9" x14ac:dyDescent="0.25">
      <c r="I20459" s="227" t="str">
        <f>MID(excPisCofins[[#This Row],[CodBarras2]],2,50)</f>
        <v/>
      </c>
    </row>
    <row r="20460" spans="9:9" x14ac:dyDescent="0.25">
      <c r="I20460" s="227" t="str">
        <f>MID(excPisCofins[[#This Row],[CodBarras2]],2,50)</f>
        <v/>
      </c>
    </row>
    <row r="20461" spans="9:9" x14ac:dyDescent="0.25">
      <c r="I20461" s="227" t="str">
        <f>MID(excPisCofins[[#This Row],[CodBarras2]],2,50)</f>
        <v/>
      </c>
    </row>
    <row r="20462" spans="9:9" x14ac:dyDescent="0.25">
      <c r="I20462" s="227" t="str">
        <f>MID(excPisCofins[[#This Row],[CodBarras2]],2,50)</f>
        <v/>
      </c>
    </row>
    <row r="20463" spans="9:9" x14ac:dyDescent="0.25">
      <c r="I20463" s="227" t="str">
        <f>MID(excPisCofins[[#This Row],[CodBarras2]],2,50)</f>
        <v/>
      </c>
    </row>
    <row r="20464" spans="9:9" x14ac:dyDescent="0.25">
      <c r="I20464" s="227" t="str">
        <f>MID(excPisCofins[[#This Row],[CodBarras2]],2,50)</f>
        <v/>
      </c>
    </row>
    <row r="20465" spans="9:9" x14ac:dyDescent="0.25">
      <c r="I20465" s="227" t="str">
        <f>MID(excPisCofins[[#This Row],[CodBarras2]],2,50)</f>
        <v/>
      </c>
    </row>
    <row r="20466" spans="9:9" x14ac:dyDescent="0.25">
      <c r="I20466" s="227" t="str">
        <f>MID(excPisCofins[[#This Row],[CodBarras2]],2,50)</f>
        <v/>
      </c>
    </row>
    <row r="20467" spans="9:9" x14ac:dyDescent="0.25">
      <c r="I20467" s="227" t="str">
        <f>MID(excPisCofins[[#This Row],[CodBarras2]],2,50)</f>
        <v/>
      </c>
    </row>
    <row r="20468" spans="9:9" x14ac:dyDescent="0.25">
      <c r="I20468" s="227" t="str">
        <f>MID(excPisCofins[[#This Row],[CodBarras2]],2,50)</f>
        <v/>
      </c>
    </row>
    <row r="20469" spans="9:9" x14ac:dyDescent="0.25">
      <c r="I20469" s="227" t="str">
        <f>MID(excPisCofins[[#This Row],[CodBarras2]],2,50)</f>
        <v/>
      </c>
    </row>
    <row r="20470" spans="9:9" x14ac:dyDescent="0.25">
      <c r="I20470" s="227" t="str">
        <f>MID(excPisCofins[[#This Row],[CodBarras2]],2,50)</f>
        <v/>
      </c>
    </row>
    <row r="20471" spans="9:9" x14ac:dyDescent="0.25">
      <c r="I20471" s="227" t="str">
        <f>MID(excPisCofins[[#This Row],[CodBarras2]],2,50)</f>
        <v/>
      </c>
    </row>
    <row r="20472" spans="9:9" x14ac:dyDescent="0.25">
      <c r="I20472" s="227" t="str">
        <f>MID(excPisCofins[[#This Row],[CodBarras2]],2,50)</f>
        <v/>
      </c>
    </row>
    <row r="20473" spans="9:9" x14ac:dyDescent="0.25">
      <c r="I20473" s="227" t="str">
        <f>MID(excPisCofins[[#This Row],[CodBarras2]],2,50)</f>
        <v/>
      </c>
    </row>
    <row r="20474" spans="9:9" x14ac:dyDescent="0.25">
      <c r="I20474" s="227" t="str">
        <f>MID(excPisCofins[[#This Row],[CodBarras2]],2,50)</f>
        <v/>
      </c>
    </row>
    <row r="20475" spans="9:9" x14ac:dyDescent="0.25">
      <c r="I20475" s="227" t="str">
        <f>MID(excPisCofins[[#This Row],[CodBarras2]],2,50)</f>
        <v/>
      </c>
    </row>
    <row r="20476" spans="9:9" x14ac:dyDescent="0.25">
      <c r="I20476" s="227" t="str">
        <f>MID(excPisCofins[[#This Row],[CodBarras2]],2,50)</f>
        <v/>
      </c>
    </row>
    <row r="20477" spans="9:9" x14ac:dyDescent="0.25">
      <c r="I20477" s="227" t="str">
        <f>MID(excPisCofins[[#This Row],[CodBarras2]],2,50)</f>
        <v/>
      </c>
    </row>
    <row r="20478" spans="9:9" x14ac:dyDescent="0.25">
      <c r="I20478" s="227" t="str">
        <f>MID(excPisCofins[[#This Row],[CodBarras2]],2,50)</f>
        <v/>
      </c>
    </row>
    <row r="20479" spans="9:9" x14ac:dyDescent="0.25">
      <c r="I20479" s="227" t="str">
        <f>MID(excPisCofins[[#This Row],[CodBarras2]],2,50)</f>
        <v/>
      </c>
    </row>
    <row r="20480" spans="9:9" x14ac:dyDescent="0.25">
      <c r="I20480" s="227" t="str">
        <f>MID(excPisCofins[[#This Row],[CodBarras2]],2,50)</f>
        <v/>
      </c>
    </row>
    <row r="20481" spans="9:9" x14ac:dyDescent="0.25">
      <c r="I20481" s="227" t="str">
        <f>MID(excPisCofins[[#This Row],[CodBarras2]],2,50)</f>
        <v/>
      </c>
    </row>
    <row r="20482" spans="9:9" x14ac:dyDescent="0.25">
      <c r="I20482" s="227" t="str">
        <f>MID(excPisCofins[[#This Row],[CodBarras2]],2,50)</f>
        <v/>
      </c>
    </row>
    <row r="20483" spans="9:9" x14ac:dyDescent="0.25">
      <c r="I20483" s="227" t="str">
        <f>MID(excPisCofins[[#This Row],[CodBarras2]],2,50)</f>
        <v/>
      </c>
    </row>
    <row r="20484" spans="9:9" x14ac:dyDescent="0.25">
      <c r="I20484" s="227" t="str">
        <f>MID(excPisCofins[[#This Row],[CodBarras2]],2,50)</f>
        <v/>
      </c>
    </row>
    <row r="20485" spans="9:9" x14ac:dyDescent="0.25">
      <c r="I20485" s="227" t="str">
        <f>MID(excPisCofins[[#This Row],[CodBarras2]],2,50)</f>
        <v/>
      </c>
    </row>
    <row r="20486" spans="9:9" x14ac:dyDescent="0.25">
      <c r="I20486" s="227" t="str">
        <f>MID(excPisCofins[[#This Row],[CodBarras2]],2,50)</f>
        <v/>
      </c>
    </row>
    <row r="20487" spans="9:9" x14ac:dyDescent="0.25">
      <c r="I20487" s="227" t="str">
        <f>MID(excPisCofins[[#This Row],[CodBarras2]],2,50)</f>
        <v/>
      </c>
    </row>
    <row r="20488" spans="9:9" x14ac:dyDescent="0.25">
      <c r="I20488" s="227" t="str">
        <f>MID(excPisCofins[[#This Row],[CodBarras2]],2,50)</f>
        <v/>
      </c>
    </row>
    <row r="20489" spans="9:9" x14ac:dyDescent="0.25">
      <c r="I20489" s="227" t="str">
        <f>MID(excPisCofins[[#This Row],[CodBarras2]],2,50)</f>
        <v/>
      </c>
    </row>
    <row r="20490" spans="9:9" x14ac:dyDescent="0.25">
      <c r="I20490" s="227" t="str">
        <f>MID(excPisCofins[[#This Row],[CodBarras2]],2,50)</f>
        <v/>
      </c>
    </row>
    <row r="20491" spans="9:9" x14ac:dyDescent="0.25">
      <c r="I20491" s="227" t="str">
        <f>MID(excPisCofins[[#This Row],[CodBarras2]],2,50)</f>
        <v/>
      </c>
    </row>
    <row r="20492" spans="9:9" x14ac:dyDescent="0.25">
      <c r="I20492" s="227" t="str">
        <f>MID(excPisCofins[[#This Row],[CodBarras2]],2,50)</f>
        <v/>
      </c>
    </row>
    <row r="20493" spans="9:9" x14ac:dyDescent="0.25">
      <c r="I20493" s="227" t="str">
        <f>MID(excPisCofins[[#This Row],[CodBarras2]],2,50)</f>
        <v/>
      </c>
    </row>
    <row r="20494" spans="9:9" x14ac:dyDescent="0.25">
      <c r="I20494" s="227" t="str">
        <f>MID(excPisCofins[[#This Row],[CodBarras2]],2,50)</f>
        <v/>
      </c>
    </row>
    <row r="20495" spans="9:9" x14ac:dyDescent="0.25">
      <c r="I20495" s="227" t="str">
        <f>MID(excPisCofins[[#This Row],[CodBarras2]],2,50)</f>
        <v/>
      </c>
    </row>
    <row r="20496" spans="9:9" x14ac:dyDescent="0.25">
      <c r="I20496" s="227" t="str">
        <f>MID(excPisCofins[[#This Row],[CodBarras2]],2,50)</f>
        <v/>
      </c>
    </row>
    <row r="20497" spans="9:9" x14ac:dyDescent="0.25">
      <c r="I20497" s="227" t="str">
        <f>MID(excPisCofins[[#This Row],[CodBarras2]],2,50)</f>
        <v/>
      </c>
    </row>
    <row r="20498" spans="9:9" x14ac:dyDescent="0.25">
      <c r="I20498" s="227" t="str">
        <f>MID(excPisCofins[[#This Row],[CodBarras2]],2,50)</f>
        <v/>
      </c>
    </row>
    <row r="20499" spans="9:9" x14ac:dyDescent="0.25">
      <c r="I20499" s="227" t="str">
        <f>MID(excPisCofins[[#This Row],[CodBarras2]],2,50)</f>
        <v/>
      </c>
    </row>
    <row r="20500" spans="9:9" x14ac:dyDescent="0.25">
      <c r="I20500" s="227" t="str">
        <f>MID(excPisCofins[[#This Row],[CodBarras2]],2,50)</f>
        <v/>
      </c>
    </row>
    <row r="20501" spans="9:9" x14ac:dyDescent="0.25">
      <c r="I20501" s="227" t="str">
        <f>MID(excPisCofins[[#This Row],[CodBarras2]],2,50)</f>
        <v/>
      </c>
    </row>
    <row r="20502" spans="9:9" x14ac:dyDescent="0.25">
      <c r="I20502" s="227" t="str">
        <f>MID(excPisCofins[[#This Row],[CodBarras2]],2,50)</f>
        <v/>
      </c>
    </row>
    <row r="20503" spans="9:9" x14ac:dyDescent="0.25">
      <c r="I20503" s="227" t="str">
        <f>MID(excPisCofins[[#This Row],[CodBarras2]],2,50)</f>
        <v/>
      </c>
    </row>
    <row r="20504" spans="9:9" x14ac:dyDescent="0.25">
      <c r="I20504" s="227" t="str">
        <f>MID(excPisCofins[[#This Row],[CodBarras2]],2,50)</f>
        <v/>
      </c>
    </row>
    <row r="20505" spans="9:9" x14ac:dyDescent="0.25">
      <c r="I20505" s="227" t="str">
        <f>MID(excPisCofins[[#This Row],[CodBarras2]],2,50)</f>
        <v/>
      </c>
    </row>
    <row r="20506" spans="9:9" x14ac:dyDescent="0.25">
      <c r="I20506" s="227" t="str">
        <f>MID(excPisCofins[[#This Row],[CodBarras2]],2,50)</f>
        <v/>
      </c>
    </row>
    <row r="20507" spans="9:9" x14ac:dyDescent="0.25">
      <c r="I20507" s="227" t="str">
        <f>MID(excPisCofins[[#This Row],[CodBarras2]],2,50)</f>
        <v/>
      </c>
    </row>
    <row r="20508" spans="9:9" x14ac:dyDescent="0.25">
      <c r="I20508" s="227" t="str">
        <f>MID(excPisCofins[[#This Row],[CodBarras2]],2,50)</f>
        <v/>
      </c>
    </row>
    <row r="20509" spans="9:9" x14ac:dyDescent="0.25">
      <c r="I20509" s="227" t="str">
        <f>MID(excPisCofins[[#This Row],[CodBarras2]],2,50)</f>
        <v/>
      </c>
    </row>
    <row r="20510" spans="9:9" x14ac:dyDescent="0.25">
      <c r="I20510" s="227" t="str">
        <f>MID(excPisCofins[[#This Row],[CodBarras2]],2,50)</f>
        <v/>
      </c>
    </row>
    <row r="20511" spans="9:9" x14ac:dyDescent="0.25">
      <c r="I20511" s="227" t="str">
        <f>MID(excPisCofins[[#This Row],[CodBarras2]],2,50)</f>
        <v/>
      </c>
    </row>
    <row r="20512" spans="9:9" x14ac:dyDescent="0.25">
      <c r="I20512" s="227" t="str">
        <f>MID(excPisCofins[[#This Row],[CodBarras2]],2,50)</f>
        <v/>
      </c>
    </row>
    <row r="20513" spans="9:9" x14ac:dyDescent="0.25">
      <c r="I20513" s="227" t="str">
        <f>MID(excPisCofins[[#This Row],[CodBarras2]],2,50)</f>
        <v/>
      </c>
    </row>
    <row r="20514" spans="9:9" x14ac:dyDescent="0.25">
      <c r="I20514" s="227" t="str">
        <f>MID(excPisCofins[[#This Row],[CodBarras2]],2,50)</f>
        <v/>
      </c>
    </row>
    <row r="20515" spans="9:9" x14ac:dyDescent="0.25">
      <c r="I20515" s="227" t="str">
        <f>MID(excPisCofins[[#This Row],[CodBarras2]],2,50)</f>
        <v/>
      </c>
    </row>
    <row r="20516" spans="9:9" x14ac:dyDescent="0.25">
      <c r="I20516" s="227" t="str">
        <f>MID(excPisCofins[[#This Row],[CodBarras2]],2,50)</f>
        <v/>
      </c>
    </row>
    <row r="20517" spans="9:9" x14ac:dyDescent="0.25">
      <c r="I20517" s="227" t="str">
        <f>MID(excPisCofins[[#This Row],[CodBarras2]],2,50)</f>
        <v/>
      </c>
    </row>
    <row r="20518" spans="9:9" x14ac:dyDescent="0.25">
      <c r="I20518" s="227" t="str">
        <f>MID(excPisCofins[[#This Row],[CodBarras2]],2,50)</f>
        <v/>
      </c>
    </row>
    <row r="20519" spans="9:9" x14ac:dyDescent="0.25">
      <c r="I20519" s="227" t="str">
        <f>MID(excPisCofins[[#This Row],[CodBarras2]],2,50)</f>
        <v/>
      </c>
    </row>
    <row r="20520" spans="9:9" x14ac:dyDescent="0.25">
      <c r="I20520" s="227" t="str">
        <f>MID(excPisCofins[[#This Row],[CodBarras2]],2,50)</f>
        <v/>
      </c>
    </row>
    <row r="20521" spans="9:9" x14ac:dyDescent="0.25">
      <c r="I20521" s="227" t="str">
        <f>MID(excPisCofins[[#This Row],[CodBarras2]],2,50)</f>
        <v/>
      </c>
    </row>
    <row r="20522" spans="9:9" x14ac:dyDescent="0.25">
      <c r="I20522" s="227" t="str">
        <f>MID(excPisCofins[[#This Row],[CodBarras2]],2,50)</f>
        <v/>
      </c>
    </row>
    <row r="20523" spans="9:9" x14ac:dyDescent="0.25">
      <c r="I20523" s="227" t="str">
        <f>MID(excPisCofins[[#This Row],[CodBarras2]],2,50)</f>
        <v/>
      </c>
    </row>
    <row r="20524" spans="9:9" x14ac:dyDescent="0.25">
      <c r="I20524" s="227" t="str">
        <f>MID(excPisCofins[[#This Row],[CodBarras2]],2,50)</f>
        <v/>
      </c>
    </row>
    <row r="20525" spans="9:9" x14ac:dyDescent="0.25">
      <c r="I20525" s="227" t="str">
        <f>MID(excPisCofins[[#This Row],[CodBarras2]],2,50)</f>
        <v/>
      </c>
    </row>
    <row r="20526" spans="9:9" x14ac:dyDescent="0.25">
      <c r="I20526" s="227" t="str">
        <f>MID(excPisCofins[[#This Row],[CodBarras2]],2,50)</f>
        <v/>
      </c>
    </row>
    <row r="20527" spans="9:9" x14ac:dyDescent="0.25">
      <c r="I20527" s="227" t="str">
        <f>MID(excPisCofins[[#This Row],[CodBarras2]],2,50)</f>
        <v/>
      </c>
    </row>
    <row r="20528" spans="9:9" x14ac:dyDescent="0.25">
      <c r="I20528" s="227" t="str">
        <f>MID(excPisCofins[[#This Row],[CodBarras2]],2,50)</f>
        <v/>
      </c>
    </row>
    <row r="20529" spans="9:9" x14ac:dyDescent="0.25">
      <c r="I20529" s="227" t="str">
        <f>MID(excPisCofins[[#This Row],[CodBarras2]],2,50)</f>
        <v/>
      </c>
    </row>
    <row r="20530" spans="9:9" x14ac:dyDescent="0.25">
      <c r="I20530" s="227" t="str">
        <f>MID(excPisCofins[[#This Row],[CodBarras2]],2,50)</f>
        <v/>
      </c>
    </row>
    <row r="20531" spans="9:9" x14ac:dyDescent="0.25">
      <c r="I20531" s="227" t="str">
        <f>MID(excPisCofins[[#This Row],[CodBarras2]],2,50)</f>
        <v/>
      </c>
    </row>
    <row r="20532" spans="9:9" x14ac:dyDescent="0.25">
      <c r="I20532" s="227" t="str">
        <f>MID(excPisCofins[[#This Row],[CodBarras2]],2,50)</f>
        <v/>
      </c>
    </row>
    <row r="20533" spans="9:9" x14ac:dyDescent="0.25">
      <c r="I20533" s="227" t="str">
        <f>MID(excPisCofins[[#This Row],[CodBarras2]],2,50)</f>
        <v/>
      </c>
    </row>
    <row r="20534" spans="9:9" x14ac:dyDescent="0.25">
      <c r="I20534" s="227" t="str">
        <f>MID(excPisCofins[[#This Row],[CodBarras2]],2,50)</f>
        <v/>
      </c>
    </row>
    <row r="20535" spans="9:9" x14ac:dyDescent="0.25">
      <c r="I20535" s="227" t="str">
        <f>MID(excPisCofins[[#This Row],[CodBarras2]],2,50)</f>
        <v/>
      </c>
    </row>
    <row r="20536" spans="9:9" x14ac:dyDescent="0.25">
      <c r="I20536" s="227" t="str">
        <f>MID(excPisCofins[[#This Row],[CodBarras2]],2,50)</f>
        <v/>
      </c>
    </row>
    <row r="20537" spans="9:9" x14ac:dyDescent="0.25">
      <c r="I20537" s="227" t="str">
        <f>MID(excPisCofins[[#This Row],[CodBarras2]],2,50)</f>
        <v/>
      </c>
    </row>
    <row r="20538" spans="9:9" x14ac:dyDescent="0.25">
      <c r="I20538" s="227" t="str">
        <f>MID(excPisCofins[[#This Row],[CodBarras2]],2,50)</f>
        <v/>
      </c>
    </row>
    <row r="20539" spans="9:9" x14ac:dyDescent="0.25">
      <c r="I20539" s="227" t="str">
        <f>MID(excPisCofins[[#This Row],[CodBarras2]],2,50)</f>
        <v/>
      </c>
    </row>
    <row r="20540" spans="9:9" x14ac:dyDescent="0.25">
      <c r="I20540" s="227" t="str">
        <f>MID(excPisCofins[[#This Row],[CodBarras2]],2,50)</f>
        <v/>
      </c>
    </row>
    <row r="20541" spans="9:9" x14ac:dyDescent="0.25">
      <c r="I20541" s="227" t="str">
        <f>MID(excPisCofins[[#This Row],[CodBarras2]],2,50)</f>
        <v/>
      </c>
    </row>
    <row r="20542" spans="9:9" x14ac:dyDescent="0.25">
      <c r="I20542" s="227" t="str">
        <f>MID(excPisCofins[[#This Row],[CodBarras2]],2,50)</f>
        <v/>
      </c>
    </row>
    <row r="20543" spans="9:9" x14ac:dyDescent="0.25">
      <c r="I20543" s="227" t="str">
        <f>MID(excPisCofins[[#This Row],[CodBarras2]],2,50)</f>
        <v/>
      </c>
    </row>
    <row r="20544" spans="9:9" x14ac:dyDescent="0.25">
      <c r="I20544" s="227" t="str">
        <f>MID(excPisCofins[[#This Row],[CodBarras2]],2,50)</f>
        <v/>
      </c>
    </row>
    <row r="20545" spans="9:9" x14ac:dyDescent="0.25">
      <c r="I20545" s="227" t="str">
        <f>MID(excPisCofins[[#This Row],[CodBarras2]],2,50)</f>
        <v/>
      </c>
    </row>
    <row r="20546" spans="9:9" x14ac:dyDescent="0.25">
      <c r="I20546" s="227" t="str">
        <f>MID(excPisCofins[[#This Row],[CodBarras2]],2,50)</f>
        <v/>
      </c>
    </row>
    <row r="20547" spans="9:9" x14ac:dyDescent="0.25">
      <c r="I20547" s="227" t="str">
        <f>MID(excPisCofins[[#This Row],[CodBarras2]],2,50)</f>
        <v/>
      </c>
    </row>
    <row r="20548" spans="9:9" x14ac:dyDescent="0.25">
      <c r="I20548" s="227" t="str">
        <f>MID(excPisCofins[[#This Row],[CodBarras2]],2,50)</f>
        <v/>
      </c>
    </row>
    <row r="20549" spans="9:9" x14ac:dyDescent="0.25">
      <c r="I20549" s="227" t="str">
        <f>MID(excPisCofins[[#This Row],[CodBarras2]],2,50)</f>
        <v/>
      </c>
    </row>
    <row r="20550" spans="9:9" x14ac:dyDescent="0.25">
      <c r="I20550" s="227" t="str">
        <f>MID(excPisCofins[[#This Row],[CodBarras2]],2,50)</f>
        <v/>
      </c>
    </row>
    <row r="20551" spans="9:9" x14ac:dyDescent="0.25">
      <c r="I20551" s="227" t="str">
        <f>MID(excPisCofins[[#This Row],[CodBarras2]],2,50)</f>
        <v/>
      </c>
    </row>
    <row r="20552" spans="9:9" x14ac:dyDescent="0.25">
      <c r="I20552" s="227" t="str">
        <f>MID(excPisCofins[[#This Row],[CodBarras2]],2,50)</f>
        <v/>
      </c>
    </row>
    <row r="20553" spans="9:9" x14ac:dyDescent="0.25">
      <c r="I20553" s="227" t="str">
        <f>MID(excPisCofins[[#This Row],[CodBarras2]],2,50)</f>
        <v/>
      </c>
    </row>
    <row r="20554" spans="9:9" x14ac:dyDescent="0.25">
      <c r="I20554" s="227" t="str">
        <f>MID(excPisCofins[[#This Row],[CodBarras2]],2,50)</f>
        <v/>
      </c>
    </row>
    <row r="20555" spans="9:9" x14ac:dyDescent="0.25">
      <c r="I20555" s="227" t="str">
        <f>MID(excPisCofins[[#This Row],[CodBarras2]],2,50)</f>
        <v/>
      </c>
    </row>
    <row r="20556" spans="9:9" x14ac:dyDescent="0.25">
      <c r="I20556" s="227" t="str">
        <f>MID(excPisCofins[[#This Row],[CodBarras2]],2,50)</f>
        <v/>
      </c>
    </row>
    <row r="20557" spans="9:9" x14ac:dyDescent="0.25">
      <c r="I20557" s="227" t="str">
        <f>MID(excPisCofins[[#This Row],[CodBarras2]],2,50)</f>
        <v/>
      </c>
    </row>
    <row r="20558" spans="9:9" x14ac:dyDescent="0.25">
      <c r="I20558" s="227" t="str">
        <f>MID(excPisCofins[[#This Row],[CodBarras2]],2,50)</f>
        <v/>
      </c>
    </row>
    <row r="20559" spans="9:9" x14ac:dyDescent="0.25">
      <c r="I20559" s="227" t="str">
        <f>MID(excPisCofins[[#This Row],[CodBarras2]],2,50)</f>
        <v/>
      </c>
    </row>
    <row r="20560" spans="9:9" x14ac:dyDescent="0.25">
      <c r="I20560" s="227" t="str">
        <f>MID(excPisCofins[[#This Row],[CodBarras2]],2,50)</f>
        <v/>
      </c>
    </row>
    <row r="20561" spans="9:9" x14ac:dyDescent="0.25">
      <c r="I20561" s="227" t="str">
        <f>MID(excPisCofins[[#This Row],[CodBarras2]],2,50)</f>
        <v/>
      </c>
    </row>
    <row r="20562" spans="9:9" x14ac:dyDescent="0.25">
      <c r="I20562" s="227" t="str">
        <f>MID(excPisCofins[[#This Row],[CodBarras2]],2,50)</f>
        <v/>
      </c>
    </row>
    <row r="20563" spans="9:9" x14ac:dyDescent="0.25">
      <c r="I20563" s="227" t="str">
        <f>MID(excPisCofins[[#This Row],[CodBarras2]],2,50)</f>
        <v/>
      </c>
    </row>
    <row r="20564" spans="9:9" x14ac:dyDescent="0.25">
      <c r="I20564" s="227" t="str">
        <f>MID(excPisCofins[[#This Row],[CodBarras2]],2,50)</f>
        <v/>
      </c>
    </row>
    <row r="20565" spans="9:9" x14ac:dyDescent="0.25">
      <c r="I20565" s="227" t="str">
        <f>MID(excPisCofins[[#This Row],[CodBarras2]],2,50)</f>
        <v/>
      </c>
    </row>
    <row r="20566" spans="9:9" x14ac:dyDescent="0.25">
      <c r="I20566" s="227" t="str">
        <f>MID(excPisCofins[[#This Row],[CodBarras2]],2,50)</f>
        <v/>
      </c>
    </row>
    <row r="20567" spans="9:9" x14ac:dyDescent="0.25">
      <c r="I20567" s="227" t="str">
        <f>MID(excPisCofins[[#This Row],[CodBarras2]],2,50)</f>
        <v/>
      </c>
    </row>
    <row r="20568" spans="9:9" x14ac:dyDescent="0.25">
      <c r="I20568" s="227" t="str">
        <f>MID(excPisCofins[[#This Row],[CodBarras2]],2,50)</f>
        <v/>
      </c>
    </row>
    <row r="20569" spans="9:9" x14ac:dyDescent="0.25">
      <c r="I20569" s="227" t="str">
        <f>MID(excPisCofins[[#This Row],[CodBarras2]],2,50)</f>
        <v/>
      </c>
    </row>
    <row r="20570" spans="9:9" x14ac:dyDescent="0.25">
      <c r="I20570" s="227" t="str">
        <f>MID(excPisCofins[[#This Row],[CodBarras2]],2,50)</f>
        <v/>
      </c>
    </row>
    <row r="20571" spans="9:9" x14ac:dyDescent="0.25">
      <c r="I20571" s="227" t="str">
        <f>MID(excPisCofins[[#This Row],[CodBarras2]],2,50)</f>
        <v/>
      </c>
    </row>
    <row r="20572" spans="9:9" x14ac:dyDescent="0.25">
      <c r="I20572" s="227" t="str">
        <f>MID(excPisCofins[[#This Row],[CodBarras2]],2,50)</f>
        <v/>
      </c>
    </row>
    <row r="20573" spans="9:9" x14ac:dyDescent="0.25">
      <c r="I20573" s="227" t="str">
        <f>MID(excPisCofins[[#This Row],[CodBarras2]],2,50)</f>
        <v/>
      </c>
    </row>
    <row r="20574" spans="9:9" x14ac:dyDescent="0.25">
      <c r="I20574" s="227" t="str">
        <f>MID(excPisCofins[[#This Row],[CodBarras2]],2,50)</f>
        <v/>
      </c>
    </row>
    <row r="20575" spans="9:9" x14ac:dyDescent="0.25">
      <c r="I20575" s="227" t="str">
        <f>MID(excPisCofins[[#This Row],[CodBarras2]],2,50)</f>
        <v/>
      </c>
    </row>
    <row r="20576" spans="9:9" x14ac:dyDescent="0.25">
      <c r="I20576" s="227" t="str">
        <f>MID(excPisCofins[[#This Row],[CodBarras2]],2,50)</f>
        <v/>
      </c>
    </row>
    <row r="20577" spans="9:9" x14ac:dyDescent="0.25">
      <c r="I20577" s="227" t="str">
        <f>MID(excPisCofins[[#This Row],[CodBarras2]],2,50)</f>
        <v/>
      </c>
    </row>
    <row r="20578" spans="9:9" x14ac:dyDescent="0.25">
      <c r="I20578" s="227" t="str">
        <f>MID(excPisCofins[[#This Row],[CodBarras2]],2,50)</f>
        <v/>
      </c>
    </row>
    <row r="20579" spans="9:9" x14ac:dyDescent="0.25">
      <c r="I20579" s="227" t="str">
        <f>MID(excPisCofins[[#This Row],[CodBarras2]],2,50)</f>
        <v/>
      </c>
    </row>
    <row r="20580" spans="9:9" x14ac:dyDescent="0.25">
      <c r="I20580" s="227" t="str">
        <f>MID(excPisCofins[[#This Row],[CodBarras2]],2,50)</f>
        <v/>
      </c>
    </row>
    <row r="20581" spans="9:9" x14ac:dyDescent="0.25">
      <c r="I20581" s="227" t="str">
        <f>MID(excPisCofins[[#This Row],[CodBarras2]],2,50)</f>
        <v/>
      </c>
    </row>
    <row r="20582" spans="9:9" x14ac:dyDescent="0.25">
      <c r="I20582" s="227" t="str">
        <f>MID(excPisCofins[[#This Row],[CodBarras2]],2,50)</f>
        <v/>
      </c>
    </row>
    <row r="20583" spans="9:9" x14ac:dyDescent="0.25">
      <c r="I20583" s="227" t="str">
        <f>MID(excPisCofins[[#This Row],[CodBarras2]],2,50)</f>
        <v/>
      </c>
    </row>
    <row r="20584" spans="9:9" x14ac:dyDescent="0.25">
      <c r="I20584" s="227" t="str">
        <f>MID(excPisCofins[[#This Row],[CodBarras2]],2,50)</f>
        <v/>
      </c>
    </row>
    <row r="20585" spans="9:9" x14ac:dyDescent="0.25">
      <c r="I20585" s="227" t="str">
        <f>MID(excPisCofins[[#This Row],[CodBarras2]],2,50)</f>
        <v/>
      </c>
    </row>
    <row r="20586" spans="9:9" x14ac:dyDescent="0.25">
      <c r="I20586" s="227" t="str">
        <f>MID(excPisCofins[[#This Row],[CodBarras2]],2,50)</f>
        <v/>
      </c>
    </row>
    <row r="20587" spans="9:9" x14ac:dyDescent="0.25">
      <c r="I20587" s="227" t="str">
        <f>MID(excPisCofins[[#This Row],[CodBarras2]],2,50)</f>
        <v/>
      </c>
    </row>
    <row r="20588" spans="9:9" x14ac:dyDescent="0.25">
      <c r="I20588" s="227" t="str">
        <f>MID(excPisCofins[[#This Row],[CodBarras2]],2,50)</f>
        <v/>
      </c>
    </row>
    <row r="20589" spans="9:9" x14ac:dyDescent="0.25">
      <c r="I20589" s="227" t="str">
        <f>MID(excPisCofins[[#This Row],[CodBarras2]],2,50)</f>
        <v/>
      </c>
    </row>
    <row r="20590" spans="9:9" x14ac:dyDescent="0.25">
      <c r="I20590" s="227" t="str">
        <f>MID(excPisCofins[[#This Row],[CodBarras2]],2,50)</f>
        <v/>
      </c>
    </row>
    <row r="20591" spans="9:9" x14ac:dyDescent="0.25">
      <c r="I20591" s="227" t="str">
        <f>MID(excPisCofins[[#This Row],[CodBarras2]],2,50)</f>
        <v/>
      </c>
    </row>
    <row r="20592" spans="9:9" x14ac:dyDescent="0.25">
      <c r="I20592" s="227" t="str">
        <f>MID(excPisCofins[[#This Row],[CodBarras2]],2,50)</f>
        <v/>
      </c>
    </row>
    <row r="20593" spans="9:9" x14ac:dyDescent="0.25">
      <c r="I20593" s="227" t="str">
        <f>MID(excPisCofins[[#This Row],[CodBarras2]],2,50)</f>
        <v/>
      </c>
    </row>
    <row r="20594" spans="9:9" x14ac:dyDescent="0.25">
      <c r="I20594" s="227" t="str">
        <f>MID(excPisCofins[[#This Row],[CodBarras2]],2,50)</f>
        <v/>
      </c>
    </row>
    <row r="20595" spans="9:9" x14ac:dyDescent="0.25">
      <c r="I20595" s="227" t="str">
        <f>MID(excPisCofins[[#This Row],[CodBarras2]],2,50)</f>
        <v/>
      </c>
    </row>
    <row r="20596" spans="9:9" x14ac:dyDescent="0.25">
      <c r="I20596" s="227" t="str">
        <f>MID(excPisCofins[[#This Row],[CodBarras2]],2,50)</f>
        <v/>
      </c>
    </row>
    <row r="20597" spans="9:9" x14ac:dyDescent="0.25">
      <c r="I20597" s="227" t="str">
        <f>MID(excPisCofins[[#This Row],[CodBarras2]],2,50)</f>
        <v/>
      </c>
    </row>
    <row r="20598" spans="9:9" x14ac:dyDescent="0.25">
      <c r="I20598" s="227" t="str">
        <f>MID(excPisCofins[[#This Row],[CodBarras2]],2,50)</f>
        <v/>
      </c>
    </row>
    <row r="20599" spans="9:9" x14ac:dyDescent="0.25">
      <c r="I20599" s="227" t="str">
        <f>MID(excPisCofins[[#This Row],[CodBarras2]],2,50)</f>
        <v/>
      </c>
    </row>
    <row r="20600" spans="9:9" x14ac:dyDescent="0.25">
      <c r="I20600" s="227" t="str">
        <f>MID(excPisCofins[[#This Row],[CodBarras2]],2,50)</f>
        <v/>
      </c>
    </row>
    <row r="20601" spans="9:9" x14ac:dyDescent="0.25">
      <c r="I20601" s="227" t="str">
        <f>MID(excPisCofins[[#This Row],[CodBarras2]],2,50)</f>
        <v/>
      </c>
    </row>
    <row r="20602" spans="9:9" x14ac:dyDescent="0.25">
      <c r="I20602" s="227" t="str">
        <f>MID(excPisCofins[[#This Row],[CodBarras2]],2,50)</f>
        <v/>
      </c>
    </row>
    <row r="20603" spans="9:9" x14ac:dyDescent="0.25">
      <c r="I20603" s="227" t="str">
        <f>MID(excPisCofins[[#This Row],[CodBarras2]],2,50)</f>
        <v/>
      </c>
    </row>
    <row r="20604" spans="9:9" x14ac:dyDescent="0.25">
      <c r="I20604" s="227" t="str">
        <f>MID(excPisCofins[[#This Row],[CodBarras2]],2,50)</f>
        <v/>
      </c>
    </row>
    <row r="20605" spans="9:9" x14ac:dyDescent="0.25">
      <c r="I20605" s="227" t="str">
        <f>MID(excPisCofins[[#This Row],[CodBarras2]],2,50)</f>
        <v/>
      </c>
    </row>
    <row r="20606" spans="9:9" x14ac:dyDescent="0.25">
      <c r="I20606" s="227" t="str">
        <f>MID(excPisCofins[[#This Row],[CodBarras2]],2,50)</f>
        <v/>
      </c>
    </row>
    <row r="20607" spans="9:9" x14ac:dyDescent="0.25">
      <c r="I20607" s="227" t="str">
        <f>MID(excPisCofins[[#This Row],[CodBarras2]],2,50)</f>
        <v/>
      </c>
    </row>
    <row r="20608" spans="9:9" x14ac:dyDescent="0.25">
      <c r="I20608" s="227" t="str">
        <f>MID(excPisCofins[[#This Row],[CodBarras2]],2,50)</f>
        <v/>
      </c>
    </row>
    <row r="20609" spans="9:9" x14ac:dyDescent="0.25">
      <c r="I20609" s="227" t="str">
        <f>MID(excPisCofins[[#This Row],[CodBarras2]],2,50)</f>
        <v/>
      </c>
    </row>
    <row r="20610" spans="9:9" x14ac:dyDescent="0.25">
      <c r="I20610" s="227" t="str">
        <f>MID(excPisCofins[[#This Row],[CodBarras2]],2,50)</f>
        <v/>
      </c>
    </row>
    <row r="20611" spans="9:9" x14ac:dyDescent="0.25">
      <c r="I20611" s="227" t="str">
        <f>MID(excPisCofins[[#This Row],[CodBarras2]],2,50)</f>
        <v/>
      </c>
    </row>
    <row r="20612" spans="9:9" x14ac:dyDescent="0.25">
      <c r="I20612" s="227" t="str">
        <f>MID(excPisCofins[[#This Row],[CodBarras2]],2,50)</f>
        <v/>
      </c>
    </row>
    <row r="20613" spans="9:9" x14ac:dyDescent="0.25">
      <c r="I20613" s="227" t="str">
        <f>MID(excPisCofins[[#This Row],[CodBarras2]],2,50)</f>
        <v/>
      </c>
    </row>
    <row r="20614" spans="9:9" x14ac:dyDescent="0.25">
      <c r="I20614" s="227" t="str">
        <f>MID(excPisCofins[[#This Row],[CodBarras2]],2,50)</f>
        <v/>
      </c>
    </row>
    <row r="20615" spans="9:9" x14ac:dyDescent="0.25">
      <c r="I20615" s="227" t="str">
        <f>MID(excPisCofins[[#This Row],[CodBarras2]],2,50)</f>
        <v/>
      </c>
    </row>
    <row r="20616" spans="9:9" x14ac:dyDescent="0.25">
      <c r="I20616" s="227" t="str">
        <f>MID(excPisCofins[[#This Row],[CodBarras2]],2,50)</f>
        <v/>
      </c>
    </row>
    <row r="20617" spans="9:9" x14ac:dyDescent="0.25">
      <c r="I20617" s="227" t="str">
        <f>MID(excPisCofins[[#This Row],[CodBarras2]],2,50)</f>
        <v/>
      </c>
    </row>
    <row r="20618" spans="9:9" x14ac:dyDescent="0.25">
      <c r="I20618" s="227" t="str">
        <f>MID(excPisCofins[[#This Row],[CodBarras2]],2,50)</f>
        <v/>
      </c>
    </row>
    <row r="20619" spans="9:9" x14ac:dyDescent="0.25">
      <c r="I20619" s="227" t="str">
        <f>MID(excPisCofins[[#This Row],[CodBarras2]],2,50)</f>
        <v/>
      </c>
    </row>
    <row r="20620" spans="9:9" x14ac:dyDescent="0.25">
      <c r="I20620" s="227" t="str">
        <f>MID(excPisCofins[[#This Row],[CodBarras2]],2,50)</f>
        <v/>
      </c>
    </row>
    <row r="20621" spans="9:9" x14ac:dyDescent="0.25">
      <c r="I20621" s="227" t="str">
        <f>MID(excPisCofins[[#This Row],[CodBarras2]],2,50)</f>
        <v/>
      </c>
    </row>
    <row r="20622" spans="9:9" x14ac:dyDescent="0.25">
      <c r="I20622" s="227" t="str">
        <f>MID(excPisCofins[[#This Row],[CodBarras2]],2,50)</f>
        <v/>
      </c>
    </row>
    <row r="20623" spans="9:9" x14ac:dyDescent="0.25">
      <c r="I20623" s="227" t="str">
        <f>MID(excPisCofins[[#This Row],[CodBarras2]],2,50)</f>
        <v/>
      </c>
    </row>
    <row r="20624" spans="9:9" x14ac:dyDescent="0.25">
      <c r="I20624" s="227" t="str">
        <f>MID(excPisCofins[[#This Row],[CodBarras2]],2,50)</f>
        <v/>
      </c>
    </row>
    <row r="20625" spans="9:9" x14ac:dyDescent="0.25">
      <c r="I20625" s="227" t="str">
        <f>MID(excPisCofins[[#This Row],[CodBarras2]],2,50)</f>
        <v/>
      </c>
    </row>
    <row r="20626" spans="9:9" x14ac:dyDescent="0.25">
      <c r="I20626" s="227" t="str">
        <f>MID(excPisCofins[[#This Row],[CodBarras2]],2,50)</f>
        <v/>
      </c>
    </row>
    <row r="20627" spans="9:9" x14ac:dyDescent="0.25">
      <c r="I20627" s="227" t="str">
        <f>MID(excPisCofins[[#This Row],[CodBarras2]],2,50)</f>
        <v/>
      </c>
    </row>
    <row r="20628" spans="9:9" x14ac:dyDescent="0.25">
      <c r="I20628" s="227" t="str">
        <f>MID(excPisCofins[[#This Row],[CodBarras2]],2,50)</f>
        <v/>
      </c>
    </row>
    <row r="20629" spans="9:9" x14ac:dyDescent="0.25">
      <c r="I20629" s="227" t="str">
        <f>MID(excPisCofins[[#This Row],[CodBarras2]],2,50)</f>
        <v/>
      </c>
    </row>
    <row r="20630" spans="9:9" x14ac:dyDescent="0.25">
      <c r="I20630" s="227" t="str">
        <f>MID(excPisCofins[[#This Row],[CodBarras2]],2,50)</f>
        <v/>
      </c>
    </row>
    <row r="20631" spans="9:9" x14ac:dyDescent="0.25">
      <c r="I20631" s="227" t="str">
        <f>MID(excPisCofins[[#This Row],[CodBarras2]],2,50)</f>
        <v/>
      </c>
    </row>
    <row r="20632" spans="9:9" x14ac:dyDescent="0.25">
      <c r="I20632" s="227" t="str">
        <f>MID(excPisCofins[[#This Row],[CodBarras2]],2,50)</f>
        <v/>
      </c>
    </row>
    <row r="20633" spans="9:9" x14ac:dyDescent="0.25">
      <c r="I20633" s="227" t="str">
        <f>MID(excPisCofins[[#This Row],[CodBarras2]],2,50)</f>
        <v/>
      </c>
    </row>
    <row r="20634" spans="9:9" x14ac:dyDescent="0.25">
      <c r="I20634" s="227" t="str">
        <f>MID(excPisCofins[[#This Row],[CodBarras2]],2,50)</f>
        <v/>
      </c>
    </row>
    <row r="20635" spans="9:9" x14ac:dyDescent="0.25">
      <c r="I20635" s="227" t="str">
        <f>MID(excPisCofins[[#This Row],[CodBarras2]],2,50)</f>
        <v/>
      </c>
    </row>
    <row r="20636" spans="9:9" x14ac:dyDescent="0.25">
      <c r="I20636" s="227" t="str">
        <f>MID(excPisCofins[[#This Row],[CodBarras2]],2,50)</f>
        <v/>
      </c>
    </row>
    <row r="20637" spans="9:9" x14ac:dyDescent="0.25">
      <c r="I20637" s="227" t="str">
        <f>MID(excPisCofins[[#This Row],[CodBarras2]],2,50)</f>
        <v/>
      </c>
    </row>
    <row r="20638" spans="9:9" x14ac:dyDescent="0.25">
      <c r="I20638" s="227" t="str">
        <f>MID(excPisCofins[[#This Row],[CodBarras2]],2,50)</f>
        <v/>
      </c>
    </row>
    <row r="20639" spans="9:9" x14ac:dyDescent="0.25">
      <c r="I20639" s="227" t="str">
        <f>MID(excPisCofins[[#This Row],[CodBarras2]],2,50)</f>
        <v/>
      </c>
    </row>
    <row r="20640" spans="9:9" x14ac:dyDescent="0.25">
      <c r="I20640" s="227" t="str">
        <f>MID(excPisCofins[[#This Row],[CodBarras2]],2,50)</f>
        <v/>
      </c>
    </row>
    <row r="20641" spans="9:9" x14ac:dyDescent="0.25">
      <c r="I20641" s="227" t="str">
        <f>MID(excPisCofins[[#This Row],[CodBarras2]],2,50)</f>
        <v/>
      </c>
    </row>
    <row r="20642" spans="9:9" x14ac:dyDescent="0.25">
      <c r="I20642" s="227" t="str">
        <f>MID(excPisCofins[[#This Row],[CodBarras2]],2,50)</f>
        <v/>
      </c>
    </row>
    <row r="20643" spans="9:9" x14ac:dyDescent="0.25">
      <c r="I20643" s="227" t="str">
        <f>MID(excPisCofins[[#This Row],[CodBarras2]],2,50)</f>
        <v/>
      </c>
    </row>
    <row r="20644" spans="9:9" x14ac:dyDescent="0.25">
      <c r="I20644" s="227" t="str">
        <f>MID(excPisCofins[[#This Row],[CodBarras2]],2,50)</f>
        <v/>
      </c>
    </row>
    <row r="20645" spans="9:9" x14ac:dyDescent="0.25">
      <c r="I20645" s="227" t="str">
        <f>MID(excPisCofins[[#This Row],[CodBarras2]],2,50)</f>
        <v/>
      </c>
    </row>
    <row r="20646" spans="9:9" x14ac:dyDescent="0.25">
      <c r="I20646" s="227" t="str">
        <f>MID(excPisCofins[[#This Row],[CodBarras2]],2,50)</f>
        <v/>
      </c>
    </row>
    <row r="20647" spans="9:9" x14ac:dyDescent="0.25">
      <c r="I20647" s="227" t="str">
        <f>MID(excPisCofins[[#This Row],[CodBarras2]],2,50)</f>
        <v/>
      </c>
    </row>
    <row r="20648" spans="9:9" x14ac:dyDescent="0.25">
      <c r="I20648" s="227" t="str">
        <f>MID(excPisCofins[[#This Row],[CodBarras2]],2,50)</f>
        <v/>
      </c>
    </row>
    <row r="20649" spans="9:9" x14ac:dyDescent="0.25">
      <c r="I20649" s="227" t="str">
        <f>MID(excPisCofins[[#This Row],[CodBarras2]],2,50)</f>
        <v/>
      </c>
    </row>
    <row r="20650" spans="9:9" x14ac:dyDescent="0.25">
      <c r="I20650" s="227" t="str">
        <f>MID(excPisCofins[[#This Row],[CodBarras2]],2,50)</f>
        <v/>
      </c>
    </row>
    <row r="20651" spans="9:9" x14ac:dyDescent="0.25">
      <c r="I20651" s="227" t="str">
        <f>MID(excPisCofins[[#This Row],[CodBarras2]],2,50)</f>
        <v/>
      </c>
    </row>
    <row r="20652" spans="9:9" x14ac:dyDescent="0.25">
      <c r="I20652" s="227" t="str">
        <f>MID(excPisCofins[[#This Row],[CodBarras2]],2,50)</f>
        <v/>
      </c>
    </row>
    <row r="20653" spans="9:9" x14ac:dyDescent="0.25">
      <c r="I20653" s="227" t="str">
        <f>MID(excPisCofins[[#This Row],[CodBarras2]],2,50)</f>
        <v/>
      </c>
    </row>
    <row r="20654" spans="9:9" x14ac:dyDescent="0.25">
      <c r="I20654" s="227" t="str">
        <f>MID(excPisCofins[[#This Row],[CodBarras2]],2,50)</f>
        <v/>
      </c>
    </row>
    <row r="20655" spans="9:9" x14ac:dyDescent="0.25">
      <c r="I20655" s="227" t="str">
        <f>MID(excPisCofins[[#This Row],[CodBarras2]],2,50)</f>
        <v/>
      </c>
    </row>
    <row r="20656" spans="9:9" x14ac:dyDescent="0.25">
      <c r="I20656" s="227" t="str">
        <f>MID(excPisCofins[[#This Row],[CodBarras2]],2,50)</f>
        <v/>
      </c>
    </row>
    <row r="20657" spans="9:9" x14ac:dyDescent="0.25">
      <c r="I20657" s="227" t="str">
        <f>MID(excPisCofins[[#This Row],[CodBarras2]],2,50)</f>
        <v/>
      </c>
    </row>
    <row r="20658" spans="9:9" x14ac:dyDescent="0.25">
      <c r="I20658" s="227" t="str">
        <f>MID(excPisCofins[[#This Row],[CodBarras2]],2,50)</f>
        <v/>
      </c>
    </row>
    <row r="20659" spans="9:9" x14ac:dyDescent="0.25">
      <c r="I20659" s="227" t="str">
        <f>MID(excPisCofins[[#This Row],[CodBarras2]],2,50)</f>
        <v/>
      </c>
    </row>
    <row r="20660" spans="9:9" x14ac:dyDescent="0.25">
      <c r="I20660" s="227" t="str">
        <f>MID(excPisCofins[[#This Row],[CodBarras2]],2,50)</f>
        <v/>
      </c>
    </row>
    <row r="20661" spans="9:9" x14ac:dyDescent="0.25">
      <c r="I20661" s="227" t="str">
        <f>MID(excPisCofins[[#This Row],[CodBarras2]],2,50)</f>
        <v/>
      </c>
    </row>
    <row r="20662" spans="9:9" x14ac:dyDescent="0.25">
      <c r="I20662" s="227" t="str">
        <f>MID(excPisCofins[[#This Row],[CodBarras2]],2,50)</f>
        <v/>
      </c>
    </row>
    <row r="20663" spans="9:9" x14ac:dyDescent="0.25">
      <c r="I20663" s="227" t="str">
        <f>MID(excPisCofins[[#This Row],[CodBarras2]],2,50)</f>
        <v/>
      </c>
    </row>
    <row r="20664" spans="9:9" x14ac:dyDescent="0.25">
      <c r="I20664" s="227" t="str">
        <f>MID(excPisCofins[[#This Row],[CodBarras2]],2,50)</f>
        <v/>
      </c>
    </row>
    <row r="20665" spans="9:9" x14ac:dyDescent="0.25">
      <c r="I20665" s="227" t="str">
        <f>MID(excPisCofins[[#This Row],[CodBarras2]],2,50)</f>
        <v/>
      </c>
    </row>
    <row r="20666" spans="9:9" x14ac:dyDescent="0.25">
      <c r="I20666" s="227" t="str">
        <f>MID(excPisCofins[[#This Row],[CodBarras2]],2,50)</f>
        <v/>
      </c>
    </row>
    <row r="20667" spans="9:9" x14ac:dyDescent="0.25">
      <c r="I20667" s="227" t="str">
        <f>MID(excPisCofins[[#This Row],[CodBarras2]],2,50)</f>
        <v/>
      </c>
    </row>
    <row r="20668" spans="9:9" x14ac:dyDescent="0.25">
      <c r="I20668" s="227" t="str">
        <f>MID(excPisCofins[[#This Row],[CodBarras2]],2,50)</f>
        <v/>
      </c>
    </row>
    <row r="20669" spans="9:9" x14ac:dyDescent="0.25">
      <c r="I20669" s="227" t="str">
        <f>MID(excPisCofins[[#This Row],[CodBarras2]],2,50)</f>
        <v/>
      </c>
    </row>
    <row r="20670" spans="9:9" x14ac:dyDescent="0.25">
      <c r="I20670" s="227" t="str">
        <f>MID(excPisCofins[[#This Row],[CodBarras2]],2,50)</f>
        <v/>
      </c>
    </row>
    <row r="20671" spans="9:9" x14ac:dyDescent="0.25">
      <c r="I20671" s="227" t="str">
        <f>MID(excPisCofins[[#This Row],[CodBarras2]],2,50)</f>
        <v/>
      </c>
    </row>
    <row r="20672" spans="9:9" x14ac:dyDescent="0.25">
      <c r="I20672" s="227" t="str">
        <f>MID(excPisCofins[[#This Row],[CodBarras2]],2,50)</f>
        <v/>
      </c>
    </row>
    <row r="20673" spans="9:9" x14ac:dyDescent="0.25">
      <c r="I20673" s="227" t="str">
        <f>MID(excPisCofins[[#This Row],[CodBarras2]],2,50)</f>
        <v/>
      </c>
    </row>
    <row r="20674" spans="9:9" x14ac:dyDescent="0.25">
      <c r="I20674" s="227" t="str">
        <f>MID(excPisCofins[[#This Row],[CodBarras2]],2,50)</f>
        <v/>
      </c>
    </row>
    <row r="20675" spans="9:9" x14ac:dyDescent="0.25">
      <c r="I20675" s="227" t="str">
        <f>MID(excPisCofins[[#This Row],[CodBarras2]],2,50)</f>
        <v/>
      </c>
    </row>
    <row r="20676" spans="9:9" x14ac:dyDescent="0.25">
      <c r="I20676" s="227" t="str">
        <f>MID(excPisCofins[[#This Row],[CodBarras2]],2,50)</f>
        <v/>
      </c>
    </row>
    <row r="20677" spans="9:9" x14ac:dyDescent="0.25">
      <c r="I20677" s="227" t="str">
        <f>MID(excPisCofins[[#This Row],[CodBarras2]],2,50)</f>
        <v/>
      </c>
    </row>
    <row r="20678" spans="9:9" x14ac:dyDescent="0.25">
      <c r="I20678" s="227" t="str">
        <f>MID(excPisCofins[[#This Row],[CodBarras2]],2,50)</f>
        <v/>
      </c>
    </row>
    <row r="20679" spans="9:9" x14ac:dyDescent="0.25">
      <c r="I20679" s="227" t="str">
        <f>MID(excPisCofins[[#This Row],[CodBarras2]],2,50)</f>
        <v/>
      </c>
    </row>
    <row r="20680" spans="9:9" x14ac:dyDescent="0.25">
      <c r="I20680" s="227" t="str">
        <f>MID(excPisCofins[[#This Row],[CodBarras2]],2,50)</f>
        <v/>
      </c>
    </row>
    <row r="20681" spans="9:9" x14ac:dyDescent="0.25">
      <c r="I20681" s="227" t="str">
        <f>MID(excPisCofins[[#This Row],[CodBarras2]],2,50)</f>
        <v/>
      </c>
    </row>
    <row r="20682" spans="9:9" x14ac:dyDescent="0.25">
      <c r="I20682" s="227" t="str">
        <f>MID(excPisCofins[[#This Row],[CodBarras2]],2,50)</f>
        <v/>
      </c>
    </row>
    <row r="20683" spans="9:9" x14ac:dyDescent="0.25">
      <c r="I20683" s="227" t="str">
        <f>MID(excPisCofins[[#This Row],[CodBarras2]],2,50)</f>
        <v/>
      </c>
    </row>
    <row r="20684" spans="9:9" x14ac:dyDescent="0.25">
      <c r="I20684" s="227" t="str">
        <f>MID(excPisCofins[[#This Row],[CodBarras2]],2,50)</f>
        <v/>
      </c>
    </row>
    <row r="20685" spans="9:9" x14ac:dyDescent="0.25">
      <c r="I20685" s="227" t="str">
        <f>MID(excPisCofins[[#This Row],[CodBarras2]],2,50)</f>
        <v/>
      </c>
    </row>
    <row r="20686" spans="9:9" x14ac:dyDescent="0.25">
      <c r="I20686" s="227" t="str">
        <f>MID(excPisCofins[[#This Row],[CodBarras2]],2,50)</f>
        <v/>
      </c>
    </row>
    <row r="20687" spans="9:9" x14ac:dyDescent="0.25">
      <c r="I20687" s="227" t="str">
        <f>MID(excPisCofins[[#This Row],[CodBarras2]],2,50)</f>
        <v/>
      </c>
    </row>
    <row r="20688" spans="9:9" x14ac:dyDescent="0.25">
      <c r="I20688" s="227" t="str">
        <f>MID(excPisCofins[[#This Row],[CodBarras2]],2,50)</f>
        <v/>
      </c>
    </row>
    <row r="20689" spans="9:9" x14ac:dyDescent="0.25">
      <c r="I20689" s="227" t="str">
        <f>MID(excPisCofins[[#This Row],[CodBarras2]],2,50)</f>
        <v/>
      </c>
    </row>
    <row r="20690" spans="9:9" x14ac:dyDescent="0.25">
      <c r="I20690" s="227" t="str">
        <f>MID(excPisCofins[[#This Row],[CodBarras2]],2,50)</f>
        <v/>
      </c>
    </row>
    <row r="20691" spans="9:9" x14ac:dyDescent="0.25">
      <c r="I20691" s="227" t="str">
        <f>MID(excPisCofins[[#This Row],[CodBarras2]],2,50)</f>
        <v/>
      </c>
    </row>
    <row r="20692" spans="9:9" x14ac:dyDescent="0.25">
      <c r="I20692" s="227" t="str">
        <f>MID(excPisCofins[[#This Row],[CodBarras2]],2,50)</f>
        <v/>
      </c>
    </row>
    <row r="20693" spans="9:9" x14ac:dyDescent="0.25">
      <c r="I20693" s="227" t="str">
        <f>MID(excPisCofins[[#This Row],[CodBarras2]],2,50)</f>
        <v/>
      </c>
    </row>
    <row r="20694" spans="9:9" x14ac:dyDescent="0.25">
      <c r="I20694" s="227" t="str">
        <f>MID(excPisCofins[[#This Row],[CodBarras2]],2,50)</f>
        <v/>
      </c>
    </row>
    <row r="20695" spans="9:9" x14ac:dyDescent="0.25">
      <c r="I20695" s="227" t="str">
        <f>MID(excPisCofins[[#This Row],[CodBarras2]],2,50)</f>
        <v/>
      </c>
    </row>
    <row r="20696" spans="9:9" x14ac:dyDescent="0.25">
      <c r="I20696" s="227" t="str">
        <f>MID(excPisCofins[[#This Row],[CodBarras2]],2,50)</f>
        <v/>
      </c>
    </row>
    <row r="20697" spans="9:9" x14ac:dyDescent="0.25">
      <c r="I20697" s="227" t="str">
        <f>MID(excPisCofins[[#This Row],[CodBarras2]],2,50)</f>
        <v/>
      </c>
    </row>
    <row r="20698" spans="9:9" x14ac:dyDescent="0.25">
      <c r="I20698" s="227" t="str">
        <f>MID(excPisCofins[[#This Row],[CodBarras2]],2,50)</f>
        <v/>
      </c>
    </row>
    <row r="20699" spans="9:9" x14ac:dyDescent="0.25">
      <c r="I20699" s="227" t="str">
        <f>MID(excPisCofins[[#This Row],[CodBarras2]],2,50)</f>
        <v/>
      </c>
    </row>
    <row r="20700" spans="9:9" x14ac:dyDescent="0.25">
      <c r="I20700" s="227" t="str">
        <f>MID(excPisCofins[[#This Row],[CodBarras2]],2,50)</f>
        <v/>
      </c>
    </row>
    <row r="20701" spans="9:9" x14ac:dyDescent="0.25">
      <c r="I20701" s="227" t="str">
        <f>MID(excPisCofins[[#This Row],[CodBarras2]],2,50)</f>
        <v/>
      </c>
    </row>
    <row r="20702" spans="9:9" x14ac:dyDescent="0.25">
      <c r="I20702" s="227" t="str">
        <f>MID(excPisCofins[[#This Row],[CodBarras2]],2,50)</f>
        <v/>
      </c>
    </row>
    <row r="20703" spans="9:9" x14ac:dyDescent="0.25">
      <c r="I20703" s="227" t="str">
        <f>MID(excPisCofins[[#This Row],[CodBarras2]],2,50)</f>
        <v/>
      </c>
    </row>
    <row r="20704" spans="9:9" x14ac:dyDescent="0.25">
      <c r="I20704" s="227" t="str">
        <f>MID(excPisCofins[[#This Row],[CodBarras2]],2,50)</f>
        <v/>
      </c>
    </row>
    <row r="20705" spans="9:9" x14ac:dyDescent="0.25">
      <c r="I20705" s="227" t="str">
        <f>MID(excPisCofins[[#This Row],[CodBarras2]],2,50)</f>
        <v/>
      </c>
    </row>
    <row r="20706" spans="9:9" x14ac:dyDescent="0.25">
      <c r="I20706" s="227" t="str">
        <f>MID(excPisCofins[[#This Row],[CodBarras2]],2,50)</f>
        <v/>
      </c>
    </row>
    <row r="20707" spans="9:9" x14ac:dyDescent="0.25">
      <c r="I20707" s="227" t="str">
        <f>MID(excPisCofins[[#This Row],[CodBarras2]],2,50)</f>
        <v/>
      </c>
    </row>
    <row r="20708" spans="9:9" x14ac:dyDescent="0.25">
      <c r="I20708" s="227" t="str">
        <f>MID(excPisCofins[[#This Row],[CodBarras2]],2,50)</f>
        <v/>
      </c>
    </row>
    <row r="20709" spans="9:9" x14ac:dyDescent="0.25">
      <c r="I20709" s="227" t="str">
        <f>MID(excPisCofins[[#This Row],[CodBarras2]],2,50)</f>
        <v/>
      </c>
    </row>
    <row r="20710" spans="9:9" x14ac:dyDescent="0.25">
      <c r="I20710" s="227" t="str">
        <f>MID(excPisCofins[[#This Row],[CodBarras2]],2,50)</f>
        <v/>
      </c>
    </row>
    <row r="20711" spans="9:9" x14ac:dyDescent="0.25">
      <c r="I20711" s="227" t="str">
        <f>MID(excPisCofins[[#This Row],[CodBarras2]],2,50)</f>
        <v/>
      </c>
    </row>
    <row r="20712" spans="9:9" x14ac:dyDescent="0.25">
      <c r="I20712" s="227" t="str">
        <f>MID(excPisCofins[[#This Row],[CodBarras2]],2,50)</f>
        <v/>
      </c>
    </row>
    <row r="20713" spans="9:9" x14ac:dyDescent="0.25">
      <c r="I20713" s="227" t="str">
        <f>MID(excPisCofins[[#This Row],[CodBarras2]],2,50)</f>
        <v/>
      </c>
    </row>
    <row r="20714" spans="9:9" x14ac:dyDescent="0.25">
      <c r="I20714" s="227" t="str">
        <f>MID(excPisCofins[[#This Row],[CodBarras2]],2,50)</f>
        <v/>
      </c>
    </row>
    <row r="20715" spans="9:9" x14ac:dyDescent="0.25">
      <c r="I20715" s="227" t="str">
        <f>MID(excPisCofins[[#This Row],[CodBarras2]],2,50)</f>
        <v/>
      </c>
    </row>
    <row r="20716" spans="9:9" x14ac:dyDescent="0.25">
      <c r="I20716" s="227" t="str">
        <f>MID(excPisCofins[[#This Row],[CodBarras2]],2,50)</f>
        <v/>
      </c>
    </row>
    <row r="20717" spans="9:9" x14ac:dyDescent="0.25">
      <c r="I20717" s="227" t="str">
        <f>MID(excPisCofins[[#This Row],[CodBarras2]],2,50)</f>
        <v/>
      </c>
    </row>
    <row r="20718" spans="9:9" x14ac:dyDescent="0.25">
      <c r="I20718" s="227" t="str">
        <f>MID(excPisCofins[[#This Row],[CodBarras2]],2,50)</f>
        <v/>
      </c>
    </row>
    <row r="20719" spans="9:9" x14ac:dyDescent="0.25">
      <c r="I20719" s="227" t="str">
        <f>MID(excPisCofins[[#This Row],[CodBarras2]],2,50)</f>
        <v/>
      </c>
    </row>
    <row r="20720" spans="9:9" x14ac:dyDescent="0.25">
      <c r="I20720" s="227" t="str">
        <f>MID(excPisCofins[[#This Row],[CodBarras2]],2,50)</f>
        <v/>
      </c>
    </row>
    <row r="20721" spans="9:9" x14ac:dyDescent="0.25">
      <c r="I20721" s="227" t="str">
        <f>MID(excPisCofins[[#This Row],[CodBarras2]],2,50)</f>
        <v/>
      </c>
    </row>
    <row r="20722" spans="9:9" x14ac:dyDescent="0.25">
      <c r="I20722" s="227" t="str">
        <f>MID(excPisCofins[[#This Row],[CodBarras2]],2,50)</f>
        <v/>
      </c>
    </row>
    <row r="20723" spans="9:9" x14ac:dyDescent="0.25">
      <c r="I20723" s="227" t="str">
        <f>MID(excPisCofins[[#This Row],[CodBarras2]],2,50)</f>
        <v/>
      </c>
    </row>
    <row r="20724" spans="9:9" x14ac:dyDescent="0.25">
      <c r="I20724" s="227" t="str">
        <f>MID(excPisCofins[[#This Row],[CodBarras2]],2,50)</f>
        <v/>
      </c>
    </row>
    <row r="20725" spans="9:9" x14ac:dyDescent="0.25">
      <c r="I20725" s="227" t="str">
        <f>MID(excPisCofins[[#This Row],[CodBarras2]],2,50)</f>
        <v/>
      </c>
    </row>
    <row r="20726" spans="9:9" x14ac:dyDescent="0.25">
      <c r="I20726" s="227" t="str">
        <f>MID(excPisCofins[[#This Row],[CodBarras2]],2,50)</f>
        <v/>
      </c>
    </row>
    <row r="20727" spans="9:9" x14ac:dyDescent="0.25">
      <c r="I20727" s="227" t="str">
        <f>MID(excPisCofins[[#This Row],[CodBarras2]],2,50)</f>
        <v/>
      </c>
    </row>
    <row r="20728" spans="9:9" x14ac:dyDescent="0.25">
      <c r="I20728" s="227" t="str">
        <f>MID(excPisCofins[[#This Row],[CodBarras2]],2,50)</f>
        <v/>
      </c>
    </row>
    <row r="20729" spans="9:9" x14ac:dyDescent="0.25">
      <c r="I20729" s="227" t="str">
        <f>MID(excPisCofins[[#This Row],[CodBarras2]],2,50)</f>
        <v/>
      </c>
    </row>
    <row r="20730" spans="9:9" x14ac:dyDescent="0.25">
      <c r="I20730" s="227" t="str">
        <f>MID(excPisCofins[[#This Row],[CodBarras2]],2,50)</f>
        <v/>
      </c>
    </row>
    <row r="20731" spans="9:9" x14ac:dyDescent="0.25">
      <c r="I20731" s="227" t="str">
        <f>MID(excPisCofins[[#This Row],[CodBarras2]],2,50)</f>
        <v/>
      </c>
    </row>
    <row r="20732" spans="9:9" x14ac:dyDescent="0.25">
      <c r="I20732" s="227" t="str">
        <f>MID(excPisCofins[[#This Row],[CodBarras2]],2,50)</f>
        <v/>
      </c>
    </row>
    <row r="20733" spans="9:9" x14ac:dyDescent="0.25">
      <c r="I20733" s="227" t="str">
        <f>MID(excPisCofins[[#This Row],[CodBarras2]],2,50)</f>
        <v/>
      </c>
    </row>
    <row r="20734" spans="9:9" x14ac:dyDescent="0.25">
      <c r="I20734" s="227" t="str">
        <f>MID(excPisCofins[[#This Row],[CodBarras2]],2,50)</f>
        <v/>
      </c>
    </row>
    <row r="20735" spans="9:9" x14ac:dyDescent="0.25">
      <c r="I20735" s="227" t="str">
        <f>MID(excPisCofins[[#This Row],[CodBarras2]],2,50)</f>
        <v/>
      </c>
    </row>
    <row r="20736" spans="9:9" x14ac:dyDescent="0.25">
      <c r="I20736" s="227" t="str">
        <f>MID(excPisCofins[[#This Row],[CodBarras2]],2,50)</f>
        <v/>
      </c>
    </row>
    <row r="20737" spans="9:9" x14ac:dyDescent="0.25">
      <c r="I20737" s="227" t="str">
        <f>MID(excPisCofins[[#This Row],[CodBarras2]],2,50)</f>
        <v/>
      </c>
    </row>
    <row r="20738" spans="9:9" x14ac:dyDescent="0.25">
      <c r="I20738" s="227" t="str">
        <f>MID(excPisCofins[[#This Row],[CodBarras2]],2,50)</f>
        <v/>
      </c>
    </row>
    <row r="20739" spans="9:9" x14ac:dyDescent="0.25">
      <c r="I20739" s="227" t="str">
        <f>MID(excPisCofins[[#This Row],[CodBarras2]],2,50)</f>
        <v/>
      </c>
    </row>
    <row r="20740" spans="9:9" x14ac:dyDescent="0.25">
      <c r="I20740" s="227" t="str">
        <f>MID(excPisCofins[[#This Row],[CodBarras2]],2,50)</f>
        <v/>
      </c>
    </row>
    <row r="20741" spans="9:9" x14ac:dyDescent="0.25">
      <c r="I20741" s="227" t="str">
        <f>MID(excPisCofins[[#This Row],[CodBarras2]],2,50)</f>
        <v/>
      </c>
    </row>
    <row r="20742" spans="9:9" x14ac:dyDescent="0.25">
      <c r="I20742" s="227" t="str">
        <f>MID(excPisCofins[[#This Row],[CodBarras2]],2,50)</f>
        <v/>
      </c>
    </row>
    <row r="20743" spans="9:9" x14ac:dyDescent="0.25">
      <c r="I20743" s="227" t="str">
        <f>MID(excPisCofins[[#This Row],[CodBarras2]],2,50)</f>
        <v/>
      </c>
    </row>
    <row r="20744" spans="9:9" x14ac:dyDescent="0.25">
      <c r="I20744" s="227" t="str">
        <f>MID(excPisCofins[[#This Row],[CodBarras2]],2,50)</f>
        <v/>
      </c>
    </row>
    <row r="20745" spans="9:9" x14ac:dyDescent="0.25">
      <c r="I20745" s="227" t="str">
        <f>MID(excPisCofins[[#This Row],[CodBarras2]],2,50)</f>
        <v/>
      </c>
    </row>
    <row r="20746" spans="9:9" x14ac:dyDescent="0.25">
      <c r="I20746" s="227" t="str">
        <f>MID(excPisCofins[[#This Row],[CodBarras2]],2,50)</f>
        <v/>
      </c>
    </row>
    <row r="20747" spans="9:9" x14ac:dyDescent="0.25">
      <c r="I20747" s="227" t="str">
        <f>MID(excPisCofins[[#This Row],[CodBarras2]],2,50)</f>
        <v/>
      </c>
    </row>
    <row r="20748" spans="9:9" x14ac:dyDescent="0.25">
      <c r="I20748" s="227" t="str">
        <f>MID(excPisCofins[[#This Row],[CodBarras2]],2,50)</f>
        <v/>
      </c>
    </row>
    <row r="20749" spans="9:9" x14ac:dyDescent="0.25">
      <c r="I20749" s="227" t="str">
        <f>MID(excPisCofins[[#This Row],[CodBarras2]],2,50)</f>
        <v/>
      </c>
    </row>
    <row r="20750" spans="9:9" x14ac:dyDescent="0.25">
      <c r="I20750" s="227" t="str">
        <f>MID(excPisCofins[[#This Row],[CodBarras2]],2,50)</f>
        <v/>
      </c>
    </row>
    <row r="20751" spans="9:9" x14ac:dyDescent="0.25">
      <c r="I20751" s="227" t="str">
        <f>MID(excPisCofins[[#This Row],[CodBarras2]],2,50)</f>
        <v/>
      </c>
    </row>
    <row r="20752" spans="9:9" x14ac:dyDescent="0.25">
      <c r="I20752" s="227" t="str">
        <f>MID(excPisCofins[[#This Row],[CodBarras2]],2,50)</f>
        <v/>
      </c>
    </row>
    <row r="20753" spans="9:9" x14ac:dyDescent="0.25">
      <c r="I20753" s="227" t="str">
        <f>MID(excPisCofins[[#This Row],[CodBarras2]],2,50)</f>
        <v/>
      </c>
    </row>
    <row r="20754" spans="9:9" x14ac:dyDescent="0.25">
      <c r="I20754" s="227" t="str">
        <f>MID(excPisCofins[[#This Row],[CodBarras2]],2,50)</f>
        <v/>
      </c>
    </row>
    <row r="20755" spans="9:9" x14ac:dyDescent="0.25">
      <c r="I20755" s="227" t="str">
        <f>MID(excPisCofins[[#This Row],[CodBarras2]],2,50)</f>
        <v/>
      </c>
    </row>
    <row r="20756" spans="9:9" x14ac:dyDescent="0.25">
      <c r="I20756" s="227" t="str">
        <f>MID(excPisCofins[[#This Row],[CodBarras2]],2,50)</f>
        <v/>
      </c>
    </row>
    <row r="20757" spans="9:9" x14ac:dyDescent="0.25">
      <c r="I20757" s="227" t="str">
        <f>MID(excPisCofins[[#This Row],[CodBarras2]],2,50)</f>
        <v/>
      </c>
    </row>
    <row r="20758" spans="9:9" x14ac:dyDescent="0.25">
      <c r="I20758" s="227" t="str">
        <f>MID(excPisCofins[[#This Row],[CodBarras2]],2,50)</f>
        <v/>
      </c>
    </row>
    <row r="20759" spans="9:9" x14ac:dyDescent="0.25">
      <c r="I20759" s="227" t="str">
        <f>MID(excPisCofins[[#This Row],[CodBarras2]],2,50)</f>
        <v/>
      </c>
    </row>
    <row r="20760" spans="9:9" x14ac:dyDescent="0.25">
      <c r="I20760" s="227" t="str">
        <f>MID(excPisCofins[[#This Row],[CodBarras2]],2,50)</f>
        <v/>
      </c>
    </row>
    <row r="20761" spans="9:9" x14ac:dyDescent="0.25">
      <c r="I20761" s="227" t="str">
        <f>MID(excPisCofins[[#This Row],[CodBarras2]],2,50)</f>
        <v/>
      </c>
    </row>
    <row r="20762" spans="9:9" x14ac:dyDescent="0.25">
      <c r="I20762" s="227" t="str">
        <f>MID(excPisCofins[[#This Row],[CodBarras2]],2,50)</f>
        <v/>
      </c>
    </row>
    <row r="20763" spans="9:9" x14ac:dyDescent="0.25">
      <c r="I20763" s="227" t="str">
        <f>MID(excPisCofins[[#This Row],[CodBarras2]],2,50)</f>
        <v/>
      </c>
    </row>
    <row r="20764" spans="9:9" x14ac:dyDescent="0.25">
      <c r="I20764" s="227" t="str">
        <f>MID(excPisCofins[[#This Row],[CodBarras2]],2,50)</f>
        <v/>
      </c>
    </row>
    <row r="20765" spans="9:9" x14ac:dyDescent="0.25">
      <c r="I20765" s="227" t="str">
        <f>MID(excPisCofins[[#This Row],[CodBarras2]],2,50)</f>
        <v/>
      </c>
    </row>
    <row r="20766" spans="9:9" x14ac:dyDescent="0.25">
      <c r="I20766" s="227" t="str">
        <f>MID(excPisCofins[[#This Row],[CodBarras2]],2,50)</f>
        <v/>
      </c>
    </row>
    <row r="20767" spans="9:9" x14ac:dyDescent="0.25">
      <c r="I20767" s="227" t="str">
        <f>MID(excPisCofins[[#This Row],[CodBarras2]],2,50)</f>
        <v/>
      </c>
    </row>
    <row r="20768" spans="9:9" x14ac:dyDescent="0.25">
      <c r="I20768" s="227" t="str">
        <f>MID(excPisCofins[[#This Row],[CodBarras2]],2,50)</f>
        <v/>
      </c>
    </row>
    <row r="20769" spans="9:9" x14ac:dyDescent="0.25">
      <c r="I20769" s="227" t="str">
        <f>MID(excPisCofins[[#This Row],[CodBarras2]],2,50)</f>
        <v/>
      </c>
    </row>
    <row r="20770" spans="9:9" x14ac:dyDescent="0.25">
      <c r="I20770" s="227" t="str">
        <f>MID(excPisCofins[[#This Row],[CodBarras2]],2,50)</f>
        <v/>
      </c>
    </row>
    <row r="20771" spans="9:9" x14ac:dyDescent="0.25">
      <c r="I20771" s="227" t="str">
        <f>MID(excPisCofins[[#This Row],[CodBarras2]],2,50)</f>
        <v/>
      </c>
    </row>
    <row r="20772" spans="9:9" x14ac:dyDescent="0.25">
      <c r="I20772" s="227" t="str">
        <f>MID(excPisCofins[[#This Row],[CodBarras2]],2,50)</f>
        <v/>
      </c>
    </row>
    <row r="20773" spans="9:9" x14ac:dyDescent="0.25">
      <c r="I20773" s="227" t="str">
        <f>MID(excPisCofins[[#This Row],[CodBarras2]],2,50)</f>
        <v/>
      </c>
    </row>
    <row r="20774" spans="9:9" x14ac:dyDescent="0.25">
      <c r="I20774" s="227" t="str">
        <f>MID(excPisCofins[[#This Row],[CodBarras2]],2,50)</f>
        <v/>
      </c>
    </row>
    <row r="20775" spans="9:9" x14ac:dyDescent="0.25">
      <c r="I20775" s="227" t="str">
        <f>MID(excPisCofins[[#This Row],[CodBarras2]],2,50)</f>
        <v/>
      </c>
    </row>
    <row r="20776" spans="9:9" x14ac:dyDescent="0.25">
      <c r="I20776" s="227" t="str">
        <f>MID(excPisCofins[[#This Row],[CodBarras2]],2,50)</f>
        <v/>
      </c>
    </row>
    <row r="20777" spans="9:9" x14ac:dyDescent="0.25">
      <c r="I20777" s="227" t="str">
        <f>MID(excPisCofins[[#This Row],[CodBarras2]],2,50)</f>
        <v/>
      </c>
    </row>
    <row r="20778" spans="9:9" x14ac:dyDescent="0.25">
      <c r="I20778" s="227" t="str">
        <f>MID(excPisCofins[[#This Row],[CodBarras2]],2,50)</f>
        <v/>
      </c>
    </row>
    <row r="20779" spans="9:9" x14ac:dyDescent="0.25">
      <c r="I20779" s="227" t="str">
        <f>MID(excPisCofins[[#This Row],[CodBarras2]],2,50)</f>
        <v/>
      </c>
    </row>
    <row r="20780" spans="9:9" x14ac:dyDescent="0.25">
      <c r="I20780" s="227" t="str">
        <f>MID(excPisCofins[[#This Row],[CodBarras2]],2,50)</f>
        <v/>
      </c>
    </row>
    <row r="20781" spans="9:9" x14ac:dyDescent="0.25">
      <c r="I20781" s="227" t="str">
        <f>MID(excPisCofins[[#This Row],[CodBarras2]],2,50)</f>
        <v/>
      </c>
    </row>
    <row r="20782" spans="9:9" x14ac:dyDescent="0.25">
      <c r="I20782" s="227" t="str">
        <f>MID(excPisCofins[[#This Row],[CodBarras2]],2,50)</f>
        <v/>
      </c>
    </row>
    <row r="20783" spans="9:9" x14ac:dyDescent="0.25">
      <c r="I20783" s="227" t="str">
        <f>MID(excPisCofins[[#This Row],[CodBarras2]],2,50)</f>
        <v/>
      </c>
    </row>
    <row r="20784" spans="9:9" x14ac:dyDescent="0.25">
      <c r="I20784" s="227" t="str">
        <f>MID(excPisCofins[[#This Row],[CodBarras2]],2,50)</f>
        <v/>
      </c>
    </row>
    <row r="20785" spans="9:9" x14ac:dyDescent="0.25">
      <c r="I20785" s="227" t="str">
        <f>MID(excPisCofins[[#This Row],[CodBarras2]],2,50)</f>
        <v/>
      </c>
    </row>
    <row r="20786" spans="9:9" x14ac:dyDescent="0.25">
      <c r="I20786" s="227" t="str">
        <f>MID(excPisCofins[[#This Row],[CodBarras2]],2,50)</f>
        <v/>
      </c>
    </row>
    <row r="20787" spans="9:9" x14ac:dyDescent="0.25">
      <c r="I20787" s="227" t="str">
        <f>MID(excPisCofins[[#This Row],[CodBarras2]],2,50)</f>
        <v/>
      </c>
    </row>
    <row r="20788" spans="9:9" x14ac:dyDescent="0.25">
      <c r="I20788" s="227" t="str">
        <f>MID(excPisCofins[[#This Row],[CodBarras2]],2,50)</f>
        <v/>
      </c>
    </row>
    <row r="20789" spans="9:9" x14ac:dyDescent="0.25">
      <c r="I20789" s="227" t="str">
        <f>MID(excPisCofins[[#This Row],[CodBarras2]],2,50)</f>
        <v/>
      </c>
    </row>
    <row r="20790" spans="9:9" x14ac:dyDescent="0.25">
      <c r="I20790" s="227" t="str">
        <f>MID(excPisCofins[[#This Row],[CodBarras2]],2,50)</f>
        <v/>
      </c>
    </row>
    <row r="20791" spans="9:9" x14ac:dyDescent="0.25">
      <c r="I20791" s="227" t="str">
        <f>MID(excPisCofins[[#This Row],[CodBarras2]],2,50)</f>
        <v/>
      </c>
    </row>
    <row r="20792" spans="9:9" x14ac:dyDescent="0.25">
      <c r="I20792" s="227" t="str">
        <f>MID(excPisCofins[[#This Row],[CodBarras2]],2,50)</f>
        <v/>
      </c>
    </row>
    <row r="20793" spans="9:9" x14ac:dyDescent="0.25">
      <c r="I20793" s="227" t="str">
        <f>MID(excPisCofins[[#This Row],[CodBarras2]],2,50)</f>
        <v/>
      </c>
    </row>
    <row r="20794" spans="9:9" x14ac:dyDescent="0.25">
      <c r="I20794" s="227" t="str">
        <f>MID(excPisCofins[[#This Row],[CodBarras2]],2,50)</f>
        <v/>
      </c>
    </row>
    <row r="20795" spans="9:9" x14ac:dyDescent="0.25">
      <c r="I20795" s="227" t="str">
        <f>MID(excPisCofins[[#This Row],[CodBarras2]],2,50)</f>
        <v/>
      </c>
    </row>
    <row r="20796" spans="9:9" x14ac:dyDescent="0.25">
      <c r="I20796" s="227" t="str">
        <f>MID(excPisCofins[[#This Row],[CodBarras2]],2,50)</f>
        <v/>
      </c>
    </row>
    <row r="20797" spans="9:9" x14ac:dyDescent="0.25">
      <c r="I20797" s="227" t="str">
        <f>MID(excPisCofins[[#This Row],[CodBarras2]],2,50)</f>
        <v/>
      </c>
    </row>
    <row r="20798" spans="9:9" x14ac:dyDescent="0.25">
      <c r="I20798" s="227" t="str">
        <f>MID(excPisCofins[[#This Row],[CodBarras2]],2,50)</f>
        <v/>
      </c>
    </row>
    <row r="20799" spans="9:9" x14ac:dyDescent="0.25">
      <c r="I20799" s="227" t="str">
        <f>MID(excPisCofins[[#This Row],[CodBarras2]],2,50)</f>
        <v/>
      </c>
    </row>
    <row r="20800" spans="9:9" x14ac:dyDescent="0.25">
      <c r="I20800" s="227" t="str">
        <f>MID(excPisCofins[[#This Row],[CodBarras2]],2,50)</f>
        <v/>
      </c>
    </row>
    <row r="20801" spans="9:9" x14ac:dyDescent="0.25">
      <c r="I20801" s="227" t="str">
        <f>MID(excPisCofins[[#This Row],[CodBarras2]],2,50)</f>
        <v/>
      </c>
    </row>
    <row r="20802" spans="9:9" x14ac:dyDescent="0.25">
      <c r="I20802" s="227" t="str">
        <f>MID(excPisCofins[[#This Row],[CodBarras2]],2,50)</f>
        <v/>
      </c>
    </row>
    <row r="20803" spans="9:9" x14ac:dyDescent="0.25">
      <c r="I20803" s="227" t="str">
        <f>MID(excPisCofins[[#This Row],[CodBarras2]],2,50)</f>
        <v/>
      </c>
    </row>
    <row r="20804" spans="9:9" x14ac:dyDescent="0.25">
      <c r="I20804" s="227" t="str">
        <f>MID(excPisCofins[[#This Row],[CodBarras2]],2,50)</f>
        <v/>
      </c>
    </row>
    <row r="20805" spans="9:9" x14ac:dyDescent="0.25">
      <c r="I20805" s="227" t="str">
        <f>MID(excPisCofins[[#This Row],[CodBarras2]],2,50)</f>
        <v/>
      </c>
    </row>
    <row r="20806" spans="9:9" x14ac:dyDescent="0.25">
      <c r="I20806" s="227" t="str">
        <f>MID(excPisCofins[[#This Row],[CodBarras2]],2,50)</f>
        <v/>
      </c>
    </row>
    <row r="20807" spans="9:9" x14ac:dyDescent="0.25">
      <c r="I20807" s="227" t="str">
        <f>MID(excPisCofins[[#This Row],[CodBarras2]],2,50)</f>
        <v/>
      </c>
    </row>
    <row r="20808" spans="9:9" x14ac:dyDescent="0.25">
      <c r="I20808" s="227" t="str">
        <f>MID(excPisCofins[[#This Row],[CodBarras2]],2,50)</f>
        <v/>
      </c>
    </row>
    <row r="20809" spans="9:9" x14ac:dyDescent="0.25">
      <c r="I20809" s="227" t="str">
        <f>MID(excPisCofins[[#This Row],[CodBarras2]],2,50)</f>
        <v/>
      </c>
    </row>
    <row r="20810" spans="9:9" x14ac:dyDescent="0.25">
      <c r="I20810" s="227" t="str">
        <f>MID(excPisCofins[[#This Row],[CodBarras2]],2,50)</f>
        <v/>
      </c>
    </row>
    <row r="20811" spans="9:9" x14ac:dyDescent="0.25">
      <c r="I20811" s="227" t="str">
        <f>MID(excPisCofins[[#This Row],[CodBarras2]],2,50)</f>
        <v/>
      </c>
    </row>
    <row r="20812" spans="9:9" x14ac:dyDescent="0.25">
      <c r="I20812" s="227" t="str">
        <f>MID(excPisCofins[[#This Row],[CodBarras2]],2,50)</f>
        <v/>
      </c>
    </row>
    <row r="20813" spans="9:9" x14ac:dyDescent="0.25">
      <c r="I20813" s="227" t="str">
        <f>MID(excPisCofins[[#This Row],[CodBarras2]],2,50)</f>
        <v/>
      </c>
    </row>
    <row r="20814" spans="9:9" x14ac:dyDescent="0.25">
      <c r="I20814" s="227" t="str">
        <f>MID(excPisCofins[[#This Row],[CodBarras2]],2,50)</f>
        <v/>
      </c>
    </row>
    <row r="20815" spans="9:9" x14ac:dyDescent="0.25">
      <c r="I20815" s="227" t="str">
        <f>MID(excPisCofins[[#This Row],[CodBarras2]],2,50)</f>
        <v/>
      </c>
    </row>
    <row r="20816" spans="9:9" x14ac:dyDescent="0.25">
      <c r="I20816" s="227" t="str">
        <f>MID(excPisCofins[[#This Row],[CodBarras2]],2,50)</f>
        <v/>
      </c>
    </row>
    <row r="20817" spans="9:9" x14ac:dyDescent="0.25">
      <c r="I20817" s="227" t="str">
        <f>MID(excPisCofins[[#This Row],[CodBarras2]],2,50)</f>
        <v/>
      </c>
    </row>
    <row r="20818" spans="9:9" x14ac:dyDescent="0.25">
      <c r="I20818" s="227" t="str">
        <f>MID(excPisCofins[[#This Row],[CodBarras2]],2,50)</f>
        <v/>
      </c>
    </row>
    <row r="20819" spans="9:9" x14ac:dyDescent="0.25">
      <c r="I20819" s="227" t="str">
        <f>MID(excPisCofins[[#This Row],[CodBarras2]],2,50)</f>
        <v/>
      </c>
    </row>
    <row r="20820" spans="9:9" x14ac:dyDescent="0.25">
      <c r="I20820" s="227" t="str">
        <f>MID(excPisCofins[[#This Row],[CodBarras2]],2,50)</f>
        <v/>
      </c>
    </row>
    <row r="20821" spans="9:9" x14ac:dyDescent="0.25">
      <c r="I20821" s="227" t="str">
        <f>MID(excPisCofins[[#This Row],[CodBarras2]],2,50)</f>
        <v/>
      </c>
    </row>
    <row r="20822" spans="9:9" x14ac:dyDescent="0.25">
      <c r="I20822" s="227" t="str">
        <f>MID(excPisCofins[[#This Row],[CodBarras2]],2,50)</f>
        <v/>
      </c>
    </row>
    <row r="20823" spans="9:9" x14ac:dyDescent="0.25">
      <c r="I20823" s="227" t="str">
        <f>MID(excPisCofins[[#This Row],[CodBarras2]],2,50)</f>
        <v/>
      </c>
    </row>
    <row r="20824" spans="9:9" x14ac:dyDescent="0.25">
      <c r="I20824" s="227" t="str">
        <f>MID(excPisCofins[[#This Row],[CodBarras2]],2,50)</f>
        <v/>
      </c>
    </row>
    <row r="20825" spans="9:9" x14ac:dyDescent="0.25">
      <c r="I20825" s="227" t="str">
        <f>MID(excPisCofins[[#This Row],[CodBarras2]],2,50)</f>
        <v/>
      </c>
    </row>
    <row r="20826" spans="9:9" x14ac:dyDescent="0.25">
      <c r="I20826" s="227" t="str">
        <f>MID(excPisCofins[[#This Row],[CodBarras2]],2,50)</f>
        <v/>
      </c>
    </row>
    <row r="20827" spans="9:9" x14ac:dyDescent="0.25">
      <c r="I20827" s="227" t="str">
        <f>MID(excPisCofins[[#This Row],[CodBarras2]],2,50)</f>
        <v/>
      </c>
    </row>
    <row r="20828" spans="9:9" x14ac:dyDescent="0.25">
      <c r="I20828" s="227" t="str">
        <f>MID(excPisCofins[[#This Row],[CodBarras2]],2,50)</f>
        <v/>
      </c>
    </row>
    <row r="20829" spans="9:9" x14ac:dyDescent="0.25">
      <c r="I20829" s="227" t="str">
        <f>MID(excPisCofins[[#This Row],[CodBarras2]],2,50)</f>
        <v/>
      </c>
    </row>
    <row r="20830" spans="9:9" x14ac:dyDescent="0.25">
      <c r="I20830" s="227" t="str">
        <f>MID(excPisCofins[[#This Row],[CodBarras2]],2,50)</f>
        <v/>
      </c>
    </row>
    <row r="20831" spans="9:9" x14ac:dyDescent="0.25">
      <c r="I20831" s="227" t="str">
        <f>MID(excPisCofins[[#This Row],[CodBarras2]],2,50)</f>
        <v/>
      </c>
    </row>
    <row r="20832" spans="9:9" x14ac:dyDescent="0.25">
      <c r="I20832" s="227" t="str">
        <f>MID(excPisCofins[[#This Row],[CodBarras2]],2,50)</f>
        <v/>
      </c>
    </row>
    <row r="20833" spans="9:9" x14ac:dyDescent="0.25">
      <c r="I20833" s="227" t="str">
        <f>MID(excPisCofins[[#This Row],[CodBarras2]],2,50)</f>
        <v/>
      </c>
    </row>
    <row r="20834" spans="9:9" x14ac:dyDescent="0.25">
      <c r="I20834" s="227" t="str">
        <f>MID(excPisCofins[[#This Row],[CodBarras2]],2,50)</f>
        <v/>
      </c>
    </row>
    <row r="20835" spans="9:9" x14ac:dyDescent="0.25">
      <c r="I20835" s="227" t="str">
        <f>MID(excPisCofins[[#This Row],[CodBarras2]],2,50)</f>
        <v/>
      </c>
    </row>
    <row r="20836" spans="9:9" x14ac:dyDescent="0.25">
      <c r="I20836" s="227" t="str">
        <f>MID(excPisCofins[[#This Row],[CodBarras2]],2,50)</f>
        <v/>
      </c>
    </row>
    <row r="20837" spans="9:9" x14ac:dyDescent="0.25">
      <c r="I20837" s="227" t="str">
        <f>MID(excPisCofins[[#This Row],[CodBarras2]],2,50)</f>
        <v/>
      </c>
    </row>
    <row r="20838" spans="9:9" x14ac:dyDescent="0.25">
      <c r="I20838" s="227" t="str">
        <f>MID(excPisCofins[[#This Row],[CodBarras2]],2,50)</f>
        <v/>
      </c>
    </row>
    <row r="20839" spans="9:9" x14ac:dyDescent="0.25">
      <c r="I20839" s="227" t="str">
        <f>MID(excPisCofins[[#This Row],[CodBarras2]],2,50)</f>
        <v/>
      </c>
    </row>
    <row r="20840" spans="9:9" x14ac:dyDescent="0.25">
      <c r="I20840" s="227" t="str">
        <f>MID(excPisCofins[[#This Row],[CodBarras2]],2,50)</f>
        <v/>
      </c>
    </row>
    <row r="20841" spans="9:9" x14ac:dyDescent="0.25">
      <c r="I20841" s="227" t="str">
        <f>MID(excPisCofins[[#This Row],[CodBarras2]],2,50)</f>
        <v/>
      </c>
    </row>
    <row r="20842" spans="9:9" x14ac:dyDescent="0.25">
      <c r="I20842" s="227" t="str">
        <f>MID(excPisCofins[[#This Row],[CodBarras2]],2,50)</f>
        <v/>
      </c>
    </row>
    <row r="20843" spans="9:9" x14ac:dyDescent="0.25">
      <c r="I20843" s="227" t="str">
        <f>MID(excPisCofins[[#This Row],[CodBarras2]],2,50)</f>
        <v/>
      </c>
    </row>
    <row r="20844" spans="9:9" x14ac:dyDescent="0.25">
      <c r="I20844" s="227" t="str">
        <f>MID(excPisCofins[[#This Row],[CodBarras2]],2,50)</f>
        <v/>
      </c>
    </row>
    <row r="20845" spans="9:9" x14ac:dyDescent="0.25">
      <c r="I20845" s="227" t="str">
        <f>MID(excPisCofins[[#This Row],[CodBarras2]],2,50)</f>
        <v/>
      </c>
    </row>
    <row r="20846" spans="9:9" x14ac:dyDescent="0.25">
      <c r="I20846" s="227" t="str">
        <f>MID(excPisCofins[[#This Row],[CodBarras2]],2,50)</f>
        <v/>
      </c>
    </row>
    <row r="20847" spans="9:9" x14ac:dyDescent="0.25">
      <c r="I20847" s="227" t="str">
        <f>MID(excPisCofins[[#This Row],[CodBarras2]],2,50)</f>
        <v/>
      </c>
    </row>
    <row r="20848" spans="9:9" x14ac:dyDescent="0.25">
      <c r="I20848" s="227" t="str">
        <f>MID(excPisCofins[[#This Row],[CodBarras2]],2,50)</f>
        <v/>
      </c>
    </row>
    <row r="20849" spans="9:9" x14ac:dyDescent="0.25">
      <c r="I20849" s="227" t="str">
        <f>MID(excPisCofins[[#This Row],[CodBarras2]],2,50)</f>
        <v/>
      </c>
    </row>
    <row r="20850" spans="9:9" x14ac:dyDescent="0.25">
      <c r="I20850" s="227" t="str">
        <f>MID(excPisCofins[[#This Row],[CodBarras2]],2,50)</f>
        <v/>
      </c>
    </row>
    <row r="20851" spans="9:9" x14ac:dyDescent="0.25">
      <c r="I20851" s="227" t="str">
        <f>MID(excPisCofins[[#This Row],[CodBarras2]],2,50)</f>
        <v/>
      </c>
    </row>
    <row r="20852" spans="9:9" x14ac:dyDescent="0.25">
      <c r="I20852" s="227" t="str">
        <f>MID(excPisCofins[[#This Row],[CodBarras2]],2,50)</f>
        <v/>
      </c>
    </row>
    <row r="20853" spans="9:9" x14ac:dyDescent="0.25">
      <c r="I20853" s="227" t="str">
        <f>MID(excPisCofins[[#This Row],[CodBarras2]],2,50)</f>
        <v/>
      </c>
    </row>
    <row r="20854" spans="9:9" x14ac:dyDescent="0.25">
      <c r="I20854" s="227" t="str">
        <f>MID(excPisCofins[[#This Row],[CodBarras2]],2,50)</f>
        <v/>
      </c>
    </row>
    <row r="20855" spans="9:9" x14ac:dyDescent="0.25">
      <c r="I20855" s="227" t="str">
        <f>MID(excPisCofins[[#This Row],[CodBarras2]],2,50)</f>
        <v/>
      </c>
    </row>
    <row r="20856" spans="9:9" x14ac:dyDescent="0.25">
      <c r="I20856" s="227" t="str">
        <f>MID(excPisCofins[[#This Row],[CodBarras2]],2,50)</f>
        <v/>
      </c>
    </row>
    <row r="20857" spans="9:9" x14ac:dyDescent="0.25">
      <c r="I20857" s="227" t="str">
        <f>MID(excPisCofins[[#This Row],[CodBarras2]],2,50)</f>
        <v/>
      </c>
    </row>
    <row r="20858" spans="9:9" x14ac:dyDescent="0.25">
      <c r="I20858" s="227" t="str">
        <f>MID(excPisCofins[[#This Row],[CodBarras2]],2,50)</f>
        <v/>
      </c>
    </row>
    <row r="20859" spans="9:9" x14ac:dyDescent="0.25">
      <c r="I20859" s="227" t="str">
        <f>MID(excPisCofins[[#This Row],[CodBarras2]],2,50)</f>
        <v/>
      </c>
    </row>
    <row r="20860" spans="9:9" x14ac:dyDescent="0.25">
      <c r="I20860" s="227" t="str">
        <f>MID(excPisCofins[[#This Row],[CodBarras2]],2,50)</f>
        <v/>
      </c>
    </row>
    <row r="20861" spans="9:9" x14ac:dyDescent="0.25">
      <c r="I20861" s="227" t="str">
        <f>MID(excPisCofins[[#This Row],[CodBarras2]],2,50)</f>
        <v/>
      </c>
    </row>
    <row r="20862" spans="9:9" x14ac:dyDescent="0.25">
      <c r="I20862" s="227" t="str">
        <f>MID(excPisCofins[[#This Row],[CodBarras2]],2,50)</f>
        <v/>
      </c>
    </row>
    <row r="20863" spans="9:9" x14ac:dyDescent="0.25">
      <c r="I20863" s="227" t="str">
        <f>MID(excPisCofins[[#This Row],[CodBarras2]],2,50)</f>
        <v/>
      </c>
    </row>
    <row r="20864" spans="9:9" x14ac:dyDescent="0.25">
      <c r="I20864" s="227" t="str">
        <f>MID(excPisCofins[[#This Row],[CodBarras2]],2,50)</f>
        <v/>
      </c>
    </row>
    <row r="20865" spans="9:9" x14ac:dyDescent="0.25">
      <c r="I20865" s="227" t="str">
        <f>MID(excPisCofins[[#This Row],[CodBarras2]],2,50)</f>
        <v/>
      </c>
    </row>
    <row r="20866" spans="9:9" x14ac:dyDescent="0.25">
      <c r="I20866" s="227" t="str">
        <f>MID(excPisCofins[[#This Row],[CodBarras2]],2,50)</f>
        <v/>
      </c>
    </row>
    <row r="20867" spans="9:9" x14ac:dyDescent="0.25">
      <c r="I20867" s="227" t="str">
        <f>MID(excPisCofins[[#This Row],[CodBarras2]],2,50)</f>
        <v/>
      </c>
    </row>
    <row r="20868" spans="9:9" x14ac:dyDescent="0.25">
      <c r="I20868" s="227" t="str">
        <f>MID(excPisCofins[[#This Row],[CodBarras2]],2,50)</f>
        <v/>
      </c>
    </row>
    <row r="20869" spans="9:9" x14ac:dyDescent="0.25">
      <c r="I20869" s="227" t="str">
        <f>MID(excPisCofins[[#This Row],[CodBarras2]],2,50)</f>
        <v/>
      </c>
    </row>
    <row r="20870" spans="9:9" x14ac:dyDescent="0.25">
      <c r="I20870" s="227" t="str">
        <f>MID(excPisCofins[[#This Row],[CodBarras2]],2,50)</f>
        <v/>
      </c>
    </row>
    <row r="20871" spans="9:9" x14ac:dyDescent="0.25">
      <c r="I20871" s="227" t="str">
        <f>MID(excPisCofins[[#This Row],[CodBarras2]],2,50)</f>
        <v/>
      </c>
    </row>
    <row r="20872" spans="9:9" x14ac:dyDescent="0.25">
      <c r="I20872" s="227" t="str">
        <f>MID(excPisCofins[[#This Row],[CodBarras2]],2,50)</f>
        <v/>
      </c>
    </row>
    <row r="20873" spans="9:9" x14ac:dyDescent="0.25">
      <c r="I20873" s="227" t="str">
        <f>MID(excPisCofins[[#This Row],[CodBarras2]],2,50)</f>
        <v/>
      </c>
    </row>
    <row r="20874" spans="9:9" x14ac:dyDescent="0.25">
      <c r="I20874" s="227" t="str">
        <f>MID(excPisCofins[[#This Row],[CodBarras2]],2,50)</f>
        <v/>
      </c>
    </row>
    <row r="20875" spans="9:9" x14ac:dyDescent="0.25">
      <c r="I20875" s="227" t="str">
        <f>MID(excPisCofins[[#This Row],[CodBarras2]],2,50)</f>
        <v/>
      </c>
    </row>
    <row r="20876" spans="9:9" x14ac:dyDescent="0.25">
      <c r="I20876" s="227" t="str">
        <f>MID(excPisCofins[[#This Row],[CodBarras2]],2,50)</f>
        <v/>
      </c>
    </row>
    <row r="20877" spans="9:9" x14ac:dyDescent="0.25">
      <c r="I20877" s="227" t="str">
        <f>MID(excPisCofins[[#This Row],[CodBarras2]],2,50)</f>
        <v/>
      </c>
    </row>
    <row r="20878" spans="9:9" x14ac:dyDescent="0.25">
      <c r="I20878" s="227" t="str">
        <f>MID(excPisCofins[[#This Row],[CodBarras2]],2,50)</f>
        <v/>
      </c>
    </row>
    <row r="20879" spans="9:9" x14ac:dyDescent="0.25">
      <c r="I20879" s="227" t="str">
        <f>MID(excPisCofins[[#This Row],[CodBarras2]],2,50)</f>
        <v/>
      </c>
    </row>
    <row r="20880" spans="9:9" x14ac:dyDescent="0.25">
      <c r="I20880" s="227" t="str">
        <f>MID(excPisCofins[[#This Row],[CodBarras2]],2,50)</f>
        <v/>
      </c>
    </row>
    <row r="20881" spans="9:9" x14ac:dyDescent="0.25">
      <c r="I20881" s="227" t="str">
        <f>MID(excPisCofins[[#This Row],[CodBarras2]],2,50)</f>
        <v/>
      </c>
    </row>
    <row r="20882" spans="9:9" x14ac:dyDescent="0.25">
      <c r="I20882" s="227" t="str">
        <f>MID(excPisCofins[[#This Row],[CodBarras2]],2,50)</f>
        <v/>
      </c>
    </row>
    <row r="20883" spans="9:9" x14ac:dyDescent="0.25">
      <c r="I20883" s="227" t="str">
        <f>MID(excPisCofins[[#This Row],[CodBarras2]],2,50)</f>
        <v/>
      </c>
    </row>
    <row r="20884" spans="9:9" x14ac:dyDescent="0.25">
      <c r="I20884" s="227" t="str">
        <f>MID(excPisCofins[[#This Row],[CodBarras2]],2,50)</f>
        <v/>
      </c>
    </row>
    <row r="20885" spans="9:9" x14ac:dyDescent="0.25">
      <c r="I20885" s="227" t="str">
        <f>MID(excPisCofins[[#This Row],[CodBarras2]],2,50)</f>
        <v/>
      </c>
    </row>
    <row r="20886" spans="9:9" x14ac:dyDescent="0.25">
      <c r="I20886" s="227" t="str">
        <f>MID(excPisCofins[[#This Row],[CodBarras2]],2,50)</f>
        <v/>
      </c>
    </row>
    <row r="20887" spans="9:9" x14ac:dyDescent="0.25">
      <c r="I20887" s="227" t="str">
        <f>MID(excPisCofins[[#This Row],[CodBarras2]],2,50)</f>
        <v/>
      </c>
    </row>
    <row r="20888" spans="9:9" x14ac:dyDescent="0.25">
      <c r="I20888" s="227" t="str">
        <f>MID(excPisCofins[[#This Row],[CodBarras2]],2,50)</f>
        <v/>
      </c>
    </row>
    <row r="20889" spans="9:9" x14ac:dyDescent="0.25">
      <c r="I20889" s="227" t="str">
        <f>MID(excPisCofins[[#This Row],[CodBarras2]],2,50)</f>
        <v/>
      </c>
    </row>
    <row r="20890" spans="9:9" x14ac:dyDescent="0.25">
      <c r="I20890" s="227" t="str">
        <f>MID(excPisCofins[[#This Row],[CodBarras2]],2,50)</f>
        <v/>
      </c>
    </row>
    <row r="20891" spans="9:9" x14ac:dyDescent="0.25">
      <c r="I20891" s="227" t="str">
        <f>MID(excPisCofins[[#This Row],[CodBarras2]],2,50)</f>
        <v/>
      </c>
    </row>
    <row r="20892" spans="9:9" x14ac:dyDescent="0.25">
      <c r="I20892" s="227" t="str">
        <f>MID(excPisCofins[[#This Row],[CodBarras2]],2,50)</f>
        <v/>
      </c>
    </row>
    <row r="20893" spans="9:9" x14ac:dyDescent="0.25">
      <c r="I20893" s="227" t="str">
        <f>MID(excPisCofins[[#This Row],[CodBarras2]],2,50)</f>
        <v/>
      </c>
    </row>
    <row r="20894" spans="9:9" x14ac:dyDescent="0.25">
      <c r="I20894" s="227" t="str">
        <f>MID(excPisCofins[[#This Row],[CodBarras2]],2,50)</f>
        <v/>
      </c>
    </row>
    <row r="20895" spans="9:9" x14ac:dyDescent="0.25">
      <c r="I20895" s="227" t="str">
        <f>MID(excPisCofins[[#This Row],[CodBarras2]],2,50)</f>
        <v/>
      </c>
    </row>
    <row r="20896" spans="9:9" x14ac:dyDescent="0.25">
      <c r="I20896" s="227" t="str">
        <f>MID(excPisCofins[[#This Row],[CodBarras2]],2,50)</f>
        <v/>
      </c>
    </row>
    <row r="20897" spans="9:9" x14ac:dyDescent="0.25">
      <c r="I20897" s="227" t="str">
        <f>MID(excPisCofins[[#This Row],[CodBarras2]],2,50)</f>
        <v/>
      </c>
    </row>
    <row r="20898" spans="9:9" x14ac:dyDescent="0.25">
      <c r="I20898" s="227" t="str">
        <f>MID(excPisCofins[[#This Row],[CodBarras2]],2,50)</f>
        <v/>
      </c>
    </row>
    <row r="20899" spans="9:9" x14ac:dyDescent="0.25">
      <c r="I20899" s="227" t="str">
        <f>MID(excPisCofins[[#This Row],[CodBarras2]],2,50)</f>
        <v/>
      </c>
    </row>
    <row r="20900" spans="9:9" x14ac:dyDescent="0.25">
      <c r="I20900" s="227" t="str">
        <f>MID(excPisCofins[[#This Row],[CodBarras2]],2,50)</f>
        <v/>
      </c>
    </row>
    <row r="20901" spans="9:9" x14ac:dyDescent="0.25">
      <c r="I20901" s="227" t="str">
        <f>MID(excPisCofins[[#This Row],[CodBarras2]],2,50)</f>
        <v/>
      </c>
    </row>
    <row r="20902" spans="9:9" x14ac:dyDescent="0.25">
      <c r="I20902" s="227" t="str">
        <f>MID(excPisCofins[[#This Row],[CodBarras2]],2,50)</f>
        <v/>
      </c>
    </row>
    <row r="20903" spans="9:9" x14ac:dyDescent="0.25">
      <c r="I20903" s="227" t="str">
        <f>MID(excPisCofins[[#This Row],[CodBarras2]],2,50)</f>
        <v/>
      </c>
    </row>
    <row r="20904" spans="9:9" x14ac:dyDescent="0.25">
      <c r="I20904" s="227" t="str">
        <f>MID(excPisCofins[[#This Row],[CodBarras2]],2,50)</f>
        <v/>
      </c>
    </row>
    <row r="20905" spans="9:9" x14ac:dyDescent="0.25">
      <c r="I20905" s="227" t="str">
        <f>MID(excPisCofins[[#This Row],[CodBarras2]],2,50)</f>
        <v/>
      </c>
    </row>
    <row r="20906" spans="9:9" x14ac:dyDescent="0.25">
      <c r="I20906" s="227" t="str">
        <f>MID(excPisCofins[[#This Row],[CodBarras2]],2,50)</f>
        <v/>
      </c>
    </row>
    <row r="20907" spans="9:9" x14ac:dyDescent="0.25">
      <c r="I20907" s="227" t="str">
        <f>MID(excPisCofins[[#This Row],[CodBarras2]],2,50)</f>
        <v/>
      </c>
    </row>
    <row r="20908" spans="9:9" x14ac:dyDescent="0.25">
      <c r="I20908" s="227" t="str">
        <f>MID(excPisCofins[[#This Row],[CodBarras2]],2,50)</f>
        <v/>
      </c>
    </row>
    <row r="20909" spans="9:9" x14ac:dyDescent="0.25">
      <c r="I20909" s="227" t="str">
        <f>MID(excPisCofins[[#This Row],[CodBarras2]],2,50)</f>
        <v/>
      </c>
    </row>
    <row r="20910" spans="9:9" x14ac:dyDescent="0.25">
      <c r="I20910" s="227" t="str">
        <f>MID(excPisCofins[[#This Row],[CodBarras2]],2,50)</f>
        <v/>
      </c>
    </row>
    <row r="20911" spans="9:9" x14ac:dyDescent="0.25">
      <c r="I20911" s="227" t="str">
        <f>MID(excPisCofins[[#This Row],[CodBarras2]],2,50)</f>
        <v/>
      </c>
    </row>
    <row r="20912" spans="9:9" x14ac:dyDescent="0.25">
      <c r="I20912" s="227" t="str">
        <f>MID(excPisCofins[[#This Row],[CodBarras2]],2,50)</f>
        <v/>
      </c>
    </row>
    <row r="20913" spans="9:9" x14ac:dyDescent="0.25">
      <c r="I20913" s="227" t="str">
        <f>MID(excPisCofins[[#This Row],[CodBarras2]],2,50)</f>
        <v/>
      </c>
    </row>
    <row r="20914" spans="9:9" x14ac:dyDescent="0.25">
      <c r="I20914" s="227" t="str">
        <f>MID(excPisCofins[[#This Row],[CodBarras2]],2,50)</f>
        <v/>
      </c>
    </row>
    <row r="20915" spans="9:9" x14ac:dyDescent="0.25">
      <c r="I20915" s="227" t="str">
        <f>MID(excPisCofins[[#This Row],[CodBarras2]],2,50)</f>
        <v/>
      </c>
    </row>
    <row r="20916" spans="9:9" x14ac:dyDescent="0.25">
      <c r="I20916" s="227" t="str">
        <f>MID(excPisCofins[[#This Row],[CodBarras2]],2,50)</f>
        <v/>
      </c>
    </row>
    <row r="20917" spans="9:9" x14ac:dyDescent="0.25">
      <c r="I20917" s="227" t="str">
        <f>MID(excPisCofins[[#This Row],[CodBarras2]],2,50)</f>
        <v/>
      </c>
    </row>
    <row r="20918" spans="9:9" x14ac:dyDescent="0.25">
      <c r="I20918" s="227" t="str">
        <f>MID(excPisCofins[[#This Row],[CodBarras2]],2,50)</f>
        <v/>
      </c>
    </row>
    <row r="20919" spans="9:9" x14ac:dyDescent="0.25">
      <c r="I20919" s="227" t="str">
        <f>MID(excPisCofins[[#This Row],[CodBarras2]],2,50)</f>
        <v/>
      </c>
    </row>
    <row r="20920" spans="9:9" x14ac:dyDescent="0.25">
      <c r="I20920" s="227" t="str">
        <f>MID(excPisCofins[[#This Row],[CodBarras2]],2,50)</f>
        <v/>
      </c>
    </row>
    <row r="20921" spans="9:9" x14ac:dyDescent="0.25">
      <c r="I20921" s="227" t="str">
        <f>MID(excPisCofins[[#This Row],[CodBarras2]],2,50)</f>
        <v/>
      </c>
    </row>
    <row r="20922" spans="9:9" x14ac:dyDescent="0.25">
      <c r="I20922" s="227" t="str">
        <f>MID(excPisCofins[[#This Row],[CodBarras2]],2,50)</f>
        <v/>
      </c>
    </row>
    <row r="20923" spans="9:9" x14ac:dyDescent="0.25">
      <c r="I20923" s="227" t="str">
        <f>MID(excPisCofins[[#This Row],[CodBarras2]],2,50)</f>
        <v/>
      </c>
    </row>
    <row r="20924" spans="9:9" x14ac:dyDescent="0.25">
      <c r="I20924" s="227" t="str">
        <f>MID(excPisCofins[[#This Row],[CodBarras2]],2,50)</f>
        <v/>
      </c>
    </row>
    <row r="20925" spans="9:9" x14ac:dyDescent="0.25">
      <c r="I20925" s="227" t="str">
        <f>MID(excPisCofins[[#This Row],[CodBarras2]],2,50)</f>
        <v/>
      </c>
    </row>
    <row r="20926" spans="9:9" x14ac:dyDescent="0.25">
      <c r="I20926" s="227" t="str">
        <f>MID(excPisCofins[[#This Row],[CodBarras2]],2,50)</f>
        <v/>
      </c>
    </row>
    <row r="20927" spans="9:9" x14ac:dyDescent="0.25">
      <c r="I20927" s="227" t="str">
        <f>MID(excPisCofins[[#This Row],[CodBarras2]],2,50)</f>
        <v/>
      </c>
    </row>
    <row r="20928" spans="9:9" x14ac:dyDescent="0.25">
      <c r="I20928" s="227" t="str">
        <f>MID(excPisCofins[[#This Row],[CodBarras2]],2,50)</f>
        <v/>
      </c>
    </row>
    <row r="20929" spans="9:9" x14ac:dyDescent="0.25">
      <c r="I20929" s="227" t="str">
        <f>MID(excPisCofins[[#This Row],[CodBarras2]],2,50)</f>
        <v/>
      </c>
    </row>
    <row r="20930" spans="9:9" x14ac:dyDescent="0.25">
      <c r="I20930" s="227" t="str">
        <f>MID(excPisCofins[[#This Row],[CodBarras2]],2,50)</f>
        <v/>
      </c>
    </row>
    <row r="20931" spans="9:9" x14ac:dyDescent="0.25">
      <c r="I20931" s="227" t="str">
        <f>MID(excPisCofins[[#This Row],[CodBarras2]],2,50)</f>
        <v/>
      </c>
    </row>
    <row r="20932" spans="9:9" x14ac:dyDescent="0.25">
      <c r="I20932" s="227" t="str">
        <f>MID(excPisCofins[[#This Row],[CodBarras2]],2,50)</f>
        <v/>
      </c>
    </row>
    <row r="20933" spans="9:9" x14ac:dyDescent="0.25">
      <c r="I20933" s="227" t="str">
        <f>MID(excPisCofins[[#This Row],[CodBarras2]],2,50)</f>
        <v/>
      </c>
    </row>
    <row r="20934" spans="9:9" x14ac:dyDescent="0.25">
      <c r="I20934" s="227" t="str">
        <f>MID(excPisCofins[[#This Row],[CodBarras2]],2,50)</f>
        <v/>
      </c>
    </row>
    <row r="20935" spans="9:9" x14ac:dyDescent="0.25">
      <c r="I20935" s="227" t="str">
        <f>MID(excPisCofins[[#This Row],[CodBarras2]],2,50)</f>
        <v/>
      </c>
    </row>
    <row r="20936" spans="9:9" x14ac:dyDescent="0.25">
      <c r="I20936" s="227" t="str">
        <f>MID(excPisCofins[[#This Row],[CodBarras2]],2,50)</f>
        <v/>
      </c>
    </row>
    <row r="20937" spans="9:9" x14ac:dyDescent="0.25">
      <c r="I20937" s="227" t="str">
        <f>MID(excPisCofins[[#This Row],[CodBarras2]],2,50)</f>
        <v/>
      </c>
    </row>
    <row r="20938" spans="9:9" x14ac:dyDescent="0.25">
      <c r="I20938" s="227" t="str">
        <f>MID(excPisCofins[[#This Row],[CodBarras2]],2,50)</f>
        <v/>
      </c>
    </row>
    <row r="20939" spans="9:9" x14ac:dyDescent="0.25">
      <c r="I20939" s="227" t="str">
        <f>MID(excPisCofins[[#This Row],[CodBarras2]],2,50)</f>
        <v/>
      </c>
    </row>
    <row r="20940" spans="9:9" x14ac:dyDescent="0.25">
      <c r="I20940" s="227" t="str">
        <f>MID(excPisCofins[[#This Row],[CodBarras2]],2,50)</f>
        <v/>
      </c>
    </row>
    <row r="20941" spans="9:9" x14ac:dyDescent="0.25">
      <c r="I20941" s="227" t="str">
        <f>MID(excPisCofins[[#This Row],[CodBarras2]],2,50)</f>
        <v/>
      </c>
    </row>
    <row r="20942" spans="9:9" x14ac:dyDescent="0.25">
      <c r="I20942" s="227" t="str">
        <f>MID(excPisCofins[[#This Row],[CodBarras2]],2,50)</f>
        <v/>
      </c>
    </row>
    <row r="20943" spans="9:9" x14ac:dyDescent="0.25">
      <c r="I20943" s="227" t="str">
        <f>MID(excPisCofins[[#This Row],[CodBarras2]],2,50)</f>
        <v/>
      </c>
    </row>
    <row r="20944" spans="9:9" x14ac:dyDescent="0.25">
      <c r="I20944" s="227" t="str">
        <f>MID(excPisCofins[[#This Row],[CodBarras2]],2,50)</f>
        <v/>
      </c>
    </row>
    <row r="20945" spans="9:9" x14ac:dyDescent="0.25">
      <c r="I20945" s="227" t="str">
        <f>MID(excPisCofins[[#This Row],[CodBarras2]],2,50)</f>
        <v/>
      </c>
    </row>
    <row r="20946" spans="9:9" x14ac:dyDescent="0.25">
      <c r="I20946" s="227" t="str">
        <f>MID(excPisCofins[[#This Row],[CodBarras2]],2,50)</f>
        <v/>
      </c>
    </row>
    <row r="20947" spans="9:9" x14ac:dyDescent="0.25">
      <c r="I20947" s="227" t="str">
        <f>MID(excPisCofins[[#This Row],[CodBarras2]],2,50)</f>
        <v/>
      </c>
    </row>
    <row r="20948" spans="9:9" x14ac:dyDescent="0.25">
      <c r="I20948" s="227" t="str">
        <f>MID(excPisCofins[[#This Row],[CodBarras2]],2,50)</f>
        <v/>
      </c>
    </row>
    <row r="20949" spans="9:9" x14ac:dyDescent="0.25">
      <c r="I20949" s="227" t="str">
        <f>MID(excPisCofins[[#This Row],[CodBarras2]],2,50)</f>
        <v/>
      </c>
    </row>
    <row r="20950" spans="9:9" x14ac:dyDescent="0.25">
      <c r="I20950" s="227" t="str">
        <f>MID(excPisCofins[[#This Row],[CodBarras2]],2,50)</f>
        <v/>
      </c>
    </row>
    <row r="20951" spans="9:9" x14ac:dyDescent="0.25">
      <c r="I20951" s="227" t="str">
        <f>MID(excPisCofins[[#This Row],[CodBarras2]],2,50)</f>
        <v/>
      </c>
    </row>
    <row r="20952" spans="9:9" x14ac:dyDescent="0.25">
      <c r="I20952" s="227" t="str">
        <f>MID(excPisCofins[[#This Row],[CodBarras2]],2,50)</f>
        <v/>
      </c>
    </row>
    <row r="20953" spans="9:9" x14ac:dyDescent="0.25">
      <c r="I20953" s="227" t="str">
        <f>MID(excPisCofins[[#This Row],[CodBarras2]],2,50)</f>
        <v/>
      </c>
    </row>
    <row r="20954" spans="9:9" x14ac:dyDescent="0.25">
      <c r="I20954" s="227" t="str">
        <f>MID(excPisCofins[[#This Row],[CodBarras2]],2,50)</f>
        <v/>
      </c>
    </row>
    <row r="20955" spans="9:9" x14ac:dyDescent="0.25">
      <c r="I20955" s="227" t="str">
        <f>MID(excPisCofins[[#This Row],[CodBarras2]],2,50)</f>
        <v/>
      </c>
    </row>
    <row r="20956" spans="9:9" x14ac:dyDescent="0.25">
      <c r="I20956" s="227" t="str">
        <f>MID(excPisCofins[[#This Row],[CodBarras2]],2,50)</f>
        <v/>
      </c>
    </row>
    <row r="20957" spans="9:9" x14ac:dyDescent="0.25">
      <c r="I20957" s="227" t="str">
        <f>MID(excPisCofins[[#This Row],[CodBarras2]],2,50)</f>
        <v/>
      </c>
    </row>
    <row r="20958" spans="9:9" x14ac:dyDescent="0.25">
      <c r="I20958" s="227" t="str">
        <f>MID(excPisCofins[[#This Row],[CodBarras2]],2,50)</f>
        <v/>
      </c>
    </row>
    <row r="20959" spans="9:9" x14ac:dyDescent="0.25">
      <c r="I20959" s="227" t="str">
        <f>MID(excPisCofins[[#This Row],[CodBarras2]],2,50)</f>
        <v/>
      </c>
    </row>
    <row r="20960" spans="9:9" x14ac:dyDescent="0.25">
      <c r="I20960" s="227" t="str">
        <f>MID(excPisCofins[[#This Row],[CodBarras2]],2,50)</f>
        <v/>
      </c>
    </row>
    <row r="20961" spans="9:9" x14ac:dyDescent="0.25">
      <c r="I20961" s="227" t="str">
        <f>MID(excPisCofins[[#This Row],[CodBarras2]],2,50)</f>
        <v/>
      </c>
    </row>
    <row r="20962" spans="9:9" x14ac:dyDescent="0.25">
      <c r="I20962" s="227" t="str">
        <f>MID(excPisCofins[[#This Row],[CodBarras2]],2,50)</f>
        <v/>
      </c>
    </row>
    <row r="20963" spans="9:9" x14ac:dyDescent="0.25">
      <c r="I20963" s="227" t="str">
        <f>MID(excPisCofins[[#This Row],[CodBarras2]],2,50)</f>
        <v/>
      </c>
    </row>
    <row r="20964" spans="9:9" x14ac:dyDescent="0.25">
      <c r="I20964" s="227" t="str">
        <f>MID(excPisCofins[[#This Row],[CodBarras2]],2,50)</f>
        <v/>
      </c>
    </row>
    <row r="20965" spans="9:9" x14ac:dyDescent="0.25">
      <c r="I20965" s="227" t="str">
        <f>MID(excPisCofins[[#This Row],[CodBarras2]],2,50)</f>
        <v/>
      </c>
    </row>
    <row r="20966" spans="9:9" x14ac:dyDescent="0.25">
      <c r="I20966" s="227" t="str">
        <f>MID(excPisCofins[[#This Row],[CodBarras2]],2,50)</f>
        <v/>
      </c>
    </row>
    <row r="20967" spans="9:9" x14ac:dyDescent="0.25">
      <c r="I20967" s="227" t="str">
        <f>MID(excPisCofins[[#This Row],[CodBarras2]],2,50)</f>
        <v/>
      </c>
    </row>
    <row r="20968" spans="9:9" x14ac:dyDescent="0.25">
      <c r="I20968" s="227" t="str">
        <f>MID(excPisCofins[[#This Row],[CodBarras2]],2,50)</f>
        <v/>
      </c>
    </row>
    <row r="20969" spans="9:9" x14ac:dyDescent="0.25">
      <c r="I20969" s="227" t="str">
        <f>MID(excPisCofins[[#This Row],[CodBarras2]],2,50)</f>
        <v/>
      </c>
    </row>
    <row r="20970" spans="9:9" x14ac:dyDescent="0.25">
      <c r="I20970" s="227" t="str">
        <f>MID(excPisCofins[[#This Row],[CodBarras2]],2,50)</f>
        <v/>
      </c>
    </row>
    <row r="20971" spans="9:9" x14ac:dyDescent="0.25">
      <c r="I20971" s="227" t="str">
        <f>MID(excPisCofins[[#This Row],[CodBarras2]],2,50)</f>
        <v/>
      </c>
    </row>
    <row r="20972" spans="9:9" x14ac:dyDescent="0.25">
      <c r="I20972" s="227" t="str">
        <f>MID(excPisCofins[[#This Row],[CodBarras2]],2,50)</f>
        <v/>
      </c>
    </row>
    <row r="20973" spans="9:9" x14ac:dyDescent="0.25">
      <c r="I20973" s="227" t="str">
        <f>MID(excPisCofins[[#This Row],[CodBarras2]],2,50)</f>
        <v/>
      </c>
    </row>
    <row r="20974" spans="9:9" x14ac:dyDescent="0.25">
      <c r="I20974" s="227" t="str">
        <f>MID(excPisCofins[[#This Row],[CodBarras2]],2,50)</f>
        <v/>
      </c>
    </row>
    <row r="20975" spans="9:9" x14ac:dyDescent="0.25">
      <c r="I20975" s="227" t="str">
        <f>MID(excPisCofins[[#This Row],[CodBarras2]],2,50)</f>
        <v/>
      </c>
    </row>
    <row r="20976" spans="9:9" x14ac:dyDescent="0.25">
      <c r="I20976" s="227" t="str">
        <f>MID(excPisCofins[[#This Row],[CodBarras2]],2,50)</f>
        <v/>
      </c>
    </row>
    <row r="20977" spans="9:9" x14ac:dyDescent="0.25">
      <c r="I20977" s="227" t="str">
        <f>MID(excPisCofins[[#This Row],[CodBarras2]],2,50)</f>
        <v/>
      </c>
    </row>
    <row r="20978" spans="9:9" x14ac:dyDescent="0.25">
      <c r="I20978" s="227" t="str">
        <f>MID(excPisCofins[[#This Row],[CodBarras2]],2,50)</f>
        <v/>
      </c>
    </row>
    <row r="20979" spans="9:9" x14ac:dyDescent="0.25">
      <c r="I20979" s="227" t="str">
        <f>MID(excPisCofins[[#This Row],[CodBarras2]],2,50)</f>
        <v/>
      </c>
    </row>
    <row r="20980" spans="9:9" x14ac:dyDescent="0.25">
      <c r="I20980" s="227" t="str">
        <f>MID(excPisCofins[[#This Row],[CodBarras2]],2,50)</f>
        <v/>
      </c>
    </row>
    <row r="20981" spans="9:9" x14ac:dyDescent="0.25">
      <c r="I20981" s="227" t="str">
        <f>MID(excPisCofins[[#This Row],[CodBarras2]],2,50)</f>
        <v/>
      </c>
    </row>
    <row r="20982" spans="9:9" x14ac:dyDescent="0.25">
      <c r="I20982" s="227" t="str">
        <f>MID(excPisCofins[[#This Row],[CodBarras2]],2,50)</f>
        <v/>
      </c>
    </row>
    <row r="20983" spans="9:9" x14ac:dyDescent="0.25">
      <c r="I20983" s="227" t="str">
        <f>MID(excPisCofins[[#This Row],[CodBarras2]],2,50)</f>
        <v/>
      </c>
    </row>
    <row r="20984" spans="9:9" x14ac:dyDescent="0.25">
      <c r="I20984" s="227" t="str">
        <f>MID(excPisCofins[[#This Row],[CodBarras2]],2,50)</f>
        <v/>
      </c>
    </row>
    <row r="20985" spans="9:9" x14ac:dyDescent="0.25">
      <c r="I20985" s="227" t="str">
        <f>MID(excPisCofins[[#This Row],[CodBarras2]],2,50)</f>
        <v/>
      </c>
    </row>
    <row r="20986" spans="9:9" x14ac:dyDescent="0.25">
      <c r="I20986" s="227" t="str">
        <f>MID(excPisCofins[[#This Row],[CodBarras2]],2,50)</f>
        <v/>
      </c>
    </row>
    <row r="20987" spans="9:9" x14ac:dyDescent="0.25">
      <c r="I20987" s="227" t="str">
        <f>MID(excPisCofins[[#This Row],[CodBarras2]],2,50)</f>
        <v/>
      </c>
    </row>
    <row r="20988" spans="9:9" x14ac:dyDescent="0.25">
      <c r="I20988" s="227" t="str">
        <f>MID(excPisCofins[[#This Row],[CodBarras2]],2,50)</f>
        <v/>
      </c>
    </row>
    <row r="20989" spans="9:9" x14ac:dyDescent="0.25">
      <c r="I20989" s="227" t="str">
        <f>MID(excPisCofins[[#This Row],[CodBarras2]],2,50)</f>
        <v/>
      </c>
    </row>
    <row r="20990" spans="9:9" x14ac:dyDescent="0.25">
      <c r="I20990" s="227" t="str">
        <f>MID(excPisCofins[[#This Row],[CodBarras2]],2,50)</f>
        <v/>
      </c>
    </row>
    <row r="20991" spans="9:9" x14ac:dyDescent="0.25">
      <c r="I20991" s="227" t="str">
        <f>MID(excPisCofins[[#This Row],[CodBarras2]],2,50)</f>
        <v/>
      </c>
    </row>
    <row r="20992" spans="9:9" x14ac:dyDescent="0.25">
      <c r="I20992" s="227" t="str">
        <f>MID(excPisCofins[[#This Row],[CodBarras2]],2,50)</f>
        <v/>
      </c>
    </row>
    <row r="20993" spans="9:9" x14ac:dyDescent="0.25">
      <c r="I20993" s="227" t="str">
        <f>MID(excPisCofins[[#This Row],[CodBarras2]],2,50)</f>
        <v/>
      </c>
    </row>
    <row r="20994" spans="9:9" x14ac:dyDescent="0.25">
      <c r="I20994" s="227" t="str">
        <f>MID(excPisCofins[[#This Row],[CodBarras2]],2,50)</f>
        <v/>
      </c>
    </row>
    <row r="20995" spans="9:9" x14ac:dyDescent="0.25">
      <c r="I20995" s="227" t="str">
        <f>MID(excPisCofins[[#This Row],[CodBarras2]],2,50)</f>
        <v/>
      </c>
    </row>
    <row r="20996" spans="9:9" x14ac:dyDescent="0.25">
      <c r="I20996" s="227" t="str">
        <f>MID(excPisCofins[[#This Row],[CodBarras2]],2,50)</f>
        <v/>
      </c>
    </row>
    <row r="20997" spans="9:9" x14ac:dyDescent="0.25">
      <c r="I20997" s="227" t="str">
        <f>MID(excPisCofins[[#This Row],[CodBarras2]],2,50)</f>
        <v/>
      </c>
    </row>
    <row r="20998" spans="9:9" x14ac:dyDescent="0.25">
      <c r="I20998" s="227" t="str">
        <f>MID(excPisCofins[[#This Row],[CodBarras2]],2,50)</f>
        <v/>
      </c>
    </row>
    <row r="20999" spans="9:9" x14ac:dyDescent="0.25">
      <c r="I20999" s="227" t="str">
        <f>MID(excPisCofins[[#This Row],[CodBarras2]],2,50)</f>
        <v/>
      </c>
    </row>
    <row r="21000" spans="9:9" x14ac:dyDescent="0.25">
      <c r="I21000" s="227" t="str">
        <f>MID(excPisCofins[[#This Row],[CodBarras2]],2,50)</f>
        <v/>
      </c>
    </row>
    <row r="21001" spans="9:9" x14ac:dyDescent="0.25">
      <c r="I21001" s="227" t="str">
        <f>MID(excPisCofins[[#This Row],[CodBarras2]],2,50)</f>
        <v/>
      </c>
    </row>
    <row r="21002" spans="9:9" x14ac:dyDescent="0.25">
      <c r="I21002" s="227" t="str">
        <f>MID(excPisCofins[[#This Row],[CodBarras2]],2,50)</f>
        <v/>
      </c>
    </row>
    <row r="21003" spans="9:9" x14ac:dyDescent="0.25">
      <c r="I21003" s="227" t="str">
        <f>MID(excPisCofins[[#This Row],[CodBarras2]],2,50)</f>
        <v/>
      </c>
    </row>
    <row r="21004" spans="9:9" x14ac:dyDescent="0.25">
      <c r="I21004" s="227" t="str">
        <f>MID(excPisCofins[[#This Row],[CodBarras2]],2,50)</f>
        <v/>
      </c>
    </row>
    <row r="21005" spans="9:9" x14ac:dyDescent="0.25">
      <c r="I21005" s="227" t="str">
        <f>MID(excPisCofins[[#This Row],[CodBarras2]],2,50)</f>
        <v/>
      </c>
    </row>
    <row r="21006" spans="9:9" x14ac:dyDescent="0.25">
      <c r="I21006" s="227" t="str">
        <f>MID(excPisCofins[[#This Row],[CodBarras2]],2,50)</f>
        <v/>
      </c>
    </row>
    <row r="21007" spans="9:9" x14ac:dyDescent="0.25">
      <c r="I21007" s="227" t="str">
        <f>MID(excPisCofins[[#This Row],[CodBarras2]],2,50)</f>
        <v/>
      </c>
    </row>
    <row r="21008" spans="9:9" x14ac:dyDescent="0.25">
      <c r="I21008" s="227" t="str">
        <f>MID(excPisCofins[[#This Row],[CodBarras2]],2,50)</f>
        <v/>
      </c>
    </row>
    <row r="21009" spans="9:9" x14ac:dyDescent="0.25">
      <c r="I21009" s="227" t="str">
        <f>MID(excPisCofins[[#This Row],[CodBarras2]],2,50)</f>
        <v/>
      </c>
    </row>
    <row r="21010" spans="9:9" x14ac:dyDescent="0.25">
      <c r="I21010" s="227" t="str">
        <f>MID(excPisCofins[[#This Row],[CodBarras2]],2,50)</f>
        <v/>
      </c>
    </row>
    <row r="21011" spans="9:9" x14ac:dyDescent="0.25">
      <c r="I21011" s="227" t="str">
        <f>MID(excPisCofins[[#This Row],[CodBarras2]],2,50)</f>
        <v/>
      </c>
    </row>
    <row r="21012" spans="9:9" x14ac:dyDescent="0.25">
      <c r="I21012" s="227" t="str">
        <f>MID(excPisCofins[[#This Row],[CodBarras2]],2,50)</f>
        <v/>
      </c>
    </row>
    <row r="21013" spans="9:9" x14ac:dyDescent="0.25">
      <c r="I21013" s="227" t="str">
        <f>MID(excPisCofins[[#This Row],[CodBarras2]],2,50)</f>
        <v/>
      </c>
    </row>
    <row r="21014" spans="9:9" x14ac:dyDescent="0.25">
      <c r="I21014" s="227" t="str">
        <f>MID(excPisCofins[[#This Row],[CodBarras2]],2,50)</f>
        <v/>
      </c>
    </row>
    <row r="21015" spans="9:9" x14ac:dyDescent="0.25">
      <c r="I21015" s="227" t="str">
        <f>MID(excPisCofins[[#This Row],[CodBarras2]],2,50)</f>
        <v/>
      </c>
    </row>
    <row r="21016" spans="9:9" x14ac:dyDescent="0.25">
      <c r="I21016" s="227" t="str">
        <f>MID(excPisCofins[[#This Row],[CodBarras2]],2,50)</f>
        <v/>
      </c>
    </row>
    <row r="21017" spans="9:9" x14ac:dyDescent="0.25">
      <c r="I21017" s="227" t="str">
        <f>MID(excPisCofins[[#This Row],[CodBarras2]],2,50)</f>
        <v/>
      </c>
    </row>
    <row r="21018" spans="9:9" x14ac:dyDescent="0.25">
      <c r="I21018" s="227" t="str">
        <f>MID(excPisCofins[[#This Row],[CodBarras2]],2,50)</f>
        <v/>
      </c>
    </row>
    <row r="21019" spans="9:9" x14ac:dyDescent="0.25">
      <c r="I21019" s="227" t="str">
        <f>MID(excPisCofins[[#This Row],[CodBarras2]],2,50)</f>
        <v/>
      </c>
    </row>
    <row r="21020" spans="9:9" x14ac:dyDescent="0.25">
      <c r="I21020" s="227" t="str">
        <f>MID(excPisCofins[[#This Row],[CodBarras2]],2,50)</f>
        <v/>
      </c>
    </row>
    <row r="21021" spans="9:9" x14ac:dyDescent="0.25">
      <c r="I21021" s="227" t="str">
        <f>MID(excPisCofins[[#This Row],[CodBarras2]],2,50)</f>
        <v/>
      </c>
    </row>
    <row r="21022" spans="9:9" x14ac:dyDescent="0.25">
      <c r="I21022" s="227" t="str">
        <f>MID(excPisCofins[[#This Row],[CodBarras2]],2,50)</f>
        <v/>
      </c>
    </row>
    <row r="21023" spans="9:9" x14ac:dyDescent="0.25">
      <c r="I21023" s="227" t="str">
        <f>MID(excPisCofins[[#This Row],[CodBarras2]],2,50)</f>
        <v/>
      </c>
    </row>
    <row r="21024" spans="9:9" x14ac:dyDescent="0.25">
      <c r="I21024" s="227" t="str">
        <f>MID(excPisCofins[[#This Row],[CodBarras2]],2,50)</f>
        <v/>
      </c>
    </row>
    <row r="21025" spans="9:9" x14ac:dyDescent="0.25">
      <c r="I21025" s="227" t="str">
        <f>MID(excPisCofins[[#This Row],[CodBarras2]],2,50)</f>
        <v/>
      </c>
    </row>
    <row r="21026" spans="9:9" x14ac:dyDescent="0.25">
      <c r="I21026" s="227" t="str">
        <f>MID(excPisCofins[[#This Row],[CodBarras2]],2,50)</f>
        <v/>
      </c>
    </row>
    <row r="21027" spans="9:9" x14ac:dyDescent="0.25">
      <c r="I21027" s="227" t="str">
        <f>MID(excPisCofins[[#This Row],[CodBarras2]],2,50)</f>
        <v/>
      </c>
    </row>
    <row r="21028" spans="9:9" x14ac:dyDescent="0.25">
      <c r="I21028" s="227" t="str">
        <f>MID(excPisCofins[[#This Row],[CodBarras2]],2,50)</f>
        <v/>
      </c>
    </row>
    <row r="21029" spans="9:9" x14ac:dyDescent="0.25">
      <c r="I21029" s="227" t="str">
        <f>MID(excPisCofins[[#This Row],[CodBarras2]],2,50)</f>
        <v/>
      </c>
    </row>
    <row r="21030" spans="9:9" x14ac:dyDescent="0.25">
      <c r="I21030" s="227" t="str">
        <f>MID(excPisCofins[[#This Row],[CodBarras2]],2,50)</f>
        <v/>
      </c>
    </row>
    <row r="21031" spans="9:9" x14ac:dyDescent="0.25">
      <c r="I21031" s="227" t="str">
        <f>MID(excPisCofins[[#This Row],[CodBarras2]],2,50)</f>
        <v/>
      </c>
    </row>
    <row r="21032" spans="9:9" x14ac:dyDescent="0.25">
      <c r="I21032" s="227" t="str">
        <f>MID(excPisCofins[[#This Row],[CodBarras2]],2,50)</f>
        <v/>
      </c>
    </row>
    <row r="21033" spans="9:9" x14ac:dyDescent="0.25">
      <c r="I21033" s="227" t="str">
        <f>MID(excPisCofins[[#This Row],[CodBarras2]],2,50)</f>
        <v/>
      </c>
    </row>
    <row r="21034" spans="9:9" x14ac:dyDescent="0.25">
      <c r="I21034" s="227" t="str">
        <f>MID(excPisCofins[[#This Row],[CodBarras2]],2,50)</f>
        <v/>
      </c>
    </row>
    <row r="21035" spans="9:9" x14ac:dyDescent="0.25">
      <c r="I21035" s="227" t="str">
        <f>MID(excPisCofins[[#This Row],[CodBarras2]],2,50)</f>
        <v/>
      </c>
    </row>
    <row r="21036" spans="9:9" x14ac:dyDescent="0.25">
      <c r="I21036" s="227" t="str">
        <f>MID(excPisCofins[[#This Row],[CodBarras2]],2,50)</f>
        <v/>
      </c>
    </row>
    <row r="21037" spans="9:9" x14ac:dyDescent="0.25">
      <c r="I21037" s="227" t="str">
        <f>MID(excPisCofins[[#This Row],[CodBarras2]],2,50)</f>
        <v/>
      </c>
    </row>
    <row r="21038" spans="9:9" x14ac:dyDescent="0.25">
      <c r="I21038" s="227" t="str">
        <f>MID(excPisCofins[[#This Row],[CodBarras2]],2,50)</f>
        <v/>
      </c>
    </row>
    <row r="21039" spans="9:9" x14ac:dyDescent="0.25">
      <c r="I21039" s="227" t="str">
        <f>MID(excPisCofins[[#This Row],[CodBarras2]],2,50)</f>
        <v/>
      </c>
    </row>
    <row r="21040" spans="9:9" x14ac:dyDescent="0.25">
      <c r="I21040" s="227" t="str">
        <f>MID(excPisCofins[[#This Row],[CodBarras2]],2,50)</f>
        <v/>
      </c>
    </row>
    <row r="21041" spans="9:9" x14ac:dyDescent="0.25">
      <c r="I21041" s="227" t="str">
        <f>MID(excPisCofins[[#This Row],[CodBarras2]],2,50)</f>
        <v/>
      </c>
    </row>
    <row r="21042" spans="9:9" x14ac:dyDescent="0.25">
      <c r="I21042" s="227" t="str">
        <f>MID(excPisCofins[[#This Row],[CodBarras2]],2,50)</f>
        <v/>
      </c>
    </row>
    <row r="21043" spans="9:9" x14ac:dyDescent="0.25">
      <c r="I21043" s="227" t="str">
        <f>MID(excPisCofins[[#This Row],[CodBarras2]],2,50)</f>
        <v/>
      </c>
    </row>
    <row r="21044" spans="9:9" x14ac:dyDescent="0.25">
      <c r="I21044" s="227" t="str">
        <f>MID(excPisCofins[[#This Row],[CodBarras2]],2,50)</f>
        <v/>
      </c>
    </row>
    <row r="21045" spans="9:9" x14ac:dyDescent="0.25">
      <c r="I21045" s="227" t="str">
        <f>MID(excPisCofins[[#This Row],[CodBarras2]],2,50)</f>
        <v/>
      </c>
    </row>
    <row r="21046" spans="9:9" x14ac:dyDescent="0.25">
      <c r="I21046" s="227" t="str">
        <f>MID(excPisCofins[[#This Row],[CodBarras2]],2,50)</f>
        <v/>
      </c>
    </row>
    <row r="21047" spans="9:9" x14ac:dyDescent="0.25">
      <c r="I21047" s="227" t="str">
        <f>MID(excPisCofins[[#This Row],[CodBarras2]],2,50)</f>
        <v/>
      </c>
    </row>
    <row r="21048" spans="9:9" x14ac:dyDescent="0.25">
      <c r="I21048" s="227" t="str">
        <f>MID(excPisCofins[[#This Row],[CodBarras2]],2,50)</f>
        <v/>
      </c>
    </row>
    <row r="21049" spans="9:9" x14ac:dyDescent="0.25">
      <c r="I21049" s="227" t="str">
        <f>MID(excPisCofins[[#This Row],[CodBarras2]],2,50)</f>
        <v/>
      </c>
    </row>
    <row r="21050" spans="9:9" x14ac:dyDescent="0.25">
      <c r="I21050" s="227" t="str">
        <f>MID(excPisCofins[[#This Row],[CodBarras2]],2,50)</f>
        <v/>
      </c>
    </row>
    <row r="21051" spans="9:9" x14ac:dyDescent="0.25">
      <c r="I21051" s="227" t="str">
        <f>MID(excPisCofins[[#This Row],[CodBarras2]],2,50)</f>
        <v/>
      </c>
    </row>
    <row r="21052" spans="9:9" x14ac:dyDescent="0.25">
      <c r="I21052" s="227" t="str">
        <f>MID(excPisCofins[[#This Row],[CodBarras2]],2,50)</f>
        <v/>
      </c>
    </row>
    <row r="21053" spans="9:9" x14ac:dyDescent="0.25">
      <c r="I21053" s="227" t="str">
        <f>MID(excPisCofins[[#This Row],[CodBarras2]],2,50)</f>
        <v/>
      </c>
    </row>
    <row r="21054" spans="9:9" x14ac:dyDescent="0.25">
      <c r="I21054" s="227" t="str">
        <f>MID(excPisCofins[[#This Row],[CodBarras2]],2,50)</f>
        <v/>
      </c>
    </row>
    <row r="21055" spans="9:9" x14ac:dyDescent="0.25">
      <c r="I21055" s="227" t="str">
        <f>MID(excPisCofins[[#This Row],[CodBarras2]],2,50)</f>
        <v/>
      </c>
    </row>
    <row r="21056" spans="9:9" x14ac:dyDescent="0.25">
      <c r="I21056" s="227" t="str">
        <f>MID(excPisCofins[[#This Row],[CodBarras2]],2,50)</f>
        <v/>
      </c>
    </row>
    <row r="21057" spans="9:9" x14ac:dyDescent="0.25">
      <c r="I21057" s="227" t="str">
        <f>MID(excPisCofins[[#This Row],[CodBarras2]],2,50)</f>
        <v/>
      </c>
    </row>
    <row r="21058" spans="9:9" x14ac:dyDescent="0.25">
      <c r="I21058" s="227" t="str">
        <f>MID(excPisCofins[[#This Row],[CodBarras2]],2,50)</f>
        <v/>
      </c>
    </row>
    <row r="21059" spans="9:9" x14ac:dyDescent="0.25">
      <c r="I21059" s="227" t="str">
        <f>MID(excPisCofins[[#This Row],[CodBarras2]],2,50)</f>
        <v/>
      </c>
    </row>
    <row r="21060" spans="9:9" x14ac:dyDescent="0.25">
      <c r="I21060" s="227" t="str">
        <f>MID(excPisCofins[[#This Row],[CodBarras2]],2,50)</f>
        <v/>
      </c>
    </row>
    <row r="21061" spans="9:9" x14ac:dyDescent="0.25">
      <c r="I21061" s="227" t="str">
        <f>MID(excPisCofins[[#This Row],[CodBarras2]],2,50)</f>
        <v/>
      </c>
    </row>
    <row r="21062" spans="9:9" x14ac:dyDescent="0.25">
      <c r="I21062" s="227" t="str">
        <f>MID(excPisCofins[[#This Row],[CodBarras2]],2,50)</f>
        <v/>
      </c>
    </row>
    <row r="21063" spans="9:9" x14ac:dyDescent="0.25">
      <c r="I21063" s="227" t="str">
        <f>MID(excPisCofins[[#This Row],[CodBarras2]],2,50)</f>
        <v/>
      </c>
    </row>
    <row r="21064" spans="9:9" x14ac:dyDescent="0.25">
      <c r="I21064" s="227" t="str">
        <f>MID(excPisCofins[[#This Row],[CodBarras2]],2,50)</f>
        <v/>
      </c>
    </row>
    <row r="21065" spans="9:9" x14ac:dyDescent="0.25">
      <c r="I21065" s="227" t="str">
        <f>MID(excPisCofins[[#This Row],[CodBarras2]],2,50)</f>
        <v/>
      </c>
    </row>
    <row r="21066" spans="9:9" x14ac:dyDescent="0.25">
      <c r="I21066" s="227" t="str">
        <f>MID(excPisCofins[[#This Row],[CodBarras2]],2,50)</f>
        <v/>
      </c>
    </row>
    <row r="21067" spans="9:9" x14ac:dyDescent="0.25">
      <c r="I21067" s="227" t="str">
        <f>MID(excPisCofins[[#This Row],[CodBarras2]],2,50)</f>
        <v/>
      </c>
    </row>
    <row r="21068" spans="9:9" x14ac:dyDescent="0.25">
      <c r="I21068" s="227" t="str">
        <f>MID(excPisCofins[[#This Row],[CodBarras2]],2,50)</f>
        <v/>
      </c>
    </row>
    <row r="21069" spans="9:9" x14ac:dyDescent="0.25">
      <c r="I21069" s="227" t="str">
        <f>MID(excPisCofins[[#This Row],[CodBarras2]],2,50)</f>
        <v/>
      </c>
    </row>
    <row r="21070" spans="9:9" x14ac:dyDescent="0.25">
      <c r="I21070" s="227" t="str">
        <f>MID(excPisCofins[[#This Row],[CodBarras2]],2,50)</f>
        <v/>
      </c>
    </row>
    <row r="21071" spans="9:9" x14ac:dyDescent="0.25">
      <c r="I21071" s="227" t="str">
        <f>MID(excPisCofins[[#This Row],[CodBarras2]],2,50)</f>
        <v/>
      </c>
    </row>
    <row r="21072" spans="9:9" x14ac:dyDescent="0.25">
      <c r="I21072" s="227" t="str">
        <f>MID(excPisCofins[[#This Row],[CodBarras2]],2,50)</f>
        <v/>
      </c>
    </row>
    <row r="21073" spans="9:9" x14ac:dyDescent="0.25">
      <c r="I21073" s="227" t="str">
        <f>MID(excPisCofins[[#This Row],[CodBarras2]],2,50)</f>
        <v/>
      </c>
    </row>
    <row r="21074" spans="9:9" x14ac:dyDescent="0.25">
      <c r="I21074" s="227" t="str">
        <f>MID(excPisCofins[[#This Row],[CodBarras2]],2,50)</f>
        <v/>
      </c>
    </row>
    <row r="21075" spans="9:9" x14ac:dyDescent="0.25">
      <c r="I21075" s="227" t="str">
        <f>MID(excPisCofins[[#This Row],[CodBarras2]],2,50)</f>
        <v/>
      </c>
    </row>
    <row r="21076" spans="9:9" x14ac:dyDescent="0.25">
      <c r="I21076" s="227" t="str">
        <f>MID(excPisCofins[[#This Row],[CodBarras2]],2,50)</f>
        <v/>
      </c>
    </row>
    <row r="21077" spans="9:9" x14ac:dyDescent="0.25">
      <c r="I21077" s="227" t="str">
        <f>MID(excPisCofins[[#This Row],[CodBarras2]],2,50)</f>
        <v/>
      </c>
    </row>
    <row r="21078" spans="9:9" x14ac:dyDescent="0.25">
      <c r="I21078" s="227" t="str">
        <f>MID(excPisCofins[[#This Row],[CodBarras2]],2,50)</f>
        <v/>
      </c>
    </row>
    <row r="21079" spans="9:9" x14ac:dyDescent="0.25">
      <c r="I21079" s="227" t="str">
        <f>MID(excPisCofins[[#This Row],[CodBarras2]],2,50)</f>
        <v/>
      </c>
    </row>
    <row r="21080" spans="9:9" x14ac:dyDescent="0.25">
      <c r="I21080" s="227" t="str">
        <f>MID(excPisCofins[[#This Row],[CodBarras2]],2,50)</f>
        <v/>
      </c>
    </row>
    <row r="21081" spans="9:9" x14ac:dyDescent="0.25">
      <c r="I21081" s="227" t="str">
        <f>MID(excPisCofins[[#This Row],[CodBarras2]],2,50)</f>
        <v/>
      </c>
    </row>
    <row r="21082" spans="9:9" x14ac:dyDescent="0.25">
      <c r="I21082" s="227" t="str">
        <f>MID(excPisCofins[[#This Row],[CodBarras2]],2,50)</f>
        <v/>
      </c>
    </row>
    <row r="21083" spans="9:9" x14ac:dyDescent="0.25">
      <c r="I21083" s="227" t="str">
        <f>MID(excPisCofins[[#This Row],[CodBarras2]],2,50)</f>
        <v/>
      </c>
    </row>
    <row r="21084" spans="9:9" x14ac:dyDescent="0.25">
      <c r="I21084" s="227" t="str">
        <f>MID(excPisCofins[[#This Row],[CodBarras2]],2,50)</f>
        <v/>
      </c>
    </row>
    <row r="21085" spans="9:9" x14ac:dyDescent="0.25">
      <c r="I21085" s="227" t="str">
        <f>MID(excPisCofins[[#This Row],[CodBarras2]],2,50)</f>
        <v/>
      </c>
    </row>
    <row r="21086" spans="9:9" x14ac:dyDescent="0.25">
      <c r="I21086" s="227" t="str">
        <f>MID(excPisCofins[[#This Row],[CodBarras2]],2,50)</f>
        <v/>
      </c>
    </row>
    <row r="21087" spans="9:9" x14ac:dyDescent="0.25">
      <c r="I21087" s="227" t="str">
        <f>MID(excPisCofins[[#This Row],[CodBarras2]],2,50)</f>
        <v/>
      </c>
    </row>
    <row r="21088" spans="9:9" x14ac:dyDescent="0.25">
      <c r="I21088" s="227" t="str">
        <f>MID(excPisCofins[[#This Row],[CodBarras2]],2,50)</f>
        <v/>
      </c>
    </row>
    <row r="21089" spans="9:9" x14ac:dyDescent="0.25">
      <c r="I21089" s="227" t="str">
        <f>MID(excPisCofins[[#This Row],[CodBarras2]],2,50)</f>
        <v/>
      </c>
    </row>
    <row r="21090" spans="9:9" x14ac:dyDescent="0.25">
      <c r="I21090" s="227" t="str">
        <f>MID(excPisCofins[[#This Row],[CodBarras2]],2,50)</f>
        <v/>
      </c>
    </row>
    <row r="21091" spans="9:9" x14ac:dyDescent="0.25">
      <c r="I21091" s="227" t="str">
        <f>MID(excPisCofins[[#This Row],[CodBarras2]],2,50)</f>
        <v/>
      </c>
    </row>
    <row r="21092" spans="9:9" x14ac:dyDescent="0.25">
      <c r="I21092" s="227" t="str">
        <f>MID(excPisCofins[[#This Row],[CodBarras2]],2,50)</f>
        <v/>
      </c>
    </row>
    <row r="21093" spans="9:9" x14ac:dyDescent="0.25">
      <c r="I21093" s="227" t="str">
        <f>MID(excPisCofins[[#This Row],[CodBarras2]],2,50)</f>
        <v/>
      </c>
    </row>
    <row r="21094" spans="9:9" x14ac:dyDescent="0.25">
      <c r="I21094" s="227" t="str">
        <f>MID(excPisCofins[[#This Row],[CodBarras2]],2,50)</f>
        <v/>
      </c>
    </row>
    <row r="21095" spans="9:9" x14ac:dyDescent="0.25">
      <c r="I21095" s="227" t="str">
        <f>MID(excPisCofins[[#This Row],[CodBarras2]],2,50)</f>
        <v/>
      </c>
    </row>
    <row r="21096" spans="9:9" x14ac:dyDescent="0.25">
      <c r="I21096" s="227" t="str">
        <f>MID(excPisCofins[[#This Row],[CodBarras2]],2,50)</f>
        <v/>
      </c>
    </row>
    <row r="21097" spans="9:9" x14ac:dyDescent="0.25">
      <c r="I21097" s="227" t="str">
        <f>MID(excPisCofins[[#This Row],[CodBarras2]],2,50)</f>
        <v/>
      </c>
    </row>
    <row r="21098" spans="9:9" x14ac:dyDescent="0.25">
      <c r="I21098" s="227" t="str">
        <f>MID(excPisCofins[[#This Row],[CodBarras2]],2,50)</f>
        <v/>
      </c>
    </row>
    <row r="21099" spans="9:9" x14ac:dyDescent="0.25">
      <c r="I21099" s="227" t="str">
        <f>MID(excPisCofins[[#This Row],[CodBarras2]],2,50)</f>
        <v/>
      </c>
    </row>
    <row r="21100" spans="9:9" x14ac:dyDescent="0.25">
      <c r="I21100" s="227" t="str">
        <f>MID(excPisCofins[[#This Row],[CodBarras2]],2,50)</f>
        <v/>
      </c>
    </row>
    <row r="21101" spans="9:9" x14ac:dyDescent="0.25">
      <c r="I21101" s="227" t="str">
        <f>MID(excPisCofins[[#This Row],[CodBarras2]],2,50)</f>
        <v/>
      </c>
    </row>
    <row r="21102" spans="9:9" x14ac:dyDescent="0.25">
      <c r="I21102" s="227" t="str">
        <f>MID(excPisCofins[[#This Row],[CodBarras2]],2,50)</f>
        <v/>
      </c>
    </row>
    <row r="21103" spans="9:9" x14ac:dyDescent="0.25">
      <c r="I21103" s="227" t="str">
        <f>MID(excPisCofins[[#This Row],[CodBarras2]],2,50)</f>
        <v/>
      </c>
    </row>
    <row r="21104" spans="9:9" x14ac:dyDescent="0.25">
      <c r="I21104" s="227" t="str">
        <f>MID(excPisCofins[[#This Row],[CodBarras2]],2,50)</f>
        <v/>
      </c>
    </row>
    <row r="21105" spans="9:9" x14ac:dyDescent="0.25">
      <c r="I21105" s="227" t="str">
        <f>MID(excPisCofins[[#This Row],[CodBarras2]],2,50)</f>
        <v/>
      </c>
    </row>
    <row r="21106" spans="9:9" x14ac:dyDescent="0.25">
      <c r="I21106" s="227" t="str">
        <f>MID(excPisCofins[[#This Row],[CodBarras2]],2,50)</f>
        <v/>
      </c>
    </row>
    <row r="21107" spans="9:9" x14ac:dyDescent="0.25">
      <c r="I21107" s="227" t="str">
        <f>MID(excPisCofins[[#This Row],[CodBarras2]],2,50)</f>
        <v/>
      </c>
    </row>
    <row r="21108" spans="9:9" x14ac:dyDescent="0.25">
      <c r="I21108" s="227" t="str">
        <f>MID(excPisCofins[[#This Row],[CodBarras2]],2,50)</f>
        <v/>
      </c>
    </row>
    <row r="21109" spans="9:9" x14ac:dyDescent="0.25">
      <c r="I21109" s="227" t="str">
        <f>MID(excPisCofins[[#This Row],[CodBarras2]],2,50)</f>
        <v/>
      </c>
    </row>
    <row r="21110" spans="9:9" x14ac:dyDescent="0.25">
      <c r="I21110" s="227" t="str">
        <f>MID(excPisCofins[[#This Row],[CodBarras2]],2,50)</f>
        <v/>
      </c>
    </row>
    <row r="21111" spans="9:9" x14ac:dyDescent="0.25">
      <c r="I21111" s="227" t="str">
        <f>MID(excPisCofins[[#This Row],[CodBarras2]],2,50)</f>
        <v/>
      </c>
    </row>
    <row r="21112" spans="9:9" x14ac:dyDescent="0.25">
      <c r="I21112" s="227" t="str">
        <f>MID(excPisCofins[[#This Row],[CodBarras2]],2,50)</f>
        <v/>
      </c>
    </row>
    <row r="21113" spans="9:9" x14ac:dyDescent="0.25">
      <c r="I21113" s="227" t="str">
        <f>MID(excPisCofins[[#This Row],[CodBarras2]],2,50)</f>
        <v/>
      </c>
    </row>
    <row r="21114" spans="9:9" x14ac:dyDescent="0.25">
      <c r="I21114" s="227" t="str">
        <f>MID(excPisCofins[[#This Row],[CodBarras2]],2,50)</f>
        <v/>
      </c>
    </row>
    <row r="21115" spans="9:9" x14ac:dyDescent="0.25">
      <c r="I21115" s="227" t="str">
        <f>MID(excPisCofins[[#This Row],[CodBarras2]],2,50)</f>
        <v/>
      </c>
    </row>
    <row r="21116" spans="9:9" x14ac:dyDescent="0.25">
      <c r="I21116" s="227" t="str">
        <f>MID(excPisCofins[[#This Row],[CodBarras2]],2,50)</f>
        <v/>
      </c>
    </row>
    <row r="21117" spans="9:9" x14ac:dyDescent="0.25">
      <c r="I21117" s="227" t="str">
        <f>MID(excPisCofins[[#This Row],[CodBarras2]],2,50)</f>
        <v/>
      </c>
    </row>
    <row r="21118" spans="9:9" x14ac:dyDescent="0.25">
      <c r="I21118" s="227" t="str">
        <f>MID(excPisCofins[[#This Row],[CodBarras2]],2,50)</f>
        <v/>
      </c>
    </row>
    <row r="21119" spans="9:9" x14ac:dyDescent="0.25">
      <c r="I21119" s="227" t="str">
        <f>MID(excPisCofins[[#This Row],[CodBarras2]],2,50)</f>
        <v/>
      </c>
    </row>
    <row r="21120" spans="9:9" x14ac:dyDescent="0.25">
      <c r="I21120" s="227" t="str">
        <f>MID(excPisCofins[[#This Row],[CodBarras2]],2,50)</f>
        <v/>
      </c>
    </row>
    <row r="21121" spans="9:9" x14ac:dyDescent="0.25">
      <c r="I21121" s="227" t="str">
        <f>MID(excPisCofins[[#This Row],[CodBarras2]],2,50)</f>
        <v/>
      </c>
    </row>
    <row r="21122" spans="9:9" x14ac:dyDescent="0.25">
      <c r="I21122" s="227" t="str">
        <f>MID(excPisCofins[[#This Row],[CodBarras2]],2,50)</f>
        <v/>
      </c>
    </row>
    <row r="21123" spans="9:9" x14ac:dyDescent="0.25">
      <c r="I21123" s="227" t="str">
        <f>MID(excPisCofins[[#This Row],[CodBarras2]],2,50)</f>
        <v/>
      </c>
    </row>
    <row r="21124" spans="9:9" x14ac:dyDescent="0.25">
      <c r="I21124" s="227" t="str">
        <f>MID(excPisCofins[[#This Row],[CodBarras2]],2,50)</f>
        <v/>
      </c>
    </row>
    <row r="21125" spans="9:9" x14ac:dyDescent="0.25">
      <c r="I21125" s="227" t="str">
        <f>MID(excPisCofins[[#This Row],[CodBarras2]],2,50)</f>
        <v/>
      </c>
    </row>
    <row r="21126" spans="9:9" x14ac:dyDescent="0.25">
      <c r="I21126" s="227" t="str">
        <f>MID(excPisCofins[[#This Row],[CodBarras2]],2,50)</f>
        <v/>
      </c>
    </row>
    <row r="21127" spans="9:9" x14ac:dyDescent="0.25">
      <c r="I21127" s="227" t="str">
        <f>MID(excPisCofins[[#This Row],[CodBarras2]],2,50)</f>
        <v/>
      </c>
    </row>
    <row r="21128" spans="9:9" x14ac:dyDescent="0.25">
      <c r="I21128" s="227" t="str">
        <f>MID(excPisCofins[[#This Row],[CodBarras2]],2,50)</f>
        <v/>
      </c>
    </row>
    <row r="21129" spans="9:9" x14ac:dyDescent="0.25">
      <c r="I21129" s="227" t="str">
        <f>MID(excPisCofins[[#This Row],[CodBarras2]],2,50)</f>
        <v/>
      </c>
    </row>
    <row r="21130" spans="9:9" x14ac:dyDescent="0.25">
      <c r="I21130" s="227" t="str">
        <f>MID(excPisCofins[[#This Row],[CodBarras2]],2,50)</f>
        <v/>
      </c>
    </row>
    <row r="21131" spans="9:9" x14ac:dyDescent="0.25">
      <c r="I21131" s="227" t="str">
        <f>MID(excPisCofins[[#This Row],[CodBarras2]],2,50)</f>
        <v/>
      </c>
    </row>
    <row r="21132" spans="9:9" x14ac:dyDescent="0.25">
      <c r="I21132" s="227" t="str">
        <f>MID(excPisCofins[[#This Row],[CodBarras2]],2,50)</f>
        <v/>
      </c>
    </row>
    <row r="21133" spans="9:9" x14ac:dyDescent="0.25">
      <c r="I21133" s="227" t="str">
        <f>MID(excPisCofins[[#This Row],[CodBarras2]],2,50)</f>
        <v/>
      </c>
    </row>
    <row r="21134" spans="9:9" x14ac:dyDescent="0.25">
      <c r="I21134" s="227" t="str">
        <f>MID(excPisCofins[[#This Row],[CodBarras2]],2,50)</f>
        <v/>
      </c>
    </row>
    <row r="21135" spans="9:9" x14ac:dyDescent="0.25">
      <c r="I21135" s="227" t="str">
        <f>MID(excPisCofins[[#This Row],[CodBarras2]],2,50)</f>
        <v/>
      </c>
    </row>
    <row r="21136" spans="9:9" x14ac:dyDescent="0.25">
      <c r="I21136" s="227" t="str">
        <f>MID(excPisCofins[[#This Row],[CodBarras2]],2,50)</f>
        <v/>
      </c>
    </row>
    <row r="21137" spans="9:9" x14ac:dyDescent="0.25">
      <c r="I21137" s="227" t="str">
        <f>MID(excPisCofins[[#This Row],[CodBarras2]],2,50)</f>
        <v/>
      </c>
    </row>
    <row r="21138" spans="9:9" x14ac:dyDescent="0.25">
      <c r="I21138" s="227" t="str">
        <f>MID(excPisCofins[[#This Row],[CodBarras2]],2,50)</f>
        <v/>
      </c>
    </row>
    <row r="21139" spans="9:9" x14ac:dyDescent="0.25">
      <c r="I21139" s="227" t="str">
        <f>MID(excPisCofins[[#This Row],[CodBarras2]],2,50)</f>
        <v/>
      </c>
    </row>
    <row r="21140" spans="9:9" x14ac:dyDescent="0.25">
      <c r="I21140" s="227" t="str">
        <f>MID(excPisCofins[[#This Row],[CodBarras2]],2,50)</f>
        <v/>
      </c>
    </row>
    <row r="21141" spans="9:9" x14ac:dyDescent="0.25">
      <c r="I21141" s="227" t="str">
        <f>MID(excPisCofins[[#This Row],[CodBarras2]],2,50)</f>
        <v/>
      </c>
    </row>
    <row r="21142" spans="9:9" x14ac:dyDescent="0.25">
      <c r="I21142" s="227" t="str">
        <f>MID(excPisCofins[[#This Row],[CodBarras2]],2,50)</f>
        <v/>
      </c>
    </row>
    <row r="21143" spans="9:9" x14ac:dyDescent="0.25">
      <c r="I21143" s="227" t="str">
        <f>MID(excPisCofins[[#This Row],[CodBarras2]],2,50)</f>
        <v/>
      </c>
    </row>
    <row r="21144" spans="9:9" x14ac:dyDescent="0.25">
      <c r="I21144" s="227" t="str">
        <f>MID(excPisCofins[[#This Row],[CodBarras2]],2,50)</f>
        <v/>
      </c>
    </row>
    <row r="21145" spans="9:9" x14ac:dyDescent="0.25">
      <c r="I21145" s="227" t="str">
        <f>MID(excPisCofins[[#This Row],[CodBarras2]],2,50)</f>
        <v/>
      </c>
    </row>
    <row r="21146" spans="9:9" x14ac:dyDescent="0.25">
      <c r="I21146" s="227" t="str">
        <f>MID(excPisCofins[[#This Row],[CodBarras2]],2,50)</f>
        <v/>
      </c>
    </row>
    <row r="21147" spans="9:9" x14ac:dyDescent="0.25">
      <c r="I21147" s="227" t="str">
        <f>MID(excPisCofins[[#This Row],[CodBarras2]],2,50)</f>
        <v/>
      </c>
    </row>
    <row r="21148" spans="9:9" x14ac:dyDescent="0.25">
      <c r="I21148" s="227" t="str">
        <f>MID(excPisCofins[[#This Row],[CodBarras2]],2,50)</f>
        <v/>
      </c>
    </row>
    <row r="21149" spans="9:9" x14ac:dyDescent="0.25">
      <c r="I21149" s="227" t="str">
        <f>MID(excPisCofins[[#This Row],[CodBarras2]],2,50)</f>
        <v/>
      </c>
    </row>
    <row r="21150" spans="9:9" x14ac:dyDescent="0.25">
      <c r="I21150" s="227" t="str">
        <f>MID(excPisCofins[[#This Row],[CodBarras2]],2,50)</f>
        <v/>
      </c>
    </row>
    <row r="21151" spans="9:9" x14ac:dyDescent="0.25">
      <c r="I21151" s="227" t="str">
        <f>MID(excPisCofins[[#This Row],[CodBarras2]],2,50)</f>
        <v/>
      </c>
    </row>
    <row r="21152" spans="9:9" x14ac:dyDescent="0.25">
      <c r="I21152" s="227" t="str">
        <f>MID(excPisCofins[[#This Row],[CodBarras2]],2,50)</f>
        <v/>
      </c>
    </row>
    <row r="21153" spans="9:9" x14ac:dyDescent="0.25">
      <c r="I21153" s="227" t="str">
        <f>MID(excPisCofins[[#This Row],[CodBarras2]],2,50)</f>
        <v/>
      </c>
    </row>
    <row r="21154" spans="9:9" x14ac:dyDescent="0.25">
      <c r="I21154" s="227" t="str">
        <f>MID(excPisCofins[[#This Row],[CodBarras2]],2,50)</f>
        <v/>
      </c>
    </row>
    <row r="21155" spans="9:9" x14ac:dyDescent="0.25">
      <c r="I21155" s="227" t="str">
        <f>MID(excPisCofins[[#This Row],[CodBarras2]],2,50)</f>
        <v/>
      </c>
    </row>
    <row r="21156" spans="9:9" x14ac:dyDescent="0.25">
      <c r="I21156" s="227" t="str">
        <f>MID(excPisCofins[[#This Row],[CodBarras2]],2,50)</f>
        <v/>
      </c>
    </row>
    <row r="21157" spans="9:9" x14ac:dyDescent="0.25">
      <c r="I21157" s="227" t="str">
        <f>MID(excPisCofins[[#This Row],[CodBarras2]],2,50)</f>
        <v/>
      </c>
    </row>
    <row r="21158" spans="9:9" x14ac:dyDescent="0.25">
      <c r="I21158" s="227" t="str">
        <f>MID(excPisCofins[[#This Row],[CodBarras2]],2,50)</f>
        <v/>
      </c>
    </row>
    <row r="21159" spans="9:9" x14ac:dyDescent="0.25">
      <c r="I21159" s="227" t="str">
        <f>MID(excPisCofins[[#This Row],[CodBarras2]],2,50)</f>
        <v/>
      </c>
    </row>
    <row r="21160" spans="9:9" x14ac:dyDescent="0.25">
      <c r="I21160" s="227" t="str">
        <f>MID(excPisCofins[[#This Row],[CodBarras2]],2,50)</f>
        <v/>
      </c>
    </row>
    <row r="21161" spans="9:9" x14ac:dyDescent="0.25">
      <c r="I21161" s="227" t="str">
        <f>MID(excPisCofins[[#This Row],[CodBarras2]],2,50)</f>
        <v/>
      </c>
    </row>
    <row r="21162" spans="9:9" x14ac:dyDescent="0.25">
      <c r="I21162" s="227" t="str">
        <f>MID(excPisCofins[[#This Row],[CodBarras2]],2,50)</f>
        <v/>
      </c>
    </row>
    <row r="21163" spans="9:9" x14ac:dyDescent="0.25">
      <c r="I21163" s="227" t="str">
        <f>MID(excPisCofins[[#This Row],[CodBarras2]],2,50)</f>
        <v/>
      </c>
    </row>
    <row r="21164" spans="9:9" x14ac:dyDescent="0.25">
      <c r="I21164" s="227" t="str">
        <f>MID(excPisCofins[[#This Row],[CodBarras2]],2,50)</f>
        <v/>
      </c>
    </row>
    <row r="21165" spans="9:9" x14ac:dyDescent="0.25">
      <c r="I21165" s="227" t="str">
        <f>MID(excPisCofins[[#This Row],[CodBarras2]],2,50)</f>
        <v/>
      </c>
    </row>
    <row r="21166" spans="9:9" x14ac:dyDescent="0.25">
      <c r="I21166" s="227" t="str">
        <f>MID(excPisCofins[[#This Row],[CodBarras2]],2,50)</f>
        <v/>
      </c>
    </row>
    <row r="21167" spans="9:9" x14ac:dyDescent="0.25">
      <c r="I21167" s="227" t="str">
        <f>MID(excPisCofins[[#This Row],[CodBarras2]],2,50)</f>
        <v/>
      </c>
    </row>
    <row r="21168" spans="9:9" x14ac:dyDescent="0.25">
      <c r="I21168" s="227" t="str">
        <f>MID(excPisCofins[[#This Row],[CodBarras2]],2,50)</f>
        <v/>
      </c>
    </row>
    <row r="21169" spans="9:9" x14ac:dyDescent="0.25">
      <c r="I21169" s="227" t="str">
        <f>MID(excPisCofins[[#This Row],[CodBarras2]],2,50)</f>
        <v/>
      </c>
    </row>
    <row r="21170" spans="9:9" x14ac:dyDescent="0.25">
      <c r="I21170" s="227" t="str">
        <f>MID(excPisCofins[[#This Row],[CodBarras2]],2,50)</f>
        <v/>
      </c>
    </row>
    <row r="21171" spans="9:9" x14ac:dyDescent="0.25">
      <c r="I21171" s="227" t="str">
        <f>MID(excPisCofins[[#This Row],[CodBarras2]],2,50)</f>
        <v/>
      </c>
    </row>
    <row r="21172" spans="9:9" x14ac:dyDescent="0.25">
      <c r="I21172" s="227" t="str">
        <f>MID(excPisCofins[[#This Row],[CodBarras2]],2,50)</f>
        <v/>
      </c>
    </row>
    <row r="21173" spans="9:9" x14ac:dyDescent="0.25">
      <c r="I21173" s="227" t="str">
        <f>MID(excPisCofins[[#This Row],[CodBarras2]],2,50)</f>
        <v/>
      </c>
    </row>
    <row r="21174" spans="9:9" x14ac:dyDescent="0.25">
      <c r="I21174" s="227" t="str">
        <f>MID(excPisCofins[[#This Row],[CodBarras2]],2,50)</f>
        <v/>
      </c>
    </row>
    <row r="21175" spans="9:9" x14ac:dyDescent="0.25">
      <c r="I21175" s="227" t="str">
        <f>MID(excPisCofins[[#This Row],[CodBarras2]],2,50)</f>
        <v/>
      </c>
    </row>
    <row r="21176" spans="9:9" x14ac:dyDescent="0.25">
      <c r="I21176" s="227" t="str">
        <f>MID(excPisCofins[[#This Row],[CodBarras2]],2,50)</f>
        <v/>
      </c>
    </row>
    <row r="21177" spans="9:9" x14ac:dyDescent="0.25">
      <c r="I21177" s="227" t="str">
        <f>MID(excPisCofins[[#This Row],[CodBarras2]],2,50)</f>
        <v/>
      </c>
    </row>
    <row r="21178" spans="9:9" x14ac:dyDescent="0.25">
      <c r="I21178" s="227" t="str">
        <f>MID(excPisCofins[[#This Row],[CodBarras2]],2,50)</f>
        <v/>
      </c>
    </row>
    <row r="21179" spans="9:9" x14ac:dyDescent="0.25">
      <c r="I21179" s="227" t="str">
        <f>MID(excPisCofins[[#This Row],[CodBarras2]],2,50)</f>
        <v/>
      </c>
    </row>
    <row r="21180" spans="9:9" x14ac:dyDescent="0.25">
      <c r="I21180" s="227" t="str">
        <f>MID(excPisCofins[[#This Row],[CodBarras2]],2,50)</f>
        <v/>
      </c>
    </row>
    <row r="21181" spans="9:9" x14ac:dyDescent="0.25">
      <c r="I21181" s="227" t="str">
        <f>MID(excPisCofins[[#This Row],[CodBarras2]],2,50)</f>
        <v/>
      </c>
    </row>
    <row r="21182" spans="9:9" x14ac:dyDescent="0.25">
      <c r="I21182" s="227" t="str">
        <f>MID(excPisCofins[[#This Row],[CodBarras2]],2,50)</f>
        <v/>
      </c>
    </row>
    <row r="21183" spans="9:9" x14ac:dyDescent="0.25">
      <c r="I21183" s="227" t="str">
        <f>MID(excPisCofins[[#This Row],[CodBarras2]],2,50)</f>
        <v/>
      </c>
    </row>
    <row r="21184" spans="9:9" x14ac:dyDescent="0.25">
      <c r="I21184" s="227" t="str">
        <f>MID(excPisCofins[[#This Row],[CodBarras2]],2,50)</f>
        <v/>
      </c>
    </row>
    <row r="21185" spans="9:9" x14ac:dyDescent="0.25">
      <c r="I21185" s="227" t="str">
        <f>MID(excPisCofins[[#This Row],[CodBarras2]],2,50)</f>
        <v/>
      </c>
    </row>
    <row r="21186" spans="9:9" x14ac:dyDescent="0.25">
      <c r="I21186" s="227" t="str">
        <f>MID(excPisCofins[[#This Row],[CodBarras2]],2,50)</f>
        <v/>
      </c>
    </row>
    <row r="21187" spans="9:9" x14ac:dyDescent="0.25">
      <c r="I21187" s="227" t="str">
        <f>MID(excPisCofins[[#This Row],[CodBarras2]],2,50)</f>
        <v/>
      </c>
    </row>
    <row r="21188" spans="9:9" x14ac:dyDescent="0.25">
      <c r="I21188" s="227" t="str">
        <f>MID(excPisCofins[[#This Row],[CodBarras2]],2,50)</f>
        <v/>
      </c>
    </row>
    <row r="21189" spans="9:9" x14ac:dyDescent="0.25">
      <c r="I21189" s="227" t="str">
        <f>MID(excPisCofins[[#This Row],[CodBarras2]],2,50)</f>
        <v/>
      </c>
    </row>
    <row r="21190" spans="9:9" x14ac:dyDescent="0.25">
      <c r="I21190" s="227" t="str">
        <f>MID(excPisCofins[[#This Row],[CodBarras2]],2,50)</f>
        <v/>
      </c>
    </row>
    <row r="21191" spans="9:9" x14ac:dyDescent="0.25">
      <c r="I21191" s="227" t="str">
        <f>MID(excPisCofins[[#This Row],[CodBarras2]],2,50)</f>
        <v/>
      </c>
    </row>
    <row r="21192" spans="9:9" x14ac:dyDescent="0.25">
      <c r="I21192" s="227" t="str">
        <f>MID(excPisCofins[[#This Row],[CodBarras2]],2,50)</f>
        <v/>
      </c>
    </row>
    <row r="21193" spans="9:9" x14ac:dyDescent="0.25">
      <c r="I21193" s="227" t="str">
        <f>MID(excPisCofins[[#This Row],[CodBarras2]],2,50)</f>
        <v/>
      </c>
    </row>
    <row r="21194" spans="9:9" x14ac:dyDescent="0.25">
      <c r="I21194" s="227" t="str">
        <f>MID(excPisCofins[[#This Row],[CodBarras2]],2,50)</f>
        <v/>
      </c>
    </row>
    <row r="21195" spans="9:9" x14ac:dyDescent="0.25">
      <c r="I21195" s="227" t="str">
        <f>MID(excPisCofins[[#This Row],[CodBarras2]],2,50)</f>
        <v/>
      </c>
    </row>
    <row r="21196" spans="9:9" x14ac:dyDescent="0.25">
      <c r="I21196" s="227" t="str">
        <f>MID(excPisCofins[[#This Row],[CodBarras2]],2,50)</f>
        <v/>
      </c>
    </row>
    <row r="21197" spans="9:9" x14ac:dyDescent="0.25">
      <c r="I21197" s="227" t="str">
        <f>MID(excPisCofins[[#This Row],[CodBarras2]],2,50)</f>
        <v/>
      </c>
    </row>
    <row r="21198" spans="9:9" x14ac:dyDescent="0.25">
      <c r="I21198" s="227" t="str">
        <f>MID(excPisCofins[[#This Row],[CodBarras2]],2,50)</f>
        <v/>
      </c>
    </row>
    <row r="21199" spans="9:9" x14ac:dyDescent="0.25">
      <c r="I21199" s="227" t="str">
        <f>MID(excPisCofins[[#This Row],[CodBarras2]],2,50)</f>
        <v/>
      </c>
    </row>
    <row r="21200" spans="9:9" x14ac:dyDescent="0.25">
      <c r="I21200" s="227" t="str">
        <f>MID(excPisCofins[[#This Row],[CodBarras2]],2,50)</f>
        <v/>
      </c>
    </row>
    <row r="21201" spans="9:9" x14ac:dyDescent="0.25">
      <c r="I21201" s="227" t="str">
        <f>MID(excPisCofins[[#This Row],[CodBarras2]],2,50)</f>
        <v/>
      </c>
    </row>
    <row r="21202" spans="9:9" x14ac:dyDescent="0.25">
      <c r="I21202" s="227" t="str">
        <f>MID(excPisCofins[[#This Row],[CodBarras2]],2,50)</f>
        <v/>
      </c>
    </row>
    <row r="21203" spans="9:9" x14ac:dyDescent="0.25">
      <c r="I21203" s="227" t="str">
        <f>MID(excPisCofins[[#This Row],[CodBarras2]],2,50)</f>
        <v/>
      </c>
    </row>
    <row r="21204" spans="9:9" x14ac:dyDescent="0.25">
      <c r="I21204" s="227" t="str">
        <f>MID(excPisCofins[[#This Row],[CodBarras2]],2,50)</f>
        <v/>
      </c>
    </row>
    <row r="21205" spans="9:9" x14ac:dyDescent="0.25">
      <c r="I21205" s="227" t="str">
        <f>MID(excPisCofins[[#This Row],[CodBarras2]],2,50)</f>
        <v/>
      </c>
    </row>
    <row r="21206" spans="9:9" x14ac:dyDescent="0.25">
      <c r="I21206" s="227" t="str">
        <f>MID(excPisCofins[[#This Row],[CodBarras2]],2,50)</f>
        <v/>
      </c>
    </row>
    <row r="21207" spans="9:9" x14ac:dyDescent="0.25">
      <c r="I21207" s="227" t="str">
        <f>MID(excPisCofins[[#This Row],[CodBarras2]],2,50)</f>
        <v/>
      </c>
    </row>
    <row r="21208" spans="9:9" x14ac:dyDescent="0.25">
      <c r="I21208" s="227" t="str">
        <f>MID(excPisCofins[[#This Row],[CodBarras2]],2,50)</f>
        <v/>
      </c>
    </row>
    <row r="21209" spans="9:9" x14ac:dyDescent="0.25">
      <c r="I21209" s="227" t="str">
        <f>MID(excPisCofins[[#This Row],[CodBarras2]],2,50)</f>
        <v/>
      </c>
    </row>
    <row r="21210" spans="9:9" x14ac:dyDescent="0.25">
      <c r="I21210" s="227" t="str">
        <f>MID(excPisCofins[[#This Row],[CodBarras2]],2,50)</f>
        <v/>
      </c>
    </row>
    <row r="21211" spans="9:9" x14ac:dyDescent="0.25">
      <c r="I21211" s="227" t="str">
        <f>MID(excPisCofins[[#This Row],[CodBarras2]],2,50)</f>
        <v/>
      </c>
    </row>
    <row r="21212" spans="9:9" x14ac:dyDescent="0.25">
      <c r="I21212" s="227" t="str">
        <f>MID(excPisCofins[[#This Row],[CodBarras2]],2,50)</f>
        <v/>
      </c>
    </row>
    <row r="21213" spans="9:9" x14ac:dyDescent="0.25">
      <c r="I21213" s="227" t="str">
        <f>MID(excPisCofins[[#This Row],[CodBarras2]],2,50)</f>
        <v/>
      </c>
    </row>
    <row r="21214" spans="9:9" x14ac:dyDescent="0.25">
      <c r="I21214" s="227" t="str">
        <f>MID(excPisCofins[[#This Row],[CodBarras2]],2,50)</f>
        <v/>
      </c>
    </row>
    <row r="21215" spans="9:9" x14ac:dyDescent="0.25">
      <c r="I21215" s="227" t="str">
        <f>MID(excPisCofins[[#This Row],[CodBarras2]],2,50)</f>
        <v/>
      </c>
    </row>
    <row r="21216" spans="9:9" x14ac:dyDescent="0.25">
      <c r="I21216" s="227" t="str">
        <f>MID(excPisCofins[[#This Row],[CodBarras2]],2,50)</f>
        <v/>
      </c>
    </row>
    <row r="21217" spans="9:9" x14ac:dyDescent="0.25">
      <c r="I21217" s="227" t="str">
        <f>MID(excPisCofins[[#This Row],[CodBarras2]],2,50)</f>
        <v/>
      </c>
    </row>
    <row r="21218" spans="9:9" x14ac:dyDescent="0.25">
      <c r="I21218" s="227" t="str">
        <f>MID(excPisCofins[[#This Row],[CodBarras2]],2,50)</f>
        <v/>
      </c>
    </row>
    <row r="21219" spans="9:9" x14ac:dyDescent="0.25">
      <c r="I21219" s="227" t="str">
        <f>MID(excPisCofins[[#This Row],[CodBarras2]],2,50)</f>
        <v/>
      </c>
    </row>
    <row r="21220" spans="9:9" x14ac:dyDescent="0.25">
      <c r="I21220" s="227" t="str">
        <f>MID(excPisCofins[[#This Row],[CodBarras2]],2,50)</f>
        <v/>
      </c>
    </row>
    <row r="21221" spans="9:9" x14ac:dyDescent="0.25">
      <c r="I21221" s="227" t="str">
        <f>MID(excPisCofins[[#This Row],[CodBarras2]],2,50)</f>
        <v/>
      </c>
    </row>
    <row r="21222" spans="9:9" x14ac:dyDescent="0.25">
      <c r="I21222" s="227" t="str">
        <f>MID(excPisCofins[[#This Row],[CodBarras2]],2,50)</f>
        <v/>
      </c>
    </row>
    <row r="21223" spans="9:9" x14ac:dyDescent="0.25">
      <c r="I21223" s="227" t="str">
        <f>MID(excPisCofins[[#This Row],[CodBarras2]],2,50)</f>
        <v/>
      </c>
    </row>
    <row r="21224" spans="9:9" x14ac:dyDescent="0.25">
      <c r="I21224" s="227" t="str">
        <f>MID(excPisCofins[[#This Row],[CodBarras2]],2,50)</f>
        <v/>
      </c>
    </row>
    <row r="21225" spans="9:9" x14ac:dyDescent="0.25">
      <c r="I21225" s="227" t="str">
        <f>MID(excPisCofins[[#This Row],[CodBarras2]],2,50)</f>
        <v/>
      </c>
    </row>
    <row r="21226" spans="9:9" x14ac:dyDescent="0.25">
      <c r="I21226" s="227" t="str">
        <f>MID(excPisCofins[[#This Row],[CodBarras2]],2,50)</f>
        <v/>
      </c>
    </row>
    <row r="21227" spans="9:9" x14ac:dyDescent="0.25">
      <c r="I21227" s="227" t="str">
        <f>MID(excPisCofins[[#This Row],[CodBarras2]],2,50)</f>
        <v/>
      </c>
    </row>
    <row r="21228" spans="9:9" x14ac:dyDescent="0.25">
      <c r="I21228" s="227" t="str">
        <f>MID(excPisCofins[[#This Row],[CodBarras2]],2,50)</f>
        <v/>
      </c>
    </row>
    <row r="21229" spans="9:9" x14ac:dyDescent="0.25">
      <c r="I21229" s="227" t="str">
        <f>MID(excPisCofins[[#This Row],[CodBarras2]],2,50)</f>
        <v/>
      </c>
    </row>
    <row r="21230" spans="9:9" x14ac:dyDescent="0.25">
      <c r="I21230" s="227" t="str">
        <f>MID(excPisCofins[[#This Row],[CodBarras2]],2,50)</f>
        <v/>
      </c>
    </row>
    <row r="21231" spans="9:9" x14ac:dyDescent="0.25">
      <c r="I21231" s="227" t="str">
        <f>MID(excPisCofins[[#This Row],[CodBarras2]],2,50)</f>
        <v/>
      </c>
    </row>
    <row r="21232" spans="9:9" x14ac:dyDescent="0.25">
      <c r="I21232" s="227" t="str">
        <f>MID(excPisCofins[[#This Row],[CodBarras2]],2,50)</f>
        <v/>
      </c>
    </row>
    <row r="21233" spans="9:9" x14ac:dyDescent="0.25">
      <c r="I21233" s="227" t="str">
        <f>MID(excPisCofins[[#This Row],[CodBarras2]],2,50)</f>
        <v/>
      </c>
    </row>
    <row r="21234" spans="9:9" x14ac:dyDescent="0.25">
      <c r="I21234" s="227" t="str">
        <f>MID(excPisCofins[[#This Row],[CodBarras2]],2,50)</f>
        <v/>
      </c>
    </row>
    <row r="21235" spans="9:9" x14ac:dyDescent="0.25">
      <c r="I21235" s="227" t="str">
        <f>MID(excPisCofins[[#This Row],[CodBarras2]],2,50)</f>
        <v/>
      </c>
    </row>
    <row r="21236" spans="9:9" x14ac:dyDescent="0.25">
      <c r="I21236" s="227" t="str">
        <f>MID(excPisCofins[[#This Row],[CodBarras2]],2,50)</f>
        <v/>
      </c>
    </row>
    <row r="21237" spans="9:9" x14ac:dyDescent="0.25">
      <c r="I21237" s="227" t="str">
        <f>MID(excPisCofins[[#This Row],[CodBarras2]],2,50)</f>
        <v/>
      </c>
    </row>
    <row r="21238" spans="9:9" x14ac:dyDescent="0.25">
      <c r="I21238" s="227" t="str">
        <f>MID(excPisCofins[[#This Row],[CodBarras2]],2,50)</f>
        <v/>
      </c>
    </row>
    <row r="21239" spans="9:9" x14ac:dyDescent="0.25">
      <c r="I21239" s="227" t="str">
        <f>MID(excPisCofins[[#This Row],[CodBarras2]],2,50)</f>
        <v/>
      </c>
    </row>
    <row r="21240" spans="9:9" x14ac:dyDescent="0.25">
      <c r="I21240" s="227" t="str">
        <f>MID(excPisCofins[[#This Row],[CodBarras2]],2,50)</f>
        <v/>
      </c>
    </row>
    <row r="21241" spans="9:9" x14ac:dyDescent="0.25">
      <c r="I21241" s="227" t="str">
        <f>MID(excPisCofins[[#This Row],[CodBarras2]],2,50)</f>
        <v/>
      </c>
    </row>
    <row r="21242" spans="9:9" x14ac:dyDescent="0.25">
      <c r="I21242" s="227" t="str">
        <f>MID(excPisCofins[[#This Row],[CodBarras2]],2,50)</f>
        <v/>
      </c>
    </row>
    <row r="21243" spans="9:9" x14ac:dyDescent="0.25">
      <c r="I21243" s="227" t="str">
        <f>MID(excPisCofins[[#This Row],[CodBarras2]],2,50)</f>
        <v/>
      </c>
    </row>
    <row r="21244" spans="9:9" x14ac:dyDescent="0.25">
      <c r="I21244" s="227" t="str">
        <f>MID(excPisCofins[[#This Row],[CodBarras2]],2,50)</f>
        <v/>
      </c>
    </row>
    <row r="21245" spans="9:9" x14ac:dyDescent="0.25">
      <c r="I21245" s="227" t="str">
        <f>MID(excPisCofins[[#This Row],[CodBarras2]],2,50)</f>
        <v/>
      </c>
    </row>
    <row r="21246" spans="9:9" x14ac:dyDescent="0.25">
      <c r="I21246" s="227" t="str">
        <f>MID(excPisCofins[[#This Row],[CodBarras2]],2,50)</f>
        <v/>
      </c>
    </row>
    <row r="21247" spans="9:9" x14ac:dyDescent="0.25">
      <c r="I21247" s="227" t="str">
        <f>MID(excPisCofins[[#This Row],[CodBarras2]],2,50)</f>
        <v/>
      </c>
    </row>
    <row r="21248" spans="9:9" x14ac:dyDescent="0.25">
      <c r="I21248" s="227" t="str">
        <f>MID(excPisCofins[[#This Row],[CodBarras2]],2,50)</f>
        <v/>
      </c>
    </row>
    <row r="21249" spans="9:9" x14ac:dyDescent="0.25">
      <c r="I21249" s="227" t="str">
        <f>MID(excPisCofins[[#This Row],[CodBarras2]],2,50)</f>
        <v/>
      </c>
    </row>
    <row r="21250" spans="9:9" x14ac:dyDescent="0.25">
      <c r="I21250" s="227" t="str">
        <f>MID(excPisCofins[[#This Row],[CodBarras2]],2,50)</f>
        <v/>
      </c>
    </row>
    <row r="21251" spans="9:9" x14ac:dyDescent="0.25">
      <c r="I21251" s="227" t="str">
        <f>MID(excPisCofins[[#This Row],[CodBarras2]],2,50)</f>
        <v/>
      </c>
    </row>
    <row r="21252" spans="9:9" x14ac:dyDescent="0.25">
      <c r="I21252" s="227" t="str">
        <f>MID(excPisCofins[[#This Row],[CodBarras2]],2,50)</f>
        <v/>
      </c>
    </row>
    <row r="21253" spans="9:9" x14ac:dyDescent="0.25">
      <c r="I21253" s="227" t="str">
        <f>MID(excPisCofins[[#This Row],[CodBarras2]],2,50)</f>
        <v/>
      </c>
    </row>
    <row r="21254" spans="9:9" x14ac:dyDescent="0.25">
      <c r="I21254" s="227" t="str">
        <f>MID(excPisCofins[[#This Row],[CodBarras2]],2,50)</f>
        <v/>
      </c>
    </row>
    <row r="21255" spans="9:9" x14ac:dyDescent="0.25">
      <c r="I21255" s="227" t="str">
        <f>MID(excPisCofins[[#This Row],[CodBarras2]],2,50)</f>
        <v/>
      </c>
    </row>
    <row r="21256" spans="9:9" x14ac:dyDescent="0.25">
      <c r="I21256" s="227" t="str">
        <f>MID(excPisCofins[[#This Row],[CodBarras2]],2,50)</f>
        <v/>
      </c>
    </row>
    <row r="21257" spans="9:9" x14ac:dyDescent="0.25">
      <c r="I21257" s="227" t="str">
        <f>MID(excPisCofins[[#This Row],[CodBarras2]],2,50)</f>
        <v/>
      </c>
    </row>
    <row r="21258" spans="9:9" x14ac:dyDescent="0.25">
      <c r="I21258" s="227" t="str">
        <f>MID(excPisCofins[[#This Row],[CodBarras2]],2,50)</f>
        <v/>
      </c>
    </row>
    <row r="21259" spans="9:9" x14ac:dyDescent="0.25">
      <c r="I21259" s="227" t="str">
        <f>MID(excPisCofins[[#This Row],[CodBarras2]],2,50)</f>
        <v/>
      </c>
    </row>
    <row r="21260" spans="9:9" x14ac:dyDescent="0.25">
      <c r="I21260" s="227" t="str">
        <f>MID(excPisCofins[[#This Row],[CodBarras2]],2,50)</f>
        <v/>
      </c>
    </row>
    <row r="21261" spans="9:9" x14ac:dyDescent="0.25">
      <c r="I21261" s="227" t="str">
        <f>MID(excPisCofins[[#This Row],[CodBarras2]],2,50)</f>
        <v/>
      </c>
    </row>
    <row r="21262" spans="9:9" x14ac:dyDescent="0.25">
      <c r="I21262" s="227" t="str">
        <f>MID(excPisCofins[[#This Row],[CodBarras2]],2,50)</f>
        <v/>
      </c>
    </row>
    <row r="21263" spans="9:9" x14ac:dyDescent="0.25">
      <c r="I21263" s="227" t="str">
        <f>MID(excPisCofins[[#This Row],[CodBarras2]],2,50)</f>
        <v/>
      </c>
    </row>
    <row r="21264" spans="9:9" x14ac:dyDescent="0.25">
      <c r="I21264" s="227" t="str">
        <f>MID(excPisCofins[[#This Row],[CodBarras2]],2,50)</f>
        <v/>
      </c>
    </row>
    <row r="21265" spans="9:9" x14ac:dyDescent="0.25">
      <c r="I21265" s="227" t="str">
        <f>MID(excPisCofins[[#This Row],[CodBarras2]],2,50)</f>
        <v/>
      </c>
    </row>
    <row r="21266" spans="9:9" x14ac:dyDescent="0.25">
      <c r="I21266" s="227" t="str">
        <f>MID(excPisCofins[[#This Row],[CodBarras2]],2,50)</f>
        <v/>
      </c>
    </row>
    <row r="21267" spans="9:9" x14ac:dyDescent="0.25">
      <c r="I21267" s="227" t="str">
        <f>MID(excPisCofins[[#This Row],[CodBarras2]],2,50)</f>
        <v/>
      </c>
    </row>
    <row r="21268" spans="9:9" x14ac:dyDescent="0.25">
      <c r="I21268" s="227" t="str">
        <f>MID(excPisCofins[[#This Row],[CodBarras2]],2,50)</f>
        <v/>
      </c>
    </row>
    <row r="21269" spans="9:9" x14ac:dyDescent="0.25">
      <c r="I21269" s="227" t="str">
        <f>MID(excPisCofins[[#This Row],[CodBarras2]],2,50)</f>
        <v/>
      </c>
    </row>
    <row r="21270" spans="9:9" x14ac:dyDescent="0.25">
      <c r="I21270" s="227" t="str">
        <f>MID(excPisCofins[[#This Row],[CodBarras2]],2,50)</f>
        <v/>
      </c>
    </row>
    <row r="21271" spans="9:9" x14ac:dyDescent="0.25">
      <c r="I21271" s="227" t="str">
        <f>MID(excPisCofins[[#This Row],[CodBarras2]],2,50)</f>
        <v/>
      </c>
    </row>
    <row r="21272" spans="9:9" x14ac:dyDescent="0.25">
      <c r="I21272" s="227" t="str">
        <f>MID(excPisCofins[[#This Row],[CodBarras2]],2,50)</f>
        <v/>
      </c>
    </row>
    <row r="21273" spans="9:9" x14ac:dyDescent="0.25">
      <c r="I21273" s="227" t="str">
        <f>MID(excPisCofins[[#This Row],[CodBarras2]],2,50)</f>
        <v/>
      </c>
    </row>
    <row r="21274" spans="9:9" x14ac:dyDescent="0.25">
      <c r="I21274" s="227" t="str">
        <f>MID(excPisCofins[[#This Row],[CodBarras2]],2,50)</f>
        <v/>
      </c>
    </row>
    <row r="21275" spans="9:9" x14ac:dyDescent="0.25">
      <c r="I21275" s="227" t="str">
        <f>MID(excPisCofins[[#This Row],[CodBarras2]],2,50)</f>
        <v/>
      </c>
    </row>
    <row r="21276" spans="9:9" x14ac:dyDescent="0.25">
      <c r="I21276" s="227" t="str">
        <f>MID(excPisCofins[[#This Row],[CodBarras2]],2,50)</f>
        <v/>
      </c>
    </row>
    <row r="21277" spans="9:9" x14ac:dyDescent="0.25">
      <c r="I21277" s="227" t="str">
        <f>MID(excPisCofins[[#This Row],[CodBarras2]],2,50)</f>
        <v/>
      </c>
    </row>
    <row r="21278" spans="9:9" x14ac:dyDescent="0.25">
      <c r="I21278" s="227" t="str">
        <f>MID(excPisCofins[[#This Row],[CodBarras2]],2,50)</f>
        <v/>
      </c>
    </row>
    <row r="21279" spans="9:9" x14ac:dyDescent="0.25">
      <c r="I21279" s="227" t="str">
        <f>MID(excPisCofins[[#This Row],[CodBarras2]],2,50)</f>
        <v/>
      </c>
    </row>
    <row r="21280" spans="9:9" x14ac:dyDescent="0.25">
      <c r="I21280" s="227" t="str">
        <f>MID(excPisCofins[[#This Row],[CodBarras2]],2,50)</f>
        <v/>
      </c>
    </row>
    <row r="21281" spans="9:9" x14ac:dyDescent="0.25">
      <c r="I21281" s="227" t="str">
        <f>MID(excPisCofins[[#This Row],[CodBarras2]],2,50)</f>
        <v/>
      </c>
    </row>
    <row r="21282" spans="9:9" x14ac:dyDescent="0.25">
      <c r="I21282" s="227" t="str">
        <f>MID(excPisCofins[[#This Row],[CodBarras2]],2,50)</f>
        <v/>
      </c>
    </row>
    <row r="21283" spans="9:9" x14ac:dyDescent="0.25">
      <c r="I21283" s="227" t="str">
        <f>MID(excPisCofins[[#This Row],[CodBarras2]],2,50)</f>
        <v/>
      </c>
    </row>
    <row r="21284" spans="9:9" x14ac:dyDescent="0.25">
      <c r="I21284" s="227" t="str">
        <f>MID(excPisCofins[[#This Row],[CodBarras2]],2,50)</f>
        <v/>
      </c>
    </row>
    <row r="21285" spans="9:9" x14ac:dyDescent="0.25">
      <c r="I21285" s="227" t="str">
        <f>MID(excPisCofins[[#This Row],[CodBarras2]],2,50)</f>
        <v/>
      </c>
    </row>
    <row r="21286" spans="9:9" x14ac:dyDescent="0.25">
      <c r="I21286" s="227" t="str">
        <f>MID(excPisCofins[[#This Row],[CodBarras2]],2,50)</f>
        <v/>
      </c>
    </row>
    <row r="21287" spans="9:9" x14ac:dyDescent="0.25">
      <c r="I21287" s="227" t="str">
        <f>MID(excPisCofins[[#This Row],[CodBarras2]],2,50)</f>
        <v/>
      </c>
    </row>
    <row r="21288" spans="9:9" x14ac:dyDescent="0.25">
      <c r="I21288" s="227" t="str">
        <f>MID(excPisCofins[[#This Row],[CodBarras2]],2,50)</f>
        <v/>
      </c>
    </row>
    <row r="21289" spans="9:9" x14ac:dyDescent="0.25">
      <c r="I21289" s="227" t="str">
        <f>MID(excPisCofins[[#This Row],[CodBarras2]],2,50)</f>
        <v/>
      </c>
    </row>
    <row r="21290" spans="9:9" x14ac:dyDescent="0.25">
      <c r="I21290" s="227" t="str">
        <f>MID(excPisCofins[[#This Row],[CodBarras2]],2,50)</f>
        <v/>
      </c>
    </row>
    <row r="21291" spans="9:9" x14ac:dyDescent="0.25">
      <c r="I21291" s="227" t="str">
        <f>MID(excPisCofins[[#This Row],[CodBarras2]],2,50)</f>
        <v/>
      </c>
    </row>
    <row r="21292" spans="9:9" x14ac:dyDescent="0.25">
      <c r="I21292" s="227" t="str">
        <f>MID(excPisCofins[[#This Row],[CodBarras2]],2,50)</f>
        <v/>
      </c>
    </row>
    <row r="21293" spans="9:9" x14ac:dyDescent="0.25">
      <c r="I21293" s="227" t="str">
        <f>MID(excPisCofins[[#This Row],[CodBarras2]],2,50)</f>
        <v/>
      </c>
    </row>
    <row r="21294" spans="9:9" x14ac:dyDescent="0.25">
      <c r="I21294" s="227" t="str">
        <f>MID(excPisCofins[[#This Row],[CodBarras2]],2,50)</f>
        <v/>
      </c>
    </row>
    <row r="21295" spans="9:9" x14ac:dyDescent="0.25">
      <c r="I21295" s="227" t="str">
        <f>MID(excPisCofins[[#This Row],[CodBarras2]],2,50)</f>
        <v/>
      </c>
    </row>
    <row r="21296" spans="9:9" x14ac:dyDescent="0.25">
      <c r="I21296" s="227" t="str">
        <f>MID(excPisCofins[[#This Row],[CodBarras2]],2,50)</f>
        <v/>
      </c>
    </row>
    <row r="21297" spans="9:9" x14ac:dyDescent="0.25">
      <c r="I21297" s="227" t="str">
        <f>MID(excPisCofins[[#This Row],[CodBarras2]],2,50)</f>
        <v/>
      </c>
    </row>
    <row r="21298" spans="9:9" x14ac:dyDescent="0.25">
      <c r="I21298" s="227" t="str">
        <f>MID(excPisCofins[[#This Row],[CodBarras2]],2,50)</f>
        <v/>
      </c>
    </row>
    <row r="21299" spans="9:9" x14ac:dyDescent="0.25">
      <c r="I21299" s="227" t="str">
        <f>MID(excPisCofins[[#This Row],[CodBarras2]],2,50)</f>
        <v/>
      </c>
    </row>
    <row r="21300" spans="9:9" x14ac:dyDescent="0.25">
      <c r="I21300" s="227" t="str">
        <f>MID(excPisCofins[[#This Row],[CodBarras2]],2,50)</f>
        <v/>
      </c>
    </row>
    <row r="21301" spans="9:9" x14ac:dyDescent="0.25">
      <c r="I21301" s="227" t="str">
        <f>MID(excPisCofins[[#This Row],[CodBarras2]],2,50)</f>
        <v/>
      </c>
    </row>
    <row r="21302" spans="9:9" x14ac:dyDescent="0.25">
      <c r="I21302" s="227" t="str">
        <f>MID(excPisCofins[[#This Row],[CodBarras2]],2,50)</f>
        <v/>
      </c>
    </row>
    <row r="21303" spans="9:9" x14ac:dyDescent="0.25">
      <c r="I21303" s="227" t="str">
        <f>MID(excPisCofins[[#This Row],[CodBarras2]],2,50)</f>
        <v/>
      </c>
    </row>
    <row r="21304" spans="9:9" x14ac:dyDescent="0.25">
      <c r="I21304" s="227" t="str">
        <f>MID(excPisCofins[[#This Row],[CodBarras2]],2,50)</f>
        <v/>
      </c>
    </row>
    <row r="21305" spans="9:9" x14ac:dyDescent="0.25">
      <c r="I21305" s="227" t="str">
        <f>MID(excPisCofins[[#This Row],[CodBarras2]],2,50)</f>
        <v/>
      </c>
    </row>
    <row r="21306" spans="9:9" x14ac:dyDescent="0.25">
      <c r="I21306" s="227" t="str">
        <f>MID(excPisCofins[[#This Row],[CodBarras2]],2,50)</f>
        <v/>
      </c>
    </row>
    <row r="21307" spans="9:9" x14ac:dyDescent="0.25">
      <c r="I21307" s="227" t="str">
        <f>MID(excPisCofins[[#This Row],[CodBarras2]],2,50)</f>
        <v/>
      </c>
    </row>
    <row r="21308" spans="9:9" x14ac:dyDescent="0.25">
      <c r="I21308" s="227" t="str">
        <f>MID(excPisCofins[[#This Row],[CodBarras2]],2,50)</f>
        <v/>
      </c>
    </row>
    <row r="21309" spans="9:9" x14ac:dyDescent="0.25">
      <c r="I21309" s="227" t="str">
        <f>MID(excPisCofins[[#This Row],[CodBarras2]],2,50)</f>
        <v/>
      </c>
    </row>
    <row r="21310" spans="9:9" x14ac:dyDescent="0.25">
      <c r="I21310" s="227" t="str">
        <f>MID(excPisCofins[[#This Row],[CodBarras2]],2,50)</f>
        <v/>
      </c>
    </row>
    <row r="21311" spans="9:9" x14ac:dyDescent="0.25">
      <c r="I21311" s="227" t="str">
        <f>MID(excPisCofins[[#This Row],[CodBarras2]],2,50)</f>
        <v/>
      </c>
    </row>
    <row r="21312" spans="9:9" x14ac:dyDescent="0.25">
      <c r="I21312" s="227" t="str">
        <f>MID(excPisCofins[[#This Row],[CodBarras2]],2,50)</f>
        <v/>
      </c>
    </row>
    <row r="21313" spans="9:9" x14ac:dyDescent="0.25">
      <c r="I21313" s="227" t="str">
        <f>MID(excPisCofins[[#This Row],[CodBarras2]],2,50)</f>
        <v/>
      </c>
    </row>
    <row r="21314" spans="9:9" x14ac:dyDescent="0.25">
      <c r="I21314" s="227" t="str">
        <f>MID(excPisCofins[[#This Row],[CodBarras2]],2,50)</f>
        <v/>
      </c>
    </row>
    <row r="21315" spans="9:9" x14ac:dyDescent="0.25">
      <c r="I21315" s="227" t="str">
        <f>MID(excPisCofins[[#This Row],[CodBarras2]],2,50)</f>
        <v/>
      </c>
    </row>
    <row r="21316" spans="9:9" x14ac:dyDescent="0.25">
      <c r="I21316" s="227" t="str">
        <f>MID(excPisCofins[[#This Row],[CodBarras2]],2,50)</f>
        <v/>
      </c>
    </row>
    <row r="21317" spans="9:9" x14ac:dyDescent="0.25">
      <c r="I21317" s="227" t="str">
        <f>MID(excPisCofins[[#This Row],[CodBarras2]],2,50)</f>
        <v/>
      </c>
    </row>
    <row r="21318" spans="9:9" x14ac:dyDescent="0.25">
      <c r="I21318" s="227" t="str">
        <f>MID(excPisCofins[[#This Row],[CodBarras2]],2,50)</f>
        <v/>
      </c>
    </row>
    <row r="21319" spans="9:9" x14ac:dyDescent="0.25">
      <c r="I21319" s="227" t="str">
        <f>MID(excPisCofins[[#This Row],[CodBarras2]],2,50)</f>
        <v/>
      </c>
    </row>
    <row r="21320" spans="9:9" x14ac:dyDescent="0.25">
      <c r="I21320" s="227" t="str">
        <f>MID(excPisCofins[[#This Row],[CodBarras2]],2,50)</f>
        <v/>
      </c>
    </row>
    <row r="21321" spans="9:9" x14ac:dyDescent="0.25">
      <c r="I21321" s="227" t="str">
        <f>MID(excPisCofins[[#This Row],[CodBarras2]],2,50)</f>
        <v/>
      </c>
    </row>
    <row r="21322" spans="9:9" x14ac:dyDescent="0.25">
      <c r="I21322" s="227" t="str">
        <f>MID(excPisCofins[[#This Row],[CodBarras2]],2,50)</f>
        <v/>
      </c>
    </row>
    <row r="21323" spans="9:9" x14ac:dyDescent="0.25">
      <c r="I21323" s="227" t="str">
        <f>MID(excPisCofins[[#This Row],[CodBarras2]],2,50)</f>
        <v/>
      </c>
    </row>
    <row r="21324" spans="9:9" x14ac:dyDescent="0.25">
      <c r="I21324" s="227" t="str">
        <f>MID(excPisCofins[[#This Row],[CodBarras2]],2,50)</f>
        <v/>
      </c>
    </row>
    <row r="21325" spans="9:9" x14ac:dyDescent="0.25">
      <c r="I21325" s="227" t="str">
        <f>MID(excPisCofins[[#This Row],[CodBarras2]],2,50)</f>
        <v/>
      </c>
    </row>
    <row r="21326" spans="9:9" x14ac:dyDescent="0.25">
      <c r="I21326" s="227" t="str">
        <f>MID(excPisCofins[[#This Row],[CodBarras2]],2,50)</f>
        <v/>
      </c>
    </row>
    <row r="21327" spans="9:9" x14ac:dyDescent="0.25">
      <c r="I21327" s="227" t="str">
        <f>MID(excPisCofins[[#This Row],[CodBarras2]],2,50)</f>
        <v/>
      </c>
    </row>
    <row r="21328" spans="9:9" x14ac:dyDescent="0.25">
      <c r="I21328" s="227" t="str">
        <f>MID(excPisCofins[[#This Row],[CodBarras2]],2,50)</f>
        <v/>
      </c>
    </row>
    <row r="21329" spans="9:9" x14ac:dyDescent="0.25">
      <c r="I21329" s="227" t="str">
        <f>MID(excPisCofins[[#This Row],[CodBarras2]],2,50)</f>
        <v/>
      </c>
    </row>
    <row r="21330" spans="9:9" x14ac:dyDescent="0.25">
      <c r="I21330" s="227" t="str">
        <f>MID(excPisCofins[[#This Row],[CodBarras2]],2,50)</f>
        <v/>
      </c>
    </row>
    <row r="21331" spans="9:9" x14ac:dyDescent="0.25">
      <c r="I21331" s="227" t="str">
        <f>MID(excPisCofins[[#This Row],[CodBarras2]],2,50)</f>
        <v/>
      </c>
    </row>
    <row r="21332" spans="9:9" x14ac:dyDescent="0.25">
      <c r="I21332" s="227" t="str">
        <f>MID(excPisCofins[[#This Row],[CodBarras2]],2,50)</f>
        <v/>
      </c>
    </row>
    <row r="21333" spans="9:9" x14ac:dyDescent="0.25">
      <c r="I21333" s="227" t="str">
        <f>MID(excPisCofins[[#This Row],[CodBarras2]],2,50)</f>
        <v/>
      </c>
    </row>
    <row r="21334" spans="9:9" x14ac:dyDescent="0.25">
      <c r="I21334" s="227" t="str">
        <f>MID(excPisCofins[[#This Row],[CodBarras2]],2,50)</f>
        <v/>
      </c>
    </row>
    <row r="21335" spans="9:9" x14ac:dyDescent="0.25">
      <c r="I21335" s="227" t="str">
        <f>MID(excPisCofins[[#This Row],[CodBarras2]],2,50)</f>
        <v/>
      </c>
    </row>
    <row r="21336" spans="9:9" x14ac:dyDescent="0.25">
      <c r="I21336" s="227" t="str">
        <f>MID(excPisCofins[[#This Row],[CodBarras2]],2,50)</f>
        <v/>
      </c>
    </row>
    <row r="21337" spans="9:9" x14ac:dyDescent="0.25">
      <c r="I21337" s="227" t="str">
        <f>MID(excPisCofins[[#This Row],[CodBarras2]],2,50)</f>
        <v/>
      </c>
    </row>
    <row r="21338" spans="9:9" x14ac:dyDescent="0.25">
      <c r="I21338" s="227" t="str">
        <f>MID(excPisCofins[[#This Row],[CodBarras2]],2,50)</f>
        <v/>
      </c>
    </row>
    <row r="21339" spans="9:9" x14ac:dyDescent="0.25">
      <c r="I21339" s="227" t="str">
        <f>MID(excPisCofins[[#This Row],[CodBarras2]],2,50)</f>
        <v/>
      </c>
    </row>
    <row r="21340" spans="9:9" x14ac:dyDescent="0.25">
      <c r="I21340" s="227" t="str">
        <f>MID(excPisCofins[[#This Row],[CodBarras2]],2,50)</f>
        <v/>
      </c>
    </row>
    <row r="21341" spans="9:9" x14ac:dyDescent="0.25">
      <c r="I21341" s="227" t="str">
        <f>MID(excPisCofins[[#This Row],[CodBarras2]],2,50)</f>
        <v/>
      </c>
    </row>
    <row r="21342" spans="9:9" x14ac:dyDescent="0.25">
      <c r="I21342" s="227" t="str">
        <f>MID(excPisCofins[[#This Row],[CodBarras2]],2,50)</f>
        <v/>
      </c>
    </row>
    <row r="21343" spans="9:9" x14ac:dyDescent="0.25">
      <c r="I21343" s="227" t="str">
        <f>MID(excPisCofins[[#This Row],[CodBarras2]],2,50)</f>
        <v/>
      </c>
    </row>
    <row r="21344" spans="9:9" x14ac:dyDescent="0.25">
      <c r="I21344" s="227" t="str">
        <f>MID(excPisCofins[[#This Row],[CodBarras2]],2,50)</f>
        <v/>
      </c>
    </row>
    <row r="21345" spans="9:9" x14ac:dyDescent="0.25">
      <c r="I21345" s="227" t="str">
        <f>MID(excPisCofins[[#This Row],[CodBarras2]],2,50)</f>
        <v/>
      </c>
    </row>
    <row r="21346" spans="9:9" x14ac:dyDescent="0.25">
      <c r="I21346" s="227" t="str">
        <f>MID(excPisCofins[[#This Row],[CodBarras2]],2,50)</f>
        <v/>
      </c>
    </row>
    <row r="21347" spans="9:9" x14ac:dyDescent="0.25">
      <c r="I21347" s="227" t="str">
        <f>MID(excPisCofins[[#This Row],[CodBarras2]],2,50)</f>
        <v/>
      </c>
    </row>
    <row r="21348" spans="9:9" x14ac:dyDescent="0.25">
      <c r="I21348" s="227" t="str">
        <f>MID(excPisCofins[[#This Row],[CodBarras2]],2,50)</f>
        <v/>
      </c>
    </row>
    <row r="21349" spans="9:9" x14ac:dyDescent="0.25">
      <c r="I21349" s="227" t="str">
        <f>MID(excPisCofins[[#This Row],[CodBarras2]],2,50)</f>
        <v/>
      </c>
    </row>
    <row r="21350" spans="9:9" x14ac:dyDescent="0.25">
      <c r="I21350" s="227" t="str">
        <f>MID(excPisCofins[[#This Row],[CodBarras2]],2,50)</f>
        <v/>
      </c>
    </row>
    <row r="21351" spans="9:9" x14ac:dyDescent="0.25">
      <c r="I21351" s="227" t="str">
        <f>MID(excPisCofins[[#This Row],[CodBarras2]],2,50)</f>
        <v/>
      </c>
    </row>
    <row r="21352" spans="9:9" x14ac:dyDescent="0.25">
      <c r="I21352" s="227" t="str">
        <f>MID(excPisCofins[[#This Row],[CodBarras2]],2,50)</f>
        <v/>
      </c>
    </row>
    <row r="21353" spans="9:9" x14ac:dyDescent="0.25">
      <c r="I21353" s="227" t="str">
        <f>MID(excPisCofins[[#This Row],[CodBarras2]],2,50)</f>
        <v/>
      </c>
    </row>
    <row r="21354" spans="9:9" x14ac:dyDescent="0.25">
      <c r="I21354" s="227" t="str">
        <f>MID(excPisCofins[[#This Row],[CodBarras2]],2,50)</f>
        <v/>
      </c>
    </row>
    <row r="21355" spans="9:9" x14ac:dyDescent="0.25">
      <c r="I21355" s="227" t="str">
        <f>MID(excPisCofins[[#This Row],[CodBarras2]],2,50)</f>
        <v/>
      </c>
    </row>
    <row r="21356" spans="9:9" x14ac:dyDescent="0.25">
      <c r="I21356" s="227" t="str">
        <f>MID(excPisCofins[[#This Row],[CodBarras2]],2,50)</f>
        <v/>
      </c>
    </row>
    <row r="21357" spans="9:9" x14ac:dyDescent="0.25">
      <c r="I21357" s="227" t="str">
        <f>MID(excPisCofins[[#This Row],[CodBarras2]],2,50)</f>
        <v/>
      </c>
    </row>
    <row r="21358" spans="9:9" x14ac:dyDescent="0.25">
      <c r="I21358" s="227" t="str">
        <f>MID(excPisCofins[[#This Row],[CodBarras2]],2,50)</f>
        <v/>
      </c>
    </row>
    <row r="21359" spans="9:9" x14ac:dyDescent="0.25">
      <c r="I21359" s="227" t="str">
        <f>MID(excPisCofins[[#This Row],[CodBarras2]],2,50)</f>
        <v/>
      </c>
    </row>
    <row r="21360" spans="9:9" x14ac:dyDescent="0.25">
      <c r="I21360" s="227" t="str">
        <f>MID(excPisCofins[[#This Row],[CodBarras2]],2,50)</f>
        <v/>
      </c>
    </row>
    <row r="21361" spans="9:9" x14ac:dyDescent="0.25">
      <c r="I21361" s="227" t="str">
        <f>MID(excPisCofins[[#This Row],[CodBarras2]],2,50)</f>
        <v/>
      </c>
    </row>
    <row r="21362" spans="9:9" x14ac:dyDescent="0.25">
      <c r="I21362" s="227" t="str">
        <f>MID(excPisCofins[[#This Row],[CodBarras2]],2,50)</f>
        <v/>
      </c>
    </row>
    <row r="21363" spans="9:9" x14ac:dyDescent="0.25">
      <c r="I21363" s="227" t="str">
        <f>MID(excPisCofins[[#This Row],[CodBarras2]],2,50)</f>
        <v/>
      </c>
    </row>
    <row r="21364" spans="9:9" x14ac:dyDescent="0.25">
      <c r="I21364" s="227" t="str">
        <f>MID(excPisCofins[[#This Row],[CodBarras2]],2,50)</f>
        <v/>
      </c>
    </row>
    <row r="21365" spans="9:9" x14ac:dyDescent="0.25">
      <c r="I21365" s="227" t="str">
        <f>MID(excPisCofins[[#This Row],[CodBarras2]],2,50)</f>
        <v/>
      </c>
    </row>
    <row r="21366" spans="9:9" x14ac:dyDescent="0.25">
      <c r="I21366" s="227" t="str">
        <f>MID(excPisCofins[[#This Row],[CodBarras2]],2,50)</f>
        <v/>
      </c>
    </row>
    <row r="21367" spans="9:9" x14ac:dyDescent="0.25">
      <c r="I21367" s="227" t="str">
        <f>MID(excPisCofins[[#This Row],[CodBarras2]],2,50)</f>
        <v/>
      </c>
    </row>
    <row r="21368" spans="9:9" x14ac:dyDescent="0.25">
      <c r="I21368" s="227" t="str">
        <f>MID(excPisCofins[[#This Row],[CodBarras2]],2,50)</f>
        <v/>
      </c>
    </row>
    <row r="21369" spans="9:9" x14ac:dyDescent="0.25">
      <c r="I21369" s="227" t="str">
        <f>MID(excPisCofins[[#This Row],[CodBarras2]],2,50)</f>
        <v/>
      </c>
    </row>
    <row r="21370" spans="9:9" x14ac:dyDescent="0.25">
      <c r="I21370" s="227" t="str">
        <f>MID(excPisCofins[[#This Row],[CodBarras2]],2,50)</f>
        <v/>
      </c>
    </row>
    <row r="21371" spans="9:9" x14ac:dyDescent="0.25">
      <c r="I21371" s="227" t="str">
        <f>MID(excPisCofins[[#This Row],[CodBarras2]],2,50)</f>
        <v/>
      </c>
    </row>
    <row r="21372" spans="9:9" x14ac:dyDescent="0.25">
      <c r="I21372" s="227" t="str">
        <f>MID(excPisCofins[[#This Row],[CodBarras2]],2,50)</f>
        <v/>
      </c>
    </row>
    <row r="21373" spans="9:9" x14ac:dyDescent="0.25">
      <c r="I21373" s="227" t="str">
        <f>MID(excPisCofins[[#This Row],[CodBarras2]],2,50)</f>
        <v/>
      </c>
    </row>
    <row r="21374" spans="9:9" x14ac:dyDescent="0.25">
      <c r="I21374" s="227" t="str">
        <f>MID(excPisCofins[[#This Row],[CodBarras2]],2,50)</f>
        <v/>
      </c>
    </row>
    <row r="21375" spans="9:9" x14ac:dyDescent="0.25">
      <c r="I21375" s="227" t="str">
        <f>MID(excPisCofins[[#This Row],[CodBarras2]],2,50)</f>
        <v/>
      </c>
    </row>
    <row r="21376" spans="9:9" x14ac:dyDescent="0.25">
      <c r="I21376" s="227" t="str">
        <f>MID(excPisCofins[[#This Row],[CodBarras2]],2,50)</f>
        <v/>
      </c>
    </row>
    <row r="21377" spans="9:9" x14ac:dyDescent="0.25">
      <c r="I21377" s="227" t="str">
        <f>MID(excPisCofins[[#This Row],[CodBarras2]],2,50)</f>
        <v/>
      </c>
    </row>
    <row r="21378" spans="9:9" x14ac:dyDescent="0.25">
      <c r="I21378" s="227" t="str">
        <f>MID(excPisCofins[[#This Row],[CodBarras2]],2,50)</f>
        <v/>
      </c>
    </row>
    <row r="21379" spans="9:9" x14ac:dyDescent="0.25">
      <c r="I21379" s="227" t="str">
        <f>MID(excPisCofins[[#This Row],[CodBarras2]],2,50)</f>
        <v/>
      </c>
    </row>
    <row r="21380" spans="9:9" x14ac:dyDescent="0.25">
      <c r="I21380" s="227" t="str">
        <f>MID(excPisCofins[[#This Row],[CodBarras2]],2,50)</f>
        <v/>
      </c>
    </row>
    <row r="21381" spans="9:9" x14ac:dyDescent="0.25">
      <c r="I21381" s="227" t="str">
        <f>MID(excPisCofins[[#This Row],[CodBarras2]],2,50)</f>
        <v/>
      </c>
    </row>
    <row r="21382" spans="9:9" x14ac:dyDescent="0.25">
      <c r="I21382" s="227" t="str">
        <f>MID(excPisCofins[[#This Row],[CodBarras2]],2,50)</f>
        <v/>
      </c>
    </row>
    <row r="21383" spans="9:9" x14ac:dyDescent="0.25">
      <c r="I21383" s="227" t="str">
        <f>MID(excPisCofins[[#This Row],[CodBarras2]],2,50)</f>
        <v/>
      </c>
    </row>
    <row r="21384" spans="9:9" x14ac:dyDescent="0.25">
      <c r="I21384" s="227" t="str">
        <f>MID(excPisCofins[[#This Row],[CodBarras2]],2,50)</f>
        <v/>
      </c>
    </row>
    <row r="21385" spans="9:9" x14ac:dyDescent="0.25">
      <c r="I21385" s="227" t="str">
        <f>MID(excPisCofins[[#This Row],[CodBarras2]],2,50)</f>
        <v/>
      </c>
    </row>
    <row r="21386" spans="9:9" x14ac:dyDescent="0.25">
      <c r="I21386" s="227" t="str">
        <f>MID(excPisCofins[[#This Row],[CodBarras2]],2,50)</f>
        <v/>
      </c>
    </row>
    <row r="21387" spans="9:9" x14ac:dyDescent="0.25">
      <c r="I21387" s="227" t="str">
        <f>MID(excPisCofins[[#This Row],[CodBarras2]],2,50)</f>
        <v/>
      </c>
    </row>
    <row r="21388" spans="9:9" x14ac:dyDescent="0.25">
      <c r="I21388" s="227" t="str">
        <f>MID(excPisCofins[[#This Row],[CodBarras2]],2,50)</f>
        <v/>
      </c>
    </row>
    <row r="21389" spans="9:9" x14ac:dyDescent="0.25">
      <c r="I21389" s="227" t="str">
        <f>MID(excPisCofins[[#This Row],[CodBarras2]],2,50)</f>
        <v/>
      </c>
    </row>
    <row r="21390" spans="9:9" x14ac:dyDescent="0.25">
      <c r="I21390" s="227" t="str">
        <f>MID(excPisCofins[[#This Row],[CodBarras2]],2,50)</f>
        <v/>
      </c>
    </row>
    <row r="21391" spans="9:9" x14ac:dyDescent="0.25">
      <c r="I21391" s="227" t="str">
        <f>MID(excPisCofins[[#This Row],[CodBarras2]],2,50)</f>
        <v/>
      </c>
    </row>
    <row r="21392" spans="9:9" x14ac:dyDescent="0.25">
      <c r="I21392" s="227" t="str">
        <f>MID(excPisCofins[[#This Row],[CodBarras2]],2,50)</f>
        <v/>
      </c>
    </row>
    <row r="21393" spans="9:9" x14ac:dyDescent="0.25">
      <c r="I21393" s="227" t="str">
        <f>MID(excPisCofins[[#This Row],[CodBarras2]],2,50)</f>
        <v/>
      </c>
    </row>
    <row r="21394" spans="9:9" x14ac:dyDescent="0.25">
      <c r="I21394" s="227" t="str">
        <f>MID(excPisCofins[[#This Row],[CodBarras2]],2,50)</f>
        <v/>
      </c>
    </row>
    <row r="21395" spans="9:9" x14ac:dyDescent="0.25">
      <c r="I21395" s="227" t="str">
        <f>MID(excPisCofins[[#This Row],[CodBarras2]],2,50)</f>
        <v/>
      </c>
    </row>
    <row r="21396" spans="9:9" x14ac:dyDescent="0.25">
      <c r="I21396" s="227" t="str">
        <f>MID(excPisCofins[[#This Row],[CodBarras2]],2,50)</f>
        <v/>
      </c>
    </row>
    <row r="21397" spans="9:9" x14ac:dyDescent="0.25">
      <c r="I21397" s="227" t="str">
        <f>MID(excPisCofins[[#This Row],[CodBarras2]],2,50)</f>
        <v/>
      </c>
    </row>
    <row r="21398" spans="9:9" x14ac:dyDescent="0.25">
      <c r="I21398" s="227" t="str">
        <f>MID(excPisCofins[[#This Row],[CodBarras2]],2,50)</f>
        <v/>
      </c>
    </row>
    <row r="21399" spans="9:9" x14ac:dyDescent="0.25">
      <c r="I21399" s="227" t="str">
        <f>MID(excPisCofins[[#This Row],[CodBarras2]],2,50)</f>
        <v/>
      </c>
    </row>
    <row r="21400" spans="9:9" x14ac:dyDescent="0.25">
      <c r="I21400" s="227" t="str">
        <f>MID(excPisCofins[[#This Row],[CodBarras2]],2,50)</f>
        <v/>
      </c>
    </row>
    <row r="21401" spans="9:9" x14ac:dyDescent="0.25">
      <c r="I21401" s="227" t="str">
        <f>MID(excPisCofins[[#This Row],[CodBarras2]],2,50)</f>
        <v/>
      </c>
    </row>
    <row r="21402" spans="9:9" x14ac:dyDescent="0.25">
      <c r="I21402" s="227" t="str">
        <f>MID(excPisCofins[[#This Row],[CodBarras2]],2,50)</f>
        <v/>
      </c>
    </row>
    <row r="21403" spans="9:9" x14ac:dyDescent="0.25">
      <c r="I21403" s="227" t="str">
        <f>MID(excPisCofins[[#This Row],[CodBarras2]],2,50)</f>
        <v/>
      </c>
    </row>
    <row r="21404" spans="9:9" x14ac:dyDescent="0.25">
      <c r="I21404" s="227" t="str">
        <f>MID(excPisCofins[[#This Row],[CodBarras2]],2,50)</f>
        <v/>
      </c>
    </row>
    <row r="21405" spans="9:9" x14ac:dyDescent="0.25">
      <c r="I21405" s="227" t="str">
        <f>MID(excPisCofins[[#This Row],[CodBarras2]],2,50)</f>
        <v/>
      </c>
    </row>
    <row r="21406" spans="9:9" x14ac:dyDescent="0.25">
      <c r="I21406" s="227" t="str">
        <f>MID(excPisCofins[[#This Row],[CodBarras2]],2,50)</f>
        <v/>
      </c>
    </row>
    <row r="21407" spans="9:9" x14ac:dyDescent="0.25">
      <c r="I21407" s="227" t="str">
        <f>MID(excPisCofins[[#This Row],[CodBarras2]],2,50)</f>
        <v/>
      </c>
    </row>
    <row r="21408" spans="9:9" x14ac:dyDescent="0.25">
      <c r="I21408" s="227" t="str">
        <f>MID(excPisCofins[[#This Row],[CodBarras2]],2,50)</f>
        <v/>
      </c>
    </row>
    <row r="21409" spans="9:9" x14ac:dyDescent="0.25">
      <c r="I21409" s="227" t="str">
        <f>MID(excPisCofins[[#This Row],[CodBarras2]],2,50)</f>
        <v/>
      </c>
    </row>
    <row r="21410" spans="9:9" x14ac:dyDescent="0.25">
      <c r="I21410" s="227" t="str">
        <f>MID(excPisCofins[[#This Row],[CodBarras2]],2,50)</f>
        <v/>
      </c>
    </row>
    <row r="21411" spans="9:9" x14ac:dyDescent="0.25">
      <c r="I21411" s="227" t="str">
        <f>MID(excPisCofins[[#This Row],[CodBarras2]],2,50)</f>
        <v/>
      </c>
    </row>
    <row r="21412" spans="9:9" x14ac:dyDescent="0.25">
      <c r="I21412" s="227" t="str">
        <f>MID(excPisCofins[[#This Row],[CodBarras2]],2,50)</f>
        <v/>
      </c>
    </row>
    <row r="21413" spans="9:9" x14ac:dyDescent="0.25">
      <c r="I21413" s="227" t="str">
        <f>MID(excPisCofins[[#This Row],[CodBarras2]],2,50)</f>
        <v/>
      </c>
    </row>
    <row r="21414" spans="9:9" x14ac:dyDescent="0.25">
      <c r="I21414" s="227" t="str">
        <f>MID(excPisCofins[[#This Row],[CodBarras2]],2,50)</f>
        <v/>
      </c>
    </row>
    <row r="21415" spans="9:9" x14ac:dyDescent="0.25">
      <c r="I21415" s="227" t="str">
        <f>MID(excPisCofins[[#This Row],[CodBarras2]],2,50)</f>
        <v/>
      </c>
    </row>
    <row r="21416" spans="9:9" x14ac:dyDescent="0.25">
      <c r="I21416" s="227" t="str">
        <f>MID(excPisCofins[[#This Row],[CodBarras2]],2,50)</f>
        <v/>
      </c>
    </row>
    <row r="21417" spans="9:9" x14ac:dyDescent="0.25">
      <c r="I21417" s="227" t="str">
        <f>MID(excPisCofins[[#This Row],[CodBarras2]],2,50)</f>
        <v/>
      </c>
    </row>
    <row r="21418" spans="9:9" x14ac:dyDescent="0.25">
      <c r="I21418" s="227" t="str">
        <f>MID(excPisCofins[[#This Row],[CodBarras2]],2,50)</f>
        <v/>
      </c>
    </row>
    <row r="21419" spans="9:9" x14ac:dyDescent="0.25">
      <c r="I21419" s="227" t="str">
        <f>MID(excPisCofins[[#This Row],[CodBarras2]],2,50)</f>
        <v/>
      </c>
    </row>
    <row r="21420" spans="9:9" x14ac:dyDescent="0.25">
      <c r="I21420" s="227" t="str">
        <f>MID(excPisCofins[[#This Row],[CodBarras2]],2,50)</f>
        <v/>
      </c>
    </row>
    <row r="21421" spans="9:9" x14ac:dyDescent="0.25">
      <c r="I21421" s="227" t="str">
        <f>MID(excPisCofins[[#This Row],[CodBarras2]],2,50)</f>
        <v/>
      </c>
    </row>
    <row r="21422" spans="9:9" x14ac:dyDescent="0.25">
      <c r="I21422" s="227" t="str">
        <f>MID(excPisCofins[[#This Row],[CodBarras2]],2,50)</f>
        <v/>
      </c>
    </row>
    <row r="21423" spans="9:9" x14ac:dyDescent="0.25">
      <c r="I21423" s="227" t="str">
        <f>MID(excPisCofins[[#This Row],[CodBarras2]],2,50)</f>
        <v/>
      </c>
    </row>
    <row r="21424" spans="9:9" x14ac:dyDescent="0.25">
      <c r="I21424" s="227" t="str">
        <f>MID(excPisCofins[[#This Row],[CodBarras2]],2,50)</f>
        <v/>
      </c>
    </row>
    <row r="21425" spans="9:9" x14ac:dyDescent="0.25">
      <c r="I21425" s="227" t="str">
        <f>MID(excPisCofins[[#This Row],[CodBarras2]],2,50)</f>
        <v/>
      </c>
    </row>
    <row r="21426" spans="9:9" x14ac:dyDescent="0.25">
      <c r="I21426" s="227" t="str">
        <f>MID(excPisCofins[[#This Row],[CodBarras2]],2,50)</f>
        <v/>
      </c>
    </row>
    <row r="21427" spans="9:9" x14ac:dyDescent="0.25">
      <c r="I21427" s="227" t="str">
        <f>MID(excPisCofins[[#This Row],[CodBarras2]],2,50)</f>
        <v/>
      </c>
    </row>
    <row r="21428" spans="9:9" x14ac:dyDescent="0.25">
      <c r="I21428" s="227" t="str">
        <f>MID(excPisCofins[[#This Row],[CodBarras2]],2,50)</f>
        <v/>
      </c>
    </row>
    <row r="21429" spans="9:9" x14ac:dyDescent="0.25">
      <c r="I21429" s="227" t="str">
        <f>MID(excPisCofins[[#This Row],[CodBarras2]],2,50)</f>
        <v/>
      </c>
    </row>
    <row r="21430" spans="9:9" x14ac:dyDescent="0.25">
      <c r="I21430" s="227" t="str">
        <f>MID(excPisCofins[[#This Row],[CodBarras2]],2,50)</f>
        <v/>
      </c>
    </row>
    <row r="21431" spans="9:9" x14ac:dyDescent="0.25">
      <c r="I21431" s="227" t="str">
        <f>MID(excPisCofins[[#This Row],[CodBarras2]],2,50)</f>
        <v/>
      </c>
    </row>
    <row r="21432" spans="9:9" x14ac:dyDescent="0.25">
      <c r="I21432" s="227" t="str">
        <f>MID(excPisCofins[[#This Row],[CodBarras2]],2,50)</f>
        <v/>
      </c>
    </row>
    <row r="21433" spans="9:9" x14ac:dyDescent="0.25">
      <c r="I21433" s="227" t="str">
        <f>MID(excPisCofins[[#This Row],[CodBarras2]],2,50)</f>
        <v/>
      </c>
    </row>
    <row r="21434" spans="9:9" x14ac:dyDescent="0.25">
      <c r="I21434" s="227" t="str">
        <f>MID(excPisCofins[[#This Row],[CodBarras2]],2,50)</f>
        <v/>
      </c>
    </row>
    <row r="21435" spans="9:9" x14ac:dyDescent="0.25">
      <c r="I21435" s="227" t="str">
        <f>MID(excPisCofins[[#This Row],[CodBarras2]],2,50)</f>
        <v/>
      </c>
    </row>
    <row r="21436" spans="9:9" x14ac:dyDescent="0.25">
      <c r="I21436" s="227" t="str">
        <f>MID(excPisCofins[[#This Row],[CodBarras2]],2,50)</f>
        <v/>
      </c>
    </row>
    <row r="21437" spans="9:9" x14ac:dyDescent="0.25">
      <c r="I21437" s="227" t="str">
        <f>MID(excPisCofins[[#This Row],[CodBarras2]],2,50)</f>
        <v/>
      </c>
    </row>
    <row r="21438" spans="9:9" x14ac:dyDescent="0.25">
      <c r="I21438" s="227" t="str">
        <f>MID(excPisCofins[[#This Row],[CodBarras2]],2,50)</f>
        <v/>
      </c>
    </row>
    <row r="21439" spans="9:9" x14ac:dyDescent="0.25">
      <c r="I21439" s="227" t="str">
        <f>MID(excPisCofins[[#This Row],[CodBarras2]],2,50)</f>
        <v/>
      </c>
    </row>
    <row r="21440" spans="9:9" x14ac:dyDescent="0.25">
      <c r="I21440" s="227" t="str">
        <f>MID(excPisCofins[[#This Row],[CodBarras2]],2,50)</f>
        <v/>
      </c>
    </row>
    <row r="21441" spans="9:9" x14ac:dyDescent="0.25">
      <c r="I21441" s="227" t="str">
        <f>MID(excPisCofins[[#This Row],[CodBarras2]],2,50)</f>
        <v/>
      </c>
    </row>
    <row r="21442" spans="9:9" x14ac:dyDescent="0.25">
      <c r="I21442" s="227" t="str">
        <f>MID(excPisCofins[[#This Row],[CodBarras2]],2,50)</f>
        <v/>
      </c>
    </row>
    <row r="21443" spans="9:9" x14ac:dyDescent="0.25">
      <c r="I21443" s="227" t="str">
        <f>MID(excPisCofins[[#This Row],[CodBarras2]],2,50)</f>
        <v/>
      </c>
    </row>
    <row r="21444" spans="9:9" x14ac:dyDescent="0.25">
      <c r="I21444" s="227" t="str">
        <f>MID(excPisCofins[[#This Row],[CodBarras2]],2,50)</f>
        <v/>
      </c>
    </row>
    <row r="21445" spans="9:9" x14ac:dyDescent="0.25">
      <c r="I21445" s="227" t="str">
        <f>MID(excPisCofins[[#This Row],[CodBarras2]],2,50)</f>
        <v/>
      </c>
    </row>
    <row r="21446" spans="9:9" x14ac:dyDescent="0.25">
      <c r="I21446" s="227" t="str">
        <f>MID(excPisCofins[[#This Row],[CodBarras2]],2,50)</f>
        <v/>
      </c>
    </row>
    <row r="21447" spans="9:9" x14ac:dyDescent="0.25">
      <c r="I21447" s="227" t="str">
        <f>MID(excPisCofins[[#This Row],[CodBarras2]],2,50)</f>
        <v/>
      </c>
    </row>
    <row r="21448" spans="9:9" x14ac:dyDescent="0.25">
      <c r="I21448" s="227" t="str">
        <f>MID(excPisCofins[[#This Row],[CodBarras2]],2,50)</f>
        <v/>
      </c>
    </row>
    <row r="21449" spans="9:9" x14ac:dyDescent="0.25">
      <c r="I21449" s="227" t="str">
        <f>MID(excPisCofins[[#This Row],[CodBarras2]],2,50)</f>
        <v/>
      </c>
    </row>
    <row r="21450" spans="9:9" x14ac:dyDescent="0.25">
      <c r="I21450" s="227" t="str">
        <f>MID(excPisCofins[[#This Row],[CodBarras2]],2,50)</f>
        <v/>
      </c>
    </row>
    <row r="21451" spans="9:9" x14ac:dyDescent="0.25">
      <c r="I21451" s="227" t="str">
        <f>MID(excPisCofins[[#This Row],[CodBarras2]],2,50)</f>
        <v/>
      </c>
    </row>
    <row r="21452" spans="9:9" x14ac:dyDescent="0.25">
      <c r="I21452" s="227" t="str">
        <f>MID(excPisCofins[[#This Row],[CodBarras2]],2,50)</f>
        <v/>
      </c>
    </row>
    <row r="21453" spans="9:9" x14ac:dyDescent="0.25">
      <c r="I21453" s="227" t="str">
        <f>MID(excPisCofins[[#This Row],[CodBarras2]],2,50)</f>
        <v/>
      </c>
    </row>
    <row r="21454" spans="9:9" x14ac:dyDescent="0.25">
      <c r="I21454" s="227" t="str">
        <f>MID(excPisCofins[[#This Row],[CodBarras2]],2,50)</f>
        <v/>
      </c>
    </row>
    <row r="21455" spans="9:9" x14ac:dyDescent="0.25">
      <c r="I21455" s="227" t="str">
        <f>MID(excPisCofins[[#This Row],[CodBarras2]],2,50)</f>
        <v/>
      </c>
    </row>
    <row r="21456" spans="9:9" x14ac:dyDescent="0.25">
      <c r="I21456" s="227" t="str">
        <f>MID(excPisCofins[[#This Row],[CodBarras2]],2,50)</f>
        <v/>
      </c>
    </row>
    <row r="21457" spans="9:9" x14ac:dyDescent="0.25">
      <c r="I21457" s="227" t="str">
        <f>MID(excPisCofins[[#This Row],[CodBarras2]],2,50)</f>
        <v/>
      </c>
    </row>
    <row r="21458" spans="9:9" x14ac:dyDescent="0.25">
      <c r="I21458" s="227" t="str">
        <f>MID(excPisCofins[[#This Row],[CodBarras2]],2,50)</f>
        <v/>
      </c>
    </row>
    <row r="21459" spans="9:9" x14ac:dyDescent="0.25">
      <c r="I21459" s="227" t="str">
        <f>MID(excPisCofins[[#This Row],[CodBarras2]],2,50)</f>
        <v/>
      </c>
    </row>
    <row r="21460" spans="9:9" x14ac:dyDescent="0.25">
      <c r="I21460" s="227" t="str">
        <f>MID(excPisCofins[[#This Row],[CodBarras2]],2,50)</f>
        <v/>
      </c>
    </row>
    <row r="21461" spans="9:9" x14ac:dyDescent="0.25">
      <c r="I21461" s="227" t="str">
        <f>MID(excPisCofins[[#This Row],[CodBarras2]],2,50)</f>
        <v/>
      </c>
    </row>
    <row r="21462" spans="9:9" x14ac:dyDescent="0.25">
      <c r="I21462" s="227" t="str">
        <f>MID(excPisCofins[[#This Row],[CodBarras2]],2,50)</f>
        <v/>
      </c>
    </row>
    <row r="21463" spans="9:9" x14ac:dyDescent="0.25">
      <c r="I21463" s="227" t="str">
        <f>MID(excPisCofins[[#This Row],[CodBarras2]],2,50)</f>
        <v/>
      </c>
    </row>
    <row r="21464" spans="9:9" x14ac:dyDescent="0.25">
      <c r="I21464" s="227" t="str">
        <f>MID(excPisCofins[[#This Row],[CodBarras2]],2,50)</f>
        <v/>
      </c>
    </row>
    <row r="21465" spans="9:9" x14ac:dyDescent="0.25">
      <c r="I21465" s="227" t="str">
        <f>MID(excPisCofins[[#This Row],[CodBarras2]],2,50)</f>
        <v/>
      </c>
    </row>
    <row r="21466" spans="9:9" x14ac:dyDescent="0.25">
      <c r="I21466" s="227" t="str">
        <f>MID(excPisCofins[[#This Row],[CodBarras2]],2,50)</f>
        <v/>
      </c>
    </row>
    <row r="21467" spans="9:9" x14ac:dyDescent="0.25">
      <c r="I21467" s="227" t="str">
        <f>MID(excPisCofins[[#This Row],[CodBarras2]],2,50)</f>
        <v/>
      </c>
    </row>
    <row r="21468" spans="9:9" x14ac:dyDescent="0.25">
      <c r="I21468" s="227" t="str">
        <f>MID(excPisCofins[[#This Row],[CodBarras2]],2,50)</f>
        <v/>
      </c>
    </row>
    <row r="21469" spans="9:9" x14ac:dyDescent="0.25">
      <c r="I21469" s="227" t="str">
        <f>MID(excPisCofins[[#This Row],[CodBarras2]],2,50)</f>
        <v/>
      </c>
    </row>
    <row r="21470" spans="9:9" x14ac:dyDescent="0.25">
      <c r="I21470" s="227" t="str">
        <f>MID(excPisCofins[[#This Row],[CodBarras2]],2,50)</f>
        <v/>
      </c>
    </row>
    <row r="21471" spans="9:9" x14ac:dyDescent="0.25">
      <c r="I21471" s="227" t="str">
        <f>MID(excPisCofins[[#This Row],[CodBarras2]],2,50)</f>
        <v/>
      </c>
    </row>
    <row r="21472" spans="9:9" x14ac:dyDescent="0.25">
      <c r="I21472" s="227" t="str">
        <f>MID(excPisCofins[[#This Row],[CodBarras2]],2,50)</f>
        <v/>
      </c>
    </row>
    <row r="21473" spans="9:9" x14ac:dyDescent="0.25">
      <c r="I21473" s="227" t="str">
        <f>MID(excPisCofins[[#This Row],[CodBarras2]],2,50)</f>
        <v/>
      </c>
    </row>
    <row r="21474" spans="9:9" x14ac:dyDescent="0.25">
      <c r="I21474" s="227" t="str">
        <f>MID(excPisCofins[[#This Row],[CodBarras2]],2,50)</f>
        <v/>
      </c>
    </row>
    <row r="21475" spans="9:9" x14ac:dyDescent="0.25">
      <c r="I21475" s="227" t="str">
        <f>MID(excPisCofins[[#This Row],[CodBarras2]],2,50)</f>
        <v/>
      </c>
    </row>
    <row r="21476" spans="9:9" x14ac:dyDescent="0.25">
      <c r="I21476" s="227" t="str">
        <f>MID(excPisCofins[[#This Row],[CodBarras2]],2,50)</f>
        <v/>
      </c>
    </row>
    <row r="21477" spans="9:9" x14ac:dyDescent="0.25">
      <c r="I21477" s="227" t="str">
        <f>MID(excPisCofins[[#This Row],[CodBarras2]],2,50)</f>
        <v/>
      </c>
    </row>
    <row r="21478" spans="9:9" x14ac:dyDescent="0.25">
      <c r="I21478" s="227" t="str">
        <f>MID(excPisCofins[[#This Row],[CodBarras2]],2,50)</f>
        <v/>
      </c>
    </row>
    <row r="21479" spans="9:9" x14ac:dyDescent="0.25">
      <c r="I21479" s="227" t="str">
        <f>MID(excPisCofins[[#This Row],[CodBarras2]],2,50)</f>
        <v/>
      </c>
    </row>
    <row r="21480" spans="9:9" x14ac:dyDescent="0.25">
      <c r="I21480" s="227" t="str">
        <f>MID(excPisCofins[[#This Row],[CodBarras2]],2,50)</f>
        <v/>
      </c>
    </row>
    <row r="21481" spans="9:9" x14ac:dyDescent="0.25">
      <c r="I21481" s="227" t="str">
        <f>MID(excPisCofins[[#This Row],[CodBarras2]],2,50)</f>
        <v/>
      </c>
    </row>
    <row r="21482" spans="9:9" x14ac:dyDescent="0.25">
      <c r="I21482" s="227" t="str">
        <f>MID(excPisCofins[[#This Row],[CodBarras2]],2,50)</f>
        <v/>
      </c>
    </row>
    <row r="21483" spans="9:9" x14ac:dyDescent="0.25">
      <c r="I21483" s="227" t="str">
        <f>MID(excPisCofins[[#This Row],[CodBarras2]],2,50)</f>
        <v/>
      </c>
    </row>
    <row r="21484" spans="9:9" x14ac:dyDescent="0.25">
      <c r="I21484" s="227" t="str">
        <f>MID(excPisCofins[[#This Row],[CodBarras2]],2,50)</f>
        <v/>
      </c>
    </row>
    <row r="21485" spans="9:9" x14ac:dyDescent="0.25">
      <c r="I21485" s="227" t="str">
        <f>MID(excPisCofins[[#This Row],[CodBarras2]],2,50)</f>
        <v/>
      </c>
    </row>
    <row r="21486" spans="9:9" x14ac:dyDescent="0.25">
      <c r="I21486" s="227" t="str">
        <f>MID(excPisCofins[[#This Row],[CodBarras2]],2,50)</f>
        <v/>
      </c>
    </row>
    <row r="21487" spans="9:9" x14ac:dyDescent="0.25">
      <c r="I21487" s="227" t="str">
        <f>MID(excPisCofins[[#This Row],[CodBarras2]],2,50)</f>
        <v/>
      </c>
    </row>
    <row r="21488" spans="9:9" x14ac:dyDescent="0.25">
      <c r="I21488" s="227" t="str">
        <f>MID(excPisCofins[[#This Row],[CodBarras2]],2,50)</f>
        <v/>
      </c>
    </row>
    <row r="21489" spans="9:9" x14ac:dyDescent="0.25">
      <c r="I21489" s="227" t="str">
        <f>MID(excPisCofins[[#This Row],[CodBarras2]],2,50)</f>
        <v/>
      </c>
    </row>
    <row r="21490" spans="9:9" x14ac:dyDescent="0.25">
      <c r="I21490" s="227" t="str">
        <f>MID(excPisCofins[[#This Row],[CodBarras2]],2,50)</f>
        <v/>
      </c>
    </row>
    <row r="21491" spans="9:9" x14ac:dyDescent="0.25">
      <c r="I21491" s="227" t="str">
        <f>MID(excPisCofins[[#This Row],[CodBarras2]],2,50)</f>
        <v/>
      </c>
    </row>
    <row r="21492" spans="9:9" x14ac:dyDescent="0.25">
      <c r="I21492" s="227" t="str">
        <f>MID(excPisCofins[[#This Row],[CodBarras2]],2,50)</f>
        <v/>
      </c>
    </row>
    <row r="21493" spans="9:9" x14ac:dyDescent="0.25">
      <c r="I21493" s="227" t="str">
        <f>MID(excPisCofins[[#This Row],[CodBarras2]],2,50)</f>
        <v/>
      </c>
    </row>
    <row r="21494" spans="9:9" x14ac:dyDescent="0.25">
      <c r="I21494" s="227" t="str">
        <f>MID(excPisCofins[[#This Row],[CodBarras2]],2,50)</f>
        <v/>
      </c>
    </row>
    <row r="21495" spans="9:9" x14ac:dyDescent="0.25">
      <c r="I21495" s="227" t="str">
        <f>MID(excPisCofins[[#This Row],[CodBarras2]],2,50)</f>
        <v/>
      </c>
    </row>
    <row r="21496" spans="9:9" x14ac:dyDescent="0.25">
      <c r="I21496" s="227" t="str">
        <f>MID(excPisCofins[[#This Row],[CodBarras2]],2,50)</f>
        <v/>
      </c>
    </row>
    <row r="21497" spans="9:9" x14ac:dyDescent="0.25">
      <c r="I21497" s="227" t="str">
        <f>MID(excPisCofins[[#This Row],[CodBarras2]],2,50)</f>
        <v/>
      </c>
    </row>
    <row r="21498" spans="9:9" x14ac:dyDescent="0.25">
      <c r="I21498" s="227" t="str">
        <f>MID(excPisCofins[[#This Row],[CodBarras2]],2,50)</f>
        <v/>
      </c>
    </row>
    <row r="21499" spans="9:9" x14ac:dyDescent="0.25">
      <c r="I21499" s="227" t="str">
        <f>MID(excPisCofins[[#This Row],[CodBarras2]],2,50)</f>
        <v/>
      </c>
    </row>
    <row r="21500" spans="9:9" x14ac:dyDescent="0.25">
      <c r="I21500" s="227" t="str">
        <f>MID(excPisCofins[[#This Row],[CodBarras2]],2,50)</f>
        <v/>
      </c>
    </row>
    <row r="21501" spans="9:9" x14ac:dyDescent="0.25">
      <c r="I21501" s="227" t="str">
        <f>MID(excPisCofins[[#This Row],[CodBarras2]],2,50)</f>
        <v/>
      </c>
    </row>
    <row r="21502" spans="9:9" x14ac:dyDescent="0.25">
      <c r="I21502" s="227" t="str">
        <f>MID(excPisCofins[[#This Row],[CodBarras2]],2,50)</f>
        <v/>
      </c>
    </row>
    <row r="21503" spans="9:9" x14ac:dyDescent="0.25">
      <c r="I21503" s="227" t="str">
        <f>MID(excPisCofins[[#This Row],[CodBarras2]],2,50)</f>
        <v/>
      </c>
    </row>
    <row r="21504" spans="9:9" x14ac:dyDescent="0.25">
      <c r="I21504" s="227" t="str">
        <f>MID(excPisCofins[[#This Row],[CodBarras2]],2,50)</f>
        <v/>
      </c>
    </row>
    <row r="21505" spans="9:9" x14ac:dyDescent="0.25">
      <c r="I21505" s="227" t="str">
        <f>MID(excPisCofins[[#This Row],[CodBarras2]],2,50)</f>
        <v/>
      </c>
    </row>
    <row r="21506" spans="9:9" x14ac:dyDescent="0.25">
      <c r="I21506" s="227" t="str">
        <f>MID(excPisCofins[[#This Row],[CodBarras2]],2,50)</f>
        <v/>
      </c>
    </row>
    <row r="21507" spans="9:9" x14ac:dyDescent="0.25">
      <c r="I21507" s="227" t="str">
        <f>MID(excPisCofins[[#This Row],[CodBarras2]],2,50)</f>
        <v/>
      </c>
    </row>
    <row r="21508" spans="9:9" x14ac:dyDescent="0.25">
      <c r="I21508" s="227" t="str">
        <f>MID(excPisCofins[[#This Row],[CodBarras2]],2,50)</f>
        <v/>
      </c>
    </row>
    <row r="21509" spans="9:9" x14ac:dyDescent="0.25">
      <c r="I21509" s="227" t="str">
        <f>MID(excPisCofins[[#This Row],[CodBarras2]],2,50)</f>
        <v/>
      </c>
    </row>
    <row r="21510" spans="9:9" x14ac:dyDescent="0.25">
      <c r="I21510" s="227" t="str">
        <f>MID(excPisCofins[[#This Row],[CodBarras2]],2,50)</f>
        <v/>
      </c>
    </row>
    <row r="21511" spans="9:9" x14ac:dyDescent="0.25">
      <c r="I21511" s="227" t="str">
        <f>MID(excPisCofins[[#This Row],[CodBarras2]],2,50)</f>
        <v/>
      </c>
    </row>
    <row r="21512" spans="9:9" x14ac:dyDescent="0.25">
      <c r="I21512" s="227" t="str">
        <f>MID(excPisCofins[[#This Row],[CodBarras2]],2,50)</f>
        <v/>
      </c>
    </row>
    <row r="21513" spans="9:9" x14ac:dyDescent="0.25">
      <c r="I21513" s="227" t="str">
        <f>MID(excPisCofins[[#This Row],[CodBarras2]],2,50)</f>
        <v/>
      </c>
    </row>
    <row r="21514" spans="9:9" x14ac:dyDescent="0.25">
      <c r="I21514" s="227" t="str">
        <f>MID(excPisCofins[[#This Row],[CodBarras2]],2,50)</f>
        <v/>
      </c>
    </row>
    <row r="21515" spans="9:9" x14ac:dyDescent="0.25">
      <c r="I21515" s="227" t="str">
        <f>MID(excPisCofins[[#This Row],[CodBarras2]],2,50)</f>
        <v/>
      </c>
    </row>
    <row r="21516" spans="9:9" x14ac:dyDescent="0.25">
      <c r="I21516" s="227" t="str">
        <f>MID(excPisCofins[[#This Row],[CodBarras2]],2,50)</f>
        <v/>
      </c>
    </row>
    <row r="21517" spans="9:9" x14ac:dyDescent="0.25">
      <c r="I21517" s="227" t="str">
        <f>MID(excPisCofins[[#This Row],[CodBarras2]],2,50)</f>
        <v/>
      </c>
    </row>
    <row r="21518" spans="9:9" x14ac:dyDescent="0.25">
      <c r="I21518" s="227" t="str">
        <f>MID(excPisCofins[[#This Row],[CodBarras2]],2,50)</f>
        <v/>
      </c>
    </row>
    <row r="21519" spans="9:9" x14ac:dyDescent="0.25">
      <c r="I21519" s="227" t="str">
        <f>MID(excPisCofins[[#This Row],[CodBarras2]],2,50)</f>
        <v/>
      </c>
    </row>
    <row r="21520" spans="9:9" x14ac:dyDescent="0.25">
      <c r="I21520" s="227" t="str">
        <f>MID(excPisCofins[[#This Row],[CodBarras2]],2,50)</f>
        <v/>
      </c>
    </row>
    <row r="21521" spans="9:9" x14ac:dyDescent="0.25">
      <c r="I21521" s="227" t="str">
        <f>MID(excPisCofins[[#This Row],[CodBarras2]],2,50)</f>
        <v/>
      </c>
    </row>
    <row r="21522" spans="9:9" x14ac:dyDescent="0.25">
      <c r="I21522" s="227" t="str">
        <f>MID(excPisCofins[[#This Row],[CodBarras2]],2,50)</f>
        <v/>
      </c>
    </row>
    <row r="21523" spans="9:9" x14ac:dyDescent="0.25">
      <c r="I21523" s="227" t="str">
        <f>MID(excPisCofins[[#This Row],[CodBarras2]],2,50)</f>
        <v/>
      </c>
    </row>
    <row r="21524" spans="9:9" x14ac:dyDescent="0.25">
      <c r="I21524" s="227" t="str">
        <f>MID(excPisCofins[[#This Row],[CodBarras2]],2,50)</f>
        <v/>
      </c>
    </row>
    <row r="21525" spans="9:9" x14ac:dyDescent="0.25">
      <c r="I21525" s="227" t="str">
        <f>MID(excPisCofins[[#This Row],[CodBarras2]],2,50)</f>
        <v/>
      </c>
    </row>
    <row r="21526" spans="9:9" x14ac:dyDescent="0.25">
      <c r="I21526" s="227" t="str">
        <f>MID(excPisCofins[[#This Row],[CodBarras2]],2,50)</f>
        <v/>
      </c>
    </row>
    <row r="21527" spans="9:9" x14ac:dyDescent="0.25">
      <c r="I21527" s="227" t="str">
        <f>MID(excPisCofins[[#This Row],[CodBarras2]],2,50)</f>
        <v/>
      </c>
    </row>
    <row r="21528" spans="9:9" x14ac:dyDescent="0.25">
      <c r="I21528" s="227" t="str">
        <f>MID(excPisCofins[[#This Row],[CodBarras2]],2,50)</f>
        <v/>
      </c>
    </row>
    <row r="21529" spans="9:9" x14ac:dyDescent="0.25">
      <c r="I21529" s="227" t="str">
        <f>MID(excPisCofins[[#This Row],[CodBarras2]],2,50)</f>
        <v/>
      </c>
    </row>
    <row r="21530" spans="9:9" x14ac:dyDescent="0.25">
      <c r="I21530" s="227" t="str">
        <f>MID(excPisCofins[[#This Row],[CodBarras2]],2,50)</f>
        <v/>
      </c>
    </row>
    <row r="21531" spans="9:9" x14ac:dyDescent="0.25">
      <c r="I21531" s="227" t="str">
        <f>MID(excPisCofins[[#This Row],[CodBarras2]],2,50)</f>
        <v/>
      </c>
    </row>
    <row r="21532" spans="9:9" x14ac:dyDescent="0.25">
      <c r="I21532" s="227" t="str">
        <f>MID(excPisCofins[[#This Row],[CodBarras2]],2,50)</f>
        <v/>
      </c>
    </row>
    <row r="21533" spans="9:9" x14ac:dyDescent="0.25">
      <c r="I21533" s="227" t="str">
        <f>MID(excPisCofins[[#This Row],[CodBarras2]],2,50)</f>
        <v/>
      </c>
    </row>
    <row r="21534" spans="9:9" x14ac:dyDescent="0.25">
      <c r="I21534" s="227" t="str">
        <f>MID(excPisCofins[[#This Row],[CodBarras2]],2,50)</f>
        <v/>
      </c>
    </row>
    <row r="21535" spans="9:9" x14ac:dyDescent="0.25">
      <c r="I21535" s="227" t="str">
        <f>MID(excPisCofins[[#This Row],[CodBarras2]],2,50)</f>
        <v/>
      </c>
    </row>
    <row r="21536" spans="9:9" x14ac:dyDescent="0.25">
      <c r="I21536" s="227" t="str">
        <f>MID(excPisCofins[[#This Row],[CodBarras2]],2,50)</f>
        <v/>
      </c>
    </row>
    <row r="21537" spans="9:9" x14ac:dyDescent="0.25">
      <c r="I21537" s="227" t="str">
        <f>MID(excPisCofins[[#This Row],[CodBarras2]],2,50)</f>
        <v/>
      </c>
    </row>
    <row r="21538" spans="9:9" x14ac:dyDescent="0.25">
      <c r="I21538" s="227" t="str">
        <f>MID(excPisCofins[[#This Row],[CodBarras2]],2,50)</f>
        <v/>
      </c>
    </row>
    <row r="21539" spans="9:9" x14ac:dyDescent="0.25">
      <c r="I21539" s="227" t="str">
        <f>MID(excPisCofins[[#This Row],[CodBarras2]],2,50)</f>
        <v/>
      </c>
    </row>
    <row r="21540" spans="9:9" x14ac:dyDescent="0.25">
      <c r="I21540" s="227" t="str">
        <f>MID(excPisCofins[[#This Row],[CodBarras2]],2,50)</f>
        <v/>
      </c>
    </row>
    <row r="21541" spans="9:9" x14ac:dyDescent="0.25">
      <c r="I21541" s="227" t="str">
        <f>MID(excPisCofins[[#This Row],[CodBarras2]],2,50)</f>
        <v/>
      </c>
    </row>
    <row r="21542" spans="9:9" x14ac:dyDescent="0.25">
      <c r="I21542" s="227" t="str">
        <f>MID(excPisCofins[[#This Row],[CodBarras2]],2,50)</f>
        <v/>
      </c>
    </row>
    <row r="21543" spans="9:9" x14ac:dyDescent="0.25">
      <c r="I21543" s="227" t="str">
        <f>MID(excPisCofins[[#This Row],[CodBarras2]],2,50)</f>
        <v/>
      </c>
    </row>
    <row r="21544" spans="9:9" x14ac:dyDescent="0.25">
      <c r="I21544" s="227" t="str">
        <f>MID(excPisCofins[[#This Row],[CodBarras2]],2,50)</f>
        <v/>
      </c>
    </row>
    <row r="21545" spans="9:9" x14ac:dyDescent="0.25">
      <c r="I21545" s="227" t="str">
        <f>MID(excPisCofins[[#This Row],[CodBarras2]],2,50)</f>
        <v/>
      </c>
    </row>
    <row r="21546" spans="9:9" x14ac:dyDescent="0.25">
      <c r="I21546" s="227" t="str">
        <f>MID(excPisCofins[[#This Row],[CodBarras2]],2,50)</f>
        <v/>
      </c>
    </row>
    <row r="21547" spans="9:9" x14ac:dyDescent="0.25">
      <c r="I21547" s="227" t="str">
        <f>MID(excPisCofins[[#This Row],[CodBarras2]],2,50)</f>
        <v/>
      </c>
    </row>
    <row r="21548" spans="9:9" x14ac:dyDescent="0.25">
      <c r="I21548" s="227" t="str">
        <f>MID(excPisCofins[[#This Row],[CodBarras2]],2,50)</f>
        <v/>
      </c>
    </row>
    <row r="21549" spans="9:9" x14ac:dyDescent="0.25">
      <c r="I21549" s="227" t="str">
        <f>MID(excPisCofins[[#This Row],[CodBarras2]],2,50)</f>
        <v/>
      </c>
    </row>
    <row r="21550" spans="9:9" x14ac:dyDescent="0.25">
      <c r="I21550" s="227" t="str">
        <f>MID(excPisCofins[[#This Row],[CodBarras2]],2,50)</f>
        <v/>
      </c>
    </row>
    <row r="21551" spans="9:9" x14ac:dyDescent="0.25">
      <c r="I21551" s="227" t="str">
        <f>MID(excPisCofins[[#This Row],[CodBarras2]],2,50)</f>
        <v/>
      </c>
    </row>
    <row r="21552" spans="9:9" x14ac:dyDescent="0.25">
      <c r="I21552" s="227" t="str">
        <f>MID(excPisCofins[[#This Row],[CodBarras2]],2,50)</f>
        <v/>
      </c>
    </row>
    <row r="21553" spans="9:9" x14ac:dyDescent="0.25">
      <c r="I21553" s="227" t="str">
        <f>MID(excPisCofins[[#This Row],[CodBarras2]],2,50)</f>
        <v/>
      </c>
    </row>
    <row r="21554" spans="9:9" x14ac:dyDescent="0.25">
      <c r="I21554" s="227" t="str">
        <f>MID(excPisCofins[[#This Row],[CodBarras2]],2,50)</f>
        <v/>
      </c>
    </row>
    <row r="21555" spans="9:9" x14ac:dyDescent="0.25">
      <c r="I21555" s="227" t="str">
        <f>MID(excPisCofins[[#This Row],[CodBarras2]],2,50)</f>
        <v/>
      </c>
    </row>
    <row r="21556" spans="9:9" x14ac:dyDescent="0.25">
      <c r="I21556" s="227" t="str">
        <f>MID(excPisCofins[[#This Row],[CodBarras2]],2,50)</f>
        <v/>
      </c>
    </row>
    <row r="21557" spans="9:9" x14ac:dyDescent="0.25">
      <c r="I21557" s="227" t="str">
        <f>MID(excPisCofins[[#This Row],[CodBarras2]],2,50)</f>
        <v/>
      </c>
    </row>
    <row r="21558" spans="9:9" x14ac:dyDescent="0.25">
      <c r="I21558" s="227" t="str">
        <f>MID(excPisCofins[[#This Row],[CodBarras2]],2,50)</f>
        <v/>
      </c>
    </row>
    <row r="21559" spans="9:9" x14ac:dyDescent="0.25">
      <c r="I21559" s="227" t="str">
        <f>MID(excPisCofins[[#This Row],[CodBarras2]],2,50)</f>
        <v/>
      </c>
    </row>
    <row r="21560" spans="9:9" x14ac:dyDescent="0.25">
      <c r="I21560" s="227" t="str">
        <f>MID(excPisCofins[[#This Row],[CodBarras2]],2,50)</f>
        <v/>
      </c>
    </row>
    <row r="21561" spans="9:9" x14ac:dyDescent="0.25">
      <c r="I21561" s="227" t="str">
        <f>MID(excPisCofins[[#This Row],[CodBarras2]],2,50)</f>
        <v/>
      </c>
    </row>
    <row r="21562" spans="9:9" x14ac:dyDescent="0.25">
      <c r="I21562" s="227" t="str">
        <f>MID(excPisCofins[[#This Row],[CodBarras2]],2,50)</f>
        <v/>
      </c>
    </row>
    <row r="21563" spans="9:9" x14ac:dyDescent="0.25">
      <c r="I21563" s="227" t="str">
        <f>MID(excPisCofins[[#This Row],[CodBarras2]],2,50)</f>
        <v/>
      </c>
    </row>
    <row r="21564" spans="9:9" x14ac:dyDescent="0.25">
      <c r="I21564" s="227" t="str">
        <f>MID(excPisCofins[[#This Row],[CodBarras2]],2,50)</f>
        <v/>
      </c>
    </row>
    <row r="21565" spans="9:9" x14ac:dyDescent="0.25">
      <c r="I21565" s="227" t="str">
        <f>MID(excPisCofins[[#This Row],[CodBarras2]],2,50)</f>
        <v/>
      </c>
    </row>
    <row r="21566" spans="9:9" x14ac:dyDescent="0.25">
      <c r="I21566" s="227" t="str">
        <f>MID(excPisCofins[[#This Row],[CodBarras2]],2,50)</f>
        <v/>
      </c>
    </row>
    <row r="21567" spans="9:9" x14ac:dyDescent="0.25">
      <c r="I21567" s="227" t="str">
        <f>MID(excPisCofins[[#This Row],[CodBarras2]],2,50)</f>
        <v/>
      </c>
    </row>
    <row r="21568" spans="9:9" x14ac:dyDescent="0.25">
      <c r="I21568" s="227" t="str">
        <f>MID(excPisCofins[[#This Row],[CodBarras2]],2,50)</f>
        <v/>
      </c>
    </row>
    <row r="21569" spans="9:9" x14ac:dyDescent="0.25">
      <c r="I21569" s="227" t="str">
        <f>MID(excPisCofins[[#This Row],[CodBarras2]],2,50)</f>
        <v/>
      </c>
    </row>
    <row r="21570" spans="9:9" x14ac:dyDescent="0.25">
      <c r="I21570" s="227" t="str">
        <f>MID(excPisCofins[[#This Row],[CodBarras2]],2,50)</f>
        <v/>
      </c>
    </row>
    <row r="21571" spans="9:9" x14ac:dyDescent="0.25">
      <c r="I21571" s="227" t="str">
        <f>MID(excPisCofins[[#This Row],[CodBarras2]],2,50)</f>
        <v/>
      </c>
    </row>
    <row r="21572" spans="9:9" x14ac:dyDescent="0.25">
      <c r="I21572" s="227" t="str">
        <f>MID(excPisCofins[[#This Row],[CodBarras2]],2,50)</f>
        <v/>
      </c>
    </row>
    <row r="21573" spans="9:9" x14ac:dyDescent="0.25">
      <c r="I21573" s="227" t="str">
        <f>MID(excPisCofins[[#This Row],[CodBarras2]],2,50)</f>
        <v/>
      </c>
    </row>
    <row r="21574" spans="9:9" x14ac:dyDescent="0.25">
      <c r="I21574" s="227" t="str">
        <f>MID(excPisCofins[[#This Row],[CodBarras2]],2,50)</f>
        <v/>
      </c>
    </row>
    <row r="21575" spans="9:9" x14ac:dyDescent="0.25">
      <c r="I21575" s="227" t="str">
        <f>MID(excPisCofins[[#This Row],[CodBarras2]],2,50)</f>
        <v/>
      </c>
    </row>
    <row r="21576" spans="9:9" x14ac:dyDescent="0.25">
      <c r="I21576" s="227" t="str">
        <f>MID(excPisCofins[[#This Row],[CodBarras2]],2,50)</f>
        <v/>
      </c>
    </row>
    <row r="21577" spans="9:9" x14ac:dyDescent="0.25">
      <c r="I21577" s="227" t="str">
        <f>MID(excPisCofins[[#This Row],[CodBarras2]],2,50)</f>
        <v/>
      </c>
    </row>
    <row r="21578" spans="9:9" x14ac:dyDescent="0.25">
      <c r="I21578" s="227" t="str">
        <f>MID(excPisCofins[[#This Row],[CodBarras2]],2,50)</f>
        <v/>
      </c>
    </row>
    <row r="21579" spans="9:9" x14ac:dyDescent="0.25">
      <c r="I21579" s="227" t="str">
        <f>MID(excPisCofins[[#This Row],[CodBarras2]],2,50)</f>
        <v/>
      </c>
    </row>
    <row r="21580" spans="9:9" x14ac:dyDescent="0.25">
      <c r="I21580" s="227" t="str">
        <f>MID(excPisCofins[[#This Row],[CodBarras2]],2,50)</f>
        <v/>
      </c>
    </row>
    <row r="21581" spans="9:9" x14ac:dyDescent="0.25">
      <c r="I21581" s="227" t="str">
        <f>MID(excPisCofins[[#This Row],[CodBarras2]],2,50)</f>
        <v/>
      </c>
    </row>
    <row r="21582" spans="9:9" x14ac:dyDescent="0.25">
      <c r="I21582" s="227" t="str">
        <f>MID(excPisCofins[[#This Row],[CodBarras2]],2,50)</f>
        <v/>
      </c>
    </row>
    <row r="21583" spans="9:9" x14ac:dyDescent="0.25">
      <c r="I21583" s="227" t="str">
        <f>MID(excPisCofins[[#This Row],[CodBarras2]],2,50)</f>
        <v/>
      </c>
    </row>
    <row r="21584" spans="9:9" x14ac:dyDescent="0.25">
      <c r="I21584" s="227" t="str">
        <f>MID(excPisCofins[[#This Row],[CodBarras2]],2,50)</f>
        <v/>
      </c>
    </row>
    <row r="21585" spans="9:9" x14ac:dyDescent="0.25">
      <c r="I21585" s="227" t="str">
        <f>MID(excPisCofins[[#This Row],[CodBarras2]],2,50)</f>
        <v/>
      </c>
    </row>
    <row r="21586" spans="9:9" x14ac:dyDescent="0.25">
      <c r="I21586" s="227" t="str">
        <f>MID(excPisCofins[[#This Row],[CodBarras2]],2,50)</f>
        <v/>
      </c>
    </row>
    <row r="21587" spans="9:9" x14ac:dyDescent="0.25">
      <c r="I21587" s="227" t="str">
        <f>MID(excPisCofins[[#This Row],[CodBarras2]],2,50)</f>
        <v/>
      </c>
    </row>
    <row r="21588" spans="9:9" x14ac:dyDescent="0.25">
      <c r="I21588" s="227" t="str">
        <f>MID(excPisCofins[[#This Row],[CodBarras2]],2,50)</f>
        <v/>
      </c>
    </row>
    <row r="21589" spans="9:9" x14ac:dyDescent="0.25">
      <c r="I21589" s="227" t="str">
        <f>MID(excPisCofins[[#This Row],[CodBarras2]],2,50)</f>
        <v/>
      </c>
    </row>
    <row r="21590" spans="9:9" x14ac:dyDescent="0.25">
      <c r="I21590" s="227" t="str">
        <f>MID(excPisCofins[[#This Row],[CodBarras2]],2,50)</f>
        <v/>
      </c>
    </row>
    <row r="21591" spans="9:9" x14ac:dyDescent="0.25">
      <c r="I21591" s="227" t="str">
        <f>MID(excPisCofins[[#This Row],[CodBarras2]],2,50)</f>
        <v/>
      </c>
    </row>
    <row r="21592" spans="9:9" x14ac:dyDescent="0.25">
      <c r="I21592" s="227" t="str">
        <f>MID(excPisCofins[[#This Row],[CodBarras2]],2,50)</f>
        <v/>
      </c>
    </row>
    <row r="21593" spans="9:9" x14ac:dyDescent="0.25">
      <c r="I21593" s="227" t="str">
        <f>MID(excPisCofins[[#This Row],[CodBarras2]],2,50)</f>
        <v/>
      </c>
    </row>
    <row r="21594" spans="9:9" x14ac:dyDescent="0.25">
      <c r="I21594" s="227" t="str">
        <f>MID(excPisCofins[[#This Row],[CodBarras2]],2,50)</f>
        <v/>
      </c>
    </row>
    <row r="21595" spans="9:9" x14ac:dyDescent="0.25">
      <c r="I21595" s="227" t="str">
        <f>MID(excPisCofins[[#This Row],[CodBarras2]],2,50)</f>
        <v/>
      </c>
    </row>
    <row r="21596" spans="9:9" x14ac:dyDescent="0.25">
      <c r="I21596" s="227" t="str">
        <f>MID(excPisCofins[[#This Row],[CodBarras2]],2,50)</f>
        <v/>
      </c>
    </row>
    <row r="21597" spans="9:9" x14ac:dyDescent="0.25">
      <c r="I21597" s="227" t="str">
        <f>MID(excPisCofins[[#This Row],[CodBarras2]],2,50)</f>
        <v/>
      </c>
    </row>
    <row r="21598" spans="9:9" x14ac:dyDescent="0.25">
      <c r="I21598" s="227" t="str">
        <f>MID(excPisCofins[[#This Row],[CodBarras2]],2,50)</f>
        <v/>
      </c>
    </row>
    <row r="21599" spans="9:9" x14ac:dyDescent="0.25">
      <c r="I21599" s="227" t="str">
        <f>MID(excPisCofins[[#This Row],[CodBarras2]],2,50)</f>
        <v/>
      </c>
    </row>
    <row r="21600" spans="9:9" x14ac:dyDescent="0.25">
      <c r="I21600" s="227" t="str">
        <f>MID(excPisCofins[[#This Row],[CodBarras2]],2,50)</f>
        <v/>
      </c>
    </row>
    <row r="21601" spans="9:9" x14ac:dyDescent="0.25">
      <c r="I21601" s="227" t="str">
        <f>MID(excPisCofins[[#This Row],[CodBarras2]],2,50)</f>
        <v/>
      </c>
    </row>
    <row r="21602" spans="9:9" x14ac:dyDescent="0.25">
      <c r="I21602" s="227" t="str">
        <f>MID(excPisCofins[[#This Row],[CodBarras2]],2,50)</f>
        <v/>
      </c>
    </row>
    <row r="21603" spans="9:9" x14ac:dyDescent="0.25">
      <c r="I21603" s="227" t="str">
        <f>MID(excPisCofins[[#This Row],[CodBarras2]],2,50)</f>
        <v/>
      </c>
    </row>
    <row r="21604" spans="9:9" x14ac:dyDescent="0.25">
      <c r="I21604" s="227" t="str">
        <f>MID(excPisCofins[[#This Row],[CodBarras2]],2,50)</f>
        <v/>
      </c>
    </row>
    <row r="21605" spans="9:9" x14ac:dyDescent="0.25">
      <c r="I21605" s="227" t="str">
        <f>MID(excPisCofins[[#This Row],[CodBarras2]],2,50)</f>
        <v/>
      </c>
    </row>
    <row r="21606" spans="9:9" x14ac:dyDescent="0.25">
      <c r="I21606" s="227" t="str">
        <f>MID(excPisCofins[[#This Row],[CodBarras2]],2,50)</f>
        <v/>
      </c>
    </row>
    <row r="21607" spans="9:9" x14ac:dyDescent="0.25">
      <c r="I21607" s="227" t="str">
        <f>MID(excPisCofins[[#This Row],[CodBarras2]],2,50)</f>
        <v/>
      </c>
    </row>
    <row r="21608" spans="9:9" x14ac:dyDescent="0.25">
      <c r="I21608" s="227" t="str">
        <f>MID(excPisCofins[[#This Row],[CodBarras2]],2,50)</f>
        <v/>
      </c>
    </row>
    <row r="21609" spans="9:9" x14ac:dyDescent="0.25">
      <c r="I21609" s="227" t="str">
        <f>MID(excPisCofins[[#This Row],[CodBarras2]],2,50)</f>
        <v/>
      </c>
    </row>
    <row r="21610" spans="9:9" x14ac:dyDescent="0.25">
      <c r="I21610" s="227" t="str">
        <f>MID(excPisCofins[[#This Row],[CodBarras2]],2,50)</f>
        <v/>
      </c>
    </row>
    <row r="21611" spans="9:9" x14ac:dyDescent="0.25">
      <c r="I21611" s="227" t="str">
        <f>MID(excPisCofins[[#This Row],[CodBarras2]],2,50)</f>
        <v/>
      </c>
    </row>
    <row r="21612" spans="9:9" x14ac:dyDescent="0.25">
      <c r="I21612" s="227" t="str">
        <f>MID(excPisCofins[[#This Row],[CodBarras2]],2,50)</f>
        <v/>
      </c>
    </row>
    <row r="21613" spans="9:9" x14ac:dyDescent="0.25">
      <c r="I21613" s="227" t="str">
        <f>MID(excPisCofins[[#This Row],[CodBarras2]],2,50)</f>
        <v/>
      </c>
    </row>
    <row r="21614" spans="9:9" x14ac:dyDescent="0.25">
      <c r="I21614" s="227" t="str">
        <f>MID(excPisCofins[[#This Row],[CodBarras2]],2,50)</f>
        <v/>
      </c>
    </row>
    <row r="21615" spans="9:9" x14ac:dyDescent="0.25">
      <c r="I21615" s="227" t="str">
        <f>MID(excPisCofins[[#This Row],[CodBarras2]],2,50)</f>
        <v/>
      </c>
    </row>
    <row r="21616" spans="9:9" x14ac:dyDescent="0.25">
      <c r="I21616" s="227" t="str">
        <f>MID(excPisCofins[[#This Row],[CodBarras2]],2,50)</f>
        <v/>
      </c>
    </row>
    <row r="21617" spans="9:9" x14ac:dyDescent="0.25">
      <c r="I21617" s="227" t="str">
        <f>MID(excPisCofins[[#This Row],[CodBarras2]],2,50)</f>
        <v/>
      </c>
    </row>
    <row r="21618" spans="9:9" x14ac:dyDescent="0.25">
      <c r="I21618" s="227" t="str">
        <f>MID(excPisCofins[[#This Row],[CodBarras2]],2,50)</f>
        <v/>
      </c>
    </row>
    <row r="21619" spans="9:9" x14ac:dyDescent="0.25">
      <c r="I21619" s="227" t="str">
        <f>MID(excPisCofins[[#This Row],[CodBarras2]],2,50)</f>
        <v/>
      </c>
    </row>
    <row r="21620" spans="9:9" x14ac:dyDescent="0.25">
      <c r="I21620" s="227" t="str">
        <f>MID(excPisCofins[[#This Row],[CodBarras2]],2,50)</f>
        <v/>
      </c>
    </row>
    <row r="21621" spans="9:9" x14ac:dyDescent="0.25">
      <c r="I21621" s="227" t="str">
        <f>MID(excPisCofins[[#This Row],[CodBarras2]],2,50)</f>
        <v/>
      </c>
    </row>
    <row r="21622" spans="9:9" x14ac:dyDescent="0.25">
      <c r="I21622" s="227" t="str">
        <f>MID(excPisCofins[[#This Row],[CodBarras2]],2,50)</f>
        <v/>
      </c>
    </row>
    <row r="21623" spans="9:9" x14ac:dyDescent="0.25">
      <c r="I21623" s="227" t="str">
        <f>MID(excPisCofins[[#This Row],[CodBarras2]],2,50)</f>
        <v/>
      </c>
    </row>
    <row r="21624" spans="9:9" x14ac:dyDescent="0.25">
      <c r="I21624" s="227" t="str">
        <f>MID(excPisCofins[[#This Row],[CodBarras2]],2,50)</f>
        <v/>
      </c>
    </row>
    <row r="21625" spans="9:9" x14ac:dyDescent="0.25">
      <c r="I21625" s="227" t="str">
        <f>MID(excPisCofins[[#This Row],[CodBarras2]],2,50)</f>
        <v/>
      </c>
    </row>
    <row r="21626" spans="9:9" x14ac:dyDescent="0.25">
      <c r="I21626" s="227" t="str">
        <f>MID(excPisCofins[[#This Row],[CodBarras2]],2,50)</f>
        <v/>
      </c>
    </row>
    <row r="21627" spans="9:9" x14ac:dyDescent="0.25">
      <c r="I21627" s="227" t="str">
        <f>MID(excPisCofins[[#This Row],[CodBarras2]],2,50)</f>
        <v/>
      </c>
    </row>
    <row r="21628" spans="9:9" x14ac:dyDescent="0.25">
      <c r="I21628" s="227" t="str">
        <f>MID(excPisCofins[[#This Row],[CodBarras2]],2,50)</f>
        <v/>
      </c>
    </row>
    <row r="21629" spans="9:9" x14ac:dyDescent="0.25">
      <c r="I21629" s="227" t="str">
        <f>MID(excPisCofins[[#This Row],[CodBarras2]],2,50)</f>
        <v/>
      </c>
    </row>
    <row r="21630" spans="9:9" x14ac:dyDescent="0.25">
      <c r="I21630" s="227" t="str">
        <f>MID(excPisCofins[[#This Row],[CodBarras2]],2,50)</f>
        <v/>
      </c>
    </row>
    <row r="21631" spans="9:9" x14ac:dyDescent="0.25">
      <c r="I21631" s="227" t="str">
        <f>MID(excPisCofins[[#This Row],[CodBarras2]],2,50)</f>
        <v/>
      </c>
    </row>
    <row r="21632" spans="9:9" x14ac:dyDescent="0.25">
      <c r="I21632" s="227" t="str">
        <f>MID(excPisCofins[[#This Row],[CodBarras2]],2,50)</f>
        <v/>
      </c>
    </row>
    <row r="21633" spans="9:9" x14ac:dyDescent="0.25">
      <c r="I21633" s="227" t="str">
        <f>MID(excPisCofins[[#This Row],[CodBarras2]],2,50)</f>
        <v/>
      </c>
    </row>
    <row r="21634" spans="9:9" x14ac:dyDescent="0.25">
      <c r="I21634" s="227" t="str">
        <f>MID(excPisCofins[[#This Row],[CodBarras2]],2,50)</f>
        <v/>
      </c>
    </row>
    <row r="21635" spans="9:9" x14ac:dyDescent="0.25">
      <c r="I21635" s="227" t="str">
        <f>MID(excPisCofins[[#This Row],[CodBarras2]],2,50)</f>
        <v/>
      </c>
    </row>
    <row r="21636" spans="9:9" x14ac:dyDescent="0.25">
      <c r="I21636" s="227" t="str">
        <f>MID(excPisCofins[[#This Row],[CodBarras2]],2,50)</f>
        <v/>
      </c>
    </row>
    <row r="21637" spans="9:9" x14ac:dyDescent="0.25">
      <c r="I21637" s="227" t="str">
        <f>MID(excPisCofins[[#This Row],[CodBarras2]],2,50)</f>
        <v/>
      </c>
    </row>
    <row r="21638" spans="9:9" x14ac:dyDescent="0.25">
      <c r="I21638" s="227" t="str">
        <f>MID(excPisCofins[[#This Row],[CodBarras2]],2,50)</f>
        <v/>
      </c>
    </row>
    <row r="21639" spans="9:9" x14ac:dyDescent="0.25">
      <c r="I21639" s="227" t="str">
        <f>MID(excPisCofins[[#This Row],[CodBarras2]],2,50)</f>
        <v/>
      </c>
    </row>
    <row r="21640" spans="9:9" x14ac:dyDescent="0.25">
      <c r="I21640" s="227" t="str">
        <f>MID(excPisCofins[[#This Row],[CodBarras2]],2,50)</f>
        <v/>
      </c>
    </row>
    <row r="21641" spans="9:9" x14ac:dyDescent="0.25">
      <c r="I21641" s="227" t="str">
        <f>MID(excPisCofins[[#This Row],[CodBarras2]],2,50)</f>
        <v/>
      </c>
    </row>
    <row r="21642" spans="9:9" x14ac:dyDescent="0.25">
      <c r="I21642" s="227" t="str">
        <f>MID(excPisCofins[[#This Row],[CodBarras2]],2,50)</f>
        <v/>
      </c>
    </row>
    <row r="21643" spans="9:9" x14ac:dyDescent="0.25">
      <c r="I21643" s="227" t="str">
        <f>MID(excPisCofins[[#This Row],[CodBarras2]],2,50)</f>
        <v/>
      </c>
    </row>
    <row r="21644" spans="9:9" x14ac:dyDescent="0.25">
      <c r="I21644" s="227" t="str">
        <f>MID(excPisCofins[[#This Row],[CodBarras2]],2,50)</f>
        <v/>
      </c>
    </row>
    <row r="21645" spans="9:9" x14ac:dyDescent="0.25">
      <c r="I21645" s="227" t="str">
        <f>MID(excPisCofins[[#This Row],[CodBarras2]],2,50)</f>
        <v/>
      </c>
    </row>
    <row r="21646" spans="9:9" x14ac:dyDescent="0.25">
      <c r="I21646" s="227" t="str">
        <f>MID(excPisCofins[[#This Row],[CodBarras2]],2,50)</f>
        <v/>
      </c>
    </row>
    <row r="21647" spans="9:9" x14ac:dyDescent="0.25">
      <c r="I21647" s="227" t="str">
        <f>MID(excPisCofins[[#This Row],[CodBarras2]],2,50)</f>
        <v/>
      </c>
    </row>
    <row r="21648" spans="9:9" x14ac:dyDescent="0.25">
      <c r="I21648" s="227" t="str">
        <f>MID(excPisCofins[[#This Row],[CodBarras2]],2,50)</f>
        <v/>
      </c>
    </row>
    <row r="21649" spans="9:9" x14ac:dyDescent="0.25">
      <c r="I21649" s="227" t="str">
        <f>MID(excPisCofins[[#This Row],[CodBarras2]],2,50)</f>
        <v/>
      </c>
    </row>
    <row r="21650" spans="9:9" x14ac:dyDescent="0.25">
      <c r="I21650" s="227" t="str">
        <f>MID(excPisCofins[[#This Row],[CodBarras2]],2,50)</f>
        <v/>
      </c>
    </row>
    <row r="21651" spans="9:9" x14ac:dyDescent="0.25">
      <c r="I21651" s="227" t="str">
        <f>MID(excPisCofins[[#This Row],[CodBarras2]],2,50)</f>
        <v/>
      </c>
    </row>
    <row r="21652" spans="9:9" x14ac:dyDescent="0.25">
      <c r="I21652" s="227" t="str">
        <f>MID(excPisCofins[[#This Row],[CodBarras2]],2,50)</f>
        <v/>
      </c>
    </row>
    <row r="21653" spans="9:9" x14ac:dyDescent="0.25">
      <c r="I21653" s="227" t="str">
        <f>MID(excPisCofins[[#This Row],[CodBarras2]],2,50)</f>
        <v/>
      </c>
    </row>
    <row r="21654" spans="9:9" x14ac:dyDescent="0.25">
      <c r="I21654" s="227" t="str">
        <f>MID(excPisCofins[[#This Row],[CodBarras2]],2,50)</f>
        <v/>
      </c>
    </row>
    <row r="21655" spans="9:9" x14ac:dyDescent="0.25">
      <c r="I21655" s="227" t="str">
        <f>MID(excPisCofins[[#This Row],[CodBarras2]],2,50)</f>
        <v/>
      </c>
    </row>
    <row r="21656" spans="9:9" x14ac:dyDescent="0.25">
      <c r="I21656" s="227" t="str">
        <f>MID(excPisCofins[[#This Row],[CodBarras2]],2,50)</f>
        <v/>
      </c>
    </row>
    <row r="21657" spans="9:9" x14ac:dyDescent="0.25">
      <c r="I21657" s="227" t="str">
        <f>MID(excPisCofins[[#This Row],[CodBarras2]],2,50)</f>
        <v/>
      </c>
    </row>
    <row r="21658" spans="9:9" x14ac:dyDescent="0.25">
      <c r="I21658" s="227" t="str">
        <f>MID(excPisCofins[[#This Row],[CodBarras2]],2,50)</f>
        <v/>
      </c>
    </row>
    <row r="21659" spans="9:9" x14ac:dyDescent="0.25">
      <c r="I21659" s="227" t="str">
        <f>MID(excPisCofins[[#This Row],[CodBarras2]],2,50)</f>
        <v/>
      </c>
    </row>
    <row r="21660" spans="9:9" x14ac:dyDescent="0.25">
      <c r="I21660" s="227" t="str">
        <f>MID(excPisCofins[[#This Row],[CodBarras2]],2,50)</f>
        <v/>
      </c>
    </row>
    <row r="21661" spans="9:9" x14ac:dyDescent="0.25">
      <c r="I21661" s="227" t="str">
        <f>MID(excPisCofins[[#This Row],[CodBarras2]],2,50)</f>
        <v/>
      </c>
    </row>
    <row r="21662" spans="9:9" x14ac:dyDescent="0.25">
      <c r="I21662" s="227" t="str">
        <f>MID(excPisCofins[[#This Row],[CodBarras2]],2,50)</f>
        <v/>
      </c>
    </row>
    <row r="21663" spans="9:9" x14ac:dyDescent="0.25">
      <c r="I21663" s="227" t="str">
        <f>MID(excPisCofins[[#This Row],[CodBarras2]],2,50)</f>
        <v/>
      </c>
    </row>
    <row r="21664" spans="9:9" x14ac:dyDescent="0.25">
      <c r="I21664" s="227" t="str">
        <f>MID(excPisCofins[[#This Row],[CodBarras2]],2,50)</f>
        <v/>
      </c>
    </row>
    <row r="21665" spans="9:9" x14ac:dyDescent="0.25">
      <c r="I21665" s="227" t="str">
        <f>MID(excPisCofins[[#This Row],[CodBarras2]],2,50)</f>
        <v/>
      </c>
    </row>
    <row r="21666" spans="9:9" x14ac:dyDescent="0.25">
      <c r="I21666" s="227" t="str">
        <f>MID(excPisCofins[[#This Row],[CodBarras2]],2,50)</f>
        <v/>
      </c>
    </row>
    <row r="21667" spans="9:9" x14ac:dyDescent="0.25">
      <c r="I21667" s="227" t="str">
        <f>MID(excPisCofins[[#This Row],[CodBarras2]],2,50)</f>
        <v/>
      </c>
    </row>
    <row r="21668" spans="9:9" x14ac:dyDescent="0.25">
      <c r="I21668" s="227" t="str">
        <f>MID(excPisCofins[[#This Row],[CodBarras2]],2,50)</f>
        <v/>
      </c>
    </row>
    <row r="21669" spans="9:9" x14ac:dyDescent="0.25">
      <c r="I21669" s="227" t="str">
        <f>MID(excPisCofins[[#This Row],[CodBarras2]],2,50)</f>
        <v/>
      </c>
    </row>
    <row r="21670" spans="9:9" x14ac:dyDescent="0.25">
      <c r="I21670" s="227" t="str">
        <f>MID(excPisCofins[[#This Row],[CodBarras2]],2,50)</f>
        <v/>
      </c>
    </row>
    <row r="21671" spans="9:9" x14ac:dyDescent="0.25">
      <c r="I21671" s="227" t="str">
        <f>MID(excPisCofins[[#This Row],[CodBarras2]],2,50)</f>
        <v/>
      </c>
    </row>
    <row r="21672" spans="9:9" x14ac:dyDescent="0.25">
      <c r="I21672" s="227" t="str">
        <f>MID(excPisCofins[[#This Row],[CodBarras2]],2,50)</f>
        <v/>
      </c>
    </row>
    <row r="21673" spans="9:9" x14ac:dyDescent="0.25">
      <c r="I21673" s="227" t="str">
        <f>MID(excPisCofins[[#This Row],[CodBarras2]],2,50)</f>
        <v/>
      </c>
    </row>
    <row r="21674" spans="9:9" x14ac:dyDescent="0.25">
      <c r="I21674" s="227" t="str">
        <f>MID(excPisCofins[[#This Row],[CodBarras2]],2,50)</f>
        <v/>
      </c>
    </row>
    <row r="21675" spans="9:9" x14ac:dyDescent="0.25">
      <c r="I21675" s="227" t="str">
        <f>MID(excPisCofins[[#This Row],[CodBarras2]],2,50)</f>
        <v/>
      </c>
    </row>
    <row r="21676" spans="9:9" x14ac:dyDescent="0.25">
      <c r="I21676" s="227" t="str">
        <f>MID(excPisCofins[[#This Row],[CodBarras2]],2,50)</f>
        <v/>
      </c>
    </row>
    <row r="21677" spans="9:9" x14ac:dyDescent="0.25">
      <c r="I21677" s="227" t="str">
        <f>MID(excPisCofins[[#This Row],[CodBarras2]],2,50)</f>
        <v/>
      </c>
    </row>
    <row r="21678" spans="9:9" x14ac:dyDescent="0.25">
      <c r="I21678" s="227" t="str">
        <f>MID(excPisCofins[[#This Row],[CodBarras2]],2,50)</f>
        <v/>
      </c>
    </row>
    <row r="21679" spans="9:9" x14ac:dyDescent="0.25">
      <c r="I21679" s="227" t="str">
        <f>MID(excPisCofins[[#This Row],[CodBarras2]],2,50)</f>
        <v/>
      </c>
    </row>
    <row r="21680" spans="9:9" x14ac:dyDescent="0.25">
      <c r="I21680" s="227" t="str">
        <f>MID(excPisCofins[[#This Row],[CodBarras2]],2,50)</f>
        <v/>
      </c>
    </row>
    <row r="21681" spans="9:9" x14ac:dyDescent="0.25">
      <c r="I21681" s="227" t="str">
        <f>MID(excPisCofins[[#This Row],[CodBarras2]],2,50)</f>
        <v/>
      </c>
    </row>
    <row r="21682" spans="9:9" x14ac:dyDescent="0.25">
      <c r="I21682" s="227" t="str">
        <f>MID(excPisCofins[[#This Row],[CodBarras2]],2,50)</f>
        <v/>
      </c>
    </row>
    <row r="21683" spans="9:9" x14ac:dyDescent="0.25">
      <c r="I21683" s="227" t="str">
        <f>MID(excPisCofins[[#This Row],[CodBarras2]],2,50)</f>
        <v/>
      </c>
    </row>
    <row r="21684" spans="9:9" x14ac:dyDescent="0.25">
      <c r="I21684" s="227" t="str">
        <f>MID(excPisCofins[[#This Row],[CodBarras2]],2,50)</f>
        <v/>
      </c>
    </row>
    <row r="21685" spans="9:9" x14ac:dyDescent="0.25">
      <c r="I21685" s="227" t="str">
        <f>MID(excPisCofins[[#This Row],[CodBarras2]],2,50)</f>
        <v/>
      </c>
    </row>
    <row r="21686" spans="9:9" x14ac:dyDescent="0.25">
      <c r="I21686" s="227" t="str">
        <f>MID(excPisCofins[[#This Row],[CodBarras2]],2,50)</f>
        <v/>
      </c>
    </row>
    <row r="21687" spans="9:9" x14ac:dyDescent="0.25">
      <c r="I21687" s="227" t="str">
        <f>MID(excPisCofins[[#This Row],[CodBarras2]],2,50)</f>
        <v/>
      </c>
    </row>
    <row r="21688" spans="9:9" x14ac:dyDescent="0.25">
      <c r="I21688" s="227" t="str">
        <f>MID(excPisCofins[[#This Row],[CodBarras2]],2,50)</f>
        <v/>
      </c>
    </row>
    <row r="21689" spans="9:9" x14ac:dyDescent="0.25">
      <c r="I21689" s="227" t="str">
        <f>MID(excPisCofins[[#This Row],[CodBarras2]],2,50)</f>
        <v/>
      </c>
    </row>
    <row r="21690" spans="9:9" x14ac:dyDescent="0.25">
      <c r="I21690" s="227" t="str">
        <f>MID(excPisCofins[[#This Row],[CodBarras2]],2,50)</f>
        <v/>
      </c>
    </row>
    <row r="21691" spans="9:9" x14ac:dyDescent="0.25">
      <c r="I21691" s="227" t="str">
        <f>MID(excPisCofins[[#This Row],[CodBarras2]],2,50)</f>
        <v/>
      </c>
    </row>
    <row r="21692" spans="9:9" x14ac:dyDescent="0.25">
      <c r="I21692" s="227" t="str">
        <f>MID(excPisCofins[[#This Row],[CodBarras2]],2,50)</f>
        <v/>
      </c>
    </row>
    <row r="21693" spans="9:9" x14ac:dyDescent="0.25">
      <c r="I21693" s="227" t="str">
        <f>MID(excPisCofins[[#This Row],[CodBarras2]],2,50)</f>
        <v/>
      </c>
    </row>
    <row r="21694" spans="9:9" x14ac:dyDescent="0.25">
      <c r="I21694" s="227" t="str">
        <f>MID(excPisCofins[[#This Row],[CodBarras2]],2,50)</f>
        <v/>
      </c>
    </row>
    <row r="21695" spans="9:9" x14ac:dyDescent="0.25">
      <c r="I21695" s="227" t="str">
        <f>MID(excPisCofins[[#This Row],[CodBarras2]],2,50)</f>
        <v/>
      </c>
    </row>
    <row r="21696" spans="9:9" x14ac:dyDescent="0.25">
      <c r="I21696" s="227" t="str">
        <f>MID(excPisCofins[[#This Row],[CodBarras2]],2,50)</f>
        <v/>
      </c>
    </row>
    <row r="21697" spans="9:9" x14ac:dyDescent="0.25">
      <c r="I21697" s="227" t="str">
        <f>MID(excPisCofins[[#This Row],[CodBarras2]],2,50)</f>
        <v/>
      </c>
    </row>
    <row r="21698" spans="9:9" x14ac:dyDescent="0.25">
      <c r="I21698" s="227" t="str">
        <f>MID(excPisCofins[[#This Row],[CodBarras2]],2,50)</f>
        <v/>
      </c>
    </row>
    <row r="21699" spans="9:9" x14ac:dyDescent="0.25">
      <c r="I21699" s="227" t="str">
        <f>MID(excPisCofins[[#This Row],[CodBarras2]],2,50)</f>
        <v/>
      </c>
    </row>
    <row r="21700" spans="9:9" x14ac:dyDescent="0.25">
      <c r="I21700" s="227" t="str">
        <f>MID(excPisCofins[[#This Row],[CodBarras2]],2,50)</f>
        <v/>
      </c>
    </row>
    <row r="21701" spans="9:9" x14ac:dyDescent="0.25">
      <c r="I21701" s="227" t="str">
        <f>MID(excPisCofins[[#This Row],[CodBarras2]],2,50)</f>
        <v/>
      </c>
    </row>
    <row r="21702" spans="9:9" x14ac:dyDescent="0.25">
      <c r="I21702" s="227" t="str">
        <f>MID(excPisCofins[[#This Row],[CodBarras2]],2,50)</f>
        <v/>
      </c>
    </row>
    <row r="21703" spans="9:9" x14ac:dyDescent="0.25">
      <c r="I21703" s="227" t="str">
        <f>MID(excPisCofins[[#This Row],[CodBarras2]],2,50)</f>
        <v/>
      </c>
    </row>
    <row r="21704" spans="9:9" x14ac:dyDescent="0.25">
      <c r="I21704" s="227" t="str">
        <f>MID(excPisCofins[[#This Row],[CodBarras2]],2,50)</f>
        <v/>
      </c>
    </row>
    <row r="21705" spans="9:9" x14ac:dyDescent="0.25">
      <c r="I21705" s="227" t="str">
        <f>MID(excPisCofins[[#This Row],[CodBarras2]],2,50)</f>
        <v/>
      </c>
    </row>
    <row r="21706" spans="9:9" x14ac:dyDescent="0.25">
      <c r="I21706" s="227" t="str">
        <f>MID(excPisCofins[[#This Row],[CodBarras2]],2,50)</f>
        <v/>
      </c>
    </row>
    <row r="21707" spans="9:9" x14ac:dyDescent="0.25">
      <c r="I21707" s="227" t="str">
        <f>MID(excPisCofins[[#This Row],[CodBarras2]],2,50)</f>
        <v/>
      </c>
    </row>
    <row r="21708" spans="9:9" x14ac:dyDescent="0.25">
      <c r="I21708" s="227" t="str">
        <f>MID(excPisCofins[[#This Row],[CodBarras2]],2,50)</f>
        <v/>
      </c>
    </row>
    <row r="21709" spans="9:9" x14ac:dyDescent="0.25">
      <c r="I21709" s="227" t="str">
        <f>MID(excPisCofins[[#This Row],[CodBarras2]],2,50)</f>
        <v/>
      </c>
    </row>
    <row r="21710" spans="9:9" x14ac:dyDescent="0.25">
      <c r="I21710" s="227" t="str">
        <f>MID(excPisCofins[[#This Row],[CodBarras2]],2,50)</f>
        <v/>
      </c>
    </row>
    <row r="21711" spans="9:9" x14ac:dyDescent="0.25">
      <c r="I21711" s="227" t="str">
        <f>MID(excPisCofins[[#This Row],[CodBarras2]],2,50)</f>
        <v/>
      </c>
    </row>
    <row r="21712" spans="9:9" x14ac:dyDescent="0.25">
      <c r="I21712" s="227" t="str">
        <f>MID(excPisCofins[[#This Row],[CodBarras2]],2,50)</f>
        <v/>
      </c>
    </row>
    <row r="21713" spans="9:9" x14ac:dyDescent="0.25">
      <c r="I21713" s="227" t="str">
        <f>MID(excPisCofins[[#This Row],[CodBarras2]],2,50)</f>
        <v/>
      </c>
    </row>
    <row r="21714" spans="9:9" x14ac:dyDescent="0.25">
      <c r="I21714" s="227" t="str">
        <f>MID(excPisCofins[[#This Row],[CodBarras2]],2,50)</f>
        <v/>
      </c>
    </row>
    <row r="21715" spans="9:9" x14ac:dyDescent="0.25">
      <c r="I21715" s="227" t="str">
        <f>MID(excPisCofins[[#This Row],[CodBarras2]],2,50)</f>
        <v/>
      </c>
    </row>
    <row r="21716" spans="9:9" x14ac:dyDescent="0.25">
      <c r="I21716" s="227" t="str">
        <f>MID(excPisCofins[[#This Row],[CodBarras2]],2,50)</f>
        <v/>
      </c>
    </row>
    <row r="21717" spans="9:9" x14ac:dyDescent="0.25">
      <c r="I21717" s="227" t="str">
        <f>MID(excPisCofins[[#This Row],[CodBarras2]],2,50)</f>
        <v/>
      </c>
    </row>
    <row r="21718" spans="9:9" x14ac:dyDescent="0.25">
      <c r="I21718" s="227" t="str">
        <f>MID(excPisCofins[[#This Row],[CodBarras2]],2,50)</f>
        <v/>
      </c>
    </row>
    <row r="21719" spans="9:9" x14ac:dyDescent="0.25">
      <c r="I21719" s="227" t="str">
        <f>MID(excPisCofins[[#This Row],[CodBarras2]],2,50)</f>
        <v/>
      </c>
    </row>
    <row r="21720" spans="9:9" x14ac:dyDescent="0.25">
      <c r="I21720" s="227" t="str">
        <f>MID(excPisCofins[[#This Row],[CodBarras2]],2,50)</f>
        <v/>
      </c>
    </row>
    <row r="21721" spans="9:9" x14ac:dyDescent="0.25">
      <c r="I21721" s="227" t="str">
        <f>MID(excPisCofins[[#This Row],[CodBarras2]],2,50)</f>
        <v/>
      </c>
    </row>
    <row r="21722" spans="9:9" x14ac:dyDescent="0.25">
      <c r="I21722" s="227" t="str">
        <f>MID(excPisCofins[[#This Row],[CodBarras2]],2,50)</f>
        <v/>
      </c>
    </row>
    <row r="21723" spans="9:9" x14ac:dyDescent="0.25">
      <c r="I21723" s="227" t="str">
        <f>MID(excPisCofins[[#This Row],[CodBarras2]],2,50)</f>
        <v/>
      </c>
    </row>
    <row r="21724" spans="9:9" x14ac:dyDescent="0.25">
      <c r="I21724" s="227" t="str">
        <f>MID(excPisCofins[[#This Row],[CodBarras2]],2,50)</f>
        <v/>
      </c>
    </row>
    <row r="21725" spans="9:9" x14ac:dyDescent="0.25">
      <c r="I21725" s="227" t="str">
        <f>MID(excPisCofins[[#This Row],[CodBarras2]],2,50)</f>
        <v/>
      </c>
    </row>
    <row r="21726" spans="9:9" x14ac:dyDescent="0.25">
      <c r="I21726" s="227" t="str">
        <f>MID(excPisCofins[[#This Row],[CodBarras2]],2,50)</f>
        <v/>
      </c>
    </row>
    <row r="21727" spans="9:9" x14ac:dyDescent="0.25">
      <c r="I21727" s="227" t="str">
        <f>MID(excPisCofins[[#This Row],[CodBarras2]],2,50)</f>
        <v/>
      </c>
    </row>
    <row r="21728" spans="9:9" x14ac:dyDescent="0.25">
      <c r="I21728" s="227" t="str">
        <f>MID(excPisCofins[[#This Row],[CodBarras2]],2,50)</f>
        <v/>
      </c>
    </row>
    <row r="21729" spans="9:9" x14ac:dyDescent="0.25">
      <c r="I21729" s="227" t="str">
        <f>MID(excPisCofins[[#This Row],[CodBarras2]],2,50)</f>
        <v/>
      </c>
    </row>
    <row r="21730" spans="9:9" x14ac:dyDescent="0.25">
      <c r="I21730" s="227" t="str">
        <f>MID(excPisCofins[[#This Row],[CodBarras2]],2,50)</f>
        <v/>
      </c>
    </row>
    <row r="21731" spans="9:9" x14ac:dyDescent="0.25">
      <c r="I21731" s="227" t="str">
        <f>MID(excPisCofins[[#This Row],[CodBarras2]],2,50)</f>
        <v/>
      </c>
    </row>
    <row r="21732" spans="9:9" x14ac:dyDescent="0.25">
      <c r="I21732" s="227" t="str">
        <f>MID(excPisCofins[[#This Row],[CodBarras2]],2,50)</f>
        <v/>
      </c>
    </row>
    <row r="21733" spans="9:9" x14ac:dyDescent="0.25">
      <c r="I21733" s="227" t="str">
        <f>MID(excPisCofins[[#This Row],[CodBarras2]],2,50)</f>
        <v/>
      </c>
    </row>
    <row r="21734" spans="9:9" x14ac:dyDescent="0.25">
      <c r="I21734" s="227" t="str">
        <f>MID(excPisCofins[[#This Row],[CodBarras2]],2,50)</f>
        <v/>
      </c>
    </row>
    <row r="21735" spans="9:9" x14ac:dyDescent="0.25">
      <c r="I21735" s="227" t="str">
        <f>MID(excPisCofins[[#This Row],[CodBarras2]],2,50)</f>
        <v/>
      </c>
    </row>
    <row r="21736" spans="9:9" x14ac:dyDescent="0.25">
      <c r="I21736" s="227" t="str">
        <f>MID(excPisCofins[[#This Row],[CodBarras2]],2,50)</f>
        <v/>
      </c>
    </row>
    <row r="21737" spans="9:9" x14ac:dyDescent="0.25">
      <c r="I21737" s="227" t="str">
        <f>MID(excPisCofins[[#This Row],[CodBarras2]],2,50)</f>
        <v/>
      </c>
    </row>
    <row r="21738" spans="9:9" x14ac:dyDescent="0.25">
      <c r="I21738" s="227" t="str">
        <f>MID(excPisCofins[[#This Row],[CodBarras2]],2,50)</f>
        <v/>
      </c>
    </row>
    <row r="21739" spans="9:9" x14ac:dyDescent="0.25">
      <c r="I21739" s="227" t="str">
        <f>MID(excPisCofins[[#This Row],[CodBarras2]],2,50)</f>
        <v/>
      </c>
    </row>
    <row r="21740" spans="9:9" x14ac:dyDescent="0.25">
      <c r="I21740" s="227" t="str">
        <f>MID(excPisCofins[[#This Row],[CodBarras2]],2,50)</f>
        <v/>
      </c>
    </row>
    <row r="21741" spans="9:9" x14ac:dyDescent="0.25">
      <c r="I21741" s="227" t="str">
        <f>MID(excPisCofins[[#This Row],[CodBarras2]],2,50)</f>
        <v/>
      </c>
    </row>
    <row r="21742" spans="9:9" x14ac:dyDescent="0.25">
      <c r="I21742" s="227" t="str">
        <f>MID(excPisCofins[[#This Row],[CodBarras2]],2,50)</f>
        <v/>
      </c>
    </row>
    <row r="21743" spans="9:9" x14ac:dyDescent="0.25">
      <c r="I21743" s="227" t="str">
        <f>MID(excPisCofins[[#This Row],[CodBarras2]],2,50)</f>
        <v/>
      </c>
    </row>
    <row r="21744" spans="9:9" x14ac:dyDescent="0.25">
      <c r="I21744" s="227" t="str">
        <f>MID(excPisCofins[[#This Row],[CodBarras2]],2,50)</f>
        <v/>
      </c>
    </row>
    <row r="21745" spans="9:9" x14ac:dyDescent="0.25">
      <c r="I21745" s="227" t="str">
        <f>MID(excPisCofins[[#This Row],[CodBarras2]],2,50)</f>
        <v/>
      </c>
    </row>
    <row r="21746" spans="9:9" x14ac:dyDescent="0.25">
      <c r="I21746" s="227" t="str">
        <f>MID(excPisCofins[[#This Row],[CodBarras2]],2,50)</f>
        <v/>
      </c>
    </row>
    <row r="21747" spans="9:9" x14ac:dyDescent="0.25">
      <c r="I21747" s="227" t="str">
        <f>MID(excPisCofins[[#This Row],[CodBarras2]],2,50)</f>
        <v/>
      </c>
    </row>
    <row r="21748" spans="9:9" x14ac:dyDescent="0.25">
      <c r="I21748" s="227" t="str">
        <f>MID(excPisCofins[[#This Row],[CodBarras2]],2,50)</f>
        <v/>
      </c>
    </row>
    <row r="21749" spans="9:9" x14ac:dyDescent="0.25">
      <c r="I21749" s="227" t="str">
        <f>MID(excPisCofins[[#This Row],[CodBarras2]],2,50)</f>
        <v/>
      </c>
    </row>
    <row r="21750" spans="9:9" x14ac:dyDescent="0.25">
      <c r="I21750" s="227" t="str">
        <f>MID(excPisCofins[[#This Row],[CodBarras2]],2,50)</f>
        <v/>
      </c>
    </row>
    <row r="21751" spans="9:9" x14ac:dyDescent="0.25">
      <c r="I21751" s="227" t="str">
        <f>MID(excPisCofins[[#This Row],[CodBarras2]],2,50)</f>
        <v/>
      </c>
    </row>
    <row r="21752" spans="9:9" x14ac:dyDescent="0.25">
      <c r="I21752" s="227" t="str">
        <f>MID(excPisCofins[[#This Row],[CodBarras2]],2,50)</f>
        <v/>
      </c>
    </row>
    <row r="21753" spans="9:9" x14ac:dyDescent="0.25">
      <c r="I21753" s="227" t="str">
        <f>MID(excPisCofins[[#This Row],[CodBarras2]],2,50)</f>
        <v/>
      </c>
    </row>
    <row r="21754" spans="9:9" x14ac:dyDescent="0.25">
      <c r="I21754" s="227" t="str">
        <f>MID(excPisCofins[[#This Row],[CodBarras2]],2,50)</f>
        <v/>
      </c>
    </row>
    <row r="21755" spans="9:9" x14ac:dyDescent="0.25">
      <c r="I21755" s="227" t="str">
        <f>MID(excPisCofins[[#This Row],[CodBarras2]],2,50)</f>
        <v/>
      </c>
    </row>
    <row r="21756" spans="9:9" x14ac:dyDescent="0.25">
      <c r="I21756" s="227" t="str">
        <f>MID(excPisCofins[[#This Row],[CodBarras2]],2,50)</f>
        <v/>
      </c>
    </row>
    <row r="21757" spans="9:9" x14ac:dyDescent="0.25">
      <c r="I21757" s="227" t="str">
        <f>MID(excPisCofins[[#This Row],[CodBarras2]],2,50)</f>
        <v/>
      </c>
    </row>
    <row r="21758" spans="9:9" x14ac:dyDescent="0.25">
      <c r="I21758" s="227" t="str">
        <f>MID(excPisCofins[[#This Row],[CodBarras2]],2,50)</f>
        <v/>
      </c>
    </row>
    <row r="21759" spans="9:9" x14ac:dyDescent="0.25">
      <c r="I21759" s="227" t="str">
        <f>MID(excPisCofins[[#This Row],[CodBarras2]],2,50)</f>
        <v/>
      </c>
    </row>
    <row r="21760" spans="9:9" x14ac:dyDescent="0.25">
      <c r="I21760" s="227" t="str">
        <f>MID(excPisCofins[[#This Row],[CodBarras2]],2,50)</f>
        <v/>
      </c>
    </row>
    <row r="21761" spans="9:9" x14ac:dyDescent="0.25">
      <c r="I21761" s="227" t="str">
        <f>MID(excPisCofins[[#This Row],[CodBarras2]],2,50)</f>
        <v/>
      </c>
    </row>
    <row r="21762" spans="9:9" x14ac:dyDescent="0.25">
      <c r="I21762" s="227" t="str">
        <f>MID(excPisCofins[[#This Row],[CodBarras2]],2,50)</f>
        <v/>
      </c>
    </row>
    <row r="21763" spans="9:9" x14ac:dyDescent="0.25">
      <c r="I21763" s="227" t="str">
        <f>MID(excPisCofins[[#This Row],[CodBarras2]],2,50)</f>
        <v/>
      </c>
    </row>
    <row r="21764" spans="9:9" x14ac:dyDescent="0.25">
      <c r="I21764" s="227" t="str">
        <f>MID(excPisCofins[[#This Row],[CodBarras2]],2,50)</f>
        <v/>
      </c>
    </row>
    <row r="21765" spans="9:9" x14ac:dyDescent="0.25">
      <c r="I21765" s="227" t="str">
        <f>MID(excPisCofins[[#This Row],[CodBarras2]],2,50)</f>
        <v/>
      </c>
    </row>
    <row r="21766" spans="9:9" x14ac:dyDescent="0.25">
      <c r="I21766" s="227" t="str">
        <f>MID(excPisCofins[[#This Row],[CodBarras2]],2,50)</f>
        <v/>
      </c>
    </row>
    <row r="21767" spans="9:9" x14ac:dyDescent="0.25">
      <c r="I21767" s="227" t="str">
        <f>MID(excPisCofins[[#This Row],[CodBarras2]],2,50)</f>
        <v/>
      </c>
    </row>
    <row r="21768" spans="9:9" x14ac:dyDescent="0.25">
      <c r="I21768" s="227" t="str">
        <f>MID(excPisCofins[[#This Row],[CodBarras2]],2,50)</f>
        <v/>
      </c>
    </row>
    <row r="21769" spans="9:9" x14ac:dyDescent="0.25">
      <c r="I21769" s="227" t="str">
        <f>MID(excPisCofins[[#This Row],[CodBarras2]],2,50)</f>
        <v/>
      </c>
    </row>
    <row r="21770" spans="9:9" x14ac:dyDescent="0.25">
      <c r="I21770" s="227" t="str">
        <f>MID(excPisCofins[[#This Row],[CodBarras2]],2,50)</f>
        <v/>
      </c>
    </row>
    <row r="21771" spans="9:9" x14ac:dyDescent="0.25">
      <c r="I21771" s="227" t="str">
        <f>MID(excPisCofins[[#This Row],[CodBarras2]],2,50)</f>
        <v/>
      </c>
    </row>
    <row r="21772" spans="9:9" x14ac:dyDescent="0.25">
      <c r="I21772" s="227" t="str">
        <f>MID(excPisCofins[[#This Row],[CodBarras2]],2,50)</f>
        <v/>
      </c>
    </row>
    <row r="21773" spans="9:9" x14ac:dyDescent="0.25">
      <c r="I21773" s="227" t="str">
        <f>MID(excPisCofins[[#This Row],[CodBarras2]],2,50)</f>
        <v/>
      </c>
    </row>
    <row r="21774" spans="9:9" x14ac:dyDescent="0.25">
      <c r="I21774" s="227" t="str">
        <f>MID(excPisCofins[[#This Row],[CodBarras2]],2,50)</f>
        <v/>
      </c>
    </row>
    <row r="21775" spans="9:9" x14ac:dyDescent="0.25">
      <c r="I21775" s="227" t="str">
        <f>MID(excPisCofins[[#This Row],[CodBarras2]],2,50)</f>
        <v/>
      </c>
    </row>
    <row r="21776" spans="9:9" x14ac:dyDescent="0.25">
      <c r="I21776" s="227" t="str">
        <f>MID(excPisCofins[[#This Row],[CodBarras2]],2,50)</f>
        <v/>
      </c>
    </row>
    <row r="21777" spans="9:9" x14ac:dyDescent="0.25">
      <c r="I21777" s="227" t="str">
        <f>MID(excPisCofins[[#This Row],[CodBarras2]],2,50)</f>
        <v/>
      </c>
    </row>
    <row r="21778" spans="9:9" x14ac:dyDescent="0.25">
      <c r="I21778" s="227" t="str">
        <f>MID(excPisCofins[[#This Row],[CodBarras2]],2,50)</f>
        <v/>
      </c>
    </row>
    <row r="21779" spans="9:9" x14ac:dyDescent="0.25">
      <c r="I21779" s="227" t="str">
        <f>MID(excPisCofins[[#This Row],[CodBarras2]],2,50)</f>
        <v/>
      </c>
    </row>
    <row r="21780" spans="9:9" x14ac:dyDescent="0.25">
      <c r="I21780" s="227" t="str">
        <f>MID(excPisCofins[[#This Row],[CodBarras2]],2,50)</f>
        <v/>
      </c>
    </row>
    <row r="21781" spans="9:9" x14ac:dyDescent="0.25">
      <c r="I21781" s="227" t="str">
        <f>MID(excPisCofins[[#This Row],[CodBarras2]],2,50)</f>
        <v/>
      </c>
    </row>
    <row r="21782" spans="9:9" x14ac:dyDescent="0.25">
      <c r="I21782" s="227" t="str">
        <f>MID(excPisCofins[[#This Row],[CodBarras2]],2,50)</f>
        <v/>
      </c>
    </row>
    <row r="21783" spans="9:9" x14ac:dyDescent="0.25">
      <c r="I21783" s="227" t="str">
        <f>MID(excPisCofins[[#This Row],[CodBarras2]],2,50)</f>
        <v/>
      </c>
    </row>
    <row r="21784" spans="9:9" x14ac:dyDescent="0.25">
      <c r="I21784" s="227" t="str">
        <f>MID(excPisCofins[[#This Row],[CodBarras2]],2,50)</f>
        <v/>
      </c>
    </row>
    <row r="21785" spans="9:9" x14ac:dyDescent="0.25">
      <c r="I21785" s="227" t="str">
        <f>MID(excPisCofins[[#This Row],[CodBarras2]],2,50)</f>
        <v/>
      </c>
    </row>
    <row r="21786" spans="9:9" x14ac:dyDescent="0.25">
      <c r="I21786" s="227" t="str">
        <f>MID(excPisCofins[[#This Row],[CodBarras2]],2,50)</f>
        <v/>
      </c>
    </row>
    <row r="21787" spans="9:9" x14ac:dyDescent="0.25">
      <c r="I21787" s="227" t="str">
        <f>MID(excPisCofins[[#This Row],[CodBarras2]],2,50)</f>
        <v/>
      </c>
    </row>
    <row r="21788" spans="9:9" x14ac:dyDescent="0.25">
      <c r="I21788" s="227" t="str">
        <f>MID(excPisCofins[[#This Row],[CodBarras2]],2,50)</f>
        <v/>
      </c>
    </row>
    <row r="21789" spans="9:9" x14ac:dyDescent="0.25">
      <c r="I21789" s="227" t="str">
        <f>MID(excPisCofins[[#This Row],[CodBarras2]],2,50)</f>
        <v/>
      </c>
    </row>
    <row r="21790" spans="9:9" x14ac:dyDescent="0.25">
      <c r="I21790" s="227" t="str">
        <f>MID(excPisCofins[[#This Row],[CodBarras2]],2,50)</f>
        <v/>
      </c>
    </row>
    <row r="21791" spans="9:9" x14ac:dyDescent="0.25">
      <c r="I21791" s="227" t="str">
        <f>MID(excPisCofins[[#This Row],[CodBarras2]],2,50)</f>
        <v/>
      </c>
    </row>
    <row r="21792" spans="9:9" x14ac:dyDescent="0.25">
      <c r="I21792" s="227" t="str">
        <f>MID(excPisCofins[[#This Row],[CodBarras2]],2,50)</f>
        <v/>
      </c>
    </row>
    <row r="21793" spans="9:9" x14ac:dyDescent="0.25">
      <c r="I21793" s="227" t="str">
        <f>MID(excPisCofins[[#This Row],[CodBarras2]],2,50)</f>
        <v/>
      </c>
    </row>
    <row r="21794" spans="9:9" x14ac:dyDescent="0.25">
      <c r="I21794" s="227" t="str">
        <f>MID(excPisCofins[[#This Row],[CodBarras2]],2,50)</f>
        <v/>
      </c>
    </row>
    <row r="21795" spans="9:9" x14ac:dyDescent="0.25">
      <c r="I21795" s="227" t="str">
        <f>MID(excPisCofins[[#This Row],[CodBarras2]],2,50)</f>
        <v/>
      </c>
    </row>
    <row r="21796" spans="9:9" x14ac:dyDescent="0.25">
      <c r="I21796" s="227" t="str">
        <f>MID(excPisCofins[[#This Row],[CodBarras2]],2,50)</f>
        <v/>
      </c>
    </row>
    <row r="21797" spans="9:9" x14ac:dyDescent="0.25">
      <c r="I21797" s="227" t="str">
        <f>MID(excPisCofins[[#This Row],[CodBarras2]],2,50)</f>
        <v/>
      </c>
    </row>
    <row r="21798" spans="9:9" x14ac:dyDescent="0.25">
      <c r="I21798" s="227" t="str">
        <f>MID(excPisCofins[[#This Row],[CodBarras2]],2,50)</f>
        <v/>
      </c>
    </row>
    <row r="21799" spans="9:9" x14ac:dyDescent="0.25">
      <c r="I21799" s="227" t="str">
        <f>MID(excPisCofins[[#This Row],[CodBarras2]],2,50)</f>
        <v/>
      </c>
    </row>
    <row r="21800" spans="9:9" x14ac:dyDescent="0.25">
      <c r="I21800" s="227" t="str">
        <f>MID(excPisCofins[[#This Row],[CodBarras2]],2,50)</f>
        <v/>
      </c>
    </row>
    <row r="21801" spans="9:9" x14ac:dyDescent="0.25">
      <c r="I21801" s="227" t="str">
        <f>MID(excPisCofins[[#This Row],[CodBarras2]],2,50)</f>
        <v/>
      </c>
    </row>
    <row r="21802" spans="9:9" x14ac:dyDescent="0.25">
      <c r="I21802" s="227" t="str">
        <f>MID(excPisCofins[[#This Row],[CodBarras2]],2,50)</f>
        <v/>
      </c>
    </row>
    <row r="21803" spans="9:9" x14ac:dyDescent="0.25">
      <c r="I21803" s="227" t="str">
        <f>MID(excPisCofins[[#This Row],[CodBarras2]],2,50)</f>
        <v/>
      </c>
    </row>
    <row r="21804" spans="9:9" x14ac:dyDescent="0.25">
      <c r="I21804" s="227" t="str">
        <f>MID(excPisCofins[[#This Row],[CodBarras2]],2,50)</f>
        <v/>
      </c>
    </row>
    <row r="21805" spans="9:9" x14ac:dyDescent="0.25">
      <c r="I21805" s="227" t="str">
        <f>MID(excPisCofins[[#This Row],[CodBarras2]],2,50)</f>
        <v/>
      </c>
    </row>
    <row r="21806" spans="9:9" x14ac:dyDescent="0.25">
      <c r="I21806" s="227" t="str">
        <f>MID(excPisCofins[[#This Row],[CodBarras2]],2,50)</f>
        <v/>
      </c>
    </row>
    <row r="21807" spans="9:9" x14ac:dyDescent="0.25">
      <c r="I21807" s="227" t="str">
        <f>MID(excPisCofins[[#This Row],[CodBarras2]],2,50)</f>
        <v/>
      </c>
    </row>
    <row r="21808" spans="9:9" x14ac:dyDescent="0.25">
      <c r="I21808" s="227" t="str">
        <f>MID(excPisCofins[[#This Row],[CodBarras2]],2,50)</f>
        <v/>
      </c>
    </row>
    <row r="21809" spans="9:9" x14ac:dyDescent="0.25">
      <c r="I21809" s="227" t="str">
        <f>MID(excPisCofins[[#This Row],[CodBarras2]],2,50)</f>
        <v/>
      </c>
    </row>
    <row r="21810" spans="9:9" x14ac:dyDescent="0.25">
      <c r="I21810" s="227" t="str">
        <f>MID(excPisCofins[[#This Row],[CodBarras2]],2,50)</f>
        <v/>
      </c>
    </row>
    <row r="21811" spans="9:9" x14ac:dyDescent="0.25">
      <c r="I21811" s="227" t="str">
        <f>MID(excPisCofins[[#This Row],[CodBarras2]],2,50)</f>
        <v/>
      </c>
    </row>
    <row r="21812" spans="9:9" x14ac:dyDescent="0.25">
      <c r="I21812" s="227" t="str">
        <f>MID(excPisCofins[[#This Row],[CodBarras2]],2,50)</f>
        <v/>
      </c>
    </row>
    <row r="21813" spans="9:9" x14ac:dyDescent="0.25">
      <c r="I21813" s="227" t="str">
        <f>MID(excPisCofins[[#This Row],[CodBarras2]],2,50)</f>
        <v/>
      </c>
    </row>
    <row r="21814" spans="9:9" x14ac:dyDescent="0.25">
      <c r="I21814" s="227" t="str">
        <f>MID(excPisCofins[[#This Row],[CodBarras2]],2,50)</f>
        <v/>
      </c>
    </row>
    <row r="21815" spans="9:9" x14ac:dyDescent="0.25">
      <c r="I21815" s="227" t="str">
        <f>MID(excPisCofins[[#This Row],[CodBarras2]],2,50)</f>
        <v/>
      </c>
    </row>
    <row r="21816" spans="9:9" x14ac:dyDescent="0.25">
      <c r="I21816" s="227" t="str">
        <f>MID(excPisCofins[[#This Row],[CodBarras2]],2,50)</f>
        <v/>
      </c>
    </row>
    <row r="21817" spans="9:9" x14ac:dyDescent="0.25">
      <c r="I21817" s="227" t="str">
        <f>MID(excPisCofins[[#This Row],[CodBarras2]],2,50)</f>
        <v/>
      </c>
    </row>
    <row r="21818" spans="9:9" x14ac:dyDescent="0.25">
      <c r="I21818" s="227" t="str">
        <f>MID(excPisCofins[[#This Row],[CodBarras2]],2,50)</f>
        <v/>
      </c>
    </row>
    <row r="21819" spans="9:9" x14ac:dyDescent="0.25">
      <c r="I21819" s="227" t="str">
        <f>MID(excPisCofins[[#This Row],[CodBarras2]],2,50)</f>
        <v/>
      </c>
    </row>
    <row r="21820" spans="9:9" x14ac:dyDescent="0.25">
      <c r="I21820" s="227" t="str">
        <f>MID(excPisCofins[[#This Row],[CodBarras2]],2,50)</f>
        <v/>
      </c>
    </row>
    <row r="21821" spans="9:9" x14ac:dyDescent="0.25">
      <c r="I21821" s="227" t="str">
        <f>MID(excPisCofins[[#This Row],[CodBarras2]],2,50)</f>
        <v/>
      </c>
    </row>
    <row r="21822" spans="9:9" x14ac:dyDescent="0.25">
      <c r="I21822" s="227" t="str">
        <f>MID(excPisCofins[[#This Row],[CodBarras2]],2,50)</f>
        <v/>
      </c>
    </row>
    <row r="21823" spans="9:9" x14ac:dyDescent="0.25">
      <c r="I21823" s="227" t="str">
        <f>MID(excPisCofins[[#This Row],[CodBarras2]],2,50)</f>
        <v/>
      </c>
    </row>
    <row r="21824" spans="9:9" x14ac:dyDescent="0.25">
      <c r="I21824" s="227" t="str">
        <f>MID(excPisCofins[[#This Row],[CodBarras2]],2,50)</f>
        <v/>
      </c>
    </row>
    <row r="21825" spans="9:9" x14ac:dyDescent="0.25">
      <c r="I21825" s="227" t="str">
        <f>MID(excPisCofins[[#This Row],[CodBarras2]],2,50)</f>
        <v/>
      </c>
    </row>
    <row r="21826" spans="9:9" x14ac:dyDescent="0.25">
      <c r="I21826" s="227" t="str">
        <f>MID(excPisCofins[[#This Row],[CodBarras2]],2,50)</f>
        <v/>
      </c>
    </row>
    <row r="21827" spans="9:9" x14ac:dyDescent="0.25">
      <c r="I21827" s="227" t="str">
        <f>MID(excPisCofins[[#This Row],[CodBarras2]],2,50)</f>
        <v/>
      </c>
    </row>
    <row r="21828" spans="9:9" x14ac:dyDescent="0.25">
      <c r="I21828" s="227" t="str">
        <f>MID(excPisCofins[[#This Row],[CodBarras2]],2,50)</f>
        <v/>
      </c>
    </row>
    <row r="21829" spans="9:9" x14ac:dyDescent="0.25">
      <c r="I21829" s="227" t="str">
        <f>MID(excPisCofins[[#This Row],[CodBarras2]],2,50)</f>
        <v/>
      </c>
    </row>
    <row r="21830" spans="9:9" x14ac:dyDescent="0.25">
      <c r="I21830" s="227" t="str">
        <f>MID(excPisCofins[[#This Row],[CodBarras2]],2,50)</f>
        <v/>
      </c>
    </row>
    <row r="21831" spans="9:9" x14ac:dyDescent="0.25">
      <c r="I21831" s="227" t="str">
        <f>MID(excPisCofins[[#This Row],[CodBarras2]],2,50)</f>
        <v/>
      </c>
    </row>
    <row r="21832" spans="9:9" x14ac:dyDescent="0.25">
      <c r="I21832" s="227" t="str">
        <f>MID(excPisCofins[[#This Row],[CodBarras2]],2,50)</f>
        <v/>
      </c>
    </row>
    <row r="21833" spans="9:9" x14ac:dyDescent="0.25">
      <c r="I21833" s="227" t="str">
        <f>MID(excPisCofins[[#This Row],[CodBarras2]],2,50)</f>
        <v/>
      </c>
    </row>
    <row r="21834" spans="9:9" x14ac:dyDescent="0.25">
      <c r="I21834" s="227" t="str">
        <f>MID(excPisCofins[[#This Row],[CodBarras2]],2,50)</f>
        <v/>
      </c>
    </row>
    <row r="21835" spans="9:9" x14ac:dyDescent="0.25">
      <c r="I21835" s="227" t="str">
        <f>MID(excPisCofins[[#This Row],[CodBarras2]],2,50)</f>
        <v/>
      </c>
    </row>
    <row r="21836" spans="9:9" x14ac:dyDescent="0.25">
      <c r="I21836" s="227" t="str">
        <f>MID(excPisCofins[[#This Row],[CodBarras2]],2,50)</f>
        <v/>
      </c>
    </row>
    <row r="21837" spans="9:9" x14ac:dyDescent="0.25">
      <c r="I21837" s="227" t="str">
        <f>MID(excPisCofins[[#This Row],[CodBarras2]],2,50)</f>
        <v/>
      </c>
    </row>
    <row r="21838" spans="9:9" x14ac:dyDescent="0.25">
      <c r="I21838" s="227" t="str">
        <f>MID(excPisCofins[[#This Row],[CodBarras2]],2,50)</f>
        <v/>
      </c>
    </row>
    <row r="21839" spans="9:9" x14ac:dyDescent="0.25">
      <c r="I21839" s="227" t="str">
        <f>MID(excPisCofins[[#This Row],[CodBarras2]],2,50)</f>
        <v/>
      </c>
    </row>
    <row r="21840" spans="9:9" x14ac:dyDescent="0.25">
      <c r="I21840" s="227" t="str">
        <f>MID(excPisCofins[[#This Row],[CodBarras2]],2,50)</f>
        <v/>
      </c>
    </row>
    <row r="21841" spans="9:9" x14ac:dyDescent="0.25">
      <c r="I21841" s="227" t="str">
        <f>MID(excPisCofins[[#This Row],[CodBarras2]],2,50)</f>
        <v/>
      </c>
    </row>
    <row r="21842" spans="9:9" x14ac:dyDescent="0.25">
      <c r="I21842" s="227" t="str">
        <f>MID(excPisCofins[[#This Row],[CodBarras2]],2,50)</f>
        <v/>
      </c>
    </row>
    <row r="21843" spans="9:9" x14ac:dyDescent="0.25">
      <c r="I21843" s="227" t="str">
        <f>MID(excPisCofins[[#This Row],[CodBarras2]],2,50)</f>
        <v/>
      </c>
    </row>
    <row r="21844" spans="9:9" x14ac:dyDescent="0.25">
      <c r="I21844" s="227" t="str">
        <f>MID(excPisCofins[[#This Row],[CodBarras2]],2,50)</f>
        <v/>
      </c>
    </row>
    <row r="21845" spans="9:9" x14ac:dyDescent="0.25">
      <c r="I21845" s="227" t="str">
        <f>MID(excPisCofins[[#This Row],[CodBarras2]],2,50)</f>
        <v/>
      </c>
    </row>
    <row r="21846" spans="9:9" x14ac:dyDescent="0.25">
      <c r="I21846" s="227" t="str">
        <f>MID(excPisCofins[[#This Row],[CodBarras2]],2,50)</f>
        <v/>
      </c>
    </row>
    <row r="21847" spans="9:9" x14ac:dyDescent="0.25">
      <c r="I21847" s="227" t="str">
        <f>MID(excPisCofins[[#This Row],[CodBarras2]],2,50)</f>
        <v/>
      </c>
    </row>
    <row r="21848" spans="9:9" x14ac:dyDescent="0.25">
      <c r="I21848" s="227" t="str">
        <f>MID(excPisCofins[[#This Row],[CodBarras2]],2,50)</f>
        <v/>
      </c>
    </row>
    <row r="21849" spans="9:9" x14ac:dyDescent="0.25">
      <c r="I21849" s="227" t="str">
        <f>MID(excPisCofins[[#This Row],[CodBarras2]],2,50)</f>
        <v/>
      </c>
    </row>
    <row r="21850" spans="9:9" x14ac:dyDescent="0.25">
      <c r="I21850" s="227" t="str">
        <f>MID(excPisCofins[[#This Row],[CodBarras2]],2,50)</f>
        <v/>
      </c>
    </row>
    <row r="21851" spans="9:9" x14ac:dyDescent="0.25">
      <c r="I21851" s="227" t="str">
        <f>MID(excPisCofins[[#This Row],[CodBarras2]],2,50)</f>
        <v/>
      </c>
    </row>
    <row r="21852" spans="9:9" x14ac:dyDescent="0.25">
      <c r="I21852" s="227" t="str">
        <f>MID(excPisCofins[[#This Row],[CodBarras2]],2,50)</f>
        <v/>
      </c>
    </row>
    <row r="21853" spans="9:9" x14ac:dyDescent="0.25">
      <c r="I21853" s="227" t="str">
        <f>MID(excPisCofins[[#This Row],[CodBarras2]],2,50)</f>
        <v/>
      </c>
    </row>
    <row r="21854" spans="9:9" x14ac:dyDescent="0.25">
      <c r="I21854" s="227" t="str">
        <f>MID(excPisCofins[[#This Row],[CodBarras2]],2,50)</f>
        <v/>
      </c>
    </row>
    <row r="21855" spans="9:9" x14ac:dyDescent="0.25">
      <c r="I21855" s="227" t="str">
        <f>MID(excPisCofins[[#This Row],[CodBarras2]],2,50)</f>
        <v/>
      </c>
    </row>
    <row r="21856" spans="9:9" x14ac:dyDescent="0.25">
      <c r="I21856" s="227" t="str">
        <f>MID(excPisCofins[[#This Row],[CodBarras2]],2,50)</f>
        <v/>
      </c>
    </row>
    <row r="21857" spans="9:9" x14ac:dyDescent="0.25">
      <c r="I21857" s="227" t="str">
        <f>MID(excPisCofins[[#This Row],[CodBarras2]],2,50)</f>
        <v/>
      </c>
    </row>
    <row r="21858" spans="9:9" x14ac:dyDescent="0.25">
      <c r="I21858" s="227" t="str">
        <f>MID(excPisCofins[[#This Row],[CodBarras2]],2,50)</f>
        <v/>
      </c>
    </row>
    <row r="21859" spans="9:9" x14ac:dyDescent="0.25">
      <c r="I21859" s="227" t="str">
        <f>MID(excPisCofins[[#This Row],[CodBarras2]],2,50)</f>
        <v/>
      </c>
    </row>
    <row r="21860" spans="9:9" x14ac:dyDescent="0.25">
      <c r="I21860" s="227" t="str">
        <f>MID(excPisCofins[[#This Row],[CodBarras2]],2,50)</f>
        <v/>
      </c>
    </row>
    <row r="21861" spans="9:9" x14ac:dyDescent="0.25">
      <c r="I21861" s="227" t="str">
        <f>MID(excPisCofins[[#This Row],[CodBarras2]],2,50)</f>
        <v/>
      </c>
    </row>
    <row r="21862" spans="9:9" x14ac:dyDescent="0.25">
      <c r="I21862" s="227" t="str">
        <f>MID(excPisCofins[[#This Row],[CodBarras2]],2,50)</f>
        <v/>
      </c>
    </row>
    <row r="21863" spans="9:9" x14ac:dyDescent="0.25">
      <c r="I21863" s="227" t="str">
        <f>MID(excPisCofins[[#This Row],[CodBarras2]],2,50)</f>
        <v/>
      </c>
    </row>
    <row r="21864" spans="9:9" x14ac:dyDescent="0.25">
      <c r="I21864" s="227" t="str">
        <f>MID(excPisCofins[[#This Row],[CodBarras2]],2,50)</f>
        <v/>
      </c>
    </row>
    <row r="21865" spans="9:9" x14ac:dyDescent="0.25">
      <c r="I21865" s="227" t="str">
        <f>MID(excPisCofins[[#This Row],[CodBarras2]],2,50)</f>
        <v/>
      </c>
    </row>
    <row r="21866" spans="9:9" x14ac:dyDescent="0.25">
      <c r="I21866" s="227" t="str">
        <f>MID(excPisCofins[[#This Row],[CodBarras2]],2,50)</f>
        <v/>
      </c>
    </row>
    <row r="21867" spans="9:9" x14ac:dyDescent="0.25">
      <c r="I21867" s="227" t="str">
        <f>MID(excPisCofins[[#This Row],[CodBarras2]],2,50)</f>
        <v/>
      </c>
    </row>
    <row r="21868" spans="9:9" x14ac:dyDescent="0.25">
      <c r="I21868" s="227" t="str">
        <f>MID(excPisCofins[[#This Row],[CodBarras2]],2,50)</f>
        <v/>
      </c>
    </row>
    <row r="21869" spans="9:9" x14ac:dyDescent="0.25">
      <c r="I21869" s="227" t="str">
        <f>MID(excPisCofins[[#This Row],[CodBarras2]],2,50)</f>
        <v/>
      </c>
    </row>
    <row r="21870" spans="9:9" x14ac:dyDescent="0.25">
      <c r="I21870" s="227" t="str">
        <f>MID(excPisCofins[[#This Row],[CodBarras2]],2,50)</f>
        <v/>
      </c>
    </row>
    <row r="21871" spans="9:9" x14ac:dyDescent="0.25">
      <c r="I21871" s="227" t="str">
        <f>MID(excPisCofins[[#This Row],[CodBarras2]],2,50)</f>
        <v/>
      </c>
    </row>
    <row r="21872" spans="9:9" x14ac:dyDescent="0.25">
      <c r="I21872" s="227" t="str">
        <f>MID(excPisCofins[[#This Row],[CodBarras2]],2,50)</f>
        <v/>
      </c>
    </row>
    <row r="21873" spans="9:9" x14ac:dyDescent="0.25">
      <c r="I21873" s="227" t="str">
        <f>MID(excPisCofins[[#This Row],[CodBarras2]],2,50)</f>
        <v/>
      </c>
    </row>
    <row r="21874" spans="9:9" x14ac:dyDescent="0.25">
      <c r="I21874" s="227" t="str">
        <f>MID(excPisCofins[[#This Row],[CodBarras2]],2,50)</f>
        <v/>
      </c>
    </row>
    <row r="21875" spans="9:9" x14ac:dyDescent="0.25">
      <c r="I21875" s="227" t="str">
        <f>MID(excPisCofins[[#This Row],[CodBarras2]],2,50)</f>
        <v/>
      </c>
    </row>
    <row r="21876" spans="9:9" x14ac:dyDescent="0.25">
      <c r="I21876" s="227" t="str">
        <f>MID(excPisCofins[[#This Row],[CodBarras2]],2,50)</f>
        <v/>
      </c>
    </row>
    <row r="21877" spans="9:9" x14ac:dyDescent="0.25">
      <c r="I21877" s="227" t="str">
        <f>MID(excPisCofins[[#This Row],[CodBarras2]],2,50)</f>
        <v/>
      </c>
    </row>
    <row r="21878" spans="9:9" x14ac:dyDescent="0.25">
      <c r="I21878" s="227" t="str">
        <f>MID(excPisCofins[[#This Row],[CodBarras2]],2,50)</f>
        <v/>
      </c>
    </row>
    <row r="21879" spans="9:9" x14ac:dyDescent="0.25">
      <c r="I21879" s="227" t="str">
        <f>MID(excPisCofins[[#This Row],[CodBarras2]],2,50)</f>
        <v/>
      </c>
    </row>
    <row r="21880" spans="9:9" x14ac:dyDescent="0.25">
      <c r="I21880" s="227" t="str">
        <f>MID(excPisCofins[[#This Row],[CodBarras2]],2,50)</f>
        <v/>
      </c>
    </row>
    <row r="21881" spans="9:9" x14ac:dyDescent="0.25">
      <c r="I21881" s="227" t="str">
        <f>MID(excPisCofins[[#This Row],[CodBarras2]],2,50)</f>
        <v/>
      </c>
    </row>
    <row r="21882" spans="9:9" x14ac:dyDescent="0.25">
      <c r="I21882" s="227" t="str">
        <f>MID(excPisCofins[[#This Row],[CodBarras2]],2,50)</f>
        <v/>
      </c>
    </row>
    <row r="21883" spans="9:9" x14ac:dyDescent="0.25">
      <c r="I21883" s="227" t="str">
        <f>MID(excPisCofins[[#This Row],[CodBarras2]],2,50)</f>
        <v/>
      </c>
    </row>
    <row r="21884" spans="9:9" x14ac:dyDescent="0.25">
      <c r="I21884" s="227" t="str">
        <f>MID(excPisCofins[[#This Row],[CodBarras2]],2,50)</f>
        <v/>
      </c>
    </row>
    <row r="21885" spans="9:9" x14ac:dyDescent="0.25">
      <c r="I21885" s="227" t="str">
        <f>MID(excPisCofins[[#This Row],[CodBarras2]],2,50)</f>
        <v/>
      </c>
    </row>
    <row r="21886" spans="9:9" x14ac:dyDescent="0.25">
      <c r="I21886" s="227" t="str">
        <f>MID(excPisCofins[[#This Row],[CodBarras2]],2,50)</f>
        <v/>
      </c>
    </row>
    <row r="21887" spans="9:9" x14ac:dyDescent="0.25">
      <c r="I21887" s="227" t="str">
        <f>MID(excPisCofins[[#This Row],[CodBarras2]],2,50)</f>
        <v/>
      </c>
    </row>
    <row r="21888" spans="9:9" x14ac:dyDescent="0.25">
      <c r="I21888" s="227" t="str">
        <f>MID(excPisCofins[[#This Row],[CodBarras2]],2,50)</f>
        <v/>
      </c>
    </row>
    <row r="21889" spans="9:9" x14ac:dyDescent="0.25">
      <c r="I21889" s="227" t="str">
        <f>MID(excPisCofins[[#This Row],[CodBarras2]],2,50)</f>
        <v/>
      </c>
    </row>
    <row r="21890" spans="9:9" x14ac:dyDescent="0.25">
      <c r="I21890" s="227" t="str">
        <f>MID(excPisCofins[[#This Row],[CodBarras2]],2,50)</f>
        <v/>
      </c>
    </row>
    <row r="21891" spans="9:9" x14ac:dyDescent="0.25">
      <c r="I21891" s="227" t="str">
        <f>MID(excPisCofins[[#This Row],[CodBarras2]],2,50)</f>
        <v/>
      </c>
    </row>
    <row r="21892" spans="9:9" x14ac:dyDescent="0.25">
      <c r="I21892" s="227" t="str">
        <f>MID(excPisCofins[[#This Row],[CodBarras2]],2,50)</f>
        <v/>
      </c>
    </row>
    <row r="21893" spans="9:9" x14ac:dyDescent="0.25">
      <c r="I21893" s="227" t="str">
        <f>MID(excPisCofins[[#This Row],[CodBarras2]],2,50)</f>
        <v/>
      </c>
    </row>
    <row r="21894" spans="9:9" x14ac:dyDescent="0.25">
      <c r="I21894" s="227" t="str">
        <f>MID(excPisCofins[[#This Row],[CodBarras2]],2,50)</f>
        <v/>
      </c>
    </row>
    <row r="21895" spans="9:9" x14ac:dyDescent="0.25">
      <c r="I21895" s="227" t="str">
        <f>MID(excPisCofins[[#This Row],[CodBarras2]],2,50)</f>
        <v/>
      </c>
    </row>
    <row r="21896" spans="9:9" x14ac:dyDescent="0.25">
      <c r="I21896" s="227" t="str">
        <f>MID(excPisCofins[[#This Row],[CodBarras2]],2,50)</f>
        <v/>
      </c>
    </row>
    <row r="21897" spans="9:9" x14ac:dyDescent="0.25">
      <c r="I21897" s="227" t="str">
        <f>MID(excPisCofins[[#This Row],[CodBarras2]],2,50)</f>
        <v/>
      </c>
    </row>
    <row r="21898" spans="9:9" x14ac:dyDescent="0.25">
      <c r="I21898" s="227" t="str">
        <f>MID(excPisCofins[[#This Row],[CodBarras2]],2,50)</f>
        <v/>
      </c>
    </row>
    <row r="21899" spans="9:9" x14ac:dyDescent="0.25">
      <c r="I21899" s="227" t="str">
        <f>MID(excPisCofins[[#This Row],[CodBarras2]],2,50)</f>
        <v/>
      </c>
    </row>
    <row r="21900" spans="9:9" x14ac:dyDescent="0.25">
      <c r="I21900" s="227" t="str">
        <f>MID(excPisCofins[[#This Row],[CodBarras2]],2,50)</f>
        <v/>
      </c>
    </row>
    <row r="21901" spans="9:9" x14ac:dyDescent="0.25">
      <c r="I21901" s="227" t="str">
        <f>MID(excPisCofins[[#This Row],[CodBarras2]],2,50)</f>
        <v/>
      </c>
    </row>
    <row r="21902" spans="9:9" x14ac:dyDescent="0.25">
      <c r="I21902" s="227" t="str">
        <f>MID(excPisCofins[[#This Row],[CodBarras2]],2,50)</f>
        <v/>
      </c>
    </row>
    <row r="21903" spans="9:9" x14ac:dyDescent="0.25">
      <c r="I21903" s="227" t="str">
        <f>MID(excPisCofins[[#This Row],[CodBarras2]],2,50)</f>
        <v/>
      </c>
    </row>
    <row r="21904" spans="9:9" x14ac:dyDescent="0.25">
      <c r="I21904" s="227" t="str">
        <f>MID(excPisCofins[[#This Row],[CodBarras2]],2,50)</f>
        <v/>
      </c>
    </row>
    <row r="21905" spans="9:9" x14ac:dyDescent="0.25">
      <c r="I21905" s="227" t="str">
        <f>MID(excPisCofins[[#This Row],[CodBarras2]],2,50)</f>
        <v/>
      </c>
    </row>
    <row r="21906" spans="9:9" x14ac:dyDescent="0.25">
      <c r="I21906" s="227" t="str">
        <f>MID(excPisCofins[[#This Row],[CodBarras2]],2,50)</f>
        <v/>
      </c>
    </row>
    <row r="21907" spans="9:9" x14ac:dyDescent="0.25">
      <c r="I21907" s="227" t="str">
        <f>MID(excPisCofins[[#This Row],[CodBarras2]],2,50)</f>
        <v/>
      </c>
    </row>
    <row r="21908" spans="9:9" ht="13.5" customHeight="1" x14ac:dyDescent="0.25">
      <c r="I21908" s="227" t="str">
        <f>MID(excPisCofins[[#This Row],[CodBarras2]],2,50)</f>
        <v/>
      </c>
    </row>
    <row r="21909" spans="9:9" x14ac:dyDescent="0.25">
      <c r="I21909" s="227" t="str">
        <f>MID(excPisCofins[[#This Row],[CodBarras2]],2,50)</f>
        <v/>
      </c>
    </row>
    <row r="21910" spans="9:9" x14ac:dyDescent="0.25">
      <c r="I21910" s="227" t="str">
        <f>MID(excPisCofins[[#This Row],[CodBarras2]],2,50)</f>
        <v/>
      </c>
    </row>
    <row r="21911" spans="9:9" x14ac:dyDescent="0.25">
      <c r="I21911" s="227" t="str">
        <f>MID(excPisCofins[[#This Row],[CodBarras2]],2,50)</f>
        <v/>
      </c>
    </row>
    <row r="21912" spans="9:9" x14ac:dyDescent="0.25">
      <c r="I21912" s="227" t="str">
        <f>MID(excPisCofins[[#This Row],[CodBarras2]],2,50)</f>
        <v/>
      </c>
    </row>
    <row r="21913" spans="9:9" x14ac:dyDescent="0.25">
      <c r="I21913" s="227" t="str">
        <f>MID(excPisCofins[[#This Row],[CodBarras2]],2,50)</f>
        <v/>
      </c>
    </row>
    <row r="21914" spans="9:9" x14ac:dyDescent="0.25">
      <c r="I21914" s="227" t="str">
        <f>MID(excPisCofins[[#This Row],[CodBarras2]],2,50)</f>
        <v/>
      </c>
    </row>
    <row r="21915" spans="9:9" x14ac:dyDescent="0.25">
      <c r="I21915" s="227" t="str">
        <f>MID(excPisCofins[[#This Row],[CodBarras2]],2,50)</f>
        <v/>
      </c>
    </row>
    <row r="21916" spans="9:9" x14ac:dyDescent="0.25">
      <c r="I21916" s="227" t="str">
        <f>MID(excPisCofins[[#This Row],[CodBarras2]],2,50)</f>
        <v/>
      </c>
    </row>
    <row r="21917" spans="9:9" x14ac:dyDescent="0.25">
      <c r="I21917" s="227" t="str">
        <f>MID(excPisCofins[[#This Row],[CodBarras2]],2,50)</f>
        <v/>
      </c>
    </row>
    <row r="21918" spans="9:9" x14ac:dyDescent="0.25">
      <c r="I21918" s="227" t="str">
        <f>MID(excPisCofins[[#This Row],[CodBarras2]],2,50)</f>
        <v/>
      </c>
    </row>
    <row r="21919" spans="9:9" x14ac:dyDescent="0.25">
      <c r="I21919" s="227" t="str">
        <f>MID(excPisCofins[[#This Row],[CodBarras2]],2,50)</f>
        <v/>
      </c>
    </row>
    <row r="21920" spans="9:9" x14ac:dyDescent="0.25">
      <c r="I21920" s="227" t="str">
        <f>MID(excPisCofins[[#This Row],[CodBarras2]],2,50)</f>
        <v/>
      </c>
    </row>
    <row r="21921" spans="9:9" x14ac:dyDescent="0.25">
      <c r="I21921" s="227" t="str">
        <f>MID(excPisCofins[[#This Row],[CodBarras2]],2,50)</f>
        <v/>
      </c>
    </row>
    <row r="21922" spans="9:9" x14ac:dyDescent="0.25">
      <c r="I21922" s="227" t="str">
        <f>MID(excPisCofins[[#This Row],[CodBarras2]],2,50)</f>
        <v/>
      </c>
    </row>
    <row r="21923" spans="9:9" x14ac:dyDescent="0.25">
      <c r="I21923" s="227" t="str">
        <f>MID(excPisCofins[[#This Row],[CodBarras2]],2,50)</f>
        <v/>
      </c>
    </row>
    <row r="21924" spans="9:9" x14ac:dyDescent="0.25">
      <c r="I21924" s="227" t="str">
        <f>MID(excPisCofins[[#This Row],[CodBarras2]],2,50)</f>
        <v/>
      </c>
    </row>
    <row r="21925" spans="9:9" x14ac:dyDescent="0.25">
      <c r="I21925" s="227" t="str">
        <f>MID(excPisCofins[[#This Row],[CodBarras2]],2,50)</f>
        <v/>
      </c>
    </row>
    <row r="21926" spans="9:9" x14ac:dyDescent="0.25">
      <c r="I21926" s="227" t="str">
        <f>MID(excPisCofins[[#This Row],[CodBarras2]],2,50)</f>
        <v/>
      </c>
    </row>
    <row r="21927" spans="9:9" x14ac:dyDescent="0.25">
      <c r="I21927" s="227" t="str">
        <f>MID(excPisCofins[[#This Row],[CodBarras2]],2,50)</f>
        <v/>
      </c>
    </row>
    <row r="21928" spans="9:9" x14ac:dyDescent="0.25">
      <c r="I21928" s="227" t="str">
        <f>MID(excPisCofins[[#This Row],[CodBarras2]],2,50)</f>
        <v/>
      </c>
    </row>
    <row r="21929" spans="9:9" x14ac:dyDescent="0.25">
      <c r="I21929" s="227" t="str">
        <f>MID(excPisCofins[[#This Row],[CodBarras2]],2,50)</f>
        <v/>
      </c>
    </row>
    <row r="21930" spans="9:9" x14ac:dyDescent="0.25">
      <c r="I21930" s="227" t="str">
        <f>MID(excPisCofins[[#This Row],[CodBarras2]],2,50)</f>
        <v/>
      </c>
    </row>
    <row r="21931" spans="9:9" x14ac:dyDescent="0.25">
      <c r="I21931" s="227" t="str">
        <f>MID(excPisCofins[[#This Row],[CodBarras2]],2,50)</f>
        <v/>
      </c>
    </row>
    <row r="21932" spans="9:9" x14ac:dyDescent="0.25">
      <c r="I21932" s="227" t="str">
        <f>MID(excPisCofins[[#This Row],[CodBarras2]],2,50)</f>
        <v/>
      </c>
    </row>
    <row r="21933" spans="9:9" x14ac:dyDescent="0.25">
      <c r="I21933" s="227" t="str">
        <f>MID(excPisCofins[[#This Row],[CodBarras2]],2,50)</f>
        <v/>
      </c>
    </row>
    <row r="21934" spans="9:9" x14ac:dyDescent="0.25">
      <c r="I21934" s="227" t="str">
        <f>MID(excPisCofins[[#This Row],[CodBarras2]],2,50)</f>
        <v/>
      </c>
    </row>
    <row r="21935" spans="9:9" x14ac:dyDescent="0.25">
      <c r="I21935" s="227" t="str">
        <f>MID(excPisCofins[[#This Row],[CodBarras2]],2,50)</f>
        <v/>
      </c>
    </row>
    <row r="21936" spans="9:9" x14ac:dyDescent="0.25">
      <c r="I21936" s="227" t="str">
        <f>MID(excPisCofins[[#This Row],[CodBarras2]],2,50)</f>
        <v/>
      </c>
    </row>
    <row r="21937" spans="9:9" x14ac:dyDescent="0.25">
      <c r="I21937" s="227" t="str">
        <f>MID(excPisCofins[[#This Row],[CodBarras2]],2,50)</f>
        <v/>
      </c>
    </row>
    <row r="21938" spans="9:9" x14ac:dyDescent="0.25">
      <c r="I21938" s="227" t="str">
        <f>MID(excPisCofins[[#This Row],[CodBarras2]],2,50)</f>
        <v/>
      </c>
    </row>
    <row r="21939" spans="9:9" x14ac:dyDescent="0.25">
      <c r="I21939" s="227" t="str">
        <f>MID(excPisCofins[[#This Row],[CodBarras2]],2,50)</f>
        <v/>
      </c>
    </row>
    <row r="21940" spans="9:9" x14ac:dyDescent="0.25">
      <c r="I21940" s="227" t="str">
        <f>MID(excPisCofins[[#This Row],[CodBarras2]],2,50)</f>
        <v/>
      </c>
    </row>
    <row r="21941" spans="9:9" x14ac:dyDescent="0.25">
      <c r="I21941" s="227" t="str">
        <f>MID(excPisCofins[[#This Row],[CodBarras2]],2,50)</f>
        <v/>
      </c>
    </row>
    <row r="21942" spans="9:9" x14ac:dyDescent="0.25">
      <c r="I21942" s="227" t="str">
        <f>MID(excPisCofins[[#This Row],[CodBarras2]],2,50)</f>
        <v/>
      </c>
    </row>
    <row r="21943" spans="9:9" x14ac:dyDescent="0.25">
      <c r="I21943" s="227" t="str">
        <f>MID(excPisCofins[[#This Row],[CodBarras2]],2,50)</f>
        <v/>
      </c>
    </row>
    <row r="21944" spans="9:9" x14ac:dyDescent="0.25">
      <c r="I21944" s="227" t="str">
        <f>MID(excPisCofins[[#This Row],[CodBarras2]],2,50)</f>
        <v/>
      </c>
    </row>
    <row r="21945" spans="9:9" x14ac:dyDescent="0.25">
      <c r="I21945" s="227" t="str">
        <f>MID(excPisCofins[[#This Row],[CodBarras2]],2,50)</f>
        <v/>
      </c>
    </row>
    <row r="21946" spans="9:9" x14ac:dyDescent="0.25">
      <c r="I21946" s="227" t="str">
        <f>MID(excPisCofins[[#This Row],[CodBarras2]],2,50)</f>
        <v/>
      </c>
    </row>
    <row r="21947" spans="9:9" x14ac:dyDescent="0.25">
      <c r="I21947" s="227" t="str">
        <f>MID(excPisCofins[[#This Row],[CodBarras2]],2,50)</f>
        <v/>
      </c>
    </row>
    <row r="21948" spans="9:9" x14ac:dyDescent="0.25">
      <c r="I21948" s="227" t="str">
        <f>MID(excPisCofins[[#This Row],[CodBarras2]],2,50)</f>
        <v/>
      </c>
    </row>
    <row r="21949" spans="9:9" x14ac:dyDescent="0.25">
      <c r="I21949" s="227" t="str">
        <f>MID(excPisCofins[[#This Row],[CodBarras2]],2,50)</f>
        <v/>
      </c>
    </row>
    <row r="21950" spans="9:9" x14ac:dyDescent="0.25">
      <c r="I21950" s="227" t="str">
        <f>MID(excPisCofins[[#This Row],[CodBarras2]],2,50)</f>
        <v/>
      </c>
    </row>
    <row r="21951" spans="9:9" x14ac:dyDescent="0.25">
      <c r="I21951" s="227" t="str">
        <f>MID(excPisCofins[[#This Row],[CodBarras2]],2,50)</f>
        <v/>
      </c>
    </row>
    <row r="21952" spans="9:9" x14ac:dyDescent="0.25">
      <c r="I21952" s="227" t="str">
        <f>MID(excPisCofins[[#This Row],[CodBarras2]],2,50)</f>
        <v/>
      </c>
    </row>
    <row r="21953" spans="9:9" x14ac:dyDescent="0.25">
      <c r="I21953" s="227" t="str">
        <f>MID(excPisCofins[[#This Row],[CodBarras2]],2,50)</f>
        <v/>
      </c>
    </row>
    <row r="21954" spans="9:9" x14ac:dyDescent="0.25">
      <c r="I21954" s="227" t="str">
        <f>MID(excPisCofins[[#This Row],[CodBarras2]],2,50)</f>
        <v/>
      </c>
    </row>
    <row r="21955" spans="9:9" x14ac:dyDescent="0.25">
      <c r="I21955" s="227" t="str">
        <f>MID(excPisCofins[[#This Row],[CodBarras2]],2,50)</f>
        <v/>
      </c>
    </row>
    <row r="21956" spans="9:9" x14ac:dyDescent="0.25">
      <c r="I21956" s="227" t="str">
        <f>MID(excPisCofins[[#This Row],[CodBarras2]],2,50)</f>
        <v/>
      </c>
    </row>
    <row r="21957" spans="9:9" x14ac:dyDescent="0.25">
      <c r="I21957" s="227" t="str">
        <f>MID(excPisCofins[[#This Row],[CodBarras2]],2,50)</f>
        <v/>
      </c>
    </row>
    <row r="21958" spans="9:9" x14ac:dyDescent="0.25">
      <c r="I21958" s="227" t="str">
        <f>MID(excPisCofins[[#This Row],[CodBarras2]],2,50)</f>
        <v/>
      </c>
    </row>
    <row r="21959" spans="9:9" x14ac:dyDescent="0.25">
      <c r="I21959" s="227" t="str">
        <f>MID(excPisCofins[[#This Row],[CodBarras2]],2,50)</f>
        <v/>
      </c>
    </row>
    <row r="21960" spans="9:9" x14ac:dyDescent="0.25">
      <c r="I21960" s="227" t="str">
        <f>MID(excPisCofins[[#This Row],[CodBarras2]],2,50)</f>
        <v/>
      </c>
    </row>
    <row r="21961" spans="9:9" x14ac:dyDescent="0.25">
      <c r="I21961" s="227" t="str">
        <f>MID(excPisCofins[[#This Row],[CodBarras2]],2,50)</f>
        <v/>
      </c>
    </row>
    <row r="21962" spans="9:9" x14ac:dyDescent="0.25">
      <c r="I21962" s="227" t="str">
        <f>MID(excPisCofins[[#This Row],[CodBarras2]],2,50)</f>
        <v/>
      </c>
    </row>
    <row r="21963" spans="9:9" x14ac:dyDescent="0.25">
      <c r="I21963" s="227" t="str">
        <f>MID(excPisCofins[[#This Row],[CodBarras2]],2,50)</f>
        <v/>
      </c>
    </row>
    <row r="21964" spans="9:9" x14ac:dyDescent="0.25">
      <c r="I21964" s="227" t="str">
        <f>MID(excPisCofins[[#This Row],[CodBarras2]],2,50)</f>
        <v/>
      </c>
    </row>
    <row r="21965" spans="9:9" x14ac:dyDescent="0.25">
      <c r="I21965" s="227" t="str">
        <f>MID(excPisCofins[[#This Row],[CodBarras2]],2,50)</f>
        <v/>
      </c>
    </row>
    <row r="21966" spans="9:9" x14ac:dyDescent="0.25">
      <c r="I21966" s="227" t="str">
        <f>MID(excPisCofins[[#This Row],[CodBarras2]],2,50)</f>
        <v/>
      </c>
    </row>
    <row r="21967" spans="9:9" x14ac:dyDescent="0.25">
      <c r="I21967" s="227" t="str">
        <f>MID(excPisCofins[[#This Row],[CodBarras2]],2,50)</f>
        <v/>
      </c>
    </row>
    <row r="21968" spans="9:9" x14ac:dyDescent="0.25">
      <c r="I21968" s="227" t="str">
        <f>MID(excPisCofins[[#This Row],[CodBarras2]],2,50)</f>
        <v/>
      </c>
    </row>
    <row r="21969" spans="9:9" x14ac:dyDescent="0.25">
      <c r="I21969" s="227" t="str">
        <f>MID(excPisCofins[[#This Row],[CodBarras2]],2,50)</f>
        <v/>
      </c>
    </row>
    <row r="21970" spans="9:9" x14ac:dyDescent="0.25">
      <c r="I21970" s="227" t="str">
        <f>MID(excPisCofins[[#This Row],[CodBarras2]],2,50)</f>
        <v/>
      </c>
    </row>
    <row r="21971" spans="9:9" x14ac:dyDescent="0.25">
      <c r="I21971" s="227" t="str">
        <f>MID(excPisCofins[[#This Row],[CodBarras2]],2,50)</f>
        <v/>
      </c>
    </row>
    <row r="21972" spans="9:9" x14ac:dyDescent="0.25">
      <c r="I21972" s="227" t="str">
        <f>MID(excPisCofins[[#This Row],[CodBarras2]],2,50)</f>
        <v/>
      </c>
    </row>
    <row r="21973" spans="9:9" x14ac:dyDescent="0.25">
      <c r="I21973" s="227" t="str">
        <f>MID(excPisCofins[[#This Row],[CodBarras2]],2,50)</f>
        <v/>
      </c>
    </row>
    <row r="21974" spans="9:9" x14ac:dyDescent="0.25">
      <c r="I21974" s="227" t="str">
        <f>MID(excPisCofins[[#This Row],[CodBarras2]],2,50)</f>
        <v/>
      </c>
    </row>
    <row r="21975" spans="9:9" x14ac:dyDescent="0.25">
      <c r="I21975" s="227" t="str">
        <f>MID(excPisCofins[[#This Row],[CodBarras2]],2,50)</f>
        <v/>
      </c>
    </row>
    <row r="21976" spans="9:9" x14ac:dyDescent="0.25">
      <c r="I21976" s="227" t="str">
        <f>MID(excPisCofins[[#This Row],[CodBarras2]],2,50)</f>
        <v/>
      </c>
    </row>
    <row r="21977" spans="9:9" x14ac:dyDescent="0.25">
      <c r="I21977" s="227" t="str">
        <f>MID(excPisCofins[[#This Row],[CodBarras2]],2,50)</f>
        <v/>
      </c>
    </row>
    <row r="21978" spans="9:9" x14ac:dyDescent="0.25">
      <c r="I21978" s="227" t="str">
        <f>MID(excPisCofins[[#This Row],[CodBarras2]],2,50)</f>
        <v/>
      </c>
    </row>
    <row r="21979" spans="9:9" x14ac:dyDescent="0.25">
      <c r="I21979" s="227" t="str">
        <f>MID(excPisCofins[[#This Row],[CodBarras2]],2,50)</f>
        <v/>
      </c>
    </row>
    <row r="21980" spans="9:9" x14ac:dyDescent="0.25">
      <c r="I21980" s="227" t="str">
        <f>MID(excPisCofins[[#This Row],[CodBarras2]],2,50)</f>
        <v/>
      </c>
    </row>
    <row r="21981" spans="9:9" x14ac:dyDescent="0.25">
      <c r="I21981" s="227" t="str">
        <f>MID(excPisCofins[[#This Row],[CodBarras2]],2,50)</f>
        <v/>
      </c>
    </row>
    <row r="21982" spans="9:9" x14ac:dyDescent="0.25">
      <c r="I21982" s="227" t="str">
        <f>MID(excPisCofins[[#This Row],[CodBarras2]],2,50)</f>
        <v/>
      </c>
    </row>
    <row r="21983" spans="9:9" x14ac:dyDescent="0.25">
      <c r="I21983" s="227" t="str">
        <f>MID(excPisCofins[[#This Row],[CodBarras2]],2,50)</f>
        <v/>
      </c>
    </row>
    <row r="21984" spans="9:9" x14ac:dyDescent="0.25">
      <c r="I21984" s="227" t="str">
        <f>MID(excPisCofins[[#This Row],[CodBarras2]],2,50)</f>
        <v/>
      </c>
    </row>
    <row r="21985" spans="9:9" x14ac:dyDescent="0.25">
      <c r="I21985" s="227" t="str">
        <f>MID(excPisCofins[[#This Row],[CodBarras2]],2,50)</f>
        <v/>
      </c>
    </row>
    <row r="21986" spans="9:9" x14ac:dyDescent="0.25">
      <c r="I21986" s="227" t="str">
        <f>MID(excPisCofins[[#This Row],[CodBarras2]],2,50)</f>
        <v/>
      </c>
    </row>
    <row r="21987" spans="9:9" x14ac:dyDescent="0.25">
      <c r="I21987" s="227" t="str">
        <f>MID(excPisCofins[[#This Row],[CodBarras2]],2,50)</f>
        <v/>
      </c>
    </row>
    <row r="21988" spans="9:9" x14ac:dyDescent="0.25">
      <c r="I21988" s="227" t="str">
        <f>MID(excPisCofins[[#This Row],[CodBarras2]],2,50)</f>
        <v/>
      </c>
    </row>
    <row r="21989" spans="9:9" x14ac:dyDescent="0.25">
      <c r="I21989" s="227" t="str">
        <f>MID(excPisCofins[[#This Row],[CodBarras2]],2,50)</f>
        <v/>
      </c>
    </row>
    <row r="21990" spans="9:9" x14ac:dyDescent="0.25">
      <c r="I21990" s="227" t="str">
        <f>MID(excPisCofins[[#This Row],[CodBarras2]],2,50)</f>
        <v/>
      </c>
    </row>
    <row r="21991" spans="9:9" x14ac:dyDescent="0.25">
      <c r="I21991" s="227" t="str">
        <f>MID(excPisCofins[[#This Row],[CodBarras2]],2,50)</f>
        <v/>
      </c>
    </row>
    <row r="21992" spans="9:9" x14ac:dyDescent="0.25">
      <c r="I21992" s="227" t="str">
        <f>MID(excPisCofins[[#This Row],[CodBarras2]],2,50)</f>
        <v/>
      </c>
    </row>
    <row r="21993" spans="9:9" x14ac:dyDescent="0.25">
      <c r="I21993" s="227" t="str">
        <f>MID(excPisCofins[[#This Row],[CodBarras2]],2,50)</f>
        <v/>
      </c>
    </row>
    <row r="21994" spans="9:9" x14ac:dyDescent="0.25">
      <c r="I21994" s="227" t="str">
        <f>MID(excPisCofins[[#This Row],[CodBarras2]],2,50)</f>
        <v/>
      </c>
    </row>
    <row r="21995" spans="9:9" x14ac:dyDescent="0.25">
      <c r="I21995" s="227" t="str">
        <f>MID(excPisCofins[[#This Row],[CodBarras2]],2,50)</f>
        <v/>
      </c>
    </row>
    <row r="21996" spans="9:9" x14ac:dyDescent="0.25">
      <c r="I21996" s="227" t="str">
        <f>MID(excPisCofins[[#This Row],[CodBarras2]],2,50)</f>
        <v/>
      </c>
    </row>
    <row r="21997" spans="9:9" x14ac:dyDescent="0.25">
      <c r="I21997" s="227" t="str">
        <f>MID(excPisCofins[[#This Row],[CodBarras2]],2,50)</f>
        <v/>
      </c>
    </row>
    <row r="21998" spans="9:9" x14ac:dyDescent="0.25">
      <c r="I21998" s="227" t="str">
        <f>MID(excPisCofins[[#This Row],[CodBarras2]],2,50)</f>
        <v/>
      </c>
    </row>
    <row r="21999" spans="9:9" x14ac:dyDescent="0.25">
      <c r="I21999" s="227" t="str">
        <f>MID(excPisCofins[[#This Row],[CodBarras2]],2,50)</f>
        <v/>
      </c>
    </row>
    <row r="22000" spans="9:9" x14ac:dyDescent="0.25">
      <c r="I22000" s="227" t="str">
        <f>MID(excPisCofins[[#This Row],[CodBarras2]],2,50)</f>
        <v/>
      </c>
    </row>
    <row r="22001" spans="9:9" x14ac:dyDescent="0.25">
      <c r="I22001" s="227" t="str">
        <f>MID(excPisCofins[[#This Row],[CodBarras2]],2,50)</f>
        <v/>
      </c>
    </row>
    <row r="22002" spans="9:9" x14ac:dyDescent="0.25">
      <c r="I22002" s="227" t="str">
        <f>MID(excPisCofins[[#This Row],[CodBarras2]],2,50)</f>
        <v/>
      </c>
    </row>
    <row r="22003" spans="9:9" x14ac:dyDescent="0.25">
      <c r="I22003" s="227" t="str">
        <f>MID(excPisCofins[[#This Row],[CodBarras2]],2,50)</f>
        <v/>
      </c>
    </row>
    <row r="22004" spans="9:9" x14ac:dyDescent="0.25">
      <c r="I22004" s="227" t="str">
        <f>MID(excPisCofins[[#This Row],[CodBarras2]],2,50)</f>
        <v/>
      </c>
    </row>
    <row r="22005" spans="9:9" x14ac:dyDescent="0.25">
      <c r="I22005" s="227" t="str">
        <f>MID(excPisCofins[[#This Row],[CodBarras2]],2,50)</f>
        <v/>
      </c>
    </row>
    <row r="22006" spans="9:9" x14ac:dyDescent="0.25">
      <c r="I22006" s="227" t="str">
        <f>MID(excPisCofins[[#This Row],[CodBarras2]],2,50)</f>
        <v/>
      </c>
    </row>
    <row r="22007" spans="9:9" x14ac:dyDescent="0.25">
      <c r="I22007" s="227" t="str">
        <f>MID(excPisCofins[[#This Row],[CodBarras2]],2,50)</f>
        <v/>
      </c>
    </row>
    <row r="22008" spans="9:9" x14ac:dyDescent="0.25">
      <c r="I22008" s="227" t="str">
        <f>MID(excPisCofins[[#This Row],[CodBarras2]],2,50)</f>
        <v/>
      </c>
    </row>
    <row r="22009" spans="9:9" x14ac:dyDescent="0.25">
      <c r="I22009" s="227" t="str">
        <f>MID(excPisCofins[[#This Row],[CodBarras2]],2,50)</f>
        <v/>
      </c>
    </row>
    <row r="22010" spans="9:9" x14ac:dyDescent="0.25">
      <c r="I22010" s="227" t="str">
        <f>MID(excPisCofins[[#This Row],[CodBarras2]],2,50)</f>
        <v/>
      </c>
    </row>
    <row r="22011" spans="9:9" x14ac:dyDescent="0.25">
      <c r="I22011" s="227" t="str">
        <f>MID(excPisCofins[[#This Row],[CodBarras2]],2,50)</f>
        <v/>
      </c>
    </row>
    <row r="22012" spans="9:9" x14ac:dyDescent="0.25">
      <c r="I22012" s="227" t="str">
        <f>MID(excPisCofins[[#This Row],[CodBarras2]],2,50)</f>
        <v/>
      </c>
    </row>
    <row r="22013" spans="9:9" x14ac:dyDescent="0.25">
      <c r="I22013" s="227" t="str">
        <f>MID(excPisCofins[[#This Row],[CodBarras2]],2,50)</f>
        <v/>
      </c>
    </row>
    <row r="22014" spans="9:9" x14ac:dyDescent="0.25">
      <c r="I22014" s="227" t="str">
        <f>MID(excPisCofins[[#This Row],[CodBarras2]],2,50)</f>
        <v/>
      </c>
    </row>
    <row r="22015" spans="9:9" x14ac:dyDescent="0.25">
      <c r="I22015" s="227" t="str">
        <f>MID(excPisCofins[[#This Row],[CodBarras2]],2,50)</f>
        <v/>
      </c>
    </row>
    <row r="22016" spans="9:9" x14ac:dyDescent="0.25">
      <c r="I22016" s="227" t="str">
        <f>MID(excPisCofins[[#This Row],[CodBarras2]],2,50)</f>
        <v/>
      </c>
    </row>
    <row r="22017" spans="9:9" x14ac:dyDescent="0.25">
      <c r="I22017" s="227" t="str">
        <f>MID(excPisCofins[[#This Row],[CodBarras2]],2,50)</f>
        <v/>
      </c>
    </row>
    <row r="22018" spans="9:9" x14ac:dyDescent="0.25">
      <c r="I22018" s="227" t="str">
        <f>MID(excPisCofins[[#This Row],[CodBarras2]],2,50)</f>
        <v/>
      </c>
    </row>
    <row r="22019" spans="9:9" x14ac:dyDescent="0.25">
      <c r="I22019" s="227" t="str">
        <f>MID(excPisCofins[[#This Row],[CodBarras2]],2,50)</f>
        <v/>
      </c>
    </row>
    <row r="22020" spans="9:9" x14ac:dyDescent="0.25">
      <c r="I22020" s="227" t="str">
        <f>MID(excPisCofins[[#This Row],[CodBarras2]],2,50)</f>
        <v/>
      </c>
    </row>
    <row r="22021" spans="9:9" x14ac:dyDescent="0.25">
      <c r="I22021" s="227" t="str">
        <f>MID(excPisCofins[[#This Row],[CodBarras2]],2,50)</f>
        <v/>
      </c>
    </row>
    <row r="22022" spans="9:9" x14ac:dyDescent="0.25">
      <c r="I22022" s="227" t="str">
        <f>MID(excPisCofins[[#This Row],[CodBarras2]],2,50)</f>
        <v/>
      </c>
    </row>
    <row r="22023" spans="9:9" x14ac:dyDescent="0.25">
      <c r="I22023" s="227" t="str">
        <f>MID(excPisCofins[[#This Row],[CodBarras2]],2,50)</f>
        <v/>
      </c>
    </row>
    <row r="22024" spans="9:9" x14ac:dyDescent="0.25">
      <c r="I22024" s="227" t="str">
        <f>MID(excPisCofins[[#This Row],[CodBarras2]],2,50)</f>
        <v/>
      </c>
    </row>
    <row r="22025" spans="9:9" x14ac:dyDescent="0.25">
      <c r="I22025" s="227" t="str">
        <f>MID(excPisCofins[[#This Row],[CodBarras2]],2,50)</f>
        <v/>
      </c>
    </row>
    <row r="22026" spans="9:9" x14ac:dyDescent="0.25">
      <c r="I22026" s="227" t="str">
        <f>MID(excPisCofins[[#This Row],[CodBarras2]],2,50)</f>
        <v/>
      </c>
    </row>
    <row r="22027" spans="9:9" x14ac:dyDescent="0.25">
      <c r="I22027" s="227" t="str">
        <f>MID(excPisCofins[[#This Row],[CodBarras2]],2,50)</f>
        <v/>
      </c>
    </row>
    <row r="22028" spans="9:9" x14ac:dyDescent="0.25">
      <c r="I22028" s="227" t="str">
        <f>MID(excPisCofins[[#This Row],[CodBarras2]],2,50)</f>
        <v/>
      </c>
    </row>
    <row r="22029" spans="9:9" x14ac:dyDescent="0.25">
      <c r="I22029" s="227" t="str">
        <f>MID(excPisCofins[[#This Row],[CodBarras2]],2,50)</f>
        <v/>
      </c>
    </row>
    <row r="22030" spans="9:9" x14ac:dyDescent="0.25">
      <c r="I22030" s="227" t="str">
        <f>MID(excPisCofins[[#This Row],[CodBarras2]],2,50)</f>
        <v/>
      </c>
    </row>
    <row r="22031" spans="9:9" x14ac:dyDescent="0.25">
      <c r="I22031" s="227" t="str">
        <f>MID(excPisCofins[[#This Row],[CodBarras2]],2,50)</f>
        <v/>
      </c>
    </row>
    <row r="22032" spans="9:9" x14ac:dyDescent="0.25">
      <c r="I22032" s="227" t="str">
        <f>MID(excPisCofins[[#This Row],[CodBarras2]],2,50)</f>
        <v/>
      </c>
    </row>
    <row r="22033" spans="9:9" x14ac:dyDescent="0.25">
      <c r="I22033" s="227" t="str">
        <f>MID(excPisCofins[[#This Row],[CodBarras2]],2,50)</f>
        <v/>
      </c>
    </row>
    <row r="22034" spans="9:9" x14ac:dyDescent="0.25">
      <c r="I22034" s="227" t="str">
        <f>MID(excPisCofins[[#This Row],[CodBarras2]],2,50)</f>
        <v/>
      </c>
    </row>
    <row r="22035" spans="9:9" x14ac:dyDescent="0.25">
      <c r="I22035" s="227" t="str">
        <f>MID(excPisCofins[[#This Row],[CodBarras2]],2,50)</f>
        <v/>
      </c>
    </row>
    <row r="22036" spans="9:9" x14ac:dyDescent="0.25">
      <c r="I22036" s="227" t="str">
        <f>MID(excPisCofins[[#This Row],[CodBarras2]],2,50)</f>
        <v/>
      </c>
    </row>
    <row r="22037" spans="9:9" x14ac:dyDescent="0.25">
      <c r="I22037" s="227" t="str">
        <f>MID(excPisCofins[[#This Row],[CodBarras2]],2,50)</f>
        <v/>
      </c>
    </row>
    <row r="22038" spans="9:9" x14ac:dyDescent="0.25">
      <c r="I22038" s="227" t="str">
        <f>MID(excPisCofins[[#This Row],[CodBarras2]],2,50)</f>
        <v/>
      </c>
    </row>
    <row r="22039" spans="9:9" x14ac:dyDescent="0.25">
      <c r="I22039" s="227" t="str">
        <f>MID(excPisCofins[[#This Row],[CodBarras2]],2,50)</f>
        <v/>
      </c>
    </row>
    <row r="22040" spans="9:9" x14ac:dyDescent="0.25">
      <c r="I22040" s="227" t="str">
        <f>MID(excPisCofins[[#This Row],[CodBarras2]],2,50)</f>
        <v/>
      </c>
    </row>
    <row r="22041" spans="9:9" x14ac:dyDescent="0.25">
      <c r="I22041" s="227" t="str">
        <f>MID(excPisCofins[[#This Row],[CodBarras2]],2,50)</f>
        <v/>
      </c>
    </row>
    <row r="22042" spans="9:9" x14ac:dyDescent="0.25">
      <c r="I22042" s="227" t="str">
        <f>MID(excPisCofins[[#This Row],[CodBarras2]],2,50)</f>
        <v/>
      </c>
    </row>
    <row r="22043" spans="9:9" x14ac:dyDescent="0.25">
      <c r="I22043" s="227" t="str">
        <f>MID(excPisCofins[[#This Row],[CodBarras2]],2,50)</f>
        <v/>
      </c>
    </row>
    <row r="22044" spans="9:9" x14ac:dyDescent="0.25">
      <c r="I22044" s="227" t="str">
        <f>MID(excPisCofins[[#This Row],[CodBarras2]],2,50)</f>
        <v/>
      </c>
    </row>
    <row r="22045" spans="9:9" x14ac:dyDescent="0.25">
      <c r="I22045" s="227" t="str">
        <f>MID(excPisCofins[[#This Row],[CodBarras2]],2,50)</f>
        <v/>
      </c>
    </row>
    <row r="22046" spans="9:9" x14ac:dyDescent="0.25">
      <c r="I22046" s="227" t="str">
        <f>MID(excPisCofins[[#This Row],[CodBarras2]],2,50)</f>
        <v/>
      </c>
    </row>
    <row r="22047" spans="9:9" x14ac:dyDescent="0.25">
      <c r="I22047" s="227" t="str">
        <f>MID(excPisCofins[[#This Row],[CodBarras2]],2,50)</f>
        <v/>
      </c>
    </row>
    <row r="22048" spans="9:9" x14ac:dyDescent="0.25">
      <c r="I22048" s="227" t="str">
        <f>MID(excPisCofins[[#This Row],[CodBarras2]],2,50)</f>
        <v/>
      </c>
    </row>
    <row r="22049" spans="9:9" x14ac:dyDescent="0.25">
      <c r="I22049" s="227" t="str">
        <f>MID(excPisCofins[[#This Row],[CodBarras2]],2,50)</f>
        <v/>
      </c>
    </row>
    <row r="22050" spans="9:9" x14ac:dyDescent="0.25">
      <c r="I22050" s="227" t="str">
        <f>MID(excPisCofins[[#This Row],[CodBarras2]],2,50)</f>
        <v/>
      </c>
    </row>
    <row r="22051" spans="9:9" x14ac:dyDescent="0.25">
      <c r="I22051" s="227" t="str">
        <f>MID(excPisCofins[[#This Row],[CodBarras2]],2,50)</f>
        <v/>
      </c>
    </row>
    <row r="22052" spans="9:9" x14ac:dyDescent="0.25">
      <c r="I22052" s="227" t="str">
        <f>MID(excPisCofins[[#This Row],[CodBarras2]],2,50)</f>
        <v/>
      </c>
    </row>
    <row r="22053" spans="9:9" x14ac:dyDescent="0.25">
      <c r="I22053" s="227" t="str">
        <f>MID(excPisCofins[[#This Row],[CodBarras2]],2,50)</f>
        <v/>
      </c>
    </row>
    <row r="22054" spans="9:9" x14ac:dyDescent="0.25">
      <c r="I22054" s="227" t="str">
        <f>MID(excPisCofins[[#This Row],[CodBarras2]],2,50)</f>
        <v/>
      </c>
    </row>
    <row r="22055" spans="9:9" x14ac:dyDescent="0.25">
      <c r="I22055" s="227" t="str">
        <f>MID(excPisCofins[[#This Row],[CodBarras2]],2,50)</f>
        <v/>
      </c>
    </row>
    <row r="22056" spans="9:9" x14ac:dyDescent="0.25">
      <c r="I22056" s="227" t="str">
        <f>MID(excPisCofins[[#This Row],[CodBarras2]],2,50)</f>
        <v/>
      </c>
    </row>
    <row r="22057" spans="9:9" x14ac:dyDescent="0.25">
      <c r="I22057" s="227" t="str">
        <f>MID(excPisCofins[[#This Row],[CodBarras2]],2,50)</f>
        <v/>
      </c>
    </row>
    <row r="22058" spans="9:9" x14ac:dyDescent="0.25">
      <c r="I22058" s="227" t="str">
        <f>MID(excPisCofins[[#This Row],[CodBarras2]],2,50)</f>
        <v/>
      </c>
    </row>
    <row r="22059" spans="9:9" x14ac:dyDescent="0.25">
      <c r="I22059" s="227" t="str">
        <f>MID(excPisCofins[[#This Row],[CodBarras2]],2,50)</f>
        <v/>
      </c>
    </row>
    <row r="22060" spans="9:9" x14ac:dyDescent="0.25">
      <c r="I22060" s="227" t="str">
        <f>MID(excPisCofins[[#This Row],[CodBarras2]],2,50)</f>
        <v/>
      </c>
    </row>
    <row r="22061" spans="9:9" x14ac:dyDescent="0.25">
      <c r="I22061" s="227" t="str">
        <f>MID(excPisCofins[[#This Row],[CodBarras2]],2,50)</f>
        <v/>
      </c>
    </row>
    <row r="22062" spans="9:9" x14ac:dyDescent="0.25">
      <c r="I22062" s="227" t="str">
        <f>MID(excPisCofins[[#This Row],[CodBarras2]],2,50)</f>
        <v/>
      </c>
    </row>
    <row r="22063" spans="9:9" x14ac:dyDescent="0.25">
      <c r="I22063" s="227" t="str">
        <f>MID(excPisCofins[[#This Row],[CodBarras2]],2,50)</f>
        <v/>
      </c>
    </row>
    <row r="22064" spans="9:9" x14ac:dyDescent="0.25">
      <c r="I22064" s="227" t="str">
        <f>MID(excPisCofins[[#This Row],[CodBarras2]],2,50)</f>
        <v/>
      </c>
    </row>
    <row r="22065" spans="9:9" x14ac:dyDescent="0.25">
      <c r="I22065" s="227" t="str">
        <f>MID(excPisCofins[[#This Row],[CodBarras2]],2,50)</f>
        <v/>
      </c>
    </row>
    <row r="22066" spans="9:9" x14ac:dyDescent="0.25">
      <c r="I22066" s="227" t="str">
        <f>MID(excPisCofins[[#This Row],[CodBarras2]],2,50)</f>
        <v/>
      </c>
    </row>
    <row r="22067" spans="9:9" x14ac:dyDescent="0.25">
      <c r="I22067" s="227" t="str">
        <f>MID(excPisCofins[[#This Row],[CodBarras2]],2,50)</f>
        <v/>
      </c>
    </row>
    <row r="22068" spans="9:9" x14ac:dyDescent="0.25">
      <c r="I22068" s="227" t="str">
        <f>MID(excPisCofins[[#This Row],[CodBarras2]],2,50)</f>
        <v/>
      </c>
    </row>
    <row r="22069" spans="9:9" x14ac:dyDescent="0.25">
      <c r="I22069" s="227" t="str">
        <f>MID(excPisCofins[[#This Row],[CodBarras2]],2,50)</f>
        <v/>
      </c>
    </row>
    <row r="22070" spans="9:9" x14ac:dyDescent="0.25">
      <c r="I22070" s="227" t="str">
        <f>MID(excPisCofins[[#This Row],[CodBarras2]],2,50)</f>
        <v/>
      </c>
    </row>
    <row r="22071" spans="9:9" x14ac:dyDescent="0.25">
      <c r="I22071" s="227" t="str">
        <f>MID(excPisCofins[[#This Row],[CodBarras2]],2,50)</f>
        <v/>
      </c>
    </row>
    <row r="22072" spans="9:9" x14ac:dyDescent="0.25">
      <c r="I22072" s="227" t="str">
        <f>MID(excPisCofins[[#This Row],[CodBarras2]],2,50)</f>
        <v/>
      </c>
    </row>
    <row r="22073" spans="9:9" x14ac:dyDescent="0.25">
      <c r="I22073" s="227" t="str">
        <f>MID(excPisCofins[[#This Row],[CodBarras2]],2,50)</f>
        <v/>
      </c>
    </row>
    <row r="22074" spans="9:9" x14ac:dyDescent="0.25">
      <c r="I22074" s="227" t="str">
        <f>MID(excPisCofins[[#This Row],[CodBarras2]],2,50)</f>
        <v/>
      </c>
    </row>
    <row r="22075" spans="9:9" x14ac:dyDescent="0.25">
      <c r="I22075" s="227" t="str">
        <f>MID(excPisCofins[[#This Row],[CodBarras2]],2,50)</f>
        <v/>
      </c>
    </row>
    <row r="22076" spans="9:9" x14ac:dyDescent="0.25">
      <c r="I22076" s="227" t="str">
        <f>MID(excPisCofins[[#This Row],[CodBarras2]],2,50)</f>
        <v/>
      </c>
    </row>
    <row r="22077" spans="9:9" x14ac:dyDescent="0.25">
      <c r="I22077" s="227" t="str">
        <f>MID(excPisCofins[[#This Row],[CodBarras2]],2,50)</f>
        <v/>
      </c>
    </row>
    <row r="22078" spans="9:9" x14ac:dyDescent="0.25">
      <c r="I22078" s="227" t="str">
        <f>MID(excPisCofins[[#This Row],[CodBarras2]],2,50)</f>
        <v/>
      </c>
    </row>
    <row r="22079" spans="9:9" x14ac:dyDescent="0.25">
      <c r="I22079" s="227" t="str">
        <f>MID(excPisCofins[[#This Row],[CodBarras2]],2,50)</f>
        <v/>
      </c>
    </row>
    <row r="22080" spans="9:9" x14ac:dyDescent="0.25">
      <c r="I22080" s="227" t="str">
        <f>MID(excPisCofins[[#This Row],[CodBarras2]],2,50)</f>
        <v/>
      </c>
    </row>
    <row r="22081" spans="9:9" x14ac:dyDescent="0.25">
      <c r="I22081" s="227" t="str">
        <f>MID(excPisCofins[[#This Row],[CodBarras2]],2,50)</f>
        <v/>
      </c>
    </row>
    <row r="22082" spans="9:9" x14ac:dyDescent="0.25">
      <c r="I22082" s="227" t="str">
        <f>MID(excPisCofins[[#This Row],[CodBarras2]],2,50)</f>
        <v/>
      </c>
    </row>
    <row r="22083" spans="9:9" x14ac:dyDescent="0.25">
      <c r="I22083" s="227" t="str">
        <f>MID(excPisCofins[[#This Row],[CodBarras2]],2,50)</f>
        <v/>
      </c>
    </row>
    <row r="22084" spans="9:9" x14ac:dyDescent="0.25">
      <c r="I22084" s="227" t="str">
        <f>MID(excPisCofins[[#This Row],[CodBarras2]],2,50)</f>
        <v/>
      </c>
    </row>
    <row r="22085" spans="9:9" x14ac:dyDescent="0.25">
      <c r="I22085" s="227" t="str">
        <f>MID(excPisCofins[[#This Row],[CodBarras2]],2,50)</f>
        <v/>
      </c>
    </row>
    <row r="22086" spans="9:9" x14ac:dyDescent="0.25">
      <c r="I22086" s="227" t="str">
        <f>MID(excPisCofins[[#This Row],[CodBarras2]],2,50)</f>
        <v/>
      </c>
    </row>
    <row r="22087" spans="9:9" x14ac:dyDescent="0.25">
      <c r="I22087" s="227" t="str">
        <f>MID(excPisCofins[[#This Row],[CodBarras2]],2,50)</f>
        <v/>
      </c>
    </row>
    <row r="22088" spans="9:9" x14ac:dyDescent="0.25">
      <c r="I22088" s="227" t="str">
        <f>MID(excPisCofins[[#This Row],[CodBarras2]],2,50)</f>
        <v/>
      </c>
    </row>
    <row r="22089" spans="9:9" x14ac:dyDescent="0.25">
      <c r="I22089" s="227" t="str">
        <f>MID(excPisCofins[[#This Row],[CodBarras2]],2,50)</f>
        <v/>
      </c>
    </row>
    <row r="22090" spans="9:9" x14ac:dyDescent="0.25">
      <c r="I22090" s="227" t="str">
        <f>MID(excPisCofins[[#This Row],[CodBarras2]],2,50)</f>
        <v/>
      </c>
    </row>
    <row r="22091" spans="9:9" x14ac:dyDescent="0.25">
      <c r="I22091" s="227" t="str">
        <f>MID(excPisCofins[[#This Row],[CodBarras2]],2,50)</f>
        <v/>
      </c>
    </row>
    <row r="22092" spans="9:9" x14ac:dyDescent="0.25">
      <c r="I22092" s="227" t="str">
        <f>MID(excPisCofins[[#This Row],[CodBarras2]],2,50)</f>
        <v/>
      </c>
    </row>
    <row r="22093" spans="9:9" x14ac:dyDescent="0.25">
      <c r="I22093" s="227" t="str">
        <f>MID(excPisCofins[[#This Row],[CodBarras2]],2,50)</f>
        <v/>
      </c>
    </row>
    <row r="22094" spans="9:9" x14ac:dyDescent="0.25">
      <c r="I22094" s="227" t="str">
        <f>MID(excPisCofins[[#This Row],[CodBarras2]],2,50)</f>
        <v/>
      </c>
    </row>
    <row r="22095" spans="9:9" x14ac:dyDescent="0.25">
      <c r="I22095" s="227" t="str">
        <f>MID(excPisCofins[[#This Row],[CodBarras2]],2,50)</f>
        <v/>
      </c>
    </row>
    <row r="22096" spans="9:9" x14ac:dyDescent="0.25">
      <c r="I22096" s="227" t="str">
        <f>MID(excPisCofins[[#This Row],[CodBarras2]],2,50)</f>
        <v/>
      </c>
    </row>
    <row r="22097" spans="9:9" x14ac:dyDescent="0.25">
      <c r="I22097" s="227" t="str">
        <f>MID(excPisCofins[[#This Row],[CodBarras2]],2,50)</f>
        <v/>
      </c>
    </row>
    <row r="22098" spans="9:9" x14ac:dyDescent="0.25">
      <c r="I22098" s="227" t="str">
        <f>MID(excPisCofins[[#This Row],[CodBarras2]],2,50)</f>
        <v/>
      </c>
    </row>
    <row r="22099" spans="9:9" x14ac:dyDescent="0.25">
      <c r="I22099" s="227" t="str">
        <f>MID(excPisCofins[[#This Row],[CodBarras2]],2,50)</f>
        <v/>
      </c>
    </row>
    <row r="22100" spans="9:9" x14ac:dyDescent="0.25">
      <c r="I22100" s="227" t="str">
        <f>MID(excPisCofins[[#This Row],[CodBarras2]],2,50)</f>
        <v/>
      </c>
    </row>
    <row r="22101" spans="9:9" x14ac:dyDescent="0.25">
      <c r="I22101" s="227" t="str">
        <f>MID(excPisCofins[[#This Row],[CodBarras2]],2,50)</f>
        <v/>
      </c>
    </row>
    <row r="22102" spans="9:9" x14ac:dyDescent="0.25">
      <c r="I22102" s="227" t="str">
        <f>MID(excPisCofins[[#This Row],[CodBarras2]],2,50)</f>
        <v/>
      </c>
    </row>
    <row r="22103" spans="9:9" x14ac:dyDescent="0.25">
      <c r="I22103" s="227" t="str">
        <f>MID(excPisCofins[[#This Row],[CodBarras2]],2,50)</f>
        <v/>
      </c>
    </row>
    <row r="22104" spans="9:9" x14ac:dyDescent="0.25">
      <c r="I22104" s="227" t="str">
        <f>MID(excPisCofins[[#This Row],[CodBarras2]],2,50)</f>
        <v/>
      </c>
    </row>
    <row r="22105" spans="9:9" x14ac:dyDescent="0.25">
      <c r="I22105" s="227" t="str">
        <f>MID(excPisCofins[[#This Row],[CodBarras2]],2,50)</f>
        <v/>
      </c>
    </row>
    <row r="22106" spans="9:9" x14ac:dyDescent="0.25">
      <c r="I22106" s="227" t="str">
        <f>MID(excPisCofins[[#This Row],[CodBarras2]],2,50)</f>
        <v/>
      </c>
    </row>
    <row r="22107" spans="9:9" x14ac:dyDescent="0.25">
      <c r="I22107" s="227" t="str">
        <f>MID(excPisCofins[[#This Row],[CodBarras2]],2,50)</f>
        <v/>
      </c>
    </row>
    <row r="22108" spans="9:9" x14ac:dyDescent="0.25">
      <c r="I22108" s="227" t="str">
        <f>MID(excPisCofins[[#This Row],[CodBarras2]],2,50)</f>
        <v/>
      </c>
    </row>
    <row r="22109" spans="9:9" x14ac:dyDescent="0.25">
      <c r="I22109" s="227" t="str">
        <f>MID(excPisCofins[[#This Row],[CodBarras2]],2,50)</f>
        <v/>
      </c>
    </row>
    <row r="22110" spans="9:9" x14ac:dyDescent="0.25">
      <c r="I22110" s="227" t="str">
        <f>MID(excPisCofins[[#This Row],[CodBarras2]],2,50)</f>
        <v/>
      </c>
    </row>
    <row r="22111" spans="9:9" x14ac:dyDescent="0.25">
      <c r="I22111" s="227" t="str">
        <f>MID(excPisCofins[[#This Row],[CodBarras2]],2,50)</f>
        <v/>
      </c>
    </row>
    <row r="22112" spans="9:9" x14ac:dyDescent="0.25">
      <c r="I22112" s="227" t="str">
        <f>MID(excPisCofins[[#This Row],[CodBarras2]],2,50)</f>
        <v/>
      </c>
    </row>
    <row r="22113" spans="9:9" x14ac:dyDescent="0.25">
      <c r="I22113" s="227" t="str">
        <f>MID(excPisCofins[[#This Row],[CodBarras2]],2,50)</f>
        <v/>
      </c>
    </row>
    <row r="22114" spans="9:9" x14ac:dyDescent="0.25">
      <c r="I22114" s="227" t="str">
        <f>MID(excPisCofins[[#This Row],[CodBarras2]],2,50)</f>
        <v/>
      </c>
    </row>
    <row r="22115" spans="9:9" x14ac:dyDescent="0.25">
      <c r="I22115" s="227" t="str">
        <f>MID(excPisCofins[[#This Row],[CodBarras2]],2,50)</f>
        <v/>
      </c>
    </row>
    <row r="22116" spans="9:9" x14ac:dyDescent="0.25">
      <c r="I22116" s="227" t="str">
        <f>MID(excPisCofins[[#This Row],[CodBarras2]],2,50)</f>
        <v/>
      </c>
    </row>
    <row r="22117" spans="9:9" x14ac:dyDescent="0.25">
      <c r="I22117" s="227" t="str">
        <f>MID(excPisCofins[[#This Row],[CodBarras2]],2,50)</f>
        <v/>
      </c>
    </row>
    <row r="22118" spans="9:9" x14ac:dyDescent="0.25">
      <c r="I22118" s="227" t="str">
        <f>MID(excPisCofins[[#This Row],[CodBarras2]],2,50)</f>
        <v/>
      </c>
    </row>
    <row r="22119" spans="9:9" x14ac:dyDescent="0.25">
      <c r="I22119" s="227" t="str">
        <f>MID(excPisCofins[[#This Row],[CodBarras2]],2,50)</f>
        <v/>
      </c>
    </row>
    <row r="22120" spans="9:9" x14ac:dyDescent="0.25">
      <c r="I22120" s="227" t="str">
        <f>MID(excPisCofins[[#This Row],[CodBarras2]],2,50)</f>
        <v/>
      </c>
    </row>
    <row r="22121" spans="9:9" x14ac:dyDescent="0.25">
      <c r="I22121" s="227" t="str">
        <f>MID(excPisCofins[[#This Row],[CodBarras2]],2,50)</f>
        <v/>
      </c>
    </row>
    <row r="22122" spans="9:9" x14ac:dyDescent="0.25">
      <c r="I22122" s="227" t="str">
        <f>MID(excPisCofins[[#This Row],[CodBarras2]],2,50)</f>
        <v/>
      </c>
    </row>
    <row r="22123" spans="9:9" x14ac:dyDescent="0.25">
      <c r="I22123" s="227" t="str">
        <f>MID(excPisCofins[[#This Row],[CodBarras2]],2,50)</f>
        <v/>
      </c>
    </row>
    <row r="22124" spans="9:9" x14ac:dyDescent="0.25">
      <c r="I22124" s="227" t="str">
        <f>MID(excPisCofins[[#This Row],[CodBarras2]],2,50)</f>
        <v/>
      </c>
    </row>
    <row r="22125" spans="9:9" x14ac:dyDescent="0.25">
      <c r="I22125" s="227" t="str">
        <f>MID(excPisCofins[[#This Row],[CodBarras2]],2,50)</f>
        <v/>
      </c>
    </row>
    <row r="22126" spans="9:9" x14ac:dyDescent="0.25">
      <c r="I22126" s="227" t="str">
        <f>MID(excPisCofins[[#This Row],[CodBarras2]],2,50)</f>
        <v/>
      </c>
    </row>
    <row r="22127" spans="9:9" x14ac:dyDescent="0.25">
      <c r="I22127" s="227" t="str">
        <f>MID(excPisCofins[[#This Row],[CodBarras2]],2,50)</f>
        <v/>
      </c>
    </row>
    <row r="22128" spans="9:9" x14ac:dyDescent="0.25">
      <c r="I22128" s="227" t="str">
        <f>MID(excPisCofins[[#This Row],[CodBarras2]],2,50)</f>
        <v/>
      </c>
    </row>
    <row r="22129" spans="9:9" x14ac:dyDescent="0.25">
      <c r="I22129" s="227" t="str">
        <f>MID(excPisCofins[[#This Row],[CodBarras2]],2,50)</f>
        <v/>
      </c>
    </row>
    <row r="22130" spans="9:9" x14ac:dyDescent="0.25">
      <c r="I22130" s="227" t="str">
        <f>MID(excPisCofins[[#This Row],[CodBarras2]],2,50)</f>
        <v/>
      </c>
    </row>
    <row r="22131" spans="9:9" x14ac:dyDescent="0.25">
      <c r="I22131" s="227" t="str">
        <f>MID(excPisCofins[[#This Row],[CodBarras2]],2,50)</f>
        <v/>
      </c>
    </row>
    <row r="22132" spans="9:9" x14ac:dyDescent="0.25">
      <c r="I22132" s="227" t="str">
        <f>MID(excPisCofins[[#This Row],[CodBarras2]],2,50)</f>
        <v/>
      </c>
    </row>
    <row r="22133" spans="9:9" x14ac:dyDescent="0.25">
      <c r="I22133" s="227" t="str">
        <f>MID(excPisCofins[[#This Row],[CodBarras2]],2,50)</f>
        <v/>
      </c>
    </row>
    <row r="22134" spans="9:9" x14ac:dyDescent="0.25">
      <c r="I22134" s="227" t="str">
        <f>MID(excPisCofins[[#This Row],[CodBarras2]],2,50)</f>
        <v/>
      </c>
    </row>
    <row r="22135" spans="9:9" x14ac:dyDescent="0.25">
      <c r="I22135" s="227" t="str">
        <f>MID(excPisCofins[[#This Row],[CodBarras2]],2,50)</f>
        <v/>
      </c>
    </row>
    <row r="22136" spans="9:9" x14ac:dyDescent="0.25">
      <c r="I22136" s="227" t="str">
        <f>MID(excPisCofins[[#This Row],[CodBarras2]],2,50)</f>
        <v/>
      </c>
    </row>
    <row r="22137" spans="9:9" x14ac:dyDescent="0.25">
      <c r="I22137" s="227" t="str">
        <f>MID(excPisCofins[[#This Row],[CodBarras2]],2,50)</f>
        <v/>
      </c>
    </row>
    <row r="22138" spans="9:9" x14ac:dyDescent="0.25">
      <c r="I22138" s="227" t="str">
        <f>MID(excPisCofins[[#This Row],[CodBarras2]],2,50)</f>
        <v/>
      </c>
    </row>
    <row r="22139" spans="9:9" x14ac:dyDescent="0.25">
      <c r="I22139" s="227" t="str">
        <f>MID(excPisCofins[[#This Row],[CodBarras2]],2,50)</f>
        <v/>
      </c>
    </row>
    <row r="22140" spans="9:9" x14ac:dyDescent="0.25">
      <c r="I22140" s="227" t="str">
        <f>MID(excPisCofins[[#This Row],[CodBarras2]],2,50)</f>
        <v/>
      </c>
    </row>
    <row r="22141" spans="9:9" x14ac:dyDescent="0.25">
      <c r="I22141" s="227" t="str">
        <f>MID(excPisCofins[[#This Row],[CodBarras2]],2,50)</f>
        <v/>
      </c>
    </row>
    <row r="22142" spans="9:9" x14ac:dyDescent="0.25">
      <c r="I22142" s="227" t="str">
        <f>MID(excPisCofins[[#This Row],[CodBarras2]],2,50)</f>
        <v/>
      </c>
    </row>
    <row r="22143" spans="9:9" x14ac:dyDescent="0.25">
      <c r="I22143" s="227" t="str">
        <f>MID(excPisCofins[[#This Row],[CodBarras2]],2,50)</f>
        <v/>
      </c>
    </row>
    <row r="22144" spans="9:9" x14ac:dyDescent="0.25">
      <c r="I22144" s="227" t="str">
        <f>MID(excPisCofins[[#This Row],[CodBarras2]],2,50)</f>
        <v/>
      </c>
    </row>
    <row r="22145" spans="9:9" x14ac:dyDescent="0.25">
      <c r="I22145" s="227" t="str">
        <f>MID(excPisCofins[[#This Row],[CodBarras2]],2,50)</f>
        <v/>
      </c>
    </row>
    <row r="22146" spans="9:9" x14ac:dyDescent="0.25">
      <c r="I22146" s="227" t="str">
        <f>MID(excPisCofins[[#This Row],[CodBarras2]],2,50)</f>
        <v/>
      </c>
    </row>
    <row r="22147" spans="9:9" x14ac:dyDescent="0.25">
      <c r="I22147" s="227" t="str">
        <f>MID(excPisCofins[[#This Row],[CodBarras2]],2,50)</f>
        <v/>
      </c>
    </row>
    <row r="22148" spans="9:9" x14ac:dyDescent="0.25">
      <c r="I22148" s="227" t="str">
        <f>MID(excPisCofins[[#This Row],[CodBarras2]],2,50)</f>
        <v/>
      </c>
    </row>
    <row r="22149" spans="9:9" x14ac:dyDescent="0.25">
      <c r="I22149" s="227" t="str">
        <f>MID(excPisCofins[[#This Row],[CodBarras2]],2,50)</f>
        <v/>
      </c>
    </row>
    <row r="22150" spans="9:9" x14ac:dyDescent="0.25">
      <c r="I22150" s="227" t="str">
        <f>MID(excPisCofins[[#This Row],[CodBarras2]],2,50)</f>
        <v/>
      </c>
    </row>
    <row r="22151" spans="9:9" x14ac:dyDescent="0.25">
      <c r="I22151" s="227" t="str">
        <f>MID(excPisCofins[[#This Row],[CodBarras2]],2,50)</f>
        <v/>
      </c>
    </row>
    <row r="22152" spans="9:9" x14ac:dyDescent="0.25">
      <c r="I22152" s="227" t="str">
        <f>MID(excPisCofins[[#This Row],[CodBarras2]],2,50)</f>
        <v/>
      </c>
    </row>
    <row r="22153" spans="9:9" x14ac:dyDescent="0.25">
      <c r="I22153" s="227" t="str">
        <f>MID(excPisCofins[[#This Row],[CodBarras2]],2,50)</f>
        <v/>
      </c>
    </row>
    <row r="22154" spans="9:9" x14ac:dyDescent="0.25">
      <c r="I22154" s="227" t="str">
        <f>MID(excPisCofins[[#This Row],[CodBarras2]],2,50)</f>
        <v/>
      </c>
    </row>
    <row r="22155" spans="9:9" x14ac:dyDescent="0.25">
      <c r="I22155" s="227" t="str">
        <f>MID(excPisCofins[[#This Row],[CodBarras2]],2,50)</f>
        <v/>
      </c>
    </row>
    <row r="22156" spans="9:9" x14ac:dyDescent="0.25">
      <c r="I22156" s="227" t="str">
        <f>MID(excPisCofins[[#This Row],[CodBarras2]],2,50)</f>
        <v/>
      </c>
    </row>
    <row r="22157" spans="9:9" x14ac:dyDescent="0.25">
      <c r="I22157" s="227" t="str">
        <f>MID(excPisCofins[[#This Row],[CodBarras2]],2,50)</f>
        <v/>
      </c>
    </row>
    <row r="22158" spans="9:9" x14ac:dyDescent="0.25">
      <c r="I22158" s="227" t="str">
        <f>MID(excPisCofins[[#This Row],[CodBarras2]],2,50)</f>
        <v/>
      </c>
    </row>
    <row r="22159" spans="9:9" x14ac:dyDescent="0.25">
      <c r="I22159" s="227" t="str">
        <f>MID(excPisCofins[[#This Row],[CodBarras2]],2,50)</f>
        <v/>
      </c>
    </row>
    <row r="22160" spans="9:9" x14ac:dyDescent="0.25">
      <c r="I22160" s="227" t="str">
        <f>MID(excPisCofins[[#This Row],[CodBarras2]],2,50)</f>
        <v/>
      </c>
    </row>
    <row r="22161" spans="9:9" x14ac:dyDescent="0.25">
      <c r="I22161" s="227" t="str">
        <f>MID(excPisCofins[[#This Row],[CodBarras2]],2,50)</f>
        <v/>
      </c>
    </row>
    <row r="22162" spans="9:9" x14ac:dyDescent="0.25">
      <c r="I22162" s="227" t="str">
        <f>MID(excPisCofins[[#This Row],[CodBarras2]],2,50)</f>
        <v/>
      </c>
    </row>
    <row r="22163" spans="9:9" x14ac:dyDescent="0.25">
      <c r="I22163" s="227" t="str">
        <f>MID(excPisCofins[[#This Row],[CodBarras2]],2,50)</f>
        <v/>
      </c>
    </row>
    <row r="22164" spans="9:9" x14ac:dyDescent="0.25">
      <c r="I22164" s="227" t="str">
        <f>MID(excPisCofins[[#This Row],[CodBarras2]],2,50)</f>
        <v/>
      </c>
    </row>
    <row r="22165" spans="9:9" x14ac:dyDescent="0.25">
      <c r="I22165" s="227" t="str">
        <f>MID(excPisCofins[[#This Row],[CodBarras2]],2,50)</f>
        <v/>
      </c>
    </row>
    <row r="22166" spans="9:9" x14ac:dyDescent="0.25">
      <c r="I22166" s="227" t="str">
        <f>MID(excPisCofins[[#This Row],[CodBarras2]],2,50)</f>
        <v/>
      </c>
    </row>
    <row r="22167" spans="9:9" x14ac:dyDescent="0.25">
      <c r="I22167" s="227" t="str">
        <f>MID(excPisCofins[[#This Row],[CodBarras2]],2,50)</f>
        <v/>
      </c>
    </row>
    <row r="22168" spans="9:9" x14ac:dyDescent="0.25">
      <c r="I22168" s="227" t="str">
        <f>MID(excPisCofins[[#This Row],[CodBarras2]],2,50)</f>
        <v/>
      </c>
    </row>
    <row r="22169" spans="9:9" x14ac:dyDescent="0.25">
      <c r="I22169" s="227" t="str">
        <f>MID(excPisCofins[[#This Row],[CodBarras2]],2,50)</f>
        <v/>
      </c>
    </row>
    <row r="22170" spans="9:9" x14ac:dyDescent="0.25">
      <c r="I22170" s="227" t="str">
        <f>MID(excPisCofins[[#This Row],[CodBarras2]],2,50)</f>
        <v/>
      </c>
    </row>
    <row r="22171" spans="9:9" x14ac:dyDescent="0.25">
      <c r="I22171" s="227" t="str">
        <f>MID(excPisCofins[[#This Row],[CodBarras2]],2,50)</f>
        <v/>
      </c>
    </row>
    <row r="22172" spans="9:9" x14ac:dyDescent="0.25">
      <c r="I22172" s="227" t="str">
        <f>MID(excPisCofins[[#This Row],[CodBarras2]],2,50)</f>
        <v/>
      </c>
    </row>
    <row r="22173" spans="9:9" x14ac:dyDescent="0.25">
      <c r="I22173" s="227" t="str">
        <f>MID(excPisCofins[[#This Row],[CodBarras2]],2,50)</f>
        <v/>
      </c>
    </row>
    <row r="22174" spans="9:9" x14ac:dyDescent="0.25">
      <c r="I22174" s="227" t="str">
        <f>MID(excPisCofins[[#This Row],[CodBarras2]],2,50)</f>
        <v/>
      </c>
    </row>
    <row r="22175" spans="9:9" x14ac:dyDescent="0.25">
      <c r="I22175" s="227" t="str">
        <f>MID(excPisCofins[[#This Row],[CodBarras2]],2,50)</f>
        <v/>
      </c>
    </row>
    <row r="22176" spans="9:9" x14ac:dyDescent="0.25">
      <c r="I22176" s="227" t="str">
        <f>MID(excPisCofins[[#This Row],[CodBarras2]],2,50)</f>
        <v/>
      </c>
    </row>
    <row r="22177" spans="9:9" x14ac:dyDescent="0.25">
      <c r="I22177" s="227" t="str">
        <f>MID(excPisCofins[[#This Row],[CodBarras2]],2,50)</f>
        <v/>
      </c>
    </row>
    <row r="22178" spans="9:9" x14ac:dyDescent="0.25">
      <c r="I22178" s="227" t="str">
        <f>MID(excPisCofins[[#This Row],[CodBarras2]],2,50)</f>
        <v/>
      </c>
    </row>
    <row r="22179" spans="9:9" x14ac:dyDescent="0.25">
      <c r="I22179" s="227" t="str">
        <f>MID(excPisCofins[[#This Row],[CodBarras2]],2,50)</f>
        <v/>
      </c>
    </row>
    <row r="22180" spans="9:9" x14ac:dyDescent="0.25">
      <c r="I22180" s="227" t="str">
        <f>MID(excPisCofins[[#This Row],[CodBarras2]],2,50)</f>
        <v/>
      </c>
    </row>
    <row r="22181" spans="9:9" x14ac:dyDescent="0.25">
      <c r="I22181" s="227" t="str">
        <f>MID(excPisCofins[[#This Row],[CodBarras2]],2,50)</f>
        <v/>
      </c>
    </row>
    <row r="22182" spans="9:9" x14ac:dyDescent="0.25">
      <c r="I22182" s="227" t="str">
        <f>MID(excPisCofins[[#This Row],[CodBarras2]],2,50)</f>
        <v/>
      </c>
    </row>
    <row r="22183" spans="9:9" x14ac:dyDescent="0.25">
      <c r="I22183" s="227" t="str">
        <f>MID(excPisCofins[[#This Row],[CodBarras2]],2,50)</f>
        <v/>
      </c>
    </row>
    <row r="22184" spans="9:9" x14ac:dyDescent="0.25">
      <c r="I22184" s="227" t="str">
        <f>MID(excPisCofins[[#This Row],[CodBarras2]],2,50)</f>
        <v/>
      </c>
    </row>
    <row r="22185" spans="9:9" x14ac:dyDescent="0.25">
      <c r="I22185" s="227" t="str">
        <f>MID(excPisCofins[[#This Row],[CodBarras2]],2,50)</f>
        <v/>
      </c>
    </row>
    <row r="22186" spans="9:9" x14ac:dyDescent="0.25">
      <c r="I22186" s="227" t="str">
        <f>MID(excPisCofins[[#This Row],[CodBarras2]],2,50)</f>
        <v/>
      </c>
    </row>
    <row r="22187" spans="9:9" x14ac:dyDescent="0.25">
      <c r="I22187" s="227" t="str">
        <f>MID(excPisCofins[[#This Row],[CodBarras2]],2,50)</f>
        <v/>
      </c>
    </row>
    <row r="22188" spans="9:9" x14ac:dyDescent="0.25">
      <c r="I22188" s="227" t="str">
        <f>MID(excPisCofins[[#This Row],[CodBarras2]],2,50)</f>
        <v/>
      </c>
    </row>
    <row r="22189" spans="9:9" x14ac:dyDescent="0.25">
      <c r="I22189" s="227" t="str">
        <f>MID(excPisCofins[[#This Row],[CodBarras2]],2,50)</f>
        <v/>
      </c>
    </row>
    <row r="22190" spans="9:9" x14ac:dyDescent="0.25">
      <c r="I22190" s="227" t="str">
        <f>MID(excPisCofins[[#This Row],[CodBarras2]],2,50)</f>
        <v/>
      </c>
    </row>
    <row r="22191" spans="9:9" x14ac:dyDescent="0.25">
      <c r="I22191" s="227" t="str">
        <f>MID(excPisCofins[[#This Row],[CodBarras2]],2,50)</f>
        <v/>
      </c>
    </row>
    <row r="22192" spans="9:9" x14ac:dyDescent="0.25">
      <c r="I22192" s="227" t="str">
        <f>MID(excPisCofins[[#This Row],[CodBarras2]],2,50)</f>
        <v/>
      </c>
    </row>
    <row r="22193" spans="9:9" x14ac:dyDescent="0.25">
      <c r="I22193" s="227" t="str">
        <f>MID(excPisCofins[[#This Row],[CodBarras2]],2,50)</f>
        <v/>
      </c>
    </row>
    <row r="22194" spans="9:9" x14ac:dyDescent="0.25">
      <c r="I22194" s="227" t="str">
        <f>MID(excPisCofins[[#This Row],[CodBarras2]],2,50)</f>
        <v/>
      </c>
    </row>
    <row r="22195" spans="9:9" x14ac:dyDescent="0.25">
      <c r="I22195" s="227" t="str">
        <f>MID(excPisCofins[[#This Row],[CodBarras2]],2,50)</f>
        <v/>
      </c>
    </row>
    <row r="22196" spans="9:9" x14ac:dyDescent="0.25">
      <c r="I22196" s="227" t="str">
        <f>MID(excPisCofins[[#This Row],[CodBarras2]],2,50)</f>
        <v/>
      </c>
    </row>
    <row r="22197" spans="9:9" x14ac:dyDescent="0.25">
      <c r="I22197" s="227" t="str">
        <f>MID(excPisCofins[[#This Row],[CodBarras2]],2,50)</f>
        <v/>
      </c>
    </row>
    <row r="22198" spans="9:9" x14ac:dyDescent="0.25">
      <c r="I22198" s="227" t="str">
        <f>MID(excPisCofins[[#This Row],[CodBarras2]],2,50)</f>
        <v/>
      </c>
    </row>
    <row r="22199" spans="9:9" x14ac:dyDescent="0.25">
      <c r="I22199" s="227" t="str">
        <f>MID(excPisCofins[[#This Row],[CodBarras2]],2,50)</f>
        <v/>
      </c>
    </row>
    <row r="22200" spans="9:9" x14ac:dyDescent="0.25">
      <c r="I22200" s="227" t="str">
        <f>MID(excPisCofins[[#This Row],[CodBarras2]],2,50)</f>
        <v/>
      </c>
    </row>
    <row r="22201" spans="9:9" x14ac:dyDescent="0.25">
      <c r="I22201" s="227" t="str">
        <f>MID(excPisCofins[[#This Row],[CodBarras2]],2,50)</f>
        <v/>
      </c>
    </row>
    <row r="22202" spans="9:9" x14ac:dyDescent="0.25">
      <c r="I22202" s="227" t="str">
        <f>MID(excPisCofins[[#This Row],[CodBarras2]],2,50)</f>
        <v/>
      </c>
    </row>
    <row r="22203" spans="9:9" x14ac:dyDescent="0.25">
      <c r="I22203" s="227" t="str">
        <f>MID(excPisCofins[[#This Row],[CodBarras2]],2,50)</f>
        <v/>
      </c>
    </row>
    <row r="22204" spans="9:9" x14ac:dyDescent="0.25">
      <c r="I22204" s="227" t="str">
        <f>MID(excPisCofins[[#This Row],[CodBarras2]],2,50)</f>
        <v/>
      </c>
    </row>
    <row r="22205" spans="9:9" x14ac:dyDescent="0.25">
      <c r="I22205" s="227" t="str">
        <f>MID(excPisCofins[[#This Row],[CodBarras2]],2,50)</f>
        <v/>
      </c>
    </row>
    <row r="22206" spans="9:9" x14ac:dyDescent="0.25">
      <c r="I22206" s="227" t="str">
        <f>MID(excPisCofins[[#This Row],[CodBarras2]],2,50)</f>
        <v/>
      </c>
    </row>
    <row r="22207" spans="9:9" x14ac:dyDescent="0.25">
      <c r="I22207" s="227" t="str">
        <f>MID(excPisCofins[[#This Row],[CodBarras2]],2,50)</f>
        <v/>
      </c>
    </row>
    <row r="22208" spans="9:9" x14ac:dyDescent="0.25">
      <c r="I22208" s="227" t="str">
        <f>MID(excPisCofins[[#This Row],[CodBarras2]],2,50)</f>
        <v/>
      </c>
    </row>
    <row r="22209" spans="9:9" x14ac:dyDescent="0.25">
      <c r="I22209" s="227" t="str">
        <f>MID(excPisCofins[[#This Row],[CodBarras2]],2,50)</f>
        <v/>
      </c>
    </row>
    <row r="22210" spans="9:9" x14ac:dyDescent="0.25">
      <c r="I22210" s="227" t="str">
        <f>MID(excPisCofins[[#This Row],[CodBarras2]],2,50)</f>
        <v/>
      </c>
    </row>
    <row r="22211" spans="9:9" x14ac:dyDescent="0.25">
      <c r="I22211" s="227" t="str">
        <f>MID(excPisCofins[[#This Row],[CodBarras2]],2,50)</f>
        <v/>
      </c>
    </row>
    <row r="22212" spans="9:9" x14ac:dyDescent="0.25">
      <c r="I22212" s="227" t="str">
        <f>MID(excPisCofins[[#This Row],[CodBarras2]],2,50)</f>
        <v/>
      </c>
    </row>
    <row r="22213" spans="9:9" x14ac:dyDescent="0.25">
      <c r="I22213" s="227" t="str">
        <f>MID(excPisCofins[[#This Row],[CodBarras2]],2,50)</f>
        <v/>
      </c>
    </row>
    <row r="22214" spans="9:9" x14ac:dyDescent="0.25">
      <c r="I22214" s="227" t="str">
        <f>MID(excPisCofins[[#This Row],[CodBarras2]],2,50)</f>
        <v/>
      </c>
    </row>
    <row r="22215" spans="9:9" x14ac:dyDescent="0.25">
      <c r="I22215" s="227" t="str">
        <f>MID(excPisCofins[[#This Row],[CodBarras2]],2,50)</f>
        <v/>
      </c>
    </row>
    <row r="22216" spans="9:9" x14ac:dyDescent="0.25">
      <c r="I22216" s="227" t="str">
        <f>MID(excPisCofins[[#This Row],[CodBarras2]],2,50)</f>
        <v/>
      </c>
    </row>
    <row r="22217" spans="9:9" x14ac:dyDescent="0.25">
      <c r="I22217" s="227" t="str">
        <f>MID(excPisCofins[[#This Row],[CodBarras2]],2,50)</f>
        <v/>
      </c>
    </row>
    <row r="22218" spans="9:9" x14ac:dyDescent="0.25">
      <c r="I22218" s="227" t="str">
        <f>MID(excPisCofins[[#This Row],[CodBarras2]],2,50)</f>
        <v/>
      </c>
    </row>
    <row r="22219" spans="9:9" x14ac:dyDescent="0.25">
      <c r="I22219" s="227" t="str">
        <f>MID(excPisCofins[[#This Row],[CodBarras2]],2,50)</f>
        <v/>
      </c>
    </row>
    <row r="22220" spans="9:9" x14ac:dyDescent="0.25">
      <c r="I22220" s="227" t="str">
        <f>MID(excPisCofins[[#This Row],[CodBarras2]],2,50)</f>
        <v/>
      </c>
    </row>
    <row r="22221" spans="9:9" x14ac:dyDescent="0.25">
      <c r="I22221" s="227" t="str">
        <f>MID(excPisCofins[[#This Row],[CodBarras2]],2,50)</f>
        <v/>
      </c>
    </row>
    <row r="22222" spans="9:9" x14ac:dyDescent="0.25">
      <c r="I22222" s="227" t="str">
        <f>MID(excPisCofins[[#This Row],[CodBarras2]],2,50)</f>
        <v/>
      </c>
    </row>
    <row r="22223" spans="9:9" x14ac:dyDescent="0.25">
      <c r="I22223" s="227" t="str">
        <f>MID(excPisCofins[[#This Row],[CodBarras2]],2,50)</f>
        <v/>
      </c>
    </row>
    <row r="22224" spans="9:9" x14ac:dyDescent="0.25">
      <c r="I22224" s="227" t="str">
        <f>MID(excPisCofins[[#This Row],[CodBarras2]],2,50)</f>
        <v/>
      </c>
    </row>
    <row r="22225" spans="9:9" x14ac:dyDescent="0.25">
      <c r="I22225" s="227" t="str">
        <f>MID(excPisCofins[[#This Row],[CodBarras2]],2,50)</f>
        <v/>
      </c>
    </row>
    <row r="22226" spans="9:9" x14ac:dyDescent="0.25">
      <c r="I22226" s="227" t="str">
        <f>MID(excPisCofins[[#This Row],[CodBarras2]],2,50)</f>
        <v/>
      </c>
    </row>
    <row r="22227" spans="9:9" x14ac:dyDescent="0.25">
      <c r="I22227" s="227" t="str">
        <f>MID(excPisCofins[[#This Row],[CodBarras2]],2,50)</f>
        <v/>
      </c>
    </row>
    <row r="22228" spans="9:9" x14ac:dyDescent="0.25">
      <c r="I22228" s="227" t="str">
        <f>MID(excPisCofins[[#This Row],[CodBarras2]],2,50)</f>
        <v/>
      </c>
    </row>
    <row r="22229" spans="9:9" x14ac:dyDescent="0.25">
      <c r="I22229" s="227" t="str">
        <f>MID(excPisCofins[[#This Row],[CodBarras2]],2,50)</f>
        <v/>
      </c>
    </row>
    <row r="22230" spans="9:9" x14ac:dyDescent="0.25">
      <c r="I22230" s="227" t="str">
        <f>MID(excPisCofins[[#This Row],[CodBarras2]],2,50)</f>
        <v/>
      </c>
    </row>
    <row r="22231" spans="9:9" x14ac:dyDescent="0.25">
      <c r="I22231" s="227" t="str">
        <f>MID(excPisCofins[[#This Row],[CodBarras2]],2,50)</f>
        <v/>
      </c>
    </row>
    <row r="22232" spans="9:9" x14ac:dyDescent="0.25">
      <c r="I22232" s="227" t="str">
        <f>MID(excPisCofins[[#This Row],[CodBarras2]],2,50)</f>
        <v/>
      </c>
    </row>
    <row r="22233" spans="9:9" x14ac:dyDescent="0.25">
      <c r="I22233" s="227" t="str">
        <f>MID(excPisCofins[[#This Row],[CodBarras2]],2,50)</f>
        <v/>
      </c>
    </row>
    <row r="22234" spans="9:9" x14ac:dyDescent="0.25">
      <c r="I22234" s="227" t="str">
        <f>MID(excPisCofins[[#This Row],[CodBarras2]],2,50)</f>
        <v/>
      </c>
    </row>
    <row r="22235" spans="9:9" x14ac:dyDescent="0.25">
      <c r="I22235" s="227" t="str">
        <f>MID(excPisCofins[[#This Row],[CodBarras2]],2,50)</f>
        <v/>
      </c>
    </row>
    <row r="22236" spans="9:9" x14ac:dyDescent="0.25">
      <c r="I22236" s="227" t="str">
        <f>MID(excPisCofins[[#This Row],[CodBarras2]],2,50)</f>
        <v/>
      </c>
    </row>
    <row r="22237" spans="9:9" x14ac:dyDescent="0.25">
      <c r="I22237" s="227" t="str">
        <f>MID(excPisCofins[[#This Row],[CodBarras2]],2,50)</f>
        <v/>
      </c>
    </row>
    <row r="22238" spans="9:9" x14ac:dyDescent="0.25">
      <c r="I22238" s="227" t="str">
        <f>MID(excPisCofins[[#This Row],[CodBarras2]],2,50)</f>
        <v/>
      </c>
    </row>
    <row r="22239" spans="9:9" x14ac:dyDescent="0.25">
      <c r="I22239" s="227" t="str">
        <f>MID(excPisCofins[[#This Row],[CodBarras2]],2,50)</f>
        <v/>
      </c>
    </row>
    <row r="22240" spans="9:9" x14ac:dyDescent="0.25">
      <c r="I22240" s="227" t="str">
        <f>MID(excPisCofins[[#This Row],[CodBarras2]],2,50)</f>
        <v/>
      </c>
    </row>
    <row r="22241" spans="9:9" x14ac:dyDescent="0.25">
      <c r="I22241" s="227" t="str">
        <f>MID(excPisCofins[[#This Row],[CodBarras2]],2,50)</f>
        <v/>
      </c>
    </row>
    <row r="22242" spans="9:9" x14ac:dyDescent="0.25">
      <c r="I22242" s="227" t="str">
        <f>MID(excPisCofins[[#This Row],[CodBarras2]],2,50)</f>
        <v/>
      </c>
    </row>
    <row r="22243" spans="9:9" x14ac:dyDescent="0.25">
      <c r="I22243" s="227" t="str">
        <f>MID(excPisCofins[[#This Row],[CodBarras2]],2,50)</f>
        <v/>
      </c>
    </row>
    <row r="22244" spans="9:9" x14ac:dyDescent="0.25">
      <c r="I22244" s="227" t="str">
        <f>MID(excPisCofins[[#This Row],[CodBarras2]],2,50)</f>
        <v/>
      </c>
    </row>
    <row r="22245" spans="9:9" x14ac:dyDescent="0.25">
      <c r="I22245" s="227" t="str">
        <f>MID(excPisCofins[[#This Row],[CodBarras2]],2,50)</f>
        <v/>
      </c>
    </row>
    <row r="22246" spans="9:9" x14ac:dyDescent="0.25">
      <c r="I22246" s="227" t="str">
        <f>MID(excPisCofins[[#This Row],[CodBarras2]],2,50)</f>
        <v/>
      </c>
    </row>
    <row r="22247" spans="9:9" x14ac:dyDescent="0.25">
      <c r="I22247" s="227" t="str">
        <f>MID(excPisCofins[[#This Row],[CodBarras2]],2,50)</f>
        <v/>
      </c>
    </row>
    <row r="22248" spans="9:9" x14ac:dyDescent="0.25">
      <c r="I22248" s="227" t="str">
        <f>MID(excPisCofins[[#This Row],[CodBarras2]],2,50)</f>
        <v/>
      </c>
    </row>
    <row r="22249" spans="9:9" x14ac:dyDescent="0.25">
      <c r="I22249" s="227" t="str">
        <f>MID(excPisCofins[[#This Row],[CodBarras2]],2,50)</f>
        <v/>
      </c>
    </row>
    <row r="22250" spans="9:9" x14ac:dyDescent="0.25">
      <c r="I22250" s="227" t="str">
        <f>MID(excPisCofins[[#This Row],[CodBarras2]],2,50)</f>
        <v/>
      </c>
    </row>
    <row r="22251" spans="9:9" x14ac:dyDescent="0.25">
      <c r="I22251" s="227" t="str">
        <f>MID(excPisCofins[[#This Row],[CodBarras2]],2,50)</f>
        <v/>
      </c>
    </row>
    <row r="22252" spans="9:9" x14ac:dyDescent="0.25">
      <c r="I22252" s="227" t="str">
        <f>MID(excPisCofins[[#This Row],[CodBarras2]],2,50)</f>
        <v/>
      </c>
    </row>
    <row r="22253" spans="9:9" x14ac:dyDescent="0.25">
      <c r="I22253" s="227" t="str">
        <f>MID(excPisCofins[[#This Row],[CodBarras2]],2,50)</f>
        <v/>
      </c>
    </row>
    <row r="22254" spans="9:9" x14ac:dyDescent="0.25">
      <c r="I22254" s="227" t="str">
        <f>MID(excPisCofins[[#This Row],[CodBarras2]],2,50)</f>
        <v/>
      </c>
    </row>
    <row r="22255" spans="9:9" x14ac:dyDescent="0.25">
      <c r="I22255" s="227" t="str">
        <f>MID(excPisCofins[[#This Row],[CodBarras2]],2,50)</f>
        <v/>
      </c>
    </row>
    <row r="22256" spans="9:9" x14ac:dyDescent="0.25">
      <c r="I22256" s="227" t="str">
        <f>MID(excPisCofins[[#This Row],[CodBarras2]],2,50)</f>
        <v/>
      </c>
    </row>
    <row r="22257" spans="9:9" x14ac:dyDescent="0.25">
      <c r="I22257" s="227" t="str">
        <f>MID(excPisCofins[[#This Row],[CodBarras2]],2,50)</f>
        <v/>
      </c>
    </row>
    <row r="22258" spans="9:9" x14ac:dyDescent="0.25">
      <c r="I22258" s="227" t="str">
        <f>MID(excPisCofins[[#This Row],[CodBarras2]],2,50)</f>
        <v/>
      </c>
    </row>
    <row r="22259" spans="9:9" x14ac:dyDescent="0.25">
      <c r="I22259" s="227" t="str">
        <f>MID(excPisCofins[[#This Row],[CodBarras2]],2,50)</f>
        <v/>
      </c>
    </row>
    <row r="22260" spans="9:9" x14ac:dyDescent="0.25">
      <c r="I22260" s="227" t="str">
        <f>MID(excPisCofins[[#This Row],[CodBarras2]],2,50)</f>
        <v/>
      </c>
    </row>
    <row r="22261" spans="9:9" x14ac:dyDescent="0.25">
      <c r="I22261" s="227" t="str">
        <f>MID(excPisCofins[[#This Row],[CodBarras2]],2,50)</f>
        <v/>
      </c>
    </row>
    <row r="22262" spans="9:9" x14ac:dyDescent="0.25">
      <c r="I22262" s="227" t="str">
        <f>MID(excPisCofins[[#This Row],[CodBarras2]],2,50)</f>
        <v/>
      </c>
    </row>
    <row r="22263" spans="9:9" x14ac:dyDescent="0.25">
      <c r="I22263" s="227" t="str">
        <f>MID(excPisCofins[[#This Row],[CodBarras2]],2,50)</f>
        <v/>
      </c>
    </row>
    <row r="22264" spans="9:9" x14ac:dyDescent="0.25">
      <c r="I22264" s="227" t="str">
        <f>MID(excPisCofins[[#This Row],[CodBarras2]],2,50)</f>
        <v/>
      </c>
    </row>
    <row r="22265" spans="9:9" x14ac:dyDescent="0.25">
      <c r="I22265" s="227" t="str">
        <f>MID(excPisCofins[[#This Row],[CodBarras2]],2,50)</f>
        <v/>
      </c>
    </row>
    <row r="22266" spans="9:9" x14ac:dyDescent="0.25">
      <c r="I22266" s="227" t="str">
        <f>MID(excPisCofins[[#This Row],[CodBarras2]],2,50)</f>
        <v/>
      </c>
    </row>
    <row r="22267" spans="9:9" x14ac:dyDescent="0.25">
      <c r="I22267" s="227" t="str">
        <f>MID(excPisCofins[[#This Row],[CodBarras2]],2,50)</f>
        <v/>
      </c>
    </row>
    <row r="22268" spans="9:9" x14ac:dyDescent="0.25">
      <c r="I22268" s="227" t="str">
        <f>MID(excPisCofins[[#This Row],[CodBarras2]],2,50)</f>
        <v/>
      </c>
    </row>
    <row r="22269" spans="9:9" x14ac:dyDescent="0.25">
      <c r="I22269" s="227" t="str">
        <f>MID(excPisCofins[[#This Row],[CodBarras2]],2,50)</f>
        <v/>
      </c>
    </row>
    <row r="22270" spans="9:9" x14ac:dyDescent="0.25">
      <c r="I22270" s="227" t="str">
        <f>MID(excPisCofins[[#This Row],[CodBarras2]],2,50)</f>
        <v/>
      </c>
    </row>
    <row r="22271" spans="9:9" x14ac:dyDescent="0.25">
      <c r="I22271" s="227" t="str">
        <f>MID(excPisCofins[[#This Row],[CodBarras2]],2,50)</f>
        <v/>
      </c>
    </row>
    <row r="22272" spans="9:9" x14ac:dyDescent="0.25">
      <c r="I22272" s="227" t="str">
        <f>MID(excPisCofins[[#This Row],[CodBarras2]],2,50)</f>
        <v/>
      </c>
    </row>
    <row r="22273" spans="9:9" x14ac:dyDescent="0.25">
      <c r="I22273" s="227" t="str">
        <f>MID(excPisCofins[[#This Row],[CodBarras2]],2,50)</f>
        <v/>
      </c>
    </row>
    <row r="22274" spans="9:9" x14ac:dyDescent="0.25">
      <c r="I22274" s="227" t="str">
        <f>MID(excPisCofins[[#This Row],[CodBarras2]],2,50)</f>
        <v/>
      </c>
    </row>
    <row r="22275" spans="9:9" x14ac:dyDescent="0.25">
      <c r="I22275" s="227" t="str">
        <f>MID(excPisCofins[[#This Row],[CodBarras2]],2,50)</f>
        <v/>
      </c>
    </row>
    <row r="22276" spans="9:9" x14ac:dyDescent="0.25">
      <c r="I22276" s="227" t="str">
        <f>MID(excPisCofins[[#This Row],[CodBarras2]],2,50)</f>
        <v/>
      </c>
    </row>
    <row r="22277" spans="9:9" x14ac:dyDescent="0.25">
      <c r="I22277" s="227" t="str">
        <f>MID(excPisCofins[[#This Row],[CodBarras2]],2,50)</f>
        <v/>
      </c>
    </row>
    <row r="22278" spans="9:9" x14ac:dyDescent="0.25">
      <c r="I22278" s="227" t="str">
        <f>MID(excPisCofins[[#This Row],[CodBarras2]],2,50)</f>
        <v/>
      </c>
    </row>
    <row r="22279" spans="9:9" x14ac:dyDescent="0.25">
      <c r="I22279" s="227" t="str">
        <f>MID(excPisCofins[[#This Row],[CodBarras2]],2,50)</f>
        <v/>
      </c>
    </row>
    <row r="22280" spans="9:9" x14ac:dyDescent="0.25">
      <c r="I22280" s="227" t="str">
        <f>MID(excPisCofins[[#This Row],[CodBarras2]],2,50)</f>
        <v/>
      </c>
    </row>
    <row r="22281" spans="9:9" x14ac:dyDescent="0.25">
      <c r="I22281" s="227" t="str">
        <f>MID(excPisCofins[[#This Row],[CodBarras2]],2,50)</f>
        <v/>
      </c>
    </row>
    <row r="22282" spans="9:9" x14ac:dyDescent="0.25">
      <c r="I22282" s="227" t="str">
        <f>MID(excPisCofins[[#This Row],[CodBarras2]],2,50)</f>
        <v/>
      </c>
    </row>
    <row r="22283" spans="9:9" x14ac:dyDescent="0.25">
      <c r="I22283" s="227" t="str">
        <f>MID(excPisCofins[[#This Row],[CodBarras2]],2,50)</f>
        <v/>
      </c>
    </row>
    <row r="22284" spans="9:9" x14ac:dyDescent="0.25">
      <c r="I22284" s="227" t="str">
        <f>MID(excPisCofins[[#This Row],[CodBarras2]],2,50)</f>
        <v/>
      </c>
    </row>
    <row r="22285" spans="9:9" x14ac:dyDescent="0.25">
      <c r="I22285" s="227" t="str">
        <f>MID(excPisCofins[[#This Row],[CodBarras2]],2,50)</f>
        <v/>
      </c>
    </row>
    <row r="22286" spans="9:9" x14ac:dyDescent="0.25">
      <c r="I22286" s="227" t="str">
        <f>MID(excPisCofins[[#This Row],[CodBarras2]],2,50)</f>
        <v/>
      </c>
    </row>
    <row r="22287" spans="9:9" x14ac:dyDescent="0.25">
      <c r="I22287" s="227" t="str">
        <f>MID(excPisCofins[[#This Row],[CodBarras2]],2,50)</f>
        <v/>
      </c>
    </row>
    <row r="22288" spans="9:9" x14ac:dyDescent="0.25">
      <c r="I22288" s="227" t="str">
        <f>MID(excPisCofins[[#This Row],[CodBarras2]],2,50)</f>
        <v/>
      </c>
    </row>
    <row r="22289" spans="9:9" x14ac:dyDescent="0.25">
      <c r="I22289" s="227" t="str">
        <f>MID(excPisCofins[[#This Row],[CodBarras2]],2,50)</f>
        <v/>
      </c>
    </row>
    <row r="22290" spans="9:9" x14ac:dyDescent="0.25">
      <c r="I22290" s="227" t="str">
        <f>MID(excPisCofins[[#This Row],[CodBarras2]],2,50)</f>
        <v/>
      </c>
    </row>
    <row r="22291" spans="9:9" x14ac:dyDescent="0.25">
      <c r="I22291" s="227" t="str">
        <f>MID(excPisCofins[[#This Row],[CodBarras2]],2,50)</f>
        <v/>
      </c>
    </row>
    <row r="22292" spans="9:9" x14ac:dyDescent="0.25">
      <c r="I22292" s="227" t="str">
        <f>MID(excPisCofins[[#This Row],[CodBarras2]],2,50)</f>
        <v/>
      </c>
    </row>
    <row r="22293" spans="9:9" x14ac:dyDescent="0.25">
      <c r="I22293" s="227" t="str">
        <f>MID(excPisCofins[[#This Row],[CodBarras2]],2,50)</f>
        <v/>
      </c>
    </row>
    <row r="22294" spans="9:9" x14ac:dyDescent="0.25">
      <c r="I22294" s="227" t="str">
        <f>MID(excPisCofins[[#This Row],[CodBarras2]],2,50)</f>
        <v/>
      </c>
    </row>
    <row r="22295" spans="9:9" x14ac:dyDescent="0.25">
      <c r="I22295" s="227" t="str">
        <f>MID(excPisCofins[[#This Row],[CodBarras2]],2,50)</f>
        <v/>
      </c>
    </row>
    <row r="22296" spans="9:9" x14ac:dyDescent="0.25">
      <c r="I22296" s="227" t="str">
        <f>MID(excPisCofins[[#This Row],[CodBarras2]],2,50)</f>
        <v/>
      </c>
    </row>
    <row r="22297" spans="9:9" x14ac:dyDescent="0.25">
      <c r="I22297" s="227" t="str">
        <f>MID(excPisCofins[[#This Row],[CodBarras2]],2,50)</f>
        <v/>
      </c>
    </row>
    <row r="22298" spans="9:9" x14ac:dyDescent="0.25">
      <c r="I22298" s="227" t="str">
        <f>MID(excPisCofins[[#This Row],[CodBarras2]],2,50)</f>
        <v/>
      </c>
    </row>
    <row r="22299" spans="9:9" x14ac:dyDescent="0.25">
      <c r="I22299" s="227" t="str">
        <f>MID(excPisCofins[[#This Row],[CodBarras2]],2,50)</f>
        <v/>
      </c>
    </row>
    <row r="22300" spans="9:9" x14ac:dyDescent="0.25">
      <c r="I22300" s="227" t="str">
        <f>MID(excPisCofins[[#This Row],[CodBarras2]],2,50)</f>
        <v/>
      </c>
    </row>
    <row r="22301" spans="9:9" x14ac:dyDescent="0.25">
      <c r="I22301" s="227" t="str">
        <f>MID(excPisCofins[[#This Row],[CodBarras2]],2,50)</f>
        <v/>
      </c>
    </row>
    <row r="22302" spans="9:9" x14ac:dyDescent="0.25">
      <c r="I22302" s="227" t="str">
        <f>MID(excPisCofins[[#This Row],[CodBarras2]],2,50)</f>
        <v/>
      </c>
    </row>
    <row r="22303" spans="9:9" x14ac:dyDescent="0.25">
      <c r="I22303" s="227" t="str">
        <f>MID(excPisCofins[[#This Row],[CodBarras2]],2,50)</f>
        <v/>
      </c>
    </row>
    <row r="22304" spans="9:9" x14ac:dyDescent="0.25">
      <c r="I22304" s="227" t="str">
        <f>MID(excPisCofins[[#This Row],[CodBarras2]],2,50)</f>
        <v/>
      </c>
    </row>
    <row r="22305" spans="9:9" x14ac:dyDescent="0.25">
      <c r="I22305" s="227" t="str">
        <f>MID(excPisCofins[[#This Row],[CodBarras2]],2,50)</f>
        <v/>
      </c>
    </row>
    <row r="22306" spans="9:9" x14ac:dyDescent="0.25">
      <c r="I22306" s="227" t="str">
        <f>MID(excPisCofins[[#This Row],[CodBarras2]],2,50)</f>
        <v/>
      </c>
    </row>
    <row r="22307" spans="9:9" x14ac:dyDescent="0.25">
      <c r="I22307" s="227" t="str">
        <f>MID(excPisCofins[[#This Row],[CodBarras2]],2,50)</f>
        <v/>
      </c>
    </row>
    <row r="22308" spans="9:9" x14ac:dyDescent="0.25">
      <c r="I22308" s="227" t="str">
        <f>MID(excPisCofins[[#This Row],[CodBarras2]],2,50)</f>
        <v/>
      </c>
    </row>
    <row r="22309" spans="9:9" x14ac:dyDescent="0.25">
      <c r="I22309" s="227" t="str">
        <f>MID(excPisCofins[[#This Row],[CodBarras2]],2,50)</f>
        <v/>
      </c>
    </row>
    <row r="22310" spans="9:9" x14ac:dyDescent="0.25">
      <c r="I22310" s="227" t="str">
        <f>MID(excPisCofins[[#This Row],[CodBarras2]],2,50)</f>
        <v/>
      </c>
    </row>
    <row r="22311" spans="9:9" x14ac:dyDescent="0.25">
      <c r="I22311" s="227" t="str">
        <f>MID(excPisCofins[[#This Row],[CodBarras2]],2,50)</f>
        <v/>
      </c>
    </row>
    <row r="22312" spans="9:9" x14ac:dyDescent="0.25">
      <c r="I22312" s="227" t="str">
        <f>MID(excPisCofins[[#This Row],[CodBarras2]],2,50)</f>
        <v/>
      </c>
    </row>
    <row r="22313" spans="9:9" x14ac:dyDescent="0.25">
      <c r="I22313" s="227" t="str">
        <f>MID(excPisCofins[[#This Row],[CodBarras2]],2,50)</f>
        <v/>
      </c>
    </row>
    <row r="22314" spans="9:9" x14ac:dyDescent="0.25">
      <c r="I22314" s="227" t="str">
        <f>MID(excPisCofins[[#This Row],[CodBarras2]],2,50)</f>
        <v/>
      </c>
    </row>
    <row r="22315" spans="9:9" x14ac:dyDescent="0.25">
      <c r="I22315" s="227" t="str">
        <f>MID(excPisCofins[[#This Row],[CodBarras2]],2,50)</f>
        <v/>
      </c>
    </row>
    <row r="22316" spans="9:9" x14ac:dyDescent="0.25">
      <c r="I22316" s="227" t="str">
        <f>MID(excPisCofins[[#This Row],[CodBarras2]],2,50)</f>
        <v/>
      </c>
    </row>
    <row r="22317" spans="9:9" x14ac:dyDescent="0.25">
      <c r="I22317" s="227" t="str">
        <f>MID(excPisCofins[[#This Row],[CodBarras2]],2,50)</f>
        <v/>
      </c>
    </row>
    <row r="22318" spans="9:9" x14ac:dyDescent="0.25">
      <c r="I22318" s="227" t="str">
        <f>MID(excPisCofins[[#This Row],[CodBarras2]],2,50)</f>
        <v/>
      </c>
    </row>
    <row r="22319" spans="9:9" x14ac:dyDescent="0.25">
      <c r="I22319" s="227" t="str">
        <f>MID(excPisCofins[[#This Row],[CodBarras2]],2,50)</f>
        <v/>
      </c>
    </row>
    <row r="22320" spans="9:9" x14ac:dyDescent="0.25">
      <c r="I22320" s="227" t="str">
        <f>MID(excPisCofins[[#This Row],[CodBarras2]],2,50)</f>
        <v/>
      </c>
    </row>
    <row r="22321" spans="9:9" x14ac:dyDescent="0.25">
      <c r="I22321" s="227" t="str">
        <f>MID(excPisCofins[[#This Row],[CodBarras2]],2,50)</f>
        <v/>
      </c>
    </row>
    <row r="22322" spans="9:9" x14ac:dyDescent="0.25">
      <c r="I22322" s="227" t="str">
        <f>MID(excPisCofins[[#This Row],[CodBarras2]],2,50)</f>
        <v/>
      </c>
    </row>
    <row r="22323" spans="9:9" x14ac:dyDescent="0.25">
      <c r="I22323" s="227" t="str">
        <f>MID(excPisCofins[[#This Row],[CodBarras2]],2,50)</f>
        <v/>
      </c>
    </row>
    <row r="22324" spans="9:9" x14ac:dyDescent="0.25">
      <c r="I22324" s="227" t="str">
        <f>MID(excPisCofins[[#This Row],[CodBarras2]],2,50)</f>
        <v/>
      </c>
    </row>
    <row r="22325" spans="9:9" x14ac:dyDescent="0.25">
      <c r="I22325" s="227" t="str">
        <f>MID(excPisCofins[[#This Row],[CodBarras2]],2,50)</f>
        <v/>
      </c>
    </row>
    <row r="22326" spans="9:9" x14ac:dyDescent="0.25">
      <c r="I22326" s="227" t="str">
        <f>MID(excPisCofins[[#This Row],[CodBarras2]],2,50)</f>
        <v/>
      </c>
    </row>
    <row r="22327" spans="9:9" x14ac:dyDescent="0.25">
      <c r="I22327" s="227" t="str">
        <f>MID(excPisCofins[[#This Row],[CodBarras2]],2,50)</f>
        <v/>
      </c>
    </row>
    <row r="22328" spans="9:9" x14ac:dyDescent="0.25">
      <c r="I22328" s="227" t="str">
        <f>MID(excPisCofins[[#This Row],[CodBarras2]],2,50)</f>
        <v/>
      </c>
    </row>
    <row r="22329" spans="9:9" x14ac:dyDescent="0.25">
      <c r="I22329" s="227" t="str">
        <f>MID(excPisCofins[[#This Row],[CodBarras2]],2,50)</f>
        <v/>
      </c>
    </row>
    <row r="22330" spans="9:9" x14ac:dyDescent="0.25">
      <c r="I22330" s="227" t="str">
        <f>MID(excPisCofins[[#This Row],[CodBarras2]],2,50)</f>
        <v/>
      </c>
    </row>
    <row r="22331" spans="9:9" x14ac:dyDescent="0.25">
      <c r="I22331" s="227" t="str">
        <f>MID(excPisCofins[[#This Row],[CodBarras2]],2,50)</f>
        <v/>
      </c>
    </row>
    <row r="22332" spans="9:9" x14ac:dyDescent="0.25">
      <c r="I22332" s="227" t="str">
        <f>MID(excPisCofins[[#This Row],[CodBarras2]],2,50)</f>
        <v/>
      </c>
    </row>
    <row r="22333" spans="9:9" x14ac:dyDescent="0.25">
      <c r="I22333" s="227" t="str">
        <f>MID(excPisCofins[[#This Row],[CodBarras2]],2,50)</f>
        <v/>
      </c>
    </row>
    <row r="22334" spans="9:9" x14ac:dyDescent="0.25">
      <c r="I22334" s="227" t="str">
        <f>MID(excPisCofins[[#This Row],[CodBarras2]],2,50)</f>
        <v/>
      </c>
    </row>
    <row r="22335" spans="9:9" x14ac:dyDescent="0.25">
      <c r="I22335" s="227" t="str">
        <f>MID(excPisCofins[[#This Row],[CodBarras2]],2,50)</f>
        <v/>
      </c>
    </row>
    <row r="22336" spans="9:9" x14ac:dyDescent="0.25">
      <c r="I22336" s="227" t="str">
        <f>MID(excPisCofins[[#This Row],[CodBarras2]],2,50)</f>
        <v/>
      </c>
    </row>
    <row r="22337" spans="9:9" x14ac:dyDescent="0.25">
      <c r="I22337" s="227" t="str">
        <f>MID(excPisCofins[[#This Row],[CodBarras2]],2,50)</f>
        <v/>
      </c>
    </row>
    <row r="22338" spans="9:9" x14ac:dyDescent="0.25">
      <c r="I22338" s="227" t="str">
        <f>MID(excPisCofins[[#This Row],[CodBarras2]],2,50)</f>
        <v/>
      </c>
    </row>
    <row r="22339" spans="9:9" x14ac:dyDescent="0.25">
      <c r="I22339" s="227" t="str">
        <f>MID(excPisCofins[[#This Row],[CodBarras2]],2,50)</f>
        <v/>
      </c>
    </row>
    <row r="22340" spans="9:9" x14ac:dyDescent="0.25">
      <c r="I22340" s="227" t="str">
        <f>MID(excPisCofins[[#This Row],[CodBarras2]],2,50)</f>
        <v/>
      </c>
    </row>
    <row r="22341" spans="9:9" x14ac:dyDescent="0.25">
      <c r="I22341" s="227" t="str">
        <f>MID(excPisCofins[[#This Row],[CodBarras2]],2,50)</f>
        <v/>
      </c>
    </row>
    <row r="22342" spans="9:9" x14ac:dyDescent="0.25">
      <c r="I22342" s="227" t="str">
        <f>MID(excPisCofins[[#This Row],[CodBarras2]],2,50)</f>
        <v/>
      </c>
    </row>
    <row r="22343" spans="9:9" x14ac:dyDescent="0.25">
      <c r="I22343" s="227" t="str">
        <f>MID(excPisCofins[[#This Row],[CodBarras2]],2,50)</f>
        <v/>
      </c>
    </row>
    <row r="22344" spans="9:9" x14ac:dyDescent="0.25">
      <c r="I22344" s="227" t="str">
        <f>MID(excPisCofins[[#This Row],[CodBarras2]],2,50)</f>
        <v/>
      </c>
    </row>
    <row r="22345" spans="9:9" x14ac:dyDescent="0.25">
      <c r="I22345" s="227" t="str">
        <f>MID(excPisCofins[[#This Row],[CodBarras2]],2,50)</f>
        <v/>
      </c>
    </row>
    <row r="22346" spans="9:9" x14ac:dyDescent="0.25">
      <c r="I22346" s="227" t="str">
        <f>MID(excPisCofins[[#This Row],[CodBarras2]],2,50)</f>
        <v/>
      </c>
    </row>
    <row r="22347" spans="9:9" x14ac:dyDescent="0.25">
      <c r="I22347" s="227" t="str">
        <f>MID(excPisCofins[[#This Row],[CodBarras2]],2,50)</f>
        <v/>
      </c>
    </row>
    <row r="22348" spans="9:9" x14ac:dyDescent="0.25">
      <c r="I22348" s="227" t="str">
        <f>MID(excPisCofins[[#This Row],[CodBarras2]],2,50)</f>
        <v/>
      </c>
    </row>
    <row r="22349" spans="9:9" x14ac:dyDescent="0.25">
      <c r="I22349" s="227" t="str">
        <f>MID(excPisCofins[[#This Row],[CodBarras2]],2,50)</f>
        <v/>
      </c>
    </row>
    <row r="22350" spans="9:9" x14ac:dyDescent="0.25">
      <c r="I22350" s="227" t="str">
        <f>MID(excPisCofins[[#This Row],[CodBarras2]],2,50)</f>
        <v/>
      </c>
    </row>
    <row r="22351" spans="9:9" x14ac:dyDescent="0.25">
      <c r="I22351" s="227" t="str">
        <f>MID(excPisCofins[[#This Row],[CodBarras2]],2,50)</f>
        <v/>
      </c>
    </row>
    <row r="22352" spans="9:9" x14ac:dyDescent="0.25">
      <c r="I22352" s="227" t="str">
        <f>MID(excPisCofins[[#This Row],[CodBarras2]],2,50)</f>
        <v/>
      </c>
    </row>
    <row r="22353" spans="9:9" x14ac:dyDescent="0.25">
      <c r="I22353" s="227" t="str">
        <f>MID(excPisCofins[[#This Row],[CodBarras2]],2,50)</f>
        <v/>
      </c>
    </row>
    <row r="22354" spans="9:9" x14ac:dyDescent="0.25">
      <c r="I22354" s="227" t="str">
        <f>MID(excPisCofins[[#This Row],[CodBarras2]],2,50)</f>
        <v/>
      </c>
    </row>
    <row r="22355" spans="9:9" x14ac:dyDescent="0.25">
      <c r="I22355" s="227" t="str">
        <f>MID(excPisCofins[[#This Row],[CodBarras2]],2,50)</f>
        <v/>
      </c>
    </row>
    <row r="22356" spans="9:9" x14ac:dyDescent="0.25">
      <c r="I22356" s="227" t="str">
        <f>MID(excPisCofins[[#This Row],[CodBarras2]],2,50)</f>
        <v/>
      </c>
    </row>
    <row r="22357" spans="9:9" x14ac:dyDescent="0.25">
      <c r="I22357" s="227" t="str">
        <f>MID(excPisCofins[[#This Row],[CodBarras2]],2,50)</f>
        <v/>
      </c>
    </row>
    <row r="22358" spans="9:9" x14ac:dyDescent="0.25">
      <c r="I22358" s="227" t="str">
        <f>MID(excPisCofins[[#This Row],[CodBarras2]],2,50)</f>
        <v/>
      </c>
    </row>
    <row r="22359" spans="9:9" x14ac:dyDescent="0.25">
      <c r="I22359" s="227" t="str">
        <f>MID(excPisCofins[[#This Row],[CodBarras2]],2,50)</f>
        <v/>
      </c>
    </row>
    <row r="22360" spans="9:9" x14ac:dyDescent="0.25">
      <c r="I22360" s="227" t="str">
        <f>MID(excPisCofins[[#This Row],[CodBarras2]],2,50)</f>
        <v/>
      </c>
    </row>
    <row r="22361" spans="9:9" x14ac:dyDescent="0.25">
      <c r="I22361" s="227" t="str">
        <f>MID(excPisCofins[[#This Row],[CodBarras2]],2,50)</f>
        <v/>
      </c>
    </row>
    <row r="22362" spans="9:9" x14ac:dyDescent="0.25">
      <c r="I22362" s="227" t="str">
        <f>MID(excPisCofins[[#This Row],[CodBarras2]],2,50)</f>
        <v/>
      </c>
    </row>
    <row r="22363" spans="9:9" x14ac:dyDescent="0.25">
      <c r="I22363" s="227" t="str">
        <f>MID(excPisCofins[[#This Row],[CodBarras2]],2,50)</f>
        <v/>
      </c>
    </row>
    <row r="22364" spans="9:9" x14ac:dyDescent="0.25">
      <c r="I22364" s="227" t="str">
        <f>MID(excPisCofins[[#This Row],[CodBarras2]],2,50)</f>
        <v/>
      </c>
    </row>
    <row r="22365" spans="9:9" x14ac:dyDescent="0.25">
      <c r="I22365" s="227" t="str">
        <f>MID(excPisCofins[[#This Row],[CodBarras2]],2,50)</f>
        <v/>
      </c>
    </row>
    <row r="22366" spans="9:9" x14ac:dyDescent="0.25">
      <c r="I22366" s="227" t="str">
        <f>MID(excPisCofins[[#This Row],[CodBarras2]],2,50)</f>
        <v/>
      </c>
    </row>
    <row r="22367" spans="9:9" x14ac:dyDescent="0.25">
      <c r="I22367" s="227" t="str">
        <f>MID(excPisCofins[[#This Row],[CodBarras2]],2,50)</f>
        <v/>
      </c>
    </row>
    <row r="22368" spans="9:9" x14ac:dyDescent="0.25">
      <c r="I22368" s="227" t="str">
        <f>MID(excPisCofins[[#This Row],[CodBarras2]],2,50)</f>
        <v/>
      </c>
    </row>
    <row r="22369" spans="9:9" x14ac:dyDescent="0.25">
      <c r="I22369" s="227" t="str">
        <f>MID(excPisCofins[[#This Row],[CodBarras2]],2,50)</f>
        <v/>
      </c>
    </row>
    <row r="22370" spans="9:9" x14ac:dyDescent="0.25">
      <c r="I22370" s="227" t="str">
        <f>MID(excPisCofins[[#This Row],[CodBarras2]],2,50)</f>
        <v/>
      </c>
    </row>
    <row r="22371" spans="9:9" x14ac:dyDescent="0.25">
      <c r="I22371" s="227" t="str">
        <f>MID(excPisCofins[[#This Row],[CodBarras2]],2,50)</f>
        <v/>
      </c>
    </row>
    <row r="22372" spans="9:9" x14ac:dyDescent="0.25">
      <c r="I22372" s="227" t="str">
        <f>MID(excPisCofins[[#This Row],[CodBarras2]],2,50)</f>
        <v/>
      </c>
    </row>
    <row r="22373" spans="9:9" x14ac:dyDescent="0.25">
      <c r="I22373" s="227" t="str">
        <f>MID(excPisCofins[[#This Row],[CodBarras2]],2,50)</f>
        <v/>
      </c>
    </row>
    <row r="22374" spans="9:9" x14ac:dyDescent="0.25">
      <c r="I22374" s="227" t="str">
        <f>MID(excPisCofins[[#This Row],[CodBarras2]],2,50)</f>
        <v/>
      </c>
    </row>
    <row r="22375" spans="9:9" x14ac:dyDescent="0.25">
      <c r="I22375" s="227" t="str">
        <f>MID(excPisCofins[[#This Row],[CodBarras2]],2,50)</f>
        <v/>
      </c>
    </row>
    <row r="22376" spans="9:9" x14ac:dyDescent="0.25">
      <c r="I22376" s="227" t="str">
        <f>MID(excPisCofins[[#This Row],[CodBarras2]],2,50)</f>
        <v/>
      </c>
    </row>
    <row r="22377" spans="9:9" x14ac:dyDescent="0.25">
      <c r="I22377" s="227" t="str">
        <f>MID(excPisCofins[[#This Row],[CodBarras2]],2,50)</f>
        <v/>
      </c>
    </row>
    <row r="22378" spans="9:9" x14ac:dyDescent="0.25">
      <c r="I22378" s="227" t="str">
        <f>MID(excPisCofins[[#This Row],[CodBarras2]],2,50)</f>
        <v/>
      </c>
    </row>
    <row r="22379" spans="9:9" x14ac:dyDescent="0.25">
      <c r="I22379" s="227" t="str">
        <f>MID(excPisCofins[[#This Row],[CodBarras2]],2,50)</f>
        <v/>
      </c>
    </row>
    <row r="22380" spans="9:9" x14ac:dyDescent="0.25">
      <c r="I22380" s="227" t="str">
        <f>MID(excPisCofins[[#This Row],[CodBarras2]],2,50)</f>
        <v/>
      </c>
    </row>
    <row r="22381" spans="9:9" x14ac:dyDescent="0.25">
      <c r="I22381" s="227" t="str">
        <f>MID(excPisCofins[[#This Row],[CodBarras2]],2,50)</f>
        <v/>
      </c>
    </row>
    <row r="22382" spans="9:9" x14ac:dyDescent="0.25">
      <c r="I22382" s="227" t="str">
        <f>MID(excPisCofins[[#This Row],[CodBarras2]],2,50)</f>
        <v/>
      </c>
    </row>
    <row r="22383" spans="9:9" x14ac:dyDescent="0.25">
      <c r="I22383" s="227" t="str">
        <f>MID(excPisCofins[[#This Row],[CodBarras2]],2,50)</f>
        <v/>
      </c>
    </row>
    <row r="22384" spans="9:9" x14ac:dyDescent="0.25">
      <c r="I22384" s="227" t="str">
        <f>MID(excPisCofins[[#This Row],[CodBarras2]],2,50)</f>
        <v/>
      </c>
    </row>
    <row r="22385" spans="9:9" x14ac:dyDescent="0.25">
      <c r="I22385" s="227" t="str">
        <f>MID(excPisCofins[[#This Row],[CodBarras2]],2,50)</f>
        <v/>
      </c>
    </row>
    <row r="22386" spans="9:9" x14ac:dyDescent="0.25">
      <c r="I22386" s="227" t="str">
        <f>MID(excPisCofins[[#This Row],[CodBarras2]],2,50)</f>
        <v/>
      </c>
    </row>
    <row r="22387" spans="9:9" x14ac:dyDescent="0.25">
      <c r="I22387" s="227" t="str">
        <f>MID(excPisCofins[[#This Row],[CodBarras2]],2,50)</f>
        <v/>
      </c>
    </row>
    <row r="22388" spans="9:9" x14ac:dyDescent="0.25">
      <c r="I22388" s="227" t="str">
        <f>MID(excPisCofins[[#This Row],[CodBarras2]],2,50)</f>
        <v/>
      </c>
    </row>
    <row r="22389" spans="9:9" x14ac:dyDescent="0.25">
      <c r="I22389" s="227" t="str">
        <f>MID(excPisCofins[[#This Row],[CodBarras2]],2,50)</f>
        <v/>
      </c>
    </row>
    <row r="22390" spans="9:9" x14ac:dyDescent="0.25">
      <c r="I22390" s="227" t="str">
        <f>MID(excPisCofins[[#This Row],[CodBarras2]],2,50)</f>
        <v/>
      </c>
    </row>
    <row r="22391" spans="9:9" x14ac:dyDescent="0.25">
      <c r="I22391" s="227" t="str">
        <f>MID(excPisCofins[[#This Row],[CodBarras2]],2,50)</f>
        <v/>
      </c>
    </row>
    <row r="22392" spans="9:9" x14ac:dyDescent="0.25">
      <c r="I22392" s="227" t="str">
        <f>MID(excPisCofins[[#This Row],[CodBarras2]],2,50)</f>
        <v/>
      </c>
    </row>
    <row r="22393" spans="9:9" x14ac:dyDescent="0.25">
      <c r="I22393" s="227" t="str">
        <f>MID(excPisCofins[[#This Row],[CodBarras2]],2,50)</f>
        <v/>
      </c>
    </row>
    <row r="22394" spans="9:9" x14ac:dyDescent="0.25">
      <c r="I22394" s="227" t="str">
        <f>MID(excPisCofins[[#This Row],[CodBarras2]],2,50)</f>
        <v/>
      </c>
    </row>
    <row r="22395" spans="9:9" x14ac:dyDescent="0.25">
      <c r="I22395" s="227" t="str">
        <f>MID(excPisCofins[[#This Row],[CodBarras2]],2,50)</f>
        <v/>
      </c>
    </row>
    <row r="22396" spans="9:9" x14ac:dyDescent="0.25">
      <c r="I22396" s="227" t="str">
        <f>MID(excPisCofins[[#This Row],[CodBarras2]],2,50)</f>
        <v/>
      </c>
    </row>
    <row r="22397" spans="9:9" x14ac:dyDescent="0.25">
      <c r="I22397" s="227" t="str">
        <f>MID(excPisCofins[[#This Row],[CodBarras2]],2,50)</f>
        <v/>
      </c>
    </row>
    <row r="22398" spans="9:9" x14ac:dyDescent="0.25">
      <c r="I22398" s="227" t="str">
        <f>MID(excPisCofins[[#This Row],[CodBarras2]],2,50)</f>
        <v/>
      </c>
    </row>
    <row r="22399" spans="9:9" x14ac:dyDescent="0.25">
      <c r="I22399" s="227" t="str">
        <f>MID(excPisCofins[[#This Row],[CodBarras2]],2,50)</f>
        <v/>
      </c>
    </row>
    <row r="22400" spans="9:9" x14ac:dyDescent="0.25">
      <c r="I22400" s="227" t="str">
        <f>MID(excPisCofins[[#This Row],[CodBarras2]],2,50)</f>
        <v/>
      </c>
    </row>
    <row r="22401" spans="9:9" x14ac:dyDescent="0.25">
      <c r="I22401" s="227" t="str">
        <f>MID(excPisCofins[[#This Row],[CodBarras2]],2,50)</f>
        <v/>
      </c>
    </row>
    <row r="22402" spans="9:9" x14ac:dyDescent="0.25">
      <c r="I22402" s="227" t="str">
        <f>MID(excPisCofins[[#This Row],[CodBarras2]],2,50)</f>
        <v/>
      </c>
    </row>
    <row r="22403" spans="9:9" x14ac:dyDescent="0.25">
      <c r="I22403" s="227" t="str">
        <f>MID(excPisCofins[[#This Row],[CodBarras2]],2,50)</f>
        <v/>
      </c>
    </row>
    <row r="22404" spans="9:9" x14ac:dyDescent="0.25">
      <c r="I22404" s="227" t="str">
        <f>MID(excPisCofins[[#This Row],[CodBarras2]],2,50)</f>
        <v/>
      </c>
    </row>
    <row r="22405" spans="9:9" x14ac:dyDescent="0.25">
      <c r="I22405" s="227" t="str">
        <f>MID(excPisCofins[[#This Row],[CodBarras2]],2,50)</f>
        <v/>
      </c>
    </row>
    <row r="22406" spans="9:9" x14ac:dyDescent="0.25">
      <c r="I22406" s="227" t="str">
        <f>MID(excPisCofins[[#This Row],[CodBarras2]],2,50)</f>
        <v/>
      </c>
    </row>
    <row r="22407" spans="9:9" x14ac:dyDescent="0.25">
      <c r="I22407" s="227" t="str">
        <f>MID(excPisCofins[[#This Row],[CodBarras2]],2,50)</f>
        <v/>
      </c>
    </row>
    <row r="22408" spans="9:9" x14ac:dyDescent="0.25">
      <c r="I22408" s="227" t="str">
        <f>MID(excPisCofins[[#This Row],[CodBarras2]],2,50)</f>
        <v/>
      </c>
    </row>
    <row r="22409" spans="9:9" x14ac:dyDescent="0.25">
      <c r="I22409" s="227" t="str">
        <f>MID(excPisCofins[[#This Row],[CodBarras2]],2,50)</f>
        <v/>
      </c>
    </row>
    <row r="22410" spans="9:9" x14ac:dyDescent="0.25">
      <c r="I22410" s="227" t="str">
        <f>MID(excPisCofins[[#This Row],[CodBarras2]],2,50)</f>
        <v/>
      </c>
    </row>
    <row r="22411" spans="9:9" x14ac:dyDescent="0.25">
      <c r="I22411" s="227" t="str">
        <f>MID(excPisCofins[[#This Row],[CodBarras2]],2,50)</f>
        <v/>
      </c>
    </row>
    <row r="22412" spans="9:9" x14ac:dyDescent="0.25">
      <c r="I22412" s="227" t="str">
        <f>MID(excPisCofins[[#This Row],[CodBarras2]],2,50)</f>
        <v/>
      </c>
    </row>
    <row r="22413" spans="9:9" x14ac:dyDescent="0.25">
      <c r="I22413" s="227" t="str">
        <f>MID(excPisCofins[[#This Row],[CodBarras2]],2,50)</f>
        <v/>
      </c>
    </row>
    <row r="22414" spans="9:9" x14ac:dyDescent="0.25">
      <c r="I22414" s="227" t="str">
        <f>MID(excPisCofins[[#This Row],[CodBarras2]],2,50)</f>
        <v/>
      </c>
    </row>
    <row r="22415" spans="9:9" x14ac:dyDescent="0.25">
      <c r="I22415" s="227" t="str">
        <f>MID(excPisCofins[[#This Row],[CodBarras2]],2,50)</f>
        <v/>
      </c>
    </row>
    <row r="22416" spans="9:9" x14ac:dyDescent="0.25">
      <c r="I22416" s="227" t="str">
        <f>MID(excPisCofins[[#This Row],[CodBarras2]],2,50)</f>
        <v/>
      </c>
    </row>
    <row r="22417" spans="9:9" x14ac:dyDescent="0.25">
      <c r="I22417" s="227" t="str">
        <f>MID(excPisCofins[[#This Row],[CodBarras2]],2,50)</f>
        <v/>
      </c>
    </row>
    <row r="22418" spans="9:9" x14ac:dyDescent="0.25">
      <c r="I22418" s="227" t="str">
        <f>MID(excPisCofins[[#This Row],[CodBarras2]],2,50)</f>
        <v/>
      </c>
    </row>
    <row r="22419" spans="9:9" x14ac:dyDescent="0.25">
      <c r="I22419" s="227" t="str">
        <f>MID(excPisCofins[[#This Row],[CodBarras2]],2,50)</f>
        <v/>
      </c>
    </row>
    <row r="22420" spans="9:9" x14ac:dyDescent="0.25">
      <c r="I22420" s="227" t="str">
        <f>MID(excPisCofins[[#This Row],[CodBarras2]],2,50)</f>
        <v/>
      </c>
    </row>
    <row r="22421" spans="9:9" x14ac:dyDescent="0.25">
      <c r="I22421" s="227" t="str">
        <f>MID(excPisCofins[[#This Row],[CodBarras2]],2,50)</f>
        <v/>
      </c>
    </row>
    <row r="22422" spans="9:9" x14ac:dyDescent="0.25">
      <c r="I22422" s="227" t="str">
        <f>MID(excPisCofins[[#This Row],[CodBarras2]],2,50)</f>
        <v/>
      </c>
    </row>
    <row r="22423" spans="9:9" x14ac:dyDescent="0.25">
      <c r="I22423" s="227" t="str">
        <f>MID(excPisCofins[[#This Row],[CodBarras2]],2,50)</f>
        <v/>
      </c>
    </row>
    <row r="22424" spans="9:9" x14ac:dyDescent="0.25">
      <c r="I22424" s="227" t="str">
        <f>MID(excPisCofins[[#This Row],[CodBarras2]],2,50)</f>
        <v/>
      </c>
    </row>
    <row r="22425" spans="9:9" x14ac:dyDescent="0.25">
      <c r="I22425" s="227" t="str">
        <f>MID(excPisCofins[[#This Row],[CodBarras2]],2,50)</f>
        <v/>
      </c>
    </row>
    <row r="22426" spans="9:9" x14ac:dyDescent="0.25">
      <c r="I22426" s="227" t="str">
        <f>MID(excPisCofins[[#This Row],[CodBarras2]],2,50)</f>
        <v/>
      </c>
    </row>
    <row r="22427" spans="9:9" x14ac:dyDescent="0.25">
      <c r="I22427" s="227" t="str">
        <f>MID(excPisCofins[[#This Row],[CodBarras2]],2,50)</f>
        <v/>
      </c>
    </row>
    <row r="22428" spans="9:9" x14ac:dyDescent="0.25">
      <c r="I22428" s="227" t="str">
        <f>MID(excPisCofins[[#This Row],[CodBarras2]],2,50)</f>
        <v/>
      </c>
    </row>
    <row r="22429" spans="9:9" x14ac:dyDescent="0.25">
      <c r="I22429" s="227" t="str">
        <f>MID(excPisCofins[[#This Row],[CodBarras2]],2,50)</f>
        <v/>
      </c>
    </row>
    <row r="22430" spans="9:9" x14ac:dyDescent="0.25">
      <c r="I22430" s="227" t="str">
        <f>MID(excPisCofins[[#This Row],[CodBarras2]],2,50)</f>
        <v/>
      </c>
    </row>
    <row r="22431" spans="9:9" x14ac:dyDescent="0.25">
      <c r="I22431" s="227" t="str">
        <f>MID(excPisCofins[[#This Row],[CodBarras2]],2,50)</f>
        <v/>
      </c>
    </row>
    <row r="22432" spans="9:9" x14ac:dyDescent="0.25">
      <c r="I22432" s="227" t="str">
        <f>MID(excPisCofins[[#This Row],[CodBarras2]],2,50)</f>
        <v/>
      </c>
    </row>
    <row r="22433" spans="9:9" x14ac:dyDescent="0.25">
      <c r="I22433" s="227" t="str">
        <f>MID(excPisCofins[[#This Row],[CodBarras2]],2,50)</f>
        <v/>
      </c>
    </row>
    <row r="22434" spans="9:9" x14ac:dyDescent="0.25">
      <c r="I22434" s="227" t="str">
        <f>MID(excPisCofins[[#This Row],[CodBarras2]],2,50)</f>
        <v/>
      </c>
    </row>
    <row r="22435" spans="9:9" x14ac:dyDescent="0.25">
      <c r="I22435" s="227" t="str">
        <f>MID(excPisCofins[[#This Row],[CodBarras2]],2,50)</f>
        <v/>
      </c>
    </row>
    <row r="22436" spans="9:9" x14ac:dyDescent="0.25">
      <c r="I22436" s="227" t="str">
        <f>MID(excPisCofins[[#This Row],[CodBarras2]],2,50)</f>
        <v/>
      </c>
    </row>
    <row r="22437" spans="9:9" x14ac:dyDescent="0.25">
      <c r="I22437" s="227" t="str">
        <f>MID(excPisCofins[[#This Row],[CodBarras2]],2,50)</f>
        <v/>
      </c>
    </row>
    <row r="22438" spans="9:9" x14ac:dyDescent="0.25">
      <c r="I22438" s="227" t="str">
        <f>MID(excPisCofins[[#This Row],[CodBarras2]],2,50)</f>
        <v/>
      </c>
    </row>
    <row r="22439" spans="9:9" x14ac:dyDescent="0.25">
      <c r="I22439" s="227" t="str">
        <f>MID(excPisCofins[[#This Row],[CodBarras2]],2,50)</f>
        <v/>
      </c>
    </row>
    <row r="22440" spans="9:9" x14ac:dyDescent="0.25">
      <c r="I22440" s="227" t="str">
        <f>MID(excPisCofins[[#This Row],[CodBarras2]],2,50)</f>
        <v/>
      </c>
    </row>
    <row r="22441" spans="9:9" x14ac:dyDescent="0.25">
      <c r="I22441" s="227" t="str">
        <f>MID(excPisCofins[[#This Row],[CodBarras2]],2,50)</f>
        <v/>
      </c>
    </row>
    <row r="22442" spans="9:9" x14ac:dyDescent="0.25">
      <c r="I22442" s="227" t="str">
        <f>MID(excPisCofins[[#This Row],[CodBarras2]],2,50)</f>
        <v/>
      </c>
    </row>
    <row r="22443" spans="9:9" x14ac:dyDescent="0.25">
      <c r="I22443" s="227" t="str">
        <f>MID(excPisCofins[[#This Row],[CodBarras2]],2,50)</f>
        <v/>
      </c>
    </row>
    <row r="22444" spans="9:9" x14ac:dyDescent="0.25">
      <c r="I22444" s="227" t="str">
        <f>MID(excPisCofins[[#This Row],[CodBarras2]],2,50)</f>
        <v/>
      </c>
    </row>
    <row r="22445" spans="9:9" x14ac:dyDescent="0.25">
      <c r="I22445" s="227" t="str">
        <f>MID(excPisCofins[[#This Row],[CodBarras2]],2,50)</f>
        <v/>
      </c>
    </row>
    <row r="22446" spans="9:9" x14ac:dyDescent="0.25">
      <c r="I22446" s="227" t="str">
        <f>MID(excPisCofins[[#This Row],[CodBarras2]],2,50)</f>
        <v/>
      </c>
    </row>
    <row r="22447" spans="9:9" x14ac:dyDescent="0.25">
      <c r="I22447" s="227" t="str">
        <f>MID(excPisCofins[[#This Row],[CodBarras2]],2,50)</f>
        <v/>
      </c>
    </row>
    <row r="22448" spans="9:9" x14ac:dyDescent="0.25">
      <c r="I22448" s="227" t="str">
        <f>MID(excPisCofins[[#This Row],[CodBarras2]],2,50)</f>
        <v/>
      </c>
    </row>
    <row r="22449" spans="9:9" x14ac:dyDescent="0.25">
      <c r="I22449" s="227" t="str">
        <f>MID(excPisCofins[[#This Row],[CodBarras2]],2,50)</f>
        <v/>
      </c>
    </row>
    <row r="22450" spans="9:9" x14ac:dyDescent="0.25">
      <c r="I22450" s="227" t="str">
        <f>MID(excPisCofins[[#This Row],[CodBarras2]],2,50)</f>
        <v/>
      </c>
    </row>
    <row r="22451" spans="9:9" x14ac:dyDescent="0.25">
      <c r="I22451" s="227" t="str">
        <f>MID(excPisCofins[[#This Row],[CodBarras2]],2,50)</f>
        <v/>
      </c>
    </row>
    <row r="22452" spans="9:9" x14ac:dyDescent="0.25">
      <c r="I22452" s="227" t="str">
        <f>MID(excPisCofins[[#This Row],[CodBarras2]],2,50)</f>
        <v/>
      </c>
    </row>
    <row r="22453" spans="9:9" x14ac:dyDescent="0.25">
      <c r="I22453" s="227" t="str">
        <f>MID(excPisCofins[[#This Row],[CodBarras2]],2,50)</f>
        <v/>
      </c>
    </row>
    <row r="22454" spans="9:9" x14ac:dyDescent="0.25">
      <c r="I22454" s="227" t="str">
        <f>MID(excPisCofins[[#This Row],[CodBarras2]],2,50)</f>
        <v/>
      </c>
    </row>
    <row r="22455" spans="9:9" x14ac:dyDescent="0.25">
      <c r="I22455" s="227" t="str">
        <f>MID(excPisCofins[[#This Row],[CodBarras2]],2,50)</f>
        <v/>
      </c>
    </row>
    <row r="22456" spans="9:9" x14ac:dyDescent="0.25">
      <c r="I22456" s="227" t="str">
        <f>MID(excPisCofins[[#This Row],[CodBarras2]],2,50)</f>
        <v/>
      </c>
    </row>
    <row r="22457" spans="9:9" x14ac:dyDescent="0.25">
      <c r="I22457" s="227" t="str">
        <f>MID(excPisCofins[[#This Row],[CodBarras2]],2,50)</f>
        <v/>
      </c>
    </row>
    <row r="22458" spans="9:9" x14ac:dyDescent="0.25">
      <c r="I22458" s="227" t="str">
        <f>MID(excPisCofins[[#This Row],[CodBarras2]],2,50)</f>
        <v/>
      </c>
    </row>
    <row r="22459" spans="9:9" x14ac:dyDescent="0.25">
      <c r="I22459" s="227" t="str">
        <f>MID(excPisCofins[[#This Row],[CodBarras2]],2,50)</f>
        <v/>
      </c>
    </row>
    <row r="22460" spans="9:9" x14ac:dyDescent="0.25">
      <c r="I22460" s="227" t="str">
        <f>MID(excPisCofins[[#This Row],[CodBarras2]],2,50)</f>
        <v/>
      </c>
    </row>
    <row r="22461" spans="9:9" x14ac:dyDescent="0.25">
      <c r="I22461" s="227" t="str">
        <f>MID(excPisCofins[[#This Row],[CodBarras2]],2,50)</f>
        <v/>
      </c>
    </row>
    <row r="22462" spans="9:9" x14ac:dyDescent="0.25">
      <c r="I22462" s="227" t="str">
        <f>MID(excPisCofins[[#This Row],[CodBarras2]],2,50)</f>
        <v/>
      </c>
    </row>
    <row r="22463" spans="9:9" x14ac:dyDescent="0.25">
      <c r="I22463" s="227" t="str">
        <f>MID(excPisCofins[[#This Row],[CodBarras2]],2,50)</f>
        <v/>
      </c>
    </row>
    <row r="22464" spans="9:9" x14ac:dyDescent="0.25">
      <c r="I22464" s="227" t="str">
        <f>MID(excPisCofins[[#This Row],[CodBarras2]],2,50)</f>
        <v/>
      </c>
    </row>
    <row r="22465" spans="9:9" x14ac:dyDescent="0.25">
      <c r="I22465" s="227" t="str">
        <f>MID(excPisCofins[[#This Row],[CodBarras2]],2,50)</f>
        <v/>
      </c>
    </row>
    <row r="22466" spans="9:9" x14ac:dyDescent="0.25">
      <c r="I22466" s="227" t="str">
        <f>MID(excPisCofins[[#This Row],[CodBarras2]],2,50)</f>
        <v/>
      </c>
    </row>
    <row r="22467" spans="9:9" x14ac:dyDescent="0.25">
      <c r="I22467" s="227" t="str">
        <f>MID(excPisCofins[[#This Row],[CodBarras2]],2,50)</f>
        <v/>
      </c>
    </row>
    <row r="22468" spans="9:9" x14ac:dyDescent="0.25">
      <c r="I22468" s="227" t="str">
        <f>MID(excPisCofins[[#This Row],[CodBarras2]],2,50)</f>
        <v/>
      </c>
    </row>
    <row r="22469" spans="9:9" x14ac:dyDescent="0.25">
      <c r="I22469" s="227" t="str">
        <f>MID(excPisCofins[[#This Row],[CodBarras2]],2,50)</f>
        <v/>
      </c>
    </row>
    <row r="22470" spans="9:9" x14ac:dyDescent="0.25">
      <c r="I22470" s="227" t="str">
        <f>MID(excPisCofins[[#This Row],[CodBarras2]],2,50)</f>
        <v/>
      </c>
    </row>
    <row r="22471" spans="9:9" x14ac:dyDescent="0.25">
      <c r="I22471" s="227" t="str">
        <f>MID(excPisCofins[[#This Row],[CodBarras2]],2,50)</f>
        <v/>
      </c>
    </row>
    <row r="22472" spans="9:9" x14ac:dyDescent="0.25">
      <c r="I22472" s="227" t="str">
        <f>MID(excPisCofins[[#This Row],[CodBarras2]],2,50)</f>
        <v/>
      </c>
    </row>
    <row r="22473" spans="9:9" x14ac:dyDescent="0.25">
      <c r="I22473" s="227" t="str">
        <f>MID(excPisCofins[[#This Row],[CodBarras2]],2,50)</f>
        <v/>
      </c>
    </row>
    <row r="22474" spans="9:9" x14ac:dyDescent="0.25">
      <c r="I22474" s="227" t="str">
        <f>MID(excPisCofins[[#This Row],[CodBarras2]],2,50)</f>
        <v/>
      </c>
    </row>
    <row r="22475" spans="9:9" x14ac:dyDescent="0.25">
      <c r="I22475" s="227" t="str">
        <f>MID(excPisCofins[[#This Row],[CodBarras2]],2,50)</f>
        <v/>
      </c>
    </row>
    <row r="22476" spans="9:9" x14ac:dyDescent="0.25">
      <c r="I22476" s="227" t="str">
        <f>MID(excPisCofins[[#This Row],[CodBarras2]],2,50)</f>
        <v/>
      </c>
    </row>
    <row r="22477" spans="9:9" x14ac:dyDescent="0.25">
      <c r="I22477" s="227" t="str">
        <f>MID(excPisCofins[[#This Row],[CodBarras2]],2,50)</f>
        <v/>
      </c>
    </row>
    <row r="22478" spans="9:9" x14ac:dyDescent="0.25">
      <c r="I22478" s="227" t="str">
        <f>MID(excPisCofins[[#This Row],[CodBarras2]],2,50)</f>
        <v/>
      </c>
    </row>
    <row r="22479" spans="9:9" x14ac:dyDescent="0.25">
      <c r="I22479" s="227" t="str">
        <f>MID(excPisCofins[[#This Row],[CodBarras2]],2,50)</f>
        <v/>
      </c>
    </row>
    <row r="22480" spans="9:9" x14ac:dyDescent="0.25">
      <c r="I22480" s="227" t="str">
        <f>MID(excPisCofins[[#This Row],[CodBarras2]],2,50)</f>
        <v/>
      </c>
    </row>
    <row r="22481" spans="9:9" x14ac:dyDescent="0.25">
      <c r="I22481" s="227" t="str">
        <f>MID(excPisCofins[[#This Row],[CodBarras2]],2,50)</f>
        <v/>
      </c>
    </row>
    <row r="22482" spans="9:9" x14ac:dyDescent="0.25">
      <c r="I22482" s="227" t="str">
        <f>MID(excPisCofins[[#This Row],[CodBarras2]],2,50)</f>
        <v/>
      </c>
    </row>
    <row r="22483" spans="9:9" x14ac:dyDescent="0.25">
      <c r="I22483" s="227" t="str">
        <f>MID(excPisCofins[[#This Row],[CodBarras2]],2,50)</f>
        <v/>
      </c>
    </row>
    <row r="22484" spans="9:9" x14ac:dyDescent="0.25">
      <c r="I22484" s="227" t="str">
        <f>MID(excPisCofins[[#This Row],[CodBarras2]],2,50)</f>
        <v/>
      </c>
    </row>
    <row r="22485" spans="9:9" x14ac:dyDescent="0.25">
      <c r="I22485" s="227" t="str">
        <f>MID(excPisCofins[[#This Row],[CodBarras2]],2,50)</f>
        <v/>
      </c>
    </row>
    <row r="22486" spans="9:9" x14ac:dyDescent="0.25">
      <c r="I22486" s="227" t="str">
        <f>MID(excPisCofins[[#This Row],[CodBarras2]],2,50)</f>
        <v/>
      </c>
    </row>
    <row r="22487" spans="9:9" x14ac:dyDescent="0.25">
      <c r="I22487" s="227" t="str">
        <f>MID(excPisCofins[[#This Row],[CodBarras2]],2,50)</f>
        <v/>
      </c>
    </row>
    <row r="22488" spans="9:9" x14ac:dyDescent="0.25">
      <c r="I22488" s="227" t="str">
        <f>MID(excPisCofins[[#This Row],[CodBarras2]],2,50)</f>
        <v/>
      </c>
    </row>
    <row r="22489" spans="9:9" x14ac:dyDescent="0.25">
      <c r="I22489" s="227" t="str">
        <f>MID(excPisCofins[[#This Row],[CodBarras2]],2,50)</f>
        <v/>
      </c>
    </row>
    <row r="22490" spans="9:9" x14ac:dyDescent="0.25">
      <c r="I22490" s="227" t="str">
        <f>MID(excPisCofins[[#This Row],[CodBarras2]],2,50)</f>
        <v/>
      </c>
    </row>
    <row r="22491" spans="9:9" x14ac:dyDescent="0.25">
      <c r="I22491" s="227" t="str">
        <f>MID(excPisCofins[[#This Row],[CodBarras2]],2,50)</f>
        <v/>
      </c>
    </row>
    <row r="22492" spans="9:9" x14ac:dyDescent="0.25">
      <c r="I22492" s="227" t="str">
        <f>MID(excPisCofins[[#This Row],[CodBarras2]],2,50)</f>
        <v/>
      </c>
    </row>
    <row r="22493" spans="9:9" x14ac:dyDescent="0.25">
      <c r="I22493" s="227" t="str">
        <f>MID(excPisCofins[[#This Row],[CodBarras2]],2,50)</f>
        <v/>
      </c>
    </row>
    <row r="22494" spans="9:9" x14ac:dyDescent="0.25">
      <c r="I22494" s="227" t="str">
        <f>MID(excPisCofins[[#This Row],[CodBarras2]],2,50)</f>
        <v/>
      </c>
    </row>
    <row r="22495" spans="9:9" x14ac:dyDescent="0.25">
      <c r="I22495" s="227" t="str">
        <f>MID(excPisCofins[[#This Row],[CodBarras2]],2,50)</f>
        <v/>
      </c>
    </row>
    <row r="22496" spans="9:9" x14ac:dyDescent="0.25">
      <c r="I22496" s="227" t="str">
        <f>MID(excPisCofins[[#This Row],[CodBarras2]],2,50)</f>
        <v/>
      </c>
    </row>
    <row r="22497" spans="9:9" x14ac:dyDescent="0.25">
      <c r="I22497" s="227" t="str">
        <f>MID(excPisCofins[[#This Row],[CodBarras2]],2,50)</f>
        <v/>
      </c>
    </row>
    <row r="22498" spans="9:9" x14ac:dyDescent="0.25">
      <c r="I22498" s="227" t="str">
        <f>MID(excPisCofins[[#This Row],[CodBarras2]],2,50)</f>
        <v/>
      </c>
    </row>
    <row r="22499" spans="9:9" x14ac:dyDescent="0.25">
      <c r="I22499" s="227" t="str">
        <f>MID(excPisCofins[[#This Row],[CodBarras2]],2,50)</f>
        <v/>
      </c>
    </row>
    <row r="22500" spans="9:9" x14ac:dyDescent="0.25">
      <c r="I22500" s="227" t="str">
        <f>MID(excPisCofins[[#This Row],[CodBarras2]],2,50)</f>
        <v/>
      </c>
    </row>
    <row r="22501" spans="9:9" x14ac:dyDescent="0.25">
      <c r="I22501" s="227" t="str">
        <f>MID(excPisCofins[[#This Row],[CodBarras2]],2,50)</f>
        <v/>
      </c>
    </row>
    <row r="22502" spans="9:9" x14ac:dyDescent="0.25">
      <c r="I22502" s="227" t="str">
        <f>MID(excPisCofins[[#This Row],[CodBarras2]],2,50)</f>
        <v/>
      </c>
    </row>
    <row r="22503" spans="9:9" x14ac:dyDescent="0.25">
      <c r="I22503" s="227" t="str">
        <f>MID(excPisCofins[[#This Row],[CodBarras2]],2,50)</f>
        <v/>
      </c>
    </row>
    <row r="22504" spans="9:9" x14ac:dyDescent="0.25">
      <c r="I22504" s="227" t="str">
        <f>MID(excPisCofins[[#This Row],[CodBarras2]],2,50)</f>
        <v/>
      </c>
    </row>
    <row r="22505" spans="9:9" x14ac:dyDescent="0.25">
      <c r="I22505" s="227" t="str">
        <f>MID(excPisCofins[[#This Row],[CodBarras2]],2,50)</f>
        <v/>
      </c>
    </row>
    <row r="22506" spans="9:9" x14ac:dyDescent="0.25">
      <c r="I22506" s="227" t="str">
        <f>MID(excPisCofins[[#This Row],[CodBarras2]],2,50)</f>
        <v/>
      </c>
    </row>
    <row r="22507" spans="9:9" x14ac:dyDescent="0.25">
      <c r="I22507" s="227" t="str">
        <f>MID(excPisCofins[[#This Row],[CodBarras2]],2,50)</f>
        <v/>
      </c>
    </row>
    <row r="22508" spans="9:9" x14ac:dyDescent="0.25">
      <c r="I22508" s="227" t="str">
        <f>MID(excPisCofins[[#This Row],[CodBarras2]],2,50)</f>
        <v/>
      </c>
    </row>
    <row r="22509" spans="9:9" x14ac:dyDescent="0.25">
      <c r="I22509" s="227" t="str">
        <f>MID(excPisCofins[[#This Row],[CodBarras2]],2,50)</f>
        <v/>
      </c>
    </row>
    <row r="22510" spans="9:9" x14ac:dyDescent="0.25">
      <c r="I22510" s="227" t="str">
        <f>MID(excPisCofins[[#This Row],[CodBarras2]],2,50)</f>
        <v/>
      </c>
    </row>
    <row r="22511" spans="9:9" x14ac:dyDescent="0.25">
      <c r="I22511" s="227" t="str">
        <f>MID(excPisCofins[[#This Row],[CodBarras2]],2,50)</f>
        <v/>
      </c>
    </row>
    <row r="22512" spans="9:9" x14ac:dyDescent="0.25">
      <c r="I22512" s="227" t="str">
        <f>MID(excPisCofins[[#This Row],[CodBarras2]],2,50)</f>
        <v/>
      </c>
    </row>
    <row r="22513" spans="9:9" x14ac:dyDescent="0.25">
      <c r="I22513" s="227" t="str">
        <f>MID(excPisCofins[[#This Row],[CodBarras2]],2,50)</f>
        <v/>
      </c>
    </row>
    <row r="22514" spans="9:9" x14ac:dyDescent="0.25">
      <c r="I22514" s="227" t="str">
        <f>MID(excPisCofins[[#This Row],[CodBarras2]],2,50)</f>
        <v/>
      </c>
    </row>
    <row r="22515" spans="9:9" x14ac:dyDescent="0.25">
      <c r="I22515" s="227" t="str">
        <f>MID(excPisCofins[[#This Row],[CodBarras2]],2,50)</f>
        <v/>
      </c>
    </row>
    <row r="22516" spans="9:9" x14ac:dyDescent="0.25">
      <c r="I22516" s="227" t="str">
        <f>MID(excPisCofins[[#This Row],[CodBarras2]],2,50)</f>
        <v/>
      </c>
    </row>
    <row r="22517" spans="9:9" x14ac:dyDescent="0.25">
      <c r="I22517" s="227" t="str">
        <f>MID(excPisCofins[[#This Row],[CodBarras2]],2,50)</f>
        <v/>
      </c>
    </row>
    <row r="22518" spans="9:9" x14ac:dyDescent="0.25">
      <c r="I22518" s="227" t="str">
        <f>MID(excPisCofins[[#This Row],[CodBarras2]],2,50)</f>
        <v/>
      </c>
    </row>
    <row r="22519" spans="9:9" x14ac:dyDescent="0.25">
      <c r="I22519" s="227" t="str">
        <f>MID(excPisCofins[[#This Row],[CodBarras2]],2,50)</f>
        <v/>
      </c>
    </row>
    <row r="22520" spans="9:9" x14ac:dyDescent="0.25">
      <c r="I22520" s="227" t="str">
        <f>MID(excPisCofins[[#This Row],[CodBarras2]],2,50)</f>
        <v/>
      </c>
    </row>
    <row r="22521" spans="9:9" x14ac:dyDescent="0.25">
      <c r="I22521" s="227" t="str">
        <f>MID(excPisCofins[[#This Row],[CodBarras2]],2,50)</f>
        <v/>
      </c>
    </row>
    <row r="22522" spans="9:9" x14ac:dyDescent="0.25">
      <c r="I22522" s="227" t="str">
        <f>MID(excPisCofins[[#This Row],[CodBarras2]],2,50)</f>
        <v/>
      </c>
    </row>
    <row r="22523" spans="9:9" x14ac:dyDescent="0.25">
      <c r="I22523" s="227" t="str">
        <f>MID(excPisCofins[[#This Row],[CodBarras2]],2,50)</f>
        <v/>
      </c>
    </row>
    <row r="22524" spans="9:9" x14ac:dyDescent="0.25">
      <c r="I22524" s="227" t="str">
        <f>MID(excPisCofins[[#This Row],[CodBarras2]],2,50)</f>
        <v/>
      </c>
    </row>
    <row r="22525" spans="9:9" x14ac:dyDescent="0.25">
      <c r="I22525" s="227" t="str">
        <f>MID(excPisCofins[[#This Row],[CodBarras2]],2,50)</f>
        <v/>
      </c>
    </row>
    <row r="22526" spans="9:9" x14ac:dyDescent="0.25">
      <c r="I22526" s="227" t="str">
        <f>MID(excPisCofins[[#This Row],[CodBarras2]],2,50)</f>
        <v/>
      </c>
    </row>
    <row r="22527" spans="9:9" x14ac:dyDescent="0.25">
      <c r="I22527" s="227" t="str">
        <f>MID(excPisCofins[[#This Row],[CodBarras2]],2,50)</f>
        <v/>
      </c>
    </row>
    <row r="22528" spans="9:9" x14ac:dyDescent="0.25">
      <c r="I22528" s="227" t="str">
        <f>MID(excPisCofins[[#This Row],[CodBarras2]],2,50)</f>
        <v/>
      </c>
    </row>
    <row r="22529" spans="9:9" x14ac:dyDescent="0.25">
      <c r="I22529" s="227" t="str">
        <f>MID(excPisCofins[[#This Row],[CodBarras2]],2,50)</f>
        <v/>
      </c>
    </row>
    <row r="22530" spans="9:9" x14ac:dyDescent="0.25">
      <c r="I22530" s="227" t="str">
        <f>MID(excPisCofins[[#This Row],[CodBarras2]],2,50)</f>
        <v/>
      </c>
    </row>
    <row r="22531" spans="9:9" x14ac:dyDescent="0.25">
      <c r="I22531" s="227" t="str">
        <f>MID(excPisCofins[[#This Row],[CodBarras2]],2,50)</f>
        <v/>
      </c>
    </row>
    <row r="22532" spans="9:9" x14ac:dyDescent="0.25">
      <c r="I22532" s="227" t="str">
        <f>MID(excPisCofins[[#This Row],[CodBarras2]],2,50)</f>
        <v/>
      </c>
    </row>
    <row r="22533" spans="9:9" x14ac:dyDescent="0.25">
      <c r="I22533" s="227" t="str">
        <f>MID(excPisCofins[[#This Row],[CodBarras2]],2,50)</f>
        <v/>
      </c>
    </row>
    <row r="22534" spans="9:9" x14ac:dyDescent="0.25">
      <c r="I22534" s="227" t="str">
        <f>MID(excPisCofins[[#This Row],[CodBarras2]],2,50)</f>
        <v/>
      </c>
    </row>
    <row r="22535" spans="9:9" x14ac:dyDescent="0.25">
      <c r="I22535" s="227" t="str">
        <f>MID(excPisCofins[[#This Row],[CodBarras2]],2,50)</f>
        <v/>
      </c>
    </row>
    <row r="22536" spans="9:9" x14ac:dyDescent="0.25">
      <c r="I22536" s="227" t="str">
        <f>MID(excPisCofins[[#This Row],[CodBarras2]],2,50)</f>
        <v/>
      </c>
    </row>
    <row r="22537" spans="9:9" x14ac:dyDescent="0.25">
      <c r="I22537" s="227" t="str">
        <f>MID(excPisCofins[[#This Row],[CodBarras2]],2,50)</f>
        <v/>
      </c>
    </row>
    <row r="22538" spans="9:9" x14ac:dyDescent="0.25">
      <c r="I22538" s="227" t="str">
        <f>MID(excPisCofins[[#This Row],[CodBarras2]],2,50)</f>
        <v/>
      </c>
    </row>
    <row r="22539" spans="9:9" x14ac:dyDescent="0.25">
      <c r="I22539" s="227" t="str">
        <f>MID(excPisCofins[[#This Row],[CodBarras2]],2,50)</f>
        <v/>
      </c>
    </row>
    <row r="22540" spans="9:9" x14ac:dyDescent="0.25">
      <c r="I22540" s="227" t="str">
        <f>MID(excPisCofins[[#This Row],[CodBarras2]],2,50)</f>
        <v/>
      </c>
    </row>
    <row r="22541" spans="9:9" x14ac:dyDescent="0.25">
      <c r="I22541" s="227" t="str">
        <f>MID(excPisCofins[[#This Row],[CodBarras2]],2,50)</f>
        <v/>
      </c>
    </row>
    <row r="22542" spans="9:9" x14ac:dyDescent="0.25">
      <c r="I22542" s="227" t="str">
        <f>MID(excPisCofins[[#This Row],[CodBarras2]],2,50)</f>
        <v/>
      </c>
    </row>
    <row r="22543" spans="9:9" x14ac:dyDescent="0.25">
      <c r="I22543" s="227" t="str">
        <f>MID(excPisCofins[[#This Row],[CodBarras2]],2,50)</f>
        <v/>
      </c>
    </row>
    <row r="22544" spans="9:9" x14ac:dyDescent="0.25">
      <c r="I22544" s="227" t="str">
        <f>MID(excPisCofins[[#This Row],[CodBarras2]],2,50)</f>
        <v/>
      </c>
    </row>
    <row r="22545" spans="9:9" x14ac:dyDescent="0.25">
      <c r="I22545" s="227" t="str">
        <f>MID(excPisCofins[[#This Row],[CodBarras2]],2,50)</f>
        <v/>
      </c>
    </row>
    <row r="22546" spans="9:9" x14ac:dyDescent="0.25">
      <c r="I22546" s="227" t="str">
        <f>MID(excPisCofins[[#This Row],[CodBarras2]],2,50)</f>
        <v/>
      </c>
    </row>
    <row r="22547" spans="9:9" x14ac:dyDescent="0.25">
      <c r="I22547" s="227" t="str">
        <f>MID(excPisCofins[[#This Row],[CodBarras2]],2,50)</f>
        <v/>
      </c>
    </row>
    <row r="22548" spans="9:9" x14ac:dyDescent="0.25">
      <c r="I22548" s="227" t="str">
        <f>MID(excPisCofins[[#This Row],[CodBarras2]],2,50)</f>
        <v/>
      </c>
    </row>
    <row r="22549" spans="9:9" x14ac:dyDescent="0.25">
      <c r="I22549" s="227" t="str">
        <f>MID(excPisCofins[[#This Row],[CodBarras2]],2,50)</f>
        <v/>
      </c>
    </row>
    <row r="22550" spans="9:9" x14ac:dyDescent="0.25">
      <c r="I22550" s="227" t="str">
        <f>MID(excPisCofins[[#This Row],[CodBarras2]],2,50)</f>
        <v/>
      </c>
    </row>
    <row r="22551" spans="9:9" x14ac:dyDescent="0.25">
      <c r="I22551" s="227" t="str">
        <f>MID(excPisCofins[[#This Row],[CodBarras2]],2,50)</f>
        <v/>
      </c>
    </row>
    <row r="22552" spans="9:9" x14ac:dyDescent="0.25">
      <c r="I22552" s="227" t="str">
        <f>MID(excPisCofins[[#This Row],[CodBarras2]],2,50)</f>
        <v/>
      </c>
    </row>
    <row r="22553" spans="9:9" x14ac:dyDescent="0.25">
      <c r="I22553" s="227" t="str">
        <f>MID(excPisCofins[[#This Row],[CodBarras2]],2,50)</f>
        <v/>
      </c>
    </row>
    <row r="22554" spans="9:9" x14ac:dyDescent="0.25">
      <c r="I22554" s="227" t="str">
        <f>MID(excPisCofins[[#This Row],[CodBarras2]],2,50)</f>
        <v/>
      </c>
    </row>
    <row r="22555" spans="9:9" x14ac:dyDescent="0.25">
      <c r="I22555" s="227" t="str">
        <f>MID(excPisCofins[[#This Row],[CodBarras2]],2,50)</f>
        <v/>
      </c>
    </row>
    <row r="22556" spans="9:9" x14ac:dyDescent="0.25">
      <c r="I22556" s="227" t="str">
        <f>MID(excPisCofins[[#This Row],[CodBarras2]],2,50)</f>
        <v/>
      </c>
    </row>
    <row r="22557" spans="9:9" x14ac:dyDescent="0.25">
      <c r="I22557" s="227" t="str">
        <f>MID(excPisCofins[[#This Row],[CodBarras2]],2,50)</f>
        <v/>
      </c>
    </row>
    <row r="22558" spans="9:9" x14ac:dyDescent="0.25">
      <c r="I22558" s="227" t="str">
        <f>MID(excPisCofins[[#This Row],[CodBarras2]],2,50)</f>
        <v/>
      </c>
    </row>
    <row r="22559" spans="9:9" x14ac:dyDescent="0.25">
      <c r="I22559" s="227" t="str">
        <f>MID(excPisCofins[[#This Row],[CodBarras2]],2,50)</f>
        <v/>
      </c>
    </row>
    <row r="22560" spans="9:9" x14ac:dyDescent="0.25">
      <c r="I22560" s="227" t="str">
        <f>MID(excPisCofins[[#This Row],[CodBarras2]],2,50)</f>
        <v/>
      </c>
    </row>
    <row r="22561" spans="9:9" x14ac:dyDescent="0.25">
      <c r="I22561" s="227" t="str">
        <f>MID(excPisCofins[[#This Row],[CodBarras2]],2,50)</f>
        <v/>
      </c>
    </row>
    <row r="22562" spans="9:9" x14ac:dyDescent="0.25">
      <c r="I22562" s="227" t="str">
        <f>MID(excPisCofins[[#This Row],[CodBarras2]],2,50)</f>
        <v/>
      </c>
    </row>
    <row r="22563" spans="9:9" x14ac:dyDescent="0.25">
      <c r="I22563" s="227" t="str">
        <f>MID(excPisCofins[[#This Row],[CodBarras2]],2,50)</f>
        <v/>
      </c>
    </row>
    <row r="22564" spans="9:9" x14ac:dyDescent="0.25">
      <c r="I22564" s="227" t="str">
        <f>MID(excPisCofins[[#This Row],[CodBarras2]],2,50)</f>
        <v/>
      </c>
    </row>
    <row r="22565" spans="9:9" x14ac:dyDescent="0.25">
      <c r="I22565" s="227" t="str">
        <f>MID(excPisCofins[[#This Row],[CodBarras2]],2,50)</f>
        <v/>
      </c>
    </row>
    <row r="22566" spans="9:9" x14ac:dyDescent="0.25">
      <c r="I22566" s="227" t="str">
        <f>MID(excPisCofins[[#This Row],[CodBarras2]],2,50)</f>
        <v/>
      </c>
    </row>
    <row r="22567" spans="9:9" x14ac:dyDescent="0.25">
      <c r="I22567" s="227" t="str">
        <f>MID(excPisCofins[[#This Row],[CodBarras2]],2,50)</f>
        <v/>
      </c>
    </row>
    <row r="22568" spans="9:9" x14ac:dyDescent="0.25">
      <c r="I22568" s="227" t="str">
        <f>MID(excPisCofins[[#This Row],[CodBarras2]],2,50)</f>
        <v/>
      </c>
    </row>
    <row r="22569" spans="9:9" x14ac:dyDescent="0.25">
      <c r="I22569" s="227" t="str">
        <f>MID(excPisCofins[[#This Row],[CodBarras2]],2,50)</f>
        <v/>
      </c>
    </row>
    <row r="22570" spans="9:9" x14ac:dyDescent="0.25">
      <c r="I22570" s="227" t="str">
        <f>MID(excPisCofins[[#This Row],[CodBarras2]],2,50)</f>
        <v/>
      </c>
    </row>
    <row r="22571" spans="9:9" x14ac:dyDescent="0.25">
      <c r="I22571" s="227" t="str">
        <f>MID(excPisCofins[[#This Row],[CodBarras2]],2,50)</f>
        <v/>
      </c>
    </row>
    <row r="22572" spans="9:9" x14ac:dyDescent="0.25">
      <c r="I22572" s="227" t="str">
        <f>MID(excPisCofins[[#This Row],[CodBarras2]],2,50)</f>
        <v/>
      </c>
    </row>
    <row r="22573" spans="9:9" x14ac:dyDescent="0.25">
      <c r="I22573" s="227" t="str">
        <f>MID(excPisCofins[[#This Row],[CodBarras2]],2,50)</f>
        <v/>
      </c>
    </row>
    <row r="22574" spans="9:9" x14ac:dyDescent="0.25">
      <c r="I22574" s="227" t="str">
        <f>MID(excPisCofins[[#This Row],[CodBarras2]],2,50)</f>
        <v/>
      </c>
    </row>
    <row r="22575" spans="9:9" x14ac:dyDescent="0.25">
      <c r="I22575" s="227" t="str">
        <f>MID(excPisCofins[[#This Row],[CodBarras2]],2,50)</f>
        <v/>
      </c>
    </row>
    <row r="22576" spans="9:9" x14ac:dyDescent="0.25">
      <c r="I22576" s="227" t="str">
        <f>MID(excPisCofins[[#This Row],[CodBarras2]],2,50)</f>
        <v/>
      </c>
    </row>
    <row r="22577" spans="9:9" x14ac:dyDescent="0.25">
      <c r="I22577" s="227" t="str">
        <f>MID(excPisCofins[[#This Row],[CodBarras2]],2,50)</f>
        <v/>
      </c>
    </row>
    <row r="22578" spans="9:9" x14ac:dyDescent="0.25">
      <c r="I22578" s="227" t="str">
        <f>MID(excPisCofins[[#This Row],[CodBarras2]],2,50)</f>
        <v/>
      </c>
    </row>
    <row r="22579" spans="9:9" x14ac:dyDescent="0.25">
      <c r="I22579" s="227" t="str">
        <f>MID(excPisCofins[[#This Row],[CodBarras2]],2,50)</f>
        <v/>
      </c>
    </row>
    <row r="22580" spans="9:9" x14ac:dyDescent="0.25">
      <c r="I22580" s="227" t="str">
        <f>MID(excPisCofins[[#This Row],[CodBarras2]],2,50)</f>
        <v/>
      </c>
    </row>
    <row r="22581" spans="9:9" x14ac:dyDescent="0.25">
      <c r="I22581" s="227" t="str">
        <f>MID(excPisCofins[[#This Row],[CodBarras2]],2,50)</f>
        <v/>
      </c>
    </row>
    <row r="22582" spans="9:9" x14ac:dyDescent="0.25">
      <c r="I22582" s="227" t="str">
        <f>MID(excPisCofins[[#This Row],[CodBarras2]],2,50)</f>
        <v/>
      </c>
    </row>
    <row r="22583" spans="9:9" x14ac:dyDescent="0.25">
      <c r="I22583" s="227" t="str">
        <f>MID(excPisCofins[[#This Row],[CodBarras2]],2,50)</f>
        <v/>
      </c>
    </row>
    <row r="22584" spans="9:9" x14ac:dyDescent="0.25">
      <c r="I22584" s="227" t="str">
        <f>MID(excPisCofins[[#This Row],[CodBarras2]],2,50)</f>
        <v/>
      </c>
    </row>
    <row r="22585" spans="9:9" x14ac:dyDescent="0.25">
      <c r="I22585" s="227" t="str">
        <f>MID(excPisCofins[[#This Row],[CodBarras2]],2,50)</f>
        <v/>
      </c>
    </row>
    <row r="22586" spans="9:9" x14ac:dyDescent="0.25">
      <c r="I22586" s="227" t="str">
        <f>MID(excPisCofins[[#This Row],[CodBarras2]],2,50)</f>
        <v/>
      </c>
    </row>
    <row r="22587" spans="9:9" x14ac:dyDescent="0.25">
      <c r="I22587" s="227" t="str">
        <f>MID(excPisCofins[[#This Row],[CodBarras2]],2,50)</f>
        <v/>
      </c>
    </row>
    <row r="22588" spans="9:9" x14ac:dyDescent="0.25">
      <c r="I22588" s="227" t="str">
        <f>MID(excPisCofins[[#This Row],[CodBarras2]],2,50)</f>
        <v/>
      </c>
    </row>
    <row r="22589" spans="9:9" x14ac:dyDescent="0.25">
      <c r="I22589" s="227" t="str">
        <f>MID(excPisCofins[[#This Row],[CodBarras2]],2,50)</f>
        <v/>
      </c>
    </row>
    <row r="22590" spans="9:9" x14ac:dyDescent="0.25">
      <c r="I22590" s="227" t="str">
        <f>MID(excPisCofins[[#This Row],[CodBarras2]],2,50)</f>
        <v/>
      </c>
    </row>
    <row r="22591" spans="9:9" x14ac:dyDescent="0.25">
      <c r="I22591" s="227" t="str">
        <f>MID(excPisCofins[[#This Row],[CodBarras2]],2,50)</f>
        <v/>
      </c>
    </row>
    <row r="22592" spans="9:9" x14ac:dyDescent="0.25">
      <c r="I22592" s="227" t="str">
        <f>MID(excPisCofins[[#This Row],[CodBarras2]],2,50)</f>
        <v/>
      </c>
    </row>
    <row r="22593" spans="9:9" x14ac:dyDescent="0.25">
      <c r="I22593" s="227" t="str">
        <f>MID(excPisCofins[[#This Row],[CodBarras2]],2,50)</f>
        <v/>
      </c>
    </row>
    <row r="22594" spans="9:9" x14ac:dyDescent="0.25">
      <c r="I22594" s="227" t="str">
        <f>MID(excPisCofins[[#This Row],[CodBarras2]],2,50)</f>
        <v/>
      </c>
    </row>
    <row r="22595" spans="9:9" x14ac:dyDescent="0.25">
      <c r="I22595" s="227" t="str">
        <f>MID(excPisCofins[[#This Row],[CodBarras2]],2,50)</f>
        <v/>
      </c>
    </row>
    <row r="22596" spans="9:9" x14ac:dyDescent="0.25">
      <c r="I22596" s="227" t="str">
        <f>MID(excPisCofins[[#This Row],[CodBarras2]],2,50)</f>
        <v/>
      </c>
    </row>
    <row r="22597" spans="9:9" x14ac:dyDescent="0.25">
      <c r="I22597" s="227" t="str">
        <f>MID(excPisCofins[[#This Row],[CodBarras2]],2,50)</f>
        <v/>
      </c>
    </row>
    <row r="22598" spans="9:9" x14ac:dyDescent="0.25">
      <c r="I22598" s="227" t="str">
        <f>MID(excPisCofins[[#This Row],[CodBarras2]],2,50)</f>
        <v/>
      </c>
    </row>
    <row r="22599" spans="9:9" x14ac:dyDescent="0.25">
      <c r="I22599" s="227" t="str">
        <f>MID(excPisCofins[[#This Row],[CodBarras2]],2,50)</f>
        <v/>
      </c>
    </row>
    <row r="22600" spans="9:9" x14ac:dyDescent="0.25">
      <c r="I22600" s="227" t="str">
        <f>MID(excPisCofins[[#This Row],[CodBarras2]],2,50)</f>
        <v/>
      </c>
    </row>
    <row r="22601" spans="9:9" x14ac:dyDescent="0.25">
      <c r="I22601" s="227" t="str">
        <f>MID(excPisCofins[[#This Row],[CodBarras2]],2,50)</f>
        <v/>
      </c>
    </row>
    <row r="22602" spans="9:9" x14ac:dyDescent="0.25">
      <c r="I22602" s="227" t="str">
        <f>MID(excPisCofins[[#This Row],[CodBarras2]],2,50)</f>
        <v/>
      </c>
    </row>
    <row r="22603" spans="9:9" x14ac:dyDescent="0.25">
      <c r="I22603" s="227" t="str">
        <f>MID(excPisCofins[[#This Row],[CodBarras2]],2,50)</f>
        <v/>
      </c>
    </row>
    <row r="22604" spans="9:9" x14ac:dyDescent="0.25">
      <c r="I22604" s="227" t="str">
        <f>MID(excPisCofins[[#This Row],[CodBarras2]],2,50)</f>
        <v/>
      </c>
    </row>
    <row r="22605" spans="9:9" x14ac:dyDescent="0.25">
      <c r="I22605" s="227" t="str">
        <f>MID(excPisCofins[[#This Row],[CodBarras2]],2,50)</f>
        <v/>
      </c>
    </row>
    <row r="22606" spans="9:9" x14ac:dyDescent="0.25">
      <c r="I22606" s="227" t="str">
        <f>MID(excPisCofins[[#This Row],[CodBarras2]],2,50)</f>
        <v/>
      </c>
    </row>
    <row r="22607" spans="9:9" x14ac:dyDescent="0.25">
      <c r="I22607" s="227" t="str">
        <f>MID(excPisCofins[[#This Row],[CodBarras2]],2,50)</f>
        <v/>
      </c>
    </row>
    <row r="22608" spans="9:9" x14ac:dyDescent="0.25">
      <c r="I22608" s="227" t="str">
        <f>MID(excPisCofins[[#This Row],[CodBarras2]],2,50)</f>
        <v/>
      </c>
    </row>
    <row r="22609" spans="9:9" x14ac:dyDescent="0.25">
      <c r="I22609" s="227" t="str">
        <f>MID(excPisCofins[[#This Row],[CodBarras2]],2,50)</f>
        <v/>
      </c>
    </row>
    <row r="22610" spans="9:9" x14ac:dyDescent="0.25">
      <c r="I22610" s="227" t="str">
        <f>MID(excPisCofins[[#This Row],[CodBarras2]],2,50)</f>
        <v/>
      </c>
    </row>
    <row r="22611" spans="9:9" x14ac:dyDescent="0.25">
      <c r="I22611" s="227" t="str">
        <f>MID(excPisCofins[[#This Row],[CodBarras2]],2,50)</f>
        <v/>
      </c>
    </row>
    <row r="22612" spans="9:9" x14ac:dyDescent="0.25">
      <c r="I22612" s="227" t="str">
        <f>MID(excPisCofins[[#This Row],[CodBarras2]],2,50)</f>
        <v/>
      </c>
    </row>
    <row r="22613" spans="9:9" x14ac:dyDescent="0.25">
      <c r="I22613" s="227" t="str">
        <f>MID(excPisCofins[[#This Row],[CodBarras2]],2,50)</f>
        <v/>
      </c>
    </row>
    <row r="22614" spans="9:9" x14ac:dyDescent="0.25">
      <c r="I22614" s="227" t="str">
        <f>MID(excPisCofins[[#This Row],[CodBarras2]],2,50)</f>
        <v/>
      </c>
    </row>
    <row r="22615" spans="9:9" x14ac:dyDescent="0.25">
      <c r="I22615" s="227" t="str">
        <f>MID(excPisCofins[[#This Row],[CodBarras2]],2,50)</f>
        <v/>
      </c>
    </row>
    <row r="22616" spans="9:9" x14ac:dyDescent="0.25">
      <c r="I22616" s="227" t="str">
        <f>MID(excPisCofins[[#This Row],[CodBarras2]],2,50)</f>
        <v/>
      </c>
    </row>
    <row r="22617" spans="9:9" x14ac:dyDescent="0.25">
      <c r="I22617" s="227" t="str">
        <f>MID(excPisCofins[[#This Row],[CodBarras2]],2,50)</f>
        <v/>
      </c>
    </row>
    <row r="22618" spans="9:9" x14ac:dyDescent="0.25">
      <c r="I22618" s="227" t="str">
        <f>MID(excPisCofins[[#This Row],[CodBarras2]],2,50)</f>
        <v/>
      </c>
    </row>
    <row r="22619" spans="9:9" x14ac:dyDescent="0.25">
      <c r="I22619" s="227" t="str">
        <f>MID(excPisCofins[[#This Row],[CodBarras2]],2,50)</f>
        <v/>
      </c>
    </row>
    <row r="22620" spans="9:9" x14ac:dyDescent="0.25">
      <c r="I22620" s="227" t="str">
        <f>MID(excPisCofins[[#This Row],[CodBarras2]],2,50)</f>
        <v/>
      </c>
    </row>
    <row r="22621" spans="9:9" x14ac:dyDescent="0.25">
      <c r="I22621" s="227" t="str">
        <f>MID(excPisCofins[[#This Row],[CodBarras2]],2,50)</f>
        <v/>
      </c>
    </row>
    <row r="22622" spans="9:9" x14ac:dyDescent="0.25">
      <c r="I22622" s="227" t="str">
        <f>MID(excPisCofins[[#This Row],[CodBarras2]],2,50)</f>
        <v/>
      </c>
    </row>
    <row r="22623" spans="9:9" x14ac:dyDescent="0.25">
      <c r="I22623" s="227" t="str">
        <f>MID(excPisCofins[[#This Row],[CodBarras2]],2,50)</f>
        <v/>
      </c>
    </row>
    <row r="22624" spans="9:9" x14ac:dyDescent="0.25">
      <c r="I22624" s="227" t="str">
        <f>MID(excPisCofins[[#This Row],[CodBarras2]],2,50)</f>
        <v/>
      </c>
    </row>
    <row r="22625" spans="9:9" x14ac:dyDescent="0.25">
      <c r="I22625" s="227" t="str">
        <f>MID(excPisCofins[[#This Row],[CodBarras2]],2,50)</f>
        <v/>
      </c>
    </row>
    <row r="22626" spans="9:9" x14ac:dyDescent="0.25">
      <c r="I22626" s="227" t="str">
        <f>MID(excPisCofins[[#This Row],[CodBarras2]],2,50)</f>
        <v/>
      </c>
    </row>
    <row r="22627" spans="9:9" x14ac:dyDescent="0.25">
      <c r="I22627" s="227" t="str">
        <f>MID(excPisCofins[[#This Row],[CodBarras2]],2,50)</f>
        <v/>
      </c>
    </row>
    <row r="22628" spans="9:9" x14ac:dyDescent="0.25">
      <c r="I22628" s="227" t="str">
        <f>MID(excPisCofins[[#This Row],[CodBarras2]],2,50)</f>
        <v/>
      </c>
    </row>
    <row r="22629" spans="9:9" x14ac:dyDescent="0.25">
      <c r="I22629" s="227" t="str">
        <f>MID(excPisCofins[[#This Row],[CodBarras2]],2,50)</f>
        <v/>
      </c>
    </row>
    <row r="22630" spans="9:9" x14ac:dyDescent="0.25">
      <c r="I22630" s="227" t="str">
        <f>MID(excPisCofins[[#This Row],[CodBarras2]],2,50)</f>
        <v/>
      </c>
    </row>
    <row r="22631" spans="9:9" x14ac:dyDescent="0.25">
      <c r="I22631" s="227" t="str">
        <f>MID(excPisCofins[[#This Row],[CodBarras2]],2,50)</f>
        <v/>
      </c>
    </row>
    <row r="22632" spans="9:9" x14ac:dyDescent="0.25">
      <c r="I22632" s="227" t="str">
        <f>MID(excPisCofins[[#This Row],[CodBarras2]],2,50)</f>
        <v/>
      </c>
    </row>
    <row r="22633" spans="9:9" x14ac:dyDescent="0.25">
      <c r="I22633" s="227" t="str">
        <f>MID(excPisCofins[[#This Row],[CodBarras2]],2,50)</f>
        <v/>
      </c>
    </row>
    <row r="22634" spans="9:9" x14ac:dyDescent="0.25">
      <c r="I22634" s="227" t="str">
        <f>MID(excPisCofins[[#This Row],[CodBarras2]],2,50)</f>
        <v/>
      </c>
    </row>
    <row r="22635" spans="9:9" x14ac:dyDescent="0.25">
      <c r="I22635" s="227" t="str">
        <f>MID(excPisCofins[[#This Row],[CodBarras2]],2,50)</f>
        <v/>
      </c>
    </row>
    <row r="22636" spans="9:9" x14ac:dyDescent="0.25">
      <c r="I22636" s="227" t="str">
        <f>MID(excPisCofins[[#This Row],[CodBarras2]],2,50)</f>
        <v/>
      </c>
    </row>
    <row r="22637" spans="9:9" x14ac:dyDescent="0.25">
      <c r="I22637" s="227" t="str">
        <f>MID(excPisCofins[[#This Row],[CodBarras2]],2,50)</f>
        <v/>
      </c>
    </row>
    <row r="22638" spans="9:9" x14ac:dyDescent="0.25">
      <c r="I22638" s="227" t="str">
        <f>MID(excPisCofins[[#This Row],[CodBarras2]],2,50)</f>
        <v/>
      </c>
    </row>
    <row r="22639" spans="9:9" x14ac:dyDescent="0.25">
      <c r="I22639" s="227" t="str">
        <f>MID(excPisCofins[[#This Row],[CodBarras2]],2,50)</f>
        <v/>
      </c>
    </row>
    <row r="22640" spans="9:9" x14ac:dyDescent="0.25">
      <c r="I22640" s="227" t="str">
        <f>MID(excPisCofins[[#This Row],[CodBarras2]],2,50)</f>
        <v/>
      </c>
    </row>
    <row r="22641" spans="9:9" x14ac:dyDescent="0.25">
      <c r="I22641" s="227" t="str">
        <f>MID(excPisCofins[[#This Row],[CodBarras2]],2,50)</f>
        <v/>
      </c>
    </row>
    <row r="22642" spans="9:9" x14ac:dyDescent="0.25">
      <c r="I22642" s="227" t="str">
        <f>MID(excPisCofins[[#This Row],[CodBarras2]],2,50)</f>
        <v/>
      </c>
    </row>
    <row r="22643" spans="9:9" x14ac:dyDescent="0.25">
      <c r="I22643" s="227" t="str">
        <f>MID(excPisCofins[[#This Row],[CodBarras2]],2,50)</f>
        <v/>
      </c>
    </row>
    <row r="22644" spans="9:9" x14ac:dyDescent="0.25">
      <c r="I22644" s="227" t="str">
        <f>MID(excPisCofins[[#This Row],[CodBarras2]],2,50)</f>
        <v/>
      </c>
    </row>
    <row r="22645" spans="9:9" x14ac:dyDescent="0.25">
      <c r="I22645" s="227" t="str">
        <f>MID(excPisCofins[[#This Row],[CodBarras2]],2,50)</f>
        <v/>
      </c>
    </row>
    <row r="22646" spans="9:9" x14ac:dyDescent="0.25">
      <c r="I22646" s="227" t="str">
        <f>MID(excPisCofins[[#This Row],[CodBarras2]],2,50)</f>
        <v/>
      </c>
    </row>
    <row r="22647" spans="9:9" x14ac:dyDescent="0.25">
      <c r="I22647" s="227" t="str">
        <f>MID(excPisCofins[[#This Row],[CodBarras2]],2,50)</f>
        <v/>
      </c>
    </row>
    <row r="22648" spans="9:9" x14ac:dyDescent="0.25">
      <c r="I22648" s="227" t="str">
        <f>MID(excPisCofins[[#This Row],[CodBarras2]],2,50)</f>
        <v/>
      </c>
    </row>
    <row r="22649" spans="9:9" x14ac:dyDescent="0.25">
      <c r="I22649" s="227" t="str">
        <f>MID(excPisCofins[[#This Row],[CodBarras2]],2,50)</f>
        <v/>
      </c>
    </row>
    <row r="22650" spans="9:9" x14ac:dyDescent="0.25">
      <c r="I22650" s="227" t="str">
        <f>MID(excPisCofins[[#This Row],[CodBarras2]],2,50)</f>
        <v/>
      </c>
    </row>
    <row r="22651" spans="9:9" x14ac:dyDescent="0.25">
      <c r="I22651" s="227" t="str">
        <f>MID(excPisCofins[[#This Row],[CodBarras2]],2,50)</f>
        <v/>
      </c>
    </row>
    <row r="22652" spans="9:9" x14ac:dyDescent="0.25">
      <c r="I22652" s="227" t="str">
        <f>MID(excPisCofins[[#This Row],[CodBarras2]],2,50)</f>
        <v/>
      </c>
    </row>
    <row r="22653" spans="9:9" x14ac:dyDescent="0.25">
      <c r="I22653" s="227" t="str">
        <f>MID(excPisCofins[[#This Row],[CodBarras2]],2,50)</f>
        <v/>
      </c>
    </row>
    <row r="22654" spans="9:9" x14ac:dyDescent="0.25">
      <c r="I22654" s="227" t="str">
        <f>MID(excPisCofins[[#This Row],[CodBarras2]],2,50)</f>
        <v/>
      </c>
    </row>
    <row r="22655" spans="9:9" x14ac:dyDescent="0.25">
      <c r="I22655" s="227" t="str">
        <f>MID(excPisCofins[[#This Row],[CodBarras2]],2,50)</f>
        <v/>
      </c>
    </row>
    <row r="22656" spans="9:9" x14ac:dyDescent="0.25">
      <c r="I22656" s="227" t="str">
        <f>MID(excPisCofins[[#This Row],[CodBarras2]],2,50)</f>
        <v/>
      </c>
    </row>
    <row r="22657" spans="9:9" x14ac:dyDescent="0.25">
      <c r="I22657" s="227" t="str">
        <f>MID(excPisCofins[[#This Row],[CodBarras2]],2,50)</f>
        <v/>
      </c>
    </row>
    <row r="22658" spans="9:9" x14ac:dyDescent="0.25">
      <c r="I22658" s="227" t="str">
        <f>MID(excPisCofins[[#This Row],[CodBarras2]],2,50)</f>
        <v/>
      </c>
    </row>
    <row r="22659" spans="9:9" x14ac:dyDescent="0.25">
      <c r="I22659" s="227" t="str">
        <f>MID(excPisCofins[[#This Row],[CodBarras2]],2,50)</f>
        <v/>
      </c>
    </row>
    <row r="22660" spans="9:9" x14ac:dyDescent="0.25">
      <c r="I22660" s="227" t="str">
        <f>MID(excPisCofins[[#This Row],[CodBarras2]],2,50)</f>
        <v/>
      </c>
    </row>
    <row r="22661" spans="9:9" x14ac:dyDescent="0.25">
      <c r="I22661" s="227" t="str">
        <f>MID(excPisCofins[[#This Row],[CodBarras2]],2,50)</f>
        <v/>
      </c>
    </row>
    <row r="22662" spans="9:9" x14ac:dyDescent="0.25">
      <c r="I22662" s="227" t="str">
        <f>MID(excPisCofins[[#This Row],[CodBarras2]],2,50)</f>
        <v/>
      </c>
    </row>
    <row r="22663" spans="9:9" x14ac:dyDescent="0.25">
      <c r="I22663" s="227" t="str">
        <f>MID(excPisCofins[[#This Row],[CodBarras2]],2,50)</f>
        <v/>
      </c>
    </row>
    <row r="22664" spans="9:9" x14ac:dyDescent="0.25">
      <c r="I22664" s="227" t="str">
        <f>MID(excPisCofins[[#This Row],[CodBarras2]],2,50)</f>
        <v/>
      </c>
    </row>
    <row r="22665" spans="9:9" x14ac:dyDescent="0.25">
      <c r="I22665" s="227" t="str">
        <f>MID(excPisCofins[[#This Row],[CodBarras2]],2,50)</f>
        <v/>
      </c>
    </row>
    <row r="22666" spans="9:9" x14ac:dyDescent="0.25">
      <c r="I22666" s="227" t="str">
        <f>MID(excPisCofins[[#This Row],[CodBarras2]],2,50)</f>
        <v/>
      </c>
    </row>
    <row r="22667" spans="9:9" x14ac:dyDescent="0.25">
      <c r="I22667" s="227" t="str">
        <f>MID(excPisCofins[[#This Row],[CodBarras2]],2,50)</f>
        <v/>
      </c>
    </row>
    <row r="22668" spans="9:9" x14ac:dyDescent="0.25">
      <c r="I22668" s="227" t="str">
        <f>MID(excPisCofins[[#This Row],[CodBarras2]],2,50)</f>
        <v/>
      </c>
    </row>
    <row r="22669" spans="9:9" x14ac:dyDescent="0.25">
      <c r="I22669" s="227" t="str">
        <f>MID(excPisCofins[[#This Row],[CodBarras2]],2,50)</f>
        <v/>
      </c>
    </row>
    <row r="22670" spans="9:9" x14ac:dyDescent="0.25">
      <c r="I22670" s="227" t="str">
        <f>MID(excPisCofins[[#This Row],[CodBarras2]],2,50)</f>
        <v/>
      </c>
    </row>
    <row r="22671" spans="9:9" x14ac:dyDescent="0.25">
      <c r="I22671" s="227" t="str">
        <f>MID(excPisCofins[[#This Row],[CodBarras2]],2,50)</f>
        <v/>
      </c>
    </row>
    <row r="22672" spans="9:9" x14ac:dyDescent="0.25">
      <c r="I22672" s="227" t="str">
        <f>MID(excPisCofins[[#This Row],[CodBarras2]],2,50)</f>
        <v/>
      </c>
    </row>
    <row r="22673" spans="9:9" x14ac:dyDescent="0.25">
      <c r="I22673" s="227" t="str">
        <f>MID(excPisCofins[[#This Row],[CodBarras2]],2,50)</f>
        <v/>
      </c>
    </row>
    <row r="22674" spans="9:9" x14ac:dyDescent="0.25">
      <c r="I22674" s="227" t="str">
        <f>MID(excPisCofins[[#This Row],[CodBarras2]],2,50)</f>
        <v/>
      </c>
    </row>
    <row r="22675" spans="9:9" x14ac:dyDescent="0.25">
      <c r="I22675" s="227" t="str">
        <f>MID(excPisCofins[[#This Row],[CodBarras2]],2,50)</f>
        <v/>
      </c>
    </row>
    <row r="22676" spans="9:9" x14ac:dyDescent="0.25">
      <c r="I22676" s="227" t="str">
        <f>MID(excPisCofins[[#This Row],[CodBarras2]],2,50)</f>
        <v/>
      </c>
    </row>
    <row r="22677" spans="9:9" x14ac:dyDescent="0.25">
      <c r="I22677" s="227" t="str">
        <f>MID(excPisCofins[[#This Row],[CodBarras2]],2,50)</f>
        <v/>
      </c>
    </row>
    <row r="22678" spans="9:9" x14ac:dyDescent="0.25">
      <c r="I22678" s="227" t="str">
        <f>MID(excPisCofins[[#This Row],[CodBarras2]],2,50)</f>
        <v/>
      </c>
    </row>
    <row r="22679" spans="9:9" x14ac:dyDescent="0.25">
      <c r="I22679" s="227" t="str">
        <f>MID(excPisCofins[[#This Row],[CodBarras2]],2,50)</f>
        <v/>
      </c>
    </row>
    <row r="22680" spans="9:9" x14ac:dyDescent="0.25">
      <c r="I22680" s="227" t="str">
        <f>MID(excPisCofins[[#This Row],[CodBarras2]],2,50)</f>
        <v/>
      </c>
    </row>
    <row r="22681" spans="9:9" x14ac:dyDescent="0.25">
      <c r="I22681" s="227" t="str">
        <f>MID(excPisCofins[[#This Row],[CodBarras2]],2,50)</f>
        <v/>
      </c>
    </row>
    <row r="22682" spans="9:9" x14ac:dyDescent="0.25">
      <c r="I22682" s="227" t="str">
        <f>MID(excPisCofins[[#This Row],[CodBarras2]],2,50)</f>
        <v/>
      </c>
    </row>
    <row r="22683" spans="9:9" x14ac:dyDescent="0.25">
      <c r="I22683" s="227" t="str">
        <f>MID(excPisCofins[[#This Row],[CodBarras2]],2,50)</f>
        <v/>
      </c>
    </row>
    <row r="22684" spans="9:9" x14ac:dyDescent="0.25">
      <c r="I22684" s="227" t="str">
        <f>MID(excPisCofins[[#This Row],[CodBarras2]],2,50)</f>
        <v/>
      </c>
    </row>
    <row r="22685" spans="9:9" x14ac:dyDescent="0.25">
      <c r="I22685" s="227" t="str">
        <f>MID(excPisCofins[[#This Row],[CodBarras2]],2,50)</f>
        <v/>
      </c>
    </row>
    <row r="22686" spans="9:9" x14ac:dyDescent="0.25">
      <c r="I22686" s="227" t="str">
        <f>MID(excPisCofins[[#This Row],[CodBarras2]],2,50)</f>
        <v/>
      </c>
    </row>
    <row r="22687" spans="9:9" x14ac:dyDescent="0.25">
      <c r="I22687" s="227" t="str">
        <f>MID(excPisCofins[[#This Row],[CodBarras2]],2,50)</f>
        <v/>
      </c>
    </row>
    <row r="22688" spans="9:9" x14ac:dyDescent="0.25">
      <c r="I22688" s="227" t="str">
        <f>MID(excPisCofins[[#This Row],[CodBarras2]],2,50)</f>
        <v/>
      </c>
    </row>
    <row r="22689" spans="9:9" x14ac:dyDescent="0.25">
      <c r="I22689" s="227" t="str">
        <f>MID(excPisCofins[[#This Row],[CodBarras2]],2,50)</f>
        <v/>
      </c>
    </row>
    <row r="22690" spans="9:9" x14ac:dyDescent="0.25">
      <c r="I22690" s="227" t="str">
        <f>MID(excPisCofins[[#This Row],[CodBarras2]],2,50)</f>
        <v/>
      </c>
    </row>
    <row r="22691" spans="9:9" x14ac:dyDescent="0.25">
      <c r="I22691" s="227" t="str">
        <f>MID(excPisCofins[[#This Row],[CodBarras2]],2,50)</f>
        <v/>
      </c>
    </row>
    <row r="22692" spans="9:9" x14ac:dyDescent="0.25">
      <c r="I22692" s="227" t="str">
        <f>MID(excPisCofins[[#This Row],[CodBarras2]],2,50)</f>
        <v/>
      </c>
    </row>
    <row r="22693" spans="9:9" x14ac:dyDescent="0.25">
      <c r="I22693" s="227" t="str">
        <f>MID(excPisCofins[[#This Row],[CodBarras2]],2,50)</f>
        <v/>
      </c>
    </row>
    <row r="22694" spans="9:9" x14ac:dyDescent="0.25">
      <c r="I22694" s="227" t="str">
        <f>MID(excPisCofins[[#This Row],[CodBarras2]],2,50)</f>
        <v/>
      </c>
    </row>
    <row r="22695" spans="9:9" x14ac:dyDescent="0.25">
      <c r="I22695" s="227" t="str">
        <f>MID(excPisCofins[[#This Row],[CodBarras2]],2,50)</f>
        <v/>
      </c>
    </row>
    <row r="22696" spans="9:9" x14ac:dyDescent="0.25">
      <c r="I22696" s="227" t="str">
        <f>MID(excPisCofins[[#This Row],[CodBarras2]],2,50)</f>
        <v/>
      </c>
    </row>
    <row r="22697" spans="9:9" x14ac:dyDescent="0.25">
      <c r="I22697" s="227" t="str">
        <f>MID(excPisCofins[[#This Row],[CodBarras2]],2,50)</f>
        <v/>
      </c>
    </row>
    <row r="22698" spans="9:9" x14ac:dyDescent="0.25">
      <c r="I22698" s="227" t="str">
        <f>MID(excPisCofins[[#This Row],[CodBarras2]],2,50)</f>
        <v/>
      </c>
    </row>
    <row r="22699" spans="9:9" x14ac:dyDescent="0.25">
      <c r="I22699" s="227" t="str">
        <f>MID(excPisCofins[[#This Row],[CodBarras2]],2,50)</f>
        <v/>
      </c>
    </row>
    <row r="22700" spans="9:9" x14ac:dyDescent="0.25">
      <c r="I22700" s="227" t="str">
        <f>MID(excPisCofins[[#This Row],[CodBarras2]],2,50)</f>
        <v/>
      </c>
    </row>
    <row r="22701" spans="9:9" x14ac:dyDescent="0.25">
      <c r="I22701" s="227" t="str">
        <f>MID(excPisCofins[[#This Row],[CodBarras2]],2,50)</f>
        <v/>
      </c>
    </row>
    <row r="22702" spans="9:9" x14ac:dyDescent="0.25">
      <c r="I22702" s="227" t="str">
        <f>MID(excPisCofins[[#This Row],[CodBarras2]],2,50)</f>
        <v/>
      </c>
    </row>
    <row r="22703" spans="9:9" x14ac:dyDescent="0.25">
      <c r="I22703" s="227" t="str">
        <f>MID(excPisCofins[[#This Row],[CodBarras2]],2,50)</f>
        <v/>
      </c>
    </row>
    <row r="22704" spans="9:9" x14ac:dyDescent="0.25">
      <c r="I22704" s="227" t="str">
        <f>MID(excPisCofins[[#This Row],[CodBarras2]],2,50)</f>
        <v/>
      </c>
    </row>
    <row r="22705" spans="9:9" x14ac:dyDescent="0.25">
      <c r="I22705" s="227" t="str">
        <f>MID(excPisCofins[[#This Row],[CodBarras2]],2,50)</f>
        <v/>
      </c>
    </row>
    <row r="22706" spans="9:9" x14ac:dyDescent="0.25">
      <c r="I22706" s="227" t="str">
        <f>MID(excPisCofins[[#This Row],[CodBarras2]],2,50)</f>
        <v/>
      </c>
    </row>
    <row r="22707" spans="9:9" x14ac:dyDescent="0.25">
      <c r="I22707" s="227" t="str">
        <f>MID(excPisCofins[[#This Row],[CodBarras2]],2,50)</f>
        <v/>
      </c>
    </row>
    <row r="22708" spans="9:9" x14ac:dyDescent="0.25">
      <c r="I22708" s="227" t="str">
        <f>MID(excPisCofins[[#This Row],[CodBarras2]],2,50)</f>
        <v/>
      </c>
    </row>
    <row r="22709" spans="9:9" x14ac:dyDescent="0.25">
      <c r="I22709" s="227" t="str">
        <f>MID(excPisCofins[[#This Row],[CodBarras2]],2,50)</f>
        <v/>
      </c>
    </row>
    <row r="22710" spans="9:9" x14ac:dyDescent="0.25">
      <c r="I22710" s="227" t="str">
        <f>MID(excPisCofins[[#This Row],[CodBarras2]],2,50)</f>
        <v/>
      </c>
    </row>
    <row r="22711" spans="9:9" x14ac:dyDescent="0.25">
      <c r="I22711" s="227" t="str">
        <f>MID(excPisCofins[[#This Row],[CodBarras2]],2,50)</f>
        <v/>
      </c>
    </row>
    <row r="22712" spans="9:9" x14ac:dyDescent="0.25">
      <c r="I22712" s="227" t="str">
        <f>MID(excPisCofins[[#This Row],[CodBarras2]],2,50)</f>
        <v/>
      </c>
    </row>
    <row r="22713" spans="9:9" x14ac:dyDescent="0.25">
      <c r="I22713" s="227" t="str">
        <f>MID(excPisCofins[[#This Row],[CodBarras2]],2,50)</f>
        <v/>
      </c>
    </row>
    <row r="22714" spans="9:9" x14ac:dyDescent="0.25">
      <c r="I22714" s="227" t="str">
        <f>MID(excPisCofins[[#This Row],[CodBarras2]],2,50)</f>
        <v/>
      </c>
    </row>
    <row r="22715" spans="9:9" x14ac:dyDescent="0.25">
      <c r="I22715" s="227" t="str">
        <f>MID(excPisCofins[[#This Row],[CodBarras2]],2,50)</f>
        <v/>
      </c>
    </row>
    <row r="22716" spans="9:9" x14ac:dyDescent="0.25">
      <c r="I22716" s="227" t="str">
        <f>MID(excPisCofins[[#This Row],[CodBarras2]],2,50)</f>
        <v/>
      </c>
    </row>
    <row r="22717" spans="9:9" x14ac:dyDescent="0.25">
      <c r="I22717" s="227" t="str">
        <f>MID(excPisCofins[[#This Row],[CodBarras2]],2,50)</f>
        <v/>
      </c>
    </row>
    <row r="22718" spans="9:9" x14ac:dyDescent="0.25">
      <c r="I22718" s="227" t="str">
        <f>MID(excPisCofins[[#This Row],[CodBarras2]],2,50)</f>
        <v/>
      </c>
    </row>
    <row r="22719" spans="9:9" x14ac:dyDescent="0.25">
      <c r="I22719" s="227" t="str">
        <f>MID(excPisCofins[[#This Row],[CodBarras2]],2,50)</f>
        <v/>
      </c>
    </row>
    <row r="22720" spans="9:9" x14ac:dyDescent="0.25">
      <c r="I22720" s="227" t="str">
        <f>MID(excPisCofins[[#This Row],[CodBarras2]],2,50)</f>
        <v/>
      </c>
    </row>
    <row r="22721" spans="9:9" x14ac:dyDescent="0.25">
      <c r="I22721" s="227" t="str">
        <f>MID(excPisCofins[[#This Row],[CodBarras2]],2,50)</f>
        <v/>
      </c>
    </row>
    <row r="22722" spans="9:9" x14ac:dyDescent="0.25">
      <c r="I22722" s="227" t="str">
        <f>MID(excPisCofins[[#This Row],[CodBarras2]],2,50)</f>
        <v/>
      </c>
    </row>
    <row r="22723" spans="9:9" x14ac:dyDescent="0.25">
      <c r="I22723" s="227" t="str">
        <f>MID(excPisCofins[[#This Row],[CodBarras2]],2,50)</f>
        <v/>
      </c>
    </row>
    <row r="22724" spans="9:9" x14ac:dyDescent="0.25">
      <c r="I22724" s="227" t="str">
        <f>MID(excPisCofins[[#This Row],[CodBarras2]],2,50)</f>
        <v/>
      </c>
    </row>
    <row r="22725" spans="9:9" x14ac:dyDescent="0.25">
      <c r="I22725" s="227" t="str">
        <f>MID(excPisCofins[[#This Row],[CodBarras2]],2,50)</f>
        <v/>
      </c>
    </row>
    <row r="22726" spans="9:9" x14ac:dyDescent="0.25">
      <c r="I22726" s="227" t="str">
        <f>MID(excPisCofins[[#This Row],[CodBarras2]],2,50)</f>
        <v/>
      </c>
    </row>
    <row r="22727" spans="9:9" x14ac:dyDescent="0.25">
      <c r="I22727" s="227" t="str">
        <f>MID(excPisCofins[[#This Row],[CodBarras2]],2,50)</f>
        <v/>
      </c>
    </row>
    <row r="22728" spans="9:9" x14ac:dyDescent="0.25">
      <c r="I22728" s="227" t="str">
        <f>MID(excPisCofins[[#This Row],[CodBarras2]],2,50)</f>
        <v/>
      </c>
    </row>
    <row r="22729" spans="9:9" x14ac:dyDescent="0.25">
      <c r="I22729" s="227" t="str">
        <f>MID(excPisCofins[[#This Row],[CodBarras2]],2,50)</f>
        <v/>
      </c>
    </row>
    <row r="22730" spans="9:9" x14ac:dyDescent="0.25">
      <c r="I22730" s="227" t="str">
        <f>MID(excPisCofins[[#This Row],[CodBarras2]],2,50)</f>
        <v/>
      </c>
    </row>
    <row r="22731" spans="9:9" x14ac:dyDescent="0.25">
      <c r="I22731" s="227" t="str">
        <f>MID(excPisCofins[[#This Row],[CodBarras2]],2,50)</f>
        <v/>
      </c>
    </row>
    <row r="22732" spans="9:9" x14ac:dyDescent="0.25">
      <c r="I22732" s="227" t="str">
        <f>MID(excPisCofins[[#This Row],[CodBarras2]],2,50)</f>
        <v/>
      </c>
    </row>
    <row r="22733" spans="9:9" x14ac:dyDescent="0.25">
      <c r="I22733" s="227" t="str">
        <f>MID(excPisCofins[[#This Row],[CodBarras2]],2,50)</f>
        <v/>
      </c>
    </row>
    <row r="22734" spans="9:9" x14ac:dyDescent="0.25">
      <c r="I22734" s="227" t="str">
        <f>MID(excPisCofins[[#This Row],[CodBarras2]],2,50)</f>
        <v/>
      </c>
    </row>
    <row r="22735" spans="9:9" x14ac:dyDescent="0.25">
      <c r="I22735" s="227" t="str">
        <f>MID(excPisCofins[[#This Row],[CodBarras2]],2,50)</f>
        <v/>
      </c>
    </row>
    <row r="22736" spans="9:9" x14ac:dyDescent="0.25">
      <c r="I22736" s="227" t="str">
        <f>MID(excPisCofins[[#This Row],[CodBarras2]],2,50)</f>
        <v/>
      </c>
    </row>
    <row r="22737" spans="9:9" x14ac:dyDescent="0.25">
      <c r="I22737" s="227" t="str">
        <f>MID(excPisCofins[[#This Row],[CodBarras2]],2,50)</f>
        <v/>
      </c>
    </row>
    <row r="22738" spans="9:9" x14ac:dyDescent="0.25">
      <c r="I22738" s="227" t="str">
        <f>MID(excPisCofins[[#This Row],[CodBarras2]],2,50)</f>
        <v/>
      </c>
    </row>
    <row r="22739" spans="9:9" x14ac:dyDescent="0.25">
      <c r="I22739" s="227" t="str">
        <f>MID(excPisCofins[[#This Row],[CodBarras2]],2,50)</f>
        <v/>
      </c>
    </row>
    <row r="22740" spans="9:9" x14ac:dyDescent="0.25">
      <c r="I22740" s="227" t="str">
        <f>MID(excPisCofins[[#This Row],[CodBarras2]],2,50)</f>
        <v/>
      </c>
    </row>
    <row r="22741" spans="9:9" x14ac:dyDescent="0.25">
      <c r="I22741" s="227" t="str">
        <f>MID(excPisCofins[[#This Row],[CodBarras2]],2,50)</f>
        <v/>
      </c>
    </row>
    <row r="22742" spans="9:9" x14ac:dyDescent="0.25">
      <c r="I22742" s="227" t="str">
        <f>MID(excPisCofins[[#This Row],[CodBarras2]],2,50)</f>
        <v/>
      </c>
    </row>
    <row r="22743" spans="9:9" x14ac:dyDescent="0.25">
      <c r="I22743" s="227" t="str">
        <f>MID(excPisCofins[[#This Row],[CodBarras2]],2,50)</f>
        <v/>
      </c>
    </row>
    <row r="22744" spans="9:9" x14ac:dyDescent="0.25">
      <c r="I22744" s="227" t="str">
        <f>MID(excPisCofins[[#This Row],[CodBarras2]],2,50)</f>
        <v/>
      </c>
    </row>
    <row r="22745" spans="9:9" x14ac:dyDescent="0.25">
      <c r="I22745" s="227" t="str">
        <f>MID(excPisCofins[[#This Row],[CodBarras2]],2,50)</f>
        <v/>
      </c>
    </row>
    <row r="22746" spans="9:9" x14ac:dyDescent="0.25">
      <c r="I22746" s="227" t="str">
        <f>MID(excPisCofins[[#This Row],[CodBarras2]],2,50)</f>
        <v/>
      </c>
    </row>
    <row r="22747" spans="9:9" x14ac:dyDescent="0.25">
      <c r="I22747" s="227" t="str">
        <f>MID(excPisCofins[[#This Row],[CodBarras2]],2,50)</f>
        <v/>
      </c>
    </row>
    <row r="22748" spans="9:9" x14ac:dyDescent="0.25">
      <c r="I22748" s="227" t="str">
        <f>MID(excPisCofins[[#This Row],[CodBarras2]],2,50)</f>
        <v/>
      </c>
    </row>
    <row r="22749" spans="9:9" x14ac:dyDescent="0.25">
      <c r="I22749" s="227" t="str">
        <f>MID(excPisCofins[[#This Row],[CodBarras2]],2,50)</f>
        <v/>
      </c>
    </row>
    <row r="22750" spans="9:9" x14ac:dyDescent="0.25">
      <c r="I22750" s="227" t="str">
        <f>MID(excPisCofins[[#This Row],[CodBarras2]],2,50)</f>
        <v/>
      </c>
    </row>
    <row r="22751" spans="9:9" x14ac:dyDescent="0.25">
      <c r="I22751" s="227" t="str">
        <f>MID(excPisCofins[[#This Row],[CodBarras2]],2,50)</f>
        <v/>
      </c>
    </row>
    <row r="22752" spans="9:9" x14ac:dyDescent="0.25">
      <c r="I22752" s="227" t="str">
        <f>MID(excPisCofins[[#This Row],[CodBarras2]],2,50)</f>
        <v/>
      </c>
    </row>
    <row r="22753" spans="9:9" x14ac:dyDescent="0.25">
      <c r="I22753" s="227" t="str">
        <f>MID(excPisCofins[[#This Row],[CodBarras2]],2,50)</f>
        <v/>
      </c>
    </row>
    <row r="22754" spans="9:9" x14ac:dyDescent="0.25">
      <c r="I22754" s="227" t="str">
        <f>MID(excPisCofins[[#This Row],[CodBarras2]],2,50)</f>
        <v/>
      </c>
    </row>
    <row r="22755" spans="9:9" x14ac:dyDescent="0.25">
      <c r="I22755" s="227" t="str">
        <f>MID(excPisCofins[[#This Row],[CodBarras2]],2,50)</f>
        <v/>
      </c>
    </row>
    <row r="22756" spans="9:9" x14ac:dyDescent="0.25">
      <c r="I22756" s="227" t="str">
        <f>MID(excPisCofins[[#This Row],[CodBarras2]],2,50)</f>
        <v/>
      </c>
    </row>
    <row r="22757" spans="9:9" x14ac:dyDescent="0.25">
      <c r="I22757" s="227" t="str">
        <f>MID(excPisCofins[[#This Row],[CodBarras2]],2,50)</f>
        <v/>
      </c>
    </row>
    <row r="22758" spans="9:9" x14ac:dyDescent="0.25">
      <c r="I22758" s="227" t="str">
        <f>MID(excPisCofins[[#This Row],[CodBarras2]],2,50)</f>
        <v/>
      </c>
    </row>
    <row r="22759" spans="9:9" x14ac:dyDescent="0.25">
      <c r="I22759" s="227" t="str">
        <f>MID(excPisCofins[[#This Row],[CodBarras2]],2,50)</f>
        <v/>
      </c>
    </row>
    <row r="22760" spans="9:9" x14ac:dyDescent="0.25">
      <c r="I22760" s="227" t="str">
        <f>MID(excPisCofins[[#This Row],[CodBarras2]],2,50)</f>
        <v/>
      </c>
    </row>
    <row r="22761" spans="9:9" x14ac:dyDescent="0.25">
      <c r="I22761" s="227" t="str">
        <f>MID(excPisCofins[[#This Row],[CodBarras2]],2,50)</f>
        <v/>
      </c>
    </row>
    <row r="22762" spans="9:9" x14ac:dyDescent="0.25">
      <c r="I22762" s="227" t="str">
        <f>MID(excPisCofins[[#This Row],[CodBarras2]],2,50)</f>
        <v/>
      </c>
    </row>
    <row r="22763" spans="9:9" x14ac:dyDescent="0.25">
      <c r="I22763" s="227" t="str">
        <f>MID(excPisCofins[[#This Row],[CodBarras2]],2,50)</f>
        <v/>
      </c>
    </row>
    <row r="22764" spans="9:9" x14ac:dyDescent="0.25">
      <c r="I22764" s="227" t="str">
        <f>MID(excPisCofins[[#This Row],[CodBarras2]],2,50)</f>
        <v/>
      </c>
    </row>
    <row r="22765" spans="9:9" x14ac:dyDescent="0.25">
      <c r="I22765" s="227" t="str">
        <f>MID(excPisCofins[[#This Row],[CodBarras2]],2,50)</f>
        <v/>
      </c>
    </row>
    <row r="22766" spans="9:9" x14ac:dyDescent="0.25">
      <c r="I22766" s="227" t="str">
        <f>MID(excPisCofins[[#This Row],[CodBarras2]],2,50)</f>
        <v/>
      </c>
    </row>
    <row r="22767" spans="9:9" x14ac:dyDescent="0.25">
      <c r="I22767" s="227" t="str">
        <f>MID(excPisCofins[[#This Row],[CodBarras2]],2,50)</f>
        <v/>
      </c>
    </row>
    <row r="22768" spans="9:9" x14ac:dyDescent="0.25">
      <c r="I22768" s="227" t="str">
        <f>MID(excPisCofins[[#This Row],[CodBarras2]],2,50)</f>
        <v/>
      </c>
    </row>
    <row r="22769" spans="9:9" x14ac:dyDescent="0.25">
      <c r="I22769" s="227" t="str">
        <f>MID(excPisCofins[[#This Row],[CodBarras2]],2,50)</f>
        <v/>
      </c>
    </row>
    <row r="22770" spans="9:9" x14ac:dyDescent="0.25">
      <c r="I22770" s="227" t="str">
        <f>MID(excPisCofins[[#This Row],[CodBarras2]],2,50)</f>
        <v/>
      </c>
    </row>
    <row r="22771" spans="9:9" x14ac:dyDescent="0.25">
      <c r="I22771" s="227" t="str">
        <f>MID(excPisCofins[[#This Row],[CodBarras2]],2,50)</f>
        <v/>
      </c>
    </row>
    <row r="22772" spans="9:9" x14ac:dyDescent="0.25">
      <c r="I22772" s="227" t="str">
        <f>MID(excPisCofins[[#This Row],[CodBarras2]],2,50)</f>
        <v/>
      </c>
    </row>
    <row r="22773" spans="9:9" x14ac:dyDescent="0.25">
      <c r="I22773" s="227" t="str">
        <f>MID(excPisCofins[[#This Row],[CodBarras2]],2,50)</f>
        <v/>
      </c>
    </row>
    <row r="22774" spans="9:9" x14ac:dyDescent="0.25">
      <c r="I22774" s="227" t="str">
        <f>MID(excPisCofins[[#This Row],[CodBarras2]],2,50)</f>
        <v/>
      </c>
    </row>
    <row r="22775" spans="9:9" x14ac:dyDescent="0.25">
      <c r="I22775" s="227" t="str">
        <f>MID(excPisCofins[[#This Row],[CodBarras2]],2,50)</f>
        <v/>
      </c>
    </row>
    <row r="22776" spans="9:9" x14ac:dyDescent="0.25">
      <c r="I22776" s="227" t="str">
        <f>MID(excPisCofins[[#This Row],[CodBarras2]],2,50)</f>
        <v/>
      </c>
    </row>
    <row r="22777" spans="9:9" x14ac:dyDescent="0.25">
      <c r="I22777" s="227" t="str">
        <f>MID(excPisCofins[[#This Row],[CodBarras2]],2,50)</f>
        <v/>
      </c>
    </row>
    <row r="22778" spans="9:9" x14ac:dyDescent="0.25">
      <c r="I22778" s="227" t="str">
        <f>MID(excPisCofins[[#This Row],[CodBarras2]],2,50)</f>
        <v/>
      </c>
    </row>
    <row r="22779" spans="9:9" x14ac:dyDescent="0.25">
      <c r="I22779" s="227" t="str">
        <f>MID(excPisCofins[[#This Row],[CodBarras2]],2,50)</f>
        <v/>
      </c>
    </row>
    <row r="22780" spans="9:9" x14ac:dyDescent="0.25">
      <c r="I22780" s="227" t="str">
        <f>MID(excPisCofins[[#This Row],[CodBarras2]],2,50)</f>
        <v/>
      </c>
    </row>
    <row r="22781" spans="9:9" x14ac:dyDescent="0.25">
      <c r="I22781" s="227" t="str">
        <f>MID(excPisCofins[[#This Row],[CodBarras2]],2,50)</f>
        <v/>
      </c>
    </row>
    <row r="22782" spans="9:9" x14ac:dyDescent="0.25">
      <c r="I22782" s="227" t="str">
        <f>MID(excPisCofins[[#This Row],[CodBarras2]],2,50)</f>
        <v/>
      </c>
    </row>
    <row r="22783" spans="9:9" x14ac:dyDescent="0.25">
      <c r="I22783" s="227" t="str">
        <f>MID(excPisCofins[[#This Row],[CodBarras2]],2,50)</f>
        <v/>
      </c>
    </row>
    <row r="22784" spans="9:9" x14ac:dyDescent="0.25">
      <c r="I22784" s="227" t="str">
        <f>MID(excPisCofins[[#This Row],[CodBarras2]],2,50)</f>
        <v/>
      </c>
    </row>
    <row r="22785" spans="9:9" x14ac:dyDescent="0.25">
      <c r="I22785" s="227" t="str">
        <f>MID(excPisCofins[[#This Row],[CodBarras2]],2,50)</f>
        <v/>
      </c>
    </row>
    <row r="22786" spans="9:9" x14ac:dyDescent="0.25">
      <c r="I22786" s="227" t="str">
        <f>MID(excPisCofins[[#This Row],[CodBarras2]],2,50)</f>
        <v/>
      </c>
    </row>
    <row r="22787" spans="9:9" x14ac:dyDescent="0.25">
      <c r="I22787" s="227" t="str">
        <f>MID(excPisCofins[[#This Row],[CodBarras2]],2,50)</f>
        <v/>
      </c>
    </row>
    <row r="22788" spans="9:9" x14ac:dyDescent="0.25">
      <c r="I22788" s="227" t="str">
        <f>MID(excPisCofins[[#This Row],[CodBarras2]],2,50)</f>
        <v/>
      </c>
    </row>
    <row r="22789" spans="9:9" x14ac:dyDescent="0.25">
      <c r="I22789" s="227" t="str">
        <f>MID(excPisCofins[[#This Row],[CodBarras2]],2,50)</f>
        <v/>
      </c>
    </row>
    <row r="22790" spans="9:9" x14ac:dyDescent="0.25">
      <c r="I22790" s="227" t="str">
        <f>MID(excPisCofins[[#This Row],[CodBarras2]],2,50)</f>
        <v/>
      </c>
    </row>
    <row r="22791" spans="9:9" x14ac:dyDescent="0.25">
      <c r="I22791" s="227" t="str">
        <f>MID(excPisCofins[[#This Row],[CodBarras2]],2,50)</f>
        <v/>
      </c>
    </row>
    <row r="22792" spans="9:9" x14ac:dyDescent="0.25">
      <c r="I22792" s="227" t="str">
        <f>MID(excPisCofins[[#This Row],[CodBarras2]],2,50)</f>
        <v/>
      </c>
    </row>
    <row r="22793" spans="9:9" x14ac:dyDescent="0.25">
      <c r="I22793" s="227" t="str">
        <f>MID(excPisCofins[[#This Row],[CodBarras2]],2,50)</f>
        <v/>
      </c>
    </row>
    <row r="22794" spans="9:9" x14ac:dyDescent="0.25">
      <c r="I22794" s="227" t="str">
        <f>MID(excPisCofins[[#This Row],[CodBarras2]],2,50)</f>
        <v/>
      </c>
    </row>
    <row r="22795" spans="9:9" x14ac:dyDescent="0.25">
      <c r="I22795" s="227" t="str">
        <f>MID(excPisCofins[[#This Row],[CodBarras2]],2,50)</f>
        <v/>
      </c>
    </row>
    <row r="22796" spans="9:9" x14ac:dyDescent="0.25">
      <c r="I22796" s="227" t="str">
        <f>MID(excPisCofins[[#This Row],[CodBarras2]],2,50)</f>
        <v/>
      </c>
    </row>
    <row r="22797" spans="9:9" x14ac:dyDescent="0.25">
      <c r="I22797" s="227" t="str">
        <f>MID(excPisCofins[[#This Row],[CodBarras2]],2,50)</f>
        <v/>
      </c>
    </row>
    <row r="22798" spans="9:9" x14ac:dyDescent="0.25">
      <c r="I22798" s="227" t="str">
        <f>MID(excPisCofins[[#This Row],[CodBarras2]],2,50)</f>
        <v/>
      </c>
    </row>
    <row r="22799" spans="9:9" x14ac:dyDescent="0.25">
      <c r="I22799" s="227" t="str">
        <f>MID(excPisCofins[[#This Row],[CodBarras2]],2,50)</f>
        <v/>
      </c>
    </row>
    <row r="22800" spans="9:9" x14ac:dyDescent="0.25">
      <c r="I22800" s="227" t="str">
        <f>MID(excPisCofins[[#This Row],[CodBarras2]],2,50)</f>
        <v/>
      </c>
    </row>
    <row r="22801" spans="9:9" x14ac:dyDescent="0.25">
      <c r="I22801" s="227" t="str">
        <f>MID(excPisCofins[[#This Row],[CodBarras2]],2,50)</f>
        <v/>
      </c>
    </row>
    <row r="22802" spans="9:9" x14ac:dyDescent="0.25">
      <c r="I22802" s="227" t="str">
        <f>MID(excPisCofins[[#This Row],[CodBarras2]],2,50)</f>
        <v/>
      </c>
    </row>
    <row r="22803" spans="9:9" x14ac:dyDescent="0.25">
      <c r="I22803" s="227" t="str">
        <f>MID(excPisCofins[[#This Row],[CodBarras2]],2,50)</f>
        <v/>
      </c>
    </row>
    <row r="22804" spans="9:9" x14ac:dyDescent="0.25">
      <c r="I22804" s="227" t="str">
        <f>MID(excPisCofins[[#This Row],[CodBarras2]],2,50)</f>
        <v/>
      </c>
    </row>
    <row r="22805" spans="9:9" x14ac:dyDescent="0.25">
      <c r="I22805" s="227" t="str">
        <f>MID(excPisCofins[[#This Row],[CodBarras2]],2,50)</f>
        <v/>
      </c>
    </row>
    <row r="22806" spans="9:9" x14ac:dyDescent="0.25">
      <c r="I22806" s="227" t="str">
        <f>MID(excPisCofins[[#This Row],[CodBarras2]],2,50)</f>
        <v/>
      </c>
    </row>
    <row r="22807" spans="9:9" x14ac:dyDescent="0.25">
      <c r="I22807" s="227" t="str">
        <f>MID(excPisCofins[[#This Row],[CodBarras2]],2,50)</f>
        <v/>
      </c>
    </row>
    <row r="22808" spans="9:9" x14ac:dyDescent="0.25">
      <c r="I22808" s="227" t="str">
        <f>MID(excPisCofins[[#This Row],[CodBarras2]],2,50)</f>
        <v/>
      </c>
    </row>
    <row r="22809" spans="9:9" x14ac:dyDescent="0.25">
      <c r="I22809" s="227" t="str">
        <f>MID(excPisCofins[[#This Row],[CodBarras2]],2,50)</f>
        <v/>
      </c>
    </row>
    <row r="22810" spans="9:9" x14ac:dyDescent="0.25">
      <c r="I22810" s="227" t="str">
        <f>MID(excPisCofins[[#This Row],[CodBarras2]],2,50)</f>
        <v/>
      </c>
    </row>
    <row r="22811" spans="9:9" x14ac:dyDescent="0.25">
      <c r="I22811" s="227" t="str">
        <f>MID(excPisCofins[[#This Row],[CodBarras2]],2,50)</f>
        <v/>
      </c>
    </row>
    <row r="22812" spans="9:9" x14ac:dyDescent="0.25">
      <c r="I22812" s="227" t="str">
        <f>MID(excPisCofins[[#This Row],[CodBarras2]],2,50)</f>
        <v/>
      </c>
    </row>
    <row r="22813" spans="9:9" x14ac:dyDescent="0.25">
      <c r="I22813" s="227" t="str">
        <f>MID(excPisCofins[[#This Row],[CodBarras2]],2,50)</f>
        <v/>
      </c>
    </row>
    <row r="22814" spans="9:9" x14ac:dyDescent="0.25">
      <c r="I22814" s="227" t="str">
        <f>MID(excPisCofins[[#This Row],[CodBarras2]],2,50)</f>
        <v/>
      </c>
    </row>
    <row r="22815" spans="9:9" x14ac:dyDescent="0.25">
      <c r="I22815" s="227" t="str">
        <f>MID(excPisCofins[[#This Row],[CodBarras2]],2,50)</f>
        <v/>
      </c>
    </row>
    <row r="22816" spans="9:9" x14ac:dyDescent="0.25">
      <c r="I22816" s="227" t="str">
        <f>MID(excPisCofins[[#This Row],[CodBarras2]],2,50)</f>
        <v/>
      </c>
    </row>
    <row r="22817" spans="9:9" x14ac:dyDescent="0.25">
      <c r="I22817" s="227" t="str">
        <f>MID(excPisCofins[[#This Row],[CodBarras2]],2,50)</f>
        <v/>
      </c>
    </row>
    <row r="22818" spans="9:9" x14ac:dyDescent="0.25">
      <c r="I22818" s="227" t="str">
        <f>MID(excPisCofins[[#This Row],[CodBarras2]],2,50)</f>
        <v/>
      </c>
    </row>
    <row r="22819" spans="9:9" x14ac:dyDescent="0.25">
      <c r="I22819" s="227" t="str">
        <f>MID(excPisCofins[[#This Row],[CodBarras2]],2,50)</f>
        <v/>
      </c>
    </row>
    <row r="22820" spans="9:9" x14ac:dyDescent="0.25">
      <c r="I22820" s="227" t="str">
        <f>MID(excPisCofins[[#This Row],[CodBarras2]],2,50)</f>
        <v/>
      </c>
    </row>
    <row r="22821" spans="9:9" x14ac:dyDescent="0.25">
      <c r="I22821" s="227" t="str">
        <f>MID(excPisCofins[[#This Row],[CodBarras2]],2,50)</f>
        <v/>
      </c>
    </row>
    <row r="22822" spans="9:9" x14ac:dyDescent="0.25">
      <c r="I22822" s="227" t="str">
        <f>MID(excPisCofins[[#This Row],[CodBarras2]],2,50)</f>
        <v/>
      </c>
    </row>
    <row r="22823" spans="9:9" x14ac:dyDescent="0.25">
      <c r="I22823" s="227" t="str">
        <f>MID(excPisCofins[[#This Row],[CodBarras2]],2,50)</f>
        <v/>
      </c>
    </row>
    <row r="22824" spans="9:9" x14ac:dyDescent="0.25">
      <c r="I22824" s="227" t="str">
        <f>MID(excPisCofins[[#This Row],[CodBarras2]],2,50)</f>
        <v/>
      </c>
    </row>
    <row r="22825" spans="9:9" x14ac:dyDescent="0.25">
      <c r="I22825" s="227" t="str">
        <f>MID(excPisCofins[[#This Row],[CodBarras2]],2,50)</f>
        <v/>
      </c>
    </row>
    <row r="22826" spans="9:9" x14ac:dyDescent="0.25">
      <c r="I22826" s="227" t="str">
        <f>MID(excPisCofins[[#This Row],[CodBarras2]],2,50)</f>
        <v/>
      </c>
    </row>
    <row r="22827" spans="9:9" x14ac:dyDescent="0.25">
      <c r="I22827" s="227" t="str">
        <f>MID(excPisCofins[[#This Row],[CodBarras2]],2,50)</f>
        <v/>
      </c>
    </row>
    <row r="22828" spans="9:9" x14ac:dyDescent="0.25">
      <c r="I22828" s="227" t="str">
        <f>MID(excPisCofins[[#This Row],[CodBarras2]],2,50)</f>
        <v/>
      </c>
    </row>
    <row r="22829" spans="9:9" x14ac:dyDescent="0.25">
      <c r="I22829" s="227" t="str">
        <f>MID(excPisCofins[[#This Row],[CodBarras2]],2,50)</f>
        <v/>
      </c>
    </row>
    <row r="22830" spans="9:9" x14ac:dyDescent="0.25">
      <c r="I22830" s="227" t="str">
        <f>MID(excPisCofins[[#This Row],[CodBarras2]],2,50)</f>
        <v/>
      </c>
    </row>
    <row r="22831" spans="9:9" x14ac:dyDescent="0.25">
      <c r="I22831" s="227" t="str">
        <f>MID(excPisCofins[[#This Row],[CodBarras2]],2,50)</f>
        <v/>
      </c>
    </row>
    <row r="22832" spans="9:9" x14ac:dyDescent="0.25">
      <c r="I22832" s="227" t="str">
        <f>MID(excPisCofins[[#This Row],[CodBarras2]],2,50)</f>
        <v/>
      </c>
    </row>
    <row r="22833" spans="9:9" x14ac:dyDescent="0.25">
      <c r="I22833" s="227" t="str">
        <f>MID(excPisCofins[[#This Row],[CodBarras2]],2,50)</f>
        <v/>
      </c>
    </row>
    <row r="22834" spans="9:9" x14ac:dyDescent="0.25">
      <c r="I22834" s="227" t="str">
        <f>MID(excPisCofins[[#This Row],[CodBarras2]],2,50)</f>
        <v/>
      </c>
    </row>
    <row r="22835" spans="9:9" x14ac:dyDescent="0.25">
      <c r="I22835" s="227" t="str">
        <f>MID(excPisCofins[[#This Row],[CodBarras2]],2,50)</f>
        <v/>
      </c>
    </row>
    <row r="22836" spans="9:9" x14ac:dyDescent="0.25">
      <c r="I22836" s="227" t="str">
        <f>MID(excPisCofins[[#This Row],[CodBarras2]],2,50)</f>
        <v/>
      </c>
    </row>
    <row r="22837" spans="9:9" x14ac:dyDescent="0.25">
      <c r="I22837" s="227" t="str">
        <f>MID(excPisCofins[[#This Row],[CodBarras2]],2,50)</f>
        <v/>
      </c>
    </row>
    <row r="22838" spans="9:9" x14ac:dyDescent="0.25">
      <c r="I22838" s="227" t="str">
        <f>MID(excPisCofins[[#This Row],[CodBarras2]],2,50)</f>
        <v/>
      </c>
    </row>
    <row r="22839" spans="9:9" x14ac:dyDescent="0.25">
      <c r="I22839" s="227" t="str">
        <f>MID(excPisCofins[[#This Row],[CodBarras2]],2,50)</f>
        <v/>
      </c>
    </row>
    <row r="22840" spans="9:9" x14ac:dyDescent="0.25">
      <c r="I22840" s="227" t="str">
        <f>MID(excPisCofins[[#This Row],[CodBarras2]],2,50)</f>
        <v/>
      </c>
    </row>
    <row r="22841" spans="9:9" x14ac:dyDescent="0.25">
      <c r="I22841" s="227" t="str">
        <f>MID(excPisCofins[[#This Row],[CodBarras2]],2,50)</f>
        <v/>
      </c>
    </row>
    <row r="22842" spans="9:9" x14ac:dyDescent="0.25">
      <c r="I22842" s="227" t="str">
        <f>MID(excPisCofins[[#This Row],[CodBarras2]],2,50)</f>
        <v/>
      </c>
    </row>
    <row r="22843" spans="9:9" x14ac:dyDescent="0.25">
      <c r="I22843" s="227" t="str">
        <f>MID(excPisCofins[[#This Row],[CodBarras2]],2,50)</f>
        <v/>
      </c>
    </row>
    <row r="22844" spans="9:9" x14ac:dyDescent="0.25">
      <c r="I22844" s="227" t="str">
        <f>MID(excPisCofins[[#This Row],[CodBarras2]],2,50)</f>
        <v/>
      </c>
    </row>
    <row r="22845" spans="9:9" x14ac:dyDescent="0.25">
      <c r="I22845" s="227" t="str">
        <f>MID(excPisCofins[[#This Row],[CodBarras2]],2,50)</f>
        <v/>
      </c>
    </row>
    <row r="22846" spans="9:9" x14ac:dyDescent="0.25">
      <c r="I22846" s="227" t="str">
        <f>MID(excPisCofins[[#This Row],[CodBarras2]],2,50)</f>
        <v/>
      </c>
    </row>
    <row r="22847" spans="9:9" x14ac:dyDescent="0.25">
      <c r="I22847" s="227" t="str">
        <f>MID(excPisCofins[[#This Row],[CodBarras2]],2,50)</f>
        <v/>
      </c>
    </row>
    <row r="22848" spans="9:9" x14ac:dyDescent="0.25">
      <c r="I22848" s="227" t="str">
        <f>MID(excPisCofins[[#This Row],[CodBarras2]],2,50)</f>
        <v/>
      </c>
    </row>
    <row r="22849" spans="9:9" x14ac:dyDescent="0.25">
      <c r="I22849" s="227" t="str">
        <f>MID(excPisCofins[[#This Row],[CodBarras2]],2,50)</f>
        <v/>
      </c>
    </row>
    <row r="22850" spans="9:9" x14ac:dyDescent="0.25">
      <c r="I22850" s="227" t="str">
        <f>MID(excPisCofins[[#This Row],[CodBarras2]],2,50)</f>
        <v/>
      </c>
    </row>
    <row r="22851" spans="9:9" x14ac:dyDescent="0.25">
      <c r="I22851" s="227" t="str">
        <f>MID(excPisCofins[[#This Row],[CodBarras2]],2,50)</f>
        <v/>
      </c>
    </row>
    <row r="22852" spans="9:9" x14ac:dyDescent="0.25">
      <c r="I22852" s="227" t="str">
        <f>MID(excPisCofins[[#This Row],[CodBarras2]],2,50)</f>
        <v/>
      </c>
    </row>
    <row r="22853" spans="9:9" x14ac:dyDescent="0.25">
      <c r="I22853" s="227" t="str">
        <f>MID(excPisCofins[[#This Row],[CodBarras2]],2,50)</f>
        <v/>
      </c>
    </row>
    <row r="22854" spans="9:9" x14ac:dyDescent="0.25">
      <c r="I22854" s="227" t="str">
        <f>MID(excPisCofins[[#This Row],[CodBarras2]],2,50)</f>
        <v/>
      </c>
    </row>
    <row r="22855" spans="9:9" x14ac:dyDescent="0.25">
      <c r="I22855" s="227" t="str">
        <f>MID(excPisCofins[[#This Row],[CodBarras2]],2,50)</f>
        <v/>
      </c>
    </row>
    <row r="22856" spans="9:9" x14ac:dyDescent="0.25">
      <c r="I22856" s="227" t="str">
        <f>MID(excPisCofins[[#This Row],[CodBarras2]],2,50)</f>
        <v/>
      </c>
    </row>
    <row r="22857" spans="9:9" x14ac:dyDescent="0.25">
      <c r="I22857" s="227" t="str">
        <f>MID(excPisCofins[[#This Row],[CodBarras2]],2,50)</f>
        <v/>
      </c>
    </row>
    <row r="22858" spans="9:9" x14ac:dyDescent="0.25">
      <c r="I22858" s="227" t="str">
        <f>MID(excPisCofins[[#This Row],[CodBarras2]],2,50)</f>
        <v/>
      </c>
    </row>
    <row r="22859" spans="9:9" x14ac:dyDescent="0.25">
      <c r="I22859" s="227" t="str">
        <f>MID(excPisCofins[[#This Row],[CodBarras2]],2,50)</f>
        <v/>
      </c>
    </row>
    <row r="22860" spans="9:9" x14ac:dyDescent="0.25">
      <c r="I22860" s="227" t="str">
        <f>MID(excPisCofins[[#This Row],[CodBarras2]],2,50)</f>
        <v/>
      </c>
    </row>
    <row r="22861" spans="9:9" x14ac:dyDescent="0.25">
      <c r="I22861" s="227" t="str">
        <f>MID(excPisCofins[[#This Row],[CodBarras2]],2,50)</f>
        <v/>
      </c>
    </row>
    <row r="22862" spans="9:9" x14ac:dyDescent="0.25">
      <c r="I22862" s="227" t="str">
        <f>MID(excPisCofins[[#This Row],[CodBarras2]],2,50)</f>
        <v/>
      </c>
    </row>
    <row r="22863" spans="9:9" x14ac:dyDescent="0.25">
      <c r="I22863" s="227" t="str">
        <f>MID(excPisCofins[[#This Row],[CodBarras2]],2,50)</f>
        <v/>
      </c>
    </row>
    <row r="22864" spans="9:9" x14ac:dyDescent="0.25">
      <c r="I22864" s="227" t="str">
        <f>MID(excPisCofins[[#This Row],[CodBarras2]],2,50)</f>
        <v/>
      </c>
    </row>
    <row r="22865" spans="9:9" x14ac:dyDescent="0.25">
      <c r="I22865" s="227" t="str">
        <f>MID(excPisCofins[[#This Row],[CodBarras2]],2,50)</f>
        <v/>
      </c>
    </row>
    <row r="22866" spans="9:9" x14ac:dyDescent="0.25">
      <c r="I22866" s="227" t="str">
        <f>MID(excPisCofins[[#This Row],[CodBarras2]],2,50)</f>
        <v/>
      </c>
    </row>
    <row r="22867" spans="9:9" x14ac:dyDescent="0.25">
      <c r="I22867" s="227" t="str">
        <f>MID(excPisCofins[[#This Row],[CodBarras2]],2,50)</f>
        <v/>
      </c>
    </row>
    <row r="22868" spans="9:9" x14ac:dyDescent="0.25">
      <c r="I22868" s="227" t="str">
        <f>MID(excPisCofins[[#This Row],[CodBarras2]],2,50)</f>
        <v/>
      </c>
    </row>
    <row r="22869" spans="9:9" x14ac:dyDescent="0.25">
      <c r="I22869" s="227" t="str">
        <f>MID(excPisCofins[[#This Row],[CodBarras2]],2,50)</f>
        <v/>
      </c>
    </row>
    <row r="22870" spans="9:9" x14ac:dyDescent="0.25">
      <c r="I22870" s="227" t="str">
        <f>MID(excPisCofins[[#This Row],[CodBarras2]],2,50)</f>
        <v/>
      </c>
    </row>
    <row r="22871" spans="9:9" x14ac:dyDescent="0.25">
      <c r="I22871" s="227" t="str">
        <f>MID(excPisCofins[[#This Row],[CodBarras2]],2,50)</f>
        <v/>
      </c>
    </row>
    <row r="22872" spans="9:9" x14ac:dyDescent="0.25">
      <c r="I22872" s="227" t="str">
        <f>MID(excPisCofins[[#This Row],[CodBarras2]],2,50)</f>
        <v/>
      </c>
    </row>
    <row r="22873" spans="9:9" x14ac:dyDescent="0.25">
      <c r="I22873" s="227" t="str">
        <f>MID(excPisCofins[[#This Row],[CodBarras2]],2,50)</f>
        <v/>
      </c>
    </row>
    <row r="22874" spans="9:9" x14ac:dyDescent="0.25">
      <c r="I22874" s="227" t="str">
        <f>MID(excPisCofins[[#This Row],[CodBarras2]],2,50)</f>
        <v/>
      </c>
    </row>
    <row r="22875" spans="9:9" x14ac:dyDescent="0.25">
      <c r="I22875" s="227" t="str">
        <f>MID(excPisCofins[[#This Row],[CodBarras2]],2,50)</f>
        <v/>
      </c>
    </row>
    <row r="22876" spans="9:9" x14ac:dyDescent="0.25">
      <c r="I22876" s="227" t="str">
        <f>MID(excPisCofins[[#This Row],[CodBarras2]],2,50)</f>
        <v/>
      </c>
    </row>
    <row r="22877" spans="9:9" x14ac:dyDescent="0.25">
      <c r="I22877" s="227" t="str">
        <f>MID(excPisCofins[[#This Row],[CodBarras2]],2,50)</f>
        <v/>
      </c>
    </row>
    <row r="22878" spans="9:9" x14ac:dyDescent="0.25">
      <c r="I22878" s="227" t="str">
        <f>MID(excPisCofins[[#This Row],[CodBarras2]],2,50)</f>
        <v/>
      </c>
    </row>
    <row r="22879" spans="9:9" x14ac:dyDescent="0.25">
      <c r="I22879" s="227" t="str">
        <f>MID(excPisCofins[[#This Row],[CodBarras2]],2,50)</f>
        <v/>
      </c>
    </row>
    <row r="22880" spans="9:9" x14ac:dyDescent="0.25">
      <c r="I22880" s="227" t="str">
        <f>MID(excPisCofins[[#This Row],[CodBarras2]],2,50)</f>
        <v/>
      </c>
    </row>
    <row r="22881" spans="9:9" x14ac:dyDescent="0.25">
      <c r="I22881" s="227" t="str">
        <f>MID(excPisCofins[[#This Row],[CodBarras2]],2,50)</f>
        <v/>
      </c>
    </row>
    <row r="22882" spans="9:9" x14ac:dyDescent="0.25">
      <c r="I22882" s="227" t="str">
        <f>MID(excPisCofins[[#This Row],[CodBarras2]],2,50)</f>
        <v/>
      </c>
    </row>
    <row r="22883" spans="9:9" x14ac:dyDescent="0.25">
      <c r="I22883" s="227" t="str">
        <f>MID(excPisCofins[[#This Row],[CodBarras2]],2,50)</f>
        <v/>
      </c>
    </row>
    <row r="22884" spans="9:9" x14ac:dyDescent="0.25">
      <c r="I22884" s="227" t="str">
        <f>MID(excPisCofins[[#This Row],[CodBarras2]],2,50)</f>
        <v/>
      </c>
    </row>
    <row r="22885" spans="9:9" x14ac:dyDescent="0.25">
      <c r="I22885" s="227" t="str">
        <f>MID(excPisCofins[[#This Row],[CodBarras2]],2,50)</f>
        <v/>
      </c>
    </row>
    <row r="22886" spans="9:9" x14ac:dyDescent="0.25">
      <c r="I22886" s="227" t="str">
        <f>MID(excPisCofins[[#This Row],[CodBarras2]],2,50)</f>
        <v/>
      </c>
    </row>
    <row r="22887" spans="9:9" x14ac:dyDescent="0.25">
      <c r="I22887" s="227" t="str">
        <f>MID(excPisCofins[[#This Row],[CodBarras2]],2,50)</f>
        <v/>
      </c>
    </row>
    <row r="22888" spans="9:9" x14ac:dyDescent="0.25">
      <c r="I22888" s="227" t="str">
        <f>MID(excPisCofins[[#This Row],[CodBarras2]],2,50)</f>
        <v/>
      </c>
    </row>
    <row r="22889" spans="9:9" x14ac:dyDescent="0.25">
      <c r="I22889" s="227" t="str">
        <f>MID(excPisCofins[[#This Row],[CodBarras2]],2,50)</f>
        <v/>
      </c>
    </row>
    <row r="22890" spans="9:9" x14ac:dyDescent="0.25">
      <c r="I22890" s="227" t="str">
        <f>MID(excPisCofins[[#This Row],[CodBarras2]],2,50)</f>
        <v/>
      </c>
    </row>
    <row r="22891" spans="9:9" x14ac:dyDescent="0.25">
      <c r="I22891" s="227" t="str">
        <f>MID(excPisCofins[[#This Row],[CodBarras2]],2,50)</f>
        <v/>
      </c>
    </row>
    <row r="22892" spans="9:9" x14ac:dyDescent="0.25">
      <c r="I22892" s="227" t="str">
        <f>MID(excPisCofins[[#This Row],[CodBarras2]],2,50)</f>
        <v/>
      </c>
    </row>
    <row r="22893" spans="9:9" x14ac:dyDescent="0.25">
      <c r="I22893" s="227" t="str">
        <f>MID(excPisCofins[[#This Row],[CodBarras2]],2,50)</f>
        <v/>
      </c>
    </row>
    <row r="22894" spans="9:9" x14ac:dyDescent="0.25">
      <c r="I22894" s="227" t="str">
        <f>MID(excPisCofins[[#This Row],[CodBarras2]],2,50)</f>
        <v/>
      </c>
    </row>
    <row r="22895" spans="9:9" x14ac:dyDescent="0.25">
      <c r="I22895" s="227" t="str">
        <f>MID(excPisCofins[[#This Row],[CodBarras2]],2,50)</f>
        <v/>
      </c>
    </row>
    <row r="22896" spans="9:9" x14ac:dyDescent="0.25">
      <c r="I22896" s="227" t="str">
        <f>MID(excPisCofins[[#This Row],[CodBarras2]],2,50)</f>
        <v/>
      </c>
    </row>
    <row r="22897" spans="9:9" x14ac:dyDescent="0.25">
      <c r="I22897" s="227" t="str">
        <f>MID(excPisCofins[[#This Row],[CodBarras2]],2,50)</f>
        <v/>
      </c>
    </row>
    <row r="22898" spans="9:9" x14ac:dyDescent="0.25">
      <c r="I22898" s="227" t="str">
        <f>MID(excPisCofins[[#This Row],[CodBarras2]],2,50)</f>
        <v/>
      </c>
    </row>
    <row r="22899" spans="9:9" x14ac:dyDescent="0.25">
      <c r="I22899" s="227" t="str">
        <f>MID(excPisCofins[[#This Row],[CodBarras2]],2,50)</f>
        <v/>
      </c>
    </row>
    <row r="22900" spans="9:9" x14ac:dyDescent="0.25">
      <c r="I22900" s="227" t="str">
        <f>MID(excPisCofins[[#This Row],[CodBarras2]],2,50)</f>
        <v/>
      </c>
    </row>
    <row r="22901" spans="9:9" x14ac:dyDescent="0.25">
      <c r="I22901" s="227" t="str">
        <f>MID(excPisCofins[[#This Row],[CodBarras2]],2,50)</f>
        <v/>
      </c>
    </row>
    <row r="22902" spans="9:9" x14ac:dyDescent="0.25">
      <c r="I22902" s="227" t="str">
        <f>MID(excPisCofins[[#This Row],[CodBarras2]],2,50)</f>
        <v/>
      </c>
    </row>
    <row r="22903" spans="9:9" x14ac:dyDescent="0.25">
      <c r="I22903" s="227" t="str">
        <f>MID(excPisCofins[[#This Row],[CodBarras2]],2,50)</f>
        <v/>
      </c>
    </row>
    <row r="22904" spans="9:9" x14ac:dyDescent="0.25">
      <c r="I22904" s="227" t="str">
        <f>MID(excPisCofins[[#This Row],[CodBarras2]],2,50)</f>
        <v/>
      </c>
    </row>
    <row r="22905" spans="9:9" x14ac:dyDescent="0.25">
      <c r="I22905" s="227" t="str">
        <f>MID(excPisCofins[[#This Row],[CodBarras2]],2,50)</f>
        <v/>
      </c>
    </row>
    <row r="22906" spans="9:9" x14ac:dyDescent="0.25">
      <c r="I22906" s="227" t="str">
        <f>MID(excPisCofins[[#This Row],[CodBarras2]],2,50)</f>
        <v/>
      </c>
    </row>
    <row r="22907" spans="9:9" x14ac:dyDescent="0.25">
      <c r="I22907" s="227" t="str">
        <f>MID(excPisCofins[[#This Row],[CodBarras2]],2,50)</f>
        <v/>
      </c>
    </row>
    <row r="22908" spans="9:9" x14ac:dyDescent="0.25">
      <c r="I22908" s="227" t="str">
        <f>MID(excPisCofins[[#This Row],[CodBarras2]],2,50)</f>
        <v/>
      </c>
    </row>
    <row r="22909" spans="9:9" x14ac:dyDescent="0.25">
      <c r="I22909" s="227" t="str">
        <f>MID(excPisCofins[[#This Row],[CodBarras2]],2,50)</f>
        <v/>
      </c>
    </row>
    <row r="22910" spans="9:9" x14ac:dyDescent="0.25">
      <c r="I22910" s="227" t="str">
        <f>MID(excPisCofins[[#This Row],[CodBarras2]],2,50)</f>
        <v/>
      </c>
    </row>
    <row r="22911" spans="9:9" x14ac:dyDescent="0.25">
      <c r="I22911" s="227" t="str">
        <f>MID(excPisCofins[[#This Row],[CodBarras2]],2,50)</f>
        <v/>
      </c>
    </row>
    <row r="22912" spans="9:9" x14ac:dyDescent="0.25">
      <c r="I22912" s="227" t="str">
        <f>MID(excPisCofins[[#This Row],[CodBarras2]],2,50)</f>
        <v/>
      </c>
    </row>
    <row r="22913" spans="9:9" x14ac:dyDescent="0.25">
      <c r="I22913" s="227" t="str">
        <f>MID(excPisCofins[[#This Row],[CodBarras2]],2,50)</f>
        <v/>
      </c>
    </row>
    <row r="22914" spans="9:9" x14ac:dyDescent="0.25">
      <c r="I22914" s="227" t="str">
        <f>MID(excPisCofins[[#This Row],[CodBarras2]],2,50)</f>
        <v/>
      </c>
    </row>
    <row r="22915" spans="9:9" x14ac:dyDescent="0.25">
      <c r="I22915" s="227" t="str">
        <f>MID(excPisCofins[[#This Row],[CodBarras2]],2,50)</f>
        <v/>
      </c>
    </row>
    <row r="22916" spans="9:9" x14ac:dyDescent="0.25">
      <c r="I22916" s="227" t="str">
        <f>MID(excPisCofins[[#This Row],[CodBarras2]],2,50)</f>
        <v/>
      </c>
    </row>
    <row r="22917" spans="9:9" x14ac:dyDescent="0.25">
      <c r="I22917" s="227" t="str">
        <f>MID(excPisCofins[[#This Row],[CodBarras2]],2,50)</f>
        <v/>
      </c>
    </row>
    <row r="22918" spans="9:9" x14ac:dyDescent="0.25">
      <c r="I22918" s="227" t="str">
        <f>MID(excPisCofins[[#This Row],[CodBarras2]],2,50)</f>
        <v/>
      </c>
    </row>
    <row r="22919" spans="9:9" x14ac:dyDescent="0.25">
      <c r="I22919" s="227" t="str">
        <f>MID(excPisCofins[[#This Row],[CodBarras2]],2,50)</f>
        <v/>
      </c>
    </row>
    <row r="22920" spans="9:9" x14ac:dyDescent="0.25">
      <c r="I22920" s="227" t="str">
        <f>MID(excPisCofins[[#This Row],[CodBarras2]],2,50)</f>
        <v/>
      </c>
    </row>
    <row r="22921" spans="9:9" x14ac:dyDescent="0.25">
      <c r="I22921" s="227" t="str">
        <f>MID(excPisCofins[[#This Row],[CodBarras2]],2,50)</f>
        <v/>
      </c>
    </row>
    <row r="22922" spans="9:9" x14ac:dyDescent="0.25">
      <c r="I22922" s="227" t="str">
        <f>MID(excPisCofins[[#This Row],[CodBarras2]],2,50)</f>
        <v/>
      </c>
    </row>
    <row r="22923" spans="9:9" x14ac:dyDescent="0.25">
      <c r="I22923" s="227" t="str">
        <f>MID(excPisCofins[[#This Row],[CodBarras2]],2,50)</f>
        <v/>
      </c>
    </row>
    <row r="22924" spans="9:9" x14ac:dyDescent="0.25">
      <c r="I22924" s="227" t="str">
        <f>MID(excPisCofins[[#This Row],[CodBarras2]],2,50)</f>
        <v/>
      </c>
    </row>
    <row r="22925" spans="9:9" x14ac:dyDescent="0.25">
      <c r="I22925" s="227" t="str">
        <f>MID(excPisCofins[[#This Row],[CodBarras2]],2,50)</f>
        <v/>
      </c>
    </row>
    <row r="22926" spans="9:9" x14ac:dyDescent="0.25">
      <c r="I22926" s="227" t="str">
        <f>MID(excPisCofins[[#This Row],[CodBarras2]],2,50)</f>
        <v/>
      </c>
    </row>
    <row r="22927" spans="9:9" x14ac:dyDescent="0.25">
      <c r="I22927" s="227" t="str">
        <f>MID(excPisCofins[[#This Row],[CodBarras2]],2,50)</f>
        <v/>
      </c>
    </row>
    <row r="22928" spans="9:9" x14ac:dyDescent="0.25">
      <c r="I22928" s="227" t="str">
        <f>MID(excPisCofins[[#This Row],[CodBarras2]],2,50)</f>
        <v/>
      </c>
    </row>
    <row r="22929" spans="9:9" x14ac:dyDescent="0.25">
      <c r="I22929" s="227" t="str">
        <f>MID(excPisCofins[[#This Row],[CodBarras2]],2,50)</f>
        <v/>
      </c>
    </row>
    <row r="22930" spans="9:9" x14ac:dyDescent="0.25">
      <c r="I22930" s="227" t="str">
        <f>MID(excPisCofins[[#This Row],[CodBarras2]],2,50)</f>
        <v/>
      </c>
    </row>
    <row r="22931" spans="9:9" x14ac:dyDescent="0.25">
      <c r="I22931" s="227" t="str">
        <f>MID(excPisCofins[[#This Row],[CodBarras2]],2,50)</f>
        <v/>
      </c>
    </row>
    <row r="22932" spans="9:9" x14ac:dyDescent="0.25">
      <c r="I22932" s="227" t="str">
        <f>MID(excPisCofins[[#This Row],[CodBarras2]],2,50)</f>
        <v/>
      </c>
    </row>
    <row r="22933" spans="9:9" x14ac:dyDescent="0.25">
      <c r="I22933" s="227" t="str">
        <f>MID(excPisCofins[[#This Row],[CodBarras2]],2,50)</f>
        <v/>
      </c>
    </row>
    <row r="22934" spans="9:9" x14ac:dyDescent="0.25">
      <c r="I22934" s="227" t="str">
        <f>MID(excPisCofins[[#This Row],[CodBarras2]],2,50)</f>
        <v/>
      </c>
    </row>
    <row r="22935" spans="9:9" x14ac:dyDescent="0.25">
      <c r="I22935" s="227" t="str">
        <f>MID(excPisCofins[[#This Row],[CodBarras2]],2,50)</f>
        <v/>
      </c>
    </row>
    <row r="22936" spans="9:9" x14ac:dyDescent="0.25">
      <c r="I22936" s="227" t="str">
        <f>MID(excPisCofins[[#This Row],[CodBarras2]],2,50)</f>
        <v/>
      </c>
    </row>
    <row r="22937" spans="9:9" x14ac:dyDescent="0.25">
      <c r="I22937" s="227" t="str">
        <f>MID(excPisCofins[[#This Row],[CodBarras2]],2,50)</f>
        <v/>
      </c>
    </row>
    <row r="22938" spans="9:9" x14ac:dyDescent="0.25">
      <c r="I22938" s="227" t="str">
        <f>MID(excPisCofins[[#This Row],[CodBarras2]],2,50)</f>
        <v/>
      </c>
    </row>
    <row r="22939" spans="9:9" x14ac:dyDescent="0.25">
      <c r="I22939" s="227" t="str">
        <f>MID(excPisCofins[[#This Row],[CodBarras2]],2,50)</f>
        <v/>
      </c>
    </row>
    <row r="22940" spans="9:9" x14ac:dyDescent="0.25">
      <c r="I22940" s="227" t="str">
        <f>MID(excPisCofins[[#This Row],[CodBarras2]],2,50)</f>
        <v/>
      </c>
    </row>
    <row r="22941" spans="9:9" x14ac:dyDescent="0.25">
      <c r="I22941" s="227" t="str">
        <f>MID(excPisCofins[[#This Row],[CodBarras2]],2,50)</f>
        <v/>
      </c>
    </row>
    <row r="22942" spans="9:9" x14ac:dyDescent="0.25">
      <c r="I22942" s="227" t="str">
        <f>MID(excPisCofins[[#This Row],[CodBarras2]],2,50)</f>
        <v/>
      </c>
    </row>
    <row r="22943" spans="9:9" x14ac:dyDescent="0.25">
      <c r="I22943" s="227" t="str">
        <f>MID(excPisCofins[[#This Row],[CodBarras2]],2,50)</f>
        <v/>
      </c>
    </row>
    <row r="22944" spans="9:9" x14ac:dyDescent="0.25">
      <c r="I22944" s="227" t="str">
        <f>MID(excPisCofins[[#This Row],[CodBarras2]],2,50)</f>
        <v/>
      </c>
    </row>
    <row r="22945" spans="9:9" x14ac:dyDescent="0.25">
      <c r="I22945" s="227" t="str">
        <f>MID(excPisCofins[[#This Row],[CodBarras2]],2,50)</f>
        <v/>
      </c>
    </row>
    <row r="22946" spans="9:9" x14ac:dyDescent="0.25">
      <c r="I22946" s="227" t="str">
        <f>MID(excPisCofins[[#This Row],[CodBarras2]],2,50)</f>
        <v/>
      </c>
    </row>
    <row r="22947" spans="9:9" x14ac:dyDescent="0.25">
      <c r="I22947" s="227" t="str">
        <f>MID(excPisCofins[[#This Row],[CodBarras2]],2,50)</f>
        <v/>
      </c>
    </row>
    <row r="22948" spans="9:9" x14ac:dyDescent="0.25">
      <c r="I22948" s="227" t="str">
        <f>MID(excPisCofins[[#This Row],[CodBarras2]],2,50)</f>
        <v/>
      </c>
    </row>
    <row r="22949" spans="9:9" x14ac:dyDescent="0.25">
      <c r="I22949" s="227" t="str">
        <f>MID(excPisCofins[[#This Row],[CodBarras2]],2,50)</f>
        <v/>
      </c>
    </row>
    <row r="22950" spans="9:9" x14ac:dyDescent="0.25">
      <c r="I22950" s="227" t="str">
        <f>MID(excPisCofins[[#This Row],[CodBarras2]],2,50)</f>
        <v/>
      </c>
    </row>
    <row r="22951" spans="9:9" x14ac:dyDescent="0.25">
      <c r="I22951" s="227" t="str">
        <f>MID(excPisCofins[[#This Row],[CodBarras2]],2,50)</f>
        <v/>
      </c>
    </row>
    <row r="22952" spans="9:9" x14ac:dyDescent="0.25">
      <c r="I22952" s="227" t="str">
        <f>MID(excPisCofins[[#This Row],[CodBarras2]],2,50)</f>
        <v/>
      </c>
    </row>
    <row r="22953" spans="9:9" x14ac:dyDescent="0.25">
      <c r="I22953" s="227" t="str">
        <f>MID(excPisCofins[[#This Row],[CodBarras2]],2,50)</f>
        <v/>
      </c>
    </row>
    <row r="22954" spans="9:9" x14ac:dyDescent="0.25">
      <c r="I22954" s="227" t="str">
        <f>MID(excPisCofins[[#This Row],[CodBarras2]],2,50)</f>
        <v/>
      </c>
    </row>
    <row r="22955" spans="9:9" x14ac:dyDescent="0.25">
      <c r="I22955" s="227" t="str">
        <f>MID(excPisCofins[[#This Row],[CodBarras2]],2,50)</f>
        <v/>
      </c>
    </row>
    <row r="22956" spans="9:9" x14ac:dyDescent="0.25">
      <c r="I22956" s="227" t="str">
        <f>MID(excPisCofins[[#This Row],[CodBarras2]],2,50)</f>
        <v/>
      </c>
    </row>
    <row r="22957" spans="9:9" x14ac:dyDescent="0.25">
      <c r="I22957" s="227" t="str">
        <f>MID(excPisCofins[[#This Row],[CodBarras2]],2,50)</f>
        <v/>
      </c>
    </row>
    <row r="22958" spans="9:9" x14ac:dyDescent="0.25">
      <c r="I22958" s="227" t="str">
        <f>MID(excPisCofins[[#This Row],[CodBarras2]],2,50)</f>
        <v/>
      </c>
    </row>
    <row r="22959" spans="9:9" x14ac:dyDescent="0.25">
      <c r="I22959" s="227" t="str">
        <f>MID(excPisCofins[[#This Row],[CodBarras2]],2,50)</f>
        <v/>
      </c>
    </row>
    <row r="22960" spans="9:9" x14ac:dyDescent="0.25">
      <c r="I22960" s="227" t="str">
        <f>MID(excPisCofins[[#This Row],[CodBarras2]],2,50)</f>
        <v/>
      </c>
    </row>
    <row r="22961" spans="9:9" x14ac:dyDescent="0.25">
      <c r="I22961" s="227" t="str">
        <f>MID(excPisCofins[[#This Row],[CodBarras2]],2,50)</f>
        <v/>
      </c>
    </row>
    <row r="22962" spans="9:9" x14ac:dyDescent="0.25">
      <c r="I22962" s="227" t="str">
        <f>MID(excPisCofins[[#This Row],[CodBarras2]],2,50)</f>
        <v/>
      </c>
    </row>
    <row r="22963" spans="9:9" x14ac:dyDescent="0.25">
      <c r="I22963" s="227" t="str">
        <f>MID(excPisCofins[[#This Row],[CodBarras2]],2,50)</f>
        <v/>
      </c>
    </row>
    <row r="22964" spans="9:9" x14ac:dyDescent="0.25">
      <c r="I22964" s="227" t="str">
        <f>MID(excPisCofins[[#This Row],[CodBarras2]],2,50)</f>
        <v/>
      </c>
    </row>
    <row r="22965" spans="9:9" x14ac:dyDescent="0.25">
      <c r="I22965" s="227" t="str">
        <f>MID(excPisCofins[[#This Row],[CodBarras2]],2,50)</f>
        <v/>
      </c>
    </row>
    <row r="22966" spans="9:9" x14ac:dyDescent="0.25">
      <c r="I22966" s="227" t="str">
        <f>MID(excPisCofins[[#This Row],[CodBarras2]],2,50)</f>
        <v/>
      </c>
    </row>
    <row r="22967" spans="9:9" x14ac:dyDescent="0.25">
      <c r="I22967" s="227" t="str">
        <f>MID(excPisCofins[[#This Row],[CodBarras2]],2,50)</f>
        <v/>
      </c>
    </row>
    <row r="22968" spans="9:9" x14ac:dyDescent="0.25">
      <c r="I22968" s="227" t="str">
        <f>MID(excPisCofins[[#This Row],[CodBarras2]],2,50)</f>
        <v/>
      </c>
    </row>
    <row r="22969" spans="9:9" x14ac:dyDescent="0.25">
      <c r="I22969" s="227" t="str">
        <f>MID(excPisCofins[[#This Row],[CodBarras2]],2,50)</f>
        <v/>
      </c>
    </row>
    <row r="22970" spans="9:9" x14ac:dyDescent="0.25">
      <c r="I22970" s="227" t="str">
        <f>MID(excPisCofins[[#This Row],[CodBarras2]],2,50)</f>
        <v/>
      </c>
    </row>
    <row r="22971" spans="9:9" x14ac:dyDescent="0.25">
      <c r="I22971" s="227" t="str">
        <f>MID(excPisCofins[[#This Row],[CodBarras2]],2,50)</f>
        <v/>
      </c>
    </row>
    <row r="22972" spans="9:9" x14ac:dyDescent="0.25">
      <c r="I22972" s="227" t="str">
        <f>MID(excPisCofins[[#This Row],[CodBarras2]],2,50)</f>
        <v/>
      </c>
    </row>
    <row r="22973" spans="9:9" x14ac:dyDescent="0.25">
      <c r="I22973" s="227" t="str">
        <f>MID(excPisCofins[[#This Row],[CodBarras2]],2,50)</f>
        <v/>
      </c>
    </row>
    <row r="22974" spans="9:9" x14ac:dyDescent="0.25">
      <c r="I22974" s="227" t="str">
        <f>MID(excPisCofins[[#This Row],[CodBarras2]],2,50)</f>
        <v/>
      </c>
    </row>
    <row r="22975" spans="9:9" x14ac:dyDescent="0.25">
      <c r="I22975" s="227" t="str">
        <f>MID(excPisCofins[[#This Row],[CodBarras2]],2,50)</f>
        <v/>
      </c>
    </row>
    <row r="22976" spans="9:9" x14ac:dyDescent="0.25">
      <c r="I22976" s="227" t="str">
        <f>MID(excPisCofins[[#This Row],[CodBarras2]],2,50)</f>
        <v/>
      </c>
    </row>
    <row r="22977" spans="9:9" x14ac:dyDescent="0.25">
      <c r="I22977" s="227" t="str">
        <f>MID(excPisCofins[[#This Row],[CodBarras2]],2,50)</f>
        <v/>
      </c>
    </row>
    <row r="22978" spans="9:9" x14ac:dyDescent="0.25">
      <c r="I22978" s="227" t="str">
        <f>MID(excPisCofins[[#This Row],[CodBarras2]],2,50)</f>
        <v/>
      </c>
    </row>
    <row r="22979" spans="9:9" x14ac:dyDescent="0.25">
      <c r="I22979" s="227" t="str">
        <f>MID(excPisCofins[[#This Row],[CodBarras2]],2,50)</f>
        <v/>
      </c>
    </row>
    <row r="22980" spans="9:9" x14ac:dyDescent="0.25">
      <c r="I22980" s="227" t="str">
        <f>MID(excPisCofins[[#This Row],[CodBarras2]],2,50)</f>
        <v/>
      </c>
    </row>
    <row r="22981" spans="9:9" x14ac:dyDescent="0.25">
      <c r="I22981" s="227" t="str">
        <f>MID(excPisCofins[[#This Row],[CodBarras2]],2,50)</f>
        <v/>
      </c>
    </row>
    <row r="22982" spans="9:9" x14ac:dyDescent="0.25">
      <c r="I22982" s="227" t="str">
        <f>MID(excPisCofins[[#This Row],[CodBarras2]],2,50)</f>
        <v/>
      </c>
    </row>
    <row r="22983" spans="9:9" x14ac:dyDescent="0.25">
      <c r="I22983" s="227" t="str">
        <f>MID(excPisCofins[[#This Row],[CodBarras2]],2,50)</f>
        <v/>
      </c>
    </row>
    <row r="22984" spans="9:9" x14ac:dyDescent="0.25">
      <c r="I22984" s="227" t="str">
        <f>MID(excPisCofins[[#This Row],[CodBarras2]],2,50)</f>
        <v/>
      </c>
    </row>
    <row r="22985" spans="9:9" x14ac:dyDescent="0.25">
      <c r="I22985" s="227" t="str">
        <f>MID(excPisCofins[[#This Row],[CodBarras2]],2,50)</f>
        <v/>
      </c>
    </row>
    <row r="22986" spans="9:9" x14ac:dyDescent="0.25">
      <c r="I22986" s="227" t="str">
        <f>MID(excPisCofins[[#This Row],[CodBarras2]],2,50)</f>
        <v/>
      </c>
    </row>
    <row r="22987" spans="9:9" x14ac:dyDescent="0.25">
      <c r="I22987" s="227" t="str">
        <f>MID(excPisCofins[[#This Row],[CodBarras2]],2,50)</f>
        <v/>
      </c>
    </row>
    <row r="22988" spans="9:9" x14ac:dyDescent="0.25">
      <c r="I22988" s="227" t="str">
        <f>MID(excPisCofins[[#This Row],[CodBarras2]],2,50)</f>
        <v/>
      </c>
    </row>
    <row r="22989" spans="9:9" x14ac:dyDescent="0.25">
      <c r="I22989" s="227" t="str">
        <f>MID(excPisCofins[[#This Row],[CodBarras2]],2,50)</f>
        <v/>
      </c>
    </row>
    <row r="22990" spans="9:9" x14ac:dyDescent="0.25">
      <c r="I22990" s="227" t="str">
        <f>MID(excPisCofins[[#This Row],[CodBarras2]],2,50)</f>
        <v/>
      </c>
    </row>
    <row r="22991" spans="9:9" x14ac:dyDescent="0.25">
      <c r="I22991" s="227" t="str">
        <f>MID(excPisCofins[[#This Row],[CodBarras2]],2,50)</f>
        <v/>
      </c>
    </row>
    <row r="22992" spans="9:9" x14ac:dyDescent="0.25">
      <c r="I22992" s="227" t="str">
        <f>MID(excPisCofins[[#This Row],[CodBarras2]],2,50)</f>
        <v/>
      </c>
    </row>
    <row r="22993" spans="9:9" x14ac:dyDescent="0.25">
      <c r="I22993" s="227" t="str">
        <f>MID(excPisCofins[[#This Row],[CodBarras2]],2,50)</f>
        <v/>
      </c>
    </row>
    <row r="22994" spans="9:9" x14ac:dyDescent="0.25">
      <c r="I22994" s="227" t="str">
        <f>MID(excPisCofins[[#This Row],[CodBarras2]],2,50)</f>
        <v/>
      </c>
    </row>
    <row r="22995" spans="9:9" x14ac:dyDescent="0.25">
      <c r="I22995" s="227" t="str">
        <f>MID(excPisCofins[[#This Row],[CodBarras2]],2,50)</f>
        <v/>
      </c>
    </row>
    <row r="22996" spans="9:9" x14ac:dyDescent="0.25">
      <c r="I22996" s="227" t="str">
        <f>MID(excPisCofins[[#This Row],[CodBarras2]],2,50)</f>
        <v/>
      </c>
    </row>
    <row r="22997" spans="9:9" x14ac:dyDescent="0.25">
      <c r="I22997" s="227" t="str">
        <f>MID(excPisCofins[[#This Row],[CodBarras2]],2,50)</f>
        <v/>
      </c>
    </row>
    <row r="22998" spans="9:9" x14ac:dyDescent="0.25">
      <c r="I22998" s="227" t="str">
        <f>MID(excPisCofins[[#This Row],[CodBarras2]],2,50)</f>
        <v/>
      </c>
    </row>
    <row r="22999" spans="9:9" x14ac:dyDescent="0.25">
      <c r="I22999" s="227" t="str">
        <f>MID(excPisCofins[[#This Row],[CodBarras2]],2,50)</f>
        <v/>
      </c>
    </row>
    <row r="23000" spans="9:9" x14ac:dyDescent="0.25">
      <c r="I23000" s="227" t="str">
        <f>MID(excPisCofins[[#This Row],[CodBarras2]],2,50)</f>
        <v/>
      </c>
    </row>
    <row r="23001" spans="9:9" x14ac:dyDescent="0.25">
      <c r="I23001" s="227" t="str">
        <f>MID(excPisCofins[[#This Row],[CodBarras2]],2,50)</f>
        <v/>
      </c>
    </row>
    <row r="23002" spans="9:9" x14ac:dyDescent="0.25">
      <c r="I23002" s="227" t="str">
        <f>MID(excPisCofins[[#This Row],[CodBarras2]],2,50)</f>
        <v/>
      </c>
    </row>
    <row r="23003" spans="9:9" x14ac:dyDescent="0.25">
      <c r="I23003" s="227" t="str">
        <f>MID(excPisCofins[[#This Row],[CodBarras2]],2,50)</f>
        <v/>
      </c>
    </row>
    <row r="23004" spans="9:9" x14ac:dyDescent="0.25">
      <c r="I23004" s="227" t="str">
        <f>MID(excPisCofins[[#This Row],[CodBarras2]],2,50)</f>
        <v/>
      </c>
    </row>
    <row r="23005" spans="9:9" x14ac:dyDescent="0.25">
      <c r="I23005" s="227" t="str">
        <f>MID(excPisCofins[[#This Row],[CodBarras2]],2,50)</f>
        <v/>
      </c>
    </row>
    <row r="23006" spans="9:9" x14ac:dyDescent="0.25">
      <c r="I23006" s="227" t="str">
        <f>MID(excPisCofins[[#This Row],[CodBarras2]],2,50)</f>
        <v/>
      </c>
    </row>
    <row r="23007" spans="9:9" x14ac:dyDescent="0.25">
      <c r="I23007" s="227" t="str">
        <f>MID(excPisCofins[[#This Row],[CodBarras2]],2,50)</f>
        <v/>
      </c>
    </row>
    <row r="23008" spans="9:9" x14ac:dyDescent="0.25">
      <c r="I23008" s="227" t="str">
        <f>MID(excPisCofins[[#This Row],[CodBarras2]],2,50)</f>
        <v/>
      </c>
    </row>
    <row r="23009" spans="9:9" x14ac:dyDescent="0.25">
      <c r="I23009" s="227" t="str">
        <f>MID(excPisCofins[[#This Row],[CodBarras2]],2,50)</f>
        <v/>
      </c>
    </row>
    <row r="23010" spans="9:9" x14ac:dyDescent="0.25">
      <c r="I23010" s="227" t="str">
        <f>MID(excPisCofins[[#This Row],[CodBarras2]],2,50)</f>
        <v/>
      </c>
    </row>
    <row r="23011" spans="9:9" x14ac:dyDescent="0.25">
      <c r="I23011" s="227" t="str">
        <f>MID(excPisCofins[[#This Row],[CodBarras2]],2,50)</f>
        <v/>
      </c>
    </row>
    <row r="23012" spans="9:9" x14ac:dyDescent="0.25">
      <c r="I23012" s="227" t="str">
        <f>MID(excPisCofins[[#This Row],[CodBarras2]],2,50)</f>
        <v/>
      </c>
    </row>
    <row r="23013" spans="9:9" x14ac:dyDescent="0.25">
      <c r="I23013" s="227" t="str">
        <f>MID(excPisCofins[[#This Row],[CodBarras2]],2,50)</f>
        <v/>
      </c>
    </row>
    <row r="23014" spans="9:9" x14ac:dyDescent="0.25">
      <c r="I23014" s="227" t="str">
        <f>MID(excPisCofins[[#This Row],[CodBarras2]],2,50)</f>
        <v/>
      </c>
    </row>
    <row r="23015" spans="9:9" x14ac:dyDescent="0.25">
      <c r="I23015" s="227" t="str">
        <f>MID(excPisCofins[[#This Row],[CodBarras2]],2,50)</f>
        <v/>
      </c>
    </row>
    <row r="23016" spans="9:9" x14ac:dyDescent="0.25">
      <c r="I23016" s="227" t="str">
        <f>MID(excPisCofins[[#This Row],[CodBarras2]],2,50)</f>
        <v/>
      </c>
    </row>
    <row r="23017" spans="9:9" x14ac:dyDescent="0.25">
      <c r="I23017" s="227" t="str">
        <f>MID(excPisCofins[[#This Row],[CodBarras2]],2,50)</f>
        <v/>
      </c>
    </row>
    <row r="23018" spans="9:9" x14ac:dyDescent="0.25">
      <c r="I23018" s="227" t="str">
        <f>MID(excPisCofins[[#This Row],[CodBarras2]],2,50)</f>
        <v/>
      </c>
    </row>
    <row r="23019" spans="9:9" x14ac:dyDescent="0.25">
      <c r="I23019" s="227" t="str">
        <f>MID(excPisCofins[[#This Row],[CodBarras2]],2,50)</f>
        <v/>
      </c>
    </row>
    <row r="23020" spans="9:9" x14ac:dyDescent="0.25">
      <c r="I23020" s="227" t="str">
        <f>MID(excPisCofins[[#This Row],[CodBarras2]],2,50)</f>
        <v/>
      </c>
    </row>
    <row r="23021" spans="9:9" x14ac:dyDescent="0.25">
      <c r="I23021" s="227" t="str">
        <f>MID(excPisCofins[[#This Row],[CodBarras2]],2,50)</f>
        <v/>
      </c>
    </row>
    <row r="23022" spans="9:9" x14ac:dyDescent="0.25">
      <c r="I23022" s="227" t="str">
        <f>MID(excPisCofins[[#This Row],[CodBarras2]],2,50)</f>
        <v/>
      </c>
    </row>
    <row r="23023" spans="9:9" x14ac:dyDescent="0.25">
      <c r="I23023" s="227" t="str">
        <f>MID(excPisCofins[[#This Row],[CodBarras2]],2,50)</f>
        <v/>
      </c>
    </row>
    <row r="23024" spans="9:9" x14ac:dyDescent="0.25">
      <c r="I23024" s="227" t="str">
        <f>MID(excPisCofins[[#This Row],[CodBarras2]],2,50)</f>
        <v/>
      </c>
    </row>
    <row r="23025" spans="9:9" x14ac:dyDescent="0.25">
      <c r="I23025" s="227" t="str">
        <f>MID(excPisCofins[[#This Row],[CodBarras2]],2,50)</f>
        <v/>
      </c>
    </row>
    <row r="23026" spans="9:9" x14ac:dyDescent="0.25">
      <c r="I23026" s="227" t="str">
        <f>MID(excPisCofins[[#This Row],[CodBarras2]],2,50)</f>
        <v/>
      </c>
    </row>
    <row r="23027" spans="9:9" x14ac:dyDescent="0.25">
      <c r="I23027" s="227" t="str">
        <f>MID(excPisCofins[[#This Row],[CodBarras2]],2,50)</f>
        <v/>
      </c>
    </row>
    <row r="23028" spans="9:9" x14ac:dyDescent="0.25">
      <c r="I23028" s="227" t="str">
        <f>MID(excPisCofins[[#This Row],[CodBarras2]],2,50)</f>
        <v/>
      </c>
    </row>
    <row r="23029" spans="9:9" x14ac:dyDescent="0.25">
      <c r="I23029" s="227" t="str">
        <f>MID(excPisCofins[[#This Row],[CodBarras2]],2,50)</f>
        <v/>
      </c>
    </row>
    <row r="23030" spans="9:9" x14ac:dyDescent="0.25">
      <c r="I23030" s="227" t="str">
        <f>MID(excPisCofins[[#This Row],[CodBarras2]],2,50)</f>
        <v/>
      </c>
    </row>
    <row r="23031" spans="9:9" x14ac:dyDescent="0.25">
      <c r="I23031" s="227" t="str">
        <f>MID(excPisCofins[[#This Row],[CodBarras2]],2,50)</f>
        <v/>
      </c>
    </row>
    <row r="23032" spans="9:9" x14ac:dyDescent="0.25">
      <c r="I23032" s="227" t="str">
        <f>MID(excPisCofins[[#This Row],[CodBarras2]],2,50)</f>
        <v/>
      </c>
    </row>
    <row r="23033" spans="9:9" x14ac:dyDescent="0.25">
      <c r="I23033" s="227" t="str">
        <f>MID(excPisCofins[[#This Row],[CodBarras2]],2,50)</f>
        <v/>
      </c>
    </row>
    <row r="23034" spans="9:9" x14ac:dyDescent="0.25">
      <c r="I23034" s="227" t="str">
        <f>MID(excPisCofins[[#This Row],[CodBarras2]],2,50)</f>
        <v/>
      </c>
    </row>
    <row r="23035" spans="9:9" x14ac:dyDescent="0.25">
      <c r="I23035" s="227" t="str">
        <f>MID(excPisCofins[[#This Row],[CodBarras2]],2,50)</f>
        <v/>
      </c>
    </row>
    <row r="23036" spans="9:9" x14ac:dyDescent="0.25">
      <c r="I23036" s="227" t="str">
        <f>MID(excPisCofins[[#This Row],[CodBarras2]],2,50)</f>
        <v/>
      </c>
    </row>
    <row r="23037" spans="9:9" x14ac:dyDescent="0.25">
      <c r="I23037" s="227" t="str">
        <f>MID(excPisCofins[[#This Row],[CodBarras2]],2,50)</f>
        <v/>
      </c>
    </row>
    <row r="23038" spans="9:9" x14ac:dyDescent="0.25">
      <c r="I23038" s="227" t="str">
        <f>MID(excPisCofins[[#This Row],[CodBarras2]],2,50)</f>
        <v/>
      </c>
    </row>
    <row r="23039" spans="9:9" x14ac:dyDescent="0.25">
      <c r="I23039" s="227" t="str">
        <f>MID(excPisCofins[[#This Row],[CodBarras2]],2,50)</f>
        <v/>
      </c>
    </row>
    <row r="23040" spans="9:9" x14ac:dyDescent="0.25">
      <c r="I23040" s="227" t="str">
        <f>MID(excPisCofins[[#This Row],[CodBarras2]],2,50)</f>
        <v/>
      </c>
    </row>
    <row r="23041" spans="9:9" x14ac:dyDescent="0.25">
      <c r="I23041" s="227" t="str">
        <f>MID(excPisCofins[[#This Row],[CodBarras2]],2,50)</f>
        <v/>
      </c>
    </row>
    <row r="23042" spans="9:9" x14ac:dyDescent="0.25">
      <c r="I23042" s="227" t="str">
        <f>MID(excPisCofins[[#This Row],[CodBarras2]],2,50)</f>
        <v/>
      </c>
    </row>
    <row r="23043" spans="9:9" x14ac:dyDescent="0.25">
      <c r="I23043" s="227" t="str">
        <f>MID(excPisCofins[[#This Row],[CodBarras2]],2,50)</f>
        <v/>
      </c>
    </row>
    <row r="23044" spans="9:9" x14ac:dyDescent="0.25">
      <c r="I23044" s="227" t="str">
        <f>MID(excPisCofins[[#This Row],[CodBarras2]],2,50)</f>
        <v/>
      </c>
    </row>
    <row r="23045" spans="9:9" x14ac:dyDescent="0.25">
      <c r="I23045" s="227" t="str">
        <f>MID(excPisCofins[[#This Row],[CodBarras2]],2,50)</f>
        <v/>
      </c>
    </row>
    <row r="23046" spans="9:9" x14ac:dyDescent="0.25">
      <c r="I23046" s="227" t="str">
        <f>MID(excPisCofins[[#This Row],[CodBarras2]],2,50)</f>
        <v/>
      </c>
    </row>
    <row r="23047" spans="9:9" x14ac:dyDescent="0.25">
      <c r="I23047" s="227" t="str">
        <f>MID(excPisCofins[[#This Row],[CodBarras2]],2,50)</f>
        <v/>
      </c>
    </row>
    <row r="23048" spans="9:9" x14ac:dyDescent="0.25">
      <c r="I23048" s="227" t="str">
        <f>MID(excPisCofins[[#This Row],[CodBarras2]],2,50)</f>
        <v/>
      </c>
    </row>
    <row r="23049" spans="9:9" x14ac:dyDescent="0.25">
      <c r="I23049" s="227" t="str">
        <f>MID(excPisCofins[[#This Row],[CodBarras2]],2,50)</f>
        <v/>
      </c>
    </row>
    <row r="23050" spans="9:9" x14ac:dyDescent="0.25">
      <c r="I23050" s="227" t="str">
        <f>MID(excPisCofins[[#This Row],[CodBarras2]],2,50)</f>
        <v/>
      </c>
    </row>
    <row r="23051" spans="9:9" x14ac:dyDescent="0.25">
      <c r="I23051" s="227" t="str">
        <f>MID(excPisCofins[[#This Row],[CodBarras2]],2,50)</f>
        <v/>
      </c>
    </row>
    <row r="23052" spans="9:9" x14ac:dyDescent="0.25">
      <c r="I23052" s="227" t="str">
        <f>MID(excPisCofins[[#This Row],[CodBarras2]],2,50)</f>
        <v/>
      </c>
    </row>
    <row r="23053" spans="9:9" x14ac:dyDescent="0.25">
      <c r="I23053" s="227" t="str">
        <f>MID(excPisCofins[[#This Row],[CodBarras2]],2,50)</f>
        <v/>
      </c>
    </row>
    <row r="23054" spans="9:9" x14ac:dyDescent="0.25">
      <c r="I23054" s="227" t="str">
        <f>MID(excPisCofins[[#This Row],[CodBarras2]],2,50)</f>
        <v/>
      </c>
    </row>
    <row r="23055" spans="9:9" x14ac:dyDescent="0.25">
      <c r="I23055" s="227" t="str">
        <f>MID(excPisCofins[[#This Row],[CodBarras2]],2,50)</f>
        <v/>
      </c>
    </row>
    <row r="23056" spans="9:9" x14ac:dyDescent="0.25">
      <c r="I23056" s="227" t="str">
        <f>MID(excPisCofins[[#This Row],[CodBarras2]],2,50)</f>
        <v/>
      </c>
    </row>
    <row r="23057" spans="9:9" x14ac:dyDescent="0.25">
      <c r="I23057" s="227" t="str">
        <f>MID(excPisCofins[[#This Row],[CodBarras2]],2,50)</f>
        <v/>
      </c>
    </row>
    <row r="23058" spans="9:9" x14ac:dyDescent="0.25">
      <c r="I23058" s="227" t="str">
        <f>MID(excPisCofins[[#This Row],[CodBarras2]],2,50)</f>
        <v/>
      </c>
    </row>
    <row r="23059" spans="9:9" x14ac:dyDescent="0.25">
      <c r="I23059" s="227" t="str">
        <f>MID(excPisCofins[[#This Row],[CodBarras2]],2,50)</f>
        <v/>
      </c>
    </row>
    <row r="23060" spans="9:9" x14ac:dyDescent="0.25">
      <c r="I23060" s="227" t="str">
        <f>MID(excPisCofins[[#This Row],[CodBarras2]],2,50)</f>
        <v/>
      </c>
    </row>
    <row r="23061" spans="9:9" x14ac:dyDescent="0.25">
      <c r="I23061" s="227" t="str">
        <f>MID(excPisCofins[[#This Row],[CodBarras2]],2,50)</f>
        <v/>
      </c>
    </row>
    <row r="23062" spans="9:9" x14ac:dyDescent="0.25">
      <c r="I23062" s="227" t="str">
        <f>MID(excPisCofins[[#This Row],[CodBarras2]],2,50)</f>
        <v/>
      </c>
    </row>
    <row r="23063" spans="9:9" x14ac:dyDescent="0.25">
      <c r="I23063" s="227" t="str">
        <f>MID(excPisCofins[[#This Row],[CodBarras2]],2,50)</f>
        <v/>
      </c>
    </row>
    <row r="23064" spans="9:9" x14ac:dyDescent="0.25">
      <c r="I23064" s="227" t="str">
        <f>MID(excPisCofins[[#This Row],[CodBarras2]],2,50)</f>
        <v/>
      </c>
    </row>
    <row r="23065" spans="9:9" x14ac:dyDescent="0.25">
      <c r="I23065" s="227" t="str">
        <f>MID(excPisCofins[[#This Row],[CodBarras2]],2,50)</f>
        <v/>
      </c>
    </row>
    <row r="23066" spans="9:9" x14ac:dyDescent="0.25">
      <c r="I23066" s="227" t="str">
        <f>MID(excPisCofins[[#This Row],[CodBarras2]],2,50)</f>
        <v/>
      </c>
    </row>
    <row r="23067" spans="9:9" x14ac:dyDescent="0.25">
      <c r="I23067" s="227" t="str">
        <f>MID(excPisCofins[[#This Row],[CodBarras2]],2,50)</f>
        <v/>
      </c>
    </row>
    <row r="23068" spans="9:9" x14ac:dyDescent="0.25">
      <c r="I23068" s="227" t="str">
        <f>MID(excPisCofins[[#This Row],[CodBarras2]],2,50)</f>
        <v/>
      </c>
    </row>
    <row r="23069" spans="9:9" x14ac:dyDescent="0.25">
      <c r="I23069" s="227" t="str">
        <f>MID(excPisCofins[[#This Row],[CodBarras2]],2,50)</f>
        <v/>
      </c>
    </row>
    <row r="23070" spans="9:9" x14ac:dyDescent="0.25">
      <c r="I23070" s="227" t="str">
        <f>MID(excPisCofins[[#This Row],[CodBarras2]],2,50)</f>
        <v/>
      </c>
    </row>
    <row r="23071" spans="9:9" x14ac:dyDescent="0.25">
      <c r="I23071" s="227" t="str">
        <f>MID(excPisCofins[[#This Row],[CodBarras2]],2,50)</f>
        <v/>
      </c>
    </row>
    <row r="23072" spans="9:9" x14ac:dyDescent="0.25">
      <c r="I23072" s="227" t="str">
        <f>MID(excPisCofins[[#This Row],[CodBarras2]],2,50)</f>
        <v/>
      </c>
    </row>
    <row r="23073" spans="9:9" x14ac:dyDescent="0.25">
      <c r="I23073" s="227" t="str">
        <f>MID(excPisCofins[[#This Row],[CodBarras2]],2,50)</f>
        <v/>
      </c>
    </row>
    <row r="23074" spans="9:9" x14ac:dyDescent="0.25">
      <c r="I23074" s="227" t="str">
        <f>MID(excPisCofins[[#This Row],[CodBarras2]],2,50)</f>
        <v/>
      </c>
    </row>
    <row r="23075" spans="9:9" x14ac:dyDescent="0.25">
      <c r="I23075" s="227" t="str">
        <f>MID(excPisCofins[[#This Row],[CodBarras2]],2,50)</f>
        <v/>
      </c>
    </row>
    <row r="23076" spans="9:9" x14ac:dyDescent="0.25">
      <c r="I23076" s="227" t="str">
        <f>MID(excPisCofins[[#This Row],[CodBarras2]],2,50)</f>
        <v/>
      </c>
    </row>
    <row r="23077" spans="9:9" x14ac:dyDescent="0.25">
      <c r="I23077" s="227" t="str">
        <f>MID(excPisCofins[[#This Row],[CodBarras2]],2,50)</f>
        <v/>
      </c>
    </row>
    <row r="23078" spans="9:9" x14ac:dyDescent="0.25">
      <c r="I23078" s="227" t="str">
        <f>MID(excPisCofins[[#This Row],[CodBarras2]],2,50)</f>
        <v/>
      </c>
    </row>
    <row r="23079" spans="9:9" x14ac:dyDescent="0.25">
      <c r="I23079" s="227" t="str">
        <f>MID(excPisCofins[[#This Row],[CodBarras2]],2,50)</f>
        <v/>
      </c>
    </row>
    <row r="23080" spans="9:9" x14ac:dyDescent="0.25">
      <c r="I23080" s="227" t="str">
        <f>MID(excPisCofins[[#This Row],[CodBarras2]],2,50)</f>
        <v/>
      </c>
    </row>
    <row r="23081" spans="9:9" x14ac:dyDescent="0.25">
      <c r="I23081" s="227" t="str">
        <f>MID(excPisCofins[[#This Row],[CodBarras2]],2,50)</f>
        <v/>
      </c>
    </row>
    <row r="23082" spans="9:9" x14ac:dyDescent="0.25">
      <c r="I23082" s="227" t="str">
        <f>MID(excPisCofins[[#This Row],[CodBarras2]],2,50)</f>
        <v/>
      </c>
    </row>
    <row r="23083" spans="9:9" x14ac:dyDescent="0.25">
      <c r="I23083" s="227" t="str">
        <f>MID(excPisCofins[[#This Row],[CodBarras2]],2,50)</f>
        <v/>
      </c>
    </row>
    <row r="23084" spans="9:9" x14ac:dyDescent="0.25">
      <c r="I23084" s="227" t="str">
        <f>MID(excPisCofins[[#This Row],[CodBarras2]],2,50)</f>
        <v/>
      </c>
    </row>
    <row r="23085" spans="9:9" x14ac:dyDescent="0.25">
      <c r="I23085" s="227" t="str">
        <f>MID(excPisCofins[[#This Row],[CodBarras2]],2,50)</f>
        <v/>
      </c>
    </row>
    <row r="23086" spans="9:9" x14ac:dyDescent="0.25">
      <c r="I23086" s="227" t="str">
        <f>MID(excPisCofins[[#This Row],[CodBarras2]],2,50)</f>
        <v/>
      </c>
    </row>
    <row r="23087" spans="9:9" x14ac:dyDescent="0.25">
      <c r="I23087" s="227" t="str">
        <f>MID(excPisCofins[[#This Row],[CodBarras2]],2,50)</f>
        <v/>
      </c>
    </row>
    <row r="23088" spans="9:9" x14ac:dyDescent="0.25">
      <c r="I23088" s="227" t="str">
        <f>MID(excPisCofins[[#This Row],[CodBarras2]],2,50)</f>
        <v/>
      </c>
    </row>
    <row r="23089" spans="9:9" x14ac:dyDescent="0.25">
      <c r="I23089" s="227" t="str">
        <f>MID(excPisCofins[[#This Row],[CodBarras2]],2,50)</f>
        <v/>
      </c>
    </row>
    <row r="23090" spans="9:9" x14ac:dyDescent="0.25">
      <c r="I23090" s="227" t="str">
        <f>MID(excPisCofins[[#This Row],[CodBarras2]],2,50)</f>
        <v/>
      </c>
    </row>
    <row r="23091" spans="9:9" x14ac:dyDescent="0.25">
      <c r="I23091" s="227" t="str">
        <f>MID(excPisCofins[[#This Row],[CodBarras2]],2,50)</f>
        <v/>
      </c>
    </row>
    <row r="23092" spans="9:9" x14ac:dyDescent="0.25">
      <c r="I23092" s="227" t="str">
        <f>MID(excPisCofins[[#This Row],[CodBarras2]],2,50)</f>
        <v/>
      </c>
    </row>
    <row r="23093" spans="9:9" x14ac:dyDescent="0.25">
      <c r="I23093" s="227" t="str">
        <f>MID(excPisCofins[[#This Row],[CodBarras2]],2,50)</f>
        <v/>
      </c>
    </row>
    <row r="23094" spans="9:9" x14ac:dyDescent="0.25">
      <c r="I23094" s="227" t="str">
        <f>MID(excPisCofins[[#This Row],[CodBarras2]],2,50)</f>
        <v/>
      </c>
    </row>
    <row r="23095" spans="9:9" x14ac:dyDescent="0.25">
      <c r="I23095" s="227" t="str">
        <f>MID(excPisCofins[[#This Row],[CodBarras2]],2,50)</f>
        <v/>
      </c>
    </row>
    <row r="23096" spans="9:9" x14ac:dyDescent="0.25">
      <c r="I23096" s="227" t="str">
        <f>MID(excPisCofins[[#This Row],[CodBarras2]],2,50)</f>
        <v/>
      </c>
    </row>
    <row r="23097" spans="9:9" x14ac:dyDescent="0.25">
      <c r="I23097" s="227" t="str">
        <f>MID(excPisCofins[[#This Row],[CodBarras2]],2,50)</f>
        <v/>
      </c>
    </row>
    <row r="23098" spans="9:9" x14ac:dyDescent="0.25">
      <c r="I23098" s="227" t="str">
        <f>MID(excPisCofins[[#This Row],[CodBarras2]],2,50)</f>
        <v/>
      </c>
    </row>
    <row r="23099" spans="9:9" x14ac:dyDescent="0.25">
      <c r="I23099" s="227" t="str">
        <f>MID(excPisCofins[[#This Row],[CodBarras2]],2,50)</f>
        <v/>
      </c>
    </row>
    <row r="23100" spans="9:9" x14ac:dyDescent="0.25">
      <c r="I23100" s="227" t="str">
        <f>MID(excPisCofins[[#This Row],[CodBarras2]],2,50)</f>
        <v/>
      </c>
    </row>
    <row r="23101" spans="9:9" x14ac:dyDescent="0.25">
      <c r="I23101" s="227" t="str">
        <f>MID(excPisCofins[[#This Row],[CodBarras2]],2,50)</f>
        <v/>
      </c>
    </row>
    <row r="23102" spans="9:9" x14ac:dyDescent="0.25">
      <c r="I23102" s="227" t="str">
        <f>MID(excPisCofins[[#This Row],[CodBarras2]],2,50)</f>
        <v/>
      </c>
    </row>
    <row r="23103" spans="9:9" x14ac:dyDescent="0.25">
      <c r="I23103" s="227" t="str">
        <f>MID(excPisCofins[[#This Row],[CodBarras2]],2,50)</f>
        <v/>
      </c>
    </row>
    <row r="23104" spans="9:9" x14ac:dyDescent="0.25">
      <c r="I23104" s="227" t="str">
        <f>MID(excPisCofins[[#This Row],[CodBarras2]],2,50)</f>
        <v/>
      </c>
    </row>
    <row r="23105" spans="9:9" x14ac:dyDescent="0.25">
      <c r="I23105" s="227" t="str">
        <f>MID(excPisCofins[[#This Row],[CodBarras2]],2,50)</f>
        <v/>
      </c>
    </row>
    <row r="23106" spans="9:9" x14ac:dyDescent="0.25">
      <c r="I23106" s="227" t="str">
        <f>MID(excPisCofins[[#This Row],[CodBarras2]],2,50)</f>
        <v/>
      </c>
    </row>
    <row r="23107" spans="9:9" x14ac:dyDescent="0.25">
      <c r="I23107" s="227" t="str">
        <f>MID(excPisCofins[[#This Row],[CodBarras2]],2,50)</f>
        <v/>
      </c>
    </row>
    <row r="23108" spans="9:9" x14ac:dyDescent="0.25">
      <c r="I23108" s="227" t="str">
        <f>MID(excPisCofins[[#This Row],[CodBarras2]],2,50)</f>
        <v/>
      </c>
    </row>
    <row r="23109" spans="9:9" x14ac:dyDescent="0.25">
      <c r="I23109" s="227" t="str">
        <f>MID(excPisCofins[[#This Row],[CodBarras2]],2,50)</f>
        <v/>
      </c>
    </row>
    <row r="23110" spans="9:9" x14ac:dyDescent="0.25">
      <c r="I23110" s="227" t="str">
        <f>MID(excPisCofins[[#This Row],[CodBarras2]],2,50)</f>
        <v/>
      </c>
    </row>
    <row r="23111" spans="9:9" x14ac:dyDescent="0.25">
      <c r="I23111" s="227" t="str">
        <f>MID(excPisCofins[[#This Row],[CodBarras2]],2,50)</f>
        <v/>
      </c>
    </row>
    <row r="23112" spans="9:9" x14ac:dyDescent="0.25">
      <c r="I23112" s="227" t="str">
        <f>MID(excPisCofins[[#This Row],[CodBarras2]],2,50)</f>
        <v/>
      </c>
    </row>
    <row r="23113" spans="9:9" x14ac:dyDescent="0.25">
      <c r="I23113" s="227" t="str">
        <f>MID(excPisCofins[[#This Row],[CodBarras2]],2,50)</f>
        <v/>
      </c>
    </row>
    <row r="23114" spans="9:9" x14ac:dyDescent="0.25">
      <c r="I23114" s="227" t="str">
        <f>MID(excPisCofins[[#This Row],[CodBarras2]],2,50)</f>
        <v/>
      </c>
    </row>
    <row r="23115" spans="9:9" x14ac:dyDescent="0.25">
      <c r="I23115" s="227" t="str">
        <f>MID(excPisCofins[[#This Row],[CodBarras2]],2,50)</f>
        <v/>
      </c>
    </row>
    <row r="23116" spans="9:9" x14ac:dyDescent="0.25">
      <c r="I23116" s="227" t="str">
        <f>MID(excPisCofins[[#This Row],[CodBarras2]],2,50)</f>
        <v/>
      </c>
    </row>
    <row r="23117" spans="9:9" x14ac:dyDescent="0.25">
      <c r="I23117" s="227" t="str">
        <f>MID(excPisCofins[[#This Row],[CodBarras2]],2,50)</f>
        <v/>
      </c>
    </row>
    <row r="23118" spans="9:9" x14ac:dyDescent="0.25">
      <c r="I23118" s="227" t="str">
        <f>MID(excPisCofins[[#This Row],[CodBarras2]],2,50)</f>
        <v/>
      </c>
    </row>
    <row r="23119" spans="9:9" x14ac:dyDescent="0.25">
      <c r="I23119" s="227" t="str">
        <f>MID(excPisCofins[[#This Row],[CodBarras2]],2,50)</f>
        <v/>
      </c>
    </row>
    <row r="23120" spans="9:9" x14ac:dyDescent="0.25">
      <c r="I23120" s="227" t="str">
        <f>MID(excPisCofins[[#This Row],[CodBarras2]],2,50)</f>
        <v/>
      </c>
    </row>
    <row r="23121" spans="9:9" x14ac:dyDescent="0.25">
      <c r="I23121" s="227" t="str">
        <f>MID(excPisCofins[[#This Row],[CodBarras2]],2,50)</f>
        <v/>
      </c>
    </row>
    <row r="23122" spans="9:9" x14ac:dyDescent="0.25">
      <c r="I23122" s="227" t="str">
        <f>MID(excPisCofins[[#This Row],[CodBarras2]],2,50)</f>
        <v/>
      </c>
    </row>
    <row r="23123" spans="9:9" x14ac:dyDescent="0.25">
      <c r="I23123" s="227" t="str">
        <f>MID(excPisCofins[[#This Row],[CodBarras2]],2,50)</f>
        <v/>
      </c>
    </row>
    <row r="23124" spans="9:9" x14ac:dyDescent="0.25">
      <c r="I23124" s="227" t="str">
        <f>MID(excPisCofins[[#This Row],[CodBarras2]],2,50)</f>
        <v/>
      </c>
    </row>
    <row r="23125" spans="9:9" x14ac:dyDescent="0.25">
      <c r="I23125" s="227" t="str">
        <f>MID(excPisCofins[[#This Row],[CodBarras2]],2,50)</f>
        <v/>
      </c>
    </row>
    <row r="23126" spans="9:9" x14ac:dyDescent="0.25">
      <c r="I23126" s="227" t="str">
        <f>MID(excPisCofins[[#This Row],[CodBarras2]],2,50)</f>
        <v/>
      </c>
    </row>
    <row r="23127" spans="9:9" x14ac:dyDescent="0.25">
      <c r="I23127" s="227" t="str">
        <f>MID(excPisCofins[[#This Row],[CodBarras2]],2,50)</f>
        <v/>
      </c>
    </row>
    <row r="23128" spans="9:9" x14ac:dyDescent="0.25">
      <c r="I23128" s="227" t="str">
        <f>MID(excPisCofins[[#This Row],[CodBarras2]],2,50)</f>
        <v/>
      </c>
    </row>
    <row r="23129" spans="9:9" x14ac:dyDescent="0.25">
      <c r="I23129" s="227" t="str">
        <f>MID(excPisCofins[[#This Row],[CodBarras2]],2,50)</f>
        <v/>
      </c>
    </row>
    <row r="23130" spans="9:9" x14ac:dyDescent="0.25">
      <c r="I23130" s="227" t="str">
        <f>MID(excPisCofins[[#This Row],[CodBarras2]],2,50)</f>
        <v/>
      </c>
    </row>
    <row r="23131" spans="9:9" x14ac:dyDescent="0.25">
      <c r="I23131" s="227" t="str">
        <f>MID(excPisCofins[[#This Row],[CodBarras2]],2,50)</f>
        <v/>
      </c>
    </row>
    <row r="23132" spans="9:9" x14ac:dyDescent="0.25">
      <c r="I23132" s="227" t="str">
        <f>MID(excPisCofins[[#This Row],[CodBarras2]],2,50)</f>
        <v/>
      </c>
    </row>
    <row r="23133" spans="9:9" x14ac:dyDescent="0.25">
      <c r="I23133" s="227" t="str">
        <f>MID(excPisCofins[[#This Row],[CodBarras2]],2,50)</f>
        <v/>
      </c>
    </row>
    <row r="23134" spans="9:9" x14ac:dyDescent="0.25">
      <c r="I23134" s="227" t="str">
        <f>MID(excPisCofins[[#This Row],[CodBarras2]],2,50)</f>
        <v/>
      </c>
    </row>
    <row r="23135" spans="9:9" x14ac:dyDescent="0.25">
      <c r="I23135" s="227" t="str">
        <f>MID(excPisCofins[[#This Row],[CodBarras2]],2,50)</f>
        <v/>
      </c>
    </row>
    <row r="23136" spans="9:9" x14ac:dyDescent="0.25">
      <c r="I23136" s="227" t="str">
        <f>MID(excPisCofins[[#This Row],[CodBarras2]],2,50)</f>
        <v/>
      </c>
    </row>
    <row r="23137" spans="9:9" x14ac:dyDescent="0.25">
      <c r="I23137" s="227" t="str">
        <f>MID(excPisCofins[[#This Row],[CodBarras2]],2,50)</f>
        <v/>
      </c>
    </row>
    <row r="23138" spans="9:9" x14ac:dyDescent="0.25">
      <c r="I23138" s="227" t="str">
        <f>MID(excPisCofins[[#This Row],[CodBarras2]],2,50)</f>
        <v/>
      </c>
    </row>
    <row r="23139" spans="9:9" x14ac:dyDescent="0.25">
      <c r="I23139" s="227" t="str">
        <f>MID(excPisCofins[[#This Row],[CodBarras2]],2,50)</f>
        <v/>
      </c>
    </row>
    <row r="23140" spans="9:9" x14ac:dyDescent="0.25">
      <c r="I23140" s="227" t="str">
        <f>MID(excPisCofins[[#This Row],[CodBarras2]],2,50)</f>
        <v/>
      </c>
    </row>
    <row r="23141" spans="9:9" x14ac:dyDescent="0.25">
      <c r="I23141" s="227" t="str">
        <f>MID(excPisCofins[[#This Row],[CodBarras2]],2,50)</f>
        <v/>
      </c>
    </row>
    <row r="23142" spans="9:9" x14ac:dyDescent="0.25">
      <c r="I23142" s="227" t="str">
        <f>MID(excPisCofins[[#This Row],[CodBarras2]],2,50)</f>
        <v/>
      </c>
    </row>
    <row r="23143" spans="9:9" x14ac:dyDescent="0.25">
      <c r="I23143" s="227" t="str">
        <f>MID(excPisCofins[[#This Row],[CodBarras2]],2,50)</f>
        <v/>
      </c>
    </row>
    <row r="23144" spans="9:9" x14ac:dyDescent="0.25">
      <c r="I23144" s="227" t="str">
        <f>MID(excPisCofins[[#This Row],[CodBarras2]],2,50)</f>
        <v/>
      </c>
    </row>
    <row r="23145" spans="9:9" x14ac:dyDescent="0.25">
      <c r="I23145" s="227" t="str">
        <f>MID(excPisCofins[[#This Row],[CodBarras2]],2,50)</f>
        <v/>
      </c>
    </row>
    <row r="23146" spans="9:9" x14ac:dyDescent="0.25">
      <c r="I23146" s="227" t="str">
        <f>MID(excPisCofins[[#This Row],[CodBarras2]],2,50)</f>
        <v/>
      </c>
    </row>
    <row r="23147" spans="9:9" x14ac:dyDescent="0.25">
      <c r="I23147" s="227" t="str">
        <f>MID(excPisCofins[[#This Row],[CodBarras2]],2,50)</f>
        <v/>
      </c>
    </row>
    <row r="23148" spans="9:9" x14ac:dyDescent="0.25">
      <c r="I23148" s="227" t="str">
        <f>MID(excPisCofins[[#This Row],[CodBarras2]],2,50)</f>
        <v/>
      </c>
    </row>
    <row r="23149" spans="9:9" x14ac:dyDescent="0.25">
      <c r="I23149" s="227" t="str">
        <f>MID(excPisCofins[[#This Row],[CodBarras2]],2,50)</f>
        <v/>
      </c>
    </row>
    <row r="23150" spans="9:9" x14ac:dyDescent="0.25">
      <c r="I23150" s="227" t="str">
        <f>MID(excPisCofins[[#This Row],[CodBarras2]],2,50)</f>
        <v/>
      </c>
    </row>
    <row r="23151" spans="9:9" x14ac:dyDescent="0.25">
      <c r="I23151" s="227" t="str">
        <f>MID(excPisCofins[[#This Row],[CodBarras2]],2,50)</f>
        <v/>
      </c>
    </row>
    <row r="23152" spans="9:9" x14ac:dyDescent="0.25">
      <c r="I23152" s="227" t="str">
        <f>MID(excPisCofins[[#This Row],[CodBarras2]],2,50)</f>
        <v/>
      </c>
    </row>
    <row r="23153" spans="9:9" x14ac:dyDescent="0.25">
      <c r="I23153" s="227" t="str">
        <f>MID(excPisCofins[[#This Row],[CodBarras2]],2,50)</f>
        <v/>
      </c>
    </row>
    <row r="23154" spans="9:9" x14ac:dyDescent="0.25">
      <c r="I23154" s="227" t="str">
        <f>MID(excPisCofins[[#This Row],[CodBarras2]],2,50)</f>
        <v/>
      </c>
    </row>
    <row r="23155" spans="9:9" x14ac:dyDescent="0.25">
      <c r="I23155" s="227" t="str">
        <f>MID(excPisCofins[[#This Row],[CodBarras2]],2,50)</f>
        <v/>
      </c>
    </row>
    <row r="23156" spans="9:9" x14ac:dyDescent="0.25">
      <c r="I23156" s="227" t="str">
        <f>MID(excPisCofins[[#This Row],[CodBarras2]],2,50)</f>
        <v/>
      </c>
    </row>
    <row r="23157" spans="9:9" x14ac:dyDescent="0.25">
      <c r="I23157" s="227" t="str">
        <f>MID(excPisCofins[[#This Row],[CodBarras2]],2,50)</f>
        <v/>
      </c>
    </row>
    <row r="23158" spans="9:9" x14ac:dyDescent="0.25">
      <c r="I23158" s="227" t="str">
        <f>MID(excPisCofins[[#This Row],[CodBarras2]],2,50)</f>
        <v/>
      </c>
    </row>
    <row r="23159" spans="9:9" x14ac:dyDescent="0.25">
      <c r="I23159" s="227" t="str">
        <f>MID(excPisCofins[[#This Row],[CodBarras2]],2,50)</f>
        <v/>
      </c>
    </row>
    <row r="23160" spans="9:9" x14ac:dyDescent="0.25">
      <c r="I23160" s="227" t="str">
        <f>MID(excPisCofins[[#This Row],[CodBarras2]],2,50)</f>
        <v/>
      </c>
    </row>
    <row r="23161" spans="9:9" x14ac:dyDescent="0.25">
      <c r="I23161" s="227" t="str">
        <f>MID(excPisCofins[[#This Row],[CodBarras2]],2,50)</f>
        <v/>
      </c>
    </row>
    <row r="23162" spans="9:9" x14ac:dyDescent="0.25">
      <c r="I23162" s="227" t="str">
        <f>MID(excPisCofins[[#This Row],[CodBarras2]],2,50)</f>
        <v/>
      </c>
    </row>
    <row r="23163" spans="9:9" x14ac:dyDescent="0.25">
      <c r="I23163" s="227" t="str">
        <f>MID(excPisCofins[[#This Row],[CodBarras2]],2,50)</f>
        <v/>
      </c>
    </row>
    <row r="23164" spans="9:9" x14ac:dyDescent="0.25">
      <c r="I23164" s="227" t="str">
        <f>MID(excPisCofins[[#This Row],[CodBarras2]],2,50)</f>
        <v/>
      </c>
    </row>
    <row r="23165" spans="9:9" x14ac:dyDescent="0.25">
      <c r="I23165" s="227" t="str">
        <f>MID(excPisCofins[[#This Row],[CodBarras2]],2,50)</f>
        <v/>
      </c>
    </row>
    <row r="23166" spans="9:9" x14ac:dyDescent="0.25">
      <c r="I23166" s="227" t="str">
        <f>MID(excPisCofins[[#This Row],[CodBarras2]],2,50)</f>
        <v/>
      </c>
    </row>
    <row r="23167" spans="9:9" x14ac:dyDescent="0.25">
      <c r="I23167" s="227" t="str">
        <f>MID(excPisCofins[[#This Row],[CodBarras2]],2,50)</f>
        <v/>
      </c>
    </row>
    <row r="23168" spans="9:9" x14ac:dyDescent="0.25">
      <c r="I23168" s="227" t="str">
        <f>MID(excPisCofins[[#This Row],[CodBarras2]],2,50)</f>
        <v/>
      </c>
    </row>
    <row r="23169" spans="9:9" x14ac:dyDescent="0.25">
      <c r="I23169" s="227" t="str">
        <f>MID(excPisCofins[[#This Row],[CodBarras2]],2,50)</f>
        <v/>
      </c>
    </row>
    <row r="23170" spans="9:9" x14ac:dyDescent="0.25">
      <c r="I23170" s="227" t="str">
        <f>MID(excPisCofins[[#This Row],[CodBarras2]],2,50)</f>
        <v/>
      </c>
    </row>
    <row r="23171" spans="9:9" x14ac:dyDescent="0.25">
      <c r="I23171" s="227" t="str">
        <f>MID(excPisCofins[[#This Row],[CodBarras2]],2,50)</f>
        <v/>
      </c>
    </row>
    <row r="23172" spans="9:9" x14ac:dyDescent="0.25">
      <c r="I23172" s="227" t="str">
        <f>MID(excPisCofins[[#This Row],[CodBarras2]],2,50)</f>
        <v/>
      </c>
    </row>
    <row r="23173" spans="9:9" x14ac:dyDescent="0.25">
      <c r="I23173" s="227" t="str">
        <f>MID(excPisCofins[[#This Row],[CodBarras2]],2,50)</f>
        <v/>
      </c>
    </row>
    <row r="23174" spans="9:9" x14ac:dyDescent="0.25">
      <c r="I23174" s="227" t="str">
        <f>MID(excPisCofins[[#This Row],[CodBarras2]],2,50)</f>
        <v/>
      </c>
    </row>
    <row r="23175" spans="9:9" x14ac:dyDescent="0.25">
      <c r="I23175" s="227" t="str">
        <f>MID(excPisCofins[[#This Row],[CodBarras2]],2,50)</f>
        <v/>
      </c>
    </row>
    <row r="23176" spans="9:9" x14ac:dyDescent="0.25">
      <c r="I23176" s="227" t="str">
        <f>MID(excPisCofins[[#This Row],[CodBarras2]],2,50)</f>
        <v/>
      </c>
    </row>
    <row r="23177" spans="9:9" x14ac:dyDescent="0.25">
      <c r="I23177" s="227" t="str">
        <f>MID(excPisCofins[[#This Row],[CodBarras2]],2,50)</f>
        <v/>
      </c>
    </row>
    <row r="23178" spans="9:9" x14ac:dyDescent="0.25">
      <c r="I23178" s="227" t="str">
        <f>MID(excPisCofins[[#This Row],[CodBarras2]],2,50)</f>
        <v/>
      </c>
    </row>
    <row r="23179" spans="9:9" x14ac:dyDescent="0.25">
      <c r="I23179" s="227" t="str">
        <f>MID(excPisCofins[[#This Row],[CodBarras2]],2,50)</f>
        <v/>
      </c>
    </row>
    <row r="23180" spans="9:9" x14ac:dyDescent="0.25">
      <c r="I23180" s="227" t="str">
        <f>MID(excPisCofins[[#This Row],[CodBarras2]],2,50)</f>
        <v/>
      </c>
    </row>
    <row r="23181" spans="9:9" x14ac:dyDescent="0.25">
      <c r="I23181" s="227" t="str">
        <f>MID(excPisCofins[[#This Row],[CodBarras2]],2,50)</f>
        <v/>
      </c>
    </row>
    <row r="23182" spans="9:9" x14ac:dyDescent="0.25">
      <c r="I23182" s="227" t="str">
        <f>MID(excPisCofins[[#This Row],[CodBarras2]],2,50)</f>
        <v/>
      </c>
    </row>
    <row r="23183" spans="9:9" x14ac:dyDescent="0.25">
      <c r="I23183" s="227" t="str">
        <f>MID(excPisCofins[[#This Row],[CodBarras2]],2,50)</f>
        <v/>
      </c>
    </row>
    <row r="23184" spans="9:9" x14ac:dyDescent="0.25">
      <c r="I23184" s="227" t="str">
        <f>MID(excPisCofins[[#This Row],[CodBarras2]],2,50)</f>
        <v/>
      </c>
    </row>
    <row r="23185" spans="9:9" x14ac:dyDescent="0.25">
      <c r="I23185" s="227" t="str">
        <f>MID(excPisCofins[[#This Row],[CodBarras2]],2,50)</f>
        <v/>
      </c>
    </row>
    <row r="23186" spans="9:9" x14ac:dyDescent="0.25">
      <c r="I23186" s="227" t="str">
        <f>MID(excPisCofins[[#This Row],[CodBarras2]],2,50)</f>
        <v/>
      </c>
    </row>
    <row r="23187" spans="9:9" x14ac:dyDescent="0.25">
      <c r="I23187" s="227" t="str">
        <f>MID(excPisCofins[[#This Row],[CodBarras2]],2,50)</f>
        <v/>
      </c>
    </row>
    <row r="23188" spans="9:9" x14ac:dyDescent="0.25">
      <c r="I23188" s="227" t="str">
        <f>MID(excPisCofins[[#This Row],[CodBarras2]],2,50)</f>
        <v/>
      </c>
    </row>
    <row r="23189" spans="9:9" x14ac:dyDescent="0.25">
      <c r="I23189" s="227" t="str">
        <f>MID(excPisCofins[[#This Row],[CodBarras2]],2,50)</f>
        <v/>
      </c>
    </row>
    <row r="23190" spans="9:9" x14ac:dyDescent="0.25">
      <c r="I23190" s="227" t="str">
        <f>MID(excPisCofins[[#This Row],[CodBarras2]],2,50)</f>
        <v/>
      </c>
    </row>
    <row r="23191" spans="9:9" x14ac:dyDescent="0.25">
      <c r="I23191" s="227" t="str">
        <f>MID(excPisCofins[[#This Row],[CodBarras2]],2,50)</f>
        <v/>
      </c>
    </row>
    <row r="23192" spans="9:9" x14ac:dyDescent="0.25">
      <c r="I23192" s="227" t="str">
        <f>MID(excPisCofins[[#This Row],[CodBarras2]],2,50)</f>
        <v/>
      </c>
    </row>
    <row r="23193" spans="9:9" x14ac:dyDescent="0.25">
      <c r="I23193" s="227" t="str">
        <f>MID(excPisCofins[[#This Row],[CodBarras2]],2,50)</f>
        <v/>
      </c>
    </row>
    <row r="23194" spans="9:9" x14ac:dyDescent="0.25">
      <c r="I23194" s="227" t="str">
        <f>MID(excPisCofins[[#This Row],[CodBarras2]],2,50)</f>
        <v/>
      </c>
    </row>
    <row r="23195" spans="9:9" x14ac:dyDescent="0.25">
      <c r="I23195" s="227" t="str">
        <f>MID(excPisCofins[[#This Row],[CodBarras2]],2,50)</f>
        <v/>
      </c>
    </row>
    <row r="23196" spans="9:9" x14ac:dyDescent="0.25">
      <c r="I23196" s="227" t="str">
        <f>MID(excPisCofins[[#This Row],[CodBarras2]],2,50)</f>
        <v/>
      </c>
    </row>
    <row r="23197" spans="9:9" x14ac:dyDescent="0.25">
      <c r="I23197" s="227" t="str">
        <f>MID(excPisCofins[[#This Row],[CodBarras2]],2,50)</f>
        <v/>
      </c>
    </row>
    <row r="23198" spans="9:9" x14ac:dyDescent="0.25">
      <c r="I23198" s="227" t="str">
        <f>MID(excPisCofins[[#This Row],[CodBarras2]],2,50)</f>
        <v/>
      </c>
    </row>
    <row r="23199" spans="9:9" x14ac:dyDescent="0.25">
      <c r="I23199" s="227" t="str">
        <f>MID(excPisCofins[[#This Row],[CodBarras2]],2,50)</f>
        <v/>
      </c>
    </row>
    <row r="23200" spans="9:9" x14ac:dyDescent="0.25">
      <c r="I23200" s="227" t="str">
        <f>MID(excPisCofins[[#This Row],[CodBarras2]],2,50)</f>
        <v/>
      </c>
    </row>
    <row r="23201" spans="9:9" x14ac:dyDescent="0.25">
      <c r="I23201" s="227" t="str">
        <f>MID(excPisCofins[[#This Row],[CodBarras2]],2,50)</f>
        <v/>
      </c>
    </row>
    <row r="23202" spans="9:9" x14ac:dyDescent="0.25">
      <c r="I23202" s="227" t="str">
        <f>MID(excPisCofins[[#This Row],[CodBarras2]],2,50)</f>
        <v/>
      </c>
    </row>
    <row r="23203" spans="9:9" x14ac:dyDescent="0.25">
      <c r="I23203" s="227" t="str">
        <f>MID(excPisCofins[[#This Row],[CodBarras2]],2,50)</f>
        <v/>
      </c>
    </row>
    <row r="23204" spans="9:9" x14ac:dyDescent="0.25">
      <c r="I23204" s="227" t="str">
        <f>MID(excPisCofins[[#This Row],[CodBarras2]],2,50)</f>
        <v/>
      </c>
    </row>
    <row r="23205" spans="9:9" x14ac:dyDescent="0.25">
      <c r="I23205" s="227" t="str">
        <f>MID(excPisCofins[[#This Row],[CodBarras2]],2,50)</f>
        <v/>
      </c>
    </row>
    <row r="23206" spans="9:9" x14ac:dyDescent="0.25">
      <c r="I23206" s="227" t="str">
        <f>MID(excPisCofins[[#This Row],[CodBarras2]],2,50)</f>
        <v/>
      </c>
    </row>
    <row r="23207" spans="9:9" x14ac:dyDescent="0.25">
      <c r="I23207" s="227" t="str">
        <f>MID(excPisCofins[[#This Row],[CodBarras2]],2,50)</f>
        <v/>
      </c>
    </row>
    <row r="23208" spans="9:9" x14ac:dyDescent="0.25">
      <c r="I23208" s="227" t="str">
        <f>MID(excPisCofins[[#This Row],[CodBarras2]],2,50)</f>
        <v/>
      </c>
    </row>
    <row r="23209" spans="9:9" x14ac:dyDescent="0.25">
      <c r="I23209" s="227" t="str">
        <f>MID(excPisCofins[[#This Row],[CodBarras2]],2,50)</f>
        <v/>
      </c>
    </row>
    <row r="23210" spans="9:9" x14ac:dyDescent="0.25">
      <c r="I23210" s="227" t="str">
        <f>MID(excPisCofins[[#This Row],[CodBarras2]],2,50)</f>
        <v/>
      </c>
    </row>
    <row r="23211" spans="9:9" x14ac:dyDescent="0.25">
      <c r="I23211" s="227" t="str">
        <f>MID(excPisCofins[[#This Row],[CodBarras2]],2,50)</f>
        <v/>
      </c>
    </row>
    <row r="23212" spans="9:9" x14ac:dyDescent="0.25">
      <c r="I23212" s="227" t="str">
        <f>MID(excPisCofins[[#This Row],[CodBarras2]],2,50)</f>
        <v/>
      </c>
    </row>
    <row r="23213" spans="9:9" x14ac:dyDescent="0.25">
      <c r="I23213" s="227" t="str">
        <f>MID(excPisCofins[[#This Row],[CodBarras2]],2,50)</f>
        <v/>
      </c>
    </row>
    <row r="23214" spans="9:9" x14ac:dyDescent="0.25">
      <c r="I23214" s="227" t="str">
        <f>MID(excPisCofins[[#This Row],[CodBarras2]],2,50)</f>
        <v/>
      </c>
    </row>
    <row r="23215" spans="9:9" x14ac:dyDescent="0.25">
      <c r="I23215" s="227" t="str">
        <f>MID(excPisCofins[[#This Row],[CodBarras2]],2,50)</f>
        <v/>
      </c>
    </row>
    <row r="23216" spans="9:9" x14ac:dyDescent="0.25">
      <c r="I23216" s="227" t="str">
        <f>MID(excPisCofins[[#This Row],[CodBarras2]],2,50)</f>
        <v/>
      </c>
    </row>
    <row r="23217" spans="9:9" x14ac:dyDescent="0.25">
      <c r="I23217" s="227" t="str">
        <f>MID(excPisCofins[[#This Row],[CodBarras2]],2,50)</f>
        <v/>
      </c>
    </row>
    <row r="23218" spans="9:9" x14ac:dyDescent="0.25">
      <c r="I23218" s="227" t="str">
        <f>MID(excPisCofins[[#This Row],[CodBarras2]],2,50)</f>
        <v/>
      </c>
    </row>
    <row r="23219" spans="9:9" x14ac:dyDescent="0.25">
      <c r="I23219" s="227" t="str">
        <f>MID(excPisCofins[[#This Row],[CodBarras2]],2,50)</f>
        <v/>
      </c>
    </row>
    <row r="23220" spans="9:9" x14ac:dyDescent="0.25">
      <c r="I23220" s="227" t="str">
        <f>MID(excPisCofins[[#This Row],[CodBarras2]],2,50)</f>
        <v/>
      </c>
    </row>
    <row r="23221" spans="9:9" x14ac:dyDescent="0.25">
      <c r="I23221" s="227" t="str">
        <f>MID(excPisCofins[[#This Row],[CodBarras2]],2,50)</f>
        <v/>
      </c>
    </row>
    <row r="23222" spans="9:9" x14ac:dyDescent="0.25">
      <c r="I23222" s="227" t="str">
        <f>MID(excPisCofins[[#This Row],[CodBarras2]],2,50)</f>
        <v/>
      </c>
    </row>
    <row r="23223" spans="9:9" x14ac:dyDescent="0.25">
      <c r="I23223" s="227" t="str">
        <f>MID(excPisCofins[[#This Row],[CodBarras2]],2,50)</f>
        <v/>
      </c>
    </row>
    <row r="23224" spans="9:9" x14ac:dyDescent="0.25">
      <c r="I23224" s="227" t="str">
        <f>MID(excPisCofins[[#This Row],[CodBarras2]],2,50)</f>
        <v/>
      </c>
    </row>
    <row r="23225" spans="9:9" x14ac:dyDescent="0.25">
      <c r="I23225" s="227" t="str">
        <f>MID(excPisCofins[[#This Row],[CodBarras2]],2,50)</f>
        <v/>
      </c>
    </row>
    <row r="23226" spans="9:9" x14ac:dyDescent="0.25">
      <c r="I23226" s="227" t="str">
        <f>MID(excPisCofins[[#This Row],[CodBarras2]],2,50)</f>
        <v/>
      </c>
    </row>
    <row r="23227" spans="9:9" x14ac:dyDescent="0.25">
      <c r="I23227" s="227" t="str">
        <f>MID(excPisCofins[[#This Row],[CodBarras2]],2,50)</f>
        <v/>
      </c>
    </row>
    <row r="23228" spans="9:9" x14ac:dyDescent="0.25">
      <c r="I23228" s="227" t="str">
        <f>MID(excPisCofins[[#This Row],[CodBarras2]],2,50)</f>
        <v/>
      </c>
    </row>
    <row r="23229" spans="9:9" x14ac:dyDescent="0.25">
      <c r="I23229" s="227" t="str">
        <f>MID(excPisCofins[[#This Row],[CodBarras2]],2,50)</f>
        <v/>
      </c>
    </row>
    <row r="23230" spans="9:9" x14ac:dyDescent="0.25">
      <c r="I23230" s="227" t="str">
        <f>MID(excPisCofins[[#This Row],[CodBarras2]],2,50)</f>
        <v/>
      </c>
    </row>
    <row r="23231" spans="9:9" x14ac:dyDescent="0.25">
      <c r="I23231" s="227" t="str">
        <f>MID(excPisCofins[[#This Row],[CodBarras2]],2,50)</f>
        <v/>
      </c>
    </row>
    <row r="23232" spans="9:9" x14ac:dyDescent="0.25">
      <c r="I23232" s="227" t="str">
        <f>MID(excPisCofins[[#This Row],[CodBarras2]],2,50)</f>
        <v/>
      </c>
    </row>
    <row r="23233" spans="9:9" x14ac:dyDescent="0.25">
      <c r="I23233" s="227" t="str">
        <f>MID(excPisCofins[[#This Row],[CodBarras2]],2,50)</f>
        <v/>
      </c>
    </row>
    <row r="23234" spans="9:9" x14ac:dyDescent="0.25">
      <c r="I23234" s="227" t="str">
        <f>MID(excPisCofins[[#This Row],[CodBarras2]],2,50)</f>
        <v/>
      </c>
    </row>
    <row r="23235" spans="9:9" x14ac:dyDescent="0.25">
      <c r="I23235" s="227" t="str">
        <f>MID(excPisCofins[[#This Row],[CodBarras2]],2,50)</f>
        <v/>
      </c>
    </row>
    <row r="23236" spans="9:9" x14ac:dyDescent="0.25">
      <c r="I23236" s="227" t="str">
        <f>MID(excPisCofins[[#This Row],[CodBarras2]],2,50)</f>
        <v/>
      </c>
    </row>
    <row r="23237" spans="9:9" x14ac:dyDescent="0.25">
      <c r="I23237" s="227" t="str">
        <f>MID(excPisCofins[[#This Row],[CodBarras2]],2,50)</f>
        <v/>
      </c>
    </row>
    <row r="23238" spans="9:9" x14ac:dyDescent="0.25">
      <c r="I23238" s="227" t="str">
        <f>MID(excPisCofins[[#This Row],[CodBarras2]],2,50)</f>
        <v/>
      </c>
    </row>
    <row r="23239" spans="9:9" x14ac:dyDescent="0.25">
      <c r="I23239" s="227" t="str">
        <f>MID(excPisCofins[[#This Row],[CodBarras2]],2,50)</f>
        <v/>
      </c>
    </row>
    <row r="23240" spans="9:9" x14ac:dyDescent="0.25">
      <c r="I23240" s="227" t="str">
        <f>MID(excPisCofins[[#This Row],[CodBarras2]],2,50)</f>
        <v/>
      </c>
    </row>
    <row r="23241" spans="9:9" x14ac:dyDescent="0.25">
      <c r="I23241" s="227" t="str">
        <f>MID(excPisCofins[[#This Row],[CodBarras2]],2,50)</f>
        <v/>
      </c>
    </row>
    <row r="23242" spans="9:9" x14ac:dyDescent="0.25">
      <c r="I23242" s="227" t="str">
        <f>MID(excPisCofins[[#This Row],[CodBarras2]],2,50)</f>
        <v/>
      </c>
    </row>
    <row r="23243" spans="9:9" x14ac:dyDescent="0.25">
      <c r="I23243" s="227" t="str">
        <f>MID(excPisCofins[[#This Row],[CodBarras2]],2,50)</f>
        <v/>
      </c>
    </row>
    <row r="23244" spans="9:9" x14ac:dyDescent="0.25">
      <c r="I23244" s="227" t="str">
        <f>MID(excPisCofins[[#This Row],[CodBarras2]],2,50)</f>
        <v/>
      </c>
    </row>
    <row r="23245" spans="9:9" x14ac:dyDescent="0.25">
      <c r="I23245" s="227" t="str">
        <f>MID(excPisCofins[[#This Row],[CodBarras2]],2,50)</f>
        <v/>
      </c>
    </row>
    <row r="23246" spans="9:9" x14ac:dyDescent="0.25">
      <c r="I23246" s="227" t="str">
        <f>MID(excPisCofins[[#This Row],[CodBarras2]],2,50)</f>
        <v/>
      </c>
    </row>
    <row r="23247" spans="9:9" x14ac:dyDescent="0.25">
      <c r="I23247" s="227" t="str">
        <f>MID(excPisCofins[[#This Row],[CodBarras2]],2,50)</f>
        <v/>
      </c>
    </row>
    <row r="23248" spans="9:9" x14ac:dyDescent="0.25">
      <c r="I23248" s="227" t="str">
        <f>MID(excPisCofins[[#This Row],[CodBarras2]],2,50)</f>
        <v/>
      </c>
    </row>
    <row r="23249" spans="9:9" x14ac:dyDescent="0.25">
      <c r="I23249" s="227" t="str">
        <f>MID(excPisCofins[[#This Row],[CodBarras2]],2,50)</f>
        <v/>
      </c>
    </row>
    <row r="23250" spans="9:9" x14ac:dyDescent="0.25">
      <c r="I23250" s="227" t="str">
        <f>MID(excPisCofins[[#This Row],[CodBarras2]],2,50)</f>
        <v/>
      </c>
    </row>
    <row r="23251" spans="9:9" x14ac:dyDescent="0.25">
      <c r="I23251" s="227" t="str">
        <f>MID(excPisCofins[[#This Row],[CodBarras2]],2,50)</f>
        <v/>
      </c>
    </row>
    <row r="23252" spans="9:9" x14ac:dyDescent="0.25">
      <c r="I23252" s="227" t="str">
        <f>MID(excPisCofins[[#This Row],[CodBarras2]],2,50)</f>
        <v/>
      </c>
    </row>
    <row r="23253" spans="9:9" x14ac:dyDescent="0.25">
      <c r="I23253" s="227" t="str">
        <f>MID(excPisCofins[[#This Row],[CodBarras2]],2,50)</f>
        <v/>
      </c>
    </row>
    <row r="23254" spans="9:9" x14ac:dyDescent="0.25">
      <c r="I23254" s="227" t="str">
        <f>MID(excPisCofins[[#This Row],[CodBarras2]],2,50)</f>
        <v/>
      </c>
    </row>
    <row r="23255" spans="9:9" x14ac:dyDescent="0.25">
      <c r="I23255" s="227" t="str">
        <f>MID(excPisCofins[[#This Row],[CodBarras2]],2,50)</f>
        <v/>
      </c>
    </row>
    <row r="23256" spans="9:9" x14ac:dyDescent="0.25">
      <c r="I23256" s="227" t="str">
        <f>MID(excPisCofins[[#This Row],[CodBarras2]],2,50)</f>
        <v/>
      </c>
    </row>
    <row r="23257" spans="9:9" x14ac:dyDescent="0.25">
      <c r="I23257" s="227" t="str">
        <f>MID(excPisCofins[[#This Row],[CodBarras2]],2,50)</f>
        <v/>
      </c>
    </row>
    <row r="23258" spans="9:9" x14ac:dyDescent="0.25">
      <c r="I23258" s="227" t="str">
        <f>MID(excPisCofins[[#This Row],[CodBarras2]],2,50)</f>
        <v/>
      </c>
    </row>
    <row r="23259" spans="9:9" x14ac:dyDescent="0.25">
      <c r="I23259" s="227" t="str">
        <f>MID(excPisCofins[[#This Row],[CodBarras2]],2,50)</f>
        <v/>
      </c>
    </row>
    <row r="23260" spans="9:9" x14ac:dyDescent="0.25">
      <c r="I23260" s="227" t="str">
        <f>MID(excPisCofins[[#This Row],[CodBarras2]],2,50)</f>
        <v/>
      </c>
    </row>
    <row r="23261" spans="9:9" x14ac:dyDescent="0.25">
      <c r="I23261" s="227" t="str">
        <f>MID(excPisCofins[[#This Row],[CodBarras2]],2,50)</f>
        <v/>
      </c>
    </row>
    <row r="23262" spans="9:9" x14ac:dyDescent="0.25">
      <c r="I23262" s="227" t="str">
        <f>MID(excPisCofins[[#This Row],[CodBarras2]],2,50)</f>
        <v/>
      </c>
    </row>
    <row r="23263" spans="9:9" x14ac:dyDescent="0.25">
      <c r="I23263" s="227" t="str">
        <f>MID(excPisCofins[[#This Row],[CodBarras2]],2,50)</f>
        <v/>
      </c>
    </row>
    <row r="23264" spans="9:9" x14ac:dyDescent="0.25">
      <c r="I23264" s="227" t="str">
        <f>MID(excPisCofins[[#This Row],[CodBarras2]],2,50)</f>
        <v/>
      </c>
    </row>
    <row r="23265" spans="9:9" x14ac:dyDescent="0.25">
      <c r="I23265" s="227" t="str">
        <f>MID(excPisCofins[[#This Row],[CodBarras2]],2,50)</f>
        <v/>
      </c>
    </row>
    <row r="23266" spans="9:9" x14ac:dyDescent="0.25">
      <c r="I23266" s="227" t="str">
        <f>MID(excPisCofins[[#This Row],[CodBarras2]],2,50)</f>
        <v/>
      </c>
    </row>
    <row r="23267" spans="9:9" x14ac:dyDescent="0.25">
      <c r="I23267" s="227" t="str">
        <f>MID(excPisCofins[[#This Row],[CodBarras2]],2,50)</f>
        <v/>
      </c>
    </row>
    <row r="23268" spans="9:9" x14ac:dyDescent="0.25">
      <c r="I23268" s="227" t="str">
        <f>MID(excPisCofins[[#This Row],[CodBarras2]],2,50)</f>
        <v/>
      </c>
    </row>
    <row r="23269" spans="9:9" x14ac:dyDescent="0.25">
      <c r="I23269" s="227" t="str">
        <f>MID(excPisCofins[[#This Row],[CodBarras2]],2,50)</f>
        <v/>
      </c>
    </row>
    <row r="23270" spans="9:9" x14ac:dyDescent="0.25">
      <c r="I23270" s="227" t="str">
        <f>MID(excPisCofins[[#This Row],[CodBarras2]],2,50)</f>
        <v/>
      </c>
    </row>
    <row r="23271" spans="9:9" x14ac:dyDescent="0.25">
      <c r="I23271" s="227" t="str">
        <f>MID(excPisCofins[[#This Row],[CodBarras2]],2,50)</f>
        <v/>
      </c>
    </row>
    <row r="23272" spans="9:9" x14ac:dyDescent="0.25">
      <c r="I23272" s="227" t="str">
        <f>MID(excPisCofins[[#This Row],[CodBarras2]],2,50)</f>
        <v/>
      </c>
    </row>
    <row r="23273" spans="9:9" x14ac:dyDescent="0.25">
      <c r="I23273" s="227" t="str">
        <f>MID(excPisCofins[[#This Row],[CodBarras2]],2,50)</f>
        <v/>
      </c>
    </row>
    <row r="23274" spans="9:9" x14ac:dyDescent="0.25">
      <c r="I23274" s="227" t="str">
        <f>MID(excPisCofins[[#This Row],[CodBarras2]],2,50)</f>
        <v/>
      </c>
    </row>
    <row r="23275" spans="9:9" x14ac:dyDescent="0.25">
      <c r="I23275" s="227" t="str">
        <f>MID(excPisCofins[[#This Row],[CodBarras2]],2,50)</f>
        <v/>
      </c>
    </row>
    <row r="23276" spans="9:9" x14ac:dyDescent="0.25">
      <c r="I23276" s="227" t="str">
        <f>MID(excPisCofins[[#This Row],[CodBarras2]],2,50)</f>
        <v/>
      </c>
    </row>
    <row r="23277" spans="9:9" x14ac:dyDescent="0.25">
      <c r="I23277" s="227" t="str">
        <f>MID(excPisCofins[[#This Row],[CodBarras2]],2,50)</f>
        <v/>
      </c>
    </row>
    <row r="23278" spans="9:9" x14ac:dyDescent="0.25">
      <c r="I23278" s="227" t="str">
        <f>MID(excPisCofins[[#This Row],[CodBarras2]],2,50)</f>
        <v/>
      </c>
    </row>
    <row r="23279" spans="9:9" x14ac:dyDescent="0.25">
      <c r="I23279" s="227" t="str">
        <f>MID(excPisCofins[[#This Row],[CodBarras2]],2,50)</f>
        <v/>
      </c>
    </row>
    <row r="23280" spans="9:9" x14ac:dyDescent="0.25">
      <c r="I23280" s="227" t="str">
        <f>MID(excPisCofins[[#This Row],[CodBarras2]],2,50)</f>
        <v/>
      </c>
    </row>
    <row r="23281" spans="9:9" x14ac:dyDescent="0.25">
      <c r="I23281" s="227" t="str">
        <f>MID(excPisCofins[[#This Row],[CodBarras2]],2,50)</f>
        <v/>
      </c>
    </row>
    <row r="23282" spans="9:9" x14ac:dyDescent="0.25">
      <c r="I23282" s="227" t="str">
        <f>MID(excPisCofins[[#This Row],[CodBarras2]],2,50)</f>
        <v/>
      </c>
    </row>
    <row r="23283" spans="9:9" x14ac:dyDescent="0.25">
      <c r="I23283" s="227" t="str">
        <f>MID(excPisCofins[[#This Row],[CodBarras2]],2,50)</f>
        <v/>
      </c>
    </row>
    <row r="23284" spans="9:9" x14ac:dyDescent="0.25">
      <c r="I23284" s="227" t="str">
        <f>MID(excPisCofins[[#This Row],[CodBarras2]],2,50)</f>
        <v/>
      </c>
    </row>
    <row r="23285" spans="9:9" x14ac:dyDescent="0.25">
      <c r="I23285" s="227" t="str">
        <f>MID(excPisCofins[[#This Row],[CodBarras2]],2,50)</f>
        <v/>
      </c>
    </row>
    <row r="23286" spans="9:9" x14ac:dyDescent="0.25">
      <c r="I23286" s="227" t="str">
        <f>MID(excPisCofins[[#This Row],[CodBarras2]],2,50)</f>
        <v/>
      </c>
    </row>
    <row r="23287" spans="9:9" x14ac:dyDescent="0.25">
      <c r="I23287" s="227" t="str">
        <f>MID(excPisCofins[[#This Row],[CodBarras2]],2,50)</f>
        <v/>
      </c>
    </row>
    <row r="23288" spans="9:9" x14ac:dyDescent="0.25">
      <c r="I23288" s="227" t="str">
        <f>MID(excPisCofins[[#This Row],[CodBarras2]],2,50)</f>
        <v/>
      </c>
    </row>
    <row r="23289" spans="9:9" x14ac:dyDescent="0.25">
      <c r="I23289" s="227" t="str">
        <f>MID(excPisCofins[[#This Row],[CodBarras2]],2,50)</f>
        <v/>
      </c>
    </row>
    <row r="23290" spans="9:9" x14ac:dyDescent="0.25">
      <c r="I23290" s="227" t="str">
        <f>MID(excPisCofins[[#This Row],[CodBarras2]],2,50)</f>
        <v/>
      </c>
    </row>
    <row r="23291" spans="9:9" x14ac:dyDescent="0.25">
      <c r="I23291" s="227" t="str">
        <f>MID(excPisCofins[[#This Row],[CodBarras2]],2,50)</f>
        <v/>
      </c>
    </row>
    <row r="23292" spans="9:9" x14ac:dyDescent="0.25">
      <c r="I23292" s="227" t="str">
        <f>MID(excPisCofins[[#This Row],[CodBarras2]],2,50)</f>
        <v/>
      </c>
    </row>
    <row r="23293" spans="9:9" x14ac:dyDescent="0.25">
      <c r="I23293" s="227" t="str">
        <f>MID(excPisCofins[[#This Row],[CodBarras2]],2,50)</f>
        <v/>
      </c>
    </row>
    <row r="23294" spans="9:9" x14ac:dyDescent="0.25">
      <c r="I23294" s="227" t="str">
        <f>MID(excPisCofins[[#This Row],[CodBarras2]],2,50)</f>
        <v/>
      </c>
    </row>
    <row r="23295" spans="9:9" x14ac:dyDescent="0.25">
      <c r="I23295" s="227" t="str">
        <f>MID(excPisCofins[[#This Row],[CodBarras2]],2,50)</f>
        <v/>
      </c>
    </row>
    <row r="23296" spans="9:9" x14ac:dyDescent="0.25">
      <c r="I23296" s="227" t="str">
        <f>MID(excPisCofins[[#This Row],[CodBarras2]],2,50)</f>
        <v/>
      </c>
    </row>
    <row r="23297" spans="9:9" x14ac:dyDescent="0.25">
      <c r="I23297" s="227" t="str">
        <f>MID(excPisCofins[[#This Row],[CodBarras2]],2,50)</f>
        <v/>
      </c>
    </row>
    <row r="23298" spans="9:9" x14ac:dyDescent="0.25">
      <c r="I23298" s="227" t="str">
        <f>MID(excPisCofins[[#This Row],[CodBarras2]],2,50)</f>
        <v/>
      </c>
    </row>
    <row r="23299" spans="9:9" x14ac:dyDescent="0.25">
      <c r="I23299" s="227" t="str">
        <f>MID(excPisCofins[[#This Row],[CodBarras2]],2,50)</f>
        <v/>
      </c>
    </row>
    <row r="23300" spans="9:9" x14ac:dyDescent="0.25">
      <c r="I23300" s="227" t="str">
        <f>MID(excPisCofins[[#This Row],[CodBarras2]],2,50)</f>
        <v/>
      </c>
    </row>
    <row r="23301" spans="9:9" x14ac:dyDescent="0.25">
      <c r="I23301" s="227" t="str">
        <f>MID(excPisCofins[[#This Row],[CodBarras2]],2,50)</f>
        <v/>
      </c>
    </row>
    <row r="23302" spans="9:9" x14ac:dyDescent="0.25">
      <c r="I23302" s="227" t="str">
        <f>MID(excPisCofins[[#This Row],[CodBarras2]],2,50)</f>
        <v/>
      </c>
    </row>
    <row r="23303" spans="9:9" x14ac:dyDescent="0.25">
      <c r="I23303" s="227" t="str">
        <f>MID(excPisCofins[[#This Row],[CodBarras2]],2,50)</f>
        <v/>
      </c>
    </row>
    <row r="23304" spans="9:9" x14ac:dyDescent="0.25">
      <c r="I23304" s="227" t="str">
        <f>MID(excPisCofins[[#This Row],[CodBarras2]],2,50)</f>
        <v/>
      </c>
    </row>
    <row r="23305" spans="9:9" x14ac:dyDescent="0.25">
      <c r="I23305" s="227" t="str">
        <f>MID(excPisCofins[[#This Row],[CodBarras2]],2,50)</f>
        <v/>
      </c>
    </row>
    <row r="23306" spans="9:9" x14ac:dyDescent="0.25">
      <c r="I23306" s="227" t="str">
        <f>MID(excPisCofins[[#This Row],[CodBarras2]],2,50)</f>
        <v/>
      </c>
    </row>
    <row r="23307" spans="9:9" x14ac:dyDescent="0.25">
      <c r="I23307" s="227" t="str">
        <f>MID(excPisCofins[[#This Row],[CodBarras2]],2,50)</f>
        <v/>
      </c>
    </row>
    <row r="23308" spans="9:9" x14ac:dyDescent="0.25">
      <c r="I23308" s="227" t="str">
        <f>MID(excPisCofins[[#This Row],[CodBarras2]],2,50)</f>
        <v/>
      </c>
    </row>
    <row r="23309" spans="9:9" x14ac:dyDescent="0.25">
      <c r="I23309" s="227" t="str">
        <f>MID(excPisCofins[[#This Row],[CodBarras2]],2,50)</f>
        <v/>
      </c>
    </row>
    <row r="23310" spans="9:9" x14ac:dyDescent="0.25">
      <c r="I23310" s="227" t="str">
        <f>MID(excPisCofins[[#This Row],[CodBarras2]],2,50)</f>
        <v/>
      </c>
    </row>
    <row r="23311" spans="9:9" x14ac:dyDescent="0.25">
      <c r="I23311" s="227" t="str">
        <f>MID(excPisCofins[[#This Row],[CodBarras2]],2,50)</f>
        <v/>
      </c>
    </row>
    <row r="23312" spans="9:9" x14ac:dyDescent="0.25">
      <c r="I23312" s="227" t="str">
        <f>MID(excPisCofins[[#This Row],[CodBarras2]],2,50)</f>
        <v/>
      </c>
    </row>
    <row r="23313" spans="9:9" x14ac:dyDescent="0.25">
      <c r="I23313" s="227" t="str">
        <f>MID(excPisCofins[[#This Row],[CodBarras2]],2,50)</f>
        <v/>
      </c>
    </row>
    <row r="23314" spans="9:9" x14ac:dyDescent="0.25">
      <c r="I23314" s="227" t="str">
        <f>MID(excPisCofins[[#This Row],[CodBarras2]],2,50)</f>
        <v/>
      </c>
    </row>
    <row r="23315" spans="9:9" x14ac:dyDescent="0.25">
      <c r="I23315" s="227" t="str">
        <f>MID(excPisCofins[[#This Row],[CodBarras2]],2,50)</f>
        <v/>
      </c>
    </row>
    <row r="23316" spans="9:9" x14ac:dyDescent="0.25">
      <c r="I23316" s="227" t="str">
        <f>MID(excPisCofins[[#This Row],[CodBarras2]],2,50)</f>
        <v/>
      </c>
    </row>
    <row r="23317" spans="9:9" x14ac:dyDescent="0.25">
      <c r="I23317" s="227" t="str">
        <f>MID(excPisCofins[[#This Row],[CodBarras2]],2,50)</f>
        <v/>
      </c>
    </row>
    <row r="23318" spans="9:9" x14ac:dyDescent="0.25">
      <c r="I23318" s="227" t="str">
        <f>MID(excPisCofins[[#This Row],[CodBarras2]],2,50)</f>
        <v/>
      </c>
    </row>
    <row r="23319" spans="9:9" x14ac:dyDescent="0.25">
      <c r="I23319" s="227" t="str">
        <f>MID(excPisCofins[[#This Row],[CodBarras2]],2,50)</f>
        <v/>
      </c>
    </row>
    <row r="23320" spans="9:9" x14ac:dyDescent="0.25">
      <c r="I23320" s="227" t="str">
        <f>MID(excPisCofins[[#This Row],[CodBarras2]],2,50)</f>
        <v/>
      </c>
    </row>
    <row r="23321" spans="9:9" x14ac:dyDescent="0.25">
      <c r="I23321" s="227" t="str">
        <f>MID(excPisCofins[[#This Row],[CodBarras2]],2,50)</f>
        <v/>
      </c>
    </row>
    <row r="23322" spans="9:9" x14ac:dyDescent="0.25">
      <c r="I23322" s="227" t="str">
        <f>MID(excPisCofins[[#This Row],[CodBarras2]],2,50)</f>
        <v/>
      </c>
    </row>
    <row r="23323" spans="9:9" x14ac:dyDescent="0.25">
      <c r="I23323" s="227" t="str">
        <f>MID(excPisCofins[[#This Row],[CodBarras2]],2,50)</f>
        <v/>
      </c>
    </row>
    <row r="23324" spans="9:9" x14ac:dyDescent="0.25">
      <c r="I23324" s="227" t="str">
        <f>MID(excPisCofins[[#This Row],[CodBarras2]],2,50)</f>
        <v/>
      </c>
    </row>
    <row r="23325" spans="9:9" x14ac:dyDescent="0.25">
      <c r="I23325" s="227" t="str">
        <f>MID(excPisCofins[[#This Row],[CodBarras2]],2,50)</f>
        <v/>
      </c>
    </row>
    <row r="23326" spans="9:9" x14ac:dyDescent="0.25">
      <c r="I23326" s="227" t="str">
        <f>MID(excPisCofins[[#This Row],[CodBarras2]],2,50)</f>
        <v/>
      </c>
    </row>
    <row r="23327" spans="9:9" x14ac:dyDescent="0.25">
      <c r="I23327" s="227" t="str">
        <f>MID(excPisCofins[[#This Row],[CodBarras2]],2,50)</f>
        <v/>
      </c>
    </row>
    <row r="23328" spans="9:9" x14ac:dyDescent="0.25">
      <c r="I23328" s="227" t="str">
        <f>MID(excPisCofins[[#This Row],[CodBarras2]],2,50)</f>
        <v/>
      </c>
    </row>
    <row r="23329" spans="9:9" x14ac:dyDescent="0.25">
      <c r="I23329" s="227" t="str">
        <f>MID(excPisCofins[[#This Row],[CodBarras2]],2,50)</f>
        <v/>
      </c>
    </row>
    <row r="23330" spans="9:9" x14ac:dyDescent="0.25">
      <c r="I23330" s="227" t="str">
        <f>MID(excPisCofins[[#This Row],[CodBarras2]],2,50)</f>
        <v/>
      </c>
    </row>
    <row r="23331" spans="9:9" x14ac:dyDescent="0.25">
      <c r="I23331" s="227" t="str">
        <f>MID(excPisCofins[[#This Row],[CodBarras2]],2,50)</f>
        <v/>
      </c>
    </row>
    <row r="23332" spans="9:9" x14ac:dyDescent="0.25">
      <c r="I23332" s="227" t="str">
        <f>MID(excPisCofins[[#This Row],[CodBarras2]],2,50)</f>
        <v/>
      </c>
    </row>
    <row r="23333" spans="9:9" x14ac:dyDescent="0.25">
      <c r="I23333" s="227" t="str">
        <f>MID(excPisCofins[[#This Row],[CodBarras2]],2,50)</f>
        <v/>
      </c>
    </row>
    <row r="23334" spans="9:9" x14ac:dyDescent="0.25">
      <c r="I23334" s="227" t="str">
        <f>MID(excPisCofins[[#This Row],[CodBarras2]],2,50)</f>
        <v/>
      </c>
    </row>
    <row r="23335" spans="9:9" x14ac:dyDescent="0.25">
      <c r="I23335" s="227" t="str">
        <f>MID(excPisCofins[[#This Row],[CodBarras2]],2,50)</f>
        <v/>
      </c>
    </row>
    <row r="23336" spans="9:9" x14ac:dyDescent="0.25">
      <c r="I23336" s="227" t="str">
        <f>MID(excPisCofins[[#This Row],[CodBarras2]],2,50)</f>
        <v/>
      </c>
    </row>
    <row r="23337" spans="9:9" x14ac:dyDescent="0.25">
      <c r="I23337" s="227" t="str">
        <f>MID(excPisCofins[[#This Row],[CodBarras2]],2,50)</f>
        <v/>
      </c>
    </row>
    <row r="23338" spans="9:9" x14ac:dyDescent="0.25">
      <c r="I23338" s="227" t="str">
        <f>MID(excPisCofins[[#This Row],[CodBarras2]],2,50)</f>
        <v/>
      </c>
    </row>
    <row r="23339" spans="9:9" x14ac:dyDescent="0.25">
      <c r="I23339" s="227" t="str">
        <f>MID(excPisCofins[[#This Row],[CodBarras2]],2,50)</f>
        <v/>
      </c>
    </row>
    <row r="23340" spans="9:9" x14ac:dyDescent="0.25">
      <c r="I23340" s="227" t="str">
        <f>MID(excPisCofins[[#This Row],[CodBarras2]],2,50)</f>
        <v/>
      </c>
    </row>
    <row r="23341" spans="9:9" x14ac:dyDescent="0.25">
      <c r="I23341" s="227" t="str">
        <f>MID(excPisCofins[[#This Row],[CodBarras2]],2,50)</f>
        <v/>
      </c>
    </row>
    <row r="23342" spans="9:9" x14ac:dyDescent="0.25">
      <c r="I23342" s="227" t="str">
        <f>MID(excPisCofins[[#This Row],[CodBarras2]],2,50)</f>
        <v/>
      </c>
    </row>
    <row r="23343" spans="9:9" x14ac:dyDescent="0.25">
      <c r="I23343" s="227" t="str">
        <f>MID(excPisCofins[[#This Row],[CodBarras2]],2,50)</f>
        <v/>
      </c>
    </row>
    <row r="23344" spans="9:9" x14ac:dyDescent="0.25">
      <c r="I23344" s="227" t="str">
        <f>MID(excPisCofins[[#This Row],[CodBarras2]],2,50)</f>
        <v/>
      </c>
    </row>
    <row r="23345" spans="9:9" x14ac:dyDescent="0.25">
      <c r="I23345" s="227" t="str">
        <f>MID(excPisCofins[[#This Row],[CodBarras2]],2,50)</f>
        <v/>
      </c>
    </row>
    <row r="23346" spans="9:9" x14ac:dyDescent="0.25">
      <c r="I23346" s="227" t="str">
        <f>MID(excPisCofins[[#This Row],[CodBarras2]],2,50)</f>
        <v/>
      </c>
    </row>
    <row r="23347" spans="9:9" x14ac:dyDescent="0.25">
      <c r="I23347" s="227" t="str">
        <f>MID(excPisCofins[[#This Row],[CodBarras2]],2,50)</f>
        <v/>
      </c>
    </row>
    <row r="23348" spans="9:9" x14ac:dyDescent="0.25">
      <c r="I23348" s="227" t="str">
        <f>MID(excPisCofins[[#This Row],[CodBarras2]],2,50)</f>
        <v/>
      </c>
    </row>
    <row r="23349" spans="9:9" x14ac:dyDescent="0.25">
      <c r="I23349" s="227" t="str">
        <f>MID(excPisCofins[[#This Row],[CodBarras2]],2,50)</f>
        <v/>
      </c>
    </row>
    <row r="23350" spans="9:9" x14ac:dyDescent="0.25">
      <c r="I23350" s="227" t="str">
        <f>MID(excPisCofins[[#This Row],[CodBarras2]],2,50)</f>
        <v/>
      </c>
    </row>
    <row r="23351" spans="9:9" x14ac:dyDescent="0.25">
      <c r="I23351" s="227" t="str">
        <f>MID(excPisCofins[[#This Row],[CodBarras2]],2,50)</f>
        <v/>
      </c>
    </row>
    <row r="23352" spans="9:9" x14ac:dyDescent="0.25">
      <c r="I23352" s="227" t="str">
        <f>MID(excPisCofins[[#This Row],[CodBarras2]],2,50)</f>
        <v/>
      </c>
    </row>
    <row r="23353" spans="9:9" x14ac:dyDescent="0.25">
      <c r="I23353" s="227" t="str">
        <f>MID(excPisCofins[[#This Row],[CodBarras2]],2,50)</f>
        <v/>
      </c>
    </row>
    <row r="23354" spans="9:9" x14ac:dyDescent="0.25">
      <c r="I23354" s="227" t="str">
        <f>MID(excPisCofins[[#This Row],[CodBarras2]],2,50)</f>
        <v/>
      </c>
    </row>
    <row r="23355" spans="9:9" x14ac:dyDescent="0.25">
      <c r="I23355" s="227" t="str">
        <f>MID(excPisCofins[[#This Row],[CodBarras2]],2,50)</f>
        <v/>
      </c>
    </row>
    <row r="23356" spans="9:9" x14ac:dyDescent="0.25">
      <c r="I23356" s="227" t="str">
        <f>MID(excPisCofins[[#This Row],[CodBarras2]],2,50)</f>
        <v/>
      </c>
    </row>
    <row r="23357" spans="9:9" x14ac:dyDescent="0.25">
      <c r="I23357" s="227" t="str">
        <f>MID(excPisCofins[[#This Row],[CodBarras2]],2,50)</f>
        <v/>
      </c>
    </row>
    <row r="23358" spans="9:9" x14ac:dyDescent="0.25">
      <c r="I23358" s="227" t="str">
        <f>MID(excPisCofins[[#This Row],[CodBarras2]],2,50)</f>
        <v/>
      </c>
    </row>
    <row r="23359" spans="9:9" x14ac:dyDescent="0.25">
      <c r="I23359" s="227" t="str">
        <f>MID(excPisCofins[[#This Row],[CodBarras2]],2,50)</f>
        <v/>
      </c>
    </row>
    <row r="23360" spans="9:9" x14ac:dyDescent="0.25">
      <c r="I23360" s="227" t="str">
        <f>MID(excPisCofins[[#This Row],[CodBarras2]],2,50)</f>
        <v/>
      </c>
    </row>
    <row r="23361" spans="9:9" x14ac:dyDescent="0.25">
      <c r="I23361" s="227" t="str">
        <f>MID(excPisCofins[[#This Row],[CodBarras2]],2,50)</f>
        <v/>
      </c>
    </row>
    <row r="23362" spans="9:9" x14ac:dyDescent="0.25">
      <c r="I23362" s="227" t="str">
        <f>MID(excPisCofins[[#This Row],[CodBarras2]],2,50)</f>
        <v/>
      </c>
    </row>
    <row r="23363" spans="9:9" x14ac:dyDescent="0.25">
      <c r="I23363" s="227" t="str">
        <f>MID(excPisCofins[[#This Row],[CodBarras2]],2,50)</f>
        <v/>
      </c>
    </row>
    <row r="23364" spans="9:9" x14ac:dyDescent="0.25">
      <c r="I23364" s="227" t="str">
        <f>MID(excPisCofins[[#This Row],[CodBarras2]],2,50)</f>
        <v/>
      </c>
    </row>
    <row r="23365" spans="9:9" x14ac:dyDescent="0.25">
      <c r="I23365" s="227" t="str">
        <f>MID(excPisCofins[[#This Row],[CodBarras2]],2,50)</f>
        <v/>
      </c>
    </row>
    <row r="23366" spans="9:9" x14ac:dyDescent="0.25">
      <c r="I23366" s="227" t="str">
        <f>MID(excPisCofins[[#This Row],[CodBarras2]],2,50)</f>
        <v/>
      </c>
    </row>
    <row r="23367" spans="9:9" x14ac:dyDescent="0.25">
      <c r="I23367" s="227" t="str">
        <f>MID(excPisCofins[[#This Row],[CodBarras2]],2,50)</f>
        <v/>
      </c>
    </row>
    <row r="23368" spans="9:9" x14ac:dyDescent="0.25">
      <c r="I23368" s="227" t="str">
        <f>MID(excPisCofins[[#This Row],[CodBarras2]],2,50)</f>
        <v/>
      </c>
    </row>
    <row r="23369" spans="9:9" x14ac:dyDescent="0.25">
      <c r="I23369" s="227" t="str">
        <f>MID(excPisCofins[[#This Row],[CodBarras2]],2,50)</f>
        <v/>
      </c>
    </row>
    <row r="23370" spans="9:9" x14ac:dyDescent="0.25">
      <c r="I23370" s="227" t="str">
        <f>MID(excPisCofins[[#This Row],[CodBarras2]],2,50)</f>
        <v/>
      </c>
    </row>
    <row r="23371" spans="9:9" x14ac:dyDescent="0.25">
      <c r="I23371" s="227" t="str">
        <f>MID(excPisCofins[[#This Row],[CodBarras2]],2,50)</f>
        <v/>
      </c>
    </row>
    <row r="23372" spans="9:9" x14ac:dyDescent="0.25">
      <c r="I23372" s="227" t="str">
        <f>MID(excPisCofins[[#This Row],[CodBarras2]],2,50)</f>
        <v/>
      </c>
    </row>
    <row r="23373" spans="9:9" x14ac:dyDescent="0.25">
      <c r="I23373" s="227" t="str">
        <f>MID(excPisCofins[[#This Row],[CodBarras2]],2,50)</f>
        <v/>
      </c>
    </row>
    <row r="23374" spans="9:9" x14ac:dyDescent="0.25">
      <c r="I23374" s="227" t="str">
        <f>MID(excPisCofins[[#This Row],[CodBarras2]],2,50)</f>
        <v/>
      </c>
    </row>
    <row r="23375" spans="9:9" x14ac:dyDescent="0.25">
      <c r="I23375" s="227" t="str">
        <f>MID(excPisCofins[[#This Row],[CodBarras2]],2,50)</f>
        <v/>
      </c>
    </row>
    <row r="23376" spans="9:9" x14ac:dyDescent="0.25">
      <c r="I23376" s="227" t="str">
        <f>MID(excPisCofins[[#This Row],[CodBarras2]],2,50)</f>
        <v/>
      </c>
    </row>
    <row r="23377" spans="9:9" x14ac:dyDescent="0.25">
      <c r="I23377" s="227" t="str">
        <f>MID(excPisCofins[[#This Row],[CodBarras2]],2,50)</f>
        <v/>
      </c>
    </row>
    <row r="23378" spans="9:9" x14ac:dyDescent="0.25">
      <c r="I23378" s="227" t="str">
        <f>MID(excPisCofins[[#This Row],[CodBarras2]],2,50)</f>
        <v/>
      </c>
    </row>
    <row r="23379" spans="9:9" x14ac:dyDescent="0.25">
      <c r="I23379" s="227" t="str">
        <f>MID(excPisCofins[[#This Row],[CodBarras2]],2,50)</f>
        <v/>
      </c>
    </row>
    <row r="23380" spans="9:9" x14ac:dyDescent="0.25">
      <c r="I23380" s="227" t="str">
        <f>MID(excPisCofins[[#This Row],[CodBarras2]],2,50)</f>
        <v/>
      </c>
    </row>
    <row r="23381" spans="9:9" x14ac:dyDescent="0.25">
      <c r="I23381" s="227" t="str">
        <f>MID(excPisCofins[[#This Row],[CodBarras2]],2,50)</f>
        <v/>
      </c>
    </row>
    <row r="23382" spans="9:9" x14ac:dyDescent="0.25">
      <c r="I23382" s="227" t="str">
        <f>MID(excPisCofins[[#This Row],[CodBarras2]],2,50)</f>
        <v/>
      </c>
    </row>
    <row r="23383" spans="9:9" x14ac:dyDescent="0.25">
      <c r="I23383" s="227" t="str">
        <f>MID(excPisCofins[[#This Row],[CodBarras2]],2,50)</f>
        <v/>
      </c>
    </row>
    <row r="23384" spans="9:9" x14ac:dyDescent="0.25">
      <c r="I23384" s="227" t="str">
        <f>MID(excPisCofins[[#This Row],[CodBarras2]],2,50)</f>
        <v/>
      </c>
    </row>
    <row r="23385" spans="9:9" x14ac:dyDescent="0.25">
      <c r="I23385" s="227" t="str">
        <f>MID(excPisCofins[[#This Row],[CodBarras2]],2,50)</f>
        <v/>
      </c>
    </row>
    <row r="23386" spans="9:9" x14ac:dyDescent="0.25">
      <c r="I23386" s="227" t="str">
        <f>MID(excPisCofins[[#This Row],[CodBarras2]],2,50)</f>
        <v/>
      </c>
    </row>
    <row r="23387" spans="9:9" x14ac:dyDescent="0.25">
      <c r="I23387" s="227" t="str">
        <f>MID(excPisCofins[[#This Row],[CodBarras2]],2,50)</f>
        <v/>
      </c>
    </row>
    <row r="23388" spans="9:9" x14ac:dyDescent="0.25">
      <c r="I23388" s="227" t="str">
        <f>MID(excPisCofins[[#This Row],[CodBarras2]],2,50)</f>
        <v/>
      </c>
    </row>
    <row r="23389" spans="9:9" x14ac:dyDescent="0.25">
      <c r="I23389" s="227" t="str">
        <f>MID(excPisCofins[[#This Row],[CodBarras2]],2,50)</f>
        <v/>
      </c>
    </row>
    <row r="23390" spans="9:9" x14ac:dyDescent="0.25">
      <c r="I23390" s="227" t="str">
        <f>MID(excPisCofins[[#This Row],[CodBarras2]],2,50)</f>
        <v/>
      </c>
    </row>
    <row r="23391" spans="9:9" x14ac:dyDescent="0.25">
      <c r="I23391" s="227" t="str">
        <f>MID(excPisCofins[[#This Row],[CodBarras2]],2,50)</f>
        <v/>
      </c>
    </row>
    <row r="23392" spans="9:9" x14ac:dyDescent="0.25">
      <c r="I23392" s="227" t="str">
        <f>MID(excPisCofins[[#This Row],[CodBarras2]],2,50)</f>
        <v/>
      </c>
    </row>
    <row r="23393" spans="9:9" x14ac:dyDescent="0.25">
      <c r="I23393" s="227" t="str">
        <f>MID(excPisCofins[[#This Row],[CodBarras2]],2,50)</f>
        <v/>
      </c>
    </row>
    <row r="23394" spans="9:9" x14ac:dyDescent="0.25">
      <c r="I23394" s="227" t="str">
        <f>MID(excPisCofins[[#This Row],[CodBarras2]],2,50)</f>
        <v/>
      </c>
    </row>
    <row r="23395" spans="9:9" x14ac:dyDescent="0.25">
      <c r="I23395" s="227" t="str">
        <f>MID(excPisCofins[[#This Row],[CodBarras2]],2,50)</f>
        <v/>
      </c>
    </row>
    <row r="23396" spans="9:9" x14ac:dyDescent="0.25">
      <c r="I23396" s="227" t="str">
        <f>MID(excPisCofins[[#This Row],[CodBarras2]],2,50)</f>
        <v/>
      </c>
    </row>
    <row r="23397" spans="9:9" x14ac:dyDescent="0.25">
      <c r="I23397" s="227" t="str">
        <f>MID(excPisCofins[[#This Row],[CodBarras2]],2,50)</f>
        <v/>
      </c>
    </row>
    <row r="23398" spans="9:9" x14ac:dyDescent="0.25">
      <c r="I23398" s="227" t="str">
        <f>MID(excPisCofins[[#This Row],[CodBarras2]],2,50)</f>
        <v/>
      </c>
    </row>
    <row r="23399" spans="9:9" x14ac:dyDescent="0.25">
      <c r="I23399" s="227" t="str">
        <f>MID(excPisCofins[[#This Row],[CodBarras2]],2,50)</f>
        <v/>
      </c>
    </row>
    <row r="23400" spans="9:9" x14ac:dyDescent="0.25">
      <c r="I23400" s="227" t="str">
        <f>MID(excPisCofins[[#This Row],[CodBarras2]],2,50)</f>
        <v/>
      </c>
    </row>
    <row r="23401" spans="9:9" x14ac:dyDescent="0.25">
      <c r="I23401" s="227" t="str">
        <f>MID(excPisCofins[[#This Row],[CodBarras2]],2,50)</f>
        <v/>
      </c>
    </row>
    <row r="23402" spans="9:9" x14ac:dyDescent="0.25">
      <c r="I23402" s="227" t="str">
        <f>MID(excPisCofins[[#This Row],[CodBarras2]],2,50)</f>
        <v/>
      </c>
    </row>
    <row r="23403" spans="9:9" x14ac:dyDescent="0.25">
      <c r="I23403" s="227" t="str">
        <f>MID(excPisCofins[[#This Row],[CodBarras2]],2,50)</f>
        <v/>
      </c>
    </row>
    <row r="23404" spans="9:9" x14ac:dyDescent="0.25">
      <c r="I23404" s="227" t="str">
        <f>MID(excPisCofins[[#This Row],[CodBarras2]],2,50)</f>
        <v/>
      </c>
    </row>
    <row r="23405" spans="9:9" x14ac:dyDescent="0.25">
      <c r="I23405" s="227" t="str">
        <f>MID(excPisCofins[[#This Row],[CodBarras2]],2,50)</f>
        <v/>
      </c>
    </row>
    <row r="23406" spans="9:9" x14ac:dyDescent="0.25">
      <c r="I23406" s="227" t="str">
        <f>MID(excPisCofins[[#This Row],[CodBarras2]],2,50)</f>
        <v/>
      </c>
    </row>
    <row r="23407" spans="9:9" x14ac:dyDescent="0.25">
      <c r="I23407" s="227" t="str">
        <f>MID(excPisCofins[[#This Row],[CodBarras2]],2,50)</f>
        <v/>
      </c>
    </row>
    <row r="23408" spans="9:9" x14ac:dyDescent="0.25">
      <c r="I23408" s="227" t="str">
        <f>MID(excPisCofins[[#This Row],[CodBarras2]],2,50)</f>
        <v/>
      </c>
    </row>
    <row r="23409" spans="9:9" x14ac:dyDescent="0.25">
      <c r="I23409" s="227" t="str">
        <f>MID(excPisCofins[[#This Row],[CodBarras2]],2,50)</f>
        <v/>
      </c>
    </row>
    <row r="23410" spans="9:9" x14ac:dyDescent="0.25">
      <c r="I23410" s="227" t="str">
        <f>MID(excPisCofins[[#This Row],[CodBarras2]],2,50)</f>
        <v/>
      </c>
    </row>
    <row r="23411" spans="9:9" x14ac:dyDescent="0.25">
      <c r="I23411" s="227" t="str">
        <f>MID(excPisCofins[[#This Row],[CodBarras2]],2,50)</f>
        <v/>
      </c>
    </row>
    <row r="23412" spans="9:9" x14ac:dyDescent="0.25">
      <c r="I23412" s="227" t="str">
        <f>MID(excPisCofins[[#This Row],[CodBarras2]],2,50)</f>
        <v/>
      </c>
    </row>
    <row r="23413" spans="9:9" x14ac:dyDescent="0.25">
      <c r="I23413" s="227" t="str">
        <f>MID(excPisCofins[[#This Row],[CodBarras2]],2,50)</f>
        <v/>
      </c>
    </row>
    <row r="23414" spans="9:9" x14ac:dyDescent="0.25">
      <c r="I23414" s="227" t="str">
        <f>MID(excPisCofins[[#This Row],[CodBarras2]],2,50)</f>
        <v/>
      </c>
    </row>
    <row r="23415" spans="9:9" x14ac:dyDescent="0.25">
      <c r="I23415" s="227" t="str">
        <f>MID(excPisCofins[[#This Row],[CodBarras2]],2,50)</f>
        <v/>
      </c>
    </row>
    <row r="23416" spans="9:9" x14ac:dyDescent="0.25">
      <c r="I23416" s="227" t="str">
        <f>MID(excPisCofins[[#This Row],[CodBarras2]],2,50)</f>
        <v/>
      </c>
    </row>
    <row r="23417" spans="9:9" x14ac:dyDescent="0.25">
      <c r="I23417" s="227" t="str">
        <f>MID(excPisCofins[[#This Row],[CodBarras2]],2,50)</f>
        <v/>
      </c>
    </row>
    <row r="23418" spans="9:9" x14ac:dyDescent="0.25">
      <c r="I23418" s="227" t="str">
        <f>MID(excPisCofins[[#This Row],[CodBarras2]],2,50)</f>
        <v/>
      </c>
    </row>
    <row r="23419" spans="9:9" x14ac:dyDescent="0.25">
      <c r="I23419" s="227" t="str">
        <f>MID(excPisCofins[[#This Row],[CodBarras2]],2,50)</f>
        <v/>
      </c>
    </row>
    <row r="23420" spans="9:9" x14ac:dyDescent="0.25">
      <c r="I23420" s="227" t="str">
        <f>MID(excPisCofins[[#This Row],[CodBarras2]],2,50)</f>
        <v/>
      </c>
    </row>
    <row r="23421" spans="9:9" x14ac:dyDescent="0.25">
      <c r="I23421" s="227" t="str">
        <f>MID(excPisCofins[[#This Row],[CodBarras2]],2,50)</f>
        <v/>
      </c>
    </row>
    <row r="23422" spans="9:9" x14ac:dyDescent="0.25">
      <c r="I23422" s="227" t="str">
        <f>MID(excPisCofins[[#This Row],[CodBarras2]],2,50)</f>
        <v/>
      </c>
    </row>
    <row r="23423" spans="9:9" x14ac:dyDescent="0.25">
      <c r="I23423" s="227" t="str">
        <f>MID(excPisCofins[[#This Row],[CodBarras2]],2,50)</f>
        <v/>
      </c>
    </row>
    <row r="23424" spans="9:9" x14ac:dyDescent="0.25">
      <c r="I23424" s="227" t="str">
        <f>MID(excPisCofins[[#This Row],[CodBarras2]],2,50)</f>
        <v/>
      </c>
    </row>
    <row r="23425" spans="9:9" x14ac:dyDescent="0.25">
      <c r="I23425" s="227" t="str">
        <f>MID(excPisCofins[[#This Row],[CodBarras2]],2,50)</f>
        <v/>
      </c>
    </row>
    <row r="23426" spans="9:9" x14ac:dyDescent="0.25">
      <c r="I23426" s="227" t="str">
        <f>MID(excPisCofins[[#This Row],[CodBarras2]],2,50)</f>
        <v/>
      </c>
    </row>
    <row r="23427" spans="9:9" x14ac:dyDescent="0.25">
      <c r="I23427" s="227" t="str">
        <f>MID(excPisCofins[[#This Row],[CodBarras2]],2,50)</f>
        <v/>
      </c>
    </row>
    <row r="23428" spans="9:9" x14ac:dyDescent="0.25">
      <c r="I23428" s="227" t="str">
        <f>MID(excPisCofins[[#This Row],[CodBarras2]],2,50)</f>
        <v/>
      </c>
    </row>
    <row r="23429" spans="9:9" x14ac:dyDescent="0.25">
      <c r="I23429" s="227" t="str">
        <f>MID(excPisCofins[[#This Row],[CodBarras2]],2,50)</f>
        <v/>
      </c>
    </row>
    <row r="23430" spans="9:9" x14ac:dyDescent="0.25">
      <c r="I23430" s="227" t="str">
        <f>MID(excPisCofins[[#This Row],[CodBarras2]],2,50)</f>
        <v/>
      </c>
    </row>
    <row r="23431" spans="9:9" x14ac:dyDescent="0.25">
      <c r="I23431" s="227" t="str">
        <f>MID(excPisCofins[[#This Row],[CodBarras2]],2,50)</f>
        <v/>
      </c>
    </row>
    <row r="23432" spans="9:9" x14ac:dyDescent="0.25">
      <c r="I23432" s="227" t="str">
        <f>MID(excPisCofins[[#This Row],[CodBarras2]],2,50)</f>
        <v/>
      </c>
    </row>
    <row r="23433" spans="9:9" x14ac:dyDescent="0.25">
      <c r="I23433" s="227" t="str">
        <f>MID(excPisCofins[[#This Row],[CodBarras2]],2,50)</f>
        <v/>
      </c>
    </row>
    <row r="23434" spans="9:9" x14ac:dyDescent="0.25">
      <c r="I23434" s="227" t="str">
        <f>MID(excPisCofins[[#This Row],[CodBarras2]],2,50)</f>
        <v/>
      </c>
    </row>
    <row r="23435" spans="9:9" x14ac:dyDescent="0.25">
      <c r="I23435" s="227" t="str">
        <f>MID(excPisCofins[[#This Row],[CodBarras2]],2,50)</f>
        <v/>
      </c>
    </row>
    <row r="23436" spans="9:9" x14ac:dyDescent="0.25">
      <c r="I23436" s="227" t="str">
        <f>MID(excPisCofins[[#This Row],[CodBarras2]],2,50)</f>
        <v/>
      </c>
    </row>
    <row r="23437" spans="9:9" x14ac:dyDescent="0.25">
      <c r="I23437" s="227" t="str">
        <f>MID(excPisCofins[[#This Row],[CodBarras2]],2,50)</f>
        <v/>
      </c>
    </row>
    <row r="23438" spans="9:9" x14ac:dyDescent="0.25">
      <c r="I23438" s="227" t="str">
        <f>MID(excPisCofins[[#This Row],[CodBarras2]],2,50)</f>
        <v/>
      </c>
    </row>
    <row r="23439" spans="9:9" x14ac:dyDescent="0.25">
      <c r="I23439" s="227" t="str">
        <f>MID(excPisCofins[[#This Row],[CodBarras2]],2,50)</f>
        <v/>
      </c>
    </row>
    <row r="23440" spans="9:9" x14ac:dyDescent="0.25">
      <c r="I23440" s="227" t="str">
        <f>MID(excPisCofins[[#This Row],[CodBarras2]],2,50)</f>
        <v/>
      </c>
    </row>
    <row r="23441" spans="9:9" x14ac:dyDescent="0.25">
      <c r="I23441" s="227" t="str">
        <f>MID(excPisCofins[[#This Row],[CodBarras2]],2,50)</f>
        <v/>
      </c>
    </row>
    <row r="23442" spans="9:9" x14ac:dyDescent="0.25">
      <c r="I23442" s="227" t="str">
        <f>MID(excPisCofins[[#This Row],[CodBarras2]],2,50)</f>
        <v/>
      </c>
    </row>
    <row r="23443" spans="9:9" x14ac:dyDescent="0.25">
      <c r="I23443" s="227" t="str">
        <f>MID(excPisCofins[[#This Row],[CodBarras2]],2,50)</f>
        <v/>
      </c>
    </row>
    <row r="23444" spans="9:9" x14ac:dyDescent="0.25">
      <c r="I23444" s="227" t="str">
        <f>MID(excPisCofins[[#This Row],[CodBarras2]],2,50)</f>
        <v/>
      </c>
    </row>
    <row r="23445" spans="9:9" x14ac:dyDescent="0.25">
      <c r="I23445" s="227" t="str">
        <f>MID(excPisCofins[[#This Row],[CodBarras2]],2,50)</f>
        <v/>
      </c>
    </row>
    <row r="23446" spans="9:9" x14ac:dyDescent="0.25">
      <c r="I23446" s="227" t="str">
        <f>MID(excPisCofins[[#This Row],[CodBarras2]],2,50)</f>
        <v/>
      </c>
    </row>
    <row r="23447" spans="9:9" x14ac:dyDescent="0.25">
      <c r="I23447" s="227" t="str">
        <f>MID(excPisCofins[[#This Row],[CodBarras2]],2,50)</f>
        <v/>
      </c>
    </row>
    <row r="23448" spans="9:9" x14ac:dyDescent="0.25">
      <c r="I23448" s="227" t="str">
        <f>MID(excPisCofins[[#This Row],[CodBarras2]],2,50)</f>
        <v/>
      </c>
    </row>
    <row r="23449" spans="9:9" x14ac:dyDescent="0.25">
      <c r="I23449" s="227" t="str">
        <f>MID(excPisCofins[[#This Row],[CodBarras2]],2,50)</f>
        <v/>
      </c>
    </row>
    <row r="23450" spans="9:9" x14ac:dyDescent="0.25">
      <c r="I23450" s="227" t="str">
        <f>MID(excPisCofins[[#This Row],[CodBarras2]],2,50)</f>
        <v/>
      </c>
    </row>
    <row r="23451" spans="9:9" x14ac:dyDescent="0.25">
      <c r="I23451" s="227" t="str">
        <f>MID(excPisCofins[[#This Row],[CodBarras2]],2,50)</f>
        <v/>
      </c>
    </row>
    <row r="23452" spans="9:9" x14ac:dyDescent="0.25">
      <c r="I23452" s="227" t="str">
        <f>MID(excPisCofins[[#This Row],[CodBarras2]],2,50)</f>
        <v/>
      </c>
    </row>
    <row r="23453" spans="9:9" x14ac:dyDescent="0.25">
      <c r="I23453" s="227" t="str">
        <f>MID(excPisCofins[[#This Row],[CodBarras2]],2,50)</f>
        <v/>
      </c>
    </row>
    <row r="23454" spans="9:9" x14ac:dyDescent="0.25">
      <c r="I23454" s="227" t="str">
        <f>MID(excPisCofins[[#This Row],[CodBarras2]],2,50)</f>
        <v/>
      </c>
    </row>
    <row r="23455" spans="9:9" x14ac:dyDescent="0.25">
      <c r="I23455" s="227" t="str">
        <f>MID(excPisCofins[[#This Row],[CodBarras2]],2,50)</f>
        <v/>
      </c>
    </row>
    <row r="23456" spans="9:9" x14ac:dyDescent="0.25">
      <c r="I23456" s="227" t="str">
        <f>MID(excPisCofins[[#This Row],[CodBarras2]],2,50)</f>
        <v/>
      </c>
    </row>
    <row r="23457" spans="9:9" x14ac:dyDescent="0.25">
      <c r="I23457" s="227" t="str">
        <f>MID(excPisCofins[[#This Row],[CodBarras2]],2,50)</f>
        <v/>
      </c>
    </row>
    <row r="23458" spans="9:9" x14ac:dyDescent="0.25">
      <c r="I23458" s="227" t="str">
        <f>MID(excPisCofins[[#This Row],[CodBarras2]],2,50)</f>
        <v/>
      </c>
    </row>
    <row r="23459" spans="9:9" x14ac:dyDescent="0.25">
      <c r="I23459" s="227" t="str">
        <f>MID(excPisCofins[[#This Row],[CodBarras2]],2,50)</f>
        <v/>
      </c>
    </row>
    <row r="23460" spans="9:9" x14ac:dyDescent="0.25">
      <c r="I23460" s="227" t="str">
        <f>MID(excPisCofins[[#This Row],[CodBarras2]],2,50)</f>
        <v/>
      </c>
    </row>
    <row r="23461" spans="9:9" x14ac:dyDescent="0.25">
      <c r="I23461" s="227" t="str">
        <f>MID(excPisCofins[[#This Row],[CodBarras2]],2,50)</f>
        <v/>
      </c>
    </row>
    <row r="23462" spans="9:9" x14ac:dyDescent="0.25">
      <c r="I23462" s="227" t="str">
        <f>MID(excPisCofins[[#This Row],[CodBarras2]],2,50)</f>
        <v/>
      </c>
    </row>
    <row r="23463" spans="9:9" x14ac:dyDescent="0.25">
      <c r="I23463" s="227" t="str">
        <f>MID(excPisCofins[[#This Row],[CodBarras2]],2,50)</f>
        <v/>
      </c>
    </row>
    <row r="23464" spans="9:9" x14ac:dyDescent="0.25">
      <c r="I23464" s="227" t="str">
        <f>MID(excPisCofins[[#This Row],[CodBarras2]],2,50)</f>
        <v/>
      </c>
    </row>
    <row r="23465" spans="9:9" x14ac:dyDescent="0.25">
      <c r="I23465" s="227" t="str">
        <f>MID(excPisCofins[[#This Row],[CodBarras2]],2,50)</f>
        <v/>
      </c>
    </row>
    <row r="23466" spans="9:9" x14ac:dyDescent="0.25">
      <c r="I23466" s="227" t="str">
        <f>MID(excPisCofins[[#This Row],[CodBarras2]],2,50)</f>
        <v/>
      </c>
    </row>
    <row r="23467" spans="9:9" x14ac:dyDescent="0.25">
      <c r="I23467" s="227" t="str">
        <f>MID(excPisCofins[[#This Row],[CodBarras2]],2,50)</f>
        <v/>
      </c>
    </row>
    <row r="23468" spans="9:9" x14ac:dyDescent="0.25">
      <c r="I23468" s="227" t="str">
        <f>MID(excPisCofins[[#This Row],[CodBarras2]],2,50)</f>
        <v/>
      </c>
    </row>
    <row r="23469" spans="9:9" x14ac:dyDescent="0.25">
      <c r="I23469" s="227" t="str">
        <f>MID(excPisCofins[[#This Row],[CodBarras2]],2,50)</f>
        <v/>
      </c>
    </row>
    <row r="23470" spans="9:9" x14ac:dyDescent="0.25">
      <c r="I23470" s="227" t="str">
        <f>MID(excPisCofins[[#This Row],[CodBarras2]],2,50)</f>
        <v/>
      </c>
    </row>
    <row r="23471" spans="9:9" x14ac:dyDescent="0.25">
      <c r="I23471" s="227" t="str">
        <f>MID(excPisCofins[[#This Row],[CodBarras2]],2,50)</f>
        <v/>
      </c>
    </row>
    <row r="23472" spans="9:9" x14ac:dyDescent="0.25">
      <c r="I23472" s="227" t="str">
        <f>MID(excPisCofins[[#This Row],[CodBarras2]],2,50)</f>
        <v/>
      </c>
    </row>
    <row r="23473" spans="9:9" x14ac:dyDescent="0.25">
      <c r="I23473" s="227" t="str">
        <f>MID(excPisCofins[[#This Row],[CodBarras2]],2,50)</f>
        <v/>
      </c>
    </row>
    <row r="23474" spans="9:9" x14ac:dyDescent="0.25">
      <c r="I23474" s="227" t="str">
        <f>MID(excPisCofins[[#This Row],[CodBarras2]],2,50)</f>
        <v/>
      </c>
    </row>
    <row r="23475" spans="9:9" x14ac:dyDescent="0.25">
      <c r="I23475" s="227" t="str">
        <f>MID(excPisCofins[[#This Row],[CodBarras2]],2,50)</f>
        <v/>
      </c>
    </row>
    <row r="23476" spans="9:9" x14ac:dyDescent="0.25">
      <c r="I23476" s="227" t="str">
        <f>MID(excPisCofins[[#This Row],[CodBarras2]],2,50)</f>
        <v/>
      </c>
    </row>
    <row r="23477" spans="9:9" x14ac:dyDescent="0.25">
      <c r="I23477" s="227" t="str">
        <f>MID(excPisCofins[[#This Row],[CodBarras2]],2,50)</f>
        <v/>
      </c>
    </row>
    <row r="23478" spans="9:9" x14ac:dyDescent="0.25">
      <c r="I23478" s="227" t="str">
        <f>MID(excPisCofins[[#This Row],[CodBarras2]],2,50)</f>
        <v/>
      </c>
    </row>
    <row r="23479" spans="9:9" x14ac:dyDescent="0.25">
      <c r="I23479" s="227" t="str">
        <f>MID(excPisCofins[[#This Row],[CodBarras2]],2,50)</f>
        <v/>
      </c>
    </row>
    <row r="23480" spans="9:9" x14ac:dyDescent="0.25">
      <c r="I23480" s="227" t="str">
        <f>MID(excPisCofins[[#This Row],[CodBarras2]],2,50)</f>
        <v/>
      </c>
    </row>
    <row r="23481" spans="9:9" x14ac:dyDescent="0.25">
      <c r="I23481" s="227" t="str">
        <f>MID(excPisCofins[[#This Row],[CodBarras2]],2,50)</f>
        <v/>
      </c>
    </row>
    <row r="23482" spans="9:9" x14ac:dyDescent="0.25">
      <c r="I23482" s="227" t="str">
        <f>MID(excPisCofins[[#This Row],[CodBarras2]],2,50)</f>
        <v/>
      </c>
    </row>
    <row r="23483" spans="9:9" x14ac:dyDescent="0.25">
      <c r="I23483" s="227" t="str">
        <f>MID(excPisCofins[[#This Row],[CodBarras2]],2,50)</f>
        <v/>
      </c>
    </row>
    <row r="23484" spans="9:9" x14ac:dyDescent="0.25">
      <c r="I23484" s="227" t="str">
        <f>MID(excPisCofins[[#This Row],[CodBarras2]],2,50)</f>
        <v/>
      </c>
    </row>
    <row r="23485" spans="9:9" x14ac:dyDescent="0.25">
      <c r="I23485" s="227" t="str">
        <f>MID(excPisCofins[[#This Row],[CodBarras2]],2,50)</f>
        <v/>
      </c>
    </row>
    <row r="23486" spans="9:9" x14ac:dyDescent="0.25">
      <c r="I23486" s="227" t="str">
        <f>MID(excPisCofins[[#This Row],[CodBarras2]],2,50)</f>
        <v/>
      </c>
    </row>
    <row r="23487" spans="9:9" x14ac:dyDescent="0.25">
      <c r="I23487" s="227" t="str">
        <f>MID(excPisCofins[[#This Row],[CodBarras2]],2,50)</f>
        <v/>
      </c>
    </row>
    <row r="23488" spans="9:9" x14ac:dyDescent="0.25">
      <c r="I23488" s="227" t="str">
        <f>MID(excPisCofins[[#This Row],[CodBarras2]],2,50)</f>
        <v/>
      </c>
    </row>
    <row r="23489" spans="9:9" x14ac:dyDescent="0.25">
      <c r="I23489" s="227" t="str">
        <f>MID(excPisCofins[[#This Row],[CodBarras2]],2,50)</f>
        <v/>
      </c>
    </row>
    <row r="23490" spans="9:9" x14ac:dyDescent="0.25">
      <c r="I23490" s="227" t="str">
        <f>MID(excPisCofins[[#This Row],[CodBarras2]],2,50)</f>
        <v/>
      </c>
    </row>
    <row r="23491" spans="9:9" x14ac:dyDescent="0.25">
      <c r="I23491" s="227" t="str">
        <f>MID(excPisCofins[[#This Row],[CodBarras2]],2,50)</f>
        <v/>
      </c>
    </row>
    <row r="23492" spans="9:9" x14ac:dyDescent="0.25">
      <c r="I23492" s="227" t="str">
        <f>MID(excPisCofins[[#This Row],[CodBarras2]],2,50)</f>
        <v/>
      </c>
    </row>
    <row r="23493" spans="9:9" x14ac:dyDescent="0.25">
      <c r="I23493" s="227" t="str">
        <f>MID(excPisCofins[[#This Row],[CodBarras2]],2,50)</f>
        <v/>
      </c>
    </row>
    <row r="23494" spans="9:9" x14ac:dyDescent="0.25">
      <c r="I23494" s="227" t="str">
        <f>MID(excPisCofins[[#This Row],[CodBarras2]],2,50)</f>
        <v/>
      </c>
    </row>
    <row r="23495" spans="9:9" x14ac:dyDescent="0.25">
      <c r="I23495" s="227" t="str">
        <f>MID(excPisCofins[[#This Row],[CodBarras2]],2,50)</f>
        <v/>
      </c>
    </row>
    <row r="23496" spans="9:9" x14ac:dyDescent="0.25">
      <c r="I23496" s="227" t="str">
        <f>MID(excPisCofins[[#This Row],[CodBarras2]],2,50)</f>
        <v/>
      </c>
    </row>
    <row r="23497" spans="9:9" x14ac:dyDescent="0.25">
      <c r="I23497" s="227" t="str">
        <f>MID(excPisCofins[[#This Row],[CodBarras2]],2,50)</f>
        <v/>
      </c>
    </row>
    <row r="23498" spans="9:9" x14ac:dyDescent="0.25">
      <c r="I23498" s="227" t="str">
        <f>MID(excPisCofins[[#This Row],[CodBarras2]],2,50)</f>
        <v/>
      </c>
    </row>
    <row r="23499" spans="9:9" x14ac:dyDescent="0.25">
      <c r="I23499" s="227" t="str">
        <f>MID(excPisCofins[[#This Row],[CodBarras2]],2,50)</f>
        <v/>
      </c>
    </row>
    <row r="23500" spans="9:9" x14ac:dyDescent="0.25">
      <c r="I23500" s="227" t="str">
        <f>MID(excPisCofins[[#This Row],[CodBarras2]],2,50)</f>
        <v/>
      </c>
    </row>
    <row r="23501" spans="9:9" x14ac:dyDescent="0.25">
      <c r="I23501" s="227" t="str">
        <f>MID(excPisCofins[[#This Row],[CodBarras2]],2,50)</f>
        <v/>
      </c>
    </row>
    <row r="23502" spans="9:9" x14ac:dyDescent="0.25">
      <c r="I23502" s="227" t="str">
        <f>MID(excPisCofins[[#This Row],[CodBarras2]],2,50)</f>
        <v/>
      </c>
    </row>
    <row r="23503" spans="9:9" x14ac:dyDescent="0.25">
      <c r="I23503" s="227" t="str">
        <f>MID(excPisCofins[[#This Row],[CodBarras2]],2,50)</f>
        <v/>
      </c>
    </row>
    <row r="23504" spans="9:9" x14ac:dyDescent="0.25">
      <c r="I23504" s="227" t="str">
        <f>MID(excPisCofins[[#This Row],[CodBarras2]],2,50)</f>
        <v/>
      </c>
    </row>
    <row r="23505" spans="9:9" x14ac:dyDescent="0.25">
      <c r="I23505" s="227" t="str">
        <f>MID(excPisCofins[[#This Row],[CodBarras2]],2,50)</f>
        <v/>
      </c>
    </row>
    <row r="23506" spans="9:9" x14ac:dyDescent="0.25">
      <c r="I23506" s="227" t="str">
        <f>MID(excPisCofins[[#This Row],[CodBarras2]],2,50)</f>
        <v/>
      </c>
    </row>
    <row r="23507" spans="9:9" x14ac:dyDescent="0.25">
      <c r="I23507" s="227" t="str">
        <f>MID(excPisCofins[[#This Row],[CodBarras2]],2,50)</f>
        <v/>
      </c>
    </row>
    <row r="23508" spans="9:9" x14ac:dyDescent="0.25">
      <c r="I23508" s="227" t="str">
        <f>MID(excPisCofins[[#This Row],[CodBarras2]],2,50)</f>
        <v/>
      </c>
    </row>
    <row r="23509" spans="9:9" x14ac:dyDescent="0.25">
      <c r="I23509" s="227" t="str">
        <f>MID(excPisCofins[[#This Row],[CodBarras2]],2,50)</f>
        <v/>
      </c>
    </row>
    <row r="23510" spans="9:9" x14ac:dyDescent="0.25">
      <c r="I23510" s="227" t="str">
        <f>MID(excPisCofins[[#This Row],[CodBarras2]],2,50)</f>
        <v/>
      </c>
    </row>
    <row r="23511" spans="9:9" x14ac:dyDescent="0.25">
      <c r="I23511" s="227" t="str">
        <f>MID(excPisCofins[[#This Row],[CodBarras2]],2,50)</f>
        <v/>
      </c>
    </row>
    <row r="23512" spans="9:9" x14ac:dyDescent="0.25">
      <c r="I23512" s="227" t="str">
        <f>MID(excPisCofins[[#This Row],[CodBarras2]],2,50)</f>
        <v/>
      </c>
    </row>
    <row r="23513" spans="9:9" x14ac:dyDescent="0.25">
      <c r="I23513" s="227" t="str">
        <f>MID(excPisCofins[[#This Row],[CodBarras2]],2,50)</f>
        <v/>
      </c>
    </row>
    <row r="23514" spans="9:9" x14ac:dyDescent="0.25">
      <c r="I23514" s="227" t="str">
        <f>MID(excPisCofins[[#This Row],[CodBarras2]],2,50)</f>
        <v/>
      </c>
    </row>
    <row r="23515" spans="9:9" x14ac:dyDescent="0.25">
      <c r="I23515" s="227" t="str">
        <f>MID(excPisCofins[[#This Row],[CodBarras2]],2,50)</f>
        <v/>
      </c>
    </row>
    <row r="23516" spans="9:9" x14ac:dyDescent="0.25">
      <c r="I23516" s="227" t="str">
        <f>MID(excPisCofins[[#This Row],[CodBarras2]],2,50)</f>
        <v/>
      </c>
    </row>
    <row r="23517" spans="9:9" x14ac:dyDescent="0.25">
      <c r="I23517" s="227" t="str">
        <f>MID(excPisCofins[[#This Row],[CodBarras2]],2,50)</f>
        <v/>
      </c>
    </row>
    <row r="23518" spans="9:9" x14ac:dyDescent="0.25">
      <c r="I23518" s="227" t="str">
        <f>MID(excPisCofins[[#This Row],[CodBarras2]],2,50)</f>
        <v/>
      </c>
    </row>
    <row r="23519" spans="9:9" x14ac:dyDescent="0.25">
      <c r="I23519" s="227" t="str">
        <f>MID(excPisCofins[[#This Row],[CodBarras2]],2,50)</f>
        <v/>
      </c>
    </row>
    <row r="23520" spans="9:9" x14ac:dyDescent="0.25">
      <c r="I23520" s="227" t="str">
        <f>MID(excPisCofins[[#This Row],[CodBarras2]],2,50)</f>
        <v/>
      </c>
    </row>
    <row r="23521" spans="9:9" x14ac:dyDescent="0.25">
      <c r="I23521" s="227" t="str">
        <f>MID(excPisCofins[[#This Row],[CodBarras2]],2,50)</f>
        <v/>
      </c>
    </row>
    <row r="23522" spans="9:9" x14ac:dyDescent="0.25">
      <c r="I23522" s="227" t="str">
        <f>MID(excPisCofins[[#This Row],[CodBarras2]],2,50)</f>
        <v/>
      </c>
    </row>
    <row r="23523" spans="9:9" x14ac:dyDescent="0.25">
      <c r="I23523" s="227" t="str">
        <f>MID(excPisCofins[[#This Row],[CodBarras2]],2,50)</f>
        <v/>
      </c>
    </row>
    <row r="23524" spans="9:9" x14ac:dyDescent="0.25">
      <c r="I23524" s="227" t="str">
        <f>MID(excPisCofins[[#This Row],[CodBarras2]],2,50)</f>
        <v/>
      </c>
    </row>
    <row r="23525" spans="9:9" x14ac:dyDescent="0.25">
      <c r="I23525" s="227" t="str">
        <f>MID(excPisCofins[[#This Row],[CodBarras2]],2,50)</f>
        <v/>
      </c>
    </row>
    <row r="23526" spans="9:9" x14ac:dyDescent="0.25">
      <c r="I23526" s="227" t="str">
        <f>MID(excPisCofins[[#This Row],[CodBarras2]],2,50)</f>
        <v/>
      </c>
    </row>
    <row r="23527" spans="9:9" x14ac:dyDescent="0.25">
      <c r="I23527" s="227" t="str">
        <f>MID(excPisCofins[[#This Row],[CodBarras2]],2,50)</f>
        <v/>
      </c>
    </row>
    <row r="23528" spans="9:9" x14ac:dyDescent="0.25">
      <c r="I23528" s="227" t="str">
        <f>MID(excPisCofins[[#This Row],[CodBarras2]],2,50)</f>
        <v/>
      </c>
    </row>
    <row r="23529" spans="9:9" x14ac:dyDescent="0.25">
      <c r="I23529" s="227" t="str">
        <f>MID(excPisCofins[[#This Row],[CodBarras2]],2,50)</f>
        <v/>
      </c>
    </row>
    <row r="23530" spans="9:9" x14ac:dyDescent="0.25">
      <c r="I23530" s="227" t="str">
        <f>MID(excPisCofins[[#This Row],[CodBarras2]],2,50)</f>
        <v/>
      </c>
    </row>
    <row r="23531" spans="9:9" x14ac:dyDescent="0.25">
      <c r="I23531" s="227" t="str">
        <f>MID(excPisCofins[[#This Row],[CodBarras2]],2,50)</f>
        <v/>
      </c>
    </row>
    <row r="23532" spans="9:9" x14ac:dyDescent="0.25">
      <c r="I23532" s="227" t="str">
        <f>MID(excPisCofins[[#This Row],[CodBarras2]],2,50)</f>
        <v/>
      </c>
    </row>
    <row r="23533" spans="9:9" x14ac:dyDescent="0.25">
      <c r="I23533" s="227" t="str">
        <f>MID(excPisCofins[[#This Row],[CodBarras2]],2,50)</f>
        <v/>
      </c>
    </row>
    <row r="23534" spans="9:9" x14ac:dyDescent="0.25">
      <c r="I23534" s="227" t="str">
        <f>MID(excPisCofins[[#This Row],[CodBarras2]],2,50)</f>
        <v/>
      </c>
    </row>
    <row r="23535" spans="9:9" x14ac:dyDescent="0.25">
      <c r="I23535" s="227" t="str">
        <f>MID(excPisCofins[[#This Row],[CodBarras2]],2,50)</f>
        <v/>
      </c>
    </row>
    <row r="23536" spans="9:9" x14ac:dyDescent="0.25">
      <c r="I23536" s="227" t="str">
        <f>MID(excPisCofins[[#This Row],[CodBarras2]],2,50)</f>
        <v/>
      </c>
    </row>
    <row r="23537" spans="9:9" x14ac:dyDescent="0.25">
      <c r="I23537" s="227" t="str">
        <f>MID(excPisCofins[[#This Row],[CodBarras2]],2,50)</f>
        <v/>
      </c>
    </row>
    <row r="23538" spans="9:9" x14ac:dyDescent="0.25">
      <c r="I23538" s="227" t="str">
        <f>MID(excPisCofins[[#This Row],[CodBarras2]],2,50)</f>
        <v/>
      </c>
    </row>
    <row r="23539" spans="9:9" x14ac:dyDescent="0.25">
      <c r="I23539" s="227" t="str">
        <f>MID(excPisCofins[[#This Row],[CodBarras2]],2,50)</f>
        <v/>
      </c>
    </row>
    <row r="23540" spans="9:9" x14ac:dyDescent="0.25">
      <c r="I23540" s="227" t="str">
        <f>MID(excPisCofins[[#This Row],[CodBarras2]],2,50)</f>
        <v/>
      </c>
    </row>
    <row r="23541" spans="9:9" x14ac:dyDescent="0.25">
      <c r="I23541" s="227" t="str">
        <f>MID(excPisCofins[[#This Row],[CodBarras2]],2,50)</f>
        <v/>
      </c>
    </row>
    <row r="23542" spans="9:9" x14ac:dyDescent="0.25">
      <c r="I23542" s="227" t="str">
        <f>MID(excPisCofins[[#This Row],[CodBarras2]],2,50)</f>
        <v/>
      </c>
    </row>
    <row r="23543" spans="9:9" x14ac:dyDescent="0.25">
      <c r="I23543" s="227" t="str">
        <f>MID(excPisCofins[[#This Row],[CodBarras2]],2,50)</f>
        <v/>
      </c>
    </row>
    <row r="23544" spans="9:9" x14ac:dyDescent="0.25">
      <c r="I23544" s="227" t="str">
        <f>MID(excPisCofins[[#This Row],[CodBarras2]],2,50)</f>
        <v/>
      </c>
    </row>
    <row r="23545" spans="9:9" x14ac:dyDescent="0.25">
      <c r="I23545" s="227" t="str">
        <f>MID(excPisCofins[[#This Row],[CodBarras2]],2,50)</f>
        <v/>
      </c>
    </row>
    <row r="23546" spans="9:9" x14ac:dyDescent="0.25">
      <c r="I23546" s="227" t="str">
        <f>MID(excPisCofins[[#This Row],[CodBarras2]],2,50)</f>
        <v/>
      </c>
    </row>
    <row r="23547" spans="9:9" x14ac:dyDescent="0.25">
      <c r="I23547" s="227" t="str">
        <f>MID(excPisCofins[[#This Row],[CodBarras2]],2,50)</f>
        <v/>
      </c>
    </row>
    <row r="23548" spans="9:9" x14ac:dyDescent="0.25">
      <c r="I23548" s="227" t="str">
        <f>MID(excPisCofins[[#This Row],[CodBarras2]],2,50)</f>
        <v/>
      </c>
    </row>
    <row r="23549" spans="9:9" x14ac:dyDescent="0.25">
      <c r="I23549" s="227" t="str">
        <f>MID(excPisCofins[[#This Row],[CodBarras2]],2,50)</f>
        <v/>
      </c>
    </row>
    <row r="23550" spans="9:9" x14ac:dyDescent="0.25">
      <c r="I23550" s="227" t="str">
        <f>MID(excPisCofins[[#This Row],[CodBarras2]],2,50)</f>
        <v/>
      </c>
    </row>
    <row r="23551" spans="9:9" x14ac:dyDescent="0.25">
      <c r="I23551" s="227" t="str">
        <f>MID(excPisCofins[[#This Row],[CodBarras2]],2,50)</f>
        <v/>
      </c>
    </row>
    <row r="23552" spans="9:9" x14ac:dyDescent="0.25">
      <c r="I23552" s="227" t="str">
        <f>MID(excPisCofins[[#This Row],[CodBarras2]],2,50)</f>
        <v/>
      </c>
    </row>
    <row r="23553" spans="9:9" x14ac:dyDescent="0.25">
      <c r="I23553" s="227" t="str">
        <f>MID(excPisCofins[[#This Row],[CodBarras2]],2,50)</f>
        <v/>
      </c>
    </row>
    <row r="23554" spans="9:9" x14ac:dyDescent="0.25">
      <c r="I23554" s="227" t="str">
        <f>MID(excPisCofins[[#This Row],[CodBarras2]],2,50)</f>
        <v/>
      </c>
    </row>
    <row r="23555" spans="9:9" x14ac:dyDescent="0.25">
      <c r="I23555" s="227" t="str">
        <f>MID(excPisCofins[[#This Row],[CodBarras2]],2,50)</f>
        <v/>
      </c>
    </row>
    <row r="23556" spans="9:9" x14ac:dyDescent="0.25">
      <c r="I23556" s="227" t="str">
        <f>MID(excPisCofins[[#This Row],[CodBarras2]],2,50)</f>
        <v/>
      </c>
    </row>
    <row r="23557" spans="9:9" x14ac:dyDescent="0.25">
      <c r="I23557" s="227" t="str">
        <f>MID(excPisCofins[[#This Row],[CodBarras2]],2,50)</f>
        <v/>
      </c>
    </row>
    <row r="23558" spans="9:9" x14ac:dyDescent="0.25">
      <c r="I23558" s="227" t="str">
        <f>MID(excPisCofins[[#This Row],[CodBarras2]],2,50)</f>
        <v/>
      </c>
    </row>
    <row r="23559" spans="9:9" x14ac:dyDescent="0.25">
      <c r="I23559" s="227" t="str">
        <f>MID(excPisCofins[[#This Row],[CodBarras2]],2,50)</f>
        <v/>
      </c>
    </row>
    <row r="23560" spans="9:9" x14ac:dyDescent="0.25">
      <c r="I23560" s="227" t="str">
        <f>MID(excPisCofins[[#This Row],[CodBarras2]],2,50)</f>
        <v/>
      </c>
    </row>
    <row r="23561" spans="9:9" x14ac:dyDescent="0.25">
      <c r="I23561" s="227" t="str">
        <f>MID(excPisCofins[[#This Row],[CodBarras2]],2,50)</f>
        <v/>
      </c>
    </row>
    <row r="23562" spans="9:9" x14ac:dyDescent="0.25">
      <c r="I23562" s="227" t="str">
        <f>MID(excPisCofins[[#This Row],[CodBarras2]],2,50)</f>
        <v/>
      </c>
    </row>
    <row r="23563" spans="9:9" x14ac:dyDescent="0.25">
      <c r="I23563" s="227" t="str">
        <f>MID(excPisCofins[[#This Row],[CodBarras2]],2,50)</f>
        <v/>
      </c>
    </row>
    <row r="23564" spans="9:9" x14ac:dyDescent="0.25">
      <c r="I23564" s="227" t="str">
        <f>MID(excPisCofins[[#This Row],[CodBarras2]],2,50)</f>
        <v/>
      </c>
    </row>
    <row r="23565" spans="9:9" x14ac:dyDescent="0.25">
      <c r="I23565" s="227" t="str">
        <f>MID(excPisCofins[[#This Row],[CodBarras2]],2,50)</f>
        <v/>
      </c>
    </row>
    <row r="23566" spans="9:9" x14ac:dyDescent="0.25">
      <c r="I23566" s="227" t="str">
        <f>MID(excPisCofins[[#This Row],[CodBarras2]],2,50)</f>
        <v/>
      </c>
    </row>
    <row r="23567" spans="9:9" x14ac:dyDescent="0.25">
      <c r="I23567" s="227" t="str">
        <f>MID(excPisCofins[[#This Row],[CodBarras2]],2,50)</f>
        <v/>
      </c>
    </row>
    <row r="23568" spans="9:9" x14ac:dyDescent="0.25">
      <c r="I23568" s="227" t="str">
        <f>MID(excPisCofins[[#This Row],[CodBarras2]],2,50)</f>
        <v/>
      </c>
    </row>
    <row r="23569" spans="9:9" x14ac:dyDescent="0.25">
      <c r="I23569" s="227" t="str">
        <f>MID(excPisCofins[[#This Row],[CodBarras2]],2,50)</f>
        <v/>
      </c>
    </row>
    <row r="23570" spans="9:9" x14ac:dyDescent="0.25">
      <c r="I23570" s="227" t="str">
        <f>MID(excPisCofins[[#This Row],[CodBarras2]],2,50)</f>
        <v/>
      </c>
    </row>
    <row r="23571" spans="9:9" x14ac:dyDescent="0.25">
      <c r="I23571" s="227" t="str">
        <f>MID(excPisCofins[[#This Row],[CodBarras2]],2,50)</f>
        <v/>
      </c>
    </row>
    <row r="23572" spans="9:9" x14ac:dyDescent="0.25">
      <c r="I23572" s="227" t="str">
        <f>MID(excPisCofins[[#This Row],[CodBarras2]],2,50)</f>
        <v/>
      </c>
    </row>
    <row r="23573" spans="9:9" x14ac:dyDescent="0.25">
      <c r="I23573" s="227" t="str">
        <f>MID(excPisCofins[[#This Row],[CodBarras2]],2,50)</f>
        <v/>
      </c>
    </row>
    <row r="23574" spans="9:9" x14ac:dyDescent="0.25">
      <c r="I23574" s="227" t="str">
        <f>MID(excPisCofins[[#This Row],[CodBarras2]],2,50)</f>
        <v/>
      </c>
    </row>
    <row r="23575" spans="9:9" x14ac:dyDescent="0.25">
      <c r="I23575" s="227" t="str">
        <f>MID(excPisCofins[[#This Row],[CodBarras2]],2,50)</f>
        <v/>
      </c>
    </row>
    <row r="23576" spans="9:9" x14ac:dyDescent="0.25">
      <c r="I23576" s="227" t="str">
        <f>MID(excPisCofins[[#This Row],[CodBarras2]],2,50)</f>
        <v/>
      </c>
    </row>
    <row r="23577" spans="9:9" x14ac:dyDescent="0.25">
      <c r="I23577" s="227" t="str">
        <f>MID(excPisCofins[[#This Row],[CodBarras2]],2,50)</f>
        <v/>
      </c>
    </row>
    <row r="23578" spans="9:9" x14ac:dyDescent="0.25">
      <c r="I23578" s="227" t="str">
        <f>MID(excPisCofins[[#This Row],[CodBarras2]],2,50)</f>
        <v/>
      </c>
    </row>
    <row r="23579" spans="9:9" x14ac:dyDescent="0.25">
      <c r="I23579" s="227" t="str">
        <f>MID(excPisCofins[[#This Row],[CodBarras2]],2,50)</f>
        <v/>
      </c>
    </row>
    <row r="23580" spans="9:9" x14ac:dyDescent="0.25">
      <c r="I23580" s="227" t="str">
        <f>MID(excPisCofins[[#This Row],[CodBarras2]],2,50)</f>
        <v/>
      </c>
    </row>
    <row r="23581" spans="9:9" x14ac:dyDescent="0.25">
      <c r="I23581" s="227" t="str">
        <f>MID(excPisCofins[[#This Row],[CodBarras2]],2,50)</f>
        <v/>
      </c>
    </row>
    <row r="23582" spans="9:9" x14ac:dyDescent="0.25">
      <c r="I23582" s="227" t="str">
        <f>MID(excPisCofins[[#This Row],[CodBarras2]],2,50)</f>
        <v/>
      </c>
    </row>
    <row r="23583" spans="9:9" x14ac:dyDescent="0.25">
      <c r="I23583" s="227" t="str">
        <f>MID(excPisCofins[[#This Row],[CodBarras2]],2,50)</f>
        <v/>
      </c>
    </row>
    <row r="23584" spans="9:9" x14ac:dyDescent="0.25">
      <c r="I23584" s="227" t="str">
        <f>MID(excPisCofins[[#This Row],[CodBarras2]],2,50)</f>
        <v/>
      </c>
    </row>
    <row r="23585" spans="9:9" x14ac:dyDescent="0.25">
      <c r="I23585" s="227" t="str">
        <f>MID(excPisCofins[[#This Row],[CodBarras2]],2,50)</f>
        <v/>
      </c>
    </row>
    <row r="23586" spans="9:9" x14ac:dyDescent="0.25">
      <c r="I23586" s="227" t="str">
        <f>MID(excPisCofins[[#This Row],[CodBarras2]],2,50)</f>
        <v/>
      </c>
    </row>
    <row r="23587" spans="9:9" x14ac:dyDescent="0.25">
      <c r="I23587" s="227" t="str">
        <f>MID(excPisCofins[[#This Row],[CodBarras2]],2,50)</f>
        <v/>
      </c>
    </row>
    <row r="23588" spans="9:9" x14ac:dyDescent="0.25">
      <c r="I23588" s="227" t="str">
        <f>MID(excPisCofins[[#This Row],[CodBarras2]],2,50)</f>
        <v/>
      </c>
    </row>
    <row r="23589" spans="9:9" x14ac:dyDescent="0.25">
      <c r="I23589" s="227" t="str">
        <f>MID(excPisCofins[[#This Row],[CodBarras2]],2,50)</f>
        <v/>
      </c>
    </row>
    <row r="23590" spans="9:9" x14ac:dyDescent="0.25">
      <c r="I23590" s="227" t="str">
        <f>MID(excPisCofins[[#This Row],[CodBarras2]],2,50)</f>
        <v/>
      </c>
    </row>
    <row r="23591" spans="9:9" x14ac:dyDescent="0.25">
      <c r="I23591" s="227" t="str">
        <f>MID(excPisCofins[[#This Row],[CodBarras2]],2,50)</f>
        <v/>
      </c>
    </row>
    <row r="23592" spans="9:9" x14ac:dyDescent="0.25">
      <c r="I23592" s="227" t="str">
        <f>MID(excPisCofins[[#This Row],[CodBarras2]],2,50)</f>
        <v/>
      </c>
    </row>
    <row r="23593" spans="9:9" x14ac:dyDescent="0.25">
      <c r="I23593" s="227" t="str">
        <f>MID(excPisCofins[[#This Row],[CodBarras2]],2,50)</f>
        <v/>
      </c>
    </row>
    <row r="23594" spans="9:9" x14ac:dyDescent="0.25">
      <c r="I23594" s="227" t="str">
        <f>MID(excPisCofins[[#This Row],[CodBarras2]],2,50)</f>
        <v/>
      </c>
    </row>
    <row r="23595" spans="9:9" x14ac:dyDescent="0.25">
      <c r="I23595" s="227" t="str">
        <f>MID(excPisCofins[[#This Row],[CodBarras2]],2,50)</f>
        <v/>
      </c>
    </row>
    <row r="23596" spans="9:9" x14ac:dyDescent="0.25">
      <c r="I23596" s="227" t="str">
        <f>MID(excPisCofins[[#This Row],[CodBarras2]],2,50)</f>
        <v/>
      </c>
    </row>
    <row r="23597" spans="9:9" x14ac:dyDescent="0.25">
      <c r="I23597" s="227" t="str">
        <f>MID(excPisCofins[[#This Row],[CodBarras2]],2,50)</f>
        <v/>
      </c>
    </row>
    <row r="23598" spans="9:9" x14ac:dyDescent="0.25">
      <c r="I23598" s="227" t="str">
        <f>MID(excPisCofins[[#This Row],[CodBarras2]],2,50)</f>
        <v/>
      </c>
    </row>
    <row r="23599" spans="9:9" x14ac:dyDescent="0.25">
      <c r="I23599" s="227" t="str">
        <f>MID(excPisCofins[[#This Row],[CodBarras2]],2,50)</f>
        <v/>
      </c>
    </row>
    <row r="23600" spans="9:9" x14ac:dyDescent="0.25">
      <c r="I23600" s="227" t="str">
        <f>MID(excPisCofins[[#This Row],[CodBarras2]],2,50)</f>
        <v/>
      </c>
    </row>
    <row r="23601" spans="9:9" x14ac:dyDescent="0.25">
      <c r="I23601" s="227" t="str">
        <f>MID(excPisCofins[[#This Row],[CodBarras2]],2,50)</f>
        <v/>
      </c>
    </row>
    <row r="23602" spans="9:9" x14ac:dyDescent="0.25">
      <c r="I23602" s="227" t="str">
        <f>MID(excPisCofins[[#This Row],[CodBarras2]],2,50)</f>
        <v/>
      </c>
    </row>
    <row r="23603" spans="9:9" x14ac:dyDescent="0.25">
      <c r="I23603" s="227" t="str">
        <f>MID(excPisCofins[[#This Row],[CodBarras2]],2,50)</f>
        <v/>
      </c>
    </row>
    <row r="23604" spans="9:9" x14ac:dyDescent="0.25">
      <c r="I23604" s="227" t="str">
        <f>MID(excPisCofins[[#This Row],[CodBarras2]],2,50)</f>
        <v/>
      </c>
    </row>
    <row r="23605" spans="9:9" x14ac:dyDescent="0.25">
      <c r="I23605" s="227" t="str">
        <f>MID(excPisCofins[[#This Row],[CodBarras2]],2,50)</f>
        <v/>
      </c>
    </row>
    <row r="23606" spans="9:9" x14ac:dyDescent="0.25">
      <c r="I23606" s="227" t="str">
        <f>MID(excPisCofins[[#This Row],[CodBarras2]],2,50)</f>
        <v/>
      </c>
    </row>
    <row r="23607" spans="9:9" x14ac:dyDescent="0.25">
      <c r="I23607" s="227" t="str">
        <f>MID(excPisCofins[[#This Row],[CodBarras2]],2,50)</f>
        <v/>
      </c>
    </row>
    <row r="23608" spans="9:9" x14ac:dyDescent="0.25">
      <c r="I23608" s="227" t="str">
        <f>MID(excPisCofins[[#This Row],[CodBarras2]],2,50)</f>
        <v/>
      </c>
    </row>
    <row r="23609" spans="9:9" x14ac:dyDescent="0.25">
      <c r="I23609" s="227" t="str">
        <f>MID(excPisCofins[[#This Row],[CodBarras2]],2,50)</f>
        <v/>
      </c>
    </row>
    <row r="23610" spans="9:9" x14ac:dyDescent="0.25">
      <c r="I23610" s="227" t="str">
        <f>MID(excPisCofins[[#This Row],[CodBarras2]],2,50)</f>
        <v/>
      </c>
    </row>
    <row r="23611" spans="9:9" x14ac:dyDescent="0.25">
      <c r="I23611" s="227" t="str">
        <f>MID(excPisCofins[[#This Row],[CodBarras2]],2,50)</f>
        <v/>
      </c>
    </row>
    <row r="23612" spans="9:9" x14ac:dyDescent="0.25">
      <c r="I23612" s="227" t="str">
        <f>MID(excPisCofins[[#This Row],[CodBarras2]],2,50)</f>
        <v/>
      </c>
    </row>
    <row r="23613" spans="9:9" x14ac:dyDescent="0.25">
      <c r="I23613" s="227" t="str">
        <f>MID(excPisCofins[[#This Row],[CodBarras2]],2,50)</f>
        <v/>
      </c>
    </row>
    <row r="23614" spans="9:9" x14ac:dyDescent="0.25">
      <c r="I23614" s="227" t="str">
        <f>MID(excPisCofins[[#This Row],[CodBarras2]],2,50)</f>
        <v/>
      </c>
    </row>
    <row r="23615" spans="9:9" x14ac:dyDescent="0.25">
      <c r="I23615" s="227" t="str">
        <f>MID(excPisCofins[[#This Row],[CodBarras2]],2,50)</f>
        <v/>
      </c>
    </row>
    <row r="23616" spans="9:9" x14ac:dyDescent="0.25">
      <c r="I23616" s="227" t="str">
        <f>MID(excPisCofins[[#This Row],[CodBarras2]],2,50)</f>
        <v/>
      </c>
    </row>
    <row r="23617" spans="9:9" x14ac:dyDescent="0.25">
      <c r="I23617" s="227" t="str">
        <f>MID(excPisCofins[[#This Row],[CodBarras2]],2,50)</f>
        <v/>
      </c>
    </row>
    <row r="23618" spans="9:9" x14ac:dyDescent="0.25">
      <c r="I23618" s="227" t="str">
        <f>MID(excPisCofins[[#This Row],[CodBarras2]],2,50)</f>
        <v/>
      </c>
    </row>
    <row r="23619" spans="9:9" x14ac:dyDescent="0.25">
      <c r="I23619" s="227" t="str">
        <f>MID(excPisCofins[[#This Row],[CodBarras2]],2,50)</f>
        <v/>
      </c>
    </row>
    <row r="23620" spans="9:9" x14ac:dyDescent="0.25">
      <c r="I23620" s="227" t="str">
        <f>MID(excPisCofins[[#This Row],[CodBarras2]],2,50)</f>
        <v/>
      </c>
    </row>
    <row r="23621" spans="9:9" x14ac:dyDescent="0.25">
      <c r="I23621" s="227" t="str">
        <f>MID(excPisCofins[[#This Row],[CodBarras2]],2,50)</f>
        <v/>
      </c>
    </row>
    <row r="23622" spans="9:9" x14ac:dyDescent="0.25">
      <c r="I23622" s="227" t="str">
        <f>MID(excPisCofins[[#This Row],[CodBarras2]],2,50)</f>
        <v/>
      </c>
    </row>
    <row r="23623" spans="9:9" x14ac:dyDescent="0.25">
      <c r="I23623" s="227" t="str">
        <f>MID(excPisCofins[[#This Row],[CodBarras2]],2,50)</f>
        <v/>
      </c>
    </row>
    <row r="23624" spans="9:9" x14ac:dyDescent="0.25">
      <c r="I23624" s="227" t="str">
        <f>MID(excPisCofins[[#This Row],[CodBarras2]],2,50)</f>
        <v/>
      </c>
    </row>
    <row r="23625" spans="9:9" x14ac:dyDescent="0.25">
      <c r="I23625" s="227" t="str">
        <f>MID(excPisCofins[[#This Row],[CodBarras2]],2,50)</f>
        <v/>
      </c>
    </row>
    <row r="23626" spans="9:9" x14ac:dyDescent="0.25">
      <c r="I23626" s="227" t="str">
        <f>MID(excPisCofins[[#This Row],[CodBarras2]],2,50)</f>
        <v/>
      </c>
    </row>
    <row r="23627" spans="9:9" x14ac:dyDescent="0.25">
      <c r="I23627" s="227" t="str">
        <f>MID(excPisCofins[[#This Row],[CodBarras2]],2,50)</f>
        <v/>
      </c>
    </row>
    <row r="23628" spans="9:9" x14ac:dyDescent="0.25">
      <c r="I23628" s="227" t="str">
        <f>MID(excPisCofins[[#This Row],[CodBarras2]],2,50)</f>
        <v/>
      </c>
    </row>
    <row r="23629" spans="9:9" x14ac:dyDescent="0.25">
      <c r="I23629" s="227" t="str">
        <f>MID(excPisCofins[[#This Row],[CodBarras2]],2,50)</f>
        <v/>
      </c>
    </row>
    <row r="23630" spans="9:9" x14ac:dyDescent="0.25">
      <c r="I23630" s="227" t="str">
        <f>MID(excPisCofins[[#This Row],[CodBarras2]],2,50)</f>
        <v/>
      </c>
    </row>
    <row r="23631" spans="9:9" x14ac:dyDescent="0.25">
      <c r="I23631" s="227" t="str">
        <f>MID(excPisCofins[[#This Row],[CodBarras2]],2,50)</f>
        <v/>
      </c>
    </row>
    <row r="23632" spans="9:9" x14ac:dyDescent="0.25">
      <c r="I23632" s="227" t="str">
        <f>MID(excPisCofins[[#This Row],[CodBarras2]],2,50)</f>
        <v/>
      </c>
    </row>
    <row r="23633" spans="9:9" x14ac:dyDescent="0.25">
      <c r="I23633" s="227" t="str">
        <f>MID(excPisCofins[[#This Row],[CodBarras2]],2,50)</f>
        <v/>
      </c>
    </row>
    <row r="23634" spans="9:9" x14ac:dyDescent="0.25">
      <c r="I23634" s="227" t="str">
        <f>MID(excPisCofins[[#This Row],[CodBarras2]],2,50)</f>
        <v/>
      </c>
    </row>
    <row r="23635" spans="9:9" x14ac:dyDescent="0.25">
      <c r="I23635" s="227" t="str">
        <f>MID(excPisCofins[[#This Row],[CodBarras2]],2,50)</f>
        <v/>
      </c>
    </row>
    <row r="23636" spans="9:9" x14ac:dyDescent="0.25">
      <c r="I23636" s="227" t="str">
        <f>MID(excPisCofins[[#This Row],[CodBarras2]],2,50)</f>
        <v/>
      </c>
    </row>
    <row r="23637" spans="9:9" x14ac:dyDescent="0.25">
      <c r="I23637" s="227" t="str">
        <f>MID(excPisCofins[[#This Row],[CodBarras2]],2,50)</f>
        <v/>
      </c>
    </row>
    <row r="23638" spans="9:9" x14ac:dyDescent="0.25">
      <c r="I23638" s="227" t="str">
        <f>MID(excPisCofins[[#This Row],[CodBarras2]],2,50)</f>
        <v/>
      </c>
    </row>
    <row r="23639" spans="9:9" x14ac:dyDescent="0.25">
      <c r="I23639" s="227" t="str">
        <f>MID(excPisCofins[[#This Row],[CodBarras2]],2,50)</f>
        <v/>
      </c>
    </row>
    <row r="23640" spans="9:9" x14ac:dyDescent="0.25">
      <c r="I23640" s="227" t="str">
        <f>MID(excPisCofins[[#This Row],[CodBarras2]],2,50)</f>
        <v/>
      </c>
    </row>
    <row r="23641" spans="9:9" x14ac:dyDescent="0.25">
      <c r="I23641" s="227" t="str">
        <f>MID(excPisCofins[[#This Row],[CodBarras2]],2,50)</f>
        <v/>
      </c>
    </row>
    <row r="23642" spans="9:9" x14ac:dyDescent="0.25">
      <c r="I23642" s="227" t="str">
        <f>MID(excPisCofins[[#This Row],[CodBarras2]],2,50)</f>
        <v/>
      </c>
    </row>
    <row r="23643" spans="9:9" x14ac:dyDescent="0.25">
      <c r="I23643" s="227" t="str">
        <f>MID(excPisCofins[[#This Row],[CodBarras2]],2,50)</f>
        <v/>
      </c>
    </row>
    <row r="23644" spans="9:9" x14ac:dyDescent="0.25">
      <c r="I23644" s="227" t="str">
        <f>MID(excPisCofins[[#This Row],[CodBarras2]],2,50)</f>
        <v/>
      </c>
    </row>
    <row r="23645" spans="9:9" x14ac:dyDescent="0.25">
      <c r="I23645" s="227" t="str">
        <f>MID(excPisCofins[[#This Row],[CodBarras2]],2,50)</f>
        <v/>
      </c>
    </row>
    <row r="23646" spans="9:9" x14ac:dyDescent="0.25">
      <c r="I23646" s="227" t="str">
        <f>MID(excPisCofins[[#This Row],[CodBarras2]],2,50)</f>
        <v/>
      </c>
    </row>
    <row r="23647" spans="9:9" x14ac:dyDescent="0.25">
      <c r="I23647" s="227" t="str">
        <f>MID(excPisCofins[[#This Row],[CodBarras2]],2,50)</f>
        <v/>
      </c>
    </row>
    <row r="23648" spans="9:9" x14ac:dyDescent="0.25">
      <c r="I23648" s="227" t="str">
        <f>MID(excPisCofins[[#This Row],[CodBarras2]],2,50)</f>
        <v/>
      </c>
    </row>
    <row r="23649" spans="9:9" x14ac:dyDescent="0.25">
      <c r="I23649" s="227" t="str">
        <f>MID(excPisCofins[[#This Row],[CodBarras2]],2,50)</f>
        <v/>
      </c>
    </row>
    <row r="23650" spans="9:9" x14ac:dyDescent="0.25">
      <c r="I23650" s="227" t="str">
        <f>MID(excPisCofins[[#This Row],[CodBarras2]],2,50)</f>
        <v/>
      </c>
    </row>
    <row r="23651" spans="9:9" x14ac:dyDescent="0.25">
      <c r="I23651" s="227" t="str">
        <f>MID(excPisCofins[[#This Row],[CodBarras2]],2,50)</f>
        <v/>
      </c>
    </row>
    <row r="23652" spans="9:9" x14ac:dyDescent="0.25">
      <c r="I23652" s="227" t="str">
        <f>MID(excPisCofins[[#This Row],[CodBarras2]],2,50)</f>
        <v/>
      </c>
    </row>
    <row r="23653" spans="9:9" x14ac:dyDescent="0.25">
      <c r="I23653" s="227" t="str">
        <f>MID(excPisCofins[[#This Row],[CodBarras2]],2,50)</f>
        <v/>
      </c>
    </row>
    <row r="23654" spans="9:9" x14ac:dyDescent="0.25">
      <c r="I23654" s="227" t="str">
        <f>MID(excPisCofins[[#This Row],[CodBarras2]],2,50)</f>
        <v/>
      </c>
    </row>
    <row r="23655" spans="9:9" x14ac:dyDescent="0.25">
      <c r="I23655" s="227" t="str">
        <f>MID(excPisCofins[[#This Row],[CodBarras2]],2,50)</f>
        <v/>
      </c>
    </row>
    <row r="23656" spans="9:9" x14ac:dyDescent="0.25">
      <c r="I23656" s="227" t="str">
        <f>MID(excPisCofins[[#This Row],[CodBarras2]],2,50)</f>
        <v/>
      </c>
    </row>
    <row r="23657" spans="9:9" x14ac:dyDescent="0.25">
      <c r="I23657" s="227" t="str">
        <f>MID(excPisCofins[[#This Row],[CodBarras2]],2,50)</f>
        <v/>
      </c>
    </row>
    <row r="23658" spans="9:9" x14ac:dyDescent="0.25">
      <c r="I23658" s="227" t="str">
        <f>MID(excPisCofins[[#This Row],[CodBarras2]],2,50)</f>
        <v/>
      </c>
    </row>
    <row r="23659" spans="9:9" x14ac:dyDescent="0.25">
      <c r="I23659" s="227" t="str">
        <f>MID(excPisCofins[[#This Row],[CodBarras2]],2,50)</f>
        <v/>
      </c>
    </row>
    <row r="23660" spans="9:9" x14ac:dyDescent="0.25">
      <c r="I23660" s="227" t="str">
        <f>MID(excPisCofins[[#This Row],[CodBarras2]],2,50)</f>
        <v/>
      </c>
    </row>
    <row r="23661" spans="9:9" x14ac:dyDescent="0.25">
      <c r="I23661" s="227" t="str">
        <f>MID(excPisCofins[[#This Row],[CodBarras2]],2,50)</f>
        <v/>
      </c>
    </row>
    <row r="23662" spans="9:9" x14ac:dyDescent="0.25">
      <c r="I23662" s="227" t="str">
        <f>MID(excPisCofins[[#This Row],[CodBarras2]],2,50)</f>
        <v/>
      </c>
    </row>
    <row r="23663" spans="9:9" x14ac:dyDescent="0.25">
      <c r="I23663" s="227" t="str">
        <f>MID(excPisCofins[[#This Row],[CodBarras2]],2,50)</f>
        <v/>
      </c>
    </row>
    <row r="23664" spans="9:9" x14ac:dyDescent="0.25">
      <c r="I23664" s="227" t="str">
        <f>MID(excPisCofins[[#This Row],[CodBarras2]],2,50)</f>
        <v/>
      </c>
    </row>
    <row r="23665" spans="9:9" x14ac:dyDescent="0.25">
      <c r="I23665" s="227" t="str">
        <f>MID(excPisCofins[[#This Row],[CodBarras2]],2,50)</f>
        <v/>
      </c>
    </row>
    <row r="23666" spans="9:9" x14ac:dyDescent="0.25">
      <c r="I23666" s="227" t="str">
        <f>MID(excPisCofins[[#This Row],[CodBarras2]],2,50)</f>
        <v/>
      </c>
    </row>
    <row r="23667" spans="9:9" x14ac:dyDescent="0.25">
      <c r="I23667" s="227" t="str">
        <f>MID(excPisCofins[[#This Row],[CodBarras2]],2,50)</f>
        <v/>
      </c>
    </row>
    <row r="23668" spans="9:9" x14ac:dyDescent="0.25">
      <c r="I23668" s="227" t="str">
        <f>MID(excPisCofins[[#This Row],[CodBarras2]],2,50)</f>
        <v/>
      </c>
    </row>
    <row r="23669" spans="9:9" x14ac:dyDescent="0.25">
      <c r="I23669" s="227" t="str">
        <f>MID(excPisCofins[[#This Row],[CodBarras2]],2,50)</f>
        <v/>
      </c>
    </row>
    <row r="23670" spans="9:9" x14ac:dyDescent="0.25">
      <c r="I23670" s="227" t="str">
        <f>MID(excPisCofins[[#This Row],[CodBarras2]],2,50)</f>
        <v/>
      </c>
    </row>
    <row r="23671" spans="9:9" x14ac:dyDescent="0.25">
      <c r="I23671" s="227" t="str">
        <f>MID(excPisCofins[[#This Row],[CodBarras2]],2,50)</f>
        <v/>
      </c>
    </row>
    <row r="23672" spans="9:9" x14ac:dyDescent="0.25">
      <c r="I23672" s="227" t="str">
        <f>MID(excPisCofins[[#This Row],[CodBarras2]],2,50)</f>
        <v/>
      </c>
    </row>
    <row r="23673" spans="9:9" x14ac:dyDescent="0.25">
      <c r="I23673" s="227" t="str">
        <f>MID(excPisCofins[[#This Row],[CodBarras2]],2,50)</f>
        <v/>
      </c>
    </row>
    <row r="23674" spans="9:9" x14ac:dyDescent="0.25">
      <c r="I23674" s="227" t="str">
        <f>MID(excPisCofins[[#This Row],[CodBarras2]],2,50)</f>
        <v/>
      </c>
    </row>
    <row r="23675" spans="9:9" x14ac:dyDescent="0.25">
      <c r="I23675" s="227" t="str">
        <f>MID(excPisCofins[[#This Row],[CodBarras2]],2,50)</f>
        <v/>
      </c>
    </row>
    <row r="23676" spans="9:9" x14ac:dyDescent="0.25">
      <c r="I23676" s="227" t="str">
        <f>MID(excPisCofins[[#This Row],[CodBarras2]],2,50)</f>
        <v/>
      </c>
    </row>
    <row r="23677" spans="9:9" x14ac:dyDescent="0.25">
      <c r="I23677" s="227" t="str">
        <f>MID(excPisCofins[[#This Row],[CodBarras2]],2,50)</f>
        <v/>
      </c>
    </row>
    <row r="23678" spans="9:9" x14ac:dyDescent="0.25">
      <c r="I23678" s="227" t="str">
        <f>MID(excPisCofins[[#This Row],[CodBarras2]],2,50)</f>
        <v/>
      </c>
    </row>
    <row r="23679" spans="9:9" x14ac:dyDescent="0.25">
      <c r="I23679" s="227" t="str">
        <f>MID(excPisCofins[[#This Row],[CodBarras2]],2,50)</f>
        <v/>
      </c>
    </row>
    <row r="23680" spans="9:9" x14ac:dyDescent="0.25">
      <c r="I23680" s="227" t="str">
        <f>MID(excPisCofins[[#This Row],[CodBarras2]],2,50)</f>
        <v/>
      </c>
    </row>
    <row r="23681" spans="9:9" x14ac:dyDescent="0.25">
      <c r="I23681" s="227" t="str">
        <f>MID(excPisCofins[[#This Row],[CodBarras2]],2,50)</f>
        <v/>
      </c>
    </row>
    <row r="23682" spans="9:9" x14ac:dyDescent="0.25">
      <c r="I23682" s="227" t="str">
        <f>MID(excPisCofins[[#This Row],[CodBarras2]],2,50)</f>
        <v/>
      </c>
    </row>
    <row r="23683" spans="9:9" x14ac:dyDescent="0.25">
      <c r="I23683" s="227" t="str">
        <f>MID(excPisCofins[[#This Row],[CodBarras2]],2,50)</f>
        <v/>
      </c>
    </row>
    <row r="23684" spans="9:9" x14ac:dyDescent="0.25">
      <c r="I23684" s="227" t="str">
        <f>MID(excPisCofins[[#This Row],[CodBarras2]],2,50)</f>
        <v/>
      </c>
    </row>
    <row r="23685" spans="9:9" x14ac:dyDescent="0.25">
      <c r="I23685" s="227" t="str">
        <f>MID(excPisCofins[[#This Row],[CodBarras2]],2,50)</f>
        <v/>
      </c>
    </row>
    <row r="23686" spans="9:9" x14ac:dyDescent="0.25">
      <c r="I23686" s="227" t="str">
        <f>MID(excPisCofins[[#This Row],[CodBarras2]],2,50)</f>
        <v/>
      </c>
    </row>
    <row r="23687" spans="9:9" x14ac:dyDescent="0.25">
      <c r="I23687" s="227" t="str">
        <f>MID(excPisCofins[[#This Row],[CodBarras2]],2,50)</f>
        <v/>
      </c>
    </row>
    <row r="23688" spans="9:9" x14ac:dyDescent="0.25">
      <c r="I23688" s="227" t="str">
        <f>MID(excPisCofins[[#This Row],[CodBarras2]],2,50)</f>
        <v/>
      </c>
    </row>
    <row r="23689" spans="9:9" x14ac:dyDescent="0.25">
      <c r="I23689" s="227" t="str">
        <f>MID(excPisCofins[[#This Row],[CodBarras2]],2,50)</f>
        <v/>
      </c>
    </row>
    <row r="23690" spans="9:9" x14ac:dyDescent="0.25">
      <c r="I23690" s="227" t="str">
        <f>MID(excPisCofins[[#This Row],[CodBarras2]],2,50)</f>
        <v/>
      </c>
    </row>
    <row r="23691" spans="9:9" x14ac:dyDescent="0.25">
      <c r="I23691" s="227" t="str">
        <f>MID(excPisCofins[[#This Row],[CodBarras2]],2,50)</f>
        <v/>
      </c>
    </row>
    <row r="23692" spans="9:9" x14ac:dyDescent="0.25">
      <c r="I23692" s="227" t="str">
        <f>MID(excPisCofins[[#This Row],[CodBarras2]],2,50)</f>
        <v/>
      </c>
    </row>
    <row r="23693" spans="9:9" x14ac:dyDescent="0.25">
      <c r="I23693" s="227" t="str">
        <f>MID(excPisCofins[[#This Row],[CodBarras2]],2,50)</f>
        <v/>
      </c>
    </row>
    <row r="23694" spans="9:9" x14ac:dyDescent="0.25">
      <c r="I23694" s="227" t="str">
        <f>MID(excPisCofins[[#This Row],[CodBarras2]],2,50)</f>
        <v/>
      </c>
    </row>
    <row r="23695" spans="9:9" x14ac:dyDescent="0.25">
      <c r="I23695" s="227" t="str">
        <f>MID(excPisCofins[[#This Row],[CodBarras2]],2,50)</f>
        <v/>
      </c>
    </row>
    <row r="23696" spans="9:9" x14ac:dyDescent="0.25">
      <c r="I23696" s="227" t="str">
        <f>MID(excPisCofins[[#This Row],[CodBarras2]],2,50)</f>
        <v/>
      </c>
    </row>
    <row r="23697" spans="9:9" x14ac:dyDescent="0.25">
      <c r="I23697" s="227" t="str">
        <f>MID(excPisCofins[[#This Row],[CodBarras2]],2,50)</f>
        <v/>
      </c>
    </row>
    <row r="23698" spans="9:9" x14ac:dyDescent="0.25">
      <c r="I23698" s="227" t="str">
        <f>MID(excPisCofins[[#This Row],[CodBarras2]],2,50)</f>
        <v/>
      </c>
    </row>
    <row r="23699" spans="9:9" x14ac:dyDescent="0.25">
      <c r="I23699" s="227" t="str">
        <f>MID(excPisCofins[[#This Row],[CodBarras2]],2,50)</f>
        <v/>
      </c>
    </row>
    <row r="23700" spans="9:9" x14ac:dyDescent="0.25">
      <c r="I23700" s="227" t="str">
        <f>MID(excPisCofins[[#This Row],[CodBarras2]],2,50)</f>
        <v/>
      </c>
    </row>
    <row r="23701" spans="9:9" x14ac:dyDescent="0.25">
      <c r="I23701" s="227" t="str">
        <f>MID(excPisCofins[[#This Row],[CodBarras2]],2,50)</f>
        <v/>
      </c>
    </row>
    <row r="23702" spans="9:9" x14ac:dyDescent="0.25">
      <c r="I23702" s="227" t="str">
        <f>MID(excPisCofins[[#This Row],[CodBarras2]],2,50)</f>
        <v/>
      </c>
    </row>
    <row r="23703" spans="9:9" x14ac:dyDescent="0.25">
      <c r="I23703" s="227" t="str">
        <f>MID(excPisCofins[[#This Row],[CodBarras2]],2,50)</f>
        <v/>
      </c>
    </row>
    <row r="23704" spans="9:9" x14ac:dyDescent="0.25">
      <c r="I23704" s="227" t="str">
        <f>MID(excPisCofins[[#This Row],[CodBarras2]],2,50)</f>
        <v/>
      </c>
    </row>
    <row r="23705" spans="9:9" x14ac:dyDescent="0.25">
      <c r="I23705" s="227" t="str">
        <f>MID(excPisCofins[[#This Row],[CodBarras2]],2,50)</f>
        <v/>
      </c>
    </row>
    <row r="23706" spans="9:9" x14ac:dyDescent="0.25">
      <c r="I23706" s="227" t="str">
        <f>MID(excPisCofins[[#This Row],[CodBarras2]],2,50)</f>
        <v/>
      </c>
    </row>
    <row r="23707" spans="9:9" x14ac:dyDescent="0.25">
      <c r="I23707" s="227" t="str">
        <f>MID(excPisCofins[[#This Row],[CodBarras2]],2,50)</f>
        <v/>
      </c>
    </row>
    <row r="23708" spans="9:9" x14ac:dyDescent="0.25">
      <c r="I23708" s="227" t="str">
        <f>MID(excPisCofins[[#This Row],[CodBarras2]],2,50)</f>
        <v/>
      </c>
    </row>
    <row r="23709" spans="9:9" x14ac:dyDescent="0.25">
      <c r="I23709" s="227" t="str">
        <f>MID(excPisCofins[[#This Row],[CodBarras2]],2,50)</f>
        <v/>
      </c>
    </row>
    <row r="23710" spans="9:9" x14ac:dyDescent="0.25">
      <c r="I23710" s="227" t="str">
        <f>MID(excPisCofins[[#This Row],[CodBarras2]],2,50)</f>
        <v/>
      </c>
    </row>
    <row r="23711" spans="9:9" x14ac:dyDescent="0.25">
      <c r="I23711" s="227" t="str">
        <f>MID(excPisCofins[[#This Row],[CodBarras2]],2,50)</f>
        <v/>
      </c>
    </row>
    <row r="23712" spans="9:9" x14ac:dyDescent="0.25">
      <c r="I23712" s="227" t="str">
        <f>MID(excPisCofins[[#This Row],[CodBarras2]],2,50)</f>
        <v/>
      </c>
    </row>
    <row r="23713" spans="9:9" x14ac:dyDescent="0.25">
      <c r="I23713" s="227" t="str">
        <f>MID(excPisCofins[[#This Row],[CodBarras2]],2,50)</f>
        <v/>
      </c>
    </row>
    <row r="23714" spans="9:9" x14ac:dyDescent="0.25">
      <c r="I23714" s="227" t="str">
        <f>MID(excPisCofins[[#This Row],[CodBarras2]],2,50)</f>
        <v/>
      </c>
    </row>
    <row r="23715" spans="9:9" x14ac:dyDescent="0.25">
      <c r="I23715" s="227" t="str">
        <f>MID(excPisCofins[[#This Row],[CodBarras2]],2,50)</f>
        <v/>
      </c>
    </row>
    <row r="23716" spans="9:9" x14ac:dyDescent="0.25">
      <c r="I23716" s="227" t="str">
        <f>MID(excPisCofins[[#This Row],[CodBarras2]],2,50)</f>
        <v/>
      </c>
    </row>
    <row r="23717" spans="9:9" x14ac:dyDescent="0.25">
      <c r="I23717" s="227" t="str">
        <f>MID(excPisCofins[[#This Row],[CodBarras2]],2,50)</f>
        <v/>
      </c>
    </row>
    <row r="23718" spans="9:9" x14ac:dyDescent="0.25">
      <c r="I23718" s="227" t="str">
        <f>MID(excPisCofins[[#This Row],[CodBarras2]],2,50)</f>
        <v/>
      </c>
    </row>
    <row r="23719" spans="9:9" x14ac:dyDescent="0.25">
      <c r="I23719" s="227" t="str">
        <f>MID(excPisCofins[[#This Row],[CodBarras2]],2,50)</f>
        <v/>
      </c>
    </row>
    <row r="23720" spans="9:9" x14ac:dyDescent="0.25">
      <c r="I23720" s="227" t="str">
        <f>MID(excPisCofins[[#This Row],[CodBarras2]],2,50)</f>
        <v/>
      </c>
    </row>
    <row r="23721" spans="9:9" x14ac:dyDescent="0.25">
      <c r="I23721" s="227" t="str">
        <f>MID(excPisCofins[[#This Row],[CodBarras2]],2,50)</f>
        <v/>
      </c>
    </row>
    <row r="23722" spans="9:9" x14ac:dyDescent="0.25">
      <c r="I23722" s="227" t="str">
        <f>MID(excPisCofins[[#This Row],[CodBarras2]],2,50)</f>
        <v/>
      </c>
    </row>
    <row r="23723" spans="9:9" x14ac:dyDescent="0.25">
      <c r="I23723" s="227" t="str">
        <f>MID(excPisCofins[[#This Row],[CodBarras2]],2,50)</f>
        <v/>
      </c>
    </row>
    <row r="23724" spans="9:9" x14ac:dyDescent="0.25">
      <c r="I23724" s="227" t="str">
        <f>MID(excPisCofins[[#This Row],[CodBarras2]],2,50)</f>
        <v/>
      </c>
    </row>
    <row r="23725" spans="9:9" x14ac:dyDescent="0.25">
      <c r="I23725" s="227" t="str">
        <f>MID(excPisCofins[[#This Row],[CodBarras2]],2,50)</f>
        <v/>
      </c>
    </row>
    <row r="23726" spans="9:9" x14ac:dyDescent="0.25">
      <c r="I23726" s="227" t="str">
        <f>MID(excPisCofins[[#This Row],[CodBarras2]],2,50)</f>
        <v/>
      </c>
    </row>
    <row r="23727" spans="9:9" x14ac:dyDescent="0.25">
      <c r="I23727" s="227" t="str">
        <f>MID(excPisCofins[[#This Row],[CodBarras2]],2,50)</f>
        <v/>
      </c>
    </row>
    <row r="23728" spans="9:9" x14ac:dyDescent="0.25">
      <c r="I23728" s="227" t="str">
        <f>MID(excPisCofins[[#This Row],[CodBarras2]],2,50)</f>
        <v/>
      </c>
    </row>
    <row r="23729" spans="9:9" x14ac:dyDescent="0.25">
      <c r="I23729" s="227" t="str">
        <f>MID(excPisCofins[[#This Row],[CodBarras2]],2,50)</f>
        <v/>
      </c>
    </row>
    <row r="23730" spans="9:9" x14ac:dyDescent="0.25">
      <c r="I23730" s="227" t="str">
        <f>MID(excPisCofins[[#This Row],[CodBarras2]],2,50)</f>
        <v/>
      </c>
    </row>
    <row r="23731" spans="9:9" x14ac:dyDescent="0.25">
      <c r="I23731" s="227" t="str">
        <f>MID(excPisCofins[[#This Row],[CodBarras2]],2,50)</f>
        <v/>
      </c>
    </row>
    <row r="23732" spans="9:9" x14ac:dyDescent="0.25">
      <c r="I23732" s="227" t="str">
        <f>MID(excPisCofins[[#This Row],[CodBarras2]],2,50)</f>
        <v/>
      </c>
    </row>
    <row r="23733" spans="9:9" x14ac:dyDescent="0.25">
      <c r="I23733" s="227" t="str">
        <f>MID(excPisCofins[[#This Row],[CodBarras2]],2,50)</f>
        <v/>
      </c>
    </row>
    <row r="23734" spans="9:9" x14ac:dyDescent="0.25">
      <c r="I23734" s="227" t="str">
        <f>MID(excPisCofins[[#This Row],[CodBarras2]],2,50)</f>
        <v/>
      </c>
    </row>
    <row r="23735" spans="9:9" x14ac:dyDescent="0.25">
      <c r="I23735" s="227" t="str">
        <f>MID(excPisCofins[[#This Row],[CodBarras2]],2,50)</f>
        <v/>
      </c>
    </row>
    <row r="23736" spans="9:9" x14ac:dyDescent="0.25">
      <c r="I23736" s="227" t="str">
        <f>MID(excPisCofins[[#This Row],[CodBarras2]],2,50)</f>
        <v/>
      </c>
    </row>
    <row r="23737" spans="9:9" x14ac:dyDescent="0.25">
      <c r="I23737" s="227" t="str">
        <f>MID(excPisCofins[[#This Row],[CodBarras2]],2,50)</f>
        <v/>
      </c>
    </row>
    <row r="23738" spans="9:9" x14ac:dyDescent="0.25">
      <c r="I23738" s="227" t="str">
        <f>MID(excPisCofins[[#This Row],[CodBarras2]],2,50)</f>
        <v/>
      </c>
    </row>
    <row r="23739" spans="9:9" x14ac:dyDescent="0.25">
      <c r="I23739" s="227" t="str">
        <f>MID(excPisCofins[[#This Row],[CodBarras2]],2,50)</f>
        <v/>
      </c>
    </row>
    <row r="23740" spans="9:9" x14ac:dyDescent="0.25">
      <c r="I23740" s="227" t="str">
        <f>MID(excPisCofins[[#This Row],[CodBarras2]],2,50)</f>
        <v/>
      </c>
    </row>
    <row r="23741" spans="9:9" x14ac:dyDescent="0.25">
      <c r="I23741" s="227" t="str">
        <f>MID(excPisCofins[[#This Row],[CodBarras2]],2,50)</f>
        <v/>
      </c>
    </row>
    <row r="23742" spans="9:9" x14ac:dyDescent="0.25">
      <c r="I23742" s="227" t="str">
        <f>MID(excPisCofins[[#This Row],[CodBarras2]],2,50)</f>
        <v/>
      </c>
    </row>
    <row r="23743" spans="9:9" x14ac:dyDescent="0.25">
      <c r="I23743" s="227" t="str">
        <f>MID(excPisCofins[[#This Row],[CodBarras2]],2,50)</f>
        <v/>
      </c>
    </row>
    <row r="23744" spans="9:9" x14ac:dyDescent="0.25">
      <c r="I23744" s="227" t="str">
        <f>MID(excPisCofins[[#This Row],[CodBarras2]],2,50)</f>
        <v/>
      </c>
    </row>
    <row r="23745" spans="9:9" x14ac:dyDescent="0.25">
      <c r="I23745" s="227" t="str">
        <f>MID(excPisCofins[[#This Row],[CodBarras2]],2,50)</f>
        <v/>
      </c>
    </row>
    <row r="23746" spans="9:9" x14ac:dyDescent="0.25">
      <c r="I23746" s="227" t="str">
        <f>MID(excPisCofins[[#This Row],[CodBarras2]],2,50)</f>
        <v/>
      </c>
    </row>
    <row r="23747" spans="9:9" x14ac:dyDescent="0.25">
      <c r="I23747" s="227" t="str">
        <f>MID(excPisCofins[[#This Row],[CodBarras2]],2,50)</f>
        <v/>
      </c>
    </row>
    <row r="23748" spans="9:9" x14ac:dyDescent="0.25">
      <c r="I23748" s="227" t="str">
        <f>MID(excPisCofins[[#This Row],[CodBarras2]],2,50)</f>
        <v/>
      </c>
    </row>
    <row r="23749" spans="9:9" x14ac:dyDescent="0.25">
      <c r="I23749" s="227" t="str">
        <f>MID(excPisCofins[[#This Row],[CodBarras2]],2,50)</f>
        <v/>
      </c>
    </row>
    <row r="23750" spans="9:9" x14ac:dyDescent="0.25">
      <c r="I23750" s="227" t="str">
        <f>MID(excPisCofins[[#This Row],[CodBarras2]],2,50)</f>
        <v/>
      </c>
    </row>
    <row r="23751" spans="9:9" x14ac:dyDescent="0.25">
      <c r="I23751" s="227" t="str">
        <f>MID(excPisCofins[[#This Row],[CodBarras2]],2,50)</f>
        <v/>
      </c>
    </row>
    <row r="23752" spans="9:9" x14ac:dyDescent="0.25">
      <c r="I23752" s="227" t="str">
        <f>MID(excPisCofins[[#This Row],[CodBarras2]],2,50)</f>
        <v/>
      </c>
    </row>
    <row r="23753" spans="9:9" x14ac:dyDescent="0.25">
      <c r="I23753" s="227" t="str">
        <f>MID(excPisCofins[[#This Row],[CodBarras2]],2,50)</f>
        <v/>
      </c>
    </row>
    <row r="23754" spans="9:9" x14ac:dyDescent="0.25">
      <c r="I23754" s="227" t="str">
        <f>MID(excPisCofins[[#This Row],[CodBarras2]],2,50)</f>
        <v/>
      </c>
    </row>
    <row r="23755" spans="9:9" x14ac:dyDescent="0.25">
      <c r="I23755" s="227" t="str">
        <f>MID(excPisCofins[[#This Row],[CodBarras2]],2,50)</f>
        <v/>
      </c>
    </row>
    <row r="23756" spans="9:9" x14ac:dyDescent="0.25">
      <c r="I23756" s="227" t="str">
        <f>MID(excPisCofins[[#This Row],[CodBarras2]],2,50)</f>
        <v/>
      </c>
    </row>
    <row r="23757" spans="9:9" x14ac:dyDescent="0.25">
      <c r="I23757" s="227" t="str">
        <f>MID(excPisCofins[[#This Row],[CodBarras2]],2,50)</f>
        <v/>
      </c>
    </row>
    <row r="23758" spans="9:9" x14ac:dyDescent="0.25">
      <c r="I23758" s="227" t="str">
        <f>MID(excPisCofins[[#This Row],[CodBarras2]],2,50)</f>
        <v/>
      </c>
    </row>
    <row r="23759" spans="9:9" x14ac:dyDescent="0.25">
      <c r="I23759" s="227" t="str">
        <f>MID(excPisCofins[[#This Row],[CodBarras2]],2,50)</f>
        <v/>
      </c>
    </row>
    <row r="23760" spans="9:9" x14ac:dyDescent="0.25">
      <c r="I23760" s="227" t="str">
        <f>MID(excPisCofins[[#This Row],[CodBarras2]],2,50)</f>
        <v/>
      </c>
    </row>
    <row r="23761" spans="9:9" x14ac:dyDescent="0.25">
      <c r="I23761" s="227" t="str">
        <f>MID(excPisCofins[[#This Row],[CodBarras2]],2,50)</f>
        <v/>
      </c>
    </row>
    <row r="23762" spans="9:9" x14ac:dyDescent="0.25">
      <c r="I23762" s="227" t="str">
        <f>MID(excPisCofins[[#This Row],[CodBarras2]],2,50)</f>
        <v/>
      </c>
    </row>
    <row r="23763" spans="9:9" x14ac:dyDescent="0.25">
      <c r="I23763" s="227" t="str">
        <f>MID(excPisCofins[[#This Row],[CodBarras2]],2,50)</f>
        <v/>
      </c>
    </row>
    <row r="23764" spans="9:9" x14ac:dyDescent="0.25">
      <c r="I23764" s="227" t="str">
        <f>MID(excPisCofins[[#This Row],[CodBarras2]],2,50)</f>
        <v/>
      </c>
    </row>
    <row r="23765" spans="9:9" x14ac:dyDescent="0.25">
      <c r="I23765" s="227" t="str">
        <f>MID(excPisCofins[[#This Row],[CodBarras2]],2,50)</f>
        <v/>
      </c>
    </row>
    <row r="23766" spans="9:9" x14ac:dyDescent="0.25">
      <c r="I23766" s="227" t="str">
        <f>MID(excPisCofins[[#This Row],[CodBarras2]],2,50)</f>
        <v/>
      </c>
    </row>
    <row r="23767" spans="9:9" x14ac:dyDescent="0.25">
      <c r="I23767" s="227" t="str">
        <f>MID(excPisCofins[[#This Row],[CodBarras2]],2,50)</f>
        <v/>
      </c>
    </row>
    <row r="23768" spans="9:9" x14ac:dyDescent="0.25">
      <c r="I23768" s="227" t="str">
        <f>MID(excPisCofins[[#This Row],[CodBarras2]],2,50)</f>
        <v/>
      </c>
    </row>
    <row r="23769" spans="9:9" x14ac:dyDescent="0.25">
      <c r="I23769" s="227" t="str">
        <f>MID(excPisCofins[[#This Row],[CodBarras2]],2,50)</f>
        <v/>
      </c>
    </row>
    <row r="23770" spans="9:9" x14ac:dyDescent="0.25">
      <c r="I23770" s="227" t="str">
        <f>MID(excPisCofins[[#This Row],[CodBarras2]],2,50)</f>
        <v/>
      </c>
    </row>
    <row r="23771" spans="9:9" x14ac:dyDescent="0.25">
      <c r="I23771" s="227" t="str">
        <f>MID(excPisCofins[[#This Row],[CodBarras2]],2,50)</f>
        <v/>
      </c>
    </row>
    <row r="23772" spans="9:9" x14ac:dyDescent="0.25">
      <c r="I23772" s="227" t="str">
        <f>MID(excPisCofins[[#This Row],[CodBarras2]],2,50)</f>
        <v/>
      </c>
    </row>
    <row r="23773" spans="9:9" x14ac:dyDescent="0.25">
      <c r="I23773" s="227" t="str">
        <f>MID(excPisCofins[[#This Row],[CodBarras2]],2,50)</f>
        <v/>
      </c>
    </row>
    <row r="23774" spans="9:9" x14ac:dyDescent="0.25">
      <c r="I23774" s="227" t="str">
        <f>MID(excPisCofins[[#This Row],[CodBarras2]],2,50)</f>
        <v/>
      </c>
    </row>
    <row r="23775" spans="9:9" x14ac:dyDescent="0.25">
      <c r="I23775" s="227" t="str">
        <f>MID(excPisCofins[[#This Row],[CodBarras2]],2,50)</f>
        <v/>
      </c>
    </row>
    <row r="23776" spans="9:9" x14ac:dyDescent="0.25">
      <c r="I23776" s="227" t="str">
        <f>MID(excPisCofins[[#This Row],[CodBarras2]],2,50)</f>
        <v/>
      </c>
    </row>
    <row r="23777" spans="9:9" x14ac:dyDescent="0.25">
      <c r="I23777" s="227" t="str">
        <f>MID(excPisCofins[[#This Row],[CodBarras2]],2,50)</f>
        <v/>
      </c>
    </row>
    <row r="23778" spans="9:9" x14ac:dyDescent="0.25">
      <c r="I23778" s="227" t="str">
        <f>MID(excPisCofins[[#This Row],[CodBarras2]],2,50)</f>
        <v/>
      </c>
    </row>
    <row r="23779" spans="9:9" x14ac:dyDescent="0.25">
      <c r="I23779" s="227" t="str">
        <f>MID(excPisCofins[[#This Row],[CodBarras2]],2,50)</f>
        <v/>
      </c>
    </row>
    <row r="23780" spans="9:9" x14ac:dyDescent="0.25">
      <c r="I23780" s="227" t="str">
        <f>MID(excPisCofins[[#This Row],[CodBarras2]],2,50)</f>
        <v/>
      </c>
    </row>
    <row r="23781" spans="9:9" x14ac:dyDescent="0.25">
      <c r="I23781" s="227" t="str">
        <f>MID(excPisCofins[[#This Row],[CodBarras2]],2,50)</f>
        <v/>
      </c>
    </row>
    <row r="23782" spans="9:9" x14ac:dyDescent="0.25">
      <c r="I23782" s="227" t="str">
        <f>MID(excPisCofins[[#This Row],[CodBarras2]],2,50)</f>
        <v/>
      </c>
    </row>
    <row r="23783" spans="9:9" x14ac:dyDescent="0.25">
      <c r="I23783" s="227" t="str">
        <f>MID(excPisCofins[[#This Row],[CodBarras2]],2,50)</f>
        <v/>
      </c>
    </row>
    <row r="23784" spans="9:9" x14ac:dyDescent="0.25">
      <c r="I23784" s="227" t="str">
        <f>MID(excPisCofins[[#This Row],[CodBarras2]],2,50)</f>
        <v/>
      </c>
    </row>
    <row r="23785" spans="9:9" x14ac:dyDescent="0.25">
      <c r="I23785" s="227" t="str">
        <f>MID(excPisCofins[[#This Row],[CodBarras2]],2,50)</f>
        <v/>
      </c>
    </row>
    <row r="23786" spans="9:9" x14ac:dyDescent="0.25">
      <c r="I23786" s="227" t="str">
        <f>MID(excPisCofins[[#This Row],[CodBarras2]],2,50)</f>
        <v/>
      </c>
    </row>
    <row r="23787" spans="9:9" x14ac:dyDescent="0.25">
      <c r="I23787" s="227" t="str">
        <f>MID(excPisCofins[[#This Row],[CodBarras2]],2,50)</f>
        <v/>
      </c>
    </row>
    <row r="23788" spans="9:9" x14ac:dyDescent="0.25">
      <c r="I23788" s="227" t="str">
        <f>MID(excPisCofins[[#This Row],[CodBarras2]],2,50)</f>
        <v/>
      </c>
    </row>
    <row r="23789" spans="9:9" x14ac:dyDescent="0.25">
      <c r="I23789" s="227" t="str">
        <f>MID(excPisCofins[[#This Row],[CodBarras2]],2,50)</f>
        <v/>
      </c>
    </row>
    <row r="23790" spans="9:9" x14ac:dyDescent="0.25">
      <c r="I23790" s="227" t="str">
        <f>MID(excPisCofins[[#This Row],[CodBarras2]],2,50)</f>
        <v/>
      </c>
    </row>
    <row r="23791" spans="9:9" x14ac:dyDescent="0.25">
      <c r="I23791" s="227" t="str">
        <f>MID(excPisCofins[[#This Row],[CodBarras2]],2,50)</f>
        <v/>
      </c>
    </row>
    <row r="23792" spans="9:9" x14ac:dyDescent="0.25">
      <c r="I23792" s="227" t="str">
        <f>MID(excPisCofins[[#This Row],[CodBarras2]],2,50)</f>
        <v/>
      </c>
    </row>
    <row r="23793" spans="9:9" x14ac:dyDescent="0.25">
      <c r="I23793" s="227" t="str">
        <f>MID(excPisCofins[[#This Row],[CodBarras2]],2,50)</f>
        <v/>
      </c>
    </row>
    <row r="23794" spans="9:9" x14ac:dyDescent="0.25">
      <c r="I23794" s="227" t="str">
        <f>MID(excPisCofins[[#This Row],[CodBarras2]],2,50)</f>
        <v/>
      </c>
    </row>
    <row r="23795" spans="9:9" x14ac:dyDescent="0.25">
      <c r="I23795" s="227" t="str">
        <f>MID(excPisCofins[[#This Row],[CodBarras2]],2,50)</f>
        <v/>
      </c>
    </row>
    <row r="23796" spans="9:9" x14ac:dyDescent="0.25">
      <c r="I23796" s="227" t="str">
        <f>MID(excPisCofins[[#This Row],[CodBarras2]],2,50)</f>
        <v/>
      </c>
    </row>
    <row r="23797" spans="9:9" x14ac:dyDescent="0.25">
      <c r="I23797" s="227" t="str">
        <f>MID(excPisCofins[[#This Row],[CodBarras2]],2,50)</f>
        <v/>
      </c>
    </row>
    <row r="23798" spans="9:9" x14ac:dyDescent="0.25">
      <c r="I23798" s="227" t="str">
        <f>MID(excPisCofins[[#This Row],[CodBarras2]],2,50)</f>
        <v/>
      </c>
    </row>
    <row r="23799" spans="9:9" x14ac:dyDescent="0.25">
      <c r="I23799" s="227" t="str">
        <f>MID(excPisCofins[[#This Row],[CodBarras2]],2,50)</f>
        <v/>
      </c>
    </row>
    <row r="23800" spans="9:9" x14ac:dyDescent="0.25">
      <c r="I23800" s="227" t="str">
        <f>MID(excPisCofins[[#This Row],[CodBarras2]],2,50)</f>
        <v/>
      </c>
    </row>
    <row r="23801" spans="9:9" x14ac:dyDescent="0.25">
      <c r="I23801" s="227" t="str">
        <f>MID(excPisCofins[[#This Row],[CodBarras2]],2,50)</f>
        <v/>
      </c>
    </row>
    <row r="23802" spans="9:9" x14ac:dyDescent="0.25">
      <c r="I23802" s="227" t="str">
        <f>MID(excPisCofins[[#This Row],[CodBarras2]],2,50)</f>
        <v/>
      </c>
    </row>
    <row r="23803" spans="9:9" x14ac:dyDescent="0.25">
      <c r="I23803" s="227" t="str">
        <f>MID(excPisCofins[[#This Row],[CodBarras2]],2,50)</f>
        <v/>
      </c>
    </row>
    <row r="23804" spans="9:9" x14ac:dyDescent="0.25">
      <c r="I23804" s="227" t="str">
        <f>MID(excPisCofins[[#This Row],[CodBarras2]],2,50)</f>
        <v/>
      </c>
    </row>
    <row r="23805" spans="9:9" x14ac:dyDescent="0.25">
      <c r="I23805" s="227" t="str">
        <f>MID(excPisCofins[[#This Row],[CodBarras2]],2,50)</f>
        <v/>
      </c>
    </row>
    <row r="23806" spans="9:9" x14ac:dyDescent="0.25">
      <c r="I23806" s="227" t="str">
        <f>MID(excPisCofins[[#This Row],[CodBarras2]],2,50)</f>
        <v/>
      </c>
    </row>
    <row r="23807" spans="9:9" x14ac:dyDescent="0.25">
      <c r="I23807" s="227" t="str">
        <f>MID(excPisCofins[[#This Row],[CodBarras2]],2,50)</f>
        <v/>
      </c>
    </row>
    <row r="23808" spans="9:9" x14ac:dyDescent="0.25">
      <c r="I23808" s="227" t="str">
        <f>MID(excPisCofins[[#This Row],[CodBarras2]],2,50)</f>
        <v/>
      </c>
    </row>
    <row r="23809" spans="9:9" x14ac:dyDescent="0.25">
      <c r="I23809" s="227" t="str">
        <f>MID(excPisCofins[[#This Row],[CodBarras2]],2,50)</f>
        <v/>
      </c>
    </row>
    <row r="23810" spans="9:9" x14ac:dyDescent="0.25">
      <c r="I23810" s="227" t="str">
        <f>MID(excPisCofins[[#This Row],[CodBarras2]],2,50)</f>
        <v/>
      </c>
    </row>
    <row r="23811" spans="9:9" x14ac:dyDescent="0.25">
      <c r="I23811" s="227" t="str">
        <f>MID(excPisCofins[[#This Row],[CodBarras2]],2,50)</f>
        <v/>
      </c>
    </row>
    <row r="23812" spans="9:9" x14ac:dyDescent="0.25">
      <c r="I23812" s="227" t="str">
        <f>MID(excPisCofins[[#This Row],[CodBarras2]],2,50)</f>
        <v/>
      </c>
    </row>
    <row r="23813" spans="9:9" x14ac:dyDescent="0.25">
      <c r="I23813" s="227" t="str">
        <f>MID(excPisCofins[[#This Row],[CodBarras2]],2,50)</f>
        <v/>
      </c>
    </row>
    <row r="23814" spans="9:9" x14ac:dyDescent="0.25">
      <c r="I23814" s="227" t="str">
        <f>MID(excPisCofins[[#This Row],[CodBarras2]],2,50)</f>
        <v/>
      </c>
    </row>
    <row r="23815" spans="9:9" x14ac:dyDescent="0.25">
      <c r="I23815" s="227" t="str">
        <f>MID(excPisCofins[[#This Row],[CodBarras2]],2,50)</f>
        <v/>
      </c>
    </row>
    <row r="23816" spans="9:9" x14ac:dyDescent="0.25">
      <c r="I23816" s="227" t="str">
        <f>MID(excPisCofins[[#This Row],[CodBarras2]],2,50)</f>
        <v/>
      </c>
    </row>
    <row r="23817" spans="9:9" x14ac:dyDescent="0.25">
      <c r="I23817" s="227" t="str">
        <f>MID(excPisCofins[[#This Row],[CodBarras2]],2,50)</f>
        <v/>
      </c>
    </row>
    <row r="23818" spans="9:9" x14ac:dyDescent="0.25">
      <c r="I23818" s="227" t="str">
        <f>MID(excPisCofins[[#This Row],[CodBarras2]],2,50)</f>
        <v/>
      </c>
    </row>
    <row r="23819" spans="9:9" x14ac:dyDescent="0.25">
      <c r="I23819" s="227" t="str">
        <f>MID(excPisCofins[[#This Row],[CodBarras2]],2,50)</f>
        <v/>
      </c>
    </row>
    <row r="23820" spans="9:9" x14ac:dyDescent="0.25">
      <c r="I23820" s="227" t="str">
        <f>MID(excPisCofins[[#This Row],[CodBarras2]],2,50)</f>
        <v/>
      </c>
    </row>
    <row r="23821" spans="9:9" x14ac:dyDescent="0.25">
      <c r="I23821" s="227" t="str">
        <f>MID(excPisCofins[[#This Row],[CodBarras2]],2,50)</f>
        <v/>
      </c>
    </row>
    <row r="23822" spans="9:9" x14ac:dyDescent="0.25">
      <c r="I23822" s="227" t="str">
        <f>MID(excPisCofins[[#This Row],[CodBarras2]],2,50)</f>
        <v/>
      </c>
    </row>
    <row r="23823" spans="9:9" x14ac:dyDescent="0.25">
      <c r="I23823" s="227" t="str">
        <f>MID(excPisCofins[[#This Row],[CodBarras2]],2,50)</f>
        <v/>
      </c>
    </row>
    <row r="23824" spans="9:9" x14ac:dyDescent="0.25">
      <c r="I23824" s="227" t="str">
        <f>MID(excPisCofins[[#This Row],[CodBarras2]],2,50)</f>
        <v/>
      </c>
    </row>
    <row r="23825" spans="9:9" x14ac:dyDescent="0.25">
      <c r="I23825" s="227" t="str">
        <f>MID(excPisCofins[[#This Row],[CodBarras2]],2,50)</f>
        <v/>
      </c>
    </row>
    <row r="23826" spans="9:9" x14ac:dyDescent="0.25">
      <c r="I23826" s="227" t="str">
        <f>MID(excPisCofins[[#This Row],[CodBarras2]],2,50)</f>
        <v/>
      </c>
    </row>
    <row r="23827" spans="9:9" x14ac:dyDescent="0.25">
      <c r="I23827" s="227" t="str">
        <f>MID(excPisCofins[[#This Row],[CodBarras2]],2,50)</f>
        <v/>
      </c>
    </row>
    <row r="23828" spans="9:9" x14ac:dyDescent="0.25">
      <c r="I23828" s="227" t="str">
        <f>MID(excPisCofins[[#This Row],[CodBarras2]],2,50)</f>
        <v/>
      </c>
    </row>
    <row r="23829" spans="9:9" x14ac:dyDescent="0.25">
      <c r="I23829" s="227" t="str">
        <f>MID(excPisCofins[[#This Row],[CodBarras2]],2,50)</f>
        <v/>
      </c>
    </row>
    <row r="23830" spans="9:9" x14ac:dyDescent="0.25">
      <c r="I23830" s="227" t="str">
        <f>MID(excPisCofins[[#This Row],[CodBarras2]],2,50)</f>
        <v/>
      </c>
    </row>
    <row r="23831" spans="9:9" x14ac:dyDescent="0.25">
      <c r="I23831" s="227" t="str">
        <f>MID(excPisCofins[[#This Row],[CodBarras2]],2,50)</f>
        <v/>
      </c>
    </row>
    <row r="23832" spans="9:9" x14ac:dyDescent="0.25">
      <c r="I23832" s="227" t="str">
        <f>MID(excPisCofins[[#This Row],[CodBarras2]],2,50)</f>
        <v/>
      </c>
    </row>
    <row r="23833" spans="9:9" x14ac:dyDescent="0.25">
      <c r="I23833" s="227" t="str">
        <f>MID(excPisCofins[[#This Row],[CodBarras2]],2,50)</f>
        <v/>
      </c>
    </row>
    <row r="23834" spans="9:9" x14ac:dyDescent="0.25">
      <c r="I23834" s="227" t="str">
        <f>MID(excPisCofins[[#This Row],[CodBarras2]],2,50)</f>
        <v/>
      </c>
    </row>
    <row r="23835" spans="9:9" x14ac:dyDescent="0.25">
      <c r="I23835" s="227" t="str">
        <f>MID(excPisCofins[[#This Row],[CodBarras2]],2,50)</f>
        <v/>
      </c>
    </row>
    <row r="23836" spans="9:9" x14ac:dyDescent="0.25">
      <c r="I23836" s="227" t="str">
        <f>MID(excPisCofins[[#This Row],[CodBarras2]],2,50)</f>
        <v/>
      </c>
    </row>
    <row r="23837" spans="9:9" x14ac:dyDescent="0.25">
      <c r="I23837" s="227" t="str">
        <f>MID(excPisCofins[[#This Row],[CodBarras2]],2,50)</f>
        <v/>
      </c>
    </row>
    <row r="23838" spans="9:9" x14ac:dyDescent="0.25">
      <c r="I23838" s="227" t="str">
        <f>MID(excPisCofins[[#This Row],[CodBarras2]],2,50)</f>
        <v/>
      </c>
    </row>
    <row r="23839" spans="9:9" x14ac:dyDescent="0.25">
      <c r="I23839" s="227" t="str">
        <f>MID(excPisCofins[[#This Row],[CodBarras2]],2,50)</f>
        <v/>
      </c>
    </row>
    <row r="23840" spans="9:9" x14ac:dyDescent="0.25">
      <c r="I23840" s="227" t="str">
        <f>MID(excPisCofins[[#This Row],[CodBarras2]],2,50)</f>
        <v/>
      </c>
    </row>
    <row r="23841" spans="9:9" x14ac:dyDescent="0.25">
      <c r="I23841" s="227" t="str">
        <f>MID(excPisCofins[[#This Row],[CodBarras2]],2,50)</f>
        <v/>
      </c>
    </row>
    <row r="23842" spans="9:9" x14ac:dyDescent="0.25">
      <c r="I23842" s="227" t="str">
        <f>MID(excPisCofins[[#This Row],[CodBarras2]],2,50)</f>
        <v/>
      </c>
    </row>
    <row r="23843" spans="9:9" x14ac:dyDescent="0.25">
      <c r="I23843" s="227" t="str">
        <f>MID(excPisCofins[[#This Row],[CodBarras2]],2,50)</f>
        <v/>
      </c>
    </row>
    <row r="23844" spans="9:9" x14ac:dyDescent="0.25">
      <c r="I23844" s="227" t="str">
        <f>MID(excPisCofins[[#This Row],[CodBarras2]],2,50)</f>
        <v/>
      </c>
    </row>
    <row r="23845" spans="9:9" x14ac:dyDescent="0.25">
      <c r="I23845" s="227" t="str">
        <f>MID(excPisCofins[[#This Row],[CodBarras2]],2,50)</f>
        <v/>
      </c>
    </row>
    <row r="23846" spans="9:9" x14ac:dyDescent="0.25">
      <c r="I23846" s="227" t="str">
        <f>MID(excPisCofins[[#This Row],[CodBarras2]],2,50)</f>
        <v/>
      </c>
    </row>
    <row r="23847" spans="9:9" x14ac:dyDescent="0.25">
      <c r="I23847" s="227" t="str">
        <f>MID(excPisCofins[[#This Row],[CodBarras2]],2,50)</f>
        <v/>
      </c>
    </row>
    <row r="23848" spans="9:9" x14ac:dyDescent="0.25">
      <c r="I23848" s="227" t="str">
        <f>MID(excPisCofins[[#This Row],[CodBarras2]],2,50)</f>
        <v/>
      </c>
    </row>
    <row r="23849" spans="9:9" x14ac:dyDescent="0.25">
      <c r="I23849" s="227" t="str">
        <f>MID(excPisCofins[[#This Row],[CodBarras2]],2,50)</f>
        <v/>
      </c>
    </row>
    <row r="23850" spans="9:9" x14ac:dyDescent="0.25">
      <c r="I23850" s="227" t="str">
        <f>MID(excPisCofins[[#This Row],[CodBarras2]],2,50)</f>
        <v/>
      </c>
    </row>
    <row r="23851" spans="9:9" x14ac:dyDescent="0.25">
      <c r="I23851" s="227" t="str">
        <f>MID(excPisCofins[[#This Row],[CodBarras2]],2,50)</f>
        <v/>
      </c>
    </row>
    <row r="23852" spans="9:9" x14ac:dyDescent="0.25">
      <c r="I23852" s="227" t="str">
        <f>MID(excPisCofins[[#This Row],[CodBarras2]],2,50)</f>
        <v/>
      </c>
    </row>
    <row r="23853" spans="9:9" x14ac:dyDescent="0.25">
      <c r="I23853" s="227" t="str">
        <f>MID(excPisCofins[[#This Row],[CodBarras2]],2,50)</f>
        <v/>
      </c>
    </row>
    <row r="23854" spans="9:9" x14ac:dyDescent="0.25">
      <c r="I23854" s="227" t="str">
        <f>MID(excPisCofins[[#This Row],[CodBarras2]],2,50)</f>
        <v/>
      </c>
    </row>
    <row r="23855" spans="9:9" x14ac:dyDescent="0.25">
      <c r="I23855" s="227" t="str">
        <f>MID(excPisCofins[[#This Row],[CodBarras2]],2,50)</f>
        <v/>
      </c>
    </row>
    <row r="23856" spans="9:9" x14ac:dyDescent="0.25">
      <c r="I23856" s="227" t="str">
        <f>MID(excPisCofins[[#This Row],[CodBarras2]],2,50)</f>
        <v/>
      </c>
    </row>
    <row r="23857" spans="9:9" x14ac:dyDescent="0.25">
      <c r="I23857" s="227" t="str">
        <f>MID(excPisCofins[[#This Row],[CodBarras2]],2,50)</f>
        <v/>
      </c>
    </row>
    <row r="23858" spans="9:9" x14ac:dyDescent="0.25">
      <c r="I23858" s="227" t="str">
        <f>MID(excPisCofins[[#This Row],[CodBarras2]],2,50)</f>
        <v/>
      </c>
    </row>
    <row r="23859" spans="9:9" x14ac:dyDescent="0.25">
      <c r="I23859" s="227" t="str">
        <f>MID(excPisCofins[[#This Row],[CodBarras2]],2,50)</f>
        <v/>
      </c>
    </row>
    <row r="23860" spans="9:9" x14ac:dyDescent="0.25">
      <c r="I23860" s="227" t="str">
        <f>MID(excPisCofins[[#This Row],[CodBarras2]],2,50)</f>
        <v/>
      </c>
    </row>
    <row r="23861" spans="9:9" x14ac:dyDescent="0.25">
      <c r="I23861" s="227" t="str">
        <f>MID(excPisCofins[[#This Row],[CodBarras2]],2,50)</f>
        <v/>
      </c>
    </row>
    <row r="23862" spans="9:9" x14ac:dyDescent="0.25">
      <c r="I23862" s="227" t="str">
        <f>MID(excPisCofins[[#This Row],[CodBarras2]],2,50)</f>
        <v/>
      </c>
    </row>
    <row r="23863" spans="9:9" x14ac:dyDescent="0.25">
      <c r="I23863" s="227" t="str">
        <f>MID(excPisCofins[[#This Row],[CodBarras2]],2,50)</f>
        <v/>
      </c>
    </row>
    <row r="23864" spans="9:9" x14ac:dyDescent="0.25">
      <c r="I23864" s="227" t="str">
        <f>MID(excPisCofins[[#This Row],[CodBarras2]],2,50)</f>
        <v/>
      </c>
    </row>
    <row r="23865" spans="9:9" x14ac:dyDescent="0.25">
      <c r="I23865" s="227" t="str">
        <f>MID(excPisCofins[[#This Row],[CodBarras2]],2,50)</f>
        <v/>
      </c>
    </row>
    <row r="23866" spans="9:9" x14ac:dyDescent="0.25">
      <c r="I23866" s="227" t="str">
        <f>MID(excPisCofins[[#This Row],[CodBarras2]],2,50)</f>
        <v/>
      </c>
    </row>
    <row r="23867" spans="9:9" x14ac:dyDescent="0.25">
      <c r="I23867" s="227" t="str">
        <f>MID(excPisCofins[[#This Row],[CodBarras2]],2,50)</f>
        <v/>
      </c>
    </row>
    <row r="23868" spans="9:9" x14ac:dyDescent="0.25">
      <c r="I23868" s="227" t="str">
        <f>MID(excPisCofins[[#This Row],[CodBarras2]],2,50)</f>
        <v/>
      </c>
    </row>
    <row r="23869" spans="9:9" x14ac:dyDescent="0.25">
      <c r="I23869" s="227" t="str">
        <f>MID(excPisCofins[[#This Row],[CodBarras2]],2,50)</f>
        <v/>
      </c>
    </row>
    <row r="23870" spans="9:9" x14ac:dyDescent="0.25">
      <c r="I23870" s="227" t="str">
        <f>MID(excPisCofins[[#This Row],[CodBarras2]],2,50)</f>
        <v/>
      </c>
    </row>
    <row r="23871" spans="9:9" x14ac:dyDescent="0.25">
      <c r="I23871" s="227" t="str">
        <f>MID(excPisCofins[[#This Row],[CodBarras2]],2,50)</f>
        <v/>
      </c>
    </row>
    <row r="23872" spans="9:9" x14ac:dyDescent="0.25">
      <c r="I23872" s="227" t="str">
        <f>MID(excPisCofins[[#This Row],[CodBarras2]],2,50)</f>
        <v/>
      </c>
    </row>
    <row r="23873" spans="9:9" x14ac:dyDescent="0.25">
      <c r="I23873" s="227" t="str">
        <f>MID(excPisCofins[[#This Row],[CodBarras2]],2,50)</f>
        <v/>
      </c>
    </row>
    <row r="23874" spans="9:9" x14ac:dyDescent="0.25">
      <c r="I23874" s="227" t="str">
        <f>MID(excPisCofins[[#This Row],[CodBarras2]],2,50)</f>
        <v/>
      </c>
    </row>
    <row r="23875" spans="9:9" x14ac:dyDescent="0.25">
      <c r="I23875" s="227" t="str">
        <f>MID(excPisCofins[[#This Row],[CodBarras2]],2,50)</f>
        <v/>
      </c>
    </row>
    <row r="23876" spans="9:9" x14ac:dyDescent="0.25">
      <c r="I23876" s="227" t="str">
        <f>MID(excPisCofins[[#This Row],[CodBarras2]],2,50)</f>
        <v/>
      </c>
    </row>
    <row r="23877" spans="9:9" x14ac:dyDescent="0.25">
      <c r="I23877" s="227" t="str">
        <f>MID(excPisCofins[[#This Row],[CodBarras2]],2,50)</f>
        <v/>
      </c>
    </row>
    <row r="23878" spans="9:9" x14ac:dyDescent="0.25">
      <c r="I23878" s="227" t="str">
        <f>MID(excPisCofins[[#This Row],[CodBarras2]],2,50)</f>
        <v/>
      </c>
    </row>
    <row r="23879" spans="9:9" x14ac:dyDescent="0.25">
      <c r="I23879" s="227" t="str">
        <f>MID(excPisCofins[[#This Row],[CodBarras2]],2,50)</f>
        <v/>
      </c>
    </row>
    <row r="23880" spans="9:9" x14ac:dyDescent="0.25">
      <c r="I23880" s="227" t="str">
        <f>MID(excPisCofins[[#This Row],[CodBarras2]],2,50)</f>
        <v/>
      </c>
    </row>
    <row r="23881" spans="9:9" x14ac:dyDescent="0.25">
      <c r="I23881" s="227" t="str">
        <f>MID(excPisCofins[[#This Row],[CodBarras2]],2,50)</f>
        <v/>
      </c>
    </row>
    <row r="23882" spans="9:9" x14ac:dyDescent="0.25">
      <c r="I23882" s="227" t="str">
        <f>MID(excPisCofins[[#This Row],[CodBarras2]],2,50)</f>
        <v/>
      </c>
    </row>
    <row r="23883" spans="9:9" x14ac:dyDescent="0.25">
      <c r="I23883" s="227" t="str">
        <f>MID(excPisCofins[[#This Row],[CodBarras2]],2,50)</f>
        <v/>
      </c>
    </row>
    <row r="23884" spans="9:9" x14ac:dyDescent="0.25">
      <c r="I23884" s="227" t="str">
        <f>MID(excPisCofins[[#This Row],[CodBarras2]],2,50)</f>
        <v/>
      </c>
    </row>
    <row r="23885" spans="9:9" x14ac:dyDescent="0.25">
      <c r="I23885" s="227" t="str">
        <f>MID(excPisCofins[[#This Row],[CodBarras2]],2,50)</f>
        <v/>
      </c>
    </row>
    <row r="23886" spans="9:9" x14ac:dyDescent="0.25">
      <c r="I23886" s="227" t="str">
        <f>MID(excPisCofins[[#This Row],[CodBarras2]],2,50)</f>
        <v/>
      </c>
    </row>
    <row r="23887" spans="9:9" x14ac:dyDescent="0.25">
      <c r="I23887" s="227" t="str">
        <f>MID(excPisCofins[[#This Row],[CodBarras2]],2,50)</f>
        <v/>
      </c>
    </row>
    <row r="23888" spans="9:9" x14ac:dyDescent="0.25">
      <c r="I23888" s="227" t="str">
        <f>MID(excPisCofins[[#This Row],[CodBarras2]],2,50)</f>
        <v/>
      </c>
    </row>
    <row r="23889" spans="9:9" x14ac:dyDescent="0.25">
      <c r="I23889" s="227" t="str">
        <f>MID(excPisCofins[[#This Row],[CodBarras2]],2,50)</f>
        <v/>
      </c>
    </row>
    <row r="23890" spans="9:9" x14ac:dyDescent="0.25">
      <c r="I23890" s="227" t="str">
        <f>MID(excPisCofins[[#This Row],[CodBarras2]],2,50)</f>
        <v/>
      </c>
    </row>
    <row r="23891" spans="9:9" x14ac:dyDescent="0.25">
      <c r="I23891" s="227" t="str">
        <f>MID(excPisCofins[[#This Row],[CodBarras2]],2,50)</f>
        <v/>
      </c>
    </row>
    <row r="23892" spans="9:9" x14ac:dyDescent="0.25">
      <c r="I23892" s="227" t="str">
        <f>MID(excPisCofins[[#This Row],[CodBarras2]],2,50)</f>
        <v/>
      </c>
    </row>
    <row r="23893" spans="9:9" x14ac:dyDescent="0.25">
      <c r="I23893" s="227" t="str">
        <f>MID(excPisCofins[[#This Row],[CodBarras2]],2,50)</f>
        <v/>
      </c>
    </row>
    <row r="23894" spans="9:9" x14ac:dyDescent="0.25">
      <c r="I23894" s="227" t="str">
        <f>MID(excPisCofins[[#This Row],[CodBarras2]],2,50)</f>
        <v/>
      </c>
    </row>
    <row r="23895" spans="9:9" x14ac:dyDescent="0.25">
      <c r="I23895" s="227" t="str">
        <f>MID(excPisCofins[[#This Row],[CodBarras2]],2,50)</f>
        <v/>
      </c>
    </row>
    <row r="23896" spans="9:9" x14ac:dyDescent="0.25">
      <c r="I23896" s="227" t="str">
        <f>MID(excPisCofins[[#This Row],[CodBarras2]],2,50)</f>
        <v/>
      </c>
    </row>
    <row r="23897" spans="9:9" x14ac:dyDescent="0.25">
      <c r="I23897" s="227" t="str">
        <f>MID(excPisCofins[[#This Row],[CodBarras2]],2,50)</f>
        <v/>
      </c>
    </row>
    <row r="23898" spans="9:9" x14ac:dyDescent="0.25">
      <c r="I23898" s="227" t="str">
        <f>MID(excPisCofins[[#This Row],[CodBarras2]],2,50)</f>
        <v/>
      </c>
    </row>
    <row r="23899" spans="9:9" x14ac:dyDescent="0.25">
      <c r="I23899" s="227" t="str">
        <f>MID(excPisCofins[[#This Row],[CodBarras2]],2,50)</f>
        <v/>
      </c>
    </row>
    <row r="23900" spans="9:9" x14ac:dyDescent="0.25">
      <c r="I23900" s="227" t="str">
        <f>MID(excPisCofins[[#This Row],[CodBarras2]],2,50)</f>
        <v/>
      </c>
    </row>
    <row r="23901" spans="9:9" x14ac:dyDescent="0.25">
      <c r="I23901" s="227" t="str">
        <f>MID(excPisCofins[[#This Row],[CodBarras2]],2,50)</f>
        <v/>
      </c>
    </row>
    <row r="23902" spans="9:9" x14ac:dyDescent="0.25">
      <c r="I23902" s="227" t="str">
        <f>MID(excPisCofins[[#This Row],[CodBarras2]],2,50)</f>
        <v/>
      </c>
    </row>
    <row r="23903" spans="9:9" x14ac:dyDescent="0.25">
      <c r="I23903" s="227" t="str">
        <f>MID(excPisCofins[[#This Row],[CodBarras2]],2,50)</f>
        <v/>
      </c>
    </row>
    <row r="23904" spans="9:9" x14ac:dyDescent="0.25">
      <c r="I23904" s="227" t="str">
        <f>MID(excPisCofins[[#This Row],[CodBarras2]],2,50)</f>
        <v/>
      </c>
    </row>
    <row r="23905" spans="9:9" x14ac:dyDescent="0.25">
      <c r="I23905" s="227" t="str">
        <f>MID(excPisCofins[[#This Row],[CodBarras2]],2,50)</f>
        <v/>
      </c>
    </row>
    <row r="23906" spans="9:9" x14ac:dyDescent="0.25">
      <c r="I23906" s="227" t="str">
        <f>MID(excPisCofins[[#This Row],[CodBarras2]],2,50)</f>
        <v/>
      </c>
    </row>
    <row r="23907" spans="9:9" x14ac:dyDescent="0.25">
      <c r="I23907" s="227" t="str">
        <f>MID(excPisCofins[[#This Row],[CodBarras2]],2,50)</f>
        <v/>
      </c>
    </row>
    <row r="23908" spans="9:9" x14ac:dyDescent="0.25">
      <c r="I23908" s="227" t="str">
        <f>MID(excPisCofins[[#This Row],[CodBarras2]],2,50)</f>
        <v/>
      </c>
    </row>
    <row r="23909" spans="9:9" x14ac:dyDescent="0.25">
      <c r="I23909" s="227" t="str">
        <f>MID(excPisCofins[[#This Row],[CodBarras2]],2,50)</f>
        <v/>
      </c>
    </row>
    <row r="23910" spans="9:9" x14ac:dyDescent="0.25">
      <c r="I23910" s="227" t="str">
        <f>MID(excPisCofins[[#This Row],[CodBarras2]],2,50)</f>
        <v/>
      </c>
    </row>
    <row r="23911" spans="9:9" x14ac:dyDescent="0.25">
      <c r="I23911" s="227" t="str">
        <f>MID(excPisCofins[[#This Row],[CodBarras2]],2,50)</f>
        <v/>
      </c>
    </row>
    <row r="23912" spans="9:9" x14ac:dyDescent="0.25">
      <c r="I23912" s="227" t="str">
        <f>MID(excPisCofins[[#This Row],[CodBarras2]],2,50)</f>
        <v/>
      </c>
    </row>
    <row r="23913" spans="9:9" x14ac:dyDescent="0.25">
      <c r="I23913" s="227" t="str">
        <f>MID(excPisCofins[[#This Row],[CodBarras2]],2,50)</f>
        <v/>
      </c>
    </row>
    <row r="23914" spans="9:9" x14ac:dyDescent="0.25">
      <c r="I23914" s="227" t="str">
        <f>MID(excPisCofins[[#This Row],[CodBarras2]],2,50)</f>
        <v/>
      </c>
    </row>
    <row r="23915" spans="9:9" x14ac:dyDescent="0.25">
      <c r="I23915" s="227" t="str">
        <f>MID(excPisCofins[[#This Row],[CodBarras2]],2,50)</f>
        <v/>
      </c>
    </row>
    <row r="23916" spans="9:9" x14ac:dyDescent="0.25">
      <c r="I23916" s="227" t="str">
        <f>MID(excPisCofins[[#This Row],[CodBarras2]],2,50)</f>
        <v/>
      </c>
    </row>
    <row r="23917" spans="9:9" x14ac:dyDescent="0.25">
      <c r="I23917" s="227" t="str">
        <f>MID(excPisCofins[[#This Row],[CodBarras2]],2,50)</f>
        <v/>
      </c>
    </row>
    <row r="23918" spans="9:9" x14ac:dyDescent="0.25">
      <c r="I23918" s="227" t="str">
        <f>MID(excPisCofins[[#This Row],[CodBarras2]],2,50)</f>
        <v/>
      </c>
    </row>
    <row r="23919" spans="9:9" x14ac:dyDescent="0.25">
      <c r="I23919" s="227" t="str">
        <f>MID(excPisCofins[[#This Row],[CodBarras2]],2,50)</f>
        <v/>
      </c>
    </row>
    <row r="23920" spans="9:9" x14ac:dyDescent="0.25">
      <c r="I23920" s="227" t="str">
        <f>MID(excPisCofins[[#This Row],[CodBarras2]],2,50)</f>
        <v/>
      </c>
    </row>
    <row r="23921" spans="9:9" x14ac:dyDescent="0.25">
      <c r="I23921" s="227" t="str">
        <f>MID(excPisCofins[[#This Row],[CodBarras2]],2,50)</f>
        <v/>
      </c>
    </row>
    <row r="23922" spans="9:9" x14ac:dyDescent="0.25">
      <c r="I23922" s="227" t="str">
        <f>MID(excPisCofins[[#This Row],[CodBarras2]],2,50)</f>
        <v/>
      </c>
    </row>
    <row r="23923" spans="9:9" x14ac:dyDescent="0.25">
      <c r="I23923" s="227" t="str">
        <f>MID(excPisCofins[[#This Row],[CodBarras2]],2,50)</f>
        <v/>
      </c>
    </row>
    <row r="23924" spans="9:9" x14ac:dyDescent="0.25">
      <c r="I23924" s="227" t="str">
        <f>MID(excPisCofins[[#This Row],[CodBarras2]],2,50)</f>
        <v/>
      </c>
    </row>
    <row r="23925" spans="9:9" x14ac:dyDescent="0.25">
      <c r="I23925" s="227" t="str">
        <f>MID(excPisCofins[[#This Row],[CodBarras2]],2,50)</f>
        <v/>
      </c>
    </row>
    <row r="23926" spans="9:9" x14ac:dyDescent="0.25">
      <c r="I23926" s="227" t="str">
        <f>MID(excPisCofins[[#This Row],[CodBarras2]],2,50)</f>
        <v/>
      </c>
    </row>
    <row r="23927" spans="9:9" x14ac:dyDescent="0.25">
      <c r="I23927" s="227" t="str">
        <f>MID(excPisCofins[[#This Row],[CodBarras2]],2,50)</f>
        <v/>
      </c>
    </row>
    <row r="23928" spans="9:9" x14ac:dyDescent="0.25">
      <c r="I23928" s="227" t="str">
        <f>MID(excPisCofins[[#This Row],[CodBarras2]],2,50)</f>
        <v/>
      </c>
    </row>
    <row r="23929" spans="9:9" x14ac:dyDescent="0.25">
      <c r="I23929" s="227" t="str">
        <f>MID(excPisCofins[[#This Row],[CodBarras2]],2,50)</f>
        <v/>
      </c>
    </row>
    <row r="23930" spans="9:9" x14ac:dyDescent="0.25">
      <c r="I23930" s="227" t="str">
        <f>MID(excPisCofins[[#This Row],[CodBarras2]],2,50)</f>
        <v/>
      </c>
    </row>
    <row r="23931" spans="9:9" x14ac:dyDescent="0.25">
      <c r="I23931" s="227" t="str">
        <f>MID(excPisCofins[[#This Row],[CodBarras2]],2,50)</f>
        <v/>
      </c>
    </row>
    <row r="23932" spans="9:9" x14ac:dyDescent="0.25">
      <c r="I23932" s="227" t="str">
        <f>MID(excPisCofins[[#This Row],[CodBarras2]],2,50)</f>
        <v/>
      </c>
    </row>
    <row r="23933" spans="9:9" x14ac:dyDescent="0.25">
      <c r="I23933" s="227" t="str">
        <f>MID(excPisCofins[[#This Row],[CodBarras2]],2,50)</f>
        <v/>
      </c>
    </row>
    <row r="23934" spans="9:9" x14ac:dyDescent="0.25">
      <c r="I23934" s="227" t="str">
        <f>MID(excPisCofins[[#This Row],[CodBarras2]],2,50)</f>
        <v/>
      </c>
    </row>
    <row r="23935" spans="9:9" x14ac:dyDescent="0.25">
      <c r="I23935" s="227" t="str">
        <f>MID(excPisCofins[[#This Row],[CodBarras2]],2,50)</f>
        <v/>
      </c>
    </row>
    <row r="23936" spans="9:9" x14ac:dyDescent="0.25">
      <c r="I23936" s="227" t="str">
        <f>MID(excPisCofins[[#This Row],[CodBarras2]],2,50)</f>
        <v/>
      </c>
    </row>
    <row r="23937" spans="9:9" x14ac:dyDescent="0.25">
      <c r="I23937" s="227" t="str">
        <f>MID(excPisCofins[[#This Row],[CodBarras2]],2,50)</f>
        <v/>
      </c>
    </row>
    <row r="23938" spans="9:9" x14ac:dyDescent="0.25">
      <c r="I23938" s="227" t="str">
        <f>MID(excPisCofins[[#This Row],[CodBarras2]],2,50)</f>
        <v/>
      </c>
    </row>
    <row r="23939" spans="9:9" x14ac:dyDescent="0.25">
      <c r="I23939" s="227" t="str">
        <f>MID(excPisCofins[[#This Row],[CodBarras2]],2,50)</f>
        <v/>
      </c>
    </row>
    <row r="23940" spans="9:9" x14ac:dyDescent="0.25">
      <c r="I23940" s="227" t="str">
        <f>MID(excPisCofins[[#This Row],[CodBarras2]],2,50)</f>
        <v/>
      </c>
    </row>
    <row r="23941" spans="9:9" x14ac:dyDescent="0.25">
      <c r="I23941" s="227" t="str">
        <f>MID(excPisCofins[[#This Row],[CodBarras2]],2,50)</f>
        <v/>
      </c>
    </row>
    <row r="23942" spans="9:9" x14ac:dyDescent="0.25">
      <c r="I23942" s="227" t="str">
        <f>MID(excPisCofins[[#This Row],[CodBarras2]],2,50)</f>
        <v/>
      </c>
    </row>
    <row r="23943" spans="9:9" x14ac:dyDescent="0.25">
      <c r="I23943" s="227" t="str">
        <f>MID(excPisCofins[[#This Row],[CodBarras2]],2,50)</f>
        <v/>
      </c>
    </row>
    <row r="23944" spans="9:9" x14ac:dyDescent="0.25">
      <c r="I23944" s="227" t="str">
        <f>MID(excPisCofins[[#This Row],[CodBarras2]],2,50)</f>
        <v/>
      </c>
    </row>
    <row r="23945" spans="9:9" x14ac:dyDescent="0.25">
      <c r="I23945" s="227" t="str">
        <f>MID(excPisCofins[[#This Row],[CodBarras2]],2,50)</f>
        <v/>
      </c>
    </row>
    <row r="23946" spans="9:9" x14ac:dyDescent="0.25">
      <c r="I23946" s="227" t="str">
        <f>MID(excPisCofins[[#This Row],[CodBarras2]],2,50)</f>
        <v/>
      </c>
    </row>
    <row r="23947" spans="9:9" x14ac:dyDescent="0.25">
      <c r="I23947" s="227" t="str">
        <f>MID(excPisCofins[[#This Row],[CodBarras2]],2,50)</f>
        <v/>
      </c>
    </row>
    <row r="23948" spans="9:9" x14ac:dyDescent="0.25">
      <c r="I23948" s="227" t="str">
        <f>MID(excPisCofins[[#This Row],[CodBarras2]],2,50)</f>
        <v/>
      </c>
    </row>
    <row r="23949" spans="9:9" x14ac:dyDescent="0.25">
      <c r="I23949" s="227" t="str">
        <f>MID(excPisCofins[[#This Row],[CodBarras2]],2,50)</f>
        <v/>
      </c>
    </row>
    <row r="23950" spans="9:9" x14ac:dyDescent="0.25">
      <c r="I23950" s="227" t="str">
        <f>MID(excPisCofins[[#This Row],[CodBarras2]],2,50)</f>
        <v/>
      </c>
    </row>
    <row r="23951" spans="9:9" x14ac:dyDescent="0.25">
      <c r="I23951" s="227" t="str">
        <f>MID(excPisCofins[[#This Row],[CodBarras2]],2,50)</f>
        <v/>
      </c>
    </row>
    <row r="23952" spans="9:9" x14ac:dyDescent="0.25">
      <c r="I23952" s="227" t="str">
        <f>MID(excPisCofins[[#This Row],[CodBarras2]],2,50)</f>
        <v/>
      </c>
    </row>
    <row r="23953" spans="9:9" x14ac:dyDescent="0.25">
      <c r="I23953" s="227" t="str">
        <f>MID(excPisCofins[[#This Row],[CodBarras2]],2,50)</f>
        <v/>
      </c>
    </row>
    <row r="23954" spans="9:9" x14ac:dyDescent="0.25">
      <c r="I23954" s="227" t="str">
        <f>MID(excPisCofins[[#This Row],[CodBarras2]],2,50)</f>
        <v/>
      </c>
    </row>
    <row r="23955" spans="9:9" x14ac:dyDescent="0.25">
      <c r="I23955" s="227" t="str">
        <f>MID(excPisCofins[[#This Row],[CodBarras2]],2,50)</f>
        <v/>
      </c>
    </row>
    <row r="23956" spans="9:9" x14ac:dyDescent="0.25">
      <c r="I23956" s="227" t="str">
        <f>MID(excPisCofins[[#This Row],[CodBarras2]],2,50)</f>
        <v/>
      </c>
    </row>
    <row r="23957" spans="9:9" x14ac:dyDescent="0.25">
      <c r="I23957" s="227" t="str">
        <f>MID(excPisCofins[[#This Row],[CodBarras2]],2,50)</f>
        <v/>
      </c>
    </row>
    <row r="23958" spans="9:9" x14ac:dyDescent="0.25">
      <c r="I23958" s="227" t="str">
        <f>MID(excPisCofins[[#This Row],[CodBarras2]],2,50)</f>
        <v/>
      </c>
    </row>
    <row r="23959" spans="9:9" x14ac:dyDescent="0.25">
      <c r="I23959" s="227" t="str">
        <f>MID(excPisCofins[[#This Row],[CodBarras2]],2,50)</f>
        <v/>
      </c>
    </row>
    <row r="23960" spans="9:9" x14ac:dyDescent="0.25">
      <c r="I23960" s="227" t="str">
        <f>MID(excPisCofins[[#This Row],[CodBarras2]],2,50)</f>
        <v/>
      </c>
    </row>
    <row r="23961" spans="9:9" x14ac:dyDescent="0.25">
      <c r="I23961" s="227" t="str">
        <f>MID(excPisCofins[[#This Row],[CodBarras2]],2,50)</f>
        <v/>
      </c>
    </row>
    <row r="23962" spans="9:9" x14ac:dyDescent="0.25">
      <c r="I23962" s="227" t="str">
        <f>MID(excPisCofins[[#This Row],[CodBarras2]],2,50)</f>
        <v/>
      </c>
    </row>
    <row r="23963" spans="9:9" x14ac:dyDescent="0.25">
      <c r="I23963" s="227" t="str">
        <f>MID(excPisCofins[[#This Row],[CodBarras2]],2,50)</f>
        <v/>
      </c>
    </row>
    <row r="23964" spans="9:9" x14ac:dyDescent="0.25">
      <c r="I23964" s="227" t="str">
        <f>MID(excPisCofins[[#This Row],[CodBarras2]],2,50)</f>
        <v/>
      </c>
    </row>
    <row r="23965" spans="9:9" x14ac:dyDescent="0.25">
      <c r="I23965" s="227" t="str">
        <f>MID(excPisCofins[[#This Row],[CodBarras2]],2,50)</f>
        <v/>
      </c>
    </row>
    <row r="23966" spans="9:9" x14ac:dyDescent="0.25">
      <c r="I23966" s="227" t="str">
        <f>MID(excPisCofins[[#This Row],[CodBarras2]],2,50)</f>
        <v/>
      </c>
    </row>
    <row r="23967" spans="9:9" x14ac:dyDescent="0.25">
      <c r="I23967" s="227" t="str">
        <f>MID(excPisCofins[[#This Row],[CodBarras2]],2,50)</f>
        <v/>
      </c>
    </row>
    <row r="23968" spans="9:9" x14ac:dyDescent="0.25">
      <c r="I23968" s="227" t="str">
        <f>MID(excPisCofins[[#This Row],[CodBarras2]],2,50)</f>
        <v/>
      </c>
    </row>
    <row r="23969" spans="9:9" x14ac:dyDescent="0.25">
      <c r="I23969" s="227" t="str">
        <f>MID(excPisCofins[[#This Row],[CodBarras2]],2,50)</f>
        <v/>
      </c>
    </row>
    <row r="23970" spans="9:9" x14ac:dyDescent="0.25">
      <c r="I23970" s="227" t="str">
        <f>MID(excPisCofins[[#This Row],[CodBarras2]],2,50)</f>
        <v/>
      </c>
    </row>
    <row r="23971" spans="9:9" x14ac:dyDescent="0.25">
      <c r="I23971" s="227" t="str">
        <f>MID(excPisCofins[[#This Row],[CodBarras2]],2,50)</f>
        <v/>
      </c>
    </row>
    <row r="23972" spans="9:9" x14ac:dyDescent="0.25">
      <c r="I23972" s="227" t="str">
        <f>MID(excPisCofins[[#This Row],[CodBarras2]],2,50)</f>
        <v/>
      </c>
    </row>
    <row r="23973" spans="9:9" x14ac:dyDescent="0.25">
      <c r="I23973" s="227" t="str">
        <f>MID(excPisCofins[[#This Row],[CodBarras2]],2,50)</f>
        <v/>
      </c>
    </row>
    <row r="23974" spans="9:9" x14ac:dyDescent="0.25">
      <c r="I23974" s="227" t="str">
        <f>MID(excPisCofins[[#This Row],[CodBarras2]],2,50)</f>
        <v/>
      </c>
    </row>
    <row r="23975" spans="9:9" x14ac:dyDescent="0.25">
      <c r="I23975" s="227" t="str">
        <f>MID(excPisCofins[[#This Row],[CodBarras2]],2,50)</f>
        <v/>
      </c>
    </row>
    <row r="23976" spans="9:9" x14ac:dyDescent="0.25">
      <c r="I23976" s="227" t="str">
        <f>MID(excPisCofins[[#This Row],[CodBarras2]],2,50)</f>
        <v/>
      </c>
    </row>
    <row r="23977" spans="9:9" x14ac:dyDescent="0.25">
      <c r="I23977" s="227" t="str">
        <f>MID(excPisCofins[[#This Row],[CodBarras2]],2,50)</f>
        <v/>
      </c>
    </row>
    <row r="23978" spans="9:9" x14ac:dyDescent="0.25">
      <c r="I23978" s="227" t="str">
        <f>MID(excPisCofins[[#This Row],[CodBarras2]],2,50)</f>
        <v/>
      </c>
    </row>
    <row r="23979" spans="9:9" x14ac:dyDescent="0.25">
      <c r="I23979" s="227" t="str">
        <f>MID(excPisCofins[[#This Row],[CodBarras2]],2,50)</f>
        <v/>
      </c>
    </row>
    <row r="23980" spans="9:9" x14ac:dyDescent="0.25">
      <c r="I23980" s="227" t="str">
        <f>MID(excPisCofins[[#This Row],[CodBarras2]],2,50)</f>
        <v/>
      </c>
    </row>
    <row r="23981" spans="9:9" x14ac:dyDescent="0.25">
      <c r="I23981" s="227" t="str">
        <f>MID(excPisCofins[[#This Row],[CodBarras2]],2,50)</f>
        <v/>
      </c>
    </row>
    <row r="23982" spans="9:9" x14ac:dyDescent="0.25">
      <c r="I23982" s="227" t="str">
        <f>MID(excPisCofins[[#This Row],[CodBarras2]],2,50)</f>
        <v/>
      </c>
    </row>
    <row r="23983" spans="9:9" x14ac:dyDescent="0.25">
      <c r="I23983" s="227" t="str">
        <f>MID(excPisCofins[[#This Row],[CodBarras2]],2,50)</f>
        <v/>
      </c>
    </row>
    <row r="23984" spans="9:9" x14ac:dyDescent="0.25">
      <c r="I23984" s="227" t="str">
        <f>MID(excPisCofins[[#This Row],[CodBarras2]],2,50)</f>
        <v/>
      </c>
    </row>
    <row r="23985" spans="9:9" x14ac:dyDescent="0.25">
      <c r="I23985" s="227" t="str">
        <f>MID(excPisCofins[[#This Row],[CodBarras2]],2,50)</f>
        <v/>
      </c>
    </row>
    <row r="23986" spans="9:9" x14ac:dyDescent="0.25">
      <c r="I23986" s="227" t="str">
        <f>MID(excPisCofins[[#This Row],[CodBarras2]],2,50)</f>
        <v/>
      </c>
    </row>
    <row r="23987" spans="9:9" x14ac:dyDescent="0.25">
      <c r="I23987" s="227" t="str">
        <f>MID(excPisCofins[[#This Row],[CodBarras2]],2,50)</f>
        <v/>
      </c>
    </row>
    <row r="23988" spans="9:9" x14ac:dyDescent="0.25">
      <c r="I23988" s="227" t="str">
        <f>MID(excPisCofins[[#This Row],[CodBarras2]],2,50)</f>
        <v/>
      </c>
    </row>
    <row r="23989" spans="9:9" x14ac:dyDescent="0.25">
      <c r="I23989" s="227" t="str">
        <f>MID(excPisCofins[[#This Row],[CodBarras2]],2,50)</f>
        <v/>
      </c>
    </row>
    <row r="23990" spans="9:9" x14ac:dyDescent="0.25">
      <c r="I23990" s="227" t="str">
        <f>MID(excPisCofins[[#This Row],[CodBarras2]],2,50)</f>
        <v/>
      </c>
    </row>
    <row r="23991" spans="9:9" x14ac:dyDescent="0.25">
      <c r="I23991" s="227" t="str">
        <f>MID(excPisCofins[[#This Row],[CodBarras2]],2,50)</f>
        <v/>
      </c>
    </row>
    <row r="23992" spans="9:9" x14ac:dyDescent="0.25">
      <c r="I23992" s="227" t="str">
        <f>MID(excPisCofins[[#This Row],[CodBarras2]],2,50)</f>
        <v/>
      </c>
    </row>
    <row r="23993" spans="9:9" x14ac:dyDescent="0.25">
      <c r="I23993" s="227" t="str">
        <f>MID(excPisCofins[[#This Row],[CodBarras2]],2,50)</f>
        <v/>
      </c>
    </row>
    <row r="23994" spans="9:9" x14ac:dyDescent="0.25">
      <c r="I23994" s="227" t="str">
        <f>MID(excPisCofins[[#This Row],[CodBarras2]],2,50)</f>
        <v/>
      </c>
    </row>
    <row r="23995" spans="9:9" x14ac:dyDescent="0.25">
      <c r="I23995" s="227" t="str">
        <f>MID(excPisCofins[[#This Row],[CodBarras2]],2,50)</f>
        <v/>
      </c>
    </row>
    <row r="23996" spans="9:9" x14ac:dyDescent="0.25">
      <c r="I23996" s="227" t="str">
        <f>MID(excPisCofins[[#This Row],[CodBarras2]],2,50)</f>
        <v/>
      </c>
    </row>
    <row r="23997" spans="9:9" x14ac:dyDescent="0.25">
      <c r="I23997" s="227" t="str">
        <f>MID(excPisCofins[[#This Row],[CodBarras2]],2,50)</f>
        <v/>
      </c>
    </row>
    <row r="23998" spans="9:9" x14ac:dyDescent="0.25">
      <c r="I23998" s="227" t="str">
        <f>MID(excPisCofins[[#This Row],[CodBarras2]],2,50)</f>
        <v/>
      </c>
    </row>
    <row r="23999" spans="9:9" x14ac:dyDescent="0.25">
      <c r="I23999" s="227" t="str">
        <f>MID(excPisCofins[[#This Row],[CodBarras2]],2,50)</f>
        <v/>
      </c>
    </row>
    <row r="24000" spans="9:9" x14ac:dyDescent="0.25">
      <c r="I24000" s="227" t="str">
        <f>MID(excPisCofins[[#This Row],[CodBarras2]],2,50)</f>
        <v/>
      </c>
    </row>
    <row r="24001" spans="9:9" x14ac:dyDescent="0.25">
      <c r="I24001" s="227" t="str">
        <f>MID(excPisCofins[[#This Row],[CodBarras2]],2,50)</f>
        <v/>
      </c>
    </row>
    <row r="24002" spans="9:9" x14ac:dyDescent="0.25">
      <c r="I24002" s="227" t="str">
        <f>MID(excPisCofins[[#This Row],[CodBarras2]],2,50)</f>
        <v/>
      </c>
    </row>
    <row r="24003" spans="9:9" x14ac:dyDescent="0.25">
      <c r="I24003" s="227" t="str">
        <f>MID(excPisCofins[[#This Row],[CodBarras2]],2,50)</f>
        <v/>
      </c>
    </row>
    <row r="24004" spans="9:9" x14ac:dyDescent="0.25">
      <c r="I24004" s="227" t="str">
        <f>MID(excPisCofins[[#This Row],[CodBarras2]],2,50)</f>
        <v/>
      </c>
    </row>
    <row r="24005" spans="9:9" x14ac:dyDescent="0.25">
      <c r="I24005" s="227" t="str">
        <f>MID(excPisCofins[[#This Row],[CodBarras2]],2,50)</f>
        <v/>
      </c>
    </row>
    <row r="24006" spans="9:9" x14ac:dyDescent="0.25">
      <c r="I24006" s="227" t="str">
        <f>MID(excPisCofins[[#This Row],[CodBarras2]],2,50)</f>
        <v/>
      </c>
    </row>
    <row r="24007" spans="9:9" x14ac:dyDescent="0.25">
      <c r="I24007" s="227" t="str">
        <f>MID(excPisCofins[[#This Row],[CodBarras2]],2,50)</f>
        <v/>
      </c>
    </row>
    <row r="24008" spans="9:9" x14ac:dyDescent="0.25">
      <c r="I24008" s="227" t="str">
        <f>MID(excPisCofins[[#This Row],[CodBarras2]],2,50)</f>
        <v/>
      </c>
    </row>
    <row r="24009" spans="9:9" x14ac:dyDescent="0.25">
      <c r="I24009" s="227" t="str">
        <f>MID(excPisCofins[[#This Row],[CodBarras2]],2,50)</f>
        <v/>
      </c>
    </row>
    <row r="24010" spans="9:9" x14ac:dyDescent="0.25">
      <c r="I24010" s="227" t="str">
        <f>MID(excPisCofins[[#This Row],[CodBarras2]],2,50)</f>
        <v/>
      </c>
    </row>
    <row r="24011" spans="9:9" x14ac:dyDescent="0.25">
      <c r="I24011" s="227" t="str">
        <f>MID(excPisCofins[[#This Row],[CodBarras2]],2,50)</f>
        <v/>
      </c>
    </row>
    <row r="24012" spans="9:9" x14ac:dyDescent="0.25">
      <c r="I24012" s="227" t="str">
        <f>MID(excPisCofins[[#This Row],[CodBarras2]],2,50)</f>
        <v/>
      </c>
    </row>
    <row r="24013" spans="9:9" x14ac:dyDescent="0.25">
      <c r="I24013" s="227" t="str">
        <f>MID(excPisCofins[[#This Row],[CodBarras2]],2,50)</f>
        <v/>
      </c>
    </row>
    <row r="24014" spans="9:9" x14ac:dyDescent="0.25">
      <c r="I24014" s="227" t="str">
        <f>MID(excPisCofins[[#This Row],[CodBarras2]],2,50)</f>
        <v/>
      </c>
    </row>
    <row r="24015" spans="9:9" x14ac:dyDescent="0.25">
      <c r="I24015" s="227" t="str">
        <f>MID(excPisCofins[[#This Row],[CodBarras2]],2,50)</f>
        <v/>
      </c>
    </row>
    <row r="24016" spans="9:9" x14ac:dyDescent="0.25">
      <c r="I24016" s="227" t="str">
        <f>MID(excPisCofins[[#This Row],[CodBarras2]],2,50)</f>
        <v/>
      </c>
    </row>
    <row r="24017" spans="9:9" x14ac:dyDescent="0.25">
      <c r="I24017" s="227" t="str">
        <f>MID(excPisCofins[[#This Row],[CodBarras2]],2,50)</f>
        <v/>
      </c>
    </row>
    <row r="24018" spans="9:9" x14ac:dyDescent="0.25">
      <c r="I24018" s="227" t="str">
        <f>MID(excPisCofins[[#This Row],[CodBarras2]],2,50)</f>
        <v/>
      </c>
    </row>
    <row r="24019" spans="9:9" x14ac:dyDescent="0.25">
      <c r="I24019" s="227" t="str">
        <f>MID(excPisCofins[[#This Row],[CodBarras2]],2,50)</f>
        <v/>
      </c>
    </row>
    <row r="24020" spans="9:9" x14ac:dyDescent="0.25">
      <c r="I24020" s="227" t="str">
        <f>MID(excPisCofins[[#This Row],[CodBarras2]],2,50)</f>
        <v/>
      </c>
    </row>
    <row r="24021" spans="9:9" x14ac:dyDescent="0.25">
      <c r="I24021" s="227" t="str">
        <f>MID(excPisCofins[[#This Row],[CodBarras2]],2,50)</f>
        <v/>
      </c>
    </row>
    <row r="24022" spans="9:9" x14ac:dyDescent="0.25">
      <c r="I24022" s="227" t="str">
        <f>MID(excPisCofins[[#This Row],[CodBarras2]],2,50)</f>
        <v/>
      </c>
    </row>
    <row r="24023" spans="9:9" x14ac:dyDescent="0.25">
      <c r="I24023" s="227" t="str">
        <f>MID(excPisCofins[[#This Row],[CodBarras2]],2,50)</f>
        <v/>
      </c>
    </row>
    <row r="24024" spans="9:9" x14ac:dyDescent="0.25">
      <c r="I24024" s="227" t="str">
        <f>MID(excPisCofins[[#This Row],[CodBarras2]],2,50)</f>
        <v/>
      </c>
    </row>
    <row r="24025" spans="9:9" x14ac:dyDescent="0.25">
      <c r="I24025" s="227" t="str">
        <f>MID(excPisCofins[[#This Row],[CodBarras2]],2,50)</f>
        <v/>
      </c>
    </row>
    <row r="24026" spans="9:9" x14ac:dyDescent="0.25">
      <c r="I24026" s="227" t="str">
        <f>MID(excPisCofins[[#This Row],[CodBarras2]],2,50)</f>
        <v/>
      </c>
    </row>
    <row r="24027" spans="9:9" x14ac:dyDescent="0.25">
      <c r="I24027" s="227" t="str">
        <f>MID(excPisCofins[[#This Row],[CodBarras2]],2,50)</f>
        <v/>
      </c>
    </row>
    <row r="24028" spans="9:9" x14ac:dyDescent="0.25">
      <c r="I24028" s="227" t="str">
        <f>MID(excPisCofins[[#This Row],[CodBarras2]],2,50)</f>
        <v/>
      </c>
    </row>
    <row r="24029" spans="9:9" x14ac:dyDescent="0.25">
      <c r="I24029" s="227" t="str">
        <f>MID(excPisCofins[[#This Row],[CodBarras2]],2,50)</f>
        <v/>
      </c>
    </row>
    <row r="24030" spans="9:9" x14ac:dyDescent="0.25">
      <c r="I24030" s="227" t="str">
        <f>MID(excPisCofins[[#This Row],[CodBarras2]],2,50)</f>
        <v/>
      </c>
    </row>
    <row r="24031" spans="9:9" x14ac:dyDescent="0.25">
      <c r="I24031" s="227" t="str">
        <f>MID(excPisCofins[[#This Row],[CodBarras2]],2,50)</f>
        <v/>
      </c>
    </row>
    <row r="24032" spans="9:9" x14ac:dyDescent="0.25">
      <c r="I24032" s="227" t="str">
        <f>MID(excPisCofins[[#This Row],[CodBarras2]],2,50)</f>
        <v/>
      </c>
    </row>
    <row r="24033" spans="9:9" x14ac:dyDescent="0.25">
      <c r="I24033" s="227" t="str">
        <f>MID(excPisCofins[[#This Row],[CodBarras2]],2,50)</f>
        <v/>
      </c>
    </row>
    <row r="24034" spans="9:9" x14ac:dyDescent="0.25">
      <c r="I24034" s="227" t="str">
        <f>MID(excPisCofins[[#This Row],[CodBarras2]],2,50)</f>
        <v/>
      </c>
    </row>
    <row r="24035" spans="9:9" x14ac:dyDescent="0.25">
      <c r="I24035" s="227" t="str">
        <f>MID(excPisCofins[[#This Row],[CodBarras2]],2,50)</f>
        <v/>
      </c>
    </row>
    <row r="24036" spans="9:9" x14ac:dyDescent="0.25">
      <c r="I24036" s="227" t="str">
        <f>MID(excPisCofins[[#This Row],[CodBarras2]],2,50)</f>
        <v/>
      </c>
    </row>
    <row r="24037" spans="9:9" x14ac:dyDescent="0.25">
      <c r="I24037" s="227" t="str">
        <f>MID(excPisCofins[[#This Row],[CodBarras2]],2,50)</f>
        <v/>
      </c>
    </row>
    <row r="24038" spans="9:9" x14ac:dyDescent="0.25">
      <c r="I24038" s="227" t="str">
        <f>MID(excPisCofins[[#This Row],[CodBarras2]],2,50)</f>
        <v/>
      </c>
    </row>
    <row r="24039" spans="9:9" x14ac:dyDescent="0.25">
      <c r="I24039" s="227" t="str">
        <f>MID(excPisCofins[[#This Row],[CodBarras2]],2,50)</f>
        <v/>
      </c>
    </row>
    <row r="24040" spans="9:9" x14ac:dyDescent="0.25">
      <c r="I24040" s="227" t="str">
        <f>MID(excPisCofins[[#This Row],[CodBarras2]],2,50)</f>
        <v/>
      </c>
    </row>
    <row r="24041" spans="9:9" x14ac:dyDescent="0.25">
      <c r="I24041" s="227" t="str">
        <f>MID(excPisCofins[[#This Row],[CodBarras2]],2,50)</f>
        <v/>
      </c>
    </row>
    <row r="24042" spans="9:9" x14ac:dyDescent="0.25">
      <c r="I24042" s="227" t="str">
        <f>MID(excPisCofins[[#This Row],[CodBarras2]],2,50)</f>
        <v/>
      </c>
    </row>
    <row r="24043" spans="9:9" x14ac:dyDescent="0.25">
      <c r="I24043" s="227" t="str">
        <f>MID(excPisCofins[[#This Row],[CodBarras2]],2,50)</f>
        <v/>
      </c>
    </row>
    <row r="24044" spans="9:9" x14ac:dyDescent="0.25">
      <c r="I24044" s="227" t="str">
        <f>MID(excPisCofins[[#This Row],[CodBarras2]],2,50)</f>
        <v/>
      </c>
    </row>
    <row r="24045" spans="9:9" x14ac:dyDescent="0.25">
      <c r="I24045" s="227" t="str">
        <f>MID(excPisCofins[[#This Row],[CodBarras2]],2,50)</f>
        <v/>
      </c>
    </row>
    <row r="24046" spans="9:9" x14ac:dyDescent="0.25">
      <c r="I24046" s="227" t="str">
        <f>MID(excPisCofins[[#This Row],[CodBarras2]],2,50)</f>
        <v/>
      </c>
    </row>
    <row r="24047" spans="9:9" x14ac:dyDescent="0.25">
      <c r="I24047" s="227" t="str">
        <f>MID(excPisCofins[[#This Row],[CodBarras2]],2,50)</f>
        <v/>
      </c>
    </row>
    <row r="24048" spans="9:9" x14ac:dyDescent="0.25">
      <c r="I24048" s="227" t="str">
        <f>MID(excPisCofins[[#This Row],[CodBarras2]],2,50)</f>
        <v/>
      </c>
    </row>
    <row r="24049" spans="9:9" x14ac:dyDescent="0.25">
      <c r="I24049" s="227" t="str">
        <f>MID(excPisCofins[[#This Row],[CodBarras2]],2,50)</f>
        <v/>
      </c>
    </row>
    <row r="24050" spans="9:9" x14ac:dyDescent="0.25">
      <c r="I24050" s="227" t="str">
        <f>MID(excPisCofins[[#This Row],[CodBarras2]],2,50)</f>
        <v/>
      </c>
    </row>
    <row r="24051" spans="9:9" x14ac:dyDescent="0.25">
      <c r="I24051" s="227" t="str">
        <f>MID(excPisCofins[[#This Row],[CodBarras2]],2,50)</f>
        <v/>
      </c>
    </row>
    <row r="24052" spans="9:9" x14ac:dyDescent="0.25">
      <c r="I24052" s="227" t="str">
        <f>MID(excPisCofins[[#This Row],[CodBarras2]],2,50)</f>
        <v/>
      </c>
    </row>
    <row r="24053" spans="9:9" x14ac:dyDescent="0.25">
      <c r="I24053" s="227" t="str">
        <f>MID(excPisCofins[[#This Row],[CodBarras2]],2,50)</f>
        <v/>
      </c>
    </row>
    <row r="24054" spans="9:9" x14ac:dyDescent="0.25">
      <c r="I24054" s="227" t="str">
        <f>MID(excPisCofins[[#This Row],[CodBarras2]],2,50)</f>
        <v/>
      </c>
    </row>
    <row r="24055" spans="9:9" x14ac:dyDescent="0.25">
      <c r="I24055" s="227" t="str">
        <f>MID(excPisCofins[[#This Row],[CodBarras2]],2,50)</f>
        <v/>
      </c>
    </row>
    <row r="24056" spans="9:9" x14ac:dyDescent="0.25">
      <c r="I24056" s="227" t="str">
        <f>MID(excPisCofins[[#This Row],[CodBarras2]],2,50)</f>
        <v/>
      </c>
    </row>
    <row r="24057" spans="9:9" x14ac:dyDescent="0.25">
      <c r="I24057" s="227" t="str">
        <f>MID(excPisCofins[[#This Row],[CodBarras2]],2,50)</f>
        <v/>
      </c>
    </row>
    <row r="24058" spans="9:9" x14ac:dyDescent="0.25">
      <c r="I24058" s="227" t="str">
        <f>MID(excPisCofins[[#This Row],[CodBarras2]],2,50)</f>
        <v/>
      </c>
    </row>
    <row r="24059" spans="9:9" x14ac:dyDescent="0.25">
      <c r="I24059" s="227" t="str">
        <f>MID(excPisCofins[[#This Row],[CodBarras2]],2,50)</f>
        <v/>
      </c>
    </row>
    <row r="24060" spans="9:9" x14ac:dyDescent="0.25">
      <c r="I24060" s="227" t="str">
        <f>MID(excPisCofins[[#This Row],[CodBarras2]],2,50)</f>
        <v/>
      </c>
    </row>
    <row r="24061" spans="9:9" x14ac:dyDescent="0.25">
      <c r="I24061" s="227" t="str">
        <f>MID(excPisCofins[[#This Row],[CodBarras2]],2,50)</f>
        <v/>
      </c>
    </row>
    <row r="24062" spans="9:9" x14ac:dyDescent="0.25">
      <c r="I24062" s="227" t="str">
        <f>MID(excPisCofins[[#This Row],[CodBarras2]],2,50)</f>
        <v/>
      </c>
    </row>
    <row r="24063" spans="9:9" x14ac:dyDescent="0.25">
      <c r="I24063" s="227" t="str">
        <f>MID(excPisCofins[[#This Row],[CodBarras2]],2,50)</f>
        <v/>
      </c>
    </row>
    <row r="24064" spans="9:9" x14ac:dyDescent="0.25">
      <c r="I24064" s="227" t="str">
        <f>MID(excPisCofins[[#This Row],[CodBarras2]],2,50)</f>
        <v/>
      </c>
    </row>
    <row r="24065" spans="9:9" x14ac:dyDescent="0.25">
      <c r="I24065" s="227" t="str">
        <f>MID(excPisCofins[[#This Row],[CodBarras2]],2,50)</f>
        <v/>
      </c>
    </row>
    <row r="24066" spans="9:9" x14ac:dyDescent="0.25">
      <c r="I24066" s="227" t="str">
        <f>MID(excPisCofins[[#This Row],[CodBarras2]],2,50)</f>
        <v/>
      </c>
    </row>
    <row r="24067" spans="9:9" x14ac:dyDescent="0.25">
      <c r="I24067" s="227" t="str">
        <f>MID(excPisCofins[[#This Row],[CodBarras2]],2,50)</f>
        <v/>
      </c>
    </row>
    <row r="24068" spans="9:9" x14ac:dyDescent="0.25">
      <c r="I24068" s="227" t="str">
        <f>MID(excPisCofins[[#This Row],[CodBarras2]],2,50)</f>
        <v/>
      </c>
    </row>
    <row r="24069" spans="9:9" x14ac:dyDescent="0.25">
      <c r="I24069" s="227" t="str">
        <f>MID(excPisCofins[[#This Row],[CodBarras2]],2,50)</f>
        <v/>
      </c>
    </row>
    <row r="24070" spans="9:9" x14ac:dyDescent="0.25">
      <c r="I24070" s="227" t="str">
        <f>MID(excPisCofins[[#This Row],[CodBarras2]],2,50)</f>
        <v/>
      </c>
    </row>
    <row r="24071" spans="9:9" x14ac:dyDescent="0.25">
      <c r="I24071" s="227" t="str">
        <f>MID(excPisCofins[[#This Row],[CodBarras2]],2,50)</f>
        <v/>
      </c>
    </row>
    <row r="24072" spans="9:9" x14ac:dyDescent="0.25">
      <c r="I24072" s="227" t="str">
        <f>MID(excPisCofins[[#This Row],[CodBarras2]],2,50)</f>
        <v/>
      </c>
    </row>
    <row r="24073" spans="9:9" x14ac:dyDescent="0.25">
      <c r="I24073" s="227" t="str">
        <f>MID(excPisCofins[[#This Row],[CodBarras2]],2,50)</f>
        <v/>
      </c>
    </row>
    <row r="24074" spans="9:9" x14ac:dyDescent="0.25">
      <c r="I24074" s="227" t="str">
        <f>MID(excPisCofins[[#This Row],[CodBarras2]],2,50)</f>
        <v/>
      </c>
    </row>
    <row r="24075" spans="9:9" x14ac:dyDescent="0.25">
      <c r="I24075" s="227" t="str">
        <f>MID(excPisCofins[[#This Row],[CodBarras2]],2,50)</f>
        <v/>
      </c>
    </row>
    <row r="24076" spans="9:9" x14ac:dyDescent="0.25">
      <c r="I24076" s="227" t="str">
        <f>MID(excPisCofins[[#This Row],[CodBarras2]],2,50)</f>
        <v/>
      </c>
    </row>
    <row r="24077" spans="9:9" x14ac:dyDescent="0.25">
      <c r="I24077" s="227" t="str">
        <f>MID(excPisCofins[[#This Row],[CodBarras2]],2,50)</f>
        <v/>
      </c>
    </row>
    <row r="24078" spans="9:9" x14ac:dyDescent="0.25">
      <c r="I24078" s="227" t="str">
        <f>MID(excPisCofins[[#This Row],[CodBarras2]],2,50)</f>
        <v/>
      </c>
    </row>
    <row r="24079" spans="9:9" x14ac:dyDescent="0.25">
      <c r="I24079" s="227" t="str">
        <f>MID(excPisCofins[[#This Row],[CodBarras2]],2,50)</f>
        <v/>
      </c>
    </row>
    <row r="24080" spans="9:9" x14ac:dyDescent="0.25">
      <c r="I24080" s="227" t="str">
        <f>MID(excPisCofins[[#This Row],[CodBarras2]],2,50)</f>
        <v/>
      </c>
    </row>
    <row r="24081" spans="9:9" x14ac:dyDescent="0.25">
      <c r="I24081" s="227" t="str">
        <f>MID(excPisCofins[[#This Row],[CodBarras2]],2,50)</f>
        <v/>
      </c>
    </row>
    <row r="24082" spans="9:9" x14ac:dyDescent="0.25">
      <c r="I24082" s="227" t="str">
        <f>MID(excPisCofins[[#This Row],[CodBarras2]],2,50)</f>
        <v/>
      </c>
    </row>
    <row r="24083" spans="9:9" x14ac:dyDescent="0.25">
      <c r="I24083" s="227" t="str">
        <f>MID(excPisCofins[[#This Row],[CodBarras2]],2,50)</f>
        <v/>
      </c>
    </row>
    <row r="24084" spans="9:9" x14ac:dyDescent="0.25">
      <c r="I24084" s="227" t="str">
        <f>MID(excPisCofins[[#This Row],[CodBarras2]],2,50)</f>
        <v/>
      </c>
    </row>
    <row r="24085" spans="9:9" x14ac:dyDescent="0.25">
      <c r="I24085" s="227" t="str">
        <f>MID(excPisCofins[[#This Row],[CodBarras2]],2,50)</f>
        <v/>
      </c>
    </row>
    <row r="24086" spans="9:9" x14ac:dyDescent="0.25">
      <c r="I24086" s="227" t="str">
        <f>MID(excPisCofins[[#This Row],[CodBarras2]],2,50)</f>
        <v/>
      </c>
    </row>
    <row r="24087" spans="9:9" x14ac:dyDescent="0.25">
      <c r="I24087" s="227" t="str">
        <f>MID(excPisCofins[[#This Row],[CodBarras2]],2,50)</f>
        <v/>
      </c>
    </row>
    <row r="24088" spans="9:9" x14ac:dyDescent="0.25">
      <c r="I24088" s="227" t="str">
        <f>MID(excPisCofins[[#This Row],[CodBarras2]],2,50)</f>
        <v/>
      </c>
    </row>
    <row r="24089" spans="9:9" x14ac:dyDescent="0.25">
      <c r="I24089" s="227" t="str">
        <f>MID(excPisCofins[[#This Row],[CodBarras2]],2,50)</f>
        <v/>
      </c>
    </row>
    <row r="24090" spans="9:9" x14ac:dyDescent="0.25">
      <c r="I24090" s="227" t="str">
        <f>MID(excPisCofins[[#This Row],[CodBarras2]],2,50)</f>
        <v/>
      </c>
    </row>
    <row r="24091" spans="9:9" x14ac:dyDescent="0.25">
      <c r="I24091" s="227" t="str">
        <f>MID(excPisCofins[[#This Row],[CodBarras2]],2,50)</f>
        <v/>
      </c>
    </row>
    <row r="24092" spans="9:9" x14ac:dyDescent="0.25">
      <c r="I24092" s="227" t="str">
        <f>MID(excPisCofins[[#This Row],[CodBarras2]],2,50)</f>
        <v/>
      </c>
    </row>
    <row r="24093" spans="9:9" x14ac:dyDescent="0.25">
      <c r="I24093" s="227" t="str">
        <f>MID(excPisCofins[[#This Row],[CodBarras2]],2,50)</f>
        <v/>
      </c>
    </row>
    <row r="24094" spans="9:9" x14ac:dyDescent="0.25">
      <c r="I24094" s="227" t="str">
        <f>MID(excPisCofins[[#This Row],[CodBarras2]],2,50)</f>
        <v/>
      </c>
    </row>
    <row r="24095" spans="9:9" x14ac:dyDescent="0.25">
      <c r="I24095" s="227" t="str">
        <f>MID(excPisCofins[[#This Row],[CodBarras2]],2,50)</f>
        <v/>
      </c>
    </row>
    <row r="24096" spans="9:9" x14ac:dyDescent="0.25">
      <c r="I24096" s="227" t="str">
        <f>MID(excPisCofins[[#This Row],[CodBarras2]],2,50)</f>
        <v/>
      </c>
    </row>
    <row r="24097" spans="9:9" x14ac:dyDescent="0.25">
      <c r="I24097" s="227" t="str">
        <f>MID(excPisCofins[[#This Row],[CodBarras2]],2,50)</f>
        <v/>
      </c>
    </row>
    <row r="24098" spans="9:9" x14ac:dyDescent="0.25">
      <c r="I24098" s="227" t="str">
        <f>MID(excPisCofins[[#This Row],[CodBarras2]],2,50)</f>
        <v/>
      </c>
    </row>
    <row r="24099" spans="9:9" x14ac:dyDescent="0.25">
      <c r="I24099" s="227" t="str">
        <f>MID(excPisCofins[[#This Row],[CodBarras2]],2,50)</f>
        <v/>
      </c>
    </row>
    <row r="24100" spans="9:9" x14ac:dyDescent="0.25">
      <c r="I24100" s="227" t="str">
        <f>MID(excPisCofins[[#This Row],[CodBarras2]],2,50)</f>
        <v/>
      </c>
    </row>
    <row r="24101" spans="9:9" x14ac:dyDescent="0.25">
      <c r="I24101" s="227" t="str">
        <f>MID(excPisCofins[[#This Row],[CodBarras2]],2,50)</f>
        <v/>
      </c>
    </row>
    <row r="24102" spans="9:9" x14ac:dyDescent="0.25">
      <c r="I24102" s="227" t="str">
        <f>MID(excPisCofins[[#This Row],[CodBarras2]],2,50)</f>
        <v/>
      </c>
    </row>
    <row r="24103" spans="9:9" x14ac:dyDescent="0.25">
      <c r="I24103" s="227" t="str">
        <f>MID(excPisCofins[[#This Row],[CodBarras2]],2,50)</f>
        <v/>
      </c>
    </row>
    <row r="24104" spans="9:9" x14ac:dyDescent="0.25">
      <c r="I24104" s="227" t="str">
        <f>MID(excPisCofins[[#This Row],[CodBarras2]],2,50)</f>
        <v/>
      </c>
    </row>
    <row r="24105" spans="9:9" x14ac:dyDescent="0.25">
      <c r="I24105" s="227" t="str">
        <f>MID(excPisCofins[[#This Row],[CodBarras2]],2,50)</f>
        <v/>
      </c>
    </row>
    <row r="24106" spans="9:9" x14ac:dyDescent="0.25">
      <c r="I24106" s="227" t="str">
        <f>MID(excPisCofins[[#This Row],[CodBarras2]],2,50)</f>
        <v/>
      </c>
    </row>
    <row r="24107" spans="9:9" x14ac:dyDescent="0.25">
      <c r="I24107" s="227" t="str">
        <f>MID(excPisCofins[[#This Row],[CodBarras2]],2,50)</f>
        <v/>
      </c>
    </row>
    <row r="24108" spans="9:9" x14ac:dyDescent="0.25">
      <c r="I24108" s="227" t="str">
        <f>MID(excPisCofins[[#This Row],[CodBarras2]],2,50)</f>
        <v/>
      </c>
    </row>
    <row r="24109" spans="9:9" x14ac:dyDescent="0.25">
      <c r="I24109" s="227" t="str">
        <f>MID(excPisCofins[[#This Row],[CodBarras2]],2,50)</f>
        <v/>
      </c>
    </row>
    <row r="24110" spans="9:9" x14ac:dyDescent="0.25">
      <c r="I24110" s="227" t="str">
        <f>MID(excPisCofins[[#This Row],[CodBarras2]],2,50)</f>
        <v/>
      </c>
    </row>
    <row r="24111" spans="9:9" x14ac:dyDescent="0.25">
      <c r="I24111" s="227" t="str">
        <f>MID(excPisCofins[[#This Row],[CodBarras2]],2,50)</f>
        <v/>
      </c>
    </row>
    <row r="24112" spans="9:9" x14ac:dyDescent="0.25">
      <c r="I24112" s="227" t="str">
        <f>MID(excPisCofins[[#This Row],[CodBarras2]],2,50)</f>
        <v/>
      </c>
    </row>
    <row r="24113" spans="9:9" x14ac:dyDescent="0.25">
      <c r="I24113" s="227" t="str">
        <f>MID(excPisCofins[[#This Row],[CodBarras2]],2,50)</f>
        <v/>
      </c>
    </row>
    <row r="24114" spans="9:9" x14ac:dyDescent="0.25">
      <c r="I24114" s="227" t="str">
        <f>MID(excPisCofins[[#This Row],[CodBarras2]],2,50)</f>
        <v/>
      </c>
    </row>
    <row r="24115" spans="9:9" x14ac:dyDescent="0.25">
      <c r="I24115" s="227" t="str">
        <f>MID(excPisCofins[[#This Row],[CodBarras2]],2,50)</f>
        <v/>
      </c>
    </row>
    <row r="24116" spans="9:9" x14ac:dyDescent="0.25">
      <c r="I24116" s="227" t="str">
        <f>MID(excPisCofins[[#This Row],[CodBarras2]],2,50)</f>
        <v/>
      </c>
    </row>
    <row r="24117" spans="9:9" x14ac:dyDescent="0.25">
      <c r="I24117" s="227" t="str">
        <f>MID(excPisCofins[[#This Row],[CodBarras2]],2,50)</f>
        <v/>
      </c>
    </row>
    <row r="24118" spans="9:9" x14ac:dyDescent="0.25">
      <c r="I24118" s="227" t="str">
        <f>MID(excPisCofins[[#This Row],[CodBarras2]],2,50)</f>
        <v/>
      </c>
    </row>
    <row r="24119" spans="9:9" x14ac:dyDescent="0.25">
      <c r="I24119" s="227" t="str">
        <f>MID(excPisCofins[[#This Row],[CodBarras2]],2,50)</f>
        <v/>
      </c>
    </row>
    <row r="24120" spans="9:9" x14ac:dyDescent="0.25">
      <c r="I24120" s="227" t="str">
        <f>MID(excPisCofins[[#This Row],[CodBarras2]],2,50)</f>
        <v/>
      </c>
    </row>
    <row r="24121" spans="9:9" x14ac:dyDescent="0.25">
      <c r="I24121" s="227" t="str">
        <f>MID(excPisCofins[[#This Row],[CodBarras2]],2,50)</f>
        <v/>
      </c>
    </row>
    <row r="24122" spans="9:9" x14ac:dyDescent="0.25">
      <c r="I24122" s="227" t="str">
        <f>MID(excPisCofins[[#This Row],[CodBarras2]],2,50)</f>
        <v/>
      </c>
    </row>
    <row r="24123" spans="9:9" x14ac:dyDescent="0.25">
      <c r="I24123" s="227" t="str">
        <f>MID(excPisCofins[[#This Row],[CodBarras2]],2,50)</f>
        <v/>
      </c>
    </row>
    <row r="24124" spans="9:9" x14ac:dyDescent="0.25">
      <c r="I24124" s="227" t="str">
        <f>MID(excPisCofins[[#This Row],[CodBarras2]],2,50)</f>
        <v/>
      </c>
    </row>
    <row r="24125" spans="9:9" x14ac:dyDescent="0.25">
      <c r="I24125" s="227" t="str">
        <f>MID(excPisCofins[[#This Row],[CodBarras2]],2,50)</f>
        <v/>
      </c>
    </row>
    <row r="24126" spans="9:9" x14ac:dyDescent="0.25">
      <c r="I24126" s="227" t="str">
        <f>MID(excPisCofins[[#This Row],[CodBarras2]],2,50)</f>
        <v/>
      </c>
    </row>
    <row r="24127" spans="9:9" x14ac:dyDescent="0.25">
      <c r="I24127" s="227" t="str">
        <f>MID(excPisCofins[[#This Row],[CodBarras2]],2,50)</f>
        <v/>
      </c>
    </row>
    <row r="24128" spans="9:9" x14ac:dyDescent="0.25">
      <c r="I24128" s="227" t="str">
        <f>MID(excPisCofins[[#This Row],[CodBarras2]],2,50)</f>
        <v/>
      </c>
    </row>
    <row r="24129" spans="9:9" x14ac:dyDescent="0.25">
      <c r="I24129" s="227" t="str">
        <f>MID(excPisCofins[[#This Row],[CodBarras2]],2,50)</f>
        <v/>
      </c>
    </row>
    <row r="24130" spans="9:9" x14ac:dyDescent="0.25">
      <c r="I24130" s="227" t="str">
        <f>MID(excPisCofins[[#This Row],[CodBarras2]],2,50)</f>
        <v/>
      </c>
    </row>
    <row r="24131" spans="9:9" x14ac:dyDescent="0.25">
      <c r="I24131" s="227" t="str">
        <f>MID(excPisCofins[[#This Row],[CodBarras2]],2,50)</f>
        <v/>
      </c>
    </row>
    <row r="24132" spans="9:9" x14ac:dyDescent="0.25">
      <c r="I24132" s="227" t="str">
        <f>MID(excPisCofins[[#This Row],[CodBarras2]],2,50)</f>
        <v/>
      </c>
    </row>
    <row r="24133" spans="9:9" x14ac:dyDescent="0.25">
      <c r="I24133" s="227" t="str">
        <f>MID(excPisCofins[[#This Row],[CodBarras2]],2,50)</f>
        <v/>
      </c>
    </row>
    <row r="24134" spans="9:9" x14ac:dyDescent="0.25">
      <c r="I24134" s="227" t="str">
        <f>MID(excPisCofins[[#This Row],[CodBarras2]],2,50)</f>
        <v/>
      </c>
    </row>
    <row r="24135" spans="9:9" x14ac:dyDescent="0.25">
      <c r="I24135" s="227" t="str">
        <f>MID(excPisCofins[[#This Row],[CodBarras2]],2,50)</f>
        <v/>
      </c>
    </row>
    <row r="24136" spans="9:9" x14ac:dyDescent="0.25">
      <c r="I24136" s="227" t="str">
        <f>MID(excPisCofins[[#This Row],[CodBarras2]],2,50)</f>
        <v/>
      </c>
    </row>
    <row r="24137" spans="9:9" x14ac:dyDescent="0.25">
      <c r="I24137" s="227" t="str">
        <f>MID(excPisCofins[[#This Row],[CodBarras2]],2,50)</f>
        <v/>
      </c>
    </row>
    <row r="24138" spans="9:9" x14ac:dyDescent="0.25">
      <c r="I24138" s="227" t="str">
        <f>MID(excPisCofins[[#This Row],[CodBarras2]],2,50)</f>
        <v/>
      </c>
    </row>
    <row r="24139" spans="9:9" x14ac:dyDescent="0.25">
      <c r="I24139" s="227" t="str">
        <f>MID(excPisCofins[[#This Row],[CodBarras2]],2,50)</f>
        <v/>
      </c>
    </row>
    <row r="24140" spans="9:9" x14ac:dyDescent="0.25">
      <c r="I24140" s="227" t="str">
        <f>MID(excPisCofins[[#This Row],[CodBarras2]],2,50)</f>
        <v/>
      </c>
    </row>
    <row r="24141" spans="9:9" x14ac:dyDescent="0.25">
      <c r="I24141" s="227" t="str">
        <f>MID(excPisCofins[[#This Row],[CodBarras2]],2,50)</f>
        <v/>
      </c>
    </row>
    <row r="24142" spans="9:9" x14ac:dyDescent="0.25">
      <c r="I24142" s="227" t="str">
        <f>MID(excPisCofins[[#This Row],[CodBarras2]],2,50)</f>
        <v/>
      </c>
    </row>
    <row r="24143" spans="9:9" x14ac:dyDescent="0.25">
      <c r="I24143" s="227" t="str">
        <f>MID(excPisCofins[[#This Row],[CodBarras2]],2,50)</f>
        <v/>
      </c>
    </row>
    <row r="24144" spans="9:9" x14ac:dyDescent="0.25">
      <c r="I24144" s="227" t="str">
        <f>MID(excPisCofins[[#This Row],[CodBarras2]],2,50)</f>
        <v/>
      </c>
    </row>
    <row r="24145" spans="9:9" x14ac:dyDescent="0.25">
      <c r="I24145" s="227" t="str">
        <f>MID(excPisCofins[[#This Row],[CodBarras2]],2,50)</f>
        <v/>
      </c>
    </row>
    <row r="24146" spans="9:9" x14ac:dyDescent="0.25">
      <c r="I24146" s="227" t="str">
        <f>MID(excPisCofins[[#This Row],[CodBarras2]],2,50)</f>
        <v/>
      </c>
    </row>
    <row r="24147" spans="9:9" x14ac:dyDescent="0.25">
      <c r="I24147" s="227" t="str">
        <f>MID(excPisCofins[[#This Row],[CodBarras2]],2,50)</f>
        <v/>
      </c>
    </row>
    <row r="24148" spans="9:9" x14ac:dyDescent="0.25">
      <c r="I24148" s="227" t="str">
        <f>MID(excPisCofins[[#This Row],[CodBarras2]],2,50)</f>
        <v/>
      </c>
    </row>
    <row r="24149" spans="9:9" x14ac:dyDescent="0.25">
      <c r="I24149" s="227" t="str">
        <f>MID(excPisCofins[[#This Row],[CodBarras2]],2,50)</f>
        <v/>
      </c>
    </row>
    <row r="24150" spans="9:9" x14ac:dyDescent="0.25">
      <c r="I24150" s="227" t="str">
        <f>MID(excPisCofins[[#This Row],[CodBarras2]],2,50)</f>
        <v/>
      </c>
    </row>
    <row r="24151" spans="9:9" x14ac:dyDescent="0.25">
      <c r="I24151" s="227" t="str">
        <f>MID(excPisCofins[[#This Row],[CodBarras2]],2,50)</f>
        <v/>
      </c>
    </row>
    <row r="24152" spans="9:9" x14ac:dyDescent="0.25">
      <c r="I24152" s="227" t="str">
        <f>MID(excPisCofins[[#This Row],[CodBarras2]],2,50)</f>
        <v/>
      </c>
    </row>
    <row r="24153" spans="9:9" x14ac:dyDescent="0.25">
      <c r="I24153" s="227" t="str">
        <f>MID(excPisCofins[[#This Row],[CodBarras2]],2,50)</f>
        <v/>
      </c>
    </row>
    <row r="24154" spans="9:9" x14ac:dyDescent="0.25">
      <c r="I24154" s="227" t="str">
        <f>MID(excPisCofins[[#This Row],[CodBarras2]],2,50)</f>
        <v/>
      </c>
    </row>
    <row r="24155" spans="9:9" x14ac:dyDescent="0.25">
      <c r="I24155" s="227" t="str">
        <f>MID(excPisCofins[[#This Row],[CodBarras2]],2,50)</f>
        <v/>
      </c>
    </row>
    <row r="24156" spans="9:9" x14ac:dyDescent="0.25">
      <c r="I24156" s="227" t="str">
        <f>MID(excPisCofins[[#This Row],[CodBarras2]],2,50)</f>
        <v/>
      </c>
    </row>
    <row r="24157" spans="9:9" x14ac:dyDescent="0.25">
      <c r="I24157" s="227" t="str">
        <f>MID(excPisCofins[[#This Row],[CodBarras2]],2,50)</f>
        <v/>
      </c>
    </row>
    <row r="24158" spans="9:9" x14ac:dyDescent="0.25">
      <c r="I24158" s="227" t="str">
        <f>MID(excPisCofins[[#This Row],[CodBarras2]],2,50)</f>
        <v/>
      </c>
    </row>
    <row r="24159" spans="9:9" x14ac:dyDescent="0.25">
      <c r="I24159" s="227" t="str">
        <f>MID(excPisCofins[[#This Row],[CodBarras2]],2,50)</f>
        <v/>
      </c>
    </row>
    <row r="24160" spans="9:9" x14ac:dyDescent="0.25">
      <c r="I24160" s="227" t="str">
        <f>MID(excPisCofins[[#This Row],[CodBarras2]],2,50)</f>
        <v/>
      </c>
    </row>
    <row r="24161" spans="9:9" x14ac:dyDescent="0.25">
      <c r="I24161" s="227" t="str">
        <f>MID(excPisCofins[[#This Row],[CodBarras2]],2,50)</f>
        <v/>
      </c>
    </row>
    <row r="24162" spans="9:9" x14ac:dyDescent="0.25">
      <c r="I24162" s="227" t="str">
        <f>MID(excPisCofins[[#This Row],[CodBarras2]],2,50)</f>
        <v/>
      </c>
    </row>
    <row r="24163" spans="9:9" x14ac:dyDescent="0.25">
      <c r="I24163" s="227" t="str">
        <f>MID(excPisCofins[[#This Row],[CodBarras2]],2,50)</f>
        <v/>
      </c>
    </row>
    <row r="24164" spans="9:9" x14ac:dyDescent="0.25">
      <c r="I24164" s="227" t="str">
        <f>MID(excPisCofins[[#This Row],[CodBarras2]],2,50)</f>
        <v/>
      </c>
    </row>
    <row r="24165" spans="9:9" x14ac:dyDescent="0.25">
      <c r="I24165" s="227" t="str">
        <f>MID(excPisCofins[[#This Row],[CodBarras2]],2,50)</f>
        <v/>
      </c>
    </row>
    <row r="24166" spans="9:9" x14ac:dyDescent="0.25">
      <c r="I24166" s="227" t="str">
        <f>MID(excPisCofins[[#This Row],[CodBarras2]],2,50)</f>
        <v/>
      </c>
    </row>
    <row r="24167" spans="9:9" x14ac:dyDescent="0.25">
      <c r="I24167" s="227" t="str">
        <f>MID(excPisCofins[[#This Row],[CodBarras2]],2,50)</f>
        <v/>
      </c>
    </row>
    <row r="24168" spans="9:9" x14ac:dyDescent="0.25">
      <c r="I24168" s="227" t="str">
        <f>MID(excPisCofins[[#This Row],[CodBarras2]],2,50)</f>
        <v/>
      </c>
    </row>
    <row r="24169" spans="9:9" x14ac:dyDescent="0.25">
      <c r="I24169" s="227" t="str">
        <f>MID(excPisCofins[[#This Row],[CodBarras2]],2,50)</f>
        <v/>
      </c>
    </row>
    <row r="24170" spans="9:9" x14ac:dyDescent="0.25">
      <c r="I24170" s="227" t="str">
        <f>MID(excPisCofins[[#This Row],[CodBarras2]],2,50)</f>
        <v/>
      </c>
    </row>
    <row r="24171" spans="9:9" x14ac:dyDescent="0.25">
      <c r="I24171" s="227" t="str">
        <f>MID(excPisCofins[[#This Row],[CodBarras2]],2,50)</f>
        <v/>
      </c>
    </row>
    <row r="24172" spans="9:9" x14ac:dyDescent="0.25">
      <c r="I24172" s="227" t="str">
        <f>MID(excPisCofins[[#This Row],[CodBarras2]],2,50)</f>
        <v/>
      </c>
    </row>
    <row r="24173" spans="9:9" x14ac:dyDescent="0.25">
      <c r="I24173" s="227" t="str">
        <f>MID(excPisCofins[[#This Row],[CodBarras2]],2,50)</f>
        <v/>
      </c>
    </row>
    <row r="24174" spans="9:9" x14ac:dyDescent="0.25">
      <c r="I24174" s="227" t="str">
        <f>MID(excPisCofins[[#This Row],[CodBarras2]],2,50)</f>
        <v/>
      </c>
    </row>
    <row r="24175" spans="9:9" x14ac:dyDescent="0.25">
      <c r="I24175" s="227" t="str">
        <f>MID(excPisCofins[[#This Row],[CodBarras2]],2,50)</f>
        <v/>
      </c>
    </row>
    <row r="24176" spans="9:9" x14ac:dyDescent="0.25">
      <c r="I24176" s="227" t="str">
        <f>MID(excPisCofins[[#This Row],[CodBarras2]],2,50)</f>
        <v/>
      </c>
    </row>
    <row r="24177" spans="9:9" x14ac:dyDescent="0.25">
      <c r="I24177" s="227" t="str">
        <f>MID(excPisCofins[[#This Row],[CodBarras2]],2,50)</f>
        <v/>
      </c>
    </row>
    <row r="24178" spans="9:9" x14ac:dyDescent="0.25">
      <c r="I24178" s="227" t="str">
        <f>MID(excPisCofins[[#This Row],[CodBarras2]],2,50)</f>
        <v/>
      </c>
    </row>
    <row r="24179" spans="9:9" x14ac:dyDescent="0.25">
      <c r="I24179" s="227" t="str">
        <f>MID(excPisCofins[[#This Row],[CodBarras2]],2,50)</f>
        <v/>
      </c>
    </row>
    <row r="24180" spans="9:9" x14ac:dyDescent="0.25">
      <c r="I24180" s="227" t="str">
        <f>MID(excPisCofins[[#This Row],[CodBarras2]],2,50)</f>
        <v/>
      </c>
    </row>
    <row r="24181" spans="9:9" x14ac:dyDescent="0.25">
      <c r="I24181" s="227" t="str">
        <f>MID(excPisCofins[[#This Row],[CodBarras2]],2,50)</f>
        <v/>
      </c>
    </row>
    <row r="24182" spans="9:9" x14ac:dyDescent="0.25">
      <c r="I24182" s="227" t="str">
        <f>MID(excPisCofins[[#This Row],[CodBarras2]],2,50)</f>
        <v/>
      </c>
    </row>
    <row r="24183" spans="9:9" x14ac:dyDescent="0.25">
      <c r="I24183" s="227" t="str">
        <f>MID(excPisCofins[[#This Row],[CodBarras2]],2,50)</f>
        <v/>
      </c>
    </row>
    <row r="24184" spans="9:9" x14ac:dyDescent="0.25">
      <c r="I24184" s="227" t="str">
        <f>MID(excPisCofins[[#This Row],[CodBarras2]],2,50)</f>
        <v/>
      </c>
    </row>
    <row r="24185" spans="9:9" x14ac:dyDescent="0.25">
      <c r="I24185" s="227" t="str">
        <f>MID(excPisCofins[[#This Row],[CodBarras2]],2,50)</f>
        <v/>
      </c>
    </row>
    <row r="24186" spans="9:9" x14ac:dyDescent="0.25">
      <c r="I24186" s="227" t="str">
        <f>MID(excPisCofins[[#This Row],[CodBarras2]],2,50)</f>
        <v/>
      </c>
    </row>
    <row r="24187" spans="9:9" x14ac:dyDescent="0.25">
      <c r="I24187" s="227" t="str">
        <f>MID(excPisCofins[[#This Row],[CodBarras2]],2,50)</f>
        <v/>
      </c>
    </row>
    <row r="24188" spans="9:9" x14ac:dyDescent="0.25">
      <c r="I24188" s="227" t="str">
        <f>MID(excPisCofins[[#This Row],[CodBarras2]],2,50)</f>
        <v/>
      </c>
    </row>
    <row r="24189" spans="9:9" x14ac:dyDescent="0.25">
      <c r="I24189" s="227" t="str">
        <f>MID(excPisCofins[[#This Row],[CodBarras2]],2,50)</f>
        <v/>
      </c>
    </row>
    <row r="24190" spans="9:9" x14ac:dyDescent="0.25">
      <c r="I24190" s="227" t="str">
        <f>MID(excPisCofins[[#This Row],[CodBarras2]],2,50)</f>
        <v/>
      </c>
    </row>
    <row r="24191" spans="9:9" x14ac:dyDescent="0.25">
      <c r="I24191" s="227" t="str">
        <f>MID(excPisCofins[[#This Row],[CodBarras2]],2,50)</f>
        <v/>
      </c>
    </row>
    <row r="24192" spans="9:9" x14ac:dyDescent="0.25">
      <c r="I24192" s="227" t="str">
        <f>MID(excPisCofins[[#This Row],[CodBarras2]],2,50)</f>
        <v/>
      </c>
    </row>
    <row r="24193" spans="9:9" x14ac:dyDescent="0.25">
      <c r="I24193" s="227" t="str">
        <f>MID(excPisCofins[[#This Row],[CodBarras2]],2,50)</f>
        <v/>
      </c>
    </row>
    <row r="24194" spans="9:9" x14ac:dyDescent="0.25">
      <c r="I24194" s="227" t="str">
        <f>MID(excPisCofins[[#This Row],[CodBarras2]],2,50)</f>
        <v/>
      </c>
    </row>
    <row r="24195" spans="9:9" x14ac:dyDescent="0.25">
      <c r="I24195" s="227" t="str">
        <f>MID(excPisCofins[[#This Row],[CodBarras2]],2,50)</f>
        <v/>
      </c>
    </row>
    <row r="24196" spans="9:9" x14ac:dyDescent="0.25">
      <c r="I24196" s="227" t="str">
        <f>MID(excPisCofins[[#This Row],[CodBarras2]],2,50)</f>
        <v/>
      </c>
    </row>
    <row r="24197" spans="9:9" x14ac:dyDescent="0.25">
      <c r="I24197" s="227" t="str">
        <f>MID(excPisCofins[[#This Row],[CodBarras2]],2,50)</f>
        <v/>
      </c>
    </row>
    <row r="24198" spans="9:9" x14ac:dyDescent="0.25">
      <c r="I24198" s="227" t="str">
        <f>MID(excPisCofins[[#This Row],[CodBarras2]],2,50)</f>
        <v/>
      </c>
    </row>
    <row r="24199" spans="9:9" x14ac:dyDescent="0.25">
      <c r="I24199" s="227" t="str">
        <f>MID(excPisCofins[[#This Row],[CodBarras2]],2,50)</f>
        <v/>
      </c>
    </row>
    <row r="24200" spans="9:9" x14ac:dyDescent="0.25">
      <c r="I24200" s="227" t="str">
        <f>MID(excPisCofins[[#This Row],[CodBarras2]],2,50)</f>
        <v/>
      </c>
    </row>
    <row r="24201" spans="9:9" x14ac:dyDescent="0.25">
      <c r="I24201" s="227" t="str">
        <f>MID(excPisCofins[[#This Row],[CodBarras2]],2,50)</f>
        <v/>
      </c>
    </row>
    <row r="24202" spans="9:9" x14ac:dyDescent="0.25">
      <c r="I24202" s="227" t="str">
        <f>MID(excPisCofins[[#This Row],[CodBarras2]],2,50)</f>
        <v/>
      </c>
    </row>
    <row r="24203" spans="9:9" x14ac:dyDescent="0.25">
      <c r="I24203" s="227" t="str">
        <f>MID(excPisCofins[[#This Row],[CodBarras2]],2,50)</f>
        <v/>
      </c>
    </row>
    <row r="24204" spans="9:9" x14ac:dyDescent="0.25">
      <c r="I24204" s="227" t="str">
        <f>MID(excPisCofins[[#This Row],[CodBarras2]],2,50)</f>
        <v/>
      </c>
    </row>
    <row r="24205" spans="9:9" x14ac:dyDescent="0.25">
      <c r="I24205" s="227" t="str">
        <f>MID(excPisCofins[[#This Row],[CodBarras2]],2,50)</f>
        <v/>
      </c>
    </row>
    <row r="24206" spans="9:9" x14ac:dyDescent="0.25">
      <c r="I24206" s="227" t="str">
        <f>MID(excPisCofins[[#This Row],[CodBarras2]],2,50)</f>
        <v/>
      </c>
    </row>
    <row r="24207" spans="9:9" x14ac:dyDescent="0.25">
      <c r="I24207" s="227" t="str">
        <f>MID(excPisCofins[[#This Row],[CodBarras2]],2,50)</f>
        <v/>
      </c>
    </row>
    <row r="24208" spans="9:9" x14ac:dyDescent="0.25">
      <c r="I24208" s="227" t="str">
        <f>MID(excPisCofins[[#This Row],[CodBarras2]],2,50)</f>
        <v/>
      </c>
    </row>
    <row r="24209" spans="9:9" x14ac:dyDescent="0.25">
      <c r="I24209" s="227" t="str">
        <f>MID(excPisCofins[[#This Row],[CodBarras2]],2,50)</f>
        <v/>
      </c>
    </row>
    <row r="24210" spans="9:9" x14ac:dyDescent="0.25">
      <c r="I24210" s="227" t="str">
        <f>MID(excPisCofins[[#This Row],[CodBarras2]],2,50)</f>
        <v/>
      </c>
    </row>
    <row r="24211" spans="9:9" x14ac:dyDescent="0.25">
      <c r="I24211" s="227" t="str">
        <f>MID(excPisCofins[[#This Row],[CodBarras2]],2,50)</f>
        <v/>
      </c>
    </row>
    <row r="24212" spans="9:9" x14ac:dyDescent="0.25">
      <c r="I24212" s="227" t="str">
        <f>MID(excPisCofins[[#This Row],[CodBarras2]],2,50)</f>
        <v/>
      </c>
    </row>
    <row r="24213" spans="9:9" x14ac:dyDescent="0.25">
      <c r="I24213" s="227" t="str">
        <f>MID(excPisCofins[[#This Row],[CodBarras2]],2,50)</f>
        <v/>
      </c>
    </row>
    <row r="24214" spans="9:9" x14ac:dyDescent="0.25">
      <c r="I24214" s="227" t="str">
        <f>MID(excPisCofins[[#This Row],[CodBarras2]],2,50)</f>
        <v/>
      </c>
    </row>
    <row r="24215" spans="9:9" x14ac:dyDescent="0.25">
      <c r="I24215" s="227" t="str">
        <f>MID(excPisCofins[[#This Row],[CodBarras2]],2,50)</f>
        <v/>
      </c>
    </row>
    <row r="24216" spans="9:9" x14ac:dyDescent="0.25">
      <c r="I24216" s="227" t="str">
        <f>MID(excPisCofins[[#This Row],[CodBarras2]],2,50)</f>
        <v/>
      </c>
    </row>
    <row r="24217" spans="9:9" x14ac:dyDescent="0.25">
      <c r="I24217" s="227" t="str">
        <f>MID(excPisCofins[[#This Row],[CodBarras2]],2,50)</f>
        <v/>
      </c>
    </row>
    <row r="24218" spans="9:9" x14ac:dyDescent="0.25">
      <c r="I24218" s="227" t="str">
        <f>MID(excPisCofins[[#This Row],[CodBarras2]],2,50)</f>
        <v/>
      </c>
    </row>
    <row r="24219" spans="9:9" x14ac:dyDescent="0.25">
      <c r="I24219" s="227" t="str">
        <f>MID(excPisCofins[[#This Row],[CodBarras2]],2,50)</f>
        <v/>
      </c>
    </row>
    <row r="24220" spans="9:9" x14ac:dyDescent="0.25">
      <c r="I24220" s="227" t="str">
        <f>MID(excPisCofins[[#This Row],[CodBarras2]],2,50)</f>
        <v/>
      </c>
    </row>
    <row r="24221" spans="9:9" x14ac:dyDescent="0.25">
      <c r="I24221" s="227" t="str">
        <f>MID(excPisCofins[[#This Row],[CodBarras2]],2,50)</f>
        <v/>
      </c>
    </row>
    <row r="24222" spans="9:9" x14ac:dyDescent="0.25">
      <c r="I24222" s="227" t="str">
        <f>MID(excPisCofins[[#This Row],[CodBarras2]],2,50)</f>
        <v/>
      </c>
    </row>
    <row r="24223" spans="9:9" x14ac:dyDescent="0.25">
      <c r="I24223" s="227" t="str">
        <f>MID(excPisCofins[[#This Row],[CodBarras2]],2,50)</f>
        <v/>
      </c>
    </row>
    <row r="24224" spans="9:9" x14ac:dyDescent="0.25">
      <c r="I24224" s="227" t="str">
        <f>MID(excPisCofins[[#This Row],[CodBarras2]],2,50)</f>
        <v/>
      </c>
    </row>
    <row r="24225" spans="9:9" x14ac:dyDescent="0.25">
      <c r="I24225" s="227" t="str">
        <f>MID(excPisCofins[[#This Row],[CodBarras2]],2,50)</f>
        <v/>
      </c>
    </row>
    <row r="24226" spans="9:9" x14ac:dyDescent="0.25">
      <c r="I24226" s="227" t="str">
        <f>MID(excPisCofins[[#This Row],[CodBarras2]],2,50)</f>
        <v/>
      </c>
    </row>
    <row r="24227" spans="9:9" x14ac:dyDescent="0.25">
      <c r="I24227" s="227" t="str">
        <f>MID(excPisCofins[[#This Row],[CodBarras2]],2,50)</f>
        <v/>
      </c>
    </row>
    <row r="24228" spans="9:9" x14ac:dyDescent="0.25">
      <c r="I24228" s="227" t="str">
        <f>MID(excPisCofins[[#This Row],[CodBarras2]],2,50)</f>
        <v/>
      </c>
    </row>
    <row r="24229" spans="9:9" x14ac:dyDescent="0.25">
      <c r="I24229" s="227" t="str">
        <f>MID(excPisCofins[[#This Row],[CodBarras2]],2,50)</f>
        <v/>
      </c>
    </row>
    <row r="24230" spans="9:9" x14ac:dyDescent="0.25">
      <c r="I24230" s="227" t="str">
        <f>MID(excPisCofins[[#This Row],[CodBarras2]],2,50)</f>
        <v/>
      </c>
    </row>
    <row r="24231" spans="9:9" x14ac:dyDescent="0.25">
      <c r="I24231" s="227" t="str">
        <f>MID(excPisCofins[[#This Row],[CodBarras2]],2,50)</f>
        <v/>
      </c>
    </row>
    <row r="24232" spans="9:9" x14ac:dyDescent="0.25">
      <c r="I24232" s="227" t="str">
        <f>MID(excPisCofins[[#This Row],[CodBarras2]],2,50)</f>
        <v/>
      </c>
    </row>
    <row r="24233" spans="9:9" x14ac:dyDescent="0.25">
      <c r="I24233" s="227" t="str">
        <f>MID(excPisCofins[[#This Row],[CodBarras2]],2,50)</f>
        <v/>
      </c>
    </row>
    <row r="24234" spans="9:9" x14ac:dyDescent="0.25">
      <c r="I24234" s="227" t="str">
        <f>MID(excPisCofins[[#This Row],[CodBarras2]],2,50)</f>
        <v/>
      </c>
    </row>
    <row r="24235" spans="9:9" x14ac:dyDescent="0.25">
      <c r="I24235" s="227" t="str">
        <f>MID(excPisCofins[[#This Row],[CodBarras2]],2,50)</f>
        <v/>
      </c>
    </row>
    <row r="24236" spans="9:9" x14ac:dyDescent="0.25">
      <c r="I24236" s="227" t="str">
        <f>MID(excPisCofins[[#This Row],[CodBarras2]],2,50)</f>
        <v/>
      </c>
    </row>
    <row r="24237" spans="9:9" x14ac:dyDescent="0.25">
      <c r="I24237" s="227" t="str">
        <f>MID(excPisCofins[[#This Row],[CodBarras2]],2,50)</f>
        <v/>
      </c>
    </row>
    <row r="24238" spans="9:9" x14ac:dyDescent="0.25">
      <c r="I24238" s="227" t="str">
        <f>MID(excPisCofins[[#This Row],[CodBarras2]],2,50)</f>
        <v/>
      </c>
    </row>
    <row r="24239" spans="9:9" x14ac:dyDescent="0.25">
      <c r="I24239" s="227" t="str">
        <f>MID(excPisCofins[[#This Row],[CodBarras2]],2,50)</f>
        <v/>
      </c>
    </row>
    <row r="24240" spans="9:9" x14ac:dyDescent="0.25">
      <c r="I24240" s="227" t="str">
        <f>MID(excPisCofins[[#This Row],[CodBarras2]],2,50)</f>
        <v/>
      </c>
    </row>
    <row r="24241" spans="9:9" x14ac:dyDescent="0.25">
      <c r="I24241" s="227" t="str">
        <f>MID(excPisCofins[[#This Row],[CodBarras2]],2,50)</f>
        <v/>
      </c>
    </row>
    <row r="24242" spans="9:9" x14ac:dyDescent="0.25">
      <c r="I24242" s="227" t="str">
        <f>MID(excPisCofins[[#This Row],[CodBarras2]],2,50)</f>
        <v/>
      </c>
    </row>
    <row r="24243" spans="9:9" x14ac:dyDescent="0.25">
      <c r="I24243" s="227" t="str">
        <f>MID(excPisCofins[[#This Row],[CodBarras2]],2,50)</f>
        <v/>
      </c>
    </row>
    <row r="24244" spans="9:9" x14ac:dyDescent="0.25">
      <c r="I24244" s="227" t="str">
        <f>MID(excPisCofins[[#This Row],[CodBarras2]],2,50)</f>
        <v/>
      </c>
    </row>
    <row r="24245" spans="9:9" x14ac:dyDescent="0.25">
      <c r="I24245" s="227" t="str">
        <f>MID(excPisCofins[[#This Row],[CodBarras2]],2,50)</f>
        <v/>
      </c>
    </row>
    <row r="24246" spans="9:9" x14ac:dyDescent="0.25">
      <c r="I24246" s="227" t="str">
        <f>MID(excPisCofins[[#This Row],[CodBarras2]],2,50)</f>
        <v/>
      </c>
    </row>
    <row r="24247" spans="9:9" x14ac:dyDescent="0.25">
      <c r="I24247" s="227" t="str">
        <f>MID(excPisCofins[[#This Row],[CodBarras2]],2,50)</f>
        <v/>
      </c>
    </row>
    <row r="24248" spans="9:9" x14ac:dyDescent="0.25">
      <c r="I24248" s="227" t="str">
        <f>MID(excPisCofins[[#This Row],[CodBarras2]],2,50)</f>
        <v/>
      </c>
    </row>
    <row r="24249" spans="9:9" x14ac:dyDescent="0.25">
      <c r="I24249" s="227" t="str">
        <f>MID(excPisCofins[[#This Row],[CodBarras2]],2,50)</f>
        <v/>
      </c>
    </row>
    <row r="24250" spans="9:9" x14ac:dyDescent="0.25">
      <c r="I24250" s="227" t="str">
        <f>MID(excPisCofins[[#This Row],[CodBarras2]],2,50)</f>
        <v/>
      </c>
    </row>
    <row r="24251" spans="9:9" x14ac:dyDescent="0.25">
      <c r="I24251" s="227" t="str">
        <f>MID(excPisCofins[[#This Row],[CodBarras2]],2,50)</f>
        <v/>
      </c>
    </row>
    <row r="24252" spans="9:9" x14ac:dyDescent="0.25">
      <c r="I24252" s="227" t="str">
        <f>MID(excPisCofins[[#This Row],[CodBarras2]],2,50)</f>
        <v/>
      </c>
    </row>
    <row r="24253" spans="9:9" x14ac:dyDescent="0.25">
      <c r="I24253" s="227" t="str">
        <f>MID(excPisCofins[[#This Row],[CodBarras2]],2,50)</f>
        <v/>
      </c>
    </row>
    <row r="24254" spans="9:9" x14ac:dyDescent="0.25">
      <c r="I24254" s="227" t="str">
        <f>MID(excPisCofins[[#This Row],[CodBarras2]],2,50)</f>
        <v/>
      </c>
    </row>
    <row r="24255" spans="9:9" x14ac:dyDescent="0.25">
      <c r="I24255" s="227" t="str">
        <f>MID(excPisCofins[[#This Row],[CodBarras2]],2,50)</f>
        <v/>
      </c>
    </row>
    <row r="24256" spans="9:9" x14ac:dyDescent="0.25">
      <c r="I24256" s="227" t="str">
        <f>MID(excPisCofins[[#This Row],[CodBarras2]],2,50)</f>
        <v/>
      </c>
    </row>
    <row r="24257" spans="9:9" x14ac:dyDescent="0.25">
      <c r="I24257" s="227" t="str">
        <f>MID(excPisCofins[[#This Row],[CodBarras2]],2,50)</f>
        <v/>
      </c>
    </row>
    <row r="24258" spans="9:9" x14ac:dyDescent="0.25">
      <c r="I24258" s="227" t="str">
        <f>MID(excPisCofins[[#This Row],[CodBarras2]],2,50)</f>
        <v/>
      </c>
    </row>
    <row r="24259" spans="9:9" x14ac:dyDescent="0.25">
      <c r="I24259" s="227" t="str">
        <f>MID(excPisCofins[[#This Row],[CodBarras2]],2,50)</f>
        <v/>
      </c>
    </row>
    <row r="24260" spans="9:9" x14ac:dyDescent="0.25">
      <c r="I24260" s="227" t="str">
        <f>MID(excPisCofins[[#This Row],[CodBarras2]],2,50)</f>
        <v/>
      </c>
    </row>
    <row r="24261" spans="9:9" x14ac:dyDescent="0.25">
      <c r="I24261" s="227" t="str">
        <f>MID(excPisCofins[[#This Row],[CodBarras2]],2,50)</f>
        <v/>
      </c>
    </row>
    <row r="24262" spans="9:9" x14ac:dyDescent="0.25">
      <c r="I24262" s="227" t="str">
        <f>MID(excPisCofins[[#This Row],[CodBarras2]],2,50)</f>
        <v/>
      </c>
    </row>
    <row r="24263" spans="9:9" x14ac:dyDescent="0.25">
      <c r="I24263" s="227" t="str">
        <f>MID(excPisCofins[[#This Row],[CodBarras2]],2,50)</f>
        <v/>
      </c>
    </row>
    <row r="24264" spans="9:9" x14ac:dyDescent="0.25">
      <c r="I24264" s="227" t="str">
        <f>MID(excPisCofins[[#This Row],[CodBarras2]],2,50)</f>
        <v/>
      </c>
    </row>
    <row r="24265" spans="9:9" x14ac:dyDescent="0.25">
      <c r="I24265" s="227" t="str">
        <f>MID(excPisCofins[[#This Row],[CodBarras2]],2,50)</f>
        <v/>
      </c>
    </row>
    <row r="24266" spans="9:9" x14ac:dyDescent="0.25">
      <c r="I24266" s="227" t="str">
        <f>MID(excPisCofins[[#This Row],[CodBarras2]],2,50)</f>
        <v/>
      </c>
    </row>
    <row r="24267" spans="9:9" x14ac:dyDescent="0.25">
      <c r="I24267" s="227" t="str">
        <f>MID(excPisCofins[[#This Row],[CodBarras2]],2,50)</f>
        <v/>
      </c>
    </row>
    <row r="24268" spans="9:9" x14ac:dyDescent="0.25">
      <c r="I24268" s="227" t="str">
        <f>MID(excPisCofins[[#This Row],[CodBarras2]],2,50)</f>
        <v/>
      </c>
    </row>
    <row r="24269" spans="9:9" x14ac:dyDescent="0.25">
      <c r="I24269" s="227" t="str">
        <f>MID(excPisCofins[[#This Row],[CodBarras2]],2,50)</f>
        <v/>
      </c>
    </row>
    <row r="24270" spans="9:9" x14ac:dyDescent="0.25">
      <c r="I24270" s="227" t="str">
        <f>MID(excPisCofins[[#This Row],[CodBarras2]],2,50)</f>
        <v/>
      </c>
    </row>
    <row r="24271" spans="9:9" x14ac:dyDescent="0.25">
      <c r="I24271" s="227" t="str">
        <f>MID(excPisCofins[[#This Row],[CodBarras2]],2,50)</f>
        <v/>
      </c>
    </row>
    <row r="24272" spans="9:9" x14ac:dyDescent="0.25">
      <c r="I24272" s="227" t="str">
        <f>MID(excPisCofins[[#This Row],[CodBarras2]],2,50)</f>
        <v/>
      </c>
    </row>
    <row r="24273" spans="9:9" x14ac:dyDescent="0.25">
      <c r="I24273" s="227" t="str">
        <f>MID(excPisCofins[[#This Row],[CodBarras2]],2,50)</f>
        <v/>
      </c>
    </row>
    <row r="24274" spans="9:9" x14ac:dyDescent="0.25">
      <c r="I24274" s="227" t="str">
        <f>MID(excPisCofins[[#This Row],[CodBarras2]],2,50)</f>
        <v/>
      </c>
    </row>
    <row r="24275" spans="9:9" x14ac:dyDescent="0.25">
      <c r="I24275" s="227" t="str">
        <f>MID(excPisCofins[[#This Row],[CodBarras2]],2,50)</f>
        <v/>
      </c>
    </row>
    <row r="24276" spans="9:9" x14ac:dyDescent="0.25">
      <c r="I24276" s="227" t="str">
        <f>MID(excPisCofins[[#This Row],[CodBarras2]],2,50)</f>
        <v/>
      </c>
    </row>
    <row r="24277" spans="9:9" x14ac:dyDescent="0.25">
      <c r="I24277" s="227" t="str">
        <f>MID(excPisCofins[[#This Row],[CodBarras2]],2,50)</f>
        <v/>
      </c>
    </row>
    <row r="24278" spans="9:9" x14ac:dyDescent="0.25">
      <c r="I24278" s="227" t="str">
        <f>MID(excPisCofins[[#This Row],[CodBarras2]],2,50)</f>
        <v/>
      </c>
    </row>
    <row r="24279" spans="9:9" x14ac:dyDescent="0.25">
      <c r="I24279" s="227" t="str">
        <f>MID(excPisCofins[[#This Row],[CodBarras2]],2,50)</f>
        <v/>
      </c>
    </row>
    <row r="24280" spans="9:9" x14ac:dyDescent="0.25">
      <c r="I24280" s="227" t="str">
        <f>MID(excPisCofins[[#This Row],[CodBarras2]],2,50)</f>
        <v/>
      </c>
    </row>
    <row r="24281" spans="9:9" x14ac:dyDescent="0.25">
      <c r="I24281" s="227" t="str">
        <f>MID(excPisCofins[[#This Row],[CodBarras2]],2,50)</f>
        <v/>
      </c>
    </row>
    <row r="24282" spans="9:9" x14ac:dyDescent="0.25">
      <c r="I24282" s="227" t="str">
        <f>MID(excPisCofins[[#This Row],[CodBarras2]],2,50)</f>
        <v/>
      </c>
    </row>
    <row r="24283" spans="9:9" x14ac:dyDescent="0.25">
      <c r="I24283" s="227" t="str">
        <f>MID(excPisCofins[[#This Row],[CodBarras2]],2,50)</f>
        <v/>
      </c>
    </row>
    <row r="24284" spans="9:9" x14ac:dyDescent="0.25">
      <c r="I24284" s="227" t="str">
        <f>MID(excPisCofins[[#This Row],[CodBarras2]],2,50)</f>
        <v/>
      </c>
    </row>
    <row r="24285" spans="9:9" x14ac:dyDescent="0.25">
      <c r="I24285" s="227" t="str">
        <f>MID(excPisCofins[[#This Row],[CodBarras2]],2,50)</f>
        <v/>
      </c>
    </row>
    <row r="24286" spans="9:9" x14ac:dyDescent="0.25">
      <c r="I24286" s="227" t="str">
        <f>MID(excPisCofins[[#This Row],[CodBarras2]],2,50)</f>
        <v/>
      </c>
    </row>
    <row r="24287" spans="9:9" x14ac:dyDescent="0.25">
      <c r="I24287" s="227" t="str">
        <f>MID(excPisCofins[[#This Row],[CodBarras2]],2,50)</f>
        <v/>
      </c>
    </row>
    <row r="24288" spans="9:9" x14ac:dyDescent="0.25">
      <c r="I24288" s="227" t="str">
        <f>MID(excPisCofins[[#This Row],[CodBarras2]],2,50)</f>
        <v/>
      </c>
    </row>
    <row r="24289" spans="9:9" x14ac:dyDescent="0.25">
      <c r="I24289" s="227" t="str">
        <f>MID(excPisCofins[[#This Row],[CodBarras2]],2,50)</f>
        <v/>
      </c>
    </row>
    <row r="24290" spans="9:9" x14ac:dyDescent="0.25">
      <c r="I24290" s="227" t="str">
        <f>MID(excPisCofins[[#This Row],[CodBarras2]],2,50)</f>
        <v/>
      </c>
    </row>
    <row r="24291" spans="9:9" x14ac:dyDescent="0.25">
      <c r="I24291" s="227" t="str">
        <f>MID(excPisCofins[[#This Row],[CodBarras2]],2,50)</f>
        <v/>
      </c>
    </row>
    <row r="24292" spans="9:9" x14ac:dyDescent="0.25">
      <c r="I24292" s="227" t="str">
        <f>MID(excPisCofins[[#This Row],[CodBarras2]],2,50)</f>
        <v/>
      </c>
    </row>
    <row r="24293" spans="9:9" x14ac:dyDescent="0.25">
      <c r="I24293" s="227" t="str">
        <f>MID(excPisCofins[[#This Row],[CodBarras2]],2,50)</f>
        <v/>
      </c>
    </row>
    <row r="24294" spans="9:9" x14ac:dyDescent="0.25">
      <c r="I24294" s="227" t="str">
        <f>MID(excPisCofins[[#This Row],[CodBarras2]],2,50)</f>
        <v/>
      </c>
    </row>
    <row r="24295" spans="9:9" x14ac:dyDescent="0.25">
      <c r="I24295" s="227" t="str">
        <f>MID(excPisCofins[[#This Row],[CodBarras2]],2,50)</f>
        <v/>
      </c>
    </row>
    <row r="24296" spans="9:9" x14ac:dyDescent="0.25">
      <c r="I24296" s="227" t="str">
        <f>MID(excPisCofins[[#This Row],[CodBarras2]],2,50)</f>
        <v/>
      </c>
    </row>
    <row r="24297" spans="9:9" x14ac:dyDescent="0.25">
      <c r="I24297" s="227" t="str">
        <f>MID(excPisCofins[[#This Row],[CodBarras2]],2,50)</f>
        <v/>
      </c>
    </row>
    <row r="24298" spans="9:9" x14ac:dyDescent="0.25">
      <c r="I24298" s="227" t="str">
        <f>MID(excPisCofins[[#This Row],[CodBarras2]],2,50)</f>
        <v/>
      </c>
    </row>
    <row r="24299" spans="9:9" x14ac:dyDescent="0.25">
      <c r="I24299" s="227" t="str">
        <f>MID(excPisCofins[[#This Row],[CodBarras2]],2,50)</f>
        <v/>
      </c>
    </row>
    <row r="24300" spans="9:9" x14ac:dyDescent="0.25">
      <c r="I24300" s="227" t="str">
        <f>MID(excPisCofins[[#This Row],[CodBarras2]],2,50)</f>
        <v/>
      </c>
    </row>
    <row r="24301" spans="9:9" x14ac:dyDescent="0.25">
      <c r="I24301" s="227" t="str">
        <f>MID(excPisCofins[[#This Row],[CodBarras2]],2,50)</f>
        <v/>
      </c>
    </row>
    <row r="24302" spans="9:9" x14ac:dyDescent="0.25">
      <c r="I24302" s="227" t="str">
        <f>MID(excPisCofins[[#This Row],[CodBarras2]],2,50)</f>
        <v/>
      </c>
    </row>
    <row r="24303" spans="9:9" x14ac:dyDescent="0.25">
      <c r="I24303" s="227" t="str">
        <f>MID(excPisCofins[[#This Row],[CodBarras2]],2,50)</f>
        <v/>
      </c>
    </row>
    <row r="24304" spans="9:9" x14ac:dyDescent="0.25">
      <c r="I24304" s="227" t="str">
        <f>MID(excPisCofins[[#This Row],[CodBarras2]],2,50)</f>
        <v/>
      </c>
    </row>
    <row r="24305" spans="9:9" x14ac:dyDescent="0.25">
      <c r="I24305" s="227" t="str">
        <f>MID(excPisCofins[[#This Row],[CodBarras2]],2,50)</f>
        <v/>
      </c>
    </row>
    <row r="24306" spans="9:9" x14ac:dyDescent="0.25">
      <c r="I24306" s="227" t="str">
        <f>MID(excPisCofins[[#This Row],[CodBarras2]],2,50)</f>
        <v/>
      </c>
    </row>
    <row r="24307" spans="9:9" x14ac:dyDescent="0.25">
      <c r="I24307" s="227" t="str">
        <f>MID(excPisCofins[[#This Row],[CodBarras2]],2,50)</f>
        <v/>
      </c>
    </row>
    <row r="24308" spans="9:9" x14ac:dyDescent="0.25">
      <c r="I24308" s="227" t="str">
        <f>MID(excPisCofins[[#This Row],[CodBarras2]],2,50)</f>
        <v/>
      </c>
    </row>
    <row r="24309" spans="9:9" x14ac:dyDescent="0.25">
      <c r="I24309" s="227" t="str">
        <f>MID(excPisCofins[[#This Row],[CodBarras2]],2,50)</f>
        <v/>
      </c>
    </row>
    <row r="24310" spans="9:9" x14ac:dyDescent="0.25">
      <c r="I24310" s="227" t="str">
        <f>MID(excPisCofins[[#This Row],[CodBarras2]],2,50)</f>
        <v/>
      </c>
    </row>
    <row r="24311" spans="9:9" x14ac:dyDescent="0.25">
      <c r="I24311" s="227" t="str">
        <f>MID(excPisCofins[[#This Row],[CodBarras2]],2,50)</f>
        <v/>
      </c>
    </row>
    <row r="24312" spans="9:9" x14ac:dyDescent="0.25">
      <c r="I24312" s="227" t="str">
        <f>MID(excPisCofins[[#This Row],[CodBarras2]],2,50)</f>
        <v/>
      </c>
    </row>
    <row r="24313" spans="9:9" x14ac:dyDescent="0.25">
      <c r="I24313" s="227" t="str">
        <f>MID(excPisCofins[[#This Row],[CodBarras2]],2,50)</f>
        <v/>
      </c>
    </row>
    <row r="24314" spans="9:9" x14ac:dyDescent="0.25">
      <c r="I24314" s="227" t="str">
        <f>MID(excPisCofins[[#This Row],[CodBarras2]],2,50)</f>
        <v/>
      </c>
    </row>
    <row r="24315" spans="9:9" x14ac:dyDescent="0.25">
      <c r="I24315" s="227" t="str">
        <f>MID(excPisCofins[[#This Row],[CodBarras2]],2,50)</f>
        <v/>
      </c>
    </row>
    <row r="24316" spans="9:9" x14ac:dyDescent="0.25">
      <c r="I24316" s="227" t="str">
        <f>MID(excPisCofins[[#This Row],[CodBarras2]],2,50)</f>
        <v/>
      </c>
    </row>
    <row r="24317" spans="9:9" x14ac:dyDescent="0.25">
      <c r="I24317" s="227" t="str">
        <f>MID(excPisCofins[[#This Row],[CodBarras2]],2,50)</f>
        <v/>
      </c>
    </row>
    <row r="24318" spans="9:9" x14ac:dyDescent="0.25">
      <c r="I24318" s="227" t="str">
        <f>MID(excPisCofins[[#This Row],[CodBarras2]],2,50)</f>
        <v/>
      </c>
    </row>
    <row r="24319" spans="9:9" x14ac:dyDescent="0.25">
      <c r="I24319" s="227" t="str">
        <f>MID(excPisCofins[[#This Row],[CodBarras2]],2,50)</f>
        <v/>
      </c>
    </row>
    <row r="24320" spans="9:9" x14ac:dyDescent="0.25">
      <c r="I24320" s="227" t="str">
        <f>MID(excPisCofins[[#This Row],[CodBarras2]],2,50)</f>
        <v/>
      </c>
    </row>
    <row r="24321" spans="9:9" x14ac:dyDescent="0.25">
      <c r="I24321" s="227" t="str">
        <f>MID(excPisCofins[[#This Row],[CodBarras2]],2,50)</f>
        <v/>
      </c>
    </row>
    <row r="24322" spans="9:9" x14ac:dyDescent="0.25">
      <c r="I24322" s="227" t="str">
        <f>MID(excPisCofins[[#This Row],[CodBarras2]],2,50)</f>
        <v/>
      </c>
    </row>
    <row r="24323" spans="9:9" x14ac:dyDescent="0.25">
      <c r="I24323" s="227" t="str">
        <f>MID(excPisCofins[[#This Row],[CodBarras2]],2,50)</f>
        <v/>
      </c>
    </row>
    <row r="24324" spans="9:9" x14ac:dyDescent="0.25">
      <c r="I24324" s="227" t="str">
        <f>MID(excPisCofins[[#This Row],[CodBarras2]],2,50)</f>
        <v/>
      </c>
    </row>
    <row r="24325" spans="9:9" x14ac:dyDescent="0.25">
      <c r="I24325" s="227" t="str">
        <f>MID(excPisCofins[[#This Row],[CodBarras2]],2,50)</f>
        <v/>
      </c>
    </row>
    <row r="24326" spans="9:9" x14ac:dyDescent="0.25">
      <c r="I24326" s="227" t="str">
        <f>MID(excPisCofins[[#This Row],[CodBarras2]],2,50)</f>
        <v/>
      </c>
    </row>
    <row r="24327" spans="9:9" x14ac:dyDescent="0.25">
      <c r="I24327" s="227" t="str">
        <f>MID(excPisCofins[[#This Row],[CodBarras2]],2,50)</f>
        <v/>
      </c>
    </row>
    <row r="24328" spans="9:9" x14ac:dyDescent="0.25">
      <c r="I24328" s="227" t="str">
        <f>MID(excPisCofins[[#This Row],[CodBarras2]],2,50)</f>
        <v/>
      </c>
    </row>
    <row r="24329" spans="9:9" x14ac:dyDescent="0.25">
      <c r="I24329" s="227" t="str">
        <f>MID(excPisCofins[[#This Row],[CodBarras2]],2,50)</f>
        <v/>
      </c>
    </row>
    <row r="24330" spans="9:9" x14ac:dyDescent="0.25">
      <c r="I24330" s="227" t="str">
        <f>MID(excPisCofins[[#This Row],[CodBarras2]],2,50)</f>
        <v/>
      </c>
    </row>
    <row r="24331" spans="9:9" x14ac:dyDescent="0.25">
      <c r="I24331" s="227" t="str">
        <f>MID(excPisCofins[[#This Row],[CodBarras2]],2,50)</f>
        <v/>
      </c>
    </row>
    <row r="24332" spans="9:9" x14ac:dyDescent="0.25">
      <c r="I24332" s="227" t="str">
        <f>MID(excPisCofins[[#This Row],[CodBarras2]],2,50)</f>
        <v/>
      </c>
    </row>
    <row r="24333" spans="9:9" x14ac:dyDescent="0.25">
      <c r="I24333" s="227" t="str">
        <f>MID(excPisCofins[[#This Row],[CodBarras2]],2,50)</f>
        <v/>
      </c>
    </row>
    <row r="24334" spans="9:9" x14ac:dyDescent="0.25">
      <c r="I24334" s="227" t="str">
        <f>MID(excPisCofins[[#This Row],[CodBarras2]],2,50)</f>
        <v/>
      </c>
    </row>
    <row r="24335" spans="9:9" x14ac:dyDescent="0.25">
      <c r="I24335" s="227" t="str">
        <f>MID(excPisCofins[[#This Row],[CodBarras2]],2,50)</f>
        <v/>
      </c>
    </row>
    <row r="24336" spans="9:9" x14ac:dyDescent="0.25">
      <c r="I24336" s="227" t="str">
        <f>MID(excPisCofins[[#This Row],[CodBarras2]],2,50)</f>
        <v/>
      </c>
    </row>
    <row r="24337" spans="9:9" x14ac:dyDescent="0.25">
      <c r="I24337" s="227" t="str">
        <f>MID(excPisCofins[[#This Row],[CodBarras2]],2,50)</f>
        <v/>
      </c>
    </row>
    <row r="24338" spans="9:9" x14ac:dyDescent="0.25">
      <c r="I24338" s="227" t="str">
        <f>MID(excPisCofins[[#This Row],[CodBarras2]],2,50)</f>
        <v/>
      </c>
    </row>
    <row r="24339" spans="9:9" x14ac:dyDescent="0.25">
      <c r="I24339" s="227" t="str">
        <f>MID(excPisCofins[[#This Row],[CodBarras2]],2,50)</f>
        <v/>
      </c>
    </row>
    <row r="24340" spans="9:9" x14ac:dyDescent="0.25">
      <c r="I24340" s="227" t="str">
        <f>MID(excPisCofins[[#This Row],[CodBarras2]],2,50)</f>
        <v/>
      </c>
    </row>
    <row r="24341" spans="9:9" x14ac:dyDescent="0.25">
      <c r="I24341" s="227" t="str">
        <f>MID(excPisCofins[[#This Row],[CodBarras2]],2,50)</f>
        <v/>
      </c>
    </row>
    <row r="24342" spans="9:9" x14ac:dyDescent="0.25">
      <c r="I24342" s="227" t="str">
        <f>MID(excPisCofins[[#This Row],[CodBarras2]],2,50)</f>
        <v/>
      </c>
    </row>
    <row r="24343" spans="9:9" x14ac:dyDescent="0.25">
      <c r="I24343" s="227" t="str">
        <f>MID(excPisCofins[[#This Row],[CodBarras2]],2,50)</f>
        <v/>
      </c>
    </row>
    <row r="24344" spans="9:9" x14ac:dyDescent="0.25">
      <c r="I24344" s="227" t="str">
        <f>MID(excPisCofins[[#This Row],[CodBarras2]],2,50)</f>
        <v/>
      </c>
    </row>
    <row r="24345" spans="9:9" x14ac:dyDescent="0.25">
      <c r="I24345" s="227" t="str">
        <f>MID(excPisCofins[[#This Row],[CodBarras2]],2,50)</f>
        <v/>
      </c>
    </row>
    <row r="24346" spans="9:9" x14ac:dyDescent="0.25">
      <c r="I24346" s="227" t="str">
        <f>MID(excPisCofins[[#This Row],[CodBarras2]],2,50)</f>
        <v/>
      </c>
    </row>
    <row r="24347" spans="9:9" x14ac:dyDescent="0.25">
      <c r="I24347" s="227" t="str">
        <f>MID(excPisCofins[[#This Row],[CodBarras2]],2,50)</f>
        <v/>
      </c>
    </row>
    <row r="24348" spans="9:9" x14ac:dyDescent="0.25">
      <c r="I24348" s="227" t="str">
        <f>MID(excPisCofins[[#This Row],[CodBarras2]],2,50)</f>
        <v/>
      </c>
    </row>
    <row r="24349" spans="9:9" x14ac:dyDescent="0.25">
      <c r="I24349" s="227" t="str">
        <f>MID(excPisCofins[[#This Row],[CodBarras2]],2,50)</f>
        <v/>
      </c>
    </row>
    <row r="24350" spans="9:9" x14ac:dyDescent="0.25">
      <c r="I24350" s="227" t="str">
        <f>MID(excPisCofins[[#This Row],[CodBarras2]],2,50)</f>
        <v/>
      </c>
    </row>
    <row r="24351" spans="9:9" x14ac:dyDescent="0.25">
      <c r="I24351" s="227" t="str">
        <f>MID(excPisCofins[[#This Row],[CodBarras2]],2,50)</f>
        <v/>
      </c>
    </row>
    <row r="24352" spans="9:9" x14ac:dyDescent="0.25">
      <c r="I24352" s="227" t="str">
        <f>MID(excPisCofins[[#This Row],[CodBarras2]],2,50)</f>
        <v/>
      </c>
    </row>
    <row r="24353" spans="9:9" x14ac:dyDescent="0.25">
      <c r="I24353" s="227" t="str">
        <f>MID(excPisCofins[[#This Row],[CodBarras2]],2,50)</f>
        <v/>
      </c>
    </row>
    <row r="24354" spans="9:9" x14ac:dyDescent="0.25">
      <c r="I24354" s="227" t="str">
        <f>MID(excPisCofins[[#This Row],[CodBarras2]],2,50)</f>
        <v/>
      </c>
    </row>
    <row r="24355" spans="9:9" x14ac:dyDescent="0.25">
      <c r="I24355" s="227" t="str">
        <f>MID(excPisCofins[[#This Row],[CodBarras2]],2,50)</f>
        <v/>
      </c>
    </row>
    <row r="24356" spans="9:9" x14ac:dyDescent="0.25">
      <c r="I24356" s="227" t="str">
        <f>MID(excPisCofins[[#This Row],[CodBarras2]],2,50)</f>
        <v/>
      </c>
    </row>
    <row r="24357" spans="9:9" x14ac:dyDescent="0.25">
      <c r="I24357" s="227" t="str">
        <f>MID(excPisCofins[[#This Row],[CodBarras2]],2,50)</f>
        <v/>
      </c>
    </row>
    <row r="24358" spans="9:9" x14ac:dyDescent="0.25">
      <c r="I24358" s="227" t="str">
        <f>MID(excPisCofins[[#This Row],[CodBarras2]],2,50)</f>
        <v/>
      </c>
    </row>
    <row r="24359" spans="9:9" x14ac:dyDescent="0.25">
      <c r="I24359" s="227" t="str">
        <f>MID(excPisCofins[[#This Row],[CodBarras2]],2,50)</f>
        <v/>
      </c>
    </row>
    <row r="24360" spans="9:9" x14ac:dyDescent="0.25">
      <c r="I24360" s="227" t="str">
        <f>MID(excPisCofins[[#This Row],[CodBarras2]],2,50)</f>
        <v/>
      </c>
    </row>
    <row r="24361" spans="9:9" x14ac:dyDescent="0.25">
      <c r="I24361" s="227" t="str">
        <f>MID(excPisCofins[[#This Row],[CodBarras2]],2,50)</f>
        <v/>
      </c>
    </row>
    <row r="24362" spans="9:9" x14ac:dyDescent="0.25">
      <c r="I24362" s="227" t="str">
        <f>MID(excPisCofins[[#This Row],[CodBarras2]],2,50)</f>
        <v/>
      </c>
    </row>
    <row r="24363" spans="9:9" x14ac:dyDescent="0.25">
      <c r="I24363" s="227" t="str">
        <f>MID(excPisCofins[[#This Row],[CodBarras2]],2,50)</f>
        <v/>
      </c>
    </row>
    <row r="24364" spans="9:9" x14ac:dyDescent="0.25">
      <c r="I24364" s="227" t="str">
        <f>MID(excPisCofins[[#This Row],[CodBarras2]],2,50)</f>
        <v/>
      </c>
    </row>
    <row r="24365" spans="9:9" x14ac:dyDescent="0.25">
      <c r="I24365" s="227" t="str">
        <f>MID(excPisCofins[[#This Row],[CodBarras2]],2,50)</f>
        <v/>
      </c>
    </row>
    <row r="24366" spans="9:9" x14ac:dyDescent="0.25">
      <c r="I24366" s="227" t="str">
        <f>MID(excPisCofins[[#This Row],[CodBarras2]],2,50)</f>
        <v/>
      </c>
    </row>
    <row r="24367" spans="9:9" x14ac:dyDescent="0.25">
      <c r="I24367" s="227" t="str">
        <f>MID(excPisCofins[[#This Row],[CodBarras2]],2,50)</f>
        <v/>
      </c>
    </row>
    <row r="24368" spans="9:9" x14ac:dyDescent="0.25">
      <c r="I24368" s="227" t="str">
        <f>MID(excPisCofins[[#This Row],[CodBarras2]],2,50)</f>
        <v/>
      </c>
    </row>
    <row r="24369" spans="9:9" x14ac:dyDescent="0.25">
      <c r="I24369" s="227" t="str">
        <f>MID(excPisCofins[[#This Row],[CodBarras2]],2,50)</f>
        <v/>
      </c>
    </row>
    <row r="24370" spans="9:9" x14ac:dyDescent="0.25">
      <c r="I24370" s="227" t="str">
        <f>MID(excPisCofins[[#This Row],[CodBarras2]],2,50)</f>
        <v/>
      </c>
    </row>
    <row r="24371" spans="9:9" x14ac:dyDescent="0.25">
      <c r="I24371" s="227" t="str">
        <f>MID(excPisCofins[[#This Row],[CodBarras2]],2,50)</f>
        <v/>
      </c>
    </row>
    <row r="24372" spans="9:9" x14ac:dyDescent="0.25">
      <c r="I24372" s="227" t="str">
        <f>MID(excPisCofins[[#This Row],[CodBarras2]],2,50)</f>
        <v/>
      </c>
    </row>
    <row r="24373" spans="9:9" x14ac:dyDescent="0.25">
      <c r="I24373" s="227" t="str">
        <f>MID(excPisCofins[[#This Row],[CodBarras2]],2,50)</f>
        <v/>
      </c>
    </row>
    <row r="24374" spans="9:9" x14ac:dyDescent="0.25">
      <c r="I24374" s="227" t="str">
        <f>MID(excPisCofins[[#This Row],[CodBarras2]],2,50)</f>
        <v/>
      </c>
    </row>
    <row r="24375" spans="9:9" x14ac:dyDescent="0.25">
      <c r="I24375" s="227" t="str">
        <f>MID(excPisCofins[[#This Row],[CodBarras2]],2,50)</f>
        <v/>
      </c>
    </row>
    <row r="24376" spans="9:9" x14ac:dyDescent="0.25">
      <c r="I24376" s="227" t="str">
        <f>MID(excPisCofins[[#This Row],[CodBarras2]],2,50)</f>
        <v/>
      </c>
    </row>
    <row r="24377" spans="9:9" x14ac:dyDescent="0.25">
      <c r="I24377" s="227" t="str">
        <f>MID(excPisCofins[[#This Row],[CodBarras2]],2,50)</f>
        <v/>
      </c>
    </row>
    <row r="24378" spans="9:9" x14ac:dyDescent="0.25">
      <c r="I24378" s="227" t="str">
        <f>MID(excPisCofins[[#This Row],[CodBarras2]],2,50)</f>
        <v/>
      </c>
    </row>
    <row r="24379" spans="9:9" x14ac:dyDescent="0.25">
      <c r="I24379" s="227" t="str">
        <f>MID(excPisCofins[[#This Row],[CodBarras2]],2,50)</f>
        <v/>
      </c>
    </row>
    <row r="24380" spans="9:9" x14ac:dyDescent="0.25">
      <c r="I24380" s="227" t="str">
        <f>MID(excPisCofins[[#This Row],[CodBarras2]],2,50)</f>
        <v/>
      </c>
    </row>
    <row r="24381" spans="9:9" x14ac:dyDescent="0.25">
      <c r="I24381" s="227" t="str">
        <f>MID(excPisCofins[[#This Row],[CodBarras2]],2,50)</f>
        <v/>
      </c>
    </row>
    <row r="24382" spans="9:9" x14ac:dyDescent="0.25">
      <c r="I24382" s="227" t="str">
        <f>MID(excPisCofins[[#This Row],[CodBarras2]],2,50)</f>
        <v/>
      </c>
    </row>
    <row r="24383" spans="9:9" x14ac:dyDescent="0.25">
      <c r="I24383" s="227" t="str">
        <f>MID(excPisCofins[[#This Row],[CodBarras2]],2,50)</f>
        <v/>
      </c>
    </row>
    <row r="24384" spans="9:9" x14ac:dyDescent="0.25">
      <c r="I24384" s="227" t="str">
        <f>MID(excPisCofins[[#This Row],[CodBarras2]],2,50)</f>
        <v/>
      </c>
    </row>
    <row r="24385" spans="9:9" x14ac:dyDescent="0.25">
      <c r="I24385" s="227" t="str">
        <f>MID(excPisCofins[[#This Row],[CodBarras2]],2,50)</f>
        <v/>
      </c>
    </row>
    <row r="24386" spans="9:9" x14ac:dyDescent="0.25">
      <c r="I24386" s="227" t="str">
        <f>MID(excPisCofins[[#This Row],[CodBarras2]],2,50)</f>
        <v/>
      </c>
    </row>
    <row r="24387" spans="9:9" x14ac:dyDescent="0.25">
      <c r="I24387" s="227" t="str">
        <f>MID(excPisCofins[[#This Row],[CodBarras2]],2,50)</f>
        <v/>
      </c>
    </row>
    <row r="24388" spans="9:9" x14ac:dyDescent="0.25">
      <c r="I24388" s="227" t="str">
        <f>MID(excPisCofins[[#This Row],[CodBarras2]],2,50)</f>
        <v/>
      </c>
    </row>
    <row r="24389" spans="9:9" x14ac:dyDescent="0.25">
      <c r="I24389" s="227" t="str">
        <f>MID(excPisCofins[[#This Row],[CodBarras2]],2,50)</f>
        <v/>
      </c>
    </row>
    <row r="24390" spans="9:9" x14ac:dyDescent="0.25">
      <c r="I24390" s="227" t="str">
        <f>MID(excPisCofins[[#This Row],[CodBarras2]],2,50)</f>
        <v/>
      </c>
    </row>
    <row r="24391" spans="9:9" x14ac:dyDescent="0.25">
      <c r="I24391" s="227" t="str">
        <f>MID(excPisCofins[[#This Row],[CodBarras2]],2,50)</f>
        <v/>
      </c>
    </row>
    <row r="24392" spans="9:9" x14ac:dyDescent="0.25">
      <c r="I24392" s="227" t="str">
        <f>MID(excPisCofins[[#This Row],[CodBarras2]],2,50)</f>
        <v/>
      </c>
    </row>
    <row r="24393" spans="9:9" x14ac:dyDescent="0.25">
      <c r="I24393" s="227" t="str">
        <f>MID(excPisCofins[[#This Row],[CodBarras2]],2,50)</f>
        <v/>
      </c>
    </row>
    <row r="24394" spans="9:9" x14ac:dyDescent="0.25">
      <c r="I24394" s="227" t="str">
        <f>MID(excPisCofins[[#This Row],[CodBarras2]],2,50)</f>
        <v/>
      </c>
    </row>
    <row r="24395" spans="9:9" x14ac:dyDescent="0.25">
      <c r="I24395" s="227" t="str">
        <f>MID(excPisCofins[[#This Row],[CodBarras2]],2,50)</f>
        <v/>
      </c>
    </row>
    <row r="24396" spans="9:9" x14ac:dyDescent="0.25">
      <c r="I24396" s="227" t="str">
        <f>MID(excPisCofins[[#This Row],[CodBarras2]],2,50)</f>
        <v/>
      </c>
    </row>
    <row r="24397" spans="9:9" x14ac:dyDescent="0.25">
      <c r="I24397" s="227" t="str">
        <f>MID(excPisCofins[[#This Row],[CodBarras2]],2,50)</f>
        <v/>
      </c>
    </row>
    <row r="24398" spans="9:9" x14ac:dyDescent="0.25">
      <c r="I24398" s="227" t="str">
        <f>MID(excPisCofins[[#This Row],[CodBarras2]],2,50)</f>
        <v/>
      </c>
    </row>
    <row r="24399" spans="9:9" x14ac:dyDescent="0.25">
      <c r="I24399" s="227" t="str">
        <f>MID(excPisCofins[[#This Row],[CodBarras2]],2,50)</f>
        <v/>
      </c>
    </row>
    <row r="24400" spans="9:9" x14ac:dyDescent="0.25">
      <c r="I24400" s="227" t="str">
        <f>MID(excPisCofins[[#This Row],[CodBarras2]],2,50)</f>
        <v/>
      </c>
    </row>
    <row r="24401" spans="9:9" x14ac:dyDescent="0.25">
      <c r="I24401" s="227" t="str">
        <f>MID(excPisCofins[[#This Row],[CodBarras2]],2,50)</f>
        <v/>
      </c>
    </row>
    <row r="24402" spans="9:9" x14ac:dyDescent="0.25">
      <c r="I24402" s="227" t="str">
        <f>MID(excPisCofins[[#This Row],[CodBarras2]],2,50)</f>
        <v/>
      </c>
    </row>
    <row r="24403" spans="9:9" x14ac:dyDescent="0.25">
      <c r="I24403" s="227" t="str">
        <f>MID(excPisCofins[[#This Row],[CodBarras2]],2,50)</f>
        <v/>
      </c>
    </row>
    <row r="24404" spans="9:9" x14ac:dyDescent="0.25">
      <c r="I24404" s="227" t="str">
        <f>MID(excPisCofins[[#This Row],[CodBarras2]],2,50)</f>
        <v/>
      </c>
    </row>
    <row r="24405" spans="9:9" x14ac:dyDescent="0.25">
      <c r="I24405" s="227" t="str">
        <f>MID(excPisCofins[[#This Row],[CodBarras2]],2,50)</f>
        <v/>
      </c>
    </row>
    <row r="24406" spans="9:9" x14ac:dyDescent="0.25">
      <c r="I24406" s="227" t="str">
        <f>MID(excPisCofins[[#This Row],[CodBarras2]],2,50)</f>
        <v/>
      </c>
    </row>
    <row r="24407" spans="9:9" x14ac:dyDescent="0.25">
      <c r="I24407" s="227" t="str">
        <f>MID(excPisCofins[[#This Row],[CodBarras2]],2,50)</f>
        <v/>
      </c>
    </row>
    <row r="24408" spans="9:9" x14ac:dyDescent="0.25">
      <c r="I24408" s="227" t="str">
        <f>MID(excPisCofins[[#This Row],[CodBarras2]],2,50)</f>
        <v/>
      </c>
    </row>
    <row r="24409" spans="9:9" x14ac:dyDescent="0.25">
      <c r="I24409" s="227" t="str">
        <f>MID(excPisCofins[[#This Row],[CodBarras2]],2,50)</f>
        <v/>
      </c>
    </row>
    <row r="24410" spans="9:9" x14ac:dyDescent="0.25">
      <c r="I24410" s="227" t="str">
        <f>MID(excPisCofins[[#This Row],[CodBarras2]],2,50)</f>
        <v/>
      </c>
    </row>
    <row r="24411" spans="9:9" x14ac:dyDescent="0.25">
      <c r="I24411" s="227" t="str">
        <f>MID(excPisCofins[[#This Row],[CodBarras2]],2,50)</f>
        <v/>
      </c>
    </row>
    <row r="24412" spans="9:9" x14ac:dyDescent="0.25">
      <c r="I24412" s="227" t="str">
        <f>MID(excPisCofins[[#This Row],[CodBarras2]],2,50)</f>
        <v/>
      </c>
    </row>
    <row r="24413" spans="9:9" x14ac:dyDescent="0.25">
      <c r="I24413" s="227" t="str">
        <f>MID(excPisCofins[[#This Row],[CodBarras2]],2,50)</f>
        <v/>
      </c>
    </row>
    <row r="24414" spans="9:9" x14ac:dyDescent="0.25">
      <c r="I24414" s="227" t="str">
        <f>MID(excPisCofins[[#This Row],[CodBarras2]],2,50)</f>
        <v/>
      </c>
    </row>
    <row r="24415" spans="9:9" x14ac:dyDescent="0.25">
      <c r="I24415" s="227" t="str">
        <f>MID(excPisCofins[[#This Row],[CodBarras2]],2,50)</f>
        <v/>
      </c>
    </row>
    <row r="24416" spans="9:9" x14ac:dyDescent="0.25">
      <c r="I24416" s="227" t="str">
        <f>MID(excPisCofins[[#This Row],[CodBarras2]],2,50)</f>
        <v/>
      </c>
    </row>
    <row r="24417" spans="9:9" x14ac:dyDescent="0.25">
      <c r="I24417" s="227" t="str">
        <f>MID(excPisCofins[[#This Row],[CodBarras2]],2,50)</f>
        <v/>
      </c>
    </row>
    <row r="24418" spans="9:9" x14ac:dyDescent="0.25">
      <c r="I24418" s="227" t="str">
        <f>MID(excPisCofins[[#This Row],[CodBarras2]],2,50)</f>
        <v/>
      </c>
    </row>
    <row r="24419" spans="9:9" x14ac:dyDescent="0.25">
      <c r="I24419" s="227" t="str">
        <f>MID(excPisCofins[[#This Row],[CodBarras2]],2,50)</f>
        <v/>
      </c>
    </row>
    <row r="24420" spans="9:9" x14ac:dyDescent="0.25">
      <c r="I24420" s="227" t="str">
        <f>MID(excPisCofins[[#This Row],[CodBarras2]],2,50)</f>
        <v/>
      </c>
    </row>
    <row r="24421" spans="9:9" x14ac:dyDescent="0.25">
      <c r="I24421" s="227" t="str">
        <f>MID(excPisCofins[[#This Row],[CodBarras2]],2,50)</f>
        <v/>
      </c>
    </row>
    <row r="24422" spans="9:9" x14ac:dyDescent="0.25">
      <c r="I24422" s="227" t="str">
        <f>MID(excPisCofins[[#This Row],[CodBarras2]],2,50)</f>
        <v/>
      </c>
    </row>
    <row r="24423" spans="9:9" x14ac:dyDescent="0.25">
      <c r="I24423" s="227" t="str">
        <f>MID(excPisCofins[[#This Row],[CodBarras2]],2,50)</f>
        <v/>
      </c>
    </row>
    <row r="24424" spans="9:9" x14ac:dyDescent="0.25">
      <c r="I24424" s="227" t="str">
        <f>MID(excPisCofins[[#This Row],[CodBarras2]],2,50)</f>
        <v/>
      </c>
    </row>
    <row r="24425" spans="9:9" x14ac:dyDescent="0.25">
      <c r="I24425" s="227" t="str">
        <f>MID(excPisCofins[[#This Row],[CodBarras2]],2,50)</f>
        <v/>
      </c>
    </row>
    <row r="24426" spans="9:9" x14ac:dyDescent="0.25">
      <c r="I24426" s="227" t="str">
        <f>MID(excPisCofins[[#This Row],[CodBarras2]],2,50)</f>
        <v/>
      </c>
    </row>
    <row r="24427" spans="9:9" x14ac:dyDescent="0.25">
      <c r="I24427" s="227" t="str">
        <f>MID(excPisCofins[[#This Row],[CodBarras2]],2,50)</f>
        <v/>
      </c>
    </row>
    <row r="24428" spans="9:9" x14ac:dyDescent="0.25">
      <c r="I24428" s="227" t="str">
        <f>MID(excPisCofins[[#This Row],[CodBarras2]],2,50)</f>
        <v/>
      </c>
    </row>
    <row r="24429" spans="9:9" x14ac:dyDescent="0.25">
      <c r="I24429" s="227" t="str">
        <f>MID(excPisCofins[[#This Row],[CodBarras2]],2,50)</f>
        <v/>
      </c>
    </row>
    <row r="24430" spans="9:9" x14ac:dyDescent="0.25">
      <c r="I24430" s="227" t="str">
        <f>MID(excPisCofins[[#This Row],[CodBarras2]],2,50)</f>
        <v/>
      </c>
    </row>
    <row r="24431" spans="9:9" x14ac:dyDescent="0.25">
      <c r="I24431" s="227" t="str">
        <f>MID(excPisCofins[[#This Row],[CodBarras2]],2,50)</f>
        <v/>
      </c>
    </row>
    <row r="24432" spans="9:9" x14ac:dyDescent="0.25">
      <c r="I24432" s="227" t="str">
        <f>MID(excPisCofins[[#This Row],[CodBarras2]],2,50)</f>
        <v/>
      </c>
    </row>
    <row r="24433" spans="9:9" x14ac:dyDescent="0.25">
      <c r="I24433" s="227" t="str">
        <f>MID(excPisCofins[[#This Row],[CodBarras2]],2,50)</f>
        <v/>
      </c>
    </row>
    <row r="24434" spans="9:9" x14ac:dyDescent="0.25">
      <c r="I24434" s="227" t="str">
        <f>MID(excPisCofins[[#This Row],[CodBarras2]],2,50)</f>
        <v/>
      </c>
    </row>
    <row r="24435" spans="9:9" x14ac:dyDescent="0.25">
      <c r="I24435" s="227" t="str">
        <f>MID(excPisCofins[[#This Row],[CodBarras2]],2,50)</f>
        <v/>
      </c>
    </row>
    <row r="24436" spans="9:9" x14ac:dyDescent="0.25">
      <c r="I24436" s="227" t="str">
        <f>MID(excPisCofins[[#This Row],[CodBarras2]],2,50)</f>
        <v/>
      </c>
    </row>
    <row r="24437" spans="9:9" x14ac:dyDescent="0.25">
      <c r="I24437" s="227" t="str">
        <f>MID(excPisCofins[[#This Row],[CodBarras2]],2,50)</f>
        <v/>
      </c>
    </row>
    <row r="24438" spans="9:9" x14ac:dyDescent="0.25">
      <c r="I24438" s="227" t="str">
        <f>MID(excPisCofins[[#This Row],[CodBarras2]],2,50)</f>
        <v/>
      </c>
    </row>
    <row r="24439" spans="9:9" x14ac:dyDescent="0.25">
      <c r="I24439" s="227" t="str">
        <f>MID(excPisCofins[[#This Row],[CodBarras2]],2,50)</f>
        <v/>
      </c>
    </row>
    <row r="24440" spans="9:9" x14ac:dyDescent="0.25">
      <c r="I24440" s="227" t="str">
        <f>MID(excPisCofins[[#This Row],[CodBarras2]],2,50)</f>
        <v/>
      </c>
    </row>
    <row r="24441" spans="9:9" x14ac:dyDescent="0.25">
      <c r="I24441" s="227" t="str">
        <f>MID(excPisCofins[[#This Row],[CodBarras2]],2,50)</f>
        <v/>
      </c>
    </row>
    <row r="24442" spans="9:9" x14ac:dyDescent="0.25">
      <c r="I24442" s="227" t="str">
        <f>MID(excPisCofins[[#This Row],[CodBarras2]],2,50)</f>
        <v/>
      </c>
    </row>
    <row r="24443" spans="9:9" x14ac:dyDescent="0.25">
      <c r="I24443" s="227" t="str">
        <f>MID(excPisCofins[[#This Row],[CodBarras2]],2,50)</f>
        <v/>
      </c>
    </row>
    <row r="24444" spans="9:9" x14ac:dyDescent="0.25">
      <c r="I24444" s="227" t="str">
        <f>MID(excPisCofins[[#This Row],[CodBarras2]],2,50)</f>
        <v/>
      </c>
    </row>
    <row r="24445" spans="9:9" x14ac:dyDescent="0.25">
      <c r="I24445" s="227" t="str">
        <f>MID(excPisCofins[[#This Row],[CodBarras2]],2,50)</f>
        <v/>
      </c>
    </row>
    <row r="24446" spans="9:9" x14ac:dyDescent="0.25">
      <c r="I24446" s="227" t="str">
        <f>MID(excPisCofins[[#This Row],[CodBarras2]],2,50)</f>
        <v/>
      </c>
    </row>
    <row r="24447" spans="9:9" x14ac:dyDescent="0.25">
      <c r="I24447" s="227" t="str">
        <f>MID(excPisCofins[[#This Row],[CodBarras2]],2,50)</f>
        <v/>
      </c>
    </row>
    <row r="24448" spans="9:9" x14ac:dyDescent="0.25">
      <c r="I24448" s="227" t="str">
        <f>MID(excPisCofins[[#This Row],[CodBarras2]],2,50)</f>
        <v/>
      </c>
    </row>
    <row r="24449" spans="9:9" x14ac:dyDescent="0.25">
      <c r="I24449" s="227" t="str">
        <f>MID(excPisCofins[[#This Row],[CodBarras2]],2,50)</f>
        <v/>
      </c>
    </row>
    <row r="24450" spans="9:9" x14ac:dyDescent="0.25">
      <c r="I24450" s="227" t="str">
        <f>MID(excPisCofins[[#This Row],[CodBarras2]],2,50)</f>
        <v/>
      </c>
    </row>
    <row r="24451" spans="9:9" x14ac:dyDescent="0.25">
      <c r="I24451" s="227" t="str">
        <f>MID(excPisCofins[[#This Row],[CodBarras2]],2,50)</f>
        <v/>
      </c>
    </row>
    <row r="24452" spans="9:9" x14ac:dyDescent="0.25">
      <c r="I24452" s="227" t="str">
        <f>MID(excPisCofins[[#This Row],[CodBarras2]],2,50)</f>
        <v/>
      </c>
    </row>
    <row r="24453" spans="9:9" x14ac:dyDescent="0.25">
      <c r="I24453" s="227" t="str">
        <f>MID(excPisCofins[[#This Row],[CodBarras2]],2,50)</f>
        <v/>
      </c>
    </row>
    <row r="24454" spans="9:9" x14ac:dyDescent="0.25">
      <c r="I24454" s="227" t="str">
        <f>MID(excPisCofins[[#This Row],[CodBarras2]],2,50)</f>
        <v/>
      </c>
    </row>
    <row r="24455" spans="9:9" x14ac:dyDescent="0.25">
      <c r="I24455" s="227" t="str">
        <f>MID(excPisCofins[[#This Row],[CodBarras2]],2,50)</f>
        <v/>
      </c>
    </row>
    <row r="24456" spans="9:9" x14ac:dyDescent="0.25">
      <c r="I24456" s="227" t="str">
        <f>MID(excPisCofins[[#This Row],[CodBarras2]],2,50)</f>
        <v/>
      </c>
    </row>
    <row r="24457" spans="9:9" x14ac:dyDescent="0.25">
      <c r="I24457" s="227" t="str">
        <f>MID(excPisCofins[[#This Row],[CodBarras2]],2,50)</f>
        <v/>
      </c>
    </row>
    <row r="24458" spans="9:9" x14ac:dyDescent="0.25">
      <c r="I24458" s="227" t="str">
        <f>MID(excPisCofins[[#This Row],[CodBarras2]],2,50)</f>
        <v/>
      </c>
    </row>
    <row r="24459" spans="9:9" x14ac:dyDescent="0.25">
      <c r="I24459" s="227" t="str">
        <f>MID(excPisCofins[[#This Row],[CodBarras2]],2,50)</f>
        <v/>
      </c>
    </row>
    <row r="24460" spans="9:9" x14ac:dyDescent="0.25">
      <c r="I24460" s="227" t="str">
        <f>MID(excPisCofins[[#This Row],[CodBarras2]],2,50)</f>
        <v/>
      </c>
    </row>
    <row r="24461" spans="9:9" x14ac:dyDescent="0.25">
      <c r="I24461" s="227" t="str">
        <f>MID(excPisCofins[[#This Row],[CodBarras2]],2,50)</f>
        <v/>
      </c>
    </row>
    <row r="24462" spans="9:9" x14ac:dyDescent="0.25">
      <c r="I24462" s="227" t="str">
        <f>MID(excPisCofins[[#This Row],[CodBarras2]],2,50)</f>
        <v/>
      </c>
    </row>
    <row r="24463" spans="9:9" x14ac:dyDescent="0.25">
      <c r="I24463" s="227" t="str">
        <f>MID(excPisCofins[[#This Row],[CodBarras2]],2,50)</f>
        <v/>
      </c>
    </row>
    <row r="24464" spans="9:9" x14ac:dyDescent="0.25">
      <c r="I24464" s="227" t="str">
        <f>MID(excPisCofins[[#This Row],[CodBarras2]],2,50)</f>
        <v/>
      </c>
    </row>
    <row r="24465" spans="9:9" x14ac:dyDescent="0.25">
      <c r="I24465" s="227" t="str">
        <f>MID(excPisCofins[[#This Row],[CodBarras2]],2,50)</f>
        <v/>
      </c>
    </row>
    <row r="24466" spans="9:9" x14ac:dyDescent="0.25">
      <c r="I24466" s="227" t="str">
        <f>MID(excPisCofins[[#This Row],[CodBarras2]],2,50)</f>
        <v/>
      </c>
    </row>
    <row r="24467" spans="9:9" x14ac:dyDescent="0.25">
      <c r="I24467" s="227" t="str">
        <f>MID(excPisCofins[[#This Row],[CodBarras2]],2,50)</f>
        <v/>
      </c>
    </row>
    <row r="24468" spans="9:9" x14ac:dyDescent="0.25">
      <c r="I24468" s="227" t="str">
        <f>MID(excPisCofins[[#This Row],[CodBarras2]],2,50)</f>
        <v/>
      </c>
    </row>
    <row r="24469" spans="9:9" x14ac:dyDescent="0.25">
      <c r="I24469" s="227" t="str">
        <f>MID(excPisCofins[[#This Row],[CodBarras2]],2,50)</f>
        <v/>
      </c>
    </row>
    <row r="24470" spans="9:9" x14ac:dyDescent="0.25">
      <c r="I24470" s="227" t="str">
        <f>MID(excPisCofins[[#This Row],[CodBarras2]],2,50)</f>
        <v/>
      </c>
    </row>
    <row r="24471" spans="9:9" x14ac:dyDescent="0.25">
      <c r="I24471" s="227" t="str">
        <f>MID(excPisCofins[[#This Row],[CodBarras2]],2,50)</f>
        <v/>
      </c>
    </row>
    <row r="24472" spans="9:9" x14ac:dyDescent="0.25">
      <c r="I24472" s="227" t="str">
        <f>MID(excPisCofins[[#This Row],[CodBarras2]],2,50)</f>
        <v/>
      </c>
    </row>
    <row r="24473" spans="9:9" x14ac:dyDescent="0.25">
      <c r="I24473" s="227" t="str">
        <f>MID(excPisCofins[[#This Row],[CodBarras2]],2,50)</f>
        <v/>
      </c>
    </row>
    <row r="24474" spans="9:9" x14ac:dyDescent="0.25">
      <c r="I24474" s="227" t="str">
        <f>MID(excPisCofins[[#This Row],[CodBarras2]],2,50)</f>
        <v/>
      </c>
    </row>
    <row r="24475" spans="9:9" x14ac:dyDescent="0.25">
      <c r="I24475" s="227" t="str">
        <f>MID(excPisCofins[[#This Row],[CodBarras2]],2,50)</f>
        <v/>
      </c>
    </row>
    <row r="24476" spans="9:9" x14ac:dyDescent="0.25">
      <c r="I24476" s="227" t="str">
        <f>MID(excPisCofins[[#This Row],[CodBarras2]],2,50)</f>
        <v/>
      </c>
    </row>
    <row r="24477" spans="9:9" x14ac:dyDescent="0.25">
      <c r="I24477" s="227" t="str">
        <f>MID(excPisCofins[[#This Row],[CodBarras2]],2,50)</f>
        <v/>
      </c>
    </row>
    <row r="24478" spans="9:9" x14ac:dyDescent="0.25">
      <c r="I24478" s="227" t="str">
        <f>MID(excPisCofins[[#This Row],[CodBarras2]],2,50)</f>
        <v/>
      </c>
    </row>
    <row r="24479" spans="9:9" x14ac:dyDescent="0.25">
      <c r="I24479" s="227" t="str">
        <f>MID(excPisCofins[[#This Row],[CodBarras2]],2,50)</f>
        <v/>
      </c>
    </row>
    <row r="24480" spans="9:9" x14ac:dyDescent="0.25">
      <c r="I24480" s="227" t="str">
        <f>MID(excPisCofins[[#This Row],[CodBarras2]],2,50)</f>
        <v/>
      </c>
    </row>
    <row r="24481" spans="9:9" x14ac:dyDescent="0.25">
      <c r="I24481" s="227" t="str">
        <f>MID(excPisCofins[[#This Row],[CodBarras2]],2,50)</f>
        <v/>
      </c>
    </row>
    <row r="24482" spans="9:9" x14ac:dyDescent="0.25">
      <c r="I24482" s="227" t="str">
        <f>MID(excPisCofins[[#This Row],[CodBarras2]],2,50)</f>
        <v/>
      </c>
    </row>
    <row r="24483" spans="9:9" x14ac:dyDescent="0.25">
      <c r="I24483" s="227" t="str">
        <f>MID(excPisCofins[[#This Row],[CodBarras2]],2,50)</f>
        <v/>
      </c>
    </row>
    <row r="24484" spans="9:9" x14ac:dyDescent="0.25">
      <c r="I24484" s="227" t="str">
        <f>MID(excPisCofins[[#This Row],[CodBarras2]],2,50)</f>
        <v/>
      </c>
    </row>
    <row r="24485" spans="9:9" x14ac:dyDescent="0.25">
      <c r="I24485" s="227" t="str">
        <f>MID(excPisCofins[[#This Row],[CodBarras2]],2,50)</f>
        <v/>
      </c>
    </row>
    <row r="24486" spans="9:9" x14ac:dyDescent="0.25">
      <c r="I24486" s="227" t="str">
        <f>MID(excPisCofins[[#This Row],[CodBarras2]],2,50)</f>
        <v/>
      </c>
    </row>
    <row r="24487" spans="9:9" x14ac:dyDescent="0.25">
      <c r="I24487" s="227" t="str">
        <f>MID(excPisCofins[[#This Row],[CodBarras2]],2,50)</f>
        <v/>
      </c>
    </row>
    <row r="24488" spans="9:9" x14ac:dyDescent="0.25">
      <c r="I24488" s="227" t="str">
        <f>MID(excPisCofins[[#This Row],[CodBarras2]],2,50)</f>
        <v/>
      </c>
    </row>
    <row r="24489" spans="9:9" x14ac:dyDescent="0.25">
      <c r="I24489" s="227" t="str">
        <f>MID(excPisCofins[[#This Row],[CodBarras2]],2,50)</f>
        <v/>
      </c>
    </row>
    <row r="24490" spans="9:9" x14ac:dyDescent="0.25">
      <c r="I24490" s="227" t="str">
        <f>MID(excPisCofins[[#This Row],[CodBarras2]],2,50)</f>
        <v/>
      </c>
    </row>
    <row r="24491" spans="9:9" x14ac:dyDescent="0.25">
      <c r="I24491" s="227" t="str">
        <f>MID(excPisCofins[[#This Row],[CodBarras2]],2,50)</f>
        <v/>
      </c>
    </row>
    <row r="24492" spans="9:9" x14ac:dyDescent="0.25">
      <c r="I24492" s="227" t="str">
        <f>MID(excPisCofins[[#This Row],[CodBarras2]],2,50)</f>
        <v/>
      </c>
    </row>
    <row r="24493" spans="9:9" x14ac:dyDescent="0.25">
      <c r="I24493" s="227" t="str">
        <f>MID(excPisCofins[[#This Row],[CodBarras2]],2,50)</f>
        <v/>
      </c>
    </row>
    <row r="24494" spans="9:9" x14ac:dyDescent="0.25">
      <c r="I24494" s="227" t="str">
        <f>MID(excPisCofins[[#This Row],[CodBarras2]],2,50)</f>
        <v/>
      </c>
    </row>
    <row r="24495" spans="9:9" x14ac:dyDescent="0.25">
      <c r="I24495" s="227" t="str">
        <f>MID(excPisCofins[[#This Row],[CodBarras2]],2,50)</f>
        <v/>
      </c>
    </row>
    <row r="24496" spans="9:9" x14ac:dyDescent="0.25">
      <c r="I24496" s="227" t="str">
        <f>MID(excPisCofins[[#This Row],[CodBarras2]],2,50)</f>
        <v/>
      </c>
    </row>
    <row r="24497" spans="9:9" x14ac:dyDescent="0.25">
      <c r="I24497" s="227" t="str">
        <f>MID(excPisCofins[[#This Row],[CodBarras2]],2,50)</f>
        <v/>
      </c>
    </row>
    <row r="24498" spans="9:9" x14ac:dyDescent="0.25">
      <c r="I24498" s="227" t="str">
        <f>MID(excPisCofins[[#This Row],[CodBarras2]],2,50)</f>
        <v/>
      </c>
    </row>
    <row r="24499" spans="9:9" x14ac:dyDescent="0.25">
      <c r="I24499" s="227" t="str">
        <f>MID(excPisCofins[[#This Row],[CodBarras2]],2,50)</f>
        <v/>
      </c>
    </row>
    <row r="24500" spans="9:9" x14ac:dyDescent="0.25">
      <c r="I24500" s="227" t="str">
        <f>MID(excPisCofins[[#This Row],[CodBarras2]],2,50)</f>
        <v/>
      </c>
    </row>
    <row r="24501" spans="9:9" x14ac:dyDescent="0.25">
      <c r="I24501" s="227" t="str">
        <f>MID(excPisCofins[[#This Row],[CodBarras2]],2,50)</f>
        <v/>
      </c>
    </row>
    <row r="24502" spans="9:9" x14ac:dyDescent="0.25">
      <c r="I24502" s="227" t="str">
        <f>MID(excPisCofins[[#This Row],[CodBarras2]],2,50)</f>
        <v/>
      </c>
    </row>
    <row r="24503" spans="9:9" x14ac:dyDescent="0.25">
      <c r="I24503" s="227" t="str">
        <f>MID(excPisCofins[[#This Row],[CodBarras2]],2,50)</f>
        <v/>
      </c>
    </row>
    <row r="24504" spans="9:9" x14ac:dyDescent="0.25">
      <c r="I24504" s="227" t="str">
        <f>MID(excPisCofins[[#This Row],[CodBarras2]],2,50)</f>
        <v/>
      </c>
    </row>
    <row r="24505" spans="9:9" x14ac:dyDescent="0.25">
      <c r="I24505" s="227" t="str">
        <f>MID(excPisCofins[[#This Row],[CodBarras2]],2,50)</f>
        <v/>
      </c>
    </row>
    <row r="24506" spans="9:9" x14ac:dyDescent="0.25">
      <c r="I24506" s="227" t="str">
        <f>MID(excPisCofins[[#This Row],[CodBarras2]],2,50)</f>
        <v/>
      </c>
    </row>
    <row r="24507" spans="9:9" x14ac:dyDescent="0.25">
      <c r="I24507" s="227" t="str">
        <f>MID(excPisCofins[[#This Row],[CodBarras2]],2,50)</f>
        <v/>
      </c>
    </row>
    <row r="24508" spans="9:9" x14ac:dyDescent="0.25">
      <c r="I24508" s="227" t="str">
        <f>MID(excPisCofins[[#This Row],[CodBarras2]],2,50)</f>
        <v/>
      </c>
    </row>
    <row r="24509" spans="9:9" x14ac:dyDescent="0.25">
      <c r="I24509" s="227" t="str">
        <f>MID(excPisCofins[[#This Row],[CodBarras2]],2,50)</f>
        <v/>
      </c>
    </row>
    <row r="24510" spans="9:9" x14ac:dyDescent="0.25">
      <c r="I24510" s="227" t="str">
        <f>MID(excPisCofins[[#This Row],[CodBarras2]],2,50)</f>
        <v/>
      </c>
    </row>
    <row r="24511" spans="9:9" x14ac:dyDescent="0.25">
      <c r="I24511" s="227" t="str">
        <f>MID(excPisCofins[[#This Row],[CodBarras2]],2,50)</f>
        <v/>
      </c>
    </row>
    <row r="24512" spans="9:9" x14ac:dyDescent="0.25">
      <c r="I24512" s="227" t="str">
        <f>MID(excPisCofins[[#This Row],[CodBarras2]],2,50)</f>
        <v/>
      </c>
    </row>
    <row r="24513" spans="9:9" x14ac:dyDescent="0.25">
      <c r="I24513" s="227" t="str">
        <f>MID(excPisCofins[[#This Row],[CodBarras2]],2,50)</f>
        <v/>
      </c>
    </row>
    <row r="24514" spans="9:9" x14ac:dyDescent="0.25">
      <c r="I24514" s="227" t="str">
        <f>MID(excPisCofins[[#This Row],[CodBarras2]],2,50)</f>
        <v/>
      </c>
    </row>
    <row r="24515" spans="9:9" x14ac:dyDescent="0.25">
      <c r="I24515" s="227" t="str">
        <f>MID(excPisCofins[[#This Row],[CodBarras2]],2,50)</f>
        <v/>
      </c>
    </row>
    <row r="24516" spans="9:9" x14ac:dyDescent="0.25">
      <c r="I24516" s="227" t="str">
        <f>MID(excPisCofins[[#This Row],[CodBarras2]],2,50)</f>
        <v/>
      </c>
    </row>
    <row r="24517" spans="9:9" x14ac:dyDescent="0.25">
      <c r="I24517" s="227" t="str">
        <f>MID(excPisCofins[[#This Row],[CodBarras2]],2,50)</f>
        <v/>
      </c>
    </row>
    <row r="24518" spans="9:9" x14ac:dyDescent="0.25">
      <c r="I24518" s="227" t="str">
        <f>MID(excPisCofins[[#This Row],[CodBarras2]],2,50)</f>
        <v/>
      </c>
    </row>
    <row r="24519" spans="9:9" x14ac:dyDescent="0.25">
      <c r="I24519" s="227" t="str">
        <f>MID(excPisCofins[[#This Row],[CodBarras2]],2,50)</f>
        <v/>
      </c>
    </row>
    <row r="24520" spans="9:9" x14ac:dyDescent="0.25">
      <c r="I24520" s="227" t="str">
        <f>MID(excPisCofins[[#This Row],[CodBarras2]],2,50)</f>
        <v/>
      </c>
    </row>
    <row r="24521" spans="9:9" x14ac:dyDescent="0.25">
      <c r="I24521" s="227" t="str">
        <f>MID(excPisCofins[[#This Row],[CodBarras2]],2,50)</f>
        <v/>
      </c>
    </row>
    <row r="24522" spans="9:9" x14ac:dyDescent="0.25">
      <c r="I24522" s="227" t="str">
        <f>MID(excPisCofins[[#This Row],[CodBarras2]],2,50)</f>
        <v/>
      </c>
    </row>
    <row r="24523" spans="9:9" x14ac:dyDescent="0.25">
      <c r="I24523" s="227" t="str">
        <f>MID(excPisCofins[[#This Row],[CodBarras2]],2,50)</f>
        <v/>
      </c>
    </row>
    <row r="24524" spans="9:9" x14ac:dyDescent="0.25">
      <c r="I24524" s="227" t="str">
        <f>MID(excPisCofins[[#This Row],[CodBarras2]],2,50)</f>
        <v/>
      </c>
    </row>
    <row r="24525" spans="9:9" x14ac:dyDescent="0.25">
      <c r="I24525" s="227" t="str">
        <f>MID(excPisCofins[[#This Row],[CodBarras2]],2,50)</f>
        <v/>
      </c>
    </row>
    <row r="24526" spans="9:9" x14ac:dyDescent="0.25">
      <c r="I24526" s="227" t="str">
        <f>MID(excPisCofins[[#This Row],[CodBarras2]],2,50)</f>
        <v/>
      </c>
    </row>
    <row r="24527" spans="9:9" x14ac:dyDescent="0.25">
      <c r="I24527" s="227" t="str">
        <f>MID(excPisCofins[[#This Row],[CodBarras2]],2,50)</f>
        <v/>
      </c>
    </row>
    <row r="24528" spans="9:9" x14ac:dyDescent="0.25">
      <c r="I24528" s="227" t="str">
        <f>MID(excPisCofins[[#This Row],[CodBarras2]],2,50)</f>
        <v/>
      </c>
    </row>
    <row r="24529" spans="9:9" x14ac:dyDescent="0.25">
      <c r="I24529" s="227" t="str">
        <f>MID(excPisCofins[[#This Row],[CodBarras2]],2,50)</f>
        <v/>
      </c>
    </row>
    <row r="24530" spans="9:9" x14ac:dyDescent="0.25">
      <c r="I24530" s="227" t="str">
        <f>MID(excPisCofins[[#This Row],[CodBarras2]],2,50)</f>
        <v/>
      </c>
    </row>
    <row r="24531" spans="9:9" x14ac:dyDescent="0.25">
      <c r="I24531" s="227" t="str">
        <f>MID(excPisCofins[[#This Row],[CodBarras2]],2,50)</f>
        <v/>
      </c>
    </row>
    <row r="24532" spans="9:9" x14ac:dyDescent="0.25">
      <c r="I24532" s="227" t="str">
        <f>MID(excPisCofins[[#This Row],[CodBarras2]],2,50)</f>
        <v/>
      </c>
    </row>
    <row r="24533" spans="9:9" x14ac:dyDescent="0.25">
      <c r="I24533" s="227" t="str">
        <f>MID(excPisCofins[[#This Row],[CodBarras2]],2,50)</f>
        <v/>
      </c>
    </row>
    <row r="24534" spans="9:9" x14ac:dyDescent="0.25">
      <c r="I24534" s="227" t="str">
        <f>MID(excPisCofins[[#This Row],[CodBarras2]],2,50)</f>
        <v/>
      </c>
    </row>
    <row r="24535" spans="9:9" x14ac:dyDescent="0.25">
      <c r="I24535" s="227" t="str">
        <f>MID(excPisCofins[[#This Row],[CodBarras2]],2,50)</f>
        <v/>
      </c>
    </row>
    <row r="24536" spans="9:9" x14ac:dyDescent="0.25">
      <c r="I24536" s="227" t="str">
        <f>MID(excPisCofins[[#This Row],[CodBarras2]],2,50)</f>
        <v/>
      </c>
    </row>
    <row r="24537" spans="9:9" x14ac:dyDescent="0.25">
      <c r="I24537" s="227" t="str">
        <f>MID(excPisCofins[[#This Row],[CodBarras2]],2,50)</f>
        <v/>
      </c>
    </row>
    <row r="24538" spans="9:9" x14ac:dyDescent="0.25">
      <c r="I24538" s="227" t="str">
        <f>MID(excPisCofins[[#This Row],[CodBarras2]],2,50)</f>
        <v/>
      </c>
    </row>
    <row r="24539" spans="9:9" x14ac:dyDescent="0.25">
      <c r="I24539" s="227" t="str">
        <f>MID(excPisCofins[[#This Row],[CodBarras2]],2,50)</f>
        <v/>
      </c>
    </row>
    <row r="24540" spans="9:9" x14ac:dyDescent="0.25">
      <c r="I24540" s="227" t="str">
        <f>MID(excPisCofins[[#This Row],[CodBarras2]],2,50)</f>
        <v/>
      </c>
    </row>
    <row r="24541" spans="9:9" x14ac:dyDescent="0.25">
      <c r="I24541" s="227" t="str">
        <f>MID(excPisCofins[[#This Row],[CodBarras2]],2,50)</f>
        <v/>
      </c>
    </row>
    <row r="24542" spans="9:9" x14ac:dyDescent="0.25">
      <c r="I24542" s="227" t="str">
        <f>MID(excPisCofins[[#This Row],[CodBarras2]],2,50)</f>
        <v/>
      </c>
    </row>
    <row r="24543" spans="9:9" x14ac:dyDescent="0.25">
      <c r="I24543" s="227" t="str">
        <f>MID(excPisCofins[[#This Row],[CodBarras2]],2,50)</f>
        <v/>
      </c>
    </row>
    <row r="24544" spans="9:9" x14ac:dyDescent="0.25">
      <c r="I24544" s="227" t="str">
        <f>MID(excPisCofins[[#This Row],[CodBarras2]],2,50)</f>
        <v/>
      </c>
    </row>
    <row r="24545" spans="9:9" x14ac:dyDescent="0.25">
      <c r="I24545" s="227" t="str">
        <f>MID(excPisCofins[[#This Row],[CodBarras2]],2,50)</f>
        <v/>
      </c>
    </row>
    <row r="24546" spans="9:9" x14ac:dyDescent="0.25">
      <c r="I24546" s="227" t="str">
        <f>MID(excPisCofins[[#This Row],[CodBarras2]],2,50)</f>
        <v/>
      </c>
    </row>
    <row r="24547" spans="9:9" x14ac:dyDescent="0.25">
      <c r="I24547" s="227" t="str">
        <f>MID(excPisCofins[[#This Row],[CodBarras2]],2,50)</f>
        <v/>
      </c>
    </row>
    <row r="24548" spans="9:9" x14ac:dyDescent="0.25">
      <c r="I24548" s="227" t="str">
        <f>MID(excPisCofins[[#This Row],[CodBarras2]],2,50)</f>
        <v/>
      </c>
    </row>
    <row r="24549" spans="9:9" x14ac:dyDescent="0.25">
      <c r="I24549" s="227" t="str">
        <f>MID(excPisCofins[[#This Row],[CodBarras2]],2,50)</f>
        <v/>
      </c>
    </row>
    <row r="24550" spans="9:9" x14ac:dyDescent="0.25">
      <c r="I24550" s="227" t="str">
        <f>MID(excPisCofins[[#This Row],[CodBarras2]],2,50)</f>
        <v/>
      </c>
    </row>
    <row r="24551" spans="9:9" x14ac:dyDescent="0.25">
      <c r="I24551" s="227" t="str">
        <f>MID(excPisCofins[[#This Row],[CodBarras2]],2,50)</f>
        <v/>
      </c>
    </row>
    <row r="24552" spans="9:9" x14ac:dyDescent="0.25">
      <c r="I24552" s="227" t="str">
        <f>MID(excPisCofins[[#This Row],[CodBarras2]],2,50)</f>
        <v/>
      </c>
    </row>
    <row r="24553" spans="9:9" x14ac:dyDescent="0.25">
      <c r="I24553" s="227" t="str">
        <f>MID(excPisCofins[[#This Row],[CodBarras2]],2,50)</f>
        <v/>
      </c>
    </row>
    <row r="24554" spans="9:9" x14ac:dyDescent="0.25">
      <c r="I24554" s="227" t="str">
        <f>MID(excPisCofins[[#This Row],[CodBarras2]],2,50)</f>
        <v/>
      </c>
    </row>
    <row r="24555" spans="9:9" x14ac:dyDescent="0.25">
      <c r="I24555" s="227" t="str">
        <f>MID(excPisCofins[[#This Row],[CodBarras2]],2,50)</f>
        <v/>
      </c>
    </row>
    <row r="24556" spans="9:9" x14ac:dyDescent="0.25">
      <c r="I24556" s="227" t="str">
        <f>MID(excPisCofins[[#This Row],[CodBarras2]],2,50)</f>
        <v/>
      </c>
    </row>
    <row r="24557" spans="9:9" x14ac:dyDescent="0.25">
      <c r="I24557" s="227" t="str">
        <f>MID(excPisCofins[[#This Row],[CodBarras2]],2,50)</f>
        <v/>
      </c>
    </row>
    <row r="24558" spans="9:9" x14ac:dyDescent="0.25">
      <c r="I24558" s="227" t="str">
        <f>MID(excPisCofins[[#This Row],[CodBarras2]],2,50)</f>
        <v/>
      </c>
    </row>
    <row r="24559" spans="9:9" x14ac:dyDescent="0.25">
      <c r="I24559" s="227" t="str">
        <f>MID(excPisCofins[[#This Row],[CodBarras2]],2,50)</f>
        <v/>
      </c>
    </row>
    <row r="24560" spans="9:9" x14ac:dyDescent="0.25">
      <c r="I24560" s="227" t="str">
        <f>MID(excPisCofins[[#This Row],[CodBarras2]],2,50)</f>
        <v/>
      </c>
    </row>
    <row r="24561" spans="9:9" x14ac:dyDescent="0.25">
      <c r="I24561" s="227" t="str">
        <f>MID(excPisCofins[[#This Row],[CodBarras2]],2,50)</f>
        <v/>
      </c>
    </row>
    <row r="24562" spans="9:9" x14ac:dyDescent="0.25">
      <c r="I24562" s="227" t="str">
        <f>MID(excPisCofins[[#This Row],[CodBarras2]],2,50)</f>
        <v/>
      </c>
    </row>
    <row r="24563" spans="9:9" x14ac:dyDescent="0.25">
      <c r="I24563" s="227" t="str">
        <f>MID(excPisCofins[[#This Row],[CodBarras2]],2,50)</f>
        <v/>
      </c>
    </row>
    <row r="24564" spans="9:9" x14ac:dyDescent="0.25">
      <c r="I24564" s="227" t="str">
        <f>MID(excPisCofins[[#This Row],[CodBarras2]],2,50)</f>
        <v/>
      </c>
    </row>
    <row r="24565" spans="9:9" x14ac:dyDescent="0.25">
      <c r="I24565" s="227" t="str">
        <f>MID(excPisCofins[[#This Row],[CodBarras2]],2,50)</f>
        <v/>
      </c>
    </row>
    <row r="24566" spans="9:9" x14ac:dyDescent="0.25">
      <c r="I24566" s="227" t="str">
        <f>MID(excPisCofins[[#This Row],[CodBarras2]],2,50)</f>
        <v/>
      </c>
    </row>
    <row r="24567" spans="9:9" x14ac:dyDescent="0.25">
      <c r="I24567" s="227" t="str">
        <f>MID(excPisCofins[[#This Row],[CodBarras2]],2,50)</f>
        <v/>
      </c>
    </row>
    <row r="24568" spans="9:9" x14ac:dyDescent="0.25">
      <c r="I24568" s="227" t="str">
        <f>MID(excPisCofins[[#This Row],[CodBarras2]],2,50)</f>
        <v/>
      </c>
    </row>
    <row r="24569" spans="9:9" x14ac:dyDescent="0.25">
      <c r="I24569" s="227" t="str">
        <f>MID(excPisCofins[[#This Row],[CodBarras2]],2,50)</f>
        <v/>
      </c>
    </row>
    <row r="24570" spans="9:9" x14ac:dyDescent="0.25">
      <c r="I24570" s="227" t="str">
        <f>MID(excPisCofins[[#This Row],[CodBarras2]],2,50)</f>
        <v/>
      </c>
    </row>
    <row r="24571" spans="9:9" x14ac:dyDescent="0.25">
      <c r="I24571" s="227" t="str">
        <f>MID(excPisCofins[[#This Row],[CodBarras2]],2,50)</f>
        <v/>
      </c>
    </row>
    <row r="24572" spans="9:9" x14ac:dyDescent="0.25">
      <c r="I24572" s="227" t="str">
        <f>MID(excPisCofins[[#This Row],[CodBarras2]],2,50)</f>
        <v/>
      </c>
    </row>
    <row r="24573" spans="9:9" x14ac:dyDescent="0.25">
      <c r="I24573" s="227" t="str">
        <f>MID(excPisCofins[[#This Row],[CodBarras2]],2,50)</f>
        <v/>
      </c>
    </row>
    <row r="24574" spans="9:9" x14ac:dyDescent="0.25">
      <c r="I24574" s="227" t="str">
        <f>MID(excPisCofins[[#This Row],[CodBarras2]],2,50)</f>
        <v/>
      </c>
    </row>
    <row r="24575" spans="9:9" x14ac:dyDescent="0.25">
      <c r="I24575" s="227" t="str">
        <f>MID(excPisCofins[[#This Row],[CodBarras2]],2,50)</f>
        <v/>
      </c>
    </row>
    <row r="24576" spans="9:9" x14ac:dyDescent="0.25">
      <c r="I24576" s="227" t="str">
        <f>MID(excPisCofins[[#This Row],[CodBarras2]],2,50)</f>
        <v/>
      </c>
    </row>
    <row r="24577" spans="9:9" x14ac:dyDescent="0.25">
      <c r="I24577" s="227" t="str">
        <f>MID(excPisCofins[[#This Row],[CodBarras2]],2,50)</f>
        <v/>
      </c>
    </row>
    <row r="24578" spans="9:9" x14ac:dyDescent="0.25">
      <c r="I24578" s="227" t="str">
        <f>MID(excPisCofins[[#This Row],[CodBarras2]],2,50)</f>
        <v/>
      </c>
    </row>
    <row r="24579" spans="9:9" x14ac:dyDescent="0.25">
      <c r="I24579" s="227" t="str">
        <f>MID(excPisCofins[[#This Row],[CodBarras2]],2,50)</f>
        <v/>
      </c>
    </row>
    <row r="24580" spans="9:9" x14ac:dyDescent="0.25">
      <c r="I24580" s="227" t="str">
        <f>MID(excPisCofins[[#This Row],[CodBarras2]],2,50)</f>
        <v/>
      </c>
    </row>
    <row r="24581" spans="9:9" x14ac:dyDescent="0.25">
      <c r="I24581" s="227" t="str">
        <f>MID(excPisCofins[[#This Row],[CodBarras2]],2,50)</f>
        <v/>
      </c>
    </row>
    <row r="24582" spans="9:9" x14ac:dyDescent="0.25">
      <c r="I24582" s="227" t="str">
        <f>MID(excPisCofins[[#This Row],[CodBarras2]],2,50)</f>
        <v/>
      </c>
    </row>
    <row r="24583" spans="9:9" x14ac:dyDescent="0.25">
      <c r="I24583" s="227" t="str">
        <f>MID(excPisCofins[[#This Row],[CodBarras2]],2,50)</f>
        <v/>
      </c>
    </row>
    <row r="24584" spans="9:9" x14ac:dyDescent="0.25">
      <c r="I24584" s="227" t="str">
        <f>MID(excPisCofins[[#This Row],[CodBarras2]],2,50)</f>
        <v/>
      </c>
    </row>
    <row r="24585" spans="9:9" x14ac:dyDescent="0.25">
      <c r="I24585" s="227" t="str">
        <f>MID(excPisCofins[[#This Row],[CodBarras2]],2,50)</f>
        <v/>
      </c>
    </row>
    <row r="24586" spans="9:9" x14ac:dyDescent="0.25">
      <c r="I24586" s="227" t="str">
        <f>MID(excPisCofins[[#This Row],[CodBarras2]],2,50)</f>
        <v/>
      </c>
    </row>
    <row r="24587" spans="9:9" x14ac:dyDescent="0.25">
      <c r="I24587" s="227" t="str">
        <f>MID(excPisCofins[[#This Row],[CodBarras2]],2,50)</f>
        <v/>
      </c>
    </row>
    <row r="24588" spans="9:9" x14ac:dyDescent="0.25">
      <c r="I24588" s="227" t="str">
        <f>MID(excPisCofins[[#This Row],[CodBarras2]],2,50)</f>
        <v/>
      </c>
    </row>
    <row r="24589" spans="9:9" x14ac:dyDescent="0.25">
      <c r="I24589" s="227" t="str">
        <f>MID(excPisCofins[[#This Row],[CodBarras2]],2,50)</f>
        <v/>
      </c>
    </row>
    <row r="24590" spans="9:9" x14ac:dyDescent="0.25">
      <c r="I24590" s="227" t="str">
        <f>MID(excPisCofins[[#This Row],[CodBarras2]],2,50)</f>
        <v/>
      </c>
    </row>
    <row r="24591" spans="9:9" x14ac:dyDescent="0.25">
      <c r="I24591" s="227" t="str">
        <f>MID(excPisCofins[[#This Row],[CodBarras2]],2,50)</f>
        <v/>
      </c>
    </row>
    <row r="24592" spans="9:9" x14ac:dyDescent="0.25">
      <c r="I24592" s="227" t="str">
        <f>MID(excPisCofins[[#This Row],[CodBarras2]],2,50)</f>
        <v/>
      </c>
    </row>
    <row r="24593" spans="9:9" x14ac:dyDescent="0.25">
      <c r="I24593" s="227" t="str">
        <f>MID(excPisCofins[[#This Row],[CodBarras2]],2,50)</f>
        <v/>
      </c>
    </row>
    <row r="24594" spans="9:9" x14ac:dyDescent="0.25">
      <c r="I24594" s="227" t="str">
        <f>MID(excPisCofins[[#This Row],[CodBarras2]],2,50)</f>
        <v/>
      </c>
    </row>
    <row r="24595" spans="9:9" x14ac:dyDescent="0.25">
      <c r="I24595" s="227" t="str">
        <f>MID(excPisCofins[[#This Row],[CodBarras2]],2,50)</f>
        <v/>
      </c>
    </row>
    <row r="24596" spans="9:9" x14ac:dyDescent="0.25">
      <c r="I24596" s="227" t="str">
        <f>MID(excPisCofins[[#This Row],[CodBarras2]],2,50)</f>
        <v/>
      </c>
    </row>
    <row r="24597" spans="9:9" x14ac:dyDescent="0.25">
      <c r="I24597" s="227" t="str">
        <f>MID(excPisCofins[[#This Row],[CodBarras2]],2,50)</f>
        <v/>
      </c>
    </row>
    <row r="24598" spans="9:9" x14ac:dyDescent="0.25">
      <c r="I24598" s="227" t="str">
        <f>MID(excPisCofins[[#This Row],[CodBarras2]],2,50)</f>
        <v/>
      </c>
    </row>
    <row r="24599" spans="9:9" x14ac:dyDescent="0.25">
      <c r="I24599" s="227" t="str">
        <f>MID(excPisCofins[[#This Row],[CodBarras2]],2,50)</f>
        <v/>
      </c>
    </row>
    <row r="24600" spans="9:9" x14ac:dyDescent="0.25">
      <c r="I24600" s="227" t="str">
        <f>MID(excPisCofins[[#This Row],[CodBarras2]],2,50)</f>
        <v/>
      </c>
    </row>
    <row r="24601" spans="9:9" x14ac:dyDescent="0.25">
      <c r="I24601" s="227" t="str">
        <f>MID(excPisCofins[[#This Row],[CodBarras2]],2,50)</f>
        <v/>
      </c>
    </row>
    <row r="24602" spans="9:9" x14ac:dyDescent="0.25">
      <c r="I24602" s="227" t="str">
        <f>MID(excPisCofins[[#This Row],[CodBarras2]],2,50)</f>
        <v/>
      </c>
    </row>
    <row r="24603" spans="9:9" x14ac:dyDescent="0.25">
      <c r="I24603" s="227" t="str">
        <f>MID(excPisCofins[[#This Row],[CodBarras2]],2,50)</f>
        <v/>
      </c>
    </row>
    <row r="24604" spans="9:9" x14ac:dyDescent="0.25">
      <c r="I24604" s="227" t="str">
        <f>MID(excPisCofins[[#This Row],[CodBarras2]],2,50)</f>
        <v/>
      </c>
    </row>
    <row r="24605" spans="9:9" x14ac:dyDescent="0.25">
      <c r="I24605" s="227" t="str">
        <f>MID(excPisCofins[[#This Row],[CodBarras2]],2,50)</f>
        <v/>
      </c>
    </row>
    <row r="24606" spans="9:9" x14ac:dyDescent="0.25">
      <c r="I24606" s="227" t="str">
        <f>MID(excPisCofins[[#This Row],[CodBarras2]],2,50)</f>
        <v/>
      </c>
    </row>
    <row r="24607" spans="9:9" x14ac:dyDescent="0.25">
      <c r="I24607" s="227" t="str">
        <f>MID(excPisCofins[[#This Row],[CodBarras2]],2,50)</f>
        <v/>
      </c>
    </row>
    <row r="24608" spans="9:9" x14ac:dyDescent="0.25">
      <c r="I24608" s="227" t="str">
        <f>MID(excPisCofins[[#This Row],[CodBarras2]],2,50)</f>
        <v/>
      </c>
    </row>
    <row r="24609" spans="9:9" x14ac:dyDescent="0.25">
      <c r="I24609" s="227" t="str">
        <f>MID(excPisCofins[[#This Row],[CodBarras2]],2,50)</f>
        <v/>
      </c>
    </row>
    <row r="24610" spans="9:9" x14ac:dyDescent="0.25">
      <c r="I24610" s="227" t="str">
        <f>MID(excPisCofins[[#This Row],[CodBarras2]],2,50)</f>
        <v/>
      </c>
    </row>
    <row r="24611" spans="9:9" x14ac:dyDescent="0.25">
      <c r="I24611" s="227" t="str">
        <f>MID(excPisCofins[[#This Row],[CodBarras2]],2,50)</f>
        <v/>
      </c>
    </row>
    <row r="24612" spans="9:9" x14ac:dyDescent="0.25">
      <c r="I24612" s="227" t="str">
        <f>MID(excPisCofins[[#This Row],[CodBarras2]],2,50)</f>
        <v/>
      </c>
    </row>
    <row r="24613" spans="9:9" x14ac:dyDescent="0.25">
      <c r="I24613" s="227" t="str">
        <f>MID(excPisCofins[[#This Row],[CodBarras2]],2,50)</f>
        <v/>
      </c>
    </row>
    <row r="24614" spans="9:9" x14ac:dyDescent="0.25">
      <c r="I24614" s="227" t="str">
        <f>MID(excPisCofins[[#This Row],[CodBarras2]],2,50)</f>
        <v/>
      </c>
    </row>
    <row r="24615" spans="9:9" x14ac:dyDescent="0.25">
      <c r="I24615" s="227" t="str">
        <f>MID(excPisCofins[[#This Row],[CodBarras2]],2,50)</f>
        <v/>
      </c>
    </row>
    <row r="24616" spans="9:9" x14ac:dyDescent="0.25">
      <c r="I24616" s="227" t="str">
        <f>MID(excPisCofins[[#This Row],[CodBarras2]],2,50)</f>
        <v/>
      </c>
    </row>
    <row r="24617" spans="9:9" x14ac:dyDescent="0.25">
      <c r="I24617" s="227" t="str">
        <f>MID(excPisCofins[[#This Row],[CodBarras2]],2,50)</f>
        <v/>
      </c>
    </row>
    <row r="24618" spans="9:9" x14ac:dyDescent="0.25">
      <c r="I24618" s="227" t="str">
        <f>MID(excPisCofins[[#This Row],[CodBarras2]],2,50)</f>
        <v/>
      </c>
    </row>
    <row r="24619" spans="9:9" x14ac:dyDescent="0.25">
      <c r="I24619" s="227" t="str">
        <f>MID(excPisCofins[[#This Row],[CodBarras2]],2,50)</f>
        <v/>
      </c>
    </row>
    <row r="24620" spans="9:9" x14ac:dyDescent="0.25">
      <c r="I24620" s="227" t="str">
        <f>MID(excPisCofins[[#This Row],[CodBarras2]],2,50)</f>
        <v/>
      </c>
    </row>
    <row r="24621" spans="9:9" x14ac:dyDescent="0.25">
      <c r="I24621" s="227" t="str">
        <f>MID(excPisCofins[[#This Row],[CodBarras2]],2,50)</f>
        <v/>
      </c>
    </row>
    <row r="24622" spans="9:9" x14ac:dyDescent="0.25">
      <c r="I24622" s="227" t="str">
        <f>MID(excPisCofins[[#This Row],[CodBarras2]],2,50)</f>
        <v/>
      </c>
    </row>
    <row r="24623" spans="9:9" x14ac:dyDescent="0.25">
      <c r="I24623" s="227" t="str">
        <f>MID(excPisCofins[[#This Row],[CodBarras2]],2,50)</f>
        <v/>
      </c>
    </row>
    <row r="24624" spans="9:9" x14ac:dyDescent="0.25">
      <c r="I24624" s="227" t="str">
        <f>MID(excPisCofins[[#This Row],[CodBarras2]],2,50)</f>
        <v/>
      </c>
    </row>
    <row r="24625" spans="9:9" x14ac:dyDescent="0.25">
      <c r="I24625" s="227" t="str">
        <f>MID(excPisCofins[[#This Row],[CodBarras2]],2,50)</f>
        <v/>
      </c>
    </row>
    <row r="24626" spans="9:9" x14ac:dyDescent="0.25">
      <c r="I24626" s="227" t="str">
        <f>MID(excPisCofins[[#This Row],[CodBarras2]],2,50)</f>
        <v/>
      </c>
    </row>
    <row r="24627" spans="9:9" x14ac:dyDescent="0.25">
      <c r="I24627" s="227" t="str">
        <f>MID(excPisCofins[[#This Row],[CodBarras2]],2,50)</f>
        <v/>
      </c>
    </row>
    <row r="24628" spans="9:9" x14ac:dyDescent="0.25">
      <c r="I24628" s="227" t="str">
        <f>MID(excPisCofins[[#This Row],[CodBarras2]],2,50)</f>
        <v/>
      </c>
    </row>
    <row r="24629" spans="9:9" x14ac:dyDescent="0.25">
      <c r="I24629" s="227" t="str">
        <f>MID(excPisCofins[[#This Row],[CodBarras2]],2,50)</f>
        <v/>
      </c>
    </row>
    <row r="24630" spans="9:9" x14ac:dyDescent="0.25">
      <c r="I24630" s="227" t="str">
        <f>MID(excPisCofins[[#This Row],[CodBarras2]],2,50)</f>
        <v/>
      </c>
    </row>
    <row r="24631" spans="9:9" x14ac:dyDescent="0.25">
      <c r="I24631" s="227" t="str">
        <f>MID(excPisCofins[[#This Row],[CodBarras2]],2,50)</f>
        <v/>
      </c>
    </row>
    <row r="24632" spans="9:9" x14ac:dyDescent="0.25">
      <c r="I24632" s="227" t="str">
        <f>MID(excPisCofins[[#This Row],[CodBarras2]],2,50)</f>
        <v/>
      </c>
    </row>
    <row r="24633" spans="9:9" x14ac:dyDescent="0.25">
      <c r="I24633" s="227" t="str">
        <f>MID(excPisCofins[[#This Row],[CodBarras2]],2,50)</f>
        <v/>
      </c>
    </row>
    <row r="24634" spans="9:9" x14ac:dyDescent="0.25">
      <c r="I24634" s="227" t="str">
        <f>MID(excPisCofins[[#This Row],[CodBarras2]],2,50)</f>
        <v/>
      </c>
    </row>
    <row r="24635" spans="9:9" x14ac:dyDescent="0.25">
      <c r="I24635" s="227" t="str">
        <f>MID(excPisCofins[[#This Row],[CodBarras2]],2,50)</f>
        <v/>
      </c>
    </row>
    <row r="24636" spans="9:9" x14ac:dyDescent="0.25">
      <c r="I24636" s="227" t="str">
        <f>MID(excPisCofins[[#This Row],[CodBarras2]],2,50)</f>
        <v/>
      </c>
    </row>
    <row r="24637" spans="9:9" x14ac:dyDescent="0.25">
      <c r="I24637" s="227" t="str">
        <f>MID(excPisCofins[[#This Row],[CodBarras2]],2,50)</f>
        <v/>
      </c>
    </row>
    <row r="24638" spans="9:9" x14ac:dyDescent="0.25">
      <c r="I24638" s="227" t="str">
        <f>MID(excPisCofins[[#This Row],[CodBarras2]],2,50)</f>
        <v/>
      </c>
    </row>
    <row r="24639" spans="9:9" x14ac:dyDescent="0.25">
      <c r="I24639" s="227" t="str">
        <f>MID(excPisCofins[[#This Row],[CodBarras2]],2,50)</f>
        <v/>
      </c>
    </row>
    <row r="24640" spans="9:9" x14ac:dyDescent="0.25">
      <c r="I24640" s="227" t="str">
        <f>MID(excPisCofins[[#This Row],[CodBarras2]],2,50)</f>
        <v/>
      </c>
    </row>
    <row r="24641" spans="9:9" x14ac:dyDescent="0.25">
      <c r="I24641" s="227" t="str">
        <f>MID(excPisCofins[[#This Row],[CodBarras2]],2,50)</f>
        <v/>
      </c>
    </row>
    <row r="24642" spans="9:9" x14ac:dyDescent="0.25">
      <c r="I24642" s="227" t="str">
        <f>MID(excPisCofins[[#This Row],[CodBarras2]],2,50)</f>
        <v/>
      </c>
    </row>
    <row r="24643" spans="9:9" x14ac:dyDescent="0.25">
      <c r="I24643" s="227" t="str">
        <f>MID(excPisCofins[[#This Row],[CodBarras2]],2,50)</f>
        <v/>
      </c>
    </row>
    <row r="24644" spans="9:9" x14ac:dyDescent="0.25">
      <c r="I24644" s="227" t="str">
        <f>MID(excPisCofins[[#This Row],[CodBarras2]],2,50)</f>
        <v/>
      </c>
    </row>
    <row r="24645" spans="9:9" x14ac:dyDescent="0.25">
      <c r="I24645" s="227" t="str">
        <f>MID(excPisCofins[[#This Row],[CodBarras2]],2,50)</f>
        <v/>
      </c>
    </row>
    <row r="24646" spans="9:9" x14ac:dyDescent="0.25">
      <c r="I24646" s="227" t="str">
        <f>MID(excPisCofins[[#This Row],[CodBarras2]],2,50)</f>
        <v/>
      </c>
    </row>
    <row r="24647" spans="9:9" x14ac:dyDescent="0.25">
      <c r="I24647" s="227" t="str">
        <f>MID(excPisCofins[[#This Row],[CodBarras2]],2,50)</f>
        <v/>
      </c>
    </row>
    <row r="24648" spans="9:9" x14ac:dyDescent="0.25">
      <c r="I24648" s="227" t="str">
        <f>MID(excPisCofins[[#This Row],[CodBarras2]],2,50)</f>
        <v/>
      </c>
    </row>
    <row r="24649" spans="9:9" x14ac:dyDescent="0.25">
      <c r="I24649" s="227" t="str">
        <f>MID(excPisCofins[[#This Row],[CodBarras2]],2,50)</f>
        <v/>
      </c>
    </row>
    <row r="24650" spans="9:9" x14ac:dyDescent="0.25">
      <c r="I24650" s="227" t="str">
        <f>MID(excPisCofins[[#This Row],[CodBarras2]],2,50)</f>
        <v/>
      </c>
    </row>
    <row r="24651" spans="9:9" x14ac:dyDescent="0.25">
      <c r="I24651" s="227" t="str">
        <f>MID(excPisCofins[[#This Row],[CodBarras2]],2,50)</f>
        <v/>
      </c>
    </row>
    <row r="24652" spans="9:9" x14ac:dyDescent="0.25">
      <c r="I24652" s="227" t="str">
        <f>MID(excPisCofins[[#This Row],[CodBarras2]],2,50)</f>
        <v/>
      </c>
    </row>
    <row r="24653" spans="9:9" x14ac:dyDescent="0.25">
      <c r="I24653" s="227" t="str">
        <f>MID(excPisCofins[[#This Row],[CodBarras2]],2,50)</f>
        <v/>
      </c>
    </row>
    <row r="24654" spans="9:9" x14ac:dyDescent="0.25">
      <c r="I24654" s="227" t="str">
        <f>MID(excPisCofins[[#This Row],[CodBarras2]],2,50)</f>
        <v/>
      </c>
    </row>
    <row r="24655" spans="9:9" x14ac:dyDescent="0.25">
      <c r="I24655" s="227" t="str">
        <f>MID(excPisCofins[[#This Row],[CodBarras2]],2,50)</f>
        <v/>
      </c>
    </row>
    <row r="24656" spans="9:9" x14ac:dyDescent="0.25">
      <c r="I24656" s="227" t="str">
        <f>MID(excPisCofins[[#This Row],[CodBarras2]],2,50)</f>
        <v/>
      </c>
    </row>
    <row r="24657" spans="9:9" x14ac:dyDescent="0.25">
      <c r="I24657" s="227" t="str">
        <f>MID(excPisCofins[[#This Row],[CodBarras2]],2,50)</f>
        <v/>
      </c>
    </row>
    <row r="24658" spans="9:9" x14ac:dyDescent="0.25">
      <c r="I24658" s="227" t="str">
        <f>MID(excPisCofins[[#This Row],[CodBarras2]],2,50)</f>
        <v/>
      </c>
    </row>
    <row r="24659" spans="9:9" x14ac:dyDescent="0.25">
      <c r="I24659" s="227" t="str">
        <f>MID(excPisCofins[[#This Row],[CodBarras2]],2,50)</f>
        <v/>
      </c>
    </row>
    <row r="24660" spans="9:9" x14ac:dyDescent="0.25">
      <c r="I24660" s="227" t="str">
        <f>MID(excPisCofins[[#This Row],[CodBarras2]],2,50)</f>
        <v/>
      </c>
    </row>
    <row r="24661" spans="9:9" x14ac:dyDescent="0.25">
      <c r="I24661" s="227" t="str">
        <f>MID(excPisCofins[[#This Row],[CodBarras2]],2,50)</f>
        <v/>
      </c>
    </row>
    <row r="24662" spans="9:9" x14ac:dyDescent="0.25">
      <c r="I24662" s="227" t="str">
        <f>MID(excPisCofins[[#This Row],[CodBarras2]],2,50)</f>
        <v/>
      </c>
    </row>
    <row r="24663" spans="9:9" x14ac:dyDescent="0.25">
      <c r="I24663" s="227" t="str">
        <f>MID(excPisCofins[[#This Row],[CodBarras2]],2,50)</f>
        <v/>
      </c>
    </row>
    <row r="24664" spans="9:9" x14ac:dyDescent="0.25">
      <c r="I24664" s="227" t="str">
        <f>MID(excPisCofins[[#This Row],[CodBarras2]],2,50)</f>
        <v/>
      </c>
    </row>
    <row r="24665" spans="9:9" x14ac:dyDescent="0.25">
      <c r="I24665" s="227" t="str">
        <f>MID(excPisCofins[[#This Row],[CodBarras2]],2,50)</f>
        <v/>
      </c>
    </row>
    <row r="24666" spans="9:9" x14ac:dyDescent="0.25">
      <c r="I24666" s="227" t="str">
        <f>MID(excPisCofins[[#This Row],[CodBarras2]],2,50)</f>
        <v/>
      </c>
    </row>
    <row r="24667" spans="9:9" x14ac:dyDescent="0.25">
      <c r="I24667" s="227" t="str">
        <f>MID(excPisCofins[[#This Row],[CodBarras2]],2,50)</f>
        <v/>
      </c>
    </row>
    <row r="24668" spans="9:9" x14ac:dyDescent="0.25">
      <c r="I24668" s="227" t="str">
        <f>MID(excPisCofins[[#This Row],[CodBarras2]],2,50)</f>
        <v/>
      </c>
    </row>
    <row r="24669" spans="9:9" x14ac:dyDescent="0.25">
      <c r="I24669" s="227" t="str">
        <f>MID(excPisCofins[[#This Row],[CodBarras2]],2,50)</f>
        <v/>
      </c>
    </row>
    <row r="24670" spans="9:9" x14ac:dyDescent="0.25">
      <c r="I24670" s="227" t="str">
        <f>MID(excPisCofins[[#This Row],[CodBarras2]],2,50)</f>
        <v/>
      </c>
    </row>
    <row r="24671" spans="9:9" x14ac:dyDescent="0.25">
      <c r="I24671" s="227" t="str">
        <f>MID(excPisCofins[[#This Row],[CodBarras2]],2,50)</f>
        <v/>
      </c>
    </row>
    <row r="24672" spans="9:9" x14ac:dyDescent="0.25">
      <c r="I24672" s="227" t="str">
        <f>MID(excPisCofins[[#This Row],[CodBarras2]],2,50)</f>
        <v/>
      </c>
    </row>
    <row r="24673" spans="9:9" x14ac:dyDescent="0.25">
      <c r="I24673" s="227" t="str">
        <f>MID(excPisCofins[[#This Row],[CodBarras2]],2,50)</f>
        <v/>
      </c>
    </row>
    <row r="24674" spans="9:9" x14ac:dyDescent="0.25">
      <c r="I24674" s="227" t="str">
        <f>MID(excPisCofins[[#This Row],[CodBarras2]],2,50)</f>
        <v/>
      </c>
    </row>
    <row r="24675" spans="9:9" x14ac:dyDescent="0.25">
      <c r="I24675" s="227" t="str">
        <f>MID(excPisCofins[[#This Row],[CodBarras2]],2,50)</f>
        <v/>
      </c>
    </row>
    <row r="24676" spans="9:9" x14ac:dyDescent="0.25">
      <c r="I24676" s="227" t="str">
        <f>MID(excPisCofins[[#This Row],[CodBarras2]],2,50)</f>
        <v/>
      </c>
    </row>
    <row r="24677" spans="9:9" x14ac:dyDescent="0.25">
      <c r="I24677" s="227" t="str">
        <f>MID(excPisCofins[[#This Row],[CodBarras2]],2,50)</f>
        <v/>
      </c>
    </row>
    <row r="24678" spans="9:9" x14ac:dyDescent="0.25">
      <c r="I24678" s="227" t="str">
        <f>MID(excPisCofins[[#This Row],[CodBarras2]],2,50)</f>
        <v/>
      </c>
    </row>
    <row r="24679" spans="9:9" x14ac:dyDescent="0.25">
      <c r="I24679" s="227" t="str">
        <f>MID(excPisCofins[[#This Row],[CodBarras2]],2,50)</f>
        <v/>
      </c>
    </row>
    <row r="24680" spans="9:9" x14ac:dyDescent="0.25">
      <c r="I24680" s="227" t="str">
        <f>MID(excPisCofins[[#This Row],[CodBarras2]],2,50)</f>
        <v/>
      </c>
    </row>
    <row r="24681" spans="9:9" x14ac:dyDescent="0.25">
      <c r="I24681" s="227" t="str">
        <f>MID(excPisCofins[[#This Row],[CodBarras2]],2,50)</f>
        <v/>
      </c>
    </row>
    <row r="24682" spans="9:9" x14ac:dyDescent="0.25">
      <c r="I24682" s="227" t="str">
        <f>MID(excPisCofins[[#This Row],[CodBarras2]],2,50)</f>
        <v/>
      </c>
    </row>
    <row r="24683" spans="9:9" x14ac:dyDescent="0.25">
      <c r="I24683" s="227" t="str">
        <f>MID(excPisCofins[[#This Row],[CodBarras2]],2,50)</f>
        <v/>
      </c>
    </row>
    <row r="24684" spans="9:9" x14ac:dyDescent="0.25">
      <c r="I24684" s="227" t="str">
        <f>MID(excPisCofins[[#This Row],[CodBarras2]],2,50)</f>
        <v/>
      </c>
    </row>
    <row r="24685" spans="9:9" x14ac:dyDescent="0.25">
      <c r="I24685" s="227" t="str">
        <f>MID(excPisCofins[[#This Row],[CodBarras2]],2,50)</f>
        <v/>
      </c>
    </row>
    <row r="24686" spans="9:9" x14ac:dyDescent="0.25">
      <c r="I24686" s="227" t="str">
        <f>MID(excPisCofins[[#This Row],[CodBarras2]],2,50)</f>
        <v/>
      </c>
    </row>
    <row r="24687" spans="9:9" x14ac:dyDescent="0.25">
      <c r="I24687" s="227" t="str">
        <f>MID(excPisCofins[[#This Row],[CodBarras2]],2,50)</f>
        <v/>
      </c>
    </row>
    <row r="24688" spans="9:9" x14ac:dyDescent="0.25">
      <c r="I24688" s="227" t="str">
        <f>MID(excPisCofins[[#This Row],[CodBarras2]],2,50)</f>
        <v/>
      </c>
    </row>
    <row r="24689" spans="9:9" x14ac:dyDescent="0.25">
      <c r="I24689" s="227" t="str">
        <f>MID(excPisCofins[[#This Row],[CodBarras2]],2,50)</f>
        <v/>
      </c>
    </row>
    <row r="24690" spans="9:9" x14ac:dyDescent="0.25">
      <c r="I24690" s="227" t="str">
        <f>MID(excPisCofins[[#This Row],[CodBarras2]],2,50)</f>
        <v/>
      </c>
    </row>
    <row r="24691" spans="9:9" x14ac:dyDescent="0.25">
      <c r="I24691" s="227" t="str">
        <f>MID(excPisCofins[[#This Row],[CodBarras2]],2,50)</f>
        <v/>
      </c>
    </row>
    <row r="24692" spans="9:9" x14ac:dyDescent="0.25">
      <c r="I24692" s="227" t="str">
        <f>MID(excPisCofins[[#This Row],[CodBarras2]],2,50)</f>
        <v/>
      </c>
    </row>
    <row r="24693" spans="9:9" x14ac:dyDescent="0.25">
      <c r="I24693" s="227" t="str">
        <f>MID(excPisCofins[[#This Row],[CodBarras2]],2,50)</f>
        <v/>
      </c>
    </row>
    <row r="24694" spans="9:9" x14ac:dyDescent="0.25">
      <c r="I24694" s="227" t="str">
        <f>MID(excPisCofins[[#This Row],[CodBarras2]],2,50)</f>
        <v/>
      </c>
    </row>
    <row r="24695" spans="9:9" x14ac:dyDescent="0.25">
      <c r="I24695" s="227" t="str">
        <f>MID(excPisCofins[[#This Row],[CodBarras2]],2,50)</f>
        <v/>
      </c>
    </row>
    <row r="24696" spans="9:9" x14ac:dyDescent="0.25">
      <c r="I24696" s="227" t="str">
        <f>MID(excPisCofins[[#This Row],[CodBarras2]],2,50)</f>
        <v/>
      </c>
    </row>
    <row r="24697" spans="9:9" x14ac:dyDescent="0.25">
      <c r="I24697" s="227" t="str">
        <f>MID(excPisCofins[[#This Row],[CodBarras2]],2,50)</f>
        <v/>
      </c>
    </row>
    <row r="24698" spans="9:9" x14ac:dyDescent="0.25">
      <c r="I24698" s="227" t="str">
        <f>MID(excPisCofins[[#This Row],[CodBarras2]],2,50)</f>
        <v/>
      </c>
    </row>
    <row r="24699" spans="9:9" x14ac:dyDescent="0.25">
      <c r="I24699" s="227" t="str">
        <f>MID(excPisCofins[[#This Row],[CodBarras2]],2,50)</f>
        <v/>
      </c>
    </row>
    <row r="24700" spans="9:9" x14ac:dyDescent="0.25">
      <c r="I24700" s="227" t="str">
        <f>MID(excPisCofins[[#This Row],[CodBarras2]],2,50)</f>
        <v/>
      </c>
    </row>
    <row r="24701" spans="9:9" x14ac:dyDescent="0.25">
      <c r="I24701" s="227" t="str">
        <f>MID(excPisCofins[[#This Row],[CodBarras2]],2,50)</f>
        <v/>
      </c>
    </row>
    <row r="24702" spans="9:9" x14ac:dyDescent="0.25">
      <c r="I24702" s="227" t="str">
        <f>MID(excPisCofins[[#This Row],[CodBarras2]],2,50)</f>
        <v/>
      </c>
    </row>
    <row r="24703" spans="9:9" x14ac:dyDescent="0.25">
      <c r="I24703" s="227" t="str">
        <f>MID(excPisCofins[[#This Row],[CodBarras2]],2,50)</f>
        <v/>
      </c>
    </row>
    <row r="24704" spans="9:9" x14ac:dyDescent="0.25">
      <c r="I24704" s="227" t="str">
        <f>MID(excPisCofins[[#This Row],[CodBarras2]],2,50)</f>
        <v/>
      </c>
    </row>
    <row r="24705" spans="9:9" x14ac:dyDescent="0.25">
      <c r="I24705" s="227" t="str">
        <f>MID(excPisCofins[[#This Row],[CodBarras2]],2,50)</f>
        <v/>
      </c>
    </row>
    <row r="24706" spans="9:9" x14ac:dyDescent="0.25">
      <c r="I24706" s="227" t="str">
        <f>MID(excPisCofins[[#This Row],[CodBarras2]],2,50)</f>
        <v/>
      </c>
    </row>
    <row r="24707" spans="9:9" x14ac:dyDescent="0.25">
      <c r="I24707" s="227" t="str">
        <f>MID(excPisCofins[[#This Row],[CodBarras2]],2,50)</f>
        <v/>
      </c>
    </row>
    <row r="24708" spans="9:9" x14ac:dyDescent="0.25">
      <c r="I24708" s="227" t="str">
        <f>MID(excPisCofins[[#This Row],[CodBarras2]],2,50)</f>
        <v/>
      </c>
    </row>
    <row r="24709" spans="9:9" x14ac:dyDescent="0.25">
      <c r="I24709" s="227" t="str">
        <f>MID(excPisCofins[[#This Row],[CodBarras2]],2,50)</f>
        <v/>
      </c>
    </row>
    <row r="24710" spans="9:9" x14ac:dyDescent="0.25">
      <c r="I24710" s="227" t="str">
        <f>MID(excPisCofins[[#This Row],[CodBarras2]],2,50)</f>
        <v/>
      </c>
    </row>
    <row r="24711" spans="9:9" x14ac:dyDescent="0.25">
      <c r="I24711" s="227" t="str">
        <f>MID(excPisCofins[[#This Row],[CodBarras2]],2,50)</f>
        <v/>
      </c>
    </row>
    <row r="24712" spans="9:9" x14ac:dyDescent="0.25">
      <c r="I24712" s="227" t="str">
        <f>MID(excPisCofins[[#This Row],[CodBarras2]],2,50)</f>
        <v/>
      </c>
    </row>
    <row r="24713" spans="9:9" x14ac:dyDescent="0.25">
      <c r="I24713" s="227" t="str">
        <f>MID(excPisCofins[[#This Row],[CodBarras2]],2,50)</f>
        <v/>
      </c>
    </row>
    <row r="24714" spans="9:9" x14ac:dyDescent="0.25">
      <c r="I24714" s="227" t="str">
        <f>MID(excPisCofins[[#This Row],[CodBarras2]],2,50)</f>
        <v/>
      </c>
    </row>
    <row r="24715" spans="9:9" x14ac:dyDescent="0.25">
      <c r="I24715" s="227" t="str">
        <f>MID(excPisCofins[[#This Row],[CodBarras2]],2,50)</f>
        <v/>
      </c>
    </row>
    <row r="24716" spans="9:9" x14ac:dyDescent="0.25">
      <c r="I24716" s="227" t="str">
        <f>MID(excPisCofins[[#This Row],[CodBarras2]],2,50)</f>
        <v/>
      </c>
    </row>
    <row r="24717" spans="9:9" x14ac:dyDescent="0.25">
      <c r="I24717" s="227" t="str">
        <f>MID(excPisCofins[[#This Row],[CodBarras2]],2,50)</f>
        <v/>
      </c>
    </row>
    <row r="24718" spans="9:9" x14ac:dyDescent="0.25">
      <c r="I24718" s="227" t="str">
        <f>MID(excPisCofins[[#This Row],[CodBarras2]],2,50)</f>
        <v/>
      </c>
    </row>
    <row r="24719" spans="9:9" x14ac:dyDescent="0.25">
      <c r="I24719" s="227" t="str">
        <f>MID(excPisCofins[[#This Row],[CodBarras2]],2,50)</f>
        <v/>
      </c>
    </row>
    <row r="24720" spans="9:9" x14ac:dyDescent="0.25">
      <c r="I24720" s="227" t="str">
        <f>MID(excPisCofins[[#This Row],[CodBarras2]],2,50)</f>
        <v/>
      </c>
    </row>
    <row r="24721" spans="9:9" x14ac:dyDescent="0.25">
      <c r="I24721" s="227" t="str">
        <f>MID(excPisCofins[[#This Row],[CodBarras2]],2,50)</f>
        <v/>
      </c>
    </row>
    <row r="24722" spans="9:9" x14ac:dyDescent="0.25">
      <c r="I24722" s="227" t="str">
        <f>MID(excPisCofins[[#This Row],[CodBarras2]],2,50)</f>
        <v/>
      </c>
    </row>
    <row r="24723" spans="9:9" x14ac:dyDescent="0.25">
      <c r="I24723" s="227" t="str">
        <f>MID(excPisCofins[[#This Row],[CodBarras2]],2,50)</f>
        <v/>
      </c>
    </row>
    <row r="24724" spans="9:9" x14ac:dyDescent="0.25">
      <c r="I24724" s="227" t="str">
        <f>MID(excPisCofins[[#This Row],[CodBarras2]],2,50)</f>
        <v/>
      </c>
    </row>
    <row r="24725" spans="9:9" x14ac:dyDescent="0.25">
      <c r="I24725" s="227" t="str">
        <f>MID(excPisCofins[[#This Row],[CodBarras2]],2,50)</f>
        <v/>
      </c>
    </row>
    <row r="24726" spans="9:9" x14ac:dyDescent="0.25">
      <c r="I24726" s="227" t="str">
        <f>MID(excPisCofins[[#This Row],[CodBarras2]],2,50)</f>
        <v/>
      </c>
    </row>
    <row r="24727" spans="9:9" x14ac:dyDescent="0.25">
      <c r="I24727" s="227" t="str">
        <f>MID(excPisCofins[[#This Row],[CodBarras2]],2,50)</f>
        <v/>
      </c>
    </row>
    <row r="24728" spans="9:9" x14ac:dyDescent="0.25">
      <c r="I24728" s="227" t="str">
        <f>MID(excPisCofins[[#This Row],[CodBarras2]],2,50)</f>
        <v/>
      </c>
    </row>
    <row r="24729" spans="9:9" x14ac:dyDescent="0.25">
      <c r="I24729" s="227" t="str">
        <f>MID(excPisCofins[[#This Row],[CodBarras2]],2,50)</f>
        <v/>
      </c>
    </row>
    <row r="24730" spans="9:9" x14ac:dyDescent="0.25">
      <c r="I24730" s="227" t="str">
        <f>MID(excPisCofins[[#This Row],[CodBarras2]],2,50)</f>
        <v/>
      </c>
    </row>
    <row r="24731" spans="9:9" x14ac:dyDescent="0.25">
      <c r="I24731" s="227" t="str">
        <f>MID(excPisCofins[[#This Row],[CodBarras2]],2,50)</f>
        <v/>
      </c>
    </row>
    <row r="24732" spans="9:9" x14ac:dyDescent="0.25">
      <c r="I24732" s="227" t="str">
        <f>MID(excPisCofins[[#This Row],[CodBarras2]],2,50)</f>
        <v/>
      </c>
    </row>
    <row r="24733" spans="9:9" x14ac:dyDescent="0.25">
      <c r="I24733" s="227" t="str">
        <f>MID(excPisCofins[[#This Row],[CodBarras2]],2,50)</f>
        <v/>
      </c>
    </row>
    <row r="24734" spans="9:9" x14ac:dyDescent="0.25">
      <c r="I24734" s="227" t="str">
        <f>MID(excPisCofins[[#This Row],[CodBarras2]],2,50)</f>
        <v/>
      </c>
    </row>
    <row r="24735" spans="9:9" x14ac:dyDescent="0.25">
      <c r="I24735" s="227" t="str">
        <f>MID(excPisCofins[[#This Row],[CodBarras2]],2,50)</f>
        <v/>
      </c>
    </row>
    <row r="24736" spans="9:9" x14ac:dyDescent="0.25">
      <c r="I24736" s="227" t="str">
        <f>MID(excPisCofins[[#This Row],[CodBarras2]],2,50)</f>
        <v/>
      </c>
    </row>
    <row r="24737" spans="9:9" x14ac:dyDescent="0.25">
      <c r="I24737" s="227" t="str">
        <f>MID(excPisCofins[[#This Row],[CodBarras2]],2,50)</f>
        <v/>
      </c>
    </row>
    <row r="24738" spans="9:9" x14ac:dyDescent="0.25">
      <c r="I24738" s="227" t="str">
        <f>MID(excPisCofins[[#This Row],[CodBarras2]],2,50)</f>
        <v/>
      </c>
    </row>
    <row r="24739" spans="9:9" x14ac:dyDescent="0.25">
      <c r="I24739" s="227" t="str">
        <f>MID(excPisCofins[[#This Row],[CodBarras2]],2,50)</f>
        <v/>
      </c>
    </row>
    <row r="24740" spans="9:9" x14ac:dyDescent="0.25">
      <c r="I24740" s="227" t="str">
        <f>MID(excPisCofins[[#This Row],[CodBarras2]],2,50)</f>
        <v/>
      </c>
    </row>
    <row r="24741" spans="9:9" x14ac:dyDescent="0.25">
      <c r="I24741" s="227" t="str">
        <f>MID(excPisCofins[[#This Row],[CodBarras2]],2,50)</f>
        <v/>
      </c>
    </row>
    <row r="24742" spans="9:9" x14ac:dyDescent="0.25">
      <c r="I24742" s="227" t="str">
        <f>MID(excPisCofins[[#This Row],[CodBarras2]],2,50)</f>
        <v/>
      </c>
    </row>
    <row r="24743" spans="9:9" x14ac:dyDescent="0.25">
      <c r="I24743" s="227" t="str">
        <f>MID(excPisCofins[[#This Row],[CodBarras2]],2,50)</f>
        <v/>
      </c>
    </row>
    <row r="24744" spans="9:9" x14ac:dyDescent="0.25">
      <c r="I24744" s="227" t="str">
        <f>MID(excPisCofins[[#This Row],[CodBarras2]],2,50)</f>
        <v/>
      </c>
    </row>
    <row r="24745" spans="9:9" x14ac:dyDescent="0.25">
      <c r="I24745" s="227" t="str">
        <f>MID(excPisCofins[[#This Row],[CodBarras2]],2,50)</f>
        <v/>
      </c>
    </row>
    <row r="24746" spans="9:9" x14ac:dyDescent="0.25">
      <c r="I24746" s="227" t="str">
        <f>MID(excPisCofins[[#This Row],[CodBarras2]],2,50)</f>
        <v/>
      </c>
    </row>
    <row r="24747" spans="9:9" x14ac:dyDescent="0.25">
      <c r="I24747" s="227" t="str">
        <f>MID(excPisCofins[[#This Row],[CodBarras2]],2,50)</f>
        <v/>
      </c>
    </row>
    <row r="24748" spans="9:9" x14ac:dyDescent="0.25">
      <c r="I24748" s="227" t="str">
        <f>MID(excPisCofins[[#This Row],[CodBarras2]],2,50)</f>
        <v/>
      </c>
    </row>
    <row r="24749" spans="9:9" x14ac:dyDescent="0.25">
      <c r="I24749" s="227" t="str">
        <f>MID(excPisCofins[[#This Row],[CodBarras2]],2,50)</f>
        <v/>
      </c>
    </row>
    <row r="24750" spans="9:9" x14ac:dyDescent="0.25">
      <c r="I24750" s="227" t="str">
        <f>MID(excPisCofins[[#This Row],[CodBarras2]],2,50)</f>
        <v/>
      </c>
    </row>
    <row r="24751" spans="9:9" x14ac:dyDescent="0.25">
      <c r="I24751" s="227" t="str">
        <f>MID(excPisCofins[[#This Row],[CodBarras2]],2,50)</f>
        <v/>
      </c>
    </row>
    <row r="24752" spans="9:9" x14ac:dyDescent="0.25">
      <c r="I24752" s="227" t="str">
        <f>MID(excPisCofins[[#This Row],[CodBarras2]],2,50)</f>
        <v/>
      </c>
    </row>
    <row r="24753" spans="9:9" x14ac:dyDescent="0.25">
      <c r="I24753" s="227" t="str">
        <f>MID(excPisCofins[[#This Row],[CodBarras2]],2,50)</f>
        <v/>
      </c>
    </row>
    <row r="24754" spans="9:9" x14ac:dyDescent="0.25">
      <c r="I24754" s="227" t="str">
        <f>MID(excPisCofins[[#This Row],[CodBarras2]],2,50)</f>
        <v/>
      </c>
    </row>
    <row r="24755" spans="9:9" x14ac:dyDescent="0.25">
      <c r="I24755" s="227" t="str">
        <f>MID(excPisCofins[[#This Row],[CodBarras2]],2,50)</f>
        <v/>
      </c>
    </row>
    <row r="24756" spans="9:9" x14ac:dyDescent="0.25">
      <c r="I24756" s="227" t="str">
        <f>MID(excPisCofins[[#This Row],[CodBarras2]],2,50)</f>
        <v/>
      </c>
    </row>
    <row r="24757" spans="9:9" x14ac:dyDescent="0.25">
      <c r="I24757" s="227" t="str">
        <f>MID(excPisCofins[[#This Row],[CodBarras2]],2,50)</f>
        <v/>
      </c>
    </row>
    <row r="24758" spans="9:9" x14ac:dyDescent="0.25">
      <c r="I24758" s="227" t="str">
        <f>MID(excPisCofins[[#This Row],[CodBarras2]],2,50)</f>
        <v/>
      </c>
    </row>
    <row r="24759" spans="9:9" x14ac:dyDescent="0.25">
      <c r="I24759" s="227" t="str">
        <f>MID(excPisCofins[[#This Row],[CodBarras2]],2,50)</f>
        <v/>
      </c>
    </row>
    <row r="24760" spans="9:9" x14ac:dyDescent="0.25">
      <c r="I24760" s="227" t="str">
        <f>MID(excPisCofins[[#This Row],[CodBarras2]],2,50)</f>
        <v/>
      </c>
    </row>
    <row r="24761" spans="9:9" x14ac:dyDescent="0.25">
      <c r="I24761" s="227" t="str">
        <f>MID(excPisCofins[[#This Row],[CodBarras2]],2,50)</f>
        <v/>
      </c>
    </row>
    <row r="24762" spans="9:9" x14ac:dyDescent="0.25">
      <c r="I24762" s="227" t="str">
        <f>MID(excPisCofins[[#This Row],[CodBarras2]],2,50)</f>
        <v/>
      </c>
    </row>
    <row r="24763" spans="9:9" x14ac:dyDescent="0.25">
      <c r="I24763" s="227" t="str">
        <f>MID(excPisCofins[[#This Row],[CodBarras2]],2,50)</f>
        <v/>
      </c>
    </row>
    <row r="24764" spans="9:9" x14ac:dyDescent="0.25">
      <c r="I24764" s="227" t="str">
        <f>MID(excPisCofins[[#This Row],[CodBarras2]],2,50)</f>
        <v/>
      </c>
    </row>
    <row r="24765" spans="9:9" x14ac:dyDescent="0.25">
      <c r="I24765" s="227" t="str">
        <f>MID(excPisCofins[[#This Row],[CodBarras2]],2,50)</f>
        <v/>
      </c>
    </row>
    <row r="24766" spans="9:9" x14ac:dyDescent="0.25">
      <c r="I24766" s="227" t="str">
        <f>MID(excPisCofins[[#This Row],[CodBarras2]],2,50)</f>
        <v/>
      </c>
    </row>
    <row r="24767" spans="9:9" x14ac:dyDescent="0.25">
      <c r="I24767" s="227" t="str">
        <f>MID(excPisCofins[[#This Row],[CodBarras2]],2,50)</f>
        <v/>
      </c>
    </row>
    <row r="24768" spans="9:9" x14ac:dyDescent="0.25">
      <c r="I24768" s="227" t="str">
        <f>MID(excPisCofins[[#This Row],[CodBarras2]],2,50)</f>
        <v/>
      </c>
    </row>
    <row r="24769" spans="9:9" x14ac:dyDescent="0.25">
      <c r="I24769" s="227" t="str">
        <f>MID(excPisCofins[[#This Row],[CodBarras2]],2,50)</f>
        <v/>
      </c>
    </row>
    <row r="24770" spans="9:9" x14ac:dyDescent="0.25">
      <c r="I24770" s="227" t="str">
        <f>MID(excPisCofins[[#This Row],[CodBarras2]],2,50)</f>
        <v/>
      </c>
    </row>
    <row r="24771" spans="9:9" x14ac:dyDescent="0.25">
      <c r="I24771" s="227" t="str">
        <f>MID(excPisCofins[[#This Row],[CodBarras2]],2,50)</f>
        <v/>
      </c>
    </row>
    <row r="24772" spans="9:9" x14ac:dyDescent="0.25">
      <c r="I24772" s="227" t="str">
        <f>MID(excPisCofins[[#This Row],[CodBarras2]],2,50)</f>
        <v/>
      </c>
    </row>
    <row r="24773" spans="9:9" x14ac:dyDescent="0.25">
      <c r="I24773" s="227" t="str">
        <f>MID(excPisCofins[[#This Row],[CodBarras2]],2,50)</f>
        <v/>
      </c>
    </row>
    <row r="24774" spans="9:9" x14ac:dyDescent="0.25">
      <c r="I24774" s="227" t="str">
        <f>MID(excPisCofins[[#This Row],[CodBarras2]],2,50)</f>
        <v/>
      </c>
    </row>
    <row r="24775" spans="9:9" x14ac:dyDescent="0.25">
      <c r="I24775" s="227" t="str">
        <f>MID(excPisCofins[[#This Row],[CodBarras2]],2,50)</f>
        <v/>
      </c>
    </row>
    <row r="24776" spans="9:9" x14ac:dyDescent="0.25">
      <c r="I24776" s="227" t="str">
        <f>MID(excPisCofins[[#This Row],[CodBarras2]],2,50)</f>
        <v/>
      </c>
    </row>
    <row r="24777" spans="9:9" x14ac:dyDescent="0.25">
      <c r="I24777" s="227" t="str">
        <f>MID(excPisCofins[[#This Row],[CodBarras2]],2,50)</f>
        <v/>
      </c>
    </row>
    <row r="24778" spans="9:9" x14ac:dyDescent="0.25">
      <c r="I24778" s="227" t="str">
        <f>MID(excPisCofins[[#This Row],[CodBarras2]],2,50)</f>
        <v/>
      </c>
    </row>
    <row r="24779" spans="9:9" x14ac:dyDescent="0.25">
      <c r="I24779" s="227" t="str">
        <f>MID(excPisCofins[[#This Row],[CodBarras2]],2,50)</f>
        <v/>
      </c>
    </row>
    <row r="24780" spans="9:9" x14ac:dyDescent="0.25">
      <c r="I24780" s="227" t="str">
        <f>MID(excPisCofins[[#This Row],[CodBarras2]],2,50)</f>
        <v/>
      </c>
    </row>
    <row r="24781" spans="9:9" x14ac:dyDescent="0.25">
      <c r="I24781" s="227" t="str">
        <f>MID(excPisCofins[[#This Row],[CodBarras2]],2,50)</f>
        <v/>
      </c>
    </row>
    <row r="24782" spans="9:9" x14ac:dyDescent="0.25">
      <c r="I24782" s="227" t="str">
        <f>MID(excPisCofins[[#This Row],[CodBarras2]],2,50)</f>
        <v/>
      </c>
    </row>
    <row r="24783" spans="9:9" x14ac:dyDescent="0.25">
      <c r="I24783" s="227" t="str">
        <f>MID(excPisCofins[[#This Row],[CodBarras2]],2,50)</f>
        <v/>
      </c>
    </row>
    <row r="24784" spans="9:9" x14ac:dyDescent="0.25">
      <c r="I24784" s="227" t="str">
        <f>MID(excPisCofins[[#This Row],[CodBarras2]],2,50)</f>
        <v/>
      </c>
    </row>
    <row r="24785" spans="9:9" x14ac:dyDescent="0.25">
      <c r="I24785" s="227" t="str">
        <f>MID(excPisCofins[[#This Row],[CodBarras2]],2,50)</f>
        <v/>
      </c>
    </row>
    <row r="24786" spans="9:9" x14ac:dyDescent="0.25">
      <c r="I24786" s="227" t="str">
        <f>MID(excPisCofins[[#This Row],[CodBarras2]],2,50)</f>
        <v/>
      </c>
    </row>
    <row r="24787" spans="9:9" x14ac:dyDescent="0.25">
      <c r="I24787" s="227" t="str">
        <f>MID(excPisCofins[[#This Row],[CodBarras2]],2,50)</f>
        <v/>
      </c>
    </row>
    <row r="24788" spans="9:9" x14ac:dyDescent="0.25">
      <c r="I24788" s="227" t="str">
        <f>MID(excPisCofins[[#This Row],[CodBarras2]],2,50)</f>
        <v/>
      </c>
    </row>
    <row r="24789" spans="9:9" x14ac:dyDescent="0.25">
      <c r="I24789" s="227" t="str">
        <f>MID(excPisCofins[[#This Row],[CodBarras2]],2,50)</f>
        <v/>
      </c>
    </row>
    <row r="24790" spans="9:9" x14ac:dyDescent="0.25">
      <c r="I24790" s="227" t="str">
        <f>MID(excPisCofins[[#This Row],[CodBarras2]],2,50)</f>
        <v/>
      </c>
    </row>
    <row r="24791" spans="9:9" x14ac:dyDescent="0.25">
      <c r="I24791" s="227" t="str">
        <f>MID(excPisCofins[[#This Row],[CodBarras2]],2,50)</f>
        <v/>
      </c>
    </row>
    <row r="24792" spans="9:9" x14ac:dyDescent="0.25">
      <c r="I24792" s="227" t="str">
        <f>MID(excPisCofins[[#This Row],[CodBarras2]],2,50)</f>
        <v/>
      </c>
    </row>
    <row r="24793" spans="9:9" x14ac:dyDescent="0.25">
      <c r="I24793" s="227" t="str">
        <f>MID(excPisCofins[[#This Row],[CodBarras2]],2,50)</f>
        <v/>
      </c>
    </row>
    <row r="24794" spans="9:9" x14ac:dyDescent="0.25">
      <c r="I24794" s="227" t="str">
        <f>MID(excPisCofins[[#This Row],[CodBarras2]],2,50)</f>
        <v/>
      </c>
    </row>
    <row r="24795" spans="9:9" x14ac:dyDescent="0.25">
      <c r="I24795" s="227" t="str">
        <f>MID(excPisCofins[[#This Row],[CodBarras2]],2,50)</f>
        <v/>
      </c>
    </row>
    <row r="24796" spans="9:9" x14ac:dyDescent="0.25">
      <c r="I24796" s="227" t="str">
        <f>MID(excPisCofins[[#This Row],[CodBarras2]],2,50)</f>
        <v/>
      </c>
    </row>
    <row r="24797" spans="9:9" x14ac:dyDescent="0.25">
      <c r="I24797" s="227" t="str">
        <f>MID(excPisCofins[[#This Row],[CodBarras2]],2,50)</f>
        <v/>
      </c>
    </row>
    <row r="24798" spans="9:9" x14ac:dyDescent="0.25">
      <c r="I24798" s="227" t="str">
        <f>MID(excPisCofins[[#This Row],[CodBarras2]],2,50)</f>
        <v/>
      </c>
    </row>
    <row r="24799" spans="9:9" x14ac:dyDescent="0.25">
      <c r="I24799" s="227" t="str">
        <f>MID(excPisCofins[[#This Row],[CodBarras2]],2,50)</f>
        <v/>
      </c>
    </row>
    <row r="24800" spans="9:9" x14ac:dyDescent="0.25">
      <c r="I24800" s="227" t="str">
        <f>MID(excPisCofins[[#This Row],[CodBarras2]],2,50)</f>
        <v/>
      </c>
    </row>
    <row r="24801" spans="9:9" x14ac:dyDescent="0.25">
      <c r="I24801" s="227" t="str">
        <f>MID(excPisCofins[[#This Row],[CodBarras2]],2,50)</f>
        <v/>
      </c>
    </row>
    <row r="24802" spans="9:9" x14ac:dyDescent="0.25">
      <c r="I24802" s="227" t="str">
        <f>MID(excPisCofins[[#This Row],[CodBarras2]],2,50)</f>
        <v/>
      </c>
    </row>
    <row r="24803" spans="9:9" x14ac:dyDescent="0.25">
      <c r="I24803" s="227" t="str">
        <f>MID(excPisCofins[[#This Row],[CodBarras2]],2,50)</f>
        <v/>
      </c>
    </row>
    <row r="24804" spans="9:9" x14ac:dyDescent="0.25">
      <c r="I24804" s="227" t="str">
        <f>MID(excPisCofins[[#This Row],[CodBarras2]],2,50)</f>
        <v/>
      </c>
    </row>
    <row r="24805" spans="9:9" x14ac:dyDescent="0.25">
      <c r="I24805" s="227" t="str">
        <f>MID(excPisCofins[[#This Row],[CodBarras2]],2,50)</f>
        <v/>
      </c>
    </row>
    <row r="24806" spans="9:9" x14ac:dyDescent="0.25">
      <c r="I24806" s="227" t="str">
        <f>MID(excPisCofins[[#This Row],[CodBarras2]],2,50)</f>
        <v/>
      </c>
    </row>
    <row r="24807" spans="9:9" x14ac:dyDescent="0.25">
      <c r="I24807" s="227" t="str">
        <f>MID(excPisCofins[[#This Row],[CodBarras2]],2,50)</f>
        <v/>
      </c>
    </row>
    <row r="24808" spans="9:9" x14ac:dyDescent="0.25">
      <c r="I24808" s="227" t="str">
        <f>MID(excPisCofins[[#This Row],[CodBarras2]],2,50)</f>
        <v/>
      </c>
    </row>
    <row r="24809" spans="9:9" x14ac:dyDescent="0.25">
      <c r="I24809" s="227" t="str">
        <f>MID(excPisCofins[[#This Row],[CodBarras2]],2,50)</f>
        <v/>
      </c>
    </row>
    <row r="24810" spans="9:9" x14ac:dyDescent="0.25">
      <c r="I24810" s="227" t="str">
        <f>MID(excPisCofins[[#This Row],[CodBarras2]],2,50)</f>
        <v/>
      </c>
    </row>
    <row r="24811" spans="9:9" x14ac:dyDescent="0.25">
      <c r="I24811" s="227" t="str">
        <f>MID(excPisCofins[[#This Row],[CodBarras2]],2,50)</f>
        <v/>
      </c>
    </row>
    <row r="24812" spans="9:9" x14ac:dyDescent="0.25">
      <c r="I24812" s="227" t="str">
        <f>MID(excPisCofins[[#This Row],[CodBarras2]],2,50)</f>
        <v/>
      </c>
    </row>
    <row r="24813" spans="9:9" x14ac:dyDescent="0.25">
      <c r="I24813" s="227" t="str">
        <f>MID(excPisCofins[[#This Row],[CodBarras2]],2,50)</f>
        <v/>
      </c>
    </row>
    <row r="24814" spans="9:9" x14ac:dyDescent="0.25">
      <c r="I24814" s="227" t="str">
        <f>MID(excPisCofins[[#This Row],[CodBarras2]],2,50)</f>
        <v/>
      </c>
    </row>
    <row r="24815" spans="9:9" x14ac:dyDescent="0.25">
      <c r="I24815" s="227" t="str">
        <f>MID(excPisCofins[[#This Row],[CodBarras2]],2,50)</f>
        <v/>
      </c>
    </row>
    <row r="24816" spans="9:9" x14ac:dyDescent="0.25">
      <c r="I24816" s="227" t="str">
        <f>MID(excPisCofins[[#This Row],[CodBarras2]],2,50)</f>
        <v/>
      </c>
    </row>
    <row r="24817" spans="9:9" x14ac:dyDescent="0.25">
      <c r="I24817" s="227" t="str">
        <f>MID(excPisCofins[[#This Row],[CodBarras2]],2,50)</f>
        <v/>
      </c>
    </row>
    <row r="24818" spans="9:9" x14ac:dyDescent="0.25">
      <c r="I24818" s="227" t="str">
        <f>MID(excPisCofins[[#This Row],[CodBarras2]],2,50)</f>
        <v/>
      </c>
    </row>
    <row r="24819" spans="9:9" x14ac:dyDescent="0.25">
      <c r="I24819" s="227" t="str">
        <f>MID(excPisCofins[[#This Row],[CodBarras2]],2,50)</f>
        <v/>
      </c>
    </row>
    <row r="24820" spans="9:9" x14ac:dyDescent="0.25">
      <c r="I24820" s="227" t="str">
        <f>MID(excPisCofins[[#This Row],[CodBarras2]],2,50)</f>
        <v/>
      </c>
    </row>
    <row r="24821" spans="9:9" x14ac:dyDescent="0.25">
      <c r="I24821" s="227" t="str">
        <f>MID(excPisCofins[[#This Row],[CodBarras2]],2,50)</f>
        <v/>
      </c>
    </row>
    <row r="24822" spans="9:9" x14ac:dyDescent="0.25">
      <c r="I24822" s="227" t="str">
        <f>MID(excPisCofins[[#This Row],[CodBarras2]],2,50)</f>
        <v/>
      </c>
    </row>
    <row r="24823" spans="9:9" x14ac:dyDescent="0.25">
      <c r="I24823" s="227" t="str">
        <f>MID(excPisCofins[[#This Row],[CodBarras2]],2,50)</f>
        <v/>
      </c>
    </row>
    <row r="24824" spans="9:9" x14ac:dyDescent="0.25">
      <c r="I24824" s="227" t="str">
        <f>MID(excPisCofins[[#This Row],[CodBarras2]],2,50)</f>
        <v/>
      </c>
    </row>
    <row r="24825" spans="9:9" x14ac:dyDescent="0.25">
      <c r="I24825" s="227" t="str">
        <f>MID(excPisCofins[[#This Row],[CodBarras2]],2,50)</f>
        <v/>
      </c>
    </row>
    <row r="24826" spans="9:9" x14ac:dyDescent="0.25">
      <c r="I24826" s="227" t="str">
        <f>MID(excPisCofins[[#This Row],[CodBarras2]],2,50)</f>
        <v/>
      </c>
    </row>
    <row r="24827" spans="9:9" x14ac:dyDescent="0.25">
      <c r="I24827" s="227" t="str">
        <f>MID(excPisCofins[[#This Row],[CodBarras2]],2,50)</f>
        <v/>
      </c>
    </row>
    <row r="24828" spans="9:9" x14ac:dyDescent="0.25">
      <c r="I24828" s="227" t="str">
        <f>MID(excPisCofins[[#This Row],[CodBarras2]],2,50)</f>
        <v/>
      </c>
    </row>
    <row r="24829" spans="9:9" x14ac:dyDescent="0.25">
      <c r="I24829" s="227" t="str">
        <f>MID(excPisCofins[[#This Row],[CodBarras2]],2,50)</f>
        <v/>
      </c>
    </row>
    <row r="24830" spans="9:9" x14ac:dyDescent="0.25">
      <c r="I24830" s="227" t="str">
        <f>MID(excPisCofins[[#This Row],[CodBarras2]],2,50)</f>
        <v/>
      </c>
    </row>
    <row r="24831" spans="9:9" x14ac:dyDescent="0.25">
      <c r="I24831" s="227" t="str">
        <f>MID(excPisCofins[[#This Row],[CodBarras2]],2,50)</f>
        <v/>
      </c>
    </row>
    <row r="24832" spans="9:9" x14ac:dyDescent="0.25">
      <c r="I24832" s="227" t="str">
        <f>MID(excPisCofins[[#This Row],[CodBarras2]],2,50)</f>
        <v/>
      </c>
    </row>
    <row r="24833" spans="9:9" x14ac:dyDescent="0.25">
      <c r="I24833" s="227" t="str">
        <f>MID(excPisCofins[[#This Row],[CodBarras2]],2,50)</f>
        <v/>
      </c>
    </row>
    <row r="24834" spans="9:9" x14ac:dyDescent="0.25">
      <c r="I24834" s="227" t="str">
        <f>MID(excPisCofins[[#This Row],[CodBarras2]],2,50)</f>
        <v/>
      </c>
    </row>
    <row r="24835" spans="9:9" x14ac:dyDescent="0.25">
      <c r="I24835" s="227" t="str">
        <f>MID(excPisCofins[[#This Row],[CodBarras2]],2,50)</f>
        <v/>
      </c>
    </row>
    <row r="24836" spans="9:9" x14ac:dyDescent="0.25">
      <c r="I24836" s="227" t="str">
        <f>MID(excPisCofins[[#This Row],[CodBarras2]],2,50)</f>
        <v/>
      </c>
    </row>
    <row r="24837" spans="9:9" x14ac:dyDescent="0.25">
      <c r="I24837" s="227" t="str">
        <f>MID(excPisCofins[[#This Row],[CodBarras2]],2,50)</f>
        <v/>
      </c>
    </row>
    <row r="24838" spans="9:9" x14ac:dyDescent="0.25">
      <c r="I24838" s="227" t="str">
        <f>MID(excPisCofins[[#This Row],[CodBarras2]],2,50)</f>
        <v/>
      </c>
    </row>
    <row r="24839" spans="9:9" x14ac:dyDescent="0.25">
      <c r="I24839" s="227" t="str">
        <f>MID(excPisCofins[[#This Row],[CodBarras2]],2,50)</f>
        <v/>
      </c>
    </row>
    <row r="24840" spans="9:9" x14ac:dyDescent="0.25">
      <c r="I24840" s="227" t="str">
        <f>MID(excPisCofins[[#This Row],[CodBarras2]],2,50)</f>
        <v/>
      </c>
    </row>
    <row r="24841" spans="9:9" x14ac:dyDescent="0.25">
      <c r="I24841" s="227" t="str">
        <f>MID(excPisCofins[[#This Row],[CodBarras2]],2,50)</f>
        <v/>
      </c>
    </row>
    <row r="24842" spans="9:9" x14ac:dyDescent="0.25">
      <c r="I24842" s="227" t="str">
        <f>MID(excPisCofins[[#This Row],[CodBarras2]],2,50)</f>
        <v/>
      </c>
    </row>
    <row r="24843" spans="9:9" x14ac:dyDescent="0.25">
      <c r="I24843" s="227" t="str">
        <f>MID(excPisCofins[[#This Row],[CodBarras2]],2,50)</f>
        <v/>
      </c>
    </row>
    <row r="24844" spans="9:9" x14ac:dyDescent="0.25">
      <c r="I24844" s="227" t="str">
        <f>MID(excPisCofins[[#This Row],[CodBarras2]],2,50)</f>
        <v/>
      </c>
    </row>
    <row r="24845" spans="9:9" x14ac:dyDescent="0.25">
      <c r="I24845" s="227" t="str">
        <f>MID(excPisCofins[[#This Row],[CodBarras2]],2,50)</f>
        <v/>
      </c>
    </row>
    <row r="24846" spans="9:9" x14ac:dyDescent="0.25">
      <c r="I24846" s="227" t="str">
        <f>MID(excPisCofins[[#This Row],[CodBarras2]],2,50)</f>
        <v/>
      </c>
    </row>
    <row r="24847" spans="9:9" x14ac:dyDescent="0.25">
      <c r="I24847" s="227" t="str">
        <f>MID(excPisCofins[[#This Row],[CodBarras2]],2,50)</f>
        <v/>
      </c>
    </row>
    <row r="24848" spans="9:9" x14ac:dyDescent="0.25">
      <c r="I24848" s="227" t="str">
        <f>MID(excPisCofins[[#This Row],[CodBarras2]],2,50)</f>
        <v/>
      </c>
    </row>
    <row r="24849" spans="9:9" x14ac:dyDescent="0.25">
      <c r="I24849" s="227" t="str">
        <f>MID(excPisCofins[[#This Row],[CodBarras2]],2,50)</f>
        <v/>
      </c>
    </row>
    <row r="24850" spans="9:9" x14ac:dyDescent="0.25">
      <c r="I24850" s="227" t="str">
        <f>MID(excPisCofins[[#This Row],[CodBarras2]],2,50)</f>
        <v/>
      </c>
    </row>
    <row r="24851" spans="9:9" x14ac:dyDescent="0.25">
      <c r="I24851" s="227" t="str">
        <f>MID(excPisCofins[[#This Row],[CodBarras2]],2,50)</f>
        <v/>
      </c>
    </row>
    <row r="24852" spans="9:9" x14ac:dyDescent="0.25">
      <c r="I24852" s="227" t="str">
        <f>MID(excPisCofins[[#This Row],[CodBarras2]],2,50)</f>
        <v/>
      </c>
    </row>
    <row r="24853" spans="9:9" x14ac:dyDescent="0.25">
      <c r="I24853" s="227" t="str">
        <f>MID(excPisCofins[[#This Row],[CodBarras2]],2,50)</f>
        <v/>
      </c>
    </row>
    <row r="24854" spans="9:9" x14ac:dyDescent="0.25">
      <c r="I24854" s="227" t="str">
        <f>MID(excPisCofins[[#This Row],[CodBarras2]],2,50)</f>
        <v/>
      </c>
    </row>
    <row r="24855" spans="9:9" x14ac:dyDescent="0.25">
      <c r="I24855" s="227" t="str">
        <f>MID(excPisCofins[[#This Row],[CodBarras2]],2,50)</f>
        <v/>
      </c>
    </row>
    <row r="24856" spans="9:9" x14ac:dyDescent="0.25">
      <c r="I24856" s="227" t="str">
        <f>MID(excPisCofins[[#This Row],[CodBarras2]],2,50)</f>
        <v/>
      </c>
    </row>
    <row r="24857" spans="9:9" x14ac:dyDescent="0.25">
      <c r="I24857" s="227" t="str">
        <f>MID(excPisCofins[[#This Row],[CodBarras2]],2,50)</f>
        <v/>
      </c>
    </row>
    <row r="24858" spans="9:9" x14ac:dyDescent="0.25">
      <c r="I24858" s="227" t="str">
        <f>MID(excPisCofins[[#This Row],[CodBarras2]],2,50)</f>
        <v/>
      </c>
    </row>
    <row r="24859" spans="9:9" x14ac:dyDescent="0.25">
      <c r="I24859" s="227" t="str">
        <f>MID(excPisCofins[[#This Row],[CodBarras2]],2,50)</f>
        <v/>
      </c>
    </row>
    <row r="24860" spans="9:9" x14ac:dyDescent="0.25">
      <c r="I24860" s="227" t="str">
        <f>MID(excPisCofins[[#This Row],[CodBarras2]],2,50)</f>
        <v/>
      </c>
    </row>
    <row r="24861" spans="9:9" x14ac:dyDescent="0.25">
      <c r="I24861" s="227" t="str">
        <f>MID(excPisCofins[[#This Row],[CodBarras2]],2,50)</f>
        <v/>
      </c>
    </row>
    <row r="24862" spans="9:9" x14ac:dyDescent="0.25">
      <c r="I24862" s="227" t="str">
        <f>MID(excPisCofins[[#This Row],[CodBarras2]],2,50)</f>
        <v/>
      </c>
    </row>
    <row r="24863" spans="9:9" x14ac:dyDescent="0.25">
      <c r="I24863" s="227" t="str">
        <f>MID(excPisCofins[[#This Row],[CodBarras2]],2,50)</f>
        <v/>
      </c>
    </row>
    <row r="24864" spans="9:9" x14ac:dyDescent="0.25">
      <c r="I24864" s="227" t="str">
        <f>MID(excPisCofins[[#This Row],[CodBarras2]],2,50)</f>
        <v/>
      </c>
    </row>
    <row r="24865" spans="9:9" x14ac:dyDescent="0.25">
      <c r="I24865" s="227" t="str">
        <f>MID(excPisCofins[[#This Row],[CodBarras2]],2,50)</f>
        <v/>
      </c>
    </row>
    <row r="24866" spans="9:9" x14ac:dyDescent="0.25">
      <c r="I24866" s="227" t="str">
        <f>MID(excPisCofins[[#This Row],[CodBarras2]],2,50)</f>
        <v/>
      </c>
    </row>
    <row r="24867" spans="9:9" x14ac:dyDescent="0.25">
      <c r="I24867" s="227" t="str">
        <f>MID(excPisCofins[[#This Row],[CodBarras2]],2,50)</f>
        <v/>
      </c>
    </row>
    <row r="24868" spans="9:9" x14ac:dyDescent="0.25">
      <c r="I24868" s="227" t="str">
        <f>MID(excPisCofins[[#This Row],[CodBarras2]],2,50)</f>
        <v/>
      </c>
    </row>
    <row r="24869" spans="9:9" x14ac:dyDescent="0.25">
      <c r="I24869" s="227" t="str">
        <f>MID(excPisCofins[[#This Row],[CodBarras2]],2,50)</f>
        <v/>
      </c>
    </row>
    <row r="24870" spans="9:9" x14ac:dyDescent="0.25">
      <c r="I24870" s="227" t="str">
        <f>MID(excPisCofins[[#This Row],[CodBarras2]],2,50)</f>
        <v/>
      </c>
    </row>
    <row r="24871" spans="9:9" x14ac:dyDescent="0.25">
      <c r="I24871" s="227" t="str">
        <f>MID(excPisCofins[[#This Row],[CodBarras2]],2,50)</f>
        <v/>
      </c>
    </row>
    <row r="24872" spans="9:9" x14ac:dyDescent="0.25">
      <c r="I24872" s="227" t="str">
        <f>MID(excPisCofins[[#This Row],[CodBarras2]],2,50)</f>
        <v/>
      </c>
    </row>
    <row r="24873" spans="9:9" x14ac:dyDescent="0.25">
      <c r="I24873" s="227" t="str">
        <f>MID(excPisCofins[[#This Row],[CodBarras2]],2,50)</f>
        <v/>
      </c>
    </row>
    <row r="24874" spans="9:9" x14ac:dyDescent="0.25">
      <c r="I24874" s="227" t="str">
        <f>MID(excPisCofins[[#This Row],[CodBarras2]],2,50)</f>
        <v/>
      </c>
    </row>
    <row r="24875" spans="9:9" x14ac:dyDescent="0.25">
      <c r="I24875" s="227" t="str">
        <f>MID(excPisCofins[[#This Row],[CodBarras2]],2,50)</f>
        <v/>
      </c>
    </row>
    <row r="24876" spans="9:9" x14ac:dyDescent="0.25">
      <c r="I24876" s="227" t="str">
        <f>MID(excPisCofins[[#This Row],[CodBarras2]],2,50)</f>
        <v/>
      </c>
    </row>
    <row r="24877" spans="9:9" x14ac:dyDescent="0.25">
      <c r="I24877" s="227" t="str">
        <f>MID(excPisCofins[[#This Row],[CodBarras2]],2,50)</f>
        <v/>
      </c>
    </row>
    <row r="24878" spans="9:9" x14ac:dyDescent="0.25">
      <c r="I24878" s="227" t="str">
        <f>MID(excPisCofins[[#This Row],[CodBarras2]],2,50)</f>
        <v/>
      </c>
    </row>
    <row r="24879" spans="9:9" x14ac:dyDescent="0.25">
      <c r="I24879" s="227" t="str">
        <f>MID(excPisCofins[[#This Row],[CodBarras2]],2,50)</f>
        <v/>
      </c>
    </row>
    <row r="24880" spans="9:9" x14ac:dyDescent="0.25">
      <c r="I24880" s="227" t="str">
        <f>MID(excPisCofins[[#This Row],[CodBarras2]],2,50)</f>
        <v/>
      </c>
    </row>
    <row r="24881" spans="9:9" x14ac:dyDescent="0.25">
      <c r="I24881" s="227" t="str">
        <f>MID(excPisCofins[[#This Row],[CodBarras2]],2,50)</f>
        <v/>
      </c>
    </row>
    <row r="24882" spans="9:9" x14ac:dyDescent="0.25">
      <c r="I24882" s="227" t="str">
        <f>MID(excPisCofins[[#This Row],[CodBarras2]],2,50)</f>
        <v/>
      </c>
    </row>
    <row r="24883" spans="9:9" x14ac:dyDescent="0.25">
      <c r="I24883" s="227" t="str">
        <f>MID(excPisCofins[[#This Row],[CodBarras2]],2,50)</f>
        <v/>
      </c>
    </row>
    <row r="24884" spans="9:9" x14ac:dyDescent="0.25">
      <c r="I24884" s="227" t="str">
        <f>MID(excPisCofins[[#This Row],[CodBarras2]],2,50)</f>
        <v/>
      </c>
    </row>
    <row r="24885" spans="9:9" x14ac:dyDescent="0.25">
      <c r="I24885" s="227" t="str">
        <f>MID(excPisCofins[[#This Row],[CodBarras2]],2,50)</f>
        <v/>
      </c>
    </row>
    <row r="24886" spans="9:9" x14ac:dyDescent="0.25">
      <c r="I24886" s="227" t="str">
        <f>MID(excPisCofins[[#This Row],[CodBarras2]],2,50)</f>
        <v/>
      </c>
    </row>
    <row r="24887" spans="9:9" x14ac:dyDescent="0.25">
      <c r="I24887" s="227" t="str">
        <f>MID(excPisCofins[[#This Row],[CodBarras2]],2,50)</f>
        <v/>
      </c>
    </row>
    <row r="24888" spans="9:9" x14ac:dyDescent="0.25">
      <c r="I24888" s="227" t="str">
        <f>MID(excPisCofins[[#This Row],[CodBarras2]],2,50)</f>
        <v/>
      </c>
    </row>
    <row r="24889" spans="9:9" x14ac:dyDescent="0.25">
      <c r="I24889" s="227" t="str">
        <f>MID(excPisCofins[[#This Row],[CodBarras2]],2,50)</f>
        <v/>
      </c>
    </row>
    <row r="24890" spans="9:9" x14ac:dyDescent="0.25">
      <c r="I24890" s="227" t="str">
        <f>MID(excPisCofins[[#This Row],[CodBarras2]],2,50)</f>
        <v/>
      </c>
    </row>
    <row r="24891" spans="9:9" x14ac:dyDescent="0.25">
      <c r="I24891" s="227" t="str">
        <f>MID(excPisCofins[[#This Row],[CodBarras2]],2,50)</f>
        <v/>
      </c>
    </row>
    <row r="24892" spans="9:9" x14ac:dyDescent="0.25">
      <c r="I24892" s="227" t="str">
        <f>MID(excPisCofins[[#This Row],[CodBarras2]],2,50)</f>
        <v/>
      </c>
    </row>
    <row r="24893" spans="9:9" x14ac:dyDescent="0.25">
      <c r="I24893" s="227" t="str">
        <f>MID(excPisCofins[[#This Row],[CodBarras2]],2,50)</f>
        <v/>
      </c>
    </row>
    <row r="24894" spans="9:9" x14ac:dyDescent="0.25">
      <c r="I24894" s="227" t="str">
        <f>MID(excPisCofins[[#This Row],[CodBarras2]],2,50)</f>
        <v/>
      </c>
    </row>
    <row r="24895" spans="9:9" x14ac:dyDescent="0.25">
      <c r="I24895" s="227" t="str">
        <f>MID(excPisCofins[[#This Row],[CodBarras2]],2,50)</f>
        <v/>
      </c>
    </row>
    <row r="24896" spans="9:9" x14ac:dyDescent="0.25">
      <c r="I24896" s="227" t="str">
        <f>MID(excPisCofins[[#This Row],[CodBarras2]],2,50)</f>
        <v/>
      </c>
    </row>
    <row r="24897" spans="9:9" x14ac:dyDescent="0.25">
      <c r="I24897" s="227" t="str">
        <f>MID(excPisCofins[[#This Row],[CodBarras2]],2,50)</f>
        <v/>
      </c>
    </row>
    <row r="24898" spans="9:9" x14ac:dyDescent="0.25">
      <c r="I24898" s="227" t="str">
        <f>MID(excPisCofins[[#This Row],[CodBarras2]],2,50)</f>
        <v/>
      </c>
    </row>
    <row r="24899" spans="9:9" x14ac:dyDescent="0.25">
      <c r="I24899" s="227" t="str">
        <f>MID(excPisCofins[[#This Row],[CodBarras2]],2,50)</f>
        <v/>
      </c>
    </row>
    <row r="24900" spans="9:9" x14ac:dyDescent="0.25">
      <c r="I24900" s="227" t="str">
        <f>MID(excPisCofins[[#This Row],[CodBarras2]],2,50)</f>
        <v/>
      </c>
    </row>
    <row r="24901" spans="9:9" x14ac:dyDescent="0.25">
      <c r="I24901" s="227" t="str">
        <f>MID(excPisCofins[[#This Row],[CodBarras2]],2,50)</f>
        <v/>
      </c>
    </row>
    <row r="24902" spans="9:9" x14ac:dyDescent="0.25">
      <c r="I24902" s="227" t="str">
        <f>MID(excPisCofins[[#This Row],[CodBarras2]],2,50)</f>
        <v/>
      </c>
    </row>
    <row r="24903" spans="9:9" x14ac:dyDescent="0.25">
      <c r="I24903" s="227" t="str">
        <f>MID(excPisCofins[[#This Row],[CodBarras2]],2,50)</f>
        <v/>
      </c>
    </row>
    <row r="24904" spans="9:9" x14ac:dyDescent="0.25">
      <c r="I24904" s="227" t="str">
        <f>MID(excPisCofins[[#This Row],[CodBarras2]],2,50)</f>
        <v/>
      </c>
    </row>
    <row r="24905" spans="9:9" x14ac:dyDescent="0.25">
      <c r="I24905" s="227" t="str">
        <f>MID(excPisCofins[[#This Row],[CodBarras2]],2,50)</f>
        <v/>
      </c>
    </row>
    <row r="24906" spans="9:9" x14ac:dyDescent="0.25">
      <c r="I24906" s="227" t="str">
        <f>MID(excPisCofins[[#This Row],[CodBarras2]],2,50)</f>
        <v/>
      </c>
    </row>
    <row r="24907" spans="9:9" x14ac:dyDescent="0.25">
      <c r="I24907" s="227" t="str">
        <f>MID(excPisCofins[[#This Row],[CodBarras2]],2,50)</f>
        <v/>
      </c>
    </row>
    <row r="24908" spans="9:9" x14ac:dyDescent="0.25">
      <c r="I24908" s="227" t="str">
        <f>MID(excPisCofins[[#This Row],[CodBarras2]],2,50)</f>
        <v/>
      </c>
    </row>
    <row r="24909" spans="9:9" x14ac:dyDescent="0.25">
      <c r="I24909" s="227" t="str">
        <f>MID(excPisCofins[[#This Row],[CodBarras2]],2,50)</f>
        <v/>
      </c>
    </row>
    <row r="24910" spans="9:9" x14ac:dyDescent="0.25">
      <c r="I24910" s="227" t="str">
        <f>MID(excPisCofins[[#This Row],[CodBarras2]],2,50)</f>
        <v/>
      </c>
    </row>
    <row r="24911" spans="9:9" x14ac:dyDescent="0.25">
      <c r="I24911" s="227" t="str">
        <f>MID(excPisCofins[[#This Row],[CodBarras2]],2,50)</f>
        <v/>
      </c>
    </row>
    <row r="24912" spans="9:9" x14ac:dyDescent="0.25">
      <c r="I24912" s="227" t="str">
        <f>MID(excPisCofins[[#This Row],[CodBarras2]],2,50)</f>
        <v/>
      </c>
    </row>
    <row r="24913" spans="9:9" x14ac:dyDescent="0.25">
      <c r="I24913" s="227" t="str">
        <f>MID(excPisCofins[[#This Row],[CodBarras2]],2,50)</f>
        <v/>
      </c>
    </row>
    <row r="24914" spans="9:9" x14ac:dyDescent="0.25">
      <c r="I24914" s="227" t="str">
        <f>MID(excPisCofins[[#This Row],[CodBarras2]],2,50)</f>
        <v/>
      </c>
    </row>
    <row r="24915" spans="9:9" x14ac:dyDescent="0.25">
      <c r="I24915" s="227" t="str">
        <f>MID(excPisCofins[[#This Row],[CodBarras2]],2,50)</f>
        <v/>
      </c>
    </row>
    <row r="24916" spans="9:9" x14ac:dyDescent="0.25">
      <c r="I24916" s="227" t="str">
        <f>MID(excPisCofins[[#This Row],[CodBarras2]],2,50)</f>
        <v/>
      </c>
    </row>
    <row r="24917" spans="9:9" x14ac:dyDescent="0.25">
      <c r="I24917" s="227" t="str">
        <f>MID(excPisCofins[[#This Row],[CodBarras2]],2,50)</f>
        <v/>
      </c>
    </row>
    <row r="24918" spans="9:9" x14ac:dyDescent="0.25">
      <c r="I24918" s="227" t="str">
        <f>MID(excPisCofins[[#This Row],[CodBarras2]],2,50)</f>
        <v/>
      </c>
    </row>
    <row r="24919" spans="9:9" x14ac:dyDescent="0.25">
      <c r="I24919" s="227" t="str">
        <f>MID(excPisCofins[[#This Row],[CodBarras2]],2,50)</f>
        <v/>
      </c>
    </row>
    <row r="24920" spans="9:9" x14ac:dyDescent="0.25">
      <c r="I24920" s="227" t="str">
        <f>MID(excPisCofins[[#This Row],[CodBarras2]],2,50)</f>
        <v/>
      </c>
    </row>
    <row r="24921" spans="9:9" x14ac:dyDescent="0.25">
      <c r="I24921" s="227" t="str">
        <f>MID(excPisCofins[[#This Row],[CodBarras2]],2,50)</f>
        <v/>
      </c>
    </row>
    <row r="24922" spans="9:9" x14ac:dyDescent="0.25">
      <c r="I24922" s="227" t="str">
        <f>MID(excPisCofins[[#This Row],[CodBarras2]],2,50)</f>
        <v/>
      </c>
    </row>
    <row r="24923" spans="9:9" x14ac:dyDescent="0.25">
      <c r="I24923" s="227" t="str">
        <f>MID(excPisCofins[[#This Row],[CodBarras2]],2,50)</f>
        <v/>
      </c>
    </row>
    <row r="24924" spans="9:9" x14ac:dyDescent="0.25">
      <c r="I24924" s="227" t="str">
        <f>MID(excPisCofins[[#This Row],[CodBarras2]],2,50)</f>
        <v/>
      </c>
    </row>
    <row r="24925" spans="9:9" x14ac:dyDescent="0.25">
      <c r="I24925" s="227" t="str">
        <f>MID(excPisCofins[[#This Row],[CodBarras2]],2,50)</f>
        <v/>
      </c>
    </row>
    <row r="24926" spans="9:9" x14ac:dyDescent="0.25">
      <c r="I24926" s="227" t="str">
        <f>MID(excPisCofins[[#This Row],[CodBarras2]],2,50)</f>
        <v/>
      </c>
    </row>
    <row r="24927" spans="9:9" x14ac:dyDescent="0.25">
      <c r="I24927" s="227" t="str">
        <f>MID(excPisCofins[[#This Row],[CodBarras2]],2,50)</f>
        <v/>
      </c>
    </row>
    <row r="24928" spans="9:9" x14ac:dyDescent="0.25">
      <c r="I24928" s="227" t="str">
        <f>MID(excPisCofins[[#This Row],[CodBarras2]],2,50)</f>
        <v/>
      </c>
    </row>
    <row r="24929" spans="9:9" x14ac:dyDescent="0.25">
      <c r="I24929" s="227" t="str">
        <f>MID(excPisCofins[[#This Row],[CodBarras2]],2,50)</f>
        <v/>
      </c>
    </row>
    <row r="24930" spans="9:9" x14ac:dyDescent="0.25">
      <c r="I24930" s="227" t="str">
        <f>MID(excPisCofins[[#This Row],[CodBarras2]],2,50)</f>
        <v/>
      </c>
    </row>
    <row r="24931" spans="9:9" x14ac:dyDescent="0.25">
      <c r="I24931" s="227" t="str">
        <f>MID(excPisCofins[[#This Row],[CodBarras2]],2,50)</f>
        <v/>
      </c>
    </row>
    <row r="24932" spans="9:9" x14ac:dyDescent="0.25">
      <c r="I24932" s="227" t="str">
        <f>MID(excPisCofins[[#This Row],[CodBarras2]],2,50)</f>
        <v/>
      </c>
    </row>
    <row r="24933" spans="9:9" x14ac:dyDescent="0.25">
      <c r="I24933" s="227" t="str">
        <f>MID(excPisCofins[[#This Row],[CodBarras2]],2,50)</f>
        <v/>
      </c>
    </row>
    <row r="24934" spans="9:9" x14ac:dyDescent="0.25">
      <c r="I24934" s="227" t="str">
        <f>MID(excPisCofins[[#This Row],[CodBarras2]],2,50)</f>
        <v/>
      </c>
    </row>
    <row r="24935" spans="9:9" x14ac:dyDescent="0.25">
      <c r="I24935" s="227" t="str">
        <f>MID(excPisCofins[[#This Row],[CodBarras2]],2,50)</f>
        <v/>
      </c>
    </row>
    <row r="24936" spans="9:9" x14ac:dyDescent="0.25">
      <c r="I24936" s="227" t="str">
        <f>MID(excPisCofins[[#This Row],[CodBarras2]],2,50)</f>
        <v/>
      </c>
    </row>
    <row r="24937" spans="9:9" x14ac:dyDescent="0.25">
      <c r="I24937" s="227" t="str">
        <f>MID(excPisCofins[[#This Row],[CodBarras2]],2,50)</f>
        <v/>
      </c>
    </row>
    <row r="24938" spans="9:9" x14ac:dyDescent="0.25">
      <c r="I24938" s="227" t="str">
        <f>MID(excPisCofins[[#This Row],[CodBarras2]],2,50)</f>
        <v/>
      </c>
    </row>
    <row r="24939" spans="9:9" x14ac:dyDescent="0.25">
      <c r="I24939" s="227" t="str">
        <f>MID(excPisCofins[[#This Row],[CodBarras2]],2,50)</f>
        <v/>
      </c>
    </row>
    <row r="24940" spans="9:9" x14ac:dyDescent="0.25">
      <c r="I24940" s="227" t="str">
        <f>MID(excPisCofins[[#This Row],[CodBarras2]],2,50)</f>
        <v/>
      </c>
    </row>
    <row r="24941" spans="9:9" x14ac:dyDescent="0.25">
      <c r="I24941" s="227" t="str">
        <f>MID(excPisCofins[[#This Row],[CodBarras2]],2,50)</f>
        <v/>
      </c>
    </row>
    <row r="24942" spans="9:9" x14ac:dyDescent="0.25">
      <c r="I24942" s="227" t="str">
        <f>MID(excPisCofins[[#This Row],[CodBarras2]],2,50)</f>
        <v/>
      </c>
    </row>
    <row r="24943" spans="9:9" x14ac:dyDescent="0.25">
      <c r="I24943" s="227" t="str">
        <f>MID(excPisCofins[[#This Row],[CodBarras2]],2,50)</f>
        <v/>
      </c>
    </row>
    <row r="24944" spans="9:9" x14ac:dyDescent="0.25">
      <c r="I24944" s="227" t="str">
        <f>MID(excPisCofins[[#This Row],[CodBarras2]],2,50)</f>
        <v/>
      </c>
    </row>
    <row r="24945" spans="9:9" x14ac:dyDescent="0.25">
      <c r="I24945" s="227" t="str">
        <f>MID(excPisCofins[[#This Row],[CodBarras2]],2,50)</f>
        <v/>
      </c>
    </row>
    <row r="24946" spans="9:9" x14ac:dyDescent="0.25">
      <c r="I24946" s="227" t="str">
        <f>MID(excPisCofins[[#This Row],[CodBarras2]],2,50)</f>
        <v/>
      </c>
    </row>
    <row r="24947" spans="9:9" x14ac:dyDescent="0.25">
      <c r="I24947" s="227" t="str">
        <f>MID(excPisCofins[[#This Row],[CodBarras2]],2,50)</f>
        <v/>
      </c>
    </row>
    <row r="24948" spans="9:9" x14ac:dyDescent="0.25">
      <c r="I24948" s="227" t="str">
        <f>MID(excPisCofins[[#This Row],[CodBarras2]],2,50)</f>
        <v/>
      </c>
    </row>
    <row r="24949" spans="9:9" x14ac:dyDescent="0.25">
      <c r="I24949" s="227" t="str">
        <f>MID(excPisCofins[[#This Row],[CodBarras2]],2,50)</f>
        <v/>
      </c>
    </row>
    <row r="24950" spans="9:9" x14ac:dyDescent="0.25">
      <c r="I24950" s="227" t="str">
        <f>MID(excPisCofins[[#This Row],[CodBarras2]],2,50)</f>
        <v/>
      </c>
    </row>
    <row r="24951" spans="9:9" x14ac:dyDescent="0.25">
      <c r="I24951" s="227" t="str">
        <f>MID(excPisCofins[[#This Row],[CodBarras2]],2,50)</f>
        <v/>
      </c>
    </row>
    <row r="24952" spans="9:9" x14ac:dyDescent="0.25">
      <c r="I24952" s="227" t="str">
        <f>MID(excPisCofins[[#This Row],[CodBarras2]],2,50)</f>
        <v/>
      </c>
    </row>
    <row r="24953" spans="9:9" x14ac:dyDescent="0.25">
      <c r="I24953" s="227" t="str">
        <f>MID(excPisCofins[[#This Row],[CodBarras2]],2,50)</f>
        <v/>
      </c>
    </row>
    <row r="24954" spans="9:9" x14ac:dyDescent="0.25">
      <c r="I24954" s="227" t="str">
        <f>MID(excPisCofins[[#This Row],[CodBarras2]],2,50)</f>
        <v/>
      </c>
    </row>
    <row r="24955" spans="9:9" x14ac:dyDescent="0.25">
      <c r="I24955" s="227" t="str">
        <f>MID(excPisCofins[[#This Row],[CodBarras2]],2,50)</f>
        <v/>
      </c>
    </row>
    <row r="24956" spans="9:9" x14ac:dyDescent="0.25">
      <c r="I24956" s="227" t="str">
        <f>MID(excPisCofins[[#This Row],[CodBarras2]],2,50)</f>
        <v/>
      </c>
    </row>
    <row r="24957" spans="9:9" x14ac:dyDescent="0.25">
      <c r="I24957" s="227" t="str">
        <f>MID(excPisCofins[[#This Row],[CodBarras2]],2,50)</f>
        <v/>
      </c>
    </row>
    <row r="24958" spans="9:9" x14ac:dyDescent="0.25">
      <c r="I24958" s="227" t="str">
        <f>MID(excPisCofins[[#This Row],[CodBarras2]],2,50)</f>
        <v/>
      </c>
    </row>
    <row r="24959" spans="9:9" x14ac:dyDescent="0.25">
      <c r="I24959" s="227" t="str">
        <f>MID(excPisCofins[[#This Row],[CodBarras2]],2,50)</f>
        <v/>
      </c>
    </row>
    <row r="24960" spans="9:9" x14ac:dyDescent="0.25">
      <c r="I24960" s="227" t="str">
        <f>MID(excPisCofins[[#This Row],[CodBarras2]],2,50)</f>
        <v/>
      </c>
    </row>
    <row r="24961" spans="9:9" x14ac:dyDescent="0.25">
      <c r="I24961" s="227" t="str">
        <f>MID(excPisCofins[[#This Row],[CodBarras2]],2,50)</f>
        <v/>
      </c>
    </row>
    <row r="24962" spans="9:9" x14ac:dyDescent="0.25">
      <c r="I24962" s="227" t="str">
        <f>MID(excPisCofins[[#This Row],[CodBarras2]],2,50)</f>
        <v/>
      </c>
    </row>
    <row r="24963" spans="9:9" x14ac:dyDescent="0.25">
      <c r="I24963" s="227" t="str">
        <f>MID(excPisCofins[[#This Row],[CodBarras2]],2,50)</f>
        <v/>
      </c>
    </row>
    <row r="24964" spans="9:9" x14ac:dyDescent="0.25">
      <c r="I24964" s="227" t="str">
        <f>MID(excPisCofins[[#This Row],[CodBarras2]],2,50)</f>
        <v/>
      </c>
    </row>
    <row r="24965" spans="9:9" x14ac:dyDescent="0.25">
      <c r="I24965" s="227" t="str">
        <f>MID(excPisCofins[[#This Row],[CodBarras2]],2,50)</f>
        <v/>
      </c>
    </row>
    <row r="24966" spans="9:9" x14ac:dyDescent="0.25">
      <c r="I24966" s="227" t="str">
        <f>MID(excPisCofins[[#This Row],[CodBarras2]],2,50)</f>
        <v/>
      </c>
    </row>
    <row r="24967" spans="9:9" x14ac:dyDescent="0.25">
      <c r="I24967" s="227" t="str">
        <f>MID(excPisCofins[[#This Row],[CodBarras2]],2,50)</f>
        <v/>
      </c>
    </row>
    <row r="24968" spans="9:9" x14ac:dyDescent="0.25">
      <c r="I24968" s="227" t="str">
        <f>MID(excPisCofins[[#This Row],[CodBarras2]],2,50)</f>
        <v/>
      </c>
    </row>
    <row r="24969" spans="9:9" x14ac:dyDescent="0.25">
      <c r="I24969" s="227" t="str">
        <f>MID(excPisCofins[[#This Row],[CodBarras2]],2,50)</f>
        <v/>
      </c>
    </row>
    <row r="24970" spans="9:9" x14ac:dyDescent="0.25">
      <c r="I24970" s="227" t="str">
        <f>MID(excPisCofins[[#This Row],[CodBarras2]],2,50)</f>
        <v/>
      </c>
    </row>
    <row r="24971" spans="9:9" x14ac:dyDescent="0.25">
      <c r="I24971" s="227" t="str">
        <f>MID(excPisCofins[[#This Row],[CodBarras2]],2,50)</f>
        <v/>
      </c>
    </row>
    <row r="24972" spans="9:9" x14ac:dyDescent="0.25">
      <c r="I24972" s="227" t="str">
        <f>MID(excPisCofins[[#This Row],[CodBarras2]],2,50)</f>
        <v/>
      </c>
    </row>
    <row r="24973" spans="9:9" x14ac:dyDescent="0.25">
      <c r="I24973" s="227" t="str">
        <f>MID(excPisCofins[[#This Row],[CodBarras2]],2,50)</f>
        <v/>
      </c>
    </row>
    <row r="24974" spans="9:9" x14ac:dyDescent="0.25">
      <c r="I24974" s="227" t="str">
        <f>MID(excPisCofins[[#This Row],[CodBarras2]],2,50)</f>
        <v/>
      </c>
    </row>
    <row r="24975" spans="9:9" x14ac:dyDescent="0.25">
      <c r="I24975" s="227" t="str">
        <f>MID(excPisCofins[[#This Row],[CodBarras2]],2,50)</f>
        <v/>
      </c>
    </row>
    <row r="24976" spans="9:9" x14ac:dyDescent="0.25">
      <c r="I24976" s="227" t="str">
        <f>MID(excPisCofins[[#This Row],[CodBarras2]],2,50)</f>
        <v/>
      </c>
    </row>
    <row r="24977" spans="9:9" x14ac:dyDescent="0.25">
      <c r="I24977" s="227" t="str">
        <f>MID(excPisCofins[[#This Row],[CodBarras2]],2,50)</f>
        <v/>
      </c>
    </row>
    <row r="24978" spans="9:9" x14ac:dyDescent="0.25">
      <c r="I24978" s="227" t="str">
        <f>MID(excPisCofins[[#This Row],[CodBarras2]],2,50)</f>
        <v/>
      </c>
    </row>
    <row r="24979" spans="9:9" x14ac:dyDescent="0.25">
      <c r="I24979" s="227" t="str">
        <f>MID(excPisCofins[[#This Row],[CodBarras2]],2,50)</f>
        <v/>
      </c>
    </row>
    <row r="24980" spans="9:9" x14ac:dyDescent="0.25">
      <c r="I24980" s="227" t="str">
        <f>MID(excPisCofins[[#This Row],[CodBarras2]],2,50)</f>
        <v/>
      </c>
    </row>
    <row r="24981" spans="9:9" x14ac:dyDescent="0.25">
      <c r="I24981" s="227" t="str">
        <f>MID(excPisCofins[[#This Row],[CodBarras2]],2,50)</f>
        <v/>
      </c>
    </row>
    <row r="24982" spans="9:9" x14ac:dyDescent="0.25">
      <c r="I24982" s="227" t="str">
        <f>MID(excPisCofins[[#This Row],[CodBarras2]],2,50)</f>
        <v/>
      </c>
    </row>
    <row r="24983" spans="9:9" x14ac:dyDescent="0.25">
      <c r="I24983" s="227" t="str">
        <f>MID(excPisCofins[[#This Row],[CodBarras2]],2,50)</f>
        <v/>
      </c>
    </row>
    <row r="24984" spans="9:9" x14ac:dyDescent="0.25">
      <c r="I24984" s="227" t="str">
        <f>MID(excPisCofins[[#This Row],[CodBarras2]],2,50)</f>
        <v/>
      </c>
    </row>
    <row r="24985" spans="9:9" x14ac:dyDescent="0.25">
      <c r="I24985" s="227" t="str">
        <f>MID(excPisCofins[[#This Row],[CodBarras2]],2,50)</f>
        <v/>
      </c>
    </row>
    <row r="24986" spans="9:9" x14ac:dyDescent="0.25">
      <c r="I24986" s="227" t="str">
        <f>MID(excPisCofins[[#This Row],[CodBarras2]],2,50)</f>
        <v/>
      </c>
    </row>
    <row r="24987" spans="9:9" x14ac:dyDescent="0.25">
      <c r="I24987" s="227" t="str">
        <f>MID(excPisCofins[[#This Row],[CodBarras2]],2,50)</f>
        <v/>
      </c>
    </row>
    <row r="24988" spans="9:9" x14ac:dyDescent="0.25">
      <c r="I24988" s="227" t="str">
        <f>MID(excPisCofins[[#This Row],[CodBarras2]],2,50)</f>
        <v/>
      </c>
    </row>
    <row r="24989" spans="9:9" x14ac:dyDescent="0.25">
      <c r="I24989" s="227" t="str">
        <f>MID(excPisCofins[[#This Row],[CodBarras2]],2,50)</f>
        <v/>
      </c>
    </row>
    <row r="24990" spans="9:9" x14ac:dyDescent="0.25">
      <c r="I24990" s="227" t="str">
        <f>MID(excPisCofins[[#This Row],[CodBarras2]],2,50)</f>
        <v/>
      </c>
    </row>
    <row r="24991" spans="9:9" x14ac:dyDescent="0.25">
      <c r="I24991" s="227" t="str">
        <f>MID(excPisCofins[[#This Row],[CodBarras2]],2,50)</f>
        <v/>
      </c>
    </row>
    <row r="24992" spans="9:9" x14ac:dyDescent="0.25">
      <c r="I24992" s="227" t="str">
        <f>MID(excPisCofins[[#This Row],[CodBarras2]],2,50)</f>
        <v/>
      </c>
    </row>
    <row r="24993" spans="9:9" x14ac:dyDescent="0.25">
      <c r="I24993" s="227" t="str">
        <f>MID(excPisCofins[[#This Row],[CodBarras2]],2,50)</f>
        <v/>
      </c>
    </row>
    <row r="24994" spans="9:9" x14ac:dyDescent="0.25">
      <c r="I24994" s="227" t="str">
        <f>MID(excPisCofins[[#This Row],[CodBarras2]],2,50)</f>
        <v/>
      </c>
    </row>
    <row r="24995" spans="9:9" x14ac:dyDescent="0.25">
      <c r="I24995" s="227" t="str">
        <f>MID(excPisCofins[[#This Row],[CodBarras2]],2,50)</f>
        <v/>
      </c>
    </row>
    <row r="24996" spans="9:9" x14ac:dyDescent="0.25">
      <c r="I24996" s="227" t="str">
        <f>MID(excPisCofins[[#This Row],[CodBarras2]],2,50)</f>
        <v/>
      </c>
    </row>
    <row r="24997" spans="9:9" x14ac:dyDescent="0.25">
      <c r="I24997" s="227" t="str">
        <f>MID(excPisCofins[[#This Row],[CodBarras2]],2,50)</f>
        <v/>
      </c>
    </row>
    <row r="24998" spans="9:9" x14ac:dyDescent="0.25">
      <c r="I24998" s="227" t="str">
        <f>MID(excPisCofins[[#This Row],[CodBarras2]],2,50)</f>
        <v/>
      </c>
    </row>
    <row r="24999" spans="9:9" x14ac:dyDescent="0.25">
      <c r="I24999" s="227" t="str">
        <f>MID(excPisCofins[[#This Row],[CodBarras2]],2,50)</f>
        <v/>
      </c>
    </row>
    <row r="25000" spans="9:9" x14ac:dyDescent="0.25">
      <c r="I25000" s="227" t="str">
        <f>MID(excPisCofins[[#This Row],[CodBarras2]],2,50)</f>
        <v/>
      </c>
    </row>
    <row r="25001" spans="9:9" x14ac:dyDescent="0.25">
      <c r="I25001" s="227" t="str">
        <f>MID(excPisCofins[[#This Row],[CodBarras2]],2,50)</f>
        <v/>
      </c>
    </row>
    <row r="25002" spans="9:9" x14ac:dyDescent="0.25">
      <c r="I25002" s="227" t="str">
        <f>MID(excPisCofins[[#This Row],[CodBarras2]],2,50)</f>
        <v/>
      </c>
    </row>
    <row r="25003" spans="9:9" x14ac:dyDescent="0.25">
      <c r="I25003" s="227" t="str">
        <f>MID(excPisCofins[[#This Row],[CodBarras2]],2,50)</f>
        <v/>
      </c>
    </row>
    <row r="25004" spans="9:9" x14ac:dyDescent="0.25">
      <c r="I25004" s="227" t="str">
        <f>MID(excPisCofins[[#This Row],[CodBarras2]],2,50)</f>
        <v/>
      </c>
    </row>
    <row r="25005" spans="9:9" x14ac:dyDescent="0.25">
      <c r="I25005" s="227" t="str">
        <f>MID(excPisCofins[[#This Row],[CodBarras2]],2,50)</f>
        <v/>
      </c>
    </row>
    <row r="25006" spans="9:9" x14ac:dyDescent="0.25">
      <c r="I25006" s="227" t="str">
        <f>MID(excPisCofins[[#This Row],[CodBarras2]],2,50)</f>
        <v/>
      </c>
    </row>
    <row r="25007" spans="9:9" x14ac:dyDescent="0.25">
      <c r="I25007" s="227" t="str">
        <f>MID(excPisCofins[[#This Row],[CodBarras2]],2,50)</f>
        <v/>
      </c>
    </row>
    <row r="25008" spans="9:9" x14ac:dyDescent="0.25">
      <c r="I25008" s="227" t="str">
        <f>MID(excPisCofins[[#This Row],[CodBarras2]],2,50)</f>
        <v/>
      </c>
    </row>
    <row r="25009" spans="9:9" x14ac:dyDescent="0.25">
      <c r="I25009" s="227" t="str">
        <f>MID(excPisCofins[[#This Row],[CodBarras2]],2,50)</f>
        <v/>
      </c>
    </row>
    <row r="25010" spans="9:9" x14ac:dyDescent="0.25">
      <c r="I25010" s="227" t="str">
        <f>MID(excPisCofins[[#This Row],[CodBarras2]],2,50)</f>
        <v/>
      </c>
    </row>
    <row r="25011" spans="9:9" x14ac:dyDescent="0.25">
      <c r="I25011" s="227" t="str">
        <f>MID(excPisCofins[[#This Row],[CodBarras2]],2,50)</f>
        <v/>
      </c>
    </row>
    <row r="25012" spans="9:9" x14ac:dyDescent="0.25">
      <c r="I25012" s="227" t="str">
        <f>MID(excPisCofins[[#This Row],[CodBarras2]],2,50)</f>
        <v/>
      </c>
    </row>
    <row r="25013" spans="9:9" x14ac:dyDescent="0.25">
      <c r="I25013" s="227" t="str">
        <f>MID(excPisCofins[[#This Row],[CodBarras2]],2,50)</f>
        <v/>
      </c>
    </row>
    <row r="25014" spans="9:9" x14ac:dyDescent="0.25">
      <c r="I25014" s="227" t="str">
        <f>MID(excPisCofins[[#This Row],[CodBarras2]],2,50)</f>
        <v/>
      </c>
    </row>
    <row r="25015" spans="9:9" x14ac:dyDescent="0.25">
      <c r="I25015" s="227" t="str">
        <f>MID(excPisCofins[[#This Row],[CodBarras2]],2,50)</f>
        <v/>
      </c>
    </row>
    <row r="25016" spans="9:9" x14ac:dyDescent="0.25">
      <c r="I25016" s="227" t="str">
        <f>MID(excPisCofins[[#This Row],[CodBarras2]],2,50)</f>
        <v/>
      </c>
    </row>
    <row r="25017" spans="9:9" x14ac:dyDescent="0.25">
      <c r="I25017" s="227" t="str">
        <f>MID(excPisCofins[[#This Row],[CodBarras2]],2,50)</f>
        <v/>
      </c>
    </row>
    <row r="25018" spans="9:9" x14ac:dyDescent="0.25">
      <c r="I25018" s="227" t="str">
        <f>MID(excPisCofins[[#This Row],[CodBarras2]],2,50)</f>
        <v/>
      </c>
    </row>
    <row r="25019" spans="9:9" x14ac:dyDescent="0.25">
      <c r="I25019" s="227" t="str">
        <f>MID(excPisCofins[[#This Row],[CodBarras2]],2,50)</f>
        <v/>
      </c>
    </row>
    <row r="25020" spans="9:9" x14ac:dyDescent="0.25">
      <c r="I25020" s="227" t="str">
        <f>MID(excPisCofins[[#This Row],[CodBarras2]],2,50)</f>
        <v/>
      </c>
    </row>
    <row r="25021" spans="9:9" x14ac:dyDescent="0.25">
      <c r="I25021" s="227" t="str">
        <f>MID(excPisCofins[[#This Row],[CodBarras2]],2,50)</f>
        <v/>
      </c>
    </row>
    <row r="25022" spans="9:9" x14ac:dyDescent="0.25">
      <c r="I25022" s="227" t="str">
        <f>MID(excPisCofins[[#This Row],[CodBarras2]],2,50)</f>
        <v/>
      </c>
    </row>
    <row r="25023" spans="9:9" x14ac:dyDescent="0.25">
      <c r="I25023" s="227" t="str">
        <f>MID(excPisCofins[[#This Row],[CodBarras2]],2,50)</f>
        <v/>
      </c>
    </row>
    <row r="25024" spans="9:9" x14ac:dyDescent="0.25">
      <c r="I25024" s="227" t="str">
        <f>MID(excPisCofins[[#This Row],[CodBarras2]],2,50)</f>
        <v/>
      </c>
    </row>
    <row r="25025" spans="9:9" x14ac:dyDescent="0.25">
      <c r="I25025" s="227" t="str">
        <f>MID(excPisCofins[[#This Row],[CodBarras2]],2,50)</f>
        <v/>
      </c>
    </row>
    <row r="25026" spans="9:9" x14ac:dyDescent="0.25">
      <c r="I25026" s="227" t="str">
        <f>MID(excPisCofins[[#This Row],[CodBarras2]],2,50)</f>
        <v/>
      </c>
    </row>
    <row r="25027" spans="9:9" x14ac:dyDescent="0.25">
      <c r="I25027" s="227" t="str">
        <f>MID(excPisCofins[[#This Row],[CodBarras2]],2,50)</f>
        <v/>
      </c>
    </row>
    <row r="25028" spans="9:9" x14ac:dyDescent="0.25">
      <c r="I25028" s="227" t="str">
        <f>MID(excPisCofins[[#This Row],[CodBarras2]],2,50)</f>
        <v/>
      </c>
    </row>
    <row r="25029" spans="9:9" x14ac:dyDescent="0.25">
      <c r="I25029" s="227" t="str">
        <f>MID(excPisCofins[[#This Row],[CodBarras2]],2,50)</f>
        <v/>
      </c>
    </row>
    <row r="25030" spans="9:9" x14ac:dyDescent="0.25">
      <c r="I25030" s="227" t="str">
        <f>MID(excPisCofins[[#This Row],[CodBarras2]],2,50)</f>
        <v/>
      </c>
    </row>
    <row r="25031" spans="9:9" x14ac:dyDescent="0.25">
      <c r="I25031" s="227" t="str">
        <f>MID(excPisCofins[[#This Row],[CodBarras2]],2,50)</f>
        <v/>
      </c>
    </row>
    <row r="25032" spans="9:9" x14ac:dyDescent="0.25">
      <c r="I25032" s="227" t="str">
        <f>MID(excPisCofins[[#This Row],[CodBarras2]],2,50)</f>
        <v/>
      </c>
    </row>
    <row r="25033" spans="9:9" x14ac:dyDescent="0.25">
      <c r="I25033" s="227" t="str">
        <f>MID(excPisCofins[[#This Row],[CodBarras2]],2,50)</f>
        <v/>
      </c>
    </row>
    <row r="25034" spans="9:9" x14ac:dyDescent="0.25">
      <c r="I25034" s="227" t="str">
        <f>MID(excPisCofins[[#This Row],[CodBarras2]],2,50)</f>
        <v/>
      </c>
    </row>
    <row r="25035" spans="9:9" x14ac:dyDescent="0.25">
      <c r="I25035" s="227" t="str">
        <f>MID(excPisCofins[[#This Row],[CodBarras2]],2,50)</f>
        <v/>
      </c>
    </row>
    <row r="25036" spans="9:9" x14ac:dyDescent="0.25">
      <c r="I25036" s="227" t="str">
        <f>MID(excPisCofins[[#This Row],[CodBarras2]],2,50)</f>
        <v/>
      </c>
    </row>
    <row r="25037" spans="9:9" x14ac:dyDescent="0.25">
      <c r="I25037" s="227" t="str">
        <f>MID(excPisCofins[[#This Row],[CodBarras2]],2,50)</f>
        <v/>
      </c>
    </row>
    <row r="25038" spans="9:9" x14ac:dyDescent="0.25">
      <c r="I25038" s="227" t="str">
        <f>MID(excPisCofins[[#This Row],[CodBarras2]],2,50)</f>
        <v/>
      </c>
    </row>
    <row r="25039" spans="9:9" x14ac:dyDescent="0.25">
      <c r="I25039" s="227" t="str">
        <f>MID(excPisCofins[[#This Row],[CodBarras2]],2,50)</f>
        <v/>
      </c>
    </row>
    <row r="25040" spans="9:9" x14ac:dyDescent="0.25">
      <c r="I25040" s="227" t="str">
        <f>MID(excPisCofins[[#This Row],[CodBarras2]],2,50)</f>
        <v/>
      </c>
    </row>
    <row r="25041" spans="9:9" x14ac:dyDescent="0.25">
      <c r="I25041" s="227" t="str">
        <f>MID(excPisCofins[[#This Row],[CodBarras2]],2,50)</f>
        <v/>
      </c>
    </row>
    <row r="25042" spans="9:9" x14ac:dyDescent="0.25">
      <c r="I25042" s="227" t="str">
        <f>MID(excPisCofins[[#This Row],[CodBarras2]],2,50)</f>
        <v/>
      </c>
    </row>
    <row r="25043" spans="9:9" x14ac:dyDescent="0.25">
      <c r="I25043" s="227" t="str">
        <f>MID(excPisCofins[[#This Row],[CodBarras2]],2,50)</f>
        <v/>
      </c>
    </row>
    <row r="25044" spans="9:9" x14ac:dyDescent="0.25">
      <c r="I25044" s="227" t="str">
        <f>MID(excPisCofins[[#This Row],[CodBarras2]],2,50)</f>
        <v/>
      </c>
    </row>
    <row r="25045" spans="9:9" x14ac:dyDescent="0.25">
      <c r="I25045" s="227" t="str">
        <f>MID(excPisCofins[[#This Row],[CodBarras2]],2,50)</f>
        <v/>
      </c>
    </row>
    <row r="25046" spans="9:9" x14ac:dyDescent="0.25">
      <c r="I25046" s="227" t="str">
        <f>MID(excPisCofins[[#This Row],[CodBarras2]],2,50)</f>
        <v/>
      </c>
    </row>
    <row r="25047" spans="9:9" x14ac:dyDescent="0.25">
      <c r="I25047" s="227" t="str">
        <f>MID(excPisCofins[[#This Row],[CodBarras2]],2,50)</f>
        <v/>
      </c>
    </row>
    <row r="25048" spans="9:9" x14ac:dyDescent="0.25">
      <c r="I25048" s="227" t="str">
        <f>MID(excPisCofins[[#This Row],[CodBarras2]],2,50)</f>
        <v/>
      </c>
    </row>
    <row r="25049" spans="9:9" x14ac:dyDescent="0.25">
      <c r="I25049" s="227" t="str">
        <f>MID(excPisCofins[[#This Row],[CodBarras2]],2,50)</f>
        <v/>
      </c>
    </row>
    <row r="25050" spans="9:9" x14ac:dyDescent="0.25">
      <c r="I25050" s="227" t="str">
        <f>MID(excPisCofins[[#This Row],[CodBarras2]],2,50)</f>
        <v/>
      </c>
    </row>
    <row r="25051" spans="9:9" x14ac:dyDescent="0.25">
      <c r="I25051" s="227" t="str">
        <f>MID(excPisCofins[[#This Row],[CodBarras2]],2,50)</f>
        <v/>
      </c>
    </row>
    <row r="25052" spans="9:9" x14ac:dyDescent="0.25">
      <c r="I25052" s="227" t="str">
        <f>MID(excPisCofins[[#This Row],[CodBarras2]],2,50)</f>
        <v/>
      </c>
    </row>
    <row r="25053" spans="9:9" x14ac:dyDescent="0.25">
      <c r="I25053" s="227" t="str">
        <f>MID(excPisCofins[[#This Row],[CodBarras2]],2,50)</f>
        <v/>
      </c>
    </row>
    <row r="25054" spans="9:9" x14ac:dyDescent="0.25">
      <c r="I25054" s="227" t="str">
        <f>MID(excPisCofins[[#This Row],[CodBarras2]],2,50)</f>
        <v/>
      </c>
    </row>
    <row r="25055" spans="9:9" x14ac:dyDescent="0.25">
      <c r="I25055" s="227" t="str">
        <f>MID(excPisCofins[[#This Row],[CodBarras2]],2,50)</f>
        <v/>
      </c>
    </row>
    <row r="25056" spans="9:9" x14ac:dyDescent="0.25">
      <c r="I25056" s="227" t="str">
        <f>MID(excPisCofins[[#This Row],[CodBarras2]],2,50)</f>
        <v/>
      </c>
    </row>
    <row r="25057" spans="9:9" x14ac:dyDescent="0.25">
      <c r="I25057" s="227" t="str">
        <f>MID(excPisCofins[[#This Row],[CodBarras2]],2,50)</f>
        <v/>
      </c>
    </row>
    <row r="25058" spans="9:9" x14ac:dyDescent="0.25">
      <c r="I25058" s="227" t="str">
        <f>MID(excPisCofins[[#This Row],[CodBarras2]],2,50)</f>
        <v/>
      </c>
    </row>
    <row r="25059" spans="9:9" x14ac:dyDescent="0.25">
      <c r="I25059" s="227" t="str">
        <f>MID(excPisCofins[[#This Row],[CodBarras2]],2,50)</f>
        <v/>
      </c>
    </row>
    <row r="25060" spans="9:9" x14ac:dyDescent="0.25">
      <c r="I25060" s="227" t="str">
        <f>MID(excPisCofins[[#This Row],[CodBarras2]],2,50)</f>
        <v/>
      </c>
    </row>
    <row r="25061" spans="9:9" x14ac:dyDescent="0.25">
      <c r="I25061" s="227" t="str">
        <f>MID(excPisCofins[[#This Row],[CodBarras2]],2,50)</f>
        <v/>
      </c>
    </row>
    <row r="25062" spans="9:9" x14ac:dyDescent="0.25">
      <c r="I25062" s="227" t="str">
        <f>MID(excPisCofins[[#This Row],[CodBarras2]],2,50)</f>
        <v/>
      </c>
    </row>
    <row r="25063" spans="9:9" x14ac:dyDescent="0.25">
      <c r="I25063" s="227" t="str">
        <f>MID(excPisCofins[[#This Row],[CodBarras2]],2,50)</f>
        <v/>
      </c>
    </row>
    <row r="25064" spans="9:9" x14ac:dyDescent="0.25">
      <c r="I25064" s="227" t="str">
        <f>MID(excPisCofins[[#This Row],[CodBarras2]],2,50)</f>
        <v/>
      </c>
    </row>
    <row r="25065" spans="9:9" x14ac:dyDescent="0.25">
      <c r="I25065" s="227" t="str">
        <f>MID(excPisCofins[[#This Row],[CodBarras2]],2,50)</f>
        <v/>
      </c>
    </row>
    <row r="25066" spans="9:9" x14ac:dyDescent="0.25">
      <c r="I25066" s="227" t="str">
        <f>MID(excPisCofins[[#This Row],[CodBarras2]],2,50)</f>
        <v/>
      </c>
    </row>
    <row r="25067" spans="9:9" x14ac:dyDescent="0.25">
      <c r="I25067" s="227" t="str">
        <f>MID(excPisCofins[[#This Row],[CodBarras2]],2,50)</f>
        <v/>
      </c>
    </row>
    <row r="25068" spans="9:9" x14ac:dyDescent="0.25">
      <c r="I25068" s="227" t="str">
        <f>MID(excPisCofins[[#This Row],[CodBarras2]],2,50)</f>
        <v/>
      </c>
    </row>
    <row r="25069" spans="9:9" x14ac:dyDescent="0.25">
      <c r="I25069" s="227" t="str">
        <f>MID(excPisCofins[[#This Row],[CodBarras2]],2,50)</f>
        <v/>
      </c>
    </row>
    <row r="25070" spans="9:9" x14ac:dyDescent="0.25">
      <c r="I25070" s="227" t="str">
        <f>MID(excPisCofins[[#This Row],[CodBarras2]],2,50)</f>
        <v/>
      </c>
    </row>
    <row r="25071" spans="9:9" x14ac:dyDescent="0.25">
      <c r="I25071" s="227" t="str">
        <f>MID(excPisCofins[[#This Row],[CodBarras2]],2,50)</f>
        <v/>
      </c>
    </row>
    <row r="25072" spans="9:9" x14ac:dyDescent="0.25">
      <c r="I25072" s="227" t="str">
        <f>MID(excPisCofins[[#This Row],[CodBarras2]],2,50)</f>
        <v/>
      </c>
    </row>
    <row r="25073" spans="9:9" x14ac:dyDescent="0.25">
      <c r="I25073" s="227" t="str">
        <f>MID(excPisCofins[[#This Row],[CodBarras2]],2,50)</f>
        <v/>
      </c>
    </row>
    <row r="25074" spans="9:9" x14ac:dyDescent="0.25">
      <c r="I25074" s="227" t="str">
        <f>MID(excPisCofins[[#This Row],[CodBarras2]],2,50)</f>
        <v/>
      </c>
    </row>
    <row r="25075" spans="9:9" x14ac:dyDescent="0.25">
      <c r="I25075" s="227" t="str">
        <f>MID(excPisCofins[[#This Row],[CodBarras2]],2,50)</f>
        <v/>
      </c>
    </row>
    <row r="25076" spans="9:9" x14ac:dyDescent="0.25">
      <c r="I25076" s="227" t="str">
        <f>MID(excPisCofins[[#This Row],[CodBarras2]],2,50)</f>
        <v/>
      </c>
    </row>
    <row r="25077" spans="9:9" x14ac:dyDescent="0.25">
      <c r="I25077" s="227" t="str">
        <f>MID(excPisCofins[[#This Row],[CodBarras2]],2,50)</f>
        <v/>
      </c>
    </row>
    <row r="25078" spans="9:9" x14ac:dyDescent="0.25">
      <c r="I25078" s="227" t="str">
        <f>MID(excPisCofins[[#This Row],[CodBarras2]],2,50)</f>
        <v/>
      </c>
    </row>
    <row r="25079" spans="9:9" x14ac:dyDescent="0.25">
      <c r="I25079" s="227" t="str">
        <f>MID(excPisCofins[[#This Row],[CodBarras2]],2,50)</f>
        <v/>
      </c>
    </row>
    <row r="25080" spans="9:9" x14ac:dyDescent="0.25">
      <c r="I25080" s="227" t="str">
        <f>MID(excPisCofins[[#This Row],[CodBarras2]],2,50)</f>
        <v/>
      </c>
    </row>
    <row r="25081" spans="9:9" x14ac:dyDescent="0.25">
      <c r="I25081" s="227" t="str">
        <f>MID(excPisCofins[[#This Row],[CodBarras2]],2,50)</f>
        <v/>
      </c>
    </row>
    <row r="25082" spans="9:9" x14ac:dyDescent="0.25">
      <c r="I25082" s="227" t="str">
        <f>MID(excPisCofins[[#This Row],[CodBarras2]],2,50)</f>
        <v/>
      </c>
    </row>
    <row r="25083" spans="9:9" x14ac:dyDescent="0.25">
      <c r="I25083" s="227" t="str">
        <f>MID(excPisCofins[[#This Row],[CodBarras2]],2,50)</f>
        <v/>
      </c>
    </row>
    <row r="25084" spans="9:9" x14ac:dyDescent="0.25">
      <c r="I25084" s="227" t="str">
        <f>MID(excPisCofins[[#This Row],[CodBarras2]],2,50)</f>
        <v/>
      </c>
    </row>
    <row r="25085" spans="9:9" x14ac:dyDescent="0.25">
      <c r="I25085" s="227" t="str">
        <f>MID(excPisCofins[[#This Row],[CodBarras2]],2,50)</f>
        <v/>
      </c>
    </row>
    <row r="25086" spans="9:9" x14ac:dyDescent="0.25">
      <c r="I25086" s="227" t="str">
        <f>MID(excPisCofins[[#This Row],[CodBarras2]],2,50)</f>
        <v/>
      </c>
    </row>
    <row r="25087" spans="9:9" x14ac:dyDescent="0.25">
      <c r="I25087" s="227" t="str">
        <f>MID(excPisCofins[[#This Row],[CodBarras2]],2,50)</f>
        <v/>
      </c>
    </row>
    <row r="25088" spans="9:9" x14ac:dyDescent="0.25">
      <c r="I25088" s="227" t="str">
        <f>MID(excPisCofins[[#This Row],[CodBarras2]],2,50)</f>
        <v/>
      </c>
    </row>
    <row r="25089" spans="9:9" x14ac:dyDescent="0.25">
      <c r="I25089" s="227" t="str">
        <f>MID(excPisCofins[[#This Row],[CodBarras2]],2,50)</f>
        <v/>
      </c>
    </row>
    <row r="25090" spans="9:9" x14ac:dyDescent="0.25">
      <c r="I25090" s="227" t="str">
        <f>MID(excPisCofins[[#This Row],[CodBarras2]],2,50)</f>
        <v/>
      </c>
    </row>
    <row r="25091" spans="9:9" x14ac:dyDescent="0.25">
      <c r="I25091" s="227" t="str">
        <f>MID(excPisCofins[[#This Row],[CodBarras2]],2,50)</f>
        <v/>
      </c>
    </row>
    <row r="25092" spans="9:9" x14ac:dyDescent="0.25">
      <c r="I25092" s="227" t="str">
        <f>MID(excPisCofins[[#This Row],[CodBarras2]],2,50)</f>
        <v/>
      </c>
    </row>
    <row r="25093" spans="9:9" x14ac:dyDescent="0.25">
      <c r="I25093" s="227" t="str">
        <f>MID(excPisCofins[[#This Row],[CodBarras2]],2,50)</f>
        <v/>
      </c>
    </row>
    <row r="25094" spans="9:9" x14ac:dyDescent="0.25">
      <c r="I25094" s="227" t="str">
        <f>MID(excPisCofins[[#This Row],[CodBarras2]],2,50)</f>
        <v/>
      </c>
    </row>
    <row r="25095" spans="9:9" x14ac:dyDescent="0.25">
      <c r="I25095" s="227" t="str">
        <f>MID(excPisCofins[[#This Row],[CodBarras2]],2,50)</f>
        <v/>
      </c>
    </row>
    <row r="25096" spans="9:9" x14ac:dyDescent="0.25">
      <c r="I25096" s="227" t="str">
        <f>MID(excPisCofins[[#This Row],[CodBarras2]],2,50)</f>
        <v/>
      </c>
    </row>
    <row r="25097" spans="9:9" x14ac:dyDescent="0.25">
      <c r="I25097" s="227" t="str">
        <f>MID(excPisCofins[[#This Row],[CodBarras2]],2,50)</f>
        <v/>
      </c>
    </row>
    <row r="25098" spans="9:9" x14ac:dyDescent="0.25">
      <c r="I25098" s="227" t="str">
        <f>MID(excPisCofins[[#This Row],[CodBarras2]],2,50)</f>
        <v/>
      </c>
    </row>
    <row r="25099" spans="9:9" x14ac:dyDescent="0.25">
      <c r="I25099" s="227" t="str">
        <f>MID(excPisCofins[[#This Row],[CodBarras2]],2,50)</f>
        <v/>
      </c>
    </row>
    <row r="25100" spans="9:9" x14ac:dyDescent="0.25">
      <c r="I25100" s="227" t="str">
        <f>MID(excPisCofins[[#This Row],[CodBarras2]],2,50)</f>
        <v/>
      </c>
    </row>
    <row r="25101" spans="9:9" x14ac:dyDescent="0.25">
      <c r="I25101" s="227" t="str">
        <f>MID(excPisCofins[[#This Row],[CodBarras2]],2,50)</f>
        <v/>
      </c>
    </row>
    <row r="25102" spans="9:9" x14ac:dyDescent="0.25">
      <c r="I25102" s="227" t="str">
        <f>MID(excPisCofins[[#This Row],[CodBarras2]],2,50)</f>
        <v/>
      </c>
    </row>
    <row r="25103" spans="9:9" x14ac:dyDescent="0.25">
      <c r="I25103" s="227" t="str">
        <f>MID(excPisCofins[[#This Row],[CodBarras2]],2,50)</f>
        <v/>
      </c>
    </row>
    <row r="25104" spans="9:9" x14ac:dyDescent="0.25">
      <c r="I25104" s="227" t="str">
        <f>MID(excPisCofins[[#This Row],[CodBarras2]],2,50)</f>
        <v/>
      </c>
    </row>
    <row r="25105" spans="9:9" x14ac:dyDescent="0.25">
      <c r="I25105" s="227" t="str">
        <f>MID(excPisCofins[[#This Row],[CodBarras2]],2,50)</f>
        <v/>
      </c>
    </row>
    <row r="25106" spans="9:9" x14ac:dyDescent="0.25">
      <c r="I25106" s="227" t="str">
        <f>MID(excPisCofins[[#This Row],[CodBarras2]],2,50)</f>
        <v/>
      </c>
    </row>
    <row r="25107" spans="9:9" x14ac:dyDescent="0.25">
      <c r="I25107" s="227" t="str">
        <f>MID(excPisCofins[[#This Row],[CodBarras2]],2,50)</f>
        <v/>
      </c>
    </row>
    <row r="25108" spans="9:9" x14ac:dyDescent="0.25">
      <c r="I25108" s="227" t="str">
        <f>MID(excPisCofins[[#This Row],[CodBarras2]],2,50)</f>
        <v/>
      </c>
    </row>
    <row r="25109" spans="9:9" x14ac:dyDescent="0.25">
      <c r="I25109" s="227" t="str">
        <f>MID(excPisCofins[[#This Row],[CodBarras2]],2,50)</f>
        <v/>
      </c>
    </row>
    <row r="25110" spans="9:9" x14ac:dyDescent="0.25">
      <c r="I25110" s="227" t="str">
        <f>MID(excPisCofins[[#This Row],[CodBarras2]],2,50)</f>
        <v/>
      </c>
    </row>
    <row r="25111" spans="9:9" x14ac:dyDescent="0.25">
      <c r="I25111" s="227" t="str">
        <f>MID(excPisCofins[[#This Row],[CodBarras2]],2,50)</f>
        <v/>
      </c>
    </row>
    <row r="25112" spans="9:9" x14ac:dyDescent="0.25">
      <c r="I25112" s="227" t="str">
        <f>MID(excPisCofins[[#This Row],[CodBarras2]],2,50)</f>
        <v/>
      </c>
    </row>
    <row r="25113" spans="9:9" x14ac:dyDescent="0.25">
      <c r="I25113" s="227" t="str">
        <f>MID(excPisCofins[[#This Row],[CodBarras2]],2,50)</f>
        <v/>
      </c>
    </row>
    <row r="25114" spans="9:9" x14ac:dyDescent="0.25">
      <c r="I25114" s="227" t="str">
        <f>MID(excPisCofins[[#This Row],[CodBarras2]],2,50)</f>
        <v/>
      </c>
    </row>
    <row r="25115" spans="9:9" x14ac:dyDescent="0.25">
      <c r="I25115" s="227" t="str">
        <f>MID(excPisCofins[[#This Row],[CodBarras2]],2,50)</f>
        <v/>
      </c>
    </row>
    <row r="25116" spans="9:9" x14ac:dyDescent="0.25">
      <c r="I25116" s="227" t="str">
        <f>MID(excPisCofins[[#This Row],[CodBarras2]],2,50)</f>
        <v/>
      </c>
    </row>
    <row r="25117" spans="9:9" x14ac:dyDescent="0.25">
      <c r="I25117" s="227" t="str">
        <f>MID(excPisCofins[[#This Row],[CodBarras2]],2,50)</f>
        <v/>
      </c>
    </row>
    <row r="25118" spans="9:9" x14ac:dyDescent="0.25">
      <c r="I25118" s="227" t="str">
        <f>MID(excPisCofins[[#This Row],[CodBarras2]],2,50)</f>
        <v/>
      </c>
    </row>
    <row r="25119" spans="9:9" x14ac:dyDescent="0.25">
      <c r="I25119" s="227" t="str">
        <f>MID(excPisCofins[[#This Row],[CodBarras2]],2,50)</f>
        <v/>
      </c>
    </row>
    <row r="25120" spans="9:9" x14ac:dyDescent="0.25">
      <c r="I25120" s="227" t="str">
        <f>MID(excPisCofins[[#This Row],[CodBarras2]],2,50)</f>
        <v/>
      </c>
    </row>
    <row r="25121" spans="9:9" x14ac:dyDescent="0.25">
      <c r="I25121" s="227" t="str">
        <f>MID(excPisCofins[[#This Row],[CodBarras2]],2,50)</f>
        <v/>
      </c>
    </row>
    <row r="25122" spans="9:9" x14ac:dyDescent="0.25">
      <c r="I25122" s="227" t="str">
        <f>MID(excPisCofins[[#This Row],[CodBarras2]],2,50)</f>
        <v/>
      </c>
    </row>
    <row r="25123" spans="9:9" x14ac:dyDescent="0.25">
      <c r="I25123" s="227" t="str">
        <f>MID(excPisCofins[[#This Row],[CodBarras2]],2,50)</f>
        <v/>
      </c>
    </row>
    <row r="25124" spans="9:9" x14ac:dyDescent="0.25">
      <c r="I25124" s="227" t="str">
        <f>MID(excPisCofins[[#This Row],[CodBarras2]],2,50)</f>
        <v/>
      </c>
    </row>
    <row r="25125" spans="9:9" x14ac:dyDescent="0.25">
      <c r="I25125" s="227" t="str">
        <f>MID(excPisCofins[[#This Row],[CodBarras2]],2,50)</f>
        <v/>
      </c>
    </row>
    <row r="25126" spans="9:9" x14ac:dyDescent="0.25">
      <c r="I25126" s="227" t="str">
        <f>MID(excPisCofins[[#This Row],[CodBarras2]],2,50)</f>
        <v/>
      </c>
    </row>
    <row r="25127" spans="9:9" x14ac:dyDescent="0.25">
      <c r="I25127" s="227" t="str">
        <f>MID(excPisCofins[[#This Row],[CodBarras2]],2,50)</f>
        <v/>
      </c>
    </row>
    <row r="25128" spans="9:9" x14ac:dyDescent="0.25">
      <c r="I25128" s="227" t="str">
        <f>MID(excPisCofins[[#This Row],[CodBarras2]],2,50)</f>
        <v/>
      </c>
    </row>
    <row r="25129" spans="9:9" x14ac:dyDescent="0.25">
      <c r="I25129" s="227" t="str">
        <f>MID(excPisCofins[[#This Row],[CodBarras2]],2,50)</f>
        <v/>
      </c>
    </row>
    <row r="25130" spans="9:9" x14ac:dyDescent="0.25">
      <c r="I25130" s="227" t="str">
        <f>MID(excPisCofins[[#This Row],[CodBarras2]],2,50)</f>
        <v/>
      </c>
    </row>
    <row r="25131" spans="9:9" x14ac:dyDescent="0.25">
      <c r="I25131" s="227" t="str">
        <f>MID(excPisCofins[[#This Row],[CodBarras2]],2,50)</f>
        <v/>
      </c>
    </row>
    <row r="25132" spans="9:9" x14ac:dyDescent="0.25">
      <c r="I25132" s="227" t="str">
        <f>MID(excPisCofins[[#This Row],[CodBarras2]],2,50)</f>
        <v/>
      </c>
    </row>
    <row r="25133" spans="9:9" x14ac:dyDescent="0.25">
      <c r="I25133" s="227" t="str">
        <f>MID(excPisCofins[[#This Row],[CodBarras2]],2,50)</f>
        <v/>
      </c>
    </row>
    <row r="25134" spans="9:9" x14ac:dyDescent="0.25">
      <c r="I25134" s="227" t="str">
        <f>MID(excPisCofins[[#This Row],[CodBarras2]],2,50)</f>
        <v/>
      </c>
    </row>
    <row r="25135" spans="9:9" x14ac:dyDescent="0.25">
      <c r="I25135" s="227" t="str">
        <f>MID(excPisCofins[[#This Row],[CodBarras2]],2,50)</f>
        <v/>
      </c>
    </row>
    <row r="25136" spans="9:9" x14ac:dyDescent="0.25">
      <c r="I25136" s="227" t="str">
        <f>MID(excPisCofins[[#This Row],[CodBarras2]],2,50)</f>
        <v/>
      </c>
    </row>
    <row r="25137" spans="9:9" x14ac:dyDescent="0.25">
      <c r="I25137" s="227" t="str">
        <f>MID(excPisCofins[[#This Row],[CodBarras2]],2,50)</f>
        <v/>
      </c>
    </row>
    <row r="25138" spans="9:9" x14ac:dyDescent="0.25">
      <c r="I25138" s="227" t="str">
        <f>MID(excPisCofins[[#This Row],[CodBarras2]],2,50)</f>
        <v/>
      </c>
    </row>
    <row r="25139" spans="9:9" x14ac:dyDescent="0.25">
      <c r="I25139" s="227" t="str">
        <f>MID(excPisCofins[[#This Row],[CodBarras2]],2,50)</f>
        <v/>
      </c>
    </row>
    <row r="25140" spans="9:9" x14ac:dyDescent="0.25">
      <c r="I25140" s="227" t="str">
        <f>MID(excPisCofins[[#This Row],[CodBarras2]],2,50)</f>
        <v/>
      </c>
    </row>
    <row r="25141" spans="9:9" x14ac:dyDescent="0.25">
      <c r="I25141" s="227" t="str">
        <f>MID(excPisCofins[[#This Row],[CodBarras2]],2,50)</f>
        <v/>
      </c>
    </row>
    <row r="25142" spans="9:9" x14ac:dyDescent="0.25">
      <c r="I25142" s="227" t="str">
        <f>MID(excPisCofins[[#This Row],[CodBarras2]],2,50)</f>
        <v/>
      </c>
    </row>
    <row r="25143" spans="9:9" x14ac:dyDescent="0.25">
      <c r="I25143" s="227" t="str">
        <f>MID(excPisCofins[[#This Row],[CodBarras2]],2,50)</f>
        <v/>
      </c>
    </row>
    <row r="25144" spans="9:9" x14ac:dyDescent="0.25">
      <c r="I25144" s="227" t="str">
        <f>MID(excPisCofins[[#This Row],[CodBarras2]],2,50)</f>
        <v/>
      </c>
    </row>
    <row r="25145" spans="9:9" x14ac:dyDescent="0.25">
      <c r="I25145" s="227" t="str">
        <f>MID(excPisCofins[[#This Row],[CodBarras2]],2,50)</f>
        <v/>
      </c>
    </row>
    <row r="25146" spans="9:9" x14ac:dyDescent="0.25">
      <c r="I25146" s="227" t="str">
        <f>MID(excPisCofins[[#This Row],[CodBarras2]],2,50)</f>
        <v/>
      </c>
    </row>
    <row r="25147" spans="9:9" x14ac:dyDescent="0.25">
      <c r="I25147" s="227" t="str">
        <f>MID(excPisCofins[[#This Row],[CodBarras2]],2,50)</f>
        <v/>
      </c>
    </row>
    <row r="25148" spans="9:9" x14ac:dyDescent="0.25">
      <c r="I25148" s="227" t="str">
        <f>MID(excPisCofins[[#This Row],[CodBarras2]],2,50)</f>
        <v/>
      </c>
    </row>
    <row r="25149" spans="9:9" x14ac:dyDescent="0.25">
      <c r="I25149" s="227" t="str">
        <f>MID(excPisCofins[[#This Row],[CodBarras2]],2,50)</f>
        <v/>
      </c>
    </row>
    <row r="25150" spans="9:9" x14ac:dyDescent="0.25">
      <c r="I25150" s="227" t="str">
        <f>MID(excPisCofins[[#This Row],[CodBarras2]],2,50)</f>
        <v/>
      </c>
    </row>
    <row r="25151" spans="9:9" x14ac:dyDescent="0.25">
      <c r="I25151" s="227" t="str">
        <f>MID(excPisCofins[[#This Row],[CodBarras2]],2,50)</f>
        <v/>
      </c>
    </row>
    <row r="25152" spans="9:9" x14ac:dyDescent="0.25">
      <c r="I25152" s="227" t="str">
        <f>MID(excPisCofins[[#This Row],[CodBarras2]],2,50)</f>
        <v/>
      </c>
    </row>
    <row r="25153" spans="9:9" x14ac:dyDescent="0.25">
      <c r="I25153" s="227" t="str">
        <f>MID(excPisCofins[[#This Row],[CodBarras2]],2,50)</f>
        <v/>
      </c>
    </row>
    <row r="25154" spans="9:9" x14ac:dyDescent="0.25">
      <c r="I25154" s="227" t="str">
        <f>MID(excPisCofins[[#This Row],[CodBarras2]],2,50)</f>
        <v/>
      </c>
    </row>
    <row r="25155" spans="9:9" x14ac:dyDescent="0.25">
      <c r="I25155" s="227" t="str">
        <f>MID(excPisCofins[[#This Row],[CodBarras2]],2,50)</f>
        <v/>
      </c>
    </row>
    <row r="25156" spans="9:9" x14ac:dyDescent="0.25">
      <c r="I25156" s="227" t="str">
        <f>MID(excPisCofins[[#This Row],[CodBarras2]],2,50)</f>
        <v/>
      </c>
    </row>
    <row r="25157" spans="9:9" x14ac:dyDescent="0.25">
      <c r="I25157" s="227" t="str">
        <f>MID(excPisCofins[[#This Row],[CodBarras2]],2,50)</f>
        <v/>
      </c>
    </row>
    <row r="25158" spans="9:9" x14ac:dyDescent="0.25">
      <c r="I25158" s="227" t="str">
        <f>MID(excPisCofins[[#This Row],[CodBarras2]],2,50)</f>
        <v/>
      </c>
    </row>
    <row r="25159" spans="9:9" x14ac:dyDescent="0.25">
      <c r="I25159" s="227" t="str">
        <f>MID(excPisCofins[[#This Row],[CodBarras2]],2,50)</f>
        <v/>
      </c>
    </row>
    <row r="25160" spans="9:9" x14ac:dyDescent="0.25">
      <c r="I25160" s="227" t="str">
        <f>MID(excPisCofins[[#This Row],[CodBarras2]],2,50)</f>
        <v/>
      </c>
    </row>
    <row r="25161" spans="9:9" x14ac:dyDescent="0.25">
      <c r="I25161" s="227" t="str">
        <f>MID(excPisCofins[[#This Row],[CodBarras2]],2,50)</f>
        <v/>
      </c>
    </row>
    <row r="25162" spans="9:9" x14ac:dyDescent="0.25">
      <c r="I25162" s="227" t="str">
        <f>MID(excPisCofins[[#This Row],[CodBarras2]],2,50)</f>
        <v/>
      </c>
    </row>
    <row r="25163" spans="9:9" x14ac:dyDescent="0.25">
      <c r="I25163" s="227" t="str">
        <f>MID(excPisCofins[[#This Row],[CodBarras2]],2,50)</f>
        <v/>
      </c>
    </row>
    <row r="25164" spans="9:9" x14ac:dyDescent="0.25">
      <c r="I25164" s="227" t="str">
        <f>MID(excPisCofins[[#This Row],[CodBarras2]],2,50)</f>
        <v/>
      </c>
    </row>
    <row r="25165" spans="9:9" x14ac:dyDescent="0.25">
      <c r="I25165" s="227" t="str">
        <f>MID(excPisCofins[[#This Row],[CodBarras2]],2,50)</f>
        <v/>
      </c>
    </row>
    <row r="25166" spans="9:9" x14ac:dyDescent="0.25">
      <c r="I25166" s="227" t="str">
        <f>MID(excPisCofins[[#This Row],[CodBarras2]],2,50)</f>
        <v/>
      </c>
    </row>
    <row r="25167" spans="9:9" x14ac:dyDescent="0.25">
      <c r="I25167" s="227" t="str">
        <f>MID(excPisCofins[[#This Row],[CodBarras2]],2,50)</f>
        <v/>
      </c>
    </row>
    <row r="25168" spans="9:9" x14ac:dyDescent="0.25">
      <c r="I25168" s="227" t="str">
        <f>MID(excPisCofins[[#This Row],[CodBarras2]],2,50)</f>
        <v/>
      </c>
    </row>
    <row r="25169" spans="9:9" x14ac:dyDescent="0.25">
      <c r="I25169" s="227" t="str">
        <f>MID(excPisCofins[[#This Row],[CodBarras2]],2,50)</f>
        <v/>
      </c>
    </row>
    <row r="25170" spans="9:9" x14ac:dyDescent="0.25">
      <c r="I25170" s="227" t="str">
        <f>MID(excPisCofins[[#This Row],[CodBarras2]],2,50)</f>
        <v/>
      </c>
    </row>
    <row r="25171" spans="9:9" x14ac:dyDescent="0.25">
      <c r="I25171" s="227" t="str">
        <f>MID(excPisCofins[[#This Row],[CodBarras2]],2,50)</f>
        <v/>
      </c>
    </row>
    <row r="25172" spans="9:9" x14ac:dyDescent="0.25">
      <c r="I25172" s="227" t="str">
        <f>MID(excPisCofins[[#This Row],[CodBarras2]],2,50)</f>
        <v/>
      </c>
    </row>
    <row r="25173" spans="9:9" x14ac:dyDescent="0.25">
      <c r="I25173" s="227" t="str">
        <f>MID(excPisCofins[[#This Row],[CodBarras2]],2,50)</f>
        <v/>
      </c>
    </row>
    <row r="25174" spans="9:9" x14ac:dyDescent="0.25">
      <c r="I25174" s="227" t="str">
        <f>MID(excPisCofins[[#This Row],[CodBarras2]],2,50)</f>
        <v/>
      </c>
    </row>
    <row r="25175" spans="9:9" x14ac:dyDescent="0.25">
      <c r="I25175" s="227" t="str">
        <f>MID(excPisCofins[[#This Row],[CodBarras2]],2,50)</f>
        <v/>
      </c>
    </row>
    <row r="25176" spans="9:9" x14ac:dyDescent="0.25">
      <c r="I25176" s="227" t="str">
        <f>MID(excPisCofins[[#This Row],[CodBarras2]],2,50)</f>
        <v/>
      </c>
    </row>
    <row r="25177" spans="9:9" x14ac:dyDescent="0.25">
      <c r="I25177" s="227" t="str">
        <f>MID(excPisCofins[[#This Row],[CodBarras2]],2,50)</f>
        <v/>
      </c>
    </row>
    <row r="25178" spans="9:9" x14ac:dyDescent="0.25">
      <c r="I25178" s="227" t="str">
        <f>MID(excPisCofins[[#This Row],[CodBarras2]],2,50)</f>
        <v/>
      </c>
    </row>
    <row r="25179" spans="9:9" x14ac:dyDescent="0.25">
      <c r="I25179" s="227" t="str">
        <f>MID(excPisCofins[[#This Row],[CodBarras2]],2,50)</f>
        <v/>
      </c>
    </row>
    <row r="25180" spans="9:9" x14ac:dyDescent="0.25">
      <c r="I25180" s="227" t="str">
        <f>MID(excPisCofins[[#This Row],[CodBarras2]],2,50)</f>
        <v/>
      </c>
    </row>
    <row r="25181" spans="9:9" x14ac:dyDescent="0.25">
      <c r="I25181" s="227" t="str">
        <f>MID(excPisCofins[[#This Row],[CodBarras2]],2,50)</f>
        <v/>
      </c>
    </row>
    <row r="25182" spans="9:9" x14ac:dyDescent="0.25">
      <c r="I25182" s="227" t="str">
        <f>MID(excPisCofins[[#This Row],[CodBarras2]],2,50)</f>
        <v/>
      </c>
    </row>
    <row r="25183" spans="9:9" x14ac:dyDescent="0.25">
      <c r="I25183" s="227" t="str">
        <f>MID(excPisCofins[[#This Row],[CodBarras2]],2,50)</f>
        <v/>
      </c>
    </row>
    <row r="25184" spans="9:9" x14ac:dyDescent="0.25">
      <c r="I25184" s="227" t="str">
        <f>MID(excPisCofins[[#This Row],[CodBarras2]],2,50)</f>
        <v/>
      </c>
    </row>
    <row r="25185" spans="9:9" x14ac:dyDescent="0.25">
      <c r="I25185" s="227" t="str">
        <f>MID(excPisCofins[[#This Row],[CodBarras2]],2,50)</f>
        <v/>
      </c>
    </row>
    <row r="25186" spans="9:9" x14ac:dyDescent="0.25">
      <c r="I25186" s="227" t="str">
        <f>MID(excPisCofins[[#This Row],[CodBarras2]],2,50)</f>
        <v/>
      </c>
    </row>
    <row r="25187" spans="9:9" x14ac:dyDescent="0.25">
      <c r="I25187" s="227" t="str">
        <f>MID(excPisCofins[[#This Row],[CodBarras2]],2,50)</f>
        <v/>
      </c>
    </row>
    <row r="25188" spans="9:9" x14ac:dyDescent="0.25">
      <c r="I25188" s="227" t="str">
        <f>MID(excPisCofins[[#This Row],[CodBarras2]],2,50)</f>
        <v/>
      </c>
    </row>
    <row r="25189" spans="9:9" x14ac:dyDescent="0.25">
      <c r="I25189" s="227" t="str">
        <f>MID(excPisCofins[[#This Row],[CodBarras2]],2,50)</f>
        <v/>
      </c>
    </row>
    <row r="25190" spans="9:9" x14ac:dyDescent="0.25">
      <c r="I25190" s="227" t="str">
        <f>MID(excPisCofins[[#This Row],[CodBarras2]],2,50)</f>
        <v/>
      </c>
    </row>
    <row r="25191" spans="9:9" x14ac:dyDescent="0.25">
      <c r="I25191" s="227" t="str">
        <f>MID(excPisCofins[[#This Row],[CodBarras2]],2,50)</f>
        <v/>
      </c>
    </row>
    <row r="25192" spans="9:9" x14ac:dyDescent="0.25">
      <c r="I25192" s="227" t="str">
        <f>MID(excPisCofins[[#This Row],[CodBarras2]],2,50)</f>
        <v/>
      </c>
    </row>
    <row r="25193" spans="9:9" x14ac:dyDescent="0.25">
      <c r="I25193" s="227" t="str">
        <f>MID(excPisCofins[[#This Row],[CodBarras2]],2,50)</f>
        <v/>
      </c>
    </row>
    <row r="25194" spans="9:9" x14ac:dyDescent="0.25">
      <c r="I25194" s="227" t="str">
        <f>MID(excPisCofins[[#This Row],[CodBarras2]],2,50)</f>
        <v/>
      </c>
    </row>
    <row r="25195" spans="9:9" x14ac:dyDescent="0.25">
      <c r="I25195" s="227" t="str">
        <f>MID(excPisCofins[[#This Row],[CodBarras2]],2,50)</f>
        <v/>
      </c>
    </row>
    <row r="25196" spans="9:9" x14ac:dyDescent="0.25">
      <c r="I25196" s="227" t="str">
        <f>MID(excPisCofins[[#This Row],[CodBarras2]],2,50)</f>
        <v/>
      </c>
    </row>
    <row r="25197" spans="9:9" x14ac:dyDescent="0.25">
      <c r="I25197" s="227" t="str">
        <f>MID(excPisCofins[[#This Row],[CodBarras2]],2,50)</f>
        <v/>
      </c>
    </row>
    <row r="25198" spans="9:9" x14ac:dyDescent="0.25">
      <c r="I25198" s="227" t="str">
        <f>MID(excPisCofins[[#This Row],[CodBarras2]],2,50)</f>
        <v/>
      </c>
    </row>
    <row r="25199" spans="9:9" x14ac:dyDescent="0.25">
      <c r="I25199" s="227" t="str">
        <f>MID(excPisCofins[[#This Row],[CodBarras2]],2,50)</f>
        <v/>
      </c>
    </row>
    <row r="25200" spans="9:9" x14ac:dyDescent="0.25">
      <c r="I25200" s="227" t="str">
        <f>MID(excPisCofins[[#This Row],[CodBarras2]],2,50)</f>
        <v/>
      </c>
    </row>
    <row r="25201" spans="9:9" x14ac:dyDescent="0.25">
      <c r="I25201" s="227" t="str">
        <f>MID(excPisCofins[[#This Row],[CodBarras2]],2,50)</f>
        <v/>
      </c>
    </row>
    <row r="25202" spans="9:9" x14ac:dyDescent="0.25">
      <c r="I25202" s="227" t="str">
        <f>MID(excPisCofins[[#This Row],[CodBarras2]],2,50)</f>
        <v/>
      </c>
    </row>
    <row r="25203" spans="9:9" x14ac:dyDescent="0.25">
      <c r="I25203" s="227" t="str">
        <f>MID(excPisCofins[[#This Row],[CodBarras2]],2,50)</f>
        <v/>
      </c>
    </row>
    <row r="25204" spans="9:9" x14ac:dyDescent="0.25">
      <c r="I25204" s="227" t="str">
        <f>MID(excPisCofins[[#This Row],[CodBarras2]],2,50)</f>
        <v/>
      </c>
    </row>
    <row r="25205" spans="9:9" x14ac:dyDescent="0.25">
      <c r="I25205" s="227" t="str">
        <f>MID(excPisCofins[[#This Row],[CodBarras2]],2,50)</f>
        <v/>
      </c>
    </row>
    <row r="25206" spans="9:9" x14ac:dyDescent="0.25">
      <c r="I25206" s="227" t="str">
        <f>MID(excPisCofins[[#This Row],[CodBarras2]],2,50)</f>
        <v/>
      </c>
    </row>
    <row r="25207" spans="9:9" x14ac:dyDescent="0.25">
      <c r="I25207" s="227" t="str">
        <f>MID(excPisCofins[[#This Row],[CodBarras2]],2,50)</f>
        <v/>
      </c>
    </row>
    <row r="25208" spans="9:9" x14ac:dyDescent="0.25">
      <c r="I25208" s="227" t="str">
        <f>MID(excPisCofins[[#This Row],[CodBarras2]],2,50)</f>
        <v/>
      </c>
    </row>
    <row r="25209" spans="9:9" x14ac:dyDescent="0.25">
      <c r="I25209" s="227" t="str">
        <f>MID(excPisCofins[[#This Row],[CodBarras2]],2,50)</f>
        <v/>
      </c>
    </row>
    <row r="25210" spans="9:9" x14ac:dyDescent="0.25">
      <c r="I25210" s="227" t="str">
        <f>MID(excPisCofins[[#This Row],[CodBarras2]],2,50)</f>
        <v/>
      </c>
    </row>
    <row r="25211" spans="9:9" x14ac:dyDescent="0.25">
      <c r="I25211" s="227" t="str">
        <f>MID(excPisCofins[[#This Row],[CodBarras2]],2,50)</f>
        <v/>
      </c>
    </row>
    <row r="25212" spans="9:9" x14ac:dyDescent="0.25">
      <c r="I25212" s="227" t="str">
        <f>MID(excPisCofins[[#This Row],[CodBarras2]],2,50)</f>
        <v/>
      </c>
    </row>
    <row r="25213" spans="9:9" x14ac:dyDescent="0.25">
      <c r="I25213" s="227" t="str">
        <f>MID(excPisCofins[[#This Row],[CodBarras2]],2,50)</f>
        <v/>
      </c>
    </row>
    <row r="25214" spans="9:9" x14ac:dyDescent="0.25">
      <c r="I25214" s="227" t="str">
        <f>MID(excPisCofins[[#This Row],[CodBarras2]],2,50)</f>
        <v/>
      </c>
    </row>
    <row r="25215" spans="9:9" x14ac:dyDescent="0.25">
      <c r="I25215" s="227" t="str">
        <f>MID(excPisCofins[[#This Row],[CodBarras2]],2,50)</f>
        <v/>
      </c>
    </row>
    <row r="25216" spans="9:9" x14ac:dyDescent="0.25">
      <c r="I25216" s="227" t="str">
        <f>MID(excPisCofins[[#This Row],[CodBarras2]],2,50)</f>
        <v/>
      </c>
    </row>
    <row r="25217" spans="9:9" x14ac:dyDescent="0.25">
      <c r="I25217" s="227" t="str">
        <f>MID(excPisCofins[[#This Row],[CodBarras2]],2,50)</f>
        <v/>
      </c>
    </row>
    <row r="25218" spans="9:9" x14ac:dyDescent="0.25">
      <c r="I25218" s="227" t="str">
        <f>MID(excPisCofins[[#This Row],[CodBarras2]],2,50)</f>
        <v/>
      </c>
    </row>
    <row r="25219" spans="9:9" x14ac:dyDescent="0.25">
      <c r="I25219" s="227" t="str">
        <f>MID(excPisCofins[[#This Row],[CodBarras2]],2,50)</f>
        <v/>
      </c>
    </row>
    <row r="25220" spans="9:9" x14ac:dyDescent="0.25">
      <c r="I25220" s="227" t="str">
        <f>MID(excPisCofins[[#This Row],[CodBarras2]],2,50)</f>
        <v/>
      </c>
    </row>
    <row r="25221" spans="9:9" x14ac:dyDescent="0.25">
      <c r="I25221" s="227" t="str">
        <f>MID(excPisCofins[[#This Row],[CodBarras2]],2,50)</f>
        <v/>
      </c>
    </row>
    <row r="25222" spans="9:9" x14ac:dyDescent="0.25">
      <c r="I25222" s="227" t="str">
        <f>MID(excPisCofins[[#This Row],[CodBarras2]],2,50)</f>
        <v/>
      </c>
    </row>
    <row r="25223" spans="9:9" x14ac:dyDescent="0.25">
      <c r="I25223" s="227" t="str">
        <f>MID(excPisCofins[[#This Row],[CodBarras2]],2,50)</f>
        <v/>
      </c>
    </row>
    <row r="25224" spans="9:9" x14ac:dyDescent="0.25">
      <c r="I25224" s="227" t="str">
        <f>MID(excPisCofins[[#This Row],[CodBarras2]],2,50)</f>
        <v/>
      </c>
    </row>
    <row r="25225" spans="9:9" x14ac:dyDescent="0.25">
      <c r="I25225" s="227" t="str">
        <f>MID(excPisCofins[[#This Row],[CodBarras2]],2,50)</f>
        <v/>
      </c>
    </row>
    <row r="25226" spans="9:9" x14ac:dyDescent="0.25">
      <c r="I25226" s="227" t="str">
        <f>MID(excPisCofins[[#This Row],[CodBarras2]],2,50)</f>
        <v/>
      </c>
    </row>
    <row r="25227" spans="9:9" x14ac:dyDescent="0.25">
      <c r="I25227" s="227" t="str">
        <f>MID(excPisCofins[[#This Row],[CodBarras2]],2,50)</f>
        <v/>
      </c>
    </row>
    <row r="25228" spans="9:9" x14ac:dyDescent="0.25">
      <c r="I25228" s="227" t="str">
        <f>MID(excPisCofins[[#This Row],[CodBarras2]],2,50)</f>
        <v/>
      </c>
    </row>
    <row r="25229" spans="9:9" x14ac:dyDescent="0.25">
      <c r="I25229" s="227" t="str">
        <f>MID(excPisCofins[[#This Row],[CodBarras2]],2,50)</f>
        <v/>
      </c>
    </row>
    <row r="25230" spans="9:9" x14ac:dyDescent="0.25">
      <c r="I25230" s="227" t="str">
        <f>MID(excPisCofins[[#This Row],[CodBarras2]],2,50)</f>
        <v/>
      </c>
    </row>
    <row r="25231" spans="9:9" x14ac:dyDescent="0.25">
      <c r="I25231" s="227" t="str">
        <f>MID(excPisCofins[[#This Row],[CodBarras2]],2,50)</f>
        <v/>
      </c>
    </row>
    <row r="25232" spans="9:9" x14ac:dyDescent="0.25">
      <c r="I25232" s="227" t="str">
        <f>MID(excPisCofins[[#This Row],[CodBarras2]],2,50)</f>
        <v/>
      </c>
    </row>
    <row r="25233" spans="9:9" x14ac:dyDescent="0.25">
      <c r="I25233" s="227" t="str">
        <f>MID(excPisCofins[[#This Row],[CodBarras2]],2,50)</f>
        <v/>
      </c>
    </row>
    <row r="25234" spans="9:9" x14ac:dyDescent="0.25">
      <c r="I25234" s="227" t="str">
        <f>MID(excPisCofins[[#This Row],[CodBarras2]],2,50)</f>
        <v/>
      </c>
    </row>
    <row r="25235" spans="9:9" x14ac:dyDescent="0.25">
      <c r="I25235" s="227" t="str">
        <f>MID(excPisCofins[[#This Row],[CodBarras2]],2,50)</f>
        <v/>
      </c>
    </row>
    <row r="25236" spans="9:9" x14ac:dyDescent="0.25">
      <c r="I25236" s="227" t="str">
        <f>MID(excPisCofins[[#This Row],[CodBarras2]],2,50)</f>
        <v/>
      </c>
    </row>
    <row r="25237" spans="9:9" x14ac:dyDescent="0.25">
      <c r="I25237" s="227" t="str">
        <f>MID(excPisCofins[[#This Row],[CodBarras2]],2,50)</f>
        <v/>
      </c>
    </row>
    <row r="25238" spans="9:9" x14ac:dyDescent="0.25">
      <c r="I25238" s="227" t="str">
        <f>MID(excPisCofins[[#This Row],[CodBarras2]],2,50)</f>
        <v/>
      </c>
    </row>
    <row r="25239" spans="9:9" x14ac:dyDescent="0.25">
      <c r="I25239" s="227" t="str">
        <f>MID(excPisCofins[[#This Row],[CodBarras2]],2,50)</f>
        <v/>
      </c>
    </row>
    <row r="25240" spans="9:9" x14ac:dyDescent="0.25">
      <c r="I25240" s="227" t="str">
        <f>MID(excPisCofins[[#This Row],[CodBarras2]],2,50)</f>
        <v/>
      </c>
    </row>
    <row r="25241" spans="9:9" x14ac:dyDescent="0.25">
      <c r="I25241" s="227" t="str">
        <f>MID(excPisCofins[[#This Row],[CodBarras2]],2,50)</f>
        <v/>
      </c>
    </row>
    <row r="25242" spans="9:9" x14ac:dyDescent="0.25">
      <c r="I25242" s="227" t="str">
        <f>MID(excPisCofins[[#This Row],[CodBarras2]],2,50)</f>
        <v/>
      </c>
    </row>
    <row r="25243" spans="9:9" x14ac:dyDescent="0.25">
      <c r="I25243" s="227" t="str">
        <f>MID(excPisCofins[[#This Row],[CodBarras2]],2,50)</f>
        <v/>
      </c>
    </row>
    <row r="25244" spans="9:9" x14ac:dyDescent="0.25">
      <c r="I25244" s="227" t="str">
        <f>MID(excPisCofins[[#This Row],[CodBarras2]],2,50)</f>
        <v/>
      </c>
    </row>
    <row r="25245" spans="9:9" x14ac:dyDescent="0.25">
      <c r="I25245" s="227" t="str">
        <f>MID(excPisCofins[[#This Row],[CodBarras2]],2,50)</f>
        <v/>
      </c>
    </row>
    <row r="25246" spans="9:9" x14ac:dyDescent="0.25">
      <c r="I25246" s="227" t="str">
        <f>MID(excPisCofins[[#This Row],[CodBarras2]],2,50)</f>
        <v/>
      </c>
    </row>
    <row r="25247" spans="9:9" x14ac:dyDescent="0.25">
      <c r="I25247" s="227" t="str">
        <f>MID(excPisCofins[[#This Row],[CodBarras2]],2,50)</f>
        <v/>
      </c>
    </row>
    <row r="25248" spans="9:9" x14ac:dyDescent="0.25">
      <c r="I25248" s="227" t="str">
        <f>MID(excPisCofins[[#This Row],[CodBarras2]],2,50)</f>
        <v/>
      </c>
    </row>
    <row r="25249" spans="9:9" x14ac:dyDescent="0.25">
      <c r="I25249" s="227" t="str">
        <f>MID(excPisCofins[[#This Row],[CodBarras2]],2,50)</f>
        <v/>
      </c>
    </row>
    <row r="25250" spans="9:9" x14ac:dyDescent="0.25">
      <c r="I25250" s="227" t="str">
        <f>MID(excPisCofins[[#This Row],[CodBarras2]],2,50)</f>
        <v/>
      </c>
    </row>
    <row r="25251" spans="9:9" x14ac:dyDescent="0.25">
      <c r="I25251" s="227" t="str">
        <f>MID(excPisCofins[[#This Row],[CodBarras2]],2,50)</f>
        <v/>
      </c>
    </row>
    <row r="25252" spans="9:9" x14ac:dyDescent="0.25">
      <c r="I25252" s="227" t="str">
        <f>MID(excPisCofins[[#This Row],[CodBarras2]],2,50)</f>
        <v/>
      </c>
    </row>
    <row r="25253" spans="9:9" x14ac:dyDescent="0.25">
      <c r="I25253" s="227" t="str">
        <f>MID(excPisCofins[[#This Row],[CodBarras2]],2,50)</f>
        <v/>
      </c>
    </row>
    <row r="25254" spans="9:9" x14ac:dyDescent="0.25">
      <c r="I25254" s="227" t="str">
        <f>MID(excPisCofins[[#This Row],[CodBarras2]],2,50)</f>
        <v/>
      </c>
    </row>
    <row r="25255" spans="9:9" x14ac:dyDescent="0.25">
      <c r="I25255" s="227" t="str">
        <f>MID(excPisCofins[[#This Row],[CodBarras2]],2,50)</f>
        <v/>
      </c>
    </row>
    <row r="25256" spans="9:9" x14ac:dyDescent="0.25">
      <c r="I25256" s="227" t="str">
        <f>MID(excPisCofins[[#This Row],[CodBarras2]],2,50)</f>
        <v/>
      </c>
    </row>
    <row r="25257" spans="9:9" x14ac:dyDescent="0.25">
      <c r="I25257" s="227" t="str">
        <f>MID(excPisCofins[[#This Row],[CodBarras2]],2,50)</f>
        <v/>
      </c>
    </row>
    <row r="25258" spans="9:9" x14ac:dyDescent="0.25">
      <c r="I25258" s="227" t="str">
        <f>MID(excPisCofins[[#This Row],[CodBarras2]],2,50)</f>
        <v/>
      </c>
    </row>
    <row r="25259" spans="9:9" x14ac:dyDescent="0.25">
      <c r="I25259" s="227" t="str">
        <f>MID(excPisCofins[[#This Row],[CodBarras2]],2,50)</f>
        <v/>
      </c>
    </row>
    <row r="25260" spans="9:9" x14ac:dyDescent="0.25">
      <c r="I25260" s="227" t="str">
        <f>MID(excPisCofins[[#This Row],[CodBarras2]],2,50)</f>
        <v/>
      </c>
    </row>
    <row r="25261" spans="9:9" x14ac:dyDescent="0.25">
      <c r="I25261" s="227" t="str">
        <f>MID(excPisCofins[[#This Row],[CodBarras2]],2,50)</f>
        <v/>
      </c>
    </row>
    <row r="25262" spans="9:9" x14ac:dyDescent="0.25">
      <c r="I25262" s="227" t="str">
        <f>MID(excPisCofins[[#This Row],[CodBarras2]],2,50)</f>
        <v/>
      </c>
    </row>
    <row r="25263" spans="9:9" x14ac:dyDescent="0.25">
      <c r="I25263" s="227" t="str">
        <f>MID(excPisCofins[[#This Row],[CodBarras2]],2,50)</f>
        <v/>
      </c>
    </row>
    <row r="25264" spans="9:9" x14ac:dyDescent="0.25">
      <c r="I25264" s="227" t="str">
        <f>MID(excPisCofins[[#This Row],[CodBarras2]],2,50)</f>
        <v/>
      </c>
    </row>
    <row r="25265" spans="9:9" x14ac:dyDescent="0.25">
      <c r="I25265" s="227" t="str">
        <f>MID(excPisCofins[[#This Row],[CodBarras2]],2,50)</f>
        <v/>
      </c>
    </row>
    <row r="25266" spans="9:9" x14ac:dyDescent="0.25">
      <c r="I25266" s="227" t="str">
        <f>MID(excPisCofins[[#This Row],[CodBarras2]],2,50)</f>
        <v/>
      </c>
    </row>
    <row r="25267" spans="9:9" x14ac:dyDescent="0.25">
      <c r="I25267" s="227" t="str">
        <f>MID(excPisCofins[[#This Row],[CodBarras2]],2,50)</f>
        <v/>
      </c>
    </row>
    <row r="25268" spans="9:9" x14ac:dyDescent="0.25">
      <c r="I25268" s="227" t="str">
        <f>MID(excPisCofins[[#This Row],[CodBarras2]],2,50)</f>
        <v/>
      </c>
    </row>
    <row r="25269" spans="9:9" x14ac:dyDescent="0.25">
      <c r="I25269" s="227" t="str">
        <f>MID(excPisCofins[[#This Row],[CodBarras2]],2,50)</f>
        <v/>
      </c>
    </row>
    <row r="25270" spans="9:9" x14ac:dyDescent="0.25">
      <c r="I25270" s="227" t="str">
        <f>MID(excPisCofins[[#This Row],[CodBarras2]],2,50)</f>
        <v/>
      </c>
    </row>
    <row r="25271" spans="9:9" x14ac:dyDescent="0.25">
      <c r="I25271" s="227" t="str">
        <f>MID(excPisCofins[[#This Row],[CodBarras2]],2,50)</f>
        <v/>
      </c>
    </row>
    <row r="25272" spans="9:9" x14ac:dyDescent="0.25">
      <c r="I25272" s="227" t="str">
        <f>MID(excPisCofins[[#This Row],[CodBarras2]],2,50)</f>
        <v/>
      </c>
    </row>
    <row r="25273" spans="9:9" x14ac:dyDescent="0.25">
      <c r="I25273" s="227" t="str">
        <f>MID(excPisCofins[[#This Row],[CodBarras2]],2,50)</f>
        <v/>
      </c>
    </row>
    <row r="25274" spans="9:9" x14ac:dyDescent="0.25">
      <c r="I25274" s="227" t="str">
        <f>MID(excPisCofins[[#This Row],[CodBarras2]],2,50)</f>
        <v/>
      </c>
    </row>
    <row r="25275" spans="9:9" x14ac:dyDescent="0.25">
      <c r="I25275" s="227" t="str">
        <f>MID(excPisCofins[[#This Row],[CodBarras2]],2,50)</f>
        <v/>
      </c>
    </row>
    <row r="25276" spans="9:9" x14ac:dyDescent="0.25">
      <c r="I25276" s="227" t="str">
        <f>MID(excPisCofins[[#This Row],[CodBarras2]],2,50)</f>
        <v/>
      </c>
    </row>
    <row r="25277" spans="9:9" x14ac:dyDescent="0.25">
      <c r="I25277" s="227" t="str">
        <f>MID(excPisCofins[[#This Row],[CodBarras2]],2,50)</f>
        <v/>
      </c>
    </row>
    <row r="25278" spans="9:9" x14ac:dyDescent="0.25">
      <c r="I25278" s="227" t="str">
        <f>MID(excPisCofins[[#This Row],[CodBarras2]],2,50)</f>
        <v/>
      </c>
    </row>
    <row r="25279" spans="9:9" x14ac:dyDescent="0.25">
      <c r="I25279" s="227" t="str">
        <f>MID(excPisCofins[[#This Row],[CodBarras2]],2,50)</f>
        <v/>
      </c>
    </row>
    <row r="25280" spans="9:9" x14ac:dyDescent="0.25">
      <c r="I25280" s="227" t="str">
        <f>MID(excPisCofins[[#This Row],[CodBarras2]],2,50)</f>
        <v/>
      </c>
    </row>
    <row r="25281" spans="9:9" x14ac:dyDescent="0.25">
      <c r="I25281" s="227" t="str">
        <f>MID(excPisCofins[[#This Row],[CodBarras2]],2,50)</f>
        <v/>
      </c>
    </row>
    <row r="25282" spans="9:9" x14ac:dyDescent="0.25">
      <c r="I25282" s="227" t="str">
        <f>MID(excPisCofins[[#This Row],[CodBarras2]],2,50)</f>
        <v/>
      </c>
    </row>
    <row r="25283" spans="9:9" x14ac:dyDescent="0.25">
      <c r="I25283" s="227" t="str">
        <f>MID(excPisCofins[[#This Row],[CodBarras2]],2,50)</f>
        <v/>
      </c>
    </row>
    <row r="25284" spans="9:9" x14ac:dyDescent="0.25">
      <c r="I25284" s="227" t="str">
        <f>MID(excPisCofins[[#This Row],[CodBarras2]],2,50)</f>
        <v/>
      </c>
    </row>
    <row r="25285" spans="9:9" x14ac:dyDescent="0.25">
      <c r="I25285" s="227" t="str">
        <f>MID(excPisCofins[[#This Row],[CodBarras2]],2,50)</f>
        <v/>
      </c>
    </row>
    <row r="25286" spans="9:9" x14ac:dyDescent="0.25">
      <c r="I25286" s="227" t="str">
        <f>MID(excPisCofins[[#This Row],[CodBarras2]],2,50)</f>
        <v/>
      </c>
    </row>
    <row r="25287" spans="9:9" x14ac:dyDescent="0.25">
      <c r="I25287" s="227" t="str">
        <f>MID(excPisCofins[[#This Row],[CodBarras2]],2,50)</f>
        <v/>
      </c>
    </row>
    <row r="25288" spans="9:9" x14ac:dyDescent="0.25">
      <c r="I25288" s="227" t="str">
        <f>MID(excPisCofins[[#This Row],[CodBarras2]],2,50)</f>
        <v/>
      </c>
    </row>
    <row r="25289" spans="9:9" x14ac:dyDescent="0.25">
      <c r="I25289" s="227" t="str">
        <f>MID(excPisCofins[[#This Row],[CodBarras2]],2,50)</f>
        <v/>
      </c>
    </row>
    <row r="25290" spans="9:9" x14ac:dyDescent="0.25">
      <c r="I25290" s="227" t="str">
        <f>MID(excPisCofins[[#This Row],[CodBarras2]],2,50)</f>
        <v/>
      </c>
    </row>
    <row r="25291" spans="9:9" x14ac:dyDescent="0.25">
      <c r="I25291" s="227" t="str">
        <f>MID(excPisCofins[[#This Row],[CodBarras2]],2,50)</f>
        <v/>
      </c>
    </row>
    <row r="25292" spans="9:9" x14ac:dyDescent="0.25">
      <c r="I25292" s="227" t="str">
        <f>MID(excPisCofins[[#This Row],[CodBarras2]],2,50)</f>
        <v/>
      </c>
    </row>
    <row r="25293" spans="9:9" x14ac:dyDescent="0.25">
      <c r="I25293" s="227" t="str">
        <f>MID(excPisCofins[[#This Row],[CodBarras2]],2,50)</f>
        <v/>
      </c>
    </row>
    <row r="25294" spans="9:9" x14ac:dyDescent="0.25">
      <c r="I25294" s="227" t="str">
        <f>MID(excPisCofins[[#This Row],[CodBarras2]],2,50)</f>
        <v/>
      </c>
    </row>
    <row r="25295" spans="9:9" x14ac:dyDescent="0.25">
      <c r="I25295" s="227" t="str">
        <f>MID(excPisCofins[[#This Row],[CodBarras2]],2,50)</f>
        <v/>
      </c>
    </row>
    <row r="25296" spans="9:9" x14ac:dyDescent="0.25">
      <c r="I25296" s="227" t="str">
        <f>MID(excPisCofins[[#This Row],[CodBarras2]],2,50)</f>
        <v/>
      </c>
    </row>
    <row r="25297" spans="9:9" x14ac:dyDescent="0.25">
      <c r="I25297" s="227" t="str">
        <f>MID(excPisCofins[[#This Row],[CodBarras2]],2,50)</f>
        <v/>
      </c>
    </row>
    <row r="25298" spans="9:9" x14ac:dyDescent="0.25">
      <c r="I25298" s="227" t="str">
        <f>MID(excPisCofins[[#This Row],[CodBarras2]],2,50)</f>
        <v/>
      </c>
    </row>
    <row r="25299" spans="9:9" x14ac:dyDescent="0.25">
      <c r="I25299" s="227" t="str">
        <f>MID(excPisCofins[[#This Row],[CodBarras2]],2,50)</f>
        <v/>
      </c>
    </row>
    <row r="25300" spans="9:9" x14ac:dyDescent="0.25">
      <c r="I25300" s="227" t="str">
        <f>MID(excPisCofins[[#This Row],[CodBarras2]],2,50)</f>
        <v/>
      </c>
    </row>
    <row r="25301" spans="9:9" x14ac:dyDescent="0.25">
      <c r="I25301" s="227" t="str">
        <f>MID(excPisCofins[[#This Row],[CodBarras2]],2,50)</f>
        <v/>
      </c>
    </row>
    <row r="25302" spans="9:9" x14ac:dyDescent="0.25">
      <c r="I25302" s="227" t="str">
        <f>MID(excPisCofins[[#This Row],[CodBarras2]],2,50)</f>
        <v/>
      </c>
    </row>
    <row r="25303" spans="9:9" x14ac:dyDescent="0.25">
      <c r="I25303" s="227" t="str">
        <f>MID(excPisCofins[[#This Row],[CodBarras2]],2,50)</f>
        <v/>
      </c>
    </row>
    <row r="25304" spans="9:9" x14ac:dyDescent="0.25">
      <c r="I25304" s="227" t="str">
        <f>MID(excPisCofins[[#This Row],[CodBarras2]],2,50)</f>
        <v/>
      </c>
    </row>
    <row r="25305" spans="9:9" x14ac:dyDescent="0.25">
      <c r="I25305" s="227" t="str">
        <f>MID(excPisCofins[[#This Row],[CodBarras2]],2,50)</f>
        <v/>
      </c>
    </row>
    <row r="25306" spans="9:9" x14ac:dyDescent="0.25">
      <c r="I25306" s="227" t="str">
        <f>MID(excPisCofins[[#This Row],[CodBarras2]],2,50)</f>
        <v/>
      </c>
    </row>
    <row r="25307" spans="9:9" x14ac:dyDescent="0.25">
      <c r="I25307" s="227" t="str">
        <f>MID(excPisCofins[[#This Row],[CodBarras2]],2,50)</f>
        <v/>
      </c>
    </row>
    <row r="25308" spans="9:9" x14ac:dyDescent="0.25">
      <c r="I25308" s="227" t="str">
        <f>MID(excPisCofins[[#This Row],[CodBarras2]],2,50)</f>
        <v/>
      </c>
    </row>
    <row r="25309" spans="9:9" x14ac:dyDescent="0.25">
      <c r="I25309" s="227" t="str">
        <f>MID(excPisCofins[[#This Row],[CodBarras2]],2,50)</f>
        <v/>
      </c>
    </row>
    <row r="25310" spans="9:9" x14ac:dyDescent="0.25">
      <c r="I25310" s="227" t="str">
        <f>MID(excPisCofins[[#This Row],[CodBarras2]],2,50)</f>
        <v/>
      </c>
    </row>
    <row r="25311" spans="9:9" x14ac:dyDescent="0.25">
      <c r="I25311" s="227" t="str">
        <f>MID(excPisCofins[[#This Row],[CodBarras2]],2,50)</f>
        <v/>
      </c>
    </row>
    <row r="25312" spans="9:9" x14ac:dyDescent="0.25">
      <c r="I25312" s="227" t="str">
        <f>MID(excPisCofins[[#This Row],[CodBarras2]],2,50)</f>
        <v/>
      </c>
    </row>
    <row r="25313" spans="9:9" x14ac:dyDescent="0.25">
      <c r="I25313" s="227" t="str">
        <f>MID(excPisCofins[[#This Row],[CodBarras2]],2,50)</f>
        <v/>
      </c>
    </row>
    <row r="25314" spans="9:9" x14ac:dyDescent="0.25">
      <c r="I25314" s="227" t="str">
        <f>MID(excPisCofins[[#This Row],[CodBarras2]],2,50)</f>
        <v/>
      </c>
    </row>
    <row r="25315" spans="9:9" x14ac:dyDescent="0.25">
      <c r="I25315" s="227" t="str">
        <f>MID(excPisCofins[[#This Row],[CodBarras2]],2,50)</f>
        <v/>
      </c>
    </row>
    <row r="25316" spans="9:9" x14ac:dyDescent="0.25">
      <c r="I25316" s="227" t="str">
        <f>MID(excPisCofins[[#This Row],[CodBarras2]],2,50)</f>
        <v/>
      </c>
    </row>
    <row r="25317" spans="9:9" x14ac:dyDescent="0.25">
      <c r="I25317" s="227" t="str">
        <f>MID(excPisCofins[[#This Row],[CodBarras2]],2,50)</f>
        <v/>
      </c>
    </row>
    <row r="25318" spans="9:9" x14ac:dyDescent="0.25">
      <c r="I25318" s="227" t="str">
        <f>MID(excPisCofins[[#This Row],[CodBarras2]],2,50)</f>
        <v/>
      </c>
    </row>
    <row r="25319" spans="9:9" x14ac:dyDescent="0.25">
      <c r="I25319" s="227" t="str">
        <f>MID(excPisCofins[[#This Row],[CodBarras2]],2,50)</f>
        <v/>
      </c>
    </row>
    <row r="25320" spans="9:9" x14ac:dyDescent="0.25">
      <c r="I25320" s="227" t="str">
        <f>MID(excPisCofins[[#This Row],[CodBarras2]],2,50)</f>
        <v/>
      </c>
    </row>
    <row r="25321" spans="9:9" x14ac:dyDescent="0.25">
      <c r="I25321" s="227" t="str">
        <f>MID(excPisCofins[[#This Row],[CodBarras2]],2,50)</f>
        <v/>
      </c>
    </row>
    <row r="25322" spans="9:9" x14ac:dyDescent="0.25">
      <c r="I25322" s="227" t="str">
        <f>MID(excPisCofins[[#This Row],[CodBarras2]],2,50)</f>
        <v/>
      </c>
    </row>
    <row r="25323" spans="9:9" x14ac:dyDescent="0.25">
      <c r="I25323" s="227" t="str">
        <f>MID(excPisCofins[[#This Row],[CodBarras2]],2,50)</f>
        <v/>
      </c>
    </row>
    <row r="25324" spans="9:9" x14ac:dyDescent="0.25">
      <c r="I25324" s="227" t="str">
        <f>MID(excPisCofins[[#This Row],[CodBarras2]],2,50)</f>
        <v/>
      </c>
    </row>
    <row r="25325" spans="9:9" x14ac:dyDescent="0.25">
      <c r="I25325" s="227" t="str">
        <f>MID(excPisCofins[[#This Row],[CodBarras2]],2,50)</f>
        <v/>
      </c>
    </row>
    <row r="25326" spans="9:9" x14ac:dyDescent="0.25">
      <c r="I25326" s="227" t="str">
        <f>MID(excPisCofins[[#This Row],[CodBarras2]],2,50)</f>
        <v/>
      </c>
    </row>
    <row r="25327" spans="9:9" x14ac:dyDescent="0.25">
      <c r="I25327" s="227" t="str">
        <f>MID(excPisCofins[[#This Row],[CodBarras2]],2,50)</f>
        <v/>
      </c>
    </row>
    <row r="25328" spans="9:9" x14ac:dyDescent="0.25">
      <c r="I25328" s="227" t="str">
        <f>MID(excPisCofins[[#This Row],[CodBarras2]],2,50)</f>
        <v/>
      </c>
    </row>
    <row r="25329" spans="9:9" x14ac:dyDescent="0.25">
      <c r="I25329" s="227" t="str">
        <f>MID(excPisCofins[[#This Row],[CodBarras2]],2,50)</f>
        <v/>
      </c>
    </row>
    <row r="25330" spans="9:9" x14ac:dyDescent="0.25">
      <c r="I25330" s="227" t="str">
        <f>MID(excPisCofins[[#This Row],[CodBarras2]],2,50)</f>
        <v/>
      </c>
    </row>
    <row r="25331" spans="9:9" x14ac:dyDescent="0.25">
      <c r="I25331" s="227" t="str">
        <f>MID(excPisCofins[[#This Row],[CodBarras2]],2,50)</f>
        <v/>
      </c>
    </row>
    <row r="25332" spans="9:9" x14ac:dyDescent="0.25">
      <c r="I25332" s="227" t="str">
        <f>MID(excPisCofins[[#This Row],[CodBarras2]],2,50)</f>
        <v/>
      </c>
    </row>
    <row r="25333" spans="9:9" x14ac:dyDescent="0.25">
      <c r="I25333" s="227" t="str">
        <f>MID(excPisCofins[[#This Row],[CodBarras2]],2,50)</f>
        <v/>
      </c>
    </row>
    <row r="25334" spans="9:9" x14ac:dyDescent="0.25">
      <c r="I25334" s="227" t="str">
        <f>MID(excPisCofins[[#This Row],[CodBarras2]],2,50)</f>
        <v/>
      </c>
    </row>
    <row r="25335" spans="9:9" x14ac:dyDescent="0.25">
      <c r="I25335" s="227" t="str">
        <f>MID(excPisCofins[[#This Row],[CodBarras2]],2,50)</f>
        <v/>
      </c>
    </row>
    <row r="25336" spans="9:9" x14ac:dyDescent="0.25">
      <c r="I25336" s="227" t="str">
        <f>MID(excPisCofins[[#This Row],[CodBarras2]],2,50)</f>
        <v/>
      </c>
    </row>
    <row r="25337" spans="9:9" x14ac:dyDescent="0.25">
      <c r="I25337" s="227" t="str">
        <f>MID(excPisCofins[[#This Row],[CodBarras2]],2,50)</f>
        <v/>
      </c>
    </row>
    <row r="25338" spans="9:9" x14ac:dyDescent="0.25">
      <c r="I25338" s="227" t="str">
        <f>MID(excPisCofins[[#This Row],[CodBarras2]],2,50)</f>
        <v/>
      </c>
    </row>
    <row r="25339" spans="9:9" x14ac:dyDescent="0.25">
      <c r="I25339" s="227" t="str">
        <f>MID(excPisCofins[[#This Row],[CodBarras2]],2,50)</f>
        <v/>
      </c>
    </row>
    <row r="25340" spans="9:9" x14ac:dyDescent="0.25">
      <c r="I25340" s="227" t="str">
        <f>MID(excPisCofins[[#This Row],[CodBarras2]],2,50)</f>
        <v/>
      </c>
    </row>
    <row r="25341" spans="9:9" x14ac:dyDescent="0.25">
      <c r="I25341" s="227" t="str">
        <f>MID(excPisCofins[[#This Row],[CodBarras2]],2,50)</f>
        <v/>
      </c>
    </row>
    <row r="25342" spans="9:9" x14ac:dyDescent="0.25">
      <c r="I25342" s="227" t="str">
        <f>MID(excPisCofins[[#This Row],[CodBarras2]],2,50)</f>
        <v/>
      </c>
    </row>
    <row r="25343" spans="9:9" x14ac:dyDescent="0.25">
      <c r="I25343" s="227" t="str">
        <f>MID(excPisCofins[[#This Row],[CodBarras2]],2,50)</f>
        <v/>
      </c>
    </row>
    <row r="25344" spans="9:9" x14ac:dyDescent="0.25">
      <c r="I25344" s="227" t="str">
        <f>MID(excPisCofins[[#This Row],[CodBarras2]],2,50)</f>
        <v/>
      </c>
    </row>
    <row r="25345" spans="9:9" x14ac:dyDescent="0.25">
      <c r="I25345" s="227" t="str">
        <f>MID(excPisCofins[[#This Row],[CodBarras2]],2,50)</f>
        <v/>
      </c>
    </row>
    <row r="25346" spans="9:9" x14ac:dyDescent="0.25">
      <c r="I25346" s="227" t="str">
        <f>MID(excPisCofins[[#This Row],[CodBarras2]],2,50)</f>
        <v/>
      </c>
    </row>
    <row r="25347" spans="9:9" x14ac:dyDescent="0.25">
      <c r="I25347" s="227" t="str">
        <f>MID(excPisCofins[[#This Row],[CodBarras2]],2,50)</f>
        <v/>
      </c>
    </row>
    <row r="25348" spans="9:9" x14ac:dyDescent="0.25">
      <c r="I25348" s="227" t="str">
        <f>MID(excPisCofins[[#This Row],[CodBarras2]],2,50)</f>
        <v/>
      </c>
    </row>
    <row r="25349" spans="9:9" x14ac:dyDescent="0.25">
      <c r="I25349" s="227" t="str">
        <f>MID(excPisCofins[[#This Row],[CodBarras2]],2,50)</f>
        <v/>
      </c>
    </row>
    <row r="25350" spans="9:9" x14ac:dyDescent="0.25">
      <c r="I25350" s="227" t="str">
        <f>MID(excPisCofins[[#This Row],[CodBarras2]],2,50)</f>
        <v/>
      </c>
    </row>
    <row r="25351" spans="9:9" x14ac:dyDescent="0.25">
      <c r="I25351" s="227" t="str">
        <f>MID(excPisCofins[[#This Row],[CodBarras2]],2,50)</f>
        <v/>
      </c>
    </row>
    <row r="25352" spans="9:9" x14ac:dyDescent="0.25">
      <c r="I25352" s="227" t="str">
        <f>MID(excPisCofins[[#This Row],[CodBarras2]],2,50)</f>
        <v/>
      </c>
    </row>
    <row r="25353" spans="9:9" x14ac:dyDescent="0.25">
      <c r="I25353" s="227" t="str">
        <f>MID(excPisCofins[[#This Row],[CodBarras2]],2,50)</f>
        <v/>
      </c>
    </row>
    <row r="25354" spans="9:9" x14ac:dyDescent="0.25">
      <c r="I25354" s="227" t="str">
        <f>MID(excPisCofins[[#This Row],[CodBarras2]],2,50)</f>
        <v/>
      </c>
    </row>
    <row r="25355" spans="9:9" x14ac:dyDescent="0.25">
      <c r="I25355" s="227" t="str">
        <f>MID(excPisCofins[[#This Row],[CodBarras2]],2,50)</f>
        <v/>
      </c>
    </row>
    <row r="25356" spans="9:9" x14ac:dyDescent="0.25">
      <c r="I25356" s="227" t="str">
        <f>MID(excPisCofins[[#This Row],[CodBarras2]],2,50)</f>
        <v/>
      </c>
    </row>
    <row r="25357" spans="9:9" x14ac:dyDescent="0.25">
      <c r="I25357" s="227" t="str">
        <f>MID(excPisCofins[[#This Row],[CodBarras2]],2,50)</f>
        <v/>
      </c>
    </row>
    <row r="25358" spans="9:9" x14ac:dyDescent="0.25">
      <c r="I25358" s="227" t="str">
        <f>MID(excPisCofins[[#This Row],[CodBarras2]],2,50)</f>
        <v/>
      </c>
    </row>
    <row r="25359" spans="9:9" x14ac:dyDescent="0.25">
      <c r="I25359" s="227" t="str">
        <f>MID(excPisCofins[[#This Row],[CodBarras2]],2,50)</f>
        <v/>
      </c>
    </row>
    <row r="25360" spans="9:9" x14ac:dyDescent="0.25">
      <c r="I25360" s="227" t="str">
        <f>MID(excPisCofins[[#This Row],[CodBarras2]],2,50)</f>
        <v/>
      </c>
    </row>
    <row r="25361" spans="9:9" x14ac:dyDescent="0.25">
      <c r="I25361" s="227" t="str">
        <f>MID(excPisCofins[[#This Row],[CodBarras2]],2,50)</f>
        <v/>
      </c>
    </row>
    <row r="25362" spans="9:9" x14ac:dyDescent="0.25">
      <c r="I25362" s="227" t="str">
        <f>MID(excPisCofins[[#This Row],[CodBarras2]],2,50)</f>
        <v/>
      </c>
    </row>
    <row r="25363" spans="9:9" x14ac:dyDescent="0.25">
      <c r="I25363" s="227" t="str">
        <f>MID(excPisCofins[[#This Row],[CodBarras2]],2,50)</f>
        <v/>
      </c>
    </row>
    <row r="25364" spans="9:9" x14ac:dyDescent="0.25">
      <c r="I25364" s="227" t="str">
        <f>MID(excPisCofins[[#This Row],[CodBarras2]],2,50)</f>
        <v/>
      </c>
    </row>
    <row r="25365" spans="9:9" x14ac:dyDescent="0.25">
      <c r="I25365" s="227" t="str">
        <f>MID(excPisCofins[[#This Row],[CodBarras2]],2,50)</f>
        <v/>
      </c>
    </row>
    <row r="25366" spans="9:9" x14ac:dyDescent="0.25">
      <c r="I25366" s="227" t="str">
        <f>MID(excPisCofins[[#This Row],[CodBarras2]],2,50)</f>
        <v/>
      </c>
    </row>
    <row r="25367" spans="9:9" x14ac:dyDescent="0.25">
      <c r="I25367" s="227" t="str">
        <f>MID(excPisCofins[[#This Row],[CodBarras2]],2,50)</f>
        <v/>
      </c>
    </row>
    <row r="25368" spans="9:9" x14ac:dyDescent="0.25">
      <c r="I25368" s="227" t="str">
        <f>MID(excPisCofins[[#This Row],[CodBarras2]],2,50)</f>
        <v/>
      </c>
    </row>
    <row r="25369" spans="9:9" x14ac:dyDescent="0.25">
      <c r="I25369" s="227" t="str">
        <f>MID(excPisCofins[[#This Row],[CodBarras2]],2,50)</f>
        <v/>
      </c>
    </row>
    <row r="25370" spans="9:9" x14ac:dyDescent="0.25">
      <c r="I25370" s="227" t="str">
        <f>MID(excPisCofins[[#This Row],[CodBarras2]],2,50)</f>
        <v/>
      </c>
    </row>
    <row r="25371" spans="9:9" x14ac:dyDescent="0.25">
      <c r="I25371" s="227" t="str">
        <f>MID(excPisCofins[[#This Row],[CodBarras2]],2,50)</f>
        <v/>
      </c>
    </row>
    <row r="25372" spans="9:9" x14ac:dyDescent="0.25">
      <c r="I25372" s="227" t="str">
        <f>MID(excPisCofins[[#This Row],[CodBarras2]],2,50)</f>
        <v/>
      </c>
    </row>
    <row r="25373" spans="9:9" x14ac:dyDescent="0.25">
      <c r="I25373" s="227" t="str">
        <f>MID(excPisCofins[[#This Row],[CodBarras2]],2,50)</f>
        <v/>
      </c>
    </row>
    <row r="25374" spans="9:9" x14ac:dyDescent="0.25">
      <c r="I25374" s="227" t="str">
        <f>MID(excPisCofins[[#This Row],[CodBarras2]],2,50)</f>
        <v/>
      </c>
    </row>
    <row r="25375" spans="9:9" x14ac:dyDescent="0.25">
      <c r="I25375" s="227" t="str">
        <f>MID(excPisCofins[[#This Row],[CodBarras2]],2,50)</f>
        <v/>
      </c>
    </row>
    <row r="25376" spans="9:9" x14ac:dyDescent="0.25">
      <c r="I25376" s="227" t="str">
        <f>MID(excPisCofins[[#This Row],[CodBarras2]],2,50)</f>
        <v/>
      </c>
    </row>
    <row r="25377" spans="9:9" x14ac:dyDescent="0.25">
      <c r="I25377" s="227" t="str">
        <f>MID(excPisCofins[[#This Row],[CodBarras2]],2,50)</f>
        <v/>
      </c>
    </row>
    <row r="25378" spans="9:9" x14ac:dyDescent="0.25">
      <c r="I25378" s="227" t="str">
        <f>MID(excPisCofins[[#This Row],[CodBarras2]],2,50)</f>
        <v/>
      </c>
    </row>
    <row r="25379" spans="9:9" x14ac:dyDescent="0.25">
      <c r="I25379" s="227" t="str">
        <f>MID(excPisCofins[[#This Row],[CodBarras2]],2,50)</f>
        <v/>
      </c>
    </row>
    <row r="25380" spans="9:9" x14ac:dyDescent="0.25">
      <c r="I25380" s="227" t="str">
        <f>MID(excPisCofins[[#This Row],[CodBarras2]],2,50)</f>
        <v/>
      </c>
    </row>
    <row r="25381" spans="9:9" x14ac:dyDescent="0.25">
      <c r="I25381" s="227" t="str">
        <f>MID(excPisCofins[[#This Row],[CodBarras2]],2,50)</f>
        <v/>
      </c>
    </row>
    <row r="25382" spans="9:9" x14ac:dyDescent="0.25">
      <c r="I25382" s="227" t="str">
        <f>MID(excPisCofins[[#This Row],[CodBarras2]],2,50)</f>
        <v/>
      </c>
    </row>
    <row r="25383" spans="9:9" x14ac:dyDescent="0.25">
      <c r="I25383" s="227" t="str">
        <f>MID(excPisCofins[[#This Row],[CodBarras2]],2,50)</f>
        <v/>
      </c>
    </row>
    <row r="25384" spans="9:9" x14ac:dyDescent="0.25">
      <c r="I25384" s="227" t="str">
        <f>MID(excPisCofins[[#This Row],[CodBarras2]],2,50)</f>
        <v/>
      </c>
    </row>
    <row r="25385" spans="9:9" x14ac:dyDescent="0.25">
      <c r="I25385" s="227" t="str">
        <f>MID(excPisCofins[[#This Row],[CodBarras2]],2,50)</f>
        <v/>
      </c>
    </row>
    <row r="25386" spans="9:9" x14ac:dyDescent="0.25">
      <c r="I25386" s="227" t="str">
        <f>MID(excPisCofins[[#This Row],[CodBarras2]],2,50)</f>
        <v/>
      </c>
    </row>
    <row r="25387" spans="9:9" x14ac:dyDescent="0.25">
      <c r="I25387" s="227" t="str">
        <f>MID(excPisCofins[[#This Row],[CodBarras2]],2,50)</f>
        <v/>
      </c>
    </row>
    <row r="25388" spans="9:9" x14ac:dyDescent="0.25">
      <c r="I25388" s="227" t="str">
        <f>MID(excPisCofins[[#This Row],[CodBarras2]],2,50)</f>
        <v/>
      </c>
    </row>
    <row r="25389" spans="9:9" x14ac:dyDescent="0.25">
      <c r="I25389" s="227" t="str">
        <f>MID(excPisCofins[[#This Row],[CodBarras2]],2,50)</f>
        <v/>
      </c>
    </row>
    <row r="25390" spans="9:9" x14ac:dyDescent="0.25">
      <c r="I25390" s="227" t="str">
        <f>MID(excPisCofins[[#This Row],[CodBarras2]],2,50)</f>
        <v/>
      </c>
    </row>
    <row r="25391" spans="9:9" x14ac:dyDescent="0.25">
      <c r="I25391" s="227" t="str">
        <f>MID(excPisCofins[[#This Row],[CodBarras2]],2,50)</f>
        <v/>
      </c>
    </row>
    <row r="25392" spans="9:9" x14ac:dyDescent="0.25">
      <c r="I25392" s="227" t="str">
        <f>MID(excPisCofins[[#This Row],[CodBarras2]],2,50)</f>
        <v/>
      </c>
    </row>
    <row r="25393" spans="9:9" x14ac:dyDescent="0.25">
      <c r="I25393" s="227" t="str">
        <f>MID(excPisCofins[[#This Row],[CodBarras2]],2,50)</f>
        <v/>
      </c>
    </row>
    <row r="25394" spans="9:9" x14ac:dyDescent="0.25">
      <c r="I25394" s="227" t="str">
        <f>MID(excPisCofins[[#This Row],[CodBarras2]],2,50)</f>
        <v/>
      </c>
    </row>
    <row r="25395" spans="9:9" x14ac:dyDescent="0.25">
      <c r="I25395" s="227" t="str">
        <f>MID(excPisCofins[[#This Row],[CodBarras2]],2,50)</f>
        <v/>
      </c>
    </row>
    <row r="25396" spans="9:9" x14ac:dyDescent="0.25">
      <c r="I25396" s="227" t="str">
        <f>MID(excPisCofins[[#This Row],[CodBarras2]],2,50)</f>
        <v/>
      </c>
    </row>
    <row r="25397" spans="9:9" x14ac:dyDescent="0.25">
      <c r="I25397" s="227" t="str">
        <f>MID(excPisCofins[[#This Row],[CodBarras2]],2,50)</f>
        <v/>
      </c>
    </row>
    <row r="25398" spans="9:9" x14ac:dyDescent="0.25">
      <c r="I25398" s="227" t="str">
        <f>MID(excPisCofins[[#This Row],[CodBarras2]],2,50)</f>
        <v/>
      </c>
    </row>
    <row r="25399" spans="9:9" x14ac:dyDescent="0.25">
      <c r="I25399" s="227" t="str">
        <f>MID(excPisCofins[[#This Row],[CodBarras2]],2,50)</f>
        <v/>
      </c>
    </row>
    <row r="25400" spans="9:9" x14ac:dyDescent="0.25">
      <c r="I25400" s="227" t="str">
        <f>MID(excPisCofins[[#This Row],[CodBarras2]],2,50)</f>
        <v/>
      </c>
    </row>
    <row r="25401" spans="9:9" x14ac:dyDescent="0.25">
      <c r="I25401" s="227" t="str">
        <f>MID(excPisCofins[[#This Row],[CodBarras2]],2,50)</f>
        <v/>
      </c>
    </row>
    <row r="25402" spans="9:9" x14ac:dyDescent="0.25">
      <c r="I25402" s="227" t="str">
        <f>MID(excPisCofins[[#This Row],[CodBarras2]],2,50)</f>
        <v/>
      </c>
    </row>
    <row r="25403" spans="9:9" x14ac:dyDescent="0.25">
      <c r="I25403" s="227" t="str">
        <f>MID(excPisCofins[[#This Row],[CodBarras2]],2,50)</f>
        <v/>
      </c>
    </row>
    <row r="25404" spans="9:9" x14ac:dyDescent="0.25">
      <c r="I25404" s="227" t="str">
        <f>MID(excPisCofins[[#This Row],[CodBarras2]],2,50)</f>
        <v/>
      </c>
    </row>
    <row r="25405" spans="9:9" x14ac:dyDescent="0.25">
      <c r="I25405" s="227" t="str">
        <f>MID(excPisCofins[[#This Row],[CodBarras2]],2,50)</f>
        <v/>
      </c>
    </row>
    <row r="25406" spans="9:9" x14ac:dyDescent="0.25">
      <c r="I25406" s="227" t="str">
        <f>MID(excPisCofins[[#This Row],[CodBarras2]],2,50)</f>
        <v/>
      </c>
    </row>
    <row r="25407" spans="9:9" x14ac:dyDescent="0.25">
      <c r="I25407" s="227" t="str">
        <f>MID(excPisCofins[[#This Row],[CodBarras2]],2,50)</f>
        <v/>
      </c>
    </row>
    <row r="25408" spans="9:9" x14ac:dyDescent="0.25">
      <c r="I25408" s="227" t="str">
        <f>MID(excPisCofins[[#This Row],[CodBarras2]],2,50)</f>
        <v/>
      </c>
    </row>
    <row r="25409" spans="9:9" x14ac:dyDescent="0.25">
      <c r="I25409" s="227" t="str">
        <f>MID(excPisCofins[[#This Row],[CodBarras2]],2,50)</f>
        <v/>
      </c>
    </row>
    <row r="25410" spans="9:9" x14ac:dyDescent="0.25">
      <c r="I25410" s="227" t="str">
        <f>MID(excPisCofins[[#This Row],[CodBarras2]],2,50)</f>
        <v/>
      </c>
    </row>
    <row r="25411" spans="9:9" x14ac:dyDescent="0.25">
      <c r="I25411" s="227" t="str">
        <f>MID(excPisCofins[[#This Row],[CodBarras2]],2,50)</f>
        <v/>
      </c>
    </row>
    <row r="25412" spans="9:9" x14ac:dyDescent="0.25">
      <c r="I25412" s="227" t="str">
        <f>MID(excPisCofins[[#This Row],[CodBarras2]],2,50)</f>
        <v/>
      </c>
    </row>
    <row r="25413" spans="9:9" x14ac:dyDescent="0.25">
      <c r="I25413" s="227" t="str">
        <f>MID(excPisCofins[[#This Row],[CodBarras2]],2,50)</f>
        <v/>
      </c>
    </row>
    <row r="25414" spans="9:9" x14ac:dyDescent="0.25">
      <c r="I25414" s="227" t="str">
        <f>MID(excPisCofins[[#This Row],[CodBarras2]],2,50)</f>
        <v/>
      </c>
    </row>
    <row r="25415" spans="9:9" x14ac:dyDescent="0.25">
      <c r="I25415" s="227" t="str">
        <f>MID(excPisCofins[[#This Row],[CodBarras2]],2,50)</f>
        <v/>
      </c>
    </row>
    <row r="25416" spans="9:9" x14ac:dyDescent="0.25">
      <c r="I25416" s="227" t="str">
        <f>MID(excPisCofins[[#This Row],[CodBarras2]],2,50)</f>
        <v/>
      </c>
    </row>
    <row r="25417" spans="9:9" x14ac:dyDescent="0.25">
      <c r="I25417" s="227" t="str">
        <f>MID(excPisCofins[[#This Row],[CodBarras2]],2,50)</f>
        <v/>
      </c>
    </row>
    <row r="25418" spans="9:9" x14ac:dyDescent="0.25">
      <c r="I25418" s="227" t="str">
        <f>MID(excPisCofins[[#This Row],[CodBarras2]],2,50)</f>
        <v/>
      </c>
    </row>
    <row r="25419" spans="9:9" x14ac:dyDescent="0.25">
      <c r="I25419" s="227" t="str">
        <f>MID(excPisCofins[[#This Row],[CodBarras2]],2,50)</f>
        <v/>
      </c>
    </row>
    <row r="25420" spans="9:9" x14ac:dyDescent="0.25">
      <c r="I25420" s="227" t="str">
        <f>MID(excPisCofins[[#This Row],[CodBarras2]],2,50)</f>
        <v/>
      </c>
    </row>
    <row r="25421" spans="9:9" x14ac:dyDescent="0.25">
      <c r="I25421" s="227" t="str">
        <f>MID(excPisCofins[[#This Row],[CodBarras2]],2,50)</f>
        <v/>
      </c>
    </row>
    <row r="25422" spans="9:9" x14ac:dyDescent="0.25">
      <c r="I25422" s="227" t="str">
        <f>MID(excPisCofins[[#This Row],[CodBarras2]],2,50)</f>
        <v/>
      </c>
    </row>
    <row r="25423" spans="9:9" x14ac:dyDescent="0.25">
      <c r="I25423" s="227" t="str">
        <f>MID(excPisCofins[[#This Row],[CodBarras2]],2,50)</f>
        <v/>
      </c>
    </row>
    <row r="25424" spans="9:9" x14ac:dyDescent="0.25">
      <c r="I25424" s="227" t="str">
        <f>MID(excPisCofins[[#This Row],[CodBarras2]],2,50)</f>
        <v/>
      </c>
    </row>
    <row r="25425" spans="9:9" x14ac:dyDescent="0.25">
      <c r="I25425" s="227" t="str">
        <f>MID(excPisCofins[[#This Row],[CodBarras2]],2,50)</f>
        <v/>
      </c>
    </row>
    <row r="25426" spans="9:9" x14ac:dyDescent="0.25">
      <c r="I25426" s="227" t="str">
        <f>MID(excPisCofins[[#This Row],[CodBarras2]],2,50)</f>
        <v/>
      </c>
    </row>
    <row r="25427" spans="9:9" x14ac:dyDescent="0.25">
      <c r="I25427" s="227" t="str">
        <f>MID(excPisCofins[[#This Row],[CodBarras2]],2,50)</f>
        <v/>
      </c>
    </row>
    <row r="25428" spans="9:9" x14ac:dyDescent="0.25">
      <c r="I25428" s="227" t="str">
        <f>MID(excPisCofins[[#This Row],[CodBarras2]],2,50)</f>
        <v/>
      </c>
    </row>
    <row r="25429" spans="9:9" x14ac:dyDescent="0.25">
      <c r="I25429" s="227" t="str">
        <f>MID(excPisCofins[[#This Row],[CodBarras2]],2,50)</f>
        <v/>
      </c>
    </row>
    <row r="25430" spans="9:9" x14ac:dyDescent="0.25">
      <c r="I25430" s="227" t="str">
        <f>MID(excPisCofins[[#This Row],[CodBarras2]],2,50)</f>
        <v/>
      </c>
    </row>
    <row r="25431" spans="9:9" x14ac:dyDescent="0.25">
      <c r="I25431" s="227" t="str">
        <f>MID(excPisCofins[[#This Row],[CodBarras2]],2,50)</f>
        <v/>
      </c>
    </row>
    <row r="25432" spans="9:9" x14ac:dyDescent="0.25">
      <c r="I25432" s="227" t="str">
        <f>MID(excPisCofins[[#This Row],[CodBarras2]],2,50)</f>
        <v/>
      </c>
    </row>
    <row r="25433" spans="9:9" x14ac:dyDescent="0.25">
      <c r="I25433" s="227" t="str">
        <f>MID(excPisCofins[[#This Row],[CodBarras2]],2,50)</f>
        <v/>
      </c>
    </row>
    <row r="25434" spans="9:9" x14ac:dyDescent="0.25">
      <c r="I25434" s="227" t="str">
        <f>MID(excPisCofins[[#This Row],[CodBarras2]],2,50)</f>
        <v/>
      </c>
    </row>
    <row r="25435" spans="9:9" x14ac:dyDescent="0.25">
      <c r="I25435" s="227" t="str">
        <f>MID(excPisCofins[[#This Row],[CodBarras2]],2,50)</f>
        <v/>
      </c>
    </row>
    <row r="25436" spans="9:9" x14ac:dyDescent="0.25">
      <c r="I25436" s="227" t="str">
        <f>MID(excPisCofins[[#This Row],[CodBarras2]],2,50)</f>
        <v/>
      </c>
    </row>
    <row r="25437" spans="9:9" x14ac:dyDescent="0.25">
      <c r="I25437" s="227" t="str">
        <f>MID(excPisCofins[[#This Row],[CodBarras2]],2,50)</f>
        <v/>
      </c>
    </row>
    <row r="25438" spans="9:9" x14ac:dyDescent="0.25">
      <c r="I25438" s="227" t="str">
        <f>MID(excPisCofins[[#This Row],[CodBarras2]],2,50)</f>
        <v/>
      </c>
    </row>
    <row r="25439" spans="9:9" x14ac:dyDescent="0.25">
      <c r="I25439" s="227" t="str">
        <f>MID(excPisCofins[[#This Row],[CodBarras2]],2,50)</f>
        <v/>
      </c>
    </row>
    <row r="25440" spans="9:9" x14ac:dyDescent="0.25">
      <c r="I25440" s="227" t="str">
        <f>MID(excPisCofins[[#This Row],[CodBarras2]],2,50)</f>
        <v/>
      </c>
    </row>
    <row r="25441" spans="9:9" x14ac:dyDescent="0.25">
      <c r="I25441" s="227" t="str">
        <f>MID(excPisCofins[[#This Row],[CodBarras2]],2,50)</f>
        <v/>
      </c>
    </row>
    <row r="25442" spans="9:9" x14ac:dyDescent="0.25">
      <c r="I25442" s="227" t="str">
        <f>MID(excPisCofins[[#This Row],[CodBarras2]],2,50)</f>
        <v/>
      </c>
    </row>
    <row r="25443" spans="9:9" x14ac:dyDescent="0.25">
      <c r="I25443" s="227" t="str">
        <f>MID(excPisCofins[[#This Row],[CodBarras2]],2,50)</f>
        <v/>
      </c>
    </row>
    <row r="25444" spans="9:9" x14ac:dyDescent="0.25">
      <c r="I25444" s="227" t="str">
        <f>MID(excPisCofins[[#This Row],[CodBarras2]],2,50)</f>
        <v/>
      </c>
    </row>
    <row r="25445" spans="9:9" x14ac:dyDescent="0.25">
      <c r="I25445" s="227" t="str">
        <f>MID(excPisCofins[[#This Row],[CodBarras2]],2,50)</f>
        <v/>
      </c>
    </row>
    <row r="25446" spans="9:9" x14ac:dyDescent="0.25">
      <c r="I25446" s="227" t="str">
        <f>MID(excPisCofins[[#This Row],[CodBarras2]],2,50)</f>
        <v/>
      </c>
    </row>
    <row r="25447" spans="9:9" x14ac:dyDescent="0.25">
      <c r="I25447" s="227" t="str">
        <f>MID(excPisCofins[[#This Row],[CodBarras2]],2,50)</f>
        <v/>
      </c>
    </row>
    <row r="25448" spans="9:9" x14ac:dyDescent="0.25">
      <c r="I25448" s="227" t="str">
        <f>MID(excPisCofins[[#This Row],[CodBarras2]],2,50)</f>
        <v/>
      </c>
    </row>
    <row r="25449" spans="9:9" x14ac:dyDescent="0.25">
      <c r="I25449" s="227" t="str">
        <f>MID(excPisCofins[[#This Row],[CodBarras2]],2,50)</f>
        <v/>
      </c>
    </row>
    <row r="25450" spans="9:9" x14ac:dyDescent="0.25">
      <c r="I25450" s="227" t="str">
        <f>MID(excPisCofins[[#This Row],[CodBarras2]],2,50)</f>
        <v/>
      </c>
    </row>
    <row r="25451" spans="9:9" x14ac:dyDescent="0.25">
      <c r="I25451" s="227" t="str">
        <f>MID(excPisCofins[[#This Row],[CodBarras2]],2,50)</f>
        <v/>
      </c>
    </row>
    <row r="25452" spans="9:9" x14ac:dyDescent="0.25">
      <c r="I25452" s="227" t="str">
        <f>MID(excPisCofins[[#This Row],[CodBarras2]],2,50)</f>
        <v/>
      </c>
    </row>
    <row r="25453" spans="9:9" x14ac:dyDescent="0.25">
      <c r="I25453" s="227" t="str">
        <f>MID(excPisCofins[[#This Row],[CodBarras2]],2,50)</f>
        <v/>
      </c>
    </row>
    <row r="25454" spans="9:9" x14ac:dyDescent="0.25">
      <c r="I25454" s="227" t="str">
        <f>MID(excPisCofins[[#This Row],[CodBarras2]],2,50)</f>
        <v/>
      </c>
    </row>
    <row r="25455" spans="9:9" x14ac:dyDescent="0.25">
      <c r="I25455" s="227" t="str">
        <f>MID(excPisCofins[[#This Row],[CodBarras2]],2,50)</f>
        <v/>
      </c>
    </row>
    <row r="25456" spans="9:9" x14ac:dyDescent="0.25">
      <c r="I25456" s="227" t="str">
        <f>MID(excPisCofins[[#This Row],[CodBarras2]],2,50)</f>
        <v/>
      </c>
    </row>
    <row r="25457" spans="9:9" x14ac:dyDescent="0.25">
      <c r="I25457" s="227" t="str">
        <f>MID(excPisCofins[[#This Row],[CodBarras2]],2,50)</f>
        <v/>
      </c>
    </row>
    <row r="25458" spans="9:9" x14ac:dyDescent="0.25">
      <c r="I25458" s="227" t="str">
        <f>MID(excPisCofins[[#This Row],[CodBarras2]],2,50)</f>
        <v/>
      </c>
    </row>
    <row r="25459" spans="9:9" x14ac:dyDescent="0.25">
      <c r="I25459" s="227" t="str">
        <f>MID(excPisCofins[[#This Row],[CodBarras2]],2,50)</f>
        <v/>
      </c>
    </row>
    <row r="25460" spans="9:9" x14ac:dyDescent="0.25">
      <c r="I25460" s="227" t="str">
        <f>MID(excPisCofins[[#This Row],[CodBarras2]],2,50)</f>
        <v/>
      </c>
    </row>
    <row r="25461" spans="9:9" x14ac:dyDescent="0.25">
      <c r="I25461" s="227" t="str">
        <f>MID(excPisCofins[[#This Row],[CodBarras2]],2,50)</f>
        <v/>
      </c>
    </row>
    <row r="25462" spans="9:9" x14ac:dyDescent="0.25">
      <c r="I25462" s="227" t="str">
        <f>MID(excPisCofins[[#This Row],[CodBarras2]],2,50)</f>
        <v/>
      </c>
    </row>
    <row r="25463" spans="9:9" x14ac:dyDescent="0.25">
      <c r="I25463" s="227" t="str">
        <f>MID(excPisCofins[[#This Row],[CodBarras2]],2,50)</f>
        <v/>
      </c>
    </row>
    <row r="25464" spans="9:9" x14ac:dyDescent="0.25">
      <c r="I25464" s="227" t="str">
        <f>MID(excPisCofins[[#This Row],[CodBarras2]],2,50)</f>
        <v/>
      </c>
    </row>
    <row r="25465" spans="9:9" x14ac:dyDescent="0.25">
      <c r="I25465" s="227" t="str">
        <f>MID(excPisCofins[[#This Row],[CodBarras2]],2,50)</f>
        <v/>
      </c>
    </row>
    <row r="25466" spans="9:9" x14ac:dyDescent="0.25">
      <c r="I25466" s="227" t="str">
        <f>MID(excPisCofins[[#This Row],[CodBarras2]],2,50)</f>
        <v/>
      </c>
    </row>
    <row r="25467" spans="9:9" x14ac:dyDescent="0.25">
      <c r="I25467" s="227" t="str">
        <f>MID(excPisCofins[[#This Row],[CodBarras2]],2,50)</f>
        <v/>
      </c>
    </row>
    <row r="25468" spans="9:9" x14ac:dyDescent="0.25">
      <c r="I25468" s="227" t="str">
        <f>MID(excPisCofins[[#This Row],[CodBarras2]],2,50)</f>
        <v/>
      </c>
    </row>
    <row r="25469" spans="9:9" x14ac:dyDescent="0.25">
      <c r="I25469" s="227" t="str">
        <f>MID(excPisCofins[[#This Row],[CodBarras2]],2,50)</f>
        <v/>
      </c>
    </row>
    <row r="25470" spans="9:9" x14ac:dyDescent="0.25">
      <c r="I25470" s="227" t="str">
        <f>MID(excPisCofins[[#This Row],[CodBarras2]],2,50)</f>
        <v/>
      </c>
    </row>
    <row r="25471" spans="9:9" x14ac:dyDescent="0.25">
      <c r="I25471" s="227" t="str">
        <f>MID(excPisCofins[[#This Row],[CodBarras2]],2,50)</f>
        <v/>
      </c>
    </row>
    <row r="25472" spans="9:9" x14ac:dyDescent="0.25">
      <c r="I25472" s="227" t="str">
        <f>MID(excPisCofins[[#This Row],[CodBarras2]],2,50)</f>
        <v/>
      </c>
    </row>
    <row r="25473" spans="9:9" x14ac:dyDescent="0.25">
      <c r="I25473" s="227" t="str">
        <f>MID(excPisCofins[[#This Row],[CodBarras2]],2,50)</f>
        <v/>
      </c>
    </row>
    <row r="25474" spans="9:9" x14ac:dyDescent="0.25">
      <c r="I25474" s="227" t="str">
        <f>MID(excPisCofins[[#This Row],[CodBarras2]],2,50)</f>
        <v/>
      </c>
    </row>
    <row r="25475" spans="9:9" x14ac:dyDescent="0.25">
      <c r="I25475" s="227" t="str">
        <f>MID(excPisCofins[[#This Row],[CodBarras2]],2,50)</f>
        <v/>
      </c>
    </row>
    <row r="25476" spans="9:9" x14ac:dyDescent="0.25">
      <c r="I25476" s="227" t="str">
        <f>MID(excPisCofins[[#This Row],[CodBarras2]],2,50)</f>
        <v/>
      </c>
    </row>
    <row r="25477" spans="9:9" x14ac:dyDescent="0.25">
      <c r="I25477" s="227" t="str">
        <f>MID(excPisCofins[[#This Row],[CodBarras2]],2,50)</f>
        <v/>
      </c>
    </row>
    <row r="25478" spans="9:9" x14ac:dyDescent="0.25">
      <c r="I25478" s="227" t="str">
        <f>MID(excPisCofins[[#This Row],[CodBarras2]],2,50)</f>
        <v/>
      </c>
    </row>
    <row r="25479" spans="9:9" x14ac:dyDescent="0.25">
      <c r="I25479" s="227" t="str">
        <f>MID(excPisCofins[[#This Row],[CodBarras2]],2,50)</f>
        <v/>
      </c>
    </row>
    <row r="25480" spans="9:9" x14ac:dyDescent="0.25">
      <c r="I25480" s="227" t="str">
        <f>MID(excPisCofins[[#This Row],[CodBarras2]],2,50)</f>
        <v/>
      </c>
    </row>
    <row r="25481" spans="9:9" x14ac:dyDescent="0.25">
      <c r="I25481" s="227" t="str">
        <f>MID(excPisCofins[[#This Row],[CodBarras2]],2,50)</f>
        <v/>
      </c>
    </row>
    <row r="25482" spans="9:9" x14ac:dyDescent="0.25">
      <c r="I25482" s="227" t="str">
        <f>MID(excPisCofins[[#This Row],[CodBarras2]],2,50)</f>
        <v/>
      </c>
    </row>
    <row r="25483" spans="9:9" x14ac:dyDescent="0.25">
      <c r="I25483" s="227" t="str">
        <f>MID(excPisCofins[[#This Row],[CodBarras2]],2,50)</f>
        <v/>
      </c>
    </row>
    <row r="25484" spans="9:9" x14ac:dyDescent="0.25">
      <c r="I25484" s="227" t="str">
        <f>MID(excPisCofins[[#This Row],[CodBarras2]],2,50)</f>
        <v/>
      </c>
    </row>
    <row r="25485" spans="9:9" x14ac:dyDescent="0.25">
      <c r="I25485" s="227" t="str">
        <f>MID(excPisCofins[[#This Row],[CodBarras2]],2,50)</f>
        <v/>
      </c>
    </row>
    <row r="25486" spans="9:9" x14ac:dyDescent="0.25">
      <c r="I25486" s="227" t="str">
        <f>MID(excPisCofins[[#This Row],[CodBarras2]],2,50)</f>
        <v/>
      </c>
    </row>
    <row r="25487" spans="9:9" x14ac:dyDescent="0.25">
      <c r="I25487" s="227" t="str">
        <f>MID(excPisCofins[[#This Row],[CodBarras2]],2,50)</f>
        <v/>
      </c>
    </row>
    <row r="25488" spans="9:9" x14ac:dyDescent="0.25">
      <c r="I25488" s="227" t="str">
        <f>MID(excPisCofins[[#This Row],[CodBarras2]],2,50)</f>
        <v/>
      </c>
    </row>
    <row r="25489" spans="9:9" x14ac:dyDescent="0.25">
      <c r="I25489" s="227" t="str">
        <f>MID(excPisCofins[[#This Row],[CodBarras2]],2,50)</f>
        <v/>
      </c>
    </row>
    <row r="25490" spans="9:9" x14ac:dyDescent="0.25">
      <c r="I25490" s="227" t="str">
        <f>MID(excPisCofins[[#This Row],[CodBarras2]],2,50)</f>
        <v/>
      </c>
    </row>
    <row r="25491" spans="9:9" x14ac:dyDescent="0.25">
      <c r="I25491" s="227" t="str">
        <f>MID(excPisCofins[[#This Row],[CodBarras2]],2,50)</f>
        <v/>
      </c>
    </row>
    <row r="25492" spans="9:9" x14ac:dyDescent="0.25">
      <c r="I25492" s="227" t="str">
        <f>MID(excPisCofins[[#This Row],[CodBarras2]],2,50)</f>
        <v/>
      </c>
    </row>
    <row r="25493" spans="9:9" x14ac:dyDescent="0.25">
      <c r="I25493" s="227" t="str">
        <f>MID(excPisCofins[[#This Row],[CodBarras2]],2,50)</f>
        <v/>
      </c>
    </row>
    <row r="25494" spans="9:9" x14ac:dyDescent="0.25">
      <c r="I25494" s="227" t="str">
        <f>MID(excPisCofins[[#This Row],[CodBarras2]],2,50)</f>
        <v/>
      </c>
    </row>
    <row r="25495" spans="9:9" x14ac:dyDescent="0.25">
      <c r="I25495" s="227" t="str">
        <f>MID(excPisCofins[[#This Row],[CodBarras2]],2,50)</f>
        <v/>
      </c>
    </row>
    <row r="25496" spans="9:9" x14ac:dyDescent="0.25">
      <c r="I25496" s="227" t="str">
        <f>MID(excPisCofins[[#This Row],[CodBarras2]],2,50)</f>
        <v/>
      </c>
    </row>
    <row r="25497" spans="9:9" x14ac:dyDescent="0.25">
      <c r="I25497" s="227" t="str">
        <f>MID(excPisCofins[[#This Row],[CodBarras2]],2,50)</f>
        <v/>
      </c>
    </row>
    <row r="25498" spans="9:9" x14ac:dyDescent="0.25">
      <c r="I25498" s="227" t="str">
        <f>MID(excPisCofins[[#This Row],[CodBarras2]],2,50)</f>
        <v/>
      </c>
    </row>
    <row r="25499" spans="9:9" x14ac:dyDescent="0.25">
      <c r="I25499" s="227" t="str">
        <f>MID(excPisCofins[[#This Row],[CodBarras2]],2,50)</f>
        <v/>
      </c>
    </row>
    <row r="25500" spans="9:9" x14ac:dyDescent="0.25">
      <c r="I25500" s="227" t="str">
        <f>MID(excPisCofins[[#This Row],[CodBarras2]],2,50)</f>
        <v/>
      </c>
    </row>
    <row r="25501" spans="9:9" x14ac:dyDescent="0.25">
      <c r="I25501" s="227" t="str">
        <f>MID(excPisCofins[[#This Row],[CodBarras2]],2,50)</f>
        <v/>
      </c>
    </row>
    <row r="25502" spans="9:9" x14ac:dyDescent="0.25">
      <c r="I25502" s="227" t="str">
        <f>MID(excPisCofins[[#This Row],[CodBarras2]],2,50)</f>
        <v/>
      </c>
    </row>
    <row r="25503" spans="9:9" x14ac:dyDescent="0.25">
      <c r="I25503" s="227" t="str">
        <f>MID(excPisCofins[[#This Row],[CodBarras2]],2,50)</f>
        <v/>
      </c>
    </row>
    <row r="25504" spans="9:9" x14ac:dyDescent="0.25">
      <c r="I25504" s="227" t="str">
        <f>MID(excPisCofins[[#This Row],[CodBarras2]],2,50)</f>
        <v/>
      </c>
    </row>
    <row r="25505" spans="9:9" x14ac:dyDescent="0.25">
      <c r="I25505" s="227" t="str">
        <f>MID(excPisCofins[[#This Row],[CodBarras2]],2,50)</f>
        <v/>
      </c>
    </row>
    <row r="25506" spans="9:9" x14ac:dyDescent="0.25">
      <c r="I25506" s="227" t="str">
        <f>MID(excPisCofins[[#This Row],[CodBarras2]],2,50)</f>
        <v/>
      </c>
    </row>
    <row r="25507" spans="9:9" x14ac:dyDescent="0.25">
      <c r="I25507" s="227" t="str">
        <f>MID(excPisCofins[[#This Row],[CodBarras2]],2,50)</f>
        <v/>
      </c>
    </row>
    <row r="25508" spans="9:9" x14ac:dyDescent="0.25">
      <c r="I25508" s="227" t="str">
        <f>MID(excPisCofins[[#This Row],[CodBarras2]],2,50)</f>
        <v/>
      </c>
    </row>
    <row r="25509" spans="9:9" x14ac:dyDescent="0.25">
      <c r="I25509" s="227" t="str">
        <f>MID(excPisCofins[[#This Row],[CodBarras2]],2,50)</f>
        <v/>
      </c>
    </row>
    <row r="25510" spans="9:9" x14ac:dyDescent="0.25">
      <c r="I25510" s="227" t="str">
        <f>MID(excPisCofins[[#This Row],[CodBarras2]],2,50)</f>
        <v/>
      </c>
    </row>
    <row r="25511" spans="9:9" x14ac:dyDescent="0.25">
      <c r="I25511" s="227" t="str">
        <f>MID(excPisCofins[[#This Row],[CodBarras2]],2,50)</f>
        <v/>
      </c>
    </row>
    <row r="25512" spans="9:9" x14ac:dyDescent="0.25">
      <c r="I25512" s="227" t="str">
        <f>MID(excPisCofins[[#This Row],[CodBarras2]],2,50)</f>
        <v/>
      </c>
    </row>
    <row r="25513" spans="9:9" x14ac:dyDescent="0.25">
      <c r="I25513" s="227" t="str">
        <f>MID(excPisCofins[[#This Row],[CodBarras2]],2,50)</f>
        <v/>
      </c>
    </row>
    <row r="25514" spans="9:9" x14ac:dyDescent="0.25">
      <c r="I25514" s="227" t="str">
        <f>MID(excPisCofins[[#This Row],[CodBarras2]],2,50)</f>
        <v/>
      </c>
    </row>
    <row r="25515" spans="9:9" x14ac:dyDescent="0.25">
      <c r="I25515" s="227" t="str">
        <f>MID(excPisCofins[[#This Row],[CodBarras2]],2,50)</f>
        <v/>
      </c>
    </row>
    <row r="25516" spans="9:9" x14ac:dyDescent="0.25">
      <c r="I25516" s="227" t="str">
        <f>MID(excPisCofins[[#This Row],[CodBarras2]],2,50)</f>
        <v/>
      </c>
    </row>
    <row r="25517" spans="9:9" x14ac:dyDescent="0.25">
      <c r="I25517" s="227" t="str">
        <f>MID(excPisCofins[[#This Row],[CodBarras2]],2,50)</f>
        <v/>
      </c>
    </row>
    <row r="25518" spans="9:9" x14ac:dyDescent="0.25">
      <c r="I25518" s="227" t="str">
        <f>MID(excPisCofins[[#This Row],[CodBarras2]],2,50)</f>
        <v/>
      </c>
    </row>
    <row r="25519" spans="9:9" x14ac:dyDescent="0.25">
      <c r="I25519" s="227" t="str">
        <f>MID(excPisCofins[[#This Row],[CodBarras2]],2,50)</f>
        <v/>
      </c>
    </row>
    <row r="25520" spans="9:9" x14ac:dyDescent="0.25">
      <c r="I25520" s="227" t="str">
        <f>MID(excPisCofins[[#This Row],[CodBarras2]],2,50)</f>
        <v/>
      </c>
    </row>
    <row r="25521" spans="9:9" x14ac:dyDescent="0.25">
      <c r="I25521" s="227" t="str">
        <f>MID(excPisCofins[[#This Row],[CodBarras2]],2,50)</f>
        <v/>
      </c>
    </row>
    <row r="25522" spans="9:9" x14ac:dyDescent="0.25">
      <c r="I25522" s="227" t="str">
        <f>MID(excPisCofins[[#This Row],[CodBarras2]],2,50)</f>
        <v/>
      </c>
    </row>
    <row r="25523" spans="9:9" x14ac:dyDescent="0.25">
      <c r="I25523" s="227" t="str">
        <f>MID(excPisCofins[[#This Row],[CodBarras2]],2,50)</f>
        <v/>
      </c>
    </row>
    <row r="25524" spans="9:9" x14ac:dyDescent="0.25">
      <c r="I25524" s="227" t="str">
        <f>MID(excPisCofins[[#This Row],[CodBarras2]],2,50)</f>
        <v/>
      </c>
    </row>
    <row r="25525" spans="9:9" x14ac:dyDescent="0.25">
      <c r="I25525" s="227" t="str">
        <f>MID(excPisCofins[[#This Row],[CodBarras2]],2,50)</f>
        <v/>
      </c>
    </row>
    <row r="25526" spans="9:9" x14ac:dyDescent="0.25">
      <c r="I25526" s="227" t="str">
        <f>MID(excPisCofins[[#This Row],[CodBarras2]],2,50)</f>
        <v/>
      </c>
    </row>
    <row r="25527" spans="9:9" x14ac:dyDescent="0.25">
      <c r="I25527" s="227" t="str">
        <f>MID(excPisCofins[[#This Row],[CodBarras2]],2,50)</f>
        <v/>
      </c>
    </row>
    <row r="25528" spans="9:9" x14ac:dyDescent="0.25">
      <c r="I25528" s="227" t="str">
        <f>MID(excPisCofins[[#This Row],[CodBarras2]],2,50)</f>
        <v/>
      </c>
    </row>
    <row r="25529" spans="9:9" x14ac:dyDescent="0.25">
      <c r="I25529" s="227" t="str">
        <f>MID(excPisCofins[[#This Row],[CodBarras2]],2,50)</f>
        <v/>
      </c>
    </row>
    <row r="25530" spans="9:9" x14ac:dyDescent="0.25">
      <c r="I25530" s="227" t="str">
        <f>MID(excPisCofins[[#This Row],[CodBarras2]],2,50)</f>
        <v/>
      </c>
    </row>
    <row r="25531" spans="9:9" x14ac:dyDescent="0.25">
      <c r="I25531" s="227" t="str">
        <f>MID(excPisCofins[[#This Row],[CodBarras2]],2,50)</f>
        <v/>
      </c>
    </row>
    <row r="25532" spans="9:9" x14ac:dyDescent="0.25">
      <c r="I25532" s="227" t="str">
        <f>MID(excPisCofins[[#This Row],[CodBarras2]],2,50)</f>
        <v/>
      </c>
    </row>
    <row r="25533" spans="9:9" x14ac:dyDescent="0.25">
      <c r="I25533" s="227" t="str">
        <f>MID(excPisCofins[[#This Row],[CodBarras2]],2,50)</f>
        <v/>
      </c>
    </row>
    <row r="25534" spans="9:9" x14ac:dyDescent="0.25">
      <c r="I25534" s="227" t="str">
        <f>MID(excPisCofins[[#This Row],[CodBarras2]],2,50)</f>
        <v/>
      </c>
    </row>
    <row r="25535" spans="9:9" x14ac:dyDescent="0.25">
      <c r="I25535" s="227" t="str">
        <f>MID(excPisCofins[[#This Row],[CodBarras2]],2,50)</f>
        <v/>
      </c>
    </row>
    <row r="25536" spans="9:9" x14ac:dyDescent="0.25">
      <c r="I25536" s="227" t="str">
        <f>MID(excPisCofins[[#This Row],[CodBarras2]],2,50)</f>
        <v/>
      </c>
    </row>
    <row r="25537" spans="9:9" x14ac:dyDescent="0.25">
      <c r="I25537" s="227" t="str">
        <f>MID(excPisCofins[[#This Row],[CodBarras2]],2,50)</f>
        <v/>
      </c>
    </row>
    <row r="25538" spans="9:9" x14ac:dyDescent="0.25">
      <c r="I25538" s="227" t="str">
        <f>MID(excPisCofins[[#This Row],[CodBarras2]],2,50)</f>
        <v/>
      </c>
    </row>
    <row r="25539" spans="9:9" x14ac:dyDescent="0.25">
      <c r="I25539" s="227" t="str">
        <f>MID(excPisCofins[[#This Row],[CodBarras2]],2,50)</f>
        <v/>
      </c>
    </row>
    <row r="25540" spans="9:9" x14ac:dyDescent="0.25">
      <c r="I25540" s="227" t="str">
        <f>MID(excPisCofins[[#This Row],[CodBarras2]],2,50)</f>
        <v/>
      </c>
    </row>
    <row r="25541" spans="9:9" x14ac:dyDescent="0.25">
      <c r="I25541" s="227" t="str">
        <f>MID(excPisCofins[[#This Row],[CodBarras2]],2,50)</f>
        <v/>
      </c>
    </row>
    <row r="25542" spans="9:9" x14ac:dyDescent="0.25">
      <c r="I25542" s="227" t="str">
        <f>MID(excPisCofins[[#This Row],[CodBarras2]],2,50)</f>
        <v/>
      </c>
    </row>
    <row r="25543" spans="9:9" x14ac:dyDescent="0.25">
      <c r="I25543" s="227" t="str">
        <f>MID(excPisCofins[[#This Row],[CodBarras2]],2,50)</f>
        <v/>
      </c>
    </row>
    <row r="25544" spans="9:9" x14ac:dyDescent="0.25">
      <c r="I25544" s="227" t="str">
        <f>MID(excPisCofins[[#This Row],[CodBarras2]],2,50)</f>
        <v/>
      </c>
    </row>
    <row r="25545" spans="9:9" x14ac:dyDescent="0.25">
      <c r="I25545" s="227" t="str">
        <f>MID(excPisCofins[[#This Row],[CodBarras2]],2,50)</f>
        <v/>
      </c>
    </row>
    <row r="25546" spans="9:9" x14ac:dyDescent="0.25">
      <c r="I25546" s="227" t="str">
        <f>MID(excPisCofins[[#This Row],[CodBarras2]],2,50)</f>
        <v/>
      </c>
    </row>
    <row r="25547" spans="9:9" x14ac:dyDescent="0.25">
      <c r="I25547" s="227" t="str">
        <f>MID(excPisCofins[[#This Row],[CodBarras2]],2,50)</f>
        <v/>
      </c>
    </row>
    <row r="25548" spans="9:9" x14ac:dyDescent="0.25">
      <c r="I25548" s="227" t="str">
        <f>MID(excPisCofins[[#This Row],[CodBarras2]],2,50)</f>
        <v/>
      </c>
    </row>
    <row r="25549" spans="9:9" x14ac:dyDescent="0.25">
      <c r="I25549" s="227" t="str">
        <f>MID(excPisCofins[[#This Row],[CodBarras2]],2,50)</f>
        <v/>
      </c>
    </row>
    <row r="25550" spans="9:9" x14ac:dyDescent="0.25">
      <c r="I25550" s="227" t="str">
        <f>MID(excPisCofins[[#This Row],[CodBarras2]],2,50)</f>
        <v/>
      </c>
    </row>
    <row r="25551" spans="9:9" x14ac:dyDescent="0.25">
      <c r="I25551" s="227" t="str">
        <f>MID(excPisCofins[[#This Row],[CodBarras2]],2,50)</f>
        <v/>
      </c>
    </row>
    <row r="25552" spans="9:9" x14ac:dyDescent="0.25">
      <c r="I25552" s="227" t="str">
        <f>MID(excPisCofins[[#This Row],[CodBarras2]],2,50)</f>
        <v/>
      </c>
    </row>
    <row r="25553" spans="9:9" x14ac:dyDescent="0.25">
      <c r="I25553" s="227" t="str">
        <f>MID(excPisCofins[[#This Row],[CodBarras2]],2,50)</f>
        <v/>
      </c>
    </row>
    <row r="25554" spans="9:9" x14ac:dyDescent="0.25">
      <c r="I25554" s="227" t="str">
        <f>MID(excPisCofins[[#This Row],[CodBarras2]],2,50)</f>
        <v/>
      </c>
    </row>
    <row r="25555" spans="9:9" x14ac:dyDescent="0.25">
      <c r="I25555" s="227" t="str">
        <f>MID(excPisCofins[[#This Row],[CodBarras2]],2,50)</f>
        <v/>
      </c>
    </row>
    <row r="25556" spans="9:9" x14ac:dyDescent="0.25">
      <c r="I25556" s="227" t="str">
        <f>MID(excPisCofins[[#This Row],[CodBarras2]],2,50)</f>
        <v/>
      </c>
    </row>
    <row r="25557" spans="9:9" x14ac:dyDescent="0.25">
      <c r="I25557" s="227" t="str">
        <f>MID(excPisCofins[[#This Row],[CodBarras2]],2,50)</f>
        <v/>
      </c>
    </row>
    <row r="25558" spans="9:9" x14ac:dyDescent="0.25">
      <c r="I25558" s="227" t="str">
        <f>MID(excPisCofins[[#This Row],[CodBarras2]],2,50)</f>
        <v/>
      </c>
    </row>
    <row r="25559" spans="9:9" x14ac:dyDescent="0.25">
      <c r="I25559" s="227" t="str">
        <f>MID(excPisCofins[[#This Row],[CodBarras2]],2,50)</f>
        <v/>
      </c>
    </row>
    <row r="25560" spans="9:9" x14ac:dyDescent="0.25">
      <c r="I25560" s="227" t="str">
        <f>MID(excPisCofins[[#This Row],[CodBarras2]],2,50)</f>
        <v/>
      </c>
    </row>
    <row r="25561" spans="9:9" x14ac:dyDescent="0.25">
      <c r="I25561" s="227" t="str">
        <f>MID(excPisCofins[[#This Row],[CodBarras2]],2,50)</f>
        <v/>
      </c>
    </row>
    <row r="25562" spans="9:9" x14ac:dyDescent="0.25">
      <c r="I25562" s="227" t="str">
        <f>MID(excPisCofins[[#This Row],[CodBarras2]],2,50)</f>
        <v/>
      </c>
    </row>
    <row r="25563" spans="9:9" x14ac:dyDescent="0.25">
      <c r="I25563" s="227" t="str">
        <f>MID(excPisCofins[[#This Row],[CodBarras2]],2,50)</f>
        <v/>
      </c>
    </row>
    <row r="25564" spans="9:9" x14ac:dyDescent="0.25">
      <c r="I25564" s="227" t="str">
        <f>MID(excPisCofins[[#This Row],[CodBarras2]],2,50)</f>
        <v/>
      </c>
    </row>
    <row r="25565" spans="9:9" x14ac:dyDescent="0.25">
      <c r="I25565" s="227" t="str">
        <f>MID(excPisCofins[[#This Row],[CodBarras2]],2,50)</f>
        <v/>
      </c>
    </row>
    <row r="25566" spans="9:9" x14ac:dyDescent="0.25">
      <c r="I25566" s="227" t="str">
        <f>MID(excPisCofins[[#This Row],[CodBarras2]],2,50)</f>
        <v/>
      </c>
    </row>
    <row r="25567" spans="9:9" x14ac:dyDescent="0.25">
      <c r="I25567" s="227" t="str">
        <f>MID(excPisCofins[[#This Row],[CodBarras2]],2,50)</f>
        <v/>
      </c>
    </row>
    <row r="25568" spans="9:9" x14ac:dyDescent="0.25">
      <c r="I25568" s="227" t="str">
        <f>MID(excPisCofins[[#This Row],[CodBarras2]],2,50)</f>
        <v/>
      </c>
    </row>
    <row r="25569" spans="9:9" x14ac:dyDescent="0.25">
      <c r="I25569" s="227" t="str">
        <f>MID(excPisCofins[[#This Row],[CodBarras2]],2,50)</f>
        <v/>
      </c>
    </row>
    <row r="25570" spans="9:9" x14ac:dyDescent="0.25">
      <c r="I25570" s="227" t="str">
        <f>MID(excPisCofins[[#This Row],[CodBarras2]],2,50)</f>
        <v/>
      </c>
    </row>
    <row r="25571" spans="9:9" x14ac:dyDescent="0.25">
      <c r="I25571" s="227" t="str">
        <f>MID(excPisCofins[[#This Row],[CodBarras2]],2,50)</f>
        <v/>
      </c>
    </row>
    <row r="25572" spans="9:9" x14ac:dyDescent="0.25">
      <c r="I25572" s="227" t="str">
        <f>MID(excPisCofins[[#This Row],[CodBarras2]],2,50)</f>
        <v/>
      </c>
    </row>
    <row r="25573" spans="9:9" x14ac:dyDescent="0.25">
      <c r="I25573" s="227" t="str">
        <f>MID(excPisCofins[[#This Row],[CodBarras2]],2,50)</f>
        <v/>
      </c>
    </row>
    <row r="25574" spans="9:9" x14ac:dyDescent="0.25">
      <c r="I25574" s="227" t="str">
        <f>MID(excPisCofins[[#This Row],[CodBarras2]],2,50)</f>
        <v/>
      </c>
    </row>
    <row r="25575" spans="9:9" x14ac:dyDescent="0.25">
      <c r="I25575" s="227" t="str">
        <f>MID(excPisCofins[[#This Row],[CodBarras2]],2,50)</f>
        <v/>
      </c>
    </row>
    <row r="25576" spans="9:9" x14ac:dyDescent="0.25">
      <c r="I25576" s="227" t="str">
        <f>MID(excPisCofins[[#This Row],[CodBarras2]],2,50)</f>
        <v/>
      </c>
    </row>
    <row r="25577" spans="9:9" x14ac:dyDescent="0.25">
      <c r="I25577" s="227" t="str">
        <f>MID(excPisCofins[[#This Row],[CodBarras2]],2,50)</f>
        <v/>
      </c>
    </row>
    <row r="25578" spans="9:9" x14ac:dyDescent="0.25">
      <c r="I25578" s="227" t="str">
        <f>MID(excPisCofins[[#This Row],[CodBarras2]],2,50)</f>
        <v/>
      </c>
    </row>
    <row r="25579" spans="9:9" x14ac:dyDescent="0.25">
      <c r="I25579" s="227" t="str">
        <f>MID(excPisCofins[[#This Row],[CodBarras2]],2,50)</f>
        <v/>
      </c>
    </row>
    <row r="25580" spans="9:9" x14ac:dyDescent="0.25">
      <c r="I25580" s="227" t="str">
        <f>MID(excPisCofins[[#This Row],[CodBarras2]],2,50)</f>
        <v/>
      </c>
    </row>
    <row r="25581" spans="9:9" x14ac:dyDescent="0.25">
      <c r="I25581" s="227" t="str">
        <f>MID(excPisCofins[[#This Row],[CodBarras2]],2,50)</f>
        <v/>
      </c>
    </row>
    <row r="25582" spans="9:9" x14ac:dyDescent="0.25">
      <c r="I25582" s="227" t="str">
        <f>MID(excPisCofins[[#This Row],[CodBarras2]],2,50)</f>
        <v/>
      </c>
    </row>
    <row r="25583" spans="9:9" x14ac:dyDescent="0.25">
      <c r="I25583" s="227" t="str">
        <f>MID(excPisCofins[[#This Row],[CodBarras2]],2,50)</f>
        <v/>
      </c>
    </row>
    <row r="25584" spans="9:9" x14ac:dyDescent="0.25">
      <c r="I25584" s="227" t="str">
        <f>MID(excPisCofins[[#This Row],[CodBarras2]],2,50)</f>
        <v/>
      </c>
    </row>
    <row r="25585" spans="9:9" x14ac:dyDescent="0.25">
      <c r="I25585" s="227" t="str">
        <f>MID(excPisCofins[[#This Row],[CodBarras2]],2,50)</f>
        <v/>
      </c>
    </row>
    <row r="25586" spans="9:9" x14ac:dyDescent="0.25">
      <c r="I25586" s="227" t="str">
        <f>MID(excPisCofins[[#This Row],[CodBarras2]],2,50)</f>
        <v/>
      </c>
    </row>
    <row r="25587" spans="9:9" x14ac:dyDescent="0.25">
      <c r="I25587" s="227" t="str">
        <f>MID(excPisCofins[[#This Row],[CodBarras2]],2,50)</f>
        <v/>
      </c>
    </row>
    <row r="25588" spans="9:9" x14ac:dyDescent="0.25">
      <c r="I25588" s="227" t="str">
        <f>MID(excPisCofins[[#This Row],[CodBarras2]],2,50)</f>
        <v/>
      </c>
    </row>
    <row r="25589" spans="9:9" x14ac:dyDescent="0.25">
      <c r="I25589" s="227" t="str">
        <f>MID(excPisCofins[[#This Row],[CodBarras2]],2,50)</f>
        <v/>
      </c>
    </row>
    <row r="25590" spans="9:9" x14ac:dyDescent="0.25">
      <c r="I25590" s="227" t="str">
        <f>MID(excPisCofins[[#This Row],[CodBarras2]],2,50)</f>
        <v/>
      </c>
    </row>
    <row r="25591" spans="9:9" x14ac:dyDescent="0.25">
      <c r="I25591" s="227" t="str">
        <f>MID(excPisCofins[[#This Row],[CodBarras2]],2,50)</f>
        <v/>
      </c>
    </row>
    <row r="25592" spans="9:9" x14ac:dyDescent="0.25">
      <c r="I25592" s="227" t="str">
        <f>MID(excPisCofins[[#This Row],[CodBarras2]],2,50)</f>
        <v/>
      </c>
    </row>
    <row r="25593" spans="9:9" x14ac:dyDescent="0.25">
      <c r="I25593" s="227" t="str">
        <f>MID(excPisCofins[[#This Row],[CodBarras2]],2,50)</f>
        <v/>
      </c>
    </row>
    <row r="25594" spans="9:9" x14ac:dyDescent="0.25">
      <c r="I25594" s="227" t="str">
        <f>MID(excPisCofins[[#This Row],[CodBarras2]],2,50)</f>
        <v/>
      </c>
    </row>
    <row r="25595" spans="9:9" x14ac:dyDescent="0.25">
      <c r="I25595" s="227" t="str">
        <f>MID(excPisCofins[[#This Row],[CodBarras2]],2,50)</f>
        <v/>
      </c>
    </row>
    <row r="25596" spans="9:9" x14ac:dyDescent="0.25">
      <c r="I25596" s="227" t="str">
        <f>MID(excPisCofins[[#This Row],[CodBarras2]],2,50)</f>
        <v/>
      </c>
    </row>
    <row r="25597" spans="9:9" x14ac:dyDescent="0.25">
      <c r="I25597" s="227" t="str">
        <f>MID(excPisCofins[[#This Row],[CodBarras2]],2,50)</f>
        <v/>
      </c>
    </row>
    <row r="25598" spans="9:9" x14ac:dyDescent="0.25">
      <c r="I25598" s="227" t="str">
        <f>MID(excPisCofins[[#This Row],[CodBarras2]],2,50)</f>
        <v/>
      </c>
    </row>
    <row r="25599" spans="9:9" x14ac:dyDescent="0.25">
      <c r="I25599" s="227" t="str">
        <f>MID(excPisCofins[[#This Row],[CodBarras2]],2,50)</f>
        <v/>
      </c>
    </row>
    <row r="25600" spans="9:9" x14ac:dyDescent="0.25">
      <c r="I25600" s="227" t="str">
        <f>MID(excPisCofins[[#This Row],[CodBarras2]],2,50)</f>
        <v/>
      </c>
    </row>
    <row r="25601" spans="9:9" x14ac:dyDescent="0.25">
      <c r="I25601" s="227" t="str">
        <f>MID(excPisCofins[[#This Row],[CodBarras2]],2,50)</f>
        <v/>
      </c>
    </row>
    <row r="25602" spans="9:9" x14ac:dyDescent="0.25">
      <c r="I25602" s="227" t="str">
        <f>MID(excPisCofins[[#This Row],[CodBarras2]],2,50)</f>
        <v/>
      </c>
    </row>
    <row r="25603" spans="9:9" x14ac:dyDescent="0.25">
      <c r="I25603" s="227" t="str">
        <f>MID(excPisCofins[[#This Row],[CodBarras2]],2,50)</f>
        <v/>
      </c>
    </row>
    <row r="25604" spans="9:9" x14ac:dyDescent="0.25">
      <c r="I25604" s="227" t="str">
        <f>MID(excPisCofins[[#This Row],[CodBarras2]],2,50)</f>
        <v/>
      </c>
    </row>
    <row r="25605" spans="9:9" x14ac:dyDescent="0.25">
      <c r="I25605" s="227" t="str">
        <f>MID(excPisCofins[[#This Row],[CodBarras2]],2,50)</f>
        <v/>
      </c>
    </row>
    <row r="25606" spans="9:9" x14ac:dyDescent="0.25">
      <c r="I25606" s="227" t="str">
        <f>MID(excPisCofins[[#This Row],[CodBarras2]],2,50)</f>
        <v/>
      </c>
    </row>
    <row r="25607" spans="9:9" x14ac:dyDescent="0.25">
      <c r="I25607" s="227" t="str">
        <f>MID(excPisCofins[[#This Row],[CodBarras2]],2,50)</f>
        <v/>
      </c>
    </row>
    <row r="25608" spans="9:9" x14ac:dyDescent="0.25">
      <c r="I25608" s="227" t="str">
        <f>MID(excPisCofins[[#This Row],[CodBarras2]],2,50)</f>
        <v/>
      </c>
    </row>
    <row r="25609" spans="9:9" x14ac:dyDescent="0.25">
      <c r="I25609" s="227" t="str">
        <f>MID(excPisCofins[[#This Row],[CodBarras2]],2,50)</f>
        <v/>
      </c>
    </row>
    <row r="25610" spans="9:9" x14ac:dyDescent="0.25">
      <c r="I25610" s="227" t="str">
        <f>MID(excPisCofins[[#This Row],[CodBarras2]],2,50)</f>
        <v/>
      </c>
    </row>
    <row r="25611" spans="9:9" x14ac:dyDescent="0.25">
      <c r="I25611" s="227" t="str">
        <f>MID(excPisCofins[[#This Row],[CodBarras2]],2,50)</f>
        <v/>
      </c>
    </row>
    <row r="25612" spans="9:9" x14ac:dyDescent="0.25">
      <c r="I25612" s="227" t="str">
        <f>MID(excPisCofins[[#This Row],[CodBarras2]],2,50)</f>
        <v/>
      </c>
    </row>
    <row r="25613" spans="9:9" x14ac:dyDescent="0.25">
      <c r="I25613" s="227" t="str">
        <f>MID(excPisCofins[[#This Row],[CodBarras2]],2,50)</f>
        <v/>
      </c>
    </row>
    <row r="25614" spans="9:9" x14ac:dyDescent="0.25">
      <c r="I25614" s="227" t="str">
        <f>MID(excPisCofins[[#This Row],[CodBarras2]],2,50)</f>
        <v/>
      </c>
    </row>
    <row r="25615" spans="9:9" x14ac:dyDescent="0.25">
      <c r="I25615" s="227" t="str">
        <f>MID(excPisCofins[[#This Row],[CodBarras2]],2,50)</f>
        <v/>
      </c>
    </row>
    <row r="25616" spans="9:9" x14ac:dyDescent="0.25">
      <c r="I25616" s="227" t="str">
        <f>MID(excPisCofins[[#This Row],[CodBarras2]],2,50)</f>
        <v/>
      </c>
    </row>
    <row r="25617" spans="9:9" x14ac:dyDescent="0.25">
      <c r="I25617" s="227" t="str">
        <f>MID(excPisCofins[[#This Row],[CodBarras2]],2,50)</f>
        <v/>
      </c>
    </row>
    <row r="25618" spans="9:9" x14ac:dyDescent="0.25">
      <c r="I25618" s="227" t="str">
        <f>MID(excPisCofins[[#This Row],[CodBarras2]],2,50)</f>
        <v/>
      </c>
    </row>
    <row r="25619" spans="9:9" x14ac:dyDescent="0.25">
      <c r="I25619" s="227" t="str">
        <f>MID(excPisCofins[[#This Row],[CodBarras2]],2,50)</f>
        <v/>
      </c>
    </row>
    <row r="25620" spans="9:9" x14ac:dyDescent="0.25">
      <c r="I25620" s="227" t="str">
        <f>MID(excPisCofins[[#This Row],[CodBarras2]],2,50)</f>
        <v/>
      </c>
    </row>
    <row r="25621" spans="9:9" x14ac:dyDescent="0.25">
      <c r="I25621" s="227" t="str">
        <f>MID(excPisCofins[[#This Row],[CodBarras2]],2,50)</f>
        <v/>
      </c>
    </row>
    <row r="25622" spans="9:9" x14ac:dyDescent="0.25">
      <c r="I25622" s="227" t="str">
        <f>MID(excPisCofins[[#This Row],[CodBarras2]],2,50)</f>
        <v/>
      </c>
    </row>
    <row r="25623" spans="9:9" x14ac:dyDescent="0.25">
      <c r="I25623" s="227" t="str">
        <f>MID(excPisCofins[[#This Row],[CodBarras2]],2,50)</f>
        <v/>
      </c>
    </row>
    <row r="25624" spans="9:9" x14ac:dyDescent="0.25">
      <c r="I25624" s="227" t="str">
        <f>MID(excPisCofins[[#This Row],[CodBarras2]],2,50)</f>
        <v/>
      </c>
    </row>
    <row r="25625" spans="9:9" x14ac:dyDescent="0.25">
      <c r="I25625" s="227" t="str">
        <f>MID(excPisCofins[[#This Row],[CodBarras2]],2,50)</f>
        <v/>
      </c>
    </row>
    <row r="25626" spans="9:9" x14ac:dyDescent="0.25">
      <c r="I25626" s="227" t="str">
        <f>MID(excPisCofins[[#This Row],[CodBarras2]],2,50)</f>
        <v/>
      </c>
    </row>
    <row r="25627" spans="9:9" x14ac:dyDescent="0.25">
      <c r="I25627" s="227" t="str">
        <f>MID(excPisCofins[[#This Row],[CodBarras2]],2,50)</f>
        <v/>
      </c>
    </row>
    <row r="25628" spans="9:9" x14ac:dyDescent="0.25">
      <c r="I25628" s="227" t="str">
        <f>MID(excPisCofins[[#This Row],[CodBarras2]],2,50)</f>
        <v/>
      </c>
    </row>
    <row r="25629" spans="9:9" x14ac:dyDescent="0.25">
      <c r="I25629" s="227" t="str">
        <f>MID(excPisCofins[[#This Row],[CodBarras2]],2,50)</f>
        <v/>
      </c>
    </row>
    <row r="25630" spans="9:9" x14ac:dyDescent="0.25">
      <c r="I25630" s="227" t="str">
        <f>MID(excPisCofins[[#This Row],[CodBarras2]],2,50)</f>
        <v/>
      </c>
    </row>
    <row r="25631" spans="9:9" x14ac:dyDescent="0.25">
      <c r="I25631" s="227" t="str">
        <f>MID(excPisCofins[[#This Row],[CodBarras2]],2,50)</f>
        <v/>
      </c>
    </row>
    <row r="25632" spans="9:9" x14ac:dyDescent="0.25">
      <c r="I25632" s="227" t="str">
        <f>MID(excPisCofins[[#This Row],[CodBarras2]],2,50)</f>
        <v/>
      </c>
    </row>
    <row r="25633" spans="9:9" x14ac:dyDescent="0.25">
      <c r="I25633" s="227" t="str">
        <f>MID(excPisCofins[[#This Row],[CodBarras2]],2,50)</f>
        <v/>
      </c>
    </row>
    <row r="25634" spans="9:9" x14ac:dyDescent="0.25">
      <c r="I25634" s="227" t="str">
        <f>MID(excPisCofins[[#This Row],[CodBarras2]],2,50)</f>
        <v/>
      </c>
    </row>
    <row r="25635" spans="9:9" x14ac:dyDescent="0.25">
      <c r="I25635" s="227" t="str">
        <f>MID(excPisCofins[[#This Row],[CodBarras2]],2,50)</f>
        <v/>
      </c>
    </row>
    <row r="25636" spans="9:9" x14ac:dyDescent="0.25">
      <c r="I25636" s="227" t="str">
        <f>MID(excPisCofins[[#This Row],[CodBarras2]],2,50)</f>
        <v/>
      </c>
    </row>
    <row r="25637" spans="9:9" x14ac:dyDescent="0.25">
      <c r="I25637" s="227" t="str">
        <f>MID(excPisCofins[[#This Row],[CodBarras2]],2,50)</f>
        <v/>
      </c>
    </row>
    <row r="25638" spans="9:9" x14ac:dyDescent="0.25">
      <c r="I25638" s="227" t="str">
        <f>MID(excPisCofins[[#This Row],[CodBarras2]],2,50)</f>
        <v/>
      </c>
    </row>
    <row r="25639" spans="9:9" x14ac:dyDescent="0.25">
      <c r="I25639" s="227" t="str">
        <f>MID(excPisCofins[[#This Row],[CodBarras2]],2,50)</f>
        <v/>
      </c>
    </row>
    <row r="25640" spans="9:9" x14ac:dyDescent="0.25">
      <c r="I25640" s="227" t="str">
        <f>MID(excPisCofins[[#This Row],[CodBarras2]],2,50)</f>
        <v/>
      </c>
    </row>
    <row r="25641" spans="9:9" x14ac:dyDescent="0.25">
      <c r="I25641" s="227" t="str">
        <f>MID(excPisCofins[[#This Row],[CodBarras2]],2,50)</f>
        <v/>
      </c>
    </row>
    <row r="25642" spans="9:9" x14ac:dyDescent="0.25">
      <c r="I25642" s="227" t="str">
        <f>MID(excPisCofins[[#This Row],[CodBarras2]],2,50)</f>
        <v/>
      </c>
    </row>
    <row r="25643" spans="9:9" x14ac:dyDescent="0.25">
      <c r="I25643" s="227" t="str">
        <f>MID(excPisCofins[[#This Row],[CodBarras2]],2,50)</f>
        <v/>
      </c>
    </row>
    <row r="25644" spans="9:9" x14ac:dyDescent="0.25">
      <c r="I25644" s="227" t="str">
        <f>MID(excPisCofins[[#This Row],[CodBarras2]],2,50)</f>
        <v/>
      </c>
    </row>
    <row r="25645" spans="9:9" x14ac:dyDescent="0.25">
      <c r="I25645" s="227" t="str">
        <f>MID(excPisCofins[[#This Row],[CodBarras2]],2,50)</f>
        <v/>
      </c>
    </row>
    <row r="25646" spans="9:9" x14ac:dyDescent="0.25">
      <c r="I25646" s="227" t="str">
        <f>MID(excPisCofins[[#This Row],[CodBarras2]],2,50)</f>
        <v/>
      </c>
    </row>
    <row r="25647" spans="9:9" x14ac:dyDescent="0.25">
      <c r="I25647" s="227" t="str">
        <f>MID(excPisCofins[[#This Row],[CodBarras2]],2,50)</f>
        <v/>
      </c>
    </row>
    <row r="25648" spans="9:9" x14ac:dyDescent="0.25">
      <c r="I25648" s="227" t="str">
        <f>MID(excPisCofins[[#This Row],[CodBarras2]],2,50)</f>
        <v/>
      </c>
    </row>
    <row r="25649" spans="9:9" x14ac:dyDescent="0.25">
      <c r="I25649" s="227" t="str">
        <f>MID(excPisCofins[[#This Row],[CodBarras2]],2,50)</f>
        <v/>
      </c>
    </row>
    <row r="25650" spans="9:9" x14ac:dyDescent="0.25">
      <c r="I25650" s="227" t="str">
        <f>MID(excPisCofins[[#This Row],[CodBarras2]],2,50)</f>
        <v/>
      </c>
    </row>
    <row r="25651" spans="9:9" x14ac:dyDescent="0.25">
      <c r="I25651" s="227" t="str">
        <f>MID(excPisCofins[[#This Row],[CodBarras2]],2,50)</f>
        <v/>
      </c>
    </row>
    <row r="25652" spans="9:9" x14ac:dyDescent="0.25">
      <c r="I25652" s="227" t="str">
        <f>MID(excPisCofins[[#This Row],[CodBarras2]],2,50)</f>
        <v/>
      </c>
    </row>
    <row r="25653" spans="9:9" x14ac:dyDescent="0.25">
      <c r="I25653" s="227" t="str">
        <f>MID(excPisCofins[[#This Row],[CodBarras2]],2,50)</f>
        <v/>
      </c>
    </row>
    <row r="25654" spans="9:9" x14ac:dyDescent="0.25">
      <c r="I25654" s="227" t="str">
        <f>MID(excPisCofins[[#This Row],[CodBarras2]],2,50)</f>
        <v/>
      </c>
    </row>
    <row r="25655" spans="9:9" x14ac:dyDescent="0.25">
      <c r="I25655" s="227" t="str">
        <f>MID(excPisCofins[[#This Row],[CodBarras2]],2,50)</f>
        <v/>
      </c>
    </row>
    <row r="25656" spans="9:9" x14ac:dyDescent="0.25">
      <c r="I25656" s="227" t="str">
        <f>MID(excPisCofins[[#This Row],[CodBarras2]],2,50)</f>
        <v/>
      </c>
    </row>
    <row r="25657" spans="9:9" x14ac:dyDescent="0.25">
      <c r="I25657" s="227" t="str">
        <f>MID(excPisCofins[[#This Row],[CodBarras2]],2,50)</f>
        <v/>
      </c>
    </row>
    <row r="25658" spans="9:9" x14ac:dyDescent="0.25">
      <c r="I25658" s="227" t="str">
        <f>MID(excPisCofins[[#This Row],[CodBarras2]],2,50)</f>
        <v/>
      </c>
    </row>
    <row r="25659" spans="9:9" x14ac:dyDescent="0.25">
      <c r="I25659" s="227" t="str">
        <f>MID(excPisCofins[[#This Row],[CodBarras2]],2,50)</f>
        <v/>
      </c>
    </row>
    <row r="25660" spans="9:9" x14ac:dyDescent="0.25">
      <c r="I25660" s="227" t="str">
        <f>MID(excPisCofins[[#This Row],[CodBarras2]],2,50)</f>
        <v/>
      </c>
    </row>
    <row r="25661" spans="9:9" x14ac:dyDescent="0.25">
      <c r="I25661" s="227" t="str">
        <f>MID(excPisCofins[[#This Row],[CodBarras2]],2,50)</f>
        <v/>
      </c>
    </row>
    <row r="25662" spans="9:9" x14ac:dyDescent="0.25">
      <c r="I25662" s="227" t="str">
        <f>MID(excPisCofins[[#This Row],[CodBarras2]],2,50)</f>
        <v/>
      </c>
    </row>
    <row r="25663" spans="9:9" x14ac:dyDescent="0.25">
      <c r="I25663" s="227" t="str">
        <f>MID(excPisCofins[[#This Row],[CodBarras2]],2,50)</f>
        <v/>
      </c>
    </row>
    <row r="25664" spans="9:9" x14ac:dyDescent="0.25">
      <c r="I25664" s="227" t="str">
        <f>MID(excPisCofins[[#This Row],[CodBarras2]],2,50)</f>
        <v/>
      </c>
    </row>
    <row r="25665" spans="9:9" x14ac:dyDescent="0.25">
      <c r="I25665" s="227" t="str">
        <f>MID(excPisCofins[[#This Row],[CodBarras2]],2,50)</f>
        <v/>
      </c>
    </row>
    <row r="25666" spans="9:9" x14ac:dyDescent="0.25">
      <c r="I25666" s="227" t="str">
        <f>MID(excPisCofins[[#This Row],[CodBarras2]],2,50)</f>
        <v/>
      </c>
    </row>
    <row r="25667" spans="9:9" x14ac:dyDescent="0.25">
      <c r="I25667" s="227" t="str">
        <f>MID(excPisCofins[[#This Row],[CodBarras2]],2,50)</f>
        <v/>
      </c>
    </row>
    <row r="25668" spans="9:9" x14ac:dyDescent="0.25">
      <c r="I25668" s="227" t="str">
        <f>MID(excPisCofins[[#This Row],[CodBarras2]],2,50)</f>
        <v/>
      </c>
    </row>
    <row r="25669" spans="9:9" x14ac:dyDescent="0.25">
      <c r="I25669" s="227" t="str">
        <f>MID(excPisCofins[[#This Row],[CodBarras2]],2,50)</f>
        <v/>
      </c>
    </row>
    <row r="25670" spans="9:9" x14ac:dyDescent="0.25">
      <c r="I25670" s="227" t="str">
        <f>MID(excPisCofins[[#This Row],[CodBarras2]],2,50)</f>
        <v/>
      </c>
    </row>
    <row r="25671" spans="9:9" x14ac:dyDescent="0.25">
      <c r="I25671" s="227" t="str">
        <f>MID(excPisCofins[[#This Row],[CodBarras2]],2,50)</f>
        <v/>
      </c>
    </row>
    <row r="25672" spans="9:9" x14ac:dyDescent="0.25">
      <c r="I25672" s="227" t="str">
        <f>MID(excPisCofins[[#This Row],[CodBarras2]],2,50)</f>
        <v/>
      </c>
    </row>
    <row r="25673" spans="9:9" x14ac:dyDescent="0.25">
      <c r="I25673" s="227" t="str">
        <f>MID(excPisCofins[[#This Row],[CodBarras2]],2,50)</f>
        <v/>
      </c>
    </row>
    <row r="25674" spans="9:9" x14ac:dyDescent="0.25">
      <c r="I25674" s="227" t="str">
        <f>MID(excPisCofins[[#This Row],[CodBarras2]],2,50)</f>
        <v/>
      </c>
    </row>
    <row r="25675" spans="9:9" x14ac:dyDescent="0.25">
      <c r="I25675" s="227" t="str">
        <f>MID(excPisCofins[[#This Row],[CodBarras2]],2,50)</f>
        <v/>
      </c>
    </row>
    <row r="25676" spans="9:9" x14ac:dyDescent="0.25">
      <c r="I25676" s="227" t="str">
        <f>MID(excPisCofins[[#This Row],[CodBarras2]],2,50)</f>
        <v/>
      </c>
    </row>
    <row r="25677" spans="9:9" x14ac:dyDescent="0.25">
      <c r="I25677" s="227" t="str">
        <f>MID(excPisCofins[[#This Row],[CodBarras2]],2,50)</f>
        <v/>
      </c>
    </row>
    <row r="25678" spans="9:9" x14ac:dyDescent="0.25">
      <c r="I25678" s="227" t="str">
        <f>MID(excPisCofins[[#This Row],[CodBarras2]],2,50)</f>
        <v/>
      </c>
    </row>
    <row r="25679" spans="9:9" x14ac:dyDescent="0.25">
      <c r="I25679" s="227" t="str">
        <f>MID(excPisCofins[[#This Row],[CodBarras2]],2,50)</f>
        <v/>
      </c>
    </row>
    <row r="25680" spans="9:9" x14ac:dyDescent="0.25">
      <c r="I25680" s="227" t="str">
        <f>MID(excPisCofins[[#This Row],[CodBarras2]],2,50)</f>
        <v/>
      </c>
    </row>
    <row r="25681" spans="9:9" x14ac:dyDescent="0.25">
      <c r="I25681" s="227" t="str">
        <f>MID(excPisCofins[[#This Row],[CodBarras2]],2,50)</f>
        <v/>
      </c>
    </row>
    <row r="25682" spans="9:9" x14ac:dyDescent="0.25">
      <c r="I25682" s="227" t="str">
        <f>MID(excPisCofins[[#This Row],[CodBarras2]],2,50)</f>
        <v/>
      </c>
    </row>
    <row r="25683" spans="9:9" x14ac:dyDescent="0.25">
      <c r="I25683" s="227" t="str">
        <f>MID(excPisCofins[[#This Row],[CodBarras2]],2,50)</f>
        <v/>
      </c>
    </row>
    <row r="25684" spans="9:9" x14ac:dyDescent="0.25">
      <c r="I25684" s="227" t="str">
        <f>MID(excPisCofins[[#This Row],[CodBarras2]],2,50)</f>
        <v/>
      </c>
    </row>
    <row r="25685" spans="9:9" x14ac:dyDescent="0.25">
      <c r="I25685" s="227" t="str">
        <f>MID(excPisCofins[[#This Row],[CodBarras2]],2,50)</f>
        <v/>
      </c>
    </row>
    <row r="25686" spans="9:9" x14ac:dyDescent="0.25">
      <c r="I25686" s="227" t="str">
        <f>MID(excPisCofins[[#This Row],[CodBarras2]],2,50)</f>
        <v/>
      </c>
    </row>
    <row r="25687" spans="9:9" x14ac:dyDescent="0.25">
      <c r="I25687" s="227" t="str">
        <f>MID(excPisCofins[[#This Row],[CodBarras2]],2,50)</f>
        <v/>
      </c>
    </row>
    <row r="25688" spans="9:9" x14ac:dyDescent="0.25">
      <c r="I25688" s="227" t="str">
        <f>MID(excPisCofins[[#This Row],[CodBarras2]],2,50)</f>
        <v/>
      </c>
    </row>
    <row r="25689" spans="9:9" x14ac:dyDescent="0.25">
      <c r="I25689" s="227" t="str">
        <f>MID(excPisCofins[[#This Row],[CodBarras2]],2,50)</f>
        <v/>
      </c>
    </row>
    <row r="25690" spans="9:9" x14ac:dyDescent="0.25">
      <c r="I25690" s="227" t="str">
        <f>MID(excPisCofins[[#This Row],[CodBarras2]],2,50)</f>
        <v/>
      </c>
    </row>
    <row r="25691" spans="9:9" x14ac:dyDescent="0.25">
      <c r="I25691" s="227" t="str">
        <f>MID(excPisCofins[[#This Row],[CodBarras2]],2,50)</f>
        <v/>
      </c>
    </row>
    <row r="25692" spans="9:9" x14ac:dyDescent="0.25">
      <c r="I25692" s="227" t="str">
        <f>MID(excPisCofins[[#This Row],[CodBarras2]],2,50)</f>
        <v/>
      </c>
    </row>
    <row r="25693" spans="9:9" x14ac:dyDescent="0.25">
      <c r="I25693" s="227" t="str">
        <f>MID(excPisCofins[[#This Row],[CodBarras2]],2,50)</f>
        <v/>
      </c>
    </row>
    <row r="25694" spans="9:9" x14ac:dyDescent="0.25">
      <c r="I25694" s="227" t="str">
        <f>MID(excPisCofins[[#This Row],[CodBarras2]],2,50)</f>
        <v/>
      </c>
    </row>
    <row r="25695" spans="9:9" x14ac:dyDescent="0.25">
      <c r="I25695" s="227" t="str">
        <f>MID(excPisCofins[[#This Row],[CodBarras2]],2,50)</f>
        <v/>
      </c>
    </row>
    <row r="25696" spans="9:9" x14ac:dyDescent="0.25">
      <c r="I25696" s="227" t="str">
        <f>MID(excPisCofins[[#This Row],[CodBarras2]],2,50)</f>
        <v/>
      </c>
    </row>
    <row r="25697" spans="9:9" x14ac:dyDescent="0.25">
      <c r="I25697" s="227" t="str">
        <f>MID(excPisCofins[[#This Row],[CodBarras2]],2,50)</f>
        <v/>
      </c>
    </row>
    <row r="25698" spans="9:9" x14ac:dyDescent="0.25">
      <c r="I25698" s="227" t="str">
        <f>MID(excPisCofins[[#This Row],[CodBarras2]],2,50)</f>
        <v/>
      </c>
    </row>
    <row r="25699" spans="9:9" x14ac:dyDescent="0.25">
      <c r="I25699" s="227" t="str">
        <f>MID(excPisCofins[[#This Row],[CodBarras2]],2,50)</f>
        <v/>
      </c>
    </row>
    <row r="25700" spans="9:9" x14ac:dyDescent="0.25">
      <c r="I25700" s="227" t="str">
        <f>MID(excPisCofins[[#This Row],[CodBarras2]],2,50)</f>
        <v/>
      </c>
    </row>
    <row r="25701" spans="9:9" x14ac:dyDescent="0.25">
      <c r="I25701" s="227" t="str">
        <f>MID(excPisCofins[[#This Row],[CodBarras2]],2,50)</f>
        <v/>
      </c>
    </row>
    <row r="25702" spans="9:9" x14ac:dyDescent="0.25">
      <c r="I25702" s="227" t="str">
        <f>MID(excPisCofins[[#This Row],[CodBarras2]],2,50)</f>
        <v/>
      </c>
    </row>
    <row r="25703" spans="9:9" x14ac:dyDescent="0.25">
      <c r="I25703" s="227" t="str">
        <f>MID(excPisCofins[[#This Row],[CodBarras2]],2,50)</f>
        <v/>
      </c>
    </row>
    <row r="25704" spans="9:9" x14ac:dyDescent="0.25">
      <c r="I25704" s="227" t="str">
        <f>MID(excPisCofins[[#This Row],[CodBarras2]],2,50)</f>
        <v/>
      </c>
    </row>
    <row r="25705" spans="9:9" x14ac:dyDescent="0.25">
      <c r="I25705" s="227" t="str">
        <f>MID(excPisCofins[[#This Row],[CodBarras2]],2,50)</f>
        <v/>
      </c>
    </row>
    <row r="25706" spans="9:9" x14ac:dyDescent="0.25">
      <c r="I25706" s="227" t="str">
        <f>MID(excPisCofins[[#This Row],[CodBarras2]],2,50)</f>
        <v/>
      </c>
    </row>
    <row r="25707" spans="9:9" x14ac:dyDescent="0.25">
      <c r="I25707" s="227" t="str">
        <f>MID(excPisCofins[[#This Row],[CodBarras2]],2,50)</f>
        <v/>
      </c>
    </row>
    <row r="25708" spans="9:9" x14ac:dyDescent="0.25">
      <c r="I25708" s="227" t="str">
        <f>MID(excPisCofins[[#This Row],[CodBarras2]],2,50)</f>
        <v/>
      </c>
    </row>
    <row r="25709" spans="9:9" x14ac:dyDescent="0.25">
      <c r="I25709" s="227" t="str">
        <f>MID(excPisCofins[[#This Row],[CodBarras2]],2,50)</f>
        <v/>
      </c>
    </row>
    <row r="25710" spans="9:9" x14ac:dyDescent="0.25">
      <c r="I25710" s="227" t="str">
        <f>MID(excPisCofins[[#This Row],[CodBarras2]],2,50)</f>
        <v/>
      </c>
    </row>
    <row r="25711" spans="9:9" x14ac:dyDescent="0.25">
      <c r="I25711" s="227" t="str">
        <f>MID(excPisCofins[[#This Row],[CodBarras2]],2,50)</f>
        <v/>
      </c>
    </row>
    <row r="25712" spans="9:9" x14ac:dyDescent="0.25">
      <c r="I25712" s="227" t="str">
        <f>MID(excPisCofins[[#This Row],[CodBarras2]],2,50)</f>
        <v/>
      </c>
    </row>
    <row r="25713" spans="9:9" x14ac:dyDescent="0.25">
      <c r="I25713" s="227" t="str">
        <f>MID(excPisCofins[[#This Row],[CodBarras2]],2,50)</f>
        <v/>
      </c>
    </row>
    <row r="25714" spans="9:9" x14ac:dyDescent="0.25">
      <c r="I25714" s="227" t="str">
        <f>MID(excPisCofins[[#This Row],[CodBarras2]],2,50)</f>
        <v/>
      </c>
    </row>
    <row r="25715" spans="9:9" x14ac:dyDescent="0.25">
      <c r="I25715" s="227" t="str">
        <f>MID(excPisCofins[[#This Row],[CodBarras2]],2,50)</f>
        <v/>
      </c>
    </row>
    <row r="25716" spans="9:9" x14ac:dyDescent="0.25">
      <c r="I25716" s="227" t="str">
        <f>MID(excPisCofins[[#This Row],[CodBarras2]],2,50)</f>
        <v/>
      </c>
    </row>
    <row r="25717" spans="9:9" x14ac:dyDescent="0.25">
      <c r="I25717" s="227" t="str">
        <f>MID(excPisCofins[[#This Row],[CodBarras2]],2,50)</f>
        <v/>
      </c>
    </row>
    <row r="25718" spans="9:9" x14ac:dyDescent="0.25">
      <c r="I25718" s="227" t="str">
        <f>MID(excPisCofins[[#This Row],[CodBarras2]],2,50)</f>
        <v/>
      </c>
    </row>
    <row r="25719" spans="9:9" x14ac:dyDescent="0.25">
      <c r="I25719" s="227" t="str">
        <f>MID(excPisCofins[[#This Row],[CodBarras2]],2,50)</f>
        <v/>
      </c>
    </row>
    <row r="25720" spans="9:9" x14ac:dyDescent="0.25">
      <c r="I25720" s="227" t="str">
        <f>MID(excPisCofins[[#This Row],[CodBarras2]],2,50)</f>
        <v/>
      </c>
    </row>
    <row r="25721" spans="9:9" x14ac:dyDescent="0.25">
      <c r="I25721" s="227" t="str">
        <f>MID(excPisCofins[[#This Row],[CodBarras2]],2,50)</f>
        <v/>
      </c>
    </row>
    <row r="25722" spans="9:9" x14ac:dyDescent="0.25">
      <c r="I25722" s="227" t="str">
        <f>MID(excPisCofins[[#This Row],[CodBarras2]],2,50)</f>
        <v/>
      </c>
    </row>
    <row r="25723" spans="9:9" x14ac:dyDescent="0.25">
      <c r="I25723" s="227" t="str">
        <f>MID(excPisCofins[[#This Row],[CodBarras2]],2,50)</f>
        <v/>
      </c>
    </row>
    <row r="25724" spans="9:9" x14ac:dyDescent="0.25">
      <c r="I25724" s="227" t="str">
        <f>MID(excPisCofins[[#This Row],[CodBarras2]],2,50)</f>
        <v/>
      </c>
    </row>
    <row r="25725" spans="9:9" x14ac:dyDescent="0.25">
      <c r="I25725" s="227" t="str">
        <f>MID(excPisCofins[[#This Row],[CodBarras2]],2,50)</f>
        <v/>
      </c>
    </row>
    <row r="25726" spans="9:9" x14ac:dyDescent="0.25">
      <c r="I25726" s="227" t="str">
        <f>MID(excPisCofins[[#This Row],[CodBarras2]],2,50)</f>
        <v/>
      </c>
    </row>
    <row r="25727" spans="9:9" x14ac:dyDescent="0.25">
      <c r="I25727" s="227" t="str">
        <f>MID(excPisCofins[[#This Row],[CodBarras2]],2,50)</f>
        <v/>
      </c>
    </row>
    <row r="25728" spans="9:9" x14ac:dyDescent="0.25">
      <c r="I25728" s="227" t="str">
        <f>MID(excPisCofins[[#This Row],[CodBarras2]],2,50)</f>
        <v/>
      </c>
    </row>
    <row r="25729" spans="9:9" x14ac:dyDescent="0.25">
      <c r="I25729" s="227" t="str">
        <f>MID(excPisCofins[[#This Row],[CodBarras2]],2,50)</f>
        <v/>
      </c>
    </row>
    <row r="25730" spans="9:9" x14ac:dyDescent="0.25">
      <c r="I25730" s="227" t="str">
        <f>MID(excPisCofins[[#This Row],[CodBarras2]],2,50)</f>
        <v/>
      </c>
    </row>
    <row r="25731" spans="9:9" x14ac:dyDescent="0.25">
      <c r="I25731" s="227" t="str">
        <f>MID(excPisCofins[[#This Row],[CodBarras2]],2,50)</f>
        <v/>
      </c>
    </row>
    <row r="25732" spans="9:9" x14ac:dyDescent="0.25">
      <c r="I25732" s="227" t="str">
        <f>MID(excPisCofins[[#This Row],[CodBarras2]],2,50)</f>
        <v/>
      </c>
    </row>
    <row r="25733" spans="9:9" x14ac:dyDescent="0.25">
      <c r="I25733" s="227" t="str">
        <f>MID(excPisCofins[[#This Row],[CodBarras2]],2,50)</f>
        <v/>
      </c>
    </row>
    <row r="25734" spans="9:9" x14ac:dyDescent="0.25">
      <c r="I25734" s="227" t="str">
        <f>MID(excPisCofins[[#This Row],[CodBarras2]],2,50)</f>
        <v/>
      </c>
    </row>
    <row r="25735" spans="9:9" x14ac:dyDescent="0.25">
      <c r="I25735" s="227" t="str">
        <f>MID(excPisCofins[[#This Row],[CodBarras2]],2,50)</f>
        <v/>
      </c>
    </row>
    <row r="25736" spans="9:9" x14ac:dyDescent="0.25">
      <c r="I25736" s="227" t="str">
        <f>MID(excPisCofins[[#This Row],[CodBarras2]],2,50)</f>
        <v/>
      </c>
    </row>
    <row r="25737" spans="9:9" x14ac:dyDescent="0.25">
      <c r="I25737" s="227" t="str">
        <f>MID(excPisCofins[[#This Row],[CodBarras2]],2,50)</f>
        <v/>
      </c>
    </row>
    <row r="25738" spans="9:9" x14ac:dyDescent="0.25">
      <c r="I25738" s="227" t="str">
        <f>MID(excPisCofins[[#This Row],[CodBarras2]],2,50)</f>
        <v/>
      </c>
    </row>
    <row r="25739" spans="9:9" x14ac:dyDescent="0.25">
      <c r="I25739" s="227" t="str">
        <f>MID(excPisCofins[[#This Row],[CodBarras2]],2,50)</f>
        <v/>
      </c>
    </row>
    <row r="25740" spans="9:9" x14ac:dyDescent="0.25">
      <c r="I25740" s="227" t="str">
        <f>MID(excPisCofins[[#This Row],[CodBarras2]],2,50)</f>
        <v/>
      </c>
    </row>
    <row r="25741" spans="9:9" x14ac:dyDescent="0.25">
      <c r="I25741" s="227" t="str">
        <f>MID(excPisCofins[[#This Row],[CodBarras2]],2,50)</f>
        <v/>
      </c>
    </row>
    <row r="25742" spans="9:9" x14ac:dyDescent="0.25">
      <c r="I25742" s="227" t="str">
        <f>MID(excPisCofins[[#This Row],[CodBarras2]],2,50)</f>
        <v/>
      </c>
    </row>
    <row r="25743" spans="9:9" x14ac:dyDescent="0.25">
      <c r="I25743" s="227" t="str">
        <f>MID(excPisCofins[[#This Row],[CodBarras2]],2,50)</f>
        <v/>
      </c>
    </row>
    <row r="25744" spans="9:9" x14ac:dyDescent="0.25">
      <c r="I25744" s="227" t="str">
        <f>MID(excPisCofins[[#This Row],[CodBarras2]],2,50)</f>
        <v/>
      </c>
    </row>
    <row r="25745" spans="9:9" x14ac:dyDescent="0.25">
      <c r="I25745" s="227" t="str">
        <f>MID(excPisCofins[[#This Row],[CodBarras2]],2,50)</f>
        <v/>
      </c>
    </row>
    <row r="25746" spans="9:9" x14ac:dyDescent="0.25">
      <c r="I25746" s="227" t="str">
        <f>MID(excPisCofins[[#This Row],[CodBarras2]],2,50)</f>
        <v/>
      </c>
    </row>
    <row r="25747" spans="9:9" x14ac:dyDescent="0.25">
      <c r="I25747" s="227" t="str">
        <f>MID(excPisCofins[[#This Row],[CodBarras2]],2,50)</f>
        <v/>
      </c>
    </row>
    <row r="25748" spans="9:9" x14ac:dyDescent="0.25">
      <c r="I25748" s="227" t="str">
        <f>MID(excPisCofins[[#This Row],[CodBarras2]],2,50)</f>
        <v/>
      </c>
    </row>
    <row r="25749" spans="9:9" x14ac:dyDescent="0.25">
      <c r="I25749" s="227" t="str">
        <f>MID(excPisCofins[[#This Row],[CodBarras2]],2,50)</f>
        <v/>
      </c>
    </row>
    <row r="25750" spans="9:9" x14ac:dyDescent="0.25">
      <c r="I25750" s="227" t="str">
        <f>MID(excPisCofins[[#This Row],[CodBarras2]],2,50)</f>
        <v/>
      </c>
    </row>
    <row r="25751" spans="9:9" x14ac:dyDescent="0.25">
      <c r="I25751" s="227" t="str">
        <f>MID(excPisCofins[[#This Row],[CodBarras2]],2,50)</f>
        <v/>
      </c>
    </row>
    <row r="25752" spans="9:9" x14ac:dyDescent="0.25">
      <c r="I25752" s="227" t="str">
        <f>MID(excPisCofins[[#This Row],[CodBarras2]],2,50)</f>
        <v/>
      </c>
    </row>
    <row r="25753" spans="9:9" x14ac:dyDescent="0.25">
      <c r="I25753" s="227" t="str">
        <f>MID(excPisCofins[[#This Row],[CodBarras2]],2,50)</f>
        <v/>
      </c>
    </row>
    <row r="25754" spans="9:9" x14ac:dyDescent="0.25">
      <c r="I25754" s="227" t="str">
        <f>MID(excPisCofins[[#This Row],[CodBarras2]],2,50)</f>
        <v/>
      </c>
    </row>
    <row r="25755" spans="9:9" x14ac:dyDescent="0.25">
      <c r="I25755" s="227" t="str">
        <f>MID(excPisCofins[[#This Row],[CodBarras2]],2,50)</f>
        <v/>
      </c>
    </row>
    <row r="25756" spans="9:9" x14ac:dyDescent="0.25">
      <c r="I25756" s="227" t="str">
        <f>MID(excPisCofins[[#This Row],[CodBarras2]],2,50)</f>
        <v/>
      </c>
    </row>
    <row r="25757" spans="9:9" x14ac:dyDescent="0.25">
      <c r="I25757" s="227" t="str">
        <f>MID(excPisCofins[[#This Row],[CodBarras2]],2,50)</f>
        <v/>
      </c>
    </row>
    <row r="25758" spans="9:9" x14ac:dyDescent="0.25">
      <c r="I25758" s="227" t="str">
        <f>MID(excPisCofins[[#This Row],[CodBarras2]],2,50)</f>
        <v/>
      </c>
    </row>
    <row r="25759" spans="9:9" x14ac:dyDescent="0.25">
      <c r="I25759" s="227" t="str">
        <f>MID(excPisCofins[[#This Row],[CodBarras2]],2,50)</f>
        <v/>
      </c>
    </row>
    <row r="25760" spans="9:9" x14ac:dyDescent="0.25">
      <c r="I25760" s="227" t="str">
        <f>MID(excPisCofins[[#This Row],[CodBarras2]],2,50)</f>
        <v/>
      </c>
    </row>
    <row r="25761" spans="9:9" x14ac:dyDescent="0.25">
      <c r="I25761" s="227" t="str">
        <f>MID(excPisCofins[[#This Row],[CodBarras2]],2,50)</f>
        <v/>
      </c>
    </row>
    <row r="25762" spans="9:9" x14ac:dyDescent="0.25">
      <c r="I25762" s="227" t="str">
        <f>MID(excPisCofins[[#This Row],[CodBarras2]],2,50)</f>
        <v/>
      </c>
    </row>
    <row r="25763" spans="9:9" x14ac:dyDescent="0.25">
      <c r="I25763" s="227" t="str">
        <f>MID(excPisCofins[[#This Row],[CodBarras2]],2,50)</f>
        <v/>
      </c>
    </row>
    <row r="25764" spans="9:9" x14ac:dyDescent="0.25">
      <c r="I25764" s="227" t="str">
        <f>MID(excPisCofins[[#This Row],[CodBarras2]],2,50)</f>
        <v/>
      </c>
    </row>
    <row r="25765" spans="9:9" x14ac:dyDescent="0.25">
      <c r="I25765" s="227" t="str">
        <f>MID(excPisCofins[[#This Row],[CodBarras2]],2,50)</f>
        <v/>
      </c>
    </row>
    <row r="25766" spans="9:9" x14ac:dyDescent="0.25">
      <c r="I25766" s="227" t="str">
        <f>MID(excPisCofins[[#This Row],[CodBarras2]],2,50)</f>
        <v/>
      </c>
    </row>
    <row r="25767" spans="9:9" x14ac:dyDescent="0.25">
      <c r="I25767" s="227" t="str">
        <f>MID(excPisCofins[[#This Row],[CodBarras2]],2,50)</f>
        <v/>
      </c>
    </row>
    <row r="25768" spans="9:9" x14ac:dyDescent="0.25">
      <c r="I25768" s="227" t="str">
        <f>MID(excPisCofins[[#This Row],[CodBarras2]],2,50)</f>
        <v/>
      </c>
    </row>
    <row r="25769" spans="9:9" x14ac:dyDescent="0.25">
      <c r="I25769" s="227" t="str">
        <f>MID(excPisCofins[[#This Row],[CodBarras2]],2,50)</f>
        <v/>
      </c>
    </row>
    <row r="25770" spans="9:9" x14ac:dyDescent="0.25">
      <c r="I25770" s="227" t="str">
        <f>MID(excPisCofins[[#This Row],[CodBarras2]],2,50)</f>
        <v/>
      </c>
    </row>
    <row r="25771" spans="9:9" x14ac:dyDescent="0.25">
      <c r="I25771" s="227" t="str">
        <f>MID(excPisCofins[[#This Row],[CodBarras2]],2,50)</f>
        <v/>
      </c>
    </row>
    <row r="25772" spans="9:9" x14ac:dyDescent="0.25">
      <c r="I25772" s="227" t="str">
        <f>MID(excPisCofins[[#This Row],[CodBarras2]],2,50)</f>
        <v/>
      </c>
    </row>
    <row r="25773" spans="9:9" x14ac:dyDescent="0.25">
      <c r="I25773" s="227" t="str">
        <f>MID(excPisCofins[[#This Row],[CodBarras2]],2,50)</f>
        <v/>
      </c>
    </row>
    <row r="25774" spans="9:9" x14ac:dyDescent="0.25">
      <c r="I25774" s="227" t="str">
        <f>MID(excPisCofins[[#This Row],[CodBarras2]],2,50)</f>
        <v/>
      </c>
    </row>
    <row r="25775" spans="9:9" x14ac:dyDescent="0.25">
      <c r="I25775" s="227" t="str">
        <f>MID(excPisCofins[[#This Row],[CodBarras2]],2,50)</f>
        <v/>
      </c>
    </row>
    <row r="25776" spans="9:9" x14ac:dyDescent="0.25">
      <c r="I25776" s="227" t="str">
        <f>MID(excPisCofins[[#This Row],[CodBarras2]],2,50)</f>
        <v/>
      </c>
    </row>
    <row r="25777" spans="9:9" x14ac:dyDescent="0.25">
      <c r="I25777" s="227" t="str">
        <f>MID(excPisCofins[[#This Row],[CodBarras2]],2,50)</f>
        <v/>
      </c>
    </row>
    <row r="25778" spans="9:9" x14ac:dyDescent="0.25">
      <c r="I25778" s="227" t="str">
        <f>MID(excPisCofins[[#This Row],[CodBarras2]],2,50)</f>
        <v/>
      </c>
    </row>
    <row r="25779" spans="9:9" x14ac:dyDescent="0.25">
      <c r="I25779" s="227" t="str">
        <f>MID(excPisCofins[[#This Row],[CodBarras2]],2,50)</f>
        <v/>
      </c>
    </row>
    <row r="25780" spans="9:9" x14ac:dyDescent="0.25">
      <c r="I25780" s="227" t="str">
        <f>MID(excPisCofins[[#This Row],[CodBarras2]],2,50)</f>
        <v/>
      </c>
    </row>
    <row r="25781" spans="9:9" x14ac:dyDescent="0.25">
      <c r="I25781" s="227" t="str">
        <f>MID(excPisCofins[[#This Row],[CodBarras2]],2,50)</f>
        <v/>
      </c>
    </row>
    <row r="25782" spans="9:9" x14ac:dyDescent="0.25">
      <c r="I25782" s="227" t="str">
        <f>MID(excPisCofins[[#This Row],[CodBarras2]],2,50)</f>
        <v/>
      </c>
    </row>
    <row r="25783" spans="9:9" x14ac:dyDescent="0.25">
      <c r="I25783" s="227" t="str">
        <f>MID(excPisCofins[[#This Row],[CodBarras2]],2,50)</f>
        <v/>
      </c>
    </row>
    <row r="25784" spans="9:9" x14ac:dyDescent="0.25">
      <c r="I25784" s="227" t="str">
        <f>MID(excPisCofins[[#This Row],[CodBarras2]],2,50)</f>
        <v/>
      </c>
    </row>
    <row r="25785" spans="9:9" x14ac:dyDescent="0.25">
      <c r="I25785" s="227" t="str">
        <f>MID(excPisCofins[[#This Row],[CodBarras2]],2,50)</f>
        <v/>
      </c>
    </row>
    <row r="25786" spans="9:9" x14ac:dyDescent="0.25">
      <c r="I25786" s="227" t="str">
        <f>MID(excPisCofins[[#This Row],[CodBarras2]],2,50)</f>
        <v/>
      </c>
    </row>
    <row r="25787" spans="9:9" x14ac:dyDescent="0.25">
      <c r="I25787" s="227" t="str">
        <f>MID(excPisCofins[[#This Row],[CodBarras2]],2,50)</f>
        <v/>
      </c>
    </row>
    <row r="25788" spans="9:9" x14ac:dyDescent="0.25">
      <c r="I25788" s="227" t="str">
        <f>MID(excPisCofins[[#This Row],[CodBarras2]],2,50)</f>
        <v/>
      </c>
    </row>
    <row r="25789" spans="9:9" x14ac:dyDescent="0.25">
      <c r="I25789" s="227" t="str">
        <f>MID(excPisCofins[[#This Row],[CodBarras2]],2,50)</f>
        <v/>
      </c>
    </row>
    <row r="25790" spans="9:9" x14ac:dyDescent="0.25">
      <c r="I25790" s="227" t="str">
        <f>MID(excPisCofins[[#This Row],[CodBarras2]],2,50)</f>
        <v/>
      </c>
    </row>
    <row r="25791" spans="9:9" x14ac:dyDescent="0.25">
      <c r="I25791" s="227" t="str">
        <f>MID(excPisCofins[[#This Row],[CodBarras2]],2,50)</f>
        <v/>
      </c>
    </row>
    <row r="25792" spans="9:9" x14ac:dyDescent="0.25">
      <c r="I25792" s="227" t="str">
        <f>MID(excPisCofins[[#This Row],[CodBarras2]],2,50)</f>
        <v/>
      </c>
    </row>
    <row r="25793" spans="9:9" x14ac:dyDescent="0.25">
      <c r="I25793" s="227" t="str">
        <f>MID(excPisCofins[[#This Row],[CodBarras2]],2,50)</f>
        <v/>
      </c>
    </row>
    <row r="25794" spans="9:9" x14ac:dyDescent="0.25">
      <c r="I25794" s="227" t="str">
        <f>MID(excPisCofins[[#This Row],[CodBarras2]],2,50)</f>
        <v/>
      </c>
    </row>
    <row r="25795" spans="9:9" x14ac:dyDescent="0.25">
      <c r="I25795" s="227" t="str">
        <f>MID(excPisCofins[[#This Row],[CodBarras2]],2,50)</f>
        <v/>
      </c>
    </row>
    <row r="25796" spans="9:9" x14ac:dyDescent="0.25">
      <c r="I25796" s="227" t="str">
        <f>MID(excPisCofins[[#This Row],[CodBarras2]],2,50)</f>
        <v/>
      </c>
    </row>
    <row r="25797" spans="9:9" x14ac:dyDescent="0.25">
      <c r="I25797" s="227" t="str">
        <f>MID(excPisCofins[[#This Row],[CodBarras2]],2,50)</f>
        <v/>
      </c>
    </row>
    <row r="25798" spans="9:9" x14ac:dyDescent="0.25">
      <c r="I25798" s="227" t="str">
        <f>MID(excPisCofins[[#This Row],[CodBarras2]],2,50)</f>
        <v/>
      </c>
    </row>
    <row r="25799" spans="9:9" x14ac:dyDescent="0.25">
      <c r="I25799" s="227" t="str">
        <f>MID(excPisCofins[[#This Row],[CodBarras2]],2,50)</f>
        <v/>
      </c>
    </row>
    <row r="25800" spans="9:9" x14ac:dyDescent="0.25">
      <c r="I25800" s="227" t="str">
        <f>MID(excPisCofins[[#This Row],[CodBarras2]],2,50)</f>
        <v/>
      </c>
    </row>
    <row r="25801" spans="9:9" x14ac:dyDescent="0.25">
      <c r="I25801" s="227" t="str">
        <f>MID(excPisCofins[[#This Row],[CodBarras2]],2,50)</f>
        <v/>
      </c>
    </row>
    <row r="25802" spans="9:9" x14ac:dyDescent="0.25">
      <c r="I25802" s="227" t="str">
        <f>MID(excPisCofins[[#This Row],[CodBarras2]],2,50)</f>
        <v/>
      </c>
    </row>
    <row r="25803" spans="9:9" x14ac:dyDescent="0.25">
      <c r="I25803" s="227" t="str">
        <f>MID(excPisCofins[[#This Row],[CodBarras2]],2,50)</f>
        <v/>
      </c>
    </row>
    <row r="25804" spans="9:9" x14ac:dyDescent="0.25">
      <c r="I25804" s="227" t="str">
        <f>MID(excPisCofins[[#This Row],[CodBarras2]],2,50)</f>
        <v/>
      </c>
    </row>
    <row r="25805" spans="9:9" x14ac:dyDescent="0.25">
      <c r="I25805" s="227" t="str">
        <f>MID(excPisCofins[[#This Row],[CodBarras2]],2,50)</f>
        <v/>
      </c>
    </row>
    <row r="25806" spans="9:9" x14ac:dyDescent="0.25">
      <c r="I25806" s="227" t="str">
        <f>MID(excPisCofins[[#This Row],[CodBarras2]],2,50)</f>
        <v/>
      </c>
    </row>
    <row r="25807" spans="9:9" x14ac:dyDescent="0.25">
      <c r="I25807" s="227" t="str">
        <f>MID(excPisCofins[[#This Row],[CodBarras2]],2,50)</f>
        <v/>
      </c>
    </row>
    <row r="25808" spans="9:9" x14ac:dyDescent="0.25">
      <c r="I25808" s="227" t="str">
        <f>MID(excPisCofins[[#This Row],[CodBarras2]],2,50)</f>
        <v/>
      </c>
    </row>
    <row r="25809" spans="9:9" x14ac:dyDescent="0.25">
      <c r="I25809" s="227" t="str">
        <f>MID(excPisCofins[[#This Row],[CodBarras2]],2,50)</f>
        <v/>
      </c>
    </row>
    <row r="25810" spans="9:9" x14ac:dyDescent="0.25">
      <c r="I25810" s="227" t="str">
        <f>MID(excPisCofins[[#This Row],[CodBarras2]],2,50)</f>
        <v/>
      </c>
    </row>
    <row r="25811" spans="9:9" x14ac:dyDescent="0.25">
      <c r="I25811" s="227" t="str">
        <f>MID(excPisCofins[[#This Row],[CodBarras2]],2,50)</f>
        <v/>
      </c>
    </row>
    <row r="25812" spans="9:9" x14ac:dyDescent="0.25">
      <c r="I25812" s="227" t="str">
        <f>MID(excPisCofins[[#This Row],[CodBarras2]],2,50)</f>
        <v/>
      </c>
    </row>
    <row r="25813" spans="9:9" x14ac:dyDescent="0.25">
      <c r="I25813" s="227" t="str">
        <f>MID(excPisCofins[[#This Row],[CodBarras2]],2,50)</f>
        <v/>
      </c>
    </row>
    <row r="25814" spans="9:9" x14ac:dyDescent="0.25">
      <c r="I25814" s="227" t="str">
        <f>MID(excPisCofins[[#This Row],[CodBarras2]],2,50)</f>
        <v/>
      </c>
    </row>
    <row r="25815" spans="9:9" x14ac:dyDescent="0.25">
      <c r="I25815" s="227" t="str">
        <f>MID(excPisCofins[[#This Row],[CodBarras2]],2,50)</f>
        <v/>
      </c>
    </row>
    <row r="25816" spans="9:9" x14ac:dyDescent="0.25">
      <c r="I25816" s="227" t="str">
        <f>MID(excPisCofins[[#This Row],[CodBarras2]],2,50)</f>
        <v/>
      </c>
    </row>
    <row r="25817" spans="9:9" x14ac:dyDescent="0.25">
      <c r="I25817" s="227" t="str">
        <f>MID(excPisCofins[[#This Row],[CodBarras2]],2,50)</f>
        <v/>
      </c>
    </row>
    <row r="25818" spans="9:9" x14ac:dyDescent="0.25">
      <c r="I25818" s="227" t="str">
        <f>MID(excPisCofins[[#This Row],[CodBarras2]],2,50)</f>
        <v/>
      </c>
    </row>
    <row r="25819" spans="9:9" x14ac:dyDescent="0.25">
      <c r="I25819" s="227" t="str">
        <f>MID(excPisCofins[[#This Row],[CodBarras2]],2,50)</f>
        <v/>
      </c>
    </row>
    <row r="25820" spans="9:9" x14ac:dyDescent="0.25">
      <c r="I25820" s="227" t="str">
        <f>MID(excPisCofins[[#This Row],[CodBarras2]],2,50)</f>
        <v/>
      </c>
    </row>
    <row r="25821" spans="9:9" x14ac:dyDescent="0.25">
      <c r="I25821" s="227" t="str">
        <f>MID(excPisCofins[[#This Row],[CodBarras2]],2,50)</f>
        <v/>
      </c>
    </row>
    <row r="25822" spans="9:9" x14ac:dyDescent="0.25">
      <c r="I25822" s="227" t="str">
        <f>MID(excPisCofins[[#This Row],[CodBarras2]],2,50)</f>
        <v/>
      </c>
    </row>
    <row r="25823" spans="9:9" x14ac:dyDescent="0.25">
      <c r="I25823" s="227" t="str">
        <f>MID(excPisCofins[[#This Row],[CodBarras2]],2,50)</f>
        <v/>
      </c>
    </row>
    <row r="25824" spans="9:9" x14ac:dyDescent="0.25">
      <c r="I25824" s="227" t="str">
        <f>MID(excPisCofins[[#This Row],[CodBarras2]],2,50)</f>
        <v/>
      </c>
    </row>
    <row r="25825" spans="9:9" x14ac:dyDescent="0.25">
      <c r="I25825" s="227" t="str">
        <f>MID(excPisCofins[[#This Row],[CodBarras2]],2,50)</f>
        <v/>
      </c>
    </row>
    <row r="25826" spans="9:9" x14ac:dyDescent="0.25">
      <c r="I25826" s="227" t="str">
        <f>MID(excPisCofins[[#This Row],[CodBarras2]],2,50)</f>
        <v/>
      </c>
    </row>
    <row r="25827" spans="9:9" x14ac:dyDescent="0.25">
      <c r="I25827" s="227" t="str">
        <f>MID(excPisCofins[[#This Row],[CodBarras2]],2,50)</f>
        <v/>
      </c>
    </row>
    <row r="25828" spans="9:9" x14ac:dyDescent="0.25">
      <c r="I25828" s="227" t="str">
        <f>MID(excPisCofins[[#This Row],[CodBarras2]],2,50)</f>
        <v/>
      </c>
    </row>
    <row r="25829" spans="9:9" x14ac:dyDescent="0.25">
      <c r="I25829" s="227" t="str">
        <f>MID(excPisCofins[[#This Row],[CodBarras2]],2,50)</f>
        <v/>
      </c>
    </row>
    <row r="25830" spans="9:9" x14ac:dyDescent="0.25">
      <c r="I25830" s="227" t="str">
        <f>MID(excPisCofins[[#This Row],[CodBarras2]],2,50)</f>
        <v/>
      </c>
    </row>
    <row r="25831" spans="9:9" x14ac:dyDescent="0.25">
      <c r="I25831" s="227" t="str">
        <f>MID(excPisCofins[[#This Row],[CodBarras2]],2,50)</f>
        <v/>
      </c>
    </row>
    <row r="25832" spans="9:9" x14ac:dyDescent="0.25">
      <c r="I25832" s="227" t="str">
        <f>MID(excPisCofins[[#This Row],[CodBarras2]],2,50)</f>
        <v/>
      </c>
    </row>
    <row r="25833" spans="9:9" x14ac:dyDescent="0.25">
      <c r="I25833" s="227" t="str">
        <f>MID(excPisCofins[[#This Row],[CodBarras2]],2,50)</f>
        <v/>
      </c>
    </row>
    <row r="25834" spans="9:9" x14ac:dyDescent="0.25">
      <c r="I25834" s="227" t="str">
        <f>MID(excPisCofins[[#This Row],[CodBarras2]],2,50)</f>
        <v/>
      </c>
    </row>
    <row r="25835" spans="9:9" x14ac:dyDescent="0.25">
      <c r="I25835" s="227" t="str">
        <f>MID(excPisCofins[[#This Row],[CodBarras2]],2,50)</f>
        <v/>
      </c>
    </row>
    <row r="25836" spans="9:9" x14ac:dyDescent="0.25">
      <c r="I25836" s="227" t="str">
        <f>MID(excPisCofins[[#This Row],[CodBarras2]],2,50)</f>
        <v/>
      </c>
    </row>
    <row r="25837" spans="9:9" x14ac:dyDescent="0.25">
      <c r="I25837" s="227" t="str">
        <f>MID(excPisCofins[[#This Row],[CodBarras2]],2,50)</f>
        <v/>
      </c>
    </row>
    <row r="25838" spans="9:9" x14ac:dyDescent="0.25">
      <c r="I25838" s="227" t="str">
        <f>MID(excPisCofins[[#This Row],[CodBarras2]],2,50)</f>
        <v/>
      </c>
    </row>
    <row r="25839" spans="9:9" x14ac:dyDescent="0.25">
      <c r="I25839" s="227" t="str">
        <f>MID(excPisCofins[[#This Row],[CodBarras2]],2,50)</f>
        <v/>
      </c>
    </row>
    <row r="25840" spans="9:9" x14ac:dyDescent="0.25">
      <c r="I25840" s="227" t="str">
        <f>MID(excPisCofins[[#This Row],[CodBarras2]],2,50)</f>
        <v/>
      </c>
    </row>
    <row r="25841" spans="9:9" x14ac:dyDescent="0.25">
      <c r="I25841" s="227" t="str">
        <f>MID(excPisCofins[[#This Row],[CodBarras2]],2,50)</f>
        <v/>
      </c>
    </row>
    <row r="25842" spans="9:9" x14ac:dyDescent="0.25">
      <c r="I25842" s="227" t="str">
        <f>MID(excPisCofins[[#This Row],[CodBarras2]],2,50)</f>
        <v/>
      </c>
    </row>
    <row r="25843" spans="9:9" x14ac:dyDescent="0.25">
      <c r="I25843" s="227" t="str">
        <f>MID(excPisCofins[[#This Row],[CodBarras2]],2,50)</f>
        <v/>
      </c>
    </row>
    <row r="25844" spans="9:9" x14ac:dyDescent="0.25">
      <c r="I25844" s="227" t="str">
        <f>MID(excPisCofins[[#This Row],[CodBarras2]],2,50)</f>
        <v/>
      </c>
    </row>
    <row r="25845" spans="9:9" x14ac:dyDescent="0.25">
      <c r="I25845" s="227" t="str">
        <f>MID(excPisCofins[[#This Row],[CodBarras2]],2,50)</f>
        <v/>
      </c>
    </row>
    <row r="25846" spans="9:9" x14ac:dyDescent="0.25">
      <c r="I25846" s="227" t="str">
        <f>MID(excPisCofins[[#This Row],[CodBarras2]],2,50)</f>
        <v/>
      </c>
    </row>
    <row r="25847" spans="9:9" x14ac:dyDescent="0.25">
      <c r="I25847" s="227" t="str">
        <f>MID(excPisCofins[[#This Row],[CodBarras2]],2,50)</f>
        <v/>
      </c>
    </row>
    <row r="25848" spans="9:9" x14ac:dyDescent="0.25">
      <c r="I25848" s="227" t="str">
        <f>MID(excPisCofins[[#This Row],[CodBarras2]],2,50)</f>
        <v/>
      </c>
    </row>
    <row r="25849" spans="9:9" x14ac:dyDescent="0.25">
      <c r="I25849" s="227" t="str">
        <f>MID(excPisCofins[[#This Row],[CodBarras2]],2,50)</f>
        <v/>
      </c>
    </row>
    <row r="25850" spans="9:9" x14ac:dyDescent="0.25">
      <c r="I25850" s="227" t="str">
        <f>MID(excPisCofins[[#This Row],[CodBarras2]],2,50)</f>
        <v/>
      </c>
    </row>
    <row r="25851" spans="9:9" x14ac:dyDescent="0.25">
      <c r="I25851" s="227" t="str">
        <f>MID(excPisCofins[[#This Row],[CodBarras2]],2,50)</f>
        <v/>
      </c>
    </row>
    <row r="25852" spans="9:9" x14ac:dyDescent="0.25">
      <c r="I25852" s="227" t="str">
        <f>MID(excPisCofins[[#This Row],[CodBarras2]],2,50)</f>
        <v/>
      </c>
    </row>
    <row r="25853" spans="9:9" x14ac:dyDescent="0.25">
      <c r="I25853" s="227" t="str">
        <f>MID(excPisCofins[[#This Row],[CodBarras2]],2,50)</f>
        <v/>
      </c>
    </row>
    <row r="25854" spans="9:9" x14ac:dyDescent="0.25">
      <c r="I25854" s="227" t="str">
        <f>MID(excPisCofins[[#This Row],[CodBarras2]],2,50)</f>
        <v/>
      </c>
    </row>
    <row r="25855" spans="9:9" x14ac:dyDescent="0.25">
      <c r="I25855" s="227" t="str">
        <f>MID(excPisCofins[[#This Row],[CodBarras2]],2,50)</f>
        <v/>
      </c>
    </row>
    <row r="25856" spans="9:9" x14ac:dyDescent="0.25">
      <c r="I25856" s="227" t="str">
        <f>MID(excPisCofins[[#This Row],[CodBarras2]],2,50)</f>
        <v/>
      </c>
    </row>
    <row r="25857" spans="9:9" x14ac:dyDescent="0.25">
      <c r="I25857" s="227" t="str">
        <f>MID(excPisCofins[[#This Row],[CodBarras2]],2,50)</f>
        <v/>
      </c>
    </row>
    <row r="25858" spans="9:9" x14ac:dyDescent="0.25">
      <c r="I25858" s="227" t="str">
        <f>MID(excPisCofins[[#This Row],[CodBarras2]],2,50)</f>
        <v/>
      </c>
    </row>
    <row r="25859" spans="9:9" x14ac:dyDescent="0.25">
      <c r="I25859" s="227" t="str">
        <f>MID(excPisCofins[[#This Row],[CodBarras2]],2,50)</f>
        <v/>
      </c>
    </row>
    <row r="25860" spans="9:9" x14ac:dyDescent="0.25">
      <c r="I25860" s="227" t="str">
        <f>MID(excPisCofins[[#This Row],[CodBarras2]],2,50)</f>
        <v/>
      </c>
    </row>
    <row r="25861" spans="9:9" x14ac:dyDescent="0.25">
      <c r="I25861" s="227" t="str">
        <f>MID(excPisCofins[[#This Row],[CodBarras2]],2,50)</f>
        <v/>
      </c>
    </row>
    <row r="25862" spans="9:9" x14ac:dyDescent="0.25">
      <c r="I25862" s="227" t="str">
        <f>MID(excPisCofins[[#This Row],[CodBarras2]],2,50)</f>
        <v/>
      </c>
    </row>
    <row r="25863" spans="9:9" x14ac:dyDescent="0.25">
      <c r="I25863" s="227" t="str">
        <f>MID(excPisCofins[[#This Row],[CodBarras2]],2,50)</f>
        <v/>
      </c>
    </row>
    <row r="25864" spans="9:9" x14ac:dyDescent="0.25">
      <c r="I25864" s="227" t="str">
        <f>MID(excPisCofins[[#This Row],[CodBarras2]],2,50)</f>
        <v/>
      </c>
    </row>
    <row r="25865" spans="9:9" x14ac:dyDescent="0.25">
      <c r="I25865" s="227" t="str">
        <f>MID(excPisCofins[[#This Row],[CodBarras2]],2,50)</f>
        <v/>
      </c>
    </row>
    <row r="25866" spans="9:9" x14ac:dyDescent="0.25">
      <c r="I25866" s="227" t="str">
        <f>MID(excPisCofins[[#This Row],[CodBarras2]],2,50)</f>
        <v/>
      </c>
    </row>
    <row r="25867" spans="9:9" x14ac:dyDescent="0.25">
      <c r="I25867" s="227" t="str">
        <f>MID(excPisCofins[[#This Row],[CodBarras2]],2,50)</f>
        <v/>
      </c>
    </row>
    <row r="25868" spans="9:9" x14ac:dyDescent="0.25">
      <c r="I25868" s="227" t="str">
        <f>MID(excPisCofins[[#This Row],[CodBarras2]],2,50)</f>
        <v/>
      </c>
    </row>
    <row r="25869" spans="9:9" x14ac:dyDescent="0.25">
      <c r="I25869" s="227" t="str">
        <f>MID(excPisCofins[[#This Row],[CodBarras2]],2,50)</f>
        <v/>
      </c>
    </row>
    <row r="25870" spans="9:9" x14ac:dyDescent="0.25">
      <c r="I25870" s="227" t="str">
        <f>MID(excPisCofins[[#This Row],[CodBarras2]],2,50)</f>
        <v/>
      </c>
    </row>
    <row r="25871" spans="9:9" x14ac:dyDescent="0.25">
      <c r="I25871" s="227" t="str">
        <f>MID(excPisCofins[[#This Row],[CodBarras2]],2,50)</f>
        <v/>
      </c>
    </row>
    <row r="25872" spans="9:9" x14ac:dyDescent="0.25">
      <c r="I25872" s="227" t="str">
        <f>MID(excPisCofins[[#This Row],[CodBarras2]],2,50)</f>
        <v/>
      </c>
    </row>
    <row r="25873" spans="9:9" x14ac:dyDescent="0.25">
      <c r="I25873" s="227" t="str">
        <f>MID(excPisCofins[[#This Row],[CodBarras2]],2,50)</f>
        <v/>
      </c>
    </row>
    <row r="25874" spans="9:9" x14ac:dyDescent="0.25">
      <c r="I25874" s="227" t="str">
        <f>MID(excPisCofins[[#This Row],[CodBarras2]],2,50)</f>
        <v/>
      </c>
    </row>
    <row r="25875" spans="9:9" x14ac:dyDescent="0.25">
      <c r="I25875" s="227" t="str">
        <f>MID(excPisCofins[[#This Row],[CodBarras2]],2,50)</f>
        <v/>
      </c>
    </row>
    <row r="25876" spans="9:9" x14ac:dyDescent="0.25">
      <c r="I25876" s="227" t="str">
        <f>MID(excPisCofins[[#This Row],[CodBarras2]],2,50)</f>
        <v/>
      </c>
    </row>
    <row r="25877" spans="9:9" x14ac:dyDescent="0.25">
      <c r="I25877" s="227" t="str">
        <f>MID(excPisCofins[[#This Row],[CodBarras2]],2,50)</f>
        <v/>
      </c>
    </row>
    <row r="25878" spans="9:9" x14ac:dyDescent="0.25">
      <c r="I25878" s="227" t="str">
        <f>MID(excPisCofins[[#This Row],[CodBarras2]],2,50)</f>
        <v/>
      </c>
    </row>
    <row r="25879" spans="9:9" x14ac:dyDescent="0.25">
      <c r="I25879" s="227" t="str">
        <f>MID(excPisCofins[[#This Row],[CodBarras2]],2,50)</f>
        <v/>
      </c>
    </row>
    <row r="25880" spans="9:9" x14ac:dyDescent="0.25">
      <c r="I25880" s="227" t="str">
        <f>MID(excPisCofins[[#This Row],[CodBarras2]],2,50)</f>
        <v/>
      </c>
    </row>
    <row r="25881" spans="9:9" x14ac:dyDescent="0.25">
      <c r="I25881" s="227" t="str">
        <f>MID(excPisCofins[[#This Row],[CodBarras2]],2,50)</f>
        <v/>
      </c>
    </row>
    <row r="25882" spans="9:9" x14ac:dyDescent="0.25">
      <c r="I25882" s="227" t="str">
        <f>MID(excPisCofins[[#This Row],[CodBarras2]],2,50)</f>
        <v/>
      </c>
    </row>
    <row r="25883" spans="9:9" x14ac:dyDescent="0.25">
      <c r="I25883" s="227" t="str">
        <f>MID(excPisCofins[[#This Row],[CodBarras2]],2,50)</f>
        <v/>
      </c>
    </row>
    <row r="25884" spans="9:9" x14ac:dyDescent="0.25">
      <c r="I25884" s="227" t="str">
        <f>MID(excPisCofins[[#This Row],[CodBarras2]],2,50)</f>
        <v/>
      </c>
    </row>
    <row r="25885" spans="9:9" x14ac:dyDescent="0.25">
      <c r="I25885" s="227" t="str">
        <f>MID(excPisCofins[[#This Row],[CodBarras2]],2,50)</f>
        <v/>
      </c>
    </row>
    <row r="25886" spans="9:9" x14ac:dyDescent="0.25">
      <c r="I25886" s="227" t="str">
        <f>MID(excPisCofins[[#This Row],[CodBarras2]],2,50)</f>
        <v/>
      </c>
    </row>
    <row r="25887" spans="9:9" x14ac:dyDescent="0.25">
      <c r="I25887" s="227" t="str">
        <f>MID(excPisCofins[[#This Row],[CodBarras2]],2,50)</f>
        <v/>
      </c>
    </row>
    <row r="25888" spans="9:9" x14ac:dyDescent="0.25">
      <c r="I25888" s="227" t="str">
        <f>MID(excPisCofins[[#This Row],[CodBarras2]],2,50)</f>
        <v/>
      </c>
    </row>
    <row r="25889" spans="9:9" x14ac:dyDescent="0.25">
      <c r="I25889" s="227" t="str">
        <f>MID(excPisCofins[[#This Row],[CodBarras2]],2,50)</f>
        <v/>
      </c>
    </row>
    <row r="25890" spans="9:9" x14ac:dyDescent="0.25">
      <c r="I25890" s="227" t="str">
        <f>MID(excPisCofins[[#This Row],[CodBarras2]],2,50)</f>
        <v/>
      </c>
    </row>
    <row r="25891" spans="9:9" x14ac:dyDescent="0.25">
      <c r="I25891" s="227" t="str">
        <f>MID(excPisCofins[[#This Row],[CodBarras2]],2,50)</f>
        <v/>
      </c>
    </row>
    <row r="25892" spans="9:9" x14ac:dyDescent="0.25">
      <c r="I25892" s="227" t="str">
        <f>MID(excPisCofins[[#This Row],[CodBarras2]],2,50)</f>
        <v/>
      </c>
    </row>
    <row r="25893" spans="9:9" x14ac:dyDescent="0.25">
      <c r="I25893" s="227" t="str">
        <f>MID(excPisCofins[[#This Row],[CodBarras2]],2,50)</f>
        <v/>
      </c>
    </row>
    <row r="25894" spans="9:9" x14ac:dyDescent="0.25">
      <c r="I25894" s="227" t="str">
        <f>MID(excPisCofins[[#This Row],[CodBarras2]],2,50)</f>
        <v/>
      </c>
    </row>
    <row r="25895" spans="9:9" x14ac:dyDescent="0.25">
      <c r="I25895" s="227" t="str">
        <f>MID(excPisCofins[[#This Row],[CodBarras2]],2,50)</f>
        <v/>
      </c>
    </row>
    <row r="25896" spans="9:9" x14ac:dyDescent="0.25">
      <c r="I25896" s="227" t="str">
        <f>MID(excPisCofins[[#This Row],[CodBarras2]],2,50)</f>
        <v/>
      </c>
    </row>
    <row r="25897" spans="9:9" x14ac:dyDescent="0.25">
      <c r="I25897" s="227" t="str">
        <f>MID(excPisCofins[[#This Row],[CodBarras2]],2,50)</f>
        <v/>
      </c>
    </row>
    <row r="25898" spans="9:9" x14ac:dyDescent="0.25">
      <c r="I25898" s="227" t="str">
        <f>MID(excPisCofins[[#This Row],[CodBarras2]],2,50)</f>
        <v/>
      </c>
    </row>
    <row r="25899" spans="9:9" x14ac:dyDescent="0.25">
      <c r="I25899" s="227" t="str">
        <f>MID(excPisCofins[[#This Row],[CodBarras2]],2,50)</f>
        <v/>
      </c>
    </row>
    <row r="25900" spans="9:9" x14ac:dyDescent="0.25">
      <c r="I25900" s="227" t="str">
        <f>MID(excPisCofins[[#This Row],[CodBarras2]],2,50)</f>
        <v/>
      </c>
    </row>
    <row r="25901" spans="9:9" x14ac:dyDescent="0.25">
      <c r="I25901" s="227" t="str">
        <f>MID(excPisCofins[[#This Row],[CodBarras2]],2,50)</f>
        <v/>
      </c>
    </row>
    <row r="25902" spans="9:9" x14ac:dyDescent="0.25">
      <c r="I25902" s="227" t="str">
        <f>MID(excPisCofins[[#This Row],[CodBarras2]],2,50)</f>
        <v/>
      </c>
    </row>
    <row r="25903" spans="9:9" x14ac:dyDescent="0.25">
      <c r="I25903" s="227" t="str">
        <f>MID(excPisCofins[[#This Row],[CodBarras2]],2,50)</f>
        <v/>
      </c>
    </row>
    <row r="25904" spans="9:9" x14ac:dyDescent="0.25">
      <c r="I25904" s="227" t="str">
        <f>MID(excPisCofins[[#This Row],[CodBarras2]],2,50)</f>
        <v/>
      </c>
    </row>
    <row r="25905" spans="9:9" x14ac:dyDescent="0.25">
      <c r="I25905" s="227" t="str">
        <f>MID(excPisCofins[[#This Row],[CodBarras2]],2,50)</f>
        <v/>
      </c>
    </row>
    <row r="25906" spans="9:9" x14ac:dyDescent="0.25">
      <c r="I25906" s="227" t="str">
        <f>MID(excPisCofins[[#This Row],[CodBarras2]],2,50)</f>
        <v/>
      </c>
    </row>
    <row r="25907" spans="9:9" x14ac:dyDescent="0.25">
      <c r="I25907" s="227" t="str">
        <f>MID(excPisCofins[[#This Row],[CodBarras2]],2,50)</f>
        <v/>
      </c>
    </row>
    <row r="25908" spans="9:9" x14ac:dyDescent="0.25">
      <c r="I25908" s="227" t="str">
        <f>MID(excPisCofins[[#This Row],[CodBarras2]],2,50)</f>
        <v/>
      </c>
    </row>
    <row r="25909" spans="9:9" x14ac:dyDescent="0.25">
      <c r="I25909" s="227" t="str">
        <f>MID(excPisCofins[[#This Row],[CodBarras2]],2,50)</f>
        <v/>
      </c>
    </row>
    <row r="25910" spans="9:9" x14ac:dyDescent="0.25">
      <c r="I25910" s="227" t="str">
        <f>MID(excPisCofins[[#This Row],[CodBarras2]],2,50)</f>
        <v/>
      </c>
    </row>
    <row r="25911" spans="9:9" x14ac:dyDescent="0.25">
      <c r="I25911" s="227" t="str">
        <f>MID(excPisCofins[[#This Row],[CodBarras2]],2,50)</f>
        <v/>
      </c>
    </row>
    <row r="25912" spans="9:9" x14ac:dyDescent="0.25">
      <c r="I25912" s="227" t="str">
        <f>MID(excPisCofins[[#This Row],[CodBarras2]],2,50)</f>
        <v/>
      </c>
    </row>
    <row r="25913" spans="9:9" x14ac:dyDescent="0.25">
      <c r="I25913" s="227" t="str">
        <f>MID(excPisCofins[[#This Row],[CodBarras2]],2,50)</f>
        <v/>
      </c>
    </row>
    <row r="25914" spans="9:9" x14ac:dyDescent="0.25">
      <c r="I25914" s="227" t="str">
        <f>MID(excPisCofins[[#This Row],[CodBarras2]],2,50)</f>
        <v/>
      </c>
    </row>
    <row r="25915" spans="9:9" x14ac:dyDescent="0.25">
      <c r="I25915" s="227" t="str">
        <f>MID(excPisCofins[[#This Row],[CodBarras2]],2,50)</f>
        <v/>
      </c>
    </row>
    <row r="25916" spans="9:9" x14ac:dyDescent="0.25">
      <c r="I25916" s="227" t="str">
        <f>MID(excPisCofins[[#This Row],[CodBarras2]],2,50)</f>
        <v/>
      </c>
    </row>
    <row r="25917" spans="9:9" x14ac:dyDescent="0.25">
      <c r="I25917" s="227" t="str">
        <f>MID(excPisCofins[[#This Row],[CodBarras2]],2,50)</f>
        <v/>
      </c>
    </row>
    <row r="25918" spans="9:9" x14ac:dyDescent="0.25">
      <c r="I25918" s="227" t="str">
        <f>MID(excPisCofins[[#This Row],[CodBarras2]],2,50)</f>
        <v/>
      </c>
    </row>
    <row r="25919" spans="9:9" x14ac:dyDescent="0.25">
      <c r="I25919" s="227" t="str">
        <f>MID(excPisCofins[[#This Row],[CodBarras2]],2,50)</f>
        <v/>
      </c>
    </row>
    <row r="25920" spans="9:9" x14ac:dyDescent="0.25">
      <c r="I25920" s="227" t="str">
        <f>MID(excPisCofins[[#This Row],[CodBarras2]],2,50)</f>
        <v/>
      </c>
    </row>
    <row r="25921" spans="9:9" x14ac:dyDescent="0.25">
      <c r="I25921" s="227" t="str">
        <f>MID(excPisCofins[[#This Row],[CodBarras2]],2,50)</f>
        <v/>
      </c>
    </row>
    <row r="25922" spans="9:9" x14ac:dyDescent="0.25">
      <c r="I25922" s="227" t="str">
        <f>MID(excPisCofins[[#This Row],[CodBarras2]],2,50)</f>
        <v/>
      </c>
    </row>
    <row r="25923" spans="9:9" x14ac:dyDescent="0.25">
      <c r="I25923" s="227" t="str">
        <f>MID(excPisCofins[[#This Row],[CodBarras2]],2,50)</f>
        <v/>
      </c>
    </row>
    <row r="25924" spans="9:9" x14ac:dyDescent="0.25">
      <c r="I25924" s="227" t="str">
        <f>MID(excPisCofins[[#This Row],[CodBarras2]],2,50)</f>
        <v/>
      </c>
    </row>
    <row r="25925" spans="9:9" x14ac:dyDescent="0.25">
      <c r="I25925" s="227" t="str">
        <f>MID(excPisCofins[[#This Row],[CodBarras2]],2,50)</f>
        <v/>
      </c>
    </row>
    <row r="25926" spans="9:9" x14ac:dyDescent="0.25">
      <c r="I25926" s="227" t="str">
        <f>MID(excPisCofins[[#This Row],[CodBarras2]],2,50)</f>
        <v/>
      </c>
    </row>
    <row r="25927" spans="9:9" x14ac:dyDescent="0.25">
      <c r="I25927" s="227" t="str">
        <f>MID(excPisCofins[[#This Row],[CodBarras2]],2,50)</f>
        <v/>
      </c>
    </row>
    <row r="25928" spans="9:9" x14ac:dyDescent="0.25">
      <c r="I25928" s="227" t="str">
        <f>MID(excPisCofins[[#This Row],[CodBarras2]],2,50)</f>
        <v/>
      </c>
    </row>
    <row r="25929" spans="9:9" x14ac:dyDescent="0.25">
      <c r="I25929" s="227" t="str">
        <f>MID(excPisCofins[[#This Row],[CodBarras2]],2,50)</f>
        <v/>
      </c>
    </row>
    <row r="25930" spans="9:9" x14ac:dyDescent="0.25">
      <c r="I25930" s="227" t="str">
        <f>MID(excPisCofins[[#This Row],[CodBarras2]],2,50)</f>
        <v/>
      </c>
    </row>
    <row r="25931" spans="9:9" x14ac:dyDescent="0.25">
      <c r="I25931" s="227" t="str">
        <f>MID(excPisCofins[[#This Row],[CodBarras2]],2,50)</f>
        <v/>
      </c>
    </row>
    <row r="25932" spans="9:9" x14ac:dyDescent="0.25">
      <c r="I25932" s="227" t="str">
        <f>MID(excPisCofins[[#This Row],[CodBarras2]],2,50)</f>
        <v/>
      </c>
    </row>
    <row r="25933" spans="9:9" x14ac:dyDescent="0.25">
      <c r="I25933" s="227" t="str">
        <f>MID(excPisCofins[[#This Row],[CodBarras2]],2,50)</f>
        <v/>
      </c>
    </row>
    <row r="25934" spans="9:9" x14ac:dyDescent="0.25">
      <c r="I25934" s="227" t="str">
        <f>MID(excPisCofins[[#This Row],[CodBarras2]],2,50)</f>
        <v/>
      </c>
    </row>
    <row r="25935" spans="9:9" x14ac:dyDescent="0.25">
      <c r="I25935" s="227" t="str">
        <f>MID(excPisCofins[[#This Row],[CodBarras2]],2,50)</f>
        <v/>
      </c>
    </row>
    <row r="25936" spans="9:9" x14ac:dyDescent="0.25">
      <c r="I25936" s="227" t="str">
        <f>MID(excPisCofins[[#This Row],[CodBarras2]],2,50)</f>
        <v/>
      </c>
    </row>
    <row r="25937" spans="9:9" x14ac:dyDescent="0.25">
      <c r="I25937" s="227" t="str">
        <f>MID(excPisCofins[[#This Row],[CodBarras2]],2,50)</f>
        <v/>
      </c>
    </row>
    <row r="25938" spans="9:9" x14ac:dyDescent="0.25">
      <c r="I25938" s="227" t="str">
        <f>MID(excPisCofins[[#This Row],[CodBarras2]],2,50)</f>
        <v/>
      </c>
    </row>
    <row r="25939" spans="9:9" x14ac:dyDescent="0.25">
      <c r="I25939" s="227" t="str">
        <f>MID(excPisCofins[[#This Row],[CodBarras2]],2,50)</f>
        <v/>
      </c>
    </row>
    <row r="25940" spans="9:9" x14ac:dyDescent="0.25">
      <c r="I25940" s="227" t="str">
        <f>MID(excPisCofins[[#This Row],[CodBarras2]],2,50)</f>
        <v/>
      </c>
    </row>
    <row r="25941" spans="9:9" x14ac:dyDescent="0.25">
      <c r="I25941" s="227" t="str">
        <f>MID(excPisCofins[[#This Row],[CodBarras2]],2,50)</f>
        <v/>
      </c>
    </row>
    <row r="25942" spans="9:9" x14ac:dyDescent="0.25">
      <c r="I25942" s="227" t="str">
        <f>MID(excPisCofins[[#This Row],[CodBarras2]],2,50)</f>
        <v/>
      </c>
    </row>
    <row r="25943" spans="9:9" x14ac:dyDescent="0.25">
      <c r="I25943" s="227" t="str">
        <f>MID(excPisCofins[[#This Row],[CodBarras2]],2,50)</f>
        <v/>
      </c>
    </row>
    <row r="25944" spans="9:9" x14ac:dyDescent="0.25">
      <c r="I25944" s="227" t="str">
        <f>MID(excPisCofins[[#This Row],[CodBarras2]],2,50)</f>
        <v/>
      </c>
    </row>
    <row r="25945" spans="9:9" x14ac:dyDescent="0.25">
      <c r="I25945" s="227" t="str">
        <f>MID(excPisCofins[[#This Row],[CodBarras2]],2,50)</f>
        <v/>
      </c>
    </row>
    <row r="25946" spans="9:9" x14ac:dyDescent="0.25">
      <c r="I25946" s="227" t="str">
        <f>MID(excPisCofins[[#This Row],[CodBarras2]],2,50)</f>
        <v/>
      </c>
    </row>
    <row r="25947" spans="9:9" x14ac:dyDescent="0.25">
      <c r="I25947" s="227" t="str">
        <f>MID(excPisCofins[[#This Row],[CodBarras2]],2,50)</f>
        <v/>
      </c>
    </row>
    <row r="25948" spans="9:9" x14ac:dyDescent="0.25">
      <c r="I25948" s="227" t="str">
        <f>MID(excPisCofins[[#This Row],[CodBarras2]],2,50)</f>
        <v/>
      </c>
    </row>
    <row r="25949" spans="9:9" x14ac:dyDescent="0.25">
      <c r="I25949" s="227" t="str">
        <f>MID(excPisCofins[[#This Row],[CodBarras2]],2,50)</f>
        <v/>
      </c>
    </row>
    <row r="25950" spans="9:9" x14ac:dyDescent="0.25">
      <c r="I25950" s="227" t="str">
        <f>MID(excPisCofins[[#This Row],[CodBarras2]],2,50)</f>
        <v/>
      </c>
    </row>
    <row r="25951" spans="9:9" x14ac:dyDescent="0.25">
      <c r="I25951" s="227" t="str">
        <f>MID(excPisCofins[[#This Row],[CodBarras2]],2,50)</f>
        <v/>
      </c>
    </row>
    <row r="25952" spans="9:9" x14ac:dyDescent="0.25">
      <c r="I25952" s="227" t="str">
        <f>MID(excPisCofins[[#This Row],[CodBarras2]],2,50)</f>
        <v/>
      </c>
    </row>
    <row r="25953" spans="9:9" x14ac:dyDescent="0.25">
      <c r="I25953" s="227" t="str">
        <f>MID(excPisCofins[[#This Row],[CodBarras2]],2,50)</f>
        <v/>
      </c>
    </row>
    <row r="25954" spans="9:9" x14ac:dyDescent="0.25">
      <c r="I25954" s="227" t="str">
        <f>MID(excPisCofins[[#This Row],[CodBarras2]],2,50)</f>
        <v/>
      </c>
    </row>
    <row r="25955" spans="9:9" x14ac:dyDescent="0.25">
      <c r="I25955" s="227" t="str">
        <f>MID(excPisCofins[[#This Row],[CodBarras2]],2,50)</f>
        <v/>
      </c>
    </row>
    <row r="25956" spans="9:9" x14ac:dyDescent="0.25">
      <c r="I25956" s="227" t="str">
        <f>MID(excPisCofins[[#This Row],[CodBarras2]],2,50)</f>
        <v/>
      </c>
    </row>
    <row r="25957" spans="9:9" x14ac:dyDescent="0.25">
      <c r="I25957" s="227" t="str">
        <f>MID(excPisCofins[[#This Row],[CodBarras2]],2,50)</f>
        <v/>
      </c>
    </row>
    <row r="25958" spans="9:9" x14ac:dyDescent="0.25">
      <c r="I25958" s="227" t="str">
        <f>MID(excPisCofins[[#This Row],[CodBarras2]],2,50)</f>
        <v/>
      </c>
    </row>
    <row r="25959" spans="9:9" x14ac:dyDescent="0.25">
      <c r="I25959" s="227" t="str">
        <f>MID(excPisCofins[[#This Row],[CodBarras2]],2,50)</f>
        <v/>
      </c>
    </row>
    <row r="25960" spans="9:9" x14ac:dyDescent="0.25">
      <c r="I25960" s="227" t="str">
        <f>MID(excPisCofins[[#This Row],[CodBarras2]],2,50)</f>
        <v/>
      </c>
    </row>
    <row r="25961" spans="9:9" x14ac:dyDescent="0.25">
      <c r="I25961" s="227" t="str">
        <f>MID(excPisCofins[[#This Row],[CodBarras2]],2,50)</f>
        <v/>
      </c>
    </row>
    <row r="25962" spans="9:9" x14ac:dyDescent="0.25">
      <c r="I25962" s="227" t="str">
        <f>MID(excPisCofins[[#This Row],[CodBarras2]],2,50)</f>
        <v/>
      </c>
    </row>
    <row r="25963" spans="9:9" x14ac:dyDescent="0.25">
      <c r="I25963" s="227" t="str">
        <f>MID(excPisCofins[[#This Row],[CodBarras2]],2,50)</f>
        <v/>
      </c>
    </row>
    <row r="25964" spans="9:9" x14ac:dyDescent="0.25">
      <c r="I25964" s="227" t="str">
        <f>MID(excPisCofins[[#This Row],[CodBarras2]],2,50)</f>
        <v/>
      </c>
    </row>
    <row r="25965" spans="9:9" x14ac:dyDescent="0.25">
      <c r="I25965" s="227" t="str">
        <f>MID(excPisCofins[[#This Row],[CodBarras2]],2,50)</f>
        <v/>
      </c>
    </row>
    <row r="25966" spans="9:9" x14ac:dyDescent="0.25">
      <c r="I25966" s="227" t="str">
        <f>MID(excPisCofins[[#This Row],[CodBarras2]],2,50)</f>
        <v/>
      </c>
    </row>
    <row r="25967" spans="9:9" x14ac:dyDescent="0.25">
      <c r="I25967" s="227" t="str">
        <f>MID(excPisCofins[[#This Row],[CodBarras2]],2,50)</f>
        <v/>
      </c>
    </row>
    <row r="25968" spans="9:9" x14ac:dyDescent="0.25">
      <c r="I25968" s="227" t="str">
        <f>MID(excPisCofins[[#This Row],[CodBarras2]],2,50)</f>
        <v/>
      </c>
    </row>
    <row r="25969" spans="9:9" x14ac:dyDescent="0.25">
      <c r="I25969" s="227" t="str">
        <f>MID(excPisCofins[[#This Row],[CodBarras2]],2,50)</f>
        <v/>
      </c>
    </row>
    <row r="25970" spans="9:9" x14ac:dyDescent="0.25">
      <c r="I25970" s="227" t="str">
        <f>MID(excPisCofins[[#This Row],[CodBarras2]],2,50)</f>
        <v/>
      </c>
    </row>
    <row r="25971" spans="9:9" x14ac:dyDescent="0.25">
      <c r="I25971" s="227" t="str">
        <f>MID(excPisCofins[[#This Row],[CodBarras2]],2,50)</f>
        <v/>
      </c>
    </row>
    <row r="25972" spans="9:9" x14ac:dyDescent="0.25">
      <c r="I25972" s="227" t="str">
        <f>MID(excPisCofins[[#This Row],[CodBarras2]],2,50)</f>
        <v/>
      </c>
    </row>
    <row r="25973" spans="9:9" x14ac:dyDescent="0.25">
      <c r="I25973" s="227" t="str">
        <f>MID(excPisCofins[[#This Row],[CodBarras2]],2,50)</f>
        <v/>
      </c>
    </row>
    <row r="25974" spans="9:9" x14ac:dyDescent="0.25">
      <c r="I25974" s="227" t="str">
        <f>MID(excPisCofins[[#This Row],[CodBarras2]],2,50)</f>
        <v/>
      </c>
    </row>
    <row r="25975" spans="9:9" x14ac:dyDescent="0.25">
      <c r="I25975" s="227" t="str">
        <f>MID(excPisCofins[[#This Row],[CodBarras2]],2,50)</f>
        <v/>
      </c>
    </row>
    <row r="25976" spans="9:9" x14ac:dyDescent="0.25">
      <c r="I25976" s="227" t="str">
        <f>MID(excPisCofins[[#This Row],[CodBarras2]],2,50)</f>
        <v/>
      </c>
    </row>
    <row r="25977" spans="9:9" x14ac:dyDescent="0.25">
      <c r="I25977" s="227" t="str">
        <f>MID(excPisCofins[[#This Row],[CodBarras2]],2,50)</f>
        <v/>
      </c>
    </row>
    <row r="25978" spans="9:9" x14ac:dyDescent="0.25">
      <c r="I25978" s="227" t="str">
        <f>MID(excPisCofins[[#This Row],[CodBarras2]],2,50)</f>
        <v/>
      </c>
    </row>
    <row r="25979" spans="9:9" x14ac:dyDescent="0.25">
      <c r="I25979" s="227" t="str">
        <f>MID(excPisCofins[[#This Row],[CodBarras2]],2,50)</f>
        <v/>
      </c>
    </row>
    <row r="25980" spans="9:9" x14ac:dyDescent="0.25">
      <c r="I25980" s="227" t="str">
        <f>MID(excPisCofins[[#This Row],[CodBarras2]],2,50)</f>
        <v/>
      </c>
    </row>
    <row r="25981" spans="9:9" x14ac:dyDescent="0.25">
      <c r="I25981" s="227" t="str">
        <f>MID(excPisCofins[[#This Row],[CodBarras2]],2,50)</f>
        <v/>
      </c>
    </row>
    <row r="25982" spans="9:9" x14ac:dyDescent="0.25">
      <c r="I25982" s="227" t="str">
        <f>MID(excPisCofins[[#This Row],[CodBarras2]],2,50)</f>
        <v/>
      </c>
    </row>
    <row r="25983" spans="9:9" x14ac:dyDescent="0.25">
      <c r="I25983" s="227" t="str">
        <f>MID(excPisCofins[[#This Row],[CodBarras2]],2,50)</f>
        <v/>
      </c>
    </row>
    <row r="25984" spans="9:9" x14ac:dyDescent="0.25">
      <c r="I25984" s="227" t="str">
        <f>MID(excPisCofins[[#This Row],[CodBarras2]],2,50)</f>
        <v/>
      </c>
    </row>
    <row r="25985" spans="9:9" x14ac:dyDescent="0.25">
      <c r="I25985" s="227" t="str">
        <f>MID(excPisCofins[[#This Row],[CodBarras2]],2,50)</f>
        <v/>
      </c>
    </row>
    <row r="25986" spans="9:9" x14ac:dyDescent="0.25">
      <c r="I25986" s="227" t="str">
        <f>MID(excPisCofins[[#This Row],[CodBarras2]],2,50)</f>
        <v/>
      </c>
    </row>
    <row r="25987" spans="9:9" x14ac:dyDescent="0.25">
      <c r="I25987" s="227" t="str">
        <f>MID(excPisCofins[[#This Row],[CodBarras2]],2,50)</f>
        <v/>
      </c>
    </row>
    <row r="25988" spans="9:9" x14ac:dyDescent="0.25">
      <c r="I25988" s="227" t="str">
        <f>MID(excPisCofins[[#This Row],[CodBarras2]],2,50)</f>
        <v/>
      </c>
    </row>
    <row r="25989" spans="9:9" x14ac:dyDescent="0.25">
      <c r="I25989" s="227" t="str">
        <f>MID(excPisCofins[[#This Row],[CodBarras2]],2,50)</f>
        <v/>
      </c>
    </row>
    <row r="25990" spans="9:9" x14ac:dyDescent="0.25">
      <c r="I25990" s="227" t="str">
        <f>MID(excPisCofins[[#This Row],[CodBarras2]],2,50)</f>
        <v/>
      </c>
    </row>
    <row r="25991" spans="9:9" x14ac:dyDescent="0.25">
      <c r="I25991" s="227" t="str">
        <f>MID(excPisCofins[[#This Row],[CodBarras2]],2,50)</f>
        <v/>
      </c>
    </row>
    <row r="25992" spans="9:9" x14ac:dyDescent="0.25">
      <c r="I25992" s="227" t="str">
        <f>MID(excPisCofins[[#This Row],[CodBarras2]],2,50)</f>
        <v/>
      </c>
    </row>
    <row r="25993" spans="9:9" x14ac:dyDescent="0.25">
      <c r="I25993" s="227" t="str">
        <f>MID(excPisCofins[[#This Row],[CodBarras2]],2,50)</f>
        <v/>
      </c>
    </row>
    <row r="25994" spans="9:9" x14ac:dyDescent="0.25">
      <c r="I25994" s="227" t="str">
        <f>MID(excPisCofins[[#This Row],[CodBarras2]],2,50)</f>
        <v/>
      </c>
    </row>
    <row r="25995" spans="9:9" x14ac:dyDescent="0.25">
      <c r="I25995" s="227" t="str">
        <f>MID(excPisCofins[[#This Row],[CodBarras2]],2,50)</f>
        <v/>
      </c>
    </row>
    <row r="25996" spans="9:9" x14ac:dyDescent="0.25">
      <c r="I25996" s="227" t="str">
        <f>MID(excPisCofins[[#This Row],[CodBarras2]],2,50)</f>
        <v/>
      </c>
    </row>
    <row r="25997" spans="9:9" x14ac:dyDescent="0.25">
      <c r="I25997" s="227" t="str">
        <f>MID(excPisCofins[[#This Row],[CodBarras2]],2,50)</f>
        <v/>
      </c>
    </row>
    <row r="25998" spans="9:9" x14ac:dyDescent="0.25">
      <c r="I25998" s="227" t="str">
        <f>MID(excPisCofins[[#This Row],[CodBarras2]],2,50)</f>
        <v/>
      </c>
    </row>
    <row r="25999" spans="9:9" x14ac:dyDescent="0.25">
      <c r="I25999" s="227" t="str">
        <f>MID(excPisCofins[[#This Row],[CodBarras2]],2,50)</f>
        <v/>
      </c>
    </row>
    <row r="26000" spans="9:9" x14ac:dyDescent="0.25">
      <c r="I26000" s="227" t="str">
        <f>MID(excPisCofins[[#This Row],[CodBarras2]],2,50)</f>
        <v/>
      </c>
    </row>
    <row r="26001" spans="9:9" x14ac:dyDescent="0.25">
      <c r="I26001" s="227" t="str">
        <f>MID(excPisCofins[[#This Row],[CodBarras2]],2,50)</f>
        <v/>
      </c>
    </row>
    <row r="26002" spans="9:9" x14ac:dyDescent="0.25">
      <c r="I26002" s="227" t="str">
        <f>MID(excPisCofins[[#This Row],[CodBarras2]],2,50)</f>
        <v/>
      </c>
    </row>
    <row r="26003" spans="9:9" x14ac:dyDescent="0.25">
      <c r="I26003" s="227" t="str">
        <f>MID(excPisCofins[[#This Row],[CodBarras2]],2,50)</f>
        <v/>
      </c>
    </row>
    <row r="26004" spans="9:9" x14ac:dyDescent="0.25">
      <c r="I26004" s="227" t="str">
        <f>MID(excPisCofins[[#This Row],[CodBarras2]],2,50)</f>
        <v/>
      </c>
    </row>
    <row r="26005" spans="9:9" x14ac:dyDescent="0.25">
      <c r="I26005" s="227" t="str">
        <f>MID(excPisCofins[[#This Row],[CodBarras2]],2,50)</f>
        <v/>
      </c>
    </row>
    <row r="26006" spans="9:9" x14ac:dyDescent="0.25">
      <c r="I26006" s="227" t="str">
        <f>MID(excPisCofins[[#This Row],[CodBarras2]],2,50)</f>
        <v/>
      </c>
    </row>
    <row r="26007" spans="9:9" x14ac:dyDescent="0.25">
      <c r="I26007" s="227" t="str">
        <f>MID(excPisCofins[[#This Row],[CodBarras2]],2,50)</f>
        <v/>
      </c>
    </row>
    <row r="26008" spans="9:9" x14ac:dyDescent="0.25">
      <c r="I26008" s="227" t="str">
        <f>MID(excPisCofins[[#This Row],[CodBarras2]],2,50)</f>
        <v/>
      </c>
    </row>
    <row r="26009" spans="9:9" x14ac:dyDescent="0.25">
      <c r="I26009" s="227" t="str">
        <f>MID(excPisCofins[[#This Row],[CodBarras2]],2,50)</f>
        <v/>
      </c>
    </row>
    <row r="26010" spans="9:9" x14ac:dyDescent="0.25">
      <c r="I26010" s="227" t="str">
        <f>MID(excPisCofins[[#This Row],[CodBarras2]],2,50)</f>
        <v/>
      </c>
    </row>
    <row r="26011" spans="9:9" x14ac:dyDescent="0.25">
      <c r="I26011" s="227" t="str">
        <f>MID(excPisCofins[[#This Row],[CodBarras2]],2,50)</f>
        <v/>
      </c>
    </row>
    <row r="26012" spans="9:9" x14ac:dyDescent="0.25">
      <c r="I26012" s="227" t="str">
        <f>MID(excPisCofins[[#This Row],[CodBarras2]],2,50)</f>
        <v/>
      </c>
    </row>
    <row r="26013" spans="9:9" x14ac:dyDescent="0.25">
      <c r="I26013" s="227" t="str">
        <f>MID(excPisCofins[[#This Row],[CodBarras2]],2,50)</f>
        <v/>
      </c>
    </row>
    <row r="26014" spans="9:9" x14ac:dyDescent="0.25">
      <c r="I26014" s="227" t="str">
        <f>MID(excPisCofins[[#This Row],[CodBarras2]],2,50)</f>
        <v/>
      </c>
    </row>
    <row r="26015" spans="9:9" x14ac:dyDescent="0.25">
      <c r="I26015" s="227" t="str">
        <f>MID(excPisCofins[[#This Row],[CodBarras2]],2,50)</f>
        <v/>
      </c>
    </row>
    <row r="26016" spans="9:9" x14ac:dyDescent="0.25">
      <c r="I26016" s="227" t="str">
        <f>MID(excPisCofins[[#This Row],[CodBarras2]],2,50)</f>
        <v/>
      </c>
    </row>
    <row r="26017" spans="9:9" x14ac:dyDescent="0.25">
      <c r="I26017" s="227" t="str">
        <f>MID(excPisCofins[[#This Row],[CodBarras2]],2,50)</f>
        <v/>
      </c>
    </row>
    <row r="26018" spans="9:9" x14ac:dyDescent="0.25">
      <c r="I26018" s="227" t="str">
        <f>MID(excPisCofins[[#This Row],[CodBarras2]],2,50)</f>
        <v/>
      </c>
    </row>
    <row r="26019" spans="9:9" x14ac:dyDescent="0.25">
      <c r="I26019" s="227" t="str">
        <f>MID(excPisCofins[[#This Row],[CodBarras2]],2,50)</f>
        <v/>
      </c>
    </row>
    <row r="26020" spans="9:9" x14ac:dyDescent="0.25">
      <c r="I26020" s="227" t="str">
        <f>MID(excPisCofins[[#This Row],[CodBarras2]],2,50)</f>
        <v/>
      </c>
    </row>
    <row r="26021" spans="9:9" x14ac:dyDescent="0.25">
      <c r="I26021" s="227" t="str">
        <f>MID(excPisCofins[[#This Row],[CodBarras2]],2,50)</f>
        <v/>
      </c>
    </row>
    <row r="26022" spans="9:9" x14ac:dyDescent="0.25">
      <c r="I26022" s="227" t="str">
        <f>MID(excPisCofins[[#This Row],[CodBarras2]],2,50)</f>
        <v/>
      </c>
    </row>
    <row r="26023" spans="9:9" x14ac:dyDescent="0.25">
      <c r="I26023" s="227" t="str">
        <f>MID(excPisCofins[[#This Row],[CodBarras2]],2,50)</f>
        <v/>
      </c>
    </row>
    <row r="26024" spans="9:9" x14ac:dyDescent="0.25">
      <c r="I26024" s="227" t="str">
        <f>MID(excPisCofins[[#This Row],[CodBarras2]],2,50)</f>
        <v/>
      </c>
    </row>
    <row r="26025" spans="9:9" x14ac:dyDescent="0.25">
      <c r="I26025" s="227" t="str">
        <f>MID(excPisCofins[[#This Row],[CodBarras2]],2,50)</f>
        <v/>
      </c>
    </row>
    <row r="26026" spans="9:9" x14ac:dyDescent="0.25">
      <c r="I26026" s="227" t="str">
        <f>MID(excPisCofins[[#This Row],[CodBarras2]],2,50)</f>
        <v/>
      </c>
    </row>
    <row r="26027" spans="9:9" x14ac:dyDescent="0.25">
      <c r="I26027" s="227" t="str">
        <f>MID(excPisCofins[[#This Row],[CodBarras2]],2,50)</f>
        <v/>
      </c>
    </row>
    <row r="26028" spans="9:9" x14ac:dyDescent="0.25">
      <c r="I26028" s="227" t="str">
        <f>MID(excPisCofins[[#This Row],[CodBarras2]],2,50)</f>
        <v/>
      </c>
    </row>
    <row r="26029" spans="9:9" x14ac:dyDescent="0.25">
      <c r="I26029" s="227" t="str">
        <f>MID(excPisCofins[[#This Row],[CodBarras2]],2,50)</f>
        <v/>
      </c>
    </row>
    <row r="26030" spans="9:9" x14ac:dyDescent="0.25">
      <c r="I26030" s="227" t="str">
        <f>MID(excPisCofins[[#This Row],[CodBarras2]],2,50)</f>
        <v/>
      </c>
    </row>
    <row r="26031" spans="9:9" x14ac:dyDescent="0.25">
      <c r="I26031" s="227" t="str">
        <f>MID(excPisCofins[[#This Row],[CodBarras2]],2,50)</f>
        <v/>
      </c>
    </row>
    <row r="26032" spans="9:9" x14ac:dyDescent="0.25">
      <c r="I26032" s="227" t="str">
        <f>MID(excPisCofins[[#This Row],[CodBarras2]],2,50)</f>
        <v/>
      </c>
    </row>
    <row r="26033" spans="9:9" x14ac:dyDescent="0.25">
      <c r="I26033" s="227" t="str">
        <f>MID(excPisCofins[[#This Row],[CodBarras2]],2,50)</f>
        <v/>
      </c>
    </row>
    <row r="26034" spans="9:9" x14ac:dyDescent="0.25">
      <c r="I26034" s="227" t="str">
        <f>MID(excPisCofins[[#This Row],[CodBarras2]],2,50)</f>
        <v/>
      </c>
    </row>
    <row r="26035" spans="9:9" x14ac:dyDescent="0.25">
      <c r="I26035" s="227" t="str">
        <f>MID(excPisCofins[[#This Row],[CodBarras2]],2,50)</f>
        <v/>
      </c>
    </row>
    <row r="26036" spans="9:9" x14ac:dyDescent="0.25">
      <c r="I26036" s="227" t="str">
        <f>MID(excPisCofins[[#This Row],[CodBarras2]],2,50)</f>
        <v/>
      </c>
    </row>
    <row r="26037" spans="9:9" x14ac:dyDescent="0.25">
      <c r="I26037" s="227" t="str">
        <f>MID(excPisCofins[[#This Row],[CodBarras2]],2,50)</f>
        <v/>
      </c>
    </row>
    <row r="26038" spans="9:9" x14ac:dyDescent="0.25">
      <c r="I26038" s="227" t="str">
        <f>MID(excPisCofins[[#This Row],[CodBarras2]],2,50)</f>
        <v/>
      </c>
    </row>
    <row r="26039" spans="9:9" x14ac:dyDescent="0.25">
      <c r="I26039" s="227" t="str">
        <f>MID(excPisCofins[[#This Row],[CodBarras2]],2,50)</f>
        <v/>
      </c>
    </row>
    <row r="26040" spans="9:9" x14ac:dyDescent="0.25">
      <c r="I26040" s="227" t="str">
        <f>MID(excPisCofins[[#This Row],[CodBarras2]],2,50)</f>
        <v/>
      </c>
    </row>
    <row r="26041" spans="9:9" x14ac:dyDescent="0.25">
      <c r="I26041" s="227" t="str">
        <f>MID(excPisCofins[[#This Row],[CodBarras2]],2,50)</f>
        <v/>
      </c>
    </row>
    <row r="26042" spans="9:9" x14ac:dyDescent="0.25">
      <c r="I26042" s="227" t="str">
        <f>MID(excPisCofins[[#This Row],[CodBarras2]],2,50)</f>
        <v/>
      </c>
    </row>
    <row r="26043" spans="9:9" x14ac:dyDescent="0.25">
      <c r="I26043" s="227" t="str">
        <f>MID(excPisCofins[[#This Row],[CodBarras2]],2,50)</f>
        <v/>
      </c>
    </row>
    <row r="26044" spans="9:9" x14ac:dyDescent="0.25">
      <c r="I26044" s="227" t="str">
        <f>MID(excPisCofins[[#This Row],[CodBarras2]],2,50)</f>
        <v/>
      </c>
    </row>
    <row r="26045" spans="9:9" x14ac:dyDescent="0.25">
      <c r="I26045" s="227" t="str">
        <f>MID(excPisCofins[[#This Row],[CodBarras2]],2,50)</f>
        <v/>
      </c>
    </row>
    <row r="26046" spans="9:9" x14ac:dyDescent="0.25">
      <c r="I26046" s="227" t="str">
        <f>MID(excPisCofins[[#This Row],[CodBarras2]],2,50)</f>
        <v/>
      </c>
    </row>
    <row r="26047" spans="9:9" x14ac:dyDescent="0.25">
      <c r="I26047" s="227" t="str">
        <f>MID(excPisCofins[[#This Row],[CodBarras2]],2,50)</f>
        <v/>
      </c>
    </row>
    <row r="26048" spans="9:9" x14ac:dyDescent="0.25">
      <c r="I26048" s="227" t="str">
        <f>MID(excPisCofins[[#This Row],[CodBarras2]],2,50)</f>
        <v/>
      </c>
    </row>
    <row r="26049" spans="9:9" x14ac:dyDescent="0.25">
      <c r="I26049" s="227" t="str">
        <f>MID(excPisCofins[[#This Row],[CodBarras2]],2,50)</f>
        <v/>
      </c>
    </row>
    <row r="26050" spans="9:9" x14ac:dyDescent="0.25">
      <c r="I26050" s="227" t="str">
        <f>MID(excPisCofins[[#This Row],[CodBarras2]],2,50)</f>
        <v/>
      </c>
    </row>
    <row r="26051" spans="9:9" x14ac:dyDescent="0.25">
      <c r="I26051" s="227" t="str">
        <f>MID(excPisCofins[[#This Row],[CodBarras2]],2,50)</f>
        <v/>
      </c>
    </row>
    <row r="26052" spans="9:9" x14ac:dyDescent="0.25">
      <c r="I26052" s="227" t="str">
        <f>MID(excPisCofins[[#This Row],[CodBarras2]],2,50)</f>
        <v/>
      </c>
    </row>
    <row r="26053" spans="9:9" x14ac:dyDescent="0.25">
      <c r="I26053" s="227" t="str">
        <f>MID(excPisCofins[[#This Row],[CodBarras2]],2,50)</f>
        <v/>
      </c>
    </row>
    <row r="26054" spans="9:9" x14ac:dyDescent="0.25">
      <c r="I26054" s="227" t="str">
        <f>MID(excPisCofins[[#This Row],[CodBarras2]],2,50)</f>
        <v/>
      </c>
    </row>
    <row r="26055" spans="9:9" x14ac:dyDescent="0.25">
      <c r="I26055" s="227" t="str">
        <f>MID(excPisCofins[[#This Row],[CodBarras2]],2,50)</f>
        <v/>
      </c>
    </row>
    <row r="26056" spans="9:9" x14ac:dyDescent="0.25">
      <c r="I26056" s="227" t="str">
        <f>MID(excPisCofins[[#This Row],[CodBarras2]],2,50)</f>
        <v/>
      </c>
    </row>
    <row r="26057" spans="9:9" x14ac:dyDescent="0.25">
      <c r="I26057" s="227" t="str">
        <f>MID(excPisCofins[[#This Row],[CodBarras2]],2,50)</f>
        <v/>
      </c>
    </row>
    <row r="26058" spans="9:9" x14ac:dyDescent="0.25">
      <c r="I26058" s="227" t="str">
        <f>MID(excPisCofins[[#This Row],[CodBarras2]],2,50)</f>
        <v/>
      </c>
    </row>
    <row r="26059" spans="9:9" x14ac:dyDescent="0.25">
      <c r="I26059" s="227" t="str">
        <f>MID(excPisCofins[[#This Row],[CodBarras2]],2,50)</f>
        <v/>
      </c>
    </row>
    <row r="26060" spans="9:9" x14ac:dyDescent="0.25">
      <c r="I26060" s="227" t="str">
        <f>MID(excPisCofins[[#This Row],[CodBarras2]],2,50)</f>
        <v/>
      </c>
    </row>
    <row r="26061" spans="9:9" x14ac:dyDescent="0.25">
      <c r="I26061" s="227" t="str">
        <f>MID(excPisCofins[[#This Row],[CodBarras2]],2,50)</f>
        <v/>
      </c>
    </row>
    <row r="26062" spans="9:9" x14ac:dyDescent="0.25">
      <c r="I26062" s="227" t="str">
        <f>MID(excPisCofins[[#This Row],[CodBarras2]],2,50)</f>
        <v/>
      </c>
    </row>
    <row r="26063" spans="9:9" x14ac:dyDescent="0.25">
      <c r="I26063" s="227" t="str">
        <f>MID(excPisCofins[[#This Row],[CodBarras2]],2,50)</f>
        <v/>
      </c>
    </row>
    <row r="26064" spans="9:9" x14ac:dyDescent="0.25">
      <c r="I26064" s="227" t="str">
        <f>MID(excPisCofins[[#This Row],[CodBarras2]],2,50)</f>
        <v/>
      </c>
    </row>
    <row r="26065" spans="9:9" x14ac:dyDescent="0.25">
      <c r="I26065" s="227" t="str">
        <f>MID(excPisCofins[[#This Row],[CodBarras2]],2,50)</f>
        <v/>
      </c>
    </row>
    <row r="26066" spans="9:9" x14ac:dyDescent="0.25">
      <c r="I26066" s="227" t="str">
        <f>MID(excPisCofins[[#This Row],[CodBarras2]],2,50)</f>
        <v/>
      </c>
    </row>
    <row r="26067" spans="9:9" x14ac:dyDescent="0.25">
      <c r="I26067" s="227" t="str">
        <f>MID(excPisCofins[[#This Row],[CodBarras2]],2,50)</f>
        <v/>
      </c>
    </row>
    <row r="26068" spans="9:9" x14ac:dyDescent="0.25">
      <c r="I26068" s="227" t="str">
        <f>MID(excPisCofins[[#This Row],[CodBarras2]],2,50)</f>
        <v/>
      </c>
    </row>
    <row r="26069" spans="9:9" x14ac:dyDescent="0.25">
      <c r="I26069" s="227" t="str">
        <f>MID(excPisCofins[[#This Row],[CodBarras2]],2,50)</f>
        <v/>
      </c>
    </row>
    <row r="26070" spans="9:9" x14ac:dyDescent="0.25">
      <c r="I26070" s="227" t="str">
        <f>MID(excPisCofins[[#This Row],[CodBarras2]],2,50)</f>
        <v/>
      </c>
    </row>
    <row r="26071" spans="9:9" x14ac:dyDescent="0.25">
      <c r="I26071" s="227" t="str">
        <f>MID(excPisCofins[[#This Row],[CodBarras2]],2,50)</f>
        <v/>
      </c>
    </row>
    <row r="26072" spans="9:9" x14ac:dyDescent="0.25">
      <c r="I26072" s="227" t="str">
        <f>MID(excPisCofins[[#This Row],[CodBarras2]],2,50)</f>
        <v/>
      </c>
    </row>
    <row r="26073" spans="9:9" x14ac:dyDescent="0.25">
      <c r="I26073" s="227" t="str">
        <f>MID(excPisCofins[[#This Row],[CodBarras2]],2,50)</f>
        <v/>
      </c>
    </row>
    <row r="26074" spans="9:9" x14ac:dyDescent="0.25">
      <c r="I26074" s="227" t="str">
        <f>MID(excPisCofins[[#This Row],[CodBarras2]],2,50)</f>
        <v/>
      </c>
    </row>
    <row r="26075" spans="9:9" x14ac:dyDescent="0.25">
      <c r="I26075" s="227" t="str">
        <f>MID(excPisCofins[[#This Row],[CodBarras2]],2,50)</f>
        <v/>
      </c>
    </row>
    <row r="26076" spans="9:9" x14ac:dyDescent="0.25">
      <c r="I26076" s="227" t="str">
        <f>MID(excPisCofins[[#This Row],[CodBarras2]],2,50)</f>
        <v/>
      </c>
    </row>
    <row r="26077" spans="9:9" x14ac:dyDescent="0.25">
      <c r="I26077" s="227" t="str">
        <f>MID(excPisCofins[[#This Row],[CodBarras2]],2,50)</f>
        <v/>
      </c>
    </row>
    <row r="26078" spans="9:9" x14ac:dyDescent="0.25">
      <c r="I26078" s="227" t="str">
        <f>MID(excPisCofins[[#This Row],[CodBarras2]],2,50)</f>
        <v/>
      </c>
    </row>
    <row r="26079" spans="9:9" x14ac:dyDescent="0.25">
      <c r="I26079" s="227" t="str">
        <f>MID(excPisCofins[[#This Row],[CodBarras2]],2,50)</f>
        <v/>
      </c>
    </row>
    <row r="26080" spans="9:9" x14ac:dyDescent="0.25">
      <c r="I26080" s="227" t="str">
        <f>MID(excPisCofins[[#This Row],[CodBarras2]],2,50)</f>
        <v/>
      </c>
    </row>
    <row r="26081" spans="9:9" x14ac:dyDescent="0.25">
      <c r="I26081" s="227" t="str">
        <f>MID(excPisCofins[[#This Row],[CodBarras2]],2,50)</f>
        <v/>
      </c>
    </row>
    <row r="26082" spans="9:9" x14ac:dyDescent="0.25">
      <c r="I26082" s="227" t="str">
        <f>MID(excPisCofins[[#This Row],[CodBarras2]],2,50)</f>
        <v/>
      </c>
    </row>
    <row r="26083" spans="9:9" x14ac:dyDescent="0.25">
      <c r="I26083" s="227" t="str">
        <f>MID(excPisCofins[[#This Row],[CodBarras2]],2,50)</f>
        <v/>
      </c>
    </row>
    <row r="26084" spans="9:9" x14ac:dyDescent="0.25">
      <c r="I26084" s="227" t="str">
        <f>MID(excPisCofins[[#This Row],[CodBarras2]],2,50)</f>
        <v/>
      </c>
    </row>
    <row r="26085" spans="9:9" x14ac:dyDescent="0.25">
      <c r="I26085" s="227" t="str">
        <f>MID(excPisCofins[[#This Row],[CodBarras2]],2,50)</f>
        <v/>
      </c>
    </row>
    <row r="26086" spans="9:9" x14ac:dyDescent="0.25">
      <c r="I26086" s="227" t="str">
        <f>MID(excPisCofins[[#This Row],[CodBarras2]],2,50)</f>
        <v/>
      </c>
    </row>
    <row r="26087" spans="9:9" x14ac:dyDescent="0.25">
      <c r="I26087" s="227" t="str">
        <f>MID(excPisCofins[[#This Row],[CodBarras2]],2,50)</f>
        <v/>
      </c>
    </row>
    <row r="26088" spans="9:9" x14ac:dyDescent="0.25">
      <c r="I26088" s="227" t="str">
        <f>MID(excPisCofins[[#This Row],[CodBarras2]],2,50)</f>
        <v/>
      </c>
    </row>
    <row r="26089" spans="9:9" x14ac:dyDescent="0.25">
      <c r="I26089" s="227" t="str">
        <f>MID(excPisCofins[[#This Row],[CodBarras2]],2,50)</f>
        <v/>
      </c>
    </row>
    <row r="26090" spans="9:9" x14ac:dyDescent="0.25">
      <c r="I26090" s="227" t="str">
        <f>MID(excPisCofins[[#This Row],[CodBarras2]],2,50)</f>
        <v/>
      </c>
    </row>
    <row r="26091" spans="9:9" x14ac:dyDescent="0.25">
      <c r="I26091" s="227" t="str">
        <f>MID(excPisCofins[[#This Row],[CodBarras2]],2,50)</f>
        <v/>
      </c>
    </row>
    <row r="26092" spans="9:9" x14ac:dyDescent="0.25">
      <c r="I26092" s="227" t="str">
        <f>MID(excPisCofins[[#This Row],[CodBarras2]],2,50)</f>
        <v/>
      </c>
    </row>
    <row r="26093" spans="9:9" x14ac:dyDescent="0.25">
      <c r="I26093" s="227" t="str">
        <f>MID(excPisCofins[[#This Row],[CodBarras2]],2,50)</f>
        <v/>
      </c>
    </row>
    <row r="26094" spans="9:9" x14ac:dyDescent="0.25">
      <c r="I26094" s="227" t="str">
        <f>MID(excPisCofins[[#This Row],[CodBarras2]],2,50)</f>
        <v/>
      </c>
    </row>
    <row r="26095" spans="9:9" x14ac:dyDescent="0.25">
      <c r="I26095" s="227" t="str">
        <f>MID(excPisCofins[[#This Row],[CodBarras2]],2,50)</f>
        <v/>
      </c>
    </row>
    <row r="26096" spans="9:9" x14ac:dyDescent="0.25">
      <c r="I26096" s="227" t="str">
        <f>MID(excPisCofins[[#This Row],[CodBarras2]],2,50)</f>
        <v/>
      </c>
    </row>
    <row r="26097" spans="9:9" x14ac:dyDescent="0.25">
      <c r="I26097" s="227" t="str">
        <f>MID(excPisCofins[[#This Row],[CodBarras2]],2,50)</f>
        <v/>
      </c>
    </row>
    <row r="26098" spans="9:9" x14ac:dyDescent="0.25">
      <c r="I26098" s="227" t="str">
        <f>MID(excPisCofins[[#This Row],[CodBarras2]],2,50)</f>
        <v/>
      </c>
    </row>
    <row r="26099" spans="9:9" x14ac:dyDescent="0.25">
      <c r="I26099" s="227" t="str">
        <f>MID(excPisCofins[[#This Row],[CodBarras2]],2,50)</f>
        <v/>
      </c>
    </row>
    <row r="26100" spans="9:9" x14ac:dyDescent="0.25">
      <c r="I26100" s="227" t="str">
        <f>MID(excPisCofins[[#This Row],[CodBarras2]],2,50)</f>
        <v/>
      </c>
    </row>
    <row r="26101" spans="9:9" x14ac:dyDescent="0.25">
      <c r="I26101" s="227" t="str">
        <f>MID(excPisCofins[[#This Row],[CodBarras2]],2,50)</f>
        <v/>
      </c>
    </row>
    <row r="26102" spans="9:9" x14ac:dyDescent="0.25">
      <c r="I26102" s="227" t="str">
        <f>MID(excPisCofins[[#This Row],[CodBarras2]],2,50)</f>
        <v/>
      </c>
    </row>
    <row r="26103" spans="9:9" x14ac:dyDescent="0.25">
      <c r="I26103" s="227" t="str">
        <f>MID(excPisCofins[[#This Row],[CodBarras2]],2,50)</f>
        <v/>
      </c>
    </row>
    <row r="26104" spans="9:9" x14ac:dyDescent="0.25">
      <c r="I26104" s="227" t="str">
        <f>MID(excPisCofins[[#This Row],[CodBarras2]],2,50)</f>
        <v/>
      </c>
    </row>
    <row r="26105" spans="9:9" x14ac:dyDescent="0.25">
      <c r="I26105" s="227" t="str">
        <f>MID(excPisCofins[[#This Row],[CodBarras2]],2,50)</f>
        <v/>
      </c>
    </row>
    <row r="26106" spans="9:9" x14ac:dyDescent="0.25">
      <c r="I26106" s="227" t="str">
        <f>MID(excPisCofins[[#This Row],[CodBarras2]],2,50)</f>
        <v/>
      </c>
    </row>
    <row r="26107" spans="9:9" x14ac:dyDescent="0.25">
      <c r="I26107" s="227" t="str">
        <f>MID(excPisCofins[[#This Row],[CodBarras2]],2,50)</f>
        <v/>
      </c>
    </row>
    <row r="26108" spans="9:9" x14ac:dyDescent="0.25">
      <c r="I26108" s="227" t="str">
        <f>MID(excPisCofins[[#This Row],[CodBarras2]],2,50)</f>
        <v/>
      </c>
    </row>
    <row r="26109" spans="9:9" x14ac:dyDescent="0.25">
      <c r="I26109" s="227" t="str">
        <f>MID(excPisCofins[[#This Row],[CodBarras2]],2,50)</f>
        <v/>
      </c>
    </row>
    <row r="26110" spans="9:9" x14ac:dyDescent="0.25">
      <c r="I26110" s="227" t="str">
        <f>MID(excPisCofins[[#This Row],[CodBarras2]],2,50)</f>
        <v/>
      </c>
    </row>
    <row r="26111" spans="9:9" x14ac:dyDescent="0.25">
      <c r="I26111" s="227" t="str">
        <f>MID(excPisCofins[[#This Row],[CodBarras2]],2,50)</f>
        <v/>
      </c>
    </row>
    <row r="26112" spans="9:9" x14ac:dyDescent="0.25">
      <c r="I26112" s="227" t="str">
        <f>MID(excPisCofins[[#This Row],[CodBarras2]],2,50)</f>
        <v/>
      </c>
    </row>
    <row r="26113" spans="9:9" x14ac:dyDescent="0.25">
      <c r="I26113" s="227" t="str">
        <f>MID(excPisCofins[[#This Row],[CodBarras2]],2,50)</f>
        <v/>
      </c>
    </row>
    <row r="26114" spans="9:9" x14ac:dyDescent="0.25">
      <c r="I26114" s="227" t="str">
        <f>MID(excPisCofins[[#This Row],[CodBarras2]],2,50)</f>
        <v/>
      </c>
    </row>
    <row r="26115" spans="9:9" x14ac:dyDescent="0.25">
      <c r="I26115" s="227" t="str">
        <f>MID(excPisCofins[[#This Row],[CodBarras2]],2,50)</f>
        <v/>
      </c>
    </row>
    <row r="26116" spans="9:9" x14ac:dyDescent="0.25">
      <c r="I26116" s="227" t="str">
        <f>MID(excPisCofins[[#This Row],[CodBarras2]],2,50)</f>
        <v/>
      </c>
    </row>
    <row r="26117" spans="9:9" x14ac:dyDescent="0.25">
      <c r="I26117" s="227" t="str">
        <f>MID(excPisCofins[[#This Row],[CodBarras2]],2,50)</f>
        <v/>
      </c>
    </row>
    <row r="26118" spans="9:9" x14ac:dyDescent="0.25">
      <c r="I26118" s="227" t="str">
        <f>MID(excPisCofins[[#This Row],[CodBarras2]],2,50)</f>
        <v/>
      </c>
    </row>
    <row r="26119" spans="9:9" x14ac:dyDescent="0.25">
      <c r="I26119" s="227" t="str">
        <f>MID(excPisCofins[[#This Row],[CodBarras2]],2,50)</f>
        <v/>
      </c>
    </row>
    <row r="26120" spans="9:9" x14ac:dyDescent="0.25">
      <c r="I26120" s="227" t="str">
        <f>MID(excPisCofins[[#This Row],[CodBarras2]],2,50)</f>
        <v/>
      </c>
    </row>
    <row r="26121" spans="9:9" x14ac:dyDescent="0.25">
      <c r="I26121" s="227" t="str">
        <f>MID(excPisCofins[[#This Row],[CodBarras2]],2,50)</f>
        <v/>
      </c>
    </row>
    <row r="26122" spans="9:9" x14ac:dyDescent="0.25">
      <c r="I26122" s="227" t="str">
        <f>MID(excPisCofins[[#This Row],[CodBarras2]],2,50)</f>
        <v/>
      </c>
    </row>
    <row r="26123" spans="9:9" x14ac:dyDescent="0.25">
      <c r="I26123" s="227" t="str">
        <f>MID(excPisCofins[[#This Row],[CodBarras2]],2,50)</f>
        <v/>
      </c>
    </row>
    <row r="26124" spans="9:9" x14ac:dyDescent="0.25">
      <c r="I26124" s="227" t="str">
        <f>MID(excPisCofins[[#This Row],[CodBarras2]],2,50)</f>
        <v/>
      </c>
    </row>
    <row r="26125" spans="9:9" x14ac:dyDescent="0.25">
      <c r="I26125" s="227" t="str">
        <f>MID(excPisCofins[[#This Row],[CodBarras2]],2,50)</f>
        <v/>
      </c>
    </row>
    <row r="26126" spans="9:9" x14ac:dyDescent="0.25">
      <c r="I26126" s="227" t="str">
        <f>MID(excPisCofins[[#This Row],[CodBarras2]],2,50)</f>
        <v/>
      </c>
    </row>
    <row r="26127" spans="9:9" x14ac:dyDescent="0.25">
      <c r="I26127" s="227" t="str">
        <f>MID(excPisCofins[[#This Row],[CodBarras2]],2,50)</f>
        <v/>
      </c>
    </row>
    <row r="26128" spans="9:9" x14ac:dyDescent="0.25">
      <c r="I26128" s="227" t="str">
        <f>MID(excPisCofins[[#This Row],[CodBarras2]],2,50)</f>
        <v/>
      </c>
    </row>
    <row r="26129" spans="9:9" x14ac:dyDescent="0.25">
      <c r="I26129" s="227" t="str">
        <f>MID(excPisCofins[[#This Row],[CodBarras2]],2,50)</f>
        <v/>
      </c>
    </row>
    <row r="26130" spans="9:9" x14ac:dyDescent="0.25">
      <c r="I26130" s="227" t="str">
        <f>MID(excPisCofins[[#This Row],[CodBarras2]],2,50)</f>
        <v/>
      </c>
    </row>
    <row r="26131" spans="9:9" x14ac:dyDescent="0.25">
      <c r="I26131" s="227" t="str">
        <f>MID(excPisCofins[[#This Row],[CodBarras2]],2,50)</f>
        <v/>
      </c>
    </row>
    <row r="26132" spans="9:9" x14ac:dyDescent="0.25">
      <c r="I26132" s="227" t="str">
        <f>MID(excPisCofins[[#This Row],[CodBarras2]],2,50)</f>
        <v/>
      </c>
    </row>
    <row r="26133" spans="9:9" x14ac:dyDescent="0.25">
      <c r="I26133" s="227" t="str">
        <f>MID(excPisCofins[[#This Row],[CodBarras2]],2,50)</f>
        <v/>
      </c>
    </row>
    <row r="26134" spans="9:9" x14ac:dyDescent="0.25">
      <c r="I26134" s="227" t="str">
        <f>MID(excPisCofins[[#This Row],[CodBarras2]],2,50)</f>
        <v/>
      </c>
    </row>
    <row r="26135" spans="9:9" x14ac:dyDescent="0.25">
      <c r="I26135" s="227" t="str">
        <f>MID(excPisCofins[[#This Row],[CodBarras2]],2,50)</f>
        <v/>
      </c>
    </row>
    <row r="26136" spans="9:9" x14ac:dyDescent="0.25">
      <c r="I26136" s="227" t="str">
        <f>MID(excPisCofins[[#This Row],[CodBarras2]],2,50)</f>
        <v/>
      </c>
    </row>
    <row r="26137" spans="9:9" x14ac:dyDescent="0.25">
      <c r="I26137" s="227" t="str">
        <f>MID(excPisCofins[[#This Row],[CodBarras2]],2,50)</f>
        <v/>
      </c>
    </row>
    <row r="26138" spans="9:9" x14ac:dyDescent="0.25">
      <c r="I26138" s="227" t="str">
        <f>MID(excPisCofins[[#This Row],[CodBarras2]],2,50)</f>
        <v/>
      </c>
    </row>
    <row r="26139" spans="9:9" x14ac:dyDescent="0.25">
      <c r="I26139" s="227" t="str">
        <f>MID(excPisCofins[[#This Row],[CodBarras2]],2,50)</f>
        <v/>
      </c>
    </row>
    <row r="26140" spans="9:9" x14ac:dyDescent="0.25">
      <c r="I26140" s="227" t="str">
        <f>MID(excPisCofins[[#This Row],[CodBarras2]],2,50)</f>
        <v/>
      </c>
    </row>
    <row r="26141" spans="9:9" x14ac:dyDescent="0.25">
      <c r="I26141" s="227" t="str">
        <f>MID(excPisCofins[[#This Row],[CodBarras2]],2,50)</f>
        <v/>
      </c>
    </row>
    <row r="26142" spans="9:9" x14ac:dyDescent="0.25">
      <c r="I26142" s="227" t="str">
        <f>MID(excPisCofins[[#This Row],[CodBarras2]],2,50)</f>
        <v/>
      </c>
    </row>
    <row r="26143" spans="9:9" x14ac:dyDescent="0.25">
      <c r="I26143" s="227" t="str">
        <f>MID(excPisCofins[[#This Row],[CodBarras2]],2,50)</f>
        <v/>
      </c>
    </row>
    <row r="26144" spans="9:9" x14ac:dyDescent="0.25">
      <c r="I26144" s="227" t="str">
        <f>MID(excPisCofins[[#This Row],[CodBarras2]],2,50)</f>
        <v/>
      </c>
    </row>
    <row r="26145" spans="9:9" x14ac:dyDescent="0.25">
      <c r="I26145" s="227" t="str">
        <f>MID(excPisCofins[[#This Row],[CodBarras2]],2,50)</f>
        <v/>
      </c>
    </row>
    <row r="26146" spans="9:9" x14ac:dyDescent="0.25">
      <c r="I26146" s="227" t="str">
        <f>MID(excPisCofins[[#This Row],[CodBarras2]],2,50)</f>
        <v/>
      </c>
    </row>
    <row r="26147" spans="9:9" x14ac:dyDescent="0.25">
      <c r="I26147" s="227" t="str">
        <f>MID(excPisCofins[[#This Row],[CodBarras2]],2,50)</f>
        <v/>
      </c>
    </row>
    <row r="26148" spans="9:9" x14ac:dyDescent="0.25">
      <c r="I26148" s="227" t="str">
        <f>MID(excPisCofins[[#This Row],[CodBarras2]],2,50)</f>
        <v/>
      </c>
    </row>
    <row r="26149" spans="9:9" x14ac:dyDescent="0.25">
      <c r="I26149" s="227" t="str">
        <f>MID(excPisCofins[[#This Row],[CodBarras2]],2,50)</f>
        <v/>
      </c>
    </row>
    <row r="26150" spans="9:9" x14ac:dyDescent="0.25">
      <c r="I26150" s="227" t="str">
        <f>MID(excPisCofins[[#This Row],[CodBarras2]],2,50)</f>
        <v/>
      </c>
    </row>
    <row r="26151" spans="9:9" x14ac:dyDescent="0.25">
      <c r="I26151" s="227" t="str">
        <f>MID(excPisCofins[[#This Row],[CodBarras2]],2,50)</f>
        <v/>
      </c>
    </row>
    <row r="26152" spans="9:9" x14ac:dyDescent="0.25">
      <c r="I26152" s="227" t="str">
        <f>MID(excPisCofins[[#This Row],[CodBarras2]],2,50)</f>
        <v/>
      </c>
    </row>
    <row r="26153" spans="9:9" x14ac:dyDescent="0.25">
      <c r="I26153" s="227" t="str">
        <f>MID(excPisCofins[[#This Row],[CodBarras2]],2,50)</f>
        <v/>
      </c>
    </row>
    <row r="26154" spans="9:9" x14ac:dyDescent="0.25">
      <c r="I26154" s="227" t="str">
        <f>MID(excPisCofins[[#This Row],[CodBarras2]],2,50)</f>
        <v/>
      </c>
    </row>
    <row r="26155" spans="9:9" x14ac:dyDescent="0.25">
      <c r="I26155" s="227" t="str">
        <f>MID(excPisCofins[[#This Row],[CodBarras2]],2,50)</f>
        <v/>
      </c>
    </row>
    <row r="26156" spans="9:9" x14ac:dyDescent="0.25">
      <c r="I26156" s="227" t="str">
        <f>MID(excPisCofins[[#This Row],[CodBarras2]],2,50)</f>
        <v/>
      </c>
    </row>
    <row r="26157" spans="9:9" x14ac:dyDescent="0.25">
      <c r="I26157" s="227" t="str">
        <f>MID(excPisCofins[[#This Row],[CodBarras2]],2,50)</f>
        <v/>
      </c>
    </row>
    <row r="26158" spans="9:9" x14ac:dyDescent="0.25">
      <c r="I26158" s="227" t="str">
        <f>MID(excPisCofins[[#This Row],[CodBarras2]],2,50)</f>
        <v/>
      </c>
    </row>
    <row r="26159" spans="9:9" x14ac:dyDescent="0.25">
      <c r="I26159" s="227" t="str">
        <f>MID(excPisCofins[[#This Row],[CodBarras2]],2,50)</f>
        <v/>
      </c>
    </row>
    <row r="26160" spans="9:9" x14ac:dyDescent="0.25">
      <c r="I26160" s="227" t="str">
        <f>MID(excPisCofins[[#This Row],[CodBarras2]],2,50)</f>
        <v/>
      </c>
    </row>
    <row r="26161" spans="9:9" x14ac:dyDescent="0.25">
      <c r="I26161" s="227" t="str">
        <f>MID(excPisCofins[[#This Row],[CodBarras2]],2,50)</f>
        <v/>
      </c>
    </row>
    <row r="26162" spans="9:9" x14ac:dyDescent="0.25">
      <c r="I26162" s="227" t="str">
        <f>MID(excPisCofins[[#This Row],[CodBarras2]],2,50)</f>
        <v/>
      </c>
    </row>
    <row r="26163" spans="9:9" x14ac:dyDescent="0.25">
      <c r="I26163" s="227" t="str">
        <f>MID(excPisCofins[[#This Row],[CodBarras2]],2,50)</f>
        <v/>
      </c>
    </row>
    <row r="26164" spans="9:9" x14ac:dyDescent="0.25">
      <c r="I26164" s="227" t="str">
        <f>MID(excPisCofins[[#This Row],[CodBarras2]],2,50)</f>
        <v/>
      </c>
    </row>
    <row r="26165" spans="9:9" x14ac:dyDescent="0.25">
      <c r="I26165" s="227" t="str">
        <f>MID(excPisCofins[[#This Row],[CodBarras2]],2,50)</f>
        <v/>
      </c>
    </row>
    <row r="26166" spans="9:9" x14ac:dyDescent="0.25">
      <c r="I26166" s="227" t="str">
        <f>MID(excPisCofins[[#This Row],[CodBarras2]],2,50)</f>
        <v/>
      </c>
    </row>
    <row r="26167" spans="9:9" x14ac:dyDescent="0.25">
      <c r="I26167" s="227" t="str">
        <f>MID(excPisCofins[[#This Row],[CodBarras2]],2,50)</f>
        <v/>
      </c>
    </row>
    <row r="26168" spans="9:9" x14ac:dyDescent="0.25">
      <c r="I26168" s="227" t="str">
        <f>MID(excPisCofins[[#This Row],[CodBarras2]],2,50)</f>
        <v/>
      </c>
    </row>
    <row r="26169" spans="9:9" x14ac:dyDescent="0.25">
      <c r="I26169" s="227" t="str">
        <f>MID(excPisCofins[[#This Row],[CodBarras2]],2,50)</f>
        <v/>
      </c>
    </row>
    <row r="26170" spans="9:9" x14ac:dyDescent="0.25">
      <c r="I26170" s="227" t="str">
        <f>MID(excPisCofins[[#This Row],[CodBarras2]],2,50)</f>
        <v/>
      </c>
    </row>
    <row r="26171" spans="9:9" x14ac:dyDescent="0.25">
      <c r="I26171" s="227" t="str">
        <f>MID(excPisCofins[[#This Row],[CodBarras2]],2,50)</f>
        <v/>
      </c>
    </row>
    <row r="26172" spans="9:9" x14ac:dyDescent="0.25">
      <c r="I26172" s="227" t="str">
        <f>MID(excPisCofins[[#This Row],[CodBarras2]],2,50)</f>
        <v/>
      </c>
    </row>
    <row r="26173" spans="9:9" x14ac:dyDescent="0.25">
      <c r="I26173" s="227" t="str">
        <f>MID(excPisCofins[[#This Row],[CodBarras2]],2,50)</f>
        <v/>
      </c>
    </row>
    <row r="26174" spans="9:9" x14ac:dyDescent="0.25">
      <c r="I26174" s="227" t="str">
        <f>MID(excPisCofins[[#This Row],[CodBarras2]],2,50)</f>
        <v/>
      </c>
    </row>
    <row r="26175" spans="9:9" x14ac:dyDescent="0.25">
      <c r="I26175" s="227" t="str">
        <f>MID(excPisCofins[[#This Row],[CodBarras2]],2,50)</f>
        <v/>
      </c>
    </row>
    <row r="26176" spans="9:9" x14ac:dyDescent="0.25">
      <c r="I26176" s="227" t="str">
        <f>MID(excPisCofins[[#This Row],[CodBarras2]],2,50)</f>
        <v/>
      </c>
    </row>
    <row r="26177" spans="9:9" x14ac:dyDescent="0.25">
      <c r="I26177" s="227" t="str">
        <f>MID(excPisCofins[[#This Row],[CodBarras2]],2,50)</f>
        <v/>
      </c>
    </row>
    <row r="26178" spans="9:9" x14ac:dyDescent="0.25">
      <c r="I26178" s="227" t="str">
        <f>MID(excPisCofins[[#This Row],[CodBarras2]],2,50)</f>
        <v/>
      </c>
    </row>
    <row r="26179" spans="9:9" x14ac:dyDescent="0.25">
      <c r="I26179" s="227" t="str">
        <f>MID(excPisCofins[[#This Row],[CodBarras2]],2,50)</f>
        <v/>
      </c>
    </row>
    <row r="26180" spans="9:9" x14ac:dyDescent="0.25">
      <c r="I26180" s="227" t="str">
        <f>MID(excPisCofins[[#This Row],[CodBarras2]],2,50)</f>
        <v/>
      </c>
    </row>
    <row r="26181" spans="9:9" x14ac:dyDescent="0.25">
      <c r="I26181" s="227" t="str">
        <f>MID(excPisCofins[[#This Row],[CodBarras2]],2,50)</f>
        <v/>
      </c>
    </row>
    <row r="26182" spans="9:9" x14ac:dyDescent="0.25">
      <c r="I26182" s="227" t="str">
        <f>MID(excPisCofins[[#This Row],[CodBarras2]],2,50)</f>
        <v/>
      </c>
    </row>
    <row r="26183" spans="9:9" x14ac:dyDescent="0.25">
      <c r="I26183" s="227" t="str">
        <f>MID(excPisCofins[[#This Row],[CodBarras2]],2,50)</f>
        <v/>
      </c>
    </row>
    <row r="26184" spans="9:9" x14ac:dyDescent="0.25">
      <c r="I26184" s="227" t="str">
        <f>MID(excPisCofins[[#This Row],[CodBarras2]],2,50)</f>
        <v/>
      </c>
    </row>
    <row r="26185" spans="9:9" x14ac:dyDescent="0.25">
      <c r="I26185" s="227" t="str">
        <f>MID(excPisCofins[[#This Row],[CodBarras2]],2,50)</f>
        <v/>
      </c>
    </row>
    <row r="26186" spans="9:9" x14ac:dyDescent="0.25">
      <c r="I26186" s="227" t="str">
        <f>MID(excPisCofins[[#This Row],[CodBarras2]],2,50)</f>
        <v/>
      </c>
    </row>
    <row r="26187" spans="9:9" x14ac:dyDescent="0.25">
      <c r="I26187" s="227" t="str">
        <f>MID(excPisCofins[[#This Row],[CodBarras2]],2,50)</f>
        <v/>
      </c>
    </row>
    <row r="26188" spans="9:9" x14ac:dyDescent="0.25">
      <c r="I26188" s="227" t="str">
        <f>MID(excPisCofins[[#This Row],[CodBarras2]],2,50)</f>
        <v/>
      </c>
    </row>
    <row r="26189" spans="9:9" x14ac:dyDescent="0.25">
      <c r="I26189" s="227" t="str">
        <f>MID(excPisCofins[[#This Row],[CodBarras2]],2,50)</f>
        <v/>
      </c>
    </row>
    <row r="26190" spans="9:9" x14ac:dyDescent="0.25">
      <c r="I26190" s="227" t="str">
        <f>MID(excPisCofins[[#This Row],[CodBarras2]],2,50)</f>
        <v/>
      </c>
    </row>
    <row r="26191" spans="9:9" x14ac:dyDescent="0.25">
      <c r="I26191" s="227" t="str">
        <f>MID(excPisCofins[[#This Row],[CodBarras2]],2,50)</f>
        <v/>
      </c>
    </row>
    <row r="26192" spans="9:9" x14ac:dyDescent="0.25">
      <c r="I26192" s="227" t="str">
        <f>MID(excPisCofins[[#This Row],[CodBarras2]],2,50)</f>
        <v/>
      </c>
    </row>
    <row r="26193" spans="9:9" x14ac:dyDescent="0.25">
      <c r="I26193" s="227" t="str">
        <f>MID(excPisCofins[[#This Row],[CodBarras2]],2,50)</f>
        <v/>
      </c>
    </row>
    <row r="26194" spans="9:9" x14ac:dyDescent="0.25">
      <c r="I26194" s="227" t="str">
        <f>MID(excPisCofins[[#This Row],[CodBarras2]],2,50)</f>
        <v/>
      </c>
    </row>
    <row r="26195" spans="9:9" x14ac:dyDescent="0.25">
      <c r="I26195" s="227" t="str">
        <f>MID(excPisCofins[[#This Row],[CodBarras2]],2,50)</f>
        <v/>
      </c>
    </row>
    <row r="26196" spans="9:9" x14ac:dyDescent="0.25">
      <c r="I26196" s="227" t="str">
        <f>MID(excPisCofins[[#This Row],[CodBarras2]],2,50)</f>
        <v/>
      </c>
    </row>
    <row r="26197" spans="9:9" x14ac:dyDescent="0.25">
      <c r="I26197" s="227" t="str">
        <f>MID(excPisCofins[[#This Row],[CodBarras2]],2,50)</f>
        <v/>
      </c>
    </row>
    <row r="26198" spans="9:9" x14ac:dyDescent="0.25">
      <c r="I26198" s="227" t="str">
        <f>MID(excPisCofins[[#This Row],[CodBarras2]],2,50)</f>
        <v/>
      </c>
    </row>
    <row r="26199" spans="9:9" x14ac:dyDescent="0.25">
      <c r="I26199" s="227" t="str">
        <f>MID(excPisCofins[[#This Row],[CodBarras2]],2,50)</f>
        <v/>
      </c>
    </row>
    <row r="26200" spans="9:9" x14ac:dyDescent="0.25">
      <c r="I26200" s="227" t="str">
        <f>MID(excPisCofins[[#This Row],[CodBarras2]],2,50)</f>
        <v/>
      </c>
    </row>
    <row r="26201" spans="9:9" x14ac:dyDescent="0.25">
      <c r="I26201" s="227" t="str">
        <f>MID(excPisCofins[[#This Row],[CodBarras2]],2,50)</f>
        <v/>
      </c>
    </row>
    <row r="26202" spans="9:9" x14ac:dyDescent="0.25">
      <c r="I26202" s="227" t="str">
        <f>MID(excPisCofins[[#This Row],[CodBarras2]],2,50)</f>
        <v/>
      </c>
    </row>
    <row r="26203" spans="9:9" x14ac:dyDescent="0.25">
      <c r="I26203" s="227" t="str">
        <f>MID(excPisCofins[[#This Row],[CodBarras2]],2,50)</f>
        <v/>
      </c>
    </row>
    <row r="26204" spans="9:9" x14ac:dyDescent="0.25">
      <c r="I26204" s="227" t="str">
        <f>MID(excPisCofins[[#This Row],[CodBarras2]],2,50)</f>
        <v/>
      </c>
    </row>
    <row r="26205" spans="9:9" x14ac:dyDescent="0.25">
      <c r="I26205" s="227" t="str">
        <f>MID(excPisCofins[[#This Row],[CodBarras2]],2,50)</f>
        <v/>
      </c>
    </row>
    <row r="26206" spans="9:9" x14ac:dyDescent="0.25">
      <c r="I26206" s="227" t="str">
        <f>MID(excPisCofins[[#This Row],[CodBarras2]],2,50)</f>
        <v/>
      </c>
    </row>
    <row r="26207" spans="9:9" x14ac:dyDescent="0.25">
      <c r="I26207" s="227" t="str">
        <f>MID(excPisCofins[[#This Row],[CodBarras2]],2,50)</f>
        <v/>
      </c>
    </row>
    <row r="26208" spans="9:9" x14ac:dyDescent="0.25">
      <c r="I26208" s="227" t="str">
        <f>MID(excPisCofins[[#This Row],[CodBarras2]],2,50)</f>
        <v/>
      </c>
    </row>
    <row r="26209" spans="9:9" x14ac:dyDescent="0.25">
      <c r="I26209" s="227" t="str">
        <f>MID(excPisCofins[[#This Row],[CodBarras2]],2,50)</f>
        <v/>
      </c>
    </row>
    <row r="26210" spans="9:9" x14ac:dyDescent="0.25">
      <c r="I26210" s="227" t="str">
        <f>MID(excPisCofins[[#This Row],[CodBarras2]],2,50)</f>
        <v/>
      </c>
    </row>
    <row r="26211" spans="9:9" x14ac:dyDescent="0.25">
      <c r="I26211" s="227" t="str">
        <f>MID(excPisCofins[[#This Row],[CodBarras2]],2,50)</f>
        <v/>
      </c>
    </row>
    <row r="26212" spans="9:9" x14ac:dyDescent="0.25">
      <c r="I26212" s="227" t="str">
        <f>MID(excPisCofins[[#This Row],[CodBarras2]],2,50)</f>
        <v/>
      </c>
    </row>
    <row r="26213" spans="9:9" x14ac:dyDescent="0.25">
      <c r="I26213" s="227" t="str">
        <f>MID(excPisCofins[[#This Row],[CodBarras2]],2,50)</f>
        <v/>
      </c>
    </row>
    <row r="26214" spans="9:9" x14ac:dyDescent="0.25">
      <c r="I26214" s="227" t="str">
        <f>MID(excPisCofins[[#This Row],[CodBarras2]],2,50)</f>
        <v/>
      </c>
    </row>
    <row r="26215" spans="9:9" x14ac:dyDescent="0.25">
      <c r="I26215" s="227" t="str">
        <f>MID(excPisCofins[[#This Row],[CodBarras2]],2,50)</f>
        <v/>
      </c>
    </row>
    <row r="26216" spans="9:9" x14ac:dyDescent="0.25">
      <c r="I26216" s="227" t="str">
        <f>MID(excPisCofins[[#This Row],[CodBarras2]],2,50)</f>
        <v/>
      </c>
    </row>
    <row r="26217" spans="9:9" x14ac:dyDescent="0.25">
      <c r="I26217" s="227" t="str">
        <f>MID(excPisCofins[[#This Row],[CodBarras2]],2,50)</f>
        <v/>
      </c>
    </row>
    <row r="26218" spans="9:9" x14ac:dyDescent="0.25">
      <c r="I26218" s="227" t="str">
        <f>MID(excPisCofins[[#This Row],[CodBarras2]],2,50)</f>
        <v/>
      </c>
    </row>
    <row r="26219" spans="9:9" x14ac:dyDescent="0.25">
      <c r="I26219" s="227" t="str">
        <f>MID(excPisCofins[[#This Row],[CodBarras2]],2,50)</f>
        <v/>
      </c>
    </row>
    <row r="26220" spans="9:9" x14ac:dyDescent="0.25">
      <c r="I26220" s="227" t="str">
        <f>MID(excPisCofins[[#This Row],[CodBarras2]],2,50)</f>
        <v/>
      </c>
    </row>
    <row r="26221" spans="9:9" x14ac:dyDescent="0.25">
      <c r="I26221" s="227" t="str">
        <f>MID(excPisCofins[[#This Row],[CodBarras2]],2,50)</f>
        <v/>
      </c>
    </row>
    <row r="26222" spans="9:9" x14ac:dyDescent="0.25">
      <c r="I26222" s="227" t="str">
        <f>MID(excPisCofins[[#This Row],[CodBarras2]],2,50)</f>
        <v/>
      </c>
    </row>
    <row r="26223" spans="9:9" x14ac:dyDescent="0.25">
      <c r="I26223" s="227" t="str">
        <f>MID(excPisCofins[[#This Row],[CodBarras2]],2,50)</f>
        <v/>
      </c>
    </row>
    <row r="26224" spans="9:9" x14ac:dyDescent="0.25">
      <c r="I26224" s="227" t="str">
        <f>MID(excPisCofins[[#This Row],[CodBarras2]],2,50)</f>
        <v/>
      </c>
    </row>
    <row r="26225" spans="9:9" x14ac:dyDescent="0.25">
      <c r="I26225" s="227" t="str">
        <f>MID(excPisCofins[[#This Row],[CodBarras2]],2,50)</f>
        <v/>
      </c>
    </row>
    <row r="26226" spans="9:9" x14ac:dyDescent="0.25">
      <c r="I26226" s="227" t="str">
        <f>MID(excPisCofins[[#This Row],[CodBarras2]],2,50)</f>
        <v/>
      </c>
    </row>
    <row r="26227" spans="9:9" x14ac:dyDescent="0.25">
      <c r="I26227" s="227" t="str">
        <f>MID(excPisCofins[[#This Row],[CodBarras2]],2,50)</f>
        <v/>
      </c>
    </row>
    <row r="26228" spans="9:9" x14ac:dyDescent="0.25">
      <c r="I26228" s="227" t="str">
        <f>MID(excPisCofins[[#This Row],[CodBarras2]],2,50)</f>
        <v/>
      </c>
    </row>
    <row r="26229" spans="9:9" x14ac:dyDescent="0.25">
      <c r="I26229" s="227" t="str">
        <f>MID(excPisCofins[[#This Row],[CodBarras2]],2,50)</f>
        <v/>
      </c>
    </row>
    <row r="26230" spans="9:9" x14ac:dyDescent="0.25">
      <c r="I26230" s="227" t="str">
        <f>MID(excPisCofins[[#This Row],[CodBarras2]],2,50)</f>
        <v/>
      </c>
    </row>
    <row r="26231" spans="9:9" x14ac:dyDescent="0.25">
      <c r="I26231" s="227" t="str">
        <f>MID(excPisCofins[[#This Row],[CodBarras2]],2,50)</f>
        <v/>
      </c>
    </row>
    <row r="26232" spans="9:9" x14ac:dyDescent="0.25">
      <c r="I26232" s="227" t="str">
        <f>MID(excPisCofins[[#This Row],[CodBarras2]],2,50)</f>
        <v/>
      </c>
    </row>
    <row r="26233" spans="9:9" x14ac:dyDescent="0.25">
      <c r="I26233" s="227" t="str">
        <f>MID(excPisCofins[[#This Row],[CodBarras2]],2,50)</f>
        <v/>
      </c>
    </row>
    <row r="26234" spans="9:9" x14ac:dyDescent="0.25">
      <c r="I26234" s="227" t="str">
        <f>MID(excPisCofins[[#This Row],[CodBarras2]],2,50)</f>
        <v/>
      </c>
    </row>
    <row r="26235" spans="9:9" x14ac:dyDescent="0.25">
      <c r="I26235" s="227" t="str">
        <f>MID(excPisCofins[[#This Row],[CodBarras2]],2,50)</f>
        <v/>
      </c>
    </row>
    <row r="26236" spans="9:9" x14ac:dyDescent="0.25">
      <c r="I26236" s="227" t="str">
        <f>MID(excPisCofins[[#This Row],[CodBarras2]],2,50)</f>
        <v/>
      </c>
    </row>
    <row r="26237" spans="9:9" x14ac:dyDescent="0.25">
      <c r="I26237" s="227" t="str">
        <f>MID(excPisCofins[[#This Row],[CodBarras2]],2,50)</f>
        <v/>
      </c>
    </row>
    <row r="26238" spans="9:9" x14ac:dyDescent="0.25">
      <c r="I26238" s="227" t="str">
        <f>MID(excPisCofins[[#This Row],[CodBarras2]],2,50)</f>
        <v/>
      </c>
    </row>
    <row r="26239" spans="9:9" x14ac:dyDescent="0.25">
      <c r="I26239" s="227" t="str">
        <f>MID(excPisCofins[[#This Row],[CodBarras2]],2,50)</f>
        <v/>
      </c>
    </row>
    <row r="26240" spans="9:9" x14ac:dyDescent="0.25">
      <c r="I26240" s="227" t="str">
        <f>MID(excPisCofins[[#This Row],[CodBarras2]],2,50)</f>
        <v/>
      </c>
    </row>
    <row r="26241" spans="9:9" x14ac:dyDescent="0.25">
      <c r="I26241" s="227" t="str">
        <f>MID(excPisCofins[[#This Row],[CodBarras2]],2,50)</f>
        <v/>
      </c>
    </row>
    <row r="26242" spans="9:9" x14ac:dyDescent="0.25">
      <c r="I26242" s="227" t="str">
        <f>MID(excPisCofins[[#This Row],[CodBarras2]],2,50)</f>
        <v/>
      </c>
    </row>
    <row r="26243" spans="9:9" x14ac:dyDescent="0.25">
      <c r="I26243" s="227" t="str">
        <f>MID(excPisCofins[[#This Row],[CodBarras2]],2,50)</f>
        <v/>
      </c>
    </row>
    <row r="26244" spans="9:9" x14ac:dyDescent="0.25">
      <c r="I26244" s="227" t="str">
        <f>MID(excPisCofins[[#This Row],[CodBarras2]],2,50)</f>
        <v/>
      </c>
    </row>
    <row r="26245" spans="9:9" x14ac:dyDescent="0.25">
      <c r="I26245" s="227" t="str">
        <f>MID(excPisCofins[[#This Row],[CodBarras2]],2,50)</f>
        <v/>
      </c>
    </row>
    <row r="26246" spans="9:9" x14ac:dyDescent="0.25">
      <c r="I26246" s="227" t="str">
        <f>MID(excPisCofins[[#This Row],[CodBarras2]],2,50)</f>
        <v/>
      </c>
    </row>
    <row r="26247" spans="9:9" x14ac:dyDescent="0.25">
      <c r="I26247" s="227" t="str">
        <f>MID(excPisCofins[[#This Row],[CodBarras2]],2,50)</f>
        <v/>
      </c>
    </row>
    <row r="26248" spans="9:9" x14ac:dyDescent="0.25">
      <c r="I26248" s="227" t="str">
        <f>MID(excPisCofins[[#This Row],[CodBarras2]],2,50)</f>
        <v/>
      </c>
    </row>
    <row r="26249" spans="9:9" x14ac:dyDescent="0.25">
      <c r="I26249" s="227" t="str">
        <f>MID(excPisCofins[[#This Row],[CodBarras2]],2,50)</f>
        <v/>
      </c>
    </row>
    <row r="26250" spans="9:9" x14ac:dyDescent="0.25">
      <c r="I26250" s="227" t="str">
        <f>MID(excPisCofins[[#This Row],[CodBarras2]],2,50)</f>
        <v/>
      </c>
    </row>
    <row r="26251" spans="9:9" x14ac:dyDescent="0.25">
      <c r="I26251" s="227" t="str">
        <f>MID(excPisCofins[[#This Row],[CodBarras2]],2,50)</f>
        <v/>
      </c>
    </row>
    <row r="26252" spans="9:9" x14ac:dyDescent="0.25">
      <c r="I26252" s="227" t="str">
        <f>MID(excPisCofins[[#This Row],[CodBarras2]],2,50)</f>
        <v/>
      </c>
    </row>
    <row r="26253" spans="9:9" x14ac:dyDescent="0.25">
      <c r="I26253" s="227" t="str">
        <f>MID(excPisCofins[[#This Row],[CodBarras2]],2,50)</f>
        <v/>
      </c>
    </row>
    <row r="26254" spans="9:9" x14ac:dyDescent="0.25">
      <c r="I26254" s="227" t="str">
        <f>MID(excPisCofins[[#This Row],[CodBarras2]],2,50)</f>
        <v/>
      </c>
    </row>
    <row r="26255" spans="9:9" x14ac:dyDescent="0.25">
      <c r="I26255" s="227" t="str">
        <f>MID(excPisCofins[[#This Row],[CodBarras2]],2,50)</f>
        <v/>
      </c>
    </row>
    <row r="26256" spans="9:9" x14ac:dyDescent="0.25">
      <c r="I26256" s="227" t="str">
        <f>MID(excPisCofins[[#This Row],[CodBarras2]],2,50)</f>
        <v/>
      </c>
    </row>
    <row r="26257" spans="9:9" x14ac:dyDescent="0.25">
      <c r="I26257" s="227" t="str">
        <f>MID(excPisCofins[[#This Row],[CodBarras2]],2,50)</f>
        <v/>
      </c>
    </row>
    <row r="26258" spans="9:9" x14ac:dyDescent="0.25">
      <c r="I26258" s="227" t="str">
        <f>MID(excPisCofins[[#This Row],[CodBarras2]],2,50)</f>
        <v/>
      </c>
    </row>
    <row r="26259" spans="9:9" x14ac:dyDescent="0.25">
      <c r="I26259" s="227" t="str">
        <f>MID(excPisCofins[[#This Row],[CodBarras2]],2,50)</f>
        <v/>
      </c>
    </row>
    <row r="26260" spans="9:9" x14ac:dyDescent="0.25">
      <c r="I26260" s="227" t="str">
        <f>MID(excPisCofins[[#This Row],[CodBarras2]],2,50)</f>
        <v/>
      </c>
    </row>
    <row r="26261" spans="9:9" x14ac:dyDescent="0.25">
      <c r="I26261" s="227" t="str">
        <f>MID(excPisCofins[[#This Row],[CodBarras2]],2,50)</f>
        <v/>
      </c>
    </row>
    <row r="26262" spans="9:9" x14ac:dyDescent="0.25">
      <c r="I26262" s="227" t="str">
        <f>MID(excPisCofins[[#This Row],[CodBarras2]],2,50)</f>
        <v/>
      </c>
    </row>
    <row r="26263" spans="9:9" x14ac:dyDescent="0.25">
      <c r="I26263" s="227" t="str">
        <f>MID(excPisCofins[[#This Row],[CodBarras2]],2,50)</f>
        <v/>
      </c>
    </row>
    <row r="26264" spans="9:9" x14ac:dyDescent="0.25">
      <c r="I26264" s="227" t="str">
        <f>MID(excPisCofins[[#This Row],[CodBarras2]],2,50)</f>
        <v/>
      </c>
    </row>
    <row r="26265" spans="9:9" x14ac:dyDescent="0.25">
      <c r="I26265" s="227" t="str">
        <f>MID(excPisCofins[[#This Row],[CodBarras2]],2,50)</f>
        <v/>
      </c>
    </row>
    <row r="26266" spans="9:9" x14ac:dyDescent="0.25">
      <c r="I26266" s="227" t="str">
        <f>MID(excPisCofins[[#This Row],[CodBarras2]],2,50)</f>
        <v/>
      </c>
    </row>
    <row r="26267" spans="9:9" x14ac:dyDescent="0.25">
      <c r="I26267" s="227" t="str">
        <f>MID(excPisCofins[[#This Row],[CodBarras2]],2,50)</f>
        <v/>
      </c>
    </row>
    <row r="26268" spans="9:9" x14ac:dyDescent="0.25">
      <c r="I26268" s="227" t="str">
        <f>MID(excPisCofins[[#This Row],[CodBarras2]],2,50)</f>
        <v/>
      </c>
    </row>
    <row r="26269" spans="9:9" x14ac:dyDescent="0.25">
      <c r="I26269" s="227" t="str">
        <f>MID(excPisCofins[[#This Row],[CodBarras2]],2,50)</f>
        <v/>
      </c>
    </row>
    <row r="26270" spans="9:9" x14ac:dyDescent="0.25">
      <c r="I26270" s="227" t="str">
        <f>MID(excPisCofins[[#This Row],[CodBarras2]],2,50)</f>
        <v/>
      </c>
    </row>
    <row r="26271" spans="9:9" x14ac:dyDescent="0.25">
      <c r="I26271" s="227" t="str">
        <f>MID(excPisCofins[[#This Row],[CodBarras2]],2,50)</f>
        <v/>
      </c>
    </row>
    <row r="26272" spans="9:9" x14ac:dyDescent="0.25">
      <c r="I26272" s="227" t="str">
        <f>MID(excPisCofins[[#This Row],[CodBarras2]],2,50)</f>
        <v/>
      </c>
    </row>
    <row r="26273" spans="9:9" x14ac:dyDescent="0.25">
      <c r="I26273" s="227" t="str">
        <f>MID(excPisCofins[[#This Row],[CodBarras2]],2,50)</f>
        <v/>
      </c>
    </row>
    <row r="26274" spans="9:9" x14ac:dyDescent="0.25">
      <c r="I26274" s="227" t="str">
        <f>MID(excPisCofins[[#This Row],[CodBarras2]],2,50)</f>
        <v/>
      </c>
    </row>
    <row r="26275" spans="9:9" x14ac:dyDescent="0.25">
      <c r="I26275" s="227" t="str">
        <f>MID(excPisCofins[[#This Row],[CodBarras2]],2,50)</f>
        <v/>
      </c>
    </row>
    <row r="26276" spans="9:9" x14ac:dyDescent="0.25">
      <c r="I26276" s="227" t="str">
        <f>MID(excPisCofins[[#This Row],[CodBarras2]],2,50)</f>
        <v/>
      </c>
    </row>
    <row r="26277" spans="9:9" x14ac:dyDescent="0.25">
      <c r="I26277" s="227" t="str">
        <f>MID(excPisCofins[[#This Row],[CodBarras2]],2,50)</f>
        <v/>
      </c>
    </row>
    <row r="26278" spans="9:9" x14ac:dyDescent="0.25">
      <c r="I26278" s="227" t="str">
        <f>MID(excPisCofins[[#This Row],[CodBarras2]],2,50)</f>
        <v/>
      </c>
    </row>
    <row r="26279" spans="9:9" x14ac:dyDescent="0.25">
      <c r="I26279" s="227" t="str">
        <f>MID(excPisCofins[[#This Row],[CodBarras2]],2,50)</f>
        <v/>
      </c>
    </row>
    <row r="26280" spans="9:9" x14ac:dyDescent="0.25">
      <c r="I26280" s="227" t="str">
        <f>MID(excPisCofins[[#This Row],[CodBarras2]],2,50)</f>
        <v/>
      </c>
    </row>
    <row r="26281" spans="9:9" x14ac:dyDescent="0.25">
      <c r="I26281" s="227" t="str">
        <f>MID(excPisCofins[[#This Row],[CodBarras2]],2,50)</f>
        <v/>
      </c>
    </row>
    <row r="26282" spans="9:9" x14ac:dyDescent="0.25">
      <c r="I26282" s="227" t="str">
        <f>MID(excPisCofins[[#This Row],[CodBarras2]],2,50)</f>
        <v/>
      </c>
    </row>
    <row r="26283" spans="9:9" x14ac:dyDescent="0.25">
      <c r="I26283" s="227" t="str">
        <f>MID(excPisCofins[[#This Row],[CodBarras2]],2,50)</f>
        <v/>
      </c>
    </row>
    <row r="26284" spans="9:9" x14ac:dyDescent="0.25">
      <c r="I26284" s="227" t="str">
        <f>MID(excPisCofins[[#This Row],[CodBarras2]],2,50)</f>
        <v/>
      </c>
    </row>
    <row r="26285" spans="9:9" x14ac:dyDescent="0.25">
      <c r="I26285" s="227" t="str">
        <f>MID(excPisCofins[[#This Row],[CodBarras2]],2,50)</f>
        <v/>
      </c>
    </row>
    <row r="26286" spans="9:9" x14ac:dyDescent="0.25">
      <c r="I26286" s="227" t="str">
        <f>MID(excPisCofins[[#This Row],[CodBarras2]],2,50)</f>
        <v/>
      </c>
    </row>
    <row r="26287" spans="9:9" x14ac:dyDescent="0.25">
      <c r="I26287" s="227" t="str">
        <f>MID(excPisCofins[[#This Row],[CodBarras2]],2,50)</f>
        <v/>
      </c>
    </row>
    <row r="26288" spans="9:9" x14ac:dyDescent="0.25">
      <c r="I26288" s="227" t="str">
        <f>MID(excPisCofins[[#This Row],[CodBarras2]],2,50)</f>
        <v/>
      </c>
    </row>
    <row r="26289" spans="9:9" x14ac:dyDescent="0.25">
      <c r="I26289" s="227" t="str">
        <f>MID(excPisCofins[[#This Row],[CodBarras2]],2,50)</f>
        <v/>
      </c>
    </row>
    <row r="26290" spans="9:9" x14ac:dyDescent="0.25">
      <c r="I26290" s="227" t="str">
        <f>MID(excPisCofins[[#This Row],[CodBarras2]],2,50)</f>
        <v/>
      </c>
    </row>
    <row r="26291" spans="9:9" x14ac:dyDescent="0.25">
      <c r="I26291" s="227" t="str">
        <f>MID(excPisCofins[[#This Row],[CodBarras2]],2,50)</f>
        <v/>
      </c>
    </row>
    <row r="26292" spans="9:9" x14ac:dyDescent="0.25">
      <c r="I26292" s="227" t="str">
        <f>MID(excPisCofins[[#This Row],[CodBarras2]],2,50)</f>
        <v/>
      </c>
    </row>
    <row r="26293" spans="9:9" x14ac:dyDescent="0.25">
      <c r="I26293" s="227" t="str">
        <f>MID(excPisCofins[[#This Row],[CodBarras2]],2,50)</f>
        <v/>
      </c>
    </row>
    <row r="26294" spans="9:9" x14ac:dyDescent="0.25">
      <c r="I26294" s="227" t="str">
        <f>MID(excPisCofins[[#This Row],[CodBarras2]],2,50)</f>
        <v/>
      </c>
    </row>
    <row r="26295" spans="9:9" x14ac:dyDescent="0.25">
      <c r="I26295" s="227" t="str">
        <f>MID(excPisCofins[[#This Row],[CodBarras2]],2,50)</f>
        <v/>
      </c>
    </row>
    <row r="26296" spans="9:9" x14ac:dyDescent="0.25">
      <c r="I26296" s="227" t="str">
        <f>MID(excPisCofins[[#This Row],[CodBarras2]],2,50)</f>
        <v/>
      </c>
    </row>
    <row r="26297" spans="9:9" x14ac:dyDescent="0.25">
      <c r="I26297" s="227" t="str">
        <f>MID(excPisCofins[[#This Row],[CodBarras2]],2,50)</f>
        <v/>
      </c>
    </row>
    <row r="26298" spans="9:9" x14ac:dyDescent="0.25">
      <c r="I26298" s="227" t="str">
        <f>MID(excPisCofins[[#This Row],[CodBarras2]],2,50)</f>
        <v/>
      </c>
    </row>
    <row r="26299" spans="9:9" x14ac:dyDescent="0.25">
      <c r="I26299" s="227" t="str">
        <f>MID(excPisCofins[[#This Row],[CodBarras2]],2,50)</f>
        <v/>
      </c>
    </row>
    <row r="26300" spans="9:9" x14ac:dyDescent="0.25">
      <c r="I26300" s="227" t="str">
        <f>MID(excPisCofins[[#This Row],[CodBarras2]],2,50)</f>
        <v/>
      </c>
    </row>
    <row r="26301" spans="9:9" x14ac:dyDescent="0.25">
      <c r="I26301" s="227" t="str">
        <f>MID(excPisCofins[[#This Row],[CodBarras2]],2,50)</f>
        <v/>
      </c>
    </row>
    <row r="26302" spans="9:9" x14ac:dyDescent="0.25">
      <c r="I26302" s="227" t="str">
        <f>MID(excPisCofins[[#This Row],[CodBarras2]],2,50)</f>
        <v/>
      </c>
    </row>
    <row r="26303" spans="9:9" x14ac:dyDescent="0.25">
      <c r="I26303" s="227" t="str">
        <f>MID(excPisCofins[[#This Row],[CodBarras2]],2,50)</f>
        <v/>
      </c>
    </row>
    <row r="26304" spans="9:9" x14ac:dyDescent="0.25">
      <c r="I26304" s="227" t="str">
        <f>MID(excPisCofins[[#This Row],[CodBarras2]],2,50)</f>
        <v/>
      </c>
    </row>
    <row r="26305" spans="9:9" x14ac:dyDescent="0.25">
      <c r="I26305" s="227" t="str">
        <f>MID(excPisCofins[[#This Row],[CodBarras2]],2,50)</f>
        <v/>
      </c>
    </row>
    <row r="26306" spans="9:9" x14ac:dyDescent="0.25">
      <c r="I26306" s="227" t="str">
        <f>MID(excPisCofins[[#This Row],[CodBarras2]],2,50)</f>
        <v/>
      </c>
    </row>
    <row r="26307" spans="9:9" x14ac:dyDescent="0.25">
      <c r="I26307" s="227" t="str">
        <f>MID(excPisCofins[[#This Row],[CodBarras2]],2,50)</f>
        <v/>
      </c>
    </row>
    <row r="26308" spans="9:9" x14ac:dyDescent="0.25">
      <c r="I26308" s="227" t="str">
        <f>MID(excPisCofins[[#This Row],[CodBarras2]],2,50)</f>
        <v/>
      </c>
    </row>
    <row r="26309" spans="9:9" x14ac:dyDescent="0.25">
      <c r="I26309" s="227" t="str">
        <f>MID(excPisCofins[[#This Row],[CodBarras2]],2,50)</f>
        <v/>
      </c>
    </row>
    <row r="26310" spans="9:9" x14ac:dyDescent="0.25">
      <c r="I26310" s="227" t="str">
        <f>MID(excPisCofins[[#This Row],[CodBarras2]],2,50)</f>
        <v/>
      </c>
    </row>
    <row r="26311" spans="9:9" x14ac:dyDescent="0.25">
      <c r="I26311" s="227" t="str">
        <f>MID(excPisCofins[[#This Row],[CodBarras2]],2,50)</f>
        <v/>
      </c>
    </row>
    <row r="26312" spans="9:9" x14ac:dyDescent="0.25">
      <c r="I26312" s="227" t="str">
        <f>MID(excPisCofins[[#This Row],[CodBarras2]],2,50)</f>
        <v/>
      </c>
    </row>
    <row r="26313" spans="9:9" x14ac:dyDescent="0.25">
      <c r="I26313" s="227" t="str">
        <f>MID(excPisCofins[[#This Row],[CodBarras2]],2,50)</f>
        <v/>
      </c>
    </row>
    <row r="26314" spans="9:9" x14ac:dyDescent="0.25">
      <c r="I26314" s="227" t="str">
        <f>MID(excPisCofins[[#This Row],[CodBarras2]],2,50)</f>
        <v/>
      </c>
    </row>
    <row r="26315" spans="9:9" x14ac:dyDescent="0.25">
      <c r="I26315" s="227" t="str">
        <f>MID(excPisCofins[[#This Row],[CodBarras2]],2,50)</f>
        <v/>
      </c>
    </row>
    <row r="26316" spans="9:9" x14ac:dyDescent="0.25">
      <c r="I26316" s="227" t="str">
        <f>MID(excPisCofins[[#This Row],[CodBarras2]],2,50)</f>
        <v/>
      </c>
    </row>
    <row r="26317" spans="9:9" x14ac:dyDescent="0.25">
      <c r="I26317" s="227" t="str">
        <f>MID(excPisCofins[[#This Row],[CodBarras2]],2,50)</f>
        <v/>
      </c>
    </row>
    <row r="26318" spans="9:9" x14ac:dyDescent="0.25">
      <c r="I26318" s="227" t="str">
        <f>MID(excPisCofins[[#This Row],[CodBarras2]],2,50)</f>
        <v/>
      </c>
    </row>
    <row r="26319" spans="9:9" x14ac:dyDescent="0.25">
      <c r="I26319" s="227" t="str">
        <f>MID(excPisCofins[[#This Row],[CodBarras2]],2,50)</f>
        <v/>
      </c>
    </row>
    <row r="26320" spans="9:9" x14ac:dyDescent="0.25">
      <c r="I26320" s="227" t="str">
        <f>MID(excPisCofins[[#This Row],[CodBarras2]],2,50)</f>
        <v/>
      </c>
    </row>
    <row r="26321" spans="9:9" x14ac:dyDescent="0.25">
      <c r="I26321" s="227" t="str">
        <f>MID(excPisCofins[[#This Row],[CodBarras2]],2,50)</f>
        <v/>
      </c>
    </row>
    <row r="26322" spans="9:9" x14ac:dyDescent="0.25">
      <c r="I26322" s="227" t="str">
        <f>MID(excPisCofins[[#This Row],[CodBarras2]],2,50)</f>
        <v/>
      </c>
    </row>
    <row r="26323" spans="9:9" x14ac:dyDescent="0.25">
      <c r="I26323" s="227" t="str">
        <f>MID(excPisCofins[[#This Row],[CodBarras2]],2,50)</f>
        <v/>
      </c>
    </row>
    <row r="26324" spans="9:9" x14ac:dyDescent="0.25">
      <c r="I26324" s="227" t="str">
        <f>MID(excPisCofins[[#This Row],[CodBarras2]],2,50)</f>
        <v/>
      </c>
    </row>
    <row r="26325" spans="9:9" x14ac:dyDescent="0.25">
      <c r="I26325" s="227" t="str">
        <f>MID(excPisCofins[[#This Row],[CodBarras2]],2,50)</f>
        <v/>
      </c>
    </row>
    <row r="26326" spans="9:9" x14ac:dyDescent="0.25">
      <c r="I26326" s="227" t="str">
        <f>MID(excPisCofins[[#This Row],[CodBarras2]],2,50)</f>
        <v/>
      </c>
    </row>
    <row r="26327" spans="9:9" x14ac:dyDescent="0.25">
      <c r="I26327" s="227" t="str">
        <f>MID(excPisCofins[[#This Row],[CodBarras2]],2,50)</f>
        <v/>
      </c>
    </row>
    <row r="26328" spans="9:9" x14ac:dyDescent="0.25">
      <c r="I26328" s="227" t="str">
        <f>MID(excPisCofins[[#This Row],[CodBarras2]],2,50)</f>
        <v/>
      </c>
    </row>
    <row r="26329" spans="9:9" x14ac:dyDescent="0.25">
      <c r="I26329" s="227" t="str">
        <f>MID(excPisCofins[[#This Row],[CodBarras2]],2,50)</f>
        <v/>
      </c>
    </row>
    <row r="26330" spans="9:9" x14ac:dyDescent="0.25">
      <c r="I26330" s="227" t="str">
        <f>MID(excPisCofins[[#This Row],[CodBarras2]],2,50)</f>
        <v/>
      </c>
    </row>
    <row r="26331" spans="9:9" x14ac:dyDescent="0.25">
      <c r="I26331" s="227" t="str">
        <f>MID(excPisCofins[[#This Row],[CodBarras2]],2,50)</f>
        <v/>
      </c>
    </row>
    <row r="26332" spans="9:9" x14ac:dyDescent="0.25">
      <c r="I26332" s="227" t="str">
        <f>MID(excPisCofins[[#This Row],[CodBarras2]],2,50)</f>
        <v/>
      </c>
    </row>
    <row r="26333" spans="9:9" x14ac:dyDescent="0.25">
      <c r="I26333" s="227" t="str">
        <f>MID(excPisCofins[[#This Row],[CodBarras2]],2,50)</f>
        <v/>
      </c>
    </row>
    <row r="26334" spans="9:9" x14ac:dyDescent="0.25">
      <c r="I26334" s="227" t="str">
        <f>MID(excPisCofins[[#This Row],[CodBarras2]],2,50)</f>
        <v/>
      </c>
    </row>
    <row r="26335" spans="9:9" x14ac:dyDescent="0.25">
      <c r="I26335" s="227" t="str">
        <f>MID(excPisCofins[[#This Row],[CodBarras2]],2,50)</f>
        <v/>
      </c>
    </row>
    <row r="26336" spans="9:9" x14ac:dyDescent="0.25">
      <c r="I26336" s="227" t="str">
        <f>MID(excPisCofins[[#This Row],[CodBarras2]],2,50)</f>
        <v/>
      </c>
    </row>
    <row r="26337" spans="9:9" x14ac:dyDescent="0.25">
      <c r="I26337" s="227" t="str">
        <f>MID(excPisCofins[[#This Row],[CodBarras2]],2,50)</f>
        <v/>
      </c>
    </row>
    <row r="26338" spans="9:9" x14ac:dyDescent="0.25">
      <c r="I26338" s="227" t="str">
        <f>MID(excPisCofins[[#This Row],[CodBarras2]],2,50)</f>
        <v/>
      </c>
    </row>
    <row r="26339" spans="9:9" x14ac:dyDescent="0.25">
      <c r="I26339" s="227" t="str">
        <f>MID(excPisCofins[[#This Row],[CodBarras2]],2,50)</f>
        <v/>
      </c>
    </row>
    <row r="26340" spans="9:9" x14ac:dyDescent="0.25">
      <c r="I26340" s="227" t="str">
        <f>MID(excPisCofins[[#This Row],[CodBarras2]],2,50)</f>
        <v/>
      </c>
    </row>
    <row r="26341" spans="9:9" x14ac:dyDescent="0.25">
      <c r="I26341" s="227" t="str">
        <f>MID(excPisCofins[[#This Row],[CodBarras2]],2,50)</f>
        <v/>
      </c>
    </row>
    <row r="26342" spans="9:9" x14ac:dyDescent="0.25">
      <c r="I26342" s="227" t="str">
        <f>MID(excPisCofins[[#This Row],[CodBarras2]],2,50)</f>
        <v/>
      </c>
    </row>
    <row r="26343" spans="9:9" x14ac:dyDescent="0.25">
      <c r="I26343" s="227" t="str">
        <f>MID(excPisCofins[[#This Row],[CodBarras2]],2,50)</f>
        <v/>
      </c>
    </row>
    <row r="26344" spans="9:9" x14ac:dyDescent="0.25">
      <c r="I26344" s="227" t="str">
        <f>MID(excPisCofins[[#This Row],[CodBarras2]],2,50)</f>
        <v/>
      </c>
    </row>
    <row r="26345" spans="9:9" x14ac:dyDescent="0.25">
      <c r="I26345" s="227" t="str">
        <f>MID(excPisCofins[[#This Row],[CodBarras2]],2,50)</f>
        <v/>
      </c>
    </row>
    <row r="26346" spans="9:9" x14ac:dyDescent="0.25">
      <c r="I26346" s="227" t="str">
        <f>MID(excPisCofins[[#This Row],[CodBarras2]],2,50)</f>
        <v/>
      </c>
    </row>
    <row r="26347" spans="9:9" x14ac:dyDescent="0.25">
      <c r="I26347" s="227" t="str">
        <f>MID(excPisCofins[[#This Row],[CodBarras2]],2,50)</f>
        <v/>
      </c>
    </row>
    <row r="26348" spans="9:9" x14ac:dyDescent="0.25">
      <c r="I26348" s="227" t="str">
        <f>MID(excPisCofins[[#This Row],[CodBarras2]],2,50)</f>
        <v/>
      </c>
    </row>
    <row r="26349" spans="9:9" x14ac:dyDescent="0.25">
      <c r="I26349" s="227" t="str">
        <f>MID(excPisCofins[[#This Row],[CodBarras2]],2,50)</f>
        <v/>
      </c>
    </row>
    <row r="26350" spans="9:9" x14ac:dyDescent="0.25">
      <c r="I26350" s="227" t="str">
        <f>MID(excPisCofins[[#This Row],[CodBarras2]],2,50)</f>
        <v/>
      </c>
    </row>
    <row r="26351" spans="9:9" x14ac:dyDescent="0.25">
      <c r="I26351" s="227" t="str">
        <f>MID(excPisCofins[[#This Row],[CodBarras2]],2,50)</f>
        <v/>
      </c>
    </row>
    <row r="26352" spans="9:9" x14ac:dyDescent="0.25">
      <c r="I26352" s="227" t="str">
        <f>MID(excPisCofins[[#This Row],[CodBarras2]],2,50)</f>
        <v/>
      </c>
    </row>
    <row r="26353" spans="9:9" x14ac:dyDescent="0.25">
      <c r="I26353" s="227" t="str">
        <f>MID(excPisCofins[[#This Row],[CodBarras2]],2,50)</f>
        <v/>
      </c>
    </row>
    <row r="26354" spans="9:9" x14ac:dyDescent="0.25">
      <c r="I26354" s="227" t="str">
        <f>MID(excPisCofins[[#This Row],[CodBarras2]],2,50)</f>
        <v/>
      </c>
    </row>
    <row r="26355" spans="9:9" x14ac:dyDescent="0.25">
      <c r="I26355" s="227" t="str">
        <f>MID(excPisCofins[[#This Row],[CodBarras2]],2,50)</f>
        <v/>
      </c>
    </row>
    <row r="26356" spans="9:9" x14ac:dyDescent="0.25">
      <c r="I26356" s="227" t="str">
        <f>MID(excPisCofins[[#This Row],[CodBarras2]],2,50)</f>
        <v/>
      </c>
    </row>
    <row r="26357" spans="9:9" x14ac:dyDescent="0.25">
      <c r="I26357" s="227" t="str">
        <f>MID(excPisCofins[[#This Row],[CodBarras2]],2,50)</f>
        <v/>
      </c>
    </row>
    <row r="26358" spans="9:9" x14ac:dyDescent="0.25">
      <c r="I26358" s="227" t="str">
        <f>MID(excPisCofins[[#This Row],[CodBarras2]],2,50)</f>
        <v/>
      </c>
    </row>
    <row r="26359" spans="9:9" x14ac:dyDescent="0.25">
      <c r="I26359" s="227" t="str">
        <f>MID(excPisCofins[[#This Row],[CodBarras2]],2,50)</f>
        <v/>
      </c>
    </row>
    <row r="26360" spans="9:9" x14ac:dyDescent="0.25">
      <c r="I26360" s="227" t="str">
        <f>MID(excPisCofins[[#This Row],[CodBarras2]],2,50)</f>
        <v/>
      </c>
    </row>
    <row r="26361" spans="9:9" x14ac:dyDescent="0.25">
      <c r="I26361" s="227" t="str">
        <f>MID(excPisCofins[[#This Row],[CodBarras2]],2,50)</f>
        <v/>
      </c>
    </row>
    <row r="26362" spans="9:9" x14ac:dyDescent="0.25">
      <c r="I26362" s="227" t="str">
        <f>MID(excPisCofins[[#This Row],[CodBarras2]],2,50)</f>
        <v/>
      </c>
    </row>
    <row r="26363" spans="9:9" x14ac:dyDescent="0.25">
      <c r="I26363" s="227" t="str">
        <f>MID(excPisCofins[[#This Row],[CodBarras2]],2,50)</f>
        <v/>
      </c>
    </row>
    <row r="26364" spans="9:9" x14ac:dyDescent="0.25">
      <c r="I26364" s="227" t="str">
        <f>MID(excPisCofins[[#This Row],[CodBarras2]],2,50)</f>
        <v/>
      </c>
    </row>
    <row r="26365" spans="9:9" x14ac:dyDescent="0.25">
      <c r="I26365" s="227" t="str">
        <f>MID(excPisCofins[[#This Row],[CodBarras2]],2,50)</f>
        <v/>
      </c>
    </row>
    <row r="26366" spans="9:9" x14ac:dyDescent="0.25">
      <c r="I26366" s="227" t="str">
        <f>MID(excPisCofins[[#This Row],[CodBarras2]],2,50)</f>
        <v/>
      </c>
    </row>
    <row r="26367" spans="9:9" x14ac:dyDescent="0.25">
      <c r="I26367" s="227" t="str">
        <f>MID(excPisCofins[[#This Row],[CodBarras2]],2,50)</f>
        <v/>
      </c>
    </row>
    <row r="26368" spans="9:9" x14ac:dyDescent="0.25">
      <c r="I26368" s="227" t="str">
        <f>MID(excPisCofins[[#This Row],[CodBarras2]],2,50)</f>
        <v/>
      </c>
    </row>
    <row r="26369" spans="9:9" x14ac:dyDescent="0.25">
      <c r="I26369" s="227" t="str">
        <f>MID(excPisCofins[[#This Row],[CodBarras2]],2,50)</f>
        <v/>
      </c>
    </row>
    <row r="26370" spans="9:9" x14ac:dyDescent="0.25">
      <c r="I26370" s="227" t="str">
        <f>MID(excPisCofins[[#This Row],[CodBarras2]],2,50)</f>
        <v/>
      </c>
    </row>
    <row r="26371" spans="9:9" x14ac:dyDescent="0.25">
      <c r="I26371" s="227" t="str">
        <f>MID(excPisCofins[[#This Row],[CodBarras2]],2,50)</f>
        <v/>
      </c>
    </row>
    <row r="26372" spans="9:9" x14ac:dyDescent="0.25">
      <c r="I26372" s="227" t="str">
        <f>MID(excPisCofins[[#This Row],[CodBarras2]],2,50)</f>
        <v/>
      </c>
    </row>
    <row r="26373" spans="9:9" x14ac:dyDescent="0.25">
      <c r="I26373" s="227" t="str">
        <f>MID(excPisCofins[[#This Row],[CodBarras2]],2,50)</f>
        <v/>
      </c>
    </row>
    <row r="26374" spans="9:9" x14ac:dyDescent="0.25">
      <c r="I26374" s="227" t="str">
        <f>MID(excPisCofins[[#This Row],[CodBarras2]],2,50)</f>
        <v/>
      </c>
    </row>
    <row r="26375" spans="9:9" x14ac:dyDescent="0.25">
      <c r="I26375" s="227" t="str">
        <f>MID(excPisCofins[[#This Row],[CodBarras2]],2,50)</f>
        <v/>
      </c>
    </row>
    <row r="26376" spans="9:9" x14ac:dyDescent="0.25">
      <c r="I26376" s="227" t="str">
        <f>MID(excPisCofins[[#This Row],[CodBarras2]],2,50)</f>
        <v/>
      </c>
    </row>
    <row r="26377" spans="9:9" x14ac:dyDescent="0.25">
      <c r="I26377" s="227" t="str">
        <f>MID(excPisCofins[[#This Row],[CodBarras2]],2,50)</f>
        <v/>
      </c>
    </row>
    <row r="26378" spans="9:9" x14ac:dyDescent="0.25">
      <c r="I26378" s="227" t="str">
        <f>MID(excPisCofins[[#This Row],[CodBarras2]],2,50)</f>
        <v/>
      </c>
    </row>
    <row r="26379" spans="9:9" x14ac:dyDescent="0.25">
      <c r="I26379" s="227" t="str">
        <f>MID(excPisCofins[[#This Row],[CodBarras2]],2,50)</f>
        <v/>
      </c>
    </row>
    <row r="26380" spans="9:9" x14ac:dyDescent="0.25">
      <c r="I26380" s="227" t="str">
        <f>MID(excPisCofins[[#This Row],[CodBarras2]],2,50)</f>
        <v/>
      </c>
    </row>
    <row r="26381" spans="9:9" x14ac:dyDescent="0.25">
      <c r="I26381" s="227" t="str">
        <f>MID(excPisCofins[[#This Row],[CodBarras2]],2,50)</f>
        <v/>
      </c>
    </row>
    <row r="26382" spans="9:9" x14ac:dyDescent="0.25">
      <c r="I26382" s="227" t="str">
        <f>MID(excPisCofins[[#This Row],[CodBarras2]],2,50)</f>
        <v/>
      </c>
    </row>
    <row r="26383" spans="9:9" x14ac:dyDescent="0.25">
      <c r="I26383" s="227" t="str">
        <f>MID(excPisCofins[[#This Row],[CodBarras2]],2,50)</f>
        <v/>
      </c>
    </row>
    <row r="26384" spans="9:9" x14ac:dyDescent="0.25">
      <c r="I26384" s="227" t="str">
        <f>MID(excPisCofins[[#This Row],[CodBarras2]],2,50)</f>
        <v/>
      </c>
    </row>
    <row r="26385" spans="9:9" x14ac:dyDescent="0.25">
      <c r="I26385" s="227" t="str">
        <f>MID(excPisCofins[[#This Row],[CodBarras2]],2,50)</f>
        <v/>
      </c>
    </row>
    <row r="26386" spans="9:9" x14ac:dyDescent="0.25">
      <c r="I26386" s="227" t="str">
        <f>MID(excPisCofins[[#This Row],[CodBarras2]],2,50)</f>
        <v/>
      </c>
    </row>
    <row r="26387" spans="9:9" x14ac:dyDescent="0.25">
      <c r="I26387" s="227" t="str">
        <f>MID(excPisCofins[[#This Row],[CodBarras2]],2,50)</f>
        <v/>
      </c>
    </row>
    <row r="26388" spans="9:9" x14ac:dyDescent="0.25">
      <c r="I26388" s="227" t="str">
        <f>MID(excPisCofins[[#This Row],[CodBarras2]],2,50)</f>
        <v/>
      </c>
    </row>
    <row r="26389" spans="9:9" x14ac:dyDescent="0.25">
      <c r="I26389" s="227" t="str">
        <f>MID(excPisCofins[[#This Row],[CodBarras2]],2,50)</f>
        <v/>
      </c>
    </row>
    <row r="26390" spans="9:9" x14ac:dyDescent="0.25">
      <c r="I26390" s="227" t="str">
        <f>MID(excPisCofins[[#This Row],[CodBarras2]],2,50)</f>
        <v/>
      </c>
    </row>
    <row r="26391" spans="9:9" x14ac:dyDescent="0.25">
      <c r="I26391" s="227" t="str">
        <f>MID(excPisCofins[[#This Row],[CodBarras2]],2,50)</f>
        <v/>
      </c>
    </row>
    <row r="26392" spans="9:9" x14ac:dyDescent="0.25">
      <c r="I26392" s="227" t="str">
        <f>MID(excPisCofins[[#This Row],[CodBarras2]],2,50)</f>
        <v/>
      </c>
    </row>
    <row r="26393" spans="9:9" x14ac:dyDescent="0.25">
      <c r="I26393" s="227" t="str">
        <f>MID(excPisCofins[[#This Row],[CodBarras2]],2,50)</f>
        <v/>
      </c>
    </row>
    <row r="26394" spans="9:9" x14ac:dyDescent="0.25">
      <c r="I26394" s="227" t="str">
        <f>MID(excPisCofins[[#This Row],[CodBarras2]],2,50)</f>
        <v/>
      </c>
    </row>
    <row r="26395" spans="9:9" x14ac:dyDescent="0.25">
      <c r="I26395" s="227" t="str">
        <f>MID(excPisCofins[[#This Row],[CodBarras2]],2,50)</f>
        <v/>
      </c>
    </row>
    <row r="26396" spans="9:9" x14ac:dyDescent="0.25">
      <c r="I26396" s="227" t="str">
        <f>MID(excPisCofins[[#This Row],[CodBarras2]],2,50)</f>
        <v/>
      </c>
    </row>
    <row r="26397" spans="9:9" x14ac:dyDescent="0.25">
      <c r="I26397" s="227" t="str">
        <f>MID(excPisCofins[[#This Row],[CodBarras2]],2,50)</f>
        <v/>
      </c>
    </row>
    <row r="26398" spans="9:9" x14ac:dyDescent="0.25">
      <c r="I26398" s="227" t="str">
        <f>MID(excPisCofins[[#This Row],[CodBarras2]],2,50)</f>
        <v/>
      </c>
    </row>
    <row r="26399" spans="9:9" x14ac:dyDescent="0.25">
      <c r="I26399" s="227" t="str">
        <f>MID(excPisCofins[[#This Row],[CodBarras2]],2,50)</f>
        <v/>
      </c>
    </row>
    <row r="26400" spans="9:9" x14ac:dyDescent="0.25">
      <c r="I26400" s="227" t="str">
        <f>MID(excPisCofins[[#This Row],[CodBarras2]],2,50)</f>
        <v/>
      </c>
    </row>
    <row r="26401" spans="9:9" x14ac:dyDescent="0.25">
      <c r="I26401" s="227" t="str">
        <f>MID(excPisCofins[[#This Row],[CodBarras2]],2,50)</f>
        <v/>
      </c>
    </row>
    <row r="26402" spans="9:9" x14ac:dyDescent="0.25">
      <c r="I26402" s="227" t="str">
        <f>MID(excPisCofins[[#This Row],[CodBarras2]],2,50)</f>
        <v/>
      </c>
    </row>
    <row r="26403" spans="9:9" x14ac:dyDescent="0.25">
      <c r="I26403" s="227" t="str">
        <f>MID(excPisCofins[[#This Row],[CodBarras2]],2,50)</f>
        <v/>
      </c>
    </row>
    <row r="26404" spans="9:9" x14ac:dyDescent="0.25">
      <c r="I26404" s="227" t="str">
        <f>MID(excPisCofins[[#This Row],[CodBarras2]],2,50)</f>
        <v/>
      </c>
    </row>
    <row r="26405" spans="9:9" x14ac:dyDescent="0.25">
      <c r="I26405" s="227" t="str">
        <f>MID(excPisCofins[[#This Row],[CodBarras2]],2,50)</f>
        <v/>
      </c>
    </row>
    <row r="26406" spans="9:9" x14ac:dyDescent="0.25">
      <c r="I26406" s="227" t="str">
        <f>MID(excPisCofins[[#This Row],[CodBarras2]],2,50)</f>
        <v/>
      </c>
    </row>
    <row r="26407" spans="9:9" x14ac:dyDescent="0.25">
      <c r="I26407" s="227" t="str">
        <f>MID(excPisCofins[[#This Row],[CodBarras2]],2,50)</f>
        <v/>
      </c>
    </row>
    <row r="26408" spans="9:9" x14ac:dyDescent="0.25">
      <c r="I26408" s="227" t="str">
        <f>MID(excPisCofins[[#This Row],[CodBarras2]],2,50)</f>
        <v/>
      </c>
    </row>
    <row r="26409" spans="9:9" x14ac:dyDescent="0.25">
      <c r="I26409" s="227" t="str">
        <f>MID(excPisCofins[[#This Row],[CodBarras2]],2,50)</f>
        <v/>
      </c>
    </row>
    <row r="26410" spans="9:9" x14ac:dyDescent="0.25">
      <c r="I26410" s="227" t="str">
        <f>MID(excPisCofins[[#This Row],[CodBarras2]],2,50)</f>
        <v/>
      </c>
    </row>
    <row r="26411" spans="9:9" x14ac:dyDescent="0.25">
      <c r="I26411" s="227" t="str">
        <f>MID(excPisCofins[[#This Row],[CodBarras2]],2,50)</f>
        <v/>
      </c>
    </row>
    <row r="26412" spans="9:9" x14ac:dyDescent="0.25">
      <c r="I26412" s="227" t="str">
        <f>MID(excPisCofins[[#This Row],[CodBarras2]],2,50)</f>
        <v/>
      </c>
    </row>
    <row r="26413" spans="9:9" x14ac:dyDescent="0.25">
      <c r="I26413" s="227" t="str">
        <f>MID(excPisCofins[[#This Row],[CodBarras2]],2,50)</f>
        <v/>
      </c>
    </row>
    <row r="26414" spans="9:9" x14ac:dyDescent="0.25">
      <c r="I26414" s="227" t="str">
        <f>MID(excPisCofins[[#This Row],[CodBarras2]],2,50)</f>
        <v/>
      </c>
    </row>
    <row r="26415" spans="9:9" x14ac:dyDescent="0.25">
      <c r="I26415" s="227" t="str">
        <f>MID(excPisCofins[[#This Row],[CodBarras2]],2,50)</f>
        <v/>
      </c>
    </row>
    <row r="26416" spans="9:9" x14ac:dyDescent="0.25">
      <c r="I26416" s="227" t="str">
        <f>MID(excPisCofins[[#This Row],[CodBarras2]],2,50)</f>
        <v/>
      </c>
    </row>
    <row r="26417" spans="9:9" x14ac:dyDescent="0.25">
      <c r="I26417" s="227" t="str">
        <f>MID(excPisCofins[[#This Row],[CodBarras2]],2,50)</f>
        <v/>
      </c>
    </row>
    <row r="26418" spans="9:9" x14ac:dyDescent="0.25">
      <c r="I26418" s="227" t="str">
        <f>MID(excPisCofins[[#This Row],[CodBarras2]],2,50)</f>
        <v/>
      </c>
    </row>
    <row r="26419" spans="9:9" x14ac:dyDescent="0.25">
      <c r="I26419" s="227" t="str">
        <f>MID(excPisCofins[[#This Row],[CodBarras2]],2,50)</f>
        <v/>
      </c>
    </row>
    <row r="26420" spans="9:9" x14ac:dyDescent="0.25">
      <c r="I26420" s="227" t="str">
        <f>MID(excPisCofins[[#This Row],[CodBarras2]],2,50)</f>
        <v/>
      </c>
    </row>
    <row r="26421" spans="9:9" x14ac:dyDescent="0.25">
      <c r="I26421" s="227" t="str">
        <f>MID(excPisCofins[[#This Row],[CodBarras2]],2,50)</f>
        <v/>
      </c>
    </row>
    <row r="26422" spans="9:9" x14ac:dyDescent="0.25">
      <c r="I26422" s="227" t="str">
        <f>MID(excPisCofins[[#This Row],[CodBarras2]],2,50)</f>
        <v/>
      </c>
    </row>
    <row r="26423" spans="9:9" x14ac:dyDescent="0.25">
      <c r="I26423" s="227" t="str">
        <f>MID(excPisCofins[[#This Row],[CodBarras2]],2,50)</f>
        <v/>
      </c>
    </row>
    <row r="26424" spans="9:9" x14ac:dyDescent="0.25">
      <c r="I26424" s="227" t="str">
        <f>MID(excPisCofins[[#This Row],[CodBarras2]],2,50)</f>
        <v/>
      </c>
    </row>
    <row r="26425" spans="9:9" x14ac:dyDescent="0.25">
      <c r="I26425" s="227" t="str">
        <f>MID(excPisCofins[[#This Row],[CodBarras2]],2,50)</f>
        <v/>
      </c>
    </row>
    <row r="26426" spans="9:9" x14ac:dyDescent="0.25">
      <c r="I26426" s="227" t="str">
        <f>MID(excPisCofins[[#This Row],[CodBarras2]],2,50)</f>
        <v/>
      </c>
    </row>
    <row r="26427" spans="9:9" x14ac:dyDescent="0.25">
      <c r="I26427" s="227" t="str">
        <f>MID(excPisCofins[[#This Row],[CodBarras2]],2,50)</f>
        <v/>
      </c>
    </row>
    <row r="26428" spans="9:9" x14ac:dyDescent="0.25">
      <c r="I26428" s="227" t="str">
        <f>MID(excPisCofins[[#This Row],[CodBarras2]],2,50)</f>
        <v/>
      </c>
    </row>
    <row r="26429" spans="9:9" x14ac:dyDescent="0.25">
      <c r="I26429" s="227" t="str">
        <f>MID(excPisCofins[[#This Row],[CodBarras2]],2,50)</f>
        <v/>
      </c>
    </row>
    <row r="26430" spans="9:9" x14ac:dyDescent="0.25">
      <c r="I26430" s="227" t="str">
        <f>MID(excPisCofins[[#This Row],[CodBarras2]],2,50)</f>
        <v/>
      </c>
    </row>
    <row r="26431" spans="9:9" x14ac:dyDescent="0.25">
      <c r="I26431" s="227" t="str">
        <f>MID(excPisCofins[[#This Row],[CodBarras2]],2,50)</f>
        <v/>
      </c>
    </row>
    <row r="26432" spans="9:9" x14ac:dyDescent="0.25">
      <c r="I26432" s="227" t="str">
        <f>MID(excPisCofins[[#This Row],[CodBarras2]],2,50)</f>
        <v/>
      </c>
    </row>
    <row r="26433" spans="9:9" x14ac:dyDescent="0.25">
      <c r="I26433" s="227" t="str">
        <f>MID(excPisCofins[[#This Row],[CodBarras2]],2,50)</f>
        <v/>
      </c>
    </row>
    <row r="26434" spans="9:9" x14ac:dyDescent="0.25">
      <c r="I26434" s="227" t="str">
        <f>MID(excPisCofins[[#This Row],[CodBarras2]],2,50)</f>
        <v/>
      </c>
    </row>
    <row r="26435" spans="9:9" x14ac:dyDescent="0.25">
      <c r="I26435" s="227" t="str">
        <f>MID(excPisCofins[[#This Row],[CodBarras2]],2,50)</f>
        <v/>
      </c>
    </row>
    <row r="26436" spans="9:9" x14ac:dyDescent="0.25">
      <c r="I26436" s="227" t="str">
        <f>MID(excPisCofins[[#This Row],[CodBarras2]],2,50)</f>
        <v/>
      </c>
    </row>
    <row r="26437" spans="9:9" x14ac:dyDescent="0.25">
      <c r="I26437" s="227" t="str">
        <f>MID(excPisCofins[[#This Row],[CodBarras2]],2,50)</f>
        <v/>
      </c>
    </row>
    <row r="26438" spans="9:9" x14ac:dyDescent="0.25">
      <c r="I26438" s="227" t="str">
        <f>MID(excPisCofins[[#This Row],[CodBarras2]],2,50)</f>
        <v/>
      </c>
    </row>
    <row r="26439" spans="9:9" x14ac:dyDescent="0.25">
      <c r="I26439" s="227" t="str">
        <f>MID(excPisCofins[[#This Row],[CodBarras2]],2,50)</f>
        <v/>
      </c>
    </row>
    <row r="26440" spans="9:9" x14ac:dyDescent="0.25">
      <c r="I26440" s="227" t="str">
        <f>MID(excPisCofins[[#This Row],[CodBarras2]],2,50)</f>
        <v/>
      </c>
    </row>
    <row r="26441" spans="9:9" x14ac:dyDescent="0.25">
      <c r="I26441" s="227" t="str">
        <f>MID(excPisCofins[[#This Row],[CodBarras2]],2,50)</f>
        <v/>
      </c>
    </row>
    <row r="26442" spans="9:9" x14ac:dyDescent="0.25">
      <c r="I26442" s="227" t="str">
        <f>MID(excPisCofins[[#This Row],[CodBarras2]],2,50)</f>
        <v/>
      </c>
    </row>
    <row r="26443" spans="9:9" x14ac:dyDescent="0.25">
      <c r="I26443" s="227" t="str">
        <f>MID(excPisCofins[[#This Row],[CodBarras2]],2,50)</f>
        <v/>
      </c>
    </row>
    <row r="26444" spans="9:9" x14ac:dyDescent="0.25">
      <c r="I26444" s="227" t="str">
        <f>MID(excPisCofins[[#This Row],[CodBarras2]],2,50)</f>
        <v/>
      </c>
    </row>
    <row r="26445" spans="9:9" x14ac:dyDescent="0.25">
      <c r="I26445" s="227" t="str">
        <f>MID(excPisCofins[[#This Row],[CodBarras2]],2,50)</f>
        <v/>
      </c>
    </row>
    <row r="26446" spans="9:9" x14ac:dyDescent="0.25">
      <c r="I26446" s="227" t="str">
        <f>MID(excPisCofins[[#This Row],[CodBarras2]],2,50)</f>
        <v/>
      </c>
    </row>
    <row r="26447" spans="9:9" x14ac:dyDescent="0.25">
      <c r="I26447" s="227" t="str">
        <f>MID(excPisCofins[[#This Row],[CodBarras2]],2,50)</f>
        <v/>
      </c>
    </row>
    <row r="26448" spans="9:9" x14ac:dyDescent="0.25">
      <c r="I26448" s="227" t="str">
        <f>MID(excPisCofins[[#This Row],[CodBarras2]],2,50)</f>
        <v/>
      </c>
    </row>
    <row r="26449" spans="9:9" x14ac:dyDescent="0.25">
      <c r="I26449" s="227" t="str">
        <f>MID(excPisCofins[[#This Row],[CodBarras2]],2,50)</f>
        <v/>
      </c>
    </row>
    <row r="26450" spans="9:9" x14ac:dyDescent="0.25">
      <c r="I26450" s="227" t="str">
        <f>MID(excPisCofins[[#This Row],[CodBarras2]],2,50)</f>
        <v/>
      </c>
    </row>
    <row r="26451" spans="9:9" x14ac:dyDescent="0.25">
      <c r="I26451" s="227" t="str">
        <f>MID(excPisCofins[[#This Row],[CodBarras2]],2,50)</f>
        <v/>
      </c>
    </row>
    <row r="26452" spans="9:9" x14ac:dyDescent="0.25">
      <c r="I26452" s="227" t="str">
        <f>MID(excPisCofins[[#This Row],[CodBarras2]],2,50)</f>
        <v/>
      </c>
    </row>
    <row r="26453" spans="9:9" x14ac:dyDescent="0.25">
      <c r="I26453" s="227" t="str">
        <f>MID(excPisCofins[[#This Row],[CodBarras2]],2,50)</f>
        <v/>
      </c>
    </row>
    <row r="26454" spans="9:9" x14ac:dyDescent="0.25">
      <c r="I26454" s="227" t="str">
        <f>MID(excPisCofins[[#This Row],[CodBarras2]],2,50)</f>
        <v/>
      </c>
    </row>
    <row r="26455" spans="9:9" x14ac:dyDescent="0.25">
      <c r="I26455" s="227" t="str">
        <f>MID(excPisCofins[[#This Row],[CodBarras2]],2,50)</f>
        <v/>
      </c>
    </row>
    <row r="26456" spans="9:9" x14ac:dyDescent="0.25">
      <c r="I26456" s="227" t="str">
        <f>MID(excPisCofins[[#This Row],[CodBarras2]],2,50)</f>
        <v/>
      </c>
    </row>
    <row r="26457" spans="9:9" x14ac:dyDescent="0.25">
      <c r="I26457" s="227" t="str">
        <f>MID(excPisCofins[[#This Row],[CodBarras2]],2,50)</f>
        <v/>
      </c>
    </row>
    <row r="26458" spans="9:9" x14ac:dyDescent="0.25">
      <c r="I26458" s="227" t="str">
        <f>MID(excPisCofins[[#This Row],[CodBarras2]],2,50)</f>
        <v/>
      </c>
    </row>
    <row r="26459" spans="9:9" x14ac:dyDescent="0.25">
      <c r="I26459" s="227" t="str">
        <f>MID(excPisCofins[[#This Row],[CodBarras2]],2,50)</f>
        <v/>
      </c>
    </row>
    <row r="26460" spans="9:9" x14ac:dyDescent="0.25">
      <c r="I26460" s="227" t="str">
        <f>MID(excPisCofins[[#This Row],[CodBarras2]],2,50)</f>
        <v/>
      </c>
    </row>
    <row r="26461" spans="9:9" x14ac:dyDescent="0.25">
      <c r="I26461" s="227" t="str">
        <f>MID(excPisCofins[[#This Row],[CodBarras2]],2,50)</f>
        <v/>
      </c>
    </row>
    <row r="26462" spans="9:9" x14ac:dyDescent="0.25">
      <c r="I26462" s="227" t="str">
        <f>MID(excPisCofins[[#This Row],[CodBarras2]],2,50)</f>
        <v/>
      </c>
    </row>
    <row r="26463" spans="9:9" x14ac:dyDescent="0.25">
      <c r="I26463" s="227" t="str">
        <f>MID(excPisCofins[[#This Row],[CodBarras2]],2,50)</f>
        <v/>
      </c>
    </row>
    <row r="26464" spans="9:9" x14ac:dyDescent="0.25">
      <c r="I26464" s="227" t="str">
        <f>MID(excPisCofins[[#This Row],[CodBarras2]],2,50)</f>
        <v/>
      </c>
    </row>
    <row r="26465" spans="9:9" x14ac:dyDescent="0.25">
      <c r="I26465" s="227" t="str">
        <f>MID(excPisCofins[[#This Row],[CodBarras2]],2,50)</f>
        <v/>
      </c>
    </row>
    <row r="26466" spans="9:9" x14ac:dyDescent="0.25">
      <c r="I26466" s="227" t="str">
        <f>MID(excPisCofins[[#This Row],[CodBarras2]],2,50)</f>
        <v/>
      </c>
    </row>
    <row r="26467" spans="9:9" x14ac:dyDescent="0.25">
      <c r="I26467" s="227" t="str">
        <f>MID(excPisCofins[[#This Row],[CodBarras2]],2,50)</f>
        <v/>
      </c>
    </row>
    <row r="26468" spans="9:9" x14ac:dyDescent="0.25">
      <c r="I26468" s="227" t="str">
        <f>MID(excPisCofins[[#This Row],[CodBarras2]],2,50)</f>
        <v/>
      </c>
    </row>
    <row r="26469" spans="9:9" x14ac:dyDescent="0.25">
      <c r="I26469" s="227" t="str">
        <f>MID(excPisCofins[[#This Row],[CodBarras2]],2,50)</f>
        <v/>
      </c>
    </row>
    <row r="26470" spans="9:9" x14ac:dyDescent="0.25">
      <c r="I26470" s="227" t="str">
        <f>MID(excPisCofins[[#This Row],[CodBarras2]],2,50)</f>
        <v/>
      </c>
    </row>
    <row r="26471" spans="9:9" x14ac:dyDescent="0.25">
      <c r="I26471" s="227" t="str">
        <f>MID(excPisCofins[[#This Row],[CodBarras2]],2,50)</f>
        <v/>
      </c>
    </row>
    <row r="26472" spans="9:9" x14ac:dyDescent="0.25">
      <c r="I26472" s="227" t="str">
        <f>MID(excPisCofins[[#This Row],[CodBarras2]],2,50)</f>
        <v/>
      </c>
    </row>
    <row r="26473" spans="9:9" x14ac:dyDescent="0.25">
      <c r="I26473" s="227" t="str">
        <f>MID(excPisCofins[[#This Row],[CodBarras2]],2,50)</f>
        <v/>
      </c>
    </row>
    <row r="26474" spans="9:9" x14ac:dyDescent="0.25">
      <c r="I26474" s="227" t="str">
        <f>MID(excPisCofins[[#This Row],[CodBarras2]],2,50)</f>
        <v/>
      </c>
    </row>
    <row r="26475" spans="9:9" x14ac:dyDescent="0.25">
      <c r="I26475" s="227" t="str">
        <f>MID(excPisCofins[[#This Row],[CodBarras2]],2,50)</f>
        <v/>
      </c>
    </row>
    <row r="26476" spans="9:9" x14ac:dyDescent="0.25">
      <c r="I26476" s="227" t="str">
        <f>MID(excPisCofins[[#This Row],[CodBarras2]],2,50)</f>
        <v/>
      </c>
    </row>
    <row r="26477" spans="9:9" x14ac:dyDescent="0.25">
      <c r="I26477" s="227" t="str">
        <f>MID(excPisCofins[[#This Row],[CodBarras2]],2,50)</f>
        <v/>
      </c>
    </row>
    <row r="26478" spans="9:9" x14ac:dyDescent="0.25">
      <c r="I26478" s="227" t="str">
        <f>MID(excPisCofins[[#This Row],[CodBarras2]],2,50)</f>
        <v/>
      </c>
    </row>
    <row r="26479" spans="9:9" x14ac:dyDescent="0.25">
      <c r="I26479" s="227" t="str">
        <f>MID(excPisCofins[[#This Row],[CodBarras2]],2,50)</f>
        <v/>
      </c>
    </row>
    <row r="26480" spans="9:9" x14ac:dyDescent="0.25">
      <c r="I26480" s="227" t="str">
        <f>MID(excPisCofins[[#This Row],[CodBarras2]],2,50)</f>
        <v/>
      </c>
    </row>
    <row r="26481" spans="9:9" x14ac:dyDescent="0.25">
      <c r="I26481" s="227" t="str">
        <f>MID(excPisCofins[[#This Row],[CodBarras2]],2,50)</f>
        <v/>
      </c>
    </row>
    <row r="26482" spans="9:9" x14ac:dyDescent="0.25">
      <c r="I26482" s="227" t="str">
        <f>MID(excPisCofins[[#This Row],[CodBarras2]],2,50)</f>
        <v/>
      </c>
    </row>
    <row r="26483" spans="9:9" x14ac:dyDescent="0.25">
      <c r="I26483" s="227" t="str">
        <f>MID(excPisCofins[[#This Row],[CodBarras2]],2,50)</f>
        <v/>
      </c>
    </row>
    <row r="26484" spans="9:9" x14ac:dyDescent="0.25">
      <c r="I26484" s="227" t="str">
        <f>MID(excPisCofins[[#This Row],[CodBarras2]],2,50)</f>
        <v/>
      </c>
    </row>
    <row r="26485" spans="9:9" x14ac:dyDescent="0.25">
      <c r="I26485" s="227" t="str">
        <f>MID(excPisCofins[[#This Row],[CodBarras2]],2,50)</f>
        <v/>
      </c>
    </row>
    <row r="26486" spans="9:9" x14ac:dyDescent="0.25">
      <c r="I26486" s="227" t="str">
        <f>MID(excPisCofins[[#This Row],[CodBarras2]],2,50)</f>
        <v/>
      </c>
    </row>
    <row r="26487" spans="9:9" x14ac:dyDescent="0.25">
      <c r="I26487" s="227" t="str">
        <f>MID(excPisCofins[[#This Row],[CodBarras2]],2,50)</f>
        <v/>
      </c>
    </row>
    <row r="26488" spans="9:9" x14ac:dyDescent="0.25">
      <c r="I26488" s="227" t="str">
        <f>MID(excPisCofins[[#This Row],[CodBarras2]],2,50)</f>
        <v/>
      </c>
    </row>
    <row r="26489" spans="9:9" x14ac:dyDescent="0.25">
      <c r="I26489" s="227" t="str">
        <f>MID(excPisCofins[[#This Row],[CodBarras2]],2,50)</f>
        <v/>
      </c>
    </row>
    <row r="26490" spans="9:9" x14ac:dyDescent="0.25">
      <c r="I26490" s="227" t="str">
        <f>MID(excPisCofins[[#This Row],[CodBarras2]],2,50)</f>
        <v/>
      </c>
    </row>
    <row r="26491" spans="9:9" x14ac:dyDescent="0.25">
      <c r="I26491" s="227" t="str">
        <f>MID(excPisCofins[[#This Row],[CodBarras2]],2,50)</f>
        <v/>
      </c>
    </row>
    <row r="26492" spans="9:9" x14ac:dyDescent="0.25">
      <c r="I26492" s="227" t="str">
        <f>MID(excPisCofins[[#This Row],[CodBarras2]],2,50)</f>
        <v/>
      </c>
    </row>
    <row r="26493" spans="9:9" x14ac:dyDescent="0.25">
      <c r="I26493" s="227" t="str">
        <f>MID(excPisCofins[[#This Row],[CodBarras2]],2,50)</f>
        <v/>
      </c>
    </row>
    <row r="26494" spans="9:9" x14ac:dyDescent="0.25">
      <c r="I26494" s="227" t="str">
        <f>MID(excPisCofins[[#This Row],[CodBarras2]],2,50)</f>
        <v/>
      </c>
    </row>
    <row r="26495" spans="9:9" x14ac:dyDescent="0.25">
      <c r="I26495" s="227" t="str">
        <f>MID(excPisCofins[[#This Row],[CodBarras2]],2,50)</f>
        <v/>
      </c>
    </row>
    <row r="26496" spans="9:9" x14ac:dyDescent="0.25">
      <c r="I26496" s="227" t="str">
        <f>MID(excPisCofins[[#This Row],[CodBarras2]],2,50)</f>
        <v/>
      </c>
    </row>
    <row r="26497" spans="9:9" x14ac:dyDescent="0.25">
      <c r="I26497" s="227" t="str">
        <f>MID(excPisCofins[[#This Row],[CodBarras2]],2,50)</f>
        <v/>
      </c>
    </row>
    <row r="26498" spans="9:9" x14ac:dyDescent="0.25">
      <c r="I26498" s="227" t="str">
        <f>MID(excPisCofins[[#This Row],[CodBarras2]],2,50)</f>
        <v/>
      </c>
    </row>
    <row r="26499" spans="9:9" x14ac:dyDescent="0.25">
      <c r="I26499" s="227" t="str">
        <f>MID(excPisCofins[[#This Row],[CodBarras2]],2,50)</f>
        <v/>
      </c>
    </row>
    <row r="26500" spans="9:9" x14ac:dyDescent="0.25">
      <c r="I26500" s="227" t="str">
        <f>MID(excPisCofins[[#This Row],[CodBarras2]],2,50)</f>
        <v/>
      </c>
    </row>
    <row r="26501" spans="9:9" x14ac:dyDescent="0.25">
      <c r="I26501" s="227" t="str">
        <f>MID(excPisCofins[[#This Row],[CodBarras2]],2,50)</f>
        <v/>
      </c>
    </row>
    <row r="26502" spans="9:9" x14ac:dyDescent="0.25">
      <c r="I26502" s="227" t="str">
        <f>MID(excPisCofins[[#This Row],[CodBarras2]],2,50)</f>
        <v/>
      </c>
    </row>
    <row r="26503" spans="9:9" x14ac:dyDescent="0.25">
      <c r="I26503" s="227" t="str">
        <f>MID(excPisCofins[[#This Row],[CodBarras2]],2,50)</f>
        <v/>
      </c>
    </row>
    <row r="26504" spans="9:9" x14ac:dyDescent="0.25">
      <c r="I26504" s="227" t="str">
        <f>MID(excPisCofins[[#This Row],[CodBarras2]],2,50)</f>
        <v/>
      </c>
    </row>
    <row r="26505" spans="9:9" x14ac:dyDescent="0.25">
      <c r="I26505" s="227" t="str">
        <f>MID(excPisCofins[[#This Row],[CodBarras2]],2,50)</f>
        <v/>
      </c>
    </row>
    <row r="26506" spans="9:9" x14ac:dyDescent="0.25">
      <c r="I26506" s="227" t="str">
        <f>MID(excPisCofins[[#This Row],[CodBarras2]],2,50)</f>
        <v/>
      </c>
    </row>
    <row r="26507" spans="9:9" x14ac:dyDescent="0.25">
      <c r="I26507" s="227" t="str">
        <f>MID(excPisCofins[[#This Row],[CodBarras2]],2,50)</f>
        <v/>
      </c>
    </row>
    <row r="26508" spans="9:9" x14ac:dyDescent="0.25">
      <c r="I26508" s="227" t="str">
        <f>MID(excPisCofins[[#This Row],[CodBarras2]],2,50)</f>
        <v/>
      </c>
    </row>
    <row r="26509" spans="9:9" x14ac:dyDescent="0.25">
      <c r="I26509" s="227" t="str">
        <f>MID(excPisCofins[[#This Row],[CodBarras2]],2,50)</f>
        <v/>
      </c>
    </row>
    <row r="26510" spans="9:9" x14ac:dyDescent="0.25">
      <c r="I26510" s="227" t="str">
        <f>MID(excPisCofins[[#This Row],[CodBarras2]],2,50)</f>
        <v/>
      </c>
    </row>
    <row r="26511" spans="9:9" x14ac:dyDescent="0.25">
      <c r="I26511" s="227" t="str">
        <f>MID(excPisCofins[[#This Row],[CodBarras2]],2,50)</f>
        <v/>
      </c>
    </row>
    <row r="26512" spans="9:9" x14ac:dyDescent="0.25">
      <c r="I26512" s="227" t="str">
        <f>MID(excPisCofins[[#This Row],[CodBarras2]],2,50)</f>
        <v/>
      </c>
    </row>
    <row r="26513" spans="9:9" x14ac:dyDescent="0.25">
      <c r="I26513" s="227" t="str">
        <f>MID(excPisCofins[[#This Row],[CodBarras2]],2,50)</f>
        <v/>
      </c>
    </row>
    <row r="26514" spans="9:9" x14ac:dyDescent="0.25">
      <c r="I26514" s="227" t="str">
        <f>MID(excPisCofins[[#This Row],[CodBarras2]],2,50)</f>
        <v/>
      </c>
    </row>
    <row r="26515" spans="9:9" x14ac:dyDescent="0.25">
      <c r="I26515" s="227" t="str">
        <f>MID(excPisCofins[[#This Row],[CodBarras2]],2,50)</f>
        <v/>
      </c>
    </row>
    <row r="26516" spans="9:9" x14ac:dyDescent="0.25">
      <c r="I26516" s="227" t="str">
        <f>MID(excPisCofins[[#This Row],[CodBarras2]],2,50)</f>
        <v/>
      </c>
    </row>
    <row r="26517" spans="9:9" x14ac:dyDescent="0.25">
      <c r="I26517" s="227" t="str">
        <f>MID(excPisCofins[[#This Row],[CodBarras2]],2,50)</f>
        <v/>
      </c>
    </row>
    <row r="26518" spans="9:9" x14ac:dyDescent="0.25">
      <c r="I26518" s="227" t="str">
        <f>MID(excPisCofins[[#This Row],[CodBarras2]],2,50)</f>
        <v/>
      </c>
    </row>
    <row r="26519" spans="9:9" x14ac:dyDescent="0.25">
      <c r="I26519" s="227" t="str">
        <f>MID(excPisCofins[[#This Row],[CodBarras2]],2,50)</f>
        <v/>
      </c>
    </row>
    <row r="26520" spans="9:9" x14ac:dyDescent="0.25">
      <c r="I26520" s="227" t="str">
        <f>MID(excPisCofins[[#This Row],[CodBarras2]],2,50)</f>
        <v/>
      </c>
    </row>
    <row r="26521" spans="9:9" x14ac:dyDescent="0.25">
      <c r="I26521" s="227" t="str">
        <f>MID(excPisCofins[[#This Row],[CodBarras2]],2,50)</f>
        <v/>
      </c>
    </row>
    <row r="26522" spans="9:9" x14ac:dyDescent="0.25">
      <c r="I26522" s="227" t="str">
        <f>MID(excPisCofins[[#This Row],[CodBarras2]],2,50)</f>
        <v/>
      </c>
    </row>
    <row r="26523" spans="9:9" x14ac:dyDescent="0.25">
      <c r="I26523" s="227" t="str">
        <f>MID(excPisCofins[[#This Row],[CodBarras2]],2,50)</f>
        <v/>
      </c>
    </row>
    <row r="26524" spans="9:9" x14ac:dyDescent="0.25">
      <c r="I26524" s="227" t="str">
        <f>MID(excPisCofins[[#This Row],[CodBarras2]],2,50)</f>
        <v/>
      </c>
    </row>
    <row r="26525" spans="9:9" x14ac:dyDescent="0.25">
      <c r="I26525" s="227" t="str">
        <f>MID(excPisCofins[[#This Row],[CodBarras2]],2,50)</f>
        <v/>
      </c>
    </row>
    <row r="26526" spans="9:9" x14ac:dyDescent="0.25">
      <c r="I26526" s="227" t="str">
        <f>MID(excPisCofins[[#This Row],[CodBarras2]],2,50)</f>
        <v/>
      </c>
    </row>
    <row r="26527" spans="9:9" x14ac:dyDescent="0.25">
      <c r="I26527" s="227" t="str">
        <f>MID(excPisCofins[[#This Row],[CodBarras2]],2,50)</f>
        <v/>
      </c>
    </row>
    <row r="26528" spans="9:9" x14ac:dyDescent="0.25">
      <c r="I26528" s="227" t="str">
        <f>MID(excPisCofins[[#This Row],[CodBarras2]],2,50)</f>
        <v/>
      </c>
    </row>
    <row r="26529" spans="9:9" x14ac:dyDescent="0.25">
      <c r="I26529" s="227" t="str">
        <f>MID(excPisCofins[[#This Row],[CodBarras2]],2,50)</f>
        <v/>
      </c>
    </row>
    <row r="26530" spans="9:9" x14ac:dyDescent="0.25">
      <c r="I26530" s="227" t="str">
        <f>MID(excPisCofins[[#This Row],[CodBarras2]],2,50)</f>
        <v/>
      </c>
    </row>
    <row r="26531" spans="9:9" x14ac:dyDescent="0.25">
      <c r="I26531" s="227" t="str">
        <f>MID(excPisCofins[[#This Row],[CodBarras2]],2,50)</f>
        <v/>
      </c>
    </row>
    <row r="26532" spans="9:9" x14ac:dyDescent="0.25">
      <c r="I26532" s="227" t="str">
        <f>MID(excPisCofins[[#This Row],[CodBarras2]],2,50)</f>
        <v/>
      </c>
    </row>
    <row r="26533" spans="9:9" x14ac:dyDescent="0.25">
      <c r="I26533" s="227" t="str">
        <f>MID(excPisCofins[[#This Row],[CodBarras2]],2,50)</f>
        <v/>
      </c>
    </row>
    <row r="26534" spans="9:9" x14ac:dyDescent="0.25">
      <c r="I26534" s="227" t="str">
        <f>MID(excPisCofins[[#This Row],[CodBarras2]],2,50)</f>
        <v/>
      </c>
    </row>
    <row r="26535" spans="9:9" x14ac:dyDescent="0.25">
      <c r="I26535" s="227" t="str">
        <f>MID(excPisCofins[[#This Row],[CodBarras2]],2,50)</f>
        <v/>
      </c>
    </row>
    <row r="26536" spans="9:9" x14ac:dyDescent="0.25">
      <c r="I26536" s="227" t="str">
        <f>MID(excPisCofins[[#This Row],[CodBarras2]],2,50)</f>
        <v/>
      </c>
    </row>
    <row r="26537" spans="9:9" x14ac:dyDescent="0.25">
      <c r="I26537" s="227" t="str">
        <f>MID(excPisCofins[[#This Row],[CodBarras2]],2,50)</f>
        <v/>
      </c>
    </row>
    <row r="26538" spans="9:9" x14ac:dyDescent="0.25">
      <c r="I26538" s="227" t="str">
        <f>MID(excPisCofins[[#This Row],[CodBarras2]],2,50)</f>
        <v/>
      </c>
    </row>
    <row r="26539" spans="9:9" x14ac:dyDescent="0.25">
      <c r="I26539" s="227" t="str">
        <f>MID(excPisCofins[[#This Row],[CodBarras2]],2,50)</f>
        <v/>
      </c>
    </row>
    <row r="26540" spans="9:9" x14ac:dyDescent="0.25">
      <c r="I26540" s="227" t="str">
        <f>MID(excPisCofins[[#This Row],[CodBarras2]],2,50)</f>
        <v/>
      </c>
    </row>
    <row r="26541" spans="9:9" x14ac:dyDescent="0.25">
      <c r="I26541" s="227" t="str">
        <f>MID(excPisCofins[[#This Row],[CodBarras2]],2,50)</f>
        <v/>
      </c>
    </row>
    <row r="26542" spans="9:9" x14ac:dyDescent="0.25">
      <c r="I26542" s="227" t="str">
        <f>MID(excPisCofins[[#This Row],[CodBarras2]],2,50)</f>
        <v/>
      </c>
    </row>
    <row r="26543" spans="9:9" x14ac:dyDescent="0.25">
      <c r="I26543" s="227" t="str">
        <f>MID(excPisCofins[[#This Row],[CodBarras2]],2,50)</f>
        <v/>
      </c>
    </row>
    <row r="26544" spans="9:9" x14ac:dyDescent="0.25">
      <c r="I26544" s="227" t="str">
        <f>MID(excPisCofins[[#This Row],[CodBarras2]],2,50)</f>
        <v/>
      </c>
    </row>
    <row r="26545" spans="9:9" x14ac:dyDescent="0.25">
      <c r="I26545" s="227" t="str">
        <f>MID(excPisCofins[[#This Row],[CodBarras2]],2,50)</f>
        <v/>
      </c>
    </row>
    <row r="26546" spans="9:9" x14ac:dyDescent="0.25">
      <c r="I26546" s="227" t="str">
        <f>MID(excPisCofins[[#This Row],[CodBarras2]],2,50)</f>
        <v/>
      </c>
    </row>
    <row r="26547" spans="9:9" x14ac:dyDescent="0.25">
      <c r="I26547" s="227" t="str">
        <f>MID(excPisCofins[[#This Row],[CodBarras2]],2,50)</f>
        <v/>
      </c>
    </row>
    <row r="26548" spans="9:9" x14ac:dyDescent="0.25">
      <c r="I26548" s="227" t="str">
        <f>MID(excPisCofins[[#This Row],[CodBarras2]],2,50)</f>
        <v/>
      </c>
    </row>
    <row r="26549" spans="9:9" x14ac:dyDescent="0.25">
      <c r="I26549" s="227" t="str">
        <f>MID(excPisCofins[[#This Row],[CodBarras2]],2,50)</f>
        <v/>
      </c>
    </row>
    <row r="26550" spans="9:9" x14ac:dyDescent="0.25">
      <c r="I26550" s="227" t="str">
        <f>MID(excPisCofins[[#This Row],[CodBarras2]],2,50)</f>
        <v/>
      </c>
    </row>
    <row r="26551" spans="9:9" x14ac:dyDescent="0.25">
      <c r="I26551" s="227" t="str">
        <f>MID(excPisCofins[[#This Row],[CodBarras2]],2,50)</f>
        <v/>
      </c>
    </row>
    <row r="26552" spans="9:9" x14ac:dyDescent="0.25">
      <c r="I26552" s="227" t="str">
        <f>MID(excPisCofins[[#This Row],[CodBarras2]],2,50)</f>
        <v/>
      </c>
    </row>
    <row r="26553" spans="9:9" x14ac:dyDescent="0.25">
      <c r="I26553" s="227" t="str">
        <f>MID(excPisCofins[[#This Row],[CodBarras2]],2,50)</f>
        <v/>
      </c>
    </row>
    <row r="26554" spans="9:9" x14ac:dyDescent="0.25">
      <c r="I26554" s="227" t="str">
        <f>MID(excPisCofins[[#This Row],[CodBarras2]],2,50)</f>
        <v/>
      </c>
    </row>
    <row r="26555" spans="9:9" x14ac:dyDescent="0.25">
      <c r="I26555" s="227" t="str">
        <f>MID(excPisCofins[[#This Row],[CodBarras2]],2,50)</f>
        <v/>
      </c>
    </row>
    <row r="26556" spans="9:9" x14ac:dyDescent="0.25">
      <c r="I26556" s="227" t="str">
        <f>MID(excPisCofins[[#This Row],[CodBarras2]],2,50)</f>
        <v/>
      </c>
    </row>
    <row r="26557" spans="9:9" x14ac:dyDescent="0.25">
      <c r="I26557" s="227" t="str">
        <f>MID(excPisCofins[[#This Row],[CodBarras2]],2,50)</f>
        <v/>
      </c>
    </row>
    <row r="26558" spans="9:9" x14ac:dyDescent="0.25">
      <c r="I26558" s="227" t="str">
        <f>MID(excPisCofins[[#This Row],[CodBarras2]],2,50)</f>
        <v/>
      </c>
    </row>
    <row r="26559" spans="9:9" x14ac:dyDescent="0.25">
      <c r="I26559" s="227" t="str">
        <f>MID(excPisCofins[[#This Row],[CodBarras2]],2,50)</f>
        <v/>
      </c>
    </row>
    <row r="26560" spans="9:9" x14ac:dyDescent="0.25">
      <c r="I26560" s="227" t="str">
        <f>MID(excPisCofins[[#This Row],[CodBarras2]],2,50)</f>
        <v/>
      </c>
    </row>
    <row r="26561" spans="9:9" x14ac:dyDescent="0.25">
      <c r="I26561" s="227" t="str">
        <f>MID(excPisCofins[[#This Row],[CodBarras2]],2,50)</f>
        <v/>
      </c>
    </row>
    <row r="26562" spans="9:9" x14ac:dyDescent="0.25">
      <c r="I26562" s="227" t="str">
        <f>MID(excPisCofins[[#This Row],[CodBarras2]],2,50)</f>
        <v/>
      </c>
    </row>
    <row r="26563" spans="9:9" x14ac:dyDescent="0.25">
      <c r="I26563" s="227" t="str">
        <f>MID(excPisCofins[[#This Row],[CodBarras2]],2,50)</f>
        <v/>
      </c>
    </row>
    <row r="26564" spans="9:9" x14ac:dyDescent="0.25">
      <c r="I26564" s="227" t="str">
        <f>MID(excPisCofins[[#This Row],[CodBarras2]],2,50)</f>
        <v/>
      </c>
    </row>
    <row r="26565" spans="9:9" x14ac:dyDescent="0.25">
      <c r="I26565" s="227" t="str">
        <f>MID(excPisCofins[[#This Row],[CodBarras2]],2,50)</f>
        <v/>
      </c>
    </row>
    <row r="26566" spans="9:9" x14ac:dyDescent="0.25">
      <c r="I26566" s="227" t="str">
        <f>MID(excPisCofins[[#This Row],[CodBarras2]],2,50)</f>
        <v/>
      </c>
    </row>
    <row r="26567" spans="9:9" x14ac:dyDescent="0.25">
      <c r="I26567" s="227" t="str">
        <f>MID(excPisCofins[[#This Row],[CodBarras2]],2,50)</f>
        <v/>
      </c>
    </row>
    <row r="26568" spans="9:9" x14ac:dyDescent="0.25">
      <c r="I26568" s="227" t="str">
        <f>MID(excPisCofins[[#This Row],[CodBarras2]],2,50)</f>
        <v/>
      </c>
    </row>
    <row r="26569" spans="9:9" x14ac:dyDescent="0.25">
      <c r="I26569" s="227" t="str">
        <f>MID(excPisCofins[[#This Row],[CodBarras2]],2,50)</f>
        <v/>
      </c>
    </row>
    <row r="26570" spans="9:9" x14ac:dyDescent="0.25">
      <c r="I26570" s="227" t="str">
        <f>MID(excPisCofins[[#This Row],[CodBarras2]],2,50)</f>
        <v/>
      </c>
    </row>
    <row r="26571" spans="9:9" x14ac:dyDescent="0.25">
      <c r="I26571" s="227" t="str">
        <f>MID(excPisCofins[[#This Row],[CodBarras2]],2,50)</f>
        <v/>
      </c>
    </row>
    <row r="26572" spans="9:9" x14ac:dyDescent="0.25">
      <c r="I26572" s="227" t="str">
        <f>MID(excPisCofins[[#This Row],[CodBarras2]],2,50)</f>
        <v/>
      </c>
    </row>
    <row r="26573" spans="9:9" x14ac:dyDescent="0.25">
      <c r="I26573" s="227" t="str">
        <f>MID(excPisCofins[[#This Row],[CodBarras2]],2,50)</f>
        <v/>
      </c>
    </row>
    <row r="26574" spans="9:9" x14ac:dyDescent="0.25">
      <c r="I26574" s="227" t="str">
        <f>MID(excPisCofins[[#This Row],[CodBarras2]],2,50)</f>
        <v/>
      </c>
    </row>
    <row r="26575" spans="9:9" x14ac:dyDescent="0.25">
      <c r="I26575" s="227" t="str">
        <f>MID(excPisCofins[[#This Row],[CodBarras2]],2,50)</f>
        <v/>
      </c>
    </row>
    <row r="26576" spans="9:9" x14ac:dyDescent="0.25">
      <c r="I26576" s="227" t="str">
        <f>MID(excPisCofins[[#This Row],[CodBarras2]],2,50)</f>
        <v/>
      </c>
    </row>
    <row r="26577" spans="9:9" x14ac:dyDescent="0.25">
      <c r="I26577" s="227" t="str">
        <f>MID(excPisCofins[[#This Row],[CodBarras2]],2,50)</f>
        <v/>
      </c>
    </row>
    <row r="26578" spans="9:9" x14ac:dyDescent="0.25">
      <c r="I26578" s="227" t="str">
        <f>MID(excPisCofins[[#This Row],[CodBarras2]],2,50)</f>
        <v/>
      </c>
    </row>
    <row r="26579" spans="9:9" x14ac:dyDescent="0.25">
      <c r="I26579" s="227" t="str">
        <f>MID(excPisCofins[[#This Row],[CodBarras2]],2,50)</f>
        <v/>
      </c>
    </row>
    <row r="26580" spans="9:9" x14ac:dyDescent="0.25">
      <c r="I26580" s="227" t="str">
        <f>MID(excPisCofins[[#This Row],[CodBarras2]],2,50)</f>
        <v/>
      </c>
    </row>
    <row r="26581" spans="9:9" x14ac:dyDescent="0.25">
      <c r="I26581" s="227" t="str">
        <f>MID(excPisCofins[[#This Row],[CodBarras2]],2,50)</f>
        <v/>
      </c>
    </row>
    <row r="26582" spans="9:9" x14ac:dyDescent="0.25">
      <c r="I26582" s="227" t="str">
        <f>MID(excPisCofins[[#This Row],[CodBarras2]],2,50)</f>
        <v/>
      </c>
    </row>
    <row r="26583" spans="9:9" x14ac:dyDescent="0.25">
      <c r="I26583" s="227" t="str">
        <f>MID(excPisCofins[[#This Row],[CodBarras2]],2,50)</f>
        <v/>
      </c>
    </row>
    <row r="26584" spans="9:9" x14ac:dyDescent="0.25">
      <c r="I26584" s="227" t="str">
        <f>MID(excPisCofins[[#This Row],[CodBarras2]],2,50)</f>
        <v/>
      </c>
    </row>
    <row r="26585" spans="9:9" x14ac:dyDescent="0.25">
      <c r="I26585" s="227" t="str">
        <f>MID(excPisCofins[[#This Row],[CodBarras2]],2,50)</f>
        <v/>
      </c>
    </row>
    <row r="26586" spans="9:9" x14ac:dyDescent="0.25">
      <c r="I26586" s="227" t="str">
        <f>MID(excPisCofins[[#This Row],[CodBarras2]],2,50)</f>
        <v/>
      </c>
    </row>
    <row r="26587" spans="9:9" x14ac:dyDescent="0.25">
      <c r="I26587" s="227" t="str">
        <f>MID(excPisCofins[[#This Row],[CodBarras2]],2,50)</f>
        <v/>
      </c>
    </row>
    <row r="26588" spans="9:9" x14ac:dyDescent="0.25">
      <c r="I26588" s="227" t="str">
        <f>MID(excPisCofins[[#This Row],[CodBarras2]],2,50)</f>
        <v/>
      </c>
    </row>
    <row r="26589" spans="9:9" x14ac:dyDescent="0.25">
      <c r="I26589" s="227" t="str">
        <f>MID(excPisCofins[[#This Row],[CodBarras2]],2,50)</f>
        <v/>
      </c>
    </row>
    <row r="26590" spans="9:9" x14ac:dyDescent="0.25">
      <c r="I26590" s="227" t="str">
        <f>MID(excPisCofins[[#This Row],[CodBarras2]],2,50)</f>
        <v/>
      </c>
    </row>
    <row r="26591" spans="9:9" x14ac:dyDescent="0.25">
      <c r="I26591" s="227" t="str">
        <f>MID(excPisCofins[[#This Row],[CodBarras2]],2,50)</f>
        <v/>
      </c>
    </row>
  </sheetData>
  <phoneticPr fontId="14" type="noConversion"/>
  <conditionalFormatting sqref="A1:A26591">
    <cfRule type="duplicateValues" dxfId="19" priority="20392"/>
  </conditionalFormatting>
  <conditionalFormatting sqref="B1:B26591">
    <cfRule type="duplicateValues" dxfId="18" priority="20394"/>
  </conditionalFormatting>
  <conditionalFormatting sqref="I1">
    <cfRule type="duplicateValues" dxfId="17"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1:H1481"/>
  <sheetViews>
    <sheetView showGridLines="0" zoomScale="160" zoomScaleNormal="160" workbookViewId="0">
      <selection activeCell="F20" sqref="F20"/>
    </sheetView>
  </sheetViews>
  <sheetFormatPr defaultRowHeight="15" x14ac:dyDescent="0.25"/>
  <cols>
    <col min="1" max="1" width="11.42578125" style="199" customWidth="1"/>
    <col min="2" max="2" width="23" style="198" customWidth="1"/>
    <col min="3" max="3" width="10.42578125" style="198" customWidth="1"/>
    <col min="4" max="4" width="10.7109375" style="198" customWidth="1"/>
    <col min="5" max="5" width="10.5703125" style="198" customWidth="1"/>
    <col min="6" max="6" width="15.42578125" style="198" customWidth="1"/>
    <col min="7" max="7" width="14" style="198" customWidth="1"/>
    <col min="8" max="16384" width="9.140625" style="198"/>
  </cols>
  <sheetData>
    <row r="1" spans="1:7" customFormat="1" x14ac:dyDescent="0.25">
      <c r="A1" s="201" t="s">
        <v>4583</v>
      </c>
      <c r="B1" s="202" t="s">
        <v>149</v>
      </c>
      <c r="C1" s="202" t="s">
        <v>150</v>
      </c>
      <c r="D1" s="202" t="s">
        <v>151</v>
      </c>
      <c r="E1" s="203" t="s">
        <v>152</v>
      </c>
      <c r="F1" s="203" t="s">
        <v>5847</v>
      </c>
      <c r="G1" s="204" t="s">
        <v>4582</v>
      </c>
    </row>
    <row r="2" spans="1:7" x14ac:dyDescent="0.25">
      <c r="A2" s="205">
        <v>1</v>
      </c>
      <c r="B2" s="206" t="s">
        <v>5936</v>
      </c>
      <c r="C2" s="207" t="s">
        <v>5931</v>
      </c>
      <c r="D2" s="207">
        <v>0</v>
      </c>
      <c r="E2" s="208" t="str">
        <f>IF(D2="","",IF(Tabela3[[#This Row],[ST?]]="Red","Redução",IF(AND(D2=0,C2="nãost"),"isenção","sem isenção")))</f>
        <v>isenção</v>
      </c>
      <c r="F2" s="206" t="s">
        <v>5932</v>
      </c>
      <c r="G2" s="209"/>
    </row>
    <row r="3" spans="1:7" x14ac:dyDescent="0.25">
      <c r="A3" s="210">
        <v>2</v>
      </c>
      <c r="B3" s="206" t="s">
        <v>5937</v>
      </c>
      <c r="C3" s="207" t="s">
        <v>5931</v>
      </c>
      <c r="D3" s="207">
        <v>0</v>
      </c>
      <c r="E3" s="208" t="str">
        <f>IF(D3="","",IF(Tabela3[[#This Row],[ST?]]="Red","Redução",IF(AND(D3=0,C3="nãost"),"isenção","sem isenção")))</f>
        <v>isenção</v>
      </c>
      <c r="F3" s="206" t="s">
        <v>5938</v>
      </c>
      <c r="G3" s="209"/>
    </row>
    <row r="4" spans="1:7" x14ac:dyDescent="0.25">
      <c r="A4" s="210">
        <v>3</v>
      </c>
      <c r="B4" s="206" t="s">
        <v>5939</v>
      </c>
      <c r="C4" s="207" t="s">
        <v>5931</v>
      </c>
      <c r="D4" s="207">
        <v>0</v>
      </c>
      <c r="E4" s="208" t="str">
        <f>IF(D4="","",IF(Tabela3[[#This Row],[ST?]]="Red","Redução",IF(AND(D4=0,C4="nãost"),"isenção","sem isenção")))</f>
        <v>isenção</v>
      </c>
      <c r="F4" s="206" t="s">
        <v>5940</v>
      </c>
      <c r="G4" s="209"/>
    </row>
    <row r="5" spans="1:7" x14ac:dyDescent="0.25">
      <c r="A5" s="210">
        <v>4</v>
      </c>
      <c r="B5" s="206" t="s">
        <v>5933</v>
      </c>
      <c r="C5" s="207" t="s">
        <v>5934</v>
      </c>
      <c r="D5" s="207">
        <v>0</v>
      </c>
      <c r="E5" s="208" t="str">
        <f>IF(D5="","",IF(Tabela3[[#This Row],[ST?]]="Red","Redução",IF(AND(D5=0,C5="nãost"),"isenção","sem isenção")))</f>
        <v>sem isenção</v>
      </c>
      <c r="F5" s="206"/>
      <c r="G5" s="209"/>
    </row>
    <row r="6" spans="1:7" x14ac:dyDescent="0.25">
      <c r="A6" s="210">
        <v>6</v>
      </c>
      <c r="B6" s="206" t="s">
        <v>5941</v>
      </c>
      <c r="C6" s="207" t="s">
        <v>5934</v>
      </c>
      <c r="D6" s="207">
        <v>0</v>
      </c>
      <c r="E6" s="208" t="str">
        <f>IF(D6="","",IF(Tabela3[[#This Row],[ST?]]="Red","Redução",IF(AND(D6=0,C6="nãost"),"isenção","sem isenção")))</f>
        <v>sem isenção</v>
      </c>
      <c r="F6" s="206"/>
      <c r="G6" s="209"/>
    </row>
    <row r="7" spans="1:7" x14ac:dyDescent="0.25">
      <c r="A7" s="210">
        <v>8</v>
      </c>
      <c r="B7" s="206" t="s">
        <v>5942</v>
      </c>
      <c r="C7" s="207" t="s">
        <v>5931</v>
      </c>
      <c r="D7" s="207">
        <v>19</v>
      </c>
      <c r="E7" s="208" t="str">
        <f>IF(D7="","",IF(Tabela3[[#This Row],[ST?]]="Red","Redução",IF(AND(D7=0,C7="nãost"),"isenção","sem isenção")))</f>
        <v>sem isenção</v>
      </c>
      <c r="F7" s="206"/>
      <c r="G7" s="209"/>
    </row>
    <row r="8" spans="1:7" x14ac:dyDescent="0.25">
      <c r="A8" s="210">
        <v>9</v>
      </c>
      <c r="B8" s="206" t="s">
        <v>5943</v>
      </c>
      <c r="C8" s="207" t="s">
        <v>5931</v>
      </c>
      <c r="D8" s="207">
        <v>19</v>
      </c>
      <c r="E8" s="208" t="str">
        <f>IF(D8="","",IF(Tabela3[[#This Row],[ST?]]="Red","Redução",IF(AND(D8=0,C8="nãost"),"isenção","sem isenção")))</f>
        <v>sem isenção</v>
      </c>
      <c r="F8" s="207"/>
      <c r="G8" s="209"/>
    </row>
    <row r="9" spans="1:7" x14ac:dyDescent="0.25">
      <c r="A9" s="210">
        <v>10</v>
      </c>
      <c r="B9" s="206" t="s">
        <v>5944</v>
      </c>
      <c r="C9" s="207" t="s">
        <v>5945</v>
      </c>
      <c r="D9" s="207">
        <v>7</v>
      </c>
      <c r="E9" s="208" t="str">
        <f>IF(D9="","",IF(Tabela3[[#This Row],[ST?]]="Red","Redução",IF(AND(D9=0,C9="nãost"),"isenção","sem isenção")))</f>
        <v>Redução</v>
      </c>
      <c r="F9" s="206" t="s">
        <v>5946</v>
      </c>
      <c r="G9" s="209"/>
    </row>
    <row r="10" spans="1:7" x14ac:dyDescent="0.25">
      <c r="A10" s="210">
        <v>11</v>
      </c>
      <c r="B10" s="206" t="s">
        <v>5947</v>
      </c>
      <c r="C10" s="207" t="s">
        <v>5934</v>
      </c>
      <c r="D10" s="207">
        <v>0</v>
      </c>
      <c r="E10" s="208" t="str">
        <f>IF(D10="","",IF(Tabela3[[#This Row],[ST?]]="Red","Redução",IF(AND(D10=0,C10="nãost"),"isenção","sem isenção")))</f>
        <v>sem isenção</v>
      </c>
      <c r="F10" s="206"/>
      <c r="G10" s="209"/>
    </row>
    <row r="11" spans="1:7" x14ac:dyDescent="0.25">
      <c r="A11" s="210">
        <v>12</v>
      </c>
      <c r="B11" s="206" t="s">
        <v>5948</v>
      </c>
      <c r="C11" s="207" t="s">
        <v>5931</v>
      </c>
      <c r="D11" s="207">
        <v>19</v>
      </c>
      <c r="E11" s="208" t="str">
        <f>IF(D11="","",IF(Tabela3[[#This Row],[ST?]]="Red","Redução",IF(AND(D11=0,C11="nãost"),"isenção","sem isenção")))</f>
        <v>sem isenção</v>
      </c>
      <c r="F11" s="206"/>
      <c r="G11" s="209"/>
    </row>
    <row r="12" spans="1:7" x14ac:dyDescent="0.25">
      <c r="A12" s="210">
        <v>13</v>
      </c>
      <c r="B12" s="206" t="s">
        <v>5949</v>
      </c>
      <c r="C12" s="207" t="s">
        <v>5945</v>
      </c>
      <c r="D12" s="207">
        <v>7</v>
      </c>
      <c r="E12" s="208" t="str">
        <f>IF(D12="","",IF(Tabela3[[#This Row],[ST?]]="Red","Redução",IF(AND(D12=0,C12="nãost"),"isenção","sem isenção")))</f>
        <v>Redução</v>
      </c>
      <c r="F12" s="206" t="s">
        <v>5946</v>
      </c>
      <c r="G12" s="209"/>
    </row>
    <row r="13" spans="1:7" x14ac:dyDescent="0.25">
      <c r="A13" s="210">
        <v>14</v>
      </c>
      <c r="B13" s="206" t="s">
        <v>5950</v>
      </c>
      <c r="C13" s="207" t="s">
        <v>5931</v>
      </c>
      <c r="D13" s="207">
        <v>0</v>
      </c>
      <c r="E13" s="208" t="str">
        <f>IF(D13="","",IF(Tabela3[[#This Row],[ST?]]="Red","Redução",IF(AND(D13=0,C13="nãost"),"isenção","sem isenção")))</f>
        <v>isenção</v>
      </c>
      <c r="F13" s="206" t="s">
        <v>5940</v>
      </c>
      <c r="G13" s="209"/>
    </row>
    <row r="14" spans="1:7" x14ac:dyDescent="0.25">
      <c r="A14" s="210">
        <v>15</v>
      </c>
      <c r="B14" s="206" t="s">
        <v>5951</v>
      </c>
      <c r="C14" s="207" t="s">
        <v>5934</v>
      </c>
      <c r="D14" s="207">
        <v>0</v>
      </c>
      <c r="E14" s="208" t="str">
        <f>IF(D14="","",IF(Tabela3[[#This Row],[ST?]]="Red","Redução",IF(AND(D14=0,C14="nãost"),"isenção","sem isenção")))</f>
        <v>sem isenção</v>
      </c>
      <c r="F14" s="206"/>
      <c r="G14" s="209"/>
    </row>
    <row r="15" spans="1:7" x14ac:dyDescent="0.25">
      <c r="A15" s="210">
        <v>16</v>
      </c>
      <c r="B15" s="206" t="s">
        <v>5953</v>
      </c>
      <c r="C15" s="207" t="s">
        <v>5945</v>
      </c>
      <c r="D15" s="207">
        <v>7</v>
      </c>
      <c r="E15" s="208" t="str">
        <f>IF(D15="","",IF(Tabela3[[#This Row],[ST?]]="Red","Redução",IF(AND(D15=0,C15="nãost"),"isenção","sem isenção")))</f>
        <v>Redução</v>
      </c>
      <c r="F15" s="206" t="s">
        <v>5946</v>
      </c>
      <c r="G15" s="209"/>
    </row>
    <row r="16" spans="1:7" x14ac:dyDescent="0.25">
      <c r="A16" s="210">
        <v>17</v>
      </c>
      <c r="B16" s="206" t="s">
        <v>5952</v>
      </c>
      <c r="C16" s="207" t="s">
        <v>5945</v>
      </c>
      <c r="D16" s="207">
        <v>7</v>
      </c>
      <c r="E16" s="208" t="str">
        <f>IF(D16="","",IF(Tabela3[[#This Row],[ST?]]="Red","Redução",IF(AND(D16=0,C16="nãost"),"isenção","sem isenção")))</f>
        <v>Redução</v>
      </c>
      <c r="F16" s="206" t="s">
        <v>5946</v>
      </c>
      <c r="G16" s="209"/>
    </row>
    <row r="17" spans="1:7" x14ac:dyDescent="0.25">
      <c r="A17" s="210">
        <v>18</v>
      </c>
      <c r="B17" s="206" t="s">
        <v>5954</v>
      </c>
      <c r="C17" s="207" t="s">
        <v>5945</v>
      </c>
      <c r="D17" s="207">
        <v>7</v>
      </c>
      <c r="E17" s="208" t="str">
        <f>IF(D17="","",IF(Tabela3[[#This Row],[ST?]]="Red","Redução",IF(AND(D17=0,C17="nãost"),"isenção","sem isenção")))</f>
        <v>Redução</v>
      </c>
      <c r="F17" s="206" t="s">
        <v>5946</v>
      </c>
      <c r="G17" s="209"/>
    </row>
    <row r="18" spans="1:7" x14ac:dyDescent="0.25">
      <c r="A18" s="211">
        <v>19</v>
      </c>
      <c r="B18" s="206" t="s">
        <v>5955</v>
      </c>
      <c r="C18" s="207" t="s">
        <v>5945</v>
      </c>
      <c r="D18" s="207">
        <v>7</v>
      </c>
      <c r="E18" s="208" t="str">
        <f>IF(D18="","",IF(Tabela3[[#This Row],[ST?]]="Red","Redução",IF(AND(D18=0,C18="nãost"),"isenção","sem isenção")))</f>
        <v>Redução</v>
      </c>
      <c r="F18" s="206" t="s">
        <v>5946</v>
      </c>
      <c r="G18" s="209"/>
    </row>
    <row r="19" spans="1:7" x14ac:dyDescent="0.25">
      <c r="A19" s="211">
        <v>20</v>
      </c>
      <c r="B19" s="212" t="s">
        <v>5956</v>
      </c>
      <c r="C19" s="207" t="s">
        <v>5945</v>
      </c>
      <c r="D19" s="213">
        <v>12</v>
      </c>
      <c r="E19" s="214" t="str">
        <f>IF(D19="","",IF(Tabela3[[#This Row],[ST?]]="Red","Redução",IF(AND(D19=0,C19="nãost"),"isenção","sem isenção")))</f>
        <v>Redução</v>
      </c>
      <c r="F19" s="206" t="s">
        <v>5957</v>
      </c>
      <c r="G19" s="209"/>
    </row>
    <row r="20" spans="1:7" x14ac:dyDescent="0.25">
      <c r="A20" s="211">
        <v>21</v>
      </c>
      <c r="B20" s="212" t="s">
        <v>5958</v>
      </c>
      <c r="C20" s="207" t="s">
        <v>5945</v>
      </c>
      <c r="D20" s="213">
        <v>12</v>
      </c>
      <c r="E20" s="214" t="str">
        <f>IF(D20="","",IF(Tabela3[[#This Row],[ST?]]="Red","Redução",IF(AND(D20=0,C20="nãost"),"isenção","sem isenção")))</f>
        <v>Redução</v>
      </c>
      <c r="F20" s="206" t="s">
        <v>5957</v>
      </c>
      <c r="G20" s="209"/>
    </row>
    <row r="21" spans="1:7" x14ac:dyDescent="0.25">
      <c r="A21" s="215">
        <v>22</v>
      </c>
      <c r="B21" s="216" t="s">
        <v>5959</v>
      </c>
      <c r="C21" s="217" t="s">
        <v>5931</v>
      </c>
      <c r="D21" s="217">
        <v>19</v>
      </c>
      <c r="E21" s="218" t="str">
        <f>IF(D21="","",IF(Tabela3[[#This Row],[ST?]]="Red","Redução",IF(AND(D21=0,C21="nãost"),"isenção","sem isenção")))</f>
        <v>sem isenção</v>
      </c>
      <c r="F21" s="216"/>
      <c r="G21" s="219"/>
    </row>
    <row r="22" spans="1:7" x14ac:dyDescent="0.25">
      <c r="A22" s="215">
        <v>23</v>
      </c>
      <c r="B22" s="216" t="s">
        <v>5960</v>
      </c>
      <c r="C22" s="217" t="s">
        <v>5931</v>
      </c>
      <c r="D22" s="217">
        <v>21</v>
      </c>
      <c r="E22" s="218" t="str">
        <f>IF(D22="","",IF(Tabela3[[#This Row],[ST?]]="Red","Redução",IF(AND(D22=0,C22="nãost"),"isenção","sem isenção")))</f>
        <v>sem isenção</v>
      </c>
      <c r="F22" s="216"/>
      <c r="G22" s="219"/>
    </row>
    <row r="23" spans="1:7" x14ac:dyDescent="0.25">
      <c r="A23" s="215">
        <v>24</v>
      </c>
      <c r="B23" s="216" t="s">
        <v>5961</v>
      </c>
      <c r="C23" s="217" t="s">
        <v>5931</v>
      </c>
      <c r="D23" s="217">
        <v>21</v>
      </c>
      <c r="E23" s="218" t="str">
        <f>IF(D23="","",IF(Tabela3[[#This Row],[ST?]]="Red","Redução",IF(AND(D23=0,C23="nãost"),"isenção","sem isenção")))</f>
        <v>sem isenção</v>
      </c>
      <c r="F23" s="216"/>
      <c r="G23" s="219"/>
    </row>
    <row r="24" spans="1:7" x14ac:dyDescent="0.25">
      <c r="A24" s="215">
        <v>25</v>
      </c>
      <c r="B24" s="216" t="s">
        <v>5962</v>
      </c>
      <c r="C24" s="217" t="s">
        <v>5931</v>
      </c>
      <c r="D24" s="217">
        <v>27</v>
      </c>
      <c r="E24" s="218" t="str">
        <f>IF(D24="","",IF(Tabela3[[#This Row],[ST?]]="Red","Redução",IF(AND(D24=0,C24="nãost"),"isenção","sem isenção")))</f>
        <v>sem isenção</v>
      </c>
      <c r="F24" s="216"/>
      <c r="G24" s="219"/>
    </row>
    <row r="25" spans="1:7" x14ac:dyDescent="0.25">
      <c r="A25" s="215">
        <v>26</v>
      </c>
      <c r="B25" s="216" t="s">
        <v>5963</v>
      </c>
      <c r="C25" s="217" t="s">
        <v>5931</v>
      </c>
      <c r="D25" s="217">
        <v>27</v>
      </c>
      <c r="E25" s="218" t="str">
        <f>IF(D25="","",IF(Tabela3[[#This Row],[ST?]]="Red","Redução",IF(AND(D25=0,C25="nãost"),"isenção","sem isenção")))</f>
        <v>sem isenção</v>
      </c>
      <c r="F25" s="216"/>
      <c r="G25" s="219"/>
    </row>
    <row r="26" spans="1:7" x14ac:dyDescent="0.25">
      <c r="A26" s="215">
        <v>27</v>
      </c>
      <c r="B26" s="216" t="s">
        <v>5964</v>
      </c>
      <c r="C26" s="217" t="s">
        <v>5931</v>
      </c>
      <c r="D26" s="217">
        <v>19</v>
      </c>
      <c r="E26" s="218" t="str">
        <f>IF(D26="","",IF(Tabela3[[#This Row],[ST?]]="Red","Redução",IF(AND(D26=0,C26="nãost"),"isenção","sem isenção")))</f>
        <v>sem isenção</v>
      </c>
      <c r="F26" s="216"/>
      <c r="G26" s="219"/>
    </row>
    <row r="27" spans="1:7" x14ac:dyDescent="0.25">
      <c r="A27" s="215">
        <v>28</v>
      </c>
      <c r="B27" s="216" t="s">
        <v>5966</v>
      </c>
      <c r="C27" s="217" t="s">
        <v>5931</v>
      </c>
      <c r="D27" s="217">
        <v>0</v>
      </c>
      <c r="E27" s="218" t="str">
        <f>IF(D27="","",IF(Tabela3[[#This Row],[ST?]]="Red","Redução",IF(AND(D27=0,C27="nãost"),"isenção","sem isenção")))</f>
        <v>isenção</v>
      </c>
      <c r="F27" s="216" t="s">
        <v>5965</v>
      </c>
      <c r="G27" s="219"/>
    </row>
    <row r="28" spans="1:7" x14ac:dyDescent="0.25">
      <c r="A28" s="215">
        <v>29</v>
      </c>
      <c r="B28" s="216" t="s">
        <v>5967</v>
      </c>
      <c r="C28" s="217" t="s">
        <v>5931</v>
      </c>
      <c r="D28" s="217">
        <v>0</v>
      </c>
      <c r="E28" s="218" t="str">
        <f>IF(D28="","",IF(Tabela3[[#This Row],[ST?]]="Red","Redução",IF(AND(D28=0,C28="nãost"),"isenção","sem isenção")))</f>
        <v>isenção</v>
      </c>
      <c r="F28" s="216" t="s">
        <v>5965</v>
      </c>
      <c r="G28" s="219"/>
    </row>
    <row r="29" spans="1:7" x14ac:dyDescent="0.25">
      <c r="A29" s="215">
        <v>30</v>
      </c>
      <c r="B29" s="216" t="s">
        <v>5968</v>
      </c>
      <c r="C29" s="217" t="s">
        <v>5931</v>
      </c>
      <c r="D29" s="217">
        <v>0</v>
      </c>
      <c r="E29" s="218" t="str">
        <f>IF(D29="","",IF(Tabela3[[#This Row],[ST?]]="Red","Redução",IF(AND(D29=0,C29="nãost"),"isenção","sem isenção")))</f>
        <v>isenção</v>
      </c>
      <c r="F29" s="216" t="s">
        <v>5965</v>
      </c>
      <c r="G29" s="219"/>
    </row>
    <row r="30" spans="1:7" x14ac:dyDescent="0.25">
      <c r="A30" s="215">
        <v>31</v>
      </c>
      <c r="B30" s="216" t="s">
        <v>5969</v>
      </c>
      <c r="C30" s="217" t="s">
        <v>5931</v>
      </c>
      <c r="D30" s="217">
        <v>0</v>
      </c>
      <c r="E30" s="218" t="str">
        <f>IF(D30="","",IF(Tabela3[[#This Row],[ST?]]="Red","Redução",IF(AND(D30=0,C30="nãost"),"isenção","sem isenção")))</f>
        <v>isenção</v>
      </c>
      <c r="F30" s="216" t="s">
        <v>5965</v>
      </c>
      <c r="G30" s="219"/>
    </row>
    <row r="31" spans="1:7" x14ac:dyDescent="0.25">
      <c r="A31" s="215">
        <v>5</v>
      </c>
      <c r="B31" s="216" t="s">
        <v>5970</v>
      </c>
      <c r="C31" s="217" t="s">
        <v>5934</v>
      </c>
      <c r="D31" s="217">
        <v>0</v>
      </c>
      <c r="E31" s="218" t="str">
        <f>IF(D31="","",IF(Tabela3[[#This Row],[ST?]]="Red","Redução",IF(AND(D31=0,C31="nãost"),"isenção","sem isenção")))</f>
        <v>sem isenção</v>
      </c>
      <c r="F31" s="216"/>
      <c r="G31" s="219"/>
    </row>
    <row r="32" spans="1:7" x14ac:dyDescent="0.25">
      <c r="A32" s="220">
        <v>7</v>
      </c>
      <c r="B32" s="221" t="s">
        <v>5935</v>
      </c>
      <c r="C32" s="222" t="s">
        <v>5931</v>
      </c>
      <c r="D32" s="222">
        <v>19</v>
      </c>
      <c r="E32" s="223" t="str">
        <f>IF(D32="","",IF(Tabela3[[#This Row],[ST?]]="Red","Redução",IF(AND(D32=0,C32="nãost"),"isenção","sem isenção")))</f>
        <v>sem isenção</v>
      </c>
      <c r="F32" s="221"/>
      <c r="G32" s="224"/>
    </row>
    <row r="170" ht="28.5" customHeight="1" x14ac:dyDescent="0.25"/>
    <row r="171" ht="33" customHeight="1" x14ac:dyDescent="0.25"/>
    <row r="362" spans="8:8" x14ac:dyDescent="0.25">
      <c r="H362" s="200"/>
    </row>
    <row r="1477" ht="36" customHeight="1" x14ac:dyDescent="0.25"/>
    <row r="1479" ht="32.25" customHeight="1" x14ac:dyDescent="0.25"/>
    <row r="1480" ht="25.5" customHeight="1" x14ac:dyDescent="0.25"/>
    <row r="1481" ht="27.75" customHeight="1" x14ac:dyDescent="0.25"/>
  </sheetData>
  <conditionalFormatting sqref="A4">
    <cfRule type="duplicateValues" dxfId="16" priority="20454"/>
  </conditionalFormatting>
  <conditionalFormatting sqref="B4">
    <cfRule type="duplicateValues" dxfId="15" priority="20459"/>
  </conditionalFormatting>
  <conditionalFormatting sqref="G1:G32">
    <cfRule type="duplicateValues" dxfId="14" priority="20474"/>
  </conditionalFormatting>
  <conditionalFormatting sqref="A2:A32">
    <cfRule type="duplicateValues" dxfId="13" priority="20475"/>
  </conditionalFormatting>
  <conditionalFormatting sqref="B2:B32">
    <cfRule type="duplicateValues" dxfId="12" priority="20476"/>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F2"/>
  <sheetViews>
    <sheetView showGridLines="0" zoomScaleNormal="100" workbookViewId="0">
      <selection activeCell="A2" sqref="A2"/>
    </sheetView>
  </sheetViews>
  <sheetFormatPr defaultRowHeight="15" x14ac:dyDescent="0.25"/>
  <cols>
    <col min="1" max="1" width="25.7109375" style="47" customWidth="1"/>
    <col min="2" max="2" width="54" customWidth="1"/>
    <col min="4" max="4" width="10.7109375" customWidth="1"/>
    <col min="5" max="5" width="11.85546875" bestFit="1" customWidth="1"/>
    <col min="6" max="6" width="22.85546875" bestFit="1" customWidth="1"/>
  </cols>
  <sheetData>
    <row r="1" spans="1:6" x14ac:dyDescent="0.25">
      <c r="A1" s="108" t="s">
        <v>4583</v>
      </c>
      <c r="B1" s="53" t="s">
        <v>149</v>
      </c>
      <c r="C1" s="53" t="s">
        <v>150</v>
      </c>
      <c r="D1" s="53" t="s">
        <v>151</v>
      </c>
      <c r="E1" s="56" t="s">
        <v>152</v>
      </c>
      <c r="F1" s="55" t="s">
        <v>4582</v>
      </c>
    </row>
    <row r="2" spans="1:6" x14ac:dyDescent="0.25">
      <c r="A2" s="109"/>
      <c r="B2" s="4"/>
      <c r="C2" s="3"/>
      <c r="D2" s="3"/>
      <c r="E2" s="14" t="str">
        <f>IF(D2="","",IF(AND(D2=0,C2="nãost"),"isenção","sem isenção"))</f>
        <v/>
      </c>
      <c r="F2" s="52">
        <f ca="1">IF(ExcecoesInter[[#This Row],[Códigodebarras]]="",RAND(),ExcecoesInter[[#This Row],[Códigodebarras]])</f>
        <v>0.23986011549681208</v>
      </c>
    </row>
  </sheetData>
  <conditionalFormatting sqref="A1:A1048576">
    <cfRule type="duplicateValues" dxfId="11" priority="1026"/>
  </conditionalFormatting>
  <conditionalFormatting sqref="B2">
    <cfRule type="duplicateValues" dxfId="10"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dimension ref="A1:D5230"/>
  <sheetViews>
    <sheetView showGridLines="0" zoomScaleNormal="100" workbookViewId="0">
      <pane ySplit="1" topLeftCell="A2" activePane="bottomLeft" state="frozen"/>
      <selection pane="bottomLeft" activeCell="A3" sqref="A3"/>
    </sheetView>
  </sheetViews>
  <sheetFormatPr defaultRowHeight="15" x14ac:dyDescent="0.25"/>
  <cols>
    <col min="1" max="1" width="12.5703125" customWidth="1"/>
    <col min="2" max="2" width="16.7109375" bestFit="1" customWidth="1"/>
    <col min="3" max="4" width="43.85546875" bestFit="1" customWidth="1"/>
  </cols>
  <sheetData>
    <row r="1" spans="1:4" x14ac:dyDescent="0.25">
      <c r="A1" s="54" t="s">
        <v>1</v>
      </c>
      <c r="B1" s="54" t="s">
        <v>2702</v>
      </c>
      <c r="C1" s="54" t="s">
        <v>149</v>
      </c>
      <c r="D1" s="54" t="s">
        <v>4752</v>
      </c>
    </row>
    <row r="2" spans="1:4" x14ac:dyDescent="0.25">
      <c r="A2" s="47" t="s">
        <v>5929</v>
      </c>
      <c r="B2" s="107"/>
      <c r="C2" s="48" t="s">
        <v>5901</v>
      </c>
      <c r="D2" s="48"/>
    </row>
    <row r="3" spans="1:4" x14ac:dyDescent="0.25">
      <c r="A3" s="47" t="s">
        <v>5929</v>
      </c>
      <c r="B3" s="107"/>
      <c r="C3" s="48" t="s">
        <v>5858</v>
      </c>
      <c r="D3" s="48"/>
    </row>
    <row r="4" spans="1:4" x14ac:dyDescent="0.25">
      <c r="A4" s="47" t="s">
        <v>5929</v>
      </c>
      <c r="B4" s="107"/>
      <c r="C4" s="48" t="s">
        <v>5857</v>
      </c>
      <c r="D4" s="48"/>
    </row>
    <row r="5" spans="1:4" x14ac:dyDescent="0.25">
      <c r="A5" s="47" t="s">
        <v>5929</v>
      </c>
      <c r="B5" s="107"/>
      <c r="C5" s="48" t="s">
        <v>5902</v>
      </c>
      <c r="D5" s="48"/>
    </row>
    <row r="6" spans="1:4" x14ac:dyDescent="0.25">
      <c r="A6" s="47" t="s">
        <v>5929</v>
      </c>
      <c r="B6" s="107"/>
      <c r="C6" s="48" t="s">
        <v>5903</v>
      </c>
      <c r="D6" s="48"/>
    </row>
    <row r="7" spans="1:4" x14ac:dyDescent="0.25">
      <c r="A7" s="47" t="s">
        <v>5929</v>
      </c>
      <c r="B7" s="107"/>
      <c r="C7" s="48" t="s">
        <v>5856</v>
      </c>
      <c r="D7" s="48"/>
    </row>
    <row r="8" spans="1:4" x14ac:dyDescent="0.25">
      <c r="A8" s="47" t="s">
        <v>5930</v>
      </c>
      <c r="B8" s="107"/>
      <c r="C8" s="48" t="s">
        <v>5844</v>
      </c>
      <c r="D8" s="48"/>
    </row>
    <row r="9" spans="1:4" x14ac:dyDescent="0.25">
      <c r="A9" s="47" t="s">
        <v>5930</v>
      </c>
      <c r="B9" s="107"/>
      <c r="C9" s="48" t="s">
        <v>5844</v>
      </c>
      <c r="D9" s="48"/>
    </row>
    <row r="10" spans="1:4" x14ac:dyDescent="0.25">
      <c r="A10" s="47" t="s">
        <v>5929</v>
      </c>
      <c r="B10" s="107" t="s">
        <v>5876</v>
      </c>
      <c r="C10" s="48" t="s">
        <v>5904</v>
      </c>
      <c r="D10" s="48"/>
    </row>
    <row r="11" spans="1:4" x14ac:dyDescent="0.25">
      <c r="A11" s="47" t="s">
        <v>5929</v>
      </c>
      <c r="B11" s="107" t="s">
        <v>5877</v>
      </c>
      <c r="C11" s="48" t="s">
        <v>5905</v>
      </c>
      <c r="D11" s="48"/>
    </row>
    <row r="12" spans="1:4" x14ac:dyDescent="0.25">
      <c r="A12" s="47" t="s">
        <v>5929</v>
      </c>
      <c r="B12" s="107" t="s">
        <v>5878</v>
      </c>
      <c r="C12" s="48" t="s">
        <v>5906</v>
      </c>
      <c r="D12" s="48"/>
    </row>
    <row r="13" spans="1:4" x14ac:dyDescent="0.25">
      <c r="A13" s="47" t="s">
        <v>5929</v>
      </c>
      <c r="B13" s="107" t="s">
        <v>5878</v>
      </c>
      <c r="C13" s="48" t="s">
        <v>5907</v>
      </c>
      <c r="D13" s="48"/>
    </row>
    <row r="14" spans="1:4" x14ac:dyDescent="0.25">
      <c r="A14" s="47" t="s">
        <v>5929</v>
      </c>
      <c r="B14" s="107" t="s">
        <v>5879</v>
      </c>
      <c r="C14" s="48" t="s">
        <v>5908</v>
      </c>
      <c r="D14" s="48"/>
    </row>
    <row r="15" spans="1:4" x14ac:dyDescent="0.25">
      <c r="A15" s="47" t="s">
        <v>5929</v>
      </c>
      <c r="B15" s="107" t="s">
        <v>5879</v>
      </c>
      <c r="C15" s="48" t="s">
        <v>5909</v>
      </c>
      <c r="D15" s="48"/>
    </row>
    <row r="16" spans="1:4" x14ac:dyDescent="0.25">
      <c r="A16" s="47" t="s">
        <v>5929</v>
      </c>
      <c r="B16" s="107" t="s">
        <v>5880</v>
      </c>
      <c r="C16" s="48" t="s">
        <v>5851</v>
      </c>
      <c r="D16" s="48"/>
    </row>
    <row r="17" spans="1:4" x14ac:dyDescent="0.25">
      <c r="A17" s="47" t="s">
        <v>5929</v>
      </c>
      <c r="B17" s="107" t="s">
        <v>5880</v>
      </c>
      <c r="C17" s="48" t="s">
        <v>5910</v>
      </c>
      <c r="D17" s="48"/>
    </row>
    <row r="18" spans="1:4" x14ac:dyDescent="0.25">
      <c r="A18" s="47" t="s">
        <v>5929</v>
      </c>
      <c r="B18" s="107" t="s">
        <v>5881</v>
      </c>
      <c r="C18" s="48" t="s">
        <v>5911</v>
      </c>
      <c r="D18" s="48"/>
    </row>
    <row r="19" spans="1:4" x14ac:dyDescent="0.25">
      <c r="A19" s="47" t="s">
        <v>5929</v>
      </c>
      <c r="B19" s="107" t="s">
        <v>5881</v>
      </c>
      <c r="C19" s="48" t="s">
        <v>5912</v>
      </c>
      <c r="D19" s="48"/>
    </row>
    <row r="20" spans="1:4" x14ac:dyDescent="0.25">
      <c r="A20" s="47" t="s">
        <v>5929</v>
      </c>
      <c r="B20" s="107" t="s">
        <v>5882</v>
      </c>
      <c r="C20" s="48" t="s">
        <v>5913</v>
      </c>
      <c r="D20" s="48"/>
    </row>
    <row r="21" spans="1:4" x14ac:dyDescent="0.25">
      <c r="A21" s="47" t="s">
        <v>5929</v>
      </c>
      <c r="B21" s="107" t="s">
        <v>5882</v>
      </c>
      <c r="C21" s="48" t="s">
        <v>5914</v>
      </c>
      <c r="D21" s="48"/>
    </row>
    <row r="22" spans="1:4" x14ac:dyDescent="0.25">
      <c r="A22" s="47" t="s">
        <v>5929</v>
      </c>
      <c r="B22" s="107" t="s">
        <v>5883</v>
      </c>
      <c r="C22" s="48" t="s">
        <v>5915</v>
      </c>
      <c r="D22" s="48"/>
    </row>
    <row r="23" spans="1:4" x14ac:dyDescent="0.25">
      <c r="A23" s="47" t="s">
        <v>5929</v>
      </c>
      <c r="B23" s="107" t="s">
        <v>5883</v>
      </c>
      <c r="C23" s="48" t="s">
        <v>5916</v>
      </c>
      <c r="D23" s="48"/>
    </row>
    <row r="24" spans="1:4" x14ac:dyDescent="0.25">
      <c r="A24" s="47" t="s">
        <v>5929</v>
      </c>
      <c r="B24" s="107" t="s">
        <v>5884</v>
      </c>
      <c r="C24" s="48" t="s">
        <v>5917</v>
      </c>
      <c r="D24" s="48"/>
    </row>
    <row r="25" spans="1:4" x14ac:dyDescent="0.25">
      <c r="A25" s="47" t="s">
        <v>5929</v>
      </c>
      <c r="B25" s="107" t="s">
        <v>5884</v>
      </c>
      <c r="C25" s="48" t="s">
        <v>5852</v>
      </c>
      <c r="D25" s="48"/>
    </row>
    <row r="26" spans="1:4" x14ac:dyDescent="0.25">
      <c r="A26" s="47" t="s">
        <v>5929</v>
      </c>
      <c r="B26" s="107" t="s">
        <v>5885</v>
      </c>
      <c r="C26" s="48" t="s">
        <v>5918</v>
      </c>
      <c r="D26" s="48"/>
    </row>
    <row r="27" spans="1:4" x14ac:dyDescent="0.25">
      <c r="A27" s="47" t="s">
        <v>5929</v>
      </c>
      <c r="B27" s="107" t="s">
        <v>5885</v>
      </c>
      <c r="C27" s="48" t="s">
        <v>5919</v>
      </c>
      <c r="D27" s="48"/>
    </row>
    <row r="28" spans="1:4" x14ac:dyDescent="0.25">
      <c r="A28" s="47" t="s">
        <v>5929</v>
      </c>
      <c r="B28" s="107" t="s">
        <v>5886</v>
      </c>
      <c r="C28" s="48" t="s">
        <v>5853</v>
      </c>
      <c r="D28" s="48"/>
    </row>
    <row r="29" spans="1:4" x14ac:dyDescent="0.25">
      <c r="A29" s="47" t="s">
        <v>5929</v>
      </c>
      <c r="B29" s="107" t="s">
        <v>5887</v>
      </c>
      <c r="C29" s="48" t="s">
        <v>5920</v>
      </c>
      <c r="D29" s="48"/>
    </row>
    <row r="30" spans="1:4" x14ac:dyDescent="0.25">
      <c r="A30" s="47" t="s">
        <v>5929</v>
      </c>
      <c r="B30" s="107" t="s">
        <v>5888</v>
      </c>
      <c r="C30" s="48" t="s">
        <v>5921</v>
      </c>
      <c r="D30" s="48"/>
    </row>
    <row r="31" spans="1:4" x14ac:dyDescent="0.25">
      <c r="A31" s="47" t="s">
        <v>5929</v>
      </c>
      <c r="B31" s="107" t="s">
        <v>5888</v>
      </c>
      <c r="C31" s="48" t="s">
        <v>5850</v>
      </c>
      <c r="D31" s="48"/>
    </row>
    <row r="32" spans="1:4" x14ac:dyDescent="0.25">
      <c r="A32" s="47" t="s">
        <v>5929</v>
      </c>
      <c r="B32" s="107" t="s">
        <v>5889</v>
      </c>
      <c r="C32" s="48" t="s">
        <v>5871</v>
      </c>
      <c r="D32" s="48"/>
    </row>
    <row r="33" spans="1:4" x14ac:dyDescent="0.25">
      <c r="A33" s="47" t="s">
        <v>5929</v>
      </c>
      <c r="B33" s="107" t="s">
        <v>5889</v>
      </c>
      <c r="C33" s="48" t="s">
        <v>5922</v>
      </c>
      <c r="D33" s="48"/>
    </row>
    <row r="34" spans="1:4" x14ac:dyDescent="0.25">
      <c r="A34" s="47" t="s">
        <v>5929</v>
      </c>
      <c r="B34" s="107" t="s">
        <v>5890</v>
      </c>
      <c r="C34" s="48" t="s">
        <v>5873</v>
      </c>
      <c r="D34" s="48"/>
    </row>
    <row r="35" spans="1:4" x14ac:dyDescent="0.25">
      <c r="A35" s="47" t="s">
        <v>5929</v>
      </c>
      <c r="B35" s="107" t="s">
        <v>5891</v>
      </c>
      <c r="C35" s="48" t="s">
        <v>5874</v>
      </c>
      <c r="D35" s="48"/>
    </row>
    <row r="36" spans="1:4" x14ac:dyDescent="0.25">
      <c r="A36" s="47" t="s">
        <v>5929</v>
      </c>
      <c r="B36" s="107" t="s">
        <v>5892</v>
      </c>
      <c r="C36" s="48" t="s">
        <v>5875</v>
      </c>
      <c r="D36" s="48"/>
    </row>
    <row r="37" spans="1:4" x14ac:dyDescent="0.25">
      <c r="A37" s="47" t="s">
        <v>5929</v>
      </c>
      <c r="B37" s="107" t="s">
        <v>5893</v>
      </c>
      <c r="C37" s="48" t="s">
        <v>5923</v>
      </c>
      <c r="D37" s="48"/>
    </row>
    <row r="38" spans="1:4" x14ac:dyDescent="0.25">
      <c r="A38" s="47" t="s">
        <v>5929</v>
      </c>
      <c r="B38" s="107" t="s">
        <v>5894</v>
      </c>
      <c r="C38" s="48" t="s">
        <v>5872</v>
      </c>
      <c r="D38" s="48"/>
    </row>
    <row r="39" spans="1:4" x14ac:dyDescent="0.25">
      <c r="A39" s="47" t="s">
        <v>5929</v>
      </c>
      <c r="B39" s="107" t="s">
        <v>5895</v>
      </c>
      <c r="C39" s="48" t="s">
        <v>5848</v>
      </c>
      <c r="D39" s="48"/>
    </row>
    <row r="40" spans="1:4" x14ac:dyDescent="0.25">
      <c r="A40" s="47" t="s">
        <v>5929</v>
      </c>
      <c r="B40" s="107" t="s">
        <v>5896</v>
      </c>
      <c r="C40" s="48" t="s">
        <v>5860</v>
      </c>
      <c r="D40" s="48"/>
    </row>
    <row r="41" spans="1:4" x14ac:dyDescent="0.25">
      <c r="A41" s="47" t="s">
        <v>5929</v>
      </c>
      <c r="B41" s="107" t="s">
        <v>5896</v>
      </c>
      <c r="C41" s="48" t="s">
        <v>5924</v>
      </c>
      <c r="D41" s="48"/>
    </row>
    <row r="42" spans="1:4" x14ac:dyDescent="0.25">
      <c r="A42" s="47" t="s">
        <v>5929</v>
      </c>
      <c r="B42" s="107" t="s">
        <v>5897</v>
      </c>
      <c r="C42" s="48" t="s">
        <v>5925</v>
      </c>
      <c r="D42" s="48"/>
    </row>
    <row r="43" spans="1:4" x14ac:dyDescent="0.25">
      <c r="A43" s="47" t="s">
        <v>5929</v>
      </c>
      <c r="B43" s="107" t="s">
        <v>5897</v>
      </c>
      <c r="C43" s="48" t="s">
        <v>5854</v>
      </c>
      <c r="D43" s="48"/>
    </row>
    <row r="44" spans="1:4" x14ac:dyDescent="0.25">
      <c r="A44" s="47" t="s">
        <v>5929</v>
      </c>
      <c r="B44" s="107" t="s">
        <v>5898</v>
      </c>
      <c r="C44" s="48" t="s">
        <v>5926</v>
      </c>
      <c r="D44" s="48"/>
    </row>
    <row r="45" spans="1:4" x14ac:dyDescent="0.25">
      <c r="A45" s="47" t="s">
        <v>5929</v>
      </c>
      <c r="B45" s="107" t="s">
        <v>5898</v>
      </c>
      <c r="C45" s="48" t="s">
        <v>5855</v>
      </c>
      <c r="D45" s="48"/>
    </row>
    <row r="46" spans="1:4" x14ac:dyDescent="0.25">
      <c r="A46" s="47" t="s">
        <v>5929</v>
      </c>
      <c r="B46" s="107" t="s">
        <v>5899</v>
      </c>
      <c r="C46" s="48" t="s">
        <v>5851</v>
      </c>
      <c r="D46" s="48"/>
    </row>
    <row r="47" spans="1:4" x14ac:dyDescent="0.25">
      <c r="A47" s="47" t="s">
        <v>5929</v>
      </c>
      <c r="B47" s="107" t="s">
        <v>5899</v>
      </c>
      <c r="C47" s="48" t="s">
        <v>5849</v>
      </c>
      <c r="D47" s="48"/>
    </row>
    <row r="48" spans="1:4" x14ac:dyDescent="0.25">
      <c r="A48" s="47" t="s">
        <v>5929</v>
      </c>
      <c r="B48" s="107" t="s">
        <v>5900</v>
      </c>
      <c r="C48" s="48" t="s">
        <v>5927</v>
      </c>
      <c r="D48" s="48"/>
    </row>
    <row r="49" spans="1:4" x14ac:dyDescent="0.25">
      <c r="A49" s="47" t="s">
        <v>5929</v>
      </c>
      <c r="B49" s="107" t="s">
        <v>5900</v>
      </c>
      <c r="C49" s="48" t="s">
        <v>5928</v>
      </c>
      <c r="D49" s="48"/>
    </row>
    <row r="50" spans="1:4" x14ac:dyDescent="0.25">
      <c r="A50" s="47"/>
      <c r="B50" s="107"/>
      <c r="C50" s="48"/>
      <c r="D50" s="48"/>
    </row>
    <row r="51" spans="1:4" x14ac:dyDescent="0.25">
      <c r="A51" s="47"/>
      <c r="B51" s="107"/>
      <c r="C51" s="48"/>
      <c r="D51" s="48"/>
    </row>
    <row r="52" spans="1:4" x14ac:dyDescent="0.25">
      <c r="A52" s="47"/>
      <c r="B52" s="107"/>
      <c r="C52" s="48"/>
      <c r="D52" s="48"/>
    </row>
    <row r="53" spans="1:4" x14ac:dyDescent="0.25">
      <c r="A53" s="47"/>
      <c r="B53" s="107"/>
      <c r="C53" s="48"/>
      <c r="D53" s="48"/>
    </row>
    <row r="54" spans="1:4" x14ac:dyDescent="0.25">
      <c r="A54" s="47"/>
      <c r="B54" s="107"/>
      <c r="C54" s="48"/>
      <c r="D54" s="48"/>
    </row>
    <row r="55" spans="1:4" x14ac:dyDescent="0.25">
      <c r="A55" s="47"/>
      <c r="B55" s="107"/>
      <c r="C55" s="48"/>
      <c r="D55" s="48"/>
    </row>
    <row r="56" spans="1:4" x14ac:dyDescent="0.25">
      <c r="A56" s="47"/>
      <c r="B56" s="107"/>
      <c r="C56" s="48"/>
      <c r="D56" s="48"/>
    </row>
    <row r="57" spans="1:4" x14ac:dyDescent="0.25">
      <c r="A57" s="47"/>
      <c r="B57" s="107"/>
      <c r="C57" s="48"/>
      <c r="D57" s="48"/>
    </row>
    <row r="58" spans="1:4" x14ac:dyDescent="0.25">
      <c r="A58" s="47"/>
      <c r="B58" s="107"/>
      <c r="C58" s="48"/>
      <c r="D58" s="48"/>
    </row>
    <row r="59" spans="1:4" x14ac:dyDescent="0.25">
      <c r="A59" s="47"/>
      <c r="B59" s="107"/>
      <c r="C59" s="48"/>
      <c r="D59" s="48"/>
    </row>
    <row r="60" spans="1:4" x14ac:dyDescent="0.25">
      <c r="A60" s="47"/>
      <c r="B60" s="107"/>
      <c r="C60" s="48"/>
      <c r="D60" s="48"/>
    </row>
    <row r="61" spans="1:4" x14ac:dyDescent="0.25">
      <c r="A61" s="47"/>
      <c r="B61" s="107"/>
      <c r="C61" s="48"/>
      <c r="D61" s="48"/>
    </row>
    <row r="62" spans="1:4" x14ac:dyDescent="0.25">
      <c r="A62" s="47"/>
      <c r="B62" s="107"/>
      <c r="C62" s="48"/>
      <c r="D62" s="48"/>
    </row>
    <row r="63" spans="1:4" x14ac:dyDescent="0.25">
      <c r="A63" s="47"/>
      <c r="B63" s="107"/>
      <c r="C63" s="48"/>
      <c r="D63" s="48"/>
    </row>
    <row r="64" spans="1:4" x14ac:dyDescent="0.25">
      <c r="A64" s="47"/>
      <c r="B64" s="107"/>
      <c r="C64" s="48"/>
      <c r="D64" s="48"/>
    </row>
    <row r="65" spans="1:4" x14ac:dyDescent="0.25">
      <c r="A65" s="47"/>
      <c r="B65" s="107"/>
      <c r="C65" s="48"/>
      <c r="D65" s="48"/>
    </row>
    <row r="66" spans="1:4" x14ac:dyDescent="0.25">
      <c r="A66" s="47"/>
      <c r="B66" s="107"/>
      <c r="C66" s="48"/>
      <c r="D66" s="48"/>
    </row>
    <row r="67" spans="1:4" x14ac:dyDescent="0.25">
      <c r="A67" s="47"/>
      <c r="B67" s="107"/>
      <c r="C67" s="48"/>
      <c r="D67" s="48"/>
    </row>
    <row r="68" spans="1:4" x14ac:dyDescent="0.25">
      <c r="A68" s="47"/>
      <c r="B68" s="107"/>
      <c r="C68" s="48"/>
      <c r="D68" s="48"/>
    </row>
    <row r="69" spans="1:4" x14ac:dyDescent="0.25">
      <c r="A69" s="47"/>
      <c r="B69" s="107"/>
      <c r="C69" s="48"/>
      <c r="D69" s="48"/>
    </row>
    <row r="70" spans="1:4" x14ac:dyDescent="0.25">
      <c r="A70" s="47"/>
      <c r="B70" s="107"/>
      <c r="C70" s="48"/>
      <c r="D70" s="48"/>
    </row>
    <row r="71" spans="1:4" x14ac:dyDescent="0.25">
      <c r="A71" s="47"/>
      <c r="B71" s="107"/>
      <c r="C71" s="48"/>
      <c r="D71" s="48"/>
    </row>
    <row r="72" spans="1:4" x14ac:dyDescent="0.25">
      <c r="A72" s="47"/>
      <c r="B72" s="107"/>
      <c r="C72" s="48"/>
      <c r="D72" s="48"/>
    </row>
    <row r="73" spans="1:4" x14ac:dyDescent="0.25">
      <c r="A73" s="47"/>
      <c r="B73" s="107"/>
      <c r="C73" s="48"/>
      <c r="D73" s="48"/>
    </row>
    <row r="74" spans="1:4" x14ac:dyDescent="0.25">
      <c r="A74" s="47"/>
      <c r="B74" s="107"/>
      <c r="C74" s="48"/>
      <c r="D74" s="48"/>
    </row>
    <row r="75" spans="1:4" x14ac:dyDescent="0.25">
      <c r="A75" s="47"/>
      <c r="B75" s="107"/>
      <c r="C75" s="48"/>
      <c r="D75" s="48"/>
    </row>
    <row r="76" spans="1:4" x14ac:dyDescent="0.25">
      <c r="A76" s="47"/>
      <c r="B76" s="107"/>
      <c r="C76" s="48"/>
      <c r="D76" s="48"/>
    </row>
    <row r="77" spans="1:4" x14ac:dyDescent="0.25">
      <c r="A77" s="47"/>
      <c r="B77" s="107"/>
      <c r="C77" s="48"/>
      <c r="D77" s="48"/>
    </row>
    <row r="78" spans="1:4" x14ac:dyDescent="0.25">
      <c r="A78" s="47"/>
      <c r="B78" s="107"/>
      <c r="C78" s="48"/>
      <c r="D78" s="48"/>
    </row>
    <row r="79" spans="1:4" x14ac:dyDescent="0.25">
      <c r="A79" s="47"/>
      <c r="B79" s="107"/>
      <c r="C79" s="48"/>
      <c r="D79" s="48"/>
    </row>
    <row r="80" spans="1:4" x14ac:dyDescent="0.25">
      <c r="A80" s="47"/>
      <c r="B80" s="107"/>
      <c r="C80" s="48"/>
      <c r="D80" s="48"/>
    </row>
    <row r="81" spans="1:4" x14ac:dyDescent="0.25">
      <c r="A81" s="47"/>
      <c r="B81" s="107"/>
      <c r="C81" s="48"/>
      <c r="D81" s="48"/>
    </row>
    <row r="82" spans="1:4" x14ac:dyDescent="0.25">
      <c r="A82" s="47"/>
      <c r="B82" s="107"/>
      <c r="C82" s="48"/>
      <c r="D82" s="48"/>
    </row>
    <row r="83" spans="1:4" x14ac:dyDescent="0.25">
      <c r="A83" s="47"/>
      <c r="B83" s="107"/>
      <c r="C83" s="48"/>
      <c r="D83" s="48"/>
    </row>
    <row r="84" spans="1:4" x14ac:dyDescent="0.25">
      <c r="A84" s="47"/>
      <c r="B84" s="107"/>
      <c r="C84" s="48"/>
      <c r="D84" s="48"/>
    </row>
    <row r="85" spans="1:4" x14ac:dyDescent="0.25">
      <c r="A85" s="47"/>
      <c r="B85" s="107"/>
      <c r="C85" s="48"/>
      <c r="D85" s="48"/>
    </row>
    <row r="86" spans="1:4" x14ac:dyDescent="0.25">
      <c r="A86" s="47"/>
      <c r="B86" s="107"/>
      <c r="C86" s="48"/>
      <c r="D86" s="48"/>
    </row>
    <row r="87" spans="1:4" x14ac:dyDescent="0.25">
      <c r="A87" s="47"/>
      <c r="B87" s="107"/>
      <c r="C87" s="48"/>
      <c r="D87" s="48"/>
    </row>
    <row r="88" spans="1:4" x14ac:dyDescent="0.25">
      <c r="A88" s="47"/>
      <c r="B88" s="107"/>
      <c r="C88" s="48"/>
      <c r="D88" s="48"/>
    </row>
    <row r="89" spans="1:4" x14ac:dyDescent="0.25">
      <c r="A89" s="47"/>
      <c r="B89" s="107"/>
      <c r="C89" s="48"/>
      <c r="D89" s="48"/>
    </row>
    <row r="90" spans="1:4" x14ac:dyDescent="0.25">
      <c r="A90" s="47"/>
      <c r="B90" s="107"/>
      <c r="C90" s="48"/>
      <c r="D90" s="48"/>
    </row>
    <row r="91" spans="1:4" x14ac:dyDescent="0.25">
      <c r="A91" s="47"/>
      <c r="B91" s="107"/>
      <c r="C91" s="48"/>
      <c r="D91" s="48"/>
    </row>
    <row r="92" spans="1:4" x14ac:dyDescent="0.25">
      <c r="A92" s="47"/>
      <c r="B92" s="107"/>
      <c r="C92" s="48"/>
      <c r="D92" s="48"/>
    </row>
    <row r="93" spans="1:4" x14ac:dyDescent="0.25">
      <c r="A93" s="47"/>
      <c r="B93" s="107"/>
      <c r="C93" s="48"/>
      <c r="D93" s="48"/>
    </row>
    <row r="94" spans="1:4" x14ac:dyDescent="0.25">
      <c r="A94" s="47"/>
      <c r="B94" s="107"/>
      <c r="C94" s="48"/>
      <c r="D94" s="48"/>
    </row>
    <row r="95" spans="1:4" x14ac:dyDescent="0.25">
      <c r="A95" s="47"/>
      <c r="B95" s="107"/>
      <c r="C95" s="48"/>
      <c r="D95" s="48"/>
    </row>
    <row r="96" spans="1:4" x14ac:dyDescent="0.25">
      <c r="A96" s="47"/>
      <c r="B96" s="107"/>
      <c r="C96" s="48"/>
      <c r="D96" s="48"/>
    </row>
    <row r="97" spans="1:4" x14ac:dyDescent="0.25">
      <c r="A97" s="47"/>
      <c r="B97" s="107"/>
      <c r="C97" s="48"/>
      <c r="D97" s="48"/>
    </row>
    <row r="98" spans="1:4" x14ac:dyDescent="0.25">
      <c r="A98" s="47"/>
      <c r="B98" s="107"/>
      <c r="C98" s="48"/>
      <c r="D98" s="48"/>
    </row>
    <row r="99" spans="1:4" x14ac:dyDescent="0.25">
      <c r="A99" s="47"/>
      <c r="B99" s="107"/>
      <c r="C99" s="48"/>
      <c r="D99" s="48"/>
    </row>
    <row r="100" spans="1:4" x14ac:dyDescent="0.25">
      <c r="A100" s="47"/>
      <c r="B100" s="107"/>
      <c r="C100" s="48"/>
      <c r="D100" s="48"/>
    </row>
    <row r="101" spans="1:4" x14ac:dyDescent="0.25">
      <c r="A101" s="47"/>
      <c r="B101" s="107"/>
      <c r="C101" s="48"/>
      <c r="D101" s="48"/>
    </row>
    <row r="102" spans="1:4" x14ac:dyDescent="0.25">
      <c r="A102" s="47"/>
      <c r="B102" s="107"/>
      <c r="C102" s="48"/>
      <c r="D102" s="48"/>
    </row>
    <row r="103" spans="1:4" x14ac:dyDescent="0.25">
      <c r="A103" s="47"/>
      <c r="B103" s="107"/>
      <c r="C103" s="48"/>
      <c r="D103" s="48"/>
    </row>
    <row r="104" spans="1:4" x14ac:dyDescent="0.25">
      <c r="A104" s="47"/>
      <c r="B104" s="107"/>
      <c r="C104" s="48"/>
      <c r="D104" s="48"/>
    </row>
    <row r="105" spans="1:4" x14ac:dyDescent="0.25">
      <c r="A105" s="47"/>
      <c r="B105" s="107"/>
      <c r="C105" s="48"/>
      <c r="D105" s="48"/>
    </row>
    <row r="106" spans="1:4" x14ac:dyDescent="0.25">
      <c r="A106" s="47"/>
      <c r="B106" s="107"/>
      <c r="C106" s="48"/>
      <c r="D106" s="48"/>
    </row>
    <row r="107" spans="1:4" x14ac:dyDescent="0.25">
      <c r="A107" s="47"/>
      <c r="B107" s="107"/>
      <c r="C107" s="48"/>
      <c r="D107" s="48"/>
    </row>
    <row r="108" spans="1:4" x14ac:dyDescent="0.25">
      <c r="A108" s="47"/>
      <c r="B108" s="107"/>
      <c r="C108" s="48"/>
      <c r="D108" s="48"/>
    </row>
    <row r="109" spans="1:4" x14ac:dyDescent="0.25">
      <c r="A109" s="47"/>
      <c r="B109" s="107"/>
      <c r="C109" s="48"/>
      <c r="D109" s="48"/>
    </row>
    <row r="110" spans="1:4" x14ac:dyDescent="0.25">
      <c r="A110" s="47"/>
      <c r="B110" s="107"/>
      <c r="C110" s="48"/>
      <c r="D110" s="48"/>
    </row>
    <row r="111" spans="1:4" x14ac:dyDescent="0.25">
      <c r="A111" s="47"/>
      <c r="B111" s="107"/>
      <c r="C111" s="48"/>
      <c r="D111" s="48"/>
    </row>
    <row r="112" spans="1:4" x14ac:dyDescent="0.25">
      <c r="A112" s="47"/>
      <c r="B112" s="107"/>
      <c r="C112" s="48"/>
      <c r="D112" s="48"/>
    </row>
    <row r="113" spans="1:4" x14ac:dyDescent="0.25">
      <c r="A113" s="47"/>
      <c r="B113" s="107"/>
      <c r="C113" s="48"/>
      <c r="D113" s="48"/>
    </row>
    <row r="114" spans="1:4" x14ac:dyDescent="0.25">
      <c r="A114" s="47"/>
      <c r="B114" s="107"/>
      <c r="C114" s="48"/>
      <c r="D114" s="48"/>
    </row>
    <row r="115" spans="1:4" x14ac:dyDescent="0.25">
      <c r="A115" s="47"/>
      <c r="B115" s="107"/>
      <c r="C115" s="48"/>
      <c r="D115" s="48"/>
    </row>
    <row r="116" spans="1:4" x14ac:dyDescent="0.25">
      <c r="A116" s="47"/>
      <c r="B116" s="107"/>
      <c r="C116" s="48"/>
      <c r="D116" s="48"/>
    </row>
    <row r="117" spans="1:4" x14ac:dyDescent="0.25">
      <c r="A117" s="47"/>
      <c r="B117" s="107"/>
      <c r="C117" s="48"/>
      <c r="D117" s="48"/>
    </row>
    <row r="118" spans="1:4" x14ac:dyDescent="0.25">
      <c r="A118" s="47"/>
      <c r="B118" s="107"/>
      <c r="C118" s="48"/>
      <c r="D118" s="48"/>
    </row>
    <row r="119" spans="1:4" x14ac:dyDescent="0.25">
      <c r="A119" s="47"/>
      <c r="B119" s="107"/>
      <c r="C119" s="48"/>
      <c r="D119" s="48"/>
    </row>
    <row r="120" spans="1:4" x14ac:dyDescent="0.25">
      <c r="A120" s="47"/>
      <c r="B120" s="107"/>
      <c r="C120" s="48"/>
      <c r="D120" s="48"/>
    </row>
    <row r="121" spans="1:4" x14ac:dyDescent="0.25">
      <c r="A121" s="47"/>
      <c r="B121" s="107"/>
      <c r="C121" s="48"/>
      <c r="D121" s="48"/>
    </row>
    <row r="122" spans="1:4" x14ac:dyDescent="0.25">
      <c r="A122" s="47"/>
      <c r="B122" s="107"/>
      <c r="C122" s="48"/>
      <c r="D122" s="48"/>
    </row>
    <row r="123" spans="1:4" x14ac:dyDescent="0.25">
      <c r="A123" s="47"/>
      <c r="B123" s="107"/>
      <c r="C123" s="48"/>
      <c r="D123" s="48"/>
    </row>
    <row r="124" spans="1:4" x14ac:dyDescent="0.25">
      <c r="A124" s="47"/>
      <c r="B124" s="107"/>
      <c r="C124" s="48"/>
      <c r="D124" s="48"/>
    </row>
    <row r="125" spans="1:4" x14ac:dyDescent="0.25">
      <c r="A125" s="47"/>
      <c r="B125" s="107"/>
      <c r="C125" s="48"/>
      <c r="D125" s="48"/>
    </row>
    <row r="126" spans="1:4" x14ac:dyDescent="0.25">
      <c r="A126" s="47"/>
      <c r="B126" s="107"/>
      <c r="C126" s="48"/>
      <c r="D126" s="48"/>
    </row>
    <row r="127" spans="1:4" x14ac:dyDescent="0.25">
      <c r="A127" s="47"/>
      <c r="B127" s="107"/>
      <c r="C127" s="48"/>
      <c r="D127" s="48"/>
    </row>
    <row r="128" spans="1:4" x14ac:dyDescent="0.25">
      <c r="A128" s="47"/>
      <c r="B128" s="107"/>
      <c r="C128" s="48"/>
      <c r="D128" s="48"/>
    </row>
    <row r="129" spans="1:4" x14ac:dyDescent="0.25">
      <c r="A129" s="47"/>
      <c r="B129" s="107"/>
      <c r="C129" s="48"/>
      <c r="D129" s="48"/>
    </row>
    <row r="130" spans="1:4" x14ac:dyDescent="0.25">
      <c r="A130" s="47"/>
      <c r="B130" s="107"/>
      <c r="C130" s="48"/>
      <c r="D130" s="48"/>
    </row>
    <row r="131" spans="1:4" x14ac:dyDescent="0.25">
      <c r="A131" s="47"/>
      <c r="B131" s="107"/>
      <c r="C131" s="48"/>
      <c r="D131" s="48"/>
    </row>
    <row r="132" spans="1:4" x14ac:dyDescent="0.25">
      <c r="A132" s="47"/>
      <c r="B132" s="107"/>
      <c r="C132" s="48"/>
      <c r="D132" s="48"/>
    </row>
    <row r="133" spans="1:4" x14ac:dyDescent="0.25">
      <c r="A133" s="47"/>
      <c r="B133" s="107"/>
      <c r="C133" s="48"/>
      <c r="D133" s="48"/>
    </row>
    <row r="134" spans="1:4" x14ac:dyDescent="0.25">
      <c r="A134" s="47"/>
      <c r="B134" s="107"/>
      <c r="C134" s="48"/>
      <c r="D134" s="48"/>
    </row>
    <row r="135" spans="1:4" x14ac:dyDescent="0.25">
      <c r="A135" s="47"/>
      <c r="B135" s="107"/>
      <c r="C135" s="48"/>
      <c r="D135" s="48"/>
    </row>
    <row r="136" spans="1:4" x14ac:dyDescent="0.25">
      <c r="A136" s="47"/>
      <c r="B136" s="107"/>
      <c r="C136" s="48"/>
      <c r="D136" s="48"/>
    </row>
    <row r="137" spans="1:4" x14ac:dyDescent="0.25">
      <c r="A137" s="47"/>
      <c r="B137" s="107"/>
      <c r="C137" s="48"/>
      <c r="D137" s="48"/>
    </row>
    <row r="138" spans="1:4" x14ac:dyDescent="0.25">
      <c r="A138" s="47"/>
      <c r="B138" s="107"/>
      <c r="C138" s="48"/>
      <c r="D138" s="48"/>
    </row>
    <row r="139" spans="1:4" x14ac:dyDescent="0.25">
      <c r="A139" s="47"/>
      <c r="B139" s="107"/>
      <c r="C139" s="48"/>
      <c r="D139" s="48"/>
    </row>
    <row r="140" spans="1:4" x14ac:dyDescent="0.25">
      <c r="A140" s="47"/>
      <c r="B140" s="107"/>
      <c r="C140" s="48"/>
      <c r="D140" s="48"/>
    </row>
    <row r="141" spans="1:4" x14ac:dyDescent="0.25">
      <c r="A141" s="47"/>
      <c r="B141" s="107"/>
      <c r="C141" s="48"/>
      <c r="D141" s="48"/>
    </row>
    <row r="142" spans="1:4" x14ac:dyDescent="0.25">
      <c r="A142" s="47"/>
      <c r="B142" s="107"/>
      <c r="C142" s="48"/>
      <c r="D142" s="48"/>
    </row>
    <row r="143" spans="1:4" x14ac:dyDescent="0.25">
      <c r="A143" s="47"/>
      <c r="B143" s="107"/>
      <c r="C143" s="48"/>
      <c r="D143" s="48"/>
    </row>
    <row r="144" spans="1:4" x14ac:dyDescent="0.25">
      <c r="A144" s="47"/>
      <c r="B144" s="107"/>
      <c r="C144" s="48"/>
      <c r="D144" s="48"/>
    </row>
    <row r="145" spans="1:4" x14ac:dyDescent="0.25">
      <c r="A145" s="47"/>
      <c r="B145" s="107"/>
      <c r="C145" s="48"/>
      <c r="D145" s="48"/>
    </row>
    <row r="146" spans="1:4" x14ac:dyDescent="0.25">
      <c r="A146" s="47"/>
      <c r="B146" s="107"/>
      <c r="C146" s="48"/>
      <c r="D146" s="48"/>
    </row>
    <row r="147" spans="1:4" x14ac:dyDescent="0.25">
      <c r="A147" s="47"/>
      <c r="B147" s="107"/>
      <c r="C147" s="48"/>
      <c r="D147" s="48"/>
    </row>
    <row r="148" spans="1:4" x14ac:dyDescent="0.25">
      <c r="A148" s="47"/>
      <c r="B148" s="107"/>
      <c r="C148" s="48"/>
      <c r="D148" s="48"/>
    </row>
    <row r="149" spans="1:4" x14ac:dyDescent="0.25">
      <c r="A149" s="47"/>
      <c r="B149" s="107"/>
      <c r="C149" s="48"/>
      <c r="D149" s="48"/>
    </row>
    <row r="150" spans="1:4" x14ac:dyDescent="0.25">
      <c r="A150" s="47"/>
      <c r="B150" s="107"/>
      <c r="C150" s="48"/>
      <c r="D150" s="48"/>
    </row>
    <row r="151" spans="1:4" x14ac:dyDescent="0.25">
      <c r="A151" s="47"/>
      <c r="B151" s="107"/>
      <c r="C151" s="48"/>
      <c r="D151" s="48"/>
    </row>
    <row r="152" spans="1:4" x14ac:dyDescent="0.25">
      <c r="A152" s="47"/>
      <c r="B152" s="107"/>
      <c r="C152" s="48"/>
      <c r="D152" s="48"/>
    </row>
    <row r="153" spans="1:4" x14ac:dyDescent="0.25">
      <c r="A153" s="47"/>
      <c r="B153" s="107"/>
      <c r="C153" s="48"/>
      <c r="D153" s="48"/>
    </row>
    <row r="154" spans="1:4" x14ac:dyDescent="0.25">
      <c r="A154" s="47"/>
      <c r="B154" s="107"/>
      <c r="C154" s="48"/>
      <c r="D154" s="48"/>
    </row>
    <row r="155" spans="1:4" x14ac:dyDescent="0.25">
      <c r="A155" s="47"/>
      <c r="B155" s="107"/>
      <c r="C155" s="48"/>
      <c r="D155" s="48"/>
    </row>
    <row r="156" spans="1:4" x14ac:dyDescent="0.25">
      <c r="A156" s="47"/>
      <c r="B156" s="107"/>
      <c r="C156" s="48"/>
      <c r="D156" s="48"/>
    </row>
    <row r="157" spans="1:4" x14ac:dyDescent="0.25">
      <c r="A157" s="47"/>
      <c r="B157" s="107"/>
      <c r="C157" s="48"/>
      <c r="D157" s="48"/>
    </row>
    <row r="158" spans="1:4" x14ac:dyDescent="0.25">
      <c r="A158" s="47"/>
      <c r="B158" s="107"/>
      <c r="C158" s="48"/>
      <c r="D158" s="48"/>
    </row>
    <row r="159" spans="1:4" x14ac:dyDescent="0.25">
      <c r="A159" s="47"/>
      <c r="B159" s="107"/>
      <c r="C159" s="48"/>
      <c r="D159" s="48"/>
    </row>
    <row r="160" spans="1:4" x14ac:dyDescent="0.25">
      <c r="A160" s="47"/>
      <c r="B160" s="107"/>
      <c r="C160" s="48"/>
      <c r="D160" s="48"/>
    </row>
    <row r="161" spans="1:4" x14ac:dyDescent="0.25">
      <c r="A161" s="47"/>
      <c r="B161" s="107"/>
      <c r="C161" s="48"/>
      <c r="D161" s="48"/>
    </row>
    <row r="162" spans="1:4" x14ac:dyDescent="0.25">
      <c r="A162" s="47"/>
      <c r="B162" s="107"/>
      <c r="C162" s="48"/>
      <c r="D162" s="48"/>
    </row>
    <row r="163" spans="1:4" x14ac:dyDescent="0.25">
      <c r="A163" s="47"/>
      <c r="B163" s="107"/>
      <c r="C163" s="48"/>
      <c r="D163" s="48"/>
    </row>
    <row r="164" spans="1:4" x14ac:dyDescent="0.25">
      <c r="A164" s="47"/>
      <c r="B164" s="107"/>
      <c r="C164" s="48"/>
      <c r="D164" s="48"/>
    </row>
    <row r="165" spans="1:4" x14ac:dyDescent="0.25">
      <c r="A165" s="47"/>
      <c r="B165" s="107"/>
      <c r="C165" s="48"/>
      <c r="D165" s="48"/>
    </row>
    <row r="166" spans="1:4" x14ac:dyDescent="0.25">
      <c r="A166" s="47"/>
      <c r="B166" s="107"/>
      <c r="C166" s="48"/>
      <c r="D166" s="48"/>
    </row>
    <row r="167" spans="1:4" x14ac:dyDescent="0.25">
      <c r="A167" s="47"/>
      <c r="B167" s="107"/>
      <c r="C167" s="48"/>
      <c r="D167" s="48"/>
    </row>
    <row r="168" spans="1:4" x14ac:dyDescent="0.25">
      <c r="A168" s="47"/>
      <c r="B168" s="107"/>
      <c r="C168" s="48"/>
      <c r="D168" s="48"/>
    </row>
    <row r="169" spans="1:4" x14ac:dyDescent="0.25">
      <c r="A169" s="47"/>
      <c r="B169" s="107"/>
      <c r="C169" s="48"/>
      <c r="D169" s="48"/>
    </row>
    <row r="170" spans="1:4" x14ac:dyDescent="0.25">
      <c r="A170" s="47"/>
      <c r="B170" s="107"/>
      <c r="C170" s="48"/>
      <c r="D170" s="48"/>
    </row>
    <row r="171" spans="1:4" x14ac:dyDescent="0.25">
      <c r="A171" s="47"/>
      <c r="B171" s="107"/>
      <c r="C171" s="48"/>
      <c r="D171" s="48"/>
    </row>
    <row r="172" spans="1:4" x14ac:dyDescent="0.25">
      <c r="A172" s="47"/>
      <c r="B172" s="107"/>
      <c r="C172" s="48"/>
      <c r="D172" s="48"/>
    </row>
    <row r="173" spans="1:4" x14ac:dyDescent="0.25">
      <c r="A173" s="47"/>
      <c r="B173" s="107"/>
      <c r="C173" s="48"/>
      <c r="D173" s="48"/>
    </row>
    <row r="174" spans="1:4" x14ac:dyDescent="0.25">
      <c r="A174" s="47"/>
      <c r="B174" s="107"/>
      <c r="C174" s="48"/>
      <c r="D174" s="48"/>
    </row>
    <row r="175" spans="1:4" x14ac:dyDescent="0.25">
      <c r="A175" s="47"/>
      <c r="B175" s="107"/>
      <c r="C175" s="48"/>
      <c r="D175" s="48"/>
    </row>
    <row r="176" spans="1:4" x14ac:dyDescent="0.25">
      <c r="A176" s="47"/>
      <c r="B176" s="107"/>
      <c r="C176" s="48"/>
      <c r="D176" s="48"/>
    </row>
    <row r="177" spans="1:4" x14ac:dyDescent="0.25">
      <c r="A177" s="47"/>
      <c r="B177" s="107"/>
      <c r="C177" s="48"/>
      <c r="D177" s="48"/>
    </row>
    <row r="178" spans="1:4" x14ac:dyDescent="0.25">
      <c r="A178" s="47"/>
      <c r="B178" s="107"/>
      <c r="C178" s="48"/>
      <c r="D178" s="48"/>
    </row>
    <row r="179" spans="1:4" x14ac:dyDescent="0.25">
      <c r="A179" s="47"/>
      <c r="B179" s="107"/>
      <c r="C179" s="48"/>
      <c r="D179" s="48"/>
    </row>
    <row r="180" spans="1:4" x14ac:dyDescent="0.25">
      <c r="A180" s="47"/>
      <c r="B180" s="107"/>
      <c r="C180" s="48"/>
      <c r="D180" s="48"/>
    </row>
    <row r="181" spans="1:4" x14ac:dyDescent="0.25">
      <c r="A181" s="47"/>
      <c r="B181" s="107"/>
      <c r="C181" s="48"/>
      <c r="D181" s="48"/>
    </row>
    <row r="182" spans="1:4" x14ac:dyDescent="0.25">
      <c r="A182" s="47"/>
      <c r="B182" s="107"/>
      <c r="C182" s="48"/>
      <c r="D182" s="48"/>
    </row>
    <row r="183" spans="1:4" x14ac:dyDescent="0.25">
      <c r="A183" s="47"/>
      <c r="B183" s="107"/>
      <c r="C183" s="48"/>
      <c r="D183" s="48"/>
    </row>
    <row r="184" spans="1:4" x14ac:dyDescent="0.25">
      <c r="A184" s="47"/>
      <c r="B184" s="107"/>
      <c r="C184" s="48"/>
      <c r="D184" s="48"/>
    </row>
    <row r="185" spans="1:4" x14ac:dyDescent="0.25">
      <c r="A185" s="47"/>
      <c r="B185" s="107"/>
      <c r="C185" s="48"/>
      <c r="D185" s="48"/>
    </row>
    <row r="186" spans="1:4" x14ac:dyDescent="0.25">
      <c r="A186" s="47"/>
      <c r="B186" s="107"/>
      <c r="C186" s="48"/>
      <c r="D186" s="48"/>
    </row>
    <row r="187" spans="1:4" x14ac:dyDescent="0.25">
      <c r="A187" s="47"/>
      <c r="B187" s="107"/>
      <c r="C187" s="48"/>
      <c r="D187" s="48"/>
    </row>
    <row r="188" spans="1:4" x14ac:dyDescent="0.25">
      <c r="A188" s="47"/>
      <c r="B188" s="107"/>
      <c r="C188" s="48"/>
      <c r="D188" s="48"/>
    </row>
    <row r="189" spans="1:4" x14ac:dyDescent="0.25">
      <c r="A189" s="47"/>
      <c r="B189" s="107"/>
      <c r="C189" s="48"/>
      <c r="D189" s="48"/>
    </row>
    <row r="190" spans="1:4" x14ac:dyDescent="0.25">
      <c r="A190" s="47"/>
      <c r="B190" s="107"/>
      <c r="C190" s="48"/>
      <c r="D190" s="48"/>
    </row>
    <row r="191" spans="1:4" x14ac:dyDescent="0.25">
      <c r="A191" s="47"/>
      <c r="B191" s="107"/>
      <c r="C191" s="48"/>
      <c r="D191" s="48"/>
    </row>
    <row r="192" spans="1:4" x14ac:dyDescent="0.25">
      <c r="A192" s="47"/>
      <c r="B192" s="107"/>
      <c r="C192" s="48"/>
      <c r="D192" s="48"/>
    </row>
    <row r="193" spans="1:4" x14ac:dyDescent="0.25">
      <c r="A193" s="47"/>
      <c r="B193" s="107"/>
      <c r="C193" s="48"/>
      <c r="D193" s="48"/>
    </row>
    <row r="194" spans="1:4" x14ac:dyDescent="0.25">
      <c r="A194" s="47"/>
      <c r="B194" s="107"/>
      <c r="C194" s="48"/>
      <c r="D194" s="48"/>
    </row>
    <row r="195" spans="1:4" x14ac:dyDescent="0.25">
      <c r="A195" s="47"/>
      <c r="B195" s="107"/>
      <c r="C195" s="48"/>
      <c r="D195" s="48"/>
    </row>
    <row r="196" spans="1:4" x14ac:dyDescent="0.25">
      <c r="A196" s="47"/>
      <c r="B196" s="107"/>
      <c r="C196" s="48"/>
      <c r="D196" s="48"/>
    </row>
    <row r="197" spans="1:4" x14ac:dyDescent="0.25">
      <c r="A197" s="47"/>
      <c r="B197" s="107"/>
      <c r="C197" s="48"/>
      <c r="D197" s="48"/>
    </row>
    <row r="198" spans="1:4" x14ac:dyDescent="0.25">
      <c r="A198" s="47"/>
      <c r="B198" s="107"/>
      <c r="C198" s="48"/>
      <c r="D198" s="48"/>
    </row>
    <row r="199" spans="1:4" x14ac:dyDescent="0.25">
      <c r="A199" s="47"/>
      <c r="B199" s="107"/>
      <c r="C199" s="48"/>
      <c r="D199" s="48"/>
    </row>
    <row r="200" spans="1:4" x14ac:dyDescent="0.25">
      <c r="A200" s="47"/>
      <c r="B200" s="107"/>
      <c r="C200" s="48"/>
      <c r="D200" s="48"/>
    </row>
    <row r="201" spans="1:4" x14ac:dyDescent="0.25">
      <c r="A201" s="47"/>
      <c r="B201" s="107"/>
      <c r="C201" s="48"/>
      <c r="D201" s="48"/>
    </row>
    <row r="202" spans="1:4" x14ac:dyDescent="0.25">
      <c r="A202" s="47"/>
      <c r="B202" s="107"/>
      <c r="C202" s="48"/>
      <c r="D202" s="48"/>
    </row>
    <row r="203" spans="1:4" x14ac:dyDescent="0.25">
      <c r="A203" s="47"/>
      <c r="B203" s="107"/>
      <c r="C203" s="48"/>
      <c r="D203" s="48"/>
    </row>
    <row r="204" spans="1:4" x14ac:dyDescent="0.25">
      <c r="A204" s="47"/>
      <c r="B204" s="107"/>
      <c r="C204" s="48"/>
      <c r="D204" s="48"/>
    </row>
    <row r="205" spans="1:4" x14ac:dyDescent="0.25">
      <c r="A205" s="47"/>
      <c r="B205" s="107"/>
      <c r="C205" s="48"/>
      <c r="D205" s="48"/>
    </row>
    <row r="206" spans="1:4" x14ac:dyDescent="0.25">
      <c r="A206" s="47"/>
      <c r="B206" s="107"/>
      <c r="C206" s="48"/>
      <c r="D206" s="48"/>
    </row>
    <row r="207" spans="1:4" x14ac:dyDescent="0.25">
      <c r="A207" s="47"/>
      <c r="B207" s="107"/>
      <c r="C207" s="48"/>
      <c r="D207" s="48"/>
    </row>
    <row r="208" spans="1:4" x14ac:dyDescent="0.25">
      <c r="A208" s="47"/>
      <c r="B208" s="107"/>
      <c r="C208" s="48"/>
      <c r="D208" s="48"/>
    </row>
    <row r="209" spans="1:4" x14ac:dyDescent="0.25">
      <c r="A209" s="47"/>
      <c r="B209" s="107"/>
      <c r="C209" s="48"/>
      <c r="D209" s="48"/>
    </row>
    <row r="210" spans="1:4" x14ac:dyDescent="0.25">
      <c r="A210" s="47"/>
      <c r="B210" s="107"/>
      <c r="C210" s="48"/>
      <c r="D210" s="48"/>
    </row>
    <row r="211" spans="1:4" x14ac:dyDescent="0.25">
      <c r="A211" s="47"/>
      <c r="B211" s="107"/>
      <c r="C211" s="48"/>
      <c r="D211" s="48"/>
    </row>
    <row r="212" spans="1:4" x14ac:dyDescent="0.25">
      <c r="A212" s="47"/>
      <c r="B212" s="107"/>
      <c r="C212" s="48"/>
      <c r="D212" s="48"/>
    </row>
    <row r="213" spans="1:4" x14ac:dyDescent="0.25">
      <c r="A213" s="47"/>
      <c r="B213" s="107"/>
      <c r="C213" s="48"/>
      <c r="D213" s="48"/>
    </row>
    <row r="214" spans="1:4" x14ac:dyDescent="0.25">
      <c r="A214" s="47"/>
      <c r="B214" s="107"/>
      <c r="C214" s="48"/>
      <c r="D214" s="48"/>
    </row>
    <row r="215" spans="1:4" x14ac:dyDescent="0.25">
      <c r="A215" s="47"/>
      <c r="B215" s="107"/>
      <c r="C215" s="48"/>
      <c r="D215" s="48"/>
    </row>
    <row r="216" spans="1:4" x14ac:dyDescent="0.25">
      <c r="A216" s="47"/>
      <c r="B216" s="107"/>
      <c r="C216" s="48"/>
      <c r="D216" s="48"/>
    </row>
    <row r="217" spans="1:4" x14ac:dyDescent="0.25">
      <c r="A217" s="47"/>
      <c r="B217" s="107"/>
      <c r="C217" s="48"/>
      <c r="D217" s="48"/>
    </row>
    <row r="218" spans="1:4" x14ac:dyDescent="0.25">
      <c r="A218" s="47"/>
      <c r="B218" s="107"/>
      <c r="C218" s="48"/>
      <c r="D218" s="48"/>
    </row>
    <row r="219" spans="1:4" x14ac:dyDescent="0.25">
      <c r="A219" s="47"/>
      <c r="B219" s="107"/>
      <c r="C219" s="48"/>
      <c r="D219" s="48"/>
    </row>
    <row r="220" spans="1:4" x14ac:dyDescent="0.25">
      <c r="A220" s="47"/>
      <c r="B220" s="107"/>
      <c r="C220" s="48"/>
      <c r="D220" s="48"/>
    </row>
    <row r="221" spans="1:4" x14ac:dyDescent="0.25">
      <c r="A221" s="47"/>
      <c r="B221" s="107"/>
      <c r="C221" s="48"/>
      <c r="D221" s="48"/>
    </row>
    <row r="222" spans="1:4" x14ac:dyDescent="0.25">
      <c r="A222" s="47"/>
      <c r="B222" s="107"/>
      <c r="C222" s="48"/>
      <c r="D222" s="48"/>
    </row>
    <row r="223" spans="1:4" x14ac:dyDescent="0.25">
      <c r="A223" s="47"/>
      <c r="B223" s="107"/>
      <c r="C223" s="48"/>
      <c r="D223" s="48"/>
    </row>
    <row r="224" spans="1:4" x14ac:dyDescent="0.25">
      <c r="A224" s="47"/>
      <c r="B224" s="107"/>
      <c r="C224" s="48"/>
      <c r="D224" s="48"/>
    </row>
    <row r="225" spans="1:4" x14ac:dyDescent="0.25">
      <c r="A225" s="47"/>
      <c r="B225" s="107"/>
      <c r="C225" s="48"/>
      <c r="D225" s="48"/>
    </row>
    <row r="226" spans="1:4" x14ac:dyDescent="0.25">
      <c r="A226" s="47"/>
      <c r="B226" s="107"/>
      <c r="C226" s="48"/>
      <c r="D226" s="48"/>
    </row>
    <row r="227" spans="1:4" x14ac:dyDescent="0.25">
      <c r="A227" s="47"/>
      <c r="B227" s="107"/>
      <c r="C227" s="48"/>
      <c r="D227" s="48"/>
    </row>
    <row r="228" spans="1:4" x14ac:dyDescent="0.25">
      <c r="A228" s="47"/>
      <c r="B228" s="107"/>
      <c r="C228" s="48"/>
      <c r="D228" s="48"/>
    </row>
    <row r="229" spans="1:4" x14ac:dyDescent="0.25">
      <c r="A229" s="47"/>
      <c r="B229" s="107"/>
      <c r="C229" s="48"/>
      <c r="D229" s="48"/>
    </row>
    <row r="230" spans="1:4" x14ac:dyDescent="0.25">
      <c r="A230" s="47"/>
      <c r="B230" s="107"/>
      <c r="C230" s="48"/>
      <c r="D230" s="48"/>
    </row>
    <row r="231" spans="1:4" x14ac:dyDescent="0.25">
      <c r="A231" s="47"/>
      <c r="B231" s="107"/>
      <c r="C231" s="48"/>
      <c r="D231" s="48"/>
    </row>
    <row r="232" spans="1:4" x14ac:dyDescent="0.25">
      <c r="A232" s="47"/>
      <c r="B232" s="107"/>
      <c r="C232" s="48"/>
      <c r="D232" s="48"/>
    </row>
    <row r="233" spans="1:4" x14ac:dyDescent="0.25">
      <c r="A233" s="47"/>
      <c r="B233" s="107"/>
      <c r="C233" s="48"/>
      <c r="D233" s="48"/>
    </row>
    <row r="234" spans="1:4" x14ac:dyDescent="0.25">
      <c r="A234" s="47"/>
      <c r="B234" s="107"/>
      <c r="C234" s="48"/>
      <c r="D234" s="48"/>
    </row>
    <row r="235" spans="1:4" x14ac:dyDescent="0.25">
      <c r="A235" s="47"/>
      <c r="B235" s="107"/>
      <c r="C235" s="48"/>
      <c r="D235" s="48"/>
    </row>
    <row r="236" spans="1:4" x14ac:dyDescent="0.25">
      <c r="A236" s="47"/>
      <c r="B236" s="107"/>
      <c r="C236" s="48"/>
      <c r="D236" s="48"/>
    </row>
    <row r="237" spans="1:4" x14ac:dyDescent="0.25">
      <c r="A237" s="47"/>
      <c r="B237" s="107"/>
      <c r="C237" s="48"/>
      <c r="D237" s="48"/>
    </row>
    <row r="238" spans="1:4" x14ac:dyDescent="0.25">
      <c r="A238" s="47"/>
      <c r="B238" s="107"/>
      <c r="C238" s="48"/>
      <c r="D238" s="48"/>
    </row>
    <row r="239" spans="1:4" x14ac:dyDescent="0.25">
      <c r="A239" s="47"/>
      <c r="B239" s="107"/>
      <c r="C239" s="48"/>
      <c r="D239" s="48"/>
    </row>
    <row r="240" spans="1:4" x14ac:dyDescent="0.25">
      <c r="A240" s="47"/>
      <c r="B240" s="107"/>
      <c r="C240" s="48"/>
      <c r="D240" s="48"/>
    </row>
    <row r="241" spans="1:4" x14ac:dyDescent="0.25">
      <c r="A241" s="47"/>
      <c r="B241" s="107"/>
      <c r="C241" s="48"/>
      <c r="D241" s="48"/>
    </row>
    <row r="242" spans="1:4" x14ac:dyDescent="0.25">
      <c r="A242" s="47"/>
      <c r="B242" s="107"/>
      <c r="C242" s="48"/>
      <c r="D242" s="48"/>
    </row>
    <row r="243" spans="1:4" x14ac:dyDescent="0.25">
      <c r="A243" s="47"/>
      <c r="B243" s="107"/>
      <c r="C243" s="48"/>
      <c r="D243" s="48"/>
    </row>
    <row r="244" spans="1:4" x14ac:dyDescent="0.25">
      <c r="A244" s="47"/>
      <c r="B244" s="107"/>
      <c r="C244" s="48"/>
      <c r="D244" s="48"/>
    </row>
    <row r="245" spans="1:4" x14ac:dyDescent="0.25">
      <c r="A245" s="47"/>
      <c r="B245" s="107"/>
      <c r="C245" s="48"/>
      <c r="D245" s="48"/>
    </row>
    <row r="246" spans="1:4" x14ac:dyDescent="0.25">
      <c r="A246" s="47"/>
      <c r="B246" s="107"/>
      <c r="C246" s="48"/>
      <c r="D246" s="48"/>
    </row>
    <row r="247" spans="1:4" x14ac:dyDescent="0.25">
      <c r="A247" s="47"/>
      <c r="B247" s="107"/>
      <c r="C247" s="48"/>
      <c r="D247" s="48"/>
    </row>
    <row r="248" spans="1:4" x14ac:dyDescent="0.25">
      <c r="A248" s="47"/>
      <c r="B248" s="107"/>
      <c r="C248" s="48"/>
      <c r="D248" s="48"/>
    </row>
    <row r="249" spans="1:4" x14ac:dyDescent="0.25">
      <c r="A249" s="47"/>
      <c r="B249" s="107"/>
      <c r="C249" s="48"/>
      <c r="D249" s="48"/>
    </row>
    <row r="250" spans="1:4" x14ac:dyDescent="0.25">
      <c r="A250" s="47"/>
      <c r="B250" s="107"/>
      <c r="C250" s="48"/>
      <c r="D250" s="48"/>
    </row>
    <row r="251" spans="1:4" x14ac:dyDescent="0.25">
      <c r="A251" s="47"/>
      <c r="B251" s="107"/>
      <c r="C251" s="48"/>
      <c r="D251" s="48"/>
    </row>
    <row r="252" spans="1:4" x14ac:dyDescent="0.25">
      <c r="A252" s="47"/>
      <c r="B252" s="107"/>
      <c r="C252" s="48"/>
      <c r="D252" s="48"/>
    </row>
    <row r="253" spans="1:4" x14ac:dyDescent="0.25">
      <c r="A253" s="47"/>
      <c r="B253" s="107"/>
      <c r="C253" s="48"/>
      <c r="D253" s="48"/>
    </row>
    <row r="254" spans="1:4" x14ac:dyDescent="0.25">
      <c r="A254" s="47"/>
      <c r="B254" s="107"/>
      <c r="C254" s="48"/>
      <c r="D254" s="48"/>
    </row>
    <row r="255" spans="1:4" x14ac:dyDescent="0.25">
      <c r="A255" s="47"/>
      <c r="B255" s="107"/>
      <c r="C255" s="48"/>
      <c r="D255" s="48"/>
    </row>
    <row r="256" spans="1:4" x14ac:dyDescent="0.25">
      <c r="A256" s="47"/>
      <c r="B256" s="107"/>
      <c r="C256" s="48"/>
      <c r="D256" s="48"/>
    </row>
    <row r="257" spans="1:4" x14ac:dyDescent="0.25">
      <c r="A257" s="47"/>
      <c r="B257" s="107"/>
      <c r="C257" s="48"/>
      <c r="D257" s="48"/>
    </row>
    <row r="258" spans="1:4" x14ac:dyDescent="0.25">
      <c r="A258" s="47"/>
      <c r="B258" s="107"/>
      <c r="C258" s="48"/>
      <c r="D258" s="48"/>
    </row>
    <row r="259" spans="1:4" x14ac:dyDescent="0.25">
      <c r="A259" s="47"/>
      <c r="B259" s="107"/>
      <c r="C259" s="48"/>
      <c r="D259" s="48"/>
    </row>
    <row r="260" spans="1:4" x14ac:dyDescent="0.25">
      <c r="A260" s="47"/>
      <c r="B260" s="107"/>
      <c r="C260" s="48"/>
      <c r="D260" s="48"/>
    </row>
    <row r="261" spans="1:4" x14ac:dyDescent="0.25">
      <c r="A261" s="47"/>
      <c r="B261" s="107"/>
      <c r="C261" s="48"/>
      <c r="D261" s="48"/>
    </row>
    <row r="262" spans="1:4" x14ac:dyDescent="0.25">
      <c r="A262" s="47"/>
      <c r="B262" s="107"/>
      <c r="C262" s="48"/>
      <c r="D262" s="48"/>
    </row>
    <row r="263" spans="1:4" x14ac:dyDescent="0.25">
      <c r="A263" s="47"/>
      <c r="B263" s="107"/>
      <c r="C263" s="48"/>
      <c r="D263" s="48"/>
    </row>
    <row r="264" spans="1:4" x14ac:dyDescent="0.25">
      <c r="A264" s="47"/>
      <c r="B264" s="107"/>
      <c r="C264" s="48"/>
      <c r="D264" s="48"/>
    </row>
    <row r="265" spans="1:4" x14ac:dyDescent="0.25">
      <c r="A265" s="47"/>
      <c r="B265" s="107"/>
      <c r="C265" s="48"/>
      <c r="D265" s="48"/>
    </row>
    <row r="266" spans="1:4" x14ac:dyDescent="0.25">
      <c r="A266" s="47"/>
      <c r="B266" s="107"/>
      <c r="C266" s="48"/>
      <c r="D266" s="48"/>
    </row>
    <row r="267" spans="1:4" x14ac:dyDescent="0.25">
      <c r="A267" s="47"/>
      <c r="B267" s="107"/>
      <c r="C267" s="48"/>
      <c r="D267" s="48"/>
    </row>
    <row r="268" spans="1:4" x14ac:dyDescent="0.25">
      <c r="A268" s="47"/>
      <c r="B268" s="107"/>
      <c r="C268" s="48"/>
      <c r="D268" s="48"/>
    </row>
    <row r="269" spans="1:4" x14ac:dyDescent="0.25">
      <c r="A269" s="47"/>
      <c r="B269" s="107"/>
      <c r="C269" s="48"/>
      <c r="D269" s="48"/>
    </row>
    <row r="270" spans="1:4" x14ac:dyDescent="0.25">
      <c r="A270" s="47"/>
      <c r="B270" s="107"/>
      <c r="C270" s="48"/>
      <c r="D270" s="48"/>
    </row>
    <row r="271" spans="1:4" x14ac:dyDescent="0.25">
      <c r="A271" s="47"/>
      <c r="B271" s="107"/>
      <c r="C271" s="48"/>
      <c r="D271" s="48"/>
    </row>
    <row r="272" spans="1:4" x14ac:dyDescent="0.25">
      <c r="A272" s="47"/>
      <c r="B272" s="107"/>
      <c r="C272" s="48"/>
      <c r="D272" s="48"/>
    </row>
    <row r="273" spans="1:4" x14ac:dyDescent="0.25">
      <c r="A273" s="47"/>
      <c r="B273" s="107"/>
      <c r="C273" s="48"/>
      <c r="D273" s="48"/>
    </row>
    <row r="274" spans="1:4" x14ac:dyDescent="0.25">
      <c r="A274" s="47"/>
      <c r="B274" s="107"/>
      <c r="C274" s="48"/>
      <c r="D274" s="48"/>
    </row>
    <row r="275" spans="1:4" x14ac:dyDescent="0.25">
      <c r="A275" s="47"/>
      <c r="B275" s="107"/>
      <c r="C275" s="48"/>
      <c r="D275" s="48"/>
    </row>
    <row r="276" spans="1:4" x14ac:dyDescent="0.25">
      <c r="A276" s="47"/>
      <c r="B276" s="107"/>
      <c r="C276" s="48"/>
      <c r="D276" s="48"/>
    </row>
    <row r="277" spans="1:4" x14ac:dyDescent="0.25">
      <c r="A277" s="47"/>
      <c r="B277" s="107"/>
      <c r="C277" s="48"/>
      <c r="D277" s="48"/>
    </row>
    <row r="278" spans="1:4" x14ac:dyDescent="0.25">
      <c r="A278" s="47"/>
      <c r="B278" s="107"/>
      <c r="C278" s="48"/>
      <c r="D278" s="48"/>
    </row>
    <row r="279" spans="1:4" x14ac:dyDescent="0.25">
      <c r="A279" s="47"/>
      <c r="B279" s="107"/>
      <c r="C279" s="48"/>
      <c r="D279" s="48"/>
    </row>
    <row r="280" spans="1:4" x14ac:dyDescent="0.25">
      <c r="A280" s="47"/>
      <c r="B280" s="107"/>
      <c r="C280" s="48"/>
      <c r="D280" s="48"/>
    </row>
    <row r="281" spans="1:4" x14ac:dyDescent="0.25">
      <c r="A281" s="47"/>
      <c r="B281" s="107"/>
      <c r="C281" s="48"/>
      <c r="D281" s="48"/>
    </row>
    <row r="282" spans="1:4" x14ac:dyDescent="0.25">
      <c r="A282" s="47"/>
      <c r="B282" s="107"/>
      <c r="C282" s="48"/>
      <c r="D282" s="48"/>
    </row>
    <row r="283" spans="1:4" x14ac:dyDescent="0.25">
      <c r="A283" s="47"/>
      <c r="B283" s="107"/>
      <c r="C283" s="48"/>
      <c r="D283" s="48"/>
    </row>
    <row r="284" spans="1:4" x14ac:dyDescent="0.25">
      <c r="A284" s="47"/>
      <c r="B284" s="107"/>
      <c r="C284" s="48"/>
      <c r="D284" s="48"/>
    </row>
    <row r="285" spans="1:4" x14ac:dyDescent="0.25">
      <c r="A285" s="47"/>
      <c r="B285" s="107"/>
      <c r="C285" s="48"/>
      <c r="D285" s="48"/>
    </row>
    <row r="286" spans="1:4" x14ac:dyDescent="0.25">
      <c r="A286" s="47"/>
      <c r="B286" s="107"/>
      <c r="C286" s="48"/>
      <c r="D286" s="48"/>
    </row>
    <row r="287" spans="1:4" x14ac:dyDescent="0.25">
      <c r="A287" s="47"/>
      <c r="B287" s="107"/>
      <c r="C287" s="48"/>
      <c r="D287" s="48"/>
    </row>
    <row r="288" spans="1:4" x14ac:dyDescent="0.25">
      <c r="A288" s="47"/>
      <c r="B288" s="107"/>
      <c r="C288" s="48"/>
      <c r="D288" s="48"/>
    </row>
    <row r="289" spans="1:4" x14ac:dyDescent="0.25">
      <c r="A289" s="47"/>
      <c r="B289" s="107"/>
      <c r="C289" s="48"/>
      <c r="D289" s="48"/>
    </row>
    <row r="290" spans="1:4" x14ac:dyDescent="0.25">
      <c r="A290" s="47"/>
      <c r="B290" s="107"/>
      <c r="C290" s="48"/>
      <c r="D290" s="48"/>
    </row>
    <row r="291" spans="1:4" x14ac:dyDescent="0.25">
      <c r="A291" s="47"/>
      <c r="B291" s="107"/>
      <c r="C291" s="48"/>
      <c r="D291" s="48"/>
    </row>
    <row r="292" spans="1:4" x14ac:dyDescent="0.25">
      <c r="A292" s="47"/>
      <c r="B292" s="107"/>
      <c r="C292" s="48"/>
      <c r="D292" s="48"/>
    </row>
    <row r="293" spans="1:4" x14ac:dyDescent="0.25">
      <c r="A293" s="47"/>
      <c r="B293" s="107"/>
      <c r="C293" s="48"/>
      <c r="D293" s="48"/>
    </row>
    <row r="294" spans="1:4" x14ac:dyDescent="0.25">
      <c r="A294" s="47"/>
      <c r="B294" s="107"/>
      <c r="C294" s="48"/>
      <c r="D294" s="48"/>
    </row>
    <row r="295" spans="1:4" x14ac:dyDescent="0.25">
      <c r="A295" s="47"/>
      <c r="B295" s="107"/>
      <c r="C295" s="48"/>
      <c r="D295" s="48"/>
    </row>
    <row r="296" spans="1:4" x14ac:dyDescent="0.25">
      <c r="A296" s="47"/>
      <c r="B296" s="107"/>
      <c r="C296" s="48"/>
      <c r="D296" s="48"/>
    </row>
    <row r="297" spans="1:4" x14ac:dyDescent="0.25">
      <c r="A297" s="47"/>
      <c r="B297" s="107"/>
      <c r="C297" s="48"/>
      <c r="D297" s="48"/>
    </row>
    <row r="298" spans="1:4" x14ac:dyDescent="0.25">
      <c r="A298" s="47"/>
      <c r="B298" s="107"/>
      <c r="C298" s="48"/>
      <c r="D298" s="48"/>
    </row>
    <row r="299" spans="1:4" x14ac:dyDescent="0.25">
      <c r="A299" s="47"/>
      <c r="B299" s="107"/>
      <c r="C299" s="48"/>
      <c r="D299" s="48"/>
    </row>
    <row r="300" spans="1:4" x14ac:dyDescent="0.25">
      <c r="A300" s="47"/>
      <c r="B300" s="107"/>
      <c r="C300" s="48"/>
      <c r="D300" s="48"/>
    </row>
    <row r="301" spans="1:4" x14ac:dyDescent="0.25">
      <c r="A301" s="47"/>
      <c r="B301" s="107"/>
      <c r="C301" s="48"/>
      <c r="D301" s="48"/>
    </row>
    <row r="302" spans="1:4" x14ac:dyDescent="0.25">
      <c r="A302" s="47"/>
      <c r="B302" s="107"/>
      <c r="C302" s="48"/>
      <c r="D302" s="48"/>
    </row>
    <row r="303" spans="1:4" x14ac:dyDescent="0.25">
      <c r="A303" s="47"/>
      <c r="B303" s="107"/>
      <c r="C303" s="48"/>
      <c r="D303" s="48"/>
    </row>
    <row r="304" spans="1:4" x14ac:dyDescent="0.25">
      <c r="A304" s="47"/>
      <c r="B304" s="107"/>
      <c r="C304" s="48"/>
      <c r="D304" s="48"/>
    </row>
    <row r="305" spans="1:4" x14ac:dyDescent="0.25">
      <c r="A305" s="47"/>
      <c r="B305" s="107"/>
      <c r="C305" s="48"/>
      <c r="D305" s="48"/>
    </row>
    <row r="306" spans="1:4" x14ac:dyDescent="0.25">
      <c r="A306" s="47"/>
      <c r="B306" s="107"/>
      <c r="C306" s="48"/>
      <c r="D306" s="48"/>
    </row>
    <row r="307" spans="1:4" x14ac:dyDescent="0.25">
      <c r="A307" s="47"/>
      <c r="B307" s="107"/>
      <c r="C307" s="48"/>
      <c r="D307" s="48"/>
    </row>
    <row r="308" spans="1:4" x14ac:dyDescent="0.25">
      <c r="A308" s="47"/>
      <c r="B308" s="107"/>
      <c r="C308" s="48"/>
      <c r="D308" s="48"/>
    </row>
    <row r="309" spans="1:4" x14ac:dyDescent="0.25">
      <c r="A309" s="47"/>
      <c r="B309" s="107"/>
      <c r="C309" s="48"/>
      <c r="D309" s="48"/>
    </row>
    <row r="310" spans="1:4" x14ac:dyDescent="0.25">
      <c r="A310" s="47"/>
      <c r="B310" s="107"/>
      <c r="C310" s="48"/>
      <c r="D310" s="48"/>
    </row>
    <row r="311" spans="1:4" x14ac:dyDescent="0.25">
      <c r="A311" s="47"/>
      <c r="B311" s="107"/>
      <c r="C311" s="48"/>
      <c r="D311" s="48"/>
    </row>
    <row r="312" spans="1:4" x14ac:dyDescent="0.25">
      <c r="A312" s="47"/>
      <c r="B312" s="107"/>
      <c r="C312" s="48"/>
      <c r="D312" s="48"/>
    </row>
    <row r="313" spans="1:4" x14ac:dyDescent="0.25">
      <c r="A313" s="47"/>
      <c r="B313" s="107"/>
      <c r="C313" s="48"/>
      <c r="D313" s="48"/>
    </row>
    <row r="314" spans="1:4" x14ac:dyDescent="0.25">
      <c r="A314" s="47"/>
      <c r="B314" s="107"/>
      <c r="C314" s="48"/>
      <c r="D314" s="48"/>
    </row>
    <row r="315" spans="1:4" x14ac:dyDescent="0.25">
      <c r="A315" s="47"/>
      <c r="B315" s="107"/>
      <c r="C315" s="48"/>
      <c r="D315" s="48"/>
    </row>
    <row r="316" spans="1:4" x14ac:dyDescent="0.25">
      <c r="A316" s="47"/>
      <c r="B316" s="107"/>
      <c r="C316" s="48"/>
      <c r="D316" s="48"/>
    </row>
    <row r="317" spans="1:4" x14ac:dyDescent="0.25">
      <c r="A317" s="47"/>
      <c r="B317" s="107"/>
      <c r="C317" s="48"/>
      <c r="D317" s="48"/>
    </row>
    <row r="318" spans="1:4" x14ac:dyDescent="0.25">
      <c r="A318" s="47"/>
      <c r="B318" s="107"/>
      <c r="C318" s="48"/>
      <c r="D318" s="48"/>
    </row>
    <row r="319" spans="1:4" x14ac:dyDescent="0.25">
      <c r="A319" s="47"/>
      <c r="B319" s="107"/>
      <c r="C319" s="48"/>
      <c r="D319" s="48"/>
    </row>
    <row r="320" spans="1:4" x14ac:dyDescent="0.25">
      <c r="A320" s="47"/>
      <c r="B320" s="107"/>
      <c r="C320" s="48"/>
      <c r="D320" s="48"/>
    </row>
    <row r="321" spans="1:4" x14ac:dyDescent="0.25">
      <c r="A321" s="47"/>
      <c r="B321" s="107"/>
      <c r="C321" s="48"/>
      <c r="D321" s="48"/>
    </row>
    <row r="322" spans="1:4" x14ac:dyDescent="0.25">
      <c r="A322" s="47"/>
      <c r="B322" s="107"/>
      <c r="C322" s="48"/>
      <c r="D322" s="48"/>
    </row>
    <row r="323" spans="1:4" x14ac:dyDescent="0.25">
      <c r="A323" s="47"/>
      <c r="B323" s="107"/>
      <c r="C323" s="48"/>
      <c r="D323" s="48"/>
    </row>
    <row r="324" spans="1:4" x14ac:dyDescent="0.25">
      <c r="A324" s="47"/>
      <c r="B324" s="107"/>
      <c r="C324" s="48"/>
      <c r="D324" s="48"/>
    </row>
    <row r="325" spans="1:4" x14ac:dyDescent="0.25">
      <c r="A325" s="47"/>
      <c r="B325" s="107"/>
      <c r="C325" s="48"/>
      <c r="D325" s="48"/>
    </row>
    <row r="326" spans="1:4" x14ac:dyDescent="0.25">
      <c r="A326" s="47"/>
      <c r="B326" s="107"/>
      <c r="C326" s="48"/>
      <c r="D326" s="48"/>
    </row>
    <row r="327" spans="1:4" x14ac:dyDescent="0.25">
      <c r="A327" s="47"/>
      <c r="B327" s="107"/>
      <c r="C327" s="48"/>
      <c r="D327" s="48"/>
    </row>
    <row r="328" spans="1:4" x14ac:dyDescent="0.25">
      <c r="A328" s="47"/>
      <c r="B328" s="107"/>
      <c r="C328" s="48"/>
      <c r="D328" s="48"/>
    </row>
    <row r="329" spans="1:4" x14ac:dyDescent="0.25">
      <c r="A329" s="47"/>
      <c r="B329" s="107"/>
      <c r="C329" s="48"/>
      <c r="D329" s="48"/>
    </row>
    <row r="330" spans="1:4" x14ac:dyDescent="0.25">
      <c r="A330" s="47"/>
      <c r="B330" s="107"/>
      <c r="C330" s="48"/>
      <c r="D330" s="48"/>
    </row>
    <row r="331" spans="1:4" x14ac:dyDescent="0.25">
      <c r="A331" s="47"/>
      <c r="B331" s="107"/>
      <c r="C331" s="48"/>
      <c r="D331" s="48"/>
    </row>
    <row r="332" spans="1:4" x14ac:dyDescent="0.25">
      <c r="A332" s="47"/>
      <c r="B332" s="107"/>
      <c r="C332" s="48"/>
      <c r="D332" s="48"/>
    </row>
    <row r="333" spans="1:4" x14ac:dyDescent="0.25">
      <c r="A333" s="47"/>
      <c r="B333" s="107"/>
      <c r="C333" s="48"/>
      <c r="D333" s="48"/>
    </row>
    <row r="334" spans="1:4" x14ac:dyDescent="0.25">
      <c r="A334" s="47"/>
      <c r="B334" s="107"/>
      <c r="C334" s="48"/>
      <c r="D334" s="48"/>
    </row>
    <row r="335" spans="1:4" x14ac:dyDescent="0.25">
      <c r="A335" s="47"/>
      <c r="B335" s="107"/>
      <c r="C335" s="48"/>
      <c r="D335" s="48"/>
    </row>
    <row r="336" spans="1:4" x14ac:dyDescent="0.25">
      <c r="A336" s="47"/>
      <c r="B336" s="107"/>
      <c r="C336" s="48"/>
      <c r="D336" s="48"/>
    </row>
    <row r="337" spans="1:4" x14ac:dyDescent="0.25">
      <c r="A337" s="47"/>
      <c r="B337" s="107"/>
      <c r="C337" s="48"/>
      <c r="D337" s="48"/>
    </row>
    <row r="338" spans="1:4" x14ac:dyDescent="0.25">
      <c r="A338" s="47"/>
      <c r="B338" s="107"/>
      <c r="C338" s="48"/>
      <c r="D338" s="48"/>
    </row>
    <row r="339" spans="1:4" x14ac:dyDescent="0.25">
      <c r="A339" s="47"/>
      <c r="B339" s="107"/>
      <c r="C339" s="48"/>
      <c r="D339" s="48"/>
    </row>
    <row r="340" spans="1:4" x14ac:dyDescent="0.25">
      <c r="A340" s="47"/>
      <c r="B340" s="107"/>
      <c r="C340" s="48"/>
      <c r="D340" s="48"/>
    </row>
    <row r="341" spans="1:4" x14ac:dyDescent="0.25">
      <c r="A341" s="47"/>
      <c r="B341" s="107"/>
      <c r="C341" s="48"/>
      <c r="D341" s="48"/>
    </row>
    <row r="342" spans="1:4" x14ac:dyDescent="0.25">
      <c r="A342" s="47"/>
      <c r="B342" s="107"/>
      <c r="C342" s="48"/>
      <c r="D342" s="48"/>
    </row>
    <row r="343" spans="1:4" x14ac:dyDescent="0.25">
      <c r="A343" s="47"/>
      <c r="B343" s="107"/>
      <c r="C343" s="48"/>
      <c r="D343" s="48"/>
    </row>
    <row r="344" spans="1:4" x14ac:dyDescent="0.25">
      <c r="A344" s="47"/>
      <c r="B344" s="107"/>
      <c r="C344" s="48"/>
      <c r="D344" s="48"/>
    </row>
    <row r="345" spans="1:4" x14ac:dyDescent="0.25">
      <c r="A345" s="47"/>
      <c r="B345" s="107"/>
      <c r="C345" s="48"/>
      <c r="D345" s="48"/>
    </row>
    <row r="346" spans="1:4" x14ac:dyDescent="0.25">
      <c r="A346" s="47"/>
      <c r="B346" s="107"/>
      <c r="C346" s="48"/>
      <c r="D346" s="48"/>
    </row>
    <row r="347" spans="1:4" x14ac:dyDescent="0.25">
      <c r="A347" s="47"/>
      <c r="B347" s="107"/>
      <c r="C347" s="48"/>
      <c r="D347" s="48"/>
    </row>
    <row r="348" spans="1:4" x14ac:dyDescent="0.25">
      <c r="A348" s="47"/>
      <c r="B348" s="107"/>
      <c r="C348" s="48"/>
      <c r="D348" s="48"/>
    </row>
    <row r="349" spans="1:4" x14ac:dyDescent="0.25">
      <c r="A349" s="47"/>
      <c r="B349" s="107"/>
      <c r="C349" s="48"/>
      <c r="D349" s="48"/>
    </row>
    <row r="350" spans="1:4" x14ac:dyDescent="0.25">
      <c r="A350" s="47"/>
      <c r="B350" s="107"/>
      <c r="C350" s="48"/>
      <c r="D350" s="48"/>
    </row>
    <row r="351" spans="1:4" x14ac:dyDescent="0.25">
      <c r="A351" s="47"/>
      <c r="B351" s="107"/>
      <c r="C351" s="48"/>
      <c r="D351" s="48"/>
    </row>
    <row r="352" spans="1:4" x14ac:dyDescent="0.25">
      <c r="A352" s="47"/>
      <c r="B352" s="107"/>
      <c r="C352" s="48"/>
      <c r="D352" s="48"/>
    </row>
    <row r="353" spans="1:4" x14ac:dyDescent="0.25">
      <c r="A353" s="47"/>
      <c r="B353" s="107"/>
      <c r="C353" s="48"/>
      <c r="D353" s="48"/>
    </row>
    <row r="354" spans="1:4" x14ac:dyDescent="0.25">
      <c r="A354" s="47"/>
      <c r="B354" s="107"/>
      <c r="C354" s="48"/>
      <c r="D354" s="48"/>
    </row>
    <row r="355" spans="1:4" x14ac:dyDescent="0.25">
      <c r="A355" s="47"/>
      <c r="B355" s="107"/>
      <c r="C355" s="48"/>
      <c r="D355" s="48"/>
    </row>
    <row r="356" spans="1:4" x14ac:dyDescent="0.25">
      <c r="A356" s="47"/>
      <c r="B356" s="107"/>
      <c r="C356" s="48"/>
      <c r="D356" s="48"/>
    </row>
    <row r="357" spans="1:4" x14ac:dyDescent="0.25">
      <c r="A357" s="47"/>
      <c r="B357" s="107"/>
      <c r="C357" s="48"/>
      <c r="D357" s="48"/>
    </row>
    <row r="358" spans="1:4" x14ac:dyDescent="0.25">
      <c r="A358" s="47"/>
      <c r="B358" s="107"/>
      <c r="C358" s="48"/>
      <c r="D358" s="48"/>
    </row>
    <row r="359" spans="1:4" x14ac:dyDescent="0.25">
      <c r="A359" s="47"/>
      <c r="B359" s="107"/>
      <c r="C359" s="48"/>
      <c r="D359" s="48"/>
    </row>
    <row r="360" spans="1:4" x14ac:dyDescent="0.25">
      <c r="A360" s="47"/>
      <c r="B360" s="107"/>
      <c r="C360" s="48"/>
      <c r="D360" s="48"/>
    </row>
    <row r="361" spans="1:4" x14ac:dyDescent="0.25">
      <c r="A361" s="47"/>
      <c r="B361" s="107"/>
      <c r="C361" s="48"/>
      <c r="D361" s="48"/>
    </row>
    <row r="362" spans="1:4" x14ac:dyDescent="0.25">
      <c r="A362" s="47"/>
      <c r="B362" s="107"/>
      <c r="C362" s="48"/>
      <c r="D362" s="48"/>
    </row>
    <row r="363" spans="1:4" x14ac:dyDescent="0.25">
      <c r="A363" s="47"/>
      <c r="B363" s="107"/>
      <c r="C363" s="48"/>
      <c r="D363" s="48"/>
    </row>
    <row r="364" spans="1:4" x14ac:dyDescent="0.25">
      <c r="A364" s="47"/>
      <c r="B364" s="107"/>
      <c r="C364" s="48"/>
      <c r="D364" s="48"/>
    </row>
    <row r="365" spans="1:4" x14ac:dyDescent="0.25">
      <c r="A365" s="47"/>
      <c r="B365" s="107"/>
      <c r="C365" s="48"/>
      <c r="D365" s="48"/>
    </row>
    <row r="366" spans="1:4" x14ac:dyDescent="0.25">
      <c r="A366" s="47"/>
      <c r="B366" s="107"/>
      <c r="C366" s="48"/>
      <c r="D366" s="48"/>
    </row>
    <row r="367" spans="1:4" x14ac:dyDescent="0.25">
      <c r="A367" s="47"/>
      <c r="B367" s="107"/>
      <c r="C367" s="48"/>
      <c r="D367" s="48"/>
    </row>
    <row r="368" spans="1:4" x14ac:dyDescent="0.25">
      <c r="A368" s="47"/>
      <c r="B368" s="107"/>
      <c r="C368" s="48"/>
      <c r="D368" s="48"/>
    </row>
    <row r="369" spans="1:4" x14ac:dyDescent="0.25">
      <c r="A369" s="47"/>
      <c r="B369" s="107"/>
      <c r="C369" s="48"/>
      <c r="D369" s="48"/>
    </row>
    <row r="370" spans="1:4" x14ac:dyDescent="0.25">
      <c r="A370" s="47"/>
      <c r="B370" s="107"/>
      <c r="C370" s="48"/>
      <c r="D370" s="48"/>
    </row>
    <row r="371" spans="1:4" x14ac:dyDescent="0.25">
      <c r="A371" s="47"/>
      <c r="B371" s="107"/>
      <c r="C371" s="48"/>
      <c r="D371" s="48"/>
    </row>
    <row r="372" spans="1:4" x14ac:dyDescent="0.25">
      <c r="A372" s="47"/>
      <c r="B372" s="107"/>
      <c r="C372" s="48"/>
      <c r="D372" s="48"/>
    </row>
    <row r="373" spans="1:4" x14ac:dyDescent="0.25">
      <c r="A373" s="47"/>
      <c r="B373" s="107"/>
      <c r="C373" s="48"/>
      <c r="D373" s="48"/>
    </row>
    <row r="374" spans="1:4" x14ac:dyDescent="0.25">
      <c r="A374" s="47"/>
      <c r="B374" s="107"/>
      <c r="C374" s="48"/>
      <c r="D374" s="48"/>
    </row>
    <row r="375" spans="1:4" x14ac:dyDescent="0.25">
      <c r="A375" s="47"/>
      <c r="B375" s="107"/>
      <c r="C375" s="48"/>
      <c r="D375" s="48"/>
    </row>
    <row r="376" spans="1:4" x14ac:dyDescent="0.25">
      <c r="A376" s="47"/>
      <c r="B376" s="107"/>
      <c r="C376" s="48"/>
      <c r="D376" s="48"/>
    </row>
    <row r="377" spans="1:4" x14ac:dyDescent="0.25">
      <c r="A377" s="47"/>
      <c r="B377" s="107"/>
      <c r="C377" s="48"/>
      <c r="D377" s="48"/>
    </row>
    <row r="378" spans="1:4" x14ac:dyDescent="0.25">
      <c r="A378" s="47"/>
      <c r="B378" s="107"/>
      <c r="C378" s="48"/>
      <c r="D378" s="48"/>
    </row>
    <row r="379" spans="1:4" x14ac:dyDescent="0.25">
      <c r="A379" s="47"/>
      <c r="B379" s="107"/>
      <c r="C379" s="48"/>
      <c r="D379" s="48"/>
    </row>
    <row r="380" spans="1:4" x14ac:dyDescent="0.25">
      <c r="A380" s="47"/>
      <c r="B380" s="107"/>
      <c r="C380" s="48"/>
      <c r="D380" s="48"/>
    </row>
    <row r="381" spans="1:4" x14ac:dyDescent="0.25">
      <c r="A381" s="47"/>
      <c r="B381" s="107"/>
      <c r="C381" s="48"/>
      <c r="D381" s="48"/>
    </row>
    <row r="382" spans="1:4" x14ac:dyDescent="0.25">
      <c r="A382" s="47"/>
      <c r="B382" s="107"/>
      <c r="C382" s="48"/>
      <c r="D382" s="48"/>
    </row>
    <row r="383" spans="1:4" x14ac:dyDescent="0.25">
      <c r="A383" s="47"/>
      <c r="B383" s="107"/>
      <c r="C383" s="48"/>
      <c r="D383" s="48"/>
    </row>
    <row r="384" spans="1:4" x14ac:dyDescent="0.25">
      <c r="A384" s="47"/>
      <c r="B384" s="107"/>
      <c r="C384" s="48"/>
      <c r="D384" s="48"/>
    </row>
    <row r="385" spans="1:4" x14ac:dyDescent="0.25">
      <c r="A385" s="47"/>
      <c r="B385" s="107"/>
      <c r="C385" s="48"/>
      <c r="D385" s="48"/>
    </row>
    <row r="386" spans="1:4" x14ac:dyDescent="0.25">
      <c r="A386" s="47"/>
      <c r="B386" s="107"/>
      <c r="C386" s="48"/>
      <c r="D386" s="48"/>
    </row>
    <row r="387" spans="1:4" x14ac:dyDescent="0.25">
      <c r="A387" s="47"/>
      <c r="B387" s="107"/>
      <c r="C387" s="48"/>
      <c r="D387" s="48"/>
    </row>
    <row r="388" spans="1:4" x14ac:dyDescent="0.25">
      <c r="A388" s="47"/>
      <c r="B388" s="107"/>
      <c r="C388" s="48"/>
      <c r="D388" s="48"/>
    </row>
    <row r="389" spans="1:4" x14ac:dyDescent="0.25">
      <c r="A389" s="47"/>
      <c r="B389" s="107"/>
      <c r="C389" s="48"/>
      <c r="D389" s="48"/>
    </row>
    <row r="390" spans="1:4" x14ac:dyDescent="0.25">
      <c r="A390" s="47"/>
      <c r="B390" s="107"/>
      <c r="C390" s="48"/>
      <c r="D390" s="48"/>
    </row>
    <row r="391" spans="1:4" x14ac:dyDescent="0.25">
      <c r="A391" s="47"/>
      <c r="B391" s="107"/>
      <c r="C391" s="48"/>
      <c r="D391" s="48"/>
    </row>
    <row r="392" spans="1:4" x14ac:dyDescent="0.25">
      <c r="A392" s="47"/>
      <c r="B392" s="107"/>
      <c r="C392" s="48"/>
      <c r="D392" s="48"/>
    </row>
    <row r="393" spans="1:4" x14ac:dyDescent="0.25">
      <c r="A393" s="47"/>
      <c r="B393" s="107"/>
      <c r="C393" s="48"/>
      <c r="D393" s="48"/>
    </row>
    <row r="394" spans="1:4" x14ac:dyDescent="0.25">
      <c r="A394" s="47"/>
      <c r="B394" s="107"/>
      <c r="C394" s="48"/>
      <c r="D394" s="48"/>
    </row>
    <row r="395" spans="1:4" x14ac:dyDescent="0.25">
      <c r="A395" s="47"/>
      <c r="B395" s="107"/>
      <c r="C395" s="48"/>
      <c r="D395" s="48"/>
    </row>
    <row r="396" spans="1:4" x14ac:dyDescent="0.25">
      <c r="A396" s="47"/>
      <c r="B396" s="107"/>
      <c r="C396" s="48"/>
      <c r="D396" s="48"/>
    </row>
    <row r="397" spans="1:4" x14ac:dyDescent="0.25">
      <c r="A397" s="47"/>
      <c r="B397" s="107"/>
      <c r="C397" s="48"/>
      <c r="D397" s="48"/>
    </row>
    <row r="398" spans="1:4" x14ac:dyDescent="0.25">
      <c r="A398" s="47"/>
      <c r="B398" s="107"/>
      <c r="C398" s="48"/>
      <c r="D398" s="48"/>
    </row>
    <row r="399" spans="1:4" x14ac:dyDescent="0.25">
      <c r="A399" s="47"/>
      <c r="B399" s="107"/>
      <c r="C399" s="48"/>
      <c r="D399" s="48"/>
    </row>
    <row r="400" spans="1:4" x14ac:dyDescent="0.25">
      <c r="A400" s="47"/>
      <c r="B400" s="107"/>
      <c r="C400" s="48"/>
      <c r="D400" s="48"/>
    </row>
    <row r="401" spans="1:4" x14ac:dyDescent="0.25">
      <c r="A401" s="47"/>
      <c r="B401" s="107"/>
      <c r="C401" s="48"/>
      <c r="D401" s="48"/>
    </row>
    <row r="402" spans="1:4" x14ac:dyDescent="0.25">
      <c r="A402" s="47"/>
      <c r="B402" s="107"/>
      <c r="C402" s="48"/>
      <c r="D402" s="48"/>
    </row>
    <row r="403" spans="1:4" x14ac:dyDescent="0.25">
      <c r="A403" s="47"/>
      <c r="B403" s="107"/>
      <c r="C403" s="48"/>
      <c r="D403" s="48"/>
    </row>
    <row r="404" spans="1:4" x14ac:dyDescent="0.25">
      <c r="A404" s="47"/>
      <c r="B404" s="107"/>
      <c r="C404" s="48"/>
      <c r="D404" s="48"/>
    </row>
    <row r="405" spans="1:4" x14ac:dyDescent="0.25">
      <c r="A405" s="47"/>
      <c r="B405" s="107"/>
      <c r="C405" s="48"/>
      <c r="D405" s="48"/>
    </row>
    <row r="406" spans="1:4" x14ac:dyDescent="0.25">
      <c r="A406" s="47"/>
      <c r="B406" s="107"/>
      <c r="C406" s="48"/>
      <c r="D406" s="48"/>
    </row>
    <row r="407" spans="1:4" x14ac:dyDescent="0.25">
      <c r="A407" s="47"/>
      <c r="B407" s="107"/>
      <c r="C407" s="48"/>
      <c r="D407" s="48"/>
    </row>
    <row r="408" spans="1:4" x14ac:dyDescent="0.25">
      <c r="A408" s="47"/>
      <c r="B408" s="107"/>
      <c r="C408" s="48"/>
      <c r="D408" s="48"/>
    </row>
    <row r="409" spans="1:4" x14ac:dyDescent="0.25">
      <c r="A409" s="47"/>
      <c r="B409" s="107"/>
      <c r="C409" s="48"/>
      <c r="D409" s="48"/>
    </row>
    <row r="410" spans="1:4" x14ac:dyDescent="0.25">
      <c r="A410" s="47"/>
      <c r="B410" s="107"/>
      <c r="C410" s="48"/>
      <c r="D410" s="48"/>
    </row>
    <row r="411" spans="1:4" x14ac:dyDescent="0.25">
      <c r="A411" s="47"/>
      <c r="B411" s="107"/>
      <c r="C411" s="48"/>
      <c r="D411" s="48"/>
    </row>
    <row r="412" spans="1:4" x14ac:dyDescent="0.25">
      <c r="A412" s="47"/>
      <c r="B412" s="107"/>
      <c r="C412" s="48"/>
      <c r="D412" s="48"/>
    </row>
    <row r="413" spans="1:4" x14ac:dyDescent="0.25">
      <c r="A413" s="47"/>
      <c r="B413" s="107"/>
      <c r="C413" s="48"/>
      <c r="D413" s="48"/>
    </row>
    <row r="414" spans="1:4" x14ac:dyDescent="0.25">
      <c r="A414" s="47"/>
      <c r="B414" s="107"/>
      <c r="C414" s="48"/>
      <c r="D414" s="48"/>
    </row>
    <row r="415" spans="1:4" x14ac:dyDescent="0.25">
      <c r="A415" s="47"/>
      <c r="B415" s="107"/>
      <c r="C415" s="48"/>
      <c r="D415" s="48"/>
    </row>
    <row r="416" spans="1:4" x14ac:dyDescent="0.25">
      <c r="A416" s="47"/>
      <c r="B416" s="107"/>
      <c r="C416" s="48"/>
      <c r="D416" s="48"/>
    </row>
    <row r="417" spans="1:4" x14ac:dyDescent="0.25">
      <c r="A417" s="47"/>
      <c r="B417" s="107"/>
      <c r="C417" s="48"/>
      <c r="D417" s="48"/>
    </row>
    <row r="418" spans="1:4" x14ac:dyDescent="0.25">
      <c r="A418" s="47"/>
      <c r="B418" s="107"/>
      <c r="C418" s="48"/>
      <c r="D418" s="48"/>
    </row>
    <row r="419" spans="1:4" x14ac:dyDescent="0.25">
      <c r="A419" s="47"/>
      <c r="B419" s="107"/>
      <c r="C419" s="48"/>
      <c r="D419" s="48"/>
    </row>
    <row r="420" spans="1:4" x14ac:dyDescent="0.25">
      <c r="A420" s="47"/>
      <c r="B420" s="107"/>
      <c r="C420" s="48"/>
      <c r="D420" s="48"/>
    </row>
    <row r="421" spans="1:4" x14ac:dyDescent="0.25">
      <c r="A421" s="47"/>
      <c r="B421" s="107"/>
      <c r="C421" s="48"/>
      <c r="D421" s="48"/>
    </row>
    <row r="422" spans="1:4" x14ac:dyDescent="0.25">
      <c r="A422" s="47"/>
      <c r="B422" s="107"/>
      <c r="C422" s="48"/>
      <c r="D422" s="48"/>
    </row>
    <row r="423" spans="1:4" x14ac:dyDescent="0.25">
      <c r="A423" s="47"/>
      <c r="B423" s="107"/>
      <c r="C423" s="48"/>
      <c r="D423" s="48"/>
    </row>
    <row r="424" spans="1:4" x14ac:dyDescent="0.25">
      <c r="A424" s="47"/>
      <c r="B424" s="107"/>
      <c r="C424" s="48"/>
      <c r="D424" s="48"/>
    </row>
    <row r="425" spans="1:4" x14ac:dyDescent="0.25">
      <c r="A425" s="47"/>
      <c r="B425" s="107"/>
      <c r="C425" s="48"/>
      <c r="D425" s="48"/>
    </row>
    <row r="426" spans="1:4" x14ac:dyDescent="0.25">
      <c r="A426" s="47"/>
      <c r="B426" s="107"/>
      <c r="C426" s="48"/>
      <c r="D426" s="48"/>
    </row>
    <row r="427" spans="1:4" x14ac:dyDescent="0.25">
      <c r="A427" s="47"/>
      <c r="B427" s="107"/>
      <c r="C427" s="48"/>
      <c r="D427" s="48"/>
    </row>
    <row r="428" spans="1:4" x14ac:dyDescent="0.25">
      <c r="A428" s="47"/>
      <c r="B428" s="107"/>
      <c r="C428" s="48"/>
      <c r="D428" s="48"/>
    </row>
    <row r="429" spans="1:4" x14ac:dyDescent="0.25">
      <c r="A429" s="47"/>
      <c r="B429" s="107"/>
      <c r="C429" s="48"/>
      <c r="D429" s="48"/>
    </row>
    <row r="430" spans="1:4" x14ac:dyDescent="0.25">
      <c r="A430" s="47"/>
      <c r="B430" s="107"/>
      <c r="C430" s="48"/>
      <c r="D430" s="48"/>
    </row>
    <row r="431" spans="1:4" x14ac:dyDescent="0.25">
      <c r="A431" s="47"/>
      <c r="B431" s="107"/>
      <c r="C431" s="48"/>
      <c r="D431" s="48"/>
    </row>
    <row r="432" spans="1:4" x14ac:dyDescent="0.25">
      <c r="A432" s="47"/>
      <c r="B432" s="107"/>
      <c r="C432" s="48"/>
      <c r="D432" s="48"/>
    </row>
    <row r="433" spans="1:4" x14ac:dyDescent="0.25">
      <c r="A433" s="47"/>
      <c r="B433" s="107"/>
      <c r="C433" s="48"/>
      <c r="D433" s="48"/>
    </row>
    <row r="434" spans="1:4" x14ac:dyDescent="0.25">
      <c r="A434" s="47"/>
      <c r="B434" s="107"/>
      <c r="C434" s="48"/>
      <c r="D434" s="48"/>
    </row>
    <row r="435" spans="1:4" x14ac:dyDescent="0.25">
      <c r="A435" s="47"/>
      <c r="B435" s="107"/>
      <c r="C435" s="48"/>
      <c r="D435" s="48"/>
    </row>
    <row r="436" spans="1:4" x14ac:dyDescent="0.25">
      <c r="A436" s="47"/>
      <c r="B436" s="107"/>
      <c r="C436" s="48"/>
      <c r="D436" s="48"/>
    </row>
    <row r="437" spans="1:4" x14ac:dyDescent="0.25">
      <c r="A437" s="47"/>
      <c r="B437" s="107"/>
      <c r="C437" s="48"/>
      <c r="D437" s="48"/>
    </row>
    <row r="438" spans="1:4" x14ac:dyDescent="0.25">
      <c r="A438" s="47"/>
      <c r="B438" s="107"/>
      <c r="C438" s="48"/>
      <c r="D438" s="48"/>
    </row>
    <row r="439" spans="1:4" x14ac:dyDescent="0.25">
      <c r="A439" s="47"/>
      <c r="B439" s="107"/>
      <c r="C439" s="48"/>
      <c r="D439" s="48"/>
    </row>
    <row r="440" spans="1:4" x14ac:dyDescent="0.25">
      <c r="A440" s="47"/>
      <c r="B440" s="107"/>
      <c r="C440" s="48"/>
      <c r="D440" s="48"/>
    </row>
    <row r="441" spans="1:4" x14ac:dyDescent="0.25">
      <c r="A441" s="47"/>
      <c r="B441" s="107"/>
      <c r="C441" s="48"/>
      <c r="D441" s="48"/>
    </row>
    <row r="442" spans="1:4" x14ac:dyDescent="0.25">
      <c r="A442" s="47"/>
      <c r="B442" s="107"/>
      <c r="C442" s="48"/>
      <c r="D442" s="48"/>
    </row>
    <row r="443" spans="1:4" x14ac:dyDescent="0.25">
      <c r="A443" s="47"/>
      <c r="B443" s="107"/>
      <c r="C443" s="48"/>
      <c r="D443" s="48"/>
    </row>
    <row r="444" spans="1:4" x14ac:dyDescent="0.25">
      <c r="A444" s="47"/>
      <c r="B444" s="107"/>
      <c r="C444" s="48"/>
      <c r="D444" s="48"/>
    </row>
    <row r="445" spans="1:4" x14ac:dyDescent="0.25">
      <c r="A445" s="47"/>
      <c r="B445" s="107"/>
      <c r="C445" s="48"/>
      <c r="D445" s="48"/>
    </row>
    <row r="446" spans="1:4" x14ac:dyDescent="0.25">
      <c r="A446" s="47"/>
      <c r="B446" s="107"/>
      <c r="C446" s="48"/>
      <c r="D446" s="48"/>
    </row>
    <row r="447" spans="1:4" x14ac:dyDescent="0.25">
      <c r="A447" s="47"/>
      <c r="B447" s="107"/>
      <c r="C447" s="48"/>
      <c r="D447" s="48"/>
    </row>
    <row r="448" spans="1:4" x14ac:dyDescent="0.25">
      <c r="A448" s="47"/>
      <c r="B448" s="107"/>
      <c r="C448" s="48"/>
      <c r="D448" s="48"/>
    </row>
    <row r="449" spans="1:4" x14ac:dyDescent="0.25">
      <c r="A449" s="47"/>
      <c r="B449" s="107"/>
      <c r="C449" s="48"/>
      <c r="D449" s="48"/>
    </row>
    <row r="450" spans="1:4" x14ac:dyDescent="0.25">
      <c r="A450" s="47"/>
      <c r="B450" s="107"/>
      <c r="C450" s="48"/>
      <c r="D450" s="48"/>
    </row>
    <row r="451" spans="1:4" x14ac:dyDescent="0.25">
      <c r="A451" s="47"/>
      <c r="B451" s="107"/>
      <c r="C451" s="48"/>
      <c r="D451" s="48"/>
    </row>
    <row r="452" spans="1:4" x14ac:dyDescent="0.25">
      <c r="A452" s="47"/>
      <c r="B452" s="107"/>
      <c r="C452" s="48"/>
      <c r="D452" s="48"/>
    </row>
    <row r="453" spans="1:4" x14ac:dyDescent="0.25">
      <c r="A453" s="47"/>
      <c r="B453" s="107"/>
      <c r="C453" s="48"/>
      <c r="D453" s="48"/>
    </row>
    <row r="454" spans="1:4" x14ac:dyDescent="0.25">
      <c r="A454" s="47"/>
      <c r="B454" s="107"/>
      <c r="C454" s="48"/>
      <c r="D454" s="48"/>
    </row>
    <row r="455" spans="1:4" x14ac:dyDescent="0.25">
      <c r="A455" s="47"/>
      <c r="B455" s="107"/>
      <c r="C455" s="48"/>
      <c r="D455" s="48"/>
    </row>
    <row r="456" spans="1:4" x14ac:dyDescent="0.25">
      <c r="A456" s="47"/>
      <c r="B456" s="107"/>
      <c r="C456" s="48"/>
      <c r="D456" s="48"/>
    </row>
    <row r="457" spans="1:4" x14ac:dyDescent="0.25">
      <c r="A457" s="47"/>
      <c r="B457" s="107"/>
      <c r="C457" s="48"/>
      <c r="D457" s="48"/>
    </row>
    <row r="458" spans="1:4" x14ac:dyDescent="0.25">
      <c r="A458" s="47"/>
      <c r="B458" s="107"/>
      <c r="C458" s="48"/>
      <c r="D458" s="48"/>
    </row>
    <row r="459" spans="1:4" x14ac:dyDescent="0.25">
      <c r="A459" s="47"/>
      <c r="B459" s="107"/>
      <c r="C459" s="48"/>
      <c r="D459" s="48"/>
    </row>
    <row r="460" spans="1:4" x14ac:dyDescent="0.25">
      <c r="A460" s="47"/>
      <c r="B460" s="107"/>
      <c r="C460" s="48"/>
      <c r="D460" s="48"/>
    </row>
    <row r="461" spans="1:4" x14ac:dyDescent="0.25">
      <c r="A461" s="47"/>
      <c r="B461" s="107"/>
      <c r="C461" s="48"/>
      <c r="D461" s="48"/>
    </row>
    <row r="462" spans="1:4" x14ac:dyDescent="0.25">
      <c r="A462" s="47"/>
      <c r="B462" s="107"/>
      <c r="C462" s="48"/>
      <c r="D462" s="48"/>
    </row>
    <row r="463" spans="1:4" x14ac:dyDescent="0.25">
      <c r="A463" s="47"/>
      <c r="B463" s="107"/>
      <c r="C463" s="48"/>
      <c r="D463" s="48"/>
    </row>
    <row r="464" spans="1:4" x14ac:dyDescent="0.25">
      <c r="A464" s="47"/>
      <c r="B464" s="107"/>
      <c r="C464" s="48"/>
      <c r="D464" s="48"/>
    </row>
    <row r="465" spans="1:4" x14ac:dyDescent="0.25">
      <c r="A465" s="47"/>
      <c r="B465" s="107"/>
      <c r="C465" s="48"/>
      <c r="D465" s="48"/>
    </row>
    <row r="466" spans="1:4" x14ac:dyDescent="0.25">
      <c r="A466" s="47"/>
      <c r="B466" s="107"/>
      <c r="C466" s="48"/>
      <c r="D466" s="48"/>
    </row>
    <row r="467" spans="1:4" x14ac:dyDescent="0.25">
      <c r="A467" s="47"/>
      <c r="B467" s="107"/>
      <c r="C467" s="48"/>
      <c r="D467" s="48"/>
    </row>
    <row r="468" spans="1:4" x14ac:dyDescent="0.25">
      <c r="A468" s="47"/>
      <c r="B468" s="107"/>
      <c r="C468" s="48"/>
      <c r="D468" s="48"/>
    </row>
    <row r="469" spans="1:4" x14ac:dyDescent="0.25">
      <c r="A469" s="47"/>
      <c r="B469" s="107"/>
      <c r="C469" s="48"/>
      <c r="D469" s="48"/>
    </row>
    <row r="470" spans="1:4" x14ac:dyDescent="0.25">
      <c r="A470" s="47"/>
      <c r="B470" s="107"/>
      <c r="C470" s="48"/>
      <c r="D470" s="48"/>
    </row>
    <row r="471" spans="1:4" x14ac:dyDescent="0.25">
      <c r="A471" s="47"/>
      <c r="B471" s="107"/>
      <c r="C471" s="48"/>
      <c r="D471" s="48"/>
    </row>
    <row r="472" spans="1:4" x14ac:dyDescent="0.25">
      <c r="A472" s="47"/>
      <c r="B472" s="107"/>
      <c r="C472" s="48"/>
      <c r="D472" s="48"/>
    </row>
    <row r="473" spans="1:4" x14ac:dyDescent="0.25">
      <c r="A473" s="47"/>
      <c r="B473" s="107"/>
      <c r="C473" s="48"/>
      <c r="D473" s="48"/>
    </row>
    <row r="474" spans="1:4" x14ac:dyDescent="0.25">
      <c r="A474" s="47"/>
      <c r="B474" s="107"/>
      <c r="C474" s="48"/>
      <c r="D474" s="48"/>
    </row>
    <row r="475" spans="1:4" x14ac:dyDescent="0.25">
      <c r="A475" s="47"/>
      <c r="B475" s="107"/>
      <c r="C475" s="48"/>
      <c r="D475" s="48"/>
    </row>
    <row r="476" spans="1:4" x14ac:dyDescent="0.25">
      <c r="A476" s="47"/>
      <c r="B476" s="107"/>
      <c r="C476" s="48"/>
      <c r="D476" s="48"/>
    </row>
    <row r="477" spans="1:4" x14ac:dyDescent="0.25">
      <c r="A477" s="47"/>
      <c r="B477" s="107"/>
      <c r="C477" s="48"/>
      <c r="D477" s="48"/>
    </row>
    <row r="478" spans="1:4" x14ac:dyDescent="0.25">
      <c r="A478" s="47"/>
      <c r="B478" s="107"/>
      <c r="C478" s="48"/>
      <c r="D478" s="48"/>
    </row>
    <row r="479" spans="1:4" x14ac:dyDescent="0.25">
      <c r="A479" s="47"/>
      <c r="B479" s="107"/>
      <c r="C479" s="48"/>
      <c r="D479" s="48"/>
    </row>
    <row r="480" spans="1:4" x14ac:dyDescent="0.25">
      <c r="A480" s="47"/>
      <c r="B480" s="107"/>
      <c r="C480" s="48"/>
      <c r="D480" s="48"/>
    </row>
    <row r="481" spans="1:4" x14ac:dyDescent="0.25">
      <c r="A481" s="47"/>
      <c r="B481" s="107"/>
      <c r="C481" s="48"/>
      <c r="D481" s="48"/>
    </row>
    <row r="482" spans="1:4" x14ac:dyDescent="0.25">
      <c r="A482" s="47"/>
      <c r="B482" s="107"/>
      <c r="C482" s="48"/>
      <c r="D482" s="48"/>
    </row>
    <row r="483" spans="1:4" x14ac:dyDescent="0.25">
      <c r="A483" s="47"/>
      <c r="B483" s="107"/>
      <c r="C483" s="48"/>
      <c r="D483" s="48"/>
    </row>
    <row r="484" spans="1:4" x14ac:dyDescent="0.25">
      <c r="A484" s="47"/>
      <c r="B484" s="107"/>
      <c r="C484" s="48"/>
      <c r="D484" s="48"/>
    </row>
    <row r="485" spans="1:4" x14ac:dyDescent="0.25">
      <c r="A485" s="47"/>
      <c r="B485" s="107"/>
      <c r="C485" s="48"/>
      <c r="D485" s="48"/>
    </row>
    <row r="486" spans="1:4" x14ac:dyDescent="0.25">
      <c r="A486" s="47"/>
      <c r="B486" s="107"/>
      <c r="C486" s="48"/>
      <c r="D486" s="48"/>
    </row>
    <row r="487" spans="1:4" x14ac:dyDescent="0.25">
      <c r="A487" s="47"/>
      <c r="B487" s="107"/>
      <c r="C487" s="48"/>
      <c r="D487" s="48"/>
    </row>
    <row r="488" spans="1:4" x14ac:dyDescent="0.25">
      <c r="A488" s="47"/>
      <c r="B488" s="107"/>
      <c r="C488" s="48"/>
      <c r="D488" s="48"/>
    </row>
    <row r="489" spans="1:4" x14ac:dyDescent="0.25">
      <c r="A489" s="47"/>
      <c r="B489" s="107"/>
      <c r="C489" s="48"/>
      <c r="D489" s="48"/>
    </row>
    <row r="490" spans="1:4" x14ac:dyDescent="0.25">
      <c r="A490" s="47"/>
      <c r="B490" s="107"/>
      <c r="C490" s="48"/>
      <c r="D490" s="48"/>
    </row>
    <row r="491" spans="1:4" x14ac:dyDescent="0.25">
      <c r="A491" s="47"/>
      <c r="B491" s="107"/>
      <c r="C491" s="48"/>
      <c r="D491" s="48"/>
    </row>
    <row r="492" spans="1:4" x14ac:dyDescent="0.25">
      <c r="A492" s="47"/>
      <c r="B492" s="107"/>
      <c r="C492" s="48"/>
      <c r="D492" s="48"/>
    </row>
    <row r="493" spans="1:4" x14ac:dyDescent="0.25">
      <c r="A493" s="47"/>
      <c r="B493" s="107"/>
      <c r="C493" s="48"/>
      <c r="D493" s="48"/>
    </row>
    <row r="494" spans="1:4" x14ac:dyDescent="0.25">
      <c r="A494" s="47"/>
      <c r="B494" s="107"/>
      <c r="C494" s="48"/>
      <c r="D494" s="48"/>
    </row>
    <row r="495" spans="1:4" x14ac:dyDescent="0.25">
      <c r="A495" s="47"/>
      <c r="B495" s="107"/>
      <c r="C495" s="48"/>
      <c r="D495" s="48"/>
    </row>
    <row r="496" spans="1:4" x14ac:dyDescent="0.25">
      <c r="A496" s="47"/>
      <c r="B496" s="107"/>
      <c r="C496" s="48"/>
      <c r="D496" s="48"/>
    </row>
    <row r="497" spans="1:4" x14ac:dyDescent="0.25">
      <c r="A497" s="47"/>
      <c r="B497" s="107"/>
      <c r="C497" s="48"/>
      <c r="D497" s="48"/>
    </row>
    <row r="498" spans="1:4" x14ac:dyDescent="0.25">
      <c r="A498" s="47"/>
      <c r="B498" s="107"/>
      <c r="C498" s="48"/>
      <c r="D498" s="48"/>
    </row>
    <row r="499" spans="1:4" x14ac:dyDescent="0.25">
      <c r="A499" s="47"/>
      <c r="B499" s="107"/>
      <c r="C499" s="48"/>
      <c r="D499" s="48"/>
    </row>
    <row r="500" spans="1:4" x14ac:dyDescent="0.25">
      <c r="A500" s="47"/>
      <c r="B500" s="107"/>
      <c r="C500" s="48"/>
      <c r="D500" s="48"/>
    </row>
    <row r="501" spans="1:4" x14ac:dyDescent="0.25">
      <c r="A501" s="47"/>
      <c r="B501" s="107"/>
      <c r="C501" s="48"/>
      <c r="D501" s="48"/>
    </row>
    <row r="502" spans="1:4" x14ac:dyDescent="0.25">
      <c r="A502" s="47"/>
      <c r="B502" s="107"/>
      <c r="C502" s="48"/>
      <c r="D502" s="48"/>
    </row>
    <row r="503" spans="1:4" x14ac:dyDescent="0.25">
      <c r="A503" s="47"/>
      <c r="B503" s="107"/>
      <c r="C503" s="48"/>
      <c r="D503" s="48"/>
    </row>
    <row r="504" spans="1:4" x14ac:dyDescent="0.25">
      <c r="A504" s="47"/>
      <c r="B504" s="107"/>
      <c r="C504" s="48"/>
      <c r="D504" s="48"/>
    </row>
    <row r="505" spans="1:4" x14ac:dyDescent="0.25">
      <c r="A505" s="47"/>
      <c r="B505" s="107"/>
      <c r="C505" s="48"/>
      <c r="D505" s="48"/>
    </row>
    <row r="506" spans="1:4" x14ac:dyDescent="0.25">
      <c r="A506" s="47"/>
      <c r="B506" s="107"/>
      <c r="C506" s="48"/>
      <c r="D506" s="48"/>
    </row>
    <row r="507" spans="1:4" x14ac:dyDescent="0.25">
      <c r="A507" s="47"/>
      <c r="B507" s="107"/>
      <c r="C507" s="48"/>
      <c r="D507" s="48"/>
    </row>
    <row r="508" spans="1:4" x14ac:dyDescent="0.25">
      <c r="A508" s="47"/>
      <c r="B508" s="107"/>
      <c r="C508" s="48"/>
      <c r="D508" s="48"/>
    </row>
    <row r="509" spans="1:4" x14ac:dyDescent="0.25">
      <c r="A509" s="47"/>
      <c r="B509" s="107"/>
      <c r="C509" s="48"/>
      <c r="D509" s="48"/>
    </row>
    <row r="510" spans="1:4" x14ac:dyDescent="0.25">
      <c r="A510" s="47"/>
      <c r="B510" s="107"/>
      <c r="C510" s="48"/>
      <c r="D510" s="48"/>
    </row>
    <row r="511" spans="1:4" x14ac:dyDescent="0.25">
      <c r="A511" s="47"/>
      <c r="B511" s="107"/>
      <c r="C511" s="48"/>
      <c r="D511" s="48"/>
    </row>
    <row r="512" spans="1:4" x14ac:dyDescent="0.25">
      <c r="A512" s="47"/>
      <c r="B512" s="107"/>
      <c r="C512" s="48"/>
      <c r="D512" s="48"/>
    </row>
    <row r="513" spans="1:4" x14ac:dyDescent="0.25">
      <c r="A513" s="47"/>
      <c r="B513" s="107"/>
      <c r="C513" s="48"/>
      <c r="D513" s="48"/>
    </row>
    <row r="514" spans="1:4" x14ac:dyDescent="0.25">
      <c r="A514" s="47"/>
      <c r="B514" s="107"/>
      <c r="C514" s="48"/>
      <c r="D514" s="48"/>
    </row>
    <row r="515" spans="1:4" x14ac:dyDescent="0.25">
      <c r="A515" s="47"/>
      <c r="B515" s="107"/>
      <c r="C515" s="48"/>
      <c r="D515" s="48"/>
    </row>
    <row r="516" spans="1:4" x14ac:dyDescent="0.25">
      <c r="A516" s="47"/>
      <c r="B516" s="107"/>
      <c r="C516" s="48"/>
      <c r="D516" s="48"/>
    </row>
    <row r="517" spans="1:4" x14ac:dyDescent="0.25">
      <c r="A517" s="47"/>
      <c r="B517" s="107"/>
      <c r="C517" s="48"/>
      <c r="D517" s="48"/>
    </row>
    <row r="518" spans="1:4" x14ac:dyDescent="0.25">
      <c r="A518" s="47"/>
      <c r="B518" s="107"/>
      <c r="C518" s="48"/>
      <c r="D518" s="48"/>
    </row>
    <row r="519" spans="1:4" x14ac:dyDescent="0.25">
      <c r="A519" s="47"/>
      <c r="B519" s="107"/>
      <c r="C519" s="48"/>
      <c r="D519" s="48"/>
    </row>
    <row r="520" spans="1:4" x14ac:dyDescent="0.25">
      <c r="A520" s="47"/>
      <c r="B520" s="107"/>
      <c r="C520" s="48"/>
      <c r="D520" s="48"/>
    </row>
    <row r="521" spans="1:4" x14ac:dyDescent="0.25">
      <c r="A521" s="47"/>
      <c r="B521" s="107"/>
      <c r="C521" s="48"/>
      <c r="D521" s="48"/>
    </row>
    <row r="522" spans="1:4" x14ac:dyDescent="0.25">
      <c r="A522" s="47"/>
      <c r="B522" s="107"/>
      <c r="C522" s="48"/>
      <c r="D522" s="48"/>
    </row>
    <row r="523" spans="1:4" x14ac:dyDescent="0.25">
      <c r="A523" s="47"/>
      <c r="B523" s="107"/>
      <c r="C523" s="48"/>
      <c r="D523" s="48"/>
    </row>
    <row r="524" spans="1:4" x14ac:dyDescent="0.25">
      <c r="A524" s="47"/>
      <c r="B524" s="107"/>
      <c r="C524" s="48"/>
      <c r="D524" s="48"/>
    </row>
    <row r="525" spans="1:4" x14ac:dyDescent="0.25">
      <c r="A525" s="47"/>
      <c r="B525" s="107"/>
      <c r="C525" s="48"/>
      <c r="D525" s="48"/>
    </row>
    <row r="526" spans="1:4" x14ac:dyDescent="0.25">
      <c r="A526" s="47"/>
      <c r="B526" s="107"/>
      <c r="C526" s="48"/>
      <c r="D526" s="48"/>
    </row>
    <row r="527" spans="1:4" x14ac:dyDescent="0.25">
      <c r="A527" s="47"/>
      <c r="B527" s="107"/>
      <c r="C527" s="48"/>
      <c r="D527" s="48"/>
    </row>
    <row r="528" spans="1:4" x14ac:dyDescent="0.25">
      <c r="A528" s="47"/>
      <c r="B528" s="107"/>
      <c r="C528" s="48"/>
      <c r="D528" s="48"/>
    </row>
    <row r="529" spans="1:4" x14ac:dyDescent="0.25">
      <c r="A529" s="47"/>
      <c r="B529" s="107"/>
      <c r="C529" s="48"/>
      <c r="D529" s="48"/>
    </row>
    <row r="530" spans="1:4" x14ac:dyDescent="0.25">
      <c r="A530" s="47"/>
      <c r="B530" s="107"/>
      <c r="C530" s="48"/>
      <c r="D530" s="48"/>
    </row>
    <row r="531" spans="1:4" x14ac:dyDescent="0.25">
      <c r="A531" s="47"/>
      <c r="B531" s="107"/>
      <c r="C531" s="48"/>
      <c r="D531" s="48"/>
    </row>
    <row r="532" spans="1:4" x14ac:dyDescent="0.25">
      <c r="A532" s="47"/>
      <c r="B532" s="107"/>
      <c r="C532" s="48"/>
      <c r="D532" s="48"/>
    </row>
    <row r="533" spans="1:4" x14ac:dyDescent="0.25">
      <c r="A533" s="47"/>
      <c r="B533" s="107"/>
      <c r="C533" s="48"/>
      <c r="D533" s="48"/>
    </row>
    <row r="534" spans="1:4" x14ac:dyDescent="0.25">
      <c r="A534" s="47"/>
      <c r="B534" s="107"/>
      <c r="C534" s="48"/>
      <c r="D534" s="48"/>
    </row>
    <row r="535" spans="1:4" x14ac:dyDescent="0.25">
      <c r="A535" s="47"/>
      <c r="B535" s="107"/>
      <c r="C535" s="48"/>
      <c r="D535" s="48"/>
    </row>
    <row r="536" spans="1:4" x14ac:dyDescent="0.25">
      <c r="A536" s="47"/>
      <c r="B536" s="107"/>
      <c r="C536" s="48"/>
      <c r="D536" s="48"/>
    </row>
    <row r="537" spans="1:4" x14ac:dyDescent="0.25">
      <c r="A537" s="47"/>
      <c r="B537" s="107"/>
      <c r="C537" s="48"/>
      <c r="D537" s="48"/>
    </row>
    <row r="538" spans="1:4" x14ac:dyDescent="0.25">
      <c r="A538" s="47"/>
      <c r="B538" s="107"/>
      <c r="C538" s="48"/>
      <c r="D538" s="48"/>
    </row>
    <row r="539" spans="1:4" x14ac:dyDescent="0.25">
      <c r="A539" s="47"/>
      <c r="B539" s="107"/>
      <c r="C539" s="48"/>
      <c r="D539" s="48"/>
    </row>
    <row r="540" spans="1:4" x14ac:dyDescent="0.25">
      <c r="A540" s="47"/>
      <c r="B540" s="107"/>
      <c r="C540" s="48"/>
      <c r="D540" s="48"/>
    </row>
    <row r="541" spans="1:4" x14ac:dyDescent="0.25">
      <c r="A541" s="47"/>
      <c r="B541" s="107"/>
      <c r="C541" s="48"/>
      <c r="D541" s="48"/>
    </row>
    <row r="542" spans="1:4" x14ac:dyDescent="0.25">
      <c r="A542" s="47"/>
      <c r="B542" s="107"/>
      <c r="C542" s="48"/>
      <c r="D542" s="48"/>
    </row>
    <row r="543" spans="1:4" x14ac:dyDescent="0.25">
      <c r="A543" s="47"/>
      <c r="B543" s="107"/>
      <c r="C543" s="48"/>
      <c r="D543" s="48"/>
    </row>
    <row r="544" spans="1:4" x14ac:dyDescent="0.25">
      <c r="A544" s="47"/>
      <c r="B544" s="107"/>
      <c r="C544" s="48"/>
      <c r="D544" s="48"/>
    </row>
    <row r="545" spans="1:4" x14ac:dyDescent="0.25">
      <c r="A545" s="47"/>
      <c r="B545" s="107"/>
      <c r="C545" s="48"/>
      <c r="D545" s="48"/>
    </row>
    <row r="546" spans="1:4" x14ac:dyDescent="0.25">
      <c r="A546" s="47"/>
      <c r="B546" s="107"/>
      <c r="C546" s="48"/>
      <c r="D546" s="48"/>
    </row>
    <row r="547" spans="1:4" x14ac:dyDescent="0.25">
      <c r="A547" s="47"/>
      <c r="B547" s="107"/>
      <c r="C547" s="48"/>
      <c r="D547" s="48"/>
    </row>
    <row r="548" spans="1:4" x14ac:dyDescent="0.25">
      <c r="A548" s="47"/>
      <c r="B548" s="107"/>
      <c r="C548" s="48"/>
      <c r="D548" s="48"/>
    </row>
    <row r="549" spans="1:4" x14ac:dyDescent="0.25">
      <c r="A549" s="47"/>
      <c r="B549" s="107"/>
      <c r="C549" s="48"/>
      <c r="D549" s="48"/>
    </row>
    <row r="550" spans="1:4" x14ac:dyDescent="0.25">
      <c r="A550" s="47"/>
      <c r="B550" s="107"/>
      <c r="C550" s="48"/>
      <c r="D550" s="48"/>
    </row>
    <row r="551" spans="1:4" x14ac:dyDescent="0.25">
      <c r="A551" s="47"/>
      <c r="B551" s="107"/>
      <c r="C551" s="48"/>
      <c r="D551" s="48"/>
    </row>
    <row r="552" spans="1:4" x14ac:dyDescent="0.25">
      <c r="A552" s="47"/>
      <c r="B552" s="107"/>
      <c r="C552" s="48"/>
      <c r="D552" s="48"/>
    </row>
    <row r="553" spans="1:4" x14ac:dyDescent="0.25">
      <c r="A553" s="47"/>
      <c r="B553" s="107"/>
      <c r="C553" s="48"/>
      <c r="D553" s="48"/>
    </row>
    <row r="554" spans="1:4" x14ac:dyDescent="0.25">
      <c r="A554" s="47"/>
      <c r="B554" s="107"/>
      <c r="C554" s="48"/>
      <c r="D554" s="48"/>
    </row>
    <row r="555" spans="1:4" x14ac:dyDescent="0.25">
      <c r="A555" s="47"/>
      <c r="B555" s="107"/>
      <c r="C555" s="48"/>
      <c r="D555" s="48"/>
    </row>
    <row r="556" spans="1:4" x14ac:dyDescent="0.25">
      <c r="A556" s="47"/>
      <c r="B556" s="107"/>
      <c r="C556" s="48"/>
      <c r="D556" s="48"/>
    </row>
    <row r="557" spans="1:4" x14ac:dyDescent="0.25">
      <c r="A557" s="47"/>
      <c r="B557" s="107"/>
      <c r="C557" s="48"/>
      <c r="D557" s="48"/>
    </row>
    <row r="558" spans="1:4" x14ac:dyDescent="0.25">
      <c r="A558" s="47"/>
      <c r="B558" s="107"/>
      <c r="C558" s="48"/>
      <c r="D558" s="48"/>
    </row>
    <row r="559" spans="1:4" x14ac:dyDescent="0.25">
      <c r="A559" s="47"/>
      <c r="B559" s="107"/>
      <c r="C559" s="48"/>
      <c r="D559" s="48"/>
    </row>
    <row r="560" spans="1:4" x14ac:dyDescent="0.25">
      <c r="A560" s="47"/>
      <c r="B560" s="107"/>
      <c r="C560" s="48"/>
      <c r="D560" s="48"/>
    </row>
    <row r="561" spans="1:4" x14ac:dyDescent="0.25">
      <c r="A561" s="47"/>
      <c r="B561" s="107"/>
      <c r="C561" s="48"/>
      <c r="D561" s="48"/>
    </row>
    <row r="562" spans="1:4" x14ac:dyDescent="0.25">
      <c r="A562" s="47"/>
      <c r="B562" s="107"/>
      <c r="C562" s="48"/>
      <c r="D562" s="48"/>
    </row>
    <row r="563" spans="1:4" x14ac:dyDescent="0.25">
      <c r="A563" s="47"/>
      <c r="B563" s="107"/>
      <c r="C563" s="48"/>
      <c r="D563" s="48"/>
    </row>
    <row r="564" spans="1:4" x14ac:dyDescent="0.25">
      <c r="A564" s="47"/>
      <c r="B564" s="107"/>
      <c r="C564" s="48"/>
      <c r="D564" s="48"/>
    </row>
    <row r="565" spans="1:4" x14ac:dyDescent="0.25">
      <c r="A565" s="47"/>
      <c r="B565" s="107"/>
      <c r="C565" s="48"/>
      <c r="D565" s="48"/>
    </row>
    <row r="566" spans="1:4" x14ac:dyDescent="0.25">
      <c r="A566" s="47"/>
      <c r="B566" s="107"/>
      <c r="C566" s="48"/>
      <c r="D566" s="48"/>
    </row>
    <row r="567" spans="1:4" x14ac:dyDescent="0.25">
      <c r="A567" s="47"/>
      <c r="B567" s="107"/>
      <c r="C567" s="48"/>
      <c r="D567" s="48"/>
    </row>
    <row r="568" spans="1:4" x14ac:dyDescent="0.25">
      <c r="A568" s="47"/>
      <c r="B568" s="107"/>
      <c r="C568" s="48"/>
      <c r="D568" s="48"/>
    </row>
    <row r="569" spans="1:4" x14ac:dyDescent="0.25">
      <c r="A569" s="47"/>
      <c r="B569" s="107"/>
      <c r="C569" s="48"/>
      <c r="D569" s="48"/>
    </row>
    <row r="570" spans="1:4" x14ac:dyDescent="0.25">
      <c r="A570" s="47"/>
      <c r="B570" s="107"/>
      <c r="C570" s="48"/>
      <c r="D570" s="48"/>
    </row>
    <row r="571" spans="1:4" x14ac:dyDescent="0.25">
      <c r="A571" s="47"/>
      <c r="B571" s="107"/>
      <c r="C571" s="48"/>
      <c r="D571" s="48"/>
    </row>
    <row r="572" spans="1:4" x14ac:dyDescent="0.25">
      <c r="A572" s="47"/>
      <c r="B572" s="107"/>
      <c r="C572" s="48"/>
      <c r="D572" s="48"/>
    </row>
    <row r="573" spans="1:4" x14ac:dyDescent="0.25">
      <c r="A573" s="47"/>
      <c r="B573" s="107"/>
      <c r="C573" s="48"/>
      <c r="D573" s="48"/>
    </row>
    <row r="574" spans="1:4" x14ac:dyDescent="0.25">
      <c r="A574" s="47"/>
      <c r="B574" s="107"/>
      <c r="C574" s="48"/>
      <c r="D574" s="48"/>
    </row>
    <row r="575" spans="1:4" x14ac:dyDescent="0.25">
      <c r="A575" s="47"/>
      <c r="B575" s="107"/>
      <c r="C575" s="48"/>
      <c r="D575" s="48"/>
    </row>
    <row r="576" spans="1:4" x14ac:dyDescent="0.25">
      <c r="A576" s="47"/>
      <c r="B576" s="107"/>
      <c r="C576" s="48"/>
      <c r="D576" s="48"/>
    </row>
    <row r="577" spans="1:4" x14ac:dyDescent="0.25">
      <c r="A577" s="47"/>
      <c r="B577" s="107"/>
      <c r="C577" s="48"/>
      <c r="D577" s="48"/>
    </row>
    <row r="578" spans="1:4" x14ac:dyDescent="0.25">
      <c r="A578" s="47"/>
      <c r="B578" s="107"/>
      <c r="C578" s="48"/>
      <c r="D578" s="48"/>
    </row>
    <row r="579" spans="1:4" x14ac:dyDescent="0.25">
      <c r="A579" s="47"/>
      <c r="B579" s="107"/>
      <c r="C579" s="48"/>
      <c r="D579" s="48"/>
    </row>
    <row r="580" spans="1:4" x14ac:dyDescent="0.25">
      <c r="A580" s="47"/>
      <c r="B580" s="107"/>
      <c r="C580" s="48"/>
      <c r="D580" s="48"/>
    </row>
    <row r="581" spans="1:4" x14ac:dyDescent="0.25">
      <c r="A581" s="47"/>
      <c r="B581" s="107"/>
      <c r="C581" s="48"/>
      <c r="D581" s="48"/>
    </row>
    <row r="582" spans="1:4" x14ac:dyDescent="0.25">
      <c r="A582" s="47"/>
      <c r="B582" s="107"/>
      <c r="C582" s="48"/>
      <c r="D582" s="48"/>
    </row>
    <row r="583" spans="1:4" x14ac:dyDescent="0.25">
      <c r="A583" s="47"/>
      <c r="B583" s="107"/>
      <c r="C583" s="48"/>
      <c r="D583" s="48"/>
    </row>
    <row r="584" spans="1:4" x14ac:dyDescent="0.25">
      <c r="A584" s="47"/>
      <c r="B584" s="107"/>
      <c r="C584" s="48"/>
      <c r="D584" s="48"/>
    </row>
    <row r="585" spans="1:4" x14ac:dyDescent="0.25">
      <c r="A585" s="47"/>
      <c r="B585" s="107"/>
      <c r="C585" s="48"/>
      <c r="D585" s="48"/>
    </row>
    <row r="586" spans="1:4" x14ac:dyDescent="0.25">
      <c r="A586" s="47"/>
      <c r="B586" s="107"/>
      <c r="C586" s="48"/>
      <c r="D586" s="48"/>
    </row>
    <row r="587" spans="1:4" x14ac:dyDescent="0.25">
      <c r="A587" s="47"/>
      <c r="B587" s="107"/>
      <c r="C587" s="48"/>
      <c r="D587" s="48"/>
    </row>
    <row r="588" spans="1:4" x14ac:dyDescent="0.25">
      <c r="A588" s="47"/>
      <c r="B588" s="107"/>
      <c r="C588" s="48"/>
      <c r="D588" s="48"/>
    </row>
    <row r="589" spans="1:4" x14ac:dyDescent="0.25">
      <c r="A589" s="47"/>
      <c r="B589" s="107"/>
      <c r="C589" s="48"/>
      <c r="D589" s="48"/>
    </row>
    <row r="590" spans="1:4" x14ac:dyDescent="0.25">
      <c r="A590" s="47"/>
      <c r="B590" s="107"/>
      <c r="C590" s="48"/>
      <c r="D590" s="48"/>
    </row>
    <row r="591" spans="1:4" x14ac:dyDescent="0.25">
      <c r="A591" s="47"/>
      <c r="B591" s="107"/>
      <c r="C591" s="48"/>
      <c r="D591" s="48"/>
    </row>
    <row r="592" spans="1:4" x14ac:dyDescent="0.25">
      <c r="A592" s="47"/>
      <c r="B592" s="107"/>
      <c r="C592" s="48"/>
      <c r="D592" s="48"/>
    </row>
    <row r="593" spans="1:4" x14ac:dyDescent="0.25">
      <c r="A593" s="47"/>
      <c r="B593" s="107"/>
      <c r="C593" s="48"/>
      <c r="D593" s="48"/>
    </row>
    <row r="594" spans="1:4" x14ac:dyDescent="0.25">
      <c r="A594" s="47"/>
      <c r="B594" s="107"/>
      <c r="C594" s="48"/>
      <c r="D594" s="48"/>
    </row>
    <row r="595" spans="1:4" x14ac:dyDescent="0.25">
      <c r="A595" s="47"/>
      <c r="B595" s="107"/>
      <c r="C595" s="48"/>
      <c r="D595" s="48"/>
    </row>
    <row r="596" spans="1:4" x14ac:dyDescent="0.25">
      <c r="A596" s="47"/>
      <c r="B596" s="107"/>
      <c r="C596" s="48"/>
      <c r="D596" s="48"/>
    </row>
    <row r="597" spans="1:4" x14ac:dyDescent="0.25">
      <c r="A597" s="47"/>
      <c r="B597" s="107"/>
      <c r="C597" s="48"/>
      <c r="D597" s="48"/>
    </row>
    <row r="598" spans="1:4" x14ac:dyDescent="0.25">
      <c r="A598" s="47"/>
      <c r="B598" s="107"/>
      <c r="C598" s="48"/>
      <c r="D598" s="48"/>
    </row>
    <row r="599" spans="1:4" x14ac:dyDescent="0.25">
      <c r="A599" s="47"/>
      <c r="B599" s="107"/>
      <c r="C599" s="48"/>
      <c r="D599" s="48"/>
    </row>
    <row r="600" spans="1:4" x14ac:dyDescent="0.25">
      <c r="A600" s="47"/>
      <c r="B600" s="107"/>
      <c r="C600" s="48"/>
      <c r="D600" s="48"/>
    </row>
    <row r="601" spans="1:4" x14ac:dyDescent="0.25">
      <c r="A601" s="47"/>
      <c r="B601" s="107"/>
      <c r="C601" s="48"/>
      <c r="D601" s="48"/>
    </row>
    <row r="602" spans="1:4" x14ac:dyDescent="0.25">
      <c r="A602" s="47"/>
      <c r="B602" s="107"/>
      <c r="C602" s="48"/>
      <c r="D602" s="48"/>
    </row>
    <row r="603" spans="1:4" x14ac:dyDescent="0.25">
      <c r="A603" s="47"/>
      <c r="B603" s="107"/>
      <c r="C603" s="48"/>
      <c r="D603" s="48"/>
    </row>
    <row r="604" spans="1:4" x14ac:dyDescent="0.25">
      <c r="A604" s="47"/>
      <c r="B604" s="107"/>
      <c r="C604" s="48"/>
      <c r="D604" s="48"/>
    </row>
    <row r="605" spans="1:4" x14ac:dyDescent="0.25">
      <c r="A605" s="47"/>
      <c r="B605" s="107"/>
      <c r="C605" s="48"/>
      <c r="D605" s="48"/>
    </row>
    <row r="606" spans="1:4" x14ac:dyDescent="0.25">
      <c r="A606" s="47"/>
      <c r="B606" s="107"/>
      <c r="C606" s="48"/>
      <c r="D606" s="48"/>
    </row>
    <row r="607" spans="1:4" x14ac:dyDescent="0.25">
      <c r="A607" s="47"/>
      <c r="B607" s="107"/>
      <c r="C607" s="48"/>
      <c r="D607" s="48"/>
    </row>
    <row r="608" spans="1:4" x14ac:dyDescent="0.25">
      <c r="A608" s="47"/>
      <c r="B608" s="107"/>
      <c r="C608" s="48"/>
      <c r="D608" s="48"/>
    </row>
    <row r="609" spans="1:4" x14ac:dyDescent="0.25">
      <c r="A609" s="47"/>
      <c r="B609" s="107"/>
      <c r="C609" s="48"/>
      <c r="D609" s="48"/>
    </row>
    <row r="610" spans="1:4" x14ac:dyDescent="0.25">
      <c r="A610" s="47"/>
      <c r="B610" s="107"/>
      <c r="C610" s="48"/>
      <c r="D610" s="48"/>
    </row>
    <row r="611" spans="1:4" x14ac:dyDescent="0.25">
      <c r="A611" s="47"/>
      <c r="B611" s="107"/>
      <c r="C611" s="48"/>
      <c r="D611" s="48"/>
    </row>
    <row r="612" spans="1:4" x14ac:dyDescent="0.25">
      <c r="A612" s="47"/>
      <c r="B612" s="107"/>
      <c r="C612" s="48"/>
      <c r="D612" s="48"/>
    </row>
    <row r="613" spans="1:4" x14ac:dyDescent="0.25">
      <c r="A613" s="47"/>
      <c r="B613" s="107"/>
      <c r="C613" s="48"/>
      <c r="D613" s="48"/>
    </row>
    <row r="614" spans="1:4" x14ac:dyDescent="0.25">
      <c r="A614" s="47"/>
      <c r="B614" s="107"/>
      <c r="C614" s="48"/>
      <c r="D614" s="48"/>
    </row>
    <row r="615" spans="1:4" x14ac:dyDescent="0.25">
      <c r="A615" s="47"/>
      <c r="B615" s="107"/>
      <c r="C615" s="48"/>
      <c r="D615" s="48"/>
    </row>
    <row r="616" spans="1:4" x14ac:dyDescent="0.25">
      <c r="A616" s="47"/>
      <c r="B616" s="107"/>
      <c r="C616" s="48"/>
      <c r="D616" s="48"/>
    </row>
    <row r="617" spans="1:4" x14ac:dyDescent="0.25">
      <c r="A617" s="47"/>
      <c r="B617" s="107"/>
      <c r="C617" s="48"/>
      <c r="D617" s="48"/>
    </row>
    <row r="618" spans="1:4" x14ac:dyDescent="0.25">
      <c r="A618" s="47"/>
      <c r="B618" s="107"/>
      <c r="C618" s="48"/>
      <c r="D618" s="48"/>
    </row>
    <row r="619" spans="1:4" x14ac:dyDescent="0.25">
      <c r="A619" s="47"/>
      <c r="B619" s="107"/>
      <c r="C619" s="48"/>
      <c r="D619" s="48"/>
    </row>
    <row r="620" spans="1:4" x14ac:dyDescent="0.25">
      <c r="A620" s="47"/>
      <c r="B620" s="107"/>
      <c r="C620" s="48"/>
      <c r="D620" s="48"/>
    </row>
    <row r="621" spans="1:4" x14ac:dyDescent="0.25">
      <c r="A621" s="47"/>
      <c r="B621" s="107"/>
      <c r="C621" s="48"/>
      <c r="D621" s="48"/>
    </row>
    <row r="622" spans="1:4" x14ac:dyDescent="0.25">
      <c r="A622" s="47"/>
      <c r="B622" s="107"/>
      <c r="C622" s="48"/>
      <c r="D622" s="48"/>
    </row>
    <row r="623" spans="1:4" x14ac:dyDescent="0.25">
      <c r="A623" s="47"/>
      <c r="B623" s="107"/>
      <c r="C623" s="48"/>
      <c r="D623" s="48"/>
    </row>
    <row r="624" spans="1:4" x14ac:dyDescent="0.25">
      <c r="A624" s="47"/>
      <c r="B624" s="107"/>
      <c r="C624" s="48"/>
      <c r="D624" s="48"/>
    </row>
    <row r="625" spans="1:4" x14ac:dyDescent="0.25">
      <c r="A625" s="47"/>
      <c r="B625" s="107"/>
      <c r="C625" s="48"/>
      <c r="D625" s="48"/>
    </row>
    <row r="626" spans="1:4" x14ac:dyDescent="0.25">
      <c r="A626" s="47"/>
      <c r="B626" s="107"/>
      <c r="C626" s="48"/>
      <c r="D626" s="48"/>
    </row>
    <row r="627" spans="1:4" x14ac:dyDescent="0.25">
      <c r="A627" s="47"/>
      <c r="B627" s="107"/>
      <c r="C627" s="48"/>
      <c r="D627" s="48"/>
    </row>
    <row r="628" spans="1:4" x14ac:dyDescent="0.25">
      <c r="A628" s="47"/>
      <c r="B628" s="107"/>
      <c r="C628" s="48"/>
      <c r="D628" s="48"/>
    </row>
    <row r="629" spans="1:4" x14ac:dyDescent="0.25">
      <c r="A629" s="47"/>
      <c r="B629" s="107"/>
      <c r="C629" s="48"/>
      <c r="D629" s="48"/>
    </row>
    <row r="630" spans="1:4" x14ac:dyDescent="0.25">
      <c r="A630" s="47"/>
      <c r="B630" s="107"/>
      <c r="C630" s="48"/>
      <c r="D630" s="48"/>
    </row>
    <row r="631" spans="1:4" x14ac:dyDescent="0.25">
      <c r="A631" s="47"/>
      <c r="B631" s="107"/>
      <c r="C631" s="48"/>
      <c r="D631" s="48"/>
    </row>
    <row r="632" spans="1:4" x14ac:dyDescent="0.25">
      <c r="A632" s="47"/>
      <c r="B632" s="107"/>
      <c r="C632" s="48"/>
      <c r="D632" s="48"/>
    </row>
    <row r="633" spans="1:4" x14ac:dyDescent="0.25">
      <c r="A633" s="47"/>
      <c r="B633" s="107"/>
      <c r="C633" s="48"/>
      <c r="D633" s="48"/>
    </row>
    <row r="634" spans="1:4" x14ac:dyDescent="0.25">
      <c r="A634" s="47"/>
      <c r="B634" s="107"/>
      <c r="C634" s="48"/>
      <c r="D634" s="48"/>
    </row>
    <row r="635" spans="1:4" x14ac:dyDescent="0.25">
      <c r="A635" s="47"/>
      <c r="B635" s="107"/>
      <c r="C635" s="48"/>
      <c r="D635" s="48"/>
    </row>
    <row r="636" spans="1:4" x14ac:dyDescent="0.25">
      <c r="A636" s="47"/>
      <c r="B636" s="107"/>
      <c r="C636" s="48"/>
      <c r="D636" s="48"/>
    </row>
    <row r="637" spans="1:4" x14ac:dyDescent="0.25">
      <c r="A637" s="47"/>
      <c r="B637" s="107"/>
      <c r="C637" s="48"/>
      <c r="D637" s="48"/>
    </row>
    <row r="638" spans="1:4" x14ac:dyDescent="0.25">
      <c r="A638" s="47"/>
      <c r="B638" s="107"/>
      <c r="C638" s="48"/>
      <c r="D638" s="48"/>
    </row>
    <row r="639" spans="1:4" x14ac:dyDescent="0.25">
      <c r="A639" s="47"/>
      <c r="B639" s="107"/>
      <c r="C639" s="48"/>
      <c r="D639" s="48"/>
    </row>
    <row r="640" spans="1:4" x14ac:dyDescent="0.25">
      <c r="A640" s="47"/>
      <c r="B640" s="107"/>
      <c r="C640" s="48"/>
      <c r="D640" s="48"/>
    </row>
    <row r="641" spans="1:4" x14ac:dyDescent="0.25">
      <c r="A641" s="47"/>
      <c r="B641" s="107"/>
      <c r="C641" s="48"/>
      <c r="D641" s="48"/>
    </row>
    <row r="642" spans="1:4" x14ac:dyDescent="0.25">
      <c r="A642" s="47"/>
      <c r="B642" s="107"/>
      <c r="C642" s="48"/>
      <c r="D642" s="48"/>
    </row>
    <row r="643" spans="1:4" x14ac:dyDescent="0.25">
      <c r="A643" s="47"/>
      <c r="B643" s="107"/>
      <c r="C643" s="48"/>
      <c r="D643" s="48"/>
    </row>
    <row r="644" spans="1:4" x14ac:dyDescent="0.25">
      <c r="A644" s="47"/>
      <c r="B644" s="107"/>
      <c r="C644" s="48"/>
      <c r="D644" s="48"/>
    </row>
    <row r="645" spans="1:4" x14ac:dyDescent="0.25">
      <c r="A645" s="47"/>
      <c r="B645" s="107"/>
      <c r="C645" s="48"/>
      <c r="D645" s="48"/>
    </row>
    <row r="646" spans="1:4" x14ac:dyDescent="0.25">
      <c r="A646" s="47"/>
      <c r="B646" s="107"/>
      <c r="C646" s="48"/>
      <c r="D646" s="48"/>
    </row>
    <row r="647" spans="1:4" x14ac:dyDescent="0.25">
      <c r="A647" s="47"/>
      <c r="B647" s="107"/>
      <c r="C647" s="48"/>
      <c r="D647" s="48"/>
    </row>
    <row r="648" spans="1:4" x14ac:dyDescent="0.25">
      <c r="A648" s="47"/>
      <c r="B648" s="107"/>
      <c r="C648" s="48"/>
      <c r="D648" s="48"/>
    </row>
    <row r="649" spans="1:4" x14ac:dyDescent="0.25">
      <c r="A649" s="47"/>
      <c r="B649" s="107"/>
      <c r="C649" s="48"/>
      <c r="D649" s="48"/>
    </row>
    <row r="650" spans="1:4" x14ac:dyDescent="0.25">
      <c r="A650" s="47"/>
      <c r="B650" s="107"/>
      <c r="C650" s="48"/>
      <c r="D650" s="48"/>
    </row>
    <row r="651" spans="1:4" x14ac:dyDescent="0.25">
      <c r="A651" s="47"/>
      <c r="B651" s="107"/>
      <c r="C651" s="48"/>
      <c r="D651" s="48"/>
    </row>
    <row r="652" spans="1:4" x14ac:dyDescent="0.25">
      <c r="A652" s="47"/>
      <c r="B652" s="107"/>
      <c r="C652" s="48"/>
      <c r="D652" s="48"/>
    </row>
    <row r="653" spans="1:4" x14ac:dyDescent="0.25">
      <c r="A653" s="47"/>
      <c r="B653" s="107"/>
      <c r="C653" s="48"/>
      <c r="D653" s="48"/>
    </row>
    <row r="654" spans="1:4" x14ac:dyDescent="0.25">
      <c r="A654" s="47"/>
      <c r="B654" s="107"/>
      <c r="C654" s="48"/>
      <c r="D654" s="48"/>
    </row>
    <row r="655" spans="1:4" x14ac:dyDescent="0.25">
      <c r="A655" s="47"/>
      <c r="B655" s="107"/>
      <c r="C655" s="48"/>
      <c r="D655" s="48"/>
    </row>
    <row r="656" spans="1:4" x14ac:dyDescent="0.25">
      <c r="A656" s="47"/>
      <c r="B656" s="107"/>
      <c r="C656" s="48"/>
      <c r="D656" s="48"/>
    </row>
    <row r="657" spans="1:4" x14ac:dyDescent="0.25">
      <c r="A657" s="47"/>
      <c r="B657" s="107"/>
      <c r="C657" s="48"/>
      <c r="D657" s="48"/>
    </row>
    <row r="658" spans="1:4" x14ac:dyDescent="0.25">
      <c r="A658" s="47"/>
      <c r="B658" s="107"/>
      <c r="C658" s="48"/>
      <c r="D658" s="48"/>
    </row>
    <row r="659" spans="1:4" x14ac:dyDescent="0.25">
      <c r="A659" s="47"/>
      <c r="B659" s="107"/>
      <c r="C659" s="48"/>
      <c r="D659" s="48"/>
    </row>
    <row r="660" spans="1:4" x14ac:dyDescent="0.25">
      <c r="A660" s="47"/>
      <c r="B660" s="107"/>
      <c r="C660" s="48"/>
      <c r="D660" s="48"/>
    </row>
    <row r="661" spans="1:4" x14ac:dyDescent="0.25">
      <c r="A661" s="47"/>
      <c r="B661" s="107"/>
      <c r="C661" s="48"/>
      <c r="D661" s="48"/>
    </row>
    <row r="662" spans="1:4" x14ac:dyDescent="0.25">
      <c r="A662" s="47"/>
      <c r="B662" s="107"/>
      <c r="C662" s="48"/>
      <c r="D662" s="48"/>
    </row>
    <row r="663" spans="1:4" x14ac:dyDescent="0.25">
      <c r="A663" s="47"/>
      <c r="B663" s="107"/>
      <c r="C663" s="48"/>
      <c r="D663" s="48"/>
    </row>
    <row r="664" spans="1:4" x14ac:dyDescent="0.25">
      <c r="A664" s="47"/>
      <c r="B664" s="107"/>
      <c r="C664" s="48"/>
      <c r="D664" s="48"/>
    </row>
    <row r="665" spans="1:4" x14ac:dyDescent="0.25">
      <c r="A665" s="47"/>
      <c r="B665" s="107"/>
      <c r="C665" s="48"/>
      <c r="D665" s="48"/>
    </row>
    <row r="666" spans="1:4" x14ac:dyDescent="0.25">
      <c r="A666" s="47"/>
      <c r="B666" s="107"/>
      <c r="C666" s="48"/>
      <c r="D666" s="48"/>
    </row>
    <row r="667" spans="1:4" x14ac:dyDescent="0.25">
      <c r="A667" s="47"/>
      <c r="B667" s="107"/>
      <c r="C667" s="48"/>
      <c r="D667" s="48"/>
    </row>
    <row r="668" spans="1:4" x14ac:dyDescent="0.25">
      <c r="A668" s="47"/>
      <c r="B668" s="107"/>
      <c r="C668" s="48"/>
      <c r="D668" s="48"/>
    </row>
    <row r="669" spans="1:4" x14ac:dyDescent="0.25">
      <c r="A669" s="47"/>
      <c r="B669" s="107"/>
      <c r="C669" s="48"/>
      <c r="D669" s="48"/>
    </row>
    <row r="670" spans="1:4" x14ac:dyDescent="0.25">
      <c r="A670" s="47"/>
      <c r="B670" s="107"/>
      <c r="C670" s="48"/>
      <c r="D670" s="48"/>
    </row>
    <row r="671" spans="1:4" x14ac:dyDescent="0.25">
      <c r="A671" s="47"/>
      <c r="B671" s="107"/>
      <c r="C671" s="48"/>
      <c r="D671" s="48"/>
    </row>
    <row r="672" spans="1:4" x14ac:dyDescent="0.25">
      <c r="A672" s="47"/>
      <c r="B672" s="107"/>
      <c r="C672" s="48"/>
      <c r="D672" s="48"/>
    </row>
    <row r="673" spans="1:4" x14ac:dyDescent="0.25">
      <c r="A673" s="47"/>
      <c r="B673" s="107"/>
      <c r="C673" s="48"/>
      <c r="D673" s="48"/>
    </row>
    <row r="674" spans="1:4" x14ac:dyDescent="0.25">
      <c r="A674" s="47"/>
      <c r="B674" s="107"/>
      <c r="C674" s="48"/>
      <c r="D674" s="48"/>
    </row>
    <row r="675" spans="1:4" x14ac:dyDescent="0.25">
      <c r="A675" s="47"/>
      <c r="B675" s="107"/>
      <c r="C675" s="48"/>
      <c r="D675" s="48"/>
    </row>
    <row r="676" spans="1:4" x14ac:dyDescent="0.25">
      <c r="A676" s="47"/>
      <c r="B676" s="107"/>
      <c r="C676" s="48"/>
      <c r="D676" s="48"/>
    </row>
    <row r="677" spans="1:4" x14ac:dyDescent="0.25">
      <c r="A677" s="47"/>
      <c r="B677" s="107"/>
      <c r="C677" s="48"/>
      <c r="D677" s="48"/>
    </row>
    <row r="678" spans="1:4" x14ac:dyDescent="0.25">
      <c r="A678" s="47"/>
      <c r="B678" s="107"/>
      <c r="C678" s="48"/>
      <c r="D678" s="48"/>
    </row>
    <row r="679" spans="1:4" x14ac:dyDescent="0.25">
      <c r="A679" s="47"/>
      <c r="B679" s="107"/>
      <c r="C679" s="48"/>
      <c r="D679" s="48"/>
    </row>
    <row r="680" spans="1:4" x14ac:dyDescent="0.25">
      <c r="A680" s="47"/>
      <c r="B680" s="107"/>
      <c r="C680" s="48"/>
      <c r="D680" s="48"/>
    </row>
    <row r="681" spans="1:4" x14ac:dyDescent="0.25">
      <c r="A681" s="47"/>
      <c r="B681" s="107"/>
      <c r="C681" s="48"/>
      <c r="D681" s="48"/>
    </row>
    <row r="682" spans="1:4" x14ac:dyDescent="0.25">
      <c r="A682" s="47"/>
      <c r="B682" s="107"/>
      <c r="C682" s="48"/>
      <c r="D682" s="48"/>
    </row>
    <row r="683" spans="1:4" x14ac:dyDescent="0.25">
      <c r="A683" s="47"/>
      <c r="B683" s="107"/>
      <c r="C683" s="48"/>
      <c r="D683" s="48"/>
    </row>
    <row r="684" spans="1:4" x14ac:dyDescent="0.25">
      <c r="A684" s="47"/>
      <c r="B684" s="107"/>
      <c r="C684" s="48"/>
      <c r="D684" s="48"/>
    </row>
    <row r="685" spans="1:4" x14ac:dyDescent="0.25">
      <c r="A685" s="47"/>
      <c r="B685" s="107"/>
      <c r="C685" s="48"/>
      <c r="D685" s="48"/>
    </row>
    <row r="686" spans="1:4" x14ac:dyDescent="0.25">
      <c r="A686" s="47"/>
      <c r="B686" s="107"/>
      <c r="C686" s="48"/>
      <c r="D686" s="48"/>
    </row>
    <row r="687" spans="1:4" x14ac:dyDescent="0.25">
      <c r="A687" s="47"/>
      <c r="B687" s="107"/>
      <c r="C687" s="48"/>
      <c r="D687" s="48"/>
    </row>
    <row r="688" spans="1:4" x14ac:dyDescent="0.25">
      <c r="A688" s="47"/>
      <c r="B688" s="107"/>
      <c r="C688" s="48"/>
      <c r="D688" s="48"/>
    </row>
    <row r="689" spans="1:4" x14ac:dyDescent="0.25">
      <c r="A689" s="47"/>
      <c r="B689" s="107"/>
      <c r="C689" s="48"/>
      <c r="D689" s="48"/>
    </row>
    <row r="690" spans="1:4" x14ac:dyDescent="0.25">
      <c r="A690" s="47"/>
      <c r="B690" s="107"/>
      <c r="C690" s="48"/>
      <c r="D690" s="48"/>
    </row>
    <row r="691" spans="1:4" x14ac:dyDescent="0.25">
      <c r="A691" s="47"/>
      <c r="B691" s="107"/>
      <c r="C691" s="48"/>
      <c r="D691" s="48"/>
    </row>
    <row r="692" spans="1:4" x14ac:dyDescent="0.25">
      <c r="A692" s="47"/>
      <c r="B692" s="107"/>
      <c r="C692" s="48"/>
      <c r="D692" s="48"/>
    </row>
    <row r="693" spans="1:4" x14ac:dyDescent="0.25">
      <c r="A693" s="47"/>
      <c r="B693" s="107"/>
      <c r="C693" s="48"/>
      <c r="D693" s="48"/>
    </row>
    <row r="694" spans="1:4" x14ac:dyDescent="0.25">
      <c r="A694" s="47"/>
      <c r="B694" s="107"/>
      <c r="C694" s="48"/>
      <c r="D694" s="48"/>
    </row>
    <row r="695" spans="1:4" x14ac:dyDescent="0.25">
      <c r="A695" s="47"/>
      <c r="B695" s="107"/>
      <c r="C695" s="48"/>
      <c r="D695" s="48"/>
    </row>
    <row r="696" spans="1:4" x14ac:dyDescent="0.25">
      <c r="A696" s="47"/>
      <c r="B696" s="107"/>
      <c r="C696" s="48"/>
      <c r="D696" s="48"/>
    </row>
    <row r="697" spans="1:4" x14ac:dyDescent="0.25">
      <c r="A697" s="47"/>
      <c r="B697" s="107"/>
      <c r="C697" s="48"/>
      <c r="D697" s="48"/>
    </row>
    <row r="698" spans="1:4" x14ac:dyDescent="0.25">
      <c r="A698" s="47"/>
      <c r="B698" s="107"/>
      <c r="C698" s="48"/>
      <c r="D698" s="48"/>
    </row>
    <row r="699" spans="1:4" x14ac:dyDescent="0.25">
      <c r="A699" s="47"/>
      <c r="B699" s="107"/>
      <c r="C699" s="48"/>
      <c r="D699" s="48"/>
    </row>
    <row r="700" spans="1:4" x14ac:dyDescent="0.25">
      <c r="A700" s="47"/>
      <c r="B700" s="107"/>
      <c r="C700" s="48"/>
      <c r="D700" s="48"/>
    </row>
    <row r="701" spans="1:4" x14ac:dyDescent="0.25">
      <c r="A701" s="47"/>
      <c r="B701" s="107"/>
      <c r="C701" s="48"/>
      <c r="D701" s="48"/>
    </row>
    <row r="702" spans="1:4" x14ac:dyDescent="0.25">
      <c r="A702" s="47"/>
      <c r="B702" s="107"/>
      <c r="C702" s="48"/>
      <c r="D702" s="48"/>
    </row>
    <row r="703" spans="1:4" x14ac:dyDescent="0.25">
      <c r="A703" s="47"/>
      <c r="B703" s="107"/>
      <c r="C703" s="48"/>
      <c r="D703" s="48"/>
    </row>
    <row r="704" spans="1:4" x14ac:dyDescent="0.25">
      <c r="A704" s="47"/>
      <c r="B704" s="107"/>
      <c r="C704" s="48"/>
      <c r="D704" s="48"/>
    </row>
    <row r="705" spans="1:4" x14ac:dyDescent="0.25">
      <c r="A705" s="47"/>
      <c r="B705" s="107"/>
      <c r="C705" s="48"/>
      <c r="D705" s="48"/>
    </row>
    <row r="706" spans="1:4" x14ac:dyDescent="0.25">
      <c r="A706" s="47"/>
      <c r="B706" s="107"/>
      <c r="C706" s="48"/>
      <c r="D706" s="48"/>
    </row>
    <row r="707" spans="1:4" x14ac:dyDescent="0.25">
      <c r="A707" s="47"/>
      <c r="B707" s="107"/>
      <c r="C707" s="48"/>
      <c r="D707" s="48"/>
    </row>
    <row r="708" spans="1:4" x14ac:dyDescent="0.25">
      <c r="A708" s="47"/>
      <c r="B708" s="107"/>
      <c r="C708" s="48"/>
      <c r="D708" s="48"/>
    </row>
    <row r="709" spans="1:4" x14ac:dyDescent="0.25">
      <c r="A709" s="47"/>
      <c r="B709" s="107"/>
      <c r="C709" s="48"/>
      <c r="D709" s="48"/>
    </row>
    <row r="710" spans="1:4" x14ac:dyDescent="0.25">
      <c r="A710" s="47"/>
      <c r="B710" s="107"/>
      <c r="C710" s="48"/>
      <c r="D710" s="48"/>
    </row>
    <row r="711" spans="1:4" x14ac:dyDescent="0.25">
      <c r="A711" s="47"/>
      <c r="B711" s="107"/>
      <c r="C711" s="48"/>
      <c r="D711" s="48"/>
    </row>
    <row r="712" spans="1:4" x14ac:dyDescent="0.25">
      <c r="A712" s="47"/>
      <c r="B712" s="107"/>
      <c r="C712" s="48"/>
      <c r="D712" s="48"/>
    </row>
    <row r="713" spans="1:4" x14ac:dyDescent="0.25">
      <c r="A713" s="47"/>
      <c r="B713" s="107"/>
      <c r="C713" s="48"/>
      <c r="D713" s="48"/>
    </row>
    <row r="714" spans="1:4" x14ac:dyDescent="0.25">
      <c r="A714" s="47"/>
      <c r="B714" s="107"/>
      <c r="C714" s="48"/>
      <c r="D714" s="48"/>
    </row>
    <row r="715" spans="1:4" x14ac:dyDescent="0.25">
      <c r="A715" s="47"/>
      <c r="B715" s="107"/>
      <c r="C715" s="48"/>
      <c r="D715" s="48"/>
    </row>
    <row r="716" spans="1:4" x14ac:dyDescent="0.25">
      <c r="A716" s="47"/>
      <c r="B716" s="107"/>
      <c r="C716" s="48"/>
      <c r="D716" s="48"/>
    </row>
    <row r="717" spans="1:4" x14ac:dyDescent="0.25">
      <c r="A717" s="47"/>
      <c r="B717" s="107"/>
      <c r="C717" s="48"/>
      <c r="D717" s="48"/>
    </row>
    <row r="718" spans="1:4" x14ac:dyDescent="0.25">
      <c r="A718" s="47"/>
      <c r="B718" s="107"/>
      <c r="C718" s="48"/>
      <c r="D718" s="48"/>
    </row>
    <row r="719" spans="1:4" x14ac:dyDescent="0.25">
      <c r="A719" s="47"/>
      <c r="B719" s="107"/>
      <c r="C719" s="48"/>
      <c r="D719" s="48"/>
    </row>
    <row r="720" spans="1:4" x14ac:dyDescent="0.25">
      <c r="A720" s="47"/>
      <c r="B720" s="107"/>
      <c r="C720" s="48"/>
      <c r="D720" s="48"/>
    </row>
    <row r="721" spans="1:4" x14ac:dyDescent="0.25">
      <c r="A721" s="47"/>
      <c r="B721" s="107"/>
      <c r="C721" s="48"/>
      <c r="D721" s="48"/>
    </row>
    <row r="722" spans="1:4" x14ac:dyDescent="0.25">
      <c r="A722" s="47"/>
      <c r="B722" s="107"/>
      <c r="C722" s="48"/>
      <c r="D722" s="48"/>
    </row>
    <row r="723" spans="1:4" x14ac:dyDescent="0.25">
      <c r="A723" s="47"/>
      <c r="B723" s="107"/>
      <c r="C723" s="48"/>
      <c r="D723" s="48"/>
    </row>
    <row r="724" spans="1:4" x14ac:dyDescent="0.25">
      <c r="A724" s="47"/>
      <c r="B724" s="107"/>
      <c r="C724" s="48"/>
      <c r="D724" s="48"/>
    </row>
    <row r="725" spans="1:4" x14ac:dyDescent="0.25">
      <c r="A725" s="47"/>
      <c r="B725" s="107"/>
      <c r="C725" s="48"/>
      <c r="D725" s="48"/>
    </row>
    <row r="726" spans="1:4" x14ac:dyDescent="0.25">
      <c r="A726" s="47"/>
      <c r="B726" s="107"/>
      <c r="C726" s="48"/>
      <c r="D726" s="48"/>
    </row>
    <row r="727" spans="1:4" x14ac:dyDescent="0.25">
      <c r="A727" s="47"/>
      <c r="B727" s="107"/>
      <c r="C727" s="48"/>
      <c r="D727" s="48"/>
    </row>
    <row r="728" spans="1:4" x14ac:dyDescent="0.25">
      <c r="A728" s="47"/>
      <c r="B728" s="107"/>
      <c r="C728" s="48"/>
      <c r="D728" s="48"/>
    </row>
    <row r="729" spans="1:4" x14ac:dyDescent="0.25">
      <c r="A729" s="47"/>
      <c r="B729" s="107"/>
      <c r="C729" s="48"/>
      <c r="D729" s="48"/>
    </row>
    <row r="730" spans="1:4" x14ac:dyDescent="0.25">
      <c r="A730" s="47"/>
      <c r="B730" s="107"/>
      <c r="C730" s="48"/>
      <c r="D730" s="48"/>
    </row>
    <row r="731" spans="1:4" x14ac:dyDescent="0.25">
      <c r="A731" s="47"/>
      <c r="B731" s="107"/>
      <c r="C731" s="48"/>
      <c r="D731" s="48"/>
    </row>
    <row r="732" spans="1:4" x14ac:dyDescent="0.25">
      <c r="A732" s="47"/>
      <c r="B732" s="107"/>
      <c r="C732" s="48"/>
      <c r="D732" s="48"/>
    </row>
    <row r="733" spans="1:4" x14ac:dyDescent="0.25">
      <c r="A733" s="47"/>
      <c r="B733" s="107"/>
      <c r="C733" s="48"/>
      <c r="D733" s="48"/>
    </row>
    <row r="734" spans="1:4" x14ac:dyDescent="0.25">
      <c r="A734" s="47"/>
      <c r="B734" s="107"/>
      <c r="C734" s="48"/>
      <c r="D734" s="48"/>
    </row>
    <row r="735" spans="1:4" x14ac:dyDescent="0.25">
      <c r="A735" s="47"/>
      <c r="B735" s="107"/>
      <c r="C735" s="48"/>
      <c r="D735" s="48"/>
    </row>
    <row r="736" spans="1:4" x14ac:dyDescent="0.25">
      <c r="A736" s="47"/>
      <c r="B736" s="107"/>
      <c r="C736" s="48"/>
      <c r="D736" s="48"/>
    </row>
    <row r="737" spans="1:4" x14ac:dyDescent="0.25">
      <c r="A737" s="47"/>
      <c r="B737" s="107"/>
      <c r="C737" s="48"/>
      <c r="D737" s="48"/>
    </row>
    <row r="738" spans="1:4" x14ac:dyDescent="0.25">
      <c r="A738" s="47"/>
      <c r="B738" s="107"/>
      <c r="C738" s="48"/>
      <c r="D738" s="48"/>
    </row>
    <row r="739" spans="1:4" x14ac:dyDescent="0.25">
      <c r="A739" s="47"/>
      <c r="B739" s="107"/>
      <c r="C739" s="48"/>
      <c r="D739" s="48"/>
    </row>
    <row r="740" spans="1:4" x14ac:dyDescent="0.25">
      <c r="A740" s="47"/>
      <c r="B740" s="107"/>
      <c r="C740" s="48"/>
      <c r="D740" s="48"/>
    </row>
    <row r="741" spans="1:4" x14ac:dyDescent="0.25">
      <c r="A741" s="47"/>
      <c r="B741" s="107"/>
      <c r="C741" s="48"/>
      <c r="D741" s="48"/>
    </row>
    <row r="742" spans="1:4" x14ac:dyDescent="0.25">
      <c r="A742" s="47"/>
      <c r="B742" s="107"/>
      <c r="C742" s="48"/>
      <c r="D742" s="48"/>
    </row>
    <row r="743" spans="1:4" x14ac:dyDescent="0.25">
      <c r="A743" s="47"/>
      <c r="B743" s="107"/>
      <c r="C743" s="48"/>
      <c r="D743" s="48"/>
    </row>
    <row r="744" spans="1:4" x14ac:dyDescent="0.25">
      <c r="A744" s="47"/>
      <c r="B744" s="107"/>
      <c r="C744" s="48"/>
      <c r="D744" s="48"/>
    </row>
    <row r="745" spans="1:4" x14ac:dyDescent="0.25">
      <c r="A745" s="47"/>
      <c r="B745" s="107"/>
      <c r="C745" s="48"/>
      <c r="D745" s="48"/>
    </row>
    <row r="746" spans="1:4" x14ac:dyDescent="0.25">
      <c r="A746" s="47"/>
      <c r="B746" s="107"/>
      <c r="C746" s="48"/>
      <c r="D746" s="48"/>
    </row>
    <row r="747" spans="1:4" x14ac:dyDescent="0.25">
      <c r="A747" s="47"/>
      <c r="B747" s="107"/>
      <c r="C747" s="48"/>
      <c r="D747" s="48"/>
    </row>
    <row r="748" spans="1:4" x14ac:dyDescent="0.25">
      <c r="A748" s="47"/>
      <c r="B748" s="107"/>
      <c r="C748" s="48"/>
      <c r="D748" s="48"/>
    </row>
    <row r="749" spans="1:4" x14ac:dyDescent="0.25">
      <c r="A749" s="47"/>
      <c r="B749" s="107"/>
      <c r="C749" s="48"/>
      <c r="D749" s="48"/>
    </row>
    <row r="750" spans="1:4" x14ac:dyDescent="0.25">
      <c r="A750" s="47"/>
      <c r="B750" s="107"/>
      <c r="C750" s="48"/>
      <c r="D750" s="48"/>
    </row>
    <row r="751" spans="1:4" x14ac:dyDescent="0.25">
      <c r="A751" s="47"/>
      <c r="B751" s="107"/>
      <c r="C751" s="48"/>
      <c r="D751" s="48"/>
    </row>
    <row r="752" spans="1:4" x14ac:dyDescent="0.25">
      <c r="A752" s="47"/>
      <c r="B752" s="107"/>
      <c r="C752" s="48"/>
      <c r="D752" s="48"/>
    </row>
    <row r="753" spans="1:4" x14ac:dyDescent="0.25">
      <c r="A753" s="47"/>
      <c r="B753" s="107"/>
      <c r="C753" s="48"/>
      <c r="D753" s="48"/>
    </row>
    <row r="754" spans="1:4" x14ac:dyDescent="0.25">
      <c r="A754" s="47"/>
      <c r="B754" s="107"/>
      <c r="C754" s="48"/>
      <c r="D754" s="48"/>
    </row>
    <row r="755" spans="1:4" x14ac:dyDescent="0.25">
      <c r="A755" s="47"/>
      <c r="B755" s="107"/>
      <c r="C755" s="48"/>
      <c r="D755" s="48"/>
    </row>
    <row r="756" spans="1:4" x14ac:dyDescent="0.25">
      <c r="A756" s="47"/>
      <c r="B756" s="107"/>
      <c r="C756" s="48"/>
      <c r="D756" s="48"/>
    </row>
    <row r="757" spans="1:4" x14ac:dyDescent="0.25">
      <c r="A757" s="47"/>
      <c r="B757" s="107"/>
      <c r="C757" s="48"/>
      <c r="D757" s="48"/>
    </row>
    <row r="758" spans="1:4" x14ac:dyDescent="0.25">
      <c r="A758" s="47"/>
      <c r="B758" s="107"/>
      <c r="C758" s="48"/>
      <c r="D758" s="48"/>
    </row>
    <row r="759" spans="1:4" x14ac:dyDescent="0.25">
      <c r="A759" s="47"/>
      <c r="B759" s="107"/>
      <c r="C759" s="48"/>
      <c r="D759" s="48"/>
    </row>
    <row r="760" spans="1:4" x14ac:dyDescent="0.25">
      <c r="A760" s="47"/>
      <c r="B760" s="107"/>
      <c r="C760" s="48"/>
      <c r="D760" s="48"/>
    </row>
    <row r="761" spans="1:4" x14ac:dyDescent="0.25">
      <c r="A761" s="47"/>
      <c r="B761" s="107"/>
      <c r="C761" s="48"/>
      <c r="D761" s="48"/>
    </row>
    <row r="762" spans="1:4" x14ac:dyDescent="0.25">
      <c r="A762" s="47"/>
      <c r="B762" s="107"/>
      <c r="C762" s="48"/>
      <c r="D762" s="48"/>
    </row>
    <row r="763" spans="1:4" x14ac:dyDescent="0.25">
      <c r="A763" s="47"/>
      <c r="B763" s="107"/>
      <c r="C763" s="48"/>
      <c r="D763" s="48"/>
    </row>
    <row r="764" spans="1:4" x14ac:dyDescent="0.25">
      <c r="A764" s="47"/>
      <c r="B764" s="107"/>
      <c r="C764" s="48"/>
      <c r="D764" s="48"/>
    </row>
    <row r="765" spans="1:4" x14ac:dyDescent="0.25">
      <c r="A765" s="47"/>
      <c r="B765" s="107"/>
      <c r="C765" s="48"/>
      <c r="D765" s="48"/>
    </row>
    <row r="766" spans="1:4" x14ac:dyDescent="0.25">
      <c r="A766" s="47"/>
      <c r="B766" s="107"/>
      <c r="C766" s="48"/>
      <c r="D766" s="48"/>
    </row>
    <row r="767" spans="1:4" x14ac:dyDescent="0.25">
      <c r="A767" s="47"/>
      <c r="B767" s="107"/>
      <c r="C767" s="48"/>
      <c r="D767" s="48"/>
    </row>
    <row r="768" spans="1:4" x14ac:dyDescent="0.25">
      <c r="A768" s="47"/>
      <c r="B768" s="107"/>
      <c r="C768" s="48"/>
      <c r="D768" s="48"/>
    </row>
    <row r="769" spans="1:4" x14ac:dyDescent="0.25">
      <c r="A769" s="47"/>
      <c r="B769" s="107"/>
      <c r="C769" s="48"/>
      <c r="D769" s="48"/>
    </row>
    <row r="770" spans="1:4" x14ac:dyDescent="0.25">
      <c r="A770" s="47"/>
      <c r="B770" s="107"/>
      <c r="C770" s="48"/>
      <c r="D770" s="48"/>
    </row>
    <row r="771" spans="1:4" x14ac:dyDescent="0.25">
      <c r="A771" s="47"/>
      <c r="B771" s="107"/>
      <c r="C771" s="48"/>
      <c r="D771" s="48"/>
    </row>
    <row r="772" spans="1:4" x14ac:dyDescent="0.25">
      <c r="A772" s="47"/>
      <c r="B772" s="107"/>
      <c r="C772" s="48"/>
      <c r="D772" s="48"/>
    </row>
    <row r="773" spans="1:4" x14ac:dyDescent="0.25">
      <c r="A773" s="47"/>
      <c r="B773" s="107"/>
      <c r="C773" s="48"/>
      <c r="D773" s="48"/>
    </row>
    <row r="774" spans="1:4" x14ac:dyDescent="0.25">
      <c r="A774" s="47"/>
      <c r="B774" s="107"/>
      <c r="C774" s="48"/>
      <c r="D774" s="48"/>
    </row>
    <row r="775" spans="1:4" x14ac:dyDescent="0.25">
      <c r="A775" s="47"/>
      <c r="B775" s="107"/>
      <c r="C775" s="48"/>
      <c r="D775" s="48"/>
    </row>
    <row r="776" spans="1:4" x14ac:dyDescent="0.25">
      <c r="A776" s="47"/>
      <c r="B776" s="107"/>
      <c r="C776" s="48"/>
      <c r="D776" s="48"/>
    </row>
    <row r="777" spans="1:4" x14ac:dyDescent="0.25">
      <c r="A777" s="47"/>
      <c r="B777" s="107"/>
      <c r="C777" s="48"/>
      <c r="D777" s="48"/>
    </row>
    <row r="778" spans="1:4" x14ac:dyDescent="0.25">
      <c r="A778" s="47"/>
      <c r="B778" s="107"/>
      <c r="C778" s="48"/>
      <c r="D778" s="48"/>
    </row>
    <row r="779" spans="1:4" x14ac:dyDescent="0.25">
      <c r="A779" s="47"/>
      <c r="B779" s="107"/>
      <c r="C779" s="48"/>
      <c r="D779" s="48"/>
    </row>
    <row r="780" spans="1:4" x14ac:dyDescent="0.25">
      <c r="A780" s="47"/>
      <c r="B780" s="107"/>
      <c r="C780" s="48"/>
      <c r="D780" s="48"/>
    </row>
    <row r="781" spans="1:4" x14ac:dyDescent="0.25">
      <c r="A781" s="47"/>
      <c r="B781" s="107"/>
      <c r="C781" s="48"/>
      <c r="D781" s="48"/>
    </row>
    <row r="782" spans="1:4" x14ac:dyDescent="0.25">
      <c r="A782" s="47"/>
      <c r="B782" s="107"/>
      <c r="C782" s="48"/>
      <c r="D782" s="48"/>
    </row>
    <row r="783" spans="1:4" x14ac:dyDescent="0.25">
      <c r="A783" s="47"/>
      <c r="B783" s="107"/>
      <c r="C783" s="48"/>
      <c r="D783" s="48"/>
    </row>
    <row r="784" spans="1:4" x14ac:dyDescent="0.25">
      <c r="A784" s="47"/>
      <c r="B784" s="107"/>
      <c r="C784" s="48"/>
      <c r="D784" s="48"/>
    </row>
    <row r="785" spans="1:4" x14ac:dyDescent="0.25">
      <c r="A785" s="47"/>
      <c r="B785" s="107"/>
      <c r="C785" s="48"/>
      <c r="D785" s="48"/>
    </row>
    <row r="786" spans="1:4" x14ac:dyDescent="0.25">
      <c r="A786" s="47"/>
      <c r="B786" s="107"/>
      <c r="C786" s="48"/>
      <c r="D786" s="48"/>
    </row>
    <row r="787" spans="1:4" x14ac:dyDescent="0.25">
      <c r="A787" s="47"/>
      <c r="B787" s="107"/>
      <c r="C787" s="48"/>
      <c r="D787" s="48"/>
    </row>
    <row r="788" spans="1:4" x14ac:dyDescent="0.25">
      <c r="A788" s="47"/>
      <c r="B788" s="107"/>
      <c r="C788" s="48"/>
      <c r="D788" s="48"/>
    </row>
    <row r="789" spans="1:4" x14ac:dyDescent="0.25">
      <c r="A789" s="47"/>
      <c r="B789" s="107"/>
      <c r="C789" s="48"/>
      <c r="D789" s="48"/>
    </row>
    <row r="790" spans="1:4" x14ac:dyDescent="0.25">
      <c r="A790" s="47"/>
      <c r="B790" s="107"/>
      <c r="C790" s="48"/>
      <c r="D790" s="48"/>
    </row>
    <row r="791" spans="1:4" x14ac:dyDescent="0.25">
      <c r="A791" s="47"/>
      <c r="B791" s="107"/>
      <c r="C791" s="48"/>
      <c r="D791" s="48"/>
    </row>
    <row r="792" spans="1:4" x14ac:dyDescent="0.25">
      <c r="A792" s="47"/>
      <c r="B792" s="107"/>
      <c r="C792" s="48"/>
      <c r="D792" s="48"/>
    </row>
    <row r="793" spans="1:4" x14ac:dyDescent="0.25">
      <c r="A793" s="47"/>
      <c r="B793" s="107"/>
      <c r="C793" s="48"/>
      <c r="D793" s="48"/>
    </row>
    <row r="794" spans="1:4" x14ac:dyDescent="0.25">
      <c r="A794" s="47"/>
      <c r="B794" s="107"/>
      <c r="C794" s="48"/>
      <c r="D794" s="48"/>
    </row>
    <row r="795" spans="1:4" x14ac:dyDescent="0.25">
      <c r="A795" s="47"/>
      <c r="B795" s="107"/>
      <c r="C795" s="48"/>
      <c r="D795" s="48"/>
    </row>
    <row r="796" spans="1:4" x14ac:dyDescent="0.25">
      <c r="A796" s="47"/>
      <c r="B796" s="107"/>
      <c r="C796" s="48"/>
      <c r="D796" s="48"/>
    </row>
    <row r="797" spans="1:4" x14ac:dyDescent="0.25">
      <c r="A797" s="47"/>
      <c r="B797" s="107"/>
      <c r="C797" s="48"/>
      <c r="D797" s="48"/>
    </row>
    <row r="798" spans="1:4" x14ac:dyDescent="0.25">
      <c r="A798" s="47"/>
      <c r="B798" s="107"/>
      <c r="C798" s="48"/>
      <c r="D798" s="48"/>
    </row>
    <row r="799" spans="1:4" x14ac:dyDescent="0.25">
      <c r="A799" s="47"/>
      <c r="B799" s="107"/>
      <c r="C799" s="48"/>
      <c r="D799" s="48"/>
    </row>
    <row r="800" spans="1:4" x14ac:dyDescent="0.25">
      <c r="A800" s="47"/>
      <c r="B800" s="107"/>
      <c r="C800" s="48"/>
      <c r="D800" s="48"/>
    </row>
    <row r="801" spans="1:4" x14ac:dyDescent="0.25">
      <c r="A801" s="47"/>
      <c r="B801" s="107"/>
      <c r="C801" s="48"/>
      <c r="D801" s="48"/>
    </row>
    <row r="802" spans="1:4" x14ac:dyDescent="0.25">
      <c r="A802" s="47"/>
      <c r="B802" s="107"/>
      <c r="C802" s="48"/>
      <c r="D802" s="48"/>
    </row>
    <row r="803" spans="1:4" x14ac:dyDescent="0.25">
      <c r="A803" s="47"/>
      <c r="B803" s="107"/>
      <c r="C803" s="48"/>
      <c r="D803" s="48"/>
    </row>
    <row r="804" spans="1:4" x14ac:dyDescent="0.25">
      <c r="A804" s="47"/>
      <c r="B804" s="107"/>
      <c r="C804" s="48"/>
      <c r="D804" s="48"/>
    </row>
    <row r="805" spans="1:4" x14ac:dyDescent="0.25">
      <c r="A805" s="47"/>
      <c r="B805" s="107"/>
      <c r="C805" s="48"/>
      <c r="D805" s="48"/>
    </row>
    <row r="806" spans="1:4" x14ac:dyDescent="0.25">
      <c r="A806" s="47"/>
      <c r="B806" s="107"/>
      <c r="C806" s="48"/>
      <c r="D806" s="48"/>
    </row>
    <row r="807" spans="1:4" x14ac:dyDescent="0.25">
      <c r="A807" s="47"/>
      <c r="B807" s="107"/>
      <c r="C807" s="48"/>
      <c r="D807" s="48"/>
    </row>
    <row r="808" spans="1:4" x14ac:dyDescent="0.25">
      <c r="A808" s="47"/>
      <c r="B808" s="107"/>
      <c r="C808" s="48"/>
      <c r="D808" s="48"/>
    </row>
    <row r="809" spans="1:4" x14ac:dyDescent="0.25">
      <c r="A809" s="47"/>
      <c r="B809" s="107"/>
      <c r="C809" s="48"/>
      <c r="D809" s="48"/>
    </row>
    <row r="810" spans="1:4" x14ac:dyDescent="0.25">
      <c r="A810" s="47"/>
      <c r="B810" s="107"/>
      <c r="C810" s="48"/>
      <c r="D810" s="48"/>
    </row>
    <row r="811" spans="1:4" x14ac:dyDescent="0.25">
      <c r="A811" s="47"/>
      <c r="B811" s="107"/>
      <c r="C811" s="48"/>
      <c r="D811" s="48"/>
    </row>
    <row r="812" spans="1:4" x14ac:dyDescent="0.25">
      <c r="A812" s="47"/>
      <c r="B812" s="107"/>
      <c r="C812" s="48"/>
      <c r="D812" s="48"/>
    </row>
    <row r="813" spans="1:4" x14ac:dyDescent="0.25">
      <c r="A813" s="47"/>
      <c r="B813" s="107"/>
      <c r="C813" s="48"/>
      <c r="D813" s="48"/>
    </row>
    <row r="814" spans="1:4" x14ac:dyDescent="0.25">
      <c r="A814" s="47"/>
      <c r="B814" s="107"/>
      <c r="C814" s="48"/>
      <c r="D814" s="48"/>
    </row>
    <row r="815" spans="1:4" x14ac:dyDescent="0.25">
      <c r="A815" s="47"/>
      <c r="B815" s="107"/>
      <c r="C815" s="48"/>
      <c r="D815" s="48"/>
    </row>
    <row r="816" spans="1:4" x14ac:dyDescent="0.25">
      <c r="A816" s="47"/>
      <c r="B816" s="107"/>
      <c r="C816" s="48"/>
      <c r="D816" s="48"/>
    </row>
    <row r="817" spans="1:4" x14ac:dyDescent="0.25">
      <c r="A817" s="47"/>
      <c r="B817" s="107"/>
      <c r="C817" s="48"/>
      <c r="D817" s="48"/>
    </row>
    <row r="818" spans="1:4" x14ac:dyDescent="0.25">
      <c r="A818" s="47"/>
      <c r="B818" s="107"/>
      <c r="C818" s="48"/>
      <c r="D818" s="48"/>
    </row>
    <row r="819" spans="1:4" x14ac:dyDescent="0.25">
      <c r="A819" s="47"/>
      <c r="B819" s="107"/>
      <c r="C819" s="48"/>
      <c r="D819" s="48"/>
    </row>
    <row r="820" spans="1:4" x14ac:dyDescent="0.25">
      <c r="A820" s="47"/>
      <c r="B820" s="107"/>
      <c r="C820" s="48"/>
      <c r="D820" s="48"/>
    </row>
    <row r="821" spans="1:4" x14ac:dyDescent="0.25">
      <c r="A821" s="47"/>
      <c r="B821" s="107"/>
      <c r="C821" s="48"/>
      <c r="D821" s="48"/>
    </row>
    <row r="822" spans="1:4" x14ac:dyDescent="0.25">
      <c r="A822" s="47"/>
      <c r="B822" s="107"/>
      <c r="C822" s="48"/>
      <c r="D822" s="48"/>
    </row>
    <row r="823" spans="1:4" x14ac:dyDescent="0.25">
      <c r="A823" s="47"/>
      <c r="B823" s="107"/>
      <c r="C823" s="48"/>
      <c r="D823" s="48"/>
    </row>
    <row r="824" spans="1:4" x14ac:dyDescent="0.25">
      <c r="A824" s="47"/>
      <c r="B824" s="107"/>
      <c r="C824" s="48"/>
      <c r="D824" s="48"/>
    </row>
    <row r="825" spans="1:4" x14ac:dyDescent="0.25">
      <c r="A825" s="47"/>
      <c r="B825" s="107"/>
      <c r="C825" s="48"/>
      <c r="D825" s="48"/>
    </row>
    <row r="826" spans="1:4" x14ac:dyDescent="0.25">
      <c r="A826" s="47"/>
      <c r="B826" s="107"/>
      <c r="C826" s="48"/>
      <c r="D826" s="48"/>
    </row>
    <row r="827" spans="1:4" x14ac:dyDescent="0.25">
      <c r="A827" s="47"/>
      <c r="B827" s="107"/>
      <c r="C827" s="48"/>
      <c r="D827" s="48"/>
    </row>
    <row r="828" spans="1:4" x14ac:dyDescent="0.25">
      <c r="A828" s="47"/>
      <c r="B828" s="107"/>
      <c r="C828" s="48"/>
      <c r="D828" s="48"/>
    </row>
    <row r="829" spans="1:4" x14ac:dyDescent="0.25">
      <c r="A829" s="47"/>
      <c r="B829" s="107"/>
      <c r="C829" s="48"/>
      <c r="D829" s="48"/>
    </row>
    <row r="830" spans="1:4" x14ac:dyDescent="0.25">
      <c r="A830" s="47"/>
      <c r="B830" s="107"/>
      <c r="C830" s="48"/>
      <c r="D830" s="48"/>
    </row>
    <row r="831" spans="1:4" x14ac:dyDescent="0.25">
      <c r="A831" s="47"/>
      <c r="B831" s="107"/>
      <c r="C831" s="48"/>
      <c r="D831" s="48"/>
    </row>
    <row r="832" spans="1:4" x14ac:dyDescent="0.25">
      <c r="A832" s="47"/>
      <c r="B832" s="107"/>
      <c r="C832" s="48"/>
      <c r="D832" s="48"/>
    </row>
    <row r="833" spans="1:4" x14ac:dyDescent="0.25">
      <c r="A833" s="47"/>
      <c r="B833" s="107"/>
      <c r="C833" s="48"/>
      <c r="D833" s="48"/>
    </row>
    <row r="834" spans="1:4" x14ac:dyDescent="0.25">
      <c r="A834" s="47"/>
      <c r="B834" s="107"/>
      <c r="C834" s="48"/>
      <c r="D834" s="48"/>
    </row>
    <row r="835" spans="1:4" x14ac:dyDescent="0.25">
      <c r="A835" s="47"/>
      <c r="B835" s="107"/>
      <c r="C835" s="48"/>
      <c r="D835" s="48"/>
    </row>
    <row r="836" spans="1:4" x14ac:dyDescent="0.25">
      <c r="A836" s="47"/>
      <c r="B836" s="107"/>
      <c r="C836" s="48"/>
      <c r="D836" s="48"/>
    </row>
    <row r="837" spans="1:4" x14ac:dyDescent="0.25">
      <c r="A837" s="47"/>
      <c r="B837" s="107"/>
      <c r="C837" s="48"/>
      <c r="D837" s="48"/>
    </row>
    <row r="838" spans="1:4" x14ac:dyDescent="0.25">
      <c r="A838" s="47"/>
      <c r="B838" s="107"/>
      <c r="C838" s="48"/>
      <c r="D838" s="48"/>
    </row>
    <row r="839" spans="1:4" x14ac:dyDescent="0.25">
      <c r="A839" s="47"/>
      <c r="B839" s="107"/>
      <c r="C839" s="48"/>
      <c r="D839" s="48"/>
    </row>
    <row r="840" spans="1:4" x14ac:dyDescent="0.25">
      <c r="A840" s="47"/>
      <c r="B840" s="107"/>
      <c r="C840" s="48"/>
      <c r="D840" s="48"/>
    </row>
    <row r="841" spans="1:4" x14ac:dyDescent="0.25">
      <c r="A841" s="47"/>
      <c r="B841" s="107"/>
      <c r="C841" s="48"/>
      <c r="D841" s="48"/>
    </row>
    <row r="842" spans="1:4" x14ac:dyDescent="0.25">
      <c r="A842" s="47"/>
      <c r="B842" s="107"/>
      <c r="C842" s="48"/>
      <c r="D842" s="48"/>
    </row>
    <row r="843" spans="1:4" x14ac:dyDescent="0.25">
      <c r="A843" s="47"/>
      <c r="B843" s="107"/>
      <c r="C843" s="48"/>
      <c r="D843" s="48"/>
    </row>
    <row r="844" spans="1:4" x14ac:dyDescent="0.25">
      <c r="A844" s="47"/>
      <c r="B844" s="107"/>
      <c r="C844" s="48"/>
      <c r="D844" s="48"/>
    </row>
    <row r="845" spans="1:4" x14ac:dyDescent="0.25">
      <c r="A845" s="47"/>
      <c r="B845" s="107"/>
      <c r="C845" s="48"/>
      <c r="D845" s="48"/>
    </row>
    <row r="846" spans="1:4" x14ac:dyDescent="0.25">
      <c r="A846" s="47"/>
      <c r="B846" s="107"/>
      <c r="C846" s="48"/>
      <c r="D846" s="48"/>
    </row>
    <row r="847" spans="1:4" x14ac:dyDescent="0.25">
      <c r="A847" s="47"/>
      <c r="B847" s="107"/>
      <c r="C847" s="48"/>
      <c r="D847" s="48"/>
    </row>
    <row r="848" spans="1:4" x14ac:dyDescent="0.25">
      <c r="A848" s="47"/>
      <c r="B848" s="107"/>
      <c r="C848" s="48"/>
      <c r="D848" s="48"/>
    </row>
    <row r="849" spans="1:4" x14ac:dyDescent="0.25">
      <c r="A849" s="47"/>
      <c r="B849" s="107"/>
      <c r="C849" s="48"/>
      <c r="D849" s="48"/>
    </row>
    <row r="850" spans="1:4" x14ac:dyDescent="0.25">
      <c r="A850" s="47"/>
      <c r="B850" s="107"/>
      <c r="C850" s="48"/>
      <c r="D850" s="48"/>
    </row>
    <row r="851" spans="1:4" x14ac:dyDescent="0.25">
      <c r="A851" s="47"/>
      <c r="B851" s="107"/>
      <c r="C851" s="48"/>
      <c r="D851" s="48"/>
    </row>
    <row r="852" spans="1:4" x14ac:dyDescent="0.25">
      <c r="A852" s="47"/>
      <c r="B852" s="107"/>
      <c r="C852" s="48"/>
      <c r="D852" s="48"/>
    </row>
    <row r="853" spans="1:4" x14ac:dyDescent="0.25">
      <c r="A853" s="47"/>
      <c r="B853" s="107"/>
      <c r="C853" s="48"/>
      <c r="D853" s="48"/>
    </row>
    <row r="854" spans="1:4" x14ac:dyDescent="0.25">
      <c r="A854" s="47"/>
      <c r="B854" s="107"/>
      <c r="C854" s="48"/>
      <c r="D854" s="48"/>
    </row>
    <row r="855" spans="1:4" x14ac:dyDescent="0.25">
      <c r="A855" s="47"/>
      <c r="B855" s="107"/>
      <c r="C855" s="48"/>
      <c r="D855" s="48"/>
    </row>
    <row r="856" spans="1:4" x14ac:dyDescent="0.25">
      <c r="A856" s="47"/>
      <c r="B856" s="107"/>
      <c r="C856" s="48"/>
      <c r="D856" s="48"/>
    </row>
    <row r="857" spans="1:4" x14ac:dyDescent="0.25">
      <c r="A857" s="47"/>
      <c r="B857" s="107"/>
      <c r="C857" s="48"/>
      <c r="D857" s="48"/>
    </row>
    <row r="858" spans="1:4" x14ac:dyDescent="0.25">
      <c r="A858" s="47"/>
      <c r="B858" s="107"/>
      <c r="C858" s="48"/>
      <c r="D858" s="48"/>
    </row>
    <row r="859" spans="1:4" x14ac:dyDescent="0.25">
      <c r="A859" s="47"/>
      <c r="B859" s="107"/>
      <c r="C859" s="48"/>
      <c r="D859" s="48"/>
    </row>
    <row r="860" spans="1:4" x14ac:dyDescent="0.25">
      <c r="A860" s="47"/>
      <c r="B860" s="107"/>
      <c r="C860" s="48"/>
      <c r="D860" s="48"/>
    </row>
    <row r="861" spans="1:4" x14ac:dyDescent="0.25">
      <c r="A861" s="47"/>
      <c r="B861" s="107"/>
      <c r="C861" s="48"/>
      <c r="D861" s="48"/>
    </row>
    <row r="862" spans="1:4" x14ac:dyDescent="0.25">
      <c r="A862" s="47"/>
      <c r="B862" s="107"/>
      <c r="C862" s="48"/>
      <c r="D862" s="48"/>
    </row>
    <row r="863" spans="1:4" x14ac:dyDescent="0.25">
      <c r="A863" s="47"/>
      <c r="B863" s="107"/>
      <c r="C863" s="48"/>
      <c r="D863" s="48"/>
    </row>
    <row r="864" spans="1:4" x14ac:dyDescent="0.25">
      <c r="A864" s="47"/>
      <c r="B864" s="107"/>
      <c r="C864" s="48"/>
      <c r="D864" s="48"/>
    </row>
    <row r="865" spans="1:4" x14ac:dyDescent="0.25">
      <c r="A865" s="47"/>
      <c r="B865" s="107"/>
      <c r="C865" s="48"/>
      <c r="D865" s="48"/>
    </row>
    <row r="866" spans="1:4" x14ac:dyDescent="0.25">
      <c r="A866" s="47"/>
      <c r="B866" s="107"/>
      <c r="C866" s="48"/>
      <c r="D866" s="48"/>
    </row>
    <row r="867" spans="1:4" x14ac:dyDescent="0.25">
      <c r="A867" s="47"/>
      <c r="B867" s="107"/>
      <c r="C867" s="48"/>
      <c r="D867" s="48"/>
    </row>
    <row r="868" spans="1:4" x14ac:dyDescent="0.25">
      <c r="A868" s="47"/>
      <c r="B868" s="107"/>
      <c r="C868" s="48"/>
      <c r="D868" s="48"/>
    </row>
    <row r="869" spans="1:4" x14ac:dyDescent="0.25">
      <c r="A869" s="47"/>
      <c r="B869" s="107"/>
      <c r="C869" s="48"/>
      <c r="D869" s="48"/>
    </row>
    <row r="870" spans="1:4" x14ac:dyDescent="0.25">
      <c r="A870" s="47"/>
      <c r="B870" s="107"/>
      <c r="C870" s="48"/>
      <c r="D870" s="48"/>
    </row>
    <row r="871" spans="1:4" x14ac:dyDescent="0.25">
      <c r="A871" s="47"/>
      <c r="B871" s="107"/>
      <c r="C871" s="48"/>
      <c r="D871" s="48"/>
    </row>
    <row r="872" spans="1:4" x14ac:dyDescent="0.25">
      <c r="A872" s="47"/>
      <c r="B872" s="107"/>
      <c r="C872" s="48"/>
      <c r="D872" s="48"/>
    </row>
    <row r="873" spans="1:4" x14ac:dyDescent="0.25">
      <c r="A873" s="47"/>
      <c r="B873" s="107"/>
      <c r="C873" s="48"/>
      <c r="D873" s="48"/>
    </row>
    <row r="874" spans="1:4" x14ac:dyDescent="0.25">
      <c r="A874" s="47"/>
      <c r="B874" s="107"/>
      <c r="C874" s="48"/>
      <c r="D874" s="48"/>
    </row>
    <row r="875" spans="1:4" x14ac:dyDescent="0.25">
      <c r="A875" s="47"/>
      <c r="B875" s="107"/>
      <c r="C875" s="48"/>
      <c r="D875" s="48"/>
    </row>
    <row r="876" spans="1:4" x14ac:dyDescent="0.25">
      <c r="A876" s="47"/>
      <c r="B876" s="107"/>
      <c r="C876" s="48"/>
      <c r="D876" s="48"/>
    </row>
    <row r="877" spans="1:4" x14ac:dyDescent="0.25">
      <c r="A877" s="47"/>
      <c r="B877" s="107"/>
      <c r="C877" s="48"/>
      <c r="D877" s="48"/>
    </row>
    <row r="878" spans="1:4" x14ac:dyDescent="0.25">
      <c r="A878" s="47"/>
      <c r="B878" s="107"/>
      <c r="C878" s="48"/>
      <c r="D878" s="48"/>
    </row>
    <row r="879" spans="1:4" x14ac:dyDescent="0.25">
      <c r="A879" s="47"/>
      <c r="B879" s="107"/>
      <c r="C879" s="48"/>
      <c r="D879" s="48"/>
    </row>
    <row r="880" spans="1:4" x14ac:dyDescent="0.25">
      <c r="A880" s="47"/>
      <c r="B880" s="107"/>
      <c r="C880" s="48"/>
      <c r="D880" s="48"/>
    </row>
    <row r="881" spans="1:4" x14ac:dyDescent="0.25">
      <c r="A881" s="47"/>
      <c r="B881" s="107"/>
      <c r="C881" s="48"/>
      <c r="D881" s="48"/>
    </row>
    <row r="882" spans="1:4" x14ac:dyDescent="0.25">
      <c r="A882" s="47"/>
      <c r="B882" s="107"/>
      <c r="C882" s="48"/>
      <c r="D882" s="48"/>
    </row>
    <row r="883" spans="1:4" x14ac:dyDescent="0.25">
      <c r="A883" s="47"/>
      <c r="B883" s="107"/>
      <c r="C883" s="48"/>
      <c r="D883" s="48"/>
    </row>
    <row r="884" spans="1:4" x14ac:dyDescent="0.25">
      <c r="A884" s="47"/>
      <c r="B884" s="107"/>
      <c r="C884" s="48"/>
      <c r="D884" s="48"/>
    </row>
    <row r="885" spans="1:4" x14ac:dyDescent="0.25">
      <c r="A885" s="47"/>
      <c r="B885" s="107"/>
      <c r="C885" s="48"/>
      <c r="D885" s="48"/>
    </row>
    <row r="886" spans="1:4" x14ac:dyDescent="0.25">
      <c r="A886" s="47"/>
      <c r="B886" s="107"/>
      <c r="C886" s="48"/>
      <c r="D886" s="48"/>
    </row>
    <row r="887" spans="1:4" x14ac:dyDescent="0.25">
      <c r="A887" s="47"/>
      <c r="B887" s="107"/>
      <c r="C887" s="48"/>
      <c r="D887" s="48"/>
    </row>
    <row r="888" spans="1:4" x14ac:dyDescent="0.25">
      <c r="A888" s="47"/>
      <c r="B888" s="107"/>
      <c r="C888" s="48"/>
      <c r="D888" s="48"/>
    </row>
    <row r="889" spans="1:4" x14ac:dyDescent="0.25">
      <c r="A889" s="47"/>
      <c r="B889" s="107"/>
      <c r="C889" s="48"/>
      <c r="D889" s="48"/>
    </row>
    <row r="890" spans="1:4" x14ac:dyDescent="0.25">
      <c r="A890" s="47"/>
      <c r="B890" s="107"/>
      <c r="C890" s="48"/>
      <c r="D890" s="48"/>
    </row>
    <row r="891" spans="1:4" x14ac:dyDescent="0.25">
      <c r="A891" s="47"/>
      <c r="B891" s="107"/>
      <c r="C891" s="48"/>
      <c r="D891" s="48"/>
    </row>
    <row r="892" spans="1:4" x14ac:dyDescent="0.25">
      <c r="A892" s="47"/>
      <c r="B892" s="107"/>
      <c r="C892" s="48"/>
      <c r="D892" s="48"/>
    </row>
    <row r="893" spans="1:4" x14ac:dyDescent="0.25">
      <c r="A893" s="47"/>
      <c r="B893" s="107"/>
      <c r="C893" s="48"/>
      <c r="D893" s="48"/>
    </row>
    <row r="894" spans="1:4" x14ac:dyDescent="0.25">
      <c r="A894" s="47"/>
      <c r="B894" s="107"/>
      <c r="C894" s="48"/>
      <c r="D894" s="48"/>
    </row>
    <row r="895" spans="1:4" x14ac:dyDescent="0.25">
      <c r="A895" s="47"/>
      <c r="B895" s="107"/>
      <c r="C895" s="48"/>
      <c r="D895" s="48"/>
    </row>
    <row r="896" spans="1:4" x14ac:dyDescent="0.25">
      <c r="A896" s="47"/>
      <c r="B896" s="107"/>
      <c r="C896" s="48"/>
      <c r="D896" s="48"/>
    </row>
    <row r="897" spans="1:4" x14ac:dyDescent="0.25">
      <c r="A897" s="47"/>
      <c r="B897" s="107"/>
      <c r="C897" s="48"/>
      <c r="D897" s="48"/>
    </row>
    <row r="898" spans="1:4" x14ac:dyDescent="0.25">
      <c r="A898" s="47"/>
      <c r="B898" s="107"/>
      <c r="C898" s="48"/>
      <c r="D898" s="48"/>
    </row>
    <row r="899" spans="1:4" x14ac:dyDescent="0.25">
      <c r="A899" s="47"/>
      <c r="B899" s="107"/>
      <c r="C899" s="48"/>
      <c r="D899" s="48"/>
    </row>
    <row r="900" spans="1:4" x14ac:dyDescent="0.25">
      <c r="A900" s="47"/>
      <c r="B900" s="107"/>
      <c r="C900" s="48"/>
      <c r="D900" s="48"/>
    </row>
    <row r="901" spans="1:4" x14ac:dyDescent="0.25">
      <c r="A901" s="47"/>
      <c r="B901" s="107"/>
      <c r="C901" s="48"/>
      <c r="D901" s="48"/>
    </row>
    <row r="902" spans="1:4" x14ac:dyDescent="0.25">
      <c r="A902" s="47"/>
      <c r="B902" s="107"/>
      <c r="C902" s="48"/>
      <c r="D902" s="48"/>
    </row>
    <row r="903" spans="1:4" x14ac:dyDescent="0.25">
      <c r="A903" s="47"/>
      <c r="B903" s="107"/>
      <c r="C903" s="48"/>
      <c r="D903" s="48"/>
    </row>
    <row r="904" spans="1:4" x14ac:dyDescent="0.25">
      <c r="A904" s="47"/>
      <c r="B904" s="107"/>
      <c r="C904" s="48"/>
      <c r="D904" s="48"/>
    </row>
    <row r="905" spans="1:4" x14ac:dyDescent="0.25">
      <c r="A905" s="47"/>
      <c r="B905" s="107"/>
      <c r="C905" s="48"/>
      <c r="D905" s="48"/>
    </row>
    <row r="906" spans="1:4" x14ac:dyDescent="0.25">
      <c r="A906" s="47"/>
      <c r="B906" s="107"/>
      <c r="C906" s="48"/>
      <c r="D906" s="48"/>
    </row>
    <row r="907" spans="1:4" x14ac:dyDescent="0.25">
      <c r="A907" s="47"/>
      <c r="B907" s="107"/>
      <c r="C907" s="48"/>
      <c r="D907" s="48"/>
    </row>
    <row r="908" spans="1:4" x14ac:dyDescent="0.25">
      <c r="A908" s="47"/>
      <c r="B908" s="107"/>
      <c r="C908" s="48"/>
      <c r="D908" s="48"/>
    </row>
    <row r="909" spans="1:4" x14ac:dyDescent="0.25">
      <c r="A909" s="47"/>
      <c r="B909" s="107"/>
      <c r="C909" s="48"/>
      <c r="D909" s="48"/>
    </row>
    <row r="910" spans="1:4" x14ac:dyDescent="0.25">
      <c r="A910" s="47"/>
      <c r="B910" s="107"/>
      <c r="C910" s="48"/>
      <c r="D910" s="48"/>
    </row>
    <row r="911" spans="1:4" x14ac:dyDescent="0.25">
      <c r="A911" s="47"/>
      <c r="B911" s="107"/>
      <c r="C911" s="48"/>
      <c r="D911" s="48"/>
    </row>
    <row r="912" spans="1:4" x14ac:dyDescent="0.25">
      <c r="A912" s="47"/>
      <c r="B912" s="107"/>
      <c r="C912" s="48"/>
      <c r="D912" s="48"/>
    </row>
    <row r="913" spans="1:4" x14ac:dyDescent="0.25">
      <c r="A913" s="47"/>
      <c r="B913" s="107"/>
      <c r="C913" s="48"/>
      <c r="D913" s="48"/>
    </row>
    <row r="914" spans="1:4" x14ac:dyDescent="0.25">
      <c r="A914" s="47"/>
      <c r="B914" s="107"/>
      <c r="C914" s="48"/>
      <c r="D914" s="48"/>
    </row>
    <row r="915" spans="1:4" x14ac:dyDescent="0.25">
      <c r="A915" s="47"/>
      <c r="B915" s="107"/>
      <c r="C915" s="48"/>
      <c r="D915" s="48"/>
    </row>
    <row r="916" spans="1:4" x14ac:dyDescent="0.25">
      <c r="A916" s="47"/>
      <c r="B916" s="107"/>
      <c r="C916" s="48"/>
      <c r="D916" s="48"/>
    </row>
    <row r="917" spans="1:4" x14ac:dyDescent="0.25">
      <c r="A917" s="47"/>
      <c r="B917" s="107"/>
      <c r="C917" s="48"/>
      <c r="D917" s="48"/>
    </row>
    <row r="918" spans="1:4" x14ac:dyDescent="0.25">
      <c r="A918" s="47"/>
      <c r="B918" s="107"/>
      <c r="C918" s="48"/>
      <c r="D918" s="48"/>
    </row>
    <row r="919" spans="1:4" x14ac:dyDescent="0.25">
      <c r="A919" s="47"/>
      <c r="B919" s="107"/>
      <c r="C919" s="48"/>
      <c r="D919" s="48"/>
    </row>
    <row r="920" spans="1:4" x14ac:dyDescent="0.25">
      <c r="A920" s="47"/>
      <c r="B920" s="107"/>
      <c r="C920" s="48"/>
      <c r="D920" s="48"/>
    </row>
    <row r="921" spans="1:4" x14ac:dyDescent="0.25">
      <c r="A921" s="47"/>
      <c r="B921" s="107"/>
      <c r="C921" s="48"/>
      <c r="D921" s="48"/>
    </row>
    <row r="922" spans="1:4" x14ac:dyDescent="0.25">
      <c r="A922" s="47"/>
      <c r="B922" s="107"/>
      <c r="C922" s="48"/>
      <c r="D922" s="48"/>
    </row>
    <row r="923" spans="1:4" x14ac:dyDescent="0.25">
      <c r="A923" s="47"/>
      <c r="B923" s="107"/>
      <c r="C923" s="48"/>
      <c r="D923" s="48"/>
    </row>
    <row r="924" spans="1:4" x14ac:dyDescent="0.25">
      <c r="A924" s="47"/>
      <c r="B924" s="107"/>
      <c r="C924" s="48"/>
      <c r="D924" s="48"/>
    </row>
    <row r="925" spans="1:4" x14ac:dyDescent="0.25">
      <c r="A925" s="47"/>
      <c r="B925" s="107"/>
      <c r="C925" s="48"/>
      <c r="D925" s="48"/>
    </row>
    <row r="926" spans="1:4" x14ac:dyDescent="0.25">
      <c r="A926" s="47"/>
      <c r="B926" s="107"/>
      <c r="C926" s="48"/>
      <c r="D926" s="48"/>
    </row>
    <row r="927" spans="1:4" x14ac:dyDescent="0.25">
      <c r="A927" s="47"/>
      <c r="B927" s="107"/>
      <c r="C927" s="48"/>
      <c r="D927" s="48"/>
    </row>
    <row r="928" spans="1:4" x14ac:dyDescent="0.25">
      <c r="A928" s="47"/>
      <c r="B928" s="107"/>
      <c r="C928" s="48"/>
      <c r="D928" s="48"/>
    </row>
    <row r="929" spans="1:4" x14ac:dyDescent="0.25">
      <c r="A929" s="47"/>
      <c r="B929" s="107"/>
      <c r="C929" s="48"/>
      <c r="D929" s="48"/>
    </row>
    <row r="930" spans="1:4" x14ac:dyDescent="0.25">
      <c r="A930" s="47"/>
      <c r="B930" s="107"/>
      <c r="C930" s="48"/>
      <c r="D930" s="48"/>
    </row>
    <row r="931" spans="1:4" x14ac:dyDescent="0.25">
      <c r="A931" s="47"/>
      <c r="B931" s="107"/>
      <c r="C931" s="48"/>
      <c r="D931" s="48"/>
    </row>
    <row r="932" spans="1:4" x14ac:dyDescent="0.25">
      <c r="A932" s="47"/>
      <c r="B932" s="107"/>
      <c r="C932" s="48"/>
      <c r="D932" s="48"/>
    </row>
    <row r="933" spans="1:4" x14ac:dyDescent="0.25">
      <c r="A933" s="47"/>
      <c r="B933" s="107"/>
      <c r="C933" s="48"/>
      <c r="D933" s="48"/>
    </row>
    <row r="934" spans="1:4" x14ac:dyDescent="0.25">
      <c r="A934" s="47"/>
      <c r="B934" s="107"/>
      <c r="C934" s="48"/>
      <c r="D934" s="48"/>
    </row>
    <row r="935" spans="1:4" x14ac:dyDescent="0.25">
      <c r="A935" s="47"/>
      <c r="B935" s="107"/>
      <c r="C935" s="48"/>
      <c r="D935" s="48"/>
    </row>
    <row r="936" spans="1:4" x14ac:dyDescent="0.25">
      <c r="A936" s="47"/>
      <c r="B936" s="107"/>
      <c r="C936" s="48"/>
      <c r="D936" s="48"/>
    </row>
    <row r="937" spans="1:4" x14ac:dyDescent="0.25">
      <c r="A937" s="47"/>
      <c r="B937" s="107"/>
      <c r="C937" s="48"/>
      <c r="D937" s="48"/>
    </row>
    <row r="938" spans="1:4" x14ac:dyDescent="0.25">
      <c r="A938" s="47"/>
      <c r="B938" s="107"/>
      <c r="C938" s="48"/>
      <c r="D938" s="48"/>
    </row>
    <row r="939" spans="1:4" x14ac:dyDescent="0.25">
      <c r="A939" s="47"/>
      <c r="B939" s="107"/>
      <c r="C939" s="48"/>
      <c r="D939" s="48"/>
    </row>
    <row r="940" spans="1:4" x14ac:dyDescent="0.25">
      <c r="A940" s="47"/>
      <c r="B940" s="107"/>
      <c r="C940" s="48"/>
      <c r="D940" s="48"/>
    </row>
    <row r="941" spans="1:4" x14ac:dyDescent="0.25">
      <c r="A941" s="47"/>
      <c r="B941" s="107"/>
      <c r="C941" s="48"/>
      <c r="D941" s="48"/>
    </row>
    <row r="942" spans="1:4" x14ac:dyDescent="0.25">
      <c r="A942" s="47"/>
      <c r="B942" s="107"/>
      <c r="C942" s="48"/>
      <c r="D942" s="48"/>
    </row>
    <row r="943" spans="1:4" x14ac:dyDescent="0.25">
      <c r="A943" s="47"/>
      <c r="B943" s="107"/>
      <c r="C943" s="48"/>
      <c r="D943" s="48"/>
    </row>
    <row r="944" spans="1:4" x14ac:dyDescent="0.25">
      <c r="A944" s="47"/>
      <c r="B944" s="107"/>
      <c r="C944" s="48"/>
      <c r="D944" s="48"/>
    </row>
    <row r="945" spans="1:4" x14ac:dyDescent="0.25">
      <c r="A945" s="47"/>
      <c r="B945" s="107"/>
      <c r="C945" s="48"/>
      <c r="D945" s="48"/>
    </row>
    <row r="946" spans="1:4" x14ac:dyDescent="0.25">
      <c r="A946" s="47"/>
      <c r="B946" s="107"/>
      <c r="C946" s="48"/>
      <c r="D946" s="48"/>
    </row>
    <row r="947" spans="1:4" x14ac:dyDescent="0.25">
      <c r="A947" s="47"/>
      <c r="B947" s="107"/>
      <c r="C947" s="48"/>
      <c r="D947" s="48"/>
    </row>
    <row r="948" spans="1:4" x14ac:dyDescent="0.25">
      <c r="A948" s="47"/>
      <c r="B948" s="107"/>
      <c r="C948" s="48"/>
      <c r="D948" s="48"/>
    </row>
    <row r="949" spans="1:4" x14ac:dyDescent="0.25">
      <c r="A949" s="47"/>
      <c r="B949" s="107"/>
      <c r="C949" s="48"/>
      <c r="D949" s="48"/>
    </row>
    <row r="950" spans="1:4" x14ac:dyDescent="0.25">
      <c r="A950" s="47"/>
      <c r="B950" s="107"/>
      <c r="C950" s="48"/>
      <c r="D950" s="48"/>
    </row>
    <row r="951" spans="1:4" x14ac:dyDescent="0.25">
      <c r="A951" s="47"/>
      <c r="B951" s="107"/>
      <c r="C951" s="48"/>
      <c r="D951" s="48"/>
    </row>
    <row r="952" spans="1:4" x14ac:dyDescent="0.25">
      <c r="A952" s="47"/>
      <c r="B952" s="107"/>
      <c r="C952" s="48"/>
      <c r="D952" s="48"/>
    </row>
    <row r="953" spans="1:4" x14ac:dyDescent="0.25">
      <c r="A953" s="47"/>
      <c r="B953" s="107"/>
      <c r="C953" s="48"/>
      <c r="D953" s="48"/>
    </row>
    <row r="954" spans="1:4" x14ac:dyDescent="0.25">
      <c r="A954" s="47"/>
      <c r="B954" s="107"/>
      <c r="C954" s="48"/>
      <c r="D954" s="48"/>
    </row>
    <row r="955" spans="1:4" x14ac:dyDescent="0.25">
      <c r="A955" s="47"/>
      <c r="B955" s="107"/>
      <c r="C955" s="48"/>
      <c r="D955" s="48"/>
    </row>
    <row r="956" spans="1:4" x14ac:dyDescent="0.25">
      <c r="A956" s="47"/>
      <c r="B956" s="107"/>
      <c r="C956" s="48"/>
      <c r="D956" s="48"/>
    </row>
    <row r="957" spans="1:4" x14ac:dyDescent="0.25">
      <c r="A957" s="47"/>
      <c r="B957" s="107"/>
      <c r="C957" s="48"/>
      <c r="D957" s="48"/>
    </row>
    <row r="958" spans="1:4" x14ac:dyDescent="0.25">
      <c r="A958" s="47"/>
      <c r="B958" s="107"/>
      <c r="C958" s="48"/>
      <c r="D958" s="48"/>
    </row>
    <row r="959" spans="1:4" x14ac:dyDescent="0.25">
      <c r="A959" s="47"/>
      <c r="B959" s="107"/>
      <c r="C959" s="48"/>
      <c r="D959" s="48"/>
    </row>
    <row r="960" spans="1:4" x14ac:dyDescent="0.25">
      <c r="A960" s="47"/>
      <c r="B960" s="107"/>
      <c r="C960" s="48"/>
      <c r="D960" s="48"/>
    </row>
    <row r="961" spans="1:4" x14ac:dyDescent="0.25">
      <c r="A961" s="47"/>
      <c r="B961" s="107"/>
      <c r="C961" s="48"/>
      <c r="D961" s="48"/>
    </row>
    <row r="962" spans="1:4" x14ac:dyDescent="0.25">
      <c r="A962" s="47"/>
      <c r="B962" s="107"/>
      <c r="C962" s="48"/>
      <c r="D962" s="48"/>
    </row>
    <row r="963" spans="1:4" x14ac:dyDescent="0.25">
      <c r="A963" s="47"/>
      <c r="B963" s="107"/>
      <c r="C963" s="48"/>
      <c r="D963" s="48"/>
    </row>
    <row r="964" spans="1:4" x14ac:dyDescent="0.25">
      <c r="A964" s="47"/>
      <c r="B964" s="107"/>
      <c r="C964" s="48"/>
      <c r="D964" s="48"/>
    </row>
    <row r="965" spans="1:4" x14ac:dyDescent="0.25">
      <c r="A965" s="47"/>
      <c r="B965" s="107"/>
      <c r="C965" s="48"/>
      <c r="D965" s="48"/>
    </row>
    <row r="966" spans="1:4" x14ac:dyDescent="0.25">
      <c r="A966" s="47"/>
      <c r="B966" s="107"/>
      <c r="C966" s="48"/>
      <c r="D966" s="48"/>
    </row>
    <row r="967" spans="1:4" x14ac:dyDescent="0.25">
      <c r="A967" s="47"/>
      <c r="B967" s="107"/>
      <c r="C967" s="48"/>
      <c r="D967" s="48"/>
    </row>
    <row r="968" spans="1:4" x14ac:dyDescent="0.25">
      <c r="A968" s="47"/>
      <c r="B968" s="107"/>
      <c r="C968" s="48"/>
      <c r="D968" s="48"/>
    </row>
    <row r="969" spans="1:4" x14ac:dyDescent="0.25">
      <c r="A969" s="47"/>
      <c r="B969" s="107"/>
      <c r="C969" s="48"/>
      <c r="D969" s="48"/>
    </row>
    <row r="970" spans="1:4" x14ac:dyDescent="0.25">
      <c r="A970" s="47"/>
      <c r="B970" s="107"/>
      <c r="C970" s="48"/>
      <c r="D970" s="48"/>
    </row>
    <row r="971" spans="1:4" x14ac:dyDescent="0.25">
      <c r="A971" s="47"/>
      <c r="B971" s="107"/>
      <c r="C971" s="48"/>
      <c r="D971" s="48"/>
    </row>
    <row r="972" spans="1:4" x14ac:dyDescent="0.25">
      <c r="A972" s="47"/>
      <c r="B972" s="107"/>
      <c r="C972" s="48"/>
      <c r="D972" s="48"/>
    </row>
    <row r="973" spans="1:4" x14ac:dyDescent="0.25">
      <c r="A973" s="47"/>
      <c r="B973" s="107"/>
      <c r="C973" s="48"/>
      <c r="D973" s="48"/>
    </row>
    <row r="974" spans="1:4" x14ac:dyDescent="0.25">
      <c r="A974" s="47"/>
      <c r="B974" s="107"/>
      <c r="C974" s="48"/>
      <c r="D974" s="48"/>
    </row>
    <row r="975" spans="1:4" x14ac:dyDescent="0.25">
      <c r="A975" s="47"/>
      <c r="B975" s="107"/>
      <c r="C975" s="48"/>
      <c r="D975" s="48"/>
    </row>
    <row r="976" spans="1:4" x14ac:dyDescent="0.25">
      <c r="A976" s="47"/>
      <c r="B976" s="107"/>
      <c r="C976" s="48"/>
      <c r="D976" s="48"/>
    </row>
    <row r="977" spans="1:4" x14ac:dyDescent="0.25">
      <c r="A977" s="47"/>
      <c r="B977" s="107"/>
      <c r="C977" s="48"/>
      <c r="D977" s="48"/>
    </row>
    <row r="978" spans="1:4" x14ac:dyDescent="0.25">
      <c r="A978" s="47"/>
      <c r="B978" s="107"/>
      <c r="C978" s="48"/>
      <c r="D978" s="48"/>
    </row>
    <row r="979" spans="1:4" x14ac:dyDescent="0.25">
      <c r="A979" s="47"/>
      <c r="B979" s="107"/>
      <c r="C979" s="48"/>
      <c r="D979" s="48"/>
    </row>
    <row r="980" spans="1:4" x14ac:dyDescent="0.25">
      <c r="A980" s="47"/>
      <c r="B980" s="107"/>
      <c r="C980" s="48"/>
      <c r="D980" s="48"/>
    </row>
    <row r="981" spans="1:4" x14ac:dyDescent="0.25">
      <c r="A981" s="47"/>
      <c r="B981" s="107"/>
      <c r="C981" s="48"/>
      <c r="D981" s="48"/>
    </row>
    <row r="982" spans="1:4" x14ac:dyDescent="0.25">
      <c r="A982" s="47"/>
      <c r="B982" s="107"/>
      <c r="C982" s="48"/>
      <c r="D982" s="48"/>
    </row>
    <row r="983" spans="1:4" x14ac:dyDescent="0.25">
      <c r="A983" s="47"/>
      <c r="B983" s="107"/>
      <c r="C983" s="48"/>
      <c r="D983" s="48"/>
    </row>
    <row r="984" spans="1:4" x14ac:dyDescent="0.25">
      <c r="A984" s="47"/>
      <c r="B984" s="107"/>
      <c r="C984" s="48"/>
      <c r="D984" s="48"/>
    </row>
    <row r="985" spans="1:4" x14ac:dyDescent="0.25">
      <c r="A985" s="47"/>
      <c r="B985" s="107"/>
      <c r="C985" s="48"/>
      <c r="D985" s="48"/>
    </row>
    <row r="986" spans="1:4" x14ac:dyDescent="0.25">
      <c r="A986" s="47"/>
      <c r="B986" s="107"/>
      <c r="C986" s="48"/>
      <c r="D986" s="48"/>
    </row>
    <row r="987" spans="1:4" x14ac:dyDescent="0.25">
      <c r="A987" s="47"/>
      <c r="B987" s="107"/>
      <c r="C987" s="48"/>
      <c r="D987" s="48"/>
    </row>
    <row r="988" spans="1:4" x14ac:dyDescent="0.25">
      <c r="A988" s="47"/>
      <c r="B988" s="107"/>
      <c r="C988" s="48"/>
      <c r="D988" s="48"/>
    </row>
    <row r="989" spans="1:4" x14ac:dyDescent="0.25">
      <c r="A989" s="47"/>
      <c r="B989" s="107"/>
      <c r="C989" s="48"/>
      <c r="D989" s="48"/>
    </row>
    <row r="990" spans="1:4" x14ac:dyDescent="0.25">
      <c r="A990" s="47"/>
      <c r="B990" s="107"/>
      <c r="C990" s="48"/>
      <c r="D990" s="48"/>
    </row>
    <row r="991" spans="1:4" x14ac:dyDescent="0.25">
      <c r="A991" s="47"/>
      <c r="B991" s="107"/>
      <c r="C991" s="48"/>
      <c r="D991" s="48"/>
    </row>
    <row r="992" spans="1:4" x14ac:dyDescent="0.25">
      <c r="A992" s="47"/>
      <c r="B992" s="107"/>
      <c r="C992" s="48"/>
      <c r="D992" s="48"/>
    </row>
    <row r="993" spans="1:4" x14ac:dyDescent="0.25">
      <c r="A993" s="47"/>
      <c r="B993" s="107"/>
      <c r="C993" s="48"/>
      <c r="D993" s="48"/>
    </row>
    <row r="994" spans="1:4" x14ac:dyDescent="0.25">
      <c r="A994" s="47"/>
      <c r="B994" s="107"/>
      <c r="C994" s="48"/>
      <c r="D994" s="48"/>
    </row>
    <row r="995" spans="1:4" x14ac:dyDescent="0.25">
      <c r="A995" s="47"/>
      <c r="B995" s="107"/>
      <c r="C995" s="48"/>
      <c r="D995" s="48"/>
    </row>
    <row r="996" spans="1:4" x14ac:dyDescent="0.25">
      <c r="A996" s="47"/>
      <c r="B996" s="107"/>
      <c r="C996" s="48"/>
      <c r="D996" s="48"/>
    </row>
    <row r="997" spans="1:4" x14ac:dyDescent="0.25">
      <c r="A997" s="47"/>
      <c r="B997" s="107"/>
      <c r="C997" s="48"/>
      <c r="D997" s="48"/>
    </row>
    <row r="998" spans="1:4" x14ac:dyDescent="0.25">
      <c r="A998" s="47"/>
      <c r="B998" s="107"/>
      <c r="C998" s="48"/>
      <c r="D998" s="48"/>
    </row>
    <row r="999" spans="1:4" x14ac:dyDescent="0.25">
      <c r="A999" s="47"/>
      <c r="B999" s="107"/>
      <c r="C999" s="48"/>
      <c r="D999" s="48"/>
    </row>
    <row r="1000" spans="1:4" x14ac:dyDescent="0.25">
      <c r="A1000" s="47"/>
      <c r="B1000" s="107"/>
      <c r="C1000" s="48"/>
      <c r="D1000" s="48"/>
    </row>
    <row r="1001" spans="1:4" x14ac:dyDescent="0.25">
      <c r="A1001" s="47"/>
      <c r="B1001" s="107"/>
      <c r="C1001" s="48"/>
      <c r="D1001" s="48"/>
    </row>
    <row r="1002" spans="1:4" x14ac:dyDescent="0.25">
      <c r="A1002" s="47"/>
      <c r="B1002" s="107"/>
      <c r="C1002" s="48"/>
      <c r="D1002" s="48"/>
    </row>
    <row r="1003" spans="1:4" x14ac:dyDescent="0.25">
      <c r="A1003" s="47"/>
      <c r="B1003" s="107"/>
      <c r="C1003" s="48"/>
      <c r="D1003" s="48"/>
    </row>
    <row r="1004" spans="1:4" x14ac:dyDescent="0.25">
      <c r="A1004" s="47"/>
      <c r="B1004" s="107"/>
      <c r="C1004" s="48"/>
      <c r="D1004" s="48"/>
    </row>
    <row r="1005" spans="1:4" x14ac:dyDescent="0.25">
      <c r="A1005" s="47"/>
      <c r="B1005" s="107"/>
      <c r="C1005" s="48"/>
      <c r="D1005" s="48"/>
    </row>
    <row r="1006" spans="1:4" x14ac:dyDescent="0.25">
      <c r="A1006" s="47"/>
      <c r="B1006" s="107"/>
      <c r="C1006" s="48"/>
      <c r="D1006" s="48"/>
    </row>
    <row r="1007" spans="1:4" x14ac:dyDescent="0.25">
      <c r="A1007" s="47"/>
      <c r="B1007" s="107"/>
      <c r="C1007" s="48"/>
      <c r="D1007" s="48"/>
    </row>
    <row r="1008" spans="1:4" x14ac:dyDescent="0.25">
      <c r="A1008" s="47"/>
      <c r="B1008" s="107"/>
      <c r="C1008" s="48"/>
      <c r="D1008" s="48"/>
    </row>
    <row r="1009" spans="1:4" x14ac:dyDescent="0.25">
      <c r="A1009" s="47"/>
      <c r="B1009" s="107"/>
      <c r="C1009" s="48"/>
      <c r="D1009" s="48"/>
    </row>
    <row r="1010" spans="1:4" x14ac:dyDescent="0.25">
      <c r="A1010" s="47"/>
      <c r="B1010" s="107"/>
      <c r="C1010" s="48"/>
      <c r="D1010" s="48"/>
    </row>
    <row r="1011" spans="1:4" x14ac:dyDescent="0.25">
      <c r="A1011" s="47"/>
      <c r="B1011" s="107"/>
      <c r="C1011" s="48"/>
      <c r="D1011" s="48"/>
    </row>
    <row r="1012" spans="1:4" x14ac:dyDescent="0.25">
      <c r="A1012" s="47"/>
      <c r="B1012" s="107"/>
      <c r="C1012" s="48"/>
      <c r="D1012" s="48"/>
    </row>
    <row r="1013" spans="1:4" x14ac:dyDescent="0.25">
      <c r="A1013" s="47"/>
      <c r="B1013" s="107"/>
      <c r="C1013" s="48"/>
      <c r="D1013" s="48"/>
    </row>
    <row r="1014" spans="1:4" x14ac:dyDescent="0.25">
      <c r="A1014" s="47"/>
      <c r="B1014" s="107"/>
      <c r="C1014" s="48"/>
      <c r="D1014" s="48"/>
    </row>
    <row r="1015" spans="1:4" x14ac:dyDescent="0.25">
      <c r="A1015" s="47"/>
      <c r="B1015" s="107"/>
      <c r="C1015" s="48"/>
      <c r="D1015" s="48"/>
    </row>
    <row r="1016" spans="1:4" x14ac:dyDescent="0.25">
      <c r="A1016" s="47"/>
      <c r="B1016" s="107"/>
      <c r="C1016" s="48"/>
      <c r="D1016" s="48"/>
    </row>
    <row r="1017" spans="1:4" x14ac:dyDescent="0.25">
      <c r="A1017" s="47"/>
      <c r="B1017" s="107"/>
      <c r="C1017" s="48"/>
      <c r="D1017" s="48"/>
    </row>
    <row r="1018" spans="1:4" x14ac:dyDescent="0.25">
      <c r="A1018" s="47"/>
      <c r="B1018" s="107"/>
      <c r="C1018" s="48"/>
      <c r="D1018" s="48"/>
    </row>
    <row r="1019" spans="1:4" x14ac:dyDescent="0.25">
      <c r="A1019" s="47"/>
      <c r="B1019" s="107"/>
      <c r="C1019" s="48"/>
      <c r="D1019" s="48"/>
    </row>
    <row r="1020" spans="1:4" x14ac:dyDescent="0.25">
      <c r="A1020" s="47"/>
      <c r="B1020" s="107"/>
      <c r="C1020" s="48"/>
      <c r="D1020" s="48"/>
    </row>
    <row r="1021" spans="1:4" x14ac:dyDescent="0.25">
      <c r="A1021" s="47"/>
      <c r="B1021" s="107"/>
      <c r="C1021" s="48"/>
      <c r="D1021" s="48"/>
    </row>
    <row r="1022" spans="1:4" x14ac:dyDescent="0.25">
      <c r="A1022" s="47"/>
      <c r="B1022" s="107"/>
      <c r="C1022" s="48"/>
      <c r="D1022" s="48"/>
    </row>
    <row r="1023" spans="1:4" x14ac:dyDescent="0.25">
      <c r="A1023" s="47"/>
      <c r="B1023" s="107"/>
      <c r="C1023" s="48"/>
      <c r="D1023" s="48"/>
    </row>
    <row r="1024" spans="1:4" x14ac:dyDescent="0.25">
      <c r="A1024" s="47"/>
      <c r="B1024" s="107"/>
      <c r="C1024" s="48"/>
      <c r="D1024" s="48"/>
    </row>
    <row r="1025" spans="1:4" x14ac:dyDescent="0.25">
      <c r="A1025" s="47"/>
      <c r="B1025" s="107"/>
      <c r="C1025" s="48"/>
      <c r="D1025" s="48"/>
    </row>
    <row r="1026" spans="1:4" x14ac:dyDescent="0.25">
      <c r="A1026" s="47"/>
      <c r="B1026" s="107"/>
      <c r="C1026" s="48"/>
      <c r="D1026" s="48"/>
    </row>
    <row r="1027" spans="1:4" x14ac:dyDescent="0.25">
      <c r="A1027" s="47"/>
      <c r="B1027" s="107"/>
      <c r="C1027" s="48"/>
      <c r="D1027" s="48"/>
    </row>
    <row r="1028" spans="1:4" x14ac:dyDescent="0.25">
      <c r="A1028" s="47"/>
      <c r="B1028" s="107"/>
      <c r="C1028" s="48"/>
      <c r="D1028" s="48"/>
    </row>
    <row r="1029" spans="1:4" x14ac:dyDescent="0.25">
      <c r="A1029" s="47"/>
      <c r="B1029" s="107"/>
      <c r="C1029" s="48"/>
      <c r="D1029" s="48"/>
    </row>
    <row r="1030" spans="1:4" x14ac:dyDescent="0.25">
      <c r="A1030" s="47"/>
      <c r="B1030" s="107"/>
      <c r="C1030" s="48"/>
      <c r="D1030" s="48"/>
    </row>
    <row r="1031" spans="1:4" x14ac:dyDescent="0.25">
      <c r="A1031" s="47"/>
      <c r="B1031" s="107"/>
      <c r="C1031" s="48"/>
      <c r="D1031" s="48"/>
    </row>
    <row r="1032" spans="1:4" x14ac:dyDescent="0.25">
      <c r="A1032" s="47"/>
      <c r="B1032" s="107"/>
      <c r="C1032" s="48"/>
      <c r="D1032" s="48"/>
    </row>
    <row r="1033" spans="1:4" x14ac:dyDescent="0.25">
      <c r="A1033" s="47"/>
      <c r="B1033" s="107"/>
      <c r="C1033" s="48"/>
      <c r="D1033" s="48"/>
    </row>
    <row r="1034" spans="1:4" x14ac:dyDescent="0.25">
      <c r="A1034" s="47"/>
      <c r="B1034" s="107"/>
      <c r="C1034" s="48"/>
      <c r="D1034" s="48"/>
    </row>
    <row r="1035" spans="1:4" x14ac:dyDescent="0.25">
      <c r="A1035" s="47"/>
      <c r="B1035" s="107"/>
      <c r="C1035" s="48"/>
      <c r="D1035" s="48"/>
    </row>
    <row r="1036" spans="1:4" x14ac:dyDescent="0.25">
      <c r="A1036" s="47"/>
      <c r="B1036" s="107"/>
      <c r="C1036" s="48"/>
      <c r="D1036" s="48"/>
    </row>
    <row r="1037" spans="1:4" x14ac:dyDescent="0.25">
      <c r="A1037" s="47"/>
      <c r="B1037" s="107"/>
      <c r="C1037" s="48"/>
      <c r="D1037" s="48"/>
    </row>
    <row r="1038" spans="1:4" x14ac:dyDescent="0.25">
      <c r="A1038" s="47"/>
      <c r="B1038" s="107"/>
      <c r="C1038" s="48"/>
      <c r="D1038" s="48"/>
    </row>
    <row r="1039" spans="1:4" x14ac:dyDescent="0.25">
      <c r="A1039" s="47"/>
      <c r="B1039" s="107"/>
      <c r="C1039" s="48"/>
      <c r="D1039" s="48"/>
    </row>
    <row r="1040" spans="1:4" x14ac:dyDescent="0.25">
      <c r="A1040" s="47"/>
      <c r="B1040" s="107"/>
      <c r="C1040" s="48"/>
      <c r="D1040" s="48"/>
    </row>
    <row r="1041" spans="1:4" x14ac:dyDescent="0.25">
      <c r="A1041" s="47"/>
      <c r="B1041" s="107"/>
      <c r="C1041" s="48"/>
      <c r="D1041" s="48"/>
    </row>
    <row r="1042" spans="1:4" x14ac:dyDescent="0.25">
      <c r="A1042" s="47"/>
      <c r="B1042" s="107"/>
      <c r="C1042" s="48"/>
      <c r="D1042" s="48"/>
    </row>
    <row r="1043" spans="1:4" x14ac:dyDescent="0.25">
      <c r="A1043" s="47"/>
      <c r="B1043" s="107"/>
      <c r="C1043" s="48"/>
      <c r="D1043" s="48"/>
    </row>
    <row r="1044" spans="1:4" x14ac:dyDescent="0.25">
      <c r="A1044" s="47"/>
      <c r="B1044" s="107"/>
      <c r="C1044" s="48"/>
      <c r="D1044" s="48"/>
    </row>
    <row r="1045" spans="1:4" x14ac:dyDescent="0.25">
      <c r="A1045" s="47"/>
      <c r="B1045" s="107"/>
      <c r="C1045" s="48"/>
      <c r="D1045" s="48"/>
    </row>
    <row r="1046" spans="1:4" x14ac:dyDescent="0.25">
      <c r="A1046" s="47"/>
      <c r="B1046" s="107"/>
      <c r="C1046" s="48"/>
      <c r="D1046" s="48"/>
    </row>
    <row r="1047" spans="1:4" x14ac:dyDescent="0.25">
      <c r="A1047" s="47"/>
      <c r="B1047" s="107"/>
      <c r="C1047" s="48"/>
      <c r="D1047" s="48"/>
    </row>
    <row r="1048" spans="1:4" x14ac:dyDescent="0.25">
      <c r="A1048" s="47"/>
      <c r="B1048" s="107"/>
      <c r="C1048" s="48"/>
      <c r="D1048" s="48"/>
    </row>
    <row r="1049" spans="1:4" x14ac:dyDescent="0.25">
      <c r="A1049" s="47"/>
      <c r="B1049" s="107"/>
      <c r="C1049" s="48"/>
      <c r="D1049" s="48"/>
    </row>
    <row r="1050" spans="1:4" x14ac:dyDescent="0.25">
      <c r="A1050" s="47"/>
      <c r="B1050" s="107"/>
      <c r="C1050" s="48"/>
      <c r="D1050" s="48"/>
    </row>
    <row r="1051" spans="1:4" x14ac:dyDescent="0.25">
      <c r="A1051" s="47"/>
      <c r="B1051" s="107"/>
      <c r="C1051" s="48"/>
      <c r="D1051" s="48"/>
    </row>
    <row r="1052" spans="1:4" x14ac:dyDescent="0.25">
      <c r="A1052" s="47"/>
      <c r="B1052" s="107"/>
      <c r="C1052" s="48"/>
      <c r="D1052" s="48"/>
    </row>
    <row r="1053" spans="1:4" x14ac:dyDescent="0.25">
      <c r="A1053" s="47"/>
      <c r="B1053" s="107"/>
      <c r="C1053" s="48"/>
      <c r="D1053" s="48"/>
    </row>
    <row r="1054" spans="1:4" x14ac:dyDescent="0.25">
      <c r="A1054" s="47"/>
      <c r="B1054" s="107"/>
      <c r="C1054" s="48"/>
      <c r="D1054" s="48"/>
    </row>
    <row r="1055" spans="1:4" x14ac:dyDescent="0.25">
      <c r="A1055" s="47"/>
      <c r="B1055" s="107"/>
      <c r="C1055" s="48"/>
      <c r="D1055" s="48"/>
    </row>
    <row r="1056" spans="1:4" x14ac:dyDescent="0.25">
      <c r="A1056" s="47"/>
      <c r="B1056" s="107"/>
      <c r="C1056" s="48"/>
      <c r="D1056" s="48"/>
    </row>
    <row r="1057" spans="1:4" x14ac:dyDescent="0.25">
      <c r="A1057" s="47"/>
      <c r="B1057" s="107"/>
      <c r="C1057" s="48"/>
      <c r="D1057" s="48"/>
    </row>
    <row r="1058" spans="1:4" x14ac:dyDescent="0.25">
      <c r="A1058" s="47"/>
      <c r="B1058" s="107"/>
      <c r="C1058" s="48"/>
      <c r="D1058" s="48"/>
    </row>
    <row r="1059" spans="1:4" x14ac:dyDescent="0.25">
      <c r="A1059" s="47"/>
      <c r="B1059" s="107"/>
      <c r="C1059" s="48"/>
      <c r="D1059" s="48"/>
    </row>
    <row r="1060" spans="1:4" x14ac:dyDescent="0.25">
      <c r="A1060" s="47"/>
      <c r="B1060" s="107"/>
      <c r="C1060" s="48"/>
      <c r="D1060" s="48"/>
    </row>
    <row r="1061" spans="1:4" x14ac:dyDescent="0.25">
      <c r="A1061" s="47"/>
      <c r="B1061" s="107"/>
      <c r="C1061" s="48"/>
      <c r="D1061" s="48"/>
    </row>
    <row r="1062" spans="1:4" x14ac:dyDescent="0.25">
      <c r="A1062" s="47"/>
      <c r="B1062" s="107"/>
      <c r="C1062" s="48"/>
      <c r="D1062" s="48"/>
    </row>
    <row r="1063" spans="1:4" x14ac:dyDescent="0.25">
      <c r="A1063" s="47"/>
      <c r="B1063" s="107"/>
      <c r="C1063" s="48"/>
      <c r="D1063" s="48"/>
    </row>
    <row r="1064" spans="1:4" x14ac:dyDescent="0.25">
      <c r="A1064" s="47"/>
      <c r="B1064" s="107"/>
      <c r="C1064" s="48"/>
      <c r="D1064" s="48"/>
    </row>
    <row r="1065" spans="1:4" x14ac:dyDescent="0.25">
      <c r="A1065" s="47"/>
      <c r="B1065" s="107"/>
      <c r="C1065" s="48"/>
      <c r="D1065" s="48"/>
    </row>
    <row r="1066" spans="1:4" x14ac:dyDescent="0.25">
      <c r="A1066" s="47"/>
      <c r="B1066" s="107"/>
      <c r="C1066" s="48"/>
      <c r="D1066" s="48"/>
    </row>
    <row r="1067" spans="1:4" x14ac:dyDescent="0.25">
      <c r="A1067" s="47"/>
      <c r="B1067" s="107"/>
      <c r="C1067" s="48"/>
      <c r="D1067" s="48"/>
    </row>
    <row r="1068" spans="1:4" x14ac:dyDescent="0.25">
      <c r="A1068" s="47"/>
      <c r="B1068" s="107"/>
      <c r="C1068" s="48"/>
      <c r="D1068" s="48"/>
    </row>
    <row r="1069" spans="1:4" x14ac:dyDescent="0.25">
      <c r="A1069" s="47"/>
      <c r="B1069" s="107"/>
      <c r="C1069" s="48"/>
      <c r="D1069" s="48"/>
    </row>
    <row r="1070" spans="1:4" x14ac:dyDescent="0.25">
      <c r="A1070" s="47"/>
      <c r="B1070" s="107"/>
      <c r="C1070" s="48"/>
      <c r="D1070" s="48"/>
    </row>
    <row r="1071" spans="1:4" x14ac:dyDescent="0.25">
      <c r="A1071" s="47"/>
      <c r="B1071" s="107"/>
      <c r="C1071" s="48"/>
      <c r="D1071" s="48"/>
    </row>
    <row r="1072" spans="1:4" x14ac:dyDescent="0.25">
      <c r="A1072" s="47"/>
      <c r="B1072" s="107"/>
      <c r="C1072" s="48"/>
      <c r="D1072" s="48"/>
    </row>
    <row r="1073" spans="1:4" x14ac:dyDescent="0.25">
      <c r="A1073" s="47"/>
      <c r="B1073" s="107"/>
      <c r="C1073" s="48"/>
      <c r="D1073" s="48"/>
    </row>
    <row r="1074" spans="1:4" x14ac:dyDescent="0.25">
      <c r="A1074" s="47"/>
      <c r="B1074" s="107"/>
      <c r="C1074" s="48"/>
      <c r="D1074" s="48"/>
    </row>
    <row r="1075" spans="1:4" x14ac:dyDescent="0.25">
      <c r="A1075" s="47"/>
      <c r="B1075" s="107"/>
      <c r="C1075" s="48"/>
      <c r="D1075" s="48"/>
    </row>
    <row r="1076" spans="1:4" x14ac:dyDescent="0.25">
      <c r="A1076" s="47"/>
      <c r="B1076" s="107"/>
      <c r="C1076" s="48"/>
      <c r="D1076" s="48"/>
    </row>
    <row r="1077" spans="1:4" x14ac:dyDescent="0.25">
      <c r="A1077" s="47"/>
      <c r="B1077" s="107"/>
      <c r="C1077" s="48"/>
      <c r="D1077" s="48"/>
    </row>
    <row r="1078" spans="1:4" x14ac:dyDescent="0.25">
      <c r="A1078" s="47"/>
      <c r="B1078" s="107"/>
      <c r="C1078" s="48"/>
      <c r="D1078" s="48"/>
    </row>
    <row r="1079" spans="1:4" x14ac:dyDescent="0.25">
      <c r="A1079" s="47"/>
      <c r="B1079" s="107"/>
      <c r="C1079" s="48"/>
      <c r="D1079" s="48"/>
    </row>
    <row r="1080" spans="1:4" x14ac:dyDescent="0.25">
      <c r="A1080" s="47"/>
      <c r="B1080" s="107"/>
      <c r="C1080" s="48"/>
      <c r="D1080" s="48"/>
    </row>
    <row r="1081" spans="1:4" x14ac:dyDescent="0.25">
      <c r="A1081" s="47"/>
      <c r="B1081" s="107"/>
      <c r="C1081" s="48"/>
      <c r="D1081" s="48"/>
    </row>
    <row r="1082" spans="1:4" x14ac:dyDescent="0.25">
      <c r="A1082" s="47"/>
      <c r="B1082" s="107"/>
      <c r="C1082" s="48"/>
      <c r="D1082" s="48"/>
    </row>
    <row r="1083" spans="1:4" x14ac:dyDescent="0.25">
      <c r="A1083" s="47"/>
      <c r="B1083" s="107"/>
      <c r="C1083" s="48"/>
      <c r="D1083" s="48"/>
    </row>
    <row r="1084" spans="1:4" x14ac:dyDescent="0.25">
      <c r="A1084" s="47"/>
      <c r="B1084" s="107"/>
      <c r="C1084" s="48"/>
      <c r="D1084" s="48"/>
    </row>
    <row r="1085" spans="1:4" x14ac:dyDescent="0.25">
      <c r="A1085" s="47"/>
      <c r="B1085" s="107"/>
      <c r="C1085" s="48"/>
      <c r="D1085" s="48"/>
    </row>
    <row r="1086" spans="1:4" x14ac:dyDescent="0.25">
      <c r="A1086" s="47"/>
      <c r="B1086" s="107"/>
      <c r="C1086" s="48"/>
      <c r="D1086" s="48"/>
    </row>
    <row r="1087" spans="1:4" x14ac:dyDescent="0.25">
      <c r="A1087" s="47"/>
      <c r="B1087" s="107"/>
      <c r="C1087" s="48"/>
      <c r="D1087" s="48"/>
    </row>
    <row r="1088" spans="1:4" x14ac:dyDescent="0.25">
      <c r="A1088" s="47"/>
      <c r="B1088" s="107"/>
      <c r="C1088" s="48"/>
      <c r="D1088" s="48"/>
    </row>
    <row r="1089" spans="1:4" x14ac:dyDescent="0.25">
      <c r="A1089" s="47"/>
      <c r="B1089" s="107"/>
      <c r="C1089" s="48"/>
      <c r="D1089" s="48"/>
    </row>
    <row r="1090" spans="1:4" x14ac:dyDescent="0.25">
      <c r="A1090" s="47"/>
      <c r="B1090" s="107"/>
      <c r="C1090" s="48"/>
      <c r="D1090" s="48"/>
    </row>
    <row r="1091" spans="1:4" x14ac:dyDescent="0.25">
      <c r="A1091" s="47"/>
      <c r="B1091" s="107"/>
      <c r="C1091" s="48"/>
      <c r="D1091" s="48"/>
    </row>
    <row r="1092" spans="1:4" x14ac:dyDescent="0.25">
      <c r="A1092" s="47"/>
      <c r="B1092" s="107"/>
      <c r="C1092" s="48"/>
      <c r="D1092" s="48"/>
    </row>
    <row r="1093" spans="1:4" x14ac:dyDescent="0.25">
      <c r="A1093" s="47"/>
      <c r="B1093" s="107"/>
      <c r="C1093" s="48"/>
      <c r="D1093" s="48"/>
    </row>
    <row r="1094" spans="1:4" x14ac:dyDescent="0.25">
      <c r="A1094" s="47"/>
      <c r="B1094" s="107"/>
      <c r="C1094" s="48"/>
      <c r="D1094" s="48"/>
    </row>
    <row r="1095" spans="1:4" x14ac:dyDescent="0.25">
      <c r="A1095" s="47"/>
      <c r="B1095" s="107"/>
      <c r="C1095" s="48"/>
      <c r="D1095" s="48"/>
    </row>
    <row r="1096" spans="1:4" x14ac:dyDescent="0.25">
      <c r="A1096" s="47"/>
      <c r="B1096" s="107"/>
      <c r="C1096" s="48"/>
      <c r="D1096" s="48"/>
    </row>
    <row r="1097" spans="1:4" x14ac:dyDescent="0.25">
      <c r="A1097" s="47"/>
      <c r="B1097" s="107"/>
      <c r="C1097" s="48"/>
      <c r="D1097" s="48"/>
    </row>
    <row r="1098" spans="1:4" x14ac:dyDescent="0.25">
      <c r="A1098" s="47"/>
      <c r="B1098" s="107"/>
      <c r="C1098" s="48"/>
      <c r="D1098" s="48"/>
    </row>
    <row r="1099" spans="1:4" x14ac:dyDescent="0.25">
      <c r="A1099" s="47"/>
      <c r="B1099" s="107"/>
      <c r="C1099" s="48"/>
      <c r="D1099" s="48"/>
    </row>
    <row r="1100" spans="1:4" x14ac:dyDescent="0.25">
      <c r="A1100" s="47"/>
      <c r="B1100" s="107"/>
      <c r="C1100" s="48"/>
      <c r="D1100" s="48"/>
    </row>
    <row r="1101" spans="1:4" x14ac:dyDescent="0.25">
      <c r="A1101" s="47"/>
      <c r="B1101" s="107"/>
      <c r="C1101" s="48"/>
      <c r="D1101" s="48"/>
    </row>
    <row r="1102" spans="1:4" x14ac:dyDescent="0.25">
      <c r="A1102" s="47"/>
      <c r="B1102" s="107"/>
      <c r="C1102" s="48"/>
      <c r="D1102" s="48"/>
    </row>
    <row r="1103" spans="1:4" x14ac:dyDescent="0.25">
      <c r="A1103" s="47"/>
      <c r="B1103" s="107"/>
      <c r="C1103" s="48"/>
      <c r="D1103" s="48"/>
    </row>
    <row r="1104" spans="1:4" x14ac:dyDescent="0.25">
      <c r="A1104" s="47"/>
      <c r="B1104" s="107"/>
      <c r="C1104" s="48"/>
      <c r="D1104" s="48"/>
    </row>
    <row r="1105" spans="1:4" x14ac:dyDescent="0.25">
      <c r="A1105" s="47"/>
      <c r="B1105" s="107"/>
      <c r="C1105" s="48"/>
      <c r="D1105" s="48"/>
    </row>
    <row r="1106" spans="1:4" x14ac:dyDescent="0.25">
      <c r="A1106" s="47"/>
      <c r="B1106" s="107"/>
      <c r="C1106" s="48"/>
      <c r="D1106" s="48"/>
    </row>
    <row r="1107" spans="1:4" x14ac:dyDescent="0.25">
      <c r="A1107" s="47"/>
      <c r="B1107" s="107"/>
      <c r="C1107" s="48"/>
      <c r="D1107" s="48"/>
    </row>
    <row r="1108" spans="1:4" x14ac:dyDescent="0.25">
      <c r="A1108" s="47"/>
      <c r="B1108" s="107"/>
      <c r="C1108" s="48"/>
      <c r="D1108" s="48"/>
    </row>
    <row r="1109" spans="1:4" x14ac:dyDescent="0.25">
      <c r="A1109" s="47"/>
      <c r="B1109" s="107"/>
      <c r="C1109" s="48"/>
      <c r="D1109" s="48"/>
    </row>
    <row r="1110" spans="1:4" x14ac:dyDescent="0.25">
      <c r="A1110" s="47"/>
      <c r="B1110" s="107"/>
      <c r="C1110" s="48"/>
      <c r="D1110" s="48"/>
    </row>
    <row r="1111" spans="1:4" x14ac:dyDescent="0.25">
      <c r="A1111" s="47"/>
      <c r="B1111" s="107"/>
      <c r="C1111" s="48"/>
      <c r="D1111" s="48"/>
    </row>
    <row r="1112" spans="1:4" x14ac:dyDescent="0.25">
      <c r="A1112" s="47"/>
      <c r="B1112" s="107"/>
      <c r="C1112" s="48"/>
      <c r="D1112" s="48"/>
    </row>
    <row r="1113" spans="1:4" x14ac:dyDescent="0.25">
      <c r="A1113" s="47"/>
      <c r="B1113" s="107"/>
      <c r="C1113" s="48"/>
      <c r="D1113" s="48"/>
    </row>
    <row r="1114" spans="1:4" x14ac:dyDescent="0.25">
      <c r="A1114" s="47"/>
      <c r="B1114" s="107"/>
      <c r="C1114" s="48"/>
      <c r="D1114" s="48"/>
    </row>
    <row r="1115" spans="1:4" x14ac:dyDescent="0.25">
      <c r="A1115" s="47"/>
      <c r="B1115" s="107"/>
      <c r="C1115" s="48"/>
      <c r="D1115" s="48"/>
    </row>
    <row r="1116" spans="1:4" x14ac:dyDescent="0.25">
      <c r="A1116" s="47"/>
      <c r="B1116" s="107"/>
      <c r="C1116" s="48"/>
      <c r="D1116" s="48"/>
    </row>
    <row r="1117" spans="1:4" x14ac:dyDescent="0.25">
      <c r="A1117" s="47"/>
      <c r="B1117" s="107"/>
      <c r="C1117" s="48"/>
      <c r="D1117" s="48"/>
    </row>
    <row r="1118" spans="1:4" x14ac:dyDescent="0.25">
      <c r="A1118" s="47"/>
      <c r="B1118" s="107"/>
      <c r="C1118" s="48"/>
      <c r="D1118" s="48"/>
    </row>
    <row r="1119" spans="1:4" x14ac:dyDescent="0.25">
      <c r="A1119" s="47"/>
      <c r="B1119" s="107"/>
      <c r="C1119" s="48"/>
      <c r="D1119" s="48"/>
    </row>
    <row r="1120" spans="1:4" x14ac:dyDescent="0.25">
      <c r="A1120" s="47"/>
      <c r="B1120" s="107"/>
      <c r="C1120" s="48"/>
      <c r="D1120" s="48"/>
    </row>
    <row r="1121" spans="1:4" x14ac:dyDescent="0.25">
      <c r="A1121" s="47"/>
      <c r="B1121" s="107"/>
      <c r="C1121" s="48"/>
      <c r="D1121" s="48"/>
    </row>
    <row r="1122" spans="1:4" x14ac:dyDescent="0.25">
      <c r="A1122" s="47"/>
      <c r="B1122" s="107"/>
      <c r="C1122" s="48"/>
      <c r="D1122" s="48"/>
    </row>
    <row r="1123" spans="1:4" x14ac:dyDescent="0.25">
      <c r="A1123" s="47"/>
      <c r="B1123" s="107"/>
      <c r="C1123" s="48"/>
      <c r="D1123" s="48"/>
    </row>
    <row r="1124" spans="1:4" x14ac:dyDescent="0.25">
      <c r="A1124" s="47"/>
      <c r="B1124" s="107"/>
      <c r="C1124" s="48"/>
      <c r="D1124" s="48"/>
    </row>
    <row r="1125" spans="1:4" x14ac:dyDescent="0.25">
      <c r="A1125" s="47"/>
      <c r="B1125" s="107"/>
      <c r="C1125" s="48"/>
      <c r="D1125" s="48"/>
    </row>
    <row r="1126" spans="1:4" x14ac:dyDescent="0.25">
      <c r="A1126" s="47"/>
      <c r="B1126" s="107"/>
      <c r="C1126" s="48"/>
      <c r="D1126" s="48"/>
    </row>
    <row r="1127" spans="1:4" x14ac:dyDescent="0.25">
      <c r="A1127" s="47"/>
      <c r="B1127" s="107"/>
      <c r="C1127" s="48"/>
      <c r="D1127" s="48"/>
    </row>
    <row r="1128" spans="1:4" x14ac:dyDescent="0.25">
      <c r="A1128" s="47"/>
      <c r="B1128" s="107"/>
      <c r="C1128" s="48"/>
      <c r="D1128" s="48"/>
    </row>
    <row r="1129" spans="1:4" x14ac:dyDescent="0.25">
      <c r="A1129" s="47"/>
      <c r="B1129" s="107"/>
      <c r="C1129" s="48"/>
      <c r="D1129" s="48"/>
    </row>
    <row r="1130" spans="1:4" x14ac:dyDescent="0.25">
      <c r="A1130" s="47"/>
      <c r="B1130" s="107"/>
      <c r="C1130" s="48"/>
      <c r="D1130" s="48"/>
    </row>
    <row r="1131" spans="1:4" x14ac:dyDescent="0.25">
      <c r="A1131" s="47"/>
      <c r="B1131" s="107"/>
      <c r="C1131" s="48"/>
      <c r="D1131" s="48"/>
    </row>
    <row r="1132" spans="1:4" x14ac:dyDescent="0.25">
      <c r="A1132" s="47"/>
      <c r="B1132" s="107"/>
      <c r="C1132" s="48"/>
      <c r="D1132" s="48"/>
    </row>
    <row r="1133" spans="1:4" x14ac:dyDescent="0.25">
      <c r="A1133" s="47"/>
      <c r="B1133" s="107"/>
      <c r="C1133" s="48"/>
      <c r="D1133" s="48"/>
    </row>
    <row r="1134" spans="1:4" x14ac:dyDescent="0.25">
      <c r="A1134" s="47"/>
      <c r="B1134" s="107"/>
      <c r="C1134" s="48"/>
      <c r="D1134" s="48"/>
    </row>
    <row r="1135" spans="1:4" x14ac:dyDescent="0.25">
      <c r="A1135" s="47"/>
      <c r="B1135" s="107"/>
      <c r="C1135" s="48"/>
      <c r="D1135" s="48"/>
    </row>
    <row r="1136" spans="1:4" x14ac:dyDescent="0.25">
      <c r="A1136" s="47"/>
      <c r="B1136" s="107"/>
      <c r="C1136" s="48"/>
      <c r="D1136" s="48"/>
    </row>
    <row r="1137" spans="1:4" x14ac:dyDescent="0.25">
      <c r="A1137" s="47"/>
      <c r="B1137" s="107"/>
      <c r="C1137" s="48"/>
      <c r="D1137" s="48"/>
    </row>
    <row r="1138" spans="1:4" x14ac:dyDescent="0.25">
      <c r="A1138" s="47"/>
      <c r="B1138" s="107"/>
      <c r="C1138" s="48"/>
      <c r="D1138" s="48"/>
    </row>
    <row r="1139" spans="1:4" x14ac:dyDescent="0.25">
      <c r="A1139" s="47"/>
      <c r="B1139" s="107"/>
      <c r="C1139" s="48"/>
      <c r="D1139" s="48"/>
    </row>
    <row r="1140" spans="1:4" x14ac:dyDescent="0.25">
      <c r="A1140" s="47"/>
      <c r="B1140" s="107"/>
      <c r="C1140" s="48"/>
      <c r="D1140" s="48"/>
    </row>
    <row r="1141" spans="1:4" x14ac:dyDescent="0.25">
      <c r="A1141" s="47"/>
      <c r="B1141" s="107"/>
      <c r="C1141" s="48"/>
      <c r="D1141" s="48"/>
    </row>
    <row r="1142" spans="1:4" x14ac:dyDescent="0.25">
      <c r="A1142" s="47"/>
      <c r="B1142" s="107"/>
      <c r="C1142" s="48"/>
      <c r="D1142" s="48"/>
    </row>
    <row r="1143" spans="1:4" x14ac:dyDescent="0.25">
      <c r="A1143" s="47"/>
      <c r="B1143" s="107"/>
      <c r="C1143" s="48"/>
      <c r="D1143" s="48"/>
    </row>
    <row r="1144" spans="1:4" x14ac:dyDescent="0.25">
      <c r="A1144" s="47"/>
      <c r="B1144" s="107"/>
      <c r="C1144" s="48"/>
      <c r="D1144" s="48"/>
    </row>
    <row r="1145" spans="1:4" x14ac:dyDescent="0.25">
      <c r="A1145" s="47"/>
      <c r="B1145" s="107"/>
      <c r="C1145" s="48"/>
      <c r="D1145" s="48"/>
    </row>
    <row r="1146" spans="1:4" x14ac:dyDescent="0.25">
      <c r="A1146" s="47"/>
      <c r="B1146" s="107"/>
      <c r="C1146" s="48"/>
      <c r="D1146" s="48"/>
    </row>
    <row r="1147" spans="1:4" x14ac:dyDescent="0.25">
      <c r="A1147" s="47"/>
      <c r="B1147" s="107"/>
      <c r="C1147" s="48"/>
      <c r="D1147" s="48"/>
    </row>
    <row r="1148" spans="1:4" x14ac:dyDescent="0.25">
      <c r="A1148" s="47"/>
      <c r="B1148" s="107"/>
      <c r="C1148" s="48"/>
      <c r="D1148" s="48"/>
    </row>
    <row r="1149" spans="1:4" x14ac:dyDescent="0.25">
      <c r="A1149" s="47"/>
      <c r="B1149" s="107"/>
      <c r="C1149" s="48"/>
      <c r="D1149" s="48"/>
    </row>
    <row r="1150" spans="1:4" x14ac:dyDescent="0.25">
      <c r="A1150" s="47"/>
      <c r="B1150" s="107"/>
      <c r="C1150" s="48"/>
      <c r="D1150" s="48"/>
    </row>
    <row r="1151" spans="1:4" x14ac:dyDescent="0.25">
      <c r="A1151" s="47"/>
      <c r="B1151" s="107"/>
      <c r="C1151" s="48"/>
      <c r="D1151" s="48"/>
    </row>
    <row r="1152" spans="1:4" x14ac:dyDescent="0.25">
      <c r="A1152" s="47"/>
      <c r="B1152" s="107"/>
      <c r="C1152" s="48"/>
      <c r="D1152" s="48"/>
    </row>
    <row r="1153" spans="1:4" x14ac:dyDescent="0.25">
      <c r="A1153" s="47"/>
      <c r="B1153" s="107"/>
      <c r="C1153" s="48"/>
      <c r="D1153" s="48"/>
    </row>
    <row r="1154" spans="1:4" x14ac:dyDescent="0.25">
      <c r="A1154" s="47"/>
      <c r="B1154" s="107"/>
      <c r="C1154" s="48"/>
      <c r="D1154" s="48"/>
    </row>
    <row r="1155" spans="1:4" x14ac:dyDescent="0.25">
      <c r="A1155" s="47"/>
      <c r="B1155" s="107"/>
      <c r="C1155" s="48"/>
      <c r="D1155" s="48"/>
    </row>
    <row r="1156" spans="1:4" x14ac:dyDescent="0.25">
      <c r="A1156" s="47"/>
      <c r="B1156" s="107"/>
      <c r="C1156" s="48"/>
      <c r="D1156" s="48"/>
    </row>
    <row r="1157" spans="1:4" x14ac:dyDescent="0.25">
      <c r="A1157" s="47"/>
      <c r="B1157" s="107"/>
      <c r="C1157" s="48"/>
      <c r="D1157" s="48"/>
    </row>
    <row r="1158" spans="1:4" x14ac:dyDescent="0.25">
      <c r="A1158" s="47"/>
      <c r="B1158" s="107"/>
      <c r="C1158" s="48"/>
      <c r="D1158" s="48"/>
    </row>
    <row r="1159" spans="1:4" x14ac:dyDescent="0.25">
      <c r="A1159" s="47"/>
      <c r="B1159" s="107"/>
      <c r="C1159" s="48"/>
      <c r="D1159" s="48"/>
    </row>
    <row r="1160" spans="1:4" x14ac:dyDescent="0.25">
      <c r="A1160" s="47"/>
      <c r="B1160" s="107"/>
      <c r="C1160" s="48"/>
      <c r="D1160" s="48"/>
    </row>
    <row r="1161" spans="1:4" x14ac:dyDescent="0.25">
      <c r="A1161" s="47"/>
      <c r="B1161" s="107"/>
      <c r="C1161" s="48"/>
      <c r="D1161" s="48"/>
    </row>
    <row r="1162" spans="1:4" x14ac:dyDescent="0.25">
      <c r="A1162" s="47"/>
      <c r="B1162" s="107"/>
      <c r="C1162" s="48"/>
      <c r="D1162" s="48"/>
    </row>
    <row r="1163" spans="1:4" x14ac:dyDescent="0.25">
      <c r="A1163" s="47"/>
      <c r="B1163" s="107"/>
      <c r="C1163" s="48"/>
      <c r="D1163" s="48"/>
    </row>
    <row r="1164" spans="1:4" x14ac:dyDescent="0.25">
      <c r="A1164" s="47"/>
      <c r="B1164" s="107"/>
      <c r="C1164" s="48"/>
      <c r="D1164" s="48"/>
    </row>
    <row r="1165" spans="1:4" x14ac:dyDescent="0.25">
      <c r="A1165" s="47"/>
      <c r="B1165" s="107"/>
      <c r="C1165" s="48"/>
      <c r="D1165" s="48"/>
    </row>
    <row r="1166" spans="1:4" x14ac:dyDescent="0.25">
      <c r="A1166" s="47"/>
      <c r="B1166" s="107"/>
      <c r="C1166" s="48"/>
      <c r="D1166" s="48"/>
    </row>
    <row r="1167" spans="1:4" x14ac:dyDescent="0.25">
      <c r="A1167" s="47"/>
      <c r="B1167" s="107"/>
      <c r="C1167" s="48"/>
      <c r="D1167" s="48"/>
    </row>
    <row r="1168" spans="1:4" x14ac:dyDescent="0.25">
      <c r="A1168" s="47"/>
      <c r="B1168" s="107"/>
      <c r="C1168" s="48"/>
      <c r="D1168" s="48"/>
    </row>
    <row r="1169" spans="1:4" x14ac:dyDescent="0.25">
      <c r="A1169" s="47"/>
      <c r="B1169" s="107"/>
      <c r="C1169" s="48"/>
      <c r="D1169" s="48"/>
    </row>
    <row r="1170" spans="1:4" x14ac:dyDescent="0.25">
      <c r="A1170" s="47"/>
      <c r="B1170" s="107"/>
      <c r="C1170" s="48"/>
      <c r="D1170" s="48"/>
    </row>
    <row r="1171" spans="1:4" x14ac:dyDescent="0.25">
      <c r="A1171" s="47"/>
      <c r="B1171" s="107"/>
      <c r="C1171" s="48"/>
      <c r="D1171" s="48"/>
    </row>
    <row r="1172" spans="1:4" x14ac:dyDescent="0.25">
      <c r="A1172" s="47"/>
      <c r="B1172" s="107"/>
      <c r="C1172" s="48"/>
      <c r="D1172" s="48"/>
    </row>
    <row r="1173" spans="1:4" x14ac:dyDescent="0.25">
      <c r="A1173" s="47"/>
      <c r="B1173" s="107"/>
      <c r="C1173" s="48"/>
      <c r="D1173" s="48"/>
    </row>
    <row r="1174" spans="1:4" x14ac:dyDescent="0.25">
      <c r="A1174" s="47"/>
      <c r="B1174" s="107"/>
      <c r="C1174" s="48"/>
      <c r="D1174" s="48"/>
    </row>
    <row r="1175" spans="1:4" x14ac:dyDescent="0.25">
      <c r="A1175" s="47"/>
      <c r="B1175" s="107"/>
      <c r="C1175" s="48"/>
      <c r="D1175" s="48"/>
    </row>
    <row r="1176" spans="1:4" x14ac:dyDescent="0.25">
      <c r="A1176" s="47"/>
      <c r="B1176" s="107"/>
      <c r="C1176" s="48"/>
      <c r="D1176" s="48"/>
    </row>
    <row r="1177" spans="1:4" x14ac:dyDescent="0.25">
      <c r="A1177" s="47"/>
      <c r="B1177" s="107"/>
      <c r="C1177" s="48"/>
      <c r="D1177" s="48"/>
    </row>
    <row r="1178" spans="1:4" x14ac:dyDescent="0.25">
      <c r="A1178" s="47"/>
      <c r="B1178" s="107"/>
      <c r="C1178" s="48"/>
      <c r="D1178" s="48"/>
    </row>
    <row r="1179" spans="1:4" x14ac:dyDescent="0.25">
      <c r="A1179" s="47"/>
      <c r="B1179" s="107"/>
      <c r="C1179" s="48"/>
      <c r="D1179" s="48"/>
    </row>
    <row r="1180" spans="1:4" x14ac:dyDescent="0.25">
      <c r="A1180" s="47"/>
      <c r="B1180" s="107"/>
      <c r="C1180" s="48"/>
      <c r="D1180" s="48"/>
    </row>
    <row r="1181" spans="1:4" x14ac:dyDescent="0.25">
      <c r="A1181" s="47"/>
      <c r="B1181" s="107"/>
      <c r="C1181" s="48"/>
      <c r="D1181" s="48"/>
    </row>
    <row r="1182" spans="1:4" x14ac:dyDescent="0.25">
      <c r="A1182" s="47"/>
      <c r="B1182" s="107"/>
      <c r="C1182" s="48"/>
      <c r="D1182" s="48"/>
    </row>
    <row r="1183" spans="1:4" x14ac:dyDescent="0.25">
      <c r="A1183" s="47"/>
      <c r="B1183" s="107"/>
      <c r="C1183" s="48"/>
      <c r="D1183" s="48"/>
    </row>
    <row r="1184" spans="1:4" x14ac:dyDescent="0.25">
      <c r="A1184" s="47"/>
      <c r="B1184" s="107"/>
      <c r="C1184" s="48"/>
      <c r="D1184" s="48"/>
    </row>
    <row r="1185" spans="1:4" x14ac:dyDescent="0.25">
      <c r="A1185" s="47"/>
      <c r="B1185" s="107"/>
      <c r="C1185" s="48"/>
      <c r="D1185" s="48"/>
    </row>
    <row r="1186" spans="1:4" x14ac:dyDescent="0.25">
      <c r="A1186" s="47"/>
      <c r="B1186" s="107"/>
      <c r="C1186" s="48"/>
      <c r="D1186" s="48"/>
    </row>
    <row r="1187" spans="1:4" x14ac:dyDescent="0.25">
      <c r="A1187" s="47"/>
      <c r="B1187" s="107"/>
      <c r="C1187" s="48"/>
      <c r="D1187" s="48"/>
    </row>
    <row r="1188" spans="1:4" x14ac:dyDescent="0.25">
      <c r="A1188" s="47"/>
      <c r="B1188" s="107"/>
      <c r="C1188" s="48"/>
      <c r="D1188" s="48"/>
    </row>
    <row r="1189" spans="1:4" x14ac:dyDescent="0.25">
      <c r="A1189" s="47"/>
      <c r="B1189" s="107"/>
      <c r="C1189" s="48"/>
      <c r="D1189" s="48"/>
    </row>
    <row r="1190" spans="1:4" x14ac:dyDescent="0.25">
      <c r="A1190" s="47"/>
      <c r="B1190" s="107"/>
      <c r="C1190" s="48"/>
      <c r="D1190" s="48"/>
    </row>
    <row r="1191" spans="1:4" x14ac:dyDescent="0.25">
      <c r="A1191" s="47"/>
      <c r="B1191" s="107"/>
      <c r="C1191" s="48"/>
      <c r="D1191" s="48"/>
    </row>
    <row r="1192" spans="1:4" x14ac:dyDescent="0.25">
      <c r="A1192" s="47"/>
      <c r="B1192" s="107"/>
      <c r="C1192" s="48"/>
      <c r="D1192" s="48"/>
    </row>
    <row r="1193" spans="1:4" x14ac:dyDescent="0.25">
      <c r="A1193" s="47"/>
      <c r="B1193" s="107"/>
      <c r="C1193" s="48"/>
      <c r="D1193" s="48"/>
    </row>
    <row r="1194" spans="1:4" x14ac:dyDescent="0.25">
      <c r="A1194" s="47"/>
      <c r="B1194" s="107"/>
      <c r="C1194" s="48"/>
      <c r="D1194" s="48"/>
    </row>
    <row r="1195" spans="1:4" x14ac:dyDescent="0.25">
      <c r="A1195" s="47"/>
      <c r="B1195" s="107"/>
      <c r="C1195" s="48"/>
      <c r="D1195" s="48"/>
    </row>
    <row r="1196" spans="1:4" x14ac:dyDescent="0.25">
      <c r="A1196" s="47"/>
      <c r="B1196" s="107"/>
      <c r="C1196" s="48"/>
      <c r="D1196" s="48"/>
    </row>
    <row r="1197" spans="1:4" x14ac:dyDescent="0.25">
      <c r="A1197" s="47"/>
      <c r="B1197" s="107"/>
      <c r="C1197" s="48"/>
      <c r="D1197" s="48"/>
    </row>
    <row r="1198" spans="1:4" x14ac:dyDescent="0.25">
      <c r="A1198" s="47"/>
      <c r="B1198" s="107"/>
      <c r="C1198" s="48"/>
      <c r="D1198" s="48"/>
    </row>
    <row r="1199" spans="1:4" x14ac:dyDescent="0.25">
      <c r="A1199" s="47"/>
      <c r="B1199" s="107"/>
      <c r="C1199" s="48"/>
      <c r="D1199" s="48"/>
    </row>
    <row r="1200" spans="1:4" x14ac:dyDescent="0.25">
      <c r="A1200" s="47"/>
      <c r="B1200" s="107"/>
      <c r="C1200" s="48"/>
      <c r="D1200" s="48"/>
    </row>
    <row r="1201" spans="1:4" x14ac:dyDescent="0.25">
      <c r="A1201" s="47"/>
      <c r="B1201" s="107"/>
      <c r="C1201" s="48"/>
      <c r="D1201" s="48"/>
    </row>
    <row r="1202" spans="1:4" x14ac:dyDescent="0.25">
      <c r="A1202" s="47"/>
      <c r="B1202" s="107"/>
      <c r="C1202" s="48"/>
      <c r="D1202" s="48"/>
    </row>
    <row r="1203" spans="1:4" x14ac:dyDescent="0.25">
      <c r="A1203" s="47"/>
      <c r="B1203" s="107"/>
      <c r="C1203" s="48"/>
      <c r="D1203" s="48"/>
    </row>
    <row r="1204" spans="1:4" x14ac:dyDescent="0.25">
      <c r="A1204" s="47"/>
      <c r="B1204" s="107"/>
      <c r="C1204" s="48"/>
      <c r="D1204" s="48"/>
    </row>
    <row r="1205" spans="1:4" x14ac:dyDescent="0.25">
      <c r="A1205" s="47"/>
      <c r="B1205" s="107"/>
      <c r="C1205" s="48"/>
      <c r="D1205" s="48"/>
    </row>
    <row r="1206" spans="1:4" x14ac:dyDescent="0.25">
      <c r="A1206" s="47"/>
      <c r="B1206" s="107"/>
      <c r="C1206" s="48"/>
      <c r="D1206" s="48"/>
    </row>
    <row r="1207" spans="1:4" x14ac:dyDescent="0.25">
      <c r="A1207" s="47"/>
      <c r="B1207" s="107"/>
      <c r="C1207" s="48"/>
      <c r="D1207" s="48"/>
    </row>
    <row r="1208" spans="1:4" x14ac:dyDescent="0.25">
      <c r="A1208" s="47"/>
      <c r="B1208" s="107"/>
      <c r="C1208" s="48"/>
      <c r="D1208" s="48"/>
    </row>
    <row r="1209" spans="1:4" x14ac:dyDescent="0.25">
      <c r="A1209" s="47"/>
      <c r="B1209" s="107"/>
      <c r="C1209" s="48"/>
      <c r="D1209" s="48"/>
    </row>
    <row r="1210" spans="1:4" x14ac:dyDescent="0.25">
      <c r="A1210" s="47"/>
      <c r="B1210" s="107"/>
      <c r="C1210" s="48"/>
      <c r="D1210" s="48"/>
    </row>
    <row r="1211" spans="1:4" x14ac:dyDescent="0.25">
      <c r="A1211" s="47"/>
      <c r="B1211" s="107"/>
      <c r="C1211" s="48"/>
      <c r="D1211" s="48"/>
    </row>
    <row r="1212" spans="1:4" x14ac:dyDescent="0.25">
      <c r="A1212" s="47"/>
      <c r="B1212" s="107"/>
      <c r="C1212" s="48"/>
      <c r="D1212" s="48"/>
    </row>
    <row r="1213" spans="1:4" x14ac:dyDescent="0.25">
      <c r="A1213" s="47"/>
      <c r="B1213" s="107"/>
      <c r="C1213" s="48"/>
      <c r="D1213" s="48"/>
    </row>
    <row r="1214" spans="1:4" x14ac:dyDescent="0.25">
      <c r="A1214" s="47"/>
      <c r="B1214" s="107"/>
      <c r="C1214" s="48"/>
      <c r="D1214" s="48"/>
    </row>
    <row r="1215" spans="1:4" x14ac:dyDescent="0.25">
      <c r="A1215" s="47"/>
      <c r="B1215" s="107"/>
      <c r="C1215" s="48"/>
      <c r="D1215" s="48"/>
    </row>
    <row r="1216" spans="1:4" x14ac:dyDescent="0.25">
      <c r="A1216" s="47"/>
      <c r="B1216" s="107"/>
      <c r="C1216" s="48"/>
      <c r="D1216" s="48"/>
    </row>
    <row r="1217" spans="1:4" x14ac:dyDescent="0.25">
      <c r="A1217" s="47"/>
      <c r="B1217" s="107"/>
      <c r="C1217" s="48"/>
      <c r="D1217" s="48"/>
    </row>
    <row r="1218" spans="1:4" x14ac:dyDescent="0.25">
      <c r="A1218" s="47"/>
      <c r="B1218" s="107"/>
      <c r="C1218" s="48"/>
      <c r="D1218" s="48"/>
    </row>
    <row r="1219" spans="1:4" x14ac:dyDescent="0.25">
      <c r="A1219" s="47"/>
      <c r="B1219" s="107"/>
      <c r="C1219" s="48"/>
      <c r="D1219" s="48"/>
    </row>
    <row r="1220" spans="1:4" x14ac:dyDescent="0.25">
      <c r="A1220" s="47"/>
      <c r="B1220" s="107"/>
      <c r="C1220" s="48"/>
      <c r="D1220" s="48"/>
    </row>
    <row r="1221" spans="1:4" x14ac:dyDescent="0.25">
      <c r="A1221" s="47"/>
      <c r="B1221" s="107"/>
      <c r="C1221" s="48"/>
      <c r="D1221" s="48"/>
    </row>
    <row r="1222" spans="1:4" x14ac:dyDescent="0.25">
      <c r="A1222" s="47"/>
      <c r="B1222" s="107"/>
      <c r="C1222" s="48"/>
      <c r="D1222" s="48"/>
    </row>
    <row r="1223" spans="1:4" x14ac:dyDescent="0.25">
      <c r="A1223" s="47"/>
      <c r="B1223" s="107"/>
      <c r="C1223" s="48"/>
      <c r="D1223" s="48"/>
    </row>
    <row r="1224" spans="1:4" x14ac:dyDescent="0.25">
      <c r="A1224" s="47"/>
      <c r="B1224" s="107"/>
      <c r="C1224" s="48"/>
      <c r="D1224" s="48"/>
    </row>
    <row r="1225" spans="1:4" x14ac:dyDescent="0.25">
      <c r="A1225" s="47"/>
      <c r="B1225" s="107"/>
      <c r="C1225" s="48"/>
      <c r="D1225" s="48"/>
    </row>
    <row r="1226" spans="1:4" x14ac:dyDescent="0.25">
      <c r="A1226" s="47"/>
      <c r="B1226" s="107"/>
      <c r="C1226" s="48"/>
      <c r="D1226" s="48"/>
    </row>
    <row r="1227" spans="1:4" x14ac:dyDescent="0.25">
      <c r="A1227" s="47"/>
      <c r="B1227" s="107"/>
      <c r="C1227" s="48"/>
      <c r="D1227" s="48"/>
    </row>
    <row r="1228" spans="1:4" x14ac:dyDescent="0.25">
      <c r="A1228" s="47"/>
      <c r="B1228" s="107"/>
      <c r="C1228" s="48"/>
      <c r="D1228" s="48"/>
    </row>
    <row r="1229" spans="1:4" x14ac:dyDescent="0.25">
      <c r="A1229" s="47"/>
      <c r="B1229" s="107"/>
      <c r="C1229" s="48"/>
      <c r="D1229" s="48"/>
    </row>
    <row r="1230" spans="1:4" x14ac:dyDescent="0.25">
      <c r="A1230" s="47"/>
      <c r="B1230" s="107"/>
      <c r="C1230" s="48"/>
      <c r="D1230" s="48"/>
    </row>
    <row r="1231" spans="1:4" x14ac:dyDescent="0.25">
      <c r="A1231" s="47"/>
      <c r="B1231" s="107"/>
      <c r="C1231" s="48"/>
      <c r="D1231" s="48"/>
    </row>
    <row r="1232" spans="1:4" x14ac:dyDescent="0.25">
      <c r="A1232" s="47"/>
      <c r="B1232" s="107"/>
      <c r="C1232" s="48"/>
      <c r="D1232" s="48"/>
    </row>
    <row r="1233" spans="1:4" x14ac:dyDescent="0.25">
      <c r="A1233" s="47"/>
      <c r="B1233" s="107"/>
      <c r="C1233" s="48"/>
      <c r="D1233" s="48"/>
    </row>
    <row r="1234" spans="1:4" x14ac:dyDescent="0.25">
      <c r="A1234" s="47"/>
      <c r="B1234" s="107"/>
      <c r="C1234" s="48"/>
      <c r="D1234" s="48"/>
    </row>
    <row r="1235" spans="1:4" x14ac:dyDescent="0.25">
      <c r="A1235" s="47"/>
      <c r="B1235" s="107"/>
      <c r="C1235" s="48"/>
      <c r="D1235" s="48"/>
    </row>
    <row r="1236" spans="1:4" x14ac:dyDescent="0.25">
      <c r="A1236" s="47"/>
      <c r="B1236" s="107"/>
      <c r="C1236" s="48"/>
      <c r="D1236" s="48"/>
    </row>
    <row r="1237" spans="1:4" x14ac:dyDescent="0.25">
      <c r="A1237" s="47"/>
      <c r="B1237" s="107"/>
      <c r="C1237" s="48"/>
      <c r="D1237" s="48"/>
    </row>
    <row r="1238" spans="1:4" x14ac:dyDescent="0.25">
      <c r="A1238" s="47"/>
      <c r="B1238" s="107"/>
      <c r="C1238" s="48"/>
      <c r="D1238" s="48"/>
    </row>
    <row r="1239" spans="1:4" x14ac:dyDescent="0.25">
      <c r="A1239" s="47"/>
      <c r="B1239" s="107"/>
      <c r="C1239" s="48"/>
      <c r="D1239" s="48"/>
    </row>
    <row r="1240" spans="1:4" x14ac:dyDescent="0.25">
      <c r="A1240" s="47"/>
      <c r="B1240" s="107"/>
      <c r="C1240" s="48"/>
      <c r="D1240" s="48"/>
    </row>
    <row r="1241" spans="1:4" x14ac:dyDescent="0.25">
      <c r="A1241" s="47"/>
      <c r="B1241" s="107"/>
      <c r="C1241" s="48"/>
      <c r="D1241" s="48"/>
    </row>
    <row r="1242" spans="1:4" x14ac:dyDescent="0.25">
      <c r="A1242" s="47"/>
      <c r="B1242" s="107"/>
      <c r="C1242" s="48"/>
      <c r="D1242" s="48"/>
    </row>
    <row r="1243" spans="1:4" x14ac:dyDescent="0.25">
      <c r="A1243" s="47"/>
      <c r="B1243" s="107"/>
      <c r="C1243" s="48"/>
      <c r="D1243" s="48"/>
    </row>
    <row r="1244" spans="1:4" x14ac:dyDescent="0.25">
      <c r="A1244" s="47"/>
      <c r="B1244" s="107"/>
      <c r="C1244" s="48"/>
      <c r="D1244" s="48"/>
    </row>
    <row r="1245" spans="1:4" x14ac:dyDescent="0.25">
      <c r="A1245" s="47"/>
      <c r="B1245" s="107"/>
      <c r="C1245" s="48"/>
      <c r="D1245" s="48"/>
    </row>
    <row r="1246" spans="1:4" x14ac:dyDescent="0.25">
      <c r="A1246" s="47"/>
      <c r="B1246" s="107"/>
      <c r="C1246" s="48"/>
      <c r="D1246" s="48"/>
    </row>
    <row r="1247" spans="1:4" x14ac:dyDescent="0.25">
      <c r="A1247" s="47"/>
      <c r="B1247" s="107"/>
      <c r="C1247" s="48"/>
      <c r="D1247" s="48"/>
    </row>
    <row r="1248" spans="1:4" x14ac:dyDescent="0.25">
      <c r="A1248" s="47"/>
      <c r="B1248" s="107"/>
      <c r="C1248" s="48"/>
      <c r="D1248" s="48"/>
    </row>
    <row r="1249" spans="1:4" x14ac:dyDescent="0.25">
      <c r="A1249" s="47"/>
      <c r="B1249" s="107"/>
      <c r="C1249" s="48"/>
      <c r="D1249" s="48"/>
    </row>
    <row r="1250" spans="1:4" x14ac:dyDescent="0.25">
      <c r="A1250" s="47"/>
      <c r="B1250" s="107"/>
      <c r="C1250" s="48"/>
      <c r="D1250" s="48"/>
    </row>
    <row r="1251" spans="1:4" x14ac:dyDescent="0.25">
      <c r="A1251" s="47"/>
      <c r="B1251" s="107"/>
      <c r="C1251" s="48"/>
      <c r="D1251" s="48"/>
    </row>
    <row r="1252" spans="1:4" x14ac:dyDescent="0.25">
      <c r="A1252" s="47"/>
      <c r="B1252" s="107"/>
      <c r="C1252" s="48"/>
      <c r="D1252" s="48"/>
    </row>
    <row r="1253" spans="1:4" x14ac:dyDescent="0.25">
      <c r="A1253" s="47"/>
      <c r="B1253" s="107"/>
      <c r="C1253" s="48"/>
      <c r="D1253" s="48"/>
    </row>
    <row r="1254" spans="1:4" x14ac:dyDescent="0.25">
      <c r="A1254" s="47"/>
      <c r="B1254" s="107"/>
      <c r="C1254" s="48"/>
      <c r="D1254" s="48"/>
    </row>
    <row r="1255" spans="1:4" x14ac:dyDescent="0.25">
      <c r="A1255" s="47"/>
      <c r="B1255" s="107"/>
      <c r="C1255" s="48"/>
      <c r="D1255" s="48"/>
    </row>
    <row r="1256" spans="1:4" x14ac:dyDescent="0.25">
      <c r="A1256" s="47"/>
      <c r="B1256" s="107"/>
      <c r="C1256" s="48"/>
      <c r="D1256" s="48"/>
    </row>
    <row r="1257" spans="1:4" x14ac:dyDescent="0.25">
      <c r="A1257" s="47"/>
      <c r="B1257" s="107"/>
      <c r="C1257" s="48"/>
      <c r="D1257" s="48"/>
    </row>
    <row r="1258" spans="1:4" x14ac:dyDescent="0.25">
      <c r="A1258" s="47"/>
      <c r="B1258" s="107"/>
      <c r="C1258" s="48"/>
      <c r="D1258" s="48"/>
    </row>
    <row r="1259" spans="1:4" x14ac:dyDescent="0.25">
      <c r="A1259" s="47"/>
      <c r="B1259" s="107"/>
      <c r="C1259" s="48"/>
      <c r="D1259" s="48"/>
    </row>
    <row r="1260" spans="1:4" x14ac:dyDescent="0.25">
      <c r="A1260" s="47"/>
      <c r="B1260" s="107"/>
      <c r="C1260" s="48"/>
      <c r="D1260" s="48"/>
    </row>
    <row r="1261" spans="1:4" x14ac:dyDescent="0.25">
      <c r="A1261" s="47"/>
      <c r="B1261" s="107"/>
      <c r="C1261" s="48"/>
      <c r="D1261" s="48"/>
    </row>
    <row r="1262" spans="1:4" x14ac:dyDescent="0.25">
      <c r="A1262" s="47"/>
      <c r="B1262" s="107"/>
      <c r="C1262" s="48"/>
      <c r="D1262" s="48"/>
    </row>
    <row r="1263" spans="1:4" x14ac:dyDescent="0.25">
      <c r="A1263" s="47"/>
      <c r="B1263" s="107"/>
      <c r="C1263" s="48"/>
      <c r="D1263" s="48"/>
    </row>
    <row r="1264" spans="1:4" x14ac:dyDescent="0.25">
      <c r="A1264" s="47"/>
      <c r="B1264" s="107"/>
      <c r="C1264" s="48"/>
      <c r="D1264" s="48"/>
    </row>
    <row r="1265" spans="1:4" x14ac:dyDescent="0.25">
      <c r="A1265" s="47"/>
      <c r="B1265" s="107"/>
      <c r="C1265" s="48"/>
      <c r="D1265" s="48"/>
    </row>
    <row r="1266" spans="1:4" x14ac:dyDescent="0.25">
      <c r="A1266" s="47"/>
      <c r="B1266" s="107"/>
      <c r="C1266" s="48"/>
      <c r="D1266" s="48"/>
    </row>
    <row r="1267" spans="1:4" x14ac:dyDescent="0.25">
      <c r="A1267" s="47"/>
      <c r="B1267" s="107"/>
      <c r="C1267" s="48"/>
      <c r="D1267" s="48"/>
    </row>
    <row r="1268" spans="1:4" x14ac:dyDescent="0.25">
      <c r="A1268" s="47"/>
      <c r="B1268" s="107"/>
      <c r="C1268" s="48"/>
      <c r="D1268" s="48"/>
    </row>
    <row r="1269" spans="1:4" x14ac:dyDescent="0.25">
      <c r="A1269" s="47"/>
      <c r="B1269" s="107"/>
      <c r="C1269" s="48"/>
      <c r="D1269" s="48"/>
    </row>
    <row r="1270" spans="1:4" x14ac:dyDescent="0.25">
      <c r="A1270" s="47"/>
      <c r="B1270" s="107"/>
      <c r="C1270" s="48"/>
      <c r="D1270" s="48"/>
    </row>
    <row r="1271" spans="1:4" x14ac:dyDescent="0.25">
      <c r="A1271" s="47"/>
      <c r="B1271" s="107"/>
      <c r="C1271" s="48"/>
      <c r="D1271" s="48"/>
    </row>
    <row r="1272" spans="1:4" x14ac:dyDescent="0.25">
      <c r="A1272" s="47"/>
      <c r="B1272" s="107"/>
      <c r="C1272" s="48"/>
      <c r="D1272" s="48"/>
    </row>
    <row r="1273" spans="1:4" x14ac:dyDescent="0.25">
      <c r="A1273" s="47"/>
      <c r="B1273" s="107"/>
      <c r="C1273" s="48"/>
      <c r="D1273" s="48"/>
    </row>
    <row r="1274" spans="1:4" x14ac:dyDescent="0.25">
      <c r="A1274" s="47"/>
      <c r="B1274" s="107"/>
      <c r="C1274" s="48"/>
      <c r="D1274" s="48"/>
    </row>
    <row r="1275" spans="1:4" x14ac:dyDescent="0.25">
      <c r="A1275" s="47"/>
      <c r="B1275" s="107"/>
      <c r="C1275" s="48"/>
      <c r="D1275" s="48"/>
    </row>
    <row r="1276" spans="1:4" x14ac:dyDescent="0.25">
      <c r="A1276" s="47"/>
      <c r="B1276" s="107"/>
      <c r="C1276" s="48"/>
      <c r="D1276" s="48"/>
    </row>
    <row r="1277" spans="1:4" x14ac:dyDescent="0.25">
      <c r="A1277" s="47"/>
      <c r="B1277" s="107"/>
      <c r="C1277" s="48"/>
      <c r="D1277" s="48"/>
    </row>
    <row r="1278" spans="1:4" x14ac:dyDescent="0.25">
      <c r="A1278" s="47"/>
      <c r="B1278" s="107"/>
      <c r="C1278" s="48"/>
      <c r="D1278" s="48"/>
    </row>
    <row r="1279" spans="1:4" x14ac:dyDescent="0.25">
      <c r="A1279" s="47"/>
      <c r="B1279" s="107"/>
      <c r="C1279" s="48"/>
      <c r="D1279" s="48"/>
    </row>
    <row r="1280" spans="1:4" x14ac:dyDescent="0.25">
      <c r="A1280" s="47"/>
      <c r="B1280" s="107"/>
      <c r="C1280" s="48"/>
      <c r="D1280" s="48"/>
    </row>
    <row r="1281" spans="1:4" x14ac:dyDescent="0.25">
      <c r="A1281" s="47"/>
      <c r="B1281" s="107"/>
      <c r="C1281" s="48"/>
      <c r="D1281" s="48"/>
    </row>
    <row r="1282" spans="1:4" x14ac:dyDescent="0.25">
      <c r="A1282" s="47"/>
      <c r="B1282" s="107"/>
      <c r="C1282" s="48"/>
      <c r="D1282" s="48"/>
    </row>
    <row r="1283" spans="1:4" x14ac:dyDescent="0.25">
      <c r="A1283" s="47"/>
      <c r="B1283" s="107"/>
      <c r="C1283" s="48"/>
      <c r="D1283" s="48"/>
    </row>
    <row r="1284" spans="1:4" x14ac:dyDescent="0.25">
      <c r="A1284" s="47"/>
      <c r="B1284" s="107"/>
      <c r="C1284" s="48"/>
      <c r="D1284" s="48"/>
    </row>
    <row r="1285" spans="1:4" x14ac:dyDescent="0.25">
      <c r="A1285" s="47"/>
      <c r="B1285" s="107"/>
      <c r="C1285" s="48"/>
      <c r="D1285" s="48"/>
    </row>
    <row r="1286" spans="1:4" x14ac:dyDescent="0.25">
      <c r="A1286" s="47"/>
      <c r="B1286" s="107"/>
      <c r="C1286" s="48"/>
      <c r="D1286" s="48"/>
    </row>
    <row r="1287" spans="1:4" x14ac:dyDescent="0.25">
      <c r="A1287" s="47"/>
      <c r="B1287" s="107"/>
      <c r="C1287" s="48"/>
      <c r="D1287" s="48"/>
    </row>
    <row r="1288" spans="1:4" x14ac:dyDescent="0.25">
      <c r="A1288" s="47"/>
      <c r="B1288" s="107"/>
      <c r="C1288" s="48"/>
      <c r="D1288" s="48"/>
    </row>
    <row r="1289" spans="1:4" x14ac:dyDescent="0.25">
      <c r="A1289" s="47"/>
      <c r="B1289" s="107"/>
      <c r="C1289" s="48"/>
      <c r="D1289" s="48"/>
    </row>
    <row r="1290" spans="1:4" x14ac:dyDescent="0.25">
      <c r="A1290" s="47"/>
      <c r="B1290" s="107"/>
      <c r="C1290" s="48"/>
      <c r="D1290" s="48"/>
    </row>
    <row r="1291" spans="1:4" x14ac:dyDescent="0.25">
      <c r="A1291" s="47"/>
      <c r="B1291" s="107"/>
      <c r="C1291" s="48"/>
      <c r="D1291" s="48"/>
    </row>
    <row r="1292" spans="1:4" x14ac:dyDescent="0.25">
      <c r="A1292" s="47"/>
      <c r="B1292" s="107"/>
      <c r="C1292" s="48"/>
      <c r="D1292" s="48"/>
    </row>
    <row r="1293" spans="1:4" x14ac:dyDescent="0.25">
      <c r="A1293" s="47"/>
      <c r="B1293" s="107"/>
      <c r="C1293" s="48"/>
      <c r="D1293" s="48"/>
    </row>
    <row r="1294" spans="1:4" x14ac:dyDescent="0.25">
      <c r="A1294" s="47"/>
      <c r="B1294" s="107"/>
      <c r="C1294" s="48"/>
      <c r="D1294" s="48"/>
    </row>
    <row r="1295" spans="1:4" x14ac:dyDescent="0.25">
      <c r="A1295" s="47"/>
      <c r="B1295" s="107"/>
      <c r="C1295" s="48"/>
      <c r="D1295" s="48"/>
    </row>
    <row r="1296" spans="1:4" x14ac:dyDescent="0.25">
      <c r="A1296" s="47"/>
      <c r="B1296" s="107"/>
      <c r="C1296" s="48"/>
      <c r="D1296" s="48"/>
    </row>
    <row r="1297" spans="1:4" x14ac:dyDescent="0.25">
      <c r="A1297" s="47"/>
      <c r="B1297" s="107"/>
      <c r="C1297" s="48"/>
      <c r="D1297" s="48"/>
    </row>
    <row r="1298" spans="1:4" x14ac:dyDescent="0.25">
      <c r="A1298" s="47"/>
      <c r="B1298" s="107"/>
      <c r="C1298" s="48"/>
      <c r="D1298" s="48"/>
    </row>
    <row r="1299" spans="1:4" x14ac:dyDescent="0.25">
      <c r="A1299" s="47"/>
      <c r="B1299" s="107"/>
      <c r="C1299" s="48"/>
      <c r="D1299" s="48"/>
    </row>
    <row r="1300" spans="1:4" x14ac:dyDescent="0.25">
      <c r="A1300" s="47"/>
      <c r="B1300" s="107"/>
      <c r="C1300" s="48"/>
      <c r="D1300" s="48"/>
    </row>
    <row r="1301" spans="1:4" x14ac:dyDescent="0.25">
      <c r="A1301" s="47"/>
      <c r="B1301" s="107"/>
      <c r="C1301" s="48"/>
      <c r="D1301" s="48"/>
    </row>
    <row r="1302" spans="1:4" x14ac:dyDescent="0.25">
      <c r="A1302" s="47"/>
      <c r="B1302" s="107"/>
      <c r="C1302" s="48"/>
      <c r="D1302" s="48"/>
    </row>
    <row r="1303" spans="1:4" x14ac:dyDescent="0.25">
      <c r="A1303" s="47"/>
      <c r="B1303" s="107"/>
      <c r="C1303" s="48"/>
      <c r="D1303" s="48"/>
    </row>
    <row r="1304" spans="1:4" x14ac:dyDescent="0.25">
      <c r="A1304" s="47"/>
      <c r="B1304" s="107"/>
      <c r="C1304" s="48"/>
      <c r="D1304" s="48"/>
    </row>
    <row r="1305" spans="1:4" x14ac:dyDescent="0.25">
      <c r="A1305" s="47"/>
      <c r="B1305" s="107"/>
      <c r="C1305" s="48"/>
      <c r="D1305" s="48"/>
    </row>
    <row r="1306" spans="1:4" x14ac:dyDescent="0.25">
      <c r="A1306" s="47"/>
      <c r="B1306" s="107"/>
      <c r="C1306" s="48"/>
      <c r="D1306" s="48"/>
    </row>
    <row r="1307" spans="1:4" x14ac:dyDescent="0.25">
      <c r="A1307" s="47"/>
      <c r="B1307" s="107"/>
      <c r="C1307" s="48"/>
      <c r="D1307" s="48"/>
    </row>
    <row r="1308" spans="1:4" x14ac:dyDescent="0.25">
      <c r="A1308" s="47"/>
      <c r="B1308" s="107"/>
      <c r="C1308" s="48"/>
      <c r="D1308" s="48"/>
    </row>
    <row r="1309" spans="1:4" x14ac:dyDescent="0.25">
      <c r="A1309" s="47"/>
      <c r="B1309" s="107"/>
      <c r="C1309" s="48"/>
      <c r="D1309" s="48"/>
    </row>
    <row r="1310" spans="1:4" x14ac:dyDescent="0.25">
      <c r="A1310" s="47"/>
      <c r="B1310" s="107"/>
      <c r="C1310" s="48"/>
      <c r="D1310" s="48"/>
    </row>
    <row r="1311" spans="1:4" x14ac:dyDescent="0.25">
      <c r="A1311" s="47"/>
      <c r="B1311" s="107"/>
      <c r="C1311" s="48"/>
      <c r="D1311" s="48"/>
    </row>
    <row r="1312" spans="1:4" x14ac:dyDescent="0.25">
      <c r="A1312" s="47"/>
      <c r="B1312" s="107"/>
      <c r="C1312" s="48"/>
      <c r="D1312" s="48"/>
    </row>
    <row r="1313" spans="1:4" x14ac:dyDescent="0.25">
      <c r="A1313" s="47"/>
      <c r="B1313" s="107"/>
      <c r="C1313" s="48"/>
      <c r="D1313" s="48"/>
    </row>
    <row r="1314" spans="1:4" x14ac:dyDescent="0.25">
      <c r="A1314" s="47"/>
      <c r="B1314" s="107"/>
      <c r="C1314" s="48"/>
      <c r="D1314" s="48"/>
    </row>
    <row r="1315" spans="1:4" x14ac:dyDescent="0.25">
      <c r="A1315" s="47"/>
      <c r="B1315" s="107"/>
      <c r="C1315" s="48"/>
      <c r="D1315" s="48"/>
    </row>
    <row r="1316" spans="1:4" x14ac:dyDescent="0.25">
      <c r="A1316" s="47"/>
      <c r="B1316" s="107"/>
      <c r="C1316" s="48"/>
      <c r="D1316" s="48"/>
    </row>
    <row r="1317" spans="1:4" x14ac:dyDescent="0.25">
      <c r="A1317" s="47"/>
      <c r="B1317" s="107"/>
      <c r="C1317" s="48"/>
      <c r="D1317" s="48"/>
    </row>
    <row r="1318" spans="1:4" x14ac:dyDescent="0.25">
      <c r="A1318" s="47"/>
      <c r="B1318" s="107"/>
      <c r="C1318" s="48"/>
      <c r="D1318" s="48"/>
    </row>
    <row r="1319" spans="1:4" x14ac:dyDescent="0.25">
      <c r="A1319" s="47"/>
      <c r="B1319" s="107"/>
      <c r="C1319" s="48"/>
      <c r="D1319" s="48"/>
    </row>
    <row r="1320" spans="1:4" x14ac:dyDescent="0.25">
      <c r="A1320" s="47"/>
      <c r="B1320" s="107"/>
      <c r="C1320" s="48"/>
      <c r="D1320" s="48"/>
    </row>
    <row r="1321" spans="1:4" x14ac:dyDescent="0.25">
      <c r="A1321" s="47"/>
      <c r="B1321" s="107"/>
      <c r="C1321" s="48"/>
      <c r="D1321" s="48"/>
    </row>
    <row r="1322" spans="1:4" x14ac:dyDescent="0.25">
      <c r="A1322" s="47"/>
      <c r="B1322" s="107"/>
      <c r="C1322" s="48"/>
      <c r="D1322" s="48"/>
    </row>
    <row r="1323" spans="1:4" x14ac:dyDescent="0.25">
      <c r="A1323" s="47"/>
      <c r="B1323" s="107"/>
      <c r="C1323" s="48"/>
      <c r="D1323" s="48"/>
    </row>
    <row r="1324" spans="1:4" x14ac:dyDescent="0.25">
      <c r="A1324" s="47"/>
      <c r="B1324" s="107"/>
      <c r="C1324" s="48"/>
      <c r="D1324" s="48"/>
    </row>
    <row r="1325" spans="1:4" x14ac:dyDescent="0.25">
      <c r="A1325" s="47"/>
      <c r="B1325" s="107"/>
      <c r="C1325" s="48"/>
      <c r="D1325" s="48"/>
    </row>
    <row r="1326" spans="1:4" x14ac:dyDescent="0.25">
      <c r="A1326" s="47"/>
      <c r="B1326" s="107"/>
      <c r="C1326" s="48"/>
      <c r="D1326" s="48"/>
    </row>
    <row r="1327" spans="1:4" x14ac:dyDescent="0.25">
      <c r="A1327" s="47"/>
      <c r="B1327" s="107"/>
      <c r="C1327" s="48"/>
      <c r="D1327" s="48"/>
    </row>
    <row r="1328" spans="1:4" x14ac:dyDescent="0.25">
      <c r="A1328" s="47"/>
      <c r="B1328" s="107"/>
      <c r="C1328" s="48"/>
      <c r="D1328" s="48"/>
    </row>
    <row r="1329" spans="1:4" x14ac:dyDescent="0.25">
      <c r="A1329" s="47"/>
      <c r="B1329" s="107"/>
      <c r="C1329" s="48"/>
      <c r="D1329" s="48"/>
    </row>
    <row r="1330" spans="1:4" x14ac:dyDescent="0.25">
      <c r="A1330" s="47"/>
      <c r="B1330" s="107"/>
      <c r="C1330" s="48"/>
      <c r="D1330" s="48"/>
    </row>
    <row r="1331" spans="1:4" x14ac:dyDescent="0.25">
      <c r="A1331" s="47"/>
      <c r="B1331" s="107"/>
      <c r="C1331" s="48"/>
      <c r="D1331" s="48"/>
    </row>
    <row r="1332" spans="1:4" x14ac:dyDescent="0.25">
      <c r="A1332" s="47"/>
      <c r="B1332" s="107"/>
      <c r="C1332" s="48"/>
      <c r="D1332" s="48"/>
    </row>
    <row r="1333" spans="1:4" x14ac:dyDescent="0.25">
      <c r="A1333" s="47"/>
      <c r="B1333" s="107"/>
      <c r="C1333" s="48"/>
      <c r="D1333" s="48"/>
    </row>
    <row r="1334" spans="1:4" x14ac:dyDescent="0.25">
      <c r="A1334" s="47"/>
      <c r="B1334" s="107"/>
      <c r="C1334" s="48"/>
      <c r="D1334" s="48"/>
    </row>
    <row r="1335" spans="1:4" x14ac:dyDescent="0.25">
      <c r="A1335" s="47"/>
      <c r="B1335" s="107"/>
      <c r="C1335" s="48"/>
      <c r="D1335" s="48"/>
    </row>
    <row r="1336" spans="1:4" x14ac:dyDescent="0.25">
      <c r="A1336" s="47"/>
      <c r="B1336" s="107"/>
      <c r="C1336" s="48"/>
      <c r="D1336" s="48"/>
    </row>
    <row r="1337" spans="1:4" x14ac:dyDescent="0.25">
      <c r="A1337" s="47"/>
      <c r="B1337" s="107"/>
      <c r="C1337" s="48"/>
      <c r="D1337" s="48"/>
    </row>
    <row r="1338" spans="1:4" x14ac:dyDescent="0.25">
      <c r="A1338" s="47"/>
      <c r="B1338" s="107"/>
      <c r="C1338" s="48"/>
      <c r="D1338" s="48"/>
    </row>
    <row r="1339" spans="1:4" x14ac:dyDescent="0.25">
      <c r="A1339" s="47"/>
      <c r="B1339" s="107"/>
      <c r="C1339" s="48"/>
      <c r="D1339" s="48"/>
    </row>
    <row r="1340" spans="1:4" x14ac:dyDescent="0.25">
      <c r="A1340" s="47"/>
      <c r="B1340" s="107"/>
      <c r="C1340" s="48"/>
      <c r="D1340" s="48"/>
    </row>
    <row r="1341" spans="1:4" x14ac:dyDescent="0.25">
      <c r="A1341" s="47"/>
      <c r="B1341" s="107"/>
      <c r="C1341" s="48"/>
      <c r="D1341" s="48"/>
    </row>
    <row r="1342" spans="1:4" x14ac:dyDescent="0.25">
      <c r="A1342" s="47"/>
      <c r="B1342" s="107"/>
      <c r="C1342" s="48"/>
      <c r="D1342" s="48"/>
    </row>
    <row r="1343" spans="1:4" x14ac:dyDescent="0.25">
      <c r="A1343" s="47"/>
      <c r="B1343" s="107"/>
      <c r="C1343" s="48"/>
      <c r="D1343" s="48"/>
    </row>
    <row r="1344" spans="1:4" x14ac:dyDescent="0.25">
      <c r="A1344" s="47"/>
      <c r="B1344" s="107"/>
      <c r="C1344" s="48"/>
      <c r="D1344" s="48"/>
    </row>
    <row r="1345" spans="1:4" x14ac:dyDescent="0.25">
      <c r="A1345" s="47"/>
      <c r="B1345" s="107"/>
      <c r="C1345" s="48"/>
      <c r="D1345" s="48"/>
    </row>
    <row r="1346" spans="1:4" x14ac:dyDescent="0.25">
      <c r="A1346" s="47"/>
      <c r="B1346" s="107"/>
      <c r="C1346" s="48"/>
      <c r="D1346" s="48"/>
    </row>
    <row r="1347" spans="1:4" x14ac:dyDescent="0.25">
      <c r="A1347" s="47"/>
      <c r="B1347" s="107"/>
      <c r="C1347" s="48"/>
      <c r="D1347" s="48"/>
    </row>
    <row r="1348" spans="1:4" x14ac:dyDescent="0.25">
      <c r="A1348" s="47"/>
      <c r="B1348" s="107"/>
      <c r="C1348" s="48"/>
      <c r="D1348" s="48"/>
    </row>
    <row r="1349" spans="1:4" x14ac:dyDescent="0.25">
      <c r="A1349" s="47"/>
      <c r="B1349" s="107"/>
      <c r="C1349" s="48"/>
      <c r="D1349" s="48"/>
    </row>
    <row r="1350" spans="1:4" x14ac:dyDescent="0.25">
      <c r="A1350" s="47"/>
      <c r="B1350" s="107"/>
      <c r="C1350" s="48"/>
      <c r="D1350" s="48"/>
    </row>
    <row r="1351" spans="1:4" x14ac:dyDescent="0.25">
      <c r="A1351" s="47"/>
      <c r="B1351" s="107"/>
      <c r="C1351" s="48"/>
      <c r="D1351" s="48"/>
    </row>
    <row r="1352" spans="1:4" x14ac:dyDescent="0.25">
      <c r="A1352" s="47"/>
      <c r="B1352" s="107"/>
      <c r="C1352" s="48"/>
      <c r="D1352" s="48"/>
    </row>
    <row r="1353" spans="1:4" x14ac:dyDescent="0.25">
      <c r="A1353" s="47"/>
      <c r="B1353" s="107"/>
      <c r="C1353" s="48"/>
      <c r="D1353" s="48"/>
    </row>
    <row r="1354" spans="1:4" x14ac:dyDescent="0.25">
      <c r="A1354" s="47"/>
      <c r="B1354" s="107"/>
      <c r="C1354" s="48"/>
      <c r="D1354" s="48"/>
    </row>
    <row r="1355" spans="1:4" x14ac:dyDescent="0.25">
      <c r="A1355" s="47"/>
      <c r="B1355" s="107"/>
      <c r="C1355" s="48"/>
      <c r="D1355" s="48"/>
    </row>
    <row r="1356" spans="1:4" x14ac:dyDescent="0.25">
      <c r="A1356" s="47"/>
      <c r="B1356" s="107"/>
      <c r="C1356" s="48"/>
      <c r="D1356" s="48"/>
    </row>
    <row r="1357" spans="1:4" x14ac:dyDescent="0.25">
      <c r="A1357" s="47"/>
      <c r="B1357" s="107"/>
      <c r="C1357" s="48"/>
      <c r="D1357" s="48"/>
    </row>
    <row r="1358" spans="1:4" x14ac:dyDescent="0.25">
      <c r="A1358" s="47"/>
      <c r="B1358" s="107"/>
      <c r="C1358" s="48"/>
      <c r="D1358" s="48"/>
    </row>
    <row r="1359" spans="1:4" x14ac:dyDescent="0.25">
      <c r="A1359" s="47"/>
      <c r="B1359" s="107"/>
      <c r="C1359" s="48"/>
      <c r="D1359" s="48"/>
    </row>
    <row r="1360" spans="1:4" x14ac:dyDescent="0.25">
      <c r="A1360" s="47"/>
      <c r="B1360" s="107"/>
      <c r="C1360" s="48"/>
      <c r="D1360" s="48"/>
    </row>
    <row r="1361" spans="1:4" x14ac:dyDescent="0.25">
      <c r="A1361" s="47"/>
      <c r="B1361" s="107"/>
      <c r="C1361" s="48"/>
      <c r="D1361" s="48"/>
    </row>
    <row r="1362" spans="1:4" x14ac:dyDescent="0.25">
      <c r="A1362" s="47"/>
      <c r="B1362" s="107"/>
      <c r="C1362" s="48"/>
      <c r="D1362" s="48"/>
    </row>
    <row r="1363" spans="1:4" x14ac:dyDescent="0.25">
      <c r="A1363" s="47"/>
      <c r="B1363" s="107"/>
      <c r="C1363" s="48"/>
      <c r="D1363" s="48"/>
    </row>
    <row r="1364" spans="1:4" x14ac:dyDescent="0.25">
      <c r="A1364" s="47"/>
      <c r="B1364" s="107"/>
      <c r="C1364" s="48"/>
      <c r="D1364" s="48"/>
    </row>
    <row r="1365" spans="1:4" x14ac:dyDescent="0.25">
      <c r="A1365" s="47"/>
      <c r="B1365" s="107"/>
      <c r="C1365" s="48"/>
      <c r="D1365" s="48"/>
    </row>
    <row r="1366" spans="1:4" x14ac:dyDescent="0.25">
      <c r="A1366" s="47"/>
      <c r="B1366" s="107"/>
      <c r="C1366" s="48"/>
      <c r="D1366" s="48"/>
    </row>
    <row r="1367" spans="1:4" x14ac:dyDescent="0.25">
      <c r="A1367" s="47"/>
      <c r="B1367" s="107"/>
      <c r="C1367" s="48"/>
      <c r="D1367" s="48"/>
    </row>
    <row r="1368" spans="1:4" x14ac:dyDescent="0.25">
      <c r="A1368" s="47"/>
      <c r="B1368" s="107"/>
      <c r="C1368" s="48"/>
      <c r="D1368" s="48"/>
    </row>
    <row r="1369" spans="1:4" x14ac:dyDescent="0.25">
      <c r="A1369" s="47"/>
      <c r="B1369" s="107"/>
      <c r="C1369" s="48"/>
      <c r="D1369" s="48"/>
    </row>
    <row r="1370" spans="1:4" x14ac:dyDescent="0.25">
      <c r="A1370" s="47"/>
      <c r="B1370" s="107"/>
      <c r="C1370" s="48"/>
      <c r="D1370" s="48"/>
    </row>
    <row r="1371" spans="1:4" x14ac:dyDescent="0.25">
      <c r="A1371" s="47"/>
      <c r="B1371" s="107"/>
      <c r="C1371" s="48"/>
      <c r="D1371" s="48"/>
    </row>
    <row r="1372" spans="1:4" x14ac:dyDescent="0.25">
      <c r="A1372" s="47"/>
      <c r="B1372" s="107"/>
      <c r="C1372" s="48"/>
      <c r="D1372" s="48"/>
    </row>
    <row r="1373" spans="1:4" x14ac:dyDescent="0.25">
      <c r="A1373" s="47"/>
      <c r="B1373" s="107"/>
      <c r="C1373" s="48"/>
      <c r="D1373" s="48"/>
    </row>
    <row r="1374" spans="1:4" x14ac:dyDescent="0.25">
      <c r="A1374" s="47"/>
      <c r="B1374" s="107"/>
      <c r="C1374" s="48"/>
      <c r="D1374" s="48"/>
    </row>
    <row r="1375" spans="1:4" x14ac:dyDescent="0.25">
      <c r="A1375" s="47"/>
      <c r="B1375" s="107"/>
      <c r="C1375" s="48"/>
      <c r="D1375" s="48"/>
    </row>
    <row r="1376" spans="1:4" x14ac:dyDescent="0.25">
      <c r="A1376" s="47"/>
      <c r="B1376" s="107"/>
      <c r="C1376" s="48"/>
      <c r="D1376" s="48"/>
    </row>
    <row r="1377" spans="1:4" x14ac:dyDescent="0.25">
      <c r="A1377" s="47"/>
      <c r="B1377" s="107"/>
      <c r="C1377" s="48"/>
      <c r="D1377" s="48"/>
    </row>
    <row r="1378" spans="1:4" x14ac:dyDescent="0.25">
      <c r="A1378" s="47"/>
      <c r="B1378" s="107"/>
      <c r="C1378" s="48"/>
      <c r="D1378" s="48"/>
    </row>
    <row r="1379" spans="1:4" x14ac:dyDescent="0.25">
      <c r="A1379" s="47"/>
      <c r="B1379" s="107"/>
      <c r="C1379" s="48"/>
      <c r="D1379" s="48"/>
    </row>
    <row r="1380" spans="1:4" x14ac:dyDescent="0.25">
      <c r="A1380" s="47"/>
      <c r="B1380" s="107"/>
      <c r="C1380" s="48"/>
      <c r="D1380" s="48"/>
    </row>
    <row r="1381" spans="1:4" x14ac:dyDescent="0.25">
      <c r="A1381" s="47"/>
      <c r="B1381" s="107"/>
      <c r="C1381" s="48"/>
      <c r="D1381" s="48"/>
    </row>
    <row r="1382" spans="1:4" x14ac:dyDescent="0.25">
      <c r="A1382" s="47"/>
      <c r="B1382" s="107"/>
      <c r="C1382" s="48"/>
      <c r="D1382" s="48"/>
    </row>
    <row r="1383" spans="1:4" x14ac:dyDescent="0.25">
      <c r="A1383" s="47"/>
      <c r="B1383" s="107"/>
      <c r="C1383" s="48"/>
      <c r="D1383" s="48"/>
    </row>
    <row r="1384" spans="1:4" x14ac:dyDescent="0.25">
      <c r="A1384" s="47"/>
      <c r="B1384" s="107"/>
      <c r="C1384" s="48"/>
      <c r="D1384" s="48"/>
    </row>
    <row r="1385" spans="1:4" x14ac:dyDescent="0.25">
      <c r="A1385" s="47"/>
      <c r="B1385" s="107"/>
      <c r="C1385" s="48"/>
      <c r="D1385" s="48"/>
    </row>
    <row r="1386" spans="1:4" x14ac:dyDescent="0.25">
      <c r="A1386" s="47"/>
      <c r="B1386" s="107"/>
      <c r="C1386" s="48"/>
      <c r="D1386" s="48"/>
    </row>
    <row r="1387" spans="1:4" x14ac:dyDescent="0.25">
      <c r="A1387" s="47"/>
      <c r="B1387" s="107"/>
      <c r="C1387" s="48"/>
      <c r="D1387" s="48"/>
    </row>
    <row r="1388" spans="1:4" x14ac:dyDescent="0.25">
      <c r="A1388" s="47"/>
      <c r="B1388" s="107"/>
      <c r="C1388" s="48"/>
      <c r="D1388" s="48"/>
    </row>
    <row r="1389" spans="1:4" x14ac:dyDescent="0.25">
      <c r="A1389" s="47"/>
      <c r="B1389" s="107"/>
      <c r="C1389" s="48"/>
      <c r="D1389" s="48"/>
    </row>
    <row r="1390" spans="1:4" x14ac:dyDescent="0.25">
      <c r="A1390" s="47"/>
      <c r="B1390" s="107"/>
      <c r="C1390" s="48"/>
      <c r="D1390" s="48"/>
    </row>
    <row r="1391" spans="1:4" x14ac:dyDescent="0.25">
      <c r="A1391" s="47"/>
      <c r="B1391" s="107"/>
      <c r="C1391" s="48"/>
      <c r="D1391" s="48"/>
    </row>
    <row r="1392" spans="1:4" x14ac:dyDescent="0.25">
      <c r="A1392" s="47"/>
      <c r="B1392" s="107"/>
      <c r="C1392" s="48"/>
      <c r="D1392" s="48"/>
    </row>
    <row r="1393" spans="1:4" x14ac:dyDescent="0.25">
      <c r="A1393" s="47"/>
      <c r="B1393" s="107"/>
      <c r="C1393" s="48"/>
      <c r="D1393" s="48"/>
    </row>
    <row r="1394" spans="1:4" x14ac:dyDescent="0.25">
      <c r="A1394" s="47"/>
      <c r="B1394" s="107"/>
      <c r="C1394" s="48"/>
      <c r="D1394" s="48"/>
    </row>
    <row r="1395" spans="1:4" x14ac:dyDescent="0.25">
      <c r="A1395" s="47"/>
      <c r="B1395" s="107"/>
      <c r="C1395" s="48"/>
      <c r="D1395" s="48"/>
    </row>
    <row r="1396" spans="1:4" x14ac:dyDescent="0.25">
      <c r="A1396" s="47"/>
      <c r="B1396" s="107"/>
      <c r="C1396" s="48"/>
      <c r="D1396" s="48"/>
    </row>
    <row r="1397" spans="1:4" x14ac:dyDescent="0.25">
      <c r="A1397" s="47"/>
      <c r="B1397" s="107"/>
      <c r="C1397" s="48"/>
      <c r="D1397" s="48"/>
    </row>
    <row r="1398" spans="1:4" x14ac:dyDescent="0.25">
      <c r="A1398" s="47"/>
      <c r="B1398" s="107"/>
      <c r="C1398" s="48"/>
      <c r="D1398" s="48"/>
    </row>
    <row r="1399" spans="1:4" x14ac:dyDescent="0.25">
      <c r="A1399" s="47"/>
      <c r="B1399" s="107"/>
      <c r="C1399" s="48"/>
      <c r="D1399" s="48"/>
    </row>
    <row r="1400" spans="1:4" x14ac:dyDescent="0.25">
      <c r="A1400" s="47"/>
      <c r="B1400" s="107"/>
      <c r="C1400" s="48"/>
      <c r="D1400" s="48"/>
    </row>
    <row r="1401" spans="1:4" x14ac:dyDescent="0.25">
      <c r="A1401" s="47"/>
      <c r="B1401" s="107"/>
      <c r="C1401" s="48"/>
      <c r="D1401" s="48"/>
    </row>
    <row r="1402" spans="1:4" x14ac:dyDescent="0.25">
      <c r="A1402" s="47"/>
      <c r="B1402" s="107"/>
      <c r="C1402" s="48"/>
      <c r="D1402" s="48"/>
    </row>
    <row r="1403" spans="1:4" x14ac:dyDescent="0.25">
      <c r="A1403" s="47"/>
      <c r="B1403" s="107"/>
      <c r="C1403" s="48"/>
      <c r="D1403" s="48"/>
    </row>
    <row r="1404" spans="1:4" x14ac:dyDescent="0.25">
      <c r="A1404" s="47"/>
      <c r="B1404" s="107"/>
      <c r="C1404" s="48"/>
      <c r="D1404" s="48"/>
    </row>
    <row r="1405" spans="1:4" x14ac:dyDescent="0.25">
      <c r="A1405" s="47"/>
      <c r="B1405" s="107"/>
      <c r="C1405" s="48"/>
      <c r="D1405" s="48"/>
    </row>
    <row r="1406" spans="1:4" x14ac:dyDescent="0.25">
      <c r="A1406" s="47"/>
      <c r="B1406" s="107"/>
      <c r="C1406" s="48"/>
      <c r="D1406" s="48"/>
    </row>
    <row r="1407" spans="1:4" x14ac:dyDescent="0.25">
      <c r="A1407" s="47"/>
      <c r="B1407" s="107"/>
      <c r="C1407" s="48"/>
      <c r="D1407" s="48"/>
    </row>
    <row r="1408" spans="1:4" x14ac:dyDescent="0.25">
      <c r="A1408" s="47"/>
      <c r="B1408" s="107"/>
      <c r="C1408" s="48"/>
      <c r="D1408" s="48"/>
    </row>
    <row r="1409" spans="1:4" x14ac:dyDescent="0.25">
      <c r="A1409" s="47"/>
      <c r="B1409" s="107"/>
      <c r="C1409" s="48"/>
      <c r="D1409" s="48"/>
    </row>
    <row r="1410" spans="1:4" x14ac:dyDescent="0.25">
      <c r="A1410" s="47"/>
      <c r="B1410" s="107"/>
      <c r="C1410" s="48"/>
      <c r="D1410" s="48"/>
    </row>
    <row r="1411" spans="1:4" x14ac:dyDescent="0.25">
      <c r="A1411" s="47"/>
      <c r="B1411" s="107"/>
      <c r="C1411" s="48"/>
      <c r="D1411" s="48"/>
    </row>
    <row r="1412" spans="1:4" x14ac:dyDescent="0.25">
      <c r="A1412" s="47"/>
      <c r="B1412" s="107"/>
      <c r="C1412" s="48"/>
      <c r="D1412" s="48"/>
    </row>
    <row r="1413" spans="1:4" x14ac:dyDescent="0.25">
      <c r="A1413" s="47"/>
      <c r="B1413" s="107"/>
      <c r="C1413" s="48"/>
      <c r="D1413" s="48"/>
    </row>
    <row r="1414" spans="1:4" x14ac:dyDescent="0.25">
      <c r="A1414" s="47"/>
      <c r="B1414" s="107"/>
      <c r="C1414" s="48"/>
      <c r="D1414" s="48"/>
    </row>
    <row r="1415" spans="1:4" x14ac:dyDescent="0.25">
      <c r="A1415" s="47"/>
      <c r="B1415" s="107"/>
      <c r="C1415" s="48"/>
      <c r="D1415" s="48"/>
    </row>
    <row r="1416" spans="1:4" x14ac:dyDescent="0.25">
      <c r="A1416" s="47"/>
      <c r="B1416" s="107"/>
      <c r="C1416" s="48"/>
      <c r="D1416" s="48"/>
    </row>
    <row r="1417" spans="1:4" x14ac:dyDescent="0.25">
      <c r="A1417" s="47"/>
      <c r="B1417" s="107"/>
      <c r="C1417" s="48"/>
      <c r="D1417" s="48"/>
    </row>
    <row r="1418" spans="1:4" x14ac:dyDescent="0.25">
      <c r="A1418" s="47"/>
      <c r="B1418" s="107"/>
      <c r="C1418" s="48"/>
      <c r="D1418" s="48"/>
    </row>
    <row r="1419" spans="1:4" x14ac:dyDescent="0.25">
      <c r="A1419" s="47"/>
      <c r="B1419" s="107"/>
      <c r="C1419" s="48"/>
      <c r="D1419" s="48"/>
    </row>
    <row r="1420" spans="1:4" x14ac:dyDescent="0.25">
      <c r="A1420" s="47"/>
      <c r="B1420" s="107"/>
      <c r="C1420" s="48"/>
      <c r="D1420" s="48"/>
    </row>
    <row r="1421" spans="1:4" x14ac:dyDescent="0.25">
      <c r="A1421" s="47"/>
      <c r="B1421" s="107"/>
      <c r="C1421" s="48"/>
      <c r="D1421" s="48"/>
    </row>
    <row r="1422" spans="1:4" x14ac:dyDescent="0.25">
      <c r="A1422" s="47"/>
      <c r="B1422" s="107"/>
      <c r="C1422" s="48"/>
      <c r="D1422" s="48"/>
    </row>
    <row r="1423" spans="1:4" x14ac:dyDescent="0.25">
      <c r="A1423" s="47"/>
      <c r="B1423" s="107"/>
      <c r="C1423" s="48"/>
      <c r="D1423" s="48"/>
    </row>
    <row r="1424" spans="1:4" x14ac:dyDescent="0.25">
      <c r="A1424" s="47"/>
      <c r="B1424" s="107"/>
      <c r="C1424" s="48"/>
      <c r="D1424" s="48"/>
    </row>
    <row r="1425" spans="1:4" x14ac:dyDescent="0.25">
      <c r="A1425" s="47"/>
      <c r="B1425" s="107"/>
      <c r="C1425" s="48"/>
      <c r="D1425" s="48"/>
    </row>
    <row r="1426" spans="1:4" x14ac:dyDescent="0.25">
      <c r="A1426" s="47"/>
      <c r="B1426" s="107"/>
      <c r="C1426" s="48"/>
      <c r="D1426" s="48"/>
    </row>
    <row r="1427" spans="1:4" x14ac:dyDescent="0.25">
      <c r="A1427" s="47"/>
      <c r="B1427" s="107"/>
      <c r="C1427" s="48"/>
      <c r="D1427" s="48"/>
    </row>
    <row r="1428" spans="1:4" x14ac:dyDescent="0.25">
      <c r="A1428" s="47"/>
      <c r="B1428" s="107"/>
      <c r="C1428" s="48"/>
      <c r="D1428" s="48"/>
    </row>
    <row r="1429" spans="1:4" x14ac:dyDescent="0.25">
      <c r="A1429" s="47"/>
      <c r="B1429" s="107"/>
      <c r="C1429" s="48"/>
      <c r="D1429" s="48"/>
    </row>
    <row r="1430" spans="1:4" x14ac:dyDescent="0.25">
      <c r="A1430" s="47"/>
      <c r="B1430" s="107"/>
      <c r="C1430" s="48"/>
      <c r="D1430" s="48"/>
    </row>
    <row r="1431" spans="1:4" x14ac:dyDescent="0.25">
      <c r="A1431" s="47"/>
      <c r="B1431" s="107"/>
      <c r="C1431" s="48"/>
      <c r="D1431" s="48"/>
    </row>
    <row r="1432" spans="1:4" x14ac:dyDescent="0.25">
      <c r="A1432" s="47"/>
      <c r="B1432" s="107"/>
      <c r="C1432" s="48"/>
      <c r="D1432" s="48"/>
    </row>
    <row r="1433" spans="1:4" x14ac:dyDescent="0.25">
      <c r="A1433" s="47"/>
      <c r="B1433" s="107"/>
      <c r="C1433" s="48"/>
      <c r="D1433" s="48"/>
    </row>
    <row r="1434" spans="1:4" x14ac:dyDescent="0.25">
      <c r="A1434" s="47"/>
      <c r="B1434" s="107"/>
      <c r="C1434" s="48"/>
      <c r="D1434" s="48"/>
    </row>
    <row r="1435" spans="1:4" x14ac:dyDescent="0.25">
      <c r="A1435" s="47"/>
      <c r="B1435" s="107"/>
      <c r="C1435" s="48"/>
      <c r="D1435" s="48"/>
    </row>
    <row r="1436" spans="1:4" x14ac:dyDescent="0.25">
      <c r="A1436" s="47"/>
      <c r="B1436" s="107"/>
      <c r="C1436" s="48"/>
      <c r="D1436" s="48"/>
    </row>
    <row r="1437" spans="1:4" x14ac:dyDescent="0.25">
      <c r="A1437" s="47"/>
      <c r="B1437" s="107"/>
      <c r="C1437" s="48"/>
      <c r="D1437" s="48"/>
    </row>
    <row r="1438" spans="1:4" x14ac:dyDescent="0.25">
      <c r="A1438" s="47"/>
      <c r="B1438" s="107"/>
      <c r="C1438" s="48"/>
      <c r="D1438" s="48"/>
    </row>
    <row r="1439" spans="1:4" x14ac:dyDescent="0.25">
      <c r="A1439" s="47"/>
      <c r="B1439" s="107"/>
      <c r="C1439" s="48"/>
      <c r="D1439" s="48"/>
    </row>
    <row r="1440" spans="1:4" x14ac:dyDescent="0.25">
      <c r="A1440" s="47"/>
      <c r="B1440" s="107"/>
      <c r="C1440" s="48"/>
      <c r="D1440" s="48"/>
    </row>
    <row r="1441" spans="1:4" x14ac:dyDescent="0.25">
      <c r="A1441" s="47"/>
      <c r="B1441" s="107"/>
      <c r="C1441" s="48"/>
      <c r="D1441" s="48"/>
    </row>
    <row r="1442" spans="1:4" x14ac:dyDescent="0.25">
      <c r="A1442" s="47"/>
      <c r="B1442" s="107"/>
      <c r="C1442" s="48"/>
      <c r="D1442" s="48"/>
    </row>
    <row r="1443" spans="1:4" x14ac:dyDescent="0.25">
      <c r="A1443" s="47"/>
      <c r="B1443" s="107"/>
      <c r="C1443" s="48"/>
      <c r="D1443" s="48"/>
    </row>
    <row r="1444" spans="1:4" x14ac:dyDescent="0.25">
      <c r="A1444" s="47"/>
      <c r="B1444" s="107"/>
      <c r="C1444" s="48"/>
      <c r="D1444" s="48"/>
    </row>
    <row r="1445" spans="1:4" x14ac:dyDescent="0.25">
      <c r="A1445" s="47"/>
      <c r="B1445" s="107"/>
      <c r="C1445" s="48"/>
      <c r="D1445" s="48"/>
    </row>
    <row r="1446" spans="1:4" x14ac:dyDescent="0.25">
      <c r="A1446" s="47"/>
      <c r="B1446" s="107"/>
      <c r="C1446" s="48"/>
      <c r="D1446" s="48"/>
    </row>
    <row r="1447" spans="1:4" x14ac:dyDescent="0.25">
      <c r="A1447" s="47"/>
      <c r="B1447" s="107"/>
      <c r="C1447" s="48"/>
      <c r="D1447" s="48"/>
    </row>
    <row r="1448" spans="1:4" x14ac:dyDescent="0.25">
      <c r="A1448" s="47"/>
      <c r="B1448" s="107"/>
      <c r="C1448" s="48"/>
      <c r="D1448" s="48"/>
    </row>
    <row r="1449" spans="1:4" x14ac:dyDescent="0.25">
      <c r="A1449" s="47"/>
      <c r="B1449" s="107"/>
      <c r="C1449" s="48"/>
      <c r="D1449" s="48"/>
    </row>
    <row r="1450" spans="1:4" x14ac:dyDescent="0.25">
      <c r="A1450" s="47"/>
      <c r="B1450" s="107"/>
      <c r="C1450" s="48"/>
      <c r="D1450" s="48"/>
    </row>
    <row r="1451" spans="1:4" x14ac:dyDescent="0.25">
      <c r="A1451" s="47"/>
      <c r="B1451" s="107"/>
      <c r="C1451" s="48"/>
      <c r="D1451" s="48"/>
    </row>
    <row r="1452" spans="1:4" x14ac:dyDescent="0.25">
      <c r="A1452" s="47"/>
      <c r="B1452" s="107"/>
      <c r="C1452" s="48"/>
      <c r="D1452" s="48"/>
    </row>
    <row r="1453" spans="1:4" x14ac:dyDescent="0.25">
      <c r="A1453" s="47"/>
      <c r="B1453" s="107"/>
      <c r="C1453" s="48"/>
      <c r="D1453" s="48"/>
    </row>
    <row r="1454" spans="1:4" x14ac:dyDescent="0.25">
      <c r="A1454" s="47"/>
      <c r="B1454" s="107"/>
      <c r="C1454" s="48"/>
      <c r="D1454" s="48"/>
    </row>
    <row r="1455" spans="1:4" x14ac:dyDescent="0.25">
      <c r="A1455" s="47"/>
      <c r="B1455" s="107"/>
      <c r="C1455" s="48"/>
      <c r="D1455" s="48"/>
    </row>
    <row r="1456" spans="1:4" x14ac:dyDescent="0.25">
      <c r="A1456" s="47"/>
      <c r="B1456" s="107"/>
      <c r="C1456" s="48"/>
      <c r="D1456" s="48"/>
    </row>
    <row r="1457" spans="1:4" x14ac:dyDescent="0.25">
      <c r="A1457" s="47"/>
      <c r="B1457" s="107"/>
      <c r="C1457" s="48"/>
      <c r="D1457" s="48"/>
    </row>
    <row r="1458" spans="1:4" x14ac:dyDescent="0.25">
      <c r="A1458" s="47"/>
      <c r="B1458" s="107"/>
      <c r="C1458" s="48"/>
      <c r="D1458" s="48"/>
    </row>
    <row r="1459" spans="1:4" x14ac:dyDescent="0.25">
      <c r="A1459" s="47"/>
      <c r="B1459" s="107"/>
      <c r="C1459" s="48"/>
      <c r="D1459" s="48"/>
    </row>
    <row r="1460" spans="1:4" x14ac:dyDescent="0.25">
      <c r="A1460" s="47"/>
      <c r="B1460" s="107"/>
      <c r="C1460" s="48"/>
      <c r="D1460" s="48"/>
    </row>
    <row r="1461" spans="1:4" x14ac:dyDescent="0.25">
      <c r="A1461" s="47"/>
      <c r="B1461" s="107"/>
      <c r="C1461" s="48"/>
      <c r="D1461" s="48"/>
    </row>
    <row r="1462" spans="1:4" x14ac:dyDescent="0.25">
      <c r="A1462" s="47"/>
      <c r="B1462" s="107"/>
      <c r="C1462" s="48"/>
      <c r="D1462" s="48"/>
    </row>
    <row r="1463" spans="1:4" x14ac:dyDescent="0.25">
      <c r="A1463" s="47"/>
      <c r="B1463" s="107"/>
      <c r="C1463" s="48"/>
      <c r="D1463" s="48"/>
    </row>
    <row r="1464" spans="1:4" x14ac:dyDescent="0.25">
      <c r="A1464" s="47"/>
      <c r="B1464" s="107"/>
      <c r="C1464" s="48"/>
      <c r="D1464" s="48"/>
    </row>
    <row r="1465" spans="1:4" x14ac:dyDescent="0.25">
      <c r="A1465" s="47"/>
      <c r="B1465" s="107"/>
      <c r="C1465" s="48"/>
      <c r="D1465" s="48"/>
    </row>
    <row r="1466" spans="1:4" x14ac:dyDescent="0.25">
      <c r="A1466" s="47"/>
      <c r="B1466" s="107"/>
      <c r="C1466" s="48"/>
      <c r="D1466" s="48"/>
    </row>
    <row r="1467" spans="1:4" x14ac:dyDescent="0.25">
      <c r="A1467" s="47"/>
      <c r="B1467" s="107"/>
      <c r="C1467" s="48"/>
      <c r="D1467" s="48"/>
    </row>
    <row r="1468" spans="1:4" x14ac:dyDescent="0.25">
      <c r="A1468" s="47"/>
      <c r="B1468" s="107"/>
      <c r="C1468" s="48"/>
      <c r="D1468" s="48"/>
    </row>
    <row r="1469" spans="1:4" x14ac:dyDescent="0.25">
      <c r="A1469" s="47"/>
      <c r="B1469" s="107"/>
      <c r="C1469" s="48"/>
      <c r="D1469" s="48"/>
    </row>
    <row r="1470" spans="1:4" x14ac:dyDescent="0.25">
      <c r="A1470" s="47"/>
      <c r="B1470" s="107"/>
      <c r="C1470" s="48"/>
      <c r="D1470" s="48"/>
    </row>
    <row r="1471" spans="1:4" x14ac:dyDescent="0.25">
      <c r="A1471" s="47"/>
      <c r="B1471" s="107"/>
      <c r="C1471" s="48"/>
      <c r="D1471" s="48"/>
    </row>
    <row r="1472" spans="1:4" x14ac:dyDescent="0.25">
      <c r="A1472" s="47"/>
      <c r="B1472" s="107"/>
      <c r="C1472" s="48"/>
      <c r="D1472" s="48"/>
    </row>
    <row r="1473" spans="1:4" x14ac:dyDescent="0.25">
      <c r="A1473" s="47"/>
      <c r="B1473" s="107"/>
      <c r="C1473" s="48"/>
      <c r="D1473" s="48"/>
    </row>
    <row r="1474" spans="1:4" x14ac:dyDescent="0.25">
      <c r="A1474" s="47"/>
      <c r="B1474" s="107"/>
      <c r="C1474" s="48"/>
      <c r="D1474" s="48"/>
    </row>
    <row r="1475" spans="1:4" x14ac:dyDescent="0.25">
      <c r="A1475" s="47"/>
      <c r="B1475" s="107"/>
      <c r="C1475" s="48"/>
      <c r="D1475" s="48"/>
    </row>
    <row r="1476" spans="1:4" x14ac:dyDescent="0.25">
      <c r="A1476" s="47"/>
      <c r="B1476" s="107"/>
      <c r="C1476" s="48"/>
      <c r="D1476" s="48"/>
    </row>
    <row r="1477" spans="1:4" x14ac:dyDescent="0.25">
      <c r="A1477" s="47"/>
      <c r="B1477" s="107"/>
      <c r="C1477" s="48"/>
      <c r="D1477" s="48"/>
    </row>
    <row r="1478" spans="1:4" x14ac:dyDescent="0.25">
      <c r="A1478" s="47"/>
      <c r="B1478" s="107"/>
      <c r="C1478" s="48"/>
      <c r="D1478" s="48"/>
    </row>
    <row r="1479" spans="1:4" x14ac:dyDescent="0.25">
      <c r="A1479" s="47"/>
      <c r="B1479" s="107"/>
      <c r="C1479" s="48"/>
      <c r="D1479" s="48"/>
    </row>
    <row r="1480" spans="1:4" x14ac:dyDescent="0.25">
      <c r="A1480" s="47"/>
      <c r="B1480" s="107"/>
      <c r="C1480" s="48"/>
      <c r="D1480" s="48"/>
    </row>
    <row r="1481" spans="1:4" x14ac:dyDescent="0.25">
      <c r="A1481" s="47"/>
      <c r="B1481" s="107"/>
      <c r="C1481" s="48"/>
      <c r="D1481" s="48"/>
    </row>
    <row r="1482" spans="1:4" x14ac:dyDescent="0.25">
      <c r="A1482" s="47"/>
      <c r="B1482" s="107"/>
      <c r="C1482" s="48"/>
      <c r="D1482" s="48"/>
    </row>
    <row r="1483" spans="1:4" x14ac:dyDescent="0.25">
      <c r="A1483" s="47"/>
      <c r="B1483" s="107"/>
      <c r="C1483" s="48"/>
      <c r="D1483" s="48"/>
    </row>
    <row r="1484" spans="1:4" x14ac:dyDescent="0.25">
      <c r="A1484" s="47"/>
      <c r="B1484" s="107"/>
      <c r="C1484" s="48"/>
      <c r="D1484" s="48"/>
    </row>
    <row r="1485" spans="1:4" x14ac:dyDescent="0.25">
      <c r="A1485" s="47"/>
      <c r="B1485" s="107"/>
      <c r="C1485" s="48"/>
      <c r="D1485" s="48"/>
    </row>
    <row r="1486" spans="1:4" x14ac:dyDescent="0.25">
      <c r="A1486" s="47"/>
      <c r="B1486" s="107"/>
      <c r="C1486" s="48"/>
      <c r="D1486" s="48"/>
    </row>
    <row r="1487" spans="1:4" x14ac:dyDescent="0.25">
      <c r="A1487" s="47"/>
      <c r="B1487" s="107"/>
      <c r="C1487" s="48"/>
      <c r="D1487" s="48"/>
    </row>
    <row r="1488" spans="1:4" x14ac:dyDescent="0.25">
      <c r="A1488" s="47"/>
      <c r="B1488" s="107"/>
      <c r="C1488" s="48"/>
      <c r="D1488" s="48"/>
    </row>
    <row r="1489" spans="1:4" x14ac:dyDescent="0.25">
      <c r="A1489" s="47"/>
      <c r="B1489" s="107"/>
      <c r="C1489" s="48"/>
      <c r="D1489" s="48"/>
    </row>
    <row r="1490" spans="1:4" x14ac:dyDescent="0.25">
      <c r="A1490" s="47"/>
      <c r="B1490" s="107"/>
      <c r="C1490" s="48"/>
      <c r="D1490" s="48"/>
    </row>
    <row r="1491" spans="1:4" x14ac:dyDescent="0.25">
      <c r="A1491" s="47"/>
      <c r="B1491" s="107"/>
      <c r="C1491" s="48"/>
      <c r="D1491" s="48"/>
    </row>
    <row r="1492" spans="1:4" x14ac:dyDescent="0.25">
      <c r="A1492" s="47"/>
      <c r="B1492" s="107"/>
      <c r="C1492" s="48"/>
      <c r="D1492" s="48"/>
    </row>
    <row r="1493" spans="1:4" x14ac:dyDescent="0.25">
      <c r="A1493" s="47"/>
      <c r="B1493" s="107"/>
      <c r="C1493" s="48"/>
      <c r="D1493" s="48"/>
    </row>
    <row r="1494" spans="1:4" x14ac:dyDescent="0.25">
      <c r="A1494" s="47"/>
      <c r="B1494" s="107"/>
      <c r="C1494" s="48"/>
      <c r="D1494" s="48"/>
    </row>
    <row r="1495" spans="1:4" x14ac:dyDescent="0.25">
      <c r="A1495" s="47"/>
      <c r="B1495" s="107"/>
      <c r="C1495" s="48"/>
      <c r="D1495" s="48"/>
    </row>
    <row r="1496" spans="1:4" x14ac:dyDescent="0.25">
      <c r="A1496" s="47"/>
      <c r="B1496" s="107"/>
      <c r="C1496" s="48"/>
      <c r="D1496" s="48"/>
    </row>
    <row r="1497" spans="1:4" x14ac:dyDescent="0.25">
      <c r="A1497" s="47"/>
      <c r="B1497" s="107"/>
      <c r="C1497" s="48"/>
      <c r="D1497" s="48"/>
    </row>
    <row r="1498" spans="1:4" x14ac:dyDescent="0.25">
      <c r="A1498" s="47"/>
      <c r="B1498" s="107"/>
      <c r="C1498" s="48"/>
      <c r="D1498" s="48"/>
    </row>
    <row r="1499" spans="1:4" x14ac:dyDescent="0.25">
      <c r="A1499" s="47"/>
      <c r="B1499" s="107"/>
      <c r="C1499" s="48"/>
      <c r="D1499" s="48"/>
    </row>
    <row r="1500" spans="1:4" x14ac:dyDescent="0.25">
      <c r="A1500" s="47"/>
      <c r="B1500" s="107"/>
      <c r="C1500" s="48"/>
      <c r="D1500" s="48"/>
    </row>
    <row r="1501" spans="1:4" x14ac:dyDescent="0.25">
      <c r="A1501" s="47"/>
      <c r="B1501" s="107"/>
      <c r="C1501" s="48"/>
      <c r="D1501" s="48"/>
    </row>
    <row r="1502" spans="1:4" x14ac:dyDescent="0.25">
      <c r="A1502" s="47"/>
      <c r="B1502" s="107"/>
      <c r="C1502" s="48"/>
      <c r="D1502" s="48"/>
    </row>
    <row r="1503" spans="1:4" x14ac:dyDescent="0.25">
      <c r="A1503" s="47"/>
      <c r="B1503" s="107"/>
      <c r="C1503" s="48"/>
      <c r="D1503" s="48"/>
    </row>
    <row r="1504" spans="1:4" x14ac:dyDescent="0.25">
      <c r="A1504" s="47"/>
      <c r="B1504" s="107"/>
      <c r="C1504" s="48"/>
      <c r="D1504" s="48"/>
    </row>
    <row r="1505" spans="1:4" x14ac:dyDescent="0.25">
      <c r="A1505" s="47"/>
      <c r="B1505" s="107"/>
      <c r="C1505" s="48"/>
      <c r="D1505" s="48"/>
    </row>
    <row r="1506" spans="1:4" x14ac:dyDescent="0.25">
      <c r="A1506" s="47"/>
      <c r="B1506" s="107"/>
      <c r="C1506" s="48"/>
      <c r="D1506" s="48"/>
    </row>
    <row r="1507" spans="1:4" x14ac:dyDescent="0.25">
      <c r="A1507" s="47"/>
      <c r="B1507" s="107"/>
      <c r="C1507" s="48"/>
      <c r="D1507" s="48"/>
    </row>
    <row r="1508" spans="1:4" x14ac:dyDescent="0.25">
      <c r="A1508" s="47"/>
      <c r="B1508" s="107"/>
      <c r="C1508" s="48"/>
      <c r="D1508" s="48"/>
    </row>
    <row r="1509" spans="1:4" x14ac:dyDescent="0.25">
      <c r="A1509" s="47"/>
      <c r="B1509" s="107"/>
      <c r="C1509" s="48"/>
      <c r="D1509" s="48"/>
    </row>
    <row r="1510" spans="1:4" x14ac:dyDescent="0.25">
      <c r="A1510" s="47"/>
      <c r="B1510" s="107"/>
      <c r="C1510" s="48"/>
      <c r="D1510" s="48"/>
    </row>
    <row r="1511" spans="1:4" x14ac:dyDescent="0.25">
      <c r="A1511" s="47"/>
      <c r="B1511" s="107"/>
      <c r="C1511" s="48"/>
      <c r="D1511" s="48"/>
    </row>
    <row r="1512" spans="1:4" x14ac:dyDescent="0.25">
      <c r="A1512" s="47"/>
      <c r="B1512" s="107"/>
      <c r="C1512" s="48"/>
      <c r="D1512" s="48"/>
    </row>
    <row r="1513" spans="1:4" x14ac:dyDescent="0.25">
      <c r="A1513" s="47"/>
      <c r="B1513" s="107"/>
      <c r="C1513" s="48"/>
      <c r="D1513" s="48"/>
    </row>
    <row r="1514" spans="1:4" x14ac:dyDescent="0.25">
      <c r="A1514" s="47"/>
      <c r="B1514" s="107"/>
      <c r="C1514" s="48"/>
      <c r="D1514" s="48"/>
    </row>
    <row r="1515" spans="1:4" x14ac:dyDescent="0.25">
      <c r="A1515" s="47"/>
      <c r="B1515" s="107"/>
      <c r="C1515" s="48"/>
      <c r="D1515" s="48"/>
    </row>
    <row r="1516" spans="1:4" x14ac:dyDescent="0.25">
      <c r="A1516" s="47"/>
      <c r="B1516" s="107"/>
      <c r="C1516" s="48"/>
      <c r="D1516" s="48"/>
    </row>
    <row r="1517" spans="1:4" x14ac:dyDescent="0.25">
      <c r="A1517" s="47"/>
      <c r="B1517" s="107"/>
      <c r="C1517" s="48"/>
      <c r="D1517" s="48"/>
    </row>
    <row r="1518" spans="1:4" x14ac:dyDescent="0.25">
      <c r="A1518" s="47"/>
      <c r="B1518" s="107"/>
      <c r="C1518" s="48"/>
      <c r="D1518" s="48"/>
    </row>
    <row r="1519" spans="1:4" x14ac:dyDescent="0.25">
      <c r="A1519" s="47"/>
      <c r="B1519" s="107"/>
      <c r="C1519" s="48"/>
      <c r="D1519" s="48"/>
    </row>
    <row r="1520" spans="1:4" x14ac:dyDescent="0.25">
      <c r="A1520" s="47"/>
      <c r="B1520" s="107"/>
      <c r="C1520" s="48"/>
      <c r="D1520" s="48"/>
    </row>
    <row r="1521" spans="1:4" x14ac:dyDescent="0.25">
      <c r="A1521" s="47"/>
      <c r="B1521" s="107"/>
      <c r="C1521" s="48"/>
      <c r="D1521" s="48"/>
    </row>
    <row r="1522" spans="1:4" x14ac:dyDescent="0.25">
      <c r="A1522" s="47"/>
      <c r="B1522" s="107"/>
      <c r="C1522" s="48"/>
      <c r="D1522" s="48"/>
    </row>
    <row r="1523" spans="1:4" x14ac:dyDescent="0.25">
      <c r="A1523" s="47"/>
      <c r="B1523" s="107"/>
      <c r="C1523" s="48"/>
      <c r="D1523" s="48"/>
    </row>
    <row r="1524" spans="1:4" x14ac:dyDescent="0.25">
      <c r="A1524" s="47"/>
      <c r="B1524" s="107"/>
      <c r="C1524" s="48"/>
      <c r="D1524" s="48"/>
    </row>
    <row r="1525" spans="1:4" x14ac:dyDescent="0.25">
      <c r="A1525" s="47"/>
      <c r="B1525" s="107"/>
      <c r="C1525" s="48"/>
      <c r="D1525" s="48"/>
    </row>
    <row r="1526" spans="1:4" x14ac:dyDescent="0.25">
      <c r="A1526" s="47"/>
      <c r="B1526" s="107"/>
      <c r="C1526" s="48"/>
      <c r="D1526" s="48"/>
    </row>
    <row r="1527" spans="1:4" x14ac:dyDescent="0.25">
      <c r="A1527" s="47"/>
      <c r="B1527" s="107"/>
      <c r="C1527" s="48"/>
      <c r="D1527" s="48"/>
    </row>
    <row r="1528" spans="1:4" x14ac:dyDescent="0.25">
      <c r="A1528" s="47"/>
      <c r="B1528" s="107"/>
      <c r="C1528" s="48"/>
      <c r="D1528" s="48"/>
    </row>
    <row r="1529" spans="1:4" x14ac:dyDescent="0.25">
      <c r="A1529" s="47"/>
      <c r="B1529" s="107"/>
      <c r="C1529" s="48"/>
      <c r="D1529" s="48"/>
    </row>
    <row r="1530" spans="1:4" x14ac:dyDescent="0.25">
      <c r="A1530" s="47"/>
      <c r="B1530" s="107"/>
      <c r="C1530" s="48"/>
      <c r="D1530" s="48"/>
    </row>
    <row r="1531" spans="1:4" x14ac:dyDescent="0.25">
      <c r="A1531" s="47"/>
      <c r="B1531" s="107"/>
      <c r="C1531" s="48"/>
      <c r="D1531" s="48"/>
    </row>
    <row r="1532" spans="1:4" x14ac:dyDescent="0.25">
      <c r="A1532" s="47"/>
      <c r="B1532" s="107"/>
      <c r="C1532" s="48"/>
      <c r="D1532" s="48"/>
    </row>
    <row r="1533" spans="1:4" x14ac:dyDescent="0.25">
      <c r="A1533" s="47"/>
      <c r="B1533" s="107"/>
      <c r="C1533" s="48"/>
      <c r="D1533" s="48"/>
    </row>
    <row r="1534" spans="1:4" x14ac:dyDescent="0.25">
      <c r="A1534" s="47"/>
      <c r="B1534" s="107"/>
      <c r="C1534" s="48"/>
      <c r="D1534" s="48"/>
    </row>
    <row r="1535" spans="1:4" x14ac:dyDescent="0.25">
      <c r="A1535" s="47"/>
      <c r="B1535" s="107"/>
      <c r="C1535" s="48"/>
      <c r="D1535" s="48"/>
    </row>
    <row r="1536" spans="1:4" x14ac:dyDescent="0.25">
      <c r="A1536" s="47"/>
      <c r="B1536" s="107"/>
      <c r="C1536" s="48"/>
      <c r="D1536" s="48"/>
    </row>
    <row r="1537" spans="1:4" x14ac:dyDescent="0.25">
      <c r="A1537" s="47"/>
      <c r="B1537" s="107"/>
      <c r="C1537" s="48"/>
      <c r="D1537" s="48"/>
    </row>
    <row r="1538" spans="1:4" x14ac:dyDescent="0.25">
      <c r="A1538" s="47"/>
      <c r="B1538" s="107"/>
      <c r="C1538" s="48"/>
      <c r="D1538" s="48"/>
    </row>
    <row r="1539" spans="1:4" x14ac:dyDescent="0.25">
      <c r="A1539" s="47"/>
      <c r="B1539" s="107"/>
      <c r="C1539" s="48"/>
      <c r="D1539" s="48"/>
    </row>
    <row r="1540" spans="1:4" x14ac:dyDescent="0.25">
      <c r="A1540" s="47"/>
      <c r="B1540" s="107"/>
      <c r="C1540" s="48"/>
      <c r="D1540" s="48"/>
    </row>
    <row r="1541" spans="1:4" x14ac:dyDescent="0.25">
      <c r="A1541" s="47"/>
      <c r="B1541" s="107"/>
      <c r="C1541" s="48"/>
      <c r="D1541" s="48"/>
    </row>
    <row r="1542" spans="1:4" x14ac:dyDescent="0.25">
      <c r="A1542" s="47"/>
      <c r="B1542" s="107"/>
      <c r="C1542" s="48"/>
      <c r="D1542" s="48"/>
    </row>
    <row r="1543" spans="1:4" x14ac:dyDescent="0.25">
      <c r="A1543" s="47"/>
      <c r="B1543" s="107"/>
      <c r="C1543" s="48"/>
      <c r="D1543" s="48"/>
    </row>
    <row r="1544" spans="1:4" x14ac:dyDescent="0.25">
      <c r="A1544" s="47"/>
      <c r="B1544" s="107"/>
      <c r="C1544" s="48"/>
      <c r="D1544" s="48"/>
    </row>
    <row r="1545" spans="1:4" x14ac:dyDescent="0.25">
      <c r="A1545" s="47"/>
      <c r="B1545" s="107"/>
      <c r="C1545" s="48"/>
      <c r="D1545" s="48"/>
    </row>
    <row r="1546" spans="1:4" x14ac:dyDescent="0.25">
      <c r="A1546" s="47"/>
      <c r="B1546" s="107"/>
      <c r="C1546" s="48"/>
      <c r="D1546" s="48"/>
    </row>
    <row r="1547" spans="1:4" x14ac:dyDescent="0.25">
      <c r="A1547" s="47"/>
      <c r="B1547" s="107"/>
      <c r="C1547" s="48"/>
      <c r="D1547" s="48"/>
    </row>
    <row r="1548" spans="1:4" x14ac:dyDescent="0.25">
      <c r="A1548" s="47"/>
      <c r="B1548" s="107"/>
      <c r="C1548" s="48"/>
      <c r="D1548" s="48"/>
    </row>
    <row r="1549" spans="1:4" x14ac:dyDescent="0.25">
      <c r="A1549" s="47"/>
      <c r="B1549" s="107"/>
      <c r="C1549" s="48"/>
      <c r="D1549" s="48"/>
    </row>
    <row r="1550" spans="1:4" x14ac:dyDescent="0.25">
      <c r="A1550" s="47"/>
      <c r="B1550" s="107"/>
      <c r="C1550" s="48"/>
      <c r="D1550" s="48"/>
    </row>
    <row r="1551" spans="1:4" x14ac:dyDescent="0.25">
      <c r="A1551" s="47"/>
      <c r="B1551" s="107"/>
      <c r="C1551" s="48"/>
      <c r="D1551" s="48"/>
    </row>
    <row r="1552" spans="1:4" x14ac:dyDescent="0.25">
      <c r="A1552" s="47"/>
      <c r="B1552" s="107"/>
      <c r="C1552" s="48"/>
      <c r="D1552" s="48"/>
    </row>
    <row r="1553" spans="1:4" x14ac:dyDescent="0.25">
      <c r="A1553" s="47"/>
      <c r="B1553" s="107"/>
      <c r="C1553" s="48"/>
      <c r="D1553" s="48"/>
    </row>
    <row r="1554" spans="1:4" x14ac:dyDescent="0.25">
      <c r="A1554" s="47"/>
      <c r="B1554" s="107"/>
      <c r="C1554" s="48"/>
      <c r="D1554" s="48"/>
    </row>
    <row r="1555" spans="1:4" x14ac:dyDescent="0.25">
      <c r="A1555" s="47"/>
      <c r="B1555" s="107"/>
      <c r="C1555" s="48"/>
      <c r="D1555" s="48"/>
    </row>
    <row r="1556" spans="1:4" x14ac:dyDescent="0.25">
      <c r="A1556" s="47"/>
      <c r="B1556" s="107"/>
      <c r="C1556" s="48"/>
      <c r="D1556" s="48"/>
    </row>
    <row r="1557" spans="1:4" x14ac:dyDescent="0.25">
      <c r="A1557" s="47"/>
      <c r="B1557" s="107"/>
      <c r="C1557" s="48"/>
      <c r="D1557" s="48"/>
    </row>
    <row r="1558" spans="1:4" x14ac:dyDescent="0.25">
      <c r="A1558" s="47"/>
      <c r="B1558" s="107"/>
      <c r="C1558" s="48"/>
      <c r="D1558" s="48"/>
    </row>
    <row r="1559" spans="1:4" x14ac:dyDescent="0.25">
      <c r="A1559" s="47"/>
      <c r="B1559" s="107"/>
      <c r="C1559" s="48"/>
      <c r="D1559" s="48"/>
    </row>
    <row r="1560" spans="1:4" x14ac:dyDescent="0.25">
      <c r="A1560" s="47"/>
      <c r="B1560" s="107"/>
      <c r="C1560" s="48"/>
      <c r="D1560" s="48"/>
    </row>
    <row r="1561" spans="1:4" x14ac:dyDescent="0.25">
      <c r="A1561" s="47"/>
      <c r="B1561" s="107"/>
      <c r="C1561" s="48"/>
      <c r="D1561" s="48"/>
    </row>
    <row r="1562" spans="1:4" x14ac:dyDescent="0.25">
      <c r="A1562" s="47"/>
      <c r="B1562" s="107"/>
      <c r="C1562" s="48"/>
      <c r="D1562" s="48"/>
    </row>
    <row r="1563" spans="1:4" x14ac:dyDescent="0.25">
      <c r="A1563" s="47"/>
      <c r="B1563" s="107"/>
      <c r="C1563" s="48"/>
      <c r="D1563" s="48"/>
    </row>
    <row r="1564" spans="1:4" x14ac:dyDescent="0.25">
      <c r="A1564" s="47"/>
      <c r="B1564" s="107"/>
      <c r="C1564" s="48"/>
      <c r="D1564" s="48"/>
    </row>
    <row r="1565" spans="1:4" x14ac:dyDescent="0.25">
      <c r="A1565" s="47"/>
      <c r="B1565" s="107"/>
      <c r="C1565" s="48"/>
      <c r="D1565" s="48"/>
    </row>
    <row r="1566" spans="1:4" x14ac:dyDescent="0.25">
      <c r="A1566" s="47"/>
      <c r="B1566" s="107"/>
      <c r="C1566" s="48"/>
      <c r="D1566" s="48"/>
    </row>
    <row r="1567" spans="1:4" x14ac:dyDescent="0.25">
      <c r="A1567" s="47"/>
      <c r="B1567" s="107"/>
      <c r="C1567" s="48"/>
      <c r="D1567" s="48"/>
    </row>
    <row r="1568" spans="1:4" x14ac:dyDescent="0.25">
      <c r="A1568" s="47"/>
      <c r="B1568" s="107"/>
      <c r="C1568" s="48"/>
      <c r="D1568" s="48"/>
    </row>
    <row r="1569" spans="1:4" x14ac:dyDescent="0.25">
      <c r="A1569" s="47"/>
      <c r="B1569" s="107"/>
      <c r="C1569" s="48"/>
      <c r="D1569" s="48"/>
    </row>
    <row r="1570" spans="1:4" x14ac:dyDescent="0.25">
      <c r="A1570" s="47"/>
      <c r="B1570" s="107"/>
      <c r="C1570" s="48"/>
      <c r="D1570" s="48"/>
    </row>
    <row r="1571" spans="1:4" x14ac:dyDescent="0.25">
      <c r="A1571" s="47"/>
      <c r="B1571" s="107"/>
      <c r="C1571" s="48"/>
      <c r="D1571" s="48"/>
    </row>
    <row r="1572" spans="1:4" x14ac:dyDescent="0.25">
      <c r="A1572" s="47"/>
      <c r="B1572" s="107"/>
      <c r="C1572" s="48"/>
      <c r="D1572" s="48"/>
    </row>
    <row r="1573" spans="1:4" x14ac:dyDescent="0.25">
      <c r="A1573" s="47"/>
      <c r="B1573" s="107"/>
      <c r="C1573" s="48"/>
      <c r="D1573" s="48"/>
    </row>
    <row r="1574" spans="1:4" x14ac:dyDescent="0.25">
      <c r="A1574" s="47"/>
      <c r="B1574" s="107"/>
      <c r="C1574" s="48"/>
      <c r="D1574" s="48"/>
    </row>
    <row r="1575" spans="1:4" x14ac:dyDescent="0.25">
      <c r="A1575" s="47"/>
      <c r="B1575" s="107"/>
      <c r="C1575" s="48"/>
      <c r="D1575" s="48"/>
    </row>
    <row r="1576" spans="1:4" x14ac:dyDescent="0.25">
      <c r="A1576" s="47"/>
      <c r="B1576" s="107"/>
      <c r="C1576" s="48"/>
      <c r="D1576" s="48"/>
    </row>
    <row r="1577" spans="1:4" x14ac:dyDescent="0.25">
      <c r="A1577" s="47"/>
      <c r="B1577" s="107"/>
      <c r="C1577" s="48"/>
      <c r="D1577" s="48"/>
    </row>
    <row r="1578" spans="1:4" x14ac:dyDescent="0.25">
      <c r="A1578" s="47"/>
      <c r="B1578" s="107"/>
      <c r="C1578" s="48"/>
      <c r="D1578" s="48"/>
    </row>
    <row r="1579" spans="1:4" x14ac:dyDescent="0.25">
      <c r="A1579" s="47"/>
      <c r="B1579" s="107"/>
      <c r="C1579" s="48"/>
      <c r="D1579" s="48"/>
    </row>
    <row r="1580" spans="1:4" x14ac:dyDescent="0.25">
      <c r="A1580" s="47"/>
      <c r="B1580" s="107"/>
      <c r="C1580" s="48"/>
      <c r="D1580" s="48"/>
    </row>
    <row r="1581" spans="1:4" x14ac:dyDescent="0.25">
      <c r="A1581" s="47"/>
      <c r="B1581" s="107"/>
      <c r="C1581" s="48"/>
      <c r="D1581" s="48"/>
    </row>
    <row r="1582" spans="1:4" x14ac:dyDescent="0.25">
      <c r="A1582" s="47"/>
      <c r="B1582" s="107"/>
      <c r="C1582" s="48"/>
      <c r="D1582" s="48"/>
    </row>
    <row r="1583" spans="1:4" x14ac:dyDescent="0.25">
      <c r="A1583" s="47"/>
      <c r="B1583" s="107"/>
      <c r="C1583" s="48"/>
      <c r="D1583" s="48"/>
    </row>
    <row r="1584" spans="1:4" x14ac:dyDescent="0.25">
      <c r="A1584" s="47"/>
      <c r="B1584" s="107"/>
      <c r="C1584" s="48"/>
      <c r="D1584" s="48"/>
    </row>
    <row r="1585" spans="1:4" x14ac:dyDescent="0.25">
      <c r="A1585" s="47"/>
      <c r="B1585" s="107"/>
      <c r="C1585" s="48"/>
      <c r="D1585" s="48"/>
    </row>
    <row r="1586" spans="1:4" x14ac:dyDescent="0.25">
      <c r="A1586" s="47"/>
      <c r="B1586" s="107"/>
      <c r="C1586" s="48"/>
      <c r="D1586" s="48"/>
    </row>
    <row r="1587" spans="1:4" x14ac:dyDescent="0.25">
      <c r="A1587" s="47"/>
      <c r="B1587" s="107"/>
      <c r="C1587" s="48"/>
      <c r="D1587" s="48"/>
    </row>
    <row r="1588" spans="1:4" x14ac:dyDescent="0.25">
      <c r="A1588" s="47"/>
      <c r="B1588" s="107"/>
      <c r="C1588" s="48"/>
      <c r="D1588" s="48"/>
    </row>
    <row r="1589" spans="1:4" x14ac:dyDescent="0.25">
      <c r="A1589" s="47"/>
      <c r="B1589" s="107"/>
      <c r="C1589" s="48"/>
      <c r="D1589" s="48"/>
    </row>
    <row r="1590" spans="1:4" x14ac:dyDescent="0.25">
      <c r="A1590" s="47"/>
      <c r="B1590" s="107"/>
      <c r="C1590" s="48"/>
      <c r="D1590" s="48"/>
    </row>
    <row r="1591" spans="1:4" x14ac:dyDescent="0.25">
      <c r="A1591" s="47"/>
      <c r="B1591" s="107"/>
      <c r="C1591" s="48"/>
      <c r="D1591" s="48"/>
    </row>
    <row r="1592" spans="1:4" x14ac:dyDescent="0.25">
      <c r="A1592" s="47"/>
      <c r="B1592" s="107"/>
      <c r="C1592" s="48"/>
      <c r="D1592" s="48"/>
    </row>
    <row r="1593" spans="1:4" x14ac:dyDescent="0.25">
      <c r="A1593" s="47"/>
      <c r="B1593" s="107"/>
      <c r="C1593" s="48"/>
      <c r="D1593" s="48"/>
    </row>
    <row r="1594" spans="1:4" x14ac:dyDescent="0.25">
      <c r="A1594" s="47"/>
      <c r="B1594" s="107"/>
      <c r="C1594" s="48"/>
      <c r="D1594" s="48"/>
    </row>
    <row r="1595" spans="1:4" x14ac:dyDescent="0.25">
      <c r="A1595" s="47"/>
      <c r="B1595" s="107"/>
      <c r="C1595" s="48"/>
      <c r="D1595" s="48"/>
    </row>
    <row r="1596" spans="1:4" x14ac:dyDescent="0.25">
      <c r="A1596" s="47"/>
      <c r="B1596" s="107"/>
      <c r="C1596" s="48"/>
      <c r="D1596" s="48"/>
    </row>
    <row r="1597" spans="1:4" x14ac:dyDescent="0.25">
      <c r="A1597" s="47"/>
      <c r="B1597" s="107"/>
      <c r="C1597" s="48"/>
      <c r="D1597" s="48"/>
    </row>
    <row r="1598" spans="1:4" x14ac:dyDescent="0.25">
      <c r="A1598" s="47"/>
      <c r="B1598" s="107"/>
      <c r="C1598" s="48"/>
      <c r="D1598" s="48"/>
    </row>
    <row r="1599" spans="1:4" x14ac:dyDescent="0.25">
      <c r="A1599" s="47"/>
      <c r="B1599" s="107"/>
      <c r="C1599" s="48"/>
      <c r="D1599" s="48"/>
    </row>
    <row r="1600" spans="1:4" x14ac:dyDescent="0.25">
      <c r="A1600" s="47"/>
      <c r="B1600" s="107"/>
      <c r="C1600" s="48"/>
      <c r="D1600" s="48"/>
    </row>
    <row r="1601" spans="1:4" x14ac:dyDescent="0.25">
      <c r="A1601" s="47"/>
      <c r="B1601" s="107"/>
      <c r="C1601" s="48"/>
      <c r="D1601" s="48"/>
    </row>
    <row r="1602" spans="1:4" x14ac:dyDescent="0.25">
      <c r="A1602" s="47"/>
      <c r="B1602" s="107"/>
      <c r="C1602" s="48"/>
      <c r="D1602" s="48"/>
    </row>
    <row r="1603" spans="1:4" x14ac:dyDescent="0.25">
      <c r="A1603" s="47"/>
      <c r="B1603" s="107"/>
      <c r="C1603" s="48"/>
      <c r="D1603" s="48"/>
    </row>
    <row r="1604" spans="1:4" x14ac:dyDescent="0.25">
      <c r="A1604" s="47"/>
      <c r="B1604" s="107"/>
      <c r="C1604" s="48"/>
      <c r="D1604" s="48"/>
    </row>
    <row r="1605" spans="1:4" x14ac:dyDescent="0.25">
      <c r="A1605" s="47"/>
      <c r="B1605" s="107"/>
      <c r="C1605" s="48"/>
      <c r="D1605" s="48"/>
    </row>
    <row r="1606" spans="1:4" x14ac:dyDescent="0.25">
      <c r="A1606" s="47"/>
      <c r="B1606" s="107"/>
      <c r="C1606" s="48"/>
      <c r="D1606" s="48"/>
    </row>
    <row r="1607" spans="1:4" x14ac:dyDescent="0.25">
      <c r="A1607" s="47"/>
      <c r="B1607" s="107"/>
      <c r="C1607" s="48"/>
      <c r="D1607" s="48"/>
    </row>
    <row r="1608" spans="1:4" x14ac:dyDescent="0.25">
      <c r="A1608" s="47"/>
      <c r="B1608" s="107"/>
      <c r="C1608" s="48"/>
      <c r="D1608" s="48"/>
    </row>
    <row r="1609" spans="1:4" x14ac:dyDescent="0.25">
      <c r="A1609" s="47"/>
      <c r="B1609" s="107"/>
      <c r="C1609" s="48"/>
      <c r="D1609" s="48"/>
    </row>
    <row r="1610" spans="1:4" x14ac:dyDescent="0.25">
      <c r="A1610" s="47"/>
      <c r="B1610" s="107"/>
      <c r="C1610" s="48"/>
      <c r="D1610" s="48"/>
    </row>
    <row r="1611" spans="1:4" x14ac:dyDescent="0.25">
      <c r="A1611" s="47"/>
      <c r="B1611" s="107"/>
      <c r="C1611" s="48"/>
      <c r="D1611" s="48"/>
    </row>
    <row r="1612" spans="1:4" x14ac:dyDescent="0.25">
      <c r="A1612" s="47"/>
      <c r="B1612" s="107"/>
      <c r="C1612" s="48"/>
      <c r="D1612" s="48"/>
    </row>
    <row r="1613" spans="1:4" x14ac:dyDescent="0.25">
      <c r="A1613" s="47"/>
      <c r="B1613" s="107"/>
      <c r="C1613" s="48"/>
      <c r="D1613" s="48"/>
    </row>
    <row r="1614" spans="1:4" x14ac:dyDescent="0.25">
      <c r="A1614" s="47"/>
      <c r="B1614" s="107"/>
      <c r="C1614" s="48"/>
      <c r="D1614" s="48"/>
    </row>
    <row r="1615" spans="1:4" x14ac:dyDescent="0.25">
      <c r="A1615" s="47"/>
      <c r="B1615" s="107"/>
      <c r="C1615" s="48"/>
      <c r="D1615" s="48"/>
    </row>
    <row r="1616" spans="1:4" x14ac:dyDescent="0.25">
      <c r="A1616" s="47"/>
      <c r="B1616" s="107"/>
      <c r="C1616" s="48"/>
      <c r="D1616" s="48"/>
    </row>
    <row r="1617" spans="1:4" x14ac:dyDescent="0.25">
      <c r="A1617" s="47"/>
      <c r="B1617" s="107"/>
      <c r="C1617" s="48"/>
      <c r="D1617" s="48"/>
    </row>
    <row r="1618" spans="1:4" x14ac:dyDescent="0.25">
      <c r="A1618" s="47"/>
      <c r="B1618" s="107"/>
      <c r="C1618" s="48"/>
      <c r="D1618" s="48"/>
    </row>
    <row r="1619" spans="1:4" x14ac:dyDescent="0.25">
      <c r="A1619" s="47"/>
      <c r="B1619" s="107"/>
      <c r="C1619" s="48"/>
      <c r="D1619" s="48"/>
    </row>
    <row r="1620" spans="1:4" x14ac:dyDescent="0.25">
      <c r="A1620" s="47"/>
      <c r="B1620" s="107"/>
      <c r="C1620" s="48"/>
      <c r="D1620" s="48"/>
    </row>
    <row r="1621" spans="1:4" x14ac:dyDescent="0.25">
      <c r="A1621" s="47"/>
      <c r="B1621" s="107"/>
      <c r="C1621" s="48"/>
      <c r="D1621" s="48"/>
    </row>
    <row r="1622" spans="1:4" x14ac:dyDescent="0.25">
      <c r="A1622" s="47"/>
      <c r="B1622" s="107"/>
      <c r="C1622" s="48"/>
      <c r="D1622" s="48"/>
    </row>
    <row r="1623" spans="1:4" x14ac:dyDescent="0.25">
      <c r="A1623" s="47"/>
      <c r="B1623" s="107"/>
      <c r="C1623" s="48"/>
      <c r="D1623" s="48"/>
    </row>
    <row r="1624" spans="1:4" x14ac:dyDescent="0.25">
      <c r="A1624" s="47"/>
      <c r="B1624" s="107"/>
      <c r="C1624" s="48"/>
      <c r="D1624" s="48"/>
    </row>
    <row r="1625" spans="1:4" x14ac:dyDescent="0.25">
      <c r="A1625" s="47"/>
      <c r="B1625" s="107"/>
      <c r="C1625" s="48"/>
      <c r="D1625" s="48"/>
    </row>
    <row r="1626" spans="1:4" x14ac:dyDescent="0.25">
      <c r="A1626" s="47"/>
      <c r="B1626" s="107"/>
      <c r="C1626" s="48"/>
      <c r="D1626" s="48"/>
    </row>
    <row r="1627" spans="1:4" x14ac:dyDescent="0.25">
      <c r="A1627" s="47"/>
      <c r="B1627" s="107"/>
      <c r="C1627" s="48"/>
      <c r="D1627" s="48"/>
    </row>
    <row r="1628" spans="1:4" x14ac:dyDescent="0.25">
      <c r="A1628" s="47"/>
      <c r="B1628" s="107"/>
      <c r="C1628" s="48"/>
      <c r="D1628" s="48"/>
    </row>
    <row r="1629" spans="1:4" x14ac:dyDescent="0.25">
      <c r="A1629" s="47"/>
      <c r="B1629" s="107"/>
      <c r="C1629" s="48"/>
      <c r="D1629" s="48"/>
    </row>
    <row r="1630" spans="1:4" x14ac:dyDescent="0.25">
      <c r="A1630" s="47"/>
      <c r="B1630" s="107"/>
      <c r="C1630" s="48"/>
      <c r="D1630" s="48"/>
    </row>
    <row r="1631" spans="1:4" x14ac:dyDescent="0.25">
      <c r="A1631" s="47"/>
      <c r="B1631" s="107"/>
      <c r="C1631" s="48"/>
      <c r="D1631" s="48"/>
    </row>
    <row r="1632" spans="1:4" x14ac:dyDescent="0.25">
      <c r="A1632" s="47"/>
      <c r="B1632" s="107"/>
      <c r="C1632" s="48"/>
      <c r="D1632" s="48"/>
    </row>
    <row r="1633" spans="1:4" x14ac:dyDescent="0.25">
      <c r="A1633" s="47"/>
      <c r="B1633" s="107"/>
      <c r="C1633" s="48"/>
      <c r="D1633" s="48"/>
    </row>
    <row r="1634" spans="1:4" x14ac:dyDescent="0.25">
      <c r="A1634" s="47"/>
      <c r="B1634" s="107"/>
      <c r="C1634" s="48"/>
      <c r="D1634" s="48"/>
    </row>
    <row r="1635" spans="1:4" x14ac:dyDescent="0.25">
      <c r="A1635" s="47"/>
      <c r="B1635" s="107"/>
      <c r="C1635" s="48"/>
      <c r="D1635" s="48"/>
    </row>
    <row r="1636" spans="1:4" x14ac:dyDescent="0.25">
      <c r="A1636" s="47"/>
      <c r="B1636" s="107"/>
      <c r="C1636" s="48"/>
      <c r="D1636" s="48"/>
    </row>
    <row r="1637" spans="1:4" x14ac:dyDescent="0.25">
      <c r="A1637" s="47"/>
      <c r="B1637" s="107"/>
      <c r="C1637" s="48"/>
      <c r="D1637" s="48"/>
    </row>
    <row r="1638" spans="1:4" x14ac:dyDescent="0.25">
      <c r="A1638" s="47"/>
      <c r="B1638" s="107"/>
      <c r="C1638" s="48"/>
      <c r="D1638" s="48"/>
    </row>
    <row r="1639" spans="1:4" x14ac:dyDescent="0.25">
      <c r="A1639" s="47"/>
      <c r="B1639" s="107"/>
      <c r="C1639" s="48"/>
      <c r="D1639" s="48"/>
    </row>
    <row r="1640" spans="1:4" x14ac:dyDescent="0.25">
      <c r="A1640" s="47"/>
      <c r="B1640" s="107"/>
      <c r="C1640" s="48"/>
      <c r="D1640" s="48"/>
    </row>
    <row r="1641" spans="1:4" x14ac:dyDescent="0.25">
      <c r="A1641" s="47"/>
      <c r="B1641" s="107"/>
      <c r="C1641" s="48"/>
      <c r="D1641" s="48"/>
    </row>
    <row r="1642" spans="1:4" x14ac:dyDescent="0.25">
      <c r="A1642" s="47"/>
      <c r="B1642" s="107"/>
      <c r="C1642" s="48"/>
      <c r="D1642" s="48"/>
    </row>
    <row r="1643" spans="1:4" x14ac:dyDescent="0.25">
      <c r="A1643" s="47"/>
      <c r="B1643" s="107"/>
      <c r="C1643" s="48"/>
      <c r="D1643" s="48"/>
    </row>
    <row r="1644" spans="1:4" x14ac:dyDescent="0.25">
      <c r="A1644" s="47"/>
      <c r="B1644" s="107"/>
      <c r="C1644" s="48"/>
      <c r="D1644" s="48"/>
    </row>
    <row r="1645" spans="1:4" x14ac:dyDescent="0.25">
      <c r="A1645" s="47"/>
      <c r="B1645" s="107"/>
      <c r="C1645" s="48"/>
      <c r="D1645" s="48"/>
    </row>
    <row r="1646" spans="1:4" x14ac:dyDescent="0.25">
      <c r="A1646" s="47"/>
      <c r="B1646" s="107"/>
      <c r="C1646" s="48"/>
      <c r="D1646" s="48"/>
    </row>
    <row r="1647" spans="1:4" x14ac:dyDescent="0.25">
      <c r="A1647" s="47"/>
      <c r="B1647" s="107"/>
      <c r="C1647" s="48"/>
      <c r="D1647" s="48"/>
    </row>
    <row r="1648" spans="1:4" x14ac:dyDescent="0.25">
      <c r="A1648" s="47"/>
      <c r="B1648" s="107"/>
      <c r="C1648" s="48"/>
      <c r="D1648" s="48"/>
    </row>
    <row r="1649" spans="1:4" x14ac:dyDescent="0.25">
      <c r="A1649" s="47"/>
      <c r="B1649" s="107"/>
      <c r="C1649" s="48"/>
      <c r="D1649" s="48"/>
    </row>
    <row r="1650" spans="1:4" x14ac:dyDescent="0.25">
      <c r="A1650" s="47"/>
      <c r="B1650" s="107"/>
      <c r="C1650" s="48"/>
      <c r="D1650" s="48"/>
    </row>
    <row r="1651" spans="1:4" x14ac:dyDescent="0.25">
      <c r="A1651" s="47"/>
      <c r="B1651" s="107"/>
      <c r="C1651" s="48"/>
      <c r="D1651" s="48"/>
    </row>
    <row r="1652" spans="1:4" x14ac:dyDescent="0.25">
      <c r="A1652" s="47"/>
      <c r="B1652" s="107"/>
      <c r="C1652" s="48"/>
      <c r="D1652" s="48"/>
    </row>
    <row r="1653" spans="1:4" x14ac:dyDescent="0.25">
      <c r="A1653" s="47"/>
      <c r="B1653" s="107"/>
      <c r="C1653" s="48"/>
      <c r="D1653" s="48"/>
    </row>
    <row r="1654" spans="1:4" x14ac:dyDescent="0.25">
      <c r="A1654" s="47"/>
      <c r="B1654" s="107"/>
      <c r="C1654" s="48"/>
      <c r="D1654" s="48"/>
    </row>
    <row r="1655" spans="1:4" x14ac:dyDescent="0.25">
      <c r="A1655" s="47"/>
      <c r="B1655" s="107"/>
      <c r="C1655" s="48"/>
      <c r="D1655" s="48"/>
    </row>
    <row r="1656" spans="1:4" x14ac:dyDescent="0.25">
      <c r="A1656" s="47"/>
      <c r="B1656" s="107"/>
      <c r="C1656" s="48"/>
      <c r="D1656" s="48"/>
    </row>
    <row r="1657" spans="1:4" x14ac:dyDescent="0.25">
      <c r="A1657" s="47"/>
      <c r="B1657" s="107"/>
      <c r="C1657" s="48"/>
      <c r="D1657" s="48"/>
    </row>
    <row r="1658" spans="1:4" x14ac:dyDescent="0.25">
      <c r="A1658" s="47"/>
      <c r="B1658" s="107"/>
      <c r="C1658" s="48"/>
      <c r="D1658" s="48"/>
    </row>
    <row r="1659" spans="1:4" x14ac:dyDescent="0.25">
      <c r="A1659" s="47"/>
      <c r="B1659" s="107"/>
      <c r="C1659" s="48"/>
      <c r="D1659" s="48"/>
    </row>
    <row r="1660" spans="1:4" x14ac:dyDescent="0.25">
      <c r="A1660" s="47"/>
      <c r="B1660" s="107"/>
      <c r="C1660" s="48"/>
      <c r="D1660" s="48"/>
    </row>
    <row r="1661" spans="1:4" x14ac:dyDescent="0.25">
      <c r="A1661" s="47"/>
      <c r="B1661" s="107"/>
      <c r="C1661" s="48"/>
      <c r="D1661" s="48"/>
    </row>
    <row r="1662" spans="1:4" x14ac:dyDescent="0.25">
      <c r="A1662" s="47"/>
      <c r="B1662" s="107"/>
      <c r="C1662" s="48"/>
      <c r="D1662" s="48"/>
    </row>
    <row r="1663" spans="1:4" x14ac:dyDescent="0.25">
      <c r="A1663" s="47"/>
      <c r="B1663" s="107"/>
      <c r="C1663" s="48"/>
      <c r="D1663" s="48"/>
    </row>
    <row r="1664" spans="1:4" x14ac:dyDescent="0.25">
      <c r="A1664" s="47"/>
      <c r="B1664" s="107"/>
      <c r="C1664" s="48"/>
      <c r="D1664" s="48"/>
    </row>
    <row r="1665" spans="1:4" x14ac:dyDescent="0.25">
      <c r="A1665" s="47"/>
      <c r="B1665" s="107"/>
      <c r="C1665" s="48"/>
      <c r="D1665" s="48"/>
    </row>
    <row r="1666" spans="1:4" x14ac:dyDescent="0.25">
      <c r="A1666" s="47"/>
      <c r="B1666" s="107"/>
      <c r="C1666" s="48"/>
      <c r="D1666" s="48"/>
    </row>
    <row r="1667" spans="1:4" x14ac:dyDescent="0.25">
      <c r="A1667" s="47"/>
      <c r="B1667" s="107"/>
      <c r="C1667" s="48"/>
      <c r="D1667" s="48"/>
    </row>
    <row r="1668" spans="1:4" x14ac:dyDescent="0.25">
      <c r="A1668" s="47"/>
      <c r="B1668" s="107"/>
      <c r="C1668" s="48"/>
      <c r="D1668" s="48"/>
    </row>
    <row r="1669" spans="1:4" x14ac:dyDescent="0.25">
      <c r="A1669" s="47"/>
      <c r="B1669" s="107"/>
      <c r="C1669" s="48"/>
      <c r="D1669" s="48"/>
    </row>
    <row r="1670" spans="1:4" x14ac:dyDescent="0.25">
      <c r="A1670" s="47"/>
      <c r="B1670" s="107"/>
      <c r="C1670" s="48"/>
      <c r="D1670" s="48"/>
    </row>
    <row r="1671" spans="1:4" x14ac:dyDescent="0.25">
      <c r="A1671" s="47"/>
      <c r="B1671" s="107"/>
      <c r="C1671" s="48"/>
      <c r="D1671" s="48"/>
    </row>
    <row r="1672" spans="1:4" x14ac:dyDescent="0.25">
      <c r="A1672" s="47"/>
      <c r="B1672" s="107"/>
      <c r="C1672" s="48"/>
      <c r="D1672" s="48"/>
    </row>
    <row r="1673" spans="1:4" x14ac:dyDescent="0.25">
      <c r="A1673" s="47"/>
      <c r="B1673" s="107"/>
      <c r="C1673" s="48"/>
      <c r="D1673" s="48"/>
    </row>
    <row r="1674" spans="1:4" x14ac:dyDescent="0.25">
      <c r="A1674" s="47"/>
      <c r="B1674" s="107"/>
      <c r="C1674" s="48"/>
      <c r="D1674" s="48"/>
    </row>
    <row r="1675" spans="1:4" x14ac:dyDescent="0.25">
      <c r="A1675" s="47"/>
      <c r="B1675" s="107"/>
      <c r="C1675" s="48"/>
      <c r="D1675" s="48"/>
    </row>
    <row r="1676" spans="1:4" x14ac:dyDescent="0.25">
      <c r="A1676" s="47"/>
      <c r="B1676" s="107"/>
      <c r="C1676" s="48"/>
      <c r="D1676" s="48"/>
    </row>
    <row r="1677" spans="1:4" x14ac:dyDescent="0.25">
      <c r="A1677" s="47"/>
      <c r="B1677" s="107"/>
      <c r="C1677" s="48"/>
      <c r="D1677" s="48"/>
    </row>
    <row r="1678" spans="1:4" x14ac:dyDescent="0.25">
      <c r="A1678" s="47"/>
      <c r="B1678" s="107"/>
      <c r="C1678" s="48"/>
      <c r="D1678" s="48"/>
    </row>
    <row r="1679" spans="1:4" x14ac:dyDescent="0.25">
      <c r="A1679" s="47"/>
      <c r="B1679" s="107"/>
      <c r="C1679" s="48"/>
      <c r="D1679" s="48"/>
    </row>
    <row r="1680" spans="1:4" x14ac:dyDescent="0.25">
      <c r="A1680" s="47"/>
      <c r="B1680" s="107"/>
      <c r="C1680" s="48"/>
      <c r="D1680" s="48"/>
    </row>
    <row r="1681" spans="1:4" x14ac:dyDescent="0.25">
      <c r="A1681" s="47"/>
      <c r="B1681" s="107"/>
      <c r="C1681" s="48"/>
      <c r="D1681" s="48"/>
    </row>
    <row r="1682" spans="1:4" x14ac:dyDescent="0.25">
      <c r="A1682" s="47"/>
      <c r="B1682" s="107"/>
      <c r="C1682" s="48"/>
      <c r="D1682" s="48"/>
    </row>
    <row r="1683" spans="1:4" x14ac:dyDescent="0.25">
      <c r="A1683" s="47"/>
      <c r="B1683" s="107"/>
      <c r="C1683" s="48"/>
      <c r="D1683" s="48"/>
    </row>
    <row r="1684" spans="1:4" x14ac:dyDescent="0.25">
      <c r="A1684" s="47"/>
      <c r="B1684" s="107"/>
      <c r="C1684" s="48"/>
      <c r="D1684" s="48"/>
    </row>
    <row r="1685" spans="1:4" x14ac:dyDescent="0.25">
      <c r="A1685" s="47"/>
      <c r="B1685" s="107"/>
      <c r="C1685" s="48"/>
      <c r="D1685" s="48"/>
    </row>
    <row r="1686" spans="1:4" x14ac:dyDescent="0.25">
      <c r="A1686" s="47"/>
      <c r="B1686" s="107"/>
      <c r="C1686" s="48"/>
      <c r="D1686" s="48"/>
    </row>
    <row r="1687" spans="1:4" x14ac:dyDescent="0.25">
      <c r="A1687" s="47"/>
      <c r="B1687" s="107"/>
      <c r="C1687" s="48"/>
      <c r="D1687" s="48"/>
    </row>
    <row r="1688" spans="1:4" x14ac:dyDescent="0.25">
      <c r="A1688" s="47"/>
      <c r="B1688" s="107"/>
      <c r="C1688" s="48"/>
      <c r="D1688" s="48"/>
    </row>
    <row r="1689" spans="1:4" x14ac:dyDescent="0.25">
      <c r="A1689" s="47"/>
      <c r="B1689" s="107"/>
      <c r="C1689" s="48"/>
      <c r="D1689" s="48"/>
    </row>
    <row r="1690" spans="1:4" x14ac:dyDescent="0.25">
      <c r="A1690" s="47"/>
      <c r="B1690" s="107"/>
      <c r="C1690" s="48"/>
      <c r="D1690" s="48"/>
    </row>
    <row r="1691" spans="1:4" x14ac:dyDescent="0.25">
      <c r="A1691" s="47"/>
      <c r="B1691" s="107"/>
      <c r="C1691" s="48"/>
      <c r="D1691" s="48"/>
    </row>
    <row r="1692" spans="1:4" x14ac:dyDescent="0.25">
      <c r="A1692" s="47"/>
      <c r="B1692" s="107"/>
      <c r="C1692" s="48"/>
      <c r="D1692" s="48"/>
    </row>
    <row r="1693" spans="1:4" x14ac:dyDescent="0.25">
      <c r="A1693" s="47"/>
      <c r="B1693" s="107"/>
      <c r="C1693" s="48"/>
      <c r="D1693" s="48"/>
    </row>
    <row r="1694" spans="1:4" x14ac:dyDescent="0.25">
      <c r="A1694" s="47"/>
      <c r="B1694" s="107"/>
      <c r="C1694" s="48"/>
      <c r="D1694" s="48"/>
    </row>
    <row r="1695" spans="1:4" x14ac:dyDescent="0.25">
      <c r="A1695" s="47"/>
      <c r="B1695" s="107"/>
      <c r="C1695" s="48"/>
      <c r="D1695" s="48"/>
    </row>
    <row r="1696" spans="1:4" x14ac:dyDescent="0.25">
      <c r="A1696" s="47"/>
      <c r="B1696" s="107"/>
      <c r="C1696" s="48"/>
      <c r="D1696" s="48"/>
    </row>
    <row r="1697" spans="1:4" x14ac:dyDescent="0.25">
      <c r="A1697" s="47"/>
      <c r="B1697" s="107"/>
      <c r="C1697" s="48"/>
      <c r="D1697" s="48"/>
    </row>
    <row r="1698" spans="1:4" x14ac:dyDescent="0.25">
      <c r="A1698" s="47"/>
      <c r="B1698" s="107"/>
      <c r="C1698" s="48"/>
      <c r="D1698" s="48"/>
    </row>
    <row r="1699" spans="1:4" x14ac:dyDescent="0.25">
      <c r="A1699" s="47"/>
      <c r="B1699" s="107"/>
      <c r="C1699" s="48"/>
      <c r="D1699" s="48"/>
    </row>
    <row r="1700" spans="1:4" x14ac:dyDescent="0.25">
      <c r="A1700" s="47"/>
      <c r="B1700" s="107"/>
      <c r="C1700" s="48"/>
      <c r="D1700" s="48"/>
    </row>
    <row r="1701" spans="1:4" x14ac:dyDescent="0.25">
      <c r="A1701" s="47"/>
      <c r="B1701" s="107"/>
      <c r="C1701" s="48"/>
      <c r="D1701" s="48"/>
    </row>
    <row r="1702" spans="1:4" x14ac:dyDescent="0.25">
      <c r="A1702" s="47"/>
      <c r="B1702" s="107"/>
      <c r="C1702" s="48"/>
      <c r="D1702" s="48"/>
    </row>
    <row r="1703" spans="1:4" x14ac:dyDescent="0.25">
      <c r="A1703" s="47"/>
      <c r="B1703" s="107"/>
      <c r="C1703" s="48"/>
      <c r="D1703" s="48"/>
    </row>
    <row r="1704" spans="1:4" x14ac:dyDescent="0.25">
      <c r="A1704" s="47"/>
      <c r="B1704" s="107"/>
      <c r="C1704" s="48"/>
      <c r="D1704" s="48"/>
    </row>
    <row r="1705" spans="1:4" x14ac:dyDescent="0.25">
      <c r="A1705" s="47"/>
      <c r="B1705" s="107"/>
      <c r="C1705" s="48"/>
      <c r="D1705" s="48"/>
    </row>
    <row r="1706" spans="1:4" x14ac:dyDescent="0.25">
      <c r="A1706" s="47"/>
      <c r="B1706" s="107"/>
      <c r="C1706" s="48"/>
      <c r="D1706" s="48"/>
    </row>
    <row r="1707" spans="1:4" x14ac:dyDescent="0.25">
      <c r="A1707" s="47"/>
      <c r="B1707" s="107"/>
      <c r="C1707" s="48"/>
      <c r="D1707" s="48"/>
    </row>
    <row r="1708" spans="1:4" x14ac:dyDescent="0.25">
      <c r="A1708" s="47"/>
      <c r="B1708" s="107"/>
      <c r="C1708" s="48"/>
      <c r="D1708" s="48"/>
    </row>
    <row r="1709" spans="1:4" x14ac:dyDescent="0.25">
      <c r="A1709" s="47"/>
      <c r="B1709" s="107"/>
      <c r="C1709" s="48"/>
      <c r="D1709" s="48"/>
    </row>
    <row r="1710" spans="1:4" x14ac:dyDescent="0.25">
      <c r="A1710" s="47"/>
      <c r="B1710" s="107"/>
      <c r="C1710" s="48"/>
      <c r="D1710" s="48"/>
    </row>
    <row r="1711" spans="1:4" x14ac:dyDescent="0.25">
      <c r="A1711" s="47"/>
      <c r="B1711" s="107"/>
      <c r="C1711" s="48"/>
      <c r="D1711" s="48"/>
    </row>
    <row r="1712" spans="1:4" x14ac:dyDescent="0.25">
      <c r="A1712" s="47"/>
      <c r="B1712" s="107"/>
      <c r="C1712" s="48"/>
      <c r="D1712" s="48"/>
    </row>
    <row r="1713" spans="1:4" x14ac:dyDescent="0.25">
      <c r="A1713" s="47"/>
      <c r="B1713" s="107"/>
      <c r="C1713" s="48"/>
      <c r="D1713" s="48"/>
    </row>
    <row r="1714" spans="1:4" x14ac:dyDescent="0.25">
      <c r="A1714" s="47"/>
      <c r="B1714" s="107"/>
      <c r="C1714" s="48"/>
      <c r="D1714" s="48"/>
    </row>
    <row r="1715" spans="1:4" x14ac:dyDescent="0.25">
      <c r="A1715" s="47"/>
      <c r="B1715" s="107"/>
      <c r="C1715" s="48"/>
      <c r="D1715" s="48"/>
    </row>
    <row r="1716" spans="1:4" x14ac:dyDescent="0.25">
      <c r="A1716" s="47"/>
      <c r="B1716" s="107"/>
      <c r="C1716" s="48"/>
      <c r="D1716" s="48"/>
    </row>
    <row r="1717" spans="1:4" x14ac:dyDescent="0.25">
      <c r="A1717" s="47"/>
      <c r="B1717" s="107"/>
      <c r="C1717" s="48"/>
      <c r="D1717" s="48"/>
    </row>
    <row r="1718" spans="1:4" x14ac:dyDescent="0.25">
      <c r="A1718" s="47"/>
      <c r="B1718" s="107"/>
      <c r="C1718" s="48"/>
      <c r="D1718" s="48"/>
    </row>
    <row r="1719" spans="1:4" x14ac:dyDescent="0.25">
      <c r="A1719" s="47"/>
      <c r="B1719" s="107"/>
      <c r="C1719" s="48"/>
      <c r="D1719" s="48"/>
    </row>
    <row r="1720" spans="1:4" x14ac:dyDescent="0.25">
      <c r="A1720" s="47"/>
      <c r="B1720" s="107"/>
      <c r="C1720" s="48"/>
      <c r="D1720" s="48"/>
    </row>
    <row r="1721" spans="1:4" x14ac:dyDescent="0.25">
      <c r="A1721" s="47"/>
      <c r="B1721" s="107"/>
      <c r="C1721" s="48"/>
      <c r="D1721" s="48"/>
    </row>
    <row r="1722" spans="1:4" x14ac:dyDescent="0.25">
      <c r="A1722" s="47"/>
      <c r="B1722" s="107"/>
      <c r="C1722" s="48"/>
      <c r="D1722" s="48"/>
    </row>
    <row r="1723" spans="1:4" x14ac:dyDescent="0.25">
      <c r="A1723" s="47"/>
      <c r="B1723" s="107"/>
      <c r="C1723" s="48"/>
      <c r="D1723" s="48"/>
    </row>
    <row r="1724" spans="1:4" x14ac:dyDescent="0.25">
      <c r="A1724" s="47"/>
      <c r="B1724" s="107"/>
      <c r="C1724" s="48"/>
      <c r="D1724" s="48"/>
    </row>
    <row r="1725" spans="1:4" x14ac:dyDescent="0.25">
      <c r="A1725" s="47"/>
      <c r="B1725" s="107"/>
      <c r="C1725" s="48"/>
      <c r="D1725" s="48"/>
    </row>
    <row r="1726" spans="1:4" x14ac:dyDescent="0.25">
      <c r="A1726" s="47"/>
      <c r="B1726" s="107"/>
      <c r="C1726" s="48"/>
      <c r="D1726" s="48"/>
    </row>
    <row r="1727" spans="1:4" x14ac:dyDescent="0.25">
      <c r="A1727" s="47"/>
      <c r="B1727" s="107"/>
      <c r="C1727" s="48"/>
      <c r="D1727" s="48"/>
    </row>
    <row r="1728" spans="1:4" x14ac:dyDescent="0.25">
      <c r="A1728" s="47"/>
      <c r="B1728" s="107"/>
      <c r="C1728" s="48"/>
      <c r="D1728" s="48"/>
    </row>
    <row r="1729" spans="1:4" x14ac:dyDescent="0.25">
      <c r="A1729" s="47"/>
      <c r="B1729" s="107"/>
      <c r="C1729" s="48"/>
      <c r="D1729" s="48"/>
    </row>
    <row r="1730" spans="1:4" x14ac:dyDescent="0.25">
      <c r="A1730" s="47"/>
      <c r="B1730" s="107"/>
      <c r="C1730" s="48"/>
      <c r="D1730" s="48"/>
    </row>
    <row r="1731" spans="1:4" x14ac:dyDescent="0.25">
      <c r="A1731" s="47"/>
      <c r="B1731" s="107"/>
      <c r="C1731" s="48"/>
      <c r="D1731" s="48"/>
    </row>
    <row r="1732" spans="1:4" x14ac:dyDescent="0.25">
      <c r="A1732" s="47"/>
      <c r="B1732" s="107"/>
      <c r="C1732" s="48"/>
      <c r="D1732" s="48"/>
    </row>
    <row r="1733" spans="1:4" x14ac:dyDescent="0.25">
      <c r="A1733" s="47"/>
      <c r="B1733" s="107"/>
      <c r="C1733" s="48"/>
      <c r="D1733" s="48"/>
    </row>
    <row r="1734" spans="1:4" x14ac:dyDescent="0.25">
      <c r="A1734" s="47"/>
      <c r="B1734" s="107"/>
      <c r="C1734" s="48"/>
      <c r="D1734" s="48"/>
    </row>
    <row r="1735" spans="1:4" x14ac:dyDescent="0.25">
      <c r="A1735" s="47"/>
      <c r="B1735" s="107"/>
      <c r="C1735" s="48"/>
      <c r="D1735" s="48"/>
    </row>
    <row r="1736" spans="1:4" x14ac:dyDescent="0.25">
      <c r="A1736" s="47"/>
      <c r="B1736" s="107"/>
      <c r="C1736" s="48"/>
      <c r="D1736" s="48"/>
    </row>
    <row r="1737" spans="1:4" x14ac:dyDescent="0.25">
      <c r="A1737" s="47"/>
      <c r="B1737" s="107"/>
      <c r="C1737" s="48"/>
      <c r="D1737" s="48"/>
    </row>
    <row r="1738" spans="1:4" x14ac:dyDescent="0.25">
      <c r="A1738" s="47"/>
      <c r="B1738" s="107"/>
      <c r="C1738" s="48"/>
      <c r="D1738" s="48"/>
    </row>
    <row r="1739" spans="1:4" x14ac:dyDescent="0.25">
      <c r="A1739" s="47"/>
      <c r="B1739" s="107"/>
      <c r="C1739" s="48"/>
      <c r="D1739" s="48"/>
    </row>
    <row r="1740" spans="1:4" x14ac:dyDescent="0.25">
      <c r="A1740" s="47"/>
      <c r="B1740" s="107"/>
      <c r="C1740" s="48"/>
      <c r="D1740" s="48"/>
    </row>
    <row r="1741" spans="1:4" x14ac:dyDescent="0.25">
      <c r="A1741" s="47"/>
      <c r="B1741" s="107"/>
      <c r="C1741" s="48"/>
      <c r="D1741" s="48"/>
    </row>
    <row r="1742" spans="1:4" x14ac:dyDescent="0.25">
      <c r="A1742" s="47"/>
      <c r="B1742" s="107"/>
      <c r="C1742" s="48"/>
      <c r="D1742" s="48"/>
    </row>
    <row r="1743" spans="1:4" x14ac:dyDescent="0.25">
      <c r="A1743" s="47"/>
      <c r="B1743" s="107"/>
      <c r="C1743" s="48"/>
      <c r="D1743" s="48"/>
    </row>
    <row r="1744" spans="1:4" x14ac:dyDescent="0.25">
      <c r="A1744" s="47"/>
      <c r="B1744" s="107"/>
      <c r="C1744" s="48"/>
      <c r="D1744" s="48"/>
    </row>
    <row r="1745" spans="1:4" x14ac:dyDescent="0.25">
      <c r="A1745" s="47"/>
      <c r="B1745" s="107"/>
      <c r="C1745" s="48"/>
      <c r="D1745" s="48"/>
    </row>
    <row r="1746" spans="1:4" x14ac:dyDescent="0.25">
      <c r="A1746" s="47"/>
      <c r="B1746" s="107"/>
      <c r="C1746" s="48"/>
      <c r="D1746" s="48"/>
    </row>
    <row r="1747" spans="1:4" x14ac:dyDescent="0.25">
      <c r="A1747" s="47"/>
      <c r="B1747" s="107"/>
      <c r="C1747" s="48"/>
      <c r="D1747" s="48"/>
    </row>
    <row r="1748" spans="1:4" x14ac:dyDescent="0.25">
      <c r="A1748" s="47"/>
      <c r="B1748" s="107"/>
      <c r="C1748" s="48"/>
      <c r="D1748" s="48"/>
    </row>
    <row r="1749" spans="1:4" x14ac:dyDescent="0.25">
      <c r="A1749" s="47"/>
      <c r="B1749" s="107"/>
      <c r="C1749" s="48"/>
      <c r="D1749" s="48"/>
    </row>
    <row r="1750" spans="1:4" x14ac:dyDescent="0.25">
      <c r="A1750" s="47"/>
      <c r="B1750" s="107"/>
      <c r="C1750" s="48"/>
      <c r="D1750" s="48"/>
    </row>
    <row r="1751" spans="1:4" x14ac:dyDescent="0.25">
      <c r="A1751" s="47"/>
      <c r="B1751" s="107"/>
      <c r="C1751" s="48"/>
      <c r="D1751" s="48"/>
    </row>
    <row r="1752" spans="1:4" x14ac:dyDescent="0.25">
      <c r="A1752" s="47"/>
      <c r="B1752" s="107"/>
      <c r="C1752" s="48"/>
      <c r="D1752" s="48"/>
    </row>
    <row r="1753" spans="1:4" x14ac:dyDescent="0.25">
      <c r="A1753" s="47"/>
      <c r="B1753" s="107"/>
      <c r="C1753" s="48"/>
      <c r="D1753" s="48"/>
    </row>
    <row r="1754" spans="1:4" x14ac:dyDescent="0.25">
      <c r="A1754" s="47"/>
      <c r="B1754" s="107"/>
      <c r="C1754" s="48"/>
      <c r="D1754" s="48"/>
    </row>
    <row r="1755" spans="1:4" x14ac:dyDescent="0.25">
      <c r="A1755" s="47"/>
      <c r="B1755" s="107"/>
      <c r="C1755" s="48"/>
      <c r="D1755" s="48"/>
    </row>
    <row r="1756" spans="1:4" x14ac:dyDescent="0.25">
      <c r="A1756" s="47"/>
      <c r="B1756" s="107"/>
      <c r="C1756" s="48"/>
      <c r="D1756" s="48"/>
    </row>
    <row r="1757" spans="1:4" x14ac:dyDescent="0.25">
      <c r="A1757" s="47"/>
      <c r="B1757" s="107"/>
      <c r="C1757" s="48"/>
      <c r="D1757" s="48"/>
    </row>
    <row r="1758" spans="1:4" x14ac:dyDescent="0.25">
      <c r="A1758" s="47"/>
      <c r="B1758" s="107"/>
      <c r="C1758" s="48"/>
      <c r="D1758" s="48"/>
    </row>
    <row r="1759" spans="1:4" x14ac:dyDescent="0.25">
      <c r="A1759" s="47"/>
      <c r="B1759" s="107"/>
      <c r="C1759" s="48"/>
      <c r="D1759" s="48"/>
    </row>
    <row r="1760" spans="1:4" x14ac:dyDescent="0.25">
      <c r="A1760" s="47"/>
      <c r="B1760" s="107"/>
      <c r="C1760" s="48"/>
      <c r="D1760" s="48"/>
    </row>
    <row r="1761" spans="1:4" x14ac:dyDescent="0.25">
      <c r="A1761" s="47"/>
      <c r="B1761" s="107"/>
      <c r="C1761" s="48"/>
      <c r="D1761" s="48"/>
    </row>
    <row r="1762" spans="1:4" x14ac:dyDescent="0.25">
      <c r="A1762" s="47"/>
      <c r="B1762" s="107"/>
      <c r="C1762" s="48"/>
      <c r="D1762" s="48"/>
    </row>
    <row r="1763" spans="1:4" x14ac:dyDescent="0.25">
      <c r="A1763" s="47"/>
      <c r="B1763" s="107"/>
      <c r="C1763" s="48"/>
      <c r="D1763" s="48"/>
    </row>
    <row r="1764" spans="1:4" x14ac:dyDescent="0.25">
      <c r="A1764" s="47"/>
      <c r="B1764" s="107"/>
      <c r="C1764" s="48"/>
      <c r="D1764" s="48"/>
    </row>
    <row r="1765" spans="1:4" x14ac:dyDescent="0.25">
      <c r="A1765" s="47"/>
      <c r="B1765" s="107"/>
      <c r="C1765" s="48"/>
      <c r="D1765" s="48"/>
    </row>
    <row r="1766" spans="1:4" x14ac:dyDescent="0.25">
      <c r="A1766" s="47"/>
      <c r="B1766" s="107"/>
      <c r="C1766" s="48"/>
      <c r="D1766" s="48"/>
    </row>
    <row r="1767" spans="1:4" x14ac:dyDescent="0.25">
      <c r="A1767" s="47"/>
      <c r="B1767" s="107"/>
      <c r="C1767" s="48"/>
      <c r="D1767" s="48"/>
    </row>
    <row r="1768" spans="1:4" x14ac:dyDescent="0.25">
      <c r="A1768" s="47"/>
      <c r="B1768" s="107"/>
      <c r="C1768" s="48"/>
      <c r="D1768" s="48"/>
    </row>
    <row r="1769" spans="1:4" x14ac:dyDescent="0.25">
      <c r="A1769" s="47"/>
      <c r="B1769" s="107"/>
      <c r="C1769" s="48"/>
      <c r="D1769" s="48"/>
    </row>
    <row r="1770" spans="1:4" x14ac:dyDescent="0.25">
      <c r="A1770" s="47"/>
      <c r="B1770" s="107"/>
      <c r="C1770" s="48"/>
      <c r="D1770" s="48"/>
    </row>
    <row r="1771" spans="1:4" x14ac:dyDescent="0.25">
      <c r="A1771" s="47"/>
      <c r="B1771" s="107"/>
      <c r="C1771" s="48"/>
      <c r="D1771" s="48"/>
    </row>
    <row r="1772" spans="1:4" x14ac:dyDescent="0.25">
      <c r="A1772" s="47"/>
      <c r="B1772" s="107"/>
      <c r="C1772" s="48"/>
      <c r="D1772" s="48"/>
    </row>
    <row r="1773" spans="1:4" x14ac:dyDescent="0.25">
      <c r="A1773" s="47"/>
      <c r="B1773" s="107"/>
      <c r="C1773" s="48"/>
      <c r="D1773" s="48"/>
    </row>
    <row r="1774" spans="1:4" x14ac:dyDescent="0.25">
      <c r="A1774" s="47"/>
      <c r="B1774" s="107"/>
      <c r="C1774" s="48"/>
      <c r="D1774" s="48"/>
    </row>
    <row r="1775" spans="1:4" x14ac:dyDescent="0.25">
      <c r="A1775" s="47"/>
      <c r="B1775" s="107"/>
      <c r="C1775" s="48"/>
      <c r="D1775" s="48"/>
    </row>
    <row r="1776" spans="1:4" x14ac:dyDescent="0.25">
      <c r="A1776" s="47"/>
      <c r="B1776" s="107"/>
      <c r="C1776" s="48"/>
      <c r="D1776" s="48"/>
    </row>
    <row r="1777" spans="1:4" x14ac:dyDescent="0.25">
      <c r="A1777" s="47"/>
      <c r="B1777" s="107"/>
      <c r="C1777" s="48"/>
      <c r="D1777" s="48"/>
    </row>
    <row r="1778" spans="1:4" x14ac:dyDescent="0.25">
      <c r="A1778" s="47"/>
      <c r="B1778" s="107"/>
      <c r="C1778" s="48"/>
      <c r="D1778" s="48"/>
    </row>
    <row r="1779" spans="1:4" x14ac:dyDescent="0.25">
      <c r="A1779" s="47"/>
      <c r="B1779" s="107"/>
      <c r="C1779" s="48"/>
      <c r="D1779" s="48"/>
    </row>
    <row r="1780" spans="1:4" x14ac:dyDescent="0.25">
      <c r="A1780" s="47"/>
      <c r="B1780" s="107"/>
      <c r="C1780" s="48"/>
      <c r="D1780" s="48"/>
    </row>
    <row r="1781" spans="1:4" x14ac:dyDescent="0.25">
      <c r="A1781" s="47"/>
      <c r="B1781" s="107"/>
      <c r="C1781" s="48"/>
      <c r="D1781" s="48"/>
    </row>
    <row r="1782" spans="1:4" x14ac:dyDescent="0.25">
      <c r="A1782" s="47"/>
      <c r="B1782" s="107"/>
      <c r="C1782" s="48"/>
      <c r="D1782" s="48"/>
    </row>
    <row r="1783" spans="1:4" x14ac:dyDescent="0.25">
      <c r="A1783" s="47"/>
      <c r="B1783" s="107"/>
      <c r="C1783" s="48"/>
      <c r="D1783" s="48"/>
    </row>
    <row r="1784" spans="1:4" x14ac:dyDescent="0.25">
      <c r="A1784" s="47"/>
      <c r="B1784" s="107"/>
      <c r="C1784" s="48"/>
      <c r="D1784" s="48"/>
    </row>
    <row r="1785" spans="1:4" x14ac:dyDescent="0.25">
      <c r="A1785" s="47"/>
      <c r="B1785" s="107"/>
      <c r="C1785" s="48"/>
      <c r="D1785" s="48"/>
    </row>
    <row r="1786" spans="1:4" x14ac:dyDescent="0.25">
      <c r="A1786" s="47"/>
      <c r="B1786" s="107"/>
      <c r="C1786" s="48"/>
      <c r="D1786" s="48"/>
    </row>
    <row r="1787" spans="1:4" x14ac:dyDescent="0.25">
      <c r="A1787" s="47"/>
      <c r="B1787" s="107"/>
      <c r="C1787" s="48"/>
      <c r="D1787" s="48"/>
    </row>
    <row r="1788" spans="1:4" x14ac:dyDescent="0.25">
      <c r="A1788" s="47"/>
      <c r="B1788" s="107"/>
      <c r="C1788" s="48"/>
      <c r="D1788" s="48"/>
    </row>
    <row r="1789" spans="1:4" x14ac:dyDescent="0.25">
      <c r="A1789" s="47"/>
      <c r="B1789" s="107"/>
      <c r="C1789" s="48"/>
      <c r="D1789" s="48"/>
    </row>
    <row r="1790" spans="1:4" x14ac:dyDescent="0.25">
      <c r="A1790" s="47"/>
      <c r="B1790" s="107"/>
      <c r="C1790" s="48"/>
      <c r="D1790" s="48"/>
    </row>
    <row r="1791" spans="1:4" x14ac:dyDescent="0.25">
      <c r="A1791" s="47"/>
      <c r="B1791" s="107"/>
      <c r="C1791" s="48"/>
      <c r="D1791" s="48"/>
    </row>
    <row r="1792" spans="1:4" x14ac:dyDescent="0.25">
      <c r="A1792" s="47"/>
      <c r="B1792" s="107"/>
      <c r="C1792" s="48"/>
      <c r="D1792" s="48"/>
    </row>
    <row r="1793" spans="1:4" x14ac:dyDescent="0.25">
      <c r="A1793" s="47"/>
      <c r="B1793" s="107"/>
      <c r="C1793" s="48"/>
      <c r="D1793" s="48"/>
    </row>
    <row r="1794" spans="1:4" x14ac:dyDescent="0.25">
      <c r="A1794" s="47"/>
      <c r="B1794" s="107"/>
      <c r="C1794" s="48"/>
      <c r="D1794" s="48"/>
    </row>
    <row r="1795" spans="1:4" x14ac:dyDescent="0.25">
      <c r="A1795" s="47"/>
      <c r="B1795" s="107"/>
      <c r="C1795" s="48"/>
      <c r="D1795" s="48"/>
    </row>
    <row r="1796" spans="1:4" x14ac:dyDescent="0.25">
      <c r="A1796" s="47"/>
      <c r="B1796" s="107"/>
      <c r="C1796" s="48"/>
      <c r="D1796" s="48"/>
    </row>
    <row r="1797" spans="1:4" x14ac:dyDescent="0.25">
      <c r="A1797" s="47"/>
      <c r="B1797" s="107"/>
      <c r="C1797" s="48"/>
      <c r="D1797" s="48"/>
    </row>
    <row r="1798" spans="1:4" x14ac:dyDescent="0.25">
      <c r="A1798" s="47"/>
      <c r="B1798" s="107"/>
      <c r="C1798" s="48"/>
      <c r="D1798" s="48"/>
    </row>
    <row r="1799" spans="1:4" x14ac:dyDescent="0.25">
      <c r="A1799" s="47"/>
      <c r="B1799" s="107"/>
      <c r="C1799" s="48"/>
      <c r="D1799" s="48"/>
    </row>
    <row r="1800" spans="1:4" x14ac:dyDescent="0.25">
      <c r="A1800" s="47"/>
      <c r="B1800" s="107"/>
      <c r="C1800" s="48"/>
      <c r="D1800" s="48"/>
    </row>
    <row r="1801" spans="1:4" x14ac:dyDescent="0.25">
      <c r="A1801" s="47"/>
      <c r="B1801" s="107"/>
      <c r="C1801" s="48"/>
      <c r="D1801" s="48"/>
    </row>
    <row r="1802" spans="1:4" x14ac:dyDescent="0.25">
      <c r="A1802" s="47"/>
      <c r="B1802" s="107"/>
      <c r="C1802" s="48"/>
      <c r="D1802" s="48"/>
    </row>
    <row r="1803" spans="1:4" x14ac:dyDescent="0.25">
      <c r="A1803" s="47"/>
      <c r="B1803" s="107"/>
      <c r="C1803" s="48"/>
      <c r="D1803" s="48"/>
    </row>
    <row r="1804" spans="1:4" x14ac:dyDescent="0.25">
      <c r="A1804" s="47"/>
      <c r="B1804" s="107"/>
      <c r="C1804" s="48"/>
      <c r="D1804" s="48"/>
    </row>
    <row r="1805" spans="1:4" x14ac:dyDescent="0.25">
      <c r="A1805" s="47"/>
      <c r="B1805" s="107"/>
      <c r="C1805" s="48"/>
      <c r="D1805" s="48"/>
    </row>
    <row r="1806" spans="1:4" x14ac:dyDescent="0.25">
      <c r="A1806" s="47"/>
      <c r="B1806" s="107"/>
      <c r="C1806" s="48"/>
      <c r="D1806" s="48"/>
    </row>
    <row r="1807" spans="1:4" x14ac:dyDescent="0.25">
      <c r="A1807" s="47"/>
      <c r="B1807" s="107"/>
      <c r="C1807" s="48"/>
      <c r="D1807" s="48"/>
    </row>
    <row r="1808" spans="1:4" x14ac:dyDescent="0.25">
      <c r="A1808" s="47"/>
      <c r="B1808" s="107"/>
      <c r="C1808" s="48"/>
      <c r="D1808" s="48"/>
    </row>
    <row r="1809" spans="1:4" x14ac:dyDescent="0.25">
      <c r="A1809" s="47"/>
      <c r="B1809" s="107"/>
      <c r="C1809" s="48"/>
      <c r="D1809" s="48"/>
    </row>
    <row r="1810" spans="1:4" x14ac:dyDescent="0.25">
      <c r="A1810" s="47"/>
      <c r="B1810" s="107"/>
      <c r="C1810" s="48"/>
      <c r="D1810" s="48"/>
    </row>
    <row r="1811" spans="1:4" x14ac:dyDescent="0.25">
      <c r="A1811" s="47"/>
      <c r="B1811" s="107"/>
      <c r="C1811" s="48"/>
      <c r="D1811" s="48"/>
    </row>
    <row r="1812" spans="1:4" x14ac:dyDescent="0.25">
      <c r="A1812" s="47"/>
      <c r="B1812" s="107"/>
      <c r="C1812" s="48"/>
      <c r="D1812" s="48"/>
    </row>
    <row r="1813" spans="1:4" x14ac:dyDescent="0.25">
      <c r="A1813" s="47"/>
      <c r="B1813" s="107"/>
      <c r="C1813" s="48"/>
      <c r="D1813" s="48"/>
    </row>
    <row r="1814" spans="1:4" x14ac:dyDescent="0.25">
      <c r="A1814" s="47"/>
      <c r="B1814" s="107"/>
      <c r="C1814" s="48"/>
      <c r="D1814" s="48"/>
    </row>
    <row r="1815" spans="1:4" x14ac:dyDescent="0.25">
      <c r="A1815" s="47"/>
      <c r="B1815" s="107"/>
      <c r="C1815" s="48"/>
      <c r="D1815" s="48"/>
    </row>
    <row r="1816" spans="1:4" x14ac:dyDescent="0.25">
      <c r="A1816" s="47"/>
      <c r="B1816" s="107"/>
      <c r="C1816" s="48"/>
      <c r="D1816" s="48"/>
    </row>
    <row r="1817" spans="1:4" x14ac:dyDescent="0.25">
      <c r="A1817" s="47"/>
      <c r="B1817" s="107"/>
      <c r="C1817" s="48"/>
      <c r="D1817" s="48"/>
    </row>
    <row r="1818" spans="1:4" x14ac:dyDescent="0.25">
      <c r="A1818" s="47"/>
      <c r="B1818" s="107"/>
      <c r="C1818" s="48"/>
      <c r="D1818" s="48"/>
    </row>
    <row r="1819" spans="1:4" x14ac:dyDescent="0.25">
      <c r="A1819" s="47"/>
      <c r="B1819" s="107"/>
      <c r="C1819" s="48"/>
      <c r="D1819" s="48"/>
    </row>
    <row r="1820" spans="1:4" x14ac:dyDescent="0.25">
      <c r="A1820" s="47"/>
      <c r="B1820" s="107"/>
      <c r="C1820" s="48"/>
      <c r="D1820" s="48"/>
    </row>
    <row r="1821" spans="1:4" x14ac:dyDescent="0.25">
      <c r="A1821" s="47"/>
      <c r="B1821" s="107"/>
      <c r="C1821" s="48"/>
      <c r="D1821" s="48"/>
    </row>
    <row r="1822" spans="1:4" x14ac:dyDescent="0.25">
      <c r="A1822" s="47"/>
      <c r="B1822" s="107"/>
      <c r="C1822" s="48"/>
      <c r="D1822" s="48"/>
    </row>
    <row r="1823" spans="1:4" x14ac:dyDescent="0.25">
      <c r="A1823" s="47"/>
      <c r="B1823" s="107"/>
      <c r="C1823" s="48"/>
      <c r="D1823" s="48"/>
    </row>
    <row r="1824" spans="1:4" x14ac:dyDescent="0.25">
      <c r="A1824" s="47"/>
      <c r="B1824" s="107"/>
      <c r="C1824" s="48"/>
      <c r="D1824" s="48"/>
    </row>
    <row r="1825" spans="1:4" x14ac:dyDescent="0.25">
      <c r="A1825" s="47"/>
      <c r="B1825" s="107"/>
      <c r="C1825" s="48"/>
      <c r="D1825" s="48"/>
    </row>
    <row r="1826" spans="1:4" x14ac:dyDescent="0.25">
      <c r="A1826" s="47"/>
      <c r="B1826" s="107"/>
      <c r="C1826" s="48"/>
      <c r="D1826" s="48"/>
    </row>
    <row r="1827" spans="1:4" x14ac:dyDescent="0.25">
      <c r="A1827" s="47"/>
      <c r="B1827" s="107"/>
      <c r="C1827" s="48"/>
      <c r="D1827" s="48"/>
    </row>
    <row r="1828" spans="1:4" x14ac:dyDescent="0.25">
      <c r="A1828" s="47"/>
      <c r="B1828" s="107"/>
      <c r="C1828" s="48"/>
      <c r="D1828" s="48"/>
    </row>
    <row r="1829" spans="1:4" x14ac:dyDescent="0.25">
      <c r="A1829" s="47"/>
      <c r="B1829" s="107"/>
      <c r="C1829" s="48"/>
      <c r="D1829" s="48"/>
    </row>
    <row r="1830" spans="1:4" x14ac:dyDescent="0.25">
      <c r="A1830" s="47"/>
      <c r="B1830" s="107"/>
      <c r="C1830" s="48"/>
      <c r="D1830" s="48"/>
    </row>
    <row r="1831" spans="1:4" x14ac:dyDescent="0.25">
      <c r="A1831" s="47"/>
      <c r="B1831" s="107"/>
      <c r="C1831" s="48"/>
      <c r="D1831" s="48"/>
    </row>
    <row r="1832" spans="1:4" x14ac:dyDescent="0.25">
      <c r="A1832" s="47"/>
      <c r="B1832" s="107"/>
      <c r="C1832" s="48"/>
      <c r="D1832" s="48"/>
    </row>
    <row r="1833" spans="1:4" x14ac:dyDescent="0.25">
      <c r="A1833" s="47"/>
      <c r="B1833" s="107"/>
      <c r="C1833" s="48"/>
      <c r="D1833" s="48"/>
    </row>
    <row r="1834" spans="1:4" x14ac:dyDescent="0.25">
      <c r="A1834" s="47"/>
      <c r="B1834" s="107"/>
      <c r="C1834" s="48"/>
      <c r="D1834" s="48"/>
    </row>
    <row r="1835" spans="1:4" x14ac:dyDescent="0.25">
      <c r="A1835" s="47"/>
      <c r="B1835" s="107"/>
      <c r="C1835" s="48"/>
      <c r="D1835" s="48"/>
    </row>
    <row r="1836" spans="1:4" x14ac:dyDescent="0.25">
      <c r="A1836" s="47"/>
      <c r="B1836" s="107"/>
      <c r="C1836" s="48"/>
      <c r="D1836" s="48"/>
    </row>
    <row r="1837" spans="1:4" x14ac:dyDescent="0.25">
      <c r="A1837" s="47"/>
      <c r="B1837" s="107"/>
      <c r="C1837" s="48"/>
      <c r="D1837" s="48"/>
    </row>
    <row r="1838" spans="1:4" x14ac:dyDescent="0.25">
      <c r="A1838" s="47"/>
      <c r="B1838" s="107"/>
      <c r="C1838" s="48"/>
      <c r="D1838" s="48"/>
    </row>
    <row r="1839" spans="1:4" x14ac:dyDescent="0.25">
      <c r="A1839" s="47"/>
      <c r="B1839" s="107"/>
      <c r="C1839" s="48"/>
      <c r="D1839" s="48"/>
    </row>
    <row r="1840" spans="1:4" x14ac:dyDescent="0.25">
      <c r="A1840" s="47"/>
      <c r="B1840" s="107"/>
      <c r="C1840" s="48"/>
      <c r="D1840" s="48"/>
    </row>
    <row r="1841" spans="1:4" x14ac:dyDescent="0.25">
      <c r="A1841" s="47"/>
      <c r="B1841" s="107"/>
      <c r="C1841" s="48"/>
      <c r="D1841" s="48"/>
    </row>
    <row r="1842" spans="1:4" x14ac:dyDescent="0.25">
      <c r="A1842" s="47"/>
      <c r="B1842" s="107"/>
      <c r="C1842" s="48"/>
      <c r="D1842" s="48"/>
    </row>
    <row r="1843" spans="1:4" x14ac:dyDescent="0.25">
      <c r="A1843" s="47"/>
      <c r="B1843" s="107"/>
      <c r="C1843" s="48"/>
      <c r="D1843" s="48"/>
    </row>
    <row r="1844" spans="1:4" x14ac:dyDescent="0.25">
      <c r="A1844" s="47"/>
      <c r="B1844" s="107"/>
      <c r="C1844" s="48"/>
      <c r="D1844" s="48"/>
    </row>
    <row r="1845" spans="1:4" x14ac:dyDescent="0.25">
      <c r="A1845" s="47"/>
      <c r="B1845" s="107"/>
      <c r="C1845" s="48"/>
      <c r="D1845" s="48"/>
    </row>
    <row r="1846" spans="1:4" x14ac:dyDescent="0.25">
      <c r="A1846" s="47"/>
      <c r="B1846" s="107"/>
      <c r="C1846" s="48"/>
      <c r="D1846" s="48"/>
    </row>
    <row r="1847" spans="1:4" x14ac:dyDescent="0.25">
      <c r="A1847" s="47"/>
      <c r="B1847" s="107"/>
      <c r="C1847" s="48"/>
      <c r="D1847" s="48"/>
    </row>
    <row r="1848" spans="1:4" x14ac:dyDescent="0.25">
      <c r="A1848" s="47"/>
      <c r="B1848" s="107"/>
      <c r="C1848" s="48"/>
      <c r="D1848" s="48"/>
    </row>
    <row r="1849" spans="1:4" x14ac:dyDescent="0.25">
      <c r="A1849" s="47"/>
      <c r="B1849" s="107"/>
      <c r="C1849" s="48"/>
      <c r="D1849" s="48"/>
    </row>
    <row r="1850" spans="1:4" x14ac:dyDescent="0.25">
      <c r="A1850" s="47"/>
      <c r="B1850" s="107"/>
      <c r="C1850" s="48"/>
      <c r="D1850" s="48"/>
    </row>
    <row r="1851" spans="1:4" x14ac:dyDescent="0.25">
      <c r="A1851" s="47"/>
      <c r="B1851" s="107"/>
      <c r="C1851" s="48"/>
      <c r="D1851" s="48"/>
    </row>
    <row r="1852" spans="1:4" x14ac:dyDescent="0.25">
      <c r="A1852" s="47"/>
      <c r="B1852" s="107"/>
      <c r="C1852" s="48"/>
      <c r="D1852" s="48"/>
    </row>
    <row r="1853" spans="1:4" x14ac:dyDescent="0.25">
      <c r="A1853" s="47"/>
      <c r="B1853" s="107"/>
      <c r="C1853" s="48"/>
      <c r="D1853" s="48"/>
    </row>
    <row r="1854" spans="1:4" x14ac:dyDescent="0.25">
      <c r="A1854" s="47"/>
      <c r="B1854" s="107"/>
      <c r="C1854" s="48"/>
      <c r="D1854" s="48"/>
    </row>
    <row r="1855" spans="1:4" x14ac:dyDescent="0.25">
      <c r="A1855" s="47"/>
      <c r="B1855" s="107"/>
      <c r="C1855" s="48"/>
      <c r="D1855" s="48"/>
    </row>
    <row r="1856" spans="1:4" x14ac:dyDescent="0.25">
      <c r="A1856" s="47"/>
      <c r="B1856" s="107"/>
      <c r="C1856" s="48"/>
      <c r="D1856" s="48"/>
    </row>
    <row r="1857" spans="1:4" x14ac:dyDescent="0.25">
      <c r="A1857" s="47"/>
      <c r="B1857" s="107"/>
      <c r="C1857" s="48"/>
      <c r="D1857" s="48"/>
    </row>
    <row r="1858" spans="1:4" x14ac:dyDescent="0.25">
      <c r="A1858" s="47"/>
      <c r="B1858" s="107"/>
      <c r="C1858" s="48"/>
      <c r="D1858" s="48"/>
    </row>
    <row r="1859" spans="1:4" x14ac:dyDescent="0.25">
      <c r="A1859" s="47"/>
      <c r="B1859" s="107"/>
      <c r="C1859" s="48"/>
      <c r="D1859" s="48"/>
    </row>
    <row r="1860" spans="1:4" x14ac:dyDescent="0.25">
      <c r="A1860" s="47"/>
      <c r="B1860" s="107"/>
      <c r="C1860" s="48"/>
      <c r="D1860" s="48"/>
    </row>
    <row r="1861" spans="1:4" x14ac:dyDescent="0.25">
      <c r="A1861" s="47"/>
      <c r="B1861" s="107"/>
      <c r="C1861" s="48"/>
      <c r="D1861" s="48"/>
    </row>
    <row r="1862" spans="1:4" x14ac:dyDescent="0.25">
      <c r="A1862" s="47"/>
      <c r="B1862" s="107"/>
      <c r="C1862" s="48"/>
      <c r="D1862" s="48"/>
    </row>
    <row r="1863" spans="1:4" x14ac:dyDescent="0.25">
      <c r="A1863" s="47"/>
      <c r="B1863" s="107"/>
      <c r="C1863" s="48"/>
      <c r="D1863" s="48"/>
    </row>
    <row r="1864" spans="1:4" x14ac:dyDescent="0.25">
      <c r="A1864" s="47"/>
      <c r="B1864" s="107"/>
      <c r="C1864" s="48"/>
      <c r="D1864" s="48"/>
    </row>
    <row r="1865" spans="1:4" x14ac:dyDescent="0.25">
      <c r="A1865" s="47"/>
      <c r="B1865" s="107"/>
      <c r="C1865" s="48"/>
      <c r="D1865" s="48"/>
    </row>
    <row r="1866" spans="1:4" x14ac:dyDescent="0.25">
      <c r="A1866" s="47"/>
      <c r="B1866" s="107"/>
      <c r="C1866" s="48"/>
      <c r="D1866" s="48"/>
    </row>
    <row r="1867" spans="1:4" x14ac:dyDescent="0.25">
      <c r="A1867" s="47"/>
      <c r="B1867" s="107"/>
      <c r="C1867" s="48"/>
      <c r="D1867" s="48"/>
    </row>
    <row r="1868" spans="1:4" x14ac:dyDescent="0.25">
      <c r="A1868" s="47"/>
      <c r="B1868" s="107"/>
      <c r="C1868" s="48"/>
      <c r="D1868" s="48"/>
    </row>
    <row r="1869" spans="1:4" x14ac:dyDescent="0.25">
      <c r="A1869" s="47"/>
      <c r="B1869" s="107"/>
      <c r="C1869" s="48"/>
      <c r="D1869" s="48"/>
    </row>
    <row r="1870" spans="1:4" x14ac:dyDescent="0.25">
      <c r="A1870" s="47"/>
      <c r="B1870" s="107"/>
      <c r="C1870" s="48"/>
      <c r="D1870" s="48"/>
    </row>
    <row r="1871" spans="1:4" x14ac:dyDescent="0.25">
      <c r="A1871" s="47"/>
      <c r="B1871" s="107"/>
      <c r="C1871" s="48"/>
      <c r="D1871" s="48"/>
    </row>
    <row r="1872" spans="1:4" x14ac:dyDescent="0.25">
      <c r="A1872" s="47"/>
      <c r="B1872" s="107"/>
      <c r="C1872" s="48"/>
      <c r="D1872" s="48"/>
    </row>
    <row r="1873" spans="1:4" x14ac:dyDescent="0.25">
      <c r="A1873" s="47"/>
      <c r="B1873" s="107"/>
      <c r="C1873" s="48"/>
      <c r="D1873" s="48"/>
    </row>
    <row r="1874" spans="1:4" x14ac:dyDescent="0.25">
      <c r="A1874" s="47"/>
      <c r="B1874" s="107"/>
      <c r="C1874" s="48"/>
      <c r="D1874" s="48"/>
    </row>
    <row r="1875" spans="1:4" x14ac:dyDescent="0.25">
      <c r="A1875" s="47"/>
      <c r="B1875" s="107"/>
      <c r="C1875" s="48"/>
      <c r="D1875" s="48"/>
    </row>
    <row r="1876" spans="1:4" x14ac:dyDescent="0.25">
      <c r="A1876" s="47"/>
      <c r="B1876" s="107"/>
      <c r="C1876" s="48"/>
      <c r="D1876" s="48"/>
    </row>
    <row r="1877" spans="1:4" x14ac:dyDescent="0.25">
      <c r="A1877" s="47"/>
      <c r="B1877" s="107"/>
      <c r="C1877" s="48"/>
      <c r="D1877" s="48"/>
    </row>
    <row r="1878" spans="1:4" x14ac:dyDescent="0.25">
      <c r="A1878" s="47"/>
      <c r="B1878" s="107"/>
      <c r="C1878" s="48"/>
      <c r="D1878" s="48"/>
    </row>
    <row r="1879" spans="1:4" x14ac:dyDescent="0.25">
      <c r="A1879" s="47"/>
      <c r="B1879" s="107"/>
      <c r="C1879" s="48"/>
      <c r="D1879" s="48"/>
    </row>
    <row r="1880" spans="1:4" x14ac:dyDescent="0.25">
      <c r="A1880" s="47"/>
      <c r="B1880" s="107"/>
      <c r="C1880" s="48"/>
      <c r="D1880" s="48"/>
    </row>
    <row r="1881" spans="1:4" x14ac:dyDescent="0.25">
      <c r="A1881" s="47"/>
      <c r="B1881" s="107"/>
      <c r="C1881" s="48"/>
      <c r="D1881" s="48"/>
    </row>
    <row r="1882" spans="1:4" x14ac:dyDescent="0.25">
      <c r="A1882" s="47"/>
      <c r="B1882" s="107"/>
      <c r="C1882" s="48"/>
      <c r="D1882" s="48"/>
    </row>
    <row r="1883" spans="1:4" x14ac:dyDescent="0.25">
      <c r="A1883" s="47"/>
      <c r="B1883" s="107"/>
      <c r="C1883" s="48"/>
      <c r="D1883" s="48"/>
    </row>
    <row r="1884" spans="1:4" x14ac:dyDescent="0.25">
      <c r="A1884" s="47"/>
      <c r="B1884" s="107"/>
      <c r="C1884" s="48"/>
      <c r="D1884" s="48"/>
    </row>
    <row r="1885" spans="1:4" x14ac:dyDescent="0.25">
      <c r="A1885" s="47"/>
      <c r="B1885" s="107"/>
      <c r="C1885" s="48"/>
      <c r="D1885" s="48"/>
    </row>
    <row r="1886" spans="1:4" x14ac:dyDescent="0.25">
      <c r="A1886" s="47"/>
      <c r="B1886" s="107"/>
      <c r="C1886" s="48"/>
      <c r="D1886" s="48"/>
    </row>
    <row r="1887" spans="1:4" x14ac:dyDescent="0.25">
      <c r="A1887" s="47"/>
      <c r="B1887" s="107"/>
      <c r="C1887" s="48"/>
      <c r="D1887" s="48"/>
    </row>
    <row r="1888" spans="1:4" x14ac:dyDescent="0.25">
      <c r="A1888" s="47"/>
      <c r="B1888" s="107"/>
      <c r="C1888" s="48"/>
      <c r="D1888" s="48"/>
    </row>
    <row r="1889" spans="1:4" x14ac:dyDescent="0.25">
      <c r="A1889" s="47"/>
      <c r="B1889" s="107"/>
      <c r="C1889" s="48"/>
      <c r="D1889" s="48"/>
    </row>
    <row r="1890" spans="1:4" x14ac:dyDescent="0.25">
      <c r="A1890" s="47"/>
      <c r="B1890" s="107"/>
      <c r="C1890" s="48"/>
      <c r="D1890" s="48"/>
    </row>
    <row r="1891" spans="1:4" x14ac:dyDescent="0.25">
      <c r="A1891" s="47"/>
      <c r="B1891" s="107"/>
      <c r="C1891" s="48"/>
      <c r="D1891" s="48"/>
    </row>
    <row r="1892" spans="1:4" x14ac:dyDescent="0.25">
      <c r="A1892" s="47"/>
      <c r="B1892" s="107"/>
      <c r="C1892" s="48"/>
      <c r="D1892" s="48"/>
    </row>
    <row r="1893" spans="1:4" x14ac:dyDescent="0.25">
      <c r="A1893" s="47"/>
      <c r="B1893" s="107"/>
      <c r="C1893" s="48"/>
      <c r="D1893" s="48"/>
    </row>
    <row r="1894" spans="1:4" x14ac:dyDescent="0.25">
      <c r="A1894" s="47"/>
      <c r="B1894" s="107"/>
      <c r="C1894" s="48"/>
      <c r="D1894" s="48"/>
    </row>
    <row r="1895" spans="1:4" x14ac:dyDescent="0.25">
      <c r="A1895" s="47"/>
      <c r="B1895" s="107"/>
      <c r="C1895" s="48"/>
      <c r="D1895" s="48"/>
    </row>
    <row r="1896" spans="1:4" x14ac:dyDescent="0.25">
      <c r="A1896" s="47"/>
      <c r="B1896" s="107"/>
      <c r="C1896" s="48"/>
      <c r="D1896" s="48"/>
    </row>
    <row r="1897" spans="1:4" x14ac:dyDescent="0.25">
      <c r="A1897" s="47"/>
      <c r="B1897" s="107"/>
      <c r="C1897" s="48"/>
      <c r="D1897" s="48"/>
    </row>
    <row r="1898" spans="1:4" x14ac:dyDescent="0.25">
      <c r="A1898" s="47"/>
      <c r="B1898" s="107"/>
      <c r="C1898" s="48"/>
      <c r="D1898" s="48"/>
    </row>
    <row r="1899" spans="1:4" x14ac:dyDescent="0.25">
      <c r="A1899" s="47"/>
      <c r="B1899" s="107"/>
      <c r="C1899" s="48"/>
      <c r="D1899" s="48"/>
    </row>
    <row r="1900" spans="1:4" x14ac:dyDescent="0.25">
      <c r="A1900" s="47"/>
      <c r="B1900" s="107"/>
      <c r="C1900" s="48"/>
      <c r="D1900" s="48"/>
    </row>
    <row r="1901" spans="1:4" x14ac:dyDescent="0.25">
      <c r="A1901" s="47"/>
      <c r="B1901" s="107"/>
      <c r="C1901" s="48"/>
      <c r="D1901" s="48"/>
    </row>
    <row r="1902" spans="1:4" x14ac:dyDescent="0.25">
      <c r="A1902" s="47"/>
      <c r="B1902" s="107"/>
      <c r="C1902" s="48"/>
      <c r="D1902" s="48"/>
    </row>
    <row r="1903" spans="1:4" x14ac:dyDescent="0.25">
      <c r="A1903" s="47"/>
      <c r="B1903" s="107"/>
      <c r="C1903" s="48"/>
      <c r="D1903" s="48"/>
    </row>
    <row r="1904" spans="1:4" x14ac:dyDescent="0.25">
      <c r="A1904" s="47"/>
      <c r="B1904" s="107"/>
      <c r="C1904" s="48"/>
      <c r="D1904" s="48"/>
    </row>
    <row r="1905" spans="1:4" x14ac:dyDescent="0.25">
      <c r="A1905" s="47"/>
      <c r="B1905" s="107"/>
      <c r="C1905" s="48"/>
      <c r="D1905" s="48"/>
    </row>
    <row r="1906" spans="1:4" x14ac:dyDescent="0.25">
      <c r="A1906" s="47"/>
      <c r="B1906" s="107"/>
      <c r="C1906" s="48"/>
      <c r="D1906" s="48"/>
    </row>
    <row r="1907" spans="1:4" x14ac:dyDescent="0.25">
      <c r="A1907" s="47"/>
      <c r="B1907" s="107"/>
      <c r="C1907" s="48"/>
      <c r="D1907" s="48"/>
    </row>
    <row r="1908" spans="1:4" x14ac:dyDescent="0.25">
      <c r="A1908" s="47"/>
      <c r="B1908" s="107"/>
      <c r="C1908" s="48"/>
      <c r="D1908" s="48"/>
    </row>
    <row r="1909" spans="1:4" x14ac:dyDescent="0.25">
      <c r="A1909" s="47"/>
      <c r="B1909" s="107"/>
      <c r="C1909" s="48"/>
      <c r="D1909" s="48"/>
    </row>
    <row r="1910" spans="1:4" x14ac:dyDescent="0.25">
      <c r="A1910" s="47"/>
      <c r="B1910" s="107"/>
      <c r="C1910" s="48"/>
      <c r="D1910" s="48"/>
    </row>
    <row r="1911" spans="1:4" x14ac:dyDescent="0.25">
      <c r="A1911" s="47"/>
      <c r="B1911" s="107"/>
      <c r="C1911" s="48"/>
      <c r="D1911" s="48"/>
    </row>
    <row r="1912" spans="1:4" x14ac:dyDescent="0.25">
      <c r="A1912" s="47"/>
      <c r="B1912" s="107"/>
      <c r="C1912" s="48"/>
      <c r="D1912" s="48"/>
    </row>
    <row r="1913" spans="1:4" x14ac:dyDescent="0.25">
      <c r="A1913" s="47"/>
      <c r="B1913" s="107"/>
      <c r="C1913" s="48"/>
      <c r="D1913" s="48"/>
    </row>
    <row r="1914" spans="1:4" x14ac:dyDescent="0.25">
      <c r="A1914" s="47"/>
      <c r="B1914" s="107"/>
      <c r="C1914" s="48"/>
      <c r="D1914" s="48"/>
    </row>
    <row r="1915" spans="1:4" x14ac:dyDescent="0.25">
      <c r="A1915" s="47"/>
      <c r="B1915" s="107"/>
      <c r="C1915" s="48"/>
      <c r="D1915" s="48"/>
    </row>
    <row r="1916" spans="1:4" x14ac:dyDescent="0.25">
      <c r="A1916" s="47"/>
      <c r="B1916" s="107"/>
      <c r="C1916" s="48"/>
      <c r="D1916" s="48"/>
    </row>
    <row r="1917" spans="1:4" x14ac:dyDescent="0.25">
      <c r="A1917" s="47"/>
      <c r="B1917" s="107"/>
      <c r="C1917" s="48"/>
      <c r="D1917" s="48"/>
    </row>
    <row r="1918" spans="1:4" x14ac:dyDescent="0.25">
      <c r="A1918" s="47"/>
      <c r="B1918" s="107"/>
      <c r="C1918" s="48"/>
      <c r="D1918" s="48"/>
    </row>
    <row r="1919" spans="1:4" x14ac:dyDescent="0.25">
      <c r="A1919" s="47"/>
      <c r="B1919" s="107"/>
      <c r="C1919" s="48"/>
      <c r="D1919" s="48"/>
    </row>
    <row r="1920" spans="1:4" x14ac:dyDescent="0.25">
      <c r="A1920" s="47"/>
      <c r="B1920" s="107"/>
      <c r="C1920" s="48"/>
      <c r="D1920" s="48"/>
    </row>
    <row r="1921" spans="1:4" x14ac:dyDescent="0.25">
      <c r="A1921" s="47"/>
      <c r="B1921" s="107"/>
      <c r="C1921" s="48"/>
      <c r="D1921" s="48"/>
    </row>
    <row r="1922" spans="1:4" x14ac:dyDescent="0.25">
      <c r="A1922" s="47"/>
      <c r="B1922" s="107"/>
      <c r="C1922" s="48"/>
      <c r="D1922" s="48"/>
    </row>
    <row r="1923" spans="1:4" x14ac:dyDescent="0.25">
      <c r="A1923" s="47"/>
      <c r="B1923" s="107"/>
      <c r="C1923" s="48"/>
      <c r="D1923" s="48"/>
    </row>
    <row r="1924" spans="1:4" x14ac:dyDescent="0.25">
      <c r="A1924" s="47"/>
      <c r="B1924" s="107"/>
      <c r="C1924" s="48"/>
      <c r="D1924" s="48"/>
    </row>
    <row r="1925" spans="1:4" x14ac:dyDescent="0.25">
      <c r="A1925" s="47"/>
      <c r="B1925" s="107"/>
      <c r="C1925" s="48"/>
      <c r="D1925" s="48"/>
    </row>
    <row r="1926" spans="1:4" x14ac:dyDescent="0.25">
      <c r="A1926" s="47"/>
      <c r="B1926" s="107"/>
      <c r="C1926" s="48"/>
      <c r="D1926" s="48"/>
    </row>
    <row r="1927" spans="1:4" x14ac:dyDescent="0.25">
      <c r="A1927" s="47"/>
      <c r="B1927" s="107"/>
      <c r="C1927" s="48"/>
      <c r="D1927" s="48"/>
    </row>
    <row r="1928" spans="1:4" x14ac:dyDescent="0.25">
      <c r="A1928" s="47"/>
      <c r="B1928" s="107"/>
      <c r="C1928" s="48"/>
      <c r="D1928" s="48"/>
    </row>
    <row r="1929" spans="1:4" x14ac:dyDescent="0.25">
      <c r="A1929" s="47"/>
      <c r="B1929" s="107"/>
      <c r="C1929" s="48"/>
      <c r="D1929" s="48"/>
    </row>
    <row r="1930" spans="1:4" x14ac:dyDescent="0.25">
      <c r="A1930" s="47"/>
      <c r="B1930" s="107"/>
      <c r="C1930" s="48"/>
      <c r="D1930" s="48"/>
    </row>
    <row r="1931" spans="1:4" x14ac:dyDescent="0.25">
      <c r="A1931" s="47"/>
      <c r="B1931" s="107"/>
      <c r="C1931" s="48"/>
      <c r="D1931" s="48"/>
    </row>
    <row r="1932" spans="1:4" x14ac:dyDescent="0.25">
      <c r="A1932" s="47"/>
      <c r="B1932" s="107"/>
      <c r="C1932" s="48"/>
      <c r="D1932" s="48"/>
    </row>
    <row r="1933" spans="1:4" x14ac:dyDescent="0.25">
      <c r="A1933" s="47"/>
      <c r="B1933" s="107"/>
      <c r="C1933" s="48"/>
      <c r="D1933" s="48"/>
    </row>
    <row r="1934" spans="1:4" x14ac:dyDescent="0.25">
      <c r="A1934" s="47"/>
      <c r="B1934" s="107"/>
      <c r="C1934" s="48"/>
      <c r="D1934" s="48"/>
    </row>
    <row r="1935" spans="1:4" x14ac:dyDescent="0.25">
      <c r="A1935" s="47"/>
      <c r="B1935" s="107"/>
      <c r="C1935" s="48"/>
      <c r="D1935" s="48"/>
    </row>
    <row r="1936" spans="1:4" x14ac:dyDescent="0.25">
      <c r="A1936" s="47"/>
      <c r="B1936" s="107"/>
      <c r="C1936" s="48"/>
      <c r="D1936" s="48"/>
    </row>
    <row r="1937" spans="1:4" x14ac:dyDescent="0.25">
      <c r="A1937" s="47"/>
      <c r="B1937" s="107"/>
      <c r="C1937" s="48"/>
      <c r="D1937" s="48"/>
    </row>
    <row r="1938" spans="1:4" x14ac:dyDescent="0.25">
      <c r="A1938" s="47"/>
      <c r="B1938" s="107"/>
      <c r="C1938" s="48"/>
      <c r="D1938" s="48"/>
    </row>
    <row r="1939" spans="1:4" x14ac:dyDescent="0.25">
      <c r="A1939" s="47"/>
      <c r="B1939" s="107"/>
      <c r="C1939" s="48"/>
      <c r="D1939" s="48"/>
    </row>
    <row r="1940" spans="1:4" x14ac:dyDescent="0.25">
      <c r="A1940" s="47"/>
      <c r="B1940" s="107"/>
      <c r="C1940" s="48"/>
      <c r="D1940" s="48"/>
    </row>
    <row r="1941" spans="1:4" x14ac:dyDescent="0.25">
      <c r="A1941" s="47"/>
      <c r="B1941" s="107"/>
      <c r="C1941" s="48"/>
      <c r="D1941" s="48"/>
    </row>
    <row r="1942" spans="1:4" x14ac:dyDescent="0.25">
      <c r="A1942" s="47"/>
      <c r="B1942" s="107"/>
      <c r="C1942" s="48"/>
      <c r="D1942" s="48"/>
    </row>
    <row r="1943" spans="1:4" x14ac:dyDescent="0.25">
      <c r="A1943" s="47"/>
      <c r="B1943" s="107"/>
      <c r="C1943" s="48"/>
      <c r="D1943" s="48"/>
    </row>
    <row r="1944" spans="1:4" x14ac:dyDescent="0.25">
      <c r="A1944" s="47"/>
      <c r="B1944" s="107"/>
      <c r="C1944" s="48"/>
      <c r="D1944" s="48"/>
    </row>
    <row r="1945" spans="1:4" x14ac:dyDescent="0.25">
      <c r="A1945" s="47"/>
      <c r="B1945" s="107"/>
      <c r="C1945" s="48"/>
      <c r="D1945" s="48"/>
    </row>
    <row r="1946" spans="1:4" x14ac:dyDescent="0.25">
      <c r="A1946" s="47"/>
      <c r="B1946" s="107"/>
      <c r="C1946" s="48"/>
      <c r="D1946" s="48"/>
    </row>
    <row r="1947" spans="1:4" x14ac:dyDescent="0.25">
      <c r="A1947" s="47"/>
      <c r="B1947" s="107"/>
      <c r="C1947" s="48"/>
      <c r="D1947" s="48"/>
    </row>
    <row r="1948" spans="1:4" x14ac:dyDescent="0.25">
      <c r="A1948" s="47"/>
      <c r="B1948" s="107"/>
      <c r="C1948" s="48"/>
      <c r="D1948" s="48"/>
    </row>
    <row r="1949" spans="1:4" x14ac:dyDescent="0.25">
      <c r="A1949" s="47"/>
      <c r="B1949" s="107"/>
      <c r="C1949" s="48"/>
      <c r="D1949" s="48"/>
    </row>
    <row r="1950" spans="1:4" x14ac:dyDescent="0.25">
      <c r="A1950" s="47"/>
      <c r="B1950" s="107"/>
      <c r="C1950" s="48"/>
      <c r="D1950" s="48"/>
    </row>
    <row r="1951" spans="1:4" x14ac:dyDescent="0.25">
      <c r="A1951" s="47"/>
      <c r="B1951" s="107"/>
      <c r="C1951" s="48"/>
      <c r="D1951" s="48"/>
    </row>
    <row r="1952" spans="1:4" x14ac:dyDescent="0.25">
      <c r="A1952" s="47"/>
      <c r="B1952" s="107"/>
      <c r="C1952" s="48"/>
      <c r="D1952" s="48"/>
    </row>
    <row r="1953" spans="1:4" x14ac:dyDescent="0.25">
      <c r="A1953" s="47"/>
      <c r="B1953" s="107"/>
      <c r="C1953" s="48"/>
      <c r="D1953" s="48"/>
    </row>
    <row r="1954" spans="1:4" x14ac:dyDescent="0.25">
      <c r="A1954" s="47"/>
      <c r="B1954" s="107"/>
      <c r="C1954" s="48"/>
      <c r="D1954" s="48"/>
    </row>
    <row r="1955" spans="1:4" x14ac:dyDescent="0.25">
      <c r="A1955" s="47"/>
      <c r="B1955" s="107"/>
      <c r="C1955" s="48"/>
      <c r="D1955" s="48"/>
    </row>
    <row r="1956" spans="1:4" x14ac:dyDescent="0.25">
      <c r="A1956" s="47"/>
      <c r="B1956" s="107"/>
      <c r="C1956" s="48"/>
      <c r="D1956" s="48"/>
    </row>
    <row r="1957" spans="1:4" x14ac:dyDescent="0.25">
      <c r="A1957" s="47"/>
      <c r="B1957" s="107"/>
      <c r="C1957" s="48"/>
      <c r="D1957" s="48"/>
    </row>
    <row r="1958" spans="1:4" x14ac:dyDescent="0.25">
      <c r="A1958" s="47"/>
      <c r="B1958" s="107"/>
      <c r="C1958" s="48"/>
      <c r="D1958" s="48"/>
    </row>
    <row r="1959" spans="1:4" x14ac:dyDescent="0.25">
      <c r="A1959" s="47"/>
      <c r="B1959" s="107"/>
      <c r="C1959" s="48"/>
      <c r="D1959" s="48"/>
    </row>
    <row r="1960" spans="1:4" x14ac:dyDescent="0.25">
      <c r="A1960" s="47"/>
      <c r="B1960" s="107"/>
      <c r="C1960" s="48"/>
      <c r="D1960" s="48"/>
    </row>
    <row r="1961" spans="1:4" x14ac:dyDescent="0.25">
      <c r="A1961" s="47"/>
      <c r="B1961" s="107"/>
      <c r="C1961" s="48"/>
      <c r="D1961" s="48"/>
    </row>
    <row r="1962" spans="1:4" x14ac:dyDescent="0.25">
      <c r="A1962" s="47"/>
      <c r="B1962" s="107"/>
      <c r="C1962" s="48"/>
      <c r="D1962" s="48"/>
    </row>
    <row r="1963" spans="1:4" x14ac:dyDescent="0.25">
      <c r="A1963" s="47"/>
      <c r="B1963" s="107"/>
      <c r="C1963" s="48"/>
      <c r="D1963" s="48"/>
    </row>
    <row r="1964" spans="1:4" x14ac:dyDescent="0.25">
      <c r="A1964" s="47"/>
      <c r="B1964" s="107"/>
      <c r="C1964" s="48"/>
      <c r="D1964" s="48"/>
    </row>
    <row r="1965" spans="1:4" x14ac:dyDescent="0.25">
      <c r="A1965" s="47"/>
      <c r="B1965" s="107"/>
      <c r="C1965" s="48"/>
      <c r="D1965" s="48"/>
    </row>
    <row r="1966" spans="1:4" x14ac:dyDescent="0.25">
      <c r="A1966" s="47"/>
      <c r="B1966" s="107"/>
      <c r="C1966" s="48"/>
      <c r="D1966" s="48"/>
    </row>
    <row r="1967" spans="1:4" x14ac:dyDescent="0.25">
      <c r="A1967" s="47"/>
      <c r="B1967" s="107"/>
      <c r="C1967" s="48"/>
      <c r="D1967" s="48"/>
    </row>
    <row r="1968" spans="1:4" x14ac:dyDescent="0.25">
      <c r="A1968" s="47"/>
      <c r="B1968" s="107"/>
      <c r="C1968" s="48"/>
      <c r="D1968" s="48"/>
    </row>
    <row r="1969" spans="1:4" x14ac:dyDescent="0.25">
      <c r="A1969" s="47"/>
      <c r="B1969" s="107"/>
      <c r="C1969" s="48"/>
      <c r="D1969" s="48"/>
    </row>
    <row r="1970" spans="1:4" x14ac:dyDescent="0.25">
      <c r="A1970" s="47"/>
      <c r="B1970" s="107"/>
      <c r="C1970" s="48"/>
      <c r="D1970" s="48"/>
    </row>
    <row r="1971" spans="1:4" x14ac:dyDescent="0.25">
      <c r="A1971" s="47"/>
      <c r="B1971" s="107"/>
      <c r="C1971" s="48"/>
      <c r="D1971" s="48"/>
    </row>
    <row r="1972" spans="1:4" x14ac:dyDescent="0.25">
      <c r="A1972" s="47"/>
      <c r="B1972" s="107"/>
      <c r="C1972" s="48"/>
      <c r="D1972" s="48"/>
    </row>
    <row r="1973" spans="1:4" x14ac:dyDescent="0.25">
      <c r="A1973" s="47"/>
      <c r="B1973" s="107"/>
      <c r="C1973" s="48"/>
      <c r="D1973" s="48"/>
    </row>
    <row r="1974" spans="1:4" x14ac:dyDescent="0.25">
      <c r="A1974" s="47"/>
      <c r="B1974" s="107"/>
      <c r="C1974" s="48"/>
      <c r="D1974" s="48"/>
    </row>
    <row r="1975" spans="1:4" x14ac:dyDescent="0.25">
      <c r="A1975" s="47"/>
      <c r="B1975" s="107"/>
      <c r="C1975" s="48"/>
      <c r="D1975" s="48"/>
    </row>
    <row r="1976" spans="1:4" x14ac:dyDescent="0.25">
      <c r="A1976" s="47"/>
      <c r="B1976" s="107"/>
      <c r="C1976" s="48"/>
      <c r="D1976" s="48"/>
    </row>
    <row r="1977" spans="1:4" x14ac:dyDescent="0.25">
      <c r="A1977" s="47"/>
      <c r="B1977" s="107"/>
      <c r="C1977" s="48"/>
      <c r="D1977" s="48"/>
    </row>
    <row r="1978" spans="1:4" x14ac:dyDescent="0.25">
      <c r="A1978" s="47"/>
      <c r="B1978" s="107"/>
      <c r="C1978" s="48"/>
      <c r="D1978" s="48"/>
    </row>
    <row r="1979" spans="1:4" x14ac:dyDescent="0.25">
      <c r="A1979" s="47"/>
      <c r="B1979" s="107"/>
      <c r="C1979" s="48"/>
      <c r="D1979" s="48"/>
    </row>
    <row r="1980" spans="1:4" x14ac:dyDescent="0.25">
      <c r="A1980" s="47"/>
      <c r="B1980" s="107"/>
      <c r="C1980" s="48"/>
      <c r="D1980" s="48"/>
    </row>
    <row r="1981" spans="1:4" x14ac:dyDescent="0.25">
      <c r="A1981" s="47"/>
      <c r="B1981" s="107"/>
      <c r="C1981" s="48"/>
      <c r="D1981" s="48"/>
    </row>
    <row r="1982" spans="1:4" x14ac:dyDescent="0.25">
      <c r="A1982" s="47"/>
      <c r="B1982" s="107"/>
      <c r="C1982" s="48"/>
      <c r="D1982" s="48"/>
    </row>
    <row r="1983" spans="1:4" x14ac:dyDescent="0.25">
      <c r="A1983" s="47"/>
      <c r="B1983" s="107"/>
      <c r="C1983" s="48"/>
      <c r="D1983" s="48"/>
    </row>
    <row r="1984" spans="1:4" x14ac:dyDescent="0.25">
      <c r="A1984" s="47"/>
      <c r="B1984" s="107"/>
      <c r="C1984" s="48"/>
      <c r="D1984" s="48"/>
    </row>
    <row r="1985" spans="1:4" x14ac:dyDescent="0.25">
      <c r="A1985" s="47"/>
      <c r="B1985" s="107"/>
      <c r="C1985" s="48"/>
      <c r="D1985" s="48"/>
    </row>
    <row r="1986" spans="1:4" x14ac:dyDescent="0.25">
      <c r="A1986" s="47"/>
      <c r="B1986" s="107"/>
      <c r="C1986" s="48"/>
      <c r="D1986" s="48"/>
    </row>
    <row r="1987" spans="1:4" x14ac:dyDescent="0.25">
      <c r="A1987" s="47"/>
      <c r="B1987" s="107"/>
      <c r="C1987" s="48"/>
      <c r="D1987" s="48"/>
    </row>
    <row r="1988" spans="1:4" x14ac:dyDescent="0.25">
      <c r="A1988" s="47"/>
      <c r="B1988" s="107"/>
      <c r="C1988" s="48"/>
      <c r="D1988" s="48"/>
    </row>
    <row r="1989" spans="1:4" x14ac:dyDescent="0.25">
      <c r="A1989" s="47"/>
      <c r="B1989" s="107"/>
      <c r="C1989" s="48"/>
      <c r="D1989" s="48"/>
    </row>
    <row r="1990" spans="1:4" x14ac:dyDescent="0.25">
      <c r="A1990" s="47"/>
      <c r="B1990" s="107"/>
      <c r="C1990" s="48"/>
      <c r="D1990" s="48"/>
    </row>
    <row r="1991" spans="1:4" x14ac:dyDescent="0.25">
      <c r="A1991" s="47"/>
      <c r="B1991" s="107"/>
      <c r="C1991" s="48"/>
      <c r="D1991" s="48"/>
    </row>
    <row r="1992" spans="1:4" x14ac:dyDescent="0.25">
      <c r="A1992" s="47"/>
      <c r="B1992" s="107"/>
      <c r="C1992" s="48"/>
      <c r="D1992" s="48"/>
    </row>
    <row r="1993" spans="1:4" x14ac:dyDescent="0.25">
      <c r="A1993" s="47"/>
      <c r="B1993" s="107"/>
      <c r="C1993" s="48"/>
      <c r="D1993" s="48"/>
    </row>
    <row r="1994" spans="1:4" x14ac:dyDescent="0.25">
      <c r="A1994" s="47"/>
      <c r="B1994" s="107"/>
      <c r="C1994" s="48"/>
      <c r="D1994" s="48"/>
    </row>
    <row r="1995" spans="1:4" x14ac:dyDescent="0.25">
      <c r="A1995" s="47"/>
      <c r="B1995" s="107"/>
      <c r="C1995" s="48"/>
      <c r="D1995" s="48"/>
    </row>
    <row r="1996" spans="1:4" x14ac:dyDescent="0.25">
      <c r="A1996" s="47"/>
      <c r="B1996" s="107"/>
      <c r="C1996" s="48"/>
      <c r="D1996" s="48"/>
    </row>
    <row r="1997" spans="1:4" x14ac:dyDescent="0.25">
      <c r="A1997" s="47"/>
      <c r="B1997" s="107"/>
      <c r="C1997" s="48"/>
      <c r="D1997" s="48"/>
    </row>
    <row r="1998" spans="1:4" x14ac:dyDescent="0.25">
      <c r="A1998" s="47"/>
      <c r="B1998" s="107"/>
      <c r="C1998" s="48"/>
      <c r="D1998" s="48"/>
    </row>
    <row r="1999" spans="1:4" x14ac:dyDescent="0.25">
      <c r="A1999" s="47"/>
      <c r="B1999" s="107"/>
      <c r="C1999" s="48"/>
      <c r="D1999" s="48"/>
    </row>
    <row r="2000" spans="1:4" x14ac:dyDescent="0.25">
      <c r="A2000" s="47"/>
      <c r="B2000" s="107"/>
      <c r="C2000" s="48"/>
      <c r="D2000" s="48"/>
    </row>
    <row r="2001" spans="1:4" x14ac:dyDescent="0.25">
      <c r="A2001" s="47"/>
      <c r="B2001" s="107"/>
      <c r="C2001" s="48"/>
      <c r="D2001" s="48"/>
    </row>
    <row r="2002" spans="1:4" x14ac:dyDescent="0.25">
      <c r="A2002" s="47"/>
      <c r="B2002" s="107"/>
      <c r="C2002" s="48"/>
      <c r="D2002" s="48"/>
    </row>
    <row r="2003" spans="1:4" x14ac:dyDescent="0.25">
      <c r="A2003" s="47"/>
      <c r="B2003" s="107"/>
      <c r="C2003" s="48"/>
      <c r="D2003" s="48"/>
    </row>
    <row r="2004" spans="1:4" x14ac:dyDescent="0.25">
      <c r="A2004" s="47"/>
      <c r="B2004" s="107"/>
      <c r="C2004" s="48"/>
      <c r="D2004" s="48"/>
    </row>
    <row r="2005" spans="1:4" x14ac:dyDescent="0.25">
      <c r="A2005" s="47"/>
      <c r="B2005" s="107"/>
      <c r="C2005" s="48"/>
      <c r="D2005" s="48"/>
    </row>
    <row r="2006" spans="1:4" x14ac:dyDescent="0.25">
      <c r="A2006" s="47"/>
      <c r="B2006" s="107"/>
      <c r="C2006" s="48"/>
      <c r="D2006" s="48"/>
    </row>
    <row r="2007" spans="1:4" x14ac:dyDescent="0.25">
      <c r="A2007" s="47"/>
      <c r="B2007" s="107"/>
      <c r="C2007" s="48"/>
      <c r="D2007" s="48"/>
    </row>
    <row r="2008" spans="1:4" x14ac:dyDescent="0.25">
      <c r="A2008" s="47"/>
      <c r="B2008" s="107"/>
      <c r="C2008" s="48"/>
      <c r="D2008" s="48"/>
    </row>
    <row r="2009" spans="1:4" x14ac:dyDescent="0.25">
      <c r="A2009" s="47"/>
      <c r="B2009" s="107"/>
      <c r="C2009" s="48"/>
      <c r="D2009" s="48"/>
    </row>
    <row r="2010" spans="1:4" x14ac:dyDescent="0.25">
      <c r="A2010" s="47"/>
      <c r="B2010" s="107"/>
      <c r="C2010" s="48"/>
      <c r="D2010" s="48"/>
    </row>
    <row r="2011" spans="1:4" x14ac:dyDescent="0.25">
      <c r="A2011" s="47"/>
      <c r="B2011" s="107"/>
      <c r="C2011" s="48"/>
      <c r="D2011" s="48"/>
    </row>
    <row r="2012" spans="1:4" x14ac:dyDescent="0.25">
      <c r="A2012" s="47"/>
      <c r="B2012" s="107"/>
      <c r="C2012" s="48"/>
      <c r="D2012" s="48"/>
    </row>
    <row r="2013" spans="1:4" x14ac:dyDescent="0.25">
      <c r="A2013" s="47"/>
      <c r="B2013" s="107"/>
      <c r="C2013" s="48"/>
      <c r="D2013" s="48"/>
    </row>
    <row r="2014" spans="1:4" x14ac:dyDescent="0.25">
      <c r="A2014" s="47"/>
      <c r="B2014" s="107"/>
      <c r="C2014" s="48"/>
      <c r="D2014" s="48"/>
    </row>
    <row r="2015" spans="1:4" x14ac:dyDescent="0.25">
      <c r="A2015" s="47"/>
      <c r="B2015" s="107"/>
      <c r="C2015" s="48"/>
      <c r="D2015" s="48"/>
    </row>
    <row r="2016" spans="1:4" x14ac:dyDescent="0.25">
      <c r="A2016" s="47"/>
      <c r="B2016" s="107"/>
      <c r="C2016" s="48"/>
      <c r="D2016" s="48"/>
    </row>
    <row r="2017" spans="1:4" x14ac:dyDescent="0.25">
      <c r="A2017" s="47"/>
      <c r="B2017" s="107"/>
      <c r="C2017" s="48"/>
      <c r="D2017" s="48"/>
    </row>
    <row r="2018" spans="1:4" x14ac:dyDescent="0.25">
      <c r="A2018" s="47"/>
      <c r="B2018" s="107"/>
      <c r="C2018" s="48"/>
      <c r="D2018" s="48"/>
    </row>
    <row r="2019" spans="1:4" x14ac:dyDescent="0.25">
      <c r="A2019" s="47"/>
      <c r="B2019" s="107"/>
      <c r="C2019" s="48"/>
      <c r="D2019" s="48"/>
    </row>
    <row r="2020" spans="1:4" x14ac:dyDescent="0.25">
      <c r="A2020" s="47"/>
      <c r="B2020" s="107"/>
      <c r="C2020" s="48"/>
      <c r="D2020" s="48"/>
    </row>
    <row r="2021" spans="1:4" x14ac:dyDescent="0.25">
      <c r="A2021" s="47"/>
      <c r="B2021" s="107"/>
      <c r="C2021" s="48"/>
      <c r="D2021" s="48"/>
    </row>
    <row r="2022" spans="1:4" x14ac:dyDescent="0.25">
      <c r="A2022" s="47"/>
      <c r="B2022" s="107"/>
      <c r="C2022" s="48"/>
      <c r="D2022" s="48"/>
    </row>
    <row r="2023" spans="1:4" x14ac:dyDescent="0.25">
      <c r="A2023" s="47"/>
      <c r="B2023" s="107"/>
      <c r="C2023" s="48"/>
      <c r="D2023" s="48"/>
    </row>
    <row r="2024" spans="1:4" x14ac:dyDescent="0.25">
      <c r="A2024" s="47"/>
      <c r="B2024" s="107"/>
      <c r="C2024" s="48"/>
      <c r="D2024" s="48"/>
    </row>
    <row r="2025" spans="1:4" x14ac:dyDescent="0.25">
      <c r="A2025" s="47"/>
      <c r="B2025" s="107"/>
      <c r="C2025" s="48"/>
      <c r="D2025" s="48"/>
    </row>
    <row r="2026" spans="1:4" x14ac:dyDescent="0.25">
      <c r="A2026" s="47"/>
      <c r="B2026" s="107"/>
      <c r="C2026" s="48"/>
      <c r="D2026" s="48"/>
    </row>
    <row r="2027" spans="1:4" x14ac:dyDescent="0.25">
      <c r="A2027" s="47"/>
      <c r="B2027" s="107"/>
      <c r="C2027" s="48"/>
      <c r="D2027" s="48"/>
    </row>
    <row r="2028" spans="1:4" x14ac:dyDescent="0.25">
      <c r="A2028" s="47"/>
      <c r="B2028" s="107"/>
      <c r="C2028" s="48"/>
      <c r="D2028" s="48"/>
    </row>
    <row r="2029" spans="1:4" x14ac:dyDescent="0.25">
      <c r="A2029" s="47"/>
      <c r="B2029" s="107"/>
      <c r="C2029" s="48"/>
      <c r="D2029" s="48"/>
    </row>
    <row r="2030" spans="1:4" x14ac:dyDescent="0.25">
      <c r="A2030" s="47"/>
      <c r="B2030" s="107"/>
      <c r="C2030" s="48"/>
      <c r="D2030" s="48"/>
    </row>
    <row r="2031" spans="1:4" x14ac:dyDescent="0.25">
      <c r="A2031" s="47"/>
      <c r="B2031" s="107"/>
      <c r="C2031" s="48"/>
      <c r="D2031" s="48"/>
    </row>
    <row r="2032" spans="1:4" x14ac:dyDescent="0.25">
      <c r="A2032" s="47"/>
      <c r="B2032" s="107"/>
      <c r="C2032" s="48"/>
      <c r="D2032" s="48"/>
    </row>
    <row r="2033" spans="1:4" x14ac:dyDescent="0.25">
      <c r="A2033" s="47"/>
      <c r="B2033" s="107"/>
      <c r="C2033" s="48"/>
      <c r="D2033" s="48"/>
    </row>
    <row r="2034" spans="1:4" x14ac:dyDescent="0.25">
      <c r="A2034" s="47"/>
      <c r="B2034" s="107"/>
      <c r="C2034" s="48"/>
      <c r="D2034" s="48"/>
    </row>
    <row r="2035" spans="1:4" x14ac:dyDescent="0.25">
      <c r="A2035" s="47"/>
      <c r="B2035" s="107"/>
      <c r="C2035" s="48"/>
      <c r="D2035" s="48"/>
    </row>
    <row r="2036" spans="1:4" x14ac:dyDescent="0.25">
      <c r="A2036" s="47"/>
      <c r="B2036" s="107"/>
      <c r="C2036" s="48"/>
      <c r="D2036" s="48"/>
    </row>
    <row r="2037" spans="1:4" x14ac:dyDescent="0.25">
      <c r="A2037" s="47"/>
      <c r="B2037" s="107"/>
      <c r="C2037" s="48"/>
      <c r="D2037" s="48"/>
    </row>
    <row r="2038" spans="1:4" x14ac:dyDescent="0.25">
      <c r="A2038" s="47"/>
      <c r="B2038" s="107"/>
      <c r="C2038" s="48"/>
      <c r="D2038" s="48"/>
    </row>
    <row r="2039" spans="1:4" x14ac:dyDescent="0.25">
      <c r="A2039" s="47"/>
      <c r="B2039" s="107"/>
      <c r="C2039" s="48"/>
      <c r="D2039" s="48"/>
    </row>
    <row r="2040" spans="1:4" x14ac:dyDescent="0.25">
      <c r="A2040" s="47"/>
      <c r="B2040" s="107"/>
      <c r="C2040" s="48"/>
      <c r="D2040" s="48"/>
    </row>
    <row r="2041" spans="1:4" x14ac:dyDescent="0.25">
      <c r="A2041" s="47"/>
      <c r="B2041" s="107"/>
      <c r="C2041" s="48"/>
      <c r="D2041" s="48"/>
    </row>
    <row r="2042" spans="1:4" x14ac:dyDescent="0.25">
      <c r="A2042" s="47"/>
      <c r="B2042" s="107"/>
      <c r="C2042" s="48"/>
      <c r="D2042" s="48"/>
    </row>
    <row r="2043" spans="1:4" x14ac:dyDescent="0.25">
      <c r="A2043" s="47"/>
      <c r="B2043" s="107"/>
      <c r="C2043" s="48"/>
      <c r="D2043" s="48"/>
    </row>
    <row r="2044" spans="1:4" x14ac:dyDescent="0.25">
      <c r="A2044" s="47"/>
      <c r="B2044" s="107"/>
      <c r="C2044" s="48"/>
      <c r="D2044" s="48"/>
    </row>
    <row r="2045" spans="1:4" x14ac:dyDescent="0.25">
      <c r="A2045" s="47"/>
      <c r="B2045" s="107"/>
      <c r="C2045" s="48"/>
      <c r="D2045" s="48"/>
    </row>
    <row r="2046" spans="1:4" x14ac:dyDescent="0.25">
      <c r="A2046" s="47"/>
      <c r="B2046" s="107"/>
      <c r="C2046" s="48"/>
      <c r="D2046" s="48"/>
    </row>
    <row r="2047" spans="1:4" x14ac:dyDescent="0.25">
      <c r="A2047" s="47"/>
      <c r="B2047" s="107"/>
      <c r="C2047" s="48"/>
      <c r="D2047" s="48"/>
    </row>
    <row r="2048" spans="1:4" x14ac:dyDescent="0.25">
      <c r="A2048" s="47"/>
      <c r="B2048" s="107"/>
      <c r="C2048" s="48"/>
      <c r="D2048" s="48"/>
    </row>
    <row r="2049" spans="1:4" x14ac:dyDescent="0.25">
      <c r="A2049" s="47"/>
      <c r="B2049" s="107"/>
      <c r="C2049" s="48"/>
      <c r="D2049" s="48"/>
    </row>
    <row r="2050" spans="1:4" x14ac:dyDescent="0.25">
      <c r="A2050" s="47"/>
      <c r="B2050" s="107"/>
      <c r="C2050" s="48"/>
      <c r="D2050" s="48"/>
    </row>
    <row r="2051" spans="1:4" x14ac:dyDescent="0.25">
      <c r="A2051" s="47"/>
      <c r="B2051" s="107"/>
      <c r="C2051" s="48"/>
      <c r="D2051" s="48"/>
    </row>
    <row r="2052" spans="1:4" x14ac:dyDescent="0.25">
      <c r="A2052" s="47"/>
      <c r="B2052" s="107"/>
      <c r="C2052" s="48"/>
      <c r="D2052" s="48"/>
    </row>
    <row r="2053" spans="1:4" x14ac:dyDescent="0.25">
      <c r="A2053" s="47"/>
      <c r="B2053" s="107"/>
      <c r="C2053" s="48"/>
      <c r="D2053" s="48"/>
    </row>
    <row r="2054" spans="1:4" x14ac:dyDescent="0.25">
      <c r="A2054" s="47"/>
      <c r="B2054" s="107"/>
      <c r="C2054" s="48"/>
      <c r="D2054" s="48"/>
    </row>
    <row r="2055" spans="1:4" x14ac:dyDescent="0.25">
      <c r="A2055" s="47"/>
      <c r="B2055" s="107"/>
      <c r="C2055" s="48"/>
      <c r="D2055" s="48"/>
    </row>
    <row r="2056" spans="1:4" x14ac:dyDescent="0.25">
      <c r="A2056" s="47"/>
      <c r="B2056" s="107"/>
      <c r="C2056" s="48"/>
      <c r="D2056" s="48"/>
    </row>
    <row r="2057" spans="1:4" x14ac:dyDescent="0.25">
      <c r="A2057" s="47"/>
      <c r="B2057" s="107"/>
      <c r="C2057" s="48"/>
      <c r="D2057" s="48"/>
    </row>
    <row r="2058" spans="1:4" x14ac:dyDescent="0.25">
      <c r="A2058" s="47"/>
      <c r="B2058" s="107"/>
      <c r="C2058" s="48"/>
      <c r="D2058" s="48"/>
    </row>
    <row r="2059" spans="1:4" x14ac:dyDescent="0.25">
      <c r="A2059" s="47"/>
      <c r="B2059" s="107"/>
      <c r="C2059" s="48"/>
      <c r="D2059" s="48"/>
    </row>
    <row r="2060" spans="1:4" x14ac:dyDescent="0.25">
      <c r="A2060" s="47"/>
      <c r="B2060" s="107"/>
      <c r="C2060" s="48"/>
      <c r="D2060" s="48"/>
    </row>
    <row r="2061" spans="1:4" x14ac:dyDescent="0.25">
      <c r="A2061" s="47"/>
      <c r="B2061" s="107"/>
      <c r="C2061" s="48"/>
      <c r="D2061" s="48"/>
    </row>
    <row r="2062" spans="1:4" x14ac:dyDescent="0.25">
      <c r="A2062" s="47"/>
      <c r="B2062" s="107"/>
      <c r="C2062" s="48"/>
      <c r="D2062" s="48"/>
    </row>
    <row r="2063" spans="1:4" x14ac:dyDescent="0.25">
      <c r="A2063" s="47"/>
      <c r="B2063" s="107"/>
      <c r="C2063" s="48"/>
      <c r="D2063" s="48"/>
    </row>
    <row r="2064" spans="1:4" x14ac:dyDescent="0.25">
      <c r="A2064" s="47"/>
      <c r="B2064" s="107"/>
      <c r="C2064" s="48"/>
      <c r="D2064" s="48"/>
    </row>
    <row r="2065" spans="1:4" x14ac:dyDescent="0.25">
      <c r="A2065" s="47"/>
      <c r="B2065" s="107"/>
      <c r="C2065" s="48"/>
      <c r="D2065" s="48"/>
    </row>
    <row r="2066" spans="1:4" x14ac:dyDescent="0.25">
      <c r="A2066" s="47"/>
      <c r="B2066" s="107"/>
      <c r="C2066" s="48"/>
      <c r="D2066" s="48"/>
    </row>
    <row r="2067" spans="1:4" x14ac:dyDescent="0.25">
      <c r="A2067" s="47"/>
      <c r="B2067" s="107"/>
      <c r="C2067" s="48"/>
      <c r="D2067" s="48"/>
    </row>
    <row r="2068" spans="1:4" x14ac:dyDescent="0.25">
      <c r="A2068" s="47"/>
      <c r="B2068" s="107"/>
      <c r="C2068" s="48"/>
      <c r="D2068" s="48"/>
    </row>
    <row r="2069" spans="1:4" x14ac:dyDescent="0.25">
      <c r="A2069" s="47"/>
      <c r="B2069" s="107"/>
      <c r="C2069" s="48"/>
      <c r="D2069" s="48"/>
    </row>
    <row r="2070" spans="1:4" x14ac:dyDescent="0.25">
      <c r="A2070" s="47"/>
      <c r="B2070" s="107"/>
      <c r="C2070" s="48"/>
      <c r="D2070" s="48"/>
    </row>
    <row r="2071" spans="1:4" x14ac:dyDescent="0.25">
      <c r="A2071" s="47"/>
      <c r="B2071" s="107"/>
      <c r="C2071" s="48"/>
      <c r="D2071" s="48"/>
    </row>
    <row r="2072" spans="1:4" x14ac:dyDescent="0.25">
      <c r="A2072" s="47"/>
      <c r="B2072" s="107"/>
      <c r="C2072" s="48"/>
      <c r="D2072" s="48"/>
    </row>
    <row r="2073" spans="1:4" x14ac:dyDescent="0.25">
      <c r="A2073" s="47"/>
      <c r="B2073" s="107"/>
      <c r="C2073" s="48"/>
      <c r="D2073" s="48"/>
    </row>
    <row r="2074" spans="1:4" x14ac:dyDescent="0.25">
      <c r="A2074" s="47"/>
      <c r="B2074" s="107"/>
      <c r="C2074" s="48"/>
      <c r="D2074" s="48"/>
    </row>
    <row r="2075" spans="1:4" x14ac:dyDescent="0.25">
      <c r="A2075" s="47"/>
      <c r="B2075" s="107"/>
      <c r="C2075" s="48"/>
      <c r="D2075" s="48"/>
    </row>
    <row r="2076" spans="1:4" x14ac:dyDescent="0.25">
      <c r="A2076" s="47"/>
      <c r="B2076" s="107"/>
      <c r="C2076" s="48"/>
      <c r="D2076" s="48"/>
    </row>
    <row r="2077" spans="1:4" x14ac:dyDescent="0.25">
      <c r="A2077" s="47"/>
      <c r="B2077" s="107"/>
      <c r="C2077" s="48"/>
      <c r="D2077" s="48"/>
    </row>
    <row r="2078" spans="1:4" x14ac:dyDescent="0.25">
      <c r="A2078" s="47"/>
      <c r="B2078" s="107"/>
      <c r="C2078" s="48"/>
      <c r="D2078" s="48"/>
    </row>
    <row r="2079" spans="1:4" x14ac:dyDescent="0.25">
      <c r="A2079" s="47"/>
      <c r="B2079" s="107"/>
      <c r="C2079" s="48"/>
      <c r="D2079" s="48"/>
    </row>
    <row r="2080" spans="1:4" x14ac:dyDescent="0.25">
      <c r="A2080" s="47"/>
      <c r="B2080" s="107"/>
      <c r="C2080" s="48"/>
      <c r="D2080" s="48"/>
    </row>
    <row r="2081" spans="1:4" x14ac:dyDescent="0.25">
      <c r="A2081" s="47"/>
      <c r="B2081" s="107"/>
      <c r="C2081" s="48"/>
      <c r="D2081" s="48"/>
    </row>
    <row r="2082" spans="1:4" x14ac:dyDescent="0.25">
      <c r="A2082" s="47"/>
      <c r="B2082" s="107"/>
      <c r="C2082" s="48"/>
      <c r="D2082" s="48"/>
    </row>
    <row r="2083" spans="1:4" x14ac:dyDescent="0.25">
      <c r="A2083" s="47"/>
      <c r="B2083" s="107"/>
      <c r="C2083" s="48"/>
      <c r="D2083" s="48"/>
    </row>
    <row r="2084" spans="1:4" x14ac:dyDescent="0.25">
      <c r="A2084" s="47"/>
      <c r="B2084" s="107"/>
      <c r="C2084" s="48"/>
      <c r="D2084" s="48"/>
    </row>
    <row r="2085" spans="1:4" x14ac:dyDescent="0.25">
      <c r="A2085" s="47"/>
      <c r="B2085" s="107"/>
      <c r="C2085" s="48"/>
      <c r="D2085" s="48"/>
    </row>
    <row r="2086" spans="1:4" x14ac:dyDescent="0.25">
      <c r="A2086" s="47"/>
      <c r="B2086" s="107"/>
      <c r="C2086" s="48"/>
      <c r="D2086" s="48"/>
    </row>
    <row r="2087" spans="1:4" x14ac:dyDescent="0.25">
      <c r="A2087" s="47"/>
      <c r="B2087" s="107"/>
      <c r="C2087" s="48"/>
      <c r="D2087" s="48"/>
    </row>
    <row r="2088" spans="1:4" x14ac:dyDescent="0.25">
      <c r="A2088" s="47"/>
      <c r="B2088" s="107"/>
      <c r="C2088" s="48"/>
      <c r="D2088" s="48"/>
    </row>
    <row r="2089" spans="1:4" x14ac:dyDescent="0.25">
      <c r="A2089" s="47"/>
      <c r="B2089" s="107"/>
      <c r="C2089" s="48"/>
      <c r="D2089" s="48"/>
    </row>
    <row r="2090" spans="1:4" x14ac:dyDescent="0.25">
      <c r="A2090" s="47"/>
      <c r="B2090" s="107"/>
      <c r="C2090" s="48"/>
      <c r="D2090" s="48"/>
    </row>
    <row r="2091" spans="1:4" x14ac:dyDescent="0.25">
      <c r="A2091" s="47"/>
      <c r="B2091" s="107"/>
      <c r="C2091" s="48"/>
      <c r="D2091" s="48"/>
    </row>
    <row r="2092" spans="1:4" x14ac:dyDescent="0.25">
      <c r="A2092" s="47"/>
      <c r="B2092" s="107"/>
      <c r="C2092" s="48"/>
      <c r="D2092" s="48"/>
    </row>
    <row r="2093" spans="1:4" x14ac:dyDescent="0.25">
      <c r="A2093" s="47"/>
      <c r="B2093" s="107"/>
      <c r="C2093" s="48"/>
      <c r="D2093" s="48"/>
    </row>
    <row r="2094" spans="1:4" x14ac:dyDescent="0.25">
      <c r="A2094" s="47"/>
      <c r="B2094" s="107"/>
      <c r="C2094" s="48"/>
      <c r="D2094" s="48"/>
    </row>
    <row r="2095" spans="1:4" x14ac:dyDescent="0.25">
      <c r="A2095" s="47"/>
      <c r="B2095" s="107"/>
      <c r="C2095" s="48"/>
      <c r="D2095" s="48"/>
    </row>
    <row r="2096" spans="1:4" x14ac:dyDescent="0.25">
      <c r="A2096" s="47"/>
      <c r="B2096" s="107"/>
      <c r="C2096" s="48"/>
      <c r="D2096" s="48"/>
    </row>
    <row r="2097" spans="1:4" x14ac:dyDescent="0.25">
      <c r="A2097" s="47"/>
      <c r="B2097" s="107"/>
      <c r="C2097" s="48"/>
      <c r="D2097" s="48"/>
    </row>
    <row r="2098" spans="1:4" x14ac:dyDescent="0.25">
      <c r="A2098" s="47"/>
      <c r="B2098" s="107"/>
      <c r="C2098" s="48"/>
      <c r="D2098" s="48"/>
    </row>
    <row r="2099" spans="1:4" x14ac:dyDescent="0.25">
      <c r="A2099" s="47"/>
      <c r="B2099" s="107"/>
      <c r="C2099" s="48"/>
      <c r="D2099" s="48"/>
    </row>
    <row r="2100" spans="1:4" x14ac:dyDescent="0.25">
      <c r="A2100" s="47"/>
      <c r="B2100" s="107"/>
      <c r="C2100" s="48"/>
      <c r="D2100" s="48"/>
    </row>
    <row r="2101" spans="1:4" x14ac:dyDescent="0.25">
      <c r="A2101" s="47"/>
      <c r="B2101" s="107"/>
      <c r="C2101" s="48"/>
      <c r="D2101" s="48"/>
    </row>
    <row r="2102" spans="1:4" x14ac:dyDescent="0.25">
      <c r="A2102" s="47"/>
      <c r="B2102" s="107"/>
      <c r="C2102" s="48"/>
      <c r="D2102" s="48"/>
    </row>
    <row r="2103" spans="1:4" x14ac:dyDescent="0.25">
      <c r="A2103" s="47"/>
      <c r="B2103" s="107"/>
      <c r="C2103" s="48"/>
      <c r="D2103" s="48"/>
    </row>
    <row r="2104" spans="1:4" x14ac:dyDescent="0.25">
      <c r="A2104" s="47"/>
      <c r="B2104" s="107"/>
      <c r="C2104" s="48"/>
      <c r="D2104" s="48"/>
    </row>
    <row r="2105" spans="1:4" x14ac:dyDescent="0.25">
      <c r="A2105" s="47"/>
      <c r="B2105" s="107"/>
      <c r="C2105" s="48"/>
      <c r="D2105" s="48"/>
    </row>
    <row r="2106" spans="1:4" x14ac:dyDescent="0.25">
      <c r="A2106" s="47"/>
      <c r="B2106" s="107"/>
      <c r="C2106" s="48"/>
      <c r="D2106" s="48"/>
    </row>
    <row r="2107" spans="1:4" x14ac:dyDescent="0.25">
      <c r="A2107" s="47"/>
      <c r="B2107" s="107"/>
      <c r="C2107" s="48"/>
      <c r="D2107" s="48"/>
    </row>
    <row r="2108" spans="1:4" x14ac:dyDescent="0.25">
      <c r="A2108" s="47"/>
      <c r="B2108" s="107"/>
      <c r="C2108" s="48"/>
      <c r="D2108" s="48"/>
    </row>
    <row r="2109" spans="1:4" x14ac:dyDescent="0.25">
      <c r="A2109" s="47"/>
      <c r="B2109" s="107"/>
      <c r="C2109" s="48"/>
      <c r="D2109" s="48"/>
    </row>
    <row r="2110" spans="1:4" x14ac:dyDescent="0.25">
      <c r="A2110" s="47"/>
      <c r="B2110" s="107"/>
      <c r="C2110" s="48"/>
      <c r="D2110" s="48"/>
    </row>
    <row r="2111" spans="1:4" x14ac:dyDescent="0.25">
      <c r="A2111" s="47"/>
      <c r="B2111" s="107"/>
      <c r="C2111" s="48"/>
      <c r="D2111" s="48"/>
    </row>
    <row r="2112" spans="1:4" x14ac:dyDescent="0.25">
      <c r="A2112" s="47"/>
      <c r="B2112" s="107"/>
      <c r="C2112" s="48"/>
      <c r="D2112" s="48"/>
    </row>
    <row r="2113" spans="1:4" x14ac:dyDescent="0.25">
      <c r="A2113" s="47"/>
      <c r="B2113" s="107"/>
      <c r="C2113" s="48"/>
      <c r="D2113" s="48"/>
    </row>
    <row r="2114" spans="1:4" x14ac:dyDescent="0.25">
      <c r="A2114" s="47"/>
      <c r="B2114" s="107"/>
      <c r="C2114" s="48"/>
      <c r="D2114" s="48"/>
    </row>
    <row r="2115" spans="1:4" x14ac:dyDescent="0.25">
      <c r="A2115" s="47"/>
      <c r="B2115" s="107"/>
      <c r="C2115" s="48"/>
      <c r="D2115" s="48"/>
    </row>
    <row r="2116" spans="1:4" x14ac:dyDescent="0.25">
      <c r="A2116" s="47"/>
      <c r="B2116" s="107"/>
      <c r="C2116" s="48"/>
      <c r="D2116" s="48"/>
    </row>
    <row r="2117" spans="1:4" x14ac:dyDescent="0.25">
      <c r="A2117" s="47"/>
      <c r="B2117" s="107"/>
      <c r="C2117" s="48"/>
      <c r="D2117" s="48"/>
    </row>
    <row r="2118" spans="1:4" x14ac:dyDescent="0.25">
      <c r="A2118" s="47"/>
      <c r="B2118" s="107"/>
      <c r="C2118" s="48"/>
      <c r="D2118" s="48"/>
    </row>
    <row r="2119" spans="1:4" x14ac:dyDescent="0.25">
      <c r="A2119" s="47"/>
      <c r="B2119" s="107"/>
      <c r="C2119" s="48"/>
      <c r="D2119" s="48"/>
    </row>
    <row r="2120" spans="1:4" x14ac:dyDescent="0.25">
      <c r="A2120" s="47"/>
      <c r="B2120" s="107"/>
      <c r="C2120" s="48"/>
      <c r="D2120" s="48"/>
    </row>
    <row r="2121" spans="1:4" x14ac:dyDescent="0.25">
      <c r="A2121" s="47"/>
      <c r="B2121" s="107"/>
      <c r="C2121" s="48"/>
      <c r="D2121" s="48"/>
    </row>
    <row r="2122" spans="1:4" x14ac:dyDescent="0.25">
      <c r="A2122" s="47"/>
      <c r="B2122" s="107"/>
      <c r="C2122" s="48"/>
      <c r="D2122" s="48"/>
    </row>
    <row r="2123" spans="1:4" x14ac:dyDescent="0.25">
      <c r="A2123" s="47"/>
      <c r="B2123" s="107"/>
      <c r="C2123" s="48"/>
      <c r="D2123" s="48"/>
    </row>
    <row r="2124" spans="1:4" x14ac:dyDescent="0.25">
      <c r="A2124" s="47"/>
      <c r="B2124" s="107"/>
      <c r="C2124" s="48"/>
      <c r="D2124" s="48"/>
    </row>
    <row r="2125" spans="1:4" x14ac:dyDescent="0.25">
      <c r="A2125" s="47"/>
      <c r="B2125" s="107"/>
      <c r="C2125" s="48"/>
      <c r="D2125" s="48"/>
    </row>
    <row r="2126" spans="1:4" x14ac:dyDescent="0.25">
      <c r="A2126" s="47"/>
      <c r="B2126" s="107"/>
      <c r="C2126" s="48"/>
      <c r="D2126" s="48"/>
    </row>
    <row r="2127" spans="1:4" x14ac:dyDescent="0.25">
      <c r="A2127" s="47"/>
      <c r="B2127" s="107"/>
      <c r="C2127" s="48"/>
      <c r="D2127" s="48"/>
    </row>
    <row r="2128" spans="1:4" x14ac:dyDescent="0.25">
      <c r="A2128" s="47"/>
      <c r="B2128" s="107"/>
      <c r="C2128" s="48"/>
      <c r="D2128" s="48"/>
    </row>
    <row r="2129" spans="1:4" x14ac:dyDescent="0.25">
      <c r="A2129" s="47"/>
      <c r="B2129" s="107"/>
      <c r="C2129" s="48"/>
      <c r="D2129" s="48"/>
    </row>
    <row r="2130" spans="1:4" x14ac:dyDescent="0.25">
      <c r="A2130" s="47"/>
      <c r="B2130" s="107"/>
      <c r="C2130" s="48"/>
      <c r="D2130" s="48"/>
    </row>
    <row r="2131" spans="1:4" x14ac:dyDescent="0.25">
      <c r="A2131" s="47"/>
      <c r="B2131" s="107"/>
      <c r="C2131" s="48"/>
      <c r="D2131" s="48"/>
    </row>
    <row r="2132" spans="1:4" x14ac:dyDescent="0.25">
      <c r="A2132" s="47"/>
      <c r="B2132" s="107"/>
      <c r="C2132" s="48"/>
      <c r="D2132" s="48"/>
    </row>
    <row r="2133" spans="1:4" x14ac:dyDescent="0.25">
      <c r="A2133" s="47"/>
      <c r="B2133" s="107"/>
      <c r="C2133" s="48"/>
      <c r="D2133" s="48"/>
    </row>
    <row r="2134" spans="1:4" x14ac:dyDescent="0.25">
      <c r="A2134" s="47"/>
      <c r="B2134" s="107"/>
      <c r="C2134" s="48"/>
      <c r="D2134" s="48"/>
    </row>
    <row r="2135" spans="1:4" x14ac:dyDescent="0.25">
      <c r="A2135" s="47"/>
      <c r="B2135" s="107"/>
      <c r="C2135" s="48"/>
      <c r="D2135" s="48"/>
    </row>
    <row r="2136" spans="1:4" x14ac:dyDescent="0.25">
      <c r="A2136" s="47"/>
      <c r="B2136" s="107"/>
      <c r="C2136" s="48"/>
      <c r="D2136" s="48"/>
    </row>
    <row r="2137" spans="1:4" x14ac:dyDescent="0.25">
      <c r="A2137" s="47"/>
      <c r="B2137" s="107"/>
      <c r="C2137" s="48"/>
      <c r="D2137" s="48"/>
    </row>
    <row r="2138" spans="1:4" x14ac:dyDescent="0.25">
      <c r="A2138" s="47"/>
      <c r="B2138" s="107"/>
      <c r="C2138" s="48"/>
      <c r="D2138" s="48"/>
    </row>
    <row r="2139" spans="1:4" x14ac:dyDescent="0.25">
      <c r="A2139" s="47"/>
      <c r="B2139" s="107"/>
      <c r="C2139" s="48"/>
      <c r="D2139" s="48"/>
    </row>
    <row r="2140" spans="1:4" x14ac:dyDescent="0.25">
      <c r="A2140" s="47"/>
      <c r="B2140" s="107"/>
      <c r="C2140" s="48"/>
      <c r="D2140" s="48"/>
    </row>
    <row r="2141" spans="1:4" x14ac:dyDescent="0.25">
      <c r="A2141" s="47"/>
      <c r="B2141" s="107"/>
      <c r="C2141" s="48"/>
      <c r="D2141" s="48"/>
    </row>
    <row r="2142" spans="1:4" x14ac:dyDescent="0.25">
      <c r="A2142" s="47"/>
      <c r="B2142" s="107"/>
      <c r="C2142" s="48"/>
      <c r="D2142" s="48"/>
    </row>
    <row r="2143" spans="1:4" x14ac:dyDescent="0.25">
      <c r="A2143" s="47"/>
      <c r="B2143" s="107"/>
      <c r="C2143" s="48"/>
      <c r="D2143" s="48"/>
    </row>
    <row r="2144" spans="1:4" x14ac:dyDescent="0.25">
      <c r="A2144" s="47"/>
      <c r="B2144" s="107"/>
      <c r="C2144" s="48"/>
      <c r="D2144" s="48"/>
    </row>
    <row r="2145" spans="1:4" x14ac:dyDescent="0.25">
      <c r="A2145" s="47"/>
      <c r="B2145" s="107"/>
      <c r="C2145" s="48"/>
      <c r="D2145" s="48"/>
    </row>
    <row r="2146" spans="1:4" x14ac:dyDescent="0.25">
      <c r="A2146" s="47"/>
      <c r="B2146" s="107"/>
      <c r="C2146" s="48"/>
      <c r="D2146" s="48"/>
    </row>
    <row r="2147" spans="1:4" x14ac:dyDescent="0.25">
      <c r="A2147" s="47"/>
      <c r="B2147" s="107"/>
      <c r="C2147" s="48"/>
      <c r="D2147" s="48"/>
    </row>
    <row r="2148" spans="1:4" x14ac:dyDescent="0.25">
      <c r="A2148" s="47"/>
      <c r="B2148" s="107"/>
      <c r="C2148" s="48"/>
      <c r="D2148" s="48"/>
    </row>
    <row r="2149" spans="1:4" x14ac:dyDescent="0.25">
      <c r="A2149" s="47"/>
      <c r="B2149" s="107"/>
      <c r="C2149" s="48"/>
      <c r="D2149" s="48"/>
    </row>
    <row r="2150" spans="1:4" x14ac:dyDescent="0.25">
      <c r="A2150" s="47"/>
      <c r="B2150" s="107"/>
      <c r="C2150" s="48"/>
      <c r="D2150" s="48"/>
    </row>
    <row r="2151" spans="1:4" x14ac:dyDescent="0.25">
      <c r="A2151" s="47"/>
      <c r="B2151" s="107"/>
      <c r="C2151" s="48"/>
      <c r="D2151" s="48"/>
    </row>
    <row r="2152" spans="1:4" x14ac:dyDescent="0.25">
      <c r="A2152" s="47"/>
      <c r="B2152" s="107"/>
      <c r="C2152" s="48"/>
      <c r="D2152" s="48"/>
    </row>
    <row r="2153" spans="1:4" x14ac:dyDescent="0.25">
      <c r="A2153" s="47"/>
      <c r="B2153" s="107"/>
      <c r="C2153" s="48"/>
      <c r="D2153" s="48"/>
    </row>
    <row r="2154" spans="1:4" x14ac:dyDescent="0.25">
      <c r="A2154" s="47"/>
      <c r="B2154" s="107"/>
      <c r="C2154" s="48"/>
      <c r="D2154" s="48"/>
    </row>
    <row r="2155" spans="1:4" x14ac:dyDescent="0.25">
      <c r="A2155" s="47"/>
      <c r="B2155" s="107"/>
      <c r="C2155" s="48"/>
      <c r="D2155" s="48"/>
    </row>
    <row r="2156" spans="1:4" x14ac:dyDescent="0.25">
      <c r="A2156" s="47"/>
      <c r="B2156" s="107"/>
      <c r="C2156" s="48"/>
      <c r="D2156" s="48"/>
    </row>
    <row r="2157" spans="1:4" x14ac:dyDescent="0.25">
      <c r="A2157" s="47"/>
      <c r="B2157" s="107"/>
      <c r="C2157" s="48"/>
      <c r="D2157" s="48"/>
    </row>
    <row r="2158" spans="1:4" x14ac:dyDescent="0.25">
      <c r="A2158" s="47"/>
      <c r="B2158" s="107"/>
      <c r="C2158" s="48"/>
      <c r="D2158" s="48"/>
    </row>
    <row r="2159" spans="1:4" x14ac:dyDescent="0.25">
      <c r="A2159" s="47"/>
      <c r="B2159" s="107"/>
      <c r="C2159" s="48"/>
      <c r="D2159" s="48"/>
    </row>
    <row r="2160" spans="1:4" x14ac:dyDescent="0.25">
      <c r="A2160" s="47"/>
      <c r="B2160" s="107"/>
      <c r="C2160" s="48"/>
      <c r="D2160" s="48"/>
    </row>
    <row r="2161" spans="1:4" x14ac:dyDescent="0.25">
      <c r="A2161" s="47"/>
      <c r="B2161" s="107"/>
      <c r="C2161" s="48"/>
      <c r="D2161" s="48"/>
    </row>
    <row r="2162" spans="1:4" x14ac:dyDescent="0.25">
      <c r="A2162" s="47"/>
      <c r="B2162" s="107"/>
      <c r="C2162" s="48"/>
      <c r="D2162" s="48"/>
    </row>
    <row r="2163" spans="1:4" x14ac:dyDescent="0.25">
      <c r="A2163" s="47"/>
      <c r="B2163" s="107"/>
      <c r="C2163" s="48"/>
      <c r="D2163" s="48"/>
    </row>
    <row r="2164" spans="1:4" x14ac:dyDescent="0.25">
      <c r="A2164" s="47"/>
      <c r="B2164" s="107"/>
      <c r="C2164" s="48"/>
      <c r="D2164" s="48"/>
    </row>
    <row r="2165" spans="1:4" x14ac:dyDescent="0.25">
      <c r="A2165" s="47"/>
      <c r="B2165" s="107"/>
      <c r="C2165" s="48"/>
      <c r="D2165" s="48"/>
    </row>
    <row r="2166" spans="1:4" x14ac:dyDescent="0.25">
      <c r="A2166" s="47"/>
      <c r="B2166" s="107"/>
      <c r="C2166" s="48"/>
      <c r="D2166" s="48"/>
    </row>
    <row r="2167" spans="1:4" x14ac:dyDescent="0.25">
      <c r="A2167" s="47"/>
      <c r="B2167" s="107"/>
      <c r="C2167" s="48"/>
      <c r="D2167" s="48"/>
    </row>
    <row r="2168" spans="1:4" x14ac:dyDescent="0.25">
      <c r="A2168" s="47"/>
      <c r="B2168" s="107"/>
      <c r="C2168" s="48"/>
      <c r="D2168" s="48"/>
    </row>
    <row r="2169" spans="1:4" x14ac:dyDescent="0.25">
      <c r="A2169" s="47"/>
      <c r="B2169" s="107"/>
      <c r="C2169" s="48"/>
      <c r="D2169" s="48"/>
    </row>
    <row r="2170" spans="1:4" x14ac:dyDescent="0.25">
      <c r="A2170" s="47"/>
      <c r="B2170" s="107"/>
      <c r="C2170" s="48"/>
      <c r="D2170" s="48"/>
    </row>
    <row r="2171" spans="1:4" x14ac:dyDescent="0.25">
      <c r="A2171" s="47"/>
      <c r="B2171" s="107"/>
      <c r="C2171" s="48"/>
      <c r="D2171" s="48"/>
    </row>
    <row r="2172" spans="1:4" x14ac:dyDescent="0.25">
      <c r="A2172" s="47"/>
      <c r="B2172" s="107"/>
      <c r="C2172" s="48"/>
      <c r="D2172" s="48"/>
    </row>
    <row r="2173" spans="1:4" x14ac:dyDescent="0.25">
      <c r="A2173" s="47"/>
      <c r="B2173" s="107"/>
      <c r="C2173" s="48"/>
      <c r="D2173" s="48"/>
    </row>
    <row r="2174" spans="1:4" x14ac:dyDescent="0.25">
      <c r="A2174" s="47"/>
      <c r="B2174" s="107"/>
      <c r="C2174" s="48"/>
      <c r="D2174" s="48"/>
    </row>
    <row r="2175" spans="1:4" x14ac:dyDescent="0.25">
      <c r="A2175" s="47"/>
      <c r="B2175" s="107"/>
      <c r="C2175" s="48"/>
      <c r="D2175" s="48"/>
    </row>
    <row r="2176" spans="1:4" x14ac:dyDescent="0.25">
      <c r="A2176" s="47"/>
      <c r="B2176" s="107"/>
      <c r="C2176" s="48"/>
      <c r="D2176" s="48"/>
    </row>
    <row r="2177" spans="1:4" x14ac:dyDescent="0.25">
      <c r="A2177" s="47"/>
      <c r="B2177" s="107"/>
      <c r="C2177" s="48"/>
      <c r="D2177" s="48"/>
    </row>
    <row r="2178" spans="1:4" x14ac:dyDescent="0.25">
      <c r="A2178" s="47"/>
      <c r="B2178" s="107"/>
      <c r="C2178" s="48"/>
      <c r="D2178" s="48"/>
    </row>
    <row r="2179" spans="1:4" x14ac:dyDescent="0.25">
      <c r="A2179" s="47"/>
      <c r="B2179" s="107"/>
      <c r="C2179" s="48"/>
      <c r="D2179" s="48"/>
    </row>
    <row r="2180" spans="1:4" x14ac:dyDescent="0.25">
      <c r="A2180" s="47"/>
      <c r="B2180" s="107"/>
      <c r="C2180" s="48"/>
      <c r="D2180" s="48"/>
    </row>
    <row r="2181" spans="1:4" x14ac:dyDescent="0.25">
      <c r="A2181" s="47"/>
      <c r="B2181" s="107"/>
      <c r="C2181" s="48"/>
      <c r="D2181" s="48"/>
    </row>
    <row r="2182" spans="1:4" x14ac:dyDescent="0.25">
      <c r="A2182" s="47"/>
      <c r="B2182" s="107"/>
      <c r="C2182" s="48"/>
      <c r="D2182" s="48"/>
    </row>
    <row r="2183" spans="1:4" x14ac:dyDescent="0.25">
      <c r="A2183" s="47"/>
      <c r="B2183" s="107"/>
      <c r="C2183" s="48"/>
      <c r="D2183" s="48"/>
    </row>
    <row r="2184" spans="1:4" x14ac:dyDescent="0.25">
      <c r="A2184" s="47"/>
      <c r="B2184" s="107"/>
      <c r="C2184" s="48"/>
      <c r="D2184" s="48"/>
    </row>
    <row r="2185" spans="1:4" x14ac:dyDescent="0.25">
      <c r="A2185" s="47"/>
      <c r="B2185" s="107"/>
      <c r="C2185" s="48"/>
      <c r="D2185" s="48"/>
    </row>
    <row r="2186" spans="1:4" x14ac:dyDescent="0.25">
      <c r="A2186" s="47"/>
      <c r="B2186" s="107"/>
      <c r="C2186" s="48"/>
      <c r="D2186" s="48"/>
    </row>
    <row r="2187" spans="1:4" x14ac:dyDescent="0.25">
      <c r="A2187" s="47"/>
      <c r="B2187" s="107"/>
      <c r="C2187" s="48"/>
      <c r="D2187" s="48"/>
    </row>
    <row r="2188" spans="1:4" x14ac:dyDescent="0.25">
      <c r="A2188" s="47"/>
      <c r="B2188" s="107"/>
      <c r="C2188" s="48"/>
      <c r="D2188" s="48"/>
    </row>
    <row r="2189" spans="1:4" x14ac:dyDescent="0.25">
      <c r="A2189" s="47"/>
      <c r="B2189" s="107"/>
      <c r="C2189" s="48"/>
      <c r="D2189" s="48"/>
    </row>
    <row r="2190" spans="1:4" x14ac:dyDescent="0.25">
      <c r="A2190" s="47"/>
      <c r="B2190" s="107"/>
      <c r="C2190" s="48"/>
      <c r="D2190" s="48"/>
    </row>
    <row r="2191" spans="1:4" x14ac:dyDescent="0.25">
      <c r="A2191" s="47"/>
      <c r="B2191" s="107"/>
      <c r="C2191" s="48"/>
      <c r="D2191" s="48"/>
    </row>
    <row r="2192" spans="1:4" x14ac:dyDescent="0.25">
      <c r="A2192" s="47"/>
      <c r="B2192" s="107"/>
      <c r="C2192" s="48"/>
      <c r="D2192" s="48"/>
    </row>
    <row r="2193" spans="1:4" x14ac:dyDescent="0.25">
      <c r="A2193" s="47"/>
      <c r="B2193" s="107"/>
      <c r="C2193" s="48"/>
      <c r="D2193" s="48"/>
    </row>
    <row r="2194" spans="1:4" x14ac:dyDescent="0.25">
      <c r="A2194" s="47"/>
      <c r="B2194" s="107"/>
      <c r="C2194" s="48"/>
      <c r="D2194" s="48"/>
    </row>
    <row r="2195" spans="1:4" x14ac:dyDescent="0.25">
      <c r="A2195" s="47"/>
      <c r="B2195" s="107"/>
      <c r="C2195" s="48"/>
      <c r="D2195" s="48"/>
    </row>
    <row r="2196" spans="1:4" x14ac:dyDescent="0.25">
      <c r="A2196" s="47"/>
      <c r="B2196" s="107"/>
      <c r="C2196" s="48"/>
      <c r="D2196" s="48"/>
    </row>
    <row r="2197" spans="1:4" x14ac:dyDescent="0.25">
      <c r="A2197" s="47"/>
      <c r="B2197" s="107"/>
      <c r="C2197" s="48"/>
      <c r="D2197" s="48"/>
    </row>
    <row r="2198" spans="1:4" x14ac:dyDescent="0.25">
      <c r="A2198" s="47"/>
      <c r="B2198" s="107"/>
      <c r="C2198" s="48"/>
      <c r="D2198" s="48"/>
    </row>
    <row r="2199" spans="1:4" x14ac:dyDescent="0.25">
      <c r="A2199" s="47"/>
      <c r="B2199" s="107"/>
      <c r="C2199" s="48"/>
      <c r="D2199" s="48"/>
    </row>
    <row r="2200" spans="1:4" x14ac:dyDescent="0.25">
      <c r="A2200" s="47"/>
      <c r="B2200" s="107"/>
      <c r="C2200" s="48"/>
      <c r="D2200" s="48"/>
    </row>
    <row r="2201" spans="1:4" x14ac:dyDescent="0.25">
      <c r="A2201" s="47"/>
      <c r="B2201" s="107"/>
      <c r="C2201" s="48"/>
      <c r="D2201" s="48"/>
    </row>
    <row r="2202" spans="1:4" x14ac:dyDescent="0.25">
      <c r="A2202" s="47"/>
      <c r="B2202" s="107"/>
      <c r="C2202" s="48"/>
      <c r="D2202" s="48"/>
    </row>
    <row r="2203" spans="1:4" x14ac:dyDescent="0.25">
      <c r="A2203" s="47"/>
      <c r="B2203" s="107"/>
      <c r="C2203" s="48"/>
      <c r="D2203" s="48"/>
    </row>
    <row r="2204" spans="1:4" x14ac:dyDescent="0.25">
      <c r="A2204" s="47"/>
      <c r="B2204" s="107"/>
      <c r="C2204" s="48"/>
      <c r="D2204" s="48"/>
    </row>
    <row r="2205" spans="1:4" x14ac:dyDescent="0.25">
      <c r="A2205" s="47"/>
      <c r="B2205" s="107"/>
      <c r="C2205" s="48"/>
      <c r="D2205" s="48"/>
    </row>
    <row r="2206" spans="1:4" x14ac:dyDescent="0.25">
      <c r="A2206" s="47"/>
      <c r="B2206" s="107"/>
      <c r="C2206" s="48"/>
      <c r="D2206" s="48"/>
    </row>
    <row r="2207" spans="1:4" x14ac:dyDescent="0.25">
      <c r="A2207" s="47"/>
      <c r="B2207" s="107"/>
      <c r="C2207" s="48"/>
      <c r="D2207" s="48"/>
    </row>
    <row r="2208" spans="1:4" x14ac:dyDescent="0.25">
      <c r="A2208" s="47"/>
      <c r="B2208" s="107"/>
      <c r="C2208" s="48"/>
      <c r="D2208" s="48"/>
    </row>
    <row r="2209" spans="1:4" x14ac:dyDescent="0.25">
      <c r="A2209" s="47"/>
      <c r="B2209" s="107"/>
      <c r="C2209" s="48"/>
      <c r="D2209" s="48"/>
    </row>
    <row r="2210" spans="1:4" x14ac:dyDescent="0.25">
      <c r="A2210" s="47"/>
      <c r="B2210" s="107"/>
      <c r="C2210" s="48"/>
      <c r="D2210" s="48"/>
    </row>
    <row r="2211" spans="1:4" x14ac:dyDescent="0.25">
      <c r="A2211" s="47"/>
      <c r="B2211" s="107"/>
      <c r="C2211" s="48"/>
      <c r="D2211" s="48"/>
    </row>
    <row r="2212" spans="1:4" x14ac:dyDescent="0.25">
      <c r="A2212" s="47"/>
      <c r="B2212" s="107"/>
      <c r="C2212" s="48"/>
      <c r="D2212" s="48"/>
    </row>
    <row r="2213" spans="1:4" x14ac:dyDescent="0.25">
      <c r="A2213" s="47"/>
      <c r="B2213" s="107"/>
      <c r="C2213" s="48"/>
      <c r="D2213" s="48"/>
    </row>
    <row r="2214" spans="1:4" x14ac:dyDescent="0.25">
      <c r="A2214" s="47"/>
      <c r="B2214" s="107"/>
      <c r="C2214" s="48"/>
      <c r="D2214" s="48"/>
    </row>
    <row r="2215" spans="1:4" x14ac:dyDescent="0.25">
      <c r="A2215" s="47"/>
      <c r="B2215" s="107"/>
      <c r="C2215" s="48"/>
      <c r="D2215" s="48"/>
    </row>
    <row r="2216" spans="1:4" x14ac:dyDescent="0.25">
      <c r="A2216" s="47"/>
      <c r="B2216" s="107"/>
      <c r="C2216" s="48"/>
      <c r="D2216" s="48"/>
    </row>
    <row r="2217" spans="1:4" x14ac:dyDescent="0.25">
      <c r="A2217" s="47"/>
      <c r="B2217" s="107"/>
      <c r="C2217" s="48"/>
      <c r="D2217" s="48"/>
    </row>
    <row r="2218" spans="1:4" x14ac:dyDescent="0.25">
      <c r="A2218" s="47"/>
      <c r="B2218" s="107"/>
      <c r="C2218" s="48"/>
      <c r="D2218" s="48"/>
    </row>
    <row r="2219" spans="1:4" x14ac:dyDescent="0.25">
      <c r="A2219" s="47"/>
      <c r="B2219" s="107"/>
      <c r="C2219" s="48"/>
      <c r="D2219" s="48"/>
    </row>
    <row r="2220" spans="1:4" x14ac:dyDescent="0.25">
      <c r="A2220" s="47"/>
      <c r="B2220" s="107"/>
      <c r="C2220" s="48"/>
      <c r="D2220" s="48"/>
    </row>
    <row r="2221" spans="1:4" x14ac:dyDescent="0.25">
      <c r="A2221" s="47"/>
      <c r="B2221" s="107"/>
      <c r="C2221" s="48"/>
      <c r="D2221" s="48"/>
    </row>
    <row r="2222" spans="1:4" x14ac:dyDescent="0.25">
      <c r="A2222" s="47"/>
      <c r="B2222" s="107"/>
      <c r="C2222" s="48"/>
      <c r="D2222" s="48"/>
    </row>
    <row r="2223" spans="1:4" x14ac:dyDescent="0.25">
      <c r="A2223" s="47"/>
      <c r="B2223" s="107"/>
      <c r="C2223" s="48"/>
      <c r="D2223" s="48"/>
    </row>
    <row r="2224" spans="1:4" x14ac:dyDescent="0.25">
      <c r="A2224" s="47"/>
      <c r="B2224" s="107"/>
      <c r="C2224" s="48"/>
      <c r="D2224" s="48"/>
    </row>
    <row r="2225" spans="1:4" x14ac:dyDescent="0.25">
      <c r="A2225" s="47"/>
      <c r="B2225" s="107"/>
      <c r="C2225" s="48"/>
      <c r="D2225" s="48"/>
    </row>
    <row r="2226" spans="1:4" x14ac:dyDescent="0.25">
      <c r="A2226" s="47"/>
      <c r="B2226" s="107"/>
      <c r="C2226" s="48"/>
      <c r="D2226" s="48"/>
    </row>
    <row r="2227" spans="1:4" x14ac:dyDescent="0.25">
      <c r="A2227" s="47"/>
      <c r="B2227" s="107"/>
      <c r="C2227" s="48"/>
      <c r="D2227" s="48"/>
    </row>
    <row r="2228" spans="1:4" x14ac:dyDescent="0.25">
      <c r="A2228" s="47"/>
      <c r="B2228" s="107"/>
      <c r="C2228" s="48"/>
      <c r="D2228" s="48"/>
    </row>
    <row r="2229" spans="1:4" x14ac:dyDescent="0.25">
      <c r="A2229" s="47"/>
      <c r="B2229" s="107"/>
      <c r="C2229" s="48"/>
      <c r="D2229" s="48"/>
    </row>
    <row r="2230" spans="1:4" x14ac:dyDescent="0.25">
      <c r="A2230" s="47"/>
      <c r="B2230" s="107"/>
      <c r="C2230" s="48"/>
      <c r="D2230" s="48"/>
    </row>
    <row r="2231" spans="1:4" x14ac:dyDescent="0.25">
      <c r="A2231" s="47"/>
      <c r="B2231" s="107"/>
      <c r="C2231" s="48"/>
      <c r="D2231" s="48"/>
    </row>
    <row r="2232" spans="1:4" x14ac:dyDescent="0.25">
      <c r="A2232" s="47"/>
      <c r="B2232" s="107"/>
      <c r="C2232" s="48"/>
      <c r="D2232" s="48"/>
    </row>
    <row r="2233" spans="1:4" x14ac:dyDescent="0.25">
      <c r="A2233" s="47"/>
      <c r="B2233" s="107"/>
      <c r="C2233" s="48"/>
      <c r="D2233" s="48"/>
    </row>
    <row r="2234" spans="1:4" x14ac:dyDescent="0.25">
      <c r="A2234" s="47"/>
      <c r="B2234" s="107"/>
      <c r="C2234" s="48"/>
      <c r="D2234" s="48"/>
    </row>
    <row r="2235" spans="1:4" x14ac:dyDescent="0.25">
      <c r="A2235" s="47"/>
      <c r="B2235" s="107"/>
      <c r="C2235" s="48"/>
      <c r="D2235" s="48"/>
    </row>
    <row r="2236" spans="1:4" x14ac:dyDescent="0.25">
      <c r="A2236" s="47"/>
      <c r="B2236" s="107"/>
      <c r="C2236" s="48"/>
      <c r="D2236" s="48"/>
    </row>
    <row r="2237" spans="1:4" x14ac:dyDescent="0.25">
      <c r="A2237" s="47"/>
      <c r="B2237" s="107"/>
      <c r="C2237" s="48"/>
      <c r="D2237" s="48"/>
    </row>
    <row r="2238" spans="1:4" x14ac:dyDescent="0.25">
      <c r="A2238" s="47"/>
      <c r="B2238" s="107"/>
      <c r="C2238" s="48"/>
      <c r="D2238" s="48"/>
    </row>
    <row r="2239" spans="1:4" x14ac:dyDescent="0.25">
      <c r="A2239" s="47"/>
      <c r="B2239" s="107"/>
      <c r="C2239" s="48"/>
      <c r="D2239" s="48"/>
    </row>
    <row r="2240" spans="1:4" x14ac:dyDescent="0.25">
      <c r="A2240" s="47"/>
      <c r="B2240" s="107"/>
      <c r="C2240" s="48"/>
      <c r="D2240" s="48"/>
    </row>
    <row r="2241" spans="1:4" x14ac:dyDescent="0.25">
      <c r="A2241" s="47"/>
      <c r="B2241" s="107"/>
      <c r="C2241" s="48"/>
      <c r="D2241" s="48"/>
    </row>
    <row r="2242" spans="1:4" x14ac:dyDescent="0.25">
      <c r="A2242" s="47"/>
      <c r="B2242" s="107"/>
      <c r="C2242" s="48"/>
      <c r="D2242" s="48"/>
    </row>
    <row r="2243" spans="1:4" x14ac:dyDescent="0.25">
      <c r="A2243" s="47"/>
      <c r="B2243" s="107"/>
      <c r="C2243" s="48"/>
      <c r="D2243" s="48"/>
    </row>
    <row r="2244" spans="1:4" x14ac:dyDescent="0.25">
      <c r="A2244" s="47"/>
      <c r="B2244" s="107"/>
      <c r="C2244" s="48"/>
      <c r="D2244" s="48"/>
    </row>
    <row r="2245" spans="1:4" x14ac:dyDescent="0.25">
      <c r="A2245" s="47"/>
      <c r="B2245" s="107"/>
      <c r="C2245" s="48"/>
      <c r="D2245" s="48"/>
    </row>
    <row r="2246" spans="1:4" x14ac:dyDescent="0.25">
      <c r="A2246" s="47"/>
      <c r="B2246" s="107"/>
      <c r="C2246" s="48"/>
      <c r="D2246" s="48"/>
    </row>
    <row r="2247" spans="1:4" x14ac:dyDescent="0.25">
      <c r="A2247" s="47"/>
      <c r="B2247" s="107"/>
      <c r="C2247" s="48"/>
      <c r="D2247" s="48"/>
    </row>
    <row r="2248" spans="1:4" x14ac:dyDescent="0.25">
      <c r="A2248" s="47"/>
      <c r="B2248" s="107"/>
      <c r="C2248" s="48"/>
      <c r="D2248" s="48"/>
    </row>
    <row r="2249" spans="1:4" x14ac:dyDescent="0.25">
      <c r="A2249" s="47"/>
      <c r="B2249" s="107"/>
      <c r="C2249" s="48"/>
      <c r="D2249" s="48"/>
    </row>
    <row r="2250" spans="1:4" x14ac:dyDescent="0.25">
      <c r="A2250" s="47"/>
      <c r="B2250" s="107"/>
      <c r="C2250" s="48"/>
      <c r="D2250" s="48"/>
    </row>
    <row r="2251" spans="1:4" x14ac:dyDescent="0.25">
      <c r="A2251" s="47"/>
      <c r="B2251" s="107"/>
      <c r="C2251" s="48"/>
      <c r="D2251" s="48"/>
    </row>
    <row r="2252" spans="1:4" x14ac:dyDescent="0.25">
      <c r="A2252" s="47"/>
      <c r="B2252" s="107"/>
      <c r="C2252" s="48"/>
      <c r="D2252" s="48"/>
    </row>
    <row r="2253" spans="1:4" x14ac:dyDescent="0.25">
      <c r="A2253" s="47"/>
      <c r="B2253" s="107"/>
      <c r="C2253" s="48"/>
      <c r="D2253" s="48"/>
    </row>
    <row r="2254" spans="1:4" x14ac:dyDescent="0.25">
      <c r="A2254" s="47"/>
      <c r="B2254" s="107"/>
      <c r="C2254" s="48"/>
      <c r="D2254" s="48"/>
    </row>
    <row r="2255" spans="1:4" x14ac:dyDescent="0.25">
      <c r="A2255" s="47"/>
      <c r="B2255" s="107"/>
      <c r="C2255" s="48"/>
      <c r="D2255" s="48"/>
    </row>
    <row r="2256" spans="1:4" x14ac:dyDescent="0.25">
      <c r="A2256" s="47"/>
      <c r="B2256" s="107"/>
      <c r="C2256" s="48"/>
      <c r="D2256" s="48"/>
    </row>
    <row r="2257" spans="1:4" x14ac:dyDescent="0.25">
      <c r="A2257" s="47"/>
      <c r="B2257" s="107"/>
      <c r="C2257" s="48"/>
      <c r="D2257" s="48"/>
    </row>
    <row r="2258" spans="1:4" x14ac:dyDescent="0.25">
      <c r="A2258" s="47"/>
      <c r="B2258" s="107"/>
      <c r="C2258" s="48"/>
      <c r="D2258" s="48"/>
    </row>
    <row r="2259" spans="1:4" x14ac:dyDescent="0.25">
      <c r="A2259" s="47"/>
      <c r="B2259" s="107"/>
      <c r="C2259" s="48"/>
      <c r="D2259" s="48"/>
    </row>
    <row r="2260" spans="1:4" x14ac:dyDescent="0.25">
      <c r="A2260" s="47"/>
      <c r="B2260" s="107"/>
      <c r="C2260" s="48"/>
      <c r="D2260" s="48"/>
    </row>
    <row r="2261" spans="1:4" x14ac:dyDescent="0.25">
      <c r="A2261" s="47"/>
      <c r="B2261" s="107"/>
      <c r="C2261" s="48"/>
      <c r="D2261" s="48"/>
    </row>
    <row r="2262" spans="1:4" x14ac:dyDescent="0.25">
      <c r="A2262" s="47"/>
      <c r="B2262" s="107"/>
      <c r="C2262" s="48"/>
      <c r="D2262" s="48"/>
    </row>
    <row r="2263" spans="1:4" x14ac:dyDescent="0.25">
      <c r="A2263" s="47"/>
      <c r="B2263" s="107"/>
      <c r="C2263" s="48"/>
      <c r="D2263" s="48"/>
    </row>
    <row r="2264" spans="1:4" x14ac:dyDescent="0.25">
      <c r="A2264" s="47"/>
      <c r="B2264" s="107"/>
      <c r="C2264" s="48"/>
      <c r="D2264" s="48"/>
    </row>
    <row r="2265" spans="1:4" x14ac:dyDescent="0.25">
      <c r="A2265" s="47"/>
      <c r="B2265" s="107"/>
      <c r="C2265" s="48"/>
      <c r="D2265" s="48"/>
    </row>
    <row r="2266" spans="1:4" x14ac:dyDescent="0.25">
      <c r="A2266" s="47"/>
      <c r="B2266" s="107"/>
      <c r="C2266" s="48"/>
      <c r="D2266" s="48"/>
    </row>
    <row r="2267" spans="1:4" x14ac:dyDescent="0.25">
      <c r="A2267" s="47"/>
      <c r="B2267" s="107"/>
      <c r="C2267" s="48"/>
      <c r="D2267" s="48"/>
    </row>
    <row r="2268" spans="1:4" x14ac:dyDescent="0.25">
      <c r="A2268" s="47"/>
      <c r="B2268" s="107"/>
      <c r="C2268" s="48"/>
      <c r="D2268" s="48"/>
    </row>
    <row r="2269" spans="1:4" x14ac:dyDescent="0.25">
      <c r="A2269" s="47"/>
      <c r="B2269" s="107"/>
      <c r="C2269" s="48"/>
      <c r="D2269" s="48"/>
    </row>
    <row r="2270" spans="1:4" x14ac:dyDescent="0.25">
      <c r="A2270" s="47"/>
      <c r="B2270" s="107"/>
      <c r="C2270" s="48"/>
      <c r="D2270" s="48"/>
    </row>
    <row r="2271" spans="1:4" x14ac:dyDescent="0.25">
      <c r="A2271" s="47"/>
      <c r="B2271" s="107"/>
      <c r="C2271" s="48"/>
      <c r="D2271" s="48"/>
    </row>
    <row r="2272" spans="1:4" x14ac:dyDescent="0.25">
      <c r="A2272" s="47"/>
      <c r="B2272" s="107"/>
      <c r="C2272" s="48"/>
      <c r="D2272" s="48"/>
    </row>
    <row r="2273" spans="1:4" x14ac:dyDescent="0.25">
      <c r="A2273" s="47"/>
      <c r="B2273" s="107"/>
      <c r="C2273" s="48"/>
      <c r="D2273" s="48"/>
    </row>
    <row r="2274" spans="1:4" x14ac:dyDescent="0.25">
      <c r="A2274" s="47"/>
      <c r="B2274" s="107"/>
      <c r="C2274" s="48"/>
      <c r="D2274" s="48"/>
    </row>
    <row r="2275" spans="1:4" x14ac:dyDescent="0.25">
      <c r="A2275" s="47"/>
      <c r="B2275" s="107"/>
      <c r="C2275" s="48"/>
      <c r="D2275" s="48"/>
    </row>
    <row r="2276" spans="1:4" x14ac:dyDescent="0.25">
      <c r="A2276" s="47"/>
      <c r="B2276" s="107"/>
      <c r="C2276" s="48"/>
      <c r="D2276" s="48"/>
    </row>
    <row r="2277" spans="1:4" x14ac:dyDescent="0.25">
      <c r="A2277" s="47"/>
      <c r="B2277" s="107"/>
      <c r="C2277" s="48"/>
      <c r="D2277" s="48"/>
    </row>
    <row r="2278" spans="1:4" x14ac:dyDescent="0.25">
      <c r="A2278" s="47"/>
      <c r="B2278" s="107"/>
      <c r="C2278" s="48"/>
      <c r="D2278" s="48"/>
    </row>
    <row r="2279" spans="1:4" x14ac:dyDescent="0.25">
      <c r="A2279" s="47"/>
      <c r="B2279" s="107"/>
      <c r="C2279" s="48"/>
      <c r="D2279" s="48"/>
    </row>
    <row r="2280" spans="1:4" x14ac:dyDescent="0.25">
      <c r="A2280" s="47"/>
      <c r="B2280" s="107"/>
      <c r="C2280" s="48"/>
      <c r="D2280" s="48"/>
    </row>
    <row r="2281" spans="1:4" x14ac:dyDescent="0.25">
      <c r="A2281" s="47"/>
      <c r="B2281" s="107"/>
      <c r="C2281" s="48"/>
      <c r="D2281" s="48"/>
    </row>
    <row r="2282" spans="1:4" x14ac:dyDescent="0.25">
      <c r="A2282" s="47"/>
      <c r="B2282" s="107"/>
      <c r="C2282" s="48"/>
      <c r="D2282" s="48"/>
    </row>
    <row r="2283" spans="1:4" x14ac:dyDescent="0.25">
      <c r="A2283" s="47"/>
      <c r="B2283" s="107"/>
      <c r="C2283" s="48"/>
      <c r="D2283" s="48"/>
    </row>
    <row r="2284" spans="1:4" x14ac:dyDescent="0.25">
      <c r="A2284" s="47"/>
      <c r="B2284" s="107"/>
      <c r="C2284" s="48"/>
      <c r="D2284" s="48"/>
    </row>
    <row r="2285" spans="1:4" x14ac:dyDescent="0.25">
      <c r="A2285" s="47"/>
      <c r="B2285" s="107"/>
      <c r="C2285" s="48"/>
      <c r="D2285" s="48"/>
    </row>
    <row r="2286" spans="1:4" x14ac:dyDescent="0.25">
      <c r="A2286" s="47"/>
      <c r="B2286" s="107"/>
      <c r="C2286" s="48"/>
      <c r="D2286" s="48"/>
    </row>
    <row r="2287" spans="1:4" x14ac:dyDescent="0.25">
      <c r="A2287" s="47"/>
      <c r="B2287" s="107"/>
      <c r="C2287" s="48"/>
      <c r="D2287" s="48"/>
    </row>
    <row r="2288" spans="1:4" x14ac:dyDescent="0.25">
      <c r="A2288" s="47"/>
      <c r="B2288" s="107"/>
      <c r="C2288" s="48"/>
      <c r="D2288" s="48"/>
    </row>
    <row r="2289" spans="1:4" x14ac:dyDescent="0.25">
      <c r="A2289" s="47"/>
      <c r="B2289" s="107"/>
      <c r="C2289" s="48"/>
      <c r="D2289" s="48"/>
    </row>
    <row r="2290" spans="1:4" x14ac:dyDescent="0.25">
      <c r="A2290" s="47"/>
      <c r="B2290" s="107"/>
      <c r="C2290" s="48"/>
      <c r="D2290" s="48"/>
    </row>
    <row r="2291" spans="1:4" x14ac:dyDescent="0.25">
      <c r="A2291" s="47"/>
      <c r="B2291" s="107"/>
      <c r="C2291" s="48"/>
      <c r="D2291" s="48"/>
    </row>
    <row r="2292" spans="1:4" x14ac:dyDescent="0.25">
      <c r="A2292" s="47"/>
      <c r="B2292" s="107"/>
      <c r="C2292" s="48"/>
      <c r="D2292" s="48"/>
    </row>
    <row r="2293" spans="1:4" x14ac:dyDescent="0.25">
      <c r="A2293" s="47"/>
      <c r="B2293" s="107"/>
      <c r="C2293" s="48"/>
      <c r="D2293" s="48"/>
    </row>
    <row r="2294" spans="1:4" x14ac:dyDescent="0.25">
      <c r="A2294" s="47"/>
      <c r="B2294" s="107"/>
      <c r="C2294" s="48"/>
      <c r="D2294" s="48"/>
    </row>
    <row r="2295" spans="1:4" x14ac:dyDescent="0.25">
      <c r="A2295" s="47"/>
      <c r="B2295" s="107"/>
      <c r="C2295" s="48"/>
      <c r="D2295" s="48"/>
    </row>
    <row r="2296" spans="1:4" x14ac:dyDescent="0.25">
      <c r="A2296" s="47"/>
      <c r="B2296" s="107"/>
      <c r="C2296" s="48"/>
      <c r="D2296" s="48"/>
    </row>
    <row r="2297" spans="1:4" x14ac:dyDescent="0.25">
      <c r="A2297" s="47"/>
      <c r="B2297" s="107"/>
      <c r="C2297" s="48"/>
      <c r="D2297" s="48"/>
    </row>
    <row r="2298" spans="1:4" x14ac:dyDescent="0.25">
      <c r="A2298" s="47"/>
      <c r="B2298" s="107"/>
      <c r="C2298" s="48"/>
      <c r="D2298" s="48"/>
    </row>
    <row r="2299" spans="1:4" x14ac:dyDescent="0.25">
      <c r="A2299" s="47"/>
      <c r="B2299" s="107"/>
      <c r="C2299" s="48"/>
      <c r="D2299" s="48"/>
    </row>
    <row r="2300" spans="1:4" x14ac:dyDescent="0.25">
      <c r="A2300" s="47"/>
      <c r="B2300" s="107"/>
      <c r="C2300" s="48"/>
      <c r="D2300" s="48"/>
    </row>
    <row r="2301" spans="1:4" x14ac:dyDescent="0.25">
      <c r="A2301" s="47"/>
      <c r="B2301" s="107"/>
      <c r="C2301" s="48"/>
      <c r="D2301" s="48"/>
    </row>
    <row r="2302" spans="1:4" x14ac:dyDescent="0.25">
      <c r="A2302" s="47"/>
      <c r="B2302" s="107"/>
      <c r="C2302" s="48"/>
      <c r="D2302" s="48"/>
    </row>
    <row r="2303" spans="1:4" x14ac:dyDescent="0.25">
      <c r="A2303" s="47"/>
      <c r="B2303" s="107"/>
      <c r="C2303" s="48"/>
      <c r="D2303" s="48"/>
    </row>
    <row r="2304" spans="1:4" x14ac:dyDescent="0.25">
      <c r="A2304" s="47"/>
      <c r="B2304" s="107"/>
      <c r="C2304" s="48"/>
      <c r="D2304" s="48"/>
    </row>
    <row r="2305" spans="1:4" x14ac:dyDescent="0.25">
      <c r="A2305" s="47"/>
      <c r="B2305" s="107"/>
      <c r="C2305" s="48"/>
      <c r="D2305" s="48"/>
    </row>
    <row r="2306" spans="1:4" x14ac:dyDescent="0.25">
      <c r="A2306" s="47"/>
      <c r="B2306" s="107"/>
      <c r="C2306" s="48"/>
      <c r="D2306" s="48"/>
    </row>
    <row r="2307" spans="1:4" x14ac:dyDescent="0.25">
      <c r="A2307" s="47"/>
      <c r="B2307" s="107"/>
      <c r="C2307" s="48"/>
      <c r="D2307" s="48"/>
    </row>
    <row r="2308" spans="1:4" x14ac:dyDescent="0.25">
      <c r="A2308" s="47"/>
      <c r="B2308" s="107"/>
      <c r="C2308" s="48"/>
      <c r="D2308" s="48"/>
    </row>
    <row r="2309" spans="1:4" x14ac:dyDescent="0.25">
      <c r="A2309" s="47"/>
      <c r="B2309" s="107"/>
      <c r="C2309" s="48"/>
      <c r="D2309" s="48"/>
    </row>
    <row r="2310" spans="1:4" x14ac:dyDescent="0.25">
      <c r="A2310" s="47"/>
      <c r="B2310" s="107"/>
      <c r="C2310" s="48"/>
      <c r="D2310" s="48"/>
    </row>
    <row r="2311" spans="1:4" x14ac:dyDescent="0.25">
      <c r="A2311" s="47"/>
      <c r="B2311" s="107"/>
      <c r="C2311" s="48"/>
      <c r="D2311" s="48"/>
    </row>
    <row r="2312" spans="1:4" x14ac:dyDescent="0.25">
      <c r="A2312" s="47"/>
      <c r="B2312" s="107"/>
      <c r="C2312" s="48"/>
      <c r="D2312" s="48"/>
    </row>
    <row r="2313" spans="1:4" x14ac:dyDescent="0.25">
      <c r="A2313" s="47"/>
      <c r="B2313" s="107"/>
      <c r="C2313" s="48"/>
      <c r="D2313" s="48"/>
    </row>
    <row r="2314" spans="1:4" x14ac:dyDescent="0.25">
      <c r="A2314" s="47"/>
      <c r="B2314" s="107"/>
      <c r="C2314" s="48"/>
      <c r="D2314" s="48"/>
    </row>
    <row r="2315" spans="1:4" x14ac:dyDescent="0.25">
      <c r="A2315" s="47"/>
      <c r="B2315" s="107"/>
      <c r="C2315" s="48"/>
      <c r="D2315" s="48"/>
    </row>
    <row r="2316" spans="1:4" x14ac:dyDescent="0.25">
      <c r="A2316" s="47"/>
      <c r="B2316" s="107"/>
      <c r="C2316" s="48"/>
      <c r="D2316" s="48"/>
    </row>
    <row r="2317" spans="1:4" x14ac:dyDescent="0.25">
      <c r="A2317" s="47"/>
      <c r="B2317" s="107"/>
      <c r="C2317" s="48"/>
      <c r="D2317" s="48"/>
    </row>
    <row r="2318" spans="1:4" x14ac:dyDescent="0.25">
      <c r="A2318" s="47"/>
      <c r="B2318" s="107"/>
      <c r="C2318" s="48"/>
      <c r="D2318" s="48"/>
    </row>
    <row r="2319" spans="1:4" x14ac:dyDescent="0.25">
      <c r="A2319" s="47"/>
      <c r="B2319" s="107"/>
      <c r="C2319" s="48"/>
      <c r="D2319" s="48"/>
    </row>
    <row r="2320" spans="1:4" x14ac:dyDescent="0.25">
      <c r="A2320" s="47"/>
      <c r="B2320" s="107"/>
      <c r="C2320" s="48"/>
      <c r="D2320" s="48"/>
    </row>
    <row r="2321" spans="1:4" x14ac:dyDescent="0.25">
      <c r="A2321" s="47"/>
      <c r="B2321" s="107"/>
      <c r="C2321" s="48"/>
      <c r="D2321" s="48"/>
    </row>
    <row r="2322" spans="1:4" x14ac:dyDescent="0.25">
      <c r="A2322" s="47"/>
      <c r="B2322" s="107"/>
      <c r="C2322" s="48"/>
      <c r="D2322" s="48"/>
    </row>
    <row r="2323" spans="1:4" x14ac:dyDescent="0.25">
      <c r="A2323" s="47"/>
      <c r="B2323" s="107"/>
      <c r="C2323" s="48"/>
      <c r="D2323" s="48"/>
    </row>
    <row r="2324" spans="1:4" x14ac:dyDescent="0.25">
      <c r="A2324" s="47"/>
      <c r="B2324" s="107"/>
      <c r="C2324" s="48"/>
      <c r="D2324" s="48"/>
    </row>
    <row r="2325" spans="1:4" x14ac:dyDescent="0.25">
      <c r="A2325" s="47"/>
      <c r="B2325" s="107"/>
      <c r="C2325" s="48"/>
      <c r="D2325" s="48"/>
    </row>
    <row r="2326" spans="1:4" x14ac:dyDescent="0.25">
      <c r="A2326" s="47"/>
      <c r="B2326" s="107"/>
      <c r="C2326" s="48"/>
      <c r="D2326" s="48"/>
    </row>
    <row r="2327" spans="1:4" x14ac:dyDescent="0.25">
      <c r="A2327" s="47"/>
      <c r="B2327" s="107"/>
      <c r="C2327" s="48"/>
      <c r="D2327" s="48"/>
    </row>
    <row r="2328" spans="1:4" x14ac:dyDescent="0.25">
      <c r="A2328" s="47"/>
      <c r="B2328" s="107"/>
      <c r="C2328" s="48"/>
      <c r="D2328" s="48"/>
    </row>
    <row r="2329" spans="1:4" x14ac:dyDescent="0.25">
      <c r="A2329" s="47"/>
      <c r="B2329" s="107"/>
      <c r="C2329" s="48"/>
      <c r="D2329" s="48"/>
    </row>
    <row r="2330" spans="1:4" x14ac:dyDescent="0.25">
      <c r="A2330" s="47"/>
      <c r="B2330" s="107"/>
      <c r="C2330" s="48"/>
      <c r="D2330" s="48"/>
    </row>
    <row r="2331" spans="1:4" x14ac:dyDescent="0.25">
      <c r="A2331" s="47"/>
      <c r="B2331" s="107"/>
      <c r="C2331" s="48"/>
      <c r="D2331" s="48"/>
    </row>
    <row r="2332" spans="1:4" x14ac:dyDescent="0.25">
      <c r="A2332" s="47"/>
      <c r="B2332" s="107"/>
      <c r="C2332" s="48"/>
      <c r="D2332" s="48"/>
    </row>
    <row r="2333" spans="1:4" x14ac:dyDescent="0.25">
      <c r="A2333" s="47"/>
      <c r="B2333" s="107"/>
      <c r="C2333" s="48"/>
      <c r="D2333" s="48"/>
    </row>
    <row r="2334" spans="1:4" x14ac:dyDescent="0.25">
      <c r="A2334" s="47"/>
      <c r="B2334" s="107"/>
      <c r="C2334" s="48"/>
      <c r="D2334" s="48"/>
    </row>
    <row r="2335" spans="1:4" x14ac:dyDescent="0.25">
      <c r="A2335" s="47"/>
      <c r="B2335" s="107"/>
      <c r="C2335" s="48"/>
      <c r="D2335" s="48"/>
    </row>
    <row r="2336" spans="1:4" x14ac:dyDescent="0.25">
      <c r="A2336" s="47"/>
      <c r="B2336" s="107"/>
      <c r="C2336" s="48"/>
      <c r="D2336" s="48"/>
    </row>
    <row r="2337" spans="1:4" x14ac:dyDescent="0.25">
      <c r="A2337" s="47"/>
      <c r="B2337" s="107"/>
      <c r="C2337" s="48"/>
      <c r="D2337" s="48"/>
    </row>
    <row r="2338" spans="1:4" x14ac:dyDescent="0.25">
      <c r="A2338" s="47"/>
      <c r="B2338" s="107"/>
      <c r="C2338" s="48"/>
      <c r="D2338" s="48"/>
    </row>
    <row r="2339" spans="1:4" x14ac:dyDescent="0.25">
      <c r="A2339" s="47"/>
      <c r="B2339" s="107"/>
      <c r="C2339" s="48"/>
      <c r="D2339" s="48"/>
    </row>
    <row r="2340" spans="1:4" x14ac:dyDescent="0.25">
      <c r="A2340" s="47"/>
      <c r="B2340" s="107"/>
      <c r="C2340" s="48"/>
      <c r="D2340" s="48"/>
    </row>
    <row r="2341" spans="1:4" x14ac:dyDescent="0.25">
      <c r="A2341" s="47"/>
      <c r="B2341" s="107"/>
      <c r="C2341" s="48"/>
      <c r="D2341" s="48"/>
    </row>
    <row r="2342" spans="1:4" x14ac:dyDescent="0.25">
      <c r="A2342" s="47"/>
      <c r="B2342" s="107"/>
      <c r="C2342" s="48"/>
      <c r="D2342" s="48"/>
    </row>
    <row r="2343" spans="1:4" x14ac:dyDescent="0.25">
      <c r="A2343" s="47"/>
      <c r="B2343" s="107"/>
      <c r="C2343" s="48"/>
      <c r="D2343" s="48"/>
    </row>
    <row r="2344" spans="1:4" x14ac:dyDescent="0.25">
      <c r="A2344" s="47"/>
      <c r="B2344" s="107"/>
      <c r="C2344" s="48"/>
      <c r="D2344" s="48"/>
    </row>
    <row r="2345" spans="1:4" x14ac:dyDescent="0.25">
      <c r="A2345" s="47"/>
      <c r="B2345" s="107"/>
      <c r="C2345" s="48"/>
      <c r="D2345" s="48"/>
    </row>
    <row r="2346" spans="1:4" x14ac:dyDescent="0.25">
      <c r="A2346" s="47"/>
      <c r="B2346" s="107"/>
      <c r="C2346" s="48"/>
      <c r="D2346" s="48"/>
    </row>
    <row r="2347" spans="1:4" x14ac:dyDescent="0.25">
      <c r="A2347" s="47"/>
      <c r="B2347" s="107"/>
      <c r="C2347" s="48"/>
      <c r="D2347" s="48"/>
    </row>
    <row r="2348" spans="1:4" x14ac:dyDescent="0.25">
      <c r="A2348" s="47"/>
      <c r="B2348" s="107"/>
      <c r="C2348" s="48"/>
      <c r="D2348" s="48"/>
    </row>
    <row r="2349" spans="1:4" x14ac:dyDescent="0.25">
      <c r="A2349" s="47"/>
      <c r="B2349" s="107"/>
      <c r="C2349" s="48"/>
      <c r="D2349" s="48"/>
    </row>
    <row r="2350" spans="1:4" x14ac:dyDescent="0.25">
      <c r="A2350" s="47"/>
      <c r="B2350" s="107"/>
      <c r="C2350" s="48"/>
      <c r="D2350" s="48"/>
    </row>
    <row r="2351" spans="1:4" x14ac:dyDescent="0.25">
      <c r="A2351" s="47"/>
      <c r="B2351" s="107"/>
      <c r="C2351" s="48"/>
      <c r="D2351" s="48"/>
    </row>
    <row r="2352" spans="1:4" x14ac:dyDescent="0.25">
      <c r="A2352" s="47"/>
      <c r="B2352" s="107"/>
      <c r="C2352" s="48"/>
      <c r="D2352" s="48"/>
    </row>
    <row r="2353" spans="1:4" x14ac:dyDescent="0.25">
      <c r="A2353" s="47"/>
      <c r="B2353" s="107"/>
      <c r="C2353" s="48"/>
      <c r="D2353" s="48"/>
    </row>
    <row r="2354" spans="1:4" x14ac:dyDescent="0.25">
      <c r="A2354" s="47"/>
      <c r="B2354" s="107"/>
      <c r="C2354" s="48"/>
      <c r="D2354" s="48"/>
    </row>
    <row r="2355" spans="1:4" x14ac:dyDescent="0.25">
      <c r="A2355" s="47"/>
      <c r="B2355" s="107"/>
      <c r="C2355" s="48"/>
      <c r="D2355" s="48"/>
    </row>
    <row r="2356" spans="1:4" x14ac:dyDescent="0.25">
      <c r="A2356" s="47"/>
      <c r="B2356" s="107"/>
      <c r="C2356" s="48"/>
      <c r="D2356" s="48"/>
    </row>
    <row r="2357" spans="1:4" x14ac:dyDescent="0.25">
      <c r="A2357" s="47"/>
      <c r="B2357" s="107"/>
      <c r="C2357" s="48"/>
      <c r="D2357" s="48"/>
    </row>
    <row r="2358" spans="1:4" x14ac:dyDescent="0.25">
      <c r="A2358" s="47"/>
      <c r="B2358" s="107"/>
      <c r="C2358" s="48"/>
      <c r="D2358" s="48"/>
    </row>
    <row r="2359" spans="1:4" x14ac:dyDescent="0.25">
      <c r="A2359" s="47"/>
      <c r="B2359" s="107"/>
      <c r="C2359" s="48"/>
      <c r="D2359" s="48"/>
    </row>
    <row r="2360" spans="1:4" x14ac:dyDescent="0.25">
      <c r="A2360" s="47"/>
      <c r="B2360" s="107"/>
      <c r="C2360" s="48"/>
      <c r="D2360" s="48"/>
    </row>
    <row r="2361" spans="1:4" x14ac:dyDescent="0.25">
      <c r="A2361" s="47"/>
      <c r="B2361" s="107"/>
      <c r="C2361" s="48"/>
      <c r="D2361" s="48"/>
    </row>
    <row r="2362" spans="1:4" x14ac:dyDescent="0.25">
      <c r="A2362" s="47"/>
      <c r="B2362" s="107"/>
      <c r="C2362" s="48"/>
      <c r="D2362" s="48"/>
    </row>
    <row r="2363" spans="1:4" x14ac:dyDescent="0.25">
      <c r="A2363" s="47"/>
      <c r="B2363" s="107"/>
      <c r="C2363" s="48"/>
      <c r="D2363" s="48"/>
    </row>
    <row r="2364" spans="1:4" x14ac:dyDescent="0.25">
      <c r="A2364" s="47"/>
      <c r="B2364" s="107"/>
      <c r="C2364" s="48"/>
      <c r="D2364" s="48"/>
    </row>
    <row r="2365" spans="1:4" x14ac:dyDescent="0.25">
      <c r="A2365" s="47"/>
      <c r="B2365" s="107"/>
      <c r="C2365" s="48"/>
      <c r="D2365" s="48"/>
    </row>
    <row r="2366" spans="1:4" x14ac:dyDescent="0.25">
      <c r="A2366" s="47"/>
      <c r="B2366" s="107"/>
      <c r="C2366" s="48"/>
      <c r="D2366" s="48"/>
    </row>
    <row r="2367" spans="1:4" x14ac:dyDescent="0.25">
      <c r="A2367" s="47"/>
      <c r="B2367" s="107"/>
      <c r="C2367" s="48"/>
      <c r="D2367" s="48"/>
    </row>
    <row r="2368" spans="1:4" x14ac:dyDescent="0.25">
      <c r="A2368" s="47"/>
      <c r="B2368" s="107"/>
      <c r="C2368" s="48"/>
      <c r="D2368" s="48"/>
    </row>
    <row r="2369" spans="1:4" x14ac:dyDescent="0.25">
      <c r="A2369" s="47"/>
      <c r="B2369" s="107"/>
      <c r="C2369" s="48"/>
      <c r="D2369" s="48"/>
    </row>
    <row r="2370" spans="1:4" x14ac:dyDescent="0.25">
      <c r="A2370" s="47"/>
      <c r="B2370" s="107"/>
      <c r="C2370" s="48"/>
      <c r="D2370" s="48"/>
    </row>
    <row r="2371" spans="1:4" x14ac:dyDescent="0.25">
      <c r="A2371" s="47"/>
      <c r="B2371" s="107"/>
      <c r="C2371" s="48"/>
      <c r="D2371" s="48"/>
    </row>
    <row r="2372" spans="1:4" x14ac:dyDescent="0.25">
      <c r="A2372" s="47"/>
      <c r="B2372" s="107"/>
      <c r="C2372" s="48"/>
      <c r="D2372" s="48"/>
    </row>
    <row r="2373" spans="1:4" x14ac:dyDescent="0.25">
      <c r="A2373" s="47"/>
      <c r="B2373" s="107"/>
      <c r="C2373" s="48"/>
      <c r="D2373" s="48"/>
    </row>
    <row r="2374" spans="1:4" x14ac:dyDescent="0.25">
      <c r="A2374" s="47"/>
      <c r="B2374" s="107"/>
      <c r="C2374" s="48"/>
      <c r="D2374" s="48"/>
    </row>
    <row r="2375" spans="1:4" x14ac:dyDescent="0.25">
      <c r="A2375" s="47"/>
      <c r="B2375" s="107"/>
      <c r="C2375" s="48"/>
      <c r="D2375" s="48"/>
    </row>
    <row r="2376" spans="1:4" x14ac:dyDescent="0.25">
      <c r="A2376" s="47"/>
      <c r="B2376" s="107"/>
      <c r="C2376" s="48"/>
      <c r="D2376" s="48"/>
    </row>
    <row r="2377" spans="1:4" x14ac:dyDescent="0.25">
      <c r="A2377" s="47"/>
      <c r="B2377" s="107"/>
      <c r="C2377" s="48"/>
      <c r="D2377" s="48"/>
    </row>
    <row r="2378" spans="1:4" x14ac:dyDescent="0.25">
      <c r="A2378" s="47"/>
      <c r="B2378" s="107"/>
      <c r="C2378" s="48"/>
      <c r="D2378" s="48"/>
    </row>
    <row r="2379" spans="1:4" x14ac:dyDescent="0.25">
      <c r="A2379" s="47"/>
      <c r="B2379" s="107"/>
      <c r="C2379" s="48"/>
      <c r="D2379" s="48"/>
    </row>
    <row r="2380" spans="1:4" x14ac:dyDescent="0.25">
      <c r="A2380" s="47"/>
      <c r="B2380" s="107"/>
      <c r="C2380" s="48"/>
      <c r="D2380" s="48"/>
    </row>
    <row r="2381" spans="1:4" x14ac:dyDescent="0.25">
      <c r="A2381" s="47"/>
      <c r="B2381" s="107"/>
      <c r="C2381" s="48"/>
      <c r="D2381" s="48"/>
    </row>
    <row r="2382" spans="1:4" x14ac:dyDescent="0.25">
      <c r="A2382" s="47"/>
      <c r="B2382" s="107"/>
      <c r="C2382" s="48"/>
      <c r="D2382" s="48"/>
    </row>
    <row r="2383" spans="1:4" x14ac:dyDescent="0.25">
      <c r="A2383" s="47"/>
      <c r="B2383" s="107"/>
      <c r="C2383" s="48"/>
      <c r="D2383" s="48"/>
    </row>
    <row r="2384" spans="1:4" x14ac:dyDescent="0.25">
      <c r="A2384" s="47"/>
      <c r="B2384" s="107"/>
      <c r="C2384" s="48"/>
      <c r="D2384" s="48"/>
    </row>
    <row r="2385" spans="1:4" x14ac:dyDescent="0.25">
      <c r="A2385" s="47"/>
      <c r="B2385" s="107"/>
      <c r="C2385" s="48"/>
      <c r="D2385" s="48"/>
    </row>
    <row r="2386" spans="1:4" x14ac:dyDescent="0.25">
      <c r="A2386" s="47"/>
      <c r="B2386" s="107"/>
      <c r="C2386" s="48"/>
      <c r="D2386" s="48"/>
    </row>
    <row r="2387" spans="1:4" x14ac:dyDescent="0.25">
      <c r="A2387" s="47"/>
      <c r="B2387" s="107"/>
      <c r="C2387" s="48"/>
      <c r="D2387" s="48"/>
    </row>
    <row r="2388" spans="1:4" x14ac:dyDescent="0.25">
      <c r="A2388" s="47"/>
      <c r="B2388" s="107"/>
      <c r="C2388" s="48"/>
      <c r="D2388" s="48"/>
    </row>
    <row r="2389" spans="1:4" x14ac:dyDescent="0.25">
      <c r="A2389" s="47"/>
      <c r="B2389" s="107"/>
      <c r="C2389" s="48"/>
      <c r="D2389" s="48"/>
    </row>
    <row r="2390" spans="1:4" x14ac:dyDescent="0.25">
      <c r="A2390" s="47"/>
      <c r="B2390" s="107"/>
      <c r="C2390" s="48"/>
      <c r="D2390" s="48"/>
    </row>
    <row r="2391" spans="1:4" x14ac:dyDescent="0.25">
      <c r="A2391" s="47"/>
      <c r="B2391" s="107"/>
      <c r="C2391" s="48"/>
      <c r="D2391" s="48"/>
    </row>
    <row r="2392" spans="1:4" x14ac:dyDescent="0.25">
      <c r="A2392" s="47"/>
      <c r="B2392" s="107"/>
      <c r="C2392" s="48"/>
      <c r="D2392" s="48"/>
    </row>
    <row r="2393" spans="1:4" x14ac:dyDescent="0.25">
      <c r="A2393" s="47"/>
      <c r="B2393" s="107"/>
      <c r="C2393" s="48"/>
      <c r="D2393" s="48"/>
    </row>
    <row r="2394" spans="1:4" x14ac:dyDescent="0.25">
      <c r="A2394" s="47"/>
      <c r="B2394" s="107"/>
      <c r="C2394" s="48"/>
      <c r="D2394" s="48"/>
    </row>
    <row r="2395" spans="1:4" x14ac:dyDescent="0.25">
      <c r="A2395" s="47"/>
      <c r="B2395" s="107"/>
      <c r="C2395" s="48"/>
      <c r="D2395" s="48"/>
    </row>
    <row r="2396" spans="1:4" x14ac:dyDescent="0.25">
      <c r="A2396" s="47"/>
      <c r="B2396" s="107"/>
      <c r="C2396" s="48"/>
      <c r="D2396" s="48"/>
    </row>
    <row r="2397" spans="1:4" x14ac:dyDescent="0.25">
      <c r="A2397" s="47"/>
      <c r="B2397" s="107"/>
      <c r="C2397" s="48"/>
      <c r="D2397" s="48"/>
    </row>
    <row r="2398" spans="1:4" x14ac:dyDescent="0.25">
      <c r="A2398" s="47"/>
      <c r="B2398" s="107"/>
      <c r="C2398" s="48"/>
      <c r="D2398" s="48"/>
    </row>
    <row r="2399" spans="1:4" x14ac:dyDescent="0.25">
      <c r="A2399" s="47"/>
      <c r="B2399" s="107"/>
      <c r="C2399" s="48"/>
      <c r="D2399" s="48"/>
    </row>
    <row r="2400" spans="1:4" x14ac:dyDescent="0.25">
      <c r="A2400" s="47"/>
      <c r="B2400" s="107"/>
      <c r="C2400" s="48"/>
      <c r="D2400" s="48"/>
    </row>
    <row r="2401" spans="1:4" x14ac:dyDescent="0.25">
      <c r="A2401" s="47"/>
      <c r="B2401" s="107"/>
      <c r="C2401" s="48"/>
      <c r="D2401" s="48"/>
    </row>
    <row r="2402" spans="1:4" x14ac:dyDescent="0.25">
      <c r="A2402" s="47"/>
      <c r="B2402" s="107"/>
      <c r="C2402" s="48"/>
      <c r="D2402" s="48"/>
    </row>
    <row r="2403" spans="1:4" x14ac:dyDescent="0.25">
      <c r="A2403" s="47"/>
      <c r="B2403" s="107"/>
      <c r="C2403" s="48"/>
      <c r="D2403" s="48"/>
    </row>
    <row r="2404" spans="1:4" x14ac:dyDescent="0.25">
      <c r="A2404" s="47"/>
      <c r="B2404" s="107"/>
      <c r="C2404" s="48"/>
      <c r="D2404" s="48"/>
    </row>
    <row r="2405" spans="1:4" x14ac:dyDescent="0.25">
      <c r="A2405" s="47"/>
      <c r="B2405" s="107"/>
      <c r="C2405" s="48"/>
      <c r="D2405" s="48"/>
    </row>
    <row r="2406" spans="1:4" x14ac:dyDescent="0.25">
      <c r="A2406" s="47"/>
      <c r="B2406" s="107"/>
      <c r="C2406" s="48"/>
      <c r="D2406" s="48"/>
    </row>
    <row r="2407" spans="1:4" x14ac:dyDescent="0.25">
      <c r="A2407" s="47"/>
      <c r="B2407" s="107"/>
      <c r="C2407" s="48"/>
      <c r="D2407" s="48"/>
    </row>
    <row r="2408" spans="1:4" x14ac:dyDescent="0.25">
      <c r="A2408" s="47"/>
      <c r="B2408" s="107"/>
      <c r="C2408" s="48"/>
      <c r="D2408" s="48"/>
    </row>
    <row r="2409" spans="1:4" x14ac:dyDescent="0.25">
      <c r="A2409" s="47"/>
      <c r="B2409" s="107"/>
      <c r="C2409" s="48"/>
      <c r="D2409" s="48"/>
    </row>
    <row r="2410" spans="1:4" x14ac:dyDescent="0.25">
      <c r="A2410" s="47"/>
      <c r="B2410" s="107"/>
      <c r="C2410" s="48"/>
      <c r="D2410" s="48"/>
    </row>
    <row r="2411" spans="1:4" x14ac:dyDescent="0.25">
      <c r="A2411" s="47"/>
      <c r="B2411" s="107"/>
      <c r="C2411" s="48"/>
      <c r="D2411" s="48"/>
    </row>
    <row r="2412" spans="1:4" x14ac:dyDescent="0.25">
      <c r="A2412" s="47"/>
      <c r="B2412" s="107"/>
      <c r="C2412" s="48"/>
      <c r="D2412" s="48"/>
    </row>
    <row r="2413" spans="1:4" x14ac:dyDescent="0.25">
      <c r="A2413" s="47"/>
      <c r="B2413" s="107"/>
      <c r="C2413" s="48"/>
      <c r="D2413" s="48"/>
    </row>
    <row r="2414" spans="1:4" x14ac:dyDescent="0.25">
      <c r="A2414" s="47"/>
      <c r="B2414" s="107"/>
      <c r="C2414" s="48"/>
      <c r="D2414" s="48"/>
    </row>
    <row r="2415" spans="1:4" x14ac:dyDescent="0.25">
      <c r="A2415" s="47"/>
      <c r="B2415" s="107"/>
      <c r="C2415" s="48"/>
      <c r="D2415" s="48"/>
    </row>
    <row r="2416" spans="1:4" x14ac:dyDescent="0.25">
      <c r="A2416" s="47"/>
      <c r="B2416" s="107"/>
      <c r="C2416" s="48"/>
      <c r="D2416" s="48"/>
    </row>
    <row r="2417" spans="1:4" x14ac:dyDescent="0.25">
      <c r="A2417" s="47"/>
      <c r="B2417" s="107"/>
      <c r="C2417" s="48"/>
      <c r="D2417" s="48"/>
    </row>
    <row r="2418" spans="1:4" x14ac:dyDescent="0.25">
      <c r="A2418" s="47"/>
      <c r="B2418" s="107"/>
      <c r="C2418" s="48"/>
      <c r="D2418" s="48"/>
    </row>
    <row r="2419" spans="1:4" x14ac:dyDescent="0.25">
      <c r="A2419" s="47"/>
      <c r="B2419" s="107"/>
      <c r="C2419" s="48"/>
      <c r="D2419" s="48"/>
    </row>
    <row r="2420" spans="1:4" x14ac:dyDescent="0.25">
      <c r="A2420" s="47"/>
      <c r="B2420" s="107"/>
      <c r="C2420" s="48"/>
      <c r="D2420" s="48"/>
    </row>
    <row r="2421" spans="1:4" x14ac:dyDescent="0.25">
      <c r="A2421" s="47"/>
      <c r="B2421" s="107"/>
      <c r="C2421" s="48"/>
      <c r="D2421" s="48"/>
    </row>
    <row r="2422" spans="1:4" x14ac:dyDescent="0.25">
      <c r="A2422" s="47"/>
      <c r="B2422" s="107"/>
      <c r="C2422" s="48"/>
      <c r="D2422" s="48"/>
    </row>
    <row r="2423" spans="1:4" x14ac:dyDescent="0.25">
      <c r="A2423" s="47"/>
      <c r="B2423" s="107"/>
      <c r="C2423" s="48"/>
      <c r="D2423" s="48"/>
    </row>
    <row r="2424" spans="1:4" x14ac:dyDescent="0.25">
      <c r="A2424" s="47"/>
      <c r="B2424" s="107"/>
      <c r="C2424" s="48"/>
      <c r="D2424" s="48"/>
    </row>
    <row r="2425" spans="1:4" x14ac:dyDescent="0.25">
      <c r="A2425" s="47"/>
      <c r="B2425" s="107"/>
      <c r="C2425" s="48"/>
      <c r="D2425" s="48"/>
    </row>
    <row r="2426" spans="1:4" x14ac:dyDescent="0.25">
      <c r="A2426" s="47"/>
      <c r="B2426" s="107"/>
      <c r="C2426" s="48"/>
      <c r="D2426" s="48"/>
    </row>
    <row r="2427" spans="1:4" x14ac:dyDescent="0.25">
      <c r="A2427" s="47"/>
      <c r="B2427" s="107"/>
      <c r="C2427" s="48"/>
      <c r="D2427" s="48"/>
    </row>
    <row r="2428" spans="1:4" x14ac:dyDescent="0.25">
      <c r="A2428" s="47"/>
      <c r="B2428" s="107"/>
      <c r="C2428" s="48"/>
      <c r="D2428" s="48"/>
    </row>
    <row r="2429" spans="1:4" x14ac:dyDescent="0.25">
      <c r="A2429" s="47"/>
      <c r="B2429" s="107"/>
      <c r="C2429" s="48"/>
      <c r="D2429" s="48"/>
    </row>
    <row r="2430" spans="1:4" x14ac:dyDescent="0.25">
      <c r="A2430" s="47"/>
      <c r="B2430" s="107"/>
      <c r="C2430" s="48"/>
      <c r="D2430" s="48"/>
    </row>
    <row r="2431" spans="1:4" x14ac:dyDescent="0.25">
      <c r="A2431" s="47"/>
      <c r="B2431" s="107"/>
      <c r="C2431" s="48"/>
      <c r="D2431" s="48"/>
    </row>
    <row r="2432" spans="1:4" x14ac:dyDescent="0.25">
      <c r="A2432" s="47"/>
      <c r="B2432" s="107"/>
      <c r="C2432" s="48"/>
      <c r="D2432" s="48"/>
    </row>
    <row r="2433" spans="1:4" x14ac:dyDescent="0.25">
      <c r="A2433" s="47"/>
      <c r="B2433" s="107"/>
      <c r="C2433" s="48"/>
      <c r="D2433" s="48"/>
    </row>
    <row r="2434" spans="1:4" x14ac:dyDescent="0.25">
      <c r="A2434" s="47"/>
      <c r="B2434" s="107"/>
      <c r="C2434" s="48"/>
      <c r="D2434" s="48"/>
    </row>
    <row r="2435" spans="1:4" x14ac:dyDescent="0.25">
      <c r="A2435" s="47"/>
      <c r="B2435" s="107"/>
      <c r="C2435" s="48"/>
      <c r="D2435" s="48"/>
    </row>
    <row r="2436" spans="1:4" x14ac:dyDescent="0.25">
      <c r="A2436" s="47"/>
      <c r="B2436" s="107"/>
      <c r="C2436" s="48"/>
      <c r="D2436" s="48"/>
    </row>
    <row r="2437" spans="1:4" x14ac:dyDescent="0.25">
      <c r="A2437" s="47"/>
      <c r="B2437" s="107"/>
      <c r="C2437" s="48"/>
      <c r="D2437" s="48"/>
    </row>
    <row r="2438" spans="1:4" x14ac:dyDescent="0.25">
      <c r="A2438" s="47"/>
      <c r="B2438" s="107"/>
      <c r="C2438" s="48"/>
      <c r="D2438" s="48"/>
    </row>
    <row r="2439" spans="1:4" x14ac:dyDescent="0.25">
      <c r="A2439" s="47"/>
      <c r="B2439" s="107"/>
      <c r="C2439" s="48"/>
      <c r="D2439" s="48"/>
    </row>
    <row r="2440" spans="1:4" x14ac:dyDescent="0.25">
      <c r="A2440" s="47"/>
      <c r="B2440" s="107"/>
      <c r="C2440" s="48"/>
      <c r="D2440" s="48"/>
    </row>
    <row r="2441" spans="1:4" x14ac:dyDescent="0.25">
      <c r="A2441" s="47"/>
      <c r="B2441" s="107"/>
      <c r="C2441" s="48"/>
      <c r="D2441" s="48"/>
    </row>
    <row r="2442" spans="1:4" x14ac:dyDescent="0.25">
      <c r="A2442" s="47"/>
      <c r="B2442" s="107"/>
      <c r="C2442" s="48"/>
      <c r="D2442" s="48"/>
    </row>
    <row r="2443" spans="1:4" x14ac:dyDescent="0.25">
      <c r="A2443" s="47"/>
      <c r="B2443" s="107"/>
      <c r="C2443" s="48"/>
      <c r="D2443" s="48"/>
    </row>
    <row r="2444" spans="1:4" x14ac:dyDescent="0.25">
      <c r="A2444" s="47"/>
      <c r="B2444" s="107"/>
      <c r="C2444" s="48"/>
      <c r="D2444" s="48"/>
    </row>
    <row r="2445" spans="1:4" x14ac:dyDescent="0.25">
      <c r="A2445" s="47"/>
      <c r="B2445" s="107"/>
      <c r="C2445" s="48"/>
      <c r="D2445" s="48"/>
    </row>
    <row r="2446" spans="1:4" x14ac:dyDescent="0.25">
      <c r="A2446" s="47"/>
      <c r="B2446" s="107"/>
      <c r="C2446" s="48"/>
      <c r="D2446" s="48"/>
    </row>
    <row r="2447" spans="1:4" x14ac:dyDescent="0.25">
      <c r="A2447" s="47"/>
      <c r="B2447" s="107"/>
      <c r="C2447" s="48"/>
      <c r="D2447" s="48"/>
    </row>
    <row r="2448" spans="1:4" x14ac:dyDescent="0.25">
      <c r="A2448" s="47"/>
      <c r="B2448" s="107"/>
      <c r="C2448" s="48"/>
      <c r="D2448" s="48"/>
    </row>
    <row r="2449" spans="1:4" x14ac:dyDescent="0.25">
      <c r="A2449" s="47"/>
      <c r="B2449" s="107"/>
      <c r="C2449" s="48"/>
      <c r="D2449" s="48"/>
    </row>
    <row r="2450" spans="1:4" x14ac:dyDescent="0.25">
      <c r="A2450" s="47"/>
      <c r="B2450" s="107"/>
      <c r="C2450" s="48"/>
      <c r="D2450" s="48"/>
    </row>
    <row r="2451" spans="1:4" x14ac:dyDescent="0.25">
      <c r="A2451" s="47"/>
      <c r="B2451" s="107"/>
      <c r="C2451" s="48"/>
      <c r="D2451" s="48"/>
    </row>
    <row r="2452" spans="1:4" x14ac:dyDescent="0.25">
      <c r="A2452" s="47"/>
      <c r="B2452" s="107"/>
      <c r="C2452" s="48"/>
      <c r="D2452" s="48"/>
    </row>
    <row r="2453" spans="1:4" x14ac:dyDescent="0.25">
      <c r="A2453" s="47"/>
      <c r="B2453" s="107"/>
      <c r="C2453" s="48"/>
      <c r="D2453" s="48"/>
    </row>
    <row r="2454" spans="1:4" x14ac:dyDescent="0.25">
      <c r="A2454" s="47"/>
      <c r="B2454" s="107"/>
      <c r="C2454" s="48"/>
      <c r="D2454" s="48"/>
    </row>
    <row r="2455" spans="1:4" x14ac:dyDescent="0.25">
      <c r="A2455" s="47"/>
      <c r="B2455" s="107"/>
      <c r="C2455" s="48"/>
      <c r="D2455" s="48"/>
    </row>
    <row r="2456" spans="1:4" x14ac:dyDescent="0.25">
      <c r="A2456" s="47"/>
      <c r="B2456" s="107"/>
      <c r="C2456" s="48"/>
      <c r="D2456" s="48"/>
    </row>
    <row r="2457" spans="1:4" x14ac:dyDescent="0.25">
      <c r="A2457" s="47"/>
      <c r="B2457" s="107"/>
      <c r="C2457" s="48"/>
      <c r="D2457" s="48"/>
    </row>
    <row r="2458" spans="1:4" x14ac:dyDescent="0.25">
      <c r="A2458" s="47"/>
      <c r="B2458" s="107"/>
      <c r="C2458" s="48"/>
      <c r="D2458" s="48"/>
    </row>
    <row r="2459" spans="1:4" x14ac:dyDescent="0.25">
      <c r="A2459" s="47"/>
      <c r="B2459" s="107"/>
      <c r="C2459" s="48"/>
      <c r="D2459" s="48"/>
    </row>
    <row r="2460" spans="1:4" x14ac:dyDescent="0.25">
      <c r="A2460" s="47"/>
      <c r="B2460" s="107"/>
      <c r="C2460" s="48"/>
      <c r="D2460" s="48"/>
    </row>
    <row r="2461" spans="1:4" x14ac:dyDescent="0.25">
      <c r="A2461" s="47"/>
      <c r="B2461" s="107"/>
      <c r="C2461" s="48"/>
      <c r="D2461" s="48"/>
    </row>
    <row r="2462" spans="1:4" x14ac:dyDescent="0.25">
      <c r="A2462" s="47"/>
      <c r="B2462" s="107"/>
      <c r="C2462" s="48"/>
      <c r="D2462" s="48"/>
    </row>
    <row r="2463" spans="1:4" x14ac:dyDescent="0.25">
      <c r="A2463" s="47"/>
      <c r="B2463" s="107"/>
      <c r="C2463" s="48"/>
      <c r="D2463" s="48"/>
    </row>
    <row r="2464" spans="1:4" x14ac:dyDescent="0.25">
      <c r="A2464" s="47"/>
      <c r="B2464" s="107"/>
      <c r="C2464" s="48"/>
      <c r="D2464" s="48"/>
    </row>
    <row r="2465" spans="1:4" x14ac:dyDescent="0.25">
      <c r="A2465" s="47"/>
      <c r="B2465" s="107"/>
      <c r="C2465" s="48"/>
      <c r="D2465" s="48"/>
    </row>
    <row r="2466" spans="1:4" x14ac:dyDescent="0.25">
      <c r="A2466" s="47"/>
      <c r="B2466" s="107"/>
      <c r="C2466" s="48"/>
      <c r="D2466" s="48"/>
    </row>
    <row r="2467" spans="1:4" x14ac:dyDescent="0.25">
      <c r="A2467" s="47"/>
      <c r="B2467" s="107"/>
      <c r="C2467" s="48"/>
      <c r="D2467" s="48"/>
    </row>
    <row r="2468" spans="1:4" x14ac:dyDescent="0.25">
      <c r="A2468" s="47"/>
      <c r="B2468" s="107"/>
      <c r="C2468" s="48"/>
      <c r="D2468" s="48"/>
    </row>
    <row r="2469" spans="1:4" x14ac:dyDescent="0.25">
      <c r="A2469" s="47"/>
      <c r="B2469" s="107"/>
      <c r="C2469" s="48"/>
      <c r="D2469" s="48"/>
    </row>
    <row r="2470" spans="1:4" x14ac:dyDescent="0.25">
      <c r="A2470" s="47"/>
      <c r="B2470" s="107"/>
      <c r="C2470" s="48"/>
      <c r="D2470" s="48"/>
    </row>
    <row r="2471" spans="1:4" x14ac:dyDescent="0.25">
      <c r="A2471" s="47"/>
      <c r="B2471" s="107"/>
      <c r="C2471" s="48"/>
      <c r="D2471" s="48"/>
    </row>
    <row r="2472" spans="1:4" x14ac:dyDescent="0.25">
      <c r="A2472" s="47"/>
      <c r="B2472" s="107"/>
      <c r="C2472" s="48"/>
      <c r="D2472" s="48"/>
    </row>
    <row r="2473" spans="1:4" x14ac:dyDescent="0.25">
      <c r="A2473" s="47"/>
      <c r="B2473" s="107"/>
      <c r="C2473" s="48"/>
      <c r="D2473" s="48"/>
    </row>
    <row r="2474" spans="1:4" x14ac:dyDescent="0.25">
      <c r="A2474" s="47"/>
      <c r="B2474" s="107"/>
      <c r="C2474" s="48"/>
      <c r="D2474" s="48"/>
    </row>
    <row r="2475" spans="1:4" x14ac:dyDescent="0.25">
      <c r="A2475" s="47"/>
      <c r="B2475" s="107"/>
      <c r="C2475" s="48"/>
      <c r="D2475" s="48"/>
    </row>
    <row r="2476" spans="1:4" x14ac:dyDescent="0.25">
      <c r="A2476" s="47"/>
      <c r="B2476" s="107"/>
      <c r="C2476" s="48"/>
      <c r="D2476" s="48"/>
    </row>
    <row r="2477" spans="1:4" x14ac:dyDescent="0.25">
      <c r="A2477" s="47"/>
      <c r="B2477" s="107"/>
      <c r="C2477" s="48"/>
      <c r="D2477" s="48"/>
    </row>
    <row r="2478" spans="1:4" x14ac:dyDescent="0.25">
      <c r="A2478" s="47"/>
      <c r="B2478" s="107"/>
      <c r="C2478" s="48"/>
      <c r="D2478" s="48"/>
    </row>
    <row r="2479" spans="1:4" x14ac:dyDescent="0.25">
      <c r="A2479" s="47"/>
      <c r="B2479" s="107"/>
      <c r="C2479" s="48"/>
      <c r="D2479" s="48"/>
    </row>
    <row r="2480" spans="1:4" x14ac:dyDescent="0.25">
      <c r="A2480" s="47"/>
      <c r="B2480" s="107"/>
      <c r="C2480" s="48"/>
      <c r="D2480" s="48"/>
    </row>
    <row r="2481" spans="1:4" x14ac:dyDescent="0.25">
      <c r="A2481" s="47"/>
      <c r="B2481" s="107"/>
      <c r="C2481" s="48"/>
      <c r="D2481" s="48"/>
    </row>
    <row r="2482" spans="1:4" x14ac:dyDescent="0.25">
      <c r="A2482" s="47"/>
      <c r="B2482" s="107"/>
      <c r="C2482" s="48"/>
      <c r="D2482" s="48"/>
    </row>
    <row r="2483" spans="1:4" x14ac:dyDescent="0.25">
      <c r="A2483" s="47"/>
      <c r="B2483" s="107"/>
      <c r="C2483" s="48"/>
      <c r="D2483" s="48"/>
    </row>
    <row r="2484" spans="1:4" x14ac:dyDescent="0.25">
      <c r="A2484" s="47"/>
      <c r="B2484" s="107"/>
      <c r="C2484" s="48"/>
      <c r="D2484" s="48"/>
    </row>
    <row r="2485" spans="1:4" x14ac:dyDescent="0.25">
      <c r="A2485" s="47"/>
      <c r="B2485" s="107"/>
      <c r="C2485" s="48"/>
      <c r="D2485" s="48"/>
    </row>
    <row r="2486" spans="1:4" x14ac:dyDescent="0.25">
      <c r="A2486" s="47"/>
      <c r="B2486" s="107"/>
      <c r="C2486" s="48"/>
      <c r="D2486" s="48"/>
    </row>
    <row r="2487" spans="1:4" x14ac:dyDescent="0.25">
      <c r="A2487" s="47"/>
      <c r="B2487" s="107"/>
      <c r="C2487" s="48"/>
      <c r="D2487" s="48"/>
    </row>
    <row r="2488" spans="1:4" x14ac:dyDescent="0.25">
      <c r="A2488" s="47"/>
      <c r="B2488" s="107"/>
      <c r="C2488" s="48"/>
      <c r="D2488" s="48"/>
    </row>
    <row r="2489" spans="1:4" x14ac:dyDescent="0.25">
      <c r="A2489" s="47"/>
      <c r="B2489" s="107"/>
      <c r="C2489" s="48"/>
      <c r="D2489" s="48"/>
    </row>
    <row r="2490" spans="1:4" x14ac:dyDescent="0.25">
      <c r="A2490" s="47"/>
      <c r="B2490" s="107"/>
      <c r="C2490" s="48"/>
      <c r="D2490" s="48"/>
    </row>
    <row r="2491" spans="1:4" x14ac:dyDescent="0.25">
      <c r="A2491" s="47"/>
      <c r="B2491" s="107"/>
      <c r="C2491" s="48"/>
      <c r="D2491" s="48"/>
    </row>
    <row r="2492" spans="1:4" x14ac:dyDescent="0.25">
      <c r="A2492" s="47"/>
      <c r="B2492" s="107"/>
      <c r="C2492" s="48"/>
      <c r="D2492" s="48"/>
    </row>
    <row r="2493" spans="1:4" x14ac:dyDescent="0.25">
      <c r="A2493" s="47"/>
      <c r="B2493" s="107"/>
      <c r="C2493" s="48"/>
      <c r="D2493" s="48"/>
    </row>
    <row r="2494" spans="1:4" x14ac:dyDescent="0.25">
      <c r="A2494" s="47"/>
      <c r="B2494" s="107"/>
      <c r="C2494" s="48"/>
      <c r="D2494" s="48"/>
    </row>
    <row r="2495" spans="1:4" x14ac:dyDescent="0.25">
      <c r="A2495" s="47"/>
      <c r="B2495" s="107"/>
      <c r="C2495" s="48"/>
      <c r="D2495" s="48"/>
    </row>
    <row r="2496" spans="1:4" x14ac:dyDescent="0.25">
      <c r="A2496" s="47"/>
      <c r="B2496" s="107"/>
      <c r="C2496" s="48"/>
      <c r="D2496" s="48"/>
    </row>
    <row r="2497" spans="1:4" x14ac:dyDescent="0.25">
      <c r="A2497" s="47"/>
      <c r="B2497" s="107"/>
      <c r="C2497" s="48"/>
      <c r="D2497" s="48"/>
    </row>
    <row r="2498" spans="1:4" x14ac:dyDescent="0.25">
      <c r="A2498" s="47"/>
      <c r="B2498" s="107"/>
      <c r="C2498" s="48"/>
      <c r="D2498" s="48"/>
    </row>
    <row r="2499" spans="1:4" x14ac:dyDescent="0.25">
      <c r="A2499" s="47"/>
      <c r="B2499" s="107"/>
      <c r="C2499" s="48"/>
      <c r="D2499" s="48"/>
    </row>
    <row r="2500" spans="1:4" x14ac:dyDescent="0.25">
      <c r="A2500" s="47"/>
      <c r="B2500" s="107"/>
      <c r="C2500" s="48"/>
      <c r="D2500" s="48"/>
    </row>
    <row r="2501" spans="1:4" x14ac:dyDescent="0.25">
      <c r="A2501" s="47"/>
      <c r="B2501" s="107"/>
      <c r="C2501" s="48"/>
      <c r="D2501" s="48"/>
    </row>
    <row r="2502" spans="1:4" x14ac:dyDescent="0.25">
      <c r="A2502" s="47"/>
      <c r="B2502" s="107"/>
      <c r="C2502" s="48"/>
      <c r="D2502" s="48"/>
    </row>
    <row r="2503" spans="1:4" x14ac:dyDescent="0.25">
      <c r="A2503" s="47"/>
      <c r="B2503" s="107"/>
      <c r="C2503" s="48"/>
      <c r="D2503" s="48"/>
    </row>
    <row r="2504" spans="1:4" x14ac:dyDescent="0.25">
      <c r="A2504" s="47"/>
      <c r="B2504" s="107"/>
      <c r="C2504" s="48"/>
      <c r="D2504" s="48"/>
    </row>
    <row r="2505" spans="1:4" x14ac:dyDescent="0.25">
      <c r="A2505" s="47"/>
      <c r="B2505" s="107"/>
      <c r="C2505" s="48"/>
      <c r="D2505" s="48"/>
    </row>
    <row r="2506" spans="1:4" x14ac:dyDescent="0.25">
      <c r="A2506" s="47"/>
      <c r="B2506" s="107"/>
      <c r="C2506" s="48"/>
      <c r="D2506" s="48"/>
    </row>
    <row r="2507" spans="1:4" x14ac:dyDescent="0.25">
      <c r="A2507" s="47"/>
      <c r="B2507" s="107"/>
      <c r="C2507" s="48"/>
      <c r="D2507" s="48"/>
    </row>
    <row r="2508" spans="1:4" x14ac:dyDescent="0.25">
      <c r="A2508" s="47"/>
      <c r="B2508" s="107"/>
      <c r="C2508" s="48"/>
      <c r="D2508" s="48"/>
    </row>
    <row r="2509" spans="1:4" x14ac:dyDescent="0.25">
      <c r="A2509" s="47"/>
      <c r="B2509" s="107"/>
      <c r="C2509" s="48"/>
      <c r="D2509" s="48"/>
    </row>
    <row r="2510" spans="1:4" x14ac:dyDescent="0.25">
      <c r="A2510" s="47"/>
      <c r="B2510" s="107"/>
      <c r="C2510" s="48"/>
      <c r="D2510" s="48"/>
    </row>
    <row r="2511" spans="1:4" x14ac:dyDescent="0.25">
      <c r="A2511" s="47"/>
      <c r="B2511" s="107"/>
      <c r="C2511" s="48"/>
      <c r="D2511" s="48"/>
    </row>
    <row r="2512" spans="1:4" x14ac:dyDescent="0.25">
      <c r="A2512" s="47"/>
      <c r="B2512" s="107"/>
      <c r="C2512" s="48"/>
      <c r="D2512" s="48"/>
    </row>
    <row r="2513" spans="1:4" x14ac:dyDescent="0.25">
      <c r="A2513" s="47"/>
      <c r="B2513" s="107"/>
      <c r="C2513" s="48"/>
      <c r="D2513" s="48"/>
    </row>
    <row r="2514" spans="1:4" x14ac:dyDescent="0.25">
      <c r="A2514" s="47"/>
      <c r="B2514" s="107"/>
      <c r="C2514" s="48"/>
      <c r="D2514" s="48"/>
    </row>
    <row r="2515" spans="1:4" x14ac:dyDescent="0.25">
      <c r="A2515" s="47"/>
      <c r="B2515" s="107"/>
      <c r="C2515" s="48"/>
      <c r="D2515" s="48"/>
    </row>
    <row r="2516" spans="1:4" x14ac:dyDescent="0.25">
      <c r="A2516" s="47"/>
      <c r="B2516" s="107"/>
      <c r="C2516" s="48"/>
      <c r="D2516" s="48"/>
    </row>
    <row r="2517" spans="1:4" x14ac:dyDescent="0.25">
      <c r="A2517" s="47"/>
      <c r="B2517" s="107"/>
      <c r="C2517" s="48"/>
      <c r="D2517" s="48"/>
    </row>
    <row r="2518" spans="1:4" x14ac:dyDescent="0.25">
      <c r="A2518" s="47"/>
      <c r="B2518" s="107"/>
      <c r="C2518" s="48"/>
      <c r="D2518" s="48"/>
    </row>
    <row r="2519" spans="1:4" x14ac:dyDescent="0.25">
      <c r="A2519" s="47"/>
      <c r="B2519" s="107"/>
      <c r="C2519" s="48"/>
      <c r="D2519" s="48"/>
    </row>
    <row r="2520" spans="1:4" x14ac:dyDescent="0.25">
      <c r="A2520" s="47"/>
      <c r="B2520" s="107"/>
      <c r="C2520" s="48"/>
      <c r="D2520" s="48"/>
    </row>
    <row r="2521" spans="1:4" x14ac:dyDescent="0.25">
      <c r="A2521" s="47"/>
      <c r="B2521" s="107"/>
      <c r="C2521" s="48"/>
      <c r="D2521" s="48"/>
    </row>
    <row r="2522" spans="1:4" x14ac:dyDescent="0.25">
      <c r="A2522" s="47"/>
      <c r="B2522" s="107"/>
      <c r="C2522" s="48"/>
      <c r="D2522" s="48"/>
    </row>
    <row r="2523" spans="1:4" x14ac:dyDescent="0.25">
      <c r="A2523" s="47"/>
      <c r="B2523" s="107"/>
      <c r="C2523" s="48"/>
      <c r="D2523" s="48"/>
    </row>
    <row r="2524" spans="1:4" x14ac:dyDescent="0.25">
      <c r="A2524" s="47"/>
      <c r="B2524" s="107"/>
      <c r="C2524" s="48"/>
      <c r="D2524" s="48"/>
    </row>
    <row r="2525" spans="1:4" x14ac:dyDescent="0.25">
      <c r="A2525" s="47"/>
      <c r="B2525" s="107"/>
      <c r="C2525" s="48"/>
      <c r="D2525" s="48"/>
    </row>
    <row r="2526" spans="1:4" x14ac:dyDescent="0.25">
      <c r="A2526" s="47"/>
      <c r="B2526" s="107"/>
      <c r="C2526" s="48"/>
      <c r="D2526" s="48"/>
    </row>
    <row r="2527" spans="1:4" x14ac:dyDescent="0.25">
      <c r="A2527" s="47"/>
      <c r="B2527" s="107"/>
      <c r="C2527" s="48"/>
      <c r="D2527" s="48"/>
    </row>
    <row r="2528" spans="1:4" x14ac:dyDescent="0.25">
      <c r="A2528" s="47"/>
      <c r="B2528" s="107"/>
      <c r="C2528" s="48"/>
      <c r="D2528" s="48"/>
    </row>
    <row r="2529" spans="1:4" x14ac:dyDescent="0.25">
      <c r="A2529" s="47"/>
      <c r="B2529" s="107"/>
      <c r="C2529" s="48"/>
      <c r="D2529" s="48"/>
    </row>
    <row r="2530" spans="1:4" x14ac:dyDescent="0.25">
      <c r="A2530" s="47"/>
      <c r="B2530" s="107"/>
      <c r="C2530" s="48"/>
      <c r="D2530" s="48"/>
    </row>
    <row r="2531" spans="1:4" x14ac:dyDescent="0.25">
      <c r="A2531" s="47"/>
      <c r="B2531" s="107"/>
      <c r="C2531" s="48"/>
      <c r="D2531" s="48"/>
    </row>
    <row r="2532" spans="1:4" x14ac:dyDescent="0.25">
      <c r="A2532" s="47"/>
      <c r="B2532" s="107"/>
      <c r="C2532" s="48"/>
      <c r="D2532" s="48"/>
    </row>
    <row r="2533" spans="1:4" x14ac:dyDescent="0.25">
      <c r="A2533" s="47"/>
      <c r="B2533" s="107"/>
      <c r="C2533" s="48"/>
      <c r="D2533" s="48"/>
    </row>
    <row r="2534" spans="1:4" x14ac:dyDescent="0.25">
      <c r="A2534" s="47"/>
      <c r="B2534" s="107"/>
      <c r="C2534" s="48"/>
      <c r="D2534" s="48"/>
    </row>
    <row r="2535" spans="1:4" x14ac:dyDescent="0.25">
      <c r="A2535" s="47"/>
      <c r="B2535" s="107"/>
      <c r="C2535" s="48"/>
      <c r="D2535" s="48"/>
    </row>
    <row r="2536" spans="1:4" x14ac:dyDescent="0.25">
      <c r="A2536" s="47"/>
      <c r="B2536" s="107"/>
      <c r="C2536" s="48"/>
      <c r="D2536" s="48"/>
    </row>
    <row r="2537" spans="1:4" x14ac:dyDescent="0.25">
      <c r="A2537" s="47"/>
      <c r="B2537" s="107"/>
      <c r="C2537" s="48"/>
      <c r="D2537" s="48"/>
    </row>
    <row r="2538" spans="1:4" x14ac:dyDescent="0.25">
      <c r="A2538" s="47"/>
      <c r="B2538" s="107"/>
      <c r="C2538" s="48"/>
      <c r="D2538" s="48"/>
    </row>
    <row r="2539" spans="1:4" x14ac:dyDescent="0.25">
      <c r="A2539" s="47"/>
      <c r="B2539" s="107"/>
      <c r="C2539" s="48"/>
      <c r="D2539" s="48"/>
    </row>
    <row r="2540" spans="1:4" x14ac:dyDescent="0.25">
      <c r="A2540" s="47"/>
      <c r="B2540" s="107"/>
      <c r="C2540" s="48"/>
      <c r="D2540" s="48"/>
    </row>
    <row r="2541" spans="1:4" x14ac:dyDescent="0.25">
      <c r="A2541" s="47"/>
      <c r="B2541" s="107"/>
      <c r="C2541" s="48"/>
      <c r="D2541" s="48"/>
    </row>
    <row r="2542" spans="1:4" x14ac:dyDescent="0.25">
      <c r="A2542" s="47"/>
      <c r="B2542" s="107"/>
      <c r="C2542" s="48"/>
      <c r="D2542" s="48"/>
    </row>
    <row r="2543" spans="1:4" x14ac:dyDescent="0.25">
      <c r="A2543" s="47"/>
      <c r="B2543" s="107"/>
      <c r="C2543" s="48"/>
      <c r="D2543" s="48"/>
    </row>
    <row r="2544" spans="1:4" x14ac:dyDescent="0.25">
      <c r="A2544" s="47"/>
      <c r="B2544" s="107"/>
      <c r="C2544" s="48"/>
      <c r="D2544" s="48"/>
    </row>
    <row r="2545" spans="1:4" x14ac:dyDescent="0.25">
      <c r="A2545" s="47"/>
      <c r="B2545" s="107"/>
      <c r="C2545" s="48"/>
      <c r="D2545" s="48"/>
    </row>
    <row r="2546" spans="1:4" x14ac:dyDescent="0.25">
      <c r="A2546" s="47"/>
      <c r="B2546" s="107"/>
      <c r="C2546" s="48"/>
      <c r="D2546" s="48"/>
    </row>
    <row r="2547" spans="1:4" x14ac:dyDescent="0.25">
      <c r="A2547" s="47"/>
      <c r="B2547" s="107"/>
      <c r="C2547" s="48"/>
      <c r="D2547" s="48"/>
    </row>
    <row r="2548" spans="1:4" x14ac:dyDescent="0.25">
      <c r="A2548" s="47"/>
      <c r="B2548" s="107"/>
      <c r="C2548" s="48"/>
      <c r="D2548" s="48"/>
    </row>
    <row r="2549" spans="1:4" x14ac:dyDescent="0.25">
      <c r="A2549" s="47"/>
      <c r="B2549" s="107"/>
      <c r="C2549" s="48"/>
      <c r="D2549" s="48"/>
    </row>
    <row r="2550" spans="1:4" x14ac:dyDescent="0.25">
      <c r="A2550" s="47"/>
      <c r="B2550" s="107"/>
      <c r="C2550" s="48"/>
      <c r="D2550" s="48"/>
    </row>
    <row r="2551" spans="1:4" x14ac:dyDescent="0.25">
      <c r="A2551" s="47"/>
      <c r="B2551" s="107"/>
      <c r="C2551" s="48"/>
      <c r="D2551" s="48"/>
    </row>
    <row r="2552" spans="1:4" x14ac:dyDescent="0.25">
      <c r="A2552" s="47"/>
      <c r="B2552" s="107"/>
      <c r="C2552" s="48"/>
      <c r="D2552" s="48"/>
    </row>
    <row r="2553" spans="1:4" x14ac:dyDescent="0.25">
      <c r="A2553" s="47"/>
      <c r="B2553" s="107"/>
      <c r="C2553" s="48"/>
      <c r="D2553" s="48"/>
    </row>
    <row r="2554" spans="1:4" x14ac:dyDescent="0.25">
      <c r="A2554" s="47"/>
      <c r="B2554" s="107"/>
      <c r="C2554" s="48"/>
      <c r="D2554" s="48"/>
    </row>
    <row r="2555" spans="1:4" x14ac:dyDescent="0.25">
      <c r="A2555" s="47"/>
      <c r="B2555" s="107"/>
      <c r="C2555" s="48"/>
      <c r="D2555" s="48"/>
    </row>
    <row r="2556" spans="1:4" x14ac:dyDescent="0.25">
      <c r="A2556" s="47"/>
      <c r="B2556" s="107"/>
      <c r="C2556" s="48"/>
      <c r="D2556" s="48"/>
    </row>
    <row r="2557" spans="1:4" x14ac:dyDescent="0.25">
      <c r="A2557" s="47"/>
      <c r="B2557" s="107"/>
      <c r="C2557" s="48"/>
      <c r="D2557" s="48"/>
    </row>
    <row r="2558" spans="1:4" x14ac:dyDescent="0.25">
      <c r="A2558" s="47"/>
      <c r="B2558" s="107"/>
      <c r="C2558" s="48"/>
      <c r="D2558" s="48"/>
    </row>
    <row r="2559" spans="1:4" x14ac:dyDescent="0.25">
      <c r="A2559" s="47"/>
      <c r="B2559" s="107"/>
      <c r="C2559" s="48"/>
      <c r="D2559" s="48"/>
    </row>
    <row r="2560" spans="1:4" x14ac:dyDescent="0.25">
      <c r="A2560" s="47"/>
      <c r="B2560" s="107"/>
      <c r="C2560" s="48"/>
      <c r="D2560" s="48"/>
    </row>
    <row r="2561" spans="1:4" x14ac:dyDescent="0.25">
      <c r="A2561" s="47"/>
      <c r="B2561" s="107"/>
      <c r="C2561" s="48"/>
      <c r="D2561" s="48"/>
    </row>
    <row r="2562" spans="1:4" x14ac:dyDescent="0.25">
      <c r="A2562" s="47"/>
      <c r="B2562" s="107"/>
      <c r="C2562" s="48"/>
      <c r="D2562" s="48"/>
    </row>
    <row r="2563" spans="1:4" x14ac:dyDescent="0.25">
      <c r="A2563" s="47"/>
      <c r="B2563" s="107"/>
      <c r="C2563" s="48"/>
      <c r="D2563" s="48"/>
    </row>
    <row r="2564" spans="1:4" x14ac:dyDescent="0.25">
      <c r="A2564" s="47"/>
      <c r="B2564" s="107"/>
      <c r="C2564" s="48"/>
      <c r="D2564" s="48"/>
    </row>
    <row r="2565" spans="1:4" x14ac:dyDescent="0.25">
      <c r="A2565" s="47"/>
      <c r="B2565" s="107"/>
      <c r="C2565" s="48"/>
      <c r="D2565" s="48"/>
    </row>
    <row r="2566" spans="1:4" x14ac:dyDescent="0.25">
      <c r="A2566" s="47"/>
      <c r="B2566" s="107"/>
      <c r="C2566" s="48"/>
      <c r="D2566" s="48"/>
    </row>
    <row r="2567" spans="1:4" x14ac:dyDescent="0.25">
      <c r="A2567" s="47"/>
      <c r="B2567" s="107"/>
      <c r="C2567" s="48"/>
      <c r="D2567" s="48"/>
    </row>
    <row r="2568" spans="1:4" x14ac:dyDescent="0.25">
      <c r="A2568" s="47"/>
      <c r="B2568" s="107"/>
      <c r="C2568" s="48"/>
      <c r="D2568" s="48"/>
    </row>
    <row r="2569" spans="1:4" x14ac:dyDescent="0.25">
      <c r="A2569" s="47"/>
      <c r="B2569" s="107"/>
      <c r="C2569" s="48"/>
      <c r="D2569" s="48"/>
    </row>
    <row r="2570" spans="1:4" x14ac:dyDescent="0.25">
      <c r="A2570" s="47"/>
      <c r="B2570" s="107"/>
      <c r="C2570" s="48"/>
      <c r="D2570" s="48"/>
    </row>
    <row r="2571" spans="1:4" x14ac:dyDescent="0.25">
      <c r="A2571" s="47"/>
      <c r="B2571" s="107"/>
      <c r="C2571" s="48"/>
      <c r="D2571" s="48"/>
    </row>
    <row r="2572" spans="1:4" x14ac:dyDescent="0.25">
      <c r="A2572" s="47"/>
      <c r="B2572" s="107"/>
      <c r="C2572" s="48"/>
      <c r="D2572" s="48"/>
    </row>
    <row r="2573" spans="1:4" x14ac:dyDescent="0.25">
      <c r="A2573" s="47"/>
      <c r="B2573" s="107"/>
      <c r="C2573" s="48"/>
      <c r="D2573" s="48"/>
    </row>
    <row r="2574" spans="1:4" x14ac:dyDescent="0.25">
      <c r="A2574" s="47"/>
      <c r="B2574" s="107"/>
      <c r="C2574" s="48"/>
      <c r="D2574" s="48"/>
    </row>
    <row r="2575" spans="1:4" x14ac:dyDescent="0.25">
      <c r="A2575" s="47"/>
      <c r="B2575" s="107"/>
      <c r="C2575" s="48"/>
      <c r="D2575" s="48"/>
    </row>
    <row r="2576" spans="1:4" x14ac:dyDescent="0.25">
      <c r="A2576" s="47"/>
      <c r="B2576" s="107"/>
      <c r="C2576" s="48"/>
      <c r="D2576" s="48"/>
    </row>
    <row r="2577" spans="1:4" x14ac:dyDescent="0.25">
      <c r="A2577" s="47"/>
      <c r="B2577" s="107"/>
      <c r="C2577" s="48"/>
      <c r="D2577" s="48"/>
    </row>
    <row r="2578" spans="1:4" x14ac:dyDescent="0.25">
      <c r="A2578" s="47"/>
      <c r="B2578" s="107"/>
      <c r="C2578" s="48"/>
      <c r="D2578" s="48"/>
    </row>
    <row r="2579" spans="1:4" x14ac:dyDescent="0.25">
      <c r="A2579" s="47"/>
      <c r="B2579" s="107"/>
      <c r="C2579" s="48"/>
      <c r="D2579" s="48"/>
    </row>
    <row r="2580" spans="1:4" x14ac:dyDescent="0.25">
      <c r="A2580" s="47"/>
      <c r="B2580" s="107"/>
      <c r="C2580" s="48"/>
      <c r="D2580" s="48"/>
    </row>
    <row r="2581" spans="1:4" x14ac:dyDescent="0.25">
      <c r="A2581" s="47"/>
      <c r="B2581" s="107"/>
      <c r="C2581" s="48"/>
      <c r="D2581" s="48"/>
    </row>
    <row r="2582" spans="1:4" x14ac:dyDescent="0.25">
      <c r="A2582" s="47"/>
      <c r="B2582" s="107"/>
      <c r="C2582" s="48"/>
      <c r="D2582" s="48"/>
    </row>
    <row r="2583" spans="1:4" x14ac:dyDescent="0.25">
      <c r="A2583" s="47"/>
      <c r="B2583" s="107"/>
      <c r="C2583" s="48"/>
      <c r="D2583" s="48"/>
    </row>
    <row r="2584" spans="1:4" x14ac:dyDescent="0.25">
      <c r="A2584" s="47"/>
      <c r="B2584" s="107"/>
      <c r="C2584" s="48"/>
      <c r="D2584" s="48"/>
    </row>
    <row r="2585" spans="1:4" x14ac:dyDescent="0.25">
      <c r="A2585" s="47"/>
      <c r="B2585" s="107"/>
      <c r="C2585" s="48"/>
      <c r="D2585" s="48"/>
    </row>
    <row r="2586" spans="1:4" x14ac:dyDescent="0.25">
      <c r="A2586" s="47"/>
      <c r="B2586" s="107"/>
      <c r="C2586" s="48"/>
      <c r="D2586" s="48"/>
    </row>
    <row r="2587" spans="1:4" x14ac:dyDescent="0.25">
      <c r="A2587" s="47"/>
      <c r="B2587" s="107"/>
      <c r="C2587" s="48"/>
      <c r="D2587" s="48"/>
    </row>
    <row r="2588" spans="1:4" x14ac:dyDescent="0.25">
      <c r="A2588" s="47"/>
      <c r="B2588" s="107"/>
      <c r="C2588" s="48"/>
      <c r="D2588" s="48"/>
    </row>
    <row r="2589" spans="1:4" x14ac:dyDescent="0.25">
      <c r="A2589" s="47"/>
      <c r="B2589" s="107"/>
      <c r="C2589" s="48"/>
      <c r="D2589" s="48"/>
    </row>
    <row r="2590" spans="1:4" x14ac:dyDescent="0.25">
      <c r="A2590" s="47"/>
      <c r="B2590" s="107"/>
      <c r="C2590" s="48"/>
      <c r="D2590" s="48"/>
    </row>
    <row r="2591" spans="1:4" x14ac:dyDescent="0.25">
      <c r="A2591" s="47"/>
      <c r="B2591" s="107"/>
      <c r="C2591" s="48"/>
      <c r="D2591" s="48"/>
    </row>
    <row r="2592" spans="1:4" x14ac:dyDescent="0.25">
      <c r="A2592" s="47"/>
      <c r="B2592" s="107"/>
      <c r="C2592" s="48"/>
      <c r="D2592" s="48"/>
    </row>
    <row r="2593" spans="1:4" x14ac:dyDescent="0.25">
      <c r="A2593" s="47"/>
      <c r="B2593" s="107"/>
      <c r="C2593" s="48"/>
      <c r="D2593" s="48"/>
    </row>
    <row r="2594" spans="1:4" x14ac:dyDescent="0.25">
      <c r="A2594" s="47"/>
      <c r="B2594" s="107"/>
      <c r="C2594" s="48"/>
      <c r="D2594" s="48"/>
    </row>
    <row r="2595" spans="1:4" x14ac:dyDescent="0.25">
      <c r="A2595" s="47"/>
      <c r="B2595" s="107"/>
      <c r="C2595" s="48"/>
      <c r="D2595" s="48"/>
    </row>
    <row r="2596" spans="1:4" x14ac:dyDescent="0.25">
      <c r="A2596" s="47"/>
      <c r="B2596" s="107"/>
      <c r="C2596" s="48"/>
      <c r="D2596" s="48"/>
    </row>
    <row r="2597" spans="1:4" x14ac:dyDescent="0.25">
      <c r="A2597" s="47"/>
      <c r="B2597" s="107"/>
      <c r="C2597" s="48"/>
      <c r="D2597" s="48"/>
    </row>
    <row r="2598" spans="1:4" x14ac:dyDescent="0.25">
      <c r="A2598" s="47"/>
      <c r="B2598" s="107"/>
      <c r="C2598" s="48"/>
      <c r="D2598" s="48"/>
    </row>
    <row r="2599" spans="1:4" x14ac:dyDescent="0.25">
      <c r="A2599" s="47"/>
      <c r="B2599" s="107"/>
      <c r="C2599" s="48"/>
      <c r="D2599" s="48"/>
    </row>
    <row r="2600" spans="1:4" x14ac:dyDescent="0.25">
      <c r="A2600" s="47"/>
      <c r="B2600" s="107"/>
      <c r="C2600" s="48"/>
      <c r="D2600" s="48"/>
    </row>
    <row r="2601" spans="1:4" x14ac:dyDescent="0.25">
      <c r="A2601" s="47"/>
      <c r="B2601" s="107"/>
      <c r="C2601" s="48"/>
      <c r="D2601" s="48"/>
    </row>
    <row r="2602" spans="1:4" x14ac:dyDescent="0.25">
      <c r="A2602" s="47"/>
      <c r="B2602" s="107"/>
      <c r="C2602" s="48"/>
      <c r="D2602" s="48"/>
    </row>
    <row r="2603" spans="1:4" x14ac:dyDescent="0.25">
      <c r="A2603" s="47"/>
      <c r="B2603" s="107"/>
      <c r="C2603" s="48"/>
      <c r="D2603" s="48"/>
    </row>
    <row r="2604" spans="1:4" x14ac:dyDescent="0.25">
      <c r="A2604" s="47"/>
      <c r="B2604" s="107"/>
      <c r="C2604" s="48"/>
      <c r="D2604" s="48"/>
    </row>
    <row r="2605" spans="1:4" x14ac:dyDescent="0.25">
      <c r="A2605" s="47"/>
      <c r="B2605" s="107"/>
      <c r="C2605" s="48"/>
      <c r="D2605" s="48"/>
    </row>
    <row r="2606" spans="1:4" x14ac:dyDescent="0.25">
      <c r="A2606" s="47"/>
      <c r="B2606" s="107"/>
      <c r="C2606" s="48"/>
      <c r="D2606" s="48"/>
    </row>
    <row r="2607" spans="1:4" x14ac:dyDescent="0.25">
      <c r="A2607" s="47"/>
      <c r="B2607" s="107"/>
      <c r="C2607" s="48"/>
      <c r="D2607" s="48"/>
    </row>
    <row r="2608" spans="1:4" x14ac:dyDescent="0.25">
      <c r="A2608" s="47"/>
      <c r="B2608" s="107"/>
      <c r="C2608" s="48"/>
      <c r="D2608" s="48"/>
    </row>
    <row r="2609" spans="1:4" x14ac:dyDescent="0.25">
      <c r="A2609" s="47"/>
      <c r="B2609" s="107"/>
      <c r="C2609" s="48"/>
      <c r="D2609" s="48"/>
    </row>
    <row r="2610" spans="1:4" x14ac:dyDescent="0.25">
      <c r="A2610" s="47"/>
      <c r="B2610" s="107"/>
      <c r="C2610" s="48"/>
      <c r="D2610" s="48"/>
    </row>
    <row r="2611" spans="1:4" x14ac:dyDescent="0.25">
      <c r="A2611" s="47"/>
      <c r="B2611" s="107"/>
      <c r="C2611" s="48"/>
      <c r="D2611" s="48"/>
    </row>
    <row r="2612" spans="1:4" x14ac:dyDescent="0.25">
      <c r="A2612" s="47"/>
      <c r="B2612" s="107"/>
      <c r="C2612" s="48"/>
      <c r="D2612" s="48"/>
    </row>
    <row r="2613" spans="1:4" x14ac:dyDescent="0.25">
      <c r="A2613" s="47"/>
      <c r="B2613" s="107"/>
      <c r="C2613" s="48"/>
      <c r="D2613" s="48"/>
    </row>
    <row r="2614" spans="1:4" x14ac:dyDescent="0.25">
      <c r="A2614" s="47"/>
      <c r="B2614" s="107"/>
      <c r="C2614" s="48"/>
      <c r="D2614" s="48"/>
    </row>
    <row r="2615" spans="1:4" x14ac:dyDescent="0.25">
      <c r="A2615" s="47"/>
      <c r="B2615" s="107"/>
      <c r="C2615" s="48"/>
      <c r="D2615" s="48"/>
    </row>
    <row r="2616" spans="1:4" x14ac:dyDescent="0.25">
      <c r="A2616" s="47"/>
      <c r="B2616" s="107"/>
      <c r="C2616" s="48"/>
      <c r="D2616" s="48"/>
    </row>
    <row r="2617" spans="1:4" x14ac:dyDescent="0.25">
      <c r="A2617" s="47"/>
      <c r="B2617" s="107"/>
      <c r="C2617" s="48"/>
      <c r="D2617" s="48"/>
    </row>
    <row r="2618" spans="1:4" x14ac:dyDescent="0.25">
      <c r="A2618" s="47"/>
      <c r="B2618" s="107"/>
      <c r="C2618" s="48"/>
      <c r="D2618" s="48"/>
    </row>
    <row r="2619" spans="1:4" x14ac:dyDescent="0.25">
      <c r="A2619" s="47"/>
      <c r="B2619" s="107"/>
      <c r="C2619" s="48"/>
      <c r="D2619" s="48"/>
    </row>
    <row r="2620" spans="1:4" x14ac:dyDescent="0.25">
      <c r="A2620" s="47"/>
      <c r="B2620" s="107"/>
      <c r="C2620" s="48"/>
      <c r="D2620" s="48"/>
    </row>
    <row r="2621" spans="1:4" x14ac:dyDescent="0.25">
      <c r="A2621" s="47"/>
      <c r="B2621" s="107"/>
      <c r="C2621" s="48"/>
      <c r="D2621" s="48"/>
    </row>
    <row r="2622" spans="1:4" x14ac:dyDescent="0.25">
      <c r="A2622" s="47"/>
      <c r="B2622" s="107"/>
      <c r="C2622" s="48"/>
      <c r="D2622" s="48"/>
    </row>
    <row r="2623" spans="1:4" x14ac:dyDescent="0.25">
      <c r="A2623" s="47"/>
      <c r="B2623" s="107"/>
      <c r="C2623" s="48"/>
      <c r="D2623" s="48"/>
    </row>
    <row r="2624" spans="1:4" x14ac:dyDescent="0.25">
      <c r="A2624" s="47"/>
      <c r="B2624" s="107"/>
      <c r="C2624" s="48"/>
      <c r="D2624" s="48"/>
    </row>
    <row r="2625" spans="1:4" x14ac:dyDescent="0.25">
      <c r="A2625" s="47"/>
      <c r="B2625" s="107"/>
      <c r="C2625" s="48"/>
      <c r="D2625" s="48"/>
    </row>
    <row r="2626" spans="1:4" x14ac:dyDescent="0.25">
      <c r="A2626" s="47"/>
      <c r="B2626" s="107"/>
      <c r="C2626" s="48"/>
      <c r="D2626" s="48"/>
    </row>
    <row r="2627" spans="1:4" x14ac:dyDescent="0.25">
      <c r="A2627" s="47"/>
      <c r="B2627" s="107"/>
      <c r="C2627" s="48"/>
      <c r="D2627" s="48"/>
    </row>
    <row r="2628" spans="1:4" x14ac:dyDescent="0.25">
      <c r="A2628" s="47"/>
      <c r="B2628" s="107"/>
      <c r="C2628" s="48"/>
      <c r="D2628" s="48"/>
    </row>
    <row r="2629" spans="1:4" x14ac:dyDescent="0.25">
      <c r="A2629" s="47"/>
      <c r="B2629" s="107"/>
      <c r="C2629" s="48"/>
      <c r="D2629" s="48"/>
    </row>
    <row r="2630" spans="1:4" x14ac:dyDescent="0.25">
      <c r="A2630" s="47"/>
      <c r="B2630" s="107"/>
      <c r="C2630" s="48"/>
      <c r="D2630" s="48"/>
    </row>
    <row r="2631" spans="1:4" x14ac:dyDescent="0.25">
      <c r="A2631" s="47"/>
      <c r="B2631" s="107"/>
      <c r="C2631" s="48"/>
      <c r="D2631" s="48"/>
    </row>
    <row r="2632" spans="1:4" x14ac:dyDescent="0.25">
      <c r="A2632" s="47"/>
      <c r="B2632" s="107"/>
      <c r="C2632" s="48"/>
      <c r="D2632" s="48"/>
    </row>
    <row r="2633" spans="1:4" x14ac:dyDescent="0.25">
      <c r="A2633" s="47"/>
      <c r="B2633" s="107"/>
      <c r="C2633" s="48"/>
      <c r="D2633" s="48"/>
    </row>
    <row r="2634" spans="1:4" x14ac:dyDescent="0.25">
      <c r="A2634" s="47"/>
      <c r="B2634" s="107"/>
      <c r="C2634" s="48"/>
      <c r="D2634" s="48"/>
    </row>
    <row r="2635" spans="1:4" x14ac:dyDescent="0.25">
      <c r="A2635" s="47"/>
      <c r="B2635" s="107"/>
      <c r="C2635" s="48"/>
      <c r="D2635" s="48"/>
    </row>
    <row r="2636" spans="1:4" x14ac:dyDescent="0.25">
      <c r="A2636" s="47"/>
      <c r="B2636" s="107"/>
      <c r="C2636" s="48"/>
      <c r="D2636" s="48"/>
    </row>
    <row r="2637" spans="1:4" x14ac:dyDescent="0.25">
      <c r="A2637" s="47"/>
      <c r="B2637" s="107"/>
      <c r="C2637" s="48"/>
      <c r="D2637" s="48"/>
    </row>
    <row r="2638" spans="1:4" x14ac:dyDescent="0.25">
      <c r="A2638" s="47"/>
      <c r="B2638" s="107"/>
      <c r="C2638" s="48"/>
      <c r="D2638" s="48"/>
    </row>
    <row r="2639" spans="1:4" x14ac:dyDescent="0.25">
      <c r="A2639" s="47"/>
      <c r="B2639" s="107"/>
      <c r="C2639" s="48"/>
      <c r="D2639" s="48"/>
    </row>
    <row r="2640" spans="1:4" x14ac:dyDescent="0.25">
      <c r="A2640" s="47"/>
      <c r="B2640" s="107"/>
      <c r="C2640" s="48"/>
      <c r="D2640" s="48"/>
    </row>
    <row r="2641" spans="1:4" x14ac:dyDescent="0.25">
      <c r="A2641" s="47"/>
      <c r="B2641" s="107"/>
      <c r="C2641" s="48"/>
      <c r="D2641" s="48"/>
    </row>
    <row r="2642" spans="1:4" x14ac:dyDescent="0.25">
      <c r="A2642" s="47"/>
      <c r="B2642" s="107"/>
      <c r="C2642" s="48"/>
      <c r="D2642" s="48"/>
    </row>
    <row r="2643" spans="1:4" x14ac:dyDescent="0.25">
      <c r="A2643" s="47"/>
      <c r="B2643" s="107"/>
      <c r="C2643" s="48"/>
      <c r="D2643" s="48"/>
    </row>
    <row r="2644" spans="1:4" x14ac:dyDescent="0.25">
      <c r="A2644" s="47"/>
      <c r="B2644" s="107"/>
      <c r="C2644" s="48"/>
      <c r="D2644" s="48"/>
    </row>
    <row r="2645" spans="1:4" x14ac:dyDescent="0.25">
      <c r="A2645" s="47"/>
      <c r="B2645" s="107"/>
      <c r="C2645" s="48"/>
      <c r="D2645" s="48"/>
    </row>
    <row r="2646" spans="1:4" x14ac:dyDescent="0.25">
      <c r="A2646" s="47"/>
      <c r="B2646" s="107"/>
      <c r="C2646" s="48"/>
      <c r="D2646" s="48"/>
    </row>
    <row r="2647" spans="1:4" x14ac:dyDescent="0.25">
      <c r="A2647" s="47"/>
      <c r="B2647" s="107"/>
      <c r="C2647" s="48"/>
      <c r="D2647" s="48"/>
    </row>
    <row r="2648" spans="1:4" x14ac:dyDescent="0.25">
      <c r="A2648" s="47"/>
      <c r="B2648" s="107"/>
      <c r="C2648" s="48"/>
      <c r="D2648" s="48"/>
    </row>
    <row r="2649" spans="1:4" x14ac:dyDescent="0.25">
      <c r="A2649" s="47"/>
      <c r="B2649" s="107"/>
      <c r="C2649" s="48"/>
      <c r="D2649" s="48"/>
    </row>
    <row r="2650" spans="1:4" x14ac:dyDescent="0.25">
      <c r="A2650" s="47"/>
      <c r="B2650" s="107"/>
      <c r="C2650" s="48"/>
      <c r="D2650" s="48"/>
    </row>
    <row r="2651" spans="1:4" x14ac:dyDescent="0.25">
      <c r="A2651" s="47"/>
      <c r="B2651" s="107"/>
      <c r="C2651" s="48"/>
      <c r="D2651" s="48"/>
    </row>
    <row r="2652" spans="1:4" x14ac:dyDescent="0.25">
      <c r="A2652" s="47"/>
      <c r="B2652" s="107"/>
      <c r="C2652" s="48"/>
      <c r="D2652" s="48"/>
    </row>
    <row r="2653" spans="1:4" x14ac:dyDescent="0.25">
      <c r="A2653" s="47"/>
      <c r="B2653" s="107"/>
      <c r="C2653" s="48"/>
      <c r="D2653" s="48"/>
    </row>
    <row r="2654" spans="1:4" x14ac:dyDescent="0.25">
      <c r="A2654" s="47"/>
      <c r="B2654" s="107"/>
      <c r="C2654" s="48"/>
      <c r="D2654" s="48"/>
    </row>
    <row r="2655" spans="1:4" x14ac:dyDescent="0.25">
      <c r="A2655" s="47"/>
      <c r="B2655" s="107"/>
      <c r="C2655" s="48"/>
      <c r="D2655" s="48"/>
    </row>
    <row r="2656" spans="1:4" x14ac:dyDescent="0.25">
      <c r="A2656" s="47"/>
      <c r="B2656" s="107"/>
      <c r="C2656" s="48"/>
      <c r="D2656" s="48"/>
    </row>
    <row r="2657" spans="1:4" x14ac:dyDescent="0.25">
      <c r="A2657" s="47"/>
      <c r="B2657" s="107"/>
      <c r="C2657" s="48"/>
      <c r="D2657" s="48"/>
    </row>
    <row r="2658" spans="1:4" x14ac:dyDescent="0.25">
      <c r="A2658" s="47"/>
      <c r="B2658" s="107"/>
      <c r="C2658" s="48"/>
      <c r="D2658" s="48"/>
    </row>
    <row r="2659" spans="1:4" x14ac:dyDescent="0.25">
      <c r="A2659" s="47"/>
      <c r="B2659" s="107"/>
      <c r="C2659" s="48"/>
      <c r="D2659" s="48"/>
    </row>
    <row r="2660" spans="1:4" x14ac:dyDescent="0.25">
      <c r="A2660" s="47"/>
      <c r="B2660" s="107"/>
      <c r="C2660" s="48"/>
      <c r="D2660" s="48"/>
    </row>
    <row r="2661" spans="1:4" x14ac:dyDescent="0.25">
      <c r="A2661" s="47"/>
      <c r="B2661" s="107"/>
      <c r="C2661" s="48"/>
      <c r="D2661" s="48"/>
    </row>
    <row r="2662" spans="1:4" x14ac:dyDescent="0.25">
      <c r="A2662" s="47"/>
      <c r="B2662" s="107"/>
      <c r="C2662" s="48"/>
      <c r="D2662" s="48"/>
    </row>
    <row r="2663" spans="1:4" x14ac:dyDescent="0.25">
      <c r="A2663" s="47"/>
      <c r="B2663" s="107"/>
      <c r="C2663" s="48"/>
      <c r="D2663" s="48"/>
    </row>
    <row r="2664" spans="1:4" x14ac:dyDescent="0.25">
      <c r="A2664" s="47"/>
      <c r="B2664" s="107"/>
      <c r="C2664" s="48"/>
      <c r="D2664" s="48"/>
    </row>
    <row r="2665" spans="1:4" x14ac:dyDescent="0.25">
      <c r="A2665" s="47"/>
      <c r="B2665" s="107"/>
      <c r="C2665" s="48"/>
      <c r="D2665" s="48"/>
    </row>
    <row r="2666" spans="1:4" x14ac:dyDescent="0.25">
      <c r="A2666" s="47"/>
      <c r="B2666" s="107"/>
      <c r="C2666" s="48"/>
      <c r="D2666" s="48"/>
    </row>
    <row r="2667" spans="1:4" x14ac:dyDescent="0.25">
      <c r="A2667" s="47"/>
      <c r="B2667" s="107"/>
      <c r="C2667" s="48"/>
      <c r="D2667" s="48"/>
    </row>
    <row r="2668" spans="1:4" x14ac:dyDescent="0.25">
      <c r="A2668" s="47"/>
      <c r="B2668" s="107"/>
      <c r="C2668" s="48"/>
      <c r="D2668" s="48"/>
    </row>
    <row r="2669" spans="1:4" x14ac:dyDescent="0.25">
      <c r="A2669" s="47"/>
      <c r="B2669" s="107"/>
      <c r="C2669" s="48"/>
      <c r="D2669" s="48"/>
    </row>
    <row r="2670" spans="1:4" x14ac:dyDescent="0.25">
      <c r="A2670" s="47"/>
      <c r="B2670" s="107"/>
      <c r="C2670" s="48"/>
      <c r="D2670" s="48"/>
    </row>
    <row r="2671" spans="1:4" x14ac:dyDescent="0.25">
      <c r="A2671" s="47"/>
      <c r="B2671" s="107"/>
      <c r="C2671" s="48"/>
      <c r="D2671" s="48"/>
    </row>
    <row r="2672" spans="1:4" x14ac:dyDescent="0.25">
      <c r="A2672" s="47"/>
      <c r="B2672" s="107"/>
      <c r="C2672" s="48"/>
      <c r="D2672" s="48"/>
    </row>
    <row r="2673" spans="1:4" x14ac:dyDescent="0.25">
      <c r="A2673" s="47"/>
      <c r="B2673" s="107"/>
      <c r="C2673" s="48"/>
      <c r="D2673" s="48"/>
    </row>
    <row r="2674" spans="1:4" x14ac:dyDescent="0.25">
      <c r="A2674" s="47"/>
      <c r="B2674" s="107"/>
      <c r="C2674" s="48"/>
      <c r="D2674" s="48"/>
    </row>
    <row r="2675" spans="1:4" x14ac:dyDescent="0.25">
      <c r="A2675" s="47"/>
      <c r="B2675" s="107"/>
      <c r="C2675" s="48"/>
      <c r="D2675" s="48"/>
    </row>
    <row r="2676" spans="1:4" x14ac:dyDescent="0.25">
      <c r="A2676" s="47"/>
      <c r="B2676" s="107"/>
      <c r="C2676" s="48"/>
      <c r="D2676" s="48"/>
    </row>
    <row r="2677" spans="1:4" x14ac:dyDescent="0.25">
      <c r="A2677" s="47"/>
      <c r="B2677" s="107"/>
      <c r="C2677" s="48"/>
      <c r="D2677" s="48"/>
    </row>
    <row r="2678" spans="1:4" x14ac:dyDescent="0.25">
      <c r="A2678" s="47"/>
      <c r="B2678" s="107"/>
      <c r="C2678" s="48"/>
      <c r="D2678" s="48"/>
    </row>
    <row r="2679" spans="1:4" x14ac:dyDescent="0.25">
      <c r="A2679" s="47"/>
      <c r="B2679" s="107"/>
      <c r="C2679" s="48"/>
      <c r="D2679" s="48"/>
    </row>
    <row r="2680" spans="1:4" x14ac:dyDescent="0.25">
      <c r="A2680" s="47"/>
      <c r="B2680" s="107"/>
      <c r="C2680" s="48"/>
      <c r="D2680" s="48"/>
    </row>
    <row r="2681" spans="1:4" x14ac:dyDescent="0.25">
      <c r="A2681" s="47"/>
      <c r="B2681" s="107"/>
      <c r="C2681" s="48"/>
      <c r="D2681" s="48"/>
    </row>
    <row r="2682" spans="1:4" x14ac:dyDescent="0.25">
      <c r="A2682" s="47"/>
      <c r="B2682" s="107"/>
      <c r="C2682" s="48"/>
      <c r="D2682" s="48"/>
    </row>
    <row r="2683" spans="1:4" x14ac:dyDescent="0.25">
      <c r="A2683" s="47"/>
      <c r="B2683" s="107"/>
      <c r="C2683" s="48"/>
      <c r="D2683" s="48"/>
    </row>
    <row r="2684" spans="1:4" x14ac:dyDescent="0.25">
      <c r="A2684" s="47"/>
      <c r="B2684" s="107"/>
      <c r="C2684" s="48"/>
      <c r="D2684" s="48"/>
    </row>
    <row r="2685" spans="1:4" x14ac:dyDescent="0.25">
      <c r="A2685" s="47"/>
      <c r="B2685" s="107"/>
      <c r="C2685" s="48"/>
      <c r="D2685" s="48"/>
    </row>
    <row r="2686" spans="1:4" x14ac:dyDescent="0.25">
      <c r="A2686" s="47"/>
      <c r="B2686" s="107"/>
      <c r="C2686" s="48"/>
      <c r="D2686" s="48"/>
    </row>
    <row r="2687" spans="1:4" x14ac:dyDescent="0.25">
      <c r="A2687" s="47"/>
      <c r="B2687" s="107"/>
      <c r="C2687" s="48"/>
      <c r="D2687" s="48"/>
    </row>
    <row r="2688" spans="1:4" x14ac:dyDescent="0.25">
      <c r="A2688" s="47"/>
      <c r="B2688" s="107"/>
      <c r="C2688" s="48"/>
      <c r="D2688" s="48"/>
    </row>
    <row r="2689" spans="1:4" x14ac:dyDescent="0.25">
      <c r="A2689" s="47"/>
      <c r="B2689" s="107"/>
      <c r="C2689" s="48"/>
      <c r="D2689" s="48"/>
    </row>
    <row r="2690" spans="1:4" x14ac:dyDescent="0.25">
      <c r="A2690" s="47"/>
      <c r="B2690" s="107"/>
      <c r="C2690" s="48"/>
      <c r="D2690" s="48"/>
    </row>
    <row r="2691" spans="1:4" x14ac:dyDescent="0.25">
      <c r="A2691" s="47"/>
      <c r="B2691" s="107"/>
      <c r="C2691" s="48"/>
      <c r="D2691" s="48"/>
    </row>
    <row r="2692" spans="1:4" x14ac:dyDescent="0.25">
      <c r="A2692" s="47"/>
      <c r="B2692" s="107"/>
      <c r="C2692" s="48"/>
      <c r="D2692" s="48"/>
    </row>
    <row r="2693" spans="1:4" x14ac:dyDescent="0.25">
      <c r="A2693" s="47"/>
      <c r="B2693" s="107"/>
      <c r="C2693" s="48"/>
      <c r="D2693" s="48"/>
    </row>
    <row r="2694" spans="1:4" x14ac:dyDescent="0.25">
      <c r="A2694" s="47"/>
      <c r="B2694" s="107"/>
      <c r="C2694" s="48"/>
      <c r="D2694" s="48"/>
    </row>
    <row r="2695" spans="1:4" x14ac:dyDescent="0.25">
      <c r="A2695" s="47"/>
      <c r="B2695" s="107"/>
      <c r="C2695" s="48"/>
      <c r="D2695" s="48"/>
    </row>
    <row r="2696" spans="1:4" x14ac:dyDescent="0.25">
      <c r="A2696" s="47"/>
      <c r="B2696" s="107"/>
      <c r="C2696" s="48"/>
      <c r="D2696" s="48"/>
    </row>
    <row r="2697" spans="1:4" x14ac:dyDescent="0.25">
      <c r="A2697" s="47"/>
      <c r="B2697" s="107"/>
      <c r="C2697" s="48"/>
      <c r="D2697" s="48"/>
    </row>
    <row r="2698" spans="1:4" x14ac:dyDescent="0.25">
      <c r="A2698" s="47"/>
      <c r="B2698" s="107"/>
      <c r="C2698" s="48"/>
      <c r="D2698" s="48"/>
    </row>
    <row r="2699" spans="1:4" x14ac:dyDescent="0.25">
      <c r="A2699" s="47"/>
      <c r="B2699" s="107"/>
      <c r="C2699" s="48"/>
      <c r="D2699" s="48"/>
    </row>
    <row r="2700" spans="1:4" x14ac:dyDescent="0.25">
      <c r="A2700" s="47"/>
      <c r="B2700" s="107"/>
      <c r="C2700" s="48"/>
      <c r="D2700" s="48"/>
    </row>
    <row r="2701" spans="1:4" x14ac:dyDescent="0.25">
      <c r="A2701" s="47"/>
      <c r="B2701" s="107"/>
      <c r="C2701" s="48"/>
      <c r="D2701" s="48"/>
    </row>
    <row r="2702" spans="1:4" x14ac:dyDescent="0.25">
      <c r="A2702" s="47"/>
      <c r="B2702" s="107"/>
      <c r="C2702" s="48"/>
      <c r="D2702" s="48"/>
    </row>
    <row r="2703" spans="1:4" x14ac:dyDescent="0.25">
      <c r="A2703" s="47"/>
      <c r="B2703" s="107"/>
      <c r="C2703" s="48"/>
      <c r="D2703" s="48"/>
    </row>
    <row r="2704" spans="1:4" x14ac:dyDescent="0.25">
      <c r="A2704" s="47"/>
      <c r="B2704" s="107"/>
      <c r="C2704" s="48"/>
      <c r="D2704" s="48"/>
    </row>
    <row r="2705" spans="1:4" x14ac:dyDescent="0.25">
      <c r="A2705" s="47"/>
      <c r="B2705" s="107"/>
      <c r="C2705" s="48"/>
      <c r="D2705" s="48"/>
    </row>
    <row r="2706" spans="1:4" x14ac:dyDescent="0.25">
      <c r="A2706" s="47"/>
      <c r="B2706" s="107"/>
      <c r="C2706" s="48"/>
      <c r="D2706" s="48"/>
    </row>
    <row r="2707" spans="1:4" x14ac:dyDescent="0.25">
      <c r="A2707" s="47"/>
      <c r="B2707" s="107"/>
      <c r="C2707" s="48"/>
      <c r="D2707" s="48"/>
    </row>
    <row r="2708" spans="1:4" x14ac:dyDescent="0.25">
      <c r="A2708" s="47"/>
      <c r="B2708" s="107"/>
      <c r="C2708" s="48"/>
      <c r="D2708" s="48"/>
    </row>
    <row r="2709" spans="1:4" x14ac:dyDescent="0.25">
      <c r="A2709" s="47"/>
      <c r="B2709" s="107"/>
      <c r="C2709" s="48"/>
      <c r="D2709" s="48"/>
    </row>
    <row r="2710" spans="1:4" x14ac:dyDescent="0.25">
      <c r="A2710" s="47"/>
      <c r="B2710" s="107"/>
      <c r="C2710" s="48"/>
      <c r="D2710" s="48"/>
    </row>
    <row r="2711" spans="1:4" x14ac:dyDescent="0.25">
      <c r="A2711" s="47"/>
      <c r="B2711" s="107"/>
      <c r="C2711" s="48"/>
      <c r="D2711" s="48"/>
    </row>
    <row r="2712" spans="1:4" x14ac:dyDescent="0.25">
      <c r="A2712" s="47"/>
      <c r="B2712" s="107"/>
      <c r="C2712" s="48"/>
      <c r="D2712" s="48"/>
    </row>
    <row r="2713" spans="1:4" x14ac:dyDescent="0.25">
      <c r="A2713" s="47"/>
      <c r="B2713" s="107"/>
      <c r="C2713" s="48"/>
      <c r="D2713" s="48"/>
    </row>
    <row r="2714" spans="1:4" x14ac:dyDescent="0.25">
      <c r="A2714" s="47"/>
      <c r="B2714" s="107"/>
      <c r="C2714" s="48"/>
      <c r="D2714" s="48"/>
    </row>
    <row r="2715" spans="1:4" x14ac:dyDescent="0.25">
      <c r="A2715" s="47"/>
      <c r="B2715" s="107"/>
      <c r="C2715" s="48"/>
      <c r="D2715" s="48"/>
    </row>
    <row r="2716" spans="1:4" x14ac:dyDescent="0.25">
      <c r="A2716" s="47"/>
      <c r="B2716" s="107"/>
      <c r="C2716" s="48"/>
      <c r="D2716" s="48"/>
    </row>
    <row r="2717" spans="1:4" x14ac:dyDescent="0.25">
      <c r="A2717" s="47"/>
      <c r="B2717" s="107"/>
      <c r="C2717" s="48"/>
      <c r="D2717" s="48"/>
    </row>
    <row r="2718" spans="1:4" x14ac:dyDescent="0.25">
      <c r="A2718" s="47"/>
      <c r="B2718" s="107"/>
      <c r="C2718" s="48"/>
      <c r="D2718" s="48"/>
    </row>
    <row r="2719" spans="1:4" x14ac:dyDescent="0.25">
      <c r="A2719" s="47"/>
      <c r="B2719" s="107"/>
      <c r="C2719" s="48"/>
      <c r="D2719" s="48"/>
    </row>
    <row r="2720" spans="1:4" x14ac:dyDescent="0.25">
      <c r="A2720" s="47"/>
      <c r="B2720" s="107"/>
      <c r="C2720" s="48"/>
      <c r="D2720" s="48"/>
    </row>
    <row r="2721" spans="1:4" x14ac:dyDescent="0.25">
      <c r="A2721" s="47"/>
      <c r="B2721" s="107"/>
      <c r="C2721" s="48"/>
      <c r="D2721" s="48"/>
    </row>
    <row r="2722" spans="1:4" x14ac:dyDescent="0.25">
      <c r="A2722" s="47"/>
      <c r="B2722" s="107"/>
      <c r="C2722" s="48"/>
      <c r="D2722" s="48"/>
    </row>
    <row r="2723" spans="1:4" x14ac:dyDescent="0.25">
      <c r="A2723" s="47"/>
      <c r="B2723" s="107"/>
      <c r="C2723" s="48"/>
      <c r="D2723" s="48"/>
    </row>
    <row r="2724" spans="1:4" x14ac:dyDescent="0.25">
      <c r="A2724" s="47"/>
      <c r="B2724" s="107"/>
      <c r="C2724" s="48"/>
      <c r="D2724" s="48"/>
    </row>
    <row r="2725" spans="1:4" x14ac:dyDescent="0.25">
      <c r="A2725" s="47"/>
      <c r="B2725" s="107"/>
      <c r="C2725" s="48"/>
      <c r="D2725" s="48"/>
    </row>
    <row r="2726" spans="1:4" x14ac:dyDescent="0.25">
      <c r="A2726" s="47"/>
      <c r="B2726" s="107"/>
      <c r="C2726" s="48"/>
      <c r="D2726" s="48"/>
    </row>
    <row r="2727" spans="1:4" x14ac:dyDescent="0.25">
      <c r="A2727" s="47"/>
      <c r="B2727" s="107"/>
      <c r="C2727" s="48"/>
      <c r="D2727" s="48"/>
    </row>
    <row r="2728" spans="1:4" x14ac:dyDescent="0.25">
      <c r="A2728" s="47"/>
      <c r="B2728" s="107"/>
      <c r="C2728" s="48"/>
      <c r="D2728" s="48"/>
    </row>
    <row r="2729" spans="1:4" x14ac:dyDescent="0.25">
      <c r="A2729" s="47"/>
      <c r="B2729" s="107"/>
      <c r="C2729" s="48"/>
      <c r="D2729" s="48"/>
    </row>
    <row r="2730" spans="1:4" x14ac:dyDescent="0.25">
      <c r="A2730" s="47"/>
      <c r="B2730" s="107"/>
      <c r="C2730" s="48"/>
      <c r="D2730" s="48"/>
    </row>
    <row r="2731" spans="1:4" x14ac:dyDescent="0.25">
      <c r="A2731" s="47"/>
      <c r="B2731" s="107"/>
      <c r="C2731" s="48"/>
      <c r="D2731" s="48"/>
    </row>
    <row r="2732" spans="1:4" x14ac:dyDescent="0.25">
      <c r="A2732" s="47"/>
      <c r="B2732" s="107"/>
      <c r="C2732" s="48"/>
      <c r="D2732" s="48"/>
    </row>
    <row r="2733" spans="1:4" x14ac:dyDescent="0.25">
      <c r="A2733" s="47"/>
      <c r="B2733" s="107"/>
      <c r="C2733" s="48"/>
      <c r="D2733" s="48"/>
    </row>
    <row r="2734" spans="1:4" x14ac:dyDescent="0.25">
      <c r="A2734" s="47"/>
      <c r="B2734" s="107"/>
      <c r="C2734" s="48"/>
      <c r="D2734" s="48"/>
    </row>
    <row r="2735" spans="1:4" x14ac:dyDescent="0.25">
      <c r="A2735" s="47"/>
      <c r="B2735" s="107"/>
      <c r="C2735" s="48"/>
      <c r="D2735" s="48"/>
    </row>
    <row r="2736" spans="1:4" x14ac:dyDescent="0.25">
      <c r="A2736" s="47"/>
      <c r="B2736" s="107"/>
      <c r="C2736" s="48"/>
      <c r="D2736" s="48"/>
    </row>
    <row r="2737" spans="1:4" x14ac:dyDescent="0.25">
      <c r="A2737" s="47"/>
      <c r="B2737" s="107"/>
      <c r="C2737" s="48"/>
      <c r="D2737" s="48"/>
    </row>
    <row r="2738" spans="1:4" x14ac:dyDescent="0.25">
      <c r="A2738" s="47"/>
      <c r="B2738" s="107"/>
      <c r="C2738" s="48"/>
      <c r="D2738" s="48"/>
    </row>
    <row r="2739" spans="1:4" x14ac:dyDescent="0.25">
      <c r="A2739" s="47"/>
      <c r="B2739" s="107"/>
      <c r="C2739" s="48"/>
      <c r="D2739" s="48"/>
    </row>
    <row r="2740" spans="1:4" x14ac:dyDescent="0.25">
      <c r="A2740" s="47"/>
      <c r="B2740" s="107"/>
      <c r="C2740" s="48"/>
      <c r="D2740" s="48"/>
    </row>
    <row r="2741" spans="1:4" x14ac:dyDescent="0.25">
      <c r="A2741" s="47"/>
      <c r="B2741" s="107"/>
      <c r="C2741" s="48"/>
      <c r="D2741" s="48"/>
    </row>
    <row r="2742" spans="1:4" x14ac:dyDescent="0.25">
      <c r="A2742" s="47"/>
      <c r="B2742" s="107"/>
      <c r="C2742" s="48"/>
      <c r="D2742" s="48"/>
    </row>
    <row r="2743" spans="1:4" x14ac:dyDescent="0.25">
      <c r="A2743" s="47"/>
      <c r="B2743" s="107"/>
      <c r="C2743" s="48"/>
      <c r="D2743" s="48"/>
    </row>
    <row r="2744" spans="1:4" x14ac:dyDescent="0.25">
      <c r="A2744" s="47"/>
      <c r="B2744" s="107"/>
      <c r="C2744" s="48"/>
      <c r="D2744" s="48"/>
    </row>
    <row r="2745" spans="1:4" x14ac:dyDescent="0.25">
      <c r="A2745" s="47"/>
      <c r="B2745" s="107"/>
      <c r="C2745" s="48"/>
      <c r="D2745" s="48"/>
    </row>
    <row r="2746" spans="1:4" x14ac:dyDescent="0.25">
      <c r="A2746" s="47"/>
      <c r="B2746" s="107"/>
      <c r="C2746" s="48"/>
      <c r="D2746" s="48"/>
    </row>
    <row r="2747" spans="1:4" x14ac:dyDescent="0.25">
      <c r="A2747" s="47"/>
      <c r="B2747" s="107"/>
      <c r="C2747" s="48"/>
      <c r="D2747" s="48"/>
    </row>
    <row r="2748" spans="1:4" x14ac:dyDescent="0.25">
      <c r="A2748" s="47"/>
      <c r="B2748" s="107"/>
      <c r="C2748" s="48"/>
      <c r="D2748" s="48"/>
    </row>
    <row r="2749" spans="1:4" x14ac:dyDescent="0.25">
      <c r="A2749" s="47"/>
      <c r="B2749" s="107"/>
      <c r="C2749" s="48"/>
      <c r="D2749" s="48"/>
    </row>
    <row r="2750" spans="1:4" x14ac:dyDescent="0.25">
      <c r="A2750" s="47"/>
      <c r="B2750" s="107"/>
      <c r="C2750" s="48"/>
      <c r="D2750" s="48"/>
    </row>
    <row r="2751" spans="1:4" x14ac:dyDescent="0.25">
      <c r="A2751" s="47"/>
      <c r="B2751" s="107"/>
      <c r="C2751" s="48"/>
      <c r="D2751" s="48"/>
    </row>
    <row r="2752" spans="1:4" x14ac:dyDescent="0.25">
      <c r="A2752" s="47"/>
      <c r="B2752" s="107"/>
      <c r="C2752" s="48"/>
      <c r="D2752" s="48"/>
    </row>
    <row r="2753" spans="1:4" x14ac:dyDescent="0.25">
      <c r="A2753" s="47"/>
      <c r="B2753" s="107"/>
      <c r="C2753" s="48"/>
      <c r="D2753" s="48"/>
    </row>
    <row r="2754" spans="1:4" x14ac:dyDescent="0.25">
      <c r="A2754" s="47"/>
      <c r="B2754" s="107"/>
      <c r="C2754" s="48"/>
      <c r="D2754" s="48"/>
    </row>
    <row r="2755" spans="1:4" x14ac:dyDescent="0.25">
      <c r="A2755" s="47"/>
      <c r="B2755" s="107"/>
      <c r="C2755" s="48"/>
      <c r="D2755" s="48"/>
    </row>
    <row r="2756" spans="1:4" x14ac:dyDescent="0.25">
      <c r="A2756" s="47"/>
      <c r="B2756" s="107"/>
      <c r="C2756" s="48"/>
      <c r="D2756" s="48"/>
    </row>
    <row r="2757" spans="1:4" x14ac:dyDescent="0.25">
      <c r="A2757" s="47"/>
      <c r="B2757" s="107"/>
      <c r="C2757" s="48"/>
      <c r="D2757" s="48"/>
    </row>
    <row r="2758" spans="1:4" x14ac:dyDescent="0.25">
      <c r="A2758" s="47"/>
      <c r="B2758" s="107"/>
      <c r="C2758" s="48"/>
      <c r="D2758" s="48"/>
    </row>
    <row r="2759" spans="1:4" x14ac:dyDescent="0.25">
      <c r="A2759" s="47"/>
      <c r="B2759" s="107"/>
      <c r="C2759" s="48"/>
      <c r="D2759" s="48"/>
    </row>
    <row r="2760" spans="1:4" x14ac:dyDescent="0.25">
      <c r="A2760" s="47"/>
      <c r="B2760" s="107"/>
      <c r="C2760" s="48"/>
      <c r="D2760" s="48"/>
    </row>
    <row r="2761" spans="1:4" x14ac:dyDescent="0.25">
      <c r="A2761" s="47"/>
      <c r="B2761" s="107"/>
      <c r="C2761" s="48"/>
      <c r="D2761" s="48"/>
    </row>
    <row r="2762" spans="1:4" x14ac:dyDescent="0.25">
      <c r="A2762" s="47"/>
      <c r="B2762" s="107"/>
      <c r="C2762" s="48"/>
      <c r="D2762" s="48"/>
    </row>
    <row r="2763" spans="1:4" x14ac:dyDescent="0.25">
      <c r="A2763" s="47"/>
      <c r="B2763" s="107"/>
      <c r="C2763" s="48"/>
      <c r="D2763" s="48"/>
    </row>
    <row r="2764" spans="1:4" x14ac:dyDescent="0.25">
      <c r="A2764" s="47"/>
      <c r="B2764" s="107"/>
      <c r="C2764" s="48"/>
      <c r="D2764" s="48"/>
    </row>
    <row r="2765" spans="1:4" x14ac:dyDescent="0.25">
      <c r="A2765" s="47"/>
      <c r="B2765" s="107"/>
      <c r="C2765" s="48"/>
      <c r="D2765" s="48"/>
    </row>
    <row r="2766" spans="1:4" x14ac:dyDescent="0.25">
      <c r="A2766" s="47"/>
      <c r="B2766" s="107"/>
      <c r="C2766" s="48"/>
      <c r="D2766" s="48"/>
    </row>
    <row r="2767" spans="1:4" x14ac:dyDescent="0.25">
      <c r="A2767" s="47"/>
      <c r="B2767" s="107"/>
      <c r="C2767" s="48"/>
      <c r="D2767" s="48"/>
    </row>
    <row r="2768" spans="1:4" x14ac:dyDescent="0.25">
      <c r="A2768" s="47"/>
      <c r="B2768" s="107"/>
      <c r="C2768" s="48"/>
      <c r="D2768" s="48"/>
    </row>
    <row r="2769" spans="1:4" x14ac:dyDescent="0.25">
      <c r="A2769" s="47"/>
      <c r="B2769" s="107"/>
      <c r="C2769" s="48"/>
      <c r="D2769" s="48"/>
    </row>
    <row r="2770" spans="1:4" x14ac:dyDescent="0.25">
      <c r="A2770" s="47"/>
      <c r="B2770" s="107"/>
      <c r="C2770" s="48"/>
      <c r="D2770" s="48"/>
    </row>
    <row r="2771" spans="1:4" x14ac:dyDescent="0.25">
      <c r="A2771" s="47"/>
      <c r="B2771" s="107"/>
      <c r="C2771" s="48"/>
      <c r="D2771" s="48"/>
    </row>
    <row r="2772" spans="1:4" x14ac:dyDescent="0.25">
      <c r="A2772" s="47"/>
      <c r="B2772" s="107"/>
      <c r="C2772" s="48"/>
      <c r="D2772" s="48"/>
    </row>
    <row r="2773" spans="1:4" x14ac:dyDescent="0.25">
      <c r="A2773" s="47"/>
      <c r="B2773" s="107"/>
      <c r="C2773" s="48"/>
      <c r="D2773" s="48"/>
    </row>
    <row r="2774" spans="1:4" x14ac:dyDescent="0.25">
      <c r="A2774" s="47"/>
      <c r="B2774" s="107"/>
      <c r="C2774" s="48"/>
      <c r="D2774" s="48"/>
    </row>
    <row r="2775" spans="1:4" x14ac:dyDescent="0.25">
      <c r="A2775" s="47"/>
      <c r="B2775" s="107"/>
      <c r="C2775" s="48"/>
      <c r="D2775" s="48"/>
    </row>
    <row r="2776" spans="1:4" x14ac:dyDescent="0.25">
      <c r="A2776" s="47"/>
      <c r="B2776" s="107"/>
      <c r="C2776" s="48"/>
      <c r="D2776" s="48"/>
    </row>
    <row r="2777" spans="1:4" x14ac:dyDescent="0.25">
      <c r="A2777" s="47"/>
      <c r="B2777" s="107"/>
      <c r="C2777" s="48"/>
      <c r="D2777" s="48"/>
    </row>
    <row r="2778" spans="1:4" x14ac:dyDescent="0.25">
      <c r="A2778" s="47"/>
      <c r="B2778" s="107"/>
      <c r="C2778" s="48"/>
      <c r="D2778" s="48"/>
    </row>
    <row r="2779" spans="1:4" x14ac:dyDescent="0.25">
      <c r="A2779" s="47"/>
      <c r="B2779" s="107"/>
      <c r="C2779" s="48"/>
      <c r="D2779" s="48"/>
    </row>
    <row r="2780" spans="1:4" x14ac:dyDescent="0.25">
      <c r="A2780" s="47"/>
      <c r="B2780" s="107"/>
      <c r="C2780" s="48"/>
      <c r="D2780" s="48"/>
    </row>
    <row r="2781" spans="1:4" x14ac:dyDescent="0.25">
      <c r="A2781" s="47"/>
      <c r="B2781" s="107"/>
      <c r="C2781" s="48"/>
      <c r="D2781" s="48"/>
    </row>
    <row r="2782" spans="1:4" x14ac:dyDescent="0.25">
      <c r="A2782" s="47"/>
      <c r="B2782" s="107"/>
      <c r="C2782" s="48"/>
      <c r="D2782" s="48"/>
    </row>
    <row r="2783" spans="1:4" x14ac:dyDescent="0.25">
      <c r="A2783" s="47"/>
      <c r="B2783" s="107"/>
      <c r="C2783" s="48"/>
      <c r="D2783" s="48"/>
    </row>
    <row r="2784" spans="1:4" x14ac:dyDescent="0.25">
      <c r="A2784" s="47"/>
      <c r="B2784" s="107"/>
      <c r="C2784" s="48"/>
      <c r="D2784" s="48"/>
    </row>
    <row r="2785" spans="1:4" x14ac:dyDescent="0.25">
      <c r="A2785" s="47"/>
      <c r="B2785" s="107"/>
      <c r="C2785" s="48"/>
      <c r="D2785" s="48"/>
    </row>
    <row r="2786" spans="1:4" x14ac:dyDescent="0.25">
      <c r="A2786" s="47"/>
      <c r="B2786" s="107"/>
      <c r="C2786" s="48"/>
      <c r="D2786" s="48"/>
    </row>
    <row r="2787" spans="1:4" x14ac:dyDescent="0.25">
      <c r="A2787" s="47"/>
      <c r="B2787" s="107"/>
      <c r="C2787" s="48"/>
      <c r="D2787" s="48"/>
    </row>
    <row r="2788" spans="1:4" x14ac:dyDescent="0.25">
      <c r="A2788" s="47"/>
      <c r="B2788" s="107"/>
      <c r="C2788" s="48"/>
      <c r="D2788" s="48"/>
    </row>
    <row r="2789" spans="1:4" x14ac:dyDescent="0.25">
      <c r="A2789" s="47"/>
      <c r="B2789" s="107"/>
      <c r="C2789" s="48"/>
      <c r="D2789" s="48"/>
    </row>
    <row r="2790" spans="1:4" x14ac:dyDescent="0.25">
      <c r="A2790" s="47"/>
      <c r="B2790" s="107"/>
      <c r="C2790" s="48"/>
      <c r="D2790" s="48"/>
    </row>
    <row r="2791" spans="1:4" x14ac:dyDescent="0.25">
      <c r="A2791" s="47"/>
      <c r="B2791" s="107"/>
      <c r="C2791" s="48"/>
      <c r="D2791" s="48"/>
    </row>
    <row r="2792" spans="1:4" x14ac:dyDescent="0.25">
      <c r="A2792" s="47"/>
      <c r="B2792" s="107"/>
      <c r="C2792" s="48"/>
      <c r="D2792" s="48"/>
    </row>
    <row r="2793" spans="1:4" x14ac:dyDescent="0.25">
      <c r="A2793" s="47"/>
      <c r="B2793" s="107"/>
      <c r="C2793" s="48"/>
      <c r="D2793" s="48"/>
    </row>
    <row r="2794" spans="1:4" x14ac:dyDescent="0.25">
      <c r="A2794" s="47"/>
      <c r="B2794" s="107"/>
      <c r="C2794" s="48"/>
      <c r="D2794" s="48"/>
    </row>
    <row r="2795" spans="1:4" x14ac:dyDescent="0.25">
      <c r="A2795" s="47"/>
      <c r="B2795" s="107"/>
      <c r="C2795" s="48"/>
      <c r="D2795" s="48"/>
    </row>
    <row r="2796" spans="1:4" x14ac:dyDescent="0.25">
      <c r="A2796" s="47"/>
      <c r="B2796" s="107"/>
      <c r="C2796" s="48"/>
      <c r="D2796" s="48"/>
    </row>
    <row r="2797" spans="1:4" x14ac:dyDescent="0.25">
      <c r="A2797" s="47"/>
      <c r="B2797" s="107"/>
      <c r="C2797" s="48"/>
      <c r="D2797" s="48"/>
    </row>
    <row r="2798" spans="1:4" x14ac:dyDescent="0.25">
      <c r="A2798" s="47"/>
      <c r="B2798" s="107"/>
      <c r="C2798" s="48"/>
      <c r="D2798" s="48"/>
    </row>
    <row r="2799" spans="1:4" x14ac:dyDescent="0.25">
      <c r="A2799" s="47"/>
      <c r="B2799" s="107"/>
      <c r="C2799" s="48"/>
      <c r="D2799" s="48"/>
    </row>
    <row r="2800" spans="1:4" x14ac:dyDescent="0.25">
      <c r="A2800" s="47"/>
      <c r="B2800" s="107"/>
      <c r="C2800" s="48"/>
      <c r="D2800" s="48"/>
    </row>
    <row r="2801" spans="1:4" x14ac:dyDescent="0.25">
      <c r="A2801" s="47"/>
      <c r="B2801" s="107"/>
      <c r="C2801" s="48"/>
      <c r="D2801" s="48"/>
    </row>
    <row r="2802" spans="1:4" x14ac:dyDescent="0.25">
      <c r="A2802" s="47"/>
      <c r="B2802" s="107"/>
      <c r="C2802" s="48"/>
      <c r="D2802" s="48"/>
    </row>
    <row r="2803" spans="1:4" x14ac:dyDescent="0.25">
      <c r="A2803" s="47"/>
      <c r="B2803" s="107"/>
      <c r="C2803" s="48"/>
      <c r="D2803" s="48"/>
    </row>
    <row r="2804" spans="1:4" x14ac:dyDescent="0.25">
      <c r="A2804" s="47"/>
      <c r="B2804" s="107"/>
      <c r="C2804" s="48"/>
      <c r="D2804" s="48"/>
    </row>
    <row r="2805" spans="1:4" x14ac:dyDescent="0.25">
      <c r="A2805" s="47"/>
      <c r="B2805" s="107"/>
      <c r="C2805" s="48"/>
      <c r="D2805" s="48"/>
    </row>
    <row r="2806" spans="1:4" x14ac:dyDescent="0.25">
      <c r="A2806" s="47"/>
      <c r="B2806" s="107"/>
      <c r="C2806" s="48"/>
      <c r="D2806" s="48"/>
    </row>
    <row r="2807" spans="1:4" x14ac:dyDescent="0.25">
      <c r="A2807" s="47"/>
      <c r="B2807" s="107"/>
      <c r="C2807" s="48"/>
      <c r="D2807" s="48"/>
    </row>
    <row r="2808" spans="1:4" x14ac:dyDescent="0.25">
      <c r="A2808" s="47"/>
      <c r="B2808" s="107"/>
      <c r="C2808" s="48"/>
      <c r="D2808" s="48"/>
    </row>
    <row r="2809" spans="1:4" x14ac:dyDescent="0.25">
      <c r="A2809" s="47"/>
      <c r="B2809" s="107"/>
      <c r="C2809" s="48"/>
      <c r="D2809" s="48"/>
    </row>
    <row r="2810" spans="1:4" x14ac:dyDescent="0.25">
      <c r="A2810" s="47"/>
      <c r="B2810" s="107"/>
      <c r="C2810" s="48"/>
      <c r="D2810" s="48"/>
    </row>
    <row r="2811" spans="1:4" x14ac:dyDescent="0.25">
      <c r="A2811" s="47"/>
      <c r="B2811" s="107"/>
      <c r="C2811" s="48"/>
      <c r="D2811" s="48"/>
    </row>
    <row r="2812" spans="1:4" x14ac:dyDescent="0.25">
      <c r="A2812" s="47"/>
      <c r="B2812" s="107"/>
      <c r="C2812" s="48"/>
      <c r="D2812" s="48"/>
    </row>
    <row r="2813" spans="1:4" x14ac:dyDescent="0.25">
      <c r="A2813" s="47"/>
      <c r="B2813" s="107"/>
      <c r="C2813" s="48"/>
      <c r="D2813" s="48"/>
    </row>
    <row r="2814" spans="1:4" x14ac:dyDescent="0.25">
      <c r="A2814" s="47"/>
      <c r="B2814" s="107"/>
      <c r="C2814" s="48"/>
      <c r="D2814" s="48"/>
    </row>
    <row r="2815" spans="1:4" x14ac:dyDescent="0.25">
      <c r="A2815" s="47"/>
      <c r="B2815" s="107"/>
      <c r="C2815" s="48"/>
      <c r="D2815" s="48"/>
    </row>
    <row r="2816" spans="1:4" x14ac:dyDescent="0.25">
      <c r="A2816" s="47"/>
      <c r="B2816" s="107"/>
      <c r="C2816" s="48"/>
      <c r="D2816" s="48"/>
    </row>
    <row r="2817" spans="1:4" x14ac:dyDescent="0.25">
      <c r="A2817" s="47"/>
      <c r="B2817" s="107"/>
      <c r="C2817" s="48"/>
      <c r="D2817" s="48"/>
    </row>
    <row r="2818" spans="1:4" x14ac:dyDescent="0.25">
      <c r="A2818" s="47"/>
      <c r="B2818" s="107"/>
      <c r="C2818" s="48"/>
      <c r="D2818" s="48"/>
    </row>
    <row r="2819" spans="1:4" x14ac:dyDescent="0.25">
      <c r="A2819" s="47"/>
      <c r="B2819" s="107"/>
      <c r="C2819" s="48"/>
      <c r="D2819" s="48"/>
    </row>
    <row r="2820" spans="1:4" x14ac:dyDescent="0.25">
      <c r="A2820" s="47"/>
      <c r="B2820" s="107"/>
      <c r="C2820" s="48"/>
      <c r="D2820" s="48"/>
    </row>
    <row r="2821" spans="1:4" x14ac:dyDescent="0.25">
      <c r="A2821" s="47"/>
      <c r="B2821" s="107"/>
      <c r="C2821" s="48"/>
      <c r="D2821" s="48"/>
    </row>
    <row r="2822" spans="1:4" x14ac:dyDescent="0.25">
      <c r="A2822" s="47"/>
      <c r="B2822" s="107"/>
      <c r="C2822" s="48"/>
      <c r="D2822" s="48"/>
    </row>
    <row r="2823" spans="1:4" x14ac:dyDescent="0.25">
      <c r="A2823" s="47"/>
      <c r="B2823" s="107"/>
      <c r="C2823" s="48"/>
      <c r="D2823" s="48"/>
    </row>
    <row r="2824" spans="1:4" x14ac:dyDescent="0.25">
      <c r="A2824" s="47"/>
      <c r="B2824" s="107"/>
      <c r="C2824" s="48"/>
      <c r="D2824" s="48"/>
    </row>
    <row r="2825" spans="1:4" x14ac:dyDescent="0.25">
      <c r="A2825" s="47"/>
      <c r="B2825" s="107"/>
      <c r="C2825" s="48"/>
      <c r="D2825" s="48"/>
    </row>
    <row r="2826" spans="1:4" x14ac:dyDescent="0.25">
      <c r="A2826" s="47"/>
      <c r="B2826" s="107"/>
      <c r="C2826" s="48"/>
      <c r="D2826" s="48"/>
    </row>
    <row r="2827" spans="1:4" x14ac:dyDescent="0.25">
      <c r="A2827" s="47"/>
      <c r="B2827" s="107"/>
      <c r="C2827" s="48"/>
      <c r="D2827" s="48"/>
    </row>
    <row r="2828" spans="1:4" x14ac:dyDescent="0.25">
      <c r="A2828" s="47"/>
      <c r="B2828" s="107"/>
      <c r="C2828" s="48"/>
      <c r="D2828" s="48"/>
    </row>
    <row r="2829" spans="1:4" x14ac:dyDescent="0.25">
      <c r="A2829" s="47"/>
      <c r="B2829" s="107"/>
      <c r="C2829" s="48"/>
      <c r="D2829" s="48"/>
    </row>
    <row r="2830" spans="1:4" x14ac:dyDescent="0.25">
      <c r="A2830" s="47"/>
      <c r="B2830" s="107"/>
      <c r="C2830" s="48"/>
      <c r="D2830" s="48"/>
    </row>
    <row r="2831" spans="1:4" x14ac:dyDescent="0.25">
      <c r="A2831" s="47"/>
      <c r="B2831" s="107"/>
      <c r="C2831" s="48"/>
      <c r="D2831" s="48"/>
    </row>
    <row r="2832" spans="1:4" x14ac:dyDescent="0.25">
      <c r="A2832" s="47"/>
      <c r="B2832" s="107"/>
      <c r="C2832" s="48"/>
      <c r="D2832" s="48"/>
    </row>
    <row r="2833" spans="1:4" x14ac:dyDescent="0.25">
      <c r="A2833" s="47"/>
      <c r="B2833" s="107"/>
      <c r="C2833" s="48"/>
      <c r="D2833" s="48"/>
    </row>
    <row r="2834" spans="1:4" x14ac:dyDescent="0.25">
      <c r="A2834" s="47"/>
      <c r="B2834" s="107"/>
      <c r="C2834" s="48"/>
      <c r="D2834" s="48"/>
    </row>
    <row r="2835" spans="1:4" x14ac:dyDescent="0.25">
      <c r="A2835" s="47"/>
      <c r="B2835" s="107"/>
      <c r="C2835" s="48"/>
      <c r="D2835" s="48"/>
    </row>
    <row r="2836" spans="1:4" x14ac:dyDescent="0.25">
      <c r="A2836" s="47"/>
      <c r="B2836" s="107"/>
      <c r="C2836" s="48"/>
      <c r="D2836" s="48"/>
    </row>
    <row r="2837" spans="1:4" x14ac:dyDescent="0.25">
      <c r="A2837" s="47"/>
      <c r="B2837" s="107"/>
      <c r="C2837" s="48"/>
      <c r="D2837" s="48"/>
    </row>
    <row r="2838" spans="1:4" x14ac:dyDescent="0.25">
      <c r="A2838" s="47"/>
      <c r="B2838" s="107"/>
      <c r="C2838" s="48"/>
      <c r="D2838" s="48"/>
    </row>
    <row r="2839" spans="1:4" x14ac:dyDescent="0.25">
      <c r="A2839" s="47"/>
      <c r="B2839" s="107"/>
      <c r="C2839" s="48"/>
      <c r="D2839" s="48"/>
    </row>
    <row r="2840" spans="1:4" x14ac:dyDescent="0.25">
      <c r="A2840" s="47"/>
      <c r="B2840" s="107"/>
      <c r="C2840" s="48"/>
      <c r="D2840" s="48"/>
    </row>
    <row r="2841" spans="1:4" x14ac:dyDescent="0.25">
      <c r="A2841" s="47"/>
      <c r="B2841" s="107"/>
      <c r="C2841" s="48"/>
      <c r="D2841" s="48"/>
    </row>
    <row r="2842" spans="1:4" x14ac:dyDescent="0.25">
      <c r="A2842" s="47"/>
      <c r="B2842" s="107"/>
      <c r="C2842" s="48"/>
      <c r="D2842" s="48"/>
    </row>
    <row r="2843" spans="1:4" x14ac:dyDescent="0.25">
      <c r="A2843" s="47"/>
      <c r="B2843" s="107"/>
      <c r="C2843" s="48"/>
      <c r="D2843" s="48"/>
    </row>
    <row r="2844" spans="1:4" x14ac:dyDescent="0.25">
      <c r="A2844" s="47"/>
      <c r="B2844" s="107"/>
      <c r="C2844" s="48"/>
      <c r="D2844" s="48"/>
    </row>
    <row r="2845" spans="1:4" x14ac:dyDescent="0.25">
      <c r="A2845" s="47"/>
      <c r="B2845" s="107"/>
      <c r="C2845" s="48"/>
      <c r="D2845" s="48"/>
    </row>
    <row r="2846" spans="1:4" x14ac:dyDescent="0.25">
      <c r="A2846" s="47"/>
      <c r="B2846" s="107"/>
      <c r="C2846" s="48"/>
      <c r="D2846" s="48"/>
    </row>
    <row r="2847" spans="1:4" x14ac:dyDescent="0.25">
      <c r="A2847" s="47"/>
      <c r="B2847" s="107"/>
      <c r="C2847" s="48"/>
      <c r="D2847" s="48"/>
    </row>
    <row r="2848" spans="1:4" x14ac:dyDescent="0.25">
      <c r="A2848" s="47"/>
      <c r="B2848" s="107"/>
      <c r="C2848" s="48"/>
      <c r="D2848" s="48"/>
    </row>
    <row r="2849" spans="1:4" x14ac:dyDescent="0.25">
      <c r="A2849" s="47"/>
      <c r="B2849" s="107"/>
      <c r="C2849" s="48"/>
      <c r="D2849" s="48"/>
    </row>
    <row r="2850" spans="1:4" x14ac:dyDescent="0.25">
      <c r="A2850" s="47"/>
      <c r="B2850" s="107"/>
      <c r="C2850" s="48"/>
      <c r="D2850" s="48"/>
    </row>
    <row r="2851" spans="1:4" x14ac:dyDescent="0.25">
      <c r="A2851" s="47"/>
      <c r="B2851" s="107"/>
      <c r="C2851" s="48"/>
      <c r="D2851" s="48"/>
    </row>
    <row r="2852" spans="1:4" x14ac:dyDescent="0.25">
      <c r="A2852" s="47"/>
      <c r="B2852" s="107"/>
      <c r="C2852" s="48"/>
      <c r="D2852" s="48"/>
    </row>
    <row r="2853" spans="1:4" x14ac:dyDescent="0.25">
      <c r="A2853" s="47"/>
      <c r="B2853" s="107"/>
      <c r="C2853" s="48"/>
      <c r="D2853" s="48"/>
    </row>
    <row r="2854" spans="1:4" x14ac:dyDescent="0.25">
      <c r="A2854" s="47"/>
      <c r="B2854" s="107"/>
      <c r="C2854" s="48"/>
      <c r="D2854" s="48"/>
    </row>
    <row r="2855" spans="1:4" x14ac:dyDescent="0.25">
      <c r="A2855" s="47"/>
      <c r="B2855" s="107"/>
      <c r="C2855" s="48"/>
      <c r="D2855" s="48"/>
    </row>
    <row r="2856" spans="1:4" x14ac:dyDescent="0.25">
      <c r="A2856" s="47"/>
      <c r="B2856" s="107"/>
      <c r="C2856" s="48"/>
      <c r="D2856" s="48"/>
    </row>
    <row r="2857" spans="1:4" x14ac:dyDescent="0.25">
      <c r="A2857" s="47"/>
      <c r="B2857" s="107"/>
      <c r="C2857" s="48"/>
      <c r="D2857" s="48"/>
    </row>
    <row r="2858" spans="1:4" x14ac:dyDescent="0.25">
      <c r="A2858" s="47"/>
      <c r="B2858" s="107"/>
      <c r="C2858" s="48"/>
      <c r="D2858" s="48"/>
    </row>
    <row r="2859" spans="1:4" x14ac:dyDescent="0.25">
      <c r="A2859" s="47"/>
      <c r="B2859" s="107"/>
      <c r="C2859" s="48"/>
      <c r="D2859" s="48"/>
    </row>
    <row r="2860" spans="1:4" x14ac:dyDescent="0.25">
      <c r="A2860" s="47"/>
      <c r="B2860" s="107"/>
      <c r="C2860" s="48"/>
      <c r="D2860" s="48"/>
    </row>
    <row r="2861" spans="1:4" x14ac:dyDescent="0.25">
      <c r="A2861" s="47"/>
      <c r="B2861" s="107"/>
      <c r="C2861" s="48"/>
      <c r="D2861" s="48"/>
    </row>
    <row r="2862" spans="1:4" x14ac:dyDescent="0.25">
      <c r="A2862" s="47"/>
      <c r="B2862" s="107"/>
      <c r="C2862" s="48"/>
      <c r="D2862" s="48"/>
    </row>
    <row r="2863" spans="1:4" x14ac:dyDescent="0.25">
      <c r="A2863" s="47"/>
      <c r="B2863" s="107"/>
      <c r="C2863" s="48"/>
      <c r="D2863" s="48"/>
    </row>
    <row r="2864" spans="1:4" x14ac:dyDescent="0.25">
      <c r="A2864" s="47"/>
      <c r="B2864" s="107"/>
      <c r="C2864" s="48"/>
      <c r="D2864" s="48"/>
    </row>
    <row r="2865" spans="1:4" x14ac:dyDescent="0.25">
      <c r="A2865" s="47"/>
      <c r="B2865" s="107"/>
      <c r="C2865" s="48"/>
      <c r="D2865" s="48"/>
    </row>
    <row r="2866" spans="1:4" x14ac:dyDescent="0.25">
      <c r="A2866" s="47"/>
      <c r="B2866" s="107"/>
      <c r="C2866" s="48"/>
      <c r="D2866" s="48"/>
    </row>
    <row r="2867" spans="1:4" x14ac:dyDescent="0.25">
      <c r="A2867" s="47"/>
      <c r="B2867" s="107"/>
      <c r="C2867" s="48"/>
      <c r="D2867" s="48"/>
    </row>
    <row r="2868" spans="1:4" x14ac:dyDescent="0.25">
      <c r="A2868" s="47"/>
      <c r="B2868" s="107"/>
      <c r="C2868" s="48"/>
      <c r="D2868" s="48"/>
    </row>
    <row r="2869" spans="1:4" x14ac:dyDescent="0.25">
      <c r="A2869" s="47"/>
      <c r="B2869" s="107"/>
      <c r="C2869" s="48"/>
      <c r="D2869" s="48"/>
    </row>
    <row r="2870" spans="1:4" x14ac:dyDescent="0.25">
      <c r="A2870" s="47"/>
      <c r="B2870" s="107"/>
      <c r="C2870" s="48"/>
      <c r="D2870" s="48"/>
    </row>
    <row r="2871" spans="1:4" x14ac:dyDescent="0.25">
      <c r="A2871" s="47"/>
      <c r="B2871" s="107"/>
      <c r="C2871" s="48"/>
      <c r="D2871" s="48"/>
    </row>
    <row r="2872" spans="1:4" x14ac:dyDescent="0.25">
      <c r="A2872" s="47"/>
      <c r="B2872" s="107"/>
      <c r="C2872" s="48"/>
      <c r="D2872" s="48"/>
    </row>
    <row r="2873" spans="1:4" x14ac:dyDescent="0.25">
      <c r="A2873" s="47"/>
      <c r="B2873" s="107"/>
      <c r="C2873" s="48"/>
      <c r="D2873" s="48"/>
    </row>
    <row r="2874" spans="1:4" x14ac:dyDescent="0.25">
      <c r="A2874" s="47"/>
      <c r="B2874" s="107"/>
      <c r="C2874" s="48"/>
      <c r="D2874" s="48"/>
    </row>
    <row r="2875" spans="1:4" x14ac:dyDescent="0.25">
      <c r="A2875" s="47"/>
      <c r="B2875" s="107"/>
      <c r="C2875" s="48"/>
      <c r="D2875" s="48"/>
    </row>
    <row r="2876" spans="1:4" x14ac:dyDescent="0.25">
      <c r="A2876" s="47"/>
      <c r="B2876" s="107"/>
      <c r="C2876" s="48"/>
      <c r="D2876" s="48"/>
    </row>
    <row r="2877" spans="1:4" x14ac:dyDescent="0.25">
      <c r="A2877" s="47"/>
      <c r="B2877" s="107"/>
      <c r="C2877" s="48"/>
      <c r="D2877" s="48"/>
    </row>
    <row r="2878" spans="1:4" x14ac:dyDescent="0.25">
      <c r="A2878" s="47"/>
      <c r="B2878" s="107"/>
      <c r="C2878" s="48"/>
      <c r="D2878" s="48"/>
    </row>
    <row r="2879" spans="1:4" x14ac:dyDescent="0.25">
      <c r="A2879" s="47"/>
      <c r="B2879" s="107"/>
      <c r="C2879" s="48"/>
      <c r="D2879" s="48"/>
    </row>
    <row r="2880" spans="1:4" x14ac:dyDescent="0.25">
      <c r="A2880" s="47"/>
      <c r="B2880" s="107"/>
      <c r="C2880" s="48"/>
      <c r="D2880" s="48"/>
    </row>
    <row r="2881" spans="1:4" x14ac:dyDescent="0.25">
      <c r="A2881" s="47"/>
      <c r="B2881" s="107"/>
      <c r="C2881" s="48"/>
      <c r="D2881" s="48"/>
    </row>
    <row r="2882" spans="1:4" x14ac:dyDescent="0.25">
      <c r="A2882" s="47"/>
      <c r="B2882" s="107"/>
      <c r="C2882" s="48"/>
      <c r="D2882" s="48"/>
    </row>
    <row r="2883" spans="1:4" x14ac:dyDescent="0.25">
      <c r="A2883" s="47"/>
      <c r="B2883" s="107"/>
      <c r="C2883" s="48"/>
      <c r="D2883" s="48"/>
    </row>
    <row r="2884" spans="1:4" x14ac:dyDescent="0.25">
      <c r="A2884" s="47"/>
      <c r="B2884" s="107"/>
      <c r="C2884" s="48"/>
      <c r="D2884" s="48"/>
    </row>
    <row r="2885" spans="1:4" x14ac:dyDescent="0.25">
      <c r="A2885" s="47"/>
      <c r="B2885" s="107"/>
      <c r="C2885" s="48"/>
      <c r="D2885" s="48"/>
    </row>
    <row r="2886" spans="1:4" x14ac:dyDescent="0.25">
      <c r="A2886" s="47"/>
      <c r="B2886" s="107"/>
      <c r="C2886" s="48"/>
      <c r="D2886" s="48"/>
    </row>
    <row r="2887" spans="1:4" x14ac:dyDescent="0.25">
      <c r="A2887" s="47"/>
      <c r="B2887" s="107"/>
      <c r="C2887" s="48"/>
      <c r="D2887" s="48"/>
    </row>
    <row r="2888" spans="1:4" x14ac:dyDescent="0.25">
      <c r="A2888" s="47"/>
      <c r="B2888" s="107"/>
      <c r="C2888" s="48"/>
      <c r="D2888" s="48"/>
    </row>
    <row r="2889" spans="1:4" x14ac:dyDescent="0.25">
      <c r="A2889" s="47"/>
      <c r="B2889" s="107"/>
      <c r="C2889" s="48"/>
      <c r="D2889" s="48"/>
    </row>
    <row r="2890" spans="1:4" x14ac:dyDescent="0.25">
      <c r="A2890" s="47"/>
      <c r="B2890" s="107"/>
      <c r="C2890" s="48"/>
      <c r="D2890" s="48"/>
    </row>
    <row r="2891" spans="1:4" x14ac:dyDescent="0.25">
      <c r="A2891" s="47"/>
      <c r="B2891" s="107"/>
      <c r="C2891" s="48"/>
      <c r="D2891" s="48"/>
    </row>
    <row r="2892" spans="1:4" x14ac:dyDescent="0.25">
      <c r="A2892" s="47"/>
      <c r="B2892" s="107"/>
      <c r="C2892" s="48"/>
      <c r="D2892" s="48"/>
    </row>
    <row r="2893" spans="1:4" x14ac:dyDescent="0.25">
      <c r="A2893" s="47"/>
      <c r="B2893" s="107"/>
      <c r="C2893" s="48"/>
      <c r="D2893" s="48"/>
    </row>
    <row r="2894" spans="1:4" x14ac:dyDescent="0.25">
      <c r="A2894" s="47"/>
      <c r="B2894" s="107"/>
      <c r="C2894" s="48"/>
      <c r="D2894" s="48"/>
    </row>
    <row r="2895" spans="1:4" x14ac:dyDescent="0.25">
      <c r="A2895" s="47"/>
      <c r="B2895" s="107"/>
      <c r="C2895" s="48"/>
      <c r="D2895" s="48"/>
    </row>
    <row r="2896" spans="1:4" x14ac:dyDescent="0.25">
      <c r="A2896" s="47"/>
      <c r="B2896" s="107"/>
      <c r="C2896" s="48"/>
      <c r="D2896" s="48"/>
    </row>
    <row r="2897" spans="1:4" x14ac:dyDescent="0.25">
      <c r="A2897" s="47"/>
      <c r="B2897" s="107"/>
      <c r="C2897" s="48"/>
      <c r="D2897" s="48"/>
    </row>
    <row r="2898" spans="1:4" x14ac:dyDescent="0.25">
      <c r="A2898" s="47"/>
      <c r="B2898" s="107"/>
      <c r="C2898" s="48"/>
      <c r="D2898" s="48"/>
    </row>
    <row r="2899" spans="1:4" x14ac:dyDescent="0.25">
      <c r="A2899" s="47"/>
      <c r="B2899" s="107"/>
      <c r="C2899" s="48"/>
      <c r="D2899" s="48"/>
    </row>
    <row r="2900" spans="1:4" x14ac:dyDescent="0.25">
      <c r="A2900" s="47"/>
      <c r="B2900" s="107"/>
      <c r="C2900" s="48"/>
      <c r="D2900" s="48"/>
    </row>
    <row r="2901" spans="1:4" x14ac:dyDescent="0.25">
      <c r="A2901" s="47"/>
      <c r="B2901" s="107"/>
      <c r="C2901" s="48"/>
      <c r="D2901" s="48"/>
    </row>
    <row r="2902" spans="1:4" x14ac:dyDescent="0.25">
      <c r="A2902" s="47"/>
      <c r="B2902" s="107"/>
      <c r="C2902" s="48"/>
      <c r="D2902" s="48"/>
    </row>
    <row r="2903" spans="1:4" x14ac:dyDescent="0.25">
      <c r="A2903" s="47"/>
      <c r="B2903" s="107"/>
      <c r="C2903" s="48"/>
      <c r="D2903" s="48"/>
    </row>
    <row r="2904" spans="1:4" x14ac:dyDescent="0.25">
      <c r="A2904" s="47"/>
      <c r="B2904" s="107"/>
      <c r="C2904" s="48"/>
      <c r="D2904" s="48"/>
    </row>
    <row r="2905" spans="1:4" x14ac:dyDescent="0.25">
      <c r="A2905" s="47"/>
      <c r="B2905" s="107"/>
      <c r="C2905" s="48"/>
      <c r="D2905" s="48"/>
    </row>
    <row r="2906" spans="1:4" x14ac:dyDescent="0.25">
      <c r="A2906" s="47"/>
      <c r="B2906" s="107"/>
      <c r="C2906" s="48"/>
      <c r="D2906" s="48"/>
    </row>
    <row r="2907" spans="1:4" x14ac:dyDescent="0.25">
      <c r="A2907" s="47"/>
      <c r="B2907" s="107"/>
      <c r="C2907" s="48"/>
      <c r="D2907" s="48"/>
    </row>
    <row r="2908" spans="1:4" x14ac:dyDescent="0.25">
      <c r="A2908" s="47"/>
      <c r="B2908" s="107"/>
      <c r="C2908" s="48"/>
      <c r="D2908" s="48"/>
    </row>
    <row r="2909" spans="1:4" x14ac:dyDescent="0.25">
      <c r="A2909" s="47"/>
      <c r="B2909" s="107"/>
      <c r="C2909" s="48"/>
      <c r="D2909" s="48"/>
    </row>
    <row r="2910" spans="1:4" x14ac:dyDescent="0.25">
      <c r="A2910" s="47"/>
      <c r="B2910" s="107"/>
      <c r="C2910" s="48"/>
      <c r="D2910" s="48"/>
    </row>
    <row r="2911" spans="1:4" x14ac:dyDescent="0.25">
      <c r="A2911" s="47"/>
      <c r="B2911" s="107"/>
      <c r="C2911" s="48"/>
      <c r="D2911" s="48"/>
    </row>
    <row r="2912" spans="1:4" x14ac:dyDescent="0.25">
      <c r="A2912" s="47"/>
      <c r="B2912" s="107"/>
      <c r="C2912" s="48"/>
      <c r="D2912" s="48"/>
    </row>
    <row r="2913" spans="1:4" x14ac:dyDescent="0.25">
      <c r="A2913" s="47"/>
      <c r="B2913" s="107"/>
      <c r="C2913" s="48"/>
      <c r="D2913" s="48"/>
    </row>
    <row r="2914" spans="1:4" x14ac:dyDescent="0.25">
      <c r="A2914" s="47"/>
      <c r="B2914" s="107"/>
      <c r="C2914" s="48"/>
      <c r="D2914" s="48"/>
    </row>
    <row r="2915" spans="1:4" x14ac:dyDescent="0.25">
      <c r="A2915" s="47"/>
      <c r="B2915" s="107"/>
      <c r="C2915" s="48"/>
      <c r="D2915" s="48"/>
    </row>
    <row r="2916" spans="1:4" x14ac:dyDescent="0.25">
      <c r="A2916" s="47"/>
      <c r="B2916" s="107"/>
      <c r="C2916" s="48"/>
      <c r="D2916" s="48"/>
    </row>
    <row r="2917" spans="1:4" x14ac:dyDescent="0.25">
      <c r="A2917" s="47"/>
      <c r="B2917" s="107"/>
      <c r="C2917" s="48"/>
      <c r="D2917" s="48"/>
    </row>
    <row r="2918" spans="1:4" x14ac:dyDescent="0.25">
      <c r="A2918" s="47"/>
      <c r="B2918" s="107"/>
      <c r="C2918" s="48"/>
      <c r="D2918" s="48"/>
    </row>
    <row r="2919" spans="1:4" x14ac:dyDescent="0.25">
      <c r="A2919" s="47"/>
      <c r="B2919" s="107"/>
      <c r="C2919" s="48"/>
      <c r="D2919" s="48"/>
    </row>
    <row r="2920" spans="1:4" x14ac:dyDescent="0.25">
      <c r="A2920" s="47"/>
      <c r="B2920" s="107"/>
      <c r="C2920" s="48"/>
      <c r="D2920" s="48"/>
    </row>
    <row r="2921" spans="1:4" x14ac:dyDescent="0.25">
      <c r="A2921" s="47"/>
      <c r="B2921" s="107"/>
      <c r="C2921" s="48"/>
      <c r="D2921" s="48"/>
    </row>
    <row r="2922" spans="1:4" x14ac:dyDescent="0.25">
      <c r="A2922" s="47"/>
      <c r="B2922" s="107"/>
      <c r="C2922" s="48"/>
      <c r="D2922" s="48"/>
    </row>
    <row r="2923" spans="1:4" x14ac:dyDescent="0.25">
      <c r="A2923" s="47"/>
      <c r="B2923" s="107"/>
      <c r="C2923" s="48"/>
      <c r="D2923" s="48"/>
    </row>
    <row r="2924" spans="1:4" x14ac:dyDescent="0.25">
      <c r="A2924" s="47"/>
      <c r="B2924" s="107"/>
      <c r="C2924" s="48"/>
      <c r="D2924" s="48"/>
    </row>
    <row r="2925" spans="1:4" x14ac:dyDescent="0.25">
      <c r="A2925" s="47"/>
      <c r="B2925" s="107"/>
      <c r="C2925" s="48"/>
      <c r="D2925" s="48"/>
    </row>
    <row r="2926" spans="1:4" x14ac:dyDescent="0.25">
      <c r="A2926" s="47"/>
      <c r="B2926" s="107"/>
      <c r="C2926" s="48"/>
      <c r="D2926" s="48"/>
    </row>
    <row r="2927" spans="1:4" x14ac:dyDescent="0.25">
      <c r="A2927" s="47"/>
      <c r="B2927" s="107"/>
      <c r="C2927" s="48"/>
      <c r="D2927" s="48"/>
    </row>
    <row r="2928" spans="1:4" x14ac:dyDescent="0.25">
      <c r="A2928" s="47"/>
      <c r="B2928" s="107"/>
      <c r="C2928" s="48"/>
      <c r="D2928" s="48"/>
    </row>
    <row r="2929" spans="1:4" x14ac:dyDescent="0.25">
      <c r="A2929" s="47"/>
      <c r="B2929" s="107"/>
      <c r="C2929" s="48"/>
      <c r="D2929" s="48"/>
    </row>
    <row r="2930" spans="1:4" x14ac:dyDescent="0.25">
      <c r="A2930" s="47"/>
      <c r="B2930" s="107"/>
      <c r="C2930" s="48"/>
      <c r="D2930" s="48"/>
    </row>
    <row r="2931" spans="1:4" x14ac:dyDescent="0.25">
      <c r="A2931" s="47"/>
      <c r="B2931" s="107"/>
      <c r="C2931" s="48"/>
      <c r="D2931" s="48"/>
    </row>
    <row r="2932" spans="1:4" x14ac:dyDescent="0.25">
      <c r="A2932" s="47"/>
      <c r="B2932" s="107"/>
      <c r="C2932" s="48"/>
      <c r="D2932" s="48"/>
    </row>
    <row r="2933" spans="1:4" x14ac:dyDescent="0.25">
      <c r="A2933" s="47"/>
      <c r="B2933" s="107"/>
      <c r="C2933" s="48"/>
      <c r="D2933" s="48"/>
    </row>
    <row r="2934" spans="1:4" x14ac:dyDescent="0.25">
      <c r="A2934" s="47"/>
      <c r="B2934" s="107"/>
      <c r="C2934" s="48"/>
      <c r="D2934" s="48"/>
    </row>
    <row r="2935" spans="1:4" x14ac:dyDescent="0.25">
      <c r="A2935" s="47"/>
      <c r="B2935" s="107"/>
      <c r="C2935" s="48"/>
      <c r="D2935" s="48"/>
    </row>
    <row r="2936" spans="1:4" x14ac:dyDescent="0.25">
      <c r="A2936" s="47"/>
      <c r="B2936" s="107"/>
      <c r="C2936" s="48"/>
      <c r="D2936" s="48"/>
    </row>
    <row r="2937" spans="1:4" x14ac:dyDescent="0.25">
      <c r="A2937" s="47"/>
      <c r="B2937" s="107"/>
      <c r="C2937" s="48"/>
      <c r="D2937" s="48"/>
    </row>
    <row r="2938" spans="1:4" x14ac:dyDescent="0.25">
      <c r="A2938" s="47"/>
      <c r="B2938" s="107"/>
      <c r="C2938" s="48"/>
      <c r="D2938" s="48"/>
    </row>
    <row r="2939" spans="1:4" x14ac:dyDescent="0.25">
      <c r="A2939" s="47"/>
      <c r="B2939" s="107"/>
      <c r="C2939" s="48"/>
      <c r="D2939" s="48"/>
    </row>
    <row r="2940" spans="1:4" x14ac:dyDescent="0.25">
      <c r="A2940" s="47"/>
      <c r="B2940" s="107"/>
      <c r="C2940" s="48"/>
      <c r="D2940" s="48"/>
    </row>
    <row r="2941" spans="1:4" x14ac:dyDescent="0.25">
      <c r="A2941" s="47"/>
      <c r="B2941" s="107"/>
      <c r="C2941" s="48"/>
      <c r="D2941" s="48"/>
    </row>
    <row r="2942" spans="1:4" x14ac:dyDescent="0.25">
      <c r="A2942" s="47"/>
      <c r="B2942" s="107"/>
      <c r="C2942" s="48"/>
      <c r="D2942" s="48"/>
    </row>
    <row r="2943" spans="1:4" x14ac:dyDescent="0.25">
      <c r="A2943" s="47"/>
      <c r="B2943" s="107"/>
      <c r="C2943" s="48"/>
      <c r="D2943" s="48"/>
    </row>
    <row r="2944" spans="1:4" x14ac:dyDescent="0.25">
      <c r="A2944" s="47"/>
      <c r="B2944" s="107"/>
      <c r="C2944" s="48"/>
      <c r="D2944" s="48"/>
    </row>
    <row r="2945" spans="1:4" x14ac:dyDescent="0.25">
      <c r="A2945" s="47"/>
      <c r="B2945" s="107"/>
      <c r="C2945" s="48"/>
      <c r="D2945" s="48"/>
    </row>
    <row r="2946" spans="1:4" x14ac:dyDescent="0.25">
      <c r="A2946" s="47"/>
      <c r="B2946" s="107"/>
      <c r="C2946" s="48"/>
      <c r="D2946" s="48"/>
    </row>
    <row r="2947" spans="1:4" x14ac:dyDescent="0.25">
      <c r="A2947" s="47"/>
      <c r="B2947" s="107"/>
      <c r="C2947" s="48"/>
      <c r="D2947" s="48"/>
    </row>
    <row r="2948" spans="1:4" x14ac:dyDescent="0.25">
      <c r="A2948" s="47"/>
      <c r="B2948" s="107"/>
      <c r="C2948" s="48"/>
      <c r="D2948" s="48"/>
    </row>
    <row r="2949" spans="1:4" x14ac:dyDescent="0.25">
      <c r="A2949" s="47"/>
      <c r="B2949" s="107"/>
      <c r="C2949" s="48"/>
      <c r="D2949" s="48"/>
    </row>
    <row r="2950" spans="1:4" x14ac:dyDescent="0.25">
      <c r="A2950" s="47"/>
      <c r="B2950" s="107"/>
      <c r="C2950" s="48"/>
      <c r="D2950" s="48"/>
    </row>
    <row r="2951" spans="1:4" x14ac:dyDescent="0.25">
      <c r="A2951" s="47"/>
      <c r="B2951" s="107"/>
      <c r="C2951" s="48"/>
      <c r="D2951" s="48"/>
    </row>
    <row r="2952" spans="1:4" x14ac:dyDescent="0.25">
      <c r="A2952" s="47"/>
      <c r="B2952" s="107"/>
      <c r="C2952" s="48"/>
      <c r="D2952" s="48"/>
    </row>
    <row r="2953" spans="1:4" x14ac:dyDescent="0.25">
      <c r="A2953" s="47"/>
      <c r="B2953" s="107"/>
      <c r="C2953" s="48"/>
      <c r="D2953" s="48"/>
    </row>
    <row r="2954" spans="1:4" x14ac:dyDescent="0.25">
      <c r="A2954" s="47"/>
      <c r="B2954" s="107"/>
      <c r="C2954" s="48"/>
      <c r="D2954" s="48"/>
    </row>
    <row r="2955" spans="1:4" x14ac:dyDescent="0.25">
      <c r="A2955" s="47"/>
      <c r="B2955" s="107"/>
      <c r="C2955" s="48"/>
      <c r="D2955" s="48"/>
    </row>
    <row r="2956" spans="1:4" x14ac:dyDescent="0.25">
      <c r="A2956" s="47"/>
      <c r="B2956" s="107"/>
      <c r="C2956" s="48"/>
      <c r="D2956" s="48"/>
    </row>
    <row r="2957" spans="1:4" x14ac:dyDescent="0.25">
      <c r="A2957" s="47"/>
      <c r="B2957" s="107"/>
      <c r="C2957" s="48"/>
      <c r="D2957" s="48"/>
    </row>
    <row r="2958" spans="1:4" x14ac:dyDescent="0.25">
      <c r="A2958" s="47"/>
      <c r="B2958" s="107"/>
      <c r="C2958" s="48"/>
      <c r="D2958" s="48"/>
    </row>
    <row r="2959" spans="1:4" x14ac:dyDescent="0.25">
      <c r="A2959" s="47"/>
      <c r="B2959" s="107"/>
      <c r="C2959" s="48"/>
      <c r="D2959" s="48"/>
    </row>
    <row r="2960" spans="1:4" x14ac:dyDescent="0.25">
      <c r="A2960" s="47"/>
      <c r="B2960" s="107"/>
      <c r="C2960" s="48"/>
      <c r="D2960" s="48"/>
    </row>
    <row r="2961" spans="1:4" x14ac:dyDescent="0.25">
      <c r="A2961" s="47"/>
      <c r="B2961" s="107"/>
      <c r="C2961" s="48"/>
      <c r="D2961" s="48"/>
    </row>
    <row r="2962" spans="1:4" x14ac:dyDescent="0.25">
      <c r="A2962" s="47"/>
      <c r="B2962" s="107"/>
      <c r="C2962" s="48"/>
      <c r="D2962" s="48"/>
    </row>
    <row r="2963" spans="1:4" x14ac:dyDescent="0.25">
      <c r="A2963" s="47"/>
      <c r="B2963" s="107"/>
      <c r="C2963" s="48"/>
      <c r="D2963" s="48"/>
    </row>
    <row r="2964" spans="1:4" x14ac:dyDescent="0.25">
      <c r="A2964" s="47"/>
      <c r="B2964" s="107"/>
      <c r="C2964" s="48"/>
      <c r="D2964" s="48"/>
    </row>
    <row r="2965" spans="1:4" x14ac:dyDescent="0.25">
      <c r="A2965" s="47"/>
      <c r="B2965" s="107"/>
      <c r="C2965" s="48"/>
      <c r="D2965" s="48"/>
    </row>
    <row r="2966" spans="1:4" x14ac:dyDescent="0.25">
      <c r="A2966" s="47"/>
      <c r="B2966" s="107"/>
      <c r="C2966" s="48"/>
      <c r="D2966" s="48"/>
    </row>
    <row r="2967" spans="1:4" x14ac:dyDescent="0.25">
      <c r="A2967" s="47"/>
      <c r="B2967" s="107"/>
      <c r="C2967" s="48"/>
      <c r="D2967" s="48"/>
    </row>
    <row r="2968" spans="1:4" x14ac:dyDescent="0.25">
      <c r="A2968" s="47"/>
      <c r="B2968" s="107"/>
      <c r="C2968" s="48"/>
      <c r="D2968" s="48"/>
    </row>
    <row r="2969" spans="1:4" x14ac:dyDescent="0.25">
      <c r="A2969" s="47"/>
      <c r="B2969" s="107"/>
      <c r="C2969" s="48"/>
      <c r="D2969" s="48"/>
    </row>
    <row r="2970" spans="1:4" x14ac:dyDescent="0.25">
      <c r="A2970" s="47"/>
      <c r="B2970" s="107"/>
      <c r="C2970" s="48"/>
      <c r="D2970" s="48"/>
    </row>
    <row r="2971" spans="1:4" x14ac:dyDescent="0.25">
      <c r="A2971" s="47"/>
      <c r="B2971" s="107"/>
      <c r="C2971" s="48"/>
      <c r="D2971" s="48"/>
    </row>
    <row r="2972" spans="1:4" x14ac:dyDescent="0.25">
      <c r="A2972" s="47"/>
      <c r="B2972" s="107"/>
      <c r="C2972" s="48"/>
      <c r="D2972" s="48"/>
    </row>
    <row r="2973" spans="1:4" x14ac:dyDescent="0.25">
      <c r="A2973" s="47"/>
      <c r="B2973" s="107"/>
      <c r="C2973" s="48"/>
      <c r="D2973" s="48"/>
    </row>
    <row r="2974" spans="1:4" x14ac:dyDescent="0.25">
      <c r="A2974" s="47"/>
      <c r="B2974" s="107"/>
      <c r="C2974" s="48"/>
      <c r="D2974" s="48"/>
    </row>
    <row r="2975" spans="1:4" x14ac:dyDescent="0.25">
      <c r="A2975" s="47"/>
      <c r="B2975" s="107"/>
      <c r="C2975" s="48"/>
      <c r="D2975" s="48"/>
    </row>
    <row r="2976" spans="1:4" x14ac:dyDescent="0.25">
      <c r="A2976" s="47"/>
      <c r="B2976" s="107"/>
      <c r="C2976" s="48"/>
      <c r="D2976" s="48"/>
    </row>
    <row r="2977" spans="1:4" x14ac:dyDescent="0.25">
      <c r="A2977" s="47"/>
      <c r="B2977" s="107"/>
      <c r="C2977" s="48"/>
      <c r="D2977" s="48"/>
    </row>
    <row r="2978" spans="1:4" x14ac:dyDescent="0.25">
      <c r="A2978" s="47"/>
      <c r="B2978" s="107"/>
      <c r="C2978" s="48"/>
      <c r="D2978" s="48"/>
    </row>
    <row r="2979" spans="1:4" x14ac:dyDescent="0.25">
      <c r="A2979" s="47"/>
      <c r="B2979" s="107"/>
      <c r="C2979" s="48"/>
      <c r="D2979" s="48"/>
    </row>
    <row r="2980" spans="1:4" x14ac:dyDescent="0.25">
      <c r="A2980" s="47"/>
      <c r="B2980" s="107"/>
      <c r="C2980" s="48"/>
      <c r="D2980" s="48"/>
    </row>
    <row r="2981" spans="1:4" x14ac:dyDescent="0.25">
      <c r="A2981" s="47"/>
      <c r="B2981" s="107"/>
      <c r="C2981" s="48"/>
      <c r="D2981" s="48"/>
    </row>
    <row r="2982" spans="1:4" x14ac:dyDescent="0.25">
      <c r="A2982" s="47"/>
      <c r="B2982" s="107"/>
      <c r="C2982" s="48"/>
      <c r="D2982" s="48"/>
    </row>
    <row r="2983" spans="1:4" x14ac:dyDescent="0.25">
      <c r="A2983" s="47"/>
      <c r="B2983" s="107"/>
      <c r="C2983" s="48"/>
      <c r="D2983" s="48"/>
    </row>
    <row r="2984" spans="1:4" x14ac:dyDescent="0.25">
      <c r="A2984" s="47"/>
      <c r="B2984" s="107"/>
      <c r="C2984" s="48"/>
      <c r="D2984" s="48"/>
    </row>
    <row r="2985" spans="1:4" x14ac:dyDescent="0.25">
      <c r="A2985" s="47"/>
      <c r="B2985" s="107"/>
      <c r="C2985" s="48"/>
      <c r="D2985" s="48"/>
    </row>
    <row r="2986" spans="1:4" x14ac:dyDescent="0.25">
      <c r="A2986" s="47"/>
      <c r="B2986" s="107"/>
      <c r="C2986" s="48"/>
      <c r="D2986" s="48"/>
    </row>
    <row r="2987" spans="1:4" x14ac:dyDescent="0.25">
      <c r="A2987" s="47"/>
      <c r="B2987" s="107"/>
      <c r="C2987" s="48"/>
      <c r="D2987" s="48"/>
    </row>
    <row r="2988" spans="1:4" x14ac:dyDescent="0.25">
      <c r="A2988" s="47"/>
      <c r="B2988" s="107"/>
      <c r="C2988" s="48"/>
      <c r="D2988" s="48"/>
    </row>
    <row r="2989" spans="1:4" x14ac:dyDescent="0.25">
      <c r="A2989" s="47"/>
      <c r="B2989" s="107"/>
      <c r="C2989" s="48"/>
      <c r="D2989" s="48"/>
    </row>
    <row r="2990" spans="1:4" x14ac:dyDescent="0.25">
      <c r="A2990" s="47"/>
      <c r="B2990" s="107"/>
      <c r="C2990" s="48"/>
      <c r="D2990" s="48"/>
    </row>
    <row r="2991" spans="1:4" x14ac:dyDescent="0.25">
      <c r="A2991" s="47"/>
      <c r="B2991" s="107"/>
      <c r="C2991" s="48"/>
      <c r="D2991" s="48"/>
    </row>
    <row r="2992" spans="1:4" x14ac:dyDescent="0.25">
      <c r="A2992" s="47"/>
      <c r="B2992" s="107"/>
      <c r="C2992" s="48"/>
      <c r="D2992" s="48"/>
    </row>
    <row r="2993" spans="1:4" x14ac:dyDescent="0.25">
      <c r="A2993" s="47"/>
      <c r="B2993" s="107"/>
      <c r="C2993" s="48"/>
      <c r="D2993" s="48"/>
    </row>
    <row r="2994" spans="1:4" x14ac:dyDescent="0.25">
      <c r="A2994" s="47"/>
      <c r="B2994" s="107"/>
      <c r="C2994" s="48"/>
      <c r="D2994" s="48"/>
    </row>
    <row r="2995" spans="1:4" x14ac:dyDescent="0.25">
      <c r="A2995" s="47"/>
      <c r="B2995" s="107"/>
      <c r="C2995" s="48"/>
      <c r="D2995" s="48"/>
    </row>
    <row r="2996" spans="1:4" x14ac:dyDescent="0.25">
      <c r="A2996" s="47"/>
      <c r="B2996" s="107"/>
      <c r="C2996" s="48"/>
      <c r="D2996" s="48"/>
    </row>
    <row r="2997" spans="1:4" x14ac:dyDescent="0.25">
      <c r="A2997" s="47"/>
      <c r="B2997" s="107"/>
      <c r="C2997" s="48"/>
      <c r="D2997" s="48"/>
    </row>
    <row r="2998" spans="1:4" x14ac:dyDescent="0.25">
      <c r="A2998" s="47"/>
      <c r="B2998" s="107"/>
      <c r="C2998" s="48"/>
      <c r="D2998" s="48"/>
    </row>
    <row r="2999" spans="1:4" x14ac:dyDescent="0.25">
      <c r="A2999" s="47"/>
      <c r="B2999" s="107"/>
      <c r="C2999" s="48"/>
      <c r="D2999" s="48"/>
    </row>
    <row r="3000" spans="1:4" x14ac:dyDescent="0.25">
      <c r="A3000" s="47"/>
      <c r="B3000" s="107"/>
      <c r="C3000" s="48"/>
      <c r="D3000" s="48"/>
    </row>
    <row r="3001" spans="1:4" x14ac:dyDescent="0.25">
      <c r="A3001" s="47"/>
      <c r="B3001" s="107"/>
      <c r="C3001" s="48"/>
      <c r="D3001" s="48"/>
    </row>
    <row r="3002" spans="1:4" x14ac:dyDescent="0.25">
      <c r="A3002" s="47"/>
      <c r="B3002" s="107"/>
      <c r="C3002" s="48"/>
      <c r="D3002" s="48"/>
    </row>
    <row r="3003" spans="1:4" x14ac:dyDescent="0.25">
      <c r="A3003" s="47"/>
      <c r="B3003" s="107"/>
      <c r="C3003" s="48"/>
      <c r="D3003" s="48"/>
    </row>
    <row r="3004" spans="1:4" x14ac:dyDescent="0.25">
      <c r="A3004" s="47"/>
      <c r="B3004" s="107"/>
      <c r="C3004" s="48"/>
      <c r="D3004" s="48"/>
    </row>
    <row r="3005" spans="1:4" x14ac:dyDescent="0.25">
      <c r="A3005" s="47"/>
      <c r="B3005" s="107"/>
      <c r="C3005" s="48"/>
      <c r="D3005" s="48"/>
    </row>
    <row r="3006" spans="1:4" x14ac:dyDescent="0.25">
      <c r="A3006" s="47"/>
      <c r="B3006" s="107"/>
      <c r="C3006" s="48"/>
      <c r="D3006" s="48"/>
    </row>
    <row r="3007" spans="1:4" x14ac:dyDescent="0.25">
      <c r="A3007" s="47"/>
      <c r="B3007" s="107"/>
      <c r="C3007" s="48"/>
      <c r="D3007" s="48"/>
    </row>
    <row r="3008" spans="1:4" x14ac:dyDescent="0.25">
      <c r="A3008" s="47"/>
      <c r="B3008" s="107"/>
      <c r="C3008" s="48"/>
      <c r="D3008" s="48"/>
    </row>
    <row r="3009" spans="1:4" x14ac:dyDescent="0.25">
      <c r="A3009" s="47"/>
      <c r="B3009" s="107"/>
      <c r="C3009" s="48"/>
      <c r="D3009" s="48"/>
    </row>
    <row r="3010" spans="1:4" x14ac:dyDescent="0.25">
      <c r="A3010" s="47"/>
      <c r="B3010" s="107"/>
      <c r="C3010" s="48"/>
      <c r="D3010" s="48"/>
    </row>
    <row r="3011" spans="1:4" x14ac:dyDescent="0.25">
      <c r="A3011" s="47"/>
      <c r="B3011" s="107"/>
      <c r="C3011" s="48"/>
      <c r="D3011" s="48"/>
    </row>
    <row r="3012" spans="1:4" x14ac:dyDescent="0.25">
      <c r="A3012" s="47"/>
      <c r="B3012" s="107"/>
      <c r="C3012" s="48"/>
      <c r="D3012" s="48"/>
    </row>
    <row r="3013" spans="1:4" x14ac:dyDescent="0.25">
      <c r="A3013" s="47"/>
      <c r="B3013" s="107"/>
      <c r="C3013" s="48"/>
      <c r="D3013" s="48"/>
    </row>
    <row r="3014" spans="1:4" x14ac:dyDescent="0.25">
      <c r="A3014" s="47"/>
      <c r="B3014" s="107"/>
      <c r="C3014" s="48"/>
      <c r="D3014" s="48"/>
    </row>
    <row r="3015" spans="1:4" x14ac:dyDescent="0.25">
      <c r="A3015" s="47"/>
      <c r="B3015" s="107"/>
      <c r="C3015" s="48"/>
      <c r="D3015" s="48"/>
    </row>
    <row r="3016" spans="1:4" x14ac:dyDescent="0.25">
      <c r="A3016" s="47"/>
      <c r="B3016" s="107"/>
      <c r="C3016" s="48"/>
      <c r="D3016" s="48"/>
    </row>
    <row r="3017" spans="1:4" x14ac:dyDescent="0.25">
      <c r="A3017" s="47"/>
      <c r="B3017" s="107"/>
      <c r="C3017" s="48"/>
      <c r="D3017" s="48"/>
    </row>
    <row r="3018" spans="1:4" x14ac:dyDescent="0.25">
      <c r="A3018" s="47"/>
      <c r="B3018" s="107"/>
      <c r="C3018" s="48"/>
      <c r="D3018" s="48"/>
    </row>
    <row r="3019" spans="1:4" x14ac:dyDescent="0.25">
      <c r="A3019" s="47"/>
      <c r="B3019" s="107"/>
      <c r="C3019" s="48"/>
      <c r="D3019" s="48"/>
    </row>
    <row r="3020" spans="1:4" x14ac:dyDescent="0.25">
      <c r="A3020" s="47"/>
      <c r="B3020" s="107"/>
      <c r="C3020" s="48"/>
      <c r="D3020" s="48"/>
    </row>
    <row r="3021" spans="1:4" x14ac:dyDescent="0.25">
      <c r="A3021" s="47"/>
      <c r="B3021" s="107"/>
      <c r="C3021" s="48"/>
      <c r="D3021" s="48"/>
    </row>
    <row r="3022" spans="1:4" x14ac:dyDescent="0.25">
      <c r="A3022" s="47"/>
      <c r="B3022" s="107"/>
      <c r="C3022" s="48"/>
      <c r="D3022" s="48"/>
    </row>
    <row r="3023" spans="1:4" x14ac:dyDescent="0.25">
      <c r="A3023" s="47"/>
      <c r="B3023" s="107"/>
      <c r="C3023" s="48"/>
      <c r="D3023" s="48"/>
    </row>
    <row r="3024" spans="1:4" x14ac:dyDescent="0.25">
      <c r="A3024" s="47"/>
      <c r="B3024" s="107"/>
      <c r="C3024" s="48"/>
      <c r="D3024" s="48"/>
    </row>
    <row r="3025" spans="1:4" x14ac:dyDescent="0.25">
      <c r="A3025" s="47"/>
      <c r="B3025" s="107"/>
      <c r="C3025" s="48"/>
      <c r="D3025" s="48"/>
    </row>
    <row r="3026" spans="1:4" x14ac:dyDescent="0.25">
      <c r="A3026" s="47"/>
      <c r="B3026" s="107"/>
      <c r="C3026" s="48"/>
      <c r="D3026" s="48"/>
    </row>
    <row r="3027" spans="1:4" x14ac:dyDescent="0.25">
      <c r="A3027" s="47"/>
      <c r="B3027" s="107"/>
      <c r="C3027" s="48"/>
      <c r="D3027" s="48"/>
    </row>
    <row r="3028" spans="1:4" x14ac:dyDescent="0.25">
      <c r="A3028" s="47"/>
      <c r="B3028" s="107"/>
      <c r="C3028" s="48"/>
      <c r="D3028" s="48"/>
    </row>
    <row r="3029" spans="1:4" x14ac:dyDescent="0.25">
      <c r="A3029" s="47"/>
      <c r="B3029" s="107"/>
      <c r="C3029" s="48"/>
      <c r="D3029" s="48"/>
    </row>
    <row r="3030" spans="1:4" x14ac:dyDescent="0.25">
      <c r="A3030" s="47"/>
      <c r="B3030" s="107"/>
      <c r="C3030" s="48"/>
      <c r="D3030" s="48"/>
    </row>
    <row r="3031" spans="1:4" x14ac:dyDescent="0.25">
      <c r="A3031" s="47"/>
      <c r="B3031" s="107"/>
      <c r="C3031" s="48"/>
      <c r="D3031" s="48"/>
    </row>
    <row r="3032" spans="1:4" x14ac:dyDescent="0.25">
      <c r="A3032" s="47"/>
      <c r="B3032" s="107"/>
      <c r="C3032" s="48"/>
      <c r="D3032" s="48"/>
    </row>
    <row r="3033" spans="1:4" x14ac:dyDescent="0.25">
      <c r="A3033" s="47"/>
      <c r="B3033" s="107"/>
      <c r="C3033" s="48"/>
      <c r="D3033" s="48"/>
    </row>
    <row r="3034" spans="1:4" x14ac:dyDescent="0.25">
      <c r="A3034" s="47"/>
      <c r="B3034" s="107"/>
      <c r="C3034" s="48"/>
      <c r="D3034" s="48"/>
    </row>
    <row r="3035" spans="1:4" x14ac:dyDescent="0.25">
      <c r="A3035" s="47"/>
      <c r="B3035" s="107"/>
      <c r="C3035" s="48"/>
      <c r="D3035" s="48"/>
    </row>
    <row r="3036" spans="1:4" x14ac:dyDescent="0.25">
      <c r="A3036" s="47"/>
      <c r="B3036" s="107"/>
      <c r="C3036" s="48"/>
      <c r="D3036" s="48"/>
    </row>
    <row r="3037" spans="1:4" x14ac:dyDescent="0.25">
      <c r="A3037" s="47"/>
      <c r="B3037" s="107"/>
      <c r="C3037" s="48"/>
      <c r="D3037" s="48"/>
    </row>
    <row r="3038" spans="1:4" x14ac:dyDescent="0.25">
      <c r="A3038" s="47"/>
      <c r="B3038" s="107"/>
      <c r="C3038" s="48"/>
      <c r="D3038" s="48"/>
    </row>
    <row r="3039" spans="1:4" x14ac:dyDescent="0.25">
      <c r="A3039" s="47"/>
      <c r="B3039" s="107"/>
      <c r="C3039" s="48"/>
      <c r="D3039" s="48"/>
    </row>
    <row r="3040" spans="1:4" x14ac:dyDescent="0.25">
      <c r="A3040" s="47"/>
      <c r="B3040" s="107"/>
      <c r="C3040" s="48"/>
      <c r="D3040" s="48"/>
    </row>
    <row r="3041" spans="1:4" x14ac:dyDescent="0.25">
      <c r="A3041" s="47"/>
      <c r="B3041" s="107"/>
      <c r="C3041" s="48"/>
      <c r="D3041" s="48"/>
    </row>
    <row r="3042" spans="1:4" x14ac:dyDescent="0.25">
      <c r="A3042" s="47"/>
      <c r="B3042" s="107"/>
      <c r="C3042" s="48"/>
      <c r="D3042" s="48"/>
    </row>
    <row r="3043" spans="1:4" x14ac:dyDescent="0.25">
      <c r="A3043" s="47"/>
      <c r="B3043" s="107"/>
      <c r="C3043" s="48"/>
      <c r="D3043" s="48"/>
    </row>
    <row r="3044" spans="1:4" x14ac:dyDescent="0.25">
      <c r="A3044" s="47"/>
      <c r="B3044" s="107"/>
      <c r="C3044" s="48"/>
      <c r="D3044" s="48"/>
    </row>
    <row r="3045" spans="1:4" x14ac:dyDescent="0.25">
      <c r="A3045" s="47"/>
      <c r="B3045" s="107"/>
      <c r="C3045" s="48"/>
      <c r="D3045" s="48"/>
    </row>
    <row r="3046" spans="1:4" x14ac:dyDescent="0.25">
      <c r="A3046" s="47"/>
      <c r="B3046" s="107"/>
      <c r="C3046" s="48"/>
      <c r="D3046" s="48"/>
    </row>
    <row r="3047" spans="1:4" x14ac:dyDescent="0.25">
      <c r="A3047" s="47"/>
      <c r="B3047" s="107"/>
      <c r="C3047" s="48"/>
      <c r="D3047" s="48"/>
    </row>
    <row r="3048" spans="1:4" x14ac:dyDescent="0.25">
      <c r="A3048" s="47"/>
      <c r="B3048" s="107"/>
      <c r="C3048" s="48"/>
      <c r="D3048" s="48"/>
    </row>
    <row r="3049" spans="1:4" x14ac:dyDescent="0.25">
      <c r="A3049" s="47"/>
      <c r="B3049" s="107"/>
      <c r="C3049" s="48"/>
      <c r="D3049" s="48"/>
    </row>
    <row r="3050" spans="1:4" x14ac:dyDescent="0.25">
      <c r="A3050" s="47"/>
      <c r="B3050" s="107"/>
      <c r="C3050" s="48"/>
      <c r="D3050" s="48"/>
    </row>
    <row r="3051" spans="1:4" x14ac:dyDescent="0.25">
      <c r="A3051" s="47"/>
      <c r="B3051" s="107"/>
      <c r="C3051" s="48"/>
      <c r="D3051" s="48"/>
    </row>
    <row r="3052" spans="1:4" x14ac:dyDescent="0.25">
      <c r="A3052" s="47"/>
      <c r="B3052" s="107"/>
      <c r="C3052" s="48"/>
      <c r="D3052" s="48"/>
    </row>
    <row r="3053" spans="1:4" x14ac:dyDescent="0.25">
      <c r="A3053" s="47"/>
      <c r="B3053" s="107"/>
      <c r="C3053" s="48"/>
      <c r="D3053" s="48"/>
    </row>
    <row r="3054" spans="1:4" x14ac:dyDescent="0.25">
      <c r="A3054" s="47"/>
      <c r="B3054" s="107"/>
      <c r="C3054" s="48"/>
      <c r="D3054" s="48"/>
    </row>
    <row r="3055" spans="1:4" x14ac:dyDescent="0.25">
      <c r="A3055" s="47"/>
      <c r="B3055" s="107"/>
      <c r="C3055" s="48"/>
      <c r="D3055" s="48"/>
    </row>
    <row r="3056" spans="1:4" x14ac:dyDescent="0.25">
      <c r="A3056" s="47"/>
      <c r="B3056" s="107"/>
      <c r="C3056" s="48"/>
      <c r="D3056" s="48"/>
    </row>
    <row r="3057" spans="1:4" x14ac:dyDescent="0.25">
      <c r="A3057" s="47"/>
      <c r="B3057" s="107"/>
      <c r="C3057" s="48"/>
      <c r="D3057" s="48"/>
    </row>
    <row r="3058" spans="1:4" x14ac:dyDescent="0.25">
      <c r="A3058" s="47"/>
      <c r="B3058" s="107"/>
      <c r="C3058" s="48"/>
      <c r="D3058" s="48"/>
    </row>
    <row r="3059" spans="1:4" x14ac:dyDescent="0.25">
      <c r="A3059" s="47"/>
      <c r="B3059" s="107"/>
      <c r="C3059" s="48"/>
      <c r="D3059" s="48"/>
    </row>
    <row r="3060" spans="1:4" x14ac:dyDescent="0.25">
      <c r="A3060" s="47"/>
      <c r="B3060" s="107"/>
      <c r="C3060" s="48"/>
      <c r="D3060" s="48"/>
    </row>
    <row r="3061" spans="1:4" x14ac:dyDescent="0.25">
      <c r="A3061" s="47"/>
      <c r="B3061" s="107"/>
      <c r="C3061" s="48"/>
      <c r="D3061" s="48"/>
    </row>
    <row r="3062" spans="1:4" x14ac:dyDescent="0.25">
      <c r="A3062" s="47"/>
      <c r="B3062" s="107"/>
      <c r="C3062" s="48"/>
      <c r="D3062" s="48"/>
    </row>
    <row r="3063" spans="1:4" x14ac:dyDescent="0.25">
      <c r="A3063" s="47"/>
      <c r="B3063" s="107"/>
      <c r="C3063" s="48"/>
      <c r="D3063" s="48"/>
    </row>
    <row r="3064" spans="1:4" x14ac:dyDescent="0.25">
      <c r="A3064" s="47"/>
      <c r="B3064" s="107"/>
      <c r="C3064" s="48"/>
      <c r="D3064" s="48"/>
    </row>
    <row r="3065" spans="1:4" x14ac:dyDescent="0.25">
      <c r="A3065" s="47"/>
      <c r="B3065" s="107"/>
      <c r="C3065" s="48"/>
      <c r="D3065" s="48"/>
    </row>
    <row r="3066" spans="1:4" x14ac:dyDescent="0.25">
      <c r="A3066" s="47"/>
      <c r="B3066" s="107"/>
      <c r="C3066" s="48"/>
      <c r="D3066" s="48"/>
    </row>
    <row r="3067" spans="1:4" x14ac:dyDescent="0.25">
      <c r="A3067" s="47"/>
      <c r="B3067" s="107"/>
      <c r="C3067" s="48"/>
      <c r="D3067" s="48"/>
    </row>
    <row r="3068" spans="1:4" x14ac:dyDescent="0.25">
      <c r="A3068" s="47"/>
      <c r="B3068" s="107"/>
      <c r="C3068" s="48"/>
      <c r="D3068" s="48"/>
    </row>
    <row r="3069" spans="1:4" x14ac:dyDescent="0.25">
      <c r="A3069" s="47"/>
      <c r="B3069" s="107"/>
      <c r="C3069" s="48"/>
      <c r="D3069" s="48"/>
    </row>
    <row r="3070" spans="1:4" x14ac:dyDescent="0.25">
      <c r="A3070" s="47"/>
      <c r="B3070" s="107"/>
      <c r="C3070" s="48"/>
      <c r="D3070" s="48"/>
    </row>
    <row r="3071" spans="1:4" x14ac:dyDescent="0.25">
      <c r="A3071" s="47"/>
      <c r="B3071" s="107"/>
      <c r="C3071" s="48"/>
      <c r="D3071" s="48"/>
    </row>
    <row r="3072" spans="1:4" x14ac:dyDescent="0.25">
      <c r="A3072" s="47"/>
      <c r="B3072" s="107"/>
      <c r="C3072" s="48"/>
      <c r="D3072" s="48"/>
    </row>
    <row r="3073" spans="1:4" x14ac:dyDescent="0.25">
      <c r="A3073" s="47"/>
      <c r="B3073" s="107"/>
      <c r="C3073" s="48"/>
      <c r="D3073" s="48"/>
    </row>
    <row r="3074" spans="1:4" x14ac:dyDescent="0.25">
      <c r="A3074" s="47"/>
      <c r="B3074" s="107"/>
      <c r="C3074" s="48"/>
      <c r="D3074" s="48"/>
    </row>
    <row r="3075" spans="1:4" x14ac:dyDescent="0.25">
      <c r="A3075" s="47"/>
      <c r="B3075" s="107"/>
      <c r="C3075" s="48"/>
      <c r="D3075" s="48"/>
    </row>
    <row r="3076" spans="1:4" x14ac:dyDescent="0.25">
      <c r="A3076" s="47"/>
      <c r="B3076" s="107"/>
      <c r="C3076" s="48"/>
      <c r="D3076" s="48"/>
    </row>
    <row r="3077" spans="1:4" x14ac:dyDescent="0.25">
      <c r="A3077" s="47"/>
      <c r="B3077" s="107"/>
      <c r="C3077" s="48"/>
      <c r="D3077" s="48"/>
    </row>
    <row r="3078" spans="1:4" x14ac:dyDescent="0.25">
      <c r="A3078" s="47"/>
      <c r="B3078" s="107"/>
      <c r="C3078" s="48"/>
      <c r="D3078" s="48"/>
    </row>
    <row r="3079" spans="1:4" x14ac:dyDescent="0.25">
      <c r="A3079" s="47"/>
      <c r="B3079" s="107"/>
      <c r="C3079" s="48"/>
      <c r="D3079" s="48"/>
    </row>
    <row r="3080" spans="1:4" x14ac:dyDescent="0.25">
      <c r="A3080" s="47"/>
      <c r="B3080" s="107"/>
      <c r="C3080" s="48"/>
      <c r="D3080" s="48"/>
    </row>
    <row r="3081" spans="1:4" x14ac:dyDescent="0.25">
      <c r="A3081" s="47"/>
      <c r="B3081" s="107"/>
      <c r="C3081" s="48"/>
      <c r="D3081" s="48"/>
    </row>
    <row r="3082" spans="1:4" x14ac:dyDescent="0.25">
      <c r="A3082" s="47"/>
      <c r="B3082" s="107"/>
      <c r="C3082" s="48"/>
      <c r="D3082" s="48"/>
    </row>
    <row r="3083" spans="1:4" x14ac:dyDescent="0.25">
      <c r="A3083" s="47"/>
      <c r="B3083" s="107"/>
      <c r="C3083" s="48"/>
      <c r="D3083" s="48"/>
    </row>
    <row r="3084" spans="1:4" x14ac:dyDescent="0.25">
      <c r="A3084" s="47"/>
      <c r="B3084" s="107"/>
      <c r="C3084" s="48"/>
      <c r="D3084" s="48"/>
    </row>
    <row r="3085" spans="1:4" x14ac:dyDescent="0.25">
      <c r="A3085" s="47"/>
      <c r="B3085" s="107"/>
      <c r="C3085" s="48"/>
      <c r="D3085" s="48"/>
    </row>
    <row r="3086" spans="1:4" x14ac:dyDescent="0.25">
      <c r="A3086" s="47"/>
      <c r="B3086" s="107"/>
      <c r="C3086" s="48"/>
      <c r="D3086" s="48"/>
    </row>
    <row r="3087" spans="1:4" x14ac:dyDescent="0.25">
      <c r="A3087" s="47"/>
      <c r="B3087" s="107"/>
      <c r="C3087" s="48"/>
      <c r="D3087" s="48"/>
    </row>
    <row r="3088" spans="1:4" x14ac:dyDescent="0.25">
      <c r="A3088" s="47"/>
      <c r="B3088" s="107"/>
      <c r="C3088" s="48"/>
      <c r="D3088" s="48"/>
    </row>
    <row r="3089" spans="1:4" x14ac:dyDescent="0.25">
      <c r="A3089" s="47"/>
      <c r="B3089" s="107"/>
      <c r="C3089" s="48"/>
      <c r="D3089" s="48"/>
    </row>
    <row r="3090" spans="1:4" x14ac:dyDescent="0.25">
      <c r="A3090" s="47"/>
      <c r="B3090" s="107"/>
      <c r="C3090" s="48"/>
      <c r="D3090" s="48"/>
    </row>
    <row r="3091" spans="1:4" x14ac:dyDescent="0.25">
      <c r="A3091" s="47"/>
      <c r="B3091" s="107"/>
      <c r="C3091" s="48"/>
      <c r="D3091" s="48"/>
    </row>
    <row r="3092" spans="1:4" x14ac:dyDescent="0.25">
      <c r="A3092" s="47"/>
      <c r="B3092" s="107"/>
      <c r="C3092" s="48"/>
      <c r="D3092" s="48"/>
    </row>
    <row r="3093" spans="1:4" x14ac:dyDescent="0.25">
      <c r="A3093" s="47"/>
      <c r="B3093" s="107"/>
      <c r="C3093" s="48"/>
      <c r="D3093" s="48"/>
    </row>
    <row r="3094" spans="1:4" x14ac:dyDescent="0.25">
      <c r="A3094" s="47"/>
      <c r="B3094" s="107"/>
      <c r="C3094" s="48"/>
      <c r="D3094" s="48"/>
    </row>
    <row r="3095" spans="1:4" x14ac:dyDescent="0.25">
      <c r="A3095" s="47"/>
      <c r="B3095" s="107"/>
      <c r="C3095" s="48"/>
      <c r="D3095" s="48"/>
    </row>
    <row r="3096" spans="1:4" x14ac:dyDescent="0.25">
      <c r="A3096" s="47"/>
      <c r="B3096" s="107"/>
      <c r="C3096" s="48"/>
      <c r="D3096" s="48"/>
    </row>
    <row r="3097" spans="1:4" x14ac:dyDescent="0.25">
      <c r="A3097" s="47"/>
      <c r="B3097" s="107"/>
      <c r="C3097" s="48"/>
      <c r="D3097" s="48"/>
    </row>
    <row r="3098" spans="1:4" x14ac:dyDescent="0.25">
      <c r="A3098" s="47"/>
      <c r="B3098" s="107"/>
      <c r="C3098" s="48"/>
      <c r="D3098" s="48"/>
    </row>
    <row r="3099" spans="1:4" x14ac:dyDescent="0.25">
      <c r="A3099" s="47"/>
      <c r="B3099" s="107"/>
      <c r="C3099" s="48"/>
      <c r="D3099" s="48"/>
    </row>
    <row r="3100" spans="1:4" x14ac:dyDescent="0.25">
      <c r="A3100" s="47"/>
      <c r="B3100" s="107"/>
      <c r="C3100" s="48"/>
      <c r="D3100" s="48"/>
    </row>
    <row r="3101" spans="1:4" x14ac:dyDescent="0.25">
      <c r="A3101" s="47"/>
      <c r="B3101" s="107"/>
      <c r="C3101" s="48"/>
      <c r="D3101" s="48"/>
    </row>
    <row r="3102" spans="1:4" x14ac:dyDescent="0.25">
      <c r="A3102" s="47"/>
      <c r="B3102" s="107"/>
      <c r="C3102" s="48"/>
      <c r="D3102" s="48"/>
    </row>
    <row r="3103" spans="1:4" x14ac:dyDescent="0.25">
      <c r="A3103" s="47"/>
      <c r="B3103" s="107"/>
      <c r="C3103" s="48"/>
      <c r="D3103" s="48"/>
    </row>
    <row r="3104" spans="1:4" x14ac:dyDescent="0.25">
      <c r="A3104" s="47"/>
      <c r="B3104" s="107"/>
      <c r="C3104" s="48"/>
      <c r="D3104" s="48"/>
    </row>
    <row r="3105" spans="1:4" x14ac:dyDescent="0.25">
      <c r="A3105" s="47"/>
      <c r="B3105" s="107"/>
      <c r="C3105" s="48"/>
      <c r="D3105" s="48"/>
    </row>
    <row r="3106" spans="1:4" x14ac:dyDescent="0.25">
      <c r="A3106" s="47"/>
      <c r="B3106" s="107"/>
      <c r="C3106" s="48"/>
      <c r="D3106" s="48"/>
    </row>
    <row r="3107" spans="1:4" x14ac:dyDescent="0.25">
      <c r="A3107" s="47"/>
      <c r="B3107" s="107"/>
      <c r="C3107" s="48"/>
      <c r="D3107" s="48"/>
    </row>
    <row r="3108" spans="1:4" x14ac:dyDescent="0.25">
      <c r="A3108" s="47"/>
      <c r="B3108" s="107"/>
      <c r="C3108" s="48"/>
      <c r="D3108" s="48"/>
    </row>
    <row r="3109" spans="1:4" x14ac:dyDescent="0.25">
      <c r="A3109" s="47"/>
      <c r="B3109" s="107"/>
      <c r="C3109" s="48"/>
      <c r="D3109" s="48"/>
    </row>
    <row r="3110" spans="1:4" x14ac:dyDescent="0.25">
      <c r="A3110" s="47"/>
      <c r="B3110" s="107"/>
      <c r="C3110" s="48"/>
      <c r="D3110" s="48"/>
    </row>
    <row r="3111" spans="1:4" x14ac:dyDescent="0.25">
      <c r="A3111" s="47"/>
      <c r="B3111" s="107"/>
      <c r="C3111" s="48"/>
      <c r="D3111" s="48"/>
    </row>
    <row r="3112" spans="1:4" x14ac:dyDescent="0.25">
      <c r="A3112" s="47"/>
      <c r="B3112" s="107"/>
      <c r="C3112" s="48"/>
      <c r="D3112" s="48"/>
    </row>
    <row r="3113" spans="1:4" x14ac:dyDescent="0.25">
      <c r="A3113" s="47"/>
      <c r="B3113" s="107"/>
      <c r="C3113" s="48"/>
      <c r="D3113" s="48"/>
    </row>
    <row r="3114" spans="1:4" x14ac:dyDescent="0.25">
      <c r="A3114" s="47"/>
      <c r="B3114" s="107"/>
      <c r="C3114" s="48"/>
      <c r="D3114" s="48"/>
    </row>
    <row r="3115" spans="1:4" x14ac:dyDescent="0.25">
      <c r="A3115" s="47"/>
      <c r="B3115" s="107"/>
      <c r="C3115" s="48"/>
      <c r="D3115" s="48"/>
    </row>
    <row r="3116" spans="1:4" x14ac:dyDescent="0.25">
      <c r="A3116" s="47"/>
      <c r="B3116" s="107"/>
      <c r="C3116" s="48"/>
      <c r="D3116" s="48"/>
    </row>
    <row r="3117" spans="1:4" x14ac:dyDescent="0.25">
      <c r="A3117" s="47"/>
      <c r="B3117" s="107"/>
      <c r="C3117" s="48"/>
      <c r="D3117" s="48"/>
    </row>
    <row r="3118" spans="1:4" x14ac:dyDescent="0.25">
      <c r="A3118" s="47"/>
      <c r="B3118" s="107"/>
      <c r="C3118" s="48"/>
      <c r="D3118" s="48"/>
    </row>
    <row r="3119" spans="1:4" x14ac:dyDescent="0.25">
      <c r="A3119" s="47"/>
      <c r="B3119" s="107"/>
      <c r="C3119" s="48"/>
      <c r="D3119" s="48"/>
    </row>
    <row r="3120" spans="1:4" x14ac:dyDescent="0.25">
      <c r="A3120" s="47"/>
      <c r="B3120" s="107"/>
      <c r="C3120" s="48"/>
      <c r="D3120" s="48"/>
    </row>
    <row r="3121" spans="1:4" x14ac:dyDescent="0.25">
      <c r="A3121" s="47"/>
      <c r="B3121" s="107"/>
      <c r="C3121" s="48"/>
      <c r="D3121" s="48"/>
    </row>
    <row r="3122" spans="1:4" x14ac:dyDescent="0.25">
      <c r="A3122" s="47"/>
      <c r="B3122" s="107"/>
      <c r="C3122" s="48"/>
      <c r="D3122" s="48"/>
    </row>
    <row r="3123" spans="1:4" x14ac:dyDescent="0.25">
      <c r="A3123" s="47"/>
      <c r="B3123" s="107"/>
      <c r="C3123" s="48"/>
      <c r="D3123" s="48"/>
    </row>
    <row r="3124" spans="1:4" x14ac:dyDescent="0.25">
      <c r="A3124" s="47"/>
      <c r="B3124" s="107"/>
      <c r="C3124" s="48"/>
      <c r="D3124" s="48"/>
    </row>
    <row r="3125" spans="1:4" x14ac:dyDescent="0.25">
      <c r="A3125" s="47"/>
      <c r="B3125" s="107"/>
      <c r="C3125" s="48"/>
      <c r="D3125" s="48"/>
    </row>
    <row r="3126" spans="1:4" x14ac:dyDescent="0.25">
      <c r="A3126" s="47"/>
      <c r="B3126" s="107"/>
      <c r="C3126" s="48"/>
      <c r="D3126" s="48"/>
    </row>
    <row r="3127" spans="1:4" x14ac:dyDescent="0.25">
      <c r="A3127" s="47"/>
      <c r="B3127" s="107"/>
      <c r="C3127" s="48"/>
      <c r="D3127" s="48"/>
    </row>
    <row r="3128" spans="1:4" x14ac:dyDescent="0.25">
      <c r="A3128" s="47"/>
      <c r="B3128" s="107"/>
      <c r="C3128" s="48"/>
      <c r="D3128" s="48"/>
    </row>
    <row r="3129" spans="1:4" x14ac:dyDescent="0.25">
      <c r="A3129" s="47"/>
      <c r="B3129" s="107"/>
      <c r="C3129" s="48"/>
      <c r="D3129" s="48"/>
    </row>
    <row r="3130" spans="1:4" x14ac:dyDescent="0.25">
      <c r="A3130" s="47"/>
      <c r="B3130" s="107"/>
      <c r="C3130" s="48"/>
      <c r="D3130" s="48"/>
    </row>
    <row r="3131" spans="1:4" x14ac:dyDescent="0.25">
      <c r="A3131" s="47"/>
      <c r="B3131" s="107"/>
      <c r="C3131" s="48"/>
      <c r="D3131" s="48"/>
    </row>
    <row r="3132" spans="1:4" x14ac:dyDescent="0.25">
      <c r="A3132" s="47"/>
      <c r="B3132" s="107"/>
      <c r="C3132" s="48"/>
      <c r="D3132" s="48"/>
    </row>
    <row r="3133" spans="1:4" x14ac:dyDescent="0.25">
      <c r="A3133" s="47"/>
      <c r="B3133" s="107"/>
      <c r="C3133" s="48"/>
      <c r="D3133" s="48"/>
    </row>
    <row r="3134" spans="1:4" x14ac:dyDescent="0.25">
      <c r="A3134" s="47"/>
      <c r="B3134" s="107"/>
      <c r="C3134" s="48"/>
      <c r="D3134" s="48"/>
    </row>
    <row r="3135" spans="1:4" x14ac:dyDescent="0.25">
      <c r="A3135" s="47"/>
      <c r="B3135" s="107"/>
      <c r="C3135" s="48"/>
      <c r="D3135" s="48"/>
    </row>
    <row r="3136" spans="1:4" x14ac:dyDescent="0.25">
      <c r="A3136" s="47"/>
      <c r="B3136" s="107"/>
      <c r="C3136" s="48"/>
      <c r="D3136" s="48"/>
    </row>
    <row r="3137" spans="1:4" x14ac:dyDescent="0.25">
      <c r="A3137" s="47"/>
      <c r="B3137" s="107"/>
      <c r="C3137" s="48"/>
      <c r="D3137" s="48"/>
    </row>
    <row r="3138" spans="1:4" x14ac:dyDescent="0.25">
      <c r="A3138" s="47"/>
      <c r="B3138" s="107"/>
      <c r="C3138" s="48"/>
      <c r="D3138" s="48"/>
    </row>
    <row r="3139" spans="1:4" x14ac:dyDescent="0.25">
      <c r="A3139" s="47"/>
      <c r="B3139" s="107"/>
      <c r="C3139" s="48"/>
      <c r="D3139" s="48"/>
    </row>
    <row r="3140" spans="1:4" x14ac:dyDescent="0.25">
      <c r="A3140" s="47"/>
      <c r="B3140" s="107"/>
      <c r="C3140" s="48"/>
      <c r="D3140" s="48"/>
    </row>
    <row r="3141" spans="1:4" x14ac:dyDescent="0.25">
      <c r="A3141" s="47"/>
      <c r="B3141" s="107"/>
      <c r="C3141" s="48"/>
      <c r="D3141" s="48"/>
    </row>
    <row r="3142" spans="1:4" x14ac:dyDescent="0.25">
      <c r="A3142" s="47"/>
      <c r="B3142" s="107"/>
      <c r="C3142" s="48"/>
      <c r="D3142" s="48"/>
    </row>
    <row r="3143" spans="1:4" x14ac:dyDescent="0.25">
      <c r="A3143" s="47"/>
      <c r="B3143" s="107"/>
      <c r="C3143" s="48"/>
      <c r="D3143" s="48"/>
    </row>
    <row r="3144" spans="1:4" x14ac:dyDescent="0.25">
      <c r="A3144" s="47"/>
      <c r="B3144" s="107"/>
      <c r="C3144" s="48"/>
      <c r="D3144" s="48"/>
    </row>
    <row r="3145" spans="1:4" x14ac:dyDescent="0.25">
      <c r="A3145" s="47"/>
      <c r="B3145" s="107"/>
      <c r="C3145" s="48"/>
      <c r="D3145" s="48"/>
    </row>
    <row r="3146" spans="1:4" x14ac:dyDescent="0.25">
      <c r="A3146" s="47"/>
      <c r="B3146" s="107"/>
      <c r="C3146" s="48"/>
      <c r="D3146" s="48"/>
    </row>
    <row r="3147" spans="1:4" x14ac:dyDescent="0.25">
      <c r="A3147" s="47"/>
      <c r="B3147" s="107"/>
      <c r="C3147" s="48"/>
      <c r="D3147" s="48"/>
    </row>
    <row r="3148" spans="1:4" x14ac:dyDescent="0.25">
      <c r="A3148" s="47"/>
      <c r="B3148" s="107"/>
      <c r="C3148" s="48"/>
      <c r="D3148" s="48"/>
    </row>
    <row r="3149" spans="1:4" x14ac:dyDescent="0.25">
      <c r="A3149" s="47"/>
      <c r="B3149" s="107"/>
      <c r="C3149" s="48"/>
      <c r="D3149" s="48"/>
    </row>
    <row r="3150" spans="1:4" x14ac:dyDescent="0.25">
      <c r="A3150" s="47"/>
      <c r="B3150" s="107"/>
      <c r="C3150" s="48"/>
      <c r="D3150" s="48"/>
    </row>
    <row r="3151" spans="1:4" x14ac:dyDescent="0.25">
      <c r="A3151" s="47"/>
      <c r="B3151" s="107"/>
      <c r="C3151" s="48"/>
      <c r="D3151" s="48"/>
    </row>
    <row r="3152" spans="1:4" x14ac:dyDescent="0.25">
      <c r="A3152" s="47"/>
      <c r="B3152" s="107"/>
      <c r="C3152" s="48"/>
      <c r="D3152" s="48"/>
    </row>
    <row r="3153" spans="1:4" x14ac:dyDescent="0.25">
      <c r="A3153" s="47"/>
      <c r="B3153" s="107"/>
      <c r="C3153" s="48"/>
      <c r="D3153" s="48"/>
    </row>
    <row r="3154" spans="1:4" x14ac:dyDescent="0.25">
      <c r="A3154" s="47"/>
      <c r="B3154" s="107"/>
      <c r="C3154" s="48"/>
      <c r="D3154" s="48"/>
    </row>
    <row r="3155" spans="1:4" x14ac:dyDescent="0.25">
      <c r="A3155" s="47"/>
      <c r="B3155" s="107"/>
      <c r="C3155" s="48"/>
      <c r="D3155" s="48"/>
    </row>
    <row r="3156" spans="1:4" x14ac:dyDescent="0.25">
      <c r="A3156" s="47"/>
      <c r="B3156" s="107"/>
      <c r="C3156" s="48"/>
      <c r="D3156" s="48"/>
    </row>
    <row r="3157" spans="1:4" x14ac:dyDescent="0.25">
      <c r="A3157" s="47"/>
      <c r="B3157" s="107"/>
      <c r="C3157" s="48"/>
      <c r="D3157" s="48"/>
    </row>
    <row r="3158" spans="1:4" x14ac:dyDescent="0.25">
      <c r="A3158" s="47"/>
      <c r="B3158" s="107"/>
      <c r="C3158" s="48"/>
      <c r="D3158" s="48"/>
    </row>
    <row r="3159" spans="1:4" x14ac:dyDescent="0.25">
      <c r="A3159" s="47"/>
      <c r="B3159" s="107"/>
      <c r="C3159" s="48"/>
      <c r="D3159" s="48"/>
    </row>
    <row r="3160" spans="1:4" x14ac:dyDescent="0.25">
      <c r="A3160" s="47"/>
      <c r="B3160" s="107"/>
      <c r="C3160" s="48"/>
      <c r="D3160" s="48"/>
    </row>
    <row r="3161" spans="1:4" x14ac:dyDescent="0.25">
      <c r="A3161" s="47"/>
      <c r="B3161" s="107"/>
      <c r="C3161" s="48"/>
      <c r="D3161" s="48"/>
    </row>
    <row r="3162" spans="1:4" x14ac:dyDescent="0.25">
      <c r="A3162" s="47"/>
      <c r="B3162" s="107"/>
      <c r="C3162" s="48"/>
      <c r="D3162" s="48"/>
    </row>
    <row r="3163" spans="1:4" x14ac:dyDescent="0.25">
      <c r="A3163" s="47"/>
      <c r="B3163" s="107"/>
      <c r="C3163" s="48"/>
      <c r="D3163" s="48"/>
    </row>
    <row r="3164" spans="1:4" x14ac:dyDescent="0.25">
      <c r="A3164" s="47"/>
      <c r="B3164" s="107"/>
      <c r="C3164" s="48"/>
      <c r="D3164" s="48"/>
    </row>
    <row r="3165" spans="1:4" x14ac:dyDescent="0.25">
      <c r="A3165" s="47"/>
      <c r="B3165" s="107"/>
      <c r="C3165" s="48"/>
      <c r="D3165" s="48"/>
    </row>
    <row r="3166" spans="1:4" x14ac:dyDescent="0.25">
      <c r="A3166" s="47"/>
      <c r="B3166" s="107"/>
      <c r="C3166" s="48"/>
      <c r="D3166" s="48"/>
    </row>
    <row r="3167" spans="1:4" x14ac:dyDescent="0.25">
      <c r="A3167" s="47"/>
      <c r="B3167" s="107"/>
      <c r="C3167" s="48"/>
      <c r="D3167" s="48"/>
    </row>
    <row r="3168" spans="1:4" x14ac:dyDescent="0.25">
      <c r="A3168" s="47"/>
      <c r="B3168" s="107"/>
      <c r="C3168" s="48"/>
      <c r="D3168" s="48"/>
    </row>
    <row r="3169" spans="1:4" x14ac:dyDescent="0.25">
      <c r="A3169" s="47"/>
      <c r="B3169" s="107"/>
      <c r="C3169" s="48"/>
      <c r="D3169" s="48"/>
    </row>
    <row r="3170" spans="1:4" x14ac:dyDescent="0.25">
      <c r="A3170" s="47"/>
      <c r="B3170" s="107"/>
      <c r="C3170" s="48"/>
      <c r="D3170" s="48"/>
    </row>
    <row r="3171" spans="1:4" x14ac:dyDescent="0.25">
      <c r="A3171" s="47"/>
      <c r="B3171" s="107"/>
      <c r="C3171" s="48"/>
      <c r="D3171" s="48"/>
    </row>
    <row r="3172" spans="1:4" x14ac:dyDescent="0.25">
      <c r="A3172" s="47"/>
      <c r="B3172" s="107"/>
      <c r="C3172" s="48"/>
      <c r="D3172" s="48"/>
    </row>
    <row r="3173" spans="1:4" x14ac:dyDescent="0.25">
      <c r="A3173" s="47"/>
      <c r="B3173" s="107"/>
      <c r="C3173" s="48"/>
      <c r="D3173" s="48"/>
    </row>
    <row r="3174" spans="1:4" x14ac:dyDescent="0.25">
      <c r="A3174" s="47"/>
      <c r="B3174" s="107"/>
      <c r="C3174" s="48"/>
      <c r="D3174" s="48"/>
    </row>
    <row r="3175" spans="1:4" x14ac:dyDescent="0.25">
      <c r="A3175" s="47"/>
      <c r="B3175" s="107"/>
      <c r="C3175" s="48"/>
      <c r="D3175" s="48"/>
    </row>
    <row r="3176" spans="1:4" x14ac:dyDescent="0.25">
      <c r="A3176" s="47"/>
      <c r="B3176" s="107"/>
      <c r="C3176" s="48"/>
      <c r="D3176" s="48"/>
    </row>
    <row r="3177" spans="1:4" x14ac:dyDescent="0.25">
      <c r="A3177" s="47"/>
      <c r="B3177" s="107"/>
      <c r="C3177" s="48"/>
      <c r="D3177" s="48"/>
    </row>
    <row r="3178" spans="1:4" x14ac:dyDescent="0.25">
      <c r="A3178" s="47"/>
      <c r="B3178" s="107"/>
      <c r="C3178" s="48"/>
      <c r="D3178" s="48"/>
    </row>
    <row r="3179" spans="1:4" x14ac:dyDescent="0.25">
      <c r="A3179" s="47"/>
      <c r="B3179" s="107"/>
      <c r="C3179" s="48"/>
      <c r="D3179" s="48"/>
    </row>
    <row r="3180" spans="1:4" x14ac:dyDescent="0.25">
      <c r="A3180" s="47"/>
      <c r="B3180" s="107"/>
      <c r="C3180" s="48"/>
      <c r="D3180" s="48"/>
    </row>
    <row r="3181" spans="1:4" x14ac:dyDescent="0.25">
      <c r="A3181" s="47"/>
      <c r="B3181" s="107"/>
      <c r="C3181" s="48"/>
      <c r="D3181" s="48"/>
    </row>
    <row r="3182" spans="1:4" x14ac:dyDescent="0.25">
      <c r="A3182" s="47"/>
      <c r="B3182" s="107"/>
      <c r="C3182" s="48"/>
      <c r="D3182" s="48"/>
    </row>
    <row r="3183" spans="1:4" x14ac:dyDescent="0.25">
      <c r="A3183" s="47"/>
      <c r="B3183" s="107"/>
      <c r="C3183" s="48"/>
      <c r="D3183" s="48"/>
    </row>
    <row r="3184" spans="1:4" x14ac:dyDescent="0.25">
      <c r="A3184" s="47"/>
      <c r="B3184" s="107"/>
      <c r="C3184" s="48"/>
      <c r="D3184" s="48"/>
    </row>
    <row r="3185" spans="1:4" x14ac:dyDescent="0.25">
      <c r="A3185" s="47"/>
      <c r="B3185" s="107"/>
      <c r="C3185" s="48"/>
      <c r="D3185" s="48"/>
    </row>
    <row r="3186" spans="1:4" x14ac:dyDescent="0.25">
      <c r="A3186" s="47"/>
      <c r="B3186" s="107"/>
      <c r="C3186" s="48"/>
      <c r="D3186" s="48"/>
    </row>
    <row r="3187" spans="1:4" x14ac:dyDescent="0.25">
      <c r="A3187" s="47"/>
      <c r="B3187" s="107"/>
      <c r="C3187" s="48"/>
      <c r="D3187" s="48"/>
    </row>
    <row r="3188" spans="1:4" x14ac:dyDescent="0.25">
      <c r="A3188" s="47"/>
      <c r="B3188" s="107"/>
      <c r="C3188" s="48"/>
      <c r="D3188" s="48"/>
    </row>
    <row r="3189" spans="1:4" x14ac:dyDescent="0.25">
      <c r="A3189" s="47"/>
      <c r="B3189" s="107"/>
      <c r="C3189" s="48"/>
      <c r="D3189" s="48"/>
    </row>
    <row r="3190" spans="1:4" x14ac:dyDescent="0.25">
      <c r="A3190" s="47"/>
      <c r="B3190" s="107"/>
      <c r="C3190" s="48"/>
      <c r="D3190" s="48"/>
    </row>
    <row r="3191" spans="1:4" x14ac:dyDescent="0.25">
      <c r="A3191" s="47"/>
      <c r="B3191" s="107"/>
      <c r="C3191" s="48"/>
      <c r="D3191" s="48"/>
    </row>
    <row r="3192" spans="1:4" x14ac:dyDescent="0.25">
      <c r="A3192" s="47"/>
      <c r="B3192" s="107"/>
      <c r="C3192" s="48"/>
      <c r="D3192" s="48"/>
    </row>
    <row r="3193" spans="1:4" x14ac:dyDescent="0.25">
      <c r="A3193" s="47"/>
      <c r="B3193" s="107"/>
      <c r="C3193" s="48"/>
      <c r="D3193" s="48"/>
    </row>
    <row r="3194" spans="1:4" x14ac:dyDescent="0.25">
      <c r="A3194" s="47"/>
      <c r="B3194" s="107"/>
      <c r="C3194" s="48"/>
      <c r="D3194" s="48"/>
    </row>
    <row r="3195" spans="1:4" x14ac:dyDescent="0.25">
      <c r="A3195" s="47"/>
      <c r="B3195" s="107"/>
      <c r="C3195" s="48"/>
      <c r="D3195" s="48"/>
    </row>
    <row r="3196" spans="1:4" x14ac:dyDescent="0.25">
      <c r="A3196" s="47"/>
      <c r="B3196" s="107"/>
      <c r="C3196" s="48"/>
      <c r="D3196" s="48"/>
    </row>
    <row r="3197" spans="1:4" x14ac:dyDescent="0.25">
      <c r="A3197" s="47"/>
      <c r="B3197" s="107"/>
      <c r="C3197" s="48"/>
      <c r="D3197" s="48"/>
    </row>
    <row r="3198" spans="1:4" x14ac:dyDescent="0.25">
      <c r="A3198" s="47"/>
      <c r="B3198" s="107"/>
      <c r="C3198" s="48"/>
      <c r="D3198" s="48"/>
    </row>
    <row r="3199" spans="1:4" x14ac:dyDescent="0.25">
      <c r="A3199" s="47"/>
      <c r="B3199" s="107"/>
      <c r="C3199" s="48"/>
      <c r="D3199" s="48"/>
    </row>
    <row r="3200" spans="1:4" x14ac:dyDescent="0.25">
      <c r="A3200" s="47"/>
      <c r="B3200" s="107"/>
      <c r="C3200" s="48"/>
      <c r="D3200" s="48"/>
    </row>
    <row r="3201" spans="1:4" x14ac:dyDescent="0.25">
      <c r="A3201" s="47"/>
      <c r="B3201" s="107"/>
      <c r="C3201" s="48"/>
      <c r="D3201" s="48"/>
    </row>
    <row r="3202" spans="1:4" x14ac:dyDescent="0.25">
      <c r="A3202" s="47"/>
      <c r="B3202" s="107"/>
      <c r="C3202" s="48"/>
      <c r="D3202" s="48"/>
    </row>
    <row r="3203" spans="1:4" x14ac:dyDescent="0.25">
      <c r="A3203" s="47"/>
      <c r="B3203" s="107"/>
      <c r="C3203" s="48"/>
      <c r="D3203" s="48"/>
    </row>
    <row r="3204" spans="1:4" x14ac:dyDescent="0.25">
      <c r="A3204" s="47"/>
      <c r="B3204" s="107"/>
      <c r="C3204" s="48"/>
      <c r="D3204" s="48"/>
    </row>
    <row r="3205" spans="1:4" x14ac:dyDescent="0.25">
      <c r="A3205" s="47"/>
      <c r="B3205" s="107"/>
      <c r="C3205" s="48"/>
      <c r="D3205" s="48"/>
    </row>
    <row r="3206" spans="1:4" x14ac:dyDescent="0.25">
      <c r="A3206" s="47"/>
      <c r="B3206" s="107"/>
      <c r="C3206" s="48"/>
      <c r="D3206" s="48"/>
    </row>
    <row r="3207" spans="1:4" x14ac:dyDescent="0.25">
      <c r="A3207" s="47"/>
      <c r="B3207" s="107"/>
      <c r="C3207" s="48"/>
      <c r="D3207" s="48"/>
    </row>
    <row r="3208" spans="1:4" x14ac:dyDescent="0.25">
      <c r="A3208" s="47"/>
      <c r="B3208" s="107"/>
      <c r="C3208" s="48"/>
      <c r="D3208" s="48"/>
    </row>
    <row r="3209" spans="1:4" x14ac:dyDescent="0.25">
      <c r="A3209" s="47"/>
      <c r="B3209" s="107"/>
      <c r="C3209" s="48"/>
      <c r="D3209" s="48"/>
    </row>
    <row r="3210" spans="1:4" x14ac:dyDescent="0.25">
      <c r="A3210" s="47"/>
      <c r="B3210" s="107"/>
      <c r="C3210" s="48"/>
      <c r="D3210" s="48"/>
    </row>
    <row r="3211" spans="1:4" x14ac:dyDescent="0.25">
      <c r="A3211" s="47"/>
      <c r="B3211" s="107"/>
      <c r="C3211" s="48"/>
      <c r="D3211" s="48"/>
    </row>
    <row r="3212" spans="1:4" x14ac:dyDescent="0.25">
      <c r="A3212" s="47"/>
      <c r="B3212" s="107"/>
      <c r="C3212" s="48"/>
      <c r="D3212" s="48"/>
    </row>
    <row r="3213" spans="1:4" x14ac:dyDescent="0.25">
      <c r="A3213" s="47"/>
      <c r="B3213" s="107"/>
      <c r="C3213" s="48"/>
      <c r="D3213" s="48"/>
    </row>
    <row r="3214" spans="1:4" x14ac:dyDescent="0.25">
      <c r="A3214" s="47"/>
      <c r="B3214" s="107"/>
      <c r="C3214" s="48"/>
      <c r="D3214" s="48"/>
    </row>
    <row r="3215" spans="1:4" x14ac:dyDescent="0.25">
      <c r="A3215" s="47"/>
      <c r="B3215" s="107"/>
      <c r="C3215" s="48"/>
      <c r="D3215" s="48"/>
    </row>
    <row r="3216" spans="1:4" x14ac:dyDescent="0.25">
      <c r="A3216" s="47"/>
      <c r="B3216" s="107"/>
      <c r="C3216" s="48"/>
      <c r="D3216" s="48"/>
    </row>
    <row r="3217" spans="1:4" x14ac:dyDescent="0.25">
      <c r="A3217" s="47"/>
      <c r="B3217" s="107"/>
      <c r="C3217" s="48"/>
      <c r="D3217" s="48"/>
    </row>
    <row r="3218" spans="1:4" x14ac:dyDescent="0.25">
      <c r="A3218" s="47"/>
      <c r="B3218" s="107"/>
      <c r="C3218" s="48"/>
      <c r="D3218" s="48"/>
    </row>
    <row r="3219" spans="1:4" x14ac:dyDescent="0.25">
      <c r="A3219" s="47"/>
      <c r="B3219" s="107"/>
      <c r="C3219" s="48"/>
      <c r="D3219" s="48"/>
    </row>
    <row r="3220" spans="1:4" x14ac:dyDescent="0.25">
      <c r="A3220" s="47"/>
      <c r="B3220" s="107"/>
      <c r="C3220" s="48"/>
      <c r="D3220" s="48"/>
    </row>
    <row r="3221" spans="1:4" x14ac:dyDescent="0.25">
      <c r="A3221" s="47"/>
      <c r="B3221" s="107"/>
      <c r="C3221" s="48"/>
      <c r="D3221" s="48"/>
    </row>
    <row r="3222" spans="1:4" x14ac:dyDescent="0.25">
      <c r="A3222" s="47"/>
      <c r="B3222" s="107"/>
      <c r="C3222" s="48"/>
      <c r="D3222" s="48"/>
    </row>
    <row r="3223" spans="1:4" x14ac:dyDescent="0.25">
      <c r="A3223" s="47"/>
      <c r="B3223" s="107"/>
      <c r="C3223" s="48"/>
      <c r="D3223" s="48"/>
    </row>
    <row r="3224" spans="1:4" x14ac:dyDescent="0.25">
      <c r="A3224" s="47"/>
      <c r="B3224" s="107"/>
      <c r="C3224" s="48"/>
      <c r="D3224" s="48"/>
    </row>
    <row r="3225" spans="1:4" x14ac:dyDescent="0.25">
      <c r="A3225" s="47"/>
      <c r="B3225" s="107"/>
      <c r="C3225" s="48"/>
      <c r="D3225" s="48"/>
    </row>
    <row r="3226" spans="1:4" x14ac:dyDescent="0.25">
      <c r="A3226" s="47"/>
      <c r="B3226" s="107"/>
      <c r="C3226" s="48"/>
      <c r="D3226" s="48"/>
    </row>
    <row r="3227" spans="1:4" x14ac:dyDescent="0.25">
      <c r="A3227" s="47"/>
      <c r="B3227" s="107"/>
      <c r="C3227" s="48"/>
      <c r="D3227" s="48"/>
    </row>
    <row r="3228" spans="1:4" x14ac:dyDescent="0.25">
      <c r="A3228" s="47"/>
      <c r="B3228" s="107"/>
      <c r="C3228" s="48"/>
      <c r="D3228" s="48"/>
    </row>
    <row r="3229" spans="1:4" x14ac:dyDescent="0.25">
      <c r="A3229" s="47"/>
      <c r="B3229" s="107"/>
      <c r="C3229" s="48"/>
      <c r="D3229" s="48"/>
    </row>
    <row r="3230" spans="1:4" x14ac:dyDescent="0.25">
      <c r="A3230" s="47"/>
      <c r="B3230" s="107"/>
      <c r="C3230" s="48"/>
      <c r="D3230" s="48"/>
    </row>
    <row r="3231" spans="1:4" x14ac:dyDescent="0.25">
      <c r="A3231" s="47"/>
      <c r="B3231" s="107"/>
      <c r="C3231" s="48"/>
      <c r="D3231" s="48"/>
    </row>
    <row r="3232" spans="1:4" x14ac:dyDescent="0.25">
      <c r="A3232" s="47"/>
      <c r="B3232" s="107"/>
      <c r="C3232" s="48"/>
      <c r="D3232" s="48"/>
    </row>
    <row r="3233" spans="1:4" x14ac:dyDescent="0.25">
      <c r="A3233" s="47"/>
      <c r="B3233" s="107"/>
      <c r="C3233" s="48"/>
      <c r="D3233" s="48"/>
    </row>
    <row r="3234" spans="1:4" x14ac:dyDescent="0.25">
      <c r="A3234" s="47"/>
      <c r="B3234" s="107"/>
      <c r="C3234" s="48"/>
      <c r="D3234" s="48"/>
    </row>
    <row r="3235" spans="1:4" x14ac:dyDescent="0.25">
      <c r="A3235" s="47"/>
      <c r="B3235" s="107"/>
      <c r="C3235" s="48"/>
      <c r="D3235" s="48"/>
    </row>
    <row r="3236" spans="1:4" x14ac:dyDescent="0.25">
      <c r="A3236" s="47"/>
      <c r="B3236" s="107"/>
      <c r="C3236" s="48"/>
      <c r="D3236" s="48"/>
    </row>
    <row r="3237" spans="1:4" x14ac:dyDescent="0.25">
      <c r="A3237" s="47"/>
      <c r="B3237" s="107"/>
      <c r="C3237" s="48"/>
      <c r="D3237" s="48"/>
    </row>
    <row r="3238" spans="1:4" x14ac:dyDescent="0.25">
      <c r="A3238" s="47"/>
      <c r="B3238" s="107"/>
      <c r="C3238" s="48"/>
      <c r="D3238" s="48"/>
    </row>
    <row r="3239" spans="1:4" x14ac:dyDescent="0.25">
      <c r="A3239" s="47"/>
      <c r="B3239" s="107"/>
      <c r="C3239" s="48"/>
      <c r="D3239" s="48"/>
    </row>
    <row r="3240" spans="1:4" x14ac:dyDescent="0.25">
      <c r="A3240" s="47"/>
      <c r="B3240" s="107"/>
      <c r="C3240" s="48"/>
      <c r="D3240" s="48"/>
    </row>
    <row r="3241" spans="1:4" x14ac:dyDescent="0.25">
      <c r="A3241" s="47"/>
      <c r="B3241" s="107"/>
      <c r="C3241" s="48"/>
      <c r="D3241" s="48"/>
    </row>
    <row r="3242" spans="1:4" x14ac:dyDescent="0.25">
      <c r="A3242" s="47"/>
      <c r="B3242" s="107"/>
      <c r="C3242" s="48"/>
      <c r="D3242" s="48"/>
    </row>
    <row r="3243" spans="1:4" x14ac:dyDescent="0.25">
      <c r="A3243" s="47"/>
      <c r="B3243" s="107"/>
      <c r="C3243" s="48"/>
      <c r="D3243" s="48"/>
    </row>
    <row r="3244" spans="1:4" x14ac:dyDescent="0.25">
      <c r="A3244" s="47"/>
      <c r="B3244" s="107"/>
      <c r="C3244" s="48"/>
      <c r="D3244" s="48"/>
    </row>
    <row r="3245" spans="1:4" x14ac:dyDescent="0.25">
      <c r="A3245" s="47"/>
      <c r="B3245" s="107"/>
      <c r="C3245" s="48"/>
      <c r="D3245" s="48"/>
    </row>
    <row r="3246" spans="1:4" x14ac:dyDescent="0.25">
      <c r="A3246" s="47"/>
      <c r="B3246" s="107"/>
      <c r="C3246" s="48"/>
      <c r="D3246" s="48"/>
    </row>
    <row r="3247" spans="1:4" x14ac:dyDescent="0.25">
      <c r="A3247" s="47"/>
      <c r="B3247" s="107"/>
      <c r="C3247" s="48"/>
      <c r="D3247" s="48"/>
    </row>
    <row r="3248" spans="1:4" x14ac:dyDescent="0.25">
      <c r="A3248" s="47"/>
      <c r="B3248" s="107"/>
      <c r="C3248" s="48"/>
      <c r="D3248" s="48"/>
    </row>
    <row r="3249" spans="1:4" x14ac:dyDescent="0.25">
      <c r="A3249" s="47"/>
      <c r="B3249" s="107"/>
      <c r="C3249" s="48"/>
      <c r="D3249" s="48"/>
    </row>
    <row r="3250" spans="1:4" x14ac:dyDescent="0.25">
      <c r="A3250" s="47"/>
      <c r="B3250" s="107"/>
      <c r="C3250" s="48"/>
      <c r="D3250" s="48"/>
    </row>
    <row r="3251" spans="1:4" x14ac:dyDescent="0.25">
      <c r="A3251" s="47"/>
      <c r="B3251" s="107"/>
      <c r="C3251" s="48"/>
      <c r="D3251" s="48"/>
    </row>
    <row r="3252" spans="1:4" x14ac:dyDescent="0.25">
      <c r="A3252" s="47"/>
      <c r="B3252" s="107"/>
      <c r="C3252" s="48"/>
      <c r="D3252" s="48"/>
    </row>
    <row r="3253" spans="1:4" x14ac:dyDescent="0.25">
      <c r="A3253" s="47"/>
      <c r="B3253" s="107"/>
      <c r="C3253" s="48"/>
      <c r="D3253" s="48"/>
    </row>
    <row r="3254" spans="1:4" x14ac:dyDescent="0.25">
      <c r="A3254" s="47"/>
      <c r="B3254" s="107"/>
      <c r="C3254" s="48"/>
      <c r="D3254" s="48"/>
    </row>
    <row r="3255" spans="1:4" x14ac:dyDescent="0.25">
      <c r="A3255" s="47"/>
      <c r="B3255" s="107"/>
      <c r="C3255" s="48"/>
      <c r="D3255" s="48"/>
    </row>
    <row r="3256" spans="1:4" x14ac:dyDescent="0.25">
      <c r="A3256" s="47"/>
      <c r="B3256" s="107"/>
      <c r="C3256" s="48"/>
      <c r="D3256" s="48"/>
    </row>
    <row r="3257" spans="1:4" x14ac:dyDescent="0.25">
      <c r="A3257" s="47"/>
      <c r="B3257" s="107"/>
      <c r="C3257" s="48"/>
      <c r="D3257" s="48"/>
    </row>
    <row r="3258" spans="1:4" x14ac:dyDescent="0.25">
      <c r="A3258" s="47"/>
      <c r="B3258" s="107"/>
      <c r="C3258" s="48"/>
      <c r="D3258" s="48"/>
    </row>
    <row r="3259" spans="1:4" x14ac:dyDescent="0.25">
      <c r="A3259" s="47"/>
      <c r="B3259" s="107"/>
      <c r="C3259" s="48"/>
      <c r="D3259" s="48"/>
    </row>
    <row r="3260" spans="1:4" x14ac:dyDescent="0.25">
      <c r="A3260" s="47"/>
      <c r="B3260" s="107"/>
      <c r="C3260" s="48"/>
      <c r="D3260" s="48"/>
    </row>
    <row r="3261" spans="1:4" x14ac:dyDescent="0.25">
      <c r="A3261" s="47"/>
      <c r="B3261" s="107"/>
      <c r="C3261" s="48"/>
      <c r="D3261" s="48"/>
    </row>
    <row r="3262" spans="1:4" x14ac:dyDescent="0.25">
      <c r="A3262" s="47"/>
      <c r="B3262" s="107"/>
      <c r="C3262" s="48"/>
      <c r="D3262" s="48"/>
    </row>
    <row r="3263" spans="1:4" x14ac:dyDescent="0.25">
      <c r="A3263" s="47"/>
      <c r="B3263" s="107"/>
      <c r="C3263" s="48"/>
      <c r="D3263" s="48"/>
    </row>
    <row r="3264" spans="1:4" x14ac:dyDescent="0.25">
      <c r="A3264" s="47"/>
      <c r="B3264" s="107"/>
      <c r="C3264" s="48"/>
      <c r="D3264" s="48"/>
    </row>
    <row r="3265" spans="1:4" x14ac:dyDescent="0.25">
      <c r="A3265" s="47"/>
      <c r="B3265" s="107"/>
      <c r="C3265" s="48"/>
      <c r="D3265" s="48"/>
    </row>
    <row r="3266" spans="1:4" x14ac:dyDescent="0.25">
      <c r="A3266" s="47"/>
      <c r="B3266" s="107"/>
      <c r="C3266" s="48"/>
      <c r="D3266" s="48"/>
    </row>
    <row r="3267" spans="1:4" x14ac:dyDescent="0.25">
      <c r="A3267" s="47"/>
      <c r="B3267" s="107"/>
      <c r="C3267" s="48"/>
      <c r="D3267" s="48"/>
    </row>
    <row r="3268" spans="1:4" x14ac:dyDescent="0.25">
      <c r="A3268" s="47"/>
      <c r="B3268" s="107"/>
      <c r="C3268" s="48"/>
      <c r="D3268" s="48"/>
    </row>
    <row r="3269" spans="1:4" x14ac:dyDescent="0.25">
      <c r="A3269" s="47"/>
      <c r="B3269" s="107"/>
      <c r="C3269" s="48"/>
      <c r="D3269" s="48"/>
    </row>
    <row r="3270" spans="1:4" x14ac:dyDescent="0.25">
      <c r="A3270" s="47"/>
      <c r="B3270" s="107"/>
      <c r="C3270" s="48"/>
      <c r="D3270" s="48"/>
    </row>
    <row r="3271" spans="1:4" x14ac:dyDescent="0.25">
      <c r="A3271" s="47"/>
      <c r="B3271" s="107"/>
      <c r="C3271" s="48"/>
      <c r="D3271" s="48"/>
    </row>
    <row r="3272" spans="1:4" x14ac:dyDescent="0.25">
      <c r="A3272" s="47"/>
      <c r="B3272" s="107"/>
      <c r="C3272" s="48"/>
      <c r="D3272" s="48"/>
    </row>
    <row r="3273" spans="1:4" x14ac:dyDescent="0.25">
      <c r="A3273" s="47"/>
      <c r="B3273" s="107"/>
      <c r="C3273" s="48"/>
      <c r="D3273" s="48"/>
    </row>
    <row r="3274" spans="1:4" x14ac:dyDescent="0.25">
      <c r="A3274" s="47"/>
      <c r="B3274" s="107"/>
      <c r="C3274" s="48"/>
      <c r="D3274" s="48"/>
    </row>
    <row r="3275" spans="1:4" x14ac:dyDescent="0.25">
      <c r="A3275" s="47"/>
      <c r="B3275" s="107"/>
      <c r="C3275" s="48"/>
      <c r="D3275" s="48"/>
    </row>
    <row r="3276" spans="1:4" x14ac:dyDescent="0.25">
      <c r="A3276" s="47"/>
      <c r="B3276" s="107"/>
      <c r="C3276" s="48"/>
      <c r="D3276" s="48"/>
    </row>
    <row r="3277" spans="1:4" x14ac:dyDescent="0.25">
      <c r="A3277" s="47"/>
      <c r="B3277" s="107"/>
      <c r="C3277" s="48"/>
      <c r="D3277" s="48"/>
    </row>
    <row r="3278" spans="1:4" x14ac:dyDescent="0.25">
      <c r="A3278" s="47"/>
      <c r="B3278" s="107"/>
      <c r="C3278" s="48"/>
      <c r="D3278" s="48"/>
    </row>
    <row r="3279" spans="1:4" x14ac:dyDescent="0.25">
      <c r="A3279" s="47"/>
      <c r="B3279" s="107"/>
      <c r="C3279" s="48"/>
      <c r="D3279" s="48"/>
    </row>
    <row r="3280" spans="1:4" x14ac:dyDescent="0.25">
      <c r="A3280" s="47"/>
      <c r="B3280" s="107"/>
      <c r="C3280" s="48"/>
      <c r="D3280" s="48"/>
    </row>
    <row r="3281" spans="1:4" x14ac:dyDescent="0.25">
      <c r="A3281" s="47"/>
      <c r="B3281" s="107"/>
      <c r="C3281" s="48"/>
      <c r="D3281" s="48"/>
    </row>
    <row r="3282" spans="1:4" x14ac:dyDescent="0.25">
      <c r="A3282" s="47"/>
      <c r="B3282" s="107"/>
      <c r="C3282" s="48"/>
      <c r="D3282" s="48"/>
    </row>
    <row r="3283" spans="1:4" x14ac:dyDescent="0.25">
      <c r="A3283" s="47"/>
      <c r="B3283" s="107"/>
      <c r="C3283" s="48"/>
      <c r="D3283" s="48"/>
    </row>
    <row r="3284" spans="1:4" x14ac:dyDescent="0.25">
      <c r="A3284" s="47"/>
      <c r="B3284" s="107"/>
      <c r="C3284" s="48"/>
      <c r="D3284" s="48"/>
    </row>
    <row r="3285" spans="1:4" x14ac:dyDescent="0.25">
      <c r="A3285" s="47"/>
      <c r="B3285" s="107"/>
      <c r="C3285" s="48"/>
      <c r="D3285" s="48"/>
    </row>
    <row r="3286" spans="1:4" x14ac:dyDescent="0.25">
      <c r="A3286" s="47"/>
      <c r="B3286" s="107"/>
      <c r="C3286" s="48"/>
      <c r="D3286" s="48"/>
    </row>
    <row r="3287" spans="1:4" x14ac:dyDescent="0.25">
      <c r="A3287" s="47"/>
      <c r="B3287" s="107"/>
      <c r="C3287" s="48"/>
      <c r="D3287" s="48"/>
    </row>
    <row r="3288" spans="1:4" x14ac:dyDescent="0.25">
      <c r="A3288" s="47"/>
      <c r="B3288" s="107"/>
      <c r="C3288" s="48"/>
      <c r="D3288" s="48"/>
    </row>
    <row r="3289" spans="1:4" x14ac:dyDescent="0.25">
      <c r="A3289" s="47"/>
      <c r="B3289" s="107"/>
      <c r="C3289" s="48"/>
      <c r="D3289" s="48"/>
    </row>
    <row r="3290" spans="1:4" x14ac:dyDescent="0.25">
      <c r="A3290" s="47"/>
      <c r="B3290" s="107"/>
      <c r="C3290" s="48"/>
      <c r="D3290" s="48"/>
    </row>
    <row r="3291" spans="1:4" x14ac:dyDescent="0.25">
      <c r="A3291" s="47"/>
      <c r="B3291" s="107"/>
      <c r="C3291" s="48"/>
      <c r="D3291" s="48"/>
    </row>
    <row r="3292" spans="1:4" x14ac:dyDescent="0.25">
      <c r="A3292" s="47"/>
      <c r="B3292" s="107"/>
      <c r="C3292" s="48"/>
      <c r="D3292" s="48"/>
    </row>
    <row r="3293" spans="1:4" x14ac:dyDescent="0.25">
      <c r="A3293" s="47"/>
      <c r="B3293" s="107"/>
      <c r="C3293" s="48"/>
      <c r="D3293" s="48"/>
    </row>
    <row r="3294" spans="1:4" x14ac:dyDescent="0.25">
      <c r="A3294" s="47"/>
      <c r="B3294" s="107"/>
      <c r="C3294" s="48"/>
      <c r="D3294" s="48"/>
    </row>
    <row r="3295" spans="1:4" x14ac:dyDescent="0.25">
      <c r="A3295" s="47"/>
      <c r="B3295" s="107"/>
      <c r="C3295" s="48"/>
      <c r="D3295" s="48"/>
    </row>
    <row r="3296" spans="1:4" x14ac:dyDescent="0.25">
      <c r="A3296" s="47"/>
      <c r="B3296" s="107"/>
      <c r="C3296" s="48"/>
      <c r="D3296" s="48"/>
    </row>
    <row r="3297" spans="1:4" x14ac:dyDescent="0.25">
      <c r="A3297" s="47"/>
      <c r="B3297" s="107"/>
      <c r="C3297" s="48"/>
      <c r="D3297" s="48"/>
    </row>
    <row r="3298" spans="1:4" x14ac:dyDescent="0.25">
      <c r="A3298" s="47"/>
      <c r="B3298" s="107"/>
      <c r="C3298" s="48"/>
      <c r="D3298" s="48"/>
    </row>
    <row r="3299" spans="1:4" x14ac:dyDescent="0.25">
      <c r="A3299" s="47"/>
      <c r="B3299" s="107"/>
      <c r="C3299" s="48"/>
      <c r="D3299" s="48"/>
    </row>
    <row r="3300" spans="1:4" x14ac:dyDescent="0.25">
      <c r="A3300" s="47"/>
      <c r="B3300" s="107"/>
      <c r="C3300" s="48"/>
      <c r="D3300" s="48"/>
    </row>
    <row r="3301" spans="1:4" x14ac:dyDescent="0.25">
      <c r="A3301" s="47"/>
      <c r="B3301" s="107"/>
      <c r="C3301" s="48"/>
      <c r="D3301" s="48"/>
    </row>
    <row r="3302" spans="1:4" x14ac:dyDescent="0.25">
      <c r="A3302" s="47"/>
      <c r="B3302" s="107"/>
      <c r="C3302" s="48"/>
      <c r="D3302" s="48"/>
    </row>
    <row r="3303" spans="1:4" x14ac:dyDescent="0.25">
      <c r="A3303" s="47"/>
      <c r="B3303" s="107"/>
      <c r="C3303" s="48"/>
      <c r="D3303" s="48"/>
    </row>
    <row r="3304" spans="1:4" x14ac:dyDescent="0.25">
      <c r="A3304" s="47"/>
      <c r="B3304" s="107"/>
      <c r="C3304" s="48"/>
      <c r="D3304" s="48"/>
    </row>
    <row r="3305" spans="1:4" x14ac:dyDescent="0.25">
      <c r="A3305" s="47"/>
      <c r="B3305" s="107"/>
      <c r="C3305" s="48"/>
      <c r="D3305" s="48"/>
    </row>
    <row r="3306" spans="1:4" x14ac:dyDescent="0.25">
      <c r="A3306" s="47"/>
      <c r="B3306" s="107"/>
      <c r="C3306" s="48"/>
      <c r="D3306" s="48"/>
    </row>
    <row r="3307" spans="1:4" x14ac:dyDescent="0.25">
      <c r="A3307" s="47"/>
      <c r="B3307" s="107"/>
      <c r="C3307" s="48"/>
      <c r="D3307" s="48"/>
    </row>
    <row r="3308" spans="1:4" x14ac:dyDescent="0.25">
      <c r="A3308" s="47"/>
      <c r="B3308" s="107"/>
      <c r="C3308" s="48"/>
      <c r="D3308" s="48"/>
    </row>
    <row r="3309" spans="1:4" x14ac:dyDescent="0.25">
      <c r="A3309" s="47"/>
      <c r="B3309" s="107"/>
      <c r="C3309" s="48"/>
      <c r="D3309" s="48"/>
    </row>
    <row r="3310" spans="1:4" x14ac:dyDescent="0.25">
      <c r="A3310" s="47"/>
      <c r="B3310" s="107"/>
      <c r="C3310" s="48"/>
      <c r="D3310" s="48"/>
    </row>
    <row r="3311" spans="1:4" x14ac:dyDescent="0.25">
      <c r="A3311" s="47"/>
      <c r="B3311" s="107"/>
      <c r="C3311" s="48"/>
      <c r="D3311" s="48"/>
    </row>
    <row r="3312" spans="1:4" x14ac:dyDescent="0.25">
      <c r="A3312" s="47"/>
      <c r="B3312" s="107"/>
      <c r="C3312" s="48"/>
      <c r="D3312" s="48"/>
    </row>
    <row r="3313" spans="1:4" x14ac:dyDescent="0.25">
      <c r="A3313" s="47"/>
      <c r="B3313" s="107"/>
      <c r="C3313" s="48"/>
      <c r="D3313" s="48"/>
    </row>
    <row r="3314" spans="1:4" x14ac:dyDescent="0.25">
      <c r="A3314" s="47"/>
      <c r="B3314" s="107"/>
      <c r="C3314" s="48"/>
      <c r="D3314" s="48"/>
    </row>
    <row r="3315" spans="1:4" x14ac:dyDescent="0.25">
      <c r="A3315" s="47"/>
      <c r="B3315" s="107"/>
      <c r="C3315" s="48"/>
      <c r="D3315" s="48"/>
    </row>
    <row r="3316" spans="1:4" x14ac:dyDescent="0.25">
      <c r="A3316" s="47"/>
      <c r="B3316" s="107"/>
      <c r="C3316" s="48"/>
      <c r="D3316" s="48"/>
    </row>
    <row r="3317" spans="1:4" x14ac:dyDescent="0.25">
      <c r="A3317" s="47"/>
      <c r="B3317" s="107"/>
      <c r="C3317" s="48"/>
      <c r="D3317" s="48"/>
    </row>
    <row r="3318" spans="1:4" x14ac:dyDescent="0.25">
      <c r="A3318" s="47"/>
      <c r="B3318" s="107"/>
      <c r="C3318" s="48"/>
      <c r="D3318" s="48"/>
    </row>
    <row r="3319" spans="1:4" x14ac:dyDescent="0.25">
      <c r="A3319" s="47"/>
      <c r="B3319" s="107"/>
      <c r="C3319" s="48"/>
      <c r="D3319" s="48"/>
    </row>
    <row r="3320" spans="1:4" x14ac:dyDescent="0.25">
      <c r="A3320" s="47"/>
      <c r="B3320" s="107"/>
      <c r="C3320" s="48"/>
      <c r="D3320" s="48"/>
    </row>
    <row r="3321" spans="1:4" x14ac:dyDescent="0.25">
      <c r="A3321" s="47"/>
      <c r="B3321" s="107"/>
      <c r="C3321" s="48"/>
      <c r="D3321" s="48"/>
    </row>
    <row r="3322" spans="1:4" x14ac:dyDescent="0.25">
      <c r="A3322" s="47"/>
      <c r="B3322" s="107"/>
      <c r="C3322" s="48"/>
      <c r="D3322" s="48"/>
    </row>
    <row r="3323" spans="1:4" x14ac:dyDescent="0.25">
      <c r="A3323" s="47"/>
      <c r="B3323" s="107"/>
      <c r="C3323" s="48"/>
      <c r="D3323" s="48"/>
    </row>
    <row r="3324" spans="1:4" x14ac:dyDescent="0.25">
      <c r="A3324" s="47"/>
      <c r="B3324" s="107"/>
      <c r="C3324" s="48"/>
      <c r="D3324" s="48"/>
    </row>
    <row r="3325" spans="1:4" x14ac:dyDescent="0.25">
      <c r="A3325" s="47"/>
      <c r="B3325" s="107"/>
      <c r="C3325" s="48"/>
      <c r="D3325" s="48"/>
    </row>
    <row r="3326" spans="1:4" x14ac:dyDescent="0.25">
      <c r="A3326" s="47"/>
      <c r="B3326" s="107"/>
      <c r="C3326" s="48"/>
      <c r="D3326" s="48"/>
    </row>
    <row r="3327" spans="1:4" x14ac:dyDescent="0.25">
      <c r="A3327" s="47"/>
      <c r="B3327" s="107"/>
      <c r="C3327" s="48"/>
      <c r="D3327" s="48"/>
    </row>
    <row r="3328" spans="1:4" x14ac:dyDescent="0.25">
      <c r="A3328" s="47"/>
      <c r="B3328" s="107"/>
      <c r="C3328" s="48"/>
      <c r="D3328" s="48"/>
    </row>
    <row r="3329" spans="1:4" x14ac:dyDescent="0.25">
      <c r="A3329" s="47"/>
      <c r="B3329" s="107"/>
      <c r="C3329" s="48"/>
      <c r="D3329" s="48"/>
    </row>
    <row r="3330" spans="1:4" x14ac:dyDescent="0.25">
      <c r="A3330" s="47"/>
      <c r="B3330" s="107"/>
      <c r="C3330" s="48"/>
      <c r="D3330" s="48"/>
    </row>
    <row r="3331" spans="1:4" x14ac:dyDescent="0.25">
      <c r="A3331" s="47"/>
      <c r="B3331" s="107"/>
      <c r="C3331" s="48"/>
      <c r="D3331" s="48"/>
    </row>
    <row r="3332" spans="1:4" x14ac:dyDescent="0.25">
      <c r="A3332" s="47"/>
      <c r="B3332" s="107"/>
      <c r="C3332" s="48"/>
      <c r="D3332" s="48"/>
    </row>
    <row r="3333" spans="1:4" x14ac:dyDescent="0.25">
      <c r="A3333" s="47"/>
      <c r="B3333" s="107"/>
      <c r="C3333" s="48"/>
      <c r="D3333" s="48"/>
    </row>
    <row r="3334" spans="1:4" x14ac:dyDescent="0.25">
      <c r="A3334" s="47"/>
      <c r="B3334" s="107"/>
      <c r="C3334" s="48"/>
      <c r="D3334" s="48"/>
    </row>
    <row r="3335" spans="1:4" x14ac:dyDescent="0.25">
      <c r="A3335" s="47"/>
      <c r="B3335" s="107"/>
      <c r="C3335" s="48"/>
      <c r="D3335" s="48"/>
    </row>
    <row r="3336" spans="1:4" x14ac:dyDescent="0.25">
      <c r="A3336" s="47"/>
      <c r="B3336" s="107"/>
      <c r="C3336" s="48"/>
      <c r="D3336" s="48"/>
    </row>
    <row r="3337" spans="1:4" x14ac:dyDescent="0.25">
      <c r="A3337" s="47"/>
      <c r="B3337" s="107"/>
      <c r="C3337" s="48"/>
      <c r="D3337" s="48"/>
    </row>
    <row r="3338" spans="1:4" x14ac:dyDescent="0.25">
      <c r="A3338" s="47"/>
      <c r="B3338" s="107"/>
      <c r="C3338" s="48"/>
      <c r="D3338" s="48"/>
    </row>
    <row r="3339" spans="1:4" x14ac:dyDescent="0.25">
      <c r="A3339" s="47"/>
      <c r="B3339" s="107"/>
      <c r="C3339" s="48"/>
      <c r="D3339" s="48"/>
    </row>
    <row r="3340" spans="1:4" x14ac:dyDescent="0.25">
      <c r="A3340" s="47"/>
      <c r="B3340" s="107"/>
      <c r="C3340" s="48"/>
      <c r="D3340" s="48"/>
    </row>
    <row r="3341" spans="1:4" x14ac:dyDescent="0.25">
      <c r="A3341" s="47"/>
      <c r="B3341" s="107"/>
      <c r="C3341" s="48"/>
      <c r="D3341" s="48"/>
    </row>
    <row r="3342" spans="1:4" x14ac:dyDescent="0.25">
      <c r="A3342" s="47"/>
      <c r="B3342" s="107"/>
      <c r="C3342" s="48"/>
      <c r="D3342" s="48"/>
    </row>
    <row r="3343" spans="1:4" x14ac:dyDescent="0.25">
      <c r="A3343" s="47"/>
      <c r="B3343" s="107"/>
      <c r="C3343" s="48"/>
      <c r="D3343" s="48"/>
    </row>
    <row r="3344" spans="1:4" x14ac:dyDescent="0.25">
      <c r="A3344" s="47"/>
      <c r="B3344" s="107"/>
      <c r="C3344" s="48"/>
      <c r="D3344" s="48"/>
    </row>
    <row r="3345" spans="1:4" x14ac:dyDescent="0.25">
      <c r="A3345" s="47"/>
      <c r="B3345" s="107"/>
      <c r="C3345" s="48"/>
      <c r="D3345" s="48"/>
    </row>
    <row r="3346" spans="1:4" x14ac:dyDescent="0.25">
      <c r="A3346" s="47"/>
      <c r="B3346" s="107"/>
      <c r="C3346" s="48"/>
      <c r="D3346" s="48"/>
    </row>
    <row r="3347" spans="1:4" x14ac:dyDescent="0.25">
      <c r="A3347" s="47"/>
      <c r="B3347" s="107"/>
      <c r="C3347" s="48"/>
      <c r="D3347" s="48"/>
    </row>
    <row r="3348" spans="1:4" x14ac:dyDescent="0.25">
      <c r="A3348" s="47"/>
      <c r="B3348" s="107"/>
      <c r="C3348" s="48"/>
      <c r="D3348" s="48"/>
    </row>
    <row r="3349" spans="1:4" x14ac:dyDescent="0.25">
      <c r="A3349" s="47"/>
      <c r="B3349" s="107"/>
      <c r="C3349" s="48"/>
      <c r="D3349" s="48"/>
    </row>
    <row r="3350" spans="1:4" x14ac:dyDescent="0.25">
      <c r="A3350" s="47"/>
      <c r="B3350" s="107"/>
      <c r="C3350" s="48"/>
      <c r="D3350" s="48"/>
    </row>
    <row r="3351" spans="1:4" x14ac:dyDescent="0.25">
      <c r="A3351" s="47"/>
      <c r="B3351" s="107"/>
      <c r="C3351" s="48"/>
      <c r="D3351" s="48"/>
    </row>
    <row r="3352" spans="1:4" x14ac:dyDescent="0.25">
      <c r="A3352" s="47"/>
      <c r="B3352" s="107"/>
      <c r="C3352" s="48"/>
      <c r="D3352" s="48"/>
    </row>
    <row r="3353" spans="1:4" x14ac:dyDescent="0.25">
      <c r="A3353" s="47"/>
      <c r="B3353" s="107"/>
      <c r="C3353" s="48"/>
      <c r="D3353" s="48"/>
    </row>
    <row r="3354" spans="1:4" x14ac:dyDescent="0.25">
      <c r="A3354" s="47"/>
      <c r="B3354" s="107"/>
      <c r="C3354" s="48"/>
      <c r="D3354" s="48"/>
    </row>
    <row r="3355" spans="1:4" x14ac:dyDescent="0.25">
      <c r="A3355" s="47"/>
      <c r="B3355" s="107"/>
      <c r="C3355" s="48"/>
      <c r="D3355" s="48"/>
    </row>
    <row r="3356" spans="1:4" x14ac:dyDescent="0.25">
      <c r="A3356" s="47"/>
      <c r="B3356" s="107"/>
      <c r="C3356" s="48"/>
      <c r="D3356" s="48"/>
    </row>
    <row r="3357" spans="1:4" x14ac:dyDescent="0.25">
      <c r="A3357" s="47"/>
      <c r="B3357" s="107"/>
      <c r="C3357" s="48"/>
      <c r="D3357" s="48"/>
    </row>
    <row r="3358" spans="1:4" x14ac:dyDescent="0.25">
      <c r="A3358" s="47"/>
      <c r="B3358" s="107"/>
      <c r="C3358" s="48"/>
      <c r="D3358" s="48"/>
    </row>
    <row r="3359" spans="1:4" x14ac:dyDescent="0.25">
      <c r="A3359" s="47"/>
      <c r="B3359" s="107"/>
      <c r="C3359" s="48"/>
      <c r="D3359" s="48"/>
    </row>
    <row r="3360" spans="1:4" x14ac:dyDescent="0.25">
      <c r="A3360" s="47"/>
      <c r="B3360" s="107"/>
      <c r="C3360" s="48"/>
      <c r="D3360" s="48"/>
    </row>
    <row r="3361" spans="1:4" x14ac:dyDescent="0.25">
      <c r="A3361" s="47"/>
      <c r="B3361" s="107"/>
      <c r="C3361" s="48"/>
      <c r="D3361" s="48"/>
    </row>
    <row r="3362" spans="1:4" x14ac:dyDescent="0.25">
      <c r="A3362" s="47"/>
      <c r="B3362" s="107"/>
      <c r="C3362" s="48"/>
      <c r="D3362" s="48"/>
    </row>
    <row r="3363" spans="1:4" x14ac:dyDescent="0.25">
      <c r="A3363" s="47"/>
      <c r="B3363" s="107"/>
      <c r="C3363" s="48"/>
      <c r="D3363" s="48"/>
    </row>
    <row r="3364" spans="1:4" x14ac:dyDescent="0.25">
      <c r="A3364" s="47"/>
      <c r="B3364" s="107"/>
      <c r="C3364" s="48"/>
      <c r="D3364" s="48"/>
    </row>
    <row r="3365" spans="1:4" x14ac:dyDescent="0.25">
      <c r="A3365" s="47"/>
      <c r="B3365" s="107"/>
      <c r="C3365" s="48"/>
      <c r="D3365" s="48"/>
    </row>
    <row r="3366" spans="1:4" x14ac:dyDescent="0.25">
      <c r="A3366" s="47"/>
      <c r="B3366" s="107"/>
      <c r="C3366" s="48"/>
      <c r="D3366" s="48"/>
    </row>
    <row r="3367" spans="1:4" x14ac:dyDescent="0.25">
      <c r="A3367" s="47"/>
      <c r="B3367" s="107"/>
      <c r="C3367" s="48"/>
      <c r="D3367" s="48"/>
    </row>
    <row r="3368" spans="1:4" x14ac:dyDescent="0.25">
      <c r="A3368" s="47"/>
      <c r="B3368" s="107"/>
      <c r="C3368" s="48"/>
      <c r="D3368" s="48"/>
    </row>
    <row r="3369" spans="1:4" x14ac:dyDescent="0.25">
      <c r="A3369" s="47"/>
      <c r="B3369" s="107"/>
      <c r="C3369" s="48"/>
      <c r="D3369" s="48"/>
    </row>
    <row r="3370" spans="1:4" x14ac:dyDescent="0.25">
      <c r="A3370" s="47"/>
      <c r="B3370" s="107"/>
      <c r="C3370" s="48"/>
      <c r="D3370" s="48"/>
    </row>
    <row r="3371" spans="1:4" x14ac:dyDescent="0.25">
      <c r="A3371" s="47"/>
      <c r="B3371" s="107"/>
      <c r="C3371" s="48"/>
      <c r="D3371" s="48"/>
    </row>
    <row r="3372" spans="1:4" x14ac:dyDescent="0.25">
      <c r="A3372" s="47"/>
      <c r="B3372" s="107"/>
      <c r="C3372" s="48"/>
      <c r="D3372" s="48"/>
    </row>
    <row r="3373" spans="1:4" x14ac:dyDescent="0.25">
      <c r="A3373" s="47"/>
      <c r="B3373" s="107"/>
      <c r="C3373" s="48"/>
      <c r="D3373" s="48"/>
    </row>
    <row r="3374" spans="1:4" x14ac:dyDescent="0.25">
      <c r="A3374" s="47"/>
      <c r="B3374" s="107"/>
      <c r="C3374" s="48"/>
      <c r="D3374" s="48"/>
    </row>
    <row r="3375" spans="1:4" x14ac:dyDescent="0.25">
      <c r="A3375" s="47"/>
      <c r="B3375" s="107"/>
      <c r="C3375" s="48"/>
      <c r="D3375" s="48"/>
    </row>
    <row r="3376" spans="1:4" x14ac:dyDescent="0.25">
      <c r="A3376" s="47"/>
      <c r="B3376" s="107"/>
      <c r="C3376" s="48"/>
      <c r="D3376" s="48"/>
    </row>
    <row r="3377" spans="1:4" x14ac:dyDescent="0.25">
      <c r="A3377" s="47"/>
      <c r="B3377" s="107"/>
      <c r="C3377" s="48"/>
      <c r="D3377" s="48"/>
    </row>
    <row r="3378" spans="1:4" x14ac:dyDescent="0.25">
      <c r="A3378" s="47"/>
      <c r="B3378" s="107"/>
      <c r="C3378" s="48"/>
      <c r="D3378" s="48"/>
    </row>
    <row r="3379" spans="1:4" x14ac:dyDescent="0.25">
      <c r="A3379" s="47"/>
      <c r="B3379" s="107"/>
      <c r="C3379" s="48"/>
      <c r="D3379" s="48"/>
    </row>
    <row r="3380" spans="1:4" x14ac:dyDescent="0.25">
      <c r="A3380" s="47"/>
      <c r="B3380" s="107"/>
      <c r="C3380" s="48"/>
      <c r="D3380" s="48"/>
    </row>
    <row r="3381" spans="1:4" x14ac:dyDescent="0.25">
      <c r="A3381" s="47"/>
      <c r="B3381" s="107"/>
      <c r="C3381" s="48"/>
      <c r="D3381" s="48"/>
    </row>
    <row r="3382" spans="1:4" x14ac:dyDescent="0.25">
      <c r="A3382" s="47"/>
      <c r="B3382" s="107"/>
      <c r="C3382" s="48"/>
      <c r="D3382" s="48"/>
    </row>
    <row r="3383" spans="1:4" x14ac:dyDescent="0.25">
      <c r="A3383" s="47"/>
      <c r="B3383" s="107"/>
      <c r="C3383" s="48"/>
      <c r="D3383" s="48"/>
    </row>
    <row r="3384" spans="1:4" x14ac:dyDescent="0.25">
      <c r="A3384" s="47"/>
      <c r="B3384" s="107"/>
      <c r="C3384" s="48"/>
      <c r="D3384" s="48"/>
    </row>
    <row r="3385" spans="1:4" x14ac:dyDescent="0.25">
      <c r="A3385" s="47"/>
      <c r="B3385" s="107"/>
      <c r="C3385" s="48"/>
      <c r="D3385" s="48"/>
    </row>
    <row r="3386" spans="1:4" x14ac:dyDescent="0.25">
      <c r="A3386" s="47"/>
      <c r="B3386" s="107"/>
      <c r="C3386" s="48"/>
      <c r="D3386" s="48"/>
    </row>
    <row r="3387" spans="1:4" x14ac:dyDescent="0.25">
      <c r="A3387" s="47"/>
      <c r="B3387" s="107"/>
      <c r="C3387" s="48"/>
      <c r="D3387" s="48"/>
    </row>
    <row r="3388" spans="1:4" x14ac:dyDescent="0.25">
      <c r="A3388" s="47"/>
      <c r="B3388" s="107"/>
      <c r="C3388" s="48"/>
      <c r="D3388" s="48"/>
    </row>
    <row r="3389" spans="1:4" x14ac:dyDescent="0.25">
      <c r="A3389" s="47"/>
      <c r="B3389" s="107"/>
      <c r="C3389" s="48"/>
      <c r="D3389" s="48"/>
    </row>
    <row r="3390" spans="1:4" x14ac:dyDescent="0.25">
      <c r="A3390" s="47"/>
      <c r="B3390" s="107"/>
      <c r="C3390" s="48"/>
      <c r="D3390" s="48"/>
    </row>
    <row r="3391" spans="1:4" x14ac:dyDescent="0.25">
      <c r="A3391" s="47"/>
      <c r="B3391" s="107"/>
      <c r="C3391" s="48"/>
      <c r="D3391" s="48"/>
    </row>
    <row r="3392" spans="1:4" x14ac:dyDescent="0.25">
      <c r="A3392" s="47"/>
      <c r="B3392" s="107"/>
      <c r="C3392" s="48"/>
      <c r="D3392" s="48"/>
    </row>
    <row r="3393" spans="1:4" x14ac:dyDescent="0.25">
      <c r="A3393" s="47"/>
      <c r="B3393" s="107"/>
      <c r="C3393" s="48"/>
      <c r="D3393" s="48"/>
    </row>
    <row r="3394" spans="1:4" x14ac:dyDescent="0.25">
      <c r="A3394" s="47"/>
      <c r="B3394" s="107"/>
      <c r="C3394" s="48"/>
      <c r="D3394" s="48"/>
    </row>
    <row r="3395" spans="1:4" x14ac:dyDescent="0.25">
      <c r="A3395" s="47"/>
      <c r="B3395" s="107"/>
      <c r="C3395" s="48"/>
      <c r="D3395" s="48"/>
    </row>
    <row r="3396" spans="1:4" x14ac:dyDescent="0.25">
      <c r="A3396" s="47"/>
      <c r="B3396" s="107"/>
      <c r="C3396" s="48"/>
      <c r="D3396" s="48"/>
    </row>
    <row r="3397" spans="1:4" x14ac:dyDescent="0.25">
      <c r="A3397" s="47"/>
      <c r="B3397" s="107"/>
      <c r="C3397" s="48"/>
      <c r="D3397" s="48"/>
    </row>
    <row r="3398" spans="1:4" x14ac:dyDescent="0.25">
      <c r="A3398" s="47"/>
      <c r="B3398" s="107"/>
      <c r="C3398" s="48"/>
      <c r="D3398" s="48"/>
    </row>
    <row r="3399" spans="1:4" x14ac:dyDescent="0.25">
      <c r="A3399" s="47"/>
      <c r="B3399" s="107"/>
      <c r="C3399" s="48"/>
      <c r="D3399" s="48"/>
    </row>
    <row r="3400" spans="1:4" x14ac:dyDescent="0.25">
      <c r="A3400" s="47"/>
      <c r="B3400" s="107"/>
      <c r="C3400" s="48"/>
      <c r="D3400" s="48"/>
    </row>
    <row r="3401" spans="1:4" x14ac:dyDescent="0.25">
      <c r="A3401" s="47"/>
      <c r="B3401" s="107"/>
      <c r="C3401" s="48"/>
      <c r="D3401" s="48"/>
    </row>
    <row r="3402" spans="1:4" x14ac:dyDescent="0.25">
      <c r="A3402" s="47"/>
      <c r="B3402" s="107"/>
      <c r="C3402" s="48"/>
      <c r="D3402" s="48"/>
    </row>
    <row r="3403" spans="1:4" x14ac:dyDescent="0.25">
      <c r="A3403" s="47"/>
      <c r="B3403" s="107"/>
      <c r="C3403" s="48"/>
      <c r="D3403" s="48"/>
    </row>
    <row r="3404" spans="1:4" x14ac:dyDescent="0.25">
      <c r="A3404" s="47"/>
      <c r="B3404" s="107"/>
      <c r="C3404" s="48"/>
      <c r="D3404" s="48"/>
    </row>
    <row r="3405" spans="1:4" x14ac:dyDescent="0.25">
      <c r="A3405" s="47"/>
      <c r="B3405" s="107"/>
      <c r="C3405" s="48"/>
      <c r="D3405" s="48"/>
    </row>
    <row r="3406" spans="1:4" x14ac:dyDescent="0.25">
      <c r="A3406" s="47"/>
      <c r="B3406" s="107"/>
      <c r="C3406" s="48"/>
      <c r="D3406" s="48"/>
    </row>
    <row r="3407" spans="1:4" x14ac:dyDescent="0.25">
      <c r="A3407" s="47"/>
      <c r="B3407" s="107"/>
      <c r="C3407" s="48"/>
      <c r="D3407" s="48"/>
    </row>
    <row r="3408" spans="1:4" x14ac:dyDescent="0.25">
      <c r="A3408" s="47"/>
      <c r="B3408" s="107"/>
      <c r="C3408" s="48"/>
      <c r="D3408" s="48"/>
    </row>
    <row r="3409" spans="1:4" x14ac:dyDescent="0.25">
      <c r="A3409" s="47"/>
      <c r="B3409" s="107"/>
      <c r="C3409" s="48"/>
      <c r="D3409" s="48"/>
    </row>
    <row r="3410" spans="1:4" x14ac:dyDescent="0.25">
      <c r="A3410" s="47"/>
      <c r="B3410" s="107"/>
      <c r="C3410" s="48"/>
      <c r="D3410" s="48"/>
    </row>
    <row r="3411" spans="1:4" x14ac:dyDescent="0.25">
      <c r="A3411" s="47"/>
      <c r="B3411" s="107"/>
      <c r="C3411" s="48"/>
      <c r="D3411" s="48"/>
    </row>
    <row r="3412" spans="1:4" x14ac:dyDescent="0.25">
      <c r="A3412" s="47"/>
      <c r="B3412" s="107"/>
      <c r="C3412" s="48"/>
      <c r="D3412" s="48"/>
    </row>
    <row r="3413" spans="1:4" x14ac:dyDescent="0.25">
      <c r="A3413" s="47"/>
      <c r="B3413" s="107"/>
      <c r="C3413" s="48"/>
      <c r="D3413" s="48"/>
    </row>
    <row r="3414" spans="1:4" x14ac:dyDescent="0.25">
      <c r="A3414" s="47"/>
      <c r="B3414" s="107"/>
      <c r="C3414" s="48"/>
      <c r="D3414" s="48"/>
    </row>
    <row r="3415" spans="1:4" x14ac:dyDescent="0.25">
      <c r="A3415" s="47"/>
      <c r="B3415" s="107"/>
      <c r="C3415" s="48"/>
      <c r="D3415" s="48"/>
    </row>
    <row r="3416" spans="1:4" x14ac:dyDescent="0.25">
      <c r="A3416" s="47"/>
      <c r="B3416" s="107"/>
      <c r="C3416" s="48"/>
      <c r="D3416" s="48"/>
    </row>
    <row r="3417" spans="1:4" x14ac:dyDescent="0.25">
      <c r="A3417" s="47"/>
      <c r="B3417" s="107"/>
      <c r="C3417" s="48"/>
      <c r="D3417" s="48"/>
    </row>
    <row r="3418" spans="1:4" x14ac:dyDescent="0.25">
      <c r="A3418" s="47"/>
      <c r="B3418" s="107"/>
      <c r="C3418" s="48"/>
      <c r="D3418" s="48"/>
    </row>
    <row r="3419" spans="1:4" x14ac:dyDescent="0.25">
      <c r="A3419" s="47"/>
      <c r="B3419" s="107"/>
      <c r="C3419" s="48"/>
      <c r="D3419" s="48"/>
    </row>
    <row r="3420" spans="1:4" x14ac:dyDescent="0.25">
      <c r="A3420" s="47"/>
      <c r="B3420" s="107"/>
      <c r="C3420" s="48"/>
      <c r="D3420" s="48"/>
    </row>
    <row r="3421" spans="1:4" x14ac:dyDescent="0.25">
      <c r="A3421" s="47"/>
      <c r="B3421" s="107"/>
      <c r="C3421" s="48"/>
      <c r="D3421" s="48"/>
    </row>
    <row r="3422" spans="1:4" x14ac:dyDescent="0.25">
      <c r="A3422" s="47"/>
      <c r="B3422" s="107"/>
      <c r="C3422" s="48"/>
      <c r="D3422" s="48"/>
    </row>
    <row r="3423" spans="1:4" x14ac:dyDescent="0.25">
      <c r="A3423" s="47"/>
      <c r="B3423" s="107"/>
      <c r="C3423" s="48"/>
      <c r="D3423" s="48"/>
    </row>
    <row r="3424" spans="1:4" x14ac:dyDescent="0.25">
      <c r="A3424" s="47"/>
      <c r="B3424" s="107"/>
      <c r="C3424" s="48"/>
      <c r="D3424" s="48"/>
    </row>
    <row r="3425" spans="1:4" x14ac:dyDescent="0.25">
      <c r="A3425" s="47"/>
      <c r="B3425" s="107"/>
      <c r="C3425" s="48"/>
      <c r="D3425" s="48"/>
    </row>
    <row r="3426" spans="1:4" x14ac:dyDescent="0.25">
      <c r="A3426" s="47"/>
      <c r="B3426" s="107"/>
      <c r="C3426" s="48"/>
      <c r="D3426" s="48"/>
    </row>
    <row r="3427" spans="1:4" x14ac:dyDescent="0.25">
      <c r="A3427" s="47"/>
      <c r="B3427" s="107"/>
      <c r="C3427" s="48"/>
      <c r="D3427" s="48"/>
    </row>
    <row r="3428" spans="1:4" x14ac:dyDescent="0.25">
      <c r="A3428" s="47"/>
      <c r="B3428" s="107"/>
      <c r="C3428" s="48"/>
      <c r="D3428" s="48"/>
    </row>
    <row r="3429" spans="1:4" x14ac:dyDescent="0.25">
      <c r="A3429" s="47"/>
      <c r="B3429" s="107"/>
      <c r="C3429" s="48"/>
      <c r="D3429" s="48"/>
    </row>
    <row r="3430" spans="1:4" x14ac:dyDescent="0.25">
      <c r="A3430" s="47"/>
      <c r="B3430" s="107"/>
      <c r="C3430" s="48"/>
      <c r="D3430" s="48"/>
    </row>
    <row r="3431" spans="1:4" x14ac:dyDescent="0.25">
      <c r="A3431" s="47"/>
      <c r="B3431" s="107"/>
      <c r="C3431" s="48"/>
      <c r="D3431" s="48"/>
    </row>
    <row r="3432" spans="1:4" x14ac:dyDescent="0.25">
      <c r="A3432" s="47"/>
      <c r="B3432" s="107"/>
      <c r="C3432" s="48"/>
      <c r="D3432" s="48"/>
    </row>
    <row r="3433" spans="1:4" x14ac:dyDescent="0.25">
      <c r="A3433" s="47"/>
      <c r="B3433" s="107"/>
      <c r="C3433" s="48"/>
      <c r="D3433" s="48"/>
    </row>
    <row r="3434" spans="1:4" x14ac:dyDescent="0.25">
      <c r="A3434" s="47"/>
      <c r="B3434" s="107"/>
      <c r="C3434" s="48"/>
      <c r="D3434" s="48"/>
    </row>
    <row r="3435" spans="1:4" x14ac:dyDescent="0.25">
      <c r="A3435" s="47"/>
      <c r="B3435" s="107"/>
      <c r="C3435" s="48"/>
      <c r="D3435" s="48"/>
    </row>
    <row r="3436" spans="1:4" x14ac:dyDescent="0.25">
      <c r="A3436" s="47"/>
      <c r="B3436" s="107"/>
      <c r="C3436" s="48"/>
      <c r="D3436" s="48"/>
    </row>
    <row r="3437" spans="1:4" x14ac:dyDescent="0.25">
      <c r="A3437" s="47"/>
      <c r="B3437" s="107"/>
      <c r="C3437" s="48"/>
      <c r="D3437" s="48"/>
    </row>
    <row r="3438" spans="1:4" x14ac:dyDescent="0.25">
      <c r="A3438" s="47"/>
      <c r="B3438" s="107"/>
      <c r="C3438" s="48"/>
      <c r="D3438" s="48"/>
    </row>
    <row r="3439" spans="1:4" x14ac:dyDescent="0.25">
      <c r="A3439" s="47"/>
      <c r="B3439" s="107"/>
      <c r="C3439" s="48"/>
      <c r="D3439" s="48"/>
    </row>
    <row r="3440" spans="1:4" x14ac:dyDescent="0.25">
      <c r="A3440" s="47"/>
      <c r="B3440" s="107"/>
      <c r="C3440" s="48"/>
      <c r="D3440" s="48"/>
    </row>
    <row r="3441" spans="1:4" x14ac:dyDescent="0.25">
      <c r="A3441" s="47"/>
      <c r="B3441" s="107"/>
      <c r="C3441" s="48"/>
      <c r="D3441" s="48"/>
    </row>
    <row r="3442" spans="1:4" x14ac:dyDescent="0.25">
      <c r="A3442" s="47"/>
      <c r="B3442" s="107"/>
      <c r="C3442" s="48"/>
      <c r="D3442" s="48"/>
    </row>
    <row r="3443" spans="1:4" x14ac:dyDescent="0.25">
      <c r="A3443" s="47"/>
      <c r="B3443" s="107"/>
      <c r="C3443" s="48"/>
      <c r="D3443" s="48"/>
    </row>
    <row r="3444" spans="1:4" x14ac:dyDescent="0.25">
      <c r="A3444" s="47"/>
      <c r="B3444" s="107"/>
      <c r="C3444" s="48"/>
      <c r="D3444" s="48"/>
    </row>
    <row r="3445" spans="1:4" x14ac:dyDescent="0.25">
      <c r="A3445" s="47"/>
      <c r="B3445" s="107"/>
      <c r="C3445" s="48"/>
      <c r="D3445" s="48"/>
    </row>
    <row r="3446" spans="1:4" x14ac:dyDescent="0.25">
      <c r="A3446" s="47"/>
      <c r="B3446" s="107"/>
      <c r="C3446" s="48"/>
      <c r="D3446" s="48"/>
    </row>
    <row r="3447" spans="1:4" x14ac:dyDescent="0.25">
      <c r="A3447" s="47"/>
      <c r="B3447" s="107"/>
      <c r="C3447" s="48"/>
      <c r="D3447" s="48"/>
    </row>
    <row r="3448" spans="1:4" x14ac:dyDescent="0.25">
      <c r="A3448" s="47"/>
      <c r="B3448" s="107"/>
      <c r="C3448" s="48"/>
      <c r="D3448" s="48"/>
    </row>
    <row r="3449" spans="1:4" x14ac:dyDescent="0.25">
      <c r="A3449" s="47"/>
      <c r="B3449" s="107"/>
      <c r="C3449" s="48"/>
      <c r="D3449" s="48"/>
    </row>
    <row r="3450" spans="1:4" x14ac:dyDescent="0.25">
      <c r="A3450" s="47"/>
      <c r="B3450" s="107"/>
      <c r="C3450" s="48"/>
      <c r="D3450" s="48"/>
    </row>
    <row r="3451" spans="1:4" x14ac:dyDescent="0.25">
      <c r="A3451" s="47"/>
      <c r="B3451" s="107"/>
      <c r="C3451" s="48"/>
      <c r="D3451" s="48"/>
    </row>
    <row r="3452" spans="1:4" x14ac:dyDescent="0.25">
      <c r="A3452" s="47"/>
      <c r="B3452" s="107"/>
      <c r="C3452" s="48"/>
      <c r="D3452" s="48"/>
    </row>
    <row r="3453" spans="1:4" x14ac:dyDescent="0.25">
      <c r="A3453" s="47"/>
      <c r="B3453" s="107"/>
      <c r="C3453" s="48"/>
      <c r="D3453" s="48"/>
    </row>
    <row r="3454" spans="1:4" x14ac:dyDescent="0.25">
      <c r="A3454" s="47"/>
      <c r="B3454" s="107"/>
      <c r="C3454" s="48"/>
      <c r="D3454" s="48"/>
    </row>
    <row r="3455" spans="1:4" x14ac:dyDescent="0.25">
      <c r="A3455" s="47"/>
      <c r="B3455" s="107"/>
      <c r="C3455" s="48"/>
      <c r="D3455" s="48"/>
    </row>
    <row r="3456" spans="1:4" x14ac:dyDescent="0.25">
      <c r="A3456" s="47"/>
      <c r="B3456" s="107"/>
      <c r="C3456" s="48"/>
      <c r="D3456" s="48"/>
    </row>
    <row r="3457" spans="1:4" x14ac:dyDescent="0.25">
      <c r="A3457" s="47"/>
      <c r="B3457" s="107"/>
      <c r="C3457" s="48"/>
      <c r="D3457" s="48"/>
    </row>
    <row r="3458" spans="1:4" x14ac:dyDescent="0.25">
      <c r="A3458" s="47"/>
      <c r="B3458" s="107"/>
      <c r="C3458" s="48"/>
      <c r="D3458" s="48"/>
    </row>
    <row r="3459" spans="1:4" x14ac:dyDescent="0.25">
      <c r="A3459" s="47"/>
      <c r="B3459" s="107"/>
      <c r="C3459" s="48"/>
      <c r="D3459" s="48"/>
    </row>
    <row r="3460" spans="1:4" x14ac:dyDescent="0.25">
      <c r="A3460" s="47"/>
      <c r="B3460" s="107"/>
      <c r="C3460" s="48"/>
      <c r="D3460" s="48"/>
    </row>
    <row r="3461" spans="1:4" x14ac:dyDescent="0.25">
      <c r="A3461" s="47"/>
      <c r="B3461" s="107"/>
      <c r="C3461" s="48"/>
      <c r="D3461" s="48"/>
    </row>
    <row r="3462" spans="1:4" x14ac:dyDescent="0.25">
      <c r="A3462" s="47"/>
      <c r="B3462" s="107"/>
      <c r="C3462" s="48"/>
      <c r="D3462" s="48"/>
    </row>
    <row r="3463" spans="1:4" x14ac:dyDescent="0.25">
      <c r="A3463" s="47"/>
      <c r="B3463" s="107"/>
      <c r="C3463" s="48"/>
      <c r="D3463" s="48"/>
    </row>
    <row r="3464" spans="1:4" x14ac:dyDescent="0.25">
      <c r="A3464" s="47"/>
      <c r="B3464" s="107"/>
      <c r="C3464" s="48"/>
      <c r="D3464" s="48"/>
    </row>
    <row r="3465" spans="1:4" x14ac:dyDescent="0.25">
      <c r="A3465" s="47"/>
      <c r="B3465" s="107"/>
      <c r="C3465" s="48"/>
      <c r="D3465" s="48"/>
    </row>
    <row r="3466" spans="1:4" x14ac:dyDescent="0.25">
      <c r="A3466" s="47"/>
      <c r="B3466" s="107"/>
      <c r="C3466" s="48"/>
      <c r="D3466" s="48"/>
    </row>
    <row r="3467" spans="1:4" x14ac:dyDescent="0.25">
      <c r="A3467" s="47"/>
      <c r="B3467" s="107"/>
      <c r="C3467" s="48"/>
      <c r="D3467" s="48"/>
    </row>
    <row r="3468" spans="1:4" x14ac:dyDescent="0.25">
      <c r="A3468" s="47"/>
      <c r="B3468" s="107"/>
      <c r="C3468" s="48"/>
      <c r="D3468" s="48"/>
    </row>
    <row r="3469" spans="1:4" x14ac:dyDescent="0.25">
      <c r="A3469" s="47"/>
      <c r="B3469" s="107"/>
      <c r="C3469" s="48"/>
      <c r="D3469" s="48"/>
    </row>
    <row r="3470" spans="1:4" x14ac:dyDescent="0.25">
      <c r="A3470" s="47"/>
      <c r="B3470" s="107"/>
      <c r="C3470" s="48"/>
      <c r="D3470" s="48"/>
    </row>
    <row r="3471" spans="1:4" x14ac:dyDescent="0.25">
      <c r="A3471" s="47"/>
      <c r="B3471" s="107"/>
      <c r="C3471" s="48"/>
      <c r="D3471" s="48"/>
    </row>
    <row r="3472" spans="1:4" x14ac:dyDescent="0.25">
      <c r="A3472" s="47"/>
      <c r="B3472" s="107"/>
      <c r="C3472" s="48"/>
      <c r="D3472" s="48"/>
    </row>
    <row r="3473" spans="1:4" x14ac:dyDescent="0.25">
      <c r="A3473" s="47"/>
      <c r="B3473" s="107"/>
      <c r="C3473" s="48"/>
      <c r="D3473" s="48"/>
    </row>
    <row r="3474" spans="1:4" x14ac:dyDescent="0.25">
      <c r="A3474" s="47"/>
      <c r="B3474" s="107"/>
      <c r="C3474" s="48"/>
      <c r="D3474" s="48"/>
    </row>
    <row r="3475" spans="1:4" x14ac:dyDescent="0.25">
      <c r="A3475" s="47"/>
      <c r="B3475" s="107"/>
      <c r="C3475" s="48"/>
      <c r="D3475" s="48"/>
    </row>
    <row r="3476" spans="1:4" x14ac:dyDescent="0.25">
      <c r="A3476" s="47"/>
      <c r="B3476" s="107"/>
      <c r="C3476" s="48"/>
      <c r="D3476" s="48"/>
    </row>
    <row r="3477" spans="1:4" x14ac:dyDescent="0.25">
      <c r="A3477" s="47"/>
      <c r="B3477" s="107"/>
      <c r="C3477" s="48"/>
      <c r="D3477" s="48"/>
    </row>
    <row r="3478" spans="1:4" x14ac:dyDescent="0.25">
      <c r="A3478" s="47"/>
      <c r="B3478" s="107"/>
      <c r="C3478" s="48"/>
      <c r="D3478" s="48"/>
    </row>
    <row r="3479" spans="1:4" x14ac:dyDescent="0.25">
      <c r="A3479" s="47"/>
      <c r="B3479" s="107"/>
      <c r="C3479" s="48"/>
      <c r="D3479" s="48"/>
    </row>
    <row r="3480" spans="1:4" x14ac:dyDescent="0.25">
      <c r="A3480" s="47"/>
      <c r="B3480" s="107"/>
      <c r="C3480" s="48"/>
      <c r="D3480" s="48"/>
    </row>
    <row r="3481" spans="1:4" x14ac:dyDescent="0.25">
      <c r="A3481" s="47"/>
      <c r="B3481" s="107"/>
      <c r="C3481" s="48"/>
      <c r="D3481" s="48"/>
    </row>
    <row r="3482" spans="1:4" x14ac:dyDescent="0.25">
      <c r="A3482" s="47"/>
      <c r="B3482" s="107"/>
      <c r="C3482" s="48"/>
      <c r="D3482" s="48"/>
    </row>
    <row r="3483" spans="1:4" x14ac:dyDescent="0.25">
      <c r="A3483" s="47"/>
      <c r="B3483" s="107"/>
      <c r="C3483" s="48"/>
      <c r="D3483" s="48"/>
    </row>
    <row r="3484" spans="1:4" x14ac:dyDescent="0.25">
      <c r="A3484" s="47"/>
      <c r="B3484" s="107"/>
      <c r="C3484" s="48"/>
      <c r="D3484" s="48"/>
    </row>
    <row r="3485" spans="1:4" x14ac:dyDescent="0.25">
      <c r="A3485" s="47"/>
      <c r="B3485" s="107"/>
      <c r="C3485" s="48"/>
      <c r="D3485" s="48"/>
    </row>
    <row r="3486" spans="1:4" x14ac:dyDescent="0.25">
      <c r="A3486" s="47"/>
      <c r="B3486" s="107"/>
      <c r="C3486" s="48"/>
      <c r="D3486" s="48"/>
    </row>
    <row r="3487" spans="1:4" x14ac:dyDescent="0.25">
      <c r="A3487" s="47"/>
      <c r="B3487" s="107"/>
      <c r="C3487" s="48"/>
      <c r="D3487" s="48"/>
    </row>
    <row r="3488" spans="1:4" x14ac:dyDescent="0.25">
      <c r="A3488" s="47"/>
      <c r="B3488" s="107"/>
      <c r="C3488" s="48"/>
      <c r="D3488" s="48"/>
    </row>
    <row r="3489" spans="1:4" x14ac:dyDescent="0.25">
      <c r="A3489" s="47"/>
      <c r="B3489" s="107"/>
      <c r="C3489" s="48"/>
      <c r="D3489" s="48"/>
    </row>
    <row r="3490" spans="1:4" x14ac:dyDescent="0.25">
      <c r="A3490" s="47"/>
      <c r="B3490" s="107"/>
      <c r="C3490" s="48"/>
      <c r="D3490" s="48"/>
    </row>
    <row r="3491" spans="1:4" x14ac:dyDescent="0.25">
      <c r="A3491" s="47"/>
      <c r="B3491" s="107"/>
      <c r="C3491" s="48"/>
      <c r="D3491" s="48"/>
    </row>
    <row r="3492" spans="1:4" x14ac:dyDescent="0.25">
      <c r="A3492" s="47"/>
      <c r="B3492" s="107"/>
      <c r="C3492" s="48"/>
      <c r="D3492" s="48"/>
    </row>
    <row r="3493" spans="1:4" x14ac:dyDescent="0.25">
      <c r="A3493" s="47"/>
      <c r="B3493" s="107"/>
      <c r="C3493" s="48"/>
      <c r="D3493" s="48"/>
    </row>
    <row r="3494" spans="1:4" x14ac:dyDescent="0.25">
      <c r="A3494" s="47"/>
      <c r="B3494" s="107"/>
      <c r="C3494" s="48"/>
      <c r="D3494" s="48"/>
    </row>
    <row r="3495" spans="1:4" x14ac:dyDescent="0.25">
      <c r="A3495" s="47"/>
      <c r="B3495" s="107"/>
      <c r="C3495" s="48"/>
      <c r="D3495" s="48"/>
    </row>
    <row r="3496" spans="1:4" x14ac:dyDescent="0.25">
      <c r="A3496" s="47"/>
      <c r="B3496" s="107"/>
      <c r="C3496" s="48"/>
      <c r="D3496" s="48"/>
    </row>
    <row r="3497" spans="1:4" x14ac:dyDescent="0.25">
      <c r="A3497" s="47"/>
      <c r="B3497" s="107"/>
      <c r="C3497" s="48"/>
      <c r="D3497" s="48"/>
    </row>
    <row r="3498" spans="1:4" x14ac:dyDescent="0.25">
      <c r="A3498" s="47"/>
      <c r="B3498" s="107"/>
      <c r="C3498" s="48"/>
      <c r="D3498" s="48"/>
    </row>
    <row r="3499" spans="1:4" x14ac:dyDescent="0.25">
      <c r="A3499" s="47"/>
      <c r="B3499" s="107"/>
      <c r="C3499" s="48"/>
      <c r="D3499" s="48"/>
    </row>
    <row r="3500" spans="1:4" x14ac:dyDescent="0.25">
      <c r="A3500" s="47"/>
      <c r="B3500" s="107"/>
      <c r="C3500" s="48"/>
      <c r="D3500" s="48"/>
    </row>
    <row r="3501" spans="1:4" x14ac:dyDescent="0.25">
      <c r="A3501" s="47"/>
      <c r="B3501" s="107"/>
      <c r="C3501" s="48"/>
      <c r="D3501" s="48"/>
    </row>
    <row r="3502" spans="1:4" x14ac:dyDescent="0.25">
      <c r="A3502" s="47"/>
      <c r="B3502" s="107"/>
      <c r="C3502" s="48"/>
      <c r="D3502" s="48"/>
    </row>
    <row r="3503" spans="1:4" x14ac:dyDescent="0.25">
      <c r="A3503" s="47"/>
      <c r="B3503" s="107"/>
      <c r="C3503" s="48"/>
      <c r="D3503" s="48"/>
    </row>
    <row r="3504" spans="1:4" x14ac:dyDescent="0.25">
      <c r="A3504" s="47"/>
      <c r="B3504" s="107"/>
      <c r="C3504" s="48"/>
      <c r="D3504" s="48"/>
    </row>
    <row r="3505" spans="1:4" x14ac:dyDescent="0.25">
      <c r="A3505" s="47"/>
      <c r="B3505" s="107"/>
      <c r="C3505" s="48"/>
      <c r="D3505" s="48"/>
    </row>
    <row r="3506" spans="1:4" x14ac:dyDescent="0.25">
      <c r="A3506" s="47"/>
      <c r="B3506" s="107"/>
      <c r="C3506" s="48"/>
      <c r="D3506" s="48"/>
    </row>
    <row r="3507" spans="1:4" x14ac:dyDescent="0.25">
      <c r="A3507" s="47"/>
      <c r="B3507" s="107"/>
      <c r="C3507" s="48"/>
      <c r="D3507" s="48"/>
    </row>
    <row r="3508" spans="1:4" x14ac:dyDescent="0.25">
      <c r="A3508" s="47"/>
      <c r="B3508" s="107"/>
      <c r="C3508" s="48"/>
      <c r="D3508" s="48"/>
    </row>
    <row r="3509" spans="1:4" x14ac:dyDescent="0.25">
      <c r="A3509" s="47"/>
      <c r="B3509" s="107"/>
      <c r="C3509" s="48"/>
      <c r="D3509" s="48"/>
    </row>
    <row r="3510" spans="1:4" x14ac:dyDescent="0.25">
      <c r="A3510" s="47"/>
      <c r="B3510" s="107"/>
      <c r="C3510" s="48"/>
      <c r="D3510" s="48"/>
    </row>
    <row r="3511" spans="1:4" x14ac:dyDescent="0.25">
      <c r="A3511" s="47"/>
      <c r="B3511" s="107"/>
      <c r="C3511" s="48"/>
      <c r="D3511" s="48"/>
    </row>
    <row r="3512" spans="1:4" x14ac:dyDescent="0.25">
      <c r="A3512" s="47"/>
      <c r="B3512" s="107"/>
      <c r="C3512" s="48"/>
      <c r="D3512" s="48"/>
    </row>
    <row r="3513" spans="1:4" x14ac:dyDescent="0.25">
      <c r="A3513" s="47"/>
      <c r="B3513" s="107"/>
      <c r="C3513" s="48"/>
      <c r="D3513" s="48"/>
    </row>
    <row r="3514" spans="1:4" x14ac:dyDescent="0.25">
      <c r="A3514" s="47"/>
      <c r="B3514" s="107"/>
      <c r="C3514" s="48"/>
      <c r="D3514" s="48"/>
    </row>
    <row r="3515" spans="1:4" x14ac:dyDescent="0.25">
      <c r="A3515" s="47"/>
      <c r="B3515" s="107"/>
      <c r="C3515" s="48"/>
      <c r="D3515" s="48"/>
    </row>
    <row r="3516" spans="1:4" x14ac:dyDescent="0.25">
      <c r="A3516" s="47"/>
      <c r="B3516" s="107"/>
      <c r="C3516" s="48"/>
      <c r="D3516" s="48"/>
    </row>
    <row r="3517" spans="1:4" x14ac:dyDescent="0.25">
      <c r="A3517" s="47"/>
      <c r="B3517" s="107"/>
      <c r="C3517" s="48"/>
      <c r="D3517" s="48"/>
    </row>
    <row r="3518" spans="1:4" x14ac:dyDescent="0.25">
      <c r="A3518" s="47"/>
      <c r="B3518" s="107"/>
      <c r="C3518" s="48"/>
      <c r="D3518" s="48"/>
    </row>
    <row r="3519" spans="1:4" x14ac:dyDescent="0.25">
      <c r="A3519" s="47"/>
      <c r="B3519" s="107"/>
      <c r="C3519" s="48"/>
      <c r="D3519" s="48"/>
    </row>
    <row r="3520" spans="1:4" x14ac:dyDescent="0.25">
      <c r="A3520" s="47"/>
      <c r="B3520" s="107"/>
      <c r="C3520" s="48"/>
      <c r="D3520" s="48"/>
    </row>
    <row r="3521" spans="1:4" x14ac:dyDescent="0.25">
      <c r="A3521" s="47"/>
      <c r="B3521" s="107"/>
      <c r="C3521" s="48"/>
      <c r="D3521" s="48"/>
    </row>
    <row r="3522" spans="1:4" x14ac:dyDescent="0.25">
      <c r="A3522" s="47"/>
      <c r="B3522" s="107"/>
      <c r="C3522" s="48"/>
      <c r="D3522" s="48"/>
    </row>
    <row r="3523" spans="1:4" x14ac:dyDescent="0.25">
      <c r="A3523" s="47"/>
      <c r="B3523" s="107"/>
      <c r="C3523" s="48"/>
      <c r="D3523" s="48"/>
    </row>
    <row r="3524" spans="1:4" x14ac:dyDescent="0.25">
      <c r="A3524" s="47"/>
      <c r="B3524" s="107"/>
      <c r="C3524" s="48"/>
      <c r="D3524" s="48"/>
    </row>
    <row r="3525" spans="1:4" x14ac:dyDescent="0.25">
      <c r="A3525" s="47"/>
      <c r="B3525" s="107"/>
      <c r="C3525" s="48"/>
      <c r="D3525" s="48"/>
    </row>
    <row r="3526" spans="1:4" x14ac:dyDescent="0.25">
      <c r="A3526" s="47"/>
      <c r="B3526" s="107"/>
      <c r="C3526" s="48"/>
      <c r="D3526" s="48"/>
    </row>
    <row r="3527" spans="1:4" x14ac:dyDescent="0.25">
      <c r="A3527" s="47"/>
      <c r="B3527" s="107"/>
      <c r="C3527" s="48"/>
      <c r="D3527" s="48"/>
    </row>
    <row r="3528" spans="1:4" x14ac:dyDescent="0.25">
      <c r="A3528" s="47"/>
      <c r="B3528" s="107"/>
      <c r="C3528" s="48"/>
      <c r="D3528" s="48"/>
    </row>
    <row r="3529" spans="1:4" x14ac:dyDescent="0.25">
      <c r="A3529" s="47"/>
      <c r="B3529" s="107"/>
      <c r="C3529" s="48"/>
      <c r="D3529" s="48"/>
    </row>
    <row r="3530" spans="1:4" x14ac:dyDescent="0.25">
      <c r="A3530" s="47"/>
      <c r="B3530" s="107"/>
      <c r="C3530" s="48"/>
      <c r="D3530" s="48"/>
    </row>
    <row r="3531" spans="1:4" x14ac:dyDescent="0.25">
      <c r="A3531" s="47"/>
      <c r="B3531" s="107"/>
      <c r="C3531" s="48"/>
      <c r="D3531" s="48"/>
    </row>
    <row r="3532" spans="1:4" x14ac:dyDescent="0.25">
      <c r="A3532" s="47"/>
      <c r="B3532" s="107"/>
      <c r="C3532" s="48"/>
      <c r="D3532" s="48"/>
    </row>
    <row r="3533" spans="1:4" x14ac:dyDescent="0.25">
      <c r="A3533" s="47"/>
      <c r="B3533" s="107"/>
      <c r="C3533" s="48"/>
      <c r="D3533" s="48"/>
    </row>
    <row r="3534" spans="1:4" x14ac:dyDescent="0.25">
      <c r="A3534" s="47"/>
      <c r="B3534" s="107"/>
      <c r="C3534" s="48"/>
      <c r="D3534" s="48"/>
    </row>
    <row r="3535" spans="1:4" x14ac:dyDescent="0.25">
      <c r="A3535" s="47"/>
      <c r="B3535" s="107"/>
      <c r="C3535" s="48"/>
      <c r="D3535" s="48"/>
    </row>
    <row r="3536" spans="1:4" x14ac:dyDescent="0.25">
      <c r="A3536" s="47"/>
      <c r="B3536" s="107"/>
      <c r="C3536" s="48"/>
      <c r="D3536" s="48"/>
    </row>
    <row r="3537" spans="1:4" x14ac:dyDescent="0.25">
      <c r="A3537" s="47"/>
      <c r="B3537" s="107"/>
      <c r="C3537" s="48"/>
      <c r="D3537" s="48"/>
    </row>
    <row r="3538" spans="1:4" x14ac:dyDescent="0.25">
      <c r="A3538" s="47"/>
      <c r="B3538" s="107"/>
      <c r="C3538" s="48"/>
      <c r="D3538" s="48"/>
    </row>
    <row r="3539" spans="1:4" x14ac:dyDescent="0.25">
      <c r="A3539" s="47"/>
      <c r="B3539" s="107"/>
      <c r="C3539" s="48"/>
      <c r="D3539" s="48"/>
    </row>
    <row r="3540" spans="1:4" x14ac:dyDescent="0.25">
      <c r="A3540" s="47"/>
      <c r="B3540" s="107"/>
      <c r="C3540" s="48"/>
      <c r="D3540" s="48"/>
    </row>
    <row r="3541" spans="1:4" x14ac:dyDescent="0.25">
      <c r="A3541" s="47"/>
      <c r="B3541" s="107"/>
      <c r="C3541" s="48"/>
      <c r="D3541" s="48"/>
    </row>
    <row r="3542" spans="1:4" x14ac:dyDescent="0.25">
      <c r="A3542" s="47"/>
      <c r="B3542" s="107"/>
      <c r="C3542" s="48"/>
      <c r="D3542" s="48"/>
    </row>
    <row r="3543" spans="1:4" x14ac:dyDescent="0.25">
      <c r="A3543" s="47"/>
      <c r="B3543" s="107"/>
      <c r="C3543" s="48"/>
      <c r="D3543" s="48"/>
    </row>
    <row r="3544" spans="1:4" x14ac:dyDescent="0.25">
      <c r="A3544" s="47"/>
      <c r="B3544" s="107"/>
      <c r="C3544" s="48"/>
      <c r="D3544" s="48"/>
    </row>
    <row r="3545" spans="1:4" x14ac:dyDescent="0.25">
      <c r="A3545" s="47"/>
      <c r="B3545" s="107"/>
      <c r="C3545" s="48"/>
      <c r="D3545" s="48"/>
    </row>
    <row r="3546" spans="1:4" x14ac:dyDescent="0.25">
      <c r="A3546" s="47"/>
      <c r="B3546" s="107"/>
      <c r="C3546" s="48"/>
      <c r="D3546" s="48"/>
    </row>
    <row r="3547" spans="1:4" x14ac:dyDescent="0.25">
      <c r="A3547" s="47"/>
      <c r="B3547" s="107"/>
      <c r="C3547" s="48"/>
      <c r="D3547" s="48"/>
    </row>
    <row r="3548" spans="1:4" x14ac:dyDescent="0.25">
      <c r="A3548" s="47"/>
      <c r="B3548" s="107"/>
      <c r="C3548" s="48"/>
      <c r="D3548" s="48"/>
    </row>
    <row r="3549" spans="1:4" x14ac:dyDescent="0.25">
      <c r="A3549" s="47"/>
      <c r="B3549" s="107"/>
      <c r="C3549" s="48"/>
      <c r="D3549" s="48"/>
    </row>
    <row r="3550" spans="1:4" x14ac:dyDescent="0.25">
      <c r="A3550" s="47"/>
      <c r="B3550" s="107"/>
      <c r="C3550" s="48"/>
      <c r="D3550" s="48"/>
    </row>
    <row r="3551" spans="1:4" x14ac:dyDescent="0.25">
      <c r="A3551" s="47"/>
      <c r="B3551" s="107"/>
      <c r="C3551" s="48"/>
      <c r="D3551" s="48"/>
    </row>
    <row r="3552" spans="1:4" x14ac:dyDescent="0.25">
      <c r="A3552" s="47"/>
      <c r="B3552" s="107"/>
      <c r="C3552" s="48"/>
      <c r="D3552" s="48"/>
    </row>
    <row r="3553" spans="1:4" x14ac:dyDescent="0.25">
      <c r="A3553" s="47"/>
      <c r="B3553" s="107"/>
      <c r="C3553" s="48"/>
      <c r="D3553" s="48"/>
    </row>
    <row r="3554" spans="1:4" x14ac:dyDescent="0.25">
      <c r="A3554" s="47"/>
      <c r="B3554" s="107"/>
      <c r="C3554" s="48"/>
      <c r="D3554" s="48"/>
    </row>
    <row r="3555" spans="1:4" x14ac:dyDescent="0.25">
      <c r="A3555" s="47"/>
      <c r="B3555" s="107"/>
      <c r="C3555" s="48"/>
      <c r="D3555" s="48"/>
    </row>
    <row r="3556" spans="1:4" x14ac:dyDescent="0.25">
      <c r="A3556" s="47"/>
      <c r="B3556" s="107"/>
      <c r="C3556" s="48"/>
      <c r="D3556" s="48"/>
    </row>
    <row r="3557" spans="1:4" x14ac:dyDescent="0.25">
      <c r="A3557" s="47"/>
      <c r="B3557" s="107"/>
      <c r="C3557" s="48"/>
      <c r="D3557" s="48"/>
    </row>
    <row r="3558" spans="1:4" x14ac:dyDescent="0.25">
      <c r="A3558" s="47"/>
      <c r="B3558" s="107"/>
      <c r="C3558" s="48"/>
      <c r="D3558" s="48"/>
    </row>
    <row r="3559" spans="1:4" x14ac:dyDescent="0.25">
      <c r="A3559" s="47"/>
      <c r="B3559" s="107"/>
      <c r="C3559" s="48"/>
      <c r="D3559" s="48"/>
    </row>
    <row r="3560" spans="1:4" x14ac:dyDescent="0.25">
      <c r="A3560" s="47"/>
      <c r="B3560" s="107"/>
      <c r="C3560" s="48"/>
      <c r="D3560" s="48"/>
    </row>
    <row r="3561" spans="1:4" x14ac:dyDescent="0.25">
      <c r="A3561" s="47"/>
      <c r="B3561" s="107"/>
      <c r="C3561" s="48"/>
      <c r="D3561" s="48"/>
    </row>
    <row r="3562" spans="1:4" x14ac:dyDescent="0.25">
      <c r="A3562" s="47"/>
      <c r="B3562" s="107"/>
      <c r="C3562" s="48"/>
      <c r="D3562" s="48"/>
    </row>
    <row r="3563" spans="1:4" x14ac:dyDescent="0.25">
      <c r="A3563" s="47"/>
      <c r="B3563" s="107"/>
      <c r="C3563" s="48"/>
      <c r="D3563" s="48"/>
    </row>
    <row r="3564" spans="1:4" x14ac:dyDescent="0.25">
      <c r="A3564" s="47"/>
      <c r="B3564" s="107"/>
      <c r="C3564" s="48"/>
      <c r="D3564" s="48"/>
    </row>
    <row r="3565" spans="1:4" x14ac:dyDescent="0.25">
      <c r="A3565" s="47"/>
      <c r="B3565" s="107"/>
      <c r="C3565" s="48"/>
      <c r="D3565" s="48"/>
    </row>
    <row r="3566" spans="1:4" x14ac:dyDescent="0.25">
      <c r="A3566" s="47"/>
      <c r="B3566" s="107"/>
      <c r="C3566" s="48"/>
      <c r="D3566" s="48"/>
    </row>
    <row r="3567" spans="1:4" x14ac:dyDescent="0.25">
      <c r="A3567" s="47"/>
      <c r="B3567" s="107"/>
      <c r="C3567" s="48"/>
      <c r="D3567" s="48"/>
    </row>
    <row r="3568" spans="1:4" x14ac:dyDescent="0.25">
      <c r="A3568" s="47"/>
      <c r="B3568" s="107"/>
      <c r="C3568" s="48"/>
      <c r="D3568" s="48"/>
    </row>
    <row r="3569" spans="1:4" x14ac:dyDescent="0.25">
      <c r="A3569" s="47"/>
      <c r="B3569" s="107"/>
      <c r="C3569" s="48"/>
      <c r="D3569" s="48"/>
    </row>
    <row r="3570" spans="1:4" x14ac:dyDescent="0.25">
      <c r="A3570" s="47"/>
      <c r="B3570" s="107"/>
      <c r="C3570" s="48"/>
      <c r="D3570" s="48"/>
    </row>
    <row r="3571" spans="1:4" x14ac:dyDescent="0.25">
      <c r="A3571" s="47"/>
      <c r="B3571" s="107"/>
      <c r="C3571" s="48"/>
      <c r="D3571" s="48"/>
    </row>
    <row r="3572" spans="1:4" x14ac:dyDescent="0.25">
      <c r="A3572" s="47"/>
      <c r="B3572" s="107"/>
      <c r="C3572" s="48"/>
      <c r="D3572" s="48"/>
    </row>
    <row r="3573" spans="1:4" x14ac:dyDescent="0.25">
      <c r="A3573" s="47"/>
      <c r="B3573" s="107"/>
      <c r="C3573" s="48"/>
      <c r="D3573" s="48"/>
    </row>
    <row r="3574" spans="1:4" x14ac:dyDescent="0.25">
      <c r="A3574" s="47"/>
      <c r="B3574" s="107"/>
      <c r="C3574" s="48"/>
      <c r="D3574" s="48"/>
    </row>
    <row r="3575" spans="1:4" x14ac:dyDescent="0.25">
      <c r="A3575" s="47"/>
      <c r="B3575" s="107"/>
      <c r="C3575" s="48"/>
      <c r="D3575" s="48"/>
    </row>
    <row r="3576" spans="1:4" x14ac:dyDescent="0.25">
      <c r="A3576" s="47"/>
      <c r="B3576" s="107"/>
      <c r="C3576" s="48"/>
      <c r="D3576" s="48"/>
    </row>
    <row r="3577" spans="1:4" x14ac:dyDescent="0.25">
      <c r="A3577" s="47"/>
      <c r="B3577" s="107"/>
      <c r="C3577" s="48"/>
      <c r="D3577" s="48"/>
    </row>
    <row r="3578" spans="1:4" x14ac:dyDescent="0.25">
      <c r="A3578" s="47"/>
      <c r="B3578" s="107"/>
      <c r="C3578" s="48"/>
      <c r="D3578" s="48"/>
    </row>
    <row r="3579" spans="1:4" x14ac:dyDescent="0.25">
      <c r="A3579" s="47"/>
      <c r="B3579" s="107"/>
      <c r="C3579" s="48"/>
      <c r="D3579" s="48"/>
    </row>
    <row r="3580" spans="1:4" x14ac:dyDescent="0.25">
      <c r="A3580" s="47"/>
      <c r="B3580" s="107"/>
      <c r="C3580" s="48"/>
      <c r="D3580" s="48"/>
    </row>
    <row r="3581" spans="1:4" x14ac:dyDescent="0.25">
      <c r="A3581" s="47"/>
      <c r="B3581" s="107"/>
      <c r="C3581" s="48"/>
      <c r="D3581" s="48"/>
    </row>
    <row r="3582" spans="1:4" x14ac:dyDescent="0.25">
      <c r="A3582" s="47"/>
      <c r="B3582" s="107"/>
      <c r="C3582" s="48"/>
      <c r="D3582" s="48"/>
    </row>
    <row r="3583" spans="1:4" x14ac:dyDescent="0.25">
      <c r="A3583" s="47"/>
      <c r="B3583" s="107"/>
      <c r="C3583" s="48"/>
      <c r="D3583" s="48"/>
    </row>
    <row r="3584" spans="1:4" x14ac:dyDescent="0.25">
      <c r="A3584" s="47"/>
      <c r="B3584" s="107"/>
      <c r="C3584" s="48"/>
      <c r="D3584" s="48"/>
    </row>
    <row r="3585" spans="1:4" x14ac:dyDescent="0.25">
      <c r="A3585" s="47"/>
      <c r="B3585" s="107"/>
      <c r="C3585" s="48"/>
      <c r="D3585" s="48"/>
    </row>
    <row r="3586" spans="1:4" x14ac:dyDescent="0.25">
      <c r="A3586" s="47"/>
      <c r="B3586" s="107"/>
      <c r="C3586" s="48"/>
      <c r="D3586" s="48"/>
    </row>
    <row r="3587" spans="1:4" x14ac:dyDescent="0.25">
      <c r="A3587" s="47"/>
      <c r="B3587" s="107"/>
      <c r="C3587" s="48"/>
      <c r="D3587" s="48"/>
    </row>
    <row r="3588" spans="1:4" x14ac:dyDescent="0.25">
      <c r="A3588" s="47"/>
      <c r="B3588" s="107"/>
      <c r="C3588" s="48"/>
      <c r="D3588" s="48"/>
    </row>
    <row r="3589" spans="1:4" x14ac:dyDescent="0.25">
      <c r="A3589" s="47"/>
      <c r="B3589" s="107"/>
      <c r="C3589" s="48"/>
      <c r="D3589" s="48"/>
    </row>
    <row r="3590" spans="1:4" x14ac:dyDescent="0.25">
      <c r="A3590" s="47"/>
      <c r="B3590" s="107"/>
      <c r="C3590" s="48"/>
      <c r="D3590" s="48"/>
    </row>
    <row r="3591" spans="1:4" x14ac:dyDescent="0.25">
      <c r="A3591" s="47"/>
      <c r="B3591" s="107"/>
      <c r="C3591" s="48"/>
      <c r="D3591" s="48"/>
    </row>
    <row r="3592" spans="1:4" x14ac:dyDescent="0.25">
      <c r="A3592" s="47"/>
      <c r="B3592" s="107"/>
      <c r="C3592" s="48"/>
      <c r="D3592" s="48"/>
    </row>
    <row r="3593" spans="1:4" x14ac:dyDescent="0.25">
      <c r="A3593" s="47"/>
      <c r="B3593" s="107"/>
      <c r="C3593" s="48"/>
      <c r="D3593" s="48"/>
    </row>
    <row r="3594" spans="1:4" x14ac:dyDescent="0.25">
      <c r="A3594" s="47"/>
      <c r="B3594" s="107"/>
      <c r="C3594" s="48"/>
      <c r="D3594" s="48"/>
    </row>
    <row r="3595" spans="1:4" x14ac:dyDescent="0.25">
      <c r="A3595" s="47"/>
      <c r="B3595" s="107"/>
      <c r="C3595" s="48"/>
      <c r="D3595" s="48"/>
    </row>
    <row r="3596" spans="1:4" x14ac:dyDescent="0.25">
      <c r="A3596" s="47"/>
      <c r="B3596" s="107"/>
      <c r="C3596" s="48"/>
      <c r="D3596" s="48"/>
    </row>
    <row r="3597" spans="1:4" x14ac:dyDescent="0.25">
      <c r="A3597" s="47"/>
      <c r="B3597" s="107"/>
      <c r="C3597" s="48"/>
      <c r="D3597" s="48"/>
    </row>
    <row r="3598" spans="1:4" x14ac:dyDescent="0.25">
      <c r="A3598" s="47"/>
      <c r="B3598" s="107"/>
      <c r="C3598" s="48"/>
      <c r="D3598" s="48"/>
    </row>
    <row r="3599" spans="1:4" x14ac:dyDescent="0.25">
      <c r="A3599" s="47"/>
      <c r="B3599" s="107"/>
      <c r="C3599" s="48"/>
      <c r="D3599" s="48"/>
    </row>
    <row r="3600" spans="1:4" x14ac:dyDescent="0.25">
      <c r="A3600" s="47"/>
      <c r="B3600" s="107"/>
      <c r="C3600" s="48"/>
      <c r="D3600" s="48"/>
    </row>
    <row r="3601" spans="1:4" x14ac:dyDescent="0.25">
      <c r="A3601" s="47"/>
      <c r="B3601" s="107"/>
      <c r="C3601" s="48"/>
      <c r="D3601" s="48"/>
    </row>
    <row r="3602" spans="1:4" x14ac:dyDescent="0.25">
      <c r="A3602" s="47"/>
      <c r="B3602" s="107"/>
      <c r="C3602" s="48"/>
      <c r="D3602" s="48"/>
    </row>
    <row r="3603" spans="1:4" x14ac:dyDescent="0.25">
      <c r="A3603" s="47"/>
      <c r="B3603" s="107"/>
      <c r="C3603" s="48"/>
      <c r="D3603" s="48"/>
    </row>
    <row r="3604" spans="1:4" x14ac:dyDescent="0.25">
      <c r="A3604" s="47"/>
      <c r="B3604" s="107"/>
      <c r="C3604" s="48"/>
      <c r="D3604" s="48"/>
    </row>
    <row r="3605" spans="1:4" x14ac:dyDescent="0.25">
      <c r="A3605" s="47"/>
      <c r="B3605" s="107"/>
      <c r="C3605" s="48"/>
      <c r="D3605" s="48"/>
    </row>
    <row r="3606" spans="1:4" x14ac:dyDescent="0.25">
      <c r="A3606" s="47"/>
      <c r="B3606" s="107"/>
      <c r="C3606" s="48"/>
      <c r="D3606" s="48"/>
    </row>
    <row r="3607" spans="1:4" x14ac:dyDescent="0.25">
      <c r="A3607" s="47"/>
      <c r="B3607" s="107"/>
      <c r="C3607" s="48"/>
      <c r="D3607" s="48"/>
    </row>
    <row r="3608" spans="1:4" x14ac:dyDescent="0.25">
      <c r="A3608" s="47"/>
      <c r="B3608" s="107"/>
      <c r="C3608" s="48"/>
      <c r="D3608" s="48"/>
    </row>
    <row r="3609" spans="1:4" x14ac:dyDescent="0.25">
      <c r="A3609" s="47"/>
      <c r="B3609" s="107"/>
      <c r="C3609" s="48"/>
      <c r="D3609" s="48"/>
    </row>
    <row r="3610" spans="1:4" x14ac:dyDescent="0.25">
      <c r="A3610" s="47"/>
      <c r="B3610" s="107"/>
      <c r="C3610" s="48"/>
      <c r="D3610" s="48"/>
    </row>
    <row r="3611" spans="1:4" x14ac:dyDescent="0.25">
      <c r="A3611" s="47"/>
      <c r="B3611" s="107"/>
      <c r="C3611" s="48"/>
      <c r="D3611" s="48"/>
    </row>
    <row r="3612" spans="1:4" x14ac:dyDescent="0.25">
      <c r="A3612" s="47"/>
      <c r="B3612" s="107"/>
      <c r="C3612" s="48"/>
      <c r="D3612" s="48"/>
    </row>
    <row r="3613" spans="1:4" x14ac:dyDescent="0.25">
      <c r="A3613" s="47"/>
      <c r="B3613" s="107"/>
      <c r="C3613" s="48"/>
      <c r="D3613" s="48"/>
    </row>
    <row r="3614" spans="1:4" x14ac:dyDescent="0.25">
      <c r="A3614" s="47"/>
      <c r="B3614" s="107"/>
      <c r="C3614" s="48"/>
      <c r="D3614" s="48"/>
    </row>
    <row r="3615" spans="1:4" x14ac:dyDescent="0.25">
      <c r="A3615" s="47"/>
      <c r="B3615" s="107"/>
      <c r="C3615" s="48"/>
      <c r="D3615" s="48"/>
    </row>
    <row r="3616" spans="1:4" x14ac:dyDescent="0.25">
      <c r="A3616" s="47"/>
      <c r="B3616" s="107"/>
      <c r="C3616" s="48"/>
      <c r="D3616" s="48"/>
    </row>
    <row r="3617" spans="1:4" x14ac:dyDescent="0.25">
      <c r="A3617" s="47"/>
      <c r="B3617" s="107"/>
      <c r="C3617" s="48"/>
      <c r="D3617" s="48"/>
    </row>
    <row r="3618" spans="1:4" x14ac:dyDescent="0.25">
      <c r="A3618" s="47"/>
      <c r="B3618" s="107"/>
      <c r="C3618" s="48"/>
      <c r="D3618" s="48"/>
    </row>
    <row r="3619" spans="1:4" x14ac:dyDescent="0.25">
      <c r="A3619" s="47"/>
      <c r="B3619" s="107"/>
      <c r="C3619" s="48"/>
      <c r="D3619" s="48"/>
    </row>
    <row r="3620" spans="1:4" x14ac:dyDescent="0.25">
      <c r="A3620" s="47"/>
      <c r="B3620" s="107"/>
      <c r="C3620" s="48"/>
      <c r="D3620" s="48"/>
    </row>
    <row r="3621" spans="1:4" x14ac:dyDescent="0.25">
      <c r="A3621" s="47"/>
      <c r="B3621" s="107"/>
      <c r="C3621" s="48"/>
      <c r="D3621" s="48"/>
    </row>
    <row r="3622" spans="1:4" x14ac:dyDescent="0.25">
      <c r="A3622" s="47"/>
      <c r="B3622" s="107"/>
      <c r="C3622" s="48"/>
      <c r="D3622" s="48"/>
    </row>
    <row r="3623" spans="1:4" x14ac:dyDescent="0.25">
      <c r="A3623" s="47"/>
      <c r="B3623" s="107"/>
      <c r="C3623" s="48"/>
      <c r="D3623" s="48"/>
    </row>
    <row r="3624" spans="1:4" x14ac:dyDescent="0.25">
      <c r="A3624" s="47"/>
      <c r="B3624" s="107"/>
      <c r="C3624" s="48"/>
      <c r="D3624" s="48"/>
    </row>
    <row r="3625" spans="1:4" x14ac:dyDescent="0.25">
      <c r="A3625" s="47"/>
      <c r="B3625" s="107"/>
      <c r="C3625" s="48"/>
      <c r="D3625" s="48"/>
    </row>
    <row r="3626" spans="1:4" x14ac:dyDescent="0.25">
      <c r="A3626" s="47"/>
      <c r="B3626" s="107"/>
      <c r="C3626" s="48"/>
      <c r="D3626" s="48"/>
    </row>
    <row r="3627" spans="1:4" x14ac:dyDescent="0.25">
      <c r="A3627" s="47"/>
      <c r="B3627" s="107"/>
      <c r="C3627" s="48"/>
      <c r="D3627" s="48"/>
    </row>
    <row r="3628" spans="1:4" x14ac:dyDescent="0.25">
      <c r="A3628" s="47"/>
      <c r="B3628" s="107"/>
      <c r="C3628" s="48"/>
      <c r="D3628" s="48"/>
    </row>
    <row r="3629" spans="1:4" x14ac:dyDescent="0.25">
      <c r="A3629" s="47"/>
      <c r="B3629" s="107"/>
      <c r="C3629" s="48"/>
      <c r="D3629" s="48"/>
    </row>
    <row r="3630" spans="1:4" x14ac:dyDescent="0.25">
      <c r="A3630" s="47"/>
      <c r="B3630" s="107"/>
      <c r="C3630" s="48"/>
      <c r="D3630" s="48"/>
    </row>
    <row r="3631" spans="1:4" x14ac:dyDescent="0.25">
      <c r="A3631" s="47"/>
      <c r="B3631" s="107"/>
      <c r="C3631" s="48"/>
      <c r="D3631" s="48"/>
    </row>
    <row r="3632" spans="1:4" x14ac:dyDescent="0.25">
      <c r="A3632" s="47"/>
      <c r="B3632" s="107"/>
      <c r="C3632" s="48"/>
      <c r="D3632" s="48"/>
    </row>
    <row r="3633" spans="1:4" x14ac:dyDescent="0.25">
      <c r="A3633" s="47"/>
      <c r="B3633" s="107"/>
      <c r="C3633" s="48"/>
      <c r="D3633" s="48"/>
    </row>
    <row r="3634" spans="1:4" x14ac:dyDescent="0.25">
      <c r="A3634" s="47"/>
      <c r="B3634" s="107"/>
      <c r="C3634" s="48"/>
      <c r="D3634" s="48"/>
    </row>
    <row r="3635" spans="1:4" x14ac:dyDescent="0.25">
      <c r="A3635" s="47"/>
      <c r="B3635" s="107"/>
      <c r="C3635" s="48"/>
      <c r="D3635" s="48"/>
    </row>
    <row r="3636" spans="1:4" x14ac:dyDescent="0.25">
      <c r="A3636" s="47"/>
      <c r="B3636" s="107"/>
      <c r="C3636" s="48"/>
      <c r="D3636" s="48"/>
    </row>
    <row r="3637" spans="1:4" x14ac:dyDescent="0.25">
      <c r="A3637" s="47"/>
      <c r="B3637" s="107"/>
      <c r="C3637" s="48"/>
      <c r="D3637" s="48"/>
    </row>
    <row r="3638" spans="1:4" x14ac:dyDescent="0.25">
      <c r="A3638" s="47"/>
      <c r="B3638" s="107"/>
      <c r="C3638" s="48"/>
      <c r="D3638" s="48"/>
    </row>
    <row r="3639" spans="1:4" x14ac:dyDescent="0.25">
      <c r="A3639" s="47"/>
      <c r="B3639" s="107"/>
      <c r="C3639" s="48"/>
      <c r="D3639" s="48"/>
    </row>
    <row r="3640" spans="1:4" x14ac:dyDescent="0.25">
      <c r="A3640" s="47"/>
      <c r="B3640" s="107"/>
      <c r="C3640" s="48"/>
      <c r="D3640" s="48"/>
    </row>
    <row r="3641" spans="1:4" x14ac:dyDescent="0.25">
      <c r="A3641" s="47"/>
      <c r="B3641" s="107"/>
      <c r="C3641" s="48"/>
      <c r="D3641" s="48"/>
    </row>
    <row r="3642" spans="1:4" x14ac:dyDescent="0.25">
      <c r="A3642" s="47"/>
      <c r="B3642" s="107"/>
      <c r="C3642" s="48"/>
      <c r="D3642" s="48"/>
    </row>
    <row r="3643" spans="1:4" x14ac:dyDescent="0.25">
      <c r="A3643" s="47"/>
      <c r="B3643" s="107"/>
      <c r="C3643" s="48"/>
      <c r="D3643" s="48"/>
    </row>
    <row r="3644" spans="1:4" x14ac:dyDescent="0.25">
      <c r="A3644" s="47"/>
      <c r="B3644" s="107"/>
      <c r="C3644" s="48"/>
      <c r="D3644" s="48"/>
    </row>
    <row r="3645" spans="1:4" x14ac:dyDescent="0.25">
      <c r="A3645" s="47"/>
      <c r="B3645" s="107"/>
      <c r="C3645" s="48"/>
      <c r="D3645" s="48"/>
    </row>
    <row r="3646" spans="1:4" x14ac:dyDescent="0.25">
      <c r="A3646" s="47"/>
      <c r="B3646" s="107"/>
      <c r="C3646" s="48"/>
      <c r="D3646" s="48"/>
    </row>
    <row r="3647" spans="1:4" x14ac:dyDescent="0.25">
      <c r="A3647" s="47"/>
      <c r="B3647" s="107"/>
      <c r="C3647" s="48"/>
      <c r="D3647" s="48"/>
    </row>
    <row r="3648" spans="1:4" x14ac:dyDescent="0.25">
      <c r="A3648" s="47"/>
      <c r="B3648" s="107"/>
      <c r="C3648" s="48"/>
      <c r="D3648" s="48"/>
    </row>
    <row r="3649" spans="1:4" x14ac:dyDescent="0.25">
      <c r="A3649" s="47"/>
      <c r="B3649" s="107"/>
      <c r="C3649" s="48"/>
      <c r="D3649" s="48"/>
    </row>
    <row r="3650" spans="1:4" x14ac:dyDescent="0.25">
      <c r="A3650" s="47"/>
      <c r="B3650" s="107"/>
      <c r="C3650" s="48"/>
      <c r="D3650" s="48"/>
    </row>
    <row r="3651" spans="1:4" x14ac:dyDescent="0.25">
      <c r="A3651" s="47"/>
      <c r="B3651" s="107"/>
      <c r="C3651" s="48"/>
      <c r="D3651" s="48"/>
    </row>
    <row r="3652" spans="1:4" x14ac:dyDescent="0.25">
      <c r="A3652" s="47"/>
      <c r="B3652" s="107"/>
      <c r="C3652" s="48"/>
      <c r="D3652" s="48"/>
    </row>
    <row r="3653" spans="1:4" x14ac:dyDescent="0.25">
      <c r="A3653" s="47"/>
      <c r="B3653" s="107"/>
      <c r="C3653" s="48"/>
      <c r="D3653" s="48"/>
    </row>
    <row r="3654" spans="1:4" x14ac:dyDescent="0.25">
      <c r="A3654" s="47"/>
      <c r="B3654" s="107"/>
      <c r="C3654" s="48"/>
      <c r="D3654" s="48"/>
    </row>
    <row r="3655" spans="1:4" x14ac:dyDescent="0.25">
      <c r="A3655" s="47"/>
      <c r="B3655" s="107"/>
      <c r="C3655" s="48"/>
      <c r="D3655" s="48"/>
    </row>
    <row r="3656" spans="1:4" x14ac:dyDescent="0.25">
      <c r="A3656" s="47"/>
      <c r="B3656" s="107"/>
      <c r="C3656" s="48"/>
      <c r="D3656" s="48"/>
    </row>
    <row r="3657" spans="1:4" x14ac:dyDescent="0.25">
      <c r="A3657" s="47"/>
      <c r="B3657" s="107"/>
      <c r="C3657" s="48"/>
      <c r="D3657" s="48"/>
    </row>
    <row r="3658" spans="1:4" x14ac:dyDescent="0.25">
      <c r="A3658" s="47"/>
      <c r="B3658" s="107"/>
      <c r="C3658" s="48"/>
      <c r="D3658" s="48"/>
    </row>
    <row r="3659" spans="1:4" x14ac:dyDescent="0.25">
      <c r="A3659" s="47"/>
      <c r="B3659" s="107"/>
      <c r="C3659" s="48"/>
      <c r="D3659" s="48"/>
    </row>
    <row r="3660" spans="1:4" x14ac:dyDescent="0.25">
      <c r="A3660" s="47"/>
      <c r="B3660" s="107"/>
      <c r="C3660" s="48"/>
      <c r="D3660" s="48"/>
    </row>
    <row r="3661" spans="1:4" x14ac:dyDescent="0.25">
      <c r="A3661" s="47"/>
      <c r="B3661" s="107"/>
      <c r="C3661" s="48"/>
      <c r="D3661" s="48"/>
    </row>
    <row r="3662" spans="1:4" x14ac:dyDescent="0.25">
      <c r="A3662" s="47"/>
      <c r="B3662" s="107"/>
      <c r="C3662" s="48"/>
      <c r="D3662" s="48"/>
    </row>
    <row r="3663" spans="1:4" x14ac:dyDescent="0.25">
      <c r="A3663" s="47"/>
      <c r="B3663" s="107"/>
      <c r="C3663" s="48"/>
      <c r="D3663" s="48"/>
    </row>
    <row r="3664" spans="1:4" x14ac:dyDescent="0.25">
      <c r="A3664" s="47"/>
      <c r="B3664" s="107"/>
      <c r="C3664" s="48"/>
      <c r="D3664" s="48"/>
    </row>
    <row r="3665" spans="1:4" x14ac:dyDescent="0.25">
      <c r="A3665" s="47"/>
      <c r="B3665" s="107"/>
      <c r="C3665" s="48"/>
      <c r="D3665" s="48"/>
    </row>
    <row r="3666" spans="1:4" x14ac:dyDescent="0.25">
      <c r="A3666" s="47"/>
      <c r="B3666" s="107"/>
      <c r="C3666" s="48"/>
      <c r="D3666" s="48"/>
    </row>
    <row r="3667" spans="1:4" x14ac:dyDescent="0.25">
      <c r="A3667" s="47"/>
      <c r="B3667" s="107"/>
      <c r="C3667" s="48"/>
      <c r="D3667" s="48"/>
    </row>
    <row r="3668" spans="1:4" x14ac:dyDescent="0.25">
      <c r="A3668" s="47"/>
      <c r="B3668" s="107"/>
      <c r="C3668" s="48"/>
      <c r="D3668" s="48"/>
    </row>
    <row r="3669" spans="1:4" x14ac:dyDescent="0.25">
      <c r="A3669" s="47"/>
      <c r="B3669" s="107"/>
      <c r="C3669" s="48"/>
      <c r="D3669" s="48"/>
    </row>
    <row r="3670" spans="1:4" x14ac:dyDescent="0.25">
      <c r="A3670" s="47"/>
      <c r="B3670" s="107"/>
      <c r="C3670" s="48"/>
      <c r="D3670" s="48"/>
    </row>
    <row r="3671" spans="1:4" x14ac:dyDescent="0.25">
      <c r="A3671" s="47"/>
      <c r="B3671" s="107"/>
      <c r="C3671" s="48"/>
      <c r="D3671" s="48"/>
    </row>
    <row r="3672" spans="1:4" x14ac:dyDescent="0.25">
      <c r="A3672" s="47"/>
      <c r="B3672" s="107"/>
      <c r="C3672" s="48"/>
      <c r="D3672" s="48"/>
    </row>
    <row r="3673" spans="1:4" x14ac:dyDescent="0.25">
      <c r="A3673" s="47"/>
      <c r="B3673" s="107"/>
      <c r="C3673" s="48"/>
      <c r="D3673" s="48"/>
    </row>
    <row r="3674" spans="1:4" x14ac:dyDescent="0.25">
      <c r="A3674" s="47"/>
      <c r="B3674" s="107"/>
      <c r="C3674" s="48"/>
      <c r="D3674" s="48"/>
    </row>
    <row r="3675" spans="1:4" x14ac:dyDescent="0.25">
      <c r="A3675" s="47"/>
      <c r="B3675" s="107"/>
      <c r="C3675" s="48"/>
      <c r="D3675" s="48"/>
    </row>
    <row r="3676" spans="1:4" x14ac:dyDescent="0.25">
      <c r="A3676" s="47"/>
      <c r="B3676" s="107"/>
      <c r="C3676" s="48"/>
      <c r="D3676" s="48"/>
    </row>
    <row r="3677" spans="1:4" x14ac:dyDescent="0.25">
      <c r="A3677" s="47"/>
      <c r="B3677" s="107"/>
      <c r="C3677" s="48"/>
      <c r="D3677" s="48"/>
    </row>
    <row r="3678" spans="1:4" x14ac:dyDescent="0.25">
      <c r="A3678" s="47"/>
      <c r="B3678" s="107"/>
      <c r="C3678" s="48"/>
      <c r="D3678" s="48"/>
    </row>
    <row r="3679" spans="1:4" x14ac:dyDescent="0.25">
      <c r="A3679" s="47"/>
      <c r="B3679" s="107"/>
      <c r="C3679" s="48"/>
      <c r="D3679" s="48"/>
    </row>
    <row r="3680" spans="1:4" x14ac:dyDescent="0.25">
      <c r="A3680" s="47"/>
      <c r="B3680" s="107"/>
      <c r="C3680" s="48"/>
      <c r="D3680" s="48"/>
    </row>
    <row r="3681" spans="1:4" x14ac:dyDescent="0.25">
      <c r="A3681" s="47"/>
      <c r="B3681" s="107"/>
      <c r="C3681" s="48"/>
      <c r="D3681" s="48"/>
    </row>
    <row r="3682" spans="1:4" x14ac:dyDescent="0.25">
      <c r="A3682" s="47"/>
      <c r="B3682" s="107"/>
      <c r="C3682" s="48"/>
      <c r="D3682" s="48"/>
    </row>
    <row r="3683" spans="1:4" x14ac:dyDescent="0.25">
      <c r="A3683" s="47"/>
      <c r="B3683" s="107"/>
      <c r="C3683" s="48"/>
      <c r="D3683" s="48"/>
    </row>
    <row r="3684" spans="1:4" x14ac:dyDescent="0.25">
      <c r="A3684" s="47"/>
      <c r="B3684" s="107"/>
      <c r="C3684" s="48"/>
      <c r="D3684" s="48"/>
    </row>
    <row r="3685" spans="1:4" x14ac:dyDescent="0.25">
      <c r="A3685" s="47"/>
      <c r="B3685" s="107"/>
      <c r="C3685" s="48"/>
      <c r="D3685" s="48"/>
    </row>
    <row r="3686" spans="1:4" x14ac:dyDescent="0.25">
      <c r="A3686" s="47"/>
      <c r="B3686" s="107"/>
      <c r="C3686" s="48"/>
      <c r="D3686" s="48"/>
    </row>
    <row r="3687" spans="1:4" x14ac:dyDescent="0.25">
      <c r="A3687" s="47"/>
      <c r="B3687" s="107"/>
      <c r="C3687" s="48"/>
      <c r="D3687" s="48"/>
    </row>
    <row r="3688" spans="1:4" x14ac:dyDescent="0.25">
      <c r="A3688" s="47"/>
      <c r="B3688" s="107"/>
      <c r="C3688" s="48"/>
      <c r="D3688" s="48"/>
    </row>
    <row r="3689" spans="1:4" x14ac:dyDescent="0.25">
      <c r="A3689" s="47"/>
      <c r="B3689" s="107"/>
      <c r="C3689" s="48"/>
      <c r="D3689" s="48"/>
    </row>
    <row r="3690" spans="1:4" x14ac:dyDescent="0.25">
      <c r="A3690" s="47"/>
      <c r="B3690" s="107"/>
      <c r="C3690" s="48"/>
      <c r="D3690" s="48"/>
    </row>
    <row r="3691" spans="1:4" x14ac:dyDescent="0.25">
      <c r="A3691" s="47"/>
      <c r="B3691" s="107"/>
      <c r="C3691" s="48"/>
      <c r="D3691" s="48"/>
    </row>
    <row r="3692" spans="1:4" x14ac:dyDescent="0.25">
      <c r="A3692" s="47"/>
      <c r="B3692" s="107"/>
      <c r="C3692" s="48"/>
      <c r="D3692" s="48"/>
    </row>
    <row r="3693" spans="1:4" x14ac:dyDescent="0.25">
      <c r="A3693" s="47"/>
      <c r="B3693" s="107"/>
      <c r="C3693" s="48"/>
      <c r="D3693" s="48"/>
    </row>
    <row r="3694" spans="1:4" x14ac:dyDescent="0.25">
      <c r="A3694" s="47"/>
      <c r="B3694" s="107"/>
      <c r="C3694" s="48"/>
      <c r="D3694" s="48"/>
    </row>
    <row r="3695" spans="1:4" x14ac:dyDescent="0.25">
      <c r="A3695" s="47"/>
      <c r="B3695" s="107"/>
      <c r="C3695" s="48"/>
      <c r="D3695" s="48"/>
    </row>
    <row r="3696" spans="1:4" x14ac:dyDescent="0.25">
      <c r="A3696" s="47"/>
      <c r="B3696" s="107"/>
      <c r="C3696" s="48"/>
      <c r="D3696" s="48"/>
    </row>
    <row r="3697" spans="1:4" x14ac:dyDescent="0.25">
      <c r="A3697" s="47"/>
      <c r="B3697" s="107"/>
      <c r="C3697" s="48"/>
      <c r="D3697" s="48"/>
    </row>
    <row r="3698" spans="1:4" x14ac:dyDescent="0.25">
      <c r="A3698" s="47"/>
      <c r="B3698" s="107"/>
      <c r="C3698" s="48"/>
      <c r="D3698" s="48"/>
    </row>
    <row r="3699" spans="1:4" x14ac:dyDescent="0.25">
      <c r="A3699" s="47"/>
      <c r="B3699" s="107"/>
      <c r="C3699" s="48"/>
      <c r="D3699" s="48"/>
    </row>
    <row r="3700" spans="1:4" x14ac:dyDescent="0.25">
      <c r="A3700" s="47"/>
      <c r="B3700" s="107"/>
      <c r="C3700" s="48"/>
      <c r="D3700" s="48"/>
    </row>
    <row r="3701" spans="1:4" x14ac:dyDescent="0.25">
      <c r="A3701" s="47"/>
      <c r="B3701" s="107"/>
      <c r="C3701" s="48"/>
      <c r="D3701" s="48"/>
    </row>
    <row r="3702" spans="1:4" x14ac:dyDescent="0.25">
      <c r="A3702" s="47"/>
      <c r="B3702" s="107"/>
      <c r="C3702" s="48"/>
      <c r="D3702" s="48"/>
    </row>
    <row r="3703" spans="1:4" x14ac:dyDescent="0.25">
      <c r="A3703" s="47"/>
      <c r="B3703" s="107"/>
      <c r="C3703" s="48"/>
      <c r="D3703" s="48"/>
    </row>
    <row r="3704" spans="1:4" x14ac:dyDescent="0.25">
      <c r="A3704" s="47"/>
      <c r="B3704" s="107"/>
      <c r="C3704" s="48"/>
      <c r="D3704" s="48"/>
    </row>
    <row r="3705" spans="1:4" x14ac:dyDescent="0.25">
      <c r="A3705" s="47"/>
      <c r="B3705" s="107"/>
      <c r="C3705" s="48"/>
      <c r="D3705" s="48"/>
    </row>
    <row r="3706" spans="1:4" x14ac:dyDescent="0.25">
      <c r="A3706" s="47"/>
      <c r="B3706" s="107"/>
      <c r="C3706" s="48"/>
      <c r="D3706" s="48"/>
    </row>
    <row r="3707" spans="1:4" x14ac:dyDescent="0.25">
      <c r="A3707" s="47"/>
      <c r="B3707" s="107"/>
      <c r="C3707" s="48"/>
      <c r="D3707" s="48"/>
    </row>
    <row r="3708" spans="1:4" x14ac:dyDescent="0.25">
      <c r="A3708" s="47"/>
      <c r="B3708" s="107"/>
      <c r="C3708" s="48"/>
      <c r="D3708" s="48"/>
    </row>
    <row r="3709" spans="1:4" x14ac:dyDescent="0.25">
      <c r="A3709" s="47"/>
      <c r="B3709" s="107"/>
      <c r="C3709" s="48"/>
      <c r="D3709" s="48"/>
    </row>
    <row r="3710" spans="1:4" x14ac:dyDescent="0.25">
      <c r="A3710" s="47"/>
      <c r="B3710" s="107"/>
      <c r="C3710" s="48"/>
      <c r="D3710" s="48"/>
    </row>
    <row r="3711" spans="1:4" x14ac:dyDescent="0.25">
      <c r="A3711" s="47"/>
      <c r="B3711" s="107"/>
      <c r="C3711" s="48"/>
      <c r="D3711" s="48"/>
    </row>
    <row r="3712" spans="1:4" x14ac:dyDescent="0.25">
      <c r="A3712" s="47"/>
      <c r="B3712" s="107"/>
      <c r="C3712" s="48"/>
      <c r="D3712" s="48"/>
    </row>
    <row r="3713" spans="1:4" x14ac:dyDescent="0.25">
      <c r="A3713" s="47"/>
      <c r="B3713" s="107"/>
      <c r="C3713" s="48"/>
      <c r="D3713" s="48"/>
    </row>
    <row r="3714" spans="1:4" x14ac:dyDescent="0.25">
      <c r="A3714" s="47"/>
      <c r="B3714" s="107"/>
      <c r="C3714" s="48"/>
      <c r="D3714" s="48"/>
    </row>
    <row r="3715" spans="1:4" x14ac:dyDescent="0.25">
      <c r="A3715" s="47"/>
      <c r="B3715" s="107"/>
      <c r="C3715" s="48"/>
      <c r="D3715" s="48"/>
    </row>
    <row r="3716" spans="1:4" x14ac:dyDescent="0.25">
      <c r="A3716" s="47"/>
      <c r="B3716" s="107"/>
      <c r="C3716" s="48"/>
      <c r="D3716" s="48"/>
    </row>
    <row r="3717" spans="1:4" x14ac:dyDescent="0.25">
      <c r="A3717" s="47"/>
      <c r="B3717" s="107"/>
      <c r="C3717" s="48"/>
      <c r="D3717" s="48"/>
    </row>
    <row r="3718" spans="1:4" x14ac:dyDescent="0.25">
      <c r="A3718" s="47"/>
      <c r="B3718" s="107"/>
      <c r="C3718" s="48"/>
      <c r="D3718" s="48"/>
    </row>
    <row r="3719" spans="1:4" x14ac:dyDescent="0.25">
      <c r="A3719" s="47"/>
      <c r="B3719" s="107"/>
      <c r="C3719" s="48"/>
      <c r="D3719" s="48"/>
    </row>
    <row r="3720" spans="1:4" x14ac:dyDescent="0.25">
      <c r="A3720" s="47"/>
      <c r="B3720" s="107"/>
      <c r="C3720" s="48"/>
      <c r="D3720" s="48"/>
    </row>
    <row r="3721" spans="1:4" x14ac:dyDescent="0.25">
      <c r="A3721" s="47"/>
      <c r="B3721" s="107"/>
      <c r="C3721" s="48"/>
      <c r="D3721" s="48"/>
    </row>
    <row r="3722" spans="1:4" x14ac:dyDescent="0.25">
      <c r="A3722" s="47"/>
      <c r="B3722" s="107"/>
      <c r="C3722" s="48"/>
      <c r="D3722" s="48"/>
    </row>
    <row r="3723" spans="1:4" x14ac:dyDescent="0.25">
      <c r="A3723" s="47"/>
      <c r="B3723" s="107"/>
      <c r="C3723" s="48"/>
      <c r="D3723" s="48"/>
    </row>
    <row r="3724" spans="1:4" x14ac:dyDescent="0.25">
      <c r="A3724" s="47"/>
      <c r="B3724" s="107"/>
      <c r="C3724" s="48"/>
      <c r="D3724" s="48"/>
    </row>
    <row r="3725" spans="1:4" x14ac:dyDescent="0.25">
      <c r="A3725" s="47"/>
      <c r="B3725" s="107"/>
      <c r="C3725" s="48"/>
      <c r="D3725" s="48"/>
    </row>
    <row r="3726" spans="1:4" x14ac:dyDescent="0.25">
      <c r="A3726" s="47"/>
      <c r="B3726" s="107"/>
      <c r="C3726" s="48"/>
      <c r="D3726" s="48"/>
    </row>
    <row r="3727" spans="1:4" x14ac:dyDescent="0.25">
      <c r="A3727" s="47"/>
      <c r="B3727" s="107"/>
      <c r="C3727" s="48"/>
      <c r="D3727" s="48"/>
    </row>
    <row r="3728" spans="1:4" x14ac:dyDescent="0.25">
      <c r="A3728" s="47"/>
      <c r="B3728" s="107"/>
      <c r="C3728" s="48"/>
      <c r="D3728" s="48"/>
    </row>
    <row r="3729" spans="1:4" x14ac:dyDescent="0.25">
      <c r="A3729" s="47"/>
      <c r="B3729" s="107"/>
      <c r="C3729" s="48"/>
      <c r="D3729" s="48"/>
    </row>
    <row r="3730" spans="1:4" x14ac:dyDescent="0.25">
      <c r="A3730" s="47"/>
      <c r="B3730" s="107"/>
      <c r="C3730" s="48"/>
      <c r="D3730" s="48"/>
    </row>
    <row r="3731" spans="1:4" x14ac:dyDescent="0.25">
      <c r="A3731" s="47"/>
      <c r="B3731" s="107"/>
      <c r="C3731" s="48"/>
      <c r="D3731" s="48"/>
    </row>
    <row r="3732" spans="1:4" x14ac:dyDescent="0.25">
      <c r="A3732" s="47"/>
      <c r="B3732" s="107"/>
      <c r="C3732" s="48"/>
      <c r="D3732" s="48"/>
    </row>
    <row r="3733" spans="1:4" x14ac:dyDescent="0.25">
      <c r="A3733" s="47"/>
      <c r="B3733" s="107"/>
      <c r="C3733" s="48"/>
      <c r="D3733" s="48"/>
    </row>
    <row r="3734" spans="1:4" x14ac:dyDescent="0.25">
      <c r="A3734" s="47"/>
      <c r="B3734" s="107"/>
      <c r="C3734" s="48"/>
      <c r="D3734" s="48"/>
    </row>
    <row r="3735" spans="1:4" x14ac:dyDescent="0.25">
      <c r="A3735" s="47"/>
      <c r="B3735" s="107"/>
      <c r="C3735" s="48"/>
      <c r="D3735" s="48"/>
    </row>
    <row r="3736" spans="1:4" x14ac:dyDescent="0.25">
      <c r="A3736" s="47"/>
      <c r="B3736" s="107"/>
      <c r="C3736" s="48"/>
      <c r="D3736" s="48"/>
    </row>
    <row r="3737" spans="1:4" x14ac:dyDescent="0.25">
      <c r="A3737" s="47"/>
      <c r="B3737" s="107"/>
      <c r="C3737" s="48"/>
      <c r="D3737" s="48"/>
    </row>
    <row r="3738" spans="1:4" x14ac:dyDescent="0.25">
      <c r="A3738" s="47"/>
      <c r="B3738" s="107"/>
      <c r="C3738" s="48"/>
      <c r="D3738" s="48"/>
    </row>
    <row r="3739" spans="1:4" x14ac:dyDescent="0.25">
      <c r="A3739" s="47"/>
      <c r="B3739" s="107"/>
      <c r="C3739" s="48"/>
      <c r="D3739" s="48"/>
    </row>
    <row r="3740" spans="1:4" x14ac:dyDescent="0.25">
      <c r="A3740" s="47"/>
      <c r="B3740" s="107"/>
      <c r="C3740" s="48"/>
      <c r="D3740" s="48"/>
    </row>
    <row r="3741" spans="1:4" x14ac:dyDescent="0.25">
      <c r="A3741" s="47"/>
      <c r="B3741" s="107"/>
      <c r="C3741" s="48"/>
      <c r="D3741" s="48"/>
    </row>
    <row r="3742" spans="1:4" x14ac:dyDescent="0.25">
      <c r="A3742" s="47"/>
      <c r="B3742" s="107"/>
      <c r="C3742" s="48"/>
      <c r="D3742" s="48"/>
    </row>
    <row r="3743" spans="1:4" x14ac:dyDescent="0.25">
      <c r="A3743" s="47"/>
      <c r="B3743" s="107"/>
      <c r="C3743" s="48"/>
      <c r="D3743" s="48"/>
    </row>
    <row r="3744" spans="1:4" x14ac:dyDescent="0.25">
      <c r="A3744" s="47"/>
      <c r="B3744" s="107"/>
      <c r="C3744" s="48"/>
      <c r="D3744" s="48"/>
    </row>
    <row r="3745" spans="1:4" x14ac:dyDescent="0.25">
      <c r="A3745" s="47"/>
      <c r="B3745" s="107"/>
      <c r="C3745" s="48"/>
      <c r="D3745" s="48"/>
    </row>
    <row r="3746" spans="1:4" x14ac:dyDescent="0.25">
      <c r="A3746" s="47"/>
      <c r="B3746" s="107"/>
      <c r="C3746" s="48"/>
      <c r="D3746" s="48"/>
    </row>
    <row r="3747" spans="1:4" x14ac:dyDescent="0.25">
      <c r="A3747" s="47"/>
      <c r="B3747" s="107"/>
      <c r="C3747" s="48"/>
      <c r="D3747" s="48"/>
    </row>
    <row r="3748" spans="1:4" x14ac:dyDescent="0.25">
      <c r="A3748" s="47"/>
      <c r="B3748" s="107"/>
      <c r="C3748" s="48"/>
      <c r="D3748" s="48"/>
    </row>
    <row r="3749" spans="1:4" x14ac:dyDescent="0.25">
      <c r="A3749" s="47"/>
      <c r="B3749" s="107"/>
      <c r="C3749" s="48"/>
      <c r="D3749" s="48"/>
    </row>
    <row r="3750" spans="1:4" x14ac:dyDescent="0.25">
      <c r="A3750" s="47"/>
      <c r="B3750" s="107"/>
      <c r="C3750" s="48"/>
      <c r="D3750" s="48"/>
    </row>
    <row r="3751" spans="1:4" x14ac:dyDescent="0.25">
      <c r="A3751" s="47"/>
      <c r="B3751" s="107"/>
      <c r="C3751" s="48"/>
      <c r="D3751" s="48"/>
    </row>
    <row r="3752" spans="1:4" x14ac:dyDescent="0.25">
      <c r="A3752" s="47"/>
      <c r="B3752" s="107"/>
      <c r="C3752" s="48"/>
      <c r="D3752" s="48"/>
    </row>
    <row r="3753" spans="1:4" x14ac:dyDescent="0.25">
      <c r="A3753" s="47"/>
      <c r="B3753" s="107"/>
      <c r="C3753" s="48"/>
      <c r="D3753" s="48"/>
    </row>
    <row r="3754" spans="1:4" x14ac:dyDescent="0.25">
      <c r="A3754" s="47"/>
      <c r="B3754" s="107"/>
      <c r="C3754" s="48"/>
      <c r="D3754" s="48"/>
    </row>
    <row r="3755" spans="1:4" x14ac:dyDescent="0.25">
      <c r="A3755" s="47"/>
      <c r="B3755" s="107"/>
      <c r="C3755" s="48"/>
      <c r="D3755" s="48"/>
    </row>
    <row r="3756" spans="1:4" x14ac:dyDescent="0.25">
      <c r="A3756" s="47"/>
      <c r="B3756" s="107"/>
      <c r="C3756" s="48"/>
      <c r="D3756" s="48"/>
    </row>
    <row r="3757" spans="1:4" x14ac:dyDescent="0.25">
      <c r="A3757" s="47"/>
      <c r="B3757" s="107"/>
      <c r="C3757" s="48"/>
      <c r="D3757" s="48"/>
    </row>
    <row r="3758" spans="1:4" x14ac:dyDescent="0.25">
      <c r="A3758" s="47"/>
      <c r="B3758" s="107"/>
      <c r="C3758" s="48"/>
      <c r="D3758" s="48"/>
    </row>
    <row r="3759" spans="1:4" x14ac:dyDescent="0.25">
      <c r="A3759" s="47"/>
      <c r="B3759" s="107"/>
      <c r="C3759" s="48"/>
      <c r="D3759" s="48"/>
    </row>
    <row r="3760" spans="1:4" x14ac:dyDescent="0.25">
      <c r="A3760" s="47"/>
      <c r="B3760" s="107"/>
      <c r="C3760" s="48"/>
      <c r="D3760" s="48"/>
    </row>
    <row r="3761" spans="1:4" x14ac:dyDescent="0.25">
      <c r="A3761" s="47"/>
      <c r="B3761" s="107"/>
      <c r="C3761" s="48"/>
      <c r="D3761" s="48"/>
    </row>
    <row r="3762" spans="1:4" x14ac:dyDescent="0.25">
      <c r="A3762" s="47"/>
      <c r="B3762" s="107"/>
      <c r="C3762" s="48"/>
      <c r="D3762" s="48"/>
    </row>
    <row r="3763" spans="1:4" x14ac:dyDescent="0.25">
      <c r="A3763" s="47"/>
      <c r="B3763" s="107"/>
      <c r="C3763" s="48"/>
      <c r="D3763" s="48"/>
    </row>
    <row r="3764" spans="1:4" x14ac:dyDescent="0.25">
      <c r="A3764" s="47"/>
      <c r="B3764" s="107"/>
      <c r="C3764" s="48"/>
      <c r="D3764" s="48"/>
    </row>
    <row r="3765" spans="1:4" x14ac:dyDescent="0.25">
      <c r="A3765" s="47"/>
      <c r="B3765" s="107"/>
      <c r="C3765" s="48"/>
      <c r="D3765" s="48"/>
    </row>
    <row r="3766" spans="1:4" x14ac:dyDescent="0.25">
      <c r="A3766" s="47"/>
      <c r="B3766" s="107"/>
      <c r="C3766" s="48"/>
      <c r="D3766" s="48"/>
    </row>
    <row r="3767" spans="1:4" x14ac:dyDescent="0.25">
      <c r="A3767" s="47"/>
      <c r="B3767" s="107"/>
      <c r="C3767" s="48"/>
      <c r="D3767" s="48"/>
    </row>
    <row r="3768" spans="1:4" x14ac:dyDescent="0.25">
      <c r="A3768" s="47"/>
      <c r="B3768" s="107"/>
      <c r="C3768" s="48"/>
      <c r="D3768" s="48"/>
    </row>
    <row r="3769" spans="1:4" x14ac:dyDescent="0.25">
      <c r="A3769" s="47"/>
      <c r="B3769" s="107"/>
      <c r="C3769" s="48"/>
      <c r="D3769" s="48"/>
    </row>
    <row r="3770" spans="1:4" x14ac:dyDescent="0.25">
      <c r="A3770" s="47"/>
      <c r="B3770" s="107"/>
      <c r="C3770" s="48"/>
      <c r="D3770" s="48"/>
    </row>
    <row r="3771" spans="1:4" x14ac:dyDescent="0.25">
      <c r="A3771" s="47"/>
      <c r="B3771" s="107"/>
      <c r="C3771" s="48"/>
      <c r="D3771" s="48"/>
    </row>
    <row r="3772" spans="1:4" x14ac:dyDescent="0.25">
      <c r="A3772" s="47"/>
      <c r="B3772" s="107"/>
      <c r="C3772" s="48"/>
      <c r="D3772" s="48"/>
    </row>
    <row r="3773" spans="1:4" x14ac:dyDescent="0.25">
      <c r="A3773" s="47"/>
      <c r="B3773" s="107"/>
      <c r="C3773" s="48"/>
      <c r="D3773" s="48"/>
    </row>
    <row r="3774" spans="1:4" x14ac:dyDescent="0.25">
      <c r="A3774" s="47"/>
      <c r="B3774" s="107"/>
      <c r="C3774" s="48"/>
      <c r="D3774" s="48"/>
    </row>
    <row r="3775" spans="1:4" x14ac:dyDescent="0.25">
      <c r="A3775" s="47"/>
      <c r="B3775" s="107"/>
      <c r="C3775" s="48"/>
      <c r="D3775" s="48"/>
    </row>
    <row r="3776" spans="1:4" x14ac:dyDescent="0.25">
      <c r="A3776" s="47"/>
      <c r="B3776" s="107"/>
      <c r="C3776" s="48"/>
      <c r="D3776" s="48"/>
    </row>
    <row r="3777" spans="1:4" x14ac:dyDescent="0.25">
      <c r="A3777" s="47"/>
      <c r="B3777" s="107"/>
      <c r="C3777" s="48"/>
      <c r="D3777" s="48"/>
    </row>
    <row r="3778" spans="1:4" x14ac:dyDescent="0.25">
      <c r="A3778" s="47"/>
      <c r="B3778" s="107"/>
      <c r="C3778" s="48"/>
      <c r="D3778" s="48"/>
    </row>
    <row r="3779" spans="1:4" x14ac:dyDescent="0.25">
      <c r="A3779" s="47"/>
      <c r="B3779" s="107"/>
      <c r="C3779" s="48"/>
      <c r="D3779" s="48"/>
    </row>
    <row r="3780" spans="1:4" x14ac:dyDescent="0.25">
      <c r="A3780" s="47"/>
      <c r="B3780" s="107"/>
      <c r="C3780" s="48"/>
      <c r="D3780" s="48"/>
    </row>
    <row r="3781" spans="1:4" x14ac:dyDescent="0.25">
      <c r="A3781" s="47"/>
      <c r="B3781" s="107"/>
      <c r="C3781" s="48"/>
      <c r="D3781" s="48"/>
    </row>
    <row r="3782" spans="1:4" x14ac:dyDescent="0.25">
      <c r="A3782" s="47"/>
      <c r="B3782" s="107"/>
      <c r="C3782" s="48"/>
      <c r="D3782" s="48"/>
    </row>
    <row r="3783" spans="1:4" x14ac:dyDescent="0.25">
      <c r="A3783" s="47"/>
      <c r="B3783" s="107"/>
      <c r="C3783" s="48"/>
      <c r="D3783" s="48"/>
    </row>
    <row r="3784" spans="1:4" x14ac:dyDescent="0.25">
      <c r="A3784" s="47"/>
      <c r="B3784" s="107"/>
      <c r="C3784" s="48"/>
      <c r="D3784" s="48"/>
    </row>
    <row r="3785" spans="1:4" x14ac:dyDescent="0.25">
      <c r="A3785" s="47"/>
      <c r="B3785" s="107"/>
      <c r="C3785" s="48"/>
      <c r="D3785" s="48"/>
    </row>
    <row r="3786" spans="1:4" x14ac:dyDescent="0.25">
      <c r="A3786" s="47"/>
      <c r="B3786" s="107"/>
      <c r="C3786" s="48"/>
      <c r="D3786" s="48"/>
    </row>
    <row r="3787" spans="1:4" x14ac:dyDescent="0.25">
      <c r="A3787" s="47"/>
      <c r="B3787" s="107"/>
      <c r="C3787" s="48"/>
      <c r="D3787" s="48"/>
    </row>
    <row r="3788" spans="1:4" x14ac:dyDescent="0.25">
      <c r="A3788" s="47"/>
      <c r="B3788" s="107"/>
      <c r="C3788" s="48"/>
      <c r="D3788" s="48"/>
    </row>
    <row r="3789" spans="1:4" x14ac:dyDescent="0.25">
      <c r="A3789" s="47"/>
      <c r="B3789" s="107"/>
      <c r="C3789" s="48"/>
      <c r="D3789" s="48"/>
    </row>
    <row r="3790" spans="1:4" x14ac:dyDescent="0.25">
      <c r="A3790" s="47"/>
      <c r="B3790" s="107"/>
      <c r="C3790" s="48"/>
      <c r="D3790" s="48"/>
    </row>
    <row r="3791" spans="1:4" x14ac:dyDescent="0.25">
      <c r="A3791" s="47"/>
      <c r="B3791" s="107"/>
      <c r="C3791" s="48"/>
      <c r="D3791" s="48"/>
    </row>
    <row r="3792" spans="1:4" x14ac:dyDescent="0.25">
      <c r="A3792" s="47"/>
      <c r="B3792" s="107"/>
      <c r="C3792" s="48"/>
      <c r="D3792" s="48"/>
    </row>
    <row r="3793" spans="1:4" x14ac:dyDescent="0.25">
      <c r="A3793" s="47"/>
      <c r="B3793" s="107"/>
      <c r="C3793" s="48"/>
      <c r="D3793" s="48"/>
    </row>
    <row r="3794" spans="1:4" x14ac:dyDescent="0.25">
      <c r="A3794" s="47"/>
      <c r="B3794" s="107"/>
      <c r="C3794" s="48"/>
      <c r="D3794" s="48"/>
    </row>
    <row r="3795" spans="1:4" x14ac:dyDescent="0.25">
      <c r="A3795" s="47"/>
      <c r="B3795" s="107"/>
      <c r="C3795" s="48"/>
      <c r="D3795" s="48"/>
    </row>
    <row r="3796" spans="1:4" x14ac:dyDescent="0.25">
      <c r="A3796" s="47"/>
      <c r="B3796" s="107"/>
      <c r="C3796" s="48"/>
      <c r="D3796" s="48"/>
    </row>
    <row r="3797" spans="1:4" x14ac:dyDescent="0.25">
      <c r="A3797" s="47"/>
      <c r="B3797" s="107"/>
      <c r="C3797" s="48"/>
      <c r="D3797" s="48"/>
    </row>
    <row r="3798" spans="1:4" x14ac:dyDescent="0.25">
      <c r="A3798" s="47"/>
      <c r="B3798" s="107"/>
      <c r="C3798" s="48"/>
      <c r="D3798" s="48"/>
    </row>
    <row r="3799" spans="1:4" x14ac:dyDescent="0.25">
      <c r="A3799" s="47"/>
      <c r="B3799" s="107"/>
      <c r="C3799" s="48"/>
      <c r="D3799" s="48"/>
    </row>
    <row r="3800" spans="1:4" x14ac:dyDescent="0.25">
      <c r="A3800" s="47"/>
      <c r="B3800" s="107"/>
      <c r="C3800" s="48"/>
      <c r="D3800" s="48"/>
    </row>
    <row r="3801" spans="1:4" x14ac:dyDescent="0.25">
      <c r="A3801" s="47"/>
      <c r="B3801" s="107"/>
      <c r="C3801" s="48"/>
      <c r="D3801" s="48"/>
    </row>
    <row r="3802" spans="1:4" x14ac:dyDescent="0.25">
      <c r="A3802" s="47"/>
      <c r="B3802" s="107"/>
      <c r="C3802" s="48"/>
      <c r="D3802" s="48"/>
    </row>
    <row r="3803" spans="1:4" x14ac:dyDescent="0.25">
      <c r="A3803" s="47"/>
      <c r="B3803" s="107"/>
      <c r="C3803" s="48"/>
      <c r="D3803" s="48"/>
    </row>
    <row r="3804" spans="1:4" x14ac:dyDescent="0.25">
      <c r="A3804" s="47"/>
      <c r="B3804" s="107"/>
      <c r="C3804" s="48"/>
      <c r="D3804" s="48"/>
    </row>
    <row r="3805" spans="1:4" x14ac:dyDescent="0.25">
      <c r="A3805" s="47"/>
      <c r="B3805" s="107"/>
      <c r="C3805" s="48"/>
      <c r="D3805" s="48"/>
    </row>
    <row r="3806" spans="1:4" x14ac:dyDescent="0.25">
      <c r="A3806" s="47"/>
      <c r="B3806" s="107"/>
      <c r="C3806" s="48"/>
      <c r="D3806" s="48"/>
    </row>
    <row r="3807" spans="1:4" x14ac:dyDescent="0.25">
      <c r="A3807" s="47"/>
      <c r="B3807" s="107"/>
      <c r="C3807" s="48"/>
      <c r="D3807" s="48"/>
    </row>
    <row r="3808" spans="1:4" x14ac:dyDescent="0.25">
      <c r="A3808" s="47"/>
      <c r="B3808" s="107"/>
      <c r="C3808" s="48"/>
      <c r="D3808" s="48"/>
    </row>
    <row r="3809" spans="1:4" x14ac:dyDescent="0.25">
      <c r="A3809" s="47"/>
      <c r="B3809" s="107"/>
      <c r="C3809" s="48"/>
      <c r="D3809" s="48"/>
    </row>
    <row r="3810" spans="1:4" x14ac:dyDescent="0.25">
      <c r="A3810" s="47"/>
      <c r="B3810" s="107"/>
      <c r="C3810" s="48"/>
      <c r="D3810" s="48"/>
    </row>
    <row r="3811" spans="1:4" x14ac:dyDescent="0.25">
      <c r="A3811" s="47"/>
      <c r="B3811" s="107"/>
      <c r="C3811" s="48"/>
      <c r="D3811" s="48"/>
    </row>
    <row r="3812" spans="1:4" x14ac:dyDescent="0.25">
      <c r="A3812" s="47"/>
      <c r="B3812" s="107"/>
      <c r="C3812" s="48"/>
      <c r="D3812" s="48"/>
    </row>
    <row r="3813" spans="1:4" x14ac:dyDescent="0.25">
      <c r="A3813" s="47"/>
      <c r="B3813" s="107"/>
      <c r="C3813" s="48"/>
      <c r="D3813" s="48"/>
    </row>
    <row r="3814" spans="1:4" x14ac:dyDescent="0.25">
      <c r="A3814" s="47"/>
      <c r="B3814" s="107"/>
      <c r="C3814" s="48"/>
      <c r="D3814" s="48"/>
    </row>
    <row r="3815" spans="1:4" x14ac:dyDescent="0.25">
      <c r="A3815" s="47"/>
      <c r="B3815" s="107"/>
      <c r="C3815" s="48"/>
      <c r="D3815" s="48"/>
    </row>
    <row r="3816" spans="1:4" x14ac:dyDescent="0.25">
      <c r="A3816" s="47"/>
      <c r="B3816" s="107"/>
      <c r="C3816" s="48"/>
      <c r="D3816" s="48"/>
    </row>
    <row r="3817" spans="1:4" x14ac:dyDescent="0.25">
      <c r="A3817" s="47"/>
      <c r="B3817" s="107"/>
      <c r="C3817" s="48"/>
      <c r="D3817" s="48"/>
    </row>
    <row r="3818" spans="1:4" x14ac:dyDescent="0.25">
      <c r="A3818" s="47"/>
      <c r="B3818" s="107"/>
      <c r="C3818" s="48"/>
      <c r="D3818" s="48"/>
    </row>
    <row r="3819" spans="1:4" x14ac:dyDescent="0.25">
      <c r="A3819" s="47"/>
      <c r="B3819" s="107"/>
      <c r="C3819" s="48"/>
      <c r="D3819" s="48"/>
    </row>
    <row r="3820" spans="1:4" x14ac:dyDescent="0.25">
      <c r="A3820" s="47"/>
      <c r="B3820" s="107"/>
      <c r="C3820" s="48"/>
      <c r="D3820" s="48"/>
    </row>
    <row r="3821" spans="1:4" x14ac:dyDescent="0.25">
      <c r="A3821" s="47"/>
      <c r="B3821" s="107"/>
      <c r="C3821" s="48"/>
      <c r="D3821" s="48"/>
    </row>
    <row r="3822" spans="1:4" x14ac:dyDescent="0.25">
      <c r="A3822" s="47"/>
      <c r="B3822" s="107"/>
      <c r="C3822" s="48"/>
      <c r="D3822" s="48"/>
    </row>
    <row r="3823" spans="1:4" x14ac:dyDescent="0.25">
      <c r="A3823" s="47"/>
      <c r="B3823" s="107"/>
      <c r="C3823" s="48"/>
      <c r="D3823" s="48"/>
    </row>
    <row r="3824" spans="1:4" x14ac:dyDescent="0.25">
      <c r="A3824" s="47"/>
      <c r="B3824" s="107"/>
      <c r="C3824" s="48"/>
      <c r="D3824" s="48"/>
    </row>
    <row r="3825" spans="1:4" x14ac:dyDescent="0.25">
      <c r="A3825" s="47"/>
      <c r="B3825" s="107"/>
      <c r="C3825" s="48"/>
      <c r="D3825" s="48"/>
    </row>
    <row r="3826" spans="1:4" x14ac:dyDescent="0.25">
      <c r="A3826" s="47"/>
      <c r="B3826" s="107"/>
      <c r="C3826" s="48"/>
      <c r="D3826" s="48"/>
    </row>
    <row r="3827" spans="1:4" x14ac:dyDescent="0.25">
      <c r="A3827" s="47"/>
      <c r="B3827" s="107"/>
      <c r="C3827" s="48"/>
      <c r="D3827" s="48"/>
    </row>
    <row r="3828" spans="1:4" x14ac:dyDescent="0.25">
      <c r="A3828" s="47"/>
      <c r="B3828" s="107"/>
      <c r="C3828" s="48"/>
      <c r="D3828" s="48"/>
    </row>
    <row r="3829" spans="1:4" x14ac:dyDescent="0.25">
      <c r="A3829" s="47"/>
      <c r="B3829" s="107"/>
      <c r="C3829" s="48"/>
      <c r="D3829" s="48"/>
    </row>
    <row r="3830" spans="1:4" x14ac:dyDescent="0.25">
      <c r="A3830" s="47"/>
      <c r="B3830" s="107"/>
      <c r="C3830" s="48"/>
      <c r="D3830" s="48"/>
    </row>
    <row r="3831" spans="1:4" x14ac:dyDescent="0.25">
      <c r="A3831" s="47"/>
      <c r="B3831" s="107"/>
      <c r="C3831" s="48"/>
      <c r="D3831" s="48"/>
    </row>
    <row r="3832" spans="1:4" x14ac:dyDescent="0.25">
      <c r="A3832" s="47"/>
      <c r="B3832" s="107"/>
      <c r="C3832" s="48"/>
      <c r="D3832" s="48"/>
    </row>
    <row r="3833" spans="1:4" x14ac:dyDescent="0.25">
      <c r="A3833" s="47"/>
      <c r="B3833" s="107"/>
      <c r="C3833" s="48"/>
      <c r="D3833" s="48"/>
    </row>
    <row r="3834" spans="1:4" x14ac:dyDescent="0.25">
      <c r="A3834" s="47"/>
      <c r="B3834" s="107"/>
      <c r="C3834" s="48"/>
      <c r="D3834" s="48"/>
    </row>
    <row r="3835" spans="1:4" x14ac:dyDescent="0.25">
      <c r="A3835" s="47"/>
      <c r="B3835" s="107"/>
      <c r="C3835" s="48"/>
      <c r="D3835" s="48"/>
    </row>
    <row r="3836" spans="1:4" x14ac:dyDescent="0.25">
      <c r="A3836" s="47"/>
      <c r="B3836" s="107"/>
      <c r="C3836" s="48"/>
      <c r="D3836" s="48"/>
    </row>
    <row r="3837" spans="1:4" x14ac:dyDescent="0.25">
      <c r="A3837" s="47"/>
      <c r="B3837" s="107"/>
      <c r="C3837" s="48"/>
      <c r="D3837" s="48"/>
    </row>
    <row r="3838" spans="1:4" x14ac:dyDescent="0.25">
      <c r="A3838" s="47"/>
      <c r="B3838" s="107"/>
      <c r="C3838" s="48"/>
      <c r="D3838" s="48"/>
    </row>
    <row r="3839" spans="1:4" x14ac:dyDescent="0.25">
      <c r="A3839" s="47"/>
      <c r="B3839" s="107"/>
      <c r="C3839" s="48"/>
      <c r="D3839" s="48"/>
    </row>
    <row r="3840" spans="1:4" x14ac:dyDescent="0.25">
      <c r="A3840" s="47"/>
      <c r="B3840" s="107"/>
      <c r="C3840" s="48"/>
      <c r="D3840" s="48"/>
    </row>
    <row r="3841" spans="1:4" x14ac:dyDescent="0.25">
      <c r="A3841" s="47"/>
      <c r="B3841" s="107"/>
      <c r="C3841" s="48"/>
      <c r="D3841" s="48"/>
    </row>
    <row r="3842" spans="1:4" x14ac:dyDescent="0.25">
      <c r="A3842" s="47"/>
      <c r="B3842" s="107"/>
      <c r="C3842" s="48"/>
      <c r="D3842" s="48"/>
    </row>
    <row r="3843" spans="1:4" x14ac:dyDescent="0.25">
      <c r="A3843" s="47"/>
      <c r="B3843" s="107"/>
      <c r="C3843" s="48"/>
      <c r="D3843" s="48"/>
    </row>
    <row r="3844" spans="1:4" x14ac:dyDescent="0.25">
      <c r="A3844" s="47"/>
      <c r="B3844" s="107"/>
      <c r="C3844" s="48"/>
      <c r="D3844" s="48"/>
    </row>
    <row r="3845" spans="1:4" x14ac:dyDescent="0.25">
      <c r="A3845" s="47"/>
      <c r="B3845" s="107"/>
      <c r="C3845" s="48"/>
      <c r="D3845" s="48"/>
    </row>
    <row r="3846" spans="1:4" x14ac:dyDescent="0.25">
      <c r="A3846" s="47"/>
      <c r="B3846" s="107"/>
      <c r="C3846" s="48"/>
      <c r="D3846" s="48"/>
    </row>
    <row r="3847" spans="1:4" x14ac:dyDescent="0.25">
      <c r="A3847" s="47"/>
      <c r="B3847" s="107"/>
      <c r="C3847" s="48"/>
      <c r="D3847" s="48"/>
    </row>
    <row r="3848" spans="1:4" x14ac:dyDescent="0.25">
      <c r="A3848" s="47"/>
      <c r="B3848" s="107"/>
      <c r="C3848" s="48"/>
      <c r="D3848" s="48"/>
    </row>
    <row r="3849" spans="1:4" x14ac:dyDescent="0.25">
      <c r="A3849" s="47"/>
      <c r="B3849" s="107"/>
      <c r="C3849" s="48"/>
      <c r="D3849" s="48"/>
    </row>
    <row r="3850" spans="1:4" x14ac:dyDescent="0.25">
      <c r="A3850" s="47"/>
      <c r="B3850" s="107"/>
      <c r="C3850" s="48"/>
      <c r="D3850" s="48"/>
    </row>
    <row r="3851" spans="1:4" x14ac:dyDescent="0.25">
      <c r="A3851" s="47"/>
      <c r="B3851" s="107"/>
      <c r="C3851" s="48"/>
      <c r="D3851" s="48"/>
    </row>
    <row r="3852" spans="1:4" x14ac:dyDescent="0.25">
      <c r="A3852" s="47"/>
      <c r="B3852" s="107"/>
      <c r="C3852" s="48"/>
      <c r="D3852" s="48"/>
    </row>
    <row r="3853" spans="1:4" x14ac:dyDescent="0.25">
      <c r="A3853" s="47"/>
      <c r="B3853" s="107"/>
      <c r="C3853" s="48"/>
      <c r="D3853" s="48"/>
    </row>
    <row r="3854" spans="1:4" x14ac:dyDescent="0.25">
      <c r="A3854" s="47"/>
      <c r="B3854" s="107"/>
      <c r="C3854" s="48"/>
      <c r="D3854" s="48"/>
    </row>
    <row r="3855" spans="1:4" x14ac:dyDescent="0.25">
      <c r="A3855" s="47"/>
      <c r="B3855" s="107"/>
      <c r="C3855" s="48"/>
      <c r="D3855" s="48"/>
    </row>
    <row r="3856" spans="1:4" x14ac:dyDescent="0.25">
      <c r="A3856" s="47"/>
      <c r="B3856" s="107"/>
      <c r="C3856" s="48"/>
      <c r="D3856" s="48"/>
    </row>
    <row r="3857" spans="1:4" x14ac:dyDescent="0.25">
      <c r="A3857" s="47"/>
      <c r="B3857" s="107"/>
      <c r="C3857" s="48"/>
      <c r="D3857" s="48"/>
    </row>
    <row r="3858" spans="1:4" x14ac:dyDescent="0.25">
      <c r="A3858" s="47"/>
      <c r="B3858" s="107"/>
      <c r="C3858" s="48"/>
      <c r="D3858" s="48"/>
    </row>
    <row r="3859" spans="1:4" x14ac:dyDescent="0.25">
      <c r="A3859" s="114"/>
      <c r="B3859" s="107"/>
      <c r="C3859" s="48"/>
      <c r="D3859" s="48"/>
    </row>
    <row r="3860" spans="1:4" x14ac:dyDescent="0.25">
      <c r="A3860" s="114"/>
      <c r="B3860" s="107"/>
      <c r="C3860" s="48"/>
      <c r="D3860" s="48"/>
    </row>
    <row r="3861" spans="1:4" x14ac:dyDescent="0.25">
      <c r="A3861" s="114"/>
      <c r="B3861" s="107"/>
      <c r="C3861" s="48"/>
      <c r="D3861" s="48"/>
    </row>
    <row r="3862" spans="1:4" x14ac:dyDescent="0.25">
      <c r="A3862" s="114"/>
      <c r="B3862" s="107"/>
      <c r="C3862" s="48"/>
      <c r="D3862" s="48"/>
    </row>
    <row r="3863" spans="1:4" x14ac:dyDescent="0.25">
      <c r="A3863" s="114"/>
      <c r="B3863" s="107"/>
      <c r="C3863" s="48"/>
      <c r="D3863" s="48"/>
    </row>
    <row r="3864" spans="1:4" x14ac:dyDescent="0.25">
      <c r="A3864" s="114"/>
      <c r="B3864" s="107"/>
      <c r="C3864" s="48"/>
      <c r="D3864" s="48"/>
    </row>
    <row r="3865" spans="1:4" x14ac:dyDescent="0.25">
      <c r="A3865" s="114"/>
      <c r="B3865" s="107"/>
      <c r="C3865" s="48"/>
      <c r="D3865" s="48"/>
    </row>
    <row r="3866" spans="1:4" x14ac:dyDescent="0.25">
      <c r="A3866" s="114"/>
      <c r="B3866" s="107"/>
      <c r="C3866" s="48"/>
      <c r="D3866" s="48"/>
    </row>
    <row r="3867" spans="1:4" x14ac:dyDescent="0.25">
      <c r="A3867" s="114"/>
      <c r="B3867" s="107"/>
      <c r="C3867" s="48"/>
      <c r="D3867" s="48"/>
    </row>
    <row r="3868" spans="1:4" x14ac:dyDescent="0.25">
      <c r="A3868" s="114"/>
      <c r="B3868" s="107"/>
      <c r="C3868" s="48"/>
      <c r="D3868" s="48"/>
    </row>
    <row r="3869" spans="1:4" x14ac:dyDescent="0.25">
      <c r="A3869" s="114"/>
      <c r="B3869" s="107"/>
      <c r="C3869" s="48"/>
      <c r="D3869" s="48"/>
    </row>
    <row r="3870" spans="1:4" x14ac:dyDescent="0.25">
      <c r="A3870" s="47"/>
      <c r="B3870" s="107"/>
      <c r="C3870" s="48"/>
      <c r="D3870" s="48"/>
    </row>
    <row r="3871" spans="1:4" x14ac:dyDescent="0.25">
      <c r="A3871" s="47"/>
      <c r="B3871" s="107"/>
      <c r="C3871" s="48"/>
      <c r="D3871" s="48"/>
    </row>
    <row r="3872" spans="1:4" x14ac:dyDescent="0.25">
      <c r="A3872" s="47"/>
      <c r="B3872" s="107"/>
      <c r="C3872" s="48"/>
      <c r="D3872" s="48"/>
    </row>
    <row r="3873" spans="1:4" x14ac:dyDescent="0.25">
      <c r="A3873" s="47"/>
      <c r="B3873" s="107"/>
      <c r="C3873" s="48"/>
      <c r="D3873" s="48"/>
    </row>
    <row r="3874" spans="1:4" x14ac:dyDescent="0.25">
      <c r="A3874" s="47"/>
      <c r="B3874" s="107"/>
      <c r="C3874" s="48"/>
      <c r="D3874" s="48"/>
    </row>
    <row r="3875" spans="1:4" x14ac:dyDescent="0.25">
      <c r="A3875" s="47"/>
      <c r="B3875" s="107"/>
      <c r="C3875" s="48"/>
      <c r="D3875" s="48"/>
    </row>
    <row r="3876" spans="1:4" x14ac:dyDescent="0.25">
      <c r="A3876" s="47"/>
      <c r="B3876" s="107"/>
      <c r="C3876" s="48"/>
      <c r="D3876" s="48"/>
    </row>
    <row r="3877" spans="1:4" x14ac:dyDescent="0.25">
      <c r="A3877" s="47"/>
      <c r="B3877" s="107"/>
      <c r="C3877" s="48"/>
      <c r="D3877" s="48"/>
    </row>
    <row r="3878" spans="1:4" x14ac:dyDescent="0.25">
      <c r="A3878" s="47"/>
      <c r="B3878" s="107"/>
      <c r="C3878" s="48"/>
      <c r="D3878" s="48"/>
    </row>
    <row r="3879" spans="1:4" x14ac:dyDescent="0.25">
      <c r="A3879" s="47"/>
      <c r="B3879" s="107"/>
      <c r="C3879" s="48"/>
      <c r="D3879" s="48"/>
    </row>
    <row r="3880" spans="1:4" x14ac:dyDescent="0.25">
      <c r="A3880" s="47"/>
      <c r="B3880" s="107"/>
      <c r="C3880" s="48"/>
      <c r="D3880" s="48"/>
    </row>
    <row r="3881" spans="1:4" x14ac:dyDescent="0.25">
      <c r="A3881" s="47"/>
      <c r="B3881" s="107"/>
      <c r="C3881" s="48"/>
      <c r="D3881" s="48"/>
    </row>
    <row r="3882" spans="1:4" x14ac:dyDescent="0.25">
      <c r="A3882" s="47"/>
      <c r="B3882" s="107"/>
      <c r="C3882" s="48"/>
      <c r="D3882" s="48"/>
    </row>
    <row r="3883" spans="1:4" x14ac:dyDescent="0.25">
      <c r="A3883" s="47"/>
      <c r="B3883" s="107"/>
      <c r="C3883" s="48"/>
      <c r="D3883" s="48"/>
    </row>
    <row r="3884" spans="1:4" x14ac:dyDescent="0.25">
      <c r="A3884" s="47"/>
      <c r="B3884" s="107"/>
      <c r="C3884" s="48"/>
      <c r="D3884" s="48"/>
    </row>
    <row r="3885" spans="1:4" x14ac:dyDescent="0.25">
      <c r="A3885" s="47"/>
      <c r="B3885" s="107"/>
      <c r="C3885" s="48"/>
      <c r="D3885" s="48"/>
    </row>
    <row r="3886" spans="1:4" x14ac:dyDescent="0.25">
      <c r="A3886" s="47"/>
      <c r="B3886" s="107"/>
      <c r="C3886" s="48"/>
      <c r="D3886" s="48"/>
    </row>
    <row r="3887" spans="1:4" x14ac:dyDescent="0.25">
      <c r="A3887" s="47"/>
      <c r="B3887" s="107"/>
      <c r="C3887" s="48"/>
      <c r="D3887" s="48"/>
    </row>
    <row r="3888" spans="1:4" x14ac:dyDescent="0.25">
      <c r="A3888" s="47"/>
      <c r="B3888" s="107"/>
      <c r="C3888" s="48"/>
      <c r="D3888" s="48"/>
    </row>
    <row r="3889" spans="1:4" x14ac:dyDescent="0.25">
      <c r="A3889" s="47"/>
      <c r="B3889" s="107"/>
      <c r="C3889" s="48"/>
      <c r="D3889" s="48"/>
    </row>
    <row r="3890" spans="1:4" x14ac:dyDescent="0.25">
      <c r="A3890" s="47"/>
      <c r="B3890" s="107"/>
      <c r="C3890" s="48"/>
      <c r="D3890" s="48"/>
    </row>
    <row r="3891" spans="1:4" x14ac:dyDescent="0.25">
      <c r="A3891" s="47"/>
      <c r="B3891" s="107"/>
      <c r="C3891" s="48"/>
      <c r="D3891" s="48"/>
    </row>
    <row r="3892" spans="1:4" x14ac:dyDescent="0.25">
      <c r="A3892" s="47"/>
      <c r="B3892" s="107"/>
      <c r="C3892" s="48"/>
      <c r="D3892" s="48"/>
    </row>
    <row r="3893" spans="1:4" x14ac:dyDescent="0.25">
      <c r="A3893" s="47"/>
      <c r="B3893" s="107"/>
      <c r="C3893" s="48"/>
      <c r="D3893" s="48"/>
    </row>
    <row r="3894" spans="1:4" x14ac:dyDescent="0.25">
      <c r="A3894" s="47"/>
      <c r="B3894" s="107"/>
      <c r="C3894" s="48"/>
      <c r="D3894" s="48"/>
    </row>
    <row r="3895" spans="1:4" x14ac:dyDescent="0.25">
      <c r="A3895" s="47"/>
      <c r="B3895" s="107"/>
      <c r="C3895" s="48"/>
      <c r="D3895" s="48"/>
    </row>
    <row r="3896" spans="1:4" x14ac:dyDescent="0.25">
      <c r="A3896" s="47"/>
      <c r="B3896" s="107"/>
      <c r="C3896" s="48"/>
      <c r="D3896" s="48"/>
    </row>
    <row r="3897" spans="1:4" x14ac:dyDescent="0.25">
      <c r="A3897" s="114"/>
      <c r="B3897" s="107"/>
      <c r="C3897" s="48"/>
      <c r="D3897" s="48"/>
    </row>
    <row r="3898" spans="1:4" x14ac:dyDescent="0.25">
      <c r="A3898" s="114"/>
      <c r="B3898" s="107"/>
      <c r="C3898" s="48"/>
      <c r="D3898" s="48"/>
    </row>
    <row r="3899" spans="1:4" x14ac:dyDescent="0.25">
      <c r="A3899" s="47"/>
      <c r="B3899" s="107"/>
      <c r="C3899" s="48"/>
      <c r="D3899" s="48"/>
    </row>
    <row r="3900" spans="1:4" x14ac:dyDescent="0.25">
      <c r="A3900" s="47"/>
      <c r="B3900" s="107"/>
      <c r="C3900" s="48"/>
      <c r="D3900" s="48"/>
    </row>
    <row r="3901" spans="1:4" x14ac:dyDescent="0.25">
      <c r="A3901" s="47"/>
      <c r="B3901" s="107"/>
      <c r="C3901" s="48"/>
      <c r="D3901" s="48"/>
    </row>
    <row r="3902" spans="1:4" x14ac:dyDescent="0.25">
      <c r="A3902" s="47"/>
      <c r="B3902" s="107"/>
      <c r="C3902" s="48"/>
      <c r="D3902" s="48"/>
    </row>
    <row r="3903" spans="1:4" x14ac:dyDescent="0.25">
      <c r="A3903" s="47"/>
      <c r="B3903" s="107"/>
      <c r="C3903" s="48"/>
      <c r="D3903" s="48"/>
    </row>
    <row r="3904" spans="1:4" x14ac:dyDescent="0.25">
      <c r="A3904" s="47"/>
      <c r="B3904" s="107"/>
      <c r="C3904" s="48"/>
      <c r="D3904" s="48"/>
    </row>
    <row r="3905" spans="1:4" x14ac:dyDescent="0.25">
      <c r="A3905" s="47"/>
      <c r="B3905" s="107"/>
      <c r="C3905" s="48"/>
      <c r="D3905" s="48"/>
    </row>
    <row r="3906" spans="1:4" x14ac:dyDescent="0.25">
      <c r="A3906" s="47"/>
      <c r="B3906" s="107"/>
      <c r="C3906" s="48"/>
      <c r="D3906" s="48"/>
    </row>
    <row r="3907" spans="1:4" x14ac:dyDescent="0.25">
      <c r="A3907" s="47"/>
      <c r="B3907" s="107"/>
      <c r="C3907" s="48"/>
      <c r="D3907" s="48"/>
    </row>
    <row r="3908" spans="1:4" x14ac:dyDescent="0.25">
      <c r="A3908" s="47"/>
      <c r="B3908" s="107"/>
      <c r="C3908" s="48"/>
      <c r="D3908" s="48"/>
    </row>
    <row r="3909" spans="1:4" x14ac:dyDescent="0.25">
      <c r="A3909" s="47"/>
      <c r="B3909" s="107"/>
      <c r="C3909" s="48"/>
      <c r="D3909" s="48"/>
    </row>
    <row r="3910" spans="1:4" x14ac:dyDescent="0.25">
      <c r="A3910" s="47"/>
      <c r="B3910" s="107"/>
      <c r="C3910" s="48"/>
      <c r="D3910" s="48"/>
    </row>
    <row r="3911" spans="1:4" x14ac:dyDescent="0.25">
      <c r="A3911" s="47"/>
      <c r="B3911" s="107"/>
      <c r="C3911" s="48"/>
      <c r="D3911" s="48"/>
    </row>
    <row r="3912" spans="1:4" x14ac:dyDescent="0.25">
      <c r="A3912" s="47"/>
      <c r="B3912" s="107"/>
      <c r="C3912" s="48"/>
      <c r="D3912" s="48"/>
    </row>
    <row r="3913" spans="1:4" x14ac:dyDescent="0.25">
      <c r="A3913" s="47"/>
      <c r="B3913" s="107"/>
      <c r="C3913" s="48"/>
      <c r="D3913" s="48"/>
    </row>
    <row r="3914" spans="1:4" x14ac:dyDescent="0.25">
      <c r="A3914" s="47"/>
      <c r="B3914" s="107"/>
      <c r="C3914" s="48"/>
      <c r="D3914" s="48"/>
    </row>
    <row r="3915" spans="1:4" x14ac:dyDescent="0.25">
      <c r="A3915" s="47"/>
      <c r="B3915" s="107"/>
      <c r="C3915" s="48"/>
      <c r="D3915" s="48"/>
    </row>
    <row r="3916" spans="1:4" x14ac:dyDescent="0.25">
      <c r="A3916" s="47"/>
      <c r="B3916" s="107"/>
      <c r="C3916" s="48"/>
      <c r="D3916" s="48"/>
    </row>
    <row r="3917" spans="1:4" x14ac:dyDescent="0.25">
      <c r="A3917" s="47"/>
      <c r="B3917" s="107"/>
      <c r="C3917" s="48"/>
      <c r="D3917" s="48"/>
    </row>
    <row r="3918" spans="1:4" x14ac:dyDescent="0.25">
      <c r="A3918" s="47"/>
      <c r="B3918" s="107"/>
      <c r="C3918" s="48"/>
      <c r="D3918" s="48"/>
    </row>
    <row r="3919" spans="1:4" x14ac:dyDescent="0.25">
      <c r="A3919" s="47"/>
      <c r="B3919" s="107"/>
      <c r="C3919" s="48"/>
      <c r="D3919" s="48"/>
    </row>
    <row r="3920" spans="1:4" x14ac:dyDescent="0.25">
      <c r="A3920" s="47"/>
      <c r="B3920" s="107"/>
      <c r="C3920" s="48"/>
      <c r="D3920" s="48"/>
    </row>
    <row r="3921" spans="1:4" x14ac:dyDescent="0.25">
      <c r="A3921" s="47"/>
      <c r="B3921" s="107"/>
      <c r="C3921" s="48"/>
      <c r="D3921" s="48"/>
    </row>
    <row r="3922" spans="1:4" x14ac:dyDescent="0.25">
      <c r="A3922" s="47"/>
      <c r="B3922" s="107"/>
      <c r="C3922" s="48"/>
      <c r="D3922" s="48"/>
    </row>
    <row r="3923" spans="1:4" x14ac:dyDescent="0.25">
      <c r="A3923" s="47"/>
      <c r="B3923" s="107"/>
      <c r="C3923" s="48"/>
      <c r="D3923" s="48"/>
    </row>
    <row r="3924" spans="1:4" x14ac:dyDescent="0.25">
      <c r="A3924" s="47"/>
      <c r="B3924" s="117"/>
      <c r="C3924" s="48"/>
      <c r="D3924" s="48"/>
    </row>
    <row r="3925" spans="1:4" x14ac:dyDescent="0.25">
      <c r="A3925" s="47"/>
      <c r="B3925" s="107"/>
      <c r="C3925" s="48"/>
      <c r="D3925" s="48"/>
    </row>
    <row r="3926" spans="1:4" x14ac:dyDescent="0.25">
      <c r="A3926" s="47"/>
      <c r="B3926" s="107"/>
      <c r="C3926" s="48"/>
      <c r="D3926" s="48"/>
    </row>
    <row r="3927" spans="1:4" x14ac:dyDescent="0.25">
      <c r="A3927" s="47"/>
      <c r="B3927" s="107"/>
      <c r="C3927" s="48"/>
      <c r="D3927" s="48"/>
    </row>
    <row r="3928" spans="1:4" x14ac:dyDescent="0.25">
      <c r="A3928" s="47"/>
      <c r="B3928" s="107"/>
      <c r="C3928" s="48"/>
      <c r="D3928" s="48"/>
    </row>
    <row r="3929" spans="1:4" x14ac:dyDescent="0.25">
      <c r="A3929" s="47"/>
      <c r="B3929" s="107"/>
      <c r="C3929" s="48"/>
      <c r="D3929" s="48"/>
    </row>
    <row r="3930" spans="1:4" x14ac:dyDescent="0.25">
      <c r="A3930" s="47"/>
      <c r="B3930" s="107"/>
      <c r="C3930" s="48"/>
      <c r="D3930" s="48"/>
    </row>
    <row r="3931" spans="1:4" x14ac:dyDescent="0.25">
      <c r="A3931" s="47"/>
      <c r="B3931" s="107"/>
      <c r="C3931" s="48"/>
      <c r="D3931" s="48"/>
    </row>
    <row r="3932" spans="1:4" x14ac:dyDescent="0.25">
      <c r="A3932" s="47"/>
      <c r="B3932" s="107"/>
      <c r="C3932" s="48"/>
      <c r="D3932" s="48"/>
    </row>
    <row r="3933" spans="1:4" x14ac:dyDescent="0.25">
      <c r="A3933" s="47"/>
      <c r="B3933" s="107"/>
      <c r="C3933" s="48"/>
      <c r="D3933" s="48"/>
    </row>
    <row r="3934" spans="1:4" x14ac:dyDescent="0.25">
      <c r="A3934" s="47"/>
      <c r="B3934" s="107"/>
      <c r="C3934" s="48"/>
      <c r="D3934" s="48"/>
    </row>
    <row r="3935" spans="1:4" x14ac:dyDescent="0.25">
      <c r="A3935" s="47"/>
      <c r="B3935" s="107"/>
      <c r="C3935" s="48"/>
      <c r="D3935" s="48"/>
    </row>
    <row r="3936" spans="1:4" x14ac:dyDescent="0.25">
      <c r="A3936" s="47"/>
      <c r="B3936" s="107"/>
      <c r="C3936" s="48"/>
      <c r="D3936" s="48"/>
    </row>
    <row r="3937" spans="1:4" x14ac:dyDescent="0.25">
      <c r="A3937" s="47"/>
      <c r="B3937" s="107"/>
      <c r="C3937" s="48"/>
      <c r="D3937" s="48"/>
    </row>
    <row r="3938" spans="1:4" x14ac:dyDescent="0.25">
      <c r="A3938" s="47"/>
      <c r="B3938" s="107"/>
      <c r="C3938" s="48"/>
      <c r="D3938" s="48"/>
    </row>
    <row r="3939" spans="1:4" x14ac:dyDescent="0.25">
      <c r="A3939" s="47"/>
      <c r="B3939" s="107"/>
      <c r="C3939" s="48"/>
      <c r="D3939" s="48"/>
    </row>
    <row r="3940" spans="1:4" x14ac:dyDescent="0.25">
      <c r="A3940" s="47"/>
      <c r="B3940" s="107"/>
      <c r="C3940" s="48"/>
      <c r="D3940" s="48"/>
    </row>
    <row r="3941" spans="1:4" x14ac:dyDescent="0.25">
      <c r="A3941" s="47"/>
      <c r="B3941" s="107"/>
      <c r="C3941" s="48"/>
      <c r="D3941" s="48"/>
    </row>
    <row r="3942" spans="1:4" x14ac:dyDescent="0.25">
      <c r="A3942" s="47"/>
      <c r="B3942" s="107"/>
      <c r="C3942" s="48"/>
      <c r="D3942" s="48"/>
    </row>
    <row r="3943" spans="1:4" x14ac:dyDescent="0.25">
      <c r="A3943" s="47"/>
      <c r="B3943" s="107"/>
      <c r="C3943" s="48"/>
      <c r="D3943" s="48"/>
    </row>
    <row r="3944" spans="1:4" x14ac:dyDescent="0.25">
      <c r="A3944" s="47"/>
      <c r="B3944" s="107"/>
      <c r="C3944" s="48"/>
      <c r="D3944" s="48"/>
    </row>
    <row r="3945" spans="1:4" x14ac:dyDescent="0.25">
      <c r="A3945" s="47"/>
      <c r="B3945" s="107"/>
      <c r="C3945" s="48"/>
      <c r="D3945" s="48"/>
    </row>
    <row r="3946" spans="1:4" x14ac:dyDescent="0.25">
      <c r="A3946" s="47"/>
      <c r="B3946" s="107"/>
      <c r="C3946" s="48"/>
      <c r="D3946" s="48"/>
    </row>
    <row r="3947" spans="1:4" x14ac:dyDescent="0.25">
      <c r="A3947" s="47"/>
      <c r="B3947" s="107"/>
      <c r="C3947" s="48"/>
      <c r="D3947" s="48"/>
    </row>
    <row r="3948" spans="1:4" x14ac:dyDescent="0.25">
      <c r="A3948" s="47"/>
      <c r="B3948" s="106"/>
    </row>
    <row r="3949" spans="1:4" x14ac:dyDescent="0.25">
      <c r="A3949" s="47"/>
      <c r="B3949" s="107"/>
      <c r="C3949" s="48"/>
      <c r="D3949" s="48"/>
    </row>
    <row r="3950" spans="1:4" x14ac:dyDescent="0.25">
      <c r="A3950" s="47"/>
      <c r="B3950" s="107"/>
      <c r="C3950" s="48"/>
      <c r="D3950" s="48"/>
    </row>
    <row r="3951" spans="1:4" x14ac:dyDescent="0.25">
      <c r="A3951" s="47"/>
      <c r="B3951" s="107"/>
      <c r="C3951" s="48"/>
      <c r="D3951" s="48"/>
    </row>
    <row r="3952" spans="1:4" x14ac:dyDescent="0.25">
      <c r="A3952" s="47"/>
      <c r="B3952" s="107"/>
      <c r="C3952" s="48"/>
      <c r="D3952" s="48"/>
    </row>
    <row r="3953" spans="1:4" x14ac:dyDescent="0.25">
      <c r="A3953" s="47"/>
      <c r="B3953" s="107"/>
      <c r="C3953" s="48"/>
      <c r="D3953" s="48"/>
    </row>
    <row r="3954" spans="1:4" x14ac:dyDescent="0.25">
      <c r="A3954" s="47"/>
      <c r="B3954" s="107"/>
      <c r="C3954" s="48"/>
      <c r="D3954" s="48"/>
    </row>
    <row r="3955" spans="1:4" x14ac:dyDescent="0.25">
      <c r="A3955" s="47"/>
      <c r="B3955" s="107"/>
      <c r="C3955" s="48"/>
      <c r="D3955" s="48"/>
    </row>
    <row r="3956" spans="1:4" x14ac:dyDescent="0.25">
      <c r="A3956" s="47"/>
      <c r="B3956" s="107"/>
      <c r="C3956" s="48"/>
      <c r="D3956" s="48"/>
    </row>
    <row r="3957" spans="1:4" x14ac:dyDescent="0.25">
      <c r="A3957" s="47"/>
      <c r="B3957" s="107"/>
      <c r="C3957" s="48"/>
      <c r="D3957" s="48"/>
    </row>
    <row r="3958" spans="1:4" x14ac:dyDescent="0.25">
      <c r="A3958" s="47"/>
      <c r="B3958" s="107"/>
      <c r="C3958" s="48"/>
      <c r="D3958" s="48"/>
    </row>
    <row r="3959" spans="1:4" x14ac:dyDescent="0.25">
      <c r="A3959" s="47"/>
      <c r="B3959" s="107"/>
      <c r="C3959" s="48"/>
      <c r="D3959" s="48"/>
    </row>
    <row r="3960" spans="1:4" x14ac:dyDescent="0.25">
      <c r="A3960" s="47"/>
      <c r="B3960" s="107"/>
      <c r="C3960" s="48"/>
      <c r="D3960" s="48"/>
    </row>
    <row r="3961" spans="1:4" x14ac:dyDescent="0.25">
      <c r="A3961" s="47"/>
      <c r="B3961" s="107"/>
      <c r="C3961" s="48"/>
      <c r="D3961" s="48"/>
    </row>
    <row r="3962" spans="1:4" x14ac:dyDescent="0.25">
      <c r="A3962" s="47"/>
      <c r="B3962" s="107"/>
      <c r="C3962" s="48"/>
      <c r="D3962" s="48"/>
    </row>
    <row r="3963" spans="1:4" x14ac:dyDescent="0.25">
      <c r="A3963" s="47"/>
      <c r="B3963" s="107"/>
      <c r="C3963" s="48"/>
      <c r="D3963" s="48"/>
    </row>
    <row r="3964" spans="1:4" x14ac:dyDescent="0.25">
      <c r="A3964" s="47"/>
      <c r="B3964" s="107"/>
      <c r="C3964" s="48"/>
      <c r="D3964" s="48"/>
    </row>
    <row r="3965" spans="1:4" x14ac:dyDescent="0.25">
      <c r="A3965" s="47"/>
      <c r="B3965" s="107"/>
      <c r="C3965" s="48"/>
      <c r="D3965" s="48"/>
    </row>
    <row r="3966" spans="1:4" x14ac:dyDescent="0.25">
      <c r="A3966" s="47"/>
      <c r="B3966" s="107"/>
      <c r="C3966" s="48"/>
      <c r="D3966" s="48"/>
    </row>
    <row r="3967" spans="1:4" x14ac:dyDescent="0.25">
      <c r="A3967" s="47"/>
      <c r="B3967" s="107"/>
      <c r="C3967" s="48"/>
      <c r="D3967" s="48"/>
    </row>
    <row r="3968" spans="1:4" x14ac:dyDescent="0.25">
      <c r="A3968" s="47"/>
      <c r="B3968" s="107"/>
      <c r="C3968" s="48"/>
      <c r="D3968" s="48"/>
    </row>
    <row r="3969" spans="1:4" x14ac:dyDescent="0.25">
      <c r="A3969" s="47"/>
      <c r="B3969" s="107"/>
      <c r="C3969" s="48"/>
      <c r="D3969" s="48"/>
    </row>
    <row r="3970" spans="1:4" x14ac:dyDescent="0.25">
      <c r="A3970" s="47"/>
      <c r="B3970" s="107"/>
      <c r="C3970" s="48"/>
      <c r="D3970" s="48"/>
    </row>
    <row r="3971" spans="1:4" x14ac:dyDescent="0.25">
      <c r="A3971" s="47"/>
      <c r="B3971" s="107"/>
      <c r="C3971" s="48"/>
      <c r="D3971" s="48"/>
    </row>
    <row r="3972" spans="1:4" x14ac:dyDescent="0.25">
      <c r="A3972" s="47"/>
      <c r="B3972" s="107"/>
      <c r="C3972" s="48"/>
      <c r="D3972" s="48"/>
    </row>
    <row r="3973" spans="1:4" x14ac:dyDescent="0.25">
      <c r="A3973" s="47"/>
      <c r="B3973" s="107"/>
      <c r="C3973" s="48"/>
      <c r="D3973" s="48"/>
    </row>
    <row r="3974" spans="1:4" x14ac:dyDescent="0.25">
      <c r="A3974" s="47"/>
      <c r="B3974" s="107"/>
      <c r="C3974" s="48"/>
      <c r="D3974" s="48"/>
    </row>
    <row r="3975" spans="1:4" x14ac:dyDescent="0.25">
      <c r="A3975" s="47"/>
      <c r="B3975" s="107"/>
      <c r="C3975" s="48"/>
      <c r="D3975" s="48"/>
    </row>
    <row r="3976" spans="1:4" x14ac:dyDescent="0.25">
      <c r="A3976" s="47"/>
      <c r="B3976" s="107"/>
      <c r="C3976" s="48"/>
      <c r="D3976" s="48"/>
    </row>
    <row r="3977" spans="1:4" x14ac:dyDescent="0.25">
      <c r="A3977" s="47"/>
      <c r="B3977" s="107"/>
      <c r="C3977" s="48"/>
      <c r="D3977" s="48"/>
    </row>
    <row r="3978" spans="1:4" x14ac:dyDescent="0.25">
      <c r="A3978" s="47"/>
      <c r="B3978" s="107"/>
      <c r="C3978" s="48"/>
      <c r="D3978" s="48"/>
    </row>
    <row r="3979" spans="1:4" x14ac:dyDescent="0.25">
      <c r="A3979" s="47"/>
      <c r="B3979" s="107"/>
      <c r="C3979" s="48"/>
      <c r="D3979" s="48"/>
    </row>
    <row r="3980" spans="1:4" x14ac:dyDescent="0.25">
      <c r="A3980" s="47"/>
      <c r="B3980" s="107"/>
      <c r="C3980" s="48"/>
      <c r="D3980" s="48"/>
    </row>
    <row r="3981" spans="1:4" x14ac:dyDescent="0.25">
      <c r="A3981" s="47"/>
      <c r="B3981" s="107"/>
      <c r="C3981" s="48"/>
      <c r="D3981" s="48"/>
    </row>
    <row r="3982" spans="1:4" x14ac:dyDescent="0.25">
      <c r="A3982" s="47"/>
      <c r="B3982" s="107"/>
      <c r="C3982" s="48"/>
      <c r="D3982" s="48"/>
    </row>
    <row r="3983" spans="1:4" x14ac:dyDescent="0.25">
      <c r="A3983" s="47"/>
      <c r="B3983" s="107"/>
      <c r="C3983" s="48"/>
      <c r="D3983" s="48"/>
    </row>
    <row r="3984" spans="1:4" x14ac:dyDescent="0.25">
      <c r="A3984" s="47"/>
      <c r="B3984" s="107"/>
      <c r="C3984" s="48"/>
      <c r="D3984" s="48"/>
    </row>
    <row r="3985" spans="1:4" x14ac:dyDescent="0.25">
      <c r="A3985" s="47"/>
      <c r="B3985" s="107"/>
      <c r="C3985" s="48"/>
      <c r="D3985" s="48"/>
    </row>
    <row r="3986" spans="1:4" x14ac:dyDescent="0.25">
      <c r="A3986" s="47"/>
      <c r="B3986" s="107"/>
      <c r="C3986" s="48"/>
      <c r="D3986" s="48"/>
    </row>
    <row r="3987" spans="1:4" x14ac:dyDescent="0.25">
      <c r="A3987" s="47"/>
      <c r="B3987" s="107"/>
      <c r="C3987" s="48"/>
      <c r="D3987" s="48"/>
    </row>
    <row r="3988" spans="1:4" x14ac:dyDescent="0.25">
      <c r="A3988" s="47"/>
      <c r="B3988" s="107"/>
      <c r="C3988" s="48"/>
      <c r="D3988" s="48"/>
    </row>
    <row r="3989" spans="1:4" x14ac:dyDescent="0.25">
      <c r="A3989" s="47"/>
      <c r="B3989" s="107"/>
      <c r="C3989" s="48"/>
      <c r="D3989" s="48"/>
    </row>
    <row r="3990" spans="1:4" x14ac:dyDescent="0.25">
      <c r="A3990" s="47"/>
      <c r="B3990" s="107"/>
      <c r="C3990" s="48"/>
      <c r="D3990" s="48"/>
    </row>
    <row r="3991" spans="1:4" x14ac:dyDescent="0.25">
      <c r="A3991" s="47"/>
      <c r="B3991" s="107"/>
      <c r="C3991" s="48"/>
      <c r="D3991" s="48"/>
    </row>
    <row r="3992" spans="1:4" x14ac:dyDescent="0.25">
      <c r="A3992" s="47"/>
      <c r="B3992" s="107"/>
      <c r="C3992" s="48"/>
      <c r="D3992" s="48"/>
    </row>
    <row r="3993" spans="1:4" x14ac:dyDescent="0.25">
      <c r="A3993" s="47"/>
      <c r="B3993" s="107"/>
      <c r="C3993" s="48"/>
      <c r="D3993" s="48"/>
    </row>
    <row r="3994" spans="1:4" x14ac:dyDescent="0.25">
      <c r="A3994" s="47"/>
      <c r="B3994" s="107"/>
      <c r="C3994" s="48"/>
      <c r="D3994" s="48"/>
    </row>
    <row r="3995" spans="1:4" x14ac:dyDescent="0.25">
      <c r="A3995" s="47"/>
      <c r="B3995" s="107"/>
      <c r="C3995" s="48"/>
      <c r="D3995" s="48"/>
    </row>
    <row r="3996" spans="1:4" x14ac:dyDescent="0.25">
      <c r="A3996" s="47"/>
      <c r="B3996" s="107"/>
      <c r="C3996" s="48"/>
      <c r="D3996" s="48"/>
    </row>
    <row r="3997" spans="1:4" x14ac:dyDescent="0.25">
      <c r="A3997" s="47"/>
      <c r="B3997" s="107"/>
      <c r="C3997" s="48"/>
      <c r="D3997" s="48"/>
    </row>
    <row r="3998" spans="1:4" x14ac:dyDescent="0.25">
      <c r="A3998" s="47"/>
      <c r="B3998" s="107"/>
      <c r="C3998" s="48"/>
      <c r="D3998" s="48"/>
    </row>
    <row r="3999" spans="1:4" x14ac:dyDescent="0.25">
      <c r="A3999" s="47"/>
      <c r="B3999" s="107"/>
      <c r="C3999" s="48"/>
      <c r="D3999" s="48"/>
    </row>
    <row r="4000" spans="1:4" x14ac:dyDescent="0.25">
      <c r="A4000" s="47"/>
      <c r="B4000" s="107"/>
      <c r="C4000" s="48"/>
      <c r="D4000" s="48"/>
    </row>
    <row r="4001" spans="1:4" x14ac:dyDescent="0.25">
      <c r="A4001" s="47"/>
      <c r="B4001" s="107"/>
      <c r="C4001" s="48"/>
      <c r="D4001" s="48"/>
    </row>
    <row r="4002" spans="1:4" x14ac:dyDescent="0.25">
      <c r="A4002" s="47"/>
      <c r="B4002" s="107"/>
      <c r="C4002" s="48"/>
      <c r="D4002" s="48"/>
    </row>
    <row r="4003" spans="1:4" x14ac:dyDescent="0.25">
      <c r="A4003" s="47"/>
      <c r="B4003" s="107"/>
      <c r="C4003" s="48"/>
      <c r="D4003" s="48"/>
    </row>
    <row r="4004" spans="1:4" x14ac:dyDescent="0.25">
      <c r="A4004" s="47"/>
      <c r="B4004" s="107"/>
      <c r="C4004" s="48"/>
      <c r="D4004" s="48"/>
    </row>
    <row r="4005" spans="1:4" x14ac:dyDescent="0.25">
      <c r="A4005" s="47"/>
      <c r="B4005" s="107"/>
      <c r="C4005" s="48"/>
      <c r="D4005" s="48"/>
    </row>
    <row r="4006" spans="1:4" x14ac:dyDescent="0.25">
      <c r="A4006" s="47"/>
      <c r="B4006" s="107"/>
      <c r="C4006" s="48"/>
      <c r="D4006" s="48"/>
    </row>
    <row r="4007" spans="1:4" x14ac:dyDescent="0.25">
      <c r="A4007" s="47"/>
      <c r="B4007" s="107"/>
      <c r="C4007" s="48"/>
      <c r="D4007" s="48"/>
    </row>
    <row r="4008" spans="1:4" x14ac:dyDescent="0.25">
      <c r="A4008" s="47"/>
      <c r="B4008" s="107"/>
      <c r="C4008" s="48"/>
      <c r="D4008" s="48"/>
    </row>
    <row r="4009" spans="1:4" x14ac:dyDescent="0.25">
      <c r="A4009" s="47"/>
      <c r="B4009" s="107"/>
      <c r="C4009" s="48"/>
      <c r="D4009" s="48"/>
    </row>
    <row r="4010" spans="1:4" x14ac:dyDescent="0.25">
      <c r="A4010" s="47"/>
      <c r="B4010" s="107"/>
      <c r="C4010" s="48"/>
      <c r="D4010" s="48"/>
    </row>
    <row r="4011" spans="1:4" x14ac:dyDescent="0.25">
      <c r="A4011" s="47"/>
      <c r="B4011" s="107"/>
      <c r="C4011" s="48"/>
      <c r="D4011" s="48"/>
    </row>
    <row r="4012" spans="1:4" x14ac:dyDescent="0.25">
      <c r="A4012" s="47"/>
      <c r="B4012" s="107"/>
      <c r="C4012" s="48"/>
      <c r="D4012" s="48"/>
    </row>
    <row r="4013" spans="1:4" x14ac:dyDescent="0.25">
      <c r="A4013" s="47"/>
      <c r="B4013" s="107"/>
      <c r="C4013" s="48"/>
      <c r="D4013" s="48"/>
    </row>
    <row r="4014" spans="1:4" x14ac:dyDescent="0.25">
      <c r="A4014" s="47"/>
      <c r="B4014" s="107"/>
      <c r="C4014" s="48"/>
      <c r="D4014" s="48"/>
    </row>
    <row r="4015" spans="1:4" x14ac:dyDescent="0.25">
      <c r="A4015" s="47"/>
      <c r="B4015" s="107"/>
      <c r="C4015" s="48"/>
      <c r="D4015" s="48"/>
    </row>
    <row r="4016" spans="1:4" x14ac:dyDescent="0.25">
      <c r="A4016" s="47"/>
      <c r="B4016" s="107"/>
      <c r="C4016" s="48"/>
      <c r="D4016" s="48"/>
    </row>
    <row r="4017" spans="1:4" x14ac:dyDescent="0.25">
      <c r="A4017" s="47"/>
      <c r="B4017" s="107"/>
      <c r="C4017" s="48"/>
      <c r="D4017" s="48"/>
    </row>
    <row r="4018" spans="1:4" x14ac:dyDescent="0.25">
      <c r="A4018" s="47"/>
      <c r="B4018" s="107"/>
      <c r="C4018" s="48"/>
      <c r="D4018" s="48"/>
    </row>
    <row r="4019" spans="1:4" x14ac:dyDescent="0.25">
      <c r="A4019" s="47"/>
      <c r="B4019" s="107"/>
      <c r="C4019" s="48"/>
      <c r="D4019" s="48"/>
    </row>
    <row r="4020" spans="1:4" x14ac:dyDescent="0.25">
      <c r="A4020" s="47"/>
      <c r="B4020" s="107"/>
      <c r="C4020" s="48"/>
      <c r="D4020" s="48"/>
    </row>
    <row r="4021" spans="1:4" x14ac:dyDescent="0.25">
      <c r="A4021" s="47"/>
      <c r="B4021" s="107"/>
      <c r="C4021" s="48"/>
      <c r="D4021" s="48"/>
    </row>
    <row r="4022" spans="1:4" x14ac:dyDescent="0.25">
      <c r="A4022" s="47"/>
      <c r="B4022" s="107"/>
      <c r="C4022" s="48"/>
      <c r="D4022" s="48"/>
    </row>
    <row r="4023" spans="1:4" x14ac:dyDescent="0.25">
      <c r="A4023" s="47"/>
      <c r="B4023" s="107"/>
      <c r="C4023" s="48"/>
      <c r="D4023" s="48"/>
    </row>
    <row r="4024" spans="1:4" x14ac:dyDescent="0.25">
      <c r="A4024" s="47"/>
      <c r="B4024" s="107"/>
      <c r="C4024" s="48"/>
      <c r="D4024" s="48"/>
    </row>
    <row r="4025" spans="1:4" x14ac:dyDescent="0.25">
      <c r="A4025" s="47"/>
      <c r="B4025" s="107"/>
      <c r="C4025" s="48"/>
      <c r="D4025" s="48"/>
    </row>
    <row r="4026" spans="1:4" x14ac:dyDescent="0.25">
      <c r="A4026" s="47"/>
      <c r="B4026" s="107"/>
      <c r="C4026" s="48"/>
      <c r="D4026" s="48"/>
    </row>
    <row r="4027" spans="1:4" x14ac:dyDescent="0.25">
      <c r="A4027" s="47"/>
      <c r="B4027" s="107"/>
      <c r="C4027" s="48"/>
      <c r="D4027" s="48"/>
    </row>
    <row r="4028" spans="1:4" x14ac:dyDescent="0.25">
      <c r="A4028" s="47"/>
      <c r="B4028" s="107"/>
      <c r="C4028" s="48"/>
      <c r="D4028" s="48"/>
    </row>
    <row r="4029" spans="1:4" x14ac:dyDescent="0.25">
      <c r="A4029" s="47"/>
      <c r="B4029" s="107"/>
      <c r="C4029" s="48"/>
      <c r="D4029" s="48"/>
    </row>
    <row r="4030" spans="1:4" x14ac:dyDescent="0.25">
      <c r="A4030" s="47"/>
      <c r="B4030" s="107"/>
      <c r="C4030" s="48"/>
      <c r="D4030" s="48"/>
    </row>
    <row r="4031" spans="1:4" x14ac:dyDescent="0.25">
      <c r="A4031" s="47"/>
      <c r="B4031" s="107"/>
      <c r="C4031" s="48"/>
      <c r="D4031" s="48"/>
    </row>
    <row r="4032" spans="1:4" x14ac:dyDescent="0.25">
      <c r="A4032" s="47"/>
      <c r="B4032" s="107"/>
      <c r="C4032" s="48"/>
      <c r="D4032" s="48"/>
    </row>
    <row r="4033" spans="1:4" x14ac:dyDescent="0.25">
      <c r="A4033" s="47"/>
      <c r="B4033" s="107"/>
      <c r="C4033" s="48"/>
      <c r="D4033" s="48"/>
    </row>
    <row r="4034" spans="1:4" x14ac:dyDescent="0.25">
      <c r="A4034" s="47"/>
      <c r="B4034" s="107"/>
      <c r="C4034" s="48"/>
      <c r="D4034" s="48"/>
    </row>
    <row r="4035" spans="1:4" x14ac:dyDescent="0.25">
      <c r="A4035" s="47"/>
      <c r="B4035" s="107"/>
      <c r="C4035" s="48"/>
      <c r="D4035" s="48"/>
    </row>
    <row r="4036" spans="1:4" x14ac:dyDescent="0.25">
      <c r="A4036" s="47"/>
      <c r="B4036" s="107"/>
      <c r="C4036" s="48"/>
      <c r="D4036" s="48"/>
    </row>
    <row r="4037" spans="1:4" x14ac:dyDescent="0.25">
      <c r="A4037" s="47"/>
      <c r="B4037" s="107"/>
      <c r="C4037" s="48"/>
      <c r="D4037" s="48"/>
    </row>
    <row r="4038" spans="1:4" x14ac:dyDescent="0.25">
      <c r="A4038" s="47"/>
      <c r="B4038" s="107"/>
      <c r="C4038" s="48"/>
      <c r="D4038" s="48"/>
    </row>
    <row r="4039" spans="1:4" x14ac:dyDescent="0.25">
      <c r="A4039" s="47"/>
      <c r="B4039" s="107"/>
      <c r="C4039" s="48"/>
      <c r="D4039" s="48"/>
    </row>
    <row r="4040" spans="1:4" x14ac:dyDescent="0.25">
      <c r="A4040" s="47"/>
      <c r="B4040" s="107"/>
      <c r="C4040" s="48"/>
      <c r="D4040" s="48"/>
    </row>
    <row r="4041" spans="1:4" x14ac:dyDescent="0.25">
      <c r="A4041" s="47"/>
      <c r="B4041" s="107"/>
      <c r="C4041" s="48"/>
      <c r="D4041" s="48"/>
    </row>
    <row r="4042" spans="1:4" x14ac:dyDescent="0.25">
      <c r="A4042" s="47"/>
      <c r="B4042" s="107"/>
      <c r="C4042" s="48"/>
      <c r="D4042" s="48"/>
    </row>
    <row r="4043" spans="1:4" x14ac:dyDescent="0.25">
      <c r="A4043" s="47"/>
      <c r="B4043" s="107"/>
      <c r="C4043" s="48"/>
      <c r="D4043" s="48"/>
    </row>
    <row r="4044" spans="1:4" x14ac:dyDescent="0.25">
      <c r="A4044" s="47"/>
      <c r="B4044" s="107"/>
      <c r="C4044" s="48"/>
      <c r="D4044" s="48"/>
    </row>
    <row r="4045" spans="1:4" x14ac:dyDescent="0.25">
      <c r="A4045" s="47"/>
      <c r="B4045" s="107"/>
      <c r="C4045" s="48"/>
      <c r="D4045" s="48"/>
    </row>
    <row r="4046" spans="1:4" x14ac:dyDescent="0.25">
      <c r="A4046" s="47"/>
      <c r="B4046" s="107"/>
      <c r="C4046" s="48"/>
      <c r="D4046" s="48"/>
    </row>
    <row r="4047" spans="1:4" x14ac:dyDescent="0.25">
      <c r="A4047" s="47"/>
      <c r="B4047" s="107"/>
      <c r="C4047" s="48"/>
      <c r="D4047" s="48"/>
    </row>
    <row r="4048" spans="1:4" x14ac:dyDescent="0.25">
      <c r="A4048" s="47"/>
      <c r="B4048" s="107"/>
      <c r="C4048" s="48"/>
      <c r="D4048" s="48"/>
    </row>
    <row r="4049" spans="1:4" x14ac:dyDescent="0.25">
      <c r="A4049" s="47"/>
      <c r="B4049" s="107"/>
      <c r="C4049" s="48"/>
      <c r="D4049" s="48"/>
    </row>
    <row r="4050" spans="1:4" x14ac:dyDescent="0.25">
      <c r="A4050" s="47"/>
      <c r="B4050" s="107"/>
      <c r="C4050" s="48"/>
      <c r="D4050" s="48"/>
    </row>
    <row r="4051" spans="1:4" x14ac:dyDescent="0.25">
      <c r="A4051" s="47"/>
      <c r="B4051" s="107"/>
      <c r="C4051" s="48"/>
      <c r="D4051" s="48"/>
    </row>
    <row r="4052" spans="1:4" x14ac:dyDescent="0.25">
      <c r="A4052" s="47"/>
      <c r="B4052" s="107"/>
      <c r="C4052" s="48"/>
      <c r="D4052" s="48"/>
    </row>
    <row r="4053" spans="1:4" x14ac:dyDescent="0.25">
      <c r="A4053" s="47"/>
      <c r="B4053" s="107"/>
      <c r="C4053" s="48"/>
      <c r="D4053" s="48"/>
    </row>
    <row r="4054" spans="1:4" x14ac:dyDescent="0.25">
      <c r="A4054" s="47"/>
      <c r="B4054" s="107"/>
      <c r="C4054" s="48"/>
      <c r="D4054" s="48"/>
    </row>
    <row r="4055" spans="1:4" x14ac:dyDescent="0.25">
      <c r="A4055" s="47"/>
      <c r="B4055" s="107"/>
      <c r="C4055" s="48"/>
      <c r="D4055" s="48"/>
    </row>
    <row r="4056" spans="1:4" x14ac:dyDescent="0.25">
      <c r="A4056" s="47"/>
      <c r="B4056" s="107"/>
      <c r="C4056" s="48"/>
      <c r="D4056" s="48"/>
    </row>
    <row r="4057" spans="1:4" x14ac:dyDescent="0.25">
      <c r="A4057" s="47"/>
      <c r="B4057" s="107"/>
      <c r="C4057" s="48"/>
      <c r="D4057" s="48"/>
    </row>
    <row r="4058" spans="1:4" x14ac:dyDescent="0.25">
      <c r="A4058" s="47"/>
      <c r="B4058" s="107"/>
      <c r="C4058" s="48"/>
      <c r="D4058" s="48"/>
    </row>
    <row r="4059" spans="1:4" x14ac:dyDescent="0.25">
      <c r="A4059" s="47"/>
      <c r="B4059" s="107"/>
      <c r="C4059" s="48"/>
      <c r="D4059" s="48"/>
    </row>
    <row r="4060" spans="1:4" x14ac:dyDescent="0.25">
      <c r="A4060" s="47"/>
      <c r="B4060" s="107"/>
      <c r="C4060" s="48"/>
      <c r="D4060" s="48"/>
    </row>
    <row r="4061" spans="1:4" x14ac:dyDescent="0.25">
      <c r="A4061" s="47"/>
      <c r="B4061" s="107"/>
      <c r="C4061" s="48"/>
      <c r="D4061" s="48"/>
    </row>
    <row r="4062" spans="1:4" x14ac:dyDescent="0.25">
      <c r="A4062" s="47"/>
      <c r="B4062" s="107"/>
      <c r="C4062" s="48"/>
      <c r="D4062" s="48"/>
    </row>
    <row r="4063" spans="1:4" x14ac:dyDescent="0.25">
      <c r="A4063" s="47"/>
      <c r="B4063" s="107"/>
      <c r="C4063" s="48"/>
      <c r="D4063" s="48"/>
    </row>
    <row r="4064" spans="1:4" x14ac:dyDescent="0.25">
      <c r="A4064" s="47"/>
      <c r="B4064" s="107"/>
      <c r="C4064" s="48"/>
      <c r="D4064" s="48"/>
    </row>
    <row r="4065" spans="1:4" x14ac:dyDescent="0.25">
      <c r="A4065" s="47"/>
      <c r="B4065" s="107"/>
      <c r="C4065" s="48"/>
      <c r="D4065" s="48"/>
    </row>
    <row r="4066" spans="1:4" x14ac:dyDescent="0.25">
      <c r="A4066" s="47"/>
      <c r="B4066" s="107"/>
      <c r="C4066" s="48"/>
      <c r="D4066" s="48"/>
    </row>
    <row r="4067" spans="1:4" x14ac:dyDescent="0.25">
      <c r="A4067" s="47"/>
      <c r="B4067" s="107"/>
      <c r="C4067" s="48"/>
      <c r="D4067" s="48"/>
    </row>
    <row r="4068" spans="1:4" x14ac:dyDescent="0.25">
      <c r="A4068" s="47"/>
      <c r="B4068" s="107"/>
      <c r="C4068" s="48"/>
      <c r="D4068" s="48"/>
    </row>
    <row r="4069" spans="1:4" x14ac:dyDescent="0.25">
      <c r="A4069" s="47"/>
      <c r="B4069" s="107"/>
      <c r="C4069" s="48"/>
      <c r="D4069" s="48"/>
    </row>
    <row r="4070" spans="1:4" x14ac:dyDescent="0.25">
      <c r="A4070" s="47"/>
      <c r="B4070" s="107"/>
      <c r="C4070" s="48"/>
      <c r="D4070" s="48"/>
    </row>
    <row r="4071" spans="1:4" x14ac:dyDescent="0.25">
      <c r="A4071" s="47"/>
      <c r="B4071" s="107"/>
      <c r="C4071" s="48"/>
      <c r="D4071" s="48"/>
    </row>
    <row r="4072" spans="1:4" x14ac:dyDescent="0.25">
      <c r="A4072" s="47"/>
      <c r="B4072" s="107"/>
      <c r="C4072" s="48"/>
      <c r="D4072" s="48"/>
    </row>
    <row r="4073" spans="1:4" x14ac:dyDescent="0.25">
      <c r="A4073" s="47"/>
      <c r="B4073" s="107"/>
      <c r="C4073" s="48"/>
      <c r="D4073" s="48"/>
    </row>
    <row r="4074" spans="1:4" x14ac:dyDescent="0.25">
      <c r="A4074" s="47"/>
      <c r="B4074" s="107"/>
      <c r="C4074" s="48"/>
      <c r="D4074" s="48"/>
    </row>
    <row r="4075" spans="1:4" x14ac:dyDescent="0.25">
      <c r="A4075" s="47"/>
      <c r="B4075" s="107"/>
      <c r="C4075" s="48"/>
      <c r="D4075" s="48"/>
    </row>
    <row r="4076" spans="1:4" x14ac:dyDescent="0.25">
      <c r="A4076" s="47"/>
      <c r="B4076" s="107"/>
      <c r="C4076" s="48"/>
      <c r="D4076" s="48"/>
    </row>
    <row r="4077" spans="1:4" x14ac:dyDescent="0.25">
      <c r="A4077" s="47"/>
      <c r="B4077" s="107"/>
      <c r="C4077" s="48"/>
      <c r="D4077" s="48"/>
    </row>
    <row r="4078" spans="1:4" x14ac:dyDescent="0.25">
      <c r="A4078" s="47"/>
      <c r="B4078" s="107"/>
      <c r="C4078" s="48"/>
      <c r="D4078" s="48"/>
    </row>
    <row r="4079" spans="1:4" x14ac:dyDescent="0.25">
      <c r="A4079" s="47"/>
      <c r="B4079" s="107"/>
      <c r="C4079" s="48"/>
      <c r="D4079" s="48"/>
    </row>
    <row r="4080" spans="1:4" x14ac:dyDescent="0.25">
      <c r="A4080" s="47"/>
      <c r="B4080" s="107"/>
      <c r="C4080" s="48"/>
      <c r="D4080" s="48"/>
    </row>
    <row r="4081" spans="1:4" x14ac:dyDescent="0.25">
      <c r="A4081" s="47"/>
      <c r="B4081" s="107"/>
      <c r="C4081" s="48"/>
      <c r="D4081" s="48"/>
    </row>
    <row r="4082" spans="1:4" x14ac:dyDescent="0.25">
      <c r="A4082" s="47"/>
      <c r="B4082" s="107"/>
      <c r="C4082" s="48"/>
      <c r="D4082" s="48"/>
    </row>
    <row r="4083" spans="1:4" x14ac:dyDescent="0.25">
      <c r="A4083" s="47"/>
      <c r="B4083" s="107"/>
      <c r="C4083" s="48"/>
      <c r="D4083" s="48"/>
    </row>
    <row r="4084" spans="1:4" x14ac:dyDescent="0.25">
      <c r="A4084" s="47"/>
      <c r="B4084" s="107"/>
      <c r="C4084" s="48"/>
      <c r="D4084" s="48"/>
    </row>
    <row r="4085" spans="1:4" x14ac:dyDescent="0.25">
      <c r="A4085" s="47"/>
      <c r="B4085" s="107"/>
      <c r="C4085" s="48"/>
      <c r="D4085" s="48"/>
    </row>
    <row r="4086" spans="1:4" x14ac:dyDescent="0.25">
      <c r="A4086" s="47"/>
      <c r="B4086" s="107"/>
      <c r="C4086" s="48"/>
      <c r="D4086" s="48"/>
    </row>
    <row r="4087" spans="1:4" x14ac:dyDescent="0.25">
      <c r="A4087" s="47"/>
      <c r="B4087" s="107"/>
      <c r="C4087" s="48"/>
      <c r="D4087" s="48"/>
    </row>
    <row r="4088" spans="1:4" x14ac:dyDescent="0.25">
      <c r="A4088" s="47"/>
      <c r="B4088" s="107"/>
      <c r="C4088" s="48"/>
      <c r="D4088" s="48"/>
    </row>
    <row r="4089" spans="1:4" x14ac:dyDescent="0.25">
      <c r="A4089" s="47"/>
      <c r="B4089" s="107"/>
      <c r="C4089" s="48"/>
      <c r="D4089" s="48"/>
    </row>
    <row r="4090" spans="1:4" x14ac:dyDescent="0.25">
      <c r="A4090" s="47"/>
      <c r="B4090" s="107"/>
      <c r="C4090" s="48"/>
      <c r="D4090" s="48"/>
    </row>
    <row r="4091" spans="1:4" x14ac:dyDescent="0.25">
      <c r="A4091" s="47"/>
      <c r="B4091" s="107"/>
      <c r="C4091" s="48"/>
      <c r="D4091" s="48"/>
    </row>
    <row r="4092" spans="1:4" x14ac:dyDescent="0.25">
      <c r="A4092" s="47"/>
      <c r="B4092" s="107"/>
      <c r="C4092" s="48"/>
      <c r="D4092" s="48"/>
    </row>
    <row r="4093" spans="1:4" x14ac:dyDescent="0.25">
      <c r="A4093" s="47"/>
      <c r="B4093" s="107"/>
      <c r="C4093" s="48"/>
      <c r="D4093" s="48"/>
    </row>
    <row r="4094" spans="1:4" x14ac:dyDescent="0.25">
      <c r="A4094" s="47"/>
      <c r="B4094" s="107"/>
      <c r="C4094" s="48"/>
      <c r="D4094" s="48"/>
    </row>
    <row r="4095" spans="1:4" x14ac:dyDescent="0.25">
      <c r="A4095" s="47"/>
      <c r="B4095" s="107"/>
      <c r="C4095" s="48"/>
      <c r="D4095" s="48"/>
    </row>
    <row r="4096" spans="1:4" x14ac:dyDescent="0.25">
      <c r="A4096" s="47"/>
      <c r="B4096" s="107"/>
      <c r="C4096" s="48"/>
      <c r="D4096" s="48"/>
    </row>
    <row r="4097" spans="1:4" x14ac:dyDescent="0.25">
      <c r="A4097" s="47"/>
      <c r="B4097" s="107"/>
      <c r="C4097" s="48"/>
      <c r="D4097" s="48"/>
    </row>
    <row r="4098" spans="1:4" x14ac:dyDescent="0.25">
      <c r="A4098" s="47"/>
      <c r="B4098" s="107"/>
      <c r="C4098" s="48"/>
      <c r="D4098" s="48"/>
    </row>
    <row r="4099" spans="1:4" x14ac:dyDescent="0.25">
      <c r="A4099" s="47"/>
      <c r="B4099" s="107"/>
      <c r="C4099" s="48"/>
      <c r="D4099" s="48"/>
    </row>
    <row r="4100" spans="1:4" x14ac:dyDescent="0.25">
      <c r="A4100" s="47"/>
      <c r="B4100" s="107"/>
      <c r="C4100" s="48"/>
      <c r="D4100" s="48"/>
    </row>
    <row r="4101" spans="1:4" x14ac:dyDescent="0.25">
      <c r="A4101" s="47"/>
      <c r="B4101" s="107"/>
      <c r="C4101" s="48"/>
      <c r="D4101" s="48"/>
    </row>
    <row r="4102" spans="1:4" x14ac:dyDescent="0.25">
      <c r="A4102" s="47"/>
      <c r="B4102" s="107"/>
      <c r="C4102" s="48"/>
      <c r="D4102" s="48"/>
    </row>
    <row r="4103" spans="1:4" x14ac:dyDescent="0.25">
      <c r="A4103" s="47"/>
      <c r="B4103" s="107"/>
      <c r="C4103" s="48"/>
      <c r="D4103" s="48"/>
    </row>
    <row r="4104" spans="1:4" x14ac:dyDescent="0.25">
      <c r="A4104" s="47"/>
      <c r="B4104" s="107"/>
      <c r="C4104" s="48"/>
      <c r="D4104" s="48"/>
    </row>
    <row r="4105" spans="1:4" x14ac:dyDescent="0.25">
      <c r="A4105" s="47"/>
      <c r="B4105" s="107"/>
      <c r="C4105" s="48"/>
      <c r="D4105" s="48"/>
    </row>
    <row r="4106" spans="1:4" x14ac:dyDescent="0.25">
      <c r="A4106" s="47"/>
      <c r="B4106" s="107"/>
      <c r="C4106" s="48"/>
      <c r="D4106" s="48"/>
    </row>
    <row r="4107" spans="1:4" x14ac:dyDescent="0.25">
      <c r="A4107" s="47"/>
      <c r="B4107" s="107"/>
      <c r="C4107" s="48"/>
      <c r="D4107" s="48"/>
    </row>
    <row r="4108" spans="1:4" x14ac:dyDescent="0.25">
      <c r="A4108" s="47"/>
      <c r="B4108" s="107"/>
      <c r="C4108" s="48"/>
      <c r="D4108" s="48"/>
    </row>
    <row r="4109" spans="1:4" x14ac:dyDescent="0.25">
      <c r="A4109" s="47"/>
      <c r="B4109" s="107"/>
      <c r="C4109" s="48"/>
      <c r="D4109" s="48"/>
    </row>
    <row r="4110" spans="1:4" x14ac:dyDescent="0.25">
      <c r="A4110" s="47"/>
      <c r="B4110" s="107"/>
      <c r="C4110" s="48"/>
      <c r="D4110" s="48"/>
    </row>
    <row r="4111" spans="1:4" x14ac:dyDescent="0.25">
      <c r="A4111" s="47"/>
      <c r="B4111" s="107"/>
      <c r="C4111" s="48"/>
      <c r="D4111" s="48"/>
    </row>
    <row r="4112" spans="1:4" x14ac:dyDescent="0.25">
      <c r="A4112" s="47"/>
      <c r="B4112" s="107"/>
      <c r="C4112" s="48"/>
      <c r="D4112" s="48"/>
    </row>
    <row r="4113" spans="1:4" x14ac:dyDescent="0.25">
      <c r="A4113" s="47"/>
      <c r="B4113" s="107"/>
      <c r="C4113" s="48"/>
      <c r="D4113" s="48"/>
    </row>
    <row r="4114" spans="1:4" x14ac:dyDescent="0.25">
      <c r="A4114" s="47"/>
      <c r="B4114" s="107"/>
      <c r="C4114" s="48"/>
      <c r="D4114" s="48"/>
    </row>
    <row r="4115" spans="1:4" x14ac:dyDescent="0.25">
      <c r="A4115" s="47"/>
      <c r="B4115" s="107"/>
      <c r="C4115" s="48"/>
      <c r="D4115" s="48"/>
    </row>
    <row r="4116" spans="1:4" x14ac:dyDescent="0.25">
      <c r="A4116" s="47"/>
      <c r="B4116" s="107"/>
      <c r="C4116" s="48"/>
      <c r="D4116" s="48"/>
    </row>
    <row r="4117" spans="1:4" x14ac:dyDescent="0.25">
      <c r="A4117" s="47"/>
      <c r="B4117" s="107"/>
      <c r="C4117" s="48"/>
      <c r="D4117" s="48"/>
    </row>
    <row r="4118" spans="1:4" x14ac:dyDescent="0.25">
      <c r="A4118" s="47"/>
      <c r="B4118" s="107"/>
      <c r="C4118" s="107"/>
      <c r="D4118" s="48"/>
    </row>
    <row r="4119" spans="1:4" x14ac:dyDescent="0.25">
      <c r="A4119" s="47"/>
      <c r="B4119" s="107"/>
      <c r="C4119" s="48"/>
      <c r="D4119" s="48"/>
    </row>
    <row r="4120" spans="1:4" x14ac:dyDescent="0.25">
      <c r="A4120" s="47"/>
      <c r="B4120" s="107"/>
      <c r="C4120" s="48"/>
      <c r="D4120" s="48"/>
    </row>
    <row r="4121" spans="1:4" x14ac:dyDescent="0.25">
      <c r="A4121" s="47"/>
      <c r="B4121" s="107"/>
      <c r="C4121" s="48"/>
      <c r="D4121" s="48"/>
    </row>
    <row r="4122" spans="1:4" x14ac:dyDescent="0.25">
      <c r="A4122" s="47"/>
      <c r="B4122" s="107"/>
      <c r="C4122" s="48"/>
      <c r="D4122" s="48"/>
    </row>
    <row r="4123" spans="1:4" x14ac:dyDescent="0.25">
      <c r="A4123" s="47"/>
      <c r="B4123" s="107"/>
      <c r="C4123" s="48"/>
      <c r="D4123" s="48"/>
    </row>
    <row r="4124" spans="1:4" x14ac:dyDescent="0.25">
      <c r="A4124" s="47"/>
      <c r="B4124" s="107"/>
      <c r="C4124" s="48"/>
      <c r="D4124" s="48"/>
    </row>
    <row r="4125" spans="1:4" x14ac:dyDescent="0.25">
      <c r="A4125" s="47"/>
      <c r="B4125" s="107"/>
      <c r="C4125" s="48"/>
      <c r="D4125" s="48"/>
    </row>
    <row r="4126" spans="1:4" x14ac:dyDescent="0.25">
      <c r="A4126" s="47"/>
      <c r="B4126" s="107"/>
      <c r="C4126" s="48"/>
      <c r="D4126" s="48"/>
    </row>
    <row r="4127" spans="1:4" x14ac:dyDescent="0.25">
      <c r="A4127" s="47"/>
      <c r="B4127" s="107"/>
      <c r="C4127" s="48"/>
      <c r="D4127" s="48"/>
    </row>
    <row r="4128" spans="1:4" x14ac:dyDescent="0.25">
      <c r="A4128" s="47"/>
      <c r="B4128" s="107"/>
      <c r="C4128" s="48"/>
      <c r="D4128" s="48"/>
    </row>
    <row r="4129" spans="1:4" x14ac:dyDescent="0.25">
      <c r="A4129" s="47"/>
      <c r="B4129" s="107"/>
      <c r="C4129" s="48"/>
      <c r="D4129" s="48"/>
    </row>
    <row r="4130" spans="1:4" x14ac:dyDescent="0.25">
      <c r="A4130" s="47"/>
      <c r="B4130" s="107"/>
      <c r="C4130" s="48"/>
      <c r="D4130" s="48"/>
    </row>
    <row r="4131" spans="1:4" x14ac:dyDescent="0.25">
      <c r="A4131" s="47"/>
      <c r="B4131" s="107"/>
      <c r="C4131" s="48"/>
      <c r="D4131" s="48"/>
    </row>
    <row r="4132" spans="1:4" x14ac:dyDescent="0.25">
      <c r="A4132" s="47"/>
      <c r="B4132" s="107"/>
      <c r="C4132" s="48"/>
      <c r="D4132" s="48"/>
    </row>
    <row r="4133" spans="1:4" x14ac:dyDescent="0.25">
      <c r="A4133" s="47"/>
      <c r="B4133" s="107"/>
      <c r="C4133" s="48"/>
      <c r="D4133" s="48"/>
    </row>
    <row r="4134" spans="1:4" x14ac:dyDescent="0.25">
      <c r="A4134" s="47"/>
      <c r="B4134" s="107"/>
      <c r="C4134" s="48"/>
      <c r="D4134" s="48"/>
    </row>
    <row r="4135" spans="1:4" x14ac:dyDescent="0.25">
      <c r="A4135" s="47"/>
      <c r="B4135" s="107"/>
      <c r="C4135" s="48"/>
      <c r="D4135" s="48"/>
    </row>
    <row r="4136" spans="1:4" x14ac:dyDescent="0.25">
      <c r="A4136" s="47"/>
      <c r="B4136" s="107"/>
      <c r="C4136" s="48"/>
      <c r="D4136" s="48"/>
    </row>
    <row r="4137" spans="1:4" x14ac:dyDescent="0.25">
      <c r="A4137" s="47"/>
      <c r="B4137" s="107"/>
      <c r="C4137" s="48"/>
      <c r="D4137" s="48"/>
    </row>
    <row r="4138" spans="1:4" x14ac:dyDescent="0.25">
      <c r="A4138" s="47"/>
      <c r="B4138" s="107"/>
      <c r="C4138" s="48"/>
      <c r="D4138" s="48"/>
    </row>
    <row r="4139" spans="1:4" x14ac:dyDescent="0.25">
      <c r="A4139" s="47"/>
      <c r="B4139" s="107"/>
      <c r="C4139" s="48"/>
      <c r="D4139" s="48"/>
    </row>
    <row r="4140" spans="1:4" x14ac:dyDescent="0.25">
      <c r="A4140" s="47"/>
      <c r="B4140" s="107"/>
      <c r="C4140" s="48"/>
      <c r="D4140" s="48"/>
    </row>
    <row r="4141" spans="1:4" x14ac:dyDescent="0.25">
      <c r="A4141" s="47"/>
      <c r="B4141" s="107"/>
      <c r="C4141" s="48"/>
      <c r="D4141" s="48"/>
    </row>
    <row r="4142" spans="1:4" x14ac:dyDescent="0.25">
      <c r="A4142" s="47"/>
      <c r="B4142" s="107"/>
      <c r="C4142" s="48"/>
      <c r="D4142" s="48"/>
    </row>
    <row r="4143" spans="1:4" x14ac:dyDescent="0.25">
      <c r="A4143" s="47"/>
      <c r="B4143" s="107"/>
      <c r="C4143" s="48"/>
      <c r="D4143" s="48"/>
    </row>
    <row r="4144" spans="1:4" x14ac:dyDescent="0.25">
      <c r="A4144" s="47"/>
      <c r="B4144" s="107"/>
      <c r="C4144" s="48"/>
      <c r="D4144" s="48"/>
    </row>
    <row r="4145" spans="1:4" x14ac:dyDescent="0.25">
      <c r="A4145" s="47"/>
      <c r="B4145" s="107"/>
      <c r="C4145" s="48"/>
      <c r="D4145" s="48"/>
    </row>
    <row r="4146" spans="1:4" x14ac:dyDescent="0.25">
      <c r="A4146" s="47"/>
      <c r="B4146" s="107"/>
      <c r="C4146" s="48"/>
      <c r="D4146" s="48"/>
    </row>
    <row r="4147" spans="1:4" x14ac:dyDescent="0.25">
      <c r="A4147" s="47"/>
      <c r="B4147" s="107"/>
      <c r="C4147" s="48"/>
      <c r="D4147" s="48"/>
    </row>
    <row r="4148" spans="1:4" x14ac:dyDescent="0.25">
      <c r="A4148" s="47"/>
      <c r="B4148" s="107"/>
      <c r="C4148" s="48"/>
      <c r="D4148" s="48"/>
    </row>
    <row r="4149" spans="1:4" x14ac:dyDescent="0.25">
      <c r="A4149" s="47"/>
      <c r="B4149" s="107"/>
      <c r="C4149" s="48"/>
      <c r="D4149" s="48"/>
    </row>
    <row r="4150" spans="1:4" x14ac:dyDescent="0.25">
      <c r="A4150" s="47"/>
      <c r="B4150" s="107"/>
      <c r="C4150" s="48"/>
      <c r="D4150" s="48"/>
    </row>
    <row r="4151" spans="1:4" x14ac:dyDescent="0.25">
      <c r="A4151" s="47"/>
      <c r="B4151" s="107"/>
      <c r="C4151" s="48"/>
      <c r="D4151" s="48"/>
    </row>
    <row r="4152" spans="1:4" x14ac:dyDescent="0.25">
      <c r="A4152" s="47"/>
      <c r="B4152" s="107"/>
      <c r="C4152" s="48"/>
      <c r="D4152" s="48"/>
    </row>
    <row r="4153" spans="1:4" x14ac:dyDescent="0.25">
      <c r="A4153" s="47"/>
      <c r="B4153" s="107"/>
      <c r="C4153" s="48"/>
      <c r="D4153" s="48"/>
    </row>
    <row r="4154" spans="1:4" x14ac:dyDescent="0.25">
      <c r="A4154" s="47"/>
      <c r="B4154" s="107"/>
      <c r="C4154" s="48"/>
      <c r="D4154" s="48"/>
    </row>
    <row r="4155" spans="1:4" x14ac:dyDescent="0.25">
      <c r="A4155" s="47"/>
      <c r="B4155" s="107"/>
      <c r="C4155" s="48"/>
      <c r="D4155" s="48"/>
    </row>
    <row r="4156" spans="1:4" x14ac:dyDescent="0.25">
      <c r="A4156" s="47"/>
      <c r="B4156" s="107"/>
      <c r="C4156" s="48"/>
      <c r="D4156" s="48"/>
    </row>
    <row r="4157" spans="1:4" x14ac:dyDescent="0.25">
      <c r="A4157" s="47"/>
      <c r="B4157" s="107"/>
      <c r="C4157" s="48"/>
      <c r="D4157" s="48"/>
    </row>
    <row r="4158" spans="1:4" x14ac:dyDescent="0.25">
      <c r="A4158" s="47"/>
      <c r="B4158" s="107"/>
      <c r="C4158" s="48"/>
      <c r="D4158" s="48"/>
    </row>
    <row r="4159" spans="1:4" x14ac:dyDescent="0.25">
      <c r="A4159" s="47"/>
      <c r="B4159" s="107"/>
      <c r="C4159" s="48"/>
      <c r="D4159" s="48"/>
    </row>
    <row r="4160" spans="1:4" x14ac:dyDescent="0.25">
      <c r="A4160" s="47"/>
      <c r="B4160" s="107"/>
      <c r="C4160" s="48"/>
      <c r="D4160" s="48"/>
    </row>
    <row r="4161" spans="1:4" x14ac:dyDescent="0.25">
      <c r="A4161" s="47"/>
      <c r="B4161" s="107"/>
      <c r="C4161" s="48"/>
      <c r="D4161" s="48"/>
    </row>
    <row r="4162" spans="1:4" x14ac:dyDescent="0.25">
      <c r="A4162" s="47"/>
      <c r="B4162" s="107"/>
      <c r="C4162" s="48"/>
      <c r="D4162" s="48"/>
    </row>
    <row r="4163" spans="1:4" x14ac:dyDescent="0.25">
      <c r="A4163" s="47"/>
      <c r="B4163" s="107"/>
      <c r="C4163" s="48"/>
      <c r="D4163" s="48"/>
    </row>
    <row r="4164" spans="1:4" x14ac:dyDescent="0.25">
      <c r="A4164" s="47"/>
      <c r="B4164" s="107"/>
      <c r="C4164" s="48"/>
      <c r="D4164" s="48"/>
    </row>
    <row r="4165" spans="1:4" x14ac:dyDescent="0.25">
      <c r="A4165" s="47"/>
      <c r="B4165" s="107"/>
      <c r="C4165" s="48"/>
      <c r="D4165" s="48"/>
    </row>
    <row r="4166" spans="1:4" x14ac:dyDescent="0.25">
      <c r="A4166" s="47"/>
      <c r="B4166" s="107"/>
      <c r="C4166" s="48"/>
      <c r="D4166" s="48"/>
    </row>
    <row r="4167" spans="1:4" x14ac:dyDescent="0.25">
      <c r="A4167" s="47"/>
      <c r="B4167" s="47"/>
      <c r="C4167" s="47"/>
      <c r="D4167" s="48"/>
    </row>
    <row r="4168" spans="1:4" x14ac:dyDescent="0.25">
      <c r="A4168" s="47"/>
      <c r="B4168" s="107"/>
      <c r="C4168" s="48"/>
      <c r="D4168" s="48"/>
    </row>
    <row r="4169" spans="1:4" x14ac:dyDescent="0.25">
      <c r="A4169" s="47"/>
      <c r="B4169" s="107"/>
      <c r="C4169" s="107"/>
      <c r="D4169" s="48"/>
    </row>
    <row r="4170" spans="1:4" x14ac:dyDescent="0.25">
      <c r="A4170" s="47"/>
      <c r="B4170" s="107"/>
      <c r="C4170" s="107"/>
      <c r="D4170" s="48"/>
    </row>
    <row r="4171" spans="1:4" x14ac:dyDescent="0.25">
      <c r="A4171" s="47"/>
      <c r="B4171" s="107"/>
      <c r="C4171" s="48"/>
      <c r="D4171" s="48"/>
    </row>
    <row r="4172" spans="1:4" x14ac:dyDescent="0.25">
      <c r="A4172" s="47"/>
      <c r="B4172" s="107"/>
      <c r="C4172" s="48"/>
      <c r="D4172" s="48"/>
    </row>
    <row r="4173" spans="1:4" x14ac:dyDescent="0.25">
      <c r="A4173" s="47"/>
      <c r="B4173" s="107"/>
      <c r="C4173" s="48"/>
      <c r="D4173" s="48"/>
    </row>
    <row r="4174" spans="1:4" x14ac:dyDescent="0.25">
      <c r="A4174" s="47"/>
      <c r="B4174" s="107"/>
      <c r="C4174" s="48"/>
      <c r="D4174" s="48"/>
    </row>
    <row r="4175" spans="1:4" x14ac:dyDescent="0.25">
      <c r="A4175" s="47"/>
      <c r="B4175" s="107"/>
      <c r="C4175" s="48"/>
      <c r="D4175" s="48"/>
    </row>
    <row r="4176" spans="1:4" x14ac:dyDescent="0.25">
      <c r="A4176" s="47"/>
      <c r="B4176" s="107"/>
      <c r="C4176" s="48"/>
      <c r="D4176" s="48"/>
    </row>
    <row r="4177" spans="1:4" x14ac:dyDescent="0.25">
      <c r="A4177" s="47"/>
      <c r="B4177" s="107"/>
      <c r="C4177" s="48"/>
      <c r="D4177" s="48"/>
    </row>
    <row r="4178" spans="1:4" x14ac:dyDescent="0.25">
      <c r="A4178" s="47"/>
      <c r="B4178" s="107"/>
      <c r="C4178" s="48"/>
      <c r="D4178" s="48"/>
    </row>
    <row r="4179" spans="1:4" x14ac:dyDescent="0.25">
      <c r="A4179" s="47"/>
      <c r="B4179" s="107"/>
      <c r="C4179" s="48"/>
      <c r="D4179" s="48"/>
    </row>
    <row r="4180" spans="1:4" x14ac:dyDescent="0.25">
      <c r="A4180" s="47"/>
      <c r="B4180" s="107"/>
      <c r="C4180" s="48"/>
      <c r="D4180" s="48"/>
    </row>
    <row r="4181" spans="1:4" x14ac:dyDescent="0.25">
      <c r="A4181" s="47"/>
      <c r="B4181" s="107"/>
      <c r="C4181" s="48"/>
      <c r="D4181" s="48"/>
    </row>
    <row r="4182" spans="1:4" x14ac:dyDescent="0.25">
      <c r="A4182" s="47"/>
      <c r="B4182" s="107"/>
      <c r="C4182" s="48"/>
      <c r="D4182" s="48"/>
    </row>
    <row r="4183" spans="1:4" x14ac:dyDescent="0.25">
      <c r="A4183" s="47"/>
      <c r="B4183" s="107"/>
      <c r="C4183" s="48"/>
      <c r="D4183" s="48"/>
    </row>
    <row r="4184" spans="1:4" x14ac:dyDescent="0.25">
      <c r="A4184" s="47"/>
      <c r="B4184" s="107"/>
      <c r="C4184" s="48"/>
      <c r="D4184" s="48"/>
    </row>
    <row r="4185" spans="1:4" x14ac:dyDescent="0.25">
      <c r="A4185" s="47"/>
      <c r="B4185" s="107"/>
      <c r="C4185" s="48"/>
      <c r="D4185" s="48"/>
    </row>
    <row r="4186" spans="1:4" x14ac:dyDescent="0.25">
      <c r="A4186" s="47"/>
      <c r="B4186" s="107"/>
      <c r="C4186" s="48"/>
      <c r="D4186" s="48"/>
    </row>
    <row r="4187" spans="1:4" x14ac:dyDescent="0.25">
      <c r="A4187" s="47"/>
      <c r="B4187" s="107"/>
      <c r="C4187" s="48"/>
      <c r="D4187" s="48"/>
    </row>
    <row r="4188" spans="1:4" x14ac:dyDescent="0.25">
      <c r="A4188" s="47"/>
      <c r="B4188" s="107"/>
      <c r="C4188" s="48"/>
      <c r="D4188" s="48"/>
    </row>
    <row r="4189" spans="1:4" x14ac:dyDescent="0.25">
      <c r="A4189" s="47"/>
      <c r="B4189" s="107"/>
      <c r="C4189" s="48"/>
      <c r="D4189" s="48"/>
    </row>
    <row r="4190" spans="1:4" x14ac:dyDescent="0.25">
      <c r="A4190" s="47"/>
      <c r="B4190" s="107"/>
      <c r="C4190" s="48"/>
      <c r="D4190" s="48"/>
    </row>
    <row r="4191" spans="1:4" x14ac:dyDescent="0.25">
      <c r="A4191" s="47"/>
      <c r="B4191" s="107"/>
      <c r="C4191" s="48"/>
      <c r="D4191" s="48"/>
    </row>
    <row r="4192" spans="1:4" x14ac:dyDescent="0.25">
      <c r="A4192" s="47"/>
      <c r="B4192" s="107"/>
      <c r="C4192" s="48"/>
      <c r="D4192" s="48"/>
    </row>
    <row r="4193" spans="1:4" x14ac:dyDescent="0.25">
      <c r="A4193" s="47"/>
      <c r="B4193" s="107"/>
      <c r="C4193" s="48"/>
      <c r="D4193" s="48"/>
    </row>
    <row r="4194" spans="1:4" x14ac:dyDescent="0.25">
      <c r="A4194" s="47"/>
      <c r="B4194" s="107"/>
      <c r="C4194" s="48"/>
      <c r="D4194" s="48"/>
    </row>
    <row r="4195" spans="1:4" x14ac:dyDescent="0.25">
      <c r="A4195" s="47"/>
      <c r="B4195" s="107"/>
      <c r="C4195" s="48"/>
      <c r="D4195" s="48"/>
    </row>
    <row r="4196" spans="1:4" x14ac:dyDescent="0.25">
      <c r="A4196" s="47"/>
      <c r="B4196" s="107"/>
      <c r="C4196" s="48"/>
      <c r="D4196" s="48"/>
    </row>
    <row r="4197" spans="1:4" x14ac:dyDescent="0.25">
      <c r="A4197" s="47"/>
      <c r="B4197" s="107"/>
      <c r="C4197" s="48"/>
      <c r="D4197" s="48"/>
    </row>
    <row r="4198" spans="1:4" x14ac:dyDescent="0.25">
      <c r="A4198" s="47"/>
      <c r="B4198" s="107"/>
      <c r="C4198" s="48"/>
      <c r="D4198" s="48"/>
    </row>
    <row r="4199" spans="1:4" x14ac:dyDescent="0.25">
      <c r="A4199" s="47"/>
      <c r="B4199" s="107"/>
      <c r="C4199" s="48"/>
      <c r="D4199" s="48"/>
    </row>
    <row r="4200" spans="1:4" x14ac:dyDescent="0.25">
      <c r="A4200" s="47"/>
      <c r="B4200" s="107"/>
      <c r="C4200" s="48"/>
      <c r="D4200" s="48"/>
    </row>
    <row r="4201" spans="1:4" x14ac:dyDescent="0.25">
      <c r="A4201" s="47"/>
      <c r="B4201" s="107"/>
      <c r="C4201" s="48"/>
      <c r="D4201" s="48"/>
    </row>
    <row r="4202" spans="1:4" x14ac:dyDescent="0.25">
      <c r="A4202" s="47"/>
      <c r="B4202" s="107"/>
      <c r="C4202" s="48"/>
      <c r="D4202" s="48"/>
    </row>
    <row r="4203" spans="1:4" x14ac:dyDescent="0.25">
      <c r="A4203" s="47"/>
      <c r="B4203" s="107"/>
      <c r="C4203" s="48"/>
      <c r="D4203" s="48"/>
    </row>
    <row r="4204" spans="1:4" x14ac:dyDescent="0.25">
      <c r="A4204" s="47"/>
      <c r="B4204" s="107"/>
      <c r="C4204" s="48"/>
      <c r="D4204" s="48"/>
    </row>
    <row r="4205" spans="1:4" x14ac:dyDescent="0.25">
      <c r="A4205" s="47"/>
      <c r="B4205" s="107"/>
      <c r="C4205" s="48"/>
      <c r="D4205" s="48"/>
    </row>
    <row r="4206" spans="1:4" x14ac:dyDescent="0.25">
      <c r="A4206" s="47"/>
      <c r="B4206" s="107"/>
      <c r="C4206" s="48"/>
      <c r="D4206" s="48"/>
    </row>
    <row r="4207" spans="1:4" x14ac:dyDescent="0.25">
      <c r="A4207" s="47"/>
      <c r="B4207" s="107"/>
      <c r="C4207" s="48"/>
      <c r="D4207" s="48"/>
    </row>
    <row r="4208" spans="1:4" x14ac:dyDescent="0.25">
      <c r="A4208" s="47"/>
      <c r="B4208" s="107"/>
      <c r="C4208" s="48"/>
      <c r="D4208" s="48"/>
    </row>
    <row r="4209" spans="1:4" x14ac:dyDescent="0.25">
      <c r="A4209" s="47"/>
      <c r="B4209" s="107"/>
      <c r="C4209" s="48"/>
      <c r="D4209" s="48"/>
    </row>
    <row r="4210" spans="1:4" x14ac:dyDescent="0.25">
      <c r="A4210" s="47"/>
      <c r="B4210" s="107"/>
      <c r="C4210" s="48"/>
      <c r="D4210" s="48"/>
    </row>
    <row r="4211" spans="1:4" x14ac:dyDescent="0.25">
      <c r="A4211" s="47"/>
      <c r="B4211" s="107"/>
      <c r="C4211" s="48"/>
      <c r="D4211" s="48"/>
    </row>
    <row r="4212" spans="1:4" x14ac:dyDescent="0.25">
      <c r="A4212" s="47"/>
      <c r="B4212" s="107"/>
      <c r="C4212" s="48"/>
      <c r="D4212" s="48"/>
    </row>
    <row r="4213" spans="1:4" x14ac:dyDescent="0.25">
      <c r="A4213" s="47"/>
      <c r="B4213" s="107"/>
      <c r="C4213" s="48"/>
      <c r="D4213" s="48"/>
    </row>
    <row r="4214" spans="1:4" x14ac:dyDescent="0.25">
      <c r="A4214" s="47"/>
      <c r="B4214" s="107"/>
      <c r="C4214" s="48"/>
      <c r="D4214" s="48"/>
    </row>
    <row r="4215" spans="1:4" x14ac:dyDescent="0.25">
      <c r="A4215" s="47"/>
      <c r="B4215" s="107"/>
      <c r="C4215" s="48"/>
      <c r="D4215" s="48"/>
    </row>
    <row r="4216" spans="1:4" x14ac:dyDescent="0.25">
      <c r="A4216" s="47"/>
      <c r="B4216" s="107"/>
      <c r="C4216" s="48"/>
      <c r="D4216" s="48"/>
    </row>
    <row r="4217" spans="1:4" x14ac:dyDescent="0.25">
      <c r="A4217" s="47"/>
      <c r="B4217" s="107"/>
      <c r="C4217" s="48"/>
      <c r="D4217" s="48"/>
    </row>
    <row r="4218" spans="1:4" x14ac:dyDescent="0.25">
      <c r="A4218" s="47"/>
      <c r="B4218" s="107"/>
      <c r="C4218" s="48"/>
      <c r="D4218" s="48"/>
    </row>
    <row r="4219" spans="1:4" x14ac:dyDescent="0.25">
      <c r="A4219" s="47"/>
      <c r="B4219" s="107"/>
      <c r="C4219" s="48"/>
      <c r="D4219" s="48"/>
    </row>
    <row r="4220" spans="1:4" x14ac:dyDescent="0.25">
      <c r="A4220" s="47"/>
      <c r="B4220" s="107"/>
      <c r="C4220" s="48"/>
      <c r="D4220" s="48"/>
    </row>
    <row r="4221" spans="1:4" x14ac:dyDescent="0.25">
      <c r="A4221" s="47"/>
      <c r="B4221" s="107"/>
      <c r="C4221" s="48"/>
      <c r="D4221" s="48"/>
    </row>
    <row r="4222" spans="1:4" x14ac:dyDescent="0.25">
      <c r="A4222" s="47"/>
      <c r="B4222" s="107"/>
      <c r="C4222" s="48"/>
      <c r="D4222" s="48"/>
    </row>
    <row r="4223" spans="1:4" x14ac:dyDescent="0.25">
      <c r="A4223" s="47"/>
      <c r="B4223" s="107"/>
      <c r="C4223" s="48"/>
      <c r="D4223" s="48"/>
    </row>
    <row r="4224" spans="1:4" x14ac:dyDescent="0.25">
      <c r="A4224" s="47"/>
      <c r="B4224" s="107"/>
      <c r="C4224" s="48"/>
      <c r="D4224" s="48"/>
    </row>
    <row r="4225" spans="1:4" x14ac:dyDescent="0.25">
      <c r="A4225" s="47"/>
      <c r="B4225" s="107"/>
      <c r="C4225" s="48"/>
      <c r="D4225" s="48"/>
    </row>
    <row r="4226" spans="1:4" x14ac:dyDescent="0.25">
      <c r="A4226" s="47"/>
      <c r="B4226" s="107"/>
      <c r="C4226" s="48"/>
      <c r="D4226" s="48"/>
    </row>
    <row r="4227" spans="1:4" x14ac:dyDescent="0.25">
      <c r="A4227" s="47"/>
      <c r="B4227" s="107"/>
      <c r="C4227" s="48"/>
      <c r="D4227" s="48"/>
    </row>
    <row r="4228" spans="1:4" x14ac:dyDescent="0.25">
      <c r="A4228" s="47"/>
      <c r="B4228" s="107"/>
      <c r="C4228" s="48"/>
      <c r="D4228" s="48"/>
    </row>
    <row r="4229" spans="1:4" x14ac:dyDescent="0.25">
      <c r="A4229" s="47"/>
      <c r="B4229" s="107"/>
      <c r="C4229" s="48"/>
      <c r="D4229" s="48"/>
    </row>
    <row r="4230" spans="1:4" x14ac:dyDescent="0.25">
      <c r="A4230" s="47"/>
      <c r="B4230" s="107"/>
      <c r="C4230" s="48"/>
      <c r="D4230" s="48"/>
    </row>
    <row r="4231" spans="1:4" x14ac:dyDescent="0.25">
      <c r="A4231" s="47"/>
      <c r="B4231" s="107"/>
      <c r="C4231" s="48"/>
      <c r="D4231" s="48"/>
    </row>
    <row r="4232" spans="1:4" x14ac:dyDescent="0.25">
      <c r="A4232" s="47"/>
      <c r="B4232" s="107"/>
      <c r="C4232" s="48"/>
      <c r="D4232" s="48"/>
    </row>
    <row r="4233" spans="1:4" x14ac:dyDescent="0.25">
      <c r="A4233" s="47"/>
      <c r="B4233" s="107"/>
      <c r="C4233" s="48"/>
      <c r="D4233" s="48"/>
    </row>
    <row r="4234" spans="1:4" x14ac:dyDescent="0.25">
      <c r="A4234" s="47"/>
      <c r="B4234" s="107"/>
      <c r="C4234" s="48"/>
      <c r="D4234" s="48"/>
    </row>
    <row r="4235" spans="1:4" x14ac:dyDescent="0.25">
      <c r="A4235" s="47"/>
      <c r="B4235" s="107"/>
      <c r="C4235" s="48"/>
      <c r="D4235" s="48"/>
    </row>
    <row r="4236" spans="1:4" x14ac:dyDescent="0.25">
      <c r="A4236" s="47"/>
      <c r="B4236" s="107"/>
      <c r="C4236" s="48"/>
      <c r="D4236" s="48"/>
    </row>
    <row r="4237" spans="1:4" x14ac:dyDescent="0.25">
      <c r="A4237" s="47"/>
      <c r="B4237" s="107"/>
      <c r="C4237" s="48"/>
      <c r="D4237" s="48"/>
    </row>
    <row r="4238" spans="1:4" x14ac:dyDescent="0.25">
      <c r="A4238" s="47"/>
      <c r="B4238" s="107"/>
      <c r="C4238" s="48"/>
      <c r="D4238" s="48"/>
    </row>
    <row r="4239" spans="1:4" x14ac:dyDescent="0.25">
      <c r="A4239" s="47"/>
      <c r="B4239" s="107"/>
      <c r="C4239" s="48"/>
      <c r="D4239" s="48"/>
    </row>
    <row r="4240" spans="1:4" x14ac:dyDescent="0.25">
      <c r="A4240" s="47"/>
      <c r="B4240" s="107"/>
      <c r="C4240" s="48"/>
      <c r="D4240" s="48"/>
    </row>
    <row r="4241" spans="1:4" x14ac:dyDescent="0.25">
      <c r="A4241" s="47"/>
      <c r="B4241" s="107"/>
      <c r="C4241" s="48"/>
      <c r="D4241" s="48"/>
    </row>
    <row r="4242" spans="1:4" x14ac:dyDescent="0.25">
      <c r="A4242" s="47"/>
      <c r="B4242" s="107"/>
      <c r="C4242" s="48"/>
      <c r="D4242" s="48"/>
    </row>
    <row r="4243" spans="1:4" x14ac:dyDescent="0.25">
      <c r="A4243" s="47"/>
      <c r="B4243" s="107"/>
      <c r="C4243" s="48"/>
      <c r="D4243" s="48"/>
    </row>
    <row r="4244" spans="1:4" x14ac:dyDescent="0.25">
      <c r="A4244" s="47"/>
      <c r="B4244" s="107"/>
      <c r="C4244" s="48"/>
      <c r="D4244" s="48"/>
    </row>
    <row r="4245" spans="1:4" x14ac:dyDescent="0.25">
      <c r="A4245" s="47"/>
      <c r="B4245" s="107"/>
      <c r="C4245" s="48"/>
      <c r="D4245" s="48"/>
    </row>
    <row r="4246" spans="1:4" x14ac:dyDescent="0.25">
      <c r="A4246" s="47"/>
      <c r="B4246" s="107"/>
      <c r="C4246" s="48"/>
      <c r="D4246" s="48"/>
    </row>
    <row r="4247" spans="1:4" x14ac:dyDescent="0.25">
      <c r="A4247" s="47"/>
      <c r="B4247" s="107"/>
      <c r="C4247" s="48"/>
      <c r="D4247" s="48"/>
    </row>
    <row r="4248" spans="1:4" x14ac:dyDescent="0.25">
      <c r="A4248" s="47"/>
      <c r="B4248" s="107"/>
      <c r="C4248" s="48"/>
      <c r="D4248" s="48"/>
    </row>
    <row r="4249" spans="1:4" x14ac:dyDescent="0.25">
      <c r="A4249" s="47"/>
      <c r="B4249" s="107"/>
      <c r="C4249" s="48"/>
      <c r="D4249" s="48"/>
    </row>
    <row r="4250" spans="1:4" x14ac:dyDescent="0.25">
      <c r="A4250" s="47"/>
      <c r="B4250" s="107"/>
      <c r="C4250" s="48"/>
      <c r="D4250" s="48"/>
    </row>
    <row r="4251" spans="1:4" x14ac:dyDescent="0.25">
      <c r="A4251" s="47"/>
      <c r="B4251" s="107"/>
      <c r="C4251" s="48"/>
      <c r="D4251" s="48"/>
    </row>
    <row r="4252" spans="1:4" x14ac:dyDescent="0.25">
      <c r="A4252" s="47"/>
      <c r="B4252" s="107"/>
      <c r="C4252" s="48"/>
      <c r="D4252" s="48"/>
    </row>
    <row r="4253" spans="1:4" x14ac:dyDescent="0.25">
      <c r="A4253" s="47"/>
      <c r="B4253" s="107"/>
      <c r="C4253" s="48"/>
      <c r="D4253" s="48"/>
    </row>
    <row r="4254" spans="1:4" x14ac:dyDescent="0.25">
      <c r="A4254" s="47"/>
      <c r="B4254" s="107"/>
      <c r="C4254" s="48"/>
      <c r="D4254" s="48"/>
    </row>
    <row r="4255" spans="1:4" x14ac:dyDescent="0.25">
      <c r="A4255" s="47"/>
      <c r="B4255" s="107"/>
      <c r="C4255" s="48"/>
      <c r="D4255" s="48"/>
    </row>
    <row r="4256" spans="1:4" x14ac:dyDescent="0.25">
      <c r="A4256" s="47"/>
      <c r="B4256" s="107"/>
      <c r="C4256" s="48"/>
      <c r="D4256" s="48"/>
    </row>
    <row r="4257" spans="1:4" x14ac:dyDescent="0.25">
      <c r="A4257" s="47"/>
      <c r="B4257" s="107"/>
      <c r="C4257" s="48"/>
      <c r="D4257" s="48"/>
    </row>
    <row r="4258" spans="1:4" x14ac:dyDescent="0.25">
      <c r="A4258" s="47"/>
      <c r="B4258" s="107"/>
      <c r="C4258" s="48"/>
      <c r="D4258" s="48"/>
    </row>
    <row r="4259" spans="1:4" x14ac:dyDescent="0.25">
      <c r="A4259" s="47"/>
      <c r="B4259" s="107"/>
      <c r="C4259" s="48"/>
      <c r="D4259" s="48"/>
    </row>
    <row r="4260" spans="1:4" x14ac:dyDescent="0.25">
      <c r="A4260" s="47"/>
      <c r="B4260" s="107"/>
      <c r="C4260" s="48"/>
      <c r="D4260" s="48"/>
    </row>
    <row r="4261" spans="1:4" x14ac:dyDescent="0.25">
      <c r="A4261" s="47"/>
      <c r="B4261" s="107"/>
      <c r="C4261" s="48"/>
      <c r="D4261" s="48"/>
    </row>
    <row r="4262" spans="1:4" x14ac:dyDescent="0.25">
      <c r="A4262" s="47"/>
      <c r="B4262" s="107"/>
      <c r="C4262" s="48"/>
      <c r="D4262" s="48"/>
    </row>
    <row r="4263" spans="1:4" x14ac:dyDescent="0.25">
      <c r="A4263" s="47"/>
      <c r="B4263" s="107"/>
      <c r="C4263" s="48"/>
      <c r="D4263" s="48"/>
    </row>
    <row r="4264" spans="1:4" x14ac:dyDescent="0.25">
      <c r="A4264" s="47"/>
      <c r="B4264" s="107"/>
      <c r="C4264" s="48"/>
      <c r="D4264" s="48"/>
    </row>
    <row r="4265" spans="1:4" x14ac:dyDescent="0.25">
      <c r="A4265" s="47"/>
      <c r="B4265" s="107"/>
      <c r="C4265" s="48"/>
      <c r="D4265" s="48"/>
    </row>
    <row r="4266" spans="1:4" x14ac:dyDescent="0.25">
      <c r="A4266" s="47"/>
      <c r="B4266" s="107"/>
      <c r="C4266" s="48"/>
      <c r="D4266" s="48"/>
    </row>
    <row r="4267" spans="1:4" x14ac:dyDescent="0.25">
      <c r="A4267" s="47"/>
      <c r="B4267" s="107"/>
      <c r="C4267" s="48"/>
      <c r="D4267" s="48"/>
    </row>
    <row r="4268" spans="1:4" x14ac:dyDescent="0.25">
      <c r="A4268" s="47"/>
      <c r="B4268" s="107"/>
      <c r="C4268" s="48"/>
      <c r="D4268" s="48"/>
    </row>
    <row r="4269" spans="1:4" x14ac:dyDescent="0.25">
      <c r="A4269" s="47"/>
      <c r="B4269" s="107"/>
      <c r="C4269" s="48"/>
      <c r="D4269" s="48"/>
    </row>
    <row r="4270" spans="1:4" x14ac:dyDescent="0.25">
      <c r="A4270" s="47"/>
      <c r="B4270" s="107"/>
      <c r="C4270" s="48"/>
      <c r="D4270" s="48"/>
    </row>
    <row r="4271" spans="1:4" x14ac:dyDescent="0.25">
      <c r="A4271" s="47"/>
      <c r="B4271" s="107"/>
      <c r="C4271" s="48"/>
      <c r="D4271" s="48"/>
    </row>
    <row r="4272" spans="1:4" x14ac:dyDescent="0.25">
      <c r="A4272" s="47"/>
      <c r="B4272" s="107"/>
      <c r="C4272" s="48"/>
      <c r="D4272" s="48"/>
    </row>
    <row r="4273" spans="1:4" x14ac:dyDescent="0.25">
      <c r="A4273" s="47"/>
      <c r="B4273" s="107"/>
      <c r="C4273" s="48"/>
      <c r="D4273" s="48"/>
    </row>
    <row r="4274" spans="1:4" x14ac:dyDescent="0.25">
      <c r="A4274" s="47"/>
      <c r="B4274" s="107"/>
      <c r="C4274" s="48"/>
      <c r="D4274" s="48"/>
    </row>
    <row r="4275" spans="1:4" x14ac:dyDescent="0.25">
      <c r="A4275" s="47"/>
      <c r="B4275" s="107"/>
      <c r="C4275" s="48"/>
      <c r="D4275" s="48"/>
    </row>
    <row r="4276" spans="1:4" x14ac:dyDescent="0.25">
      <c r="A4276" s="47"/>
      <c r="B4276" s="107"/>
      <c r="C4276" s="48"/>
      <c r="D4276" s="48"/>
    </row>
    <row r="4277" spans="1:4" x14ac:dyDescent="0.25">
      <c r="A4277" s="47"/>
      <c r="B4277" s="107"/>
      <c r="C4277" s="48"/>
      <c r="D4277" s="48"/>
    </row>
    <row r="4278" spans="1:4" x14ac:dyDescent="0.25">
      <c r="A4278" s="47"/>
      <c r="B4278" s="107"/>
      <c r="C4278" s="48"/>
      <c r="D4278" s="48"/>
    </row>
    <row r="4279" spans="1:4" x14ac:dyDescent="0.25">
      <c r="A4279" s="47"/>
      <c r="B4279" s="107"/>
      <c r="C4279" s="48"/>
      <c r="D4279" s="48"/>
    </row>
    <row r="4280" spans="1:4" x14ac:dyDescent="0.25">
      <c r="A4280" s="47"/>
      <c r="B4280" s="107"/>
      <c r="C4280" s="48"/>
      <c r="D4280" s="48"/>
    </row>
    <row r="4281" spans="1:4" x14ac:dyDescent="0.25">
      <c r="A4281" s="47"/>
      <c r="B4281" s="107"/>
      <c r="C4281" s="48"/>
      <c r="D4281" s="48"/>
    </row>
    <row r="4282" spans="1:4" x14ac:dyDescent="0.25">
      <c r="A4282" s="47"/>
      <c r="B4282" s="107"/>
      <c r="C4282" s="48"/>
      <c r="D4282" s="48"/>
    </row>
    <row r="4283" spans="1:4" x14ac:dyDescent="0.25">
      <c r="A4283" s="47"/>
      <c r="B4283" s="107"/>
      <c r="C4283" s="48"/>
      <c r="D4283" s="48"/>
    </row>
    <row r="4284" spans="1:4" x14ac:dyDescent="0.25">
      <c r="A4284" s="47"/>
      <c r="B4284" s="107"/>
      <c r="C4284" s="48"/>
      <c r="D4284" s="48"/>
    </row>
    <row r="4285" spans="1:4" x14ac:dyDescent="0.25">
      <c r="A4285" s="47"/>
      <c r="B4285" s="107"/>
      <c r="C4285" s="48"/>
      <c r="D4285" s="48"/>
    </row>
    <row r="4286" spans="1:4" x14ac:dyDescent="0.25">
      <c r="A4286" s="47"/>
      <c r="B4286" s="107"/>
      <c r="C4286" s="48"/>
      <c r="D4286" s="48"/>
    </row>
    <row r="4287" spans="1:4" x14ac:dyDescent="0.25">
      <c r="A4287" s="47"/>
      <c r="B4287" s="107"/>
      <c r="C4287" s="48"/>
      <c r="D4287" s="48"/>
    </row>
    <row r="4288" spans="1:4" x14ac:dyDescent="0.25">
      <c r="A4288" s="47"/>
      <c r="B4288" s="107"/>
      <c r="C4288" s="48"/>
      <c r="D4288" s="48"/>
    </row>
    <row r="4289" spans="1:4" x14ac:dyDescent="0.25">
      <c r="A4289" s="47"/>
      <c r="B4289" s="107"/>
      <c r="C4289" s="48"/>
      <c r="D4289" s="48"/>
    </row>
    <row r="4290" spans="1:4" x14ac:dyDescent="0.25">
      <c r="A4290" s="47"/>
      <c r="B4290" s="107"/>
      <c r="C4290" s="48"/>
      <c r="D4290" s="48"/>
    </row>
    <row r="4291" spans="1:4" x14ac:dyDescent="0.25">
      <c r="A4291" s="47"/>
      <c r="B4291" s="107"/>
      <c r="C4291" s="48"/>
      <c r="D4291" s="48"/>
    </row>
    <row r="4292" spans="1:4" x14ac:dyDescent="0.25">
      <c r="A4292" s="47"/>
      <c r="B4292" s="107"/>
      <c r="C4292" s="48"/>
      <c r="D4292" s="48"/>
    </row>
    <row r="4293" spans="1:4" x14ac:dyDescent="0.25">
      <c r="A4293" s="47"/>
      <c r="B4293" s="107"/>
      <c r="C4293" s="48"/>
      <c r="D4293" s="48"/>
    </row>
    <row r="4294" spans="1:4" x14ac:dyDescent="0.25">
      <c r="A4294" s="47"/>
      <c r="B4294" s="107"/>
      <c r="C4294" s="48"/>
      <c r="D4294" s="48"/>
    </row>
    <row r="4295" spans="1:4" x14ac:dyDescent="0.25">
      <c r="A4295" s="47"/>
      <c r="B4295" s="107"/>
      <c r="C4295" s="48"/>
      <c r="D4295" s="48"/>
    </row>
    <row r="4296" spans="1:4" x14ac:dyDescent="0.25">
      <c r="A4296" s="47"/>
      <c r="B4296" s="107"/>
      <c r="C4296" s="48"/>
      <c r="D4296" s="48"/>
    </row>
    <row r="4297" spans="1:4" x14ac:dyDescent="0.25">
      <c r="A4297" s="47"/>
      <c r="B4297" s="107"/>
      <c r="C4297" s="48"/>
      <c r="D4297" s="48"/>
    </row>
    <row r="4298" spans="1:4" x14ac:dyDescent="0.25">
      <c r="A4298" s="47"/>
      <c r="B4298" s="107"/>
      <c r="C4298" s="48"/>
      <c r="D4298" s="48"/>
    </row>
    <row r="4299" spans="1:4" x14ac:dyDescent="0.25">
      <c r="A4299" s="47"/>
      <c r="B4299" s="107"/>
      <c r="C4299" s="48"/>
      <c r="D4299" s="48"/>
    </row>
    <row r="4300" spans="1:4" x14ac:dyDescent="0.25">
      <c r="A4300" s="47"/>
      <c r="B4300" s="107"/>
      <c r="C4300" s="48"/>
      <c r="D4300" s="48"/>
    </row>
    <row r="4301" spans="1:4" x14ac:dyDescent="0.25">
      <c r="A4301" s="47"/>
      <c r="B4301" s="107"/>
      <c r="C4301" s="48"/>
      <c r="D4301" s="48"/>
    </row>
    <row r="4302" spans="1:4" x14ac:dyDescent="0.25">
      <c r="A4302" s="47"/>
      <c r="B4302" s="107"/>
      <c r="C4302" s="48"/>
      <c r="D4302" s="48"/>
    </row>
    <row r="4303" spans="1:4" x14ac:dyDescent="0.25">
      <c r="A4303" s="47"/>
      <c r="B4303" s="107"/>
      <c r="C4303" s="48"/>
      <c r="D4303" s="48"/>
    </row>
    <row r="4304" spans="1:4" x14ac:dyDescent="0.25">
      <c r="A4304" s="47"/>
      <c r="B4304" s="107"/>
      <c r="C4304" s="48"/>
      <c r="D4304" s="48"/>
    </row>
    <row r="4305" spans="1:4" x14ac:dyDescent="0.25">
      <c r="A4305" s="47"/>
      <c r="B4305" s="107"/>
      <c r="C4305" s="48"/>
      <c r="D4305" s="48"/>
    </row>
    <row r="4306" spans="1:4" x14ac:dyDescent="0.25">
      <c r="A4306" s="47"/>
      <c r="B4306" s="107"/>
      <c r="C4306" s="48"/>
      <c r="D4306" s="48"/>
    </row>
    <row r="4307" spans="1:4" x14ac:dyDescent="0.25">
      <c r="A4307" s="47"/>
      <c r="B4307" s="107"/>
      <c r="C4307" s="48"/>
      <c r="D4307" s="48"/>
    </row>
    <row r="4308" spans="1:4" x14ac:dyDescent="0.25">
      <c r="A4308" s="47"/>
      <c r="B4308" s="107"/>
      <c r="C4308" s="48"/>
      <c r="D4308" s="48"/>
    </row>
    <row r="4309" spans="1:4" x14ac:dyDescent="0.25">
      <c r="A4309" s="47"/>
      <c r="B4309" s="107"/>
      <c r="C4309" s="48"/>
      <c r="D4309" s="48"/>
    </row>
    <row r="4310" spans="1:4" x14ac:dyDescent="0.25">
      <c r="A4310" s="47"/>
      <c r="B4310" s="107"/>
      <c r="C4310" s="48"/>
      <c r="D4310" s="48"/>
    </row>
    <row r="4311" spans="1:4" x14ac:dyDescent="0.25">
      <c r="A4311" s="47"/>
      <c r="B4311" s="107"/>
      <c r="C4311" s="48"/>
      <c r="D4311" s="48"/>
    </row>
    <row r="4312" spans="1:4" x14ac:dyDescent="0.25">
      <c r="A4312" s="47"/>
      <c r="B4312" s="107"/>
      <c r="C4312" s="48"/>
      <c r="D4312" s="48"/>
    </row>
    <row r="4313" spans="1:4" x14ac:dyDescent="0.25">
      <c r="A4313" s="47"/>
      <c r="B4313" s="107"/>
      <c r="C4313" s="48"/>
      <c r="D4313" s="48"/>
    </row>
    <row r="4314" spans="1:4" x14ac:dyDescent="0.25">
      <c r="A4314" s="47"/>
      <c r="B4314" s="107"/>
      <c r="C4314" s="48"/>
      <c r="D4314" s="48"/>
    </row>
    <row r="4315" spans="1:4" x14ac:dyDescent="0.25">
      <c r="A4315" s="47"/>
      <c r="B4315" s="107"/>
      <c r="C4315" s="48"/>
      <c r="D4315" s="48"/>
    </row>
    <row r="4316" spans="1:4" x14ac:dyDescent="0.25">
      <c r="A4316" s="47"/>
      <c r="B4316" s="107"/>
      <c r="C4316" s="48"/>
      <c r="D4316" s="48"/>
    </row>
    <row r="4317" spans="1:4" x14ac:dyDescent="0.25">
      <c r="A4317" s="47"/>
      <c r="B4317" s="107"/>
      <c r="C4317" s="48"/>
      <c r="D4317" s="48"/>
    </row>
    <row r="4318" spans="1:4" x14ac:dyDescent="0.25">
      <c r="A4318" s="47"/>
      <c r="B4318" s="107"/>
      <c r="C4318" s="48"/>
      <c r="D4318" s="48"/>
    </row>
    <row r="4319" spans="1:4" x14ac:dyDescent="0.25">
      <c r="A4319" s="47"/>
      <c r="B4319" s="107"/>
      <c r="C4319" s="48"/>
      <c r="D4319" s="48"/>
    </row>
    <row r="4320" spans="1:4" x14ac:dyDescent="0.25">
      <c r="A4320" s="47"/>
      <c r="B4320" s="107"/>
      <c r="C4320" s="48"/>
      <c r="D4320" s="48"/>
    </row>
    <row r="4321" spans="1:4" x14ac:dyDescent="0.25">
      <c r="A4321" s="47"/>
      <c r="B4321" s="107"/>
      <c r="C4321" s="48"/>
      <c r="D4321" s="48"/>
    </row>
    <row r="4322" spans="1:4" x14ac:dyDescent="0.25">
      <c r="A4322" s="47"/>
      <c r="B4322" s="107"/>
      <c r="C4322" s="48"/>
      <c r="D4322" s="48"/>
    </row>
    <row r="4323" spans="1:4" x14ac:dyDescent="0.25">
      <c r="A4323" s="47"/>
      <c r="B4323" s="107"/>
      <c r="C4323" s="48"/>
      <c r="D4323" s="48"/>
    </row>
    <row r="4324" spans="1:4" x14ac:dyDescent="0.25">
      <c r="A4324" s="47"/>
      <c r="B4324" s="107"/>
      <c r="C4324" s="48"/>
      <c r="D4324" s="48"/>
    </row>
    <row r="4325" spans="1:4" x14ac:dyDescent="0.25">
      <c r="A4325" s="47"/>
      <c r="B4325" s="107"/>
      <c r="C4325" s="48"/>
      <c r="D4325" s="48"/>
    </row>
    <row r="4326" spans="1:4" x14ac:dyDescent="0.25">
      <c r="A4326" s="47"/>
      <c r="B4326" s="107"/>
      <c r="C4326" s="48"/>
      <c r="D4326" s="48"/>
    </row>
    <row r="4327" spans="1:4" x14ac:dyDescent="0.25">
      <c r="A4327" s="47"/>
      <c r="B4327" s="107"/>
      <c r="C4327" s="48"/>
      <c r="D4327" s="48"/>
    </row>
    <row r="4328" spans="1:4" x14ac:dyDescent="0.25">
      <c r="A4328" s="47"/>
      <c r="B4328" s="107"/>
      <c r="C4328" s="48"/>
      <c r="D4328" s="48"/>
    </row>
    <row r="4329" spans="1:4" x14ac:dyDescent="0.25">
      <c r="A4329" s="47"/>
      <c r="B4329" s="107"/>
      <c r="C4329" s="48"/>
      <c r="D4329" s="48"/>
    </row>
    <row r="4330" spans="1:4" x14ac:dyDescent="0.25">
      <c r="A4330" s="47"/>
      <c r="B4330" s="107"/>
      <c r="C4330" s="48"/>
      <c r="D4330" s="48"/>
    </row>
    <row r="4331" spans="1:4" x14ac:dyDescent="0.25">
      <c r="A4331" s="47"/>
      <c r="B4331" s="107"/>
      <c r="C4331" s="48"/>
      <c r="D4331" s="48"/>
    </row>
    <row r="4332" spans="1:4" x14ac:dyDescent="0.25">
      <c r="A4332" s="47"/>
      <c r="B4332" s="107"/>
      <c r="C4332" s="48"/>
      <c r="D4332" s="48"/>
    </row>
    <row r="4333" spans="1:4" x14ac:dyDescent="0.25">
      <c r="A4333" s="47"/>
      <c r="B4333" s="107"/>
      <c r="C4333" s="48"/>
      <c r="D4333" s="48"/>
    </row>
    <row r="4334" spans="1:4" x14ac:dyDescent="0.25">
      <c r="A4334" s="47"/>
      <c r="B4334" s="107"/>
      <c r="C4334" s="48"/>
      <c r="D4334" s="48"/>
    </row>
    <row r="4335" spans="1:4" x14ac:dyDescent="0.25">
      <c r="A4335" s="47"/>
      <c r="B4335" s="107"/>
      <c r="C4335" s="48"/>
      <c r="D4335" s="48"/>
    </row>
    <row r="4336" spans="1:4" x14ac:dyDescent="0.25">
      <c r="A4336" s="47"/>
      <c r="B4336" s="107"/>
      <c r="C4336" s="48"/>
      <c r="D4336" s="48"/>
    </row>
    <row r="4337" spans="1:4" x14ac:dyDescent="0.25">
      <c r="A4337" s="47"/>
      <c r="B4337" s="107"/>
      <c r="C4337" s="48"/>
      <c r="D4337" s="48"/>
    </row>
    <row r="4338" spans="1:4" x14ac:dyDescent="0.25">
      <c r="A4338" s="47"/>
      <c r="B4338" s="107"/>
      <c r="C4338" s="48"/>
      <c r="D4338" s="48"/>
    </row>
    <row r="4339" spans="1:4" x14ac:dyDescent="0.25">
      <c r="A4339" s="47"/>
      <c r="B4339" s="107"/>
      <c r="C4339" s="48"/>
      <c r="D4339" s="48"/>
    </row>
    <row r="4340" spans="1:4" x14ac:dyDescent="0.25">
      <c r="A4340" s="47"/>
      <c r="B4340" s="107"/>
      <c r="C4340" s="48"/>
      <c r="D4340" s="48"/>
    </row>
    <row r="4341" spans="1:4" x14ac:dyDescent="0.25">
      <c r="A4341" s="47"/>
      <c r="B4341" s="107"/>
      <c r="C4341" s="48"/>
      <c r="D4341" s="48"/>
    </row>
    <row r="4342" spans="1:4" x14ac:dyDescent="0.25">
      <c r="A4342" s="47"/>
      <c r="B4342" s="107"/>
      <c r="C4342" s="48"/>
      <c r="D4342" s="48"/>
    </row>
    <row r="4343" spans="1:4" x14ac:dyDescent="0.25">
      <c r="A4343" s="47"/>
      <c r="B4343" s="107"/>
      <c r="C4343" s="48"/>
      <c r="D4343" s="48"/>
    </row>
    <row r="4344" spans="1:4" x14ac:dyDescent="0.25">
      <c r="A4344" s="47"/>
      <c r="B4344" s="107"/>
      <c r="C4344" s="48"/>
      <c r="D4344" s="48"/>
    </row>
    <row r="4345" spans="1:4" x14ac:dyDescent="0.25">
      <c r="A4345" s="47"/>
      <c r="B4345" s="107"/>
      <c r="C4345" s="48"/>
      <c r="D4345" s="48"/>
    </row>
    <row r="4346" spans="1:4" x14ac:dyDescent="0.25">
      <c r="A4346" s="47"/>
      <c r="B4346" s="107"/>
      <c r="C4346" s="48"/>
      <c r="D4346" s="48"/>
    </row>
    <row r="4347" spans="1:4" x14ac:dyDescent="0.25">
      <c r="A4347" s="47"/>
      <c r="B4347" s="107"/>
      <c r="C4347" s="48"/>
      <c r="D4347" s="48"/>
    </row>
    <row r="4348" spans="1:4" x14ac:dyDescent="0.25">
      <c r="A4348" s="47"/>
      <c r="B4348" s="107"/>
      <c r="C4348" s="48"/>
      <c r="D4348" s="48"/>
    </row>
    <row r="4349" spans="1:4" x14ac:dyDescent="0.25">
      <c r="A4349" s="47"/>
      <c r="B4349" s="107"/>
      <c r="C4349" s="48"/>
      <c r="D4349" s="48"/>
    </row>
    <row r="4350" spans="1:4" x14ac:dyDescent="0.25">
      <c r="A4350" s="47"/>
      <c r="B4350" s="107"/>
      <c r="C4350" s="48"/>
      <c r="D4350" s="48"/>
    </row>
    <row r="4351" spans="1:4" x14ac:dyDescent="0.25">
      <c r="A4351" s="47"/>
      <c r="B4351" s="107"/>
      <c r="C4351" s="48"/>
      <c r="D4351" s="48"/>
    </row>
    <row r="4352" spans="1:4" x14ac:dyDescent="0.25">
      <c r="A4352" s="47"/>
      <c r="B4352" s="107"/>
      <c r="C4352" s="48"/>
      <c r="D4352" s="48"/>
    </row>
    <row r="4353" spans="1:4" x14ac:dyDescent="0.25">
      <c r="A4353" s="47"/>
      <c r="B4353" s="107"/>
      <c r="C4353" s="48"/>
      <c r="D4353" s="48"/>
    </row>
    <row r="4354" spans="1:4" x14ac:dyDescent="0.25">
      <c r="A4354" s="47"/>
      <c r="B4354" s="107"/>
      <c r="C4354" s="48"/>
      <c r="D4354" s="48"/>
    </row>
    <row r="4355" spans="1:4" x14ac:dyDescent="0.25">
      <c r="A4355" s="47"/>
      <c r="B4355" s="107"/>
      <c r="C4355" s="48"/>
      <c r="D4355" s="48"/>
    </row>
    <row r="4356" spans="1:4" x14ac:dyDescent="0.25">
      <c r="A4356" s="47"/>
      <c r="B4356" s="107"/>
      <c r="C4356" s="48"/>
      <c r="D4356" s="48"/>
    </row>
    <row r="4357" spans="1:4" x14ac:dyDescent="0.25">
      <c r="A4357" s="47"/>
      <c r="B4357" s="107"/>
      <c r="C4357" s="48"/>
      <c r="D4357" s="48"/>
    </row>
    <row r="4358" spans="1:4" x14ac:dyDescent="0.25">
      <c r="A4358" s="47"/>
      <c r="B4358" s="107"/>
      <c r="C4358" s="48"/>
      <c r="D4358" s="48"/>
    </row>
    <row r="4359" spans="1:4" x14ac:dyDescent="0.25">
      <c r="A4359" s="47"/>
      <c r="B4359" s="107"/>
      <c r="C4359" s="48"/>
      <c r="D4359" s="48"/>
    </row>
    <row r="4360" spans="1:4" x14ac:dyDescent="0.25">
      <c r="A4360" s="47"/>
      <c r="B4360" s="107"/>
      <c r="C4360" s="48"/>
      <c r="D4360" s="48"/>
    </row>
    <row r="4361" spans="1:4" x14ac:dyDescent="0.25">
      <c r="A4361" s="47"/>
      <c r="B4361" s="107"/>
      <c r="C4361" s="48"/>
      <c r="D4361" s="48"/>
    </row>
    <row r="4362" spans="1:4" x14ac:dyDescent="0.25">
      <c r="A4362" s="47"/>
      <c r="B4362" s="107"/>
      <c r="C4362" s="48"/>
      <c r="D4362" s="48"/>
    </row>
    <row r="4363" spans="1:4" x14ac:dyDescent="0.25">
      <c r="A4363" s="47"/>
      <c r="B4363" s="107"/>
      <c r="C4363" s="48"/>
      <c r="D4363" s="48"/>
    </row>
    <row r="4364" spans="1:4" x14ac:dyDescent="0.25">
      <c r="A4364" s="47"/>
      <c r="B4364" s="107"/>
      <c r="C4364" s="48"/>
      <c r="D4364" s="48"/>
    </row>
    <row r="4365" spans="1:4" x14ac:dyDescent="0.25">
      <c r="A4365" s="47"/>
      <c r="B4365" s="107"/>
      <c r="C4365" s="48"/>
      <c r="D4365" s="48"/>
    </row>
    <row r="4366" spans="1:4" x14ac:dyDescent="0.25">
      <c r="A4366" s="47"/>
      <c r="B4366" s="107"/>
      <c r="C4366" s="48"/>
      <c r="D4366" s="48"/>
    </row>
    <row r="4367" spans="1:4" x14ac:dyDescent="0.25">
      <c r="A4367" s="47"/>
      <c r="B4367" s="107"/>
      <c r="C4367" s="48"/>
      <c r="D4367" s="48"/>
    </row>
    <row r="4368" spans="1:4" x14ac:dyDescent="0.25">
      <c r="A4368" s="47"/>
      <c r="B4368" s="107"/>
      <c r="C4368" s="48"/>
      <c r="D4368" s="48"/>
    </row>
    <row r="4369" spans="1:4" x14ac:dyDescent="0.25">
      <c r="A4369" s="47"/>
      <c r="B4369" s="107"/>
      <c r="C4369" s="48"/>
      <c r="D4369" s="48"/>
    </row>
    <row r="4370" spans="1:4" x14ac:dyDescent="0.25">
      <c r="A4370" s="47"/>
      <c r="B4370" s="107"/>
      <c r="C4370" s="48"/>
      <c r="D4370" s="48"/>
    </row>
    <row r="4371" spans="1:4" x14ac:dyDescent="0.25">
      <c r="A4371" s="47"/>
      <c r="B4371" s="107"/>
      <c r="C4371" s="48"/>
      <c r="D4371" s="48"/>
    </row>
    <row r="4372" spans="1:4" x14ac:dyDescent="0.25">
      <c r="A4372" s="47"/>
      <c r="B4372" s="107"/>
      <c r="C4372" s="48"/>
      <c r="D4372" s="48"/>
    </row>
    <row r="4373" spans="1:4" x14ac:dyDescent="0.25">
      <c r="A4373" s="47"/>
      <c r="B4373" s="107"/>
      <c r="C4373" s="48"/>
      <c r="D4373" s="48"/>
    </row>
    <row r="4374" spans="1:4" x14ac:dyDescent="0.25">
      <c r="A4374" s="47"/>
      <c r="B4374" s="107"/>
      <c r="C4374" s="48"/>
      <c r="D4374" s="48"/>
    </row>
    <row r="4375" spans="1:4" x14ac:dyDescent="0.25">
      <c r="A4375" s="47"/>
      <c r="B4375" s="107"/>
      <c r="C4375" s="48"/>
      <c r="D4375" s="48"/>
    </row>
    <row r="4376" spans="1:4" x14ac:dyDescent="0.25">
      <c r="A4376" s="47"/>
      <c r="B4376" s="107"/>
      <c r="C4376" s="48"/>
      <c r="D4376" s="48"/>
    </row>
    <row r="4377" spans="1:4" x14ac:dyDescent="0.25">
      <c r="A4377" s="47"/>
      <c r="B4377" s="107"/>
      <c r="C4377" s="48"/>
      <c r="D4377" s="48"/>
    </row>
    <row r="4378" spans="1:4" x14ac:dyDescent="0.25">
      <c r="A4378" s="47"/>
      <c r="B4378" s="107"/>
      <c r="C4378" s="48"/>
      <c r="D4378" s="48"/>
    </row>
    <row r="4379" spans="1:4" x14ac:dyDescent="0.25">
      <c r="A4379" s="47"/>
      <c r="B4379" s="107"/>
      <c r="C4379" s="48"/>
      <c r="D4379" s="48"/>
    </row>
    <row r="4380" spans="1:4" x14ac:dyDescent="0.25">
      <c r="A4380" s="47"/>
      <c r="B4380" s="107"/>
      <c r="C4380" s="48"/>
      <c r="D4380" s="48"/>
    </row>
    <row r="4381" spans="1:4" x14ac:dyDescent="0.25">
      <c r="A4381" s="47"/>
      <c r="B4381" s="107"/>
      <c r="C4381" s="48"/>
      <c r="D4381" s="48"/>
    </row>
    <row r="4382" spans="1:4" x14ac:dyDescent="0.25">
      <c r="A4382" s="47"/>
      <c r="B4382" s="107"/>
      <c r="C4382" s="48"/>
      <c r="D4382" s="48"/>
    </row>
    <row r="4383" spans="1:4" x14ac:dyDescent="0.25">
      <c r="A4383" s="47"/>
      <c r="B4383" s="107"/>
      <c r="C4383" s="48"/>
      <c r="D4383" s="48"/>
    </row>
    <row r="4384" spans="1:4" x14ac:dyDescent="0.25">
      <c r="A4384" s="47"/>
      <c r="B4384" s="107"/>
      <c r="C4384" s="48"/>
      <c r="D4384" s="48"/>
    </row>
    <row r="4385" spans="1:4" x14ac:dyDescent="0.25">
      <c r="A4385" s="47"/>
      <c r="B4385" s="107"/>
      <c r="C4385" s="48"/>
      <c r="D4385" s="48"/>
    </row>
    <row r="4386" spans="1:4" x14ac:dyDescent="0.25">
      <c r="A4386" s="47"/>
      <c r="B4386" s="107"/>
      <c r="C4386" s="48"/>
      <c r="D4386" s="48"/>
    </row>
    <row r="4387" spans="1:4" x14ac:dyDescent="0.25">
      <c r="A4387" s="47"/>
      <c r="B4387" s="107"/>
      <c r="C4387" s="48"/>
      <c r="D4387" s="48"/>
    </row>
    <row r="4388" spans="1:4" x14ac:dyDescent="0.25">
      <c r="A4388" s="47"/>
      <c r="B4388" s="107"/>
      <c r="C4388" s="48"/>
      <c r="D4388" s="48"/>
    </row>
    <row r="4389" spans="1:4" x14ac:dyDescent="0.25">
      <c r="A4389" s="47"/>
      <c r="B4389" s="107"/>
      <c r="C4389" s="48"/>
      <c r="D4389" s="48"/>
    </row>
    <row r="4390" spans="1:4" x14ac:dyDescent="0.25">
      <c r="A4390" s="47"/>
      <c r="B4390" s="107"/>
      <c r="C4390" s="48"/>
      <c r="D4390" s="48"/>
    </row>
    <row r="4391" spans="1:4" x14ac:dyDescent="0.25">
      <c r="A4391" s="47"/>
      <c r="B4391" s="107"/>
      <c r="C4391" s="48"/>
      <c r="D4391" s="48"/>
    </row>
    <row r="4392" spans="1:4" x14ac:dyDescent="0.25">
      <c r="A4392" s="47"/>
      <c r="B4392" s="107"/>
      <c r="C4392" s="48"/>
      <c r="D4392" s="48"/>
    </row>
    <row r="4393" spans="1:4" x14ac:dyDescent="0.25">
      <c r="A4393" s="47"/>
      <c r="B4393" s="107"/>
      <c r="C4393" s="48"/>
      <c r="D4393" s="48"/>
    </row>
    <row r="4394" spans="1:4" x14ac:dyDescent="0.25">
      <c r="A4394" s="47"/>
      <c r="B4394" s="107"/>
      <c r="C4394" s="48"/>
      <c r="D4394" s="48"/>
    </row>
    <row r="4395" spans="1:4" x14ac:dyDescent="0.25">
      <c r="A4395" s="47"/>
      <c r="B4395" s="107"/>
      <c r="C4395" s="48"/>
      <c r="D4395" s="48"/>
    </row>
    <row r="4396" spans="1:4" x14ac:dyDescent="0.25">
      <c r="A4396" s="47"/>
      <c r="B4396" s="107"/>
      <c r="C4396" s="48"/>
      <c r="D4396" s="48"/>
    </row>
    <row r="4397" spans="1:4" x14ac:dyDescent="0.25">
      <c r="A4397" s="47"/>
      <c r="B4397" s="107"/>
      <c r="C4397" s="48"/>
      <c r="D4397" s="48"/>
    </row>
    <row r="4398" spans="1:4" x14ac:dyDescent="0.25">
      <c r="A4398" s="47"/>
      <c r="B4398" s="107"/>
      <c r="C4398" s="48"/>
      <c r="D4398" s="48"/>
    </row>
    <row r="4399" spans="1:4" x14ac:dyDescent="0.25">
      <c r="A4399" s="47"/>
      <c r="B4399" s="107"/>
      <c r="C4399" s="48"/>
      <c r="D4399" s="48"/>
    </row>
    <row r="4400" spans="1:4" x14ac:dyDescent="0.25">
      <c r="A4400" s="47"/>
      <c r="B4400" s="107"/>
      <c r="C4400" s="48"/>
      <c r="D4400" s="48"/>
    </row>
    <row r="4401" spans="1:4" x14ac:dyDescent="0.25">
      <c r="A4401" s="47"/>
      <c r="B4401" s="107"/>
      <c r="C4401" s="48"/>
      <c r="D4401" s="48"/>
    </row>
    <row r="4402" spans="1:4" x14ac:dyDescent="0.25">
      <c r="A4402" s="47"/>
      <c r="B4402" s="107"/>
      <c r="C4402" s="48"/>
      <c r="D4402" s="48"/>
    </row>
    <row r="4403" spans="1:4" x14ac:dyDescent="0.25">
      <c r="A4403" s="47"/>
      <c r="B4403" s="107"/>
      <c r="C4403" s="48"/>
      <c r="D4403" s="48"/>
    </row>
    <row r="4404" spans="1:4" x14ac:dyDescent="0.25">
      <c r="A4404" s="47"/>
      <c r="B4404" s="107"/>
      <c r="C4404" s="48"/>
      <c r="D4404" s="48"/>
    </row>
    <row r="4405" spans="1:4" x14ac:dyDescent="0.25">
      <c r="A4405" s="47"/>
      <c r="B4405" s="107"/>
      <c r="C4405" s="48"/>
      <c r="D4405" s="48"/>
    </row>
    <row r="4406" spans="1:4" x14ac:dyDescent="0.25">
      <c r="A4406" s="47"/>
      <c r="B4406" s="107"/>
      <c r="C4406" s="48"/>
      <c r="D4406" s="48"/>
    </row>
    <row r="4407" spans="1:4" x14ac:dyDescent="0.25">
      <c r="A4407" s="47"/>
      <c r="B4407" s="107"/>
      <c r="C4407" s="48"/>
      <c r="D4407" s="48"/>
    </row>
    <row r="4408" spans="1:4" x14ac:dyDescent="0.25">
      <c r="A4408" s="47"/>
      <c r="B4408" s="107"/>
      <c r="C4408" s="48"/>
      <c r="D4408" s="48"/>
    </row>
    <row r="4409" spans="1:4" x14ac:dyDescent="0.25">
      <c r="A4409" s="47"/>
      <c r="B4409" s="107"/>
      <c r="C4409" s="48"/>
      <c r="D4409" s="48"/>
    </row>
    <row r="4410" spans="1:4" x14ac:dyDescent="0.25">
      <c r="A4410" s="47"/>
      <c r="B4410" s="107"/>
      <c r="C4410" s="48"/>
      <c r="D4410" s="48"/>
    </row>
    <row r="4411" spans="1:4" x14ac:dyDescent="0.25">
      <c r="A4411" s="47"/>
      <c r="B4411" s="107"/>
      <c r="C4411" s="48"/>
      <c r="D4411" s="48"/>
    </row>
    <row r="4412" spans="1:4" x14ac:dyDescent="0.25">
      <c r="A4412" s="47"/>
      <c r="B4412" s="107"/>
      <c r="C4412" s="48"/>
      <c r="D4412" s="48"/>
    </row>
    <row r="4413" spans="1:4" x14ac:dyDescent="0.25">
      <c r="A4413" s="47"/>
      <c r="B4413" s="107"/>
      <c r="C4413" s="48"/>
      <c r="D4413" s="48"/>
    </row>
    <row r="4414" spans="1:4" x14ac:dyDescent="0.25">
      <c r="A4414" s="47"/>
      <c r="B4414" s="107"/>
      <c r="C4414" s="48"/>
      <c r="D4414" s="48"/>
    </row>
    <row r="4415" spans="1:4" x14ac:dyDescent="0.25">
      <c r="A4415" s="47"/>
      <c r="B4415" s="107"/>
      <c r="C4415" s="48"/>
      <c r="D4415" s="48"/>
    </row>
    <row r="4416" spans="1:4" x14ac:dyDescent="0.25">
      <c r="A4416" s="47"/>
      <c r="B4416" s="107"/>
      <c r="C4416" s="48"/>
      <c r="D4416" s="48"/>
    </row>
    <row r="4417" spans="1:4" x14ac:dyDescent="0.25">
      <c r="A4417" s="47"/>
      <c r="B4417" s="107"/>
      <c r="C4417" s="48"/>
      <c r="D4417" s="48"/>
    </row>
    <row r="4418" spans="1:4" x14ac:dyDescent="0.25">
      <c r="A4418" s="47"/>
      <c r="B4418" s="107"/>
      <c r="C4418" s="48"/>
      <c r="D4418" s="48"/>
    </row>
    <row r="4419" spans="1:4" x14ac:dyDescent="0.25">
      <c r="A4419" s="47"/>
      <c r="B4419" s="107"/>
      <c r="C4419" s="48"/>
      <c r="D4419" s="48"/>
    </row>
    <row r="4420" spans="1:4" x14ac:dyDescent="0.25">
      <c r="A4420" s="47"/>
      <c r="B4420" s="107"/>
      <c r="C4420" s="48"/>
      <c r="D4420" s="48"/>
    </row>
    <row r="4421" spans="1:4" x14ac:dyDescent="0.25">
      <c r="A4421" s="47"/>
      <c r="B4421" s="107"/>
      <c r="C4421" s="48"/>
      <c r="D4421" s="48"/>
    </row>
    <row r="4422" spans="1:4" x14ac:dyDescent="0.25">
      <c r="A4422" s="47"/>
      <c r="B4422" s="107"/>
      <c r="C4422" s="48"/>
      <c r="D4422" s="48"/>
    </row>
    <row r="4423" spans="1:4" x14ac:dyDescent="0.25">
      <c r="A4423" s="47"/>
      <c r="B4423" s="107"/>
      <c r="C4423" s="48"/>
      <c r="D4423" s="48"/>
    </row>
    <row r="4424" spans="1:4" x14ac:dyDescent="0.25">
      <c r="A4424" s="47"/>
      <c r="B4424" s="107"/>
      <c r="C4424" s="48"/>
      <c r="D4424" s="48"/>
    </row>
    <row r="4425" spans="1:4" x14ac:dyDescent="0.25">
      <c r="A4425" s="47"/>
      <c r="B4425" s="107"/>
      <c r="C4425" s="48"/>
      <c r="D4425" s="48"/>
    </row>
    <row r="4426" spans="1:4" x14ac:dyDescent="0.25">
      <c r="A4426" s="47"/>
      <c r="B4426" s="107"/>
      <c r="C4426" s="48"/>
      <c r="D4426" s="48"/>
    </row>
    <row r="4427" spans="1:4" x14ac:dyDescent="0.25">
      <c r="A4427" s="47"/>
      <c r="B4427" s="107"/>
      <c r="C4427" s="48"/>
      <c r="D4427" s="48"/>
    </row>
    <row r="4428" spans="1:4" x14ac:dyDescent="0.25">
      <c r="A4428" s="47"/>
      <c r="B4428" s="107"/>
      <c r="C4428" s="48"/>
      <c r="D4428" s="48"/>
    </row>
    <row r="4429" spans="1:4" x14ac:dyDescent="0.25">
      <c r="A4429" s="47"/>
      <c r="B4429" s="107"/>
      <c r="C4429" s="48"/>
      <c r="D4429" s="48"/>
    </row>
    <row r="4430" spans="1:4" x14ac:dyDescent="0.25">
      <c r="A4430" s="47"/>
      <c r="B4430" s="107"/>
      <c r="C4430" s="48"/>
      <c r="D4430" s="48"/>
    </row>
    <row r="4431" spans="1:4" x14ac:dyDescent="0.25">
      <c r="A4431" s="47"/>
      <c r="B4431" s="107"/>
      <c r="C4431" s="48"/>
      <c r="D4431" s="48"/>
    </row>
    <row r="4432" spans="1:4" x14ac:dyDescent="0.25">
      <c r="A4432" s="47"/>
      <c r="B4432" s="107"/>
      <c r="C4432" s="48"/>
      <c r="D4432" s="48"/>
    </row>
    <row r="4433" spans="1:4" x14ac:dyDescent="0.25">
      <c r="A4433" s="47"/>
      <c r="B4433" s="107"/>
      <c r="C4433" s="48"/>
      <c r="D4433" s="48"/>
    </row>
    <row r="4434" spans="1:4" x14ac:dyDescent="0.25">
      <c r="A4434" s="47"/>
      <c r="B4434" s="107"/>
      <c r="C4434" s="48"/>
      <c r="D4434" s="48"/>
    </row>
    <row r="4435" spans="1:4" x14ac:dyDescent="0.25">
      <c r="A4435" s="47"/>
      <c r="B4435" s="107"/>
      <c r="C4435" s="48"/>
      <c r="D4435" s="48"/>
    </row>
    <row r="4436" spans="1:4" x14ac:dyDescent="0.25">
      <c r="A4436" s="47"/>
      <c r="B4436" s="107"/>
      <c r="C4436" s="48"/>
      <c r="D4436" s="48"/>
    </row>
    <row r="4437" spans="1:4" x14ac:dyDescent="0.25">
      <c r="A4437" s="47"/>
      <c r="B4437" s="107"/>
      <c r="C4437" s="48"/>
      <c r="D4437" s="48"/>
    </row>
    <row r="4438" spans="1:4" x14ac:dyDescent="0.25">
      <c r="A4438" s="47"/>
      <c r="B4438" s="107"/>
      <c r="C4438" s="48"/>
      <c r="D4438" s="48"/>
    </row>
    <row r="4439" spans="1:4" x14ac:dyDescent="0.25">
      <c r="A4439" s="47"/>
      <c r="B4439" s="107"/>
      <c r="C4439" s="48"/>
      <c r="D4439" s="48"/>
    </row>
    <row r="4440" spans="1:4" x14ac:dyDescent="0.25">
      <c r="A4440" s="47"/>
      <c r="B4440" s="107"/>
      <c r="C4440" s="48"/>
      <c r="D4440" s="48"/>
    </row>
    <row r="4441" spans="1:4" x14ac:dyDescent="0.25">
      <c r="A4441" s="47"/>
      <c r="B4441" s="107"/>
      <c r="C4441" s="48"/>
      <c r="D4441" s="48"/>
    </row>
    <row r="4442" spans="1:4" x14ac:dyDescent="0.25">
      <c r="A4442" s="47"/>
      <c r="B4442" s="107"/>
      <c r="C4442" s="48"/>
      <c r="D4442" s="48"/>
    </row>
    <row r="4443" spans="1:4" x14ac:dyDescent="0.25">
      <c r="A4443" s="47"/>
      <c r="B4443" s="107"/>
      <c r="C4443" s="48"/>
      <c r="D4443" s="48"/>
    </row>
    <row r="4444" spans="1:4" x14ac:dyDescent="0.25">
      <c r="A4444" s="47"/>
      <c r="B4444" s="107"/>
      <c r="C4444" s="48"/>
      <c r="D4444" s="48"/>
    </row>
    <row r="4445" spans="1:4" x14ac:dyDescent="0.25">
      <c r="A4445" s="47"/>
      <c r="B4445" s="107"/>
      <c r="C4445" s="48"/>
      <c r="D4445" s="48"/>
    </row>
    <row r="4446" spans="1:4" x14ac:dyDescent="0.25">
      <c r="A4446" s="47"/>
      <c r="B4446" s="107"/>
      <c r="C4446" s="48"/>
      <c r="D4446" s="48"/>
    </row>
    <row r="4447" spans="1:4" x14ac:dyDescent="0.25">
      <c r="A4447" s="47"/>
      <c r="B4447" s="107"/>
      <c r="C4447" s="48"/>
      <c r="D4447" s="48"/>
    </row>
    <row r="4448" spans="1:4" x14ac:dyDescent="0.25">
      <c r="A4448" s="47"/>
      <c r="B4448" s="107"/>
      <c r="C4448" s="48"/>
      <c r="D4448" s="48"/>
    </row>
    <row r="4449" spans="1:4" x14ac:dyDescent="0.25">
      <c r="A4449" s="47"/>
      <c r="B4449" s="107"/>
      <c r="C4449" s="48"/>
      <c r="D4449" s="48"/>
    </row>
    <row r="4450" spans="1:4" x14ac:dyDescent="0.25">
      <c r="A4450" s="47"/>
      <c r="B4450" s="107"/>
      <c r="C4450" s="48"/>
      <c r="D4450" s="48"/>
    </row>
    <row r="4451" spans="1:4" x14ac:dyDescent="0.25">
      <c r="A4451" s="47"/>
      <c r="B4451" s="107"/>
      <c r="C4451" s="48"/>
      <c r="D4451" s="48"/>
    </row>
    <row r="4452" spans="1:4" x14ac:dyDescent="0.25">
      <c r="A4452" s="47"/>
      <c r="B4452" s="107"/>
      <c r="C4452" s="48"/>
      <c r="D4452" s="48"/>
    </row>
    <row r="4453" spans="1:4" x14ac:dyDescent="0.25">
      <c r="A4453" s="47"/>
      <c r="B4453" s="107"/>
      <c r="C4453" s="48"/>
      <c r="D4453" s="48"/>
    </row>
    <row r="4454" spans="1:4" x14ac:dyDescent="0.25">
      <c r="A4454" s="47"/>
      <c r="B4454" s="107"/>
      <c r="C4454" s="48"/>
      <c r="D4454" s="48"/>
    </row>
    <row r="4455" spans="1:4" x14ac:dyDescent="0.25">
      <c r="A4455" s="47"/>
      <c r="B4455" s="107"/>
      <c r="C4455" s="48"/>
      <c r="D4455" s="48"/>
    </row>
    <row r="4456" spans="1:4" x14ac:dyDescent="0.25">
      <c r="A4456" s="47"/>
      <c r="B4456" s="107"/>
      <c r="C4456" s="48"/>
      <c r="D4456" s="48"/>
    </row>
    <row r="4457" spans="1:4" x14ac:dyDescent="0.25">
      <c r="A4457" s="47"/>
      <c r="B4457" s="107"/>
      <c r="C4457" s="48"/>
      <c r="D4457" s="48"/>
    </row>
    <row r="4458" spans="1:4" x14ac:dyDescent="0.25">
      <c r="A4458" s="47"/>
      <c r="B4458" s="107"/>
      <c r="C4458" s="48"/>
      <c r="D4458" s="48"/>
    </row>
    <row r="4459" spans="1:4" x14ac:dyDescent="0.25">
      <c r="A4459" s="47"/>
      <c r="B4459" s="107"/>
      <c r="C4459" s="48"/>
      <c r="D4459" s="48"/>
    </row>
    <row r="4460" spans="1:4" x14ac:dyDescent="0.25">
      <c r="A4460" s="47"/>
      <c r="B4460" s="107"/>
      <c r="C4460" s="48"/>
      <c r="D4460" s="48"/>
    </row>
    <row r="4461" spans="1:4" x14ac:dyDescent="0.25">
      <c r="A4461" s="47"/>
      <c r="B4461" s="107"/>
      <c r="C4461" s="48"/>
      <c r="D4461" s="48"/>
    </row>
    <row r="4462" spans="1:4" x14ac:dyDescent="0.25">
      <c r="A4462" s="47"/>
      <c r="B4462" s="107"/>
      <c r="C4462" s="48"/>
      <c r="D4462" s="48"/>
    </row>
    <row r="4463" spans="1:4" x14ac:dyDescent="0.25">
      <c r="A4463" s="47"/>
      <c r="B4463" s="107"/>
      <c r="C4463" s="48"/>
      <c r="D4463" s="48"/>
    </row>
    <row r="4464" spans="1:4" x14ac:dyDescent="0.25">
      <c r="A4464" s="47"/>
      <c r="B4464" s="107"/>
      <c r="C4464" s="48"/>
      <c r="D4464" s="48"/>
    </row>
    <row r="4465" spans="1:4" x14ac:dyDescent="0.25">
      <c r="A4465" s="47"/>
      <c r="B4465" s="107"/>
      <c r="C4465" s="48"/>
      <c r="D4465" s="48"/>
    </row>
    <row r="4466" spans="1:4" x14ac:dyDescent="0.25">
      <c r="A4466" s="47"/>
      <c r="B4466" s="107"/>
      <c r="C4466" s="48"/>
      <c r="D4466" s="48"/>
    </row>
    <row r="4467" spans="1:4" x14ac:dyDescent="0.25">
      <c r="A4467" s="47"/>
      <c r="B4467" s="107"/>
      <c r="C4467" s="48"/>
      <c r="D4467" s="48"/>
    </row>
    <row r="4468" spans="1:4" x14ac:dyDescent="0.25">
      <c r="A4468" s="47"/>
      <c r="B4468" s="107"/>
      <c r="C4468" s="48"/>
      <c r="D4468" s="48"/>
    </row>
    <row r="4469" spans="1:4" x14ac:dyDescent="0.25">
      <c r="A4469" s="47"/>
      <c r="B4469" s="107"/>
      <c r="C4469" s="48"/>
      <c r="D4469" s="48"/>
    </row>
    <row r="4470" spans="1:4" x14ac:dyDescent="0.25">
      <c r="A4470" s="47"/>
      <c r="B4470" s="107"/>
      <c r="C4470" s="48"/>
      <c r="D4470" s="48"/>
    </row>
    <row r="4471" spans="1:4" x14ac:dyDescent="0.25">
      <c r="A4471" s="47"/>
      <c r="B4471" s="107"/>
      <c r="C4471" s="48"/>
      <c r="D4471" s="48"/>
    </row>
    <row r="4472" spans="1:4" x14ac:dyDescent="0.25">
      <c r="A4472" s="47"/>
      <c r="B4472" s="107"/>
      <c r="C4472" s="48"/>
      <c r="D4472" s="48"/>
    </row>
    <row r="4473" spans="1:4" x14ac:dyDescent="0.25">
      <c r="A4473" s="47"/>
      <c r="B4473" s="107"/>
      <c r="C4473" s="48"/>
      <c r="D4473" s="48"/>
    </row>
    <row r="4474" spans="1:4" x14ac:dyDescent="0.25">
      <c r="A4474" s="47"/>
      <c r="B4474" s="107"/>
      <c r="C4474" s="48"/>
      <c r="D4474" s="48"/>
    </row>
    <row r="4475" spans="1:4" x14ac:dyDescent="0.25">
      <c r="A4475" s="47"/>
      <c r="B4475" s="107"/>
      <c r="C4475" s="48"/>
      <c r="D4475" s="48"/>
    </row>
    <row r="4476" spans="1:4" x14ac:dyDescent="0.25">
      <c r="A4476" s="47"/>
      <c r="B4476" s="107"/>
      <c r="C4476" s="48"/>
      <c r="D4476" s="48"/>
    </row>
    <row r="4477" spans="1:4" x14ac:dyDescent="0.25">
      <c r="A4477" s="47"/>
      <c r="B4477" s="107"/>
      <c r="C4477" s="48"/>
      <c r="D4477" s="48"/>
    </row>
    <row r="4478" spans="1:4" x14ac:dyDescent="0.25">
      <c r="A4478" s="47"/>
      <c r="B4478" s="107"/>
      <c r="C4478" s="48"/>
      <c r="D4478" s="48"/>
    </row>
    <row r="4479" spans="1:4" x14ac:dyDescent="0.25">
      <c r="A4479" s="47"/>
      <c r="B4479" s="107"/>
      <c r="C4479" s="48"/>
      <c r="D4479" s="48"/>
    </row>
    <row r="4480" spans="1:4" x14ac:dyDescent="0.25">
      <c r="A4480" s="47"/>
      <c r="B4480" s="107"/>
      <c r="C4480" s="48"/>
      <c r="D4480" s="48"/>
    </row>
    <row r="4481" spans="1:4" x14ac:dyDescent="0.25">
      <c r="A4481" s="47"/>
      <c r="B4481" s="107"/>
      <c r="C4481" s="48"/>
      <c r="D4481" s="48"/>
    </row>
    <row r="4482" spans="1:4" x14ac:dyDescent="0.25">
      <c r="A4482" s="47"/>
      <c r="B4482" s="107"/>
      <c r="C4482" s="48"/>
      <c r="D4482" s="48"/>
    </row>
    <row r="4483" spans="1:4" x14ac:dyDescent="0.25">
      <c r="A4483" s="47"/>
      <c r="B4483" s="107"/>
      <c r="C4483" s="48"/>
      <c r="D4483" s="48"/>
    </row>
    <row r="4484" spans="1:4" x14ac:dyDescent="0.25">
      <c r="A4484" s="47"/>
      <c r="B4484" s="107"/>
      <c r="C4484" s="48"/>
      <c r="D4484" s="48"/>
    </row>
    <row r="4485" spans="1:4" x14ac:dyDescent="0.25">
      <c r="A4485" s="47"/>
      <c r="B4485" s="107"/>
      <c r="C4485" s="48"/>
      <c r="D4485" s="48"/>
    </row>
    <row r="4486" spans="1:4" x14ac:dyDescent="0.25">
      <c r="A4486" s="47"/>
      <c r="B4486" s="107"/>
      <c r="C4486" s="48"/>
      <c r="D4486" s="48"/>
    </row>
    <row r="4487" spans="1:4" x14ac:dyDescent="0.25">
      <c r="A4487" s="47"/>
      <c r="B4487" s="107"/>
      <c r="C4487" s="48"/>
      <c r="D4487" s="48"/>
    </row>
    <row r="4488" spans="1:4" x14ac:dyDescent="0.25">
      <c r="A4488" s="47"/>
      <c r="B4488" s="107"/>
      <c r="C4488" s="48"/>
      <c r="D4488" s="48"/>
    </row>
    <row r="4489" spans="1:4" x14ac:dyDescent="0.25">
      <c r="A4489" s="47"/>
      <c r="B4489" s="107"/>
      <c r="C4489" s="48"/>
      <c r="D4489" s="48"/>
    </row>
    <row r="4490" spans="1:4" x14ac:dyDescent="0.25">
      <c r="A4490" s="47"/>
      <c r="B4490" s="107"/>
      <c r="C4490" s="48"/>
      <c r="D4490" s="48"/>
    </row>
    <row r="4491" spans="1:4" x14ac:dyDescent="0.25">
      <c r="A4491" s="47"/>
      <c r="B4491" s="107"/>
      <c r="C4491" s="48"/>
      <c r="D4491" s="48"/>
    </row>
    <row r="4492" spans="1:4" x14ac:dyDescent="0.25">
      <c r="A4492" s="47"/>
      <c r="B4492" s="107"/>
      <c r="C4492" s="48"/>
      <c r="D4492" s="48"/>
    </row>
    <row r="4493" spans="1:4" x14ac:dyDescent="0.25">
      <c r="A4493" s="47"/>
      <c r="B4493" s="107"/>
      <c r="C4493" s="48"/>
      <c r="D4493" s="48"/>
    </row>
    <row r="4494" spans="1:4" x14ac:dyDescent="0.25">
      <c r="A4494" s="47"/>
      <c r="B4494" s="107"/>
      <c r="C4494" s="48"/>
      <c r="D4494" s="48"/>
    </row>
    <row r="4495" spans="1:4" x14ac:dyDescent="0.25">
      <c r="A4495" s="47"/>
      <c r="B4495" s="107"/>
      <c r="C4495" s="48"/>
      <c r="D4495" s="48"/>
    </row>
    <row r="4496" spans="1:4" x14ac:dyDescent="0.25">
      <c r="A4496" s="47"/>
      <c r="B4496" s="107"/>
      <c r="C4496" s="48"/>
      <c r="D4496" s="48"/>
    </row>
    <row r="4497" spans="1:4" x14ac:dyDescent="0.25">
      <c r="A4497" s="47"/>
      <c r="B4497" s="107"/>
      <c r="C4497" s="48"/>
      <c r="D4497" s="48"/>
    </row>
    <row r="4498" spans="1:4" x14ac:dyDescent="0.25">
      <c r="A4498" s="47"/>
      <c r="B4498" s="107"/>
      <c r="C4498" s="48"/>
      <c r="D4498" s="48"/>
    </row>
    <row r="4499" spans="1:4" x14ac:dyDescent="0.25">
      <c r="A4499" s="47"/>
      <c r="B4499" s="107"/>
      <c r="C4499" s="48"/>
      <c r="D4499" s="48"/>
    </row>
    <row r="4500" spans="1:4" x14ac:dyDescent="0.25">
      <c r="A4500" s="47"/>
      <c r="B4500" s="107"/>
      <c r="C4500" s="48"/>
      <c r="D4500" s="48"/>
    </row>
    <row r="4501" spans="1:4" x14ac:dyDescent="0.25">
      <c r="A4501" s="47"/>
      <c r="B4501" s="107"/>
      <c r="C4501" s="48"/>
      <c r="D4501" s="48"/>
    </row>
    <row r="4502" spans="1:4" x14ac:dyDescent="0.25">
      <c r="A4502" s="47"/>
      <c r="B4502" s="107"/>
      <c r="C4502" s="48"/>
      <c r="D4502" s="48"/>
    </row>
    <row r="4503" spans="1:4" x14ac:dyDescent="0.25">
      <c r="A4503" s="47"/>
      <c r="B4503" s="107"/>
      <c r="C4503" s="48"/>
      <c r="D4503" s="48"/>
    </row>
    <row r="4504" spans="1:4" x14ac:dyDescent="0.25">
      <c r="A4504" s="47"/>
      <c r="B4504" s="107"/>
      <c r="C4504" s="48"/>
      <c r="D4504" s="48"/>
    </row>
    <row r="4505" spans="1:4" x14ac:dyDescent="0.25">
      <c r="A4505" s="47"/>
      <c r="B4505" s="107"/>
      <c r="C4505" s="48"/>
      <c r="D4505" s="48"/>
    </row>
    <row r="4506" spans="1:4" x14ac:dyDescent="0.25">
      <c r="A4506" s="47"/>
      <c r="B4506" s="107"/>
      <c r="C4506" s="48"/>
      <c r="D4506" s="48"/>
    </row>
    <row r="4507" spans="1:4" x14ac:dyDescent="0.25">
      <c r="A4507" s="47"/>
      <c r="B4507" s="107"/>
      <c r="C4507" s="48"/>
      <c r="D4507" s="48"/>
    </row>
    <row r="4508" spans="1:4" x14ac:dyDescent="0.25">
      <c r="A4508" s="47"/>
      <c r="B4508" s="107"/>
      <c r="C4508" s="48"/>
      <c r="D4508" s="48"/>
    </row>
    <row r="4509" spans="1:4" x14ac:dyDescent="0.25">
      <c r="A4509" s="47"/>
      <c r="B4509" s="107"/>
      <c r="C4509" s="48"/>
      <c r="D4509" s="48"/>
    </row>
    <row r="4510" spans="1:4" x14ac:dyDescent="0.25">
      <c r="A4510" s="47"/>
      <c r="B4510" s="107"/>
      <c r="C4510" s="48"/>
      <c r="D4510" s="48"/>
    </row>
    <row r="4511" spans="1:4" x14ac:dyDescent="0.25">
      <c r="A4511" s="47"/>
      <c r="B4511" s="107"/>
      <c r="C4511" s="48"/>
      <c r="D4511" s="48"/>
    </row>
    <row r="4512" spans="1:4" x14ac:dyDescent="0.25">
      <c r="A4512" s="47"/>
      <c r="B4512" s="107"/>
      <c r="C4512" s="48"/>
      <c r="D4512" s="48"/>
    </row>
    <row r="4513" spans="1:4" x14ac:dyDescent="0.25">
      <c r="A4513" s="47"/>
      <c r="B4513" s="107"/>
      <c r="C4513" s="48"/>
      <c r="D4513" s="48"/>
    </row>
    <row r="4514" spans="1:4" x14ac:dyDescent="0.25">
      <c r="A4514" s="47"/>
      <c r="B4514" s="107"/>
      <c r="C4514" s="48"/>
      <c r="D4514" s="48"/>
    </row>
    <row r="4515" spans="1:4" x14ac:dyDescent="0.25">
      <c r="A4515" s="47"/>
      <c r="B4515" s="107"/>
      <c r="C4515" s="48"/>
      <c r="D4515" s="48"/>
    </row>
    <row r="4516" spans="1:4" x14ac:dyDescent="0.25">
      <c r="A4516" s="47"/>
      <c r="B4516" s="107"/>
      <c r="C4516" s="48"/>
      <c r="D4516" s="48"/>
    </row>
    <row r="4517" spans="1:4" x14ac:dyDescent="0.25">
      <c r="A4517" s="47"/>
      <c r="B4517" s="107"/>
      <c r="C4517" s="48"/>
      <c r="D4517" s="48"/>
    </row>
    <row r="4518" spans="1:4" x14ac:dyDescent="0.25">
      <c r="A4518" s="47"/>
      <c r="B4518" s="107"/>
      <c r="C4518" s="48"/>
      <c r="D4518" s="48"/>
    </row>
    <row r="4519" spans="1:4" x14ac:dyDescent="0.25">
      <c r="A4519" s="47"/>
      <c r="B4519" s="107"/>
      <c r="C4519" s="48"/>
      <c r="D4519" s="48"/>
    </row>
    <row r="4520" spans="1:4" x14ac:dyDescent="0.25">
      <c r="A4520" s="47"/>
      <c r="B4520" s="107"/>
      <c r="C4520" s="48"/>
      <c r="D4520" s="48"/>
    </row>
    <row r="4521" spans="1:4" x14ac:dyDescent="0.25">
      <c r="A4521" s="47"/>
      <c r="B4521" s="107"/>
      <c r="C4521" s="48"/>
      <c r="D4521" s="48"/>
    </row>
    <row r="4522" spans="1:4" x14ac:dyDescent="0.25">
      <c r="A4522" s="47"/>
      <c r="B4522" s="107"/>
      <c r="C4522" s="48"/>
      <c r="D4522" s="48"/>
    </row>
    <row r="4523" spans="1:4" x14ac:dyDescent="0.25">
      <c r="A4523" s="47"/>
      <c r="B4523" s="107"/>
      <c r="C4523" s="48"/>
      <c r="D4523" s="48"/>
    </row>
    <row r="4524" spans="1:4" x14ac:dyDescent="0.25">
      <c r="A4524" s="47"/>
      <c r="B4524" s="107"/>
      <c r="C4524" s="48"/>
      <c r="D4524" s="48"/>
    </row>
    <row r="4525" spans="1:4" x14ac:dyDescent="0.25">
      <c r="A4525" s="47"/>
      <c r="B4525" s="107"/>
      <c r="C4525" s="48"/>
      <c r="D4525" s="48"/>
    </row>
    <row r="4526" spans="1:4" x14ac:dyDescent="0.25">
      <c r="A4526" s="47"/>
      <c r="B4526" s="107"/>
      <c r="C4526" s="48"/>
      <c r="D4526" s="48"/>
    </row>
    <row r="4527" spans="1:4" x14ac:dyDescent="0.25">
      <c r="A4527" s="47"/>
      <c r="B4527" s="107"/>
      <c r="C4527" s="48"/>
      <c r="D4527" s="48"/>
    </row>
    <row r="4528" spans="1:4" x14ac:dyDescent="0.25">
      <c r="A4528" s="47"/>
      <c r="B4528" s="107"/>
      <c r="C4528" s="48"/>
      <c r="D4528" s="48"/>
    </row>
    <row r="4529" spans="1:4" x14ac:dyDescent="0.25">
      <c r="A4529" s="47"/>
      <c r="B4529" s="107"/>
      <c r="C4529" s="48"/>
      <c r="D4529" s="48"/>
    </row>
    <row r="4530" spans="1:4" x14ac:dyDescent="0.25">
      <c r="A4530" s="47"/>
      <c r="B4530" s="107"/>
      <c r="C4530" s="48"/>
      <c r="D4530" s="48"/>
    </row>
    <row r="4531" spans="1:4" x14ac:dyDescent="0.25">
      <c r="A4531" s="47"/>
      <c r="B4531" s="107"/>
      <c r="C4531" s="48"/>
      <c r="D4531" s="48"/>
    </row>
    <row r="4532" spans="1:4" x14ac:dyDescent="0.25">
      <c r="A4532" s="47"/>
      <c r="B4532" s="107"/>
      <c r="C4532" s="48"/>
      <c r="D4532" s="48"/>
    </row>
    <row r="4533" spans="1:4" x14ac:dyDescent="0.25">
      <c r="A4533" s="47"/>
      <c r="B4533" s="107"/>
      <c r="C4533" s="48"/>
      <c r="D4533" s="48"/>
    </row>
    <row r="4534" spans="1:4" x14ac:dyDescent="0.25">
      <c r="A4534" s="47"/>
      <c r="B4534" s="107"/>
      <c r="C4534" s="48"/>
      <c r="D4534" s="48"/>
    </row>
    <row r="4535" spans="1:4" x14ac:dyDescent="0.25">
      <c r="A4535" s="47"/>
      <c r="B4535" s="107"/>
      <c r="C4535" s="48"/>
      <c r="D4535" s="48"/>
    </row>
    <row r="4536" spans="1:4" x14ac:dyDescent="0.25">
      <c r="A4536" s="47"/>
      <c r="B4536" s="107"/>
      <c r="C4536" s="48"/>
      <c r="D4536" s="48"/>
    </row>
    <row r="4537" spans="1:4" x14ac:dyDescent="0.25">
      <c r="A4537" s="47"/>
      <c r="B4537" s="107"/>
      <c r="C4537" s="48"/>
      <c r="D4537" s="48"/>
    </row>
    <row r="4538" spans="1:4" x14ac:dyDescent="0.25">
      <c r="A4538" s="47"/>
      <c r="B4538" s="107"/>
      <c r="C4538" s="48"/>
      <c r="D4538" s="48"/>
    </row>
    <row r="4539" spans="1:4" x14ac:dyDescent="0.25">
      <c r="A4539" s="47"/>
      <c r="B4539" s="107"/>
      <c r="C4539" s="48"/>
      <c r="D4539" s="48"/>
    </row>
    <row r="4540" spans="1:4" x14ac:dyDescent="0.25">
      <c r="A4540" s="47"/>
      <c r="B4540" s="107"/>
      <c r="C4540" s="48"/>
      <c r="D4540" s="48"/>
    </row>
    <row r="4541" spans="1:4" x14ac:dyDescent="0.25">
      <c r="A4541" s="47"/>
      <c r="B4541" s="107"/>
      <c r="C4541" s="48"/>
      <c r="D4541" s="48"/>
    </row>
    <row r="4542" spans="1:4" x14ac:dyDescent="0.25">
      <c r="A4542" s="47"/>
      <c r="B4542" s="107"/>
      <c r="C4542" s="48"/>
      <c r="D4542" s="48"/>
    </row>
    <row r="4543" spans="1:4" x14ac:dyDescent="0.25">
      <c r="A4543" s="47"/>
      <c r="B4543" s="107"/>
      <c r="C4543" s="48"/>
      <c r="D4543" s="48"/>
    </row>
    <row r="4544" spans="1:4" x14ac:dyDescent="0.25">
      <c r="A4544" s="47"/>
      <c r="B4544" s="107"/>
      <c r="C4544" s="48"/>
      <c r="D4544" s="48"/>
    </row>
    <row r="4545" spans="1:4" x14ac:dyDescent="0.25">
      <c r="A4545" s="47"/>
      <c r="B4545" s="107"/>
      <c r="C4545" s="48"/>
      <c r="D4545" s="48"/>
    </row>
    <row r="4546" spans="1:4" x14ac:dyDescent="0.25">
      <c r="A4546" s="47"/>
      <c r="B4546" s="107"/>
      <c r="C4546" s="48"/>
      <c r="D4546" s="48"/>
    </row>
    <row r="4547" spans="1:4" x14ac:dyDescent="0.25">
      <c r="A4547" s="47"/>
      <c r="B4547" s="107"/>
      <c r="C4547" s="48"/>
      <c r="D4547" s="48"/>
    </row>
    <row r="4548" spans="1:4" x14ac:dyDescent="0.25">
      <c r="A4548" s="47"/>
      <c r="B4548" s="107"/>
      <c r="C4548" s="48"/>
      <c r="D4548" s="48"/>
    </row>
    <row r="4549" spans="1:4" x14ac:dyDescent="0.25">
      <c r="A4549" s="47"/>
      <c r="B4549" s="107"/>
      <c r="C4549" s="48"/>
      <c r="D4549" s="48"/>
    </row>
    <row r="4550" spans="1:4" x14ac:dyDescent="0.25">
      <c r="A4550" s="47"/>
      <c r="B4550" s="107"/>
      <c r="C4550" s="48"/>
      <c r="D4550" s="48"/>
    </row>
    <row r="4551" spans="1:4" x14ac:dyDescent="0.25">
      <c r="A4551" s="47"/>
      <c r="B4551" s="107"/>
      <c r="C4551" s="48"/>
      <c r="D4551" s="48"/>
    </row>
    <row r="4552" spans="1:4" x14ac:dyDescent="0.25">
      <c r="A4552" s="47"/>
      <c r="B4552" s="107"/>
      <c r="C4552" s="48"/>
      <c r="D4552" s="48"/>
    </row>
    <row r="4553" spans="1:4" x14ac:dyDescent="0.25">
      <c r="A4553" s="47"/>
      <c r="B4553" s="107"/>
      <c r="C4553" s="48"/>
      <c r="D4553" s="48"/>
    </row>
    <row r="4554" spans="1:4" x14ac:dyDescent="0.25">
      <c r="A4554" s="47"/>
      <c r="B4554" s="107"/>
      <c r="C4554" s="48"/>
      <c r="D4554" s="48"/>
    </row>
    <row r="4555" spans="1:4" x14ac:dyDescent="0.25">
      <c r="A4555" s="47"/>
      <c r="B4555" s="107"/>
      <c r="C4555" s="48"/>
      <c r="D4555" s="48"/>
    </row>
    <row r="4556" spans="1:4" x14ac:dyDescent="0.25">
      <c r="A4556" s="47"/>
      <c r="B4556" s="107"/>
      <c r="C4556" s="48"/>
      <c r="D4556" s="48"/>
    </row>
    <row r="4557" spans="1:4" x14ac:dyDescent="0.25">
      <c r="A4557" s="47"/>
      <c r="B4557" s="107"/>
      <c r="C4557" s="48"/>
      <c r="D4557" s="48"/>
    </row>
    <row r="4558" spans="1:4" x14ac:dyDescent="0.25">
      <c r="A4558" s="47"/>
      <c r="B4558" s="107"/>
      <c r="C4558" s="48"/>
      <c r="D4558" s="48"/>
    </row>
    <row r="4559" spans="1:4" x14ac:dyDescent="0.25">
      <c r="A4559" s="47"/>
      <c r="B4559" s="107"/>
      <c r="C4559" s="48"/>
      <c r="D4559" s="48"/>
    </row>
    <row r="4560" spans="1:4" x14ac:dyDescent="0.25">
      <c r="A4560" s="47"/>
      <c r="B4560" s="107"/>
      <c r="C4560" s="48"/>
      <c r="D4560" s="48"/>
    </row>
    <row r="4561" spans="1:4" x14ac:dyDescent="0.25">
      <c r="A4561" s="47"/>
      <c r="B4561" s="107"/>
      <c r="C4561" s="48"/>
      <c r="D4561" s="48"/>
    </row>
    <row r="4562" spans="1:4" x14ac:dyDescent="0.25">
      <c r="A4562" s="47"/>
      <c r="B4562" s="107"/>
      <c r="C4562" s="48"/>
      <c r="D4562" s="48"/>
    </row>
    <row r="4563" spans="1:4" x14ac:dyDescent="0.25">
      <c r="A4563" s="47"/>
      <c r="B4563" s="107"/>
      <c r="C4563" s="48"/>
      <c r="D4563" s="48"/>
    </row>
    <row r="4564" spans="1:4" x14ac:dyDescent="0.25">
      <c r="A4564" s="47"/>
      <c r="B4564" s="107"/>
      <c r="C4564" s="48"/>
      <c r="D4564" s="48"/>
    </row>
    <row r="4565" spans="1:4" x14ac:dyDescent="0.25">
      <c r="A4565" s="47"/>
      <c r="B4565" s="107"/>
      <c r="C4565" s="48"/>
      <c r="D4565" s="48"/>
    </row>
    <row r="4566" spans="1:4" x14ac:dyDescent="0.25">
      <c r="A4566" s="47"/>
      <c r="B4566" s="107"/>
      <c r="C4566" s="48"/>
      <c r="D4566" s="48"/>
    </row>
    <row r="4567" spans="1:4" x14ac:dyDescent="0.25">
      <c r="A4567" s="47"/>
      <c r="B4567" s="107"/>
      <c r="C4567" s="48"/>
      <c r="D4567" s="48"/>
    </row>
    <row r="4568" spans="1:4" x14ac:dyDescent="0.25">
      <c r="A4568" s="47"/>
      <c r="B4568" s="107"/>
      <c r="C4568" s="48"/>
      <c r="D4568" s="48"/>
    </row>
    <row r="4569" spans="1:4" x14ac:dyDescent="0.25">
      <c r="A4569" s="47"/>
      <c r="B4569" s="107"/>
      <c r="C4569" s="48"/>
      <c r="D4569" s="48"/>
    </row>
    <row r="4570" spans="1:4" x14ac:dyDescent="0.25">
      <c r="A4570" s="47"/>
      <c r="B4570" s="107"/>
      <c r="C4570" s="48"/>
      <c r="D4570" s="48"/>
    </row>
    <row r="4571" spans="1:4" x14ac:dyDescent="0.25">
      <c r="A4571" s="47"/>
      <c r="B4571" s="107"/>
      <c r="C4571" s="48"/>
      <c r="D4571" s="48"/>
    </row>
    <row r="4572" spans="1:4" x14ac:dyDescent="0.25">
      <c r="A4572" s="47"/>
      <c r="B4572" s="107"/>
      <c r="C4572" s="48"/>
      <c r="D4572" s="48"/>
    </row>
    <row r="4573" spans="1:4" x14ac:dyDescent="0.25">
      <c r="A4573" s="47"/>
      <c r="B4573" s="107"/>
      <c r="C4573" s="48"/>
      <c r="D4573" s="48"/>
    </row>
    <row r="4574" spans="1:4" x14ac:dyDescent="0.25">
      <c r="A4574" s="47"/>
      <c r="B4574" s="107"/>
      <c r="C4574" s="48"/>
      <c r="D4574" s="48"/>
    </row>
    <row r="4575" spans="1:4" x14ac:dyDescent="0.25">
      <c r="A4575" s="47"/>
      <c r="B4575" s="107"/>
      <c r="C4575" s="48"/>
      <c r="D4575" s="48"/>
    </row>
    <row r="4576" spans="1:4" x14ac:dyDescent="0.25">
      <c r="A4576" s="47"/>
      <c r="B4576" s="107"/>
      <c r="C4576" s="48"/>
      <c r="D4576" s="48"/>
    </row>
    <row r="4577" spans="1:4" x14ac:dyDescent="0.25">
      <c r="A4577" s="47"/>
      <c r="B4577" s="107"/>
      <c r="C4577" s="48"/>
      <c r="D4577" s="48"/>
    </row>
    <row r="4578" spans="1:4" x14ac:dyDescent="0.25">
      <c r="A4578" s="47"/>
      <c r="B4578" s="107"/>
      <c r="C4578" s="48"/>
      <c r="D4578" s="48"/>
    </row>
    <row r="4579" spans="1:4" x14ac:dyDescent="0.25">
      <c r="A4579" s="47"/>
      <c r="B4579" s="107"/>
      <c r="C4579" s="48"/>
      <c r="D4579" s="48"/>
    </row>
    <row r="4580" spans="1:4" x14ac:dyDescent="0.25">
      <c r="A4580" s="47"/>
      <c r="B4580" s="107"/>
      <c r="C4580" s="48"/>
      <c r="D4580" s="48"/>
    </row>
    <row r="4581" spans="1:4" x14ac:dyDescent="0.25">
      <c r="A4581" s="47"/>
      <c r="B4581" s="107"/>
      <c r="C4581" s="48"/>
      <c r="D4581" s="48"/>
    </row>
    <row r="4582" spans="1:4" x14ac:dyDescent="0.25">
      <c r="A4582" s="47"/>
      <c r="B4582" s="107"/>
      <c r="C4582" s="48"/>
      <c r="D4582" s="48"/>
    </row>
    <row r="4583" spans="1:4" x14ac:dyDescent="0.25">
      <c r="A4583" s="47"/>
      <c r="B4583" s="107"/>
      <c r="C4583" s="48"/>
      <c r="D4583" s="48"/>
    </row>
    <row r="4584" spans="1:4" x14ac:dyDescent="0.25">
      <c r="A4584" s="47"/>
      <c r="B4584" s="107"/>
      <c r="C4584" s="48"/>
      <c r="D4584" s="48"/>
    </row>
    <row r="4585" spans="1:4" x14ac:dyDescent="0.25">
      <c r="A4585" s="47"/>
      <c r="B4585" s="107"/>
      <c r="C4585" s="48"/>
      <c r="D4585" s="48"/>
    </row>
    <row r="4586" spans="1:4" x14ac:dyDescent="0.25">
      <c r="A4586" s="47"/>
      <c r="B4586" s="107"/>
      <c r="C4586" s="48"/>
      <c r="D4586" s="48"/>
    </row>
    <row r="4587" spans="1:4" x14ac:dyDescent="0.25">
      <c r="A4587" s="47"/>
      <c r="B4587" s="107"/>
      <c r="C4587" s="48"/>
      <c r="D4587" s="48"/>
    </row>
    <row r="4588" spans="1:4" x14ac:dyDescent="0.25">
      <c r="A4588" s="47"/>
      <c r="B4588" s="107"/>
      <c r="C4588" s="48"/>
      <c r="D4588" s="48"/>
    </row>
    <row r="4589" spans="1:4" x14ac:dyDescent="0.25">
      <c r="A4589" s="47"/>
      <c r="B4589" s="107"/>
      <c r="C4589" s="48"/>
      <c r="D4589" s="48"/>
    </row>
    <row r="4590" spans="1:4" x14ac:dyDescent="0.25">
      <c r="A4590" s="47"/>
      <c r="B4590" s="107"/>
      <c r="C4590" s="48"/>
      <c r="D4590" s="48"/>
    </row>
    <row r="4591" spans="1:4" x14ac:dyDescent="0.25">
      <c r="A4591" s="47"/>
      <c r="B4591" s="107"/>
      <c r="C4591" s="48"/>
      <c r="D4591" s="48"/>
    </row>
    <row r="4592" spans="1:4" x14ac:dyDescent="0.25">
      <c r="A4592" s="47"/>
      <c r="B4592" s="107"/>
      <c r="C4592" s="48"/>
      <c r="D4592" s="48"/>
    </row>
    <row r="4593" spans="1:4" x14ac:dyDescent="0.25">
      <c r="A4593" s="47"/>
      <c r="B4593" s="107"/>
      <c r="C4593" s="48"/>
      <c r="D4593" s="48"/>
    </row>
    <row r="4594" spans="1:4" x14ac:dyDescent="0.25">
      <c r="A4594" s="47"/>
      <c r="B4594" s="107"/>
      <c r="C4594" s="48"/>
      <c r="D4594" s="48"/>
    </row>
    <row r="4595" spans="1:4" x14ac:dyDescent="0.25">
      <c r="A4595" s="47"/>
      <c r="B4595" s="107"/>
      <c r="C4595" s="48"/>
      <c r="D4595" s="48"/>
    </row>
    <row r="4596" spans="1:4" x14ac:dyDescent="0.25">
      <c r="A4596" s="47"/>
      <c r="B4596" s="107"/>
      <c r="C4596" s="48"/>
      <c r="D4596" s="48"/>
    </row>
    <row r="4597" spans="1:4" x14ac:dyDescent="0.25">
      <c r="A4597" s="47"/>
      <c r="B4597" s="107"/>
      <c r="C4597" s="48"/>
      <c r="D4597" s="48"/>
    </row>
    <row r="4598" spans="1:4" x14ac:dyDescent="0.25">
      <c r="A4598" s="47"/>
      <c r="B4598" s="107"/>
      <c r="C4598" s="48"/>
      <c r="D4598" s="48"/>
    </row>
    <row r="4599" spans="1:4" x14ac:dyDescent="0.25">
      <c r="A4599" s="47"/>
      <c r="B4599" s="107"/>
      <c r="C4599" s="48"/>
      <c r="D4599" s="48"/>
    </row>
    <row r="4600" spans="1:4" x14ac:dyDescent="0.25">
      <c r="A4600" s="47"/>
      <c r="B4600" s="107"/>
      <c r="C4600" s="48"/>
      <c r="D4600" s="48"/>
    </row>
    <row r="4601" spans="1:4" x14ac:dyDescent="0.25">
      <c r="A4601" s="47"/>
      <c r="B4601" s="107"/>
      <c r="C4601" s="48"/>
      <c r="D4601" s="48"/>
    </row>
    <row r="4602" spans="1:4" x14ac:dyDescent="0.25">
      <c r="A4602" s="47"/>
      <c r="B4602" s="107"/>
      <c r="C4602" s="48"/>
      <c r="D4602" s="48"/>
    </row>
    <row r="4603" spans="1:4" x14ac:dyDescent="0.25">
      <c r="A4603" s="47"/>
      <c r="B4603" s="107"/>
      <c r="C4603" s="48"/>
      <c r="D4603" s="48"/>
    </row>
    <row r="4604" spans="1:4" x14ac:dyDescent="0.25">
      <c r="A4604" s="47"/>
      <c r="B4604" s="107"/>
      <c r="C4604" s="48"/>
      <c r="D4604" s="48"/>
    </row>
    <row r="4605" spans="1:4" x14ac:dyDescent="0.25">
      <c r="A4605" s="47"/>
      <c r="B4605" s="107"/>
      <c r="C4605" s="48"/>
      <c r="D4605" s="48"/>
    </row>
    <row r="4606" spans="1:4" x14ac:dyDescent="0.25">
      <c r="A4606" s="47"/>
      <c r="B4606" s="107"/>
      <c r="C4606" s="48"/>
      <c r="D4606" s="48"/>
    </row>
    <row r="4607" spans="1:4" x14ac:dyDescent="0.25">
      <c r="A4607" s="47"/>
      <c r="B4607" s="107"/>
      <c r="C4607" s="48"/>
      <c r="D4607" s="48"/>
    </row>
    <row r="4608" spans="1:4" x14ac:dyDescent="0.25">
      <c r="A4608" s="47"/>
      <c r="B4608" s="107"/>
      <c r="C4608" s="48"/>
      <c r="D4608" s="48"/>
    </row>
    <row r="4609" spans="1:4" x14ac:dyDescent="0.25">
      <c r="A4609" s="47"/>
      <c r="B4609" s="107"/>
      <c r="C4609" s="48"/>
      <c r="D4609" s="48"/>
    </row>
    <row r="4610" spans="1:4" x14ac:dyDescent="0.25">
      <c r="A4610" s="47"/>
      <c r="B4610" s="107"/>
      <c r="C4610" s="48"/>
      <c r="D4610" s="48"/>
    </row>
    <row r="4611" spans="1:4" x14ac:dyDescent="0.25">
      <c r="A4611" s="47"/>
      <c r="B4611" s="107"/>
      <c r="C4611" s="48"/>
      <c r="D4611" s="48"/>
    </row>
    <row r="4612" spans="1:4" x14ac:dyDescent="0.25">
      <c r="A4612" s="47"/>
      <c r="B4612" s="107"/>
      <c r="C4612" s="48"/>
      <c r="D4612" s="48"/>
    </row>
    <row r="4613" spans="1:4" x14ac:dyDescent="0.25">
      <c r="A4613" s="47"/>
      <c r="B4613" s="107"/>
      <c r="C4613" s="48"/>
      <c r="D4613" s="48"/>
    </row>
    <row r="4614" spans="1:4" x14ac:dyDescent="0.25">
      <c r="A4614" s="47"/>
      <c r="B4614" s="107"/>
      <c r="C4614" s="48"/>
      <c r="D4614" s="48"/>
    </row>
    <row r="4615" spans="1:4" x14ac:dyDescent="0.25">
      <c r="A4615" s="47"/>
      <c r="B4615" s="107"/>
      <c r="C4615" s="48"/>
      <c r="D4615" s="48"/>
    </row>
    <row r="4616" spans="1:4" x14ac:dyDescent="0.25">
      <c r="A4616" s="47"/>
      <c r="B4616" s="107"/>
      <c r="C4616" s="48"/>
      <c r="D4616" s="48"/>
    </row>
    <row r="4617" spans="1:4" x14ac:dyDescent="0.25">
      <c r="A4617" s="47"/>
      <c r="B4617" s="107"/>
      <c r="C4617" s="48"/>
      <c r="D4617" s="48"/>
    </row>
    <row r="4618" spans="1:4" x14ac:dyDescent="0.25">
      <c r="A4618" s="47"/>
      <c r="B4618" s="107"/>
      <c r="C4618" s="48"/>
      <c r="D4618" s="48"/>
    </row>
    <row r="4619" spans="1:4" x14ac:dyDescent="0.25">
      <c r="A4619" s="47"/>
      <c r="B4619" s="107"/>
      <c r="C4619" s="48"/>
      <c r="D4619" s="48"/>
    </row>
    <row r="4620" spans="1:4" x14ac:dyDescent="0.25">
      <c r="A4620" s="47"/>
      <c r="B4620" s="107"/>
      <c r="C4620" s="48"/>
      <c r="D4620" s="48"/>
    </row>
    <row r="4621" spans="1:4" x14ac:dyDescent="0.25">
      <c r="A4621" s="47"/>
      <c r="B4621" s="107"/>
      <c r="C4621" s="48"/>
      <c r="D4621" s="48"/>
    </row>
    <row r="4622" spans="1:4" x14ac:dyDescent="0.25">
      <c r="A4622" s="47"/>
      <c r="B4622" s="107"/>
      <c r="C4622" s="48"/>
      <c r="D4622" s="48"/>
    </row>
    <row r="4623" spans="1:4" x14ac:dyDescent="0.25">
      <c r="A4623" s="47"/>
      <c r="B4623" s="107"/>
      <c r="C4623" s="48"/>
      <c r="D4623" s="48"/>
    </row>
    <row r="4624" spans="1:4" x14ac:dyDescent="0.25">
      <c r="A4624" s="47"/>
      <c r="B4624" s="107"/>
      <c r="C4624" s="48"/>
      <c r="D4624" s="48"/>
    </row>
    <row r="4625" spans="1:4" x14ac:dyDescent="0.25">
      <c r="A4625" s="47"/>
      <c r="B4625" s="107"/>
      <c r="C4625" s="48"/>
      <c r="D4625" s="48"/>
    </row>
    <row r="4626" spans="1:4" x14ac:dyDescent="0.25">
      <c r="A4626" s="47"/>
      <c r="B4626" s="107"/>
      <c r="C4626" s="48"/>
      <c r="D4626" s="48"/>
    </row>
    <row r="4627" spans="1:4" x14ac:dyDescent="0.25">
      <c r="A4627" s="47"/>
      <c r="B4627" s="107"/>
      <c r="C4627" s="48"/>
      <c r="D4627" s="48"/>
    </row>
    <row r="4628" spans="1:4" x14ac:dyDescent="0.25">
      <c r="A4628" s="47"/>
      <c r="B4628" s="107"/>
      <c r="C4628" s="48"/>
      <c r="D4628" s="48"/>
    </row>
    <row r="4629" spans="1:4" x14ac:dyDescent="0.25">
      <c r="A4629" s="47"/>
      <c r="B4629" s="107"/>
      <c r="C4629" s="48"/>
      <c r="D4629" s="48"/>
    </row>
    <row r="4630" spans="1:4" x14ac:dyDescent="0.25">
      <c r="A4630" s="47"/>
      <c r="B4630" s="107"/>
      <c r="C4630" s="48"/>
      <c r="D4630" s="48"/>
    </row>
    <row r="4631" spans="1:4" x14ac:dyDescent="0.25">
      <c r="A4631" s="47"/>
      <c r="B4631" s="107"/>
      <c r="C4631" s="48"/>
      <c r="D4631" s="48"/>
    </row>
    <row r="4632" spans="1:4" x14ac:dyDescent="0.25">
      <c r="A4632" s="47"/>
      <c r="B4632" s="107"/>
      <c r="C4632" s="48"/>
      <c r="D4632" s="48"/>
    </row>
    <row r="4633" spans="1:4" x14ac:dyDescent="0.25">
      <c r="A4633" s="47"/>
      <c r="B4633" s="107"/>
      <c r="C4633" s="48"/>
      <c r="D4633" s="48"/>
    </row>
    <row r="4634" spans="1:4" x14ac:dyDescent="0.25">
      <c r="A4634" s="47"/>
      <c r="B4634" s="107"/>
      <c r="C4634" s="48"/>
      <c r="D4634" s="48"/>
    </row>
    <row r="4635" spans="1:4" x14ac:dyDescent="0.25">
      <c r="A4635" s="47"/>
      <c r="B4635" s="107"/>
      <c r="C4635" s="48"/>
      <c r="D4635" s="48"/>
    </row>
    <row r="4636" spans="1:4" x14ac:dyDescent="0.25">
      <c r="A4636" s="47"/>
      <c r="B4636" s="107"/>
      <c r="C4636" s="48"/>
      <c r="D4636" s="48"/>
    </row>
    <row r="4637" spans="1:4" x14ac:dyDescent="0.25">
      <c r="A4637" s="47"/>
      <c r="B4637" s="107"/>
      <c r="C4637" s="48"/>
      <c r="D4637" s="48"/>
    </row>
    <row r="4638" spans="1:4" x14ac:dyDescent="0.25">
      <c r="A4638" s="47"/>
      <c r="B4638" s="107"/>
      <c r="C4638" s="48"/>
      <c r="D4638" s="48"/>
    </row>
    <row r="4639" spans="1:4" x14ac:dyDescent="0.25">
      <c r="A4639" s="47"/>
      <c r="B4639" s="107"/>
      <c r="C4639" s="48"/>
      <c r="D4639" s="48"/>
    </row>
    <row r="4640" spans="1:4" x14ac:dyDescent="0.25">
      <c r="A4640" s="47"/>
      <c r="B4640" s="107"/>
      <c r="C4640" s="48"/>
      <c r="D4640" s="48"/>
    </row>
    <row r="4641" spans="1:4" x14ac:dyDescent="0.25">
      <c r="A4641" s="47"/>
      <c r="B4641" s="107"/>
      <c r="C4641" s="48"/>
      <c r="D4641" s="48"/>
    </row>
    <row r="4642" spans="1:4" x14ac:dyDescent="0.25">
      <c r="A4642" s="47"/>
      <c r="B4642" s="107"/>
      <c r="C4642" s="48"/>
      <c r="D4642" s="48"/>
    </row>
    <row r="4643" spans="1:4" x14ac:dyDescent="0.25">
      <c r="A4643" s="47"/>
      <c r="B4643" s="107"/>
      <c r="C4643" s="48"/>
      <c r="D4643" s="48"/>
    </row>
    <row r="4644" spans="1:4" x14ac:dyDescent="0.25">
      <c r="A4644" s="47"/>
      <c r="B4644" s="107"/>
      <c r="C4644" s="48"/>
      <c r="D4644" s="48"/>
    </row>
    <row r="4645" spans="1:4" x14ac:dyDescent="0.25">
      <c r="A4645" s="47"/>
      <c r="B4645" s="107"/>
      <c r="C4645" s="48"/>
      <c r="D4645" s="48"/>
    </row>
    <row r="4646" spans="1:4" x14ac:dyDescent="0.25">
      <c r="A4646" s="47"/>
      <c r="B4646" s="107"/>
      <c r="C4646" s="48"/>
      <c r="D4646" s="48"/>
    </row>
    <row r="4647" spans="1:4" x14ac:dyDescent="0.25">
      <c r="A4647" s="47"/>
      <c r="B4647" s="107"/>
      <c r="C4647" s="48"/>
      <c r="D4647" s="48"/>
    </row>
    <row r="4648" spans="1:4" x14ac:dyDescent="0.25">
      <c r="A4648" s="47"/>
      <c r="B4648" s="107"/>
      <c r="C4648" s="48"/>
      <c r="D4648" s="48"/>
    </row>
    <row r="4649" spans="1:4" x14ac:dyDescent="0.25">
      <c r="A4649" s="47"/>
      <c r="B4649" s="107"/>
      <c r="C4649" s="48"/>
      <c r="D4649" s="48"/>
    </row>
    <row r="4650" spans="1:4" x14ac:dyDescent="0.25">
      <c r="A4650" s="47"/>
      <c r="B4650" s="107"/>
      <c r="C4650" s="48"/>
      <c r="D4650" s="48"/>
    </row>
    <row r="4651" spans="1:4" x14ac:dyDescent="0.25">
      <c r="A4651" s="47"/>
      <c r="B4651" s="107"/>
      <c r="C4651" s="48"/>
      <c r="D4651" s="48"/>
    </row>
    <row r="4652" spans="1:4" x14ac:dyDescent="0.25">
      <c r="A4652" s="47"/>
      <c r="B4652" s="107"/>
      <c r="C4652" s="48"/>
      <c r="D4652" s="48"/>
    </row>
    <row r="4653" spans="1:4" x14ac:dyDescent="0.25">
      <c r="A4653" s="47"/>
      <c r="B4653" s="107"/>
      <c r="C4653" s="48"/>
      <c r="D4653" s="48"/>
    </row>
    <row r="4654" spans="1:4" x14ac:dyDescent="0.25">
      <c r="A4654" s="47"/>
      <c r="B4654" s="107"/>
      <c r="C4654" s="48"/>
      <c r="D4654" s="48"/>
    </row>
    <row r="4655" spans="1:4" x14ac:dyDescent="0.25">
      <c r="A4655" s="47"/>
      <c r="B4655" s="107"/>
      <c r="C4655" s="48"/>
      <c r="D4655" s="48"/>
    </row>
    <row r="4656" spans="1:4" x14ac:dyDescent="0.25">
      <c r="A4656" s="47"/>
      <c r="B4656" s="107"/>
      <c r="C4656" s="48"/>
      <c r="D4656" s="48"/>
    </row>
    <row r="4657" spans="1:4" x14ac:dyDescent="0.25">
      <c r="A4657" s="47"/>
      <c r="B4657" s="107"/>
      <c r="C4657" s="48"/>
      <c r="D4657" s="48"/>
    </row>
    <row r="4658" spans="1:4" x14ac:dyDescent="0.25">
      <c r="A4658" s="47"/>
      <c r="B4658" s="107"/>
      <c r="C4658" s="48"/>
      <c r="D4658" s="48"/>
    </row>
    <row r="4659" spans="1:4" x14ac:dyDescent="0.25">
      <c r="A4659" s="47"/>
      <c r="B4659" s="107"/>
      <c r="C4659" s="48"/>
      <c r="D4659" s="48"/>
    </row>
    <row r="4660" spans="1:4" x14ac:dyDescent="0.25">
      <c r="A4660" s="47"/>
      <c r="B4660" s="107"/>
      <c r="C4660" s="48"/>
      <c r="D4660" s="48"/>
    </row>
    <row r="4661" spans="1:4" x14ac:dyDescent="0.25">
      <c r="A4661" s="47"/>
      <c r="B4661" s="107"/>
      <c r="C4661" s="48"/>
      <c r="D4661" s="48"/>
    </row>
    <row r="4662" spans="1:4" x14ac:dyDescent="0.25">
      <c r="A4662" s="47"/>
      <c r="B4662" s="107"/>
      <c r="C4662" s="48"/>
      <c r="D4662" s="48"/>
    </row>
    <row r="4663" spans="1:4" x14ac:dyDescent="0.25">
      <c r="A4663" s="47"/>
      <c r="B4663" s="107"/>
      <c r="C4663" s="48"/>
      <c r="D4663" s="48"/>
    </row>
    <row r="4664" spans="1:4" x14ac:dyDescent="0.25">
      <c r="A4664" s="47"/>
      <c r="B4664" s="107"/>
      <c r="C4664" s="48"/>
      <c r="D4664" s="48"/>
    </row>
    <row r="4665" spans="1:4" x14ac:dyDescent="0.25">
      <c r="A4665" s="47"/>
      <c r="B4665" s="107"/>
      <c r="C4665" s="48"/>
      <c r="D4665" s="48"/>
    </row>
    <row r="4666" spans="1:4" x14ac:dyDescent="0.25">
      <c r="A4666" s="47"/>
      <c r="B4666" s="107"/>
      <c r="C4666" s="48"/>
      <c r="D4666" s="48"/>
    </row>
    <row r="4667" spans="1:4" x14ac:dyDescent="0.25">
      <c r="A4667" s="47"/>
      <c r="B4667" s="107"/>
      <c r="C4667" s="48"/>
      <c r="D4667" s="48"/>
    </row>
    <row r="4668" spans="1:4" x14ac:dyDescent="0.25">
      <c r="A4668" s="47"/>
      <c r="B4668" s="107"/>
      <c r="C4668" s="48"/>
      <c r="D4668" s="48"/>
    </row>
    <row r="4669" spans="1:4" x14ac:dyDescent="0.25">
      <c r="A4669" s="47"/>
      <c r="B4669" s="107"/>
      <c r="C4669" s="48"/>
      <c r="D4669" s="48"/>
    </row>
    <row r="4670" spans="1:4" x14ac:dyDescent="0.25">
      <c r="A4670" s="47"/>
      <c r="B4670" s="107"/>
      <c r="C4670" s="48"/>
      <c r="D4670" s="48"/>
    </row>
    <row r="4671" spans="1:4" x14ac:dyDescent="0.25">
      <c r="A4671" s="47"/>
      <c r="B4671" s="107"/>
      <c r="C4671" s="48"/>
      <c r="D4671" s="48"/>
    </row>
    <row r="4672" spans="1:4" x14ac:dyDescent="0.25">
      <c r="A4672" s="47"/>
      <c r="B4672" s="107"/>
      <c r="C4672" s="48"/>
      <c r="D4672" s="48"/>
    </row>
    <row r="4673" spans="1:4" x14ac:dyDescent="0.25">
      <c r="A4673" s="47"/>
      <c r="B4673" s="107"/>
      <c r="C4673" s="48"/>
      <c r="D4673" s="48"/>
    </row>
    <row r="4674" spans="1:4" x14ac:dyDescent="0.25">
      <c r="A4674" s="47"/>
      <c r="B4674" s="107"/>
      <c r="C4674" s="48"/>
      <c r="D4674" s="48"/>
    </row>
    <row r="4675" spans="1:4" x14ac:dyDescent="0.25">
      <c r="A4675" s="47"/>
      <c r="B4675" s="107"/>
      <c r="C4675" s="48"/>
      <c r="D4675" s="48"/>
    </row>
    <row r="4676" spans="1:4" x14ac:dyDescent="0.25">
      <c r="A4676" s="47"/>
      <c r="B4676" s="107"/>
      <c r="C4676" s="48"/>
      <c r="D4676" s="48"/>
    </row>
    <row r="4677" spans="1:4" x14ac:dyDescent="0.25">
      <c r="A4677" s="47"/>
      <c r="B4677" s="107"/>
      <c r="C4677" s="48"/>
      <c r="D4677" s="48"/>
    </row>
    <row r="4678" spans="1:4" x14ac:dyDescent="0.25">
      <c r="A4678" s="47"/>
      <c r="B4678" s="107"/>
      <c r="C4678" s="48"/>
      <c r="D4678" s="48"/>
    </row>
    <row r="4679" spans="1:4" x14ac:dyDescent="0.25">
      <c r="A4679" s="47"/>
      <c r="B4679" s="107"/>
      <c r="C4679" s="48"/>
      <c r="D4679" s="48"/>
    </row>
    <row r="4680" spans="1:4" x14ac:dyDescent="0.25">
      <c r="A4680" s="47"/>
      <c r="B4680" s="107"/>
      <c r="C4680" s="48"/>
      <c r="D4680" s="48"/>
    </row>
    <row r="4681" spans="1:4" x14ac:dyDescent="0.25">
      <c r="A4681" s="47"/>
      <c r="B4681" s="107"/>
      <c r="C4681" s="48"/>
      <c r="D4681" s="48"/>
    </row>
    <row r="4682" spans="1:4" x14ac:dyDescent="0.25">
      <c r="A4682" s="47"/>
      <c r="B4682" s="107"/>
      <c r="C4682" s="48"/>
      <c r="D4682" s="48"/>
    </row>
    <row r="4683" spans="1:4" x14ac:dyDescent="0.25">
      <c r="A4683" s="47"/>
      <c r="B4683" s="107"/>
      <c r="C4683" s="48"/>
      <c r="D4683" s="48"/>
    </row>
    <row r="4684" spans="1:4" x14ac:dyDescent="0.25">
      <c r="A4684" s="47"/>
      <c r="B4684" s="107"/>
      <c r="C4684" s="48"/>
      <c r="D4684" s="48"/>
    </row>
    <row r="4685" spans="1:4" x14ac:dyDescent="0.25">
      <c r="A4685" s="47"/>
      <c r="B4685" s="107"/>
      <c r="C4685" s="48"/>
      <c r="D4685" s="48"/>
    </row>
    <row r="4686" spans="1:4" x14ac:dyDescent="0.25">
      <c r="A4686" s="47"/>
      <c r="B4686" s="107"/>
      <c r="C4686" s="48"/>
      <c r="D4686" s="48"/>
    </row>
    <row r="4687" spans="1:4" x14ac:dyDescent="0.25">
      <c r="A4687" s="47"/>
      <c r="B4687" s="107"/>
      <c r="C4687" s="48"/>
      <c r="D4687" s="48"/>
    </row>
    <row r="4688" spans="1:4" x14ac:dyDescent="0.25">
      <c r="A4688" s="47"/>
      <c r="B4688" s="107"/>
      <c r="C4688" s="48"/>
      <c r="D4688" s="48"/>
    </row>
    <row r="4689" spans="1:4" x14ac:dyDescent="0.25">
      <c r="A4689" s="47"/>
      <c r="B4689" s="107"/>
      <c r="C4689" s="48"/>
      <c r="D4689" s="48"/>
    </row>
    <row r="4690" spans="1:4" x14ac:dyDescent="0.25">
      <c r="A4690" s="47"/>
      <c r="B4690" s="107"/>
      <c r="C4690" s="48"/>
      <c r="D4690" s="48"/>
    </row>
    <row r="4691" spans="1:4" x14ac:dyDescent="0.25">
      <c r="A4691" s="47"/>
      <c r="B4691" s="107"/>
      <c r="C4691" s="48"/>
      <c r="D4691" s="48"/>
    </row>
    <row r="4692" spans="1:4" x14ac:dyDescent="0.25">
      <c r="A4692" s="47"/>
      <c r="B4692" s="107"/>
      <c r="C4692" s="48"/>
      <c r="D4692" s="48"/>
    </row>
    <row r="4693" spans="1:4" x14ac:dyDescent="0.25">
      <c r="A4693" s="47"/>
      <c r="B4693" s="107"/>
      <c r="C4693" s="48"/>
      <c r="D4693" s="48"/>
    </row>
    <row r="4694" spans="1:4" x14ac:dyDescent="0.25">
      <c r="A4694" s="47"/>
      <c r="B4694" s="107"/>
      <c r="C4694" s="48"/>
      <c r="D4694" s="48"/>
    </row>
    <row r="4695" spans="1:4" x14ac:dyDescent="0.25">
      <c r="A4695" s="47"/>
      <c r="B4695" s="107"/>
      <c r="C4695" s="48"/>
      <c r="D4695" s="48"/>
    </row>
    <row r="4696" spans="1:4" x14ac:dyDescent="0.25">
      <c r="A4696" s="47"/>
      <c r="B4696" s="107"/>
      <c r="C4696" s="48"/>
      <c r="D4696" s="48"/>
    </row>
    <row r="4697" spans="1:4" x14ac:dyDescent="0.25">
      <c r="A4697" s="47"/>
      <c r="B4697" s="107"/>
      <c r="C4697" s="48"/>
      <c r="D4697" s="48"/>
    </row>
    <row r="4698" spans="1:4" x14ac:dyDescent="0.25">
      <c r="A4698" s="47"/>
      <c r="B4698" s="107"/>
      <c r="C4698" s="48"/>
      <c r="D4698" s="48"/>
    </row>
    <row r="4699" spans="1:4" x14ac:dyDescent="0.25">
      <c r="A4699" s="47"/>
      <c r="B4699" s="107"/>
      <c r="C4699" s="48"/>
      <c r="D4699" s="48"/>
    </row>
    <row r="4700" spans="1:4" x14ac:dyDescent="0.25">
      <c r="A4700" s="47"/>
      <c r="B4700" s="107"/>
      <c r="C4700" s="48"/>
      <c r="D4700" s="48"/>
    </row>
    <row r="4701" spans="1:4" x14ac:dyDescent="0.25">
      <c r="A4701" s="47"/>
      <c r="B4701" s="107"/>
      <c r="C4701" s="48"/>
      <c r="D4701" s="48"/>
    </row>
    <row r="4702" spans="1:4" x14ac:dyDescent="0.25">
      <c r="A4702" s="47"/>
      <c r="B4702" s="107"/>
      <c r="C4702" s="48"/>
      <c r="D4702" s="48"/>
    </row>
    <row r="4703" spans="1:4" x14ac:dyDescent="0.25">
      <c r="A4703" s="47"/>
      <c r="B4703" s="107"/>
      <c r="C4703" s="48"/>
      <c r="D4703" s="48"/>
    </row>
    <row r="4704" spans="1:4" x14ac:dyDescent="0.25">
      <c r="A4704" s="47"/>
      <c r="B4704" s="107"/>
      <c r="C4704" s="48"/>
      <c r="D4704" s="48"/>
    </row>
    <row r="4705" spans="1:4" x14ac:dyDescent="0.25">
      <c r="A4705" s="47"/>
      <c r="B4705" s="107"/>
      <c r="C4705" s="48"/>
      <c r="D4705" s="48"/>
    </row>
    <row r="4706" spans="1:4" x14ac:dyDescent="0.25">
      <c r="A4706" s="47"/>
      <c r="B4706" s="107"/>
      <c r="C4706" s="48"/>
      <c r="D4706" s="48"/>
    </row>
    <row r="4707" spans="1:4" x14ac:dyDescent="0.25">
      <c r="A4707" s="47"/>
      <c r="B4707" s="107"/>
      <c r="C4707" s="48"/>
      <c r="D4707" s="48"/>
    </row>
    <row r="4708" spans="1:4" x14ac:dyDescent="0.25">
      <c r="A4708" s="47"/>
      <c r="B4708" s="107"/>
      <c r="C4708" s="48"/>
      <c r="D4708" s="48"/>
    </row>
    <row r="4709" spans="1:4" x14ac:dyDescent="0.25">
      <c r="A4709" s="47"/>
      <c r="B4709" s="107"/>
      <c r="C4709" s="48"/>
      <c r="D4709" s="48"/>
    </row>
    <row r="4710" spans="1:4" x14ac:dyDescent="0.25">
      <c r="A4710" s="47"/>
      <c r="B4710" s="107"/>
      <c r="C4710" s="48"/>
      <c r="D4710" s="48"/>
    </row>
    <row r="4711" spans="1:4" x14ac:dyDescent="0.25">
      <c r="A4711" s="47"/>
      <c r="B4711" s="107"/>
      <c r="C4711" s="48"/>
      <c r="D4711" s="48"/>
    </row>
    <row r="4712" spans="1:4" x14ac:dyDescent="0.25">
      <c r="A4712" s="47"/>
      <c r="B4712" s="107"/>
      <c r="C4712" s="48"/>
      <c r="D4712" s="48"/>
    </row>
    <row r="4713" spans="1:4" x14ac:dyDescent="0.25">
      <c r="A4713" s="47"/>
      <c r="B4713" s="107"/>
      <c r="C4713" s="48"/>
      <c r="D4713" s="48"/>
    </row>
    <row r="4714" spans="1:4" x14ac:dyDescent="0.25">
      <c r="A4714" s="47"/>
      <c r="B4714" s="107"/>
      <c r="C4714" s="107"/>
      <c r="D4714" s="48"/>
    </row>
    <row r="4715" spans="1:4" x14ac:dyDescent="0.25">
      <c r="A4715" s="47"/>
      <c r="B4715" s="107"/>
      <c r="C4715" s="48"/>
      <c r="D4715" s="48"/>
    </row>
    <row r="4716" spans="1:4" x14ac:dyDescent="0.25">
      <c r="A4716" s="47"/>
      <c r="B4716" s="107"/>
      <c r="C4716" s="48"/>
      <c r="D4716" s="48"/>
    </row>
    <row r="4717" spans="1:4" x14ac:dyDescent="0.25">
      <c r="A4717" s="47"/>
      <c r="B4717" s="107"/>
      <c r="C4717" s="48"/>
      <c r="D4717" s="48"/>
    </row>
    <row r="4718" spans="1:4" x14ac:dyDescent="0.25">
      <c r="A4718" s="47"/>
      <c r="B4718" s="107"/>
      <c r="C4718" s="48"/>
      <c r="D4718" s="48"/>
    </row>
    <row r="4719" spans="1:4" x14ac:dyDescent="0.25">
      <c r="A4719" s="47"/>
      <c r="B4719" s="107"/>
      <c r="C4719" s="48"/>
      <c r="D4719" s="48"/>
    </row>
    <row r="4720" spans="1:4" x14ac:dyDescent="0.25">
      <c r="A4720" s="47"/>
      <c r="B4720" s="107"/>
      <c r="C4720" s="48"/>
      <c r="D4720" s="48"/>
    </row>
    <row r="4721" spans="1:4" x14ac:dyDescent="0.25">
      <c r="A4721" s="47"/>
      <c r="B4721" s="107"/>
      <c r="C4721" s="48"/>
      <c r="D4721" s="48"/>
    </row>
    <row r="4722" spans="1:4" x14ac:dyDescent="0.25">
      <c r="A4722" s="47"/>
      <c r="B4722" s="107"/>
      <c r="C4722" s="48"/>
      <c r="D4722" s="48"/>
    </row>
    <row r="4723" spans="1:4" x14ac:dyDescent="0.25">
      <c r="A4723" s="47"/>
      <c r="B4723" s="107"/>
      <c r="C4723" s="48"/>
      <c r="D4723" s="48"/>
    </row>
    <row r="4724" spans="1:4" x14ac:dyDescent="0.25">
      <c r="A4724" s="47"/>
      <c r="B4724" s="107"/>
      <c r="C4724" s="48"/>
      <c r="D4724" s="48"/>
    </row>
    <row r="4725" spans="1:4" x14ac:dyDescent="0.25">
      <c r="A4725" s="47"/>
      <c r="B4725" s="107"/>
      <c r="C4725" s="48"/>
      <c r="D4725" s="48"/>
    </row>
    <row r="4726" spans="1:4" x14ac:dyDescent="0.25">
      <c r="A4726" s="47"/>
      <c r="B4726" s="107"/>
      <c r="C4726" s="48"/>
      <c r="D4726" s="48"/>
    </row>
    <row r="4727" spans="1:4" x14ac:dyDescent="0.25">
      <c r="A4727" s="47"/>
      <c r="B4727" s="107"/>
      <c r="C4727" s="48"/>
      <c r="D4727" s="48"/>
    </row>
    <row r="4728" spans="1:4" x14ac:dyDescent="0.25">
      <c r="A4728" s="47"/>
      <c r="B4728" s="107"/>
      <c r="C4728" s="48"/>
      <c r="D4728" s="48"/>
    </row>
    <row r="4729" spans="1:4" x14ac:dyDescent="0.25">
      <c r="A4729" s="47"/>
      <c r="B4729" s="107"/>
      <c r="C4729" s="48"/>
      <c r="D4729" s="48"/>
    </row>
    <row r="4730" spans="1:4" x14ac:dyDescent="0.25">
      <c r="A4730" s="47"/>
      <c r="B4730" s="107"/>
      <c r="C4730" s="48"/>
      <c r="D4730" s="48"/>
    </row>
    <row r="4731" spans="1:4" x14ac:dyDescent="0.25">
      <c r="A4731" s="47"/>
      <c r="B4731" s="107"/>
      <c r="C4731" s="48"/>
      <c r="D4731" s="48"/>
    </row>
    <row r="4732" spans="1:4" x14ac:dyDescent="0.25">
      <c r="A4732" s="47"/>
      <c r="B4732" s="107"/>
      <c r="C4732" s="48"/>
      <c r="D4732" s="48"/>
    </row>
    <row r="4733" spans="1:4" x14ac:dyDescent="0.25">
      <c r="A4733" s="47"/>
      <c r="B4733" s="107"/>
      <c r="C4733" s="48"/>
      <c r="D4733" s="48"/>
    </row>
    <row r="4734" spans="1:4" x14ac:dyDescent="0.25">
      <c r="A4734" s="47"/>
      <c r="B4734" s="107"/>
      <c r="C4734" s="48"/>
      <c r="D4734" s="48"/>
    </row>
    <row r="4735" spans="1:4" x14ac:dyDescent="0.25">
      <c r="A4735" s="47"/>
      <c r="B4735" s="107"/>
      <c r="C4735" s="48"/>
      <c r="D4735" s="48"/>
    </row>
    <row r="4736" spans="1:4" x14ac:dyDescent="0.25">
      <c r="A4736" s="47"/>
      <c r="B4736" s="107"/>
      <c r="C4736" s="48"/>
      <c r="D4736" s="48"/>
    </row>
    <row r="4737" spans="1:4" x14ac:dyDescent="0.25">
      <c r="A4737" s="47"/>
      <c r="B4737" s="107"/>
      <c r="C4737" s="48"/>
      <c r="D4737" s="48"/>
    </row>
    <row r="4738" spans="1:4" x14ac:dyDescent="0.25">
      <c r="A4738" s="47"/>
      <c r="B4738" s="107"/>
      <c r="C4738" s="48"/>
      <c r="D4738" s="48"/>
    </row>
    <row r="4739" spans="1:4" x14ac:dyDescent="0.25">
      <c r="A4739" s="47"/>
      <c r="B4739" s="107"/>
      <c r="C4739" s="48"/>
      <c r="D4739" s="48"/>
    </row>
    <row r="4740" spans="1:4" x14ac:dyDescent="0.25">
      <c r="A4740" s="47"/>
      <c r="B4740" s="107"/>
      <c r="C4740" s="48"/>
      <c r="D4740" s="48"/>
    </row>
    <row r="4741" spans="1:4" x14ac:dyDescent="0.25">
      <c r="A4741" s="47"/>
      <c r="B4741" s="107"/>
      <c r="C4741" s="48"/>
      <c r="D4741" s="48"/>
    </row>
    <row r="4742" spans="1:4" x14ac:dyDescent="0.25">
      <c r="A4742" s="47"/>
      <c r="B4742" s="107"/>
      <c r="C4742" s="48"/>
      <c r="D4742" s="48"/>
    </row>
    <row r="4743" spans="1:4" x14ac:dyDescent="0.25">
      <c r="A4743" s="47"/>
      <c r="B4743" s="107"/>
      <c r="C4743" s="48"/>
      <c r="D4743" s="48"/>
    </row>
    <row r="4744" spans="1:4" x14ac:dyDescent="0.25">
      <c r="A4744" s="47"/>
      <c r="B4744" s="107"/>
      <c r="C4744" s="48"/>
      <c r="D4744" s="48"/>
    </row>
    <row r="4745" spans="1:4" x14ac:dyDescent="0.25">
      <c r="A4745" s="47"/>
      <c r="B4745" s="107"/>
      <c r="C4745" s="48"/>
      <c r="D4745" s="48"/>
    </row>
    <row r="4746" spans="1:4" x14ac:dyDescent="0.25">
      <c r="A4746" s="47"/>
      <c r="B4746" s="107"/>
      <c r="C4746" s="48"/>
      <c r="D4746" s="48"/>
    </row>
    <row r="4747" spans="1:4" x14ac:dyDescent="0.25">
      <c r="A4747" s="47"/>
      <c r="B4747" s="107"/>
      <c r="C4747" s="48"/>
      <c r="D4747" s="48"/>
    </row>
    <row r="4748" spans="1:4" x14ac:dyDescent="0.25">
      <c r="A4748" s="47"/>
      <c r="B4748" s="107"/>
      <c r="C4748" s="48"/>
      <c r="D4748" s="48"/>
    </row>
    <row r="4749" spans="1:4" x14ac:dyDescent="0.25">
      <c r="A4749" s="47"/>
      <c r="B4749" s="107"/>
      <c r="C4749" s="48"/>
      <c r="D4749" s="48"/>
    </row>
    <row r="4750" spans="1:4" x14ac:dyDescent="0.25">
      <c r="A4750" s="47"/>
      <c r="B4750" s="107"/>
      <c r="C4750" s="48"/>
      <c r="D4750" s="48"/>
    </row>
    <row r="4751" spans="1:4" x14ac:dyDescent="0.25">
      <c r="A4751" s="47"/>
      <c r="B4751" s="107"/>
      <c r="C4751" s="48"/>
      <c r="D4751" s="48"/>
    </row>
    <row r="4752" spans="1:4" x14ac:dyDescent="0.25">
      <c r="A4752" s="47"/>
      <c r="B4752" s="107"/>
      <c r="C4752" s="48"/>
      <c r="D4752" s="48"/>
    </row>
    <row r="4753" spans="1:4" x14ac:dyDescent="0.25">
      <c r="A4753" s="47"/>
      <c r="B4753" s="107"/>
      <c r="C4753" s="48"/>
      <c r="D4753" s="48"/>
    </row>
    <row r="4754" spans="1:4" x14ac:dyDescent="0.25">
      <c r="A4754" s="47"/>
      <c r="B4754" s="107"/>
      <c r="C4754" s="48"/>
      <c r="D4754" s="48"/>
    </row>
    <row r="4755" spans="1:4" x14ac:dyDescent="0.25">
      <c r="A4755" s="47"/>
      <c r="B4755" s="107"/>
      <c r="C4755" s="48"/>
      <c r="D4755" s="48"/>
    </row>
    <row r="4756" spans="1:4" x14ac:dyDescent="0.25">
      <c r="A4756" s="47"/>
      <c r="B4756" s="107"/>
      <c r="C4756" s="48"/>
      <c r="D4756" s="48"/>
    </row>
    <row r="4757" spans="1:4" x14ac:dyDescent="0.25">
      <c r="A4757" s="47"/>
      <c r="B4757" s="107"/>
      <c r="C4757" s="48"/>
      <c r="D4757" s="48"/>
    </row>
    <row r="4758" spans="1:4" x14ac:dyDescent="0.25">
      <c r="A4758" s="47"/>
      <c r="B4758" s="107"/>
      <c r="C4758" s="48"/>
      <c r="D4758" s="48"/>
    </row>
    <row r="4759" spans="1:4" x14ac:dyDescent="0.25">
      <c r="A4759" s="47"/>
      <c r="B4759" s="107"/>
      <c r="C4759" s="48"/>
      <c r="D4759" s="48"/>
    </row>
    <row r="4760" spans="1:4" x14ac:dyDescent="0.25">
      <c r="A4760" s="47"/>
      <c r="B4760" s="107"/>
      <c r="C4760" s="48"/>
      <c r="D4760" s="48"/>
    </row>
    <row r="4761" spans="1:4" x14ac:dyDescent="0.25">
      <c r="A4761" s="47"/>
      <c r="B4761" s="107"/>
      <c r="C4761" s="48"/>
      <c r="D4761" s="48"/>
    </row>
    <row r="4762" spans="1:4" x14ac:dyDescent="0.25">
      <c r="A4762" s="47"/>
      <c r="B4762" s="107"/>
      <c r="C4762" s="48"/>
      <c r="D4762" s="48"/>
    </row>
    <row r="4763" spans="1:4" x14ac:dyDescent="0.25">
      <c r="A4763" s="47"/>
      <c r="B4763" s="107"/>
      <c r="C4763" s="48"/>
      <c r="D4763" s="48"/>
    </row>
    <row r="4764" spans="1:4" x14ac:dyDescent="0.25">
      <c r="A4764" s="47"/>
      <c r="B4764" s="107"/>
      <c r="C4764" s="48"/>
      <c r="D4764" s="48"/>
    </row>
    <row r="4765" spans="1:4" x14ac:dyDescent="0.25">
      <c r="A4765" s="47"/>
      <c r="B4765" s="107"/>
      <c r="C4765" s="48"/>
      <c r="D4765" s="48"/>
    </row>
    <row r="4766" spans="1:4" x14ac:dyDescent="0.25">
      <c r="A4766" s="47"/>
      <c r="B4766" s="107"/>
      <c r="C4766" s="48"/>
      <c r="D4766" s="48"/>
    </row>
    <row r="4767" spans="1:4" x14ac:dyDescent="0.25">
      <c r="A4767" s="47"/>
      <c r="B4767" s="107"/>
      <c r="C4767" s="48"/>
      <c r="D4767" s="48"/>
    </row>
    <row r="4768" spans="1:4" x14ac:dyDescent="0.25">
      <c r="A4768" s="47"/>
      <c r="B4768" s="107"/>
      <c r="C4768" s="48"/>
      <c r="D4768" s="48"/>
    </row>
    <row r="4769" spans="1:4" x14ac:dyDescent="0.25">
      <c r="A4769" s="47"/>
      <c r="B4769" s="107"/>
      <c r="C4769" s="48"/>
      <c r="D4769" s="48"/>
    </row>
    <row r="4770" spans="1:4" x14ac:dyDescent="0.25">
      <c r="A4770" s="47"/>
      <c r="B4770" s="107"/>
      <c r="C4770" s="48"/>
      <c r="D4770" s="48"/>
    </row>
    <row r="4771" spans="1:4" x14ac:dyDescent="0.25">
      <c r="A4771" s="47"/>
      <c r="B4771" s="107"/>
      <c r="C4771" s="48"/>
      <c r="D4771" s="48"/>
    </row>
    <row r="4772" spans="1:4" x14ac:dyDescent="0.25">
      <c r="A4772" s="47"/>
      <c r="B4772" s="107"/>
      <c r="C4772" s="48"/>
      <c r="D4772" s="48"/>
    </row>
    <row r="4773" spans="1:4" x14ac:dyDescent="0.25">
      <c r="A4773" s="47"/>
      <c r="B4773" s="107"/>
      <c r="C4773" s="48"/>
      <c r="D4773" s="48"/>
    </row>
    <row r="4774" spans="1:4" x14ac:dyDescent="0.25">
      <c r="A4774" s="47"/>
      <c r="B4774" s="107"/>
      <c r="C4774" s="48"/>
      <c r="D4774" s="48"/>
    </row>
    <row r="4775" spans="1:4" x14ac:dyDescent="0.25">
      <c r="A4775" s="47"/>
      <c r="B4775" s="107"/>
      <c r="C4775" s="48"/>
      <c r="D4775" s="48"/>
    </row>
    <row r="4776" spans="1:4" x14ac:dyDescent="0.25">
      <c r="A4776" s="47"/>
      <c r="B4776" s="107"/>
      <c r="C4776" s="48"/>
      <c r="D4776" s="48"/>
    </row>
    <row r="4777" spans="1:4" x14ac:dyDescent="0.25">
      <c r="A4777" s="47"/>
      <c r="B4777" s="107"/>
      <c r="C4777" s="48"/>
      <c r="D4777" s="48"/>
    </row>
    <row r="4778" spans="1:4" x14ac:dyDescent="0.25">
      <c r="A4778" s="47"/>
      <c r="B4778" s="107"/>
      <c r="C4778" s="48"/>
      <c r="D4778" s="48"/>
    </row>
    <row r="4779" spans="1:4" x14ac:dyDescent="0.25">
      <c r="A4779" s="47"/>
      <c r="B4779" s="107"/>
      <c r="C4779" s="48"/>
      <c r="D4779" s="48"/>
    </row>
    <row r="4780" spans="1:4" x14ac:dyDescent="0.25">
      <c r="A4780" s="47"/>
      <c r="B4780" s="107"/>
      <c r="C4780" s="48"/>
      <c r="D4780" s="48"/>
    </row>
    <row r="4781" spans="1:4" x14ac:dyDescent="0.25">
      <c r="A4781" s="47"/>
      <c r="B4781" s="107"/>
      <c r="C4781" s="48"/>
      <c r="D4781" s="48"/>
    </row>
    <row r="4782" spans="1:4" x14ac:dyDescent="0.25">
      <c r="A4782" s="47"/>
      <c r="B4782" s="107"/>
      <c r="C4782" s="48"/>
      <c r="D4782" s="48"/>
    </row>
    <row r="4783" spans="1:4" x14ac:dyDescent="0.25">
      <c r="A4783" s="47"/>
      <c r="B4783" s="107"/>
      <c r="C4783" s="48"/>
      <c r="D4783" s="48"/>
    </row>
    <row r="4784" spans="1:4" x14ac:dyDescent="0.25">
      <c r="A4784" s="47"/>
      <c r="B4784" s="107"/>
      <c r="C4784" s="48"/>
      <c r="D4784" s="48"/>
    </row>
    <row r="4785" spans="1:4" x14ac:dyDescent="0.25">
      <c r="A4785" s="47"/>
      <c r="B4785" s="107"/>
      <c r="C4785" s="48"/>
      <c r="D4785" s="48"/>
    </row>
    <row r="4786" spans="1:4" x14ac:dyDescent="0.25">
      <c r="A4786" s="47"/>
      <c r="B4786" s="107"/>
      <c r="C4786" s="48"/>
      <c r="D4786" s="48"/>
    </row>
    <row r="4787" spans="1:4" x14ac:dyDescent="0.25">
      <c r="A4787" s="47"/>
      <c r="B4787" s="107"/>
      <c r="C4787" s="48"/>
      <c r="D4787" s="48"/>
    </row>
    <row r="4788" spans="1:4" x14ac:dyDescent="0.25">
      <c r="A4788" s="47"/>
      <c r="B4788" s="107"/>
      <c r="C4788" s="48"/>
      <c r="D4788" s="48"/>
    </row>
    <row r="4789" spans="1:4" x14ac:dyDescent="0.25">
      <c r="A4789" s="47"/>
      <c r="B4789" s="107"/>
      <c r="C4789" s="48"/>
      <c r="D4789" s="48"/>
    </row>
    <row r="4790" spans="1:4" x14ac:dyDescent="0.25">
      <c r="A4790" s="47"/>
      <c r="B4790" s="107"/>
      <c r="C4790" s="48"/>
      <c r="D4790" s="48"/>
    </row>
    <row r="4791" spans="1:4" x14ac:dyDescent="0.25">
      <c r="A4791" s="47"/>
      <c r="B4791" s="107"/>
      <c r="C4791" s="48"/>
      <c r="D4791" s="48"/>
    </row>
    <row r="4792" spans="1:4" x14ac:dyDescent="0.25">
      <c r="A4792" s="47"/>
      <c r="B4792" s="107"/>
      <c r="C4792" s="48"/>
      <c r="D4792" s="48"/>
    </row>
    <row r="4793" spans="1:4" x14ac:dyDescent="0.25">
      <c r="A4793" s="47"/>
      <c r="B4793" s="107"/>
      <c r="C4793" s="48"/>
      <c r="D4793" s="48"/>
    </row>
    <row r="4794" spans="1:4" x14ac:dyDescent="0.25">
      <c r="A4794" s="47"/>
      <c r="B4794" s="107"/>
      <c r="C4794" s="48"/>
      <c r="D4794" s="48"/>
    </row>
    <row r="4795" spans="1:4" x14ac:dyDescent="0.25">
      <c r="A4795" s="47"/>
      <c r="B4795" s="107"/>
      <c r="C4795" s="48"/>
      <c r="D4795" s="48"/>
    </row>
    <row r="4796" spans="1:4" x14ac:dyDescent="0.25">
      <c r="A4796" s="47"/>
      <c r="B4796" s="107"/>
      <c r="C4796" s="48"/>
      <c r="D4796" s="48"/>
    </row>
    <row r="4797" spans="1:4" x14ac:dyDescent="0.25">
      <c r="A4797" s="47"/>
      <c r="B4797" s="107"/>
      <c r="C4797" s="48"/>
      <c r="D4797" s="48"/>
    </row>
    <row r="4798" spans="1:4" x14ac:dyDescent="0.25">
      <c r="A4798" s="47"/>
      <c r="B4798" s="107"/>
      <c r="C4798" s="48"/>
      <c r="D4798" s="48"/>
    </row>
    <row r="4799" spans="1:4" x14ac:dyDescent="0.25">
      <c r="A4799" s="47"/>
      <c r="B4799" s="107"/>
      <c r="C4799" s="48"/>
      <c r="D4799" s="48"/>
    </row>
    <row r="4800" spans="1:4" x14ac:dyDescent="0.25">
      <c r="A4800" s="47"/>
      <c r="B4800" s="107"/>
      <c r="C4800" s="48"/>
      <c r="D4800" s="48"/>
    </row>
    <row r="4801" spans="1:4" x14ac:dyDescent="0.25">
      <c r="A4801" s="47"/>
      <c r="B4801" s="107"/>
      <c r="C4801" s="48"/>
      <c r="D4801" s="48"/>
    </row>
    <row r="4802" spans="1:4" x14ac:dyDescent="0.25">
      <c r="A4802" s="47"/>
      <c r="B4802" s="107"/>
      <c r="C4802" s="48"/>
      <c r="D4802" s="48"/>
    </row>
    <row r="4803" spans="1:4" x14ac:dyDescent="0.25">
      <c r="A4803" s="47"/>
      <c r="B4803" s="107"/>
      <c r="C4803" s="48"/>
      <c r="D4803" s="48"/>
    </row>
    <row r="4804" spans="1:4" x14ac:dyDescent="0.25">
      <c r="A4804" s="47"/>
      <c r="B4804" s="107"/>
      <c r="C4804" s="48"/>
      <c r="D4804" s="48"/>
    </row>
    <row r="4805" spans="1:4" x14ac:dyDescent="0.25">
      <c r="A4805" s="47"/>
      <c r="B4805" s="107"/>
      <c r="C4805" s="48"/>
      <c r="D4805" s="48"/>
    </row>
    <row r="4806" spans="1:4" x14ac:dyDescent="0.25">
      <c r="A4806" s="47"/>
      <c r="B4806" s="107"/>
      <c r="C4806" s="48"/>
      <c r="D4806" s="48"/>
    </row>
    <row r="4807" spans="1:4" x14ac:dyDescent="0.25">
      <c r="A4807" s="47"/>
      <c r="B4807" s="107"/>
      <c r="C4807" s="48"/>
      <c r="D4807" s="48"/>
    </row>
    <row r="4808" spans="1:4" x14ac:dyDescent="0.25">
      <c r="A4808" s="47"/>
      <c r="B4808" s="107"/>
      <c r="C4808" s="48"/>
      <c r="D4808" s="48"/>
    </row>
    <row r="4809" spans="1:4" x14ac:dyDescent="0.25">
      <c r="A4809" s="47"/>
      <c r="B4809" s="107"/>
      <c r="C4809" s="48"/>
      <c r="D4809" s="48"/>
    </row>
    <row r="4810" spans="1:4" x14ac:dyDescent="0.25">
      <c r="A4810" s="47"/>
      <c r="B4810" s="107"/>
      <c r="C4810" s="48"/>
      <c r="D4810" s="48"/>
    </row>
    <row r="4811" spans="1:4" x14ac:dyDescent="0.25">
      <c r="A4811" s="47"/>
      <c r="B4811" s="107"/>
      <c r="C4811" s="48"/>
      <c r="D4811" s="48"/>
    </row>
    <row r="4812" spans="1:4" x14ac:dyDescent="0.25">
      <c r="A4812" s="47"/>
      <c r="B4812" s="107"/>
      <c r="C4812" s="48"/>
      <c r="D4812" s="48"/>
    </row>
    <row r="4813" spans="1:4" x14ac:dyDescent="0.25">
      <c r="A4813" s="47"/>
      <c r="B4813" s="107"/>
      <c r="C4813" s="48"/>
      <c r="D4813" s="48"/>
    </row>
    <row r="4814" spans="1:4" x14ac:dyDescent="0.25">
      <c r="A4814" s="47"/>
      <c r="B4814" s="107"/>
      <c r="C4814" s="48"/>
      <c r="D4814" s="48"/>
    </row>
    <row r="4815" spans="1:4" x14ac:dyDescent="0.25">
      <c r="A4815" s="47"/>
      <c r="B4815" s="107"/>
      <c r="C4815" s="48"/>
      <c r="D4815" s="48"/>
    </row>
    <row r="4816" spans="1:4" x14ac:dyDescent="0.25">
      <c r="A4816" s="47"/>
      <c r="B4816" s="107"/>
      <c r="C4816" s="48"/>
      <c r="D4816" s="48"/>
    </row>
    <row r="4817" spans="1:4" x14ac:dyDescent="0.25">
      <c r="A4817" s="47"/>
      <c r="B4817" s="107"/>
      <c r="C4817" s="48"/>
      <c r="D4817" s="48"/>
    </row>
    <row r="4818" spans="1:4" x14ac:dyDescent="0.25">
      <c r="A4818" s="47"/>
      <c r="B4818" s="107"/>
      <c r="C4818" s="48"/>
      <c r="D4818" s="48"/>
    </row>
    <row r="4819" spans="1:4" x14ac:dyDescent="0.25">
      <c r="A4819" s="47"/>
      <c r="B4819" s="107"/>
      <c r="C4819" s="48"/>
      <c r="D4819" s="48"/>
    </row>
    <row r="4820" spans="1:4" x14ac:dyDescent="0.25">
      <c r="A4820" s="47"/>
      <c r="B4820" s="107"/>
      <c r="C4820" s="48"/>
      <c r="D4820" s="48"/>
    </row>
    <row r="4821" spans="1:4" x14ac:dyDescent="0.25">
      <c r="A4821" s="47"/>
      <c r="B4821" s="107"/>
      <c r="C4821" s="48"/>
      <c r="D4821" s="48"/>
    </row>
    <row r="4822" spans="1:4" x14ac:dyDescent="0.25">
      <c r="A4822" s="47"/>
      <c r="B4822" s="107"/>
      <c r="C4822" s="48"/>
      <c r="D4822" s="48"/>
    </row>
    <row r="4823" spans="1:4" x14ac:dyDescent="0.25">
      <c r="A4823" s="47"/>
      <c r="B4823" s="107"/>
      <c r="C4823" s="48"/>
      <c r="D4823" s="48"/>
    </row>
    <row r="4824" spans="1:4" x14ac:dyDescent="0.25">
      <c r="A4824" s="47"/>
      <c r="B4824" s="107"/>
      <c r="C4824" s="48"/>
      <c r="D4824" s="48"/>
    </row>
    <row r="4825" spans="1:4" x14ac:dyDescent="0.25">
      <c r="A4825" s="47"/>
      <c r="B4825" s="107"/>
      <c r="C4825" s="48"/>
      <c r="D4825" s="48"/>
    </row>
    <row r="4826" spans="1:4" x14ac:dyDescent="0.25">
      <c r="A4826" s="47"/>
      <c r="B4826" s="107"/>
      <c r="C4826" s="48"/>
      <c r="D4826" s="48"/>
    </row>
    <row r="4827" spans="1:4" x14ac:dyDescent="0.25">
      <c r="A4827" s="47"/>
      <c r="B4827" s="107"/>
      <c r="C4827" s="48"/>
      <c r="D4827" s="48"/>
    </row>
    <row r="4828" spans="1:4" x14ac:dyDescent="0.25">
      <c r="A4828" s="47"/>
      <c r="B4828" s="107"/>
      <c r="C4828" s="48"/>
      <c r="D4828" s="48"/>
    </row>
    <row r="4829" spans="1:4" x14ac:dyDescent="0.25">
      <c r="A4829" s="47"/>
      <c r="B4829" s="107"/>
      <c r="C4829" s="48"/>
      <c r="D4829" s="48"/>
    </row>
    <row r="4830" spans="1:4" x14ac:dyDescent="0.25">
      <c r="A4830" s="47"/>
      <c r="B4830" s="107"/>
      <c r="C4830" s="48"/>
      <c r="D4830" s="48"/>
    </row>
    <row r="4831" spans="1:4" x14ac:dyDescent="0.25">
      <c r="A4831" s="47"/>
      <c r="B4831" s="107"/>
      <c r="C4831" s="48"/>
      <c r="D4831" s="48"/>
    </row>
    <row r="4832" spans="1:4" x14ac:dyDescent="0.25">
      <c r="A4832" s="47"/>
      <c r="B4832" s="107"/>
      <c r="C4832" s="48"/>
      <c r="D4832" s="48"/>
    </row>
    <row r="4833" spans="1:4" x14ac:dyDescent="0.25">
      <c r="A4833" s="47"/>
      <c r="B4833" s="107"/>
      <c r="C4833" s="48"/>
      <c r="D4833" s="48"/>
    </row>
    <row r="4834" spans="1:4" x14ac:dyDescent="0.25">
      <c r="A4834" s="47"/>
      <c r="B4834" s="107"/>
      <c r="C4834" s="48"/>
      <c r="D4834" s="48"/>
    </row>
    <row r="4835" spans="1:4" x14ac:dyDescent="0.25">
      <c r="A4835" s="47"/>
      <c r="B4835" s="107"/>
      <c r="C4835" s="48"/>
      <c r="D4835" s="48"/>
    </row>
    <row r="4836" spans="1:4" x14ac:dyDescent="0.25">
      <c r="A4836" s="47"/>
      <c r="B4836" s="107"/>
      <c r="C4836" s="48"/>
      <c r="D4836" s="48"/>
    </row>
    <row r="4837" spans="1:4" x14ac:dyDescent="0.25">
      <c r="A4837" s="47"/>
      <c r="B4837" s="107"/>
      <c r="C4837" s="48"/>
      <c r="D4837" s="48"/>
    </row>
    <row r="4838" spans="1:4" x14ac:dyDescent="0.25">
      <c r="A4838" s="47"/>
      <c r="B4838" s="107"/>
      <c r="C4838" s="48"/>
      <c r="D4838" s="48"/>
    </row>
    <row r="4839" spans="1:4" x14ac:dyDescent="0.25">
      <c r="A4839" s="47"/>
      <c r="B4839" s="107"/>
      <c r="C4839" s="48"/>
      <c r="D4839" s="48"/>
    </row>
    <row r="4840" spans="1:4" x14ac:dyDescent="0.25">
      <c r="A4840" s="47"/>
      <c r="B4840" s="107"/>
      <c r="C4840" s="48"/>
      <c r="D4840" s="48"/>
    </row>
    <row r="4841" spans="1:4" x14ac:dyDescent="0.25">
      <c r="A4841" s="47"/>
      <c r="B4841" s="107"/>
      <c r="C4841" s="48"/>
      <c r="D4841" s="48"/>
    </row>
    <row r="4842" spans="1:4" x14ac:dyDescent="0.25">
      <c r="A4842" s="47"/>
      <c r="B4842" s="107"/>
      <c r="C4842" s="48"/>
      <c r="D4842" s="48"/>
    </row>
    <row r="4843" spans="1:4" x14ac:dyDescent="0.25">
      <c r="A4843" s="47"/>
      <c r="B4843" s="107"/>
      <c r="C4843" s="48"/>
      <c r="D4843" s="48"/>
    </row>
    <row r="4844" spans="1:4" x14ac:dyDescent="0.25">
      <c r="A4844" s="47"/>
      <c r="B4844" s="107"/>
      <c r="C4844" s="48"/>
      <c r="D4844" s="48"/>
    </row>
    <row r="4845" spans="1:4" x14ac:dyDescent="0.25">
      <c r="A4845" s="47"/>
      <c r="B4845" s="107"/>
      <c r="C4845" s="48"/>
      <c r="D4845" s="48"/>
    </row>
    <row r="4846" spans="1:4" x14ac:dyDescent="0.25">
      <c r="A4846" s="47"/>
      <c r="B4846" s="107"/>
      <c r="C4846" s="48"/>
      <c r="D4846" s="48"/>
    </row>
    <row r="4847" spans="1:4" x14ac:dyDescent="0.25">
      <c r="A4847" s="47"/>
      <c r="B4847" s="107"/>
      <c r="C4847" s="48"/>
      <c r="D4847" s="48"/>
    </row>
    <row r="4848" spans="1:4" x14ac:dyDescent="0.25">
      <c r="A4848" s="47"/>
      <c r="B4848" s="107"/>
      <c r="C4848" s="48"/>
      <c r="D4848" s="48"/>
    </row>
    <row r="4849" spans="1:4" x14ac:dyDescent="0.25">
      <c r="A4849" s="47"/>
      <c r="B4849" s="107"/>
      <c r="C4849" s="48"/>
      <c r="D4849" s="48"/>
    </row>
    <row r="4850" spans="1:4" x14ac:dyDescent="0.25">
      <c r="A4850" s="47"/>
      <c r="B4850" s="107"/>
      <c r="C4850" s="48"/>
      <c r="D4850" s="48"/>
    </row>
    <row r="4851" spans="1:4" x14ac:dyDescent="0.25">
      <c r="A4851" s="47"/>
      <c r="B4851" s="107"/>
      <c r="C4851" s="48"/>
      <c r="D4851" s="48"/>
    </row>
    <row r="4852" spans="1:4" x14ac:dyDescent="0.25">
      <c r="A4852" s="47"/>
      <c r="B4852" s="107"/>
      <c r="C4852" s="48"/>
      <c r="D4852" s="48"/>
    </row>
    <row r="4853" spans="1:4" x14ac:dyDescent="0.25">
      <c r="A4853" s="47"/>
      <c r="B4853" s="107"/>
      <c r="C4853" s="48"/>
      <c r="D4853" s="48"/>
    </row>
    <row r="4854" spans="1:4" x14ac:dyDescent="0.25">
      <c r="A4854" s="47"/>
      <c r="B4854" s="107"/>
      <c r="C4854" s="48"/>
      <c r="D4854" s="48"/>
    </row>
    <row r="4855" spans="1:4" x14ac:dyDescent="0.25">
      <c r="A4855" s="47"/>
      <c r="B4855" s="107"/>
      <c r="C4855" s="48"/>
      <c r="D4855" s="48"/>
    </row>
    <row r="4856" spans="1:4" x14ac:dyDescent="0.25">
      <c r="A4856" s="47"/>
      <c r="B4856" s="107"/>
      <c r="C4856" s="48"/>
      <c r="D4856" s="48"/>
    </row>
    <row r="4857" spans="1:4" x14ac:dyDescent="0.25">
      <c r="A4857" s="47"/>
      <c r="B4857" s="107"/>
      <c r="C4857" s="48"/>
      <c r="D4857" s="48"/>
    </row>
    <row r="4858" spans="1:4" x14ac:dyDescent="0.25">
      <c r="A4858" s="47"/>
      <c r="B4858" s="107"/>
      <c r="C4858" s="48"/>
      <c r="D4858" s="48"/>
    </row>
    <row r="4859" spans="1:4" x14ac:dyDescent="0.25">
      <c r="A4859" s="47"/>
      <c r="B4859" s="107"/>
      <c r="C4859" s="48"/>
      <c r="D4859" s="48"/>
    </row>
    <row r="4860" spans="1:4" x14ac:dyDescent="0.25">
      <c r="A4860" s="47"/>
      <c r="B4860" s="107"/>
      <c r="C4860" s="48"/>
      <c r="D4860" s="48"/>
    </row>
    <row r="4861" spans="1:4" x14ac:dyDescent="0.25">
      <c r="A4861" s="47"/>
      <c r="B4861" s="107"/>
      <c r="C4861" s="48"/>
      <c r="D4861" s="48"/>
    </row>
    <row r="4862" spans="1:4" x14ac:dyDescent="0.25">
      <c r="A4862" s="47"/>
      <c r="B4862" s="107"/>
      <c r="C4862" s="48"/>
      <c r="D4862" s="48"/>
    </row>
    <row r="4863" spans="1:4" x14ac:dyDescent="0.25">
      <c r="A4863" s="47"/>
      <c r="B4863" s="107"/>
      <c r="C4863" s="48"/>
      <c r="D4863" s="48"/>
    </row>
    <row r="4864" spans="1:4" x14ac:dyDescent="0.25">
      <c r="A4864" s="47"/>
      <c r="B4864" s="107"/>
      <c r="C4864" s="48"/>
      <c r="D4864" s="48"/>
    </row>
    <row r="4865" spans="1:4" x14ac:dyDescent="0.25">
      <c r="A4865" s="47"/>
      <c r="B4865" s="107"/>
      <c r="C4865" s="48"/>
      <c r="D4865" s="48"/>
    </row>
    <row r="4866" spans="1:4" x14ac:dyDescent="0.25">
      <c r="A4866" s="47"/>
      <c r="B4866" s="107"/>
      <c r="C4866" s="48"/>
      <c r="D4866" s="48"/>
    </row>
    <row r="4867" spans="1:4" x14ac:dyDescent="0.25">
      <c r="A4867" s="47"/>
      <c r="B4867" s="107"/>
      <c r="C4867" s="48"/>
      <c r="D4867" s="48"/>
    </row>
    <row r="4868" spans="1:4" x14ac:dyDescent="0.25">
      <c r="A4868" s="47"/>
      <c r="B4868" s="107"/>
      <c r="C4868" s="48"/>
      <c r="D4868" s="48"/>
    </row>
    <row r="4869" spans="1:4" x14ac:dyDescent="0.25">
      <c r="A4869" s="47"/>
      <c r="B4869" s="107"/>
      <c r="C4869" s="48"/>
      <c r="D4869" s="48"/>
    </row>
    <row r="4870" spans="1:4" x14ac:dyDescent="0.25">
      <c r="A4870" s="47"/>
      <c r="B4870" s="107"/>
      <c r="C4870" s="48"/>
      <c r="D4870" s="48"/>
    </row>
    <row r="4871" spans="1:4" x14ac:dyDescent="0.25">
      <c r="A4871" s="47"/>
      <c r="B4871" s="107"/>
      <c r="C4871" s="48"/>
      <c r="D4871" s="48"/>
    </row>
    <row r="4872" spans="1:4" x14ac:dyDescent="0.25">
      <c r="A4872" s="47"/>
      <c r="B4872" s="107"/>
      <c r="C4872" s="48"/>
      <c r="D4872" s="48"/>
    </row>
    <row r="4873" spans="1:4" x14ac:dyDescent="0.25">
      <c r="A4873" s="47"/>
      <c r="B4873" s="107"/>
      <c r="C4873" s="48"/>
      <c r="D4873" s="48"/>
    </row>
    <row r="4874" spans="1:4" x14ac:dyDescent="0.25">
      <c r="A4874" s="47"/>
      <c r="B4874" s="107"/>
      <c r="C4874" s="48"/>
      <c r="D4874" s="48"/>
    </row>
    <row r="4875" spans="1:4" x14ac:dyDescent="0.25">
      <c r="A4875" s="47"/>
      <c r="B4875" s="107"/>
      <c r="C4875" s="48"/>
      <c r="D4875" s="48"/>
    </row>
    <row r="4876" spans="1:4" x14ac:dyDescent="0.25">
      <c r="A4876" s="47"/>
      <c r="B4876" s="107"/>
      <c r="C4876" s="48"/>
      <c r="D4876" s="48"/>
    </row>
    <row r="4877" spans="1:4" x14ac:dyDescent="0.25">
      <c r="A4877" s="47"/>
      <c r="B4877" s="107"/>
      <c r="C4877" s="48"/>
      <c r="D4877" s="48"/>
    </row>
    <row r="4878" spans="1:4" x14ac:dyDescent="0.25">
      <c r="A4878" s="47"/>
      <c r="B4878" s="107"/>
      <c r="C4878" s="48"/>
      <c r="D4878" s="48"/>
    </row>
    <row r="4879" spans="1:4" x14ac:dyDescent="0.25">
      <c r="A4879" s="47"/>
      <c r="B4879" s="107"/>
      <c r="C4879" s="48"/>
      <c r="D4879" s="48"/>
    </row>
    <row r="4880" spans="1:4" x14ac:dyDescent="0.25">
      <c r="A4880" s="47"/>
      <c r="B4880" s="107"/>
      <c r="C4880" s="48"/>
      <c r="D4880" s="48"/>
    </row>
    <row r="4881" spans="1:4" x14ac:dyDescent="0.25">
      <c r="A4881" s="47"/>
      <c r="B4881" s="107"/>
      <c r="C4881" s="48"/>
      <c r="D4881" s="48"/>
    </row>
    <row r="4882" spans="1:4" x14ac:dyDescent="0.25">
      <c r="A4882" s="47"/>
      <c r="B4882" s="107"/>
      <c r="C4882" s="48"/>
      <c r="D4882" s="48"/>
    </row>
    <row r="4883" spans="1:4" x14ac:dyDescent="0.25">
      <c r="A4883" s="47"/>
      <c r="B4883" s="107"/>
      <c r="C4883" s="48"/>
      <c r="D4883" s="48"/>
    </row>
    <row r="4884" spans="1:4" x14ac:dyDescent="0.25">
      <c r="A4884" s="47"/>
      <c r="B4884" s="107"/>
      <c r="C4884" s="48"/>
      <c r="D4884" s="48"/>
    </row>
    <row r="4885" spans="1:4" x14ac:dyDescent="0.25">
      <c r="A4885" s="47"/>
      <c r="B4885" s="107"/>
      <c r="C4885" s="48"/>
      <c r="D4885" s="48"/>
    </row>
    <row r="4886" spans="1:4" x14ac:dyDescent="0.25">
      <c r="A4886" s="47"/>
      <c r="B4886" s="107"/>
      <c r="C4886" s="48"/>
      <c r="D4886" s="48"/>
    </row>
    <row r="4887" spans="1:4" x14ac:dyDescent="0.25">
      <c r="A4887" s="47"/>
      <c r="B4887" s="107"/>
      <c r="C4887" s="48"/>
      <c r="D4887" s="48"/>
    </row>
    <row r="4888" spans="1:4" x14ac:dyDescent="0.25">
      <c r="A4888" s="47"/>
      <c r="B4888" s="107"/>
      <c r="C4888" s="48"/>
      <c r="D4888" s="48"/>
    </row>
    <row r="4889" spans="1:4" x14ac:dyDescent="0.25">
      <c r="A4889" s="47"/>
      <c r="B4889" s="107"/>
      <c r="C4889" s="48"/>
      <c r="D4889" s="48"/>
    </row>
    <row r="4890" spans="1:4" x14ac:dyDescent="0.25">
      <c r="A4890" s="47"/>
      <c r="B4890" s="107"/>
      <c r="C4890" s="48"/>
      <c r="D4890" s="48"/>
    </row>
    <row r="4891" spans="1:4" x14ac:dyDescent="0.25">
      <c r="A4891" s="47"/>
      <c r="B4891" s="107"/>
      <c r="C4891" s="48"/>
      <c r="D4891" s="48"/>
    </row>
    <row r="4892" spans="1:4" x14ac:dyDescent="0.25">
      <c r="A4892" s="47"/>
      <c r="B4892" s="107"/>
      <c r="C4892" s="48"/>
      <c r="D4892" s="48"/>
    </row>
    <row r="4893" spans="1:4" x14ac:dyDescent="0.25">
      <c r="A4893" s="47"/>
      <c r="B4893" s="107"/>
      <c r="C4893" s="48"/>
      <c r="D4893" s="48"/>
    </row>
    <row r="4894" spans="1:4" x14ac:dyDescent="0.25">
      <c r="A4894" s="47"/>
      <c r="B4894" s="107"/>
      <c r="C4894" s="48"/>
      <c r="D4894" s="48"/>
    </row>
    <row r="4895" spans="1:4" x14ac:dyDescent="0.25">
      <c r="A4895" s="47"/>
      <c r="B4895" s="107"/>
      <c r="C4895" s="48"/>
      <c r="D4895" s="48"/>
    </row>
    <row r="4896" spans="1:4" x14ac:dyDescent="0.25">
      <c r="A4896" s="47"/>
      <c r="B4896" s="107"/>
      <c r="C4896" s="48"/>
      <c r="D4896" s="48"/>
    </row>
    <row r="4897" spans="1:4" x14ac:dyDescent="0.25">
      <c r="A4897" s="47"/>
      <c r="B4897" s="107"/>
      <c r="C4897" s="48"/>
      <c r="D4897" s="48"/>
    </row>
    <row r="4898" spans="1:4" x14ac:dyDescent="0.25">
      <c r="A4898" s="47"/>
      <c r="B4898" s="107"/>
      <c r="C4898" s="48"/>
      <c r="D4898" s="48"/>
    </row>
    <row r="4899" spans="1:4" x14ac:dyDescent="0.25">
      <c r="A4899" s="47"/>
      <c r="B4899" s="107"/>
      <c r="C4899" s="48"/>
      <c r="D4899" s="48"/>
    </row>
    <row r="4900" spans="1:4" x14ac:dyDescent="0.25">
      <c r="A4900" s="47"/>
      <c r="B4900" s="107"/>
      <c r="C4900" s="48"/>
      <c r="D4900" s="48"/>
    </row>
    <row r="4901" spans="1:4" x14ac:dyDescent="0.25">
      <c r="A4901" s="47"/>
      <c r="B4901" s="107"/>
      <c r="C4901" s="48"/>
      <c r="D4901" s="48"/>
    </row>
    <row r="4902" spans="1:4" x14ac:dyDescent="0.25">
      <c r="A4902" s="47"/>
      <c r="B4902" s="107"/>
      <c r="C4902" s="48"/>
      <c r="D4902" s="48"/>
    </row>
    <row r="4903" spans="1:4" x14ac:dyDescent="0.25">
      <c r="A4903" s="47"/>
      <c r="B4903" s="107"/>
      <c r="C4903" s="48"/>
      <c r="D4903" s="48"/>
    </row>
    <row r="4904" spans="1:4" x14ac:dyDescent="0.25">
      <c r="A4904" s="47"/>
      <c r="B4904" s="107"/>
      <c r="C4904" s="48"/>
      <c r="D4904" s="48"/>
    </row>
    <row r="4905" spans="1:4" x14ac:dyDescent="0.25">
      <c r="A4905" s="47"/>
      <c r="B4905" s="107"/>
      <c r="C4905" s="48"/>
      <c r="D4905" s="48"/>
    </row>
    <row r="4906" spans="1:4" x14ac:dyDescent="0.25">
      <c r="A4906" s="47"/>
      <c r="B4906" s="107"/>
      <c r="C4906" s="48"/>
      <c r="D4906" s="48"/>
    </row>
    <row r="4907" spans="1:4" x14ac:dyDescent="0.25">
      <c r="A4907" s="47"/>
      <c r="B4907" s="107"/>
      <c r="C4907" s="48"/>
      <c r="D4907" s="48"/>
    </row>
    <row r="4908" spans="1:4" x14ac:dyDescent="0.25">
      <c r="A4908" s="47"/>
      <c r="B4908" s="107"/>
      <c r="C4908" s="48"/>
      <c r="D4908" s="48"/>
    </row>
    <row r="4909" spans="1:4" x14ac:dyDescent="0.25">
      <c r="A4909" s="47"/>
      <c r="B4909" s="107"/>
      <c r="C4909" s="48"/>
      <c r="D4909" s="48"/>
    </row>
    <row r="4910" spans="1:4" x14ac:dyDescent="0.25">
      <c r="A4910" s="47"/>
      <c r="B4910" s="107"/>
      <c r="C4910" s="48"/>
      <c r="D4910" s="48"/>
    </row>
    <row r="4911" spans="1:4" x14ac:dyDescent="0.25">
      <c r="A4911" s="47"/>
      <c r="B4911" s="107"/>
      <c r="C4911" s="48"/>
      <c r="D4911" s="48"/>
    </row>
    <row r="4912" spans="1:4" x14ac:dyDescent="0.25">
      <c r="A4912" s="47"/>
      <c r="B4912" s="107"/>
      <c r="C4912" s="48"/>
      <c r="D4912" s="48"/>
    </row>
    <row r="4913" spans="1:4" x14ac:dyDescent="0.25">
      <c r="A4913" s="47"/>
      <c r="B4913" s="107"/>
      <c r="C4913" s="48"/>
      <c r="D4913" s="48"/>
    </row>
    <row r="4914" spans="1:4" x14ac:dyDescent="0.25">
      <c r="A4914" s="47"/>
      <c r="B4914" s="107"/>
      <c r="C4914" s="48"/>
      <c r="D4914" s="48"/>
    </row>
    <row r="4915" spans="1:4" x14ac:dyDescent="0.25">
      <c r="A4915" s="47"/>
      <c r="B4915" s="107"/>
      <c r="C4915" s="48"/>
      <c r="D4915" s="48"/>
    </row>
    <row r="4916" spans="1:4" x14ac:dyDescent="0.25">
      <c r="A4916" s="47"/>
      <c r="B4916" s="107"/>
      <c r="C4916" s="48"/>
      <c r="D4916" s="48"/>
    </row>
    <row r="4917" spans="1:4" x14ac:dyDescent="0.25">
      <c r="A4917" s="47"/>
      <c r="B4917" s="107"/>
      <c r="C4917" s="48"/>
      <c r="D4917" s="48"/>
    </row>
    <row r="4918" spans="1:4" x14ac:dyDescent="0.25">
      <c r="A4918" s="47"/>
      <c r="B4918" s="107"/>
      <c r="C4918" s="48"/>
      <c r="D4918" s="48"/>
    </row>
    <row r="4919" spans="1:4" x14ac:dyDescent="0.25">
      <c r="A4919" s="47"/>
      <c r="B4919" s="107"/>
      <c r="C4919" s="48"/>
      <c r="D4919" s="48"/>
    </row>
    <row r="4920" spans="1:4" x14ac:dyDescent="0.25">
      <c r="A4920" s="47"/>
      <c r="B4920" s="107"/>
      <c r="C4920" s="48"/>
      <c r="D4920" s="48"/>
    </row>
    <row r="4921" spans="1:4" x14ac:dyDescent="0.25">
      <c r="A4921" s="47"/>
      <c r="B4921" s="107"/>
      <c r="C4921" s="48"/>
      <c r="D4921" s="48"/>
    </row>
    <row r="4922" spans="1:4" x14ac:dyDescent="0.25">
      <c r="A4922" s="47"/>
      <c r="B4922" s="107"/>
      <c r="C4922" s="48"/>
      <c r="D4922" s="48"/>
    </row>
    <row r="4923" spans="1:4" x14ac:dyDescent="0.25">
      <c r="A4923" s="47"/>
      <c r="B4923" s="107"/>
      <c r="C4923" s="48"/>
      <c r="D4923" s="48"/>
    </row>
    <row r="4924" spans="1:4" x14ac:dyDescent="0.25">
      <c r="A4924" s="47"/>
      <c r="B4924" s="107"/>
      <c r="C4924" s="48"/>
      <c r="D4924" s="48"/>
    </row>
    <row r="4925" spans="1:4" x14ac:dyDescent="0.25">
      <c r="A4925" s="47"/>
      <c r="B4925" s="107"/>
      <c r="C4925" s="48"/>
      <c r="D4925" s="48"/>
    </row>
    <row r="4926" spans="1:4" x14ac:dyDescent="0.25">
      <c r="A4926" s="47"/>
      <c r="B4926" s="107"/>
      <c r="C4926" s="48"/>
      <c r="D4926" s="48"/>
    </row>
    <row r="4927" spans="1:4" x14ac:dyDescent="0.25">
      <c r="A4927" s="47"/>
      <c r="B4927" s="107"/>
      <c r="C4927" s="48"/>
      <c r="D4927" s="48"/>
    </row>
    <row r="4928" spans="1:4" x14ac:dyDescent="0.25">
      <c r="A4928" s="47"/>
      <c r="B4928" s="107"/>
      <c r="C4928" s="48"/>
      <c r="D4928" s="48"/>
    </row>
    <row r="4929" spans="1:4" x14ac:dyDescent="0.25">
      <c r="A4929" s="47"/>
      <c r="B4929" s="107"/>
      <c r="C4929" s="48"/>
      <c r="D4929" s="48"/>
    </row>
    <row r="4930" spans="1:4" x14ac:dyDescent="0.25">
      <c r="A4930" s="47"/>
      <c r="B4930" s="107"/>
      <c r="C4930" s="48"/>
      <c r="D4930" s="48"/>
    </row>
    <row r="4931" spans="1:4" x14ac:dyDescent="0.25">
      <c r="A4931" s="47"/>
      <c r="B4931" s="107"/>
      <c r="C4931" s="48"/>
      <c r="D4931" s="48"/>
    </row>
    <row r="4932" spans="1:4" x14ac:dyDescent="0.25">
      <c r="A4932" s="47"/>
      <c r="B4932" s="107"/>
      <c r="C4932" s="48"/>
      <c r="D4932" s="48"/>
    </row>
    <row r="4933" spans="1:4" x14ac:dyDescent="0.25">
      <c r="A4933" s="47"/>
      <c r="B4933" s="107"/>
      <c r="C4933" s="48"/>
      <c r="D4933" s="48"/>
    </row>
    <row r="4934" spans="1:4" x14ac:dyDescent="0.25">
      <c r="A4934" s="47"/>
      <c r="B4934" s="107"/>
      <c r="C4934" s="48"/>
      <c r="D4934" s="48"/>
    </row>
    <row r="4935" spans="1:4" x14ac:dyDescent="0.25">
      <c r="A4935" s="47"/>
      <c r="B4935" s="107"/>
      <c r="C4935" s="48"/>
      <c r="D4935" s="48"/>
    </row>
    <row r="4936" spans="1:4" x14ac:dyDescent="0.25">
      <c r="A4936" s="47"/>
      <c r="B4936" s="107"/>
      <c r="C4936" s="48"/>
      <c r="D4936" s="48"/>
    </row>
    <row r="4937" spans="1:4" x14ac:dyDescent="0.25">
      <c r="A4937" s="47"/>
      <c r="B4937" s="107"/>
      <c r="C4937" s="48"/>
      <c r="D4937" s="48"/>
    </row>
    <row r="4938" spans="1:4" x14ac:dyDescent="0.25">
      <c r="A4938" s="47"/>
      <c r="B4938" s="107"/>
      <c r="C4938" s="48"/>
      <c r="D4938" s="48"/>
    </row>
    <row r="4939" spans="1:4" x14ac:dyDescent="0.25">
      <c r="A4939" s="47"/>
      <c r="B4939" s="107"/>
      <c r="C4939" s="48"/>
      <c r="D4939" s="48"/>
    </row>
    <row r="4940" spans="1:4" x14ac:dyDescent="0.25">
      <c r="A4940" s="47"/>
      <c r="B4940" s="107"/>
      <c r="C4940" s="48"/>
      <c r="D4940" s="48"/>
    </row>
    <row r="4941" spans="1:4" x14ac:dyDescent="0.25">
      <c r="A4941" s="47"/>
      <c r="B4941" s="107"/>
      <c r="C4941" s="48"/>
      <c r="D4941" s="48"/>
    </row>
    <row r="4942" spans="1:4" x14ac:dyDescent="0.25">
      <c r="A4942" s="47"/>
      <c r="B4942" s="107"/>
      <c r="C4942" s="48"/>
      <c r="D4942" s="48"/>
    </row>
    <row r="4943" spans="1:4" x14ac:dyDescent="0.25">
      <c r="A4943" s="47"/>
      <c r="B4943" s="107"/>
      <c r="C4943" s="48"/>
      <c r="D4943" s="48"/>
    </row>
    <row r="4944" spans="1:4" x14ac:dyDescent="0.25">
      <c r="A4944" s="47"/>
      <c r="B4944" s="107"/>
      <c r="C4944" s="48"/>
      <c r="D4944" s="48"/>
    </row>
    <row r="4945" spans="1:4" x14ac:dyDescent="0.25">
      <c r="A4945" s="47"/>
      <c r="B4945" s="107"/>
      <c r="C4945" s="48"/>
      <c r="D4945" s="48"/>
    </row>
    <row r="4946" spans="1:4" x14ac:dyDescent="0.25">
      <c r="A4946" s="47"/>
      <c r="B4946" s="107"/>
      <c r="C4946" s="48"/>
      <c r="D4946" s="48"/>
    </row>
    <row r="4947" spans="1:4" x14ac:dyDescent="0.25">
      <c r="A4947" s="47"/>
      <c r="B4947" s="107"/>
      <c r="C4947" s="48"/>
      <c r="D4947" s="48"/>
    </row>
    <row r="4948" spans="1:4" x14ac:dyDescent="0.25">
      <c r="A4948" s="47"/>
      <c r="B4948" s="107"/>
      <c r="C4948" s="48"/>
      <c r="D4948" s="48"/>
    </row>
    <row r="4949" spans="1:4" x14ac:dyDescent="0.25">
      <c r="A4949" s="47"/>
      <c r="B4949" s="107"/>
      <c r="C4949" s="48"/>
      <c r="D4949" s="48"/>
    </row>
    <row r="4950" spans="1:4" x14ac:dyDescent="0.25">
      <c r="A4950" s="47"/>
      <c r="B4950" s="107"/>
      <c r="C4950" s="48"/>
      <c r="D4950" s="48"/>
    </row>
    <row r="4951" spans="1:4" x14ac:dyDescent="0.25">
      <c r="A4951" s="47"/>
      <c r="B4951" s="107"/>
      <c r="C4951" s="48"/>
      <c r="D4951" s="48"/>
    </row>
    <row r="4952" spans="1:4" x14ac:dyDescent="0.25">
      <c r="A4952" s="47"/>
      <c r="B4952" s="107"/>
      <c r="C4952" s="48"/>
      <c r="D4952" s="48"/>
    </row>
    <row r="4953" spans="1:4" x14ac:dyDescent="0.25">
      <c r="A4953" s="47"/>
      <c r="B4953" s="107"/>
      <c r="C4953" s="48"/>
      <c r="D4953" s="48"/>
    </row>
    <row r="4954" spans="1:4" x14ac:dyDescent="0.25">
      <c r="A4954" s="47"/>
      <c r="B4954" s="107"/>
      <c r="C4954" s="48"/>
      <c r="D4954" s="48"/>
    </row>
    <row r="4955" spans="1:4" x14ac:dyDescent="0.25">
      <c r="A4955" s="47"/>
      <c r="B4955" s="107"/>
      <c r="C4955" s="48"/>
      <c r="D4955" s="48"/>
    </row>
    <row r="4956" spans="1:4" x14ac:dyDescent="0.25">
      <c r="A4956" s="47"/>
      <c r="B4956" s="107"/>
      <c r="C4956" s="48"/>
      <c r="D4956" s="48"/>
    </row>
    <row r="4957" spans="1:4" x14ac:dyDescent="0.25">
      <c r="A4957" s="47"/>
      <c r="B4957" s="107"/>
      <c r="C4957" s="48"/>
      <c r="D4957" s="48"/>
    </row>
    <row r="4958" spans="1:4" x14ac:dyDescent="0.25">
      <c r="A4958" s="47"/>
      <c r="B4958" s="107"/>
      <c r="C4958" s="48"/>
      <c r="D4958" s="48"/>
    </row>
    <row r="4959" spans="1:4" x14ac:dyDescent="0.25">
      <c r="A4959" s="47"/>
      <c r="B4959" s="107"/>
      <c r="C4959" s="48"/>
      <c r="D4959" s="48"/>
    </row>
    <row r="4960" spans="1:4" x14ac:dyDescent="0.25">
      <c r="A4960" s="47"/>
      <c r="B4960" s="107"/>
      <c r="C4960" s="48"/>
      <c r="D4960" s="48"/>
    </row>
    <row r="4961" spans="1:4" x14ac:dyDescent="0.25">
      <c r="A4961" s="47"/>
      <c r="B4961" s="107"/>
      <c r="C4961" s="48"/>
      <c r="D4961" s="48"/>
    </row>
    <row r="4962" spans="1:4" x14ac:dyDescent="0.25">
      <c r="A4962" s="47"/>
      <c r="B4962" s="107"/>
      <c r="C4962" s="48"/>
      <c r="D4962" s="48"/>
    </row>
    <row r="4963" spans="1:4" x14ac:dyDescent="0.25">
      <c r="A4963" s="47"/>
      <c r="B4963" s="107"/>
      <c r="C4963" s="48"/>
      <c r="D4963" s="48"/>
    </row>
    <row r="4964" spans="1:4" x14ac:dyDescent="0.25">
      <c r="A4964" s="47"/>
      <c r="B4964" s="107"/>
      <c r="C4964" s="48"/>
      <c r="D4964" s="48"/>
    </row>
    <row r="4965" spans="1:4" x14ac:dyDescent="0.25">
      <c r="A4965" s="47"/>
      <c r="B4965" s="107"/>
      <c r="C4965" s="48"/>
      <c r="D4965" s="48"/>
    </row>
    <row r="4966" spans="1:4" x14ac:dyDescent="0.25">
      <c r="A4966" s="47"/>
      <c r="B4966" s="107"/>
      <c r="C4966" s="48"/>
      <c r="D4966" s="48"/>
    </row>
    <row r="4967" spans="1:4" x14ac:dyDescent="0.25">
      <c r="A4967" s="47"/>
      <c r="B4967" s="107"/>
      <c r="C4967" s="48"/>
      <c r="D4967" s="48"/>
    </row>
    <row r="4968" spans="1:4" x14ac:dyDescent="0.25">
      <c r="A4968" s="47"/>
      <c r="B4968" s="107"/>
      <c r="C4968" s="48"/>
      <c r="D4968" s="48"/>
    </row>
    <row r="4969" spans="1:4" x14ac:dyDescent="0.25">
      <c r="A4969" s="47"/>
      <c r="B4969" s="107"/>
      <c r="C4969" s="48"/>
      <c r="D4969" s="48"/>
    </row>
    <row r="4970" spans="1:4" x14ac:dyDescent="0.25">
      <c r="A4970" s="47"/>
      <c r="B4970" s="107"/>
      <c r="C4970" s="48"/>
      <c r="D4970" s="48"/>
    </row>
    <row r="4971" spans="1:4" x14ac:dyDescent="0.25">
      <c r="A4971" s="47"/>
      <c r="B4971" s="107"/>
      <c r="C4971" s="48"/>
      <c r="D4971" s="48"/>
    </row>
    <row r="4972" spans="1:4" x14ac:dyDescent="0.25">
      <c r="A4972" s="47"/>
      <c r="B4972" s="107"/>
      <c r="C4972" s="48"/>
      <c r="D4972" s="48"/>
    </row>
    <row r="4973" spans="1:4" x14ac:dyDescent="0.25">
      <c r="A4973" s="47"/>
      <c r="B4973" s="107"/>
      <c r="C4973" s="48"/>
      <c r="D4973" s="48"/>
    </row>
    <row r="4974" spans="1:4" x14ac:dyDescent="0.25">
      <c r="A4974" s="47"/>
      <c r="B4974" s="107"/>
      <c r="C4974" s="48"/>
      <c r="D4974" s="48"/>
    </row>
    <row r="4975" spans="1:4" x14ac:dyDescent="0.25">
      <c r="A4975" s="47"/>
      <c r="B4975" s="107"/>
      <c r="C4975" s="48"/>
      <c r="D4975" s="48"/>
    </row>
    <row r="4976" spans="1:4" x14ac:dyDescent="0.25">
      <c r="A4976" s="47"/>
      <c r="B4976" s="107"/>
      <c r="C4976" s="48"/>
      <c r="D4976" s="48"/>
    </row>
    <row r="4977" spans="1:4" x14ac:dyDescent="0.25">
      <c r="A4977" s="47"/>
      <c r="B4977" s="107"/>
      <c r="C4977" s="48"/>
      <c r="D4977" s="48"/>
    </row>
    <row r="4978" spans="1:4" x14ac:dyDescent="0.25">
      <c r="A4978" s="47"/>
      <c r="B4978" s="107"/>
      <c r="C4978" s="48"/>
      <c r="D4978" s="48"/>
    </row>
    <row r="4979" spans="1:4" x14ac:dyDescent="0.25">
      <c r="A4979" s="47"/>
      <c r="B4979" s="107"/>
      <c r="C4979" s="48"/>
      <c r="D4979" s="48"/>
    </row>
    <row r="4980" spans="1:4" x14ac:dyDescent="0.25">
      <c r="A4980" s="47"/>
      <c r="B4980" s="107"/>
      <c r="C4980" s="48"/>
      <c r="D4980" s="48"/>
    </row>
    <row r="4981" spans="1:4" x14ac:dyDescent="0.25">
      <c r="A4981" s="47"/>
      <c r="B4981" s="107"/>
      <c r="C4981" s="48"/>
      <c r="D4981" s="48"/>
    </row>
    <row r="4982" spans="1:4" x14ac:dyDescent="0.25">
      <c r="A4982" s="47"/>
      <c r="B4982" s="107"/>
      <c r="C4982" s="48"/>
      <c r="D4982" s="48"/>
    </row>
    <row r="4983" spans="1:4" x14ac:dyDescent="0.25">
      <c r="A4983" s="47"/>
      <c r="B4983" s="107"/>
      <c r="C4983" s="48"/>
      <c r="D4983" s="48"/>
    </row>
    <row r="4984" spans="1:4" x14ac:dyDescent="0.25">
      <c r="A4984" s="47"/>
      <c r="B4984" s="107"/>
      <c r="C4984" s="48"/>
      <c r="D4984" s="48"/>
    </row>
    <row r="4985" spans="1:4" x14ac:dyDescent="0.25">
      <c r="A4985" s="47"/>
      <c r="B4985" s="107"/>
      <c r="C4985" s="48"/>
      <c r="D4985" s="48"/>
    </row>
    <row r="4986" spans="1:4" x14ac:dyDescent="0.25">
      <c r="A4986" s="47"/>
      <c r="B4986" s="107"/>
      <c r="C4986" s="48"/>
      <c r="D4986" s="48"/>
    </row>
    <row r="4987" spans="1:4" x14ac:dyDescent="0.25">
      <c r="A4987" s="47"/>
      <c r="B4987" s="107"/>
      <c r="C4987" s="48"/>
      <c r="D4987" s="48"/>
    </row>
    <row r="4988" spans="1:4" x14ac:dyDescent="0.25">
      <c r="A4988" s="47"/>
      <c r="B4988" s="107"/>
      <c r="C4988" s="48"/>
      <c r="D4988" s="48"/>
    </row>
    <row r="4989" spans="1:4" x14ac:dyDescent="0.25">
      <c r="A4989" s="47"/>
      <c r="B4989" s="107"/>
      <c r="C4989" s="48"/>
      <c r="D4989" s="48"/>
    </row>
    <row r="4990" spans="1:4" x14ac:dyDescent="0.25">
      <c r="A4990" s="47"/>
      <c r="B4990" s="107"/>
      <c r="C4990" s="48"/>
      <c r="D4990" s="48"/>
    </row>
    <row r="4991" spans="1:4" x14ac:dyDescent="0.25">
      <c r="A4991" s="47"/>
      <c r="B4991" s="107"/>
      <c r="C4991" s="48"/>
      <c r="D4991" s="48"/>
    </row>
    <row r="4992" spans="1:4" x14ac:dyDescent="0.25">
      <c r="A4992" s="47"/>
      <c r="B4992" s="107"/>
      <c r="C4992" s="48"/>
      <c r="D4992" s="48"/>
    </row>
    <row r="4993" spans="1:4" x14ac:dyDescent="0.25">
      <c r="A4993" s="47"/>
      <c r="B4993" s="107"/>
      <c r="C4993" s="48"/>
      <c r="D4993" s="48"/>
    </row>
    <row r="4994" spans="1:4" x14ac:dyDescent="0.25">
      <c r="A4994" s="47"/>
      <c r="B4994" s="107"/>
      <c r="C4994" s="48"/>
      <c r="D4994" s="48"/>
    </row>
    <row r="4995" spans="1:4" x14ac:dyDescent="0.25">
      <c r="A4995" s="47"/>
      <c r="B4995" s="107"/>
      <c r="C4995" s="48"/>
      <c r="D4995" s="48"/>
    </row>
    <row r="4996" spans="1:4" x14ac:dyDescent="0.25">
      <c r="A4996" s="47"/>
      <c r="B4996" s="107"/>
      <c r="C4996" s="48"/>
      <c r="D4996" s="48"/>
    </row>
    <row r="4997" spans="1:4" x14ac:dyDescent="0.25">
      <c r="A4997" s="47"/>
      <c r="B4997" s="107"/>
      <c r="C4997" s="48"/>
      <c r="D4997" s="48"/>
    </row>
    <row r="4998" spans="1:4" x14ac:dyDescent="0.25">
      <c r="A4998" s="47"/>
      <c r="B4998" s="107"/>
      <c r="C4998" s="48"/>
      <c r="D4998" s="48"/>
    </row>
    <row r="4999" spans="1:4" x14ac:dyDescent="0.25">
      <c r="A4999" s="47"/>
      <c r="B4999" s="107"/>
      <c r="C4999" s="48"/>
      <c r="D4999" s="48"/>
    </row>
    <row r="5000" spans="1:4" x14ac:dyDescent="0.25">
      <c r="A5000" s="47"/>
      <c r="B5000" s="107"/>
      <c r="C5000" s="48"/>
      <c r="D5000" s="48"/>
    </row>
    <row r="5001" spans="1:4" x14ac:dyDescent="0.25">
      <c r="A5001" s="47"/>
      <c r="B5001" s="107"/>
      <c r="C5001" s="48"/>
      <c r="D5001" s="48"/>
    </row>
    <row r="5002" spans="1:4" x14ac:dyDescent="0.25">
      <c r="A5002" s="47"/>
      <c r="B5002" s="107"/>
      <c r="C5002" s="48"/>
      <c r="D5002" s="48"/>
    </row>
    <row r="5003" spans="1:4" x14ac:dyDescent="0.25">
      <c r="A5003" s="47"/>
      <c r="B5003" s="107"/>
      <c r="C5003" s="48"/>
      <c r="D5003" s="48"/>
    </row>
    <row r="5004" spans="1:4" x14ac:dyDescent="0.25">
      <c r="A5004" s="47"/>
      <c r="B5004" s="107"/>
      <c r="C5004" s="48"/>
      <c r="D5004" s="48"/>
    </row>
    <row r="5005" spans="1:4" x14ac:dyDescent="0.25">
      <c r="A5005" s="47"/>
      <c r="B5005" s="107"/>
      <c r="C5005" s="48"/>
      <c r="D5005" s="48"/>
    </row>
    <row r="5006" spans="1:4" x14ac:dyDescent="0.25">
      <c r="A5006" s="47"/>
      <c r="B5006" s="107"/>
      <c r="C5006" s="48"/>
      <c r="D5006" s="48"/>
    </row>
    <row r="5007" spans="1:4" x14ac:dyDescent="0.25">
      <c r="A5007" s="47"/>
      <c r="B5007" s="107"/>
      <c r="C5007" s="48"/>
      <c r="D5007" s="48"/>
    </row>
    <row r="5008" spans="1:4" x14ac:dyDescent="0.25">
      <c r="A5008" s="47"/>
      <c r="B5008" s="107"/>
      <c r="C5008" s="48"/>
      <c r="D5008" s="48"/>
    </row>
    <row r="5009" spans="1:4" x14ac:dyDescent="0.25">
      <c r="A5009" s="47"/>
      <c r="B5009" s="107"/>
      <c r="C5009" s="48"/>
      <c r="D5009" s="48"/>
    </row>
    <row r="5010" spans="1:4" x14ac:dyDescent="0.25">
      <c r="A5010" s="47"/>
      <c r="B5010" s="107"/>
      <c r="C5010" s="48"/>
      <c r="D5010" s="48"/>
    </row>
    <row r="5011" spans="1:4" x14ac:dyDescent="0.25">
      <c r="A5011" s="47"/>
      <c r="B5011" s="107"/>
      <c r="C5011" s="48"/>
      <c r="D5011" s="48"/>
    </row>
    <row r="5012" spans="1:4" x14ac:dyDescent="0.25">
      <c r="A5012" s="47"/>
      <c r="B5012" s="107"/>
      <c r="C5012" s="48"/>
      <c r="D5012" s="48"/>
    </row>
    <row r="5013" spans="1:4" x14ac:dyDescent="0.25">
      <c r="A5013" s="47"/>
      <c r="B5013" s="107"/>
      <c r="C5013" s="48"/>
      <c r="D5013" s="48"/>
    </row>
    <row r="5014" spans="1:4" x14ac:dyDescent="0.25">
      <c r="A5014" s="47"/>
      <c r="B5014" s="107"/>
      <c r="C5014" s="48"/>
      <c r="D5014" s="48"/>
    </row>
    <row r="5015" spans="1:4" x14ac:dyDescent="0.25">
      <c r="A5015" s="47"/>
      <c r="B5015" s="107"/>
      <c r="C5015" s="48"/>
      <c r="D5015" s="48"/>
    </row>
    <row r="5016" spans="1:4" x14ac:dyDescent="0.25">
      <c r="A5016" s="47"/>
      <c r="B5016" s="107"/>
      <c r="C5016" s="48"/>
      <c r="D5016" s="48"/>
    </row>
    <row r="5017" spans="1:4" x14ac:dyDescent="0.25">
      <c r="A5017" s="47"/>
      <c r="B5017" s="107"/>
      <c r="C5017" s="48"/>
      <c r="D5017" s="48"/>
    </row>
    <row r="5018" spans="1:4" x14ac:dyDescent="0.25">
      <c r="A5018" s="47"/>
      <c r="B5018" s="107"/>
      <c r="C5018" s="48"/>
      <c r="D5018" s="48"/>
    </row>
    <row r="5019" spans="1:4" x14ac:dyDescent="0.25">
      <c r="A5019" s="47"/>
      <c r="B5019" s="107"/>
      <c r="C5019" s="48"/>
      <c r="D5019" s="48"/>
    </row>
    <row r="5020" spans="1:4" x14ac:dyDescent="0.25">
      <c r="A5020" s="47"/>
      <c r="B5020" s="107"/>
      <c r="C5020" s="48"/>
      <c r="D5020" s="48"/>
    </row>
    <row r="5021" spans="1:4" x14ac:dyDescent="0.25">
      <c r="A5021" s="47"/>
      <c r="B5021" s="107"/>
      <c r="C5021" s="48"/>
      <c r="D5021" s="48"/>
    </row>
    <row r="5022" spans="1:4" x14ac:dyDescent="0.25">
      <c r="A5022" s="47"/>
      <c r="B5022" s="107"/>
      <c r="C5022" s="48"/>
      <c r="D5022" s="48"/>
    </row>
    <row r="5023" spans="1:4" x14ac:dyDescent="0.25">
      <c r="A5023" s="47"/>
      <c r="B5023" s="107"/>
      <c r="C5023" s="48"/>
      <c r="D5023" s="48"/>
    </row>
    <row r="5024" spans="1:4" x14ac:dyDescent="0.25">
      <c r="A5024" s="47"/>
      <c r="B5024" s="107"/>
      <c r="C5024" s="48"/>
      <c r="D5024" s="48"/>
    </row>
    <row r="5025" spans="1:4" x14ac:dyDescent="0.25">
      <c r="A5025" s="47"/>
      <c r="B5025" s="107"/>
      <c r="C5025" s="48"/>
      <c r="D5025" s="48"/>
    </row>
    <row r="5026" spans="1:4" x14ac:dyDescent="0.25">
      <c r="A5026" s="47"/>
      <c r="B5026" s="107"/>
      <c r="C5026" s="48"/>
      <c r="D5026" s="48"/>
    </row>
    <row r="5027" spans="1:4" x14ac:dyDescent="0.25">
      <c r="A5027" s="47"/>
      <c r="B5027" s="107"/>
      <c r="C5027" s="48"/>
      <c r="D5027" s="48"/>
    </row>
    <row r="5028" spans="1:4" x14ac:dyDescent="0.25">
      <c r="A5028" s="47"/>
      <c r="B5028" s="107"/>
      <c r="C5028" s="48"/>
      <c r="D5028" s="48"/>
    </row>
    <row r="5029" spans="1:4" x14ac:dyDescent="0.25">
      <c r="A5029" s="47"/>
      <c r="B5029" s="107"/>
      <c r="C5029" s="48"/>
      <c r="D5029" s="48"/>
    </row>
    <row r="5030" spans="1:4" x14ac:dyDescent="0.25">
      <c r="A5030" s="47"/>
      <c r="B5030" s="107"/>
      <c r="C5030" s="48"/>
      <c r="D5030" s="48"/>
    </row>
    <row r="5031" spans="1:4" x14ac:dyDescent="0.25">
      <c r="A5031" s="47"/>
      <c r="B5031" s="107"/>
      <c r="C5031" s="48"/>
      <c r="D5031" s="48"/>
    </row>
    <row r="5032" spans="1:4" x14ac:dyDescent="0.25">
      <c r="A5032" s="47"/>
      <c r="B5032" s="107"/>
      <c r="C5032" s="48"/>
      <c r="D5032" s="48"/>
    </row>
    <row r="5033" spans="1:4" x14ac:dyDescent="0.25">
      <c r="A5033" s="47"/>
      <c r="B5033" s="107"/>
      <c r="C5033" s="48"/>
      <c r="D5033" s="48"/>
    </row>
    <row r="5034" spans="1:4" x14ac:dyDescent="0.25">
      <c r="A5034" s="47"/>
      <c r="B5034" s="107"/>
      <c r="C5034" s="48"/>
      <c r="D5034" s="48"/>
    </row>
    <row r="5035" spans="1:4" x14ac:dyDescent="0.25">
      <c r="A5035" s="47"/>
      <c r="B5035" s="107"/>
      <c r="C5035" s="48"/>
      <c r="D5035" s="48"/>
    </row>
    <row r="5036" spans="1:4" x14ac:dyDescent="0.25">
      <c r="A5036" s="47"/>
      <c r="B5036" s="107"/>
      <c r="C5036" s="48"/>
      <c r="D5036" s="48"/>
    </row>
    <row r="5037" spans="1:4" x14ac:dyDescent="0.25">
      <c r="A5037" s="47"/>
      <c r="B5037" s="107"/>
      <c r="C5037" s="48"/>
      <c r="D5037" s="48"/>
    </row>
    <row r="5038" spans="1:4" x14ac:dyDescent="0.25">
      <c r="A5038" s="47"/>
      <c r="B5038" s="107"/>
      <c r="C5038" s="48"/>
      <c r="D5038" s="48"/>
    </row>
    <row r="5039" spans="1:4" x14ac:dyDescent="0.25">
      <c r="A5039" s="47"/>
      <c r="B5039" s="107"/>
      <c r="C5039" s="48"/>
      <c r="D5039" s="48"/>
    </row>
    <row r="5040" spans="1:4" x14ac:dyDescent="0.25">
      <c r="A5040" s="47"/>
      <c r="B5040" s="107"/>
      <c r="C5040" s="48"/>
      <c r="D5040" s="48"/>
    </row>
    <row r="5041" spans="1:4" x14ac:dyDescent="0.25">
      <c r="A5041" s="47"/>
      <c r="B5041" s="107"/>
      <c r="C5041" s="48"/>
      <c r="D5041" s="48"/>
    </row>
    <row r="5042" spans="1:4" x14ac:dyDescent="0.25">
      <c r="A5042" s="47"/>
      <c r="B5042" s="107"/>
      <c r="C5042" s="48"/>
      <c r="D5042" s="48"/>
    </row>
    <row r="5043" spans="1:4" x14ac:dyDescent="0.25">
      <c r="A5043" s="47"/>
      <c r="B5043" s="107"/>
      <c r="C5043" s="48"/>
      <c r="D5043" s="48"/>
    </row>
    <row r="5044" spans="1:4" x14ac:dyDescent="0.25">
      <c r="A5044" s="47"/>
      <c r="B5044" s="107"/>
      <c r="C5044" s="48"/>
      <c r="D5044" s="48"/>
    </row>
    <row r="5045" spans="1:4" x14ac:dyDescent="0.25">
      <c r="A5045" s="47"/>
      <c r="B5045" s="107"/>
      <c r="C5045" s="48"/>
      <c r="D5045" s="48"/>
    </row>
    <row r="5046" spans="1:4" x14ac:dyDescent="0.25">
      <c r="A5046" s="47"/>
      <c r="B5046" s="107"/>
      <c r="C5046" s="48"/>
      <c r="D5046" s="48"/>
    </row>
    <row r="5047" spans="1:4" x14ac:dyDescent="0.25">
      <c r="A5047" s="47"/>
      <c r="B5047" s="107"/>
      <c r="C5047" s="48"/>
      <c r="D5047" s="48"/>
    </row>
    <row r="5048" spans="1:4" x14ac:dyDescent="0.25">
      <c r="A5048" s="47"/>
      <c r="B5048" s="107"/>
      <c r="C5048" s="48"/>
      <c r="D5048" s="48"/>
    </row>
    <row r="5049" spans="1:4" x14ac:dyDescent="0.25">
      <c r="A5049" s="47"/>
      <c r="B5049" s="107"/>
      <c r="C5049" s="48"/>
      <c r="D5049" s="48"/>
    </row>
    <row r="5050" spans="1:4" x14ac:dyDescent="0.25">
      <c r="A5050" s="47"/>
      <c r="B5050" s="107"/>
      <c r="C5050" s="48"/>
      <c r="D5050" s="48"/>
    </row>
    <row r="5051" spans="1:4" x14ac:dyDescent="0.25">
      <c r="A5051" s="47"/>
      <c r="B5051" s="107"/>
      <c r="C5051" s="48"/>
      <c r="D5051" s="48"/>
    </row>
    <row r="5052" spans="1:4" x14ac:dyDescent="0.25">
      <c r="A5052" s="47"/>
      <c r="B5052" s="107"/>
      <c r="C5052" s="48"/>
      <c r="D5052" s="48"/>
    </row>
    <row r="5053" spans="1:4" x14ac:dyDescent="0.25">
      <c r="A5053" s="47"/>
      <c r="B5053" s="107"/>
      <c r="C5053" s="48"/>
      <c r="D5053" s="48"/>
    </row>
    <row r="5054" spans="1:4" x14ac:dyDescent="0.25">
      <c r="A5054" s="47"/>
      <c r="B5054" s="107"/>
      <c r="C5054" s="48"/>
      <c r="D5054" s="48"/>
    </row>
    <row r="5055" spans="1:4" x14ac:dyDescent="0.25">
      <c r="A5055" s="47"/>
      <c r="B5055" s="107"/>
      <c r="C5055" s="48"/>
      <c r="D5055" s="48"/>
    </row>
    <row r="5056" spans="1:4" x14ac:dyDescent="0.25">
      <c r="A5056" s="47"/>
      <c r="B5056" s="107"/>
      <c r="C5056" s="48"/>
      <c r="D5056" s="48"/>
    </row>
    <row r="5057" spans="1:4" x14ac:dyDescent="0.25">
      <c r="A5057" s="47"/>
      <c r="B5057" s="107"/>
      <c r="C5057" s="48"/>
      <c r="D5057" s="48"/>
    </row>
    <row r="5058" spans="1:4" x14ac:dyDescent="0.25">
      <c r="A5058" s="47"/>
      <c r="B5058" s="107"/>
      <c r="C5058" s="48"/>
      <c r="D5058" s="48"/>
    </row>
    <row r="5059" spans="1:4" x14ac:dyDescent="0.25">
      <c r="A5059" s="47"/>
      <c r="B5059" s="107"/>
      <c r="C5059" s="48"/>
      <c r="D5059" s="48"/>
    </row>
    <row r="5060" spans="1:4" x14ac:dyDescent="0.25">
      <c r="A5060" s="47"/>
      <c r="B5060" s="107"/>
      <c r="C5060" s="48"/>
      <c r="D5060" s="48"/>
    </row>
    <row r="5061" spans="1:4" x14ac:dyDescent="0.25">
      <c r="A5061" s="47"/>
      <c r="B5061" s="107"/>
      <c r="C5061" s="48"/>
      <c r="D5061" s="48"/>
    </row>
    <row r="5062" spans="1:4" x14ac:dyDescent="0.25">
      <c r="A5062" s="194"/>
      <c r="B5062" s="107"/>
      <c r="C5062" s="48"/>
      <c r="D5062" s="48"/>
    </row>
    <row r="5063" spans="1:4" x14ac:dyDescent="0.25">
      <c r="A5063" s="47"/>
      <c r="B5063" s="107"/>
      <c r="C5063" s="48"/>
      <c r="D5063" s="48"/>
    </row>
    <row r="5064" spans="1:4" x14ac:dyDescent="0.25">
      <c r="A5064" s="47"/>
      <c r="B5064" s="107"/>
      <c r="C5064" s="48"/>
      <c r="D5064" s="48"/>
    </row>
    <row r="5065" spans="1:4" x14ac:dyDescent="0.25">
      <c r="A5065" s="47"/>
      <c r="B5065" s="107"/>
      <c r="C5065" s="48"/>
      <c r="D5065" s="48"/>
    </row>
    <row r="5066" spans="1:4" x14ac:dyDescent="0.25">
      <c r="A5066" s="47"/>
      <c r="B5066" s="107"/>
      <c r="C5066" s="48"/>
      <c r="D5066" s="48"/>
    </row>
    <row r="5067" spans="1:4" x14ac:dyDescent="0.25">
      <c r="A5067" s="47"/>
      <c r="B5067" s="107"/>
      <c r="C5067" s="48"/>
      <c r="D5067" s="48"/>
    </row>
    <row r="5068" spans="1:4" x14ac:dyDescent="0.25">
      <c r="A5068" s="47"/>
      <c r="B5068" s="107"/>
      <c r="C5068" s="48"/>
      <c r="D5068" s="48"/>
    </row>
    <row r="5069" spans="1:4" x14ac:dyDescent="0.25">
      <c r="A5069" s="47"/>
      <c r="B5069" s="107"/>
      <c r="C5069" s="48"/>
      <c r="D5069" s="48"/>
    </row>
    <row r="5070" spans="1:4" x14ac:dyDescent="0.25">
      <c r="A5070" s="47"/>
      <c r="B5070" s="107"/>
      <c r="C5070" s="48"/>
      <c r="D5070" s="48"/>
    </row>
    <row r="5071" spans="1:4" x14ac:dyDescent="0.25">
      <c r="A5071" s="47"/>
      <c r="B5071" s="107"/>
      <c r="C5071" s="48"/>
      <c r="D5071" s="48"/>
    </row>
    <row r="5072" spans="1:4" x14ac:dyDescent="0.25">
      <c r="A5072" s="47"/>
      <c r="B5072" s="107"/>
      <c r="C5072" s="48"/>
      <c r="D5072" s="48"/>
    </row>
    <row r="5073" spans="1:4" x14ac:dyDescent="0.25">
      <c r="A5073" s="47"/>
      <c r="B5073" s="107"/>
      <c r="C5073" s="48"/>
      <c r="D5073" s="48"/>
    </row>
    <row r="5074" spans="1:4" x14ac:dyDescent="0.25">
      <c r="A5074" s="47"/>
      <c r="B5074" s="107"/>
      <c r="C5074" s="48"/>
      <c r="D5074" s="48"/>
    </row>
    <row r="5075" spans="1:4" x14ac:dyDescent="0.25">
      <c r="A5075" s="47"/>
      <c r="B5075" s="107"/>
      <c r="C5075" s="48"/>
      <c r="D5075" s="48"/>
    </row>
    <row r="5076" spans="1:4" x14ac:dyDescent="0.25">
      <c r="A5076" s="47"/>
      <c r="B5076" s="107"/>
      <c r="C5076" s="48"/>
      <c r="D5076" s="48"/>
    </row>
    <row r="5077" spans="1:4" x14ac:dyDescent="0.25">
      <c r="A5077" s="47"/>
      <c r="B5077" s="107"/>
      <c r="C5077" s="48"/>
      <c r="D5077" s="48"/>
    </row>
    <row r="5078" spans="1:4" x14ac:dyDescent="0.25">
      <c r="A5078" s="47"/>
      <c r="B5078" s="107"/>
      <c r="C5078" s="48"/>
      <c r="D5078" s="48"/>
    </row>
    <row r="5079" spans="1:4" x14ac:dyDescent="0.25">
      <c r="A5079" s="47"/>
      <c r="B5079" s="107"/>
      <c r="C5079" s="48"/>
      <c r="D5079" s="48"/>
    </row>
    <row r="5080" spans="1:4" x14ac:dyDescent="0.25">
      <c r="A5080" s="47"/>
      <c r="B5080" s="107"/>
      <c r="C5080" s="48"/>
      <c r="D5080" s="48"/>
    </row>
    <row r="5081" spans="1:4" x14ac:dyDescent="0.25">
      <c r="A5081" s="47"/>
      <c r="B5081" s="107"/>
      <c r="C5081" s="48"/>
      <c r="D5081" s="48"/>
    </row>
    <row r="5082" spans="1:4" x14ac:dyDescent="0.25">
      <c r="A5082" s="47"/>
      <c r="B5082" s="107"/>
      <c r="C5082" s="48"/>
      <c r="D5082" s="48"/>
    </row>
    <row r="5083" spans="1:4" x14ac:dyDescent="0.25">
      <c r="A5083" s="47"/>
      <c r="B5083" s="107"/>
      <c r="C5083" s="48"/>
      <c r="D5083" s="48"/>
    </row>
    <row r="5084" spans="1:4" x14ac:dyDescent="0.25">
      <c r="A5084" s="47"/>
      <c r="B5084" s="107"/>
      <c r="C5084" s="48"/>
      <c r="D5084" s="48"/>
    </row>
    <row r="5085" spans="1:4" x14ac:dyDescent="0.25">
      <c r="A5085" s="47"/>
      <c r="B5085" s="107"/>
      <c r="C5085" s="48"/>
      <c r="D5085" s="48"/>
    </row>
    <row r="5086" spans="1:4" x14ac:dyDescent="0.25">
      <c r="A5086" s="47"/>
      <c r="B5086" s="107"/>
      <c r="C5086" s="48"/>
      <c r="D5086" s="48"/>
    </row>
    <row r="5087" spans="1:4" x14ac:dyDescent="0.25">
      <c r="A5087" s="47"/>
      <c r="B5087" s="107"/>
      <c r="C5087" s="48"/>
      <c r="D5087" s="48"/>
    </row>
    <row r="5088" spans="1:4" x14ac:dyDescent="0.25">
      <c r="A5088" s="47"/>
      <c r="B5088" s="107"/>
      <c r="C5088" s="48"/>
      <c r="D5088" s="48"/>
    </row>
    <row r="5089" spans="1:4" x14ac:dyDescent="0.25">
      <c r="A5089" s="47"/>
      <c r="B5089" s="107"/>
      <c r="C5089" s="48"/>
      <c r="D5089" s="48"/>
    </row>
    <row r="5090" spans="1:4" x14ac:dyDescent="0.25">
      <c r="A5090" s="47"/>
      <c r="B5090" s="107"/>
      <c r="C5090" s="48"/>
      <c r="D5090" s="48"/>
    </row>
    <row r="5091" spans="1:4" x14ac:dyDescent="0.25">
      <c r="A5091" s="47"/>
      <c r="B5091" s="107"/>
      <c r="C5091" s="48"/>
      <c r="D5091" s="48"/>
    </row>
    <row r="5092" spans="1:4" x14ac:dyDescent="0.25">
      <c r="A5092" s="47"/>
      <c r="B5092" s="107"/>
      <c r="C5092" s="48"/>
      <c r="D5092" s="48"/>
    </row>
    <row r="5093" spans="1:4" x14ac:dyDescent="0.25">
      <c r="A5093" s="47"/>
      <c r="B5093" s="107"/>
      <c r="C5093" s="48"/>
      <c r="D5093" s="48"/>
    </row>
    <row r="5094" spans="1:4" x14ac:dyDescent="0.25">
      <c r="A5094" s="47"/>
      <c r="B5094" s="107"/>
      <c r="C5094" s="48"/>
      <c r="D5094" s="48"/>
    </row>
    <row r="5095" spans="1:4" x14ac:dyDescent="0.25">
      <c r="A5095" s="47"/>
      <c r="B5095" s="107"/>
      <c r="C5095" s="48"/>
      <c r="D5095" s="48"/>
    </row>
    <row r="5096" spans="1:4" x14ac:dyDescent="0.25">
      <c r="A5096" s="47"/>
      <c r="B5096" s="107"/>
      <c r="C5096" s="48"/>
      <c r="D5096" s="48"/>
    </row>
    <row r="5097" spans="1:4" x14ac:dyDescent="0.25">
      <c r="A5097" s="47"/>
      <c r="B5097" s="107"/>
      <c r="C5097" s="48"/>
      <c r="D5097" s="48"/>
    </row>
    <row r="5098" spans="1:4" x14ac:dyDescent="0.25">
      <c r="A5098" s="47"/>
      <c r="B5098" s="107"/>
      <c r="C5098" s="48"/>
      <c r="D5098" s="48"/>
    </row>
    <row r="5099" spans="1:4" x14ac:dyDescent="0.25">
      <c r="A5099" s="47"/>
      <c r="B5099" s="107"/>
      <c r="C5099" s="48"/>
      <c r="D5099" s="48"/>
    </row>
    <row r="5100" spans="1:4" x14ac:dyDescent="0.25">
      <c r="A5100" s="47"/>
      <c r="B5100" s="107"/>
      <c r="C5100" s="48"/>
      <c r="D5100" s="48"/>
    </row>
    <row r="5101" spans="1:4" x14ac:dyDescent="0.25">
      <c r="A5101" s="47"/>
      <c r="B5101" s="107"/>
      <c r="C5101" s="48"/>
      <c r="D5101" s="48"/>
    </row>
    <row r="5102" spans="1:4" x14ac:dyDescent="0.25">
      <c r="A5102" s="47"/>
      <c r="B5102" s="107"/>
      <c r="C5102" s="48"/>
      <c r="D5102" s="48"/>
    </row>
    <row r="5103" spans="1:4" x14ac:dyDescent="0.25">
      <c r="A5103" s="47"/>
      <c r="B5103" s="107"/>
      <c r="C5103" s="48"/>
      <c r="D5103" s="48"/>
    </row>
    <row r="5104" spans="1:4" x14ac:dyDescent="0.25">
      <c r="A5104" s="47"/>
      <c r="B5104" s="107"/>
      <c r="C5104" s="48"/>
      <c r="D5104" s="48"/>
    </row>
    <row r="5105" spans="1:4" x14ac:dyDescent="0.25">
      <c r="A5105" s="47"/>
      <c r="B5105" s="107"/>
      <c r="C5105" s="48"/>
      <c r="D5105" s="48"/>
    </row>
    <row r="5106" spans="1:4" x14ac:dyDescent="0.25">
      <c r="A5106" s="47"/>
      <c r="B5106" s="107"/>
      <c r="C5106" s="48"/>
      <c r="D5106" s="48"/>
    </row>
    <row r="5107" spans="1:4" x14ac:dyDescent="0.25">
      <c r="A5107" s="47"/>
      <c r="B5107" s="107"/>
      <c r="C5107" s="48"/>
      <c r="D5107" s="48"/>
    </row>
    <row r="5108" spans="1:4" x14ac:dyDescent="0.25">
      <c r="A5108" s="47"/>
      <c r="B5108" s="107"/>
      <c r="C5108" s="48"/>
      <c r="D5108" s="48"/>
    </row>
    <row r="5109" spans="1:4" x14ac:dyDescent="0.25">
      <c r="A5109" s="47"/>
      <c r="B5109" s="107"/>
      <c r="C5109" s="48"/>
      <c r="D5109" s="48"/>
    </row>
    <row r="5110" spans="1:4" x14ac:dyDescent="0.25">
      <c r="A5110" s="47"/>
      <c r="B5110" s="107"/>
      <c r="C5110" s="48"/>
      <c r="D5110" s="48"/>
    </row>
    <row r="5111" spans="1:4" x14ac:dyDescent="0.25">
      <c r="A5111" s="47"/>
      <c r="B5111" s="107"/>
      <c r="C5111" s="48"/>
      <c r="D5111" s="48"/>
    </row>
    <row r="5112" spans="1:4" x14ac:dyDescent="0.25">
      <c r="A5112" s="47"/>
      <c r="B5112" s="107"/>
      <c r="C5112" s="48"/>
      <c r="D5112" s="48"/>
    </row>
    <row r="5113" spans="1:4" x14ac:dyDescent="0.25">
      <c r="A5113" s="47"/>
      <c r="B5113" s="107"/>
      <c r="C5113" s="48"/>
      <c r="D5113" s="48"/>
    </row>
    <row r="5114" spans="1:4" x14ac:dyDescent="0.25">
      <c r="A5114" s="47"/>
      <c r="B5114" s="107"/>
      <c r="C5114" s="48"/>
      <c r="D5114" s="48"/>
    </row>
    <row r="5115" spans="1:4" x14ac:dyDescent="0.25">
      <c r="A5115" s="47"/>
      <c r="B5115" s="107"/>
      <c r="C5115" s="48"/>
      <c r="D5115" s="48"/>
    </row>
    <row r="5116" spans="1:4" x14ac:dyDescent="0.25">
      <c r="A5116" s="47"/>
      <c r="B5116" s="107"/>
      <c r="C5116" s="48"/>
      <c r="D5116" s="48"/>
    </row>
    <row r="5117" spans="1:4" x14ac:dyDescent="0.25">
      <c r="A5117" s="47"/>
      <c r="B5117" s="107"/>
      <c r="C5117" s="48"/>
      <c r="D5117" s="48"/>
    </row>
    <row r="5118" spans="1:4" x14ac:dyDescent="0.25">
      <c r="A5118" s="47"/>
      <c r="B5118" s="107"/>
      <c r="C5118" s="48"/>
      <c r="D5118" s="48"/>
    </row>
    <row r="5119" spans="1:4" x14ac:dyDescent="0.25">
      <c r="A5119" s="47"/>
      <c r="B5119" s="107"/>
      <c r="C5119" s="48"/>
      <c r="D5119" s="48"/>
    </row>
    <row r="5120" spans="1:4" x14ac:dyDescent="0.25">
      <c r="A5120" s="47"/>
      <c r="B5120" s="107"/>
      <c r="C5120" s="48"/>
      <c r="D5120" s="48"/>
    </row>
    <row r="5121" spans="1:4" x14ac:dyDescent="0.25">
      <c r="A5121" s="47"/>
      <c r="B5121" s="107"/>
      <c r="C5121" s="48"/>
      <c r="D5121" s="48"/>
    </row>
    <row r="5122" spans="1:4" x14ac:dyDescent="0.25">
      <c r="A5122" s="47"/>
      <c r="B5122" s="107"/>
      <c r="C5122" s="48"/>
      <c r="D5122" s="48"/>
    </row>
    <row r="5123" spans="1:4" x14ac:dyDescent="0.25">
      <c r="A5123" s="47"/>
      <c r="B5123" s="107"/>
      <c r="C5123" s="48"/>
      <c r="D5123" s="48"/>
    </row>
    <row r="5124" spans="1:4" x14ac:dyDescent="0.25">
      <c r="A5124" s="47"/>
      <c r="B5124" s="107"/>
      <c r="C5124" s="48"/>
      <c r="D5124" s="48"/>
    </row>
    <row r="5125" spans="1:4" x14ac:dyDescent="0.25">
      <c r="A5125" s="47"/>
      <c r="B5125" s="107"/>
      <c r="C5125" s="48"/>
      <c r="D5125" s="48"/>
    </row>
    <row r="5126" spans="1:4" x14ac:dyDescent="0.25">
      <c r="A5126" s="47"/>
      <c r="B5126" s="107"/>
      <c r="C5126" s="48"/>
      <c r="D5126" s="48"/>
    </row>
    <row r="5127" spans="1:4" x14ac:dyDescent="0.25">
      <c r="A5127" s="47"/>
      <c r="B5127" s="107"/>
      <c r="C5127" s="48"/>
      <c r="D5127" s="48"/>
    </row>
    <row r="5128" spans="1:4" x14ac:dyDescent="0.25">
      <c r="A5128" s="47"/>
      <c r="B5128" s="107"/>
      <c r="C5128" s="48"/>
      <c r="D5128" s="48"/>
    </row>
    <row r="5129" spans="1:4" x14ac:dyDescent="0.25">
      <c r="A5129" s="47"/>
      <c r="B5129" s="107"/>
      <c r="C5129" s="48"/>
      <c r="D5129" s="48"/>
    </row>
    <row r="5130" spans="1:4" x14ac:dyDescent="0.25">
      <c r="A5130" s="47"/>
      <c r="B5130" s="107"/>
      <c r="C5130" s="48"/>
      <c r="D5130" s="48"/>
    </row>
    <row r="5131" spans="1:4" x14ac:dyDescent="0.25">
      <c r="A5131" s="47"/>
      <c r="B5131" s="107"/>
      <c r="C5131" s="48"/>
      <c r="D5131" s="48"/>
    </row>
    <row r="5132" spans="1:4" x14ac:dyDescent="0.25">
      <c r="A5132" s="47"/>
      <c r="B5132" s="107"/>
      <c r="C5132" s="48"/>
      <c r="D5132" s="48"/>
    </row>
    <row r="5133" spans="1:4" x14ac:dyDescent="0.25">
      <c r="A5133" s="47"/>
      <c r="B5133" s="107"/>
      <c r="C5133" s="48"/>
      <c r="D5133" s="48"/>
    </row>
    <row r="5134" spans="1:4" x14ac:dyDescent="0.25">
      <c r="A5134" s="47"/>
      <c r="B5134" s="107"/>
      <c r="C5134" s="48"/>
      <c r="D5134" s="48"/>
    </row>
    <row r="5135" spans="1:4" x14ac:dyDescent="0.25">
      <c r="A5135" s="47"/>
      <c r="B5135" s="107"/>
      <c r="C5135" s="48"/>
      <c r="D5135" s="48"/>
    </row>
    <row r="5136" spans="1:4" x14ac:dyDescent="0.25">
      <c r="A5136" s="47"/>
      <c r="B5136" s="107"/>
      <c r="C5136" s="48"/>
      <c r="D5136" s="48"/>
    </row>
    <row r="5137" spans="1:4" x14ac:dyDescent="0.25">
      <c r="A5137" s="47"/>
      <c r="B5137" s="107"/>
      <c r="C5137" s="48"/>
      <c r="D5137" s="48"/>
    </row>
    <row r="5138" spans="1:4" x14ac:dyDescent="0.25">
      <c r="A5138" s="47"/>
      <c r="B5138" s="107"/>
      <c r="C5138" s="48"/>
      <c r="D5138" s="48"/>
    </row>
    <row r="5139" spans="1:4" x14ac:dyDescent="0.25">
      <c r="A5139" s="47"/>
      <c r="B5139" s="107"/>
      <c r="C5139" s="48"/>
      <c r="D5139" s="48"/>
    </row>
    <row r="5140" spans="1:4" x14ac:dyDescent="0.25">
      <c r="A5140" s="47"/>
      <c r="B5140" s="107"/>
      <c r="C5140" s="48"/>
      <c r="D5140" s="48"/>
    </row>
    <row r="5141" spans="1:4" x14ac:dyDescent="0.25">
      <c r="A5141" s="47"/>
      <c r="B5141" s="107"/>
      <c r="C5141" s="48"/>
      <c r="D5141" s="48"/>
    </row>
    <row r="5142" spans="1:4" x14ac:dyDescent="0.25">
      <c r="A5142" s="47"/>
      <c r="B5142" s="107"/>
      <c r="C5142" s="48"/>
      <c r="D5142" s="48"/>
    </row>
    <row r="5143" spans="1:4" x14ac:dyDescent="0.25">
      <c r="A5143" s="47"/>
      <c r="B5143" s="107"/>
      <c r="C5143" s="48"/>
      <c r="D5143" s="48"/>
    </row>
    <row r="5144" spans="1:4" x14ac:dyDescent="0.25">
      <c r="A5144" s="47"/>
      <c r="B5144" s="107"/>
      <c r="C5144" s="48"/>
      <c r="D5144" s="48"/>
    </row>
    <row r="5145" spans="1:4" x14ac:dyDescent="0.25">
      <c r="A5145" s="47"/>
      <c r="B5145" s="107"/>
      <c r="C5145" s="48"/>
      <c r="D5145" s="48"/>
    </row>
    <row r="5146" spans="1:4" x14ac:dyDescent="0.25">
      <c r="A5146" s="47"/>
      <c r="B5146" s="107"/>
      <c r="C5146" s="48"/>
      <c r="D5146" s="48"/>
    </row>
    <row r="5147" spans="1:4" x14ac:dyDescent="0.25">
      <c r="A5147" s="47"/>
      <c r="B5147" s="107"/>
      <c r="C5147" s="48"/>
      <c r="D5147" s="48"/>
    </row>
    <row r="5148" spans="1:4" x14ac:dyDescent="0.25">
      <c r="A5148" s="47"/>
      <c r="B5148" s="107"/>
      <c r="C5148" s="48"/>
      <c r="D5148" s="48"/>
    </row>
    <row r="5149" spans="1:4" x14ac:dyDescent="0.25">
      <c r="A5149" s="47"/>
      <c r="B5149" s="107"/>
      <c r="C5149" s="48"/>
      <c r="D5149" s="48"/>
    </row>
    <row r="5150" spans="1:4" x14ac:dyDescent="0.25">
      <c r="A5150" s="47"/>
      <c r="B5150" s="107"/>
      <c r="C5150" s="48"/>
      <c r="D5150" s="48"/>
    </row>
    <row r="5151" spans="1:4" x14ac:dyDescent="0.25">
      <c r="A5151" s="47"/>
      <c r="B5151" s="107"/>
      <c r="C5151" s="48"/>
      <c r="D5151" s="48"/>
    </row>
    <row r="5152" spans="1:4" x14ac:dyDescent="0.25">
      <c r="A5152" s="47"/>
      <c r="B5152" s="107"/>
      <c r="C5152" s="48"/>
      <c r="D5152" s="48"/>
    </row>
    <row r="5153" spans="1:4" x14ac:dyDescent="0.25">
      <c r="A5153" s="47"/>
      <c r="B5153" s="107"/>
      <c r="C5153" s="48"/>
      <c r="D5153" s="48"/>
    </row>
    <row r="5154" spans="1:4" x14ac:dyDescent="0.25">
      <c r="A5154" s="47"/>
      <c r="B5154" s="107"/>
      <c r="C5154" s="48"/>
      <c r="D5154" s="48"/>
    </row>
    <row r="5155" spans="1:4" x14ac:dyDescent="0.25">
      <c r="A5155" s="47"/>
      <c r="B5155" s="107"/>
      <c r="C5155" s="48"/>
      <c r="D5155" s="48"/>
    </row>
    <row r="5156" spans="1:4" x14ac:dyDescent="0.25">
      <c r="A5156" s="47"/>
      <c r="B5156" s="107"/>
      <c r="C5156" s="48"/>
      <c r="D5156" s="48"/>
    </row>
    <row r="5157" spans="1:4" x14ac:dyDescent="0.25">
      <c r="A5157" s="47"/>
      <c r="B5157" s="107"/>
      <c r="C5157" s="48"/>
      <c r="D5157" s="48"/>
    </row>
    <row r="5158" spans="1:4" x14ac:dyDescent="0.25">
      <c r="A5158" s="47"/>
      <c r="B5158" s="107"/>
      <c r="C5158" s="48"/>
      <c r="D5158" s="48"/>
    </row>
    <row r="5159" spans="1:4" x14ac:dyDescent="0.25">
      <c r="A5159" s="47"/>
      <c r="B5159" s="107"/>
      <c r="C5159" s="48"/>
      <c r="D5159" s="48"/>
    </row>
    <row r="5160" spans="1:4" x14ac:dyDescent="0.25">
      <c r="A5160" s="47"/>
      <c r="B5160" s="107"/>
      <c r="C5160" s="48"/>
      <c r="D5160" s="48"/>
    </row>
    <row r="5161" spans="1:4" x14ac:dyDescent="0.25">
      <c r="A5161" s="47"/>
      <c r="B5161" s="107"/>
      <c r="C5161" s="48"/>
      <c r="D5161" s="48"/>
    </row>
    <row r="5162" spans="1:4" x14ac:dyDescent="0.25">
      <c r="A5162" s="47"/>
      <c r="B5162" s="107"/>
      <c r="C5162" s="48"/>
      <c r="D5162" s="48"/>
    </row>
    <row r="5163" spans="1:4" x14ac:dyDescent="0.25">
      <c r="A5163" s="47"/>
      <c r="B5163" s="107"/>
      <c r="C5163" s="48"/>
      <c r="D5163" s="48"/>
    </row>
    <row r="5164" spans="1:4" x14ac:dyDescent="0.25">
      <c r="A5164" s="47"/>
      <c r="B5164" s="107"/>
      <c r="C5164" s="48"/>
      <c r="D5164" s="48"/>
    </row>
    <row r="5165" spans="1:4" x14ac:dyDescent="0.25">
      <c r="A5165" s="47"/>
      <c r="B5165" s="107"/>
      <c r="C5165" s="48"/>
      <c r="D5165" s="48"/>
    </row>
    <row r="5166" spans="1:4" x14ac:dyDescent="0.25">
      <c r="A5166" s="47"/>
      <c r="B5166" s="107"/>
      <c r="C5166" s="48"/>
      <c r="D5166" s="48"/>
    </row>
    <row r="5167" spans="1:4" x14ac:dyDescent="0.25">
      <c r="A5167" s="47"/>
      <c r="B5167" s="107"/>
      <c r="C5167" s="48"/>
      <c r="D5167" s="48"/>
    </row>
    <row r="5168" spans="1:4" x14ac:dyDescent="0.25">
      <c r="A5168" s="47"/>
      <c r="B5168" s="107"/>
      <c r="C5168" s="48"/>
      <c r="D5168" s="48"/>
    </row>
    <row r="5169" spans="1:4" x14ac:dyDescent="0.25">
      <c r="A5169" s="47"/>
      <c r="B5169" s="107"/>
      <c r="C5169" s="48"/>
      <c r="D5169" s="48"/>
    </row>
    <row r="5170" spans="1:4" x14ac:dyDescent="0.25">
      <c r="A5170" s="47"/>
      <c r="B5170" s="107"/>
      <c r="C5170" s="48"/>
      <c r="D5170" s="48"/>
    </row>
    <row r="5171" spans="1:4" x14ac:dyDescent="0.25">
      <c r="A5171" s="47"/>
      <c r="B5171" s="107"/>
      <c r="C5171" s="48"/>
      <c r="D5171" s="48"/>
    </row>
    <row r="5172" spans="1:4" x14ac:dyDescent="0.25">
      <c r="A5172" s="47"/>
      <c r="B5172" s="107"/>
      <c r="C5172" s="48"/>
      <c r="D5172" s="48"/>
    </row>
    <row r="5173" spans="1:4" x14ac:dyDescent="0.25">
      <c r="A5173" s="47"/>
      <c r="B5173" s="107"/>
      <c r="C5173" s="48"/>
      <c r="D5173" s="48"/>
    </row>
    <row r="5174" spans="1:4" x14ac:dyDescent="0.25">
      <c r="A5174" s="47"/>
      <c r="B5174" s="107"/>
      <c r="C5174" s="48"/>
      <c r="D5174" s="48"/>
    </row>
    <row r="5175" spans="1:4" x14ac:dyDescent="0.25">
      <c r="A5175" s="47"/>
      <c r="B5175" s="107"/>
      <c r="C5175" s="48"/>
      <c r="D5175" s="48"/>
    </row>
    <row r="5176" spans="1:4" x14ac:dyDescent="0.25">
      <c r="A5176" s="47"/>
      <c r="B5176" s="107"/>
      <c r="C5176" s="48"/>
      <c r="D5176" s="48"/>
    </row>
    <row r="5177" spans="1:4" x14ac:dyDescent="0.25">
      <c r="A5177" s="47"/>
      <c r="B5177" s="107"/>
      <c r="C5177" s="48"/>
      <c r="D5177" s="48"/>
    </row>
    <row r="5178" spans="1:4" x14ac:dyDescent="0.25">
      <c r="A5178" s="47"/>
      <c r="B5178" s="107"/>
      <c r="C5178" s="48"/>
      <c r="D5178" s="48"/>
    </row>
    <row r="5179" spans="1:4" x14ac:dyDescent="0.25">
      <c r="A5179" s="47"/>
      <c r="B5179" s="107"/>
      <c r="C5179" s="48"/>
      <c r="D5179" s="48"/>
    </row>
    <row r="5180" spans="1:4" x14ac:dyDescent="0.25">
      <c r="A5180" s="47"/>
      <c r="B5180" s="107"/>
      <c r="C5180" s="48"/>
      <c r="D5180" s="48"/>
    </row>
    <row r="5181" spans="1:4" x14ac:dyDescent="0.25">
      <c r="A5181" s="47"/>
      <c r="B5181" s="107"/>
      <c r="C5181" s="48"/>
      <c r="D5181" s="48"/>
    </row>
    <row r="5182" spans="1:4" x14ac:dyDescent="0.25">
      <c r="A5182" s="47"/>
      <c r="B5182" s="107"/>
      <c r="C5182" s="48"/>
      <c r="D5182" s="48"/>
    </row>
    <row r="5183" spans="1:4" x14ac:dyDescent="0.25">
      <c r="A5183" s="47"/>
      <c r="B5183" s="107"/>
      <c r="C5183" s="48"/>
      <c r="D5183" s="48"/>
    </row>
    <row r="5184" spans="1:4" x14ac:dyDescent="0.25">
      <c r="A5184" s="47"/>
      <c r="B5184" s="107"/>
      <c r="C5184" s="48"/>
      <c r="D5184" s="48"/>
    </row>
    <row r="5185" spans="1:4" x14ac:dyDescent="0.25">
      <c r="A5185" s="47"/>
      <c r="B5185" s="107"/>
      <c r="C5185" s="48"/>
      <c r="D5185" s="48"/>
    </row>
    <row r="5186" spans="1:4" x14ac:dyDescent="0.25">
      <c r="A5186" s="47"/>
      <c r="B5186" s="107"/>
      <c r="C5186" s="48"/>
      <c r="D5186" s="48"/>
    </row>
    <row r="5187" spans="1:4" x14ac:dyDescent="0.25">
      <c r="A5187" s="47"/>
      <c r="B5187" s="107"/>
      <c r="C5187" s="48"/>
      <c r="D5187" s="48"/>
    </row>
    <row r="5188" spans="1:4" x14ac:dyDescent="0.25">
      <c r="A5188" s="47"/>
      <c r="B5188" s="107"/>
      <c r="C5188" s="48"/>
      <c r="D5188" s="48"/>
    </row>
    <row r="5189" spans="1:4" x14ac:dyDescent="0.25">
      <c r="A5189" s="47"/>
      <c r="B5189" s="107"/>
      <c r="C5189" s="48"/>
      <c r="D5189" s="48"/>
    </row>
    <row r="5190" spans="1:4" x14ac:dyDescent="0.25">
      <c r="A5190" s="47"/>
      <c r="B5190" s="107"/>
      <c r="C5190" s="48"/>
      <c r="D5190" s="48"/>
    </row>
    <row r="5191" spans="1:4" x14ac:dyDescent="0.25">
      <c r="A5191" s="47"/>
      <c r="B5191" s="107"/>
      <c r="C5191" s="48"/>
      <c r="D5191" s="48"/>
    </row>
    <row r="5192" spans="1:4" x14ac:dyDescent="0.25">
      <c r="A5192" s="47"/>
      <c r="B5192" s="107"/>
      <c r="C5192" s="48"/>
      <c r="D5192" s="48"/>
    </row>
    <row r="5193" spans="1:4" x14ac:dyDescent="0.25">
      <c r="A5193" s="47"/>
      <c r="B5193" s="107"/>
      <c r="C5193" s="48"/>
      <c r="D5193" s="48"/>
    </row>
    <row r="5194" spans="1:4" x14ac:dyDescent="0.25">
      <c r="A5194" s="47"/>
      <c r="B5194" s="107"/>
      <c r="C5194" s="48"/>
      <c r="D5194" s="48"/>
    </row>
    <row r="5195" spans="1:4" x14ac:dyDescent="0.25">
      <c r="A5195" s="47"/>
      <c r="B5195" s="107"/>
      <c r="C5195" s="48"/>
      <c r="D5195" s="48"/>
    </row>
    <row r="5196" spans="1:4" x14ac:dyDescent="0.25">
      <c r="A5196" s="47"/>
      <c r="B5196" s="107"/>
      <c r="C5196" s="48"/>
      <c r="D5196" s="48"/>
    </row>
    <row r="5197" spans="1:4" x14ac:dyDescent="0.25">
      <c r="A5197" s="47"/>
      <c r="B5197" s="107"/>
      <c r="C5197" s="48"/>
      <c r="D5197" s="48"/>
    </row>
    <row r="5198" spans="1:4" x14ac:dyDescent="0.25">
      <c r="A5198" s="47"/>
      <c r="B5198" s="107"/>
      <c r="C5198" s="48"/>
      <c r="D5198" s="48"/>
    </row>
    <row r="5199" spans="1:4" x14ac:dyDescent="0.25">
      <c r="A5199" s="47"/>
      <c r="B5199" s="107"/>
      <c r="C5199" s="48"/>
      <c r="D5199" s="48"/>
    </row>
    <row r="5200" spans="1:4" x14ac:dyDescent="0.25">
      <c r="A5200" s="47"/>
      <c r="B5200" s="107"/>
      <c r="C5200" s="48"/>
      <c r="D5200" s="48"/>
    </row>
    <row r="5201" spans="1:4" x14ac:dyDescent="0.25">
      <c r="A5201" s="47"/>
      <c r="B5201" s="107"/>
      <c r="C5201" s="48"/>
      <c r="D5201" s="48"/>
    </row>
    <row r="5202" spans="1:4" x14ac:dyDescent="0.25">
      <c r="A5202" s="47"/>
      <c r="B5202" s="107"/>
      <c r="C5202" s="48"/>
      <c r="D5202" s="48"/>
    </row>
    <row r="5203" spans="1:4" x14ac:dyDescent="0.25">
      <c r="A5203" s="47"/>
      <c r="B5203" s="107"/>
      <c r="C5203" s="48"/>
      <c r="D5203" s="48"/>
    </row>
    <row r="5204" spans="1:4" x14ac:dyDescent="0.25">
      <c r="A5204" s="47"/>
      <c r="B5204" s="107"/>
      <c r="C5204" s="48"/>
      <c r="D5204" s="48"/>
    </row>
    <row r="5205" spans="1:4" x14ac:dyDescent="0.25">
      <c r="A5205" s="47"/>
      <c r="B5205" s="107"/>
      <c r="C5205" s="48"/>
      <c r="D5205" s="48"/>
    </row>
    <row r="5206" spans="1:4" x14ac:dyDescent="0.25">
      <c r="A5206" s="47"/>
      <c r="B5206" s="107"/>
      <c r="C5206" s="48"/>
      <c r="D5206" s="48"/>
    </row>
    <row r="5207" spans="1:4" x14ac:dyDescent="0.25">
      <c r="A5207" s="47"/>
      <c r="B5207" s="107"/>
      <c r="C5207" s="48"/>
      <c r="D5207" s="48"/>
    </row>
    <row r="5208" spans="1:4" x14ac:dyDescent="0.25">
      <c r="A5208" s="47"/>
      <c r="B5208" s="107"/>
      <c r="C5208" s="48"/>
      <c r="D5208" s="48"/>
    </row>
    <row r="5209" spans="1:4" x14ac:dyDescent="0.25">
      <c r="A5209" s="47"/>
      <c r="B5209" s="107"/>
      <c r="C5209" s="48"/>
      <c r="D5209" s="48"/>
    </row>
    <row r="5210" spans="1:4" x14ac:dyDescent="0.25">
      <c r="A5210" s="47"/>
      <c r="B5210" s="107"/>
      <c r="C5210" s="48"/>
      <c r="D5210" s="48"/>
    </row>
    <row r="5211" spans="1:4" x14ac:dyDescent="0.25">
      <c r="A5211" s="47"/>
      <c r="B5211" s="107"/>
      <c r="C5211" s="48"/>
      <c r="D5211" s="48"/>
    </row>
    <row r="5212" spans="1:4" x14ac:dyDescent="0.25">
      <c r="A5212" s="47"/>
      <c r="B5212" s="107"/>
      <c r="C5212" s="48"/>
      <c r="D5212" s="48"/>
    </row>
    <row r="5213" spans="1:4" x14ac:dyDescent="0.25">
      <c r="A5213" s="47"/>
      <c r="B5213" s="107"/>
      <c r="C5213" s="48"/>
      <c r="D5213" s="48"/>
    </row>
    <row r="5214" spans="1:4" x14ac:dyDescent="0.25">
      <c r="A5214" s="47"/>
      <c r="B5214" s="107"/>
      <c r="C5214" s="48"/>
      <c r="D5214" s="48"/>
    </row>
    <row r="5215" spans="1:4" x14ac:dyDescent="0.25">
      <c r="A5215" s="47"/>
      <c r="B5215" s="107"/>
      <c r="C5215" s="48"/>
      <c r="D5215" s="48"/>
    </row>
    <row r="5216" spans="1:4" x14ac:dyDescent="0.25">
      <c r="A5216" s="47"/>
      <c r="B5216" s="107"/>
      <c r="C5216" s="48"/>
      <c r="D5216" s="48"/>
    </row>
    <row r="5217" spans="1:4" x14ac:dyDescent="0.25">
      <c r="A5217" s="47"/>
      <c r="B5217" s="107"/>
      <c r="C5217" s="48"/>
      <c r="D5217" s="48"/>
    </row>
    <row r="5218" spans="1:4" x14ac:dyDescent="0.25">
      <c r="A5218" s="47"/>
      <c r="B5218" s="107"/>
      <c r="C5218" s="48"/>
      <c r="D5218" s="48"/>
    </row>
    <row r="5219" spans="1:4" x14ac:dyDescent="0.25">
      <c r="A5219" s="47"/>
      <c r="B5219" s="107"/>
      <c r="C5219" s="48"/>
      <c r="D5219" s="48"/>
    </row>
    <row r="5220" spans="1:4" x14ac:dyDescent="0.25">
      <c r="A5220" s="47"/>
      <c r="B5220" s="107"/>
      <c r="C5220" s="48"/>
      <c r="D5220" s="48"/>
    </row>
    <row r="5221" spans="1:4" x14ac:dyDescent="0.25">
      <c r="A5221" s="47"/>
      <c r="B5221" s="107"/>
      <c r="C5221" s="48"/>
      <c r="D5221" s="48"/>
    </row>
    <row r="5222" spans="1:4" x14ac:dyDescent="0.25">
      <c r="A5222" s="47"/>
      <c r="B5222" s="107"/>
      <c r="C5222" s="48"/>
      <c r="D5222" s="48"/>
    </row>
    <row r="5223" spans="1:4" x14ac:dyDescent="0.25">
      <c r="A5223" s="47"/>
      <c r="B5223" s="107"/>
      <c r="C5223" s="48"/>
      <c r="D5223" s="48"/>
    </row>
    <row r="5224" spans="1:4" x14ac:dyDescent="0.25">
      <c r="A5224" s="47"/>
      <c r="B5224" s="107"/>
      <c r="C5224" s="48"/>
      <c r="D5224" s="48"/>
    </row>
    <row r="5225" spans="1:4" x14ac:dyDescent="0.25">
      <c r="A5225" s="47"/>
      <c r="B5225" s="107"/>
      <c r="C5225" s="48"/>
      <c r="D5225" s="48"/>
    </row>
    <row r="5226" spans="1:4" x14ac:dyDescent="0.25">
      <c r="A5226" s="47"/>
      <c r="B5226" s="107"/>
      <c r="C5226" s="48"/>
      <c r="D5226" s="48"/>
    </row>
    <row r="5227" spans="1:4" x14ac:dyDescent="0.25">
      <c r="A5227" s="47"/>
      <c r="B5227" s="107"/>
      <c r="C5227" s="48"/>
      <c r="D5227" s="48"/>
    </row>
    <row r="5228" spans="1:4" x14ac:dyDescent="0.25">
      <c r="A5228" s="47"/>
      <c r="B5228" s="107"/>
      <c r="C5228" s="48"/>
      <c r="D5228" s="48"/>
    </row>
    <row r="5229" spans="1:4" x14ac:dyDescent="0.25">
      <c r="A5229" s="47"/>
      <c r="B5229" s="107"/>
      <c r="C5229" s="48"/>
      <c r="D5229" s="48"/>
    </row>
    <row r="5230" spans="1:4" x14ac:dyDescent="0.25">
      <c r="A5230" s="47"/>
      <c r="B5230" s="107"/>
      <c r="C5230" s="48"/>
      <c r="D5230" s="48"/>
    </row>
  </sheetData>
  <phoneticPr fontId="14" type="noConversion"/>
  <conditionalFormatting sqref="B2:B3947">
    <cfRule type="duplicateValues" dxfId="9" priority="4505"/>
  </conditionalFormatting>
  <conditionalFormatting sqref="B2:B4166">
    <cfRule type="duplicateValues" dxfId="8" priority="4507"/>
  </conditionalFormatting>
  <conditionalFormatting sqref="B2:B5230">
    <cfRule type="duplicateValues" dxfId="7" priority="4915"/>
  </conditionalFormatting>
  <conditionalFormatting sqref="B3940">
    <cfRule type="duplicateValues" dxfId="6" priority="8"/>
  </conditionalFormatting>
  <conditionalFormatting sqref="C2:C4713">
    <cfRule type="duplicateValues" dxfId="5" priority="4659"/>
  </conditionalFormatting>
  <conditionalFormatting sqref="C4118">
    <cfRule type="duplicateValues" dxfId="4" priority="6"/>
  </conditionalFormatting>
  <conditionalFormatting sqref="C4704">
    <cfRule type="duplicateValues" dxfId="3" priority="2"/>
  </conditionalFormatting>
  <conditionalFormatting sqref="C4714">
    <cfRule type="duplicateValues" dxfId="2" priority="1"/>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8"/>
  <dimension ref="A1:D29"/>
  <sheetViews>
    <sheetView workbookViewId="0">
      <selection activeCell="A21" sqref="A21"/>
    </sheetView>
  </sheetViews>
  <sheetFormatPr defaultRowHeight="15" x14ac:dyDescent="0.25"/>
  <cols>
    <col min="1" max="1" width="13" customWidth="1"/>
    <col min="2" max="2" width="13.5703125" customWidth="1"/>
    <col min="3" max="3" width="12.28515625" customWidth="1"/>
  </cols>
  <sheetData>
    <row r="1" spans="1:4" x14ac:dyDescent="0.25">
      <c r="A1" s="54" t="s">
        <v>2638</v>
      </c>
      <c r="B1" s="54" t="s">
        <v>2639</v>
      </c>
      <c r="C1" s="54" t="s">
        <v>2640</v>
      </c>
      <c r="D1" s="54" t="s">
        <v>2668</v>
      </c>
    </row>
    <row r="2" spans="1:4" x14ac:dyDescent="0.25">
      <c r="A2" s="31" t="s">
        <v>2641</v>
      </c>
      <c r="B2" s="32" t="s">
        <v>2642</v>
      </c>
      <c r="C2" s="33">
        <v>12</v>
      </c>
      <c r="D2" t="s">
        <v>2669</v>
      </c>
    </row>
    <row r="3" spans="1:4" x14ac:dyDescent="0.25">
      <c r="A3" s="31" t="s">
        <v>2641</v>
      </c>
      <c r="B3" s="32" t="s">
        <v>2643</v>
      </c>
      <c r="C3" s="33">
        <v>12</v>
      </c>
      <c r="D3" t="s">
        <v>2670</v>
      </c>
    </row>
    <row r="4" spans="1:4" x14ac:dyDescent="0.25">
      <c r="A4" s="31" t="s">
        <v>2641</v>
      </c>
      <c r="B4" s="32" t="s">
        <v>2644</v>
      </c>
      <c r="C4" s="33">
        <v>12</v>
      </c>
      <c r="D4" t="s">
        <v>2671</v>
      </c>
    </row>
    <row r="5" spans="1:4" x14ac:dyDescent="0.25">
      <c r="A5" s="31" t="s">
        <v>2641</v>
      </c>
      <c r="B5" s="32" t="s">
        <v>2645</v>
      </c>
      <c r="C5" s="33">
        <v>12</v>
      </c>
      <c r="D5" t="s">
        <v>2672</v>
      </c>
    </row>
    <row r="6" spans="1:4" x14ac:dyDescent="0.25">
      <c r="A6" s="31" t="s">
        <v>2641</v>
      </c>
      <c r="B6" s="32" t="s">
        <v>2646</v>
      </c>
      <c r="C6" s="33">
        <v>12</v>
      </c>
      <c r="D6" t="s">
        <v>2673</v>
      </c>
    </row>
    <row r="7" spans="1:4" x14ac:dyDescent="0.25">
      <c r="A7" s="31" t="s">
        <v>2641</v>
      </c>
      <c r="B7" s="32" t="s">
        <v>2647</v>
      </c>
      <c r="C7" s="33">
        <v>12</v>
      </c>
      <c r="D7" t="s">
        <v>2674</v>
      </c>
    </row>
    <row r="8" spans="1:4" x14ac:dyDescent="0.25">
      <c r="A8" s="31" t="s">
        <v>2641</v>
      </c>
      <c r="B8" s="32" t="s">
        <v>2648</v>
      </c>
      <c r="C8" s="33">
        <v>12</v>
      </c>
      <c r="D8" t="s">
        <v>2675</v>
      </c>
    </row>
    <row r="9" spans="1:4" x14ac:dyDescent="0.25">
      <c r="A9" s="31" t="s">
        <v>2641</v>
      </c>
      <c r="B9" s="32" t="s">
        <v>2649</v>
      </c>
      <c r="C9" s="33">
        <v>12</v>
      </c>
      <c r="D9" t="s">
        <v>2676</v>
      </c>
    </row>
    <row r="10" spans="1:4" x14ac:dyDescent="0.25">
      <c r="A10" s="31" t="s">
        <v>2641</v>
      </c>
      <c r="B10" s="32" t="s">
        <v>2641</v>
      </c>
      <c r="C10" s="34">
        <v>17</v>
      </c>
      <c r="D10" s="38" t="s">
        <v>2695</v>
      </c>
    </row>
    <row r="11" spans="1:4" x14ac:dyDescent="0.25">
      <c r="A11" s="31" t="s">
        <v>2641</v>
      </c>
      <c r="B11" s="32" t="s">
        <v>2650</v>
      </c>
      <c r="C11" s="33">
        <v>12</v>
      </c>
      <c r="D11" t="s">
        <v>2677</v>
      </c>
    </row>
    <row r="12" spans="1:4" x14ac:dyDescent="0.25">
      <c r="A12" s="31" t="s">
        <v>2641</v>
      </c>
      <c r="B12" s="32" t="s">
        <v>2651</v>
      </c>
      <c r="C12" s="33">
        <v>12</v>
      </c>
      <c r="D12" t="s">
        <v>2678</v>
      </c>
    </row>
    <row r="13" spans="1:4" x14ac:dyDescent="0.25">
      <c r="A13" s="31" t="s">
        <v>2641</v>
      </c>
      <c r="B13" s="32" t="s">
        <v>2652</v>
      </c>
      <c r="C13" s="33">
        <v>12</v>
      </c>
      <c r="D13" t="s">
        <v>2679</v>
      </c>
    </row>
    <row r="14" spans="1:4" x14ac:dyDescent="0.25">
      <c r="A14" s="31" t="s">
        <v>2641</v>
      </c>
      <c r="B14" s="32" t="s">
        <v>2653</v>
      </c>
      <c r="C14" s="33">
        <v>12</v>
      </c>
      <c r="D14" t="s">
        <v>2680</v>
      </c>
    </row>
    <row r="15" spans="1:4" x14ac:dyDescent="0.25">
      <c r="A15" s="31" t="s">
        <v>2641</v>
      </c>
      <c r="B15" s="32" t="s">
        <v>2654</v>
      </c>
      <c r="C15" s="33">
        <v>12</v>
      </c>
      <c r="D15" t="s">
        <v>2681</v>
      </c>
    </row>
    <row r="16" spans="1:4" x14ac:dyDescent="0.25">
      <c r="A16" s="31" t="s">
        <v>2641</v>
      </c>
      <c r="B16" s="32" t="s">
        <v>2655</v>
      </c>
      <c r="C16" s="33">
        <v>12</v>
      </c>
      <c r="D16" t="s">
        <v>2682</v>
      </c>
    </row>
    <row r="17" spans="1:4" x14ac:dyDescent="0.25">
      <c r="A17" s="31" t="s">
        <v>2641</v>
      </c>
      <c r="B17" s="32" t="s">
        <v>2656</v>
      </c>
      <c r="C17" s="33">
        <v>12</v>
      </c>
      <c r="D17" t="s">
        <v>2683</v>
      </c>
    </row>
    <row r="18" spans="1:4" x14ac:dyDescent="0.25">
      <c r="A18" s="31" t="s">
        <v>2641</v>
      </c>
      <c r="B18" s="32" t="s">
        <v>2657</v>
      </c>
      <c r="C18" s="33">
        <v>12</v>
      </c>
      <c r="D18" t="s">
        <v>2684</v>
      </c>
    </row>
    <row r="19" spans="1:4" x14ac:dyDescent="0.25">
      <c r="A19" s="31" t="s">
        <v>2641</v>
      </c>
      <c r="B19" s="32" t="s">
        <v>2658</v>
      </c>
      <c r="C19" s="33">
        <v>12</v>
      </c>
      <c r="D19" t="s">
        <v>2685</v>
      </c>
    </row>
    <row r="20" spans="1:4" x14ac:dyDescent="0.25">
      <c r="A20" s="31" t="s">
        <v>2641</v>
      </c>
      <c r="B20" s="32" t="s">
        <v>2659</v>
      </c>
      <c r="C20" s="33">
        <v>12</v>
      </c>
      <c r="D20" t="s">
        <v>2686</v>
      </c>
    </row>
    <row r="21" spans="1:4" x14ac:dyDescent="0.25">
      <c r="A21" s="31" t="s">
        <v>2641</v>
      </c>
      <c r="B21" s="32" t="s">
        <v>2660</v>
      </c>
      <c r="C21" s="33">
        <v>12</v>
      </c>
      <c r="D21" t="s">
        <v>2687</v>
      </c>
    </row>
    <row r="22" spans="1:4" x14ac:dyDescent="0.25">
      <c r="A22" s="31" t="s">
        <v>2641</v>
      </c>
      <c r="B22" s="32" t="s">
        <v>2661</v>
      </c>
      <c r="C22" s="33">
        <v>12</v>
      </c>
      <c r="D22" t="s">
        <v>2688</v>
      </c>
    </row>
    <row r="23" spans="1:4" x14ac:dyDescent="0.25">
      <c r="A23" s="31" t="s">
        <v>2641</v>
      </c>
      <c r="B23" s="32" t="s">
        <v>2662</v>
      </c>
      <c r="C23" s="33">
        <v>12</v>
      </c>
      <c r="D23" t="s">
        <v>2689</v>
      </c>
    </row>
    <row r="24" spans="1:4" x14ac:dyDescent="0.25">
      <c r="A24" s="31" t="s">
        <v>2641</v>
      </c>
      <c r="B24" s="32" t="s">
        <v>2663</v>
      </c>
      <c r="C24" s="33">
        <v>12</v>
      </c>
      <c r="D24" t="s">
        <v>2690</v>
      </c>
    </row>
    <row r="25" spans="1:4" x14ac:dyDescent="0.25">
      <c r="A25" s="31" t="s">
        <v>2641</v>
      </c>
      <c r="B25" s="32" t="s">
        <v>2664</v>
      </c>
      <c r="C25" s="33">
        <v>12</v>
      </c>
      <c r="D25" t="s">
        <v>2691</v>
      </c>
    </row>
    <row r="26" spans="1:4" x14ac:dyDescent="0.25">
      <c r="A26" s="31" t="s">
        <v>2641</v>
      </c>
      <c r="B26" s="32" t="s">
        <v>2665</v>
      </c>
      <c r="C26" s="33">
        <v>12</v>
      </c>
      <c r="D26" t="s">
        <v>2692</v>
      </c>
    </row>
    <row r="27" spans="1:4" x14ac:dyDescent="0.25">
      <c r="A27" s="31" t="s">
        <v>2641</v>
      </c>
      <c r="B27" s="32" t="s">
        <v>2666</v>
      </c>
      <c r="C27" s="33">
        <v>12</v>
      </c>
      <c r="D27" t="s">
        <v>2693</v>
      </c>
    </row>
    <row r="28" spans="1:4" x14ac:dyDescent="0.25">
      <c r="A28" s="35" t="s">
        <v>2641</v>
      </c>
      <c r="B28" s="36" t="s">
        <v>2667</v>
      </c>
      <c r="C28" s="37">
        <v>12</v>
      </c>
      <c r="D28" t="s">
        <v>2694</v>
      </c>
    </row>
    <row r="29" spans="1:4" x14ac:dyDescent="0.25">
      <c r="A29" s="35" t="s">
        <v>2641</v>
      </c>
      <c r="B29" s="36" t="s">
        <v>2641</v>
      </c>
      <c r="C29" s="113">
        <v>17</v>
      </c>
      <c r="D29" s="38" t="s">
        <v>4624</v>
      </c>
    </row>
  </sheetData>
  <pageMargins left="0.511811024" right="0.511811024" top="0.78740157499999996" bottom="0.78740157499999996" header="0.31496062000000002" footer="0.31496062000000002"/>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9"/>
  <dimension ref="A2:G1977"/>
  <sheetViews>
    <sheetView showGridLines="0" topLeftCell="A1937" zoomScale="85" zoomScaleNormal="85" workbookViewId="0">
      <selection activeCell="A1977" sqref="A1977"/>
    </sheetView>
  </sheetViews>
  <sheetFormatPr defaultRowHeight="15" x14ac:dyDescent="0.25"/>
  <cols>
    <col min="1" max="1" width="17.85546875" style="7" customWidth="1"/>
    <col min="2" max="2" width="33" style="7" customWidth="1"/>
    <col min="3" max="3" width="13.85546875" style="7" customWidth="1"/>
    <col min="4" max="4" width="20.42578125" style="7" customWidth="1"/>
    <col min="5" max="5" width="18.140625" style="7" customWidth="1"/>
    <col min="6" max="6" width="22.7109375" style="7" customWidth="1"/>
    <col min="7" max="7" width="12.42578125" style="7" customWidth="1"/>
  </cols>
  <sheetData>
    <row r="2" spans="1:7" x14ac:dyDescent="0.25">
      <c r="B2" s="6" t="s">
        <v>129</v>
      </c>
      <c r="C2" s="16" t="s">
        <v>3</v>
      </c>
      <c r="D2" s="16" t="s">
        <v>155</v>
      </c>
      <c r="E2" s="16" t="s">
        <v>156</v>
      </c>
      <c r="F2" s="16" t="s">
        <v>136</v>
      </c>
    </row>
    <row r="3" spans="1:7" x14ac:dyDescent="0.25">
      <c r="B3" s="17" t="str">
        <f t="shared" ref="B3:B8" si="0">CONCATENATE(C3,D3,E3)</f>
        <v>NÃOSTNÃO REDUÇÃOSEM ISENÇÃO</v>
      </c>
      <c r="C3" s="3" t="s">
        <v>153</v>
      </c>
      <c r="D3" s="3" t="s">
        <v>157</v>
      </c>
      <c r="E3" s="3" t="s">
        <v>158</v>
      </c>
      <c r="F3" s="3">
        <v>0</v>
      </c>
    </row>
    <row r="4" spans="1:7" x14ac:dyDescent="0.25">
      <c r="B4" s="17" t="str">
        <f t="shared" si="0"/>
        <v>NÃOSTNÃO REDUÇÃOISENÇÃO</v>
      </c>
      <c r="C4" s="3" t="s">
        <v>153</v>
      </c>
      <c r="D4" s="3" t="s">
        <v>157</v>
      </c>
      <c r="E4" s="3" t="s">
        <v>156</v>
      </c>
      <c r="F4" s="3">
        <v>40</v>
      </c>
    </row>
    <row r="5" spans="1:7" x14ac:dyDescent="0.25">
      <c r="B5" s="17" t="str">
        <f t="shared" si="0"/>
        <v>NÃOSTREDUÇÃOSEM ISENÇÃO</v>
      </c>
      <c r="C5" s="3" t="s">
        <v>153</v>
      </c>
      <c r="D5" s="3" t="s">
        <v>159</v>
      </c>
      <c r="E5" s="3" t="s">
        <v>158</v>
      </c>
      <c r="F5" s="3">
        <v>20</v>
      </c>
    </row>
    <row r="6" spans="1:7" x14ac:dyDescent="0.25">
      <c r="B6" s="17" t="str">
        <f t="shared" si="0"/>
        <v>NÃOSTREDUÇÃOISENÇÃO</v>
      </c>
      <c r="C6" s="3" t="s">
        <v>153</v>
      </c>
      <c r="D6" s="3" t="s">
        <v>159</v>
      </c>
      <c r="E6" s="3" t="s">
        <v>156</v>
      </c>
      <c r="F6" s="3">
        <v>40</v>
      </c>
    </row>
    <row r="7" spans="1:7" x14ac:dyDescent="0.25">
      <c r="B7" s="17" t="str">
        <f t="shared" si="0"/>
        <v>STNÃO REDUÇÃOSEM ISENÇÃO</v>
      </c>
      <c r="C7" s="3" t="s">
        <v>3</v>
      </c>
      <c r="D7" s="3" t="s">
        <v>157</v>
      </c>
      <c r="E7" s="3" t="s">
        <v>158</v>
      </c>
      <c r="F7" s="3">
        <v>60</v>
      </c>
    </row>
    <row r="8" spans="1:7" x14ac:dyDescent="0.25">
      <c r="B8" s="17" t="str">
        <f t="shared" si="0"/>
        <v>STREDUÇÃOSEM ISENÇÃO</v>
      </c>
      <c r="C8" s="3" t="s">
        <v>3</v>
      </c>
      <c r="D8" s="3" t="s">
        <v>159</v>
      </c>
      <c r="E8" s="3" t="s">
        <v>158</v>
      </c>
      <c r="F8" s="3">
        <v>70</v>
      </c>
    </row>
    <row r="9" spans="1:7" x14ac:dyDescent="0.25">
      <c r="B9" s="17"/>
      <c r="C9" s="17"/>
      <c r="D9" s="17"/>
      <c r="E9" s="17"/>
      <c r="F9" s="17"/>
      <c r="G9" s="17"/>
    </row>
    <row r="10" spans="1:7" x14ac:dyDescent="0.25">
      <c r="B10" s="17"/>
      <c r="C10" s="17"/>
      <c r="D10" s="17"/>
      <c r="E10" s="17"/>
      <c r="F10" s="17"/>
      <c r="G10" s="17"/>
    </row>
    <row r="15" spans="1:7" x14ac:dyDescent="0.25">
      <c r="A15" s="119" t="s">
        <v>160</v>
      </c>
      <c r="B15" s="28" t="s">
        <v>2415</v>
      </c>
      <c r="C15" s="28" t="s">
        <v>3</v>
      </c>
      <c r="D15" s="28" t="s">
        <v>2414</v>
      </c>
      <c r="E15" s="28" t="s">
        <v>156</v>
      </c>
      <c r="F15" s="28" t="s">
        <v>155</v>
      </c>
      <c r="G15" s="29" t="s">
        <v>136</v>
      </c>
    </row>
    <row r="16" spans="1:7" x14ac:dyDescent="0.25">
      <c r="A16" s="120" t="str">
        <f>RIGHT(CSTABLE[[#This Row],[NomeNCM]],8)</f>
        <v>34022000</v>
      </c>
      <c r="B16" s="3" t="s">
        <v>279</v>
      </c>
      <c r="C16" s="3" t="str">
        <f>IFERROR(VLOOKUP(B16,ST!C:D,2,0),"NÃOST")</f>
        <v>NÃOST</v>
      </c>
      <c r="D16" s="3"/>
      <c r="E16" s="3" t="str">
        <f>IF(COUNTIF(ISENÇÕES!A:A,CST!B16)&gt;0,"ISENÇÃO","SEM ISENÇÃO")</f>
        <v>SEM ISENÇÃO</v>
      </c>
      <c r="F16" s="18" t="str">
        <f>IF(COUNTIF(REDUÇÕES!A:A,CST!B16)&gt;0,"REDUÇÃO","NÃO REDUÇÃO")</f>
        <v>NÃO REDUÇÃO</v>
      </c>
      <c r="G16" s="27">
        <f>VLOOKUP(C16&amp;F16&amp;E16,$B$3:$F$10,5,0)</f>
        <v>0</v>
      </c>
    </row>
    <row r="17" spans="1:7" x14ac:dyDescent="0.25">
      <c r="A17" s="120" t="str">
        <f>RIGHT(CSTABLE[[#This Row],[NomeNCM]],8)</f>
        <v>70134900</v>
      </c>
      <c r="B17" s="3" t="s">
        <v>3645</v>
      </c>
      <c r="C17" s="3" t="str">
        <f>IFERROR(VLOOKUP(B17,ST!C:D,2,0),"NÃOST")</f>
        <v>NÃOST</v>
      </c>
      <c r="D17" s="3"/>
      <c r="E17" s="3" t="str">
        <f>IF(COUNTIF(ISENÇÕES!A:A,CST!B17)&gt;0,"ISENÇÃO","SEM ISENÇÃO")</f>
        <v>SEM ISENÇÃO</v>
      </c>
      <c r="F17" s="18" t="str">
        <f>IF(COUNTIF(REDUÇÕES!A:A,CST!B17)&gt;0,"REDUÇÃO","NÃO REDUÇÃO")</f>
        <v>NÃO REDUÇÃO</v>
      </c>
      <c r="G17" s="27">
        <f t="shared" ref="G17:G80" si="1">VLOOKUP(C17&amp;F17&amp;E17,$B$3:$F$10,5,0)</f>
        <v>0</v>
      </c>
    </row>
    <row r="18" spans="1:7" x14ac:dyDescent="0.25">
      <c r="A18" s="120" t="str">
        <f>RIGHT(CSTABLE[[#This Row],[NomeNCM]],8)</f>
        <v>96039000</v>
      </c>
      <c r="B18" s="3" t="s">
        <v>3576</v>
      </c>
      <c r="C18" s="3" t="str">
        <f>IFERROR(VLOOKUP(B18,ST!C:D,2,0),"NÃOST")</f>
        <v>NÃOST</v>
      </c>
      <c r="D18" s="3"/>
      <c r="E18" s="3" t="str">
        <f>IF(COUNTIF(ISENÇÕES!A:A,CST!B18)&gt;0,"ISENÇÃO","SEM ISENÇÃO")</f>
        <v>SEM ISENÇÃO</v>
      </c>
      <c r="F18" s="18" t="str">
        <f>IF(COUNTIF(REDUÇÕES!A:A,CST!B18)&gt;0,"REDUÇÃO","NÃO REDUÇÃO")</f>
        <v>REDUÇÃO</v>
      </c>
      <c r="G18" s="27">
        <f t="shared" si="1"/>
        <v>20</v>
      </c>
    </row>
    <row r="19" spans="1:7" x14ac:dyDescent="0.25">
      <c r="A19" s="120" t="str">
        <f>RIGHT(CSTABLE[[#This Row],[NomeNCM]],8)</f>
        <v>22029900</v>
      </c>
      <c r="B19" s="3" t="s">
        <v>168</v>
      </c>
      <c r="C19" s="3" t="str">
        <f>IFERROR(VLOOKUP(B19,ST!C:D,2,0),"NÃOST")</f>
        <v>ST</v>
      </c>
      <c r="D19" s="3"/>
      <c r="E19" s="3" t="str">
        <f>IF(COUNTIF(ISENÇÕES!A:A,CST!B19)&gt;0,"ISENÇÃO","SEM ISENÇÃO")</f>
        <v>SEM ISENÇÃO</v>
      </c>
      <c r="F19" s="18" t="str">
        <f>IF(COUNTIF(REDUÇÕES!A:A,CST!B19)&gt;0,"REDUÇÃO","NÃO REDUÇÃO")</f>
        <v>NÃO REDUÇÃO</v>
      </c>
      <c r="G19" s="27">
        <f t="shared" si="1"/>
        <v>60</v>
      </c>
    </row>
    <row r="20" spans="1:7" x14ac:dyDescent="0.25">
      <c r="A20" s="120" t="str">
        <f>RIGHT(CSTABLE[[#This Row],[NomeNCM]],8)</f>
        <v>22030000</v>
      </c>
      <c r="B20" s="3" t="s">
        <v>7</v>
      </c>
      <c r="C20" s="3" t="str">
        <f>IFERROR(VLOOKUP(B20,ST!C:D,2,0),"NÃOST")</f>
        <v>ST</v>
      </c>
      <c r="D20" s="3"/>
      <c r="E20" s="3" t="str">
        <f>IF(COUNTIF(ISENÇÕES!A:A,CST!B20)&gt;0,"ISENÇÃO","SEM ISENÇÃO")</f>
        <v>SEM ISENÇÃO</v>
      </c>
      <c r="F20" s="18" t="str">
        <f>IF(COUNTIF(REDUÇÕES!A:A,CST!B20)&gt;0,"REDUÇÃO","NÃO REDUÇÃO")</f>
        <v>NÃO REDUÇÃO</v>
      </c>
      <c r="G20" s="27">
        <f t="shared" si="1"/>
        <v>60</v>
      </c>
    </row>
    <row r="21" spans="1:7" x14ac:dyDescent="0.25">
      <c r="A21" s="120" t="str">
        <f>RIGHT(CSTABLE[[#This Row],[NomeNCM]],8)</f>
        <v>96190000</v>
      </c>
      <c r="B21" s="3" t="s">
        <v>205</v>
      </c>
      <c r="C21" s="3" t="str">
        <f>IFERROR(VLOOKUP(B21,ST!C:D,2,0),"NÃOST")</f>
        <v>NÃOST</v>
      </c>
      <c r="D21" s="3"/>
      <c r="E21" s="3" t="str">
        <f>IF(COUNTIF(ISENÇÕES!A:A,CST!B21)&gt;0,"ISENÇÃO","SEM ISENÇÃO")</f>
        <v>SEM ISENÇÃO</v>
      </c>
      <c r="F21" s="18" t="str">
        <f>IF(COUNTIF(REDUÇÕES!A:A,CST!B21)&gt;0,"REDUÇÃO","NÃO REDUÇÃO")</f>
        <v>NÃO REDUÇÃO</v>
      </c>
      <c r="G21" s="27">
        <f t="shared" si="1"/>
        <v>0</v>
      </c>
    </row>
    <row r="22" spans="1:7" x14ac:dyDescent="0.25">
      <c r="A22" s="120" t="str">
        <f>RIGHT(CSTABLE[[#This Row],[NomeNCM]],8)</f>
        <v>07129090</v>
      </c>
      <c r="B22" s="3" t="s">
        <v>3323</v>
      </c>
      <c r="C22" s="3" t="str">
        <f>IFERROR(VLOOKUP(B22,ST!C:D,2,0),"NÃOST")</f>
        <v>NÃOST</v>
      </c>
      <c r="D22" s="3"/>
      <c r="E22" s="3" t="str">
        <f>IF(COUNTIF(ISENÇÕES!A:A,CST!B22)&gt;0,"ISENÇÃO","SEM ISENÇÃO")</f>
        <v>ISENÇÃO</v>
      </c>
      <c r="F22" s="18" t="str">
        <f>IF(COUNTIF(REDUÇÕES!A:A,CST!B22)&gt;0,"REDUÇÃO","NÃO REDUÇÃO")</f>
        <v>NÃO REDUÇÃO</v>
      </c>
      <c r="G22" s="27">
        <f t="shared" si="1"/>
        <v>40</v>
      </c>
    </row>
    <row r="23" spans="1:7" x14ac:dyDescent="0.25">
      <c r="A23" s="120" t="str">
        <f>RIGHT(CSTABLE[[#This Row],[NomeNCM]],8)</f>
        <v>09092200</v>
      </c>
      <c r="B23" s="3" t="s">
        <v>3646</v>
      </c>
      <c r="C23" s="3" t="str">
        <f>IFERROR(VLOOKUP(B23,ST!C:D,2,0),"NÃOST")</f>
        <v>NÃOST</v>
      </c>
      <c r="D23" s="3"/>
      <c r="E23" s="3" t="str">
        <f>IF(COUNTIF(ISENÇÕES!A:A,CST!B23)&gt;0,"ISENÇÃO","SEM ISENÇÃO")</f>
        <v>SEM ISENÇÃO</v>
      </c>
      <c r="F23" s="18" t="str">
        <f>IF(COUNTIF(REDUÇÕES!A:A,CST!B23)&gt;0,"REDUÇÃO","NÃO REDUÇÃO")</f>
        <v>NÃO REDUÇÃO</v>
      </c>
      <c r="G23" s="27">
        <f t="shared" si="1"/>
        <v>0</v>
      </c>
    </row>
    <row r="24" spans="1:7" x14ac:dyDescent="0.25">
      <c r="A24" s="120" t="str">
        <f>RIGHT(CSTABLE[[#This Row],[NomeNCM]],8)</f>
        <v>09109100</v>
      </c>
      <c r="B24" s="3" t="s">
        <v>3647</v>
      </c>
      <c r="C24" s="3" t="str">
        <f>IFERROR(VLOOKUP(B24,ST!C:D,2,0),"NÃOST")</f>
        <v>NÃOST</v>
      </c>
      <c r="D24" s="3"/>
      <c r="E24" s="3" t="str">
        <f>IF(COUNTIF(ISENÇÕES!A:A,CST!B24)&gt;0,"ISENÇÃO","SEM ISENÇÃO")</f>
        <v>SEM ISENÇÃO</v>
      </c>
      <c r="F24" s="18" t="str">
        <f>IF(COUNTIF(REDUÇÕES!A:A,CST!B24)&gt;0,"REDUÇÃO","NÃO REDUÇÃO")</f>
        <v>NÃO REDUÇÃO</v>
      </c>
      <c r="G24" s="27">
        <f t="shared" si="1"/>
        <v>0</v>
      </c>
    </row>
    <row r="25" spans="1:7" x14ac:dyDescent="0.25">
      <c r="A25" s="120" t="str">
        <f>RIGHT(CSTABLE[[#This Row],[NomeNCM]],8)</f>
        <v>34013000</v>
      </c>
      <c r="B25" s="3" t="s">
        <v>223</v>
      </c>
      <c r="C25" s="3" t="str">
        <f>IFERROR(VLOOKUP(B25,ST!C:D,2,0),"NÃOST")</f>
        <v>NÃOST</v>
      </c>
      <c r="D25" s="3"/>
      <c r="E25" s="3" t="str">
        <f>IF(COUNTIF(ISENÇÕES!A:A,CST!B25)&gt;0,"ISENÇÃO","SEM ISENÇÃO")</f>
        <v>SEM ISENÇÃO</v>
      </c>
      <c r="F25" s="18" t="str">
        <f>IF(COUNTIF(REDUÇÕES!A:A,CST!B25)&gt;0,"REDUÇÃO","NÃO REDUÇÃO")</f>
        <v>REDUÇÃO</v>
      </c>
      <c r="G25" s="27">
        <f t="shared" si="1"/>
        <v>20</v>
      </c>
    </row>
    <row r="26" spans="1:7" x14ac:dyDescent="0.25">
      <c r="A26" s="120" t="str">
        <f>RIGHT(CSTABLE[[#This Row],[NomeNCM]],8)</f>
        <v>33072010</v>
      </c>
      <c r="B26" s="3" t="s">
        <v>240</v>
      </c>
      <c r="C26" s="3" t="str">
        <f>IFERROR(VLOOKUP(B26,ST!C:D,2,0),"NÃOST")</f>
        <v>NÃOST</v>
      </c>
      <c r="D26" s="3"/>
      <c r="E26" s="3" t="str">
        <f>IF(COUNTIF(ISENÇÕES!A:A,CST!B26)&gt;0,"ISENÇÃO","SEM ISENÇÃO")</f>
        <v>SEM ISENÇÃO</v>
      </c>
      <c r="F26" s="18" t="str">
        <f>IF(COUNTIF(REDUÇÕES!A:A,CST!B26)&gt;0,"REDUÇÃO","NÃO REDUÇÃO")</f>
        <v>NÃO REDUÇÃO</v>
      </c>
      <c r="G26" s="27">
        <f t="shared" si="1"/>
        <v>0</v>
      </c>
    </row>
    <row r="27" spans="1:7" x14ac:dyDescent="0.25">
      <c r="A27" s="120" t="str">
        <f>RIGHT(CSTABLE[[#This Row],[NomeNCM]],8)</f>
        <v>96170010</v>
      </c>
      <c r="B27" s="3" t="s">
        <v>3648</v>
      </c>
      <c r="C27" s="3" t="str">
        <f>IFERROR(VLOOKUP(B27,ST!C:D,2,0),"NÃOST")</f>
        <v>NÃOST</v>
      </c>
      <c r="D27" s="3"/>
      <c r="E27" s="3" t="str">
        <f>IF(COUNTIF(ISENÇÕES!A:A,CST!B27)&gt;0,"ISENÇÃO","SEM ISENÇÃO")</f>
        <v>SEM ISENÇÃO</v>
      </c>
      <c r="F27" s="18" t="str">
        <f>IF(COUNTIF(REDUÇÕES!A:A,CST!B27)&gt;0,"REDUÇÃO","NÃO REDUÇÃO")</f>
        <v>NÃO REDUÇÃO</v>
      </c>
      <c r="G27" s="27">
        <f t="shared" si="1"/>
        <v>0</v>
      </c>
    </row>
    <row r="28" spans="1:7" x14ac:dyDescent="0.25">
      <c r="A28" s="120" t="str">
        <f>RIGHT(CSTABLE[[#This Row],[NomeNCM]],8)</f>
        <v>63029100</v>
      </c>
      <c r="B28" s="3" t="s">
        <v>3649</v>
      </c>
      <c r="C28" s="3" t="str">
        <f>IFERROR(VLOOKUP(B28,ST!C:D,2,0),"NÃOST")</f>
        <v>NÃOST</v>
      </c>
      <c r="D28" s="3"/>
      <c r="E28" s="3" t="str">
        <f>IF(COUNTIF(ISENÇÕES!A:A,CST!B28)&gt;0,"ISENÇÃO","SEM ISENÇÃO")</f>
        <v>SEM ISENÇÃO</v>
      </c>
      <c r="F28" s="18" t="str">
        <f>IF(COUNTIF(REDUÇÕES!A:A,CST!B28)&gt;0,"REDUÇÃO","NÃO REDUÇÃO")</f>
        <v>NÃO REDUÇÃO</v>
      </c>
      <c r="G28" s="27">
        <f t="shared" si="1"/>
        <v>0</v>
      </c>
    </row>
    <row r="29" spans="1:7" x14ac:dyDescent="0.25">
      <c r="A29" s="120" t="str">
        <f>RIGHT(CSTABLE[[#This Row],[NomeNCM]],8)</f>
        <v>02071300</v>
      </c>
      <c r="B29" s="3" t="s">
        <v>243</v>
      </c>
      <c r="C29" s="3" t="str">
        <f>IFERROR(VLOOKUP(B29,ST!C:D,2,0),"NÃOST")</f>
        <v>NÃOST</v>
      </c>
      <c r="D29" s="3"/>
      <c r="E29" s="3" t="str">
        <f>IF(COUNTIF(ISENÇÕES!A:A,CST!B29)&gt;0,"ISENÇÃO","SEM ISENÇÃO")</f>
        <v>SEM ISENÇÃO</v>
      </c>
      <c r="F29" s="18" t="str">
        <f>IF(COUNTIF(REDUÇÕES!A:A,CST!B29)&gt;0,"REDUÇÃO","NÃO REDUÇÃO")</f>
        <v>NÃO REDUÇÃO</v>
      </c>
      <c r="G29" s="27">
        <f t="shared" si="1"/>
        <v>0</v>
      </c>
    </row>
    <row r="30" spans="1:7" x14ac:dyDescent="0.25">
      <c r="A30" s="120" t="str">
        <f>RIGHT(CSTABLE[[#This Row],[NomeNCM]],8)</f>
        <v>16010000</v>
      </c>
      <c r="B30" s="3" t="s">
        <v>3650</v>
      </c>
      <c r="C30" s="3" t="str">
        <f>IFERROR(VLOOKUP(B30,ST!C:D,2,0),"NÃOST")</f>
        <v>NÃOST</v>
      </c>
      <c r="D30" s="3"/>
      <c r="E30" s="3" t="str">
        <f>IF(COUNTIF(ISENÇÕES!A:A,CST!B30)&gt;0,"ISENÇÃO","SEM ISENÇÃO")</f>
        <v>SEM ISENÇÃO</v>
      </c>
      <c r="F30" s="18" t="str">
        <f>IF(COUNTIF(REDUÇÕES!A:A,CST!B30)&gt;0,"REDUÇÃO","NÃO REDUÇÃO")</f>
        <v>NÃO REDUÇÃO</v>
      </c>
      <c r="G30" s="27">
        <f t="shared" si="1"/>
        <v>0</v>
      </c>
    </row>
    <row r="31" spans="1:7" x14ac:dyDescent="0.25">
      <c r="A31" s="120" t="str">
        <f>RIGHT(CSTABLE[[#This Row],[NomeNCM]],8)</f>
        <v>21042000</v>
      </c>
      <c r="B31" s="3" t="s">
        <v>3651</v>
      </c>
      <c r="C31" s="3" t="str">
        <f>IFERROR(VLOOKUP(B31,ST!C:D,2,0),"NÃOST")</f>
        <v>NÃOST</v>
      </c>
      <c r="D31" s="3"/>
      <c r="E31" s="3" t="str">
        <f>IF(COUNTIF(ISENÇÕES!A:A,CST!B31)&gt;0,"ISENÇÃO","SEM ISENÇÃO")</f>
        <v>SEM ISENÇÃO</v>
      </c>
      <c r="F31" s="18" t="str">
        <f>IF(COUNTIF(REDUÇÕES!A:A,CST!B31)&gt;0,"REDUÇÃO","NÃO REDUÇÃO")</f>
        <v>NÃO REDUÇÃO</v>
      </c>
      <c r="G31" s="27">
        <f t="shared" si="1"/>
        <v>0</v>
      </c>
    </row>
    <row r="32" spans="1:7" x14ac:dyDescent="0.25">
      <c r="A32" s="120" t="str">
        <f>RIGHT(CSTABLE[[#This Row],[NomeNCM]],8)</f>
        <v>07039090</v>
      </c>
      <c r="B32" s="3" t="s">
        <v>3315</v>
      </c>
      <c r="C32" s="3" t="str">
        <f>IFERROR(VLOOKUP(B32,ST!C:D,2,0),"NÃOST")</f>
        <v>NÃOST</v>
      </c>
      <c r="D32" s="3"/>
      <c r="E32" s="3" t="str">
        <f>IF(COUNTIF(ISENÇÕES!A:A,CST!B32)&gt;0,"ISENÇÃO","SEM ISENÇÃO")</f>
        <v>ISENÇÃO</v>
      </c>
      <c r="F32" s="18" t="str">
        <f>IF(COUNTIF(REDUÇÕES!A:A,CST!B32)&gt;0,"REDUÇÃO","NÃO REDUÇÃO")</f>
        <v>NÃO REDUÇÃO</v>
      </c>
      <c r="G32" s="27">
        <f t="shared" si="1"/>
        <v>40</v>
      </c>
    </row>
    <row r="33" spans="1:7" x14ac:dyDescent="0.25">
      <c r="A33" s="120" t="str">
        <f>RIGHT(CSTABLE[[#This Row],[NomeNCM]],8)</f>
        <v>34052000</v>
      </c>
      <c r="B33" s="3" t="s">
        <v>3652</v>
      </c>
      <c r="C33" s="3" t="str">
        <f>IFERROR(VLOOKUP(B33,ST!C:D,2,0),"NÃOST")</f>
        <v>NÃOST</v>
      </c>
      <c r="D33" s="3"/>
      <c r="E33" s="3" t="str">
        <f>IF(COUNTIF(ISENÇÕES!A:A,CST!B33)&gt;0,"ISENÇÃO","SEM ISENÇÃO")</f>
        <v>SEM ISENÇÃO</v>
      </c>
      <c r="F33" s="18" t="str">
        <f>IF(COUNTIF(REDUÇÕES!A:A,CST!B33)&gt;0,"REDUÇÃO","NÃO REDUÇÃO")</f>
        <v>NÃO REDUÇÃO</v>
      </c>
      <c r="G33" s="27">
        <f t="shared" si="1"/>
        <v>0</v>
      </c>
    </row>
    <row r="34" spans="1:7" x14ac:dyDescent="0.25">
      <c r="A34" s="120" t="str">
        <f>RIGHT(CSTABLE[[#This Row],[NomeNCM]],8)</f>
        <v>33059000</v>
      </c>
      <c r="B34" s="3" t="s">
        <v>244</v>
      </c>
      <c r="C34" s="3" t="str">
        <f>IFERROR(VLOOKUP(B34,ST!C:D,2,0),"NÃOST")</f>
        <v>NÃOST</v>
      </c>
      <c r="D34" s="3"/>
      <c r="E34" s="3" t="str">
        <f>IF(COUNTIF(ISENÇÕES!A:A,CST!B34)&gt;0,"ISENÇÃO","SEM ISENÇÃO")</f>
        <v>SEM ISENÇÃO</v>
      </c>
      <c r="F34" s="18" t="str">
        <f>IF(COUNTIF(REDUÇÕES!A:A,CST!B34)&gt;0,"REDUÇÃO","NÃO REDUÇÃO")</f>
        <v>NÃO REDUÇÃO</v>
      </c>
      <c r="G34" s="27">
        <f t="shared" si="1"/>
        <v>0</v>
      </c>
    </row>
    <row r="35" spans="1:7" x14ac:dyDescent="0.25">
      <c r="A35" s="120" t="str">
        <f>RIGHT(CSTABLE[[#This Row],[NomeNCM]],8)</f>
        <v>83052000</v>
      </c>
      <c r="B35" s="3" t="s">
        <v>3653</v>
      </c>
      <c r="C35" s="3" t="str">
        <f>IFERROR(VLOOKUP(B35,ST!C:D,2,0),"NÃOST")</f>
        <v>NÃOST</v>
      </c>
      <c r="D35" s="3"/>
      <c r="E35" s="3" t="str">
        <f>IF(COUNTIF(ISENÇÕES!A:A,CST!B35)&gt;0,"ISENÇÃO","SEM ISENÇÃO")</f>
        <v>SEM ISENÇÃO</v>
      </c>
      <c r="F35" s="18" t="str">
        <f>IF(COUNTIF(REDUÇÕES!A:A,CST!B35)&gt;0,"REDUÇÃO","NÃO REDUÇÃO")</f>
        <v>NÃO REDUÇÃO</v>
      </c>
      <c r="G35" s="27">
        <f t="shared" si="1"/>
        <v>0</v>
      </c>
    </row>
    <row r="36" spans="1:7" x14ac:dyDescent="0.25">
      <c r="A36" s="120" t="str">
        <f>RIGHT(CSTABLE[[#This Row],[NomeNCM]],8)</f>
        <v>82121020</v>
      </c>
      <c r="B36" s="3" t="s">
        <v>106</v>
      </c>
      <c r="C36" s="3" t="str">
        <f>IFERROR(VLOOKUP(B36,ST!C:D,2,0),"NÃOST")</f>
        <v>ST</v>
      </c>
      <c r="D36" s="3"/>
      <c r="E36" s="3" t="str">
        <f>IF(COUNTIF(ISENÇÕES!A:A,CST!B36)&gt;0,"ISENÇÃO","SEM ISENÇÃO")</f>
        <v>SEM ISENÇÃO</v>
      </c>
      <c r="F36" s="18" t="str">
        <f>IF(COUNTIF(REDUÇÕES!A:A,CST!B36)&gt;0,"REDUÇÃO","NÃO REDUÇÃO")</f>
        <v>NÃO REDUÇÃO</v>
      </c>
      <c r="G36" s="27">
        <f t="shared" si="1"/>
        <v>60</v>
      </c>
    </row>
    <row r="37" spans="1:7" x14ac:dyDescent="0.25">
      <c r="A37" s="120" t="str">
        <f>RIGHT(CSTABLE[[#This Row],[NomeNCM]],8)</f>
        <v>22084000</v>
      </c>
      <c r="B37" s="3" t="s">
        <v>3654</v>
      </c>
      <c r="C37" s="3" t="str">
        <f>IFERROR(VLOOKUP(B37,ST!C:D,2,0),"NÃOST")</f>
        <v>NÃOST</v>
      </c>
      <c r="D37" s="3"/>
      <c r="E37" s="3" t="str">
        <f>IF(COUNTIF(ISENÇÕES!A:A,CST!B37)&gt;0,"ISENÇÃO","SEM ISENÇÃO")</f>
        <v>SEM ISENÇÃO</v>
      </c>
      <c r="F37" s="18" t="str">
        <f>IF(COUNTIF(REDUÇÕES!A:A,CST!B37)&gt;0,"REDUÇÃO","NÃO REDUÇÃO")</f>
        <v>NÃO REDUÇÃO</v>
      </c>
      <c r="G37" s="27">
        <f t="shared" si="1"/>
        <v>0</v>
      </c>
    </row>
    <row r="38" spans="1:7" x14ac:dyDescent="0.25">
      <c r="A38" s="120" t="str">
        <f>RIGHT(CSTABLE[[#This Row],[NomeNCM]],8)</f>
        <v>21032010</v>
      </c>
      <c r="B38" s="3" t="s">
        <v>3655</v>
      </c>
      <c r="C38" s="3" t="str">
        <f>IFERROR(VLOOKUP(B38,ST!C:D,2,0),"NÃOST")</f>
        <v>NÃOST</v>
      </c>
      <c r="D38" s="3"/>
      <c r="E38" s="3" t="str">
        <f>IF(COUNTIF(ISENÇÕES!A:A,CST!B38)&gt;0,"ISENÇÃO","SEM ISENÇÃO")</f>
        <v>SEM ISENÇÃO</v>
      </c>
      <c r="F38" s="18" t="str">
        <f>IF(COUNTIF(REDUÇÕES!A:A,CST!B38)&gt;0,"REDUÇÃO","NÃO REDUÇÃO")</f>
        <v>NÃO REDUÇÃO</v>
      </c>
      <c r="G38" s="27">
        <f t="shared" si="1"/>
        <v>0</v>
      </c>
    </row>
    <row r="39" spans="1:7" x14ac:dyDescent="0.25">
      <c r="A39" s="120" t="str">
        <f>RIGHT(CSTABLE[[#This Row],[NomeNCM]],8)</f>
        <v>22011000</v>
      </c>
      <c r="B39" s="3" t="s">
        <v>12</v>
      </c>
      <c r="C39" s="3" t="str">
        <f>IFERROR(VLOOKUP(B39,ST!C:D,2,0),"NÃOST")</f>
        <v>ST</v>
      </c>
      <c r="D39" s="3"/>
      <c r="E39" s="3" t="str">
        <f>IF(COUNTIF(ISENÇÕES!A:A,CST!B39)&gt;0,"ISENÇÃO","SEM ISENÇÃO")</f>
        <v>SEM ISENÇÃO</v>
      </c>
      <c r="F39" s="18" t="str">
        <f>IF(COUNTIF(REDUÇÕES!A:A,CST!B39)&gt;0,"REDUÇÃO","NÃO REDUÇÃO")</f>
        <v>NÃO REDUÇÃO</v>
      </c>
      <c r="G39" s="27">
        <f t="shared" si="1"/>
        <v>60</v>
      </c>
    </row>
    <row r="40" spans="1:7" x14ac:dyDescent="0.25">
      <c r="A40" s="120" t="str">
        <f>RIGHT(CSTABLE[[#This Row],[NomeNCM]],8)</f>
        <v>38089419</v>
      </c>
      <c r="B40" s="3" t="s">
        <v>166</v>
      </c>
      <c r="C40" s="3" t="str">
        <f>IFERROR(VLOOKUP(B40,ST!C:D,2,0),"NÃOST")</f>
        <v>NÃOST</v>
      </c>
      <c r="D40" s="3"/>
      <c r="E40" s="3" t="str">
        <f>IF(COUNTIF(ISENÇÕES!A:A,CST!B40)&gt;0,"ISENÇÃO","SEM ISENÇÃO")</f>
        <v>SEM ISENÇÃO</v>
      </c>
      <c r="F40" s="18" t="str">
        <f>IF(COUNTIF(REDUÇÕES!A:A,CST!B40)&gt;0,"REDUÇÃO","NÃO REDUÇÃO")</f>
        <v>REDUÇÃO</v>
      </c>
      <c r="G40" s="27">
        <f t="shared" si="1"/>
        <v>20</v>
      </c>
    </row>
    <row r="41" spans="1:7" x14ac:dyDescent="0.25">
      <c r="A41" s="120" t="str">
        <f>RIGHT(CSTABLE[[#This Row],[NomeNCM]],8)</f>
        <v>15091000</v>
      </c>
      <c r="B41" s="3" t="s">
        <v>2738</v>
      </c>
      <c r="C41" s="3" t="str">
        <f>IFERROR(VLOOKUP(B41,ST!C:D,2,0),"NÃOST")</f>
        <v>NÃOST</v>
      </c>
      <c r="D41" s="3"/>
      <c r="E41" s="3" t="str">
        <f>IF(COUNTIF(ISENÇÕES!A:A,CST!B41)&gt;0,"ISENÇÃO","SEM ISENÇÃO")</f>
        <v>SEM ISENÇÃO</v>
      </c>
      <c r="F41" s="18" t="str">
        <f>IF(COUNTIF(REDUÇÕES!A:A,CST!B41)&gt;0,"REDUÇÃO","NÃO REDUÇÃO")</f>
        <v>REDUÇÃO</v>
      </c>
      <c r="G41" s="27">
        <f t="shared" si="1"/>
        <v>20</v>
      </c>
    </row>
    <row r="42" spans="1:7" x14ac:dyDescent="0.25">
      <c r="A42" s="120" t="str">
        <f>RIGHT(CSTABLE[[#This Row],[NomeNCM]],8)</f>
        <v>73218900</v>
      </c>
      <c r="B42" s="3" t="s">
        <v>3656</v>
      </c>
      <c r="C42" s="3" t="str">
        <f>IFERROR(VLOOKUP(B42,ST!C:D,2,0),"NÃOST")</f>
        <v>NÃOST</v>
      </c>
      <c r="D42" s="3"/>
      <c r="E42" s="3" t="str">
        <f>IF(COUNTIF(ISENÇÕES!A:A,CST!B42)&gt;0,"ISENÇÃO","SEM ISENÇÃO")</f>
        <v>SEM ISENÇÃO</v>
      </c>
      <c r="F42" s="18" t="str">
        <f>IF(COUNTIF(REDUÇÕES!A:A,CST!B42)&gt;0,"REDUÇÃO","NÃO REDUÇÃO")</f>
        <v>NÃO REDUÇÃO</v>
      </c>
      <c r="G42" s="27">
        <f t="shared" si="1"/>
        <v>0</v>
      </c>
    </row>
    <row r="43" spans="1:7" x14ac:dyDescent="0.25">
      <c r="A43" s="120" t="str">
        <f>RIGHT(CSTABLE[[#This Row],[NomeNCM]],8)</f>
        <v>19059010</v>
      </c>
      <c r="B43" s="3" t="s">
        <v>3657</v>
      </c>
      <c r="C43" s="3" t="str">
        <f>IFERROR(VLOOKUP(B43,ST!C:D,2,0),"NÃOST")</f>
        <v>NÃOST</v>
      </c>
      <c r="D43" s="3"/>
      <c r="E43" s="3" t="str">
        <f>IF(COUNTIF(ISENÇÕES!A:A,CST!B43)&gt;0,"ISENÇÃO","SEM ISENÇÃO")</f>
        <v>SEM ISENÇÃO</v>
      </c>
      <c r="F43" s="18" t="str">
        <f>IF(COUNTIF(REDUÇÕES!A:A,CST!B43)&gt;0,"REDUÇÃO","NÃO REDUÇÃO")</f>
        <v>NÃO REDUÇÃO</v>
      </c>
      <c r="G43" s="27">
        <f t="shared" si="1"/>
        <v>0</v>
      </c>
    </row>
    <row r="44" spans="1:7" x14ac:dyDescent="0.25">
      <c r="A44" s="120" t="str">
        <f>RIGHT(CSTABLE[[#This Row],[NomeNCM]],8)</f>
        <v>16025000</v>
      </c>
      <c r="B44" s="3" t="s">
        <v>3658</v>
      </c>
      <c r="C44" s="3" t="str">
        <f>IFERROR(VLOOKUP(B44,ST!C:D,2,0),"NÃOST")</f>
        <v>NÃOST</v>
      </c>
      <c r="D44" s="3"/>
      <c r="E44" s="3" t="str">
        <f>IF(COUNTIF(ISENÇÕES!A:A,CST!B44)&gt;0,"ISENÇÃO","SEM ISENÇÃO")</f>
        <v>SEM ISENÇÃO</v>
      </c>
      <c r="F44" s="18" t="str">
        <f>IF(COUNTIF(REDUÇÕES!A:A,CST!B44)&gt;0,"REDUÇÃO","NÃO REDUÇÃO")</f>
        <v>NÃO REDUÇÃO</v>
      </c>
      <c r="G44" s="27">
        <f t="shared" si="1"/>
        <v>0</v>
      </c>
    </row>
    <row r="45" spans="1:7" x14ac:dyDescent="0.25">
      <c r="A45" s="120" t="str">
        <f>RIGHT(CSTABLE[[#This Row],[NomeNCM]],8)</f>
        <v>33062000</v>
      </c>
      <c r="B45" s="3" t="s">
        <v>3387</v>
      </c>
      <c r="C45" s="3" t="str">
        <f>IFERROR(VLOOKUP(B45,ST!C:D,2,0),"NÃOST")</f>
        <v>NÃOST</v>
      </c>
      <c r="D45" s="3"/>
      <c r="E45" s="3" t="str">
        <f>IF(COUNTIF(ISENÇÕES!A:A,CST!B45)&gt;0,"ISENÇÃO","SEM ISENÇÃO")</f>
        <v>SEM ISENÇÃO</v>
      </c>
      <c r="F45" s="18" t="str">
        <f>IF(COUNTIF(REDUÇÕES!A:A,CST!B45)&gt;0,"REDUÇÃO","NÃO REDUÇÃO")</f>
        <v>NÃO REDUÇÃO</v>
      </c>
      <c r="G45" s="27">
        <f t="shared" si="1"/>
        <v>0</v>
      </c>
    </row>
    <row r="46" spans="1:7" x14ac:dyDescent="0.25">
      <c r="A46" s="120" t="str">
        <f>RIGHT(CSTABLE[[#This Row],[NomeNCM]],8)</f>
        <v>20081900</v>
      </c>
      <c r="B46" s="3" t="s">
        <v>277</v>
      </c>
      <c r="C46" s="3" t="str">
        <f>IFERROR(VLOOKUP(B46,ST!C:D,2,0),"NÃOST")</f>
        <v>NÃOST</v>
      </c>
      <c r="D46" s="3"/>
      <c r="E46" s="3" t="str">
        <f>IF(COUNTIF(ISENÇÕES!A:A,CST!B46)&gt;0,"ISENÇÃO","SEM ISENÇÃO")</f>
        <v>SEM ISENÇÃO</v>
      </c>
      <c r="F46" s="18" t="str">
        <f>IF(COUNTIF(REDUÇÕES!A:A,CST!B46)&gt;0,"REDUÇÃO","NÃO REDUÇÃO")</f>
        <v>NÃO REDUÇÃO</v>
      </c>
      <c r="G46" s="27">
        <f t="shared" si="1"/>
        <v>0</v>
      </c>
    </row>
    <row r="47" spans="1:7" x14ac:dyDescent="0.25">
      <c r="A47" s="120" t="str">
        <f>RIGHT(CSTABLE[[#This Row],[NomeNCM]],8)</f>
        <v>48181000</v>
      </c>
      <c r="B47" s="3" t="s">
        <v>196</v>
      </c>
      <c r="C47" s="3" t="str">
        <f>IFERROR(VLOOKUP(B47,ST!C:D,2,0),"NÃOST")</f>
        <v>NÃOST</v>
      </c>
      <c r="D47" s="3"/>
      <c r="E47" s="3" t="str">
        <f>IF(COUNTIF(ISENÇÕES!A:A,CST!B47)&gt;0,"ISENÇÃO","SEM ISENÇÃO")</f>
        <v>SEM ISENÇÃO</v>
      </c>
      <c r="F47" s="18" t="str">
        <f>IF(COUNTIF(REDUÇÕES!A:A,CST!B47)&gt;0,"REDUÇÃO","NÃO REDUÇÃO")</f>
        <v>REDUÇÃO</v>
      </c>
      <c r="G47" s="27">
        <f t="shared" si="1"/>
        <v>20</v>
      </c>
    </row>
    <row r="48" spans="1:7" x14ac:dyDescent="0.25">
      <c r="A48" s="120" t="str">
        <f>RIGHT(CSTABLE[[#This Row],[NomeNCM]],8)</f>
        <v>16021000</v>
      </c>
      <c r="B48" s="3" t="s">
        <v>3659</v>
      </c>
      <c r="C48" s="3" t="str">
        <f>IFERROR(VLOOKUP(B48,ST!C:D,2,0),"NÃOST")</f>
        <v>NÃOST</v>
      </c>
      <c r="D48" s="3"/>
      <c r="E48" s="3" t="str">
        <f>IF(COUNTIF(ISENÇÕES!A:A,CST!B48)&gt;0,"ISENÇÃO","SEM ISENÇÃO")</f>
        <v>SEM ISENÇÃO</v>
      </c>
      <c r="F48" s="18" t="str">
        <f>IF(COUNTIF(REDUÇÕES!A:A,CST!B48)&gt;0,"REDUÇÃO","NÃO REDUÇÃO")</f>
        <v>NÃO REDUÇÃO</v>
      </c>
      <c r="G48" s="27">
        <f t="shared" si="1"/>
        <v>0</v>
      </c>
    </row>
    <row r="49" spans="1:7" x14ac:dyDescent="0.25">
      <c r="A49" s="120" t="str">
        <f>RIGHT(CSTABLE[[#This Row],[NomeNCM]],8)</f>
        <v>28289011</v>
      </c>
      <c r="B49" s="3" t="s">
        <v>208</v>
      </c>
      <c r="C49" s="3" t="str">
        <f>IFERROR(VLOOKUP(B49,ST!C:D,2,0),"NÃOST")</f>
        <v>NÃOST</v>
      </c>
      <c r="D49" s="3"/>
      <c r="E49" s="3" t="str">
        <f>IF(COUNTIF(ISENÇÕES!A:A,CST!B49)&gt;0,"ISENÇÃO","SEM ISENÇÃO")</f>
        <v>SEM ISENÇÃO</v>
      </c>
      <c r="F49" s="18" t="str">
        <f>IF(COUNTIF(REDUÇÕES!A:A,CST!B49)&gt;0,"REDUÇÃO","NÃO REDUÇÃO")</f>
        <v>REDUÇÃO</v>
      </c>
      <c r="G49" s="27">
        <f t="shared" si="1"/>
        <v>20</v>
      </c>
    </row>
    <row r="50" spans="1:7" x14ac:dyDescent="0.25">
      <c r="A50" s="120" t="str">
        <f>RIGHT(CSTABLE[[#This Row],[NomeNCM]],8)</f>
        <v>28289019</v>
      </c>
      <c r="B50" s="3" t="s">
        <v>3429</v>
      </c>
      <c r="C50" s="3" t="str">
        <f>IFERROR(VLOOKUP(B50,ST!C:D,2,0),"NÃOST")</f>
        <v>NÃOST</v>
      </c>
      <c r="D50" s="3"/>
      <c r="E50" s="3" t="str">
        <f>IF(COUNTIF(ISENÇÕES!A:A,CST!B50)&gt;0,"ISENÇÃO","SEM ISENÇÃO")</f>
        <v>SEM ISENÇÃO</v>
      </c>
      <c r="F50" s="18" t="str">
        <f>IF(COUNTIF(REDUÇÕES!A:A,CST!B50)&gt;0,"REDUÇÃO","NÃO REDUÇÃO")</f>
        <v>REDUÇÃO</v>
      </c>
      <c r="G50" s="27">
        <f t="shared" si="1"/>
        <v>20</v>
      </c>
    </row>
    <row r="51" spans="1:7" x14ac:dyDescent="0.25">
      <c r="A51" s="120" t="str">
        <f>RIGHT(CSTABLE[[#This Row],[NomeNCM]],8)</f>
        <v>19023000</v>
      </c>
      <c r="B51" s="3" t="s">
        <v>200</v>
      </c>
      <c r="C51" s="3" t="str">
        <f>IFERROR(VLOOKUP(B51,ST!C:D,2,0),"NÃOST")</f>
        <v>NÃOST</v>
      </c>
      <c r="D51" s="3"/>
      <c r="E51" s="3" t="str">
        <f>IF(COUNTIF(ISENÇÕES!A:A,CST!B51)&gt;0,"ISENÇÃO","SEM ISENÇÃO")</f>
        <v>SEM ISENÇÃO</v>
      </c>
      <c r="F51" s="18" t="str">
        <f>IF(COUNTIF(REDUÇÕES!A:A,CST!B51)&gt;0,"REDUÇÃO","NÃO REDUÇÃO")</f>
        <v>REDUÇÃO</v>
      </c>
      <c r="G51" s="27">
        <f t="shared" si="1"/>
        <v>20</v>
      </c>
    </row>
    <row r="52" spans="1:7" x14ac:dyDescent="0.25">
      <c r="A52" s="120" t="str">
        <f>RIGHT(CSTABLE[[#This Row],[NomeNCM]],8)</f>
        <v>12345678</v>
      </c>
      <c r="B52" s="3" t="s">
        <v>3660</v>
      </c>
      <c r="C52" s="3" t="str">
        <f>IFERROR(VLOOKUP(B52,ST!C:D,2,0),"NÃOST")</f>
        <v>NÃOST</v>
      </c>
      <c r="D52" s="3"/>
      <c r="E52" s="3" t="str">
        <f>IF(COUNTIF(ISENÇÕES!A:A,CST!B52)&gt;0,"ISENÇÃO","SEM ISENÇÃO")</f>
        <v>SEM ISENÇÃO</v>
      </c>
      <c r="F52" s="18" t="str">
        <f>IF(COUNTIF(REDUÇÕES!A:A,CST!B52)&gt;0,"REDUÇÃO","NÃO REDUÇÃO")</f>
        <v>NÃO REDUÇÃO</v>
      </c>
      <c r="G52" s="27">
        <f t="shared" si="1"/>
        <v>0</v>
      </c>
    </row>
    <row r="53" spans="1:7" x14ac:dyDescent="0.25">
      <c r="A53" s="120" t="str">
        <f>RIGHT(CSTABLE[[#This Row],[NomeNCM]],8)</f>
        <v>39232190</v>
      </c>
      <c r="B53" s="3" t="s">
        <v>3661</v>
      </c>
      <c r="C53" s="3" t="str">
        <f>IFERROR(VLOOKUP(B53,ST!C:D,2,0),"NÃOST")</f>
        <v>NÃOST</v>
      </c>
      <c r="D53" s="3"/>
      <c r="E53" s="3" t="str">
        <f>IF(COUNTIF(ISENÇÕES!A:A,CST!B53)&gt;0,"ISENÇÃO","SEM ISENÇÃO")</f>
        <v>SEM ISENÇÃO</v>
      </c>
      <c r="F53" s="18" t="str">
        <f>IF(COUNTIF(REDUÇÕES!A:A,CST!B53)&gt;0,"REDUÇÃO","NÃO REDUÇÃO")</f>
        <v>NÃO REDUÇÃO</v>
      </c>
      <c r="G53" s="27">
        <f t="shared" si="1"/>
        <v>0</v>
      </c>
    </row>
    <row r="54" spans="1:7" x14ac:dyDescent="0.25">
      <c r="A54" s="120" t="str">
        <f>RIGHT(CSTABLE[[#This Row],[NomeNCM]],8)</f>
        <v>76151000</v>
      </c>
      <c r="B54" s="3" t="s">
        <v>3662</v>
      </c>
      <c r="C54" s="3" t="str">
        <f>IFERROR(VLOOKUP(B54,ST!C:D,2,0),"NÃOST")</f>
        <v>NÃOST</v>
      </c>
      <c r="D54" s="3"/>
      <c r="E54" s="3" t="str">
        <f>IF(COUNTIF(ISENÇÕES!A:A,CST!B54)&gt;0,"ISENÇÃO","SEM ISENÇÃO")</f>
        <v>SEM ISENÇÃO</v>
      </c>
      <c r="F54" s="18" t="str">
        <f>IF(COUNTIF(REDUÇÕES!A:A,CST!B54)&gt;0,"REDUÇÃO","NÃO REDUÇÃO")</f>
        <v>NÃO REDUÇÃO</v>
      </c>
      <c r="G54" s="27">
        <f t="shared" si="1"/>
        <v>0</v>
      </c>
    </row>
    <row r="55" spans="1:7" x14ac:dyDescent="0.25">
      <c r="A55" s="120" t="str">
        <f>RIGHT(CSTABLE[[#This Row],[NomeNCM]],8)</f>
        <v>19019090</v>
      </c>
      <c r="B55" s="3" t="s">
        <v>3663</v>
      </c>
      <c r="C55" s="3" t="str">
        <f>IFERROR(VLOOKUP(B55,ST!C:D,2,0),"NÃOST")</f>
        <v>NÃOST</v>
      </c>
      <c r="D55" s="3"/>
      <c r="E55" s="3" t="str">
        <f>IF(COUNTIF(ISENÇÕES!A:A,CST!B55)&gt;0,"ISENÇÃO","SEM ISENÇÃO")</f>
        <v>SEM ISENÇÃO</v>
      </c>
      <c r="F55" s="18" t="str">
        <f>IF(COUNTIF(REDUÇÕES!A:A,CST!B55)&gt;0,"REDUÇÃO","NÃO REDUÇÃO")</f>
        <v>NÃO REDUÇÃO</v>
      </c>
      <c r="G55" s="27">
        <f t="shared" si="1"/>
        <v>0</v>
      </c>
    </row>
    <row r="56" spans="1:7" x14ac:dyDescent="0.25">
      <c r="A56" s="120" t="str">
        <f>RIGHT(CSTABLE[[#This Row],[NomeNCM]],8)</f>
        <v>02071400</v>
      </c>
      <c r="B56" s="3" t="s">
        <v>225</v>
      </c>
      <c r="C56" s="3" t="str">
        <f>IFERROR(VLOOKUP(B56,ST!C:D,2,0),"NÃOST")</f>
        <v>NÃOST</v>
      </c>
      <c r="D56" s="3"/>
      <c r="E56" s="3" t="str">
        <f>IF(COUNTIF(ISENÇÕES!A:A,CST!B56)&gt;0,"ISENÇÃO","SEM ISENÇÃO")</f>
        <v>SEM ISENÇÃO</v>
      </c>
      <c r="F56" s="18" t="str">
        <f>IF(COUNTIF(REDUÇÕES!A:A,CST!B56)&gt;0,"REDUÇÃO","NÃO REDUÇÃO")</f>
        <v>NÃO REDUÇÃO</v>
      </c>
      <c r="G56" s="27">
        <f t="shared" si="1"/>
        <v>0</v>
      </c>
    </row>
    <row r="57" spans="1:7" x14ac:dyDescent="0.25">
      <c r="A57" s="120" t="str">
        <f>RIGHT(CSTABLE[[#This Row],[NomeNCM]],8)</f>
        <v>46021900</v>
      </c>
      <c r="B57" s="3" t="s">
        <v>3664</v>
      </c>
      <c r="C57" s="3" t="str">
        <f>IFERROR(VLOOKUP(B57,ST!C:D,2,0),"NÃOST")</f>
        <v>NÃOST</v>
      </c>
      <c r="D57" s="3"/>
      <c r="E57" s="3" t="str">
        <f>IF(COUNTIF(ISENÇÕES!A:A,CST!B57)&gt;0,"ISENÇÃO","SEM ISENÇÃO")</f>
        <v>SEM ISENÇÃO</v>
      </c>
      <c r="F57" s="18" t="str">
        <f>IF(COUNTIF(REDUÇÕES!A:A,CST!B57)&gt;0,"REDUÇÃO","NÃO REDUÇÃO")</f>
        <v>NÃO REDUÇÃO</v>
      </c>
      <c r="G57" s="27">
        <f t="shared" si="1"/>
        <v>0</v>
      </c>
    </row>
    <row r="58" spans="1:7" x14ac:dyDescent="0.25">
      <c r="A58" s="120" t="str">
        <f>RIGHT(CSTABLE[[#This Row],[NomeNCM]],8)</f>
        <v>39249000</v>
      </c>
      <c r="B58" s="3" t="s">
        <v>254</v>
      </c>
      <c r="C58" s="3" t="str">
        <f>IFERROR(VLOOKUP(B58,ST!C:D,2,0),"NÃOST")</f>
        <v>NÃOST</v>
      </c>
      <c r="D58" s="3"/>
      <c r="E58" s="3" t="str">
        <f>IF(COUNTIF(ISENÇÕES!A:A,CST!B58)&gt;0,"ISENÇÃO","SEM ISENÇÃO")</f>
        <v>SEM ISENÇÃO</v>
      </c>
      <c r="F58" s="18" t="str">
        <f>IF(COUNTIF(REDUÇÕES!A:A,CST!B58)&gt;0,"REDUÇÃO","NÃO REDUÇÃO")</f>
        <v>NÃO REDUÇÃO</v>
      </c>
      <c r="G58" s="27">
        <f t="shared" si="1"/>
        <v>0</v>
      </c>
    </row>
    <row r="59" spans="1:7" x14ac:dyDescent="0.25">
      <c r="A59" s="120" t="str">
        <f>RIGHT(CSTABLE[[#This Row],[NomeNCM]],8)</f>
        <v>56074900</v>
      </c>
      <c r="B59" s="3" t="s">
        <v>3665</v>
      </c>
      <c r="C59" s="3" t="str">
        <f>IFERROR(VLOOKUP(B59,ST!C:D,2,0),"NÃOST")</f>
        <v>NÃOST</v>
      </c>
      <c r="D59" s="3"/>
      <c r="E59" s="3" t="str">
        <f>IF(COUNTIF(ISENÇÕES!A:A,CST!B59)&gt;0,"ISENÇÃO","SEM ISENÇÃO")</f>
        <v>SEM ISENÇÃO</v>
      </c>
      <c r="F59" s="18" t="str">
        <f>IF(COUNTIF(REDUÇÕES!A:A,CST!B59)&gt;0,"REDUÇÃO","NÃO REDUÇÃO")</f>
        <v>NÃO REDUÇÃO</v>
      </c>
      <c r="G59" s="27">
        <f t="shared" si="1"/>
        <v>0</v>
      </c>
    </row>
    <row r="60" spans="1:7" x14ac:dyDescent="0.25">
      <c r="A60" s="120" t="str">
        <f>RIGHT(CSTABLE[[#This Row],[NomeNCM]],8)</f>
        <v>02071100</v>
      </c>
      <c r="B60" s="3" t="s">
        <v>190</v>
      </c>
      <c r="C60" s="3" t="str">
        <f>IFERROR(VLOOKUP(B60,ST!C:D,2,0),"NÃOST")</f>
        <v>NÃOST</v>
      </c>
      <c r="D60" s="3"/>
      <c r="E60" s="3" t="str">
        <f>IF(COUNTIF(ISENÇÕES!A:A,CST!B60)&gt;0,"ISENÇÃO","SEM ISENÇÃO")</f>
        <v>SEM ISENÇÃO</v>
      </c>
      <c r="F60" s="18" t="str">
        <f>IF(COUNTIF(REDUÇÕES!A:A,CST!B60)&gt;0,"REDUÇÃO","NÃO REDUÇÃO")</f>
        <v>NÃO REDUÇÃO</v>
      </c>
      <c r="G60" s="27">
        <f t="shared" si="1"/>
        <v>0</v>
      </c>
    </row>
    <row r="61" spans="1:7" x14ac:dyDescent="0.25">
      <c r="A61" s="120" t="str">
        <f>RIGHT(CSTABLE[[#This Row],[NomeNCM]],8)</f>
        <v>44219000</v>
      </c>
      <c r="B61" s="3" t="s">
        <v>2405</v>
      </c>
      <c r="C61" s="3" t="str">
        <f>IFERROR(VLOOKUP(B61,ST!C:D,2,0),"NÃOST")</f>
        <v>NÃOST</v>
      </c>
      <c r="D61" s="3"/>
      <c r="E61" s="3" t="str">
        <f>IF(COUNTIF(ISENÇÕES!A:A,CST!B61)&gt;0,"ISENÇÃO","SEM ISENÇÃO")</f>
        <v>SEM ISENÇÃO</v>
      </c>
      <c r="F61" s="18" t="str">
        <f>IF(COUNTIF(REDUÇÕES!A:A,CST!B61)&gt;0,"REDUÇÃO","NÃO REDUÇÃO")</f>
        <v>NÃO REDUÇÃO</v>
      </c>
      <c r="G61" s="27">
        <f t="shared" si="1"/>
        <v>0</v>
      </c>
    </row>
    <row r="62" spans="1:7" x14ac:dyDescent="0.25">
      <c r="A62" s="120" t="str">
        <f>RIGHT(CSTABLE[[#This Row],[NomeNCM]],8)</f>
        <v>02013000</v>
      </c>
      <c r="B62" s="3" t="s">
        <v>182</v>
      </c>
      <c r="C62" s="3" t="str">
        <f>IFERROR(VLOOKUP(B62,ST!C:D,2,0),"NÃOST")</f>
        <v>NÃOST</v>
      </c>
      <c r="D62" s="3"/>
      <c r="E62" s="3" t="str">
        <f>IF(COUNTIF(ISENÇÕES!A:A,CST!B62)&gt;0,"ISENÇÃO","SEM ISENÇÃO")</f>
        <v>SEM ISENÇÃO</v>
      </c>
      <c r="F62" s="18" t="str">
        <f>IF(COUNTIF(REDUÇÕES!A:A,CST!B62)&gt;0,"REDUÇÃO","NÃO REDUÇÃO")</f>
        <v>NÃO REDUÇÃO</v>
      </c>
      <c r="G62" s="27">
        <f t="shared" si="1"/>
        <v>0</v>
      </c>
    </row>
    <row r="63" spans="1:7" x14ac:dyDescent="0.25">
      <c r="A63" s="120" t="str">
        <f>RIGHT(CSTABLE[[#This Row],[NomeNCM]],8)</f>
        <v>34011190</v>
      </c>
      <c r="B63" s="3" t="s">
        <v>215</v>
      </c>
      <c r="C63" s="3" t="str">
        <f>IFERROR(VLOOKUP(B63,ST!C:D,2,0),"NÃOST")</f>
        <v>NÃOST</v>
      </c>
      <c r="D63" s="3"/>
      <c r="E63" s="3" t="str">
        <f>IF(COUNTIF(ISENÇÕES!A:A,CST!B63)&gt;0,"ISENÇÃO","SEM ISENÇÃO")</f>
        <v>SEM ISENÇÃO</v>
      </c>
      <c r="F63" s="18" t="str">
        <f>IF(COUNTIF(REDUÇÕES!A:A,CST!B63)&gt;0,"REDUÇÃO","NÃO REDUÇÃO")</f>
        <v>REDUÇÃO</v>
      </c>
      <c r="G63" s="27">
        <f t="shared" si="1"/>
        <v>20</v>
      </c>
    </row>
    <row r="64" spans="1:7" x14ac:dyDescent="0.25">
      <c r="A64" s="120" t="str">
        <f>RIGHT(CSTABLE[[#This Row],[NomeNCM]],8)</f>
        <v>17049020</v>
      </c>
      <c r="B64" s="3" t="s">
        <v>3666</v>
      </c>
      <c r="C64" s="3" t="str">
        <f>IFERROR(VLOOKUP(B64,ST!C:D,2,0),"NÃOST")</f>
        <v>NÃOST</v>
      </c>
      <c r="D64" s="3"/>
      <c r="E64" s="3" t="str">
        <f>IF(COUNTIF(ISENÇÕES!A:A,CST!B64)&gt;0,"ISENÇÃO","SEM ISENÇÃO")</f>
        <v>SEM ISENÇÃO</v>
      </c>
      <c r="F64" s="18" t="str">
        <f>IF(COUNTIF(REDUÇÕES!A:A,CST!B64)&gt;0,"REDUÇÃO","NÃO REDUÇÃO")</f>
        <v>NÃO REDUÇÃO</v>
      </c>
      <c r="G64" s="27">
        <f t="shared" si="1"/>
        <v>0</v>
      </c>
    </row>
    <row r="65" spans="1:7" x14ac:dyDescent="0.25">
      <c r="A65" s="120" t="str">
        <f>RIGHT(CSTABLE[[#This Row],[NomeNCM]],8)</f>
        <v>17041000</v>
      </c>
      <c r="B65" s="3" t="s">
        <v>3667</v>
      </c>
      <c r="C65" s="3" t="str">
        <f>IFERROR(VLOOKUP(B65,ST!C:D,2,0),"NÃOST")</f>
        <v>NÃOST</v>
      </c>
      <c r="D65" s="3"/>
      <c r="E65" s="3" t="str">
        <f>IF(COUNTIF(ISENÇÕES!A:A,CST!B65)&gt;0,"ISENÇÃO","SEM ISENÇÃO")</f>
        <v>SEM ISENÇÃO</v>
      </c>
      <c r="F65" s="18" t="str">
        <f>IF(COUNTIF(REDUÇÕES!A:A,CST!B65)&gt;0,"REDUÇÃO","NÃO REDUÇÃO")</f>
        <v>NÃO REDUÇÃO</v>
      </c>
      <c r="G65" s="27">
        <f t="shared" si="1"/>
        <v>0</v>
      </c>
    </row>
    <row r="66" spans="1:7" x14ac:dyDescent="0.25">
      <c r="A66" s="120" t="str">
        <f>RIGHT(CSTABLE[[#This Row],[NomeNCM]],8)</f>
        <v>02031900</v>
      </c>
      <c r="B66" s="3" t="s">
        <v>164</v>
      </c>
      <c r="C66" s="3" t="str">
        <f>IFERROR(VLOOKUP(B66,ST!C:D,2,0),"NÃOST")</f>
        <v>NÃOST</v>
      </c>
      <c r="D66" s="3"/>
      <c r="E66" s="3" t="str">
        <f>IF(COUNTIF(ISENÇÕES!A:A,CST!B66)&gt;0,"ISENÇÃO","SEM ISENÇÃO")</f>
        <v>SEM ISENÇÃO</v>
      </c>
      <c r="F66" s="18" t="str">
        <f>IF(COUNTIF(REDUÇÕES!A:A,CST!B66)&gt;0,"REDUÇÃO","NÃO REDUÇÃO")</f>
        <v>NÃO REDUÇÃO</v>
      </c>
      <c r="G66" s="27">
        <f t="shared" si="1"/>
        <v>0</v>
      </c>
    </row>
    <row r="67" spans="1:7" x14ac:dyDescent="0.25">
      <c r="A67" s="120" t="str">
        <f>RIGHT(CSTABLE[[#This Row],[NomeNCM]],8)</f>
        <v>34021190</v>
      </c>
      <c r="B67" s="3" t="s">
        <v>3668</v>
      </c>
      <c r="C67" s="3" t="str">
        <f>IFERROR(VLOOKUP(B67,ST!C:D,2,0),"NÃOST")</f>
        <v>NÃOST</v>
      </c>
      <c r="D67" s="3"/>
      <c r="E67" s="3" t="str">
        <f>IF(COUNTIF(ISENÇÕES!A:A,CST!B67)&gt;0,"ISENÇÃO","SEM ISENÇÃO")</f>
        <v>SEM ISENÇÃO</v>
      </c>
      <c r="F67" s="18" t="str">
        <f>IF(COUNTIF(REDUÇÕES!A:A,CST!B67)&gt;0,"REDUÇÃO","NÃO REDUÇÃO")</f>
        <v>NÃO REDUÇÃO</v>
      </c>
      <c r="G67" s="27">
        <f t="shared" si="1"/>
        <v>0</v>
      </c>
    </row>
    <row r="68" spans="1:7" x14ac:dyDescent="0.25">
      <c r="A68" s="120" t="str">
        <f>RIGHT(CSTABLE[[#This Row],[NomeNCM]],8)</f>
        <v>39241000</v>
      </c>
      <c r="B68" s="3" t="s">
        <v>235</v>
      </c>
      <c r="C68" s="3" t="str">
        <f>IFERROR(VLOOKUP(B68,ST!C:D,2,0),"NÃOST")</f>
        <v>NÃOST</v>
      </c>
      <c r="D68" s="3"/>
      <c r="E68" s="3" t="str">
        <f>IF(COUNTIF(ISENÇÕES!A:A,CST!B68)&gt;0,"ISENÇÃO","SEM ISENÇÃO")</f>
        <v>SEM ISENÇÃO</v>
      </c>
      <c r="F68" s="18" t="str">
        <f>IF(COUNTIF(REDUÇÕES!A:A,CST!B68)&gt;0,"REDUÇÃO","NÃO REDUÇÃO")</f>
        <v>NÃO REDUÇÃO</v>
      </c>
      <c r="G68" s="27">
        <f t="shared" si="1"/>
        <v>0</v>
      </c>
    </row>
    <row r="69" spans="1:7" x14ac:dyDescent="0.25">
      <c r="A69" s="120" t="str">
        <f>RIGHT(CSTABLE[[#This Row],[NomeNCM]],8)</f>
        <v>02032900</v>
      </c>
      <c r="B69" s="3" t="s">
        <v>3083</v>
      </c>
      <c r="C69" s="3" t="str">
        <f>IFERROR(VLOOKUP(B69,ST!C:D,2,0),"NÃOST")</f>
        <v>NÃOST</v>
      </c>
      <c r="D69" s="3"/>
      <c r="E69" s="3" t="str">
        <f>IF(COUNTIF(ISENÇÕES!A:A,CST!B69)&gt;0,"ISENÇÃO","SEM ISENÇÃO")</f>
        <v>SEM ISENÇÃO</v>
      </c>
      <c r="F69" s="18" t="str">
        <f>IF(COUNTIF(REDUÇÕES!A:A,CST!B69)&gt;0,"REDUÇÃO","NÃO REDUÇÃO")</f>
        <v>NÃO REDUÇÃO</v>
      </c>
      <c r="G69" s="27">
        <f t="shared" si="1"/>
        <v>0</v>
      </c>
    </row>
    <row r="70" spans="1:7" x14ac:dyDescent="0.25">
      <c r="A70" s="120" t="str">
        <f>RIGHT(CSTABLE[[#This Row],[NomeNCM]],8)</f>
        <v>11042900</v>
      </c>
      <c r="B70" s="3" t="s">
        <v>3669</v>
      </c>
      <c r="C70" s="3" t="str">
        <f>IFERROR(VLOOKUP(B70,ST!C:D,2,0),"NÃOST")</f>
        <v>NÃOST</v>
      </c>
      <c r="D70" s="3"/>
      <c r="E70" s="3" t="str">
        <f>IF(COUNTIF(ISENÇÕES!A:A,CST!B70)&gt;0,"ISENÇÃO","SEM ISENÇÃO")</f>
        <v>SEM ISENÇÃO</v>
      </c>
      <c r="F70" s="18" t="str">
        <f>IF(COUNTIF(REDUÇÕES!A:A,CST!B70)&gt;0,"REDUÇÃO","NÃO REDUÇÃO")</f>
        <v>NÃO REDUÇÃO</v>
      </c>
      <c r="G70" s="27">
        <f t="shared" si="1"/>
        <v>0</v>
      </c>
    </row>
    <row r="71" spans="1:7" x14ac:dyDescent="0.25">
      <c r="A71" s="120" t="str">
        <f>RIGHT(CSTABLE[[#This Row],[NomeNCM]],8)</f>
        <v>19041000</v>
      </c>
      <c r="B71" s="3" t="s">
        <v>3670</v>
      </c>
      <c r="C71" s="3" t="str">
        <f>IFERROR(VLOOKUP(B71,ST!C:D,2,0),"NÃOST")</f>
        <v>NÃOST</v>
      </c>
      <c r="D71" s="3"/>
      <c r="E71" s="3" t="str">
        <f>IF(COUNTIF(ISENÇÕES!A:A,CST!B71)&gt;0,"ISENÇÃO","SEM ISENÇÃO")</f>
        <v>SEM ISENÇÃO</v>
      </c>
      <c r="F71" s="18" t="str">
        <f>IF(COUNTIF(REDUÇÕES!A:A,CST!B71)&gt;0,"REDUÇÃO","NÃO REDUÇÃO")</f>
        <v>NÃO REDUÇÃO</v>
      </c>
      <c r="G71" s="27">
        <f t="shared" si="1"/>
        <v>0</v>
      </c>
    </row>
    <row r="72" spans="1:7" x14ac:dyDescent="0.25">
      <c r="A72" s="120" t="str">
        <f>RIGHT(CSTABLE[[#This Row],[NomeNCM]],8)</f>
        <v>19011090</v>
      </c>
      <c r="B72" s="3" t="s">
        <v>3366</v>
      </c>
      <c r="C72" s="3" t="str">
        <f>IFERROR(VLOOKUP(B72,ST!C:D,2,0),"NÃOST")</f>
        <v>NÃOST</v>
      </c>
      <c r="D72" s="3"/>
      <c r="E72" s="3" t="str">
        <f>IF(COUNTIF(ISENÇÕES!A:A,CST!B72)&gt;0,"ISENÇÃO","SEM ISENÇÃO")</f>
        <v>SEM ISENÇÃO</v>
      </c>
      <c r="F72" s="18" t="str">
        <f>IF(COUNTIF(REDUÇÕES!A:A,CST!B72)&gt;0,"REDUÇÃO","NÃO REDUÇÃO")</f>
        <v>NÃO REDUÇÃO</v>
      </c>
      <c r="G72" s="27">
        <f t="shared" si="1"/>
        <v>0</v>
      </c>
    </row>
    <row r="73" spans="1:7" x14ac:dyDescent="0.25">
      <c r="A73" s="120" t="str">
        <f>RIGHT(CSTABLE[[#This Row],[NomeNCM]],8)</f>
        <v>19011010</v>
      </c>
      <c r="B73" s="3" t="s">
        <v>3363</v>
      </c>
      <c r="C73" s="3" t="str">
        <f>IFERROR(VLOOKUP(B73,ST!C:D,2,0),"NÃOST")</f>
        <v>NÃOST</v>
      </c>
      <c r="D73" s="3"/>
      <c r="E73" s="3" t="str">
        <f>IF(COUNTIF(ISENÇÕES!A:A,CST!B73)&gt;0,"ISENÇÃO","SEM ISENÇÃO")</f>
        <v>SEM ISENÇÃO</v>
      </c>
      <c r="F73" s="18" t="str">
        <f>IF(COUNTIF(REDUÇÕES!A:A,CST!B73)&gt;0,"REDUÇÃO","NÃO REDUÇÃO")</f>
        <v>NÃO REDUÇÃO</v>
      </c>
      <c r="G73" s="27">
        <f t="shared" si="1"/>
        <v>0</v>
      </c>
    </row>
    <row r="74" spans="1:7" x14ac:dyDescent="0.25">
      <c r="A74" s="120" t="str">
        <f>RIGHT(CSTABLE[[#This Row],[NomeNCM]],8)</f>
        <v>18069000</v>
      </c>
      <c r="B74" s="3" t="s">
        <v>3671</v>
      </c>
      <c r="C74" s="3" t="str">
        <f>IFERROR(VLOOKUP(B74,ST!C:D,2,0),"NÃOST")</f>
        <v>NÃOST</v>
      </c>
      <c r="D74" s="3"/>
      <c r="E74" s="3" t="str">
        <f>IF(COUNTIF(ISENÇÕES!A:A,CST!B74)&gt;0,"ISENÇÃO","SEM ISENÇÃO")</f>
        <v>SEM ISENÇÃO</v>
      </c>
      <c r="F74" s="18" t="str">
        <f>IF(COUNTIF(REDUÇÕES!A:A,CST!B74)&gt;0,"REDUÇÃO","NÃO REDUÇÃO")</f>
        <v>NÃO REDUÇÃO</v>
      </c>
      <c r="G74" s="27">
        <f t="shared" si="1"/>
        <v>0</v>
      </c>
    </row>
    <row r="75" spans="1:7" x14ac:dyDescent="0.25">
      <c r="A75" s="120" t="str">
        <f>RIGHT(CSTABLE[[#This Row],[NomeNCM]],8)</f>
        <v>38089119</v>
      </c>
      <c r="B75" s="3" t="s">
        <v>2735</v>
      </c>
      <c r="C75" s="3" t="str">
        <f>IFERROR(VLOOKUP(B75,ST!C:D,2,0),"NÃOST")</f>
        <v>NÃOST</v>
      </c>
      <c r="D75" s="3"/>
      <c r="E75" s="3" t="str">
        <f>IF(COUNTIF(ISENÇÕES!A:A,CST!B75)&gt;0,"ISENÇÃO","SEM ISENÇÃO")</f>
        <v>SEM ISENÇÃO</v>
      </c>
      <c r="F75" s="18" t="str">
        <f>IF(COUNTIF(REDUÇÕES!A:A,CST!B75)&gt;0,"REDUÇÃO","NÃO REDUÇÃO")</f>
        <v>NÃO REDUÇÃO</v>
      </c>
      <c r="G75" s="27">
        <f t="shared" si="1"/>
        <v>0</v>
      </c>
    </row>
    <row r="76" spans="1:7" x14ac:dyDescent="0.25">
      <c r="A76" s="120" t="str">
        <f>RIGHT(CSTABLE[[#This Row],[NomeNCM]],8)</f>
        <v>33074900</v>
      </c>
      <c r="B76" s="3" t="s">
        <v>3672</v>
      </c>
      <c r="C76" s="3" t="str">
        <f>IFERROR(VLOOKUP(B76,ST!C:D,2,0),"NÃOST")</f>
        <v>NÃOST</v>
      </c>
      <c r="D76" s="3"/>
      <c r="E76" s="3" t="str">
        <f>IF(COUNTIF(ISENÇÕES!A:A,CST!B76)&gt;0,"ISENÇÃO","SEM ISENÇÃO")</f>
        <v>SEM ISENÇÃO</v>
      </c>
      <c r="F76" s="18" t="str">
        <f>IF(COUNTIF(REDUÇÕES!A:A,CST!B76)&gt;0,"REDUÇÃO","NÃO REDUÇÃO")</f>
        <v>NÃO REDUÇÃO</v>
      </c>
      <c r="G76" s="27">
        <f t="shared" si="1"/>
        <v>0</v>
      </c>
    </row>
    <row r="77" spans="1:7" x14ac:dyDescent="0.25">
      <c r="A77" s="120" t="str">
        <f>RIGHT(CSTABLE[[#This Row],[NomeNCM]],8)</f>
        <v>33043000</v>
      </c>
      <c r="B77" s="3" t="s">
        <v>3383</v>
      </c>
      <c r="C77" s="3" t="str">
        <f>IFERROR(VLOOKUP(B77,ST!C:D,2,0),"NÃOST")</f>
        <v>NÃOST</v>
      </c>
      <c r="D77" s="3"/>
      <c r="E77" s="3" t="str">
        <f>IF(COUNTIF(ISENÇÕES!A:A,CST!B77)&gt;0,"ISENÇÃO","SEM ISENÇÃO")</f>
        <v>SEM ISENÇÃO</v>
      </c>
      <c r="F77" s="18" t="str">
        <f>IF(COUNTIF(REDUÇÕES!A:A,CST!B77)&gt;0,"REDUÇÃO","NÃO REDUÇÃO")</f>
        <v>NÃO REDUÇÃO</v>
      </c>
      <c r="G77" s="27">
        <f t="shared" si="1"/>
        <v>0</v>
      </c>
    </row>
    <row r="78" spans="1:7" x14ac:dyDescent="0.25">
      <c r="A78" s="120" t="str">
        <f>RIGHT(CSTABLE[[#This Row],[NomeNCM]],8)</f>
        <v>63079090</v>
      </c>
      <c r="B78" s="3" t="s">
        <v>229</v>
      </c>
      <c r="C78" s="3" t="str">
        <f>IFERROR(VLOOKUP(B78,ST!C:D,2,0),"NÃOST")</f>
        <v>NÃOST</v>
      </c>
      <c r="D78" s="3"/>
      <c r="E78" s="3" t="str">
        <f>IF(COUNTIF(ISENÇÕES!A:A,CST!B78)&gt;0,"ISENÇÃO","SEM ISENÇÃO")</f>
        <v>SEM ISENÇÃO</v>
      </c>
      <c r="F78" s="18" t="str">
        <f>IF(COUNTIF(REDUÇÕES!A:A,CST!B78)&gt;0,"REDUÇÃO","NÃO REDUÇÃO")</f>
        <v>NÃO REDUÇÃO</v>
      </c>
      <c r="G78" s="27">
        <f t="shared" si="1"/>
        <v>0</v>
      </c>
    </row>
    <row r="79" spans="1:7" x14ac:dyDescent="0.25">
      <c r="A79" s="120" t="str">
        <f>RIGHT(CSTABLE[[#This Row],[NomeNCM]],8)</f>
        <v>19021900</v>
      </c>
      <c r="B79" s="3" t="s">
        <v>199</v>
      </c>
      <c r="C79" s="3" t="str">
        <f>IFERROR(VLOOKUP(B79,ST!C:D,2,0),"NÃOST")</f>
        <v>NÃOST</v>
      </c>
      <c r="D79" s="3"/>
      <c r="E79" s="3" t="str">
        <f>IF(COUNTIF(ISENÇÕES!A:A,CST!B79)&gt;0,"ISENÇÃO","SEM ISENÇÃO")</f>
        <v>SEM ISENÇÃO</v>
      </c>
      <c r="F79" s="18" t="str">
        <f>IF(COUNTIF(REDUÇÕES!A:A,CST!B79)&gt;0,"REDUÇÃO","NÃO REDUÇÃO")</f>
        <v>REDUÇÃO</v>
      </c>
      <c r="G79" s="27">
        <f t="shared" si="1"/>
        <v>20</v>
      </c>
    </row>
    <row r="80" spans="1:7" x14ac:dyDescent="0.25">
      <c r="A80" s="120" t="str">
        <f>RIGHT(CSTABLE[[#This Row],[NomeNCM]],8)</f>
        <v>16024900</v>
      </c>
      <c r="B80" s="3" t="s">
        <v>2727</v>
      </c>
      <c r="C80" s="3" t="str">
        <f>IFERROR(VLOOKUP(B80,ST!C:D,2,0),"NÃOST")</f>
        <v>NÃOST</v>
      </c>
      <c r="D80" s="3"/>
      <c r="E80" s="3" t="str">
        <f>IF(COUNTIF(ISENÇÕES!A:A,CST!B80)&gt;0,"ISENÇÃO","SEM ISENÇÃO")</f>
        <v>SEM ISENÇÃO</v>
      </c>
      <c r="F80" s="18" t="str">
        <f>IF(COUNTIF(REDUÇÕES!A:A,CST!B80)&gt;0,"REDUÇÃO","NÃO REDUÇÃO")</f>
        <v>NÃO REDUÇÃO</v>
      </c>
      <c r="G80" s="27">
        <f t="shared" si="1"/>
        <v>0</v>
      </c>
    </row>
    <row r="81" spans="1:7" x14ac:dyDescent="0.25">
      <c r="A81" s="120" t="str">
        <f>RIGHT(CSTABLE[[#This Row],[NomeNCM]],8)</f>
        <v>19021100</v>
      </c>
      <c r="B81" s="3" t="s">
        <v>201</v>
      </c>
      <c r="C81" s="3" t="str">
        <f>IFERROR(VLOOKUP(B81,ST!C:D,2,0),"NÃOST")</f>
        <v>NÃOST</v>
      </c>
      <c r="D81" s="3"/>
      <c r="E81" s="3" t="str">
        <f>IF(COUNTIF(ISENÇÕES!A:A,CST!B81)&gt;0,"ISENÇÃO","SEM ISENÇÃO")</f>
        <v>SEM ISENÇÃO</v>
      </c>
      <c r="F81" s="18" t="str">
        <f>IF(COUNTIF(REDUÇÕES!A:A,CST!B81)&gt;0,"REDUÇÃO","NÃO REDUÇÃO")</f>
        <v>REDUÇÃO</v>
      </c>
      <c r="G81" s="27">
        <f t="shared" ref="G81:G144" si="2">VLOOKUP(C81&amp;F81&amp;E81,$B$3:$F$10,5,0)</f>
        <v>20</v>
      </c>
    </row>
    <row r="82" spans="1:7" x14ac:dyDescent="0.25">
      <c r="A82" s="120" t="str">
        <f>RIGHT(CSTABLE[[#This Row],[NomeNCM]],8)</f>
        <v>21011200</v>
      </c>
      <c r="B82" s="3" t="s">
        <v>2731</v>
      </c>
      <c r="C82" s="3" t="str">
        <f>IFERROR(VLOOKUP(B82,ST!C:D,2,0),"NÃOST")</f>
        <v>NÃOST</v>
      </c>
      <c r="D82" s="3"/>
      <c r="E82" s="3" t="str">
        <f>IF(COUNTIF(ISENÇÕES!A:A,CST!B82)&gt;0,"ISENÇÃO","SEM ISENÇÃO")</f>
        <v>SEM ISENÇÃO</v>
      </c>
      <c r="F82" s="18" t="str">
        <f>IF(COUNTIF(REDUÇÕES!A:A,CST!B82)&gt;0,"REDUÇÃO","NÃO REDUÇÃO")</f>
        <v>NÃO REDUÇÃO</v>
      </c>
      <c r="G82" s="27">
        <f t="shared" si="2"/>
        <v>0</v>
      </c>
    </row>
    <row r="83" spans="1:7" x14ac:dyDescent="0.25">
      <c r="A83" s="120" t="str">
        <f>RIGHT(CSTABLE[[#This Row],[NomeNCM]],8)</f>
        <v>82111000</v>
      </c>
      <c r="B83" s="3" t="s">
        <v>3673</v>
      </c>
      <c r="C83" s="3" t="str">
        <f>IFERROR(VLOOKUP(B83,ST!C:D,2,0),"NÃOST")</f>
        <v>NÃOST</v>
      </c>
      <c r="D83" s="3"/>
      <c r="E83" s="3" t="str">
        <f>IF(COUNTIF(ISENÇÕES!A:A,CST!B83)&gt;0,"ISENÇÃO","SEM ISENÇÃO")</f>
        <v>SEM ISENÇÃO</v>
      </c>
      <c r="F83" s="18" t="str">
        <f>IF(COUNTIF(REDUÇÕES!A:A,CST!B83)&gt;0,"REDUÇÃO","NÃO REDUÇÃO")</f>
        <v>NÃO REDUÇÃO</v>
      </c>
      <c r="G83" s="27">
        <f t="shared" si="2"/>
        <v>0</v>
      </c>
    </row>
    <row r="84" spans="1:7" x14ac:dyDescent="0.25">
      <c r="A84" s="120" t="str">
        <f>RIGHT(CSTABLE[[#This Row],[NomeNCM]],8)</f>
        <v>82159910</v>
      </c>
      <c r="B84" s="3" t="s">
        <v>3674</v>
      </c>
      <c r="C84" s="3" t="str">
        <f>IFERROR(VLOOKUP(B84,ST!C:D,2,0),"NÃOST")</f>
        <v>NÃOST</v>
      </c>
      <c r="D84" s="3"/>
      <c r="E84" s="3" t="str">
        <f>IF(COUNTIF(ISENÇÕES!A:A,CST!B84)&gt;0,"ISENÇÃO","SEM ISENÇÃO")</f>
        <v>SEM ISENÇÃO</v>
      </c>
      <c r="F84" s="18" t="str">
        <f>IF(COUNTIF(REDUÇÕES!A:A,CST!B84)&gt;0,"REDUÇÃO","NÃO REDUÇÃO")</f>
        <v>NÃO REDUÇÃO</v>
      </c>
      <c r="G84" s="27">
        <f t="shared" si="2"/>
        <v>0</v>
      </c>
    </row>
    <row r="85" spans="1:7" x14ac:dyDescent="0.25">
      <c r="A85" s="120" t="str">
        <f>RIGHT(CSTABLE[[#This Row],[NomeNCM]],8)</f>
        <v>82119210</v>
      </c>
      <c r="B85" s="3" t="s">
        <v>3675</v>
      </c>
      <c r="C85" s="3" t="str">
        <f>IFERROR(VLOOKUP(B85,ST!C:D,2,0),"NÃOST")</f>
        <v>NÃOST</v>
      </c>
      <c r="D85" s="3"/>
      <c r="E85" s="3" t="str">
        <f>IF(COUNTIF(ISENÇÕES!A:A,CST!B85)&gt;0,"ISENÇÃO","SEM ISENÇÃO")</f>
        <v>SEM ISENÇÃO</v>
      </c>
      <c r="F85" s="18" t="str">
        <f>IF(COUNTIF(REDUÇÕES!A:A,CST!B85)&gt;0,"REDUÇÃO","NÃO REDUÇÃO")</f>
        <v>NÃO REDUÇÃO</v>
      </c>
      <c r="G85" s="27">
        <f t="shared" si="2"/>
        <v>0</v>
      </c>
    </row>
    <row r="86" spans="1:7" x14ac:dyDescent="0.25">
      <c r="A86" s="120" t="str">
        <f>RIGHT(CSTABLE[[#This Row],[NomeNCM]],8)</f>
        <v>82055100</v>
      </c>
      <c r="B86" s="3" t="s">
        <v>3676</v>
      </c>
      <c r="C86" s="3" t="str">
        <f>IFERROR(VLOOKUP(B86,ST!C:D,2,0),"NÃOST")</f>
        <v>NÃOST</v>
      </c>
      <c r="D86" s="3"/>
      <c r="E86" s="3" t="str">
        <f>IF(COUNTIF(ISENÇÕES!A:A,CST!B86)&gt;0,"ISENÇÃO","SEM ISENÇÃO")</f>
        <v>SEM ISENÇÃO</v>
      </c>
      <c r="F86" s="18" t="str">
        <f>IF(COUNTIF(REDUÇÕES!A:A,CST!B86)&gt;0,"REDUÇÃO","NÃO REDUÇÃO")</f>
        <v>NÃO REDUÇÃO</v>
      </c>
      <c r="G86" s="27">
        <f t="shared" si="2"/>
        <v>0</v>
      </c>
    </row>
    <row r="87" spans="1:7" x14ac:dyDescent="0.25">
      <c r="A87" s="120" t="str">
        <f>RIGHT(CSTABLE[[#This Row],[NomeNCM]],8)</f>
        <v>19059090</v>
      </c>
      <c r="B87" s="3" t="s">
        <v>172</v>
      </c>
      <c r="C87" s="3" t="str">
        <f>IFERROR(VLOOKUP(B87,ST!C:D,2,0),"NÃOST")</f>
        <v>NÃOST</v>
      </c>
      <c r="D87" s="3"/>
      <c r="E87" s="3" t="str">
        <f>IF(COUNTIF(ISENÇÕES!A:A,CST!B87)&gt;0,"ISENÇÃO","SEM ISENÇÃO")</f>
        <v>SEM ISENÇÃO</v>
      </c>
      <c r="F87" s="18" t="str">
        <f>IF(COUNTIF(REDUÇÕES!A:A,CST!B87)&gt;0,"REDUÇÃO","NÃO REDUÇÃO")</f>
        <v>REDUÇÃO</v>
      </c>
      <c r="G87" s="27">
        <f t="shared" si="2"/>
        <v>20</v>
      </c>
    </row>
    <row r="88" spans="1:7" x14ac:dyDescent="0.25">
      <c r="A88" s="120" t="str">
        <f>RIGHT(CSTABLE[[#This Row],[NomeNCM]],8)</f>
        <v>15121911</v>
      </c>
      <c r="B88" s="3" t="s">
        <v>260</v>
      </c>
      <c r="C88" s="3" t="str">
        <f>IFERROR(VLOOKUP(B88,ST!C:D,2,0),"NÃOST")</f>
        <v>NÃOST</v>
      </c>
      <c r="D88" s="3"/>
      <c r="E88" s="3" t="str">
        <f>IF(COUNTIF(ISENÇÕES!A:A,CST!B88)&gt;0,"ISENÇÃO","SEM ISENÇÃO")</f>
        <v>SEM ISENÇÃO</v>
      </c>
      <c r="F88" s="18" t="str">
        <f>IF(COUNTIF(REDUÇÕES!A:A,CST!B88)&gt;0,"REDUÇÃO","NÃO REDUÇÃO")</f>
        <v>REDUÇÃO</v>
      </c>
      <c r="G88" s="27">
        <f t="shared" si="2"/>
        <v>20</v>
      </c>
    </row>
    <row r="89" spans="1:7" x14ac:dyDescent="0.25">
      <c r="A89" s="120" t="str">
        <f>RIGHT(CSTABLE[[#This Row],[NomeNCM]],8)</f>
        <v>16023290</v>
      </c>
      <c r="B89" s="3" t="s">
        <v>3677</v>
      </c>
      <c r="C89" s="3" t="str">
        <f>IFERROR(VLOOKUP(B89,ST!C:D,2,0),"NÃOST")</f>
        <v>NÃOST</v>
      </c>
      <c r="D89" s="3"/>
      <c r="E89" s="3" t="str">
        <f>IF(COUNTIF(ISENÇÕES!A:A,CST!B89)&gt;0,"ISENÇÃO","SEM ISENÇÃO")</f>
        <v>SEM ISENÇÃO</v>
      </c>
      <c r="F89" s="18" t="str">
        <f>IF(COUNTIF(REDUÇÕES!A:A,CST!B89)&gt;0,"REDUÇÃO","NÃO REDUÇÃO")</f>
        <v>NÃO REDUÇÃO</v>
      </c>
      <c r="G89" s="27">
        <f t="shared" si="2"/>
        <v>0</v>
      </c>
    </row>
    <row r="90" spans="1:7" x14ac:dyDescent="0.25">
      <c r="A90" s="120" t="str">
        <f>RIGHT(CSTABLE[[#This Row],[NomeNCM]],8)</f>
        <v>17019900</v>
      </c>
      <c r="B90" s="3" t="s">
        <v>207</v>
      </c>
      <c r="C90" s="3" t="str">
        <f>IFERROR(VLOOKUP(B90,ST!C:D,2,0),"NÃOST")</f>
        <v>NÃOST</v>
      </c>
      <c r="D90" s="3"/>
      <c r="E90" s="3" t="str">
        <f>IF(COUNTIF(ISENÇÕES!A:A,CST!B90)&gt;0,"ISENÇÃO","SEM ISENÇÃO")</f>
        <v>SEM ISENÇÃO</v>
      </c>
      <c r="F90" s="18" t="str">
        <f>IF(COUNTIF(REDUÇÕES!A:A,CST!B90)&gt;0,"REDUÇÃO","NÃO REDUÇÃO")</f>
        <v>REDUÇÃO</v>
      </c>
      <c r="G90" s="27">
        <f t="shared" si="2"/>
        <v>20</v>
      </c>
    </row>
    <row r="91" spans="1:7" x14ac:dyDescent="0.25">
      <c r="A91" s="120" t="str">
        <f>RIGHT(CSTABLE[[#This Row],[NomeNCM]],8)</f>
        <v>22089000</v>
      </c>
      <c r="B91" s="3" t="s">
        <v>3678</v>
      </c>
      <c r="C91" s="3" t="str">
        <f>IFERROR(VLOOKUP(B91,ST!C:D,2,0),"NÃOST")</f>
        <v>NÃOST</v>
      </c>
      <c r="D91" s="3"/>
      <c r="E91" s="3" t="str">
        <f>IF(COUNTIF(ISENÇÕES!A:A,CST!B91)&gt;0,"ISENÇÃO","SEM ISENÇÃO")</f>
        <v>SEM ISENÇÃO</v>
      </c>
      <c r="F91" s="18" t="str">
        <f>IF(COUNTIF(REDUÇÕES!A:A,CST!B91)&gt;0,"REDUÇÃO","NÃO REDUÇÃO")</f>
        <v>NÃO REDUÇÃO</v>
      </c>
      <c r="G91" s="27">
        <f t="shared" si="2"/>
        <v>0</v>
      </c>
    </row>
    <row r="92" spans="1:7" x14ac:dyDescent="0.25">
      <c r="A92" s="120" t="str">
        <f>RIGHT(CSTABLE[[#This Row],[NomeNCM]],8)</f>
        <v>20098910</v>
      </c>
      <c r="B92" s="3" t="s">
        <v>3679</v>
      </c>
      <c r="C92" s="3" t="str">
        <f>IFERROR(VLOOKUP(B92,ST!C:D,2,0),"NÃOST")</f>
        <v>NÃOST</v>
      </c>
      <c r="D92" s="3"/>
      <c r="E92" s="3" t="str">
        <f>IF(COUNTIF(ISENÇÕES!A:A,CST!B92)&gt;0,"ISENÇÃO","SEM ISENÇÃO")</f>
        <v>SEM ISENÇÃO</v>
      </c>
      <c r="F92" s="18" t="str">
        <f>IF(COUNTIF(REDUÇÕES!A:A,CST!B92)&gt;0,"REDUÇÃO","NÃO REDUÇÃO")</f>
        <v>NÃO REDUÇÃO</v>
      </c>
      <c r="G92" s="27">
        <f t="shared" si="2"/>
        <v>0</v>
      </c>
    </row>
    <row r="93" spans="1:7" x14ac:dyDescent="0.25">
      <c r="A93" s="120" t="str">
        <f>RIGHT(CSTABLE[[#This Row],[NomeNCM]],8)</f>
        <v>33051000</v>
      </c>
      <c r="B93" s="3" t="s">
        <v>198</v>
      </c>
      <c r="C93" s="3" t="str">
        <f>IFERROR(VLOOKUP(B93,ST!C:D,2,0),"NÃOST")</f>
        <v>NÃOST</v>
      </c>
      <c r="D93" s="3"/>
      <c r="E93" s="3" t="str">
        <f>IF(COUNTIF(ISENÇÕES!A:A,CST!B93)&gt;0,"ISENÇÃO","SEM ISENÇÃO")</f>
        <v>SEM ISENÇÃO</v>
      </c>
      <c r="F93" s="18" t="str">
        <f>IF(COUNTIF(REDUÇÕES!A:A,CST!B93)&gt;0,"REDUÇÃO","NÃO REDUÇÃO")</f>
        <v>NÃO REDUÇÃO</v>
      </c>
      <c r="G93" s="27">
        <f t="shared" si="2"/>
        <v>0</v>
      </c>
    </row>
    <row r="94" spans="1:7" x14ac:dyDescent="0.25">
      <c r="A94" s="120" t="str">
        <f>RIGHT(CSTABLE[[#This Row],[NomeNCM]],8)</f>
        <v>04012010</v>
      </c>
      <c r="B94" s="3" t="s">
        <v>227</v>
      </c>
      <c r="C94" s="3" t="str">
        <f>IFERROR(VLOOKUP(B94,ST!C:D,2,0),"NÃOST")</f>
        <v>NÃOST</v>
      </c>
      <c r="D94" s="3"/>
      <c r="E94" s="3" t="str">
        <f>IF(COUNTIF(ISENÇÕES!A:A,CST!B94)&gt;0,"ISENÇÃO","SEM ISENÇÃO")</f>
        <v>SEM ISENÇÃO</v>
      </c>
      <c r="F94" s="18" t="str">
        <f>IF(COUNTIF(REDUÇÕES!A:A,CST!B94)&gt;0,"REDUÇÃO","NÃO REDUÇÃO")</f>
        <v>NÃO REDUÇÃO</v>
      </c>
      <c r="G94" s="27">
        <f t="shared" si="2"/>
        <v>0</v>
      </c>
    </row>
    <row r="95" spans="1:7" x14ac:dyDescent="0.25">
      <c r="A95" s="120" t="str">
        <f>RIGHT(CSTABLE[[#This Row],[NomeNCM]],8)</f>
        <v>02102000</v>
      </c>
      <c r="B95" s="3" t="s">
        <v>293</v>
      </c>
      <c r="C95" s="3" t="str">
        <f>IFERROR(VLOOKUP(B95,ST!C:D,2,0),"NÃOST")</f>
        <v>NÃOST</v>
      </c>
      <c r="D95" s="3"/>
      <c r="E95" s="3" t="str">
        <f>IF(COUNTIF(ISENÇÕES!A:A,CST!B95)&gt;0,"ISENÇÃO","SEM ISENÇÃO")</f>
        <v>SEM ISENÇÃO</v>
      </c>
      <c r="F95" s="18" t="str">
        <f>IF(COUNTIF(REDUÇÕES!A:A,CST!B95)&gt;0,"REDUÇÃO","NÃO REDUÇÃO")</f>
        <v>NÃO REDUÇÃO</v>
      </c>
      <c r="G95" s="27">
        <f t="shared" si="2"/>
        <v>0</v>
      </c>
    </row>
    <row r="96" spans="1:7" x14ac:dyDescent="0.25">
      <c r="A96" s="120" t="str">
        <f>RIGHT(CSTABLE[[#This Row],[NomeNCM]],8)</f>
        <v>02071200</v>
      </c>
      <c r="B96" s="3" t="s">
        <v>252</v>
      </c>
      <c r="C96" s="3" t="str">
        <f>IFERROR(VLOOKUP(B96,ST!C:D,2,0),"NÃOST")</f>
        <v>NÃOST</v>
      </c>
      <c r="D96" s="3"/>
      <c r="E96" s="3" t="str">
        <f>IF(COUNTIF(ISENÇÕES!A:A,CST!B96)&gt;0,"ISENÇÃO","SEM ISENÇÃO")</f>
        <v>SEM ISENÇÃO</v>
      </c>
      <c r="F96" s="18" t="str">
        <f>IF(COUNTIF(REDUÇÕES!A:A,CST!B96)&gt;0,"REDUÇÃO","NÃO REDUÇÃO")</f>
        <v>NÃO REDUÇÃO</v>
      </c>
      <c r="G96" s="27">
        <f t="shared" si="2"/>
        <v>0</v>
      </c>
    </row>
    <row r="97" spans="1:7" x14ac:dyDescent="0.25">
      <c r="A97" s="120" t="str">
        <f>RIGHT(CSTABLE[[#This Row],[NomeNCM]],8)</f>
        <v>56012190</v>
      </c>
      <c r="B97" s="3" t="s">
        <v>3680</v>
      </c>
      <c r="C97" s="3" t="str">
        <f>IFERROR(VLOOKUP(B97,ST!C:D,2,0),"NÃOST")</f>
        <v>NÃOST</v>
      </c>
      <c r="D97" s="3"/>
      <c r="E97" s="3" t="str">
        <f>IF(COUNTIF(ISENÇÕES!A:A,CST!B97)&gt;0,"ISENÇÃO","SEM ISENÇÃO")</f>
        <v>SEM ISENÇÃO</v>
      </c>
      <c r="F97" s="18" t="str">
        <f>IF(COUNTIF(REDUÇÕES!A:A,CST!B97)&gt;0,"REDUÇÃO","NÃO REDUÇÃO")</f>
        <v>NÃO REDUÇÃO</v>
      </c>
      <c r="G97" s="27">
        <f t="shared" si="2"/>
        <v>0</v>
      </c>
    </row>
    <row r="98" spans="1:7" x14ac:dyDescent="0.25">
      <c r="A98" s="120" t="str">
        <f>RIGHT(CSTABLE[[#This Row],[NomeNCM]],8)</f>
        <v>04069030</v>
      </c>
      <c r="B98" s="3" t="s">
        <v>3311</v>
      </c>
      <c r="C98" s="3" t="str">
        <f>IFERROR(VLOOKUP(B98,ST!C:D,2,0),"NÃOST")</f>
        <v>NÃOST</v>
      </c>
      <c r="D98" s="3"/>
      <c r="E98" s="3" t="str">
        <f>IF(COUNTIF(ISENÇÕES!A:A,CST!B98)&gt;0,"ISENÇÃO","SEM ISENÇÃO")</f>
        <v>SEM ISENÇÃO</v>
      </c>
      <c r="F98" s="18" t="str">
        <f>IF(COUNTIF(REDUÇÕES!A:A,CST!B98)&gt;0,"REDUÇÃO","NÃO REDUÇÃO")</f>
        <v>REDUÇÃO</v>
      </c>
      <c r="G98" s="27">
        <f t="shared" si="2"/>
        <v>20</v>
      </c>
    </row>
    <row r="99" spans="1:7" x14ac:dyDescent="0.25">
      <c r="A99" s="120" t="str">
        <f>RIGHT(CSTABLE[[#This Row],[NomeNCM]],8)</f>
        <v>21039091</v>
      </c>
      <c r="B99" s="3" t="s">
        <v>245</v>
      </c>
      <c r="C99" s="3" t="str">
        <f>IFERROR(VLOOKUP(B99,ST!C:D,2,0),"NÃOST")</f>
        <v>NÃOST</v>
      </c>
      <c r="D99" s="3"/>
      <c r="E99" s="3" t="str">
        <f>IF(COUNTIF(ISENÇÕES!A:A,CST!B99)&gt;0,"ISENÇÃO","SEM ISENÇÃO")</f>
        <v>SEM ISENÇÃO</v>
      </c>
      <c r="F99" s="18" t="str">
        <f>IF(COUNTIF(REDUÇÕES!A:A,CST!B99)&gt;0,"REDUÇÃO","NÃO REDUÇÃO")</f>
        <v>NÃO REDUÇÃO</v>
      </c>
      <c r="G99" s="27">
        <f t="shared" si="2"/>
        <v>0</v>
      </c>
    </row>
    <row r="100" spans="1:7" x14ac:dyDescent="0.25">
      <c r="A100" s="120" t="str">
        <f>RIGHT(CSTABLE[[#This Row],[NomeNCM]],8)</f>
        <v>19019020</v>
      </c>
      <c r="B100" s="3" t="s">
        <v>3681</v>
      </c>
      <c r="C100" s="3" t="str">
        <f>IFERROR(VLOOKUP(B100,ST!C:D,2,0),"NÃOST")</f>
        <v>NÃOST</v>
      </c>
      <c r="D100" s="3"/>
      <c r="E100" s="3" t="str">
        <f>IF(COUNTIF(ISENÇÕES!A:A,CST!B100)&gt;0,"ISENÇÃO","SEM ISENÇÃO")</f>
        <v>SEM ISENÇÃO</v>
      </c>
      <c r="F100" s="18" t="str">
        <f>IF(COUNTIF(REDUÇÕES!A:A,CST!B100)&gt;0,"REDUÇÃO","NÃO REDUÇÃO")</f>
        <v>NÃO REDUÇÃO</v>
      </c>
      <c r="G100" s="27">
        <f t="shared" si="2"/>
        <v>0</v>
      </c>
    </row>
    <row r="101" spans="1:7" x14ac:dyDescent="0.25">
      <c r="A101" s="120" t="str">
        <f>RIGHT(CSTABLE[[#This Row],[NomeNCM]],8)</f>
        <v>24022000</v>
      </c>
      <c r="B101" s="3" t="s">
        <v>124</v>
      </c>
      <c r="C101" s="3" t="str">
        <f>IFERROR(VLOOKUP(B101,ST!C:D,2,0),"NÃOST")</f>
        <v>ST</v>
      </c>
      <c r="D101" s="3"/>
      <c r="E101" s="3" t="str">
        <f>IF(COUNTIF(ISENÇÕES!A:A,CST!B101)&gt;0,"ISENÇÃO","SEM ISENÇÃO")</f>
        <v>SEM ISENÇÃO</v>
      </c>
      <c r="F101" s="18" t="str">
        <f>IF(COUNTIF(REDUÇÕES!A:A,CST!B101)&gt;0,"REDUÇÃO","NÃO REDUÇÃO")</f>
        <v>NÃO REDUÇÃO</v>
      </c>
      <c r="G101" s="27">
        <f t="shared" si="2"/>
        <v>60</v>
      </c>
    </row>
    <row r="102" spans="1:7" x14ac:dyDescent="0.25">
      <c r="A102" s="120" t="str">
        <f>RIGHT(CSTABLE[[#This Row],[NomeNCM]],8)</f>
        <v>96032100</v>
      </c>
      <c r="B102" s="3" t="s">
        <v>202</v>
      </c>
      <c r="C102" s="3" t="str">
        <f>IFERROR(VLOOKUP(B102,ST!C:D,2,0),"NÃOST")</f>
        <v>NÃOST</v>
      </c>
      <c r="D102" s="3"/>
      <c r="E102" s="3" t="str">
        <f>IF(COUNTIF(ISENÇÕES!A:A,CST!B102)&gt;0,"ISENÇÃO","SEM ISENÇÃO")</f>
        <v>SEM ISENÇÃO</v>
      </c>
      <c r="F102" s="18" t="str">
        <f>IF(COUNTIF(REDUÇÕES!A:A,CST!B102)&gt;0,"REDUÇÃO","NÃO REDUÇÃO")</f>
        <v>REDUÇÃO</v>
      </c>
      <c r="G102" s="27">
        <f t="shared" si="2"/>
        <v>20</v>
      </c>
    </row>
    <row r="103" spans="1:7" x14ac:dyDescent="0.25">
      <c r="A103" s="120" t="str">
        <f>RIGHT(CSTABLE[[#This Row],[NomeNCM]],8)</f>
        <v>19053100</v>
      </c>
      <c r="B103" s="3" t="s">
        <v>3682</v>
      </c>
      <c r="C103" s="3" t="str">
        <f>IFERROR(VLOOKUP(B103,ST!C:D,2,0),"NÃOST")</f>
        <v>NÃOST</v>
      </c>
      <c r="D103" s="3"/>
      <c r="E103" s="3" t="str">
        <f>IF(COUNTIF(ISENÇÕES!A:A,CST!B103)&gt;0,"ISENÇÃO","SEM ISENÇÃO")</f>
        <v>SEM ISENÇÃO</v>
      </c>
      <c r="F103" s="18" t="str">
        <f>IF(COUNTIF(REDUÇÕES!A:A,CST!B103)&gt;0,"REDUÇÃO","NÃO REDUÇÃO")</f>
        <v>NÃO REDUÇÃO</v>
      </c>
      <c r="G103" s="27">
        <f t="shared" si="2"/>
        <v>0</v>
      </c>
    </row>
    <row r="104" spans="1:7" x14ac:dyDescent="0.25">
      <c r="A104" s="120" t="str">
        <f>RIGHT(CSTABLE[[#This Row],[NomeNCM]],8)</f>
        <v>34011900</v>
      </c>
      <c r="B104" s="3" t="s">
        <v>211</v>
      </c>
      <c r="C104" s="3" t="str">
        <f>IFERROR(VLOOKUP(B104,ST!C:D,2,0),"NÃOST")</f>
        <v>NÃOST</v>
      </c>
      <c r="D104" s="3"/>
      <c r="E104" s="3" t="str">
        <f>IF(COUNTIF(ISENÇÕES!A:A,CST!B104)&gt;0,"ISENÇÃO","SEM ISENÇÃO")</f>
        <v>SEM ISENÇÃO</v>
      </c>
      <c r="F104" s="18" t="str">
        <f>IF(COUNTIF(REDUÇÕES!A:A,CST!B104)&gt;0,"REDUÇÃO","NÃO REDUÇÃO")</f>
        <v>REDUÇÃO</v>
      </c>
      <c r="G104" s="27">
        <f t="shared" si="2"/>
        <v>20</v>
      </c>
    </row>
    <row r="105" spans="1:7" x14ac:dyDescent="0.25">
      <c r="A105" s="120" t="str">
        <f>RIGHT(CSTABLE[[#This Row],[NomeNCM]],8)</f>
        <v>33053000</v>
      </c>
      <c r="B105" s="3" t="s">
        <v>3683</v>
      </c>
      <c r="C105" s="3" t="str">
        <f>IFERROR(VLOOKUP(B105,ST!C:D,2,0),"NÃOST")</f>
        <v>NÃOST</v>
      </c>
      <c r="D105" s="3"/>
      <c r="E105" s="3" t="str">
        <f>IF(COUNTIF(ISENÇÕES!A:A,CST!B105)&gt;0,"ISENÇÃO","SEM ISENÇÃO")</f>
        <v>SEM ISENÇÃO</v>
      </c>
      <c r="F105" s="18" t="str">
        <f>IF(COUNTIF(REDUÇÕES!A:A,CST!B105)&gt;0,"REDUÇÃO","NÃO REDUÇÃO")</f>
        <v>NÃO REDUÇÃO</v>
      </c>
      <c r="G105" s="27">
        <f t="shared" si="2"/>
        <v>0</v>
      </c>
    </row>
    <row r="106" spans="1:7" x14ac:dyDescent="0.25">
      <c r="A106" s="120" t="str">
        <f>RIGHT(CSTABLE[[#This Row],[NomeNCM]],8)</f>
        <v>07141000</v>
      </c>
      <c r="B106" s="3" t="s">
        <v>2714</v>
      </c>
      <c r="C106" s="3" t="str">
        <f>IFERROR(VLOOKUP(B106,ST!C:D,2,0),"NÃOST")</f>
        <v>NÃOST</v>
      </c>
      <c r="D106" s="3"/>
      <c r="E106" s="3" t="str">
        <f>IF(COUNTIF(ISENÇÕES!A:A,CST!B106)&gt;0,"ISENÇÃO","SEM ISENÇÃO")</f>
        <v>ISENÇÃO</v>
      </c>
      <c r="F106" s="18" t="str">
        <f>IF(COUNTIF(REDUÇÕES!A:A,CST!B106)&gt;0,"REDUÇÃO","NÃO REDUÇÃO")</f>
        <v>NÃO REDUÇÃO</v>
      </c>
      <c r="G106" s="27">
        <f t="shared" si="2"/>
        <v>40</v>
      </c>
    </row>
    <row r="107" spans="1:7" x14ac:dyDescent="0.25">
      <c r="A107" s="120" t="str">
        <f>RIGHT(CSTABLE[[#This Row],[NomeNCM]],8)</f>
        <v>48182000</v>
      </c>
      <c r="B107" s="3" t="s">
        <v>3684</v>
      </c>
      <c r="C107" s="3" t="str">
        <f>IFERROR(VLOOKUP(B107,ST!C:D,2,0),"NÃOST")</f>
        <v>NÃOST</v>
      </c>
      <c r="D107" s="3"/>
      <c r="E107" s="3" t="str">
        <f>IF(COUNTIF(ISENÇÕES!A:A,CST!B107)&gt;0,"ISENÇÃO","SEM ISENÇÃO")</f>
        <v>SEM ISENÇÃO</v>
      </c>
      <c r="F107" s="18" t="str">
        <f>IF(COUNTIF(REDUÇÕES!A:A,CST!B107)&gt;0,"REDUÇÃO","NÃO REDUÇÃO")</f>
        <v>NÃO REDUÇÃO</v>
      </c>
      <c r="G107" s="27">
        <f t="shared" si="2"/>
        <v>0</v>
      </c>
    </row>
    <row r="108" spans="1:7" x14ac:dyDescent="0.25">
      <c r="A108" s="120" t="str">
        <f>RIGHT(CSTABLE[[#This Row],[NomeNCM]],8)</f>
        <v>25010020</v>
      </c>
      <c r="B108" s="3" t="s">
        <v>228</v>
      </c>
      <c r="C108" s="3" t="str">
        <f>IFERROR(VLOOKUP(B108,ST!C:D,2,0),"NÃOST")</f>
        <v>NÃOST</v>
      </c>
      <c r="D108" s="3"/>
      <c r="E108" s="3" t="str">
        <f>IF(COUNTIF(ISENÇÕES!A:A,CST!B108)&gt;0,"ISENÇÃO","SEM ISENÇÃO")</f>
        <v>SEM ISENÇÃO</v>
      </c>
      <c r="F108" s="18" t="str">
        <f>IF(COUNTIF(REDUÇÕES!A:A,CST!B108)&gt;0,"REDUÇÃO","NÃO REDUÇÃO")</f>
        <v>REDUÇÃO</v>
      </c>
      <c r="G108" s="27">
        <f t="shared" si="2"/>
        <v>20</v>
      </c>
    </row>
    <row r="109" spans="1:7" x14ac:dyDescent="0.25">
      <c r="A109" s="120" t="str">
        <f>RIGHT(CSTABLE[[#This Row],[NomeNCM]],8)</f>
        <v>08119000</v>
      </c>
      <c r="B109" s="3" t="s">
        <v>543</v>
      </c>
      <c r="C109" s="3" t="str">
        <f>IFERROR(VLOOKUP(B109,ST!C:D,2,0),"NÃOST")</f>
        <v>NÃOST</v>
      </c>
      <c r="D109" s="3"/>
      <c r="E109" s="3" t="str">
        <f>IF(COUNTIF(ISENÇÕES!A:A,CST!B109)&gt;0,"ISENÇÃO","SEM ISENÇÃO")</f>
        <v>SEM ISENÇÃO</v>
      </c>
      <c r="F109" s="18" t="str">
        <f>IF(COUNTIF(REDUÇÕES!A:A,CST!B109)&gt;0,"REDUÇÃO","NÃO REDUÇÃO")</f>
        <v>NÃO REDUÇÃO</v>
      </c>
      <c r="G109" s="27">
        <f t="shared" si="2"/>
        <v>0</v>
      </c>
    </row>
    <row r="110" spans="1:7" x14ac:dyDescent="0.25">
      <c r="A110" s="120" t="str">
        <f>RIGHT(CSTABLE[[#This Row],[NomeNCM]],8)</f>
        <v>33049100</v>
      </c>
      <c r="B110" s="3" t="s">
        <v>3384</v>
      </c>
      <c r="C110" s="3" t="str">
        <f>IFERROR(VLOOKUP(B110,ST!C:D,2,0),"NÃOST")</f>
        <v>NÃOST</v>
      </c>
      <c r="D110" s="3"/>
      <c r="E110" s="3" t="str">
        <f>IF(COUNTIF(ISENÇÕES!A:A,CST!B110)&gt;0,"ISENÇÃO","SEM ISENÇÃO")</f>
        <v>SEM ISENÇÃO</v>
      </c>
      <c r="F110" s="18" t="str">
        <f>IF(COUNTIF(REDUÇÕES!A:A,CST!B110)&gt;0,"REDUÇÃO","NÃO REDUÇÃO")</f>
        <v>NÃO REDUÇÃO</v>
      </c>
      <c r="G110" s="27">
        <f t="shared" si="2"/>
        <v>0</v>
      </c>
    </row>
    <row r="111" spans="1:7" x14ac:dyDescent="0.25">
      <c r="A111" s="120" t="str">
        <f>RIGHT(CSTABLE[[#This Row],[NomeNCM]],8)</f>
        <v>02101900</v>
      </c>
      <c r="B111" s="3" t="s">
        <v>2730</v>
      </c>
      <c r="C111" s="3" t="str">
        <f>IFERROR(VLOOKUP(B111,ST!C:D,2,0),"NÃOST")</f>
        <v>NÃOST</v>
      </c>
      <c r="D111" s="3"/>
      <c r="E111" s="3" t="str">
        <f>IF(COUNTIF(ISENÇÕES!A:A,CST!B111)&gt;0,"ISENÇÃO","SEM ISENÇÃO")</f>
        <v>SEM ISENÇÃO</v>
      </c>
      <c r="F111" s="18" t="str">
        <f>IF(COUNTIF(REDUÇÕES!A:A,CST!B111)&gt;0,"REDUÇÃO","NÃO REDUÇÃO")</f>
        <v>NÃO REDUÇÃO</v>
      </c>
      <c r="G111" s="27">
        <f t="shared" si="2"/>
        <v>0</v>
      </c>
    </row>
    <row r="112" spans="1:7" x14ac:dyDescent="0.25">
      <c r="A112" s="120" t="str">
        <f>RIGHT(CSTABLE[[#This Row],[NomeNCM]],8)</f>
        <v>38099190</v>
      </c>
      <c r="B112" s="3" t="s">
        <v>3685</v>
      </c>
      <c r="C112" s="3" t="str">
        <f>IFERROR(VLOOKUP(B112,ST!C:D,2,0),"NÃOST")</f>
        <v>NÃOST</v>
      </c>
      <c r="D112" s="3"/>
      <c r="E112" s="3" t="str">
        <f>IF(COUNTIF(ISENÇÕES!A:A,CST!B112)&gt;0,"ISENÇÃO","SEM ISENÇÃO")</f>
        <v>SEM ISENÇÃO</v>
      </c>
      <c r="F112" s="18" t="str">
        <f>IF(COUNTIF(REDUÇÕES!A:A,CST!B112)&gt;0,"REDUÇÃO","NÃO REDUÇÃO")</f>
        <v>NÃO REDUÇÃO</v>
      </c>
      <c r="G112" s="27">
        <f t="shared" si="2"/>
        <v>0</v>
      </c>
    </row>
    <row r="113" spans="1:7" x14ac:dyDescent="0.25">
      <c r="A113" s="120" t="str">
        <f>RIGHT(CSTABLE[[#This Row],[NomeNCM]],8)</f>
        <v>33061000</v>
      </c>
      <c r="B113" s="3" t="s">
        <v>213</v>
      </c>
      <c r="C113" s="3" t="str">
        <f>IFERROR(VLOOKUP(B113,ST!C:D,2,0),"NÃOST")</f>
        <v>NÃOST</v>
      </c>
      <c r="D113" s="3"/>
      <c r="E113" s="3" t="str">
        <f>IF(COUNTIF(ISENÇÕES!A:A,CST!B113)&gt;0,"ISENÇÃO","SEM ISENÇÃO")</f>
        <v>SEM ISENÇÃO</v>
      </c>
      <c r="F113" s="18" t="str">
        <f>IF(COUNTIF(REDUÇÕES!A:A,CST!B113)&gt;0,"REDUÇÃO","NÃO REDUÇÃO")</f>
        <v>REDUÇÃO</v>
      </c>
      <c r="G113" s="27">
        <f t="shared" si="2"/>
        <v>20</v>
      </c>
    </row>
    <row r="114" spans="1:7" x14ac:dyDescent="0.25">
      <c r="A114" s="120" t="str">
        <f>RIGHT(CSTABLE[[#This Row],[NomeNCM]],8)</f>
        <v>70133700</v>
      </c>
      <c r="B114" s="3" t="s">
        <v>3686</v>
      </c>
      <c r="C114" s="3" t="str">
        <f>IFERROR(VLOOKUP(B114,ST!C:D,2,0),"NÃOST")</f>
        <v>NÃOST</v>
      </c>
      <c r="D114" s="3"/>
      <c r="E114" s="3" t="str">
        <f>IF(COUNTIF(ISENÇÕES!A:A,CST!B114)&gt;0,"ISENÇÃO","SEM ISENÇÃO")</f>
        <v>SEM ISENÇÃO</v>
      </c>
      <c r="F114" s="18" t="str">
        <f>IF(COUNTIF(REDUÇÕES!A:A,CST!B114)&gt;0,"REDUÇÃO","NÃO REDUÇÃO")</f>
        <v>NÃO REDUÇÃO</v>
      </c>
      <c r="G114" s="27">
        <f t="shared" si="2"/>
        <v>0</v>
      </c>
    </row>
    <row r="115" spans="1:7" x14ac:dyDescent="0.25">
      <c r="A115" s="120" t="str">
        <f>RIGHT(CSTABLE[[#This Row],[NomeNCM]],8)</f>
        <v>09012100</v>
      </c>
      <c r="B115" s="3" t="s">
        <v>183</v>
      </c>
      <c r="C115" s="3" t="str">
        <f>IFERROR(VLOOKUP(B115,ST!C:D,2,0),"NÃOST")</f>
        <v>NÃOST</v>
      </c>
      <c r="D115" s="3"/>
      <c r="E115" s="3" t="str">
        <f>IF(COUNTIF(ISENÇÕES!A:A,CST!B115)&gt;0,"ISENÇÃO","SEM ISENÇÃO")</f>
        <v>SEM ISENÇÃO</v>
      </c>
      <c r="F115" s="18" t="str">
        <f>IF(COUNTIF(REDUÇÕES!A:A,CST!B115)&gt;0,"REDUÇÃO","NÃO REDUÇÃO")</f>
        <v>REDUÇÃO</v>
      </c>
      <c r="G115" s="27">
        <f t="shared" si="2"/>
        <v>20</v>
      </c>
    </row>
    <row r="116" spans="1:7" x14ac:dyDescent="0.25">
      <c r="A116" s="120" t="str">
        <f>RIGHT(CSTABLE[[#This Row],[NomeNCM]],8)</f>
        <v>21041011</v>
      </c>
      <c r="B116" s="3" t="s">
        <v>3687</v>
      </c>
      <c r="C116" s="3" t="str">
        <f>IFERROR(VLOOKUP(B116,ST!C:D,2,0),"NÃOST")</f>
        <v>NÃOST</v>
      </c>
      <c r="D116" s="3"/>
      <c r="E116" s="3" t="str">
        <f>IF(COUNTIF(ISENÇÕES!A:A,CST!B116)&gt;0,"ISENÇÃO","SEM ISENÇÃO")</f>
        <v>SEM ISENÇÃO</v>
      </c>
      <c r="F116" s="18" t="str">
        <f>IF(COUNTIF(REDUÇÕES!A:A,CST!B116)&gt;0,"REDUÇÃO","NÃO REDUÇÃO")</f>
        <v>NÃO REDUÇÃO</v>
      </c>
      <c r="G116" s="27">
        <f t="shared" si="2"/>
        <v>0</v>
      </c>
    </row>
    <row r="117" spans="1:7" x14ac:dyDescent="0.25">
      <c r="A117" s="120" t="str">
        <f>RIGHT(CSTABLE[[#This Row],[NomeNCM]],8)</f>
        <v>21033021</v>
      </c>
      <c r="B117" s="3" t="s">
        <v>3688</v>
      </c>
      <c r="C117" s="3" t="str">
        <f>IFERROR(VLOOKUP(B117,ST!C:D,2,0),"NÃOST")</f>
        <v>NÃOST</v>
      </c>
      <c r="D117" s="3"/>
      <c r="E117" s="3" t="str">
        <f>IF(COUNTIF(ISENÇÕES!A:A,CST!B117)&gt;0,"ISENÇÃO","SEM ISENÇÃO")</f>
        <v>SEM ISENÇÃO</v>
      </c>
      <c r="F117" s="18" t="str">
        <f>IF(COUNTIF(REDUÇÕES!A:A,CST!B117)&gt;0,"REDUÇÃO","NÃO REDUÇÃO")</f>
        <v>NÃO REDUÇÃO</v>
      </c>
      <c r="G117" s="27">
        <f t="shared" si="2"/>
        <v>0</v>
      </c>
    </row>
    <row r="118" spans="1:7" x14ac:dyDescent="0.25">
      <c r="A118" s="120" t="str">
        <f>RIGHT(CSTABLE[[#This Row],[NomeNCM]],8)</f>
        <v>23091000</v>
      </c>
      <c r="B118" s="3" t="s">
        <v>3689</v>
      </c>
      <c r="C118" s="3" t="str">
        <f>IFERROR(VLOOKUP(B118,ST!C:D,2,0),"NÃOST")</f>
        <v>NÃOST</v>
      </c>
      <c r="D118" s="3"/>
      <c r="E118" s="3" t="str">
        <f>IF(COUNTIF(ISENÇÕES!A:A,CST!B118)&gt;0,"ISENÇÃO","SEM ISENÇÃO")</f>
        <v>SEM ISENÇÃO</v>
      </c>
      <c r="F118" s="18" t="str">
        <f>IF(COUNTIF(REDUÇÕES!A:A,CST!B118)&gt;0,"REDUÇÃO","NÃO REDUÇÃO")</f>
        <v>NÃO REDUÇÃO</v>
      </c>
      <c r="G118" s="27">
        <f t="shared" si="2"/>
        <v>0</v>
      </c>
    </row>
    <row r="119" spans="1:7" x14ac:dyDescent="0.25">
      <c r="A119" s="120" t="str">
        <f>RIGHT(CSTABLE[[#This Row],[NomeNCM]],8)</f>
        <v>96032900</v>
      </c>
      <c r="B119" s="3" t="s">
        <v>3690</v>
      </c>
      <c r="C119" s="3" t="str">
        <f>IFERROR(VLOOKUP(B119,ST!C:D,2,0),"NÃOST")</f>
        <v>NÃOST</v>
      </c>
      <c r="D119" s="3"/>
      <c r="E119" s="3" t="str">
        <f>IF(COUNTIF(ISENÇÕES!A:A,CST!B119)&gt;0,"ISENÇÃO","SEM ISENÇÃO")</f>
        <v>SEM ISENÇÃO</v>
      </c>
      <c r="F119" s="18" t="str">
        <f>IF(COUNTIF(REDUÇÕES!A:A,CST!B119)&gt;0,"REDUÇÃO","NÃO REDUÇÃO")</f>
        <v>NÃO REDUÇÃO</v>
      </c>
      <c r="G119" s="27">
        <f t="shared" si="2"/>
        <v>0</v>
      </c>
    </row>
    <row r="120" spans="1:7" x14ac:dyDescent="0.25">
      <c r="A120" s="120" t="str">
        <f>RIGHT(CSTABLE[[#This Row],[NomeNCM]],8)</f>
        <v>21039021</v>
      </c>
      <c r="B120" s="3" t="s">
        <v>188</v>
      </c>
      <c r="C120" s="3" t="str">
        <f>IFERROR(VLOOKUP(B120,ST!C:D,2,0),"NÃOST")</f>
        <v>NÃOST</v>
      </c>
      <c r="D120" s="3"/>
      <c r="E120" s="3" t="str">
        <f>IF(COUNTIF(ISENÇÕES!A:A,CST!B120)&gt;0,"ISENÇÃO","SEM ISENÇÃO")</f>
        <v>SEM ISENÇÃO</v>
      </c>
      <c r="F120" s="18" t="str">
        <f>IF(COUNTIF(REDUÇÕES!A:A,CST!B120)&gt;0,"REDUÇÃO","NÃO REDUÇÃO")</f>
        <v>REDUÇÃO</v>
      </c>
      <c r="G120" s="27">
        <f t="shared" si="2"/>
        <v>20</v>
      </c>
    </row>
    <row r="121" spans="1:7" x14ac:dyDescent="0.25">
      <c r="A121" s="120" t="str">
        <f>RIGHT(CSTABLE[[#This Row],[NomeNCM]],8)</f>
        <v>02091011</v>
      </c>
      <c r="B121" s="3" t="s">
        <v>3103</v>
      </c>
      <c r="C121" s="3" t="str">
        <f>IFERROR(VLOOKUP(B121,ST!C:D,2,0),"NÃOST")</f>
        <v>NÃOST</v>
      </c>
      <c r="D121" s="3"/>
      <c r="E121" s="3" t="str">
        <f>IF(COUNTIF(ISENÇÕES!A:A,CST!B121)&gt;0,"ISENÇÃO","SEM ISENÇÃO")</f>
        <v>SEM ISENÇÃO</v>
      </c>
      <c r="F121" s="18" t="str">
        <f>IF(COUNTIF(REDUÇÕES!A:A,CST!B121)&gt;0,"REDUÇÃO","NÃO REDUÇÃO")</f>
        <v>NÃO REDUÇÃO</v>
      </c>
      <c r="G121" s="27">
        <f t="shared" si="2"/>
        <v>0</v>
      </c>
    </row>
    <row r="122" spans="1:7" x14ac:dyDescent="0.25">
      <c r="A122" s="120" t="str">
        <f>RIGHT(CSTABLE[[#This Row],[NomeNCM]],8)</f>
        <v>70134290</v>
      </c>
      <c r="B122" s="3" t="s">
        <v>3691</v>
      </c>
      <c r="C122" s="3" t="str">
        <f>IFERROR(VLOOKUP(B122,ST!C:D,2,0),"NÃOST")</f>
        <v>NÃOST</v>
      </c>
      <c r="D122" s="3"/>
      <c r="E122" s="3" t="str">
        <f>IF(COUNTIF(ISENÇÕES!A:A,CST!B122)&gt;0,"ISENÇÃO","SEM ISENÇÃO")</f>
        <v>SEM ISENÇÃO</v>
      </c>
      <c r="F122" s="18" t="str">
        <f>IF(COUNTIF(REDUÇÕES!A:A,CST!B122)&gt;0,"REDUÇÃO","NÃO REDUÇÃO")</f>
        <v>NÃO REDUÇÃO</v>
      </c>
      <c r="G122" s="27">
        <f t="shared" si="2"/>
        <v>0</v>
      </c>
    </row>
    <row r="123" spans="1:7" x14ac:dyDescent="0.25">
      <c r="A123" s="120" t="str">
        <f>RIGHT(CSTABLE[[#This Row],[NomeNCM]],8)</f>
        <v>22042100</v>
      </c>
      <c r="B123" s="3" t="s">
        <v>2442</v>
      </c>
      <c r="C123" s="3" t="str">
        <f>IFERROR(VLOOKUP(B123,ST!C:D,2,0),"NÃOST")</f>
        <v>NÃOST</v>
      </c>
      <c r="D123" s="3"/>
      <c r="E123" s="3" t="str">
        <f>IF(COUNTIF(ISENÇÕES!A:A,CST!B123)&gt;0,"ISENÇÃO","SEM ISENÇÃO")</f>
        <v>SEM ISENÇÃO</v>
      </c>
      <c r="F123" s="18" t="str">
        <f>IF(COUNTIF(REDUÇÕES!A:A,CST!B123)&gt;0,"REDUÇÃO","NÃO REDUÇÃO")</f>
        <v>NÃO REDUÇÃO</v>
      </c>
      <c r="G123" s="27">
        <f t="shared" si="2"/>
        <v>0</v>
      </c>
    </row>
    <row r="124" spans="1:7" x14ac:dyDescent="0.25">
      <c r="A124" s="120" t="str">
        <f>RIGHT(CSTABLE[[#This Row],[NomeNCM]],8)</f>
        <v>08061000</v>
      </c>
      <c r="B124" s="3" t="s">
        <v>2720</v>
      </c>
      <c r="C124" s="3" t="str">
        <f>IFERROR(VLOOKUP(B124,ST!C:D,2,0),"NÃOST")</f>
        <v>NÃOST</v>
      </c>
      <c r="D124" s="3"/>
      <c r="E124" s="3" t="str">
        <f>IF(COUNTIF(ISENÇÕES!A:A,CST!B124)&gt;0,"ISENÇÃO","SEM ISENÇÃO")</f>
        <v>ISENÇÃO</v>
      </c>
      <c r="F124" s="18" t="str">
        <f>IF(COUNTIF(REDUÇÕES!A:A,CST!B124)&gt;0,"REDUÇÃO","NÃO REDUÇÃO")</f>
        <v>NÃO REDUÇÃO</v>
      </c>
      <c r="G124" s="27">
        <f t="shared" si="2"/>
        <v>40</v>
      </c>
    </row>
    <row r="125" spans="1:7" x14ac:dyDescent="0.25">
      <c r="A125" s="120" t="str">
        <f>RIGHT(CSTABLE[[#This Row],[NomeNCM]],8)</f>
        <v>11041900</v>
      </c>
      <c r="B125" s="3" t="s">
        <v>2729</v>
      </c>
      <c r="C125" s="3" t="str">
        <f>IFERROR(VLOOKUP(B125,ST!C:D,2,0),"NÃOST")</f>
        <v>NÃOST</v>
      </c>
      <c r="D125" s="3"/>
      <c r="E125" s="3" t="str">
        <f>IF(COUNTIF(ISENÇÕES!A:A,CST!B125)&gt;0,"ISENÇÃO","SEM ISENÇÃO")</f>
        <v>SEM ISENÇÃO</v>
      </c>
      <c r="F125" s="18" t="str">
        <f>IF(COUNTIF(REDUÇÕES!A:A,CST!B125)&gt;0,"REDUÇÃO","NÃO REDUÇÃO")</f>
        <v>REDUÇÃO</v>
      </c>
      <c r="G125" s="27">
        <f t="shared" si="2"/>
        <v>20</v>
      </c>
    </row>
    <row r="126" spans="1:7" x14ac:dyDescent="0.25">
      <c r="A126" s="120" t="str">
        <f>RIGHT(CSTABLE[[#This Row],[NomeNCM]],8)</f>
        <v>85161000</v>
      </c>
      <c r="B126" s="3" t="s">
        <v>3692</v>
      </c>
      <c r="C126" s="3" t="str">
        <f>IFERROR(VLOOKUP(B126,ST!C:D,2,0),"NÃOST")</f>
        <v>NÃOST</v>
      </c>
      <c r="D126" s="3"/>
      <c r="E126" s="3" t="str">
        <f>IF(COUNTIF(ISENÇÕES!A:A,CST!B126)&gt;0,"ISENÇÃO","SEM ISENÇÃO")</f>
        <v>SEM ISENÇÃO</v>
      </c>
      <c r="F126" s="18" t="str">
        <f>IF(COUNTIF(REDUÇÕES!A:A,CST!B126)&gt;0,"REDUÇÃO","NÃO REDUÇÃO")</f>
        <v>NÃO REDUÇÃO</v>
      </c>
      <c r="G126" s="27">
        <f t="shared" si="2"/>
        <v>0</v>
      </c>
    </row>
    <row r="127" spans="1:7" x14ac:dyDescent="0.25">
      <c r="A127" s="120" t="str">
        <f>RIGHT(CSTABLE[[#This Row],[NomeNCM]],8)</f>
        <v>64022000</v>
      </c>
      <c r="B127" s="3" t="s">
        <v>3693</v>
      </c>
      <c r="C127" s="3" t="str">
        <f>IFERROR(VLOOKUP(B127,ST!C:D,2,0),"NÃOST")</f>
        <v>NÃOST</v>
      </c>
      <c r="D127" s="3"/>
      <c r="E127" s="3" t="str">
        <f>IF(COUNTIF(ISENÇÕES!A:A,CST!B127)&gt;0,"ISENÇÃO","SEM ISENÇÃO")</f>
        <v>SEM ISENÇÃO</v>
      </c>
      <c r="F127" s="18" t="str">
        <f>IF(COUNTIF(REDUÇÕES!A:A,CST!B127)&gt;0,"REDUÇÃO","NÃO REDUÇÃO")</f>
        <v>NÃO REDUÇÃO</v>
      </c>
      <c r="G127" s="27">
        <f t="shared" si="2"/>
        <v>0</v>
      </c>
    </row>
    <row r="128" spans="1:7" x14ac:dyDescent="0.25">
      <c r="A128" s="120" t="str">
        <f>RIGHT(CSTABLE[[#This Row],[NomeNCM]],8)</f>
        <v>21069090</v>
      </c>
      <c r="B128" s="3" t="s">
        <v>195</v>
      </c>
      <c r="C128" s="3" t="str">
        <f>IFERROR(VLOOKUP(B128,ST!C:D,2,0),"NÃOST")</f>
        <v>NÃOST</v>
      </c>
      <c r="D128" s="3"/>
      <c r="E128" s="3" t="str">
        <f>IF(COUNTIF(ISENÇÕES!A:A,CST!B128)&gt;0,"ISENÇÃO","SEM ISENÇÃO")</f>
        <v>SEM ISENÇÃO</v>
      </c>
      <c r="F128" s="18" t="str">
        <f>IF(COUNTIF(REDUÇÕES!A:A,CST!B128)&gt;0,"REDUÇÃO","NÃO REDUÇÃO")</f>
        <v>NÃO REDUÇÃO</v>
      </c>
      <c r="G128" s="27">
        <f t="shared" si="2"/>
        <v>0</v>
      </c>
    </row>
    <row r="129" spans="1:7" x14ac:dyDescent="0.25">
      <c r="A129" s="120" t="str">
        <f>RIGHT(CSTABLE[[#This Row],[NomeNCM]],8)</f>
        <v>02012090</v>
      </c>
      <c r="B129" s="3" t="s">
        <v>3075</v>
      </c>
      <c r="C129" s="3" t="str">
        <f>IFERROR(VLOOKUP(B129,ST!C:D,2,0),"NÃOST")</f>
        <v>NÃOST</v>
      </c>
      <c r="D129" s="3"/>
      <c r="E129" s="3" t="str">
        <f>IF(COUNTIF(ISENÇÕES!A:A,CST!B129)&gt;0,"ISENÇÃO","SEM ISENÇÃO")</f>
        <v>SEM ISENÇÃO</v>
      </c>
      <c r="F129" s="18" t="str">
        <f>IF(COUNTIF(REDUÇÕES!A:A,CST!B129)&gt;0,"REDUÇÃO","NÃO REDUÇÃO")</f>
        <v>NÃO REDUÇÃO</v>
      </c>
      <c r="G129" s="27">
        <f t="shared" si="2"/>
        <v>0</v>
      </c>
    </row>
    <row r="130" spans="1:7" x14ac:dyDescent="0.25">
      <c r="A130" s="120" t="str">
        <f>RIGHT(CSTABLE[[#This Row],[NomeNCM]],8)</f>
        <v>48183000</v>
      </c>
      <c r="B130" s="3" t="s">
        <v>3694</v>
      </c>
      <c r="C130" s="3" t="str">
        <f>IFERROR(VLOOKUP(B130,ST!C:D,2,0),"NÃOST")</f>
        <v>NÃOST</v>
      </c>
      <c r="D130" s="3"/>
      <c r="E130" s="3" t="str">
        <f>IF(COUNTIF(ISENÇÕES!A:A,CST!B130)&gt;0,"ISENÇÃO","SEM ISENÇÃO")</f>
        <v>SEM ISENÇÃO</v>
      </c>
      <c r="F130" s="18" t="str">
        <f>IF(COUNTIF(REDUÇÕES!A:A,CST!B130)&gt;0,"REDUÇÃO","NÃO REDUÇÃO")</f>
        <v>NÃO REDUÇÃO</v>
      </c>
      <c r="G130" s="27">
        <f t="shared" si="2"/>
        <v>0</v>
      </c>
    </row>
    <row r="131" spans="1:7" x14ac:dyDescent="0.25">
      <c r="A131" s="120" t="str">
        <f>RIGHT(CSTABLE[[#This Row],[NomeNCM]],8)</f>
        <v>02023000</v>
      </c>
      <c r="B131" s="3" t="s">
        <v>2605</v>
      </c>
      <c r="C131" s="3" t="str">
        <f>IFERROR(VLOOKUP(B131,ST!C:D,2,0),"NÃOST")</f>
        <v>NÃOST</v>
      </c>
      <c r="D131" s="3"/>
      <c r="E131" s="3" t="str">
        <f>IF(COUNTIF(ISENÇÕES!A:A,CST!B131)&gt;0,"ISENÇÃO","SEM ISENÇÃO")</f>
        <v>SEM ISENÇÃO</v>
      </c>
      <c r="F131" s="18" t="str">
        <f>IF(COUNTIF(REDUÇÕES!A:A,CST!B131)&gt;0,"REDUÇÃO","NÃO REDUÇÃO")</f>
        <v>NÃO REDUÇÃO</v>
      </c>
      <c r="G131" s="27">
        <f t="shared" si="2"/>
        <v>0</v>
      </c>
    </row>
    <row r="132" spans="1:7" x14ac:dyDescent="0.25">
      <c r="A132" s="120" t="str">
        <f>RIGHT(CSTABLE[[#This Row],[NomeNCM]],8)</f>
        <v>82122010</v>
      </c>
      <c r="B132" s="3" t="s">
        <v>120</v>
      </c>
      <c r="C132" s="3" t="str">
        <f>IFERROR(VLOOKUP(B132,ST!C:D,2,0),"NÃOST")</f>
        <v>ST</v>
      </c>
      <c r="D132" s="3"/>
      <c r="E132" s="3" t="str">
        <f>IF(COUNTIF(ISENÇÕES!A:A,CST!B132)&gt;0,"ISENÇÃO","SEM ISENÇÃO")</f>
        <v>SEM ISENÇÃO</v>
      </c>
      <c r="F132" s="18" t="str">
        <f>IF(COUNTIF(REDUÇÕES!A:A,CST!B132)&gt;0,"REDUÇÃO","NÃO REDUÇÃO")</f>
        <v>NÃO REDUÇÃO</v>
      </c>
      <c r="G132" s="27">
        <f t="shared" si="2"/>
        <v>60</v>
      </c>
    </row>
    <row r="133" spans="1:7" x14ac:dyDescent="0.25">
      <c r="A133" s="120" t="str">
        <f>RIGHT(CSTABLE[[#This Row],[NomeNCM]],8)</f>
        <v>02062200</v>
      </c>
      <c r="B133" s="3" t="s">
        <v>230</v>
      </c>
      <c r="C133" s="3" t="str">
        <f>IFERROR(VLOOKUP(B133,ST!C:D,2,0),"NÃOST")</f>
        <v>NÃOST</v>
      </c>
      <c r="D133" s="3"/>
      <c r="E133" s="3" t="str">
        <f>IF(COUNTIF(ISENÇÕES!A:A,CST!B133)&gt;0,"ISENÇÃO","SEM ISENÇÃO")</f>
        <v>SEM ISENÇÃO</v>
      </c>
      <c r="F133" s="18" t="str">
        <f>IF(COUNTIF(REDUÇÕES!A:A,CST!B133)&gt;0,"REDUÇÃO","NÃO REDUÇÃO")</f>
        <v>NÃO REDUÇÃO</v>
      </c>
      <c r="G133" s="27">
        <f t="shared" si="2"/>
        <v>0</v>
      </c>
    </row>
    <row r="134" spans="1:7" x14ac:dyDescent="0.25">
      <c r="A134" s="120" t="str">
        <f>RIGHT(CSTABLE[[#This Row],[NomeNCM]],8)</f>
        <v>04063000</v>
      </c>
      <c r="B134" s="3" t="s">
        <v>3441</v>
      </c>
      <c r="C134" s="3" t="str">
        <f>IFERROR(VLOOKUP(B134,ST!C:D,2,0),"NÃOST")</f>
        <v>NÃOST</v>
      </c>
      <c r="D134" s="3"/>
      <c r="E134" s="3" t="str">
        <f>IF(COUNTIF(ISENÇÕES!A:A,CST!B134)&gt;0,"ISENÇÃO","SEM ISENÇÃO")</f>
        <v>SEM ISENÇÃO</v>
      </c>
      <c r="F134" s="18" t="str">
        <f>IF(COUNTIF(REDUÇÕES!A:A,CST!B134)&gt;0,"REDUÇÃO","NÃO REDUÇÃO")</f>
        <v>NÃO REDUÇÃO</v>
      </c>
      <c r="G134" s="27">
        <f t="shared" si="2"/>
        <v>0</v>
      </c>
    </row>
    <row r="135" spans="1:7" x14ac:dyDescent="0.25">
      <c r="A135" s="120" t="str">
        <f>RIGHT(CSTABLE[[#This Row],[NomeNCM]],8)</f>
        <v>04039000</v>
      </c>
      <c r="B135" s="3" t="s">
        <v>197</v>
      </c>
      <c r="C135" s="3" t="str">
        <f>IFERROR(VLOOKUP(B135,ST!C:D,2,0),"NÃOST")</f>
        <v>NÃOST</v>
      </c>
      <c r="D135" s="3"/>
      <c r="E135" s="3" t="str">
        <f>IF(COUNTIF(ISENÇÕES!A:A,CST!B135)&gt;0,"ISENÇÃO","SEM ISENÇÃO")</f>
        <v>SEM ISENÇÃO</v>
      </c>
      <c r="F135" s="18" t="str">
        <f>IF(COUNTIF(REDUÇÕES!A:A,CST!B135)&gt;0,"REDUÇÃO","NÃO REDUÇÃO")</f>
        <v>NÃO REDUÇÃO</v>
      </c>
      <c r="G135" s="27">
        <f t="shared" si="2"/>
        <v>0</v>
      </c>
    </row>
    <row r="136" spans="1:7" x14ac:dyDescent="0.25">
      <c r="A136" s="120" t="str">
        <f>RIGHT(CSTABLE[[#This Row],[NomeNCM]],8)</f>
        <v>33049910</v>
      </c>
      <c r="B136" s="3" t="s">
        <v>3385</v>
      </c>
      <c r="C136" s="3" t="str">
        <f>IFERROR(VLOOKUP(B136,ST!C:D,2,0),"NÃOST")</f>
        <v>NÃOST</v>
      </c>
      <c r="D136" s="3"/>
      <c r="E136" s="3" t="str">
        <f>IF(COUNTIF(ISENÇÕES!A:A,CST!B136)&gt;0,"ISENÇÃO","SEM ISENÇÃO")</f>
        <v>SEM ISENÇÃO</v>
      </c>
      <c r="F136" s="18" t="str">
        <f>IF(COUNTIF(REDUÇÕES!A:A,CST!B136)&gt;0,"REDUÇÃO","NÃO REDUÇÃO")</f>
        <v>NÃO REDUÇÃO</v>
      </c>
      <c r="G136" s="27">
        <f t="shared" si="2"/>
        <v>0</v>
      </c>
    </row>
    <row r="137" spans="1:7" x14ac:dyDescent="0.25">
      <c r="A137" s="120" t="str">
        <f>RIGHT(CSTABLE[[#This Row],[NomeNCM]],8)</f>
        <v>33072090</v>
      </c>
      <c r="B137" s="3" t="s">
        <v>256</v>
      </c>
      <c r="C137" s="3" t="str">
        <f>IFERROR(VLOOKUP(B137,ST!C:D,2,0),"NÃOST")</f>
        <v>NÃOST</v>
      </c>
      <c r="D137" s="3"/>
      <c r="E137" s="3" t="str">
        <f>IF(COUNTIF(ISENÇÕES!A:A,CST!B137)&gt;0,"ISENÇÃO","SEM ISENÇÃO")</f>
        <v>SEM ISENÇÃO</v>
      </c>
      <c r="F137" s="18" t="str">
        <f>IF(COUNTIF(REDUÇÕES!A:A,CST!B137)&gt;0,"REDUÇÃO","NÃO REDUÇÃO")</f>
        <v>NÃO REDUÇÃO</v>
      </c>
      <c r="G137" s="27">
        <f t="shared" si="2"/>
        <v>0</v>
      </c>
    </row>
    <row r="138" spans="1:7" x14ac:dyDescent="0.25">
      <c r="A138" s="120" t="str">
        <f>RIGHT(CSTABLE[[#This Row],[NomeNCM]],8)</f>
        <v>30051090</v>
      </c>
      <c r="B138" s="3" t="s">
        <v>3695</v>
      </c>
      <c r="C138" s="3" t="str">
        <f>IFERROR(VLOOKUP(B138,ST!C:D,2,0),"NÃOST")</f>
        <v>NÃOST</v>
      </c>
      <c r="D138" s="3"/>
      <c r="E138" s="3" t="str">
        <f>IF(COUNTIF(ISENÇÕES!A:A,CST!B138)&gt;0,"ISENÇÃO","SEM ISENÇÃO")</f>
        <v>SEM ISENÇÃO</v>
      </c>
      <c r="F138" s="18" t="str">
        <f>IF(COUNTIF(REDUÇÕES!A:A,CST!B138)&gt;0,"REDUÇÃO","NÃO REDUÇÃO")</f>
        <v>NÃO REDUÇÃO</v>
      </c>
      <c r="G138" s="27">
        <f t="shared" si="2"/>
        <v>0</v>
      </c>
    </row>
    <row r="139" spans="1:7" x14ac:dyDescent="0.25">
      <c r="A139" s="120" t="str">
        <f>RIGHT(CSTABLE[[#This Row],[NomeNCM]],8)</f>
        <v>20052000</v>
      </c>
      <c r="B139" s="3" t="s">
        <v>3696</v>
      </c>
      <c r="C139" s="3" t="str">
        <f>IFERROR(VLOOKUP(B139,ST!C:D,2,0),"NÃOST")</f>
        <v>NÃOST</v>
      </c>
      <c r="D139" s="3"/>
      <c r="E139" s="3" t="str">
        <f>IF(COUNTIF(ISENÇÕES!A:A,CST!B139)&gt;0,"ISENÇÃO","SEM ISENÇÃO")</f>
        <v>SEM ISENÇÃO</v>
      </c>
      <c r="F139" s="18" t="str">
        <f>IF(COUNTIF(REDUÇÕES!A:A,CST!B139)&gt;0,"REDUÇÃO","NÃO REDUÇÃO")</f>
        <v>NÃO REDUÇÃO</v>
      </c>
      <c r="G139" s="27">
        <f t="shared" si="2"/>
        <v>0</v>
      </c>
    </row>
    <row r="140" spans="1:7" x14ac:dyDescent="0.25">
      <c r="A140" s="120" t="str">
        <f>RIGHT(CSTABLE[[#This Row],[NomeNCM]],8)</f>
        <v>19053200</v>
      </c>
      <c r="B140" s="3" t="s">
        <v>3697</v>
      </c>
      <c r="C140" s="3" t="str">
        <f>IFERROR(VLOOKUP(B140,ST!C:D,2,0),"NÃOST")</f>
        <v>NÃOST</v>
      </c>
      <c r="D140" s="3"/>
      <c r="E140" s="3" t="str">
        <f>IF(COUNTIF(ISENÇÕES!A:A,CST!B140)&gt;0,"ISENÇÃO","SEM ISENÇÃO")</f>
        <v>SEM ISENÇÃO</v>
      </c>
      <c r="F140" s="18" t="str">
        <f>IF(COUNTIF(REDUÇÕES!A:A,CST!B140)&gt;0,"REDUÇÃO","NÃO REDUÇÃO")</f>
        <v>NÃO REDUÇÃO</v>
      </c>
      <c r="G140" s="27">
        <f t="shared" si="2"/>
        <v>0</v>
      </c>
    </row>
    <row r="141" spans="1:7" x14ac:dyDescent="0.25">
      <c r="A141" s="120" t="str">
        <f>RIGHT(CSTABLE[[#This Row],[NomeNCM]],8)</f>
        <v>33069000</v>
      </c>
      <c r="B141" s="3" t="s">
        <v>3388</v>
      </c>
      <c r="C141" s="3" t="str">
        <f>IFERROR(VLOOKUP(B141,ST!C:D,2,0),"NÃOST")</f>
        <v>NÃOST</v>
      </c>
      <c r="D141" s="3"/>
      <c r="E141" s="3" t="str">
        <f>IF(COUNTIF(ISENÇÕES!A:A,CST!B141)&gt;0,"ISENÇÃO","SEM ISENÇÃO")</f>
        <v>SEM ISENÇÃO</v>
      </c>
      <c r="F141" s="18" t="str">
        <f>IF(COUNTIF(REDUÇÕES!A:A,CST!B141)&gt;0,"REDUÇÃO","NÃO REDUÇÃO")</f>
        <v>NÃO REDUÇÃO</v>
      </c>
      <c r="G141" s="27">
        <f t="shared" si="2"/>
        <v>0</v>
      </c>
    </row>
    <row r="142" spans="1:7" x14ac:dyDescent="0.25">
      <c r="A142" s="120" t="str">
        <f>RIGHT(CSTABLE[[#This Row],[NomeNCM]],8)</f>
        <v>21039011</v>
      </c>
      <c r="B142" s="3" t="s">
        <v>3698</v>
      </c>
      <c r="C142" s="3" t="str">
        <f>IFERROR(VLOOKUP(B142,ST!C:D,2,0),"NÃOST")</f>
        <v>NÃOST</v>
      </c>
      <c r="D142" s="3"/>
      <c r="E142" s="3" t="str">
        <f>IF(COUNTIF(ISENÇÕES!A:A,CST!B142)&gt;0,"ISENÇÃO","SEM ISENÇÃO")</f>
        <v>SEM ISENÇÃO</v>
      </c>
      <c r="F142" s="18" t="str">
        <f>IF(COUNTIF(REDUÇÕES!A:A,CST!B142)&gt;0,"REDUÇÃO","NÃO REDUÇÃO")</f>
        <v>NÃO REDUÇÃO</v>
      </c>
      <c r="G142" s="27">
        <f t="shared" si="2"/>
        <v>0</v>
      </c>
    </row>
    <row r="143" spans="1:7" x14ac:dyDescent="0.25">
      <c r="A143" s="120" t="str">
        <f>RIGHT(CSTABLE[[#This Row],[NomeNCM]],8)</f>
        <v>20079910</v>
      </c>
      <c r="B143" s="3" t="s">
        <v>3699</v>
      </c>
      <c r="C143" s="3" t="str">
        <f>IFERROR(VLOOKUP(B143,ST!C:D,2,0),"NÃOST")</f>
        <v>NÃOST</v>
      </c>
      <c r="D143" s="3"/>
      <c r="E143" s="3" t="str">
        <f>IF(COUNTIF(ISENÇÕES!A:A,CST!B143)&gt;0,"ISENÇÃO","SEM ISENÇÃO")</f>
        <v>SEM ISENÇÃO</v>
      </c>
      <c r="F143" s="18" t="str">
        <f>IF(COUNTIF(REDUÇÕES!A:A,CST!B143)&gt;0,"REDUÇÃO","NÃO REDUÇÃO")</f>
        <v>NÃO REDUÇÃO</v>
      </c>
      <c r="G143" s="27">
        <f t="shared" si="2"/>
        <v>0</v>
      </c>
    </row>
    <row r="144" spans="1:7" x14ac:dyDescent="0.25">
      <c r="A144" s="120" t="str">
        <f>RIGHT(CSTABLE[[#This Row],[NomeNCM]],8)</f>
        <v>85131010</v>
      </c>
      <c r="B144" s="3" t="s">
        <v>3700</v>
      </c>
      <c r="C144" s="3" t="str">
        <f>IFERROR(VLOOKUP(B144,ST!C:D,2,0),"NÃOST")</f>
        <v>NÃOST</v>
      </c>
      <c r="D144" s="3"/>
      <c r="E144" s="3" t="str">
        <f>IF(COUNTIF(ISENÇÕES!A:A,CST!B144)&gt;0,"ISENÇÃO","SEM ISENÇÃO")</f>
        <v>SEM ISENÇÃO</v>
      </c>
      <c r="F144" s="18" t="str">
        <f>IF(COUNTIF(REDUÇÕES!A:A,CST!B144)&gt;0,"REDUÇÃO","NÃO REDUÇÃO")</f>
        <v>NÃO REDUÇÃO</v>
      </c>
      <c r="G144" s="27">
        <f t="shared" si="2"/>
        <v>0</v>
      </c>
    </row>
    <row r="145" spans="1:7" x14ac:dyDescent="0.25">
      <c r="A145" s="120" t="str">
        <f>RIGHT(CSTABLE[[#This Row],[NomeNCM]],8)</f>
        <v>33071000</v>
      </c>
      <c r="B145" s="3" t="s">
        <v>290</v>
      </c>
      <c r="C145" s="3" t="str">
        <f>IFERROR(VLOOKUP(B145,ST!C:D,2,0),"NÃOST")</f>
        <v>NÃOST</v>
      </c>
      <c r="D145" s="3"/>
      <c r="E145" s="3" t="str">
        <f>IF(COUNTIF(ISENÇÕES!A:A,CST!B145)&gt;0,"ISENÇÃO","SEM ISENÇÃO")</f>
        <v>SEM ISENÇÃO</v>
      </c>
      <c r="F145" s="18" t="str">
        <f>IF(COUNTIF(REDUÇÕES!A:A,CST!B145)&gt;0,"REDUÇÃO","NÃO REDUÇÃO")</f>
        <v>NÃO REDUÇÃO</v>
      </c>
      <c r="G145" s="27">
        <f t="shared" ref="G145:G208" si="3">VLOOKUP(C145&amp;F145&amp;E145,$B$3:$F$10,5,0)</f>
        <v>0</v>
      </c>
    </row>
    <row r="146" spans="1:7" x14ac:dyDescent="0.25">
      <c r="A146" s="120" t="str">
        <f>RIGHT(CSTABLE[[#This Row],[NomeNCM]],8)</f>
        <v>96131000</v>
      </c>
      <c r="B146" s="3" t="s">
        <v>3701</v>
      </c>
      <c r="C146" s="3" t="str">
        <f>IFERROR(VLOOKUP(B146,ST!C:D,2,0),"NÃOST")</f>
        <v>NÃOST</v>
      </c>
      <c r="D146" s="3"/>
      <c r="E146" s="3" t="str">
        <f>IF(COUNTIF(ISENÇÕES!A:A,CST!B146)&gt;0,"ISENÇÃO","SEM ISENÇÃO")</f>
        <v>SEM ISENÇÃO</v>
      </c>
      <c r="F146" s="18" t="str">
        <f>IF(COUNTIF(REDUÇÕES!A:A,CST!B146)&gt;0,"REDUÇÃO","NÃO REDUÇÃO")</f>
        <v>NÃO REDUÇÃO</v>
      </c>
      <c r="G146" s="27">
        <f t="shared" si="3"/>
        <v>0</v>
      </c>
    </row>
    <row r="147" spans="1:7" x14ac:dyDescent="0.25">
      <c r="A147" s="120" t="str">
        <f>RIGHT(CSTABLE[[#This Row],[NomeNCM]],8)</f>
        <v>20057000</v>
      </c>
      <c r="B147" s="3" t="s">
        <v>3702</v>
      </c>
      <c r="C147" s="3" t="str">
        <f>IFERROR(VLOOKUP(B147,ST!C:D,2,0),"NÃOST")</f>
        <v>NÃOST</v>
      </c>
      <c r="D147" s="3"/>
      <c r="E147" s="3" t="str">
        <f>IF(COUNTIF(ISENÇÕES!A:A,CST!B147)&gt;0,"ISENÇÃO","SEM ISENÇÃO")</f>
        <v>SEM ISENÇÃO</v>
      </c>
      <c r="F147" s="18" t="str">
        <f>IF(COUNTIF(REDUÇÕES!A:A,CST!B147)&gt;0,"REDUÇÃO","NÃO REDUÇÃO")</f>
        <v>NÃO REDUÇÃO</v>
      </c>
      <c r="G147" s="27">
        <f t="shared" si="3"/>
        <v>0</v>
      </c>
    </row>
    <row r="148" spans="1:7" x14ac:dyDescent="0.25">
      <c r="A148" s="120" t="str">
        <f>RIGHT(CSTABLE[[#This Row],[NomeNCM]],8)</f>
        <v>19052010</v>
      </c>
      <c r="B148" s="3" t="s">
        <v>3703</v>
      </c>
      <c r="C148" s="3" t="str">
        <f>IFERROR(VLOOKUP(B148,ST!C:D,2,0),"NÃOST")</f>
        <v>NÃOST</v>
      </c>
      <c r="D148" s="3"/>
      <c r="E148" s="3" t="str">
        <f>IF(COUNTIF(ISENÇÕES!A:A,CST!B148)&gt;0,"ISENÇÃO","SEM ISENÇÃO")</f>
        <v>SEM ISENÇÃO</v>
      </c>
      <c r="F148" s="18" t="str">
        <f>IF(COUNTIF(REDUÇÕES!A:A,CST!B148)&gt;0,"REDUÇÃO","NÃO REDUÇÃO")</f>
        <v>NÃO REDUÇÃO</v>
      </c>
      <c r="G148" s="27">
        <f t="shared" si="3"/>
        <v>0</v>
      </c>
    </row>
    <row r="149" spans="1:7" x14ac:dyDescent="0.25">
      <c r="A149" s="120" t="str">
        <f>RIGHT(CSTABLE[[#This Row],[NomeNCM]],8)</f>
        <v>21069010</v>
      </c>
      <c r="B149" s="3" t="s">
        <v>10</v>
      </c>
      <c r="C149" s="3" t="str">
        <f>IFERROR(VLOOKUP(B149,ST!C:D,2,0),"NÃOST")</f>
        <v>NÃOST</v>
      </c>
      <c r="D149" s="3"/>
      <c r="E149" s="3" t="str">
        <f>IF(COUNTIF(ISENÇÕES!A:A,CST!B149)&gt;0,"ISENÇÃO","SEM ISENÇÃO")</f>
        <v>SEM ISENÇÃO</v>
      </c>
      <c r="F149" s="18" t="str">
        <f>IF(COUNTIF(REDUÇÕES!A:A,CST!B149)&gt;0,"REDUÇÃO","NÃO REDUÇÃO")</f>
        <v>NÃO REDUÇÃO</v>
      </c>
      <c r="G149" s="27">
        <f t="shared" si="3"/>
        <v>0</v>
      </c>
    </row>
    <row r="150" spans="1:7" x14ac:dyDescent="0.25">
      <c r="A150" s="120" t="str">
        <f>RIGHT(CSTABLE[[#This Row],[NomeNCM]],8)</f>
        <v>33079000</v>
      </c>
      <c r="B150" s="3" t="s">
        <v>280</v>
      </c>
      <c r="C150" s="3" t="str">
        <f>IFERROR(VLOOKUP(B150,ST!C:D,2,0),"NÃOST")</f>
        <v>NÃOST</v>
      </c>
      <c r="D150" s="3"/>
      <c r="E150" s="3" t="str">
        <f>IF(COUNTIF(ISENÇÕES!A:A,CST!B150)&gt;0,"ISENÇÃO","SEM ISENÇÃO")</f>
        <v>SEM ISENÇÃO</v>
      </c>
      <c r="F150" s="18" t="str">
        <f>IF(COUNTIF(REDUÇÕES!A:A,CST!B150)&gt;0,"REDUÇÃO","NÃO REDUÇÃO")</f>
        <v>NÃO REDUÇÃO</v>
      </c>
      <c r="G150" s="27">
        <f t="shared" si="3"/>
        <v>0</v>
      </c>
    </row>
    <row r="151" spans="1:7" x14ac:dyDescent="0.25">
      <c r="A151" s="120" t="str">
        <f>RIGHT(CSTABLE[[#This Row],[NomeNCM]],8)</f>
        <v>38249089</v>
      </c>
      <c r="B151" s="3" t="s">
        <v>3704</v>
      </c>
      <c r="C151" s="3" t="str">
        <f>IFERROR(VLOOKUP(B151,ST!C:D,2,0),"NÃOST")</f>
        <v>NÃOST</v>
      </c>
      <c r="D151" s="3"/>
      <c r="E151" s="3" t="str">
        <f>IF(COUNTIF(ISENÇÕES!A:A,CST!B151)&gt;0,"ISENÇÃO","SEM ISENÇÃO")</f>
        <v>SEM ISENÇÃO</v>
      </c>
      <c r="F151" s="18" t="str">
        <f>IF(COUNTIF(REDUÇÕES!A:A,CST!B151)&gt;0,"REDUÇÃO","NÃO REDUÇÃO")</f>
        <v>NÃO REDUÇÃO</v>
      </c>
      <c r="G151" s="27">
        <f t="shared" si="3"/>
        <v>0</v>
      </c>
    </row>
    <row r="152" spans="1:7" x14ac:dyDescent="0.25">
      <c r="A152" s="120" t="str">
        <f>RIGHT(CSTABLE[[#This Row],[NomeNCM]],8)</f>
        <v>48025610</v>
      </c>
      <c r="B152" s="3" t="s">
        <v>3705</v>
      </c>
      <c r="C152" s="3" t="str">
        <f>IFERROR(VLOOKUP(B152,ST!C:D,2,0),"NÃOST")</f>
        <v>NÃOST</v>
      </c>
      <c r="D152" s="3"/>
      <c r="E152" s="3" t="str">
        <f>IF(COUNTIF(ISENÇÕES!A:A,CST!B152)&gt;0,"ISENÇÃO","SEM ISENÇÃO")</f>
        <v>SEM ISENÇÃO</v>
      </c>
      <c r="F152" s="18" t="str">
        <f>IF(COUNTIF(REDUÇÕES!A:A,CST!B152)&gt;0,"REDUÇÃO","NÃO REDUÇÃO")</f>
        <v>NÃO REDUÇÃO</v>
      </c>
      <c r="G152" s="27">
        <f t="shared" si="3"/>
        <v>0</v>
      </c>
    </row>
    <row r="153" spans="1:7" x14ac:dyDescent="0.25">
      <c r="A153" s="120" t="str">
        <f>RIGHT(CSTABLE[[#This Row],[NomeNCM]],8)</f>
        <v>96091000</v>
      </c>
      <c r="B153" s="3" t="s">
        <v>3571</v>
      </c>
      <c r="C153" s="3" t="str">
        <f>IFERROR(VLOOKUP(B153,ST!C:D,2,0),"NÃOST")</f>
        <v>NÃOST</v>
      </c>
      <c r="D153" s="3"/>
      <c r="E153" s="3" t="str">
        <f>IF(COUNTIF(ISENÇÕES!A:A,CST!B153)&gt;0,"ISENÇÃO","SEM ISENÇÃO")</f>
        <v>SEM ISENÇÃO</v>
      </c>
      <c r="F153" s="18" t="str">
        <f>IF(COUNTIF(REDUÇÕES!A:A,CST!B153)&gt;0,"REDUÇÃO","NÃO REDUÇÃO")</f>
        <v>REDUÇÃO</v>
      </c>
      <c r="G153" s="27">
        <f t="shared" si="3"/>
        <v>20</v>
      </c>
    </row>
    <row r="154" spans="1:7" x14ac:dyDescent="0.25">
      <c r="A154" s="120" t="str">
        <f>RIGHT(CSTABLE[[#This Row],[NomeNCM]],8)</f>
        <v>48202000</v>
      </c>
      <c r="B154" s="3" t="s">
        <v>3569</v>
      </c>
      <c r="C154" s="3" t="str">
        <f>IFERROR(VLOOKUP(B154,ST!C:D,2,0),"NÃOST")</f>
        <v>NÃOST</v>
      </c>
      <c r="D154" s="3"/>
      <c r="E154" s="3" t="str">
        <f>IF(COUNTIF(ISENÇÕES!A:A,CST!B154)&gt;0,"ISENÇÃO","SEM ISENÇÃO")</f>
        <v>SEM ISENÇÃO</v>
      </c>
      <c r="F154" s="18" t="str">
        <f>IF(COUNTIF(REDUÇÕES!A:A,CST!B154)&gt;0,"REDUÇÃO","NÃO REDUÇÃO")</f>
        <v>REDUÇÃO</v>
      </c>
      <c r="G154" s="27">
        <f t="shared" si="3"/>
        <v>20</v>
      </c>
    </row>
    <row r="155" spans="1:7" x14ac:dyDescent="0.25">
      <c r="A155" s="120" t="str">
        <f>RIGHT(CSTABLE[[#This Row],[NomeNCM]],8)</f>
        <v>96081000</v>
      </c>
      <c r="B155" s="3" t="s">
        <v>3570</v>
      </c>
      <c r="C155" s="3" t="str">
        <f>IFERROR(VLOOKUP(B155,ST!C:D,2,0),"NÃOST")</f>
        <v>NÃOST</v>
      </c>
      <c r="D155" s="3"/>
      <c r="E155" s="3" t="str">
        <f>IF(COUNTIF(ISENÇÕES!A:A,CST!B155)&gt;0,"ISENÇÃO","SEM ISENÇÃO")</f>
        <v>SEM ISENÇÃO</v>
      </c>
      <c r="F155" s="18" t="str">
        <f>IF(COUNTIF(REDUÇÕES!A:A,CST!B155)&gt;0,"REDUÇÃO","NÃO REDUÇÃO")</f>
        <v>REDUÇÃO</v>
      </c>
      <c r="G155" s="27">
        <f t="shared" si="3"/>
        <v>20</v>
      </c>
    </row>
    <row r="156" spans="1:7" x14ac:dyDescent="0.25">
      <c r="A156" s="120" t="str">
        <f>RIGHT(CSTABLE[[#This Row],[NomeNCM]],8)</f>
        <v>10063021</v>
      </c>
      <c r="B156" s="3" t="s">
        <v>204</v>
      </c>
      <c r="C156" s="3" t="str">
        <f>IFERROR(VLOOKUP(B156,ST!C:D,2,0),"NÃOST")</f>
        <v>NÃOST</v>
      </c>
      <c r="D156" s="3"/>
      <c r="E156" s="3" t="str">
        <f>IF(COUNTIF(ISENÇÕES!A:A,CST!B156)&gt;0,"ISENÇÃO","SEM ISENÇÃO")</f>
        <v>SEM ISENÇÃO</v>
      </c>
      <c r="F156" s="18" t="str">
        <f>IF(COUNTIF(REDUÇÕES!A:A,CST!B156)&gt;0,"REDUÇÃO","NÃO REDUÇÃO")</f>
        <v>REDUÇÃO</v>
      </c>
      <c r="G156" s="27">
        <f t="shared" si="3"/>
        <v>20</v>
      </c>
    </row>
    <row r="157" spans="1:7" x14ac:dyDescent="0.25">
      <c r="A157" s="120" t="str">
        <f>RIGHT(CSTABLE[[#This Row],[NomeNCM]],8)</f>
        <v>96159000</v>
      </c>
      <c r="B157" s="3" t="s">
        <v>3706</v>
      </c>
      <c r="C157" s="3" t="str">
        <f>IFERROR(VLOOKUP(B157,ST!C:D,2,0),"NÃOST")</f>
        <v>NÃOST</v>
      </c>
      <c r="D157" s="3"/>
      <c r="E157" s="3" t="str">
        <f>IF(COUNTIF(ISENÇÕES!A:A,CST!B157)&gt;0,"ISENÇÃO","SEM ISENÇÃO")</f>
        <v>SEM ISENÇÃO</v>
      </c>
      <c r="F157" s="18" t="str">
        <f>IF(COUNTIF(REDUÇÕES!A:A,CST!B157)&gt;0,"REDUÇÃO","NÃO REDUÇÃO")</f>
        <v>NÃO REDUÇÃO</v>
      </c>
      <c r="G157" s="27">
        <f t="shared" si="3"/>
        <v>0</v>
      </c>
    </row>
    <row r="158" spans="1:7" x14ac:dyDescent="0.25">
      <c r="A158" s="120" t="str">
        <f>RIGHT(CSTABLE[[#This Row],[NomeNCM]],8)</f>
        <v>48209000</v>
      </c>
      <c r="B158" s="3" t="s">
        <v>3707</v>
      </c>
      <c r="C158" s="3" t="str">
        <f>IFERROR(VLOOKUP(B158,ST!C:D,2,0),"NÃOST")</f>
        <v>NÃOST</v>
      </c>
      <c r="D158" s="3"/>
      <c r="E158" s="3" t="str">
        <f>IF(COUNTIF(ISENÇÕES!A:A,CST!B158)&gt;0,"ISENÇÃO","SEM ISENÇÃO")</f>
        <v>SEM ISENÇÃO</v>
      </c>
      <c r="F158" s="18" t="str">
        <f>IF(COUNTIF(REDUÇÕES!A:A,CST!B158)&gt;0,"REDUÇÃO","NÃO REDUÇÃO")</f>
        <v>NÃO REDUÇÃO</v>
      </c>
      <c r="G158" s="27">
        <f t="shared" si="3"/>
        <v>0</v>
      </c>
    </row>
    <row r="159" spans="1:7" x14ac:dyDescent="0.25">
      <c r="A159" s="120" t="str">
        <f>RIGHT(CSTABLE[[#This Row],[NomeNCM]],8)</f>
        <v>33049990</v>
      </c>
      <c r="B159" s="3" t="s">
        <v>3386</v>
      </c>
      <c r="C159" s="3" t="str">
        <f>IFERROR(VLOOKUP(B159,ST!C:D,2,0),"NÃOST")</f>
        <v>NÃOST</v>
      </c>
      <c r="D159" s="3"/>
      <c r="E159" s="3" t="str">
        <f>IF(COUNTIF(ISENÇÕES!A:A,CST!B159)&gt;0,"ISENÇÃO","SEM ISENÇÃO")</f>
        <v>SEM ISENÇÃO</v>
      </c>
      <c r="F159" s="18" t="str">
        <f>IF(COUNTIF(REDUÇÕES!A:A,CST!B159)&gt;0,"REDUÇÃO","NÃO REDUÇÃO")</f>
        <v>NÃO REDUÇÃO</v>
      </c>
      <c r="G159" s="27">
        <f t="shared" si="3"/>
        <v>0</v>
      </c>
    </row>
    <row r="160" spans="1:7" x14ac:dyDescent="0.25">
      <c r="A160" s="120" t="str">
        <f>RIGHT(CSTABLE[[#This Row],[NomeNCM]],8)</f>
        <v>16042010</v>
      </c>
      <c r="B160" s="3" t="s">
        <v>3708</v>
      </c>
      <c r="C160" s="3" t="str">
        <f>IFERROR(VLOOKUP(B160,ST!C:D,2,0),"NÃOST")</f>
        <v>NÃOST</v>
      </c>
      <c r="D160" s="3"/>
      <c r="E160" s="3" t="str">
        <f>IF(COUNTIF(ISENÇÕES!A:A,CST!B160)&gt;0,"ISENÇÃO","SEM ISENÇÃO")</f>
        <v>SEM ISENÇÃO</v>
      </c>
      <c r="F160" s="18" t="str">
        <f>IF(COUNTIF(REDUÇÕES!A:A,CST!B160)&gt;0,"REDUÇÃO","NÃO REDUÇÃO")</f>
        <v>NÃO REDUÇÃO</v>
      </c>
      <c r="G160" s="27">
        <f t="shared" si="3"/>
        <v>0</v>
      </c>
    </row>
    <row r="161" spans="1:7" x14ac:dyDescent="0.25">
      <c r="A161" s="120" t="str">
        <f>RIGHT(CSTABLE[[#This Row],[NomeNCM]],8)</f>
        <v>16041410</v>
      </c>
      <c r="B161" s="3" t="s">
        <v>3709</v>
      </c>
      <c r="C161" s="3" t="str">
        <f>IFERROR(VLOOKUP(B161,ST!C:D,2,0),"NÃOST")</f>
        <v>NÃOST</v>
      </c>
      <c r="D161" s="3"/>
      <c r="E161" s="3" t="str">
        <f>IF(COUNTIF(ISENÇÕES!A:A,CST!B161)&gt;0,"ISENÇÃO","SEM ISENÇÃO")</f>
        <v>SEM ISENÇÃO</v>
      </c>
      <c r="F161" s="18" t="str">
        <f>IF(COUNTIF(REDUÇÕES!A:A,CST!B161)&gt;0,"REDUÇÃO","NÃO REDUÇÃO")</f>
        <v>NÃO REDUÇÃO</v>
      </c>
      <c r="G161" s="27">
        <f t="shared" si="3"/>
        <v>0</v>
      </c>
    </row>
    <row r="162" spans="1:7" x14ac:dyDescent="0.25">
      <c r="A162" s="120" t="str">
        <f>RIGHT(CSTABLE[[#This Row],[NomeNCM]],8)</f>
        <v>15079011</v>
      </c>
      <c r="B162" s="3" t="s">
        <v>184</v>
      </c>
      <c r="C162" s="3" t="str">
        <f>IFERROR(VLOOKUP(B162,ST!C:D,2,0),"NÃOST")</f>
        <v>NÃOST</v>
      </c>
      <c r="D162" s="3"/>
      <c r="E162" s="3" t="str">
        <f>IF(COUNTIF(ISENÇÕES!A:A,CST!B162)&gt;0,"ISENÇÃO","SEM ISENÇÃO")</f>
        <v>SEM ISENÇÃO</v>
      </c>
      <c r="F162" s="18" t="str">
        <f>IF(COUNTIF(REDUÇÕES!A:A,CST!B162)&gt;0,"REDUÇÃO","NÃO REDUÇÃO")</f>
        <v>REDUÇÃO</v>
      </c>
      <c r="G162" s="27">
        <f t="shared" si="3"/>
        <v>20</v>
      </c>
    </row>
    <row r="163" spans="1:7" x14ac:dyDescent="0.25">
      <c r="A163" s="120" t="str">
        <f>RIGHT(CSTABLE[[#This Row],[NomeNCM]],8)</f>
        <v>09030090</v>
      </c>
      <c r="B163" s="3" t="s">
        <v>246</v>
      </c>
      <c r="C163" s="3" t="str">
        <f>IFERROR(VLOOKUP(B163,ST!C:D,2,0),"NÃOST")</f>
        <v>NÃOST</v>
      </c>
      <c r="D163" s="3"/>
      <c r="E163" s="3" t="str">
        <f>IF(COUNTIF(ISENÇÕES!A:A,CST!B163)&gt;0,"ISENÇÃO","SEM ISENÇÃO")</f>
        <v>SEM ISENÇÃO</v>
      </c>
      <c r="F163" s="18" t="str">
        <f>IF(COUNTIF(REDUÇÕES!A:A,CST!B163)&gt;0,"REDUÇÃO","NÃO REDUÇÃO")</f>
        <v>REDUÇÃO</v>
      </c>
      <c r="G163" s="27">
        <f t="shared" si="3"/>
        <v>20</v>
      </c>
    </row>
    <row r="164" spans="1:7" x14ac:dyDescent="0.25">
      <c r="A164" s="120" t="str">
        <f>RIGHT(CSTABLE[[#This Row],[NomeNCM]],8)</f>
        <v>09021000</v>
      </c>
      <c r="B164" s="3" t="s">
        <v>3710</v>
      </c>
      <c r="C164" s="3" t="str">
        <f>IFERROR(VLOOKUP(B164,ST!C:D,2,0),"NÃOST")</f>
        <v>NÃOST</v>
      </c>
      <c r="D164" s="3"/>
      <c r="E164" s="3" t="str">
        <f>IF(COUNTIF(ISENÇÕES!A:A,CST!B164)&gt;0,"ISENÇÃO","SEM ISENÇÃO")</f>
        <v>SEM ISENÇÃO</v>
      </c>
      <c r="F164" s="18" t="str">
        <f>IF(COUNTIF(REDUÇÕES!A:A,CST!B164)&gt;0,"REDUÇÃO","NÃO REDUÇÃO")</f>
        <v>NÃO REDUÇÃO</v>
      </c>
      <c r="G164" s="27">
        <f t="shared" si="3"/>
        <v>0</v>
      </c>
    </row>
    <row r="165" spans="1:7" x14ac:dyDescent="0.25">
      <c r="A165" s="120" t="str">
        <f>RIGHT(CSTABLE[[#This Row],[NomeNCM]],8)</f>
        <v>33030020</v>
      </c>
      <c r="B165" s="3" t="s">
        <v>3432</v>
      </c>
      <c r="C165" s="3" t="str">
        <f>IFERROR(VLOOKUP(B165,ST!C:D,2,0),"NÃOST")</f>
        <v>NÃOST</v>
      </c>
      <c r="D165" s="3"/>
      <c r="E165" s="3" t="str">
        <f>IF(COUNTIF(ISENÇÕES!A:A,CST!B165)&gt;0,"ISENÇÃO","SEM ISENÇÃO")</f>
        <v>SEM ISENÇÃO</v>
      </c>
      <c r="F165" s="18" t="str">
        <f>IF(COUNTIF(REDUÇÕES!A:A,CST!B165)&gt;0,"REDUÇÃO","NÃO REDUÇÃO")</f>
        <v>NÃO REDUÇÃO</v>
      </c>
      <c r="G165" s="27">
        <f t="shared" si="3"/>
        <v>0</v>
      </c>
    </row>
    <row r="166" spans="1:7" x14ac:dyDescent="0.25">
      <c r="A166" s="120" t="str">
        <f>RIGHT(CSTABLE[[#This Row],[NomeNCM]],8)</f>
        <v>48189090</v>
      </c>
      <c r="B166" s="3" t="s">
        <v>3711</v>
      </c>
      <c r="C166" s="3" t="str">
        <f>IFERROR(VLOOKUP(B166,ST!C:D,2,0),"NÃOST")</f>
        <v>NÃOST</v>
      </c>
      <c r="D166" s="3"/>
      <c r="E166" s="3" t="str">
        <f>IF(COUNTIF(ISENÇÕES!A:A,CST!B166)&gt;0,"ISENÇÃO","SEM ISENÇÃO")</f>
        <v>SEM ISENÇÃO</v>
      </c>
      <c r="F166" s="18" t="str">
        <f>IF(COUNTIF(REDUÇÕES!A:A,CST!B166)&gt;0,"REDUÇÃO","NÃO REDUÇÃO")</f>
        <v>NÃO REDUÇÃO</v>
      </c>
      <c r="G166" s="27">
        <f t="shared" si="3"/>
        <v>0</v>
      </c>
    </row>
    <row r="167" spans="1:7" x14ac:dyDescent="0.25">
      <c r="A167" s="120" t="str">
        <f>RIGHT(CSTABLE[[#This Row],[NomeNCM]],8)</f>
        <v>07133399</v>
      </c>
      <c r="B167" s="3" t="s">
        <v>203</v>
      </c>
      <c r="C167" s="3" t="str">
        <f>IFERROR(VLOOKUP(B167,ST!C:D,2,0),"NÃOST")</f>
        <v>NÃOST</v>
      </c>
      <c r="D167" s="3"/>
      <c r="E167" s="3" t="str">
        <f>IF(COUNTIF(ISENÇÕES!A:A,CST!B167)&gt;0,"ISENÇÃO","SEM ISENÇÃO")</f>
        <v>SEM ISENÇÃO</v>
      </c>
      <c r="F167" s="18" t="str">
        <f>IF(COUNTIF(REDUÇÕES!A:A,CST!B167)&gt;0,"REDUÇÃO","NÃO REDUÇÃO")</f>
        <v>REDUÇÃO</v>
      </c>
      <c r="G167" s="27">
        <f t="shared" si="3"/>
        <v>20</v>
      </c>
    </row>
    <row r="168" spans="1:7" x14ac:dyDescent="0.25">
      <c r="A168" s="120" t="str">
        <f>RIGHT(CSTABLE[[#This Row],[NomeNCM]],8)</f>
        <v>10062010</v>
      </c>
      <c r="B168" s="3" t="s">
        <v>3345</v>
      </c>
      <c r="C168" s="3" t="str">
        <f>IFERROR(VLOOKUP(B168,ST!C:D,2,0),"NÃOST")</f>
        <v>NÃOST</v>
      </c>
      <c r="D168" s="3"/>
      <c r="E168" s="3" t="str">
        <f>IF(COUNTIF(ISENÇÕES!A:A,CST!B168)&gt;0,"ISENÇÃO","SEM ISENÇÃO")</f>
        <v>SEM ISENÇÃO</v>
      </c>
      <c r="F168" s="18" t="str">
        <f>IF(COUNTIF(REDUÇÕES!A:A,CST!B168)&gt;0,"REDUÇÃO","NÃO REDUÇÃO")</f>
        <v>REDUÇÃO</v>
      </c>
      <c r="G168" s="27">
        <f t="shared" si="3"/>
        <v>20</v>
      </c>
    </row>
    <row r="169" spans="1:7" x14ac:dyDescent="0.25">
      <c r="A169" s="120" t="str">
        <f>RIGHT(CSTABLE[[#This Row],[NomeNCM]],8)</f>
        <v>09092100</v>
      </c>
      <c r="B169" s="3" t="s">
        <v>555</v>
      </c>
      <c r="C169" s="3" t="str">
        <f>IFERROR(VLOOKUP(B169,ST!C:D,2,0),"NÃOST")</f>
        <v>NÃOST</v>
      </c>
      <c r="D169" s="3"/>
      <c r="E169" s="3" t="str">
        <f>IF(COUNTIF(ISENÇÕES!A:A,CST!B169)&gt;0,"ISENÇÃO","SEM ISENÇÃO")</f>
        <v>SEM ISENÇÃO</v>
      </c>
      <c r="F169" s="18" t="str">
        <f>IF(COUNTIF(REDUÇÕES!A:A,CST!B169)&gt;0,"REDUÇÃO","NÃO REDUÇÃO")</f>
        <v>NÃO REDUÇÃO</v>
      </c>
      <c r="G169" s="27">
        <f t="shared" si="3"/>
        <v>0</v>
      </c>
    </row>
    <row r="170" spans="1:7" x14ac:dyDescent="0.25">
      <c r="A170" s="120" t="str">
        <f>RIGHT(CSTABLE[[#This Row],[NomeNCM]],8)</f>
        <v>12119090</v>
      </c>
      <c r="B170" s="3" t="s">
        <v>269</v>
      </c>
      <c r="C170" s="3" t="str">
        <f>IFERROR(VLOOKUP(B170,ST!C:D,2,0),"NÃOST")</f>
        <v>NÃOST</v>
      </c>
      <c r="D170" s="3"/>
      <c r="E170" s="3" t="str">
        <f>IF(COUNTIF(ISENÇÕES!A:A,CST!B170)&gt;0,"ISENÇÃO","SEM ISENÇÃO")</f>
        <v>ISENÇÃO</v>
      </c>
      <c r="F170" s="18" t="str">
        <f>IF(COUNTIF(REDUÇÕES!A:A,CST!B170)&gt;0,"REDUÇÃO","NÃO REDUÇÃO")</f>
        <v>NÃO REDUÇÃO</v>
      </c>
      <c r="G170" s="27">
        <f t="shared" si="3"/>
        <v>40</v>
      </c>
    </row>
    <row r="171" spans="1:7" x14ac:dyDescent="0.25">
      <c r="A171" s="120" t="str">
        <f>RIGHT(CSTABLE[[#This Row],[NomeNCM]],8)</f>
        <v>19022000</v>
      </c>
      <c r="B171" s="3" t="s">
        <v>2728</v>
      </c>
      <c r="C171" s="3" t="str">
        <f>IFERROR(VLOOKUP(B171,ST!C:D,2,0),"NÃOST")</f>
        <v>NÃOST</v>
      </c>
      <c r="D171" s="3"/>
      <c r="E171" s="3" t="str">
        <f>IF(COUNTIF(ISENÇÕES!A:A,CST!B171)&gt;0,"ISENÇÃO","SEM ISENÇÃO")</f>
        <v>SEM ISENÇÃO</v>
      </c>
      <c r="F171" s="18" t="str">
        <f>IF(COUNTIF(REDUÇÕES!A:A,CST!B171)&gt;0,"REDUÇÃO","NÃO REDUÇÃO")</f>
        <v>NÃO REDUÇÃO</v>
      </c>
      <c r="G171" s="27">
        <f t="shared" si="3"/>
        <v>0</v>
      </c>
    </row>
    <row r="172" spans="1:7" x14ac:dyDescent="0.25">
      <c r="A172" s="120" t="str">
        <f>RIGHT(CSTABLE[[#This Row],[NomeNCM]],8)</f>
        <v>04061090</v>
      </c>
      <c r="B172" s="3" t="s">
        <v>178</v>
      </c>
      <c r="C172" s="3" t="str">
        <f>IFERROR(VLOOKUP(B172,ST!C:D,2,0),"NÃOST")</f>
        <v>NÃOST</v>
      </c>
      <c r="D172" s="3"/>
      <c r="E172" s="3" t="str">
        <f>IF(COUNTIF(ISENÇÕES!A:A,CST!B172)&gt;0,"ISENÇÃO","SEM ISENÇÃO")</f>
        <v>SEM ISENÇÃO</v>
      </c>
      <c r="F172" s="18" t="str">
        <f>IF(COUNTIF(REDUÇÕES!A:A,CST!B172)&gt;0,"REDUÇÃO","NÃO REDUÇÃO")</f>
        <v>REDUÇÃO</v>
      </c>
      <c r="G172" s="27">
        <f t="shared" si="3"/>
        <v>20</v>
      </c>
    </row>
    <row r="173" spans="1:7" x14ac:dyDescent="0.25">
      <c r="A173" s="120" t="str">
        <f>RIGHT(CSTABLE[[#This Row],[NomeNCM]],8)</f>
        <v>10059010</v>
      </c>
      <c r="B173" s="3" t="s">
        <v>234</v>
      </c>
      <c r="C173" s="3" t="str">
        <f>IFERROR(VLOOKUP(B173,ST!C:D,2,0),"NÃOST")</f>
        <v>NÃOST</v>
      </c>
      <c r="D173" s="3"/>
      <c r="E173" s="3" t="str">
        <f>IF(COUNTIF(ISENÇÕES!A:A,CST!B173)&gt;0,"ISENÇÃO","SEM ISENÇÃO")</f>
        <v>SEM ISENÇÃO</v>
      </c>
      <c r="F173" s="18" t="str">
        <f>IF(COUNTIF(REDUÇÕES!A:A,CST!B173)&gt;0,"REDUÇÃO","NÃO REDUÇÃO")</f>
        <v>NÃO REDUÇÃO</v>
      </c>
      <c r="G173" s="27">
        <f t="shared" si="3"/>
        <v>0</v>
      </c>
    </row>
    <row r="174" spans="1:7" x14ac:dyDescent="0.25">
      <c r="A174" s="120" t="str">
        <f>RIGHT(CSTABLE[[#This Row],[NomeNCM]],8)</f>
        <v>16023230</v>
      </c>
      <c r="B174" s="3" t="s">
        <v>3712</v>
      </c>
      <c r="C174" s="3" t="str">
        <f>IFERROR(VLOOKUP(B174,ST!C:D,2,0),"NÃOST")</f>
        <v>NÃOST</v>
      </c>
      <c r="D174" s="3"/>
      <c r="E174" s="3" t="str">
        <f>IF(COUNTIF(ISENÇÕES!A:A,CST!B174)&gt;0,"ISENÇÃO","SEM ISENÇÃO")</f>
        <v>SEM ISENÇÃO</v>
      </c>
      <c r="F174" s="18" t="str">
        <f>IF(COUNTIF(REDUÇÕES!A:A,CST!B174)&gt;0,"REDUÇÃO","NÃO REDUÇÃO")</f>
        <v>NÃO REDUÇÃO</v>
      </c>
      <c r="G174" s="27">
        <f t="shared" si="3"/>
        <v>0</v>
      </c>
    </row>
    <row r="175" spans="1:7" x14ac:dyDescent="0.25">
      <c r="A175" s="120" t="str">
        <f>RIGHT(CSTABLE[[#This Row],[NomeNCM]],8)</f>
        <v>11042300</v>
      </c>
      <c r="B175" s="3" t="s">
        <v>3445</v>
      </c>
      <c r="C175" s="3" t="str">
        <f>IFERROR(VLOOKUP(B175,ST!C:D,2,0),"NÃOST")</f>
        <v>NÃOST</v>
      </c>
      <c r="D175" s="3"/>
      <c r="E175" s="3" t="str">
        <f>IF(COUNTIF(ISENÇÕES!A:A,CST!B175)&gt;0,"ISENÇÃO","SEM ISENÇÃO")</f>
        <v>SEM ISENÇÃO</v>
      </c>
      <c r="F175" s="18" t="str">
        <f>IF(COUNTIF(REDUÇÕES!A:A,CST!B175)&gt;0,"REDUÇÃO","NÃO REDUÇÃO")</f>
        <v>NÃO REDUÇÃO</v>
      </c>
      <c r="G175" s="27">
        <f t="shared" si="3"/>
        <v>0</v>
      </c>
    </row>
    <row r="176" spans="1:7" x14ac:dyDescent="0.25">
      <c r="A176" s="120" t="str">
        <f>RIGHT(CSTABLE[[#This Row],[NomeNCM]],8)</f>
        <v>20079990</v>
      </c>
      <c r="B176" s="3" t="s">
        <v>3713</v>
      </c>
      <c r="C176" s="3" t="str">
        <f>IFERROR(VLOOKUP(B176,ST!C:D,2,0),"NÃOST")</f>
        <v>NÃOST</v>
      </c>
      <c r="D176" s="3"/>
      <c r="E176" s="3" t="str">
        <f>IF(COUNTIF(ISENÇÕES!A:A,CST!B176)&gt;0,"ISENÇÃO","SEM ISENÇÃO")</f>
        <v>SEM ISENÇÃO</v>
      </c>
      <c r="F176" s="18" t="str">
        <f>IF(COUNTIF(REDUÇÕES!A:A,CST!B176)&gt;0,"REDUÇÃO","NÃO REDUÇÃO")</f>
        <v>NÃO REDUÇÃO</v>
      </c>
      <c r="G176" s="27">
        <f t="shared" si="3"/>
        <v>0</v>
      </c>
    </row>
    <row r="177" spans="1:7" x14ac:dyDescent="0.25">
      <c r="A177" s="120" t="str">
        <f>RIGHT(CSTABLE[[#This Row],[NomeNCM]],8)</f>
        <v>04090000</v>
      </c>
      <c r="B177" s="3" t="s">
        <v>3617</v>
      </c>
      <c r="C177" s="3" t="str">
        <f>IFERROR(VLOOKUP(B177,ST!C:D,2,0),"NÃOST")</f>
        <v>NÃOST</v>
      </c>
      <c r="D177" s="3"/>
      <c r="E177" s="3" t="str">
        <f>IF(COUNTIF(ISENÇÕES!A:A,CST!B177)&gt;0,"ISENÇÃO","SEM ISENÇÃO")</f>
        <v>SEM ISENÇÃO</v>
      </c>
      <c r="F177" s="18" t="str">
        <f>IF(COUNTIF(REDUÇÕES!A:A,CST!B177)&gt;0,"REDUÇÃO","NÃO REDUÇÃO")</f>
        <v>NÃO REDUÇÃO</v>
      </c>
      <c r="G177" s="27">
        <f t="shared" si="3"/>
        <v>0</v>
      </c>
    </row>
    <row r="178" spans="1:7" x14ac:dyDescent="0.25">
      <c r="A178" s="120" t="str">
        <f>RIGHT(CSTABLE[[#This Row],[NomeNCM]],8)</f>
        <v>06012000</v>
      </c>
      <c r="B178" s="3" t="s">
        <v>3714</v>
      </c>
      <c r="C178" s="3" t="str">
        <f>IFERROR(VLOOKUP(B178,ST!C:D,2,0),"NÃOST")</f>
        <v>NÃOST</v>
      </c>
      <c r="D178" s="3"/>
      <c r="E178" s="3" t="str">
        <f>IF(COUNTIF(ISENÇÕES!A:A,CST!B178)&gt;0,"ISENÇÃO","SEM ISENÇÃO")</f>
        <v>ISENÇÃO</v>
      </c>
      <c r="F178" s="18" t="str">
        <f>IF(COUNTIF(REDUÇÕES!A:A,CST!B178)&gt;0,"REDUÇÃO","NÃO REDUÇÃO")</f>
        <v>NÃO REDUÇÃO</v>
      </c>
      <c r="G178" s="27">
        <f t="shared" si="3"/>
        <v>40</v>
      </c>
    </row>
    <row r="179" spans="1:7" x14ac:dyDescent="0.25">
      <c r="A179" s="120" t="str">
        <f>RIGHT(CSTABLE[[#This Row],[NomeNCM]],8)</f>
        <v>25010090</v>
      </c>
      <c r="B179" s="3" t="s">
        <v>286</v>
      </c>
      <c r="C179" s="3" t="str">
        <f>IFERROR(VLOOKUP(B179,ST!C:D,2,0),"NÃOST")</f>
        <v>NÃOST</v>
      </c>
      <c r="D179" s="3"/>
      <c r="E179" s="3" t="str">
        <f>IF(COUNTIF(ISENÇÕES!A:A,CST!B179)&gt;0,"ISENÇÃO","SEM ISENÇÃO")</f>
        <v>SEM ISENÇÃO</v>
      </c>
      <c r="F179" s="18" t="str">
        <f>IF(COUNTIF(REDUÇÕES!A:A,CST!B179)&gt;0,"REDUÇÃO","NÃO REDUÇÃO")</f>
        <v>REDUÇÃO</v>
      </c>
      <c r="G179" s="27">
        <f t="shared" si="3"/>
        <v>20</v>
      </c>
    </row>
    <row r="180" spans="1:7" x14ac:dyDescent="0.25">
      <c r="A180" s="120" t="str">
        <f>RIGHT(CSTABLE[[#This Row],[NomeNCM]],8)</f>
        <v>06029029</v>
      </c>
      <c r="B180" s="3" t="s">
        <v>549</v>
      </c>
      <c r="C180" s="3" t="str">
        <f>IFERROR(VLOOKUP(B180,ST!C:D,2,0),"NÃOST")</f>
        <v>NÃOST</v>
      </c>
      <c r="D180" s="3"/>
      <c r="E180" s="3" t="str">
        <f>IF(COUNTIF(ISENÇÕES!A:A,CST!B180)&gt;0,"ISENÇÃO","SEM ISENÇÃO")</f>
        <v>ISENÇÃO</v>
      </c>
      <c r="F180" s="18" t="str">
        <f>IF(COUNTIF(REDUÇÕES!A:A,CST!B180)&gt;0,"REDUÇÃO","NÃO REDUÇÃO")</f>
        <v>NÃO REDUÇÃO</v>
      </c>
      <c r="G180" s="27">
        <f t="shared" si="3"/>
        <v>40</v>
      </c>
    </row>
    <row r="181" spans="1:7" x14ac:dyDescent="0.25">
      <c r="A181" s="120" t="str">
        <f>RIGHT(CSTABLE[[#This Row],[NomeNCM]],8)</f>
        <v>20029090</v>
      </c>
      <c r="B181" s="3" t="s">
        <v>3715</v>
      </c>
      <c r="C181" s="3" t="str">
        <f>IFERROR(VLOOKUP(B181,ST!C:D,2,0),"NÃOST")</f>
        <v>NÃOST</v>
      </c>
      <c r="D181" s="3"/>
      <c r="E181" s="3" t="str">
        <f>IF(COUNTIF(ISENÇÕES!A:A,CST!B181)&gt;0,"ISENÇÃO","SEM ISENÇÃO")</f>
        <v>SEM ISENÇÃO</v>
      </c>
      <c r="F181" s="18" t="str">
        <f>IF(COUNTIF(REDUÇÕES!A:A,CST!B181)&gt;0,"REDUÇÃO","NÃO REDUÇÃO")</f>
        <v>NÃO REDUÇÃO</v>
      </c>
      <c r="G181" s="27">
        <f t="shared" si="3"/>
        <v>0</v>
      </c>
    </row>
    <row r="182" spans="1:7" x14ac:dyDescent="0.25">
      <c r="A182" s="120" t="str">
        <f>RIGHT(CSTABLE[[#This Row],[NomeNCM]],8)</f>
        <v>04022110</v>
      </c>
      <c r="B182" s="3" t="s">
        <v>2733</v>
      </c>
      <c r="C182" s="3" t="str">
        <f>IFERROR(VLOOKUP(B182,ST!C:D,2,0),"NÃOST")</f>
        <v>NÃOST</v>
      </c>
      <c r="D182" s="3"/>
      <c r="E182" s="3" t="str">
        <f>IF(COUNTIF(ISENÇÕES!A:A,CST!B182)&gt;0,"ISENÇÃO","SEM ISENÇÃO")</f>
        <v>SEM ISENÇÃO</v>
      </c>
      <c r="F182" s="18" t="str">
        <f>IF(COUNTIF(REDUÇÕES!A:A,CST!B182)&gt;0,"REDUÇÃO","NÃO REDUÇÃO")</f>
        <v>NÃO REDUÇÃO</v>
      </c>
      <c r="G182" s="27">
        <f t="shared" si="3"/>
        <v>0</v>
      </c>
    </row>
    <row r="183" spans="1:7" x14ac:dyDescent="0.25">
      <c r="A183" s="120" t="str">
        <f>RIGHT(CSTABLE[[#This Row],[NomeNCM]],8)</f>
        <v>04029900</v>
      </c>
      <c r="B183" s="3" t="s">
        <v>177</v>
      </c>
      <c r="C183" s="3" t="str">
        <f>IFERROR(VLOOKUP(B183,ST!C:D,2,0),"NÃOST")</f>
        <v>NÃOST</v>
      </c>
      <c r="D183" s="3"/>
      <c r="E183" s="3" t="str">
        <f>IF(COUNTIF(ISENÇÕES!A:A,CST!B183)&gt;0,"ISENÇÃO","SEM ISENÇÃO")</f>
        <v>SEM ISENÇÃO</v>
      </c>
      <c r="F183" s="18" t="str">
        <f>IF(COUNTIF(REDUÇÕES!A:A,CST!B183)&gt;0,"REDUÇÃO","NÃO REDUÇÃO")</f>
        <v>NÃO REDUÇÃO</v>
      </c>
      <c r="G183" s="27">
        <f t="shared" si="3"/>
        <v>0</v>
      </c>
    </row>
    <row r="184" spans="1:7" x14ac:dyDescent="0.25">
      <c r="A184" s="120" t="str">
        <f>RIGHT(CSTABLE[[#This Row],[NomeNCM]],8)</f>
        <v>07102100</v>
      </c>
      <c r="B184" s="3" t="s">
        <v>3319</v>
      </c>
      <c r="C184" s="3" t="str">
        <f>IFERROR(VLOOKUP(B184,ST!C:D,2,0),"NÃOST")</f>
        <v>NÃOST</v>
      </c>
      <c r="D184" s="3"/>
      <c r="E184" s="3" t="str">
        <f>IF(COUNTIF(ISENÇÕES!A:A,CST!B184)&gt;0,"ISENÇÃO","SEM ISENÇÃO")</f>
        <v>SEM ISENÇÃO</v>
      </c>
      <c r="F184" s="18" t="str">
        <f>IF(COUNTIF(REDUÇÕES!A:A,CST!B184)&gt;0,"REDUÇÃO","NÃO REDUÇÃO")</f>
        <v>NÃO REDUÇÃO</v>
      </c>
      <c r="G184" s="27">
        <f t="shared" si="3"/>
        <v>0</v>
      </c>
    </row>
    <row r="185" spans="1:7" x14ac:dyDescent="0.25">
      <c r="A185" s="120" t="str">
        <f>RIGHT(CSTABLE[[#This Row],[NomeNCM]],8)</f>
        <v>22021000</v>
      </c>
      <c r="B185" s="3" t="s">
        <v>236</v>
      </c>
      <c r="C185" s="3" t="str">
        <f>IFERROR(VLOOKUP(B185,ST!C:D,2,0),"NÃOST")</f>
        <v>ST</v>
      </c>
      <c r="D185" s="3"/>
      <c r="E185" s="3" t="str">
        <f>IF(COUNTIF(ISENÇÕES!A:A,CST!B185)&gt;0,"ISENÇÃO","SEM ISENÇÃO")</f>
        <v>SEM ISENÇÃO</v>
      </c>
      <c r="F185" s="18" t="str">
        <f>IF(COUNTIF(REDUÇÕES!A:A,CST!B185)&gt;0,"REDUÇÃO","NÃO REDUÇÃO")</f>
        <v>NÃO REDUÇÃO</v>
      </c>
      <c r="G185" s="27">
        <f t="shared" si="3"/>
        <v>60</v>
      </c>
    </row>
    <row r="186" spans="1:7" x14ac:dyDescent="0.25">
      <c r="A186" s="120" t="str">
        <f>RIGHT(CSTABLE[[#This Row],[NomeNCM]],8)</f>
        <v>11022000</v>
      </c>
      <c r="B186" s="3" t="s">
        <v>219</v>
      </c>
      <c r="C186" s="3" t="str">
        <f>IFERROR(VLOOKUP(B186,ST!C:D,2,0),"NÃOST")</f>
        <v>NÃOST</v>
      </c>
      <c r="D186" s="3"/>
      <c r="E186" s="3" t="str">
        <f>IF(COUNTIF(ISENÇÕES!A:A,CST!B186)&gt;0,"ISENÇÃO","SEM ISENÇÃO")</f>
        <v>SEM ISENÇÃO</v>
      </c>
      <c r="F186" s="18" t="str">
        <f>IF(COUNTIF(REDUÇÕES!A:A,CST!B186)&gt;0,"REDUÇÃO","NÃO REDUÇÃO")</f>
        <v>REDUÇÃO</v>
      </c>
      <c r="G186" s="27">
        <f t="shared" si="3"/>
        <v>20</v>
      </c>
    </row>
    <row r="187" spans="1:7" x14ac:dyDescent="0.25">
      <c r="A187" s="120" t="str">
        <f>RIGHT(CSTABLE[[#This Row],[NomeNCM]],8)</f>
        <v>16023100</v>
      </c>
      <c r="B187" s="3" t="s">
        <v>3716</v>
      </c>
      <c r="C187" s="3" t="str">
        <f>IFERROR(VLOOKUP(B187,ST!C:D,2,0),"NÃOST")</f>
        <v>NÃOST</v>
      </c>
      <c r="D187" s="3"/>
      <c r="E187" s="3" t="str">
        <f>IF(COUNTIF(ISENÇÕES!A:A,CST!B187)&gt;0,"ISENÇÃO","SEM ISENÇÃO")</f>
        <v>SEM ISENÇÃO</v>
      </c>
      <c r="F187" s="18" t="str">
        <f>IF(COUNTIF(REDUÇÕES!A:A,CST!B187)&gt;0,"REDUÇÃO","NÃO REDUÇÃO")</f>
        <v>NÃO REDUÇÃO</v>
      </c>
      <c r="G187" s="27">
        <f t="shared" si="3"/>
        <v>0</v>
      </c>
    </row>
    <row r="188" spans="1:7" x14ac:dyDescent="0.25">
      <c r="A188" s="120" t="str">
        <f>RIGHT(CSTABLE[[#This Row],[NomeNCM]],8)</f>
        <v>15171000</v>
      </c>
      <c r="B188" s="3" t="s">
        <v>180</v>
      </c>
      <c r="C188" s="3" t="str">
        <f>IFERROR(VLOOKUP(B188,ST!C:D,2,0),"NÃOST")</f>
        <v>NÃOST</v>
      </c>
      <c r="D188" s="3"/>
      <c r="E188" s="3" t="str">
        <f>IF(COUNTIF(ISENÇÕES!A:A,CST!B188)&gt;0,"ISENÇÃO","SEM ISENÇÃO")</f>
        <v>SEM ISENÇÃO</v>
      </c>
      <c r="F188" s="18" t="str">
        <f>IF(COUNTIF(REDUÇÕES!A:A,CST!B188)&gt;0,"REDUÇÃO","NÃO REDUÇÃO")</f>
        <v>REDUÇÃO</v>
      </c>
      <c r="G188" s="27">
        <f t="shared" si="3"/>
        <v>20</v>
      </c>
    </row>
    <row r="189" spans="1:7" x14ac:dyDescent="0.25">
      <c r="A189" s="120" t="str">
        <f>RIGHT(CSTABLE[[#This Row],[NomeNCM]],8)</f>
        <v>63071000</v>
      </c>
      <c r="B189" s="3" t="s">
        <v>3717</v>
      </c>
      <c r="C189" s="3" t="str">
        <f>IFERROR(VLOOKUP(B189,ST!C:D,2,0),"NÃOST")</f>
        <v>NÃOST</v>
      </c>
      <c r="D189" s="3"/>
      <c r="E189" s="3" t="str">
        <f>IF(COUNTIF(ISENÇÕES!A:A,CST!B189)&gt;0,"ISENÇÃO","SEM ISENÇÃO")</f>
        <v>SEM ISENÇÃO</v>
      </c>
      <c r="F189" s="18" t="str">
        <f>IF(COUNTIF(REDUÇÕES!A:A,CST!B189)&gt;0,"REDUÇÃO","NÃO REDUÇÃO")</f>
        <v>NÃO REDUÇÃO</v>
      </c>
      <c r="G189" s="27">
        <f t="shared" si="3"/>
        <v>0</v>
      </c>
    </row>
    <row r="190" spans="1:7" x14ac:dyDescent="0.25">
      <c r="A190" s="120" t="str">
        <f>RIGHT(CSTABLE[[#This Row],[NomeNCM]],8)</f>
        <v>08105000</v>
      </c>
      <c r="B190" s="3" t="s">
        <v>2725</v>
      </c>
      <c r="C190" s="3" t="str">
        <f>IFERROR(VLOOKUP(B190,ST!C:D,2,0),"NÃOST")</f>
        <v>NÃOST</v>
      </c>
      <c r="D190" s="3"/>
      <c r="E190" s="3" t="str">
        <f>IF(COUNTIF(ISENÇÕES!A:A,CST!B190)&gt;0,"ISENÇÃO","SEM ISENÇÃO")</f>
        <v>ISENÇÃO</v>
      </c>
      <c r="F190" s="18" t="str">
        <f>IF(COUNTIF(REDUÇÕES!A:A,CST!B190)&gt;0,"REDUÇÃO","NÃO REDUÇÃO")</f>
        <v>NÃO REDUÇÃO</v>
      </c>
      <c r="G190" s="27">
        <f t="shared" si="3"/>
        <v>40</v>
      </c>
    </row>
    <row r="191" spans="1:7" x14ac:dyDescent="0.25">
      <c r="A191" s="120" t="str">
        <f>RIGHT(CSTABLE[[#This Row],[NomeNCM]],8)</f>
        <v>34054000</v>
      </c>
      <c r="B191" s="3" t="s">
        <v>3718</v>
      </c>
      <c r="C191" s="3" t="str">
        <f>IFERROR(VLOOKUP(B191,ST!C:D,2,0),"NÃOST")</f>
        <v>NÃOST</v>
      </c>
      <c r="D191" s="3"/>
      <c r="E191" s="3" t="str">
        <f>IF(COUNTIF(ISENÇÕES!A:A,CST!B191)&gt;0,"ISENÇÃO","SEM ISENÇÃO")</f>
        <v>SEM ISENÇÃO</v>
      </c>
      <c r="F191" s="18" t="str">
        <f>IF(COUNTIF(REDUÇÕES!A:A,CST!B191)&gt;0,"REDUÇÃO","NÃO REDUÇÃO")</f>
        <v>NÃO REDUÇÃO</v>
      </c>
      <c r="G191" s="27">
        <f t="shared" si="3"/>
        <v>0</v>
      </c>
    </row>
    <row r="192" spans="1:7" x14ac:dyDescent="0.25">
      <c r="A192" s="120" t="str">
        <f>RIGHT(CSTABLE[[#This Row],[NomeNCM]],8)</f>
        <v>12040090</v>
      </c>
      <c r="B192" s="3" t="s">
        <v>3719</v>
      </c>
      <c r="C192" s="3" t="str">
        <f>IFERROR(VLOOKUP(B192,ST!C:D,2,0),"NÃOST")</f>
        <v>NÃOST</v>
      </c>
      <c r="D192" s="3"/>
      <c r="E192" s="3" t="str">
        <f>IF(COUNTIF(ISENÇÕES!A:A,CST!B192)&gt;0,"ISENÇÃO","SEM ISENÇÃO")</f>
        <v>SEM ISENÇÃO</v>
      </c>
      <c r="F192" s="18" t="str">
        <f>IF(COUNTIF(REDUÇÕES!A:A,CST!B192)&gt;0,"REDUÇÃO","NÃO REDUÇÃO")</f>
        <v>NÃO REDUÇÃO</v>
      </c>
      <c r="G192" s="27">
        <f t="shared" si="3"/>
        <v>0</v>
      </c>
    </row>
    <row r="193" spans="1:7" x14ac:dyDescent="0.25">
      <c r="A193" s="120" t="str">
        <f>RIGHT(CSTABLE[[#This Row],[NomeNCM]],8)</f>
        <v>12074090</v>
      </c>
      <c r="B193" s="3" t="s">
        <v>3720</v>
      </c>
      <c r="C193" s="3" t="str">
        <f>IFERROR(VLOOKUP(B193,ST!C:D,2,0),"NÃOST")</f>
        <v>NÃOST</v>
      </c>
      <c r="D193" s="3"/>
      <c r="E193" s="3" t="str">
        <f>IF(COUNTIF(ISENÇÕES!A:A,CST!B193)&gt;0,"ISENÇÃO","SEM ISENÇÃO")</f>
        <v>SEM ISENÇÃO</v>
      </c>
      <c r="F193" s="18" t="str">
        <f>IF(COUNTIF(REDUÇÕES!A:A,CST!B193)&gt;0,"REDUÇÃO","NÃO REDUÇÃO")</f>
        <v>NÃO REDUÇÃO</v>
      </c>
      <c r="G193" s="27">
        <f t="shared" si="3"/>
        <v>0</v>
      </c>
    </row>
    <row r="194" spans="1:7" x14ac:dyDescent="0.25">
      <c r="A194" s="120" t="str">
        <f>RIGHT(CSTABLE[[#This Row],[NomeNCM]],8)</f>
        <v>10085090</v>
      </c>
      <c r="B194" s="3" t="s">
        <v>3721</v>
      </c>
      <c r="C194" s="3" t="str">
        <f>IFERROR(VLOOKUP(B194,ST!C:D,2,0),"NÃOST")</f>
        <v>NÃOST</v>
      </c>
      <c r="D194" s="3"/>
      <c r="E194" s="3" t="str">
        <f>IF(COUNTIF(ISENÇÕES!A:A,CST!B194)&gt;0,"ISENÇÃO","SEM ISENÇÃO")</f>
        <v>SEM ISENÇÃO</v>
      </c>
      <c r="F194" s="18" t="str">
        <f>IF(COUNTIF(REDUÇÕES!A:A,CST!B194)&gt;0,"REDUÇÃO","NÃO REDUÇÃO")</f>
        <v>NÃO REDUÇÃO</v>
      </c>
      <c r="G194" s="27">
        <f t="shared" si="3"/>
        <v>0</v>
      </c>
    </row>
    <row r="195" spans="1:7" x14ac:dyDescent="0.25">
      <c r="A195" s="120" t="str">
        <f>RIGHT(CSTABLE[[#This Row],[NomeNCM]],8)</f>
        <v>12089000</v>
      </c>
      <c r="B195" s="3" t="s">
        <v>3722</v>
      </c>
      <c r="C195" s="3" t="str">
        <f>IFERROR(VLOOKUP(B195,ST!C:D,2,0),"NÃOST")</f>
        <v>NÃOST</v>
      </c>
      <c r="D195" s="3"/>
      <c r="E195" s="3" t="str">
        <f>IF(COUNTIF(ISENÇÕES!A:A,CST!B195)&gt;0,"ISENÇÃO","SEM ISENÇÃO")</f>
        <v>SEM ISENÇÃO</v>
      </c>
      <c r="F195" s="18" t="str">
        <f>IF(COUNTIF(REDUÇÕES!A:A,CST!B195)&gt;0,"REDUÇÃO","NÃO REDUÇÃO")</f>
        <v>NÃO REDUÇÃO</v>
      </c>
      <c r="G195" s="27">
        <f t="shared" si="3"/>
        <v>0</v>
      </c>
    </row>
    <row r="196" spans="1:7" x14ac:dyDescent="0.25">
      <c r="A196" s="120" t="str">
        <f>RIGHT(CSTABLE[[#This Row],[NomeNCM]],8)</f>
        <v>07049000</v>
      </c>
      <c r="B196" s="3" t="s">
        <v>2715</v>
      </c>
      <c r="C196" s="3" t="str">
        <f>IFERROR(VLOOKUP(B196,ST!C:D,2,0),"NÃOST")</f>
        <v>NÃOST</v>
      </c>
      <c r="D196" s="3"/>
      <c r="E196" s="3" t="str">
        <f>IF(COUNTIF(ISENÇÕES!A:A,CST!B196)&gt;0,"ISENÇÃO","SEM ISENÇÃO")</f>
        <v>ISENÇÃO</v>
      </c>
      <c r="F196" s="18" t="str">
        <f>IF(COUNTIF(REDUÇÕES!A:A,CST!B196)&gt;0,"REDUÇÃO","NÃO REDUÇÃO")</f>
        <v>NÃO REDUÇÃO</v>
      </c>
      <c r="G196" s="27">
        <f t="shared" si="3"/>
        <v>40</v>
      </c>
    </row>
    <row r="197" spans="1:7" x14ac:dyDescent="0.25">
      <c r="A197" s="120" t="str">
        <f>RIGHT(CSTABLE[[#This Row],[NomeNCM]],8)</f>
        <v>11041200</v>
      </c>
      <c r="B197" s="3" t="s">
        <v>3723</v>
      </c>
      <c r="C197" s="3" t="str">
        <f>IFERROR(VLOOKUP(B197,ST!C:D,2,0),"NÃOST")</f>
        <v>NÃOST</v>
      </c>
      <c r="D197" s="3"/>
      <c r="E197" s="3" t="str">
        <f>IF(COUNTIF(ISENÇÕES!A:A,CST!B197)&gt;0,"ISENÇÃO","SEM ISENÇÃO")</f>
        <v>SEM ISENÇÃO</v>
      </c>
      <c r="F197" s="18" t="str">
        <f>IF(COUNTIF(REDUÇÕES!A:A,CST!B197)&gt;0,"REDUÇÃO","NÃO REDUÇÃO")</f>
        <v>NÃO REDUÇÃO</v>
      </c>
      <c r="G197" s="27">
        <f t="shared" si="3"/>
        <v>0</v>
      </c>
    </row>
    <row r="198" spans="1:7" x14ac:dyDescent="0.25">
      <c r="A198" s="120" t="str">
        <f>RIGHT(CSTABLE[[#This Row],[NomeNCM]],8)</f>
        <v>12079990</v>
      </c>
      <c r="B198" s="3" t="s">
        <v>3724</v>
      </c>
      <c r="C198" s="3" t="str">
        <f>IFERROR(VLOOKUP(B198,ST!C:D,2,0),"NÃOST")</f>
        <v>NÃOST</v>
      </c>
      <c r="D198" s="3"/>
      <c r="E198" s="3" t="str">
        <f>IF(COUNTIF(ISENÇÕES!A:A,CST!B198)&gt;0,"ISENÇÃO","SEM ISENÇÃO")</f>
        <v>SEM ISENÇÃO</v>
      </c>
      <c r="F198" s="18" t="str">
        <f>IF(COUNTIF(REDUÇÕES!A:A,CST!B198)&gt;0,"REDUÇÃO","NÃO REDUÇÃO")</f>
        <v>NÃO REDUÇÃO</v>
      </c>
      <c r="G198" s="27">
        <f t="shared" si="3"/>
        <v>0</v>
      </c>
    </row>
    <row r="199" spans="1:7" x14ac:dyDescent="0.25">
      <c r="A199" s="120" t="str">
        <f>RIGHT(CSTABLE[[#This Row],[NomeNCM]],8)</f>
        <v>08132020</v>
      </c>
      <c r="B199" s="3" t="s">
        <v>2723</v>
      </c>
      <c r="C199" s="3" t="str">
        <f>IFERROR(VLOOKUP(B199,ST!C:D,2,0),"NÃOST")</f>
        <v>NÃOST</v>
      </c>
      <c r="D199" s="3"/>
      <c r="E199" s="3" t="str">
        <f>IF(COUNTIF(ISENÇÕES!A:A,CST!B199)&gt;0,"ISENÇÃO","SEM ISENÇÃO")</f>
        <v>SEM ISENÇÃO</v>
      </c>
      <c r="F199" s="18" t="str">
        <f>IF(COUNTIF(REDUÇÕES!A:A,CST!B199)&gt;0,"REDUÇÃO","NÃO REDUÇÃO")</f>
        <v>NÃO REDUÇÃO</v>
      </c>
      <c r="G199" s="27">
        <f t="shared" si="3"/>
        <v>0</v>
      </c>
    </row>
    <row r="200" spans="1:7" x14ac:dyDescent="0.25">
      <c r="A200" s="120" t="str">
        <f>RIGHT(CSTABLE[[#This Row],[NomeNCM]],8)</f>
        <v>36069000</v>
      </c>
      <c r="B200" s="3" t="s">
        <v>3725</v>
      </c>
      <c r="C200" s="3" t="str">
        <f>IFERROR(VLOOKUP(B200,ST!C:D,2,0),"NÃOST")</f>
        <v>NÃOST</v>
      </c>
      <c r="D200" s="3"/>
      <c r="E200" s="3" t="str">
        <f>IF(COUNTIF(ISENÇÕES!A:A,CST!B200)&gt;0,"ISENÇÃO","SEM ISENÇÃO")</f>
        <v>SEM ISENÇÃO</v>
      </c>
      <c r="F200" s="18" t="str">
        <f>IF(COUNTIF(REDUÇÕES!A:A,CST!B200)&gt;0,"REDUÇÃO","NÃO REDUÇÃO")</f>
        <v>NÃO REDUÇÃO</v>
      </c>
      <c r="G200" s="27">
        <f t="shared" si="3"/>
        <v>0</v>
      </c>
    </row>
    <row r="201" spans="1:7" x14ac:dyDescent="0.25">
      <c r="A201" s="120" t="str">
        <f>RIGHT(CSTABLE[[#This Row],[NomeNCM]],8)</f>
        <v>07132090</v>
      </c>
      <c r="B201" s="3" t="s">
        <v>3325</v>
      </c>
      <c r="C201" s="3" t="str">
        <f>IFERROR(VLOOKUP(B201,ST!C:D,2,0),"NÃOST")</f>
        <v>NÃOST</v>
      </c>
      <c r="D201" s="3"/>
      <c r="E201" s="3" t="str">
        <f>IF(COUNTIF(ISENÇÕES!A:A,CST!B201)&gt;0,"ISENÇÃO","SEM ISENÇÃO")</f>
        <v>SEM ISENÇÃO</v>
      </c>
      <c r="F201" s="18" t="str">
        <f>IF(COUNTIF(REDUÇÕES!A:A,CST!B201)&gt;0,"REDUÇÃO","NÃO REDUÇÃO")</f>
        <v>NÃO REDUÇÃO</v>
      </c>
      <c r="G201" s="27">
        <f t="shared" si="3"/>
        <v>0</v>
      </c>
    </row>
    <row r="202" spans="1:7" x14ac:dyDescent="0.25">
      <c r="A202" s="120" t="str">
        <f>RIGHT(CSTABLE[[#This Row],[NomeNCM]],8)</f>
        <v>22072019</v>
      </c>
      <c r="B202" s="3" t="s">
        <v>3726</v>
      </c>
      <c r="C202" s="3" t="str">
        <f>IFERROR(VLOOKUP(B202,ST!C:D,2,0),"NÃOST")</f>
        <v>NÃOST</v>
      </c>
      <c r="D202" s="3"/>
      <c r="E202" s="3" t="str">
        <f>IF(COUNTIF(ISENÇÕES!A:A,CST!B202)&gt;0,"ISENÇÃO","SEM ISENÇÃO")</f>
        <v>SEM ISENÇÃO</v>
      </c>
      <c r="F202" s="18" t="str">
        <f>IF(COUNTIF(REDUÇÕES!A:A,CST!B202)&gt;0,"REDUÇÃO","NÃO REDUÇÃO")</f>
        <v>NÃO REDUÇÃO</v>
      </c>
      <c r="G202" s="27">
        <f t="shared" si="3"/>
        <v>0</v>
      </c>
    </row>
    <row r="203" spans="1:7" x14ac:dyDescent="0.25">
      <c r="A203" s="120" t="str">
        <f>RIGHT(CSTABLE[[#This Row],[NomeNCM]],8)</f>
        <v>07134090</v>
      </c>
      <c r="B203" s="3" t="s">
        <v>3327</v>
      </c>
      <c r="C203" s="3" t="str">
        <f>IFERROR(VLOOKUP(B203,ST!C:D,2,0),"NÃOST")</f>
        <v>NÃOST</v>
      </c>
      <c r="D203" s="3"/>
      <c r="E203" s="3" t="str">
        <f>IF(COUNTIF(ISENÇÕES!A:A,CST!B203)&gt;0,"ISENÇÃO","SEM ISENÇÃO")</f>
        <v>SEM ISENÇÃO</v>
      </c>
      <c r="F203" s="18" t="str">
        <f>IF(COUNTIF(REDUÇÕES!A:A,CST!B203)&gt;0,"REDUÇÃO","NÃO REDUÇÃO")</f>
        <v>NÃO REDUÇÃO</v>
      </c>
      <c r="G203" s="27">
        <f t="shared" si="3"/>
        <v>0</v>
      </c>
    </row>
    <row r="204" spans="1:7" x14ac:dyDescent="0.25">
      <c r="A204" s="120" t="str">
        <f>RIGHT(CSTABLE[[#This Row],[NomeNCM]],8)</f>
        <v>04031000</v>
      </c>
      <c r="B204" s="3" t="s">
        <v>179</v>
      </c>
      <c r="C204" s="3" t="str">
        <f>IFERROR(VLOOKUP(B204,ST!C:D,2,0),"NÃOST")</f>
        <v>NÃOST</v>
      </c>
      <c r="D204" s="3"/>
      <c r="E204" s="3" t="str">
        <f>IF(COUNTIF(ISENÇÕES!A:A,CST!B204)&gt;0,"ISENÇÃO","SEM ISENÇÃO")</f>
        <v>SEM ISENÇÃO</v>
      </c>
      <c r="F204" s="18" t="str">
        <f>IF(COUNTIF(REDUÇÕES!A:A,CST!B204)&gt;0,"REDUÇÃO","NÃO REDUÇÃO")</f>
        <v>NÃO REDUÇÃO</v>
      </c>
      <c r="G204" s="27">
        <f t="shared" si="3"/>
        <v>0</v>
      </c>
    </row>
    <row r="205" spans="1:7" x14ac:dyDescent="0.25">
      <c r="A205" s="120" t="str">
        <f>RIGHT(CSTABLE[[#This Row],[NomeNCM]],8)</f>
        <v>22086000</v>
      </c>
      <c r="B205" s="3" t="s">
        <v>3727</v>
      </c>
      <c r="C205" s="3" t="str">
        <f>IFERROR(VLOOKUP(B205,ST!C:D,2,0),"NÃOST")</f>
        <v>NÃOST</v>
      </c>
      <c r="D205" s="3"/>
      <c r="E205" s="3" t="str">
        <f>IF(COUNTIF(ISENÇÕES!A:A,CST!B205)&gt;0,"ISENÇÃO","SEM ISENÇÃO")</f>
        <v>SEM ISENÇÃO</v>
      </c>
      <c r="F205" s="18" t="str">
        <f>IF(COUNTIF(REDUÇÕES!A:A,CST!B205)&gt;0,"REDUÇÃO","NÃO REDUÇÃO")</f>
        <v>NÃO REDUÇÃO</v>
      </c>
      <c r="G205" s="27">
        <f t="shared" si="3"/>
        <v>0</v>
      </c>
    </row>
    <row r="206" spans="1:7" x14ac:dyDescent="0.25">
      <c r="A206" s="120" t="str">
        <f>RIGHT(CSTABLE[[#This Row],[NomeNCM]],8)</f>
        <v>41152000</v>
      </c>
      <c r="B206" s="3" t="s">
        <v>3728</v>
      </c>
      <c r="C206" s="3" t="str">
        <f>IFERROR(VLOOKUP(B206,ST!C:D,2,0),"NÃOST")</f>
        <v>NÃOST</v>
      </c>
      <c r="D206" s="3"/>
      <c r="E206" s="3" t="str">
        <f>IF(COUNTIF(ISENÇÕES!A:A,CST!B206)&gt;0,"ISENÇÃO","SEM ISENÇÃO")</f>
        <v>SEM ISENÇÃO</v>
      </c>
      <c r="F206" s="18" t="str">
        <f>IF(COUNTIF(REDUÇÕES!A:A,CST!B206)&gt;0,"REDUÇÃO","NÃO REDUÇÃO")</f>
        <v>NÃO REDUÇÃO</v>
      </c>
      <c r="G206" s="27">
        <f t="shared" si="3"/>
        <v>0</v>
      </c>
    </row>
    <row r="207" spans="1:7" x14ac:dyDescent="0.25">
      <c r="A207" s="120" t="str">
        <f>RIGHT(CSTABLE[[#This Row],[NomeNCM]],8)</f>
        <v>07099990</v>
      </c>
      <c r="B207" s="3" t="s">
        <v>2410</v>
      </c>
      <c r="C207" s="3" t="str">
        <f>IFERROR(VLOOKUP(B207,ST!C:D,2,0),"NÃOST")</f>
        <v>NÃOST</v>
      </c>
      <c r="D207" s="3"/>
      <c r="E207" s="3" t="str">
        <f>IF(COUNTIF(ISENÇÕES!A:A,CST!B207)&gt;0,"ISENÇÃO","SEM ISENÇÃO")</f>
        <v>ISENÇÃO</v>
      </c>
      <c r="F207" s="18" t="str">
        <f>IF(COUNTIF(REDUÇÕES!A:A,CST!B207)&gt;0,"REDUÇÃO","NÃO REDUÇÃO")</f>
        <v>NÃO REDUÇÃO</v>
      </c>
      <c r="G207" s="27">
        <f t="shared" si="3"/>
        <v>40</v>
      </c>
    </row>
    <row r="208" spans="1:7" x14ac:dyDescent="0.25">
      <c r="A208" s="120" t="str">
        <f>RIGHT(CSTABLE[[#This Row],[NomeNCM]],8)</f>
        <v>42050000</v>
      </c>
      <c r="B208" s="3" t="s">
        <v>3729</v>
      </c>
      <c r="C208" s="3" t="str">
        <f>IFERROR(VLOOKUP(B208,ST!C:D,2,0),"NÃOST")</f>
        <v>NÃOST</v>
      </c>
      <c r="D208" s="3"/>
      <c r="E208" s="3" t="str">
        <f>IF(COUNTIF(ISENÇÕES!A:A,CST!B208)&gt;0,"ISENÇÃO","SEM ISENÇÃO")</f>
        <v>SEM ISENÇÃO</v>
      </c>
      <c r="F208" s="18" t="str">
        <f>IF(COUNTIF(REDUÇÕES!A:A,CST!B208)&gt;0,"REDUÇÃO","NÃO REDUÇÃO")</f>
        <v>NÃO REDUÇÃO</v>
      </c>
      <c r="G208" s="27">
        <f t="shared" si="3"/>
        <v>0</v>
      </c>
    </row>
    <row r="209" spans="1:7" x14ac:dyDescent="0.25">
      <c r="A209" s="120" t="str">
        <f>RIGHT(CSTABLE[[#This Row],[NomeNCM]],8)</f>
        <v>39269090</v>
      </c>
      <c r="B209" s="3" t="s">
        <v>3730</v>
      </c>
      <c r="C209" s="3" t="str">
        <f>IFERROR(VLOOKUP(B209,ST!C:D,2,0),"NÃOST")</f>
        <v>NÃOST</v>
      </c>
      <c r="D209" s="3"/>
      <c r="E209" s="3" t="str">
        <f>IF(COUNTIF(ISENÇÕES!A:A,CST!B209)&gt;0,"ISENÇÃO","SEM ISENÇÃO")</f>
        <v>SEM ISENÇÃO</v>
      </c>
      <c r="F209" s="18" t="str">
        <f>IF(COUNTIF(REDUÇÕES!A:A,CST!B209)&gt;0,"REDUÇÃO","NÃO REDUÇÃO")</f>
        <v>NÃO REDUÇÃO</v>
      </c>
      <c r="G209" s="27">
        <f t="shared" ref="G209:G272" si="4">VLOOKUP(C209&amp;F209&amp;E209,$B$3:$F$10,5,0)</f>
        <v>0</v>
      </c>
    </row>
    <row r="210" spans="1:7" x14ac:dyDescent="0.25">
      <c r="A210" s="120" t="str">
        <f>RIGHT(CSTABLE[[#This Row],[NomeNCM]],8)</f>
        <v>22071090</v>
      </c>
      <c r="B210" s="3" t="s">
        <v>31</v>
      </c>
      <c r="C210" s="3" t="str">
        <f>IFERROR(VLOOKUP(B210,ST!C:D,2,0),"NÃOST")</f>
        <v>NÃOST</v>
      </c>
      <c r="D210" s="3"/>
      <c r="E210" s="3" t="str">
        <f>IF(COUNTIF(ISENÇÕES!A:A,CST!B210)&gt;0,"ISENÇÃO","SEM ISENÇÃO")</f>
        <v>SEM ISENÇÃO</v>
      </c>
      <c r="F210" s="18" t="str">
        <f>IF(COUNTIF(REDUÇÕES!A:A,CST!B210)&gt;0,"REDUÇÃO","NÃO REDUÇÃO")</f>
        <v>NÃO REDUÇÃO</v>
      </c>
      <c r="G210" s="27">
        <f t="shared" si="4"/>
        <v>0</v>
      </c>
    </row>
    <row r="211" spans="1:7" x14ac:dyDescent="0.25">
      <c r="A211" s="120" t="str">
        <f>RIGHT(CSTABLE[[#This Row],[NomeNCM]],8)</f>
        <v>95030099</v>
      </c>
      <c r="B211" s="3" t="s">
        <v>3731</v>
      </c>
      <c r="C211" s="3" t="str">
        <f>IFERROR(VLOOKUP(B211,ST!C:D,2,0),"NÃOST")</f>
        <v>NÃOST</v>
      </c>
      <c r="D211" s="3"/>
      <c r="E211" s="3" t="str">
        <f>IF(COUNTIF(ISENÇÕES!A:A,CST!B211)&gt;0,"ISENÇÃO","SEM ISENÇÃO")</f>
        <v>SEM ISENÇÃO</v>
      </c>
      <c r="F211" s="18" t="str">
        <f>IF(COUNTIF(REDUÇÕES!A:A,CST!B211)&gt;0,"REDUÇÃO","NÃO REDUÇÃO")</f>
        <v>NÃO REDUÇÃO</v>
      </c>
      <c r="G211" s="27">
        <f t="shared" si="4"/>
        <v>0</v>
      </c>
    </row>
    <row r="212" spans="1:7" x14ac:dyDescent="0.25">
      <c r="A212" s="120" t="str">
        <f>RIGHT(CSTABLE[[#This Row],[NomeNCM]],8)</f>
        <v>19042000</v>
      </c>
      <c r="B212" s="3" t="s">
        <v>3732</v>
      </c>
      <c r="C212" s="3" t="str">
        <f>IFERROR(VLOOKUP(B212,ST!C:D,2,0),"NÃOST")</f>
        <v>NÃOST</v>
      </c>
      <c r="D212" s="3"/>
      <c r="E212" s="3" t="str">
        <f>IF(COUNTIF(ISENÇÕES!A:A,CST!B212)&gt;0,"ISENÇÃO","SEM ISENÇÃO")</f>
        <v>SEM ISENÇÃO</v>
      </c>
      <c r="F212" s="18" t="str">
        <f>IF(COUNTIF(REDUÇÕES!A:A,CST!B212)&gt;0,"REDUÇÃO","NÃO REDUÇÃO")</f>
        <v>NÃO REDUÇÃO</v>
      </c>
      <c r="G212" s="27">
        <f t="shared" si="4"/>
        <v>0</v>
      </c>
    </row>
    <row r="213" spans="1:7" x14ac:dyDescent="0.25">
      <c r="A213" s="120" t="str">
        <f>RIGHT(CSTABLE[[#This Row],[NomeNCM]],8)</f>
        <v>21069029</v>
      </c>
      <c r="B213" s="3" t="s">
        <v>247</v>
      </c>
      <c r="C213" s="3" t="str">
        <f>IFERROR(VLOOKUP(B213,ST!C:D,2,0),"NÃOST")</f>
        <v>NÃOST</v>
      </c>
      <c r="D213" s="3"/>
      <c r="E213" s="3" t="str">
        <f>IF(COUNTIF(ISENÇÕES!A:A,CST!B213)&gt;0,"ISENÇÃO","SEM ISENÇÃO")</f>
        <v>SEM ISENÇÃO</v>
      </c>
      <c r="F213" s="18" t="str">
        <f>IF(COUNTIF(REDUÇÕES!A:A,CST!B213)&gt;0,"REDUÇÃO","NÃO REDUÇÃO")</f>
        <v>REDUÇÃO</v>
      </c>
      <c r="G213" s="27">
        <f t="shared" si="4"/>
        <v>20</v>
      </c>
    </row>
    <row r="214" spans="1:7" x14ac:dyDescent="0.25">
      <c r="A214" s="120" t="str">
        <f>RIGHT(CSTABLE[[#This Row],[NomeNCM]],8)</f>
        <v>21050010</v>
      </c>
      <c r="B214" s="3" t="s">
        <v>192</v>
      </c>
      <c r="C214" s="3" t="str">
        <f>IFERROR(VLOOKUP(B214,ST!C:D,2,0),"NÃOST")</f>
        <v>ST</v>
      </c>
      <c r="D214" s="3"/>
      <c r="E214" s="3" t="str">
        <f>IF(COUNTIF(ISENÇÕES!A:A,CST!B214)&gt;0,"ISENÇÃO","SEM ISENÇÃO")</f>
        <v>SEM ISENÇÃO</v>
      </c>
      <c r="F214" s="18" t="str">
        <f>IF(COUNTIF(REDUÇÕES!A:A,CST!B214)&gt;0,"REDUÇÃO","NÃO REDUÇÃO")</f>
        <v>NÃO REDUÇÃO</v>
      </c>
      <c r="G214" s="27">
        <f t="shared" si="4"/>
        <v>60</v>
      </c>
    </row>
    <row r="215" spans="1:7" x14ac:dyDescent="0.25">
      <c r="A215" s="120" t="str">
        <f>RIGHT(CSTABLE[[#This Row],[NomeNCM]],8)</f>
        <v>02101100</v>
      </c>
      <c r="B215" s="3" t="s">
        <v>3109</v>
      </c>
      <c r="C215" s="3" t="str">
        <f>IFERROR(VLOOKUP(B215,ST!C:D,2,0),"NÃOST")</f>
        <v>NÃOST</v>
      </c>
      <c r="D215" s="3"/>
      <c r="E215" s="3" t="str">
        <f>IF(COUNTIF(ISENÇÕES!A:A,CST!B215)&gt;0,"ISENÇÃO","SEM ISENÇÃO")</f>
        <v>SEM ISENÇÃO</v>
      </c>
      <c r="F215" s="18" t="str">
        <f>IF(COUNTIF(REDUÇÕES!A:A,CST!B215)&gt;0,"REDUÇÃO","NÃO REDUÇÃO")</f>
        <v>NÃO REDUÇÃO</v>
      </c>
      <c r="G215" s="27">
        <f t="shared" si="4"/>
        <v>0</v>
      </c>
    </row>
    <row r="216" spans="1:7" x14ac:dyDescent="0.25">
      <c r="A216" s="120" t="str">
        <f>RIGHT(CSTABLE[[#This Row],[NomeNCM]],8)</f>
        <v>11062000</v>
      </c>
      <c r="B216" s="3" t="s">
        <v>169</v>
      </c>
      <c r="C216" s="3" t="str">
        <f>IFERROR(VLOOKUP(B216,ST!C:D,2,0),"NÃOST")</f>
        <v>NÃOST</v>
      </c>
      <c r="D216" s="3"/>
      <c r="E216" s="3" t="str">
        <f>IF(COUNTIF(ISENÇÕES!A:A,CST!B216)&gt;0,"ISENÇÃO","SEM ISENÇÃO")</f>
        <v>SEM ISENÇÃO</v>
      </c>
      <c r="F216" s="18" t="str">
        <f>IF(COUNTIF(REDUÇÕES!A:A,CST!B216)&gt;0,"REDUÇÃO","NÃO REDUÇÃO")</f>
        <v>REDUÇÃO</v>
      </c>
      <c r="G216" s="27">
        <f t="shared" si="4"/>
        <v>20</v>
      </c>
    </row>
    <row r="217" spans="1:7" x14ac:dyDescent="0.25">
      <c r="A217" s="120" t="str">
        <f>RIGHT(CSTABLE[[#This Row],[NomeNCM]],8)</f>
        <v>04069020</v>
      </c>
      <c r="B217" s="3" t="s">
        <v>248</v>
      </c>
      <c r="C217" s="3" t="str">
        <f>IFERROR(VLOOKUP(B217,ST!C:D,2,0),"NÃOST")</f>
        <v>NÃOST</v>
      </c>
      <c r="D217" s="3"/>
      <c r="E217" s="3" t="str">
        <f>IF(COUNTIF(ISENÇÕES!A:A,CST!B217)&gt;0,"ISENÇÃO","SEM ISENÇÃO")</f>
        <v>SEM ISENÇÃO</v>
      </c>
      <c r="F217" s="18" t="str">
        <f>IF(COUNTIF(REDUÇÕES!A:A,CST!B217)&gt;0,"REDUÇÃO","NÃO REDUÇÃO")</f>
        <v>REDUÇÃO</v>
      </c>
      <c r="G217" s="27">
        <f t="shared" si="4"/>
        <v>20</v>
      </c>
    </row>
    <row r="218" spans="1:7" x14ac:dyDescent="0.25">
      <c r="A218" s="120" t="str">
        <f>RIGHT(CSTABLE[[#This Row],[NomeNCM]],8)</f>
        <v>22090000</v>
      </c>
      <c r="B218" s="3" t="s">
        <v>233</v>
      </c>
      <c r="C218" s="3" t="str">
        <f>IFERROR(VLOOKUP(B218,ST!C:D,2,0),"NÃOST")</f>
        <v>NÃOST</v>
      </c>
      <c r="D218" s="3"/>
      <c r="E218" s="3" t="str">
        <f>IF(COUNTIF(ISENÇÕES!A:A,CST!B218)&gt;0,"ISENÇÃO","SEM ISENÇÃO")</f>
        <v>SEM ISENÇÃO</v>
      </c>
      <c r="F218" s="18" t="str">
        <f>IF(COUNTIF(REDUÇÕES!A:A,CST!B218)&gt;0,"REDUÇÃO","NÃO REDUÇÃO")</f>
        <v>REDUÇÃO</v>
      </c>
      <c r="G218" s="27">
        <f t="shared" si="4"/>
        <v>20</v>
      </c>
    </row>
    <row r="219" spans="1:7" x14ac:dyDescent="0.25">
      <c r="A219" s="120" t="str">
        <f>RIGHT(CSTABLE[[#This Row],[NomeNCM]],8)</f>
        <v>19012000</v>
      </c>
      <c r="B219" s="3" t="s">
        <v>3733</v>
      </c>
      <c r="C219" s="3" t="str">
        <f>IFERROR(VLOOKUP(B219,ST!C:D,2,0),"NÃOST")</f>
        <v>NÃOST</v>
      </c>
      <c r="D219" s="3"/>
      <c r="E219" s="3" t="str">
        <f>IF(COUNTIF(ISENÇÕES!A:A,CST!B219)&gt;0,"ISENÇÃO","SEM ISENÇÃO")</f>
        <v>SEM ISENÇÃO</v>
      </c>
      <c r="F219" s="18" t="str">
        <f>IF(COUNTIF(REDUÇÕES!A:A,CST!B219)&gt;0,"REDUÇÃO","NÃO REDUÇÃO")</f>
        <v>REDUÇÃO</v>
      </c>
      <c r="G219" s="27">
        <f t="shared" si="4"/>
        <v>20</v>
      </c>
    </row>
    <row r="220" spans="1:7" x14ac:dyDescent="0.25">
      <c r="A220" s="120" t="str">
        <f>RIGHT(CSTABLE[[#This Row],[NomeNCM]],8)</f>
        <v>68053090</v>
      </c>
      <c r="B220" s="3" t="s">
        <v>3734</v>
      </c>
      <c r="C220" s="3" t="str">
        <f>IFERROR(VLOOKUP(B220,ST!C:D,2,0),"NÃOST")</f>
        <v>NÃOST</v>
      </c>
      <c r="D220" s="3"/>
      <c r="E220" s="3" t="str">
        <f>IF(COUNTIF(ISENÇÕES!A:A,CST!B220)&gt;0,"ISENÇÃO","SEM ISENÇÃO")</f>
        <v>SEM ISENÇÃO</v>
      </c>
      <c r="F220" s="18" t="str">
        <f>IF(COUNTIF(REDUÇÕES!A:A,CST!B220)&gt;0,"REDUÇÃO","NÃO REDUÇÃO")</f>
        <v>NÃO REDUÇÃO</v>
      </c>
      <c r="G220" s="27">
        <f t="shared" si="4"/>
        <v>0</v>
      </c>
    </row>
    <row r="221" spans="1:7" x14ac:dyDescent="0.25">
      <c r="A221" s="120" t="str">
        <f>RIGHT(CSTABLE[[#This Row],[NomeNCM]],8)</f>
        <v>22087000</v>
      </c>
      <c r="B221" s="3" t="s">
        <v>3735</v>
      </c>
      <c r="C221" s="3" t="str">
        <f>IFERROR(VLOOKUP(B221,ST!C:D,2,0),"NÃOST")</f>
        <v>NÃOST</v>
      </c>
      <c r="D221" s="3"/>
      <c r="E221" s="3" t="str">
        <f>IF(COUNTIF(ISENÇÕES!A:A,CST!B221)&gt;0,"ISENÇÃO","SEM ISENÇÃO")</f>
        <v>SEM ISENÇÃO</v>
      </c>
      <c r="F221" s="18" t="str">
        <f>IF(COUNTIF(REDUÇÕES!A:A,CST!B221)&gt;0,"REDUÇÃO","NÃO REDUÇÃO")</f>
        <v>NÃO REDUÇÃO</v>
      </c>
      <c r="G221" s="27">
        <f t="shared" si="4"/>
        <v>0</v>
      </c>
    </row>
    <row r="222" spans="1:7" x14ac:dyDescent="0.25">
      <c r="A222" s="120" t="str">
        <f>RIGHT(CSTABLE[[#This Row],[NomeNCM]],8)</f>
        <v>96170020</v>
      </c>
      <c r="B222" s="3" t="s">
        <v>3736</v>
      </c>
      <c r="C222" s="3" t="str">
        <f>IFERROR(VLOOKUP(B222,ST!C:D,2,0),"NÃOST")</f>
        <v>NÃOST</v>
      </c>
      <c r="D222" s="3"/>
      <c r="E222" s="3" t="str">
        <f>IF(COUNTIF(ISENÇÕES!A:A,CST!B222)&gt;0,"ISENÇÃO","SEM ISENÇÃO")</f>
        <v>SEM ISENÇÃO</v>
      </c>
      <c r="F222" s="18" t="str">
        <f>IF(COUNTIF(REDUÇÕES!A:A,CST!B222)&gt;0,"REDUÇÃO","NÃO REDUÇÃO")</f>
        <v>NÃO REDUÇÃO</v>
      </c>
      <c r="G222" s="27">
        <f t="shared" si="4"/>
        <v>0</v>
      </c>
    </row>
    <row r="223" spans="1:7" x14ac:dyDescent="0.25">
      <c r="A223" s="120" t="str">
        <f>RIGHT(CSTABLE[[#This Row],[NomeNCM]],8)</f>
        <v>20096100</v>
      </c>
      <c r="B223" s="3" t="s">
        <v>3737</v>
      </c>
      <c r="C223" s="3" t="str">
        <f>IFERROR(VLOOKUP(B223,ST!C:D,2,0),"NÃOST")</f>
        <v>NÃOST</v>
      </c>
      <c r="D223" s="3"/>
      <c r="E223" s="3" t="str">
        <f>IF(COUNTIF(ISENÇÕES!A:A,CST!B223)&gt;0,"ISENÇÃO","SEM ISENÇÃO")</f>
        <v>SEM ISENÇÃO</v>
      </c>
      <c r="F223" s="18" t="str">
        <f>IF(COUNTIF(REDUÇÕES!A:A,CST!B223)&gt;0,"REDUÇÃO","NÃO REDUÇÃO")</f>
        <v>NÃO REDUÇÃO</v>
      </c>
      <c r="G223" s="27">
        <f t="shared" si="4"/>
        <v>0</v>
      </c>
    </row>
    <row r="224" spans="1:7" x14ac:dyDescent="0.25">
      <c r="A224" s="120" t="str">
        <f>RIGHT(CSTABLE[[#This Row],[NomeNCM]],8)</f>
        <v>20058000</v>
      </c>
      <c r="B224" s="3" t="s">
        <v>221</v>
      </c>
      <c r="C224" s="3" t="str">
        <f>IFERROR(VLOOKUP(B224,ST!C:D,2,0),"NÃOST")</f>
        <v>NÃOST</v>
      </c>
      <c r="D224" s="3"/>
      <c r="E224" s="3" t="str">
        <f>IF(COUNTIF(ISENÇÕES!A:A,CST!B224)&gt;0,"ISENÇÃO","SEM ISENÇÃO")</f>
        <v>SEM ISENÇÃO</v>
      </c>
      <c r="F224" s="18" t="str">
        <f>IF(COUNTIF(REDUÇÕES!A:A,CST!B224)&gt;0,"REDUÇÃO","NÃO REDUÇÃO")</f>
        <v>NÃO REDUÇÃO</v>
      </c>
      <c r="G224" s="27">
        <f t="shared" si="4"/>
        <v>0</v>
      </c>
    </row>
    <row r="225" spans="1:7" x14ac:dyDescent="0.25">
      <c r="A225" s="120" t="str">
        <f>RIGHT(CSTABLE[[#This Row],[NomeNCM]],8)</f>
        <v>20091200</v>
      </c>
      <c r="B225" s="3" t="s">
        <v>3738</v>
      </c>
      <c r="C225" s="3" t="str">
        <f>IFERROR(VLOOKUP(B225,ST!C:D,2,0),"NÃOST")</f>
        <v>NÃOST</v>
      </c>
      <c r="D225" s="3"/>
      <c r="E225" s="3" t="str">
        <f>IF(COUNTIF(ISENÇÕES!A:A,CST!B225)&gt;0,"ISENÇÃO","SEM ISENÇÃO")</f>
        <v>SEM ISENÇÃO</v>
      </c>
      <c r="F225" s="18" t="str">
        <f>IF(COUNTIF(REDUÇÕES!A:A,CST!B225)&gt;0,"REDUÇÃO","NÃO REDUÇÃO")</f>
        <v>NÃO REDUÇÃO</v>
      </c>
      <c r="G225" s="27">
        <f t="shared" si="4"/>
        <v>0</v>
      </c>
    </row>
    <row r="226" spans="1:7" x14ac:dyDescent="0.25">
      <c r="A226" s="120" t="str">
        <f>RIGHT(CSTABLE[[#This Row],[NomeNCM]],8)</f>
        <v>73231000</v>
      </c>
      <c r="B226" s="3" t="s">
        <v>3739</v>
      </c>
      <c r="C226" s="3" t="str">
        <f>IFERROR(VLOOKUP(B226,ST!C:D,2,0),"NÃOST")</f>
        <v>NÃOST</v>
      </c>
      <c r="D226" s="3"/>
      <c r="E226" s="3" t="str">
        <f>IF(COUNTIF(ISENÇÕES!A:A,CST!B226)&gt;0,"ISENÇÃO","SEM ISENÇÃO")</f>
        <v>SEM ISENÇÃO</v>
      </c>
      <c r="F226" s="18" t="str">
        <f>IF(COUNTIF(REDUÇÕES!A:A,CST!B226)&gt;0,"REDUÇÃO","NÃO REDUÇÃO")</f>
        <v>NÃO REDUÇÃO</v>
      </c>
      <c r="G226" s="27">
        <f t="shared" si="4"/>
        <v>0</v>
      </c>
    </row>
    <row r="227" spans="1:7" x14ac:dyDescent="0.25">
      <c r="A227" s="120" t="str">
        <f>RIGHT(CSTABLE[[#This Row],[NomeNCM]],8)</f>
        <v>20094100</v>
      </c>
      <c r="B227" s="3" t="s">
        <v>3740</v>
      </c>
      <c r="C227" s="3" t="str">
        <f>IFERROR(VLOOKUP(B227,ST!C:D,2,0),"NÃOST")</f>
        <v>NÃOST</v>
      </c>
      <c r="D227" s="3"/>
      <c r="E227" s="3" t="str">
        <f>IF(COUNTIF(ISENÇÕES!A:A,CST!B227)&gt;0,"ISENÇÃO","SEM ISENÇÃO")</f>
        <v>SEM ISENÇÃO</v>
      </c>
      <c r="F227" s="18" t="str">
        <f>IF(COUNTIF(REDUÇÕES!A:A,CST!B227)&gt;0,"REDUÇÃO","NÃO REDUÇÃO")</f>
        <v>NÃO REDUÇÃO</v>
      </c>
      <c r="G227" s="27">
        <f t="shared" si="4"/>
        <v>0</v>
      </c>
    </row>
    <row r="228" spans="1:7" x14ac:dyDescent="0.25">
      <c r="A228" s="120" t="str">
        <f>RIGHT(CSTABLE[[#This Row],[NomeNCM]],8)</f>
        <v>20093100</v>
      </c>
      <c r="B228" s="3" t="s">
        <v>3741</v>
      </c>
      <c r="C228" s="3" t="str">
        <f>IFERROR(VLOOKUP(B228,ST!C:D,2,0),"NÃOST")</f>
        <v>NÃOST</v>
      </c>
      <c r="D228" s="3"/>
      <c r="E228" s="3" t="str">
        <f>IF(COUNTIF(ISENÇÕES!A:A,CST!B228)&gt;0,"ISENÇÃO","SEM ISENÇÃO")</f>
        <v>SEM ISENÇÃO</v>
      </c>
      <c r="F228" s="18" t="str">
        <f>IF(COUNTIF(REDUÇÕES!A:A,CST!B228)&gt;0,"REDUÇÃO","NÃO REDUÇÃO")</f>
        <v>NÃO REDUÇÃO</v>
      </c>
      <c r="G228" s="27">
        <f t="shared" si="4"/>
        <v>0</v>
      </c>
    </row>
    <row r="229" spans="1:7" x14ac:dyDescent="0.25">
      <c r="A229" s="120" t="str">
        <f>RIGHT(CSTABLE[[#This Row],[NomeNCM]],8)</f>
        <v>17049090</v>
      </c>
      <c r="B229" s="3" t="s">
        <v>3742</v>
      </c>
      <c r="C229" s="3" t="str">
        <f>IFERROR(VLOOKUP(B229,ST!C:D,2,0),"NÃOST")</f>
        <v>NÃOST</v>
      </c>
      <c r="D229" s="3"/>
      <c r="E229" s="3" t="str">
        <f>IF(COUNTIF(ISENÇÕES!A:A,CST!B229)&gt;0,"ISENÇÃO","SEM ISENÇÃO")</f>
        <v>SEM ISENÇÃO</v>
      </c>
      <c r="F229" s="18" t="str">
        <f>IF(COUNTIF(REDUÇÕES!A:A,CST!B229)&gt;0,"REDUÇÃO","NÃO REDUÇÃO")</f>
        <v>NÃO REDUÇÃO</v>
      </c>
      <c r="G229" s="27">
        <f t="shared" si="4"/>
        <v>0</v>
      </c>
    </row>
    <row r="230" spans="1:7" x14ac:dyDescent="0.25">
      <c r="A230" s="120" t="str">
        <f>RIGHT(CSTABLE[[#This Row],[NomeNCM]],8)</f>
        <v>18063110</v>
      </c>
      <c r="B230" s="3" t="s">
        <v>3743</v>
      </c>
      <c r="C230" s="3" t="str">
        <f>IFERROR(VLOOKUP(B230,ST!C:D,2,0),"NÃOST")</f>
        <v>NÃOST</v>
      </c>
      <c r="D230" s="3"/>
      <c r="E230" s="3" t="str">
        <f>IF(COUNTIF(ISENÇÕES!A:A,CST!B230)&gt;0,"ISENÇÃO","SEM ISENÇÃO")</f>
        <v>SEM ISENÇÃO</v>
      </c>
      <c r="F230" s="18" t="str">
        <f>IF(COUNTIF(REDUÇÕES!A:A,CST!B230)&gt;0,"REDUÇÃO","NÃO REDUÇÃO")</f>
        <v>NÃO REDUÇÃO</v>
      </c>
      <c r="G230" s="27">
        <f t="shared" si="4"/>
        <v>0</v>
      </c>
    </row>
    <row r="231" spans="1:7" x14ac:dyDescent="0.25">
      <c r="A231" s="120" t="str">
        <f>RIGHT(CSTABLE[[#This Row],[NomeNCM]],8)</f>
        <v>19059020</v>
      </c>
      <c r="B231" s="3" t="s">
        <v>3744</v>
      </c>
      <c r="C231" s="3" t="str">
        <f>IFERROR(VLOOKUP(B231,ST!C:D,2,0),"NÃOST")</f>
        <v>NÃOST</v>
      </c>
      <c r="D231" s="3"/>
      <c r="E231" s="3" t="str">
        <f>IF(COUNTIF(ISENÇÕES!A:A,CST!B231)&gt;0,"ISENÇÃO","SEM ISENÇÃO")</f>
        <v>SEM ISENÇÃO</v>
      </c>
      <c r="F231" s="18" t="str">
        <f>IF(COUNTIF(REDUÇÕES!A:A,CST!B231)&gt;0,"REDUÇÃO","NÃO REDUÇÃO")</f>
        <v>NÃO REDUÇÃO</v>
      </c>
      <c r="G231" s="27">
        <f t="shared" si="4"/>
        <v>0</v>
      </c>
    </row>
    <row r="232" spans="1:7" x14ac:dyDescent="0.25">
      <c r="A232" s="120" t="str">
        <f>RIGHT(CSTABLE[[#This Row],[NomeNCM]],8)</f>
        <v>04014010</v>
      </c>
      <c r="B232" s="3" t="s">
        <v>553</v>
      </c>
      <c r="C232" s="3" t="str">
        <f>IFERROR(VLOOKUP(B232,ST!C:D,2,0),"NÃOST")</f>
        <v>NÃOST</v>
      </c>
      <c r="D232" s="3"/>
      <c r="E232" s="3" t="str">
        <f>IF(COUNTIF(ISENÇÕES!A:A,CST!B232)&gt;0,"ISENÇÃO","SEM ISENÇÃO")</f>
        <v>SEM ISENÇÃO</v>
      </c>
      <c r="F232" s="18" t="str">
        <f>IF(COUNTIF(REDUÇÕES!A:A,CST!B232)&gt;0,"REDUÇÃO","NÃO REDUÇÃO")</f>
        <v>NÃO REDUÇÃO</v>
      </c>
      <c r="G232" s="27">
        <f t="shared" si="4"/>
        <v>0</v>
      </c>
    </row>
    <row r="233" spans="1:7" x14ac:dyDescent="0.25">
      <c r="A233" s="120" t="str">
        <f>RIGHT(CSTABLE[[#This Row],[NomeNCM]],8)</f>
        <v>11010010</v>
      </c>
      <c r="B233" s="3" t="s">
        <v>218</v>
      </c>
      <c r="C233" s="3" t="str">
        <f>IFERROR(VLOOKUP(B233,ST!C:D,2,0),"NÃOST")</f>
        <v>NÃOST</v>
      </c>
      <c r="D233" s="3"/>
      <c r="E233" s="3" t="str">
        <f>IF(COUNTIF(ISENÇÕES!A:A,CST!B233)&gt;0,"ISENÇÃO","SEM ISENÇÃO")</f>
        <v>SEM ISENÇÃO</v>
      </c>
      <c r="F233" s="18" t="str">
        <f>IF(COUNTIF(REDUÇÕES!A:A,CST!B233)&gt;0,"REDUÇÃO","NÃO REDUÇÃO")</f>
        <v>REDUÇÃO</v>
      </c>
      <c r="G233" s="27">
        <f t="shared" si="4"/>
        <v>20</v>
      </c>
    </row>
    <row r="234" spans="1:7" x14ac:dyDescent="0.25">
      <c r="A234" s="120" t="str">
        <f>RIGHT(CSTABLE[[#This Row],[NomeNCM]],8)</f>
        <v>15179010</v>
      </c>
      <c r="B234" s="3" t="s">
        <v>259</v>
      </c>
      <c r="C234" s="3" t="str">
        <f>IFERROR(VLOOKUP(B234,ST!C:D,2,0),"NÃOST")</f>
        <v>NÃOST</v>
      </c>
      <c r="D234" s="3"/>
      <c r="E234" s="3" t="str">
        <f>IF(COUNTIF(ISENÇÕES!A:A,CST!B234)&gt;0,"ISENÇÃO","SEM ISENÇÃO")</f>
        <v>SEM ISENÇÃO</v>
      </c>
      <c r="F234" s="18" t="str">
        <f>IF(COUNTIF(REDUÇÕES!A:A,CST!B234)&gt;0,"REDUÇÃO","NÃO REDUÇÃO")</f>
        <v>REDUÇÃO</v>
      </c>
      <c r="G234" s="27">
        <f t="shared" si="4"/>
        <v>20</v>
      </c>
    </row>
    <row r="235" spans="1:7" x14ac:dyDescent="0.25">
      <c r="A235" s="120" t="str">
        <f>RIGHT(CSTABLE[[#This Row],[NomeNCM]],8)</f>
        <v>11081400</v>
      </c>
      <c r="B235" s="3" t="s">
        <v>239</v>
      </c>
      <c r="C235" s="3" t="str">
        <f>IFERROR(VLOOKUP(B235,ST!C:D,2,0),"NÃOST")</f>
        <v>NÃOST</v>
      </c>
      <c r="D235" s="3"/>
      <c r="E235" s="3" t="str">
        <f>IF(COUNTIF(ISENÇÕES!A:A,CST!B235)&gt;0,"ISENÇÃO","SEM ISENÇÃO")</f>
        <v>SEM ISENÇÃO</v>
      </c>
      <c r="F235" s="18" t="str">
        <f>IF(COUNTIF(REDUÇÕES!A:A,CST!B235)&gt;0,"REDUÇÃO","NÃO REDUÇÃO")</f>
        <v>REDUÇÃO</v>
      </c>
      <c r="G235" s="27">
        <f t="shared" si="4"/>
        <v>20</v>
      </c>
    </row>
    <row r="236" spans="1:7" x14ac:dyDescent="0.25">
      <c r="A236" s="120" t="str">
        <f>RIGHT(CSTABLE[[#This Row],[NomeNCM]],8)</f>
        <v>08011100</v>
      </c>
      <c r="B236" s="3" t="s">
        <v>2717</v>
      </c>
      <c r="C236" s="3" t="str">
        <f>IFERROR(VLOOKUP(B236,ST!C:D,2,0),"NÃOST")</f>
        <v>NÃOST</v>
      </c>
      <c r="D236" s="3"/>
      <c r="E236" s="3" t="str">
        <f>IF(COUNTIF(ISENÇÕES!A:A,CST!B236)&gt;0,"ISENÇÃO","SEM ISENÇÃO")</f>
        <v>ISENÇÃO</v>
      </c>
      <c r="F236" s="18" t="str">
        <f>IF(COUNTIF(REDUÇÕES!A:A,CST!B236)&gt;0,"REDUÇÃO","NÃO REDUÇÃO")</f>
        <v>NÃO REDUÇÃO</v>
      </c>
      <c r="G236" s="27">
        <f t="shared" si="4"/>
        <v>40</v>
      </c>
    </row>
    <row r="237" spans="1:7" x14ac:dyDescent="0.25">
      <c r="A237" s="120" t="str">
        <f>RIGHT(CSTABLE[[#This Row],[NomeNCM]],8)</f>
        <v>34029039</v>
      </c>
      <c r="B237" s="3" t="s">
        <v>3745</v>
      </c>
      <c r="C237" s="3" t="str">
        <f>IFERROR(VLOOKUP(B237,ST!C:D,2,0),"NÃOST")</f>
        <v>NÃOST</v>
      </c>
      <c r="D237" s="3"/>
      <c r="E237" s="3" t="str">
        <f>IF(COUNTIF(ISENÇÕES!A:A,CST!B237)&gt;0,"ISENÇÃO","SEM ISENÇÃO")</f>
        <v>SEM ISENÇÃO</v>
      </c>
      <c r="F237" s="18" t="str">
        <f>IF(COUNTIF(REDUÇÕES!A:A,CST!B237)&gt;0,"REDUÇÃO","NÃO REDUÇÃO")</f>
        <v>NÃO REDUÇÃO</v>
      </c>
      <c r="G237" s="27">
        <f t="shared" si="4"/>
        <v>0</v>
      </c>
    </row>
    <row r="238" spans="1:7" x14ac:dyDescent="0.25">
      <c r="A238" s="120" t="str">
        <f>RIGHT(CSTABLE[[#This Row],[NomeNCM]],8)</f>
        <v>18063120</v>
      </c>
      <c r="B238" s="3" t="s">
        <v>3746</v>
      </c>
      <c r="C238" s="3" t="str">
        <f>IFERROR(VLOOKUP(B238,ST!C:D,2,0),"NÃOST")</f>
        <v>NÃOST</v>
      </c>
      <c r="D238" s="3"/>
      <c r="E238" s="3" t="str">
        <f>IF(COUNTIF(ISENÇÕES!A:A,CST!B238)&gt;0,"ISENÇÃO","SEM ISENÇÃO")</f>
        <v>SEM ISENÇÃO</v>
      </c>
      <c r="F238" s="18" t="str">
        <f>IF(COUNTIF(REDUÇÕES!A:A,CST!B238)&gt;0,"REDUÇÃO","NÃO REDUÇÃO")</f>
        <v>NÃO REDUÇÃO</v>
      </c>
      <c r="G238" s="27">
        <f t="shared" si="4"/>
        <v>0</v>
      </c>
    </row>
    <row r="239" spans="1:7" x14ac:dyDescent="0.25">
      <c r="A239" s="120" t="str">
        <f>RIGHT(CSTABLE[[#This Row],[NomeNCM]],8)</f>
        <v>18063210</v>
      </c>
      <c r="B239" s="3" t="s">
        <v>3747</v>
      </c>
      <c r="C239" s="3" t="str">
        <f>IFERROR(VLOOKUP(B239,ST!C:D,2,0),"NÃOST")</f>
        <v>NÃOST</v>
      </c>
      <c r="D239" s="3"/>
      <c r="E239" s="3" t="str">
        <f>IF(COUNTIF(ISENÇÕES!A:A,CST!B239)&gt;0,"ISENÇÃO","SEM ISENÇÃO")</f>
        <v>SEM ISENÇÃO</v>
      </c>
      <c r="F239" s="18" t="str">
        <f>IF(COUNTIF(REDUÇÕES!A:A,CST!B239)&gt;0,"REDUÇÃO","NÃO REDUÇÃO")</f>
        <v>NÃO REDUÇÃO</v>
      </c>
      <c r="G239" s="27">
        <f t="shared" si="4"/>
        <v>0</v>
      </c>
    </row>
    <row r="240" spans="1:7" x14ac:dyDescent="0.25">
      <c r="A240" s="120" t="str">
        <f>RIGHT(CSTABLE[[#This Row],[NomeNCM]],8)</f>
        <v>17049010</v>
      </c>
      <c r="B240" s="3" t="s">
        <v>3748</v>
      </c>
      <c r="C240" s="3" t="str">
        <f>IFERROR(VLOOKUP(B240,ST!C:D,2,0),"NÃOST")</f>
        <v>NÃOST</v>
      </c>
      <c r="D240" s="3"/>
      <c r="E240" s="3" t="str">
        <f>IF(COUNTIF(ISENÇÕES!A:A,CST!B240)&gt;0,"ISENÇÃO","SEM ISENÇÃO")</f>
        <v>SEM ISENÇÃO</v>
      </c>
      <c r="F240" s="18" t="str">
        <f>IF(COUNTIF(REDUÇÕES!A:A,CST!B240)&gt;0,"REDUÇÃO","NÃO REDUÇÃO")</f>
        <v>NÃO REDUÇÃO</v>
      </c>
      <c r="G240" s="27">
        <f t="shared" si="4"/>
        <v>0</v>
      </c>
    </row>
    <row r="241" spans="1:7" x14ac:dyDescent="0.25">
      <c r="A241" s="120" t="str">
        <f>RIGHT(CSTABLE[[#This Row],[NomeNCM]],8)</f>
        <v>21069050</v>
      </c>
      <c r="B241" s="3" t="s">
        <v>3749</v>
      </c>
      <c r="C241" s="3" t="str">
        <f>IFERROR(VLOOKUP(B241,ST!C:D,2,0),"NÃOST")</f>
        <v>NÃOST</v>
      </c>
      <c r="D241" s="3"/>
      <c r="E241" s="3" t="str">
        <f>IF(COUNTIF(ISENÇÕES!A:A,CST!B241)&gt;0,"ISENÇÃO","SEM ISENÇÃO")</f>
        <v>SEM ISENÇÃO</v>
      </c>
      <c r="F241" s="18" t="str">
        <f>IF(COUNTIF(REDUÇÕES!A:A,CST!B241)&gt;0,"REDUÇÃO","NÃO REDUÇÃO")</f>
        <v>NÃO REDUÇÃO</v>
      </c>
      <c r="G241" s="27">
        <f t="shared" si="4"/>
        <v>0</v>
      </c>
    </row>
    <row r="242" spans="1:7" x14ac:dyDescent="0.25">
      <c r="A242" s="120" t="str">
        <f>RIGHT(CSTABLE[[#This Row],[NomeNCM]],8)</f>
        <v>11031100</v>
      </c>
      <c r="B242" s="3" t="s">
        <v>3750</v>
      </c>
      <c r="C242" s="3" t="str">
        <f>IFERROR(VLOOKUP(B242,ST!C:D,2,0),"NÃOST")</f>
        <v>NÃOST</v>
      </c>
      <c r="D242" s="3"/>
      <c r="E242" s="3" t="str">
        <f>IF(COUNTIF(ISENÇÕES!A:A,CST!B242)&gt;0,"ISENÇÃO","SEM ISENÇÃO")</f>
        <v>SEM ISENÇÃO</v>
      </c>
      <c r="F242" s="18" t="str">
        <f>IF(COUNTIF(REDUÇÕES!A:A,CST!B242)&gt;0,"REDUÇÃO","NÃO REDUÇÃO")</f>
        <v>NÃO REDUÇÃO</v>
      </c>
      <c r="G242" s="27">
        <f t="shared" si="4"/>
        <v>0</v>
      </c>
    </row>
    <row r="243" spans="1:7" x14ac:dyDescent="0.25">
      <c r="A243" s="120" t="str">
        <f>RIGHT(CSTABLE[[#This Row],[NomeNCM]],8)</f>
        <v>71179000</v>
      </c>
      <c r="B243" s="3" t="s">
        <v>3751</v>
      </c>
      <c r="C243" s="3" t="str">
        <f>IFERROR(VLOOKUP(B243,ST!C:D,2,0),"NÃOST")</f>
        <v>NÃOST</v>
      </c>
      <c r="D243" s="3"/>
      <c r="E243" s="3" t="str">
        <f>IF(COUNTIF(ISENÇÕES!A:A,CST!B243)&gt;0,"ISENÇÃO","SEM ISENÇÃO")</f>
        <v>SEM ISENÇÃO</v>
      </c>
      <c r="F243" s="18" t="str">
        <f>IF(COUNTIF(REDUÇÕES!A:A,CST!B243)&gt;0,"REDUÇÃO","NÃO REDUÇÃO")</f>
        <v>NÃO REDUÇÃO</v>
      </c>
      <c r="G243" s="27">
        <f t="shared" si="4"/>
        <v>0</v>
      </c>
    </row>
    <row r="244" spans="1:7" x14ac:dyDescent="0.25">
      <c r="A244" s="120" t="str">
        <f>RIGHT(CSTABLE[[#This Row],[NomeNCM]],8)</f>
        <v>34012090</v>
      </c>
      <c r="B244" s="3" t="s">
        <v>3752</v>
      </c>
      <c r="C244" s="3" t="str">
        <f>IFERROR(VLOOKUP(B244,ST!C:D,2,0),"NÃOST")</f>
        <v>NÃOST</v>
      </c>
      <c r="D244" s="3"/>
      <c r="E244" s="3" t="str">
        <f>IF(COUNTIF(ISENÇÕES!A:A,CST!B244)&gt;0,"ISENÇÃO","SEM ISENÇÃO")</f>
        <v>SEM ISENÇÃO</v>
      </c>
      <c r="F244" s="18" t="str">
        <f>IF(COUNTIF(REDUÇÕES!A:A,CST!B244)&gt;0,"REDUÇÃO","NÃO REDUÇÃO")</f>
        <v>NÃO REDUÇÃO</v>
      </c>
      <c r="G244" s="27">
        <f t="shared" si="4"/>
        <v>0</v>
      </c>
    </row>
    <row r="245" spans="1:7" x14ac:dyDescent="0.25">
      <c r="A245" s="120" t="str">
        <f>RIGHT(CSTABLE[[#This Row],[NomeNCM]],8)</f>
        <v>07133329</v>
      </c>
      <c r="B245" s="3" t="s">
        <v>3326</v>
      </c>
      <c r="C245" s="3" t="str">
        <f>IFERROR(VLOOKUP(B245,ST!C:D,2,0),"NÃOST")</f>
        <v>NÃOST</v>
      </c>
      <c r="D245" s="3"/>
      <c r="E245" s="3" t="str">
        <f>IF(COUNTIF(ISENÇÕES!A:A,CST!B245)&gt;0,"ISENÇÃO","SEM ISENÇÃO")</f>
        <v>SEM ISENÇÃO</v>
      </c>
      <c r="F245" s="18" t="str">
        <f>IF(COUNTIF(REDUÇÕES!A:A,CST!B245)&gt;0,"REDUÇÃO","NÃO REDUÇÃO")</f>
        <v>REDUÇÃO</v>
      </c>
      <c r="G245" s="27">
        <f t="shared" si="4"/>
        <v>20</v>
      </c>
    </row>
    <row r="246" spans="1:7" x14ac:dyDescent="0.25">
      <c r="A246" s="120" t="str">
        <f>RIGHT(CSTABLE[[#This Row],[NomeNCM]],8)</f>
        <v>20081100</v>
      </c>
      <c r="B246" s="3" t="s">
        <v>3753</v>
      </c>
      <c r="C246" s="3" t="str">
        <f>IFERROR(VLOOKUP(B246,ST!C:D,2,0),"NÃOST")</f>
        <v>NÃOST</v>
      </c>
      <c r="D246" s="3"/>
      <c r="E246" s="3" t="str">
        <f>IF(COUNTIF(ISENÇÕES!A:A,CST!B246)&gt;0,"ISENÇÃO","SEM ISENÇÃO")</f>
        <v>SEM ISENÇÃO</v>
      </c>
      <c r="F246" s="18" t="str">
        <f>IF(COUNTIF(REDUÇÕES!A:A,CST!B246)&gt;0,"REDUÇÃO","NÃO REDUÇÃO")</f>
        <v>NÃO REDUÇÃO</v>
      </c>
      <c r="G246" s="27">
        <f t="shared" si="4"/>
        <v>0</v>
      </c>
    </row>
    <row r="247" spans="1:7" x14ac:dyDescent="0.25">
      <c r="A247" s="120" t="str">
        <f>RIGHT(CSTABLE[[#This Row],[NomeNCM]],8)</f>
        <v>04062000</v>
      </c>
      <c r="B247" s="3" t="s">
        <v>217</v>
      </c>
      <c r="C247" s="3" t="str">
        <f>IFERROR(VLOOKUP(B247,ST!C:D,2,0),"NÃOST")</f>
        <v>NÃOST</v>
      </c>
      <c r="D247" s="3"/>
      <c r="E247" s="3" t="str">
        <f>IF(COUNTIF(ISENÇÕES!A:A,CST!B247)&gt;0,"ISENÇÃO","SEM ISENÇÃO")</f>
        <v>SEM ISENÇÃO</v>
      </c>
      <c r="F247" s="18" t="str">
        <f>IF(COUNTIF(REDUÇÕES!A:A,CST!B247)&gt;0,"REDUÇÃO","NÃO REDUÇÃO")</f>
        <v>NÃO REDUÇÃO</v>
      </c>
      <c r="G247" s="27">
        <f t="shared" si="4"/>
        <v>0</v>
      </c>
    </row>
    <row r="248" spans="1:7" x14ac:dyDescent="0.25">
      <c r="A248" s="120" t="str">
        <f>RIGHT(CSTABLE[[#This Row],[NomeNCM]],8)</f>
        <v>07131090</v>
      </c>
      <c r="B248" s="3" t="s">
        <v>3324</v>
      </c>
      <c r="C248" s="3" t="str">
        <f>IFERROR(VLOOKUP(B248,ST!C:D,2,0),"NÃOST")</f>
        <v>NÃOST</v>
      </c>
      <c r="D248" s="3"/>
      <c r="E248" s="3" t="str">
        <f>IF(COUNTIF(ISENÇÕES!A:A,CST!B248)&gt;0,"ISENÇÃO","SEM ISENÇÃO")</f>
        <v>SEM ISENÇÃO</v>
      </c>
      <c r="F248" s="18" t="str">
        <f>IF(COUNTIF(REDUÇÕES!A:A,CST!B248)&gt;0,"REDUÇÃO","NÃO REDUÇÃO")</f>
        <v>NÃO REDUÇÃO</v>
      </c>
      <c r="G248" s="27">
        <f t="shared" si="4"/>
        <v>0</v>
      </c>
    </row>
    <row r="249" spans="1:7" x14ac:dyDescent="0.25">
      <c r="A249" s="120" t="str">
        <f>RIGHT(CSTABLE[[#This Row],[NomeNCM]],8)</f>
        <v>49090000</v>
      </c>
      <c r="B249" s="3" t="s">
        <v>3754</v>
      </c>
      <c r="C249" s="3" t="str">
        <f>IFERROR(VLOOKUP(B249,ST!C:D,2,0),"NÃOST")</f>
        <v>NÃOST</v>
      </c>
      <c r="D249" s="3"/>
      <c r="E249" s="3" t="str">
        <f>IF(COUNTIF(ISENÇÕES!A:A,CST!B249)&gt;0,"ISENÇÃO","SEM ISENÇÃO")</f>
        <v>SEM ISENÇÃO</v>
      </c>
      <c r="F249" s="18" t="str">
        <f>IF(COUNTIF(REDUÇÕES!A:A,CST!B249)&gt;0,"REDUÇÃO","NÃO REDUÇÃO")</f>
        <v>NÃO REDUÇÃO</v>
      </c>
      <c r="G249" s="27">
        <f t="shared" si="4"/>
        <v>0</v>
      </c>
    </row>
    <row r="250" spans="1:7" x14ac:dyDescent="0.25">
      <c r="A250" s="120" t="str">
        <f>RIGHT(CSTABLE[[#This Row],[NomeNCM]],8)</f>
        <v>20089100</v>
      </c>
      <c r="B250" s="3" t="s">
        <v>3755</v>
      </c>
      <c r="C250" s="3" t="str">
        <f>IFERROR(VLOOKUP(B250,ST!C:D,2,0),"NÃOST")</f>
        <v>NÃOST</v>
      </c>
      <c r="D250" s="3"/>
      <c r="E250" s="3" t="str">
        <f>IF(COUNTIF(ISENÇÕES!A:A,CST!B250)&gt;0,"ISENÇÃO","SEM ISENÇÃO")</f>
        <v>SEM ISENÇÃO</v>
      </c>
      <c r="F250" s="18" t="str">
        <f>IF(COUNTIF(REDUÇÕES!A:A,CST!B250)&gt;0,"REDUÇÃO","NÃO REDUÇÃO")</f>
        <v>NÃO REDUÇÃO</v>
      </c>
      <c r="G250" s="27">
        <f t="shared" si="4"/>
        <v>0</v>
      </c>
    </row>
    <row r="251" spans="1:7" x14ac:dyDescent="0.25">
      <c r="A251" s="120" t="str">
        <f>RIGHT(CSTABLE[[#This Row],[NomeNCM]],8)</f>
        <v>12024200</v>
      </c>
      <c r="B251" s="3" t="s">
        <v>3756</v>
      </c>
      <c r="C251" s="3" t="str">
        <f>IFERROR(VLOOKUP(B251,ST!C:D,2,0),"NÃOST")</f>
        <v>NÃOST</v>
      </c>
      <c r="D251" s="3"/>
      <c r="E251" s="3" t="str">
        <f>IF(COUNTIF(ISENÇÕES!A:A,CST!B251)&gt;0,"ISENÇÃO","SEM ISENÇÃO")</f>
        <v>SEM ISENÇÃO</v>
      </c>
      <c r="F251" s="18" t="str">
        <f>IF(COUNTIF(REDUÇÕES!A:A,CST!B251)&gt;0,"REDUÇÃO","NÃO REDUÇÃO")</f>
        <v>NÃO REDUÇÃO</v>
      </c>
      <c r="G251" s="27">
        <f t="shared" si="4"/>
        <v>0</v>
      </c>
    </row>
    <row r="252" spans="1:7" x14ac:dyDescent="0.25">
      <c r="A252" s="120" t="str">
        <f>RIGHT(CSTABLE[[#This Row],[NomeNCM]],8)</f>
        <v>16023220</v>
      </c>
      <c r="B252" s="3" t="s">
        <v>3757</v>
      </c>
      <c r="C252" s="3" t="str">
        <f>IFERROR(VLOOKUP(B252,ST!C:D,2,0),"NÃOST")</f>
        <v>NÃOST</v>
      </c>
      <c r="D252" s="3"/>
      <c r="E252" s="3" t="str">
        <f>IF(COUNTIF(ISENÇÕES!A:A,CST!B252)&gt;0,"ISENÇÃO","SEM ISENÇÃO")</f>
        <v>SEM ISENÇÃO</v>
      </c>
      <c r="F252" s="18" t="str">
        <f>IF(COUNTIF(REDUÇÕES!A:A,CST!B252)&gt;0,"REDUÇÃO","NÃO REDUÇÃO")</f>
        <v>NÃO REDUÇÃO</v>
      </c>
      <c r="G252" s="27">
        <f t="shared" si="4"/>
        <v>0</v>
      </c>
    </row>
    <row r="253" spans="1:7" x14ac:dyDescent="0.25">
      <c r="A253" s="120" t="str">
        <f>RIGHT(CSTABLE[[#This Row],[NomeNCM]],8)</f>
        <v>38089199</v>
      </c>
      <c r="B253" s="3" t="s">
        <v>2741</v>
      </c>
      <c r="C253" s="3" t="str">
        <f>IFERROR(VLOOKUP(B253,ST!C:D,2,0),"NÃOST")</f>
        <v>NÃOST</v>
      </c>
      <c r="D253" s="3"/>
      <c r="E253" s="3" t="str">
        <f>IF(COUNTIF(ISENÇÕES!A:A,CST!B253)&gt;0,"ISENÇÃO","SEM ISENÇÃO")</f>
        <v>SEM ISENÇÃO</v>
      </c>
      <c r="F253" s="18" t="str">
        <f>IF(COUNTIF(REDUÇÕES!A:A,CST!B253)&gt;0,"REDUÇÃO","NÃO REDUÇÃO")</f>
        <v>NÃO REDUÇÃO</v>
      </c>
      <c r="G253" s="27">
        <f t="shared" si="4"/>
        <v>0</v>
      </c>
    </row>
    <row r="254" spans="1:7" x14ac:dyDescent="0.25">
      <c r="A254" s="120" t="str">
        <f>RIGHT(CSTABLE[[#This Row],[NomeNCM]],8)</f>
        <v>28272090</v>
      </c>
      <c r="B254" s="3" t="s">
        <v>3758</v>
      </c>
      <c r="C254" s="3" t="str">
        <f>IFERROR(VLOOKUP(B254,ST!C:D,2,0),"NÃOST")</f>
        <v>NÃOST</v>
      </c>
      <c r="D254" s="3"/>
      <c r="E254" s="3" t="str">
        <f>IF(COUNTIF(ISENÇÕES!A:A,CST!B254)&gt;0,"ISENÇÃO","SEM ISENÇÃO")</f>
        <v>SEM ISENÇÃO</v>
      </c>
      <c r="F254" s="18" t="str">
        <f>IF(COUNTIF(REDUÇÕES!A:A,CST!B254)&gt;0,"REDUÇÃO","NÃO REDUÇÃO")</f>
        <v>NÃO REDUÇÃO</v>
      </c>
      <c r="G254" s="27">
        <f t="shared" si="4"/>
        <v>0</v>
      </c>
    </row>
    <row r="255" spans="1:7" x14ac:dyDescent="0.25">
      <c r="A255" s="120" t="str">
        <f>RIGHT(CSTABLE[[#This Row],[NomeNCM]],8)</f>
        <v>11081200</v>
      </c>
      <c r="B255" s="3" t="s">
        <v>3759</v>
      </c>
      <c r="C255" s="3" t="str">
        <f>IFERROR(VLOOKUP(B255,ST!C:D,2,0),"NÃOST")</f>
        <v>NÃOST</v>
      </c>
      <c r="D255" s="3"/>
      <c r="E255" s="3" t="str">
        <f>IF(COUNTIF(ISENÇÕES!A:A,CST!B255)&gt;0,"ISENÇÃO","SEM ISENÇÃO")</f>
        <v>SEM ISENÇÃO</v>
      </c>
      <c r="F255" s="18" t="str">
        <f>IF(COUNTIF(REDUÇÕES!A:A,CST!B255)&gt;0,"REDUÇÃO","NÃO REDUÇÃO")</f>
        <v>NÃO REDUÇÃO</v>
      </c>
      <c r="G255" s="27">
        <f t="shared" si="4"/>
        <v>0</v>
      </c>
    </row>
    <row r="256" spans="1:7" x14ac:dyDescent="0.25">
      <c r="A256" s="120" t="str">
        <f>RIGHT(CSTABLE[[#This Row],[NomeNCM]],8)</f>
        <v>33012919</v>
      </c>
      <c r="B256" s="3" t="s">
        <v>3760</v>
      </c>
      <c r="C256" s="3" t="str">
        <f>IFERROR(VLOOKUP(B256,ST!C:D,2,0),"NÃOST")</f>
        <v>NÃOST</v>
      </c>
      <c r="D256" s="3"/>
      <c r="E256" s="3" t="str">
        <f>IF(COUNTIF(ISENÇÕES!A:A,CST!B256)&gt;0,"ISENÇÃO","SEM ISENÇÃO")</f>
        <v>SEM ISENÇÃO</v>
      </c>
      <c r="F256" s="18" t="str">
        <f>IF(COUNTIF(REDUÇÕES!A:A,CST!B256)&gt;0,"REDUÇÃO","NÃO REDUÇÃO")</f>
        <v>NÃO REDUÇÃO</v>
      </c>
      <c r="G256" s="27">
        <f t="shared" si="4"/>
        <v>0</v>
      </c>
    </row>
    <row r="257" spans="1:7" x14ac:dyDescent="0.25">
      <c r="A257" s="120" t="str">
        <f>RIGHT(CSTABLE[[#This Row],[NomeNCM]],8)</f>
        <v>33012921</v>
      </c>
      <c r="B257" s="3" t="s">
        <v>3761</v>
      </c>
      <c r="C257" s="3" t="str">
        <f>IFERROR(VLOOKUP(B257,ST!C:D,2,0),"NÃOST")</f>
        <v>NÃOST</v>
      </c>
      <c r="D257" s="3"/>
      <c r="E257" s="3" t="str">
        <f>IF(COUNTIF(ISENÇÕES!A:A,CST!B257)&gt;0,"ISENÇÃO","SEM ISENÇÃO")</f>
        <v>SEM ISENÇÃO</v>
      </c>
      <c r="F257" s="18" t="str">
        <f>IF(COUNTIF(REDUÇÕES!A:A,CST!B257)&gt;0,"REDUÇÃO","NÃO REDUÇÃO")</f>
        <v>NÃO REDUÇÃO</v>
      </c>
      <c r="G257" s="27">
        <f t="shared" si="4"/>
        <v>0</v>
      </c>
    </row>
    <row r="258" spans="1:7" x14ac:dyDescent="0.25">
      <c r="A258" s="120" t="str">
        <f>RIGHT(CSTABLE[[#This Row],[NomeNCM]],8)</f>
        <v>38021000</v>
      </c>
      <c r="B258" s="3" t="s">
        <v>3762</v>
      </c>
      <c r="C258" s="3" t="str">
        <f>IFERROR(VLOOKUP(B258,ST!C:D,2,0),"NÃOST")</f>
        <v>NÃOST</v>
      </c>
      <c r="D258" s="3"/>
      <c r="E258" s="3" t="str">
        <f>IF(COUNTIF(ISENÇÕES!A:A,CST!B258)&gt;0,"ISENÇÃO","SEM ISENÇÃO")</f>
        <v>SEM ISENÇÃO</v>
      </c>
      <c r="F258" s="18" t="str">
        <f>IF(COUNTIF(REDUÇÕES!A:A,CST!B258)&gt;0,"REDUÇÃO","NÃO REDUÇÃO")</f>
        <v>NÃO REDUÇÃO</v>
      </c>
      <c r="G258" s="27">
        <f t="shared" si="4"/>
        <v>0</v>
      </c>
    </row>
    <row r="259" spans="1:7" x14ac:dyDescent="0.25">
      <c r="A259" s="120" t="str">
        <f>RIGHT(CSTABLE[[#This Row],[NomeNCM]],8)</f>
        <v>19019010</v>
      </c>
      <c r="B259" s="3" t="s">
        <v>3763</v>
      </c>
      <c r="C259" s="3" t="str">
        <f>IFERROR(VLOOKUP(B259,ST!C:D,2,0),"NÃOST")</f>
        <v>NÃOST</v>
      </c>
      <c r="D259" s="3"/>
      <c r="E259" s="3" t="str">
        <f>IF(COUNTIF(ISENÇÕES!A:A,CST!B259)&gt;0,"ISENÇÃO","SEM ISENÇÃO")</f>
        <v>SEM ISENÇÃO</v>
      </c>
      <c r="F259" s="18" t="str">
        <f>IF(COUNTIF(REDUÇÕES!A:A,CST!B259)&gt;0,"REDUÇÃO","NÃO REDUÇÃO")</f>
        <v>NÃO REDUÇÃO</v>
      </c>
      <c r="G259" s="27">
        <f t="shared" si="4"/>
        <v>0</v>
      </c>
    </row>
    <row r="260" spans="1:7" x14ac:dyDescent="0.25">
      <c r="A260" s="120" t="str">
        <f>RIGHT(CSTABLE[[#This Row],[NomeNCM]],8)</f>
        <v>20098990</v>
      </c>
      <c r="B260" s="3" t="s">
        <v>3764</v>
      </c>
      <c r="C260" s="3" t="str">
        <f>IFERROR(VLOOKUP(B260,ST!C:D,2,0),"NÃOST")</f>
        <v>NÃOST</v>
      </c>
      <c r="D260" s="3"/>
      <c r="E260" s="3" t="str">
        <f>IF(COUNTIF(ISENÇÕES!A:A,CST!B260)&gt;0,"ISENÇÃO","SEM ISENÇÃO")</f>
        <v>SEM ISENÇÃO</v>
      </c>
      <c r="F260" s="18" t="str">
        <f>IF(COUNTIF(REDUÇÕES!A:A,CST!B260)&gt;0,"REDUÇÃO","NÃO REDUÇÃO")</f>
        <v>NÃO REDUÇÃO</v>
      </c>
      <c r="G260" s="27">
        <f t="shared" si="4"/>
        <v>0</v>
      </c>
    </row>
    <row r="261" spans="1:7" x14ac:dyDescent="0.25">
      <c r="A261" s="120" t="str">
        <f>RIGHT(CSTABLE[[#This Row],[NomeNCM]],8)</f>
        <v>20098100</v>
      </c>
      <c r="B261" s="3" t="s">
        <v>3765</v>
      </c>
      <c r="C261" s="3" t="str">
        <f>IFERROR(VLOOKUP(B261,ST!C:D,2,0),"NÃOST")</f>
        <v>NÃOST</v>
      </c>
      <c r="D261" s="3"/>
      <c r="E261" s="3" t="str">
        <f>IF(COUNTIF(ISENÇÕES!A:A,CST!B261)&gt;0,"ISENÇÃO","SEM ISENÇÃO")</f>
        <v>SEM ISENÇÃO</v>
      </c>
      <c r="F261" s="18" t="str">
        <f>IF(COUNTIF(REDUÇÕES!A:A,CST!B261)&gt;0,"REDUÇÃO","NÃO REDUÇÃO")</f>
        <v>NÃO REDUÇÃO</v>
      </c>
      <c r="G261" s="27">
        <f t="shared" si="4"/>
        <v>0</v>
      </c>
    </row>
    <row r="262" spans="1:7" x14ac:dyDescent="0.25">
      <c r="A262" s="120" t="str">
        <f>RIGHT(CSTABLE[[#This Row],[NomeNCM]],8)</f>
        <v>82159990</v>
      </c>
      <c r="B262" s="3" t="s">
        <v>3766</v>
      </c>
      <c r="C262" s="3" t="str">
        <f>IFERROR(VLOOKUP(B262,ST!C:D,2,0),"NÃOST")</f>
        <v>NÃOST</v>
      </c>
      <c r="D262" s="3"/>
      <c r="E262" s="3" t="str">
        <f>IF(COUNTIF(ISENÇÕES!A:A,CST!B262)&gt;0,"ISENÇÃO","SEM ISENÇÃO")</f>
        <v>SEM ISENÇÃO</v>
      </c>
      <c r="F262" s="18" t="str">
        <f>IF(COUNTIF(REDUÇÕES!A:A,CST!B262)&gt;0,"REDUÇÃO","NÃO REDUÇÃO")</f>
        <v>NÃO REDUÇÃO</v>
      </c>
      <c r="G262" s="27">
        <f t="shared" si="4"/>
        <v>0</v>
      </c>
    </row>
    <row r="263" spans="1:7" x14ac:dyDescent="0.25">
      <c r="A263" s="120" t="str">
        <f>RIGHT(CSTABLE[[#This Row],[NomeNCM]],8)</f>
        <v>82152000</v>
      </c>
      <c r="B263" s="3" t="s">
        <v>3767</v>
      </c>
      <c r="C263" s="3" t="str">
        <f>IFERROR(VLOOKUP(B263,ST!C:D,2,0),"NÃOST")</f>
        <v>NÃOST</v>
      </c>
      <c r="D263" s="3"/>
      <c r="E263" s="3" t="str">
        <f>IF(COUNTIF(ISENÇÕES!A:A,CST!B263)&gt;0,"ISENÇÃO","SEM ISENÇÃO")</f>
        <v>SEM ISENÇÃO</v>
      </c>
      <c r="F263" s="18" t="str">
        <f>IF(COUNTIF(REDUÇÕES!A:A,CST!B263)&gt;0,"REDUÇÃO","NÃO REDUÇÃO")</f>
        <v>NÃO REDUÇÃO</v>
      </c>
      <c r="G263" s="27">
        <f t="shared" si="4"/>
        <v>0</v>
      </c>
    </row>
    <row r="264" spans="1:7" x14ac:dyDescent="0.25">
      <c r="A264" s="120" t="str">
        <f>RIGHT(CSTABLE[[#This Row],[NomeNCM]],8)</f>
        <v>82130000</v>
      </c>
      <c r="B264" s="3" t="s">
        <v>3768</v>
      </c>
      <c r="C264" s="3" t="str">
        <f>IFERROR(VLOOKUP(B264,ST!C:D,2,0),"NÃOST")</f>
        <v>NÃOST</v>
      </c>
      <c r="D264" s="3"/>
      <c r="E264" s="3" t="str">
        <f>IF(COUNTIF(ISENÇÕES!A:A,CST!B264)&gt;0,"ISENÇÃO","SEM ISENÇÃO")</f>
        <v>SEM ISENÇÃO</v>
      </c>
      <c r="F264" s="18" t="str">
        <f>IF(COUNTIF(REDUÇÕES!A:A,CST!B264)&gt;0,"REDUÇÃO","NÃO REDUÇÃO")</f>
        <v>NÃO REDUÇÃO</v>
      </c>
      <c r="G264" s="27">
        <f t="shared" si="4"/>
        <v>0</v>
      </c>
    </row>
    <row r="265" spans="1:7" x14ac:dyDescent="0.25">
      <c r="A265" s="120" t="str">
        <f>RIGHT(CSTABLE[[#This Row],[NomeNCM]],8)</f>
        <v>22083020</v>
      </c>
      <c r="B265" s="3" t="s">
        <v>3769</v>
      </c>
      <c r="C265" s="3" t="str">
        <f>IFERROR(VLOOKUP(B265,ST!C:D,2,0),"NÃOST")</f>
        <v>NÃOST</v>
      </c>
      <c r="D265" s="3"/>
      <c r="E265" s="3" t="str">
        <f>IF(COUNTIF(ISENÇÕES!A:A,CST!B265)&gt;0,"ISENÇÃO","SEM ISENÇÃO")</f>
        <v>SEM ISENÇÃO</v>
      </c>
      <c r="F265" s="18" t="str">
        <f>IF(COUNTIF(REDUÇÕES!A:A,CST!B265)&gt;0,"REDUÇÃO","NÃO REDUÇÃO")</f>
        <v>NÃO REDUÇÃO</v>
      </c>
      <c r="G265" s="27">
        <f t="shared" si="4"/>
        <v>0</v>
      </c>
    </row>
    <row r="266" spans="1:7" x14ac:dyDescent="0.25">
      <c r="A266" s="120" t="str">
        <f>RIGHT(CSTABLE[[#This Row],[NomeNCM]],8)</f>
        <v>40149090</v>
      </c>
      <c r="B266" s="3" t="s">
        <v>3770</v>
      </c>
      <c r="C266" s="3" t="str">
        <f>IFERROR(VLOOKUP(B266,ST!C:D,2,0),"NÃOST")</f>
        <v>NÃOST</v>
      </c>
      <c r="D266" s="3"/>
      <c r="E266" s="3" t="str">
        <f>IF(COUNTIF(ISENÇÕES!A:A,CST!B266)&gt;0,"ISENÇÃO","SEM ISENÇÃO")</f>
        <v>SEM ISENÇÃO</v>
      </c>
      <c r="F266" s="18" t="str">
        <f>IF(COUNTIF(REDUÇÕES!A:A,CST!B266)&gt;0,"REDUÇÃO","NÃO REDUÇÃO")</f>
        <v>NÃO REDUÇÃO</v>
      </c>
      <c r="G266" s="27">
        <f t="shared" si="4"/>
        <v>0</v>
      </c>
    </row>
    <row r="267" spans="1:7" x14ac:dyDescent="0.25">
      <c r="A267" s="120" t="str">
        <f>RIGHT(CSTABLE[[#This Row],[NomeNCM]],8)</f>
        <v>20021000</v>
      </c>
      <c r="B267" s="3" t="s">
        <v>3771</v>
      </c>
      <c r="C267" s="3" t="str">
        <f>IFERROR(VLOOKUP(B267,ST!C:D,2,0),"NÃOST")</f>
        <v>NÃOST</v>
      </c>
      <c r="D267" s="3"/>
      <c r="E267" s="3" t="str">
        <f>IF(COUNTIF(ISENÇÕES!A:A,CST!B267)&gt;0,"ISENÇÃO","SEM ISENÇÃO")</f>
        <v>SEM ISENÇÃO</v>
      </c>
      <c r="F267" s="18" t="str">
        <f>IF(COUNTIF(REDUÇÕES!A:A,CST!B267)&gt;0,"REDUÇÃO","NÃO REDUÇÃO")</f>
        <v>NÃO REDUÇÃO</v>
      </c>
      <c r="G267" s="27">
        <f t="shared" si="4"/>
        <v>0</v>
      </c>
    </row>
    <row r="268" spans="1:7" x14ac:dyDescent="0.25">
      <c r="A268" s="120" t="str">
        <f>RIGHT(CSTABLE[[#This Row],[NomeNCM]],8)</f>
        <v>39204390</v>
      </c>
      <c r="B268" s="3" t="s">
        <v>3772</v>
      </c>
      <c r="C268" s="3" t="str">
        <f>IFERROR(VLOOKUP(B268,ST!C:D,2,0),"NÃOST")</f>
        <v>NÃOST</v>
      </c>
      <c r="D268" s="3"/>
      <c r="E268" s="3" t="str">
        <f>IF(COUNTIF(ISENÇÕES!A:A,CST!B268)&gt;0,"ISENÇÃO","SEM ISENÇÃO")</f>
        <v>SEM ISENÇÃO</v>
      </c>
      <c r="F268" s="18" t="str">
        <f>IF(COUNTIF(REDUÇÕES!A:A,CST!B268)&gt;0,"REDUÇÃO","NÃO REDUÇÃO")</f>
        <v>NÃO REDUÇÃO</v>
      </c>
      <c r="G268" s="27">
        <f t="shared" si="4"/>
        <v>0</v>
      </c>
    </row>
    <row r="269" spans="1:7" x14ac:dyDescent="0.25">
      <c r="A269" s="120" t="str">
        <f>RIGHT(CSTABLE[[#This Row],[NomeNCM]],8)</f>
        <v>17011400</v>
      </c>
      <c r="B269" s="3" t="s">
        <v>242</v>
      </c>
      <c r="C269" s="3" t="str">
        <f>IFERROR(VLOOKUP(B269,ST!C:D,2,0),"NÃOST")</f>
        <v>NÃOST</v>
      </c>
      <c r="D269" s="3"/>
      <c r="E269" s="3" t="str">
        <f>IF(COUNTIF(ISENÇÕES!A:A,CST!B269)&gt;0,"ISENÇÃO","SEM ISENÇÃO")</f>
        <v>SEM ISENÇÃO</v>
      </c>
      <c r="F269" s="18" t="str">
        <f>IF(COUNTIF(REDUÇÕES!A:A,CST!B269)&gt;0,"REDUÇÃO","NÃO REDUÇÃO")</f>
        <v>REDUÇÃO</v>
      </c>
      <c r="G269" s="27">
        <f t="shared" si="4"/>
        <v>20</v>
      </c>
    </row>
    <row r="270" spans="1:7" x14ac:dyDescent="0.25">
      <c r="A270" s="120" t="str">
        <f>RIGHT(CSTABLE[[#This Row],[NomeNCM]],8)</f>
        <v>34029090</v>
      </c>
      <c r="B270" s="3" t="s">
        <v>3773</v>
      </c>
      <c r="C270" s="3" t="str">
        <f>IFERROR(VLOOKUP(B270,ST!C:D,2,0),"NÃOST")</f>
        <v>NÃOST</v>
      </c>
      <c r="D270" s="3"/>
      <c r="E270" s="3" t="str">
        <f>IF(COUNTIF(ISENÇÕES!A:A,CST!B270)&gt;0,"ISENÇÃO","SEM ISENÇÃO")</f>
        <v>SEM ISENÇÃO</v>
      </c>
      <c r="F270" s="18" t="str">
        <f>IF(COUNTIF(REDUÇÕES!A:A,CST!B270)&gt;0,"REDUÇÃO","NÃO REDUÇÃO")</f>
        <v>NÃO REDUÇÃO</v>
      </c>
      <c r="G270" s="27">
        <f t="shared" si="4"/>
        <v>0</v>
      </c>
    </row>
    <row r="271" spans="1:7" x14ac:dyDescent="0.25">
      <c r="A271" s="120" t="str">
        <f>RIGHT(CSTABLE[[#This Row],[NomeNCM]],8)</f>
        <v>20098912</v>
      </c>
      <c r="B271" s="3" t="s">
        <v>3774</v>
      </c>
      <c r="C271" s="3" t="str">
        <f>IFERROR(VLOOKUP(B271,ST!C:D,2,0),"NÃOST")</f>
        <v>NÃOST</v>
      </c>
      <c r="D271" s="3"/>
      <c r="E271" s="3" t="str">
        <f>IF(COUNTIF(ISENÇÕES!A:A,CST!B271)&gt;0,"ISENÇÃO","SEM ISENÇÃO")</f>
        <v>SEM ISENÇÃO</v>
      </c>
      <c r="F271" s="18" t="str">
        <f>IF(COUNTIF(REDUÇÕES!A:A,CST!B271)&gt;0,"REDUÇÃO","NÃO REDUÇÃO")</f>
        <v>NÃO REDUÇÃO</v>
      </c>
      <c r="G271" s="27">
        <f t="shared" si="4"/>
        <v>0</v>
      </c>
    </row>
    <row r="272" spans="1:7" x14ac:dyDescent="0.25">
      <c r="A272" s="120" t="str">
        <f>RIGHT(CSTABLE[[#This Row],[NomeNCM]],8)</f>
        <v>73269090</v>
      </c>
      <c r="B272" s="3" t="s">
        <v>3775</v>
      </c>
      <c r="C272" s="3" t="str">
        <f>IFERROR(VLOOKUP(B272,ST!C:D,2,0),"NÃOST")</f>
        <v>NÃOST</v>
      </c>
      <c r="D272" s="3"/>
      <c r="E272" s="3" t="str">
        <f>IF(COUNTIF(ISENÇÕES!A:A,CST!B272)&gt;0,"ISENÇÃO","SEM ISENÇÃO")</f>
        <v>SEM ISENÇÃO</v>
      </c>
      <c r="F272" s="18" t="str">
        <f>IF(COUNTIF(REDUÇÕES!A:A,CST!B272)&gt;0,"REDUÇÃO","NÃO REDUÇÃO")</f>
        <v>NÃO REDUÇÃO</v>
      </c>
      <c r="G272" s="27">
        <f t="shared" si="4"/>
        <v>0</v>
      </c>
    </row>
    <row r="273" spans="1:7" x14ac:dyDescent="0.25">
      <c r="A273" s="120" t="str">
        <f>RIGHT(CSTABLE[[#This Row],[NomeNCM]],8)</f>
        <v>35069110</v>
      </c>
      <c r="B273" s="3" t="s">
        <v>3404</v>
      </c>
      <c r="C273" s="3" t="str">
        <f>IFERROR(VLOOKUP(B273,ST!C:D,2,0),"NÃOST")</f>
        <v>NÃOST</v>
      </c>
      <c r="D273" s="3"/>
      <c r="E273" s="3" t="str">
        <f>IF(COUNTIF(ISENÇÕES!A:A,CST!B273)&gt;0,"ISENÇÃO","SEM ISENÇÃO")</f>
        <v>SEM ISENÇÃO</v>
      </c>
      <c r="F273" s="18" t="str">
        <f>IF(COUNTIF(REDUÇÕES!A:A,CST!B273)&gt;0,"REDUÇÃO","NÃO REDUÇÃO")</f>
        <v>NÃO REDUÇÃO</v>
      </c>
      <c r="G273" s="27">
        <f t="shared" ref="G273:G336" si="5">VLOOKUP(C273&amp;F273&amp;E273,$B$3:$F$10,5,0)</f>
        <v>0</v>
      </c>
    </row>
    <row r="274" spans="1:7" x14ac:dyDescent="0.25">
      <c r="A274" s="120" t="str">
        <f>RIGHT(CSTABLE[[#This Row],[NomeNCM]],8)</f>
        <v>73199000</v>
      </c>
      <c r="B274" s="3" t="s">
        <v>3776</v>
      </c>
      <c r="C274" s="3" t="str">
        <f>IFERROR(VLOOKUP(B274,ST!C:D,2,0),"NÃOST")</f>
        <v>NÃOST</v>
      </c>
      <c r="D274" s="3"/>
      <c r="E274" s="3" t="str">
        <f>IF(COUNTIF(ISENÇÕES!A:A,CST!B274)&gt;0,"ISENÇÃO","SEM ISENÇÃO")</f>
        <v>SEM ISENÇÃO</v>
      </c>
      <c r="F274" s="18" t="str">
        <f>IF(COUNTIF(REDUÇÕES!A:A,CST!B274)&gt;0,"REDUÇÃO","NÃO REDUÇÃO")</f>
        <v>NÃO REDUÇÃO</v>
      </c>
      <c r="G274" s="27">
        <f t="shared" si="5"/>
        <v>0</v>
      </c>
    </row>
    <row r="275" spans="1:7" x14ac:dyDescent="0.25">
      <c r="A275" s="120" t="str">
        <f>RIGHT(CSTABLE[[#This Row],[NomeNCM]],8)</f>
        <v>84818099</v>
      </c>
      <c r="B275" s="3" t="s">
        <v>2166</v>
      </c>
      <c r="C275" s="3" t="str">
        <f>IFERROR(VLOOKUP(B275,ST!C:D,2,0),"NÃOST")</f>
        <v>NÃOST</v>
      </c>
      <c r="D275" s="3"/>
      <c r="E275" s="3" t="str">
        <f>IF(COUNTIF(ISENÇÕES!A:A,CST!B275)&gt;0,"ISENÇÃO","SEM ISENÇÃO")</f>
        <v>SEM ISENÇÃO</v>
      </c>
      <c r="F275" s="18" t="str">
        <f>IF(COUNTIF(REDUÇÕES!A:A,CST!B275)&gt;0,"REDUÇÃO","NÃO REDUÇÃO")</f>
        <v>NÃO REDUÇÃO</v>
      </c>
      <c r="G275" s="27">
        <f t="shared" si="5"/>
        <v>0</v>
      </c>
    </row>
    <row r="276" spans="1:7" x14ac:dyDescent="0.25">
      <c r="A276" s="120" t="str">
        <f>RIGHT(CSTABLE[[#This Row],[NomeNCM]],8)</f>
        <v>40161090</v>
      </c>
      <c r="B276" s="3" t="s">
        <v>3777</v>
      </c>
      <c r="C276" s="3" t="str">
        <f>IFERROR(VLOOKUP(B276,ST!C:D,2,0),"NÃOST")</f>
        <v>NÃOST</v>
      </c>
      <c r="D276" s="3"/>
      <c r="E276" s="3" t="str">
        <f>IF(COUNTIF(ISENÇÕES!A:A,CST!B276)&gt;0,"ISENÇÃO","SEM ISENÇÃO")</f>
        <v>SEM ISENÇÃO</v>
      </c>
      <c r="F276" s="18" t="str">
        <f>IF(COUNTIF(REDUÇÕES!A:A,CST!B276)&gt;0,"REDUÇÃO","NÃO REDUÇÃO")</f>
        <v>NÃO REDUÇÃO</v>
      </c>
      <c r="G276" s="27">
        <f t="shared" si="5"/>
        <v>0</v>
      </c>
    </row>
    <row r="277" spans="1:7" x14ac:dyDescent="0.25">
      <c r="A277" s="120" t="str">
        <f>RIGHT(CSTABLE[[#This Row],[NomeNCM]],8)</f>
        <v>82054000</v>
      </c>
      <c r="B277" s="3" t="s">
        <v>3778</v>
      </c>
      <c r="C277" s="3" t="str">
        <f>IFERROR(VLOOKUP(B277,ST!C:D,2,0),"NÃOST")</f>
        <v>NÃOST</v>
      </c>
      <c r="D277" s="3"/>
      <c r="E277" s="3" t="str">
        <f>IF(COUNTIF(ISENÇÕES!A:A,CST!B277)&gt;0,"ISENÇÃO","SEM ISENÇÃO")</f>
        <v>SEM ISENÇÃO</v>
      </c>
      <c r="F277" s="18" t="str">
        <f>IF(COUNTIF(REDUÇÕES!A:A,CST!B277)&gt;0,"REDUÇÃO","NÃO REDUÇÃO")</f>
        <v>NÃO REDUÇÃO</v>
      </c>
      <c r="G277" s="27">
        <f t="shared" si="5"/>
        <v>0</v>
      </c>
    </row>
    <row r="278" spans="1:7" x14ac:dyDescent="0.25">
      <c r="A278" s="120" t="str">
        <f>RIGHT(CSTABLE[[#This Row],[NomeNCM]],8)</f>
        <v>39229000</v>
      </c>
      <c r="B278" s="3" t="s">
        <v>3779</v>
      </c>
      <c r="C278" s="3" t="str">
        <f>IFERROR(VLOOKUP(B278,ST!C:D,2,0),"NÃOST")</f>
        <v>NÃOST</v>
      </c>
      <c r="D278" s="3"/>
      <c r="E278" s="3" t="str">
        <f>IF(COUNTIF(ISENÇÕES!A:A,CST!B278)&gt;0,"ISENÇÃO","SEM ISENÇÃO")</f>
        <v>SEM ISENÇÃO</v>
      </c>
      <c r="F278" s="18" t="str">
        <f>IF(COUNTIF(REDUÇÕES!A:A,CST!B278)&gt;0,"REDUÇÃO","NÃO REDUÇÃO")</f>
        <v>NÃO REDUÇÃO</v>
      </c>
      <c r="G278" s="27">
        <f t="shared" si="5"/>
        <v>0</v>
      </c>
    </row>
    <row r="279" spans="1:7" x14ac:dyDescent="0.25">
      <c r="A279" s="120" t="str">
        <f>RIGHT(CSTABLE[[#This Row],[NomeNCM]],8)</f>
        <v>85366910</v>
      </c>
      <c r="B279" s="3" t="s">
        <v>3780</v>
      </c>
      <c r="C279" s="3" t="str">
        <f>IFERROR(VLOOKUP(B279,ST!C:D,2,0),"NÃOST")</f>
        <v>NÃOST</v>
      </c>
      <c r="D279" s="3"/>
      <c r="E279" s="3" t="str">
        <f>IF(COUNTIF(ISENÇÕES!A:A,CST!B279)&gt;0,"ISENÇÃO","SEM ISENÇÃO")</f>
        <v>SEM ISENÇÃO</v>
      </c>
      <c r="F279" s="18" t="str">
        <f>IF(COUNTIF(REDUÇÕES!A:A,CST!B279)&gt;0,"REDUÇÃO","NÃO REDUÇÃO")</f>
        <v>NÃO REDUÇÃO</v>
      </c>
      <c r="G279" s="27">
        <f t="shared" si="5"/>
        <v>0</v>
      </c>
    </row>
    <row r="280" spans="1:7" x14ac:dyDescent="0.25">
      <c r="A280" s="120" t="str">
        <f>RIGHT(CSTABLE[[#This Row],[NomeNCM]],8)</f>
        <v>39174090</v>
      </c>
      <c r="B280" s="3" t="s">
        <v>3781</v>
      </c>
      <c r="C280" s="3" t="str">
        <f>IFERROR(VLOOKUP(B280,ST!C:D,2,0),"NÃOST")</f>
        <v>NÃOST</v>
      </c>
      <c r="D280" s="3"/>
      <c r="E280" s="3" t="str">
        <f>IF(COUNTIF(ISENÇÕES!A:A,CST!B280)&gt;0,"ISENÇÃO","SEM ISENÇÃO")</f>
        <v>SEM ISENÇÃO</v>
      </c>
      <c r="F280" s="18" t="str">
        <f>IF(COUNTIF(REDUÇÕES!A:A,CST!B280)&gt;0,"REDUÇÃO","NÃO REDUÇÃO")</f>
        <v>NÃO REDUÇÃO</v>
      </c>
      <c r="G280" s="27">
        <f t="shared" si="5"/>
        <v>0</v>
      </c>
    </row>
    <row r="281" spans="1:7" x14ac:dyDescent="0.25">
      <c r="A281" s="120" t="str">
        <f>RIGHT(CSTABLE[[#This Row],[NomeNCM]],8)</f>
        <v>85444200</v>
      </c>
      <c r="B281" s="3" t="s">
        <v>3782</v>
      </c>
      <c r="C281" s="3" t="str">
        <f>IFERROR(VLOOKUP(B281,ST!C:D,2,0),"NÃOST")</f>
        <v>NÃOST</v>
      </c>
      <c r="D281" s="3"/>
      <c r="E281" s="3" t="str">
        <f>IF(COUNTIF(ISENÇÕES!A:A,CST!B281)&gt;0,"ISENÇÃO","SEM ISENÇÃO")</f>
        <v>SEM ISENÇÃO</v>
      </c>
      <c r="F281" s="18" t="str">
        <f>IF(COUNTIF(REDUÇÕES!A:A,CST!B281)&gt;0,"REDUÇÃO","NÃO REDUÇÃO")</f>
        <v>NÃO REDUÇÃO</v>
      </c>
      <c r="G281" s="27">
        <f t="shared" si="5"/>
        <v>0</v>
      </c>
    </row>
    <row r="282" spans="1:7" x14ac:dyDescent="0.25">
      <c r="A282" s="120" t="str">
        <f>RIGHT(CSTABLE[[#This Row],[NomeNCM]],8)</f>
        <v>39191020</v>
      </c>
      <c r="B282" s="3" t="s">
        <v>3783</v>
      </c>
      <c r="C282" s="3" t="str">
        <f>IFERROR(VLOOKUP(B282,ST!C:D,2,0),"NÃOST")</f>
        <v>NÃOST</v>
      </c>
      <c r="D282" s="3"/>
      <c r="E282" s="3" t="str">
        <f>IF(COUNTIF(ISENÇÕES!A:A,CST!B282)&gt;0,"ISENÇÃO","SEM ISENÇÃO")</f>
        <v>SEM ISENÇÃO</v>
      </c>
      <c r="F282" s="18" t="str">
        <f>IF(COUNTIF(REDUÇÕES!A:A,CST!B282)&gt;0,"REDUÇÃO","NÃO REDUÇÃO")</f>
        <v>NÃO REDUÇÃO</v>
      </c>
      <c r="G282" s="27">
        <f t="shared" si="5"/>
        <v>0</v>
      </c>
    </row>
    <row r="283" spans="1:7" x14ac:dyDescent="0.25">
      <c r="A283" s="120" t="str">
        <f>RIGHT(CSTABLE[[#This Row],[NomeNCM]],8)</f>
        <v>73181300</v>
      </c>
      <c r="B283" s="3" t="s">
        <v>3784</v>
      </c>
      <c r="C283" s="3" t="str">
        <f>IFERROR(VLOOKUP(B283,ST!C:D,2,0),"NÃOST")</f>
        <v>NÃOST</v>
      </c>
      <c r="D283" s="3"/>
      <c r="E283" s="3" t="str">
        <f>IF(COUNTIF(ISENÇÕES!A:A,CST!B283)&gt;0,"ISENÇÃO","SEM ISENÇÃO")</f>
        <v>SEM ISENÇÃO</v>
      </c>
      <c r="F283" s="18" t="str">
        <f>IF(COUNTIF(REDUÇÕES!A:A,CST!B283)&gt;0,"REDUÇÃO","NÃO REDUÇÃO")</f>
        <v>NÃO REDUÇÃO</v>
      </c>
      <c r="G283" s="27">
        <f t="shared" si="5"/>
        <v>0</v>
      </c>
    </row>
    <row r="284" spans="1:7" x14ac:dyDescent="0.25">
      <c r="A284" s="120" t="str">
        <f>RIGHT(CSTABLE[[#This Row],[NomeNCM]],8)</f>
        <v>25041000</v>
      </c>
      <c r="B284" s="3" t="s">
        <v>3785</v>
      </c>
      <c r="C284" s="3" t="str">
        <f>IFERROR(VLOOKUP(B284,ST!C:D,2,0),"NÃOST")</f>
        <v>NÃOST</v>
      </c>
      <c r="D284" s="3"/>
      <c r="E284" s="3" t="str">
        <f>IF(COUNTIF(ISENÇÕES!A:A,CST!B284)&gt;0,"ISENÇÃO","SEM ISENÇÃO")</f>
        <v>SEM ISENÇÃO</v>
      </c>
      <c r="F284" s="18" t="str">
        <f>IF(COUNTIF(REDUÇÕES!A:A,CST!B284)&gt;0,"REDUÇÃO","NÃO REDUÇÃO")</f>
        <v>NÃO REDUÇÃO</v>
      </c>
      <c r="G284" s="27">
        <f t="shared" si="5"/>
        <v>0</v>
      </c>
    </row>
    <row r="285" spans="1:7" x14ac:dyDescent="0.25">
      <c r="A285" s="120" t="str">
        <f>RIGHT(CSTABLE[[#This Row],[NomeNCM]],8)</f>
        <v>73170020</v>
      </c>
      <c r="B285" s="3" t="s">
        <v>3786</v>
      </c>
      <c r="C285" s="3" t="str">
        <f>IFERROR(VLOOKUP(B285,ST!C:D,2,0),"NÃOST")</f>
        <v>NÃOST</v>
      </c>
      <c r="D285" s="3"/>
      <c r="E285" s="3" t="str">
        <f>IF(COUNTIF(ISENÇÕES!A:A,CST!B285)&gt;0,"ISENÇÃO","SEM ISENÇÃO")</f>
        <v>SEM ISENÇÃO</v>
      </c>
      <c r="F285" s="18" t="str">
        <f>IF(COUNTIF(REDUÇÕES!A:A,CST!B285)&gt;0,"REDUÇÃO","NÃO REDUÇÃO")</f>
        <v>NÃO REDUÇÃO</v>
      </c>
      <c r="G285" s="27">
        <f t="shared" si="5"/>
        <v>0</v>
      </c>
    </row>
    <row r="286" spans="1:7" x14ac:dyDescent="0.25">
      <c r="A286" s="120" t="str">
        <f>RIGHT(CSTABLE[[#This Row],[NomeNCM]],8)</f>
        <v>96151900</v>
      </c>
      <c r="B286" s="3" t="s">
        <v>3787</v>
      </c>
      <c r="C286" s="3" t="str">
        <f>IFERROR(VLOOKUP(B286,ST!C:D,2,0),"NÃOST")</f>
        <v>NÃOST</v>
      </c>
      <c r="D286" s="3"/>
      <c r="E286" s="3" t="str">
        <f>IF(COUNTIF(ISENÇÕES!A:A,CST!B286)&gt;0,"ISENÇÃO","SEM ISENÇÃO")</f>
        <v>SEM ISENÇÃO</v>
      </c>
      <c r="F286" s="18" t="str">
        <f>IF(COUNTIF(REDUÇÕES!A:A,CST!B286)&gt;0,"REDUÇÃO","NÃO REDUÇÃO")</f>
        <v>NÃO REDUÇÃO</v>
      </c>
      <c r="G286" s="27">
        <f t="shared" si="5"/>
        <v>0</v>
      </c>
    </row>
    <row r="287" spans="1:7" x14ac:dyDescent="0.25">
      <c r="A287" s="120" t="str">
        <f>RIGHT(CSTABLE[[#This Row],[NomeNCM]],8)</f>
        <v>73181200</v>
      </c>
      <c r="B287" s="3" t="s">
        <v>3788</v>
      </c>
      <c r="C287" s="3" t="str">
        <f>IFERROR(VLOOKUP(B287,ST!C:D,2,0),"NÃOST")</f>
        <v>NÃOST</v>
      </c>
      <c r="D287" s="3"/>
      <c r="E287" s="3" t="str">
        <f>IF(COUNTIF(ISENÇÕES!A:A,CST!B287)&gt;0,"ISENÇÃO","SEM ISENÇÃO")</f>
        <v>SEM ISENÇÃO</v>
      </c>
      <c r="F287" s="18" t="str">
        <f>IF(COUNTIF(REDUÇÕES!A:A,CST!B287)&gt;0,"REDUÇÃO","NÃO REDUÇÃO")</f>
        <v>NÃO REDUÇÃO</v>
      </c>
      <c r="G287" s="27">
        <f t="shared" si="5"/>
        <v>0</v>
      </c>
    </row>
    <row r="288" spans="1:7" x14ac:dyDescent="0.25">
      <c r="A288" s="120" t="str">
        <f>RIGHT(CSTABLE[[#This Row],[NomeNCM]],8)</f>
        <v>68043000</v>
      </c>
      <c r="B288" s="3" t="s">
        <v>3789</v>
      </c>
      <c r="C288" s="3" t="str">
        <f>IFERROR(VLOOKUP(B288,ST!C:D,2,0),"NÃOST")</f>
        <v>NÃOST</v>
      </c>
      <c r="D288" s="3"/>
      <c r="E288" s="3" t="str">
        <f>IF(COUNTIF(ISENÇÕES!A:A,CST!B288)&gt;0,"ISENÇÃO","SEM ISENÇÃO")</f>
        <v>SEM ISENÇÃO</v>
      </c>
      <c r="F288" s="18" t="str">
        <f>IF(COUNTIF(REDUÇÕES!A:A,CST!B288)&gt;0,"REDUÇÃO","NÃO REDUÇÃO")</f>
        <v>NÃO REDUÇÃO</v>
      </c>
      <c r="G288" s="27">
        <f t="shared" si="5"/>
        <v>0</v>
      </c>
    </row>
    <row r="289" spans="1:7" x14ac:dyDescent="0.25">
      <c r="A289" s="120" t="str">
        <f>RIGHT(CSTABLE[[#This Row],[NomeNCM]],8)</f>
        <v>84814000</v>
      </c>
      <c r="B289" s="3" t="s">
        <v>3790</v>
      </c>
      <c r="C289" s="3" t="str">
        <f>IFERROR(VLOOKUP(B289,ST!C:D,2,0),"NÃOST")</f>
        <v>NÃOST</v>
      </c>
      <c r="D289" s="3"/>
      <c r="E289" s="3" t="str">
        <f>IF(COUNTIF(ISENÇÕES!A:A,CST!B289)&gt;0,"ISENÇÃO","SEM ISENÇÃO")</f>
        <v>SEM ISENÇÃO</v>
      </c>
      <c r="F289" s="18" t="str">
        <f>IF(COUNTIF(REDUÇÕES!A:A,CST!B289)&gt;0,"REDUÇÃO","NÃO REDUÇÃO")</f>
        <v>NÃO REDUÇÃO</v>
      </c>
      <c r="G289" s="27">
        <f t="shared" si="5"/>
        <v>0</v>
      </c>
    </row>
    <row r="290" spans="1:7" x14ac:dyDescent="0.25">
      <c r="A290" s="120" t="str">
        <f>RIGHT(CSTABLE[[#This Row],[NomeNCM]],8)</f>
        <v>85366990</v>
      </c>
      <c r="B290" s="3" t="s">
        <v>3791</v>
      </c>
      <c r="C290" s="3" t="str">
        <f>IFERROR(VLOOKUP(B290,ST!C:D,2,0),"NÃOST")</f>
        <v>NÃOST</v>
      </c>
      <c r="D290" s="3"/>
      <c r="E290" s="3" t="str">
        <f>IF(COUNTIF(ISENÇÕES!A:A,CST!B290)&gt;0,"ISENÇÃO","SEM ISENÇÃO")</f>
        <v>SEM ISENÇÃO</v>
      </c>
      <c r="F290" s="18" t="str">
        <f>IF(COUNTIF(REDUÇÕES!A:A,CST!B290)&gt;0,"REDUÇÃO","NÃO REDUÇÃO")</f>
        <v>NÃO REDUÇÃO</v>
      </c>
      <c r="G290" s="27">
        <f t="shared" si="5"/>
        <v>0</v>
      </c>
    </row>
    <row r="291" spans="1:7" x14ac:dyDescent="0.25">
      <c r="A291" s="120" t="str">
        <f>RIGHT(CSTABLE[[#This Row],[NomeNCM]],8)</f>
        <v>85369090</v>
      </c>
      <c r="B291" s="3" t="s">
        <v>3792</v>
      </c>
      <c r="C291" s="3" t="str">
        <f>IFERROR(VLOOKUP(B291,ST!C:D,2,0),"NÃOST")</f>
        <v>NÃOST</v>
      </c>
      <c r="D291" s="3"/>
      <c r="E291" s="3" t="str">
        <f>IF(COUNTIF(ISENÇÕES!A:A,CST!B291)&gt;0,"ISENÇÃO","SEM ISENÇÃO")</f>
        <v>SEM ISENÇÃO</v>
      </c>
      <c r="F291" s="18" t="str">
        <f>IF(COUNTIF(REDUÇÕES!A:A,CST!B291)&gt;0,"REDUÇÃO","NÃO REDUÇÃO")</f>
        <v>NÃO REDUÇÃO</v>
      </c>
      <c r="G291" s="27">
        <f t="shared" si="5"/>
        <v>0</v>
      </c>
    </row>
    <row r="292" spans="1:7" x14ac:dyDescent="0.25">
      <c r="A292" s="120" t="str">
        <f>RIGHT(CSTABLE[[#This Row],[NomeNCM]],8)</f>
        <v>73170090</v>
      </c>
      <c r="B292" s="3" t="s">
        <v>3793</v>
      </c>
      <c r="C292" s="3" t="str">
        <f>IFERROR(VLOOKUP(B292,ST!C:D,2,0),"NÃOST")</f>
        <v>NÃOST</v>
      </c>
      <c r="D292" s="3"/>
      <c r="E292" s="3" t="str">
        <f>IF(COUNTIF(ISENÇÕES!A:A,CST!B292)&gt;0,"ISENÇÃO","SEM ISENÇÃO")</f>
        <v>SEM ISENÇÃO</v>
      </c>
      <c r="F292" s="18" t="str">
        <f>IF(COUNTIF(REDUÇÕES!A:A,CST!B292)&gt;0,"REDUÇÃO","NÃO REDUÇÃO")</f>
        <v>NÃO REDUÇÃO</v>
      </c>
      <c r="G292" s="27">
        <f t="shared" si="5"/>
        <v>0</v>
      </c>
    </row>
    <row r="293" spans="1:7" x14ac:dyDescent="0.25">
      <c r="A293" s="120" t="str">
        <f>RIGHT(CSTABLE[[#This Row],[NomeNCM]],8)</f>
        <v>73249000</v>
      </c>
      <c r="B293" s="3" t="s">
        <v>3794</v>
      </c>
      <c r="C293" s="3" t="str">
        <f>IFERROR(VLOOKUP(B293,ST!C:D,2,0),"NÃOST")</f>
        <v>NÃOST</v>
      </c>
      <c r="D293" s="3"/>
      <c r="E293" s="3" t="str">
        <f>IF(COUNTIF(ISENÇÕES!A:A,CST!B293)&gt;0,"ISENÇÃO","SEM ISENÇÃO")</f>
        <v>SEM ISENÇÃO</v>
      </c>
      <c r="F293" s="18" t="str">
        <f>IF(COUNTIF(REDUÇÕES!A:A,CST!B293)&gt;0,"REDUÇÃO","NÃO REDUÇÃO")</f>
        <v>NÃO REDUÇÃO</v>
      </c>
      <c r="G293" s="27">
        <f t="shared" si="5"/>
        <v>0</v>
      </c>
    </row>
    <row r="294" spans="1:7" x14ac:dyDescent="0.25">
      <c r="A294" s="120" t="str">
        <f>RIGHT(CSTABLE[[#This Row],[NomeNCM]],8)</f>
        <v>85366100</v>
      </c>
      <c r="B294" s="3" t="s">
        <v>3795</v>
      </c>
      <c r="C294" s="3" t="str">
        <f>IFERROR(VLOOKUP(B294,ST!C:D,2,0),"NÃOST")</f>
        <v>NÃOST</v>
      </c>
      <c r="D294" s="3"/>
      <c r="E294" s="3" t="str">
        <f>IF(COUNTIF(ISENÇÕES!A:A,CST!B294)&gt;0,"ISENÇÃO","SEM ISENÇÃO")</f>
        <v>SEM ISENÇÃO</v>
      </c>
      <c r="F294" s="18" t="str">
        <f>IF(COUNTIF(REDUÇÕES!A:A,CST!B294)&gt;0,"REDUÇÃO","NÃO REDUÇÃO")</f>
        <v>NÃO REDUÇÃO</v>
      </c>
      <c r="G294" s="27">
        <f t="shared" si="5"/>
        <v>0</v>
      </c>
    </row>
    <row r="295" spans="1:7" x14ac:dyDescent="0.25">
      <c r="A295" s="120" t="str">
        <f>RIGHT(CSTABLE[[#This Row],[NomeNCM]],8)</f>
        <v>85168010</v>
      </c>
      <c r="B295" s="3" t="s">
        <v>3796</v>
      </c>
      <c r="C295" s="3" t="str">
        <f>IFERROR(VLOOKUP(B295,ST!C:D,2,0),"NÃOST")</f>
        <v>NÃOST</v>
      </c>
      <c r="D295" s="3"/>
      <c r="E295" s="3" t="str">
        <f>IF(COUNTIF(ISENÇÕES!A:A,CST!B295)&gt;0,"ISENÇÃO","SEM ISENÇÃO")</f>
        <v>SEM ISENÇÃO</v>
      </c>
      <c r="F295" s="18" t="str">
        <f>IF(COUNTIF(REDUÇÕES!A:A,CST!B295)&gt;0,"REDUÇÃO","NÃO REDUÇÃO")</f>
        <v>NÃO REDUÇÃO</v>
      </c>
      <c r="G295" s="27">
        <f t="shared" si="5"/>
        <v>0</v>
      </c>
    </row>
    <row r="296" spans="1:7" x14ac:dyDescent="0.25">
      <c r="A296" s="120" t="str">
        <f>RIGHT(CSTABLE[[#This Row],[NomeNCM]],8)</f>
        <v>96034010</v>
      </c>
      <c r="B296" s="3" t="s">
        <v>3797</v>
      </c>
      <c r="C296" s="3" t="str">
        <f>IFERROR(VLOOKUP(B296,ST!C:D,2,0),"NÃOST")</f>
        <v>NÃOST</v>
      </c>
      <c r="D296" s="3"/>
      <c r="E296" s="3" t="str">
        <f>IF(COUNTIF(ISENÇÕES!A:A,CST!B296)&gt;0,"ISENÇÃO","SEM ISENÇÃO")</f>
        <v>SEM ISENÇÃO</v>
      </c>
      <c r="F296" s="18" t="str">
        <f>IF(COUNTIF(REDUÇÕES!A:A,CST!B296)&gt;0,"REDUÇÃO","NÃO REDUÇÃO")</f>
        <v>NÃO REDUÇÃO</v>
      </c>
      <c r="G296" s="27">
        <f t="shared" si="5"/>
        <v>0</v>
      </c>
    </row>
    <row r="297" spans="1:7" x14ac:dyDescent="0.25">
      <c r="A297" s="120" t="str">
        <f>RIGHT(CSTABLE[[#This Row],[NomeNCM]],8)</f>
        <v>22029100</v>
      </c>
      <c r="B297" s="3" t="s">
        <v>9</v>
      </c>
      <c r="C297" s="3" t="str">
        <f>IFERROR(VLOOKUP(B297,ST!C:D,2,0),"NÃOST")</f>
        <v>ST</v>
      </c>
      <c r="D297" s="3"/>
      <c r="E297" s="3" t="str">
        <f>IF(COUNTIF(ISENÇÕES!A:A,CST!B297)&gt;0,"ISENÇÃO","SEM ISENÇÃO")</f>
        <v>SEM ISENÇÃO</v>
      </c>
      <c r="F297" s="18" t="str">
        <f>IF(COUNTIF(REDUÇÕES!A:A,CST!B297)&gt;0,"REDUÇÃO","NÃO REDUÇÃO")</f>
        <v>NÃO REDUÇÃO</v>
      </c>
      <c r="G297" s="27">
        <f t="shared" si="5"/>
        <v>60</v>
      </c>
    </row>
    <row r="298" spans="1:7" x14ac:dyDescent="0.25">
      <c r="A298" s="120" t="str">
        <f>RIGHT(CSTABLE[[#This Row],[NomeNCM]],8)</f>
        <v>84818019</v>
      </c>
      <c r="B298" s="3" t="s">
        <v>3798</v>
      </c>
      <c r="C298" s="3" t="str">
        <f>IFERROR(VLOOKUP(B298,ST!C:D,2,0),"NÃOST")</f>
        <v>NÃOST</v>
      </c>
      <c r="D298" s="3"/>
      <c r="E298" s="3" t="str">
        <f>IF(COUNTIF(ISENÇÕES!A:A,CST!B298)&gt;0,"ISENÇÃO","SEM ISENÇÃO")</f>
        <v>SEM ISENÇÃO</v>
      </c>
      <c r="F298" s="18" t="str">
        <f>IF(COUNTIF(REDUÇÕES!A:A,CST!B298)&gt;0,"REDUÇÃO","NÃO REDUÇÃO")</f>
        <v>NÃO REDUÇÃO</v>
      </c>
      <c r="G298" s="27">
        <f t="shared" si="5"/>
        <v>0</v>
      </c>
    </row>
    <row r="299" spans="1:7" x14ac:dyDescent="0.25">
      <c r="A299" s="120" t="str">
        <f>RIGHT(CSTABLE[[#This Row],[NomeNCM]],8)</f>
        <v>90178010</v>
      </c>
      <c r="B299" s="3" t="s">
        <v>3799</v>
      </c>
      <c r="C299" s="3" t="str">
        <f>IFERROR(VLOOKUP(B299,ST!C:D,2,0),"NÃOST")</f>
        <v>NÃOST</v>
      </c>
      <c r="D299" s="3"/>
      <c r="E299" s="3" t="str">
        <f>IF(COUNTIF(ISENÇÕES!A:A,CST!B299)&gt;0,"ISENÇÃO","SEM ISENÇÃO")</f>
        <v>SEM ISENÇÃO</v>
      </c>
      <c r="F299" s="18" t="str">
        <f>IF(COUNTIF(REDUÇÕES!A:A,CST!B299)&gt;0,"REDUÇÃO","NÃO REDUÇÃO")</f>
        <v>NÃO REDUÇÃO</v>
      </c>
      <c r="G299" s="27">
        <f t="shared" si="5"/>
        <v>0</v>
      </c>
    </row>
    <row r="300" spans="1:7" x14ac:dyDescent="0.25">
      <c r="A300" s="120" t="str">
        <f>RIGHT(CSTABLE[[#This Row],[NomeNCM]],8)</f>
        <v>39191000</v>
      </c>
      <c r="B300" s="3" t="s">
        <v>3800</v>
      </c>
      <c r="C300" s="3" t="str">
        <f>IFERROR(VLOOKUP(B300,ST!C:D,2,0),"NÃOST")</f>
        <v>NÃOST</v>
      </c>
      <c r="D300" s="3"/>
      <c r="E300" s="3" t="str">
        <f>IF(COUNTIF(ISENÇÕES!A:A,CST!B300)&gt;0,"ISENÇÃO","SEM ISENÇÃO")</f>
        <v>SEM ISENÇÃO</v>
      </c>
      <c r="F300" s="18" t="str">
        <f>IF(COUNTIF(REDUÇÕES!A:A,CST!B300)&gt;0,"REDUÇÃO","NÃO REDUÇÃO")</f>
        <v>NÃO REDUÇÃO</v>
      </c>
      <c r="G300" s="27">
        <f t="shared" si="5"/>
        <v>0</v>
      </c>
    </row>
    <row r="301" spans="1:7" x14ac:dyDescent="0.25">
      <c r="A301" s="120" t="str">
        <f>RIGHT(CSTABLE[[#This Row],[NomeNCM]],8)</f>
        <v>53013000</v>
      </c>
      <c r="B301" s="3" t="s">
        <v>3801</v>
      </c>
      <c r="C301" s="3" t="str">
        <f>IFERROR(VLOOKUP(B301,ST!C:D,2,0),"NÃOST")</f>
        <v>NÃOST</v>
      </c>
      <c r="D301" s="3"/>
      <c r="E301" s="3" t="str">
        <f>IF(COUNTIF(ISENÇÕES!A:A,CST!B301)&gt;0,"ISENÇÃO","SEM ISENÇÃO")</f>
        <v>SEM ISENÇÃO</v>
      </c>
      <c r="F301" s="18" t="str">
        <f>IF(COUNTIF(REDUÇÕES!A:A,CST!B301)&gt;0,"REDUÇÃO","NÃO REDUÇÃO")</f>
        <v>NÃO REDUÇÃO</v>
      </c>
      <c r="G301" s="27">
        <f t="shared" si="5"/>
        <v>0</v>
      </c>
    </row>
    <row r="302" spans="1:7" x14ac:dyDescent="0.25">
      <c r="A302" s="120" t="str">
        <f>RIGHT(CSTABLE[[#This Row],[NomeNCM]],8)</f>
        <v>48232099</v>
      </c>
      <c r="B302" s="3" t="s">
        <v>3802</v>
      </c>
      <c r="C302" s="3" t="str">
        <f>IFERROR(VLOOKUP(B302,ST!C:D,2,0),"NÃOST")</f>
        <v>NÃOST</v>
      </c>
      <c r="D302" s="3"/>
      <c r="E302" s="3" t="str">
        <f>IF(COUNTIF(ISENÇÕES!A:A,CST!B302)&gt;0,"ISENÇÃO","SEM ISENÇÃO")</f>
        <v>SEM ISENÇÃO</v>
      </c>
      <c r="F302" s="18" t="str">
        <f>IF(COUNTIF(REDUÇÕES!A:A,CST!B302)&gt;0,"REDUÇÃO","NÃO REDUÇÃO")</f>
        <v>NÃO REDUÇÃO</v>
      </c>
      <c r="G302" s="27">
        <f t="shared" si="5"/>
        <v>0</v>
      </c>
    </row>
    <row r="303" spans="1:7" x14ac:dyDescent="0.25">
      <c r="A303" s="120" t="str">
        <f>RIGHT(CSTABLE[[#This Row],[NomeNCM]],8)</f>
        <v>40151900</v>
      </c>
      <c r="B303" s="3" t="s">
        <v>3803</v>
      </c>
      <c r="C303" s="3" t="str">
        <f>IFERROR(VLOOKUP(B303,ST!C:D,2,0),"NÃOST")</f>
        <v>NÃOST</v>
      </c>
      <c r="D303" s="3"/>
      <c r="E303" s="3" t="str">
        <f>IF(COUNTIF(ISENÇÕES!A:A,CST!B303)&gt;0,"ISENÇÃO","SEM ISENÇÃO")</f>
        <v>SEM ISENÇÃO</v>
      </c>
      <c r="F303" s="18" t="str">
        <f>IF(COUNTIF(REDUÇÕES!A:A,CST!B303)&gt;0,"REDUÇÃO","NÃO REDUÇÃO")</f>
        <v>NÃO REDUÇÃO</v>
      </c>
      <c r="G303" s="27">
        <f t="shared" si="5"/>
        <v>0</v>
      </c>
    </row>
    <row r="304" spans="1:7" x14ac:dyDescent="0.25">
      <c r="A304" s="120" t="str">
        <f>RIGHT(CSTABLE[[#This Row],[NomeNCM]],8)</f>
        <v>84248990</v>
      </c>
      <c r="B304" s="3" t="s">
        <v>868</v>
      </c>
      <c r="C304" s="3" t="str">
        <f>IFERROR(VLOOKUP(B304,ST!C:D,2,0),"NÃOST")</f>
        <v>NÃOST</v>
      </c>
      <c r="D304" s="3"/>
      <c r="E304" s="3" t="str">
        <f>IF(COUNTIF(ISENÇÕES!A:A,CST!B304)&gt;0,"ISENÇÃO","SEM ISENÇÃO")</f>
        <v>SEM ISENÇÃO</v>
      </c>
      <c r="F304" s="18" t="str">
        <f>IF(COUNTIF(REDUÇÕES!A:A,CST!B304)&gt;0,"REDUÇÃO","NÃO REDUÇÃO")</f>
        <v>NÃO REDUÇÃO</v>
      </c>
      <c r="G304" s="27">
        <f t="shared" si="5"/>
        <v>0</v>
      </c>
    </row>
    <row r="305" spans="1:7" x14ac:dyDescent="0.25">
      <c r="A305" s="120" t="str">
        <f>RIGHT(CSTABLE[[#This Row],[NomeNCM]],8)</f>
        <v>84818039</v>
      </c>
      <c r="B305" s="3" t="s">
        <v>3804</v>
      </c>
      <c r="C305" s="3" t="str">
        <f>IFERROR(VLOOKUP(B305,ST!C:D,2,0),"NÃOST")</f>
        <v>NÃOST</v>
      </c>
      <c r="D305" s="3"/>
      <c r="E305" s="3" t="str">
        <f>IF(COUNTIF(ISENÇÕES!A:A,CST!B305)&gt;0,"ISENÇÃO","SEM ISENÇÃO")</f>
        <v>SEM ISENÇÃO</v>
      </c>
      <c r="F305" s="18" t="str">
        <f>IF(COUNTIF(REDUÇÕES!A:A,CST!B305)&gt;0,"REDUÇÃO","NÃO REDUÇÃO")</f>
        <v>NÃO REDUÇÃO</v>
      </c>
      <c r="G305" s="27">
        <f t="shared" si="5"/>
        <v>0</v>
      </c>
    </row>
    <row r="306" spans="1:7" x14ac:dyDescent="0.25">
      <c r="A306" s="120" t="str">
        <f>RIGHT(CSTABLE[[#This Row],[NomeNCM]],8)</f>
        <v>32141010</v>
      </c>
      <c r="B306" s="3" t="s">
        <v>3805</v>
      </c>
      <c r="C306" s="3" t="str">
        <f>IFERROR(VLOOKUP(B306,ST!C:D,2,0),"NÃOST")</f>
        <v>NÃOST</v>
      </c>
      <c r="D306" s="3"/>
      <c r="E306" s="3" t="str">
        <f>IF(COUNTIF(ISENÇÕES!A:A,CST!B306)&gt;0,"ISENÇÃO","SEM ISENÇÃO")</f>
        <v>SEM ISENÇÃO</v>
      </c>
      <c r="F306" s="18" t="str">
        <f>IF(COUNTIF(REDUÇÕES!A:A,CST!B306)&gt;0,"REDUÇÃO","NÃO REDUÇÃO")</f>
        <v>NÃO REDUÇÃO</v>
      </c>
      <c r="G306" s="27">
        <f t="shared" si="5"/>
        <v>0</v>
      </c>
    </row>
    <row r="307" spans="1:7" x14ac:dyDescent="0.25">
      <c r="A307" s="120" t="str">
        <f>RIGHT(CSTABLE[[#This Row],[NomeNCM]],8)</f>
        <v>56079090</v>
      </c>
      <c r="B307" s="3" t="s">
        <v>3806</v>
      </c>
      <c r="C307" s="3" t="str">
        <f>IFERROR(VLOOKUP(B307,ST!C:D,2,0),"NÃOST")</f>
        <v>NÃOST</v>
      </c>
      <c r="D307" s="3"/>
      <c r="E307" s="3" t="str">
        <f>IF(COUNTIF(ISENÇÕES!A:A,CST!B307)&gt;0,"ISENÇÃO","SEM ISENÇÃO")</f>
        <v>SEM ISENÇÃO</v>
      </c>
      <c r="F307" s="18" t="str">
        <f>IF(COUNTIF(REDUÇÕES!A:A,CST!B307)&gt;0,"REDUÇÃO","NÃO REDUÇÃO")</f>
        <v>NÃO REDUÇÃO</v>
      </c>
      <c r="G307" s="27">
        <f t="shared" si="5"/>
        <v>0</v>
      </c>
    </row>
    <row r="308" spans="1:7" x14ac:dyDescent="0.25">
      <c r="A308" s="120" t="str">
        <f>RIGHT(CSTABLE[[#This Row],[NomeNCM]],8)</f>
        <v>73239300</v>
      </c>
      <c r="B308" s="3" t="s">
        <v>3807</v>
      </c>
      <c r="C308" s="3" t="str">
        <f>IFERROR(VLOOKUP(B308,ST!C:D,2,0),"NÃOST")</f>
        <v>NÃOST</v>
      </c>
      <c r="D308" s="3"/>
      <c r="E308" s="3" t="str">
        <f>IF(COUNTIF(ISENÇÕES!A:A,CST!B308)&gt;0,"ISENÇÃO","SEM ISENÇÃO")</f>
        <v>SEM ISENÇÃO</v>
      </c>
      <c r="F308" s="18" t="str">
        <f>IF(COUNTIF(REDUÇÕES!A:A,CST!B308)&gt;0,"REDUÇÃO","NÃO REDUÇÃO")</f>
        <v>NÃO REDUÇÃO</v>
      </c>
      <c r="G308" s="27">
        <f t="shared" si="5"/>
        <v>0</v>
      </c>
    </row>
    <row r="309" spans="1:7" x14ac:dyDescent="0.25">
      <c r="A309" s="120" t="str">
        <f>RIGHT(CSTABLE[[#This Row],[NomeNCM]],8)</f>
        <v>96040000</v>
      </c>
      <c r="B309" s="3" t="s">
        <v>3808</v>
      </c>
      <c r="C309" s="3" t="str">
        <f>IFERROR(VLOOKUP(B309,ST!C:D,2,0),"NÃOST")</f>
        <v>NÃOST</v>
      </c>
      <c r="D309" s="3"/>
      <c r="E309" s="3" t="str">
        <f>IF(COUNTIF(ISENÇÕES!A:A,CST!B309)&gt;0,"ISENÇÃO","SEM ISENÇÃO")</f>
        <v>SEM ISENÇÃO</v>
      </c>
      <c r="F309" s="18" t="str">
        <f>IF(COUNTIF(REDUÇÕES!A:A,CST!B309)&gt;0,"REDUÇÃO","NÃO REDUÇÃO")</f>
        <v>NÃO REDUÇÃO</v>
      </c>
      <c r="G309" s="27">
        <f t="shared" si="5"/>
        <v>0</v>
      </c>
    </row>
    <row r="310" spans="1:7" x14ac:dyDescent="0.25">
      <c r="A310" s="120" t="str">
        <f>RIGHT(CSTABLE[[#This Row],[NomeNCM]],8)</f>
        <v>44190000</v>
      </c>
      <c r="B310" s="3" t="s">
        <v>3809</v>
      </c>
      <c r="C310" s="3" t="str">
        <f>IFERROR(VLOOKUP(B310,ST!C:D,2,0),"NÃOST")</f>
        <v>NÃOST</v>
      </c>
      <c r="D310" s="3"/>
      <c r="E310" s="3" t="str">
        <f>IF(COUNTIF(ISENÇÕES!A:A,CST!B310)&gt;0,"ISENÇÃO","SEM ISENÇÃO")</f>
        <v>SEM ISENÇÃO</v>
      </c>
      <c r="F310" s="18" t="str">
        <f>IF(COUNTIF(REDUÇÕES!A:A,CST!B310)&gt;0,"REDUÇÃO","NÃO REDUÇÃO")</f>
        <v>NÃO REDUÇÃO</v>
      </c>
      <c r="G310" s="27">
        <f t="shared" si="5"/>
        <v>0</v>
      </c>
    </row>
    <row r="311" spans="1:7" x14ac:dyDescent="0.25">
      <c r="A311" s="120" t="str">
        <f>RIGHT(CSTABLE[[#This Row],[NomeNCM]],8)</f>
        <v>90303390</v>
      </c>
      <c r="B311" s="3" t="s">
        <v>3810</v>
      </c>
      <c r="C311" s="3" t="str">
        <f>IFERROR(VLOOKUP(B311,ST!C:D,2,0),"NÃOST")</f>
        <v>NÃOST</v>
      </c>
      <c r="D311" s="3"/>
      <c r="E311" s="3" t="str">
        <f>IF(COUNTIF(ISENÇÕES!A:A,CST!B311)&gt;0,"ISENÇÃO","SEM ISENÇÃO")</f>
        <v>SEM ISENÇÃO</v>
      </c>
      <c r="F311" s="18" t="str">
        <f>IF(COUNTIF(REDUÇÕES!A:A,CST!B311)&gt;0,"REDUÇÃO","NÃO REDUÇÃO")</f>
        <v>NÃO REDUÇÃO</v>
      </c>
      <c r="G311" s="27">
        <f t="shared" si="5"/>
        <v>0</v>
      </c>
    </row>
    <row r="312" spans="1:7" x14ac:dyDescent="0.25">
      <c r="A312" s="120" t="str">
        <f>RIGHT(CSTABLE[[#This Row],[NomeNCM]],8)</f>
        <v>19052090</v>
      </c>
      <c r="B312" s="3" t="s">
        <v>3811</v>
      </c>
      <c r="C312" s="3" t="str">
        <f>IFERROR(VLOOKUP(B312,ST!C:D,2,0),"NÃOST")</f>
        <v>NÃOST</v>
      </c>
      <c r="D312" s="3"/>
      <c r="E312" s="3" t="str">
        <f>IF(COUNTIF(ISENÇÕES!A:A,CST!B312)&gt;0,"ISENÇÃO","SEM ISENÇÃO")</f>
        <v>SEM ISENÇÃO</v>
      </c>
      <c r="F312" s="18" t="str">
        <f>IF(COUNTIF(REDUÇÕES!A:A,CST!B312)&gt;0,"REDUÇÃO","NÃO REDUÇÃO")</f>
        <v>NÃO REDUÇÃO</v>
      </c>
      <c r="G312" s="27">
        <f t="shared" si="5"/>
        <v>0</v>
      </c>
    </row>
    <row r="313" spans="1:7" x14ac:dyDescent="0.25">
      <c r="A313" s="120" t="str">
        <f>RIGHT(CSTABLE[[#This Row],[NomeNCM]],8)</f>
        <v>19030000</v>
      </c>
      <c r="B313" s="3" t="s">
        <v>3812</v>
      </c>
      <c r="C313" s="3" t="str">
        <f>IFERROR(VLOOKUP(B313,ST!C:D,2,0),"NÃOST")</f>
        <v>NÃOST</v>
      </c>
      <c r="D313" s="3"/>
      <c r="E313" s="3" t="str">
        <f>IF(COUNTIF(ISENÇÕES!A:A,CST!B313)&gt;0,"ISENÇÃO","SEM ISENÇÃO")</f>
        <v>SEM ISENÇÃO</v>
      </c>
      <c r="F313" s="18" t="str">
        <f>IF(COUNTIF(REDUÇÕES!A:A,CST!B313)&gt;0,"REDUÇÃO","NÃO REDUÇÃO")</f>
        <v>NÃO REDUÇÃO</v>
      </c>
      <c r="G313" s="27">
        <f t="shared" si="5"/>
        <v>0</v>
      </c>
    </row>
    <row r="314" spans="1:7" x14ac:dyDescent="0.25">
      <c r="A314" s="120" t="str">
        <f>RIGHT(CSTABLE[[#This Row],[NomeNCM]],8)</f>
        <v>20041000</v>
      </c>
      <c r="B314" s="3" t="s">
        <v>3813</v>
      </c>
      <c r="C314" s="3" t="str">
        <f>IFERROR(VLOOKUP(B314,ST!C:D,2,0),"NÃOST")</f>
        <v>NÃOST</v>
      </c>
      <c r="D314" s="3"/>
      <c r="E314" s="3" t="str">
        <f>IF(COUNTIF(ISENÇÕES!A:A,CST!B314)&gt;0,"ISENÇÃO","SEM ISENÇÃO")</f>
        <v>SEM ISENÇÃO</v>
      </c>
      <c r="F314" s="18" t="str">
        <f>IF(COUNTIF(REDUÇÕES!A:A,CST!B314)&gt;0,"REDUÇÃO","NÃO REDUÇÃO")</f>
        <v>NÃO REDUÇÃO</v>
      </c>
      <c r="G314" s="27">
        <f t="shared" si="5"/>
        <v>0</v>
      </c>
    </row>
    <row r="315" spans="1:7" x14ac:dyDescent="0.25">
      <c r="A315" s="120" t="str">
        <f>RIGHT(CSTABLE[[#This Row],[NomeNCM]],8)</f>
        <v>04069010</v>
      </c>
      <c r="B315" s="3" t="s">
        <v>276</v>
      </c>
      <c r="C315" s="3" t="str">
        <f>IFERROR(VLOOKUP(B315,ST!C:D,2,0),"NÃOST")</f>
        <v>NÃOST</v>
      </c>
      <c r="D315" s="3"/>
      <c r="E315" s="3" t="str">
        <f>IF(COUNTIF(ISENÇÕES!A:A,CST!B315)&gt;0,"ISENÇÃO","SEM ISENÇÃO")</f>
        <v>SEM ISENÇÃO</v>
      </c>
      <c r="F315" s="18" t="str">
        <f>IF(COUNTIF(REDUÇÕES!A:A,CST!B315)&gt;0,"REDUÇÃO","NÃO REDUÇÃO")</f>
        <v>REDUÇÃO</v>
      </c>
      <c r="G315" s="27">
        <f t="shared" si="5"/>
        <v>20</v>
      </c>
    </row>
    <row r="316" spans="1:7" x14ac:dyDescent="0.25">
      <c r="A316" s="120" t="str">
        <f>RIGHT(CSTABLE[[#This Row],[NomeNCM]],8)</f>
        <v>82142000</v>
      </c>
      <c r="B316" s="3" t="s">
        <v>3814</v>
      </c>
      <c r="C316" s="3" t="str">
        <f>IFERROR(VLOOKUP(B316,ST!C:D,2,0),"NÃOST")</f>
        <v>NÃOST</v>
      </c>
      <c r="D316" s="3"/>
      <c r="E316" s="3" t="str">
        <f>IF(COUNTIF(ISENÇÕES!A:A,CST!B316)&gt;0,"ISENÇÃO","SEM ISENÇÃO")</f>
        <v>SEM ISENÇÃO</v>
      </c>
      <c r="F316" s="18" t="str">
        <f>IF(COUNTIF(REDUÇÕES!A:A,CST!B316)&gt;0,"REDUÇÃO","NÃO REDUÇÃO")</f>
        <v>NÃO REDUÇÃO</v>
      </c>
      <c r="G316" s="27">
        <f t="shared" si="5"/>
        <v>0</v>
      </c>
    </row>
    <row r="317" spans="1:7" x14ac:dyDescent="0.25">
      <c r="A317" s="120" t="str">
        <f>RIGHT(CSTABLE[[#This Row],[NomeNCM]],8)</f>
        <v>25131000</v>
      </c>
      <c r="B317" s="3" t="s">
        <v>3815</v>
      </c>
      <c r="C317" s="3" t="str">
        <f>IFERROR(VLOOKUP(B317,ST!C:D,2,0),"NÃOST")</f>
        <v>NÃOST</v>
      </c>
      <c r="D317" s="3"/>
      <c r="E317" s="3" t="str">
        <f>IF(COUNTIF(ISENÇÕES!A:A,CST!B317)&gt;0,"ISENÇÃO","SEM ISENÇÃO")</f>
        <v>SEM ISENÇÃO</v>
      </c>
      <c r="F317" s="18" t="str">
        <f>IF(COUNTIF(REDUÇÕES!A:A,CST!B317)&gt;0,"REDUÇÃO","NÃO REDUÇÃO")</f>
        <v>NÃO REDUÇÃO</v>
      </c>
      <c r="G317" s="27">
        <f t="shared" si="5"/>
        <v>0</v>
      </c>
    </row>
    <row r="318" spans="1:7" x14ac:dyDescent="0.25">
      <c r="A318" s="120" t="str">
        <f>RIGHT(CSTABLE[[#This Row],[NomeNCM]],8)</f>
        <v>96151100</v>
      </c>
      <c r="B318" s="3" t="s">
        <v>3816</v>
      </c>
      <c r="C318" s="3" t="str">
        <f>IFERROR(VLOOKUP(B318,ST!C:D,2,0),"NÃOST")</f>
        <v>NÃOST</v>
      </c>
      <c r="D318" s="3"/>
      <c r="E318" s="3" t="str">
        <f>IF(COUNTIF(ISENÇÕES!A:A,CST!B318)&gt;0,"ISENÇÃO","SEM ISENÇÃO")</f>
        <v>SEM ISENÇÃO</v>
      </c>
      <c r="F318" s="18" t="str">
        <f>IF(COUNTIF(REDUÇÕES!A:A,CST!B318)&gt;0,"REDUÇÃO","NÃO REDUÇÃO")</f>
        <v>NÃO REDUÇÃO</v>
      </c>
      <c r="G318" s="27">
        <f t="shared" si="5"/>
        <v>0</v>
      </c>
    </row>
    <row r="319" spans="1:7" x14ac:dyDescent="0.25">
      <c r="A319" s="120" t="str">
        <f>RIGHT(CSTABLE[[#This Row],[NomeNCM]],8)</f>
        <v>82032090</v>
      </c>
      <c r="B319" s="3" t="s">
        <v>3817</v>
      </c>
      <c r="C319" s="3" t="str">
        <f>IFERROR(VLOOKUP(B319,ST!C:D,2,0),"NÃOST")</f>
        <v>NÃOST</v>
      </c>
      <c r="D319" s="3"/>
      <c r="E319" s="3" t="str">
        <f>IF(COUNTIF(ISENÇÕES!A:A,CST!B319)&gt;0,"ISENÇÃO","SEM ISENÇÃO")</f>
        <v>SEM ISENÇÃO</v>
      </c>
      <c r="F319" s="18" t="str">
        <f>IF(COUNTIF(REDUÇÕES!A:A,CST!B319)&gt;0,"REDUÇÃO","NÃO REDUÇÃO")</f>
        <v>NÃO REDUÇÃO</v>
      </c>
      <c r="G319" s="27">
        <f t="shared" si="5"/>
        <v>0</v>
      </c>
    </row>
    <row r="320" spans="1:7" x14ac:dyDescent="0.25">
      <c r="A320" s="120" t="str">
        <f>RIGHT(CSTABLE[[#This Row],[NomeNCM]],8)</f>
        <v>65069100</v>
      </c>
      <c r="B320" s="3" t="s">
        <v>3818</v>
      </c>
      <c r="C320" s="3" t="str">
        <f>IFERROR(VLOOKUP(B320,ST!C:D,2,0),"NÃOST")</f>
        <v>NÃOST</v>
      </c>
      <c r="D320" s="3"/>
      <c r="E320" s="3" t="str">
        <f>IF(COUNTIF(ISENÇÕES!A:A,CST!B320)&gt;0,"ISENÇÃO","SEM ISENÇÃO")</f>
        <v>SEM ISENÇÃO</v>
      </c>
      <c r="F320" s="18" t="str">
        <f>IF(COUNTIF(REDUÇÕES!A:A,CST!B320)&gt;0,"REDUÇÃO","NÃO REDUÇÃO")</f>
        <v>NÃO REDUÇÃO</v>
      </c>
      <c r="G320" s="27">
        <f t="shared" si="5"/>
        <v>0</v>
      </c>
    </row>
    <row r="321" spans="1:7" x14ac:dyDescent="0.25">
      <c r="A321" s="120" t="str">
        <f>RIGHT(CSTABLE[[#This Row],[NomeNCM]],8)</f>
        <v>28151200</v>
      </c>
      <c r="B321" s="3" t="s">
        <v>3819</v>
      </c>
      <c r="C321" s="3" t="str">
        <f>IFERROR(VLOOKUP(B321,ST!C:D,2,0),"NÃOST")</f>
        <v>NÃOST</v>
      </c>
      <c r="D321" s="3"/>
      <c r="E321" s="3" t="str">
        <f>IF(COUNTIF(ISENÇÕES!A:A,CST!B321)&gt;0,"ISENÇÃO","SEM ISENÇÃO")</f>
        <v>SEM ISENÇÃO</v>
      </c>
      <c r="F321" s="18" t="str">
        <f>IF(COUNTIF(REDUÇÕES!A:A,CST!B321)&gt;0,"REDUÇÃO","NÃO REDUÇÃO")</f>
        <v>NÃO REDUÇÃO</v>
      </c>
      <c r="G321" s="27">
        <f t="shared" si="5"/>
        <v>0</v>
      </c>
    </row>
    <row r="322" spans="1:7" x14ac:dyDescent="0.25">
      <c r="A322" s="120" t="str">
        <f>RIGHT(CSTABLE[[#This Row],[NomeNCM]],8)</f>
        <v>22060090</v>
      </c>
      <c r="B322" s="3" t="s">
        <v>3820</v>
      </c>
      <c r="C322" s="3" t="str">
        <f>IFERROR(VLOOKUP(B322,ST!C:D,2,0),"NÃOST")</f>
        <v>NÃOST</v>
      </c>
      <c r="D322" s="3"/>
      <c r="E322" s="3" t="str">
        <f>IF(COUNTIF(ISENÇÕES!A:A,CST!B322)&gt;0,"ISENÇÃO","SEM ISENÇÃO")</f>
        <v>SEM ISENÇÃO</v>
      </c>
      <c r="F322" s="18" t="str">
        <f>IF(COUNTIF(REDUÇÕES!A:A,CST!B322)&gt;0,"REDUÇÃO","NÃO REDUÇÃO")</f>
        <v>NÃO REDUÇÃO</v>
      </c>
      <c r="G322" s="27">
        <f t="shared" si="5"/>
        <v>0</v>
      </c>
    </row>
    <row r="323" spans="1:7" x14ac:dyDescent="0.25">
      <c r="A323" s="120" t="str">
        <f>RIGHT(CSTABLE[[#This Row],[NomeNCM]],8)</f>
        <v>34059000</v>
      </c>
      <c r="B323" s="3" t="s">
        <v>3821</v>
      </c>
      <c r="C323" s="3" t="str">
        <f>IFERROR(VLOOKUP(B323,ST!C:D,2,0),"NÃOST")</f>
        <v>NÃOST</v>
      </c>
      <c r="D323" s="3"/>
      <c r="E323" s="3" t="str">
        <f>IF(COUNTIF(ISENÇÕES!A:A,CST!B323)&gt;0,"ISENÇÃO","SEM ISENÇÃO")</f>
        <v>SEM ISENÇÃO</v>
      </c>
      <c r="F323" s="18" t="str">
        <f>IF(COUNTIF(REDUÇÕES!A:A,CST!B323)&gt;0,"REDUÇÃO","NÃO REDUÇÃO")</f>
        <v>NÃO REDUÇÃO</v>
      </c>
      <c r="G323" s="27">
        <f t="shared" si="5"/>
        <v>0</v>
      </c>
    </row>
    <row r="324" spans="1:7" x14ac:dyDescent="0.25">
      <c r="A324" s="120" t="str">
        <f>RIGHT(CSTABLE[[#This Row],[NomeNCM]],8)</f>
        <v>39173900</v>
      </c>
      <c r="B324" s="3" t="s">
        <v>3822</v>
      </c>
      <c r="C324" s="3" t="str">
        <f>IFERROR(VLOOKUP(B324,ST!C:D,2,0),"NÃOST")</f>
        <v>NÃOST</v>
      </c>
      <c r="D324" s="3"/>
      <c r="E324" s="3" t="str">
        <f>IF(COUNTIF(ISENÇÕES!A:A,CST!B324)&gt;0,"ISENÇÃO","SEM ISENÇÃO")</f>
        <v>SEM ISENÇÃO</v>
      </c>
      <c r="F324" s="18" t="str">
        <f>IF(COUNTIF(REDUÇÕES!A:A,CST!B324)&gt;0,"REDUÇÃO","NÃO REDUÇÃO")</f>
        <v>NÃO REDUÇÃO</v>
      </c>
      <c r="G324" s="27">
        <f t="shared" si="5"/>
        <v>0</v>
      </c>
    </row>
    <row r="325" spans="1:7" x14ac:dyDescent="0.25">
      <c r="A325" s="120" t="str">
        <f>RIGHT(CSTABLE[[#This Row],[NomeNCM]],8)</f>
        <v>03038990</v>
      </c>
      <c r="B325" s="3" t="s">
        <v>274</v>
      </c>
      <c r="C325" s="3" t="str">
        <f>IFERROR(VLOOKUP(B325,ST!C:D,2,0),"NÃOST")</f>
        <v>NÃOST</v>
      </c>
      <c r="D325" s="3"/>
      <c r="E325" s="3" t="str">
        <f>IF(COUNTIF(ISENÇÕES!A:A,CST!B325)&gt;0,"ISENÇÃO","SEM ISENÇÃO")</f>
        <v>SEM ISENÇÃO</v>
      </c>
      <c r="F325" s="18" t="str">
        <f>IF(COUNTIF(REDUÇÕES!A:A,CST!B325)&gt;0,"REDUÇÃO","NÃO REDUÇÃO")</f>
        <v>NÃO REDUÇÃO</v>
      </c>
      <c r="G325" s="27">
        <f t="shared" si="5"/>
        <v>0</v>
      </c>
    </row>
    <row r="326" spans="1:7" x14ac:dyDescent="0.25">
      <c r="A326" s="120" t="str">
        <f>RIGHT(CSTABLE[[#This Row],[NomeNCM]],8)</f>
        <v>03049900</v>
      </c>
      <c r="B326" s="3" t="s">
        <v>3305</v>
      </c>
      <c r="C326" s="3" t="str">
        <f>IFERROR(VLOOKUP(B326,ST!C:D,2,0),"NÃOST")</f>
        <v>NÃOST</v>
      </c>
      <c r="D326" s="3"/>
      <c r="E326" s="3" t="str">
        <f>IF(COUNTIF(ISENÇÕES!A:A,CST!B326)&gt;0,"ISENÇÃO","SEM ISENÇÃO")</f>
        <v>SEM ISENÇÃO</v>
      </c>
      <c r="F326" s="18" t="str">
        <f>IF(COUNTIF(REDUÇÕES!A:A,CST!B326)&gt;0,"REDUÇÃO","NÃO REDUÇÃO")</f>
        <v>NÃO REDUÇÃO</v>
      </c>
      <c r="G326" s="27">
        <f t="shared" si="5"/>
        <v>0</v>
      </c>
    </row>
    <row r="327" spans="1:7" x14ac:dyDescent="0.25">
      <c r="A327" s="120" t="str">
        <f>RIGHT(CSTABLE[[#This Row],[NomeNCM]],8)</f>
        <v>03046100</v>
      </c>
      <c r="B327" s="3" t="s">
        <v>281</v>
      </c>
      <c r="C327" s="3" t="str">
        <f>IFERROR(VLOOKUP(B327,ST!C:D,2,0),"NÃOST")</f>
        <v>NÃOST</v>
      </c>
      <c r="D327" s="3"/>
      <c r="E327" s="3" t="str">
        <f>IF(COUNTIF(ISENÇÕES!A:A,CST!B327)&gt;0,"ISENÇÃO","SEM ISENÇÃO")</f>
        <v>SEM ISENÇÃO</v>
      </c>
      <c r="F327" s="18" t="str">
        <f>IF(COUNTIF(REDUÇÕES!A:A,CST!B327)&gt;0,"REDUÇÃO","NÃO REDUÇÃO")</f>
        <v>NÃO REDUÇÃO</v>
      </c>
      <c r="G327" s="27">
        <f t="shared" si="5"/>
        <v>0</v>
      </c>
    </row>
    <row r="328" spans="1:7" x14ac:dyDescent="0.25">
      <c r="A328" s="120" t="str">
        <f>RIGHT(CSTABLE[[#This Row],[NomeNCM]],8)</f>
        <v>03061790</v>
      </c>
      <c r="B328" s="3" t="s">
        <v>3511</v>
      </c>
      <c r="C328" s="3" t="str">
        <f>IFERROR(VLOOKUP(B328,ST!C:D,2,0),"NÃOST")</f>
        <v>NÃOST</v>
      </c>
      <c r="D328" s="3"/>
      <c r="E328" s="3" t="str">
        <f>IF(COUNTIF(ISENÇÕES!A:A,CST!B328)&gt;0,"ISENÇÃO","SEM ISENÇÃO")</f>
        <v>SEM ISENÇÃO</v>
      </c>
      <c r="F328" s="18" t="str">
        <f>IF(COUNTIF(REDUÇÕES!A:A,CST!B328)&gt;0,"REDUÇÃO","NÃO REDUÇÃO")</f>
        <v>NÃO REDUÇÃO</v>
      </c>
      <c r="G328" s="27">
        <f t="shared" si="5"/>
        <v>0</v>
      </c>
    </row>
    <row r="329" spans="1:7" x14ac:dyDescent="0.25">
      <c r="A329" s="120" t="str">
        <f>RIGHT(CSTABLE[[#This Row],[NomeNCM]],8)</f>
        <v>03055100</v>
      </c>
      <c r="B329" s="3" t="s">
        <v>251</v>
      </c>
      <c r="C329" s="3" t="str">
        <f>IFERROR(VLOOKUP(B329,ST!C:D,2,0),"NÃOST")</f>
        <v>NÃOST</v>
      </c>
      <c r="D329" s="3"/>
      <c r="E329" s="3" t="str">
        <f>IF(COUNTIF(ISENÇÕES!A:A,CST!B329)&gt;0,"ISENÇÃO","SEM ISENÇÃO")</f>
        <v>SEM ISENÇÃO</v>
      </c>
      <c r="F329" s="18" t="str">
        <f>IF(COUNTIF(REDUÇÕES!A:A,CST!B329)&gt;0,"REDUÇÃO","NÃO REDUÇÃO")</f>
        <v>NÃO REDUÇÃO</v>
      </c>
      <c r="G329" s="27">
        <f t="shared" si="5"/>
        <v>0</v>
      </c>
    </row>
    <row r="330" spans="1:7" x14ac:dyDescent="0.25">
      <c r="A330" s="120" t="str">
        <f>RIGHT(CSTABLE[[#This Row],[NomeNCM]],8)</f>
        <v>20049000</v>
      </c>
      <c r="B330" s="3" t="s">
        <v>3823</v>
      </c>
      <c r="C330" s="3" t="str">
        <f>IFERROR(VLOOKUP(B330,ST!C:D,2,0),"NÃOST")</f>
        <v>NÃOST</v>
      </c>
      <c r="D330" s="3"/>
      <c r="E330" s="3" t="str">
        <f>IF(COUNTIF(ISENÇÕES!A:A,CST!B330)&gt;0,"ISENÇÃO","SEM ISENÇÃO")</f>
        <v>SEM ISENÇÃO</v>
      </c>
      <c r="F330" s="18" t="str">
        <f>IF(COUNTIF(REDUÇÕES!A:A,CST!B330)&gt;0,"REDUÇÃO","NÃO REDUÇÃO")</f>
        <v>NÃO REDUÇÃO</v>
      </c>
      <c r="G330" s="27">
        <f t="shared" si="5"/>
        <v>0</v>
      </c>
    </row>
    <row r="331" spans="1:7" x14ac:dyDescent="0.25">
      <c r="A331" s="120" t="str">
        <f>RIGHT(CSTABLE[[#This Row],[NomeNCM]],8)</f>
        <v>07133319</v>
      </c>
      <c r="B331" s="3" t="s">
        <v>270</v>
      </c>
      <c r="C331" s="3" t="str">
        <f>IFERROR(VLOOKUP(B331,ST!C:D,2,0),"NÃOST")</f>
        <v>NÃOST</v>
      </c>
      <c r="D331" s="3"/>
      <c r="E331" s="3" t="str">
        <f>IF(COUNTIF(ISENÇÕES!A:A,CST!B331)&gt;0,"ISENÇÃO","SEM ISENÇÃO")</f>
        <v>SEM ISENÇÃO</v>
      </c>
      <c r="F331" s="18" t="str">
        <f>IF(COUNTIF(REDUÇÕES!A:A,CST!B331)&gt;0,"REDUÇÃO","NÃO REDUÇÃO")</f>
        <v>REDUÇÃO</v>
      </c>
      <c r="G331" s="27">
        <f t="shared" si="5"/>
        <v>20</v>
      </c>
    </row>
    <row r="332" spans="1:7" x14ac:dyDescent="0.25">
      <c r="A332" s="120" t="str">
        <f>RIGHT(CSTABLE[[#This Row],[NomeNCM]],8)</f>
        <v>04064000</v>
      </c>
      <c r="B332" s="3" t="s">
        <v>3443</v>
      </c>
      <c r="C332" s="3" t="str">
        <f>IFERROR(VLOOKUP(B332,ST!C:D,2,0),"NÃOST")</f>
        <v>NÃOST</v>
      </c>
      <c r="D332" s="3"/>
      <c r="E332" s="3" t="str">
        <f>IF(COUNTIF(ISENÇÕES!A:A,CST!B332)&gt;0,"ISENÇÃO","SEM ISENÇÃO")</f>
        <v>SEM ISENÇÃO</v>
      </c>
      <c r="F332" s="18" t="str">
        <f>IF(COUNTIF(REDUÇÕES!A:A,CST!B332)&gt;0,"REDUÇÃO","NÃO REDUÇÃO")</f>
        <v>NÃO REDUÇÃO</v>
      </c>
      <c r="G332" s="27">
        <f t="shared" si="5"/>
        <v>0</v>
      </c>
    </row>
    <row r="333" spans="1:7" x14ac:dyDescent="0.25">
      <c r="A333" s="120" t="str">
        <f>RIGHT(CSTABLE[[#This Row],[NomeNCM]],8)</f>
        <v>27101230</v>
      </c>
      <c r="B333" s="3" t="s">
        <v>3824</v>
      </c>
      <c r="C333" s="3" t="str">
        <f>IFERROR(VLOOKUP(B333,ST!C:D,2,0),"NÃOST")</f>
        <v>NÃOST</v>
      </c>
      <c r="D333" s="3"/>
      <c r="E333" s="3" t="str">
        <f>IF(COUNTIF(ISENÇÕES!A:A,CST!B333)&gt;0,"ISENÇÃO","SEM ISENÇÃO")</f>
        <v>SEM ISENÇÃO</v>
      </c>
      <c r="F333" s="18" t="str">
        <f>IF(COUNTIF(REDUÇÕES!A:A,CST!B333)&gt;0,"REDUÇÃO","NÃO REDUÇÃO")</f>
        <v>NÃO REDUÇÃO</v>
      </c>
      <c r="G333" s="27">
        <f t="shared" si="5"/>
        <v>0</v>
      </c>
    </row>
    <row r="334" spans="1:7" x14ac:dyDescent="0.25">
      <c r="A334" s="120" t="str">
        <f>RIGHT(CSTABLE[[#This Row],[NomeNCM]],8)</f>
        <v>04022930</v>
      </c>
      <c r="B334" s="3" t="s">
        <v>3825</v>
      </c>
      <c r="C334" s="3" t="str">
        <f>IFERROR(VLOOKUP(B334,ST!C:D,2,0),"NÃOST")</f>
        <v>NÃOST</v>
      </c>
      <c r="D334" s="3"/>
      <c r="E334" s="3" t="str">
        <f>IF(COUNTIF(ISENÇÕES!A:A,CST!B334)&gt;0,"ISENÇÃO","SEM ISENÇÃO")</f>
        <v>SEM ISENÇÃO</v>
      </c>
      <c r="F334" s="18" t="str">
        <f>IF(COUNTIF(REDUÇÕES!A:A,CST!B334)&gt;0,"REDUÇÃO","NÃO REDUÇÃO")</f>
        <v>NÃO REDUÇÃO</v>
      </c>
      <c r="G334" s="27">
        <f t="shared" si="5"/>
        <v>0</v>
      </c>
    </row>
    <row r="335" spans="1:7" x14ac:dyDescent="0.25">
      <c r="A335" s="120" t="str">
        <f>RIGHT(CSTABLE[[#This Row],[NomeNCM]],8)</f>
        <v>20059900</v>
      </c>
      <c r="B335" s="3" t="s">
        <v>3826</v>
      </c>
      <c r="C335" s="3" t="str">
        <f>IFERROR(VLOOKUP(B335,ST!C:D,2,0),"NÃOST")</f>
        <v>NÃOST</v>
      </c>
      <c r="D335" s="3"/>
      <c r="E335" s="3" t="str">
        <f>IF(COUNTIF(ISENÇÕES!A:A,CST!B335)&gt;0,"ISENÇÃO","SEM ISENÇÃO")</f>
        <v>SEM ISENÇÃO</v>
      </c>
      <c r="F335" s="18" t="str">
        <f>IF(COUNTIF(REDUÇÕES!A:A,CST!B335)&gt;0,"REDUÇÃO","NÃO REDUÇÃO")</f>
        <v>NÃO REDUÇÃO</v>
      </c>
      <c r="G335" s="27">
        <f t="shared" si="5"/>
        <v>0</v>
      </c>
    </row>
    <row r="336" spans="1:7" x14ac:dyDescent="0.25">
      <c r="A336" s="120" t="str">
        <f>RIGHT(CSTABLE[[#This Row],[NomeNCM]],8)</f>
        <v>07122000</v>
      </c>
      <c r="B336" s="3" t="s">
        <v>2724</v>
      </c>
      <c r="C336" s="3" t="str">
        <f>IFERROR(VLOOKUP(B336,ST!C:D,2,0),"NÃOST")</f>
        <v>NÃOST</v>
      </c>
      <c r="D336" s="3"/>
      <c r="E336" s="3" t="str">
        <f>IF(COUNTIF(ISENÇÕES!A:A,CST!B336)&gt;0,"ISENÇÃO","SEM ISENÇÃO")</f>
        <v>ISENÇÃO</v>
      </c>
      <c r="F336" s="18" t="str">
        <f>IF(COUNTIF(REDUÇÕES!A:A,CST!B336)&gt;0,"REDUÇÃO","NÃO REDUÇÃO")</f>
        <v>NÃO REDUÇÃO</v>
      </c>
      <c r="G336" s="27">
        <f t="shared" si="5"/>
        <v>40</v>
      </c>
    </row>
    <row r="337" spans="1:7" x14ac:dyDescent="0.25">
      <c r="A337" s="120" t="str">
        <f>RIGHT(CSTABLE[[#This Row],[NomeNCM]],8)</f>
        <v>07099300</v>
      </c>
      <c r="B337" s="3" t="s">
        <v>2716</v>
      </c>
      <c r="C337" s="3" t="str">
        <f>IFERROR(VLOOKUP(B337,ST!C:D,2,0),"NÃOST")</f>
        <v>NÃOST</v>
      </c>
      <c r="D337" s="3"/>
      <c r="E337" s="3" t="str">
        <f>IF(COUNTIF(ISENÇÕES!A:A,CST!B337)&gt;0,"ISENÇÃO","SEM ISENÇÃO")</f>
        <v>ISENÇÃO</v>
      </c>
      <c r="F337" s="18" t="str">
        <f>IF(COUNTIF(REDUÇÕES!A:A,CST!B337)&gt;0,"REDUÇÃO","NÃO REDUÇÃO")</f>
        <v>NÃO REDUÇÃO</v>
      </c>
      <c r="G337" s="27">
        <f t="shared" ref="G337:G400" si="6">VLOOKUP(C337&amp;F337&amp;E337,$B$3:$F$10,5,0)</f>
        <v>40</v>
      </c>
    </row>
    <row r="338" spans="1:7" x14ac:dyDescent="0.25">
      <c r="A338" s="120" t="str">
        <f>RIGHT(CSTABLE[[#This Row],[NomeNCM]],8)</f>
        <v>19054000</v>
      </c>
      <c r="B338" s="3" t="s">
        <v>3827</v>
      </c>
      <c r="C338" s="3" t="str">
        <f>IFERROR(VLOOKUP(B338,ST!C:D,2,0),"NÃOST")</f>
        <v>NÃOST</v>
      </c>
      <c r="D338" s="3"/>
      <c r="E338" s="3" t="str">
        <f>IF(COUNTIF(ISENÇÕES!A:A,CST!B338)&gt;0,"ISENÇÃO","SEM ISENÇÃO")</f>
        <v>SEM ISENÇÃO</v>
      </c>
      <c r="F338" s="18" t="str">
        <f>IF(COUNTIF(REDUÇÕES!A:A,CST!B338)&gt;0,"REDUÇÃO","NÃO REDUÇÃO")</f>
        <v>NÃO REDUÇÃO</v>
      </c>
      <c r="G338" s="27">
        <f t="shared" si="6"/>
        <v>0</v>
      </c>
    </row>
    <row r="339" spans="1:7" x14ac:dyDescent="0.25">
      <c r="A339" s="120" t="str">
        <f>RIGHT(CSTABLE[[#This Row],[NomeNCM]],8)</f>
        <v>95030022</v>
      </c>
      <c r="B339" s="3" t="s">
        <v>3828</v>
      </c>
      <c r="C339" s="3" t="str">
        <f>IFERROR(VLOOKUP(B339,ST!C:D,2,0),"NÃOST")</f>
        <v>NÃOST</v>
      </c>
      <c r="D339" s="3"/>
      <c r="E339" s="3" t="str">
        <f>IF(COUNTIF(ISENÇÕES!A:A,CST!B339)&gt;0,"ISENÇÃO","SEM ISENÇÃO")</f>
        <v>SEM ISENÇÃO</v>
      </c>
      <c r="F339" s="18" t="str">
        <f>IF(COUNTIF(REDUÇÕES!A:A,CST!B339)&gt;0,"REDUÇÃO","NÃO REDUÇÃO")</f>
        <v>NÃO REDUÇÃO</v>
      </c>
      <c r="G339" s="27">
        <f t="shared" si="6"/>
        <v>0</v>
      </c>
    </row>
    <row r="340" spans="1:7" x14ac:dyDescent="0.25">
      <c r="A340" s="120" t="str">
        <f>RIGHT(CSTABLE[[#This Row],[NomeNCM]],8)</f>
        <v>39201090</v>
      </c>
      <c r="B340" s="3" t="s">
        <v>3829</v>
      </c>
      <c r="C340" s="3" t="str">
        <f>IFERROR(VLOOKUP(B340,ST!C:D,2,0),"NÃOST")</f>
        <v>NÃOST</v>
      </c>
      <c r="D340" s="3"/>
      <c r="E340" s="3" t="str">
        <f>IF(COUNTIF(ISENÇÕES!A:A,CST!B340)&gt;0,"ISENÇÃO","SEM ISENÇÃO")</f>
        <v>SEM ISENÇÃO</v>
      </c>
      <c r="F340" s="18" t="str">
        <f>IF(COUNTIF(REDUÇÕES!A:A,CST!B340)&gt;0,"REDUÇÃO","NÃO REDUÇÃO")</f>
        <v>NÃO REDUÇÃO</v>
      </c>
      <c r="G340" s="27">
        <f t="shared" si="6"/>
        <v>0</v>
      </c>
    </row>
    <row r="341" spans="1:7" x14ac:dyDescent="0.25">
      <c r="A341" s="120" t="str">
        <f>RIGHT(CSTABLE[[#This Row],[NomeNCM]],8)</f>
        <v>32041700</v>
      </c>
      <c r="B341" s="3" t="s">
        <v>3830</v>
      </c>
      <c r="C341" s="3" t="str">
        <f>IFERROR(VLOOKUP(B341,ST!C:D,2,0),"NÃOST")</f>
        <v>ST</v>
      </c>
      <c r="D341" s="3"/>
      <c r="E341" s="3" t="str">
        <f>IF(COUNTIF(ISENÇÕES!A:A,CST!B341)&gt;0,"ISENÇÃO","SEM ISENÇÃO")</f>
        <v>SEM ISENÇÃO</v>
      </c>
      <c r="F341" s="18" t="str">
        <f>IF(COUNTIF(REDUÇÕES!A:A,CST!B341)&gt;0,"REDUÇÃO","NÃO REDUÇÃO")</f>
        <v>NÃO REDUÇÃO</v>
      </c>
      <c r="G341" s="27">
        <f t="shared" si="6"/>
        <v>60</v>
      </c>
    </row>
    <row r="342" spans="1:7" x14ac:dyDescent="0.25">
      <c r="A342" s="120" t="str">
        <f>RIGHT(CSTABLE[[#This Row],[NomeNCM]],8)</f>
        <v>21012010</v>
      </c>
      <c r="B342" s="3" t="s">
        <v>3831</v>
      </c>
      <c r="C342" s="3" t="str">
        <f>IFERROR(VLOOKUP(B342,ST!C:D,2,0),"NÃOST")</f>
        <v>NÃOST</v>
      </c>
      <c r="D342" s="3"/>
      <c r="E342" s="3" t="str">
        <f>IF(COUNTIF(ISENÇÕES!A:A,CST!B342)&gt;0,"ISENÇÃO","SEM ISENÇÃO")</f>
        <v>SEM ISENÇÃO</v>
      </c>
      <c r="F342" s="18" t="str">
        <f>IF(COUNTIF(REDUÇÕES!A:A,CST!B342)&gt;0,"REDUÇÃO","NÃO REDUÇÃO")</f>
        <v>NÃO REDUÇÃO</v>
      </c>
      <c r="G342" s="27">
        <f t="shared" si="6"/>
        <v>0</v>
      </c>
    </row>
    <row r="343" spans="1:7" x14ac:dyDescent="0.25">
      <c r="A343" s="120" t="str">
        <f>RIGHT(CSTABLE[[#This Row],[NomeNCM]],8)</f>
        <v>04061010</v>
      </c>
      <c r="B343" s="3" t="s">
        <v>181</v>
      </c>
      <c r="C343" s="3" t="str">
        <f>IFERROR(VLOOKUP(B343,ST!C:D,2,0),"NÃOST")</f>
        <v>NÃOST</v>
      </c>
      <c r="D343" s="3"/>
      <c r="E343" s="3" t="str">
        <f>IF(COUNTIF(ISENÇÕES!A:A,CST!B343)&gt;0,"ISENÇÃO","SEM ISENÇÃO")</f>
        <v>SEM ISENÇÃO</v>
      </c>
      <c r="F343" s="18" t="str">
        <f>IF(COUNTIF(REDUÇÕES!A:A,CST!B343)&gt;0,"REDUÇÃO","NÃO REDUÇÃO")</f>
        <v>NÃO REDUÇÃO</v>
      </c>
      <c r="G343" s="27">
        <f t="shared" si="6"/>
        <v>0</v>
      </c>
    </row>
    <row r="344" spans="1:7" x14ac:dyDescent="0.25">
      <c r="A344" s="120" t="str">
        <f>RIGHT(CSTABLE[[#This Row],[NomeNCM]],8)</f>
        <v>06031900</v>
      </c>
      <c r="B344" s="3" t="s">
        <v>548</v>
      </c>
      <c r="C344" s="3" t="str">
        <f>IFERROR(VLOOKUP(B344,ST!C:D,2,0),"NÃOST")</f>
        <v>NÃOST</v>
      </c>
      <c r="D344" s="3"/>
      <c r="E344" s="3" t="str">
        <f>IF(COUNTIF(ISENÇÕES!A:A,CST!B344)&gt;0,"ISENÇÃO","SEM ISENÇÃO")</f>
        <v>ISENÇÃO</v>
      </c>
      <c r="F344" s="18" t="str">
        <f>IF(COUNTIF(REDUÇÕES!A:A,CST!B344)&gt;0,"REDUÇÃO","NÃO REDUÇÃO")</f>
        <v>NÃO REDUÇÃO</v>
      </c>
      <c r="G344" s="27">
        <f t="shared" si="6"/>
        <v>40</v>
      </c>
    </row>
    <row r="345" spans="1:7" x14ac:dyDescent="0.25">
      <c r="A345" s="120" t="str">
        <f>RIGHT(CSTABLE[[#This Row],[NomeNCM]],8)</f>
        <v>06031400</v>
      </c>
      <c r="B345" s="3" t="s">
        <v>3832</v>
      </c>
      <c r="C345" s="3" t="str">
        <f>IFERROR(VLOOKUP(B345,ST!C:D,2,0),"NÃOST")</f>
        <v>NÃOST</v>
      </c>
      <c r="D345" s="3"/>
      <c r="E345" s="3" t="str">
        <f>IF(COUNTIF(ISENÇÕES!A:A,CST!B345)&gt;0,"ISENÇÃO","SEM ISENÇÃO")</f>
        <v>ISENÇÃO</v>
      </c>
      <c r="F345" s="18" t="str">
        <f>IF(COUNTIF(REDUÇÕES!A:A,CST!B345)&gt;0,"REDUÇÃO","NÃO REDUÇÃO")</f>
        <v>NÃO REDUÇÃO</v>
      </c>
      <c r="G345" s="27">
        <f t="shared" si="6"/>
        <v>40</v>
      </c>
    </row>
    <row r="346" spans="1:7" x14ac:dyDescent="0.25">
      <c r="A346" s="120" t="str">
        <f>RIGHT(CSTABLE[[#This Row],[NomeNCM]],8)</f>
        <v>06031500</v>
      </c>
      <c r="B346" s="3" t="s">
        <v>3632</v>
      </c>
      <c r="C346" s="3" t="str">
        <f>IFERROR(VLOOKUP(B346,ST!C:D,2,0),"NÃOST")</f>
        <v>NÃOST</v>
      </c>
      <c r="D346" s="3"/>
      <c r="E346" s="3" t="str">
        <f>IF(COUNTIF(ISENÇÕES!A:A,CST!B346)&gt;0,"ISENÇÃO","SEM ISENÇÃO")</f>
        <v>ISENÇÃO</v>
      </c>
      <c r="F346" s="18" t="str">
        <f>IF(COUNTIF(REDUÇÕES!A:A,CST!B346)&gt;0,"REDUÇÃO","NÃO REDUÇÃO")</f>
        <v>NÃO REDUÇÃO</v>
      </c>
      <c r="G346" s="27">
        <f t="shared" si="6"/>
        <v>40</v>
      </c>
    </row>
    <row r="347" spans="1:7" x14ac:dyDescent="0.25">
      <c r="A347" s="120" t="str">
        <f>RIGHT(CSTABLE[[#This Row],[NomeNCM]],8)</f>
        <v>06031300</v>
      </c>
      <c r="B347" s="3" t="s">
        <v>547</v>
      </c>
      <c r="C347" s="3" t="str">
        <f>IFERROR(VLOOKUP(B347,ST!C:D,2,0),"NÃOST")</f>
        <v>NÃOST</v>
      </c>
      <c r="D347" s="3"/>
      <c r="E347" s="3" t="str">
        <f>IF(COUNTIF(ISENÇÕES!A:A,CST!B347)&gt;0,"ISENÇÃO","SEM ISENÇÃO")</f>
        <v>ISENÇÃO</v>
      </c>
      <c r="F347" s="18" t="str">
        <f>IF(COUNTIF(REDUÇÕES!A:A,CST!B347)&gt;0,"REDUÇÃO","NÃO REDUÇÃO")</f>
        <v>NÃO REDUÇÃO</v>
      </c>
      <c r="G347" s="27">
        <f t="shared" si="6"/>
        <v>40</v>
      </c>
    </row>
    <row r="348" spans="1:7" x14ac:dyDescent="0.25">
      <c r="A348" s="120" t="str">
        <f>RIGHT(CSTABLE[[#This Row],[NomeNCM]],8)</f>
        <v>06023000</v>
      </c>
      <c r="B348" s="3" t="s">
        <v>557</v>
      </c>
      <c r="C348" s="3" t="str">
        <f>IFERROR(VLOOKUP(B348,ST!C:D,2,0),"NÃOST")</f>
        <v>NÃOST</v>
      </c>
      <c r="D348" s="3"/>
      <c r="E348" s="3" t="str">
        <f>IF(COUNTIF(ISENÇÕES!A:A,CST!B348)&gt;0,"ISENÇÃO","SEM ISENÇÃO")</f>
        <v>ISENÇÃO</v>
      </c>
      <c r="F348" s="18" t="str">
        <f>IF(COUNTIF(REDUÇÕES!A:A,CST!B348)&gt;0,"REDUÇÃO","NÃO REDUÇÃO")</f>
        <v>NÃO REDUÇÃO</v>
      </c>
      <c r="G348" s="27">
        <f t="shared" si="6"/>
        <v>40</v>
      </c>
    </row>
    <row r="349" spans="1:7" x14ac:dyDescent="0.25">
      <c r="A349" s="120" t="str">
        <f>RIGHT(CSTABLE[[#This Row],[NomeNCM]],8)</f>
        <v>06029090</v>
      </c>
      <c r="B349" s="3" t="s">
        <v>551</v>
      </c>
      <c r="C349" s="3" t="str">
        <f>IFERROR(VLOOKUP(B349,ST!C:D,2,0),"NÃOST")</f>
        <v>NÃOST</v>
      </c>
      <c r="D349" s="3"/>
      <c r="E349" s="3" t="str">
        <f>IF(COUNTIF(ISENÇÕES!A:A,CST!B349)&gt;0,"ISENÇÃO","SEM ISENÇÃO")</f>
        <v>ISENÇÃO</v>
      </c>
      <c r="F349" s="18" t="str">
        <f>IF(COUNTIF(REDUÇÕES!A:A,CST!B349)&gt;0,"REDUÇÃO","NÃO REDUÇÃO")</f>
        <v>NÃO REDUÇÃO</v>
      </c>
      <c r="G349" s="27">
        <f t="shared" si="6"/>
        <v>40</v>
      </c>
    </row>
    <row r="350" spans="1:7" x14ac:dyDescent="0.25">
      <c r="A350" s="120" t="str">
        <f>RIGHT(CSTABLE[[#This Row],[NomeNCM]],8)</f>
        <v>06024000</v>
      </c>
      <c r="B350" s="3" t="s">
        <v>556</v>
      </c>
      <c r="C350" s="3" t="str">
        <f>IFERROR(VLOOKUP(B350,ST!C:D,2,0),"NÃOST")</f>
        <v>NÃOST</v>
      </c>
      <c r="D350" s="3"/>
      <c r="E350" s="3" t="str">
        <f>IF(COUNTIF(ISENÇÕES!A:A,CST!B350)&gt;0,"ISENÇÃO","SEM ISENÇÃO")</f>
        <v>ISENÇÃO</v>
      </c>
      <c r="F350" s="18" t="str">
        <f>IF(COUNTIF(REDUÇÕES!A:A,CST!B350)&gt;0,"REDUÇÃO","NÃO REDUÇÃO")</f>
        <v>NÃO REDUÇÃO</v>
      </c>
      <c r="G350" s="27">
        <f t="shared" si="6"/>
        <v>40</v>
      </c>
    </row>
    <row r="351" spans="1:7" x14ac:dyDescent="0.25">
      <c r="A351" s="120" t="str">
        <f>RIGHT(CSTABLE[[#This Row],[NomeNCM]],8)</f>
        <v>06049000</v>
      </c>
      <c r="B351" s="3" t="s">
        <v>3612</v>
      </c>
      <c r="C351" s="3" t="str">
        <f>IFERROR(VLOOKUP(B351,ST!C:D,2,0),"NÃOST")</f>
        <v>NÃOST</v>
      </c>
      <c r="D351" s="3"/>
      <c r="E351" s="3" t="str">
        <f>IF(COUNTIF(ISENÇÕES!A:A,CST!B351)&gt;0,"ISENÇÃO","SEM ISENÇÃO")</f>
        <v>ISENÇÃO</v>
      </c>
      <c r="F351" s="18" t="str">
        <f>IF(COUNTIF(REDUÇÕES!A:A,CST!B351)&gt;0,"REDUÇÃO","NÃO REDUÇÃO")</f>
        <v>NÃO REDUÇÃO</v>
      </c>
      <c r="G351" s="27">
        <f t="shared" si="6"/>
        <v>40</v>
      </c>
    </row>
    <row r="352" spans="1:7" x14ac:dyDescent="0.25">
      <c r="A352" s="120" t="str">
        <f>RIGHT(CSTABLE[[#This Row],[NomeNCM]],8)</f>
        <v>48062000</v>
      </c>
      <c r="B352" s="3" t="s">
        <v>3833</v>
      </c>
      <c r="C352" s="3" t="str">
        <f>IFERROR(VLOOKUP(B352,ST!C:D,2,0),"NÃOST")</f>
        <v>NÃOST</v>
      </c>
      <c r="D352" s="3"/>
      <c r="E352" s="3" t="str">
        <f>IF(COUNTIF(ISENÇÕES!A:A,CST!B352)&gt;0,"ISENÇÃO","SEM ISENÇÃO")</f>
        <v>SEM ISENÇÃO</v>
      </c>
      <c r="F352" s="18" t="str">
        <f>IF(COUNTIF(REDUÇÕES!A:A,CST!B352)&gt;0,"REDUÇÃO","NÃO REDUÇÃO")</f>
        <v>NÃO REDUÇÃO</v>
      </c>
      <c r="G352" s="27">
        <f t="shared" si="6"/>
        <v>0</v>
      </c>
    </row>
    <row r="353" spans="1:7" x14ac:dyDescent="0.25">
      <c r="A353" s="120" t="str">
        <f>RIGHT(CSTABLE[[#This Row],[NomeNCM]],8)</f>
        <v>39239000</v>
      </c>
      <c r="B353" s="3" t="s">
        <v>3834</v>
      </c>
      <c r="C353" s="3" t="str">
        <f>IFERROR(VLOOKUP(B353,ST!C:D,2,0),"NÃOST")</f>
        <v>NÃOST</v>
      </c>
      <c r="D353" s="3"/>
      <c r="E353" s="3" t="str">
        <f>IF(COUNTIF(ISENÇÕES!A:A,CST!B353)&gt;0,"ISENÇÃO","SEM ISENÇÃO")</f>
        <v>SEM ISENÇÃO</v>
      </c>
      <c r="F353" s="18" t="str">
        <f>IF(COUNTIF(REDUÇÕES!A:A,CST!B353)&gt;0,"REDUÇÃO","NÃO REDUÇÃO")</f>
        <v>NÃO REDUÇÃO</v>
      </c>
      <c r="G353" s="27">
        <f t="shared" si="6"/>
        <v>0</v>
      </c>
    </row>
    <row r="354" spans="1:7" x14ac:dyDescent="0.25">
      <c r="A354" s="120" t="str">
        <f>RIGHT(CSTABLE[[#This Row],[NomeNCM]],8)</f>
        <v>76071190</v>
      </c>
      <c r="B354" s="3" t="s">
        <v>3835</v>
      </c>
      <c r="C354" s="3" t="str">
        <f>IFERROR(VLOOKUP(B354,ST!C:D,2,0),"NÃOST")</f>
        <v>NÃOST</v>
      </c>
      <c r="D354" s="3"/>
      <c r="E354" s="3" t="str">
        <f>IF(COUNTIF(ISENÇÕES!A:A,CST!B354)&gt;0,"ISENÇÃO","SEM ISENÇÃO")</f>
        <v>SEM ISENÇÃO</v>
      </c>
      <c r="F354" s="18" t="str">
        <f>IF(COUNTIF(REDUÇÕES!A:A,CST!B354)&gt;0,"REDUÇÃO","NÃO REDUÇÃO")</f>
        <v>NÃO REDUÇÃO</v>
      </c>
      <c r="G354" s="27">
        <f t="shared" si="6"/>
        <v>0</v>
      </c>
    </row>
    <row r="355" spans="1:7" x14ac:dyDescent="0.25">
      <c r="A355" s="120" t="str">
        <f>RIGHT(CSTABLE[[#This Row],[NomeNCM]],8)</f>
        <v>06031100</v>
      </c>
      <c r="B355" s="3" t="s">
        <v>552</v>
      </c>
      <c r="C355" s="3" t="str">
        <f>IFERROR(VLOOKUP(B355,ST!C:D,2,0),"NÃOST")</f>
        <v>NÃOST</v>
      </c>
      <c r="D355" s="3"/>
      <c r="E355" s="3" t="str">
        <f>IF(COUNTIF(ISENÇÕES!A:A,CST!B355)&gt;0,"ISENÇÃO","SEM ISENÇÃO")</f>
        <v>ISENÇÃO</v>
      </c>
      <c r="F355" s="18" t="str">
        <f>IF(COUNTIF(REDUÇÕES!A:A,CST!B355)&gt;0,"REDUÇÃO","NÃO REDUÇÃO")</f>
        <v>NÃO REDUÇÃO</v>
      </c>
      <c r="G355" s="27">
        <f t="shared" si="6"/>
        <v>40</v>
      </c>
    </row>
    <row r="356" spans="1:7" x14ac:dyDescent="0.25">
      <c r="A356" s="120" t="str">
        <f>RIGHT(CSTABLE[[#This Row],[NomeNCM]],8)</f>
        <v>06029021</v>
      </c>
      <c r="B356" s="3" t="s">
        <v>3626</v>
      </c>
      <c r="C356" s="3" t="str">
        <f>IFERROR(VLOOKUP(B356,ST!C:D,2,0),"NÃOST")</f>
        <v>NÃOST</v>
      </c>
      <c r="D356" s="3"/>
      <c r="E356" s="3" t="str">
        <f>IF(COUNTIF(ISENÇÕES!A:A,CST!B356)&gt;0,"ISENÇÃO","SEM ISENÇÃO")</f>
        <v>ISENÇÃO</v>
      </c>
      <c r="F356" s="18" t="str">
        <f>IF(COUNTIF(REDUÇÕES!A:A,CST!B356)&gt;0,"REDUÇÃO","NÃO REDUÇÃO")</f>
        <v>NÃO REDUÇÃO</v>
      </c>
      <c r="G356" s="27">
        <f t="shared" si="6"/>
        <v>40</v>
      </c>
    </row>
    <row r="357" spans="1:7" x14ac:dyDescent="0.25">
      <c r="A357" s="120" t="str">
        <f>RIGHT(CSTABLE[[#This Row],[NomeNCM]],8)</f>
        <v>20055900</v>
      </c>
      <c r="B357" s="3" t="s">
        <v>3836</v>
      </c>
      <c r="C357" s="3" t="str">
        <f>IFERROR(VLOOKUP(B357,ST!C:D,2,0),"NÃOST")</f>
        <v>NÃOST</v>
      </c>
      <c r="D357" s="3"/>
      <c r="E357" s="3" t="str">
        <f>IF(COUNTIF(ISENÇÕES!A:A,CST!B357)&gt;0,"ISENÇÃO","SEM ISENÇÃO")</f>
        <v>SEM ISENÇÃO</v>
      </c>
      <c r="F357" s="18" t="str">
        <f>IF(COUNTIF(REDUÇÕES!A:A,CST!B357)&gt;0,"REDUÇÃO","NÃO REDUÇÃO")</f>
        <v>REDUÇÃO</v>
      </c>
      <c r="G357" s="27">
        <f t="shared" si="6"/>
        <v>20</v>
      </c>
    </row>
    <row r="358" spans="1:7" x14ac:dyDescent="0.25">
      <c r="A358" s="120" t="str">
        <f>RIGHT(CSTABLE[[#This Row],[NomeNCM]],8)</f>
        <v>21031010</v>
      </c>
      <c r="B358" s="3" t="s">
        <v>3837</v>
      </c>
      <c r="C358" s="3" t="str">
        <f>IFERROR(VLOOKUP(B358,ST!C:D,2,0),"NÃOST")</f>
        <v>NÃOST</v>
      </c>
      <c r="D358" s="3"/>
      <c r="E358" s="3" t="str">
        <f>IF(COUNTIF(ISENÇÕES!A:A,CST!B358)&gt;0,"ISENÇÃO","SEM ISENÇÃO")</f>
        <v>SEM ISENÇÃO</v>
      </c>
      <c r="F358" s="18" t="str">
        <f>IF(COUNTIF(REDUÇÕES!A:A,CST!B358)&gt;0,"REDUÇÃO","NÃO REDUÇÃO")</f>
        <v>NÃO REDUÇÃO</v>
      </c>
      <c r="G358" s="27">
        <f t="shared" si="6"/>
        <v>0</v>
      </c>
    </row>
    <row r="359" spans="1:7" x14ac:dyDescent="0.25">
      <c r="A359" s="120" t="str">
        <f>RIGHT(CSTABLE[[#This Row],[NomeNCM]],8)</f>
        <v>04051000</v>
      </c>
      <c r="B359" s="3" t="s">
        <v>212</v>
      </c>
      <c r="C359" s="3" t="str">
        <f>IFERROR(VLOOKUP(B359,ST!C:D,2,0),"NÃOST")</f>
        <v>NÃOST</v>
      </c>
      <c r="D359" s="3"/>
      <c r="E359" s="3" t="str">
        <f>IF(COUNTIF(ISENÇÕES!A:A,CST!B359)&gt;0,"ISENÇÃO","SEM ISENÇÃO")</f>
        <v>SEM ISENÇÃO</v>
      </c>
      <c r="F359" s="18" t="str">
        <f>IF(COUNTIF(REDUÇÕES!A:A,CST!B359)&gt;0,"REDUÇÃO","NÃO REDUÇÃO")</f>
        <v>REDUÇÃO</v>
      </c>
      <c r="G359" s="27">
        <f t="shared" si="6"/>
        <v>20</v>
      </c>
    </row>
    <row r="360" spans="1:7" x14ac:dyDescent="0.25">
      <c r="A360" s="120" t="str">
        <f>RIGHT(CSTABLE[[#This Row],[NomeNCM]],8)</f>
        <v>95030031</v>
      </c>
      <c r="B360" s="3" t="s">
        <v>3838</v>
      </c>
      <c r="C360" s="3" t="str">
        <f>IFERROR(VLOOKUP(B360,ST!C:D,2,0),"NÃOST")</f>
        <v>NÃOST</v>
      </c>
      <c r="D360" s="3"/>
      <c r="E360" s="3" t="str">
        <f>IF(COUNTIF(ISENÇÕES!A:A,CST!B360)&gt;0,"ISENÇÃO","SEM ISENÇÃO")</f>
        <v>SEM ISENÇÃO</v>
      </c>
      <c r="F360" s="18" t="str">
        <f>IF(COUNTIF(REDUÇÕES!A:A,CST!B360)&gt;0,"REDUÇÃO","NÃO REDUÇÃO")</f>
        <v>NÃO REDUÇÃO</v>
      </c>
      <c r="G360" s="27">
        <f t="shared" si="6"/>
        <v>0</v>
      </c>
    </row>
    <row r="361" spans="1:7" x14ac:dyDescent="0.25">
      <c r="A361" s="120" t="str">
        <f>RIGHT(CSTABLE[[#This Row],[NomeNCM]],8)</f>
        <v>03038956</v>
      </c>
      <c r="B361" s="3" t="s">
        <v>2629</v>
      </c>
      <c r="C361" s="3" t="str">
        <f>IFERROR(VLOOKUP(B361,ST!C:D,2,0),"NÃOST")</f>
        <v>NÃOST</v>
      </c>
      <c r="D361" s="3"/>
      <c r="E361" s="3" t="str">
        <f>IF(COUNTIF(ISENÇÕES!A:A,CST!B361)&gt;0,"ISENÇÃO","SEM ISENÇÃO")</f>
        <v>SEM ISENÇÃO</v>
      </c>
      <c r="F361" s="18" t="str">
        <f>IF(COUNTIF(REDUÇÕES!A:A,CST!B361)&gt;0,"REDUÇÃO","NÃO REDUÇÃO")</f>
        <v>NÃO REDUÇÃO</v>
      </c>
      <c r="G361" s="27">
        <f t="shared" si="6"/>
        <v>0</v>
      </c>
    </row>
    <row r="362" spans="1:7" x14ac:dyDescent="0.25">
      <c r="A362" s="120" t="str">
        <f>RIGHT(CSTABLE[[#This Row],[NomeNCM]],8)</f>
        <v>57033000</v>
      </c>
      <c r="B362" s="3" t="s">
        <v>3839</v>
      </c>
      <c r="C362" s="3" t="str">
        <f>IFERROR(VLOOKUP(B362,ST!C:D,2,0),"NÃOST")</f>
        <v>NÃOST</v>
      </c>
      <c r="D362" s="3"/>
      <c r="E362" s="3" t="str">
        <f>IF(COUNTIF(ISENÇÕES!A:A,CST!B362)&gt;0,"ISENÇÃO","SEM ISENÇÃO")</f>
        <v>SEM ISENÇÃO</v>
      </c>
      <c r="F362" s="18" t="str">
        <f>IF(COUNTIF(REDUÇÕES!A:A,CST!B362)&gt;0,"REDUÇÃO","NÃO REDUÇÃO")</f>
        <v>NÃO REDUÇÃO</v>
      </c>
      <c r="G362" s="27">
        <f t="shared" si="6"/>
        <v>0</v>
      </c>
    </row>
    <row r="363" spans="1:7" x14ac:dyDescent="0.25">
      <c r="A363" s="120" t="str">
        <f>RIGHT(CSTABLE[[#This Row],[NomeNCM]],8)</f>
        <v>20011000</v>
      </c>
      <c r="B363" s="3" t="s">
        <v>3840</v>
      </c>
      <c r="C363" s="3" t="str">
        <f>IFERROR(VLOOKUP(B363,ST!C:D,2,0),"NÃOST")</f>
        <v>NÃOST</v>
      </c>
      <c r="D363" s="3"/>
      <c r="E363" s="3" t="str">
        <f>IF(COUNTIF(ISENÇÕES!A:A,CST!B363)&gt;0,"ISENÇÃO","SEM ISENÇÃO")</f>
        <v>SEM ISENÇÃO</v>
      </c>
      <c r="F363" s="18" t="str">
        <f>IF(COUNTIF(REDUÇÕES!A:A,CST!B363)&gt;0,"REDUÇÃO","NÃO REDUÇÃO")</f>
        <v>NÃO REDUÇÃO</v>
      </c>
      <c r="G363" s="27">
        <f t="shared" si="6"/>
        <v>0</v>
      </c>
    </row>
    <row r="364" spans="1:7" x14ac:dyDescent="0.25">
      <c r="A364" s="120" t="str">
        <f>RIGHT(CSTABLE[[#This Row],[NomeNCM]],8)</f>
        <v>63052000</v>
      </c>
      <c r="B364" s="3" t="s">
        <v>3841</v>
      </c>
      <c r="C364" s="3" t="str">
        <f>IFERROR(VLOOKUP(B364,ST!C:D,2,0),"NÃOST")</f>
        <v>NÃOST</v>
      </c>
      <c r="D364" s="3"/>
      <c r="E364" s="3" t="str">
        <f>IF(COUNTIF(ISENÇÕES!A:A,CST!B364)&gt;0,"ISENÇÃO","SEM ISENÇÃO")</f>
        <v>SEM ISENÇÃO</v>
      </c>
      <c r="F364" s="18" t="str">
        <f>IF(COUNTIF(REDUÇÕES!A:A,CST!B364)&gt;0,"REDUÇÃO","NÃO REDUÇÃO")</f>
        <v>NÃO REDUÇÃO</v>
      </c>
      <c r="G364" s="27">
        <f t="shared" si="6"/>
        <v>0</v>
      </c>
    </row>
    <row r="365" spans="1:7" x14ac:dyDescent="0.25">
      <c r="A365" s="120" t="str">
        <f>RIGHT(CSTABLE[[#This Row],[NomeNCM]],8)</f>
        <v>04100000</v>
      </c>
      <c r="B365" s="3" t="s">
        <v>3842</v>
      </c>
      <c r="C365" s="3" t="str">
        <f>IFERROR(VLOOKUP(B365,ST!C:D,2,0),"NÃOST")</f>
        <v>NÃOST</v>
      </c>
      <c r="D365" s="3"/>
      <c r="E365" s="3" t="str">
        <f>IF(COUNTIF(ISENÇÕES!A:A,CST!B365)&gt;0,"ISENÇÃO","SEM ISENÇÃO")</f>
        <v>SEM ISENÇÃO</v>
      </c>
      <c r="F365" s="18" t="str">
        <f>IF(COUNTIF(REDUÇÕES!A:A,CST!B365)&gt;0,"REDUÇÃO","NÃO REDUÇÃO")</f>
        <v>NÃO REDUÇÃO</v>
      </c>
      <c r="G365" s="27">
        <f t="shared" si="6"/>
        <v>0</v>
      </c>
    </row>
    <row r="366" spans="1:7" x14ac:dyDescent="0.25">
      <c r="A366" s="120" t="str">
        <f>RIGHT(CSTABLE[[#This Row],[NomeNCM]],8)</f>
        <v>70132800</v>
      </c>
      <c r="B366" s="3" t="s">
        <v>3843</v>
      </c>
      <c r="C366" s="3" t="str">
        <f>IFERROR(VLOOKUP(B366,ST!C:D,2,0),"NÃOST")</f>
        <v>NÃOST</v>
      </c>
      <c r="D366" s="3"/>
      <c r="E366" s="3" t="str">
        <f>IF(COUNTIF(ISENÇÕES!A:A,CST!B366)&gt;0,"ISENÇÃO","SEM ISENÇÃO")</f>
        <v>SEM ISENÇÃO</v>
      </c>
      <c r="F366" s="18" t="str">
        <f>IF(COUNTIF(REDUÇÕES!A:A,CST!B366)&gt;0,"REDUÇÃO","NÃO REDUÇÃO")</f>
        <v>NÃO REDUÇÃO</v>
      </c>
      <c r="G366" s="27">
        <f t="shared" si="6"/>
        <v>0</v>
      </c>
    </row>
    <row r="367" spans="1:7" x14ac:dyDescent="0.25">
      <c r="A367" s="120" t="str">
        <f>RIGHT(CSTABLE[[#This Row],[NomeNCM]],8)</f>
        <v>40141000</v>
      </c>
      <c r="B367" s="3" t="s">
        <v>3611</v>
      </c>
      <c r="C367" s="3" t="str">
        <f>IFERROR(VLOOKUP(B367,ST!C:D,2,0),"NÃOST")</f>
        <v>NÃOST</v>
      </c>
      <c r="D367" s="3"/>
      <c r="E367" s="3" t="str">
        <f>IF(COUNTIF(ISENÇÕES!A:A,CST!B367)&gt;0,"ISENÇÃO","SEM ISENÇÃO")</f>
        <v>ISENÇÃO</v>
      </c>
      <c r="F367" s="18" t="str">
        <f>IF(COUNTIF(REDUÇÕES!A:A,CST!B367)&gt;0,"REDUÇÃO","NÃO REDUÇÃO")</f>
        <v>NÃO REDUÇÃO</v>
      </c>
      <c r="G367" s="27">
        <f t="shared" si="6"/>
        <v>40</v>
      </c>
    </row>
    <row r="368" spans="1:7" x14ac:dyDescent="0.25">
      <c r="A368" s="120" t="str">
        <f>RIGHT(CSTABLE[[#This Row],[NomeNCM]],8)</f>
        <v>95030039</v>
      </c>
      <c r="B368" s="3" t="s">
        <v>3844</v>
      </c>
      <c r="C368" s="3" t="str">
        <f>IFERROR(VLOOKUP(B368,ST!C:D,2,0),"NÃOST")</f>
        <v>NÃOST</v>
      </c>
      <c r="D368" s="3"/>
      <c r="E368" s="3" t="str">
        <f>IF(COUNTIF(ISENÇÕES!A:A,CST!B368)&gt;0,"ISENÇÃO","SEM ISENÇÃO")</f>
        <v>SEM ISENÇÃO</v>
      </c>
      <c r="F368" s="18" t="str">
        <f>IF(COUNTIF(REDUÇÕES!A:A,CST!B368)&gt;0,"REDUÇÃO","NÃO REDUÇÃO")</f>
        <v>NÃO REDUÇÃO</v>
      </c>
      <c r="G368" s="27">
        <f t="shared" si="6"/>
        <v>0</v>
      </c>
    </row>
    <row r="369" spans="1:7" x14ac:dyDescent="0.25">
      <c r="A369" s="120" t="str">
        <f>RIGHT(CSTABLE[[#This Row],[NomeNCM]],8)</f>
        <v>07020000</v>
      </c>
      <c r="B369" s="3" t="s">
        <v>2712</v>
      </c>
      <c r="C369" s="3" t="str">
        <f>IFERROR(VLOOKUP(B369,ST!C:D,2,0),"NÃOST")</f>
        <v>NÃOST</v>
      </c>
      <c r="D369" s="3"/>
      <c r="E369" s="3" t="str">
        <f>IF(COUNTIF(ISENÇÕES!A:A,CST!B369)&gt;0,"ISENÇÃO","SEM ISENÇÃO")</f>
        <v>ISENÇÃO</v>
      </c>
      <c r="F369" s="18" t="str">
        <f>IF(COUNTIF(REDUÇÕES!A:A,CST!B369)&gt;0,"REDUÇÃO","NÃO REDUÇÃO")</f>
        <v>NÃO REDUÇÃO</v>
      </c>
      <c r="G369" s="27">
        <f t="shared" si="6"/>
        <v>40</v>
      </c>
    </row>
    <row r="370" spans="1:7" x14ac:dyDescent="0.25">
      <c r="A370" s="120" t="str">
        <f>RIGHT(CSTABLE[[#This Row],[NomeNCM]],8)</f>
        <v>07069000</v>
      </c>
      <c r="B370" s="3" t="s">
        <v>2718</v>
      </c>
      <c r="C370" s="3" t="str">
        <f>IFERROR(VLOOKUP(B370,ST!C:D,2,0),"NÃOST")</f>
        <v>NÃOST</v>
      </c>
      <c r="D370" s="3"/>
      <c r="E370" s="3" t="str">
        <f>IF(COUNTIF(ISENÇÕES!A:A,CST!B370)&gt;0,"ISENÇÃO","SEM ISENÇÃO")</f>
        <v>ISENÇÃO</v>
      </c>
      <c r="F370" s="18" t="str">
        <f>IF(COUNTIF(REDUÇÕES!A:A,CST!B370)&gt;0,"REDUÇÃO","NÃO REDUÇÃO")</f>
        <v>NÃO REDUÇÃO</v>
      </c>
      <c r="G370" s="27">
        <f t="shared" si="6"/>
        <v>40</v>
      </c>
    </row>
    <row r="371" spans="1:7" x14ac:dyDescent="0.25">
      <c r="A371" s="120" t="str">
        <f>RIGHT(CSTABLE[[#This Row],[NomeNCM]],8)</f>
        <v>02062990</v>
      </c>
      <c r="B371" s="3" t="s">
        <v>261</v>
      </c>
      <c r="C371" s="3" t="str">
        <f>IFERROR(VLOOKUP(B371,ST!C:D,2,0),"NÃOST")</f>
        <v>NÃOST</v>
      </c>
      <c r="D371" s="3"/>
      <c r="E371" s="3" t="str">
        <f>IF(COUNTIF(ISENÇÕES!A:A,CST!B371)&gt;0,"ISENÇÃO","SEM ISENÇÃO")</f>
        <v>SEM ISENÇÃO</v>
      </c>
      <c r="F371" s="18" t="str">
        <f>IF(COUNTIF(REDUÇÕES!A:A,CST!B371)&gt;0,"REDUÇÃO","NÃO REDUÇÃO")</f>
        <v>NÃO REDUÇÃO</v>
      </c>
      <c r="G371" s="27">
        <f t="shared" si="6"/>
        <v>0</v>
      </c>
    </row>
    <row r="372" spans="1:7" x14ac:dyDescent="0.25">
      <c r="A372" s="120" t="str">
        <f>RIGHT(CSTABLE[[#This Row],[NomeNCM]],8)</f>
        <v>21069030</v>
      </c>
      <c r="B372" s="3" t="s">
        <v>3845</v>
      </c>
      <c r="C372" s="3" t="str">
        <f>IFERROR(VLOOKUP(B372,ST!C:D,2,0),"NÃOST")</f>
        <v>NÃOST</v>
      </c>
      <c r="D372" s="3"/>
      <c r="E372" s="3" t="str">
        <f>IF(COUNTIF(ISENÇÕES!A:A,CST!B372)&gt;0,"ISENÇÃO","SEM ISENÇÃO")</f>
        <v>SEM ISENÇÃO</v>
      </c>
      <c r="F372" s="18" t="str">
        <f>IF(COUNTIF(REDUÇÕES!A:A,CST!B372)&gt;0,"REDUÇÃO","NÃO REDUÇÃO")</f>
        <v>NÃO REDUÇÃO</v>
      </c>
      <c r="G372" s="27">
        <f t="shared" si="6"/>
        <v>0</v>
      </c>
    </row>
    <row r="373" spans="1:7" x14ac:dyDescent="0.25">
      <c r="A373" s="120" t="str">
        <f>RIGHT(CSTABLE[[#This Row],[NomeNCM]],8)</f>
        <v>38249989</v>
      </c>
      <c r="B373" s="3" t="s">
        <v>3846</v>
      </c>
      <c r="C373" s="3" t="str">
        <f>IFERROR(VLOOKUP(B373,ST!C:D,2,0),"NÃOST")</f>
        <v>NÃOST</v>
      </c>
      <c r="D373" s="3"/>
      <c r="E373" s="3" t="str">
        <f>IF(COUNTIF(ISENÇÕES!A:A,CST!B373)&gt;0,"ISENÇÃO","SEM ISENÇÃO")</f>
        <v>SEM ISENÇÃO</v>
      </c>
      <c r="F373" s="18" t="str">
        <f>IF(COUNTIF(REDUÇÕES!A:A,CST!B373)&gt;0,"REDUÇÃO","NÃO REDUÇÃO")</f>
        <v>NÃO REDUÇÃO</v>
      </c>
      <c r="G373" s="27">
        <f t="shared" si="6"/>
        <v>0</v>
      </c>
    </row>
    <row r="374" spans="1:7" x14ac:dyDescent="0.25">
      <c r="A374" s="120" t="str">
        <f>RIGHT(CSTABLE[[#This Row],[NomeNCM]],8)</f>
        <v>34029019</v>
      </c>
      <c r="B374" s="3" t="s">
        <v>3847</v>
      </c>
      <c r="C374" s="3" t="str">
        <f>IFERROR(VLOOKUP(B374,ST!C:D,2,0),"NÃOST")</f>
        <v>NÃOST</v>
      </c>
      <c r="D374" s="3"/>
      <c r="E374" s="3" t="str">
        <f>IF(COUNTIF(ISENÇÕES!A:A,CST!B374)&gt;0,"ISENÇÃO","SEM ISENÇÃO")</f>
        <v>SEM ISENÇÃO</v>
      </c>
      <c r="F374" s="18" t="str">
        <f>IF(COUNTIF(REDUÇÕES!A:A,CST!B374)&gt;0,"REDUÇÃO","NÃO REDUÇÃO")</f>
        <v>NÃO REDUÇÃO</v>
      </c>
      <c r="G374" s="27">
        <f t="shared" si="6"/>
        <v>0</v>
      </c>
    </row>
    <row r="375" spans="1:7" x14ac:dyDescent="0.25">
      <c r="A375" s="120" t="str">
        <f>RIGHT(CSTABLE[[#This Row],[NomeNCM]],8)</f>
        <v>34053000</v>
      </c>
      <c r="B375" s="3" t="s">
        <v>3848</v>
      </c>
      <c r="C375" s="3" t="str">
        <f>IFERROR(VLOOKUP(B375,ST!C:D,2,0),"NÃOST")</f>
        <v>NÃOST</v>
      </c>
      <c r="D375" s="3"/>
      <c r="E375" s="3" t="str">
        <f>IF(COUNTIF(ISENÇÕES!A:A,CST!B375)&gt;0,"ISENÇÃO","SEM ISENÇÃO")</f>
        <v>SEM ISENÇÃO</v>
      </c>
      <c r="F375" s="18" t="str">
        <f>IF(COUNTIF(REDUÇÕES!A:A,CST!B375)&gt;0,"REDUÇÃO","NÃO REDUÇÃO")</f>
        <v>NÃO REDUÇÃO</v>
      </c>
      <c r="G375" s="27">
        <f t="shared" si="6"/>
        <v>0</v>
      </c>
    </row>
    <row r="376" spans="1:7" x14ac:dyDescent="0.25">
      <c r="A376" s="120" t="str">
        <f>RIGHT(CSTABLE[[#This Row],[NomeNCM]],8)</f>
        <v>39100090</v>
      </c>
      <c r="B376" s="3" t="s">
        <v>3849</v>
      </c>
      <c r="C376" s="3" t="str">
        <f>IFERROR(VLOOKUP(B376,ST!C:D,2,0),"NÃOST")</f>
        <v>NÃOST</v>
      </c>
      <c r="D376" s="3"/>
      <c r="E376" s="3" t="str">
        <f>IF(COUNTIF(ISENÇÕES!A:A,CST!B376)&gt;0,"ISENÇÃO","SEM ISENÇÃO")</f>
        <v>SEM ISENÇÃO</v>
      </c>
      <c r="F376" s="18" t="str">
        <f>IF(COUNTIF(REDUÇÕES!A:A,CST!B376)&gt;0,"REDUÇÃO","NÃO REDUÇÃO")</f>
        <v>NÃO REDUÇÃO</v>
      </c>
      <c r="G376" s="27">
        <f t="shared" si="6"/>
        <v>0</v>
      </c>
    </row>
    <row r="377" spans="1:7" x14ac:dyDescent="0.25">
      <c r="A377" s="120" t="str">
        <f>RIGHT(CSTABLE[[#This Row],[NomeNCM]],8)</f>
        <v>85392200</v>
      </c>
      <c r="B377" s="3" t="s">
        <v>122</v>
      </c>
      <c r="C377" s="3" t="str">
        <f>IFERROR(VLOOKUP(B377,ST!C:D,2,0),"NÃOST")</f>
        <v>ST</v>
      </c>
      <c r="D377" s="3"/>
      <c r="E377" s="3" t="str">
        <f>IF(COUNTIF(ISENÇÕES!A:A,CST!B377)&gt;0,"ISENÇÃO","SEM ISENÇÃO")</f>
        <v>SEM ISENÇÃO</v>
      </c>
      <c r="F377" s="18" t="str">
        <f>IF(COUNTIF(REDUÇÕES!A:A,CST!B377)&gt;0,"REDUÇÃO","NÃO REDUÇÃO")</f>
        <v>NÃO REDUÇÃO</v>
      </c>
      <c r="G377" s="27">
        <f t="shared" si="6"/>
        <v>60</v>
      </c>
    </row>
    <row r="378" spans="1:7" x14ac:dyDescent="0.25">
      <c r="A378" s="120" t="str">
        <f>RIGHT(CSTABLE[[#This Row],[NomeNCM]],8)</f>
        <v>18063220</v>
      </c>
      <c r="B378" s="3" t="s">
        <v>3850</v>
      </c>
      <c r="C378" s="3" t="str">
        <f>IFERROR(VLOOKUP(B378,ST!C:D,2,0),"NÃOST")</f>
        <v>NÃOST</v>
      </c>
      <c r="D378" s="3"/>
      <c r="E378" s="3" t="str">
        <f>IF(COUNTIF(ISENÇÕES!A:A,CST!B378)&gt;0,"ISENÇÃO","SEM ISENÇÃO")</f>
        <v>SEM ISENÇÃO</v>
      </c>
      <c r="F378" s="18" t="str">
        <f>IF(COUNTIF(REDUÇÕES!A:A,CST!B378)&gt;0,"REDUÇÃO","NÃO REDUÇÃO")</f>
        <v>NÃO REDUÇÃO</v>
      </c>
      <c r="G378" s="27">
        <f t="shared" si="6"/>
        <v>0</v>
      </c>
    </row>
    <row r="379" spans="1:7" x14ac:dyDescent="0.25">
      <c r="A379" s="120" t="str">
        <f>RIGHT(CSTABLE[[#This Row],[NomeNCM]],8)</f>
        <v>21069060</v>
      </c>
      <c r="B379" s="3" t="s">
        <v>3851</v>
      </c>
      <c r="C379" s="3" t="str">
        <f>IFERROR(VLOOKUP(B379,ST!C:D,2,0),"NÃOST")</f>
        <v>NÃOST</v>
      </c>
      <c r="D379" s="3"/>
      <c r="E379" s="3" t="str">
        <f>IF(COUNTIF(ISENÇÕES!A:A,CST!B379)&gt;0,"ISENÇÃO","SEM ISENÇÃO")</f>
        <v>SEM ISENÇÃO</v>
      </c>
      <c r="F379" s="18" t="str">
        <f>IF(COUNTIF(REDUÇÕES!A:A,CST!B379)&gt;0,"REDUÇÃO","NÃO REDUÇÃO")</f>
        <v>NÃO REDUÇÃO</v>
      </c>
      <c r="G379" s="27">
        <f t="shared" si="6"/>
        <v>0</v>
      </c>
    </row>
    <row r="380" spans="1:7" x14ac:dyDescent="0.25">
      <c r="A380" s="120" t="str">
        <f>RIGHT(CSTABLE[[#This Row],[NomeNCM]],8)</f>
        <v>85061030</v>
      </c>
      <c r="B380" s="3" t="s">
        <v>3852</v>
      </c>
      <c r="C380" s="3" t="str">
        <f>IFERROR(VLOOKUP(B380,ST!C:D,2,0),"NÃOST")</f>
        <v>NÃOST</v>
      </c>
      <c r="D380" s="3"/>
      <c r="E380" s="3" t="str">
        <f>IF(COUNTIF(ISENÇÕES!A:A,CST!B380)&gt;0,"ISENÇÃO","SEM ISENÇÃO")</f>
        <v>SEM ISENÇÃO</v>
      </c>
      <c r="F380" s="18" t="str">
        <f>IF(COUNTIF(REDUÇÕES!A:A,CST!B380)&gt;0,"REDUÇÃO","NÃO REDUÇÃO")</f>
        <v>NÃO REDUÇÃO</v>
      </c>
      <c r="G380" s="27">
        <f t="shared" si="6"/>
        <v>0</v>
      </c>
    </row>
    <row r="381" spans="1:7" x14ac:dyDescent="0.25">
      <c r="A381" s="120" t="str">
        <f>RIGHT(CSTABLE[[#This Row],[NomeNCM]],8)</f>
        <v>85061010</v>
      </c>
      <c r="B381" s="3" t="s">
        <v>3853</v>
      </c>
      <c r="C381" s="3" t="str">
        <f>IFERROR(VLOOKUP(B381,ST!C:D,2,0),"NÃOST")</f>
        <v>NÃOST</v>
      </c>
      <c r="D381" s="3"/>
      <c r="E381" s="3" t="str">
        <f>IF(COUNTIF(ISENÇÕES!A:A,CST!B381)&gt;0,"ISENÇÃO","SEM ISENÇÃO")</f>
        <v>SEM ISENÇÃO</v>
      </c>
      <c r="F381" s="18" t="str">
        <f>IF(COUNTIF(REDUÇÕES!A:A,CST!B381)&gt;0,"REDUÇÃO","NÃO REDUÇÃO")</f>
        <v>NÃO REDUÇÃO</v>
      </c>
      <c r="G381" s="27">
        <f t="shared" si="6"/>
        <v>0</v>
      </c>
    </row>
    <row r="382" spans="1:7" x14ac:dyDescent="0.25">
      <c r="A382" s="120" t="str">
        <f>RIGHT(CSTABLE[[#This Row],[NomeNCM]],8)</f>
        <v>48236900</v>
      </c>
      <c r="B382" s="3" t="s">
        <v>3854</v>
      </c>
      <c r="C382" s="3" t="str">
        <f>IFERROR(VLOOKUP(B382,ST!C:D,2,0),"NÃOST")</f>
        <v>NÃOST</v>
      </c>
      <c r="D382" s="3"/>
      <c r="E382" s="3" t="str">
        <f>IF(COUNTIF(ISENÇÕES!A:A,CST!B382)&gt;0,"ISENÇÃO","SEM ISENÇÃO")</f>
        <v>SEM ISENÇÃO</v>
      </c>
      <c r="F382" s="18" t="str">
        <f>IF(COUNTIF(REDUÇÕES!A:A,CST!B382)&gt;0,"REDUÇÃO","NÃO REDUÇÃO")</f>
        <v>NÃO REDUÇÃO</v>
      </c>
      <c r="G382" s="27">
        <f t="shared" si="6"/>
        <v>0</v>
      </c>
    </row>
    <row r="383" spans="1:7" x14ac:dyDescent="0.25">
      <c r="A383" s="120" t="str">
        <f>RIGHT(CSTABLE[[#This Row],[NomeNCM]],8)</f>
        <v>09012200</v>
      </c>
      <c r="B383" s="3" t="s">
        <v>3342</v>
      </c>
      <c r="C383" s="3" t="str">
        <f>IFERROR(VLOOKUP(B383,ST!C:D,2,0),"NÃOST")</f>
        <v>NÃOST</v>
      </c>
      <c r="D383" s="3"/>
      <c r="E383" s="3" t="str">
        <f>IF(COUNTIF(ISENÇÕES!A:A,CST!B383)&gt;0,"ISENÇÃO","SEM ISENÇÃO")</f>
        <v>SEM ISENÇÃO</v>
      </c>
      <c r="F383" s="18" t="str">
        <f>IF(COUNTIF(REDUÇÕES!A:A,CST!B383)&gt;0,"REDUÇÃO","NÃO REDUÇÃO")</f>
        <v>REDUÇÃO</v>
      </c>
      <c r="G383" s="27">
        <f t="shared" si="6"/>
        <v>20</v>
      </c>
    </row>
    <row r="384" spans="1:7" x14ac:dyDescent="0.25">
      <c r="A384" s="120" t="str">
        <f>RIGHT(CSTABLE[[#This Row],[NomeNCM]],8)</f>
        <v>84501900</v>
      </c>
      <c r="B384" s="3" t="s">
        <v>3855</v>
      </c>
      <c r="C384" s="3" t="str">
        <f>IFERROR(VLOOKUP(B384,ST!C:D,2,0),"NÃOST")</f>
        <v>NÃOST</v>
      </c>
      <c r="D384" s="3"/>
      <c r="E384" s="3" t="str">
        <f>IF(COUNTIF(ISENÇÕES!A:A,CST!B384)&gt;0,"ISENÇÃO","SEM ISENÇÃO")</f>
        <v>SEM ISENÇÃO</v>
      </c>
      <c r="F384" s="18" t="str">
        <f>IF(COUNTIF(REDUÇÕES!A:A,CST!B384)&gt;0,"REDUÇÃO","NÃO REDUÇÃO")</f>
        <v>NÃO REDUÇÃO</v>
      </c>
      <c r="G384" s="27">
        <f t="shared" si="6"/>
        <v>0</v>
      </c>
    </row>
    <row r="385" spans="1:7" x14ac:dyDescent="0.25">
      <c r="A385" s="120" t="str">
        <f>RIGHT(CSTABLE[[#This Row],[NomeNCM]],8)</f>
        <v>85129000</v>
      </c>
      <c r="B385" s="3" t="s">
        <v>3856</v>
      </c>
      <c r="C385" s="3" t="str">
        <f>IFERROR(VLOOKUP(B385,ST!C:D,2,0),"NÃOST")</f>
        <v>NÃOST</v>
      </c>
      <c r="D385" s="3"/>
      <c r="E385" s="3" t="str">
        <f>IF(COUNTIF(ISENÇÕES!A:A,CST!B385)&gt;0,"ISENÇÃO","SEM ISENÇÃO")</f>
        <v>SEM ISENÇÃO</v>
      </c>
      <c r="F385" s="18" t="str">
        <f>IF(COUNTIF(REDUÇÕES!A:A,CST!B385)&gt;0,"REDUÇÃO","NÃO REDUÇÃO")</f>
        <v>NÃO REDUÇÃO</v>
      </c>
      <c r="G385" s="27">
        <f t="shared" si="6"/>
        <v>0</v>
      </c>
    </row>
    <row r="386" spans="1:7" x14ac:dyDescent="0.25">
      <c r="A386" s="120" t="str">
        <f>RIGHT(CSTABLE[[#This Row],[NomeNCM]],8)</f>
        <v>20086010</v>
      </c>
      <c r="B386" s="3" t="s">
        <v>3857</v>
      </c>
      <c r="C386" s="3" t="str">
        <f>IFERROR(VLOOKUP(B386,ST!C:D,2,0),"NÃOST")</f>
        <v>NÃOST</v>
      </c>
      <c r="D386" s="3"/>
      <c r="E386" s="3" t="str">
        <f>IF(COUNTIF(ISENÇÕES!A:A,CST!B386)&gt;0,"ISENÇÃO","SEM ISENÇÃO")</f>
        <v>SEM ISENÇÃO</v>
      </c>
      <c r="F386" s="18" t="str">
        <f>IF(COUNTIF(REDUÇÕES!A:A,CST!B386)&gt;0,"REDUÇÃO","NÃO REDUÇÃO")</f>
        <v>NÃO REDUÇÃO</v>
      </c>
      <c r="G386" s="27">
        <f t="shared" si="6"/>
        <v>0</v>
      </c>
    </row>
    <row r="387" spans="1:7" x14ac:dyDescent="0.25">
      <c r="A387" s="120" t="str">
        <f>RIGHT(CSTABLE[[#This Row],[NomeNCM]],8)</f>
        <v>21011110</v>
      </c>
      <c r="B387" s="3" t="s">
        <v>263</v>
      </c>
      <c r="C387" s="3" t="str">
        <f>IFERROR(VLOOKUP(B387,ST!C:D,2,0),"NÃOST")</f>
        <v>NÃOST</v>
      </c>
      <c r="D387" s="3"/>
      <c r="E387" s="3" t="str">
        <f>IF(COUNTIF(ISENÇÕES!A:A,CST!B387)&gt;0,"ISENÇÃO","SEM ISENÇÃO")</f>
        <v>SEM ISENÇÃO</v>
      </c>
      <c r="F387" s="18" t="str">
        <f>IF(COUNTIF(REDUÇÕES!A:A,CST!B387)&gt;0,"REDUÇÃO","NÃO REDUÇÃO")</f>
        <v>REDUÇÃO</v>
      </c>
      <c r="G387" s="27">
        <f t="shared" si="6"/>
        <v>20</v>
      </c>
    </row>
    <row r="388" spans="1:7" x14ac:dyDescent="0.25">
      <c r="A388" s="120" t="str">
        <f>RIGHT(CSTABLE[[#This Row],[NomeNCM]],8)</f>
        <v>19049000</v>
      </c>
      <c r="B388" s="3" t="s">
        <v>3858</v>
      </c>
      <c r="C388" s="3" t="str">
        <f>IFERROR(VLOOKUP(B388,ST!C:D,2,0),"NÃOST")</f>
        <v>NÃOST</v>
      </c>
      <c r="D388" s="3"/>
      <c r="E388" s="3" t="str">
        <f>IF(COUNTIF(ISENÇÕES!A:A,CST!B388)&gt;0,"ISENÇÃO","SEM ISENÇÃO")</f>
        <v>SEM ISENÇÃO</v>
      </c>
      <c r="F388" s="18" t="str">
        <f>IF(COUNTIF(REDUÇÕES!A:A,CST!B388)&gt;0,"REDUÇÃO","NÃO REDUÇÃO")</f>
        <v>NÃO REDUÇÃO</v>
      </c>
      <c r="G388" s="27">
        <f t="shared" si="6"/>
        <v>0</v>
      </c>
    </row>
    <row r="389" spans="1:7" x14ac:dyDescent="0.25">
      <c r="A389" s="120" t="str">
        <f>RIGHT(CSTABLE[[#This Row],[NomeNCM]],8)</f>
        <v>57050000</v>
      </c>
      <c r="B389" s="3" t="s">
        <v>3859</v>
      </c>
      <c r="C389" s="3" t="str">
        <f>IFERROR(VLOOKUP(B389,ST!C:D,2,0),"NÃOST")</f>
        <v>NÃOST</v>
      </c>
      <c r="D389" s="3"/>
      <c r="E389" s="3" t="str">
        <f>IF(COUNTIF(ISENÇÕES!A:A,CST!B389)&gt;0,"ISENÇÃO","SEM ISENÇÃO")</f>
        <v>SEM ISENÇÃO</v>
      </c>
      <c r="F389" s="18" t="str">
        <f>IF(COUNTIF(REDUÇÕES!A:A,CST!B389)&gt;0,"REDUÇÃO","NÃO REDUÇÃO")</f>
        <v>NÃO REDUÇÃO</v>
      </c>
      <c r="G389" s="27">
        <f t="shared" si="6"/>
        <v>0</v>
      </c>
    </row>
    <row r="390" spans="1:7" x14ac:dyDescent="0.25">
      <c r="A390" s="120" t="str">
        <f>RIGHT(CSTABLE[[#This Row],[NomeNCM]],8)</f>
        <v>73262000</v>
      </c>
      <c r="B390" s="3" t="s">
        <v>3860</v>
      </c>
      <c r="C390" s="3" t="str">
        <f>IFERROR(VLOOKUP(B390,ST!C:D,2,0),"NÃOST")</f>
        <v>NÃOST</v>
      </c>
      <c r="D390" s="3"/>
      <c r="E390" s="3" t="str">
        <f>IF(COUNTIF(ISENÇÕES!A:A,CST!B390)&gt;0,"ISENÇÃO","SEM ISENÇÃO")</f>
        <v>SEM ISENÇÃO</v>
      </c>
      <c r="F390" s="18" t="str">
        <f>IF(COUNTIF(REDUÇÕES!A:A,CST!B390)&gt;0,"REDUÇÃO","NÃO REDUÇÃO")</f>
        <v>NÃO REDUÇÃO</v>
      </c>
      <c r="G390" s="27">
        <f t="shared" si="6"/>
        <v>0</v>
      </c>
    </row>
    <row r="391" spans="1:7" x14ac:dyDescent="0.25">
      <c r="A391" s="120" t="str">
        <f>RIGHT(CSTABLE[[#This Row],[NomeNCM]],8)</f>
        <v>18062000</v>
      </c>
      <c r="B391" s="3" t="s">
        <v>3861</v>
      </c>
      <c r="C391" s="3" t="str">
        <f>IFERROR(VLOOKUP(B391,ST!C:D,2,0),"NÃOST")</f>
        <v>NÃOST</v>
      </c>
      <c r="D391" s="3"/>
      <c r="E391" s="3" t="str">
        <f>IF(COUNTIF(ISENÇÕES!A:A,CST!B391)&gt;0,"ISENÇÃO","SEM ISENÇÃO")</f>
        <v>SEM ISENÇÃO</v>
      </c>
      <c r="F391" s="18" t="str">
        <f>IF(COUNTIF(REDUÇÕES!A:A,CST!B391)&gt;0,"REDUÇÃO","NÃO REDUÇÃO")</f>
        <v>NÃO REDUÇÃO</v>
      </c>
      <c r="G391" s="27">
        <f t="shared" si="6"/>
        <v>0</v>
      </c>
    </row>
    <row r="392" spans="1:7" x14ac:dyDescent="0.25">
      <c r="A392" s="120" t="str">
        <f>RIGHT(CSTABLE[[#This Row],[NomeNCM]],8)</f>
        <v>33041000</v>
      </c>
      <c r="B392" s="3" t="s">
        <v>3380</v>
      </c>
      <c r="C392" s="3" t="str">
        <f>IFERROR(VLOOKUP(B392,ST!C:D,2,0),"NÃOST")</f>
        <v>NÃOST</v>
      </c>
      <c r="D392" s="3"/>
      <c r="E392" s="3" t="str">
        <f>IF(COUNTIF(ISENÇÕES!A:A,CST!B392)&gt;0,"ISENÇÃO","SEM ISENÇÃO")</f>
        <v>SEM ISENÇÃO</v>
      </c>
      <c r="F392" s="18" t="str">
        <f>IF(COUNTIF(REDUÇÕES!A:A,CST!B392)&gt;0,"REDUÇÃO","NÃO REDUÇÃO")</f>
        <v>NÃO REDUÇÃO</v>
      </c>
      <c r="G392" s="27">
        <f t="shared" si="6"/>
        <v>0</v>
      </c>
    </row>
    <row r="393" spans="1:7" x14ac:dyDescent="0.25">
      <c r="A393" s="120" t="str">
        <f>RIGHT(CSTABLE[[#This Row],[NomeNCM]],8)</f>
        <v>85395000</v>
      </c>
      <c r="B393" s="3" t="s">
        <v>110</v>
      </c>
      <c r="C393" s="3" t="str">
        <f>IFERROR(VLOOKUP(B393,ST!C:D,2,0),"NÃOST")</f>
        <v>ST</v>
      </c>
      <c r="D393" s="3"/>
      <c r="E393" s="3" t="str">
        <f>IF(COUNTIF(ISENÇÕES!A:A,CST!B393)&gt;0,"ISENÇÃO","SEM ISENÇÃO")</f>
        <v>SEM ISENÇÃO</v>
      </c>
      <c r="F393" s="18" t="str">
        <f>IF(COUNTIF(REDUÇÕES!A:A,CST!B393)&gt;0,"REDUÇÃO","NÃO REDUÇÃO")</f>
        <v>NÃO REDUÇÃO</v>
      </c>
      <c r="G393" s="27">
        <f t="shared" si="6"/>
        <v>60</v>
      </c>
    </row>
    <row r="394" spans="1:7" x14ac:dyDescent="0.25">
      <c r="A394" s="120" t="str">
        <f>RIGHT(CSTABLE[[#This Row],[NomeNCM]],8)</f>
        <v>61071100</v>
      </c>
      <c r="B394" s="3" t="s">
        <v>3862</v>
      </c>
      <c r="C394" s="3" t="str">
        <f>IFERROR(VLOOKUP(B394,ST!C:D,2,0),"NÃOST")</f>
        <v>NÃOST</v>
      </c>
      <c r="D394" s="3"/>
      <c r="E394" s="3" t="str">
        <f>IF(COUNTIF(ISENÇÕES!A:A,CST!B394)&gt;0,"ISENÇÃO","SEM ISENÇÃO")</f>
        <v>SEM ISENÇÃO</v>
      </c>
      <c r="F394" s="18" t="str">
        <f>IF(COUNTIF(REDUÇÕES!A:A,CST!B394)&gt;0,"REDUÇÃO","NÃO REDUÇÃO")</f>
        <v>NÃO REDUÇÃO</v>
      </c>
      <c r="G394" s="27">
        <f t="shared" si="6"/>
        <v>0</v>
      </c>
    </row>
    <row r="395" spans="1:7" x14ac:dyDescent="0.25">
      <c r="A395" s="120" t="str">
        <f>RIGHT(CSTABLE[[#This Row],[NomeNCM]],8)</f>
        <v>20054000</v>
      </c>
      <c r="B395" s="3" t="s">
        <v>288</v>
      </c>
      <c r="C395" s="3" t="str">
        <f>IFERROR(VLOOKUP(B395,ST!C:D,2,0),"NÃOST")</f>
        <v>NÃOST</v>
      </c>
      <c r="D395" s="3"/>
      <c r="E395" s="3" t="str">
        <f>IF(COUNTIF(ISENÇÕES!A:A,CST!B395)&gt;0,"ISENÇÃO","SEM ISENÇÃO")</f>
        <v>SEM ISENÇÃO</v>
      </c>
      <c r="F395" s="18" t="str">
        <f>IF(COUNTIF(REDUÇÕES!A:A,CST!B395)&gt;0,"REDUÇÃO","NÃO REDUÇÃO")</f>
        <v>NÃO REDUÇÃO</v>
      </c>
      <c r="G395" s="27">
        <f t="shared" si="6"/>
        <v>0</v>
      </c>
    </row>
    <row r="396" spans="1:7" x14ac:dyDescent="0.25">
      <c r="A396" s="120" t="str">
        <f>RIGHT(CSTABLE[[#This Row],[NomeNCM]],8)</f>
        <v>19011020</v>
      </c>
      <c r="B396" s="3" t="s">
        <v>3364</v>
      </c>
      <c r="C396" s="3" t="str">
        <f>IFERROR(VLOOKUP(B396,ST!C:D,2,0),"NÃOST")</f>
        <v>NÃOST</v>
      </c>
      <c r="D396" s="3"/>
      <c r="E396" s="3" t="str">
        <f>IF(COUNTIF(ISENÇÕES!A:A,CST!B396)&gt;0,"ISENÇÃO","SEM ISENÇÃO")</f>
        <v>SEM ISENÇÃO</v>
      </c>
      <c r="F396" s="18" t="str">
        <f>IF(COUNTIF(REDUÇÕES!A:A,CST!B396)&gt;0,"REDUÇÃO","NÃO REDUÇÃO")</f>
        <v>NÃO REDUÇÃO</v>
      </c>
      <c r="G396" s="27">
        <f t="shared" si="6"/>
        <v>0</v>
      </c>
    </row>
    <row r="397" spans="1:7" x14ac:dyDescent="0.25">
      <c r="A397" s="120" t="str">
        <f>RIGHT(CSTABLE[[#This Row],[NomeNCM]],8)</f>
        <v>15131900</v>
      </c>
      <c r="B397" s="3" t="s">
        <v>3357</v>
      </c>
      <c r="C397" s="3" t="str">
        <f>IFERROR(VLOOKUP(B397,ST!C:D,2,0),"NÃOST")</f>
        <v>NÃOST</v>
      </c>
      <c r="D397" s="3"/>
      <c r="E397" s="3" t="str">
        <f>IF(COUNTIF(ISENÇÕES!A:A,CST!B397)&gt;0,"ISENÇÃO","SEM ISENÇÃO")</f>
        <v>SEM ISENÇÃO</v>
      </c>
      <c r="F397" s="18" t="str">
        <f>IF(COUNTIF(REDUÇÕES!A:A,CST!B397)&gt;0,"REDUÇÃO","NÃO REDUÇÃO")</f>
        <v>REDUÇÃO</v>
      </c>
      <c r="G397" s="27">
        <f t="shared" si="6"/>
        <v>20</v>
      </c>
    </row>
    <row r="398" spans="1:7" x14ac:dyDescent="0.25">
      <c r="A398" s="120" t="str">
        <f>RIGHT(CSTABLE[[#This Row],[NomeNCM]],8)</f>
        <v>07108000</v>
      </c>
      <c r="B398" s="3" t="s">
        <v>3320</v>
      </c>
      <c r="C398" s="3" t="str">
        <f>IFERROR(VLOOKUP(B398,ST!C:D,2,0),"NÃOST")</f>
        <v>NÃOST</v>
      </c>
      <c r="D398" s="3"/>
      <c r="E398" s="3" t="str">
        <f>IF(COUNTIF(ISENÇÕES!A:A,CST!B398)&gt;0,"ISENÇÃO","SEM ISENÇÃO")</f>
        <v>ISENÇÃO</v>
      </c>
      <c r="F398" s="18" t="str">
        <f>IF(COUNTIF(REDUÇÕES!A:A,CST!B398)&gt;0,"REDUÇÃO","NÃO REDUÇÃO")</f>
        <v>NÃO REDUÇÃO</v>
      </c>
      <c r="G398" s="27">
        <f t="shared" si="6"/>
        <v>40</v>
      </c>
    </row>
    <row r="399" spans="1:7" x14ac:dyDescent="0.25">
      <c r="A399" s="120" t="str">
        <f>RIGHT(CSTABLE[[#This Row],[NomeNCM]],8)</f>
        <v>21012020</v>
      </c>
      <c r="B399" s="3" t="s">
        <v>3863</v>
      </c>
      <c r="C399" s="3" t="str">
        <f>IFERROR(VLOOKUP(B399,ST!C:D,2,0),"NÃOST")</f>
        <v>NÃOST</v>
      </c>
      <c r="D399" s="3"/>
      <c r="E399" s="3" t="str">
        <f>IF(COUNTIF(ISENÇÕES!A:A,CST!B399)&gt;0,"ISENÇÃO","SEM ISENÇÃO")</f>
        <v>SEM ISENÇÃO</v>
      </c>
      <c r="F399" s="18" t="str">
        <f>IF(COUNTIF(REDUÇÕES!A:A,CST!B399)&gt;0,"REDUÇÃO","NÃO REDUÇÃO")</f>
        <v>NÃO REDUÇÃO</v>
      </c>
      <c r="G399" s="27">
        <f t="shared" si="6"/>
        <v>0</v>
      </c>
    </row>
    <row r="400" spans="1:7" x14ac:dyDescent="0.25">
      <c r="A400" s="120" t="str">
        <f>RIGHT(CSTABLE[[#This Row],[NomeNCM]],8)</f>
        <v>09019000</v>
      </c>
      <c r="B400" s="3" t="s">
        <v>3343</v>
      </c>
      <c r="C400" s="3" t="str">
        <f>IFERROR(VLOOKUP(B400,ST!C:D,2,0),"NÃOST")</f>
        <v>NÃOST</v>
      </c>
      <c r="D400" s="3"/>
      <c r="E400" s="3" t="str">
        <f>IF(COUNTIF(ISENÇÕES!A:A,CST!B400)&gt;0,"ISENÇÃO","SEM ISENÇÃO")</f>
        <v>SEM ISENÇÃO</v>
      </c>
      <c r="F400" s="18" t="str">
        <f>IF(COUNTIF(REDUÇÕES!A:A,CST!B400)&gt;0,"REDUÇÃO","NÃO REDUÇÃO")</f>
        <v>REDUÇÃO</v>
      </c>
      <c r="G400" s="27">
        <f t="shared" si="6"/>
        <v>20</v>
      </c>
    </row>
    <row r="401" spans="1:7" x14ac:dyDescent="0.25">
      <c r="A401" s="120" t="str">
        <f>RIGHT(CSTABLE[[#This Row],[NomeNCM]],8)</f>
        <v>20089900</v>
      </c>
      <c r="B401" s="3" t="s">
        <v>3864</v>
      </c>
      <c r="C401" s="3" t="str">
        <f>IFERROR(VLOOKUP(B401,ST!C:D,2,0),"NÃOST")</f>
        <v>NÃOST</v>
      </c>
      <c r="D401" s="3"/>
      <c r="E401" s="3" t="str">
        <f>IF(COUNTIF(ISENÇÕES!A:A,CST!B401)&gt;0,"ISENÇÃO","SEM ISENÇÃO")</f>
        <v>SEM ISENÇÃO</v>
      </c>
      <c r="F401" s="18" t="str">
        <f>IF(COUNTIF(REDUÇÕES!A:A,CST!B401)&gt;0,"REDUÇÃO","NÃO REDUÇÃO")</f>
        <v>NÃO REDUÇÃO</v>
      </c>
      <c r="G401" s="27">
        <f t="shared" ref="G401:G464" si="7">VLOOKUP(C401&amp;F401&amp;E401,$B$3:$F$10,5,0)</f>
        <v>0</v>
      </c>
    </row>
    <row r="402" spans="1:7" x14ac:dyDescent="0.25">
      <c r="A402" s="120" t="str">
        <f>RIGHT(CSTABLE[[#This Row],[NomeNCM]],8)</f>
        <v>08051000</v>
      </c>
      <c r="B402" s="3" t="s">
        <v>2711</v>
      </c>
      <c r="C402" s="3" t="str">
        <f>IFERROR(VLOOKUP(B402,ST!C:D,2,0),"NÃOST")</f>
        <v>NÃOST</v>
      </c>
      <c r="D402" s="3"/>
      <c r="E402" s="3" t="str">
        <f>IF(COUNTIF(ISENÇÕES!A:A,CST!B402)&gt;0,"ISENÇÃO","SEM ISENÇÃO")</f>
        <v>ISENÇÃO</v>
      </c>
      <c r="F402" s="18" t="str">
        <f>IF(COUNTIF(REDUÇÕES!A:A,CST!B402)&gt;0,"REDUÇÃO","NÃO REDUÇÃO")</f>
        <v>NÃO REDUÇÃO</v>
      </c>
      <c r="G402" s="27">
        <f t="shared" si="7"/>
        <v>40</v>
      </c>
    </row>
    <row r="403" spans="1:7" x14ac:dyDescent="0.25">
      <c r="A403" s="120" t="str">
        <f>RIGHT(CSTABLE[[#This Row],[NomeNCM]],8)</f>
        <v>09011110</v>
      </c>
      <c r="B403" s="3" t="s">
        <v>3339</v>
      </c>
      <c r="C403" s="3" t="str">
        <f>IFERROR(VLOOKUP(B403,ST!C:D,2,0),"NÃOST")</f>
        <v>NÃOST</v>
      </c>
      <c r="D403" s="3"/>
      <c r="E403" s="3" t="str">
        <f>IF(COUNTIF(ISENÇÕES!A:A,CST!B403)&gt;0,"ISENÇÃO","SEM ISENÇÃO")</f>
        <v>SEM ISENÇÃO</v>
      </c>
      <c r="F403" s="18" t="str">
        <f>IF(COUNTIF(REDUÇÕES!A:A,CST!B403)&gt;0,"REDUÇÃO","NÃO REDUÇÃO")</f>
        <v>NÃO REDUÇÃO</v>
      </c>
      <c r="G403" s="27">
        <f t="shared" si="7"/>
        <v>0</v>
      </c>
    </row>
    <row r="404" spans="1:7" x14ac:dyDescent="0.25">
      <c r="A404" s="120" t="str">
        <f>RIGHT(CSTABLE[[#This Row],[NomeNCM]],8)</f>
        <v>85164000</v>
      </c>
      <c r="B404" s="3" t="s">
        <v>3865</v>
      </c>
      <c r="C404" s="3" t="str">
        <f>IFERROR(VLOOKUP(B404,ST!C:D,2,0),"NÃOST")</f>
        <v>NÃOST</v>
      </c>
      <c r="D404" s="3"/>
      <c r="E404" s="3" t="str">
        <f>IF(COUNTIF(ISENÇÕES!A:A,CST!B404)&gt;0,"ISENÇÃO","SEM ISENÇÃO")</f>
        <v>SEM ISENÇÃO</v>
      </c>
      <c r="F404" s="18" t="str">
        <f>IF(COUNTIF(REDUÇÕES!A:A,CST!B404)&gt;0,"REDUÇÃO","NÃO REDUÇÃO")</f>
        <v>NÃO REDUÇÃO</v>
      </c>
      <c r="G404" s="27">
        <f t="shared" si="7"/>
        <v>0</v>
      </c>
    </row>
    <row r="405" spans="1:7" x14ac:dyDescent="0.25">
      <c r="A405" s="120" t="str">
        <f>RIGHT(CSTABLE[[#This Row],[NomeNCM]],8)</f>
        <v>09041100</v>
      </c>
      <c r="B405" s="3" t="s">
        <v>3618</v>
      </c>
      <c r="C405" s="3" t="str">
        <f>IFERROR(VLOOKUP(B405,ST!C:D,2,0),"NÃOST")</f>
        <v>NÃOST</v>
      </c>
      <c r="D405" s="3"/>
      <c r="E405" s="3" t="str">
        <f>IF(COUNTIF(ISENÇÕES!A:A,CST!B405)&gt;0,"ISENÇÃO","SEM ISENÇÃO")</f>
        <v>ISENÇÃO</v>
      </c>
      <c r="F405" s="18" t="str">
        <f>IF(COUNTIF(REDUÇÕES!A:A,CST!B405)&gt;0,"REDUÇÃO","NÃO REDUÇÃO")</f>
        <v>NÃO REDUÇÃO</v>
      </c>
      <c r="G405" s="27">
        <f t="shared" si="7"/>
        <v>40</v>
      </c>
    </row>
    <row r="406" spans="1:7" x14ac:dyDescent="0.25">
      <c r="A406" s="120" t="str">
        <f>RIGHT(CSTABLE[[#This Row],[NomeNCM]],8)</f>
        <v>04069090</v>
      </c>
      <c r="B406" s="3" t="s">
        <v>3312</v>
      </c>
      <c r="C406" s="3" t="str">
        <f>IFERROR(VLOOKUP(B406,ST!C:D,2,0),"NÃOST")</f>
        <v>NÃOST</v>
      </c>
      <c r="D406" s="3"/>
      <c r="E406" s="3" t="str">
        <f>IF(COUNTIF(ISENÇÕES!A:A,CST!B406)&gt;0,"ISENÇÃO","SEM ISENÇÃO")</f>
        <v>SEM ISENÇÃO</v>
      </c>
      <c r="F406" s="18" t="str">
        <f>IF(COUNTIF(REDUÇÕES!A:A,CST!B406)&gt;0,"REDUÇÃO","NÃO REDUÇÃO")</f>
        <v>NÃO REDUÇÃO</v>
      </c>
      <c r="G406" s="27">
        <f t="shared" si="7"/>
        <v>0</v>
      </c>
    </row>
    <row r="407" spans="1:7" x14ac:dyDescent="0.25">
      <c r="A407" s="120" t="str">
        <f>RIGHT(CSTABLE[[#This Row],[NomeNCM]],8)</f>
        <v>04049000</v>
      </c>
      <c r="B407" s="3" t="s">
        <v>3866</v>
      </c>
      <c r="C407" s="3" t="str">
        <f>IFERROR(VLOOKUP(B407,ST!C:D,2,0),"NÃOST")</f>
        <v>NÃOST</v>
      </c>
      <c r="D407" s="3"/>
      <c r="E407" s="3" t="str">
        <f>IF(COUNTIF(ISENÇÕES!A:A,CST!B407)&gt;0,"ISENÇÃO","SEM ISENÇÃO")</f>
        <v>SEM ISENÇÃO</v>
      </c>
      <c r="F407" s="18" t="str">
        <f>IF(COUNTIF(REDUÇÕES!A:A,CST!B407)&gt;0,"REDUÇÃO","NÃO REDUÇÃO")</f>
        <v>NÃO REDUÇÃO</v>
      </c>
      <c r="G407" s="27">
        <f t="shared" si="7"/>
        <v>0</v>
      </c>
    </row>
    <row r="408" spans="1:7" x14ac:dyDescent="0.25">
      <c r="A408" s="120" t="str">
        <f>RIGHT(CSTABLE[[#This Row],[NomeNCM]],8)</f>
        <v>19011030</v>
      </c>
      <c r="B408" s="3" t="s">
        <v>3365</v>
      </c>
      <c r="C408" s="3" t="str">
        <f>IFERROR(VLOOKUP(B408,ST!C:D,2,0),"NÃOST")</f>
        <v>NÃOST</v>
      </c>
      <c r="D408" s="3"/>
      <c r="E408" s="3" t="str">
        <f>IF(COUNTIF(ISENÇÕES!A:A,CST!B408)&gt;0,"ISENÇÃO","SEM ISENÇÃO")</f>
        <v>SEM ISENÇÃO</v>
      </c>
      <c r="F408" s="18" t="str">
        <f>IF(COUNTIF(REDUÇÕES!A:A,CST!B408)&gt;0,"REDUÇÃO","NÃO REDUÇÃO")</f>
        <v>NÃO REDUÇÃO</v>
      </c>
      <c r="G408" s="27">
        <f t="shared" si="7"/>
        <v>0</v>
      </c>
    </row>
    <row r="409" spans="1:7" x14ac:dyDescent="0.25">
      <c r="A409" s="120" t="str">
        <f>RIGHT(CSTABLE[[#This Row],[NomeNCM]],8)</f>
        <v>09023000</v>
      </c>
      <c r="B409" s="3" t="s">
        <v>3867</v>
      </c>
      <c r="C409" s="3" t="str">
        <f>IFERROR(VLOOKUP(B409,ST!C:D,2,0),"NÃOST")</f>
        <v>NÃOST</v>
      </c>
      <c r="D409" s="3"/>
      <c r="E409" s="3" t="str">
        <f>IF(COUNTIF(ISENÇÕES!A:A,CST!B409)&gt;0,"ISENÇÃO","SEM ISENÇÃO")</f>
        <v>SEM ISENÇÃO</v>
      </c>
      <c r="F409" s="18" t="str">
        <f>IF(COUNTIF(REDUÇÕES!A:A,CST!B409)&gt;0,"REDUÇÃO","NÃO REDUÇÃO")</f>
        <v>NÃO REDUÇÃO</v>
      </c>
      <c r="G409" s="27">
        <f t="shared" si="7"/>
        <v>0</v>
      </c>
    </row>
    <row r="410" spans="1:7" x14ac:dyDescent="0.25">
      <c r="A410" s="120" t="str">
        <f>RIGHT(CSTABLE[[#This Row],[NomeNCM]],8)</f>
        <v>70099200</v>
      </c>
      <c r="B410" s="3" t="s">
        <v>3868</v>
      </c>
      <c r="C410" s="3" t="str">
        <f>IFERROR(VLOOKUP(B410,ST!C:D,2,0),"NÃOST")</f>
        <v>NÃOST</v>
      </c>
      <c r="D410" s="3"/>
      <c r="E410" s="3" t="str">
        <f>IF(COUNTIF(ISENÇÕES!A:A,CST!B410)&gt;0,"ISENÇÃO","SEM ISENÇÃO")</f>
        <v>SEM ISENÇÃO</v>
      </c>
      <c r="F410" s="18" t="str">
        <f>IF(COUNTIF(REDUÇÕES!A:A,CST!B410)&gt;0,"REDUÇÃO","NÃO REDUÇÃO")</f>
        <v>NÃO REDUÇÃO</v>
      </c>
      <c r="G410" s="27">
        <f t="shared" si="7"/>
        <v>0</v>
      </c>
    </row>
    <row r="411" spans="1:7" x14ac:dyDescent="0.25">
      <c r="A411" s="120" t="str">
        <f>RIGHT(CSTABLE[[#This Row],[NomeNCM]],8)</f>
        <v>09030010</v>
      </c>
      <c r="B411" s="3" t="s">
        <v>264</v>
      </c>
      <c r="C411" s="3" t="str">
        <f>IFERROR(VLOOKUP(B411,ST!C:D,2,0),"NÃOST")</f>
        <v>NÃOST</v>
      </c>
      <c r="D411" s="3"/>
      <c r="E411" s="3" t="str">
        <f>IF(COUNTIF(ISENÇÕES!A:A,CST!B411)&gt;0,"ISENÇÃO","SEM ISENÇÃO")</f>
        <v>SEM ISENÇÃO</v>
      </c>
      <c r="F411" s="18" t="str">
        <f>IF(COUNTIF(REDUÇÕES!A:A,CST!B411)&gt;0,"REDUÇÃO","NÃO REDUÇÃO")</f>
        <v>REDUÇÃO</v>
      </c>
      <c r="G411" s="27">
        <f t="shared" si="7"/>
        <v>20</v>
      </c>
    </row>
    <row r="412" spans="1:7" x14ac:dyDescent="0.25">
      <c r="A412" s="120" t="str">
        <f>RIGHT(CSTABLE[[#This Row],[NomeNCM]],8)</f>
        <v>33030010</v>
      </c>
      <c r="B412" s="3" t="s">
        <v>3433</v>
      </c>
      <c r="C412" s="3" t="str">
        <f>IFERROR(VLOOKUP(B412,ST!C:D,2,0),"NÃOST")</f>
        <v>NÃOST</v>
      </c>
      <c r="D412" s="3"/>
      <c r="E412" s="3" t="str">
        <f>IF(COUNTIF(ISENÇÕES!A:A,CST!B412)&gt;0,"ISENÇÃO","SEM ISENÇÃO")</f>
        <v>SEM ISENÇÃO</v>
      </c>
      <c r="F412" s="18" t="str">
        <f>IF(COUNTIF(REDUÇÕES!A:A,CST!B412)&gt;0,"REDUÇÃO","NÃO REDUÇÃO")</f>
        <v>NÃO REDUÇÃO</v>
      </c>
      <c r="G412" s="27">
        <f t="shared" si="7"/>
        <v>0</v>
      </c>
    </row>
    <row r="413" spans="1:7" x14ac:dyDescent="0.25">
      <c r="A413" s="120" t="str">
        <f>RIGHT(CSTABLE[[#This Row],[NomeNCM]],8)</f>
        <v>04089900</v>
      </c>
      <c r="B413" s="3" t="s">
        <v>3869</v>
      </c>
      <c r="C413" s="3" t="str">
        <f>IFERROR(VLOOKUP(B413,ST!C:D,2,0),"NÃOST")</f>
        <v>NÃOST</v>
      </c>
      <c r="D413" s="3"/>
      <c r="E413" s="3" t="str">
        <f>IF(COUNTIF(ISENÇÕES!A:A,CST!B413)&gt;0,"ISENÇÃO","SEM ISENÇÃO")</f>
        <v>ISENÇÃO</v>
      </c>
      <c r="F413" s="18" t="str">
        <f>IF(COUNTIF(REDUÇÕES!A:A,CST!B413)&gt;0,"REDUÇÃO","NÃO REDUÇÃO")</f>
        <v>NÃO REDUÇÃO</v>
      </c>
      <c r="G413" s="27">
        <f t="shared" si="7"/>
        <v>40</v>
      </c>
    </row>
    <row r="414" spans="1:7" x14ac:dyDescent="0.25">
      <c r="A414" s="120" t="str">
        <f>RIGHT(CSTABLE[[#This Row],[NomeNCM]],8)</f>
        <v>20019000</v>
      </c>
      <c r="B414" s="3" t="s">
        <v>3870</v>
      </c>
      <c r="C414" s="3" t="str">
        <f>IFERROR(VLOOKUP(B414,ST!C:D,2,0),"NÃOST")</f>
        <v>NÃOST</v>
      </c>
      <c r="D414" s="3"/>
      <c r="E414" s="3" t="str">
        <f>IF(COUNTIF(ISENÇÕES!A:A,CST!B414)&gt;0,"ISENÇÃO","SEM ISENÇÃO")</f>
        <v>SEM ISENÇÃO</v>
      </c>
      <c r="F414" s="18" t="str">
        <f>IF(COUNTIF(REDUÇÕES!A:A,CST!B414)&gt;0,"REDUÇÃO","NÃO REDUÇÃO")</f>
        <v>NÃO REDUÇÃO</v>
      </c>
      <c r="G414" s="27">
        <f t="shared" si="7"/>
        <v>0</v>
      </c>
    </row>
    <row r="415" spans="1:7" x14ac:dyDescent="0.25">
      <c r="A415" s="120" t="str">
        <f>RIGHT(CSTABLE[[#This Row],[NomeNCM]],8)</f>
        <v>17031000</v>
      </c>
      <c r="B415" s="3" t="s">
        <v>3871</v>
      </c>
      <c r="C415" s="3" t="str">
        <f>IFERROR(VLOOKUP(B415,ST!C:D,2,0),"NÃOST")</f>
        <v>NÃOST</v>
      </c>
      <c r="D415" s="3"/>
      <c r="E415" s="3" t="str">
        <f>IF(COUNTIF(ISENÇÕES!A:A,CST!B415)&gt;0,"ISENÇÃO","SEM ISENÇÃO")</f>
        <v>SEM ISENÇÃO</v>
      </c>
      <c r="F415" s="18" t="str">
        <f>IF(COUNTIF(REDUÇÕES!A:A,CST!B415)&gt;0,"REDUÇÃO","NÃO REDUÇÃO")</f>
        <v>NÃO REDUÇÃO</v>
      </c>
      <c r="G415" s="27">
        <f t="shared" si="7"/>
        <v>0</v>
      </c>
    </row>
    <row r="416" spans="1:7" x14ac:dyDescent="0.25">
      <c r="A416" s="120" t="str">
        <f>RIGHT(CSTABLE[[#This Row],[NomeNCM]],8)</f>
        <v>20096900</v>
      </c>
      <c r="B416" s="3" t="s">
        <v>3872</v>
      </c>
      <c r="C416" s="3" t="str">
        <f>IFERROR(VLOOKUP(B416,ST!C:D,2,0),"NÃOST")</f>
        <v>NÃOST</v>
      </c>
      <c r="D416" s="3"/>
      <c r="E416" s="3" t="str">
        <f>IF(COUNTIF(ISENÇÕES!A:A,CST!B416)&gt;0,"ISENÇÃO","SEM ISENÇÃO")</f>
        <v>SEM ISENÇÃO</v>
      </c>
      <c r="F416" s="18" t="str">
        <f>IF(COUNTIF(REDUÇÕES!A:A,CST!B416)&gt;0,"REDUÇÃO","NÃO REDUÇÃO")</f>
        <v>NÃO REDUÇÃO</v>
      </c>
      <c r="G416" s="27">
        <f t="shared" si="7"/>
        <v>0</v>
      </c>
    </row>
    <row r="417" spans="1:7" x14ac:dyDescent="0.25">
      <c r="A417" s="120" t="str">
        <f>RIGHT(CSTABLE[[#This Row],[NomeNCM]],8)</f>
        <v>07051100</v>
      </c>
      <c r="B417" s="3" t="s">
        <v>541</v>
      </c>
      <c r="C417" s="3" t="str">
        <f>IFERROR(VLOOKUP(B417,ST!C:D,2,0),"NÃOST")</f>
        <v>NÃOST</v>
      </c>
      <c r="D417" s="3"/>
      <c r="E417" s="3" t="str">
        <f>IF(COUNTIF(ISENÇÕES!A:A,CST!B417)&gt;0,"ISENÇÃO","SEM ISENÇÃO")</f>
        <v>ISENÇÃO</v>
      </c>
      <c r="F417" s="18" t="str">
        <f>IF(COUNTIF(REDUÇÕES!A:A,CST!B417)&gt;0,"REDUÇÃO","NÃO REDUÇÃO")</f>
        <v>NÃO REDUÇÃO</v>
      </c>
      <c r="G417" s="27">
        <f t="shared" si="7"/>
        <v>40</v>
      </c>
    </row>
    <row r="418" spans="1:7" x14ac:dyDescent="0.25">
      <c r="A418" s="120" t="str">
        <f>RIGHT(CSTABLE[[#This Row],[NomeNCM]],8)</f>
        <v>09096190</v>
      </c>
      <c r="B418" s="3" t="s">
        <v>3873</v>
      </c>
      <c r="C418" s="3" t="str">
        <f>IFERROR(VLOOKUP(B418,ST!C:D,2,0),"NÃOST")</f>
        <v>NÃOST</v>
      </c>
      <c r="D418" s="3"/>
      <c r="E418" s="3" t="str">
        <f>IF(COUNTIF(ISENÇÕES!A:A,CST!B418)&gt;0,"ISENÇÃO","SEM ISENÇÃO")</f>
        <v>SEM ISENÇÃO</v>
      </c>
      <c r="F418" s="18" t="str">
        <f>IF(COUNTIF(REDUÇÕES!A:A,CST!B418)&gt;0,"REDUÇÃO","NÃO REDUÇÃO")</f>
        <v>NÃO REDUÇÃO</v>
      </c>
      <c r="G418" s="27">
        <f t="shared" si="7"/>
        <v>0</v>
      </c>
    </row>
    <row r="419" spans="1:7" x14ac:dyDescent="0.25">
      <c r="A419" s="120" t="str">
        <f>RIGHT(CSTABLE[[#This Row],[NomeNCM]],8)</f>
        <v>22041090</v>
      </c>
      <c r="B419" s="3" t="s">
        <v>3874</v>
      </c>
      <c r="C419" s="3" t="str">
        <f>IFERROR(VLOOKUP(B419,ST!C:D,2,0),"NÃOST")</f>
        <v>NÃOST</v>
      </c>
      <c r="D419" s="3"/>
      <c r="E419" s="3" t="str">
        <f>IF(COUNTIF(ISENÇÕES!A:A,CST!B419)&gt;0,"ISENÇÃO","SEM ISENÇÃO")</f>
        <v>SEM ISENÇÃO</v>
      </c>
      <c r="F419" s="18" t="str">
        <f>IF(COUNTIF(REDUÇÕES!A:A,CST!B419)&gt;0,"REDUÇÃO","NÃO REDUÇÃO")</f>
        <v>NÃO REDUÇÃO</v>
      </c>
      <c r="G419" s="27">
        <f t="shared" si="7"/>
        <v>0</v>
      </c>
    </row>
    <row r="420" spans="1:7" x14ac:dyDescent="0.25">
      <c r="A420" s="120" t="str">
        <f>RIGHT(CSTABLE[[#This Row],[NomeNCM]],8)</f>
        <v>04015021</v>
      </c>
      <c r="B420" s="3" t="s">
        <v>3875</v>
      </c>
      <c r="C420" s="3" t="str">
        <f>IFERROR(VLOOKUP(B420,ST!C:D,2,0),"NÃOST")</f>
        <v>NÃOST</v>
      </c>
      <c r="D420" s="3"/>
      <c r="E420" s="3" t="str">
        <f>IF(COUNTIF(ISENÇÕES!A:A,CST!B420)&gt;0,"ISENÇÃO","SEM ISENÇÃO")</f>
        <v>SEM ISENÇÃO</v>
      </c>
      <c r="F420" s="18" t="str">
        <f>IF(COUNTIF(REDUÇÕES!A:A,CST!B420)&gt;0,"REDUÇÃO","NÃO REDUÇÃO")</f>
        <v>NÃO REDUÇÃO</v>
      </c>
      <c r="G420" s="27">
        <f t="shared" si="7"/>
        <v>0</v>
      </c>
    </row>
    <row r="421" spans="1:7" x14ac:dyDescent="0.25">
      <c r="A421" s="120" t="str">
        <f>RIGHT(CSTABLE[[#This Row],[NomeNCM]],8)</f>
        <v>08041010</v>
      </c>
      <c r="B421" s="3" t="s">
        <v>3613</v>
      </c>
      <c r="C421" s="3" t="str">
        <f>IFERROR(VLOOKUP(B421,ST!C:D,2,0),"NÃOST")</f>
        <v>NÃOST</v>
      </c>
      <c r="D421" s="3"/>
      <c r="E421" s="3" t="str">
        <f>IF(COUNTIF(ISENÇÕES!A:A,CST!B421)&gt;0,"ISENÇÃO","SEM ISENÇÃO")</f>
        <v>ISENÇÃO</v>
      </c>
      <c r="F421" s="18" t="str">
        <f>IF(COUNTIF(REDUÇÕES!A:A,CST!B421)&gt;0,"REDUÇÃO","NÃO REDUÇÃO")</f>
        <v>NÃO REDUÇÃO</v>
      </c>
      <c r="G421" s="27">
        <f t="shared" si="7"/>
        <v>40</v>
      </c>
    </row>
    <row r="422" spans="1:7" x14ac:dyDescent="0.25">
      <c r="A422" s="120" t="str">
        <f>RIGHT(CSTABLE[[#This Row],[NomeNCM]],8)</f>
        <v>33012990</v>
      </c>
      <c r="B422" s="3" t="s">
        <v>3876</v>
      </c>
      <c r="C422" s="3" t="str">
        <f>IFERROR(VLOOKUP(B422,ST!C:D,2,0),"NÃOST")</f>
        <v>NÃOST</v>
      </c>
      <c r="D422" s="3"/>
      <c r="E422" s="3" t="str">
        <f>IF(COUNTIF(ISENÇÕES!A:A,CST!B422)&gt;0,"ISENÇÃO","SEM ISENÇÃO")</f>
        <v>SEM ISENÇÃO</v>
      </c>
      <c r="F422" s="18" t="str">
        <f>IF(COUNTIF(REDUÇÕES!A:A,CST!B422)&gt;0,"REDUÇÃO","NÃO REDUÇÃO")</f>
        <v>NÃO REDUÇÃO</v>
      </c>
      <c r="G422" s="27">
        <f t="shared" si="7"/>
        <v>0</v>
      </c>
    </row>
    <row r="423" spans="1:7" x14ac:dyDescent="0.25">
      <c r="A423" s="120" t="str">
        <f>RIGHT(CSTABLE[[#This Row],[NomeNCM]],8)</f>
        <v>34060000</v>
      </c>
      <c r="B423" s="3" t="s">
        <v>3877</v>
      </c>
      <c r="C423" s="3" t="str">
        <f>IFERROR(VLOOKUP(B423,ST!C:D,2,0),"NÃOST")</f>
        <v>NÃOST</v>
      </c>
      <c r="D423" s="3"/>
      <c r="E423" s="3" t="str">
        <f>IF(COUNTIF(ISENÇÕES!A:A,CST!B423)&gt;0,"ISENÇÃO","SEM ISENÇÃO")</f>
        <v>SEM ISENÇÃO</v>
      </c>
      <c r="F423" s="18" t="str">
        <f>IF(COUNTIF(REDUÇÕES!A:A,CST!B423)&gt;0,"REDUÇÃO","NÃO REDUÇÃO")</f>
        <v>NÃO REDUÇÃO</v>
      </c>
      <c r="G423" s="27">
        <f t="shared" si="7"/>
        <v>0</v>
      </c>
    </row>
    <row r="424" spans="1:7" x14ac:dyDescent="0.25">
      <c r="A424" s="120" t="str">
        <f>RIGHT(CSTABLE[[#This Row],[NomeNCM]],8)</f>
        <v>55095300</v>
      </c>
      <c r="B424" s="3" t="s">
        <v>3878</v>
      </c>
      <c r="C424" s="3" t="str">
        <f>IFERROR(VLOOKUP(B424,ST!C:D,2,0),"NÃOST")</f>
        <v>NÃOST</v>
      </c>
      <c r="D424" s="3"/>
      <c r="E424" s="3" t="str">
        <f>IF(COUNTIF(ISENÇÕES!A:A,CST!B424)&gt;0,"ISENÇÃO","SEM ISENÇÃO")</f>
        <v>SEM ISENÇÃO</v>
      </c>
      <c r="F424" s="18" t="str">
        <f>IF(COUNTIF(REDUÇÕES!A:A,CST!B424)&gt;0,"REDUÇÃO","NÃO REDUÇÃO")</f>
        <v>NÃO REDUÇÃO</v>
      </c>
      <c r="G424" s="27">
        <f t="shared" si="7"/>
        <v>0</v>
      </c>
    </row>
    <row r="425" spans="1:7" x14ac:dyDescent="0.25">
      <c r="A425" s="120" t="str">
        <f>RIGHT(CSTABLE[[#This Row],[NomeNCM]],8)</f>
        <v>76071990</v>
      </c>
      <c r="B425" s="3" t="s">
        <v>3879</v>
      </c>
      <c r="C425" s="3" t="str">
        <f>IFERROR(VLOOKUP(B425,ST!C:D,2,0),"NÃOST")</f>
        <v>NÃOST</v>
      </c>
      <c r="D425" s="3"/>
      <c r="E425" s="3" t="str">
        <f>IF(COUNTIF(ISENÇÕES!A:A,CST!B425)&gt;0,"ISENÇÃO","SEM ISENÇÃO")</f>
        <v>SEM ISENÇÃO</v>
      </c>
      <c r="F425" s="18" t="str">
        <f>IF(COUNTIF(REDUÇÕES!A:A,CST!B425)&gt;0,"REDUÇÃO","NÃO REDUÇÃO")</f>
        <v>NÃO REDUÇÃO</v>
      </c>
      <c r="G425" s="27">
        <f t="shared" si="7"/>
        <v>0</v>
      </c>
    </row>
    <row r="426" spans="1:7" x14ac:dyDescent="0.25">
      <c r="A426" s="120" t="str">
        <f>RIGHT(CSTABLE[[#This Row],[NomeNCM]],8)</f>
        <v>63079010</v>
      </c>
      <c r="B426" s="3" t="s">
        <v>3880</v>
      </c>
      <c r="C426" s="3" t="str">
        <f>IFERROR(VLOOKUP(B426,ST!C:D,2,0),"NÃOST")</f>
        <v>NÃOST</v>
      </c>
      <c r="D426" s="3"/>
      <c r="E426" s="3" t="str">
        <f>IF(COUNTIF(ISENÇÕES!A:A,CST!B426)&gt;0,"ISENÇÃO","SEM ISENÇÃO")</f>
        <v>SEM ISENÇÃO</v>
      </c>
      <c r="F426" s="18" t="str">
        <f>IF(COUNTIF(REDUÇÕES!A:A,CST!B426)&gt;0,"REDUÇÃO","NÃO REDUÇÃO")</f>
        <v>NÃO REDUÇÃO</v>
      </c>
      <c r="G426" s="27">
        <f t="shared" si="7"/>
        <v>0</v>
      </c>
    </row>
    <row r="427" spans="1:7" x14ac:dyDescent="0.25">
      <c r="A427" s="120" t="str">
        <f>RIGHT(CSTABLE[[#This Row],[NomeNCM]],8)</f>
        <v>33012911</v>
      </c>
      <c r="B427" s="3" t="s">
        <v>3881</v>
      </c>
      <c r="C427" s="3" t="str">
        <f>IFERROR(VLOOKUP(B427,ST!C:D,2,0),"NÃOST")</f>
        <v>NÃOST</v>
      </c>
      <c r="D427" s="3"/>
      <c r="E427" s="3" t="str">
        <f>IF(COUNTIF(ISENÇÕES!A:A,CST!B427)&gt;0,"ISENÇÃO","SEM ISENÇÃO")</f>
        <v>SEM ISENÇÃO</v>
      </c>
      <c r="F427" s="18" t="str">
        <f>IF(COUNTIF(REDUÇÕES!A:A,CST!B427)&gt;0,"REDUÇÃO","NÃO REDUÇÃO")</f>
        <v>NÃO REDUÇÃO</v>
      </c>
      <c r="G427" s="27">
        <f t="shared" si="7"/>
        <v>0</v>
      </c>
    </row>
    <row r="428" spans="1:7" x14ac:dyDescent="0.25">
      <c r="A428" s="120" t="str">
        <f>RIGHT(CSTABLE[[#This Row],[NomeNCM]],8)</f>
        <v>95066200</v>
      </c>
      <c r="B428" s="3" t="s">
        <v>3882</v>
      </c>
      <c r="C428" s="3" t="str">
        <f>IFERROR(VLOOKUP(B428,ST!C:D,2,0),"NÃOST")</f>
        <v>NÃOST</v>
      </c>
      <c r="D428" s="3"/>
      <c r="E428" s="3" t="str">
        <f>IF(COUNTIF(ISENÇÕES!A:A,CST!B428)&gt;0,"ISENÇÃO","SEM ISENÇÃO")</f>
        <v>SEM ISENÇÃO</v>
      </c>
      <c r="F428" s="18" t="str">
        <f>IF(COUNTIF(REDUÇÕES!A:A,CST!B428)&gt;0,"REDUÇÃO","NÃO REDUÇÃO")</f>
        <v>NÃO REDUÇÃO</v>
      </c>
      <c r="G428" s="27">
        <f t="shared" si="7"/>
        <v>0</v>
      </c>
    </row>
    <row r="429" spans="1:7" x14ac:dyDescent="0.25">
      <c r="A429" s="120" t="str">
        <f>RIGHT(CSTABLE[[#This Row],[NomeNCM]],8)</f>
        <v>20097100</v>
      </c>
      <c r="B429" s="3" t="s">
        <v>3883</v>
      </c>
      <c r="C429" s="3" t="str">
        <f>IFERROR(VLOOKUP(B429,ST!C:D,2,0),"NÃOST")</f>
        <v>NÃOST</v>
      </c>
      <c r="D429" s="3"/>
      <c r="E429" s="3" t="str">
        <f>IF(COUNTIF(ISENÇÕES!A:A,CST!B429)&gt;0,"ISENÇÃO","SEM ISENÇÃO")</f>
        <v>SEM ISENÇÃO</v>
      </c>
      <c r="F429" s="18" t="str">
        <f>IF(COUNTIF(REDUÇÕES!A:A,CST!B429)&gt;0,"REDUÇÃO","NÃO REDUÇÃO")</f>
        <v>NÃO REDUÇÃO</v>
      </c>
      <c r="G429" s="27">
        <f t="shared" si="7"/>
        <v>0</v>
      </c>
    </row>
    <row r="430" spans="1:7" x14ac:dyDescent="0.25">
      <c r="A430" s="120" t="str">
        <f>RIGHT(CSTABLE[[#This Row],[NomeNCM]],8)</f>
        <v>21039099</v>
      </c>
      <c r="B430" s="3" t="s">
        <v>3884</v>
      </c>
      <c r="C430" s="3" t="str">
        <f>IFERROR(VLOOKUP(B430,ST!C:D,2,0),"NÃOST")</f>
        <v>NÃOST</v>
      </c>
      <c r="D430" s="3"/>
      <c r="E430" s="3" t="str">
        <f>IF(COUNTIF(ISENÇÕES!A:A,CST!B430)&gt;0,"ISENÇÃO","SEM ISENÇÃO")</f>
        <v>SEM ISENÇÃO</v>
      </c>
      <c r="F430" s="18" t="str">
        <f>IF(COUNTIF(REDUÇÕES!A:A,CST!B430)&gt;0,"REDUÇÃO","NÃO REDUÇÃO")</f>
        <v>NÃO REDUÇÃO</v>
      </c>
      <c r="G430" s="27">
        <f t="shared" si="7"/>
        <v>0</v>
      </c>
    </row>
    <row r="431" spans="1:7" x14ac:dyDescent="0.25">
      <c r="A431" s="120" t="str">
        <f>RIGHT(CSTABLE[[#This Row],[NomeNCM]],8)</f>
        <v>21023000</v>
      </c>
      <c r="B431" s="3" t="s">
        <v>222</v>
      </c>
      <c r="C431" s="3" t="str">
        <f>IFERROR(VLOOKUP(B431,ST!C:D,2,0),"NÃOST")</f>
        <v>NÃOST</v>
      </c>
      <c r="D431" s="3"/>
      <c r="E431" s="3" t="str">
        <f>IF(COUNTIF(ISENÇÕES!A:A,CST!B431)&gt;0,"ISENÇÃO","SEM ISENÇÃO")</f>
        <v>SEM ISENÇÃO</v>
      </c>
      <c r="F431" s="18" t="str">
        <f>IF(COUNTIF(REDUÇÕES!A:A,CST!B431)&gt;0,"REDUÇÃO","NÃO REDUÇÃO")</f>
        <v>REDUÇÃO</v>
      </c>
      <c r="G431" s="27">
        <f t="shared" si="7"/>
        <v>20</v>
      </c>
    </row>
    <row r="432" spans="1:7" x14ac:dyDescent="0.25">
      <c r="A432" s="120" t="str">
        <f>RIGHT(CSTABLE[[#This Row],[NomeNCM]],8)</f>
        <v>32041913</v>
      </c>
      <c r="B432" s="3" t="s">
        <v>3885</v>
      </c>
      <c r="C432" s="3" t="str">
        <f>IFERROR(VLOOKUP(B432,ST!C:D,2,0),"NÃOST")</f>
        <v>NÃOST</v>
      </c>
      <c r="D432" s="3"/>
      <c r="E432" s="3" t="str">
        <f>IF(COUNTIF(ISENÇÕES!A:A,CST!B432)&gt;0,"ISENÇÃO","SEM ISENÇÃO")</f>
        <v>SEM ISENÇÃO</v>
      </c>
      <c r="F432" s="18" t="str">
        <f>IF(COUNTIF(REDUÇÕES!A:A,CST!B432)&gt;0,"REDUÇÃO","NÃO REDUÇÃO")</f>
        <v>NÃO REDUÇÃO</v>
      </c>
      <c r="G432" s="27">
        <f t="shared" si="7"/>
        <v>0</v>
      </c>
    </row>
    <row r="433" spans="1:7" x14ac:dyDescent="0.25">
      <c r="A433" s="120" t="str">
        <f>RIGHT(CSTABLE[[#This Row],[NomeNCM]],8)</f>
        <v>20031000</v>
      </c>
      <c r="B433" s="3" t="s">
        <v>3886</v>
      </c>
      <c r="C433" s="3" t="str">
        <f>IFERROR(VLOOKUP(B433,ST!C:D,2,0),"NÃOST")</f>
        <v>NÃOST</v>
      </c>
      <c r="D433" s="3"/>
      <c r="E433" s="3" t="str">
        <f>IF(COUNTIF(ISENÇÕES!A:A,CST!B433)&gt;0,"ISENÇÃO","SEM ISENÇÃO")</f>
        <v>SEM ISENÇÃO</v>
      </c>
      <c r="F433" s="18" t="str">
        <f>IF(COUNTIF(REDUÇÕES!A:A,CST!B433)&gt;0,"REDUÇÃO","NÃO REDUÇÃO")</f>
        <v>NÃO REDUÇÃO</v>
      </c>
      <c r="G433" s="27">
        <f t="shared" si="7"/>
        <v>0</v>
      </c>
    </row>
    <row r="434" spans="1:7" x14ac:dyDescent="0.25">
      <c r="A434" s="120" t="str">
        <f>RIGHT(CSTABLE[[#This Row],[NomeNCM]],8)</f>
        <v>95059000</v>
      </c>
      <c r="B434" s="3" t="s">
        <v>275</v>
      </c>
      <c r="C434" s="3" t="str">
        <f>IFERROR(VLOOKUP(B434,ST!C:D,2,0),"NÃOST")</f>
        <v>NÃOST</v>
      </c>
      <c r="D434" s="3"/>
      <c r="E434" s="3" t="str">
        <f>IF(COUNTIF(ISENÇÕES!A:A,CST!B434)&gt;0,"ISENÇÃO","SEM ISENÇÃO")</f>
        <v>SEM ISENÇÃO</v>
      </c>
      <c r="F434" s="18" t="str">
        <f>IF(COUNTIF(REDUÇÕES!A:A,CST!B434)&gt;0,"REDUÇÃO","NÃO REDUÇÃO")</f>
        <v>NÃO REDUÇÃO</v>
      </c>
      <c r="G434" s="27">
        <f t="shared" si="7"/>
        <v>0</v>
      </c>
    </row>
    <row r="435" spans="1:7" x14ac:dyDescent="0.25">
      <c r="A435" s="120" t="str">
        <f>RIGHT(CSTABLE[[#This Row],[NomeNCM]],8)</f>
        <v>69111010</v>
      </c>
      <c r="B435" s="3" t="s">
        <v>3887</v>
      </c>
      <c r="C435" s="3" t="str">
        <f>IFERROR(VLOOKUP(B435,ST!C:D,2,0),"NÃOST")</f>
        <v>NÃOST</v>
      </c>
      <c r="D435" s="3"/>
      <c r="E435" s="3" t="str">
        <f>IF(COUNTIF(ISENÇÕES!A:A,CST!B435)&gt;0,"ISENÇÃO","SEM ISENÇÃO")</f>
        <v>SEM ISENÇÃO</v>
      </c>
      <c r="F435" s="18" t="str">
        <f>IF(COUNTIF(REDUÇÕES!A:A,CST!B435)&gt;0,"REDUÇÃO","NÃO REDUÇÃO")</f>
        <v>NÃO REDUÇÃO</v>
      </c>
      <c r="G435" s="27">
        <f t="shared" si="7"/>
        <v>0</v>
      </c>
    </row>
    <row r="436" spans="1:7" x14ac:dyDescent="0.25">
      <c r="A436" s="120" t="str">
        <f>RIGHT(CSTABLE[[#This Row],[NomeNCM]],8)</f>
        <v>39191010</v>
      </c>
      <c r="B436" s="3" t="s">
        <v>3888</v>
      </c>
      <c r="C436" s="3" t="str">
        <f>IFERROR(VLOOKUP(B436,ST!C:D,2,0),"NÃOST")</f>
        <v>NÃOST</v>
      </c>
      <c r="D436" s="3"/>
      <c r="E436" s="3" t="str">
        <f>IF(COUNTIF(ISENÇÕES!A:A,CST!B436)&gt;0,"ISENÇÃO","SEM ISENÇÃO")</f>
        <v>SEM ISENÇÃO</v>
      </c>
      <c r="F436" s="18" t="str">
        <f>IF(COUNTIF(REDUÇÕES!A:A,CST!B436)&gt;0,"REDUÇÃO","NÃO REDUÇÃO")</f>
        <v>NÃO REDUÇÃO</v>
      </c>
      <c r="G436" s="27">
        <f t="shared" si="7"/>
        <v>0</v>
      </c>
    </row>
    <row r="437" spans="1:7" x14ac:dyDescent="0.25">
      <c r="A437" s="120" t="str">
        <f>RIGHT(CSTABLE[[#This Row],[NomeNCM]],8)</f>
        <v>08109000</v>
      </c>
      <c r="B437" s="3" t="s">
        <v>3397</v>
      </c>
      <c r="C437" s="3" t="str">
        <f>IFERROR(VLOOKUP(B437,ST!C:D,2,0),"NÃOST")</f>
        <v>NÃOST</v>
      </c>
      <c r="D437" s="3"/>
      <c r="E437" s="3" t="str">
        <f>IF(COUNTIF(ISENÇÕES!A:A,CST!B437)&gt;0,"ISENÇÃO","SEM ISENÇÃO")</f>
        <v>ISENÇÃO</v>
      </c>
      <c r="F437" s="18" t="str">
        <f>IF(COUNTIF(REDUÇÕES!A:A,CST!B437)&gt;0,"REDUÇÃO","NÃO REDUÇÃO")</f>
        <v>NÃO REDUÇÃO</v>
      </c>
      <c r="G437" s="27">
        <f t="shared" si="7"/>
        <v>40</v>
      </c>
    </row>
    <row r="438" spans="1:7" x14ac:dyDescent="0.25">
      <c r="A438" s="120" t="str">
        <f>RIGHT(CSTABLE[[#This Row],[NomeNCM]],8)</f>
        <v>33052000</v>
      </c>
      <c r="B438" s="3" t="s">
        <v>3889</v>
      </c>
      <c r="C438" s="3" t="str">
        <f>IFERROR(VLOOKUP(B438,ST!C:D,2,0),"NÃOST")</f>
        <v>NÃOST</v>
      </c>
      <c r="D438" s="3"/>
      <c r="E438" s="3" t="str">
        <f>IF(COUNTIF(ISENÇÕES!A:A,CST!B438)&gt;0,"ISENÇÃO","SEM ISENÇÃO")</f>
        <v>SEM ISENÇÃO</v>
      </c>
      <c r="F438" s="18" t="str">
        <f>IF(COUNTIF(REDUÇÕES!A:A,CST!B438)&gt;0,"REDUÇÃO","NÃO REDUÇÃO")</f>
        <v>NÃO REDUÇÃO</v>
      </c>
      <c r="G438" s="27">
        <f t="shared" si="7"/>
        <v>0</v>
      </c>
    </row>
    <row r="439" spans="1:7" x14ac:dyDescent="0.25">
      <c r="A439" s="120" t="str">
        <f>RIGHT(CSTABLE[[#This Row],[NomeNCM]],8)</f>
        <v>35079049</v>
      </c>
      <c r="B439" s="3" t="s">
        <v>3890</v>
      </c>
      <c r="C439" s="3" t="str">
        <f>IFERROR(VLOOKUP(B439,ST!C:D,2,0),"NÃOST")</f>
        <v>NÃOST</v>
      </c>
      <c r="D439" s="3"/>
      <c r="E439" s="3" t="str">
        <f>IF(COUNTIF(ISENÇÕES!A:A,CST!B439)&gt;0,"ISENÇÃO","SEM ISENÇÃO")</f>
        <v>SEM ISENÇÃO</v>
      </c>
      <c r="F439" s="18" t="str">
        <f>IF(COUNTIF(REDUÇÕES!A:A,CST!B439)&gt;0,"REDUÇÃO","NÃO REDUÇÃO")</f>
        <v>REDUÇÃO</v>
      </c>
      <c r="G439" s="27">
        <f t="shared" si="7"/>
        <v>20</v>
      </c>
    </row>
    <row r="440" spans="1:7" x14ac:dyDescent="0.25">
      <c r="A440" s="120" t="str">
        <f>RIGHT(CSTABLE[[#This Row],[NomeNCM]],8)</f>
        <v>33029019</v>
      </c>
      <c r="B440" s="3" t="s">
        <v>3891</v>
      </c>
      <c r="C440" s="3" t="str">
        <f>IFERROR(VLOOKUP(B440,ST!C:D,2,0),"NÃOST")</f>
        <v>NÃOST</v>
      </c>
      <c r="D440" s="3"/>
      <c r="E440" s="3" t="str">
        <f>IF(COUNTIF(ISENÇÕES!A:A,CST!B440)&gt;0,"ISENÇÃO","SEM ISENÇÃO")</f>
        <v>SEM ISENÇÃO</v>
      </c>
      <c r="F440" s="18" t="str">
        <f>IF(COUNTIF(REDUÇÕES!A:A,CST!B440)&gt;0,"REDUÇÃO","NÃO REDUÇÃO")</f>
        <v>NÃO REDUÇÃO</v>
      </c>
      <c r="G440" s="27">
        <f t="shared" si="7"/>
        <v>0</v>
      </c>
    </row>
    <row r="441" spans="1:7" x14ac:dyDescent="0.25">
      <c r="A441" s="120" t="str">
        <f>RIGHT(CSTABLE[[#This Row],[NomeNCM]],8)</f>
        <v>22051000</v>
      </c>
      <c r="B441" s="3" t="s">
        <v>3892</v>
      </c>
      <c r="C441" s="3" t="str">
        <f>IFERROR(VLOOKUP(B441,ST!C:D,2,0),"NÃOST")</f>
        <v>NÃOST</v>
      </c>
      <c r="D441" s="3"/>
      <c r="E441" s="3" t="str">
        <f>IF(COUNTIF(ISENÇÕES!A:A,CST!B441)&gt;0,"ISENÇÃO","SEM ISENÇÃO")</f>
        <v>SEM ISENÇÃO</v>
      </c>
      <c r="F441" s="18" t="str">
        <f>IF(COUNTIF(REDUÇÕES!A:A,CST!B441)&gt;0,"REDUÇÃO","NÃO REDUÇÃO")</f>
        <v>NÃO REDUÇÃO</v>
      </c>
      <c r="G441" s="27">
        <f t="shared" si="7"/>
        <v>0</v>
      </c>
    </row>
    <row r="442" spans="1:7" x14ac:dyDescent="0.25">
      <c r="A442" s="120" t="str">
        <f>RIGHT(CSTABLE[[#This Row],[NomeNCM]],8)</f>
        <v>94049000</v>
      </c>
      <c r="B442" s="3" t="s">
        <v>3893</v>
      </c>
      <c r="C442" s="3" t="str">
        <f>IFERROR(VLOOKUP(B442,ST!C:D,2,0),"NÃOST")</f>
        <v>NÃOST</v>
      </c>
      <c r="D442" s="3"/>
      <c r="E442" s="3" t="str">
        <f>IF(COUNTIF(ISENÇÕES!A:A,CST!B442)&gt;0,"ISENÇÃO","SEM ISENÇÃO")</f>
        <v>SEM ISENÇÃO</v>
      </c>
      <c r="F442" s="18" t="str">
        <f>IF(COUNTIF(REDUÇÕES!A:A,CST!B442)&gt;0,"REDUÇÃO","NÃO REDUÇÃO")</f>
        <v>NÃO REDUÇÃO</v>
      </c>
      <c r="G442" s="27">
        <f t="shared" si="7"/>
        <v>0</v>
      </c>
    </row>
    <row r="443" spans="1:7" x14ac:dyDescent="0.25">
      <c r="A443" s="120" t="str">
        <f>RIGHT(CSTABLE[[#This Row],[NomeNCM]],8)</f>
        <v>20091900</v>
      </c>
      <c r="B443" s="3" t="s">
        <v>3894</v>
      </c>
      <c r="C443" s="3" t="str">
        <f>IFERROR(VLOOKUP(B443,ST!C:D,2,0),"NÃOST")</f>
        <v>NÃOST</v>
      </c>
      <c r="D443" s="3"/>
      <c r="E443" s="3" t="str">
        <f>IF(COUNTIF(ISENÇÕES!A:A,CST!B443)&gt;0,"ISENÇÃO","SEM ISENÇÃO")</f>
        <v>SEM ISENÇÃO</v>
      </c>
      <c r="F443" s="18" t="str">
        <f>IF(COUNTIF(REDUÇÕES!A:A,CST!B443)&gt;0,"REDUÇÃO","NÃO REDUÇÃO")</f>
        <v>NÃO REDUÇÃO</v>
      </c>
      <c r="G443" s="27">
        <f t="shared" si="7"/>
        <v>0</v>
      </c>
    </row>
    <row r="444" spans="1:7" x14ac:dyDescent="0.25">
      <c r="A444" s="120" t="str">
        <f>RIGHT(CSTABLE[[#This Row],[NomeNCM]],8)</f>
        <v>35051000</v>
      </c>
      <c r="B444" s="3" t="s">
        <v>231</v>
      </c>
      <c r="C444" s="3" t="str">
        <f>IFERROR(VLOOKUP(B444,ST!C:D,2,0),"NÃOST")</f>
        <v>NÃOST</v>
      </c>
      <c r="D444" s="3"/>
      <c r="E444" s="3" t="str">
        <f>IF(COUNTIF(ISENÇÕES!A:A,CST!B444)&gt;0,"ISENÇÃO","SEM ISENÇÃO")</f>
        <v>SEM ISENÇÃO</v>
      </c>
      <c r="F444" s="18" t="str">
        <f>IF(COUNTIF(REDUÇÕES!A:A,CST!B444)&gt;0,"REDUÇÃO","NÃO REDUÇÃO")</f>
        <v>NÃO REDUÇÃO</v>
      </c>
      <c r="G444" s="27">
        <f t="shared" si="7"/>
        <v>0</v>
      </c>
    </row>
    <row r="445" spans="1:7" x14ac:dyDescent="0.25">
      <c r="A445" s="120" t="str">
        <f>RIGHT(CSTABLE[[#This Row],[NomeNCM]],8)</f>
        <v>07041000</v>
      </c>
      <c r="B445" s="3" t="s">
        <v>2705</v>
      </c>
      <c r="C445" s="3" t="str">
        <f>IFERROR(VLOOKUP(B445,ST!C:D,2,0),"NÃOST")</f>
        <v>NÃOST</v>
      </c>
      <c r="D445" s="3"/>
      <c r="E445" s="3" t="str">
        <f>IF(COUNTIF(ISENÇÕES!A:A,CST!B445)&gt;0,"ISENÇÃO","SEM ISENÇÃO")</f>
        <v>ISENÇÃO</v>
      </c>
      <c r="F445" s="18" t="str">
        <f>IF(COUNTIF(REDUÇÕES!A:A,CST!B445)&gt;0,"REDUÇÃO","NÃO REDUÇÃO")</f>
        <v>NÃO REDUÇÃO</v>
      </c>
      <c r="G445" s="27">
        <f t="shared" si="7"/>
        <v>40</v>
      </c>
    </row>
    <row r="446" spans="1:7" x14ac:dyDescent="0.25">
      <c r="A446" s="120" t="str">
        <f>RIGHT(CSTABLE[[#This Row],[NomeNCM]],8)</f>
        <v>28363000</v>
      </c>
      <c r="B446" s="3" t="s">
        <v>3895</v>
      </c>
      <c r="C446" s="3" t="str">
        <f>IFERROR(VLOOKUP(B446,ST!C:D,2,0),"NÃOST")</f>
        <v>NÃOST</v>
      </c>
      <c r="D446" s="3"/>
      <c r="E446" s="3" t="str">
        <f>IF(COUNTIF(ISENÇÕES!A:A,CST!B446)&gt;0,"ISENÇÃO","SEM ISENÇÃO")</f>
        <v>SEM ISENÇÃO</v>
      </c>
      <c r="F446" s="18" t="str">
        <f>IF(COUNTIF(REDUÇÕES!A:A,CST!B446)&gt;0,"REDUÇÃO","NÃO REDUÇÃO")</f>
        <v>NÃO REDUÇÃO</v>
      </c>
      <c r="G446" s="27">
        <f t="shared" si="7"/>
        <v>0</v>
      </c>
    </row>
    <row r="447" spans="1:7" x14ac:dyDescent="0.25">
      <c r="A447" s="120" t="str">
        <f>RIGHT(CSTABLE[[#This Row],[NomeNCM]],8)</f>
        <v>96033000</v>
      </c>
      <c r="B447" s="3" t="s">
        <v>3896</v>
      </c>
      <c r="C447" s="3" t="str">
        <f>IFERROR(VLOOKUP(B447,ST!C:D,2,0),"NÃOST")</f>
        <v>NÃOST</v>
      </c>
      <c r="D447" s="3"/>
      <c r="E447" s="3" t="str">
        <f>IF(COUNTIF(ISENÇÕES!A:A,CST!B447)&gt;0,"ISENÇÃO","SEM ISENÇÃO")</f>
        <v>SEM ISENÇÃO</v>
      </c>
      <c r="F447" s="18" t="str">
        <f>IF(COUNTIF(REDUÇÕES!A:A,CST!B447)&gt;0,"REDUÇÃO","NÃO REDUÇÃO")</f>
        <v>NÃO REDUÇÃO</v>
      </c>
      <c r="G447" s="27">
        <f t="shared" si="7"/>
        <v>0</v>
      </c>
    </row>
    <row r="448" spans="1:7" x14ac:dyDescent="0.25">
      <c r="A448" s="120" t="str">
        <f>RIGHT(CSTABLE[[#This Row],[NomeNCM]],8)</f>
        <v>82032010</v>
      </c>
      <c r="B448" s="3" t="s">
        <v>3897</v>
      </c>
      <c r="C448" s="3" t="str">
        <f>IFERROR(VLOOKUP(B448,ST!C:D,2,0),"NÃOST")</f>
        <v>NÃOST</v>
      </c>
      <c r="D448" s="3"/>
      <c r="E448" s="3" t="str">
        <f>IF(COUNTIF(ISENÇÕES!A:A,CST!B448)&gt;0,"ISENÇÃO","SEM ISENÇÃO")</f>
        <v>SEM ISENÇÃO</v>
      </c>
      <c r="F448" s="18" t="str">
        <f>IF(COUNTIF(REDUÇÕES!A:A,CST!B448)&gt;0,"REDUÇÃO","NÃO REDUÇÃO")</f>
        <v>NÃO REDUÇÃO</v>
      </c>
      <c r="G448" s="27">
        <f t="shared" si="7"/>
        <v>0</v>
      </c>
    </row>
    <row r="449" spans="1:7" x14ac:dyDescent="0.25">
      <c r="A449" s="120" t="str">
        <f>RIGHT(CSTABLE[[#This Row],[NomeNCM]],8)</f>
        <v>28470000</v>
      </c>
      <c r="B449" s="3" t="s">
        <v>220</v>
      </c>
      <c r="C449" s="3" t="str">
        <f>IFERROR(VLOOKUP(B449,ST!C:D,2,0),"NÃOST")</f>
        <v>NÃOST</v>
      </c>
      <c r="D449" s="3"/>
      <c r="E449" s="3" t="str">
        <f>IF(COUNTIF(ISENÇÕES!A:A,CST!B449)&gt;0,"ISENÇÃO","SEM ISENÇÃO")</f>
        <v>SEM ISENÇÃO</v>
      </c>
      <c r="F449" s="18" t="str">
        <f>IF(COUNTIF(REDUÇÕES!A:A,CST!B449)&gt;0,"REDUÇÃO","NÃO REDUÇÃO")</f>
        <v>NÃO REDUÇÃO</v>
      </c>
      <c r="G449" s="27">
        <f t="shared" si="7"/>
        <v>0</v>
      </c>
    </row>
    <row r="450" spans="1:7" x14ac:dyDescent="0.25">
      <c r="A450" s="120" t="str">
        <f>RIGHT(CSTABLE[[#This Row],[NomeNCM]],8)</f>
        <v>10063011</v>
      </c>
      <c r="B450" s="3" t="s">
        <v>268</v>
      </c>
      <c r="C450" s="3" t="str">
        <f>IFERROR(VLOOKUP(B450,ST!C:D,2,0),"NÃOST")</f>
        <v>NÃOST</v>
      </c>
      <c r="D450" s="3"/>
      <c r="E450" s="3" t="str">
        <f>IF(COUNTIF(ISENÇÕES!A:A,CST!B450)&gt;0,"ISENÇÃO","SEM ISENÇÃO")</f>
        <v>SEM ISENÇÃO</v>
      </c>
      <c r="F450" s="18" t="str">
        <f>IF(COUNTIF(REDUÇÕES!A:A,CST!B450)&gt;0,"REDUÇÃO","NÃO REDUÇÃO")</f>
        <v>REDUÇÃO</v>
      </c>
      <c r="G450" s="27">
        <f t="shared" si="7"/>
        <v>20</v>
      </c>
    </row>
    <row r="451" spans="1:7" x14ac:dyDescent="0.25">
      <c r="A451" s="120" t="str">
        <f>RIGHT(CSTABLE[[#This Row],[NomeNCM]],8)</f>
        <v>85168090</v>
      </c>
      <c r="B451" s="3" t="s">
        <v>3898</v>
      </c>
      <c r="C451" s="3" t="str">
        <f>IFERROR(VLOOKUP(B451,ST!C:D,2,0),"NÃOST")</f>
        <v>NÃOST</v>
      </c>
      <c r="D451" s="3"/>
      <c r="E451" s="3" t="str">
        <f>IF(COUNTIF(ISENÇÕES!A:A,CST!B451)&gt;0,"ISENÇÃO","SEM ISENÇÃO")</f>
        <v>SEM ISENÇÃO</v>
      </c>
      <c r="F451" s="18" t="str">
        <f>IF(COUNTIF(REDUÇÕES!A:A,CST!B451)&gt;0,"REDUÇÃO","NÃO REDUÇÃO")</f>
        <v>NÃO REDUÇÃO</v>
      </c>
      <c r="G451" s="27">
        <f t="shared" si="7"/>
        <v>0</v>
      </c>
    </row>
    <row r="452" spans="1:7" x14ac:dyDescent="0.25">
      <c r="A452" s="120" t="str">
        <f>RIGHT(CSTABLE[[#This Row],[NomeNCM]],8)</f>
        <v>20099000</v>
      </c>
      <c r="B452" s="3" t="s">
        <v>3899</v>
      </c>
      <c r="C452" s="3" t="str">
        <f>IFERROR(VLOOKUP(B452,ST!C:D,2,0),"NÃOST")</f>
        <v>NÃOST</v>
      </c>
      <c r="D452" s="3"/>
      <c r="E452" s="3" t="str">
        <f>IF(COUNTIF(ISENÇÕES!A:A,CST!B452)&gt;0,"ISENÇÃO","SEM ISENÇÃO")</f>
        <v>SEM ISENÇÃO</v>
      </c>
      <c r="F452" s="18" t="str">
        <f>IF(COUNTIF(REDUÇÕES!A:A,CST!B452)&gt;0,"REDUÇÃO","NÃO REDUÇÃO")</f>
        <v>NÃO REDUÇÃO</v>
      </c>
      <c r="G452" s="27">
        <f t="shared" si="7"/>
        <v>0</v>
      </c>
    </row>
    <row r="453" spans="1:7" x14ac:dyDescent="0.25">
      <c r="A453" s="120" t="str">
        <f>RIGHT(CSTABLE[[#This Row],[NomeNCM]],8)</f>
        <v>07032090</v>
      </c>
      <c r="B453" s="3" t="s">
        <v>170</v>
      </c>
      <c r="C453" s="3" t="str">
        <f>IFERROR(VLOOKUP(B453,ST!C:D,2,0),"NÃOST")</f>
        <v>NÃOST</v>
      </c>
      <c r="D453" s="3"/>
      <c r="E453" s="3" t="str">
        <f>IF(COUNTIF(ISENÇÕES!A:A,CST!B453)&gt;0,"ISENÇÃO","SEM ISENÇÃO")</f>
        <v>SEM ISENÇÃO</v>
      </c>
      <c r="F453" s="18" t="str">
        <f>IF(COUNTIF(REDUÇÕES!A:A,CST!B453)&gt;0,"REDUÇÃO","NÃO REDUÇÃO")</f>
        <v>NÃO REDUÇÃO</v>
      </c>
      <c r="G453" s="27">
        <f t="shared" si="7"/>
        <v>0</v>
      </c>
    </row>
    <row r="454" spans="1:7" x14ac:dyDescent="0.25">
      <c r="A454" s="120" t="str">
        <f>RIGHT(CSTABLE[[#This Row],[NomeNCM]],8)</f>
        <v>39269040</v>
      </c>
      <c r="B454" s="3" t="s">
        <v>3900</v>
      </c>
      <c r="C454" s="3" t="str">
        <f>IFERROR(VLOOKUP(B454,ST!C:D,2,0),"NÃOST")</f>
        <v>NÃOST</v>
      </c>
      <c r="D454" s="3"/>
      <c r="E454" s="3" t="str">
        <f>IF(COUNTIF(ISENÇÕES!A:A,CST!B454)&gt;0,"ISENÇÃO","SEM ISENÇÃO")</f>
        <v>SEM ISENÇÃO</v>
      </c>
      <c r="F454" s="18" t="str">
        <f>IF(COUNTIF(REDUÇÕES!A:A,CST!B454)&gt;0,"REDUÇÃO","NÃO REDUÇÃO")</f>
        <v>NÃO REDUÇÃO</v>
      </c>
      <c r="G454" s="27">
        <f t="shared" si="7"/>
        <v>0</v>
      </c>
    </row>
    <row r="455" spans="1:7" x14ac:dyDescent="0.25">
      <c r="A455" s="120" t="str">
        <f>RIGHT(CSTABLE[[#This Row],[NomeNCM]],8)</f>
        <v>08132010</v>
      </c>
      <c r="B455" s="3" t="s">
        <v>3337</v>
      </c>
      <c r="C455" s="3" t="str">
        <f>IFERROR(VLOOKUP(B455,ST!C:D,2,0),"NÃOST")</f>
        <v>NÃOST</v>
      </c>
      <c r="D455" s="3"/>
      <c r="E455" s="3" t="str">
        <f>IF(COUNTIF(ISENÇÕES!A:A,CST!B455)&gt;0,"ISENÇÃO","SEM ISENÇÃO")</f>
        <v>SEM ISENÇÃO</v>
      </c>
      <c r="F455" s="18" t="str">
        <f>IF(COUNTIF(REDUÇÕES!A:A,CST!B455)&gt;0,"REDUÇÃO","NÃO REDUÇÃO")</f>
        <v>NÃO REDUÇÃO</v>
      </c>
      <c r="G455" s="27">
        <f t="shared" si="7"/>
        <v>0</v>
      </c>
    </row>
    <row r="456" spans="1:7" x14ac:dyDescent="0.25">
      <c r="A456" s="120" t="str">
        <f>RIGHT(CSTABLE[[#This Row],[NomeNCM]],8)</f>
        <v>34051000</v>
      </c>
      <c r="B456" s="3" t="s">
        <v>3901</v>
      </c>
      <c r="C456" s="3" t="str">
        <f>IFERROR(VLOOKUP(B456,ST!C:D,2,0),"NÃOST")</f>
        <v>NÃOST</v>
      </c>
      <c r="D456" s="3"/>
      <c r="E456" s="3" t="str">
        <f>IF(COUNTIF(ISENÇÕES!A:A,CST!B456)&gt;0,"ISENÇÃO","SEM ISENÇÃO")</f>
        <v>SEM ISENÇÃO</v>
      </c>
      <c r="F456" s="18" t="str">
        <f>IF(COUNTIF(REDUÇÕES!A:A,CST!B456)&gt;0,"REDUÇÃO","NÃO REDUÇÃO")</f>
        <v>NÃO REDUÇÃO</v>
      </c>
      <c r="G456" s="27">
        <f t="shared" si="7"/>
        <v>0</v>
      </c>
    </row>
    <row r="457" spans="1:7" x14ac:dyDescent="0.25">
      <c r="A457" s="120" t="str">
        <f>RIGHT(CSTABLE[[#This Row],[NomeNCM]],8)</f>
        <v>20087010</v>
      </c>
      <c r="B457" s="3" t="s">
        <v>3902</v>
      </c>
      <c r="C457" s="3" t="str">
        <f>IFERROR(VLOOKUP(B457,ST!C:D,2,0),"NÃOST")</f>
        <v>NÃOST</v>
      </c>
      <c r="D457" s="3"/>
      <c r="E457" s="3" t="str">
        <f>IF(COUNTIF(ISENÇÕES!A:A,CST!B457)&gt;0,"ISENÇÃO","SEM ISENÇÃO")</f>
        <v>SEM ISENÇÃO</v>
      </c>
      <c r="F457" s="18" t="str">
        <f>IF(COUNTIF(REDUÇÕES!A:A,CST!B457)&gt;0,"REDUÇÃO","NÃO REDUÇÃO")</f>
        <v>NÃO REDUÇÃO</v>
      </c>
      <c r="G457" s="27">
        <f t="shared" si="7"/>
        <v>0</v>
      </c>
    </row>
    <row r="458" spans="1:7" x14ac:dyDescent="0.25">
      <c r="A458" s="120" t="str">
        <f>RIGHT(CSTABLE[[#This Row],[NomeNCM]],8)</f>
        <v>30067000</v>
      </c>
      <c r="B458" s="3" t="s">
        <v>3903</v>
      </c>
      <c r="C458" s="3" t="str">
        <f>IFERROR(VLOOKUP(B458,ST!C:D,2,0),"NÃOST")</f>
        <v>NÃOST</v>
      </c>
      <c r="D458" s="3"/>
      <c r="E458" s="3" t="str">
        <f>IF(COUNTIF(ISENÇÕES!A:A,CST!B458)&gt;0,"ISENÇÃO","SEM ISENÇÃO")</f>
        <v>SEM ISENÇÃO</v>
      </c>
      <c r="F458" s="18" t="str">
        <f>IF(COUNTIF(REDUÇÕES!A:A,CST!B458)&gt;0,"REDUÇÃO","NÃO REDUÇÃO")</f>
        <v>NÃO REDUÇÃO</v>
      </c>
      <c r="G458" s="27">
        <f t="shared" si="7"/>
        <v>0</v>
      </c>
    </row>
    <row r="459" spans="1:7" x14ac:dyDescent="0.25">
      <c r="A459" s="120" t="str">
        <f>RIGHT(CSTABLE[[#This Row],[NomeNCM]],8)</f>
        <v>29029020</v>
      </c>
      <c r="B459" s="3" t="s">
        <v>3904</v>
      </c>
      <c r="C459" s="3" t="str">
        <f>IFERROR(VLOOKUP(B459,ST!C:D,2,0),"NÃOST")</f>
        <v>NÃOST</v>
      </c>
      <c r="D459" s="3"/>
      <c r="E459" s="3" t="str">
        <f>IF(COUNTIF(ISENÇÕES!A:A,CST!B459)&gt;0,"ISENÇÃO","SEM ISENÇÃO")</f>
        <v>SEM ISENÇÃO</v>
      </c>
      <c r="F459" s="18" t="str">
        <f>IF(COUNTIF(REDUÇÕES!A:A,CST!B459)&gt;0,"REDUÇÃO","NÃO REDUÇÃO")</f>
        <v>NÃO REDUÇÃO</v>
      </c>
      <c r="G459" s="27">
        <f t="shared" si="7"/>
        <v>0</v>
      </c>
    </row>
    <row r="460" spans="1:7" x14ac:dyDescent="0.25">
      <c r="A460" s="120" t="str">
        <f>RIGHT(CSTABLE[[#This Row],[NomeNCM]],8)</f>
        <v>14049090</v>
      </c>
      <c r="B460" s="3" t="s">
        <v>3905</v>
      </c>
      <c r="C460" s="3" t="str">
        <f>IFERROR(VLOOKUP(B460,ST!C:D,2,0),"NÃOST")</f>
        <v>NÃOST</v>
      </c>
      <c r="D460" s="3"/>
      <c r="E460" s="3" t="str">
        <f>IF(COUNTIF(ISENÇÕES!A:A,CST!B460)&gt;0,"ISENÇÃO","SEM ISENÇÃO")</f>
        <v>SEM ISENÇÃO</v>
      </c>
      <c r="F460" s="18" t="str">
        <f>IF(COUNTIF(REDUÇÕES!A:A,CST!B460)&gt;0,"REDUÇÃO","NÃO REDUÇÃO")</f>
        <v>NÃO REDUÇÃO</v>
      </c>
      <c r="G460" s="27">
        <f t="shared" si="7"/>
        <v>0</v>
      </c>
    </row>
    <row r="461" spans="1:7" x14ac:dyDescent="0.25">
      <c r="A461" s="120" t="str">
        <f>RIGHT(CSTABLE[[#This Row],[NomeNCM]],8)</f>
        <v>39231090</v>
      </c>
      <c r="B461" s="3" t="s">
        <v>3906</v>
      </c>
      <c r="C461" s="3" t="str">
        <f>IFERROR(VLOOKUP(B461,ST!C:D,2,0),"NÃOST")</f>
        <v>NÃOST</v>
      </c>
      <c r="D461" s="3"/>
      <c r="E461" s="3" t="str">
        <f>IF(COUNTIF(ISENÇÕES!A:A,CST!B461)&gt;0,"ISENÇÃO","SEM ISENÇÃO")</f>
        <v>SEM ISENÇÃO</v>
      </c>
      <c r="F461" s="18" t="str">
        <f>IF(COUNTIF(REDUÇÕES!A:A,CST!B461)&gt;0,"REDUÇÃO","NÃO REDUÇÃO")</f>
        <v>NÃO REDUÇÃO</v>
      </c>
      <c r="G461" s="27">
        <f t="shared" si="7"/>
        <v>0</v>
      </c>
    </row>
    <row r="462" spans="1:7" x14ac:dyDescent="0.25">
      <c r="A462" s="120" t="str">
        <f>RIGHT(CSTABLE[[#This Row],[NomeNCM]],8)</f>
        <v>18050000</v>
      </c>
      <c r="B462" s="3" t="s">
        <v>3907</v>
      </c>
      <c r="C462" s="3" t="str">
        <f>IFERROR(VLOOKUP(B462,ST!C:D,2,0),"NÃOST")</f>
        <v>NÃOST</v>
      </c>
      <c r="D462" s="3"/>
      <c r="E462" s="3" t="str">
        <f>IF(COUNTIF(ISENÇÕES!A:A,CST!B462)&gt;0,"ISENÇÃO","SEM ISENÇÃO")</f>
        <v>SEM ISENÇÃO</v>
      </c>
      <c r="F462" s="18" t="str">
        <f>IF(COUNTIF(REDUÇÕES!A:A,CST!B462)&gt;0,"REDUÇÃO","NÃO REDUÇÃO")</f>
        <v>NÃO REDUÇÃO</v>
      </c>
      <c r="G462" s="27">
        <f t="shared" si="7"/>
        <v>0</v>
      </c>
    </row>
    <row r="463" spans="1:7" x14ac:dyDescent="0.25">
      <c r="A463" s="120" t="str">
        <f>RIGHT(CSTABLE[[#This Row],[NomeNCM]],8)</f>
        <v>25010011</v>
      </c>
      <c r="B463" s="3" t="s">
        <v>271</v>
      </c>
      <c r="C463" s="3" t="str">
        <f>IFERROR(VLOOKUP(B463,ST!C:D,2,0),"NÃOST")</f>
        <v>NÃOST</v>
      </c>
      <c r="D463" s="3"/>
      <c r="E463" s="3" t="str">
        <f>IF(COUNTIF(ISENÇÕES!A:A,CST!B463)&gt;0,"ISENÇÃO","SEM ISENÇÃO")</f>
        <v>SEM ISENÇÃO</v>
      </c>
      <c r="F463" s="18" t="str">
        <f>IF(COUNTIF(REDUÇÕES!A:A,CST!B463)&gt;0,"REDUÇÃO","NÃO REDUÇÃO")</f>
        <v>REDUÇÃO</v>
      </c>
      <c r="G463" s="27">
        <f t="shared" si="7"/>
        <v>20</v>
      </c>
    </row>
    <row r="464" spans="1:7" x14ac:dyDescent="0.25">
      <c r="A464" s="120" t="str">
        <f>RIGHT(CSTABLE[[#This Row],[NomeNCM]],8)</f>
        <v>82159100</v>
      </c>
      <c r="B464" s="3" t="s">
        <v>3908</v>
      </c>
      <c r="C464" s="3" t="str">
        <f>IFERROR(VLOOKUP(B464,ST!C:D,2,0),"NÃOST")</f>
        <v>NÃOST</v>
      </c>
      <c r="D464" s="3"/>
      <c r="E464" s="3" t="str">
        <f>IF(COUNTIF(ISENÇÕES!A:A,CST!B464)&gt;0,"ISENÇÃO","SEM ISENÇÃO")</f>
        <v>SEM ISENÇÃO</v>
      </c>
      <c r="F464" s="18" t="str">
        <f>IF(COUNTIF(REDUÇÕES!A:A,CST!B464)&gt;0,"REDUÇÃO","NÃO REDUÇÃO")</f>
        <v>NÃO REDUÇÃO</v>
      </c>
      <c r="G464" s="27">
        <f t="shared" si="7"/>
        <v>0</v>
      </c>
    </row>
    <row r="465" spans="1:7" x14ac:dyDescent="0.25">
      <c r="A465" s="120" t="str">
        <f>RIGHT(CSTABLE[[#This Row],[NomeNCM]],8)</f>
        <v>85393100</v>
      </c>
      <c r="B465" s="3" t="s">
        <v>121</v>
      </c>
      <c r="C465" s="3" t="str">
        <f>IFERROR(VLOOKUP(B465,ST!C:D,2,0),"NÃOST")</f>
        <v>ST</v>
      </c>
      <c r="D465" s="3"/>
      <c r="E465" s="3" t="str">
        <f>IF(COUNTIF(ISENÇÕES!A:A,CST!B465)&gt;0,"ISENÇÃO","SEM ISENÇÃO")</f>
        <v>SEM ISENÇÃO</v>
      </c>
      <c r="F465" s="18" t="str">
        <f>IF(COUNTIF(REDUÇÕES!A:A,CST!B465)&gt;0,"REDUÇÃO","NÃO REDUÇÃO")</f>
        <v>NÃO REDUÇÃO</v>
      </c>
      <c r="G465" s="27">
        <f t="shared" ref="G465:G528" si="8">VLOOKUP(C465&amp;F465&amp;E465,$B$3:$F$10,5,0)</f>
        <v>60</v>
      </c>
    </row>
    <row r="466" spans="1:7" x14ac:dyDescent="0.25">
      <c r="A466" s="120" t="str">
        <f>RIGHT(CSTABLE[[#This Row],[NomeNCM]],8)</f>
        <v>73239900</v>
      </c>
      <c r="B466" s="3" t="s">
        <v>3909</v>
      </c>
      <c r="C466" s="3" t="str">
        <f>IFERROR(VLOOKUP(B466,ST!C:D,2,0),"NÃOST")</f>
        <v>NÃOST</v>
      </c>
      <c r="D466" s="3"/>
      <c r="E466" s="3" t="str">
        <f>IF(COUNTIF(ISENÇÕES!A:A,CST!B466)&gt;0,"ISENÇÃO","SEM ISENÇÃO")</f>
        <v>SEM ISENÇÃO</v>
      </c>
      <c r="F466" s="18" t="str">
        <f>IF(COUNTIF(REDUÇÕES!A:A,CST!B466)&gt;0,"REDUÇÃO","NÃO REDUÇÃO")</f>
        <v>NÃO REDUÇÃO</v>
      </c>
      <c r="G466" s="27">
        <f t="shared" si="8"/>
        <v>0</v>
      </c>
    </row>
    <row r="467" spans="1:7" x14ac:dyDescent="0.25">
      <c r="A467" s="120" t="str">
        <f>RIGHT(CSTABLE[[#This Row],[NomeNCM]],8)</f>
        <v>40169100</v>
      </c>
      <c r="B467" s="3" t="s">
        <v>3910</v>
      </c>
      <c r="C467" s="3" t="str">
        <f>IFERROR(VLOOKUP(B467,ST!C:D,2,0),"NÃOST")</f>
        <v>NÃOST</v>
      </c>
      <c r="D467" s="3"/>
      <c r="E467" s="3" t="str">
        <f>IF(COUNTIF(ISENÇÕES!A:A,CST!B467)&gt;0,"ISENÇÃO","SEM ISENÇÃO")</f>
        <v>SEM ISENÇÃO</v>
      </c>
      <c r="F467" s="18" t="str">
        <f>IF(COUNTIF(REDUÇÕES!A:A,CST!B467)&gt;0,"REDUÇÃO","NÃO REDUÇÃO")</f>
        <v>NÃO REDUÇÃO</v>
      </c>
      <c r="G467" s="27">
        <f t="shared" si="8"/>
        <v>0</v>
      </c>
    </row>
    <row r="468" spans="1:7" x14ac:dyDescent="0.25">
      <c r="A468" s="120" t="str">
        <f>RIGHT(CSTABLE[[#This Row],[NomeNCM]],8)</f>
        <v>20055100</v>
      </c>
      <c r="B468" s="3" t="s">
        <v>186</v>
      </c>
      <c r="C468" s="3" t="str">
        <f>IFERROR(VLOOKUP(B468,ST!C:D,2,0),"NÃOST")</f>
        <v>NÃOST</v>
      </c>
      <c r="D468" s="3"/>
      <c r="E468" s="3" t="str">
        <f>IF(COUNTIF(ISENÇÕES!A:A,CST!B468)&gt;0,"ISENÇÃO","SEM ISENÇÃO")</f>
        <v>SEM ISENÇÃO</v>
      </c>
      <c r="F468" s="18" t="str">
        <f>IF(COUNTIF(REDUÇÕES!A:A,CST!B468)&gt;0,"REDUÇÃO","NÃO REDUÇÃO")</f>
        <v>REDUÇÃO</v>
      </c>
      <c r="G468" s="27">
        <f t="shared" si="8"/>
        <v>20</v>
      </c>
    </row>
    <row r="469" spans="1:7" x14ac:dyDescent="0.25">
      <c r="A469" s="120" t="str">
        <f>RIGHT(CSTABLE[[#This Row],[NomeNCM]],8)</f>
        <v>16041310</v>
      </c>
      <c r="B469" s="3" t="s">
        <v>3911</v>
      </c>
      <c r="C469" s="3" t="str">
        <f>IFERROR(VLOOKUP(B469,ST!C:D,2,0),"NÃOST")</f>
        <v>NÃOST</v>
      </c>
      <c r="D469" s="3"/>
      <c r="E469" s="3" t="str">
        <f>IF(COUNTIF(ISENÇÕES!A:A,CST!B469)&gt;0,"ISENÇÃO","SEM ISENÇÃO")</f>
        <v>SEM ISENÇÃO</v>
      </c>
      <c r="F469" s="18" t="str">
        <f>IF(COUNTIF(REDUÇÕES!A:A,CST!B469)&gt;0,"REDUÇÃO","NÃO REDUÇÃO")</f>
        <v>NÃO REDUÇÃO</v>
      </c>
      <c r="G469" s="27">
        <f t="shared" si="8"/>
        <v>0</v>
      </c>
    </row>
    <row r="470" spans="1:7" x14ac:dyDescent="0.25">
      <c r="A470" s="120" t="str">
        <f>RIGHT(CSTABLE[[#This Row],[NomeNCM]],8)</f>
        <v>63026000</v>
      </c>
      <c r="B470" s="3" t="s">
        <v>3912</v>
      </c>
      <c r="C470" s="3" t="str">
        <f>IFERROR(VLOOKUP(B470,ST!C:D,2,0),"NÃOST")</f>
        <v>NÃOST</v>
      </c>
      <c r="D470" s="3"/>
      <c r="E470" s="3" t="str">
        <f>IF(COUNTIF(ISENÇÕES!A:A,CST!B470)&gt;0,"ISENÇÃO","SEM ISENÇÃO")</f>
        <v>SEM ISENÇÃO</v>
      </c>
      <c r="F470" s="18" t="str">
        <f>IF(COUNTIF(REDUÇÕES!A:A,CST!B470)&gt;0,"REDUÇÃO","NÃO REDUÇÃO")</f>
        <v>NÃO REDUÇÃO</v>
      </c>
      <c r="G470" s="27">
        <f t="shared" si="8"/>
        <v>0</v>
      </c>
    </row>
    <row r="471" spans="1:7" x14ac:dyDescent="0.25">
      <c r="A471" s="120" t="str">
        <f>RIGHT(CSTABLE[[#This Row],[NomeNCM]],8)</f>
        <v>95030050</v>
      </c>
      <c r="B471" s="3" t="s">
        <v>3913</v>
      </c>
      <c r="C471" s="3" t="str">
        <f>IFERROR(VLOOKUP(B471,ST!C:D,2,0),"NÃOST")</f>
        <v>NÃOST</v>
      </c>
      <c r="D471" s="3"/>
      <c r="E471" s="3" t="str">
        <f>IF(COUNTIF(ISENÇÕES!A:A,CST!B471)&gt;0,"ISENÇÃO","SEM ISENÇÃO")</f>
        <v>SEM ISENÇÃO</v>
      </c>
      <c r="F471" s="18" t="str">
        <f>IF(COUNTIF(REDUÇÕES!A:A,CST!B471)&gt;0,"REDUÇÃO","NÃO REDUÇÃO")</f>
        <v>NÃO REDUÇÃO</v>
      </c>
      <c r="G471" s="27">
        <f t="shared" si="8"/>
        <v>0</v>
      </c>
    </row>
    <row r="472" spans="1:7" x14ac:dyDescent="0.25">
      <c r="A472" s="120" t="str">
        <f>RIGHT(CSTABLE[[#This Row],[NomeNCM]],8)</f>
        <v>48239099</v>
      </c>
      <c r="B472" s="3" t="s">
        <v>3914</v>
      </c>
      <c r="C472" s="3" t="str">
        <f>IFERROR(VLOOKUP(B472,ST!C:D,2,0),"NÃOST")</f>
        <v>NÃOST</v>
      </c>
      <c r="D472" s="3"/>
      <c r="E472" s="3" t="str">
        <f>IF(COUNTIF(ISENÇÕES!A:A,CST!B472)&gt;0,"ISENÇÃO","SEM ISENÇÃO")</f>
        <v>SEM ISENÇÃO</v>
      </c>
      <c r="F472" s="18" t="str">
        <f>IF(COUNTIF(REDUÇÕES!A:A,CST!B472)&gt;0,"REDUÇÃO","NÃO REDUÇÃO")</f>
        <v>NÃO REDUÇÃO</v>
      </c>
      <c r="G472" s="27">
        <f t="shared" si="8"/>
        <v>0</v>
      </c>
    </row>
    <row r="473" spans="1:7" x14ac:dyDescent="0.25">
      <c r="A473" s="120" t="str">
        <f>RIGHT(CSTABLE[[#This Row],[NomeNCM]],8)</f>
        <v>19024000</v>
      </c>
      <c r="B473" s="3" t="s">
        <v>3915</v>
      </c>
      <c r="C473" s="3" t="str">
        <f>IFERROR(VLOOKUP(B473,ST!C:D,2,0),"NÃOST")</f>
        <v>NÃOST</v>
      </c>
      <c r="D473" s="3"/>
      <c r="E473" s="3" t="str">
        <f>IF(COUNTIF(ISENÇÕES!A:A,CST!B473)&gt;0,"ISENÇÃO","SEM ISENÇÃO")</f>
        <v>SEM ISENÇÃO</v>
      </c>
      <c r="F473" s="18" t="str">
        <f>IF(COUNTIF(REDUÇÕES!A:A,CST!B473)&gt;0,"REDUÇÃO","NÃO REDUÇÃO")</f>
        <v>NÃO REDUÇÃO</v>
      </c>
      <c r="G473" s="27">
        <f t="shared" si="8"/>
        <v>0</v>
      </c>
    </row>
    <row r="474" spans="1:7" x14ac:dyDescent="0.25">
      <c r="A474" s="120" t="str">
        <f>RIGHT(CSTABLE[[#This Row],[NomeNCM]],8)</f>
        <v>15119000</v>
      </c>
      <c r="B474" s="3" t="s">
        <v>3356</v>
      </c>
      <c r="C474" s="3" t="str">
        <f>IFERROR(VLOOKUP(B474,ST!C:D,2,0),"NÃOST")</f>
        <v>NÃOST</v>
      </c>
      <c r="D474" s="3"/>
      <c r="E474" s="3" t="str">
        <f>IF(COUNTIF(ISENÇÕES!A:A,CST!B474)&gt;0,"ISENÇÃO","SEM ISENÇÃO")</f>
        <v>SEM ISENÇÃO</v>
      </c>
      <c r="F474" s="18" t="str">
        <f>IF(COUNTIF(REDUÇÕES!A:A,CST!B474)&gt;0,"REDUÇÃO","NÃO REDUÇÃO")</f>
        <v>REDUÇÃO</v>
      </c>
      <c r="G474" s="27">
        <f t="shared" si="8"/>
        <v>20</v>
      </c>
    </row>
    <row r="475" spans="1:7" x14ac:dyDescent="0.25">
      <c r="A475" s="120" t="str">
        <f>RIGHT(CSTABLE[[#This Row],[NomeNCM]],8)</f>
        <v>07129010</v>
      </c>
      <c r="B475" s="3" t="s">
        <v>3322</v>
      </c>
      <c r="C475" s="3" t="str">
        <f>IFERROR(VLOOKUP(B475,ST!C:D,2,0),"NÃOST")</f>
        <v>NÃOST</v>
      </c>
      <c r="D475" s="3"/>
      <c r="E475" s="3" t="str">
        <f>IF(COUNTIF(ISENÇÕES!A:A,CST!B475)&gt;0,"ISENÇÃO","SEM ISENÇÃO")</f>
        <v>SEM ISENÇÃO</v>
      </c>
      <c r="F475" s="18" t="str">
        <f>IF(COUNTIF(REDUÇÕES!A:A,CST!B475)&gt;0,"REDUÇÃO","NÃO REDUÇÃO")</f>
        <v>NÃO REDUÇÃO</v>
      </c>
      <c r="G475" s="27">
        <f t="shared" si="8"/>
        <v>0</v>
      </c>
    </row>
    <row r="476" spans="1:7" x14ac:dyDescent="0.25">
      <c r="A476" s="120" t="str">
        <f>RIGHT(CSTABLE[[#This Row],[NomeNCM]],8)</f>
        <v>09062000</v>
      </c>
      <c r="B476" s="3" t="s">
        <v>3916</v>
      </c>
      <c r="C476" s="3" t="str">
        <f>IFERROR(VLOOKUP(B476,ST!C:D,2,0),"NÃOST")</f>
        <v>NÃOST</v>
      </c>
      <c r="D476" s="3"/>
      <c r="E476" s="3" t="str">
        <f>IF(COUNTIF(ISENÇÕES!A:A,CST!B476)&gt;0,"ISENÇÃO","SEM ISENÇÃO")</f>
        <v>SEM ISENÇÃO</v>
      </c>
      <c r="F476" s="18" t="str">
        <f>IF(COUNTIF(REDUÇÕES!A:A,CST!B476)&gt;0,"REDUÇÃO","NÃO REDUÇÃO")</f>
        <v>NÃO REDUÇÃO</v>
      </c>
      <c r="G476" s="27">
        <f t="shared" si="8"/>
        <v>0</v>
      </c>
    </row>
    <row r="477" spans="1:7" x14ac:dyDescent="0.25">
      <c r="A477" s="120" t="str">
        <f>RIGHT(CSTABLE[[#This Row],[NomeNCM]],8)</f>
        <v>17029000</v>
      </c>
      <c r="B477" s="3" t="s">
        <v>3917</v>
      </c>
      <c r="C477" s="3" t="str">
        <f>IFERROR(VLOOKUP(B477,ST!C:D,2,0),"NÃOST")</f>
        <v>NÃOST</v>
      </c>
      <c r="D477" s="3"/>
      <c r="E477" s="3" t="str">
        <f>IF(COUNTIF(ISENÇÕES!A:A,CST!B477)&gt;0,"ISENÇÃO","SEM ISENÇÃO")</f>
        <v>SEM ISENÇÃO</v>
      </c>
      <c r="F477" s="18" t="str">
        <f>IF(COUNTIF(REDUÇÕES!A:A,CST!B477)&gt;0,"REDUÇÃO","NÃO REDUÇÃO")</f>
        <v>NÃO REDUÇÃO</v>
      </c>
      <c r="G477" s="27">
        <f t="shared" si="8"/>
        <v>0</v>
      </c>
    </row>
    <row r="478" spans="1:7" x14ac:dyDescent="0.25">
      <c r="A478" s="120" t="str">
        <f>RIGHT(CSTABLE[[#This Row],[NomeNCM]],8)</f>
        <v>11029000</v>
      </c>
      <c r="B478" s="3" t="s">
        <v>3420</v>
      </c>
      <c r="C478" s="3" t="str">
        <f>IFERROR(VLOOKUP(B478,ST!C:D,2,0),"NÃOST")</f>
        <v>NÃOST</v>
      </c>
      <c r="D478" s="3"/>
      <c r="E478" s="3" t="str">
        <f>IF(COUNTIF(ISENÇÕES!A:A,CST!B478)&gt;0,"ISENÇÃO","SEM ISENÇÃO")</f>
        <v>SEM ISENÇÃO</v>
      </c>
      <c r="F478" s="18" t="str">
        <f>IF(COUNTIF(REDUÇÕES!A:A,CST!B478)&gt;0,"REDUÇÃO","NÃO REDUÇÃO")</f>
        <v>REDUÇÃO</v>
      </c>
      <c r="G478" s="27">
        <f t="shared" si="8"/>
        <v>20</v>
      </c>
    </row>
    <row r="479" spans="1:7" x14ac:dyDescent="0.25">
      <c r="A479" s="120" t="str">
        <f>RIGHT(CSTABLE[[#This Row],[NomeNCM]],8)</f>
        <v>11063000</v>
      </c>
      <c r="B479" s="3" t="s">
        <v>3918</v>
      </c>
      <c r="C479" s="3" t="str">
        <f>IFERROR(VLOOKUP(B479,ST!C:D,2,0),"NÃOST")</f>
        <v>NÃOST</v>
      </c>
      <c r="D479" s="3"/>
      <c r="E479" s="3" t="str">
        <f>IF(COUNTIF(ISENÇÕES!A:A,CST!B479)&gt;0,"ISENÇÃO","SEM ISENÇÃO")</f>
        <v>SEM ISENÇÃO</v>
      </c>
      <c r="F479" s="18" t="str">
        <f>IF(COUNTIF(REDUÇÕES!A:A,CST!B479)&gt;0,"REDUÇÃO","NÃO REDUÇÃO")</f>
        <v>NÃO REDUÇÃO</v>
      </c>
      <c r="G479" s="27">
        <f t="shared" si="8"/>
        <v>0</v>
      </c>
    </row>
    <row r="480" spans="1:7" x14ac:dyDescent="0.25">
      <c r="A480" s="120" t="str">
        <f>RIGHT(CSTABLE[[#This Row],[NomeNCM]],8)</f>
        <v>15155000</v>
      </c>
      <c r="B480" s="3" t="s">
        <v>3919</v>
      </c>
      <c r="C480" s="3" t="str">
        <f>IFERROR(VLOOKUP(B480,ST!C:D,2,0),"NÃOST")</f>
        <v>NÃOST</v>
      </c>
      <c r="D480" s="3"/>
      <c r="E480" s="3" t="str">
        <f>IF(COUNTIF(ISENÇÕES!A:A,CST!B480)&gt;0,"ISENÇÃO","SEM ISENÇÃO")</f>
        <v>SEM ISENÇÃO</v>
      </c>
      <c r="F480" s="18" t="str">
        <f>IF(COUNTIF(REDUÇÕES!A:A,CST!B480)&gt;0,"REDUÇÃO","NÃO REDUÇÃO")</f>
        <v>REDUÇÃO</v>
      </c>
      <c r="G480" s="27">
        <f t="shared" si="8"/>
        <v>20</v>
      </c>
    </row>
    <row r="481" spans="1:7" x14ac:dyDescent="0.25">
      <c r="A481" s="120" t="str">
        <f>RIGHT(CSTABLE[[#This Row],[NomeNCM]],8)</f>
        <v>21041021</v>
      </c>
      <c r="B481" s="3" t="s">
        <v>3920</v>
      </c>
      <c r="C481" s="3" t="str">
        <f>IFERROR(VLOOKUP(B481,ST!C:D,2,0),"NÃOST")</f>
        <v>NÃOST</v>
      </c>
      <c r="D481" s="3"/>
      <c r="E481" s="3" t="str">
        <f>IF(COUNTIF(ISENÇÕES!A:A,CST!B481)&gt;0,"ISENÇÃO","SEM ISENÇÃO")</f>
        <v>SEM ISENÇÃO</v>
      </c>
      <c r="F481" s="18" t="str">
        <f>IF(COUNTIF(REDUÇÕES!A:A,CST!B481)&gt;0,"REDUÇÃO","NÃO REDUÇÃO")</f>
        <v>NÃO REDUÇÃO</v>
      </c>
      <c r="G481" s="27">
        <f t="shared" si="8"/>
        <v>0</v>
      </c>
    </row>
    <row r="482" spans="1:7" x14ac:dyDescent="0.25">
      <c r="A482" s="120" t="str">
        <f>RIGHT(CSTABLE[[#This Row],[NomeNCM]],8)</f>
        <v>48053000</v>
      </c>
      <c r="B482" s="3" t="s">
        <v>3921</v>
      </c>
      <c r="C482" s="3" t="str">
        <f>IFERROR(VLOOKUP(B482,ST!C:D,2,0),"NÃOST")</f>
        <v>NÃOST</v>
      </c>
      <c r="D482" s="3"/>
      <c r="E482" s="3" t="str">
        <f>IF(COUNTIF(ISENÇÕES!A:A,CST!B482)&gt;0,"ISENÇÃO","SEM ISENÇÃO")</f>
        <v>SEM ISENÇÃO</v>
      </c>
      <c r="F482" s="18" t="str">
        <f>IF(COUNTIF(REDUÇÕES!A:A,CST!B482)&gt;0,"REDUÇÃO","NÃO REDUÇÃO")</f>
        <v>NÃO REDUÇÃO</v>
      </c>
      <c r="G482" s="27">
        <f t="shared" si="8"/>
        <v>0</v>
      </c>
    </row>
    <row r="483" spans="1:7" x14ac:dyDescent="0.25">
      <c r="A483" s="120" t="str">
        <f>RIGHT(CSTABLE[[#This Row],[NomeNCM]],8)</f>
        <v>96061000</v>
      </c>
      <c r="B483" s="3" t="s">
        <v>3922</v>
      </c>
      <c r="C483" s="3" t="str">
        <f>IFERROR(VLOOKUP(B483,ST!C:D,2,0),"NÃOST")</f>
        <v>NÃOST</v>
      </c>
      <c r="D483" s="3"/>
      <c r="E483" s="3" t="str">
        <f>IF(COUNTIF(ISENÇÕES!A:A,CST!B483)&gt;0,"ISENÇÃO","SEM ISENÇÃO")</f>
        <v>SEM ISENÇÃO</v>
      </c>
      <c r="F483" s="18" t="str">
        <f>IF(COUNTIF(REDUÇÕES!A:A,CST!B483)&gt;0,"REDUÇÃO","NÃO REDUÇÃO")</f>
        <v>NÃO REDUÇÃO</v>
      </c>
      <c r="G483" s="27">
        <f t="shared" si="8"/>
        <v>0</v>
      </c>
    </row>
    <row r="484" spans="1:7" x14ac:dyDescent="0.25">
      <c r="A484" s="120" t="str">
        <f>RIGHT(CSTABLE[[#This Row],[NomeNCM]],8)</f>
        <v>96092000</v>
      </c>
      <c r="B484" s="3" t="s">
        <v>3923</v>
      </c>
      <c r="C484" s="3" t="str">
        <f>IFERROR(VLOOKUP(B484,ST!C:D,2,0),"NÃOST")</f>
        <v>NÃOST</v>
      </c>
      <c r="D484" s="3"/>
      <c r="E484" s="3" t="str">
        <f>IF(COUNTIF(ISENÇÕES!A:A,CST!B484)&gt;0,"ISENÇÃO","SEM ISENÇÃO")</f>
        <v>SEM ISENÇÃO</v>
      </c>
      <c r="F484" s="18" t="str">
        <f>IF(COUNTIF(REDUÇÕES!A:A,CST!B484)&gt;0,"REDUÇÃO","NÃO REDUÇÃO")</f>
        <v>NÃO REDUÇÃO</v>
      </c>
      <c r="G484" s="27">
        <f t="shared" si="8"/>
        <v>0</v>
      </c>
    </row>
    <row r="485" spans="1:7" x14ac:dyDescent="0.25">
      <c r="A485" s="120" t="str">
        <f>RIGHT(CSTABLE[[#This Row],[NomeNCM]],8)</f>
        <v>96084000</v>
      </c>
      <c r="B485" s="3" t="s">
        <v>3924</v>
      </c>
      <c r="C485" s="3" t="str">
        <f>IFERROR(VLOOKUP(B485,ST!C:D,2,0),"NÃOST")</f>
        <v>NÃOST</v>
      </c>
      <c r="D485" s="3"/>
      <c r="E485" s="3" t="str">
        <f>IF(COUNTIF(ISENÇÕES!A:A,CST!B485)&gt;0,"ISENÇÃO","SEM ISENÇÃO")</f>
        <v>SEM ISENÇÃO</v>
      </c>
      <c r="F485" s="18" t="str">
        <f>IF(COUNTIF(REDUÇÕES!A:A,CST!B485)&gt;0,"REDUÇÃO","NÃO REDUÇÃO")</f>
        <v>NÃO REDUÇÃO</v>
      </c>
      <c r="G485" s="27">
        <f t="shared" si="8"/>
        <v>0</v>
      </c>
    </row>
    <row r="486" spans="1:7" x14ac:dyDescent="0.25">
      <c r="A486" s="120" t="str">
        <f>RIGHT(CSTABLE[[#This Row],[NomeNCM]],8)</f>
        <v>38249929</v>
      </c>
      <c r="B486" s="3" t="s">
        <v>3925</v>
      </c>
      <c r="C486" s="3" t="str">
        <f>IFERROR(VLOOKUP(B486,ST!C:D,2,0),"NÃOST")</f>
        <v>NÃOST</v>
      </c>
      <c r="D486" s="3"/>
      <c r="E486" s="3" t="str">
        <f>IF(COUNTIF(ISENÇÕES!A:A,CST!B486)&gt;0,"ISENÇÃO","SEM ISENÇÃO")</f>
        <v>SEM ISENÇÃO</v>
      </c>
      <c r="F486" s="18" t="str">
        <f>IF(COUNTIF(REDUÇÕES!A:A,CST!B486)&gt;0,"REDUÇÃO","NÃO REDUÇÃO")</f>
        <v>NÃO REDUÇÃO</v>
      </c>
      <c r="G486" s="27">
        <f t="shared" si="8"/>
        <v>0</v>
      </c>
    </row>
    <row r="487" spans="1:7" x14ac:dyDescent="0.25">
      <c r="A487" s="120" t="str">
        <f>RIGHT(CSTABLE[[#This Row],[NomeNCM]],8)</f>
        <v>35061090</v>
      </c>
      <c r="B487" s="3" t="s">
        <v>3403</v>
      </c>
      <c r="C487" s="3" t="str">
        <f>IFERROR(VLOOKUP(B487,ST!C:D,2,0),"NÃOST")</f>
        <v>NÃOST</v>
      </c>
      <c r="D487" s="3"/>
      <c r="E487" s="3" t="str">
        <f>IF(COUNTIF(ISENÇÕES!A:A,CST!B487)&gt;0,"ISENÇÃO","SEM ISENÇÃO")</f>
        <v>SEM ISENÇÃO</v>
      </c>
      <c r="F487" s="18" t="str">
        <f>IF(COUNTIF(REDUÇÕES!A:A,CST!B487)&gt;0,"REDUÇÃO","NÃO REDUÇÃO")</f>
        <v>NÃO REDUÇÃO</v>
      </c>
      <c r="G487" s="27">
        <f t="shared" si="8"/>
        <v>0</v>
      </c>
    </row>
    <row r="488" spans="1:7" x14ac:dyDescent="0.25">
      <c r="A488" s="120" t="str">
        <f>RIGHT(CSTABLE[[#This Row],[NomeNCM]],8)</f>
        <v>22029000</v>
      </c>
      <c r="B488" s="3" t="s">
        <v>224</v>
      </c>
      <c r="C488" s="3" t="str">
        <f>IFERROR(VLOOKUP(B488,ST!C:D,2,0),"NÃOST")</f>
        <v>ST</v>
      </c>
      <c r="D488" s="3"/>
      <c r="E488" s="3" t="str">
        <f>IF(COUNTIF(ISENÇÕES!A:A,CST!B488)&gt;0,"ISENÇÃO","SEM ISENÇÃO")</f>
        <v>SEM ISENÇÃO</v>
      </c>
      <c r="F488" s="18" t="str">
        <f>IF(COUNTIF(REDUÇÕES!A:A,CST!B488)&gt;0,"REDUÇÃO","NÃO REDUÇÃO")</f>
        <v>NÃO REDUÇÃO</v>
      </c>
      <c r="G488" s="27">
        <f t="shared" si="8"/>
        <v>60</v>
      </c>
    </row>
    <row r="489" spans="1:7" x14ac:dyDescent="0.25">
      <c r="A489" s="120" t="str">
        <f>RIGHT(CSTABLE[[#This Row],[NomeNCM]],8)</f>
        <v>04015029</v>
      </c>
      <c r="B489" s="3" t="s">
        <v>3926</v>
      </c>
      <c r="C489" s="3" t="str">
        <f>IFERROR(VLOOKUP(B489,ST!C:D,2,0),"NÃOST")</f>
        <v>NÃOST</v>
      </c>
      <c r="D489" s="3"/>
      <c r="E489" s="3" t="str">
        <f>IF(COUNTIF(ISENÇÕES!A:A,CST!B489)&gt;0,"ISENÇÃO","SEM ISENÇÃO")</f>
        <v>SEM ISENÇÃO</v>
      </c>
      <c r="F489" s="18" t="str">
        <f>IF(COUNTIF(REDUÇÕES!A:A,CST!B489)&gt;0,"REDUÇÃO","NÃO REDUÇÃO")</f>
        <v>NÃO REDUÇÃO</v>
      </c>
      <c r="G489" s="27">
        <f t="shared" si="8"/>
        <v>0</v>
      </c>
    </row>
    <row r="490" spans="1:7" x14ac:dyDescent="0.25">
      <c r="A490" s="120" t="str">
        <f>RIGHT(CSTABLE[[#This Row],[NomeNCM]],8)</f>
        <v>44029000</v>
      </c>
      <c r="B490" s="3" t="s">
        <v>3927</v>
      </c>
      <c r="C490" s="3" t="str">
        <f>IFERROR(VLOOKUP(B490,ST!C:D,2,0),"NÃOST")</f>
        <v>NÃOST</v>
      </c>
      <c r="D490" s="3"/>
      <c r="E490" s="3" t="str">
        <f>IF(COUNTIF(ISENÇÕES!A:A,CST!B490)&gt;0,"ISENÇÃO","SEM ISENÇÃO")</f>
        <v>SEM ISENÇÃO</v>
      </c>
      <c r="F490" s="18" t="str">
        <f>IF(COUNTIF(REDUÇÕES!A:A,CST!B490)&gt;0,"REDUÇÃO","NÃO REDUÇÃO")</f>
        <v>NÃO REDUÇÃO</v>
      </c>
      <c r="G490" s="27">
        <f t="shared" si="8"/>
        <v>0</v>
      </c>
    </row>
    <row r="491" spans="1:7" x14ac:dyDescent="0.25">
      <c r="A491" s="120" t="str">
        <f>RIGHT(CSTABLE[[#This Row],[NomeNCM]],8)</f>
        <v>61159500</v>
      </c>
      <c r="B491" s="3" t="s">
        <v>3928</v>
      </c>
      <c r="C491" s="3" t="str">
        <f>IFERROR(VLOOKUP(B491,ST!C:D,2,0),"NÃOST")</f>
        <v>NÃOST</v>
      </c>
      <c r="D491" s="3"/>
      <c r="E491" s="3" t="str">
        <f>IF(COUNTIF(ISENÇÕES!A:A,CST!B491)&gt;0,"ISENÇÃO","SEM ISENÇÃO")</f>
        <v>SEM ISENÇÃO</v>
      </c>
      <c r="F491" s="18" t="str">
        <f>IF(COUNTIF(REDUÇÕES!A:A,CST!B491)&gt;0,"REDUÇÃO","NÃO REDUÇÃO")</f>
        <v>NÃO REDUÇÃO</v>
      </c>
      <c r="G491" s="27">
        <f t="shared" si="8"/>
        <v>0</v>
      </c>
    </row>
    <row r="492" spans="1:7" x14ac:dyDescent="0.25">
      <c r="A492" s="120" t="str">
        <f>RIGHT(CSTABLE[[#This Row],[NomeNCM]],8)</f>
        <v>07142000</v>
      </c>
      <c r="B492" s="3" t="s">
        <v>185</v>
      </c>
      <c r="C492" s="3" t="str">
        <f>IFERROR(VLOOKUP(B492,ST!C:D,2,0),"NÃOST")</f>
        <v>NÃOST</v>
      </c>
      <c r="D492" s="3"/>
      <c r="E492" s="3" t="str">
        <f>IF(COUNTIF(ISENÇÕES!A:A,CST!B492)&gt;0,"ISENÇÃO","SEM ISENÇÃO")</f>
        <v>ISENÇÃO</v>
      </c>
      <c r="F492" s="18" t="str">
        <f>IF(COUNTIF(REDUÇÕES!A:A,CST!B492)&gt;0,"REDUÇÃO","NÃO REDUÇÃO")</f>
        <v>NÃO REDUÇÃO</v>
      </c>
      <c r="G492" s="27">
        <f t="shared" si="8"/>
        <v>40</v>
      </c>
    </row>
    <row r="493" spans="1:7" x14ac:dyDescent="0.25">
      <c r="A493" s="120" t="str">
        <f>RIGHT(CSTABLE[[#This Row],[NomeNCM]],8)</f>
        <v>15011000</v>
      </c>
      <c r="B493" s="3" t="s">
        <v>3929</v>
      </c>
      <c r="C493" s="3" t="str">
        <f>IFERROR(VLOOKUP(B493,ST!C:D,2,0),"NÃOST")</f>
        <v>NÃOST</v>
      </c>
      <c r="D493" s="3"/>
      <c r="E493" s="3" t="str">
        <f>IF(COUNTIF(ISENÇÕES!A:A,CST!B493)&gt;0,"ISENÇÃO","SEM ISENÇÃO")</f>
        <v>SEM ISENÇÃO</v>
      </c>
      <c r="F493" s="18" t="str">
        <f>IF(COUNTIF(REDUÇÕES!A:A,CST!B493)&gt;0,"REDUÇÃO","NÃO REDUÇÃO")</f>
        <v>NÃO REDUÇÃO</v>
      </c>
      <c r="G493" s="27">
        <f t="shared" si="8"/>
        <v>0</v>
      </c>
    </row>
    <row r="494" spans="1:7" x14ac:dyDescent="0.25">
      <c r="A494" s="120" t="str">
        <f>RIGHT(CSTABLE[[#This Row],[NomeNCM]],8)</f>
        <v>04012090</v>
      </c>
      <c r="B494" s="3" t="s">
        <v>189</v>
      </c>
      <c r="C494" s="3" t="str">
        <f>IFERROR(VLOOKUP(B494,ST!C:D,2,0),"NÃOST")</f>
        <v>NÃOST</v>
      </c>
      <c r="D494" s="3"/>
      <c r="E494" s="3" t="str">
        <f>IF(COUNTIF(ISENÇÕES!A:A,CST!B494)&gt;0,"ISENÇÃO","SEM ISENÇÃO")</f>
        <v>SEM ISENÇÃO</v>
      </c>
      <c r="F494" s="18" t="str">
        <f>IF(COUNTIF(REDUÇÕES!A:A,CST!B494)&gt;0,"REDUÇÃO","NÃO REDUÇÃO")</f>
        <v>NÃO REDUÇÃO</v>
      </c>
      <c r="G494" s="27">
        <f t="shared" si="8"/>
        <v>0</v>
      </c>
    </row>
    <row r="495" spans="1:7" x14ac:dyDescent="0.25">
      <c r="A495" s="120" t="str">
        <f>RIGHT(CSTABLE[[#This Row],[NomeNCM]],8)</f>
        <v>20093900</v>
      </c>
      <c r="B495" s="3" t="s">
        <v>3930</v>
      </c>
      <c r="C495" s="3" t="str">
        <f>IFERROR(VLOOKUP(B495,ST!C:D,2,0),"NÃOST")</f>
        <v>NÃOST</v>
      </c>
      <c r="D495" s="3"/>
      <c r="E495" s="3" t="str">
        <f>IF(COUNTIF(ISENÇÕES!A:A,CST!B495)&gt;0,"ISENÇÃO","SEM ISENÇÃO")</f>
        <v>SEM ISENÇÃO</v>
      </c>
      <c r="F495" s="18" t="str">
        <f>IF(COUNTIF(REDUÇÕES!A:A,CST!B495)&gt;0,"REDUÇÃO","NÃO REDUÇÃO")</f>
        <v>NÃO REDUÇÃO</v>
      </c>
      <c r="G495" s="27">
        <f t="shared" si="8"/>
        <v>0</v>
      </c>
    </row>
    <row r="496" spans="1:7" x14ac:dyDescent="0.25">
      <c r="A496" s="120" t="str">
        <f>RIGHT(CSTABLE[[#This Row],[NomeNCM]],8)</f>
        <v>38089299</v>
      </c>
      <c r="B496" s="3" t="s">
        <v>3931</v>
      </c>
      <c r="C496" s="3" t="str">
        <f>IFERROR(VLOOKUP(B496,ST!C:D,2,0),"NÃOST")</f>
        <v>NÃOST</v>
      </c>
      <c r="D496" s="3"/>
      <c r="E496" s="3" t="str">
        <f>IF(COUNTIF(ISENÇÕES!A:A,CST!B496)&gt;0,"ISENÇÃO","SEM ISENÇÃO")</f>
        <v>SEM ISENÇÃO</v>
      </c>
      <c r="F496" s="18" t="str">
        <f>IF(COUNTIF(REDUÇÕES!A:A,CST!B496)&gt;0,"REDUÇÃO","NÃO REDUÇÃO")</f>
        <v>NÃO REDUÇÃO</v>
      </c>
      <c r="G496" s="27">
        <f t="shared" si="8"/>
        <v>0</v>
      </c>
    </row>
    <row r="497" spans="1:7" x14ac:dyDescent="0.25">
      <c r="A497" s="120" t="str">
        <f>RIGHT(CSTABLE[[#This Row],[NomeNCM]],8)</f>
        <v>38089192</v>
      </c>
      <c r="B497" s="3" t="s">
        <v>3932</v>
      </c>
      <c r="C497" s="3" t="str">
        <f>IFERROR(VLOOKUP(B497,ST!C:D,2,0),"NÃOST")</f>
        <v>NÃOST</v>
      </c>
      <c r="D497" s="3"/>
      <c r="E497" s="3" t="str">
        <f>IF(COUNTIF(ISENÇÕES!A:A,CST!B497)&gt;0,"ISENÇÃO","SEM ISENÇÃO")</f>
        <v>SEM ISENÇÃO</v>
      </c>
      <c r="F497" s="18" t="str">
        <f>IF(COUNTIF(REDUÇÕES!A:A,CST!B497)&gt;0,"REDUÇÃO","NÃO REDUÇÃO")</f>
        <v>NÃO REDUÇÃO</v>
      </c>
      <c r="G497" s="27">
        <f t="shared" si="8"/>
        <v>0</v>
      </c>
    </row>
    <row r="498" spans="1:7" x14ac:dyDescent="0.25">
      <c r="A498" s="120" t="str">
        <f>RIGHT(CSTABLE[[#This Row],[NomeNCM]],8)</f>
        <v>38089324</v>
      </c>
      <c r="B498" s="3" t="s">
        <v>3933</v>
      </c>
      <c r="C498" s="3" t="str">
        <f>IFERROR(VLOOKUP(B498,ST!C:D,2,0),"NÃOST")</f>
        <v>NÃOST</v>
      </c>
      <c r="D498" s="3"/>
      <c r="E498" s="3" t="str">
        <f>IF(COUNTIF(ISENÇÕES!A:A,CST!B498)&gt;0,"ISENÇÃO","SEM ISENÇÃO")</f>
        <v>SEM ISENÇÃO</v>
      </c>
      <c r="F498" s="18" t="str">
        <f>IF(COUNTIF(REDUÇÕES!A:A,CST!B498)&gt;0,"REDUÇÃO","NÃO REDUÇÃO")</f>
        <v>NÃO REDUÇÃO</v>
      </c>
      <c r="G498" s="27">
        <f t="shared" si="8"/>
        <v>0</v>
      </c>
    </row>
    <row r="499" spans="1:7" x14ac:dyDescent="0.25">
      <c r="A499" s="120" t="str">
        <f>RIGHT(CSTABLE[[#This Row],[NomeNCM]],8)</f>
        <v>38089196</v>
      </c>
      <c r="B499" s="3" t="s">
        <v>3934</v>
      </c>
      <c r="C499" s="3" t="str">
        <f>IFERROR(VLOOKUP(B499,ST!C:D,2,0),"NÃOST")</f>
        <v>NÃOST</v>
      </c>
      <c r="D499" s="3"/>
      <c r="E499" s="3" t="str">
        <f>IF(COUNTIF(ISENÇÕES!A:A,CST!B499)&gt;0,"ISENÇÃO","SEM ISENÇÃO")</f>
        <v>SEM ISENÇÃO</v>
      </c>
      <c r="F499" s="18" t="str">
        <f>IF(COUNTIF(REDUÇÕES!A:A,CST!B499)&gt;0,"REDUÇÃO","NÃO REDUÇÃO")</f>
        <v>NÃO REDUÇÃO</v>
      </c>
      <c r="G499" s="27">
        <f t="shared" si="8"/>
        <v>0</v>
      </c>
    </row>
    <row r="500" spans="1:7" x14ac:dyDescent="0.25">
      <c r="A500" s="120" t="str">
        <f>RIGHT(CSTABLE[[#This Row],[NomeNCM]],8)</f>
        <v>38089996</v>
      </c>
      <c r="B500" s="3" t="s">
        <v>2737</v>
      </c>
      <c r="C500" s="3" t="str">
        <f>IFERROR(VLOOKUP(B500,ST!C:D,2,0),"NÃOST")</f>
        <v>NÃOST</v>
      </c>
      <c r="D500" s="3"/>
      <c r="E500" s="3" t="str">
        <f>IF(COUNTIF(ISENÇÕES!A:A,CST!B500)&gt;0,"ISENÇÃO","SEM ISENÇÃO")</f>
        <v>SEM ISENÇÃO</v>
      </c>
      <c r="F500" s="18" t="str">
        <f>IF(COUNTIF(REDUÇÕES!A:A,CST!B500)&gt;0,"REDUÇÃO","NÃO REDUÇÃO")</f>
        <v>NÃO REDUÇÃO</v>
      </c>
      <c r="G500" s="27">
        <f t="shared" si="8"/>
        <v>0</v>
      </c>
    </row>
    <row r="501" spans="1:7" x14ac:dyDescent="0.25">
      <c r="A501" s="120" t="str">
        <f>RIGHT(CSTABLE[[#This Row],[NomeNCM]],8)</f>
        <v>84159010</v>
      </c>
      <c r="B501" s="3" t="s">
        <v>3935</v>
      </c>
      <c r="C501" s="3" t="str">
        <f>IFERROR(VLOOKUP(B501,ST!C:D,2,0),"NÃOST")</f>
        <v>NÃOST</v>
      </c>
      <c r="D501" s="3"/>
      <c r="E501" s="3" t="str">
        <f>IF(COUNTIF(ISENÇÕES!A:A,CST!B501)&gt;0,"ISENÇÃO","SEM ISENÇÃO")</f>
        <v>SEM ISENÇÃO</v>
      </c>
      <c r="F501" s="18" t="str">
        <f>IF(COUNTIF(REDUÇÕES!A:A,CST!B501)&gt;0,"REDUÇÃO","NÃO REDUÇÃO")</f>
        <v>NÃO REDUÇÃO</v>
      </c>
      <c r="G501" s="27">
        <f t="shared" si="8"/>
        <v>0</v>
      </c>
    </row>
    <row r="502" spans="1:7" x14ac:dyDescent="0.25">
      <c r="A502" s="120" t="str">
        <f>RIGHT(CSTABLE[[#This Row],[NomeNCM]],8)</f>
        <v>22085000</v>
      </c>
      <c r="B502" s="3" t="s">
        <v>3936</v>
      </c>
      <c r="C502" s="3" t="str">
        <f>IFERROR(VLOOKUP(B502,ST!C:D,2,0),"NÃOST")</f>
        <v>NÃOST</v>
      </c>
      <c r="D502" s="3"/>
      <c r="E502" s="3" t="str">
        <f>IF(COUNTIF(ISENÇÕES!A:A,CST!B502)&gt;0,"ISENÇÃO","SEM ISENÇÃO")</f>
        <v>SEM ISENÇÃO</v>
      </c>
      <c r="F502" s="18" t="str">
        <f>IF(COUNTIF(REDUÇÕES!A:A,CST!B502)&gt;0,"REDUÇÃO","NÃO REDUÇÃO")</f>
        <v>NÃO REDUÇÃO</v>
      </c>
      <c r="G502" s="27">
        <f t="shared" si="8"/>
        <v>0</v>
      </c>
    </row>
    <row r="503" spans="1:7" x14ac:dyDescent="0.25">
      <c r="A503" s="120" t="str">
        <f>RIGHT(CSTABLE[[#This Row],[NomeNCM]],8)</f>
        <v>94037000</v>
      </c>
      <c r="B503" s="3" t="s">
        <v>3937</v>
      </c>
      <c r="C503" s="3" t="str">
        <f>IFERROR(VLOOKUP(B503,ST!C:D,2,0),"NÃOST")</f>
        <v>NÃOST</v>
      </c>
      <c r="D503" s="3"/>
      <c r="E503" s="3" t="str">
        <f>IF(COUNTIF(ISENÇÕES!A:A,CST!B503)&gt;0,"ISENÇÃO","SEM ISENÇÃO")</f>
        <v>SEM ISENÇÃO</v>
      </c>
      <c r="F503" s="18" t="str">
        <f>IF(COUNTIF(REDUÇÕES!A:A,CST!B503)&gt;0,"REDUÇÃO","NÃO REDUÇÃO")</f>
        <v>NÃO REDUÇÃO</v>
      </c>
      <c r="G503" s="27">
        <f t="shared" si="8"/>
        <v>0</v>
      </c>
    </row>
    <row r="504" spans="1:7" x14ac:dyDescent="0.25">
      <c r="A504" s="120" t="str">
        <f>RIGHT(CSTABLE[[#This Row],[NomeNCM]],8)</f>
        <v>44211000</v>
      </c>
      <c r="B504" s="3" t="s">
        <v>3938</v>
      </c>
      <c r="C504" s="3" t="str">
        <f>IFERROR(VLOOKUP(B504,ST!C:D,2,0),"NÃOST")</f>
        <v>NÃOST</v>
      </c>
      <c r="D504" s="3"/>
      <c r="E504" s="3" t="str">
        <f>IF(COUNTIF(ISENÇÕES!A:A,CST!B504)&gt;0,"ISENÇÃO","SEM ISENÇÃO")</f>
        <v>SEM ISENÇÃO</v>
      </c>
      <c r="F504" s="18" t="str">
        <f>IF(COUNTIF(REDUÇÕES!A:A,CST!B504)&gt;0,"REDUÇÃO","NÃO REDUÇÃO")</f>
        <v>NÃO REDUÇÃO</v>
      </c>
      <c r="G504" s="27">
        <f t="shared" si="8"/>
        <v>0</v>
      </c>
    </row>
    <row r="505" spans="1:7" x14ac:dyDescent="0.25">
      <c r="A505" s="120" t="str">
        <f>RIGHT(CSTABLE[[#This Row],[NomeNCM]],8)</f>
        <v>28151100</v>
      </c>
      <c r="B505" s="3" t="s">
        <v>3939</v>
      </c>
      <c r="C505" s="3" t="str">
        <f>IFERROR(VLOOKUP(B505,ST!C:D,2,0),"NÃOST")</f>
        <v>NÃOST</v>
      </c>
      <c r="D505" s="3"/>
      <c r="E505" s="3" t="str">
        <f>IF(COUNTIF(ISENÇÕES!A:A,CST!B505)&gt;0,"ISENÇÃO","SEM ISENÇÃO")</f>
        <v>SEM ISENÇÃO</v>
      </c>
      <c r="F505" s="18" t="str">
        <f>IF(COUNTIF(REDUÇÕES!A:A,CST!B505)&gt;0,"REDUÇÃO","NÃO REDUÇÃO")</f>
        <v>NÃO REDUÇÃO</v>
      </c>
      <c r="G505" s="27">
        <f t="shared" si="8"/>
        <v>0</v>
      </c>
    </row>
    <row r="506" spans="1:7" x14ac:dyDescent="0.25">
      <c r="A506" s="120" t="str">
        <f>RIGHT(CSTABLE[[#This Row],[NomeNCM]],8)</f>
        <v>61130000</v>
      </c>
      <c r="B506" s="3" t="s">
        <v>3940</v>
      </c>
      <c r="C506" s="3" t="str">
        <f>IFERROR(VLOOKUP(B506,ST!C:D,2,0),"NÃOST")</f>
        <v>NÃOST</v>
      </c>
      <c r="D506" s="3"/>
      <c r="E506" s="3" t="str">
        <f>IF(COUNTIF(ISENÇÕES!A:A,CST!B506)&gt;0,"ISENÇÃO","SEM ISENÇÃO")</f>
        <v>SEM ISENÇÃO</v>
      </c>
      <c r="F506" s="18" t="str">
        <f>IF(COUNTIF(REDUÇÕES!A:A,CST!B506)&gt;0,"REDUÇÃO","NÃO REDUÇÃO")</f>
        <v>NÃO REDUÇÃO</v>
      </c>
      <c r="G506" s="27">
        <f t="shared" si="8"/>
        <v>0</v>
      </c>
    </row>
    <row r="507" spans="1:7" x14ac:dyDescent="0.25">
      <c r="A507" s="120" t="str">
        <f>RIGHT(CSTABLE[[#This Row],[NomeNCM]],8)</f>
        <v>57019000</v>
      </c>
      <c r="B507" s="3" t="s">
        <v>3941</v>
      </c>
      <c r="C507" s="3" t="str">
        <f>IFERROR(VLOOKUP(B507,ST!C:D,2,0),"NÃOST")</f>
        <v>NÃOST</v>
      </c>
      <c r="D507" s="3"/>
      <c r="E507" s="3" t="str">
        <f>IF(COUNTIF(ISENÇÕES!A:A,CST!B507)&gt;0,"ISENÇÃO","SEM ISENÇÃO")</f>
        <v>SEM ISENÇÃO</v>
      </c>
      <c r="F507" s="18" t="str">
        <f>IF(COUNTIF(REDUÇÕES!A:A,CST!B507)&gt;0,"REDUÇÃO","NÃO REDUÇÃO")</f>
        <v>NÃO REDUÇÃO</v>
      </c>
      <c r="G507" s="27">
        <f t="shared" si="8"/>
        <v>0</v>
      </c>
    </row>
    <row r="508" spans="1:7" x14ac:dyDescent="0.25">
      <c r="A508" s="120" t="str">
        <f>RIGHT(CSTABLE[[#This Row],[NomeNCM]],8)</f>
        <v>08134090</v>
      </c>
      <c r="B508" s="3" t="s">
        <v>3338</v>
      </c>
      <c r="C508" s="3" t="str">
        <f>IFERROR(VLOOKUP(B508,ST!C:D,2,0),"NÃOST")</f>
        <v>NÃOST</v>
      </c>
      <c r="D508" s="3"/>
      <c r="E508" s="3" t="str">
        <f>IF(COUNTIF(ISENÇÕES!A:A,CST!B508)&gt;0,"ISENÇÃO","SEM ISENÇÃO")</f>
        <v>ISENÇÃO</v>
      </c>
      <c r="F508" s="18" t="str">
        <f>IF(COUNTIF(REDUÇÕES!A:A,CST!B508)&gt;0,"REDUÇÃO","NÃO REDUÇÃO")</f>
        <v>NÃO REDUÇÃO</v>
      </c>
      <c r="G508" s="27">
        <f t="shared" si="8"/>
        <v>40</v>
      </c>
    </row>
    <row r="509" spans="1:7" x14ac:dyDescent="0.25">
      <c r="A509" s="120" t="str">
        <f>RIGHT(CSTABLE[[#This Row],[NomeNCM]],8)</f>
        <v>10063019</v>
      </c>
      <c r="B509" s="3" t="s">
        <v>3346</v>
      </c>
      <c r="C509" s="3" t="str">
        <f>IFERROR(VLOOKUP(B509,ST!C:D,2,0),"NÃOST")</f>
        <v>NÃOST</v>
      </c>
      <c r="D509" s="3"/>
      <c r="E509" s="3" t="str">
        <f>IF(COUNTIF(ISENÇÕES!A:A,CST!B509)&gt;0,"ISENÇÃO","SEM ISENÇÃO")</f>
        <v>SEM ISENÇÃO</v>
      </c>
      <c r="F509" s="18" t="str">
        <f>IF(COUNTIF(REDUÇÕES!A:A,CST!B509)&gt;0,"REDUÇÃO","NÃO REDUÇÃO")</f>
        <v>REDUÇÃO</v>
      </c>
      <c r="G509" s="27">
        <f t="shared" si="8"/>
        <v>20</v>
      </c>
    </row>
    <row r="510" spans="1:7" x14ac:dyDescent="0.25">
      <c r="A510" s="120" t="str">
        <f>RIGHT(CSTABLE[[#This Row],[NomeNCM]],8)</f>
        <v>82055900</v>
      </c>
      <c r="B510" s="3" t="s">
        <v>3942</v>
      </c>
      <c r="C510" s="3" t="str">
        <f>IFERROR(VLOOKUP(B510,ST!C:D,2,0),"NÃOST")</f>
        <v>NÃOST</v>
      </c>
      <c r="D510" s="3"/>
      <c r="E510" s="3" t="str">
        <f>IF(COUNTIF(ISENÇÕES!A:A,CST!B510)&gt;0,"ISENÇÃO","SEM ISENÇÃO")</f>
        <v>SEM ISENÇÃO</v>
      </c>
      <c r="F510" s="18" t="str">
        <f>IF(COUNTIF(REDUÇÕES!A:A,CST!B510)&gt;0,"REDUÇÃO","NÃO REDUÇÃO")</f>
        <v>NÃO REDUÇÃO</v>
      </c>
      <c r="G510" s="27">
        <f t="shared" si="8"/>
        <v>0</v>
      </c>
    </row>
    <row r="511" spans="1:7" x14ac:dyDescent="0.25">
      <c r="A511" s="120" t="str">
        <f>RIGHT(CSTABLE[[#This Row],[NomeNCM]],8)</f>
        <v>39172900</v>
      </c>
      <c r="B511" s="3" t="s">
        <v>3943</v>
      </c>
      <c r="C511" s="3" t="str">
        <f>IFERROR(VLOOKUP(B511,ST!C:D,2,0),"NÃOST")</f>
        <v>NÃOST</v>
      </c>
      <c r="D511" s="3"/>
      <c r="E511" s="3" t="str">
        <f>IF(COUNTIF(ISENÇÕES!A:A,CST!B511)&gt;0,"ISENÇÃO","SEM ISENÇÃO")</f>
        <v>SEM ISENÇÃO</v>
      </c>
      <c r="F511" s="18" t="str">
        <f>IF(COUNTIF(REDUÇÕES!A:A,CST!B511)&gt;0,"REDUÇÃO","NÃO REDUÇÃO")</f>
        <v>NÃO REDUÇÃO</v>
      </c>
      <c r="G511" s="27">
        <f t="shared" si="8"/>
        <v>0</v>
      </c>
    </row>
    <row r="512" spans="1:7" x14ac:dyDescent="0.25">
      <c r="A512" s="120" t="str">
        <f>RIGHT(CSTABLE[[#This Row],[NomeNCM]],8)</f>
        <v>96034090</v>
      </c>
      <c r="B512" s="3" t="s">
        <v>3944</v>
      </c>
      <c r="C512" s="3" t="str">
        <f>IFERROR(VLOOKUP(B512,ST!C:D,2,0),"NÃOST")</f>
        <v>NÃOST</v>
      </c>
      <c r="D512" s="3"/>
      <c r="E512" s="3" t="str">
        <f>IF(COUNTIF(ISENÇÕES!A:A,CST!B512)&gt;0,"ISENÇÃO","SEM ISENÇÃO")</f>
        <v>SEM ISENÇÃO</v>
      </c>
      <c r="F512" s="18" t="str">
        <f>IF(COUNTIF(REDUÇÕES!A:A,CST!B512)&gt;0,"REDUÇÃO","NÃO REDUÇÃO")</f>
        <v>NÃO REDUÇÃO</v>
      </c>
      <c r="G512" s="27">
        <f t="shared" si="8"/>
        <v>0</v>
      </c>
    </row>
    <row r="513" spans="1:7" x14ac:dyDescent="0.25">
      <c r="A513" s="120" t="str">
        <f>RIGHT(CSTABLE[[#This Row],[NomeNCM]],8)</f>
        <v>40169990</v>
      </c>
      <c r="B513" s="3" t="s">
        <v>3945</v>
      </c>
      <c r="C513" s="3" t="str">
        <f>IFERROR(VLOOKUP(B513,ST!C:D,2,0),"NÃOST")</f>
        <v>NÃOST</v>
      </c>
      <c r="D513" s="3"/>
      <c r="E513" s="3" t="str">
        <f>IF(COUNTIF(ISENÇÕES!A:A,CST!B513)&gt;0,"ISENÇÃO","SEM ISENÇÃO")</f>
        <v>SEM ISENÇÃO</v>
      </c>
      <c r="F513" s="18" t="str">
        <f>IF(COUNTIF(REDUÇÕES!A:A,CST!B513)&gt;0,"REDUÇÃO","NÃO REDUÇÃO")</f>
        <v>NÃO REDUÇÃO</v>
      </c>
      <c r="G513" s="27">
        <f t="shared" si="8"/>
        <v>0</v>
      </c>
    </row>
    <row r="514" spans="1:7" x14ac:dyDescent="0.25">
      <c r="A514" s="120" t="str">
        <f>RIGHT(CSTABLE[[#This Row],[NomeNCM]],8)</f>
        <v>40169300</v>
      </c>
      <c r="B514" s="3" t="s">
        <v>3946</v>
      </c>
      <c r="C514" s="3" t="str">
        <f>IFERROR(VLOOKUP(B514,ST!C:D,2,0),"NÃOST")</f>
        <v>NÃOST</v>
      </c>
      <c r="D514" s="3"/>
      <c r="E514" s="3" t="str">
        <f>IF(COUNTIF(ISENÇÕES!A:A,CST!B514)&gt;0,"ISENÇÃO","SEM ISENÇÃO")</f>
        <v>SEM ISENÇÃO</v>
      </c>
      <c r="F514" s="18" t="str">
        <f>IF(COUNTIF(REDUÇÕES!A:A,CST!B514)&gt;0,"REDUÇÃO","NÃO REDUÇÃO")</f>
        <v>NÃO REDUÇÃO</v>
      </c>
      <c r="G514" s="27">
        <f t="shared" si="8"/>
        <v>0</v>
      </c>
    </row>
    <row r="515" spans="1:7" x14ac:dyDescent="0.25">
      <c r="A515" s="120" t="str">
        <f>RIGHT(CSTABLE[[#This Row],[NomeNCM]],8)</f>
        <v>76090000</v>
      </c>
      <c r="B515" s="3" t="s">
        <v>3947</v>
      </c>
      <c r="C515" s="3" t="str">
        <f>IFERROR(VLOOKUP(B515,ST!C:D,2,0),"NÃOST")</f>
        <v>NÃOST</v>
      </c>
      <c r="D515" s="3"/>
      <c r="E515" s="3" t="str">
        <f>IF(COUNTIF(ISENÇÕES!A:A,CST!B515)&gt;0,"ISENÇÃO","SEM ISENÇÃO")</f>
        <v>SEM ISENÇÃO</v>
      </c>
      <c r="F515" s="18" t="str">
        <f>IF(COUNTIF(REDUÇÕES!A:A,CST!B515)&gt;0,"REDUÇÃO","NÃO REDUÇÃO")</f>
        <v>NÃO REDUÇÃO</v>
      </c>
      <c r="G515" s="27">
        <f t="shared" si="8"/>
        <v>0</v>
      </c>
    </row>
    <row r="516" spans="1:7" x14ac:dyDescent="0.25">
      <c r="A516" s="120" t="str">
        <f>RIGHT(CSTABLE[[#This Row],[NomeNCM]],8)</f>
        <v>23099010</v>
      </c>
      <c r="B516" s="3" t="s">
        <v>3948</v>
      </c>
      <c r="C516" s="3" t="str">
        <f>IFERROR(VLOOKUP(B516,ST!C:D,2,0),"NÃOST")</f>
        <v>NÃOST</v>
      </c>
      <c r="D516" s="3"/>
      <c r="E516" s="3" t="str">
        <f>IF(COUNTIF(ISENÇÕES!A:A,CST!B516)&gt;0,"ISENÇÃO","SEM ISENÇÃO")</f>
        <v>SEM ISENÇÃO</v>
      </c>
      <c r="F516" s="18" t="str">
        <f>IF(COUNTIF(REDUÇÕES!A:A,CST!B516)&gt;0,"REDUÇÃO","NÃO REDUÇÃO")</f>
        <v>NÃO REDUÇÃO</v>
      </c>
      <c r="G516" s="27">
        <f t="shared" si="8"/>
        <v>0</v>
      </c>
    </row>
    <row r="517" spans="1:7" x14ac:dyDescent="0.25">
      <c r="A517" s="120" t="str">
        <f>RIGHT(CSTABLE[[#This Row],[NomeNCM]],8)</f>
        <v>36050000</v>
      </c>
      <c r="B517" s="3" t="s">
        <v>174</v>
      </c>
      <c r="C517" s="3" t="str">
        <f>IFERROR(VLOOKUP(B517,ST!C:D,2,0),"NÃOST")</f>
        <v>NÃOST</v>
      </c>
      <c r="D517" s="3"/>
      <c r="E517" s="3" t="str">
        <f>IF(COUNTIF(ISENÇÕES!A:A,CST!B517)&gt;0,"ISENÇÃO","SEM ISENÇÃO")</f>
        <v>SEM ISENÇÃO</v>
      </c>
      <c r="F517" s="18" t="str">
        <f>IF(COUNTIF(REDUÇÕES!A:A,CST!B517)&gt;0,"REDUÇÃO","NÃO REDUÇÃO")</f>
        <v>REDUÇÃO</v>
      </c>
      <c r="G517" s="27">
        <f t="shared" si="8"/>
        <v>20</v>
      </c>
    </row>
    <row r="518" spans="1:7" x14ac:dyDescent="0.25">
      <c r="A518" s="120" t="str">
        <f>RIGHT(CSTABLE[[#This Row],[NomeNCM]],8)</f>
        <v>48114110</v>
      </c>
      <c r="B518" s="3" t="s">
        <v>3949</v>
      </c>
      <c r="C518" s="3" t="str">
        <f>IFERROR(VLOOKUP(B518,ST!C:D,2,0),"NÃOST")</f>
        <v>NÃOST</v>
      </c>
      <c r="D518" s="3"/>
      <c r="E518" s="3" t="str">
        <f>IF(COUNTIF(ISENÇÕES!A:A,CST!B518)&gt;0,"ISENÇÃO","SEM ISENÇÃO")</f>
        <v>SEM ISENÇÃO</v>
      </c>
      <c r="F518" s="18" t="str">
        <f>IF(COUNTIF(REDUÇÕES!A:A,CST!B518)&gt;0,"REDUÇÃO","NÃO REDUÇÃO")</f>
        <v>NÃO REDUÇÃO</v>
      </c>
      <c r="G518" s="27">
        <f t="shared" si="8"/>
        <v>0</v>
      </c>
    </row>
    <row r="519" spans="1:7" x14ac:dyDescent="0.25">
      <c r="A519" s="120" t="str">
        <f>RIGHT(CSTABLE[[#This Row],[NomeNCM]],8)</f>
        <v>82029100</v>
      </c>
      <c r="B519" s="3" t="s">
        <v>3950</v>
      </c>
      <c r="C519" s="3" t="str">
        <f>IFERROR(VLOOKUP(B519,ST!C:D,2,0),"NÃOST")</f>
        <v>NÃOST</v>
      </c>
      <c r="D519" s="3"/>
      <c r="E519" s="3" t="str">
        <f>IF(COUNTIF(ISENÇÕES!A:A,CST!B519)&gt;0,"ISENÇÃO","SEM ISENÇÃO")</f>
        <v>SEM ISENÇÃO</v>
      </c>
      <c r="F519" s="18" t="str">
        <f>IF(COUNTIF(REDUÇÕES!A:A,CST!B519)&gt;0,"REDUÇÃO","NÃO REDUÇÃO")</f>
        <v>NÃO REDUÇÃO</v>
      </c>
      <c r="G519" s="27">
        <f t="shared" si="8"/>
        <v>0</v>
      </c>
    </row>
    <row r="520" spans="1:7" x14ac:dyDescent="0.25">
      <c r="A520" s="120" t="str">
        <f>RIGHT(CSTABLE[[#This Row],[NomeNCM]],8)</f>
        <v>39172300</v>
      </c>
      <c r="B520" s="3" t="s">
        <v>3951</v>
      </c>
      <c r="C520" s="3" t="str">
        <f>IFERROR(VLOOKUP(B520,ST!C:D,2,0),"NÃOST")</f>
        <v>NÃOST</v>
      </c>
      <c r="D520" s="3"/>
      <c r="E520" s="3" t="str">
        <f>IF(COUNTIF(ISENÇÕES!A:A,CST!B520)&gt;0,"ISENÇÃO","SEM ISENÇÃO")</f>
        <v>SEM ISENÇÃO</v>
      </c>
      <c r="F520" s="18" t="str">
        <f>IF(COUNTIF(REDUÇÕES!A:A,CST!B520)&gt;0,"REDUÇÃO","NÃO REDUÇÃO")</f>
        <v>NÃO REDUÇÃO</v>
      </c>
      <c r="G520" s="27">
        <f t="shared" si="8"/>
        <v>0</v>
      </c>
    </row>
    <row r="521" spans="1:7" x14ac:dyDescent="0.25">
      <c r="A521" s="120" t="str">
        <f>RIGHT(CSTABLE[[#This Row],[NomeNCM]],8)</f>
        <v>44191900</v>
      </c>
      <c r="B521" s="3" t="s">
        <v>3952</v>
      </c>
      <c r="C521" s="3" t="str">
        <f>IFERROR(VLOOKUP(B521,ST!C:D,2,0),"NÃOST")</f>
        <v>NÃOST</v>
      </c>
      <c r="D521" s="3"/>
      <c r="E521" s="3" t="str">
        <f>IF(COUNTIF(ISENÇÕES!A:A,CST!B521)&gt;0,"ISENÇÃO","SEM ISENÇÃO")</f>
        <v>SEM ISENÇÃO</v>
      </c>
      <c r="F521" s="18" t="str">
        <f>IF(COUNTIF(REDUÇÕES!A:A,CST!B521)&gt;0,"REDUÇÃO","NÃO REDUÇÃO")</f>
        <v>NÃO REDUÇÃO</v>
      </c>
      <c r="G521" s="27">
        <f t="shared" si="8"/>
        <v>0</v>
      </c>
    </row>
    <row r="522" spans="1:7" x14ac:dyDescent="0.25">
      <c r="A522" s="120" t="str">
        <f>RIGHT(CSTABLE[[#This Row],[NomeNCM]],8)</f>
        <v>20082010</v>
      </c>
      <c r="B522" s="3" t="s">
        <v>3953</v>
      </c>
      <c r="C522" s="3" t="str">
        <f>IFERROR(VLOOKUP(B522,ST!C:D,2,0),"NÃOST")</f>
        <v>NÃOST</v>
      </c>
      <c r="D522" s="3"/>
      <c r="E522" s="3" t="str">
        <f>IF(COUNTIF(ISENÇÕES!A:A,CST!B522)&gt;0,"ISENÇÃO","SEM ISENÇÃO")</f>
        <v>SEM ISENÇÃO</v>
      </c>
      <c r="F522" s="18" t="str">
        <f>IF(COUNTIF(REDUÇÕES!A:A,CST!B522)&gt;0,"REDUÇÃO","NÃO REDUÇÃO")</f>
        <v>NÃO REDUÇÃO</v>
      </c>
      <c r="G522" s="27">
        <f t="shared" si="8"/>
        <v>0</v>
      </c>
    </row>
    <row r="523" spans="1:7" x14ac:dyDescent="0.25">
      <c r="A523" s="120" t="str">
        <f>RIGHT(CSTABLE[[#This Row],[NomeNCM]],8)</f>
        <v>17039000</v>
      </c>
      <c r="B523" s="3" t="s">
        <v>255</v>
      </c>
      <c r="C523" s="3" t="str">
        <f>IFERROR(VLOOKUP(B523,ST!C:D,2,0),"NÃOST")</f>
        <v>NÃOST</v>
      </c>
      <c r="D523" s="3"/>
      <c r="E523" s="3" t="str">
        <f>IF(COUNTIF(ISENÇÕES!A:A,CST!B523)&gt;0,"ISENÇÃO","SEM ISENÇÃO")</f>
        <v>SEM ISENÇÃO</v>
      </c>
      <c r="F523" s="18" t="str">
        <f>IF(COUNTIF(REDUÇÕES!A:A,CST!B523)&gt;0,"REDUÇÃO","NÃO REDUÇÃO")</f>
        <v>REDUÇÃO</v>
      </c>
      <c r="G523" s="27">
        <f t="shared" si="8"/>
        <v>20</v>
      </c>
    </row>
    <row r="524" spans="1:7" x14ac:dyDescent="0.25">
      <c r="A524" s="120" t="str">
        <f>RIGHT(CSTABLE[[#This Row],[NomeNCM]],8)</f>
        <v>73121090</v>
      </c>
      <c r="B524" s="3" t="s">
        <v>3954</v>
      </c>
      <c r="C524" s="3" t="str">
        <f>IFERROR(VLOOKUP(B524,ST!C:D,2,0),"NÃOST")</f>
        <v>NÃOST</v>
      </c>
      <c r="D524" s="3"/>
      <c r="E524" s="3" t="str">
        <f>IF(COUNTIF(ISENÇÕES!A:A,CST!B524)&gt;0,"ISENÇÃO","SEM ISENÇÃO")</f>
        <v>SEM ISENÇÃO</v>
      </c>
      <c r="F524" s="18" t="str">
        <f>IF(COUNTIF(REDUÇÕES!A:A,CST!B524)&gt;0,"REDUÇÃO","NÃO REDUÇÃO")</f>
        <v>NÃO REDUÇÃO</v>
      </c>
      <c r="G524" s="27">
        <f t="shared" si="8"/>
        <v>0</v>
      </c>
    </row>
    <row r="525" spans="1:7" x14ac:dyDescent="0.25">
      <c r="A525" s="120" t="str">
        <f>RIGHT(CSTABLE[[#This Row],[NomeNCM]],8)</f>
        <v>09109900</v>
      </c>
      <c r="B525" s="3" t="s">
        <v>3955</v>
      </c>
      <c r="C525" s="3" t="str">
        <f>IFERROR(VLOOKUP(B525,ST!C:D,2,0),"NÃOST")</f>
        <v>NÃOST</v>
      </c>
      <c r="D525" s="3"/>
      <c r="E525" s="3" t="str">
        <f>IF(COUNTIF(ISENÇÕES!A:A,CST!B525)&gt;0,"ISENÇÃO","SEM ISENÇÃO")</f>
        <v>SEM ISENÇÃO</v>
      </c>
      <c r="F525" s="18" t="str">
        <f>IF(COUNTIF(REDUÇÕES!A:A,CST!B525)&gt;0,"REDUÇÃO","NÃO REDUÇÃO")</f>
        <v>NÃO REDUÇÃO</v>
      </c>
      <c r="G525" s="27">
        <f t="shared" si="8"/>
        <v>0</v>
      </c>
    </row>
    <row r="526" spans="1:7" x14ac:dyDescent="0.25">
      <c r="A526" s="120" t="str">
        <f>RIGHT(CSTABLE[[#This Row],[NomeNCM]],8)</f>
        <v>68052000</v>
      </c>
      <c r="B526" s="3" t="s">
        <v>3956</v>
      </c>
      <c r="C526" s="3" t="str">
        <f>IFERROR(VLOOKUP(B526,ST!C:D,2,0),"NÃOST")</f>
        <v>NÃOST</v>
      </c>
      <c r="D526" s="3"/>
      <c r="E526" s="3" t="str">
        <f>IF(COUNTIF(ISENÇÕES!A:A,CST!B526)&gt;0,"ISENÇÃO","SEM ISENÇÃO")</f>
        <v>SEM ISENÇÃO</v>
      </c>
      <c r="F526" s="18" t="str">
        <f>IF(COUNTIF(REDUÇÕES!A:A,CST!B526)&gt;0,"REDUÇÃO","NÃO REDUÇÃO")</f>
        <v>NÃO REDUÇÃO</v>
      </c>
      <c r="G526" s="27">
        <f t="shared" si="8"/>
        <v>0</v>
      </c>
    </row>
    <row r="527" spans="1:7" x14ac:dyDescent="0.25">
      <c r="A527" s="120" t="str">
        <f>RIGHT(CSTABLE[[#This Row],[NomeNCM]],8)</f>
        <v>18061000</v>
      </c>
      <c r="B527" s="3" t="s">
        <v>3957</v>
      </c>
      <c r="C527" s="3" t="str">
        <f>IFERROR(VLOOKUP(B527,ST!C:D,2,0),"NÃOST")</f>
        <v>NÃOST</v>
      </c>
      <c r="D527" s="3"/>
      <c r="E527" s="3" t="str">
        <f>IF(COUNTIF(ISENÇÕES!A:A,CST!B527)&gt;0,"ISENÇÃO","SEM ISENÇÃO")</f>
        <v>SEM ISENÇÃO</v>
      </c>
      <c r="F527" s="18" t="str">
        <f>IF(COUNTIF(REDUÇÕES!A:A,CST!B527)&gt;0,"REDUÇÃO","NÃO REDUÇÃO")</f>
        <v>NÃO REDUÇÃO</v>
      </c>
      <c r="G527" s="27">
        <f t="shared" si="8"/>
        <v>0</v>
      </c>
    </row>
    <row r="528" spans="1:7" x14ac:dyDescent="0.25">
      <c r="A528" s="120" t="str">
        <f>RIGHT(CSTABLE[[#This Row],[NomeNCM]],8)</f>
        <v>52042000</v>
      </c>
      <c r="B528" s="3" t="s">
        <v>3958</v>
      </c>
      <c r="C528" s="3" t="str">
        <f>IFERROR(VLOOKUP(B528,ST!C:D,2,0),"NÃOST")</f>
        <v>NÃOST</v>
      </c>
      <c r="D528" s="3"/>
      <c r="E528" s="3" t="str">
        <f>IF(COUNTIF(ISENÇÕES!A:A,CST!B528)&gt;0,"ISENÇÃO","SEM ISENÇÃO")</f>
        <v>SEM ISENÇÃO</v>
      </c>
      <c r="F528" s="18" t="str">
        <f>IF(COUNTIF(REDUÇÕES!A:A,CST!B528)&gt;0,"REDUÇÃO","NÃO REDUÇÃO")</f>
        <v>NÃO REDUÇÃO</v>
      </c>
      <c r="G528" s="27">
        <f t="shared" si="8"/>
        <v>0</v>
      </c>
    </row>
    <row r="529" spans="1:7" x14ac:dyDescent="0.25">
      <c r="A529" s="120" t="str">
        <f>RIGHT(CSTABLE[[#This Row],[NomeNCM]],8)</f>
        <v>35061010</v>
      </c>
      <c r="B529" s="3" t="s">
        <v>3959</v>
      </c>
      <c r="C529" s="3" t="str">
        <f>IFERROR(VLOOKUP(B529,ST!C:D,2,0),"NÃOST")</f>
        <v>NÃOST</v>
      </c>
      <c r="D529" s="3"/>
      <c r="E529" s="3" t="str">
        <f>IF(COUNTIF(ISENÇÕES!A:A,CST!B529)&gt;0,"ISENÇÃO","SEM ISENÇÃO")</f>
        <v>SEM ISENÇÃO</v>
      </c>
      <c r="F529" s="18" t="str">
        <f>IF(COUNTIF(REDUÇÕES!A:A,CST!B529)&gt;0,"REDUÇÃO","NÃO REDUÇÃO")</f>
        <v>NÃO REDUÇÃO</v>
      </c>
      <c r="G529" s="27">
        <f t="shared" ref="G529:G592" si="9">VLOOKUP(C529&amp;F529&amp;E529,$B$3:$F$10,5,0)</f>
        <v>0</v>
      </c>
    </row>
    <row r="530" spans="1:7" x14ac:dyDescent="0.25">
      <c r="A530" s="120" t="str">
        <f>RIGHT(CSTABLE[[#This Row],[NomeNCM]],8)</f>
        <v>63021000</v>
      </c>
      <c r="B530" s="3" t="s">
        <v>3960</v>
      </c>
      <c r="C530" s="3" t="str">
        <f>IFERROR(VLOOKUP(B530,ST!C:D,2,0),"NÃOST")</f>
        <v>NÃOST</v>
      </c>
      <c r="D530" s="3"/>
      <c r="E530" s="3" t="str">
        <f>IF(COUNTIF(ISENÇÕES!A:A,CST!B530)&gt;0,"ISENÇÃO","SEM ISENÇÃO")</f>
        <v>SEM ISENÇÃO</v>
      </c>
      <c r="F530" s="18" t="str">
        <f>IF(COUNTIF(REDUÇÕES!A:A,CST!B530)&gt;0,"REDUÇÃO","NÃO REDUÇÃO")</f>
        <v>NÃO REDUÇÃO</v>
      </c>
      <c r="G530" s="27">
        <f t="shared" si="9"/>
        <v>0</v>
      </c>
    </row>
    <row r="531" spans="1:7" x14ac:dyDescent="0.25">
      <c r="A531" s="120" t="str">
        <f>RIGHT(CSTABLE[[#This Row],[NomeNCM]],8)</f>
        <v>63029300</v>
      </c>
      <c r="B531" s="3" t="s">
        <v>3961</v>
      </c>
      <c r="C531" s="3" t="str">
        <f>IFERROR(VLOOKUP(B531,ST!C:D,2,0),"NÃOST")</f>
        <v>NÃOST</v>
      </c>
      <c r="D531" s="3"/>
      <c r="E531" s="3" t="str">
        <f>IF(COUNTIF(ISENÇÕES!A:A,CST!B531)&gt;0,"ISENÇÃO","SEM ISENÇÃO")</f>
        <v>SEM ISENÇÃO</v>
      </c>
      <c r="F531" s="18" t="str">
        <f>IF(COUNTIF(REDUÇÕES!A:A,CST!B531)&gt;0,"REDUÇÃO","NÃO REDUÇÃO")</f>
        <v>NÃO REDUÇÃO</v>
      </c>
      <c r="G531" s="27">
        <f t="shared" si="9"/>
        <v>0</v>
      </c>
    </row>
    <row r="532" spans="1:7" x14ac:dyDescent="0.25">
      <c r="A532" s="120" t="str">
        <f>RIGHT(CSTABLE[[#This Row],[NomeNCM]],8)</f>
        <v>39232990</v>
      </c>
      <c r="B532" s="3" t="s">
        <v>3962</v>
      </c>
      <c r="C532" s="3" t="str">
        <f>IFERROR(VLOOKUP(B532,ST!C:D,2,0),"NÃOST")</f>
        <v>NÃOST</v>
      </c>
      <c r="D532" s="3"/>
      <c r="E532" s="3" t="str">
        <f>IF(COUNTIF(ISENÇÕES!A:A,CST!B532)&gt;0,"ISENÇÃO","SEM ISENÇÃO")</f>
        <v>SEM ISENÇÃO</v>
      </c>
      <c r="F532" s="18" t="str">
        <f>IF(COUNTIF(REDUÇÕES!A:A,CST!B532)&gt;0,"REDUÇÃO","NÃO REDUÇÃO")</f>
        <v>NÃO REDUÇÃO</v>
      </c>
      <c r="G532" s="27">
        <f t="shared" si="9"/>
        <v>0</v>
      </c>
    </row>
    <row r="533" spans="1:7" x14ac:dyDescent="0.25">
      <c r="A533" s="120" t="str">
        <f>RIGHT(CSTABLE[[#This Row],[NomeNCM]],8)</f>
        <v>20089790</v>
      </c>
      <c r="B533" s="3" t="s">
        <v>3963</v>
      </c>
      <c r="C533" s="3" t="str">
        <f>IFERROR(VLOOKUP(B533,ST!C:D,2,0),"NÃOST")</f>
        <v>NÃOST</v>
      </c>
      <c r="D533" s="3"/>
      <c r="E533" s="3" t="str">
        <f>IF(COUNTIF(ISENÇÕES!A:A,CST!B533)&gt;0,"ISENÇÃO","SEM ISENÇÃO")</f>
        <v>SEM ISENÇÃO</v>
      </c>
      <c r="F533" s="18" t="str">
        <f>IF(COUNTIF(REDUÇÕES!A:A,CST!B533)&gt;0,"REDUÇÃO","NÃO REDUÇÃO")</f>
        <v>NÃO REDUÇÃO</v>
      </c>
      <c r="G533" s="27">
        <f t="shared" si="9"/>
        <v>0</v>
      </c>
    </row>
    <row r="534" spans="1:7" x14ac:dyDescent="0.25">
      <c r="A534" s="120" t="str">
        <f>RIGHT(CSTABLE[[#This Row],[NomeNCM]],8)</f>
        <v>39202019</v>
      </c>
      <c r="B534" s="3" t="s">
        <v>3964</v>
      </c>
      <c r="C534" s="3" t="str">
        <f>IFERROR(VLOOKUP(B534,ST!C:D,2,0),"NÃOST")</f>
        <v>NÃOST</v>
      </c>
      <c r="D534" s="3"/>
      <c r="E534" s="3" t="str">
        <f>IF(COUNTIF(ISENÇÕES!A:A,CST!B534)&gt;0,"ISENÇÃO","SEM ISENÇÃO")</f>
        <v>SEM ISENÇÃO</v>
      </c>
      <c r="F534" s="18" t="str">
        <f>IF(COUNTIF(REDUÇÕES!A:A,CST!B534)&gt;0,"REDUÇÃO","NÃO REDUÇÃO")</f>
        <v>NÃO REDUÇÃO</v>
      </c>
      <c r="G534" s="27">
        <f t="shared" si="9"/>
        <v>0</v>
      </c>
    </row>
    <row r="535" spans="1:7" x14ac:dyDescent="0.25">
      <c r="A535" s="120" t="str">
        <f>RIGHT(CSTABLE[[#This Row],[NomeNCM]],8)</f>
        <v>40091100</v>
      </c>
      <c r="B535" s="3" t="s">
        <v>3965</v>
      </c>
      <c r="C535" s="3" t="str">
        <f>IFERROR(VLOOKUP(B535,ST!C:D,2,0),"NÃOST")</f>
        <v>NÃOST</v>
      </c>
      <c r="D535" s="3"/>
      <c r="E535" s="3" t="str">
        <f>IF(COUNTIF(ISENÇÕES!A:A,CST!B535)&gt;0,"ISENÇÃO","SEM ISENÇÃO")</f>
        <v>SEM ISENÇÃO</v>
      </c>
      <c r="F535" s="18" t="str">
        <f>IF(COUNTIF(REDUÇÕES!A:A,CST!B535)&gt;0,"REDUÇÃO","NÃO REDUÇÃO")</f>
        <v>NÃO REDUÇÃO</v>
      </c>
      <c r="G535" s="27">
        <f t="shared" si="9"/>
        <v>0</v>
      </c>
    </row>
    <row r="536" spans="1:7" x14ac:dyDescent="0.25">
      <c r="A536" s="120" t="str">
        <f>RIGHT(CSTABLE[[#This Row],[NomeNCM]],8)</f>
        <v>48219000</v>
      </c>
      <c r="B536" s="3" t="s">
        <v>3966</v>
      </c>
      <c r="C536" s="3" t="str">
        <f>IFERROR(VLOOKUP(B536,ST!C:D,2,0),"NÃOST")</f>
        <v>NÃOST</v>
      </c>
      <c r="D536" s="3"/>
      <c r="E536" s="3" t="str">
        <f>IF(COUNTIF(ISENÇÕES!A:A,CST!B536)&gt;0,"ISENÇÃO","SEM ISENÇÃO")</f>
        <v>SEM ISENÇÃO</v>
      </c>
      <c r="F536" s="18" t="str">
        <f>IF(COUNTIF(REDUÇÕES!A:A,CST!B536)&gt;0,"REDUÇÃO","NÃO REDUÇÃO")</f>
        <v>NÃO REDUÇÃO</v>
      </c>
      <c r="G536" s="27">
        <f t="shared" si="9"/>
        <v>0</v>
      </c>
    </row>
    <row r="537" spans="1:7" x14ac:dyDescent="0.25">
      <c r="A537" s="120" t="str">
        <f>RIGHT(CSTABLE[[#This Row],[NomeNCM]],8)</f>
        <v>15152910</v>
      </c>
      <c r="B537" s="3" t="s">
        <v>267</v>
      </c>
      <c r="C537" s="3" t="str">
        <f>IFERROR(VLOOKUP(B537,ST!C:D,2,0),"NÃOST")</f>
        <v>NÃOST</v>
      </c>
      <c r="D537" s="3"/>
      <c r="E537" s="3" t="str">
        <f>IF(COUNTIF(ISENÇÕES!A:A,CST!B537)&gt;0,"ISENÇÃO","SEM ISENÇÃO")</f>
        <v>SEM ISENÇÃO</v>
      </c>
      <c r="F537" s="18" t="str">
        <f>IF(COUNTIF(REDUÇÕES!A:A,CST!B537)&gt;0,"REDUÇÃO","NÃO REDUÇÃO")</f>
        <v>REDUÇÃO</v>
      </c>
      <c r="G537" s="27">
        <f t="shared" si="9"/>
        <v>20</v>
      </c>
    </row>
    <row r="538" spans="1:7" x14ac:dyDescent="0.25">
      <c r="A538" s="120" t="str">
        <f>RIGHT(CSTABLE[[#This Row],[NomeNCM]],8)</f>
        <v>73181900</v>
      </c>
      <c r="B538" s="3" t="s">
        <v>3967</v>
      </c>
      <c r="C538" s="3" t="str">
        <f>IFERROR(VLOOKUP(B538,ST!C:D,2,0),"NÃOST")</f>
        <v>NÃOST</v>
      </c>
      <c r="D538" s="3"/>
      <c r="E538" s="3" t="str">
        <f>IF(COUNTIF(ISENÇÕES!A:A,CST!B538)&gt;0,"ISENÇÃO","SEM ISENÇÃO")</f>
        <v>SEM ISENÇÃO</v>
      </c>
      <c r="F538" s="18" t="str">
        <f>IF(COUNTIF(REDUÇÕES!A:A,CST!B538)&gt;0,"REDUÇÃO","NÃO REDUÇÃO")</f>
        <v>NÃO REDUÇÃO</v>
      </c>
      <c r="G538" s="27">
        <f t="shared" si="9"/>
        <v>0</v>
      </c>
    </row>
    <row r="539" spans="1:7" x14ac:dyDescent="0.25">
      <c r="A539" s="120" t="str">
        <f>RIGHT(CSTABLE[[#This Row],[NomeNCM]],8)</f>
        <v>15141910</v>
      </c>
      <c r="B539" s="3" t="s">
        <v>291</v>
      </c>
      <c r="C539" s="3" t="str">
        <f>IFERROR(VLOOKUP(B539,ST!C:D,2,0),"NÃOST")</f>
        <v>NÃOST</v>
      </c>
      <c r="D539" s="3"/>
      <c r="E539" s="3" t="str">
        <f>IF(COUNTIF(ISENÇÕES!A:A,CST!B539)&gt;0,"ISENÇÃO","SEM ISENÇÃO")</f>
        <v>SEM ISENÇÃO</v>
      </c>
      <c r="F539" s="18" t="str">
        <f>IF(COUNTIF(REDUÇÕES!A:A,CST!B539)&gt;0,"REDUÇÃO","NÃO REDUÇÃO")</f>
        <v>REDUÇÃO</v>
      </c>
      <c r="G539" s="27">
        <f t="shared" si="9"/>
        <v>20</v>
      </c>
    </row>
    <row r="540" spans="1:7" x14ac:dyDescent="0.25">
      <c r="A540" s="120" t="str">
        <f>RIGHT(CSTABLE[[#This Row],[NomeNCM]],8)</f>
        <v>39232910</v>
      </c>
      <c r="B540" s="3" t="s">
        <v>3968</v>
      </c>
      <c r="C540" s="3" t="str">
        <f>IFERROR(VLOOKUP(B540,ST!C:D,2,0),"NÃOST")</f>
        <v>NÃOST</v>
      </c>
      <c r="D540" s="3"/>
      <c r="E540" s="3" t="str">
        <f>IF(COUNTIF(ISENÇÕES!A:A,CST!B540)&gt;0,"ISENÇÃO","SEM ISENÇÃO")</f>
        <v>SEM ISENÇÃO</v>
      </c>
      <c r="F540" s="18" t="str">
        <f>IF(COUNTIF(REDUÇÕES!A:A,CST!B540)&gt;0,"REDUÇÃO","NÃO REDUÇÃO")</f>
        <v>NÃO REDUÇÃO</v>
      </c>
      <c r="G540" s="27">
        <f t="shared" si="9"/>
        <v>0</v>
      </c>
    </row>
    <row r="541" spans="1:7" x14ac:dyDescent="0.25">
      <c r="A541" s="120" t="str">
        <f>RIGHT(CSTABLE[[#This Row],[NomeNCM]],8)</f>
        <v>33042010</v>
      </c>
      <c r="B541" s="3" t="s">
        <v>3381</v>
      </c>
      <c r="C541" s="3" t="str">
        <f>IFERROR(VLOOKUP(B541,ST!C:D,2,0),"NÃOST")</f>
        <v>NÃOST</v>
      </c>
      <c r="D541" s="3"/>
      <c r="E541" s="3" t="str">
        <f>IF(COUNTIF(ISENÇÕES!A:A,CST!B541)&gt;0,"ISENÇÃO","SEM ISENÇÃO")</f>
        <v>SEM ISENÇÃO</v>
      </c>
      <c r="F541" s="18" t="str">
        <f>IF(COUNTIF(REDUÇÕES!A:A,CST!B541)&gt;0,"REDUÇÃO","NÃO REDUÇÃO")</f>
        <v>NÃO REDUÇÃO</v>
      </c>
      <c r="G541" s="27">
        <f t="shared" si="9"/>
        <v>0</v>
      </c>
    </row>
    <row r="542" spans="1:7" x14ac:dyDescent="0.25">
      <c r="A542" s="120" t="str">
        <f>RIGHT(CSTABLE[[#This Row],[NomeNCM]],8)</f>
        <v>16042030</v>
      </c>
      <c r="B542" s="3" t="s">
        <v>3969</v>
      </c>
      <c r="C542" s="3" t="str">
        <f>IFERROR(VLOOKUP(B542,ST!C:D,2,0),"NÃOST")</f>
        <v>NÃOST</v>
      </c>
      <c r="D542" s="3"/>
      <c r="E542" s="3" t="str">
        <f>IF(COUNTIF(ISENÇÕES!A:A,CST!B542)&gt;0,"ISENÇÃO","SEM ISENÇÃO")</f>
        <v>SEM ISENÇÃO</v>
      </c>
      <c r="F542" s="18" t="str">
        <f>IF(COUNTIF(REDUÇÕES!A:A,CST!B542)&gt;0,"REDUÇÃO","NÃO REDUÇÃO")</f>
        <v>NÃO REDUÇÃO</v>
      </c>
      <c r="G542" s="27">
        <f t="shared" si="9"/>
        <v>0</v>
      </c>
    </row>
    <row r="543" spans="1:7" x14ac:dyDescent="0.25">
      <c r="A543" s="120" t="str">
        <f>RIGHT(CSTABLE[[#This Row],[NomeNCM]],8)</f>
        <v>85166000</v>
      </c>
      <c r="B543" s="3" t="s">
        <v>3970</v>
      </c>
      <c r="C543" s="3" t="str">
        <f>IFERROR(VLOOKUP(B543,ST!C:D,2,0),"NÃOST")</f>
        <v>NÃOST</v>
      </c>
      <c r="D543" s="3"/>
      <c r="E543" s="3" t="str">
        <f>IF(COUNTIF(ISENÇÕES!A:A,CST!B543)&gt;0,"ISENÇÃO","SEM ISENÇÃO")</f>
        <v>SEM ISENÇÃO</v>
      </c>
      <c r="F543" s="18" t="str">
        <f>IF(COUNTIF(REDUÇÕES!A:A,CST!B543)&gt;0,"REDUÇÃO","NÃO REDUÇÃO")</f>
        <v>NÃO REDUÇÃO</v>
      </c>
      <c r="G543" s="27">
        <f t="shared" si="9"/>
        <v>0</v>
      </c>
    </row>
    <row r="544" spans="1:7" x14ac:dyDescent="0.25">
      <c r="A544" s="120" t="str">
        <f>RIGHT(CSTABLE[[#This Row],[NomeNCM]],8)</f>
        <v>85167990</v>
      </c>
      <c r="B544" s="3" t="s">
        <v>3971</v>
      </c>
      <c r="C544" s="3" t="str">
        <f>IFERROR(VLOOKUP(B544,ST!C:D,2,0),"NÃOST")</f>
        <v>NÃOST</v>
      </c>
      <c r="D544" s="3"/>
      <c r="E544" s="3" t="str">
        <f>IF(COUNTIF(ISENÇÕES!A:A,CST!B544)&gt;0,"ISENÇÃO","SEM ISENÇÃO")</f>
        <v>SEM ISENÇÃO</v>
      </c>
      <c r="F544" s="18" t="str">
        <f>IF(COUNTIF(REDUÇÕES!A:A,CST!B544)&gt;0,"REDUÇÃO","NÃO REDUÇÃO")</f>
        <v>NÃO REDUÇÃO</v>
      </c>
      <c r="G544" s="27">
        <f t="shared" si="9"/>
        <v>0</v>
      </c>
    </row>
    <row r="545" spans="1:7" x14ac:dyDescent="0.25">
      <c r="A545" s="120" t="str">
        <f>RIGHT(CSTABLE[[#This Row],[NomeNCM]],8)</f>
        <v>64039190</v>
      </c>
      <c r="B545" s="3" t="s">
        <v>3972</v>
      </c>
      <c r="C545" s="3" t="str">
        <f>IFERROR(VLOOKUP(B545,ST!C:D,2,0),"NÃOST")</f>
        <v>NÃOST</v>
      </c>
      <c r="D545" s="3"/>
      <c r="E545" s="3" t="str">
        <f>IF(COUNTIF(ISENÇÕES!A:A,CST!B545)&gt;0,"ISENÇÃO","SEM ISENÇÃO")</f>
        <v>SEM ISENÇÃO</v>
      </c>
      <c r="F545" s="18" t="str">
        <f>IF(COUNTIF(REDUÇÕES!A:A,CST!B545)&gt;0,"REDUÇÃO","NÃO REDUÇÃO")</f>
        <v>NÃO REDUÇÃO</v>
      </c>
      <c r="G545" s="27">
        <f t="shared" si="9"/>
        <v>0</v>
      </c>
    </row>
    <row r="546" spans="1:7" x14ac:dyDescent="0.25">
      <c r="A546" s="120" t="str">
        <f>RIGHT(CSTABLE[[#This Row],[NomeNCM]],8)</f>
        <v>64059000</v>
      </c>
      <c r="B546" s="3" t="s">
        <v>3973</v>
      </c>
      <c r="C546" s="3" t="str">
        <f>IFERROR(VLOOKUP(B546,ST!C:D,2,0),"NÃOST")</f>
        <v>NÃOST</v>
      </c>
      <c r="D546" s="3"/>
      <c r="E546" s="3" t="str">
        <f>IF(COUNTIF(ISENÇÕES!A:A,CST!B546)&gt;0,"ISENÇÃO","SEM ISENÇÃO")</f>
        <v>SEM ISENÇÃO</v>
      </c>
      <c r="F546" s="18" t="str">
        <f>IF(COUNTIF(REDUÇÕES!A:A,CST!B546)&gt;0,"REDUÇÃO","NÃO REDUÇÃO")</f>
        <v>NÃO REDUÇÃO</v>
      </c>
      <c r="G546" s="27">
        <f t="shared" si="9"/>
        <v>0</v>
      </c>
    </row>
    <row r="547" spans="1:7" x14ac:dyDescent="0.25">
      <c r="A547" s="120" t="str">
        <f>RIGHT(CSTABLE[[#This Row],[NomeNCM]],8)</f>
        <v>22082000</v>
      </c>
      <c r="B547" s="3" t="s">
        <v>3974</v>
      </c>
      <c r="C547" s="3" t="str">
        <f>IFERROR(VLOOKUP(B547,ST!C:D,2,0),"NÃOST")</f>
        <v>NÃOST</v>
      </c>
      <c r="D547" s="3"/>
      <c r="E547" s="3" t="str">
        <f>IF(COUNTIF(ISENÇÕES!A:A,CST!B547)&gt;0,"ISENÇÃO","SEM ISENÇÃO")</f>
        <v>SEM ISENÇÃO</v>
      </c>
      <c r="F547" s="18" t="str">
        <f>IF(COUNTIF(REDUÇÕES!A:A,CST!B547)&gt;0,"REDUÇÃO","NÃO REDUÇÃO")</f>
        <v>NÃO REDUÇÃO</v>
      </c>
      <c r="G547" s="27">
        <f t="shared" si="9"/>
        <v>0</v>
      </c>
    </row>
    <row r="548" spans="1:7" x14ac:dyDescent="0.25">
      <c r="A548" s="120" t="str">
        <f>RIGHT(CSTABLE[[#This Row],[NomeNCM]],8)</f>
        <v>63014000</v>
      </c>
      <c r="B548" s="3" t="s">
        <v>3975</v>
      </c>
      <c r="C548" s="3" t="str">
        <f>IFERROR(VLOOKUP(B548,ST!C:D,2,0),"NÃOST")</f>
        <v>NÃOST</v>
      </c>
      <c r="D548" s="3"/>
      <c r="E548" s="3" t="str">
        <f>IF(COUNTIF(ISENÇÕES!A:A,CST!B548)&gt;0,"ISENÇÃO","SEM ISENÇÃO")</f>
        <v>SEM ISENÇÃO</v>
      </c>
      <c r="F548" s="18" t="str">
        <f>IF(COUNTIF(REDUÇÕES!A:A,CST!B548)&gt;0,"REDUÇÃO","NÃO REDUÇÃO")</f>
        <v>NÃO REDUÇÃO</v>
      </c>
      <c r="G548" s="27">
        <f t="shared" si="9"/>
        <v>0</v>
      </c>
    </row>
    <row r="549" spans="1:7" x14ac:dyDescent="0.25">
      <c r="A549" s="120" t="str">
        <f>RIGHT(CSTABLE[[#This Row],[NomeNCM]],8)</f>
        <v>76061290</v>
      </c>
      <c r="B549" s="3" t="s">
        <v>3976</v>
      </c>
      <c r="C549" s="3" t="str">
        <f>IFERROR(VLOOKUP(B549,ST!C:D,2,0),"NÃOST")</f>
        <v>NÃOST</v>
      </c>
      <c r="D549" s="3"/>
      <c r="E549" s="3" t="str">
        <f>IF(COUNTIF(ISENÇÕES!A:A,CST!B549)&gt;0,"ISENÇÃO","SEM ISENÇÃO")</f>
        <v>SEM ISENÇÃO</v>
      </c>
      <c r="F549" s="18" t="str">
        <f>IF(COUNTIF(REDUÇÕES!A:A,CST!B549)&gt;0,"REDUÇÃO","NÃO REDUÇÃO")</f>
        <v>NÃO REDUÇÃO</v>
      </c>
      <c r="G549" s="27">
        <f t="shared" si="9"/>
        <v>0</v>
      </c>
    </row>
    <row r="550" spans="1:7" x14ac:dyDescent="0.25">
      <c r="A550" s="120" t="str">
        <f>RIGHT(CSTABLE[[#This Row],[NomeNCM]],8)</f>
        <v>83021000</v>
      </c>
      <c r="B550" s="3" t="s">
        <v>3977</v>
      </c>
      <c r="C550" s="3" t="str">
        <f>IFERROR(VLOOKUP(B550,ST!C:D,2,0),"NÃOST")</f>
        <v>NÃOST</v>
      </c>
      <c r="D550" s="3"/>
      <c r="E550" s="3" t="str">
        <f>IF(COUNTIF(ISENÇÕES!A:A,CST!B550)&gt;0,"ISENÇÃO","SEM ISENÇÃO")</f>
        <v>SEM ISENÇÃO</v>
      </c>
      <c r="F550" s="18" t="str">
        <f>IF(COUNTIF(REDUÇÕES!A:A,CST!B550)&gt;0,"REDUÇÃO","NÃO REDUÇÃO")</f>
        <v>NÃO REDUÇÃO</v>
      </c>
      <c r="G550" s="27">
        <f t="shared" si="9"/>
        <v>0</v>
      </c>
    </row>
    <row r="551" spans="1:7" x14ac:dyDescent="0.25">
      <c r="A551" s="120" t="str">
        <f>RIGHT(CSTABLE[[#This Row],[NomeNCM]],8)</f>
        <v>15200010</v>
      </c>
      <c r="B551" s="3" t="s">
        <v>3978</v>
      </c>
      <c r="C551" s="3" t="str">
        <f>IFERROR(VLOOKUP(B551,ST!C:D,2,0),"NÃOST")</f>
        <v>NÃOST</v>
      </c>
      <c r="D551" s="3"/>
      <c r="E551" s="3" t="str">
        <f>IF(COUNTIF(ISENÇÕES!A:A,CST!B551)&gt;0,"ISENÇÃO","SEM ISENÇÃO")</f>
        <v>SEM ISENÇÃO</v>
      </c>
      <c r="F551" s="18" t="str">
        <f>IF(COUNTIF(REDUÇÕES!A:A,CST!B551)&gt;0,"REDUÇÃO","NÃO REDUÇÃO")</f>
        <v>NÃO REDUÇÃO</v>
      </c>
      <c r="G551" s="27">
        <f t="shared" si="9"/>
        <v>0</v>
      </c>
    </row>
    <row r="552" spans="1:7" x14ac:dyDescent="0.25">
      <c r="A552" s="120" t="str">
        <f>RIGHT(CSTABLE[[#This Row],[NomeNCM]],8)</f>
        <v>76072000</v>
      </c>
      <c r="B552" s="3" t="s">
        <v>3979</v>
      </c>
      <c r="C552" s="3" t="str">
        <f>IFERROR(VLOOKUP(B552,ST!C:D,2,0),"NÃOST")</f>
        <v>NÃOST</v>
      </c>
      <c r="D552" s="3"/>
      <c r="E552" s="3" t="str">
        <f>IF(COUNTIF(ISENÇÕES!A:A,CST!B552)&gt;0,"ISENÇÃO","SEM ISENÇÃO")</f>
        <v>SEM ISENÇÃO</v>
      </c>
      <c r="F552" s="18" t="str">
        <f>IF(COUNTIF(REDUÇÕES!A:A,CST!B552)&gt;0,"REDUÇÃO","NÃO REDUÇÃO")</f>
        <v>NÃO REDUÇÃO</v>
      </c>
      <c r="G552" s="27">
        <f t="shared" si="9"/>
        <v>0</v>
      </c>
    </row>
    <row r="553" spans="1:7" x14ac:dyDescent="0.25">
      <c r="A553" s="120" t="str">
        <f>RIGHT(CSTABLE[[#This Row],[NomeNCM]],8)</f>
        <v>39232110</v>
      </c>
      <c r="B553" s="3" t="s">
        <v>3980</v>
      </c>
      <c r="C553" s="3" t="str">
        <f>IFERROR(VLOOKUP(B553,ST!C:D,2,0),"NÃOST")</f>
        <v>NÃOST</v>
      </c>
      <c r="D553" s="3"/>
      <c r="E553" s="3" t="str">
        <f>IF(COUNTIF(ISENÇÕES!A:A,CST!B553)&gt;0,"ISENÇÃO","SEM ISENÇÃO")</f>
        <v>SEM ISENÇÃO</v>
      </c>
      <c r="F553" s="18" t="str">
        <f>IF(COUNTIF(REDUÇÕES!A:A,CST!B553)&gt;0,"REDUÇÃO","NÃO REDUÇÃO")</f>
        <v>NÃO REDUÇÃO</v>
      </c>
      <c r="G553" s="27">
        <f t="shared" si="9"/>
        <v>0</v>
      </c>
    </row>
    <row r="554" spans="1:7" x14ac:dyDescent="0.25">
      <c r="A554" s="120" t="str">
        <f>RIGHT(CSTABLE[[#This Row],[NomeNCM]],8)</f>
        <v>38241000</v>
      </c>
      <c r="B554" s="3" t="s">
        <v>3981</v>
      </c>
      <c r="C554" s="3" t="str">
        <f>IFERROR(VLOOKUP(B554,ST!C:D,2,0),"NÃOST")</f>
        <v>NÃOST</v>
      </c>
      <c r="D554" s="3"/>
      <c r="E554" s="3" t="str">
        <f>IF(COUNTIF(ISENÇÕES!A:A,CST!B554)&gt;0,"ISENÇÃO","SEM ISENÇÃO")</f>
        <v>SEM ISENÇÃO</v>
      </c>
      <c r="F554" s="18" t="str">
        <f>IF(COUNTIF(REDUÇÕES!A:A,CST!B554)&gt;0,"REDUÇÃO","NÃO REDUÇÃO")</f>
        <v>NÃO REDUÇÃO</v>
      </c>
      <c r="G554" s="27">
        <f t="shared" si="9"/>
        <v>0</v>
      </c>
    </row>
    <row r="555" spans="1:7" x14ac:dyDescent="0.25">
      <c r="A555" s="120" t="str">
        <f>RIGHT(CSTABLE[[#This Row],[NomeNCM]],8)</f>
        <v>20082090</v>
      </c>
      <c r="B555" s="3" t="s">
        <v>3982</v>
      </c>
      <c r="C555" s="3" t="str">
        <f>IFERROR(VLOOKUP(B555,ST!C:D,2,0),"NÃOST")</f>
        <v>NÃOST</v>
      </c>
      <c r="D555" s="3"/>
      <c r="E555" s="3" t="str">
        <f>IF(COUNTIF(ISENÇÕES!A:A,CST!B555)&gt;0,"ISENÇÃO","SEM ISENÇÃO")</f>
        <v>SEM ISENÇÃO</v>
      </c>
      <c r="F555" s="18" t="str">
        <f>IF(COUNTIF(REDUÇÕES!A:A,CST!B555)&gt;0,"REDUÇÃO","NÃO REDUÇÃO")</f>
        <v>NÃO REDUÇÃO</v>
      </c>
      <c r="G555" s="27">
        <f t="shared" si="9"/>
        <v>0</v>
      </c>
    </row>
    <row r="556" spans="1:7" x14ac:dyDescent="0.25">
      <c r="A556" s="120" t="str">
        <f>RIGHT(CSTABLE[[#This Row],[NomeNCM]],8)</f>
        <v>85235200</v>
      </c>
      <c r="B556" s="3" t="s">
        <v>115</v>
      </c>
      <c r="C556" s="3" t="str">
        <f>IFERROR(VLOOKUP(B556,ST!C:D,2,0),"NÃOST")</f>
        <v>ST</v>
      </c>
      <c r="D556" s="3"/>
      <c r="E556" s="3" t="str">
        <f>IF(COUNTIF(ISENÇÕES!A:A,CST!B556)&gt;0,"ISENÇÃO","SEM ISENÇÃO")</f>
        <v>SEM ISENÇÃO</v>
      </c>
      <c r="F556" s="18" t="str">
        <f>IF(COUNTIF(REDUÇÕES!A:A,CST!B556)&gt;0,"REDUÇÃO","NÃO REDUÇÃO")</f>
        <v>NÃO REDUÇÃO</v>
      </c>
      <c r="G556" s="27">
        <f t="shared" si="9"/>
        <v>60</v>
      </c>
    </row>
    <row r="557" spans="1:7" x14ac:dyDescent="0.25">
      <c r="A557" s="120" t="str">
        <f>RIGHT(CSTABLE[[#This Row],[NomeNCM]],8)</f>
        <v>95030080</v>
      </c>
      <c r="B557" s="3" t="s">
        <v>3983</v>
      </c>
      <c r="C557" s="3" t="str">
        <f>IFERROR(VLOOKUP(B557,ST!C:D,2,0),"NÃOST")</f>
        <v>NÃOST</v>
      </c>
      <c r="D557" s="3"/>
      <c r="E557" s="3" t="str">
        <f>IF(COUNTIF(ISENÇÕES!A:A,CST!B557)&gt;0,"ISENÇÃO","SEM ISENÇÃO")</f>
        <v>SEM ISENÇÃO</v>
      </c>
      <c r="F557" s="18" t="str">
        <f>IF(COUNTIF(REDUÇÕES!A:A,CST!B557)&gt;0,"REDUÇÃO","NÃO REDUÇÃO")</f>
        <v>NÃO REDUÇÃO</v>
      </c>
      <c r="G557" s="27">
        <f t="shared" si="9"/>
        <v>0</v>
      </c>
    </row>
    <row r="558" spans="1:7" x14ac:dyDescent="0.25">
      <c r="A558" s="120" t="str">
        <f>RIGHT(CSTABLE[[#This Row],[NomeNCM]],8)</f>
        <v>85163100</v>
      </c>
      <c r="B558" s="3" t="s">
        <v>3984</v>
      </c>
      <c r="C558" s="3" t="str">
        <f>IFERROR(VLOOKUP(B558,ST!C:D,2,0),"NÃOST")</f>
        <v>NÃOST</v>
      </c>
      <c r="D558" s="3"/>
      <c r="E558" s="3" t="str">
        <f>IF(COUNTIF(ISENÇÕES!A:A,CST!B558)&gt;0,"ISENÇÃO","SEM ISENÇÃO")</f>
        <v>SEM ISENÇÃO</v>
      </c>
      <c r="F558" s="18" t="str">
        <f>IF(COUNTIF(REDUÇÕES!A:A,CST!B558)&gt;0,"REDUÇÃO","NÃO REDUÇÃO")</f>
        <v>NÃO REDUÇÃO</v>
      </c>
      <c r="G558" s="27">
        <f t="shared" si="9"/>
        <v>0</v>
      </c>
    </row>
    <row r="559" spans="1:7" x14ac:dyDescent="0.25">
      <c r="A559" s="120" t="str">
        <f>RIGHT(CSTABLE[[#This Row],[NomeNCM]],8)</f>
        <v>09011190</v>
      </c>
      <c r="B559" s="3" t="s">
        <v>3340</v>
      </c>
      <c r="C559" s="3" t="str">
        <f>IFERROR(VLOOKUP(B559,ST!C:D,2,0),"NÃOST")</f>
        <v>NÃOST</v>
      </c>
      <c r="D559" s="3"/>
      <c r="E559" s="3" t="str">
        <f>IF(COUNTIF(ISENÇÕES!A:A,CST!B559)&gt;0,"ISENÇÃO","SEM ISENÇÃO")</f>
        <v>SEM ISENÇÃO</v>
      </c>
      <c r="F559" s="18" t="str">
        <f>IF(COUNTIF(REDUÇÕES!A:A,CST!B559)&gt;0,"REDUÇÃO","NÃO REDUÇÃO")</f>
        <v>NÃO REDUÇÃO</v>
      </c>
      <c r="G559" s="27">
        <f t="shared" si="9"/>
        <v>0</v>
      </c>
    </row>
    <row r="560" spans="1:7" x14ac:dyDescent="0.25">
      <c r="A560" s="120" t="str">
        <f>RIGHT(CSTABLE[[#This Row],[NomeNCM]],8)</f>
        <v>04072100</v>
      </c>
      <c r="B560" s="3" t="s">
        <v>176</v>
      </c>
      <c r="C560" s="3" t="str">
        <f>IFERROR(VLOOKUP(B560,ST!C:D,2,0),"NÃOST")</f>
        <v>NÃOST</v>
      </c>
      <c r="D560" s="3"/>
      <c r="E560" s="3" t="str">
        <f>IF(COUNTIF(ISENÇÕES!A:A,CST!B560)&gt;0,"ISENÇÃO","SEM ISENÇÃO")</f>
        <v>ISENÇÃO</v>
      </c>
      <c r="F560" s="18" t="str">
        <f>IF(COUNTIF(REDUÇÕES!A:A,CST!B560)&gt;0,"REDUÇÃO","NÃO REDUÇÃO")</f>
        <v>NÃO REDUÇÃO</v>
      </c>
      <c r="G560" s="27">
        <f t="shared" si="9"/>
        <v>40</v>
      </c>
    </row>
    <row r="561" spans="1:7" x14ac:dyDescent="0.25">
      <c r="A561" s="120" t="str">
        <f>RIGHT(CSTABLE[[#This Row],[NomeNCM]],8)</f>
        <v>20056000</v>
      </c>
      <c r="B561" s="3" t="s">
        <v>3985</v>
      </c>
      <c r="C561" s="3" t="str">
        <f>IFERROR(VLOOKUP(B561,ST!C:D,2,0),"NÃOST")</f>
        <v>NÃOST</v>
      </c>
      <c r="D561" s="3"/>
      <c r="E561" s="3" t="str">
        <f>IF(COUNTIF(ISENÇÕES!A:A,CST!B561)&gt;0,"ISENÇÃO","SEM ISENÇÃO")</f>
        <v>SEM ISENÇÃO</v>
      </c>
      <c r="F561" s="18" t="str">
        <f>IF(COUNTIF(REDUÇÕES!A:A,CST!B561)&gt;0,"REDUÇÃO","NÃO REDUÇÃO")</f>
        <v>NÃO REDUÇÃO</v>
      </c>
      <c r="G561" s="27">
        <f t="shared" si="9"/>
        <v>0</v>
      </c>
    </row>
    <row r="562" spans="1:7" x14ac:dyDescent="0.25">
      <c r="A562" s="120" t="str">
        <f>RIGHT(CSTABLE[[#This Row],[NomeNCM]],8)</f>
        <v>12099100</v>
      </c>
      <c r="B562" s="3" t="s">
        <v>550</v>
      </c>
      <c r="C562" s="3" t="str">
        <f>IFERROR(VLOOKUP(B562,ST!C:D,2,0),"NÃOST")</f>
        <v>NÃOST</v>
      </c>
      <c r="D562" s="3"/>
      <c r="E562" s="3" t="str">
        <f>IF(COUNTIF(ISENÇÕES!A:A,CST!B562)&gt;0,"ISENÇÃO","SEM ISENÇÃO")</f>
        <v>ISENÇÃO</v>
      </c>
      <c r="F562" s="18" t="str">
        <f>IF(COUNTIF(REDUÇÕES!A:A,CST!B562)&gt;0,"REDUÇÃO","NÃO REDUÇÃO")</f>
        <v>NÃO REDUÇÃO</v>
      </c>
      <c r="G562" s="27">
        <f t="shared" si="9"/>
        <v>40</v>
      </c>
    </row>
    <row r="563" spans="1:7" x14ac:dyDescent="0.25">
      <c r="A563" s="120" t="str">
        <f>RIGHT(CSTABLE[[#This Row],[NomeNCM]],8)</f>
        <v>04072900</v>
      </c>
      <c r="B563" s="3" t="s">
        <v>241</v>
      </c>
      <c r="C563" s="3" t="str">
        <f>IFERROR(VLOOKUP(B563,ST!C:D,2,0),"NÃOST")</f>
        <v>NÃOST</v>
      </c>
      <c r="D563" s="3"/>
      <c r="E563" s="3" t="str">
        <f>IF(COUNTIF(ISENÇÕES!A:A,CST!B563)&gt;0,"ISENÇÃO","SEM ISENÇÃO")</f>
        <v>ISENÇÃO</v>
      </c>
      <c r="F563" s="18" t="str">
        <f>IF(COUNTIF(REDUÇÕES!A:A,CST!B563)&gt;0,"REDUÇÃO","NÃO REDUÇÃO")</f>
        <v>NÃO REDUÇÃO</v>
      </c>
      <c r="G563" s="27">
        <f t="shared" si="9"/>
        <v>40</v>
      </c>
    </row>
    <row r="564" spans="1:7" x14ac:dyDescent="0.25">
      <c r="A564" s="120" t="str">
        <f>RIGHT(CSTABLE[[#This Row],[NomeNCM]],8)</f>
        <v>64029990</v>
      </c>
      <c r="B564" s="3" t="s">
        <v>3986</v>
      </c>
      <c r="C564" s="3" t="str">
        <f>IFERROR(VLOOKUP(B564,ST!C:D,2,0),"NÃOST")</f>
        <v>NÃOST</v>
      </c>
      <c r="D564" s="3"/>
      <c r="E564" s="3" t="str">
        <f>IF(COUNTIF(ISENÇÕES!A:A,CST!B564)&gt;0,"ISENÇÃO","SEM ISENÇÃO")</f>
        <v>SEM ISENÇÃO</v>
      </c>
      <c r="F564" s="18" t="str">
        <f>IF(COUNTIF(REDUÇÕES!A:A,CST!B564)&gt;0,"REDUÇÃO","NÃO REDUÇÃO")</f>
        <v>NÃO REDUÇÃO</v>
      </c>
      <c r="G564" s="27">
        <f t="shared" si="9"/>
        <v>0</v>
      </c>
    </row>
    <row r="565" spans="1:7" x14ac:dyDescent="0.25">
      <c r="A565" s="120" t="str">
        <f>RIGHT(CSTABLE[[#This Row],[NomeNCM]],8)</f>
        <v>44011200</v>
      </c>
      <c r="B565" s="3" t="s">
        <v>3987</v>
      </c>
      <c r="C565" s="3" t="str">
        <f>IFERROR(VLOOKUP(B565,ST!C:D,2,0),"NÃOST")</f>
        <v>NÃOST</v>
      </c>
      <c r="D565" s="3"/>
      <c r="E565" s="3" t="str">
        <f>IF(COUNTIF(ISENÇÕES!A:A,CST!B565)&gt;0,"ISENÇÃO","SEM ISENÇÃO")</f>
        <v>SEM ISENÇÃO</v>
      </c>
      <c r="F565" s="18" t="str">
        <f>IF(COUNTIF(REDUÇÕES!A:A,CST!B565)&gt;0,"REDUÇÃO","NÃO REDUÇÃO")</f>
        <v>NÃO REDUÇÃO</v>
      </c>
      <c r="G565" s="27">
        <f t="shared" si="9"/>
        <v>0</v>
      </c>
    </row>
    <row r="566" spans="1:7" x14ac:dyDescent="0.25">
      <c r="A566" s="120" t="str">
        <f>RIGHT(CSTABLE[[#This Row],[NomeNCM]],8)</f>
        <v>96138000</v>
      </c>
      <c r="B566" s="3" t="s">
        <v>3988</v>
      </c>
      <c r="C566" s="3" t="str">
        <f>IFERROR(VLOOKUP(B566,ST!C:D,2,0),"NÃOST")</f>
        <v>NÃOST</v>
      </c>
      <c r="D566" s="3"/>
      <c r="E566" s="3" t="str">
        <f>IF(COUNTIF(ISENÇÕES!A:A,CST!B566)&gt;0,"ISENÇÃO","SEM ISENÇÃO")</f>
        <v>SEM ISENÇÃO</v>
      </c>
      <c r="F566" s="18" t="str">
        <f>IF(COUNTIF(REDUÇÕES!A:A,CST!B566)&gt;0,"REDUÇÃO","NÃO REDUÇÃO")</f>
        <v>NÃO REDUÇÃO</v>
      </c>
      <c r="G566" s="27">
        <f t="shared" si="9"/>
        <v>0</v>
      </c>
    </row>
    <row r="567" spans="1:7" x14ac:dyDescent="0.25">
      <c r="A567" s="120" t="str">
        <f>RIGHT(CSTABLE[[#This Row],[NomeNCM]],8)</f>
        <v>07099919</v>
      </c>
      <c r="B567" s="3" t="s">
        <v>216</v>
      </c>
      <c r="C567" s="3" t="str">
        <f>IFERROR(VLOOKUP(B567,ST!C:D,2,0),"NÃOST")</f>
        <v>NÃOST</v>
      </c>
      <c r="D567" s="3"/>
      <c r="E567" s="3" t="str">
        <f>IF(COUNTIF(ISENÇÕES!A:A,CST!B567)&gt;0,"ISENÇÃO","SEM ISENÇÃO")</f>
        <v>ISENÇÃO</v>
      </c>
      <c r="F567" s="18" t="str">
        <f>IF(COUNTIF(REDUÇÕES!A:A,CST!B567)&gt;0,"REDUÇÃO","NÃO REDUÇÃO")</f>
        <v>NÃO REDUÇÃO</v>
      </c>
      <c r="G567" s="27">
        <f t="shared" si="9"/>
        <v>40</v>
      </c>
    </row>
    <row r="568" spans="1:7" x14ac:dyDescent="0.25">
      <c r="A568" s="120" t="str">
        <f>RIGHT(CSTABLE[[#This Row],[NomeNCM]],8)</f>
        <v>07096000</v>
      </c>
      <c r="B568" s="3" t="s">
        <v>2732</v>
      </c>
      <c r="C568" s="3" t="str">
        <f>IFERROR(VLOOKUP(B568,ST!C:D,2,0),"NÃOST")</f>
        <v>NÃOST</v>
      </c>
      <c r="D568" s="3"/>
      <c r="E568" s="3" t="str">
        <f>IF(COUNTIF(ISENÇÕES!A:A,CST!B568)&gt;0,"ISENÇÃO","SEM ISENÇÃO")</f>
        <v>ISENÇÃO</v>
      </c>
      <c r="F568" s="18" t="str">
        <f>IF(COUNTIF(REDUÇÕES!A:A,CST!B568)&gt;0,"REDUÇÃO","NÃO REDUÇÃO")</f>
        <v>NÃO REDUÇÃO</v>
      </c>
      <c r="G568" s="27">
        <f t="shared" si="9"/>
        <v>40</v>
      </c>
    </row>
    <row r="569" spans="1:7" x14ac:dyDescent="0.25">
      <c r="A569" s="120" t="str">
        <f>RIGHT(CSTABLE[[#This Row],[NomeNCM]],8)</f>
        <v>84145190</v>
      </c>
      <c r="B569" s="3" t="s">
        <v>3989</v>
      </c>
      <c r="C569" s="3" t="str">
        <f>IFERROR(VLOOKUP(B569,ST!C:D,2,0),"NÃOST")</f>
        <v>NÃOST</v>
      </c>
      <c r="D569" s="3"/>
      <c r="E569" s="3" t="str">
        <f>IF(COUNTIF(ISENÇÕES!A:A,CST!B569)&gt;0,"ISENÇÃO","SEM ISENÇÃO")</f>
        <v>SEM ISENÇÃO</v>
      </c>
      <c r="F569" s="18" t="str">
        <f>IF(COUNTIF(REDUÇÕES!A:A,CST!B569)&gt;0,"REDUÇÃO","NÃO REDUÇÃO")</f>
        <v>NÃO REDUÇÃO</v>
      </c>
      <c r="G569" s="27">
        <f t="shared" si="9"/>
        <v>0</v>
      </c>
    </row>
    <row r="570" spans="1:7" x14ac:dyDescent="0.25">
      <c r="A570" s="120" t="str">
        <f>RIGHT(CSTABLE[[#This Row],[NomeNCM]],8)</f>
        <v>40021110</v>
      </c>
      <c r="B570" s="3" t="s">
        <v>3990</v>
      </c>
      <c r="C570" s="3" t="str">
        <f>IFERROR(VLOOKUP(B570,ST!C:D,2,0),"NÃOST")</f>
        <v>NÃOST</v>
      </c>
      <c r="D570" s="3"/>
      <c r="E570" s="3" t="str">
        <f>IF(COUNTIF(ISENÇÕES!A:A,CST!B570)&gt;0,"ISENÇÃO","SEM ISENÇÃO")</f>
        <v>SEM ISENÇÃO</v>
      </c>
      <c r="F570" s="18" t="str">
        <f>IF(COUNTIF(REDUÇÕES!A:A,CST!B570)&gt;0,"REDUÇÃO","NÃO REDUÇÃO")</f>
        <v>NÃO REDUÇÃO</v>
      </c>
      <c r="G570" s="27">
        <f t="shared" si="9"/>
        <v>0</v>
      </c>
    </row>
    <row r="571" spans="1:7" x14ac:dyDescent="0.25">
      <c r="A571" s="120" t="str">
        <f>RIGHT(CSTABLE[[#This Row],[NomeNCM]],8)</f>
        <v>39100019</v>
      </c>
      <c r="B571" s="3" t="s">
        <v>3991</v>
      </c>
      <c r="C571" s="3" t="str">
        <f>IFERROR(VLOOKUP(B571,ST!C:D,2,0),"NÃOST")</f>
        <v>NÃOST</v>
      </c>
      <c r="D571" s="3"/>
      <c r="E571" s="3" t="str">
        <f>IF(COUNTIF(ISENÇÕES!A:A,CST!B571)&gt;0,"ISENÇÃO","SEM ISENÇÃO")</f>
        <v>SEM ISENÇÃO</v>
      </c>
      <c r="F571" s="18" t="str">
        <f>IF(COUNTIF(REDUÇÕES!A:A,CST!B571)&gt;0,"REDUÇÃO","NÃO REDUÇÃO")</f>
        <v>NÃO REDUÇÃO</v>
      </c>
      <c r="G571" s="27">
        <f t="shared" si="9"/>
        <v>0</v>
      </c>
    </row>
    <row r="572" spans="1:7" x14ac:dyDescent="0.25">
      <c r="A572" s="120" t="str">
        <f>RIGHT(CSTABLE[[#This Row],[NomeNCM]],8)</f>
        <v>23099090</v>
      </c>
      <c r="B572" s="3" t="s">
        <v>3992</v>
      </c>
      <c r="C572" s="3" t="str">
        <f>IFERROR(VLOOKUP(B572,ST!C:D,2,0),"NÃOST")</f>
        <v>NÃOST</v>
      </c>
      <c r="D572" s="3"/>
      <c r="E572" s="3" t="str">
        <f>IF(COUNTIF(ISENÇÕES!A:A,CST!B572)&gt;0,"ISENÇÃO","SEM ISENÇÃO")</f>
        <v>SEM ISENÇÃO</v>
      </c>
      <c r="F572" s="18" t="str">
        <f>IF(COUNTIF(REDUÇÕES!A:A,CST!B572)&gt;0,"REDUÇÃO","NÃO REDUÇÃO")</f>
        <v>NÃO REDUÇÃO</v>
      </c>
      <c r="G572" s="27">
        <f t="shared" si="9"/>
        <v>0</v>
      </c>
    </row>
    <row r="573" spans="1:7" x14ac:dyDescent="0.25">
      <c r="A573" s="120" t="str">
        <f>RIGHT(CSTABLE[[#This Row],[NomeNCM]],8)</f>
        <v>25059000</v>
      </c>
      <c r="B573" s="3" t="s">
        <v>3993</v>
      </c>
      <c r="C573" s="3" t="str">
        <f>IFERROR(VLOOKUP(B573,ST!C:D,2,0),"NÃOST")</f>
        <v>NÃOST</v>
      </c>
      <c r="D573" s="3"/>
      <c r="E573" s="3" t="str">
        <f>IF(COUNTIF(ISENÇÕES!A:A,CST!B573)&gt;0,"ISENÇÃO","SEM ISENÇÃO")</f>
        <v>SEM ISENÇÃO</v>
      </c>
      <c r="F573" s="18" t="str">
        <f>IF(COUNTIF(REDUÇÕES!A:A,CST!B573)&gt;0,"REDUÇÃO","NÃO REDUÇÃO")</f>
        <v>NÃO REDUÇÃO</v>
      </c>
      <c r="G573" s="27">
        <f t="shared" si="9"/>
        <v>0</v>
      </c>
    </row>
    <row r="574" spans="1:7" x14ac:dyDescent="0.25">
      <c r="A574" s="120" t="str">
        <f>RIGHT(CSTABLE[[#This Row],[NomeNCM]],8)</f>
        <v>15179090</v>
      </c>
      <c r="B574" s="3" t="s">
        <v>3451</v>
      </c>
      <c r="C574" s="3" t="str">
        <f>IFERROR(VLOOKUP(B574,ST!C:D,2,0),"NÃOST")</f>
        <v>NÃOST</v>
      </c>
      <c r="D574" s="3"/>
      <c r="E574" s="3" t="str">
        <f>IF(COUNTIF(ISENÇÕES!A:A,CST!B574)&gt;0,"ISENÇÃO","SEM ISENÇÃO")</f>
        <v>SEM ISENÇÃO</v>
      </c>
      <c r="F574" s="18" t="str">
        <f>IF(COUNTIF(REDUÇÕES!A:A,CST!B574)&gt;0,"REDUÇÃO","NÃO REDUÇÃO")</f>
        <v>REDUÇÃO</v>
      </c>
      <c r="G574" s="27">
        <f t="shared" si="9"/>
        <v>20</v>
      </c>
    </row>
    <row r="575" spans="1:7" x14ac:dyDescent="0.25">
      <c r="A575" s="120" t="str">
        <f>RIGHT(CSTABLE[[#This Row],[NomeNCM]],8)</f>
        <v>08039000</v>
      </c>
      <c r="B575" s="3" t="s">
        <v>165</v>
      </c>
      <c r="C575" s="3" t="str">
        <f>IFERROR(VLOOKUP(B575,ST!C:D,2,0),"NÃOST")</f>
        <v>NÃOST</v>
      </c>
      <c r="D575" s="3"/>
      <c r="E575" s="3" t="str">
        <f>IF(COUNTIF(ISENÇÕES!A:A,CST!B575)&gt;0,"ISENÇÃO","SEM ISENÇÃO")</f>
        <v>ISENÇÃO</v>
      </c>
      <c r="F575" s="18" t="str">
        <f>IF(COUNTIF(REDUÇÕES!A:A,CST!B575)&gt;0,"REDUÇÃO","NÃO REDUÇÃO")</f>
        <v>NÃO REDUÇÃO</v>
      </c>
      <c r="G575" s="27">
        <f t="shared" si="9"/>
        <v>40</v>
      </c>
    </row>
    <row r="576" spans="1:7" x14ac:dyDescent="0.25">
      <c r="A576" s="120" t="str">
        <f>RIGHT(CSTABLE[[#This Row],[NomeNCM]],8)</f>
        <v>29054900</v>
      </c>
      <c r="B576" s="3" t="s">
        <v>3994</v>
      </c>
      <c r="C576" s="3" t="str">
        <f>IFERROR(VLOOKUP(B576,ST!C:D,2,0),"NÃOST")</f>
        <v>NÃOST</v>
      </c>
      <c r="D576" s="3"/>
      <c r="E576" s="3" t="str">
        <f>IF(COUNTIF(ISENÇÕES!A:A,CST!B576)&gt;0,"ISENÇÃO","SEM ISENÇÃO")</f>
        <v>SEM ISENÇÃO</v>
      </c>
      <c r="F576" s="18" t="str">
        <f>IF(COUNTIF(REDUÇÕES!A:A,CST!B576)&gt;0,"REDUÇÃO","NÃO REDUÇÃO")</f>
        <v>NÃO REDUÇÃO</v>
      </c>
      <c r="G576" s="27">
        <f t="shared" si="9"/>
        <v>0</v>
      </c>
    </row>
    <row r="577" spans="1:7" x14ac:dyDescent="0.25">
      <c r="A577" s="120" t="str">
        <f>RIGHT(CSTABLE[[#This Row],[NomeNCM]],8)</f>
        <v>22019000</v>
      </c>
      <c r="B577" s="3" t="s">
        <v>14</v>
      </c>
      <c r="C577" s="3" t="str">
        <f>IFERROR(VLOOKUP(B577,ST!C:D,2,0),"NÃOST")</f>
        <v>ST</v>
      </c>
      <c r="D577" s="3"/>
      <c r="E577" s="3" t="str">
        <f>IF(COUNTIF(ISENÇÕES!A:A,CST!B577)&gt;0,"ISENÇÃO","SEM ISENÇÃO")</f>
        <v>SEM ISENÇÃO</v>
      </c>
      <c r="F577" s="18" t="str">
        <f>IF(COUNTIF(REDUÇÕES!A:A,CST!B577)&gt;0,"REDUÇÃO","NÃO REDUÇÃO")</f>
        <v>NÃO REDUÇÃO</v>
      </c>
      <c r="G577" s="27">
        <f t="shared" si="9"/>
        <v>60</v>
      </c>
    </row>
    <row r="578" spans="1:7" x14ac:dyDescent="0.25">
      <c r="A578" s="120" t="str">
        <f>RIGHT(CSTABLE[[#This Row],[NomeNCM]],8)</f>
        <v>16042090</v>
      </c>
      <c r="B578" s="3" t="s">
        <v>3995</v>
      </c>
      <c r="C578" s="3" t="str">
        <f>IFERROR(VLOOKUP(B578,ST!C:D,2,0),"NÃOST")</f>
        <v>NÃOST</v>
      </c>
      <c r="D578" s="3"/>
      <c r="E578" s="3" t="str">
        <f>IF(COUNTIF(ISENÇÕES!A:A,CST!B578)&gt;0,"ISENÇÃO","SEM ISENÇÃO")</f>
        <v>SEM ISENÇÃO</v>
      </c>
      <c r="F578" s="18" t="str">
        <f>IF(COUNTIF(REDUÇÕES!A:A,CST!B578)&gt;0,"REDUÇÃO","NÃO REDUÇÃO")</f>
        <v>NÃO REDUÇÃO</v>
      </c>
      <c r="G578" s="27">
        <f t="shared" si="9"/>
        <v>0</v>
      </c>
    </row>
    <row r="579" spans="1:7" x14ac:dyDescent="0.25">
      <c r="A579" s="120" t="str">
        <f>RIGHT(CSTABLE[[#This Row],[NomeNCM]],8)</f>
        <v>29224420</v>
      </c>
      <c r="B579" s="3" t="s">
        <v>3996</v>
      </c>
      <c r="C579" s="3" t="str">
        <f>IFERROR(VLOOKUP(B579,ST!C:D,2,0),"NÃOST")</f>
        <v>NÃOST</v>
      </c>
      <c r="D579" s="3"/>
      <c r="E579" s="3" t="str">
        <f>IF(COUNTIF(ISENÇÕES!A:A,CST!B579)&gt;0,"ISENÇÃO","SEM ISENÇÃO")</f>
        <v>SEM ISENÇÃO</v>
      </c>
      <c r="F579" s="18" t="str">
        <f>IF(COUNTIF(REDUÇÕES!A:A,CST!B579)&gt;0,"REDUÇÃO","NÃO REDUÇÃO")</f>
        <v>NÃO REDUÇÃO</v>
      </c>
      <c r="G579" s="27">
        <f t="shared" si="9"/>
        <v>0</v>
      </c>
    </row>
    <row r="580" spans="1:7" x14ac:dyDescent="0.25">
      <c r="A580" s="120" t="str">
        <f>RIGHT(CSTABLE[[#This Row],[NomeNCM]],8)</f>
        <v>48211000</v>
      </c>
      <c r="B580" s="3" t="s">
        <v>3997</v>
      </c>
      <c r="C580" s="3" t="str">
        <f>IFERROR(VLOOKUP(B580,ST!C:D,2,0),"NÃOST")</f>
        <v>NÃOST</v>
      </c>
      <c r="D580" s="3"/>
      <c r="E580" s="3" t="str">
        <f>IF(COUNTIF(ISENÇÕES!A:A,CST!B580)&gt;0,"ISENÇÃO","SEM ISENÇÃO")</f>
        <v>SEM ISENÇÃO</v>
      </c>
      <c r="F580" s="18" t="str">
        <f>IF(COUNTIF(REDUÇÕES!A:A,CST!B580)&gt;0,"REDUÇÃO","NÃO REDUÇÃO")</f>
        <v>NÃO REDUÇÃO</v>
      </c>
      <c r="G580" s="27">
        <f t="shared" si="9"/>
        <v>0</v>
      </c>
    </row>
    <row r="581" spans="1:7" x14ac:dyDescent="0.25">
      <c r="A581" s="120" t="str">
        <f>RIGHT(CSTABLE[[#This Row],[NomeNCM]],8)</f>
        <v>21041019</v>
      </c>
      <c r="B581" s="3" t="s">
        <v>3998</v>
      </c>
      <c r="C581" s="3" t="str">
        <f>IFERROR(VLOOKUP(B581,ST!C:D,2,0),"NÃOST")</f>
        <v>NÃOST</v>
      </c>
      <c r="D581" s="3"/>
      <c r="E581" s="3" t="str">
        <f>IF(COUNTIF(ISENÇÕES!A:A,CST!B581)&gt;0,"ISENÇÃO","SEM ISENÇÃO")</f>
        <v>SEM ISENÇÃO</v>
      </c>
      <c r="F581" s="18" t="str">
        <f>IF(COUNTIF(REDUÇÕES!A:A,CST!B581)&gt;0,"REDUÇÃO","NÃO REDUÇÃO")</f>
        <v>NÃO REDUÇÃO</v>
      </c>
      <c r="G581" s="27">
        <f t="shared" si="9"/>
        <v>0</v>
      </c>
    </row>
    <row r="582" spans="1:7" x14ac:dyDescent="0.25">
      <c r="A582" s="120" t="str">
        <f>RIGHT(CSTABLE[[#This Row],[NomeNCM]],8)</f>
        <v>09071000</v>
      </c>
      <c r="B582" s="3" t="s">
        <v>3999</v>
      </c>
      <c r="C582" s="3" t="str">
        <f>IFERROR(VLOOKUP(B582,ST!C:D,2,0),"NÃOST")</f>
        <v>NÃOST</v>
      </c>
      <c r="D582" s="3"/>
      <c r="E582" s="3" t="str">
        <f>IF(COUNTIF(ISENÇÕES!A:A,CST!B582)&gt;0,"ISENÇÃO","SEM ISENÇÃO")</f>
        <v>SEM ISENÇÃO</v>
      </c>
      <c r="F582" s="18" t="str">
        <f>IF(COUNTIF(REDUÇÕES!A:A,CST!B582)&gt;0,"REDUÇÃO","NÃO REDUÇÃO")</f>
        <v>NÃO REDUÇÃO</v>
      </c>
      <c r="G582" s="27">
        <f t="shared" si="9"/>
        <v>0</v>
      </c>
    </row>
    <row r="583" spans="1:7" x14ac:dyDescent="0.25">
      <c r="A583" s="120" t="str">
        <f>RIGHT(CSTABLE[[#This Row],[NomeNCM]],8)</f>
        <v>12119010</v>
      </c>
      <c r="B583" s="3" t="s">
        <v>4000</v>
      </c>
      <c r="C583" s="3" t="str">
        <f>IFERROR(VLOOKUP(B583,ST!C:D,2,0),"NÃOST")</f>
        <v>NÃOST</v>
      </c>
      <c r="D583" s="3"/>
      <c r="E583" s="3" t="str">
        <f>IF(COUNTIF(ISENÇÕES!A:A,CST!B583)&gt;0,"ISENÇÃO","SEM ISENÇÃO")</f>
        <v>SEM ISENÇÃO</v>
      </c>
      <c r="F583" s="18" t="str">
        <f>IF(COUNTIF(REDUÇÕES!A:A,CST!B583)&gt;0,"REDUÇÃO","NÃO REDUÇÃO")</f>
        <v>NÃO REDUÇÃO</v>
      </c>
      <c r="G583" s="27">
        <f t="shared" si="9"/>
        <v>0</v>
      </c>
    </row>
    <row r="584" spans="1:7" x14ac:dyDescent="0.25">
      <c r="A584" s="120" t="str">
        <f>RIGHT(CSTABLE[[#This Row],[NomeNCM]],8)</f>
        <v>09081200</v>
      </c>
      <c r="B584" s="3" t="s">
        <v>4001</v>
      </c>
      <c r="C584" s="3" t="str">
        <f>IFERROR(VLOOKUP(B584,ST!C:D,2,0),"NÃOST")</f>
        <v>NÃOST</v>
      </c>
      <c r="D584" s="3"/>
      <c r="E584" s="3" t="str">
        <f>IF(COUNTIF(ISENÇÕES!A:A,CST!B584)&gt;0,"ISENÇÃO","SEM ISENÇÃO")</f>
        <v>SEM ISENÇÃO</v>
      </c>
      <c r="F584" s="18" t="str">
        <f>IF(COUNTIF(REDUÇÕES!A:A,CST!B584)&gt;0,"REDUÇÃO","NÃO REDUÇÃO")</f>
        <v>NÃO REDUÇÃO</v>
      </c>
      <c r="G584" s="27">
        <f t="shared" si="9"/>
        <v>0</v>
      </c>
    </row>
    <row r="585" spans="1:7" x14ac:dyDescent="0.25">
      <c r="A585" s="120" t="str">
        <f>RIGHT(CSTABLE[[#This Row],[NomeNCM]],8)</f>
        <v>09101200</v>
      </c>
      <c r="B585" s="3" t="s">
        <v>4002</v>
      </c>
      <c r="C585" s="3" t="str">
        <f>IFERROR(VLOOKUP(B585,ST!C:D,2,0),"NÃOST")</f>
        <v>NÃOST</v>
      </c>
      <c r="D585" s="3"/>
      <c r="E585" s="3" t="str">
        <f>IF(COUNTIF(ISENÇÕES!A:A,CST!B585)&gt;0,"ISENÇÃO","SEM ISENÇÃO")</f>
        <v>SEM ISENÇÃO</v>
      </c>
      <c r="F585" s="18" t="str">
        <f>IF(COUNTIF(REDUÇÕES!A:A,CST!B585)&gt;0,"REDUÇÃO","NÃO REDUÇÃO")</f>
        <v>NÃO REDUÇÃO</v>
      </c>
      <c r="G585" s="27">
        <f t="shared" si="9"/>
        <v>0</v>
      </c>
    </row>
    <row r="586" spans="1:7" x14ac:dyDescent="0.25">
      <c r="A586" s="120" t="str">
        <f>RIGHT(CSTABLE[[#This Row],[NomeNCM]],8)</f>
        <v>09041200</v>
      </c>
      <c r="B586" s="3" t="s">
        <v>3619</v>
      </c>
      <c r="C586" s="3" t="str">
        <f>IFERROR(VLOOKUP(B586,ST!C:D,2,0),"NÃOST")</f>
        <v>NÃOST</v>
      </c>
      <c r="D586" s="3"/>
      <c r="E586" s="3" t="str">
        <f>IF(COUNTIF(ISENÇÕES!A:A,CST!B586)&gt;0,"ISENÇÃO","SEM ISENÇÃO")</f>
        <v>ISENÇÃO</v>
      </c>
      <c r="F586" s="18" t="str">
        <f>IF(COUNTIF(REDUÇÕES!A:A,CST!B586)&gt;0,"REDUÇÃO","NÃO REDUÇÃO")</f>
        <v>NÃO REDUÇÃO</v>
      </c>
      <c r="G586" s="27">
        <f t="shared" si="9"/>
        <v>40</v>
      </c>
    </row>
    <row r="587" spans="1:7" x14ac:dyDescent="0.25">
      <c r="A587" s="120" t="str">
        <f>RIGHT(CSTABLE[[#This Row],[NomeNCM]],8)</f>
        <v>09093200</v>
      </c>
      <c r="B587" s="3" t="s">
        <v>4003</v>
      </c>
      <c r="C587" s="3" t="str">
        <f>IFERROR(VLOOKUP(B587,ST!C:D,2,0),"NÃOST")</f>
        <v>NÃOST</v>
      </c>
      <c r="D587" s="3"/>
      <c r="E587" s="3" t="str">
        <f>IF(COUNTIF(ISENÇÕES!A:A,CST!B587)&gt;0,"ISENÇÃO","SEM ISENÇÃO")</f>
        <v>SEM ISENÇÃO</v>
      </c>
      <c r="F587" s="18" t="str">
        <f>IF(COUNTIF(REDUÇÕES!A:A,CST!B587)&gt;0,"REDUÇÃO","NÃO REDUÇÃO")</f>
        <v>NÃO REDUÇÃO</v>
      </c>
      <c r="G587" s="27">
        <f t="shared" si="9"/>
        <v>0</v>
      </c>
    </row>
    <row r="588" spans="1:7" x14ac:dyDescent="0.25">
      <c r="A588" s="120" t="str">
        <f>RIGHT(CSTABLE[[#This Row],[NomeNCM]],8)</f>
        <v>09061900</v>
      </c>
      <c r="B588" s="3" t="s">
        <v>4004</v>
      </c>
      <c r="C588" s="3" t="str">
        <f>IFERROR(VLOOKUP(B588,ST!C:D,2,0),"NÃOST")</f>
        <v>NÃOST</v>
      </c>
      <c r="D588" s="3"/>
      <c r="E588" s="3" t="str">
        <f>IF(COUNTIF(ISENÇÕES!A:A,CST!B588)&gt;0,"ISENÇÃO","SEM ISENÇÃO")</f>
        <v>SEM ISENÇÃO</v>
      </c>
      <c r="F588" s="18" t="str">
        <f>IF(COUNTIF(REDUÇÕES!A:A,CST!B588)&gt;0,"REDUÇÃO","NÃO REDUÇÃO")</f>
        <v>NÃO REDUÇÃO</v>
      </c>
      <c r="G588" s="27">
        <f t="shared" si="9"/>
        <v>0</v>
      </c>
    </row>
    <row r="589" spans="1:7" x14ac:dyDescent="0.25">
      <c r="A589" s="120" t="str">
        <f>RIGHT(CSTABLE[[#This Row],[NomeNCM]],8)</f>
        <v>09096110</v>
      </c>
      <c r="B589" s="3" t="s">
        <v>4005</v>
      </c>
      <c r="C589" s="3" t="str">
        <f>IFERROR(VLOOKUP(B589,ST!C:D,2,0),"NÃOST")</f>
        <v>NÃOST</v>
      </c>
      <c r="D589" s="3"/>
      <c r="E589" s="3" t="str">
        <f>IF(COUNTIF(ISENÇÕES!A:A,CST!B589)&gt;0,"ISENÇÃO","SEM ISENÇÃO")</f>
        <v>SEM ISENÇÃO</v>
      </c>
      <c r="F589" s="18" t="str">
        <f>IF(COUNTIF(REDUÇÕES!A:A,CST!B589)&gt;0,"REDUÇÃO","NÃO REDUÇÃO")</f>
        <v>NÃO REDUÇÃO</v>
      </c>
      <c r="G589" s="27">
        <f t="shared" si="9"/>
        <v>0</v>
      </c>
    </row>
    <row r="590" spans="1:7" x14ac:dyDescent="0.25">
      <c r="A590" s="120" t="str">
        <f>RIGHT(CSTABLE[[#This Row],[NomeNCM]],8)</f>
        <v>09042200</v>
      </c>
      <c r="B590" s="3" t="s">
        <v>3621</v>
      </c>
      <c r="C590" s="3" t="str">
        <f>IFERROR(VLOOKUP(B590,ST!C:D,2,0),"NÃOST")</f>
        <v>NÃOST</v>
      </c>
      <c r="D590" s="3"/>
      <c r="E590" s="3" t="str">
        <f>IF(COUNTIF(ISENÇÕES!A:A,CST!B590)&gt;0,"ISENÇÃO","SEM ISENÇÃO")</f>
        <v>ISENÇÃO</v>
      </c>
      <c r="F590" s="18" t="str">
        <f>IF(COUNTIF(REDUÇÕES!A:A,CST!B590)&gt;0,"REDUÇÃO","NÃO REDUÇÃO")</f>
        <v>NÃO REDUÇÃO</v>
      </c>
      <c r="G590" s="27">
        <f t="shared" si="9"/>
        <v>40</v>
      </c>
    </row>
    <row r="591" spans="1:7" x14ac:dyDescent="0.25">
      <c r="A591" s="120" t="str">
        <f>RIGHT(CSTABLE[[#This Row],[NomeNCM]],8)</f>
        <v>09102000</v>
      </c>
      <c r="B591" s="3" t="s">
        <v>266</v>
      </c>
      <c r="C591" s="3" t="str">
        <f>IFERROR(VLOOKUP(B591,ST!C:D,2,0),"NÃOST")</f>
        <v>NÃOST</v>
      </c>
      <c r="D591" s="3"/>
      <c r="E591" s="3" t="str">
        <f>IF(COUNTIF(ISENÇÕES!A:A,CST!B591)&gt;0,"ISENÇÃO","SEM ISENÇÃO")</f>
        <v>ISENÇÃO</v>
      </c>
      <c r="F591" s="18" t="str">
        <f>IF(COUNTIF(REDUÇÕES!A:A,CST!B591)&gt;0,"REDUÇÃO","NÃO REDUÇÃO")</f>
        <v>NÃO REDUÇÃO</v>
      </c>
      <c r="G591" s="27">
        <f t="shared" si="9"/>
        <v>40</v>
      </c>
    </row>
    <row r="592" spans="1:7" x14ac:dyDescent="0.25">
      <c r="A592" s="120" t="str">
        <f>RIGHT(CSTABLE[[#This Row],[NomeNCM]],8)</f>
        <v>09081100</v>
      </c>
      <c r="B592" s="3" t="s">
        <v>4006</v>
      </c>
      <c r="C592" s="3" t="str">
        <f>IFERROR(VLOOKUP(B592,ST!C:D,2,0),"NÃOST")</f>
        <v>NÃOST</v>
      </c>
      <c r="D592" s="3"/>
      <c r="E592" s="3" t="str">
        <f>IF(COUNTIF(ISENÇÕES!A:A,CST!B592)&gt;0,"ISENÇÃO","SEM ISENÇÃO")</f>
        <v>SEM ISENÇÃO</v>
      </c>
      <c r="F592" s="18" t="str">
        <f>IF(COUNTIF(REDUÇÕES!A:A,CST!B592)&gt;0,"REDUÇÃO","NÃO REDUÇÃO")</f>
        <v>NÃO REDUÇÃO</v>
      </c>
      <c r="G592" s="27">
        <f t="shared" si="9"/>
        <v>0</v>
      </c>
    </row>
    <row r="593" spans="1:7" x14ac:dyDescent="0.25">
      <c r="A593" s="120" t="str">
        <f>RIGHT(CSTABLE[[#This Row],[NomeNCM]],8)</f>
        <v>04011010</v>
      </c>
      <c r="B593" s="3" t="s">
        <v>175</v>
      </c>
      <c r="C593" s="3" t="str">
        <f>IFERROR(VLOOKUP(B593,ST!C:D,2,0),"NÃOST")</f>
        <v>NÃOST</v>
      </c>
      <c r="D593" s="3"/>
      <c r="E593" s="3" t="str">
        <f>IF(COUNTIF(ISENÇÕES!A:A,CST!B593)&gt;0,"ISENÇÃO","SEM ISENÇÃO")</f>
        <v>SEM ISENÇÃO</v>
      </c>
      <c r="F593" s="18" t="str">
        <f>IF(COUNTIF(REDUÇÕES!A:A,CST!B593)&gt;0,"REDUÇÃO","NÃO REDUÇÃO")</f>
        <v>NÃO REDUÇÃO</v>
      </c>
      <c r="G593" s="27">
        <f t="shared" ref="G593:G655" si="10">VLOOKUP(C593&amp;F593&amp;E593,$B$3:$F$10,5,0)</f>
        <v>0</v>
      </c>
    </row>
    <row r="594" spans="1:7" x14ac:dyDescent="0.25">
      <c r="A594" s="120" t="str">
        <f>RIGHT(CSTABLE[[#This Row],[NomeNCM]],8)</f>
        <v>15162000</v>
      </c>
      <c r="B594" s="3" t="s">
        <v>4007</v>
      </c>
      <c r="C594" s="3" t="str">
        <f>IFERROR(VLOOKUP(B594,ST!C:D,2,0),"NÃOST")</f>
        <v>NÃOST</v>
      </c>
      <c r="D594" s="3"/>
      <c r="E594" s="3" t="str">
        <f>IF(COUNTIF(ISENÇÕES!A:A,CST!B594)&gt;0,"ISENÇÃO","SEM ISENÇÃO")</f>
        <v>SEM ISENÇÃO</v>
      </c>
      <c r="F594" s="18" t="str">
        <f>IF(COUNTIF(REDUÇÕES!A:A,CST!B594)&gt;0,"REDUÇÃO","NÃO REDUÇÃO")</f>
        <v>NÃO REDUÇÃO</v>
      </c>
      <c r="G594" s="27">
        <f t="shared" si="10"/>
        <v>0</v>
      </c>
    </row>
    <row r="595" spans="1:7" x14ac:dyDescent="0.25">
      <c r="A595" s="120" t="str">
        <f>RIGHT(CSTABLE[[#This Row],[NomeNCM]],8)</f>
        <v>17026020</v>
      </c>
      <c r="B595" s="3" t="s">
        <v>4008</v>
      </c>
      <c r="C595" s="3" t="str">
        <f>IFERROR(VLOOKUP(B595,ST!C:D,2,0),"NÃOST")</f>
        <v>NÃOST</v>
      </c>
      <c r="D595" s="3"/>
      <c r="E595" s="3" t="str">
        <f>IF(COUNTIF(ISENÇÕES!A:A,CST!B595)&gt;0,"ISENÇÃO","SEM ISENÇÃO")</f>
        <v>SEM ISENÇÃO</v>
      </c>
      <c r="F595" s="18" t="str">
        <f>IF(COUNTIF(REDUÇÕES!A:A,CST!B595)&gt;0,"REDUÇÃO","NÃO REDUÇÃO")</f>
        <v>NÃO REDUÇÃO</v>
      </c>
      <c r="G595" s="27">
        <f t="shared" si="10"/>
        <v>0</v>
      </c>
    </row>
    <row r="596" spans="1:7" x14ac:dyDescent="0.25">
      <c r="A596" s="120" t="str">
        <f>RIGHT(CSTABLE[[#This Row],[NomeNCM]],8)</f>
        <v>32041400</v>
      </c>
      <c r="B596" s="3" t="s">
        <v>4009</v>
      </c>
      <c r="C596" s="3" t="str">
        <f>IFERROR(VLOOKUP(B596,ST!C:D,2,0),"NÃOST")</f>
        <v>ST</v>
      </c>
      <c r="D596" s="3"/>
      <c r="E596" s="3" t="str">
        <f>IF(COUNTIF(ISENÇÕES!A:A,CST!B596)&gt;0,"ISENÇÃO","SEM ISENÇÃO")</f>
        <v>SEM ISENÇÃO</v>
      </c>
      <c r="F596" s="18" t="str">
        <f>IF(COUNTIF(REDUÇÕES!A:A,CST!B596)&gt;0,"REDUÇÃO","NÃO REDUÇÃO")</f>
        <v>NÃO REDUÇÃO</v>
      </c>
      <c r="G596" s="27">
        <f t="shared" si="10"/>
        <v>60</v>
      </c>
    </row>
    <row r="597" spans="1:7" x14ac:dyDescent="0.25">
      <c r="A597" s="120" t="str">
        <f>RIGHT(CSTABLE[[#This Row],[NomeNCM]],8)</f>
        <v>28092090</v>
      </c>
      <c r="B597" s="3" t="s">
        <v>4010</v>
      </c>
      <c r="C597" s="3" t="str">
        <f>IFERROR(VLOOKUP(B597,ST!C:D,2,0),"NÃOST")</f>
        <v>NÃOST</v>
      </c>
      <c r="D597" s="3"/>
      <c r="E597" s="3" t="str">
        <f>IF(COUNTIF(ISENÇÕES!A:A,CST!B597)&gt;0,"ISENÇÃO","SEM ISENÇÃO")</f>
        <v>SEM ISENÇÃO</v>
      </c>
      <c r="F597" s="18" t="str">
        <f>IF(COUNTIF(REDUÇÕES!A:A,CST!B597)&gt;0,"REDUÇÃO","NÃO REDUÇÃO")</f>
        <v>NÃO REDUÇÃO</v>
      </c>
      <c r="G597" s="27">
        <f t="shared" si="10"/>
        <v>0</v>
      </c>
    </row>
    <row r="598" spans="1:7" x14ac:dyDescent="0.25">
      <c r="A598" s="120" t="str">
        <f>RIGHT(CSTABLE[[#This Row],[NomeNCM]],8)</f>
        <v>32064100</v>
      </c>
      <c r="B598" s="3" t="s">
        <v>4011</v>
      </c>
      <c r="C598" s="3" t="str">
        <f>IFERROR(VLOOKUP(B598,ST!C:D,2,0),"NÃOST")</f>
        <v>NÃOST</v>
      </c>
      <c r="D598" s="3"/>
      <c r="E598" s="3" t="str">
        <f>IF(COUNTIF(ISENÇÕES!A:A,CST!B598)&gt;0,"ISENÇÃO","SEM ISENÇÃO")</f>
        <v>SEM ISENÇÃO</v>
      </c>
      <c r="F598" s="18" t="str">
        <f>IF(COUNTIF(REDUÇÕES!A:A,CST!B598)&gt;0,"REDUÇÃO","NÃO REDUÇÃO")</f>
        <v>NÃO REDUÇÃO</v>
      </c>
      <c r="G598" s="27">
        <f t="shared" si="10"/>
        <v>0</v>
      </c>
    </row>
    <row r="599" spans="1:7" x14ac:dyDescent="0.25">
      <c r="A599" s="120" t="str">
        <f>RIGHT(CSTABLE[[#This Row],[NomeNCM]],8)</f>
        <v>32041990</v>
      </c>
      <c r="B599" s="3" t="s">
        <v>4012</v>
      </c>
      <c r="C599" s="3" t="str">
        <f>IFERROR(VLOOKUP(B599,ST!C:D,2,0),"NÃOST")</f>
        <v>ST</v>
      </c>
      <c r="D599" s="3"/>
      <c r="E599" s="3" t="str">
        <f>IF(COUNTIF(ISENÇÕES!A:A,CST!B599)&gt;0,"ISENÇÃO","SEM ISENÇÃO")</f>
        <v>SEM ISENÇÃO</v>
      </c>
      <c r="F599" s="18" t="str">
        <f>IF(COUNTIF(REDUÇÕES!A:A,CST!B599)&gt;0,"REDUÇÃO","NÃO REDUÇÃO")</f>
        <v>NÃO REDUÇÃO</v>
      </c>
      <c r="G599" s="27">
        <f t="shared" si="10"/>
        <v>60</v>
      </c>
    </row>
    <row r="600" spans="1:7" x14ac:dyDescent="0.25">
      <c r="A600" s="120" t="str">
        <f>RIGHT(CSTABLE[[#This Row],[NomeNCM]],8)</f>
        <v>27101932</v>
      </c>
      <c r="B600" s="3" t="s">
        <v>119</v>
      </c>
      <c r="C600" s="3" t="str">
        <f>IFERROR(VLOOKUP(B600,ST!C:D,2,0),"NÃOST")</f>
        <v>ST</v>
      </c>
      <c r="D600" s="3"/>
      <c r="E600" s="3" t="str">
        <f>IF(COUNTIF(ISENÇÕES!A:A,CST!B600)&gt;0,"ISENÇÃO","SEM ISENÇÃO")</f>
        <v>SEM ISENÇÃO</v>
      </c>
      <c r="F600" s="18" t="str">
        <f>IF(COUNTIF(REDUÇÕES!A:A,CST!B600)&gt;0,"REDUÇÃO","NÃO REDUÇÃO")</f>
        <v>NÃO REDUÇÃO</v>
      </c>
      <c r="G600" s="27">
        <f t="shared" si="10"/>
        <v>60</v>
      </c>
    </row>
    <row r="601" spans="1:7" x14ac:dyDescent="0.25">
      <c r="A601" s="120" t="str">
        <f>RIGHT(CSTABLE[[#This Row],[NomeNCM]],8)</f>
        <v>25049000</v>
      </c>
      <c r="B601" s="3" t="s">
        <v>4013</v>
      </c>
      <c r="C601" s="3" t="str">
        <f>IFERROR(VLOOKUP(B601,ST!C:D,2,0),"NÃOST")</f>
        <v>NÃOST</v>
      </c>
      <c r="D601" s="3"/>
      <c r="E601" s="3" t="str">
        <f>IF(COUNTIF(ISENÇÕES!A:A,CST!B601)&gt;0,"ISENÇÃO","SEM ISENÇÃO")</f>
        <v>SEM ISENÇÃO</v>
      </c>
      <c r="F601" s="18" t="str">
        <f>IF(COUNTIF(REDUÇÕES!A:A,CST!B601)&gt;0,"REDUÇÃO","NÃO REDUÇÃO")</f>
        <v>NÃO REDUÇÃO</v>
      </c>
      <c r="G601" s="27">
        <f t="shared" si="10"/>
        <v>0</v>
      </c>
    </row>
    <row r="602" spans="1:7" x14ac:dyDescent="0.25">
      <c r="A602" s="120" t="str">
        <f>RIGHT(CSTABLE[[#This Row],[NomeNCM]],8)</f>
        <v>39201010</v>
      </c>
      <c r="B602" s="3" t="s">
        <v>4014</v>
      </c>
      <c r="C602" s="3" t="str">
        <f>IFERROR(VLOOKUP(B602,ST!C:D,2,0),"NÃOST")</f>
        <v>NÃOST</v>
      </c>
      <c r="D602" s="3"/>
      <c r="E602" s="3" t="str">
        <f>IF(COUNTIF(ISENÇÕES!A:A,CST!B602)&gt;0,"ISENÇÃO","SEM ISENÇÃO")</f>
        <v>SEM ISENÇÃO</v>
      </c>
      <c r="F602" s="18" t="str">
        <f>IF(COUNTIF(REDUÇÕES!A:A,CST!B602)&gt;0,"REDUÇÃO","NÃO REDUÇÃO")</f>
        <v>NÃO REDUÇÃO</v>
      </c>
      <c r="G602" s="27">
        <f t="shared" si="10"/>
        <v>0</v>
      </c>
    </row>
    <row r="603" spans="1:7" x14ac:dyDescent="0.25">
      <c r="A603" s="120" t="str">
        <f>RIGHT(CSTABLE[[#This Row],[NomeNCM]],8)</f>
        <v>39211200</v>
      </c>
      <c r="B603" s="3" t="s">
        <v>4015</v>
      </c>
      <c r="C603" s="3" t="str">
        <f>IFERROR(VLOOKUP(B603,ST!C:D,2,0),"NÃOST")</f>
        <v>NÃOST</v>
      </c>
      <c r="D603" s="3"/>
      <c r="E603" s="3" t="str">
        <f>IF(COUNTIF(ISENÇÕES!A:A,CST!B603)&gt;0,"ISENÇÃO","SEM ISENÇÃO")</f>
        <v>SEM ISENÇÃO</v>
      </c>
      <c r="F603" s="18" t="str">
        <f>IF(COUNTIF(REDUÇÕES!A:A,CST!B603)&gt;0,"REDUÇÃO","NÃO REDUÇÃO")</f>
        <v>NÃO REDUÇÃO</v>
      </c>
      <c r="G603" s="27">
        <f t="shared" si="10"/>
        <v>0</v>
      </c>
    </row>
    <row r="604" spans="1:7" x14ac:dyDescent="0.25">
      <c r="A604" s="120" t="str">
        <f>RIGHT(CSTABLE[[#This Row],[NomeNCM]],8)</f>
        <v>96099000</v>
      </c>
      <c r="B604" s="3" t="s">
        <v>4016</v>
      </c>
      <c r="C604" s="3" t="str">
        <f>IFERROR(VLOOKUP(B604,ST!C:D,2,0),"NÃOST")</f>
        <v>NÃOST</v>
      </c>
      <c r="D604" s="3"/>
      <c r="E604" s="3" t="str">
        <f>IF(COUNTIF(ISENÇÕES!A:A,CST!B604)&gt;0,"ISENÇÃO","SEM ISENÇÃO")</f>
        <v>SEM ISENÇÃO</v>
      </c>
      <c r="F604" s="18" t="str">
        <f>IF(COUNTIF(REDUÇÕES!A:A,CST!B604)&gt;0,"REDUÇÃO","NÃO REDUÇÃO")</f>
        <v>NÃO REDUÇÃO</v>
      </c>
      <c r="G604" s="27">
        <f t="shared" si="10"/>
        <v>0</v>
      </c>
    </row>
    <row r="605" spans="1:7" x14ac:dyDescent="0.25">
      <c r="A605" s="120" t="str">
        <f>RIGHT(CSTABLE[[#This Row],[NomeNCM]],8)</f>
        <v>35069120</v>
      </c>
      <c r="B605" s="3" t="s">
        <v>4017</v>
      </c>
      <c r="C605" s="3" t="str">
        <f>IFERROR(VLOOKUP(B605,ST!C:D,2,0),"NÃOST")</f>
        <v>NÃOST</v>
      </c>
      <c r="D605" s="3"/>
      <c r="E605" s="3" t="str">
        <f>IF(COUNTIF(ISENÇÕES!A:A,CST!B605)&gt;0,"ISENÇÃO","SEM ISENÇÃO")</f>
        <v>SEM ISENÇÃO</v>
      </c>
      <c r="F605" s="18" t="str">
        <f>IF(COUNTIF(REDUÇÕES!A:A,CST!B605)&gt;0,"REDUÇÃO","NÃO REDUÇÃO")</f>
        <v>NÃO REDUÇÃO</v>
      </c>
      <c r="G605" s="27">
        <f t="shared" si="10"/>
        <v>0</v>
      </c>
    </row>
    <row r="606" spans="1:7" x14ac:dyDescent="0.25">
      <c r="A606" s="120" t="str">
        <f>RIGHT(CSTABLE[[#This Row],[NomeNCM]],8)</f>
        <v>40169200</v>
      </c>
      <c r="B606" s="3" t="s">
        <v>3568</v>
      </c>
      <c r="C606" s="3" t="str">
        <f>IFERROR(VLOOKUP(B606,ST!C:D,2,0),"NÃOST")</f>
        <v>NÃOST</v>
      </c>
      <c r="D606" s="3"/>
      <c r="E606" s="3" t="str">
        <f>IF(COUNTIF(ISENÇÕES!A:A,CST!B606)&gt;0,"ISENÇÃO","SEM ISENÇÃO")</f>
        <v>SEM ISENÇÃO</v>
      </c>
      <c r="F606" s="18" t="str">
        <f>IF(COUNTIF(REDUÇÕES!A:A,CST!B606)&gt;0,"REDUÇÃO","NÃO REDUÇÃO")</f>
        <v>REDUÇÃO</v>
      </c>
      <c r="G606" s="27">
        <f t="shared" si="10"/>
        <v>20</v>
      </c>
    </row>
    <row r="607" spans="1:7" x14ac:dyDescent="0.25">
      <c r="A607" s="120" t="str">
        <f>RIGHT(CSTABLE[[#This Row],[NomeNCM]],8)</f>
        <v>12060090</v>
      </c>
      <c r="B607" s="3" t="s">
        <v>4018</v>
      </c>
      <c r="C607" s="3" t="str">
        <f>IFERROR(VLOOKUP(B607,ST!C:D,2,0),"NÃOST")</f>
        <v>NÃOST</v>
      </c>
      <c r="D607" s="3"/>
      <c r="E607" s="3" t="str">
        <f>IF(COUNTIF(ISENÇÕES!A:A,CST!B607)&gt;0,"ISENÇÃO","SEM ISENÇÃO")</f>
        <v>SEM ISENÇÃO</v>
      </c>
      <c r="F607" s="18" t="str">
        <f>IF(COUNTIF(REDUÇÕES!A:A,CST!B607)&gt;0,"REDUÇÃO","NÃO REDUÇÃO")</f>
        <v>NÃO REDUÇÃO</v>
      </c>
      <c r="G607" s="27">
        <f t="shared" si="10"/>
        <v>0</v>
      </c>
    </row>
    <row r="608" spans="1:7" x14ac:dyDescent="0.25">
      <c r="A608" s="120" t="str">
        <f>RIGHT(CSTABLE[[#This Row],[NomeNCM]],8)</f>
        <v>42029200</v>
      </c>
      <c r="B608" s="3" t="s">
        <v>4019</v>
      </c>
      <c r="C608" s="3" t="str">
        <f>IFERROR(VLOOKUP(B608,ST!C:D,2,0),"NÃOST")</f>
        <v>NÃOST</v>
      </c>
      <c r="D608" s="3"/>
      <c r="E608" s="3" t="str">
        <f>IF(COUNTIF(ISENÇÕES!A:A,CST!B608)&gt;0,"ISENÇÃO","SEM ISENÇÃO")</f>
        <v>SEM ISENÇÃO</v>
      </c>
      <c r="F608" s="18" t="str">
        <f>IF(COUNTIF(REDUÇÕES!A:A,CST!B608)&gt;0,"REDUÇÃO","NÃO REDUÇÃO")</f>
        <v>NÃO REDUÇÃO</v>
      </c>
      <c r="G608" s="27">
        <f t="shared" si="10"/>
        <v>0</v>
      </c>
    </row>
    <row r="609" spans="1:7" x14ac:dyDescent="0.25">
      <c r="A609" s="120" t="str">
        <f>RIGHT(CSTABLE[[#This Row],[NomeNCM]],8)</f>
        <v>10082900</v>
      </c>
      <c r="B609" s="3" t="s">
        <v>4020</v>
      </c>
      <c r="C609" s="3" t="str">
        <f>IFERROR(VLOOKUP(B609,ST!C:D,2,0),"NÃOST")</f>
        <v>NÃOST</v>
      </c>
      <c r="D609" s="3"/>
      <c r="E609" s="3" t="str">
        <f>IF(COUNTIF(ISENÇÕES!A:A,CST!B609)&gt;0,"ISENÇÃO","SEM ISENÇÃO")</f>
        <v>SEM ISENÇÃO</v>
      </c>
      <c r="F609" s="18" t="str">
        <f>IF(COUNTIF(REDUÇÕES!A:A,CST!B609)&gt;0,"REDUÇÃO","NÃO REDUÇÃO")</f>
        <v>NÃO REDUÇÃO</v>
      </c>
      <c r="G609" s="27">
        <f t="shared" si="10"/>
        <v>0</v>
      </c>
    </row>
    <row r="610" spans="1:7" x14ac:dyDescent="0.25">
      <c r="A610" s="120" t="str">
        <f>RIGHT(CSTABLE[[#This Row],[NomeNCM]],8)</f>
        <v>63062200</v>
      </c>
      <c r="B610" s="3" t="s">
        <v>4021</v>
      </c>
      <c r="C610" s="3" t="str">
        <f>IFERROR(VLOOKUP(B610,ST!C:D,2,0),"NÃOST")</f>
        <v>NÃOST</v>
      </c>
      <c r="D610" s="3"/>
      <c r="E610" s="3" t="str">
        <f>IF(COUNTIF(ISENÇÕES!A:A,CST!B610)&gt;0,"ISENÇÃO","SEM ISENÇÃO")</f>
        <v>SEM ISENÇÃO</v>
      </c>
      <c r="F610" s="18" t="str">
        <f>IF(COUNTIF(REDUÇÕES!A:A,CST!B610)&gt;0,"REDUÇÃO","NÃO REDUÇÃO")</f>
        <v>NÃO REDUÇÃO</v>
      </c>
      <c r="G610" s="27">
        <f t="shared" si="10"/>
        <v>0</v>
      </c>
    </row>
    <row r="611" spans="1:7" x14ac:dyDescent="0.25">
      <c r="A611" s="120" t="str">
        <f>RIGHT(CSTABLE[[#This Row],[NomeNCM]],8)</f>
        <v>95069900</v>
      </c>
      <c r="B611" s="3" t="s">
        <v>4022</v>
      </c>
      <c r="C611" s="3" t="str">
        <f>IFERROR(VLOOKUP(B611,ST!C:D,2,0),"NÃOST")</f>
        <v>NÃOST</v>
      </c>
      <c r="D611" s="3"/>
      <c r="E611" s="3" t="str">
        <f>IF(COUNTIF(ISENÇÕES!A:A,CST!B611)&gt;0,"ISENÇÃO","SEM ISENÇÃO")</f>
        <v>SEM ISENÇÃO</v>
      </c>
      <c r="F611" s="18" t="str">
        <f>IF(COUNTIF(REDUÇÕES!A:A,CST!B611)&gt;0,"REDUÇÃO","NÃO REDUÇÃO")</f>
        <v>NÃO REDUÇÃO</v>
      </c>
      <c r="G611" s="27">
        <f t="shared" si="10"/>
        <v>0</v>
      </c>
    </row>
    <row r="612" spans="1:7" x14ac:dyDescent="0.25">
      <c r="A612" s="120" t="str">
        <f>RIGHT(CSTABLE[[#This Row],[NomeNCM]],8)</f>
        <v>23099030</v>
      </c>
      <c r="B612" s="3" t="s">
        <v>4023</v>
      </c>
      <c r="C612" s="3" t="str">
        <f>IFERROR(VLOOKUP(B612,ST!C:D,2,0),"NÃOST")</f>
        <v>NÃOST</v>
      </c>
      <c r="D612" s="3"/>
      <c r="E612" s="3" t="str">
        <f>IF(COUNTIF(ISENÇÕES!A:A,CST!B612)&gt;0,"ISENÇÃO","SEM ISENÇÃO")</f>
        <v>SEM ISENÇÃO</v>
      </c>
      <c r="F612" s="18" t="str">
        <f>IF(COUNTIF(REDUÇÕES!A:A,CST!B612)&gt;0,"REDUÇÃO","NÃO REDUÇÃO")</f>
        <v>NÃO REDUÇÃO</v>
      </c>
      <c r="G612" s="27">
        <f t="shared" si="10"/>
        <v>0</v>
      </c>
    </row>
    <row r="613" spans="1:7" x14ac:dyDescent="0.25">
      <c r="A613" s="120" t="str">
        <f>RIGHT(CSTABLE[[#This Row],[NomeNCM]],8)</f>
        <v>94018000</v>
      </c>
      <c r="B613" s="3" t="s">
        <v>4024</v>
      </c>
      <c r="C613" s="3" t="str">
        <f>IFERROR(VLOOKUP(B613,ST!C:D,2,0),"NÃOST")</f>
        <v>NÃOST</v>
      </c>
      <c r="D613" s="3"/>
      <c r="E613" s="3" t="str">
        <f>IF(COUNTIF(ISENÇÕES!A:A,CST!B613)&gt;0,"ISENÇÃO","SEM ISENÇÃO")</f>
        <v>SEM ISENÇÃO</v>
      </c>
      <c r="F613" s="18" t="str">
        <f>IF(COUNTIF(REDUÇÕES!A:A,CST!B613)&gt;0,"REDUÇÃO","NÃO REDUÇÃO")</f>
        <v>NÃO REDUÇÃO</v>
      </c>
      <c r="G613" s="27">
        <f t="shared" si="10"/>
        <v>0</v>
      </c>
    </row>
    <row r="614" spans="1:7" x14ac:dyDescent="0.25">
      <c r="A614" s="120" t="str">
        <f>RIGHT(CSTABLE[[#This Row],[NomeNCM]],8)</f>
        <v>07019000</v>
      </c>
      <c r="B614" s="3" t="s">
        <v>163</v>
      </c>
      <c r="C614" s="3" t="str">
        <f>IFERROR(VLOOKUP(B614,ST!C:D,2,0),"NÃOST")</f>
        <v>NÃOST</v>
      </c>
      <c r="D614" s="3"/>
      <c r="E614" s="3" t="str">
        <f>IF(COUNTIF(ISENÇÕES!A:A,CST!B614)&gt;0,"ISENÇÃO","SEM ISENÇÃO")</f>
        <v>ISENÇÃO</v>
      </c>
      <c r="F614" s="18" t="str">
        <f>IF(COUNTIF(REDUÇÕES!A:A,CST!B614)&gt;0,"REDUÇÃO","NÃO REDUÇÃO")</f>
        <v>NÃO REDUÇÃO</v>
      </c>
      <c r="G614" s="27">
        <f t="shared" si="10"/>
        <v>40</v>
      </c>
    </row>
    <row r="615" spans="1:7" x14ac:dyDescent="0.25">
      <c r="A615" s="120" t="str">
        <f>RIGHT(CSTABLE[[#This Row],[NomeNCM]],8)</f>
        <v>07031019</v>
      </c>
      <c r="B615" s="3" t="s">
        <v>2707</v>
      </c>
      <c r="C615" s="3" t="str">
        <f>IFERROR(VLOOKUP(B615,ST!C:D,2,0),"NÃOST")</f>
        <v>NÃOST</v>
      </c>
      <c r="D615" s="3"/>
      <c r="E615" s="3" t="str">
        <f>IF(COUNTIF(ISENÇÕES!A:A,CST!B615)&gt;0,"ISENÇÃO","SEM ISENÇÃO")</f>
        <v>ISENÇÃO</v>
      </c>
      <c r="F615" s="18" t="str">
        <f>IF(COUNTIF(REDUÇÕES!A:A,CST!B615)&gt;0,"REDUÇÃO","NÃO REDUÇÃO")</f>
        <v>NÃO REDUÇÃO</v>
      </c>
      <c r="G615" s="27">
        <f t="shared" si="10"/>
        <v>40</v>
      </c>
    </row>
    <row r="616" spans="1:7" x14ac:dyDescent="0.25">
      <c r="A616" s="120" t="str">
        <f>RIGHT(CSTABLE[[#This Row],[NomeNCM]],8)</f>
        <v>08081000</v>
      </c>
      <c r="B616" s="3" t="s">
        <v>2709</v>
      </c>
      <c r="C616" s="3" t="str">
        <f>IFERROR(VLOOKUP(B616,ST!C:D,2,0),"NÃOST")</f>
        <v>NÃOST</v>
      </c>
      <c r="D616" s="3"/>
      <c r="E616" s="3" t="str">
        <f>IF(COUNTIF(ISENÇÕES!A:A,CST!B616)&gt;0,"ISENÇÃO","SEM ISENÇÃO")</f>
        <v>ISENÇÃO</v>
      </c>
      <c r="F616" s="18" t="str">
        <f>IF(COUNTIF(REDUÇÕES!A:A,CST!B616)&gt;0,"REDUÇÃO","NÃO REDUÇÃO")</f>
        <v>NÃO REDUÇÃO</v>
      </c>
      <c r="G616" s="27">
        <f t="shared" si="10"/>
        <v>40</v>
      </c>
    </row>
    <row r="617" spans="1:7" x14ac:dyDescent="0.25">
      <c r="A617" s="120" t="str">
        <f>RIGHT(CSTABLE[[#This Row],[NomeNCM]],8)</f>
        <v>08072000</v>
      </c>
      <c r="B617" s="3" t="s">
        <v>2713</v>
      </c>
      <c r="C617" s="3" t="str">
        <f>IFERROR(VLOOKUP(B617,ST!C:D,2,0),"NÃOST")</f>
        <v>NÃOST</v>
      </c>
      <c r="D617" s="3"/>
      <c r="E617" s="3" t="str">
        <f>IF(COUNTIF(ISENÇÕES!A:A,CST!B617)&gt;0,"ISENÇÃO","SEM ISENÇÃO")</f>
        <v>ISENÇÃO</v>
      </c>
      <c r="F617" s="18" t="str">
        <f>IF(COUNTIF(REDUÇÕES!A:A,CST!B617)&gt;0,"REDUÇÃO","NÃO REDUÇÃO")</f>
        <v>NÃO REDUÇÃO</v>
      </c>
      <c r="G617" s="27">
        <f t="shared" si="10"/>
        <v>40</v>
      </c>
    </row>
    <row r="618" spans="1:7" x14ac:dyDescent="0.25">
      <c r="A618" s="120" t="str">
        <f>RIGHT(CSTABLE[[#This Row],[NomeNCM]],8)</f>
        <v>08071100</v>
      </c>
      <c r="B618" s="3" t="s">
        <v>2721</v>
      </c>
      <c r="C618" s="3" t="str">
        <f>IFERROR(VLOOKUP(B618,ST!C:D,2,0),"NÃOST")</f>
        <v>NÃOST</v>
      </c>
      <c r="D618" s="3"/>
      <c r="E618" s="3" t="str">
        <f>IF(COUNTIF(ISENÇÕES!A:A,CST!B618)&gt;0,"ISENÇÃO","SEM ISENÇÃO")</f>
        <v>ISENÇÃO</v>
      </c>
      <c r="F618" s="18" t="str">
        <f>IF(COUNTIF(REDUÇÕES!A:A,CST!B618)&gt;0,"REDUÇÃO","NÃO REDUÇÃO")</f>
        <v>NÃO REDUÇÃO</v>
      </c>
      <c r="G618" s="27">
        <f t="shared" si="10"/>
        <v>40</v>
      </c>
    </row>
    <row r="619" spans="1:7" x14ac:dyDescent="0.25">
      <c r="A619" s="120" t="str">
        <f>RIGHT(CSTABLE[[#This Row],[NomeNCM]],8)</f>
        <v>07061000</v>
      </c>
      <c r="B619" s="3" t="s">
        <v>2710</v>
      </c>
      <c r="C619" s="3" t="str">
        <f>IFERROR(VLOOKUP(B619,ST!C:D,2,0),"NÃOST")</f>
        <v>NÃOST</v>
      </c>
      <c r="D619" s="3"/>
      <c r="E619" s="3" t="str">
        <f>IF(COUNTIF(ISENÇÕES!A:A,CST!B619)&gt;0,"ISENÇÃO","SEM ISENÇÃO")</f>
        <v>ISENÇÃO</v>
      </c>
      <c r="F619" s="18" t="str">
        <f>IF(COUNTIF(REDUÇÕES!A:A,CST!B619)&gt;0,"REDUÇÃO","NÃO REDUÇÃO")</f>
        <v>NÃO REDUÇÃO</v>
      </c>
      <c r="G619" s="27">
        <f t="shared" si="10"/>
        <v>40</v>
      </c>
    </row>
    <row r="620" spans="1:7" x14ac:dyDescent="0.25">
      <c r="A620" s="120" t="str">
        <f>RIGHT(CSTABLE[[#This Row],[NomeNCM]],8)</f>
        <v>08071900</v>
      </c>
      <c r="B620" s="3" t="s">
        <v>193</v>
      </c>
      <c r="C620" s="3" t="str">
        <f>IFERROR(VLOOKUP(B620,ST!C:D,2,0),"NÃOST")</f>
        <v>NÃOST</v>
      </c>
      <c r="D620" s="3"/>
      <c r="E620" s="3" t="str">
        <f>IF(COUNTIF(ISENÇÕES!A:A,CST!B620)&gt;0,"ISENÇÃO","SEM ISENÇÃO")</f>
        <v>ISENÇÃO</v>
      </c>
      <c r="F620" s="18" t="str">
        <f>IF(COUNTIF(REDUÇÕES!A:A,CST!B620)&gt;0,"REDUÇÃO","NÃO REDUÇÃO")</f>
        <v>NÃO REDUÇÃO</v>
      </c>
      <c r="G620" s="27">
        <f t="shared" si="10"/>
        <v>40</v>
      </c>
    </row>
    <row r="621" spans="1:7" x14ac:dyDescent="0.25">
      <c r="A621" s="120" t="str">
        <f>RIGHT(CSTABLE[[#This Row],[NomeNCM]],8)</f>
        <v>08055000</v>
      </c>
      <c r="B621" s="3" t="s">
        <v>171</v>
      </c>
      <c r="C621" s="3" t="str">
        <f>IFERROR(VLOOKUP(B621,ST!C:D,2,0),"NÃOST")</f>
        <v>NÃOST</v>
      </c>
      <c r="D621" s="3"/>
      <c r="E621" s="3" t="str">
        <f>IF(COUNTIF(ISENÇÕES!A:A,CST!B621)&gt;0,"ISENÇÃO","SEM ISENÇÃO")</f>
        <v>ISENÇÃO</v>
      </c>
      <c r="F621" s="18" t="str">
        <f>IF(COUNTIF(REDUÇÕES!A:A,CST!B621)&gt;0,"REDUÇÃO","NÃO REDUÇÃO")</f>
        <v>NÃO REDUÇÃO</v>
      </c>
      <c r="G621" s="27">
        <f t="shared" si="10"/>
        <v>40</v>
      </c>
    </row>
    <row r="622" spans="1:7" x14ac:dyDescent="0.25">
      <c r="A622" s="120" t="str">
        <f>RIGHT(CSTABLE[[#This Row],[NomeNCM]],8)</f>
        <v>08083000</v>
      </c>
      <c r="B622" s="3" t="s">
        <v>2734</v>
      </c>
      <c r="C622" s="3" t="str">
        <f>IFERROR(VLOOKUP(B622,ST!C:D,2,0),"NÃOST")</f>
        <v>NÃOST</v>
      </c>
      <c r="D622" s="3"/>
      <c r="E622" s="3" t="str">
        <f>IF(COUNTIF(ISENÇÕES!A:A,CST!B622)&gt;0,"ISENÇÃO","SEM ISENÇÃO")</f>
        <v>ISENÇÃO</v>
      </c>
      <c r="F622" s="18" t="str">
        <f>IF(COUNTIF(REDUÇÕES!A:A,CST!B622)&gt;0,"REDUÇÃO","NÃO REDUÇÃO")</f>
        <v>NÃO REDUÇÃO</v>
      </c>
      <c r="G622" s="27">
        <f t="shared" si="10"/>
        <v>40</v>
      </c>
    </row>
    <row r="623" spans="1:7" x14ac:dyDescent="0.25">
      <c r="A623" s="120" t="str">
        <f>RIGHT(CSTABLE[[#This Row],[NomeNCM]],8)</f>
        <v>08045020</v>
      </c>
      <c r="B623" s="3" t="s">
        <v>2706</v>
      </c>
      <c r="C623" s="3" t="str">
        <f>IFERROR(VLOOKUP(B623,ST!C:D,2,0),"NÃOST")</f>
        <v>NÃOST</v>
      </c>
      <c r="D623" s="3"/>
      <c r="E623" s="3" t="str">
        <f>IF(COUNTIF(ISENÇÕES!A:A,CST!B623)&gt;0,"ISENÇÃO","SEM ISENÇÃO")</f>
        <v>ISENÇÃO</v>
      </c>
      <c r="F623" s="18" t="str">
        <f>IF(COUNTIF(REDUÇÕES!A:A,CST!B623)&gt;0,"REDUÇÃO","NÃO REDUÇÃO")</f>
        <v>NÃO REDUÇÃO</v>
      </c>
      <c r="G623" s="27">
        <f t="shared" si="10"/>
        <v>40</v>
      </c>
    </row>
    <row r="624" spans="1:7" x14ac:dyDescent="0.25">
      <c r="A624" s="120" t="str">
        <f>RIGHT(CSTABLE[[#This Row],[NomeNCM]],8)</f>
        <v>07070000</v>
      </c>
      <c r="B624" s="3" t="s">
        <v>2736</v>
      </c>
      <c r="C624" s="3" t="str">
        <f>IFERROR(VLOOKUP(B624,ST!C:D,2,0),"NÃOST")</f>
        <v>NÃOST</v>
      </c>
      <c r="D624" s="3"/>
      <c r="E624" s="3" t="str">
        <f>IF(COUNTIF(ISENÇÕES!A:A,CST!B624)&gt;0,"ISENÇÃO","SEM ISENÇÃO")</f>
        <v>ISENÇÃO</v>
      </c>
      <c r="F624" s="18" t="str">
        <f>IF(COUNTIF(REDUÇÕES!A:A,CST!B624)&gt;0,"REDUÇÃO","NÃO REDUÇÃO")</f>
        <v>NÃO REDUÇÃO</v>
      </c>
      <c r="G624" s="27">
        <f t="shared" si="10"/>
        <v>40</v>
      </c>
    </row>
    <row r="625" spans="1:7" x14ac:dyDescent="0.25">
      <c r="A625" s="120" t="str">
        <f>RIGHT(CSTABLE[[#This Row],[NomeNCM]],8)</f>
        <v>08043000</v>
      </c>
      <c r="B625" s="3" t="s">
        <v>2719</v>
      </c>
      <c r="C625" s="3" t="str">
        <f>IFERROR(VLOOKUP(B625,ST!C:D,2,0),"NÃOST")</f>
        <v>NÃOST</v>
      </c>
      <c r="D625" s="3"/>
      <c r="E625" s="3" t="str">
        <f>IF(COUNTIF(ISENÇÕES!A:A,CST!B625)&gt;0,"ISENÇÃO","SEM ISENÇÃO")</f>
        <v>ISENÇÃO</v>
      </c>
      <c r="F625" s="18" t="str">
        <f>IF(COUNTIF(REDUÇÕES!A:A,CST!B625)&gt;0,"REDUÇÃO","NÃO REDUÇÃO")</f>
        <v>NÃO REDUÇÃO</v>
      </c>
      <c r="G625" s="27">
        <f t="shared" si="10"/>
        <v>40</v>
      </c>
    </row>
    <row r="626" spans="1:7" x14ac:dyDescent="0.25">
      <c r="A626" s="120" t="str">
        <f>RIGHT(CSTABLE[[#This Row],[NomeNCM]],8)</f>
        <v>08031000</v>
      </c>
      <c r="B626" s="3" t="s">
        <v>194</v>
      </c>
      <c r="C626" s="3" t="str">
        <f>IFERROR(VLOOKUP(B626,ST!C:D,2,0),"NÃOST")</f>
        <v>NÃOST</v>
      </c>
      <c r="D626" s="3"/>
      <c r="E626" s="3" t="str">
        <f>IF(COUNTIF(ISENÇÕES!A:A,CST!B626)&gt;0,"ISENÇÃO","SEM ISENÇÃO")</f>
        <v>ISENÇÃO</v>
      </c>
      <c r="F626" s="18" t="str">
        <f>IF(COUNTIF(REDUÇÕES!A:A,CST!B626)&gt;0,"REDUÇÃO","NÃO REDUÇÃO")</f>
        <v>NÃO REDUÇÃO</v>
      </c>
      <c r="G626" s="27">
        <f t="shared" si="10"/>
        <v>40</v>
      </c>
    </row>
    <row r="627" spans="1:7" x14ac:dyDescent="0.25">
      <c r="A627" s="120" t="str">
        <f>RIGHT(CSTABLE[[#This Row],[NomeNCM]],8)</f>
        <v>08045010</v>
      </c>
      <c r="B627" s="3" t="s">
        <v>187</v>
      </c>
      <c r="C627" s="3" t="str">
        <f>IFERROR(VLOOKUP(B627,ST!C:D,2,0),"NÃOST")</f>
        <v>NÃOST</v>
      </c>
      <c r="D627" s="3"/>
      <c r="E627" s="3" t="str">
        <f>IF(COUNTIF(ISENÇÕES!A:A,CST!B627)&gt;0,"ISENÇÃO","SEM ISENÇÃO")</f>
        <v>ISENÇÃO</v>
      </c>
      <c r="F627" s="18" t="str">
        <f>IF(COUNTIF(REDUÇÕES!A:A,CST!B627)&gt;0,"REDUÇÃO","NÃO REDUÇÃO")</f>
        <v>NÃO REDUÇÃO</v>
      </c>
      <c r="G627" s="27">
        <f t="shared" si="10"/>
        <v>40</v>
      </c>
    </row>
    <row r="628" spans="1:7" x14ac:dyDescent="0.25">
      <c r="A628" s="120" t="str">
        <f>RIGHT(CSTABLE[[#This Row],[NomeNCM]],8)</f>
        <v>08101000</v>
      </c>
      <c r="B628" s="3" t="s">
        <v>257</v>
      </c>
      <c r="C628" s="3" t="str">
        <f>IFERROR(VLOOKUP(B628,ST!C:D,2,0),"NÃOST")</f>
        <v>NÃOST</v>
      </c>
      <c r="D628" s="3"/>
      <c r="E628" s="3" t="str">
        <f>IF(COUNTIF(ISENÇÕES!A:A,CST!B628)&gt;0,"ISENÇÃO","SEM ISENÇÃO")</f>
        <v>ISENÇÃO</v>
      </c>
      <c r="F628" s="18" t="str">
        <f>IF(COUNTIF(REDUÇÕES!A:A,CST!B628)&gt;0,"REDUÇÃO","NÃO REDUÇÃO")</f>
        <v>NÃO REDUÇÃO</v>
      </c>
      <c r="G628" s="27">
        <f t="shared" si="10"/>
        <v>40</v>
      </c>
    </row>
    <row r="629" spans="1:7" x14ac:dyDescent="0.25">
      <c r="A629" s="120" t="str">
        <f>RIGHT(CSTABLE[[#This Row],[NomeNCM]],8)</f>
        <v>82141000</v>
      </c>
      <c r="B629" s="3" t="s">
        <v>4025</v>
      </c>
      <c r="C629" s="3" t="str">
        <f>IFERROR(VLOOKUP(B629,ST!C:D,2,0),"NÃOST")</f>
        <v>NÃOST</v>
      </c>
      <c r="D629" s="3"/>
      <c r="E629" s="3" t="str">
        <f>IF(COUNTIF(ISENÇÕES!A:A,CST!B629)&gt;0,"ISENÇÃO","SEM ISENÇÃO")</f>
        <v>SEM ISENÇÃO</v>
      </c>
      <c r="F629" s="18" t="str">
        <f>IF(COUNTIF(REDUÇÕES!A:A,CST!B629)&gt;0,"REDUÇÃO","NÃO REDUÇÃO")</f>
        <v>NÃO REDUÇÃO</v>
      </c>
      <c r="G629" s="27">
        <f t="shared" si="10"/>
        <v>0</v>
      </c>
    </row>
    <row r="630" spans="1:7" x14ac:dyDescent="0.25">
      <c r="A630" s="120" t="str">
        <f>RIGHT(CSTABLE[[#This Row],[NomeNCM]],8)</f>
        <v>07089000</v>
      </c>
      <c r="B630" s="3" t="s">
        <v>226</v>
      </c>
      <c r="C630" s="3" t="str">
        <f>IFERROR(VLOOKUP(B630,ST!C:D,2,0),"NÃOST")</f>
        <v>NÃOST</v>
      </c>
      <c r="D630" s="3"/>
      <c r="E630" s="3" t="str">
        <f>IF(COUNTIF(ISENÇÕES!A:A,CST!B630)&gt;0,"ISENÇÃO","SEM ISENÇÃO")</f>
        <v>ISENÇÃO</v>
      </c>
      <c r="F630" s="18" t="str">
        <f>IF(COUNTIF(REDUÇÕES!A:A,CST!B630)&gt;0,"REDUÇÃO","NÃO REDUÇÃO")</f>
        <v>NÃO REDUÇÃO</v>
      </c>
      <c r="G630" s="27">
        <f t="shared" si="10"/>
        <v>40</v>
      </c>
    </row>
    <row r="631" spans="1:7" x14ac:dyDescent="0.25">
      <c r="A631" s="120" t="str">
        <f>RIGHT(CSTABLE[[#This Row],[NomeNCM]],8)</f>
        <v>08093010</v>
      </c>
      <c r="B631" s="3" t="s">
        <v>2739</v>
      </c>
      <c r="C631" s="3" t="str">
        <f>IFERROR(VLOOKUP(B631,ST!C:D,2,0),"NÃOST")</f>
        <v>NÃOST</v>
      </c>
      <c r="D631" s="3"/>
      <c r="E631" s="3" t="str">
        <f>IF(COUNTIF(ISENÇÕES!A:A,CST!B631)&gt;0,"ISENÇÃO","SEM ISENÇÃO")</f>
        <v>ISENÇÃO</v>
      </c>
      <c r="F631" s="18" t="str">
        <f>IF(COUNTIF(REDUÇÕES!A:A,CST!B631)&gt;0,"REDUÇÃO","NÃO REDUÇÃO")</f>
        <v>NÃO REDUÇÃO</v>
      </c>
      <c r="G631" s="27">
        <f t="shared" si="10"/>
        <v>40</v>
      </c>
    </row>
    <row r="632" spans="1:7" x14ac:dyDescent="0.25">
      <c r="A632" s="120" t="str">
        <f>RIGHT(CSTABLE[[#This Row],[NomeNCM]],8)</f>
        <v>08044000</v>
      </c>
      <c r="B632" s="3" t="s">
        <v>2708</v>
      </c>
      <c r="C632" s="3" t="str">
        <f>IFERROR(VLOOKUP(B632,ST!C:D,2,0),"NÃOST")</f>
        <v>NÃOST</v>
      </c>
      <c r="D632" s="3"/>
      <c r="E632" s="3" t="str">
        <f>IF(COUNTIF(ISENÇÕES!A:A,CST!B632)&gt;0,"ISENÇÃO","SEM ISENÇÃO")</f>
        <v>ISENÇÃO</v>
      </c>
      <c r="F632" s="18" t="str">
        <f>IF(COUNTIF(REDUÇÕES!A:A,CST!B632)&gt;0,"REDUÇÃO","NÃO REDUÇÃO")</f>
        <v>NÃO REDUÇÃO</v>
      </c>
      <c r="G632" s="27">
        <f t="shared" si="10"/>
        <v>40</v>
      </c>
    </row>
    <row r="633" spans="1:7" x14ac:dyDescent="0.25">
      <c r="A633" s="120" t="str">
        <f>RIGHT(CSTABLE[[#This Row],[NomeNCM]],8)</f>
        <v>08094000</v>
      </c>
      <c r="B633" s="3" t="s">
        <v>554</v>
      </c>
      <c r="C633" s="3" t="str">
        <f>IFERROR(VLOOKUP(B633,ST!C:D,2,0),"NÃOST")</f>
        <v>NÃOST</v>
      </c>
      <c r="D633" s="3"/>
      <c r="E633" s="3" t="str">
        <f>IF(COUNTIF(ISENÇÕES!A:A,CST!B633)&gt;0,"ISENÇÃO","SEM ISENÇÃO")</f>
        <v>ISENÇÃO</v>
      </c>
      <c r="F633" s="18" t="str">
        <f>IF(COUNTIF(REDUÇÕES!A:A,CST!B633)&gt;0,"REDUÇÃO","NÃO REDUÇÃO")</f>
        <v>NÃO REDUÇÃO</v>
      </c>
      <c r="G633" s="27">
        <f t="shared" si="10"/>
        <v>40</v>
      </c>
    </row>
    <row r="634" spans="1:7" x14ac:dyDescent="0.25">
      <c r="A634" s="120" t="str">
        <f>RIGHT(CSTABLE[[#This Row],[NomeNCM]],8)</f>
        <v>08011900</v>
      </c>
      <c r="B634" s="3" t="s">
        <v>3329</v>
      </c>
      <c r="C634" s="3" t="str">
        <f>IFERROR(VLOOKUP(B634,ST!C:D,2,0),"NÃOST")</f>
        <v>NÃOST</v>
      </c>
      <c r="D634" s="3"/>
      <c r="E634" s="3" t="str">
        <f>IF(COUNTIF(ISENÇÕES!A:A,CST!B634)&gt;0,"ISENÇÃO","SEM ISENÇÃO")</f>
        <v>ISENÇÃO</v>
      </c>
      <c r="F634" s="18" t="str">
        <f>IF(COUNTIF(REDUÇÕES!A:A,CST!B634)&gt;0,"REDUÇÃO","NÃO REDUÇÃO")</f>
        <v>NÃO REDUÇÃO</v>
      </c>
      <c r="G634" s="27">
        <f t="shared" si="10"/>
        <v>40</v>
      </c>
    </row>
    <row r="635" spans="1:7" x14ac:dyDescent="0.25">
      <c r="A635" s="120" t="str">
        <f>RIGHT(CSTABLE[[#This Row],[NomeNCM]],8)</f>
        <v>07093000</v>
      </c>
      <c r="B635" s="3" t="s">
        <v>2722</v>
      </c>
      <c r="C635" s="3" t="str">
        <f>IFERROR(VLOOKUP(B635,ST!C:D,2,0),"NÃOST")</f>
        <v>NÃOST</v>
      </c>
      <c r="D635" s="3"/>
      <c r="E635" s="3" t="str">
        <f>IF(COUNTIF(ISENÇÕES!A:A,CST!B635)&gt;0,"ISENÇÃO","SEM ISENÇÃO")</f>
        <v>ISENÇÃO</v>
      </c>
      <c r="F635" s="18" t="str">
        <f>IF(COUNTIF(REDUÇÕES!A:A,CST!B635)&gt;0,"REDUÇÃO","NÃO REDUÇÃO")</f>
        <v>NÃO REDUÇÃO</v>
      </c>
      <c r="G635" s="27">
        <f t="shared" si="10"/>
        <v>40</v>
      </c>
    </row>
    <row r="636" spans="1:7" x14ac:dyDescent="0.25">
      <c r="A636" s="120" t="str">
        <f>RIGHT(CSTABLE[[#This Row],[NomeNCM]],8)</f>
        <v>08052100</v>
      </c>
      <c r="B636" s="3" t="s">
        <v>162</v>
      </c>
      <c r="C636" s="3" t="str">
        <f>IFERROR(VLOOKUP(B636,ST!C:D,2,0),"NÃOST")</f>
        <v>NÃOST</v>
      </c>
      <c r="D636" s="3"/>
      <c r="E636" s="3" t="str">
        <f>IF(COUNTIF(ISENÇÕES!A:A,CST!B636)&gt;0,"ISENÇÃO","SEM ISENÇÃO")</f>
        <v>ISENÇÃO</v>
      </c>
      <c r="F636" s="18" t="str">
        <f>IF(COUNTIF(REDUÇÕES!A:A,CST!B636)&gt;0,"REDUÇÃO","NÃO REDUÇÃO")</f>
        <v>NÃO REDUÇÃO</v>
      </c>
      <c r="G636" s="27">
        <f t="shared" si="10"/>
        <v>40</v>
      </c>
    </row>
    <row r="637" spans="1:7" x14ac:dyDescent="0.25">
      <c r="A637" s="120" t="str">
        <f>RIGHT(CSTABLE[[#This Row],[NomeNCM]],8)</f>
        <v>27111910</v>
      </c>
      <c r="B637" s="3" t="s">
        <v>24</v>
      </c>
      <c r="C637" s="3" t="str">
        <f>IFERROR(VLOOKUP(B637,ST!C:D,2,0),"NÃOST")</f>
        <v>ST</v>
      </c>
      <c r="D637" s="3"/>
      <c r="E637" s="3" t="str">
        <f>IF(COUNTIF(ISENÇÕES!A:A,CST!B637)&gt;0,"ISENÇÃO","SEM ISENÇÃO")</f>
        <v>SEM ISENÇÃO</v>
      </c>
      <c r="F637" s="18" t="str">
        <f>IF(COUNTIF(REDUÇÕES!A:A,CST!B637)&gt;0,"REDUÇÃO","NÃO REDUÇÃO")</f>
        <v>NÃO REDUÇÃO</v>
      </c>
      <c r="G637" s="27">
        <f t="shared" si="10"/>
        <v>60</v>
      </c>
    </row>
    <row r="638" spans="1:7" x14ac:dyDescent="0.25">
      <c r="A638" s="120" t="str">
        <f>RIGHT(CSTABLE[[#This Row],[NomeNCM]],8)</f>
        <v>83011000</v>
      </c>
      <c r="B638" s="3" t="s">
        <v>4026</v>
      </c>
      <c r="C638" s="3" t="str">
        <f>IFERROR(VLOOKUP(B638,ST!C:D,2,0),"NÃOST")</f>
        <v>NÃOST</v>
      </c>
      <c r="D638" s="3"/>
      <c r="E638" s="3" t="str">
        <f>IF(COUNTIF(ISENÇÕES!A:A,CST!B638)&gt;0,"ISENÇÃO","SEM ISENÇÃO")</f>
        <v>SEM ISENÇÃO</v>
      </c>
      <c r="F638" s="18" t="str">
        <f>IF(COUNTIF(REDUÇÕES!A:A,CST!B638)&gt;0,"REDUÇÃO","NÃO REDUÇÃO")</f>
        <v>NÃO REDUÇÃO</v>
      </c>
      <c r="G638" s="27">
        <f t="shared" si="10"/>
        <v>0</v>
      </c>
    </row>
    <row r="639" spans="1:7" x14ac:dyDescent="0.25">
      <c r="A639" s="120" t="str">
        <f>RIGHT(CSTABLE[[#This Row],[NomeNCM]],8)</f>
        <v>95044000</v>
      </c>
      <c r="B639" s="3" t="s">
        <v>4027</v>
      </c>
      <c r="C639" s="3" t="str">
        <f>IFERROR(VLOOKUP(B639,ST!C:D,2,0),"NÃOST")</f>
        <v>NÃOST</v>
      </c>
      <c r="D639" s="3"/>
      <c r="E639" s="3" t="str">
        <f>IF(COUNTIF(ISENÇÕES!A:A,CST!B639)&gt;0,"ISENÇÃO","SEM ISENÇÃO")</f>
        <v>SEM ISENÇÃO</v>
      </c>
      <c r="F639" s="18" t="str">
        <f>IF(COUNTIF(REDUÇÕES!A:A,CST!B639)&gt;0,"REDUÇÃO","NÃO REDUÇÃO")</f>
        <v>NÃO REDUÇÃO</v>
      </c>
      <c r="G639" s="27">
        <f t="shared" si="10"/>
        <v>0</v>
      </c>
    </row>
    <row r="640" spans="1:7" x14ac:dyDescent="0.25">
      <c r="A640" s="120" t="str">
        <f>RIGHT(CSTABLE[[#This Row],[NomeNCM]],8)</f>
        <v>08062000</v>
      </c>
      <c r="B640" s="3" t="s">
        <v>2726</v>
      </c>
      <c r="C640" s="3" t="str">
        <f>IFERROR(VLOOKUP(B640,ST!C:D,2,0),"NÃOST")</f>
        <v>NÃOST</v>
      </c>
      <c r="D640" s="3"/>
      <c r="E640" s="3" t="str">
        <f>IF(COUNTIF(ISENÇÕES!A:A,CST!B640)&gt;0,"ISENÇÃO","SEM ISENÇÃO")</f>
        <v>SEM ISENÇÃO</v>
      </c>
      <c r="F640" s="18" t="str">
        <f>IF(COUNTIF(REDUÇÕES!A:A,CST!B640)&gt;0,"REDUÇÃO","NÃO REDUÇÃO")</f>
        <v>NÃO REDUÇÃO</v>
      </c>
      <c r="G640" s="27">
        <f t="shared" si="10"/>
        <v>0</v>
      </c>
    </row>
    <row r="641" spans="1:7" x14ac:dyDescent="0.25">
      <c r="A641" s="120" t="str">
        <f>RIGHT(CSTABLE[[#This Row],[NomeNCM]],8)</f>
        <v>08023200</v>
      </c>
      <c r="B641" s="3" t="s">
        <v>3332</v>
      </c>
      <c r="C641" s="3" t="str">
        <f>IFERROR(VLOOKUP(B641,ST!C:D,2,0),"NÃOST")</f>
        <v>NÃOST</v>
      </c>
      <c r="D641" s="3"/>
      <c r="E641" s="3" t="str">
        <f>IF(COUNTIF(ISENÇÕES!A:A,CST!B641)&gt;0,"ISENÇÃO","SEM ISENÇÃO")</f>
        <v>SEM ISENÇÃO</v>
      </c>
      <c r="F641" s="18" t="str">
        <f>IF(COUNTIF(REDUÇÕES!A:A,CST!B641)&gt;0,"REDUÇÃO","NÃO REDUÇÃO")</f>
        <v>NÃO REDUÇÃO</v>
      </c>
      <c r="G641" s="27">
        <f t="shared" si="10"/>
        <v>0</v>
      </c>
    </row>
    <row r="642" spans="1:7" x14ac:dyDescent="0.25">
      <c r="A642" s="120" t="str">
        <f>RIGHT(CSTABLE[[#This Row],[NomeNCM]],8)</f>
        <v>09101100</v>
      </c>
      <c r="B642" s="3" t="s">
        <v>3614</v>
      </c>
      <c r="C642" s="3" t="str">
        <f>IFERROR(VLOOKUP(B642,ST!C:D,2,0),"NÃOST")</f>
        <v>NÃOST</v>
      </c>
      <c r="D642" s="3"/>
      <c r="E642" s="3" t="str">
        <f>IF(COUNTIF(ISENÇÕES!A:A,CST!B642)&gt;0,"ISENÇÃO","SEM ISENÇÃO")</f>
        <v>ISENÇÃO</v>
      </c>
      <c r="F642" s="18" t="str">
        <f>IF(COUNTIF(REDUÇÕES!A:A,CST!B642)&gt;0,"REDUÇÃO","NÃO REDUÇÃO")</f>
        <v>NÃO REDUÇÃO</v>
      </c>
      <c r="G642" s="27">
        <f t="shared" si="10"/>
        <v>40</v>
      </c>
    </row>
    <row r="643" spans="1:7" x14ac:dyDescent="0.25">
      <c r="A643" s="120" t="str">
        <f>RIGHT(CSTABLE[[#This Row],[NomeNCM]],8)</f>
        <v>24031900</v>
      </c>
      <c r="B643" s="3" t="s">
        <v>126</v>
      </c>
      <c r="C643" s="3" t="str">
        <f>IFERROR(VLOOKUP(B643,ST!C:D,2,0),"NÃOST")</f>
        <v>ST</v>
      </c>
      <c r="D643" s="3"/>
      <c r="E643" s="3" t="str">
        <f>IF(COUNTIF(ISENÇÕES!A:A,CST!B643)&gt;0,"ISENÇÃO","SEM ISENÇÃO")</f>
        <v>SEM ISENÇÃO</v>
      </c>
      <c r="F643" s="18" t="str">
        <f>IF(COUNTIF(REDUÇÕES!A:A,CST!B643)&gt;0,"REDUÇÃO","NÃO REDUÇÃO")</f>
        <v>NÃO REDUÇÃO</v>
      </c>
      <c r="G643" s="27">
        <f t="shared" si="10"/>
        <v>60</v>
      </c>
    </row>
    <row r="644" spans="1:7" x14ac:dyDescent="0.25">
      <c r="A644" s="120" t="str">
        <f>RIGHT(CSTABLE[[#This Row],[NomeNCM]],8)</f>
        <v>48131000</v>
      </c>
      <c r="B644" s="3" t="s">
        <v>4028</v>
      </c>
      <c r="C644" s="3" t="str">
        <f>IFERROR(VLOOKUP(B644,ST!C:D,2,0),"NÃOST")</f>
        <v>NÃOST</v>
      </c>
      <c r="D644" s="3"/>
      <c r="E644" s="3" t="str">
        <f>IF(COUNTIF(ISENÇÕES!A:A,CST!B644)&gt;0,"ISENÇÃO","SEM ISENÇÃO")</f>
        <v>SEM ISENÇÃO</v>
      </c>
      <c r="F644" s="18" t="str">
        <f>IF(COUNTIF(REDUÇÕES!A:A,CST!B644)&gt;0,"REDUÇÃO","NÃO REDUÇÃO")</f>
        <v>NÃO REDUÇÃO</v>
      </c>
      <c r="G644" s="27">
        <f t="shared" si="10"/>
        <v>0</v>
      </c>
    </row>
    <row r="645" spans="1:7" x14ac:dyDescent="0.25">
      <c r="A645" s="120" t="str">
        <f>RIGHT(CSTABLE[[#This Row],[NomeNCM]],8)</f>
        <v>40159000</v>
      </c>
      <c r="B645" s="3" t="s">
        <v>4029</v>
      </c>
      <c r="C645" s="3" t="str">
        <f>IFERROR(VLOOKUP(B645,ST!C:D,2,0),"NÃOST")</f>
        <v>NÃOST</v>
      </c>
      <c r="D645" s="3"/>
      <c r="E645" s="3" t="str">
        <f>IF(COUNTIF(ISENÇÕES!A:A,CST!B645)&gt;0,"ISENÇÃO","SEM ISENÇÃO")</f>
        <v>SEM ISENÇÃO</v>
      </c>
      <c r="F645" s="18" t="str">
        <f>IF(COUNTIF(REDUÇÕES!A:A,CST!B645)&gt;0,"REDUÇÃO","NÃO REDUÇÃO")</f>
        <v>NÃO REDUÇÃO</v>
      </c>
      <c r="G645" s="27">
        <f t="shared" si="10"/>
        <v>0</v>
      </c>
    </row>
    <row r="646" spans="1:7" x14ac:dyDescent="0.25">
      <c r="A646" s="120" t="str">
        <f>RIGHT(CSTABLE[[#This Row],[NomeNCM]],8)</f>
        <v>08107000</v>
      </c>
      <c r="B646" s="3" t="s">
        <v>3334</v>
      </c>
      <c r="C646" s="3" t="str">
        <f>IFERROR(VLOOKUP(B646,ST!C:D,2,0),"NÃOST")</f>
        <v>NÃOST</v>
      </c>
      <c r="D646" s="3"/>
      <c r="E646" s="3" t="str">
        <f>IF(COUNTIF(ISENÇÕES!A:A,CST!B646)&gt;0,"ISENÇÃO","SEM ISENÇÃO")</f>
        <v>ISENÇÃO</v>
      </c>
      <c r="F646" s="18" t="str">
        <f>IF(COUNTIF(REDUÇÕES!A:A,CST!B646)&gt;0,"REDUÇÃO","NÃO REDUÇÃO")</f>
        <v>NÃO REDUÇÃO</v>
      </c>
      <c r="G646" s="27">
        <f t="shared" si="10"/>
        <v>40</v>
      </c>
    </row>
    <row r="647" spans="1:7" x14ac:dyDescent="0.25">
      <c r="A647" s="120" t="str">
        <f>RIGHT(CSTABLE[[#This Row],[NomeNCM]],8)</f>
        <v>56031390</v>
      </c>
      <c r="B647" s="3" t="s">
        <v>4030</v>
      </c>
      <c r="C647" s="3" t="str">
        <f>IFERROR(VLOOKUP(B647,ST!C:D,2,0),"NÃOST")</f>
        <v>NÃOST</v>
      </c>
      <c r="D647" s="3"/>
      <c r="E647" s="3" t="str">
        <f>IF(COUNTIF(ISENÇÕES!A:A,CST!B647)&gt;0,"ISENÇÃO","SEM ISENÇÃO")</f>
        <v>SEM ISENÇÃO</v>
      </c>
      <c r="F647" s="18" t="str">
        <f>IF(COUNTIF(REDUÇÕES!A:A,CST!B647)&gt;0,"REDUÇÃO","NÃO REDUÇÃO")</f>
        <v>NÃO REDUÇÃO</v>
      </c>
      <c r="G647" s="27">
        <f t="shared" si="10"/>
        <v>0</v>
      </c>
    </row>
    <row r="648" spans="1:7" x14ac:dyDescent="0.25">
      <c r="A648" s="120" t="str">
        <f>RIGHT(CSTABLE[[#This Row],[NomeNCM]],8)</f>
        <v>10083090</v>
      </c>
      <c r="B648" s="3" t="s">
        <v>3402</v>
      </c>
      <c r="C648" s="3" t="str">
        <f>IFERROR(VLOOKUP(B648,ST!C:D,2,0),"NÃOST")</f>
        <v>NÃOST</v>
      </c>
      <c r="D648" s="3"/>
      <c r="E648" s="3" t="str">
        <f>IF(COUNTIF(ISENÇÕES!A:A,CST!B648)&gt;0,"ISENÇÃO","SEM ISENÇÃO")</f>
        <v>SEM ISENÇÃO</v>
      </c>
      <c r="F648" s="18" t="str">
        <f>IF(COUNTIF(REDUÇÕES!A:A,CST!B648)&gt;0,"REDUÇÃO","NÃO REDUÇÃO")</f>
        <v>NÃO REDUÇÃO</v>
      </c>
      <c r="G648" s="27">
        <f t="shared" si="10"/>
        <v>0</v>
      </c>
    </row>
    <row r="649" spans="1:7" x14ac:dyDescent="0.25">
      <c r="A649" s="120" t="str">
        <f>RIGHT(CSTABLE[[#This Row],[NomeNCM]],8)</f>
        <v>28141000</v>
      </c>
      <c r="B649" s="3" t="s">
        <v>4031</v>
      </c>
      <c r="C649" s="3" t="str">
        <f>IFERROR(VLOOKUP(B649,ST!C:D,2,0),"NÃOST")</f>
        <v>NÃOST</v>
      </c>
      <c r="D649" s="3"/>
      <c r="E649" s="3" t="str">
        <f>IF(COUNTIF(ISENÇÕES!A:A,CST!B649)&gt;0,"ISENÇÃO","SEM ISENÇÃO")</f>
        <v>SEM ISENÇÃO</v>
      </c>
      <c r="F649" s="18" t="str">
        <f>IF(COUNTIF(REDUÇÕES!A:A,CST!B649)&gt;0,"REDUÇÃO","NÃO REDUÇÃO")</f>
        <v>NÃO REDUÇÃO</v>
      </c>
      <c r="G649" s="27">
        <f t="shared" si="10"/>
        <v>0</v>
      </c>
    </row>
    <row r="650" spans="1:7" x14ac:dyDescent="0.25">
      <c r="A650" s="120" t="str">
        <f>RIGHT(CSTABLE[[#This Row],[NomeNCM]],8)</f>
        <v>29224220</v>
      </c>
      <c r="B650" s="3" t="s">
        <v>4032</v>
      </c>
      <c r="C650" s="3" t="str">
        <f>IFERROR(VLOOKUP(B650,ST!C:D,2,0),"NÃOST")</f>
        <v>NÃOST</v>
      </c>
      <c r="D650" s="3"/>
      <c r="E650" s="3" t="str">
        <f>IF(COUNTIF(ISENÇÕES!A:A,CST!B650)&gt;0,"ISENÇÃO","SEM ISENÇÃO")</f>
        <v>SEM ISENÇÃO</v>
      </c>
      <c r="F650" s="18" t="str">
        <f>IF(COUNTIF(REDUÇÕES!A:A,CST!B650)&gt;0,"REDUÇÃO","NÃO REDUÇÃO")</f>
        <v>NÃO REDUÇÃO</v>
      </c>
      <c r="G650" s="27">
        <f t="shared" si="10"/>
        <v>0</v>
      </c>
    </row>
    <row r="651" spans="1:7" x14ac:dyDescent="0.25">
      <c r="A651" s="120" t="str">
        <f>RIGHT(CSTABLE[[#This Row],[NomeNCM]],8)</f>
        <v>22059000</v>
      </c>
      <c r="B651" s="3" t="s">
        <v>4033</v>
      </c>
      <c r="C651" s="3" t="str">
        <f>IFERROR(VLOOKUP(B651,ST!C:D,2,0),"NÃOST")</f>
        <v>NÃOST</v>
      </c>
      <c r="D651" s="3"/>
      <c r="E651" s="3" t="str">
        <f>IF(COUNTIF(ISENÇÕES!A:A,CST!B651)&gt;0,"ISENÇÃO","SEM ISENÇÃO")</f>
        <v>SEM ISENÇÃO</v>
      </c>
      <c r="F651" s="18" t="str">
        <f>IF(COUNTIF(REDUÇÕES!A:A,CST!B651)&gt;0,"REDUÇÃO","NÃO REDUÇÃO")</f>
        <v>NÃO REDUÇÃO</v>
      </c>
      <c r="G651" s="27">
        <f t="shared" si="10"/>
        <v>0</v>
      </c>
    </row>
    <row r="652" spans="1:7" x14ac:dyDescent="0.25">
      <c r="A652" s="120" t="str">
        <f>RIGHT(CSTABLE[[#This Row],[NomeNCM]],8)</f>
        <v>27101919</v>
      </c>
      <c r="B652" s="3" t="s">
        <v>39</v>
      </c>
      <c r="C652" s="3" t="str">
        <f>IFERROR(VLOOKUP(B652,ST!C:D,2,0),"NÃOST")</f>
        <v>ST</v>
      </c>
      <c r="D652" s="3"/>
      <c r="E652" s="3" t="str">
        <f>IF(COUNTIF(ISENÇÕES!A:A,CST!B652)&gt;0,"ISENÇÃO","SEM ISENÇÃO")</f>
        <v>SEM ISENÇÃO</v>
      </c>
      <c r="F652" s="18" t="str">
        <f>IF(COUNTIF(REDUÇÕES!A:A,CST!B652)&gt;0,"REDUÇÃO","NÃO REDUÇÃO")</f>
        <v>NÃO REDUÇÃO</v>
      </c>
      <c r="G652" s="27">
        <f t="shared" si="10"/>
        <v>60</v>
      </c>
    </row>
    <row r="653" spans="1:7" x14ac:dyDescent="0.25">
      <c r="A653" s="120" t="str">
        <f>RIGHT(CSTABLE[[#This Row],[NomeNCM]],8)</f>
        <v>59061000</v>
      </c>
      <c r="B653" s="3" t="s">
        <v>4034</v>
      </c>
      <c r="C653" s="3" t="str">
        <f>IFERROR(VLOOKUP(B653,ST!C:D,2,0),"NÃOST")</f>
        <v>NÃOST</v>
      </c>
      <c r="D653" s="3"/>
      <c r="E653" s="3" t="str">
        <f>IF(COUNTIF(ISENÇÕES!A:A,CST!B653)&gt;0,"ISENÇÃO","SEM ISENÇÃO")</f>
        <v>SEM ISENÇÃO</v>
      </c>
      <c r="F653" s="18" t="str">
        <f>IF(COUNTIF(REDUÇÕES!A:A,CST!B653)&gt;0,"REDUÇÃO","NÃO REDUÇÃO")</f>
        <v>NÃO REDUÇÃO</v>
      </c>
      <c r="G653" s="27">
        <f t="shared" si="10"/>
        <v>0</v>
      </c>
    </row>
    <row r="654" spans="1:7" x14ac:dyDescent="0.25">
      <c r="A654" s="120" t="str">
        <f>RIGHT(CSTABLE[[#This Row],[NomeNCM]],8)</f>
        <v>07052900</v>
      </c>
      <c r="B654" s="3" t="s">
        <v>2740</v>
      </c>
      <c r="C654" s="3" t="str">
        <f>IFERROR(VLOOKUP(B654,ST!C:D,2,0),"NÃOST")</f>
        <v>NÃOST</v>
      </c>
      <c r="D654" s="3"/>
      <c r="E654" s="3" t="str">
        <f>IF(COUNTIF(ISENÇÕES!A:A,CST!B654)&gt;0,"ISENÇÃO","SEM ISENÇÃO")</f>
        <v>ISENÇÃO</v>
      </c>
      <c r="F654" s="18" t="str">
        <f>IF(COUNTIF(REDUÇÕES!A:A,CST!B654)&gt;0,"REDUÇÃO","NÃO REDUÇÃO")</f>
        <v>NÃO REDUÇÃO</v>
      </c>
      <c r="G654" s="27">
        <f t="shared" si="10"/>
        <v>40</v>
      </c>
    </row>
    <row r="655" spans="1:7" x14ac:dyDescent="0.25">
      <c r="A655" s="120" t="str">
        <f>RIGHT(CSTABLE[[#This Row],[NomeNCM]],8)</f>
        <v>08131000</v>
      </c>
      <c r="B655" s="3" t="s">
        <v>3336</v>
      </c>
      <c r="C655" s="3" t="str">
        <f>IFERROR(VLOOKUP(B655,ST!C:D,2,0),"NÃOST")</f>
        <v>NÃOST</v>
      </c>
      <c r="D655" s="3"/>
      <c r="E655" s="3" t="str">
        <f>IF(COUNTIF(ISENÇÕES!A:A,CST!B655)&gt;0,"ISENÇÃO","SEM ISENÇÃO")</f>
        <v>ISENÇÃO</v>
      </c>
      <c r="F655" s="18" t="str">
        <f>IF(COUNTIF(REDUÇÕES!A:A,CST!B655)&gt;0,"REDUÇÃO","NÃO REDUÇÃO")</f>
        <v>NÃO REDUÇÃO</v>
      </c>
      <c r="G655" s="27">
        <f t="shared" si="10"/>
        <v>40</v>
      </c>
    </row>
    <row r="656" spans="1:7" x14ac:dyDescent="0.25">
      <c r="A656" s="120" t="str">
        <f>RIGHT(CSTABLE[[#This Row],[NomeNCM]],8)</f>
        <v>07097000</v>
      </c>
      <c r="B656" s="3" t="s">
        <v>284</v>
      </c>
      <c r="C656" s="3" t="str">
        <f>IFERROR(VLOOKUP(B656,ST!C:D,2,0),"NÃOST")</f>
        <v>NÃOST</v>
      </c>
      <c r="D656" s="3"/>
      <c r="E656" s="3" t="str">
        <f>IF(COUNTIF(ISENÇÕES!A:A,CST!B656)&gt;0,"ISENÇÃO","SEM ISENÇÃO")</f>
        <v>ISENÇÃO</v>
      </c>
      <c r="F656" s="18" t="str">
        <f>IF(COUNTIF(REDUÇÕES!A:A,CST!B656)&gt;0,"REDUÇÃO","NÃO REDUÇÃO")</f>
        <v>NÃO REDUÇÃO</v>
      </c>
      <c r="G656" s="27">
        <f t="shared" ref="G656:G719" si="11">VLOOKUP(C656&amp;F656&amp;E656,$B$3:$F$10,5,0)</f>
        <v>40</v>
      </c>
    </row>
    <row r="657" spans="1:7" x14ac:dyDescent="0.25">
      <c r="A657" s="120" t="str">
        <f>RIGHT(CSTABLE[[#This Row],[NomeNCM]],8)</f>
        <v>29157020</v>
      </c>
      <c r="B657" s="3" t="s">
        <v>4035</v>
      </c>
      <c r="C657" s="3" t="str">
        <f>IFERROR(VLOOKUP(B657,ST!C:D,2,0),"NÃOST")</f>
        <v>NÃOST</v>
      </c>
      <c r="D657" s="3"/>
      <c r="E657" s="3" t="str">
        <f>IF(COUNTIF(ISENÇÕES!A:A,CST!B657)&gt;0,"ISENÇÃO","SEM ISENÇÃO")</f>
        <v>SEM ISENÇÃO</v>
      </c>
      <c r="F657" s="18" t="str">
        <f>IF(COUNTIF(REDUÇÕES!A:A,CST!B657)&gt;0,"REDUÇÃO","NÃO REDUÇÃO")</f>
        <v>NÃO REDUÇÃO</v>
      </c>
      <c r="G657" s="27">
        <f t="shared" si="11"/>
        <v>0</v>
      </c>
    </row>
    <row r="658" spans="1:7" x14ac:dyDescent="0.25">
      <c r="A658" s="120" t="str">
        <f>RIGHT(CSTABLE[[#This Row],[NomeNCM]],8)</f>
        <v>28142000</v>
      </c>
      <c r="B658" s="3" t="s">
        <v>4036</v>
      </c>
      <c r="C658" s="3" t="str">
        <f>IFERROR(VLOOKUP(B658,ST!C:D,2,0),"NÃOST")</f>
        <v>NÃOST</v>
      </c>
      <c r="D658" s="3"/>
      <c r="E658" s="3" t="str">
        <f>IF(COUNTIF(ISENÇÕES!A:A,CST!B658)&gt;0,"ISENÇÃO","SEM ISENÇÃO")</f>
        <v>SEM ISENÇÃO</v>
      </c>
      <c r="F658" s="18" t="str">
        <f>IF(COUNTIF(REDUÇÕES!A:A,CST!B658)&gt;0,"REDUÇÃO","NÃO REDUÇÃO")</f>
        <v>NÃO REDUÇÃO</v>
      </c>
      <c r="G658" s="27">
        <f t="shared" si="11"/>
        <v>0</v>
      </c>
    </row>
    <row r="659" spans="1:7" x14ac:dyDescent="0.25">
      <c r="A659" s="120" t="str">
        <f>RIGHT(CSTABLE[[#This Row],[NomeNCM]],8)</f>
        <v>08129000</v>
      </c>
      <c r="B659" s="3" t="s">
        <v>4037</v>
      </c>
      <c r="C659" s="3" t="str">
        <f>IFERROR(VLOOKUP(B659,ST!C:D,2,0),"NÃOST")</f>
        <v>NÃOST</v>
      </c>
      <c r="D659" s="3"/>
      <c r="E659" s="3" t="str">
        <f>IF(COUNTIF(ISENÇÕES!A:A,CST!B659)&gt;0,"ISENÇÃO","SEM ISENÇÃO")</f>
        <v>SEM ISENÇÃO</v>
      </c>
      <c r="F659" s="18" t="str">
        <f>IF(COUNTIF(REDUÇÕES!A:A,CST!B659)&gt;0,"REDUÇÃO","NÃO REDUÇÃO")</f>
        <v>NÃO REDUÇÃO</v>
      </c>
      <c r="G659" s="27">
        <f t="shared" si="11"/>
        <v>0</v>
      </c>
    </row>
    <row r="660" spans="1:7" x14ac:dyDescent="0.25">
      <c r="A660" s="120" t="str">
        <f>RIGHT(CSTABLE[[#This Row],[NomeNCM]],8)</f>
        <v>08041020</v>
      </c>
      <c r="B660" s="3" t="s">
        <v>4038</v>
      </c>
      <c r="C660" s="3" t="str">
        <f>IFERROR(VLOOKUP(B660,ST!C:D,2,0),"NÃOST")</f>
        <v>NÃOST</v>
      </c>
      <c r="D660" s="3"/>
      <c r="E660" s="3" t="str">
        <f>IF(COUNTIF(ISENÇÕES!A:A,CST!B660)&gt;0,"ISENÇÃO","SEM ISENÇÃO")</f>
        <v>SEM ISENÇÃO</v>
      </c>
      <c r="F660" s="18" t="str">
        <f>IF(COUNTIF(REDUÇÕES!A:A,CST!B660)&gt;0,"REDUÇÃO","NÃO REDUÇÃO")</f>
        <v>NÃO REDUÇÃO</v>
      </c>
      <c r="G660" s="27">
        <f t="shared" si="11"/>
        <v>0</v>
      </c>
    </row>
    <row r="661" spans="1:7" x14ac:dyDescent="0.25">
      <c r="A661" s="120" t="str">
        <f>RIGHT(CSTABLE[[#This Row],[NomeNCM]],8)</f>
        <v>69120000</v>
      </c>
      <c r="B661" s="3" t="s">
        <v>4039</v>
      </c>
      <c r="C661" s="3" t="str">
        <f>IFERROR(VLOOKUP(B661,ST!C:D,2,0),"NÃOST")</f>
        <v>NÃOST</v>
      </c>
      <c r="D661" s="3"/>
      <c r="E661" s="3" t="str">
        <f>IF(COUNTIF(ISENÇÕES!A:A,CST!B661)&gt;0,"ISENÇÃO","SEM ISENÇÃO")</f>
        <v>SEM ISENÇÃO</v>
      </c>
      <c r="F661" s="18" t="str">
        <f>IF(COUNTIF(REDUÇÕES!A:A,CST!B661)&gt;0,"REDUÇÃO","NÃO REDUÇÃO")</f>
        <v>NÃO REDUÇÃO</v>
      </c>
      <c r="G661" s="27">
        <f t="shared" si="11"/>
        <v>0</v>
      </c>
    </row>
    <row r="662" spans="1:7" x14ac:dyDescent="0.25">
      <c r="A662" s="120" t="str">
        <f>RIGHT(CSTABLE[[#This Row],[NomeNCM]],8)</f>
        <v>52051100</v>
      </c>
      <c r="B662" s="3" t="s">
        <v>4040</v>
      </c>
      <c r="C662" s="3" t="str">
        <f>IFERROR(VLOOKUP(B662,ST!C:D,2,0),"NÃOST")</f>
        <v>NÃOST</v>
      </c>
      <c r="D662" s="3"/>
      <c r="E662" s="3" t="str">
        <f>IF(COUNTIF(ISENÇÕES!A:A,CST!B662)&gt;0,"ISENÇÃO","SEM ISENÇÃO")</f>
        <v>SEM ISENÇÃO</v>
      </c>
      <c r="F662" s="18" t="str">
        <f>IF(COUNTIF(REDUÇÕES!A:A,CST!B662)&gt;0,"REDUÇÃO","NÃO REDUÇÃO")</f>
        <v>NÃO REDUÇÃO</v>
      </c>
      <c r="G662" s="27">
        <f t="shared" si="11"/>
        <v>0</v>
      </c>
    </row>
    <row r="663" spans="1:7" x14ac:dyDescent="0.25">
      <c r="A663" s="120" t="str">
        <f>RIGHT(CSTABLE[[#This Row],[NomeNCM]],8)</f>
        <v>08022100</v>
      </c>
      <c r="B663" s="3" t="s">
        <v>4041</v>
      </c>
      <c r="C663" s="3" t="str">
        <f>IFERROR(VLOOKUP(B663,ST!C:D,2,0),"NÃOST")</f>
        <v>NÃOST</v>
      </c>
      <c r="D663" s="3"/>
      <c r="E663" s="3" t="str">
        <f>IF(COUNTIF(ISENÇÕES!A:A,CST!B663)&gt;0,"ISENÇÃO","SEM ISENÇÃO")</f>
        <v>SEM ISENÇÃO</v>
      </c>
      <c r="F663" s="18" t="str">
        <f>IF(COUNTIF(REDUÇÕES!A:A,CST!B663)&gt;0,"REDUÇÃO","NÃO REDUÇÃO")</f>
        <v>NÃO REDUÇÃO</v>
      </c>
      <c r="G663" s="27">
        <f t="shared" si="11"/>
        <v>0</v>
      </c>
    </row>
    <row r="664" spans="1:7" x14ac:dyDescent="0.25">
      <c r="A664" s="120" t="str">
        <f>RIGHT(CSTABLE[[#This Row],[NomeNCM]],8)</f>
        <v>48109290</v>
      </c>
      <c r="B664" s="3" t="s">
        <v>4042</v>
      </c>
      <c r="C664" s="3" t="str">
        <f>IFERROR(VLOOKUP(B664,ST!C:D,2,0),"NÃOST")</f>
        <v>NÃOST</v>
      </c>
      <c r="D664" s="3"/>
      <c r="E664" s="3" t="str">
        <f>IF(COUNTIF(ISENÇÕES!A:A,CST!B664)&gt;0,"ISENÇÃO","SEM ISENÇÃO")</f>
        <v>SEM ISENÇÃO</v>
      </c>
      <c r="F664" s="18" t="str">
        <f>IF(COUNTIF(REDUÇÕES!A:A,CST!B664)&gt;0,"REDUÇÃO","NÃO REDUÇÃO")</f>
        <v>NÃO REDUÇÃO</v>
      </c>
      <c r="G664" s="27">
        <f t="shared" si="11"/>
        <v>0</v>
      </c>
    </row>
    <row r="665" spans="1:7" x14ac:dyDescent="0.25">
      <c r="A665" s="120" t="str">
        <f>RIGHT(CSTABLE[[#This Row],[NomeNCM]],8)</f>
        <v>84733011</v>
      </c>
      <c r="B665" s="3" t="s">
        <v>1977</v>
      </c>
      <c r="C665" s="3" t="str">
        <f>IFERROR(VLOOKUP(B665,ST!C:D,2,0),"NÃOST")</f>
        <v>NÃOST</v>
      </c>
      <c r="D665" s="3"/>
      <c r="E665" s="3" t="str">
        <f>IF(COUNTIF(ISENÇÕES!A:A,CST!B665)&gt;0,"ISENÇÃO","SEM ISENÇÃO")</f>
        <v>SEM ISENÇÃO</v>
      </c>
      <c r="F665" s="18" t="str">
        <f>IF(COUNTIF(REDUÇÕES!A:A,CST!B665)&gt;0,"REDUÇÃO","NÃO REDUÇÃO")</f>
        <v>REDUÇÃO</v>
      </c>
      <c r="G665" s="27">
        <f t="shared" si="11"/>
        <v>20</v>
      </c>
    </row>
    <row r="666" spans="1:7" x14ac:dyDescent="0.25">
      <c r="A666" s="120" t="str">
        <f>RIGHT(CSTABLE[[#This Row],[NomeNCM]],8)</f>
        <v>39233000</v>
      </c>
      <c r="B666" s="3" t="s">
        <v>282</v>
      </c>
      <c r="C666" s="3" t="str">
        <f>IFERROR(VLOOKUP(B666,ST!C:D,2,0),"NÃOST")</f>
        <v>NÃOST</v>
      </c>
      <c r="D666" s="3"/>
      <c r="E666" s="3" t="str">
        <f>IF(COUNTIF(ISENÇÕES!A:A,CST!B666)&gt;0,"ISENÇÃO","SEM ISENÇÃO")</f>
        <v>SEM ISENÇÃO</v>
      </c>
      <c r="F666" s="18" t="str">
        <f>IF(COUNTIF(REDUÇÕES!A:A,CST!B666)&gt;0,"REDUÇÃO","NÃO REDUÇÃO")</f>
        <v>NÃO REDUÇÃO</v>
      </c>
      <c r="G666" s="27">
        <f t="shared" si="11"/>
        <v>0</v>
      </c>
    </row>
    <row r="667" spans="1:7" x14ac:dyDescent="0.25">
      <c r="A667" s="120" t="str">
        <f>RIGHT(CSTABLE[[#This Row],[NomeNCM]],8)</f>
        <v>12081000</v>
      </c>
      <c r="B667" s="3" t="s">
        <v>3347</v>
      </c>
      <c r="C667" s="3" t="str">
        <f>IFERROR(VLOOKUP(B667,ST!C:D,2,0),"NÃOST")</f>
        <v>NÃOST</v>
      </c>
      <c r="D667" s="3"/>
      <c r="E667" s="3" t="str">
        <f>IF(COUNTIF(ISENÇÕES!A:A,CST!B667)&gt;0,"ISENÇÃO","SEM ISENÇÃO")</f>
        <v>SEM ISENÇÃO</v>
      </c>
      <c r="F667" s="18" t="str">
        <f>IF(COUNTIF(REDUÇÕES!A:A,CST!B667)&gt;0,"REDUÇÃO","NÃO REDUÇÃO")</f>
        <v>NÃO REDUÇÃO</v>
      </c>
      <c r="G667" s="27">
        <f t="shared" si="11"/>
        <v>0</v>
      </c>
    </row>
    <row r="668" spans="1:7" x14ac:dyDescent="0.25">
      <c r="A668" s="120" t="str">
        <f>RIGHT(CSTABLE[[#This Row],[NomeNCM]],8)</f>
        <v>84145990</v>
      </c>
      <c r="B668" s="7" t="s">
        <v>161</v>
      </c>
      <c r="C668" s="3" t="str">
        <f>IFERROR(VLOOKUP(B668,ST!C:D,2,0),"NÃOST")</f>
        <v>NÃOST</v>
      </c>
      <c r="E668" s="3" t="str">
        <f>IF(COUNTIF(ISENÇÕES!A:A,CST!B668)&gt;0,"ISENÇÃO","SEM ISENÇÃO")</f>
        <v>SEM ISENÇÃO</v>
      </c>
      <c r="F668" s="18" t="str">
        <f>IF(COUNTIF(REDUÇÕES!A:A,CST!B668)&gt;0,"REDUÇÃO","NÃO REDUÇÃO")</f>
        <v>REDUÇÃO</v>
      </c>
      <c r="G668" s="27">
        <f t="shared" si="11"/>
        <v>20</v>
      </c>
    </row>
    <row r="669" spans="1:7" x14ac:dyDescent="0.25">
      <c r="A669" s="120" t="str">
        <f>RIGHT(CSTABLE[[#This Row],[NomeNCM]],8)</f>
        <v>08011200</v>
      </c>
      <c r="B669" s="7" t="s">
        <v>167</v>
      </c>
      <c r="C669" s="3" t="str">
        <f>IFERROR(VLOOKUP(B669,ST!C:D,2,0),"NÃOST")</f>
        <v>NÃOST</v>
      </c>
      <c r="E669" s="3" t="str">
        <f>IF(COUNTIF(ISENÇÕES!A:A,CST!B669)&gt;0,"ISENÇÃO","SEM ISENÇÃO")</f>
        <v>ISENÇÃO</v>
      </c>
      <c r="F669" s="18" t="str">
        <f>IF(COUNTIF(REDUÇÕES!A:A,CST!B669)&gt;0,"REDUÇÃO","NÃO REDUÇÃO")</f>
        <v>NÃO REDUÇÃO</v>
      </c>
      <c r="G669" s="27">
        <f t="shared" si="11"/>
        <v>40</v>
      </c>
    </row>
    <row r="670" spans="1:7" x14ac:dyDescent="0.25">
      <c r="A670" s="120" t="str">
        <f>RIGHT(CSTABLE[[#This Row],[NomeNCM]],8)</f>
        <v>16023210</v>
      </c>
      <c r="B670" s="7" t="s">
        <v>173</v>
      </c>
      <c r="C670" s="3" t="str">
        <f>IFERROR(VLOOKUP(B670,ST!C:D,2,0),"NÃOST")</f>
        <v>NÃOST</v>
      </c>
      <c r="E670" s="3" t="str">
        <f>IF(COUNTIF(ISENÇÕES!A:A,CST!B670)&gt;0,"ISENÇÃO","SEM ISENÇÃO")</f>
        <v>SEM ISENÇÃO</v>
      </c>
      <c r="F670" s="18" t="str">
        <f>IF(COUNTIF(REDUÇÕES!A:A,CST!B670)&gt;0,"REDUÇÃO","NÃO REDUÇÃO")</f>
        <v>NÃO REDUÇÃO</v>
      </c>
      <c r="G670" s="27">
        <f t="shared" si="11"/>
        <v>0</v>
      </c>
    </row>
    <row r="671" spans="1:7" x14ac:dyDescent="0.25">
      <c r="A671" s="120" t="str">
        <f>RIGHT(CSTABLE[[#This Row],[NomeNCM]],8)</f>
        <v>08109015</v>
      </c>
      <c r="B671" s="7" t="s">
        <v>191</v>
      </c>
      <c r="C671" s="3" t="str">
        <f>IFERROR(VLOOKUP(B671,ST!C:D,2,0),"NÃOST")</f>
        <v>NÃOST</v>
      </c>
      <c r="E671" s="3" t="str">
        <f>IF(COUNTIF(ISENÇÕES!A:A,CST!B671)&gt;0,"ISENÇÃO","SEM ISENÇÃO")</f>
        <v>ISENÇÃO</v>
      </c>
      <c r="F671" s="18" t="str">
        <f>IF(COUNTIF(REDUÇÕES!A:A,CST!B671)&gt;0,"REDUÇÃO","NÃO REDUÇÃO")</f>
        <v>NÃO REDUÇÃO</v>
      </c>
      <c r="G671" s="27">
        <f t="shared" si="11"/>
        <v>40</v>
      </c>
    </row>
    <row r="672" spans="1:7" x14ac:dyDescent="0.25">
      <c r="A672" s="120" t="str">
        <f>RIGHT(CSTABLE[[#This Row],[NomeNCM]],8)</f>
        <v>21050012</v>
      </c>
      <c r="B672" s="7" t="s">
        <v>118</v>
      </c>
      <c r="C672" s="3" t="str">
        <f>IFERROR(VLOOKUP(B672,ST!C:D,2,0),"NÃOST")</f>
        <v>ST</v>
      </c>
      <c r="E672" s="3" t="str">
        <f>IF(COUNTIF(ISENÇÕES!A:A,CST!B672)&gt;0,"ISENÇÃO","SEM ISENÇÃO")</f>
        <v>SEM ISENÇÃO</v>
      </c>
      <c r="F672" s="18" t="str">
        <f>IF(COUNTIF(REDUÇÕES!A:A,CST!B672)&gt;0,"REDUÇÃO","NÃO REDUÇÃO")</f>
        <v>NÃO REDUÇÃO</v>
      </c>
      <c r="G672" s="27">
        <f t="shared" si="11"/>
        <v>60</v>
      </c>
    </row>
    <row r="673" spans="1:7" x14ac:dyDescent="0.25">
      <c r="A673" s="120" t="str">
        <f>RIGHT(CSTABLE[[#This Row],[NomeNCM]],8)</f>
        <v>03038953</v>
      </c>
      <c r="B673" s="7" t="s">
        <v>206</v>
      </c>
      <c r="C673" s="3" t="str">
        <f>IFERROR(VLOOKUP(B673,ST!C:D,2,0),"NÃOST")</f>
        <v>NÃOST</v>
      </c>
      <c r="E673" s="3" t="str">
        <f>IF(COUNTIF(ISENÇÕES!A:A,CST!B673)&gt;0,"ISENÇÃO","SEM ISENÇÃO")</f>
        <v>SEM ISENÇÃO</v>
      </c>
      <c r="F673" s="18" t="str">
        <f>IF(COUNTIF(REDUÇÕES!A:A,CST!B673)&gt;0,"REDUÇÃO","NÃO REDUÇÃO")</f>
        <v>NÃO REDUÇÃO</v>
      </c>
      <c r="G673" s="27">
        <f t="shared" si="11"/>
        <v>0</v>
      </c>
    </row>
    <row r="674" spans="1:7" x14ac:dyDescent="0.25">
      <c r="A674" s="120" t="str">
        <f>RIGHT(CSTABLE[[#This Row],[NomeNCM]],8)</f>
        <v>07051900</v>
      </c>
      <c r="B674" s="7" t="s">
        <v>209</v>
      </c>
      <c r="C674" s="3" t="str">
        <f>IFERROR(VLOOKUP(B674,ST!C:D,2,0),"NÃOST")</f>
        <v>NÃOST</v>
      </c>
      <c r="E674" s="3" t="str">
        <f>IF(COUNTIF(ISENÇÕES!A:A,CST!B674)&gt;0,"ISENÇÃO","SEM ISENÇÃO")</f>
        <v>ISENÇÃO</v>
      </c>
      <c r="F674" s="18" t="str">
        <f>IF(COUNTIF(REDUÇÕES!A:A,CST!B674)&gt;0,"REDUÇÃO","NÃO REDUÇÃO")</f>
        <v>NÃO REDUÇÃO</v>
      </c>
      <c r="G674" s="27">
        <f t="shared" si="11"/>
        <v>40</v>
      </c>
    </row>
    <row r="675" spans="1:7" x14ac:dyDescent="0.25">
      <c r="A675" s="120" t="str">
        <f>RIGHT(CSTABLE[[#This Row],[NomeNCM]],8)</f>
        <v>96031000</v>
      </c>
      <c r="B675" s="7" t="s">
        <v>210</v>
      </c>
      <c r="C675" s="3" t="str">
        <f>IFERROR(VLOOKUP(B675,ST!C:D,2,0),"NÃOST")</f>
        <v>NÃOST</v>
      </c>
      <c r="E675" s="3" t="str">
        <f>IF(COUNTIF(ISENÇÕES!A:A,CST!B675)&gt;0,"ISENÇÃO","SEM ISENÇÃO")</f>
        <v>SEM ISENÇÃO</v>
      </c>
      <c r="F675" s="18" t="str">
        <f>IF(COUNTIF(REDUÇÕES!A:A,CST!B675)&gt;0,"REDUÇÃO","NÃO REDUÇÃO")</f>
        <v>REDUÇÃO</v>
      </c>
      <c r="G675" s="27">
        <f t="shared" si="11"/>
        <v>20</v>
      </c>
    </row>
    <row r="676" spans="1:7" x14ac:dyDescent="0.25">
      <c r="A676" s="120" t="str">
        <f>RIGHT(CSTABLE[[#This Row],[NomeNCM]],8)</f>
        <v>02012020</v>
      </c>
      <c r="B676" s="7" t="s">
        <v>214</v>
      </c>
      <c r="C676" s="3" t="str">
        <f>IFERROR(VLOOKUP(B676,ST!C:D,2,0),"NÃOST")</f>
        <v>NÃOST</v>
      </c>
      <c r="E676" s="3" t="str">
        <f>IF(COUNTIF(ISENÇÕES!A:A,CST!B676)&gt;0,"ISENÇÃO","SEM ISENÇÃO")</f>
        <v>SEM ISENÇÃO</v>
      </c>
      <c r="F676" s="18" t="str">
        <f>IF(COUNTIF(REDUÇÕES!A:A,CST!B676)&gt;0,"REDUÇÃO","NÃO REDUÇÃO")</f>
        <v>NÃO REDUÇÃO</v>
      </c>
      <c r="G676" s="27">
        <f t="shared" si="11"/>
        <v>0</v>
      </c>
    </row>
    <row r="677" spans="1:7" x14ac:dyDescent="0.25">
      <c r="A677" s="120" t="str">
        <f>RIGHT(CSTABLE[[#This Row],[NomeNCM]],8)</f>
        <v>07143000</v>
      </c>
      <c r="B677" s="7" t="s">
        <v>232</v>
      </c>
      <c r="C677" s="3" t="str">
        <f>IFERROR(VLOOKUP(B677,ST!C:D,2,0),"NÃOST")</f>
        <v>NÃOST</v>
      </c>
      <c r="E677" s="3" t="str">
        <f>IF(COUNTIF(ISENÇÕES!A:A,CST!B677)&gt;0,"ISENÇÃO","SEM ISENÇÃO")</f>
        <v>ISENÇÃO</v>
      </c>
      <c r="F677" s="18" t="str">
        <f>IF(COUNTIF(REDUÇÕES!A:A,CST!B677)&gt;0,"REDUÇÃO","NÃO REDUÇÃO")</f>
        <v>NÃO REDUÇÃO</v>
      </c>
      <c r="G677" s="27">
        <f t="shared" si="11"/>
        <v>40</v>
      </c>
    </row>
    <row r="678" spans="1:7" x14ac:dyDescent="0.25">
      <c r="A678" s="120" t="str">
        <f>RIGHT(CSTABLE[[#This Row],[NomeNCM]],8)</f>
        <v>02061000</v>
      </c>
      <c r="B678" s="7" t="s">
        <v>237</v>
      </c>
      <c r="C678" s="3" t="str">
        <f>IFERROR(VLOOKUP(B678,ST!C:D,2,0),"NÃOST")</f>
        <v>NÃOST</v>
      </c>
      <c r="E678" s="3" t="str">
        <f>IF(COUNTIF(ISENÇÕES!A:A,CST!B678)&gt;0,"ISENÇÃO","SEM ISENÇÃO")</f>
        <v>SEM ISENÇÃO</v>
      </c>
      <c r="F678" s="18" t="str">
        <f>IF(COUNTIF(REDUÇÕES!A:A,CST!B678)&gt;0,"REDUÇÃO","NÃO REDUÇÃO")</f>
        <v>NÃO REDUÇÃO</v>
      </c>
      <c r="G678" s="27">
        <f t="shared" si="11"/>
        <v>0</v>
      </c>
    </row>
    <row r="679" spans="1:7" x14ac:dyDescent="0.25">
      <c r="A679" s="120" t="str">
        <f>RIGHT(CSTABLE[[#This Row],[NomeNCM]],8)</f>
        <v>03048990</v>
      </c>
      <c r="B679" s="7" t="s">
        <v>238</v>
      </c>
      <c r="C679" s="3" t="str">
        <f>IFERROR(VLOOKUP(B679,ST!C:D,2,0),"NÃOST")</f>
        <v>NÃOST</v>
      </c>
      <c r="E679" s="3" t="str">
        <f>IF(COUNTIF(ISENÇÕES!A:A,CST!B679)&gt;0,"ISENÇÃO","SEM ISENÇÃO")</f>
        <v>SEM ISENÇÃO</v>
      </c>
      <c r="F679" s="18" t="str">
        <f>IF(COUNTIF(REDUÇÕES!A:A,CST!B679)&gt;0,"REDUÇÃO","NÃO REDUÇÃO")</f>
        <v>NÃO REDUÇÃO</v>
      </c>
      <c r="G679" s="27">
        <f t="shared" si="11"/>
        <v>0</v>
      </c>
    </row>
    <row r="680" spans="1:7" x14ac:dyDescent="0.25">
      <c r="A680" s="120" t="str">
        <f>RIGHT(CSTABLE[[#This Row],[NomeNCM]],8)</f>
        <v>02012010</v>
      </c>
      <c r="B680" s="7" t="s">
        <v>249</v>
      </c>
      <c r="C680" s="3" t="str">
        <f>IFERROR(VLOOKUP(B680,ST!C:D,2,0),"NÃOST")</f>
        <v>NÃOST</v>
      </c>
      <c r="E680" s="3" t="str">
        <f>IF(COUNTIF(ISENÇÕES!A:A,CST!B680)&gt;0,"ISENÇÃO","SEM ISENÇÃO")</f>
        <v>SEM ISENÇÃO</v>
      </c>
      <c r="F680" s="18" t="str">
        <f>IF(COUNTIF(REDUÇÕES!A:A,CST!B680)&gt;0,"REDUÇÃO","NÃO REDUÇÃO")</f>
        <v>NÃO REDUÇÃO</v>
      </c>
      <c r="G680" s="27">
        <f t="shared" si="11"/>
        <v>0</v>
      </c>
    </row>
    <row r="681" spans="1:7" x14ac:dyDescent="0.25">
      <c r="A681" s="120" t="str">
        <f>RIGHT(CSTABLE[[#This Row],[NomeNCM]],8)</f>
        <v>21069021</v>
      </c>
      <c r="B681" s="7" t="s">
        <v>250</v>
      </c>
      <c r="C681" s="3" t="str">
        <f>IFERROR(VLOOKUP(B681,ST!C:D,2,0),"NÃOST")</f>
        <v>NÃOST</v>
      </c>
      <c r="E681" s="3" t="str">
        <f>IF(COUNTIF(ISENÇÕES!A:A,CST!B681)&gt;0,"ISENÇÃO","SEM ISENÇÃO")</f>
        <v>SEM ISENÇÃO</v>
      </c>
      <c r="F681" s="18" t="str">
        <f>IF(COUNTIF(REDUÇÕES!A:A,CST!B681)&gt;0,"REDUÇÃO","NÃO REDUÇÃO")</f>
        <v>NÃO REDUÇÃO</v>
      </c>
      <c r="G681" s="27">
        <f t="shared" si="11"/>
        <v>0</v>
      </c>
    </row>
    <row r="682" spans="1:7" x14ac:dyDescent="0.25">
      <c r="A682" s="120" t="str">
        <f>RIGHT(CSTABLE[[#This Row],[NomeNCM]],8)</f>
        <v>03038955</v>
      </c>
      <c r="B682" s="7" t="s">
        <v>253</v>
      </c>
      <c r="C682" s="3" t="str">
        <f>IFERROR(VLOOKUP(B682,ST!C:D,2,0),"NÃOST")</f>
        <v>NÃOST</v>
      </c>
      <c r="E682" s="3" t="str">
        <f>IF(COUNTIF(ISENÇÕES!A:A,CST!B682)&gt;0,"ISENÇÃO","SEM ISENÇÃO")</f>
        <v>SEM ISENÇÃO</v>
      </c>
      <c r="F682" s="18" t="str">
        <f>IF(COUNTIF(REDUÇÕES!A:A,CST!B682)&gt;0,"REDUÇÃO","NÃO REDUÇÃO")</f>
        <v>NÃO REDUÇÃO</v>
      </c>
      <c r="G682" s="27">
        <f t="shared" si="11"/>
        <v>0</v>
      </c>
    </row>
    <row r="683" spans="1:7" x14ac:dyDescent="0.25">
      <c r="A683" s="120" t="str">
        <f>RIGHT(CSTABLE[[#This Row],[NomeNCM]],8)</f>
        <v>03038963</v>
      </c>
      <c r="B683" s="7" t="s">
        <v>262</v>
      </c>
      <c r="C683" s="3" t="str">
        <f>IFERROR(VLOOKUP(B683,ST!C:D,2,0),"NÃOST")</f>
        <v>NÃOST</v>
      </c>
      <c r="E683" s="3" t="str">
        <f>IF(COUNTIF(ISENÇÕES!A:A,CST!B683)&gt;0,"ISENÇÃO","SEM ISENÇÃO")</f>
        <v>SEM ISENÇÃO</v>
      </c>
      <c r="F683" s="18" t="str">
        <f>IF(COUNTIF(REDUÇÕES!A:A,CST!B683)&gt;0,"REDUÇÃO","NÃO REDUÇÃO")</f>
        <v>NÃO REDUÇÃO</v>
      </c>
      <c r="G683" s="27">
        <f t="shared" si="11"/>
        <v>0</v>
      </c>
    </row>
    <row r="684" spans="1:7" x14ac:dyDescent="0.25">
      <c r="A684" s="120" t="str">
        <f>RIGHT(CSTABLE[[#This Row],[NomeNCM]],8)</f>
        <v>03043100</v>
      </c>
      <c r="B684" s="7" t="s">
        <v>265</v>
      </c>
      <c r="C684" s="3" t="str">
        <f>IFERROR(VLOOKUP(B684,ST!C:D,2,0),"NÃOST")</f>
        <v>NÃOST</v>
      </c>
      <c r="E684" s="3" t="str">
        <f>IF(COUNTIF(ISENÇÕES!A:A,CST!B684)&gt;0,"ISENÇÃO","SEM ISENÇÃO")</f>
        <v>SEM ISENÇÃO</v>
      </c>
      <c r="F684" s="18" t="str">
        <f>IF(COUNTIF(REDUÇÕES!A:A,CST!B684)&gt;0,"REDUÇÃO","NÃO REDUÇÃO")</f>
        <v>NÃO REDUÇÃO</v>
      </c>
      <c r="G684" s="27">
        <f t="shared" si="11"/>
        <v>0</v>
      </c>
    </row>
    <row r="685" spans="1:7" x14ac:dyDescent="0.25">
      <c r="A685" s="120" t="str">
        <f>RIGHT(CSTABLE[[#This Row],[NomeNCM]],8)</f>
        <v>03035300</v>
      </c>
      <c r="B685" s="7" t="s">
        <v>272</v>
      </c>
      <c r="C685" s="3" t="str">
        <f>IFERROR(VLOOKUP(B685,ST!C:D,2,0),"NÃOST")</f>
        <v>NÃOST</v>
      </c>
      <c r="E685" s="3" t="str">
        <f>IF(COUNTIF(ISENÇÕES!A:A,CST!B685)&gt;0,"ISENÇÃO","SEM ISENÇÃO")</f>
        <v>SEM ISENÇÃO</v>
      </c>
      <c r="F685" s="18" t="str">
        <f>IF(COUNTIF(REDUÇÕES!A:A,CST!B685)&gt;0,"REDUÇÃO","NÃO REDUÇÃO")</f>
        <v>NÃO REDUÇÃO</v>
      </c>
      <c r="G685" s="27">
        <f t="shared" si="11"/>
        <v>0</v>
      </c>
    </row>
    <row r="686" spans="1:7" x14ac:dyDescent="0.25">
      <c r="A686" s="120" t="str">
        <f>RIGHT(CSTABLE[[#This Row],[NomeNCM]],8)</f>
        <v>03038961</v>
      </c>
      <c r="B686" s="7" t="s">
        <v>273</v>
      </c>
      <c r="C686" s="3" t="str">
        <f>IFERROR(VLOOKUP(B686,ST!C:D,2,0),"NÃOST")</f>
        <v>NÃOST</v>
      </c>
      <c r="E686" s="3" t="str">
        <f>IF(COUNTIF(ISENÇÕES!A:A,CST!B686)&gt;0,"ISENÇÃO","SEM ISENÇÃO")</f>
        <v>SEM ISENÇÃO</v>
      </c>
      <c r="F686" s="18" t="str">
        <f>IF(COUNTIF(REDUÇÕES!A:A,CST!B686)&gt;0,"REDUÇÃO","NÃO REDUÇÃO")</f>
        <v>NÃO REDUÇÃO</v>
      </c>
      <c r="G686" s="27">
        <f t="shared" si="11"/>
        <v>0</v>
      </c>
    </row>
    <row r="687" spans="1:7" x14ac:dyDescent="0.25">
      <c r="A687" s="120" t="str">
        <f>RIGHT(CSTABLE[[#This Row],[NomeNCM]],8)</f>
        <v>04021000</v>
      </c>
      <c r="B687" s="7" t="s">
        <v>278</v>
      </c>
      <c r="C687" s="3" t="str">
        <f>IFERROR(VLOOKUP(B687,ST!C:D,2,0),"NÃOST")</f>
        <v>NÃOST</v>
      </c>
      <c r="E687" s="3" t="str">
        <f>IF(COUNTIF(ISENÇÕES!A:A,CST!B687)&gt;0,"ISENÇÃO","SEM ISENÇÃO")</f>
        <v>SEM ISENÇÃO</v>
      </c>
      <c r="F687" s="18" t="str">
        <f>IF(COUNTIF(REDUÇÕES!A:A,CST!B687)&gt;0,"REDUÇÃO","NÃO REDUÇÃO")</f>
        <v>NÃO REDUÇÃO</v>
      </c>
      <c r="G687" s="27">
        <f t="shared" si="11"/>
        <v>0</v>
      </c>
    </row>
    <row r="688" spans="1:7" x14ac:dyDescent="0.25">
      <c r="A688" s="120" t="str">
        <f>RIGHT(CSTABLE[[#This Row],[NomeNCM]],8)</f>
        <v>02062100</v>
      </c>
      <c r="B688" s="7" t="s">
        <v>283</v>
      </c>
      <c r="C688" s="3" t="str">
        <f>IFERROR(VLOOKUP(B688,ST!C:D,2,0),"NÃOST")</f>
        <v>NÃOST</v>
      </c>
      <c r="E688" s="3" t="str">
        <f>IF(COUNTIF(ISENÇÕES!A:A,CST!B688)&gt;0,"ISENÇÃO","SEM ISENÇÃO")</f>
        <v>SEM ISENÇÃO</v>
      </c>
      <c r="F688" s="18" t="str">
        <f>IF(COUNTIF(REDUÇÕES!A:A,CST!B688)&gt;0,"REDUÇÃO","NÃO REDUÇÃO")</f>
        <v>NÃO REDUÇÃO</v>
      </c>
      <c r="G688" s="27">
        <f t="shared" si="11"/>
        <v>0</v>
      </c>
    </row>
    <row r="689" spans="1:7" x14ac:dyDescent="0.25">
      <c r="A689" s="120" t="str">
        <f>RIGHT(CSTABLE[[#This Row],[NomeNCM]],8)</f>
        <v>04071900</v>
      </c>
      <c r="B689" s="7" t="s">
        <v>285</v>
      </c>
      <c r="C689" s="3" t="str">
        <f>IFERROR(VLOOKUP(B689,ST!C:D,2,0),"NÃOST")</f>
        <v>NÃOST</v>
      </c>
      <c r="E689" s="3" t="str">
        <f>IF(COUNTIF(ISENÇÕES!A:A,CST!B689)&gt;0,"ISENÇÃO","SEM ISENÇÃO")</f>
        <v>ISENÇÃO</v>
      </c>
      <c r="F689" s="18" t="str">
        <f>IF(COUNTIF(REDUÇÕES!A:A,CST!B689)&gt;0,"REDUÇÃO","NÃO REDUÇÃO")</f>
        <v>NÃO REDUÇÃO</v>
      </c>
      <c r="G689" s="27">
        <f t="shared" si="11"/>
        <v>40</v>
      </c>
    </row>
    <row r="690" spans="1:7" x14ac:dyDescent="0.25">
      <c r="A690" s="120" t="str">
        <f>RIGHT(CSTABLE[[#This Row],[NomeNCM]],8)</f>
        <v>07133590</v>
      </c>
      <c r="B690" s="7" t="s">
        <v>287</v>
      </c>
      <c r="C690" s="3" t="str">
        <f>IFERROR(VLOOKUP(B690,ST!C:D,2,0),"NÃOST")</f>
        <v>NÃOST</v>
      </c>
      <c r="E690" s="3" t="str">
        <f>IF(COUNTIF(ISENÇÕES!A:A,CST!B690)&gt;0,"ISENÇÃO","SEM ISENÇÃO")</f>
        <v>SEM ISENÇÃO</v>
      </c>
      <c r="F690" s="18" t="str">
        <f>IF(COUNTIF(REDUÇÕES!A:A,CST!B690)&gt;0,"REDUÇÃO","NÃO REDUÇÃO")</f>
        <v>REDUÇÃO</v>
      </c>
      <c r="G690" s="27">
        <f t="shared" si="11"/>
        <v>20</v>
      </c>
    </row>
    <row r="691" spans="1:7" x14ac:dyDescent="0.25">
      <c r="A691" s="120" t="str">
        <f>RIGHT(CSTABLE[[#This Row],[NomeNCM]],8)</f>
        <v>03047400</v>
      </c>
      <c r="B691" s="7" t="s">
        <v>289</v>
      </c>
      <c r="C691" s="3" t="str">
        <f>IFERROR(VLOOKUP(B691,ST!C:D,2,0),"NÃOST")</f>
        <v>NÃOST</v>
      </c>
      <c r="E691" s="3" t="str">
        <f>IF(COUNTIF(ISENÇÕES!A:A,CST!B691)&gt;0,"ISENÇÃO","SEM ISENÇÃO")</f>
        <v>SEM ISENÇÃO</v>
      </c>
      <c r="F691" s="18" t="str">
        <f>IF(COUNTIF(REDUÇÕES!A:A,CST!B691)&gt;0,"REDUÇÃO","NÃO REDUÇÃO")</f>
        <v>NÃO REDUÇÃO</v>
      </c>
      <c r="G691" s="27">
        <f t="shared" si="11"/>
        <v>0</v>
      </c>
    </row>
    <row r="692" spans="1:7" x14ac:dyDescent="0.25">
      <c r="A692" s="120" t="str">
        <f>RIGHT(CSTABLE[[#This Row],[NomeNCM]],8)</f>
        <v>02062910</v>
      </c>
      <c r="B692" s="7" t="s">
        <v>292</v>
      </c>
      <c r="C692" s="3" t="str">
        <f>IFERROR(VLOOKUP(B692,ST!C:D,2,0),"NÃOST")</f>
        <v>NÃOST</v>
      </c>
      <c r="E692" s="3" t="str">
        <f>IF(COUNTIF(ISENÇÕES!A:A,CST!B692)&gt;0,"ISENÇÃO","SEM ISENÇÃO")</f>
        <v>SEM ISENÇÃO</v>
      </c>
      <c r="F692" s="18" t="str">
        <f>IF(COUNTIF(REDUÇÕES!A:A,CST!B692)&gt;0,"REDUÇÃO","NÃO REDUÇÃO")</f>
        <v>NÃO REDUÇÃO</v>
      </c>
      <c r="G692" s="27">
        <f t="shared" si="11"/>
        <v>0</v>
      </c>
    </row>
    <row r="693" spans="1:7" x14ac:dyDescent="0.25">
      <c r="A693" s="120" t="str">
        <f>RIGHT(CSTABLE[[#This Row],[NomeNCM]],8)</f>
        <v>20098921</v>
      </c>
      <c r="B693" s="7" t="s">
        <v>294</v>
      </c>
      <c r="C693" s="3" t="str">
        <f>IFERROR(VLOOKUP(B693,ST!C:D,2,0),"NÃOST")</f>
        <v>NÃOST</v>
      </c>
      <c r="E693" s="3" t="str">
        <f>IF(COUNTIF(ISENÇÕES!A:A,CST!B693)&gt;0,"ISENÇÃO","SEM ISENÇÃO")</f>
        <v>SEM ISENÇÃO</v>
      </c>
      <c r="F693" s="18" t="str">
        <f>IF(COUNTIF(REDUÇÕES!A:A,CST!B693)&gt;0,"REDUÇÃO","NÃO REDUÇÃO")</f>
        <v>NÃO REDUÇÃO</v>
      </c>
      <c r="G693" s="27">
        <f t="shared" si="11"/>
        <v>0</v>
      </c>
    </row>
    <row r="694" spans="1:7" x14ac:dyDescent="0.25">
      <c r="A694" s="120" t="str">
        <f>RIGHT(CSTABLE[[#This Row],[NomeNCM]],8)</f>
        <v>44219900</v>
      </c>
      <c r="B694" s="7" t="s">
        <v>295</v>
      </c>
      <c r="C694" s="3" t="str">
        <f>IFERROR(VLOOKUP(B694,ST!C:D,2,0),"NÃOST")</f>
        <v>NÃOST</v>
      </c>
      <c r="E694" s="3" t="str">
        <f>IF(COUNTIF(ISENÇÕES!A:A,CST!B694)&gt;0,"ISENÇÃO","SEM ISENÇÃO")</f>
        <v>SEM ISENÇÃO</v>
      </c>
      <c r="F694" s="18" t="str">
        <f>IF(COUNTIF(REDUÇÕES!A:A,CST!B694)&gt;0,"REDUÇÃO","NÃO REDUÇÃO")</f>
        <v>NÃO REDUÇÃO</v>
      </c>
      <c r="G694" s="27">
        <f t="shared" si="11"/>
        <v>0</v>
      </c>
    </row>
    <row r="695" spans="1:7" x14ac:dyDescent="0.25">
      <c r="A695" s="120" t="str">
        <f>RIGHT(CSTABLE[[#This Row],[NomeNCM]],8)</f>
        <v>29141100</v>
      </c>
      <c r="B695" s="7" t="s">
        <v>296</v>
      </c>
      <c r="C695" s="3" t="str">
        <f>IFERROR(VLOOKUP(B695,ST!C:D,2,0),"NÃOST")</f>
        <v>NÃOST</v>
      </c>
      <c r="E695" s="3" t="str">
        <f>IF(COUNTIF(ISENÇÕES!A:A,CST!B695)&gt;0,"ISENÇÃO","SEM ISENÇÃO")</f>
        <v>SEM ISENÇÃO</v>
      </c>
      <c r="F695" s="18" t="str">
        <f>IF(COUNTIF(REDUÇÕES!A:A,CST!B695)&gt;0,"REDUÇÃO","NÃO REDUÇÃO")</f>
        <v>NÃO REDUÇÃO</v>
      </c>
      <c r="G695" s="27">
        <f t="shared" si="11"/>
        <v>0</v>
      </c>
    </row>
    <row r="696" spans="1:7" x14ac:dyDescent="0.25">
      <c r="A696" s="120" t="str">
        <f>RIGHT(CSTABLE[[#This Row],[NomeNCM]],8)</f>
        <v>93000000</v>
      </c>
      <c r="B696" s="7" t="s">
        <v>297</v>
      </c>
      <c r="C696" s="3" t="str">
        <f>IFERROR(VLOOKUP(B696,ST!C:D,2,0),"NÃOST")</f>
        <v>NÃOST</v>
      </c>
      <c r="E696" s="3" t="str">
        <f>IF(COUNTIF(ISENÇÕES!A:A,CST!B696)&gt;0,"ISENÇÃO","SEM ISENÇÃO")</f>
        <v>SEM ISENÇÃO</v>
      </c>
      <c r="F696" s="18" t="str">
        <f>IF(COUNTIF(REDUÇÕES!A:A,CST!B696)&gt;0,"REDUÇÃO","NÃO REDUÇÃO")</f>
        <v>NÃO REDUÇÃO</v>
      </c>
      <c r="G696" s="27">
        <f t="shared" si="11"/>
        <v>0</v>
      </c>
    </row>
    <row r="697" spans="1:7" x14ac:dyDescent="0.25">
      <c r="A697" s="120" t="str">
        <f>RIGHT(CSTABLE[[#This Row],[NomeNCM]],8)</f>
        <v>04022000</v>
      </c>
      <c r="B697" s="7" t="s">
        <v>298</v>
      </c>
      <c r="C697" s="3" t="str">
        <f>IFERROR(VLOOKUP(B697,ST!C:D,2,0),"NÃOST")</f>
        <v>NÃOST</v>
      </c>
      <c r="E697" s="3" t="str">
        <f>IF(COUNTIF(ISENÇÕES!A:A,CST!B697)&gt;0,"ISENÇÃO","SEM ISENÇÃO")</f>
        <v>SEM ISENÇÃO</v>
      </c>
      <c r="F697" s="18" t="str">
        <f>IF(COUNTIF(REDUÇÕES!A:A,CST!B697)&gt;0,"REDUÇÃO","NÃO REDUÇÃO")</f>
        <v>NÃO REDUÇÃO</v>
      </c>
      <c r="G697" s="27">
        <f t="shared" si="11"/>
        <v>0</v>
      </c>
    </row>
    <row r="698" spans="1:7" x14ac:dyDescent="0.25">
      <c r="A698" s="120" t="str">
        <f>RIGHT(CSTABLE[[#This Row],[NomeNCM]],8)</f>
        <v>15099090</v>
      </c>
      <c r="B698" s="7" t="s">
        <v>299</v>
      </c>
      <c r="C698" s="3" t="str">
        <f>IFERROR(VLOOKUP(B698,ST!C:D,2,0),"NÃOST")</f>
        <v>NÃOST</v>
      </c>
      <c r="E698" s="3" t="str">
        <f>IF(COUNTIF(ISENÇÕES!A:A,CST!B698)&gt;0,"ISENÇÃO","SEM ISENÇÃO")</f>
        <v>SEM ISENÇÃO</v>
      </c>
      <c r="F698" s="18" t="str">
        <f>IF(COUNTIF(REDUÇÕES!A:A,CST!B698)&gt;0,"REDUÇÃO","NÃO REDUÇÃO")</f>
        <v>NÃO REDUÇÃO</v>
      </c>
      <c r="G698" s="27">
        <f t="shared" si="11"/>
        <v>0</v>
      </c>
    </row>
    <row r="699" spans="1:7" x14ac:dyDescent="0.25">
      <c r="A699" s="120" t="str">
        <f>RIGHT(CSTABLE[[#This Row],[NomeNCM]],8)</f>
        <v>09096210</v>
      </c>
      <c r="B699" s="7" t="s">
        <v>300</v>
      </c>
      <c r="C699" s="3" t="str">
        <f>IFERROR(VLOOKUP(B699,ST!C:D,2,0),"NÃOST")</f>
        <v>NÃOST</v>
      </c>
      <c r="E699" s="3" t="str">
        <f>IF(COUNTIF(ISENÇÕES!A:A,CST!B699)&gt;0,"ISENÇÃO","SEM ISENÇÃO")</f>
        <v>SEM ISENÇÃO</v>
      </c>
      <c r="F699" s="18" t="str">
        <f>IF(COUNTIF(REDUÇÕES!A:A,CST!B699)&gt;0,"REDUÇÃO","NÃO REDUÇÃO")</f>
        <v>NÃO REDUÇÃO</v>
      </c>
      <c r="G699" s="27">
        <f t="shared" si="11"/>
        <v>0</v>
      </c>
    </row>
    <row r="700" spans="1:7" x14ac:dyDescent="0.25">
      <c r="A700" s="120" t="str">
        <f>RIGHT(CSTABLE[[#This Row],[NomeNCM]],8)</f>
        <v>56012110</v>
      </c>
      <c r="B700" s="7" t="s">
        <v>301</v>
      </c>
      <c r="C700" s="3" t="str">
        <f>IFERROR(VLOOKUP(B700,ST!C:D,2,0),"NÃOST")</f>
        <v>NÃOST</v>
      </c>
      <c r="E700" s="3" t="str">
        <f>IF(COUNTIF(ISENÇÕES!A:A,CST!B700)&gt;0,"ISENÇÃO","SEM ISENÇÃO")</f>
        <v>SEM ISENÇÃO</v>
      </c>
      <c r="F700" s="18" t="str">
        <f>IF(COUNTIF(REDUÇÕES!A:A,CST!B700)&gt;0,"REDUÇÃO","NÃO REDUÇÃO")</f>
        <v>NÃO REDUÇÃO</v>
      </c>
      <c r="G700" s="27">
        <f t="shared" si="11"/>
        <v>0</v>
      </c>
    </row>
    <row r="701" spans="1:7" x14ac:dyDescent="0.25">
      <c r="A701" s="120" t="str">
        <f>RIGHT(CSTABLE[[#This Row],[NomeNCM]],8)</f>
        <v>39100012</v>
      </c>
      <c r="B701" s="7" t="s">
        <v>302</v>
      </c>
      <c r="C701" s="3" t="str">
        <f>IFERROR(VLOOKUP(B701,ST!C:D,2,0),"NÃOST")</f>
        <v>NÃOST</v>
      </c>
      <c r="E701" s="3" t="str">
        <f>IF(COUNTIF(ISENÇÕES!A:A,CST!B701)&gt;0,"ISENÇÃO","SEM ISENÇÃO")</f>
        <v>SEM ISENÇÃO</v>
      </c>
      <c r="F701" s="18" t="str">
        <f>IF(COUNTIF(REDUÇÕES!A:A,CST!B701)&gt;0,"REDUÇÃO","NÃO REDUÇÃO")</f>
        <v>NÃO REDUÇÃO</v>
      </c>
      <c r="G701" s="27">
        <f t="shared" si="11"/>
        <v>0</v>
      </c>
    </row>
    <row r="702" spans="1:7" x14ac:dyDescent="0.25">
      <c r="A702" s="120" t="str">
        <f>RIGHT(CSTABLE[[#This Row],[NomeNCM]],8)</f>
        <v>20088000</v>
      </c>
      <c r="B702" s="7" t="s">
        <v>303</v>
      </c>
      <c r="C702" s="3" t="str">
        <f>IFERROR(VLOOKUP(B702,ST!C:D,2,0),"NÃOST")</f>
        <v>NÃOST</v>
      </c>
      <c r="E702" s="3" t="str">
        <f>IF(COUNTIF(ISENÇÕES!A:A,CST!B702)&gt;0,"ISENÇÃO","SEM ISENÇÃO")</f>
        <v>SEM ISENÇÃO</v>
      </c>
      <c r="F702" s="18" t="str">
        <f>IF(COUNTIF(REDUÇÕES!A:A,CST!B702)&gt;0,"REDUÇÃO","NÃO REDUÇÃO")</f>
        <v>NÃO REDUÇÃO</v>
      </c>
      <c r="G702" s="27">
        <f t="shared" si="11"/>
        <v>0</v>
      </c>
    </row>
    <row r="703" spans="1:7" x14ac:dyDescent="0.25">
      <c r="A703" s="120" t="str">
        <f>RIGHT(CSTABLE[[#This Row],[NomeNCM]],8)</f>
        <v>19052099</v>
      </c>
      <c r="B703" s="7" t="s">
        <v>304</v>
      </c>
      <c r="C703" s="3" t="str">
        <f>IFERROR(VLOOKUP(B703,ST!C:D,2,0),"NÃOST")</f>
        <v>NÃOST</v>
      </c>
      <c r="E703" s="3" t="str">
        <f>IF(COUNTIF(ISENÇÕES!A:A,CST!B703)&gt;0,"ISENÇÃO","SEM ISENÇÃO")</f>
        <v>SEM ISENÇÃO</v>
      </c>
      <c r="F703" s="18" t="str">
        <f>IF(COUNTIF(REDUÇÕES!A:A,CST!B703)&gt;0,"REDUÇÃO","NÃO REDUÇÃO")</f>
        <v>NÃO REDUÇÃO</v>
      </c>
      <c r="G703" s="27">
        <f t="shared" si="11"/>
        <v>0</v>
      </c>
    </row>
    <row r="704" spans="1:7" x14ac:dyDescent="0.25">
      <c r="A704" s="120" t="str">
        <f>RIGHT(CSTABLE[[#This Row],[NomeNCM]],8)</f>
        <v>04021090</v>
      </c>
      <c r="B704" s="7" t="s">
        <v>305</v>
      </c>
      <c r="C704" s="3" t="str">
        <f>IFERROR(VLOOKUP(B704,ST!C:D,2,0),"NÃOST")</f>
        <v>NÃOST</v>
      </c>
      <c r="E704" s="3" t="str">
        <f>IF(COUNTIF(ISENÇÕES!A:A,CST!B704)&gt;0,"ISENÇÃO","SEM ISENÇÃO")</f>
        <v>SEM ISENÇÃO</v>
      </c>
      <c r="F704" s="18" t="str">
        <f>IF(COUNTIF(REDUÇÕES!A:A,CST!B704)&gt;0,"REDUÇÃO","NÃO REDUÇÃO")</f>
        <v>NÃO REDUÇÃO</v>
      </c>
      <c r="G704" s="27">
        <f t="shared" si="11"/>
        <v>0</v>
      </c>
    </row>
    <row r="705" spans="1:7" x14ac:dyDescent="0.25">
      <c r="A705" s="120" t="str">
        <f>RIGHT(CSTABLE[[#This Row],[NomeNCM]],8)</f>
        <v>20083000</v>
      </c>
      <c r="B705" s="7" t="s">
        <v>306</v>
      </c>
      <c r="C705" s="3" t="str">
        <f>IFERROR(VLOOKUP(B705,ST!C:D,2,0),"NÃOST")</f>
        <v>NÃOST</v>
      </c>
      <c r="E705" s="3" t="str">
        <f>IF(COUNTIF(ISENÇÕES!A:A,CST!B705)&gt;0,"ISENÇÃO","SEM ISENÇÃO")</f>
        <v>SEM ISENÇÃO</v>
      </c>
      <c r="F705" s="18" t="str">
        <f>IF(COUNTIF(REDUÇÕES!A:A,CST!B705)&gt;0,"REDUÇÃO","NÃO REDUÇÃO")</f>
        <v>NÃO REDUÇÃO</v>
      </c>
      <c r="G705" s="27">
        <f t="shared" si="11"/>
        <v>0</v>
      </c>
    </row>
    <row r="706" spans="1:7" x14ac:dyDescent="0.25">
      <c r="A706" s="120" t="str">
        <f>RIGHT(CSTABLE[[#This Row],[NomeNCM]],8)</f>
        <v>20060000</v>
      </c>
      <c r="B706" s="7" t="s">
        <v>307</v>
      </c>
      <c r="C706" s="3" t="str">
        <f>IFERROR(VLOOKUP(B706,ST!C:D,2,0),"NÃOST")</f>
        <v>NÃOST</v>
      </c>
      <c r="E706" s="3" t="str">
        <f>IF(COUNTIF(ISENÇÕES!A:A,CST!B706)&gt;0,"ISENÇÃO","SEM ISENÇÃO")</f>
        <v>SEM ISENÇÃO</v>
      </c>
      <c r="F706" s="18" t="str">
        <f>IF(COUNTIF(REDUÇÕES!A:A,CST!B706)&gt;0,"REDUÇÃO","NÃO REDUÇÃO")</f>
        <v>NÃO REDUÇÃO</v>
      </c>
      <c r="G706" s="27">
        <f t="shared" si="11"/>
        <v>0</v>
      </c>
    </row>
    <row r="707" spans="1:7" x14ac:dyDescent="0.25">
      <c r="A707" s="120" t="str">
        <f>RIGHT(CSTABLE[[#This Row],[NomeNCM]],8)</f>
        <v>04022111</v>
      </c>
      <c r="B707" s="7" t="s">
        <v>308</v>
      </c>
      <c r="C707" s="3" t="str">
        <f>IFERROR(VLOOKUP(B707,ST!C:D,2,0),"NÃOST")</f>
        <v>NÃOST</v>
      </c>
      <c r="E707" s="3" t="str">
        <f>IF(COUNTIF(ISENÇÕES!A:A,CST!B707)&gt;0,"ISENÇÃO","SEM ISENÇÃO")</f>
        <v>SEM ISENÇÃO</v>
      </c>
      <c r="F707" s="18" t="str">
        <f>IF(COUNTIF(REDUÇÕES!A:A,CST!B707)&gt;0,"REDUÇÃO","NÃO REDUÇÃO")</f>
        <v>NÃO REDUÇÃO</v>
      </c>
      <c r="G707" s="27">
        <f t="shared" si="11"/>
        <v>0</v>
      </c>
    </row>
    <row r="708" spans="1:7" x14ac:dyDescent="0.25">
      <c r="A708" s="120" t="str">
        <f>RIGHT(CSTABLE[[#This Row],[NomeNCM]],8)</f>
        <v>15211000</v>
      </c>
      <c r="B708" s="7" t="s">
        <v>309</v>
      </c>
      <c r="C708" s="3" t="str">
        <f>IFERROR(VLOOKUP(B708,ST!C:D,2,0),"NÃOST")</f>
        <v>NÃOST</v>
      </c>
      <c r="E708" s="3" t="str">
        <f>IF(COUNTIF(ISENÇÕES!A:A,CST!B708)&gt;0,"ISENÇÃO","SEM ISENÇÃO")</f>
        <v>SEM ISENÇÃO</v>
      </c>
      <c r="F708" s="18" t="str">
        <f>IF(COUNTIF(REDUÇÕES!A:A,CST!B708)&gt;0,"REDUÇÃO","NÃO REDUÇÃO")</f>
        <v>NÃO REDUÇÃO</v>
      </c>
      <c r="G708" s="27">
        <f t="shared" si="11"/>
        <v>0</v>
      </c>
    </row>
    <row r="709" spans="1:7" x14ac:dyDescent="0.25">
      <c r="A709" s="120" t="str">
        <f>RIGHT(CSTABLE[[#This Row],[NomeNCM]],8)</f>
        <v>16100000</v>
      </c>
      <c r="B709" s="7" t="s">
        <v>310</v>
      </c>
      <c r="C709" s="3" t="str">
        <f>IFERROR(VLOOKUP(B709,ST!C:D,2,0),"NÃOST")</f>
        <v>NÃOST</v>
      </c>
      <c r="E709" s="3" t="str">
        <f>IF(COUNTIF(ISENÇÕES!A:A,CST!B709)&gt;0,"ISENÇÃO","SEM ISENÇÃO")</f>
        <v>SEM ISENÇÃO</v>
      </c>
      <c r="F709" s="18" t="str">
        <f>IF(COUNTIF(REDUÇÕES!A:A,CST!B709)&gt;0,"REDUÇÃO","NÃO REDUÇÃO")</f>
        <v>NÃO REDUÇÃO</v>
      </c>
      <c r="G709" s="27">
        <f t="shared" si="11"/>
        <v>0</v>
      </c>
    </row>
    <row r="710" spans="1:7" x14ac:dyDescent="0.25">
      <c r="A710" s="120" t="str">
        <f>RIGHT(CSTABLE[[#This Row],[NomeNCM]],8)</f>
        <v>21061000</v>
      </c>
      <c r="B710" s="7" t="s">
        <v>311</v>
      </c>
      <c r="C710" s="3" t="str">
        <f>IFERROR(VLOOKUP(B710,ST!C:D,2,0),"NÃOST")</f>
        <v>NÃOST</v>
      </c>
      <c r="E710" s="3" t="str">
        <f>IF(COUNTIF(ISENÇÕES!A:A,CST!B710)&gt;0,"ISENÇÃO","SEM ISENÇÃO")</f>
        <v>SEM ISENÇÃO</v>
      </c>
      <c r="F710" s="18" t="str">
        <f>IF(COUNTIF(REDUÇÕES!A:A,CST!B710)&gt;0,"REDUÇÃO","NÃO REDUÇÃO")</f>
        <v>NÃO REDUÇÃO</v>
      </c>
      <c r="G710" s="27">
        <f t="shared" si="11"/>
        <v>0</v>
      </c>
    </row>
    <row r="711" spans="1:7" x14ac:dyDescent="0.25">
      <c r="A711" s="120" t="str">
        <f>RIGHT(CSTABLE[[#This Row],[NomeNCM]],8)</f>
        <v>16024100</v>
      </c>
      <c r="B711" s="7" t="s">
        <v>312</v>
      </c>
      <c r="C711" s="3" t="str">
        <f>IFERROR(VLOOKUP(B711,ST!C:D,2,0),"NÃOST")</f>
        <v>NÃOST</v>
      </c>
      <c r="E711" s="3" t="str">
        <f>IF(COUNTIF(ISENÇÕES!A:A,CST!B711)&gt;0,"ISENÇÃO","SEM ISENÇÃO")</f>
        <v>SEM ISENÇÃO</v>
      </c>
      <c r="F711" s="18" t="str">
        <f>IF(COUNTIF(REDUÇÕES!A:A,CST!B711)&gt;0,"REDUÇÃO","NÃO REDUÇÃO")</f>
        <v>NÃO REDUÇÃO</v>
      </c>
      <c r="G711" s="27">
        <f t="shared" si="11"/>
        <v>0</v>
      </c>
    </row>
    <row r="712" spans="1:7" x14ac:dyDescent="0.25">
      <c r="A712" s="120" t="str">
        <f>RIGHT(CSTABLE[[#This Row],[NomeNCM]],8)</f>
        <v>09061100</v>
      </c>
      <c r="B712" s="7" t="s">
        <v>313</v>
      </c>
      <c r="C712" s="3" t="str">
        <f>IFERROR(VLOOKUP(B712,ST!C:D,2,0),"NÃOST")</f>
        <v>NÃOST</v>
      </c>
      <c r="E712" s="3" t="str">
        <f>IF(COUNTIF(ISENÇÕES!A:A,CST!B712)&gt;0,"ISENÇÃO","SEM ISENÇÃO")</f>
        <v>SEM ISENÇÃO</v>
      </c>
      <c r="F712" s="18" t="str">
        <f>IF(COUNTIF(REDUÇÕES!A:A,CST!B712)&gt;0,"REDUÇÃO","NÃO REDUÇÃO")</f>
        <v>NÃO REDUÇÃO</v>
      </c>
      <c r="G712" s="27">
        <f t="shared" si="11"/>
        <v>0</v>
      </c>
    </row>
    <row r="713" spans="1:7" x14ac:dyDescent="0.25">
      <c r="A713" s="120" t="str">
        <f>RIGHT(CSTABLE[[#This Row],[NomeNCM]],8)</f>
        <v>35071000</v>
      </c>
      <c r="B713" s="7" t="s">
        <v>314</v>
      </c>
      <c r="C713" s="3" t="str">
        <f>IFERROR(VLOOKUP(B713,ST!C:D,2,0),"NÃOST")</f>
        <v>NÃOST</v>
      </c>
      <c r="E713" s="3" t="str">
        <f>IF(COUNTIF(ISENÇÕES!A:A,CST!B713)&gt;0,"ISENÇÃO","SEM ISENÇÃO")</f>
        <v>SEM ISENÇÃO</v>
      </c>
      <c r="F713" s="18" t="str">
        <f>IF(COUNTIF(REDUÇÕES!A:A,CST!B713)&gt;0,"REDUÇÃO","NÃO REDUÇÃO")</f>
        <v>NÃO REDUÇÃO</v>
      </c>
      <c r="G713" s="27">
        <f t="shared" si="11"/>
        <v>0</v>
      </c>
    </row>
    <row r="714" spans="1:7" x14ac:dyDescent="0.25">
      <c r="A714" s="120" t="str">
        <f>RIGHT(CSTABLE[[#This Row],[NomeNCM]],8)</f>
        <v>56039290</v>
      </c>
      <c r="B714" s="7" t="s">
        <v>315</v>
      </c>
      <c r="C714" s="3" t="str">
        <f>IFERROR(VLOOKUP(B714,ST!C:D,2,0),"NÃOST")</f>
        <v>NÃOST</v>
      </c>
      <c r="E714" s="3" t="str">
        <f>IF(COUNTIF(ISENÇÕES!A:A,CST!B714)&gt;0,"ISENÇÃO","SEM ISENÇÃO")</f>
        <v>SEM ISENÇÃO</v>
      </c>
      <c r="F714" s="18" t="str">
        <f>IF(COUNTIF(REDUÇÕES!A:A,CST!B714)&gt;0,"REDUÇÃO","NÃO REDUÇÃO")</f>
        <v>NÃO REDUÇÃO</v>
      </c>
      <c r="G714" s="27">
        <f t="shared" si="11"/>
        <v>0</v>
      </c>
    </row>
    <row r="715" spans="1:7" x14ac:dyDescent="0.25">
      <c r="A715" s="120" t="str">
        <f>RIGHT(CSTABLE[[#This Row],[NomeNCM]],8)</f>
        <v>68053010</v>
      </c>
      <c r="B715" s="7" t="s">
        <v>316</v>
      </c>
      <c r="C715" s="3" t="str">
        <f>IFERROR(VLOOKUP(B715,ST!C:D,2,0),"NÃOST")</f>
        <v>NÃOST</v>
      </c>
      <c r="E715" s="3" t="str">
        <f>IF(COUNTIF(ISENÇÕES!A:A,CST!B715)&gt;0,"ISENÇÃO","SEM ISENÇÃO")</f>
        <v>SEM ISENÇÃO</v>
      </c>
      <c r="F715" s="18" t="str">
        <f>IF(COUNTIF(REDUÇÕES!A:A,CST!B715)&gt;0,"REDUÇÃO","NÃO REDUÇÃO")</f>
        <v>NÃO REDUÇÃO</v>
      </c>
      <c r="G715" s="27">
        <f t="shared" si="11"/>
        <v>0</v>
      </c>
    </row>
    <row r="716" spans="1:7" x14ac:dyDescent="0.25">
      <c r="A716" s="120" t="str">
        <f>RIGHT(CSTABLE[[#This Row],[NomeNCM]],8)</f>
        <v>21039029</v>
      </c>
      <c r="B716" s="7" t="s">
        <v>317</v>
      </c>
      <c r="C716" s="3" t="str">
        <f>IFERROR(VLOOKUP(B716,ST!C:D,2,0),"NÃOST")</f>
        <v>NÃOST</v>
      </c>
      <c r="E716" s="3" t="str">
        <f>IF(COUNTIF(ISENÇÕES!A:A,CST!B716)&gt;0,"ISENÇÃO","SEM ISENÇÃO")</f>
        <v>SEM ISENÇÃO</v>
      </c>
      <c r="F716" s="18" t="str">
        <f>IF(COUNTIF(REDUÇÕES!A:A,CST!B716)&gt;0,"REDUÇÃO","NÃO REDUÇÃO")</f>
        <v>NÃO REDUÇÃO</v>
      </c>
      <c r="G716" s="27">
        <f t="shared" si="11"/>
        <v>0</v>
      </c>
    </row>
    <row r="717" spans="1:7" x14ac:dyDescent="0.25">
      <c r="A717" s="120" t="str">
        <f>RIGHT(CSTABLE[[#This Row],[NomeNCM]],8)</f>
        <v>16029000</v>
      </c>
      <c r="B717" s="7" t="s">
        <v>318</v>
      </c>
      <c r="C717" s="3" t="str">
        <f>IFERROR(VLOOKUP(B717,ST!C:D,2,0),"NÃOST")</f>
        <v>NÃOST</v>
      </c>
      <c r="E717" s="3" t="str">
        <f>IF(COUNTIF(ISENÇÕES!A:A,CST!B717)&gt;0,"ISENÇÃO","SEM ISENÇÃO")</f>
        <v>SEM ISENÇÃO</v>
      </c>
      <c r="F717" s="18" t="str">
        <f>IF(COUNTIF(REDUÇÕES!A:A,CST!B717)&gt;0,"REDUÇÃO","NÃO REDUÇÃO")</f>
        <v>NÃO REDUÇÃO</v>
      </c>
      <c r="G717" s="27">
        <f t="shared" si="11"/>
        <v>0</v>
      </c>
    </row>
    <row r="718" spans="1:7" x14ac:dyDescent="0.25">
      <c r="A718" s="120" t="str">
        <f>RIGHT(CSTABLE[[#This Row],[NomeNCM]],8)</f>
        <v>34029031</v>
      </c>
      <c r="B718" s="7" t="s">
        <v>319</v>
      </c>
      <c r="C718" s="3" t="str">
        <f>IFERROR(VLOOKUP(B718,ST!C:D,2,0),"NÃOST")</f>
        <v>NÃOST</v>
      </c>
      <c r="E718" s="3" t="str">
        <f>IF(COUNTIF(ISENÇÕES!A:A,CST!B718)&gt;0,"ISENÇÃO","SEM ISENÇÃO")</f>
        <v>SEM ISENÇÃO</v>
      </c>
      <c r="F718" s="18" t="str">
        <f>IF(COUNTIF(REDUÇÕES!A:A,CST!B718)&gt;0,"REDUÇÃO","NÃO REDUÇÃO")</f>
        <v>NÃO REDUÇÃO</v>
      </c>
      <c r="G718" s="27">
        <f t="shared" si="11"/>
        <v>0</v>
      </c>
    </row>
    <row r="719" spans="1:7" x14ac:dyDescent="0.25">
      <c r="A719" s="120" t="str">
        <f>RIGHT(CSTABLE[[#This Row],[NomeNCM]],8)</f>
        <v>21039019</v>
      </c>
      <c r="B719" s="7" t="s">
        <v>320</v>
      </c>
      <c r="C719" s="3" t="str">
        <f>IFERROR(VLOOKUP(B719,ST!C:D,2,0),"NÃOST")</f>
        <v>NÃOST</v>
      </c>
      <c r="E719" s="3" t="str">
        <f>IF(COUNTIF(ISENÇÕES!A:A,CST!B719)&gt;0,"ISENÇÃO","SEM ISENÇÃO")</f>
        <v>SEM ISENÇÃO</v>
      </c>
      <c r="F719" s="18" t="str">
        <f>IF(COUNTIF(REDUÇÕES!A:A,CST!B719)&gt;0,"REDUÇÃO","NÃO REDUÇÃO")</f>
        <v>NÃO REDUÇÃO</v>
      </c>
      <c r="G719" s="27">
        <f t="shared" si="11"/>
        <v>0</v>
      </c>
    </row>
    <row r="720" spans="1:7" x14ac:dyDescent="0.25">
      <c r="A720" s="120" t="str">
        <f>RIGHT(CSTABLE[[#This Row],[NomeNCM]],8)</f>
        <v>48059100</v>
      </c>
      <c r="B720" s="7" t="s">
        <v>321</v>
      </c>
      <c r="C720" s="3" t="str">
        <f>IFERROR(VLOOKUP(B720,ST!C:D,2,0),"NÃOST")</f>
        <v>NÃOST</v>
      </c>
      <c r="E720" s="3" t="str">
        <f>IF(COUNTIF(ISENÇÕES!A:A,CST!B720)&gt;0,"ISENÇÃO","SEM ISENÇÃO")</f>
        <v>SEM ISENÇÃO</v>
      </c>
      <c r="F720" s="18" t="str">
        <f>IF(COUNTIF(REDUÇÕES!A:A,CST!B720)&gt;0,"REDUÇÃO","NÃO REDUÇÃO")</f>
        <v>NÃO REDUÇÃO</v>
      </c>
      <c r="G720" s="27">
        <f t="shared" ref="G720:G782" si="12">VLOOKUP(C720&amp;F720&amp;E720,$B$3:$F$10,5,0)</f>
        <v>0</v>
      </c>
    </row>
    <row r="721" spans="1:7" x14ac:dyDescent="0.25">
      <c r="A721" s="120" t="str">
        <f>RIGHT(CSTABLE[[#This Row],[NomeNCM]],8)</f>
        <v>11042200</v>
      </c>
      <c r="B721" s="7" t="s">
        <v>322</v>
      </c>
      <c r="C721" s="3" t="str">
        <f>IFERROR(VLOOKUP(B721,ST!C:D,2,0),"NÃOST")</f>
        <v>NÃOST</v>
      </c>
      <c r="E721" s="3" t="str">
        <f>IF(COUNTIF(ISENÇÕES!A:A,CST!B721)&gt;0,"ISENÇÃO","SEM ISENÇÃO")</f>
        <v>SEM ISENÇÃO</v>
      </c>
      <c r="F721" s="18" t="str">
        <f>IF(COUNTIF(REDUÇÕES!A:A,CST!B721)&gt;0,"REDUÇÃO","NÃO REDUÇÃO")</f>
        <v>NÃO REDUÇÃO</v>
      </c>
      <c r="G721" s="27">
        <f t="shared" si="12"/>
        <v>0</v>
      </c>
    </row>
    <row r="722" spans="1:7" x14ac:dyDescent="0.25">
      <c r="A722" s="120" t="str">
        <f>RIGHT(CSTABLE[[#This Row],[NomeNCM]],8)</f>
        <v>33029090</v>
      </c>
      <c r="B722" s="7" t="s">
        <v>323</v>
      </c>
      <c r="C722" s="3" t="str">
        <f>IFERROR(VLOOKUP(B722,ST!C:D,2,0),"NÃOST")</f>
        <v>NÃOST</v>
      </c>
      <c r="E722" s="3" t="str">
        <f>IF(COUNTIF(ISENÇÕES!A:A,CST!B722)&gt;0,"ISENÇÃO","SEM ISENÇÃO")</f>
        <v>SEM ISENÇÃO</v>
      </c>
      <c r="F722" s="18" t="str">
        <f>IF(COUNTIF(REDUÇÕES!A:A,CST!B722)&gt;0,"REDUÇÃO","NÃO REDUÇÃO")</f>
        <v>NÃO REDUÇÃO</v>
      </c>
      <c r="G722" s="27">
        <f t="shared" si="12"/>
        <v>0</v>
      </c>
    </row>
    <row r="723" spans="1:7" x14ac:dyDescent="0.25">
      <c r="A723" s="120" t="str">
        <f>RIGHT(CSTABLE[[#This Row],[NomeNCM]],8)</f>
        <v>85437020</v>
      </c>
      <c r="B723" s="7" t="s">
        <v>324</v>
      </c>
      <c r="C723" s="3" t="str">
        <f>IFERROR(VLOOKUP(B723,ST!C:D,2,0),"NÃOST")</f>
        <v>NÃOST</v>
      </c>
      <c r="E723" s="3" t="str">
        <f>IF(COUNTIF(ISENÇÕES!A:A,CST!B723)&gt;0,"ISENÇÃO","SEM ISENÇÃO")</f>
        <v>SEM ISENÇÃO</v>
      </c>
      <c r="F723" s="18" t="str">
        <f>IF(COUNTIF(REDUÇÕES!A:A,CST!B723)&gt;0,"REDUÇÃO","NÃO REDUÇÃO")</f>
        <v>NÃO REDUÇÃO</v>
      </c>
      <c r="G723" s="27">
        <f t="shared" si="12"/>
        <v>0</v>
      </c>
    </row>
    <row r="724" spans="1:7" x14ac:dyDescent="0.25">
      <c r="A724" s="120" t="str">
        <f>RIGHT(CSTABLE[[#This Row],[NomeNCM]],8)</f>
        <v>85094010</v>
      </c>
      <c r="B724" s="7" t="s">
        <v>325</v>
      </c>
      <c r="C724" s="3" t="str">
        <f>IFERROR(VLOOKUP(B724,ST!C:D,2,0),"NÃOST")</f>
        <v>NÃOST</v>
      </c>
      <c r="E724" s="3" t="str">
        <f>IF(COUNTIF(ISENÇÕES!A:A,CST!B724)&gt;0,"ISENÇÃO","SEM ISENÇÃO")</f>
        <v>SEM ISENÇÃO</v>
      </c>
      <c r="F724" s="18" t="str">
        <f>IF(COUNTIF(REDUÇÕES!A:A,CST!B724)&gt;0,"REDUÇÃO","NÃO REDUÇÃO")</f>
        <v>NÃO REDUÇÃO</v>
      </c>
      <c r="G724" s="27">
        <f t="shared" si="12"/>
        <v>0</v>
      </c>
    </row>
    <row r="725" spans="1:7" x14ac:dyDescent="0.25">
      <c r="A725" s="120" t="str">
        <f>RIGHT(CSTABLE[[#This Row],[NomeNCM]],8)</f>
        <v>96163000</v>
      </c>
      <c r="B725" s="7" t="s">
        <v>326</v>
      </c>
      <c r="C725" s="3" t="str">
        <f>IFERROR(VLOOKUP(B725,ST!C:D,2,0),"NÃOST")</f>
        <v>NÃOST</v>
      </c>
      <c r="E725" s="3" t="str">
        <f>IF(COUNTIF(ISENÇÕES!A:A,CST!B725)&gt;0,"ISENÇÃO","SEM ISENÇÃO")</f>
        <v>SEM ISENÇÃO</v>
      </c>
      <c r="F725" s="18" t="str">
        <f>IF(COUNTIF(REDUÇÕES!A:A,CST!B725)&gt;0,"REDUÇÃO","NÃO REDUÇÃO")</f>
        <v>NÃO REDUÇÃO</v>
      </c>
      <c r="G725" s="27">
        <f t="shared" si="12"/>
        <v>0</v>
      </c>
    </row>
    <row r="726" spans="1:7" x14ac:dyDescent="0.25">
      <c r="A726" s="120" t="str">
        <f>RIGHT(CSTABLE[[#This Row],[NomeNCM]],8)</f>
        <v>85444900</v>
      </c>
      <c r="B726" s="7" t="s">
        <v>327</v>
      </c>
      <c r="C726" s="3" t="str">
        <f>IFERROR(VLOOKUP(B726,ST!C:D,2,0),"NÃOST")</f>
        <v>NÃOST</v>
      </c>
      <c r="E726" s="3" t="str">
        <f>IF(COUNTIF(ISENÇÕES!A:A,CST!B726)&gt;0,"ISENÇÃO","SEM ISENÇÃO")</f>
        <v>SEM ISENÇÃO</v>
      </c>
      <c r="F726" s="18" t="str">
        <f>IF(COUNTIF(REDUÇÕES!A:A,CST!B726)&gt;0,"REDUÇÃO","NÃO REDUÇÃO")</f>
        <v>NÃO REDUÇÃO</v>
      </c>
      <c r="G726" s="27">
        <f t="shared" si="12"/>
        <v>0</v>
      </c>
    </row>
    <row r="727" spans="1:7" x14ac:dyDescent="0.25">
      <c r="A727" s="120" t="str">
        <f>RIGHT(CSTABLE[[#This Row],[NomeNCM]],8)</f>
        <v>07139010</v>
      </c>
      <c r="B727" s="7" t="s">
        <v>328</v>
      </c>
      <c r="C727" s="3" t="str">
        <f>IFERROR(VLOOKUP(B727,ST!C:D,2,0),"NÃOST")</f>
        <v>NÃOST</v>
      </c>
      <c r="E727" s="3" t="str">
        <f>IF(COUNTIF(ISENÇÕES!A:A,CST!B727)&gt;0,"ISENÇÃO","SEM ISENÇÃO")</f>
        <v>ISENÇÃO</v>
      </c>
      <c r="F727" s="18" t="str">
        <f>IF(COUNTIF(REDUÇÕES!A:A,CST!B727)&gt;0,"REDUÇÃO","NÃO REDUÇÃO")</f>
        <v>NÃO REDUÇÃO</v>
      </c>
      <c r="G727" s="27">
        <f t="shared" si="12"/>
        <v>40</v>
      </c>
    </row>
    <row r="728" spans="1:7" x14ac:dyDescent="0.25">
      <c r="A728" s="120" t="str">
        <f>RIGHT(CSTABLE[[#This Row],[NomeNCM]],8)</f>
        <v>20079100</v>
      </c>
      <c r="B728" s="7" t="s">
        <v>329</v>
      </c>
      <c r="C728" s="3" t="str">
        <f>IFERROR(VLOOKUP(B728,ST!C:D,2,0),"NÃOST")</f>
        <v>NÃOST</v>
      </c>
      <c r="E728" s="3" t="str">
        <f>IF(COUNTIF(ISENÇÕES!A:A,CST!B728)&gt;0,"ISENÇÃO","SEM ISENÇÃO")</f>
        <v>SEM ISENÇÃO</v>
      </c>
      <c r="F728" s="18" t="str">
        <f>IF(COUNTIF(REDUÇÕES!A:A,CST!B728)&gt;0,"REDUÇÃO","NÃO REDUÇÃO")</f>
        <v>NÃO REDUÇÃO</v>
      </c>
      <c r="G728" s="27">
        <f t="shared" si="12"/>
        <v>0</v>
      </c>
    </row>
    <row r="729" spans="1:7" x14ac:dyDescent="0.25">
      <c r="A729" s="120" t="str">
        <f>RIGHT(CSTABLE[[#This Row],[NomeNCM]],8)</f>
        <v>85061011</v>
      </c>
      <c r="B729" s="7" t="s">
        <v>331</v>
      </c>
      <c r="C729" s="3" t="str">
        <f>IFERROR(VLOOKUP(B729,ST!C:D,2,0),"NÃOST")</f>
        <v>NÃOST</v>
      </c>
      <c r="E729" s="3" t="str">
        <f>IF(COUNTIF(ISENÇÕES!A:A,CST!B729)&gt;0,"ISENÇÃO","SEM ISENÇÃO")</f>
        <v>SEM ISENÇÃO</v>
      </c>
      <c r="F729" s="18" t="str">
        <f>IF(COUNTIF(REDUÇÕES!A:A,CST!B729)&gt;0,"REDUÇÃO","NÃO REDUÇÃO")</f>
        <v>NÃO REDUÇÃO</v>
      </c>
      <c r="G729" s="27">
        <f t="shared" si="12"/>
        <v>0</v>
      </c>
    </row>
    <row r="730" spans="1:7" x14ac:dyDescent="0.25">
      <c r="A730" s="120" t="str">
        <f>RIGHT(CSTABLE[[#This Row],[NomeNCM]],8)</f>
        <v>23023010</v>
      </c>
      <c r="B730" s="7" t="s">
        <v>332</v>
      </c>
      <c r="C730" s="3" t="str">
        <f>IFERROR(VLOOKUP(B730,ST!C:D,2,0),"NÃOST")</f>
        <v>NÃOST</v>
      </c>
      <c r="E730" s="3" t="str">
        <f>IF(COUNTIF(ISENÇÕES!A:A,CST!B730)&gt;0,"ISENÇÃO","SEM ISENÇÃO")</f>
        <v>SEM ISENÇÃO</v>
      </c>
      <c r="F730" s="18" t="str">
        <f>IF(COUNTIF(REDUÇÕES!A:A,CST!B730)&gt;0,"REDUÇÃO","NÃO REDUÇÃO")</f>
        <v>NÃO REDUÇÃO</v>
      </c>
      <c r="G730" s="27">
        <f t="shared" si="12"/>
        <v>0</v>
      </c>
    </row>
    <row r="731" spans="1:7" x14ac:dyDescent="0.25">
      <c r="A731" s="120" t="str">
        <f>RIGHT(CSTABLE[[#This Row],[NomeNCM]],8)</f>
        <v>21021090</v>
      </c>
      <c r="B731" s="7" t="s">
        <v>333</v>
      </c>
      <c r="C731" s="3" t="str">
        <f>IFERROR(VLOOKUP(B731,ST!C:D,2,0),"NÃOST")</f>
        <v>NÃOST</v>
      </c>
      <c r="E731" s="3" t="str">
        <f>IF(COUNTIF(ISENÇÕES!A:A,CST!B731)&gt;0,"ISENÇÃO","SEM ISENÇÃO")</f>
        <v>SEM ISENÇÃO</v>
      </c>
      <c r="F731" s="18" t="str">
        <f>IF(COUNTIF(REDUÇÕES!A:A,CST!B731)&gt;0,"REDUÇÃO","NÃO REDUÇÃO")</f>
        <v>REDUÇÃO</v>
      </c>
      <c r="G731" s="27">
        <f t="shared" si="12"/>
        <v>20</v>
      </c>
    </row>
    <row r="732" spans="1:7" x14ac:dyDescent="0.25">
      <c r="A732" s="120" t="str">
        <f>RIGHT(CSTABLE[[#This Row],[NomeNCM]],8)</f>
        <v>85073011</v>
      </c>
      <c r="B732" s="7" t="s">
        <v>334</v>
      </c>
      <c r="C732" s="3" t="str">
        <f>IFERROR(VLOOKUP(B732,ST!C:D,2,0),"NÃOST")</f>
        <v>NÃOST</v>
      </c>
      <c r="E732" s="3" t="str">
        <f>IF(COUNTIF(ISENÇÕES!A:A,CST!B732)&gt;0,"ISENÇÃO","SEM ISENÇÃO")</f>
        <v>SEM ISENÇÃO</v>
      </c>
      <c r="F732" s="18" t="str">
        <f>IF(COUNTIF(REDUÇÕES!A:A,CST!B732)&gt;0,"REDUÇÃO","NÃO REDUÇÃO")</f>
        <v>NÃO REDUÇÃO</v>
      </c>
      <c r="G732" s="27">
        <f t="shared" si="12"/>
        <v>0</v>
      </c>
    </row>
    <row r="733" spans="1:7" x14ac:dyDescent="0.25">
      <c r="A733" s="120" t="str">
        <f>RIGHT(CSTABLE[[#This Row],[NomeNCM]],8)</f>
        <v>19051000</v>
      </c>
      <c r="B733" s="7" t="s">
        <v>335</v>
      </c>
      <c r="C733" s="3" t="str">
        <f>IFERROR(VLOOKUP(B733,ST!C:D,2,0),"NÃOST")</f>
        <v>NÃOST</v>
      </c>
      <c r="E733" s="3" t="str">
        <f>IF(COUNTIF(ISENÇÕES!A:A,CST!B733)&gt;0,"ISENÇÃO","SEM ISENÇÃO")</f>
        <v>SEM ISENÇÃO</v>
      </c>
      <c r="F733" s="18" t="str">
        <f>IF(COUNTIF(REDUÇÕES!A:A,CST!B733)&gt;0,"REDUÇÃO","NÃO REDUÇÃO")</f>
        <v>NÃO REDUÇÃO</v>
      </c>
      <c r="G733" s="27">
        <f t="shared" si="12"/>
        <v>0</v>
      </c>
    </row>
    <row r="734" spans="1:7" x14ac:dyDescent="0.25">
      <c r="A734" s="120" t="str">
        <f>RIGHT(CSTABLE[[#This Row],[NomeNCM]],8)</f>
        <v>84143019</v>
      </c>
      <c r="B734" s="7" t="s">
        <v>336</v>
      </c>
      <c r="C734" s="3" t="str">
        <f>IFERROR(VLOOKUP(B734,ST!C:D,2,0),"NÃOST")</f>
        <v>NÃOST</v>
      </c>
      <c r="E734" s="3" t="str">
        <f>IF(COUNTIF(ISENÇÕES!A:A,CST!B734)&gt;0,"ISENÇÃO","SEM ISENÇÃO")</f>
        <v>SEM ISENÇÃO</v>
      </c>
      <c r="F734" s="18" t="str">
        <f>IF(COUNTIF(REDUÇÕES!A:A,CST!B734)&gt;0,"REDUÇÃO","NÃO REDUÇÃO")</f>
        <v>NÃO REDUÇÃO</v>
      </c>
      <c r="G734" s="27">
        <f t="shared" si="12"/>
        <v>0</v>
      </c>
    </row>
    <row r="735" spans="1:7" x14ac:dyDescent="0.25">
      <c r="A735" s="120" t="str">
        <f>RIGHT(CSTABLE[[#This Row],[NomeNCM]],8)</f>
        <v>02011000</v>
      </c>
      <c r="B735" s="7" t="s">
        <v>337</v>
      </c>
      <c r="C735" s="3" t="str">
        <f>IFERROR(VLOOKUP(B735,ST!C:D,2,0),"NÃOST")</f>
        <v>NÃOST</v>
      </c>
      <c r="E735" s="3" t="str">
        <f>IF(COUNTIF(ISENÇÕES!A:A,CST!B735)&gt;0,"ISENÇÃO","SEM ISENÇÃO")</f>
        <v>SEM ISENÇÃO</v>
      </c>
      <c r="F735" s="18" t="str">
        <f>IF(COUNTIF(REDUÇÕES!A:A,CST!B735)&gt;0,"REDUÇÃO","NÃO REDUÇÃO")</f>
        <v>NÃO REDUÇÃO</v>
      </c>
      <c r="G735" s="27">
        <f t="shared" si="12"/>
        <v>0</v>
      </c>
    </row>
    <row r="736" spans="1:7" x14ac:dyDescent="0.25">
      <c r="A736" s="120" t="str">
        <f>RIGHT(CSTABLE[[#This Row],[NomeNCM]],8)</f>
        <v>11043000</v>
      </c>
      <c r="B736" s="7" t="s">
        <v>338</v>
      </c>
      <c r="C736" s="3" t="str">
        <f>IFERROR(VLOOKUP(B736,ST!C:D,2,0),"NÃOST")</f>
        <v>NÃOST</v>
      </c>
      <c r="E736" s="3" t="str">
        <f>IF(COUNTIF(ISENÇÕES!A:A,CST!B736)&gt;0,"ISENÇÃO","SEM ISENÇÃO")</f>
        <v>SEM ISENÇÃO</v>
      </c>
      <c r="F736" s="18" t="str">
        <f>IF(COUNTIF(REDUÇÕES!A:A,CST!B736)&gt;0,"REDUÇÃO","NÃO REDUÇÃO")</f>
        <v>NÃO REDUÇÃO</v>
      </c>
      <c r="G736" s="27">
        <f t="shared" si="12"/>
        <v>0</v>
      </c>
    </row>
    <row r="737" spans="1:7" x14ac:dyDescent="0.25">
      <c r="A737" s="120" t="str">
        <f>RIGHT(CSTABLE[[#This Row],[NomeNCM]],8)</f>
        <v>15099010</v>
      </c>
      <c r="B737" s="7" t="s">
        <v>339</v>
      </c>
      <c r="C737" s="3" t="str">
        <f>IFERROR(VLOOKUP(B737,ST!C:D,2,0),"NÃOST")</f>
        <v>NÃOST</v>
      </c>
      <c r="E737" s="3" t="str">
        <f>IF(COUNTIF(ISENÇÕES!A:A,CST!B737)&gt;0,"ISENÇÃO","SEM ISENÇÃO")</f>
        <v>SEM ISENÇÃO</v>
      </c>
      <c r="F737" s="18" t="str">
        <f>IF(COUNTIF(REDUÇÕES!A:A,CST!B737)&gt;0,"REDUÇÃO","NÃO REDUÇÃO")</f>
        <v>NÃO REDUÇÃO</v>
      </c>
      <c r="G737" s="27">
        <f t="shared" si="12"/>
        <v>0</v>
      </c>
    </row>
    <row r="738" spans="1:7" x14ac:dyDescent="0.25">
      <c r="A738" s="120" t="str">
        <f>RIGHT(CSTABLE[[#This Row],[NomeNCM]],8)</f>
        <v>34012010</v>
      </c>
      <c r="B738" s="7" t="s">
        <v>340</v>
      </c>
      <c r="C738" s="3" t="str">
        <f>IFERROR(VLOOKUP(B738,ST!C:D,2,0),"NÃOST")</f>
        <v>NÃOST</v>
      </c>
      <c r="E738" s="3" t="str">
        <f>IF(COUNTIF(ISENÇÕES!A:A,CST!B738)&gt;0,"ISENÇÃO","SEM ISENÇÃO")</f>
        <v>SEM ISENÇÃO</v>
      </c>
      <c r="F738" s="18" t="str">
        <f>IF(COUNTIF(REDUÇÕES!A:A,CST!B738)&gt;0,"REDUÇÃO","NÃO REDUÇÃO")</f>
        <v>REDUÇÃO</v>
      </c>
      <c r="G738" s="27">
        <f t="shared" si="12"/>
        <v>20</v>
      </c>
    </row>
    <row r="739" spans="1:7" x14ac:dyDescent="0.25">
      <c r="A739" s="120" t="str">
        <f>RIGHT(CSTABLE[[#This Row],[NomeNCM]],8)</f>
        <v>69109000</v>
      </c>
      <c r="B739" s="7" t="s">
        <v>341</v>
      </c>
      <c r="C739" s="3" t="str">
        <f>IFERROR(VLOOKUP(B739,ST!C:D,2,0),"NÃOST")</f>
        <v>NÃOST</v>
      </c>
      <c r="E739" s="3" t="str">
        <f>IF(COUNTIF(ISENÇÕES!A:A,CST!B739)&gt;0,"ISENÇÃO","SEM ISENÇÃO")</f>
        <v>SEM ISENÇÃO</v>
      </c>
      <c r="F739" s="18" t="str">
        <f>IF(COUNTIF(REDUÇÕES!A:A,CST!B739)&gt;0,"REDUÇÃO","NÃO REDUÇÃO")</f>
        <v>NÃO REDUÇÃO</v>
      </c>
      <c r="G739" s="27">
        <f t="shared" si="12"/>
        <v>0</v>
      </c>
    </row>
    <row r="740" spans="1:7" x14ac:dyDescent="0.25">
      <c r="A740" s="120" t="str">
        <f>RIGHT(CSTABLE[[#This Row],[NomeNCM]],8)</f>
        <v>29239050</v>
      </c>
      <c r="B740" s="7" t="s">
        <v>342</v>
      </c>
      <c r="C740" s="3" t="str">
        <f>IFERROR(VLOOKUP(B740,ST!C:D,2,0),"NÃOST")</f>
        <v>NÃOST</v>
      </c>
      <c r="E740" s="3" t="str">
        <f>IF(COUNTIF(ISENÇÕES!A:A,CST!B740)&gt;0,"ISENÇÃO","SEM ISENÇÃO")</f>
        <v>SEM ISENÇÃO</v>
      </c>
      <c r="F740" s="18" t="str">
        <f>IF(COUNTIF(REDUÇÕES!A:A,CST!B740)&gt;0,"REDUÇÃO","NÃO REDUÇÃO")</f>
        <v>NÃO REDUÇÃO</v>
      </c>
      <c r="G740" s="27">
        <f t="shared" si="12"/>
        <v>0</v>
      </c>
    </row>
    <row r="741" spans="1:7" x14ac:dyDescent="0.25">
      <c r="A741" s="120" t="str">
        <f>RIGHT(CSTABLE[[#This Row],[NomeNCM]],8)</f>
        <v>38089999</v>
      </c>
      <c r="B741" s="7" t="s">
        <v>343</v>
      </c>
      <c r="C741" s="3" t="str">
        <f>IFERROR(VLOOKUP(B741,ST!C:D,2,0),"NÃOST")</f>
        <v>NÃOST</v>
      </c>
      <c r="E741" s="3" t="str">
        <f>IF(COUNTIF(ISENÇÕES!A:A,CST!B741)&gt;0,"ISENÇÃO","SEM ISENÇÃO")</f>
        <v>SEM ISENÇÃO</v>
      </c>
      <c r="F741" s="18" t="str">
        <f>IF(COUNTIF(REDUÇÕES!A:A,CST!B741)&gt;0,"REDUÇÃO","NÃO REDUÇÃO")</f>
        <v>NÃO REDUÇÃO</v>
      </c>
      <c r="G741" s="27">
        <f t="shared" si="12"/>
        <v>0</v>
      </c>
    </row>
    <row r="742" spans="1:7" x14ac:dyDescent="0.25">
      <c r="A742" s="120" t="str">
        <f>RIGHT(CSTABLE[[#This Row],[NomeNCM]],8)</f>
        <v>07011000</v>
      </c>
      <c r="B742" s="7" t="s">
        <v>344</v>
      </c>
      <c r="C742" s="3" t="str">
        <f>IFERROR(VLOOKUP(B742,ST!C:D,2,0),"NÃOST")</f>
        <v>NÃOST</v>
      </c>
      <c r="E742" s="3" t="str">
        <f>IF(COUNTIF(ISENÇÕES!A:A,CST!B742)&gt;0,"ISENÇÃO","SEM ISENÇÃO")</f>
        <v>ISENÇÃO</v>
      </c>
      <c r="F742" s="18" t="str">
        <f>IF(COUNTIF(REDUÇÕES!A:A,CST!B742)&gt;0,"REDUÇÃO","NÃO REDUÇÃO")</f>
        <v>NÃO REDUÇÃO</v>
      </c>
      <c r="G742" s="27">
        <f t="shared" si="12"/>
        <v>40</v>
      </c>
    </row>
    <row r="743" spans="1:7" x14ac:dyDescent="0.25">
      <c r="A743" s="120" t="str">
        <f>RIGHT(CSTABLE[[#This Row],[NomeNCM]],8)</f>
        <v>02020202</v>
      </c>
      <c r="B743" s="7" t="s">
        <v>345</v>
      </c>
      <c r="C743" s="3" t="str">
        <f>IFERROR(VLOOKUP(B743,ST!C:D,2,0),"NÃOST")</f>
        <v>NÃOST</v>
      </c>
      <c r="E743" s="3" t="str">
        <f>IF(COUNTIF(ISENÇÕES!A:A,CST!B743)&gt;0,"ISENÇÃO","SEM ISENÇÃO")</f>
        <v>SEM ISENÇÃO</v>
      </c>
      <c r="F743" s="18" t="str">
        <f>IF(COUNTIF(REDUÇÕES!A:A,CST!B743)&gt;0,"REDUÇÃO","NÃO REDUÇÃO")</f>
        <v>NÃO REDUÇÃO</v>
      </c>
      <c r="G743" s="27">
        <f t="shared" si="12"/>
        <v>0</v>
      </c>
    </row>
    <row r="744" spans="1:7" x14ac:dyDescent="0.25">
      <c r="A744" s="120" t="str">
        <f>RIGHT(CSTABLE[[#This Row],[NomeNCM]],8)</f>
        <v>33021000</v>
      </c>
      <c r="B744" s="7" t="s">
        <v>346</v>
      </c>
      <c r="C744" s="3" t="str">
        <f>IFERROR(VLOOKUP(B744,ST!C:D,2,0),"NÃOST")</f>
        <v>NÃOST</v>
      </c>
      <c r="E744" s="3" t="str">
        <f>IF(COUNTIF(ISENÇÕES!A:A,CST!B744)&gt;0,"ISENÇÃO","SEM ISENÇÃO")</f>
        <v>SEM ISENÇÃO</v>
      </c>
      <c r="F744" s="18" t="str">
        <f>IF(COUNTIF(REDUÇÕES!A:A,CST!B744)&gt;0,"REDUÇÃO","NÃO REDUÇÃO")</f>
        <v>NÃO REDUÇÃO</v>
      </c>
      <c r="G744" s="27">
        <f t="shared" si="12"/>
        <v>0</v>
      </c>
    </row>
    <row r="745" spans="1:7" x14ac:dyDescent="0.25">
      <c r="A745" s="120" t="str">
        <f>RIGHT(CSTABLE[[#This Row],[NomeNCM]],8)</f>
        <v>11061000</v>
      </c>
      <c r="B745" s="7" t="s">
        <v>347</v>
      </c>
      <c r="C745" s="3" t="str">
        <f>IFERROR(VLOOKUP(B745,ST!C:D,2,0),"NÃOST")</f>
        <v>NÃOST</v>
      </c>
      <c r="E745" s="3" t="str">
        <f>IF(COUNTIF(ISENÇÕES!A:A,CST!B745)&gt;0,"ISENÇÃO","SEM ISENÇÃO")</f>
        <v>SEM ISENÇÃO</v>
      </c>
      <c r="F745" s="18" t="str">
        <f>IF(COUNTIF(REDUÇÕES!A:A,CST!B745)&gt;0,"REDUÇÃO","NÃO REDUÇÃO")</f>
        <v>NÃO REDUÇÃO</v>
      </c>
      <c r="G745" s="27">
        <f t="shared" si="12"/>
        <v>0</v>
      </c>
    </row>
    <row r="746" spans="1:7" x14ac:dyDescent="0.25">
      <c r="A746" s="120" t="str">
        <f>RIGHT(CSTABLE[[#This Row],[NomeNCM]],8)</f>
        <v>16041600</v>
      </c>
      <c r="B746" s="7" t="s">
        <v>348</v>
      </c>
      <c r="C746" s="3" t="str">
        <f>IFERROR(VLOOKUP(B746,ST!C:D,2,0),"NÃOST")</f>
        <v>NÃOST</v>
      </c>
      <c r="E746" s="3" t="str">
        <f>IF(COUNTIF(ISENÇÕES!A:A,CST!B746)&gt;0,"ISENÇÃO","SEM ISENÇÃO")</f>
        <v>SEM ISENÇÃO</v>
      </c>
      <c r="F746" s="18" t="str">
        <f>IF(COUNTIF(REDUÇÕES!A:A,CST!B746)&gt;0,"REDUÇÃO","NÃO REDUÇÃO")</f>
        <v>NÃO REDUÇÃO</v>
      </c>
      <c r="G746" s="27">
        <f t="shared" si="12"/>
        <v>0</v>
      </c>
    </row>
    <row r="747" spans="1:7" x14ac:dyDescent="0.25">
      <c r="A747" s="120" t="str">
        <f>RIGHT(CSTABLE[[#This Row],[NomeNCM]],8)</f>
        <v>04079000</v>
      </c>
      <c r="B747" s="7" t="s">
        <v>349</v>
      </c>
      <c r="C747" s="3" t="str">
        <f>IFERROR(VLOOKUP(B747,ST!C:D,2,0),"NÃOST")</f>
        <v>NÃOST</v>
      </c>
      <c r="E747" s="3" t="str">
        <f>IF(COUNTIF(ISENÇÕES!A:A,CST!B747)&gt;0,"ISENÇÃO","SEM ISENÇÃO")</f>
        <v>ISENÇÃO</v>
      </c>
      <c r="F747" s="18" t="str">
        <f>IF(COUNTIF(REDUÇÕES!A:A,CST!B747)&gt;0,"REDUÇÃO","NÃO REDUÇÃO")</f>
        <v>NÃO REDUÇÃO</v>
      </c>
      <c r="G747" s="27">
        <f t="shared" si="12"/>
        <v>40</v>
      </c>
    </row>
    <row r="748" spans="1:7" x14ac:dyDescent="0.25">
      <c r="A748" s="120" t="str">
        <f>RIGHT(CSTABLE[[#This Row],[NomeNCM]],8)</f>
        <v>28369913</v>
      </c>
      <c r="B748" s="7" t="s">
        <v>350</v>
      </c>
      <c r="C748" s="3" t="str">
        <f>IFERROR(VLOOKUP(B748,ST!C:D,2,0),"NÃOST")</f>
        <v>NÃOST</v>
      </c>
      <c r="E748" s="3" t="str">
        <f>IF(COUNTIF(ISENÇÕES!A:A,CST!B748)&gt;0,"ISENÇÃO","SEM ISENÇÃO")</f>
        <v>SEM ISENÇÃO</v>
      </c>
      <c r="F748" s="18" t="str">
        <f>IF(COUNTIF(REDUÇÕES!A:A,CST!B748)&gt;0,"REDUÇÃO","NÃO REDUÇÃO")</f>
        <v>NÃO REDUÇÃO</v>
      </c>
      <c r="G748" s="27">
        <f t="shared" si="12"/>
        <v>0</v>
      </c>
    </row>
    <row r="749" spans="1:7" x14ac:dyDescent="0.25">
      <c r="A749" s="120" t="str">
        <f>RIGHT(CSTABLE[[#This Row],[NomeNCM]],8)</f>
        <v>39046910</v>
      </c>
      <c r="B749" s="7" t="s">
        <v>351</v>
      </c>
      <c r="C749" s="3" t="str">
        <f>IFERROR(VLOOKUP(B749,ST!C:D,2,0),"NÃOST")</f>
        <v>NÃOST</v>
      </c>
      <c r="E749" s="3" t="str">
        <f>IF(COUNTIF(ISENÇÕES!A:A,CST!B749)&gt;0,"ISENÇÃO","SEM ISENÇÃO")</f>
        <v>SEM ISENÇÃO</v>
      </c>
      <c r="F749" s="18" t="str">
        <f>IF(COUNTIF(REDUÇÕES!A:A,CST!B749)&gt;0,"REDUÇÃO","NÃO REDUÇÃO")</f>
        <v>NÃO REDUÇÃO</v>
      </c>
      <c r="G749" s="27">
        <f t="shared" si="12"/>
        <v>0</v>
      </c>
    </row>
    <row r="750" spans="1:7" x14ac:dyDescent="0.25">
      <c r="A750" s="120" t="str">
        <f>RIGHT(CSTABLE[[#This Row],[NomeNCM]],8)</f>
        <v>02031200</v>
      </c>
      <c r="B750" s="7" t="s">
        <v>352</v>
      </c>
      <c r="C750" s="3" t="str">
        <f>IFERROR(VLOOKUP(B750,ST!C:D,2,0),"NÃOST")</f>
        <v>NÃOST</v>
      </c>
      <c r="E750" s="3" t="str">
        <f>IF(COUNTIF(ISENÇÕES!A:A,CST!B750)&gt;0,"ISENÇÃO","SEM ISENÇÃO")</f>
        <v>SEM ISENÇÃO</v>
      </c>
      <c r="F750" s="18" t="str">
        <f>IF(COUNTIF(REDUÇÕES!A:A,CST!B750)&gt;0,"REDUÇÃO","NÃO REDUÇÃO")</f>
        <v>NÃO REDUÇÃO</v>
      </c>
      <c r="G750" s="27">
        <f t="shared" si="12"/>
        <v>0</v>
      </c>
    </row>
    <row r="751" spans="1:7" x14ac:dyDescent="0.25">
      <c r="A751" s="120" t="str">
        <f>RIGHT(CSTABLE[[#This Row],[NomeNCM]],8)</f>
        <v>11051000</v>
      </c>
      <c r="B751" s="7" t="s">
        <v>353</v>
      </c>
      <c r="C751" s="3" t="str">
        <f>IFERROR(VLOOKUP(B751,ST!C:D,2,0),"NÃOST")</f>
        <v>NÃOST</v>
      </c>
      <c r="E751" s="3" t="str">
        <f>IF(COUNTIF(ISENÇÕES!A:A,CST!B751)&gt;0,"ISENÇÃO","SEM ISENÇÃO")</f>
        <v>SEM ISENÇÃO</v>
      </c>
      <c r="F751" s="18" t="str">
        <f>IF(COUNTIF(REDUÇÕES!A:A,CST!B751)&gt;0,"REDUÇÃO","NÃO REDUÇÃO")</f>
        <v>NÃO REDUÇÃO</v>
      </c>
      <c r="G751" s="27">
        <f t="shared" si="12"/>
        <v>0</v>
      </c>
    </row>
    <row r="752" spans="1:7" x14ac:dyDescent="0.25">
      <c r="A752" s="120" t="str">
        <f>RIGHT(CSTABLE[[#This Row],[NomeNCM]],8)</f>
        <v>11031300</v>
      </c>
      <c r="B752" s="7" t="s">
        <v>354</v>
      </c>
      <c r="C752" s="3" t="str">
        <f>IFERROR(VLOOKUP(B752,ST!C:D,2,0),"NÃOST")</f>
        <v>NÃOST</v>
      </c>
      <c r="E752" s="3" t="str">
        <f>IF(COUNTIF(ISENÇÕES!A:A,CST!B752)&gt;0,"ISENÇÃO","SEM ISENÇÃO")</f>
        <v>SEM ISENÇÃO</v>
      </c>
      <c r="F752" s="18" t="str">
        <f>IF(COUNTIF(REDUÇÕES!A:A,CST!B752)&gt;0,"REDUÇÃO","NÃO REDUÇÃO")</f>
        <v>REDUÇÃO</v>
      </c>
      <c r="G752" s="27">
        <f t="shared" si="12"/>
        <v>20</v>
      </c>
    </row>
    <row r="753" spans="1:7" x14ac:dyDescent="0.25">
      <c r="A753" s="120" t="str">
        <f>RIGHT(CSTABLE[[#This Row],[NomeNCM]],8)</f>
        <v>38140090</v>
      </c>
      <c r="B753" s="7" t="s">
        <v>355</v>
      </c>
      <c r="C753" s="3" t="str">
        <f>IFERROR(VLOOKUP(B753,ST!C:D,2,0),"NÃOST")</f>
        <v>NÃOST</v>
      </c>
      <c r="E753" s="3" t="str">
        <f>IF(COUNTIF(ISENÇÕES!A:A,CST!B753)&gt;0,"ISENÇÃO","SEM ISENÇÃO")</f>
        <v>SEM ISENÇÃO</v>
      </c>
      <c r="F753" s="18" t="str">
        <f>IF(COUNTIF(REDUÇÕES!A:A,CST!B753)&gt;0,"REDUÇÃO","NÃO REDUÇÃO")</f>
        <v>NÃO REDUÇÃO</v>
      </c>
      <c r="G753" s="27">
        <f t="shared" si="12"/>
        <v>0</v>
      </c>
    </row>
    <row r="754" spans="1:7" x14ac:dyDescent="0.25">
      <c r="A754" s="120" t="str">
        <f>RIGHT(CSTABLE[[#This Row],[NomeNCM]],8)</f>
        <v>52083200</v>
      </c>
      <c r="B754" s="7" t="s">
        <v>356</v>
      </c>
      <c r="C754" s="3" t="str">
        <f>IFERROR(VLOOKUP(B754,ST!C:D,2,0),"NÃOST")</f>
        <v>NÃOST</v>
      </c>
      <c r="E754" s="3" t="str">
        <f>IF(COUNTIF(ISENÇÕES!A:A,CST!B754)&gt;0,"ISENÇÃO","SEM ISENÇÃO")</f>
        <v>SEM ISENÇÃO</v>
      </c>
      <c r="F754" s="18" t="str">
        <f>IF(COUNTIF(REDUÇÕES!A:A,CST!B754)&gt;0,"REDUÇÃO","NÃO REDUÇÃO")</f>
        <v>NÃO REDUÇÃO</v>
      </c>
      <c r="G754" s="27">
        <f t="shared" si="12"/>
        <v>0</v>
      </c>
    </row>
    <row r="755" spans="1:7" x14ac:dyDescent="0.25">
      <c r="A755" s="120" t="str">
        <f>RIGHT(CSTABLE[[#This Row],[NomeNCM]],8)</f>
        <v>07104000</v>
      </c>
      <c r="B755" s="7" t="s">
        <v>357</v>
      </c>
      <c r="C755" s="3" t="str">
        <f>IFERROR(VLOOKUP(B755,ST!C:D,2,0),"NÃOST")</f>
        <v>NÃOST</v>
      </c>
      <c r="E755" s="3" t="str">
        <f>IF(COUNTIF(ISENÇÕES!A:A,CST!B755)&gt;0,"ISENÇÃO","SEM ISENÇÃO")</f>
        <v>ISENÇÃO</v>
      </c>
      <c r="F755" s="18" t="str">
        <f>IF(COUNTIF(REDUÇÕES!A:A,CST!B755)&gt;0,"REDUÇÃO","NÃO REDUÇÃO")</f>
        <v>NÃO REDUÇÃO</v>
      </c>
      <c r="G755" s="27">
        <f t="shared" si="12"/>
        <v>40</v>
      </c>
    </row>
    <row r="756" spans="1:7" x14ac:dyDescent="0.25">
      <c r="A756" s="120" t="str">
        <f>RIGHT(CSTABLE[[#This Row],[NomeNCM]],8)</f>
        <v>39234000</v>
      </c>
      <c r="B756" s="7" t="s">
        <v>358</v>
      </c>
      <c r="C756" s="3" t="str">
        <f>IFERROR(VLOOKUP(B756,ST!C:D,2,0),"NÃOST")</f>
        <v>NÃOST</v>
      </c>
      <c r="E756" s="3" t="str">
        <f>IF(COUNTIF(ISENÇÕES!A:A,CST!B756)&gt;0,"ISENÇÃO","SEM ISENÇÃO")</f>
        <v>SEM ISENÇÃO</v>
      </c>
      <c r="F756" s="18" t="str">
        <f>IF(COUNTIF(REDUÇÕES!A:A,CST!B756)&gt;0,"REDUÇÃO","NÃO REDUÇÃO")</f>
        <v>NÃO REDUÇÃO</v>
      </c>
      <c r="G756" s="27">
        <f t="shared" si="12"/>
        <v>0</v>
      </c>
    </row>
    <row r="757" spans="1:7" x14ac:dyDescent="0.25">
      <c r="A757" s="120" t="str">
        <f>RIGHT(CSTABLE[[#This Row],[NomeNCM]],8)</f>
        <v>23069090</v>
      </c>
      <c r="B757" s="7" t="s">
        <v>359</v>
      </c>
      <c r="C757" s="3" t="str">
        <f>IFERROR(VLOOKUP(B757,ST!C:D,2,0),"NÃOST")</f>
        <v>NÃOST</v>
      </c>
      <c r="E757" s="3" t="str">
        <f>IF(COUNTIF(ISENÇÕES!A:A,CST!B757)&gt;0,"ISENÇÃO","SEM ISENÇÃO")</f>
        <v>SEM ISENÇÃO</v>
      </c>
      <c r="F757" s="18" t="str">
        <f>IF(COUNTIF(REDUÇÕES!A:A,CST!B757)&gt;0,"REDUÇÃO","NÃO REDUÇÃO")</f>
        <v>NÃO REDUÇÃO</v>
      </c>
      <c r="G757" s="27">
        <f t="shared" si="12"/>
        <v>0</v>
      </c>
    </row>
    <row r="758" spans="1:7" x14ac:dyDescent="0.25">
      <c r="A758" s="120" t="s">
        <v>4721</v>
      </c>
      <c r="B758" s="7" t="s">
        <v>360</v>
      </c>
      <c r="C758" s="3" t="str">
        <f>IFERROR(VLOOKUP(B758,ST!C:D,2,0),"NÃOST")</f>
        <v>NÃOST</v>
      </c>
      <c r="E758" s="3" t="str">
        <f>IF(COUNTIF(ISENÇÕES!A:A,CST!B758)&gt;0,"ISENÇÃO","SEM ISENÇÃO")</f>
        <v>SEM ISENÇÃO</v>
      </c>
      <c r="F758" s="18" t="str">
        <f>IF(COUNTIF(REDUÇÕES!A:A,CST!B758)&gt;0,"REDUÇÃO","NÃO REDUÇÃO")</f>
        <v>NÃO REDUÇÃO</v>
      </c>
      <c r="G758" s="27">
        <f>VLOOKUP(C758&amp;F758&amp;E758,$B$3:$F$10,5,0)</f>
        <v>0</v>
      </c>
    </row>
    <row r="759" spans="1:7" x14ac:dyDescent="0.25">
      <c r="A759" s="120" t="str">
        <f>RIGHT(CSTABLE[[#This Row],[NomeNCM]],8)</f>
        <v>30049099</v>
      </c>
      <c r="B759" s="7" t="s">
        <v>361</v>
      </c>
      <c r="C759" s="3" t="str">
        <f>IFERROR(VLOOKUP(B759,ST!C:D,2,0),"NÃOST")</f>
        <v>NÃOST</v>
      </c>
      <c r="E759" s="3" t="str">
        <f>IF(COUNTIF(ISENÇÕES!A:A,CST!B759)&gt;0,"ISENÇÃO","SEM ISENÇÃO")</f>
        <v>SEM ISENÇÃO</v>
      </c>
      <c r="F759" s="18" t="str">
        <f>IF(COUNTIF(REDUÇÕES!A:A,CST!B759)&gt;0,"REDUÇÃO","NÃO REDUÇÃO")</f>
        <v>NÃO REDUÇÃO</v>
      </c>
      <c r="G759" s="27">
        <f t="shared" si="12"/>
        <v>0</v>
      </c>
    </row>
    <row r="760" spans="1:7" x14ac:dyDescent="0.25">
      <c r="A760" s="120" t="str">
        <f>RIGHT(CSTABLE[[#This Row],[NomeNCM]],8)</f>
        <v>61159600</v>
      </c>
      <c r="B760" s="7" t="s">
        <v>362</v>
      </c>
      <c r="C760" s="3" t="str">
        <f>IFERROR(VLOOKUP(B760,ST!C:D,2,0),"NÃOST")</f>
        <v>NÃOST</v>
      </c>
      <c r="E760" s="3" t="str">
        <f>IF(COUNTIF(ISENÇÕES!A:A,CST!B760)&gt;0,"ISENÇÃO","SEM ISENÇÃO")</f>
        <v>SEM ISENÇÃO</v>
      </c>
      <c r="F760" s="18" t="str">
        <f>IF(COUNTIF(REDUÇÕES!A:A,CST!B760)&gt;0,"REDUÇÃO","NÃO REDUÇÃO")</f>
        <v>NÃO REDUÇÃO</v>
      </c>
      <c r="G760" s="27">
        <f t="shared" si="12"/>
        <v>0</v>
      </c>
    </row>
    <row r="761" spans="1:7" x14ac:dyDescent="0.25">
      <c r="A761" s="120" t="str">
        <f>RIGHT(CSTABLE[[#This Row],[NomeNCM]],8)</f>
        <v>20071000</v>
      </c>
      <c r="B761" s="7" t="s">
        <v>363</v>
      </c>
      <c r="C761" s="3" t="str">
        <f>IFERROR(VLOOKUP(B761,ST!C:D,2,0),"NÃOST")</f>
        <v>NÃOST</v>
      </c>
      <c r="E761" s="3" t="str">
        <f>IF(COUNTIF(ISENÇÕES!A:A,CST!B761)&gt;0,"ISENÇÃO","SEM ISENÇÃO")</f>
        <v>SEM ISENÇÃO</v>
      </c>
      <c r="F761" s="18" t="str">
        <f>IF(COUNTIF(REDUÇÕES!A:A,CST!B761)&gt;0,"REDUÇÃO","NÃO REDUÇÃO")</f>
        <v>NÃO REDUÇÃO</v>
      </c>
      <c r="G761" s="27">
        <f t="shared" si="12"/>
        <v>0</v>
      </c>
    </row>
    <row r="762" spans="1:7" x14ac:dyDescent="0.25">
      <c r="A762" s="120" t="str">
        <f>RIGHT(CSTABLE[[#This Row],[NomeNCM]],8)</f>
        <v>11081900</v>
      </c>
      <c r="B762" s="7" t="s">
        <v>364</v>
      </c>
      <c r="C762" s="3" t="str">
        <f>IFERROR(VLOOKUP(B762,ST!C:D,2,0),"NÃOST")</f>
        <v>NÃOST</v>
      </c>
      <c r="E762" s="3" t="str">
        <f>IF(COUNTIF(ISENÇÕES!A:A,CST!B762)&gt;0,"ISENÇÃO","SEM ISENÇÃO")</f>
        <v>SEM ISENÇÃO</v>
      </c>
      <c r="F762" s="18" t="str">
        <f>IF(COUNTIF(REDUÇÕES!A:A,CST!B762)&gt;0,"REDUÇÃO","NÃO REDUÇÃO")</f>
        <v>REDUÇÃO</v>
      </c>
      <c r="G762" s="27">
        <f t="shared" si="12"/>
        <v>20</v>
      </c>
    </row>
    <row r="763" spans="1:7" x14ac:dyDescent="0.25">
      <c r="A763" s="120" t="str">
        <f>RIGHT(CSTABLE[[#This Row],[NomeNCM]],8)</f>
        <v>48054010</v>
      </c>
      <c r="B763" s="7" t="s">
        <v>365</v>
      </c>
      <c r="C763" s="3" t="str">
        <f>IFERROR(VLOOKUP(B763,ST!C:D,2,0),"NÃOST")</f>
        <v>NÃOST</v>
      </c>
      <c r="E763" s="3" t="str">
        <f>IF(COUNTIF(ISENÇÕES!A:A,CST!B763)&gt;0,"ISENÇÃO","SEM ISENÇÃO")</f>
        <v>SEM ISENÇÃO</v>
      </c>
      <c r="F763" s="18" t="str">
        <f>IF(COUNTIF(REDUÇÕES!A:A,CST!B763)&gt;0,"REDUÇÃO","NÃO REDUÇÃO")</f>
        <v>NÃO REDUÇÃO</v>
      </c>
      <c r="G763" s="27">
        <f t="shared" si="12"/>
        <v>0</v>
      </c>
    </row>
    <row r="764" spans="1:7" x14ac:dyDescent="0.25">
      <c r="A764" s="120" t="str">
        <f>RIGHT(CSTABLE[[#This Row],[NomeNCM]],8)</f>
        <v>76071110</v>
      </c>
      <c r="B764" s="7" t="s">
        <v>366</v>
      </c>
      <c r="C764" s="3" t="str">
        <f>IFERROR(VLOOKUP(B764,ST!C:D,2,0),"NÃOST")</f>
        <v>NÃOST</v>
      </c>
      <c r="E764" s="3" t="str">
        <f>IF(COUNTIF(ISENÇÕES!A:A,CST!B764)&gt;0,"ISENÇÃO","SEM ISENÇÃO")</f>
        <v>SEM ISENÇÃO</v>
      </c>
      <c r="F764" s="18" t="str">
        <f>IF(COUNTIF(REDUÇÕES!A:A,CST!B764)&gt;0,"REDUÇÃO","NÃO REDUÇÃO")</f>
        <v>NÃO REDUÇÃO</v>
      </c>
      <c r="G764" s="27">
        <f t="shared" si="12"/>
        <v>0</v>
      </c>
    </row>
    <row r="765" spans="1:7" x14ac:dyDescent="0.25">
      <c r="A765" s="120" t="str">
        <f>RIGHT(CSTABLE[[#This Row],[NomeNCM]],8)</f>
        <v>38089411</v>
      </c>
      <c r="B765" s="7" t="s">
        <v>367</v>
      </c>
      <c r="C765" s="3" t="str">
        <f>IFERROR(VLOOKUP(B765,ST!C:D,2,0),"NÃOST")</f>
        <v>NÃOST</v>
      </c>
      <c r="E765" s="3" t="str">
        <f>IF(COUNTIF(ISENÇÕES!A:A,CST!B765)&gt;0,"ISENÇÃO","SEM ISENÇÃO")</f>
        <v>SEM ISENÇÃO</v>
      </c>
      <c r="F765" s="18" t="str">
        <f>IF(COUNTIF(REDUÇÕES!A:A,CST!B765)&gt;0,"REDUÇÃO","NÃO REDUÇÃO")</f>
        <v>REDUÇÃO</v>
      </c>
      <c r="G765" s="27">
        <f t="shared" si="12"/>
        <v>20</v>
      </c>
    </row>
    <row r="766" spans="1:7" x14ac:dyDescent="0.25">
      <c r="A766" s="120" t="str">
        <f>RIGHT(CSTABLE[[#This Row],[NomeNCM]],8)</f>
        <v>89039200</v>
      </c>
      <c r="B766" s="7" t="s">
        <v>368</v>
      </c>
      <c r="C766" s="3" t="str">
        <f>IFERROR(VLOOKUP(B766,ST!C:D,2,0),"NÃOST")</f>
        <v>NÃOST</v>
      </c>
      <c r="E766" s="3" t="str">
        <f>IF(COUNTIF(ISENÇÕES!A:A,CST!B766)&gt;0,"ISENÇÃO","SEM ISENÇÃO")</f>
        <v>SEM ISENÇÃO</v>
      </c>
      <c r="F766" s="18" t="str">
        <f>IF(COUNTIF(REDUÇÕES!A:A,CST!B766)&gt;0,"REDUÇÃO","NÃO REDUÇÃO")</f>
        <v>NÃO REDUÇÃO</v>
      </c>
      <c r="G766" s="27">
        <f t="shared" si="12"/>
        <v>0</v>
      </c>
    </row>
    <row r="767" spans="1:7" x14ac:dyDescent="0.25">
      <c r="A767" s="120" t="str">
        <f>RIGHT(CSTABLE[[#This Row],[NomeNCM]],8)</f>
        <v>34070010</v>
      </c>
      <c r="B767" s="7" t="s">
        <v>369</v>
      </c>
      <c r="C767" s="3" t="str">
        <f>IFERROR(VLOOKUP(B767,ST!C:D,2,0),"NÃOST")</f>
        <v>NÃOST</v>
      </c>
      <c r="E767" s="3" t="str">
        <f>IF(COUNTIF(ISENÇÕES!A:A,CST!B767)&gt;0,"ISENÇÃO","SEM ISENÇÃO")</f>
        <v>SEM ISENÇÃO</v>
      </c>
      <c r="F767" s="18" t="str">
        <f>IF(COUNTIF(REDUÇÕES!A:A,CST!B767)&gt;0,"REDUÇÃO","NÃO REDUÇÃO")</f>
        <v>NÃO REDUÇÃO</v>
      </c>
      <c r="G767" s="27">
        <f t="shared" si="12"/>
        <v>0</v>
      </c>
    </row>
    <row r="768" spans="1:7" x14ac:dyDescent="0.25">
      <c r="A768" s="120" t="str">
        <f>RIGHT(CSTABLE[[#This Row],[NomeNCM]],8)</f>
        <v>02050000</v>
      </c>
      <c r="B768" s="7" t="s">
        <v>370</v>
      </c>
      <c r="C768" s="3" t="str">
        <f>IFERROR(VLOOKUP(B768,ST!C:D,2,0),"NÃOST")</f>
        <v>NÃOST</v>
      </c>
      <c r="E768" s="3" t="str">
        <f>IF(COUNTIF(ISENÇÕES!A:A,CST!B768)&gt;0,"ISENÇÃO","SEM ISENÇÃO")</f>
        <v>SEM ISENÇÃO</v>
      </c>
      <c r="F768" s="18" t="str">
        <f>IF(COUNTIF(REDUÇÕES!A:A,CST!B768)&gt;0,"REDUÇÃO","NÃO REDUÇÃO")</f>
        <v>NÃO REDUÇÃO</v>
      </c>
      <c r="G768" s="27">
        <f t="shared" si="12"/>
        <v>0</v>
      </c>
    </row>
    <row r="769" spans="1:7" x14ac:dyDescent="0.25">
      <c r="A769" s="120" t="str">
        <f>RIGHT(CSTABLE[[#This Row],[NomeNCM]],8)</f>
        <v>85167100</v>
      </c>
      <c r="B769" s="7" t="s">
        <v>371</v>
      </c>
      <c r="C769" s="3" t="str">
        <f>IFERROR(VLOOKUP(B769,ST!C:D,2,0),"NÃOST")</f>
        <v>NÃOST</v>
      </c>
      <c r="E769" s="3" t="str">
        <f>IF(COUNTIF(ISENÇÕES!A:A,CST!B769)&gt;0,"ISENÇÃO","SEM ISENÇÃO")</f>
        <v>SEM ISENÇÃO</v>
      </c>
      <c r="F769" s="18" t="str">
        <f>IF(COUNTIF(REDUÇÕES!A:A,CST!B769)&gt;0,"REDUÇÃO","NÃO REDUÇÃO")</f>
        <v>NÃO REDUÇÃO</v>
      </c>
      <c r="G769" s="27">
        <f t="shared" si="12"/>
        <v>0</v>
      </c>
    </row>
    <row r="770" spans="1:7" x14ac:dyDescent="0.25">
      <c r="A770" s="120" t="str">
        <f>RIGHT(CSTABLE[[#This Row],[NomeNCM]],8)</f>
        <v>38089919</v>
      </c>
      <c r="B770" s="7" t="s">
        <v>372</v>
      </c>
      <c r="C770" s="3" t="str">
        <f>IFERROR(VLOOKUP(B770,ST!C:D,2,0),"NÃOST")</f>
        <v>NÃOST</v>
      </c>
      <c r="E770" s="3" t="str">
        <f>IF(COUNTIF(ISENÇÕES!A:A,CST!B770)&gt;0,"ISENÇÃO","SEM ISENÇÃO")</f>
        <v>SEM ISENÇÃO</v>
      </c>
      <c r="F770" s="18" t="str">
        <f>IF(COUNTIF(REDUÇÕES!A:A,CST!B770)&gt;0,"REDUÇÃO","NÃO REDUÇÃO")</f>
        <v>NÃO REDUÇÃO</v>
      </c>
      <c r="G770" s="27">
        <f t="shared" si="12"/>
        <v>0</v>
      </c>
    </row>
    <row r="771" spans="1:7" x14ac:dyDescent="0.25">
      <c r="A771" s="120" t="str">
        <f>RIGHT(CSTABLE[[#This Row],[NomeNCM]],8)</f>
        <v>64019200</v>
      </c>
      <c r="B771" s="7" t="s">
        <v>373</v>
      </c>
      <c r="C771" s="3" t="str">
        <f>IFERROR(VLOOKUP(B771,ST!C:D,2,0),"NÃOST")</f>
        <v>NÃOST</v>
      </c>
      <c r="E771" s="3" t="str">
        <f>IF(COUNTIF(ISENÇÕES!A:A,CST!B771)&gt;0,"ISENÇÃO","SEM ISENÇÃO")</f>
        <v>SEM ISENÇÃO</v>
      </c>
      <c r="F771" s="18" t="str">
        <f>IF(COUNTIF(REDUÇÕES!A:A,CST!B771)&gt;0,"REDUÇÃO","NÃO REDUÇÃO")</f>
        <v>NÃO REDUÇÃO</v>
      </c>
      <c r="G771" s="27">
        <f t="shared" si="12"/>
        <v>0</v>
      </c>
    </row>
    <row r="772" spans="1:7" x14ac:dyDescent="0.25">
      <c r="A772" s="120" t="str">
        <f>RIGHT(CSTABLE[[#This Row],[NomeNCM]],8)</f>
        <v>22083090</v>
      </c>
      <c r="B772" s="7" t="s">
        <v>374</v>
      </c>
      <c r="C772" s="3" t="str">
        <f>IFERROR(VLOOKUP(B772,ST!C:D,2,0),"NÃOST")</f>
        <v>NÃOST</v>
      </c>
      <c r="E772" s="3" t="str">
        <f>IF(COUNTIF(ISENÇÕES!A:A,CST!B772)&gt;0,"ISENÇÃO","SEM ISENÇÃO")</f>
        <v>SEM ISENÇÃO</v>
      </c>
      <c r="F772" s="18" t="str">
        <f>IF(COUNTIF(REDUÇÕES!A:A,CST!B772)&gt;0,"REDUÇÃO","NÃO REDUÇÃO")</f>
        <v>NÃO REDUÇÃO</v>
      </c>
      <c r="G772" s="27">
        <f t="shared" si="12"/>
        <v>0</v>
      </c>
    </row>
    <row r="773" spans="1:7" x14ac:dyDescent="0.25">
      <c r="A773" s="120" t="str">
        <f>RIGHT(CSTABLE[[#This Row],[NomeNCM]],8)</f>
        <v>85392190</v>
      </c>
      <c r="B773" s="7" t="s">
        <v>127</v>
      </c>
      <c r="C773" s="3" t="str">
        <f>IFERROR(VLOOKUP(B773,ST!C:D,2,0),"NÃOST")</f>
        <v>ST</v>
      </c>
      <c r="E773" s="3" t="str">
        <f>IF(COUNTIF(ISENÇÕES!A:A,CST!B773)&gt;0,"ISENÇÃO","SEM ISENÇÃO")</f>
        <v>SEM ISENÇÃO</v>
      </c>
      <c r="F773" s="18" t="str">
        <f>IF(COUNTIF(REDUÇÕES!A:A,CST!B773)&gt;0,"REDUÇÃO","NÃO REDUÇÃO")</f>
        <v>NÃO REDUÇÃO</v>
      </c>
      <c r="G773" s="27">
        <f t="shared" si="12"/>
        <v>60</v>
      </c>
    </row>
    <row r="774" spans="1:7" x14ac:dyDescent="0.25">
      <c r="A774" s="120" t="str">
        <f>RIGHT(CSTABLE[[#This Row],[NomeNCM]],8)</f>
        <v>90112010</v>
      </c>
      <c r="B774" s="7" t="s">
        <v>375</v>
      </c>
      <c r="C774" s="3" t="str">
        <f>IFERROR(VLOOKUP(B774,ST!C:D,2,0),"NÃOST")</f>
        <v>NÃOST</v>
      </c>
      <c r="E774" s="3" t="str">
        <f>IF(COUNTIF(ISENÇÕES!A:A,CST!B774)&gt;0,"ISENÇÃO","SEM ISENÇÃO")</f>
        <v>SEM ISENÇÃO</v>
      </c>
      <c r="F774" s="18" t="str">
        <f>IF(COUNTIF(REDUÇÕES!A:A,CST!B774)&gt;0,"REDUÇÃO","NÃO REDUÇÃO")</f>
        <v>NÃO REDUÇÃO</v>
      </c>
      <c r="G774" s="27">
        <f t="shared" si="12"/>
        <v>0</v>
      </c>
    </row>
    <row r="775" spans="1:7" x14ac:dyDescent="0.25">
      <c r="A775" s="120" t="str">
        <f>RIGHT(CSTABLE[[#This Row],[NomeNCM]],8)</f>
        <v>84099921</v>
      </c>
      <c r="B775" s="7" t="s">
        <v>376</v>
      </c>
      <c r="C775" s="3" t="str">
        <f>IFERROR(VLOOKUP(B775,ST!C:D,2,0),"NÃOST")</f>
        <v>NÃOST</v>
      </c>
      <c r="E775" s="3" t="str">
        <f>IF(COUNTIF(ISENÇÕES!A:A,CST!B775)&gt;0,"ISENÇÃO","SEM ISENÇÃO")</f>
        <v>SEM ISENÇÃO</v>
      </c>
      <c r="F775" s="18" t="str">
        <f>IF(COUNTIF(REDUÇÕES!A:A,CST!B775)&gt;0,"REDUÇÃO","NÃO REDUÇÃO")</f>
        <v>NÃO REDUÇÃO</v>
      </c>
      <c r="G775" s="27">
        <f t="shared" si="12"/>
        <v>0</v>
      </c>
    </row>
    <row r="776" spans="1:7" x14ac:dyDescent="0.25">
      <c r="A776" s="120" t="str">
        <f>RIGHT(CSTABLE[[#This Row],[NomeNCM]],8)</f>
        <v>10063029</v>
      </c>
      <c r="B776" s="7" t="s">
        <v>377</v>
      </c>
      <c r="C776" s="3" t="str">
        <f>IFERROR(VLOOKUP(B776,ST!C:D,2,0),"NÃOST")</f>
        <v>NÃOST</v>
      </c>
      <c r="E776" s="3" t="str">
        <f>IF(COUNTIF(ISENÇÕES!A:A,CST!B776)&gt;0,"ISENÇÃO","SEM ISENÇÃO")</f>
        <v>SEM ISENÇÃO</v>
      </c>
      <c r="F776" s="18" t="str">
        <f>IF(COUNTIF(REDUÇÕES!A:A,CST!B776)&gt;0,"REDUÇÃO","NÃO REDUÇÃO")</f>
        <v>REDUÇÃO</v>
      </c>
      <c r="G776" s="27">
        <f t="shared" si="12"/>
        <v>20</v>
      </c>
    </row>
    <row r="777" spans="1:7" x14ac:dyDescent="0.25">
      <c r="A777" s="120" t="str">
        <f>RIGHT(CSTABLE[[#This Row],[NomeNCM]],8)</f>
        <v>09022000</v>
      </c>
      <c r="B777" s="7" t="s">
        <v>378</v>
      </c>
      <c r="C777" s="3" t="str">
        <f>IFERROR(VLOOKUP(B777,ST!C:D,2,0),"NÃOST")</f>
        <v>NÃOST</v>
      </c>
      <c r="E777" s="3" t="str">
        <f>IF(COUNTIF(ISENÇÕES!A:A,CST!B777)&gt;0,"ISENÇÃO","SEM ISENÇÃO")</f>
        <v>SEM ISENÇÃO</v>
      </c>
      <c r="F777" s="18" t="str">
        <f>IF(COUNTIF(REDUÇÕES!A:A,CST!B777)&gt;0,"REDUÇÃO","NÃO REDUÇÃO")</f>
        <v>NÃO REDUÇÃO</v>
      </c>
      <c r="G777" s="27">
        <f t="shared" si="12"/>
        <v>0</v>
      </c>
    </row>
    <row r="778" spans="1:7" x14ac:dyDescent="0.25">
      <c r="A778" s="120" t="str">
        <f>RIGHT(CSTABLE[[#This Row],[NomeNCM]],8)</f>
        <v>38084010</v>
      </c>
      <c r="B778" s="7" t="s">
        <v>379</v>
      </c>
      <c r="C778" s="3" t="str">
        <f>IFERROR(VLOOKUP(B778,ST!C:D,2,0),"NÃOST")</f>
        <v>NÃOST</v>
      </c>
      <c r="E778" s="3" t="str">
        <f>IF(COUNTIF(ISENÇÕES!A:A,CST!B778)&gt;0,"ISENÇÃO","SEM ISENÇÃO")</f>
        <v>SEM ISENÇÃO</v>
      </c>
      <c r="F778" s="18" t="str">
        <f>IF(COUNTIF(REDUÇÕES!A:A,CST!B778)&gt;0,"REDUÇÃO","NÃO REDUÇÃO")</f>
        <v>NÃO REDUÇÃO</v>
      </c>
      <c r="G778" s="27">
        <f t="shared" si="12"/>
        <v>0</v>
      </c>
    </row>
    <row r="779" spans="1:7" x14ac:dyDescent="0.25">
      <c r="A779" s="120" t="str">
        <f>RIGHT(CSTABLE[[#This Row],[NomeNCM]],8)</f>
        <v>48115122</v>
      </c>
      <c r="B779" s="7" t="s">
        <v>380</v>
      </c>
      <c r="C779" s="3" t="str">
        <f>IFERROR(VLOOKUP(B779,ST!C:D,2,0),"NÃOST")</f>
        <v>NÃOST</v>
      </c>
      <c r="E779" s="3" t="str">
        <f>IF(COUNTIF(ISENÇÕES!A:A,CST!B779)&gt;0,"ISENÇÃO","SEM ISENÇÃO")</f>
        <v>SEM ISENÇÃO</v>
      </c>
      <c r="F779" s="18" t="str">
        <f>IF(COUNTIF(REDUÇÕES!A:A,CST!B779)&gt;0,"REDUÇÃO","NÃO REDUÇÃO")</f>
        <v>NÃO REDUÇÃO</v>
      </c>
      <c r="G779" s="27">
        <f t="shared" si="12"/>
        <v>0</v>
      </c>
    </row>
    <row r="780" spans="1:7" x14ac:dyDescent="0.25">
      <c r="A780" s="120" t="str">
        <f>RIGHT(CSTABLE[[#This Row],[NomeNCM]],8)</f>
        <v>87168000</v>
      </c>
      <c r="B780" s="7" t="s">
        <v>381</v>
      </c>
      <c r="C780" s="3" t="str">
        <f>IFERROR(VLOOKUP(B780,ST!C:D,2,0),"NÃOST")</f>
        <v>NÃOST</v>
      </c>
      <c r="E780" s="3" t="str">
        <f>IF(COUNTIF(ISENÇÕES!A:A,CST!B780)&gt;0,"ISENÇÃO","SEM ISENÇÃO")</f>
        <v>SEM ISENÇÃO</v>
      </c>
      <c r="F780" s="18" t="str">
        <f>IF(COUNTIF(REDUÇÕES!A:A,CST!B780)&gt;0,"REDUÇÃO","NÃO REDUÇÃO")</f>
        <v>NÃO REDUÇÃO</v>
      </c>
      <c r="G780" s="27">
        <f t="shared" si="12"/>
        <v>0</v>
      </c>
    </row>
    <row r="781" spans="1:7" x14ac:dyDescent="0.25">
      <c r="A781" s="120" t="str">
        <f>RIGHT(CSTABLE[[#This Row],[NomeNCM]],8)</f>
        <v>21032090</v>
      </c>
      <c r="B781" s="7" t="s">
        <v>382</v>
      </c>
      <c r="C781" s="3" t="str">
        <f>IFERROR(VLOOKUP(B781,ST!C:D,2,0),"NÃOST")</f>
        <v>NÃOST</v>
      </c>
      <c r="E781" s="3" t="str">
        <f>IF(COUNTIF(ISENÇÕES!A:A,CST!B781)&gt;0,"ISENÇÃO","SEM ISENÇÃO")</f>
        <v>SEM ISENÇÃO</v>
      </c>
      <c r="F781" s="18" t="str">
        <f>IF(COUNTIF(REDUÇÕES!A:A,CST!B781)&gt;0,"REDUÇÃO","NÃO REDUÇÃO")</f>
        <v>NÃO REDUÇÃO</v>
      </c>
      <c r="G781" s="27">
        <f t="shared" si="12"/>
        <v>0</v>
      </c>
    </row>
    <row r="782" spans="1:7" x14ac:dyDescent="0.25">
      <c r="A782" s="120" t="str">
        <f>RIGHT(CSTABLE[[#This Row],[NomeNCM]],8)</f>
        <v>84212100</v>
      </c>
      <c r="B782" s="7" t="s">
        <v>383</v>
      </c>
      <c r="C782" s="3" t="str">
        <f>IFERROR(VLOOKUP(B782,ST!C:D,2,0),"NÃOST")</f>
        <v>NÃOST</v>
      </c>
      <c r="E782" s="3" t="str">
        <f>IF(COUNTIF(ISENÇÕES!A:A,CST!B782)&gt;0,"ISENÇÃO","SEM ISENÇÃO")</f>
        <v>SEM ISENÇÃO</v>
      </c>
      <c r="F782" s="18" t="str">
        <f>IF(COUNTIF(REDUÇÕES!A:A,CST!B782)&gt;0,"REDUÇÃO","NÃO REDUÇÃO")</f>
        <v>NÃO REDUÇÃO</v>
      </c>
      <c r="G782" s="27">
        <f t="shared" si="12"/>
        <v>0</v>
      </c>
    </row>
    <row r="783" spans="1:7" x14ac:dyDescent="0.25">
      <c r="A783" s="120" t="str">
        <f>RIGHT(CSTABLE[[#This Row],[NomeNCM]],8)</f>
        <v>28332100</v>
      </c>
      <c r="B783" s="7" t="s">
        <v>384</v>
      </c>
      <c r="C783" s="3" t="str">
        <f>IFERROR(VLOOKUP(B783,ST!C:D,2,0),"NÃOST")</f>
        <v>NÃOST</v>
      </c>
      <c r="E783" s="3" t="str">
        <f>IF(COUNTIF(ISENÇÕES!A:A,CST!B783)&gt;0,"ISENÇÃO","SEM ISENÇÃO")</f>
        <v>SEM ISENÇÃO</v>
      </c>
      <c r="F783" s="18" t="str">
        <f>IF(COUNTIF(REDUÇÕES!A:A,CST!B783)&gt;0,"REDUÇÃO","NÃO REDUÇÃO")</f>
        <v>NÃO REDUÇÃO</v>
      </c>
      <c r="G783" s="27">
        <f t="shared" ref="G783:G846" si="13">VLOOKUP(C783&amp;F783&amp;E783,$B$3:$F$10,5,0)</f>
        <v>0</v>
      </c>
    </row>
    <row r="784" spans="1:7" x14ac:dyDescent="0.25">
      <c r="A784" s="120" t="str">
        <f>RIGHT(CSTABLE[[#This Row],[NomeNCM]],8)</f>
        <v>28061020</v>
      </c>
      <c r="B784" s="7" t="s">
        <v>385</v>
      </c>
      <c r="C784" s="3" t="str">
        <f>IFERROR(VLOOKUP(B784,ST!C:D,2,0),"NÃOST")</f>
        <v>NÃOST</v>
      </c>
      <c r="E784" s="3" t="str">
        <f>IF(COUNTIF(ISENÇÕES!A:A,CST!B784)&gt;0,"ISENÇÃO","SEM ISENÇÃO")</f>
        <v>SEM ISENÇÃO</v>
      </c>
      <c r="F784" s="18" t="str">
        <f>IF(COUNTIF(REDUÇÕES!A:A,CST!B784)&gt;0,"REDUÇÃO","NÃO REDUÇÃO")</f>
        <v>NÃO REDUÇÃO</v>
      </c>
      <c r="G784" s="27">
        <f t="shared" si="13"/>
        <v>0</v>
      </c>
    </row>
    <row r="785" spans="1:7" x14ac:dyDescent="0.25">
      <c r="A785" s="120" t="str">
        <f>RIGHT(CSTABLE[[#This Row],[NomeNCM]],8)</f>
        <v>48064000</v>
      </c>
      <c r="B785" s="7" t="s">
        <v>386</v>
      </c>
      <c r="C785" s="3" t="str">
        <f>IFERROR(VLOOKUP(B785,ST!C:D,2,0),"NÃOST")</f>
        <v>NÃOST</v>
      </c>
      <c r="E785" s="3" t="str">
        <f>IF(COUNTIF(ISENÇÕES!A:A,CST!B785)&gt;0,"ISENÇÃO","SEM ISENÇÃO")</f>
        <v>SEM ISENÇÃO</v>
      </c>
      <c r="F785" s="18" t="str">
        <f>IF(COUNTIF(REDUÇÕES!A:A,CST!B785)&gt;0,"REDUÇÃO","NÃO REDUÇÃO")</f>
        <v>NÃO REDUÇÃO</v>
      </c>
      <c r="G785" s="27">
        <f t="shared" si="13"/>
        <v>0</v>
      </c>
    </row>
    <row r="786" spans="1:7" x14ac:dyDescent="0.25">
      <c r="A786" s="120" t="str">
        <f>RIGHT(CSTABLE[[#This Row],[NomeNCM]],8)</f>
        <v>15111000</v>
      </c>
      <c r="B786" s="7" t="s">
        <v>387</v>
      </c>
      <c r="C786" s="3" t="str">
        <f>IFERROR(VLOOKUP(B786,ST!C:D,2,0),"NÃOST")</f>
        <v>NÃOST</v>
      </c>
      <c r="E786" s="3" t="str">
        <f>IF(COUNTIF(ISENÇÕES!A:A,CST!B786)&gt;0,"ISENÇÃO","SEM ISENÇÃO")</f>
        <v>SEM ISENÇÃO</v>
      </c>
      <c r="F786" s="18" t="str">
        <f>IF(COUNTIF(REDUÇÕES!A:A,CST!B786)&gt;0,"REDUÇÃO","NÃO REDUÇÃO")</f>
        <v>NÃO REDUÇÃO</v>
      </c>
      <c r="G786" s="27">
        <f t="shared" si="13"/>
        <v>0</v>
      </c>
    </row>
    <row r="787" spans="1:7" x14ac:dyDescent="0.25">
      <c r="A787" s="120" t="str">
        <f>RIGHT(CSTABLE[[#This Row],[NomeNCM]],8)</f>
        <v>94041000</v>
      </c>
      <c r="B787" s="7" t="s">
        <v>388</v>
      </c>
      <c r="C787" s="3" t="str">
        <f>IFERROR(VLOOKUP(B787,ST!C:D,2,0),"NÃOST")</f>
        <v>NÃOST</v>
      </c>
      <c r="E787" s="3" t="str">
        <f>IF(COUNTIF(ISENÇÕES!A:A,CST!B787)&gt;0,"ISENÇÃO","SEM ISENÇÃO")</f>
        <v>SEM ISENÇÃO</v>
      </c>
      <c r="F787" s="18" t="str">
        <f>IF(COUNTIF(REDUÇÕES!A:A,CST!B787)&gt;0,"REDUÇÃO","NÃO REDUÇÃO")</f>
        <v>NÃO REDUÇÃO</v>
      </c>
      <c r="G787" s="27">
        <f t="shared" si="13"/>
        <v>0</v>
      </c>
    </row>
    <row r="788" spans="1:7" x14ac:dyDescent="0.25">
      <c r="A788" s="120" t="str">
        <f>RIGHT(CSTABLE[[#This Row],[NomeNCM]],8)</f>
        <v>30059019</v>
      </c>
      <c r="B788" s="7" t="s">
        <v>389</v>
      </c>
      <c r="C788" s="3" t="str">
        <f>IFERROR(VLOOKUP(B788,ST!C:D,2,0),"NÃOST")</f>
        <v>NÃOST</v>
      </c>
      <c r="E788" s="3" t="str">
        <f>IF(COUNTIF(ISENÇÕES!A:A,CST!B788)&gt;0,"ISENÇÃO","SEM ISENÇÃO")</f>
        <v>SEM ISENÇÃO</v>
      </c>
      <c r="F788" s="18" t="str">
        <f>IF(COUNTIF(REDUÇÕES!A:A,CST!B788)&gt;0,"REDUÇÃO","NÃO REDUÇÃO")</f>
        <v>NÃO REDUÇÃO</v>
      </c>
      <c r="G788" s="27">
        <f t="shared" si="13"/>
        <v>0</v>
      </c>
    </row>
    <row r="789" spans="1:7" x14ac:dyDescent="0.25">
      <c r="A789" s="120" t="str">
        <f>RIGHT(CSTABLE[[#This Row],[NomeNCM]],8)</f>
        <v>85065010</v>
      </c>
      <c r="B789" s="7" t="s">
        <v>390</v>
      </c>
      <c r="C789" s="3" t="str">
        <f>IFERROR(VLOOKUP(B789,ST!C:D,2,0),"NÃOST")</f>
        <v>NÃOST</v>
      </c>
      <c r="E789" s="3" t="str">
        <f>IF(COUNTIF(ISENÇÕES!A:A,CST!B789)&gt;0,"ISENÇÃO","SEM ISENÇÃO")</f>
        <v>SEM ISENÇÃO</v>
      </c>
      <c r="F789" s="18" t="str">
        <f>IF(COUNTIF(REDUÇÕES!A:A,CST!B789)&gt;0,"REDUÇÃO","NÃO REDUÇÃO")</f>
        <v>NÃO REDUÇÃO</v>
      </c>
      <c r="G789" s="27">
        <f t="shared" si="13"/>
        <v>0</v>
      </c>
    </row>
    <row r="790" spans="1:7" x14ac:dyDescent="0.25">
      <c r="A790" s="120" t="str">
        <f>RIGHT(CSTABLE[[#This Row],[NomeNCM]],8)</f>
        <v>03027100</v>
      </c>
      <c r="B790" s="7" t="s">
        <v>391</v>
      </c>
      <c r="C790" s="3" t="str">
        <f>IFERROR(VLOOKUP(B790,ST!C:D,2,0),"NÃOST")</f>
        <v>NÃOST</v>
      </c>
      <c r="E790" s="3" t="str">
        <f>IF(COUNTIF(ISENÇÕES!A:A,CST!B790)&gt;0,"ISENÇÃO","SEM ISENÇÃO")</f>
        <v>SEM ISENÇÃO</v>
      </c>
      <c r="F790" s="18" t="str">
        <f>IF(COUNTIF(REDUÇÕES!A:A,CST!B790)&gt;0,"REDUÇÃO","NÃO REDUÇÃO")</f>
        <v>NÃO REDUÇÃO</v>
      </c>
      <c r="G790" s="27">
        <f t="shared" si="13"/>
        <v>0</v>
      </c>
    </row>
    <row r="791" spans="1:7" x14ac:dyDescent="0.25">
      <c r="A791" s="120" t="str">
        <f>RIGHT(CSTABLE[[#This Row],[NomeNCM]],8)</f>
        <v>12584785</v>
      </c>
      <c r="B791" s="7" t="s">
        <v>392</v>
      </c>
      <c r="C791" s="3" t="str">
        <f>IFERROR(VLOOKUP(B791,ST!C:D,2,0),"NÃOST")</f>
        <v>NÃOST</v>
      </c>
      <c r="E791" s="3" t="str">
        <f>IF(COUNTIF(ISENÇÕES!A:A,CST!B791)&gt;0,"ISENÇÃO","SEM ISENÇÃO")</f>
        <v>SEM ISENÇÃO</v>
      </c>
      <c r="F791" s="18" t="str">
        <f>IF(COUNTIF(REDUÇÕES!A:A,CST!B791)&gt;0,"REDUÇÃO","NÃO REDUÇÃO")</f>
        <v>NÃO REDUÇÃO</v>
      </c>
      <c r="G791" s="27">
        <f t="shared" si="13"/>
        <v>0</v>
      </c>
    </row>
    <row r="792" spans="1:7" x14ac:dyDescent="0.25">
      <c r="A792" s="120" t="str">
        <f>RIGHT(CSTABLE[[#This Row],[NomeNCM]],8)</f>
        <v>84811000</v>
      </c>
      <c r="B792" s="7" t="s">
        <v>393</v>
      </c>
      <c r="C792" s="3" t="str">
        <f>IFERROR(VLOOKUP(B792,ST!C:D,2,0),"NÃOST")</f>
        <v>NÃOST</v>
      </c>
      <c r="E792" s="3" t="str">
        <f>IF(COUNTIF(ISENÇÕES!A:A,CST!B792)&gt;0,"ISENÇÃO","SEM ISENÇÃO")</f>
        <v>SEM ISENÇÃO</v>
      </c>
      <c r="F792" s="18" t="str">
        <f>IF(COUNTIF(REDUÇÕES!A:A,CST!B792)&gt;0,"REDUÇÃO","NÃO REDUÇÃO")</f>
        <v>NÃO REDUÇÃO</v>
      </c>
      <c r="G792" s="27">
        <f t="shared" si="13"/>
        <v>0</v>
      </c>
    </row>
    <row r="793" spans="1:7" x14ac:dyDescent="0.25">
      <c r="A793" s="120" t="str">
        <f>RIGHT(CSTABLE[[#This Row],[NomeNCM]],8)</f>
        <v>85061019</v>
      </c>
      <c r="B793" s="7" t="s">
        <v>394</v>
      </c>
      <c r="C793" s="3" t="str">
        <f>IFERROR(VLOOKUP(B793,ST!C:D,2,0),"NÃOST")</f>
        <v>NÃOST</v>
      </c>
      <c r="E793" s="3" t="str">
        <f>IF(COUNTIF(ISENÇÕES!A:A,CST!B793)&gt;0,"ISENÇÃO","SEM ISENÇÃO")</f>
        <v>SEM ISENÇÃO</v>
      </c>
      <c r="F793" s="18" t="str">
        <f>IF(COUNTIF(REDUÇÕES!A:A,CST!B793)&gt;0,"REDUÇÃO","NÃO REDUÇÃO")</f>
        <v>NÃO REDUÇÃO</v>
      </c>
      <c r="G793" s="27">
        <f t="shared" si="13"/>
        <v>0</v>
      </c>
    </row>
    <row r="794" spans="1:7" x14ac:dyDescent="0.25">
      <c r="A794" s="120" t="str">
        <f>RIGHT(CSTABLE[[#This Row],[NomeNCM]],8)</f>
        <v>34021300</v>
      </c>
      <c r="B794" s="7" t="s">
        <v>395</v>
      </c>
      <c r="C794" s="3" t="str">
        <f>IFERROR(VLOOKUP(B794,ST!C:D,2,0),"NÃOST")</f>
        <v>NÃOST</v>
      </c>
      <c r="E794" s="3" t="str">
        <f>IF(COUNTIF(ISENÇÕES!A:A,CST!B794)&gt;0,"ISENÇÃO","SEM ISENÇÃO")</f>
        <v>SEM ISENÇÃO</v>
      </c>
      <c r="F794" s="18" t="str">
        <f>IF(COUNTIF(REDUÇÕES!A:A,CST!B794)&gt;0,"REDUÇÃO","NÃO REDUÇÃO")</f>
        <v>NÃO REDUÇÃO</v>
      </c>
      <c r="G794" s="27">
        <f t="shared" si="13"/>
        <v>0</v>
      </c>
    </row>
    <row r="795" spans="1:7" x14ac:dyDescent="0.25">
      <c r="A795" s="120" t="str">
        <f>RIGHT(CSTABLE[[#This Row],[NomeNCM]],8)</f>
        <v>08111000</v>
      </c>
      <c r="B795" s="7" t="s">
        <v>396</v>
      </c>
      <c r="C795" s="3" t="str">
        <f>IFERROR(VLOOKUP(B795,ST!C:D,2,0),"NÃOST")</f>
        <v>NÃOST</v>
      </c>
      <c r="E795" s="3" t="str">
        <f>IF(COUNTIF(ISENÇÕES!A:A,CST!B795)&gt;0,"ISENÇÃO","SEM ISENÇÃO")</f>
        <v>ISENÇÃO</v>
      </c>
      <c r="F795" s="18" t="str">
        <f>IF(COUNTIF(REDUÇÕES!A:A,CST!B795)&gt;0,"REDUÇÃO","NÃO REDUÇÃO")</f>
        <v>NÃO REDUÇÃO</v>
      </c>
      <c r="G795" s="27">
        <f t="shared" si="13"/>
        <v>40</v>
      </c>
    </row>
    <row r="796" spans="1:7" x14ac:dyDescent="0.25">
      <c r="A796" s="120" t="str">
        <f>RIGHT(CSTABLE[[#This Row],[NomeNCM]],8)</f>
        <v>08012200</v>
      </c>
      <c r="B796" s="7" t="s">
        <v>397</v>
      </c>
      <c r="C796" s="3" t="str">
        <f>IFERROR(VLOOKUP(B796,ST!C:D,2,0),"NÃOST")</f>
        <v>NÃOST</v>
      </c>
      <c r="E796" s="3" t="str">
        <f>IF(COUNTIF(ISENÇÕES!A:A,CST!B796)&gt;0,"ISENÇÃO","SEM ISENÇÃO")</f>
        <v>ISENÇÃO</v>
      </c>
      <c r="F796" s="18" t="str">
        <f>IF(COUNTIF(REDUÇÕES!A:A,CST!B796)&gt;0,"REDUÇÃO","NÃO REDUÇÃO")</f>
        <v>NÃO REDUÇÃO</v>
      </c>
      <c r="G796" s="27">
        <f t="shared" si="13"/>
        <v>40</v>
      </c>
    </row>
    <row r="797" spans="1:7" x14ac:dyDescent="0.25">
      <c r="A797" s="120" t="str">
        <f>RIGHT(CSTABLE[[#This Row],[NomeNCM]],8)</f>
        <v>85365090</v>
      </c>
      <c r="B797" s="7" t="s">
        <v>398</v>
      </c>
      <c r="C797" s="3" t="str">
        <f>IFERROR(VLOOKUP(B797,ST!C:D,2,0),"NÃOST")</f>
        <v>NÃOST</v>
      </c>
      <c r="E797" s="3" t="str">
        <f>IF(COUNTIF(ISENÇÕES!A:A,CST!B797)&gt;0,"ISENÇÃO","SEM ISENÇÃO")</f>
        <v>SEM ISENÇÃO</v>
      </c>
      <c r="F797" s="18" t="str">
        <f>IF(COUNTIF(REDUÇÕES!A:A,CST!B797)&gt;0,"REDUÇÃO","NÃO REDUÇÃO")</f>
        <v>NÃO REDUÇÃO</v>
      </c>
      <c r="G797" s="27">
        <f t="shared" si="13"/>
        <v>0</v>
      </c>
    </row>
    <row r="798" spans="1:7" x14ac:dyDescent="0.25">
      <c r="A798" s="120" t="str">
        <f>RIGHT(CSTABLE[[#This Row],[NomeNCM]],8)</f>
        <v>39039010</v>
      </c>
      <c r="B798" s="7" t="s">
        <v>399</v>
      </c>
      <c r="C798" s="3" t="str">
        <f>IFERROR(VLOOKUP(B798,ST!C:D,2,0),"NÃOST")</f>
        <v>NÃOST</v>
      </c>
      <c r="E798" s="3" t="str">
        <f>IF(COUNTIF(ISENÇÕES!A:A,CST!B798)&gt;0,"ISENÇÃO","SEM ISENÇÃO")</f>
        <v>SEM ISENÇÃO</v>
      </c>
      <c r="F798" s="18" t="str">
        <f>IF(COUNTIF(REDUÇÕES!A:A,CST!B798)&gt;0,"REDUÇÃO","NÃO REDUÇÃO")</f>
        <v>NÃO REDUÇÃO</v>
      </c>
      <c r="G798" s="27">
        <f t="shared" si="13"/>
        <v>0</v>
      </c>
    </row>
    <row r="799" spans="1:7" x14ac:dyDescent="0.25">
      <c r="A799" s="120" t="str">
        <f>RIGHT(CSTABLE[[#This Row],[NomeNCM]],8)</f>
        <v>27101931</v>
      </c>
      <c r="B799" s="7" t="s">
        <v>128</v>
      </c>
      <c r="C799" s="3" t="str">
        <f>IFERROR(VLOOKUP(B799,ST!C:D,2,0),"NÃOST")</f>
        <v>ST</v>
      </c>
      <c r="E799" s="3" t="str">
        <f>IF(COUNTIF(ISENÇÕES!A:A,CST!B799)&gt;0,"ISENÇÃO","SEM ISENÇÃO")</f>
        <v>SEM ISENÇÃO</v>
      </c>
      <c r="F799" s="18" t="str">
        <f>IF(COUNTIF(REDUÇÕES!A:A,CST!B799)&gt;0,"REDUÇÃO","NÃO REDUÇÃO")</f>
        <v>NÃO REDUÇÃO</v>
      </c>
      <c r="G799" s="27">
        <f t="shared" si="13"/>
        <v>60</v>
      </c>
    </row>
    <row r="800" spans="1:7" x14ac:dyDescent="0.25">
      <c r="A800" s="120" t="str">
        <f>RIGHT(CSTABLE[[#This Row],[NomeNCM]],8)</f>
        <v>29309041</v>
      </c>
      <c r="B800" s="7" t="s">
        <v>400</v>
      </c>
      <c r="C800" s="3" t="str">
        <f>IFERROR(VLOOKUP(B800,ST!C:D,2,0),"NÃOST")</f>
        <v>NÃOST</v>
      </c>
      <c r="E800" s="3" t="str">
        <f>IF(COUNTIF(ISENÇÕES!A:A,CST!B800)&gt;0,"ISENÇÃO","SEM ISENÇÃO")</f>
        <v>SEM ISENÇÃO</v>
      </c>
      <c r="F800" s="18" t="str">
        <f>IF(COUNTIF(REDUÇÕES!A:A,CST!B800)&gt;0,"REDUÇÃO","NÃO REDUÇÃO")</f>
        <v>NÃO REDUÇÃO</v>
      </c>
      <c r="G800" s="27">
        <f t="shared" si="13"/>
        <v>0</v>
      </c>
    </row>
    <row r="801" spans="1:7" x14ac:dyDescent="0.25">
      <c r="A801" s="120" t="str">
        <f>RIGHT(CSTABLE[[#This Row],[NomeNCM]],8)</f>
        <v>71171900</v>
      </c>
      <c r="B801" s="7" t="s">
        <v>401</v>
      </c>
      <c r="C801" s="3" t="str">
        <f>IFERROR(VLOOKUP(B801,ST!C:D,2,0),"NÃOST")</f>
        <v>NÃOST</v>
      </c>
      <c r="E801" s="3" t="str">
        <f>IF(COUNTIF(ISENÇÕES!A:A,CST!B801)&gt;0,"ISENÇÃO","SEM ISENÇÃO")</f>
        <v>SEM ISENÇÃO</v>
      </c>
      <c r="F801" s="18" t="str">
        <f>IF(COUNTIF(REDUÇÕES!A:A,CST!B801)&gt;0,"REDUÇÃO","NÃO REDUÇÃO")</f>
        <v>NÃO REDUÇÃO</v>
      </c>
      <c r="G801" s="27">
        <f t="shared" si="13"/>
        <v>0</v>
      </c>
    </row>
    <row r="802" spans="1:7" x14ac:dyDescent="0.25">
      <c r="A802" s="120" t="str">
        <f>RIGHT(CSTABLE[[#This Row],[NomeNCM]],8)</f>
        <v>58061000</v>
      </c>
      <c r="B802" s="7" t="s">
        <v>402</v>
      </c>
      <c r="C802" s="3" t="str">
        <f>IFERROR(VLOOKUP(B802,ST!C:D,2,0),"NÃOST")</f>
        <v>NÃOST</v>
      </c>
      <c r="E802" s="3" t="str">
        <f>IF(COUNTIF(ISENÇÕES!A:A,CST!B802)&gt;0,"ISENÇÃO","SEM ISENÇÃO")</f>
        <v>SEM ISENÇÃO</v>
      </c>
      <c r="F802" s="18" t="str">
        <f>IF(COUNTIF(REDUÇÕES!A:A,CST!B802)&gt;0,"REDUÇÃO","NÃO REDUÇÃO")</f>
        <v>NÃO REDUÇÃO</v>
      </c>
      <c r="G802" s="27">
        <f t="shared" si="13"/>
        <v>0</v>
      </c>
    </row>
    <row r="803" spans="1:7" x14ac:dyDescent="0.25">
      <c r="A803" s="120" t="str">
        <f>RIGHT(CSTABLE[[#This Row],[NomeNCM]],8)</f>
        <v>30059090</v>
      </c>
      <c r="B803" s="7" t="s">
        <v>403</v>
      </c>
      <c r="C803" s="3" t="str">
        <f>IFERROR(VLOOKUP(B803,ST!C:D,2,0),"NÃOST")</f>
        <v>NÃOST</v>
      </c>
      <c r="E803" s="3" t="str">
        <f>IF(COUNTIF(ISENÇÕES!A:A,CST!B803)&gt;0,"ISENÇÃO","SEM ISENÇÃO")</f>
        <v>SEM ISENÇÃO</v>
      </c>
      <c r="F803" s="18" t="str">
        <f>IF(COUNTIF(REDUÇÕES!A:A,CST!B803)&gt;0,"REDUÇÃO","NÃO REDUÇÃO")</f>
        <v>NÃO REDUÇÃO</v>
      </c>
      <c r="G803" s="27">
        <f t="shared" si="13"/>
        <v>0</v>
      </c>
    </row>
    <row r="804" spans="1:7" x14ac:dyDescent="0.25">
      <c r="A804" s="120" t="str">
        <f>RIGHT(CSTABLE[[#This Row],[NomeNCM]],8)</f>
        <v>96082000</v>
      </c>
      <c r="B804" s="7" t="s">
        <v>404</v>
      </c>
      <c r="C804" s="3" t="str">
        <f>IFERROR(VLOOKUP(B804,ST!C:D,2,0),"NÃOST")</f>
        <v>NÃOST</v>
      </c>
      <c r="E804" s="3" t="str">
        <f>IF(COUNTIF(ISENÇÕES!A:A,CST!B804)&gt;0,"ISENÇÃO","SEM ISENÇÃO")</f>
        <v>SEM ISENÇÃO</v>
      </c>
      <c r="F804" s="18" t="str">
        <f>IF(COUNTIF(REDUÇÕES!A:A,CST!B804)&gt;0,"REDUÇÃO","NÃO REDUÇÃO")</f>
        <v>NÃO REDUÇÃO</v>
      </c>
      <c r="G804" s="27">
        <f t="shared" si="13"/>
        <v>0</v>
      </c>
    </row>
    <row r="805" spans="1:7" x14ac:dyDescent="0.25">
      <c r="A805" s="120" t="str">
        <f>RIGHT(CSTABLE[[#This Row],[NomeNCM]],8)</f>
        <v>12141000</v>
      </c>
      <c r="B805" s="7" t="s">
        <v>405</v>
      </c>
      <c r="C805" s="3" t="str">
        <f>IFERROR(VLOOKUP(B805,ST!C:D,2,0),"NÃOST")</f>
        <v>NÃOST</v>
      </c>
      <c r="E805" s="3" t="str">
        <f>IF(COUNTIF(ISENÇÕES!A:A,CST!B805)&gt;0,"ISENÇÃO","SEM ISENÇÃO")</f>
        <v>SEM ISENÇÃO</v>
      </c>
      <c r="F805" s="18" t="str">
        <f>IF(COUNTIF(REDUÇÕES!A:A,CST!B805)&gt;0,"REDUÇÃO","NÃO REDUÇÃO")</f>
        <v>NÃO REDUÇÃO</v>
      </c>
      <c r="G805" s="27">
        <f t="shared" si="13"/>
        <v>0</v>
      </c>
    </row>
    <row r="806" spans="1:7" x14ac:dyDescent="0.25">
      <c r="A806" s="120" t="str">
        <f>RIGHT(CSTABLE[[#This Row],[NomeNCM]],8)</f>
        <v>03059000</v>
      </c>
      <c r="B806" s="7" t="s">
        <v>406</v>
      </c>
      <c r="C806" s="3" t="str">
        <f>IFERROR(VLOOKUP(B806,ST!C:D,2,0),"NÃOST")</f>
        <v>NÃOST</v>
      </c>
      <c r="E806" s="3" t="str">
        <f>IF(COUNTIF(ISENÇÕES!A:A,CST!B806)&gt;0,"ISENÇÃO","SEM ISENÇÃO")</f>
        <v>SEM ISENÇÃO</v>
      </c>
      <c r="F806" s="18" t="str">
        <f>IF(COUNTIF(REDUÇÕES!A:A,CST!B806)&gt;0,"REDUÇÃO","NÃO REDUÇÃO")</f>
        <v>NÃO REDUÇÃO</v>
      </c>
      <c r="G806" s="27">
        <f t="shared" si="13"/>
        <v>0</v>
      </c>
    </row>
    <row r="807" spans="1:7" x14ac:dyDescent="0.25">
      <c r="A807" s="120" t="str">
        <f>RIGHT(CSTABLE[[#This Row],[NomeNCM]],8)</f>
        <v>28352600</v>
      </c>
      <c r="B807" s="7" t="s">
        <v>407</v>
      </c>
      <c r="C807" s="3" t="str">
        <f>IFERROR(VLOOKUP(B807,ST!C:D,2,0),"NÃOST")</f>
        <v>NÃOST</v>
      </c>
      <c r="E807" s="3" t="str">
        <f>IF(COUNTIF(ISENÇÕES!A:A,CST!B807)&gt;0,"ISENÇÃO","SEM ISENÇÃO")</f>
        <v>SEM ISENÇÃO</v>
      </c>
      <c r="F807" s="18" t="str">
        <f>IF(COUNTIF(REDUÇÕES!A:A,CST!B807)&gt;0,"REDUÇÃO","NÃO REDUÇÃO")</f>
        <v>NÃO REDUÇÃO</v>
      </c>
      <c r="G807" s="27">
        <f t="shared" si="13"/>
        <v>0</v>
      </c>
    </row>
    <row r="808" spans="1:7" x14ac:dyDescent="0.25">
      <c r="A808" s="120" t="str">
        <f>RIGHT(CSTABLE[[#This Row],[NomeNCM]],8)</f>
        <v>84382090</v>
      </c>
      <c r="B808" s="7" t="s">
        <v>408</v>
      </c>
      <c r="C808" s="3" t="str">
        <f>IFERROR(VLOOKUP(B808,ST!C:D,2,0),"NÃOST")</f>
        <v>NÃOST</v>
      </c>
      <c r="E808" s="3" t="str">
        <f>IF(COUNTIF(ISENÇÕES!A:A,CST!B808)&gt;0,"ISENÇÃO","SEM ISENÇÃO")</f>
        <v>SEM ISENÇÃO</v>
      </c>
      <c r="F808" s="18" t="str">
        <f>IF(COUNTIF(REDUÇÕES!A:A,CST!B808)&gt;0,"REDUÇÃO","NÃO REDUÇÃO")</f>
        <v>REDUÇÃO</v>
      </c>
      <c r="G808" s="27">
        <f t="shared" si="13"/>
        <v>20</v>
      </c>
    </row>
    <row r="809" spans="1:7" x14ac:dyDescent="0.25">
      <c r="A809" s="120" t="str">
        <f>RIGHT(CSTABLE[[#This Row],[NomeNCM]],8)</f>
        <v>73181500</v>
      </c>
      <c r="B809" s="7" t="s">
        <v>409</v>
      </c>
      <c r="C809" s="3" t="str">
        <f>IFERROR(VLOOKUP(B809,ST!C:D,2,0),"NÃOST")</f>
        <v>NÃOST</v>
      </c>
      <c r="E809" s="3" t="str">
        <f>IF(COUNTIF(ISENÇÕES!A:A,CST!B809)&gt;0,"ISENÇÃO","SEM ISENÇÃO")</f>
        <v>SEM ISENÇÃO</v>
      </c>
      <c r="F809" s="18" t="str">
        <f>IF(COUNTIF(REDUÇÕES!A:A,CST!B809)&gt;0,"REDUÇÃO","NÃO REDUÇÃO")</f>
        <v>NÃO REDUÇÃO</v>
      </c>
      <c r="G809" s="27">
        <f t="shared" si="13"/>
        <v>0</v>
      </c>
    </row>
    <row r="810" spans="1:7" x14ac:dyDescent="0.25">
      <c r="A810" s="120" t="str">
        <f>RIGHT(CSTABLE[[#This Row],[NomeNCM]],8)</f>
        <v>09095000</v>
      </c>
      <c r="B810" s="7" t="s">
        <v>410</v>
      </c>
      <c r="C810" s="3" t="str">
        <f>IFERROR(VLOOKUP(B810,ST!C:D,2,0),"NÃOST")</f>
        <v>NÃOST</v>
      </c>
      <c r="E810" s="3" t="str">
        <f>IF(COUNTIF(ISENÇÕES!A:A,CST!B810)&gt;0,"ISENÇÃO","SEM ISENÇÃO")</f>
        <v>SEM ISENÇÃO</v>
      </c>
      <c r="F810" s="18" t="str">
        <f>IF(COUNTIF(REDUÇÕES!A:A,CST!B810)&gt;0,"REDUÇÃO","NÃO REDUÇÃO")</f>
        <v>NÃO REDUÇÃO</v>
      </c>
      <c r="G810" s="27">
        <f t="shared" si="13"/>
        <v>0</v>
      </c>
    </row>
    <row r="811" spans="1:7" x14ac:dyDescent="0.25">
      <c r="A811" s="120" t="str">
        <f>RIGHT(CSTABLE[[#This Row],[NomeNCM]],8)</f>
        <v>73259910</v>
      </c>
      <c r="B811" s="7" t="s">
        <v>411</v>
      </c>
      <c r="C811" s="3" t="str">
        <f>IFERROR(VLOOKUP(B811,ST!C:D,2,0),"NÃOST")</f>
        <v>NÃOST</v>
      </c>
      <c r="E811" s="3" t="str">
        <f>IF(COUNTIF(ISENÇÕES!A:A,CST!B811)&gt;0,"ISENÇÃO","SEM ISENÇÃO")</f>
        <v>SEM ISENÇÃO</v>
      </c>
      <c r="F811" s="18" t="str">
        <f>IF(COUNTIF(REDUÇÕES!A:A,CST!B811)&gt;0,"REDUÇÃO","NÃO REDUÇÃO")</f>
        <v>NÃO REDUÇÃO</v>
      </c>
      <c r="G811" s="27">
        <f t="shared" si="13"/>
        <v>0</v>
      </c>
    </row>
    <row r="812" spans="1:7" x14ac:dyDescent="0.25">
      <c r="A812" s="120" t="str">
        <f>RIGHT(CSTABLE[[#This Row],[NomeNCM]],8)</f>
        <v>20005200</v>
      </c>
      <c r="B812" s="7" t="s">
        <v>412</v>
      </c>
      <c r="C812" s="3" t="str">
        <f>IFERROR(VLOOKUP(B812,ST!C:D,2,0),"NÃOST")</f>
        <v>NÃOST</v>
      </c>
      <c r="E812" s="3" t="str">
        <f>IF(COUNTIF(ISENÇÕES!A:A,CST!B812)&gt;0,"ISENÇÃO","SEM ISENÇÃO")</f>
        <v>SEM ISENÇÃO</v>
      </c>
      <c r="F812" s="18" t="str">
        <f>IF(COUNTIF(REDUÇÕES!A:A,CST!B812)&gt;0,"REDUÇÃO","NÃO REDUÇÃO")</f>
        <v>NÃO REDUÇÃO</v>
      </c>
      <c r="G812" s="27">
        <f t="shared" si="13"/>
        <v>0</v>
      </c>
    </row>
    <row r="813" spans="1:7" x14ac:dyDescent="0.25">
      <c r="A813" s="120" t="str">
        <f>RIGHT(CSTABLE[[#This Row],[NomeNCM]],8)</f>
        <v>73102190</v>
      </c>
      <c r="B813" s="7" t="s">
        <v>413</v>
      </c>
      <c r="C813" s="3" t="str">
        <f>IFERROR(VLOOKUP(B813,ST!C:D,2,0),"NÃOST")</f>
        <v>NÃOST</v>
      </c>
      <c r="E813" s="3" t="str">
        <f>IF(COUNTIF(ISENÇÕES!A:A,CST!B813)&gt;0,"ISENÇÃO","SEM ISENÇÃO")</f>
        <v>SEM ISENÇÃO</v>
      </c>
      <c r="F813" s="18" t="str">
        <f>IF(COUNTIF(REDUÇÕES!A:A,CST!B813)&gt;0,"REDUÇÃO","NÃO REDUÇÃO")</f>
        <v>NÃO REDUÇÃO</v>
      </c>
      <c r="G813" s="27">
        <f t="shared" si="13"/>
        <v>0</v>
      </c>
    </row>
    <row r="814" spans="1:7" x14ac:dyDescent="0.25">
      <c r="A814" s="120" t="str">
        <f>RIGHT(CSTABLE[[#This Row],[NomeNCM]],8)</f>
        <v>48025499</v>
      </c>
      <c r="B814" s="7" t="s">
        <v>414</v>
      </c>
      <c r="C814" s="3" t="str">
        <f>IFERROR(VLOOKUP(B814,ST!C:D,2,0),"NÃOST")</f>
        <v>NÃOST</v>
      </c>
      <c r="E814" s="3" t="str">
        <f>IF(COUNTIF(ISENÇÕES!A:A,CST!B814)&gt;0,"ISENÇÃO","SEM ISENÇÃO")</f>
        <v>SEM ISENÇÃO</v>
      </c>
      <c r="F814" s="18" t="str">
        <f>IF(COUNTIF(REDUÇÕES!A:A,CST!B814)&gt;0,"REDUÇÃO","NÃO REDUÇÃO")</f>
        <v>NÃO REDUÇÃO</v>
      </c>
      <c r="G814" s="27">
        <f t="shared" si="13"/>
        <v>0</v>
      </c>
    </row>
    <row r="815" spans="1:7" x14ac:dyDescent="0.25">
      <c r="A815" s="120" t="str">
        <f>RIGHT(CSTABLE[[#This Row],[NomeNCM]],8)</f>
        <v>29214100</v>
      </c>
      <c r="B815" s="7" t="s">
        <v>415</v>
      </c>
      <c r="C815" s="3" t="str">
        <f>IFERROR(VLOOKUP(B815,ST!C:D,2,0),"NÃOST")</f>
        <v>NÃOST</v>
      </c>
      <c r="E815" s="3" t="str">
        <f>IF(COUNTIF(ISENÇÕES!A:A,CST!B815)&gt;0,"ISENÇÃO","SEM ISENÇÃO")</f>
        <v>SEM ISENÇÃO</v>
      </c>
      <c r="F815" s="18" t="str">
        <f>IF(COUNTIF(REDUÇÕES!A:A,CST!B815)&gt;0,"REDUÇÃO","NÃO REDUÇÃO")</f>
        <v>NÃO REDUÇÃO</v>
      </c>
      <c r="G815" s="27">
        <f t="shared" si="13"/>
        <v>0</v>
      </c>
    </row>
    <row r="816" spans="1:7" x14ac:dyDescent="0.25">
      <c r="A816" s="120" t="str">
        <f>RIGHT(CSTABLE[[#This Row],[NomeNCM]],8)</f>
        <v>07112090</v>
      </c>
      <c r="B816" s="7" t="s">
        <v>416</v>
      </c>
      <c r="C816" s="3" t="str">
        <f>IFERROR(VLOOKUP(B816,ST!C:D,2,0),"NÃOST")</f>
        <v>NÃOST</v>
      </c>
      <c r="E816" s="3" t="str">
        <f>IF(COUNTIF(ISENÇÕES!A:A,CST!B816)&gt;0,"ISENÇÃO","SEM ISENÇÃO")</f>
        <v>SEM ISENÇÃO</v>
      </c>
      <c r="F816" s="18" t="str">
        <f>IF(COUNTIF(REDUÇÕES!A:A,CST!B816)&gt;0,"REDUÇÃO","NÃO REDUÇÃO")</f>
        <v>NÃO REDUÇÃO</v>
      </c>
      <c r="G816" s="27">
        <f t="shared" si="13"/>
        <v>0</v>
      </c>
    </row>
    <row r="817" spans="1:7" x14ac:dyDescent="0.25">
      <c r="A817" s="120" t="str">
        <f>RIGHT(CSTABLE[[#This Row],[NomeNCM]],8)</f>
        <v>27101999</v>
      </c>
      <c r="B817" s="7" t="s">
        <v>417</v>
      </c>
      <c r="C817" s="3" t="str">
        <f>IFERROR(VLOOKUP(B817,ST!C:D,2,0),"NÃOST")</f>
        <v>ST</v>
      </c>
      <c r="E817" s="3" t="str">
        <f>IF(COUNTIF(ISENÇÕES!A:A,CST!B817)&gt;0,"ISENÇÃO","SEM ISENÇÃO")</f>
        <v>SEM ISENÇÃO</v>
      </c>
      <c r="F817" s="18" t="str">
        <f>IF(COUNTIF(REDUÇÕES!A:A,CST!B817)&gt;0,"REDUÇÃO","NÃO REDUÇÃO")</f>
        <v>NÃO REDUÇÃO</v>
      </c>
      <c r="G817" s="27">
        <f t="shared" si="13"/>
        <v>60</v>
      </c>
    </row>
    <row r="818" spans="1:7" x14ac:dyDescent="0.25">
      <c r="A818" s="120" t="str">
        <f>RIGHT(CSTABLE[[#This Row],[NomeNCM]],8)</f>
        <v>10082990</v>
      </c>
      <c r="B818" s="7" t="s">
        <v>418</v>
      </c>
      <c r="C818" s="3" t="str">
        <f>IFERROR(VLOOKUP(B818,ST!C:D,2,0),"NÃOST")</f>
        <v>NÃOST</v>
      </c>
      <c r="E818" s="3" t="str">
        <f>IF(COUNTIF(ISENÇÕES!A:A,CST!B818)&gt;0,"ISENÇÃO","SEM ISENÇÃO")</f>
        <v>SEM ISENÇÃO</v>
      </c>
      <c r="F818" s="18" t="str">
        <f>IF(COUNTIF(REDUÇÕES!A:A,CST!B818)&gt;0,"REDUÇÃO","NÃO REDUÇÃO")</f>
        <v>NÃO REDUÇÃO</v>
      </c>
      <c r="G818" s="27">
        <f t="shared" si="13"/>
        <v>0</v>
      </c>
    </row>
    <row r="819" spans="1:7" x14ac:dyDescent="0.25">
      <c r="A819" s="120" t="str">
        <f>RIGHT(CSTABLE[[#This Row],[NomeNCM]],8)</f>
        <v>09093000</v>
      </c>
      <c r="B819" s="7" t="s">
        <v>419</v>
      </c>
      <c r="C819" s="3" t="str">
        <f>IFERROR(VLOOKUP(B819,ST!C:D,2,0),"NÃOST")</f>
        <v>NÃOST</v>
      </c>
      <c r="E819" s="3" t="str">
        <f>IF(COUNTIF(ISENÇÕES!A:A,CST!B819)&gt;0,"ISENÇÃO","SEM ISENÇÃO")</f>
        <v>SEM ISENÇÃO</v>
      </c>
      <c r="F819" s="18" t="str">
        <f>IF(COUNTIF(REDUÇÕES!A:A,CST!B819)&gt;0,"REDUÇÃO","NÃO REDUÇÃO")</f>
        <v>NÃO REDUÇÃO</v>
      </c>
      <c r="G819" s="27">
        <f t="shared" si="13"/>
        <v>0</v>
      </c>
    </row>
    <row r="820" spans="1:7" x14ac:dyDescent="0.25">
      <c r="A820" s="120" t="str">
        <f>RIGHT(CSTABLE[[#This Row],[NomeNCM]],8)</f>
        <v>85369020</v>
      </c>
      <c r="B820" s="7" t="s">
        <v>420</v>
      </c>
      <c r="C820" s="3" t="str">
        <f>IFERROR(VLOOKUP(B820,ST!C:D,2,0),"NÃOST")</f>
        <v>NÃOST</v>
      </c>
      <c r="E820" s="3" t="str">
        <f>IF(COUNTIF(ISENÇÕES!A:A,CST!B820)&gt;0,"ISENÇÃO","SEM ISENÇÃO")</f>
        <v>SEM ISENÇÃO</v>
      </c>
      <c r="F820" s="18" t="str">
        <f>IF(COUNTIF(REDUÇÕES!A:A,CST!B820)&gt;0,"REDUÇÃO","NÃO REDUÇÃO")</f>
        <v>NÃO REDUÇÃO</v>
      </c>
      <c r="G820" s="27">
        <f t="shared" si="13"/>
        <v>0</v>
      </c>
    </row>
    <row r="821" spans="1:7" x14ac:dyDescent="0.25">
      <c r="A821" s="120" t="str">
        <f>RIGHT(CSTABLE[[#This Row],[NomeNCM]],8)</f>
        <v>32041100</v>
      </c>
      <c r="B821" s="7" t="s">
        <v>421</v>
      </c>
      <c r="C821" s="3" t="str">
        <f>IFERROR(VLOOKUP(B821,ST!C:D,2,0),"NÃOST")</f>
        <v>ST</v>
      </c>
      <c r="E821" s="3" t="str">
        <f>IF(COUNTIF(ISENÇÕES!A:A,CST!B821)&gt;0,"ISENÇÃO","SEM ISENÇÃO")</f>
        <v>SEM ISENÇÃO</v>
      </c>
      <c r="F821" s="18" t="str">
        <f>IF(COUNTIF(REDUÇÕES!A:A,CST!B821)&gt;0,"REDUÇÃO","NÃO REDUÇÃO")</f>
        <v>NÃO REDUÇÃO</v>
      </c>
      <c r="G821" s="27">
        <f t="shared" si="13"/>
        <v>60</v>
      </c>
    </row>
    <row r="822" spans="1:7" x14ac:dyDescent="0.25">
      <c r="A822" s="120" t="str">
        <f>RIGHT(CSTABLE[[#This Row],[NomeNCM]],8)</f>
        <v>38249941</v>
      </c>
      <c r="B822" s="7" t="s">
        <v>422</v>
      </c>
      <c r="C822" s="3" t="str">
        <f>IFERROR(VLOOKUP(B822,ST!C:D,2,0),"NÃOST")</f>
        <v>NÃOST</v>
      </c>
      <c r="E822" s="3" t="str">
        <f>IF(COUNTIF(ISENÇÕES!A:A,CST!B822)&gt;0,"ISENÇÃO","SEM ISENÇÃO")</f>
        <v>SEM ISENÇÃO</v>
      </c>
      <c r="F822" s="18" t="str">
        <f>IF(COUNTIF(REDUÇÕES!A:A,CST!B822)&gt;0,"REDUÇÃO","NÃO REDUÇÃO")</f>
        <v>NÃO REDUÇÃO</v>
      </c>
      <c r="G822" s="27">
        <f t="shared" si="13"/>
        <v>0</v>
      </c>
    </row>
    <row r="823" spans="1:7" x14ac:dyDescent="0.25">
      <c r="A823" s="120" t="str">
        <f>RIGHT(CSTABLE[[#This Row],[NomeNCM]],8)</f>
        <v>76161000</v>
      </c>
      <c r="B823" s="7" t="s">
        <v>423</v>
      </c>
      <c r="C823" s="3" t="str">
        <f>IFERROR(VLOOKUP(B823,ST!C:D,2,0),"NÃOST")</f>
        <v>NÃOST</v>
      </c>
      <c r="E823" s="3" t="str">
        <f>IF(COUNTIF(ISENÇÕES!A:A,CST!B823)&gt;0,"ISENÇÃO","SEM ISENÇÃO")</f>
        <v>SEM ISENÇÃO</v>
      </c>
      <c r="F823" s="18" t="str">
        <f>IF(COUNTIF(REDUÇÕES!A:A,CST!B823)&gt;0,"REDUÇÃO","NÃO REDUÇÃO")</f>
        <v>NÃO REDUÇÃO</v>
      </c>
      <c r="G823" s="27">
        <f t="shared" si="13"/>
        <v>0</v>
      </c>
    </row>
    <row r="824" spans="1:7" x14ac:dyDescent="0.25">
      <c r="A824" s="120" t="str">
        <f>RIGHT(CSTABLE[[#This Row],[NomeNCM]],8)</f>
        <v>38089429</v>
      </c>
      <c r="B824" s="7" t="s">
        <v>424</v>
      </c>
      <c r="C824" s="3" t="str">
        <f>IFERROR(VLOOKUP(B824,ST!C:D,2,0),"NÃOST")</f>
        <v>NÃOST</v>
      </c>
      <c r="E824" s="3" t="str">
        <f>IF(COUNTIF(ISENÇÕES!A:A,CST!B824)&gt;0,"ISENÇÃO","SEM ISENÇÃO")</f>
        <v>SEM ISENÇÃO</v>
      </c>
      <c r="F824" s="18" t="str">
        <f>IF(COUNTIF(REDUÇÕES!A:A,CST!B824)&gt;0,"REDUÇÃO","NÃO REDUÇÃO")</f>
        <v>REDUÇÃO</v>
      </c>
      <c r="G824" s="27">
        <f t="shared" si="13"/>
        <v>20</v>
      </c>
    </row>
    <row r="825" spans="1:7" x14ac:dyDescent="0.25">
      <c r="A825" s="120" t="str">
        <f>RIGHT(CSTABLE[[#This Row],[NomeNCM]],8)</f>
        <v>22042211</v>
      </c>
      <c r="B825" s="7" t="s">
        <v>425</v>
      </c>
      <c r="C825" s="3" t="str">
        <f>IFERROR(VLOOKUP(B825,ST!C:D,2,0),"NÃOST")</f>
        <v>NÃOST</v>
      </c>
      <c r="E825" s="3" t="str">
        <f>IF(COUNTIF(ISENÇÕES!A:A,CST!B825)&gt;0,"ISENÇÃO","SEM ISENÇÃO")</f>
        <v>SEM ISENÇÃO</v>
      </c>
      <c r="F825" s="18" t="str">
        <f>IF(COUNTIF(REDUÇÕES!A:A,CST!B825)&gt;0,"REDUÇÃO","NÃO REDUÇÃO")</f>
        <v>NÃO REDUÇÃO</v>
      </c>
      <c r="G825" s="27">
        <f t="shared" si="13"/>
        <v>0</v>
      </c>
    </row>
    <row r="826" spans="1:7" x14ac:dyDescent="0.25">
      <c r="A826" s="120" t="str">
        <f>RIGHT(CSTABLE[[#This Row],[NomeNCM]],8)</f>
        <v>69111090</v>
      </c>
      <c r="B826" s="7" t="s">
        <v>426</v>
      </c>
      <c r="C826" s="3" t="str">
        <f>IFERROR(VLOOKUP(B826,ST!C:D,2,0),"NÃOST")</f>
        <v>NÃOST</v>
      </c>
      <c r="E826" s="3" t="str">
        <f>IF(COUNTIF(ISENÇÕES!A:A,CST!B826)&gt;0,"ISENÇÃO","SEM ISENÇÃO")</f>
        <v>SEM ISENÇÃO</v>
      </c>
      <c r="F826" s="18" t="str">
        <f>IF(COUNTIF(REDUÇÕES!A:A,CST!B826)&gt;0,"REDUÇÃO","NÃO REDUÇÃO")</f>
        <v>NÃO REDUÇÃO</v>
      </c>
      <c r="G826" s="27">
        <f t="shared" si="13"/>
        <v>0</v>
      </c>
    </row>
    <row r="827" spans="1:7" x14ac:dyDescent="0.25">
      <c r="A827" s="120" t="str">
        <f>RIGHT(CSTABLE[[#This Row],[NomeNCM]],8)</f>
        <v>87089990</v>
      </c>
      <c r="B827" s="7" t="s">
        <v>427</v>
      </c>
      <c r="C827" s="3" t="str">
        <f>IFERROR(VLOOKUP(B827,ST!C:D,2,0),"NÃOST")</f>
        <v>NÃOST</v>
      </c>
      <c r="E827" s="3" t="str">
        <f>IF(COUNTIF(ISENÇÕES!A:A,CST!B827)&gt;0,"ISENÇÃO","SEM ISENÇÃO")</f>
        <v>SEM ISENÇÃO</v>
      </c>
      <c r="F827" s="18" t="str">
        <f>IF(COUNTIF(REDUÇÕES!A:A,CST!B827)&gt;0,"REDUÇÃO","NÃO REDUÇÃO")</f>
        <v>NÃO REDUÇÃO</v>
      </c>
      <c r="G827" s="27">
        <f t="shared" si="13"/>
        <v>0</v>
      </c>
    </row>
    <row r="828" spans="1:7" x14ac:dyDescent="0.25">
      <c r="A828" s="120" t="str">
        <f>RIGHT(CSTABLE[[#This Row],[NomeNCM]],8)</f>
        <v>44199000</v>
      </c>
      <c r="B828" s="7" t="s">
        <v>428</v>
      </c>
      <c r="C828" s="3" t="str">
        <f>IFERROR(VLOOKUP(B828,ST!C:D,2,0),"NÃOST")</f>
        <v>NÃOST</v>
      </c>
      <c r="E828" s="3" t="str">
        <f>IF(COUNTIF(ISENÇÕES!A:A,CST!B828)&gt;0,"ISENÇÃO","SEM ISENÇÃO")</f>
        <v>SEM ISENÇÃO</v>
      </c>
      <c r="F828" s="18" t="str">
        <f>IF(COUNTIF(REDUÇÕES!A:A,CST!B828)&gt;0,"REDUÇÃO","NÃO REDUÇÃO")</f>
        <v>NÃO REDUÇÃO</v>
      </c>
      <c r="G828" s="27">
        <f t="shared" si="13"/>
        <v>0</v>
      </c>
    </row>
    <row r="829" spans="1:7" x14ac:dyDescent="0.25">
      <c r="A829" s="120" t="str">
        <f>RIGHT(CSTABLE[[#This Row],[NomeNCM]],8)</f>
        <v>84231000</v>
      </c>
      <c r="B829" s="7" t="s">
        <v>429</v>
      </c>
      <c r="C829" s="3" t="str">
        <f>IFERROR(VLOOKUP(B829,ST!C:D,2,0),"NÃOST")</f>
        <v>NÃOST</v>
      </c>
      <c r="E829" s="3" t="str">
        <f>IF(COUNTIF(ISENÇÕES!A:A,CST!B829)&gt;0,"ISENÇÃO","SEM ISENÇÃO")</f>
        <v>SEM ISENÇÃO</v>
      </c>
      <c r="F829" s="18" t="str">
        <f>IF(COUNTIF(REDUÇÕES!A:A,CST!B829)&gt;0,"REDUÇÃO","NÃO REDUÇÃO")</f>
        <v>NÃO REDUÇÃO</v>
      </c>
      <c r="G829" s="27">
        <f t="shared" si="13"/>
        <v>0</v>
      </c>
    </row>
    <row r="830" spans="1:7" x14ac:dyDescent="0.25">
      <c r="A830" s="120" t="str">
        <f>RIGHT(CSTABLE[[#This Row],[NomeNCM]],8)</f>
        <v>97019000</v>
      </c>
      <c r="B830" s="7" t="s">
        <v>430</v>
      </c>
      <c r="C830" s="3" t="str">
        <f>IFERROR(VLOOKUP(B830,ST!C:D,2,0),"NÃOST")</f>
        <v>NÃOST</v>
      </c>
      <c r="E830" s="3" t="str">
        <f>IF(COUNTIF(ISENÇÕES!A:A,CST!B830)&gt;0,"ISENÇÃO","SEM ISENÇÃO")</f>
        <v>SEM ISENÇÃO</v>
      </c>
      <c r="F830" s="18" t="str">
        <f>IF(COUNTIF(REDUÇÕES!A:A,CST!B830)&gt;0,"REDUÇÃO","NÃO REDUÇÃO")</f>
        <v>NÃO REDUÇÃO</v>
      </c>
      <c r="G830" s="27">
        <f t="shared" si="13"/>
        <v>0</v>
      </c>
    </row>
    <row r="831" spans="1:7" x14ac:dyDescent="0.25">
      <c r="A831" s="120" t="str">
        <f>RIGHT(CSTABLE[[#This Row],[NomeNCM]],8)</f>
        <v>08021200</v>
      </c>
      <c r="B831" s="7" t="s">
        <v>431</v>
      </c>
      <c r="C831" s="3" t="str">
        <f>IFERROR(VLOOKUP(B831,ST!C:D,2,0),"NÃOST")</f>
        <v>NÃOST</v>
      </c>
      <c r="E831" s="3" t="str">
        <f>IF(COUNTIF(ISENÇÕES!A:A,CST!B831)&gt;0,"ISENÇÃO","SEM ISENÇÃO")</f>
        <v>ISENÇÃO</v>
      </c>
      <c r="F831" s="18" t="str">
        <f>IF(COUNTIF(REDUÇÕES!A:A,CST!B831)&gt;0,"REDUÇÃO","NÃO REDUÇÃO")</f>
        <v>NÃO REDUÇÃO</v>
      </c>
      <c r="G831" s="27">
        <f t="shared" si="13"/>
        <v>40</v>
      </c>
    </row>
    <row r="832" spans="1:7" x14ac:dyDescent="0.25">
      <c r="A832" s="120" t="str">
        <f>RIGHT(CSTABLE[[#This Row],[NomeNCM]],8)</f>
        <v>06039000</v>
      </c>
      <c r="B832" s="7" t="s">
        <v>432</v>
      </c>
      <c r="C832" s="3" t="str">
        <f>IFERROR(VLOOKUP(B832,ST!C:D,2,0),"NÃOST")</f>
        <v>NÃOST</v>
      </c>
      <c r="E832" s="3" t="str">
        <f>IF(COUNTIF(ISENÇÕES!A:A,CST!B832)&gt;0,"ISENÇÃO","SEM ISENÇÃO")</f>
        <v>ISENÇÃO</v>
      </c>
      <c r="F832" s="18" t="str">
        <f>IF(COUNTIF(REDUÇÕES!A:A,CST!B832)&gt;0,"REDUÇÃO","NÃO REDUÇÃO")</f>
        <v>NÃO REDUÇÃO</v>
      </c>
      <c r="G832" s="27">
        <f t="shared" si="13"/>
        <v>40</v>
      </c>
    </row>
    <row r="833" spans="1:7" x14ac:dyDescent="0.25">
      <c r="A833" s="120" t="str">
        <f>RIGHT(CSTABLE[[#This Row],[NomeNCM]],8)</f>
        <v>08135000</v>
      </c>
      <c r="B833" s="7" t="s">
        <v>433</v>
      </c>
      <c r="C833" s="3" t="str">
        <f>IFERROR(VLOOKUP(B833,ST!C:D,2,0),"NÃOST")</f>
        <v>NÃOST</v>
      </c>
      <c r="E833" s="3" t="str">
        <f>IF(COUNTIF(ISENÇÕES!A:A,CST!B833)&gt;0,"ISENÇÃO","SEM ISENÇÃO")</f>
        <v>SEM ISENÇÃO</v>
      </c>
      <c r="F833" s="18" t="str">
        <f>IF(COUNTIF(REDUÇÕES!A:A,CST!B833)&gt;0,"REDUÇÃO","NÃO REDUÇÃO")</f>
        <v>NÃO REDUÇÃO</v>
      </c>
      <c r="G833" s="27">
        <f t="shared" si="13"/>
        <v>0</v>
      </c>
    </row>
    <row r="834" spans="1:7" x14ac:dyDescent="0.25">
      <c r="A834" s="120" t="str">
        <f>RIGHT(CSTABLE[[#This Row],[NomeNCM]],8)</f>
        <v>84729040</v>
      </c>
      <c r="B834" s="7" t="s">
        <v>434</v>
      </c>
      <c r="C834" s="3" t="str">
        <f>IFERROR(VLOOKUP(B834,ST!C:D,2,0),"NÃOST")</f>
        <v>NÃOST</v>
      </c>
      <c r="E834" s="3" t="str">
        <f>IF(COUNTIF(ISENÇÕES!A:A,CST!B834)&gt;0,"ISENÇÃO","SEM ISENÇÃO")</f>
        <v>SEM ISENÇÃO</v>
      </c>
      <c r="F834" s="18" t="str">
        <f>IF(COUNTIF(REDUÇÕES!A:A,CST!B834)&gt;0,"REDUÇÃO","NÃO REDUÇÃO")</f>
        <v>NÃO REDUÇÃO</v>
      </c>
      <c r="G834" s="27">
        <f t="shared" si="13"/>
        <v>0</v>
      </c>
    </row>
    <row r="835" spans="1:7" x14ac:dyDescent="0.25">
      <c r="A835" s="120" t="str">
        <f>RIGHT(CSTABLE[[#This Row],[NomeNCM]],8)</f>
        <v>94051099</v>
      </c>
      <c r="B835" s="7" t="s">
        <v>435</v>
      </c>
      <c r="C835" s="3" t="str">
        <f>IFERROR(VLOOKUP(B835,ST!C:D,2,0),"NÃOST")</f>
        <v>NÃOST</v>
      </c>
      <c r="E835" s="3" t="str">
        <f>IF(COUNTIF(ISENÇÕES!A:A,CST!B835)&gt;0,"ISENÇÃO","SEM ISENÇÃO")</f>
        <v>SEM ISENÇÃO</v>
      </c>
      <c r="F835" s="18" t="str">
        <f>IF(COUNTIF(REDUÇÕES!A:A,CST!B835)&gt;0,"REDUÇÃO","NÃO REDUÇÃO")</f>
        <v>NÃO REDUÇÃO</v>
      </c>
      <c r="G835" s="27">
        <f t="shared" si="13"/>
        <v>0</v>
      </c>
    </row>
    <row r="836" spans="1:7" x14ac:dyDescent="0.25">
      <c r="A836" s="120" t="str">
        <f>RIGHT(CSTABLE[[#This Row],[NomeNCM]],8)</f>
        <v>12019000</v>
      </c>
      <c r="B836" s="7" t="s">
        <v>436</v>
      </c>
      <c r="C836" s="3" t="str">
        <f>IFERROR(VLOOKUP(B836,ST!C:D,2,0),"NÃOST")</f>
        <v>NÃOST</v>
      </c>
      <c r="E836" s="3" t="str">
        <f>IF(COUNTIF(ISENÇÕES!A:A,CST!B836)&gt;0,"ISENÇÃO","SEM ISENÇÃO")</f>
        <v>SEM ISENÇÃO</v>
      </c>
      <c r="F836" s="18" t="str">
        <f>IF(COUNTIF(REDUÇÕES!A:A,CST!B836)&gt;0,"REDUÇÃO","NÃO REDUÇÃO")</f>
        <v>NÃO REDUÇÃO</v>
      </c>
      <c r="G836" s="27">
        <f t="shared" si="13"/>
        <v>0</v>
      </c>
    </row>
    <row r="837" spans="1:7" x14ac:dyDescent="0.25">
      <c r="A837" s="120" t="str">
        <f>RIGHT(CSTABLE[[#This Row],[NomeNCM]],8)</f>
        <v>76169900</v>
      </c>
      <c r="B837" s="7" t="s">
        <v>437</v>
      </c>
      <c r="C837" s="3" t="str">
        <f>IFERROR(VLOOKUP(B837,ST!C:D,2,0),"NÃOST")</f>
        <v>NÃOST</v>
      </c>
      <c r="E837" s="3" t="str">
        <f>IF(COUNTIF(ISENÇÕES!A:A,CST!B837)&gt;0,"ISENÇÃO","SEM ISENÇÃO")</f>
        <v>SEM ISENÇÃO</v>
      </c>
      <c r="F837" s="18" t="str">
        <f>IF(COUNTIF(REDUÇÕES!A:A,CST!B837)&gt;0,"REDUÇÃO","NÃO REDUÇÃO")</f>
        <v>NÃO REDUÇÃO</v>
      </c>
      <c r="G837" s="27">
        <f t="shared" si="13"/>
        <v>0</v>
      </c>
    </row>
    <row r="838" spans="1:7" x14ac:dyDescent="0.25">
      <c r="A838" s="120" t="str">
        <f>RIGHT(CSTABLE[[#This Row],[NomeNCM]],8)</f>
        <v>82119390</v>
      </c>
      <c r="B838" s="7" t="s">
        <v>438</v>
      </c>
      <c r="C838" s="3" t="str">
        <f>IFERROR(VLOOKUP(B838,ST!C:D,2,0),"NÃOST")</f>
        <v>NÃOST</v>
      </c>
      <c r="E838" s="3" t="str">
        <f>IF(COUNTIF(ISENÇÕES!A:A,CST!B838)&gt;0,"ISENÇÃO","SEM ISENÇÃO")</f>
        <v>SEM ISENÇÃO</v>
      </c>
      <c r="F838" s="18" t="str">
        <f>IF(COUNTIF(REDUÇÕES!A:A,CST!B838)&gt;0,"REDUÇÃO","NÃO REDUÇÃO")</f>
        <v>NÃO REDUÇÃO</v>
      </c>
      <c r="G838" s="27">
        <f t="shared" si="13"/>
        <v>0</v>
      </c>
    </row>
    <row r="839" spans="1:7" x14ac:dyDescent="0.25">
      <c r="A839" s="120" t="str">
        <f>RIGHT(CSTABLE[[#This Row],[NomeNCM]],8)</f>
        <v>44189000</v>
      </c>
      <c r="B839" s="7" t="s">
        <v>439</v>
      </c>
      <c r="C839" s="3" t="str">
        <f>IFERROR(VLOOKUP(B839,ST!C:D,2,0),"NÃOST")</f>
        <v>NÃOST</v>
      </c>
      <c r="E839" s="3" t="str">
        <f>IF(COUNTIF(ISENÇÕES!A:A,CST!B839)&gt;0,"ISENÇÃO","SEM ISENÇÃO")</f>
        <v>SEM ISENÇÃO</v>
      </c>
      <c r="F839" s="18" t="str">
        <f>IF(COUNTIF(REDUÇÕES!A:A,CST!B839)&gt;0,"REDUÇÃO","NÃO REDUÇÃO")</f>
        <v>NÃO REDUÇÃO</v>
      </c>
      <c r="G839" s="27">
        <f t="shared" si="13"/>
        <v>0</v>
      </c>
    </row>
    <row r="840" spans="1:7" x14ac:dyDescent="0.25">
      <c r="A840" s="120" t="str">
        <f>RIGHT(CSTABLE[[#This Row],[NomeNCM]],8)</f>
        <v>41141000</v>
      </c>
      <c r="B840" s="7" t="s">
        <v>440</v>
      </c>
      <c r="C840" s="3" t="str">
        <f>IFERROR(VLOOKUP(B840,ST!C:D,2,0),"NÃOST")</f>
        <v>NÃOST</v>
      </c>
      <c r="E840" s="3" t="str">
        <f>IF(COUNTIF(ISENÇÕES!A:A,CST!B840)&gt;0,"ISENÇÃO","SEM ISENÇÃO")</f>
        <v>SEM ISENÇÃO</v>
      </c>
      <c r="F840" s="18" t="str">
        <f>IF(COUNTIF(REDUÇÕES!A:A,CST!B840)&gt;0,"REDUÇÃO","NÃO REDUÇÃO")</f>
        <v>NÃO REDUÇÃO</v>
      </c>
      <c r="G840" s="27">
        <f t="shared" si="13"/>
        <v>0</v>
      </c>
    </row>
    <row r="841" spans="1:7" x14ac:dyDescent="0.25">
      <c r="A841" s="120" t="str">
        <f>RIGHT(CSTABLE[[#This Row],[NomeNCM]],8)</f>
        <v>34021900</v>
      </c>
      <c r="B841" s="7" t="s">
        <v>4043</v>
      </c>
      <c r="C841" s="3" t="str">
        <f>IFERROR(VLOOKUP(B841,ST!C:D,2,0),"NÃOST")</f>
        <v>NÃOST</v>
      </c>
      <c r="E841" s="3" t="str">
        <f>IF(COUNTIF(ISENÇÕES!A:A,CST!B841)&gt;0,"ISENÇÃO","SEM ISENÇÃO")</f>
        <v>SEM ISENÇÃO</v>
      </c>
      <c r="F841" s="18" t="str">
        <f>IF(COUNTIF(REDUÇÕES!A:A,CST!B841)&gt;0,"REDUÇÃO","NÃO REDUÇÃO")</f>
        <v>NÃO REDUÇÃO</v>
      </c>
      <c r="G841" s="27">
        <f t="shared" si="13"/>
        <v>0</v>
      </c>
    </row>
    <row r="842" spans="1:7" x14ac:dyDescent="0.25">
      <c r="A842" s="120" t="str">
        <f>RIGHT(CSTABLE[[#This Row],[NomeNCM]],8)</f>
        <v>08029000</v>
      </c>
      <c r="B842" s="7" t="s">
        <v>3410</v>
      </c>
      <c r="C842" s="3" t="str">
        <f>IFERROR(VLOOKUP(B842,ST!C:D,2,0),"NÃOST")</f>
        <v>NÃOST</v>
      </c>
      <c r="E842" s="3" t="str">
        <f>IF(COUNTIF(ISENÇÕES!A:A,CST!B842)&gt;0,"ISENÇÃO","SEM ISENÇÃO")</f>
        <v>ISENÇÃO</v>
      </c>
      <c r="F842" s="18" t="str">
        <f>IF(COUNTIF(REDUÇÕES!A:A,CST!B842)&gt;0,"REDUÇÃO","NÃO REDUÇÃO")</f>
        <v>NÃO REDUÇÃO</v>
      </c>
      <c r="G842" s="27">
        <f t="shared" si="13"/>
        <v>40</v>
      </c>
    </row>
    <row r="843" spans="1:7" x14ac:dyDescent="0.25">
      <c r="A843" s="120" t="str">
        <f>RIGHT(CSTABLE[[#This Row],[NomeNCM]],8)</f>
        <v>39173229</v>
      </c>
      <c r="B843" s="7" t="s">
        <v>4044</v>
      </c>
      <c r="C843" s="3" t="str">
        <f>IFERROR(VLOOKUP(B843,ST!C:D,2,0),"NÃOST")</f>
        <v>NÃOST</v>
      </c>
      <c r="E843" s="3" t="str">
        <f>IF(COUNTIF(ISENÇÕES!A:A,CST!B843)&gt;0,"ISENÇÃO","SEM ISENÇÃO")</f>
        <v>SEM ISENÇÃO</v>
      </c>
      <c r="F843" s="18" t="str">
        <f>IF(COUNTIF(REDUÇÕES!A:A,CST!B843)&gt;0,"REDUÇÃO","NÃO REDUÇÃO")</f>
        <v>NÃO REDUÇÃO</v>
      </c>
      <c r="G843" s="27">
        <f t="shared" si="13"/>
        <v>0</v>
      </c>
    </row>
    <row r="844" spans="1:7" x14ac:dyDescent="0.25">
      <c r="A844" s="120" t="str">
        <f>RIGHT(CSTABLE[[#This Row],[NomeNCM]],8)</f>
        <v>44170090</v>
      </c>
      <c r="B844" s="7" t="s">
        <v>4045</v>
      </c>
      <c r="C844" s="3" t="str">
        <f>IFERROR(VLOOKUP(B844,ST!C:D,2,0),"NÃOST")</f>
        <v>NÃOST</v>
      </c>
      <c r="E844" s="3" t="str">
        <f>IF(COUNTIF(ISENÇÕES!A:A,CST!B844)&gt;0,"ISENÇÃO","SEM ISENÇÃO")</f>
        <v>SEM ISENÇÃO</v>
      </c>
      <c r="F844" s="18" t="str">
        <f>IF(COUNTIF(REDUÇÕES!A:A,CST!B844)&gt;0,"REDUÇÃO","NÃO REDUÇÃO")</f>
        <v>NÃO REDUÇÃO</v>
      </c>
      <c r="G844" s="27">
        <f t="shared" si="13"/>
        <v>0</v>
      </c>
    </row>
    <row r="845" spans="1:7" x14ac:dyDescent="0.25">
      <c r="A845" s="120" t="str">
        <f>RIGHT(CSTABLE[[#This Row],[NomeNCM]],8)</f>
        <v>63025100</v>
      </c>
      <c r="B845" s="7" t="s">
        <v>4046</v>
      </c>
      <c r="C845" s="3" t="str">
        <f>IFERROR(VLOOKUP(B845,ST!C:D,2,0),"NÃOST")</f>
        <v>NÃOST</v>
      </c>
      <c r="E845" s="3" t="str">
        <f>IF(COUNTIF(ISENÇÕES!A:A,CST!B845)&gt;0,"ISENÇÃO","SEM ISENÇÃO")</f>
        <v>SEM ISENÇÃO</v>
      </c>
      <c r="F845" s="18" t="str">
        <f>IF(COUNTIF(REDUÇÕES!A:A,CST!B845)&gt;0,"REDUÇÃO","NÃO REDUÇÃO")</f>
        <v>NÃO REDUÇÃO</v>
      </c>
      <c r="G845" s="27">
        <f t="shared" si="13"/>
        <v>0</v>
      </c>
    </row>
    <row r="846" spans="1:7" x14ac:dyDescent="0.25">
      <c r="A846" s="120" t="str">
        <f>RIGHT(CSTABLE[[#This Row],[NomeNCM]],8)</f>
        <v>85369030</v>
      </c>
      <c r="B846" s="7" t="s">
        <v>4047</v>
      </c>
      <c r="C846" s="3" t="str">
        <f>IFERROR(VLOOKUP(B846,ST!C:D,2,0),"NÃOST")</f>
        <v>NÃOST</v>
      </c>
      <c r="E846" s="3" t="str">
        <f>IF(COUNTIF(ISENÇÕES!A:A,CST!B846)&gt;0,"ISENÇÃO","SEM ISENÇÃO")</f>
        <v>SEM ISENÇÃO</v>
      </c>
      <c r="F846" s="18" t="str">
        <f>IF(COUNTIF(REDUÇÕES!A:A,CST!B846)&gt;0,"REDUÇÃO","NÃO REDUÇÃO")</f>
        <v>NÃO REDUÇÃO</v>
      </c>
      <c r="G846" s="27">
        <f t="shared" si="13"/>
        <v>0</v>
      </c>
    </row>
    <row r="847" spans="1:7" x14ac:dyDescent="0.25">
      <c r="A847" s="120" t="str">
        <f>RIGHT(CSTABLE[[#This Row],[NomeNCM]],8)</f>
        <v>85414022</v>
      </c>
      <c r="B847" s="7" t="s">
        <v>4048</v>
      </c>
      <c r="C847" s="3" t="str">
        <f>IFERROR(VLOOKUP(B847,ST!C:D,2,0),"NÃOST")</f>
        <v>NÃOST</v>
      </c>
      <c r="E847" s="3" t="str">
        <f>IF(COUNTIF(ISENÇÕES!A:A,CST!B847)&gt;0,"ISENÇÃO","SEM ISENÇÃO")</f>
        <v>SEM ISENÇÃO</v>
      </c>
      <c r="F847" s="18" t="str">
        <f>IF(COUNTIF(REDUÇÕES!A:A,CST!B847)&gt;0,"REDUÇÃO","NÃO REDUÇÃO")</f>
        <v>NÃO REDUÇÃO</v>
      </c>
      <c r="G847" s="27">
        <f t="shared" ref="G847:G910" si="14">VLOOKUP(C847&amp;F847&amp;E847,$B$3:$F$10,5,0)</f>
        <v>0</v>
      </c>
    </row>
    <row r="848" spans="1:7" x14ac:dyDescent="0.25">
      <c r="A848" s="120" t="str">
        <f>RIGHT(CSTABLE[[#This Row],[NomeNCM]],8)</f>
        <v>95079000</v>
      </c>
      <c r="B848" s="7" t="s">
        <v>4049</v>
      </c>
      <c r="C848" s="3" t="str">
        <f>IFERROR(VLOOKUP(B848,ST!C:D,2,0),"NÃOST")</f>
        <v>NÃOST</v>
      </c>
      <c r="E848" s="3" t="str">
        <f>IF(COUNTIF(ISENÇÕES!A:A,CST!B848)&gt;0,"ISENÇÃO","SEM ISENÇÃO")</f>
        <v>SEM ISENÇÃO</v>
      </c>
      <c r="F848" s="18" t="str">
        <f>IF(COUNTIF(REDUÇÕES!A:A,CST!B848)&gt;0,"REDUÇÃO","NÃO REDUÇÃO")</f>
        <v>NÃO REDUÇÃO</v>
      </c>
      <c r="G848" s="27">
        <f t="shared" si="14"/>
        <v>0</v>
      </c>
    </row>
    <row r="849" spans="1:7" x14ac:dyDescent="0.25">
      <c r="A849" s="120" t="str">
        <f>RIGHT(CSTABLE[[#This Row],[NomeNCM]],8)</f>
        <v>63025990</v>
      </c>
      <c r="B849" s="7" t="s">
        <v>4050</v>
      </c>
      <c r="C849" s="3" t="str">
        <f>IFERROR(VLOOKUP(B849,ST!C:D,2,0),"NÃOST")</f>
        <v>NÃOST</v>
      </c>
      <c r="E849" s="3" t="str">
        <f>IF(COUNTIF(ISENÇÕES!A:A,CST!B849)&gt;0,"ISENÇÃO","SEM ISENÇÃO")</f>
        <v>SEM ISENÇÃO</v>
      </c>
      <c r="F849" s="18" t="str">
        <f>IF(COUNTIF(REDUÇÕES!A:A,CST!B849)&gt;0,"REDUÇÃO","NÃO REDUÇÃO")</f>
        <v>NÃO REDUÇÃO</v>
      </c>
      <c r="G849" s="27">
        <f t="shared" si="14"/>
        <v>0</v>
      </c>
    </row>
    <row r="850" spans="1:7" x14ac:dyDescent="0.25">
      <c r="A850" s="120" t="str">
        <f>RIGHT(CSTABLE[[#This Row],[NomeNCM]],8)</f>
        <v>30049021</v>
      </c>
      <c r="B850" s="7" t="s">
        <v>4051</v>
      </c>
      <c r="C850" s="3" t="str">
        <f>IFERROR(VLOOKUP(B850,ST!C:D,2,0),"NÃOST")</f>
        <v>NÃOST</v>
      </c>
      <c r="E850" s="3" t="str">
        <f>IF(COUNTIF(ISENÇÕES!A:A,CST!B850)&gt;0,"ISENÇÃO","SEM ISENÇÃO")</f>
        <v>SEM ISENÇÃO</v>
      </c>
      <c r="F850" s="18" t="str">
        <f>IF(COUNTIF(REDUÇÕES!A:A,CST!B850)&gt;0,"REDUÇÃO","NÃO REDUÇÃO")</f>
        <v>NÃO REDUÇÃO</v>
      </c>
      <c r="G850" s="27">
        <f t="shared" si="14"/>
        <v>0</v>
      </c>
    </row>
    <row r="851" spans="1:7" x14ac:dyDescent="0.25">
      <c r="A851" s="120" t="str">
        <f>RIGHT(CSTABLE[[#This Row],[NomeNCM]],8)</f>
        <v>58050010</v>
      </c>
      <c r="B851" s="7" t="s">
        <v>4052</v>
      </c>
      <c r="C851" s="3" t="str">
        <f>IFERROR(VLOOKUP(B851,ST!C:D,2,0),"NÃOST")</f>
        <v>NÃOST</v>
      </c>
      <c r="E851" s="3" t="str">
        <f>IF(COUNTIF(ISENÇÕES!A:A,CST!B851)&gt;0,"ISENÇÃO","SEM ISENÇÃO")</f>
        <v>SEM ISENÇÃO</v>
      </c>
      <c r="F851" s="18" t="str">
        <f>IF(COUNTIF(REDUÇÕES!A:A,CST!B851)&gt;0,"REDUÇÃO","NÃO REDUÇÃO")</f>
        <v>NÃO REDUÇÃO</v>
      </c>
      <c r="G851" s="27">
        <f t="shared" si="14"/>
        <v>0</v>
      </c>
    </row>
    <row r="852" spans="1:7" x14ac:dyDescent="0.25">
      <c r="A852" s="120" t="str">
        <f>RIGHT(CSTABLE[[#This Row],[NomeNCM]],8)</f>
        <v>39261000</v>
      </c>
      <c r="B852" s="7" t="s">
        <v>4053</v>
      </c>
      <c r="C852" s="3" t="str">
        <f>IFERROR(VLOOKUP(B852,ST!C:D,2,0),"NÃOST")</f>
        <v>NÃOST</v>
      </c>
      <c r="E852" s="3" t="str">
        <f>IF(COUNTIF(ISENÇÕES!A:A,CST!B852)&gt;0,"ISENÇÃO","SEM ISENÇÃO")</f>
        <v>SEM ISENÇÃO</v>
      </c>
      <c r="F852" s="18" t="str">
        <f>IF(COUNTIF(REDUÇÕES!A:A,CST!B852)&gt;0,"REDUÇÃO","NÃO REDUÇÃO")</f>
        <v>NÃO REDUÇÃO</v>
      </c>
      <c r="G852" s="27">
        <f t="shared" si="14"/>
        <v>0</v>
      </c>
    </row>
    <row r="853" spans="1:7" x14ac:dyDescent="0.25">
      <c r="A853" s="120" t="str">
        <f>RIGHT(CSTABLE[[#This Row],[NomeNCM]],8)</f>
        <v>85094040</v>
      </c>
      <c r="B853" s="7" t="s">
        <v>4054</v>
      </c>
      <c r="C853" s="3" t="str">
        <f>IFERROR(VLOOKUP(B853,ST!C:D,2,0),"NÃOST")</f>
        <v>NÃOST</v>
      </c>
      <c r="E853" s="3" t="str">
        <f>IF(COUNTIF(ISENÇÕES!A:A,CST!B853)&gt;0,"ISENÇÃO","SEM ISENÇÃO")</f>
        <v>SEM ISENÇÃO</v>
      </c>
      <c r="F853" s="18" t="str">
        <f>IF(COUNTIF(REDUÇÕES!A:A,CST!B853)&gt;0,"REDUÇÃO","NÃO REDUÇÃO")</f>
        <v>NÃO REDUÇÃO</v>
      </c>
      <c r="G853" s="27">
        <f t="shared" si="14"/>
        <v>0</v>
      </c>
    </row>
    <row r="854" spans="1:7" x14ac:dyDescent="0.25">
      <c r="A854" s="120" t="str">
        <f>RIGHT(CSTABLE[[#This Row],[NomeNCM]],8)</f>
        <v>48115129</v>
      </c>
      <c r="B854" s="7" t="s">
        <v>4055</v>
      </c>
      <c r="C854" s="3" t="str">
        <f>IFERROR(VLOOKUP(B854,ST!C:D,2,0),"NÃOST")</f>
        <v>NÃOST</v>
      </c>
      <c r="E854" s="3" t="str">
        <f>IF(COUNTIF(ISENÇÕES!A:A,CST!B854)&gt;0,"ISENÇÃO","SEM ISENÇÃO")</f>
        <v>SEM ISENÇÃO</v>
      </c>
      <c r="F854" s="18" t="str">
        <f>IF(COUNTIF(REDUÇÕES!A:A,CST!B854)&gt;0,"REDUÇÃO","NÃO REDUÇÃO")</f>
        <v>NÃO REDUÇÃO</v>
      </c>
      <c r="G854" s="27">
        <f t="shared" si="14"/>
        <v>0</v>
      </c>
    </row>
    <row r="855" spans="1:7" x14ac:dyDescent="0.25">
      <c r="A855" s="120" t="str">
        <f>RIGHT(CSTABLE[[#This Row],[NomeNCM]],8)</f>
        <v>72082790</v>
      </c>
      <c r="B855" s="7" t="s">
        <v>4056</v>
      </c>
      <c r="C855" s="3" t="str">
        <f>IFERROR(VLOOKUP(B855,ST!C:D,2,0),"NÃOST")</f>
        <v>NÃOST</v>
      </c>
      <c r="E855" s="3" t="str">
        <f>IF(COUNTIF(ISENÇÕES!A:A,CST!B855)&gt;0,"ISENÇÃO","SEM ISENÇÃO")</f>
        <v>SEM ISENÇÃO</v>
      </c>
      <c r="F855" s="18" t="str">
        <f>IF(COUNTIF(REDUÇÕES!A:A,CST!B855)&gt;0,"REDUÇÃO","NÃO REDUÇÃO")</f>
        <v>NÃO REDUÇÃO</v>
      </c>
      <c r="G855" s="27">
        <f t="shared" si="14"/>
        <v>0</v>
      </c>
    </row>
    <row r="856" spans="1:7" x14ac:dyDescent="0.25">
      <c r="A856" s="120" t="str">
        <f>RIGHT(CSTABLE[[#This Row],[NomeNCM]],8)</f>
        <v>22060010</v>
      </c>
      <c r="B856" s="7" t="s">
        <v>4057</v>
      </c>
      <c r="C856" s="3" t="str">
        <f>IFERROR(VLOOKUP(B856,ST!C:D,2,0),"NÃOST")</f>
        <v>NÃOST</v>
      </c>
      <c r="E856" s="3" t="str">
        <f>IF(COUNTIF(ISENÇÕES!A:A,CST!B856)&gt;0,"ISENÇÃO","SEM ISENÇÃO")</f>
        <v>SEM ISENÇÃO</v>
      </c>
      <c r="F856" s="18" t="str">
        <f>IF(COUNTIF(REDUÇÕES!A:A,CST!B856)&gt;0,"REDUÇÃO","NÃO REDUÇÃO")</f>
        <v>NÃO REDUÇÃO</v>
      </c>
      <c r="G856" s="27">
        <f t="shared" si="14"/>
        <v>0</v>
      </c>
    </row>
    <row r="857" spans="1:7" x14ac:dyDescent="0.25">
      <c r="A857" s="120" t="str">
        <f>RIGHT(CSTABLE[[#This Row],[NomeNCM]],8)</f>
        <v>73239400</v>
      </c>
      <c r="B857" s="7" t="s">
        <v>4058</v>
      </c>
      <c r="C857" s="3" t="str">
        <f>IFERROR(VLOOKUP(B857,ST!C:D,2,0),"NÃOST")</f>
        <v>NÃOST</v>
      </c>
      <c r="E857" s="3" t="str">
        <f>IF(COUNTIF(ISENÇÕES!A:A,CST!B857)&gt;0,"ISENÇÃO","SEM ISENÇÃO")</f>
        <v>SEM ISENÇÃO</v>
      </c>
      <c r="F857" s="18" t="str">
        <f>IF(COUNTIF(REDUÇÕES!A:A,CST!B857)&gt;0,"REDUÇÃO","NÃO REDUÇÃO")</f>
        <v>NÃO REDUÇÃO</v>
      </c>
      <c r="G857" s="27">
        <f t="shared" si="14"/>
        <v>0</v>
      </c>
    </row>
    <row r="858" spans="1:7" x14ac:dyDescent="0.25">
      <c r="A858" s="120" t="str">
        <f>RIGHT(CSTABLE[[#This Row],[NomeNCM]],8)</f>
        <v>56041000</v>
      </c>
      <c r="B858" s="7" t="s">
        <v>4059</v>
      </c>
      <c r="C858" s="3" t="str">
        <f>IFERROR(VLOOKUP(B858,ST!C:D,2,0),"NÃOST")</f>
        <v>NÃOST</v>
      </c>
      <c r="E858" s="3" t="str">
        <f>IF(COUNTIF(ISENÇÕES!A:A,CST!B858)&gt;0,"ISENÇÃO","SEM ISENÇÃO")</f>
        <v>SEM ISENÇÃO</v>
      </c>
      <c r="F858" s="18" t="str">
        <f>IF(COUNTIF(REDUÇÕES!A:A,CST!B858)&gt;0,"REDUÇÃO","NÃO REDUÇÃO")</f>
        <v>NÃO REDUÇÃO</v>
      </c>
      <c r="G858" s="27">
        <f t="shared" si="14"/>
        <v>0</v>
      </c>
    </row>
    <row r="859" spans="1:7" x14ac:dyDescent="0.25">
      <c r="A859" s="120" t="str">
        <f>RIGHT(CSTABLE[[#This Row],[NomeNCM]],8)</f>
        <v>10081010</v>
      </c>
      <c r="B859" s="7" t="s">
        <v>4060</v>
      </c>
      <c r="C859" s="3" t="str">
        <f>IFERROR(VLOOKUP(B859,ST!C:D,2,0),"NÃOST")</f>
        <v>NÃOST</v>
      </c>
      <c r="E859" s="3" t="str">
        <f>IF(COUNTIF(ISENÇÕES!A:A,CST!B859)&gt;0,"ISENÇÃO","SEM ISENÇÃO")</f>
        <v>SEM ISENÇÃO</v>
      </c>
      <c r="F859" s="18" t="str">
        <f>IF(COUNTIF(REDUÇÕES!A:A,CST!B859)&gt;0,"REDUÇÃO","NÃO REDUÇÃO")</f>
        <v>NÃO REDUÇÃO</v>
      </c>
      <c r="G859" s="27">
        <f t="shared" si="14"/>
        <v>0</v>
      </c>
    </row>
    <row r="860" spans="1:7" x14ac:dyDescent="0.25">
      <c r="A860" s="120" t="str">
        <f>RIGHT(CSTABLE[[#This Row],[NomeNCM]],8)</f>
        <v>84819090</v>
      </c>
      <c r="B860" s="7" t="s">
        <v>4061</v>
      </c>
      <c r="C860" s="3" t="str">
        <f>IFERROR(VLOOKUP(B860,ST!C:D,2,0),"NÃOST")</f>
        <v>NÃOST</v>
      </c>
      <c r="E860" s="3" t="str">
        <f>IF(COUNTIF(ISENÇÕES!A:A,CST!B860)&gt;0,"ISENÇÃO","SEM ISENÇÃO")</f>
        <v>SEM ISENÇÃO</v>
      </c>
      <c r="F860" s="18" t="str">
        <f>IF(COUNTIF(REDUÇÕES!A:A,CST!B860)&gt;0,"REDUÇÃO","NÃO REDUÇÃO")</f>
        <v>NÃO REDUÇÃO</v>
      </c>
      <c r="G860" s="27">
        <f t="shared" si="14"/>
        <v>0</v>
      </c>
    </row>
    <row r="861" spans="1:7" x14ac:dyDescent="0.25">
      <c r="A861" s="120" t="str">
        <f>RIGHT(CSTABLE[[#This Row],[NomeNCM]],8)</f>
        <v>48114190</v>
      </c>
      <c r="B861" s="7" t="s">
        <v>4062</v>
      </c>
      <c r="C861" s="3" t="str">
        <f>IFERROR(VLOOKUP(B861,ST!C:D,2,0),"NÃOST")</f>
        <v>NÃOST</v>
      </c>
      <c r="E861" s="3" t="str">
        <f>IF(COUNTIF(ISENÇÕES!A:A,CST!B861)&gt;0,"ISENÇÃO","SEM ISENÇÃO")</f>
        <v>SEM ISENÇÃO</v>
      </c>
      <c r="F861" s="18" t="str">
        <f>IF(COUNTIF(REDUÇÕES!A:A,CST!B861)&gt;0,"REDUÇÃO","NÃO REDUÇÃO")</f>
        <v>NÃO REDUÇÃO</v>
      </c>
      <c r="G861" s="27">
        <f t="shared" si="14"/>
        <v>0</v>
      </c>
    </row>
    <row r="862" spans="1:7" x14ac:dyDescent="0.25">
      <c r="A862" s="120" t="str">
        <f>RIGHT(CSTABLE[[#This Row],[NomeNCM]],8)</f>
        <v>34021140</v>
      </c>
      <c r="B862" s="7" t="s">
        <v>4063</v>
      </c>
      <c r="C862" s="3" t="str">
        <f>IFERROR(VLOOKUP(B862,ST!C:D,2,0),"NÃOST")</f>
        <v>NÃOST</v>
      </c>
      <c r="E862" s="3" t="str">
        <f>IF(COUNTIF(ISENÇÕES!A:A,CST!B862)&gt;0,"ISENÇÃO","SEM ISENÇÃO")</f>
        <v>SEM ISENÇÃO</v>
      </c>
      <c r="F862" s="18" t="str">
        <f>IF(COUNTIF(REDUÇÕES!A:A,CST!B862)&gt;0,"REDUÇÃO","NÃO REDUÇÃO")</f>
        <v>NÃO REDUÇÃO</v>
      </c>
      <c r="G862" s="27">
        <f t="shared" si="14"/>
        <v>0</v>
      </c>
    </row>
    <row r="863" spans="1:7" x14ac:dyDescent="0.25">
      <c r="A863" s="120" t="str">
        <f>RIGHT(CSTABLE[[#This Row],[NomeNCM]],8)</f>
        <v>39191090</v>
      </c>
      <c r="B863" s="7" t="s">
        <v>4064</v>
      </c>
      <c r="C863" s="3" t="str">
        <f>IFERROR(VLOOKUP(B863,ST!C:D,2,0),"NÃOST")</f>
        <v>NÃOST</v>
      </c>
      <c r="E863" s="3" t="str">
        <f>IF(COUNTIF(ISENÇÕES!A:A,CST!B863)&gt;0,"ISENÇÃO","SEM ISENÇÃO")</f>
        <v>SEM ISENÇÃO</v>
      </c>
      <c r="F863" s="18" t="str">
        <f>IF(COUNTIF(REDUÇÕES!A:A,CST!B863)&gt;0,"REDUÇÃO","NÃO REDUÇÃO")</f>
        <v>NÃO REDUÇÃO</v>
      </c>
      <c r="G863" s="27">
        <f t="shared" si="14"/>
        <v>0</v>
      </c>
    </row>
    <row r="864" spans="1:7" x14ac:dyDescent="0.25">
      <c r="A864" s="120" t="str">
        <f>RIGHT(CSTABLE[[#This Row],[NomeNCM]],8)</f>
        <v>21011190</v>
      </c>
      <c r="B864" s="7" t="s">
        <v>3367</v>
      </c>
      <c r="C864" s="3" t="str">
        <f>IFERROR(VLOOKUP(B864,ST!C:D,2,0),"NÃOST")</f>
        <v>NÃOST</v>
      </c>
      <c r="E864" s="3" t="str">
        <f>IF(COUNTIF(ISENÇÕES!A:A,CST!B864)&gt;0,"ISENÇÃO","SEM ISENÇÃO")</f>
        <v>SEM ISENÇÃO</v>
      </c>
      <c r="F864" s="18" t="str">
        <f>IF(COUNTIF(REDUÇÕES!A:A,CST!B864)&gt;0,"REDUÇÃO","NÃO REDUÇÃO")</f>
        <v>NÃO REDUÇÃO</v>
      </c>
      <c r="G864" s="27">
        <f t="shared" si="14"/>
        <v>0</v>
      </c>
    </row>
    <row r="865" spans="1:7" x14ac:dyDescent="0.25">
      <c r="A865" s="120" t="str">
        <f>RIGHT(CSTABLE[[#This Row],[NomeNCM]],8)</f>
        <v>02101200</v>
      </c>
      <c r="B865" s="7" t="s">
        <v>3110</v>
      </c>
      <c r="C865" s="3" t="str">
        <f>IFERROR(VLOOKUP(B865,ST!C:D,2,0),"NÃOST")</f>
        <v>NÃOST</v>
      </c>
      <c r="E865" s="3" t="str">
        <f>IF(COUNTIF(ISENÇÕES!A:A,CST!B865)&gt;0,"ISENÇÃO","SEM ISENÇÃO")</f>
        <v>SEM ISENÇÃO</v>
      </c>
      <c r="F865" s="18" t="str">
        <f>IF(COUNTIF(REDUÇÕES!A:A,CST!B865)&gt;0,"REDUÇÃO","NÃO REDUÇÃO")</f>
        <v>NÃO REDUÇÃO</v>
      </c>
      <c r="G865" s="27">
        <f t="shared" si="14"/>
        <v>0</v>
      </c>
    </row>
    <row r="866" spans="1:7" x14ac:dyDescent="0.25">
      <c r="A866" s="120" t="str">
        <f>RIGHT(CSTABLE[[#This Row],[NomeNCM]],8)</f>
        <v>39206900</v>
      </c>
      <c r="B866" s="7" t="s">
        <v>4065</v>
      </c>
      <c r="C866" s="3" t="str">
        <f>IFERROR(VLOOKUP(B866,ST!C:D,2,0),"NÃOST")</f>
        <v>NÃOST</v>
      </c>
      <c r="E866" s="3" t="str">
        <f>IF(COUNTIF(ISENÇÕES!A:A,CST!B866)&gt;0,"ISENÇÃO","SEM ISENÇÃO")</f>
        <v>SEM ISENÇÃO</v>
      </c>
      <c r="F866" s="18" t="str">
        <f>IF(COUNTIF(REDUÇÕES!A:A,CST!B866)&gt;0,"REDUÇÃO","NÃO REDUÇÃO")</f>
        <v>NÃO REDUÇÃO</v>
      </c>
      <c r="G866" s="27">
        <f t="shared" si="14"/>
        <v>0</v>
      </c>
    </row>
    <row r="867" spans="1:7" x14ac:dyDescent="0.25">
      <c r="A867" s="120" t="str">
        <f>RIGHT(CSTABLE[[#This Row],[NomeNCM]],8)</f>
        <v>36041000</v>
      </c>
      <c r="B867" s="7" t="s">
        <v>4066</v>
      </c>
      <c r="C867" s="3" t="str">
        <f>IFERROR(VLOOKUP(B867,ST!C:D,2,0),"NÃOST")</f>
        <v>NÃOST</v>
      </c>
      <c r="E867" s="3" t="str">
        <f>IF(COUNTIF(ISENÇÕES!A:A,CST!B867)&gt;0,"ISENÇÃO","SEM ISENÇÃO")</f>
        <v>SEM ISENÇÃO</v>
      </c>
      <c r="F867" s="18" t="str">
        <f>IF(COUNTIF(REDUÇÕES!A:A,CST!B867)&gt;0,"REDUÇÃO","NÃO REDUÇÃO")</f>
        <v>NÃO REDUÇÃO</v>
      </c>
      <c r="G867" s="27">
        <f t="shared" si="14"/>
        <v>0</v>
      </c>
    </row>
    <row r="868" spans="1:7" x14ac:dyDescent="0.25">
      <c r="A868" s="120" t="str">
        <f>RIGHT(CSTABLE[[#This Row],[NomeNCM]],8)</f>
        <v>74181000</v>
      </c>
      <c r="B868" s="7" t="s">
        <v>4067</v>
      </c>
      <c r="C868" s="3" t="str">
        <f>IFERROR(VLOOKUP(B868,ST!C:D,2,0),"NÃOST")</f>
        <v>NÃOST</v>
      </c>
      <c r="E868" s="3" t="str">
        <f>IF(COUNTIF(ISENÇÕES!A:A,CST!B868)&gt;0,"ISENÇÃO","SEM ISENÇÃO")</f>
        <v>SEM ISENÇÃO</v>
      </c>
      <c r="F868" s="18" t="str">
        <f>IF(COUNTIF(REDUÇÕES!A:A,CST!B868)&gt;0,"REDUÇÃO","NÃO REDUÇÃO")</f>
        <v>NÃO REDUÇÃO</v>
      </c>
      <c r="G868" s="27">
        <f t="shared" si="14"/>
        <v>0</v>
      </c>
    </row>
    <row r="869" spans="1:7" x14ac:dyDescent="0.25">
      <c r="A869" s="120" t="str">
        <f>RIGHT(CSTABLE[[#This Row],[NomeNCM]],8)</f>
        <v>39269069</v>
      </c>
      <c r="B869" s="7" t="s">
        <v>4068</v>
      </c>
      <c r="C869" s="3" t="str">
        <f>IFERROR(VLOOKUP(B869,ST!C:D,2,0),"NÃOST")</f>
        <v>NÃOST</v>
      </c>
      <c r="E869" s="3" t="str">
        <f>IF(COUNTIF(ISENÇÕES!A:A,CST!B869)&gt;0,"ISENÇÃO","SEM ISENÇÃO")</f>
        <v>SEM ISENÇÃO</v>
      </c>
      <c r="F869" s="18" t="str">
        <f>IF(COUNTIF(REDUÇÕES!A:A,CST!B869)&gt;0,"REDUÇÃO","NÃO REDUÇÃO")</f>
        <v>NÃO REDUÇÃO</v>
      </c>
      <c r="G869" s="27">
        <f t="shared" si="14"/>
        <v>0</v>
      </c>
    </row>
    <row r="870" spans="1:7" x14ac:dyDescent="0.25">
      <c r="A870" s="120" t="str">
        <f>RIGHT(CSTABLE[[#This Row],[NomeNCM]],8)</f>
        <v>16042020</v>
      </c>
      <c r="B870" s="7" t="s">
        <v>4069</v>
      </c>
      <c r="C870" s="3" t="str">
        <f>IFERROR(VLOOKUP(B870,ST!C:D,2,0),"NÃOST")</f>
        <v>NÃOST</v>
      </c>
      <c r="E870" s="3" t="str">
        <f>IF(COUNTIF(ISENÇÕES!A:A,CST!B870)&gt;0,"ISENÇÃO","SEM ISENÇÃO")</f>
        <v>SEM ISENÇÃO</v>
      </c>
      <c r="F870" s="18" t="str">
        <f>IF(COUNTIF(REDUÇÕES!A:A,CST!B870)&gt;0,"REDUÇÃO","NÃO REDUÇÃO")</f>
        <v>NÃO REDUÇÃO</v>
      </c>
      <c r="G870" s="27">
        <f t="shared" si="14"/>
        <v>0</v>
      </c>
    </row>
    <row r="871" spans="1:7" x14ac:dyDescent="0.25">
      <c r="A871" s="120" t="str">
        <f>RIGHT(CSTABLE[[#This Row],[NomeNCM]],8)</f>
        <v>73043910</v>
      </c>
      <c r="B871" s="7" t="s">
        <v>4070</v>
      </c>
      <c r="C871" s="3" t="str">
        <f>IFERROR(VLOOKUP(B871,ST!C:D,2,0),"NÃOST")</f>
        <v>NÃOST</v>
      </c>
      <c r="E871" s="3" t="str">
        <f>IF(COUNTIF(ISENÇÕES!A:A,CST!B871)&gt;0,"ISENÇÃO","SEM ISENÇÃO")</f>
        <v>SEM ISENÇÃO</v>
      </c>
      <c r="F871" s="18" t="str">
        <f>IF(COUNTIF(REDUÇÕES!A:A,CST!B871)&gt;0,"REDUÇÃO","NÃO REDUÇÃO")</f>
        <v>NÃO REDUÇÃO</v>
      </c>
      <c r="G871" s="27">
        <f t="shared" si="14"/>
        <v>0</v>
      </c>
    </row>
    <row r="872" spans="1:7" x14ac:dyDescent="0.25">
      <c r="A872" s="120" t="str">
        <f>RIGHT(CSTABLE[[#This Row],[NomeNCM]],8)</f>
        <v>39173100</v>
      </c>
      <c r="B872" s="7" t="s">
        <v>4071</v>
      </c>
      <c r="C872" s="3" t="str">
        <f>IFERROR(VLOOKUP(B872,ST!C:D,2,0),"NÃOST")</f>
        <v>NÃOST</v>
      </c>
      <c r="E872" s="3" t="str">
        <f>IF(COUNTIF(ISENÇÕES!A:A,CST!B872)&gt;0,"ISENÇÃO","SEM ISENÇÃO")</f>
        <v>SEM ISENÇÃO</v>
      </c>
      <c r="F872" s="18" t="str">
        <f>IF(COUNTIF(REDUÇÕES!A:A,CST!B872)&gt;0,"REDUÇÃO","NÃO REDUÇÃO")</f>
        <v>NÃO REDUÇÃO</v>
      </c>
      <c r="G872" s="27">
        <f t="shared" si="14"/>
        <v>0</v>
      </c>
    </row>
    <row r="873" spans="1:7" x14ac:dyDescent="0.25">
      <c r="A873" s="120" t="str">
        <f>RIGHT(CSTABLE[[#This Row],[NomeNCM]],8)</f>
        <v>32082011</v>
      </c>
      <c r="B873" s="7" t="s">
        <v>4072</v>
      </c>
      <c r="C873" s="3" t="str">
        <f>IFERROR(VLOOKUP(B873,ST!C:D,2,0),"NÃOST")</f>
        <v>ST</v>
      </c>
      <c r="E873" s="3" t="str">
        <f>IF(COUNTIF(ISENÇÕES!A:A,CST!B873)&gt;0,"ISENÇÃO","SEM ISENÇÃO")</f>
        <v>SEM ISENÇÃO</v>
      </c>
      <c r="F873" s="18" t="str">
        <f>IF(COUNTIF(REDUÇÕES!A:A,CST!B873)&gt;0,"REDUÇÃO","NÃO REDUÇÃO")</f>
        <v>NÃO REDUÇÃO</v>
      </c>
      <c r="G873" s="27">
        <f t="shared" si="14"/>
        <v>60</v>
      </c>
    </row>
    <row r="874" spans="1:7" x14ac:dyDescent="0.25">
      <c r="A874" s="120" t="str">
        <f>RIGHT(CSTABLE[[#This Row],[NomeNCM]],8)</f>
        <v>38249979</v>
      </c>
      <c r="B874" s="7" t="s">
        <v>4073</v>
      </c>
      <c r="C874" s="3" t="str">
        <f>IFERROR(VLOOKUP(B874,ST!C:D,2,0),"NÃOST")</f>
        <v>NÃOST</v>
      </c>
      <c r="E874" s="3" t="str">
        <f>IF(COUNTIF(ISENÇÕES!A:A,CST!B874)&gt;0,"ISENÇÃO","SEM ISENÇÃO")</f>
        <v>SEM ISENÇÃO</v>
      </c>
      <c r="F874" s="18" t="str">
        <f>IF(COUNTIF(REDUÇÕES!A:A,CST!B874)&gt;0,"REDUÇÃO","NÃO REDUÇÃO")</f>
        <v>NÃO REDUÇÃO</v>
      </c>
      <c r="G874" s="27">
        <f t="shared" si="14"/>
        <v>0</v>
      </c>
    </row>
    <row r="875" spans="1:7" x14ac:dyDescent="0.25">
      <c r="A875" s="120" t="str">
        <f>RIGHT(CSTABLE[[#This Row],[NomeNCM]],8)</f>
        <v>76152000</v>
      </c>
      <c r="B875" s="7" t="s">
        <v>4074</v>
      </c>
      <c r="C875" s="3" t="str">
        <f>IFERROR(VLOOKUP(B875,ST!C:D,2,0),"NÃOST")</f>
        <v>NÃOST</v>
      </c>
      <c r="E875" s="3" t="str">
        <f>IF(COUNTIF(ISENÇÕES!A:A,CST!B875)&gt;0,"ISENÇÃO","SEM ISENÇÃO")</f>
        <v>SEM ISENÇÃO</v>
      </c>
      <c r="F875" s="18" t="str">
        <f>IF(COUNTIF(REDUÇÕES!A:A,CST!B875)&gt;0,"REDUÇÃO","NÃO REDUÇÃO")</f>
        <v>NÃO REDUÇÃO</v>
      </c>
      <c r="G875" s="27">
        <f t="shared" si="14"/>
        <v>0</v>
      </c>
    </row>
    <row r="876" spans="1:7" x14ac:dyDescent="0.25">
      <c r="A876" s="120" t="str">
        <f>RIGHT(CSTABLE[[#This Row],[NomeNCM]],8)</f>
        <v>56031290</v>
      </c>
      <c r="B876" s="7" t="s">
        <v>4075</v>
      </c>
      <c r="C876" s="3" t="str">
        <f>IFERROR(VLOOKUP(B876,ST!C:D,2,0),"NÃOST")</f>
        <v>NÃOST</v>
      </c>
      <c r="E876" s="3" t="str">
        <f>IF(COUNTIF(ISENÇÕES!A:A,CST!B876)&gt;0,"ISENÇÃO","SEM ISENÇÃO")</f>
        <v>SEM ISENÇÃO</v>
      </c>
      <c r="F876" s="18" t="str">
        <f>IF(COUNTIF(REDUÇÕES!A:A,CST!B876)&gt;0,"REDUÇÃO","NÃO REDUÇÃO")</f>
        <v>NÃO REDUÇÃO</v>
      </c>
      <c r="G876" s="27">
        <f t="shared" si="14"/>
        <v>0</v>
      </c>
    </row>
    <row r="877" spans="1:7" x14ac:dyDescent="0.25">
      <c r="A877" s="120" t="str">
        <f>RIGHT(CSTABLE[[#This Row],[NomeNCM]],8)</f>
        <v>59031000</v>
      </c>
      <c r="B877" s="7" t="s">
        <v>4076</v>
      </c>
      <c r="C877" s="3" t="str">
        <f>IFERROR(VLOOKUP(B877,ST!C:D,2,0),"NÃOST")</f>
        <v>NÃOST</v>
      </c>
      <c r="E877" s="3" t="str">
        <f>IF(COUNTIF(ISENÇÕES!A:A,CST!B877)&gt;0,"ISENÇÃO","SEM ISENÇÃO")</f>
        <v>SEM ISENÇÃO</v>
      </c>
      <c r="F877" s="18" t="str">
        <f>IF(COUNTIF(REDUÇÕES!A:A,CST!B877)&gt;0,"REDUÇÃO","NÃO REDUÇÃO")</f>
        <v>NÃO REDUÇÃO</v>
      </c>
      <c r="G877" s="27">
        <f t="shared" si="14"/>
        <v>0</v>
      </c>
    </row>
    <row r="878" spans="1:7" x14ac:dyDescent="0.25">
      <c r="A878" s="120" t="str">
        <f>RIGHT(CSTABLE[[#This Row],[NomeNCM]],8)</f>
        <v>56075011</v>
      </c>
      <c r="B878" s="7" t="s">
        <v>4077</v>
      </c>
      <c r="C878" s="3" t="str">
        <f>IFERROR(VLOOKUP(B878,ST!C:D,2,0),"NÃOST")</f>
        <v>NÃOST</v>
      </c>
      <c r="E878" s="3" t="str">
        <f>IF(COUNTIF(ISENÇÕES!A:A,CST!B878)&gt;0,"ISENÇÃO","SEM ISENÇÃO")</f>
        <v>SEM ISENÇÃO</v>
      </c>
      <c r="F878" s="18" t="str">
        <f>IF(COUNTIF(REDUÇÕES!A:A,CST!B878)&gt;0,"REDUÇÃO","NÃO REDUÇÃO")</f>
        <v>NÃO REDUÇÃO</v>
      </c>
      <c r="G878" s="27">
        <f t="shared" si="14"/>
        <v>0</v>
      </c>
    </row>
    <row r="879" spans="1:7" x14ac:dyDescent="0.25">
      <c r="A879" s="120" t="str">
        <f>RIGHT(CSTABLE[[#This Row],[NomeNCM]],8)</f>
        <v>82011000</v>
      </c>
      <c r="B879" s="7" t="s">
        <v>4078</v>
      </c>
      <c r="C879" s="3" t="str">
        <f>IFERROR(VLOOKUP(B879,ST!C:D,2,0),"NÃOST")</f>
        <v>NÃOST</v>
      </c>
      <c r="E879" s="3" t="str">
        <f>IF(COUNTIF(ISENÇÕES!A:A,CST!B879)&gt;0,"ISENÇÃO","SEM ISENÇÃO")</f>
        <v>SEM ISENÇÃO</v>
      </c>
      <c r="F879" s="18" t="str">
        <f>IF(COUNTIF(REDUÇÕES!A:A,CST!B879)&gt;0,"REDUÇÃO","NÃO REDUÇÃO")</f>
        <v>NÃO REDUÇÃO</v>
      </c>
      <c r="G879" s="27">
        <f t="shared" si="14"/>
        <v>0</v>
      </c>
    </row>
    <row r="880" spans="1:7" x14ac:dyDescent="0.25">
      <c r="A880" s="120" t="str">
        <f>RIGHT(CSTABLE[[#This Row],[NomeNCM]],8)</f>
        <v>38190000</v>
      </c>
      <c r="B880" s="7" t="s">
        <v>4079</v>
      </c>
      <c r="C880" s="3" t="str">
        <f>IFERROR(VLOOKUP(B880,ST!C:D,2,0),"NÃOST")</f>
        <v>NÃOST</v>
      </c>
      <c r="E880" s="3" t="str">
        <f>IF(COUNTIF(ISENÇÕES!A:A,CST!B880)&gt;0,"ISENÇÃO","SEM ISENÇÃO")</f>
        <v>SEM ISENÇÃO</v>
      </c>
      <c r="F880" s="18" t="str">
        <f>IF(COUNTIF(REDUÇÕES!A:A,CST!B880)&gt;0,"REDUÇÃO","NÃO REDUÇÃO")</f>
        <v>NÃO REDUÇÃO</v>
      </c>
      <c r="G880" s="27">
        <f t="shared" si="14"/>
        <v>0</v>
      </c>
    </row>
    <row r="881" spans="1:7" x14ac:dyDescent="0.25">
      <c r="A881" s="120" t="str">
        <f>RIGHT(CSTABLE[[#This Row],[NomeNCM]],8)</f>
        <v>73239100</v>
      </c>
      <c r="B881" s="7" t="s">
        <v>4080</v>
      </c>
      <c r="C881" s="3" t="str">
        <f>IFERROR(VLOOKUP(B881,ST!C:D,2,0),"NÃOST")</f>
        <v>NÃOST</v>
      </c>
      <c r="E881" s="3" t="str">
        <f>IF(COUNTIF(ISENÇÕES!A:A,CST!B881)&gt;0,"ISENÇÃO","SEM ISENÇÃO")</f>
        <v>SEM ISENÇÃO</v>
      </c>
      <c r="F881" s="18" t="str">
        <f>IF(COUNTIF(REDUÇÕES!A:A,CST!B881)&gt;0,"REDUÇÃO","NÃO REDUÇÃO")</f>
        <v>NÃO REDUÇÃO</v>
      </c>
      <c r="G881" s="27">
        <f t="shared" si="14"/>
        <v>0</v>
      </c>
    </row>
    <row r="882" spans="1:7" x14ac:dyDescent="0.25">
      <c r="A882" s="120" t="str">
        <f>RIGHT(CSTABLE[[#This Row],[NomeNCM]],8)</f>
        <v>73191000</v>
      </c>
      <c r="B882" s="7" t="s">
        <v>4081</v>
      </c>
      <c r="C882" s="3" t="str">
        <f>IFERROR(VLOOKUP(B882,ST!C:D,2,0),"NÃOST")</f>
        <v>NÃOST</v>
      </c>
      <c r="E882" s="3" t="str">
        <f>IF(COUNTIF(ISENÇÕES!A:A,CST!B882)&gt;0,"ISENÇÃO","SEM ISENÇÃO")</f>
        <v>SEM ISENÇÃO</v>
      </c>
      <c r="F882" s="18" t="str">
        <f>IF(COUNTIF(REDUÇÕES!A:A,CST!B882)&gt;0,"REDUÇÃO","NÃO REDUÇÃO")</f>
        <v>NÃO REDUÇÃO</v>
      </c>
      <c r="G882" s="27">
        <f t="shared" si="14"/>
        <v>0</v>
      </c>
    </row>
    <row r="883" spans="1:7" x14ac:dyDescent="0.25">
      <c r="A883" s="120" t="str">
        <f>RIGHT(CSTABLE[[#This Row],[NomeNCM]],8)</f>
        <v>09024000</v>
      </c>
      <c r="B883" s="7" t="s">
        <v>4082</v>
      </c>
      <c r="C883" s="3" t="str">
        <f>IFERROR(VLOOKUP(B883,ST!C:D,2,0),"NÃOST")</f>
        <v>NÃOST</v>
      </c>
      <c r="E883" s="3" t="str">
        <f>IF(COUNTIF(ISENÇÕES!A:A,CST!B883)&gt;0,"ISENÇÃO","SEM ISENÇÃO")</f>
        <v>SEM ISENÇÃO</v>
      </c>
      <c r="F883" s="18" t="str">
        <f>IF(COUNTIF(REDUÇÕES!A:A,CST!B883)&gt;0,"REDUÇÃO","NÃO REDUÇÃO")</f>
        <v>NÃO REDUÇÃO</v>
      </c>
      <c r="G883" s="27">
        <f t="shared" si="14"/>
        <v>0</v>
      </c>
    </row>
    <row r="884" spans="1:7" x14ac:dyDescent="0.25">
      <c r="A884" s="120" t="str">
        <f>RIGHT(CSTABLE[[#This Row],[NomeNCM]],8)</f>
        <v>54041990</v>
      </c>
      <c r="B884" s="7" t="s">
        <v>4083</v>
      </c>
      <c r="C884" s="3" t="str">
        <f>IFERROR(VLOOKUP(B884,ST!C:D,2,0),"NÃOST")</f>
        <v>NÃOST</v>
      </c>
      <c r="E884" s="3" t="str">
        <f>IF(COUNTIF(ISENÇÕES!A:A,CST!B884)&gt;0,"ISENÇÃO","SEM ISENÇÃO")</f>
        <v>SEM ISENÇÃO</v>
      </c>
      <c r="F884" s="18" t="str">
        <f>IF(COUNTIF(REDUÇÕES!A:A,CST!B884)&gt;0,"REDUÇÃO","NÃO REDUÇÃO")</f>
        <v>NÃO REDUÇÃO</v>
      </c>
      <c r="G884" s="27">
        <f t="shared" si="14"/>
        <v>0</v>
      </c>
    </row>
    <row r="885" spans="1:7" x14ac:dyDescent="0.25">
      <c r="A885" s="120" t="str">
        <f>RIGHT(CSTABLE[[#This Row],[NomeNCM]],8)</f>
        <v>85167910</v>
      </c>
      <c r="B885" s="7" t="s">
        <v>4084</v>
      </c>
      <c r="C885" s="3" t="str">
        <f>IFERROR(VLOOKUP(B885,ST!C:D,2,0),"NÃOST")</f>
        <v>NÃOST</v>
      </c>
      <c r="E885" s="3" t="str">
        <f>IF(COUNTIF(ISENÇÕES!A:A,CST!B885)&gt;0,"ISENÇÃO","SEM ISENÇÃO")</f>
        <v>SEM ISENÇÃO</v>
      </c>
      <c r="F885" s="18" t="str">
        <f>IF(COUNTIF(REDUÇÕES!A:A,CST!B885)&gt;0,"REDUÇÃO","NÃO REDUÇÃO")</f>
        <v>NÃO REDUÇÃO</v>
      </c>
      <c r="G885" s="27">
        <f t="shared" si="14"/>
        <v>0</v>
      </c>
    </row>
    <row r="886" spans="1:7" x14ac:dyDescent="0.25">
      <c r="A886" s="120" t="str">
        <f>RIGHT(CSTABLE[[#This Row],[NomeNCM]],8)</f>
        <v>12343212</v>
      </c>
      <c r="B886" s="7" t="s">
        <v>4085</v>
      </c>
      <c r="C886" s="3" t="str">
        <f>IFERROR(VLOOKUP(B886,ST!C:D,2,0),"NÃOST")</f>
        <v>NÃOST</v>
      </c>
      <c r="E886" s="3" t="str">
        <f>IF(COUNTIF(ISENÇÕES!A:A,CST!B886)&gt;0,"ISENÇÃO","SEM ISENÇÃO")</f>
        <v>SEM ISENÇÃO</v>
      </c>
      <c r="F886" s="18" t="str">
        <f>IF(COUNTIF(REDUÇÕES!A:A,CST!B886)&gt;0,"REDUÇÃO","NÃO REDUÇÃO")</f>
        <v>NÃO REDUÇÃO</v>
      </c>
      <c r="G886" s="27">
        <f t="shared" si="14"/>
        <v>0</v>
      </c>
    </row>
    <row r="887" spans="1:7" x14ac:dyDescent="0.25">
      <c r="A887" s="120" t="str">
        <f>RIGHT(CSTABLE[[#This Row],[NomeNCM]],8)</f>
        <v>39100021</v>
      </c>
      <c r="B887" s="7" t="s">
        <v>4086</v>
      </c>
      <c r="C887" s="3" t="str">
        <f>IFERROR(VLOOKUP(B887,ST!C:D,2,0),"NÃOST")</f>
        <v>NÃOST</v>
      </c>
      <c r="E887" s="3" t="str">
        <f>IF(COUNTIF(ISENÇÕES!A:A,CST!B887)&gt;0,"ISENÇÃO","SEM ISENÇÃO")</f>
        <v>SEM ISENÇÃO</v>
      </c>
      <c r="F887" s="18" t="str">
        <f>IF(COUNTIF(REDUÇÕES!A:A,CST!B887)&gt;0,"REDUÇÃO","NÃO REDUÇÃO")</f>
        <v>NÃO REDUÇÃO</v>
      </c>
      <c r="G887" s="27">
        <f t="shared" si="14"/>
        <v>0</v>
      </c>
    </row>
    <row r="888" spans="1:7" x14ac:dyDescent="0.25">
      <c r="A888" s="120" t="str">
        <f>RIGHT(CSTABLE[[#This Row],[NomeNCM]],8)</f>
        <v>64041100</v>
      </c>
      <c r="B888" s="7" t="s">
        <v>4087</v>
      </c>
      <c r="C888" s="3" t="str">
        <f>IFERROR(VLOOKUP(B888,ST!C:D,2,0),"NÃOST")</f>
        <v>NÃOST</v>
      </c>
      <c r="E888" s="3" t="str">
        <f>IF(COUNTIF(ISENÇÕES!A:A,CST!B888)&gt;0,"ISENÇÃO","SEM ISENÇÃO")</f>
        <v>SEM ISENÇÃO</v>
      </c>
      <c r="F888" s="18" t="str">
        <f>IF(COUNTIF(REDUÇÕES!A:A,CST!B888)&gt;0,"REDUÇÃO","NÃO REDUÇÃO")</f>
        <v>NÃO REDUÇÃO</v>
      </c>
      <c r="G888" s="27">
        <f t="shared" si="14"/>
        <v>0</v>
      </c>
    </row>
    <row r="889" spans="1:7" x14ac:dyDescent="0.25">
      <c r="A889" s="120" t="str">
        <f>RIGHT(CSTABLE[[#This Row],[NomeNCM]],8)</f>
        <v>60062100</v>
      </c>
      <c r="B889" s="7" t="s">
        <v>4088</v>
      </c>
      <c r="C889" s="3" t="str">
        <f>IFERROR(VLOOKUP(B889,ST!C:D,2,0),"NÃOST")</f>
        <v>NÃOST</v>
      </c>
      <c r="E889" s="3" t="str">
        <f>IF(COUNTIF(ISENÇÕES!A:A,CST!B889)&gt;0,"ISENÇÃO","SEM ISENÇÃO")</f>
        <v>SEM ISENÇÃO</v>
      </c>
      <c r="F889" s="18" t="str">
        <f>IF(COUNTIF(REDUÇÕES!A:A,CST!B889)&gt;0,"REDUÇÃO","NÃO REDUÇÃO")</f>
        <v>NÃO REDUÇÃO</v>
      </c>
      <c r="G889" s="27">
        <f t="shared" si="14"/>
        <v>0</v>
      </c>
    </row>
    <row r="890" spans="1:7" x14ac:dyDescent="0.25">
      <c r="A890" s="120" t="str">
        <f>RIGHT(CSTABLE[[#This Row],[NomeNCM]],8)</f>
        <v>02072700</v>
      </c>
      <c r="B890" s="7" t="s">
        <v>3091</v>
      </c>
      <c r="C890" s="3" t="str">
        <f>IFERROR(VLOOKUP(B890,ST!C:D,2,0),"NÃOST")</f>
        <v>NÃOST</v>
      </c>
      <c r="E890" s="3" t="str">
        <f>IF(COUNTIF(ISENÇÕES!A:A,CST!B890)&gt;0,"ISENÇÃO","SEM ISENÇÃO")</f>
        <v>SEM ISENÇÃO</v>
      </c>
      <c r="F890" s="18" t="str">
        <f>IF(COUNTIF(REDUÇÕES!A:A,CST!B890)&gt;0,"REDUÇÃO","NÃO REDUÇÃO")</f>
        <v>NÃO REDUÇÃO</v>
      </c>
      <c r="G890" s="27">
        <f t="shared" si="14"/>
        <v>0</v>
      </c>
    </row>
    <row r="891" spans="1:7" x14ac:dyDescent="0.25">
      <c r="A891" s="120" t="str">
        <f>RIGHT(CSTABLE[[#This Row],[NomeNCM]],8)</f>
        <v>35079026</v>
      </c>
      <c r="B891" s="7" t="s">
        <v>4089</v>
      </c>
      <c r="C891" s="3" t="str">
        <f>IFERROR(VLOOKUP(B891,ST!C:D,2,0),"NÃOST")</f>
        <v>NÃOST</v>
      </c>
      <c r="E891" s="3" t="str">
        <f>IF(COUNTIF(ISENÇÕES!A:A,CST!B891)&gt;0,"ISENÇÃO","SEM ISENÇÃO")</f>
        <v>SEM ISENÇÃO</v>
      </c>
      <c r="F891" s="18" t="str">
        <f>IF(COUNTIF(REDUÇÕES!A:A,CST!B891)&gt;0,"REDUÇÃO","NÃO REDUÇÃO")</f>
        <v>NÃO REDUÇÃO</v>
      </c>
      <c r="G891" s="27">
        <f t="shared" si="14"/>
        <v>0</v>
      </c>
    </row>
    <row r="892" spans="1:7" x14ac:dyDescent="0.25">
      <c r="A892" s="120" t="str">
        <f>RIGHT(CSTABLE[[#This Row],[NomeNCM]],8)</f>
        <v>21031090</v>
      </c>
      <c r="B892" s="7" t="s">
        <v>4090</v>
      </c>
      <c r="C892" s="3" t="str">
        <f>IFERROR(VLOOKUP(B892,ST!C:D,2,0),"NÃOST")</f>
        <v>NÃOST</v>
      </c>
      <c r="E892" s="3" t="str">
        <f>IF(COUNTIF(ISENÇÕES!A:A,CST!B892)&gt;0,"ISENÇÃO","SEM ISENÇÃO")</f>
        <v>SEM ISENÇÃO</v>
      </c>
      <c r="F892" s="18" t="str">
        <f>IF(COUNTIF(REDUÇÕES!A:A,CST!B892)&gt;0,"REDUÇÃO","NÃO REDUÇÃO")</f>
        <v>NÃO REDUÇÃO</v>
      </c>
      <c r="G892" s="27">
        <f t="shared" si="14"/>
        <v>0</v>
      </c>
    </row>
    <row r="893" spans="1:7" x14ac:dyDescent="0.25">
      <c r="A893" s="120" t="str">
        <f>RIGHT(CSTABLE[[#This Row],[NomeNCM]],8)</f>
        <v>64035190</v>
      </c>
      <c r="B893" s="7" t="s">
        <v>4091</v>
      </c>
      <c r="C893" s="3" t="str">
        <f>IFERROR(VLOOKUP(B893,ST!C:D,2,0),"NÃOST")</f>
        <v>NÃOST</v>
      </c>
      <c r="E893" s="3" t="str">
        <f>IF(COUNTIF(ISENÇÕES!A:A,CST!B893)&gt;0,"ISENÇÃO","SEM ISENÇÃO")</f>
        <v>SEM ISENÇÃO</v>
      </c>
      <c r="F893" s="18" t="str">
        <f>IF(COUNTIF(REDUÇÕES!A:A,CST!B893)&gt;0,"REDUÇÃO","NÃO REDUÇÃO")</f>
        <v>NÃO REDUÇÃO</v>
      </c>
      <c r="G893" s="27">
        <f t="shared" si="14"/>
        <v>0</v>
      </c>
    </row>
    <row r="894" spans="1:7" x14ac:dyDescent="0.25">
      <c r="A894" s="120" t="str">
        <f>RIGHT(CSTABLE[[#This Row],[NomeNCM]],8)</f>
        <v>84733099</v>
      </c>
      <c r="B894" s="7" t="s">
        <v>2001</v>
      </c>
      <c r="C894" s="3" t="str">
        <f>IFERROR(VLOOKUP(B894,ST!C:D,2,0),"NÃOST")</f>
        <v>NÃOST</v>
      </c>
      <c r="E894" s="3" t="str">
        <f>IF(COUNTIF(ISENÇÕES!A:A,CST!B894)&gt;0,"ISENÇÃO","SEM ISENÇÃO")</f>
        <v>SEM ISENÇÃO</v>
      </c>
      <c r="F894" s="18" t="str">
        <f>IF(COUNTIF(REDUÇÕES!A:A,CST!B894)&gt;0,"REDUÇÃO","NÃO REDUÇÃO")</f>
        <v>REDUÇÃO</v>
      </c>
      <c r="G894" s="27">
        <f t="shared" si="14"/>
        <v>20</v>
      </c>
    </row>
    <row r="895" spans="1:7" x14ac:dyDescent="0.25">
      <c r="A895" s="120" t="str">
        <f>RIGHT(CSTABLE[[#This Row],[NomeNCM]],8)</f>
        <v>82151000</v>
      </c>
      <c r="B895" s="7" t="s">
        <v>4092</v>
      </c>
      <c r="C895" s="3" t="str">
        <f>IFERROR(VLOOKUP(B895,ST!C:D,2,0),"NÃOST")</f>
        <v>NÃOST</v>
      </c>
      <c r="E895" s="3" t="str">
        <f>IF(COUNTIF(ISENÇÕES!A:A,CST!B895)&gt;0,"ISENÇÃO","SEM ISENÇÃO")</f>
        <v>SEM ISENÇÃO</v>
      </c>
      <c r="F895" s="18" t="str">
        <f>IF(COUNTIF(REDUÇÕES!A:A,CST!B895)&gt;0,"REDUÇÃO","NÃO REDUÇÃO")</f>
        <v>NÃO REDUÇÃO</v>
      </c>
      <c r="G895" s="27">
        <f t="shared" si="14"/>
        <v>0</v>
      </c>
    </row>
    <row r="896" spans="1:7" x14ac:dyDescent="0.25">
      <c r="A896" s="120" t="str">
        <f>RIGHT(CSTABLE[[#This Row],[NomeNCM]],8)</f>
        <v>38089198</v>
      </c>
      <c r="B896" s="7" t="s">
        <v>4093</v>
      </c>
      <c r="C896" s="3" t="str">
        <f>IFERROR(VLOOKUP(B896,ST!C:D,2,0),"NÃOST")</f>
        <v>NÃOST</v>
      </c>
      <c r="E896" s="3" t="str">
        <f>IF(COUNTIF(ISENÇÕES!A:A,CST!B896)&gt;0,"ISENÇÃO","SEM ISENÇÃO")</f>
        <v>SEM ISENÇÃO</v>
      </c>
      <c r="F896" s="18" t="str">
        <f>IF(COUNTIF(REDUÇÕES!A:A,CST!B896)&gt;0,"REDUÇÃO","NÃO REDUÇÃO")</f>
        <v>NÃO REDUÇÃO</v>
      </c>
      <c r="G896" s="27">
        <f t="shared" si="14"/>
        <v>0</v>
      </c>
    </row>
    <row r="897" spans="1:7" x14ac:dyDescent="0.25">
      <c r="A897" s="120" t="str">
        <f>RIGHT(CSTABLE[[#This Row],[NomeNCM]],8)</f>
        <v>82100010</v>
      </c>
      <c r="B897" s="7" t="s">
        <v>4094</v>
      </c>
      <c r="C897" s="3" t="str">
        <f>IFERROR(VLOOKUP(B897,ST!C:D,2,0),"NÃOST")</f>
        <v>NÃOST</v>
      </c>
      <c r="E897" s="3" t="str">
        <f>IF(COUNTIF(ISENÇÕES!A:A,CST!B897)&gt;0,"ISENÇÃO","SEM ISENÇÃO")</f>
        <v>SEM ISENÇÃO</v>
      </c>
      <c r="F897" s="18" t="str">
        <f>IF(COUNTIF(REDUÇÕES!A:A,CST!B897)&gt;0,"REDUÇÃO","NÃO REDUÇÃO")</f>
        <v>NÃO REDUÇÃO</v>
      </c>
      <c r="G897" s="27">
        <f t="shared" si="14"/>
        <v>0</v>
      </c>
    </row>
    <row r="898" spans="1:7" x14ac:dyDescent="0.25">
      <c r="A898" s="120" t="str">
        <f>RIGHT(CSTABLE[[#This Row],[NomeNCM]],8)</f>
        <v>83014000</v>
      </c>
      <c r="B898" s="7" t="s">
        <v>4095</v>
      </c>
      <c r="C898" s="3" t="str">
        <f>IFERROR(VLOOKUP(B898,ST!C:D,2,0),"NÃOST")</f>
        <v>NÃOST</v>
      </c>
      <c r="E898" s="3" t="str">
        <f>IF(COUNTIF(ISENÇÕES!A:A,CST!B898)&gt;0,"ISENÇÃO","SEM ISENÇÃO")</f>
        <v>SEM ISENÇÃO</v>
      </c>
      <c r="F898" s="18" t="str">
        <f>IF(COUNTIF(REDUÇÕES!A:A,CST!B898)&gt;0,"REDUÇÃO","NÃO REDUÇÃO")</f>
        <v>NÃO REDUÇÃO</v>
      </c>
      <c r="G898" s="27">
        <f t="shared" si="14"/>
        <v>0</v>
      </c>
    </row>
    <row r="899" spans="1:7" x14ac:dyDescent="0.25">
      <c r="A899" s="120" t="str">
        <f>RIGHT(CSTABLE[[#This Row],[NomeNCM]],8)</f>
        <v>59090000</v>
      </c>
      <c r="B899" s="7" t="s">
        <v>4096</v>
      </c>
      <c r="C899" s="3" t="str">
        <f>IFERROR(VLOOKUP(B899,ST!C:D,2,0),"NÃOST")</f>
        <v>NÃOST</v>
      </c>
      <c r="E899" s="3" t="str">
        <f>IF(COUNTIF(ISENÇÕES!A:A,CST!B899)&gt;0,"ISENÇÃO","SEM ISENÇÃO")</f>
        <v>SEM ISENÇÃO</v>
      </c>
      <c r="F899" s="18" t="str">
        <f>IF(COUNTIF(REDUÇÕES!A:A,CST!B899)&gt;0,"REDUÇÃO","NÃO REDUÇÃO")</f>
        <v>NÃO REDUÇÃO</v>
      </c>
      <c r="G899" s="27">
        <f t="shared" si="14"/>
        <v>0</v>
      </c>
    </row>
    <row r="900" spans="1:7" x14ac:dyDescent="0.25">
      <c r="A900" s="120" t="str">
        <f>RIGHT(CSTABLE[[#This Row],[NomeNCM]],8)</f>
        <v>21050090</v>
      </c>
      <c r="B900" s="7" t="s">
        <v>4097</v>
      </c>
      <c r="C900" s="3" t="str">
        <f>IFERROR(VLOOKUP(B900,ST!C:D,2,0),"NÃOST")</f>
        <v>ST</v>
      </c>
      <c r="E900" s="3" t="str">
        <f>IF(COUNTIF(ISENÇÕES!A:A,CST!B900)&gt;0,"ISENÇÃO","SEM ISENÇÃO")</f>
        <v>SEM ISENÇÃO</v>
      </c>
      <c r="F900" s="18" t="str">
        <f>IF(COUNTIF(REDUÇÕES!A:A,CST!B900)&gt;0,"REDUÇÃO","NÃO REDUÇÃO")</f>
        <v>NÃO REDUÇÃO</v>
      </c>
      <c r="G900" s="27">
        <f t="shared" si="14"/>
        <v>60</v>
      </c>
    </row>
    <row r="901" spans="1:7" x14ac:dyDescent="0.25">
      <c r="A901" s="120" t="str">
        <f>RIGHT(CSTABLE[[#This Row],[NomeNCM]],8)</f>
        <v>84099929</v>
      </c>
      <c r="B901" s="7" t="s">
        <v>4098</v>
      </c>
      <c r="C901" s="3" t="str">
        <f>IFERROR(VLOOKUP(B901,ST!C:D,2,0),"NÃOST")</f>
        <v>NÃOST</v>
      </c>
      <c r="E901" s="3" t="str">
        <f>IF(COUNTIF(ISENÇÕES!A:A,CST!B901)&gt;0,"ISENÇÃO","SEM ISENÇÃO")</f>
        <v>SEM ISENÇÃO</v>
      </c>
      <c r="F901" s="18" t="str">
        <f>IF(COUNTIF(REDUÇÕES!A:A,CST!B901)&gt;0,"REDUÇÃO","NÃO REDUÇÃO")</f>
        <v>NÃO REDUÇÃO</v>
      </c>
      <c r="G901" s="27">
        <f t="shared" si="14"/>
        <v>0</v>
      </c>
    </row>
    <row r="902" spans="1:7" x14ac:dyDescent="0.25">
      <c r="A902" s="120" t="str">
        <f>RIGHT(CSTABLE[[#This Row],[NomeNCM]],8)</f>
        <v>21032000</v>
      </c>
      <c r="B902" s="7" t="s">
        <v>4099</v>
      </c>
      <c r="C902" s="3" t="str">
        <f>IFERROR(VLOOKUP(B902,ST!C:D,2,0),"NÃOST")</f>
        <v>NÃOST</v>
      </c>
      <c r="E902" s="3" t="str">
        <f>IF(COUNTIF(ISENÇÕES!A:A,CST!B902)&gt;0,"ISENÇÃO","SEM ISENÇÃO")</f>
        <v>SEM ISENÇÃO</v>
      </c>
      <c r="F902" s="18" t="str">
        <f>IF(COUNTIF(REDUÇÕES!A:A,CST!B902)&gt;0,"REDUÇÃO","NÃO REDUÇÃO")</f>
        <v>NÃO REDUÇÃO</v>
      </c>
      <c r="G902" s="27">
        <f t="shared" si="14"/>
        <v>0</v>
      </c>
    </row>
    <row r="903" spans="1:7" x14ac:dyDescent="0.25">
      <c r="A903" s="120" t="str">
        <f>RIGHT(CSTABLE[[#This Row],[NomeNCM]],8)</f>
        <v>15850060</v>
      </c>
      <c r="B903" s="7" t="s">
        <v>4100</v>
      </c>
      <c r="C903" s="3" t="str">
        <f>IFERROR(VLOOKUP(B903,ST!C:D,2,0),"NÃOST")</f>
        <v>NÃOST</v>
      </c>
      <c r="E903" s="3" t="str">
        <f>IF(COUNTIF(ISENÇÕES!A:A,CST!B903)&gt;0,"ISENÇÃO","SEM ISENÇÃO")</f>
        <v>SEM ISENÇÃO</v>
      </c>
      <c r="F903" s="18" t="str">
        <f>IF(COUNTIF(REDUÇÕES!A:A,CST!B903)&gt;0,"REDUÇÃO","NÃO REDUÇÃO")</f>
        <v>NÃO REDUÇÃO</v>
      </c>
      <c r="G903" s="27">
        <f t="shared" si="14"/>
        <v>0</v>
      </c>
    </row>
    <row r="904" spans="1:7" x14ac:dyDescent="0.25">
      <c r="A904" s="120" t="str">
        <f>RIGHT(CSTABLE[[#This Row],[NomeNCM]],8)</f>
        <v>73219000</v>
      </c>
      <c r="B904" s="7" t="s">
        <v>4101</v>
      </c>
      <c r="C904" s="3" t="str">
        <f>IFERROR(VLOOKUP(B904,ST!C:D,2,0),"NÃOST")</f>
        <v>NÃOST</v>
      </c>
      <c r="E904" s="3" t="str">
        <f>IF(COUNTIF(ISENÇÕES!A:A,CST!B904)&gt;0,"ISENÇÃO","SEM ISENÇÃO")</f>
        <v>SEM ISENÇÃO</v>
      </c>
      <c r="F904" s="18" t="str">
        <f>IF(COUNTIF(REDUÇÕES!A:A,CST!B904)&gt;0,"REDUÇÃO","NÃO REDUÇÃO")</f>
        <v>NÃO REDUÇÃO</v>
      </c>
      <c r="G904" s="27">
        <f t="shared" si="14"/>
        <v>0</v>
      </c>
    </row>
    <row r="905" spans="1:7" x14ac:dyDescent="0.25">
      <c r="A905" s="120" t="str">
        <f>RIGHT(CSTABLE[[#This Row],[NomeNCM]],8)</f>
        <v>08091000</v>
      </c>
      <c r="B905" s="7" t="s">
        <v>4102</v>
      </c>
      <c r="C905" s="3" t="str">
        <f>IFERROR(VLOOKUP(B905,ST!C:D,2,0),"NÃOST")</f>
        <v>NÃOST</v>
      </c>
      <c r="E905" s="3" t="str">
        <f>IF(COUNTIF(ISENÇÕES!A:A,CST!B905)&gt;0,"ISENÇÃO","SEM ISENÇÃO")</f>
        <v>ISENÇÃO</v>
      </c>
      <c r="F905" s="18" t="str">
        <f>IF(COUNTIF(REDUÇÕES!A:A,CST!B905)&gt;0,"REDUÇÃO","NÃO REDUÇÃO")</f>
        <v>NÃO REDUÇÃO</v>
      </c>
      <c r="G905" s="27">
        <f t="shared" si="14"/>
        <v>40</v>
      </c>
    </row>
    <row r="906" spans="1:7" x14ac:dyDescent="0.25">
      <c r="A906" s="120" t="str">
        <f>RIGHT(CSTABLE[[#This Row],[NomeNCM]],8)</f>
        <v>79012090</v>
      </c>
      <c r="B906" s="7" t="s">
        <v>4103</v>
      </c>
      <c r="C906" s="3" t="str">
        <f>IFERROR(VLOOKUP(B906,ST!C:D,2,0),"NÃOST")</f>
        <v>NÃOST</v>
      </c>
      <c r="E906" s="3" t="str">
        <f>IF(COUNTIF(ISENÇÕES!A:A,CST!B906)&gt;0,"ISENÇÃO","SEM ISENÇÃO")</f>
        <v>SEM ISENÇÃO</v>
      </c>
      <c r="F906" s="18" t="str">
        <f>IF(COUNTIF(REDUÇÕES!A:A,CST!B906)&gt;0,"REDUÇÃO","NÃO REDUÇÃO")</f>
        <v>NÃO REDUÇÃO</v>
      </c>
      <c r="G906" s="27">
        <f t="shared" si="14"/>
        <v>0</v>
      </c>
    </row>
    <row r="907" spans="1:7" x14ac:dyDescent="0.25">
      <c r="A907" s="120" t="str">
        <f>RIGHT(CSTABLE[[#This Row],[NomeNCM]],8)</f>
        <v>84248111</v>
      </c>
      <c r="B907" s="7" t="s">
        <v>4104</v>
      </c>
      <c r="C907" s="3" t="str">
        <f>IFERROR(VLOOKUP(B907,ST!C:D,2,0),"NÃOST")</f>
        <v>NÃOST</v>
      </c>
      <c r="E907" s="3" t="str">
        <f>IF(COUNTIF(ISENÇÕES!A:A,CST!B907)&gt;0,"ISENÇÃO","SEM ISENÇÃO")</f>
        <v>SEM ISENÇÃO</v>
      </c>
      <c r="F907" s="18" t="str">
        <f>IF(COUNTIF(REDUÇÕES!A:A,CST!B907)&gt;0,"REDUÇÃO","NÃO REDUÇÃO")</f>
        <v>NÃO REDUÇÃO</v>
      </c>
      <c r="G907" s="27">
        <f t="shared" si="14"/>
        <v>0</v>
      </c>
    </row>
    <row r="908" spans="1:7" x14ac:dyDescent="0.25">
      <c r="A908" s="120" t="str">
        <f>RIGHT(CSTABLE[[#This Row],[NomeNCM]],8)</f>
        <v>85234110</v>
      </c>
      <c r="B908" s="7" t="s">
        <v>4105</v>
      </c>
      <c r="C908" s="3" t="str">
        <f>IFERROR(VLOOKUP(B908,ST!C:D,2,0),"NÃOST")</f>
        <v>NÃOST</v>
      </c>
      <c r="E908" s="3" t="str">
        <f>IF(COUNTIF(ISENÇÕES!A:A,CST!B908)&gt;0,"ISENÇÃO","SEM ISENÇÃO")</f>
        <v>SEM ISENÇÃO</v>
      </c>
      <c r="F908" s="18" t="str">
        <f>IF(COUNTIF(REDUÇÕES!A:A,CST!B908)&gt;0,"REDUÇÃO","NÃO REDUÇÃO")</f>
        <v>NÃO REDUÇÃO</v>
      </c>
      <c r="G908" s="27">
        <f t="shared" si="14"/>
        <v>0</v>
      </c>
    </row>
    <row r="909" spans="1:7" x14ac:dyDescent="0.25">
      <c r="A909" s="120" t="str">
        <f>RIGHT(CSTABLE[[#This Row],[NomeNCM]],8)</f>
        <v>48184010</v>
      </c>
      <c r="B909" s="7" t="s">
        <v>4106</v>
      </c>
      <c r="C909" s="3" t="str">
        <f>IFERROR(VLOOKUP(B909,ST!C:D,2,0),"NÃOST")</f>
        <v>NÃOST</v>
      </c>
      <c r="E909" s="3" t="str">
        <f>IF(COUNTIF(ISENÇÕES!A:A,CST!B909)&gt;0,"ISENÇÃO","SEM ISENÇÃO")</f>
        <v>SEM ISENÇÃO</v>
      </c>
      <c r="F909" s="18" t="str">
        <f>IF(COUNTIF(REDUÇÕES!A:A,CST!B909)&gt;0,"REDUÇÃO","NÃO REDUÇÃO")</f>
        <v>NÃO REDUÇÃO</v>
      </c>
      <c r="G909" s="27">
        <f t="shared" si="14"/>
        <v>0</v>
      </c>
    </row>
    <row r="910" spans="1:7" x14ac:dyDescent="0.25">
      <c r="A910" s="120" t="str">
        <f>RIGHT(CSTABLE[[#This Row],[NomeNCM]],8)</f>
        <v>85479000</v>
      </c>
      <c r="B910" s="7" t="s">
        <v>4107</v>
      </c>
      <c r="C910" s="3" t="str">
        <f>IFERROR(VLOOKUP(B910,ST!C:D,2,0),"NÃOST")</f>
        <v>NÃOST</v>
      </c>
      <c r="E910" s="3" t="str">
        <f>IF(COUNTIF(ISENÇÕES!A:A,CST!B910)&gt;0,"ISENÇÃO","SEM ISENÇÃO")</f>
        <v>SEM ISENÇÃO</v>
      </c>
      <c r="F910" s="18" t="str">
        <f>IF(COUNTIF(REDUÇÕES!A:A,CST!B910)&gt;0,"REDUÇÃO","NÃO REDUÇÃO")</f>
        <v>NÃO REDUÇÃO</v>
      </c>
      <c r="G910" s="27">
        <f t="shared" si="14"/>
        <v>0</v>
      </c>
    </row>
    <row r="911" spans="1:7" x14ac:dyDescent="0.25">
      <c r="A911" s="120" t="str">
        <f>RIGHT(CSTABLE[[#This Row],[NomeNCM]],8)</f>
        <v>85163200</v>
      </c>
      <c r="B911" s="7" t="s">
        <v>4108</v>
      </c>
      <c r="C911" s="3" t="str">
        <f>IFERROR(VLOOKUP(B911,ST!C:D,2,0),"NÃOST")</f>
        <v>NÃOST</v>
      </c>
      <c r="E911" s="3" t="str">
        <f>IF(COUNTIF(ISENÇÕES!A:A,CST!B911)&gt;0,"ISENÇÃO","SEM ISENÇÃO")</f>
        <v>SEM ISENÇÃO</v>
      </c>
      <c r="F911" s="18" t="str">
        <f>IF(COUNTIF(REDUÇÕES!A:A,CST!B911)&gt;0,"REDUÇÃO","NÃO REDUÇÃO")</f>
        <v>NÃO REDUÇÃO</v>
      </c>
      <c r="G911" s="27">
        <f t="shared" ref="G911:G974" si="15">VLOOKUP(C911&amp;F911&amp;E911,$B$3:$F$10,5,0)</f>
        <v>0</v>
      </c>
    </row>
    <row r="912" spans="1:7" x14ac:dyDescent="0.25">
      <c r="A912" s="120" t="str">
        <f>RIGHT(CSTABLE[[#This Row],[NomeNCM]],8)</f>
        <v>01012900</v>
      </c>
      <c r="B912" s="7" t="s">
        <v>4109</v>
      </c>
      <c r="C912" s="3" t="str">
        <f>IFERROR(VLOOKUP(B912,ST!C:D,2,0),"NÃOST")</f>
        <v>NÃOST</v>
      </c>
      <c r="E912" s="3" t="str">
        <f>IF(COUNTIF(ISENÇÕES!A:A,CST!B912)&gt;0,"ISENÇÃO","SEM ISENÇÃO")</f>
        <v>SEM ISENÇÃO</v>
      </c>
      <c r="F912" s="18" t="str">
        <f>IF(COUNTIF(REDUÇÕES!A:A,CST!B912)&gt;0,"REDUÇÃO","NÃO REDUÇÃO")</f>
        <v>NÃO REDUÇÃO</v>
      </c>
      <c r="G912" s="27">
        <f t="shared" si="15"/>
        <v>0</v>
      </c>
    </row>
    <row r="913" spans="1:7" x14ac:dyDescent="0.25">
      <c r="A913" s="120" t="str">
        <f>RIGHT(CSTABLE[[#This Row],[NomeNCM]],8)</f>
        <v>39262000</v>
      </c>
      <c r="B913" s="7" t="s">
        <v>4110</v>
      </c>
      <c r="C913" s="3" t="str">
        <f>IFERROR(VLOOKUP(B913,ST!C:D,2,0),"NÃOST")</f>
        <v>NÃOST</v>
      </c>
      <c r="E913" s="3" t="str">
        <f>IF(COUNTIF(ISENÇÕES!A:A,CST!B913)&gt;0,"ISENÇÃO","SEM ISENÇÃO")</f>
        <v>SEM ISENÇÃO</v>
      </c>
      <c r="F913" s="18" t="str">
        <f>IF(COUNTIF(REDUÇÕES!A:A,CST!B913)&gt;0,"REDUÇÃO","NÃO REDUÇÃO")</f>
        <v>NÃO REDUÇÃO</v>
      </c>
      <c r="G913" s="27">
        <f t="shared" si="15"/>
        <v>0</v>
      </c>
    </row>
    <row r="914" spans="1:7" x14ac:dyDescent="0.25">
      <c r="A914" s="120" t="str">
        <f>RIGHT(CSTABLE[[#This Row],[NomeNCM]],8)</f>
        <v>23080000</v>
      </c>
      <c r="B914" s="7" t="s">
        <v>4111</v>
      </c>
      <c r="C914" s="3" t="str">
        <f>IFERROR(VLOOKUP(B914,ST!C:D,2,0),"NÃOST")</f>
        <v>NÃOST</v>
      </c>
      <c r="E914" s="3" t="str">
        <f>IF(COUNTIF(ISENÇÕES!A:A,CST!B914)&gt;0,"ISENÇÃO","SEM ISENÇÃO")</f>
        <v>SEM ISENÇÃO</v>
      </c>
      <c r="F914" s="18" t="str">
        <f>IF(COUNTIF(REDUÇÕES!A:A,CST!B914)&gt;0,"REDUÇÃO","NÃO REDUÇÃO")</f>
        <v>NÃO REDUÇÃO</v>
      </c>
      <c r="G914" s="27">
        <f t="shared" si="15"/>
        <v>0</v>
      </c>
    </row>
    <row r="915" spans="1:7" x14ac:dyDescent="0.25">
      <c r="A915" s="120" t="str">
        <f>RIGHT(CSTABLE[[#This Row],[NomeNCM]],8)</f>
        <v>64051010</v>
      </c>
      <c r="B915" s="7" t="s">
        <v>4112</v>
      </c>
      <c r="C915" s="3" t="str">
        <f>IFERROR(VLOOKUP(B915,ST!C:D,2,0),"NÃOST")</f>
        <v>NÃOST</v>
      </c>
      <c r="E915" s="3" t="str">
        <f>IF(COUNTIF(ISENÇÕES!A:A,CST!B915)&gt;0,"ISENÇÃO","SEM ISENÇÃO")</f>
        <v>SEM ISENÇÃO</v>
      </c>
      <c r="F915" s="18" t="str">
        <f>IF(COUNTIF(REDUÇÕES!A:A,CST!B915)&gt;0,"REDUÇÃO","NÃO REDUÇÃO")</f>
        <v>NÃO REDUÇÃO</v>
      </c>
      <c r="G915" s="27">
        <f t="shared" si="15"/>
        <v>0</v>
      </c>
    </row>
    <row r="916" spans="1:7" x14ac:dyDescent="0.25">
      <c r="A916" s="120" t="str">
        <f>RIGHT(CSTABLE[[#This Row],[NomeNCM]],8)</f>
        <v>32082019</v>
      </c>
      <c r="B916" s="7" t="s">
        <v>4113</v>
      </c>
      <c r="C916" s="3" t="str">
        <f>IFERROR(VLOOKUP(B916,ST!C:D,2,0),"NÃOST")</f>
        <v>ST</v>
      </c>
      <c r="E916" s="3" t="str">
        <f>IF(COUNTIF(ISENÇÕES!A:A,CST!B916)&gt;0,"ISENÇÃO","SEM ISENÇÃO")</f>
        <v>SEM ISENÇÃO</v>
      </c>
      <c r="F916" s="18" t="str">
        <f>IF(COUNTIF(REDUÇÕES!A:A,CST!B916)&gt;0,"REDUÇÃO","NÃO REDUÇÃO")</f>
        <v>NÃO REDUÇÃO</v>
      </c>
      <c r="G916" s="27">
        <f t="shared" si="15"/>
        <v>60</v>
      </c>
    </row>
    <row r="917" spans="1:7" x14ac:dyDescent="0.25">
      <c r="A917" s="120" t="str">
        <f>RIGHT(CSTABLE[[#This Row],[NomeNCM]],8)</f>
        <v>48025799</v>
      </c>
      <c r="B917" s="7" t="s">
        <v>4114</v>
      </c>
      <c r="C917" s="3" t="str">
        <f>IFERROR(VLOOKUP(B917,ST!C:D,2,0),"NÃOST")</f>
        <v>NÃOST</v>
      </c>
      <c r="E917" s="3" t="str">
        <f>IF(COUNTIF(ISENÇÕES!A:A,CST!B917)&gt;0,"ISENÇÃO","SEM ISENÇÃO")</f>
        <v>SEM ISENÇÃO</v>
      </c>
      <c r="F917" s="18" t="str">
        <f>IF(COUNTIF(REDUÇÕES!A:A,CST!B917)&gt;0,"REDUÇÃO","NÃO REDUÇÃO")</f>
        <v>NÃO REDUÇÃO</v>
      </c>
      <c r="G917" s="27">
        <f t="shared" si="15"/>
        <v>0</v>
      </c>
    </row>
    <row r="918" spans="1:7" x14ac:dyDescent="0.25">
      <c r="A918" s="120" t="str">
        <f>RIGHT(CSTABLE[[#This Row],[NomeNCM]],8)</f>
        <v>35022000</v>
      </c>
      <c r="B918" s="7" t="s">
        <v>4115</v>
      </c>
      <c r="C918" s="3" t="str">
        <f>IFERROR(VLOOKUP(B918,ST!C:D,2,0),"NÃOST")</f>
        <v>NÃOST</v>
      </c>
      <c r="E918" s="3" t="str">
        <f>IF(COUNTIF(ISENÇÕES!A:A,CST!B918)&gt;0,"ISENÇÃO","SEM ISENÇÃO")</f>
        <v>SEM ISENÇÃO</v>
      </c>
      <c r="F918" s="18" t="str">
        <f>IF(COUNTIF(REDUÇÕES!A:A,CST!B918)&gt;0,"REDUÇÃO","NÃO REDUÇÃO")</f>
        <v>NÃO REDUÇÃO</v>
      </c>
      <c r="G918" s="27">
        <f t="shared" si="15"/>
        <v>0</v>
      </c>
    </row>
    <row r="919" spans="1:7" x14ac:dyDescent="0.25">
      <c r="A919" s="120" t="str">
        <f>RIGHT(CSTABLE[[#This Row],[NomeNCM]],8)</f>
        <v>56031230</v>
      </c>
      <c r="B919" s="7" t="s">
        <v>4116</v>
      </c>
      <c r="C919" s="3" t="str">
        <f>IFERROR(VLOOKUP(B919,ST!C:D,2,0),"NÃOST")</f>
        <v>NÃOST</v>
      </c>
      <c r="E919" s="3" t="str">
        <f>IF(COUNTIF(ISENÇÕES!A:A,CST!B919)&gt;0,"ISENÇÃO","SEM ISENÇÃO")</f>
        <v>SEM ISENÇÃO</v>
      </c>
      <c r="F919" s="18" t="str">
        <f>IF(COUNTIF(REDUÇÕES!A:A,CST!B919)&gt;0,"REDUÇÃO","NÃO REDUÇÃO")</f>
        <v>NÃO REDUÇÃO</v>
      </c>
      <c r="G919" s="27">
        <f t="shared" si="15"/>
        <v>0</v>
      </c>
    </row>
    <row r="920" spans="1:7" x14ac:dyDescent="0.25">
      <c r="A920" s="120" t="str">
        <f>RIGHT(CSTABLE[[#This Row],[NomeNCM]],8)</f>
        <v>19052000</v>
      </c>
      <c r="B920" s="7" t="s">
        <v>4117</v>
      </c>
      <c r="C920" s="3" t="str">
        <f>IFERROR(VLOOKUP(B920,ST!C:D,2,0),"NÃOST")</f>
        <v>NÃOST</v>
      </c>
      <c r="E920" s="3" t="str">
        <f>IF(COUNTIF(ISENÇÕES!A:A,CST!B920)&gt;0,"ISENÇÃO","SEM ISENÇÃO")</f>
        <v>SEM ISENÇÃO</v>
      </c>
      <c r="F920" s="18" t="str">
        <f>IF(COUNTIF(REDUÇÕES!A:A,CST!B920)&gt;0,"REDUÇÃO","NÃO REDUÇÃO")</f>
        <v>NÃO REDUÇÃO</v>
      </c>
      <c r="G920" s="27">
        <f t="shared" si="15"/>
        <v>0</v>
      </c>
    </row>
    <row r="921" spans="1:7" x14ac:dyDescent="0.25">
      <c r="A921" s="120" t="str">
        <f>RIGHT(CSTABLE[[#This Row],[NomeNCM]],8)</f>
        <v>27111300</v>
      </c>
      <c r="B921" s="7" t="s">
        <v>4118</v>
      </c>
      <c r="C921" s="3" t="str">
        <f>IFERROR(VLOOKUP(B921,ST!C:D,2,0),"NÃOST")</f>
        <v>ST</v>
      </c>
      <c r="E921" s="3" t="str">
        <f>IF(COUNTIF(ISENÇÕES!A:A,CST!B921)&gt;0,"ISENÇÃO","SEM ISENÇÃO")</f>
        <v>SEM ISENÇÃO</v>
      </c>
      <c r="F921" s="18" t="str">
        <f>IF(COUNTIF(REDUÇÕES!A:A,CST!B921)&gt;0,"REDUÇÃO","NÃO REDUÇÃO")</f>
        <v>NÃO REDUÇÃO</v>
      </c>
      <c r="G921" s="27">
        <f t="shared" si="15"/>
        <v>60</v>
      </c>
    </row>
    <row r="922" spans="1:7" x14ac:dyDescent="0.25">
      <c r="A922" s="120" t="str">
        <f>RIGHT(CSTABLE[[#This Row],[NomeNCM]],8)</f>
        <v>07101000</v>
      </c>
      <c r="B922" s="7" t="s">
        <v>3318</v>
      </c>
      <c r="C922" s="3" t="str">
        <f>IFERROR(VLOOKUP(B922,ST!C:D,2,0),"NÃOST")</f>
        <v>NÃOST</v>
      </c>
      <c r="E922" s="3" t="str">
        <f>IF(COUNTIF(ISENÇÕES!A:A,CST!B922)&gt;0,"ISENÇÃO","SEM ISENÇÃO")</f>
        <v>ISENÇÃO</v>
      </c>
      <c r="F922" s="18" t="str">
        <f>IF(COUNTIF(REDUÇÕES!A:A,CST!B922)&gt;0,"REDUÇÃO","NÃO REDUÇÃO")</f>
        <v>NÃO REDUÇÃO</v>
      </c>
      <c r="G922" s="27">
        <f t="shared" si="15"/>
        <v>40</v>
      </c>
    </row>
    <row r="923" spans="1:7" x14ac:dyDescent="0.25">
      <c r="A923" s="120" t="str">
        <f>RIGHT(CSTABLE[[#This Row],[NomeNCM]],8)</f>
        <v>07139090</v>
      </c>
      <c r="B923" s="7" t="s">
        <v>3328</v>
      </c>
      <c r="C923" s="3" t="str">
        <f>IFERROR(VLOOKUP(B923,ST!C:D,2,0),"NÃOST")</f>
        <v>NÃOST</v>
      </c>
      <c r="E923" s="3" t="str">
        <f>IF(COUNTIF(ISENÇÕES!A:A,CST!B923)&gt;0,"ISENÇÃO","SEM ISENÇÃO")</f>
        <v>ISENÇÃO</v>
      </c>
      <c r="F923" s="18" t="str">
        <f>IF(COUNTIF(REDUÇÕES!A:A,CST!B923)&gt;0,"REDUÇÃO","NÃO REDUÇÃO")</f>
        <v>NÃO REDUÇÃO</v>
      </c>
      <c r="G923" s="27">
        <f t="shared" si="15"/>
        <v>40</v>
      </c>
    </row>
    <row r="924" spans="1:7" x14ac:dyDescent="0.25">
      <c r="A924" s="120" t="str">
        <f>RIGHT(CSTABLE[[#This Row],[NomeNCM]],8)</f>
        <v>63025300</v>
      </c>
      <c r="B924" s="7" t="s">
        <v>4119</v>
      </c>
      <c r="C924" s="3" t="str">
        <f>IFERROR(VLOOKUP(B924,ST!C:D,2,0),"NÃOST")</f>
        <v>NÃOST</v>
      </c>
      <c r="E924" s="3" t="str">
        <f>IF(COUNTIF(ISENÇÕES!A:A,CST!B924)&gt;0,"ISENÇÃO","SEM ISENÇÃO")</f>
        <v>SEM ISENÇÃO</v>
      </c>
      <c r="F924" s="18" t="str">
        <f>IF(COUNTIF(REDUÇÕES!A:A,CST!B924)&gt;0,"REDUÇÃO","NÃO REDUÇÃO")</f>
        <v>NÃO REDUÇÃO</v>
      </c>
      <c r="G924" s="27">
        <f t="shared" si="15"/>
        <v>0</v>
      </c>
    </row>
    <row r="925" spans="1:7" x14ac:dyDescent="0.25">
      <c r="A925" s="120" t="str">
        <f>RIGHT(CSTABLE[[#This Row],[NomeNCM]],8)</f>
        <v>48169010</v>
      </c>
      <c r="B925" s="7" t="s">
        <v>4120</v>
      </c>
      <c r="C925" s="3" t="str">
        <f>IFERROR(VLOOKUP(B925,ST!C:D,2,0),"NÃOST")</f>
        <v>NÃOST</v>
      </c>
      <c r="E925" s="3" t="str">
        <f>IF(COUNTIF(ISENÇÕES!A:A,CST!B925)&gt;0,"ISENÇÃO","SEM ISENÇÃO")</f>
        <v>SEM ISENÇÃO</v>
      </c>
      <c r="F925" s="18" t="str">
        <f>IF(COUNTIF(REDUÇÕES!A:A,CST!B925)&gt;0,"REDUÇÃO","NÃO REDUÇÃO")</f>
        <v>NÃO REDUÇÃO</v>
      </c>
      <c r="G925" s="27">
        <f t="shared" si="15"/>
        <v>0</v>
      </c>
    </row>
    <row r="926" spans="1:7" x14ac:dyDescent="0.25">
      <c r="A926" s="120" t="str">
        <f>RIGHT(CSTABLE[[#This Row],[NomeNCM]],8)</f>
        <v>20098000</v>
      </c>
      <c r="B926" s="7" t="s">
        <v>4121</v>
      </c>
      <c r="C926" s="3" t="str">
        <f>IFERROR(VLOOKUP(B926,ST!C:D,2,0),"NÃOST")</f>
        <v>NÃOST</v>
      </c>
      <c r="E926" s="3" t="str">
        <f>IF(COUNTIF(ISENÇÕES!A:A,CST!B926)&gt;0,"ISENÇÃO","SEM ISENÇÃO")</f>
        <v>SEM ISENÇÃO</v>
      </c>
      <c r="F926" s="18" t="str">
        <f>IF(COUNTIF(REDUÇÕES!A:A,CST!B926)&gt;0,"REDUÇÃO","NÃO REDUÇÃO")</f>
        <v>NÃO REDUÇÃO</v>
      </c>
      <c r="G926" s="27">
        <f t="shared" si="15"/>
        <v>0</v>
      </c>
    </row>
    <row r="927" spans="1:7" x14ac:dyDescent="0.25">
      <c r="A927" s="120" t="str">
        <f>RIGHT(CSTABLE[[#This Row],[NomeNCM]],8)</f>
        <v>78060010</v>
      </c>
      <c r="B927" s="7" t="s">
        <v>4122</v>
      </c>
      <c r="C927" s="3" t="str">
        <f>IFERROR(VLOOKUP(B927,ST!C:D,2,0),"NÃOST")</f>
        <v>NÃOST</v>
      </c>
      <c r="E927" s="3" t="str">
        <f>IF(COUNTIF(ISENÇÕES!A:A,CST!B927)&gt;0,"ISENÇÃO","SEM ISENÇÃO")</f>
        <v>SEM ISENÇÃO</v>
      </c>
      <c r="F927" s="18" t="str">
        <f>IF(COUNTIF(REDUÇÕES!A:A,CST!B927)&gt;0,"REDUÇÃO","NÃO REDUÇÃO")</f>
        <v>NÃO REDUÇÃO</v>
      </c>
      <c r="G927" s="27">
        <f t="shared" si="15"/>
        <v>0</v>
      </c>
    </row>
    <row r="928" spans="1:7" x14ac:dyDescent="0.25">
      <c r="A928" s="120" t="str">
        <f>RIGHT(CSTABLE[[#This Row],[NomeNCM]],8)</f>
        <v>08013100</v>
      </c>
      <c r="B928" s="7" t="s">
        <v>3330</v>
      </c>
      <c r="C928" s="3" t="str">
        <f>IFERROR(VLOOKUP(B928,ST!C:D,2,0),"NÃOST")</f>
        <v>NÃOST</v>
      </c>
      <c r="E928" s="3" t="str">
        <f>IF(COUNTIF(ISENÇÕES!A:A,CST!B928)&gt;0,"ISENÇÃO","SEM ISENÇÃO")</f>
        <v>SEM ISENÇÃO</v>
      </c>
      <c r="F928" s="18" t="str">
        <f>IF(COUNTIF(REDUÇÕES!A:A,CST!B928)&gt;0,"REDUÇÃO","NÃO REDUÇÃO")</f>
        <v>NÃO REDUÇÃO</v>
      </c>
      <c r="G928" s="27">
        <f t="shared" si="15"/>
        <v>0</v>
      </c>
    </row>
    <row r="929" spans="1:7" x14ac:dyDescent="0.25">
      <c r="A929" s="120" t="str">
        <f>RIGHT(CSTABLE[[#This Row],[NomeNCM]],8)</f>
        <v>39095012</v>
      </c>
      <c r="B929" s="7" t="s">
        <v>4123</v>
      </c>
      <c r="C929" s="3" t="str">
        <f>IFERROR(VLOOKUP(B929,ST!C:D,2,0),"NÃOST")</f>
        <v>NÃOST</v>
      </c>
      <c r="E929" s="3" t="str">
        <f>IF(COUNTIF(ISENÇÕES!A:A,CST!B929)&gt;0,"ISENÇÃO","SEM ISENÇÃO")</f>
        <v>SEM ISENÇÃO</v>
      </c>
      <c r="F929" s="18" t="str">
        <f>IF(COUNTIF(REDUÇÕES!A:A,CST!B929)&gt;0,"REDUÇÃO","NÃO REDUÇÃO")</f>
        <v>NÃO REDUÇÃO</v>
      </c>
      <c r="G929" s="27">
        <f t="shared" si="15"/>
        <v>0</v>
      </c>
    </row>
    <row r="930" spans="1:7" x14ac:dyDescent="0.25">
      <c r="A930" s="120" t="str">
        <f>RIGHT(CSTABLE[[#This Row],[NomeNCM]],8)</f>
        <v>94032000</v>
      </c>
      <c r="B930" s="7" t="s">
        <v>4124</v>
      </c>
      <c r="C930" s="3" t="str">
        <f>IFERROR(VLOOKUP(B930,ST!C:D,2,0),"NÃOST")</f>
        <v>NÃOST</v>
      </c>
      <c r="E930" s="3" t="str">
        <f>IF(COUNTIF(ISENÇÕES!A:A,CST!B930)&gt;0,"ISENÇÃO","SEM ISENÇÃO")</f>
        <v>SEM ISENÇÃO</v>
      </c>
      <c r="F930" s="18" t="str">
        <f>IF(COUNTIF(REDUÇÕES!A:A,CST!B930)&gt;0,"REDUÇÃO","NÃO REDUÇÃO")</f>
        <v>NÃO REDUÇÃO</v>
      </c>
      <c r="G930" s="27">
        <f t="shared" si="15"/>
        <v>0</v>
      </c>
    </row>
    <row r="931" spans="1:7" x14ac:dyDescent="0.25">
      <c r="A931" s="120" t="str">
        <f>RIGHT(CSTABLE[[#This Row],[NomeNCM]],8)</f>
        <v>48171000</v>
      </c>
      <c r="B931" s="7" t="s">
        <v>4125</v>
      </c>
      <c r="C931" s="3" t="str">
        <f>IFERROR(VLOOKUP(B931,ST!C:D,2,0),"NÃOST")</f>
        <v>NÃOST</v>
      </c>
      <c r="E931" s="3" t="str">
        <f>IF(COUNTIF(ISENÇÕES!A:A,CST!B931)&gt;0,"ISENÇÃO","SEM ISENÇÃO")</f>
        <v>SEM ISENÇÃO</v>
      </c>
      <c r="F931" s="18" t="str">
        <f>IF(COUNTIF(REDUÇÕES!A:A,CST!B931)&gt;0,"REDUÇÃO","NÃO REDUÇÃO")</f>
        <v>NÃO REDUÇÃO</v>
      </c>
      <c r="G931" s="27">
        <f t="shared" si="15"/>
        <v>0</v>
      </c>
    </row>
    <row r="932" spans="1:7" x14ac:dyDescent="0.25">
      <c r="A932" s="120" t="str">
        <f>RIGHT(CSTABLE[[#This Row],[NomeNCM]],8)</f>
        <v>35069190</v>
      </c>
      <c r="B932" s="7" t="s">
        <v>4126</v>
      </c>
      <c r="C932" s="3" t="str">
        <f>IFERROR(VLOOKUP(B932,ST!C:D,2,0),"NÃOST")</f>
        <v>NÃOST</v>
      </c>
      <c r="E932" s="3" t="str">
        <f>IF(COUNTIF(ISENÇÕES!A:A,CST!B932)&gt;0,"ISENÇÃO","SEM ISENÇÃO")</f>
        <v>SEM ISENÇÃO</v>
      </c>
      <c r="F932" s="18" t="str">
        <f>IF(COUNTIF(REDUÇÕES!A:A,CST!B932)&gt;0,"REDUÇÃO","NÃO REDUÇÃO")</f>
        <v>NÃO REDUÇÃO</v>
      </c>
      <c r="G932" s="27">
        <f t="shared" si="15"/>
        <v>0</v>
      </c>
    </row>
    <row r="933" spans="1:7" x14ac:dyDescent="0.25">
      <c r="A933" s="120" t="str">
        <f>RIGHT(CSTABLE[[#This Row],[NomeNCM]],8)</f>
        <v>82119100</v>
      </c>
      <c r="B933" s="7" t="s">
        <v>4127</v>
      </c>
      <c r="C933" s="3" t="str">
        <f>IFERROR(VLOOKUP(B933,ST!C:D,2,0),"NÃOST")</f>
        <v>NÃOST</v>
      </c>
      <c r="E933" s="3" t="str">
        <f>IF(COUNTIF(ISENÇÕES!A:A,CST!B933)&gt;0,"ISENÇÃO","SEM ISENÇÃO")</f>
        <v>SEM ISENÇÃO</v>
      </c>
      <c r="F933" s="18" t="str">
        <f>IF(COUNTIF(REDUÇÕES!A:A,CST!B933)&gt;0,"REDUÇÃO","NÃO REDUÇÃO")</f>
        <v>NÃO REDUÇÃO</v>
      </c>
      <c r="G933" s="27">
        <f t="shared" si="15"/>
        <v>0</v>
      </c>
    </row>
    <row r="934" spans="1:7" x14ac:dyDescent="0.25">
      <c r="A934" s="120" t="str">
        <f>RIGHT(CSTABLE[[#This Row],[NomeNCM]],8)</f>
        <v>63023200</v>
      </c>
      <c r="B934" s="7" t="s">
        <v>4128</v>
      </c>
      <c r="C934" s="3" t="str">
        <f>IFERROR(VLOOKUP(B934,ST!C:D,2,0),"NÃOST")</f>
        <v>NÃOST</v>
      </c>
      <c r="E934" s="3" t="str">
        <f>IF(COUNTIF(ISENÇÕES!A:A,CST!B934)&gt;0,"ISENÇÃO","SEM ISENÇÃO")</f>
        <v>SEM ISENÇÃO</v>
      </c>
      <c r="F934" s="18" t="str">
        <f>IF(COUNTIF(REDUÇÕES!A:A,CST!B934)&gt;0,"REDUÇÃO","NÃO REDUÇÃO")</f>
        <v>NÃO REDUÇÃO</v>
      </c>
      <c r="G934" s="27">
        <f t="shared" si="15"/>
        <v>0</v>
      </c>
    </row>
    <row r="935" spans="1:7" x14ac:dyDescent="0.25">
      <c r="A935" s="120" t="str">
        <f>RIGHT(CSTABLE[[#This Row],[NomeNCM]],8)</f>
        <v>08013200</v>
      </c>
      <c r="B935" s="7" t="s">
        <v>3331</v>
      </c>
      <c r="C935" s="3" t="str">
        <f>IFERROR(VLOOKUP(B935,ST!C:D,2,0),"NÃOST")</f>
        <v>NÃOST</v>
      </c>
      <c r="E935" s="3" t="str">
        <f>IF(COUNTIF(ISENÇÕES!A:A,CST!B935)&gt;0,"ISENÇÃO","SEM ISENÇÃO")</f>
        <v>SEM ISENÇÃO</v>
      </c>
      <c r="F935" s="18" t="str">
        <f>IF(COUNTIF(REDUÇÕES!A:A,CST!B935)&gt;0,"REDUÇÃO","NÃO REDUÇÃO")</f>
        <v>NÃO REDUÇÃO</v>
      </c>
      <c r="G935" s="27">
        <f t="shared" si="15"/>
        <v>0</v>
      </c>
    </row>
    <row r="936" spans="1:7" x14ac:dyDescent="0.25">
      <c r="A936" s="120" t="str">
        <f>RIGHT(CSTABLE[[#This Row],[NomeNCM]],8)</f>
        <v>42010090</v>
      </c>
      <c r="B936" s="7" t="s">
        <v>4129</v>
      </c>
      <c r="C936" s="3" t="str">
        <f>IFERROR(VLOOKUP(B936,ST!C:D,2,0),"NÃOST")</f>
        <v>NÃOST</v>
      </c>
      <c r="E936" s="3" t="str">
        <f>IF(COUNTIF(ISENÇÕES!A:A,CST!B936)&gt;0,"ISENÇÃO","SEM ISENÇÃO")</f>
        <v>SEM ISENÇÃO</v>
      </c>
      <c r="F936" s="18" t="str">
        <f>IF(COUNTIF(REDUÇÕES!A:A,CST!B936)&gt;0,"REDUÇÃO","NÃO REDUÇÃO")</f>
        <v>NÃO REDUÇÃO</v>
      </c>
      <c r="G936" s="27">
        <f t="shared" si="15"/>
        <v>0</v>
      </c>
    </row>
    <row r="937" spans="1:7" x14ac:dyDescent="0.25">
      <c r="A937" s="120" t="str">
        <f>RIGHT(CSTABLE[[#This Row],[NomeNCM]],8)</f>
        <v>28092019</v>
      </c>
      <c r="B937" s="7" t="s">
        <v>4130</v>
      </c>
      <c r="C937" s="3" t="str">
        <f>IFERROR(VLOOKUP(B937,ST!C:D,2,0),"NÃOST")</f>
        <v>NÃOST</v>
      </c>
      <c r="E937" s="3" t="str">
        <f>IF(COUNTIF(ISENÇÕES!A:A,CST!B937)&gt;0,"ISENÇÃO","SEM ISENÇÃO")</f>
        <v>SEM ISENÇÃO</v>
      </c>
      <c r="F937" s="18" t="str">
        <f>IF(COUNTIF(REDUÇÕES!A:A,CST!B937)&gt;0,"REDUÇÃO","NÃO REDUÇÃO")</f>
        <v>NÃO REDUÇÃO</v>
      </c>
      <c r="G937" s="27">
        <f t="shared" si="15"/>
        <v>0</v>
      </c>
    </row>
    <row r="938" spans="1:7" x14ac:dyDescent="0.25">
      <c r="A938" s="120" t="str">
        <f>RIGHT(CSTABLE[[#This Row],[NomeNCM]],8)</f>
        <v>02032200</v>
      </c>
      <c r="B938" s="7" t="s">
        <v>3082</v>
      </c>
      <c r="C938" s="3" t="str">
        <f>IFERROR(VLOOKUP(B938,ST!C:D,2,0),"NÃOST")</f>
        <v>NÃOST</v>
      </c>
      <c r="E938" s="3" t="str">
        <f>IF(COUNTIF(ISENÇÕES!A:A,CST!B938)&gt;0,"ISENÇÃO","SEM ISENÇÃO")</f>
        <v>SEM ISENÇÃO</v>
      </c>
      <c r="F938" s="18" t="str">
        <f>IF(COUNTIF(REDUÇÕES!A:A,CST!B938)&gt;0,"REDUÇÃO","NÃO REDUÇÃO")</f>
        <v>NÃO REDUÇÃO</v>
      </c>
      <c r="G938" s="27">
        <f t="shared" si="15"/>
        <v>0</v>
      </c>
    </row>
    <row r="939" spans="1:7" x14ac:dyDescent="0.25">
      <c r="A939" s="120" t="str">
        <f>RIGHT(CSTABLE[[#This Row],[NomeNCM]],8)</f>
        <v>82119290</v>
      </c>
      <c r="B939" s="7" t="s">
        <v>4131</v>
      </c>
      <c r="C939" s="3" t="str">
        <f>IFERROR(VLOOKUP(B939,ST!C:D,2,0),"NÃOST")</f>
        <v>NÃOST</v>
      </c>
      <c r="E939" s="3" t="str">
        <f>IF(COUNTIF(ISENÇÕES!A:A,CST!B939)&gt;0,"ISENÇÃO","SEM ISENÇÃO")</f>
        <v>SEM ISENÇÃO</v>
      </c>
      <c r="F939" s="18" t="str">
        <f>IF(COUNTIF(REDUÇÕES!A:A,CST!B939)&gt;0,"REDUÇÃO","NÃO REDUÇÃO")</f>
        <v>NÃO REDUÇÃO</v>
      </c>
      <c r="G939" s="27">
        <f t="shared" si="15"/>
        <v>0</v>
      </c>
    </row>
    <row r="940" spans="1:7" x14ac:dyDescent="0.25">
      <c r="A940" s="120" t="str">
        <f>RIGHT(CSTABLE[[#This Row],[NomeNCM]],8)</f>
        <v>56039220</v>
      </c>
      <c r="B940" s="7" t="s">
        <v>4132</v>
      </c>
      <c r="C940" s="3" t="str">
        <f>IFERROR(VLOOKUP(B940,ST!C:D,2,0),"NÃOST")</f>
        <v>NÃOST</v>
      </c>
      <c r="E940" s="3" t="str">
        <f>IF(COUNTIF(ISENÇÕES!A:A,CST!B940)&gt;0,"ISENÇÃO","SEM ISENÇÃO")</f>
        <v>SEM ISENÇÃO</v>
      </c>
      <c r="F940" s="18" t="str">
        <f>IF(COUNTIF(REDUÇÕES!A:A,CST!B940)&gt;0,"REDUÇÃO","NÃO REDUÇÃO")</f>
        <v>NÃO REDUÇÃO</v>
      </c>
      <c r="G940" s="27">
        <f t="shared" si="15"/>
        <v>0</v>
      </c>
    </row>
    <row r="941" spans="1:7" x14ac:dyDescent="0.25">
      <c r="A941" s="120" t="str">
        <f>RIGHT(CSTABLE[[#This Row],[NomeNCM]],8)</f>
        <v>63022100</v>
      </c>
      <c r="B941" s="7" t="s">
        <v>4133</v>
      </c>
      <c r="C941" s="3" t="str">
        <f>IFERROR(VLOOKUP(B941,ST!C:D,2,0),"NÃOST")</f>
        <v>NÃOST</v>
      </c>
      <c r="E941" s="3" t="str">
        <f>IF(COUNTIF(ISENÇÕES!A:A,CST!B941)&gt;0,"ISENÇÃO","SEM ISENÇÃO")</f>
        <v>SEM ISENÇÃO</v>
      </c>
      <c r="F941" s="18" t="str">
        <f>IF(COUNTIF(REDUÇÕES!A:A,CST!B941)&gt;0,"REDUÇÃO","NÃO REDUÇÃO")</f>
        <v>NÃO REDUÇÃO</v>
      </c>
      <c r="G941" s="27">
        <f t="shared" si="15"/>
        <v>0</v>
      </c>
    </row>
    <row r="942" spans="1:7" x14ac:dyDescent="0.25">
      <c r="A942" s="120" t="str">
        <f>RIGHT(CSTABLE[[#This Row],[NomeNCM]],8)</f>
        <v>07112010</v>
      </c>
      <c r="B942" s="7" t="s">
        <v>3321</v>
      </c>
      <c r="C942" s="3" t="str">
        <f>IFERROR(VLOOKUP(B942,ST!C:D,2,0),"NÃOST")</f>
        <v>NÃOST</v>
      </c>
      <c r="E942" s="3" t="str">
        <f>IF(COUNTIF(ISENÇÕES!A:A,CST!B942)&gt;0,"ISENÇÃO","SEM ISENÇÃO")</f>
        <v>SEM ISENÇÃO</v>
      </c>
      <c r="F942" s="18" t="str">
        <f>IF(COUNTIF(REDUÇÕES!A:A,CST!B942)&gt;0,"REDUÇÃO","NÃO REDUÇÃO")</f>
        <v>NÃO REDUÇÃO</v>
      </c>
      <c r="G942" s="27">
        <f t="shared" si="15"/>
        <v>0</v>
      </c>
    </row>
    <row r="943" spans="1:7" x14ac:dyDescent="0.25">
      <c r="A943" s="120" t="str">
        <f>RIGHT(CSTABLE[[#This Row],[NomeNCM]],8)</f>
        <v>39209990</v>
      </c>
      <c r="B943" s="7" t="s">
        <v>4134</v>
      </c>
      <c r="C943" s="3" t="str">
        <f>IFERROR(VLOOKUP(B943,ST!C:D,2,0),"NÃOST")</f>
        <v>NÃOST</v>
      </c>
      <c r="E943" s="3" t="str">
        <f>IF(COUNTIF(ISENÇÕES!A:A,CST!B943)&gt;0,"ISENÇÃO","SEM ISENÇÃO")</f>
        <v>SEM ISENÇÃO</v>
      </c>
      <c r="F943" s="18" t="str">
        <f>IF(COUNTIF(REDUÇÕES!A:A,CST!B943)&gt;0,"REDUÇÃO","NÃO REDUÇÃO")</f>
        <v>NÃO REDUÇÃO</v>
      </c>
      <c r="G943" s="27">
        <f t="shared" si="15"/>
        <v>0</v>
      </c>
    </row>
    <row r="944" spans="1:7" x14ac:dyDescent="0.25">
      <c r="A944" s="120" t="str">
        <f>RIGHT(CSTABLE[[#This Row],[NomeNCM]],8)</f>
        <v>39204310</v>
      </c>
      <c r="B944" s="7" t="s">
        <v>4135</v>
      </c>
      <c r="C944" s="3" t="str">
        <f>IFERROR(VLOOKUP(B944,ST!C:D,2,0),"NÃOST")</f>
        <v>NÃOST</v>
      </c>
      <c r="E944" s="3" t="str">
        <f>IF(COUNTIF(ISENÇÕES!A:A,CST!B944)&gt;0,"ISENÇÃO","SEM ISENÇÃO")</f>
        <v>SEM ISENÇÃO</v>
      </c>
      <c r="F944" s="18" t="str">
        <f>IF(COUNTIF(REDUÇÕES!A:A,CST!B944)&gt;0,"REDUÇÃO","NÃO REDUÇÃO")</f>
        <v>NÃO REDUÇÃO</v>
      </c>
      <c r="G944" s="27">
        <f t="shared" si="15"/>
        <v>0</v>
      </c>
    </row>
    <row r="945" spans="1:7" x14ac:dyDescent="0.25">
      <c r="A945" s="120" t="str">
        <f>RIGHT(CSTABLE[[#This Row],[NomeNCM]],8)</f>
        <v>03061710</v>
      </c>
      <c r="B945" s="7" t="s">
        <v>3510</v>
      </c>
      <c r="C945" s="3" t="str">
        <f>IFERROR(VLOOKUP(B945,ST!C:D,2,0),"NÃOST")</f>
        <v>NÃOST</v>
      </c>
      <c r="E945" s="3" t="str">
        <f>IF(COUNTIF(ISENÇÕES!A:A,CST!B945)&gt;0,"ISENÇÃO","SEM ISENÇÃO")</f>
        <v>SEM ISENÇÃO</v>
      </c>
      <c r="F945" s="18" t="str">
        <f>IF(COUNTIF(REDUÇÕES!A:A,CST!B945)&gt;0,"REDUÇÃO","NÃO REDUÇÃO")</f>
        <v>NÃO REDUÇÃO</v>
      </c>
      <c r="G945" s="27">
        <f t="shared" si="15"/>
        <v>0</v>
      </c>
    </row>
    <row r="946" spans="1:7" x14ac:dyDescent="0.25">
      <c r="A946" s="120" t="str">
        <f>RIGHT(CSTABLE[[#This Row],[NomeNCM]],8)</f>
        <v>84701000</v>
      </c>
      <c r="B946" s="7" t="s">
        <v>4136</v>
      </c>
      <c r="C946" s="3" t="str">
        <f>IFERROR(VLOOKUP(B946,ST!C:D,2,0),"NÃOST")</f>
        <v>NÃOST</v>
      </c>
      <c r="E946" s="3" t="str">
        <f>IF(COUNTIF(ISENÇÕES!A:A,CST!B946)&gt;0,"ISENÇÃO","SEM ISENÇÃO")</f>
        <v>SEM ISENÇÃO</v>
      </c>
      <c r="F946" s="18" t="str">
        <f>IF(COUNTIF(REDUÇÕES!A:A,CST!B946)&gt;0,"REDUÇÃO","NÃO REDUÇÃO")</f>
        <v>NÃO REDUÇÃO</v>
      </c>
      <c r="G946" s="27">
        <f t="shared" si="15"/>
        <v>0</v>
      </c>
    </row>
    <row r="947" spans="1:7" x14ac:dyDescent="0.25">
      <c r="A947" s="120" t="str">
        <f>RIGHT(CSTABLE[[#This Row],[NomeNCM]],8)</f>
        <v>03032900</v>
      </c>
      <c r="B947" s="7" t="s">
        <v>3185</v>
      </c>
      <c r="C947" s="3" t="str">
        <f>IFERROR(VLOOKUP(B947,ST!C:D,2,0),"NÃOST")</f>
        <v>NÃOST</v>
      </c>
      <c r="E947" s="3" t="str">
        <f>IF(COUNTIF(ISENÇÕES!A:A,CST!B947)&gt;0,"ISENÇÃO","SEM ISENÇÃO")</f>
        <v>SEM ISENÇÃO</v>
      </c>
      <c r="F947" s="18" t="str">
        <f>IF(COUNTIF(REDUÇÕES!A:A,CST!B947)&gt;0,"REDUÇÃO","NÃO REDUÇÃO")</f>
        <v>NÃO REDUÇÃO</v>
      </c>
      <c r="G947" s="27">
        <f t="shared" si="15"/>
        <v>0</v>
      </c>
    </row>
    <row r="948" spans="1:7" x14ac:dyDescent="0.25">
      <c r="A948" s="120" t="str">
        <f>RIGHT(CSTABLE[[#This Row],[NomeNCM]],8)</f>
        <v>48081000</v>
      </c>
      <c r="B948" s="7" t="s">
        <v>4137</v>
      </c>
      <c r="C948" s="3" t="str">
        <f>IFERROR(VLOOKUP(B948,ST!C:D,2,0),"NÃOST")</f>
        <v>NÃOST</v>
      </c>
      <c r="E948" s="3" t="str">
        <f>IF(COUNTIF(ISENÇÕES!A:A,CST!B948)&gt;0,"ISENÇÃO","SEM ISENÇÃO")</f>
        <v>SEM ISENÇÃO</v>
      </c>
      <c r="F948" s="18" t="str">
        <f>IF(COUNTIF(REDUÇÕES!A:A,CST!B948)&gt;0,"REDUÇÃO","NÃO REDUÇÃO")</f>
        <v>NÃO REDUÇÃO</v>
      </c>
      <c r="G948" s="27">
        <f t="shared" si="15"/>
        <v>0</v>
      </c>
    </row>
    <row r="949" spans="1:7" x14ac:dyDescent="0.25">
      <c r="A949" s="120" t="str">
        <f>RIGHT(CSTABLE[[#This Row],[NomeNCM]],8)</f>
        <v>85141010</v>
      </c>
      <c r="B949" s="7" t="s">
        <v>2191</v>
      </c>
      <c r="C949" s="3" t="str">
        <f>IFERROR(VLOOKUP(B949,ST!C:D,2,0),"NÃOST")</f>
        <v>NÃOST</v>
      </c>
      <c r="E949" s="3" t="str">
        <f>IF(COUNTIF(ISENÇÕES!A:A,CST!B949)&gt;0,"ISENÇÃO","SEM ISENÇÃO")</f>
        <v>SEM ISENÇÃO</v>
      </c>
      <c r="F949" s="18" t="str">
        <f>IF(COUNTIF(REDUÇÕES!A:A,CST!B949)&gt;0,"REDUÇÃO","NÃO REDUÇÃO")</f>
        <v>NÃO REDUÇÃO</v>
      </c>
      <c r="G949" s="27">
        <f t="shared" si="15"/>
        <v>0</v>
      </c>
    </row>
    <row r="950" spans="1:7" x14ac:dyDescent="0.25">
      <c r="A950" s="120" t="str">
        <f>RIGHT(CSTABLE[[#This Row],[NomeNCM]],8)</f>
        <v>85061020</v>
      </c>
      <c r="B950" s="7" t="s">
        <v>4138</v>
      </c>
      <c r="C950" s="3" t="str">
        <f>IFERROR(VLOOKUP(B950,ST!C:D,2,0),"NÃOST")</f>
        <v>NÃOST</v>
      </c>
      <c r="E950" s="3" t="str">
        <f>IF(COUNTIF(ISENÇÕES!A:A,CST!B950)&gt;0,"ISENÇÃO","SEM ISENÇÃO")</f>
        <v>SEM ISENÇÃO</v>
      </c>
      <c r="F950" s="18" t="str">
        <f>IF(COUNTIF(REDUÇÕES!A:A,CST!B950)&gt;0,"REDUÇÃO","NÃO REDUÇÃO")</f>
        <v>NÃO REDUÇÃO</v>
      </c>
      <c r="G950" s="27">
        <f t="shared" si="15"/>
        <v>0</v>
      </c>
    </row>
    <row r="951" spans="1:7" x14ac:dyDescent="0.25">
      <c r="A951" s="120" t="str">
        <f>RIGHT(CSTABLE[[#This Row],[NomeNCM]],8)</f>
        <v>10039090</v>
      </c>
      <c r="B951" s="7" t="s">
        <v>4139</v>
      </c>
      <c r="C951" s="3" t="str">
        <f>IFERROR(VLOOKUP(B951,ST!C:D,2,0),"NÃOST")</f>
        <v>NÃOST</v>
      </c>
      <c r="E951" s="3" t="str">
        <f>IF(COUNTIF(ISENÇÕES!A:A,CST!B951)&gt;0,"ISENÇÃO","SEM ISENÇÃO")</f>
        <v>SEM ISENÇÃO</v>
      </c>
      <c r="F951" s="18" t="str">
        <f>IF(COUNTIF(REDUÇÕES!A:A,CST!B951)&gt;0,"REDUÇÃO","NÃO REDUÇÃO")</f>
        <v>NÃO REDUÇÃO</v>
      </c>
      <c r="G951" s="27">
        <f t="shared" si="15"/>
        <v>0</v>
      </c>
    </row>
    <row r="952" spans="1:7" x14ac:dyDescent="0.25">
      <c r="A952" s="120" t="str">
        <f>RIGHT(CSTABLE[[#This Row],[NomeNCM]],8)</f>
        <v>95073000</v>
      </c>
      <c r="B952" s="7" t="s">
        <v>4140</v>
      </c>
      <c r="C952" s="3" t="str">
        <f>IFERROR(VLOOKUP(B952,ST!C:D,2,0),"NÃOST")</f>
        <v>NÃOST</v>
      </c>
      <c r="E952" s="3" t="str">
        <f>IF(COUNTIF(ISENÇÕES!A:A,CST!B952)&gt;0,"ISENÇÃO","SEM ISENÇÃO")</f>
        <v>SEM ISENÇÃO</v>
      </c>
      <c r="F952" s="18" t="str">
        <f>IF(COUNTIF(REDUÇÕES!A:A,CST!B952)&gt;0,"REDUÇÃO","NÃO REDUÇÃO")</f>
        <v>NÃO REDUÇÃO</v>
      </c>
      <c r="G952" s="27">
        <f t="shared" si="15"/>
        <v>0</v>
      </c>
    </row>
    <row r="953" spans="1:7" x14ac:dyDescent="0.25">
      <c r="A953" s="120" t="str">
        <f>RIGHT(CSTABLE[[#This Row],[NomeNCM]],8)</f>
        <v>52053100</v>
      </c>
      <c r="B953" s="7" t="s">
        <v>4141</v>
      </c>
      <c r="C953" s="3" t="str">
        <f>IFERROR(VLOOKUP(B953,ST!C:D,2,0),"NÃOST")</f>
        <v>NÃOST</v>
      </c>
      <c r="E953" s="3" t="str">
        <f>IF(COUNTIF(ISENÇÕES!A:A,CST!B953)&gt;0,"ISENÇÃO","SEM ISENÇÃO")</f>
        <v>SEM ISENÇÃO</v>
      </c>
      <c r="F953" s="18" t="str">
        <f>IF(COUNTIF(REDUÇÕES!A:A,CST!B953)&gt;0,"REDUÇÃO","NÃO REDUÇÃO")</f>
        <v>NÃO REDUÇÃO</v>
      </c>
      <c r="G953" s="27">
        <f t="shared" si="15"/>
        <v>0</v>
      </c>
    </row>
    <row r="954" spans="1:7" x14ac:dyDescent="0.25">
      <c r="A954" s="120" t="str">
        <f>RIGHT(CSTABLE[[#This Row],[NomeNCM]],8)</f>
        <v>52071000</v>
      </c>
      <c r="B954" s="7" t="s">
        <v>4142</v>
      </c>
      <c r="C954" s="3" t="str">
        <f>IFERROR(VLOOKUP(B954,ST!C:D,2,0),"NÃOST")</f>
        <v>NÃOST</v>
      </c>
      <c r="E954" s="3" t="str">
        <f>IF(COUNTIF(ISENÇÕES!A:A,CST!B954)&gt;0,"ISENÇÃO","SEM ISENÇÃO")</f>
        <v>SEM ISENÇÃO</v>
      </c>
      <c r="F954" s="18" t="str">
        <f>IF(COUNTIF(REDUÇÕES!A:A,CST!B954)&gt;0,"REDUÇÃO","NÃO REDUÇÃO")</f>
        <v>NÃO REDUÇÃO</v>
      </c>
      <c r="G954" s="27">
        <f t="shared" si="15"/>
        <v>0</v>
      </c>
    </row>
    <row r="955" spans="1:7" x14ac:dyDescent="0.25">
      <c r="A955" s="120" t="str">
        <f>RIGHT(CSTABLE[[#This Row],[NomeNCM]],8)</f>
        <v>03056910</v>
      </c>
      <c r="B955" s="7" t="s">
        <v>3499</v>
      </c>
      <c r="C955" s="3" t="str">
        <f>IFERROR(VLOOKUP(B955,ST!C:D,2,0),"NÃOST")</f>
        <v>NÃOST</v>
      </c>
      <c r="E955" s="3" t="str">
        <f>IF(COUNTIF(ISENÇÕES!A:A,CST!B955)&gt;0,"ISENÇÃO","SEM ISENÇÃO")</f>
        <v>SEM ISENÇÃO</v>
      </c>
      <c r="F955" s="18" t="str">
        <f>IF(COUNTIF(REDUÇÕES!A:A,CST!B955)&gt;0,"REDUÇÃO","NÃO REDUÇÃO")</f>
        <v>NÃO REDUÇÃO</v>
      </c>
      <c r="G955" s="27">
        <f t="shared" si="15"/>
        <v>0</v>
      </c>
    </row>
    <row r="956" spans="1:7" x14ac:dyDescent="0.25">
      <c r="A956" s="120" t="str">
        <f>RIGHT(CSTABLE[[#This Row],[NomeNCM]],8)</f>
        <v>28369919</v>
      </c>
      <c r="B956" s="7" t="s">
        <v>4143</v>
      </c>
      <c r="C956" s="3" t="str">
        <f>IFERROR(VLOOKUP(B956,ST!C:D,2,0),"NÃOST")</f>
        <v>NÃOST</v>
      </c>
      <c r="E956" s="3" t="str">
        <f>IF(COUNTIF(ISENÇÕES!A:A,CST!B956)&gt;0,"ISENÇÃO","SEM ISENÇÃO")</f>
        <v>SEM ISENÇÃO</v>
      </c>
      <c r="F956" s="18" t="str">
        <f>IF(COUNTIF(REDUÇÕES!A:A,CST!B956)&gt;0,"REDUÇÃO","NÃO REDUÇÃO")</f>
        <v>NÃO REDUÇÃO</v>
      </c>
      <c r="G956" s="27">
        <f t="shared" si="15"/>
        <v>0</v>
      </c>
    </row>
    <row r="957" spans="1:7" x14ac:dyDescent="0.25">
      <c r="A957" s="120" t="str">
        <f>RIGHT(CSTABLE[[#This Row],[NomeNCM]],8)</f>
        <v>25309090</v>
      </c>
      <c r="B957" s="7" t="s">
        <v>4144</v>
      </c>
      <c r="C957" s="3" t="str">
        <f>IFERROR(VLOOKUP(B957,ST!C:D,2,0),"NÃOST")</f>
        <v>NÃOST</v>
      </c>
      <c r="E957" s="3" t="str">
        <f>IF(COUNTIF(ISENÇÕES!A:A,CST!B957)&gt;0,"ISENÇÃO","SEM ISENÇÃO")</f>
        <v>SEM ISENÇÃO</v>
      </c>
      <c r="F957" s="18" t="str">
        <f>IF(COUNTIF(REDUÇÕES!A:A,CST!B957)&gt;0,"REDUÇÃO","NÃO REDUÇÃO")</f>
        <v>NÃO REDUÇÃO</v>
      </c>
      <c r="G957" s="27">
        <f t="shared" si="15"/>
        <v>0</v>
      </c>
    </row>
    <row r="958" spans="1:7" x14ac:dyDescent="0.25">
      <c r="A958" s="120" t="str">
        <f>RIGHT(CSTABLE[[#This Row],[NomeNCM]],8)</f>
        <v>31010000</v>
      </c>
      <c r="B958" s="7" t="s">
        <v>4145</v>
      </c>
      <c r="C958" s="3" t="str">
        <f>IFERROR(VLOOKUP(B958,ST!C:D,2,0),"NÃOST")</f>
        <v>NÃOST</v>
      </c>
      <c r="E958" s="3" t="str">
        <f>IF(COUNTIF(ISENÇÕES!A:A,CST!B958)&gt;0,"ISENÇÃO","SEM ISENÇÃO")</f>
        <v>SEM ISENÇÃO</v>
      </c>
      <c r="F958" s="18" t="str">
        <f>IF(COUNTIF(REDUÇÕES!A:A,CST!B958)&gt;0,"REDUÇÃO","NÃO REDUÇÃO")</f>
        <v>NÃO REDUÇÃO</v>
      </c>
      <c r="G958" s="27">
        <f t="shared" si="15"/>
        <v>0</v>
      </c>
    </row>
    <row r="959" spans="1:7" x14ac:dyDescent="0.25">
      <c r="A959" s="120" t="str">
        <f>RIGHT(CSTABLE[[#This Row],[NomeNCM]],8)</f>
        <v>94017900</v>
      </c>
      <c r="B959" s="7" t="s">
        <v>4146</v>
      </c>
      <c r="C959" s="3" t="str">
        <f>IFERROR(VLOOKUP(B959,ST!C:D,2,0),"NÃOST")</f>
        <v>NÃOST</v>
      </c>
      <c r="E959" s="3" t="str">
        <f>IF(COUNTIF(ISENÇÕES!A:A,CST!B959)&gt;0,"ISENÇÃO","SEM ISENÇÃO")</f>
        <v>SEM ISENÇÃO</v>
      </c>
      <c r="F959" s="18" t="str">
        <f>IF(COUNTIF(REDUÇÕES!A:A,CST!B959)&gt;0,"REDUÇÃO","NÃO REDUÇÃO")</f>
        <v>NÃO REDUÇÃO</v>
      </c>
      <c r="G959" s="27">
        <f t="shared" si="15"/>
        <v>0</v>
      </c>
    </row>
    <row r="960" spans="1:7" x14ac:dyDescent="0.25">
      <c r="A960" s="120" t="str">
        <f>RIGHT(CSTABLE[[#This Row],[NomeNCM]],8)</f>
        <v>58019000</v>
      </c>
      <c r="B960" s="7" t="s">
        <v>4147</v>
      </c>
      <c r="C960" s="3" t="str">
        <f>IFERROR(VLOOKUP(B960,ST!C:D,2,0),"NÃOST")</f>
        <v>NÃOST</v>
      </c>
      <c r="E960" s="3" t="str">
        <f>IF(COUNTIF(ISENÇÕES!A:A,CST!B960)&gt;0,"ISENÇÃO","SEM ISENÇÃO")</f>
        <v>SEM ISENÇÃO</v>
      </c>
      <c r="F960" s="18" t="str">
        <f>IF(COUNTIF(REDUÇÕES!A:A,CST!B960)&gt;0,"REDUÇÃO","NÃO REDUÇÃO")</f>
        <v>NÃO REDUÇÃO</v>
      </c>
      <c r="G960" s="27">
        <f t="shared" si="15"/>
        <v>0</v>
      </c>
    </row>
    <row r="961" spans="1:7" x14ac:dyDescent="0.25">
      <c r="A961" s="120" t="str">
        <f>RIGHT(CSTABLE[[#This Row],[NomeNCM]],8)</f>
        <v>85167200</v>
      </c>
      <c r="B961" s="7" t="s">
        <v>4148</v>
      </c>
      <c r="C961" s="3" t="str">
        <f>IFERROR(VLOOKUP(B961,ST!C:D,2,0),"NÃOST")</f>
        <v>NÃOST</v>
      </c>
      <c r="E961" s="3" t="str">
        <f>IF(COUNTIF(ISENÇÕES!A:A,CST!B961)&gt;0,"ISENÇÃO","SEM ISENÇÃO")</f>
        <v>SEM ISENÇÃO</v>
      </c>
      <c r="F961" s="18" t="str">
        <f>IF(COUNTIF(REDUÇÕES!A:A,CST!B961)&gt;0,"REDUÇÃO","NÃO REDUÇÃO")</f>
        <v>NÃO REDUÇÃO</v>
      </c>
      <c r="G961" s="27">
        <f t="shared" si="15"/>
        <v>0</v>
      </c>
    </row>
    <row r="962" spans="1:7" x14ac:dyDescent="0.25">
      <c r="A962" s="120" t="str">
        <f>RIGHT(CSTABLE[[#This Row],[NomeNCM]],8)</f>
        <v>20079921</v>
      </c>
      <c r="B962" s="7" t="s">
        <v>4149</v>
      </c>
      <c r="C962" s="3" t="str">
        <f>IFERROR(VLOOKUP(B962,ST!C:D,2,0),"NÃOST")</f>
        <v>NÃOST</v>
      </c>
      <c r="E962" s="3" t="str">
        <f>IF(COUNTIF(ISENÇÕES!A:A,CST!B962)&gt;0,"ISENÇÃO","SEM ISENÇÃO")</f>
        <v>SEM ISENÇÃO</v>
      </c>
      <c r="F962" s="18" t="str">
        <f>IF(COUNTIF(REDUÇÕES!A:A,CST!B962)&gt;0,"REDUÇÃO","NÃO REDUÇÃO")</f>
        <v>NÃO REDUÇÃO</v>
      </c>
      <c r="G962" s="27">
        <f t="shared" si="15"/>
        <v>0</v>
      </c>
    </row>
    <row r="963" spans="1:7" x14ac:dyDescent="0.25">
      <c r="A963" s="120" t="str">
        <f>RIGHT(CSTABLE[[#This Row],[NomeNCM]],8)</f>
        <v>03032300</v>
      </c>
      <c r="B963" s="7" t="s">
        <v>3180</v>
      </c>
      <c r="C963" s="3" t="str">
        <f>IFERROR(VLOOKUP(B963,ST!C:D,2,0),"NÃOST")</f>
        <v>NÃOST</v>
      </c>
      <c r="E963" s="3" t="str">
        <f>IF(COUNTIF(ISENÇÕES!A:A,CST!B963)&gt;0,"ISENÇÃO","SEM ISENÇÃO")</f>
        <v>SEM ISENÇÃO</v>
      </c>
      <c r="F963" s="18" t="str">
        <f>IF(COUNTIF(REDUÇÕES!A:A,CST!B963)&gt;0,"REDUÇÃO","NÃO REDUÇÃO")</f>
        <v>NÃO REDUÇÃO</v>
      </c>
      <c r="G963" s="27">
        <f t="shared" si="15"/>
        <v>0</v>
      </c>
    </row>
    <row r="964" spans="1:7" x14ac:dyDescent="0.25">
      <c r="A964" s="120" t="str">
        <f>RIGHT(CSTABLE[[#This Row],[NomeNCM]],8)</f>
        <v>31052000</v>
      </c>
      <c r="B964" s="7" t="s">
        <v>3379</v>
      </c>
      <c r="C964" s="3" t="str">
        <f>IFERROR(VLOOKUP(B964,ST!C:D,2,0),"NÃOST")</f>
        <v>NÃOST</v>
      </c>
      <c r="E964" s="3" t="str">
        <f>IF(COUNTIF(ISENÇÕES!A:A,CST!B964)&gt;0,"ISENÇÃO","SEM ISENÇÃO")</f>
        <v>SEM ISENÇÃO</v>
      </c>
      <c r="F964" s="18" t="str">
        <f>IF(COUNTIF(REDUÇÕES!A:A,CST!B964)&gt;0,"REDUÇÃO","NÃO REDUÇÃO")</f>
        <v>NÃO REDUÇÃO</v>
      </c>
      <c r="G964" s="27">
        <f t="shared" si="15"/>
        <v>0</v>
      </c>
    </row>
    <row r="965" spans="1:7" x14ac:dyDescent="0.25">
      <c r="A965" s="120" t="str">
        <f>RIGHT(CSTABLE[[#This Row],[NomeNCM]],8)</f>
        <v>14042090</v>
      </c>
      <c r="B965" s="7" t="s">
        <v>4150</v>
      </c>
      <c r="C965" s="3" t="str">
        <f>IFERROR(VLOOKUP(B965,ST!C:D,2,0),"NÃOST")</f>
        <v>NÃOST</v>
      </c>
      <c r="E965" s="3" t="str">
        <f>IF(COUNTIF(ISENÇÕES!A:A,CST!B965)&gt;0,"ISENÇÃO","SEM ISENÇÃO")</f>
        <v>SEM ISENÇÃO</v>
      </c>
      <c r="F965" s="18" t="str">
        <f>IF(COUNTIF(REDUÇÕES!A:A,CST!B965)&gt;0,"REDUÇÃO","NÃO REDUÇÃO")</f>
        <v>NÃO REDUÇÃO</v>
      </c>
      <c r="G965" s="27">
        <f t="shared" si="15"/>
        <v>0</v>
      </c>
    </row>
    <row r="966" spans="1:7" x14ac:dyDescent="0.25">
      <c r="A966" s="120" t="str">
        <f>RIGHT(CSTABLE[[#This Row],[NomeNCM]],8)</f>
        <v>95030097</v>
      </c>
      <c r="B966" s="7" t="s">
        <v>4151</v>
      </c>
      <c r="C966" s="3" t="str">
        <f>IFERROR(VLOOKUP(B966,ST!C:D,2,0),"NÃOST")</f>
        <v>NÃOST</v>
      </c>
      <c r="E966" s="3" t="str">
        <f>IF(COUNTIF(ISENÇÕES!A:A,CST!B966)&gt;0,"ISENÇÃO","SEM ISENÇÃO")</f>
        <v>SEM ISENÇÃO</v>
      </c>
      <c r="F966" s="18" t="str">
        <f>IF(COUNTIF(REDUÇÕES!A:A,CST!B966)&gt;0,"REDUÇÃO","NÃO REDUÇÃO")</f>
        <v>NÃO REDUÇÃO</v>
      </c>
      <c r="G966" s="27">
        <f t="shared" si="15"/>
        <v>0</v>
      </c>
    </row>
    <row r="967" spans="1:7" x14ac:dyDescent="0.25">
      <c r="A967" s="120" t="str">
        <f>RIGHT(CSTABLE[[#This Row],[NomeNCM]],8)</f>
        <v>48201000</v>
      </c>
      <c r="B967" s="7" t="s">
        <v>4152</v>
      </c>
      <c r="C967" s="3" t="str">
        <f>IFERROR(VLOOKUP(B967,ST!C:D,2,0),"NÃOST")</f>
        <v>NÃOST</v>
      </c>
      <c r="E967" s="3" t="str">
        <f>IF(COUNTIF(ISENÇÕES!A:A,CST!B967)&gt;0,"ISENÇÃO","SEM ISENÇÃO")</f>
        <v>SEM ISENÇÃO</v>
      </c>
      <c r="F967" s="18" t="str">
        <f>IF(COUNTIF(REDUÇÕES!A:A,CST!B967)&gt;0,"REDUÇÃO","NÃO REDUÇÃO")</f>
        <v>NÃO REDUÇÃO</v>
      </c>
      <c r="G967" s="27">
        <f t="shared" si="15"/>
        <v>0</v>
      </c>
    </row>
    <row r="968" spans="1:7" x14ac:dyDescent="0.25">
      <c r="A968" s="120" t="str">
        <f>RIGHT(CSTABLE[[#This Row],[NomeNCM]],8)</f>
        <v>41151000</v>
      </c>
      <c r="B968" s="7" t="s">
        <v>4153</v>
      </c>
      <c r="C968" s="3" t="str">
        <f>IFERROR(VLOOKUP(B968,ST!C:D,2,0),"NÃOST")</f>
        <v>NÃOST</v>
      </c>
      <c r="E968" s="3" t="str">
        <f>IF(COUNTIF(ISENÇÕES!A:A,CST!B968)&gt;0,"ISENÇÃO","SEM ISENÇÃO")</f>
        <v>SEM ISENÇÃO</v>
      </c>
      <c r="F968" s="18" t="str">
        <f>IF(COUNTIF(REDUÇÕES!A:A,CST!B968)&gt;0,"REDUÇÃO","NÃO REDUÇÃO")</f>
        <v>NÃO REDUÇÃO</v>
      </c>
      <c r="G968" s="27">
        <f t="shared" si="15"/>
        <v>0</v>
      </c>
    </row>
    <row r="969" spans="1:7" x14ac:dyDescent="0.25">
      <c r="A969" s="120" t="str">
        <f>RIGHT(CSTABLE[[#This Row],[NomeNCM]],8)</f>
        <v>95072000</v>
      </c>
      <c r="B969" s="7" t="s">
        <v>4154</v>
      </c>
      <c r="C969" s="3" t="str">
        <f>IFERROR(VLOOKUP(B969,ST!C:D,2,0),"NÃOST")</f>
        <v>NÃOST</v>
      </c>
      <c r="E969" s="3" t="str">
        <f>IF(COUNTIF(ISENÇÕES!A:A,CST!B969)&gt;0,"ISENÇÃO","SEM ISENÇÃO")</f>
        <v>SEM ISENÇÃO</v>
      </c>
      <c r="F969" s="18" t="str">
        <f>IF(COUNTIF(REDUÇÕES!A:A,CST!B969)&gt;0,"REDUÇÃO","NÃO REDUÇÃO")</f>
        <v>NÃO REDUÇÃO</v>
      </c>
      <c r="G969" s="27">
        <f t="shared" si="15"/>
        <v>0</v>
      </c>
    </row>
    <row r="970" spans="1:7" x14ac:dyDescent="0.25">
      <c r="A970" s="120" t="str">
        <f>RIGHT(CSTABLE[[#This Row],[NomeNCM]],8)</f>
        <v>46029000</v>
      </c>
      <c r="B970" s="7" t="s">
        <v>4155</v>
      </c>
      <c r="C970" s="3" t="str">
        <f>IFERROR(VLOOKUP(B970,ST!C:D,2,0),"NÃOST")</f>
        <v>NÃOST</v>
      </c>
      <c r="E970" s="3" t="str">
        <f>IF(COUNTIF(ISENÇÕES!A:A,CST!B970)&gt;0,"ISENÇÃO","SEM ISENÇÃO")</f>
        <v>SEM ISENÇÃO</v>
      </c>
      <c r="F970" s="18" t="str">
        <f>IF(COUNTIF(REDUÇÕES!A:A,CST!B970)&gt;0,"REDUÇÃO","NÃO REDUÇÃO")</f>
        <v>NÃO REDUÇÃO</v>
      </c>
      <c r="G970" s="27">
        <f t="shared" si="15"/>
        <v>0</v>
      </c>
    </row>
    <row r="971" spans="1:7" x14ac:dyDescent="0.25">
      <c r="A971" s="120" t="str">
        <f>RIGHT(CSTABLE[[#This Row],[NomeNCM]],8)</f>
        <v>90172000</v>
      </c>
      <c r="B971" s="7" t="s">
        <v>4156</v>
      </c>
      <c r="C971" s="3" t="str">
        <f>IFERROR(VLOOKUP(B971,ST!C:D,2,0),"NÃOST")</f>
        <v>NÃOST</v>
      </c>
      <c r="E971" s="3" t="str">
        <f>IF(COUNTIF(ISENÇÕES!A:A,CST!B971)&gt;0,"ISENÇÃO","SEM ISENÇÃO")</f>
        <v>SEM ISENÇÃO</v>
      </c>
      <c r="F971" s="18" t="str">
        <f>IF(COUNTIF(REDUÇÕES!A:A,CST!B971)&gt;0,"REDUÇÃO","NÃO REDUÇÃO")</f>
        <v>NÃO REDUÇÃO</v>
      </c>
      <c r="G971" s="27">
        <f t="shared" si="15"/>
        <v>0</v>
      </c>
    </row>
    <row r="972" spans="1:7" x14ac:dyDescent="0.25">
      <c r="A972" s="120" t="str">
        <f>RIGHT(CSTABLE[[#This Row],[NomeNCM]],8)</f>
        <v>42010010</v>
      </c>
      <c r="B972" s="7" t="s">
        <v>4157</v>
      </c>
      <c r="C972" s="3" t="str">
        <f>IFERROR(VLOOKUP(B972,ST!C:D,2,0),"NÃOST")</f>
        <v>NÃOST</v>
      </c>
      <c r="E972" s="3" t="str">
        <f>IF(COUNTIF(ISENÇÕES!A:A,CST!B972)&gt;0,"ISENÇÃO","SEM ISENÇÃO")</f>
        <v>SEM ISENÇÃO</v>
      </c>
      <c r="F972" s="18" t="str">
        <f>IF(COUNTIF(REDUÇÕES!A:A,CST!B972)&gt;0,"REDUÇÃO","NÃO REDUÇÃO")</f>
        <v>NÃO REDUÇÃO</v>
      </c>
      <c r="G972" s="27">
        <f t="shared" si="15"/>
        <v>0</v>
      </c>
    </row>
    <row r="973" spans="1:7" x14ac:dyDescent="0.25">
      <c r="A973" s="120" t="str">
        <f>RIGHT(CSTABLE[[#This Row],[NomeNCM]],8)</f>
        <v>58110000</v>
      </c>
      <c r="B973" s="7" t="s">
        <v>4158</v>
      </c>
      <c r="C973" s="3" t="str">
        <f>IFERROR(VLOOKUP(B973,ST!C:D,2,0),"NÃOST")</f>
        <v>NÃOST</v>
      </c>
      <c r="E973" s="3" t="str">
        <f>IF(COUNTIF(ISENÇÕES!A:A,CST!B973)&gt;0,"ISENÇÃO","SEM ISENÇÃO")</f>
        <v>SEM ISENÇÃO</v>
      </c>
      <c r="F973" s="18" t="str">
        <f>IF(COUNTIF(REDUÇÕES!A:A,CST!B973)&gt;0,"REDUÇÃO","NÃO REDUÇÃO")</f>
        <v>NÃO REDUÇÃO</v>
      </c>
      <c r="G973" s="27">
        <f t="shared" si="15"/>
        <v>0</v>
      </c>
    </row>
    <row r="974" spans="1:7" x14ac:dyDescent="0.25">
      <c r="A974" s="120" t="str">
        <f>RIGHT(CSTABLE[[#This Row],[NomeNCM]],8)</f>
        <v>84818011</v>
      </c>
      <c r="B974" s="7" t="s">
        <v>4159</v>
      </c>
      <c r="C974" s="3" t="str">
        <f>IFERROR(VLOOKUP(B974,ST!C:D,2,0),"NÃOST")</f>
        <v>NÃOST</v>
      </c>
      <c r="E974" s="3" t="str">
        <f>IF(COUNTIF(ISENÇÕES!A:A,CST!B974)&gt;0,"ISENÇÃO","SEM ISENÇÃO")</f>
        <v>SEM ISENÇÃO</v>
      </c>
      <c r="F974" s="18" t="str">
        <f>IF(COUNTIF(REDUÇÕES!A:A,CST!B974)&gt;0,"REDUÇÃO","NÃO REDUÇÃO")</f>
        <v>NÃO REDUÇÃO</v>
      </c>
      <c r="G974" s="27">
        <f t="shared" si="15"/>
        <v>0</v>
      </c>
    </row>
    <row r="975" spans="1:7" x14ac:dyDescent="0.25">
      <c r="A975" s="120" t="str">
        <f>RIGHT(CSTABLE[[#This Row],[NomeNCM]],8)</f>
        <v>42029900</v>
      </c>
      <c r="B975" s="7" t="s">
        <v>4160</v>
      </c>
      <c r="C975" s="3" t="str">
        <f>IFERROR(VLOOKUP(B975,ST!C:D,2,0),"NÃOST")</f>
        <v>NÃOST</v>
      </c>
      <c r="E975" s="3" t="str">
        <f>IF(COUNTIF(ISENÇÕES!A:A,CST!B975)&gt;0,"ISENÇÃO","SEM ISENÇÃO")</f>
        <v>SEM ISENÇÃO</v>
      </c>
      <c r="F975" s="18" t="str">
        <f>IF(COUNTIF(REDUÇÕES!A:A,CST!B975)&gt;0,"REDUÇÃO","NÃO REDUÇÃO")</f>
        <v>NÃO REDUÇÃO</v>
      </c>
      <c r="G975" s="27">
        <f t="shared" ref="G975:G1038" si="16">VLOOKUP(C975&amp;F975&amp;E975,$B$3:$F$10,5,0)</f>
        <v>0</v>
      </c>
    </row>
    <row r="976" spans="1:7" x14ac:dyDescent="0.25">
      <c r="A976" s="120" t="str">
        <f>RIGHT(CSTABLE[[#This Row],[NomeNCM]],8)</f>
        <v>85102000</v>
      </c>
      <c r="B976" s="7" t="s">
        <v>4161</v>
      </c>
      <c r="C976" s="3" t="str">
        <f>IFERROR(VLOOKUP(B976,ST!C:D,2,0),"NÃOST")</f>
        <v>NÃOST</v>
      </c>
      <c r="E976" s="3" t="str">
        <f>IF(COUNTIF(ISENÇÕES!A:A,CST!B976)&gt;0,"ISENÇÃO","SEM ISENÇÃO")</f>
        <v>SEM ISENÇÃO</v>
      </c>
      <c r="F976" s="18" t="str">
        <f>IF(COUNTIF(REDUÇÕES!A:A,CST!B976)&gt;0,"REDUÇÃO","NÃO REDUÇÃO")</f>
        <v>NÃO REDUÇÃO</v>
      </c>
      <c r="G976" s="27">
        <f t="shared" si="16"/>
        <v>0</v>
      </c>
    </row>
    <row r="977" spans="1:7" x14ac:dyDescent="0.25">
      <c r="A977" s="120" t="str">
        <f>RIGHT(CSTABLE[[#This Row],[NomeNCM]],8)</f>
        <v>79070090</v>
      </c>
      <c r="B977" s="7" t="s">
        <v>4162</v>
      </c>
      <c r="C977" s="3" t="str">
        <f>IFERROR(VLOOKUP(B977,ST!C:D,2,0),"NÃOST")</f>
        <v>NÃOST</v>
      </c>
      <c r="E977" s="3" t="str">
        <f>IF(COUNTIF(ISENÇÕES!A:A,CST!B977)&gt;0,"ISENÇÃO","SEM ISENÇÃO")</f>
        <v>SEM ISENÇÃO</v>
      </c>
      <c r="F977" s="18" t="str">
        <f>IF(COUNTIF(REDUÇÕES!A:A,CST!B977)&gt;0,"REDUÇÃO","NÃO REDUÇÃO")</f>
        <v>NÃO REDUÇÃO</v>
      </c>
      <c r="G977" s="27">
        <f t="shared" si="16"/>
        <v>0</v>
      </c>
    </row>
    <row r="978" spans="1:7" x14ac:dyDescent="0.25">
      <c r="A978" s="120" t="str">
        <f>RIGHT(CSTABLE[[#This Row],[NomeNCM]],8)</f>
        <v>61152100</v>
      </c>
      <c r="B978" s="7" t="s">
        <v>4163</v>
      </c>
      <c r="C978" s="3" t="str">
        <f>IFERROR(VLOOKUP(B978,ST!C:D,2,0),"NÃOST")</f>
        <v>NÃOST</v>
      </c>
      <c r="E978" s="3" t="str">
        <f>IF(COUNTIF(ISENÇÕES!A:A,CST!B978)&gt;0,"ISENÇÃO","SEM ISENÇÃO")</f>
        <v>SEM ISENÇÃO</v>
      </c>
      <c r="F978" s="18" t="str">
        <f>IF(COUNTIF(REDUÇÕES!A:A,CST!B978)&gt;0,"REDUÇÃO","NÃO REDUÇÃO")</f>
        <v>NÃO REDUÇÃO</v>
      </c>
      <c r="G978" s="27">
        <f t="shared" si="16"/>
        <v>0</v>
      </c>
    </row>
    <row r="979" spans="1:7" x14ac:dyDescent="0.25">
      <c r="A979" s="120" t="str">
        <f>RIGHT(CSTABLE[[#This Row],[NomeNCM]],8)</f>
        <v>42021210</v>
      </c>
      <c r="B979" s="7" t="s">
        <v>4164</v>
      </c>
      <c r="C979" s="3" t="str">
        <f>IFERROR(VLOOKUP(B979,ST!C:D,2,0),"NÃOST")</f>
        <v>NÃOST</v>
      </c>
      <c r="E979" s="3" t="str">
        <f>IF(COUNTIF(ISENÇÕES!A:A,CST!B979)&gt;0,"ISENÇÃO","SEM ISENÇÃO")</f>
        <v>SEM ISENÇÃO</v>
      </c>
      <c r="F979" s="18" t="str">
        <f>IF(COUNTIF(REDUÇÕES!A:A,CST!B979)&gt;0,"REDUÇÃO","NÃO REDUÇÃO")</f>
        <v>NÃO REDUÇÃO</v>
      </c>
      <c r="G979" s="27">
        <f t="shared" si="16"/>
        <v>0</v>
      </c>
    </row>
    <row r="980" spans="1:7" x14ac:dyDescent="0.25">
      <c r="A980" s="120" t="str">
        <f>RIGHT(CSTABLE[[#This Row],[NomeNCM]],8)</f>
        <v>32131000</v>
      </c>
      <c r="B980" s="7" t="s">
        <v>4165</v>
      </c>
      <c r="C980" s="3" t="str">
        <f>IFERROR(VLOOKUP(B980,ST!C:D,2,0),"NÃOST")</f>
        <v>NÃOST</v>
      </c>
      <c r="E980" s="3" t="str">
        <f>IF(COUNTIF(ISENÇÕES!A:A,CST!B980)&gt;0,"ISENÇÃO","SEM ISENÇÃO")</f>
        <v>SEM ISENÇÃO</v>
      </c>
      <c r="F980" s="18" t="str">
        <f>IF(COUNTIF(REDUÇÕES!A:A,CST!B980)&gt;0,"REDUÇÃO","NÃO REDUÇÃO")</f>
        <v>NÃO REDUÇÃO</v>
      </c>
      <c r="G980" s="27">
        <f t="shared" si="16"/>
        <v>0</v>
      </c>
    </row>
    <row r="981" spans="1:7" x14ac:dyDescent="0.25">
      <c r="A981" s="120" t="str">
        <f>RIGHT(CSTABLE[[#This Row],[NomeNCM]],8)</f>
        <v>65020010</v>
      </c>
      <c r="B981" s="7" t="s">
        <v>4166</v>
      </c>
      <c r="C981" s="3" t="str">
        <f>IFERROR(VLOOKUP(B981,ST!C:D,2,0),"NÃOST")</f>
        <v>NÃOST</v>
      </c>
      <c r="E981" s="3" t="str">
        <f>IF(COUNTIF(ISENÇÕES!A:A,CST!B981)&gt;0,"ISENÇÃO","SEM ISENÇÃO")</f>
        <v>SEM ISENÇÃO</v>
      </c>
      <c r="F981" s="18" t="str">
        <f>IF(COUNTIF(REDUÇÕES!A:A,CST!B981)&gt;0,"REDUÇÃO","NÃO REDUÇÃO")</f>
        <v>NÃO REDUÇÃO</v>
      </c>
      <c r="G981" s="27">
        <f t="shared" si="16"/>
        <v>0</v>
      </c>
    </row>
    <row r="982" spans="1:7" x14ac:dyDescent="0.25">
      <c r="A982" s="120" t="str">
        <f>RIGHT(CSTABLE[[#This Row],[NomeNCM]],8)</f>
        <v>11031900</v>
      </c>
      <c r="B982" s="7" t="s">
        <v>4167</v>
      </c>
      <c r="C982" s="3" t="str">
        <f>IFERROR(VLOOKUP(B982,ST!C:D,2,0),"NÃOST")</f>
        <v>NÃOST</v>
      </c>
      <c r="E982" s="3" t="str">
        <f>IF(COUNTIF(ISENÇÕES!A:A,CST!B982)&gt;0,"ISENÇÃO","SEM ISENÇÃO")</f>
        <v>SEM ISENÇÃO</v>
      </c>
      <c r="F982" s="18" t="str">
        <f>IF(COUNTIF(REDUÇÕES!A:A,CST!B982)&gt;0,"REDUÇÃO","NÃO REDUÇÃO")</f>
        <v>NÃO REDUÇÃO</v>
      </c>
      <c r="G982" s="27">
        <f t="shared" si="16"/>
        <v>0</v>
      </c>
    </row>
    <row r="983" spans="1:7" x14ac:dyDescent="0.25">
      <c r="A983" s="120" t="str">
        <f>RIGHT(CSTABLE[[#This Row],[NomeNCM]],8)</f>
        <v>57039000</v>
      </c>
      <c r="B983" s="7" t="s">
        <v>4168</v>
      </c>
      <c r="C983" s="3" t="str">
        <f>IFERROR(VLOOKUP(B983,ST!C:D,2,0),"NÃOST")</f>
        <v>NÃOST</v>
      </c>
      <c r="E983" s="3" t="str">
        <f>IF(COUNTIF(ISENÇÕES!A:A,CST!B983)&gt;0,"ISENÇÃO","SEM ISENÇÃO")</f>
        <v>SEM ISENÇÃO</v>
      </c>
      <c r="F983" s="18" t="str">
        <f>IF(COUNTIF(REDUÇÕES!A:A,CST!B983)&gt;0,"REDUÇÃO","NÃO REDUÇÃO")</f>
        <v>NÃO REDUÇÃO</v>
      </c>
      <c r="G983" s="27">
        <f t="shared" si="16"/>
        <v>0</v>
      </c>
    </row>
    <row r="984" spans="1:7" x14ac:dyDescent="0.25">
      <c r="A984" s="120" t="str">
        <f>RIGHT(CSTABLE[[#This Row],[NomeNCM]],8)</f>
        <v>70131000</v>
      </c>
      <c r="B984" s="7" t="s">
        <v>4169</v>
      </c>
      <c r="C984" s="3" t="str">
        <f>IFERROR(VLOOKUP(B984,ST!C:D,2,0),"NÃOST")</f>
        <v>NÃOST</v>
      </c>
      <c r="E984" s="3" t="str">
        <f>IF(COUNTIF(ISENÇÕES!A:A,CST!B984)&gt;0,"ISENÇÃO","SEM ISENÇÃO")</f>
        <v>SEM ISENÇÃO</v>
      </c>
      <c r="F984" s="18" t="str">
        <f>IF(COUNTIF(REDUÇÕES!A:A,CST!B984)&gt;0,"REDUÇÃO","NÃO REDUÇÃO")</f>
        <v>NÃO REDUÇÃO</v>
      </c>
      <c r="G984" s="27">
        <f t="shared" si="16"/>
        <v>0</v>
      </c>
    </row>
    <row r="985" spans="1:7" x14ac:dyDescent="0.25">
      <c r="A985" s="120" t="str">
        <f>RIGHT(CSTABLE[[#This Row],[NomeNCM]],8)</f>
        <v>72172090</v>
      </c>
      <c r="B985" s="7" t="s">
        <v>4170</v>
      </c>
      <c r="C985" s="3" t="str">
        <f>IFERROR(VLOOKUP(B985,ST!C:D,2,0),"NÃOST")</f>
        <v>NÃOST</v>
      </c>
      <c r="E985" s="3" t="str">
        <f>IF(COUNTIF(ISENÇÕES!A:A,CST!B985)&gt;0,"ISENÇÃO","SEM ISENÇÃO")</f>
        <v>SEM ISENÇÃO</v>
      </c>
      <c r="F985" s="18" t="str">
        <f>IF(COUNTIF(REDUÇÕES!A:A,CST!B985)&gt;0,"REDUÇÃO","NÃO REDUÇÃO")</f>
        <v>NÃO REDUÇÃO</v>
      </c>
      <c r="G985" s="27">
        <f t="shared" si="16"/>
        <v>0</v>
      </c>
    </row>
    <row r="986" spans="1:7" x14ac:dyDescent="0.25">
      <c r="A986" s="120" t="str">
        <f>RIGHT(CSTABLE[[#This Row],[NomeNCM]],8)</f>
        <v>95071000</v>
      </c>
      <c r="B986" s="7" t="s">
        <v>4171</v>
      </c>
      <c r="C986" s="3" t="str">
        <f>IFERROR(VLOOKUP(B986,ST!C:D,2,0),"NÃOST")</f>
        <v>NÃOST</v>
      </c>
      <c r="E986" s="3" t="str">
        <f>IF(COUNTIF(ISENÇÕES!A:A,CST!B986)&gt;0,"ISENÇÃO","SEM ISENÇÃO")</f>
        <v>SEM ISENÇÃO</v>
      </c>
      <c r="F986" s="18" t="str">
        <f>IF(COUNTIF(REDUÇÕES!A:A,CST!B986)&gt;0,"REDUÇÃO","NÃO REDUÇÃO")</f>
        <v>NÃO REDUÇÃO</v>
      </c>
      <c r="G986" s="27">
        <f t="shared" si="16"/>
        <v>0</v>
      </c>
    </row>
    <row r="987" spans="1:7" x14ac:dyDescent="0.25">
      <c r="A987" s="120" t="str">
        <f>RIGHT(CSTABLE[[#This Row],[NomeNCM]],8)</f>
        <v>83059000</v>
      </c>
      <c r="B987" s="7" t="s">
        <v>4172</v>
      </c>
      <c r="C987" s="3" t="str">
        <f>IFERROR(VLOOKUP(B987,ST!C:D,2,0),"NÃOST")</f>
        <v>NÃOST</v>
      </c>
      <c r="E987" s="3" t="str">
        <f>IF(COUNTIF(ISENÇÕES!A:A,CST!B987)&gt;0,"ISENÇÃO","SEM ISENÇÃO")</f>
        <v>SEM ISENÇÃO</v>
      </c>
      <c r="F987" s="18" t="str">
        <f>IF(COUNTIF(REDUÇÕES!A:A,CST!B987)&gt;0,"REDUÇÃO","NÃO REDUÇÃO")</f>
        <v>NÃO REDUÇÃO</v>
      </c>
      <c r="G987" s="27">
        <f t="shared" si="16"/>
        <v>0</v>
      </c>
    </row>
    <row r="988" spans="1:7" x14ac:dyDescent="0.25">
      <c r="A988" s="120" t="str">
        <f>RIGHT(CSTABLE[[#This Row],[NomeNCM]],8)</f>
        <v>08093020</v>
      </c>
      <c r="B988" s="7" t="s">
        <v>3333</v>
      </c>
      <c r="C988" s="3" t="str">
        <f>IFERROR(VLOOKUP(B988,ST!C:D,2,0),"NÃOST")</f>
        <v>NÃOST</v>
      </c>
      <c r="E988" s="3" t="str">
        <f>IF(COUNTIF(ISENÇÕES!A:A,CST!B988)&gt;0,"ISENÇÃO","SEM ISENÇÃO")</f>
        <v>ISENÇÃO</v>
      </c>
      <c r="F988" s="18" t="str">
        <f>IF(COUNTIF(REDUÇÕES!A:A,CST!B988)&gt;0,"REDUÇÃO","NÃO REDUÇÃO")</f>
        <v>NÃO REDUÇÃO</v>
      </c>
      <c r="G988" s="27">
        <f t="shared" si="16"/>
        <v>40</v>
      </c>
    </row>
    <row r="989" spans="1:7" x14ac:dyDescent="0.25">
      <c r="A989" s="120" t="str">
        <f>RIGHT(CSTABLE[[#This Row],[NomeNCM]],8)</f>
        <v>09103000</v>
      </c>
      <c r="B989" s="7" t="s">
        <v>4173</v>
      </c>
      <c r="C989" s="3" t="str">
        <f>IFERROR(VLOOKUP(B989,ST!C:D,2,0),"NÃOST")</f>
        <v>NÃOST</v>
      </c>
      <c r="E989" s="3" t="str">
        <f>IF(COUNTIF(ISENÇÕES!A:A,CST!B989)&gt;0,"ISENÇÃO","SEM ISENÇÃO")</f>
        <v>SEM ISENÇÃO</v>
      </c>
      <c r="F989" s="18" t="str">
        <f>IF(COUNTIF(REDUÇÕES!A:A,CST!B989)&gt;0,"REDUÇÃO","NÃO REDUÇÃO")</f>
        <v>NÃO REDUÇÃO</v>
      </c>
      <c r="G989" s="27">
        <f t="shared" si="16"/>
        <v>0</v>
      </c>
    </row>
    <row r="990" spans="1:7" x14ac:dyDescent="0.25">
      <c r="A990" s="120" t="str">
        <f>RIGHT(CSTABLE[[#This Row],[NomeNCM]],8)</f>
        <v>39221000</v>
      </c>
      <c r="B990" s="7" t="s">
        <v>4174</v>
      </c>
      <c r="C990" s="3" t="str">
        <f>IFERROR(VLOOKUP(B990,ST!C:D,2,0),"NÃOST")</f>
        <v>NÃOST</v>
      </c>
      <c r="E990" s="3" t="str">
        <f>IF(COUNTIF(ISENÇÕES!A:A,CST!B990)&gt;0,"ISENÇÃO","SEM ISENÇÃO")</f>
        <v>SEM ISENÇÃO</v>
      </c>
      <c r="F990" s="18" t="str">
        <f>IF(COUNTIF(REDUÇÕES!A:A,CST!B990)&gt;0,"REDUÇÃO","NÃO REDUÇÃO")</f>
        <v>NÃO REDUÇÃO</v>
      </c>
      <c r="G990" s="27">
        <f t="shared" si="16"/>
        <v>0</v>
      </c>
    </row>
    <row r="991" spans="1:7" x14ac:dyDescent="0.25">
      <c r="A991" s="120" t="str">
        <f>RIGHT(CSTABLE[[#This Row],[NomeNCM]],8)</f>
        <v>84248129</v>
      </c>
      <c r="B991" s="7" t="s">
        <v>4175</v>
      </c>
      <c r="C991" s="3" t="str">
        <f>IFERROR(VLOOKUP(B991,ST!C:D,2,0),"NÃOST")</f>
        <v>NÃOST</v>
      </c>
      <c r="E991" s="3" t="str">
        <f>IF(COUNTIF(ISENÇÕES!A:A,CST!B991)&gt;0,"ISENÇÃO","SEM ISENÇÃO")</f>
        <v>SEM ISENÇÃO</v>
      </c>
      <c r="F991" s="18" t="str">
        <f>IF(COUNTIF(REDUÇÕES!A:A,CST!B991)&gt;0,"REDUÇÃO","NÃO REDUÇÃO")</f>
        <v>NÃO REDUÇÃO</v>
      </c>
      <c r="G991" s="27">
        <f t="shared" si="16"/>
        <v>0</v>
      </c>
    </row>
    <row r="992" spans="1:7" x14ac:dyDescent="0.25">
      <c r="A992" s="120" t="str">
        <f>RIGHT(CSTABLE[[#This Row],[NomeNCM]],8)</f>
        <v>39199000</v>
      </c>
      <c r="B992" s="7" t="s">
        <v>4176</v>
      </c>
      <c r="C992" s="3" t="str">
        <f>IFERROR(VLOOKUP(B992,ST!C:D,2,0),"NÃOST")</f>
        <v>NÃOST</v>
      </c>
      <c r="E992" s="3" t="str">
        <f>IF(COUNTIF(ISENÇÕES!A:A,CST!B992)&gt;0,"ISENÇÃO","SEM ISENÇÃO")</f>
        <v>SEM ISENÇÃO</v>
      </c>
      <c r="F992" s="18" t="str">
        <f>IF(COUNTIF(REDUÇÕES!A:A,CST!B992)&gt;0,"REDUÇÃO","NÃO REDUÇÃO")</f>
        <v>NÃO REDUÇÃO</v>
      </c>
      <c r="G992" s="27">
        <f t="shared" si="16"/>
        <v>0</v>
      </c>
    </row>
    <row r="993" spans="1:7" x14ac:dyDescent="0.25">
      <c r="A993" s="120" t="str">
        <f>RIGHT(CSTABLE[[#This Row],[NomeNCM]],8)</f>
        <v>70139110</v>
      </c>
      <c r="B993" s="7" t="s">
        <v>4177</v>
      </c>
      <c r="C993" s="3" t="str">
        <f>IFERROR(VLOOKUP(B993,ST!C:D,2,0),"NÃOST")</f>
        <v>NÃOST</v>
      </c>
      <c r="E993" s="3" t="str">
        <f>IF(COUNTIF(ISENÇÕES!A:A,CST!B993)&gt;0,"ISENÇÃO","SEM ISENÇÃO")</f>
        <v>SEM ISENÇÃO</v>
      </c>
      <c r="F993" s="18" t="str">
        <f>IF(COUNTIF(REDUÇÕES!A:A,CST!B993)&gt;0,"REDUÇÃO","NÃO REDUÇÃO")</f>
        <v>NÃO REDUÇÃO</v>
      </c>
      <c r="G993" s="27">
        <f t="shared" si="16"/>
        <v>0</v>
      </c>
    </row>
    <row r="994" spans="1:7" x14ac:dyDescent="0.25">
      <c r="A994" s="120" t="str">
        <f>RIGHT(CSTABLE[[#This Row],[NomeNCM]],8)</f>
        <v>65040010</v>
      </c>
      <c r="B994" s="7" t="s">
        <v>4178</v>
      </c>
      <c r="C994" s="3" t="str">
        <f>IFERROR(VLOOKUP(B994,ST!C:D,2,0),"NÃOST")</f>
        <v>NÃOST</v>
      </c>
      <c r="E994" s="3" t="str">
        <f>IF(COUNTIF(ISENÇÕES!A:A,CST!B994)&gt;0,"ISENÇÃO","SEM ISENÇÃO")</f>
        <v>SEM ISENÇÃO</v>
      </c>
      <c r="F994" s="18" t="str">
        <f>IF(COUNTIF(REDUÇÕES!A:A,CST!B994)&gt;0,"REDUÇÃO","NÃO REDUÇÃO")</f>
        <v>NÃO REDUÇÃO</v>
      </c>
      <c r="G994" s="27">
        <f t="shared" si="16"/>
        <v>0</v>
      </c>
    </row>
    <row r="995" spans="1:7" x14ac:dyDescent="0.25">
      <c r="A995" s="120" t="str">
        <f>RIGHT(CSTABLE[[#This Row],[NomeNCM]],8)</f>
        <v>39211900</v>
      </c>
      <c r="B995" s="7" t="s">
        <v>4179</v>
      </c>
      <c r="C995" s="3" t="str">
        <f>IFERROR(VLOOKUP(B995,ST!C:D,2,0),"NÃOST")</f>
        <v>NÃOST</v>
      </c>
      <c r="E995" s="3" t="str">
        <f>IF(COUNTIF(ISENÇÕES!A:A,CST!B995)&gt;0,"ISENÇÃO","SEM ISENÇÃO")</f>
        <v>SEM ISENÇÃO</v>
      </c>
      <c r="F995" s="18" t="str">
        <f>IF(COUNTIF(REDUÇÕES!A:A,CST!B995)&gt;0,"REDUÇÃO","NÃO REDUÇÃO")</f>
        <v>NÃO REDUÇÃO</v>
      </c>
      <c r="G995" s="27">
        <f t="shared" si="16"/>
        <v>0</v>
      </c>
    </row>
    <row r="996" spans="1:7" x14ac:dyDescent="0.25">
      <c r="A996" s="120" t="str">
        <f>RIGHT(CSTABLE[[#This Row],[NomeNCM]],8)</f>
        <v>56031190</v>
      </c>
      <c r="B996" s="7" t="s">
        <v>4180</v>
      </c>
      <c r="C996" s="3" t="str">
        <f>IFERROR(VLOOKUP(B996,ST!C:D,2,0),"NÃOST")</f>
        <v>NÃOST</v>
      </c>
      <c r="E996" s="3" t="str">
        <f>IF(COUNTIF(ISENÇÕES!A:A,CST!B996)&gt;0,"ISENÇÃO","SEM ISENÇÃO")</f>
        <v>SEM ISENÇÃO</v>
      </c>
      <c r="F996" s="18" t="str">
        <f>IF(COUNTIF(REDUÇÕES!A:A,CST!B996)&gt;0,"REDUÇÃO","NÃO REDUÇÃO")</f>
        <v>NÃO REDUÇÃO</v>
      </c>
      <c r="G996" s="27">
        <f t="shared" si="16"/>
        <v>0</v>
      </c>
    </row>
    <row r="997" spans="1:7" x14ac:dyDescent="0.25">
      <c r="A997" s="120" t="str">
        <f>RIGHT(CSTABLE[[#This Row],[NomeNCM]],8)</f>
        <v>45041000</v>
      </c>
      <c r="B997" s="7" t="s">
        <v>4181</v>
      </c>
      <c r="C997" s="3" t="str">
        <f>IFERROR(VLOOKUP(B997,ST!C:D,2,0),"NÃOST")</f>
        <v>NÃOST</v>
      </c>
      <c r="E997" s="3" t="str">
        <f>IF(COUNTIF(ISENÇÕES!A:A,CST!B997)&gt;0,"ISENÇÃO","SEM ISENÇÃO")</f>
        <v>SEM ISENÇÃO</v>
      </c>
      <c r="F997" s="18" t="str">
        <f>IF(COUNTIF(REDUÇÕES!A:A,CST!B997)&gt;0,"REDUÇÃO","NÃO REDUÇÃO")</f>
        <v>NÃO REDUÇÃO</v>
      </c>
      <c r="G997" s="27">
        <f t="shared" si="16"/>
        <v>0</v>
      </c>
    </row>
    <row r="998" spans="1:7" x14ac:dyDescent="0.25">
      <c r="A998" s="120" t="str">
        <f>RIGHT(CSTABLE[[#This Row],[NomeNCM]],8)</f>
        <v>61071200</v>
      </c>
      <c r="B998" s="7" t="s">
        <v>4182</v>
      </c>
      <c r="C998" s="3" t="str">
        <f>IFERROR(VLOOKUP(B998,ST!C:D,2,0),"NÃOST")</f>
        <v>NÃOST</v>
      </c>
      <c r="E998" s="3" t="str">
        <f>IF(COUNTIF(ISENÇÕES!A:A,CST!B998)&gt;0,"ISENÇÃO","SEM ISENÇÃO")</f>
        <v>SEM ISENÇÃO</v>
      </c>
      <c r="F998" s="18" t="str">
        <f>IF(COUNTIF(REDUÇÕES!A:A,CST!B998)&gt;0,"REDUÇÃO","NÃO REDUÇÃO")</f>
        <v>NÃO REDUÇÃO</v>
      </c>
      <c r="G998" s="27">
        <f t="shared" si="16"/>
        <v>0</v>
      </c>
    </row>
    <row r="999" spans="1:7" x14ac:dyDescent="0.25">
      <c r="A999" s="120" t="str">
        <f>RIGHT(CSTABLE[[#This Row],[NomeNCM]],8)</f>
        <v>48194000</v>
      </c>
      <c r="B999" s="7" t="s">
        <v>4183</v>
      </c>
      <c r="C999" s="3" t="str">
        <f>IFERROR(VLOOKUP(B999,ST!C:D,2,0),"NÃOST")</f>
        <v>NÃOST</v>
      </c>
      <c r="E999" s="3" t="str">
        <f>IF(COUNTIF(ISENÇÕES!A:A,CST!B999)&gt;0,"ISENÇÃO","SEM ISENÇÃO")</f>
        <v>SEM ISENÇÃO</v>
      </c>
      <c r="F999" s="18" t="str">
        <f>IF(COUNTIF(REDUÇÕES!A:A,CST!B999)&gt;0,"REDUÇÃO","NÃO REDUÇÃO")</f>
        <v>NÃO REDUÇÃO</v>
      </c>
      <c r="G999" s="27">
        <f t="shared" si="16"/>
        <v>0</v>
      </c>
    </row>
    <row r="1000" spans="1:7" x14ac:dyDescent="0.25">
      <c r="A1000" s="120" t="str">
        <f>RIGHT(CSTABLE[[#This Row],[NomeNCM]],8)</f>
        <v>76151900</v>
      </c>
      <c r="B1000" s="7" t="s">
        <v>4184</v>
      </c>
      <c r="C1000" s="3" t="str">
        <f>IFERROR(VLOOKUP(B1000,ST!C:D,2,0),"NÃOST")</f>
        <v>NÃOST</v>
      </c>
      <c r="E1000" s="3" t="str">
        <f>IF(COUNTIF(ISENÇÕES!A:A,CST!B1000)&gt;0,"ISENÇÃO","SEM ISENÇÃO")</f>
        <v>SEM ISENÇÃO</v>
      </c>
      <c r="F1000" s="18" t="str">
        <f>IF(COUNTIF(REDUÇÕES!A:A,CST!B1000)&gt;0,"REDUÇÃO","NÃO REDUÇÃO")</f>
        <v>NÃO REDUÇÃO</v>
      </c>
      <c r="G1000" s="27">
        <f t="shared" si="16"/>
        <v>0</v>
      </c>
    </row>
    <row r="1001" spans="1:7" x14ac:dyDescent="0.25">
      <c r="A1001" s="120" t="str">
        <f>RIGHT(CSTABLE[[#This Row],[NomeNCM]],8)</f>
        <v>62089100</v>
      </c>
      <c r="B1001" s="7" t="s">
        <v>4185</v>
      </c>
      <c r="C1001" s="3" t="str">
        <f>IFERROR(VLOOKUP(B1001,ST!C:D,2,0),"NÃOST")</f>
        <v>NÃOST</v>
      </c>
      <c r="E1001" s="3" t="str">
        <f>IF(COUNTIF(ISENÇÕES!A:A,CST!B1001)&gt;0,"ISENÇÃO","SEM ISENÇÃO")</f>
        <v>SEM ISENÇÃO</v>
      </c>
      <c r="F1001" s="18" t="str">
        <f>IF(COUNTIF(REDUÇÕES!A:A,CST!B1001)&gt;0,"REDUÇÃO","NÃO REDUÇÃO")</f>
        <v>NÃO REDUÇÃO</v>
      </c>
      <c r="G1001" s="27">
        <f t="shared" si="16"/>
        <v>0</v>
      </c>
    </row>
    <row r="1002" spans="1:7" x14ac:dyDescent="0.25">
      <c r="A1002" s="120" t="str">
        <f>RIGHT(CSTABLE[[#This Row],[NomeNCM]],8)</f>
        <v>95030010</v>
      </c>
      <c r="B1002" s="7" t="s">
        <v>4186</v>
      </c>
      <c r="C1002" s="3" t="str">
        <f>IFERROR(VLOOKUP(B1002,ST!C:D,2,0),"NÃOST")</f>
        <v>NÃOST</v>
      </c>
      <c r="E1002" s="3" t="str">
        <f>IF(COUNTIF(ISENÇÕES!A:A,CST!B1002)&gt;0,"ISENÇÃO","SEM ISENÇÃO")</f>
        <v>SEM ISENÇÃO</v>
      </c>
      <c r="F1002" s="18" t="str">
        <f>IF(COUNTIF(REDUÇÕES!A:A,CST!B1002)&gt;0,"REDUÇÃO","NÃO REDUÇÃO")</f>
        <v>NÃO REDUÇÃO</v>
      </c>
      <c r="G1002" s="27">
        <f t="shared" si="16"/>
        <v>0</v>
      </c>
    </row>
    <row r="1003" spans="1:7" x14ac:dyDescent="0.25">
      <c r="A1003" s="120" t="str">
        <f>RIGHT(CSTABLE[[#This Row],[NomeNCM]],8)</f>
        <v>39206219</v>
      </c>
      <c r="B1003" s="7" t="s">
        <v>4187</v>
      </c>
      <c r="C1003" s="3" t="str">
        <f>IFERROR(VLOOKUP(B1003,ST!C:D,2,0),"NÃOST")</f>
        <v>NÃOST</v>
      </c>
      <c r="E1003" s="3" t="str">
        <f>IF(COUNTIF(ISENÇÕES!A:A,CST!B1003)&gt;0,"ISENÇÃO","SEM ISENÇÃO")</f>
        <v>SEM ISENÇÃO</v>
      </c>
      <c r="F1003" s="18" t="str">
        <f>IF(COUNTIF(REDUÇÕES!A:A,CST!B1003)&gt;0,"REDUÇÃO","NÃO REDUÇÃO")</f>
        <v>NÃO REDUÇÃO</v>
      </c>
      <c r="G1003" s="27">
        <f t="shared" si="16"/>
        <v>0</v>
      </c>
    </row>
    <row r="1004" spans="1:7" x14ac:dyDescent="0.25">
      <c r="A1004" s="120" t="str">
        <f>RIGHT(CSTABLE[[#This Row],[NomeNCM]],8)</f>
        <v>61151022</v>
      </c>
      <c r="B1004" s="7" t="s">
        <v>4188</v>
      </c>
      <c r="C1004" s="3" t="str">
        <f>IFERROR(VLOOKUP(B1004,ST!C:D,2,0),"NÃOST")</f>
        <v>NÃOST</v>
      </c>
      <c r="E1004" s="3" t="str">
        <f>IF(COUNTIF(ISENÇÕES!A:A,CST!B1004)&gt;0,"ISENÇÃO","SEM ISENÇÃO")</f>
        <v>SEM ISENÇÃO</v>
      </c>
      <c r="F1004" s="18" t="str">
        <f>IF(COUNTIF(REDUÇÕES!A:A,CST!B1004)&gt;0,"REDUÇÃO","NÃO REDUÇÃO")</f>
        <v>NÃO REDUÇÃO</v>
      </c>
      <c r="G1004" s="27">
        <f t="shared" si="16"/>
        <v>0</v>
      </c>
    </row>
    <row r="1005" spans="1:7" x14ac:dyDescent="0.25">
      <c r="A1005" s="120" t="str">
        <f>RIGHT(CSTABLE[[#This Row],[NomeNCM]],8)</f>
        <v>35030019</v>
      </c>
      <c r="B1005" s="7" t="s">
        <v>4189</v>
      </c>
      <c r="C1005" s="3" t="str">
        <f>IFERROR(VLOOKUP(B1005,ST!C:D,2,0),"NÃOST")</f>
        <v>NÃOST</v>
      </c>
      <c r="E1005" s="3" t="str">
        <f>IF(COUNTIF(ISENÇÕES!A:A,CST!B1005)&gt;0,"ISENÇÃO","SEM ISENÇÃO")</f>
        <v>SEM ISENÇÃO</v>
      </c>
      <c r="F1005" s="18" t="str">
        <f>IF(COUNTIF(REDUÇÕES!A:A,CST!B1005)&gt;0,"REDUÇÃO","NÃO REDUÇÃO")</f>
        <v>NÃO REDUÇÃO</v>
      </c>
      <c r="G1005" s="27">
        <f t="shared" si="16"/>
        <v>0</v>
      </c>
    </row>
    <row r="1006" spans="1:7" x14ac:dyDescent="0.25">
      <c r="A1006" s="120" t="str">
        <f>RIGHT(CSTABLE[[#This Row],[NomeNCM]],8)</f>
        <v>39264000</v>
      </c>
      <c r="B1006" s="7" t="s">
        <v>4190</v>
      </c>
      <c r="C1006" s="3" t="str">
        <f>IFERROR(VLOOKUP(B1006,ST!C:D,2,0),"NÃOST")</f>
        <v>NÃOST</v>
      </c>
      <c r="E1006" s="3" t="str">
        <f>IF(COUNTIF(ISENÇÕES!A:A,CST!B1006)&gt;0,"ISENÇÃO","SEM ISENÇÃO")</f>
        <v>SEM ISENÇÃO</v>
      </c>
      <c r="F1006" s="18" t="str">
        <f>IF(COUNTIF(REDUÇÕES!A:A,CST!B1006)&gt;0,"REDUÇÃO","NÃO REDUÇÃO")</f>
        <v>NÃO REDUÇÃO</v>
      </c>
      <c r="G1006" s="27">
        <f t="shared" si="16"/>
        <v>0</v>
      </c>
    </row>
    <row r="1007" spans="1:7" x14ac:dyDescent="0.25">
      <c r="A1007" s="120" t="str">
        <f>RIGHT(CSTABLE[[#This Row],[NomeNCM]],8)</f>
        <v>48237000</v>
      </c>
      <c r="B1007" s="7" t="s">
        <v>4191</v>
      </c>
      <c r="C1007" s="3" t="str">
        <f>IFERROR(VLOOKUP(B1007,ST!C:D,2,0),"NÃOST")</f>
        <v>NÃOST</v>
      </c>
      <c r="E1007" s="3" t="str">
        <f>IF(COUNTIF(ISENÇÕES!A:A,CST!B1007)&gt;0,"ISENÇÃO","SEM ISENÇÃO")</f>
        <v>SEM ISENÇÃO</v>
      </c>
      <c r="F1007" s="18" t="str">
        <f>IF(COUNTIF(REDUÇÕES!A:A,CST!B1007)&gt;0,"REDUÇÃO","NÃO REDUÇÃO")</f>
        <v>NÃO REDUÇÃO</v>
      </c>
      <c r="G1007" s="27">
        <f t="shared" si="16"/>
        <v>0</v>
      </c>
    </row>
    <row r="1008" spans="1:7" x14ac:dyDescent="0.25">
      <c r="A1008" s="120" t="str">
        <f>RIGHT(CSTABLE[[#This Row],[NomeNCM]],8)</f>
        <v>58062000</v>
      </c>
      <c r="B1008" s="7" t="s">
        <v>4192</v>
      </c>
      <c r="C1008" s="3" t="str">
        <f>IFERROR(VLOOKUP(B1008,ST!C:D,2,0),"NÃOST")</f>
        <v>NÃOST</v>
      </c>
      <c r="E1008" s="3" t="str">
        <f>IF(COUNTIF(ISENÇÕES!A:A,CST!B1008)&gt;0,"ISENÇÃO","SEM ISENÇÃO")</f>
        <v>SEM ISENÇÃO</v>
      </c>
      <c r="F1008" s="18" t="str">
        <f>IF(COUNTIF(REDUÇÕES!A:A,CST!B1008)&gt;0,"REDUÇÃO","NÃO REDUÇÃO")</f>
        <v>NÃO REDUÇÃO</v>
      </c>
      <c r="G1008" s="27">
        <f t="shared" si="16"/>
        <v>0</v>
      </c>
    </row>
    <row r="1009" spans="1:7" x14ac:dyDescent="0.25">
      <c r="A1009" s="120" t="str">
        <f>RIGHT(CSTABLE[[#This Row],[NomeNCM]],8)</f>
        <v>17011300</v>
      </c>
      <c r="B1009" s="7" t="s">
        <v>3574</v>
      </c>
      <c r="C1009" s="3" t="str">
        <f>IFERROR(VLOOKUP(B1009,ST!C:D,2,0),"NÃOST")</f>
        <v>NÃOST</v>
      </c>
      <c r="E1009" s="3" t="str">
        <f>IF(COUNTIF(ISENÇÕES!A:A,CST!B1009)&gt;0,"ISENÇÃO","SEM ISENÇÃO")</f>
        <v>SEM ISENÇÃO</v>
      </c>
      <c r="F1009" s="18" t="str">
        <f>IF(COUNTIF(REDUÇÕES!A:A,CST!B1009)&gt;0,"REDUÇÃO","NÃO REDUÇÃO")</f>
        <v>REDUÇÃO</v>
      </c>
      <c r="G1009" s="27">
        <f t="shared" si="16"/>
        <v>20</v>
      </c>
    </row>
    <row r="1010" spans="1:7" x14ac:dyDescent="0.25">
      <c r="A1010" s="120" t="str">
        <f>RIGHT(CSTABLE[[#This Row],[NomeNCM]],8)</f>
        <v>63022200</v>
      </c>
      <c r="B1010" s="7" t="s">
        <v>4193</v>
      </c>
      <c r="C1010" s="3" t="str">
        <f>IFERROR(VLOOKUP(B1010,ST!C:D,2,0),"NÃOST")</f>
        <v>NÃOST</v>
      </c>
      <c r="E1010" s="3" t="str">
        <f>IF(COUNTIF(ISENÇÕES!A:A,CST!B1010)&gt;0,"ISENÇÃO","SEM ISENÇÃO")</f>
        <v>SEM ISENÇÃO</v>
      </c>
      <c r="F1010" s="18" t="str">
        <f>IF(COUNTIF(REDUÇÕES!A:A,CST!B1010)&gt;0,"REDUÇÃO","NÃO REDUÇÃO")</f>
        <v>NÃO REDUÇÃO</v>
      </c>
      <c r="G1010" s="27">
        <f t="shared" si="16"/>
        <v>0</v>
      </c>
    </row>
    <row r="1011" spans="1:7" x14ac:dyDescent="0.25">
      <c r="A1011" s="120" t="str">
        <f>RIGHT(CSTABLE[[#This Row],[NomeNCM]],8)</f>
        <v>85234190</v>
      </c>
      <c r="B1011" s="7" t="s">
        <v>4194</v>
      </c>
      <c r="C1011" s="3" t="str">
        <f>IFERROR(VLOOKUP(B1011,ST!C:D,2,0),"NÃOST")</f>
        <v>NÃOST</v>
      </c>
      <c r="E1011" s="3" t="str">
        <f>IF(COUNTIF(ISENÇÕES!A:A,CST!B1011)&gt;0,"ISENÇÃO","SEM ISENÇÃO")</f>
        <v>SEM ISENÇÃO</v>
      </c>
      <c r="F1011" s="18" t="str">
        <f>IF(COUNTIF(REDUÇÕES!A:A,CST!B1011)&gt;0,"REDUÇÃO","NÃO REDUÇÃO")</f>
        <v>NÃO REDUÇÃO</v>
      </c>
      <c r="G1011" s="27">
        <f t="shared" si="16"/>
        <v>0</v>
      </c>
    </row>
    <row r="1012" spans="1:7" x14ac:dyDescent="0.25">
      <c r="A1012" s="120" t="str">
        <f>RIGHT(CSTABLE[[#This Row],[NomeNCM]],8)</f>
        <v>39019090</v>
      </c>
      <c r="B1012" s="7" t="s">
        <v>4195</v>
      </c>
      <c r="C1012" s="3" t="str">
        <f>IFERROR(VLOOKUP(B1012,ST!C:D,2,0),"NÃOST")</f>
        <v>NÃOST</v>
      </c>
      <c r="E1012" s="3" t="str">
        <f>IF(COUNTIF(ISENÇÕES!A:A,CST!B1012)&gt;0,"ISENÇÃO","SEM ISENÇÃO")</f>
        <v>SEM ISENÇÃO</v>
      </c>
      <c r="F1012" s="18" t="str">
        <f>IF(COUNTIF(REDUÇÕES!A:A,CST!B1012)&gt;0,"REDUÇÃO","NÃO REDUÇÃO")</f>
        <v>NÃO REDUÇÃO</v>
      </c>
      <c r="G1012" s="27">
        <f t="shared" si="16"/>
        <v>0</v>
      </c>
    </row>
    <row r="1013" spans="1:7" x14ac:dyDescent="0.25">
      <c r="A1013" s="120" t="str">
        <f>RIGHT(CSTABLE[[#This Row],[NomeNCM]],8)</f>
        <v>03038964</v>
      </c>
      <c r="B1013" s="7" t="s">
        <v>3241</v>
      </c>
      <c r="C1013" s="3" t="str">
        <f>IFERROR(VLOOKUP(B1013,ST!C:D,2,0),"NÃOST")</f>
        <v>NÃOST</v>
      </c>
      <c r="E1013" s="3" t="str">
        <f>IF(COUNTIF(ISENÇÕES!A:A,CST!B1013)&gt;0,"ISENÇÃO","SEM ISENÇÃO")</f>
        <v>SEM ISENÇÃO</v>
      </c>
      <c r="F1013" s="18" t="str">
        <f>IF(COUNTIF(REDUÇÕES!A:A,CST!B1013)&gt;0,"REDUÇÃO","NÃO REDUÇÃO")</f>
        <v>NÃO REDUÇÃO</v>
      </c>
      <c r="G1013" s="27">
        <f t="shared" si="16"/>
        <v>0</v>
      </c>
    </row>
    <row r="1014" spans="1:7" x14ac:dyDescent="0.25">
      <c r="A1014" s="120" t="str">
        <f>RIGHT(CSTABLE[[#This Row],[NomeNCM]],8)</f>
        <v>90178090</v>
      </c>
      <c r="B1014" s="7" t="s">
        <v>4196</v>
      </c>
      <c r="C1014" s="3" t="str">
        <f>IFERROR(VLOOKUP(B1014,ST!C:D,2,0),"NÃOST")</f>
        <v>NÃOST</v>
      </c>
      <c r="E1014" s="3" t="str">
        <f>IF(COUNTIF(ISENÇÕES!A:A,CST!B1014)&gt;0,"ISENÇÃO","SEM ISENÇÃO")</f>
        <v>SEM ISENÇÃO</v>
      </c>
      <c r="F1014" s="18" t="str">
        <f>IF(COUNTIF(REDUÇÕES!A:A,CST!B1014)&gt;0,"REDUÇÃO","NÃO REDUÇÃO")</f>
        <v>NÃO REDUÇÃO</v>
      </c>
      <c r="G1014" s="27">
        <f t="shared" si="16"/>
        <v>0</v>
      </c>
    </row>
    <row r="1015" spans="1:7" x14ac:dyDescent="0.25">
      <c r="A1015" s="120" t="str">
        <f>RIGHT(CSTABLE[[#This Row],[NomeNCM]],8)</f>
        <v>63023100</v>
      </c>
      <c r="B1015" s="7" t="s">
        <v>4197</v>
      </c>
      <c r="C1015" s="3" t="str">
        <f>IFERROR(VLOOKUP(B1015,ST!C:D,2,0),"NÃOST")</f>
        <v>NÃOST</v>
      </c>
      <c r="E1015" s="3" t="str">
        <f>IF(COUNTIF(ISENÇÕES!A:A,CST!B1015)&gt;0,"ISENÇÃO","SEM ISENÇÃO")</f>
        <v>SEM ISENÇÃO</v>
      </c>
      <c r="F1015" s="18" t="str">
        <f>IF(COUNTIF(REDUÇÕES!A:A,CST!B1015)&gt;0,"REDUÇÃO","NÃO REDUÇÃO")</f>
        <v>NÃO REDUÇÃO</v>
      </c>
      <c r="G1015" s="27">
        <f t="shared" si="16"/>
        <v>0</v>
      </c>
    </row>
    <row r="1016" spans="1:7" x14ac:dyDescent="0.25">
      <c r="A1016" s="120" t="str">
        <f>RIGHT(CSTABLE[[#This Row],[NomeNCM]],8)</f>
        <v>58063200</v>
      </c>
      <c r="B1016" s="7" t="s">
        <v>4198</v>
      </c>
      <c r="C1016" s="3" t="str">
        <f>IFERROR(VLOOKUP(B1016,ST!C:D,2,0),"NÃOST")</f>
        <v>NÃOST</v>
      </c>
      <c r="E1016" s="3" t="str">
        <f>IF(COUNTIF(ISENÇÕES!A:A,CST!B1016)&gt;0,"ISENÇÃO","SEM ISENÇÃO")</f>
        <v>SEM ISENÇÃO</v>
      </c>
      <c r="F1016" s="18" t="str">
        <f>IF(COUNTIF(REDUÇÕES!A:A,CST!B1016)&gt;0,"REDUÇÃO","NÃO REDUÇÃO")</f>
        <v>NÃO REDUÇÃO</v>
      </c>
      <c r="G1016" s="27">
        <f t="shared" si="16"/>
        <v>0</v>
      </c>
    </row>
    <row r="1017" spans="1:7" x14ac:dyDescent="0.25">
      <c r="A1017" s="120" t="str">
        <f>RIGHT(CSTABLE[[#This Row],[NomeNCM]],8)</f>
        <v>07095100</v>
      </c>
      <c r="B1017" s="7" t="s">
        <v>3316</v>
      </c>
      <c r="C1017" s="3" t="str">
        <f>IFERROR(VLOOKUP(B1017,ST!C:D,2,0),"NÃOST")</f>
        <v>NÃOST</v>
      </c>
      <c r="E1017" s="3" t="str">
        <f>IF(COUNTIF(ISENÇÕES!A:A,CST!B1017)&gt;0,"ISENÇÃO","SEM ISENÇÃO")</f>
        <v>SEM ISENÇÃO</v>
      </c>
      <c r="F1017" s="18" t="str">
        <f>IF(COUNTIF(REDUÇÕES!A:A,CST!B1017)&gt;0,"REDUÇÃO","NÃO REDUÇÃO")</f>
        <v>NÃO REDUÇÃO</v>
      </c>
      <c r="G1017" s="27">
        <f t="shared" si="16"/>
        <v>0</v>
      </c>
    </row>
    <row r="1018" spans="1:7" x14ac:dyDescent="0.25">
      <c r="A1018" s="120" t="str">
        <f>RIGHT(CSTABLE[[#This Row],[NomeNCM]],8)</f>
        <v>84322900</v>
      </c>
      <c r="B1018" s="7" t="s">
        <v>4199</v>
      </c>
      <c r="C1018" s="3" t="str">
        <f>IFERROR(VLOOKUP(B1018,ST!C:D,2,0),"NÃOST")</f>
        <v>NÃOST</v>
      </c>
      <c r="E1018" s="3" t="str">
        <f>IF(COUNTIF(ISENÇÕES!A:A,CST!B1018)&gt;0,"ISENÇÃO","SEM ISENÇÃO")</f>
        <v>SEM ISENÇÃO</v>
      </c>
      <c r="F1018" s="18" t="str">
        <f>IF(COUNTIF(REDUÇÕES!A:A,CST!B1018)&gt;0,"REDUÇÃO","NÃO REDUÇÃO")</f>
        <v>NÃO REDUÇÃO</v>
      </c>
      <c r="G1018" s="27">
        <f t="shared" si="16"/>
        <v>0</v>
      </c>
    </row>
    <row r="1019" spans="1:7" x14ac:dyDescent="0.25">
      <c r="A1019" s="120" t="str">
        <f>RIGHT(CSTABLE[[#This Row],[NomeNCM]],8)</f>
        <v>44201000</v>
      </c>
      <c r="B1019" s="7" t="s">
        <v>4200</v>
      </c>
      <c r="C1019" s="3" t="str">
        <f>IFERROR(VLOOKUP(B1019,ST!C:D,2,0),"NÃOST")</f>
        <v>NÃOST</v>
      </c>
      <c r="E1019" s="3" t="str">
        <f>IF(COUNTIF(ISENÇÕES!A:A,CST!B1019)&gt;0,"ISENÇÃO","SEM ISENÇÃO")</f>
        <v>SEM ISENÇÃO</v>
      </c>
      <c r="F1019" s="18" t="str">
        <f>IF(COUNTIF(REDUÇÕES!A:A,CST!B1019)&gt;0,"REDUÇÃO","NÃO REDUÇÃO")</f>
        <v>NÃO REDUÇÃO</v>
      </c>
      <c r="G1019" s="27">
        <f t="shared" si="16"/>
        <v>0</v>
      </c>
    </row>
    <row r="1020" spans="1:7" x14ac:dyDescent="0.25">
      <c r="A1020" s="120" t="str">
        <f>RIGHT(CSTABLE[[#This Row],[NomeNCM]],8)</f>
        <v>53050090</v>
      </c>
      <c r="B1020" s="7" t="s">
        <v>4201</v>
      </c>
      <c r="C1020" s="3" t="str">
        <f>IFERROR(VLOOKUP(B1020,ST!C:D,2,0),"NÃOST")</f>
        <v>NÃOST</v>
      </c>
      <c r="E1020" s="3" t="str">
        <f>IF(COUNTIF(ISENÇÕES!A:A,CST!B1020)&gt;0,"ISENÇÃO","SEM ISENÇÃO")</f>
        <v>SEM ISENÇÃO</v>
      </c>
      <c r="F1020" s="18" t="str">
        <f>IF(COUNTIF(REDUÇÕES!A:A,CST!B1020)&gt;0,"REDUÇÃO","NÃO REDUÇÃO")</f>
        <v>NÃO REDUÇÃO</v>
      </c>
      <c r="G1020" s="27">
        <f t="shared" si="16"/>
        <v>0</v>
      </c>
    </row>
    <row r="1021" spans="1:7" x14ac:dyDescent="0.25">
      <c r="A1021" s="120" t="str">
        <f>RIGHT(CSTABLE[[#This Row],[NomeNCM]],8)</f>
        <v>31059090</v>
      </c>
      <c r="B1021" s="7" t="s">
        <v>4202</v>
      </c>
      <c r="C1021" s="3" t="str">
        <f>IFERROR(VLOOKUP(B1021,ST!C:D,2,0),"NÃOST")</f>
        <v>NÃOST</v>
      </c>
      <c r="E1021" s="3" t="str">
        <f>IF(COUNTIF(ISENÇÕES!A:A,CST!B1021)&gt;0,"ISENÇÃO","SEM ISENÇÃO")</f>
        <v>SEM ISENÇÃO</v>
      </c>
      <c r="F1021" s="18" t="str">
        <f>IF(COUNTIF(REDUÇÕES!A:A,CST!B1021)&gt;0,"REDUÇÃO","NÃO REDUÇÃO")</f>
        <v>NÃO REDUÇÃO</v>
      </c>
      <c r="G1021" s="27">
        <f t="shared" si="16"/>
        <v>0</v>
      </c>
    </row>
    <row r="1022" spans="1:7" x14ac:dyDescent="0.25">
      <c r="A1022" s="120" t="str">
        <f>RIGHT(CSTABLE[[#This Row],[NomeNCM]],8)</f>
        <v>48089000</v>
      </c>
      <c r="B1022" s="7" t="s">
        <v>4203</v>
      </c>
      <c r="C1022" s="3" t="str">
        <f>IFERROR(VLOOKUP(B1022,ST!C:D,2,0),"NÃOST")</f>
        <v>NÃOST</v>
      </c>
      <c r="E1022" s="3" t="str">
        <f>IF(COUNTIF(ISENÇÕES!A:A,CST!B1022)&gt;0,"ISENÇÃO","SEM ISENÇÃO")</f>
        <v>SEM ISENÇÃO</v>
      </c>
      <c r="F1022" s="18" t="str">
        <f>IF(COUNTIF(REDUÇÕES!A:A,CST!B1022)&gt;0,"REDUÇÃO","NÃO REDUÇÃO")</f>
        <v>NÃO REDUÇÃO</v>
      </c>
      <c r="G1022" s="27">
        <f t="shared" si="16"/>
        <v>0</v>
      </c>
    </row>
    <row r="1023" spans="1:7" x14ac:dyDescent="0.25">
      <c r="A1023" s="120" t="str">
        <f>RIGHT(CSTABLE[[#This Row],[NomeNCM]],8)</f>
        <v>49019900</v>
      </c>
      <c r="B1023" s="7" t="s">
        <v>3390</v>
      </c>
      <c r="C1023" s="3" t="str">
        <f>IFERROR(VLOOKUP(B1023,ST!C:D,2,0),"NÃOST")</f>
        <v>NÃOST</v>
      </c>
      <c r="E1023" s="3" t="str">
        <f>IF(COUNTIF(ISENÇÕES!A:A,CST!B1023)&gt;0,"ISENÇÃO","SEM ISENÇÃO")</f>
        <v>ISENÇÃO</v>
      </c>
      <c r="F1023" s="18" t="str">
        <f>IF(COUNTIF(REDUÇÕES!A:A,CST!B1023)&gt;0,"REDUÇÃO","NÃO REDUÇÃO")</f>
        <v>NÃO REDUÇÃO</v>
      </c>
      <c r="G1023" s="27">
        <f t="shared" si="16"/>
        <v>40</v>
      </c>
    </row>
    <row r="1024" spans="1:7" x14ac:dyDescent="0.25">
      <c r="A1024" s="120" t="str">
        <f>RIGHT(CSTABLE[[#This Row],[NomeNCM]],8)</f>
        <v>63023900</v>
      </c>
      <c r="B1024" s="7" t="s">
        <v>4204</v>
      </c>
      <c r="C1024" s="3" t="str">
        <f>IFERROR(VLOOKUP(B1024,ST!C:D,2,0),"NÃOST")</f>
        <v>NÃOST</v>
      </c>
      <c r="E1024" s="3" t="str">
        <f>IF(COUNTIF(ISENÇÕES!A:A,CST!B1024)&gt;0,"ISENÇÃO","SEM ISENÇÃO")</f>
        <v>SEM ISENÇÃO</v>
      </c>
      <c r="F1024" s="18" t="str">
        <f>IF(COUNTIF(REDUÇÕES!A:A,CST!B1024)&gt;0,"REDUÇÃO","NÃO REDUÇÃO")</f>
        <v>NÃO REDUÇÃO</v>
      </c>
      <c r="G1024" s="27">
        <f t="shared" si="16"/>
        <v>0</v>
      </c>
    </row>
    <row r="1025" spans="1:7" x14ac:dyDescent="0.25">
      <c r="A1025" s="120" t="str">
        <f>RIGHT(CSTABLE[[#This Row],[NomeNCM]],8)</f>
        <v>33042090</v>
      </c>
      <c r="B1025" s="7" t="s">
        <v>3382</v>
      </c>
      <c r="C1025" s="3" t="str">
        <f>IFERROR(VLOOKUP(B1025,ST!C:D,2,0),"NÃOST")</f>
        <v>NÃOST</v>
      </c>
      <c r="E1025" s="3" t="str">
        <f>IF(COUNTIF(ISENÇÕES!A:A,CST!B1025)&gt;0,"ISENÇÃO","SEM ISENÇÃO")</f>
        <v>SEM ISENÇÃO</v>
      </c>
      <c r="F1025" s="18" t="str">
        <f>IF(COUNTIF(REDUÇÕES!A:A,CST!B1025)&gt;0,"REDUÇÃO","NÃO REDUÇÃO")</f>
        <v>NÃO REDUÇÃO</v>
      </c>
      <c r="G1025" s="27">
        <f t="shared" si="16"/>
        <v>0</v>
      </c>
    </row>
    <row r="1026" spans="1:7" x14ac:dyDescent="0.25">
      <c r="A1026" s="120" t="str">
        <f>RIGHT(CSTABLE[[#This Row],[NomeNCM]],8)</f>
        <v>42023200</v>
      </c>
      <c r="B1026" s="7" t="s">
        <v>4205</v>
      </c>
      <c r="C1026" s="3" t="str">
        <f>IFERROR(VLOOKUP(B1026,ST!C:D,2,0),"NÃOST")</f>
        <v>NÃOST</v>
      </c>
      <c r="E1026" s="3" t="str">
        <f>IF(COUNTIF(ISENÇÕES!A:A,CST!B1026)&gt;0,"ISENÇÃO","SEM ISENÇÃO")</f>
        <v>SEM ISENÇÃO</v>
      </c>
      <c r="F1026" s="18" t="str">
        <f>IF(COUNTIF(REDUÇÕES!A:A,CST!B1026)&gt;0,"REDUÇÃO","NÃO REDUÇÃO")</f>
        <v>NÃO REDUÇÃO</v>
      </c>
      <c r="G1026" s="27">
        <f t="shared" si="16"/>
        <v>0</v>
      </c>
    </row>
    <row r="1027" spans="1:7" x14ac:dyDescent="0.25">
      <c r="A1027" s="120" t="str">
        <f>RIGHT(CSTABLE[[#This Row],[NomeNCM]],8)</f>
        <v>03056990</v>
      </c>
      <c r="B1027" s="7" t="s">
        <v>3500</v>
      </c>
      <c r="C1027" s="3" t="str">
        <f>IFERROR(VLOOKUP(B1027,ST!C:D,2,0),"NÃOST")</f>
        <v>NÃOST</v>
      </c>
      <c r="E1027" s="3" t="str">
        <f>IF(COUNTIF(ISENÇÕES!A:A,CST!B1027)&gt;0,"ISENÇÃO","SEM ISENÇÃO")</f>
        <v>SEM ISENÇÃO</v>
      </c>
      <c r="F1027" s="18" t="str">
        <f>IF(COUNTIF(REDUÇÕES!A:A,CST!B1027)&gt;0,"REDUÇÃO","NÃO REDUÇÃO")</f>
        <v>NÃO REDUÇÃO</v>
      </c>
      <c r="G1027" s="27">
        <f t="shared" si="16"/>
        <v>0</v>
      </c>
    </row>
    <row r="1028" spans="1:7" x14ac:dyDescent="0.25">
      <c r="A1028" s="120" t="str">
        <f>RIGHT(CSTABLE[[#This Row],[NomeNCM]],8)</f>
        <v>03036300</v>
      </c>
      <c r="B1028" s="7" t="s">
        <v>3206</v>
      </c>
      <c r="C1028" s="3" t="str">
        <f>IFERROR(VLOOKUP(B1028,ST!C:D,2,0),"NÃOST")</f>
        <v>NÃOST</v>
      </c>
      <c r="E1028" s="3" t="str">
        <f>IF(COUNTIF(ISENÇÕES!A:A,CST!B1028)&gt;0,"ISENÇÃO","SEM ISENÇÃO")</f>
        <v>SEM ISENÇÃO</v>
      </c>
      <c r="F1028" s="18" t="str">
        <f>IF(COUNTIF(REDUÇÕES!A:A,CST!B1028)&gt;0,"REDUÇÃO","NÃO REDUÇÃO")</f>
        <v>NÃO REDUÇÃO</v>
      </c>
      <c r="G1028" s="27">
        <f t="shared" si="16"/>
        <v>0</v>
      </c>
    </row>
    <row r="1029" spans="1:7" x14ac:dyDescent="0.25">
      <c r="A1029" s="120" t="str">
        <f>RIGHT(CSTABLE[[#This Row],[NomeNCM]],8)</f>
        <v>62029900</v>
      </c>
      <c r="B1029" s="7" t="s">
        <v>4206</v>
      </c>
      <c r="C1029" s="3" t="str">
        <f>IFERROR(VLOOKUP(B1029,ST!C:D,2,0),"NÃOST")</f>
        <v>NÃOST</v>
      </c>
      <c r="E1029" s="3" t="str">
        <f>IF(COUNTIF(ISENÇÕES!A:A,CST!B1029)&gt;0,"ISENÇÃO","SEM ISENÇÃO")</f>
        <v>SEM ISENÇÃO</v>
      </c>
      <c r="F1029" s="18" t="str">
        <f>IF(COUNTIF(REDUÇÕES!A:A,CST!B1029)&gt;0,"REDUÇÃO","NÃO REDUÇÃO")</f>
        <v>NÃO REDUÇÃO</v>
      </c>
      <c r="G1029" s="27">
        <f t="shared" si="16"/>
        <v>0</v>
      </c>
    </row>
    <row r="1030" spans="1:7" x14ac:dyDescent="0.25">
      <c r="A1030" s="120" t="str">
        <f>RIGHT(CSTABLE[[#This Row],[NomeNCM]],8)</f>
        <v>21022000</v>
      </c>
      <c r="B1030" s="7" t="s">
        <v>3580</v>
      </c>
      <c r="C1030" s="3" t="str">
        <f>IFERROR(VLOOKUP(B1030,ST!C:D,2,0),"NÃOST")</f>
        <v>NÃOST</v>
      </c>
      <c r="E1030" s="3" t="str">
        <f>IF(COUNTIF(ISENÇÕES!A:A,CST!B1030)&gt;0,"ISENÇÃO","SEM ISENÇÃO")</f>
        <v>SEM ISENÇÃO</v>
      </c>
      <c r="F1030" s="18" t="str">
        <f>IF(COUNTIF(REDUÇÕES!A:A,CST!B1030)&gt;0,"REDUÇÃO","NÃO REDUÇÃO")</f>
        <v>REDUÇÃO</v>
      </c>
      <c r="G1030" s="27">
        <f t="shared" si="16"/>
        <v>20</v>
      </c>
    </row>
    <row r="1031" spans="1:7" x14ac:dyDescent="0.25">
      <c r="A1031" s="120" t="str">
        <f>RIGHT(CSTABLE[[#This Row],[NomeNCM]],8)</f>
        <v>05119999</v>
      </c>
      <c r="B1031" s="7" t="s">
        <v>4207</v>
      </c>
      <c r="C1031" s="3" t="str">
        <f>IFERROR(VLOOKUP(B1031,ST!C:D,2,0),"NÃOST")</f>
        <v>NÃOST</v>
      </c>
      <c r="E1031" s="3" t="str">
        <f>IF(COUNTIF(ISENÇÕES!A:A,CST!B1031)&gt;0,"ISENÇÃO","SEM ISENÇÃO")</f>
        <v>SEM ISENÇÃO</v>
      </c>
      <c r="F1031" s="18" t="str">
        <f>IF(COUNTIF(REDUÇÕES!A:A,CST!B1031)&gt;0,"REDUÇÃO","NÃO REDUÇÃO")</f>
        <v>NÃO REDUÇÃO</v>
      </c>
      <c r="G1031" s="27">
        <f t="shared" si="16"/>
        <v>0</v>
      </c>
    </row>
    <row r="1032" spans="1:7" x14ac:dyDescent="0.25">
      <c r="A1032" s="120" t="str">
        <f>RIGHT(CSTABLE[[#This Row],[NomeNCM]],8)</f>
        <v>90318099</v>
      </c>
      <c r="B1032" s="7" t="s">
        <v>4208</v>
      </c>
      <c r="C1032" s="3" t="str">
        <f>IFERROR(VLOOKUP(B1032,ST!C:D,2,0),"NÃOST")</f>
        <v>NÃOST</v>
      </c>
      <c r="E1032" s="3" t="str">
        <f>IF(COUNTIF(ISENÇÕES!A:A,CST!B1032)&gt;0,"ISENÇÃO","SEM ISENÇÃO")</f>
        <v>SEM ISENÇÃO</v>
      </c>
      <c r="F1032" s="18" t="str">
        <f>IF(COUNTIF(REDUÇÕES!A:A,CST!B1032)&gt;0,"REDUÇÃO","NÃO REDUÇÃO")</f>
        <v>NÃO REDUÇÃO</v>
      </c>
      <c r="G1032" s="27">
        <f t="shared" si="16"/>
        <v>0</v>
      </c>
    </row>
    <row r="1033" spans="1:7" x14ac:dyDescent="0.25">
      <c r="A1033" s="120" t="str">
        <f>RIGHT(CSTABLE[[#This Row],[NomeNCM]],8)</f>
        <v>82052000</v>
      </c>
      <c r="B1033" s="7" t="s">
        <v>4209</v>
      </c>
      <c r="C1033" s="3" t="str">
        <f>IFERROR(VLOOKUP(B1033,ST!C:D,2,0),"NÃOST")</f>
        <v>NÃOST</v>
      </c>
      <c r="E1033" s="3" t="str">
        <f>IF(COUNTIF(ISENÇÕES!A:A,CST!B1033)&gt;0,"ISENÇÃO","SEM ISENÇÃO")</f>
        <v>SEM ISENÇÃO</v>
      </c>
      <c r="F1033" s="18" t="str">
        <f>IF(COUNTIF(REDUÇÕES!A:A,CST!B1033)&gt;0,"REDUÇÃO","NÃO REDUÇÃO")</f>
        <v>NÃO REDUÇÃO</v>
      </c>
      <c r="G1033" s="27">
        <f t="shared" si="16"/>
        <v>0</v>
      </c>
    </row>
    <row r="1034" spans="1:7" x14ac:dyDescent="0.25">
      <c r="A1034" s="120" t="str">
        <f>RIGHT(CSTABLE[[#This Row],[NomeNCM]],8)</f>
        <v>69149000</v>
      </c>
      <c r="B1034" s="7" t="s">
        <v>4210</v>
      </c>
      <c r="C1034" s="3" t="str">
        <f>IFERROR(VLOOKUP(B1034,ST!C:D,2,0),"NÃOST")</f>
        <v>NÃOST</v>
      </c>
      <c r="E1034" s="3" t="str">
        <f>IF(COUNTIF(ISENÇÕES!A:A,CST!B1034)&gt;0,"ISENÇÃO","SEM ISENÇÃO")</f>
        <v>SEM ISENÇÃO</v>
      </c>
      <c r="F1034" s="18" t="str">
        <f>IF(COUNTIF(REDUÇÕES!A:A,CST!B1034)&gt;0,"REDUÇÃO","NÃO REDUÇÃO")</f>
        <v>NÃO REDUÇÃO</v>
      </c>
      <c r="G1034" s="27">
        <f t="shared" si="16"/>
        <v>0</v>
      </c>
    </row>
    <row r="1035" spans="1:7" x14ac:dyDescent="0.25">
      <c r="A1035" s="120" t="str">
        <f>RIGHT(CSTABLE[[#This Row],[NomeNCM]],8)</f>
        <v>82019000</v>
      </c>
      <c r="B1035" s="7" t="s">
        <v>4211</v>
      </c>
      <c r="C1035" s="3" t="str">
        <f>IFERROR(VLOOKUP(B1035,ST!C:D,2,0),"NÃOST")</f>
        <v>NÃOST</v>
      </c>
      <c r="E1035" s="3" t="str">
        <f>IF(COUNTIF(ISENÇÕES!A:A,CST!B1035)&gt;0,"ISENÇÃO","SEM ISENÇÃO")</f>
        <v>SEM ISENÇÃO</v>
      </c>
      <c r="F1035" s="18" t="str">
        <f>IF(COUNTIF(REDUÇÕES!A:A,CST!B1035)&gt;0,"REDUÇÃO","NÃO REDUÇÃO")</f>
        <v>NÃO REDUÇÃO</v>
      </c>
      <c r="G1035" s="27">
        <f t="shared" si="16"/>
        <v>0</v>
      </c>
    </row>
    <row r="1036" spans="1:7" x14ac:dyDescent="0.25">
      <c r="A1036" s="120" t="str">
        <f>RIGHT(CSTABLE[[#This Row],[NomeNCM]],8)</f>
        <v>62079100</v>
      </c>
      <c r="B1036" s="7" t="s">
        <v>4212</v>
      </c>
      <c r="C1036" s="3" t="str">
        <f>IFERROR(VLOOKUP(B1036,ST!C:D,2,0),"NÃOST")</f>
        <v>NÃOST</v>
      </c>
      <c r="E1036" s="3" t="str">
        <f>IF(COUNTIF(ISENÇÕES!A:A,CST!B1036)&gt;0,"ISENÇÃO","SEM ISENÇÃO")</f>
        <v>SEM ISENÇÃO</v>
      </c>
      <c r="F1036" s="18" t="str">
        <f>IF(COUNTIF(REDUÇÕES!A:A,CST!B1036)&gt;0,"REDUÇÃO","NÃO REDUÇÃO")</f>
        <v>NÃO REDUÇÃO</v>
      </c>
      <c r="G1036" s="27">
        <f t="shared" si="16"/>
        <v>0</v>
      </c>
    </row>
    <row r="1037" spans="1:7" x14ac:dyDescent="0.25">
      <c r="A1037" s="120" t="str">
        <f>RIGHT(CSTABLE[[#This Row],[NomeNCM]],8)</f>
        <v>70139900</v>
      </c>
      <c r="B1037" s="7" t="s">
        <v>4213</v>
      </c>
      <c r="C1037" s="3" t="str">
        <f>IFERROR(VLOOKUP(B1037,ST!C:D,2,0),"NÃOST")</f>
        <v>NÃOST</v>
      </c>
      <c r="E1037" s="3" t="str">
        <f>IF(COUNTIF(ISENÇÕES!A:A,CST!B1037)&gt;0,"ISENÇÃO","SEM ISENÇÃO")</f>
        <v>SEM ISENÇÃO</v>
      </c>
      <c r="F1037" s="18" t="str">
        <f>IF(COUNTIF(REDUÇÕES!A:A,CST!B1037)&gt;0,"REDUÇÃO","NÃO REDUÇÃO")</f>
        <v>NÃO REDUÇÃO</v>
      </c>
      <c r="G1037" s="27">
        <f t="shared" si="16"/>
        <v>0</v>
      </c>
    </row>
    <row r="1038" spans="1:7" x14ac:dyDescent="0.25">
      <c r="A1038" s="120" t="str">
        <f>RIGHT(CSTABLE[[#This Row],[NomeNCM]],8)</f>
        <v>85094090</v>
      </c>
      <c r="B1038" s="7" t="s">
        <v>4214</v>
      </c>
      <c r="C1038" s="3" t="str">
        <f>IFERROR(VLOOKUP(B1038,ST!C:D,2,0),"NÃOST")</f>
        <v>NÃOST</v>
      </c>
      <c r="E1038" s="3" t="str">
        <f>IF(COUNTIF(ISENÇÕES!A:A,CST!B1038)&gt;0,"ISENÇÃO","SEM ISENÇÃO")</f>
        <v>SEM ISENÇÃO</v>
      </c>
      <c r="F1038" s="18" t="str">
        <f>IF(COUNTIF(REDUÇÕES!A:A,CST!B1038)&gt;0,"REDUÇÃO","NÃO REDUÇÃO")</f>
        <v>NÃO REDUÇÃO</v>
      </c>
      <c r="G1038" s="27">
        <f t="shared" si="16"/>
        <v>0</v>
      </c>
    </row>
    <row r="1039" spans="1:7" x14ac:dyDescent="0.25">
      <c r="A1039" s="120" t="str">
        <f>RIGHT(CSTABLE[[#This Row],[NomeNCM]],8)</f>
        <v>92093000</v>
      </c>
      <c r="B1039" s="7" t="s">
        <v>4215</v>
      </c>
      <c r="C1039" s="3" t="str">
        <f>IFERROR(VLOOKUP(B1039,ST!C:D,2,0),"NÃOST")</f>
        <v>NÃOST</v>
      </c>
      <c r="E1039" s="3" t="str">
        <f>IF(COUNTIF(ISENÇÕES!A:A,CST!B1039)&gt;0,"ISENÇÃO","SEM ISENÇÃO")</f>
        <v>SEM ISENÇÃO</v>
      </c>
      <c r="F1039" s="18" t="str">
        <f>IF(COUNTIF(REDUÇÕES!A:A,CST!B1039)&gt;0,"REDUÇÃO","NÃO REDUÇÃO")</f>
        <v>NÃO REDUÇÃO</v>
      </c>
      <c r="G1039" s="27">
        <f t="shared" ref="G1039:G1102" si="17">VLOOKUP(C1039&amp;F1039&amp;E1039,$B$3:$F$10,5,0)</f>
        <v>0</v>
      </c>
    </row>
    <row r="1040" spans="1:7" x14ac:dyDescent="0.25">
      <c r="A1040" s="120" t="str">
        <f>RIGHT(CSTABLE[[#This Row],[NomeNCM]],8)</f>
        <v>70134100</v>
      </c>
      <c r="B1040" s="7" t="s">
        <v>4216</v>
      </c>
      <c r="C1040" s="3" t="str">
        <f>IFERROR(VLOOKUP(B1040,ST!C:D,2,0),"NÃOST")</f>
        <v>NÃOST</v>
      </c>
      <c r="E1040" s="3" t="str">
        <f>IF(COUNTIF(ISENÇÕES!A:A,CST!B1040)&gt;0,"ISENÇÃO","SEM ISENÇÃO")</f>
        <v>SEM ISENÇÃO</v>
      </c>
      <c r="F1040" s="18" t="str">
        <f>IF(COUNTIF(REDUÇÕES!A:A,CST!B1040)&gt;0,"REDUÇÃO","NÃO REDUÇÃO")</f>
        <v>NÃO REDUÇÃO</v>
      </c>
      <c r="G1040" s="27">
        <f t="shared" si="17"/>
        <v>0</v>
      </c>
    </row>
    <row r="1041" spans="1:7" x14ac:dyDescent="0.25">
      <c r="A1041" s="120" t="str">
        <f>RIGHT(CSTABLE[[#This Row],[NomeNCM]],8)</f>
        <v>95030070</v>
      </c>
      <c r="B1041" s="7" t="s">
        <v>4217</v>
      </c>
      <c r="C1041" s="3" t="str">
        <f>IFERROR(VLOOKUP(B1041,ST!C:D,2,0),"NÃOST")</f>
        <v>NÃOST</v>
      </c>
      <c r="E1041" s="3" t="str">
        <f>IF(COUNTIF(ISENÇÕES!A:A,CST!B1041)&gt;0,"ISENÇÃO","SEM ISENÇÃO")</f>
        <v>SEM ISENÇÃO</v>
      </c>
      <c r="F1041" s="18" t="str">
        <f>IF(COUNTIF(REDUÇÕES!A:A,CST!B1041)&gt;0,"REDUÇÃO","NÃO REDUÇÃO")</f>
        <v>NÃO REDUÇÃO</v>
      </c>
      <c r="G1041" s="27">
        <f t="shared" si="17"/>
        <v>0</v>
      </c>
    </row>
    <row r="1042" spans="1:7" x14ac:dyDescent="0.25">
      <c r="A1042" s="120" t="str">
        <f>RIGHT(CSTABLE[[#This Row],[NomeNCM]],8)</f>
        <v>44013100</v>
      </c>
      <c r="B1042" s="7" t="s">
        <v>4218</v>
      </c>
      <c r="C1042" s="3" t="str">
        <f>IFERROR(VLOOKUP(B1042,ST!C:D,2,0),"NÃOST")</f>
        <v>NÃOST</v>
      </c>
      <c r="E1042" s="3" t="str">
        <f>IF(COUNTIF(ISENÇÕES!A:A,CST!B1042)&gt;0,"ISENÇÃO","SEM ISENÇÃO")</f>
        <v>SEM ISENÇÃO</v>
      </c>
      <c r="F1042" s="18" t="str">
        <f>IF(COUNTIF(REDUÇÕES!A:A,CST!B1042)&gt;0,"REDUÇÃO","NÃO REDUÇÃO")</f>
        <v>NÃO REDUÇÃO</v>
      </c>
      <c r="G1042" s="27">
        <f t="shared" si="17"/>
        <v>0</v>
      </c>
    </row>
    <row r="1043" spans="1:7" x14ac:dyDescent="0.25">
      <c r="A1043" s="120" t="str">
        <f>RIGHT(CSTABLE[[#This Row],[NomeNCM]],8)</f>
        <v>48025899</v>
      </c>
      <c r="B1043" s="7" t="s">
        <v>4219</v>
      </c>
      <c r="C1043" s="3" t="str">
        <f>IFERROR(VLOOKUP(B1043,ST!C:D,2,0),"NÃOST")</f>
        <v>NÃOST</v>
      </c>
      <c r="E1043" s="3" t="str">
        <f>IF(COUNTIF(ISENÇÕES!A:A,CST!B1043)&gt;0,"ISENÇÃO","SEM ISENÇÃO")</f>
        <v>SEM ISENÇÃO</v>
      </c>
      <c r="F1043" s="18" t="str">
        <f>IF(COUNTIF(REDUÇÕES!A:A,CST!B1043)&gt;0,"REDUÇÃO","NÃO REDUÇÃO")</f>
        <v>NÃO REDUÇÃO</v>
      </c>
      <c r="G1043" s="27">
        <f t="shared" si="17"/>
        <v>0</v>
      </c>
    </row>
    <row r="1044" spans="1:7" x14ac:dyDescent="0.25">
      <c r="A1044" s="120" t="str">
        <f>RIGHT(CSTABLE[[#This Row],[NomeNCM]],8)</f>
        <v>03056200</v>
      </c>
      <c r="B1044" s="7" t="s">
        <v>3496</v>
      </c>
      <c r="C1044" s="3" t="str">
        <f>IFERROR(VLOOKUP(B1044,ST!C:D,2,0),"NÃOST")</f>
        <v>NÃOST</v>
      </c>
      <c r="E1044" s="3" t="str">
        <f>IF(COUNTIF(ISENÇÕES!A:A,CST!B1044)&gt;0,"ISENÇÃO","SEM ISENÇÃO")</f>
        <v>SEM ISENÇÃO</v>
      </c>
      <c r="F1044" s="18" t="str">
        <f>IF(COUNTIF(REDUÇÕES!A:A,CST!B1044)&gt;0,"REDUÇÃO","NÃO REDUÇÃO")</f>
        <v>NÃO REDUÇÃO</v>
      </c>
      <c r="G1044" s="27">
        <f t="shared" si="17"/>
        <v>0</v>
      </c>
    </row>
    <row r="1045" spans="1:7" x14ac:dyDescent="0.25">
      <c r="A1045" s="120" t="str">
        <f>RIGHT(CSTABLE[[#This Row],[NomeNCM]],8)</f>
        <v>83040000</v>
      </c>
      <c r="B1045" s="7" t="s">
        <v>4220</v>
      </c>
      <c r="C1045" s="3" t="str">
        <f>IFERROR(VLOOKUP(B1045,ST!C:D,2,0),"NÃOST")</f>
        <v>NÃOST</v>
      </c>
      <c r="E1045" s="3" t="str">
        <f>IF(COUNTIF(ISENÇÕES!A:A,CST!B1045)&gt;0,"ISENÇÃO","SEM ISENÇÃO")</f>
        <v>SEM ISENÇÃO</v>
      </c>
      <c r="F1045" s="18" t="str">
        <f>IF(COUNTIF(REDUÇÕES!A:A,CST!B1045)&gt;0,"REDUÇÃO","NÃO REDUÇÃO")</f>
        <v>NÃO REDUÇÃO</v>
      </c>
      <c r="G1045" s="27">
        <f t="shared" si="17"/>
        <v>0</v>
      </c>
    </row>
    <row r="1046" spans="1:7" x14ac:dyDescent="0.25">
      <c r="A1046" s="120" t="str">
        <f>RIGHT(CSTABLE[[#This Row],[NomeNCM]],8)</f>
        <v>40069000</v>
      </c>
      <c r="B1046" s="7" t="s">
        <v>4221</v>
      </c>
      <c r="C1046" s="3" t="str">
        <f>IFERROR(VLOOKUP(B1046,ST!C:D,2,0),"NÃOST")</f>
        <v>NÃOST</v>
      </c>
      <c r="E1046" s="3" t="str">
        <f>IF(COUNTIF(ISENÇÕES!A:A,CST!B1046)&gt;0,"ISENÇÃO","SEM ISENÇÃO")</f>
        <v>SEM ISENÇÃO</v>
      </c>
      <c r="F1046" s="18" t="str">
        <f>IF(COUNTIF(REDUÇÕES!A:A,CST!B1046)&gt;0,"REDUÇÃO","NÃO REDUÇÃO")</f>
        <v>REDUÇÃO</v>
      </c>
      <c r="G1046" s="27">
        <f t="shared" si="17"/>
        <v>20</v>
      </c>
    </row>
    <row r="1047" spans="1:7" x14ac:dyDescent="0.25">
      <c r="A1047" s="120" t="str">
        <f>RIGHT(CSTABLE[[#This Row],[NomeNCM]],8)</f>
        <v>85235190</v>
      </c>
      <c r="B1047" s="7" t="s">
        <v>4222</v>
      </c>
      <c r="C1047" s="3" t="str">
        <f>IFERROR(VLOOKUP(B1047,ST!C:D,2,0),"NÃOST")</f>
        <v>NÃOST</v>
      </c>
      <c r="E1047" s="3" t="str">
        <f>IF(COUNTIF(ISENÇÕES!A:A,CST!B1047)&gt;0,"ISENÇÃO","SEM ISENÇÃO")</f>
        <v>SEM ISENÇÃO</v>
      </c>
      <c r="F1047" s="18" t="str">
        <f>IF(COUNTIF(REDUÇÕES!A:A,CST!B1047)&gt;0,"REDUÇÃO","NÃO REDUÇÃO")</f>
        <v>NÃO REDUÇÃO</v>
      </c>
      <c r="G1047" s="27">
        <f t="shared" si="17"/>
        <v>0</v>
      </c>
    </row>
    <row r="1048" spans="1:7" x14ac:dyDescent="0.25">
      <c r="A1048" s="120" t="str">
        <f>RIGHT(CSTABLE[[#This Row],[NomeNCM]],8)</f>
        <v>15151900</v>
      </c>
      <c r="B1048" s="7" t="s">
        <v>4223</v>
      </c>
      <c r="C1048" s="3" t="str">
        <f>IFERROR(VLOOKUP(B1048,ST!C:D,2,0),"NÃOST")</f>
        <v>NÃOST</v>
      </c>
      <c r="E1048" s="3" t="str">
        <f>IF(COUNTIF(ISENÇÕES!A:A,CST!B1048)&gt;0,"ISENÇÃO","SEM ISENÇÃO")</f>
        <v>SEM ISENÇÃO</v>
      </c>
      <c r="F1048" s="18" t="str">
        <f>IF(COUNTIF(REDUÇÕES!A:A,CST!B1048)&gt;0,"REDUÇÃO","NÃO REDUÇÃO")</f>
        <v>NÃO REDUÇÃO</v>
      </c>
      <c r="G1048" s="27">
        <f t="shared" si="17"/>
        <v>0</v>
      </c>
    </row>
    <row r="1049" spans="1:7" x14ac:dyDescent="0.25">
      <c r="A1049" s="120" t="str">
        <f>RIGHT(CSTABLE[[#This Row],[NomeNCM]],8)</f>
        <v>62122000</v>
      </c>
      <c r="B1049" s="7" t="s">
        <v>4224</v>
      </c>
      <c r="C1049" s="3" t="str">
        <f>IFERROR(VLOOKUP(B1049,ST!C:D,2,0),"NÃOST")</f>
        <v>NÃOST</v>
      </c>
      <c r="E1049" s="3" t="str">
        <f>IF(COUNTIF(ISENÇÕES!A:A,CST!B1049)&gt;0,"ISENÇÃO","SEM ISENÇÃO")</f>
        <v>SEM ISENÇÃO</v>
      </c>
      <c r="F1049" s="18" t="str">
        <f>IF(COUNTIF(REDUÇÕES!A:A,CST!B1049)&gt;0,"REDUÇÃO","NÃO REDUÇÃO")</f>
        <v>NÃO REDUÇÃO</v>
      </c>
      <c r="G1049" s="27">
        <f t="shared" si="17"/>
        <v>0</v>
      </c>
    </row>
    <row r="1050" spans="1:7" x14ac:dyDescent="0.25">
      <c r="A1050" s="120" t="str">
        <f>RIGHT(CSTABLE[[#This Row],[NomeNCM]],8)</f>
        <v>40029990</v>
      </c>
      <c r="B1050" s="7" t="s">
        <v>4225</v>
      </c>
      <c r="C1050" s="3" t="str">
        <f>IFERROR(VLOOKUP(B1050,ST!C:D,2,0),"NÃOST")</f>
        <v>NÃOST</v>
      </c>
      <c r="E1050" s="3" t="str">
        <f>IF(COUNTIF(ISENÇÕES!A:A,CST!B1050)&gt;0,"ISENÇÃO","SEM ISENÇÃO")</f>
        <v>SEM ISENÇÃO</v>
      </c>
      <c r="F1050" s="18" t="str">
        <f>IF(COUNTIF(REDUÇÕES!A:A,CST!B1050)&gt;0,"REDUÇÃO","NÃO REDUÇÃO")</f>
        <v>NÃO REDUÇÃO</v>
      </c>
      <c r="G1050" s="27">
        <f t="shared" si="17"/>
        <v>0</v>
      </c>
    </row>
    <row r="1051" spans="1:7" x14ac:dyDescent="0.25">
      <c r="A1051" s="120" t="str">
        <f>RIGHT(CSTABLE[[#This Row],[NomeNCM]],8)</f>
        <v>48101390</v>
      </c>
      <c r="B1051" s="7" t="s">
        <v>4226</v>
      </c>
      <c r="C1051" s="3" t="str">
        <f>IFERROR(VLOOKUP(B1051,ST!C:D,2,0),"NÃOST")</f>
        <v>NÃOST</v>
      </c>
      <c r="E1051" s="3" t="str">
        <f>IF(COUNTIF(ISENÇÕES!A:A,CST!B1051)&gt;0,"ISENÇÃO","SEM ISENÇÃO")</f>
        <v>SEM ISENÇÃO</v>
      </c>
      <c r="F1051" s="18" t="str">
        <f>IF(COUNTIF(REDUÇÕES!A:A,CST!B1051)&gt;0,"REDUÇÃO","NÃO REDUÇÃO")</f>
        <v>NÃO REDUÇÃO</v>
      </c>
      <c r="G1051" s="27">
        <f t="shared" si="17"/>
        <v>0</v>
      </c>
    </row>
    <row r="1052" spans="1:7" x14ac:dyDescent="0.25">
      <c r="A1052" s="120" t="str">
        <f>RIGHT(CSTABLE[[#This Row],[NomeNCM]],8)</f>
        <v>48192000</v>
      </c>
      <c r="B1052" s="7" t="s">
        <v>4227</v>
      </c>
      <c r="C1052" s="3" t="str">
        <f>IFERROR(VLOOKUP(B1052,ST!C:D,2,0),"NÃOST")</f>
        <v>NÃOST</v>
      </c>
      <c r="E1052" s="3" t="str">
        <f>IF(COUNTIF(ISENÇÕES!A:A,CST!B1052)&gt;0,"ISENÇÃO","SEM ISENÇÃO")</f>
        <v>SEM ISENÇÃO</v>
      </c>
      <c r="F1052" s="18" t="str">
        <f>IF(COUNTIF(REDUÇÕES!A:A,CST!B1052)&gt;0,"REDUÇÃO","NÃO REDUÇÃO")</f>
        <v>NÃO REDUÇÃO</v>
      </c>
      <c r="G1052" s="27">
        <f t="shared" si="17"/>
        <v>0</v>
      </c>
    </row>
    <row r="1053" spans="1:7" x14ac:dyDescent="0.25">
      <c r="A1053" s="120" t="str">
        <f>RIGHT(CSTABLE[[#This Row],[NomeNCM]],8)</f>
        <v>62132000</v>
      </c>
      <c r="B1053" s="7" t="s">
        <v>4228</v>
      </c>
      <c r="C1053" s="3" t="str">
        <f>IFERROR(VLOOKUP(B1053,ST!C:D,2,0),"NÃOST")</f>
        <v>NÃOST</v>
      </c>
      <c r="E1053" s="3" t="str">
        <f>IF(COUNTIF(ISENÇÕES!A:A,CST!B1053)&gt;0,"ISENÇÃO","SEM ISENÇÃO")</f>
        <v>SEM ISENÇÃO</v>
      </c>
      <c r="F1053" s="18" t="str">
        <f>IF(COUNTIF(REDUÇÕES!A:A,CST!B1053)&gt;0,"REDUÇÃO","NÃO REDUÇÃO")</f>
        <v>NÃO REDUÇÃO</v>
      </c>
      <c r="G1053" s="27">
        <f t="shared" si="17"/>
        <v>0</v>
      </c>
    </row>
    <row r="1054" spans="1:7" x14ac:dyDescent="0.25">
      <c r="A1054" s="120" t="str">
        <f>RIGHT(CSTABLE[[#This Row],[NomeNCM]],8)</f>
        <v>84248910</v>
      </c>
      <c r="B1054" s="7" t="s">
        <v>4229</v>
      </c>
      <c r="C1054" s="3" t="str">
        <f>IFERROR(VLOOKUP(B1054,ST!C:D,2,0),"NÃOST")</f>
        <v>NÃOST</v>
      </c>
      <c r="E1054" s="3" t="str">
        <f>IF(COUNTIF(ISENÇÕES!A:A,CST!B1054)&gt;0,"ISENÇÃO","SEM ISENÇÃO")</f>
        <v>SEM ISENÇÃO</v>
      </c>
      <c r="F1054" s="18" t="str">
        <f>IF(COUNTIF(REDUÇÕES!A:A,CST!B1054)&gt;0,"REDUÇÃO","NÃO REDUÇÃO")</f>
        <v>NÃO REDUÇÃO</v>
      </c>
      <c r="G1054" s="27">
        <f t="shared" si="17"/>
        <v>0</v>
      </c>
    </row>
    <row r="1055" spans="1:7" x14ac:dyDescent="0.25">
      <c r="A1055" s="120" t="str">
        <f>RIGHT(CSTABLE[[#This Row],[NomeNCM]],8)</f>
        <v>73194000</v>
      </c>
      <c r="B1055" s="7" t="s">
        <v>4230</v>
      </c>
      <c r="C1055" s="3" t="str">
        <f>IFERROR(VLOOKUP(B1055,ST!C:D,2,0),"NÃOST")</f>
        <v>NÃOST</v>
      </c>
      <c r="E1055" s="3" t="str">
        <f>IF(COUNTIF(ISENÇÕES!A:A,CST!B1055)&gt;0,"ISENÇÃO","SEM ISENÇÃO")</f>
        <v>SEM ISENÇÃO</v>
      </c>
      <c r="F1055" s="18" t="str">
        <f>IF(COUNTIF(REDUÇÕES!A:A,CST!B1055)&gt;0,"REDUÇÃO","NÃO REDUÇÃO")</f>
        <v>NÃO REDUÇÃO</v>
      </c>
      <c r="G1055" s="27">
        <f t="shared" si="17"/>
        <v>0</v>
      </c>
    </row>
    <row r="1056" spans="1:7" x14ac:dyDescent="0.25">
      <c r="A1056" s="120" t="str">
        <f>RIGHT(CSTABLE[[#This Row],[NomeNCM]],8)</f>
        <v>59019000</v>
      </c>
      <c r="B1056" s="7" t="s">
        <v>4231</v>
      </c>
      <c r="C1056" s="3" t="str">
        <f>IFERROR(VLOOKUP(B1056,ST!C:D,2,0),"NÃOST")</f>
        <v>NÃOST</v>
      </c>
      <c r="E1056" s="3" t="str">
        <f>IF(COUNTIF(ISENÇÕES!A:A,CST!B1056)&gt;0,"ISENÇÃO","SEM ISENÇÃO")</f>
        <v>SEM ISENÇÃO</v>
      </c>
      <c r="F1056" s="18" t="str">
        <f>IF(COUNTIF(REDUÇÕES!A:A,CST!B1056)&gt;0,"REDUÇÃO","NÃO REDUÇÃO")</f>
        <v>NÃO REDUÇÃO</v>
      </c>
      <c r="G1056" s="27">
        <f t="shared" si="17"/>
        <v>0</v>
      </c>
    </row>
    <row r="1057" spans="1:7" x14ac:dyDescent="0.25">
      <c r="A1057" s="120" t="str">
        <f>RIGHT(CSTABLE[[#This Row],[NomeNCM]],8)</f>
        <v>61089200</v>
      </c>
      <c r="B1057" s="7" t="s">
        <v>4232</v>
      </c>
      <c r="C1057" s="3" t="str">
        <f>IFERROR(VLOOKUP(B1057,ST!C:D,2,0),"NÃOST")</f>
        <v>NÃOST</v>
      </c>
      <c r="E1057" s="3" t="str">
        <f>IF(COUNTIF(ISENÇÕES!A:A,CST!B1057)&gt;0,"ISENÇÃO","SEM ISENÇÃO")</f>
        <v>SEM ISENÇÃO</v>
      </c>
      <c r="F1057" s="18" t="str">
        <f>IF(COUNTIF(REDUÇÕES!A:A,CST!B1057)&gt;0,"REDUÇÃO","NÃO REDUÇÃO")</f>
        <v>NÃO REDUÇÃO</v>
      </c>
      <c r="G1057" s="27">
        <f t="shared" si="17"/>
        <v>0</v>
      </c>
    </row>
    <row r="1058" spans="1:7" x14ac:dyDescent="0.25">
      <c r="A1058" s="120" t="str">
        <f>RIGHT(CSTABLE[[#This Row],[NomeNCM]],8)</f>
        <v>61079910</v>
      </c>
      <c r="B1058" s="7" t="s">
        <v>4233</v>
      </c>
      <c r="C1058" s="3" t="str">
        <f>IFERROR(VLOOKUP(B1058,ST!C:D,2,0),"NÃOST")</f>
        <v>NÃOST</v>
      </c>
      <c r="E1058" s="3" t="str">
        <f>IF(COUNTIF(ISENÇÕES!A:A,CST!B1058)&gt;0,"ISENÇÃO","SEM ISENÇÃO")</f>
        <v>SEM ISENÇÃO</v>
      </c>
      <c r="F1058" s="18" t="str">
        <f>IF(COUNTIF(REDUÇÕES!A:A,CST!B1058)&gt;0,"REDUÇÃO","NÃO REDUÇÃO")</f>
        <v>NÃO REDUÇÃO</v>
      </c>
      <c r="G1058" s="27">
        <f t="shared" si="17"/>
        <v>0</v>
      </c>
    </row>
    <row r="1059" spans="1:7" x14ac:dyDescent="0.25">
      <c r="A1059" s="120" t="str">
        <f>RIGHT(CSTABLE[[#This Row],[NomeNCM]],8)</f>
        <v>95030060</v>
      </c>
      <c r="B1059" s="7" t="s">
        <v>4234</v>
      </c>
      <c r="C1059" s="3" t="str">
        <f>IFERROR(VLOOKUP(B1059,ST!C:D,2,0),"NÃOST")</f>
        <v>NÃOST</v>
      </c>
      <c r="E1059" s="3" t="str">
        <f>IF(COUNTIF(ISENÇÕES!A:A,CST!B1059)&gt;0,"ISENÇÃO","SEM ISENÇÃO")</f>
        <v>SEM ISENÇÃO</v>
      </c>
      <c r="F1059" s="18" t="str">
        <f>IF(COUNTIF(REDUÇÕES!A:A,CST!B1059)&gt;0,"REDUÇÃO","NÃO REDUÇÃO")</f>
        <v>NÃO REDUÇÃO</v>
      </c>
      <c r="G1059" s="27">
        <f t="shared" si="17"/>
        <v>0</v>
      </c>
    </row>
    <row r="1060" spans="1:7" x14ac:dyDescent="0.25">
      <c r="A1060" s="120" t="str">
        <f>RIGHT(CSTABLE[[#This Row],[NomeNCM]],8)</f>
        <v>39172200</v>
      </c>
      <c r="B1060" s="7" t="s">
        <v>4235</v>
      </c>
      <c r="C1060" s="3" t="str">
        <f>IFERROR(VLOOKUP(B1060,ST!C:D,2,0),"NÃOST")</f>
        <v>NÃOST</v>
      </c>
      <c r="E1060" s="3" t="str">
        <f>IF(COUNTIF(ISENÇÕES!A:A,CST!B1060)&gt;0,"ISENÇÃO","SEM ISENÇÃO")</f>
        <v>SEM ISENÇÃO</v>
      </c>
      <c r="F1060" s="18" t="str">
        <f>IF(COUNTIF(REDUÇÕES!A:A,CST!B1060)&gt;0,"REDUÇÃO","NÃO REDUÇÃO")</f>
        <v>NÃO REDUÇÃO</v>
      </c>
      <c r="G1060" s="27">
        <f t="shared" si="17"/>
        <v>0</v>
      </c>
    </row>
    <row r="1061" spans="1:7" x14ac:dyDescent="0.25">
      <c r="A1061" s="120" t="str">
        <f>RIGHT(CSTABLE[[#This Row],[NomeNCM]],8)</f>
        <v>44209000</v>
      </c>
      <c r="B1061" s="7" t="s">
        <v>4236</v>
      </c>
      <c r="C1061" s="3" t="str">
        <f>IFERROR(VLOOKUP(B1061,ST!C:D,2,0),"NÃOST")</f>
        <v>NÃOST</v>
      </c>
      <c r="E1061" s="3" t="str">
        <f>IF(COUNTIF(ISENÇÕES!A:A,CST!B1061)&gt;0,"ISENÇÃO","SEM ISENÇÃO")</f>
        <v>SEM ISENÇÃO</v>
      </c>
      <c r="F1061" s="18" t="str">
        <f>IF(COUNTIF(REDUÇÕES!A:A,CST!B1061)&gt;0,"REDUÇÃO","NÃO REDUÇÃO")</f>
        <v>NÃO REDUÇÃO</v>
      </c>
      <c r="G1061" s="27">
        <f t="shared" si="17"/>
        <v>0</v>
      </c>
    </row>
    <row r="1062" spans="1:7" x14ac:dyDescent="0.25">
      <c r="A1062" s="120" t="str">
        <f>RIGHT(CSTABLE[[#This Row],[NomeNCM]],8)</f>
        <v>84523000</v>
      </c>
      <c r="B1062" s="7" t="s">
        <v>4237</v>
      </c>
      <c r="C1062" s="3" t="str">
        <f>IFERROR(VLOOKUP(B1062,ST!C:D,2,0),"NÃOST")</f>
        <v>NÃOST</v>
      </c>
      <c r="E1062" s="3" t="str">
        <f>IF(COUNTIF(ISENÇÕES!A:A,CST!B1062)&gt;0,"ISENÇÃO","SEM ISENÇÃO")</f>
        <v>SEM ISENÇÃO</v>
      </c>
      <c r="F1062" s="18" t="str">
        <f>IF(COUNTIF(REDUÇÕES!A:A,CST!B1062)&gt;0,"REDUÇÃO","NÃO REDUÇÃO")</f>
        <v>NÃO REDUÇÃO</v>
      </c>
      <c r="G1062" s="27">
        <f t="shared" si="17"/>
        <v>0</v>
      </c>
    </row>
    <row r="1063" spans="1:7" x14ac:dyDescent="0.25">
      <c r="A1063" s="120" t="str">
        <f>RIGHT(CSTABLE[[#This Row],[NomeNCM]],8)</f>
        <v>07119000</v>
      </c>
      <c r="B1063" s="7" t="s">
        <v>4238</v>
      </c>
      <c r="C1063" s="3" t="str">
        <f>IFERROR(VLOOKUP(B1063,ST!C:D,2,0),"NÃOST")</f>
        <v>NÃOST</v>
      </c>
      <c r="E1063" s="3" t="str">
        <f>IF(COUNTIF(ISENÇÕES!A:A,CST!B1063)&gt;0,"ISENÇÃO","SEM ISENÇÃO")</f>
        <v>SEM ISENÇÃO</v>
      </c>
      <c r="F1063" s="18" t="str">
        <f>IF(COUNTIF(REDUÇÕES!A:A,CST!B1063)&gt;0,"REDUÇÃO","NÃO REDUÇÃO")</f>
        <v>NÃO REDUÇÃO</v>
      </c>
      <c r="G1063" s="27">
        <f t="shared" si="17"/>
        <v>0</v>
      </c>
    </row>
    <row r="1064" spans="1:7" x14ac:dyDescent="0.25">
      <c r="A1064" s="120" t="str">
        <f>RIGHT(CSTABLE[[#This Row],[NomeNCM]],8)</f>
        <v>61152200</v>
      </c>
      <c r="B1064" s="7" t="s">
        <v>4239</v>
      </c>
      <c r="C1064" s="3" t="str">
        <f>IFERROR(VLOOKUP(B1064,ST!C:D,2,0),"NÃOST")</f>
        <v>NÃOST</v>
      </c>
      <c r="E1064" s="3" t="str">
        <f>IF(COUNTIF(ISENÇÕES!A:A,CST!B1064)&gt;0,"ISENÇÃO","SEM ISENÇÃO")</f>
        <v>SEM ISENÇÃO</v>
      </c>
      <c r="F1064" s="18" t="str">
        <f>IF(COUNTIF(REDUÇÕES!A:A,CST!B1064)&gt;0,"REDUÇÃO","NÃO REDUÇÃO")</f>
        <v>NÃO REDUÇÃO</v>
      </c>
      <c r="G1064" s="27">
        <f t="shared" si="17"/>
        <v>0</v>
      </c>
    </row>
    <row r="1065" spans="1:7" x14ac:dyDescent="0.25">
      <c r="A1065" s="120" t="str">
        <f>RIGHT(CSTABLE[[#This Row],[NomeNCM]],8)</f>
        <v>63072000</v>
      </c>
      <c r="B1065" s="7" t="s">
        <v>4240</v>
      </c>
      <c r="C1065" s="3" t="str">
        <f>IFERROR(VLOOKUP(B1065,ST!C:D,2,0),"NÃOST")</f>
        <v>NÃOST</v>
      </c>
      <c r="E1065" s="3" t="str">
        <f>IF(COUNTIF(ISENÇÕES!A:A,CST!B1065)&gt;0,"ISENÇÃO","SEM ISENÇÃO")</f>
        <v>SEM ISENÇÃO</v>
      </c>
      <c r="F1065" s="18" t="str">
        <f>IF(COUNTIF(REDUÇÕES!A:A,CST!B1065)&gt;0,"REDUÇÃO","NÃO REDUÇÃO")</f>
        <v>NÃO REDUÇÃO</v>
      </c>
      <c r="G1065" s="27">
        <f t="shared" si="17"/>
        <v>0</v>
      </c>
    </row>
    <row r="1066" spans="1:7" x14ac:dyDescent="0.25">
      <c r="A1066" s="120" t="str">
        <f>RIGHT(CSTABLE[[#This Row],[NomeNCM]],8)</f>
        <v>85094020</v>
      </c>
      <c r="B1066" s="7" t="s">
        <v>4241</v>
      </c>
      <c r="C1066" s="3" t="str">
        <f>IFERROR(VLOOKUP(B1066,ST!C:D,2,0),"NÃOST")</f>
        <v>NÃOST</v>
      </c>
      <c r="E1066" s="3" t="str">
        <f>IF(COUNTIF(ISENÇÕES!A:A,CST!B1066)&gt;0,"ISENÇÃO","SEM ISENÇÃO")</f>
        <v>SEM ISENÇÃO</v>
      </c>
      <c r="F1066" s="18" t="str">
        <f>IF(COUNTIF(REDUÇÕES!A:A,CST!B1066)&gt;0,"REDUÇÃO","NÃO REDUÇÃO")</f>
        <v>NÃO REDUÇÃO</v>
      </c>
      <c r="G1066" s="27">
        <f t="shared" si="17"/>
        <v>0</v>
      </c>
    </row>
    <row r="1067" spans="1:7" x14ac:dyDescent="0.25">
      <c r="A1067" s="120" t="str">
        <f>RIGHT(CSTABLE[[#This Row],[NomeNCM]],8)</f>
        <v>32151900</v>
      </c>
      <c r="B1067" s="7" t="s">
        <v>4242</v>
      </c>
      <c r="C1067" s="3" t="str">
        <f>IFERROR(VLOOKUP(B1067,ST!C:D,2,0),"NÃOST")</f>
        <v>NÃOST</v>
      </c>
      <c r="E1067" s="3" t="str">
        <f>IF(COUNTIF(ISENÇÕES!A:A,CST!B1067)&gt;0,"ISENÇÃO","SEM ISENÇÃO")</f>
        <v>SEM ISENÇÃO</v>
      </c>
      <c r="F1067" s="18" t="str">
        <f>IF(COUNTIF(REDUÇÕES!A:A,CST!B1067)&gt;0,"REDUÇÃO","NÃO REDUÇÃO")</f>
        <v>NÃO REDUÇÃO</v>
      </c>
      <c r="G1067" s="27">
        <f t="shared" si="17"/>
        <v>0</v>
      </c>
    </row>
    <row r="1068" spans="1:7" x14ac:dyDescent="0.25">
      <c r="A1068" s="120" t="str">
        <f>RIGHT(CSTABLE[[#This Row],[NomeNCM]],8)</f>
        <v>96050000</v>
      </c>
      <c r="B1068" s="7" t="s">
        <v>4243</v>
      </c>
      <c r="C1068" s="3" t="str">
        <f>IFERROR(VLOOKUP(B1068,ST!C:D,2,0),"NÃOST")</f>
        <v>NÃOST</v>
      </c>
      <c r="E1068" s="3" t="str">
        <f>IF(COUNTIF(ISENÇÕES!A:A,CST!B1068)&gt;0,"ISENÇÃO","SEM ISENÇÃO")</f>
        <v>SEM ISENÇÃO</v>
      </c>
      <c r="F1068" s="18" t="str">
        <f>IF(COUNTIF(REDUÇÕES!A:A,CST!B1068)&gt;0,"REDUÇÃO","NÃO REDUÇÃO")</f>
        <v>NÃO REDUÇÃO</v>
      </c>
      <c r="G1068" s="27">
        <f t="shared" si="17"/>
        <v>0</v>
      </c>
    </row>
    <row r="1069" spans="1:7" x14ac:dyDescent="0.25">
      <c r="A1069" s="120" t="str">
        <f>RIGHT(CSTABLE[[#This Row],[NomeNCM]],8)</f>
        <v>91052100</v>
      </c>
      <c r="B1069" s="7" t="s">
        <v>4244</v>
      </c>
      <c r="C1069" s="3" t="str">
        <f>IFERROR(VLOOKUP(B1069,ST!C:D,2,0),"NÃOST")</f>
        <v>NÃOST</v>
      </c>
      <c r="E1069" s="3" t="str">
        <f>IF(COUNTIF(ISENÇÕES!A:A,CST!B1069)&gt;0,"ISENÇÃO","SEM ISENÇÃO")</f>
        <v>SEM ISENÇÃO</v>
      </c>
      <c r="F1069" s="18" t="str">
        <f>IF(COUNTIF(REDUÇÕES!A:A,CST!B1069)&gt;0,"REDUÇÃO","NÃO REDUÇÃO")</f>
        <v>NÃO REDUÇÃO</v>
      </c>
      <c r="G1069" s="27">
        <f t="shared" si="17"/>
        <v>0</v>
      </c>
    </row>
    <row r="1070" spans="1:7" x14ac:dyDescent="0.25">
      <c r="A1070" s="120" t="str">
        <f>RIGHT(CSTABLE[[#This Row],[NomeNCM]],8)</f>
        <v>67029000</v>
      </c>
      <c r="B1070" s="7" t="s">
        <v>4245</v>
      </c>
      <c r="C1070" s="3" t="str">
        <f>IFERROR(VLOOKUP(B1070,ST!C:D,2,0),"NÃOST")</f>
        <v>NÃOST</v>
      </c>
      <c r="E1070" s="3" t="str">
        <f>IF(COUNTIF(ISENÇÕES!A:A,CST!B1070)&gt;0,"ISENÇÃO","SEM ISENÇÃO")</f>
        <v>SEM ISENÇÃO</v>
      </c>
      <c r="F1070" s="18" t="str">
        <f>IF(COUNTIF(REDUÇÕES!A:A,CST!B1070)&gt;0,"REDUÇÃO","NÃO REDUÇÃO")</f>
        <v>NÃO REDUÇÃO</v>
      </c>
      <c r="G1070" s="27">
        <f t="shared" si="17"/>
        <v>0</v>
      </c>
    </row>
    <row r="1071" spans="1:7" x14ac:dyDescent="0.25">
      <c r="A1071" s="120" t="str">
        <f>RIGHT(CSTABLE[[#This Row],[NomeNCM]],8)</f>
        <v>64062000</v>
      </c>
      <c r="B1071" s="7" t="s">
        <v>4246</v>
      </c>
      <c r="C1071" s="3" t="str">
        <f>IFERROR(VLOOKUP(B1071,ST!C:D,2,0),"NÃOST")</f>
        <v>NÃOST</v>
      </c>
      <c r="E1071" s="3" t="str">
        <f>IF(COUNTIF(ISENÇÕES!A:A,CST!B1071)&gt;0,"ISENÇÃO","SEM ISENÇÃO")</f>
        <v>SEM ISENÇÃO</v>
      </c>
      <c r="F1071" s="18" t="str">
        <f>IF(COUNTIF(REDUÇÕES!A:A,CST!B1071)&gt;0,"REDUÇÃO","NÃO REDUÇÃO")</f>
        <v>NÃO REDUÇÃO</v>
      </c>
      <c r="G1071" s="27">
        <f t="shared" si="17"/>
        <v>0</v>
      </c>
    </row>
    <row r="1072" spans="1:7" x14ac:dyDescent="0.25">
      <c r="A1072" s="120" t="str">
        <f>RIGHT(CSTABLE[[#This Row],[NomeNCM]],8)</f>
        <v>95051000</v>
      </c>
      <c r="B1072" s="7" t="s">
        <v>4247</v>
      </c>
      <c r="C1072" s="3" t="str">
        <f>IFERROR(VLOOKUP(B1072,ST!C:D,2,0),"NÃOST")</f>
        <v>NÃOST</v>
      </c>
      <c r="E1072" s="3" t="str">
        <f>IF(COUNTIF(ISENÇÕES!A:A,CST!B1072)&gt;0,"ISENÇÃO","SEM ISENÇÃO")</f>
        <v>SEM ISENÇÃO</v>
      </c>
      <c r="F1072" s="18" t="str">
        <f>IF(COUNTIF(REDUÇÕES!A:A,CST!B1072)&gt;0,"REDUÇÃO","NÃO REDUÇÃO")</f>
        <v>NÃO REDUÇÃO</v>
      </c>
      <c r="G1072" s="27">
        <f t="shared" si="17"/>
        <v>0</v>
      </c>
    </row>
    <row r="1073" spans="1:7" x14ac:dyDescent="0.25">
      <c r="A1073" s="120" t="str">
        <f>RIGHT(CSTABLE[[#This Row],[NomeNCM]],8)</f>
        <v>67049000</v>
      </c>
      <c r="B1073" s="7" t="s">
        <v>4248</v>
      </c>
      <c r="C1073" s="3" t="str">
        <f>IFERROR(VLOOKUP(B1073,ST!C:D,2,0),"NÃOST")</f>
        <v>NÃOST</v>
      </c>
      <c r="E1073" s="3" t="str">
        <f>IF(COUNTIF(ISENÇÕES!A:A,CST!B1073)&gt;0,"ISENÇÃO","SEM ISENÇÃO")</f>
        <v>SEM ISENÇÃO</v>
      </c>
      <c r="F1073" s="18" t="str">
        <f>IF(COUNTIF(REDUÇÕES!A:A,CST!B1073)&gt;0,"REDUÇÃO","NÃO REDUÇÃO")</f>
        <v>NÃO REDUÇÃO</v>
      </c>
      <c r="G1073" s="27">
        <f t="shared" si="17"/>
        <v>0</v>
      </c>
    </row>
    <row r="1074" spans="1:7" x14ac:dyDescent="0.25">
      <c r="A1074" s="120" t="str">
        <f>RIGHT(CSTABLE[[#This Row],[NomeNCM]],8)</f>
        <v>63013000</v>
      </c>
      <c r="B1074" s="7" t="s">
        <v>4249</v>
      </c>
      <c r="C1074" s="3" t="str">
        <f>IFERROR(VLOOKUP(B1074,ST!C:D,2,0),"NÃOST")</f>
        <v>NÃOST</v>
      </c>
      <c r="E1074" s="3" t="str">
        <f>IF(COUNTIF(ISENÇÕES!A:A,CST!B1074)&gt;0,"ISENÇÃO","SEM ISENÇÃO")</f>
        <v>SEM ISENÇÃO</v>
      </c>
      <c r="F1074" s="18" t="str">
        <f>IF(COUNTIF(REDUÇÕES!A:A,CST!B1074)&gt;0,"REDUÇÃO","NÃO REDUÇÃO")</f>
        <v>NÃO REDUÇÃO</v>
      </c>
      <c r="G1074" s="27">
        <f t="shared" si="17"/>
        <v>0</v>
      </c>
    </row>
    <row r="1075" spans="1:7" x14ac:dyDescent="0.25">
      <c r="A1075" s="120" t="str">
        <f>RIGHT(CSTABLE[[#This Row],[NomeNCM]],8)</f>
        <v>91031000</v>
      </c>
      <c r="B1075" s="7" t="s">
        <v>4250</v>
      </c>
      <c r="C1075" s="3" t="str">
        <f>IFERROR(VLOOKUP(B1075,ST!C:D,2,0),"NÃOST")</f>
        <v>NÃOST</v>
      </c>
      <c r="E1075" s="3" t="str">
        <f>IF(COUNTIF(ISENÇÕES!A:A,CST!B1075)&gt;0,"ISENÇÃO","SEM ISENÇÃO")</f>
        <v>SEM ISENÇÃO</v>
      </c>
      <c r="F1075" s="18" t="str">
        <f>IF(COUNTIF(REDUÇÕES!A:A,CST!B1075)&gt;0,"REDUÇÃO","NÃO REDUÇÃO")</f>
        <v>NÃO REDUÇÃO</v>
      </c>
      <c r="G1075" s="27">
        <f t="shared" si="17"/>
        <v>0</v>
      </c>
    </row>
    <row r="1076" spans="1:7" x14ac:dyDescent="0.25">
      <c r="A1076" s="120" t="str">
        <f>RIGHT(CSTABLE[[#This Row],[NomeNCM]],8)</f>
        <v>82041100</v>
      </c>
      <c r="B1076" s="7" t="s">
        <v>4251</v>
      </c>
      <c r="C1076" s="3" t="str">
        <f>IFERROR(VLOOKUP(B1076,ST!C:D,2,0),"NÃOST")</f>
        <v>NÃOST</v>
      </c>
      <c r="E1076" s="3" t="str">
        <f>IF(COUNTIF(ISENÇÕES!A:A,CST!B1076)&gt;0,"ISENÇÃO","SEM ISENÇÃO")</f>
        <v>SEM ISENÇÃO</v>
      </c>
      <c r="F1076" s="18" t="str">
        <f>IF(COUNTIF(REDUÇÕES!A:A,CST!B1076)&gt;0,"REDUÇÃO","NÃO REDUÇÃO")</f>
        <v>NÃO REDUÇÃO</v>
      </c>
      <c r="G1076" s="27">
        <f t="shared" si="17"/>
        <v>0</v>
      </c>
    </row>
    <row r="1077" spans="1:7" x14ac:dyDescent="0.25">
      <c r="A1077" s="120" t="str">
        <f>RIGHT(CSTABLE[[#This Row],[NomeNCM]],8)</f>
        <v>48184090</v>
      </c>
      <c r="B1077" s="7" t="s">
        <v>4252</v>
      </c>
      <c r="C1077" s="3" t="str">
        <f>IFERROR(VLOOKUP(B1077,ST!C:D,2,0),"NÃOST")</f>
        <v>NÃOST</v>
      </c>
      <c r="E1077" s="3" t="str">
        <f>IF(COUNTIF(ISENÇÕES!A:A,CST!B1077)&gt;0,"ISENÇÃO","SEM ISENÇÃO")</f>
        <v>SEM ISENÇÃO</v>
      </c>
      <c r="F1077" s="18" t="str">
        <f>IF(COUNTIF(REDUÇÕES!A:A,CST!B1077)&gt;0,"REDUÇÃO","NÃO REDUÇÃO")</f>
        <v>REDUÇÃO</v>
      </c>
      <c r="G1077" s="27">
        <f t="shared" si="17"/>
        <v>20</v>
      </c>
    </row>
    <row r="1078" spans="1:7" x14ac:dyDescent="0.25">
      <c r="A1078" s="120" t="str">
        <f>RIGHT(CSTABLE[[#This Row],[NomeNCM]],8)</f>
        <v>48115929</v>
      </c>
      <c r="B1078" s="7" t="s">
        <v>4253</v>
      </c>
      <c r="C1078" s="3" t="str">
        <f>IFERROR(VLOOKUP(B1078,ST!C:D,2,0),"NÃOST")</f>
        <v>NÃOST</v>
      </c>
      <c r="E1078" s="3" t="str">
        <f>IF(COUNTIF(ISENÇÕES!A:A,CST!B1078)&gt;0,"ISENÇÃO","SEM ISENÇÃO")</f>
        <v>SEM ISENÇÃO</v>
      </c>
      <c r="F1078" s="18" t="str">
        <f>IF(COUNTIF(REDUÇÕES!A:A,CST!B1078)&gt;0,"REDUÇÃO","NÃO REDUÇÃO")</f>
        <v>NÃO REDUÇÃO</v>
      </c>
      <c r="G1078" s="27">
        <f t="shared" si="17"/>
        <v>0</v>
      </c>
    </row>
    <row r="1079" spans="1:7" x14ac:dyDescent="0.25">
      <c r="A1079" s="120" t="str">
        <f>RIGHT(CSTABLE[[#This Row],[NomeNCM]],8)</f>
        <v>63049200</v>
      </c>
      <c r="B1079" s="7" t="s">
        <v>4254</v>
      </c>
      <c r="C1079" s="3" t="str">
        <f>IFERROR(VLOOKUP(B1079,ST!C:D,2,0),"NÃOST")</f>
        <v>NÃOST</v>
      </c>
      <c r="E1079" s="3" t="str">
        <f>IF(COUNTIF(ISENÇÕES!A:A,CST!B1079)&gt;0,"ISENÇÃO","SEM ISENÇÃO")</f>
        <v>SEM ISENÇÃO</v>
      </c>
      <c r="F1079" s="18" t="str">
        <f>IF(COUNTIF(REDUÇÕES!A:A,CST!B1079)&gt;0,"REDUÇÃO","NÃO REDUÇÃO")</f>
        <v>NÃO REDUÇÃO</v>
      </c>
      <c r="G1079" s="27">
        <f t="shared" si="17"/>
        <v>0</v>
      </c>
    </row>
    <row r="1080" spans="1:7" x14ac:dyDescent="0.25">
      <c r="A1080" s="120" t="str">
        <f>RIGHT(CSTABLE[[#This Row],[NomeNCM]],8)</f>
        <v>52054100</v>
      </c>
      <c r="B1080" s="7" t="s">
        <v>4255</v>
      </c>
      <c r="C1080" s="3" t="str">
        <f>IFERROR(VLOOKUP(B1080,ST!C:D,2,0),"NÃOST")</f>
        <v>NÃOST</v>
      </c>
      <c r="E1080" s="3" t="str">
        <f>IF(COUNTIF(ISENÇÕES!A:A,CST!B1080)&gt;0,"ISENÇÃO","SEM ISENÇÃO")</f>
        <v>SEM ISENÇÃO</v>
      </c>
      <c r="F1080" s="18" t="str">
        <f>IF(COUNTIF(REDUÇÕES!A:A,CST!B1080)&gt;0,"REDUÇÃO","NÃO REDUÇÃO")</f>
        <v>NÃO REDUÇÃO</v>
      </c>
      <c r="G1080" s="27">
        <f t="shared" si="17"/>
        <v>0</v>
      </c>
    </row>
    <row r="1081" spans="1:7" x14ac:dyDescent="0.25">
      <c r="A1081" s="120" t="str">
        <f>RIGHT(CSTABLE[[#This Row],[NomeNCM]],8)</f>
        <v>69139000</v>
      </c>
      <c r="B1081" s="7" t="s">
        <v>4256</v>
      </c>
      <c r="C1081" s="3" t="str">
        <f>IFERROR(VLOOKUP(B1081,ST!C:D,2,0),"NÃOST")</f>
        <v>NÃOST</v>
      </c>
      <c r="E1081" s="3" t="str">
        <f>IF(COUNTIF(ISENÇÕES!A:A,CST!B1081)&gt;0,"ISENÇÃO","SEM ISENÇÃO")</f>
        <v>SEM ISENÇÃO</v>
      </c>
      <c r="F1081" s="18" t="str">
        <f>IF(COUNTIF(REDUÇÕES!A:A,CST!B1081)&gt;0,"REDUÇÃO","NÃO REDUÇÃO")</f>
        <v>NÃO REDUÇÃO</v>
      </c>
      <c r="G1081" s="27">
        <f t="shared" si="17"/>
        <v>0</v>
      </c>
    </row>
    <row r="1082" spans="1:7" x14ac:dyDescent="0.25">
      <c r="A1082" s="120" t="str">
        <f>RIGHT(CSTABLE[[#This Row],[NomeNCM]],8)</f>
        <v>44140000</v>
      </c>
      <c r="B1082" s="7" t="s">
        <v>4257</v>
      </c>
      <c r="C1082" s="3" t="str">
        <f>IFERROR(VLOOKUP(B1082,ST!C:D,2,0),"NÃOST")</f>
        <v>NÃOST</v>
      </c>
      <c r="E1082" s="3" t="str">
        <f>IF(COUNTIF(ISENÇÕES!A:A,CST!B1082)&gt;0,"ISENÇÃO","SEM ISENÇÃO")</f>
        <v>SEM ISENÇÃO</v>
      </c>
      <c r="F1082" s="18" t="str">
        <f>IF(COUNTIF(REDUÇÕES!A:A,CST!B1082)&gt;0,"REDUÇÃO","NÃO REDUÇÃO")</f>
        <v>NÃO REDUÇÃO</v>
      </c>
      <c r="G1082" s="27">
        <f t="shared" si="17"/>
        <v>0</v>
      </c>
    </row>
    <row r="1083" spans="1:7" x14ac:dyDescent="0.25">
      <c r="A1083" s="120" t="str">
        <f>RIGHT(CSTABLE[[#This Row],[NomeNCM]],8)</f>
        <v>95030098</v>
      </c>
      <c r="B1083" s="7" t="s">
        <v>4258</v>
      </c>
      <c r="C1083" s="3" t="str">
        <f>IFERROR(VLOOKUP(B1083,ST!C:D,2,0),"NÃOST")</f>
        <v>NÃOST</v>
      </c>
      <c r="E1083" s="3" t="str">
        <f>IF(COUNTIF(ISENÇÕES!A:A,CST!B1083)&gt;0,"ISENÇÃO","SEM ISENÇÃO")</f>
        <v>SEM ISENÇÃO</v>
      </c>
      <c r="F1083" s="18" t="str">
        <f>IF(COUNTIF(REDUÇÕES!A:A,CST!B1083)&gt;0,"REDUÇÃO","NÃO REDUÇÃO")</f>
        <v>NÃO REDUÇÃO</v>
      </c>
      <c r="G1083" s="27">
        <f t="shared" si="17"/>
        <v>0</v>
      </c>
    </row>
    <row r="1084" spans="1:7" x14ac:dyDescent="0.25">
      <c r="A1084" s="120" t="str">
        <f>RIGHT(CSTABLE[[#This Row],[NomeNCM]],8)</f>
        <v>22042900</v>
      </c>
      <c r="B1084" s="7" t="s">
        <v>3442</v>
      </c>
      <c r="C1084" s="3" t="str">
        <f>IFERROR(VLOOKUP(B1084,ST!C:D,2,0),"NÃOST")</f>
        <v>NÃOST</v>
      </c>
      <c r="E1084" s="3" t="str">
        <f>IF(COUNTIF(ISENÇÕES!A:A,CST!B1084)&gt;0,"ISENÇÃO","SEM ISENÇÃO")</f>
        <v>SEM ISENÇÃO</v>
      </c>
      <c r="F1084" s="18" t="str">
        <f>IF(COUNTIF(REDUÇÕES!A:A,CST!B1084)&gt;0,"REDUÇÃO","NÃO REDUÇÃO")</f>
        <v>NÃO REDUÇÃO</v>
      </c>
      <c r="G1084" s="27">
        <f t="shared" si="17"/>
        <v>0</v>
      </c>
    </row>
    <row r="1085" spans="1:7" x14ac:dyDescent="0.25">
      <c r="A1085" s="120" t="str">
        <f>RIGHT(CSTABLE[[#This Row],[NomeNCM]],8)</f>
        <v>67021000</v>
      </c>
      <c r="B1085" s="7" t="s">
        <v>4259</v>
      </c>
      <c r="C1085" s="3" t="str">
        <f>IFERROR(VLOOKUP(B1085,ST!C:D,2,0),"NÃOST")</f>
        <v>NÃOST</v>
      </c>
      <c r="E1085" s="3" t="str">
        <f>IF(COUNTIF(ISENÇÕES!A:A,CST!B1085)&gt;0,"ISENÇÃO","SEM ISENÇÃO")</f>
        <v>SEM ISENÇÃO</v>
      </c>
      <c r="F1085" s="18" t="str">
        <f>IF(COUNTIF(REDUÇÕES!A:A,CST!B1085)&gt;0,"REDUÇÃO","NÃO REDUÇÃO")</f>
        <v>NÃO REDUÇÃO</v>
      </c>
      <c r="G1085" s="27">
        <f t="shared" si="17"/>
        <v>0</v>
      </c>
    </row>
    <row r="1086" spans="1:7" x14ac:dyDescent="0.25">
      <c r="A1086" s="120" t="str">
        <f>RIGHT(CSTABLE[[#This Row],[NomeNCM]],8)</f>
        <v>95030091</v>
      </c>
      <c r="B1086" s="7" t="s">
        <v>4260</v>
      </c>
      <c r="C1086" s="3" t="str">
        <f>IFERROR(VLOOKUP(B1086,ST!C:D,2,0),"NÃOST")</f>
        <v>NÃOST</v>
      </c>
      <c r="E1086" s="3" t="str">
        <f>IF(COUNTIF(ISENÇÕES!A:A,CST!B1086)&gt;0,"ISENÇÃO","SEM ISENÇÃO")</f>
        <v>SEM ISENÇÃO</v>
      </c>
      <c r="F1086" s="18" t="str">
        <f>IF(COUNTIF(REDUÇÕES!A:A,CST!B1086)&gt;0,"REDUÇÃO","NÃO REDUÇÃO")</f>
        <v>NÃO REDUÇÃO</v>
      </c>
      <c r="G1086" s="27">
        <f t="shared" si="17"/>
        <v>0</v>
      </c>
    </row>
    <row r="1087" spans="1:7" x14ac:dyDescent="0.25">
      <c r="A1087" s="120" t="str">
        <f>RIGHT(CSTABLE[[#This Row],[NomeNCM]],8)</f>
        <v>82119320</v>
      </c>
      <c r="B1087" s="7" t="s">
        <v>4261</v>
      </c>
      <c r="C1087" s="3" t="str">
        <f>IFERROR(VLOOKUP(B1087,ST!C:D,2,0),"NÃOST")</f>
        <v>NÃOST</v>
      </c>
      <c r="E1087" s="3" t="str">
        <f>IF(COUNTIF(ISENÇÕES!A:A,CST!B1087)&gt;0,"ISENÇÃO","SEM ISENÇÃO")</f>
        <v>SEM ISENÇÃO</v>
      </c>
      <c r="F1087" s="18" t="str">
        <f>IF(COUNTIF(REDUÇÕES!A:A,CST!B1087)&gt;0,"REDUÇÃO","NÃO REDUÇÃO")</f>
        <v>NÃO REDUÇÃO</v>
      </c>
      <c r="G1087" s="27">
        <f t="shared" si="17"/>
        <v>0</v>
      </c>
    </row>
    <row r="1088" spans="1:7" x14ac:dyDescent="0.25">
      <c r="A1088" s="120" t="str">
        <f>RIGHT(CSTABLE[[#This Row],[NomeNCM]],8)</f>
        <v>62099090</v>
      </c>
      <c r="B1088" s="7" t="s">
        <v>4262</v>
      </c>
      <c r="C1088" s="3" t="str">
        <f>IFERROR(VLOOKUP(B1088,ST!C:D,2,0),"NÃOST")</f>
        <v>NÃOST</v>
      </c>
      <c r="E1088" s="3" t="str">
        <f>IF(COUNTIF(ISENÇÕES!A:A,CST!B1088)&gt;0,"ISENÇÃO","SEM ISENÇÃO")</f>
        <v>SEM ISENÇÃO</v>
      </c>
      <c r="F1088" s="18" t="str">
        <f>IF(COUNTIF(REDUÇÕES!A:A,CST!B1088)&gt;0,"REDUÇÃO","NÃO REDUÇÃO")</f>
        <v>NÃO REDUÇÃO</v>
      </c>
      <c r="G1088" s="27">
        <f t="shared" si="17"/>
        <v>0</v>
      </c>
    </row>
    <row r="1089" spans="1:7" x14ac:dyDescent="0.25">
      <c r="A1089" s="120" t="str">
        <f>RIGHT(CSTABLE[[#This Row],[NomeNCM]],8)</f>
        <v>54026900</v>
      </c>
      <c r="B1089" s="7" t="s">
        <v>4263</v>
      </c>
      <c r="C1089" s="3" t="str">
        <f>IFERROR(VLOOKUP(B1089,ST!C:D,2,0),"NÃOST")</f>
        <v>NÃOST</v>
      </c>
      <c r="E1089" s="3" t="str">
        <f>IF(COUNTIF(ISENÇÕES!A:A,CST!B1089)&gt;0,"ISENÇÃO","SEM ISENÇÃO")</f>
        <v>SEM ISENÇÃO</v>
      </c>
      <c r="F1089" s="18" t="str">
        <f>IF(COUNTIF(REDUÇÕES!A:A,CST!B1089)&gt;0,"REDUÇÃO","NÃO REDUÇÃO")</f>
        <v>NÃO REDUÇÃO</v>
      </c>
      <c r="G1089" s="27">
        <f t="shared" si="17"/>
        <v>0</v>
      </c>
    </row>
    <row r="1090" spans="1:7" x14ac:dyDescent="0.25">
      <c r="A1090" s="120" t="str">
        <f>RIGHT(CSTABLE[[#This Row],[NomeNCM]],8)</f>
        <v>93062900</v>
      </c>
      <c r="B1090" s="7" t="s">
        <v>4264</v>
      </c>
      <c r="C1090" s="3" t="str">
        <f>IFERROR(VLOOKUP(B1090,ST!C:D,2,0),"NÃOST")</f>
        <v>NÃOST</v>
      </c>
      <c r="E1090" s="3" t="str">
        <f>IF(COUNTIF(ISENÇÕES!A:A,CST!B1090)&gt;0,"ISENÇÃO","SEM ISENÇÃO")</f>
        <v>SEM ISENÇÃO</v>
      </c>
      <c r="F1090" s="18" t="str">
        <f>IF(COUNTIF(REDUÇÕES!A:A,CST!B1090)&gt;0,"REDUÇÃO","NÃO REDUÇÃO")</f>
        <v>NÃO REDUÇÃO</v>
      </c>
      <c r="G1090" s="27">
        <f t="shared" si="17"/>
        <v>0</v>
      </c>
    </row>
    <row r="1091" spans="1:7" x14ac:dyDescent="0.25">
      <c r="A1091" s="120" t="str">
        <f>RIGHT(CSTABLE[[#This Row],[NomeNCM]],8)</f>
        <v>42022220</v>
      </c>
      <c r="B1091" s="7" t="s">
        <v>4265</v>
      </c>
      <c r="C1091" s="3" t="str">
        <f>IFERROR(VLOOKUP(B1091,ST!C:D,2,0),"NÃOST")</f>
        <v>NÃOST</v>
      </c>
      <c r="E1091" s="3" t="str">
        <f>IF(COUNTIF(ISENÇÕES!A:A,CST!B1091)&gt;0,"ISENÇÃO","SEM ISENÇÃO")</f>
        <v>SEM ISENÇÃO</v>
      </c>
      <c r="F1091" s="18" t="str">
        <f>IF(COUNTIF(REDUÇÕES!A:A,CST!B1091)&gt;0,"REDUÇÃO","NÃO REDUÇÃO")</f>
        <v>NÃO REDUÇÃO</v>
      </c>
      <c r="G1091" s="27">
        <f t="shared" si="17"/>
        <v>0</v>
      </c>
    </row>
    <row r="1092" spans="1:7" x14ac:dyDescent="0.25">
      <c r="A1092" s="120" t="str">
        <f>RIGHT(CSTABLE[[#This Row],[NomeNCM]],8)</f>
        <v>49019100</v>
      </c>
      <c r="B1092" s="7" t="s">
        <v>3389</v>
      </c>
      <c r="C1092" s="3" t="str">
        <f>IFERROR(VLOOKUP(B1092,ST!C:D,2,0),"NÃOST")</f>
        <v>NÃOST</v>
      </c>
      <c r="E1092" s="3" t="str">
        <f>IF(COUNTIF(ISENÇÕES!A:A,CST!B1092)&gt;0,"ISENÇÃO","SEM ISENÇÃO")</f>
        <v>SEM ISENÇÃO</v>
      </c>
      <c r="F1092" s="18" t="str">
        <f>IF(COUNTIF(REDUÇÕES!A:A,CST!B1092)&gt;0,"REDUÇÃO","NÃO REDUÇÃO")</f>
        <v>NÃO REDUÇÃO</v>
      </c>
      <c r="G1092" s="27">
        <f t="shared" si="17"/>
        <v>0</v>
      </c>
    </row>
    <row r="1093" spans="1:7" x14ac:dyDescent="0.25">
      <c r="A1093" s="120" t="str">
        <f>RIGHT(CSTABLE[[#This Row],[NomeNCM]],8)</f>
        <v>54060010</v>
      </c>
      <c r="B1093" s="7" t="s">
        <v>4266</v>
      </c>
      <c r="C1093" s="3" t="str">
        <f>IFERROR(VLOOKUP(B1093,ST!C:D,2,0),"NÃOST")</f>
        <v>NÃOST</v>
      </c>
      <c r="E1093" s="3" t="str">
        <f>IF(COUNTIF(ISENÇÕES!A:A,CST!B1093)&gt;0,"ISENÇÃO","SEM ISENÇÃO")</f>
        <v>SEM ISENÇÃO</v>
      </c>
      <c r="F1093" s="18" t="str">
        <f>IF(COUNTIF(REDUÇÕES!A:A,CST!B1093)&gt;0,"REDUÇÃO","NÃO REDUÇÃO")</f>
        <v>NÃO REDUÇÃO</v>
      </c>
      <c r="G1093" s="27">
        <f t="shared" si="17"/>
        <v>0</v>
      </c>
    </row>
    <row r="1094" spans="1:7" x14ac:dyDescent="0.25">
      <c r="A1094" s="120" t="str">
        <f>RIGHT(CSTABLE[[#This Row],[NomeNCM]],8)</f>
        <v>61143000</v>
      </c>
      <c r="B1094" s="7" t="s">
        <v>4267</v>
      </c>
      <c r="C1094" s="3" t="str">
        <f>IFERROR(VLOOKUP(B1094,ST!C:D,2,0),"NÃOST")</f>
        <v>NÃOST</v>
      </c>
      <c r="E1094" s="3" t="str">
        <f>IF(COUNTIF(ISENÇÕES!A:A,CST!B1094)&gt;0,"ISENÇÃO","SEM ISENÇÃO")</f>
        <v>SEM ISENÇÃO</v>
      </c>
      <c r="F1094" s="18" t="str">
        <f>IF(COUNTIF(REDUÇÕES!A:A,CST!B1094)&gt;0,"REDUÇÃO","NÃO REDUÇÃO")</f>
        <v>NÃO REDUÇÃO</v>
      </c>
      <c r="G1094" s="27">
        <f t="shared" si="17"/>
        <v>0</v>
      </c>
    </row>
    <row r="1095" spans="1:7" x14ac:dyDescent="0.25">
      <c r="A1095" s="120" t="str">
        <f>RIGHT(CSTABLE[[#This Row],[NomeNCM]],8)</f>
        <v>65050012</v>
      </c>
      <c r="B1095" s="7" t="s">
        <v>4268</v>
      </c>
      <c r="C1095" s="3" t="str">
        <f>IFERROR(VLOOKUP(B1095,ST!C:D,2,0),"NÃOST")</f>
        <v>NÃOST</v>
      </c>
      <c r="E1095" s="3" t="str">
        <f>IF(COUNTIF(ISENÇÕES!A:A,CST!B1095)&gt;0,"ISENÇÃO","SEM ISENÇÃO")</f>
        <v>SEM ISENÇÃO</v>
      </c>
      <c r="F1095" s="18" t="str">
        <f>IF(COUNTIF(REDUÇÕES!A:A,CST!B1095)&gt;0,"REDUÇÃO","NÃO REDUÇÃO")</f>
        <v>NÃO REDUÇÃO</v>
      </c>
      <c r="G1095" s="27">
        <f t="shared" si="17"/>
        <v>0</v>
      </c>
    </row>
    <row r="1096" spans="1:7" x14ac:dyDescent="0.25">
      <c r="A1096" s="120" t="str">
        <f>RIGHT(CSTABLE[[#This Row],[NomeNCM]],8)</f>
        <v>03037961</v>
      </c>
      <c r="B1096" s="7" t="s">
        <v>3214</v>
      </c>
      <c r="C1096" s="3" t="str">
        <f>IFERROR(VLOOKUP(B1096,ST!C:D,2,0),"NÃOST")</f>
        <v>NÃOST</v>
      </c>
      <c r="E1096" s="3" t="str">
        <f>IF(COUNTIF(ISENÇÕES!A:A,CST!B1096)&gt;0,"ISENÇÃO","SEM ISENÇÃO")</f>
        <v>SEM ISENÇÃO</v>
      </c>
      <c r="F1096" s="18" t="str">
        <f>IF(COUNTIF(REDUÇÕES!A:A,CST!B1096)&gt;0,"REDUÇÃO","NÃO REDUÇÃO")</f>
        <v>NÃO REDUÇÃO</v>
      </c>
      <c r="G1096" s="27">
        <f t="shared" si="17"/>
        <v>0</v>
      </c>
    </row>
    <row r="1097" spans="1:7" x14ac:dyDescent="0.25">
      <c r="A1097" s="120" t="str">
        <f>RIGHT(CSTABLE[[#This Row],[NomeNCM]],8)</f>
        <v>96062900</v>
      </c>
      <c r="B1097" s="7" t="s">
        <v>4269</v>
      </c>
      <c r="C1097" s="3" t="str">
        <f>IFERROR(VLOOKUP(B1097,ST!C:D,2,0),"NÃOST")</f>
        <v>NÃOST</v>
      </c>
      <c r="E1097" s="3" t="str">
        <f>IF(COUNTIF(ISENÇÕES!A:A,CST!B1097)&gt;0,"ISENÇÃO","SEM ISENÇÃO")</f>
        <v>SEM ISENÇÃO</v>
      </c>
      <c r="F1097" s="18" t="str">
        <f>IF(COUNTIF(REDUÇÕES!A:A,CST!B1097)&gt;0,"REDUÇÃO","NÃO REDUÇÃO")</f>
        <v>NÃO REDUÇÃO</v>
      </c>
      <c r="G1097" s="27">
        <f t="shared" si="17"/>
        <v>0</v>
      </c>
    </row>
    <row r="1098" spans="1:7" x14ac:dyDescent="0.25">
      <c r="A1098" s="120" t="str">
        <f>RIGHT(CSTABLE[[#This Row],[NomeNCM]],8)</f>
        <v>72082690</v>
      </c>
      <c r="B1098" s="7" t="s">
        <v>4270</v>
      </c>
      <c r="C1098" s="3" t="str">
        <f>IFERROR(VLOOKUP(B1098,ST!C:D,2,0),"NÃOST")</f>
        <v>NÃOST</v>
      </c>
      <c r="E1098" s="3" t="str">
        <f>IF(COUNTIF(ISENÇÕES!A:A,CST!B1098)&gt;0,"ISENÇÃO","SEM ISENÇÃO")</f>
        <v>SEM ISENÇÃO</v>
      </c>
      <c r="F1098" s="18" t="str">
        <f>IF(COUNTIF(REDUÇÕES!A:A,CST!B1098)&gt;0,"REDUÇÃO","NÃO REDUÇÃO")</f>
        <v>NÃO REDUÇÃO</v>
      </c>
      <c r="G1098" s="27">
        <f t="shared" si="17"/>
        <v>0</v>
      </c>
    </row>
    <row r="1099" spans="1:7" x14ac:dyDescent="0.25">
      <c r="A1099" s="120" t="str">
        <f>RIGHT(CSTABLE[[#This Row],[NomeNCM]],8)</f>
        <v>61091000</v>
      </c>
      <c r="B1099" s="7" t="s">
        <v>4271</v>
      </c>
      <c r="C1099" s="3" t="str">
        <f>IFERROR(VLOOKUP(B1099,ST!C:D,2,0),"NÃOST")</f>
        <v>NÃOST</v>
      </c>
      <c r="E1099" s="3" t="str">
        <f>IF(COUNTIF(ISENÇÕES!A:A,CST!B1099)&gt;0,"ISENÇÃO","SEM ISENÇÃO")</f>
        <v>SEM ISENÇÃO</v>
      </c>
      <c r="F1099" s="18" t="str">
        <f>IF(COUNTIF(REDUÇÕES!A:A,CST!B1099)&gt;0,"REDUÇÃO","NÃO REDUÇÃO")</f>
        <v>NÃO REDUÇÃO</v>
      </c>
      <c r="G1099" s="27">
        <f t="shared" si="17"/>
        <v>0</v>
      </c>
    </row>
    <row r="1100" spans="1:7" x14ac:dyDescent="0.25">
      <c r="A1100" s="120" t="str">
        <f>RIGHT(CSTABLE[[#This Row],[NomeNCM]],8)</f>
        <v>64019990</v>
      </c>
      <c r="B1100" s="7" t="s">
        <v>4272</v>
      </c>
      <c r="C1100" s="3" t="str">
        <f>IFERROR(VLOOKUP(B1100,ST!C:D,2,0),"NÃOST")</f>
        <v>NÃOST</v>
      </c>
      <c r="E1100" s="3" t="str">
        <f>IF(COUNTIF(ISENÇÕES!A:A,CST!B1100)&gt;0,"ISENÇÃO","SEM ISENÇÃO")</f>
        <v>SEM ISENÇÃO</v>
      </c>
      <c r="F1100" s="18" t="str">
        <f>IF(COUNTIF(REDUÇÕES!A:A,CST!B1100)&gt;0,"REDUÇÃO","NÃO REDUÇÃO")</f>
        <v>NÃO REDUÇÃO</v>
      </c>
      <c r="G1100" s="27">
        <f t="shared" si="17"/>
        <v>0</v>
      </c>
    </row>
    <row r="1101" spans="1:7" x14ac:dyDescent="0.25">
      <c r="A1101" s="120" t="str">
        <f>RIGHT(CSTABLE[[#This Row],[NomeNCM]],8)</f>
        <v>73211100</v>
      </c>
      <c r="B1101" s="7" t="s">
        <v>4273</v>
      </c>
      <c r="C1101" s="3" t="str">
        <f>IFERROR(VLOOKUP(B1101,ST!C:D,2,0),"NÃOST")</f>
        <v>NÃOST</v>
      </c>
      <c r="E1101" s="3" t="str">
        <f>IF(COUNTIF(ISENÇÕES!A:A,CST!B1101)&gt;0,"ISENÇÃO","SEM ISENÇÃO")</f>
        <v>SEM ISENÇÃO</v>
      </c>
      <c r="F1101" s="18" t="str">
        <f>IF(COUNTIF(REDUÇÕES!A:A,CST!B1101)&gt;0,"REDUÇÃO","NÃO REDUÇÃO")</f>
        <v>NÃO REDUÇÃO</v>
      </c>
      <c r="G1101" s="27">
        <f t="shared" si="17"/>
        <v>0</v>
      </c>
    </row>
    <row r="1102" spans="1:7" x14ac:dyDescent="0.25">
      <c r="A1102" s="120" t="str">
        <f>RIGHT(CSTABLE[[#This Row],[NomeNCM]],8)</f>
        <v>90041000</v>
      </c>
      <c r="B1102" s="7" t="s">
        <v>4274</v>
      </c>
      <c r="C1102" s="3" t="str">
        <f>IFERROR(VLOOKUP(B1102,ST!C:D,2,0),"NÃOST")</f>
        <v>NÃOST</v>
      </c>
      <c r="E1102" s="3" t="str">
        <f>IF(COUNTIF(ISENÇÕES!A:A,CST!B1102)&gt;0,"ISENÇÃO","SEM ISENÇÃO")</f>
        <v>SEM ISENÇÃO</v>
      </c>
      <c r="F1102" s="18" t="str">
        <f>IF(COUNTIF(REDUÇÕES!A:A,CST!B1102)&gt;0,"REDUÇÃO","NÃO REDUÇÃO")</f>
        <v>NÃO REDUÇÃO</v>
      </c>
      <c r="G1102" s="27">
        <f t="shared" si="17"/>
        <v>0</v>
      </c>
    </row>
    <row r="1103" spans="1:7" x14ac:dyDescent="0.25">
      <c r="A1103" s="120" t="str">
        <f>RIGHT(CSTABLE[[#This Row],[NomeNCM]],8)</f>
        <v>29171110</v>
      </c>
      <c r="B1103" s="7" t="s">
        <v>4275</v>
      </c>
      <c r="C1103" s="3" t="str">
        <f>IFERROR(VLOOKUP(B1103,ST!C:D,2,0),"NÃOST")</f>
        <v>NÃOST</v>
      </c>
      <c r="E1103" s="3" t="str">
        <f>IF(COUNTIF(ISENÇÕES!A:A,CST!B1103)&gt;0,"ISENÇÃO","SEM ISENÇÃO")</f>
        <v>SEM ISENÇÃO</v>
      </c>
      <c r="F1103" s="18" t="str">
        <f>IF(COUNTIF(REDUÇÕES!A:A,CST!B1103)&gt;0,"REDUÇÃO","NÃO REDUÇÃO")</f>
        <v>NÃO REDUÇÃO</v>
      </c>
      <c r="G1103" s="27">
        <f t="shared" ref="G1103:G1166" si="18">VLOOKUP(C1103&amp;F1103&amp;E1103,$B$3:$F$10,5,0)</f>
        <v>0</v>
      </c>
    </row>
    <row r="1104" spans="1:7" x14ac:dyDescent="0.25">
      <c r="A1104" s="120" t="str">
        <f>RIGHT(CSTABLE[[#This Row],[NomeNCM]],8)</f>
        <v>94019090</v>
      </c>
      <c r="B1104" s="7" t="s">
        <v>4276</v>
      </c>
      <c r="C1104" s="3" t="str">
        <f>IFERROR(VLOOKUP(B1104,ST!C:D,2,0),"NÃOST")</f>
        <v>NÃOST</v>
      </c>
      <c r="E1104" s="3" t="str">
        <f>IF(COUNTIF(ISENÇÕES!A:A,CST!B1104)&gt;0,"ISENÇÃO","SEM ISENÇÃO")</f>
        <v>SEM ISENÇÃO</v>
      </c>
      <c r="F1104" s="18" t="str">
        <f>IF(COUNTIF(REDUÇÕES!A:A,CST!B1104)&gt;0,"REDUÇÃO","NÃO REDUÇÃO")</f>
        <v>NÃO REDUÇÃO</v>
      </c>
      <c r="G1104" s="27">
        <f t="shared" si="18"/>
        <v>0</v>
      </c>
    </row>
    <row r="1105" spans="1:7" x14ac:dyDescent="0.25">
      <c r="A1105" s="120" t="str">
        <f>RIGHT(CSTABLE[[#This Row],[NomeNCM]],8)</f>
        <v>83063000</v>
      </c>
      <c r="B1105" s="7" t="s">
        <v>4277</v>
      </c>
      <c r="C1105" s="3" t="str">
        <f>IFERROR(VLOOKUP(B1105,ST!C:D,2,0),"NÃOST")</f>
        <v>NÃOST</v>
      </c>
      <c r="E1105" s="3" t="str">
        <f>IF(COUNTIF(ISENÇÕES!A:A,CST!B1105)&gt;0,"ISENÇÃO","SEM ISENÇÃO")</f>
        <v>SEM ISENÇÃO</v>
      </c>
      <c r="F1105" s="18" t="str">
        <f>IF(COUNTIF(REDUÇÕES!A:A,CST!B1105)&gt;0,"REDUÇÃO","NÃO REDUÇÃO")</f>
        <v>NÃO REDUÇÃO</v>
      </c>
      <c r="G1105" s="27">
        <f t="shared" si="18"/>
        <v>0</v>
      </c>
    </row>
    <row r="1106" spans="1:7" x14ac:dyDescent="0.25">
      <c r="A1106" s="120" t="str">
        <f>RIGHT(CSTABLE[[#This Row],[NomeNCM]],8)</f>
        <v>96122000</v>
      </c>
      <c r="B1106" s="7" t="s">
        <v>4278</v>
      </c>
      <c r="C1106" s="3" t="str">
        <f>IFERROR(VLOOKUP(B1106,ST!C:D,2,0),"NÃOST")</f>
        <v>NÃOST</v>
      </c>
      <c r="E1106" s="3" t="str">
        <f>IF(COUNTIF(ISENÇÕES!A:A,CST!B1106)&gt;0,"ISENÇÃO","SEM ISENÇÃO")</f>
        <v>SEM ISENÇÃO</v>
      </c>
      <c r="F1106" s="18" t="str">
        <f>IF(COUNTIF(REDUÇÕES!A:A,CST!B1106)&gt;0,"REDUÇÃO","NÃO REDUÇÃO")</f>
        <v>NÃO REDUÇÃO</v>
      </c>
      <c r="G1106" s="27">
        <f t="shared" si="18"/>
        <v>0</v>
      </c>
    </row>
    <row r="1107" spans="1:7" x14ac:dyDescent="0.25">
      <c r="A1107" s="120" t="str">
        <f>RIGHT(CSTABLE[[#This Row],[NomeNCM]],8)</f>
        <v>82119220</v>
      </c>
      <c r="B1107" s="7" t="s">
        <v>4279</v>
      </c>
      <c r="C1107" s="3" t="str">
        <f>IFERROR(VLOOKUP(B1107,ST!C:D,2,0),"NÃOST")</f>
        <v>NÃOST</v>
      </c>
      <c r="E1107" s="3" t="str">
        <f>IF(COUNTIF(ISENÇÕES!A:A,CST!B1107)&gt;0,"ISENÇÃO","SEM ISENÇÃO")</f>
        <v>SEM ISENÇÃO</v>
      </c>
      <c r="F1107" s="18" t="str">
        <f>IF(COUNTIF(REDUÇÕES!A:A,CST!B1107)&gt;0,"REDUÇÃO","NÃO REDUÇÃO")</f>
        <v>NÃO REDUÇÃO</v>
      </c>
      <c r="G1107" s="27">
        <f t="shared" si="18"/>
        <v>0</v>
      </c>
    </row>
    <row r="1108" spans="1:7" x14ac:dyDescent="0.25">
      <c r="A1108" s="120" t="str">
        <f>RIGHT(CSTABLE[[#This Row],[NomeNCM]],8)</f>
        <v>64041900</v>
      </c>
      <c r="B1108" s="7" t="s">
        <v>4280</v>
      </c>
      <c r="C1108" s="3" t="str">
        <f>IFERROR(VLOOKUP(B1108,ST!C:D,2,0),"NÃOST")</f>
        <v>NÃOST</v>
      </c>
      <c r="E1108" s="3" t="str">
        <f>IF(COUNTIF(ISENÇÕES!A:A,CST!B1108)&gt;0,"ISENÇÃO","SEM ISENÇÃO")</f>
        <v>SEM ISENÇÃO</v>
      </c>
      <c r="F1108" s="18" t="str">
        <f>IF(COUNTIF(REDUÇÕES!A:A,CST!B1108)&gt;0,"REDUÇÃO","NÃO REDUÇÃO")</f>
        <v>NÃO REDUÇÃO</v>
      </c>
      <c r="G1108" s="27">
        <f t="shared" si="18"/>
        <v>0</v>
      </c>
    </row>
    <row r="1109" spans="1:7" x14ac:dyDescent="0.25">
      <c r="A1109" s="120" t="str">
        <f>RIGHT(CSTABLE[[#This Row],[NomeNCM]],8)</f>
        <v>48195000</v>
      </c>
      <c r="B1109" s="7" t="s">
        <v>4281</v>
      </c>
      <c r="C1109" s="3" t="str">
        <f>IFERROR(VLOOKUP(B1109,ST!C:D,2,0),"NÃOST")</f>
        <v>NÃOST</v>
      </c>
      <c r="E1109" s="3" t="str">
        <f>IF(COUNTIF(ISENÇÕES!A:A,CST!B1109)&gt;0,"ISENÇÃO","SEM ISENÇÃO")</f>
        <v>SEM ISENÇÃO</v>
      </c>
      <c r="F1109" s="18" t="str">
        <f>IF(COUNTIF(REDUÇÕES!A:A,CST!B1109)&gt;0,"REDUÇÃO","NÃO REDUÇÃO")</f>
        <v>NÃO REDUÇÃO</v>
      </c>
      <c r="G1109" s="27">
        <f t="shared" si="18"/>
        <v>0</v>
      </c>
    </row>
    <row r="1110" spans="1:7" x14ac:dyDescent="0.25">
      <c r="A1110" s="120" t="str">
        <f>RIGHT(CSTABLE[[#This Row],[NomeNCM]],8)</f>
        <v>39231010</v>
      </c>
      <c r="B1110" s="7" t="s">
        <v>4282</v>
      </c>
      <c r="C1110" s="3" t="str">
        <f>IFERROR(VLOOKUP(B1110,ST!C:D,2,0),"NÃOST")</f>
        <v>NÃOST</v>
      </c>
      <c r="E1110" s="3" t="str">
        <f>IF(COUNTIF(ISENÇÕES!A:A,CST!B1110)&gt;0,"ISENÇÃO","SEM ISENÇÃO")</f>
        <v>SEM ISENÇÃO</v>
      </c>
      <c r="F1110" s="18" t="str">
        <f>IF(COUNTIF(REDUÇÕES!A:A,CST!B1110)&gt;0,"REDUÇÃO","NÃO REDUÇÃO")</f>
        <v>NÃO REDUÇÃO</v>
      </c>
      <c r="G1110" s="27">
        <f t="shared" si="18"/>
        <v>0</v>
      </c>
    </row>
    <row r="1111" spans="1:7" x14ac:dyDescent="0.25">
      <c r="A1111" s="120" t="str">
        <f>RIGHT(CSTABLE[[#This Row],[NomeNCM]],8)</f>
        <v>82075011</v>
      </c>
      <c r="B1111" s="7" t="s">
        <v>4283</v>
      </c>
      <c r="C1111" s="3" t="str">
        <f>IFERROR(VLOOKUP(B1111,ST!C:D,2,0),"NÃOST")</f>
        <v>NÃOST</v>
      </c>
      <c r="E1111" s="3" t="str">
        <f>IF(COUNTIF(ISENÇÕES!A:A,CST!B1111)&gt;0,"ISENÇÃO","SEM ISENÇÃO")</f>
        <v>SEM ISENÇÃO</v>
      </c>
      <c r="F1111" s="18" t="str">
        <f>IF(COUNTIF(REDUÇÕES!A:A,CST!B1111)&gt;0,"REDUÇÃO","NÃO REDUÇÃO")</f>
        <v>NÃO REDUÇÃO</v>
      </c>
      <c r="G1111" s="27">
        <f t="shared" si="18"/>
        <v>0</v>
      </c>
    </row>
    <row r="1112" spans="1:7" x14ac:dyDescent="0.25">
      <c r="A1112" s="120" t="str">
        <f>RIGHT(CSTABLE[[#This Row],[NomeNCM]],8)</f>
        <v>84148090</v>
      </c>
      <c r="B1112" s="7" t="s">
        <v>4284</v>
      </c>
      <c r="C1112" s="3" t="str">
        <f>IFERROR(VLOOKUP(B1112,ST!C:D,2,0),"NÃOST")</f>
        <v>NÃOST</v>
      </c>
      <c r="E1112" s="3" t="str">
        <f>IF(COUNTIF(ISENÇÕES!A:A,CST!B1112)&gt;0,"ISENÇÃO","SEM ISENÇÃO")</f>
        <v>SEM ISENÇÃO</v>
      </c>
      <c r="F1112" s="18" t="str">
        <f>IF(COUNTIF(REDUÇÕES!A:A,CST!B1112)&gt;0,"REDUÇÃO","NÃO REDUÇÃO")</f>
        <v>NÃO REDUÇÃO</v>
      </c>
      <c r="G1112" s="27">
        <f t="shared" si="18"/>
        <v>0</v>
      </c>
    </row>
    <row r="1113" spans="1:7" x14ac:dyDescent="0.25">
      <c r="A1113" s="120" t="str">
        <f>RIGHT(CSTABLE[[#This Row],[NomeNCM]],8)</f>
        <v>82031010</v>
      </c>
      <c r="B1113" s="7" t="s">
        <v>4285</v>
      </c>
      <c r="C1113" s="3" t="str">
        <f>IFERROR(VLOOKUP(B1113,ST!C:D,2,0),"NÃOST")</f>
        <v>NÃOST</v>
      </c>
      <c r="E1113" s="3" t="str">
        <f>IF(COUNTIF(ISENÇÕES!A:A,CST!B1113)&gt;0,"ISENÇÃO","SEM ISENÇÃO")</f>
        <v>SEM ISENÇÃO</v>
      </c>
      <c r="F1113" s="18" t="str">
        <f>IF(COUNTIF(REDUÇÕES!A:A,CST!B1113)&gt;0,"REDUÇÃO","NÃO REDUÇÃO")</f>
        <v>NÃO REDUÇÃO</v>
      </c>
      <c r="G1113" s="27">
        <f t="shared" si="18"/>
        <v>0</v>
      </c>
    </row>
    <row r="1114" spans="1:7" x14ac:dyDescent="0.25">
      <c r="A1114" s="120" t="str">
        <f>RIGHT(CSTABLE[[#This Row],[NomeNCM]],8)</f>
        <v>63041990</v>
      </c>
      <c r="B1114" s="7" t="s">
        <v>4286</v>
      </c>
      <c r="C1114" s="3" t="str">
        <f>IFERROR(VLOOKUP(B1114,ST!C:D,2,0),"NÃOST")</f>
        <v>NÃOST</v>
      </c>
      <c r="E1114" s="3" t="str">
        <f>IF(COUNTIF(ISENÇÕES!A:A,CST!B1114)&gt;0,"ISENÇÃO","SEM ISENÇÃO")</f>
        <v>SEM ISENÇÃO</v>
      </c>
      <c r="F1114" s="18" t="str">
        <f>IF(COUNTIF(REDUÇÕES!A:A,CST!B1114)&gt;0,"REDUÇÃO","NÃO REDUÇÃO")</f>
        <v>NÃO REDUÇÃO</v>
      </c>
      <c r="G1114" s="27">
        <f t="shared" si="18"/>
        <v>0</v>
      </c>
    </row>
    <row r="1115" spans="1:7" x14ac:dyDescent="0.25">
      <c r="A1115" s="120" t="str">
        <f>RIGHT(CSTABLE[[#This Row],[NomeNCM]],8)</f>
        <v>93040000</v>
      </c>
      <c r="B1115" s="7" t="s">
        <v>4287</v>
      </c>
      <c r="C1115" s="3" t="str">
        <f>IFERROR(VLOOKUP(B1115,ST!C:D,2,0),"NÃOST")</f>
        <v>NÃOST</v>
      </c>
      <c r="E1115" s="3" t="str">
        <f>IF(COUNTIF(ISENÇÕES!A:A,CST!B1115)&gt;0,"ISENÇÃO","SEM ISENÇÃO")</f>
        <v>SEM ISENÇÃO</v>
      </c>
      <c r="F1115" s="18" t="str">
        <f>IF(COUNTIF(REDUÇÕES!A:A,CST!B1115)&gt;0,"REDUÇÃO","NÃO REDUÇÃO")</f>
        <v>NÃO REDUÇÃO</v>
      </c>
      <c r="G1115" s="27">
        <f t="shared" si="18"/>
        <v>0</v>
      </c>
    </row>
    <row r="1116" spans="1:7" x14ac:dyDescent="0.25">
      <c r="A1116" s="120" t="str">
        <f>RIGHT(CSTABLE[[#This Row],[NomeNCM]],8)</f>
        <v>73261900</v>
      </c>
      <c r="B1116" s="7" t="s">
        <v>4288</v>
      </c>
      <c r="C1116" s="3" t="str">
        <f>IFERROR(VLOOKUP(B1116,ST!C:D,2,0),"NÃOST")</f>
        <v>NÃOST</v>
      </c>
      <c r="E1116" s="3" t="str">
        <f>IF(COUNTIF(ISENÇÕES!A:A,CST!B1116)&gt;0,"ISENÇÃO","SEM ISENÇÃO")</f>
        <v>SEM ISENÇÃO</v>
      </c>
      <c r="F1116" s="18" t="str">
        <f>IF(COUNTIF(REDUÇÕES!A:A,CST!B1116)&gt;0,"REDUÇÃO","NÃO REDUÇÃO")</f>
        <v>NÃO REDUÇÃO</v>
      </c>
      <c r="G1116" s="27">
        <f t="shared" si="18"/>
        <v>0</v>
      </c>
    </row>
    <row r="1117" spans="1:7" x14ac:dyDescent="0.25">
      <c r="A1117" s="120" t="str">
        <f>RIGHT(CSTABLE[[#This Row],[NomeNCM]],8)</f>
        <v>56081100</v>
      </c>
      <c r="B1117" s="7" t="s">
        <v>4289</v>
      </c>
      <c r="C1117" s="3" t="str">
        <f>IFERROR(VLOOKUP(B1117,ST!C:D,2,0),"NÃOST")</f>
        <v>NÃOST</v>
      </c>
      <c r="E1117" s="3" t="str">
        <f>IF(COUNTIF(ISENÇÕES!A:A,CST!B1117)&gt;0,"ISENÇÃO","SEM ISENÇÃO")</f>
        <v>SEM ISENÇÃO</v>
      </c>
      <c r="F1117" s="18" t="str">
        <f>IF(COUNTIF(REDUÇÕES!A:A,CST!B1117)&gt;0,"REDUÇÃO","NÃO REDUÇÃO")</f>
        <v>NÃO REDUÇÃO</v>
      </c>
      <c r="G1117" s="27">
        <f t="shared" si="18"/>
        <v>0</v>
      </c>
    </row>
    <row r="1118" spans="1:7" x14ac:dyDescent="0.25">
      <c r="A1118" s="120" t="str">
        <f>RIGHT(CSTABLE[[#This Row],[NomeNCM]],8)</f>
        <v>95030021</v>
      </c>
      <c r="B1118" s="7" t="s">
        <v>4290</v>
      </c>
      <c r="C1118" s="3" t="str">
        <f>IFERROR(VLOOKUP(B1118,ST!C:D,2,0),"NÃOST")</f>
        <v>NÃOST</v>
      </c>
      <c r="E1118" s="3" t="str">
        <f>IF(COUNTIF(ISENÇÕES!A:A,CST!B1118)&gt;0,"ISENÇÃO","SEM ISENÇÃO")</f>
        <v>SEM ISENÇÃO</v>
      </c>
      <c r="F1118" s="18" t="str">
        <f>IF(COUNTIF(REDUÇÕES!A:A,CST!B1118)&gt;0,"REDUÇÃO","NÃO REDUÇÃO")</f>
        <v>NÃO REDUÇÃO</v>
      </c>
      <c r="G1118" s="27">
        <f t="shared" si="18"/>
        <v>0</v>
      </c>
    </row>
    <row r="1119" spans="1:7" x14ac:dyDescent="0.25">
      <c r="A1119" s="120" t="str">
        <f>RIGHT(CSTABLE[[#This Row],[NomeNCM]],8)</f>
        <v>94042900</v>
      </c>
      <c r="B1119" s="7" t="s">
        <v>4291</v>
      </c>
      <c r="C1119" s="3" t="str">
        <f>IFERROR(VLOOKUP(B1119,ST!C:D,2,0),"NÃOST")</f>
        <v>NÃOST</v>
      </c>
      <c r="E1119" s="3" t="str">
        <f>IF(COUNTIF(ISENÇÕES!A:A,CST!B1119)&gt;0,"ISENÇÃO","SEM ISENÇÃO")</f>
        <v>SEM ISENÇÃO</v>
      </c>
      <c r="F1119" s="18" t="str">
        <f>IF(COUNTIF(REDUÇÕES!A:A,CST!B1119)&gt;0,"REDUÇÃO","NÃO REDUÇÃO")</f>
        <v>NÃO REDUÇÃO</v>
      </c>
      <c r="G1119" s="27">
        <f t="shared" si="18"/>
        <v>0</v>
      </c>
    </row>
    <row r="1120" spans="1:7" x14ac:dyDescent="0.25">
      <c r="A1120" s="120" t="str">
        <f>RIGHT(CSTABLE[[#This Row],[NomeNCM]],8)</f>
        <v>47062000</v>
      </c>
      <c r="B1120" s="7" t="s">
        <v>4292</v>
      </c>
      <c r="C1120" s="3" t="str">
        <f>IFERROR(VLOOKUP(B1120,ST!C:D,2,0),"NÃOST")</f>
        <v>NÃOST</v>
      </c>
      <c r="E1120" s="3" t="str">
        <f>IF(COUNTIF(ISENÇÕES!A:A,CST!B1120)&gt;0,"ISENÇÃO","SEM ISENÇÃO")</f>
        <v>SEM ISENÇÃO</v>
      </c>
      <c r="F1120" s="18" t="str">
        <f>IF(COUNTIF(REDUÇÕES!A:A,CST!B1120)&gt;0,"REDUÇÃO","NÃO REDUÇÃO")</f>
        <v>NÃO REDUÇÃO</v>
      </c>
      <c r="G1120" s="27">
        <f t="shared" si="18"/>
        <v>0</v>
      </c>
    </row>
    <row r="1121" spans="1:7" x14ac:dyDescent="0.25">
      <c r="A1121" s="120" t="str">
        <f>RIGHT(CSTABLE[[#This Row],[NomeNCM]],8)</f>
        <v>09093100</v>
      </c>
      <c r="B1121" s="7" t="s">
        <v>4293</v>
      </c>
      <c r="C1121" s="3" t="str">
        <f>IFERROR(VLOOKUP(B1121,ST!C:D,2,0),"NÃOST")</f>
        <v>NÃOST</v>
      </c>
      <c r="E1121" s="3" t="str">
        <f>IF(COUNTIF(ISENÇÕES!A:A,CST!B1121)&gt;0,"ISENÇÃO","SEM ISENÇÃO")</f>
        <v>SEM ISENÇÃO</v>
      </c>
      <c r="F1121" s="18" t="str">
        <f>IF(COUNTIF(REDUÇÕES!A:A,CST!B1121)&gt;0,"REDUÇÃO","NÃO REDUÇÃO")</f>
        <v>NÃO REDUÇÃO</v>
      </c>
      <c r="G1121" s="27">
        <f t="shared" si="18"/>
        <v>0</v>
      </c>
    </row>
    <row r="1122" spans="1:7" x14ac:dyDescent="0.25">
      <c r="A1122" s="120" t="str">
        <f>RIGHT(CSTABLE[[#This Row],[NomeNCM]],8)</f>
        <v>22041010</v>
      </c>
      <c r="B1122" s="7" t="s">
        <v>4294</v>
      </c>
      <c r="C1122" s="3" t="str">
        <f>IFERROR(VLOOKUP(B1122,ST!C:D,2,0),"NÃOST")</f>
        <v>NÃOST</v>
      </c>
      <c r="E1122" s="3" t="str">
        <f>IF(COUNTIF(ISENÇÕES!A:A,CST!B1122)&gt;0,"ISENÇÃO","SEM ISENÇÃO")</f>
        <v>SEM ISENÇÃO</v>
      </c>
      <c r="F1122" s="18" t="str">
        <f>IF(COUNTIF(REDUÇÕES!A:A,CST!B1122)&gt;0,"REDUÇÃO","NÃO REDUÇÃO")</f>
        <v>NÃO REDUÇÃO</v>
      </c>
      <c r="G1122" s="27">
        <f t="shared" si="18"/>
        <v>0</v>
      </c>
    </row>
    <row r="1123" spans="1:7" x14ac:dyDescent="0.25">
      <c r="A1123" s="120" t="str">
        <f>RIGHT(CSTABLE[[#This Row],[NomeNCM]],8)</f>
        <v>52105990</v>
      </c>
      <c r="B1123" s="7" t="s">
        <v>4295</v>
      </c>
      <c r="C1123" s="3" t="str">
        <f>IFERROR(VLOOKUP(B1123,ST!C:D,2,0),"NÃOST")</f>
        <v>NÃOST</v>
      </c>
      <c r="E1123" s="3" t="str">
        <f>IF(COUNTIF(ISENÇÕES!A:A,CST!B1123)&gt;0,"ISENÇÃO","SEM ISENÇÃO")</f>
        <v>SEM ISENÇÃO</v>
      </c>
      <c r="F1123" s="18" t="str">
        <f>IF(COUNTIF(REDUÇÕES!A:A,CST!B1123)&gt;0,"REDUÇÃO","NÃO REDUÇÃO")</f>
        <v>NÃO REDUÇÃO</v>
      </c>
      <c r="G1123" s="27">
        <f t="shared" si="18"/>
        <v>0</v>
      </c>
    </row>
    <row r="1124" spans="1:7" x14ac:dyDescent="0.25">
      <c r="A1124" s="120" t="str">
        <f>RIGHT(CSTABLE[[#This Row],[NomeNCM]],8)</f>
        <v>65069900</v>
      </c>
      <c r="B1124" s="7" t="s">
        <v>4296</v>
      </c>
      <c r="C1124" s="3" t="str">
        <f>IFERROR(VLOOKUP(B1124,ST!C:D,2,0),"NÃOST")</f>
        <v>NÃOST</v>
      </c>
      <c r="E1124" s="3" t="str">
        <f>IF(COUNTIF(ISENÇÕES!A:A,CST!B1124)&gt;0,"ISENÇÃO","SEM ISENÇÃO")</f>
        <v>SEM ISENÇÃO</v>
      </c>
      <c r="F1124" s="18" t="str">
        <f>IF(COUNTIF(REDUÇÕES!A:A,CST!B1124)&gt;0,"REDUÇÃO","NÃO REDUÇÃO")</f>
        <v>NÃO REDUÇÃO</v>
      </c>
      <c r="G1124" s="27">
        <f t="shared" si="18"/>
        <v>0</v>
      </c>
    </row>
    <row r="1125" spans="1:7" x14ac:dyDescent="0.25">
      <c r="A1125" s="120" t="str">
        <f>RIGHT(CSTABLE[[#This Row],[NomeNCM]],8)</f>
        <v>82089000</v>
      </c>
      <c r="B1125" s="7" t="s">
        <v>4297</v>
      </c>
      <c r="C1125" s="3" t="str">
        <f>IFERROR(VLOOKUP(B1125,ST!C:D,2,0),"NÃOST")</f>
        <v>NÃOST</v>
      </c>
      <c r="E1125" s="3" t="str">
        <f>IF(COUNTIF(ISENÇÕES!A:A,CST!B1125)&gt;0,"ISENÇÃO","SEM ISENÇÃO")</f>
        <v>SEM ISENÇÃO</v>
      </c>
      <c r="F1125" s="18" t="str">
        <f>IF(COUNTIF(REDUÇÕES!A:A,CST!B1125)&gt;0,"REDUÇÃO","NÃO REDUÇÃO")</f>
        <v>NÃO REDUÇÃO</v>
      </c>
      <c r="G1125" s="27">
        <f t="shared" si="18"/>
        <v>0</v>
      </c>
    </row>
    <row r="1126" spans="1:7" x14ac:dyDescent="0.25">
      <c r="A1126" s="120" t="str">
        <f>RIGHT(CSTABLE[[#This Row],[NomeNCM]],8)</f>
        <v>85442000</v>
      </c>
      <c r="B1126" s="7" t="s">
        <v>4298</v>
      </c>
      <c r="C1126" s="3" t="str">
        <f>IFERROR(VLOOKUP(B1126,ST!C:D,2,0),"NÃOST")</f>
        <v>NÃOST</v>
      </c>
      <c r="E1126" s="3" t="str">
        <f>IF(COUNTIF(ISENÇÕES!A:A,CST!B1126)&gt;0,"ISENÇÃO","SEM ISENÇÃO")</f>
        <v>SEM ISENÇÃO</v>
      </c>
      <c r="F1126" s="18" t="str">
        <f>IF(COUNTIF(REDUÇÕES!A:A,CST!B1126)&gt;0,"REDUÇÃO","NÃO REDUÇÃO")</f>
        <v>NÃO REDUÇÃO</v>
      </c>
      <c r="G1126" s="27">
        <f t="shared" si="18"/>
        <v>0</v>
      </c>
    </row>
    <row r="1127" spans="1:7" x14ac:dyDescent="0.25">
      <c r="A1127" s="120" t="str">
        <f>RIGHT(CSTABLE[[#This Row],[NomeNCM]],8)</f>
        <v>70690000</v>
      </c>
      <c r="B1127" s="7" t="s">
        <v>4299</v>
      </c>
      <c r="C1127" s="3" t="str">
        <f>IFERROR(VLOOKUP(B1127,ST!C:D,2,0),"NÃOST")</f>
        <v>NÃOST</v>
      </c>
      <c r="E1127" s="3" t="str">
        <f>IF(COUNTIF(ISENÇÕES!A:A,CST!B1127)&gt;0,"ISENÇÃO","SEM ISENÇÃO")</f>
        <v>SEM ISENÇÃO</v>
      </c>
      <c r="F1127" s="18" t="str">
        <f>IF(COUNTIF(REDUÇÕES!A:A,CST!B1127)&gt;0,"REDUÇÃO","NÃO REDUÇÃO")</f>
        <v>NÃO REDUÇÃO</v>
      </c>
      <c r="G1127" s="27">
        <f t="shared" si="18"/>
        <v>0</v>
      </c>
    </row>
    <row r="1128" spans="1:7" x14ac:dyDescent="0.25">
      <c r="A1128" s="120" t="str">
        <f>RIGHT(CSTABLE[[#This Row],[NomeNCM]],8)</f>
        <v>10987654</v>
      </c>
      <c r="B1128" s="7" t="s">
        <v>4300</v>
      </c>
      <c r="C1128" s="3" t="str">
        <f>IFERROR(VLOOKUP(B1128,ST!C:D,2,0),"NÃOST")</f>
        <v>NÃOST</v>
      </c>
      <c r="E1128" s="3" t="str">
        <f>IF(COUNTIF(ISENÇÕES!A:A,CST!B1128)&gt;0,"ISENÇÃO","SEM ISENÇÃO")</f>
        <v>SEM ISENÇÃO</v>
      </c>
      <c r="F1128" s="18" t="str">
        <f>IF(COUNTIF(REDUÇÕES!A:A,CST!B1128)&gt;0,"REDUÇÃO","NÃO REDUÇÃO")</f>
        <v>NÃO REDUÇÃO</v>
      </c>
      <c r="G1128" s="27">
        <f t="shared" si="18"/>
        <v>0</v>
      </c>
    </row>
    <row r="1129" spans="1:7" x14ac:dyDescent="0.25">
      <c r="A1129" s="120" t="str">
        <f>RIGHT(CSTABLE[[#This Row],[NomeNCM]],8)</f>
        <v>02212090</v>
      </c>
      <c r="B1129" s="7" t="s">
        <v>4301</v>
      </c>
      <c r="C1129" s="3" t="str">
        <f>IFERROR(VLOOKUP(B1129,ST!C:D,2,0),"NÃOST")</f>
        <v>NÃOST</v>
      </c>
      <c r="E1129" s="3" t="str">
        <f>IF(COUNTIF(ISENÇÕES!A:A,CST!B1129)&gt;0,"ISENÇÃO","SEM ISENÇÃO")</f>
        <v>SEM ISENÇÃO</v>
      </c>
      <c r="F1129" s="18" t="str">
        <f>IF(COUNTIF(REDUÇÕES!A:A,CST!B1129)&gt;0,"REDUÇÃO","NÃO REDUÇÃO")</f>
        <v>NÃO REDUÇÃO</v>
      </c>
      <c r="G1129" s="27">
        <f t="shared" si="18"/>
        <v>0</v>
      </c>
    </row>
    <row r="1130" spans="1:7" x14ac:dyDescent="0.25">
      <c r="A1130" s="120" t="str">
        <f>RIGHT(CSTABLE[[#This Row],[NomeNCM]],8)</f>
        <v>08109090</v>
      </c>
      <c r="B1130" s="7" t="s">
        <v>3335</v>
      </c>
      <c r="C1130" s="3" t="str">
        <f>IFERROR(VLOOKUP(B1130,ST!C:D,2,0),"NÃOST")</f>
        <v>NÃOST</v>
      </c>
      <c r="E1130" s="3" t="str">
        <f>IF(COUNTIF(ISENÇÕES!A:A,CST!B1130)&gt;0,"ISENÇÃO","SEM ISENÇÃO")</f>
        <v>ISENÇÃO</v>
      </c>
      <c r="F1130" s="18" t="str">
        <f>IF(COUNTIF(REDUÇÕES!A:A,CST!B1130)&gt;0,"REDUÇÃO","NÃO REDUÇÃO")</f>
        <v>NÃO REDUÇÃO</v>
      </c>
      <c r="G1130" s="27">
        <f t="shared" si="18"/>
        <v>40</v>
      </c>
    </row>
    <row r="1131" spans="1:7" x14ac:dyDescent="0.25">
      <c r="A1131" s="120" t="str">
        <f>RIGHT(CSTABLE[[#This Row],[NomeNCM]],8)</f>
        <v>02064900</v>
      </c>
      <c r="B1131" s="7" t="s">
        <v>3086</v>
      </c>
      <c r="C1131" s="3" t="str">
        <f>IFERROR(VLOOKUP(B1131,ST!C:D,2,0),"NÃOST")</f>
        <v>NÃOST</v>
      </c>
      <c r="E1131" s="3" t="str">
        <f>IF(COUNTIF(ISENÇÕES!A:A,CST!B1131)&gt;0,"ISENÇÃO","SEM ISENÇÃO")</f>
        <v>SEM ISENÇÃO</v>
      </c>
      <c r="F1131" s="18" t="str">
        <f>IF(COUNTIF(REDUÇÕES!A:A,CST!B1131)&gt;0,"REDUÇÃO","NÃO REDUÇÃO")</f>
        <v>NÃO REDUÇÃO</v>
      </c>
      <c r="G1131" s="27">
        <f t="shared" si="18"/>
        <v>0</v>
      </c>
    </row>
    <row r="1132" spans="1:7" x14ac:dyDescent="0.25">
      <c r="A1132" s="120" t="str">
        <f>RIGHT(CSTABLE[[#This Row],[NomeNCM]],8)</f>
        <v>07133392</v>
      </c>
      <c r="B1132" s="7" t="s">
        <v>3393</v>
      </c>
      <c r="C1132" s="3" t="str">
        <f>IFERROR(VLOOKUP(B1132,ST!C:D,2,0),"NÃOST")</f>
        <v>NÃOST</v>
      </c>
      <c r="E1132" s="3" t="str">
        <f>IF(COUNTIF(ISENÇÕES!A:A,CST!B1132)&gt;0,"ISENÇÃO","SEM ISENÇÃO")</f>
        <v>SEM ISENÇÃO</v>
      </c>
      <c r="F1132" s="18" t="str">
        <f>IF(COUNTIF(REDUÇÕES!A:A,CST!B1132)&gt;0,"REDUÇÃO","NÃO REDUÇÃO")</f>
        <v>REDUÇÃO</v>
      </c>
      <c r="G1132" s="27">
        <f t="shared" si="18"/>
        <v>20</v>
      </c>
    </row>
    <row r="1133" spans="1:7" x14ac:dyDescent="0.25">
      <c r="A1133" s="120" t="str">
        <f>RIGHT(CSTABLE[[#This Row],[NomeNCM]],8)</f>
        <v>20072019</v>
      </c>
      <c r="B1133" s="7" t="s">
        <v>4302</v>
      </c>
      <c r="C1133" s="3" t="str">
        <f>IFERROR(VLOOKUP(B1133,ST!C:D,2,0),"NÃOST")</f>
        <v>NÃOST</v>
      </c>
      <c r="E1133" s="3" t="str">
        <f>IF(COUNTIF(ISENÇÕES!A:A,CST!B1133)&gt;0,"ISENÇÃO","SEM ISENÇÃO")</f>
        <v>SEM ISENÇÃO</v>
      </c>
      <c r="F1133" s="18" t="str">
        <f>IF(COUNTIF(REDUÇÕES!A:A,CST!B1133)&gt;0,"REDUÇÃO","NÃO REDUÇÃO")</f>
        <v>NÃO REDUÇÃO</v>
      </c>
      <c r="G1133" s="27">
        <f t="shared" si="18"/>
        <v>0</v>
      </c>
    </row>
    <row r="1134" spans="1:7" x14ac:dyDescent="0.25">
      <c r="A1134" s="120" t="str">
        <f>RIGHT(CSTABLE[[#This Row],[NomeNCM]],8)</f>
        <v>63080000</v>
      </c>
      <c r="B1134" s="7" t="s">
        <v>4303</v>
      </c>
      <c r="C1134" s="3" t="str">
        <f>IFERROR(VLOOKUP(B1134,ST!C:D,2,0),"NÃOST")</f>
        <v>NÃOST</v>
      </c>
      <c r="E1134" s="3" t="str">
        <f>IF(COUNTIF(ISENÇÕES!A:A,CST!B1134)&gt;0,"ISENÇÃO","SEM ISENÇÃO")</f>
        <v>SEM ISENÇÃO</v>
      </c>
      <c r="F1134" s="18" t="str">
        <f>IF(COUNTIF(REDUÇÕES!A:A,CST!B1134)&gt;0,"REDUÇÃO","NÃO REDUÇÃO")</f>
        <v>NÃO REDUÇÃO</v>
      </c>
      <c r="G1134" s="27">
        <f t="shared" si="18"/>
        <v>0</v>
      </c>
    </row>
    <row r="1135" spans="1:7" x14ac:dyDescent="0.25">
      <c r="A1135" s="120" t="str">
        <f>RIGHT(CSTABLE[[#This Row],[NomeNCM]],8)</f>
        <v>56029000</v>
      </c>
      <c r="B1135" s="7" t="s">
        <v>4304</v>
      </c>
      <c r="C1135" s="3" t="str">
        <f>IFERROR(VLOOKUP(B1135,ST!C:D,2,0),"NÃOST")</f>
        <v>NÃOST</v>
      </c>
      <c r="E1135" s="3" t="str">
        <f>IF(COUNTIF(ISENÇÕES!A:A,CST!B1135)&gt;0,"ISENÇÃO","SEM ISENÇÃO")</f>
        <v>SEM ISENÇÃO</v>
      </c>
      <c r="F1135" s="18" t="str">
        <f>IF(COUNTIF(REDUÇÕES!A:A,CST!B1135)&gt;0,"REDUÇÃO","NÃO REDUÇÃO")</f>
        <v>NÃO REDUÇÃO</v>
      </c>
      <c r="G1135" s="27">
        <f t="shared" si="18"/>
        <v>0</v>
      </c>
    </row>
    <row r="1136" spans="1:7" x14ac:dyDescent="0.25">
      <c r="A1136" s="120" t="str">
        <f>RIGHT(CSTABLE[[#This Row],[NomeNCM]],8)</f>
        <v>19043000</v>
      </c>
      <c r="B1136" s="7" t="s">
        <v>4305</v>
      </c>
      <c r="C1136" s="3" t="str">
        <f>IFERROR(VLOOKUP(B1136,ST!C:D,2,0),"NÃOST")</f>
        <v>NÃOST</v>
      </c>
      <c r="E1136" s="3" t="str">
        <f>IF(COUNTIF(ISENÇÕES!A:A,CST!B1136)&gt;0,"ISENÇÃO","SEM ISENÇÃO")</f>
        <v>SEM ISENÇÃO</v>
      </c>
      <c r="F1136" s="18" t="str">
        <f>IF(COUNTIF(REDUÇÕES!A:A,CST!B1136)&gt;0,"REDUÇÃO","NÃO REDUÇÃO")</f>
        <v>NÃO REDUÇÃO</v>
      </c>
      <c r="G1136" s="27">
        <f t="shared" si="18"/>
        <v>0</v>
      </c>
    </row>
    <row r="1137" spans="1:7" x14ac:dyDescent="0.25">
      <c r="A1137" s="120" t="str">
        <f>RIGHT(CSTABLE[[#This Row],[NomeNCM]],8)</f>
        <v>08030000</v>
      </c>
      <c r="B1137" s="7" t="s">
        <v>4306</v>
      </c>
      <c r="C1137" s="3" t="str">
        <f>IFERROR(VLOOKUP(B1137,ST!C:D,2,0),"NÃOST")</f>
        <v>NÃOST</v>
      </c>
      <c r="E1137" s="3" t="str">
        <f>IF(COUNTIF(ISENÇÕES!A:A,CST!B1137)&gt;0,"ISENÇÃO","SEM ISENÇÃO")</f>
        <v>ISENÇÃO</v>
      </c>
      <c r="F1137" s="18" t="str">
        <f>IF(COUNTIF(REDUÇÕES!A:A,CST!B1137)&gt;0,"REDUÇÃO","NÃO REDUÇÃO")</f>
        <v>NÃO REDUÇÃO</v>
      </c>
      <c r="G1137" s="27">
        <f t="shared" si="18"/>
        <v>40</v>
      </c>
    </row>
    <row r="1138" spans="1:7" x14ac:dyDescent="0.25">
      <c r="A1138" s="120" t="str">
        <f>RIGHT(CSTABLE[[#This Row],[NomeNCM]],8)</f>
        <v>56031250</v>
      </c>
      <c r="B1138" s="7" t="s">
        <v>4307</v>
      </c>
      <c r="C1138" s="3" t="str">
        <f>IFERROR(VLOOKUP(B1138,ST!C:D,2,0),"NÃOST")</f>
        <v>NÃOST</v>
      </c>
      <c r="E1138" s="3" t="str">
        <f>IF(COUNTIF(ISENÇÕES!A:A,CST!B1138)&gt;0,"ISENÇÃO","SEM ISENÇÃO")</f>
        <v>SEM ISENÇÃO</v>
      </c>
      <c r="F1138" s="18" t="str">
        <f>IF(COUNTIF(REDUÇÕES!A:A,CST!B1138)&gt;0,"REDUÇÃO","NÃO REDUÇÃO")</f>
        <v>NÃO REDUÇÃO</v>
      </c>
      <c r="G1138" s="27">
        <f t="shared" si="18"/>
        <v>0</v>
      </c>
    </row>
    <row r="1139" spans="1:7" x14ac:dyDescent="0.25">
      <c r="A1139" s="120" t="str">
        <f>RIGHT(CSTABLE[[#This Row],[NomeNCM]],8)</f>
        <v>19059000</v>
      </c>
      <c r="B1139" s="7" t="s">
        <v>4308</v>
      </c>
      <c r="C1139" s="3" t="str">
        <f>IFERROR(VLOOKUP(B1139,ST!C:D,2,0),"NÃOST")</f>
        <v>NÃOST</v>
      </c>
      <c r="E1139" s="3" t="str">
        <f>IF(COUNTIF(ISENÇÕES!A:A,CST!B1139)&gt;0,"ISENÇÃO","SEM ISENÇÃO")</f>
        <v>SEM ISENÇÃO</v>
      </c>
      <c r="F1139" s="18" t="str">
        <f>IF(COUNTIF(REDUÇÕES!A:A,CST!B1139)&gt;0,"REDUÇÃO","NÃO REDUÇÃO")</f>
        <v>NÃO REDUÇÃO</v>
      </c>
      <c r="G1139" s="27">
        <f t="shared" si="18"/>
        <v>0</v>
      </c>
    </row>
    <row r="1140" spans="1:7" x14ac:dyDescent="0.25">
      <c r="A1140" s="120" t="str">
        <f>RIGHT(CSTABLE[[#This Row],[NomeNCM]],8)</f>
        <v>12093000</v>
      </c>
      <c r="B1140" s="7" t="s">
        <v>4309</v>
      </c>
      <c r="C1140" s="3" t="str">
        <f>IFERROR(VLOOKUP(B1140,ST!C:D,2,0),"NÃOST")</f>
        <v>NÃOST</v>
      </c>
      <c r="E1140" s="3" t="str">
        <f>IF(COUNTIF(ISENÇÕES!A:A,CST!B1140)&gt;0,"ISENÇÃO","SEM ISENÇÃO")</f>
        <v>ISENÇÃO</v>
      </c>
      <c r="F1140" s="18" t="str">
        <f>IF(COUNTIF(REDUÇÕES!A:A,CST!B1140)&gt;0,"REDUÇÃO","NÃO REDUÇÃO")</f>
        <v>NÃO REDUÇÃO</v>
      </c>
      <c r="G1140" s="27">
        <f t="shared" si="18"/>
        <v>40</v>
      </c>
    </row>
    <row r="1141" spans="1:7" x14ac:dyDescent="0.25">
      <c r="A1141" s="120" t="str">
        <f>RIGHT(CSTABLE[[#This Row],[NomeNCM]],8)</f>
        <v>01060000</v>
      </c>
      <c r="B1141" s="7" t="s">
        <v>4310</v>
      </c>
      <c r="C1141" s="3" t="str">
        <f>IFERROR(VLOOKUP(B1141,ST!C:D,2,0),"NÃOST")</f>
        <v>NÃOST</v>
      </c>
      <c r="E1141" s="3" t="str">
        <f>IF(COUNTIF(ISENÇÕES!A:A,CST!B1141)&gt;0,"ISENÇÃO","SEM ISENÇÃO")</f>
        <v>SEM ISENÇÃO</v>
      </c>
      <c r="F1141" s="18" t="str">
        <f>IF(COUNTIF(REDUÇÕES!A:A,CST!B1141)&gt;0,"REDUÇÃO","NÃO REDUÇÃO")</f>
        <v>NÃO REDUÇÃO</v>
      </c>
      <c r="G1141" s="27">
        <f t="shared" si="18"/>
        <v>0</v>
      </c>
    </row>
    <row r="1142" spans="1:7" x14ac:dyDescent="0.25">
      <c r="A1142" s="120" t="str">
        <f>RIGHT(CSTABLE[[#This Row],[NomeNCM]],8)</f>
        <v>44020000</v>
      </c>
      <c r="B1142" s="7" t="s">
        <v>4311</v>
      </c>
      <c r="C1142" s="3" t="str">
        <f>IFERROR(VLOOKUP(B1142,ST!C:D,2,0),"NÃOST")</f>
        <v>NÃOST</v>
      </c>
      <c r="E1142" s="3" t="str">
        <f>IF(COUNTIF(ISENÇÕES!A:A,CST!B1142)&gt;0,"ISENÇÃO","SEM ISENÇÃO")</f>
        <v>SEM ISENÇÃO</v>
      </c>
      <c r="F1142" s="18" t="str">
        <f>IF(COUNTIF(REDUÇÕES!A:A,CST!B1142)&gt;0,"REDUÇÃO","NÃO REDUÇÃO")</f>
        <v>NÃO REDUÇÃO</v>
      </c>
      <c r="G1142" s="27">
        <f t="shared" si="18"/>
        <v>0</v>
      </c>
    </row>
    <row r="1143" spans="1:7" x14ac:dyDescent="0.25">
      <c r="A1143" s="120" t="str">
        <f>RIGHT(CSTABLE[[#This Row],[NomeNCM]],8)</f>
        <v>21013000</v>
      </c>
      <c r="B1143" s="7" t="s">
        <v>4312</v>
      </c>
      <c r="C1143" s="3" t="str">
        <f>IFERROR(VLOOKUP(B1143,ST!C:D,2,0),"NÃOST")</f>
        <v>NÃOST</v>
      </c>
      <c r="E1143" s="3" t="str">
        <f>IF(COUNTIF(ISENÇÕES!A:A,CST!B1143)&gt;0,"ISENÇÃO","SEM ISENÇÃO")</f>
        <v>SEM ISENÇÃO</v>
      </c>
      <c r="F1143" s="18" t="str">
        <f>IF(COUNTIF(REDUÇÕES!A:A,CST!B1143)&gt;0,"REDUÇÃO","NÃO REDUÇÃO")</f>
        <v>NÃO REDUÇÃO</v>
      </c>
      <c r="G1143" s="27">
        <f t="shared" si="18"/>
        <v>0</v>
      </c>
    </row>
    <row r="1144" spans="1:7" x14ac:dyDescent="0.25">
      <c r="A1144" s="120" t="str">
        <f>RIGHT(CSTABLE[[#This Row],[NomeNCM]],8)</f>
        <v>09096290</v>
      </c>
      <c r="B1144" s="7" t="s">
        <v>4313</v>
      </c>
      <c r="C1144" s="3" t="str">
        <f>IFERROR(VLOOKUP(B1144,ST!C:D,2,0),"NÃOST")</f>
        <v>NÃOST</v>
      </c>
      <c r="E1144" s="3" t="str">
        <f>IF(COUNTIF(ISENÇÕES!A:A,CST!B1144)&gt;0,"ISENÇÃO","SEM ISENÇÃO")</f>
        <v>SEM ISENÇÃO</v>
      </c>
      <c r="F1144" s="18" t="str">
        <f>IF(COUNTIF(REDUÇÕES!A:A,CST!B1144)&gt;0,"REDUÇÃO","NÃO REDUÇÃO")</f>
        <v>NÃO REDUÇÃO</v>
      </c>
      <c r="G1144" s="27">
        <f t="shared" si="18"/>
        <v>0</v>
      </c>
    </row>
    <row r="1145" spans="1:7" x14ac:dyDescent="0.25">
      <c r="A1145" s="120" t="str">
        <f>RIGHT(CSTABLE[[#This Row],[NomeNCM]],8)</f>
        <v>97030000</v>
      </c>
      <c r="B1145" s="7" t="s">
        <v>4314</v>
      </c>
      <c r="C1145" s="3" t="str">
        <f>IFERROR(VLOOKUP(B1145,ST!C:D,2,0),"NÃOST")</f>
        <v>NÃOST</v>
      </c>
      <c r="E1145" s="3" t="str">
        <f>IF(COUNTIF(ISENÇÕES!A:A,CST!B1145)&gt;0,"ISENÇÃO","SEM ISENÇÃO")</f>
        <v>SEM ISENÇÃO</v>
      </c>
      <c r="F1145" s="18" t="str">
        <f>IF(COUNTIF(REDUÇÕES!A:A,CST!B1145)&gt;0,"REDUÇÃO","NÃO REDUÇÃO")</f>
        <v>NÃO REDUÇÃO</v>
      </c>
      <c r="G1145" s="27">
        <f t="shared" si="18"/>
        <v>0</v>
      </c>
    </row>
    <row r="1146" spans="1:7" x14ac:dyDescent="0.25">
      <c r="A1146" s="120" t="str">
        <f>RIGHT(CSTABLE[[#This Row],[NomeNCM]],8)</f>
        <v>59112010</v>
      </c>
      <c r="B1146" s="7" t="s">
        <v>4315</v>
      </c>
      <c r="C1146" s="3" t="str">
        <f>IFERROR(VLOOKUP(B1146,ST!C:D,2,0),"NÃOST")</f>
        <v>NÃOST</v>
      </c>
      <c r="E1146" s="3" t="str">
        <f>IF(COUNTIF(ISENÇÕES!A:A,CST!B1146)&gt;0,"ISENÇÃO","SEM ISENÇÃO")</f>
        <v>SEM ISENÇÃO</v>
      </c>
      <c r="F1146" s="18" t="str">
        <f>IF(COUNTIF(REDUÇÕES!A:A,CST!B1146)&gt;0,"REDUÇÃO","NÃO REDUÇÃO")</f>
        <v>NÃO REDUÇÃO</v>
      </c>
      <c r="G1146" s="27">
        <f t="shared" si="18"/>
        <v>0</v>
      </c>
    </row>
    <row r="1147" spans="1:7" x14ac:dyDescent="0.25">
      <c r="A1147" s="120" t="str">
        <f>RIGHT(CSTABLE[[#This Row],[NomeNCM]],8)</f>
        <v>04022120</v>
      </c>
      <c r="B1147" s="7" t="s">
        <v>3308</v>
      </c>
      <c r="C1147" s="3" t="str">
        <f>IFERROR(VLOOKUP(B1147,ST!C:D,2,0),"NÃOST")</f>
        <v>NÃOST</v>
      </c>
      <c r="E1147" s="3" t="str">
        <f>IF(COUNTIF(ISENÇÕES!A:A,CST!B1147)&gt;0,"ISENÇÃO","SEM ISENÇÃO")</f>
        <v>SEM ISENÇÃO</v>
      </c>
      <c r="F1147" s="18" t="str">
        <f>IF(COUNTIF(REDUÇÕES!A:A,CST!B1147)&gt;0,"REDUÇÃO","NÃO REDUÇÃO")</f>
        <v>NÃO REDUÇÃO</v>
      </c>
      <c r="G1147" s="27">
        <f t="shared" si="18"/>
        <v>0</v>
      </c>
    </row>
    <row r="1148" spans="1:7" x14ac:dyDescent="0.25">
      <c r="A1148" s="120" t="str">
        <f>RIGHT(CSTABLE[[#This Row],[NomeNCM]],8)</f>
        <v>44219100</v>
      </c>
      <c r="B1148" s="7" t="s">
        <v>4316</v>
      </c>
      <c r="C1148" s="3" t="str">
        <f>IFERROR(VLOOKUP(B1148,ST!C:D,2,0),"NÃOST")</f>
        <v>NÃOST</v>
      </c>
      <c r="E1148" s="3" t="str">
        <f>IF(COUNTIF(ISENÇÕES!A:A,CST!B1148)&gt;0,"ISENÇÃO","SEM ISENÇÃO")</f>
        <v>SEM ISENÇÃO</v>
      </c>
      <c r="F1148" s="18" t="str">
        <f>IF(COUNTIF(REDUÇÕES!A:A,CST!B1148)&gt;0,"REDUÇÃO","NÃO REDUÇÃO")</f>
        <v>NÃO REDUÇÃO</v>
      </c>
      <c r="G1148" s="27">
        <f t="shared" si="18"/>
        <v>0</v>
      </c>
    </row>
    <row r="1149" spans="1:7" x14ac:dyDescent="0.25">
      <c r="A1149" s="120" t="str">
        <f>RIGHT(CSTABLE[[#This Row],[NomeNCM]],8)</f>
        <v>07099090</v>
      </c>
      <c r="B1149" s="7" t="s">
        <v>3317</v>
      </c>
      <c r="C1149" s="3" t="str">
        <f>IFERROR(VLOOKUP(B1149,ST!C:D,2,0),"NÃOST")</f>
        <v>NÃOST</v>
      </c>
      <c r="E1149" s="3" t="str">
        <f>IF(COUNTIF(ISENÇÕES!A:A,CST!B1149)&gt;0,"ISENÇÃO","SEM ISENÇÃO")</f>
        <v>ISENÇÃO</v>
      </c>
      <c r="F1149" s="18" t="str">
        <f>IF(COUNTIF(REDUÇÕES!A:A,CST!B1149)&gt;0,"REDUÇÃO","NÃO REDUÇÃO")</f>
        <v>NÃO REDUÇÃO</v>
      </c>
      <c r="G1149" s="27">
        <f t="shared" si="18"/>
        <v>40</v>
      </c>
    </row>
    <row r="1150" spans="1:7" x14ac:dyDescent="0.25">
      <c r="A1150" s="120" t="str">
        <f>RIGHT(CSTABLE[[#This Row],[NomeNCM]],8)</f>
        <v>56079010</v>
      </c>
      <c r="B1150" s="7" t="s">
        <v>4317</v>
      </c>
      <c r="C1150" s="3" t="str">
        <f>IFERROR(VLOOKUP(B1150,ST!C:D,2,0),"NÃOST")</f>
        <v>NÃOST</v>
      </c>
      <c r="E1150" s="3" t="str">
        <f>IF(COUNTIF(ISENÇÕES!A:A,CST!B1150)&gt;0,"ISENÇÃO","SEM ISENÇÃO")</f>
        <v>SEM ISENÇÃO</v>
      </c>
      <c r="F1150" s="18" t="str">
        <f>IF(COUNTIF(REDUÇÕES!A:A,CST!B1150)&gt;0,"REDUÇÃO","NÃO REDUÇÃO")</f>
        <v>NÃO REDUÇÃO</v>
      </c>
      <c r="G1150" s="27">
        <f t="shared" si="18"/>
        <v>0</v>
      </c>
    </row>
    <row r="1151" spans="1:7" x14ac:dyDescent="0.25">
      <c r="A1151" s="120" t="str">
        <f>RIGHT(CSTABLE[[#This Row],[NomeNCM]],8)</f>
        <v>52029900</v>
      </c>
      <c r="B1151" s="7" t="s">
        <v>4318</v>
      </c>
      <c r="C1151" s="3" t="str">
        <f>IFERROR(VLOOKUP(B1151,ST!C:D,2,0),"NÃOST")</f>
        <v>NÃOST</v>
      </c>
      <c r="E1151" s="3" t="str">
        <f>IF(COUNTIF(ISENÇÕES!A:A,CST!B1151)&gt;0,"ISENÇÃO","SEM ISENÇÃO")</f>
        <v>SEM ISENÇÃO</v>
      </c>
      <c r="F1151" s="18" t="str">
        <f>IF(COUNTIF(REDUÇÕES!A:A,CST!B1151)&gt;0,"REDUÇÃO","NÃO REDUÇÃO")</f>
        <v>NÃO REDUÇÃO</v>
      </c>
      <c r="G1151" s="27">
        <f t="shared" si="18"/>
        <v>0</v>
      </c>
    </row>
    <row r="1152" spans="1:7" x14ac:dyDescent="0.25">
      <c r="A1152" s="120" t="str">
        <f>RIGHT(CSTABLE[[#This Row],[NomeNCM]],8)</f>
        <v>40021911</v>
      </c>
      <c r="B1152" s="7" t="s">
        <v>4319</v>
      </c>
      <c r="C1152" s="3" t="str">
        <f>IFERROR(VLOOKUP(B1152,ST!C:D,2,0),"NÃOST")</f>
        <v>NÃOST</v>
      </c>
      <c r="E1152" s="3" t="str">
        <f>IF(COUNTIF(ISENÇÕES!A:A,CST!B1152)&gt;0,"ISENÇÃO","SEM ISENÇÃO")</f>
        <v>SEM ISENÇÃO</v>
      </c>
      <c r="F1152" s="18" t="str">
        <f>IF(COUNTIF(REDUÇÕES!A:A,CST!B1152)&gt;0,"REDUÇÃO","NÃO REDUÇÃO")</f>
        <v>NÃO REDUÇÃO</v>
      </c>
      <c r="G1152" s="27">
        <f t="shared" si="18"/>
        <v>0</v>
      </c>
    </row>
    <row r="1153" spans="1:7" x14ac:dyDescent="0.25">
      <c r="A1153" s="120" t="str">
        <f>RIGHT(CSTABLE[[#This Row],[NomeNCM]],8)</f>
        <v>48102990</v>
      </c>
      <c r="B1153" s="7" t="s">
        <v>4320</v>
      </c>
      <c r="C1153" s="3" t="str">
        <f>IFERROR(VLOOKUP(B1153,ST!C:D,2,0),"NÃOST")</f>
        <v>NÃOST</v>
      </c>
      <c r="E1153" s="3" t="str">
        <f>IF(COUNTIF(ISENÇÕES!A:A,CST!B1153)&gt;0,"ISENÇÃO","SEM ISENÇÃO")</f>
        <v>SEM ISENÇÃO</v>
      </c>
      <c r="F1153" s="18" t="str">
        <f>IF(COUNTIF(REDUÇÕES!A:A,CST!B1153)&gt;0,"REDUÇÃO","NÃO REDUÇÃO")</f>
        <v>NÃO REDUÇÃO</v>
      </c>
      <c r="G1153" s="27">
        <f t="shared" si="18"/>
        <v>0</v>
      </c>
    </row>
    <row r="1154" spans="1:7" x14ac:dyDescent="0.25">
      <c r="A1154" s="120" t="str">
        <f>RIGHT(CSTABLE[[#This Row],[NomeNCM]],8)</f>
        <v>85183000</v>
      </c>
      <c r="B1154" s="7" t="s">
        <v>4321</v>
      </c>
      <c r="C1154" s="3" t="str">
        <f>IFERROR(VLOOKUP(B1154,ST!C:D,2,0),"NÃOST")</f>
        <v>NÃOST</v>
      </c>
      <c r="E1154" s="3" t="str">
        <f>IF(COUNTIF(ISENÇÕES!A:A,CST!B1154)&gt;0,"ISENÇÃO","SEM ISENÇÃO")</f>
        <v>SEM ISENÇÃO</v>
      </c>
      <c r="F1154" s="18" t="str">
        <f>IF(COUNTIF(REDUÇÕES!A:A,CST!B1154)&gt;0,"REDUÇÃO","NÃO REDUÇÃO")</f>
        <v>NÃO REDUÇÃO</v>
      </c>
      <c r="G1154" s="27">
        <f t="shared" si="18"/>
        <v>0</v>
      </c>
    </row>
    <row r="1155" spans="1:7" x14ac:dyDescent="0.25">
      <c r="A1155" s="120" t="str">
        <f>RIGHT(CSTABLE[[#This Row],[NomeNCM]],8)</f>
        <v>85272100</v>
      </c>
      <c r="B1155" s="7" t="s">
        <v>4322</v>
      </c>
      <c r="C1155" s="3" t="str">
        <f>IFERROR(VLOOKUP(B1155,ST!C:D,2,0),"NÃOST")</f>
        <v>NÃOST</v>
      </c>
      <c r="E1155" s="3" t="str">
        <f>IF(COUNTIF(ISENÇÕES!A:A,CST!B1155)&gt;0,"ISENÇÃO","SEM ISENÇÃO")</f>
        <v>SEM ISENÇÃO</v>
      </c>
      <c r="F1155" s="18" t="str">
        <f>IF(COUNTIF(REDUÇÕES!A:A,CST!B1155)&gt;0,"REDUÇÃO","NÃO REDUÇÃO")</f>
        <v>NÃO REDUÇÃO</v>
      </c>
      <c r="G1155" s="27">
        <f t="shared" si="18"/>
        <v>0</v>
      </c>
    </row>
    <row r="1156" spans="1:7" x14ac:dyDescent="0.25">
      <c r="A1156" s="120" t="str">
        <f>RIGHT(CSTABLE[[#This Row],[NomeNCM]],8)</f>
        <v>20087090</v>
      </c>
      <c r="B1156" s="7" t="s">
        <v>4323</v>
      </c>
      <c r="C1156" s="3" t="str">
        <f>IFERROR(VLOOKUP(B1156,ST!C:D,2,0),"NÃOST")</f>
        <v>NÃOST</v>
      </c>
      <c r="E1156" s="3" t="str">
        <f>IF(COUNTIF(ISENÇÕES!A:A,CST!B1156)&gt;0,"ISENÇÃO","SEM ISENÇÃO")</f>
        <v>SEM ISENÇÃO</v>
      </c>
      <c r="F1156" s="18" t="str">
        <f>IF(COUNTIF(REDUÇÕES!A:A,CST!B1156)&gt;0,"REDUÇÃO","NÃO REDUÇÃO")</f>
        <v>NÃO REDUÇÃO</v>
      </c>
      <c r="G1156" s="27">
        <f t="shared" si="18"/>
        <v>0</v>
      </c>
    </row>
    <row r="1157" spans="1:7" x14ac:dyDescent="0.25">
      <c r="A1157" s="120" t="str">
        <f>RIGHT(CSTABLE[[#This Row],[NomeNCM]],8)</f>
        <v>52082100</v>
      </c>
      <c r="B1157" s="7" t="s">
        <v>4324</v>
      </c>
      <c r="C1157" s="3" t="str">
        <f>IFERROR(VLOOKUP(B1157,ST!C:D,2,0),"NÃOST")</f>
        <v>NÃOST</v>
      </c>
      <c r="E1157" s="3" t="str">
        <f>IF(COUNTIF(ISENÇÕES!A:A,CST!B1157)&gt;0,"ISENÇÃO","SEM ISENÇÃO")</f>
        <v>SEM ISENÇÃO</v>
      </c>
      <c r="F1157" s="18" t="str">
        <f>IF(COUNTIF(REDUÇÕES!A:A,CST!B1157)&gt;0,"REDUÇÃO","NÃO REDUÇÃO")</f>
        <v>NÃO REDUÇÃO</v>
      </c>
      <c r="G1157" s="27">
        <f t="shared" si="18"/>
        <v>0</v>
      </c>
    </row>
    <row r="1158" spans="1:7" x14ac:dyDescent="0.25">
      <c r="A1158" s="120" t="str">
        <f>RIGHT(CSTABLE[[#This Row],[NomeNCM]],8)</f>
        <v>17019100</v>
      </c>
      <c r="B1158" s="7" t="s">
        <v>4325</v>
      </c>
      <c r="C1158" s="3" t="str">
        <f>IFERROR(VLOOKUP(B1158,ST!C:D,2,0),"NÃOST")</f>
        <v>NÃOST</v>
      </c>
      <c r="E1158" s="3" t="str">
        <f>IF(COUNTIF(ISENÇÕES!A:A,CST!B1158)&gt;0,"ISENÇÃO","SEM ISENÇÃO")</f>
        <v>SEM ISENÇÃO</v>
      </c>
      <c r="F1158" s="18" t="str">
        <f>IF(COUNTIF(REDUÇÕES!A:A,CST!B1158)&gt;0,"REDUÇÃO","NÃO REDUÇÃO")</f>
        <v>NÃO REDUÇÃO</v>
      </c>
      <c r="G1158" s="27">
        <f t="shared" si="18"/>
        <v>0</v>
      </c>
    </row>
    <row r="1159" spans="1:7" x14ac:dyDescent="0.25">
      <c r="A1159" s="120" t="str">
        <f>RIGHT(CSTABLE[[#This Row],[NomeNCM]],8)</f>
        <v>24029000</v>
      </c>
      <c r="B1159" s="7" t="s">
        <v>4326</v>
      </c>
      <c r="C1159" s="3" t="str">
        <f>IFERROR(VLOOKUP(B1159,ST!C:D,2,0),"NÃOST")</f>
        <v>ST</v>
      </c>
      <c r="E1159" s="3" t="str">
        <f>IF(COUNTIF(ISENÇÕES!A:A,CST!B1159)&gt;0,"ISENÇÃO","SEM ISENÇÃO")</f>
        <v>SEM ISENÇÃO</v>
      </c>
      <c r="F1159" s="18" t="str">
        <f>IF(COUNTIF(REDUÇÕES!A:A,CST!B1159)&gt;0,"REDUÇÃO","NÃO REDUÇÃO")</f>
        <v>NÃO REDUÇÃO</v>
      </c>
      <c r="G1159" s="27">
        <f t="shared" si="18"/>
        <v>60</v>
      </c>
    </row>
    <row r="1160" spans="1:7" x14ac:dyDescent="0.25">
      <c r="A1160" s="120" t="str">
        <f>RIGHT(CSTABLE[[#This Row],[NomeNCM]],8)</f>
        <v>76071910</v>
      </c>
      <c r="B1160" s="7" t="s">
        <v>4327</v>
      </c>
      <c r="C1160" s="3" t="str">
        <f>IFERROR(VLOOKUP(B1160,ST!C:D,2,0),"NÃOST")</f>
        <v>NÃOST</v>
      </c>
      <c r="E1160" s="3" t="str">
        <f>IF(COUNTIF(ISENÇÕES!A:A,CST!B1160)&gt;0,"ISENÇÃO","SEM ISENÇÃO")</f>
        <v>SEM ISENÇÃO</v>
      </c>
      <c r="F1160" s="18" t="str">
        <f>IF(COUNTIF(REDUÇÕES!A:A,CST!B1160)&gt;0,"REDUÇÃO","NÃO REDUÇÃO")</f>
        <v>NÃO REDUÇÃO</v>
      </c>
      <c r="G1160" s="27">
        <f t="shared" si="18"/>
        <v>0</v>
      </c>
    </row>
    <row r="1161" spans="1:7" x14ac:dyDescent="0.25">
      <c r="A1161" s="120" t="str">
        <f>RIGHT(CSTABLE[[#This Row],[NomeNCM]],8)</f>
        <v>10089090</v>
      </c>
      <c r="B1161" s="7" t="s">
        <v>4328</v>
      </c>
      <c r="C1161" s="3" t="str">
        <f>IFERROR(VLOOKUP(B1161,ST!C:D,2,0),"NÃOST")</f>
        <v>NÃOST</v>
      </c>
      <c r="E1161" s="3" t="str">
        <f>IF(COUNTIF(ISENÇÕES!A:A,CST!B1161)&gt;0,"ISENÇÃO","SEM ISENÇÃO")</f>
        <v>SEM ISENÇÃO</v>
      </c>
      <c r="F1161" s="18" t="str">
        <f>IF(COUNTIF(REDUÇÕES!A:A,CST!B1161)&gt;0,"REDUÇÃO","NÃO REDUÇÃO")</f>
        <v>NÃO REDUÇÃO</v>
      </c>
      <c r="G1161" s="27">
        <f t="shared" si="18"/>
        <v>0</v>
      </c>
    </row>
    <row r="1162" spans="1:7" x14ac:dyDescent="0.25">
      <c r="A1162" s="120" t="str">
        <f>RIGHT(CSTABLE[[#This Row],[NomeNCM]],8)</f>
        <v>52021000</v>
      </c>
      <c r="B1162" s="7" t="s">
        <v>4329</v>
      </c>
      <c r="C1162" s="3" t="str">
        <f>IFERROR(VLOOKUP(B1162,ST!C:D,2,0),"NÃOST")</f>
        <v>NÃOST</v>
      </c>
      <c r="E1162" s="3" t="str">
        <f>IF(COUNTIF(ISENÇÕES!A:A,CST!B1162)&gt;0,"ISENÇÃO","SEM ISENÇÃO")</f>
        <v>SEM ISENÇÃO</v>
      </c>
      <c r="F1162" s="18" t="str">
        <f>IF(COUNTIF(REDUÇÕES!A:A,CST!B1162)&gt;0,"REDUÇÃO","NÃO REDUÇÃO")</f>
        <v>NÃO REDUÇÃO</v>
      </c>
      <c r="G1162" s="27">
        <f t="shared" si="18"/>
        <v>0</v>
      </c>
    </row>
    <row r="1163" spans="1:7" x14ac:dyDescent="0.25">
      <c r="A1163" s="120" t="str">
        <f>RIGHT(CSTABLE[[#This Row],[NomeNCM]],8)</f>
        <v>60012100</v>
      </c>
      <c r="B1163" s="7" t="s">
        <v>4330</v>
      </c>
      <c r="C1163" s="3" t="str">
        <f>IFERROR(VLOOKUP(B1163,ST!C:D,2,0),"NÃOST")</f>
        <v>NÃOST</v>
      </c>
      <c r="E1163" s="3" t="str">
        <f>IF(COUNTIF(ISENÇÕES!A:A,CST!B1163)&gt;0,"ISENÇÃO","SEM ISENÇÃO")</f>
        <v>SEM ISENÇÃO</v>
      </c>
      <c r="F1163" s="18" t="str">
        <f>IF(COUNTIF(REDUÇÕES!A:A,CST!B1163)&gt;0,"REDUÇÃO","NÃO REDUÇÃO")</f>
        <v>NÃO REDUÇÃO</v>
      </c>
      <c r="G1163" s="27">
        <f t="shared" si="18"/>
        <v>0</v>
      </c>
    </row>
    <row r="1164" spans="1:7" x14ac:dyDescent="0.25">
      <c r="A1164" s="120" t="str">
        <f>RIGHT(CSTABLE[[#This Row],[NomeNCM]],8)</f>
        <v>85044010</v>
      </c>
      <c r="B1164" s="7" t="s">
        <v>4331</v>
      </c>
      <c r="C1164" s="3" t="str">
        <f>IFERROR(VLOOKUP(B1164,ST!C:D,2,0),"NÃOST")</f>
        <v>NÃOST</v>
      </c>
      <c r="E1164" s="3" t="str">
        <f>IF(COUNTIF(ISENÇÕES!A:A,CST!B1164)&gt;0,"ISENÇÃO","SEM ISENÇÃO")</f>
        <v>SEM ISENÇÃO</v>
      </c>
      <c r="F1164" s="18" t="str">
        <f>IF(COUNTIF(REDUÇÕES!A:A,CST!B1164)&gt;0,"REDUÇÃO","NÃO REDUÇÃO")</f>
        <v>REDUÇÃO</v>
      </c>
      <c r="G1164" s="27">
        <f t="shared" si="18"/>
        <v>20</v>
      </c>
    </row>
    <row r="1165" spans="1:7" x14ac:dyDescent="0.25">
      <c r="A1165" s="120" t="str">
        <f>RIGHT(CSTABLE[[#This Row],[NomeNCM]],8)</f>
        <v>04070011</v>
      </c>
      <c r="B1165" s="7" t="s">
        <v>3313</v>
      </c>
      <c r="C1165" s="3" t="str">
        <f>IFERROR(VLOOKUP(B1165,ST!C:D,2,0),"NÃOST")</f>
        <v>NÃOST</v>
      </c>
      <c r="E1165" s="3" t="str">
        <f>IF(COUNTIF(ISENÇÕES!A:A,CST!B1165)&gt;0,"ISENÇÃO","SEM ISENÇÃO")</f>
        <v>ISENÇÃO</v>
      </c>
      <c r="F1165" s="18" t="str">
        <f>IF(COUNTIF(REDUÇÕES!A:A,CST!B1165)&gt;0,"REDUÇÃO","NÃO REDUÇÃO")</f>
        <v>NÃO REDUÇÃO</v>
      </c>
      <c r="G1165" s="27">
        <f t="shared" si="18"/>
        <v>40</v>
      </c>
    </row>
    <row r="1166" spans="1:7" x14ac:dyDescent="0.25">
      <c r="A1166" s="120" t="str">
        <f>RIGHT(CSTABLE[[#This Row],[NomeNCM]],8)</f>
        <v>39211390</v>
      </c>
      <c r="B1166" s="7" t="s">
        <v>4332</v>
      </c>
      <c r="C1166" s="3" t="str">
        <f>IFERROR(VLOOKUP(B1166,ST!C:D,2,0),"NÃOST")</f>
        <v>NÃOST</v>
      </c>
      <c r="E1166" s="3" t="str">
        <f>IF(COUNTIF(ISENÇÕES!A:A,CST!B1166)&gt;0,"ISENÇÃO","SEM ISENÇÃO")</f>
        <v>SEM ISENÇÃO</v>
      </c>
      <c r="F1166" s="18" t="str">
        <f>IF(COUNTIF(REDUÇÕES!A:A,CST!B1166)&gt;0,"REDUÇÃO","NÃO REDUÇÃO")</f>
        <v>NÃO REDUÇÃO</v>
      </c>
      <c r="G1166" s="27">
        <f t="shared" si="18"/>
        <v>0</v>
      </c>
    </row>
    <row r="1167" spans="1:7" x14ac:dyDescent="0.25">
      <c r="A1167" s="120" t="str">
        <f>RIGHT(CSTABLE[[#This Row],[NomeNCM]],8)</f>
        <v>35069900</v>
      </c>
      <c r="B1167" s="7" t="s">
        <v>4333</v>
      </c>
      <c r="C1167" s="3" t="str">
        <f>IFERROR(VLOOKUP(B1167,ST!C:D,2,0),"NÃOST")</f>
        <v>NÃOST</v>
      </c>
      <c r="E1167" s="3" t="str">
        <f>IF(COUNTIF(ISENÇÕES!A:A,CST!B1167)&gt;0,"ISENÇÃO","SEM ISENÇÃO")</f>
        <v>SEM ISENÇÃO</v>
      </c>
      <c r="F1167" s="18" t="str">
        <f>IF(COUNTIF(REDUÇÕES!A:A,CST!B1167)&gt;0,"REDUÇÃO","NÃO REDUÇÃO")</f>
        <v>NÃO REDUÇÃO</v>
      </c>
      <c r="G1167" s="27">
        <f t="shared" ref="G1167:G1230" si="19">VLOOKUP(C1167&amp;F1167&amp;E1167,$B$3:$F$10,5,0)</f>
        <v>0</v>
      </c>
    </row>
    <row r="1168" spans="1:7" x14ac:dyDescent="0.25">
      <c r="A1168" s="120" t="str">
        <f>RIGHT(CSTABLE[[#This Row],[NomeNCM]],8)</f>
        <v>84818029</v>
      </c>
      <c r="B1168" s="7" t="s">
        <v>4334</v>
      </c>
      <c r="C1168" s="3" t="str">
        <f>IFERROR(VLOOKUP(B1168,ST!C:D,2,0),"NÃOST")</f>
        <v>NÃOST</v>
      </c>
      <c r="E1168" s="3" t="str">
        <f>IF(COUNTIF(ISENÇÕES!A:A,CST!B1168)&gt;0,"ISENÇÃO","SEM ISENÇÃO")</f>
        <v>SEM ISENÇÃO</v>
      </c>
      <c r="F1168" s="18" t="str">
        <f>IF(COUNTIF(REDUÇÕES!A:A,CST!B1168)&gt;0,"REDUÇÃO","NÃO REDUÇÃO")</f>
        <v>NÃO REDUÇÃO</v>
      </c>
      <c r="G1168" s="27">
        <f t="shared" si="19"/>
        <v>0</v>
      </c>
    </row>
    <row r="1169" spans="1:7" x14ac:dyDescent="0.25">
      <c r="A1169" s="120" t="str">
        <f>RIGHT(CSTABLE[[#This Row],[NomeNCM]],8)</f>
        <v>18040000</v>
      </c>
      <c r="B1169" s="7" t="s">
        <v>4335</v>
      </c>
      <c r="C1169" s="3" t="str">
        <f>IFERROR(VLOOKUP(B1169,ST!C:D,2,0),"NÃOST")</f>
        <v>NÃOST</v>
      </c>
      <c r="E1169" s="3" t="str">
        <f>IF(COUNTIF(ISENÇÕES!A:A,CST!B1169)&gt;0,"ISENÇÃO","SEM ISENÇÃO")</f>
        <v>SEM ISENÇÃO</v>
      </c>
      <c r="F1169" s="18" t="str">
        <f>IF(COUNTIF(REDUÇÕES!A:A,CST!B1169)&gt;0,"REDUÇÃO","NÃO REDUÇÃO")</f>
        <v>NÃO REDUÇÃO</v>
      </c>
      <c r="G1169" s="27">
        <f t="shared" si="19"/>
        <v>0</v>
      </c>
    </row>
    <row r="1170" spans="1:7" x14ac:dyDescent="0.25">
      <c r="A1170" s="120" t="str">
        <f>RIGHT(CSTABLE[[#This Row],[NomeNCM]],8)</f>
        <v>44013900</v>
      </c>
      <c r="B1170" s="7" t="s">
        <v>4336</v>
      </c>
      <c r="C1170" s="3" t="str">
        <f>IFERROR(VLOOKUP(B1170,ST!C:D,2,0),"NÃOST")</f>
        <v>NÃOST</v>
      </c>
      <c r="E1170" s="3" t="str">
        <f>IF(COUNTIF(ISENÇÕES!A:A,CST!B1170)&gt;0,"ISENÇÃO","SEM ISENÇÃO")</f>
        <v>SEM ISENÇÃO</v>
      </c>
      <c r="F1170" s="18" t="str">
        <f>IF(COUNTIF(REDUÇÕES!A:A,CST!B1170)&gt;0,"REDUÇÃO","NÃO REDUÇÃO")</f>
        <v>NÃO REDUÇÃO</v>
      </c>
      <c r="G1170" s="27">
        <f t="shared" si="19"/>
        <v>0</v>
      </c>
    </row>
    <row r="1171" spans="1:7" x14ac:dyDescent="0.25">
      <c r="A1171" s="120" t="str">
        <f>RIGHT(CSTABLE[[#This Row],[NomeNCM]],8)</f>
        <v>39211400</v>
      </c>
      <c r="B1171" s="7" t="s">
        <v>4337</v>
      </c>
      <c r="C1171" s="3" t="str">
        <f>IFERROR(VLOOKUP(B1171,ST!C:D,2,0),"NÃOST")</f>
        <v>NÃOST</v>
      </c>
      <c r="E1171" s="3" t="str">
        <f>IF(COUNTIF(ISENÇÕES!A:A,CST!B1171)&gt;0,"ISENÇÃO","SEM ISENÇÃO")</f>
        <v>SEM ISENÇÃO</v>
      </c>
      <c r="F1171" s="18" t="str">
        <f>IF(COUNTIF(REDUÇÕES!A:A,CST!B1171)&gt;0,"REDUÇÃO","NÃO REDUÇÃO")</f>
        <v>NÃO REDUÇÃO</v>
      </c>
      <c r="G1171" s="27">
        <f t="shared" si="19"/>
        <v>0</v>
      </c>
    </row>
    <row r="1172" spans="1:7" x14ac:dyDescent="0.25">
      <c r="A1172" s="120" t="str">
        <f>RIGHT(CSTABLE[[#This Row],[NomeNCM]],8)</f>
        <v>34049029</v>
      </c>
      <c r="B1172" s="7" t="s">
        <v>4338</v>
      </c>
      <c r="C1172" s="3" t="str">
        <f>IFERROR(VLOOKUP(B1172,ST!C:D,2,0),"NÃOST")</f>
        <v>NÃOST</v>
      </c>
      <c r="E1172" s="3" t="str">
        <f>IF(COUNTIF(ISENÇÕES!A:A,CST!B1172)&gt;0,"ISENÇÃO","SEM ISENÇÃO")</f>
        <v>SEM ISENÇÃO</v>
      </c>
      <c r="F1172" s="18" t="str">
        <f>IF(COUNTIF(REDUÇÕES!A:A,CST!B1172)&gt;0,"REDUÇÃO","NÃO REDUÇÃO")</f>
        <v>NÃO REDUÇÃO</v>
      </c>
      <c r="G1172" s="27">
        <f t="shared" si="19"/>
        <v>0</v>
      </c>
    </row>
    <row r="1173" spans="1:7" x14ac:dyDescent="0.25">
      <c r="A1173" s="120" t="str">
        <f>RIGHT(CSTABLE[[#This Row],[NomeNCM]],8)</f>
        <v>90303990</v>
      </c>
      <c r="B1173" s="7" t="s">
        <v>4339</v>
      </c>
      <c r="C1173" s="3" t="str">
        <f>IFERROR(VLOOKUP(B1173,ST!C:D,2,0),"NÃOST")</f>
        <v>NÃOST</v>
      </c>
      <c r="E1173" s="3" t="str">
        <f>IF(COUNTIF(ISENÇÕES!A:A,CST!B1173)&gt;0,"ISENÇÃO","SEM ISENÇÃO")</f>
        <v>SEM ISENÇÃO</v>
      </c>
      <c r="F1173" s="18" t="str">
        <f>IF(COUNTIF(REDUÇÕES!A:A,CST!B1173)&gt;0,"REDUÇÃO","NÃO REDUÇÃO")</f>
        <v>NÃO REDUÇÃO</v>
      </c>
      <c r="G1173" s="27">
        <f t="shared" si="19"/>
        <v>0</v>
      </c>
    </row>
    <row r="1174" spans="1:7" x14ac:dyDescent="0.25">
      <c r="A1174" s="120" t="str">
        <f>RIGHT(CSTABLE[[#This Row],[NomeNCM]],8)</f>
        <v>12122100</v>
      </c>
      <c r="B1174" s="7" t="s">
        <v>4340</v>
      </c>
      <c r="C1174" s="3" t="str">
        <f>IFERROR(VLOOKUP(B1174,ST!C:D,2,0),"NÃOST")</f>
        <v>NÃOST</v>
      </c>
      <c r="E1174" s="3" t="str">
        <f>IF(COUNTIF(ISENÇÕES!A:A,CST!B1174)&gt;0,"ISENÇÃO","SEM ISENÇÃO")</f>
        <v>SEM ISENÇÃO</v>
      </c>
      <c r="F1174" s="18" t="str">
        <f>IF(COUNTIF(REDUÇÕES!A:A,CST!B1174)&gt;0,"REDUÇÃO","NÃO REDUÇÃO")</f>
        <v>NÃO REDUÇÃO</v>
      </c>
      <c r="G1174" s="27">
        <f t="shared" si="19"/>
        <v>0</v>
      </c>
    </row>
    <row r="1175" spans="1:7" x14ac:dyDescent="0.25">
      <c r="A1175" s="120" t="str">
        <f>RIGHT(CSTABLE[[#This Row],[NomeNCM]],8)</f>
        <v>33019010</v>
      </c>
      <c r="B1175" s="7" t="s">
        <v>4341</v>
      </c>
      <c r="C1175" s="3" t="str">
        <f>IFERROR(VLOOKUP(B1175,ST!C:D,2,0),"NÃOST")</f>
        <v>NÃOST</v>
      </c>
      <c r="E1175" s="3" t="str">
        <f>IF(COUNTIF(ISENÇÕES!A:A,CST!B1175)&gt;0,"ISENÇÃO","SEM ISENÇÃO")</f>
        <v>SEM ISENÇÃO</v>
      </c>
      <c r="F1175" s="18" t="str">
        <f>IF(COUNTIF(REDUÇÕES!A:A,CST!B1175)&gt;0,"REDUÇÃO","NÃO REDUÇÃO")</f>
        <v>NÃO REDUÇÃO</v>
      </c>
      <c r="G1175" s="27">
        <f t="shared" si="19"/>
        <v>0</v>
      </c>
    </row>
    <row r="1176" spans="1:7" x14ac:dyDescent="0.25">
      <c r="A1176" s="120" t="str">
        <f>RIGHT(CSTABLE[[#This Row],[NomeNCM]],8)</f>
        <v>10059090</v>
      </c>
      <c r="B1176" s="7" t="s">
        <v>3399</v>
      </c>
      <c r="C1176" s="3" t="str">
        <f>IFERROR(VLOOKUP(B1176,ST!C:D,2,0),"NÃOST")</f>
        <v>NÃOST</v>
      </c>
      <c r="E1176" s="3" t="str">
        <f>IF(COUNTIF(ISENÇÕES!A:A,CST!B1176)&gt;0,"ISENÇÃO","SEM ISENÇÃO")</f>
        <v>SEM ISENÇÃO</v>
      </c>
      <c r="F1176" s="18" t="str">
        <f>IF(COUNTIF(REDUÇÕES!A:A,CST!B1176)&gt;0,"REDUÇÃO","NÃO REDUÇÃO")</f>
        <v>NÃO REDUÇÃO</v>
      </c>
      <c r="G1176" s="27">
        <f t="shared" si="19"/>
        <v>0</v>
      </c>
    </row>
    <row r="1177" spans="1:7" x14ac:dyDescent="0.25">
      <c r="A1177" s="120" t="str">
        <f>RIGHT(CSTABLE[[#This Row],[NomeNCM]],8)</f>
        <v>84248221</v>
      </c>
      <c r="B1177" s="7" t="s">
        <v>4342</v>
      </c>
      <c r="C1177" s="3" t="str">
        <f>IFERROR(VLOOKUP(B1177,ST!C:D,2,0),"NÃOST")</f>
        <v>NÃOST</v>
      </c>
      <c r="E1177" s="3" t="str">
        <f>IF(COUNTIF(ISENÇÕES!A:A,CST!B1177)&gt;0,"ISENÇÃO","SEM ISENÇÃO")</f>
        <v>SEM ISENÇÃO</v>
      </c>
      <c r="F1177" s="18" t="str">
        <f>IF(COUNTIF(REDUÇÕES!A:A,CST!B1177)&gt;0,"REDUÇÃO","NÃO REDUÇÃO")</f>
        <v>NÃO REDUÇÃO</v>
      </c>
      <c r="G1177" s="27">
        <f t="shared" si="19"/>
        <v>0</v>
      </c>
    </row>
    <row r="1178" spans="1:7" x14ac:dyDescent="0.25">
      <c r="A1178" s="120" t="str">
        <f>RIGHT(CSTABLE[[#This Row],[NomeNCM]],8)</f>
        <v>19021000</v>
      </c>
      <c r="B1178" s="7" t="s">
        <v>4343</v>
      </c>
      <c r="C1178" s="3" t="str">
        <f>IFERROR(VLOOKUP(B1178,ST!C:D,2,0),"NÃOST")</f>
        <v>NÃOST</v>
      </c>
      <c r="E1178" s="3" t="str">
        <f>IF(COUNTIF(ISENÇÕES!A:A,CST!B1178)&gt;0,"ISENÇÃO","SEM ISENÇÃO")</f>
        <v>SEM ISENÇÃO</v>
      </c>
      <c r="F1178" s="18" t="str">
        <f>IF(COUNTIF(REDUÇÕES!A:A,CST!B1178)&gt;0,"REDUÇÃO","NÃO REDUÇÃO")</f>
        <v>NÃO REDUÇÃO</v>
      </c>
      <c r="G1178" s="27">
        <f t="shared" si="19"/>
        <v>0</v>
      </c>
    </row>
    <row r="1179" spans="1:7" x14ac:dyDescent="0.25">
      <c r="A1179" s="120" t="str">
        <f>RIGHT(CSTABLE[[#This Row],[NomeNCM]],8)</f>
        <v>38086100</v>
      </c>
      <c r="B1179" s="7" t="s">
        <v>4344</v>
      </c>
      <c r="C1179" s="3" t="str">
        <f>IFERROR(VLOOKUP(B1179,ST!C:D,2,0),"NÃOST")</f>
        <v>NÃOST</v>
      </c>
      <c r="E1179" s="3" t="str">
        <f>IF(COUNTIF(ISENÇÕES!A:A,CST!B1179)&gt;0,"ISENÇÃO","SEM ISENÇÃO")</f>
        <v>SEM ISENÇÃO</v>
      </c>
      <c r="F1179" s="18" t="str">
        <f>IF(COUNTIF(REDUÇÕES!A:A,CST!B1179)&gt;0,"REDUÇÃO","NÃO REDUÇÃO")</f>
        <v>NÃO REDUÇÃO</v>
      </c>
      <c r="G1179" s="27">
        <f t="shared" si="19"/>
        <v>0</v>
      </c>
    </row>
    <row r="1180" spans="1:7" x14ac:dyDescent="0.25">
      <c r="A1180" s="120" t="str">
        <f>RIGHT(CSTABLE[[#This Row],[NomeNCM]],8)</f>
        <v>08133000</v>
      </c>
      <c r="B1180" s="7" t="s">
        <v>3398</v>
      </c>
      <c r="C1180" s="3" t="str">
        <f>IFERROR(VLOOKUP(B1180,ST!C:D,2,0),"NÃOST")</f>
        <v>NÃOST</v>
      </c>
      <c r="E1180" s="3" t="str">
        <f>IF(COUNTIF(ISENÇÕES!A:A,CST!B1180)&gt;0,"ISENÇÃO","SEM ISENÇÃO")</f>
        <v>ISENÇÃO</v>
      </c>
      <c r="F1180" s="18" t="str">
        <f>IF(COUNTIF(REDUÇÕES!A:A,CST!B1180)&gt;0,"REDUÇÃO","NÃO REDUÇÃO")</f>
        <v>NÃO REDUÇÃO</v>
      </c>
      <c r="G1180" s="27">
        <f t="shared" si="19"/>
        <v>40</v>
      </c>
    </row>
    <row r="1181" spans="1:7" x14ac:dyDescent="0.25">
      <c r="A1181" s="120" t="str">
        <f>RIGHT(CSTABLE[[#This Row],[NomeNCM]],8)</f>
        <v>16024200</v>
      </c>
      <c r="B1181" s="7" t="s">
        <v>4345</v>
      </c>
      <c r="C1181" s="3" t="str">
        <f>IFERROR(VLOOKUP(B1181,ST!C:D,2,0),"NÃOST")</f>
        <v>NÃOST</v>
      </c>
      <c r="E1181" s="3" t="str">
        <f>IF(COUNTIF(ISENÇÕES!A:A,CST!B1181)&gt;0,"ISENÇÃO","SEM ISENÇÃO")</f>
        <v>SEM ISENÇÃO</v>
      </c>
      <c r="F1181" s="18" t="str">
        <f>IF(COUNTIF(REDUÇÕES!A:A,CST!B1181)&gt;0,"REDUÇÃO","NÃO REDUÇÃO")</f>
        <v>NÃO REDUÇÃO</v>
      </c>
      <c r="G1181" s="27">
        <f t="shared" si="19"/>
        <v>0</v>
      </c>
    </row>
    <row r="1182" spans="1:7" x14ac:dyDescent="0.25">
      <c r="A1182" s="120" t="str">
        <f>RIGHT(CSTABLE[[#This Row],[NomeNCM]],8)</f>
        <v>24011090</v>
      </c>
      <c r="B1182" s="7" t="s">
        <v>4346</v>
      </c>
      <c r="C1182" s="3" t="str">
        <f>IFERROR(VLOOKUP(B1182,ST!C:D,2,0),"NÃOST")</f>
        <v>ST</v>
      </c>
      <c r="E1182" s="3" t="str">
        <f>IF(COUNTIF(ISENÇÕES!A:A,CST!B1182)&gt;0,"ISENÇÃO","SEM ISENÇÃO")</f>
        <v>SEM ISENÇÃO</v>
      </c>
      <c r="F1182" s="18" t="str">
        <f>IF(COUNTIF(REDUÇÕES!A:A,CST!B1182)&gt;0,"REDUÇÃO","NÃO REDUÇÃO")</f>
        <v>NÃO REDUÇÃO</v>
      </c>
      <c r="G1182" s="27">
        <f t="shared" si="19"/>
        <v>60</v>
      </c>
    </row>
    <row r="1183" spans="1:7" x14ac:dyDescent="0.25">
      <c r="A1183" s="120" t="str">
        <f>RIGHT(CSTABLE[[#This Row],[NomeNCM]],8)</f>
        <v>09072000</v>
      </c>
      <c r="B1183" s="7" t="s">
        <v>4347</v>
      </c>
      <c r="C1183" s="3" t="str">
        <f>IFERROR(VLOOKUP(B1183,ST!C:D,2,0),"NÃOST")</f>
        <v>NÃOST</v>
      </c>
      <c r="E1183" s="3" t="str">
        <f>IF(COUNTIF(ISENÇÕES!A:A,CST!B1183)&gt;0,"ISENÇÃO","SEM ISENÇÃO")</f>
        <v>SEM ISENÇÃO</v>
      </c>
      <c r="F1183" s="18" t="str">
        <f>IF(COUNTIF(REDUÇÕES!A:A,CST!B1183)&gt;0,"REDUÇÃO","NÃO REDUÇÃO")</f>
        <v>NÃO REDUÇÃO</v>
      </c>
      <c r="G1183" s="27">
        <f t="shared" si="19"/>
        <v>0</v>
      </c>
    </row>
    <row r="1184" spans="1:7" x14ac:dyDescent="0.25">
      <c r="A1184" s="120" t="str">
        <f>RIGHT(CSTABLE[[#This Row],[NomeNCM]],8)</f>
        <v>55081000</v>
      </c>
      <c r="B1184" s="7" t="s">
        <v>4348</v>
      </c>
      <c r="C1184" s="3" t="str">
        <f>IFERROR(VLOOKUP(B1184,ST!C:D,2,0),"NÃOST")</f>
        <v>NÃOST</v>
      </c>
      <c r="E1184" s="3" t="str">
        <f>IF(COUNTIF(ISENÇÕES!A:A,CST!B1184)&gt;0,"ISENÇÃO","SEM ISENÇÃO")</f>
        <v>SEM ISENÇÃO</v>
      </c>
      <c r="F1184" s="18" t="str">
        <f>IF(COUNTIF(REDUÇÕES!A:A,CST!B1184)&gt;0,"REDUÇÃO","NÃO REDUÇÃO")</f>
        <v>NÃO REDUÇÃO</v>
      </c>
      <c r="G1184" s="27">
        <f t="shared" si="19"/>
        <v>0</v>
      </c>
    </row>
    <row r="1185" spans="1:7" x14ac:dyDescent="0.25">
      <c r="A1185" s="120" t="str">
        <f>RIGHT(CSTABLE[[#This Row],[NomeNCM]],8)</f>
        <v>56031350</v>
      </c>
      <c r="B1185" s="7" t="s">
        <v>4349</v>
      </c>
      <c r="C1185" s="3" t="str">
        <f>IFERROR(VLOOKUP(B1185,ST!C:D,2,0),"NÃOST")</f>
        <v>NÃOST</v>
      </c>
      <c r="E1185" s="3" t="str">
        <f>IF(COUNTIF(ISENÇÕES!A:A,CST!B1185)&gt;0,"ISENÇÃO","SEM ISENÇÃO")</f>
        <v>SEM ISENÇÃO</v>
      </c>
      <c r="F1185" s="18" t="str">
        <f>IF(COUNTIF(REDUÇÕES!A:A,CST!B1185)&gt;0,"REDUÇÃO","NÃO REDUÇÃO")</f>
        <v>NÃO REDUÇÃO</v>
      </c>
      <c r="G1185" s="27">
        <f t="shared" si="19"/>
        <v>0</v>
      </c>
    </row>
    <row r="1186" spans="1:7" x14ac:dyDescent="0.25">
      <c r="A1186" s="120" t="str">
        <f>RIGHT(CSTABLE[[#This Row],[NomeNCM]],8)</f>
        <v>09096120</v>
      </c>
      <c r="B1186" s="7" t="s">
        <v>4350</v>
      </c>
      <c r="C1186" s="3" t="str">
        <f>IFERROR(VLOOKUP(B1186,ST!C:D,2,0),"NÃOST")</f>
        <v>NÃOST</v>
      </c>
      <c r="E1186" s="3" t="str">
        <f>IF(COUNTIF(ISENÇÕES!A:A,CST!B1186)&gt;0,"ISENÇÃO","SEM ISENÇÃO")</f>
        <v>SEM ISENÇÃO</v>
      </c>
      <c r="F1186" s="18" t="str">
        <f>IF(COUNTIF(REDUÇÕES!A:A,CST!B1186)&gt;0,"REDUÇÃO","NÃO REDUÇÃO")</f>
        <v>NÃO REDUÇÃO</v>
      </c>
      <c r="G1186" s="27">
        <f t="shared" si="19"/>
        <v>0</v>
      </c>
    </row>
    <row r="1187" spans="1:7" x14ac:dyDescent="0.25">
      <c r="A1187" s="120" t="str">
        <f>RIGHT(CSTABLE[[#This Row],[NomeNCM]],8)</f>
        <v>04021010</v>
      </c>
      <c r="B1187" s="7" t="s">
        <v>3307</v>
      </c>
      <c r="C1187" s="3" t="str">
        <f>IFERROR(VLOOKUP(B1187,ST!C:D,2,0),"NÃOST")</f>
        <v>NÃOST</v>
      </c>
      <c r="E1187" s="3" t="str">
        <f>IF(COUNTIF(ISENÇÕES!A:A,CST!B1187)&gt;0,"ISENÇÃO","SEM ISENÇÃO")</f>
        <v>SEM ISENÇÃO</v>
      </c>
      <c r="F1187" s="18" t="str">
        <f>IF(COUNTIF(REDUÇÕES!A:A,CST!B1187)&gt;0,"REDUÇÃO","NÃO REDUÇÃO")</f>
        <v>NÃO REDUÇÃO</v>
      </c>
      <c r="G1187" s="27">
        <f t="shared" si="19"/>
        <v>0</v>
      </c>
    </row>
    <row r="1188" spans="1:7" x14ac:dyDescent="0.25">
      <c r="A1188" s="120" t="str">
        <f>RIGHT(CSTABLE[[#This Row],[NomeNCM]],8)</f>
        <v>34029029</v>
      </c>
      <c r="B1188" s="7" t="s">
        <v>4351</v>
      </c>
      <c r="C1188" s="3" t="str">
        <f>IFERROR(VLOOKUP(B1188,ST!C:D,2,0),"NÃOST")</f>
        <v>NÃOST</v>
      </c>
      <c r="E1188" s="3" t="str">
        <f>IF(COUNTIF(ISENÇÕES!A:A,CST!B1188)&gt;0,"ISENÇÃO","SEM ISENÇÃO")</f>
        <v>SEM ISENÇÃO</v>
      </c>
      <c r="F1188" s="18" t="str">
        <f>IF(COUNTIF(REDUÇÕES!A:A,CST!B1188)&gt;0,"REDUÇÃO","NÃO REDUÇÃO")</f>
        <v>NÃO REDUÇÃO</v>
      </c>
      <c r="G1188" s="27">
        <f t="shared" si="19"/>
        <v>0</v>
      </c>
    </row>
    <row r="1189" spans="1:7" x14ac:dyDescent="0.25">
      <c r="A1189" s="120" t="str">
        <f>RIGHT(CSTABLE[[#This Row],[NomeNCM]],8)</f>
        <v>03028933</v>
      </c>
      <c r="B1189" s="7" t="s">
        <v>3162</v>
      </c>
      <c r="C1189" s="3" t="str">
        <f>IFERROR(VLOOKUP(B1189,ST!C:D,2,0),"NÃOST")</f>
        <v>NÃOST</v>
      </c>
      <c r="E1189" s="3" t="str">
        <f>IF(COUNTIF(ISENÇÕES!A:A,CST!B1189)&gt;0,"ISENÇÃO","SEM ISENÇÃO")</f>
        <v>SEM ISENÇÃO</v>
      </c>
      <c r="F1189" s="18" t="str">
        <f>IF(COUNTIF(REDUÇÕES!A:A,CST!B1189)&gt;0,"REDUÇÃO","NÃO REDUÇÃO")</f>
        <v>NÃO REDUÇÃO</v>
      </c>
      <c r="G1189" s="27">
        <f t="shared" si="19"/>
        <v>0</v>
      </c>
    </row>
    <row r="1190" spans="1:7" x14ac:dyDescent="0.25">
      <c r="A1190" s="120" t="str">
        <f>RIGHT(CSTABLE[[#This Row],[NomeNCM]],8)</f>
        <v>22072020</v>
      </c>
      <c r="B1190" s="7" t="s">
        <v>4352</v>
      </c>
      <c r="C1190" s="3" t="str">
        <f>IFERROR(VLOOKUP(B1190,ST!C:D,2,0),"NÃOST")</f>
        <v>NÃOST</v>
      </c>
      <c r="E1190" s="3" t="str">
        <f>IF(COUNTIF(ISENÇÕES!A:A,CST!B1190)&gt;0,"ISENÇÃO","SEM ISENÇÃO")</f>
        <v>SEM ISENÇÃO</v>
      </c>
      <c r="F1190" s="18" t="str">
        <f>IF(COUNTIF(REDUÇÕES!A:A,CST!B1190)&gt;0,"REDUÇÃO","NÃO REDUÇÃO")</f>
        <v>NÃO REDUÇÃO</v>
      </c>
      <c r="G1190" s="27">
        <f t="shared" si="19"/>
        <v>0</v>
      </c>
    </row>
    <row r="1191" spans="1:7" x14ac:dyDescent="0.25">
      <c r="A1191" s="120" t="str">
        <f>RIGHT(CSTABLE[[#This Row],[NomeNCM]],8)</f>
        <v>49111090</v>
      </c>
      <c r="B1191" s="7" t="s">
        <v>4353</v>
      </c>
      <c r="C1191" s="3" t="str">
        <f>IFERROR(VLOOKUP(B1191,ST!C:D,2,0),"NÃOST")</f>
        <v>NÃOST</v>
      </c>
      <c r="E1191" s="3" t="str">
        <f>IF(COUNTIF(ISENÇÕES!A:A,CST!B1191)&gt;0,"ISENÇÃO","SEM ISENÇÃO")</f>
        <v>SEM ISENÇÃO</v>
      </c>
      <c r="F1191" s="18" t="str">
        <f>IF(COUNTIF(REDUÇÕES!A:A,CST!B1191)&gt;0,"REDUÇÃO","NÃO REDUÇÃO")</f>
        <v>NÃO REDUÇÃO</v>
      </c>
      <c r="G1191" s="27">
        <f t="shared" si="19"/>
        <v>0</v>
      </c>
    </row>
    <row r="1192" spans="1:7" x14ac:dyDescent="0.25">
      <c r="A1192" s="120" t="str">
        <f>RIGHT(CSTABLE[[#This Row],[NomeNCM]],8)</f>
        <v>02022090</v>
      </c>
      <c r="B1192" s="7" t="s">
        <v>3079</v>
      </c>
      <c r="C1192" s="3" t="str">
        <f>IFERROR(VLOOKUP(B1192,ST!C:D,2,0),"NÃOST")</f>
        <v>NÃOST</v>
      </c>
      <c r="E1192" s="3" t="str">
        <f>IF(COUNTIF(ISENÇÕES!A:A,CST!B1192)&gt;0,"ISENÇÃO","SEM ISENÇÃO")</f>
        <v>SEM ISENÇÃO</v>
      </c>
      <c r="F1192" s="18" t="str">
        <f>IF(COUNTIF(REDUÇÕES!A:A,CST!B1192)&gt;0,"REDUÇÃO","NÃO REDUÇÃO")</f>
        <v>NÃO REDUÇÃO</v>
      </c>
      <c r="G1192" s="27">
        <f t="shared" si="19"/>
        <v>0</v>
      </c>
    </row>
    <row r="1193" spans="1:7" x14ac:dyDescent="0.25">
      <c r="A1193" s="120" t="str">
        <f>RIGHT(CSTABLE[[#This Row],[NomeNCM]],8)</f>
        <v>13021930</v>
      </c>
      <c r="B1193" s="7" t="s">
        <v>4354</v>
      </c>
      <c r="C1193" s="3" t="str">
        <f>IFERROR(VLOOKUP(B1193,ST!C:D,2,0),"NÃOST")</f>
        <v>NÃOST</v>
      </c>
      <c r="E1193" s="3" t="str">
        <f>IF(COUNTIF(ISENÇÕES!A:A,CST!B1193)&gt;0,"ISENÇÃO","SEM ISENÇÃO")</f>
        <v>SEM ISENÇÃO</v>
      </c>
      <c r="F1193" s="18" t="str">
        <f>IF(COUNTIF(REDUÇÕES!A:A,CST!B1193)&gt;0,"REDUÇÃO","NÃO REDUÇÃO")</f>
        <v>NÃO REDUÇÃO</v>
      </c>
      <c r="G1193" s="27">
        <f t="shared" si="19"/>
        <v>0</v>
      </c>
    </row>
    <row r="1194" spans="1:7" x14ac:dyDescent="0.25">
      <c r="A1194" s="120" t="str">
        <f>RIGHT(CSTABLE[[#This Row],[NomeNCM]],8)</f>
        <v>28271000</v>
      </c>
      <c r="B1194" s="7" t="s">
        <v>4355</v>
      </c>
      <c r="C1194" s="3" t="str">
        <f>IFERROR(VLOOKUP(B1194,ST!C:D,2,0),"NÃOST")</f>
        <v>NÃOST</v>
      </c>
      <c r="E1194" s="3" t="str">
        <f>IF(COUNTIF(ISENÇÕES!A:A,CST!B1194)&gt;0,"ISENÇÃO","SEM ISENÇÃO")</f>
        <v>SEM ISENÇÃO</v>
      </c>
      <c r="F1194" s="18" t="str">
        <f>IF(COUNTIF(REDUÇÕES!A:A,CST!B1194)&gt;0,"REDUÇÃO","NÃO REDUÇÃO")</f>
        <v>NÃO REDUÇÃO</v>
      </c>
      <c r="G1194" s="27">
        <f t="shared" si="19"/>
        <v>0</v>
      </c>
    </row>
    <row r="1195" spans="1:7" x14ac:dyDescent="0.25">
      <c r="A1195" s="120" t="str">
        <f>RIGHT(CSTABLE[[#This Row],[NomeNCM]],8)</f>
        <v>85061031</v>
      </c>
      <c r="B1195" s="7" t="s">
        <v>4356</v>
      </c>
      <c r="C1195" s="3" t="str">
        <f>IFERROR(VLOOKUP(B1195,ST!C:D,2,0),"NÃOST")</f>
        <v>NÃOST</v>
      </c>
      <c r="E1195" s="3" t="str">
        <f>IF(COUNTIF(ISENÇÕES!A:A,CST!B1195)&gt;0,"ISENÇÃO","SEM ISENÇÃO")</f>
        <v>SEM ISENÇÃO</v>
      </c>
      <c r="F1195" s="18" t="str">
        <f>IF(COUNTIF(REDUÇÕES!A:A,CST!B1195)&gt;0,"REDUÇÃO","NÃO REDUÇÃO")</f>
        <v>NÃO REDUÇÃO</v>
      </c>
      <c r="G1195" s="27">
        <f t="shared" si="19"/>
        <v>0</v>
      </c>
    </row>
    <row r="1196" spans="1:7" x14ac:dyDescent="0.25">
      <c r="A1196" s="120" t="str">
        <f>RIGHT(CSTABLE[[#This Row],[NomeNCM]],8)</f>
        <v>15131100</v>
      </c>
      <c r="B1196" s="7" t="s">
        <v>3577</v>
      </c>
      <c r="C1196" s="3" t="str">
        <f>IFERROR(VLOOKUP(B1196,ST!C:D,2,0),"NÃOST")</f>
        <v>NÃOST</v>
      </c>
      <c r="E1196" s="3" t="str">
        <f>IF(COUNTIF(ISENÇÕES!A:A,CST!B1196)&gt;0,"ISENÇÃO","SEM ISENÇÃO")</f>
        <v>SEM ISENÇÃO</v>
      </c>
      <c r="F1196" s="18" t="str">
        <f>IF(COUNTIF(REDUÇÕES!A:A,CST!B1196)&gt;0,"REDUÇÃO","NÃO REDUÇÃO")</f>
        <v>REDUÇÃO</v>
      </c>
      <c r="G1196" s="27">
        <f t="shared" si="19"/>
        <v>20</v>
      </c>
    </row>
    <row r="1197" spans="1:7" x14ac:dyDescent="0.25">
      <c r="A1197" s="120" t="str">
        <f>RIGHT(CSTABLE[[#This Row],[NomeNCM]],8)</f>
        <v>85364900</v>
      </c>
      <c r="B1197" s="7" t="s">
        <v>2315</v>
      </c>
      <c r="C1197" s="3" t="str">
        <f>IFERROR(VLOOKUP(B1197,ST!C:D,2,0),"NÃOST")</f>
        <v>NÃOST</v>
      </c>
      <c r="E1197" s="3" t="str">
        <f>IF(COUNTIF(ISENÇÕES!A:A,CST!B1197)&gt;0,"ISENÇÃO","SEM ISENÇÃO")</f>
        <v>SEM ISENÇÃO</v>
      </c>
      <c r="F1197" s="18" t="str">
        <f>IF(COUNTIF(REDUÇÕES!A:A,CST!B1197)&gt;0,"REDUÇÃO","NÃO REDUÇÃO")</f>
        <v>REDUÇÃO</v>
      </c>
      <c r="G1197" s="27">
        <f t="shared" si="19"/>
        <v>20</v>
      </c>
    </row>
    <row r="1198" spans="1:7" x14ac:dyDescent="0.25">
      <c r="A1198" s="120" t="str">
        <f>RIGHT(CSTABLE[[#This Row],[NomeNCM]],8)</f>
        <v>03038962</v>
      </c>
      <c r="B1198" s="7" t="s">
        <v>3240</v>
      </c>
      <c r="C1198" s="3" t="str">
        <f>IFERROR(VLOOKUP(B1198,ST!C:D,2,0),"NÃOST")</f>
        <v>NÃOST</v>
      </c>
      <c r="E1198" s="3" t="str">
        <f>IF(COUNTIF(ISENÇÕES!A:A,CST!B1198)&gt;0,"ISENÇÃO","SEM ISENÇÃO")</f>
        <v>SEM ISENÇÃO</v>
      </c>
      <c r="F1198" s="18" t="str">
        <f>IF(COUNTIF(REDUÇÕES!A:A,CST!B1198)&gt;0,"REDUÇÃO","NÃO REDUÇÃO")</f>
        <v>NÃO REDUÇÃO</v>
      </c>
      <c r="G1198" s="27">
        <f t="shared" si="19"/>
        <v>0</v>
      </c>
    </row>
    <row r="1199" spans="1:7" x14ac:dyDescent="0.25">
      <c r="A1199" s="120" t="str">
        <f>RIGHT(CSTABLE[[#This Row],[NomeNCM]],8)</f>
        <v>07082000</v>
      </c>
      <c r="B1199" s="7" t="s">
        <v>3391</v>
      </c>
      <c r="C1199" s="3" t="str">
        <f>IFERROR(VLOOKUP(B1199,ST!C:D,2,0),"NÃOST")</f>
        <v>NÃOST</v>
      </c>
      <c r="E1199" s="3" t="str">
        <f>IF(COUNTIF(ISENÇÕES!A:A,CST!B1199)&gt;0,"ISENÇÃO","SEM ISENÇÃO")</f>
        <v>SEM ISENÇÃO</v>
      </c>
      <c r="F1199" s="18" t="str">
        <f>IF(COUNTIF(REDUÇÕES!A:A,CST!B1199)&gt;0,"REDUÇÃO","NÃO REDUÇÃO")</f>
        <v>REDUÇÃO</v>
      </c>
      <c r="G1199" s="27">
        <f t="shared" si="19"/>
        <v>20</v>
      </c>
    </row>
    <row r="1200" spans="1:7" x14ac:dyDescent="0.25">
      <c r="A1200" s="120" t="str">
        <f>RIGHT(CSTABLE[[#This Row],[NomeNCM]],8)</f>
        <v>52029100</v>
      </c>
      <c r="B1200" s="7" t="s">
        <v>4357</v>
      </c>
      <c r="C1200" s="3" t="str">
        <f>IFERROR(VLOOKUP(B1200,ST!C:D,2,0),"NÃOST")</f>
        <v>NÃOST</v>
      </c>
      <c r="E1200" s="3" t="str">
        <f>IF(COUNTIF(ISENÇÕES!A:A,CST!B1200)&gt;0,"ISENÇÃO","SEM ISENÇÃO")</f>
        <v>SEM ISENÇÃO</v>
      </c>
      <c r="F1200" s="18" t="str">
        <f>IF(COUNTIF(REDUÇÕES!A:A,CST!B1200)&gt;0,"REDUÇÃO","NÃO REDUÇÃO")</f>
        <v>NÃO REDUÇÃO</v>
      </c>
      <c r="G1200" s="27">
        <f t="shared" si="19"/>
        <v>0</v>
      </c>
    </row>
    <row r="1201" spans="1:7" x14ac:dyDescent="0.25">
      <c r="A1201" s="120" t="str">
        <f>RIGHT(CSTABLE[[#This Row],[NomeNCM]],8)</f>
        <v>95066900</v>
      </c>
      <c r="B1201" s="7" t="s">
        <v>4358</v>
      </c>
      <c r="C1201" s="3" t="str">
        <f>IFERROR(VLOOKUP(B1201,ST!C:D,2,0),"NÃOST")</f>
        <v>NÃOST</v>
      </c>
      <c r="E1201" s="3" t="str">
        <f>IF(COUNTIF(ISENÇÕES!A:A,CST!B1201)&gt;0,"ISENÇÃO","SEM ISENÇÃO")</f>
        <v>SEM ISENÇÃO</v>
      </c>
      <c r="F1201" s="18" t="str">
        <f>IF(COUNTIF(REDUÇÕES!A:A,CST!B1201)&gt;0,"REDUÇÃO","NÃO REDUÇÃO")</f>
        <v>NÃO REDUÇÃO</v>
      </c>
      <c r="G1201" s="27">
        <f t="shared" si="19"/>
        <v>0</v>
      </c>
    </row>
    <row r="1202" spans="1:7" x14ac:dyDescent="0.25">
      <c r="A1202" s="120" t="str">
        <f>RIGHT(CSTABLE[[#This Row],[NomeNCM]],8)</f>
        <v>56074100</v>
      </c>
      <c r="B1202" s="7" t="s">
        <v>4359</v>
      </c>
      <c r="C1202" s="3" t="str">
        <f>IFERROR(VLOOKUP(B1202,ST!C:D,2,0),"NÃOST")</f>
        <v>NÃOST</v>
      </c>
      <c r="E1202" s="3" t="str">
        <f>IF(COUNTIF(ISENÇÕES!A:A,CST!B1202)&gt;0,"ISENÇÃO","SEM ISENÇÃO")</f>
        <v>SEM ISENÇÃO</v>
      </c>
      <c r="F1202" s="18" t="str">
        <f>IF(COUNTIF(REDUÇÕES!A:A,CST!B1202)&gt;0,"REDUÇÃO","NÃO REDUÇÃO")</f>
        <v>NÃO REDUÇÃO</v>
      </c>
      <c r="G1202" s="27">
        <f t="shared" si="19"/>
        <v>0</v>
      </c>
    </row>
    <row r="1203" spans="1:7" x14ac:dyDescent="0.25">
      <c r="A1203" s="120" t="str">
        <f>RIGHT(CSTABLE[[#This Row],[NomeNCM]],8)</f>
        <v>06042000</v>
      </c>
      <c r="B1203" s="7" t="s">
        <v>3633</v>
      </c>
      <c r="C1203" s="3" t="str">
        <f>IFERROR(VLOOKUP(B1203,ST!C:D,2,0),"NÃOST")</f>
        <v>NÃOST</v>
      </c>
      <c r="E1203" s="3" t="str">
        <f>IF(COUNTIF(ISENÇÕES!A:A,CST!B1203)&gt;0,"ISENÇÃO","SEM ISENÇÃO")</f>
        <v>ISENÇÃO</v>
      </c>
      <c r="F1203" s="18" t="str">
        <f>IF(COUNTIF(REDUÇÕES!A:A,CST!B1203)&gt;0,"REDUÇÃO","NÃO REDUÇÃO")</f>
        <v>NÃO REDUÇÃO</v>
      </c>
      <c r="G1203" s="27">
        <f t="shared" si="19"/>
        <v>40</v>
      </c>
    </row>
    <row r="1204" spans="1:7" x14ac:dyDescent="0.25">
      <c r="A1204" s="120" t="str">
        <f>RIGHT(CSTABLE[[#This Row],[NomeNCM]],8)</f>
        <v>09042100</v>
      </c>
      <c r="B1204" s="7" t="s">
        <v>3620</v>
      </c>
      <c r="C1204" s="3" t="str">
        <f>IFERROR(VLOOKUP(B1204,ST!C:D,2,0),"NÃOST")</f>
        <v>NÃOST</v>
      </c>
      <c r="E1204" s="3" t="str">
        <f>IF(COUNTIF(ISENÇÕES!A:A,CST!B1204)&gt;0,"ISENÇÃO","SEM ISENÇÃO")</f>
        <v>ISENÇÃO</v>
      </c>
      <c r="F1204" s="18" t="str">
        <f>IF(COUNTIF(REDUÇÕES!A:A,CST!B1204)&gt;0,"REDUÇÃO","NÃO REDUÇÃO")</f>
        <v>NÃO REDUÇÃO</v>
      </c>
      <c r="G1204" s="27">
        <f t="shared" si="19"/>
        <v>40</v>
      </c>
    </row>
    <row r="1205" spans="1:7" x14ac:dyDescent="0.25">
      <c r="A1205" s="120" t="str">
        <f>RIGHT(CSTABLE[[#This Row],[NomeNCM]],8)</f>
        <v>20098900</v>
      </c>
      <c r="B1205" s="7" t="s">
        <v>4360</v>
      </c>
      <c r="C1205" s="3" t="str">
        <f>IFERROR(VLOOKUP(B1205,ST!C:D,2,0),"NÃOST")</f>
        <v>NÃOST</v>
      </c>
      <c r="E1205" s="3" t="str">
        <f>IF(COUNTIF(ISENÇÕES!A:A,CST!B1205)&gt;0,"ISENÇÃO","SEM ISENÇÃO")</f>
        <v>SEM ISENÇÃO</v>
      </c>
      <c r="F1205" s="18" t="str">
        <f>IF(COUNTIF(REDUÇÕES!A:A,CST!B1205)&gt;0,"REDUÇÃO","NÃO REDUÇÃO")</f>
        <v>NÃO REDUÇÃO</v>
      </c>
      <c r="G1205" s="27">
        <f t="shared" si="19"/>
        <v>0</v>
      </c>
    </row>
    <row r="1206" spans="1:7" x14ac:dyDescent="0.25">
      <c r="A1206" s="120" t="str">
        <f>RIGHT(CSTABLE[[#This Row],[NomeNCM]],8)</f>
        <v>20059000</v>
      </c>
      <c r="B1206" s="7" t="s">
        <v>4361</v>
      </c>
      <c r="C1206" s="3" t="str">
        <f>IFERROR(VLOOKUP(B1206,ST!C:D,2,0),"NÃOST")</f>
        <v>NÃOST</v>
      </c>
      <c r="E1206" s="3" t="str">
        <f>IF(COUNTIF(ISENÇÕES!A:A,CST!B1206)&gt;0,"ISENÇÃO","SEM ISENÇÃO")</f>
        <v>SEM ISENÇÃO</v>
      </c>
      <c r="F1206" s="18" t="str">
        <f>IF(COUNTIF(REDUÇÕES!A:A,CST!B1206)&gt;0,"REDUÇÃO","NÃO REDUÇÃO")</f>
        <v>NÃO REDUÇÃO</v>
      </c>
      <c r="G1206" s="27">
        <f t="shared" si="19"/>
        <v>0</v>
      </c>
    </row>
    <row r="1207" spans="1:7" x14ac:dyDescent="0.25">
      <c r="A1207" s="120" t="str">
        <f>RIGHT(CSTABLE[[#This Row],[NomeNCM]],8)</f>
        <v>41128010</v>
      </c>
      <c r="B1207" s="7" t="s">
        <v>4362</v>
      </c>
      <c r="C1207" s="3" t="str">
        <f>IFERROR(VLOOKUP(B1207,ST!C:D,2,0),"NÃOST")</f>
        <v>NÃOST</v>
      </c>
      <c r="E1207" s="3" t="str">
        <f>IF(COUNTIF(ISENÇÕES!A:A,CST!B1207)&gt;0,"ISENÇÃO","SEM ISENÇÃO")</f>
        <v>SEM ISENÇÃO</v>
      </c>
      <c r="F1207" s="18" t="str">
        <f>IF(COUNTIF(REDUÇÕES!A:A,CST!B1207)&gt;0,"REDUÇÃO","NÃO REDUÇÃO")</f>
        <v>NÃO REDUÇÃO</v>
      </c>
      <c r="G1207" s="27">
        <f t="shared" si="19"/>
        <v>0</v>
      </c>
    </row>
    <row r="1208" spans="1:7" x14ac:dyDescent="0.25">
      <c r="A1208" s="120" t="str">
        <f>RIGHT(CSTABLE[[#This Row],[NomeNCM]],8)</f>
        <v>13021910</v>
      </c>
      <c r="B1208" s="7" t="s">
        <v>4363</v>
      </c>
      <c r="C1208" s="3" t="str">
        <f>IFERROR(VLOOKUP(B1208,ST!C:D,2,0),"NÃOST")</f>
        <v>NÃOST</v>
      </c>
      <c r="E1208" s="3" t="str">
        <f>IF(COUNTIF(ISENÇÕES!A:A,CST!B1208)&gt;0,"ISENÇÃO","SEM ISENÇÃO")</f>
        <v>SEM ISENÇÃO</v>
      </c>
      <c r="F1208" s="18" t="str">
        <f>IF(COUNTIF(REDUÇÕES!A:A,CST!B1208)&gt;0,"REDUÇÃO","NÃO REDUÇÃO")</f>
        <v>NÃO REDUÇÃO</v>
      </c>
      <c r="G1208" s="27">
        <f t="shared" si="19"/>
        <v>0</v>
      </c>
    </row>
    <row r="1209" spans="1:7" x14ac:dyDescent="0.25">
      <c r="A1209" s="120" t="str">
        <f>RIGHT(CSTABLE[[#This Row],[NomeNCM]],8)</f>
        <v>71420000</v>
      </c>
      <c r="B1209" s="7" t="s">
        <v>4364</v>
      </c>
      <c r="C1209" s="3" t="str">
        <f>IFERROR(VLOOKUP(B1209,ST!C:D,2,0),"NÃOST")</f>
        <v>NÃOST</v>
      </c>
      <c r="E1209" s="3" t="str">
        <f>IF(COUNTIF(ISENÇÕES!A:A,CST!B1209)&gt;0,"ISENÇÃO","SEM ISENÇÃO")</f>
        <v>SEM ISENÇÃO</v>
      </c>
      <c r="F1209" s="18" t="str">
        <f>IF(COUNTIF(REDUÇÕES!A:A,CST!B1209)&gt;0,"REDUÇÃO","NÃO REDUÇÃO")</f>
        <v>NÃO REDUÇÃO</v>
      </c>
      <c r="G1209" s="27">
        <f t="shared" si="19"/>
        <v>0</v>
      </c>
    </row>
    <row r="1210" spans="1:7" x14ac:dyDescent="0.25">
      <c r="A1210" s="120" t="str">
        <f>RIGHT(CSTABLE[[#This Row],[NomeNCM]],8)</f>
        <v>07095900</v>
      </c>
      <c r="B1210" s="7" t="s">
        <v>3392</v>
      </c>
      <c r="C1210" s="3" t="str">
        <f>IFERROR(VLOOKUP(B1210,ST!C:D,2,0),"NÃOST")</f>
        <v>NÃOST</v>
      </c>
      <c r="E1210" s="3" t="str">
        <f>IF(COUNTIF(ISENÇÕES!A:A,CST!B1210)&gt;0,"ISENÇÃO","SEM ISENÇÃO")</f>
        <v>ISENÇÃO</v>
      </c>
      <c r="F1210" s="18" t="str">
        <f>IF(COUNTIF(REDUÇÕES!A:A,CST!B1210)&gt;0,"REDUÇÃO","NÃO REDUÇÃO")</f>
        <v>NÃO REDUÇÃO</v>
      </c>
      <c r="G1210" s="27">
        <f t="shared" si="19"/>
        <v>40</v>
      </c>
    </row>
    <row r="1211" spans="1:7" x14ac:dyDescent="0.25">
      <c r="A1211" s="120" t="str">
        <f>RIGHT(CSTABLE[[#This Row],[NomeNCM]],8)</f>
        <v>38085910</v>
      </c>
      <c r="B1211" s="7" t="s">
        <v>4365</v>
      </c>
      <c r="C1211" s="3" t="str">
        <f>IFERROR(VLOOKUP(B1211,ST!C:D,2,0),"NÃOST")</f>
        <v>NÃOST</v>
      </c>
      <c r="E1211" s="3" t="str">
        <f>IF(COUNTIF(ISENÇÕES!A:A,CST!B1211)&gt;0,"ISENÇÃO","SEM ISENÇÃO")</f>
        <v>SEM ISENÇÃO</v>
      </c>
      <c r="F1211" s="18" t="str">
        <f>IF(COUNTIF(REDUÇÕES!A:A,CST!B1211)&gt;0,"REDUÇÃO","NÃO REDUÇÃO")</f>
        <v>NÃO REDUÇÃO</v>
      </c>
      <c r="G1211" s="27">
        <f t="shared" si="19"/>
        <v>0</v>
      </c>
    </row>
    <row r="1212" spans="1:7" x14ac:dyDescent="0.25">
      <c r="A1212" s="120" t="str">
        <f>RIGHT(CSTABLE[[#This Row],[NomeNCM]],8)</f>
        <v>38085010</v>
      </c>
      <c r="B1212" s="7" t="s">
        <v>4366</v>
      </c>
      <c r="C1212" s="3" t="str">
        <f>IFERROR(VLOOKUP(B1212,ST!C:D,2,0),"NÃOST")</f>
        <v>NÃOST</v>
      </c>
      <c r="E1212" s="3" t="str">
        <f>IF(COUNTIF(ISENÇÕES!A:A,CST!B1212)&gt;0,"ISENÇÃO","SEM ISENÇÃO")</f>
        <v>SEM ISENÇÃO</v>
      </c>
      <c r="F1212" s="18" t="str">
        <f>IF(COUNTIF(REDUÇÕES!A:A,CST!B1212)&gt;0,"REDUÇÃO","NÃO REDUÇÃO")</f>
        <v>NÃO REDUÇÃO</v>
      </c>
      <c r="G1212" s="27">
        <f t="shared" si="19"/>
        <v>0</v>
      </c>
    </row>
    <row r="1213" spans="1:7" x14ac:dyDescent="0.25">
      <c r="A1213" s="120" t="str">
        <f>RIGHT(CSTABLE[[#This Row],[NomeNCM]],8)</f>
        <v>85443000</v>
      </c>
      <c r="B1213" s="7" t="s">
        <v>4367</v>
      </c>
      <c r="C1213" s="3" t="str">
        <f>IFERROR(VLOOKUP(B1213,ST!C:D,2,0),"NÃOST")</f>
        <v>NÃOST</v>
      </c>
      <c r="E1213" s="3" t="str">
        <f>IF(COUNTIF(ISENÇÕES!A:A,CST!B1213)&gt;0,"ISENÇÃO","SEM ISENÇÃO")</f>
        <v>SEM ISENÇÃO</v>
      </c>
      <c r="F1213" s="18" t="str">
        <f>IF(COUNTIF(REDUÇÕES!A:A,CST!B1213)&gt;0,"REDUÇÃO","NÃO REDUÇÃO")</f>
        <v>NÃO REDUÇÃO</v>
      </c>
      <c r="G1213" s="27">
        <f t="shared" si="19"/>
        <v>0</v>
      </c>
    </row>
    <row r="1214" spans="1:7" x14ac:dyDescent="0.25">
      <c r="A1214" s="120" t="str">
        <f>RIGHT(CSTABLE[[#This Row],[NomeNCM]],8)</f>
        <v>08045000</v>
      </c>
      <c r="B1214" s="7" t="s">
        <v>3395</v>
      </c>
      <c r="C1214" s="3" t="str">
        <f>IFERROR(VLOOKUP(B1214,ST!C:D,2,0),"NÃOST")</f>
        <v>NÃOST</v>
      </c>
      <c r="E1214" s="3" t="str">
        <f>IF(COUNTIF(ISENÇÕES!A:A,CST!B1214)&gt;0,"ISENÇÃO","SEM ISENÇÃO")</f>
        <v>ISENÇÃO</v>
      </c>
      <c r="F1214" s="18" t="str">
        <f>IF(COUNTIF(REDUÇÕES!A:A,CST!B1214)&gt;0,"REDUÇÃO","NÃO REDUÇÃO")</f>
        <v>NÃO REDUÇÃO</v>
      </c>
      <c r="G1214" s="27">
        <f t="shared" si="19"/>
        <v>40</v>
      </c>
    </row>
    <row r="1215" spans="1:7" x14ac:dyDescent="0.25">
      <c r="A1215" s="120" t="str">
        <f>RIGHT(CSTABLE[[#This Row],[NomeNCM]],8)</f>
        <v>06029089</v>
      </c>
      <c r="B1215" s="7" t="s">
        <v>3630</v>
      </c>
      <c r="C1215" s="3" t="str">
        <f>IFERROR(VLOOKUP(B1215,ST!C:D,2,0),"NÃOST")</f>
        <v>NÃOST</v>
      </c>
      <c r="E1215" s="3" t="str">
        <f>IF(COUNTIF(ISENÇÕES!A:A,CST!B1215)&gt;0,"ISENÇÃO","SEM ISENÇÃO")</f>
        <v>ISENÇÃO</v>
      </c>
      <c r="F1215" s="18" t="str">
        <f>IF(COUNTIF(REDUÇÕES!A:A,CST!B1215)&gt;0,"REDUÇÃO","NÃO REDUÇÃO")</f>
        <v>NÃO REDUÇÃO</v>
      </c>
      <c r="G1215" s="27">
        <f t="shared" si="19"/>
        <v>40</v>
      </c>
    </row>
    <row r="1216" spans="1:7" x14ac:dyDescent="0.25">
      <c r="A1216" s="120" t="str">
        <f>RIGHT(CSTABLE[[#This Row],[NomeNCM]],8)</f>
        <v>03046290</v>
      </c>
      <c r="B1216" s="7" t="s">
        <v>3272</v>
      </c>
      <c r="C1216" s="3" t="str">
        <f>IFERROR(VLOOKUP(B1216,ST!C:D,2,0),"NÃOST")</f>
        <v>NÃOST</v>
      </c>
      <c r="E1216" s="3" t="str">
        <f>IF(COUNTIF(ISENÇÕES!A:A,CST!B1216)&gt;0,"ISENÇÃO","SEM ISENÇÃO")</f>
        <v>SEM ISENÇÃO</v>
      </c>
      <c r="F1216" s="18" t="str">
        <f>IF(COUNTIF(REDUÇÕES!A:A,CST!B1216)&gt;0,"REDUÇÃO","NÃO REDUÇÃO")</f>
        <v>NÃO REDUÇÃO</v>
      </c>
      <c r="G1216" s="27">
        <f t="shared" si="19"/>
        <v>0</v>
      </c>
    </row>
    <row r="1217" spans="1:7" x14ac:dyDescent="0.25">
      <c r="A1217" s="120" t="str">
        <f>RIGHT(CSTABLE[[#This Row],[NomeNCM]],8)</f>
        <v>44191100</v>
      </c>
      <c r="B1217" s="7" t="s">
        <v>4368</v>
      </c>
      <c r="C1217" s="3" t="str">
        <f>IFERROR(VLOOKUP(B1217,ST!C:D,2,0),"NÃOST")</f>
        <v>NÃOST</v>
      </c>
      <c r="E1217" s="3" t="str">
        <f>IF(COUNTIF(ISENÇÕES!A:A,CST!B1217)&gt;0,"ISENÇÃO","SEM ISENÇÃO")</f>
        <v>SEM ISENÇÃO</v>
      </c>
      <c r="F1217" s="18" t="str">
        <f>IF(COUNTIF(REDUÇÕES!A:A,CST!B1217)&gt;0,"REDUÇÃO","NÃO REDUÇÃO")</f>
        <v>NÃO REDUÇÃO</v>
      </c>
      <c r="G1217" s="27">
        <f t="shared" si="19"/>
        <v>0</v>
      </c>
    </row>
    <row r="1218" spans="1:7" x14ac:dyDescent="0.25">
      <c r="A1218" s="120" t="str">
        <f>RIGHT(CSTABLE[[#This Row],[NomeNCM]],8)</f>
        <v>04071100</v>
      </c>
      <c r="B1218" s="7" t="s">
        <v>3615</v>
      </c>
      <c r="C1218" s="3" t="str">
        <f>IFERROR(VLOOKUP(B1218,ST!C:D,2,0),"NÃOST")</f>
        <v>NÃOST</v>
      </c>
      <c r="E1218" s="3" t="str">
        <f>IF(COUNTIF(ISENÇÕES!A:A,CST!B1218)&gt;0,"ISENÇÃO","SEM ISENÇÃO")</f>
        <v>ISENÇÃO</v>
      </c>
      <c r="F1218" s="18" t="str">
        <f>IF(COUNTIF(REDUÇÕES!A:A,CST!B1218)&gt;0,"REDUÇÃO","NÃO REDUÇÃO")</f>
        <v>NÃO REDUÇÃO</v>
      </c>
      <c r="G1218" s="27">
        <f t="shared" si="19"/>
        <v>40</v>
      </c>
    </row>
    <row r="1219" spans="1:7" x14ac:dyDescent="0.25">
      <c r="A1219" s="120" t="str">
        <f>RIGHT(CSTABLE[[#This Row],[NomeNCM]],8)</f>
        <v>08010000</v>
      </c>
      <c r="B1219" s="7" t="s">
        <v>3394</v>
      </c>
      <c r="C1219" s="3" t="str">
        <f>IFERROR(VLOOKUP(B1219,ST!C:D,2,0),"NÃOST")</f>
        <v>NÃOST</v>
      </c>
      <c r="E1219" s="3" t="str">
        <f>IF(COUNTIF(ISENÇÕES!A:A,CST!B1219)&gt;0,"ISENÇÃO","SEM ISENÇÃO")</f>
        <v>SEM ISENÇÃO</v>
      </c>
      <c r="F1219" s="18" t="str">
        <f>IF(COUNTIF(REDUÇÕES!A:A,CST!B1219)&gt;0,"REDUÇÃO","NÃO REDUÇÃO")</f>
        <v>NÃO REDUÇÃO</v>
      </c>
      <c r="G1219" s="27">
        <f t="shared" si="19"/>
        <v>0</v>
      </c>
    </row>
    <row r="1220" spans="1:7" x14ac:dyDescent="0.25">
      <c r="A1220" s="120" t="str">
        <f>RIGHT(CSTABLE[[#This Row],[NomeNCM]],8)</f>
        <v>03036990</v>
      </c>
      <c r="B1220" s="7" t="s">
        <v>3213</v>
      </c>
      <c r="C1220" s="3" t="str">
        <f>IFERROR(VLOOKUP(B1220,ST!C:D,2,0),"NÃOST")</f>
        <v>NÃOST</v>
      </c>
      <c r="E1220" s="3" t="str">
        <f>IF(COUNTIF(ISENÇÕES!A:A,CST!B1220)&gt;0,"ISENÇÃO","SEM ISENÇÃO")</f>
        <v>SEM ISENÇÃO</v>
      </c>
      <c r="F1220" s="18" t="str">
        <f>IF(COUNTIF(REDUÇÕES!A:A,CST!B1220)&gt;0,"REDUÇÃO","NÃO REDUÇÃO")</f>
        <v>NÃO REDUÇÃO</v>
      </c>
      <c r="G1220" s="27">
        <f t="shared" si="19"/>
        <v>0</v>
      </c>
    </row>
    <row r="1221" spans="1:7" x14ac:dyDescent="0.25">
      <c r="A1221" s="120" t="str">
        <f>RIGHT(CSTABLE[[#This Row],[NomeNCM]],8)</f>
        <v>03055310</v>
      </c>
      <c r="B1221" s="7" t="s">
        <v>3491</v>
      </c>
      <c r="C1221" s="3" t="str">
        <f>IFERROR(VLOOKUP(B1221,ST!C:D,2,0),"NÃOST")</f>
        <v>NÃOST</v>
      </c>
      <c r="E1221" s="3" t="str">
        <f>IF(COUNTIF(ISENÇÕES!A:A,CST!B1221)&gt;0,"ISENÇÃO","SEM ISENÇÃO")</f>
        <v>SEM ISENÇÃO</v>
      </c>
      <c r="F1221" s="18" t="str">
        <f>IF(COUNTIF(REDUÇÕES!A:A,CST!B1221)&gt;0,"REDUÇÃO","NÃO REDUÇÃO")</f>
        <v>NÃO REDUÇÃO</v>
      </c>
      <c r="G1221" s="27">
        <f t="shared" si="19"/>
        <v>0</v>
      </c>
    </row>
    <row r="1222" spans="1:7" x14ac:dyDescent="0.25">
      <c r="A1222" s="120" t="str">
        <f>RIGHT(CSTABLE[[#This Row],[NomeNCM]],8)</f>
        <v>03038190</v>
      </c>
      <c r="B1222" s="7" t="s">
        <v>3220</v>
      </c>
      <c r="C1222" s="3" t="str">
        <f>IFERROR(VLOOKUP(B1222,ST!C:D,2,0),"NÃOST")</f>
        <v>NÃOST</v>
      </c>
      <c r="E1222" s="3" t="str">
        <f>IF(COUNTIF(ISENÇÕES!A:A,CST!B1222)&gt;0,"ISENÇÃO","SEM ISENÇÃO")</f>
        <v>SEM ISENÇÃO</v>
      </c>
      <c r="F1222" s="18" t="str">
        <f>IF(COUNTIF(REDUÇÕES!A:A,CST!B1222)&gt;0,"REDUÇÃO","NÃO REDUÇÃO")</f>
        <v>NÃO REDUÇÃO</v>
      </c>
      <c r="G1222" s="27">
        <f t="shared" si="19"/>
        <v>0</v>
      </c>
    </row>
    <row r="1223" spans="1:7" x14ac:dyDescent="0.25">
      <c r="A1223" s="120" t="str">
        <f>RIGHT(CSTABLE[[#This Row],[NomeNCM]],8)</f>
        <v>14011000</v>
      </c>
      <c r="B1223" s="7" t="s">
        <v>4369</v>
      </c>
      <c r="C1223" s="3" t="str">
        <f>IFERROR(VLOOKUP(B1223,ST!C:D,2,0),"NÃOST")</f>
        <v>NÃOST</v>
      </c>
      <c r="E1223" s="3" t="str">
        <f>IF(COUNTIF(ISENÇÕES!A:A,CST!B1223)&gt;0,"ISENÇÃO","SEM ISENÇÃO")</f>
        <v>SEM ISENÇÃO</v>
      </c>
      <c r="F1223" s="18" t="str">
        <f>IF(COUNTIF(REDUÇÕES!A:A,CST!B1223)&gt;0,"REDUÇÃO","NÃO REDUÇÃO")</f>
        <v>NÃO REDUÇÃO</v>
      </c>
      <c r="G1223" s="27">
        <f t="shared" si="19"/>
        <v>0</v>
      </c>
    </row>
    <row r="1224" spans="1:7" x14ac:dyDescent="0.25">
      <c r="A1224" s="120" t="str">
        <f>RIGHT(CSTABLE[[#This Row],[NomeNCM]],8)</f>
        <v>95010000</v>
      </c>
      <c r="B1224" s="7" t="s">
        <v>4370</v>
      </c>
      <c r="C1224" s="3" t="str">
        <f>IFERROR(VLOOKUP(B1224,ST!C:D,2,0),"NÃOST")</f>
        <v>NÃOST</v>
      </c>
      <c r="E1224" s="3" t="str">
        <f>IF(COUNTIF(ISENÇÕES!A:A,CST!B1224)&gt;0,"ISENÇÃO","SEM ISENÇÃO")</f>
        <v>SEM ISENÇÃO</v>
      </c>
      <c r="F1224" s="18" t="str">
        <f>IF(COUNTIF(REDUÇÕES!A:A,CST!B1224)&gt;0,"REDUÇÃO","NÃO REDUÇÃO")</f>
        <v>NÃO REDUÇÃO</v>
      </c>
      <c r="G1224" s="27">
        <f t="shared" si="19"/>
        <v>0</v>
      </c>
    </row>
    <row r="1225" spans="1:7" x14ac:dyDescent="0.25">
      <c r="A1225" s="120" t="str">
        <f>RIGHT(CSTABLE[[#This Row],[NomeNCM]],8)</f>
        <v>95030020</v>
      </c>
      <c r="B1225" s="7" t="s">
        <v>4371</v>
      </c>
      <c r="C1225" s="3" t="str">
        <f>IFERROR(VLOOKUP(B1225,ST!C:D,2,0),"NÃOST")</f>
        <v>NÃOST</v>
      </c>
      <c r="E1225" s="3" t="str">
        <f>IF(COUNTIF(ISENÇÕES!A:A,CST!B1225)&gt;0,"ISENÇÃO","SEM ISENÇÃO")</f>
        <v>SEM ISENÇÃO</v>
      </c>
      <c r="F1225" s="18" t="str">
        <f>IF(COUNTIF(REDUÇÕES!A:A,CST!B1225)&gt;0,"REDUÇÃO","NÃO REDUÇÃO")</f>
        <v>NÃO REDUÇÃO</v>
      </c>
      <c r="G1225" s="27">
        <f t="shared" si="19"/>
        <v>0</v>
      </c>
    </row>
    <row r="1226" spans="1:7" x14ac:dyDescent="0.25">
      <c r="A1226" s="120" t="str">
        <f>RIGHT(CSTABLE[[#This Row],[NomeNCM]],8)</f>
        <v>07115100</v>
      </c>
      <c r="B1226" s="7" t="s">
        <v>4372</v>
      </c>
      <c r="C1226" s="3" t="str">
        <f>IFERROR(VLOOKUP(B1226,ST!C:D,2,0),"NÃOST")</f>
        <v>NÃOST</v>
      </c>
      <c r="E1226" s="3" t="str">
        <f>IF(COUNTIF(ISENÇÕES!A:A,CST!B1226)&gt;0,"ISENÇÃO","SEM ISENÇÃO")</f>
        <v>SEM ISENÇÃO</v>
      </c>
      <c r="F1226" s="18" t="str">
        <f>IF(COUNTIF(REDUÇÕES!A:A,CST!B1226)&gt;0,"REDUÇÃO","NÃO REDUÇÃO")</f>
        <v>NÃO REDUÇÃO</v>
      </c>
      <c r="G1226" s="27">
        <f t="shared" si="19"/>
        <v>0</v>
      </c>
    </row>
    <row r="1227" spans="1:7" x14ac:dyDescent="0.25">
      <c r="A1227" s="120" t="str">
        <f>RIGHT(CSTABLE[[#This Row],[NomeNCM]],8)</f>
        <v>36049090</v>
      </c>
      <c r="B1227" s="7" t="s">
        <v>4373</v>
      </c>
      <c r="C1227" s="3" t="str">
        <f>IFERROR(VLOOKUP(B1227,ST!C:D,2,0),"NÃOST")</f>
        <v>NÃOST</v>
      </c>
      <c r="E1227" s="3" t="str">
        <f>IF(COUNTIF(ISENÇÕES!A:A,CST!B1227)&gt;0,"ISENÇÃO","SEM ISENÇÃO")</f>
        <v>SEM ISENÇÃO</v>
      </c>
      <c r="F1227" s="18" t="str">
        <f>IF(COUNTIF(REDUÇÕES!A:A,CST!B1227)&gt;0,"REDUÇÃO","NÃO REDUÇÃO")</f>
        <v>NÃO REDUÇÃO</v>
      </c>
      <c r="G1227" s="27">
        <f t="shared" si="19"/>
        <v>0</v>
      </c>
    </row>
    <row r="1228" spans="1:7" x14ac:dyDescent="0.25">
      <c r="A1228" s="120" t="str">
        <f>RIGHT(CSTABLE[[#This Row],[NomeNCM]],8)</f>
        <v>64034000</v>
      </c>
      <c r="B1228" s="7" t="s">
        <v>4374</v>
      </c>
      <c r="C1228" s="3" t="str">
        <f>IFERROR(VLOOKUP(B1228,ST!C:D,2,0),"NÃOST")</f>
        <v>NÃOST</v>
      </c>
      <c r="E1228" s="3" t="str">
        <f>IF(COUNTIF(ISENÇÕES!A:A,CST!B1228)&gt;0,"ISENÇÃO","SEM ISENÇÃO")</f>
        <v>SEM ISENÇÃO</v>
      </c>
      <c r="F1228" s="18" t="str">
        <f>IF(COUNTIF(REDUÇÕES!A:A,CST!B1228)&gt;0,"REDUÇÃO","NÃO REDUÇÃO")</f>
        <v>NÃO REDUÇÃO</v>
      </c>
      <c r="G1228" s="27">
        <f t="shared" si="19"/>
        <v>0</v>
      </c>
    </row>
    <row r="1229" spans="1:7" x14ac:dyDescent="0.25">
      <c r="A1229" s="120" t="str">
        <f>RIGHT(CSTABLE[[#This Row],[NomeNCM]],8)</f>
        <v>39199090</v>
      </c>
      <c r="B1229" s="7" t="s">
        <v>4375</v>
      </c>
      <c r="C1229" s="3" t="str">
        <f>IFERROR(VLOOKUP(B1229,ST!C:D,2,0),"NÃOST")</f>
        <v>NÃOST</v>
      </c>
      <c r="E1229" s="3" t="str">
        <f>IF(COUNTIF(ISENÇÕES!A:A,CST!B1229)&gt;0,"ISENÇÃO","SEM ISENÇÃO")</f>
        <v>SEM ISENÇÃO</v>
      </c>
      <c r="F1229" s="18" t="str">
        <f>IF(COUNTIF(REDUÇÕES!A:A,CST!B1229)&gt;0,"REDUÇÃO","NÃO REDUÇÃO")</f>
        <v>NÃO REDUÇÃO</v>
      </c>
      <c r="G1229" s="27">
        <f t="shared" si="19"/>
        <v>0</v>
      </c>
    </row>
    <row r="1230" spans="1:7" x14ac:dyDescent="0.25">
      <c r="A1230" s="120" t="str">
        <f>RIGHT(CSTABLE[[#This Row],[NomeNCM]],8)</f>
        <v>09061000</v>
      </c>
      <c r="B1230" s="7" t="s">
        <v>4376</v>
      </c>
      <c r="C1230" s="3" t="str">
        <f>IFERROR(VLOOKUP(B1230,ST!C:D,2,0),"NÃOST")</f>
        <v>NÃOST</v>
      </c>
      <c r="E1230" s="3" t="str">
        <f>IF(COUNTIF(ISENÇÕES!A:A,CST!B1230)&gt;0,"ISENÇÃO","SEM ISENÇÃO")</f>
        <v>SEM ISENÇÃO</v>
      </c>
      <c r="F1230" s="18" t="str">
        <f>IF(COUNTIF(REDUÇÕES!A:A,CST!B1230)&gt;0,"REDUÇÃO","NÃO REDUÇÃO")</f>
        <v>NÃO REDUÇÃO</v>
      </c>
      <c r="G1230" s="27">
        <f t="shared" si="19"/>
        <v>0</v>
      </c>
    </row>
    <row r="1231" spans="1:7" x14ac:dyDescent="0.25">
      <c r="A1231" s="120" t="str">
        <f>RIGHT(CSTABLE[[#This Row],[NomeNCM]],8)</f>
        <v>40700900</v>
      </c>
      <c r="B1231" s="7" t="s">
        <v>4377</v>
      </c>
      <c r="C1231" s="3" t="str">
        <f>IFERROR(VLOOKUP(B1231,ST!C:D,2,0),"NÃOST")</f>
        <v>NÃOST</v>
      </c>
      <c r="E1231" s="3" t="str">
        <f>IF(COUNTIF(ISENÇÕES!A:A,CST!B1231)&gt;0,"ISENÇÃO","SEM ISENÇÃO")</f>
        <v>SEM ISENÇÃO</v>
      </c>
      <c r="F1231" s="18" t="str">
        <f>IF(COUNTIF(REDUÇÕES!A:A,CST!B1231)&gt;0,"REDUÇÃO","NÃO REDUÇÃO")</f>
        <v>NÃO REDUÇÃO</v>
      </c>
      <c r="G1231" s="27">
        <f>VLOOKUP(C1231&amp;F1231&amp;E1231,$B$3:$F$10,5,0)</f>
        <v>0</v>
      </c>
    </row>
    <row r="1232" spans="1:7" x14ac:dyDescent="0.25">
      <c r="A1232" s="120" t="str">
        <f>RIGHT(CSTABLE[[#This Row],[NomeNCM]],8)</f>
        <v>15012010</v>
      </c>
      <c r="B1232" s="7" t="s">
        <v>4378</v>
      </c>
      <c r="C1232" s="3" t="str">
        <f>IFERROR(VLOOKUP(B1232,ST!C:D,2,0),"NÃOST")</f>
        <v>NÃOST</v>
      </c>
      <c r="E1232" s="3" t="str">
        <f>IF(COUNTIF(ISENÇÕES!A:A,CST!B1232)&gt;0,"ISENÇÃO","SEM ISENÇÃO")</f>
        <v>SEM ISENÇÃO</v>
      </c>
      <c r="F1232" s="18" t="str">
        <f>IF(COUNTIF(REDUÇÕES!A:A,CST!B1232)&gt;0,"REDUÇÃO","NÃO REDUÇÃO")</f>
        <v>NÃO REDUÇÃO</v>
      </c>
      <c r="G1232" s="27">
        <f t="shared" ref="G1232:G1294" si="20">VLOOKUP(C1232&amp;F1232&amp;E1232,$B$3:$F$10,5,0)</f>
        <v>0</v>
      </c>
    </row>
    <row r="1233" spans="1:7" x14ac:dyDescent="0.25">
      <c r="A1233" s="120" t="str">
        <f>RIGHT(CSTABLE[[#This Row],[NomeNCM]],8)</f>
        <v>99999900</v>
      </c>
      <c r="B1233" s="7" t="s">
        <v>4379</v>
      </c>
      <c r="C1233" s="3" t="str">
        <f>IFERROR(VLOOKUP(B1233,ST!C:D,2,0),"NÃOST")</f>
        <v>NÃOST</v>
      </c>
      <c r="E1233" s="3" t="str">
        <f>IF(COUNTIF(ISENÇÕES!A:A,CST!B1233)&gt;0,"ISENÇÃO","SEM ISENÇÃO")</f>
        <v>SEM ISENÇÃO</v>
      </c>
      <c r="F1233" s="18" t="str">
        <f>IF(COUNTIF(REDUÇÕES!A:A,CST!B1233)&gt;0,"REDUÇÃO","NÃO REDUÇÃO")</f>
        <v>NÃO REDUÇÃO</v>
      </c>
      <c r="G1233" s="27">
        <f t="shared" si="20"/>
        <v>0</v>
      </c>
    </row>
    <row r="1234" spans="1:7" x14ac:dyDescent="0.25">
      <c r="A1234" s="120" t="str">
        <f>RIGHT(CSTABLE[[#This Row],[NomeNCM]],8)</f>
        <v>56031330</v>
      </c>
      <c r="B1234" s="7" t="s">
        <v>4380</v>
      </c>
      <c r="C1234" s="3" t="str">
        <f>IFERROR(VLOOKUP(B1234,ST!C:D,2,0),"NÃOST")</f>
        <v>NÃOST</v>
      </c>
      <c r="E1234" s="3" t="str">
        <f>IF(COUNTIF(ISENÇÕES!A:A,CST!B1234)&gt;0,"ISENÇÃO","SEM ISENÇÃO")</f>
        <v>SEM ISENÇÃO</v>
      </c>
      <c r="F1234" s="18" t="str">
        <f>IF(COUNTIF(REDUÇÕES!A:A,CST!B1234)&gt;0,"REDUÇÃO","NÃO REDUÇÃO")</f>
        <v>NÃO REDUÇÃO</v>
      </c>
      <c r="G1234" s="27">
        <f t="shared" si="20"/>
        <v>0</v>
      </c>
    </row>
    <row r="1235" spans="1:7" x14ac:dyDescent="0.25">
      <c r="A1235" s="120" t="str">
        <f>RIGHT(CSTABLE[[#This Row],[NomeNCM]],8)</f>
        <v>87059010</v>
      </c>
      <c r="B1235" s="7" t="s">
        <v>4381</v>
      </c>
      <c r="C1235" s="3" t="str">
        <f>IFERROR(VLOOKUP(B1235,ST!C:D,2,0),"NÃOST")</f>
        <v>NÃOST</v>
      </c>
      <c r="E1235" s="3" t="str">
        <f>IF(COUNTIF(ISENÇÕES!A:A,CST!B1235)&gt;0,"ISENÇÃO","SEM ISENÇÃO")</f>
        <v>SEM ISENÇÃO</v>
      </c>
      <c r="F1235" s="18" t="str">
        <f>IF(COUNTIF(REDUÇÕES!A:A,CST!B1235)&gt;0,"REDUÇÃO","NÃO REDUÇÃO")</f>
        <v>NÃO REDUÇÃO</v>
      </c>
      <c r="G1235" s="27">
        <f t="shared" si="20"/>
        <v>0</v>
      </c>
    </row>
    <row r="1236" spans="1:7" x14ac:dyDescent="0.25">
      <c r="A1236" s="120" t="str">
        <f>RIGHT(CSTABLE[[#This Row],[NomeNCM]],8)</f>
        <v>07052100</v>
      </c>
      <c r="B1236" s="7" t="s">
        <v>3616</v>
      </c>
      <c r="C1236" s="3" t="str">
        <f>IFERROR(VLOOKUP(B1236,ST!C:D,2,0),"NÃOST")</f>
        <v>NÃOST</v>
      </c>
      <c r="E1236" s="3" t="str">
        <f>IF(COUNTIF(ISENÇÕES!A:A,CST!B1236)&gt;0,"ISENÇÃO","SEM ISENÇÃO")</f>
        <v>ISENÇÃO</v>
      </c>
      <c r="F1236" s="18" t="str">
        <f>IF(COUNTIF(REDUÇÕES!A:A,CST!B1236)&gt;0,"REDUÇÃO","NÃO REDUÇÃO")</f>
        <v>NÃO REDUÇÃO</v>
      </c>
      <c r="G1236" s="27">
        <f t="shared" si="20"/>
        <v>40</v>
      </c>
    </row>
    <row r="1237" spans="1:7" x14ac:dyDescent="0.25">
      <c r="A1237" s="120" t="str">
        <f>RIGHT(CSTABLE[[#This Row],[NomeNCM]],8)</f>
        <v>70109022</v>
      </c>
      <c r="B1237" s="7" t="s">
        <v>4382</v>
      </c>
      <c r="C1237" s="3" t="str">
        <f>IFERROR(VLOOKUP(B1237,ST!C:D,2,0),"NÃOST")</f>
        <v>NÃOST</v>
      </c>
      <c r="E1237" s="3" t="str">
        <f>IF(COUNTIF(ISENÇÕES!A:A,CST!B1237)&gt;0,"ISENÇÃO","SEM ISENÇÃO")</f>
        <v>SEM ISENÇÃO</v>
      </c>
      <c r="F1237" s="18" t="str">
        <f>IF(COUNTIF(REDUÇÕES!A:A,CST!B1237)&gt;0,"REDUÇÃO","NÃO REDUÇÃO")</f>
        <v>NÃO REDUÇÃO</v>
      </c>
      <c r="G1237" s="27">
        <f t="shared" si="20"/>
        <v>0</v>
      </c>
    </row>
    <row r="1238" spans="1:7" x14ac:dyDescent="0.25">
      <c r="A1238" s="120" t="str">
        <f>RIGHT(CSTABLE[[#This Row],[NomeNCM]],8)</f>
        <v>90184912</v>
      </c>
      <c r="B1238" s="7" t="s">
        <v>4383</v>
      </c>
      <c r="C1238" s="3" t="str">
        <f>IFERROR(VLOOKUP(B1238,ST!C:D,2,0),"NÃOST")</f>
        <v>NÃOST</v>
      </c>
      <c r="E1238" s="3" t="str">
        <f>IF(COUNTIF(ISENÇÕES!A:A,CST!B1238)&gt;0,"ISENÇÃO","SEM ISENÇÃO")</f>
        <v>SEM ISENÇÃO</v>
      </c>
      <c r="F1238" s="18" t="str">
        <f>IF(COUNTIF(REDUÇÕES!A:A,CST!B1238)&gt;0,"REDUÇÃO","NÃO REDUÇÃO")</f>
        <v>NÃO REDUÇÃO</v>
      </c>
      <c r="G1238" s="27">
        <f t="shared" si="20"/>
        <v>0</v>
      </c>
    </row>
    <row r="1239" spans="1:7" x14ac:dyDescent="0.25">
      <c r="A1239" s="120" t="str">
        <f>RIGHT(CSTABLE[[#This Row],[NomeNCM]],8)</f>
        <v>48025599</v>
      </c>
      <c r="B1239" s="7" t="s">
        <v>4384</v>
      </c>
      <c r="C1239" s="3" t="str">
        <f>IFERROR(VLOOKUP(B1239,ST!C:D,2,0),"NÃOST")</f>
        <v>NÃOST</v>
      </c>
      <c r="E1239" s="3" t="str">
        <f>IF(COUNTIF(ISENÇÕES!A:A,CST!B1239)&gt;0,"ISENÇÃO","SEM ISENÇÃO")</f>
        <v>SEM ISENÇÃO</v>
      </c>
      <c r="F1239" s="18" t="str">
        <f>IF(COUNTIF(REDUÇÕES!A:A,CST!B1239)&gt;0,"REDUÇÃO","NÃO REDUÇÃO")</f>
        <v>NÃO REDUÇÃO</v>
      </c>
      <c r="G1239" s="27">
        <f t="shared" si="20"/>
        <v>0</v>
      </c>
    </row>
    <row r="1240" spans="1:7" x14ac:dyDescent="0.25">
      <c r="A1240" s="120" t="str">
        <f>RIGHT(CSTABLE[[#This Row],[NomeNCM]],8)</f>
        <v>87013000</v>
      </c>
      <c r="B1240" s="7" t="s">
        <v>4385</v>
      </c>
      <c r="C1240" s="3" t="str">
        <f>IFERROR(VLOOKUP(B1240,ST!C:D,2,0),"NÃOST")</f>
        <v>NÃOST</v>
      </c>
      <c r="E1240" s="3" t="str">
        <f>IF(COUNTIF(ISENÇÕES!A:A,CST!B1240)&gt;0,"ISENÇÃO","SEM ISENÇÃO")</f>
        <v>SEM ISENÇÃO</v>
      </c>
      <c r="F1240" s="18" t="str">
        <f>IF(COUNTIF(REDUÇÕES!A:A,CST!B1240)&gt;0,"REDUÇÃO","NÃO REDUÇÃO")</f>
        <v>NÃO REDUÇÃO</v>
      </c>
      <c r="G1240" s="27">
        <f t="shared" si="20"/>
        <v>0</v>
      </c>
    </row>
    <row r="1241" spans="1:7" x14ac:dyDescent="0.25">
      <c r="A1241" s="120" t="str">
        <f>RIGHT(CSTABLE[[#This Row],[NomeNCM]],8)</f>
        <v>90011011</v>
      </c>
      <c r="B1241" s="7" t="s">
        <v>4386</v>
      </c>
      <c r="C1241" s="3" t="str">
        <f>IFERROR(VLOOKUP(B1241,ST!C:D,2,0),"NÃOST")</f>
        <v>NÃOST</v>
      </c>
      <c r="E1241" s="3" t="str">
        <f>IF(COUNTIF(ISENÇÕES!A:A,CST!B1241)&gt;0,"ISENÇÃO","SEM ISENÇÃO")</f>
        <v>SEM ISENÇÃO</v>
      </c>
      <c r="F1241" s="18" t="str">
        <f>IF(COUNTIF(REDUÇÕES!A:A,CST!B1241)&gt;0,"REDUÇÃO","NÃO REDUÇÃO")</f>
        <v>NÃO REDUÇÃO</v>
      </c>
      <c r="G1241" s="27">
        <f t="shared" si="20"/>
        <v>0</v>
      </c>
    </row>
    <row r="1242" spans="1:7" x14ac:dyDescent="0.25">
      <c r="A1242" s="120" t="str">
        <f>RIGHT(CSTABLE[[#This Row],[NomeNCM]],8)</f>
        <v>03082900</v>
      </c>
      <c r="B1242" s="7" t="s">
        <v>3562</v>
      </c>
      <c r="C1242" s="3" t="str">
        <f>IFERROR(VLOOKUP(B1242,ST!C:D,2,0),"NÃOST")</f>
        <v>NÃOST</v>
      </c>
      <c r="E1242" s="3" t="str">
        <f>IF(COUNTIF(ISENÇÕES!A:A,CST!B1242)&gt;0,"ISENÇÃO","SEM ISENÇÃO")</f>
        <v>SEM ISENÇÃO</v>
      </c>
      <c r="F1242" s="18" t="str">
        <f>IF(COUNTIF(REDUÇÕES!A:A,CST!B1242)&gt;0,"REDUÇÃO","NÃO REDUÇÃO")</f>
        <v>NÃO REDUÇÃO</v>
      </c>
      <c r="G1242" s="27">
        <f t="shared" si="20"/>
        <v>0</v>
      </c>
    </row>
    <row r="1243" spans="1:7" x14ac:dyDescent="0.25">
      <c r="A1243" s="120" t="str">
        <f>RIGHT(CSTABLE[[#This Row],[NomeNCM]],8)</f>
        <v>17026010</v>
      </c>
      <c r="B1243" s="7" t="s">
        <v>4387</v>
      </c>
      <c r="C1243" s="3" t="str">
        <f>IFERROR(VLOOKUP(B1243,ST!C:D,2,0),"NÃOST")</f>
        <v>NÃOST</v>
      </c>
      <c r="E1243" s="3" t="str">
        <f>IF(COUNTIF(ISENÇÕES!A:A,CST!B1243)&gt;0,"ISENÇÃO","SEM ISENÇÃO")</f>
        <v>SEM ISENÇÃO</v>
      </c>
      <c r="F1243" s="18" t="str">
        <f>IF(COUNTIF(REDUÇÕES!A:A,CST!B1243)&gt;0,"REDUÇÃO","NÃO REDUÇÃO")</f>
        <v>NÃO REDUÇÃO</v>
      </c>
      <c r="G1243" s="27">
        <f t="shared" si="20"/>
        <v>0</v>
      </c>
    </row>
    <row r="1244" spans="1:7" x14ac:dyDescent="0.25">
      <c r="A1244" s="120" t="str">
        <f>RIGHT(CSTABLE[[#This Row],[NomeNCM]],8)</f>
        <v>10082190</v>
      </c>
      <c r="B1244" s="7" t="s">
        <v>3400</v>
      </c>
      <c r="C1244" s="3" t="str">
        <f>IFERROR(VLOOKUP(B1244,ST!C:D,2,0),"NÃOST")</f>
        <v>NÃOST</v>
      </c>
      <c r="E1244" s="3" t="str">
        <f>IF(COUNTIF(ISENÇÕES!A:A,CST!B1244)&gt;0,"ISENÇÃO","SEM ISENÇÃO")</f>
        <v>SEM ISENÇÃO</v>
      </c>
      <c r="F1244" s="18" t="str">
        <f>IF(COUNTIF(REDUÇÕES!A:A,CST!B1244)&gt;0,"REDUÇÃO","NÃO REDUÇÃO")</f>
        <v>NÃO REDUÇÃO</v>
      </c>
      <c r="G1244" s="27">
        <f t="shared" si="20"/>
        <v>0</v>
      </c>
    </row>
    <row r="1245" spans="1:7" x14ac:dyDescent="0.25">
      <c r="A1245" s="120" t="str">
        <f>RIGHT(CSTABLE[[#This Row],[NomeNCM]],8)</f>
        <v>65050090</v>
      </c>
      <c r="B1245" s="7" t="s">
        <v>4388</v>
      </c>
      <c r="C1245" s="3" t="str">
        <f>IFERROR(VLOOKUP(B1245,ST!C:D,2,0),"NÃOST")</f>
        <v>NÃOST</v>
      </c>
      <c r="E1245" s="3" t="str">
        <f>IF(COUNTIF(ISENÇÕES!A:A,CST!B1245)&gt;0,"ISENÇÃO","SEM ISENÇÃO")</f>
        <v>SEM ISENÇÃO</v>
      </c>
      <c r="F1245" s="18" t="str">
        <f>IF(COUNTIF(REDUÇÕES!A:A,CST!B1245)&gt;0,"REDUÇÃO","NÃO REDUÇÃO")</f>
        <v>NÃO REDUÇÃO</v>
      </c>
      <c r="G1245" s="27">
        <f t="shared" si="20"/>
        <v>0</v>
      </c>
    </row>
    <row r="1246" spans="1:7" x14ac:dyDescent="0.25">
      <c r="A1246" s="120" t="str">
        <f>RIGHT(CSTABLE[[#This Row],[NomeNCM]],8)</f>
        <v>85167920</v>
      </c>
      <c r="B1246" s="7" t="s">
        <v>4389</v>
      </c>
      <c r="C1246" s="3" t="str">
        <f>IFERROR(VLOOKUP(B1246,ST!C:D,2,0),"NÃOST")</f>
        <v>NÃOST</v>
      </c>
      <c r="E1246" s="3" t="str">
        <f>IF(COUNTIF(ISENÇÕES!A:A,CST!B1246)&gt;0,"ISENÇÃO","SEM ISENÇÃO")</f>
        <v>SEM ISENÇÃO</v>
      </c>
      <c r="F1246" s="18" t="str">
        <f>IF(COUNTIF(REDUÇÕES!A:A,CST!B1246)&gt;0,"REDUÇÃO","NÃO REDUÇÃO")</f>
        <v>NÃO REDUÇÃO</v>
      </c>
      <c r="G1246" s="27">
        <f t="shared" si="20"/>
        <v>0</v>
      </c>
    </row>
    <row r="1247" spans="1:7" x14ac:dyDescent="0.25">
      <c r="A1247" s="120" t="str">
        <f>RIGHT(CSTABLE[[#This Row],[NomeNCM]],8)</f>
        <v>01021010</v>
      </c>
      <c r="B1247" s="7" t="s">
        <v>4390</v>
      </c>
      <c r="C1247" s="3" t="str">
        <f>IFERROR(VLOOKUP(B1247,ST!C:D,2,0),"NÃOST")</f>
        <v>NÃOST</v>
      </c>
      <c r="E1247" s="3" t="str">
        <f>IF(COUNTIF(ISENÇÕES!A:A,CST!B1247)&gt;0,"ISENÇÃO","SEM ISENÇÃO")</f>
        <v>SEM ISENÇÃO</v>
      </c>
      <c r="F1247" s="18" t="str">
        <f>IF(COUNTIF(REDUÇÕES!A:A,CST!B1247)&gt;0,"REDUÇÃO","NÃO REDUÇÃO")</f>
        <v>NÃO REDUÇÃO</v>
      </c>
      <c r="G1247" s="27">
        <f t="shared" si="20"/>
        <v>0</v>
      </c>
    </row>
    <row r="1248" spans="1:7" x14ac:dyDescent="0.25">
      <c r="A1248" s="120" t="str">
        <f>RIGHT(CSTABLE[[#This Row],[NomeNCM]],8)</f>
        <v>57011012</v>
      </c>
      <c r="B1248" s="7" t="s">
        <v>4391</v>
      </c>
      <c r="C1248" s="3" t="str">
        <f>IFERROR(VLOOKUP(B1248,ST!C:D,2,0),"NÃOST")</f>
        <v>NÃOST</v>
      </c>
      <c r="E1248" s="3" t="str">
        <f>IF(COUNTIF(ISENÇÕES!A:A,CST!B1248)&gt;0,"ISENÇÃO","SEM ISENÇÃO")</f>
        <v>SEM ISENÇÃO</v>
      </c>
      <c r="F1248" s="18" t="str">
        <f>IF(COUNTIF(REDUÇÕES!A:A,CST!B1248)&gt;0,"REDUÇÃO","NÃO REDUÇÃO")</f>
        <v>NÃO REDUÇÃO</v>
      </c>
      <c r="G1248" s="27">
        <f t="shared" si="20"/>
        <v>0</v>
      </c>
    </row>
    <row r="1249" spans="1:7" x14ac:dyDescent="0.25">
      <c r="A1249" s="120" t="str">
        <f>RIGHT(CSTABLE[[#This Row],[NomeNCM]],8)</f>
        <v>07102900</v>
      </c>
      <c r="B1249" s="7" t="s">
        <v>3406</v>
      </c>
      <c r="C1249" s="3" t="str">
        <f>IFERROR(VLOOKUP(B1249,ST!C:D,2,0),"NÃOST")</f>
        <v>NÃOST</v>
      </c>
      <c r="E1249" s="3" t="str">
        <f>IF(COUNTIF(ISENÇÕES!A:A,CST!B1249)&gt;0,"ISENÇÃO","SEM ISENÇÃO")</f>
        <v>SEM ISENÇÃO</v>
      </c>
      <c r="F1249" s="18" t="str">
        <f>IF(COUNTIF(REDUÇÕES!A:A,CST!B1249)&gt;0,"REDUÇÃO","NÃO REDUÇÃO")</f>
        <v>NÃO REDUÇÃO</v>
      </c>
      <c r="G1249" s="27">
        <f t="shared" si="20"/>
        <v>0</v>
      </c>
    </row>
    <row r="1250" spans="1:7" x14ac:dyDescent="0.25">
      <c r="A1250" s="120" t="str">
        <f>RIGHT(CSTABLE[[#This Row],[NomeNCM]],8)</f>
        <v>08059000</v>
      </c>
      <c r="B1250" s="7" t="s">
        <v>3411</v>
      </c>
      <c r="C1250" s="3" t="str">
        <f>IFERROR(VLOOKUP(B1250,ST!C:D,2,0),"NÃOST")</f>
        <v>NÃOST</v>
      </c>
      <c r="E1250" s="3" t="str">
        <f>IF(COUNTIF(ISENÇÕES!A:A,CST!B1250)&gt;0,"ISENÇÃO","SEM ISENÇÃO")</f>
        <v>ISENÇÃO</v>
      </c>
      <c r="F1250" s="18" t="str">
        <f>IF(COUNTIF(REDUÇÕES!A:A,CST!B1250)&gt;0,"REDUÇÃO","NÃO REDUÇÃO")</f>
        <v>NÃO REDUÇÃO</v>
      </c>
      <c r="G1250" s="27">
        <f t="shared" si="20"/>
        <v>40</v>
      </c>
    </row>
    <row r="1251" spans="1:7" x14ac:dyDescent="0.25">
      <c r="A1251" s="120" t="str">
        <f>RIGHT(CSTABLE[[#This Row],[NomeNCM]],8)</f>
        <v>03022900</v>
      </c>
      <c r="B1251" s="7" t="s">
        <v>3119</v>
      </c>
      <c r="C1251" s="3" t="str">
        <f>IFERROR(VLOOKUP(B1251,ST!C:D,2,0),"NÃOST")</f>
        <v>NÃOST</v>
      </c>
      <c r="E1251" s="3" t="str">
        <f>IF(COUNTIF(ISENÇÕES!A:A,CST!B1251)&gt;0,"ISENÇÃO","SEM ISENÇÃO")</f>
        <v>SEM ISENÇÃO</v>
      </c>
      <c r="F1251" s="18" t="str">
        <f>IF(COUNTIF(REDUÇÕES!A:A,CST!B1251)&gt;0,"REDUÇÃO","NÃO REDUÇÃO")</f>
        <v>NÃO REDUÇÃO</v>
      </c>
      <c r="G1251" s="27">
        <f t="shared" si="20"/>
        <v>0</v>
      </c>
    </row>
    <row r="1252" spans="1:7" x14ac:dyDescent="0.25">
      <c r="A1252" s="120" t="str">
        <f>RIGHT(CSTABLE[[#This Row],[NomeNCM]],8)</f>
        <v>15100000</v>
      </c>
      <c r="B1252" s="7" t="s">
        <v>3413</v>
      </c>
      <c r="C1252" s="3" t="str">
        <f>IFERROR(VLOOKUP(B1252,ST!C:D,2,0),"NÃOST")</f>
        <v>NÃOST</v>
      </c>
      <c r="E1252" s="3" t="str">
        <f>IF(COUNTIF(ISENÇÕES!A:A,CST!B1252)&gt;0,"ISENÇÃO","SEM ISENÇÃO")</f>
        <v>SEM ISENÇÃO</v>
      </c>
      <c r="F1252" s="18" t="str">
        <f>IF(COUNTIF(REDUÇÕES!A:A,CST!B1252)&gt;0,"REDUÇÃO","NÃO REDUÇÃO")</f>
        <v>NÃO REDUÇÃO</v>
      </c>
      <c r="G1252" s="27">
        <f t="shared" si="20"/>
        <v>0</v>
      </c>
    </row>
    <row r="1253" spans="1:7" x14ac:dyDescent="0.25">
      <c r="A1253" s="120" t="str">
        <f>RIGHT(CSTABLE[[#This Row],[NomeNCM]],8)</f>
        <v>04022130</v>
      </c>
      <c r="B1253" s="7" t="s">
        <v>4392</v>
      </c>
      <c r="C1253" s="3" t="str">
        <f>IFERROR(VLOOKUP(B1253,ST!C:D,2,0),"NÃOST")</f>
        <v>NÃOST</v>
      </c>
      <c r="E1253" s="3" t="str">
        <f>IF(COUNTIF(ISENÇÕES!A:A,CST!B1253)&gt;0,"ISENÇÃO","SEM ISENÇÃO")</f>
        <v>SEM ISENÇÃO</v>
      </c>
      <c r="F1253" s="18" t="str">
        <f>IF(COUNTIF(REDUÇÕES!A:A,CST!B1253)&gt;0,"REDUÇÃO","NÃO REDUÇÃO")</f>
        <v>NÃO REDUÇÃO</v>
      </c>
      <c r="G1253" s="27">
        <f t="shared" si="20"/>
        <v>0</v>
      </c>
    </row>
    <row r="1254" spans="1:7" x14ac:dyDescent="0.25">
      <c r="A1254" s="120" t="str">
        <f>RIGHT(CSTABLE[[#This Row],[NomeNCM]],8)</f>
        <v>07114000</v>
      </c>
      <c r="B1254" s="7" t="s">
        <v>3407</v>
      </c>
      <c r="C1254" s="3" t="str">
        <f>IFERROR(VLOOKUP(B1254,ST!C:D,2,0),"NÃOST")</f>
        <v>NÃOST</v>
      </c>
      <c r="E1254" s="3" t="str">
        <f>IF(COUNTIF(ISENÇÕES!A:A,CST!B1254)&gt;0,"ISENÇÃO","SEM ISENÇÃO")</f>
        <v>ISENÇÃO</v>
      </c>
      <c r="F1254" s="18" t="str">
        <f>IF(COUNTIF(REDUÇÕES!A:A,CST!B1254)&gt;0,"REDUÇÃO","NÃO REDUÇÃO")</f>
        <v>NÃO REDUÇÃO</v>
      </c>
      <c r="G1254" s="27">
        <f t="shared" si="20"/>
        <v>40</v>
      </c>
    </row>
    <row r="1255" spans="1:7" x14ac:dyDescent="0.25">
      <c r="A1255" s="120" t="str">
        <f>RIGHT(CSTABLE[[#This Row],[NomeNCM]],8)</f>
        <v>85437099</v>
      </c>
      <c r="B1255" s="7" t="s">
        <v>4393</v>
      </c>
      <c r="C1255" s="3" t="str">
        <f>IFERROR(VLOOKUP(B1255,ST!C:D,2,0),"NÃOST")</f>
        <v>ST</v>
      </c>
      <c r="E1255" s="3" t="str">
        <f>IF(COUNTIF(ISENÇÕES!A:A,CST!B1255)&gt;0,"ISENÇÃO","SEM ISENÇÃO")</f>
        <v>SEM ISENÇÃO</v>
      </c>
      <c r="F1255" s="18" t="str">
        <f>IF(COUNTIF(REDUÇÕES!A:A,CST!B1255)&gt;0,"REDUÇÃO","NÃO REDUÇÃO")</f>
        <v>NÃO REDUÇÃO</v>
      </c>
      <c r="G1255" s="27">
        <f t="shared" si="20"/>
        <v>60</v>
      </c>
    </row>
    <row r="1256" spans="1:7" x14ac:dyDescent="0.25">
      <c r="A1256" s="120" t="str">
        <f>RIGHT(CSTABLE[[#This Row],[NomeNCM]],8)</f>
        <v>04011090</v>
      </c>
      <c r="B1256" s="7" t="s">
        <v>3405</v>
      </c>
      <c r="C1256" s="3" t="str">
        <f>IFERROR(VLOOKUP(B1256,ST!C:D,2,0),"NÃOST")</f>
        <v>NÃOST</v>
      </c>
      <c r="E1256" s="3" t="str">
        <f>IF(COUNTIF(ISENÇÕES!A:A,CST!B1256)&gt;0,"ISENÇÃO","SEM ISENÇÃO")</f>
        <v>SEM ISENÇÃO</v>
      </c>
      <c r="F1256" s="18" t="str">
        <f>IF(COUNTIF(REDUÇÕES!A:A,CST!B1256)&gt;0,"REDUÇÃO","NÃO REDUÇÃO")</f>
        <v>NÃO REDUÇÃO</v>
      </c>
      <c r="G1256" s="27">
        <f t="shared" si="20"/>
        <v>0</v>
      </c>
    </row>
    <row r="1257" spans="1:7" x14ac:dyDescent="0.25">
      <c r="A1257" s="120" t="str">
        <f>RIGHT(CSTABLE[[#This Row],[NomeNCM]],8)</f>
        <v>85362000</v>
      </c>
      <c r="B1257" s="7" t="s">
        <v>4394</v>
      </c>
      <c r="C1257" s="3" t="str">
        <f>IFERROR(VLOOKUP(B1257,ST!C:D,2,0),"NÃOST")</f>
        <v>NÃOST</v>
      </c>
      <c r="E1257" s="3" t="str">
        <f>IF(COUNTIF(ISENÇÕES!A:A,CST!B1257)&gt;0,"ISENÇÃO","SEM ISENÇÃO")</f>
        <v>SEM ISENÇÃO</v>
      </c>
      <c r="F1257" s="18" t="str">
        <f>IF(COUNTIF(REDUÇÕES!A:A,CST!B1257)&gt;0,"REDUÇÃO","NÃO REDUÇÃO")</f>
        <v>NÃO REDUÇÃO</v>
      </c>
      <c r="G1257" s="27">
        <f t="shared" si="20"/>
        <v>0</v>
      </c>
    </row>
    <row r="1258" spans="1:7" x14ac:dyDescent="0.25">
      <c r="A1258" s="120" t="str">
        <f>RIGHT(CSTABLE[[#This Row],[NomeNCM]],8)</f>
        <v>62123000</v>
      </c>
      <c r="B1258" s="7" t="s">
        <v>4395</v>
      </c>
      <c r="C1258" s="3" t="str">
        <f>IFERROR(VLOOKUP(B1258,ST!C:D,2,0),"NÃOST")</f>
        <v>NÃOST</v>
      </c>
      <c r="E1258" s="3" t="str">
        <f>IF(COUNTIF(ISENÇÕES!A:A,CST!B1258)&gt;0,"ISENÇÃO","SEM ISENÇÃO")</f>
        <v>SEM ISENÇÃO</v>
      </c>
      <c r="F1258" s="18" t="str">
        <f>IF(COUNTIF(REDUÇÕES!A:A,CST!B1258)&gt;0,"REDUÇÃO","NÃO REDUÇÃO")</f>
        <v>NÃO REDUÇÃO</v>
      </c>
      <c r="G1258" s="27">
        <f t="shared" si="20"/>
        <v>0</v>
      </c>
    </row>
    <row r="1259" spans="1:7" x14ac:dyDescent="0.25">
      <c r="A1259" s="120" t="str">
        <f>RIGHT(CSTABLE[[#This Row],[NomeNCM]],8)</f>
        <v>03038951</v>
      </c>
      <c r="B1259" s="7" t="s">
        <v>3237</v>
      </c>
      <c r="C1259" s="3" t="str">
        <f>IFERROR(VLOOKUP(B1259,ST!C:D,2,0),"NÃOST")</f>
        <v>NÃOST</v>
      </c>
      <c r="E1259" s="3" t="str">
        <f>IF(COUNTIF(ISENÇÕES!A:A,CST!B1259)&gt;0,"ISENÇÃO","SEM ISENÇÃO")</f>
        <v>SEM ISENÇÃO</v>
      </c>
      <c r="F1259" s="18" t="str">
        <f>IF(COUNTIF(REDUÇÕES!A:A,CST!B1259)&gt;0,"REDUÇÃO","NÃO REDUÇÃO")</f>
        <v>NÃO REDUÇÃO</v>
      </c>
      <c r="G1259" s="27">
        <f t="shared" si="20"/>
        <v>0</v>
      </c>
    </row>
    <row r="1260" spans="1:7" x14ac:dyDescent="0.25">
      <c r="A1260" s="120" t="str">
        <f>RIGHT(CSTABLE[[#This Row],[NomeNCM]],8)</f>
        <v>39259090</v>
      </c>
      <c r="B1260" s="7" t="s">
        <v>4396</v>
      </c>
      <c r="C1260" s="3" t="str">
        <f>IFERROR(VLOOKUP(B1260,ST!C:D,2,0),"NÃOST")</f>
        <v>NÃOST</v>
      </c>
      <c r="E1260" s="3" t="str">
        <f>IF(COUNTIF(ISENÇÕES!A:A,CST!B1260)&gt;0,"ISENÇÃO","SEM ISENÇÃO")</f>
        <v>SEM ISENÇÃO</v>
      </c>
      <c r="F1260" s="18" t="str">
        <f>IF(COUNTIF(REDUÇÕES!A:A,CST!B1260)&gt;0,"REDUÇÃO","NÃO REDUÇÃO")</f>
        <v>NÃO REDUÇÃO</v>
      </c>
      <c r="G1260" s="27">
        <f t="shared" si="20"/>
        <v>0</v>
      </c>
    </row>
    <row r="1261" spans="1:7" x14ac:dyDescent="0.25">
      <c r="A1261" s="120" t="str">
        <f>RIGHT(CSTABLE[[#This Row],[NomeNCM]],8)</f>
        <v>85171231</v>
      </c>
      <c r="B1261" s="7" t="s">
        <v>113</v>
      </c>
      <c r="C1261" s="3" t="str">
        <f>IFERROR(VLOOKUP(B1261,ST!C:D,2,0),"NÃOST")</f>
        <v>ST</v>
      </c>
      <c r="E1261" s="3" t="str">
        <f>IF(COUNTIF(ISENÇÕES!A:A,CST!B1261)&gt;0,"ISENÇÃO","SEM ISENÇÃO")</f>
        <v>SEM ISENÇÃO</v>
      </c>
      <c r="F1261" s="18" t="str">
        <f>IF(COUNTIF(REDUÇÕES!A:A,CST!B1261)&gt;0,"REDUÇÃO","NÃO REDUÇÃO")</f>
        <v>NÃO REDUÇÃO</v>
      </c>
      <c r="G1261" s="27">
        <f t="shared" si="20"/>
        <v>60</v>
      </c>
    </row>
    <row r="1262" spans="1:7" x14ac:dyDescent="0.25">
      <c r="A1262" s="120" t="str">
        <f>RIGHT(CSTABLE[[#This Row],[NomeNCM]],8)</f>
        <v>08092900</v>
      </c>
      <c r="B1262" s="7" t="s">
        <v>3412</v>
      </c>
      <c r="C1262" s="3" t="str">
        <f>IFERROR(VLOOKUP(B1262,ST!C:D,2,0),"NÃOST")</f>
        <v>NÃOST</v>
      </c>
      <c r="E1262" s="3" t="str">
        <f>IF(COUNTIF(ISENÇÕES!A:A,CST!B1262)&gt;0,"ISENÇÃO","SEM ISENÇÃO")</f>
        <v>ISENÇÃO</v>
      </c>
      <c r="F1262" s="18" t="str">
        <f>IF(COUNTIF(REDUÇÕES!A:A,CST!B1262)&gt;0,"REDUÇÃO","NÃO REDUÇÃO")</f>
        <v>NÃO REDUÇÃO</v>
      </c>
      <c r="G1262" s="27">
        <f t="shared" si="20"/>
        <v>40</v>
      </c>
    </row>
    <row r="1263" spans="1:7" x14ac:dyDescent="0.25">
      <c r="A1263" s="120" t="str">
        <f>RIGHT(CSTABLE[[#This Row],[NomeNCM]],8)</f>
        <v>90183910</v>
      </c>
      <c r="B1263" s="7" t="s">
        <v>4397</v>
      </c>
      <c r="C1263" s="3" t="str">
        <f>IFERROR(VLOOKUP(B1263,ST!C:D,2,0),"NÃOST")</f>
        <v>NÃOST</v>
      </c>
      <c r="E1263" s="3" t="str">
        <f>IF(COUNTIF(ISENÇÕES!A:A,CST!B1263)&gt;0,"ISENÇÃO","SEM ISENÇÃO")</f>
        <v>SEM ISENÇÃO</v>
      </c>
      <c r="F1263" s="18" t="str">
        <f>IF(COUNTIF(REDUÇÕES!A:A,CST!B1263)&gt;0,"REDUÇÃO","NÃO REDUÇÃO")</f>
        <v>NÃO REDUÇÃO</v>
      </c>
      <c r="G1263" s="27">
        <f t="shared" si="20"/>
        <v>0</v>
      </c>
    </row>
    <row r="1264" spans="1:7" x14ac:dyDescent="0.25">
      <c r="A1264" s="120" t="str">
        <f>RIGHT(CSTABLE[[#This Row],[NomeNCM]],8)</f>
        <v>56090010</v>
      </c>
      <c r="B1264" s="7" t="s">
        <v>4398</v>
      </c>
      <c r="C1264" s="3" t="str">
        <f>IFERROR(VLOOKUP(B1264,ST!C:D,2,0),"NÃOST")</f>
        <v>NÃOST</v>
      </c>
      <c r="E1264" s="3" t="str">
        <f>IF(COUNTIF(ISENÇÕES!A:A,CST!B1264)&gt;0,"ISENÇÃO","SEM ISENÇÃO")</f>
        <v>SEM ISENÇÃO</v>
      </c>
      <c r="F1264" s="18" t="str">
        <f>IF(COUNTIF(REDUÇÕES!A:A,CST!B1264)&gt;0,"REDUÇÃO","NÃO REDUÇÃO")</f>
        <v>NÃO REDUÇÃO</v>
      </c>
      <c r="G1264" s="27">
        <f t="shared" si="20"/>
        <v>0</v>
      </c>
    </row>
    <row r="1265" spans="1:7" x14ac:dyDescent="0.25">
      <c r="A1265" s="120" t="str">
        <f>RIGHT(CSTABLE[[#This Row],[NomeNCM]],8)</f>
        <v>82100090</v>
      </c>
      <c r="B1265" s="7" t="s">
        <v>4399</v>
      </c>
      <c r="C1265" s="3" t="str">
        <f>IFERROR(VLOOKUP(B1265,ST!C:D,2,0),"NÃOST")</f>
        <v>NÃOST</v>
      </c>
      <c r="E1265" s="3" t="str">
        <f>IF(COUNTIF(ISENÇÕES!A:A,CST!B1265)&gt;0,"ISENÇÃO","SEM ISENÇÃO")</f>
        <v>SEM ISENÇÃO</v>
      </c>
      <c r="F1265" s="18" t="str">
        <f>IF(COUNTIF(REDUÇÕES!A:A,CST!B1265)&gt;0,"REDUÇÃO","NÃO REDUÇÃO")</f>
        <v>NÃO REDUÇÃO</v>
      </c>
      <c r="G1265" s="27">
        <f t="shared" si="20"/>
        <v>0</v>
      </c>
    </row>
    <row r="1266" spans="1:7" x14ac:dyDescent="0.25">
      <c r="A1266" s="120" t="str">
        <f>RIGHT(CSTABLE[[#This Row],[NomeNCM]],8)</f>
        <v>56031310</v>
      </c>
      <c r="B1266" s="7" t="s">
        <v>4400</v>
      </c>
      <c r="C1266" s="3" t="str">
        <f>IFERROR(VLOOKUP(B1266,ST!C:D,2,0),"NÃOST")</f>
        <v>NÃOST</v>
      </c>
      <c r="E1266" s="3" t="str">
        <f>IF(COUNTIF(ISENÇÕES!A:A,CST!B1266)&gt;0,"ISENÇÃO","SEM ISENÇÃO")</f>
        <v>SEM ISENÇÃO</v>
      </c>
      <c r="F1266" s="18" t="str">
        <f>IF(COUNTIF(REDUÇÕES!A:A,CST!B1266)&gt;0,"REDUÇÃO","NÃO REDUÇÃO")</f>
        <v>NÃO REDUÇÃO</v>
      </c>
      <c r="G1266" s="27">
        <f t="shared" si="20"/>
        <v>0</v>
      </c>
    </row>
    <row r="1267" spans="1:7" x14ac:dyDescent="0.25">
      <c r="A1267" s="120" t="str">
        <f>RIGHT(CSTABLE[[#This Row],[NomeNCM]],8)</f>
        <v>38085929</v>
      </c>
      <c r="B1267" s="7" t="s">
        <v>4401</v>
      </c>
      <c r="C1267" s="3" t="str">
        <f>IFERROR(VLOOKUP(B1267,ST!C:D,2,0),"NÃOST")</f>
        <v>NÃOST</v>
      </c>
      <c r="E1267" s="3" t="str">
        <f>IF(COUNTIF(ISENÇÕES!A:A,CST!B1267)&gt;0,"ISENÇÃO","SEM ISENÇÃO")</f>
        <v>SEM ISENÇÃO</v>
      </c>
      <c r="F1267" s="18" t="str">
        <f>IF(COUNTIF(REDUÇÕES!A:A,CST!B1267)&gt;0,"REDUÇÃO","NÃO REDUÇÃO")</f>
        <v>NÃO REDUÇÃO</v>
      </c>
      <c r="G1267" s="27">
        <f t="shared" si="20"/>
        <v>0</v>
      </c>
    </row>
    <row r="1268" spans="1:7" x14ac:dyDescent="0.25">
      <c r="A1268" s="120" t="str">
        <f>RIGHT(CSTABLE[[#This Row],[NomeNCM]],8)</f>
        <v>34070090</v>
      </c>
      <c r="B1268" s="7" t="s">
        <v>4402</v>
      </c>
      <c r="C1268" s="3" t="str">
        <f>IFERROR(VLOOKUP(B1268,ST!C:D,2,0),"NÃOST")</f>
        <v>NÃOST</v>
      </c>
      <c r="E1268" s="3" t="str">
        <f>IF(COUNTIF(ISENÇÕES!A:A,CST!B1268)&gt;0,"ISENÇÃO","SEM ISENÇÃO")</f>
        <v>SEM ISENÇÃO</v>
      </c>
      <c r="F1268" s="18" t="str">
        <f>IF(COUNTIF(REDUÇÕES!A:A,CST!B1268)&gt;0,"REDUÇÃO","NÃO REDUÇÃO")</f>
        <v>NÃO REDUÇÃO</v>
      </c>
      <c r="G1268" s="27">
        <f t="shared" si="20"/>
        <v>0</v>
      </c>
    </row>
    <row r="1269" spans="1:7" x14ac:dyDescent="0.25">
      <c r="A1269" s="120" t="str">
        <f>RIGHT(CSTABLE[[#This Row],[NomeNCM]],8)</f>
        <v>39222000</v>
      </c>
      <c r="B1269" s="7" t="s">
        <v>4403</v>
      </c>
      <c r="C1269" s="3" t="str">
        <f>IFERROR(VLOOKUP(B1269,ST!C:D,2,0),"NÃOST")</f>
        <v>NÃOST</v>
      </c>
      <c r="E1269" s="3" t="str">
        <f>IF(COUNTIF(ISENÇÕES!A:A,CST!B1269)&gt;0,"ISENÇÃO","SEM ISENÇÃO")</f>
        <v>SEM ISENÇÃO</v>
      </c>
      <c r="F1269" s="18" t="str">
        <f>IF(COUNTIF(REDUÇÕES!A:A,CST!B1269)&gt;0,"REDUÇÃO","NÃO REDUÇÃO")</f>
        <v>NÃO REDUÇÃO</v>
      </c>
      <c r="G1269" s="27">
        <f t="shared" si="20"/>
        <v>0</v>
      </c>
    </row>
    <row r="1270" spans="1:7" x14ac:dyDescent="0.25">
      <c r="A1270" s="120" t="str">
        <f>RIGHT(CSTABLE[[#This Row],[NomeNCM]],8)</f>
        <v>85171221</v>
      </c>
      <c r="B1270" s="7" t="s">
        <v>4404</v>
      </c>
      <c r="C1270" s="3" t="str">
        <f>IFERROR(VLOOKUP(B1270,ST!C:D,2,0),"NÃOST")</f>
        <v>ST</v>
      </c>
      <c r="E1270" s="3" t="str">
        <f>IF(COUNTIF(ISENÇÕES!A:A,CST!B1270)&gt;0,"ISENÇÃO","SEM ISENÇÃO")</f>
        <v>SEM ISENÇÃO</v>
      </c>
      <c r="F1270" s="18" t="str">
        <f>IF(COUNTIF(REDUÇÕES!A:A,CST!B1270)&gt;0,"REDUÇÃO","NÃO REDUÇÃO")</f>
        <v>NÃO REDUÇÃO</v>
      </c>
      <c r="G1270" s="27">
        <f t="shared" si="20"/>
        <v>60</v>
      </c>
    </row>
    <row r="1271" spans="1:7" x14ac:dyDescent="0.25">
      <c r="A1271" s="120" t="str">
        <f>RIGHT(CSTABLE[[#This Row],[NomeNCM]],8)</f>
        <v>30029091</v>
      </c>
      <c r="B1271" s="7" t="s">
        <v>4405</v>
      </c>
      <c r="C1271" s="3" t="str">
        <f>IFERROR(VLOOKUP(B1271,ST!C:D,2,0),"NÃOST")</f>
        <v>NÃOST</v>
      </c>
      <c r="E1271" s="3" t="str">
        <f>IF(COUNTIF(ISENÇÕES!A:A,CST!B1271)&gt;0,"ISENÇÃO","SEM ISENÇÃO")</f>
        <v>SEM ISENÇÃO</v>
      </c>
      <c r="F1271" s="18" t="str">
        <f>IF(COUNTIF(REDUÇÕES!A:A,CST!B1271)&gt;0,"REDUÇÃO","NÃO REDUÇÃO")</f>
        <v>NÃO REDUÇÃO</v>
      </c>
      <c r="G1271" s="27">
        <f t="shared" si="20"/>
        <v>0</v>
      </c>
    </row>
    <row r="1272" spans="1:7" x14ac:dyDescent="0.25">
      <c r="A1272" s="120" t="str">
        <f>RIGHT(CSTABLE[[#This Row],[NomeNCM]],8)</f>
        <v>63019000</v>
      </c>
      <c r="B1272" s="7" t="s">
        <v>4406</v>
      </c>
      <c r="C1272" s="3" t="str">
        <f>IFERROR(VLOOKUP(B1272,ST!C:D,2,0),"NÃOST")</f>
        <v>NÃOST</v>
      </c>
      <c r="E1272" s="3" t="str">
        <f>IF(COUNTIF(ISENÇÕES!A:A,CST!B1272)&gt;0,"ISENÇÃO","SEM ISENÇÃO")</f>
        <v>SEM ISENÇÃO</v>
      </c>
      <c r="F1272" s="18" t="str">
        <f>IF(COUNTIF(REDUÇÕES!A:A,CST!B1272)&gt;0,"REDUÇÃO","NÃO REDUÇÃO")</f>
        <v>NÃO REDUÇÃO</v>
      </c>
      <c r="G1272" s="27">
        <f t="shared" si="20"/>
        <v>0</v>
      </c>
    </row>
    <row r="1273" spans="1:7" x14ac:dyDescent="0.25">
      <c r="A1273" s="120" t="str">
        <f>RIGHT(CSTABLE[[#This Row],[NomeNCM]],8)</f>
        <v>85238000</v>
      </c>
      <c r="B1273" s="7" t="s">
        <v>4407</v>
      </c>
      <c r="C1273" s="3" t="str">
        <f>IFERROR(VLOOKUP(B1273,ST!C:D,2,0),"NÃOST")</f>
        <v>NÃOST</v>
      </c>
      <c r="E1273" s="3" t="str">
        <f>IF(COUNTIF(ISENÇÕES!A:A,CST!B1273)&gt;0,"ISENÇÃO","SEM ISENÇÃO")</f>
        <v>SEM ISENÇÃO</v>
      </c>
      <c r="F1273" s="18" t="str">
        <f>IF(COUNTIF(REDUÇÕES!A:A,CST!B1273)&gt;0,"REDUÇÃO","NÃO REDUÇÃO")</f>
        <v>NÃO REDUÇÃO</v>
      </c>
      <c r="G1273" s="27">
        <f t="shared" si="20"/>
        <v>0</v>
      </c>
    </row>
    <row r="1274" spans="1:7" x14ac:dyDescent="0.25">
      <c r="A1274" s="120" t="str">
        <f>RIGHT(CSTABLE[[#This Row],[NomeNCM]],8)</f>
        <v>84145110</v>
      </c>
      <c r="B1274" s="7" t="s">
        <v>4408</v>
      </c>
      <c r="C1274" s="3" t="str">
        <f>IFERROR(VLOOKUP(B1274,ST!C:D,2,0),"NÃOST")</f>
        <v>NÃOST</v>
      </c>
      <c r="E1274" s="3" t="str">
        <f>IF(COUNTIF(ISENÇÕES!A:A,CST!B1274)&gt;0,"ISENÇÃO","SEM ISENÇÃO")</f>
        <v>SEM ISENÇÃO</v>
      </c>
      <c r="F1274" s="18" t="str">
        <f>IF(COUNTIF(REDUÇÕES!A:A,CST!B1274)&gt;0,"REDUÇÃO","NÃO REDUÇÃO")</f>
        <v>NÃO REDUÇÃO</v>
      </c>
      <c r="G1274" s="27">
        <f t="shared" si="20"/>
        <v>0</v>
      </c>
    </row>
    <row r="1275" spans="1:7" x14ac:dyDescent="0.25">
      <c r="A1275" s="120" t="str">
        <f>RIGHT(CSTABLE[[#This Row],[NomeNCM]],8)</f>
        <v>62071100</v>
      </c>
      <c r="B1275" s="7" t="s">
        <v>4409</v>
      </c>
      <c r="C1275" s="3" t="str">
        <f>IFERROR(VLOOKUP(B1275,ST!C:D,2,0),"NÃOST")</f>
        <v>NÃOST</v>
      </c>
      <c r="E1275" s="3" t="str">
        <f>IF(COUNTIF(ISENÇÕES!A:A,CST!B1275)&gt;0,"ISENÇÃO","SEM ISENÇÃO")</f>
        <v>SEM ISENÇÃO</v>
      </c>
      <c r="F1275" s="18" t="str">
        <f>IF(COUNTIF(REDUÇÕES!A:A,CST!B1275)&gt;0,"REDUÇÃO","NÃO REDUÇÃO")</f>
        <v>NÃO REDUÇÃO</v>
      </c>
      <c r="G1275" s="27">
        <f t="shared" si="20"/>
        <v>0</v>
      </c>
    </row>
    <row r="1276" spans="1:7" x14ac:dyDescent="0.25">
      <c r="A1276" s="120" t="str">
        <f>RIGHT(CSTABLE[[#This Row],[NomeNCM]],8)</f>
        <v>38249029</v>
      </c>
      <c r="B1276" s="7" t="s">
        <v>4410</v>
      </c>
      <c r="C1276" s="3" t="str">
        <f>IFERROR(VLOOKUP(B1276,ST!C:D,2,0),"NÃOST")</f>
        <v>NÃOST</v>
      </c>
      <c r="E1276" s="3" t="str">
        <f>IF(COUNTIF(ISENÇÕES!A:A,CST!B1276)&gt;0,"ISENÇÃO","SEM ISENÇÃO")</f>
        <v>SEM ISENÇÃO</v>
      </c>
      <c r="F1276" s="18" t="str">
        <f>IF(COUNTIF(REDUÇÕES!A:A,CST!B1276)&gt;0,"REDUÇÃO","NÃO REDUÇÃO")</f>
        <v>NÃO REDUÇÃO</v>
      </c>
      <c r="G1276" s="27">
        <f t="shared" si="20"/>
        <v>0</v>
      </c>
    </row>
    <row r="1277" spans="1:7" x14ac:dyDescent="0.25">
      <c r="A1277" s="120" t="str">
        <f>RIGHT(CSTABLE[[#This Row],[NomeNCM]],8)</f>
        <v>64032000</v>
      </c>
      <c r="B1277" s="7" t="s">
        <v>4411</v>
      </c>
      <c r="C1277" s="3" t="str">
        <f>IFERROR(VLOOKUP(B1277,ST!C:D,2,0),"NÃOST")</f>
        <v>NÃOST</v>
      </c>
      <c r="E1277" s="3" t="str">
        <f>IF(COUNTIF(ISENÇÕES!A:A,CST!B1277)&gt;0,"ISENÇÃO","SEM ISENÇÃO")</f>
        <v>SEM ISENÇÃO</v>
      </c>
      <c r="F1277" s="18" t="str">
        <f>IF(COUNTIF(REDUÇÕES!A:A,CST!B1277)&gt;0,"REDUÇÃO","NÃO REDUÇÃO")</f>
        <v>NÃO REDUÇÃO</v>
      </c>
      <c r="G1277" s="27">
        <f t="shared" si="20"/>
        <v>0</v>
      </c>
    </row>
    <row r="1278" spans="1:7" x14ac:dyDescent="0.25">
      <c r="A1278" s="120" t="str">
        <f>RIGHT(CSTABLE[[#This Row],[NomeNCM]],8)</f>
        <v>56031490</v>
      </c>
      <c r="B1278" s="7" t="s">
        <v>4412</v>
      </c>
      <c r="C1278" s="3" t="str">
        <f>IFERROR(VLOOKUP(B1278,ST!C:D,2,0),"NÃOST")</f>
        <v>NÃOST</v>
      </c>
      <c r="E1278" s="3" t="str">
        <f>IF(COUNTIF(ISENÇÕES!A:A,CST!B1278)&gt;0,"ISENÇÃO","SEM ISENÇÃO")</f>
        <v>SEM ISENÇÃO</v>
      </c>
      <c r="F1278" s="18" t="str">
        <f>IF(COUNTIF(REDUÇÕES!A:A,CST!B1278)&gt;0,"REDUÇÃO","NÃO REDUÇÃO")</f>
        <v>NÃO REDUÇÃO</v>
      </c>
      <c r="G1278" s="27">
        <f t="shared" si="20"/>
        <v>0</v>
      </c>
    </row>
    <row r="1279" spans="1:7" x14ac:dyDescent="0.25">
      <c r="A1279" s="120" t="str">
        <f>RIGHT(CSTABLE[[#This Row],[NomeNCM]],8)</f>
        <v>03038112</v>
      </c>
      <c r="B1279" s="7" t="s">
        <v>3216</v>
      </c>
      <c r="C1279" s="3" t="str">
        <f>IFERROR(VLOOKUP(B1279,ST!C:D,2,0),"NÃOST")</f>
        <v>NÃOST</v>
      </c>
      <c r="E1279" s="3" t="str">
        <f>IF(COUNTIF(ISENÇÕES!A:A,CST!B1279)&gt;0,"ISENÇÃO","SEM ISENÇÃO")</f>
        <v>SEM ISENÇÃO</v>
      </c>
      <c r="F1279" s="18" t="str">
        <f>IF(COUNTIF(REDUÇÕES!A:A,CST!B1279)&gt;0,"REDUÇÃO","NÃO REDUÇÃO")</f>
        <v>NÃO REDUÇÃO</v>
      </c>
      <c r="G1279" s="27">
        <f t="shared" si="20"/>
        <v>0</v>
      </c>
    </row>
    <row r="1280" spans="1:7" x14ac:dyDescent="0.25">
      <c r="A1280" s="120" t="str">
        <f>RIGHT(CSTABLE[[#This Row],[NomeNCM]],8)</f>
        <v>57032000</v>
      </c>
      <c r="B1280" s="7" t="s">
        <v>4413</v>
      </c>
      <c r="C1280" s="3" t="str">
        <f>IFERROR(VLOOKUP(B1280,ST!C:D,2,0),"NÃOST")</f>
        <v>NÃOST</v>
      </c>
      <c r="E1280" s="3" t="str">
        <f>IF(COUNTIF(ISENÇÕES!A:A,CST!B1280)&gt;0,"ISENÇÃO","SEM ISENÇÃO")</f>
        <v>SEM ISENÇÃO</v>
      </c>
      <c r="F1280" s="18" t="str">
        <f>IF(COUNTIF(REDUÇÕES!A:A,CST!B1280)&gt;0,"REDUÇÃO","NÃO REDUÇÃO")</f>
        <v>NÃO REDUÇÃO</v>
      </c>
      <c r="G1280" s="27">
        <f t="shared" si="20"/>
        <v>0</v>
      </c>
    </row>
    <row r="1281" spans="1:7" x14ac:dyDescent="0.25">
      <c r="A1281" s="120" t="str">
        <f>RIGHT(CSTABLE[[#This Row],[NomeNCM]],8)</f>
        <v>39100030</v>
      </c>
      <c r="B1281" s="7" t="s">
        <v>4414</v>
      </c>
      <c r="C1281" s="3" t="str">
        <f>IFERROR(VLOOKUP(B1281,ST!C:D,2,0),"NÃOST")</f>
        <v>NÃOST</v>
      </c>
      <c r="E1281" s="3" t="str">
        <f>IF(COUNTIF(ISENÇÕES!A:A,CST!B1281)&gt;0,"ISENÇÃO","SEM ISENÇÃO")</f>
        <v>SEM ISENÇÃO</v>
      </c>
      <c r="F1281" s="18" t="str">
        <f>IF(COUNTIF(REDUÇÕES!A:A,CST!B1281)&gt;0,"REDUÇÃO","NÃO REDUÇÃO")</f>
        <v>NÃO REDUÇÃO</v>
      </c>
      <c r="G1281" s="27">
        <f t="shared" si="20"/>
        <v>0</v>
      </c>
    </row>
    <row r="1282" spans="1:7" x14ac:dyDescent="0.25">
      <c r="A1282" s="120" t="str">
        <f>RIGHT(CSTABLE[[#This Row],[NomeNCM]],8)</f>
        <v>48051900</v>
      </c>
      <c r="B1282" s="7" t="s">
        <v>4415</v>
      </c>
      <c r="C1282" s="3" t="str">
        <f>IFERROR(VLOOKUP(B1282,ST!C:D,2,0),"NÃOST")</f>
        <v>NÃOST</v>
      </c>
      <c r="E1282" s="3" t="str">
        <f>IF(COUNTIF(ISENÇÕES!A:A,CST!B1282)&gt;0,"ISENÇÃO","SEM ISENÇÃO")</f>
        <v>SEM ISENÇÃO</v>
      </c>
      <c r="F1282" s="18" t="str">
        <f>IF(COUNTIF(REDUÇÕES!A:A,CST!B1282)&gt;0,"REDUÇÃO","NÃO REDUÇÃO")</f>
        <v>NÃO REDUÇÃO</v>
      </c>
      <c r="G1282" s="27">
        <f t="shared" si="20"/>
        <v>0</v>
      </c>
    </row>
    <row r="1283" spans="1:7" x14ac:dyDescent="0.25">
      <c r="A1283" s="120" t="str">
        <f>RIGHT(CSTABLE[[#This Row],[NomeNCM]],8)</f>
        <v>61151014</v>
      </c>
      <c r="B1283" s="7" t="s">
        <v>4416</v>
      </c>
      <c r="C1283" s="3" t="str">
        <f>IFERROR(VLOOKUP(B1283,ST!C:D,2,0),"NÃOST")</f>
        <v>NÃOST</v>
      </c>
      <c r="E1283" s="3" t="str">
        <f>IF(COUNTIF(ISENÇÕES!A:A,CST!B1283)&gt;0,"ISENÇÃO","SEM ISENÇÃO")</f>
        <v>SEM ISENÇÃO</v>
      </c>
      <c r="F1283" s="18" t="str">
        <f>IF(COUNTIF(REDUÇÕES!A:A,CST!B1283)&gt;0,"REDUÇÃO","NÃO REDUÇÃO")</f>
        <v>NÃO REDUÇÃO</v>
      </c>
      <c r="G1283" s="27">
        <f t="shared" si="20"/>
        <v>0</v>
      </c>
    </row>
    <row r="1284" spans="1:7" x14ac:dyDescent="0.25">
      <c r="A1284" s="120" t="str">
        <f>RIGHT(CSTABLE[[#This Row],[NomeNCM]],8)</f>
        <v>61061000</v>
      </c>
      <c r="B1284" s="7" t="s">
        <v>4417</v>
      </c>
      <c r="C1284" s="3" t="str">
        <f>IFERROR(VLOOKUP(B1284,ST!C:D,2,0),"NÃOST")</f>
        <v>NÃOST</v>
      </c>
      <c r="E1284" s="3" t="str">
        <f>IF(COUNTIF(ISENÇÕES!A:A,CST!B1284)&gt;0,"ISENÇÃO","SEM ISENÇÃO")</f>
        <v>SEM ISENÇÃO</v>
      </c>
      <c r="F1284" s="18" t="str">
        <f>IF(COUNTIF(REDUÇÕES!A:A,CST!B1284)&gt;0,"REDUÇÃO","NÃO REDUÇÃO")</f>
        <v>NÃO REDUÇÃO</v>
      </c>
      <c r="G1284" s="27">
        <f t="shared" si="20"/>
        <v>0</v>
      </c>
    </row>
    <row r="1285" spans="1:7" x14ac:dyDescent="0.25">
      <c r="A1285" s="120" t="str">
        <f>RIGHT(CSTABLE[[#This Row],[NomeNCM]],8)</f>
        <v>49029000</v>
      </c>
      <c r="B1285" s="7" t="s">
        <v>4418</v>
      </c>
      <c r="C1285" s="3" t="str">
        <f>IFERROR(VLOOKUP(B1285,ST!C:D,2,0),"NÃOST")</f>
        <v>NÃOST</v>
      </c>
      <c r="E1285" s="3" t="str">
        <f>IF(COUNTIF(ISENÇÕES!A:A,CST!B1285)&gt;0,"ISENÇÃO","SEM ISENÇÃO")</f>
        <v>SEM ISENÇÃO</v>
      </c>
      <c r="F1285" s="18" t="str">
        <f>IF(COUNTIF(REDUÇÕES!A:A,CST!B1285)&gt;0,"REDUÇÃO","NÃO REDUÇÃO")</f>
        <v>NÃO REDUÇÃO</v>
      </c>
      <c r="G1285" s="27">
        <f t="shared" si="20"/>
        <v>0</v>
      </c>
    </row>
    <row r="1286" spans="1:7" x14ac:dyDescent="0.25">
      <c r="A1286" s="120" t="str">
        <f>RIGHT(CSTABLE[[#This Row],[NomeNCM]],8)</f>
        <v>25132000</v>
      </c>
      <c r="B1286" s="7" t="s">
        <v>4419</v>
      </c>
      <c r="C1286" s="3" t="str">
        <f>IFERROR(VLOOKUP(B1286,ST!C:D,2,0),"NÃOST")</f>
        <v>NÃOST</v>
      </c>
      <c r="E1286" s="3" t="str">
        <f>IF(COUNTIF(ISENÇÕES!A:A,CST!B1286)&gt;0,"ISENÇÃO","SEM ISENÇÃO")</f>
        <v>SEM ISENÇÃO</v>
      </c>
      <c r="F1286" s="18" t="str">
        <f>IF(COUNTIF(REDUÇÕES!A:A,CST!B1286)&gt;0,"REDUÇÃO","NÃO REDUÇÃO")</f>
        <v>NÃO REDUÇÃO</v>
      </c>
      <c r="G1286" s="27">
        <f t="shared" si="20"/>
        <v>0</v>
      </c>
    </row>
    <row r="1287" spans="1:7" x14ac:dyDescent="0.25">
      <c r="A1287" s="120" t="str">
        <f>RIGHT(CSTABLE[[#This Row],[NomeNCM]],8)</f>
        <v>48102290</v>
      </c>
      <c r="B1287" s="7" t="s">
        <v>4420</v>
      </c>
      <c r="C1287" s="3" t="str">
        <f>IFERROR(VLOOKUP(B1287,ST!C:D,2,0),"NÃOST")</f>
        <v>NÃOST</v>
      </c>
      <c r="E1287" s="3" t="str">
        <f>IF(COUNTIF(ISENÇÕES!A:A,CST!B1287)&gt;0,"ISENÇÃO","SEM ISENÇÃO")</f>
        <v>SEM ISENÇÃO</v>
      </c>
      <c r="F1287" s="18" t="str">
        <f>IF(COUNTIF(REDUÇÕES!A:A,CST!B1287)&gt;0,"REDUÇÃO","NÃO REDUÇÃO")</f>
        <v>NÃO REDUÇÃO</v>
      </c>
      <c r="G1287" s="27">
        <f t="shared" si="20"/>
        <v>0</v>
      </c>
    </row>
    <row r="1288" spans="1:7" x14ac:dyDescent="0.25">
      <c r="A1288" s="120" t="str">
        <f>RIGHT(CSTABLE[[#This Row],[NomeNCM]],8)</f>
        <v>69119000</v>
      </c>
      <c r="B1288" s="7" t="s">
        <v>4421</v>
      </c>
      <c r="C1288" s="3" t="str">
        <f>IFERROR(VLOOKUP(B1288,ST!C:D,2,0),"NÃOST")</f>
        <v>NÃOST</v>
      </c>
      <c r="E1288" s="3" t="str">
        <f>IF(COUNTIF(ISENÇÕES!A:A,CST!B1288)&gt;0,"ISENÇÃO","SEM ISENÇÃO")</f>
        <v>SEM ISENÇÃO</v>
      </c>
      <c r="F1288" s="18" t="str">
        <f>IF(COUNTIF(REDUÇÕES!A:A,CST!B1288)&gt;0,"REDUÇÃO","NÃO REDUÇÃO")</f>
        <v>NÃO REDUÇÃO</v>
      </c>
      <c r="G1288" s="27">
        <f t="shared" si="20"/>
        <v>0</v>
      </c>
    </row>
    <row r="1289" spans="1:7" x14ac:dyDescent="0.25">
      <c r="A1289" s="120" t="str">
        <f>RIGHT(CSTABLE[[#This Row],[NomeNCM]],8)</f>
        <v>07123100</v>
      </c>
      <c r="B1289" s="7" t="s">
        <v>3408</v>
      </c>
      <c r="C1289" s="3" t="str">
        <f>IFERROR(VLOOKUP(B1289,ST!C:D,2,0),"NÃOST")</f>
        <v>NÃOST</v>
      </c>
      <c r="E1289" s="3" t="str">
        <f>IF(COUNTIF(ISENÇÕES!A:A,CST!B1289)&gt;0,"ISENÇÃO","SEM ISENÇÃO")</f>
        <v>ISENÇÃO</v>
      </c>
      <c r="F1289" s="18" t="str">
        <f>IF(COUNTIF(REDUÇÕES!A:A,CST!B1289)&gt;0,"REDUÇÃO","NÃO REDUÇÃO")</f>
        <v>NÃO REDUÇÃO</v>
      </c>
      <c r="G1289" s="27">
        <f t="shared" si="20"/>
        <v>40</v>
      </c>
    </row>
    <row r="1290" spans="1:7" x14ac:dyDescent="0.25">
      <c r="A1290" s="120" t="str">
        <f>RIGHT(CSTABLE[[#This Row],[NomeNCM]],8)</f>
        <v>95063200</v>
      </c>
      <c r="B1290" s="7" t="s">
        <v>4422</v>
      </c>
      <c r="C1290" s="3" t="str">
        <f>IFERROR(VLOOKUP(B1290,ST!C:D,2,0),"NÃOST")</f>
        <v>NÃOST</v>
      </c>
      <c r="E1290" s="3" t="str">
        <f>IF(COUNTIF(ISENÇÕES!A:A,CST!B1290)&gt;0,"ISENÇÃO","SEM ISENÇÃO")</f>
        <v>SEM ISENÇÃO</v>
      </c>
      <c r="F1290" s="18" t="str">
        <f>IF(COUNTIF(REDUÇÕES!A:A,CST!B1290)&gt;0,"REDUÇÃO","NÃO REDUÇÃO")</f>
        <v>NÃO REDUÇÃO</v>
      </c>
      <c r="G1290" s="27">
        <f t="shared" si="20"/>
        <v>0</v>
      </c>
    </row>
    <row r="1291" spans="1:7" x14ac:dyDescent="0.25">
      <c r="A1291" s="120" t="str">
        <f>RIGHT(CSTABLE[[#This Row],[NomeNCM]],8)</f>
        <v>85287200</v>
      </c>
      <c r="B1291" s="7" t="s">
        <v>4423</v>
      </c>
      <c r="C1291" s="3" t="str">
        <f>IFERROR(VLOOKUP(B1291,ST!C:D,2,0),"NÃOST")</f>
        <v>NÃOST</v>
      </c>
      <c r="E1291" s="3" t="str">
        <f>IF(COUNTIF(ISENÇÕES!A:A,CST!B1291)&gt;0,"ISENÇÃO","SEM ISENÇÃO")</f>
        <v>SEM ISENÇÃO</v>
      </c>
      <c r="F1291" s="18" t="str">
        <f>IF(COUNTIF(REDUÇÕES!A:A,CST!B1291)&gt;0,"REDUÇÃO","NÃO REDUÇÃO")</f>
        <v>NÃO REDUÇÃO</v>
      </c>
      <c r="G1291" s="27">
        <f t="shared" si="20"/>
        <v>0</v>
      </c>
    </row>
    <row r="1292" spans="1:7" x14ac:dyDescent="0.25">
      <c r="A1292" s="120" t="str">
        <f>RIGHT(CSTABLE[[#This Row],[NomeNCM]],8)</f>
        <v>29252990</v>
      </c>
      <c r="B1292" s="7" t="s">
        <v>4424</v>
      </c>
      <c r="C1292" s="3" t="str">
        <f>IFERROR(VLOOKUP(B1292,ST!C:D,2,0),"NÃOST")</f>
        <v>NÃOST</v>
      </c>
      <c r="E1292" s="3" t="str">
        <f>IF(COUNTIF(ISENÇÕES!A:A,CST!B1292)&gt;0,"ISENÇÃO","SEM ISENÇÃO")</f>
        <v>SEM ISENÇÃO</v>
      </c>
      <c r="F1292" s="18" t="str">
        <f>IF(COUNTIF(REDUÇÕES!A:A,CST!B1292)&gt;0,"REDUÇÃO","NÃO REDUÇÃO")</f>
        <v>NÃO REDUÇÃO</v>
      </c>
      <c r="G1292" s="27">
        <f t="shared" si="20"/>
        <v>0</v>
      </c>
    </row>
    <row r="1293" spans="1:7" x14ac:dyDescent="0.25">
      <c r="A1293" s="120" t="str">
        <f>RIGHT(CSTABLE[[#This Row],[NomeNCM]],8)</f>
        <v>02072400</v>
      </c>
      <c r="B1293" s="7" t="s">
        <v>3088</v>
      </c>
      <c r="C1293" s="3" t="str">
        <f>IFERROR(VLOOKUP(B1293,ST!C:D,2,0),"NÃOST")</f>
        <v>NÃOST</v>
      </c>
      <c r="E1293" s="3" t="str">
        <f>IF(COUNTIF(ISENÇÕES!A:A,CST!B1293)&gt;0,"ISENÇÃO","SEM ISENÇÃO")</f>
        <v>SEM ISENÇÃO</v>
      </c>
      <c r="F1293" s="18" t="str">
        <f>IF(COUNTIF(REDUÇÕES!A:A,CST!B1293)&gt;0,"REDUÇÃO","NÃO REDUÇÃO")</f>
        <v>NÃO REDUÇÃO</v>
      </c>
      <c r="G1293" s="27">
        <f t="shared" si="20"/>
        <v>0</v>
      </c>
    </row>
    <row r="1294" spans="1:7" x14ac:dyDescent="0.25">
      <c r="A1294" s="120" t="str">
        <f>RIGHT(CSTABLE[[#This Row],[NomeNCM]],8)</f>
        <v>62092000</v>
      </c>
      <c r="B1294" s="7" t="s">
        <v>4425</v>
      </c>
      <c r="C1294" s="3" t="str">
        <f>IFERROR(VLOOKUP(B1294,ST!C:D,2,0),"NÃOST")</f>
        <v>NÃOST</v>
      </c>
      <c r="E1294" s="3" t="str">
        <f>IF(COUNTIF(ISENÇÕES!A:A,CST!B1294)&gt;0,"ISENÇÃO","SEM ISENÇÃO")</f>
        <v>SEM ISENÇÃO</v>
      </c>
      <c r="F1294" s="18" t="str">
        <f>IF(COUNTIF(REDUÇÕES!A:A,CST!B1294)&gt;0,"REDUÇÃO","NÃO REDUÇÃO")</f>
        <v>NÃO REDUÇÃO</v>
      </c>
      <c r="G1294" s="27">
        <f t="shared" si="20"/>
        <v>0</v>
      </c>
    </row>
    <row r="1295" spans="1:7" x14ac:dyDescent="0.25">
      <c r="A1295" s="120" t="str">
        <f>RIGHT(CSTABLE[[#This Row],[NomeNCM]],8)</f>
        <v>48022090</v>
      </c>
      <c r="B1295" s="7" t="s">
        <v>4426</v>
      </c>
      <c r="C1295" s="3" t="str">
        <f>IFERROR(VLOOKUP(B1295,ST!C:D,2,0),"NÃOST")</f>
        <v>NÃOST</v>
      </c>
      <c r="E1295" s="3" t="str">
        <f>IF(COUNTIF(ISENÇÕES!A:A,CST!B1295)&gt;0,"ISENÇÃO","SEM ISENÇÃO")</f>
        <v>SEM ISENÇÃO</v>
      </c>
      <c r="F1295" s="18" t="str">
        <f>IF(COUNTIF(REDUÇÕES!A:A,CST!B1295)&gt;0,"REDUÇÃO","NÃO REDUÇÃO")</f>
        <v>NÃO REDUÇÃO</v>
      </c>
      <c r="G1295" s="27">
        <f t="shared" ref="G1295:G1357" si="21">VLOOKUP(C1295&amp;F1295&amp;E1295,$B$3:$F$10,5,0)</f>
        <v>0</v>
      </c>
    </row>
    <row r="1296" spans="1:7" x14ac:dyDescent="0.25">
      <c r="A1296" s="120" t="str">
        <f>RIGHT(CSTABLE[[#This Row],[NomeNCM]],8)</f>
        <v>61153010</v>
      </c>
      <c r="B1296" s="7" t="s">
        <v>4427</v>
      </c>
      <c r="C1296" s="3" t="str">
        <f>IFERROR(VLOOKUP(B1296,ST!C:D,2,0),"NÃOST")</f>
        <v>NÃOST</v>
      </c>
      <c r="E1296" s="3" t="str">
        <f>IF(COUNTIF(ISENÇÕES!A:A,CST!B1296)&gt;0,"ISENÇÃO","SEM ISENÇÃO")</f>
        <v>SEM ISENÇÃO</v>
      </c>
      <c r="F1296" s="18" t="str">
        <f>IF(COUNTIF(REDUÇÕES!A:A,CST!B1296)&gt;0,"REDUÇÃO","NÃO REDUÇÃO")</f>
        <v>NÃO REDUÇÃO</v>
      </c>
      <c r="G1296" s="27">
        <f t="shared" si="21"/>
        <v>0</v>
      </c>
    </row>
    <row r="1297" spans="1:7" x14ac:dyDescent="0.25">
      <c r="A1297" s="120" t="str">
        <f>RIGHT(CSTABLE[[#This Row],[NomeNCM]],8)</f>
        <v>62032200</v>
      </c>
      <c r="B1297" s="7" t="s">
        <v>4428</v>
      </c>
      <c r="C1297" s="3" t="str">
        <f>IFERROR(VLOOKUP(B1297,ST!C:D,2,0),"NÃOST")</f>
        <v>NÃOST</v>
      </c>
      <c r="E1297" s="3" t="str">
        <f>IF(COUNTIF(ISENÇÕES!A:A,CST!B1297)&gt;0,"ISENÇÃO","SEM ISENÇÃO")</f>
        <v>SEM ISENÇÃO</v>
      </c>
      <c r="F1297" s="18" t="str">
        <f>IF(COUNTIF(REDUÇÕES!A:A,CST!B1297)&gt;0,"REDUÇÃO","NÃO REDUÇÃO")</f>
        <v>NÃO REDUÇÃO</v>
      </c>
      <c r="G1297" s="27">
        <f t="shared" si="21"/>
        <v>0</v>
      </c>
    </row>
    <row r="1298" spans="1:7" x14ac:dyDescent="0.25">
      <c r="A1298" s="120" t="str">
        <f>RIGHT(CSTABLE[[#This Row],[NomeNCM]],8)</f>
        <v>32089031</v>
      </c>
      <c r="B1298" s="7" t="s">
        <v>4430</v>
      </c>
      <c r="C1298" s="3" t="str">
        <f>IFERROR(VLOOKUP(B1298,ST!C:D,2,0),"NÃOST")</f>
        <v>ST</v>
      </c>
      <c r="E1298" s="3" t="str">
        <f>IF(COUNTIF(ISENÇÕES!A:A,CST!B1298)&gt;0,"ISENÇÃO","SEM ISENÇÃO")</f>
        <v>SEM ISENÇÃO</v>
      </c>
      <c r="F1298" s="18" t="str">
        <f>IF(COUNTIF(REDUÇÕES!A:A,CST!B1298)&gt;0,"REDUÇÃO","NÃO REDUÇÃO")</f>
        <v>NÃO REDUÇÃO</v>
      </c>
      <c r="G1298" s="27">
        <f t="shared" si="21"/>
        <v>60</v>
      </c>
    </row>
    <row r="1299" spans="1:7" x14ac:dyDescent="0.25">
      <c r="A1299" s="120" t="str">
        <f>RIGHT(CSTABLE[[#This Row],[NomeNCM]],8)</f>
        <v>62064000</v>
      </c>
      <c r="B1299" s="7" t="s">
        <v>4431</v>
      </c>
      <c r="C1299" s="3" t="str">
        <f>IFERROR(VLOOKUP(B1299,ST!C:D,2,0),"NÃOST")</f>
        <v>NÃOST</v>
      </c>
      <c r="E1299" s="3" t="str">
        <f>IF(COUNTIF(ISENÇÕES!A:A,CST!B1299)&gt;0,"ISENÇÃO","SEM ISENÇÃO")</f>
        <v>SEM ISENÇÃO</v>
      </c>
      <c r="F1299" s="18" t="str">
        <f>IF(COUNTIF(REDUÇÕES!A:A,CST!B1299)&gt;0,"REDUÇÃO","NÃO REDUÇÃO")</f>
        <v>NÃO REDUÇÃO</v>
      </c>
      <c r="G1299" s="27">
        <f t="shared" si="21"/>
        <v>0</v>
      </c>
    </row>
    <row r="1300" spans="1:7" x14ac:dyDescent="0.25">
      <c r="A1300" s="120" t="str">
        <f>RIGHT(CSTABLE[[#This Row],[NomeNCM]],8)</f>
        <v>62171000</v>
      </c>
      <c r="B1300" s="7" t="s">
        <v>4432</v>
      </c>
      <c r="C1300" s="3" t="str">
        <f>IFERROR(VLOOKUP(B1300,ST!C:D,2,0),"NÃOST")</f>
        <v>NÃOST</v>
      </c>
      <c r="E1300" s="3" t="str">
        <f>IF(COUNTIF(ISENÇÕES!A:A,CST!B1300)&gt;0,"ISENÇÃO","SEM ISENÇÃO")</f>
        <v>SEM ISENÇÃO</v>
      </c>
      <c r="F1300" s="18" t="str">
        <f>IF(COUNTIF(REDUÇÕES!A:A,CST!B1300)&gt;0,"REDUÇÃO","NÃO REDUÇÃO")</f>
        <v>NÃO REDUÇÃO</v>
      </c>
      <c r="G1300" s="27">
        <f t="shared" si="21"/>
        <v>0</v>
      </c>
    </row>
    <row r="1301" spans="1:7" x14ac:dyDescent="0.25">
      <c r="A1301" s="120" t="str">
        <f>RIGHT(CSTABLE[[#This Row],[NomeNCM]],8)</f>
        <v>62034200</v>
      </c>
      <c r="B1301" s="7" t="s">
        <v>4433</v>
      </c>
      <c r="C1301" s="3" t="str">
        <f>IFERROR(VLOOKUP(B1301,ST!C:D,2,0),"NÃOST")</f>
        <v>NÃOST</v>
      </c>
      <c r="E1301" s="3" t="str">
        <f>IF(COUNTIF(ISENÇÕES!A:A,CST!B1301)&gt;0,"ISENÇÃO","SEM ISENÇÃO")</f>
        <v>SEM ISENÇÃO</v>
      </c>
      <c r="F1301" s="18" t="str">
        <f>IF(COUNTIF(REDUÇÕES!A:A,CST!B1301)&gt;0,"REDUÇÃO","NÃO REDUÇÃO")</f>
        <v>NÃO REDUÇÃO</v>
      </c>
      <c r="G1301" s="27">
        <f t="shared" si="21"/>
        <v>0</v>
      </c>
    </row>
    <row r="1302" spans="1:7" x14ac:dyDescent="0.25">
      <c r="A1302" s="120" t="str">
        <f>RIGHT(CSTABLE[[#This Row],[NomeNCM]],8)</f>
        <v>61044200</v>
      </c>
      <c r="B1302" s="7" t="s">
        <v>4434</v>
      </c>
      <c r="C1302" s="3" t="str">
        <f>IFERROR(VLOOKUP(B1302,ST!C:D,2,0),"NÃOST")</f>
        <v>NÃOST</v>
      </c>
      <c r="E1302" s="3" t="str">
        <f>IF(COUNTIF(ISENÇÕES!A:A,CST!B1302)&gt;0,"ISENÇÃO","SEM ISENÇÃO")</f>
        <v>SEM ISENÇÃO</v>
      </c>
      <c r="F1302" s="18" t="str">
        <f>IF(COUNTIF(REDUÇÕES!A:A,CST!B1302)&gt;0,"REDUÇÃO","NÃO REDUÇÃO")</f>
        <v>NÃO REDUÇÃO</v>
      </c>
      <c r="G1302" s="27">
        <f t="shared" si="21"/>
        <v>0</v>
      </c>
    </row>
    <row r="1303" spans="1:7" x14ac:dyDescent="0.25">
      <c r="A1303" s="120" t="str">
        <f>RIGHT(CSTABLE[[#This Row],[NomeNCM]],8)</f>
        <v>32100010</v>
      </c>
      <c r="B1303" s="7" t="s">
        <v>4435</v>
      </c>
      <c r="C1303" s="3" t="str">
        <f>IFERROR(VLOOKUP(B1303,ST!C:D,2,0),"NÃOST")</f>
        <v>ST</v>
      </c>
      <c r="E1303" s="3" t="str">
        <f>IF(COUNTIF(ISENÇÕES!A:A,CST!B1303)&gt;0,"ISENÇÃO","SEM ISENÇÃO")</f>
        <v>SEM ISENÇÃO</v>
      </c>
      <c r="F1303" s="18" t="str">
        <f>IF(COUNTIF(REDUÇÕES!A:A,CST!B1303)&gt;0,"REDUÇÃO","NÃO REDUÇÃO")</f>
        <v>NÃO REDUÇÃO</v>
      </c>
      <c r="G1303" s="27">
        <f t="shared" si="21"/>
        <v>60</v>
      </c>
    </row>
    <row r="1304" spans="1:7" x14ac:dyDescent="0.25">
      <c r="A1304" s="120" t="str">
        <f>RIGHT(CSTABLE[[#This Row],[NomeNCM]],8)</f>
        <v>61159900</v>
      </c>
      <c r="B1304" s="7" t="s">
        <v>4436</v>
      </c>
      <c r="C1304" s="3" t="str">
        <f>IFERROR(VLOOKUP(B1304,ST!C:D,2,0),"NÃOST")</f>
        <v>NÃOST</v>
      </c>
      <c r="E1304" s="3" t="str">
        <f>IF(COUNTIF(ISENÇÕES!A:A,CST!B1304)&gt;0,"ISENÇÃO","SEM ISENÇÃO")</f>
        <v>SEM ISENÇÃO</v>
      </c>
      <c r="F1304" s="18" t="str">
        <f>IF(COUNTIF(REDUÇÕES!A:A,CST!B1304)&gt;0,"REDUÇÃO","NÃO REDUÇÃO")</f>
        <v>NÃO REDUÇÃO</v>
      </c>
      <c r="G1304" s="27">
        <f t="shared" si="21"/>
        <v>0</v>
      </c>
    </row>
    <row r="1305" spans="1:7" x14ac:dyDescent="0.25">
      <c r="A1305" s="120" t="str">
        <f>RIGHT(CSTABLE[[#This Row],[NomeNCM]],8)</f>
        <v>90039090</v>
      </c>
      <c r="B1305" s="7" t="s">
        <v>4437</v>
      </c>
      <c r="C1305" s="3" t="str">
        <f>IFERROR(VLOOKUP(B1305,ST!C:D,2,0),"NÃOST")</f>
        <v>NÃOST</v>
      </c>
      <c r="E1305" s="3" t="str">
        <f>IF(COUNTIF(ISENÇÕES!A:A,CST!B1305)&gt;0,"ISENÇÃO","SEM ISENÇÃO")</f>
        <v>SEM ISENÇÃO</v>
      </c>
      <c r="F1305" s="18" t="str">
        <f>IF(COUNTIF(REDUÇÕES!A:A,CST!B1305)&gt;0,"REDUÇÃO","NÃO REDUÇÃO")</f>
        <v>NÃO REDUÇÃO</v>
      </c>
      <c r="G1305" s="27">
        <f t="shared" si="21"/>
        <v>0</v>
      </c>
    </row>
    <row r="1306" spans="1:7" x14ac:dyDescent="0.25">
      <c r="A1306" s="120" t="str">
        <f>RIGHT(CSTABLE[[#This Row],[NomeNCM]],8)</f>
        <v>07134010</v>
      </c>
      <c r="B1306" s="7" t="s">
        <v>3409</v>
      </c>
      <c r="C1306" s="3" t="str">
        <f>IFERROR(VLOOKUP(B1306,ST!C:D,2,0),"NÃOST")</f>
        <v>NÃOST</v>
      </c>
      <c r="E1306" s="3" t="str">
        <f>IF(COUNTIF(ISENÇÕES!A:A,CST!B1306)&gt;0,"ISENÇÃO","SEM ISENÇÃO")</f>
        <v>SEM ISENÇÃO</v>
      </c>
      <c r="F1306" s="18" t="str">
        <f>IF(COUNTIF(REDUÇÕES!A:A,CST!B1306)&gt;0,"REDUÇÃO","NÃO REDUÇÃO")</f>
        <v>NÃO REDUÇÃO</v>
      </c>
      <c r="G1306" s="27">
        <f t="shared" si="21"/>
        <v>0</v>
      </c>
    </row>
    <row r="1307" spans="1:7" x14ac:dyDescent="0.25">
      <c r="A1307" s="120" t="str">
        <f>RIGHT(CSTABLE[[#This Row],[NomeNCM]],8)</f>
        <v>73259990</v>
      </c>
      <c r="B1307" s="7" t="s">
        <v>4438</v>
      </c>
      <c r="C1307" s="3" t="str">
        <f>IFERROR(VLOOKUP(B1307,ST!C:D,2,0),"NÃOST")</f>
        <v>NÃOST</v>
      </c>
      <c r="E1307" s="3" t="str">
        <f>IF(COUNTIF(ISENÇÕES!A:A,CST!B1307)&gt;0,"ISENÇÃO","SEM ISENÇÃO")</f>
        <v>SEM ISENÇÃO</v>
      </c>
      <c r="F1307" s="18" t="str">
        <f>IF(COUNTIF(REDUÇÕES!A:A,CST!B1307)&gt;0,"REDUÇÃO","NÃO REDUÇÃO")</f>
        <v>NÃO REDUÇÃO</v>
      </c>
      <c r="G1307" s="27">
        <f t="shared" si="21"/>
        <v>0</v>
      </c>
    </row>
    <row r="1308" spans="1:7" x14ac:dyDescent="0.25">
      <c r="A1308" s="120" t="str">
        <f>RIGHT(CSTABLE[[#This Row],[NomeNCM]],8)</f>
        <v>62121000</v>
      </c>
      <c r="B1308" s="7" t="s">
        <v>4439</v>
      </c>
      <c r="C1308" s="3" t="str">
        <f>IFERROR(VLOOKUP(B1308,ST!C:D,2,0),"NÃOST")</f>
        <v>NÃOST</v>
      </c>
      <c r="E1308" s="3" t="str">
        <f>IF(COUNTIF(ISENÇÕES!A:A,CST!B1308)&gt;0,"ISENÇÃO","SEM ISENÇÃO")</f>
        <v>SEM ISENÇÃO</v>
      </c>
      <c r="F1308" s="18" t="str">
        <f>IF(COUNTIF(REDUÇÕES!A:A,CST!B1308)&gt;0,"REDUÇÃO","NÃO REDUÇÃO")</f>
        <v>NÃO REDUÇÃO</v>
      </c>
      <c r="G1308" s="27">
        <f t="shared" si="21"/>
        <v>0</v>
      </c>
    </row>
    <row r="1309" spans="1:7" x14ac:dyDescent="0.25">
      <c r="A1309" s="120" t="str">
        <f>RIGHT(CSTABLE[[#This Row],[NomeNCM]],8)</f>
        <v>58012200</v>
      </c>
      <c r="B1309" s="7" t="s">
        <v>4440</v>
      </c>
      <c r="C1309" s="3" t="str">
        <f>IFERROR(VLOOKUP(B1309,ST!C:D,2,0),"NÃOST")</f>
        <v>NÃOST</v>
      </c>
      <c r="E1309" s="3" t="str">
        <f>IF(COUNTIF(ISENÇÕES!A:A,CST!B1309)&gt;0,"ISENÇÃO","SEM ISENÇÃO")</f>
        <v>SEM ISENÇÃO</v>
      </c>
      <c r="F1309" s="18" t="str">
        <f>IF(COUNTIF(REDUÇÕES!A:A,CST!B1309)&gt;0,"REDUÇÃO","NÃO REDUÇÃO")</f>
        <v>NÃO REDUÇÃO</v>
      </c>
      <c r="G1309" s="27">
        <f t="shared" si="21"/>
        <v>0</v>
      </c>
    </row>
    <row r="1310" spans="1:7" x14ac:dyDescent="0.25">
      <c r="A1310" s="120" t="str">
        <f>RIGHT(CSTABLE[[#This Row],[NomeNCM]],8)</f>
        <v>85071090</v>
      </c>
      <c r="B1310" s="7" t="s">
        <v>3414</v>
      </c>
      <c r="C1310" s="3" t="str">
        <f>IFERROR(VLOOKUP(B1310,ST!C:D,2,0),"NÃOST")</f>
        <v>NÃOST</v>
      </c>
      <c r="E1310" s="3" t="str">
        <f>IF(COUNTIF(ISENÇÕES!A:A,CST!B1310)&gt;0,"ISENÇÃO","SEM ISENÇÃO")</f>
        <v>SEM ISENÇÃO</v>
      </c>
      <c r="F1310" s="18" t="str">
        <f>IF(COUNTIF(REDUÇÕES!A:A,CST!B1310)&gt;0,"REDUÇÃO","NÃO REDUÇÃO")</f>
        <v>NÃO REDUÇÃO</v>
      </c>
      <c r="G1310" s="27">
        <f t="shared" si="21"/>
        <v>0</v>
      </c>
    </row>
    <row r="1311" spans="1:7" x14ac:dyDescent="0.25">
      <c r="A1311" s="120" t="str">
        <f>RIGHT(CSTABLE[[#This Row],[NomeNCM]],8)</f>
        <v>63039200</v>
      </c>
      <c r="B1311" s="7" t="s">
        <v>4441</v>
      </c>
      <c r="C1311" s="3" t="str">
        <f>IFERROR(VLOOKUP(B1311,ST!C:D,2,0),"NÃOST")</f>
        <v>NÃOST</v>
      </c>
      <c r="E1311" s="3" t="str">
        <f>IF(COUNTIF(ISENÇÕES!A:A,CST!B1311)&gt;0,"ISENÇÃO","SEM ISENÇÃO")</f>
        <v>SEM ISENÇÃO</v>
      </c>
      <c r="F1311" s="18" t="str">
        <f>IF(COUNTIF(REDUÇÕES!A:A,CST!B1311)&gt;0,"REDUÇÃO","NÃO REDUÇÃO")</f>
        <v>NÃO REDUÇÃO</v>
      </c>
      <c r="G1311" s="27">
        <f t="shared" si="21"/>
        <v>0</v>
      </c>
    </row>
    <row r="1312" spans="1:7" x14ac:dyDescent="0.25">
      <c r="A1312" s="120" t="str">
        <f>RIGHT(CSTABLE[[#This Row],[NomeNCM]],8)</f>
        <v>61112000</v>
      </c>
      <c r="B1312" s="7" t="s">
        <v>599</v>
      </c>
      <c r="C1312" s="3" t="str">
        <f>IFERROR(VLOOKUP(B1312,ST!C:D,2,0),"NÃOST")</f>
        <v>NÃOST</v>
      </c>
      <c r="E1312" s="3" t="str">
        <f>IF(COUNTIF(ISENÇÕES!A:A,CST!B1312)&gt;0,"ISENÇÃO","SEM ISENÇÃO")</f>
        <v>SEM ISENÇÃO</v>
      </c>
      <c r="F1312" s="18" t="str">
        <f>IF(COUNTIF(REDUÇÕES!A:A,CST!B1312)&gt;0,"REDUÇÃO","NÃO REDUÇÃO")</f>
        <v>REDUÇÃO</v>
      </c>
      <c r="G1312" s="27">
        <f t="shared" si="21"/>
        <v>20</v>
      </c>
    </row>
    <row r="1313" spans="1:7" x14ac:dyDescent="0.25">
      <c r="A1313" s="120" t="str">
        <f>RIGHT(CSTABLE[[#This Row],[NomeNCM]],8)</f>
        <v>61046200</v>
      </c>
      <c r="B1313" s="7" t="s">
        <v>4442</v>
      </c>
      <c r="C1313" s="3" t="str">
        <f>IFERROR(VLOOKUP(B1313,ST!C:D,2,0),"NÃOST")</f>
        <v>NÃOST</v>
      </c>
      <c r="E1313" s="3" t="str">
        <f>IF(COUNTIF(ISENÇÕES!A:A,CST!B1313)&gt;0,"ISENÇÃO","SEM ISENÇÃO")</f>
        <v>SEM ISENÇÃO</v>
      </c>
      <c r="F1313" s="18" t="str">
        <f>IF(COUNTIF(REDUÇÕES!A:A,CST!B1313)&gt;0,"REDUÇÃO","NÃO REDUÇÃO")</f>
        <v>NÃO REDUÇÃO</v>
      </c>
      <c r="G1313" s="27">
        <f t="shared" si="21"/>
        <v>0</v>
      </c>
    </row>
    <row r="1314" spans="1:7" x14ac:dyDescent="0.25">
      <c r="A1314" s="120" t="str">
        <f>RIGHT(CSTABLE[[#This Row],[NomeNCM]],8)</f>
        <v>85165000</v>
      </c>
      <c r="B1314" s="7" t="s">
        <v>4443</v>
      </c>
      <c r="C1314" s="3" t="str">
        <f>IFERROR(VLOOKUP(B1314,ST!C:D,2,0),"NÃOST")</f>
        <v>NÃOST</v>
      </c>
      <c r="E1314" s="3" t="str">
        <f>IF(COUNTIF(ISENÇÕES!A:A,CST!B1314)&gt;0,"ISENÇÃO","SEM ISENÇÃO")</f>
        <v>SEM ISENÇÃO</v>
      </c>
      <c r="F1314" s="18" t="str">
        <f>IF(COUNTIF(REDUÇÕES!A:A,CST!B1314)&gt;0,"REDUÇÃO","NÃO REDUÇÃO")</f>
        <v>NÃO REDUÇÃO</v>
      </c>
      <c r="G1314" s="27">
        <f t="shared" si="21"/>
        <v>0</v>
      </c>
    </row>
    <row r="1315" spans="1:7" x14ac:dyDescent="0.25">
      <c r="A1315" s="120" t="str">
        <f>RIGHT(CSTABLE[[#This Row],[NomeNCM]],8)</f>
        <v>96089990</v>
      </c>
      <c r="B1315" s="7" t="s">
        <v>4444</v>
      </c>
      <c r="C1315" s="3" t="str">
        <f>IFERROR(VLOOKUP(B1315,ST!C:D,2,0),"NÃOST")</f>
        <v>NÃOST</v>
      </c>
      <c r="E1315" s="3" t="str">
        <f>IF(COUNTIF(ISENÇÕES!A:A,CST!B1315)&gt;0,"ISENÇÃO","SEM ISENÇÃO")</f>
        <v>SEM ISENÇÃO</v>
      </c>
      <c r="F1315" s="18" t="str">
        <f>IF(COUNTIF(REDUÇÕES!A:A,CST!B1315)&gt;0,"REDUÇÃO","NÃO REDUÇÃO")</f>
        <v>NÃO REDUÇÃO</v>
      </c>
      <c r="G1315" s="27">
        <f t="shared" si="21"/>
        <v>0</v>
      </c>
    </row>
    <row r="1316" spans="1:7" x14ac:dyDescent="0.25">
      <c r="A1316" s="120" t="str">
        <f>RIGHT(CSTABLE[[#This Row],[NomeNCM]],8)</f>
        <v>30089100</v>
      </c>
      <c r="B1316" s="7" t="s">
        <v>4445</v>
      </c>
      <c r="C1316" s="3" t="str">
        <f>IFERROR(VLOOKUP(B1316,ST!C:D,2,0),"NÃOST")</f>
        <v>NÃOST</v>
      </c>
      <c r="E1316" s="3" t="str">
        <f>IF(COUNTIF(ISENÇÕES!A:A,CST!B1316)&gt;0,"ISENÇÃO","SEM ISENÇÃO")</f>
        <v>SEM ISENÇÃO</v>
      </c>
      <c r="F1316" s="18" t="str">
        <f>IF(COUNTIF(REDUÇÕES!A:A,CST!B1316)&gt;0,"REDUÇÃO","NÃO REDUÇÃO")</f>
        <v>NÃO REDUÇÃO</v>
      </c>
      <c r="G1316" s="27">
        <f t="shared" si="21"/>
        <v>0</v>
      </c>
    </row>
    <row r="1317" spans="1:7" x14ac:dyDescent="0.25">
      <c r="A1317" s="120" t="str">
        <f>RIGHT(CSTABLE[[#This Row],[NomeNCM]],8)</f>
        <v>84671110</v>
      </c>
      <c r="B1317" s="7" t="s">
        <v>1860</v>
      </c>
      <c r="C1317" s="3" t="str">
        <f>IFERROR(VLOOKUP(B1317,ST!C:D,2,0),"NÃOST")</f>
        <v>NÃOST</v>
      </c>
      <c r="E1317" s="3" t="str">
        <f>IF(COUNTIF(ISENÇÕES!A:A,CST!B1317)&gt;0,"ISENÇÃO","SEM ISENÇÃO")</f>
        <v>SEM ISENÇÃO</v>
      </c>
      <c r="F1317" s="18" t="str">
        <f>IF(COUNTIF(REDUÇÕES!A:A,CST!B1317)&gt;0,"REDUÇÃO","NÃO REDUÇÃO")</f>
        <v>REDUÇÃO</v>
      </c>
      <c r="G1317" s="27">
        <f t="shared" si="21"/>
        <v>20</v>
      </c>
    </row>
    <row r="1318" spans="1:7" x14ac:dyDescent="0.25">
      <c r="A1318" s="120" t="str">
        <f>RIGHT(CSTABLE[[#This Row],[NomeNCM]],8)</f>
        <v>62042200</v>
      </c>
      <c r="B1318" s="7" t="s">
        <v>4446</v>
      </c>
      <c r="C1318" s="3" t="str">
        <f>IFERROR(VLOOKUP(B1318,ST!C:D,2,0),"NÃOST")</f>
        <v>NÃOST</v>
      </c>
      <c r="E1318" s="3" t="str">
        <f>IF(COUNTIF(ISENÇÕES!A:A,CST!B1318)&gt;0,"ISENÇÃO","SEM ISENÇÃO")</f>
        <v>SEM ISENÇÃO</v>
      </c>
      <c r="F1318" s="18" t="str">
        <f>IF(COUNTIF(REDUÇÕES!A:A,CST!B1318)&gt;0,"REDUÇÃO","NÃO REDUÇÃO")</f>
        <v>NÃO REDUÇÃO</v>
      </c>
      <c r="G1318" s="27">
        <f t="shared" si="21"/>
        <v>0</v>
      </c>
    </row>
    <row r="1319" spans="1:7" x14ac:dyDescent="0.25">
      <c r="A1319" s="120" t="str">
        <f>RIGHT(CSTABLE[[#This Row],[NomeNCM]],8)</f>
        <v>84796000</v>
      </c>
      <c r="B1319" s="7" t="s">
        <v>4447</v>
      </c>
      <c r="C1319" s="3" t="str">
        <f>IFERROR(VLOOKUP(B1319,ST!C:D,2,0),"NÃOST")</f>
        <v>NÃOST</v>
      </c>
      <c r="E1319" s="3" t="str">
        <f>IF(COUNTIF(ISENÇÕES!A:A,CST!B1319)&gt;0,"ISENÇÃO","SEM ISENÇÃO")</f>
        <v>SEM ISENÇÃO</v>
      </c>
      <c r="F1319" s="18" t="str">
        <f>IF(COUNTIF(REDUÇÕES!A:A,CST!B1319)&gt;0,"REDUÇÃO","NÃO REDUÇÃO")</f>
        <v>NÃO REDUÇÃO</v>
      </c>
      <c r="G1319" s="27">
        <f t="shared" si="21"/>
        <v>0</v>
      </c>
    </row>
    <row r="1320" spans="1:7" x14ac:dyDescent="0.25">
      <c r="A1320" s="120" t="str">
        <f>RIGHT(CSTABLE[[#This Row],[NomeNCM]],8)</f>
        <v>85372090</v>
      </c>
      <c r="B1320" s="7" t="s">
        <v>4448</v>
      </c>
      <c r="C1320" s="3" t="str">
        <f>IFERROR(VLOOKUP(B1320,ST!C:D,2,0),"NÃOST")</f>
        <v>NÃOST</v>
      </c>
      <c r="E1320" s="3" t="str">
        <f>IF(COUNTIF(ISENÇÕES!A:A,CST!B1320)&gt;0,"ISENÇÃO","SEM ISENÇÃO")</f>
        <v>SEM ISENÇÃO</v>
      </c>
      <c r="F1320" s="18" t="str">
        <f>IF(COUNTIF(REDUÇÕES!A:A,CST!B1320)&gt;0,"REDUÇÃO","NÃO REDUÇÃO")</f>
        <v>NÃO REDUÇÃO</v>
      </c>
      <c r="G1320" s="27">
        <f t="shared" si="21"/>
        <v>0</v>
      </c>
    </row>
    <row r="1321" spans="1:7" x14ac:dyDescent="0.25">
      <c r="A1321" s="120" t="str">
        <f>RIGHT(CSTABLE[[#This Row],[NomeNCM]],8)</f>
        <v>62046200</v>
      </c>
      <c r="B1321" s="7" t="s">
        <v>4449</v>
      </c>
      <c r="C1321" s="3" t="str">
        <f>IFERROR(VLOOKUP(B1321,ST!C:D,2,0),"NÃOST")</f>
        <v>NÃOST</v>
      </c>
      <c r="E1321" s="3" t="str">
        <f>IF(COUNTIF(ISENÇÕES!A:A,CST!B1321)&gt;0,"ISENÇÃO","SEM ISENÇÃO")</f>
        <v>SEM ISENÇÃO</v>
      </c>
      <c r="F1321" s="18" t="str">
        <f>IF(COUNTIF(REDUÇÕES!A:A,CST!B1321)&gt;0,"REDUÇÃO","NÃO REDUÇÃO")</f>
        <v>NÃO REDUÇÃO</v>
      </c>
      <c r="G1321" s="27">
        <f t="shared" si="21"/>
        <v>0</v>
      </c>
    </row>
    <row r="1322" spans="1:7" x14ac:dyDescent="0.25">
      <c r="A1322" s="120" t="str">
        <f>RIGHT(CSTABLE[[#This Row],[NomeNCM]],8)</f>
        <v>03028935</v>
      </c>
      <c r="B1322" s="7" t="s">
        <v>3164</v>
      </c>
      <c r="C1322" s="3" t="str">
        <f>IFERROR(VLOOKUP(B1322,ST!C:D,2,0),"NÃOST")</f>
        <v>NÃOST</v>
      </c>
      <c r="E1322" s="3" t="str">
        <f>IF(COUNTIF(ISENÇÕES!A:A,CST!B1322)&gt;0,"ISENÇÃO","SEM ISENÇÃO")</f>
        <v>SEM ISENÇÃO</v>
      </c>
      <c r="F1322" s="18" t="str">
        <f>IF(COUNTIF(REDUÇÕES!A:A,CST!B1322)&gt;0,"REDUÇÃO","NÃO REDUÇÃO")</f>
        <v>NÃO REDUÇÃO</v>
      </c>
      <c r="G1322" s="27">
        <f t="shared" si="21"/>
        <v>0</v>
      </c>
    </row>
    <row r="1323" spans="1:7" x14ac:dyDescent="0.25">
      <c r="A1323" s="120" t="str">
        <f>RIGHT(CSTABLE[[#This Row],[NomeNCM]],8)</f>
        <v>61051000</v>
      </c>
      <c r="B1323" s="7" t="s">
        <v>4450</v>
      </c>
      <c r="C1323" s="3" t="str">
        <f>IFERROR(VLOOKUP(B1323,ST!C:D,2,0),"NÃOST")</f>
        <v>NÃOST</v>
      </c>
      <c r="E1323" s="3" t="str">
        <f>IF(COUNTIF(ISENÇÕES!A:A,CST!B1323)&gt;0,"ISENÇÃO","SEM ISENÇÃO")</f>
        <v>SEM ISENÇÃO</v>
      </c>
      <c r="F1323" s="18" t="str">
        <f>IF(COUNTIF(REDUÇÕES!A:A,CST!B1323)&gt;0,"REDUÇÃO","NÃO REDUÇÃO")</f>
        <v>NÃO REDUÇÃO</v>
      </c>
      <c r="G1323" s="27">
        <f t="shared" si="21"/>
        <v>0</v>
      </c>
    </row>
    <row r="1324" spans="1:7" x14ac:dyDescent="0.25">
      <c r="A1324" s="120" t="str">
        <f>RIGHT(CSTABLE[[#This Row],[NomeNCM]],8)</f>
        <v>33012590</v>
      </c>
      <c r="B1324" s="7" t="s">
        <v>4451</v>
      </c>
      <c r="C1324" s="3" t="str">
        <f>IFERROR(VLOOKUP(B1324,ST!C:D,2,0),"NÃOST")</f>
        <v>NÃOST</v>
      </c>
      <c r="E1324" s="3" t="str">
        <f>IF(COUNTIF(ISENÇÕES!A:A,CST!B1324)&gt;0,"ISENÇÃO","SEM ISENÇÃO")</f>
        <v>SEM ISENÇÃO</v>
      </c>
      <c r="F1324" s="18" t="str">
        <f>IF(COUNTIF(REDUÇÕES!A:A,CST!B1324)&gt;0,"REDUÇÃO","NÃO REDUÇÃO")</f>
        <v>NÃO REDUÇÃO</v>
      </c>
      <c r="G1324" s="27">
        <f t="shared" si="21"/>
        <v>0</v>
      </c>
    </row>
    <row r="1325" spans="1:7" x14ac:dyDescent="0.25">
      <c r="A1325" s="120" t="str">
        <f>RIGHT(CSTABLE[[#This Row],[NomeNCM]],8)</f>
        <v>84219999</v>
      </c>
      <c r="B1325" s="7" t="s">
        <v>4452</v>
      </c>
      <c r="C1325" s="3" t="str">
        <f>IFERROR(VLOOKUP(B1325,ST!C:D,2,0),"NÃOST")</f>
        <v>NÃOST</v>
      </c>
      <c r="E1325" s="3" t="str">
        <f>IF(COUNTIF(ISENÇÕES!A:A,CST!B1325)&gt;0,"ISENÇÃO","SEM ISENÇÃO")</f>
        <v>SEM ISENÇÃO</v>
      </c>
      <c r="F1325" s="18" t="str">
        <f>IF(COUNTIF(REDUÇÕES!A:A,CST!B1325)&gt;0,"REDUÇÃO","NÃO REDUÇÃO")</f>
        <v>NÃO REDUÇÃO</v>
      </c>
      <c r="G1325" s="27">
        <f t="shared" si="21"/>
        <v>0</v>
      </c>
    </row>
    <row r="1326" spans="1:7" x14ac:dyDescent="0.25">
      <c r="A1326" s="120" t="str">
        <f>RIGHT(CSTABLE[[#This Row],[NomeNCM]],8)</f>
        <v>44079990</v>
      </c>
      <c r="B1326" s="7" t="s">
        <v>4453</v>
      </c>
      <c r="C1326" s="3" t="str">
        <f>IFERROR(VLOOKUP(B1326,ST!C:D,2,0),"NÃOST")</f>
        <v>NÃOST</v>
      </c>
      <c r="E1326" s="3" t="str">
        <f>IF(COUNTIF(ISENÇÕES!A:A,CST!B1326)&gt;0,"ISENÇÃO","SEM ISENÇÃO")</f>
        <v>SEM ISENÇÃO</v>
      </c>
      <c r="F1326" s="18" t="str">
        <f>IF(COUNTIF(REDUÇÕES!A:A,CST!B1326)&gt;0,"REDUÇÃO","NÃO REDUÇÃO")</f>
        <v>NÃO REDUÇÃO</v>
      </c>
      <c r="G1326" s="27">
        <f t="shared" si="21"/>
        <v>0</v>
      </c>
    </row>
    <row r="1327" spans="1:7" x14ac:dyDescent="0.25">
      <c r="A1327" s="120" t="str">
        <f>RIGHT(CSTABLE[[#This Row],[NomeNCM]],8)</f>
        <v>85447090</v>
      </c>
      <c r="B1327" s="7" t="s">
        <v>4454</v>
      </c>
      <c r="C1327" s="3" t="str">
        <f>IFERROR(VLOOKUP(B1327,ST!C:D,2,0),"NÃOST")</f>
        <v>NÃOST</v>
      </c>
      <c r="E1327" s="3" t="str">
        <f>IF(COUNTIF(ISENÇÕES!A:A,CST!B1327)&gt;0,"ISENÇÃO","SEM ISENÇÃO")</f>
        <v>SEM ISENÇÃO</v>
      </c>
      <c r="F1327" s="18" t="str">
        <f>IF(COUNTIF(REDUÇÕES!A:A,CST!B1327)&gt;0,"REDUÇÃO","NÃO REDUÇÃO")</f>
        <v>NÃO REDUÇÃO</v>
      </c>
      <c r="G1327" s="27">
        <f t="shared" si="21"/>
        <v>0</v>
      </c>
    </row>
    <row r="1328" spans="1:7" x14ac:dyDescent="0.25">
      <c r="A1328" s="120" t="str">
        <f>RIGHT(CSTABLE[[#This Row],[NomeNCM]],8)</f>
        <v>03038954</v>
      </c>
      <c r="B1328" s="7" t="s">
        <v>3239</v>
      </c>
      <c r="C1328" s="3" t="str">
        <f>IFERROR(VLOOKUP(B1328,ST!C:D,2,0),"NÃOST")</f>
        <v>NÃOST</v>
      </c>
      <c r="E1328" s="3" t="str">
        <f>IF(COUNTIF(ISENÇÕES!A:A,CST!B1328)&gt;0,"ISENÇÃO","SEM ISENÇÃO")</f>
        <v>SEM ISENÇÃO</v>
      </c>
      <c r="F1328" s="18" t="str">
        <f>IF(COUNTIF(REDUÇÕES!A:A,CST!B1328)&gt;0,"REDUÇÃO","NÃO REDUÇÃO")</f>
        <v>NÃO REDUÇÃO</v>
      </c>
      <c r="G1328" s="27">
        <f t="shared" si="21"/>
        <v>0</v>
      </c>
    </row>
    <row r="1329" spans="1:7" x14ac:dyDescent="0.25">
      <c r="A1329" s="120" t="str">
        <f>RIGHT(CSTABLE[[#This Row],[NomeNCM]],8)</f>
        <v>40111000</v>
      </c>
      <c r="B1329" s="7" t="s">
        <v>101</v>
      </c>
      <c r="C1329" s="3" t="str">
        <f>IFERROR(VLOOKUP(B1329,ST!C:D,2,0),"NÃOST")</f>
        <v>ST</v>
      </c>
      <c r="E1329" s="3" t="str">
        <f>IF(COUNTIF(ISENÇÕES!A:A,CST!B1329)&gt;0,"ISENÇÃO","SEM ISENÇÃO")</f>
        <v>SEM ISENÇÃO</v>
      </c>
      <c r="F1329" s="18" t="str">
        <f>IF(COUNTIF(REDUÇÕES!A:A,CST!B1329)&gt;0,"REDUÇÃO","NÃO REDUÇÃO")</f>
        <v>NÃO REDUÇÃO</v>
      </c>
      <c r="G1329" s="27">
        <f t="shared" si="21"/>
        <v>60</v>
      </c>
    </row>
    <row r="1330" spans="1:7" x14ac:dyDescent="0.25">
      <c r="A1330" s="120" t="str">
        <f>RIGHT(CSTABLE[[#This Row],[NomeNCM]],8)</f>
        <v>85363000</v>
      </c>
      <c r="B1330" s="7" t="s">
        <v>2306</v>
      </c>
      <c r="C1330" s="3" t="str">
        <f>IFERROR(VLOOKUP(B1330,ST!C:D,2,0),"NÃOST")</f>
        <v>NÃOST</v>
      </c>
      <c r="E1330" s="3" t="str">
        <f>IF(COUNTIF(ISENÇÕES!A:A,CST!B1330)&gt;0,"ISENÇÃO","SEM ISENÇÃO")</f>
        <v>SEM ISENÇÃO</v>
      </c>
      <c r="F1330" s="18" t="str">
        <f>IF(COUNTIF(REDUÇÕES!A:A,CST!B1330)&gt;0,"REDUÇÃO","NÃO REDUÇÃO")</f>
        <v>REDUÇÃO</v>
      </c>
      <c r="G1330" s="27">
        <f t="shared" si="21"/>
        <v>20</v>
      </c>
    </row>
    <row r="1331" spans="1:7" x14ac:dyDescent="0.25">
      <c r="A1331" s="120" t="str">
        <f>RIGHT(CSTABLE[[#This Row],[NomeNCM]],8)</f>
        <v>63041910</v>
      </c>
      <c r="B1331" s="7" t="s">
        <v>4455</v>
      </c>
      <c r="C1331" s="3" t="str">
        <f>IFERROR(VLOOKUP(B1331,ST!C:D,2,0),"NÃOST")</f>
        <v>NÃOST</v>
      </c>
      <c r="E1331" s="3" t="str">
        <f>IF(COUNTIF(ISENÇÕES!A:A,CST!B1331)&gt;0,"ISENÇÃO","SEM ISENÇÃO")</f>
        <v>SEM ISENÇÃO</v>
      </c>
      <c r="F1331" s="18" t="str">
        <f>IF(COUNTIF(REDUÇÕES!A:A,CST!B1331)&gt;0,"REDUÇÃO","NÃO REDUÇÃO")</f>
        <v>NÃO REDUÇÃO</v>
      </c>
      <c r="G1331" s="27">
        <f t="shared" si="21"/>
        <v>0</v>
      </c>
    </row>
    <row r="1332" spans="1:7" x14ac:dyDescent="0.25">
      <c r="A1332" s="120" t="str">
        <f>RIGHT(CSTABLE[[#This Row],[NomeNCM]],8)</f>
        <v>62063000</v>
      </c>
      <c r="B1332" s="7" t="s">
        <v>4456</v>
      </c>
      <c r="C1332" s="3" t="str">
        <f>IFERROR(VLOOKUP(B1332,ST!C:D,2,0),"NÃOST")</f>
        <v>NÃOST</v>
      </c>
      <c r="E1332" s="3" t="str">
        <f>IF(COUNTIF(ISENÇÕES!A:A,CST!B1332)&gt;0,"ISENÇÃO","SEM ISENÇÃO")</f>
        <v>SEM ISENÇÃO</v>
      </c>
      <c r="F1332" s="18" t="str">
        <f>IF(COUNTIF(REDUÇÕES!A:A,CST!B1332)&gt;0,"REDUÇÃO","NÃO REDUÇÃO")</f>
        <v>NÃO REDUÇÃO</v>
      </c>
      <c r="G1332" s="27">
        <f t="shared" si="21"/>
        <v>0</v>
      </c>
    </row>
    <row r="1333" spans="1:7" x14ac:dyDescent="0.25">
      <c r="A1333" s="120" t="str">
        <f>RIGHT(CSTABLE[[#This Row],[NomeNCM]],8)</f>
        <v>62034900</v>
      </c>
      <c r="B1333" s="7" t="s">
        <v>4457</v>
      </c>
      <c r="C1333" s="3" t="str">
        <f>IFERROR(VLOOKUP(B1333,ST!C:D,2,0),"NÃOST")</f>
        <v>NÃOST</v>
      </c>
      <c r="E1333" s="3" t="str">
        <f>IF(COUNTIF(ISENÇÕES!A:A,CST!B1333)&gt;0,"ISENÇÃO","SEM ISENÇÃO")</f>
        <v>SEM ISENÇÃO</v>
      </c>
      <c r="F1333" s="18" t="str">
        <f>IF(COUNTIF(REDUÇÕES!A:A,CST!B1333)&gt;0,"REDUÇÃO","NÃO REDUÇÃO")</f>
        <v>NÃO REDUÇÃO</v>
      </c>
      <c r="G1333" s="27">
        <f t="shared" si="21"/>
        <v>0</v>
      </c>
    </row>
    <row r="1334" spans="1:7" x14ac:dyDescent="0.25">
      <c r="A1334" s="120" t="str">
        <f>RIGHT(CSTABLE[[#This Row],[NomeNCM]],8)</f>
        <v>85182200</v>
      </c>
      <c r="B1334" s="7" t="s">
        <v>4458</v>
      </c>
      <c r="C1334" s="3" t="str">
        <f>IFERROR(VLOOKUP(B1334,ST!C:D,2,0),"NÃOST")</f>
        <v>NÃOST</v>
      </c>
      <c r="E1334" s="3" t="str">
        <f>IF(COUNTIF(ISENÇÕES!A:A,CST!B1334)&gt;0,"ISENÇÃO","SEM ISENÇÃO")</f>
        <v>SEM ISENÇÃO</v>
      </c>
      <c r="F1334" s="18" t="str">
        <f>IF(COUNTIF(REDUÇÕES!A:A,CST!B1334)&gt;0,"REDUÇÃO","NÃO REDUÇÃO")</f>
        <v>NÃO REDUÇÃO</v>
      </c>
      <c r="G1334" s="27">
        <f t="shared" si="21"/>
        <v>0</v>
      </c>
    </row>
    <row r="1335" spans="1:7" x14ac:dyDescent="0.25">
      <c r="A1335" s="120" t="str">
        <f>RIGHT(CSTABLE[[#This Row],[NomeNCM]],8)</f>
        <v>40012990</v>
      </c>
      <c r="B1335" s="7" t="s">
        <v>4459</v>
      </c>
      <c r="C1335" s="3" t="str">
        <f>IFERROR(VLOOKUP(B1335,ST!C:D,2,0),"NÃOST")</f>
        <v>NÃOST</v>
      </c>
      <c r="E1335" s="3" t="str">
        <f>IF(COUNTIF(ISENÇÕES!A:A,CST!B1335)&gt;0,"ISENÇÃO","SEM ISENÇÃO")</f>
        <v>SEM ISENÇÃO</v>
      </c>
      <c r="F1335" s="18" t="str">
        <f>IF(COUNTIF(REDUÇÕES!A:A,CST!B1335)&gt;0,"REDUÇÃO","NÃO REDUÇÃO")</f>
        <v>NÃO REDUÇÃO</v>
      </c>
      <c r="G1335" s="27">
        <f t="shared" si="21"/>
        <v>0</v>
      </c>
    </row>
    <row r="1336" spans="1:7" x14ac:dyDescent="0.25">
      <c r="A1336" s="120" t="str">
        <f>RIGHT(CSTABLE[[#This Row],[NomeNCM]],8)</f>
        <v>61082200</v>
      </c>
      <c r="B1336" s="7" t="s">
        <v>4460</v>
      </c>
      <c r="C1336" s="3" t="str">
        <f>IFERROR(VLOOKUP(B1336,ST!C:D,2,0),"NÃOST")</f>
        <v>NÃOST</v>
      </c>
      <c r="E1336" s="3" t="str">
        <f>IF(COUNTIF(ISENÇÕES!A:A,CST!B1336)&gt;0,"ISENÇÃO","SEM ISENÇÃO")</f>
        <v>SEM ISENÇÃO</v>
      </c>
      <c r="F1336" s="18" t="str">
        <f>IF(COUNTIF(REDUÇÕES!A:A,CST!B1336)&gt;0,"REDUÇÃO","NÃO REDUÇÃO")</f>
        <v>NÃO REDUÇÃO</v>
      </c>
      <c r="G1336" s="27">
        <f t="shared" si="21"/>
        <v>0</v>
      </c>
    </row>
    <row r="1337" spans="1:7" x14ac:dyDescent="0.25">
      <c r="A1337" s="120" t="str">
        <f>RIGHT(CSTABLE[[#This Row],[NomeNCM]],8)</f>
        <v>42023900</v>
      </c>
      <c r="B1337" s="7" t="s">
        <v>4461</v>
      </c>
      <c r="C1337" s="3" t="str">
        <f>IFERROR(VLOOKUP(B1337,ST!C:D,2,0),"NÃOST")</f>
        <v>NÃOST</v>
      </c>
      <c r="E1337" s="3" t="str">
        <f>IF(COUNTIF(ISENÇÕES!A:A,CST!B1337)&gt;0,"ISENÇÃO","SEM ISENÇÃO")</f>
        <v>SEM ISENÇÃO</v>
      </c>
      <c r="F1337" s="18" t="str">
        <f>IF(COUNTIF(REDUÇÕES!A:A,CST!B1337)&gt;0,"REDUÇÃO","NÃO REDUÇÃO")</f>
        <v>NÃO REDUÇÃO</v>
      </c>
      <c r="G1337" s="27">
        <f t="shared" si="21"/>
        <v>0</v>
      </c>
    </row>
    <row r="1338" spans="1:7" x14ac:dyDescent="0.25">
      <c r="A1338" s="120" t="str">
        <f>RIGHT(CSTABLE[[#This Row],[NomeNCM]],8)</f>
        <v>73102110</v>
      </c>
      <c r="B1338" s="7" t="s">
        <v>4462</v>
      </c>
      <c r="C1338" s="3" t="str">
        <f>IFERROR(VLOOKUP(B1338,ST!C:D,2,0),"NÃOST")</f>
        <v>NÃOST</v>
      </c>
      <c r="E1338" s="3" t="str">
        <f>IF(COUNTIF(ISENÇÕES!A:A,CST!B1338)&gt;0,"ISENÇÃO","SEM ISENÇÃO")</f>
        <v>SEM ISENÇÃO</v>
      </c>
      <c r="F1338" s="18" t="str">
        <f>IF(COUNTIF(REDUÇÕES!A:A,CST!B1338)&gt;0,"REDUÇÃO","NÃO REDUÇÃO")</f>
        <v>NÃO REDUÇÃO</v>
      </c>
      <c r="G1338" s="27">
        <f t="shared" si="21"/>
        <v>0</v>
      </c>
    </row>
    <row r="1339" spans="1:7" x14ac:dyDescent="0.25">
      <c r="A1339" s="120" t="str">
        <f>RIGHT(CSTABLE[[#This Row],[NomeNCM]],8)</f>
        <v>39219012</v>
      </c>
      <c r="B1339" s="7" t="s">
        <v>4463</v>
      </c>
      <c r="C1339" s="3" t="str">
        <f>IFERROR(VLOOKUP(B1339,ST!C:D,2,0),"NÃOST")</f>
        <v>NÃOST</v>
      </c>
      <c r="E1339" s="3" t="str">
        <f>IF(COUNTIF(ISENÇÕES!A:A,CST!B1339)&gt;0,"ISENÇÃO","SEM ISENÇÃO")</f>
        <v>SEM ISENÇÃO</v>
      </c>
      <c r="F1339" s="18" t="str">
        <f>IF(COUNTIF(REDUÇÕES!A:A,CST!B1339)&gt;0,"REDUÇÃO","NÃO REDUÇÃO")</f>
        <v>NÃO REDUÇÃO</v>
      </c>
      <c r="G1339" s="27">
        <f t="shared" si="21"/>
        <v>0</v>
      </c>
    </row>
    <row r="1340" spans="1:7" x14ac:dyDescent="0.25">
      <c r="A1340" s="120" t="str">
        <f>RIGHT(CSTABLE[[#This Row],[NomeNCM]],8)</f>
        <v>30051020</v>
      </c>
      <c r="B1340" s="7" t="s">
        <v>4464</v>
      </c>
      <c r="C1340" s="3" t="str">
        <f>IFERROR(VLOOKUP(B1340,ST!C:D,2,0),"NÃOST")</f>
        <v>NÃOST</v>
      </c>
      <c r="E1340" s="3" t="str">
        <f>IF(COUNTIF(ISENÇÕES!A:A,CST!B1340)&gt;0,"ISENÇÃO","SEM ISENÇÃO")</f>
        <v>SEM ISENÇÃO</v>
      </c>
      <c r="F1340" s="18" t="str">
        <f>IF(COUNTIF(REDUÇÕES!A:A,CST!B1340)&gt;0,"REDUÇÃO","NÃO REDUÇÃO")</f>
        <v>NÃO REDUÇÃO</v>
      </c>
      <c r="G1340" s="27">
        <f t="shared" si="21"/>
        <v>0</v>
      </c>
    </row>
    <row r="1341" spans="1:7" x14ac:dyDescent="0.25">
      <c r="A1341" s="120" t="str">
        <f>RIGHT(CSTABLE[[#This Row],[NomeNCM]],8)</f>
        <v>61062000</v>
      </c>
      <c r="B1341" s="7" t="s">
        <v>4465</v>
      </c>
      <c r="C1341" s="3" t="str">
        <f>IFERROR(VLOOKUP(B1341,ST!C:D,2,0),"NÃOST")</f>
        <v>NÃOST</v>
      </c>
      <c r="E1341" s="3" t="str">
        <f>IF(COUNTIF(ISENÇÕES!A:A,CST!B1341)&gt;0,"ISENÇÃO","SEM ISENÇÃO")</f>
        <v>SEM ISENÇÃO</v>
      </c>
      <c r="F1341" s="18" t="str">
        <f>IF(COUNTIF(REDUÇÕES!A:A,CST!B1341)&gt;0,"REDUÇÃO","NÃO REDUÇÃO")</f>
        <v>NÃO REDUÇÃO</v>
      </c>
      <c r="G1341" s="27">
        <f t="shared" si="21"/>
        <v>0</v>
      </c>
    </row>
    <row r="1342" spans="1:7" x14ac:dyDescent="0.25">
      <c r="A1342" s="120" t="str">
        <f>RIGHT(CSTABLE[[#This Row],[NomeNCM]],8)</f>
        <v>61142000</v>
      </c>
      <c r="B1342" s="7" t="s">
        <v>4466</v>
      </c>
      <c r="C1342" s="3" t="str">
        <f>IFERROR(VLOOKUP(B1342,ST!C:D,2,0),"NÃOST")</f>
        <v>NÃOST</v>
      </c>
      <c r="E1342" s="3" t="str">
        <f>IF(COUNTIF(ISENÇÕES!A:A,CST!B1342)&gt;0,"ISENÇÃO","SEM ISENÇÃO")</f>
        <v>SEM ISENÇÃO</v>
      </c>
      <c r="F1342" s="18" t="str">
        <f>IF(COUNTIF(REDUÇÕES!A:A,CST!B1342)&gt;0,"REDUÇÃO","NÃO REDUÇÃO")</f>
        <v>NÃO REDUÇÃO</v>
      </c>
      <c r="G1342" s="27">
        <f t="shared" si="21"/>
        <v>0</v>
      </c>
    </row>
    <row r="1343" spans="1:7" x14ac:dyDescent="0.25">
      <c r="A1343" s="120" t="str">
        <f>RIGHT(CSTABLE[[#This Row],[NomeNCM]],8)</f>
        <v>85171100</v>
      </c>
      <c r="B1343" s="7" t="s">
        <v>4467</v>
      </c>
      <c r="C1343" s="3" t="str">
        <f>IFERROR(VLOOKUP(B1343,ST!C:D,2,0),"NÃOST")</f>
        <v>NÃOST</v>
      </c>
      <c r="E1343" s="3" t="str">
        <f>IF(COUNTIF(ISENÇÕES!A:A,CST!B1343)&gt;0,"ISENÇÃO","SEM ISENÇÃO")</f>
        <v>SEM ISENÇÃO</v>
      </c>
      <c r="F1343" s="18" t="str">
        <f>IF(COUNTIF(REDUÇÕES!A:A,CST!B1343)&gt;0,"REDUÇÃO","NÃO REDUÇÃO")</f>
        <v>NÃO REDUÇÃO</v>
      </c>
      <c r="G1343" s="27">
        <f t="shared" si="21"/>
        <v>0</v>
      </c>
    </row>
    <row r="1344" spans="1:7" x14ac:dyDescent="0.25">
      <c r="A1344" s="120" t="str">
        <f>RIGHT(CSTABLE[[#This Row],[NomeNCM]],8)</f>
        <v>54023219</v>
      </c>
      <c r="B1344" s="7" t="s">
        <v>4468</v>
      </c>
      <c r="C1344" s="3" t="str">
        <f>IFERROR(VLOOKUP(B1344,ST!C:D,2,0),"NÃOST")</f>
        <v>NÃOST</v>
      </c>
      <c r="E1344" s="3" t="str">
        <f>IF(COUNTIF(ISENÇÕES!A:A,CST!B1344)&gt;0,"ISENÇÃO","SEM ISENÇÃO")</f>
        <v>SEM ISENÇÃO</v>
      </c>
      <c r="F1344" s="18" t="str">
        <f>IF(COUNTIF(REDUÇÕES!A:A,CST!B1344)&gt;0,"REDUÇÃO","NÃO REDUÇÃO")</f>
        <v>NÃO REDUÇÃO</v>
      </c>
      <c r="G1344" s="27">
        <f t="shared" si="21"/>
        <v>0</v>
      </c>
    </row>
    <row r="1345" spans="1:7" x14ac:dyDescent="0.25">
      <c r="A1345" s="120" t="str">
        <f>RIGHT(CSTABLE[[#This Row],[NomeNCM]],8)</f>
        <v>84679900</v>
      </c>
      <c r="B1345" s="7" t="s">
        <v>4469</v>
      </c>
      <c r="C1345" s="3" t="str">
        <f>IFERROR(VLOOKUP(B1345,ST!C:D,2,0),"NÃOST")</f>
        <v>NÃOST</v>
      </c>
      <c r="E1345" s="3" t="str">
        <f>IF(COUNTIF(ISENÇÕES!A:A,CST!B1345)&gt;0,"ISENÇÃO","SEM ISENÇÃO")</f>
        <v>SEM ISENÇÃO</v>
      </c>
      <c r="F1345" s="18" t="str">
        <f>IF(COUNTIF(REDUÇÕES!A:A,CST!B1345)&gt;0,"REDUÇÃO","NÃO REDUÇÃO")</f>
        <v>NÃO REDUÇÃO</v>
      </c>
      <c r="G1345" s="27">
        <f t="shared" si="21"/>
        <v>0</v>
      </c>
    </row>
    <row r="1346" spans="1:7" x14ac:dyDescent="0.25">
      <c r="A1346" s="120" t="str">
        <f>RIGHT(CSTABLE[[#This Row],[NomeNCM]],8)</f>
        <v>96020090</v>
      </c>
      <c r="B1346" s="7" t="s">
        <v>4470</v>
      </c>
      <c r="C1346" s="3" t="str">
        <f>IFERROR(VLOOKUP(B1346,ST!C:D,2,0),"NÃOST")</f>
        <v>NÃOST</v>
      </c>
      <c r="E1346" s="3" t="str">
        <f>IF(COUNTIF(ISENÇÕES!A:A,CST!B1346)&gt;0,"ISENÇÃO","SEM ISENÇÃO")</f>
        <v>SEM ISENÇÃO</v>
      </c>
      <c r="F1346" s="18" t="str">
        <f>IF(COUNTIF(REDUÇÕES!A:A,CST!B1346)&gt;0,"REDUÇÃO","NÃO REDUÇÃO")</f>
        <v>NÃO REDUÇÃO</v>
      </c>
      <c r="G1346" s="27">
        <f t="shared" si="21"/>
        <v>0</v>
      </c>
    </row>
    <row r="1347" spans="1:7" x14ac:dyDescent="0.25">
      <c r="A1347" s="120" t="str">
        <f>RIGHT(CSTABLE[[#This Row],[NomeNCM]],8)</f>
        <v>85182100</v>
      </c>
      <c r="B1347" s="7" t="s">
        <v>4471</v>
      </c>
      <c r="C1347" s="3" t="str">
        <f>IFERROR(VLOOKUP(B1347,ST!C:D,2,0),"NÃOST")</f>
        <v>NÃOST</v>
      </c>
      <c r="E1347" s="3" t="str">
        <f>IF(COUNTIF(ISENÇÕES!A:A,CST!B1347)&gt;0,"ISENÇÃO","SEM ISENÇÃO")</f>
        <v>SEM ISENÇÃO</v>
      </c>
      <c r="F1347" s="18" t="str">
        <f>IF(COUNTIF(REDUÇÕES!A:A,CST!B1347)&gt;0,"REDUÇÃO","NÃO REDUÇÃO")</f>
        <v>NÃO REDUÇÃO</v>
      </c>
      <c r="G1347" s="27">
        <f t="shared" si="21"/>
        <v>0</v>
      </c>
    </row>
    <row r="1348" spans="1:7" x14ac:dyDescent="0.25">
      <c r="A1348" s="120" t="str">
        <f>RIGHT(CSTABLE[[#This Row],[NomeNCM]],8)</f>
        <v>64029190</v>
      </c>
      <c r="B1348" s="7" t="s">
        <v>4472</v>
      </c>
      <c r="C1348" s="3" t="str">
        <f>IFERROR(VLOOKUP(B1348,ST!C:D,2,0),"NÃOST")</f>
        <v>NÃOST</v>
      </c>
      <c r="E1348" s="3" t="str">
        <f>IF(COUNTIF(ISENÇÕES!A:A,CST!B1348)&gt;0,"ISENÇÃO","SEM ISENÇÃO")</f>
        <v>SEM ISENÇÃO</v>
      </c>
      <c r="F1348" s="18" t="str">
        <f>IF(COUNTIF(REDUÇÕES!A:A,CST!B1348)&gt;0,"REDUÇÃO","NÃO REDUÇÃO")</f>
        <v>NÃO REDUÇÃO</v>
      </c>
      <c r="G1348" s="27">
        <f t="shared" si="21"/>
        <v>0</v>
      </c>
    </row>
    <row r="1349" spans="1:7" x14ac:dyDescent="0.25">
      <c r="A1349" s="120" t="str">
        <f>RIGHT(CSTABLE[[#This Row],[NomeNCM]],8)</f>
        <v>92029000</v>
      </c>
      <c r="B1349" s="7" t="s">
        <v>4473</v>
      </c>
      <c r="C1349" s="3" t="str">
        <f>IFERROR(VLOOKUP(B1349,ST!C:D,2,0),"NÃOST")</f>
        <v>NÃOST</v>
      </c>
      <c r="E1349" s="3" t="str">
        <f>IF(COUNTIF(ISENÇÕES!A:A,CST!B1349)&gt;0,"ISENÇÃO","SEM ISENÇÃO")</f>
        <v>SEM ISENÇÃO</v>
      </c>
      <c r="F1349" s="18" t="str">
        <f>IF(COUNTIF(REDUÇÕES!A:A,CST!B1349)&gt;0,"REDUÇÃO","NÃO REDUÇÃO")</f>
        <v>NÃO REDUÇÃO</v>
      </c>
      <c r="G1349" s="27">
        <f t="shared" si="21"/>
        <v>0</v>
      </c>
    </row>
    <row r="1350" spans="1:7" x14ac:dyDescent="0.25">
      <c r="A1350" s="120" t="str">
        <f>RIGHT(CSTABLE[[#This Row],[NomeNCM]],8)</f>
        <v>42033000</v>
      </c>
      <c r="B1350" s="7" t="s">
        <v>4474</v>
      </c>
      <c r="C1350" s="3" t="str">
        <f>IFERROR(VLOOKUP(B1350,ST!C:D,2,0),"NÃOST")</f>
        <v>NÃOST</v>
      </c>
      <c r="E1350" s="3" t="str">
        <f>IF(COUNTIF(ISENÇÕES!A:A,CST!B1350)&gt;0,"ISENÇÃO","SEM ISENÇÃO")</f>
        <v>SEM ISENÇÃO</v>
      </c>
      <c r="F1350" s="18" t="str">
        <f>IF(COUNTIF(REDUÇÕES!A:A,CST!B1350)&gt;0,"REDUÇÃO","NÃO REDUÇÃO")</f>
        <v>NÃO REDUÇÃO</v>
      </c>
      <c r="G1350" s="27">
        <f t="shared" si="21"/>
        <v>0</v>
      </c>
    </row>
    <row r="1351" spans="1:7" x14ac:dyDescent="0.25">
      <c r="A1351" s="120" t="str">
        <f>RIGHT(CSTABLE[[#This Row],[NomeNCM]],8)</f>
        <v>05021019</v>
      </c>
      <c r="B1351" s="7" t="s">
        <v>4475</v>
      </c>
      <c r="C1351" s="3" t="str">
        <f>IFERROR(VLOOKUP(B1351,ST!C:D,2,0),"NÃOST")</f>
        <v>NÃOST</v>
      </c>
      <c r="E1351" s="3" t="str">
        <f>IF(COUNTIF(ISENÇÕES!A:A,CST!B1351)&gt;0,"ISENÇÃO","SEM ISENÇÃO")</f>
        <v>SEM ISENÇÃO</v>
      </c>
      <c r="F1351" s="18" t="str">
        <f>IF(COUNTIF(REDUÇÕES!A:A,CST!B1351)&gt;0,"REDUÇÃO","NÃO REDUÇÃO")</f>
        <v>NÃO REDUÇÃO</v>
      </c>
      <c r="G1351" s="27">
        <f t="shared" si="21"/>
        <v>0</v>
      </c>
    </row>
    <row r="1352" spans="1:7" x14ac:dyDescent="0.25">
      <c r="A1352" s="120" t="str">
        <f>RIGHT(CSTABLE[[#This Row],[NomeNCM]],8)</f>
        <v>84251990</v>
      </c>
      <c r="B1352" s="7" t="s">
        <v>877</v>
      </c>
      <c r="C1352" s="3" t="str">
        <f>IFERROR(VLOOKUP(B1352,ST!C:D,2,0),"NÃOST")</f>
        <v>NÃOST</v>
      </c>
      <c r="E1352" s="3" t="str">
        <f>IF(COUNTIF(ISENÇÕES!A:A,CST!B1352)&gt;0,"ISENÇÃO","SEM ISENÇÃO")</f>
        <v>SEM ISENÇÃO</v>
      </c>
      <c r="F1352" s="18" t="str">
        <f>IF(COUNTIF(REDUÇÕES!A:A,CST!B1352)&gt;0,"REDUÇÃO","NÃO REDUÇÃO")</f>
        <v>NÃO REDUÇÃO</v>
      </c>
      <c r="G1352" s="27">
        <f t="shared" si="21"/>
        <v>0</v>
      </c>
    </row>
    <row r="1353" spans="1:7" x14ac:dyDescent="0.25">
      <c r="A1353" s="120" t="str">
        <f>RIGHT(CSTABLE[[#This Row],[NomeNCM]],8)</f>
        <v>03055990</v>
      </c>
      <c r="B1353" s="7" t="s">
        <v>4476</v>
      </c>
      <c r="C1353" s="3" t="str">
        <f>IFERROR(VLOOKUP(B1353,ST!C:D,2,0),"NÃOST")</f>
        <v>NÃOST</v>
      </c>
      <c r="E1353" s="3" t="str">
        <f>IF(COUNTIF(ISENÇÕES!A:A,CST!B1353)&gt;0,"ISENÇÃO","SEM ISENÇÃO")</f>
        <v>SEM ISENÇÃO</v>
      </c>
      <c r="F1353" s="18" t="str">
        <f>IF(COUNTIF(REDUÇÕES!A:A,CST!B1353)&gt;0,"REDUÇÃO","NÃO REDUÇÃO")</f>
        <v>NÃO REDUÇÃO</v>
      </c>
      <c r="G1353" s="27">
        <f t="shared" si="21"/>
        <v>0</v>
      </c>
    </row>
    <row r="1354" spans="1:7" x14ac:dyDescent="0.25">
      <c r="A1354" s="120" t="str">
        <f>RIGHT(CSTABLE[[#This Row],[NomeNCM]],8)</f>
        <v>49119100</v>
      </c>
      <c r="B1354" s="7" t="s">
        <v>4477</v>
      </c>
      <c r="C1354" s="3" t="str">
        <f>IFERROR(VLOOKUP(B1354,ST!C:D,2,0),"NÃOST")</f>
        <v>NÃOST</v>
      </c>
      <c r="E1354" s="3" t="str">
        <f>IF(COUNTIF(ISENÇÕES!A:A,CST!B1354)&gt;0,"ISENÇÃO","SEM ISENÇÃO")</f>
        <v>SEM ISENÇÃO</v>
      </c>
      <c r="F1354" s="18" t="str">
        <f>IF(COUNTIF(REDUÇÕES!A:A,CST!B1354)&gt;0,"REDUÇÃO","NÃO REDUÇÃO")</f>
        <v>NÃO REDUÇÃO</v>
      </c>
      <c r="G1354" s="27">
        <f t="shared" si="21"/>
        <v>0</v>
      </c>
    </row>
    <row r="1355" spans="1:7" x14ac:dyDescent="0.25">
      <c r="A1355" s="120" t="str">
        <f>RIGHT(CSTABLE[[#This Row],[NomeNCM]],8)</f>
        <v>48205000</v>
      </c>
      <c r="B1355" s="7" t="s">
        <v>4478</v>
      </c>
      <c r="C1355" s="3" t="str">
        <f>IFERROR(VLOOKUP(B1355,ST!C:D,2,0),"NÃOST")</f>
        <v>NÃOST</v>
      </c>
      <c r="E1355" s="3" t="str">
        <f>IF(COUNTIF(ISENÇÕES!A:A,CST!B1355)&gt;0,"ISENÇÃO","SEM ISENÇÃO")</f>
        <v>SEM ISENÇÃO</v>
      </c>
      <c r="F1355" s="18" t="str">
        <f>IF(COUNTIF(REDUÇÕES!A:A,CST!B1355)&gt;0,"REDUÇÃO","NÃO REDUÇÃO")</f>
        <v>NÃO REDUÇÃO</v>
      </c>
      <c r="G1355" s="27">
        <f t="shared" si="21"/>
        <v>0</v>
      </c>
    </row>
    <row r="1356" spans="1:7" x14ac:dyDescent="0.25">
      <c r="A1356" s="120" t="str">
        <f>RIGHT(CSTABLE[[#This Row],[NomeNCM]],8)</f>
        <v>85235110</v>
      </c>
      <c r="B1356" s="7" t="s">
        <v>4479</v>
      </c>
      <c r="C1356" s="3" t="str">
        <f>IFERROR(VLOOKUP(B1356,ST!C:D,2,0),"NÃOST")</f>
        <v>NÃOST</v>
      </c>
      <c r="E1356" s="3" t="str">
        <f>IF(COUNTIF(ISENÇÕES!A:A,CST!B1356)&gt;0,"ISENÇÃO","SEM ISENÇÃO")</f>
        <v>SEM ISENÇÃO</v>
      </c>
      <c r="F1356" s="18" t="str">
        <f>IF(COUNTIF(REDUÇÕES!A:A,CST!B1356)&gt;0,"REDUÇÃO","NÃO REDUÇÃO")</f>
        <v>NÃO REDUÇÃO</v>
      </c>
      <c r="G1356" s="27">
        <f t="shared" si="21"/>
        <v>0</v>
      </c>
    </row>
    <row r="1357" spans="1:7" x14ac:dyDescent="0.25">
      <c r="A1357" s="120" t="str">
        <f>RIGHT(CSTABLE[[#This Row],[NomeNCM]],8)</f>
        <v>03043900</v>
      </c>
      <c r="B1357" s="7" t="s">
        <v>3251</v>
      </c>
      <c r="C1357" s="3" t="str">
        <f>IFERROR(VLOOKUP(B1357,ST!C:D,2,0),"NÃOST")</f>
        <v>NÃOST</v>
      </c>
      <c r="E1357" s="3" t="str">
        <f>IF(COUNTIF(ISENÇÕES!A:A,CST!B1357)&gt;0,"ISENÇÃO","SEM ISENÇÃO")</f>
        <v>SEM ISENÇÃO</v>
      </c>
      <c r="F1357" s="18" t="str">
        <f>IF(COUNTIF(REDUÇÕES!A:A,CST!B1357)&gt;0,"REDUÇÃO","NÃO REDUÇÃO")</f>
        <v>NÃO REDUÇÃO</v>
      </c>
      <c r="G1357" s="27">
        <f t="shared" si="21"/>
        <v>0</v>
      </c>
    </row>
    <row r="1358" spans="1:7" x14ac:dyDescent="0.25">
      <c r="A1358" s="120" t="str">
        <f>RIGHT(CSTABLE[[#This Row],[NomeNCM]],8)</f>
        <v>38088419</v>
      </c>
      <c r="B1358" s="7" t="s">
        <v>4480</v>
      </c>
      <c r="C1358" s="3" t="str">
        <f>IFERROR(VLOOKUP(B1358,ST!C:D,2,0),"NÃOST")</f>
        <v>NÃOST</v>
      </c>
      <c r="E1358" s="3" t="str">
        <f>IF(COUNTIF(ISENÇÕES!A:A,CST!B1358)&gt;0,"ISENÇÃO","SEM ISENÇÃO")</f>
        <v>SEM ISENÇÃO</v>
      </c>
      <c r="F1358" s="18" t="str">
        <f>IF(COUNTIF(REDUÇÕES!A:A,CST!B1358)&gt;0,"REDUÇÃO","NÃO REDUÇÃO")</f>
        <v>NÃO REDUÇÃO</v>
      </c>
      <c r="G1358" s="27">
        <f>VLOOKUP(C1358&amp;F1358&amp;E1358,$B$3:$F$10,5,0)</f>
        <v>0</v>
      </c>
    </row>
    <row r="1359" spans="1:7" x14ac:dyDescent="0.25">
      <c r="A1359" s="120" t="str">
        <f>RIGHT(CSTABLE[[#This Row],[NomeNCM]],8)</f>
        <v>30049049</v>
      </c>
      <c r="B1359" s="7" t="s">
        <v>4481</v>
      </c>
      <c r="C1359" s="3" t="str">
        <f>IFERROR(VLOOKUP(B1359,ST!C:D,2,0),"NÃOST")</f>
        <v>NÃOST</v>
      </c>
      <c r="E1359" s="3" t="str">
        <f>IF(COUNTIF(ISENÇÕES!A:A,CST!B1359)&gt;0,"ISENÇÃO","SEM ISENÇÃO")</f>
        <v>SEM ISENÇÃO</v>
      </c>
      <c r="F1359" s="18" t="str">
        <f>IF(COUNTIF(REDUÇÕES!A:A,CST!B1359)&gt;0,"REDUÇÃO","NÃO REDUÇÃO")</f>
        <v>NÃO REDUÇÃO</v>
      </c>
      <c r="G1359" s="27">
        <f>VLOOKUP(C1359&amp;F1359&amp;E1359,$B$3:$F$10,5,0)</f>
        <v>0</v>
      </c>
    </row>
    <row r="1360" spans="1:7" x14ac:dyDescent="0.25">
      <c r="A1360" s="120" t="str">
        <f>RIGHT(CSTABLE[[#This Row],[NomeNCM]],8)</f>
        <v>87120010</v>
      </c>
      <c r="B1360" s="7" t="s">
        <v>4482</v>
      </c>
      <c r="C1360" s="3" t="str">
        <f>IFERROR(VLOOKUP(B1360,ST!C:D,2,0),"NÃOST")</f>
        <v>NÃOST</v>
      </c>
      <c r="E1360" s="3" t="str">
        <f>IF(COUNTIF(ISENÇÕES!A:A,CST!B1360)&gt;0,"ISENÇÃO","SEM ISENÇÃO")</f>
        <v>SEM ISENÇÃO</v>
      </c>
      <c r="F1360" s="18" t="str">
        <f>IF(COUNTIF(REDUÇÕES!A:A,CST!B1360)&gt;0,"REDUÇÃO","NÃO REDUÇÃO")</f>
        <v>NÃO REDUÇÃO</v>
      </c>
      <c r="G1360" s="27">
        <f>VLOOKUP(C1360&amp;F1360&amp;E1360,$B$3:$F$10,5,0)</f>
        <v>0</v>
      </c>
    </row>
    <row r="1361" spans="1:7" x14ac:dyDescent="0.25">
      <c r="A1361" s="120" t="str">
        <f>RIGHT(CSTABLE[[#This Row],[NomeNCM]],8)</f>
        <v>17011200</v>
      </c>
      <c r="B1361" s="7" t="s">
        <v>4548</v>
      </c>
      <c r="C1361" s="3" t="str">
        <f>IFERROR(VLOOKUP(B1361,ST!C:D,2,0),"NÃOST")</f>
        <v>NÃOST</v>
      </c>
      <c r="E1361" s="3" t="str">
        <f>IF(COUNTIF(ISENÇÕES!A:A,CST!B1361)&gt;0,"ISENÇÃO","SEM ISENÇÃO")</f>
        <v>SEM ISENÇÃO</v>
      </c>
      <c r="F1361" s="18" t="str">
        <f>IF(COUNTIF(REDUÇÕES!A:A,CST!B1361)&gt;0,"REDUÇÃO","NÃO REDUÇÃO")</f>
        <v>NÃO REDUÇÃO</v>
      </c>
      <c r="G1361" s="27">
        <f t="shared" ref="G1361:G1388" si="22">VLOOKUP(C1361&amp;F1361&amp;E1361,$B$3:$F$10,5,0)</f>
        <v>0</v>
      </c>
    </row>
    <row r="1362" spans="1:7" x14ac:dyDescent="0.25">
      <c r="A1362" s="120" t="str">
        <f>RIGHT(CSTABLE[[#This Row],[NomeNCM]],8)</f>
        <v>08109099</v>
      </c>
      <c r="B1362" s="7" t="s">
        <v>4549</v>
      </c>
      <c r="C1362" s="3" t="str">
        <f>IFERROR(VLOOKUP(B1362,ST!C:D,2,0),"NÃOST")</f>
        <v>NÃOST</v>
      </c>
      <c r="E1362" s="3" t="str">
        <f>IF(COUNTIF(ISENÇÕES!A:A,CST!B1362)&gt;0,"ISENÇÃO","SEM ISENÇÃO")</f>
        <v>SEM ISENÇÃO</v>
      </c>
      <c r="F1362" s="18" t="str">
        <f>IF(COUNTIF(REDUÇÕES!A:A,CST!B1362)&gt;0,"REDUÇÃO","NÃO REDUÇÃO")</f>
        <v>NÃO REDUÇÃO</v>
      </c>
      <c r="G1362" s="27">
        <f t="shared" si="22"/>
        <v>0</v>
      </c>
    </row>
    <row r="1363" spans="1:7" x14ac:dyDescent="0.25">
      <c r="A1363" s="120" t="str">
        <f>RIGHT(CSTABLE[[#This Row],[NomeNCM]],8)</f>
        <v>03061610</v>
      </c>
      <c r="B1363" s="7" t="s">
        <v>3509</v>
      </c>
      <c r="C1363" s="3" t="str">
        <f>IFERROR(VLOOKUP(B1363,ST!C:D,2,0),"NÃOST")</f>
        <v>NÃOST</v>
      </c>
      <c r="E1363" s="3" t="str">
        <f>IF(COUNTIF(ISENÇÕES!A:A,CST!B1363)&gt;0,"ISENÇÃO","SEM ISENÇÃO")</f>
        <v>SEM ISENÇÃO</v>
      </c>
      <c r="F1363" s="18" t="str">
        <f>IF(COUNTIF(REDUÇÕES!A:A,CST!B1363)&gt;0,"REDUÇÃO","NÃO REDUÇÃO")</f>
        <v>NÃO REDUÇÃO</v>
      </c>
      <c r="G1363" s="27">
        <f t="shared" si="22"/>
        <v>0</v>
      </c>
    </row>
    <row r="1364" spans="1:7" x14ac:dyDescent="0.25">
      <c r="A1364" s="120" t="str">
        <f>RIGHT(CSTABLE[[#This Row],[NomeNCM]],8)</f>
        <v>99900132</v>
      </c>
      <c r="B1364" s="7" t="s">
        <v>4550</v>
      </c>
      <c r="C1364" s="3" t="str">
        <f>IFERROR(VLOOKUP(B1364,ST!C:D,2,0),"NÃOST")</f>
        <v>NÃOST</v>
      </c>
      <c r="E1364" s="3" t="str">
        <f>IF(COUNTIF(ISENÇÕES!A:A,CST!B1364)&gt;0,"ISENÇÃO","SEM ISENÇÃO")</f>
        <v>SEM ISENÇÃO</v>
      </c>
      <c r="F1364" s="18" t="str">
        <f>IF(COUNTIF(REDUÇÕES!A:A,CST!B1364)&gt;0,"REDUÇÃO","NÃO REDUÇÃO")</f>
        <v>NÃO REDUÇÃO</v>
      </c>
      <c r="G1364" s="27">
        <f t="shared" si="22"/>
        <v>0</v>
      </c>
    </row>
    <row r="1365" spans="1:7" x14ac:dyDescent="0.25">
      <c r="A1365" s="120" t="str">
        <f>RIGHT(CSTABLE[[#This Row],[NomeNCM]],8)</f>
        <v>07136010</v>
      </c>
      <c r="B1365" s="7" t="s">
        <v>4551</v>
      </c>
      <c r="C1365" s="3" t="str">
        <f>IFERROR(VLOOKUP(B1365,ST!C:D,2,0),"NÃOST")</f>
        <v>NÃOST</v>
      </c>
      <c r="E1365" s="3" t="str">
        <f>IF(COUNTIF(ISENÇÕES!A:A,CST!B1365)&gt;0,"ISENÇÃO","SEM ISENÇÃO")</f>
        <v>SEM ISENÇÃO</v>
      </c>
      <c r="F1365" s="18" t="str">
        <f>IF(COUNTIF(REDUÇÕES!A:A,CST!B1365)&gt;0,"REDUÇÃO","NÃO REDUÇÃO")</f>
        <v>NÃO REDUÇÃO</v>
      </c>
      <c r="G1365" s="27">
        <f t="shared" si="22"/>
        <v>0</v>
      </c>
    </row>
    <row r="1366" spans="1:7" x14ac:dyDescent="0.25">
      <c r="A1366" s="120" t="str">
        <f>RIGHT(CSTABLE[[#This Row],[NomeNCM]],8)</f>
        <v>14049000</v>
      </c>
      <c r="B1366" s="7" t="s">
        <v>4552</v>
      </c>
      <c r="C1366" s="3" t="str">
        <f>IFERROR(VLOOKUP(B1366,ST!C:D,2,0),"NÃOST")</f>
        <v>NÃOST</v>
      </c>
      <c r="E1366" s="3" t="str">
        <f>IF(COUNTIF(ISENÇÕES!A:A,CST!B1366)&gt;0,"ISENÇÃO","SEM ISENÇÃO")</f>
        <v>SEM ISENÇÃO</v>
      </c>
      <c r="F1366" s="18" t="str">
        <f>IF(COUNTIF(REDUÇÕES!A:A,CST!B1366)&gt;0,"REDUÇÃO","NÃO REDUÇÃO")</f>
        <v>NÃO REDUÇÃO</v>
      </c>
      <c r="G1366" s="27">
        <f t="shared" si="22"/>
        <v>0</v>
      </c>
    </row>
    <row r="1367" spans="1:7" x14ac:dyDescent="0.25">
      <c r="A1367" s="120" t="str">
        <f>RIGHT(CSTABLE[[#This Row],[NomeNCM]],8)</f>
        <v>34011110</v>
      </c>
      <c r="B1367" s="7" t="s">
        <v>4553</v>
      </c>
      <c r="C1367" s="3" t="str">
        <f>IFERROR(VLOOKUP(B1367,ST!C:D,2,0),"NÃOST")</f>
        <v>NÃOST</v>
      </c>
      <c r="E1367" s="3" t="str">
        <f>IF(COUNTIF(ISENÇÕES!A:A,CST!B1367)&gt;0,"ISENÇÃO","SEM ISENÇÃO")</f>
        <v>SEM ISENÇÃO</v>
      </c>
      <c r="F1367" s="18" t="str">
        <f>IF(COUNTIF(REDUÇÕES!A:A,CST!B1367)&gt;0,"REDUÇÃO","NÃO REDUÇÃO")</f>
        <v>NÃO REDUÇÃO</v>
      </c>
      <c r="G1367" s="27">
        <f t="shared" si="22"/>
        <v>0</v>
      </c>
    </row>
    <row r="1368" spans="1:7" x14ac:dyDescent="0.25">
      <c r="A1368" s="120" t="str">
        <f>RIGHT(CSTABLE[[#This Row],[NomeNCM]],8)</f>
        <v>12112000</v>
      </c>
      <c r="B1368" s="7" t="s">
        <v>4554</v>
      </c>
      <c r="C1368" s="3" t="str">
        <f>IFERROR(VLOOKUP(B1368,ST!C:D,2,0),"NÃOST")</f>
        <v>NÃOST</v>
      </c>
      <c r="E1368" s="3" t="str">
        <f>IF(COUNTIF(ISENÇÕES!A:A,CST!B1368)&gt;0,"ISENÇÃO","SEM ISENÇÃO")</f>
        <v>SEM ISENÇÃO</v>
      </c>
      <c r="F1368" s="18" t="str">
        <f>IF(COUNTIF(REDUÇÕES!A:A,CST!B1368)&gt;0,"REDUÇÃO","NÃO REDUÇÃO")</f>
        <v>NÃO REDUÇÃO</v>
      </c>
      <c r="G1368" s="27">
        <f t="shared" si="22"/>
        <v>0</v>
      </c>
    </row>
    <row r="1369" spans="1:7" x14ac:dyDescent="0.25">
      <c r="A1369" s="120" t="str">
        <f>RIGHT(CSTABLE[[#This Row],[NomeNCM]],8)</f>
        <v>08109011</v>
      </c>
      <c r="B1369" s="7" t="s">
        <v>4488</v>
      </c>
      <c r="C1369" s="3" t="str">
        <f>IFERROR(VLOOKUP(B1369,ST!C:D,2,0),"NÃOST")</f>
        <v>NÃOST</v>
      </c>
      <c r="E1369" s="3" t="str">
        <f>IF(COUNTIF(ISENÇÕES!A:A,CST!B1369)&gt;0,"ISENÇÃO","SEM ISENÇÃO")</f>
        <v>ISENÇÃO</v>
      </c>
      <c r="F1369" s="18" t="str">
        <f>IF(COUNTIF(REDUÇÕES!A:A,CST!B1369)&gt;0,"REDUÇÃO","NÃO REDUÇÃO")</f>
        <v>NÃO REDUÇÃO</v>
      </c>
      <c r="G1369" s="27">
        <f t="shared" si="22"/>
        <v>40</v>
      </c>
    </row>
    <row r="1370" spans="1:7" x14ac:dyDescent="0.25">
      <c r="A1370" s="120" t="str">
        <f>RIGHT(CSTABLE[[#This Row],[NomeNCM]],8)</f>
        <v>21021000</v>
      </c>
      <c r="B1370" s="7" t="s">
        <v>4485</v>
      </c>
      <c r="C1370" s="3" t="str">
        <f>IFERROR(VLOOKUP(B1370,ST!C:D,2,0),"NÃOST")</f>
        <v>NÃOST</v>
      </c>
      <c r="E1370" s="3" t="str">
        <f>IF(COUNTIF(ISENÇÕES!A:A,CST!B1370)&gt;0,"ISENÇÃO","SEM ISENÇÃO")</f>
        <v>SEM ISENÇÃO</v>
      </c>
      <c r="F1370" s="18" t="str">
        <f>IF(COUNTIF(REDUÇÕES!A:A,CST!B1370)&gt;0,"REDUÇÃO","NÃO REDUÇÃO")</f>
        <v>REDUÇÃO</v>
      </c>
      <c r="G1370" s="27">
        <f t="shared" si="22"/>
        <v>20</v>
      </c>
    </row>
    <row r="1371" spans="1:7" x14ac:dyDescent="0.25">
      <c r="A1371" s="120" t="str">
        <f>RIGHT(CSTABLE[[#This Row],[NomeNCM]],8)</f>
        <v>84244100</v>
      </c>
      <c r="B1371" s="7" t="s">
        <v>3567</v>
      </c>
      <c r="C1371" s="3" t="str">
        <f>IFERROR(VLOOKUP(B1371,ST!C:D,2,0),"NÃOST")</f>
        <v>NÃOST</v>
      </c>
      <c r="E1371" s="3" t="str">
        <f>IF(COUNTIF(ISENÇÕES!A:A,CST!B1371)&gt;0,"ISENÇÃO","SEM ISENÇÃO")</f>
        <v>SEM ISENÇÃO</v>
      </c>
      <c r="F1371" s="18" t="str">
        <f>IF(COUNTIF(REDUÇÕES!A:A,CST!B1371)&gt;0,"REDUÇÃO","NÃO REDUÇÃO")</f>
        <v>REDUÇÃO</v>
      </c>
      <c r="G1371" s="27">
        <f t="shared" si="22"/>
        <v>20</v>
      </c>
    </row>
    <row r="1372" spans="1:7" x14ac:dyDescent="0.25">
      <c r="A1372" s="120" t="str">
        <f>RIGHT(CSTABLE[[#This Row],[NomeNCM]],8)</f>
        <v>63079990</v>
      </c>
      <c r="B1372" s="7" t="s">
        <v>4555</v>
      </c>
      <c r="C1372" s="3" t="str">
        <f>IFERROR(VLOOKUP(B1372,ST!C:D,2,0),"NÃOST")</f>
        <v>NÃOST</v>
      </c>
      <c r="E1372" s="3" t="str">
        <f>IF(COUNTIF(ISENÇÕES!A:A,CST!B1372)&gt;0,"ISENÇÃO","SEM ISENÇÃO")</f>
        <v>SEM ISENÇÃO</v>
      </c>
      <c r="F1372" s="18" t="str">
        <f>IF(COUNTIF(REDUÇÕES!A:A,CST!B1372)&gt;0,"REDUÇÃO","NÃO REDUÇÃO")</f>
        <v>NÃO REDUÇÃO</v>
      </c>
      <c r="G1372" s="27">
        <f t="shared" si="22"/>
        <v>0</v>
      </c>
    </row>
    <row r="1373" spans="1:7" x14ac:dyDescent="0.25">
      <c r="A1373" s="120" t="str">
        <f>RIGHT(CSTABLE[[#This Row],[NomeNCM]],8)</f>
        <v>63109000</v>
      </c>
      <c r="B1373" s="7" t="s">
        <v>4556</v>
      </c>
      <c r="C1373" s="3" t="str">
        <f>IFERROR(VLOOKUP(B1373,ST!C:D,2,0),"NÃOST")</f>
        <v>NÃOST</v>
      </c>
      <c r="E1373" s="3" t="str">
        <f>IF(COUNTIF(ISENÇÕES!A:A,CST!B1373)&gt;0,"ISENÇÃO","SEM ISENÇÃO")</f>
        <v>SEM ISENÇÃO</v>
      </c>
      <c r="F1373" s="18" t="str">
        <f>IF(COUNTIF(REDUÇÕES!A:A,CST!B1373)&gt;0,"REDUÇÃO","NÃO REDUÇÃO")</f>
        <v>NÃO REDUÇÃO</v>
      </c>
      <c r="G1373" s="27">
        <f t="shared" si="22"/>
        <v>0</v>
      </c>
    </row>
    <row r="1374" spans="1:7" x14ac:dyDescent="0.25">
      <c r="A1374" s="120" t="str">
        <f>RIGHT(CSTABLE[[#This Row],[NomeNCM]],8)</f>
        <v>07123900</v>
      </c>
      <c r="B1374" s="7" t="s">
        <v>4557</v>
      </c>
      <c r="C1374" s="3" t="str">
        <f>IFERROR(VLOOKUP(B1374,ST!C:D,2,0),"NÃOST")</f>
        <v>NÃOST</v>
      </c>
      <c r="E1374" s="3" t="str">
        <f>IF(COUNTIF(ISENÇÕES!A:A,CST!B1374)&gt;0,"ISENÇÃO","SEM ISENÇÃO")</f>
        <v>SEM ISENÇÃO</v>
      </c>
      <c r="F1374" s="18" t="str">
        <f>IF(COUNTIF(REDUÇÕES!A:A,CST!B1374)&gt;0,"REDUÇÃO","NÃO REDUÇÃO")</f>
        <v>NÃO REDUÇÃO</v>
      </c>
      <c r="G1374" s="27">
        <f t="shared" si="22"/>
        <v>0</v>
      </c>
    </row>
    <row r="1375" spans="1:7" x14ac:dyDescent="0.25">
      <c r="A1375" s="120" t="str">
        <f>RIGHT(CSTABLE[[#This Row],[NomeNCM]],8)</f>
        <v>18069004</v>
      </c>
      <c r="B1375" s="7" t="s">
        <v>4558</v>
      </c>
      <c r="C1375" s="3" t="str">
        <f>IFERROR(VLOOKUP(B1375,ST!C:D,2,0),"NÃOST")</f>
        <v>NÃOST</v>
      </c>
      <c r="E1375" s="3" t="str">
        <f>IF(COUNTIF(ISENÇÕES!A:A,CST!B1375)&gt;0,"ISENÇÃO","SEM ISENÇÃO")</f>
        <v>SEM ISENÇÃO</v>
      </c>
      <c r="F1375" s="18" t="str">
        <f>IF(COUNTIF(REDUÇÕES!A:A,CST!B1375)&gt;0,"REDUÇÃO","NÃO REDUÇÃO")</f>
        <v>NÃO REDUÇÃO</v>
      </c>
      <c r="G1375" s="27">
        <f t="shared" si="22"/>
        <v>0</v>
      </c>
    </row>
    <row r="1376" spans="1:7" x14ac:dyDescent="0.25">
      <c r="A1376" s="120" t="str">
        <f>RIGHT(CSTABLE[[#This Row],[NomeNCM]],8)</f>
        <v>73158900</v>
      </c>
      <c r="B1376" s="7" t="s">
        <v>4559</v>
      </c>
      <c r="C1376" s="3" t="str">
        <f>IFERROR(VLOOKUP(B1376,ST!C:D,2,0),"NÃOST")</f>
        <v>NÃOST</v>
      </c>
      <c r="E1376" s="3" t="str">
        <f>IF(COUNTIF(ISENÇÕES!A:A,CST!B1376)&gt;0,"ISENÇÃO","SEM ISENÇÃO")</f>
        <v>SEM ISENÇÃO</v>
      </c>
      <c r="F1376" s="18" t="str">
        <f>IF(COUNTIF(REDUÇÕES!A:A,CST!B1376)&gt;0,"REDUÇÃO","NÃO REDUÇÃO")</f>
        <v>NÃO REDUÇÃO</v>
      </c>
      <c r="G1376" s="27">
        <f t="shared" si="22"/>
        <v>0</v>
      </c>
    </row>
    <row r="1377" spans="1:7" x14ac:dyDescent="0.25">
      <c r="A1377" s="120" t="str">
        <f>RIGHT(CSTABLE[[#This Row],[NomeNCM]],8)</f>
        <v>54011012</v>
      </c>
      <c r="B1377" s="7" t="s">
        <v>4560</v>
      </c>
      <c r="C1377" s="3" t="str">
        <f>IFERROR(VLOOKUP(B1377,ST!C:D,2,0),"NÃOST")</f>
        <v>NÃOST</v>
      </c>
      <c r="E1377" s="3" t="str">
        <f>IF(COUNTIF(ISENÇÕES!A:A,CST!B1377)&gt;0,"ISENÇÃO","SEM ISENÇÃO")</f>
        <v>SEM ISENÇÃO</v>
      </c>
      <c r="F1377" s="18" t="str">
        <f>IF(COUNTIF(REDUÇÕES!A:A,CST!B1377)&gt;0,"REDUÇÃO","NÃO REDUÇÃO")</f>
        <v>NÃO REDUÇÃO</v>
      </c>
      <c r="G1377" s="27">
        <f t="shared" si="22"/>
        <v>0</v>
      </c>
    </row>
    <row r="1378" spans="1:7" x14ac:dyDescent="0.25">
      <c r="A1378" s="120" t="str">
        <f>RIGHT(CSTABLE[[#This Row],[NomeNCM]],8)</f>
        <v>03061400</v>
      </c>
      <c r="B1378" s="7" t="s">
        <v>3507</v>
      </c>
      <c r="C1378" s="3" t="str">
        <f>IFERROR(VLOOKUP(B1378,ST!C:D,2,0),"NÃOST")</f>
        <v>NÃOST</v>
      </c>
      <c r="E1378" s="3" t="str">
        <f>IF(COUNTIF(ISENÇÕES!A:A,CST!B1378)&gt;0,"ISENÇÃO","SEM ISENÇÃO")</f>
        <v>SEM ISENÇÃO</v>
      </c>
      <c r="F1378" s="18" t="str">
        <f>IF(COUNTIF(REDUÇÕES!A:A,CST!B1378)&gt;0,"REDUÇÃO","NÃO REDUÇÃO")</f>
        <v>NÃO REDUÇÃO</v>
      </c>
      <c r="G1378" s="27">
        <f t="shared" si="22"/>
        <v>0</v>
      </c>
    </row>
    <row r="1379" spans="1:7" x14ac:dyDescent="0.25">
      <c r="A1379" s="120" t="str">
        <f>RIGHT(CSTABLE[[#This Row],[NomeNCM]],8)</f>
        <v>39173290</v>
      </c>
      <c r="B1379" s="7" t="s">
        <v>4561</v>
      </c>
      <c r="C1379" s="3" t="str">
        <f>IFERROR(VLOOKUP(B1379,ST!C:D,2,0),"NÃOST")</f>
        <v>NÃOST</v>
      </c>
      <c r="E1379" s="3" t="str">
        <f>IF(COUNTIF(ISENÇÕES!A:A,CST!B1379)&gt;0,"ISENÇÃO","SEM ISENÇÃO")</f>
        <v>SEM ISENÇÃO</v>
      </c>
      <c r="F1379" s="18" t="str">
        <f>IF(COUNTIF(REDUÇÕES!A:A,CST!B1379)&gt;0,"REDUÇÃO","NÃO REDUÇÃO")</f>
        <v>NÃO REDUÇÃO</v>
      </c>
      <c r="G1379" s="27">
        <f t="shared" si="22"/>
        <v>0</v>
      </c>
    </row>
    <row r="1380" spans="1:7" x14ac:dyDescent="0.25">
      <c r="A1380" s="120" t="str">
        <f>RIGHT(CSTABLE[[#This Row],[NomeNCM]],8)</f>
        <v>03044990</v>
      </c>
      <c r="B1380" s="7" t="s">
        <v>3262</v>
      </c>
      <c r="C1380" s="3" t="str">
        <f>IFERROR(VLOOKUP(B1380,ST!C:D,2,0),"NÃOST")</f>
        <v>NÃOST</v>
      </c>
      <c r="E1380" s="3" t="str">
        <f>IF(COUNTIF(ISENÇÕES!A:A,CST!B1380)&gt;0,"ISENÇÃO","SEM ISENÇÃO")</f>
        <v>SEM ISENÇÃO</v>
      </c>
      <c r="F1380" s="18" t="str">
        <f>IF(COUNTIF(REDUÇÕES!A:A,CST!B1380)&gt;0,"REDUÇÃO","NÃO REDUÇÃO")</f>
        <v>NÃO REDUÇÃO</v>
      </c>
      <c r="G1380" s="27">
        <f t="shared" si="22"/>
        <v>0</v>
      </c>
    </row>
    <row r="1381" spans="1:7" x14ac:dyDescent="0.25">
      <c r="A1381" s="120" t="str">
        <f>RIGHT(CSTABLE[[#This Row],[NomeNCM]],8)</f>
        <v>22043000</v>
      </c>
      <c r="B1381" s="7" t="s">
        <v>4562</v>
      </c>
      <c r="C1381" s="3" t="str">
        <f>IFERROR(VLOOKUP(B1381,ST!C:D,2,0),"NÃOST")</f>
        <v>NÃOST</v>
      </c>
      <c r="E1381" s="3" t="str">
        <f>IF(COUNTIF(ISENÇÕES!A:A,CST!B1381)&gt;0,"ISENÇÃO","SEM ISENÇÃO")</f>
        <v>SEM ISENÇÃO</v>
      </c>
      <c r="F1381" s="18" t="str">
        <f>IF(COUNTIF(REDUÇÕES!A:A,CST!B1381)&gt;0,"REDUÇÃO","NÃO REDUÇÃO")</f>
        <v>NÃO REDUÇÃO</v>
      </c>
      <c r="G1381" s="27">
        <f t="shared" si="22"/>
        <v>0</v>
      </c>
    </row>
    <row r="1382" spans="1:7" x14ac:dyDescent="0.25">
      <c r="A1382" s="120" t="str">
        <f>RIGHT(CSTABLE[[#This Row],[NomeNCM]],8)</f>
        <v>34021290</v>
      </c>
      <c r="B1382" s="7" t="s">
        <v>4563</v>
      </c>
      <c r="C1382" s="3" t="str">
        <f>IFERROR(VLOOKUP(B1382,ST!C:D,2,0),"NÃOST")</f>
        <v>NÃOST</v>
      </c>
      <c r="E1382" s="3" t="str">
        <f>IF(COUNTIF(ISENÇÕES!A:A,CST!B1382)&gt;0,"ISENÇÃO","SEM ISENÇÃO")</f>
        <v>SEM ISENÇÃO</v>
      </c>
      <c r="F1382" s="18" t="str">
        <f>IF(COUNTIF(REDUÇÕES!A:A,CST!B1382)&gt;0,"REDUÇÃO","NÃO REDUÇÃO")</f>
        <v>NÃO REDUÇÃO</v>
      </c>
      <c r="G1382" s="27">
        <f t="shared" si="22"/>
        <v>0</v>
      </c>
    </row>
    <row r="1383" spans="1:7" x14ac:dyDescent="0.25">
      <c r="A1383" s="120" t="str">
        <f>RIGHT(CSTABLE[[#This Row],[NomeNCM]],8)</f>
        <v>03038952</v>
      </c>
      <c r="B1383" s="7" t="s">
        <v>3238</v>
      </c>
      <c r="C1383" s="3" t="str">
        <f>IFERROR(VLOOKUP(B1383,ST!C:D,2,0),"NÃOST")</f>
        <v>NÃOST</v>
      </c>
      <c r="E1383" s="3" t="str">
        <f>IF(COUNTIF(ISENÇÕES!A:A,CST!B1383)&gt;0,"ISENÇÃO","SEM ISENÇÃO")</f>
        <v>SEM ISENÇÃO</v>
      </c>
      <c r="F1383" s="18" t="str">
        <f>IF(COUNTIF(REDUÇÕES!A:A,CST!B1383)&gt;0,"REDUÇÃO","NÃO REDUÇÃO")</f>
        <v>NÃO REDUÇÃO</v>
      </c>
      <c r="G1383" s="27">
        <f t="shared" si="22"/>
        <v>0</v>
      </c>
    </row>
    <row r="1384" spans="1:7" x14ac:dyDescent="0.25">
      <c r="A1384" s="120" t="str">
        <f>RIGHT(CSTABLE[[#This Row],[NomeNCM]],8)</f>
        <v>63059000</v>
      </c>
      <c r="B1384" s="7" t="s">
        <v>4564</v>
      </c>
      <c r="C1384" s="3" t="str">
        <f>IFERROR(VLOOKUP(B1384,ST!C:D,2,0),"NÃOST")</f>
        <v>NÃOST</v>
      </c>
      <c r="E1384" s="3" t="str">
        <f>IF(COUNTIF(ISENÇÕES!A:A,CST!B1384)&gt;0,"ISENÇÃO","SEM ISENÇÃO")</f>
        <v>SEM ISENÇÃO</v>
      </c>
      <c r="F1384" s="18" t="str">
        <f>IF(COUNTIF(REDUÇÕES!A:A,CST!B1384)&gt;0,"REDUÇÃO","NÃO REDUÇÃO")</f>
        <v>NÃO REDUÇÃO</v>
      </c>
      <c r="G1384" s="27">
        <f t="shared" si="22"/>
        <v>0</v>
      </c>
    </row>
    <row r="1385" spans="1:7" x14ac:dyDescent="0.25">
      <c r="A1385" s="120" t="str">
        <f>RIGHT(CSTABLE[[#This Row],[NomeNCM]],8)</f>
        <v>96161000</v>
      </c>
      <c r="B1385" s="7" t="s">
        <v>4565</v>
      </c>
      <c r="C1385" s="3" t="str">
        <f>IFERROR(VLOOKUP(B1385,ST!C:D,2,0),"NÃOST")</f>
        <v>NÃOST</v>
      </c>
      <c r="E1385" s="3" t="str">
        <f>IF(COUNTIF(ISENÇÕES!A:A,CST!B1385)&gt;0,"ISENÇÃO","SEM ISENÇÃO")</f>
        <v>SEM ISENÇÃO</v>
      </c>
      <c r="F1385" s="18" t="str">
        <f>IF(COUNTIF(REDUÇÕES!A:A,CST!B1385)&gt;0,"REDUÇÃO","NÃO REDUÇÃO")</f>
        <v>NÃO REDUÇÃO</v>
      </c>
      <c r="G1385" s="27">
        <f t="shared" si="22"/>
        <v>0</v>
      </c>
    </row>
    <row r="1386" spans="1:7" x14ac:dyDescent="0.25">
      <c r="A1386" s="120" t="str">
        <f>RIGHT(CSTABLE[[#This Row],[NomeNCM]],8)</f>
        <v>03069500</v>
      </c>
      <c r="B1386" s="7" t="s">
        <v>3526</v>
      </c>
      <c r="C1386" s="3" t="str">
        <f>IFERROR(VLOOKUP(B1386,ST!C:D,2,0),"NÃOST")</f>
        <v>NÃOST</v>
      </c>
      <c r="E1386" s="3" t="str">
        <f>IF(COUNTIF(ISENÇÕES!A:A,CST!B1386)&gt;0,"ISENÇÃO","SEM ISENÇÃO")</f>
        <v>SEM ISENÇÃO</v>
      </c>
      <c r="F1386" s="18" t="str">
        <f>IF(COUNTIF(REDUÇÕES!A:A,CST!B1386)&gt;0,"REDUÇÃO","NÃO REDUÇÃO")</f>
        <v>NÃO REDUÇÃO</v>
      </c>
      <c r="G1386" s="27">
        <f t="shared" si="22"/>
        <v>0</v>
      </c>
    </row>
    <row r="1387" spans="1:7" x14ac:dyDescent="0.25">
      <c r="A1387" s="120" t="str">
        <f>RIGHT(CSTABLE[[#This Row],[NomeNCM]],8)</f>
        <v>73089010</v>
      </c>
      <c r="B1387" s="7" t="s">
        <v>4566</v>
      </c>
      <c r="C1387" s="3" t="str">
        <f>IFERROR(VLOOKUP(B1387,ST!C:D,2,0),"NÃOST")</f>
        <v>NÃOST</v>
      </c>
      <c r="E1387" s="3" t="str">
        <f>IF(COUNTIF(ISENÇÕES!A:A,CST!B1387)&gt;0,"ISENÇÃO","SEM ISENÇÃO")</f>
        <v>SEM ISENÇÃO</v>
      </c>
      <c r="F1387" s="18" t="str">
        <f>IF(COUNTIF(REDUÇÕES!A:A,CST!B1387)&gt;0,"REDUÇÃO","NÃO REDUÇÃO")</f>
        <v>NÃO REDUÇÃO</v>
      </c>
      <c r="G1387" s="27">
        <f t="shared" si="22"/>
        <v>0</v>
      </c>
    </row>
    <row r="1388" spans="1:7" x14ac:dyDescent="0.25">
      <c r="A1388" s="120" t="str">
        <f>RIGHT(CSTABLE[[#This Row],[NomeNCM]],8)</f>
        <v>29033011</v>
      </c>
      <c r="B1388" s="7" t="s">
        <v>4567</v>
      </c>
      <c r="C1388" s="3" t="str">
        <f>IFERROR(VLOOKUP(B1388,ST!C:D,2,0),"NÃOST")</f>
        <v>NÃOST</v>
      </c>
      <c r="E1388" s="3" t="str">
        <f>IF(COUNTIF(ISENÇÕES!A:A,CST!B1388)&gt;0,"ISENÇÃO","SEM ISENÇÃO")</f>
        <v>SEM ISENÇÃO</v>
      </c>
      <c r="F1388" s="18" t="str">
        <f>IF(COUNTIF(REDUÇÕES!A:A,CST!B1388)&gt;0,"REDUÇÃO","NÃO REDUÇÃO")</f>
        <v>NÃO REDUÇÃO</v>
      </c>
      <c r="G1388" s="27">
        <f t="shared" si="22"/>
        <v>0</v>
      </c>
    </row>
    <row r="1389" spans="1:7" x14ac:dyDescent="0.25">
      <c r="A1389" s="120" t="str">
        <f>RIGHT(CSTABLE[[#This Row],[NomeNCM]],8)</f>
        <v>03031300</v>
      </c>
      <c r="B1389" s="7" t="s">
        <v>3177</v>
      </c>
      <c r="C1389" s="3" t="str">
        <f>IFERROR(VLOOKUP(B1389,ST!C:D,2,0),"NÃOST")</f>
        <v>NÃOST</v>
      </c>
      <c r="E1389" s="3" t="str">
        <f>IF(COUNTIF(ISENÇÕES!A:A,CST!B1389)&gt;0,"ISENÇÃO","SEM ISENÇÃO")</f>
        <v>SEM ISENÇÃO</v>
      </c>
      <c r="F1389" s="18" t="str">
        <f>IF(COUNTIF(REDUÇÕES!A:A,CST!B1389)&gt;0,"REDUÇÃO","NÃO REDUÇÃO")</f>
        <v>NÃO REDUÇÃO</v>
      </c>
      <c r="G1389" s="27">
        <f t="shared" ref="G1389:G1407" si="23">VLOOKUP(C1389&amp;F1389&amp;E1389,$B$3:$F$10,5,0)</f>
        <v>0</v>
      </c>
    </row>
    <row r="1390" spans="1:7" x14ac:dyDescent="0.25">
      <c r="A1390" s="120" t="str">
        <f>RIGHT(CSTABLE[[#This Row],[NomeNCM]],8)</f>
        <v>05040013</v>
      </c>
      <c r="B1390" s="7" t="s">
        <v>4568</v>
      </c>
      <c r="C1390" s="3" t="str">
        <f>IFERROR(VLOOKUP(B1390,ST!C:D,2,0),"NÃOST")</f>
        <v>NÃOST</v>
      </c>
      <c r="E1390" s="3" t="str">
        <f>IF(COUNTIF(ISENÇÕES!A:A,CST!B1390)&gt;0,"ISENÇÃO","SEM ISENÇÃO")</f>
        <v>SEM ISENÇÃO</v>
      </c>
      <c r="F1390" s="18" t="str">
        <f>IF(COUNTIF(REDUÇÕES!A:A,CST!B1390)&gt;0,"REDUÇÃO","NÃO REDUÇÃO")</f>
        <v>NÃO REDUÇÃO</v>
      </c>
      <c r="G1390" s="27">
        <f t="shared" si="23"/>
        <v>0</v>
      </c>
    </row>
    <row r="1391" spans="1:7" x14ac:dyDescent="0.25">
      <c r="A1391" s="120" t="str">
        <f>RIGHT(CSTABLE[[#This Row],[NomeNCM]],8)</f>
        <v>20098911</v>
      </c>
      <c r="B1391" s="7" t="s">
        <v>4569</v>
      </c>
      <c r="C1391" s="3" t="str">
        <f>IFERROR(VLOOKUP(B1391,ST!C:D,2,0),"NÃOST")</f>
        <v>NÃOST</v>
      </c>
      <c r="E1391" s="3" t="str">
        <f>IF(COUNTIF(ISENÇÕES!A:A,CST!B1391)&gt;0,"ISENÇÃO","SEM ISENÇÃO")</f>
        <v>SEM ISENÇÃO</v>
      </c>
      <c r="F1391" s="18" t="str">
        <f>IF(COUNTIF(REDUÇÕES!A:A,CST!B1391)&gt;0,"REDUÇÃO","NÃO REDUÇÃO")</f>
        <v>NÃO REDUÇÃO</v>
      </c>
      <c r="G1391" s="27">
        <f t="shared" si="23"/>
        <v>0</v>
      </c>
    </row>
    <row r="1392" spans="1:7" x14ac:dyDescent="0.25">
      <c r="A1392" s="120" t="str">
        <f>RIGHT(CSTABLE[[#This Row],[NomeNCM]],8)</f>
        <v>44191200</v>
      </c>
      <c r="B1392" s="7" t="s">
        <v>4570</v>
      </c>
      <c r="C1392" s="3" t="str">
        <f>IFERROR(VLOOKUP(B1392,ST!C:D,2,0),"NÃOST")</f>
        <v>NÃOST</v>
      </c>
      <c r="E1392" s="3" t="str">
        <f>IF(COUNTIF(ISENÇÕES!A:A,CST!B1392)&gt;0,"ISENÇÃO","SEM ISENÇÃO")</f>
        <v>SEM ISENÇÃO</v>
      </c>
      <c r="F1392" s="18" t="str">
        <f>IF(COUNTIF(REDUÇÕES!A:A,CST!B1392)&gt;0,"REDUÇÃO","NÃO REDUÇÃO")</f>
        <v>NÃO REDUÇÃO</v>
      </c>
      <c r="G1392" s="27">
        <f t="shared" si="23"/>
        <v>0</v>
      </c>
    </row>
    <row r="1393" spans="1:7" x14ac:dyDescent="0.25">
      <c r="A1393" s="120" t="str">
        <f>RIGHT(CSTABLE[[#This Row],[NomeNCM]],8)</f>
        <v>17049002</v>
      </c>
      <c r="B1393" s="7" t="s">
        <v>4571</v>
      </c>
      <c r="C1393" s="3" t="str">
        <f>IFERROR(VLOOKUP(B1393,ST!C:D,2,0),"NÃOST")</f>
        <v>NÃOST</v>
      </c>
      <c r="E1393" s="3" t="str">
        <f>IF(COUNTIF(ISENÇÕES!A:A,CST!B1393)&gt;0,"ISENÇÃO","SEM ISENÇÃO")</f>
        <v>SEM ISENÇÃO</v>
      </c>
      <c r="F1393" s="18" t="str">
        <f>IF(COUNTIF(REDUÇÕES!A:A,CST!B1393)&gt;0,"REDUÇÃO","NÃO REDUÇÃO")</f>
        <v>NÃO REDUÇÃO</v>
      </c>
      <c r="G1393" s="27">
        <f t="shared" si="23"/>
        <v>0</v>
      </c>
    </row>
    <row r="1394" spans="1:7" x14ac:dyDescent="0.25">
      <c r="A1394" s="120" t="str">
        <f>RIGHT(CSTABLE[[#This Row],[NomeNCM]],8)</f>
        <v>33013000</v>
      </c>
      <c r="B1394" s="7" t="s">
        <v>4572</v>
      </c>
      <c r="C1394" s="3" t="str">
        <f>IFERROR(VLOOKUP(B1394,ST!C:D,2,0),"NÃOST")</f>
        <v>NÃOST</v>
      </c>
      <c r="E1394" s="3" t="str">
        <f>IF(COUNTIF(ISENÇÕES!A:A,CST!B1394)&gt;0,"ISENÇÃO","SEM ISENÇÃO")</f>
        <v>SEM ISENÇÃO</v>
      </c>
      <c r="F1394" s="18" t="str">
        <f>IF(COUNTIF(REDUÇÕES!A:A,CST!B1394)&gt;0,"REDUÇÃO","NÃO REDUÇÃO")</f>
        <v>NÃO REDUÇÃO</v>
      </c>
      <c r="G1394" s="27">
        <f t="shared" si="23"/>
        <v>0</v>
      </c>
    </row>
    <row r="1395" spans="1:7" x14ac:dyDescent="0.25">
      <c r="A1395" s="120" t="str">
        <f>RIGHT(CSTABLE[[#This Row],[NomeNCM]],8)</f>
        <v>73241000</v>
      </c>
      <c r="B1395" s="7" t="s">
        <v>4573</v>
      </c>
      <c r="C1395" s="3" t="str">
        <f>IFERROR(VLOOKUP(B1395,ST!C:D,2,0),"NÃOST")</f>
        <v>NÃOST</v>
      </c>
      <c r="E1395" s="3" t="str">
        <f>IF(COUNTIF(ISENÇÕES!A:A,CST!B1395)&gt;0,"ISENÇÃO","SEM ISENÇÃO")</f>
        <v>SEM ISENÇÃO</v>
      </c>
      <c r="F1395" s="18" t="str">
        <f>IF(COUNTIF(REDUÇÕES!A:A,CST!B1395)&gt;0,"REDUÇÃO","NÃO REDUÇÃO")</f>
        <v>NÃO REDUÇÃO</v>
      </c>
      <c r="G1395" s="27">
        <f t="shared" si="23"/>
        <v>0</v>
      </c>
    </row>
    <row r="1396" spans="1:7" x14ac:dyDescent="0.25">
      <c r="A1396" s="120" t="str">
        <f>RIGHT(CSTABLE[[#This Row],[NomeNCM]],8)</f>
        <v>94055000</v>
      </c>
      <c r="B1396" s="7" t="s">
        <v>4574</v>
      </c>
      <c r="C1396" s="3" t="str">
        <f>IFERROR(VLOOKUP(B1396,ST!C:D,2,0),"NÃOST")</f>
        <v>NÃOST</v>
      </c>
      <c r="E1396" s="3" t="str">
        <f>IF(COUNTIF(ISENÇÕES!A:A,CST!B1396)&gt;0,"ISENÇÃO","SEM ISENÇÃO")</f>
        <v>SEM ISENÇÃO</v>
      </c>
      <c r="F1396" s="18" t="str">
        <f>IF(COUNTIF(REDUÇÕES!A:A,CST!B1396)&gt;0,"REDUÇÃO","NÃO REDUÇÃO")</f>
        <v>NÃO REDUÇÃO</v>
      </c>
      <c r="G1396" s="27">
        <f t="shared" si="23"/>
        <v>0</v>
      </c>
    </row>
    <row r="1397" spans="1:7" x14ac:dyDescent="0.25">
      <c r="A1397" s="120" t="str">
        <f>RIGHT(CSTABLE[[#This Row],[NomeNCM]],8)</f>
        <v>03031100</v>
      </c>
      <c r="B1397" s="7" t="s">
        <v>3175</v>
      </c>
      <c r="C1397" s="3" t="str">
        <f>IFERROR(VLOOKUP(B1397,ST!C:D,2,0),"NÃOST")</f>
        <v>NÃOST</v>
      </c>
      <c r="E1397" s="3" t="str">
        <f>IF(COUNTIF(ISENÇÕES!A:A,CST!B1397)&gt;0,"ISENÇÃO","SEM ISENÇÃO")</f>
        <v>SEM ISENÇÃO</v>
      </c>
      <c r="F1397" s="18" t="str">
        <f>IF(COUNTIF(REDUÇÕES!A:A,CST!B1397)&gt;0,"REDUÇÃO","NÃO REDUÇÃO")</f>
        <v>NÃO REDUÇÃO</v>
      </c>
      <c r="G1397" s="27">
        <f t="shared" si="23"/>
        <v>0</v>
      </c>
    </row>
    <row r="1398" spans="1:7" x14ac:dyDescent="0.25">
      <c r="A1398" s="120" t="str">
        <f>RIGHT(CSTABLE[[#This Row],[NomeNCM]],8)</f>
        <v>84186999</v>
      </c>
      <c r="B1398" s="7" t="s">
        <v>734</v>
      </c>
      <c r="C1398" s="3" t="str">
        <f>IFERROR(VLOOKUP(B1398,ST!C:D,2,0),"NÃOST")</f>
        <v>NÃOST</v>
      </c>
      <c r="E1398" s="3" t="str">
        <f>IF(COUNTIF(ISENÇÕES!A:A,CST!B1398)&gt;0,"ISENÇÃO","SEM ISENÇÃO")</f>
        <v>SEM ISENÇÃO</v>
      </c>
      <c r="F1398" s="18" t="str">
        <f>IF(COUNTIF(REDUÇÕES!A:A,CST!B1398)&gt;0,"REDUÇÃO","NÃO REDUÇÃO")</f>
        <v>NÃO REDUÇÃO</v>
      </c>
      <c r="G1398" s="27">
        <f t="shared" si="23"/>
        <v>0</v>
      </c>
    </row>
    <row r="1399" spans="1:7" x14ac:dyDescent="0.25">
      <c r="A1399" s="120" t="str">
        <f>RIGHT(CSTABLE[[#This Row],[NomeNCM]],8)</f>
        <v>16041390</v>
      </c>
      <c r="B1399" s="7" t="s">
        <v>4575</v>
      </c>
      <c r="C1399" s="3" t="str">
        <f>IFERROR(VLOOKUP(B1399,ST!C:D,2,0),"NÃOST")</f>
        <v>NÃOST</v>
      </c>
      <c r="E1399" s="3" t="str">
        <f>IF(COUNTIF(ISENÇÕES!A:A,CST!B1399)&gt;0,"ISENÇÃO","SEM ISENÇÃO")</f>
        <v>SEM ISENÇÃO</v>
      </c>
      <c r="F1399" s="18" t="str">
        <f>IF(COUNTIF(REDUÇÕES!A:A,CST!B1399)&gt;0,"REDUÇÃO","NÃO REDUÇÃO")</f>
        <v>NÃO REDUÇÃO</v>
      </c>
      <c r="G1399" s="27">
        <f t="shared" si="23"/>
        <v>0</v>
      </c>
    </row>
    <row r="1400" spans="1:7" x14ac:dyDescent="0.25">
      <c r="A1400" s="120" t="str">
        <f>RIGHT(CSTABLE[[#This Row],[NomeNCM]],8)</f>
        <v>32139000</v>
      </c>
      <c r="B1400" s="7" t="s">
        <v>4576</v>
      </c>
      <c r="C1400" s="3" t="str">
        <f>IFERROR(VLOOKUP(B1400,ST!C:D,2,0),"NÃOST")</f>
        <v>NÃOST</v>
      </c>
      <c r="E1400" s="3" t="str">
        <f>IF(COUNTIF(ISENÇÕES!A:A,CST!B1400)&gt;0,"ISENÇÃO","SEM ISENÇÃO")</f>
        <v>SEM ISENÇÃO</v>
      </c>
      <c r="F1400" s="18" t="str">
        <f>IF(COUNTIF(REDUÇÕES!A:A,CST!B1400)&gt;0,"REDUÇÃO","NÃO REDUÇÃO")</f>
        <v>NÃO REDUÇÃO</v>
      </c>
      <c r="G1400" s="27">
        <f t="shared" si="23"/>
        <v>0</v>
      </c>
    </row>
    <row r="1401" spans="1:7" x14ac:dyDescent="0.25">
      <c r="A1401" s="120" t="str">
        <f>RIGHT(CSTABLE[[#This Row],[NomeNCM]],8)</f>
        <v>08082010</v>
      </c>
      <c r="B1401" s="7" t="s">
        <v>4487</v>
      </c>
      <c r="C1401" s="3" t="str">
        <f>IFERROR(VLOOKUP(B1401,ST!C:D,2,0),"NÃOST")</f>
        <v>NÃOST</v>
      </c>
      <c r="E1401" s="3" t="str">
        <f>IF(COUNTIF(ISENÇÕES!A:A,CST!B1401)&gt;0,"ISENÇÃO","SEM ISENÇÃO")</f>
        <v>ISENÇÃO</v>
      </c>
      <c r="F1401" s="18" t="str">
        <f>IF(COUNTIF(REDUÇÕES!A:A,CST!B1401)&gt;0,"REDUÇÃO","NÃO REDUÇÃO")</f>
        <v>NÃO REDUÇÃO</v>
      </c>
      <c r="G1401" s="27">
        <f t="shared" si="23"/>
        <v>40</v>
      </c>
    </row>
    <row r="1402" spans="1:7" x14ac:dyDescent="0.25">
      <c r="A1402" s="120" t="str">
        <f>RIGHT(CSTABLE[[#This Row],[NomeNCM]],8)</f>
        <v>20086090</v>
      </c>
      <c r="B1402" s="7" t="s">
        <v>4577</v>
      </c>
      <c r="C1402" s="3" t="str">
        <f>IFERROR(VLOOKUP(B1402,ST!C:D,2,0),"NÃOST")</f>
        <v>NÃOST</v>
      </c>
      <c r="E1402" s="3" t="str">
        <f>IF(COUNTIF(ISENÇÕES!A:A,CST!B1402)&gt;0,"ISENÇÃO","SEM ISENÇÃO")</f>
        <v>SEM ISENÇÃO</v>
      </c>
      <c r="F1402" s="18" t="str">
        <f>IF(COUNTIF(REDUÇÕES!A:A,CST!B1402)&gt;0,"REDUÇÃO","NÃO REDUÇÃO")</f>
        <v>NÃO REDUÇÃO</v>
      </c>
      <c r="G1402" s="27">
        <f t="shared" si="23"/>
        <v>0</v>
      </c>
    </row>
    <row r="1403" spans="1:7" x14ac:dyDescent="0.25">
      <c r="A1403" s="120" t="str">
        <f>RIGHT(CSTABLE[[#This Row],[NomeNCM]],8)</f>
        <v>08052000</v>
      </c>
      <c r="B1403" s="7" t="s">
        <v>4486</v>
      </c>
      <c r="C1403" s="3" t="str">
        <f>IFERROR(VLOOKUP(B1403,ST!C:D,2,0),"NÃOST")</f>
        <v>NÃOST</v>
      </c>
      <c r="E1403" s="3" t="str">
        <f>IF(COUNTIF(ISENÇÕES!A:A,CST!B1403)&gt;0,"ISENÇÃO","SEM ISENÇÃO")</f>
        <v>ISENÇÃO</v>
      </c>
      <c r="F1403" s="18" t="str">
        <f>IF(COUNTIF(REDUÇÕES!A:A,CST!B1403)&gt;0,"REDUÇÃO","NÃO REDUÇÃO")</f>
        <v>NÃO REDUÇÃO</v>
      </c>
      <c r="G1403" s="27">
        <f t="shared" si="23"/>
        <v>40</v>
      </c>
    </row>
    <row r="1404" spans="1:7" x14ac:dyDescent="0.25">
      <c r="A1404" s="120" t="str">
        <f>RIGHT(CSTABLE[[#This Row],[NomeNCM]],8)</f>
        <v>66019110</v>
      </c>
      <c r="B1404" s="7" t="s">
        <v>4578</v>
      </c>
      <c r="C1404" s="3" t="str">
        <f>IFERROR(VLOOKUP(B1404,ST!C:D,2,0),"NÃOST")</f>
        <v>NÃOST</v>
      </c>
      <c r="E1404" s="3" t="str">
        <f>IF(COUNTIF(ISENÇÕES!A:A,CST!B1404)&gt;0,"ISENÇÃO","SEM ISENÇÃO")</f>
        <v>SEM ISENÇÃO</v>
      </c>
      <c r="F1404" s="18" t="str">
        <f>IF(COUNTIF(REDUÇÕES!A:A,CST!B1404)&gt;0,"REDUÇÃO","NÃO REDUÇÃO")</f>
        <v>NÃO REDUÇÃO</v>
      </c>
      <c r="G1404" s="27">
        <f t="shared" si="23"/>
        <v>0</v>
      </c>
    </row>
    <row r="1405" spans="1:7" x14ac:dyDescent="0.25">
      <c r="A1405" s="120" t="str">
        <f>RIGHT(CSTABLE[[#This Row],[NomeNCM]],8)</f>
        <v>62114200</v>
      </c>
      <c r="B1405" s="7" t="s">
        <v>4579</v>
      </c>
      <c r="C1405" s="3" t="str">
        <f>IFERROR(VLOOKUP(B1405,ST!C:D,2,0),"NÃOST")</f>
        <v>NÃOST</v>
      </c>
      <c r="E1405" s="3" t="str">
        <f>IF(COUNTIF(ISENÇÕES!A:A,CST!B1405)&gt;0,"ISENÇÃO","SEM ISENÇÃO")</f>
        <v>SEM ISENÇÃO</v>
      </c>
      <c r="F1405" s="18" t="str">
        <f>IF(COUNTIF(REDUÇÕES!A:A,CST!B1405)&gt;0,"REDUÇÃO","NÃO REDUÇÃO")</f>
        <v>NÃO REDUÇÃO</v>
      </c>
      <c r="G1405" s="27">
        <f t="shared" si="23"/>
        <v>0</v>
      </c>
    </row>
    <row r="1406" spans="1:7" x14ac:dyDescent="0.25">
      <c r="A1406" s="120" t="str">
        <f>RIGHT(CSTABLE[[#This Row],[NomeNCM]],8)</f>
        <v>92024200</v>
      </c>
      <c r="B1406" s="7" t="s">
        <v>4580</v>
      </c>
      <c r="C1406" s="3" t="str">
        <f>IFERROR(VLOOKUP(B1406,ST!C:D,2,0),"NÃOST")</f>
        <v>NÃOST</v>
      </c>
      <c r="E1406" s="3" t="str">
        <f>IF(COUNTIF(ISENÇÕES!A:A,CST!B1406)&gt;0,"ISENÇÃO","SEM ISENÇÃO")</f>
        <v>SEM ISENÇÃO</v>
      </c>
      <c r="F1406" s="18" t="str">
        <f>IF(COUNTIF(REDUÇÕES!A:A,CST!B1406)&gt;0,"REDUÇÃO","NÃO REDUÇÃO")</f>
        <v>NÃO REDUÇÃO</v>
      </c>
      <c r="G1406" s="27">
        <f t="shared" si="23"/>
        <v>0</v>
      </c>
    </row>
    <row r="1407" spans="1:7" x14ac:dyDescent="0.25">
      <c r="A1407" s="120" t="str">
        <f>RIGHT(CSTABLE[[#This Row],[NomeNCM]],8)</f>
        <v>39201099</v>
      </c>
      <c r="B1407" s="7" t="s">
        <v>4581</v>
      </c>
      <c r="C1407" s="49" t="str">
        <f>IFERROR(VLOOKUP(B1407,ST!C:D,2,0),"NÃOST")</f>
        <v>NÃOST</v>
      </c>
      <c r="E1407" s="49" t="str">
        <f>IF(COUNTIF(ISENÇÕES!A:A,CST!B1407)&gt;0,"ISENÇÃO","SEM ISENÇÃO")</f>
        <v>SEM ISENÇÃO</v>
      </c>
      <c r="F1407" s="50" t="str">
        <f>IF(COUNTIF(REDUÇÕES!A:A,CST!B1407)&gt;0,"REDUÇÃO","NÃO REDUÇÃO")</f>
        <v>NÃO REDUÇÃO</v>
      </c>
      <c r="G1407" s="51">
        <f t="shared" si="23"/>
        <v>0</v>
      </c>
    </row>
    <row r="1408" spans="1:7" x14ac:dyDescent="0.25">
      <c r="A1408" s="120" t="str">
        <f>RIGHT(CSTABLE[[#This Row],[NomeNCM]],8)</f>
        <v>07133990</v>
      </c>
      <c r="B1408" s="7" t="s">
        <v>3573</v>
      </c>
      <c r="C1408" s="3" t="str">
        <f>IFERROR(VLOOKUP(B1408,ST!C:D,2,0),"NÃOST")</f>
        <v>NÃOST</v>
      </c>
      <c r="E1408" s="3" t="str">
        <f>IF(COUNTIF(ISENÇÕES!A:A,CST!B1408)&gt;0,"ISENÇÃO","SEM ISENÇÃO")</f>
        <v>SEM ISENÇÃO</v>
      </c>
      <c r="F1408" s="18" t="str">
        <f>IF(COUNTIF(REDUÇÕES!A:A,CST!B1408)&gt;0,"REDUÇÃO","NÃO REDUÇÃO")</f>
        <v>REDUÇÃO</v>
      </c>
      <c r="G1408" s="27">
        <f t="shared" ref="G1408:G1452" si="24">VLOOKUP(C1408&amp;F1408&amp;E1408,$B$3:$F$10,5,0)</f>
        <v>20</v>
      </c>
    </row>
    <row r="1409" spans="1:7" x14ac:dyDescent="0.25">
      <c r="A1409" s="120" t="str">
        <f>RIGHT(CSTABLE[[#This Row],[NomeNCM]],8)</f>
        <v>90261029</v>
      </c>
      <c r="B1409" s="7" t="s">
        <v>4584</v>
      </c>
      <c r="C1409" s="3" t="str">
        <f>IFERROR(VLOOKUP(B1409,ST!C:D,2,0),"NÃOST")</f>
        <v>NÃOST</v>
      </c>
      <c r="E1409" s="3" t="str">
        <f>IF(COUNTIF(ISENÇÕES!A:A,CST!B1409)&gt;0,"ISENÇÃO","SEM ISENÇÃO")</f>
        <v>SEM ISENÇÃO</v>
      </c>
      <c r="F1409" s="18" t="str">
        <f>IF(COUNTIF(REDUÇÕES!A:A,CST!B1409)&gt;0,"REDUÇÃO","NÃO REDUÇÃO")</f>
        <v>NÃO REDUÇÃO</v>
      </c>
      <c r="G1409" s="27">
        <f t="shared" si="24"/>
        <v>0</v>
      </c>
    </row>
    <row r="1410" spans="1:7" x14ac:dyDescent="0.25">
      <c r="A1410" s="120" t="str">
        <f>RIGHT(CSTABLE[[#This Row],[NomeNCM]],8)</f>
        <v>90049020</v>
      </c>
      <c r="B1410" s="7" t="s">
        <v>4585</v>
      </c>
      <c r="C1410" s="3" t="str">
        <f>IFERROR(VLOOKUP(B1410,ST!C:D,2,0),"NÃOST")</f>
        <v>NÃOST</v>
      </c>
      <c r="E1410" s="3" t="str">
        <f>IF(COUNTIF(ISENÇÕES!A:A,CST!B1410)&gt;0,"ISENÇÃO","SEM ISENÇÃO")</f>
        <v>SEM ISENÇÃO</v>
      </c>
      <c r="F1410" s="18" t="str">
        <f>IF(COUNTIF(REDUÇÕES!A:A,CST!B1410)&gt;0,"REDUÇÃO","NÃO REDUÇÃO")</f>
        <v>NÃO REDUÇÃO</v>
      </c>
      <c r="G1410" s="27">
        <f t="shared" si="24"/>
        <v>0</v>
      </c>
    </row>
    <row r="1411" spans="1:7" x14ac:dyDescent="0.25">
      <c r="A1411" s="120" t="str">
        <f>RIGHT(CSTABLE[[#This Row],[NomeNCM]],8)</f>
        <v>32149000</v>
      </c>
      <c r="B1411" s="7" t="s">
        <v>4586</v>
      </c>
      <c r="C1411" s="3" t="str">
        <f>IFERROR(VLOOKUP(B1411,ST!C:D,2,0),"NÃOST")</f>
        <v>NÃOST</v>
      </c>
      <c r="E1411" s="3" t="str">
        <f>IF(COUNTIF(ISENÇÕES!A:A,CST!B1411)&gt;0,"ISENÇÃO","SEM ISENÇÃO")</f>
        <v>SEM ISENÇÃO</v>
      </c>
      <c r="F1411" s="18" t="str">
        <f>IF(COUNTIF(REDUÇÕES!A:A,CST!B1411)&gt;0,"REDUÇÃO","NÃO REDUÇÃO")</f>
        <v>NÃO REDUÇÃO</v>
      </c>
      <c r="G1411" s="27">
        <f t="shared" si="24"/>
        <v>0</v>
      </c>
    </row>
    <row r="1412" spans="1:7" x14ac:dyDescent="0.25">
      <c r="A1412" s="120" t="str">
        <f>RIGHT(CSTABLE[[#This Row],[NomeNCM]],8)</f>
        <v>10061092</v>
      </c>
      <c r="B1412" s="7" t="s">
        <v>4587</v>
      </c>
      <c r="C1412" s="3" t="str">
        <f>IFERROR(VLOOKUP(B1412,ST!C:D,2,0),"NÃOST")</f>
        <v>NÃOST</v>
      </c>
      <c r="E1412" s="3" t="str">
        <f>IF(COUNTIF(ISENÇÕES!A:A,CST!B1412)&gt;0,"ISENÇÃO","SEM ISENÇÃO")</f>
        <v>SEM ISENÇÃO</v>
      </c>
      <c r="F1412" s="18" t="str">
        <f>IF(COUNTIF(REDUÇÕES!A:A,CST!B1412)&gt;0,"REDUÇÃO","NÃO REDUÇÃO")</f>
        <v>NÃO REDUÇÃO</v>
      </c>
      <c r="G1412" s="27">
        <f t="shared" si="24"/>
        <v>0</v>
      </c>
    </row>
    <row r="1413" spans="1:7" x14ac:dyDescent="0.25">
      <c r="A1413" s="120" t="str">
        <f>RIGHT(CSTABLE[[#This Row],[NomeNCM]],8)</f>
        <v>39235000</v>
      </c>
      <c r="B1413" s="7" t="s">
        <v>4588</v>
      </c>
      <c r="C1413" s="3" t="str">
        <f>IFERROR(VLOOKUP(B1413,ST!C:D,2,0),"NÃOST")</f>
        <v>NÃOST</v>
      </c>
      <c r="E1413" s="3" t="str">
        <f>IF(COUNTIF(ISENÇÕES!A:A,CST!B1413)&gt;0,"ISENÇÃO","SEM ISENÇÃO")</f>
        <v>SEM ISENÇÃO</v>
      </c>
      <c r="F1413" s="18" t="str">
        <f>IF(COUNTIF(REDUÇÕES!A:A,CST!B1413)&gt;0,"REDUÇÃO","NÃO REDUÇÃO")</f>
        <v>NÃO REDUÇÃO</v>
      </c>
      <c r="G1413" s="27">
        <f t="shared" si="24"/>
        <v>0</v>
      </c>
    </row>
    <row r="1414" spans="1:7" x14ac:dyDescent="0.25">
      <c r="A1414" s="120" t="str">
        <f>RIGHT(CSTABLE[[#This Row],[NomeNCM]],8)</f>
        <v>08103000</v>
      </c>
      <c r="B1414" s="7" t="s">
        <v>4589</v>
      </c>
      <c r="C1414" s="3" t="str">
        <f>IFERROR(VLOOKUP(B1414,ST!C:D,2,0),"NÃOST")</f>
        <v>NÃOST</v>
      </c>
      <c r="E1414" s="3" t="str">
        <f>IF(COUNTIF(ISENÇÕES!A:A,CST!B1414)&gt;0,"ISENÇÃO","SEM ISENÇÃO")</f>
        <v>ISENÇÃO</v>
      </c>
      <c r="F1414" s="18" t="str">
        <f>IF(COUNTIF(REDUÇÕES!A:A,CST!B1414)&gt;0,"REDUÇÃO","NÃO REDUÇÃO")</f>
        <v>NÃO REDUÇÃO</v>
      </c>
      <c r="G1414" s="27">
        <f t="shared" si="24"/>
        <v>40</v>
      </c>
    </row>
    <row r="1415" spans="1:7" x14ac:dyDescent="0.25">
      <c r="A1415" s="120" t="str">
        <f>RIGHT(CSTABLE[[#This Row],[NomeNCM]],8)</f>
        <v>76081000</v>
      </c>
      <c r="B1415" s="7" t="s">
        <v>4590</v>
      </c>
      <c r="C1415" s="3" t="str">
        <f>IFERROR(VLOOKUP(B1415,ST!C:D,2,0),"NÃOST")</f>
        <v>NÃOST</v>
      </c>
      <c r="E1415" s="3" t="str">
        <f>IF(COUNTIF(ISENÇÕES!A:A,CST!B1415)&gt;0,"ISENÇÃO","SEM ISENÇÃO")</f>
        <v>SEM ISENÇÃO</v>
      </c>
      <c r="F1415" s="18" t="str">
        <f>IF(COUNTIF(REDUÇÕES!A:A,CST!B1415)&gt;0,"REDUÇÃO","NÃO REDUÇÃO")</f>
        <v>NÃO REDUÇÃO</v>
      </c>
      <c r="G1415" s="27">
        <f t="shared" si="24"/>
        <v>0</v>
      </c>
    </row>
    <row r="1416" spans="1:7" x14ac:dyDescent="0.25">
      <c r="A1416" s="120" t="str">
        <f>RIGHT(CSTABLE[[#This Row],[NomeNCM]],8)</f>
        <v>59119000</v>
      </c>
      <c r="B1416" s="7" t="s">
        <v>4591</v>
      </c>
      <c r="C1416" s="3" t="str">
        <f>IFERROR(VLOOKUP(B1416,ST!C:D,2,0),"NÃOST")</f>
        <v>NÃOST</v>
      </c>
      <c r="E1416" s="3" t="str">
        <f>IF(COUNTIF(ISENÇÕES!A:A,CST!B1416)&gt;0,"ISENÇÃO","SEM ISENÇÃO")</f>
        <v>SEM ISENÇÃO</v>
      </c>
      <c r="F1416" s="18" t="str">
        <f>IF(COUNTIF(REDUÇÕES!A:A,CST!B1416)&gt;0,"REDUÇÃO","NÃO REDUÇÃO")</f>
        <v>NÃO REDUÇÃO</v>
      </c>
      <c r="G1416" s="27">
        <f t="shared" si="24"/>
        <v>0</v>
      </c>
    </row>
    <row r="1417" spans="1:7" x14ac:dyDescent="0.25">
      <c r="A1417" s="120" t="str">
        <f>RIGHT(CSTABLE[[#This Row],[NomeNCM]],8)</f>
        <v>03047100</v>
      </c>
      <c r="B1417" s="7" t="s">
        <v>3275</v>
      </c>
      <c r="C1417" s="3" t="str">
        <f>IFERROR(VLOOKUP(B1417,ST!C:D,2,0),"NÃOST")</f>
        <v>NÃOST</v>
      </c>
      <c r="E1417" s="3" t="str">
        <f>IF(COUNTIF(ISENÇÕES!A:A,CST!B1417)&gt;0,"ISENÇÃO","SEM ISENÇÃO")</f>
        <v>SEM ISENÇÃO</v>
      </c>
      <c r="F1417" s="18" t="str">
        <f>IF(COUNTIF(REDUÇÕES!A:A,CST!B1417)&gt;0,"REDUÇÃO","NÃO REDUÇÃO")</f>
        <v>NÃO REDUÇÃO</v>
      </c>
      <c r="G1417" s="27">
        <f t="shared" si="24"/>
        <v>0</v>
      </c>
    </row>
    <row r="1418" spans="1:7" x14ac:dyDescent="0.25">
      <c r="A1418" s="120" t="str">
        <f>RIGHT(CSTABLE[[#This Row],[NomeNCM]],8)</f>
        <v>14049010</v>
      </c>
      <c r="B1418" s="7" t="s">
        <v>4592</v>
      </c>
      <c r="C1418" s="3" t="str">
        <f>IFERROR(VLOOKUP(B1418,ST!C:D,2,0),"NÃOST")</f>
        <v>NÃOST</v>
      </c>
      <c r="E1418" s="3" t="str">
        <f>IF(COUNTIF(ISENÇÕES!A:A,CST!B1418)&gt;0,"ISENÇÃO","SEM ISENÇÃO")</f>
        <v>SEM ISENÇÃO</v>
      </c>
      <c r="F1418" s="18" t="str">
        <f>IF(COUNTIF(REDUÇÕES!A:A,CST!B1418)&gt;0,"REDUÇÃO","NÃO REDUÇÃO")</f>
        <v>NÃO REDUÇÃO</v>
      </c>
      <c r="G1418" s="27">
        <f t="shared" si="24"/>
        <v>0</v>
      </c>
    </row>
    <row r="1419" spans="1:7" x14ac:dyDescent="0.25">
      <c r="A1419" s="120" t="str">
        <f>RIGHT(CSTABLE[[#This Row],[NomeNCM]],8)</f>
        <v>70109090</v>
      </c>
      <c r="B1419" s="7" t="s">
        <v>4593</v>
      </c>
      <c r="C1419" s="3" t="str">
        <f>IFERROR(VLOOKUP(B1419,ST!C:D,2,0),"NÃOST")</f>
        <v>NÃOST</v>
      </c>
      <c r="E1419" s="3" t="str">
        <f>IF(COUNTIF(ISENÇÕES!A:A,CST!B1419)&gt;0,"ISENÇÃO","SEM ISENÇÃO")</f>
        <v>SEM ISENÇÃO</v>
      </c>
      <c r="F1419" s="18" t="str">
        <f>IF(COUNTIF(REDUÇÕES!A:A,CST!B1419)&gt;0,"REDUÇÃO","NÃO REDUÇÃO")</f>
        <v>NÃO REDUÇÃO</v>
      </c>
      <c r="G1419" s="27">
        <f t="shared" si="24"/>
        <v>0</v>
      </c>
    </row>
    <row r="1420" spans="1:7" x14ac:dyDescent="0.25">
      <c r="A1420" s="120" t="str">
        <f>RIGHT(CSTABLE[[#This Row],[NomeNCM]],8)</f>
        <v>48030090</v>
      </c>
      <c r="B1420" s="7" t="s">
        <v>4594</v>
      </c>
      <c r="C1420" s="3" t="str">
        <f>IFERROR(VLOOKUP(B1420,ST!C:D,2,0),"NÃOST")</f>
        <v>NÃOST</v>
      </c>
      <c r="E1420" s="3" t="str">
        <f>IF(COUNTIF(ISENÇÕES!A:A,CST!B1420)&gt;0,"ISENÇÃO","SEM ISENÇÃO")</f>
        <v>SEM ISENÇÃO</v>
      </c>
      <c r="F1420" s="18" t="str">
        <f>IF(COUNTIF(REDUÇÕES!A:A,CST!B1420)&gt;0,"REDUÇÃO","NÃO REDUÇÃO")</f>
        <v>NÃO REDUÇÃO</v>
      </c>
      <c r="G1420" s="27">
        <f t="shared" si="24"/>
        <v>0</v>
      </c>
    </row>
    <row r="1421" spans="1:7" x14ac:dyDescent="0.25">
      <c r="A1421" s="120" t="str">
        <f>RIGHT(CSTABLE[[#This Row],[NomeNCM]],8)</f>
        <v>22042910</v>
      </c>
      <c r="B1421" s="7" t="s">
        <v>4595</v>
      </c>
      <c r="C1421" s="3" t="str">
        <f>IFERROR(VLOOKUP(B1421,ST!C:D,2,0),"NÃOST")</f>
        <v>NÃOST</v>
      </c>
      <c r="E1421" s="3" t="str">
        <f>IF(COUNTIF(ISENÇÕES!A:A,CST!B1421)&gt;0,"ISENÇÃO","SEM ISENÇÃO")</f>
        <v>SEM ISENÇÃO</v>
      </c>
      <c r="F1421" s="18" t="str">
        <f>IF(COUNTIF(REDUÇÕES!A:A,CST!B1421)&gt;0,"REDUÇÃO","NÃO REDUÇÃO")</f>
        <v>NÃO REDUÇÃO</v>
      </c>
      <c r="G1421" s="27">
        <f t="shared" si="24"/>
        <v>0</v>
      </c>
    </row>
    <row r="1422" spans="1:7" x14ac:dyDescent="0.25">
      <c r="A1422" s="120" t="str">
        <f>RIGHT(CSTABLE[[#This Row],[NomeNCM]],8)</f>
        <v>62114300</v>
      </c>
      <c r="B1422" s="7" t="s">
        <v>4596</v>
      </c>
      <c r="C1422" s="3" t="str">
        <f>IFERROR(VLOOKUP(B1422,ST!C:D,2,0),"NÃOST")</f>
        <v>NÃOST</v>
      </c>
      <c r="E1422" s="3" t="str">
        <f>IF(COUNTIF(ISENÇÕES!A:A,CST!B1422)&gt;0,"ISENÇÃO","SEM ISENÇÃO")</f>
        <v>SEM ISENÇÃO</v>
      </c>
      <c r="F1422" s="18" t="str">
        <f>IF(COUNTIF(REDUÇÕES!A:A,CST!B1422)&gt;0,"REDUÇÃO","NÃO REDUÇÃO")</f>
        <v>NÃO REDUÇÃO</v>
      </c>
      <c r="G1422" s="27">
        <f t="shared" si="24"/>
        <v>0</v>
      </c>
    </row>
    <row r="1423" spans="1:7" x14ac:dyDescent="0.25">
      <c r="A1423" s="120" t="str">
        <f>RIGHT(CSTABLE[[#This Row],[NomeNCM]],8)</f>
        <v>73181400</v>
      </c>
      <c r="B1423" s="7" t="s">
        <v>4597</v>
      </c>
      <c r="C1423" s="3" t="str">
        <f>IFERROR(VLOOKUP(B1423,ST!C:D,2,0),"NÃOST")</f>
        <v>NÃOST</v>
      </c>
      <c r="E1423" s="3" t="str">
        <f>IF(COUNTIF(ISENÇÕES!A:A,CST!B1423)&gt;0,"ISENÇÃO","SEM ISENÇÃO")</f>
        <v>SEM ISENÇÃO</v>
      </c>
      <c r="F1423" s="18" t="str">
        <f>IF(COUNTIF(REDUÇÕES!A:A,CST!B1423)&gt;0,"REDUÇÃO","NÃO REDUÇÃO")</f>
        <v>NÃO REDUÇÃO</v>
      </c>
      <c r="G1423" s="27">
        <f t="shared" si="24"/>
        <v>0</v>
      </c>
    </row>
    <row r="1424" spans="1:7" x14ac:dyDescent="0.25">
      <c r="A1424" s="120" t="str">
        <f>RIGHT(CSTABLE[[#This Row],[NomeNCM]],8)</f>
        <v>39204900</v>
      </c>
      <c r="B1424" s="7" t="s">
        <v>4598</v>
      </c>
      <c r="C1424" s="3" t="str">
        <f>IFERROR(VLOOKUP(B1424,ST!C:D,2,0),"NÃOST")</f>
        <v>NÃOST</v>
      </c>
      <c r="E1424" s="3" t="str">
        <f>IF(COUNTIF(ISENÇÕES!A:A,CST!B1424)&gt;0,"ISENÇÃO","SEM ISENÇÃO")</f>
        <v>SEM ISENÇÃO</v>
      </c>
      <c r="F1424" s="18" t="str">
        <f>IF(COUNTIF(REDUÇÕES!A:A,CST!B1424)&gt;0,"REDUÇÃO","NÃO REDUÇÃO")</f>
        <v>NÃO REDUÇÃO</v>
      </c>
      <c r="G1424" s="27">
        <f t="shared" si="24"/>
        <v>0</v>
      </c>
    </row>
    <row r="1425" spans="1:7" x14ac:dyDescent="0.25">
      <c r="A1425" s="120" t="str">
        <f>RIGHT(CSTABLE[[#This Row],[NomeNCM]],8)</f>
        <v>32081010</v>
      </c>
      <c r="B1425" s="7" t="s">
        <v>4492</v>
      </c>
      <c r="C1425" s="3" t="str">
        <f>IFERROR(VLOOKUP(B1425,ST!C:D,2,0),"NÃOST")</f>
        <v>ST</v>
      </c>
      <c r="E1425" s="3" t="str">
        <f>IF(COUNTIF(ISENÇÕES!A:A,CST!B1425)&gt;0,"ISENÇÃO","SEM ISENÇÃO")</f>
        <v>SEM ISENÇÃO</v>
      </c>
      <c r="F1425" s="18" t="str">
        <f>IF(COUNTIF(REDUÇÕES!A:A,CST!B1425)&gt;0,"REDUÇÃO","NÃO REDUÇÃO")</f>
        <v>NÃO REDUÇÃO</v>
      </c>
      <c r="G1425" s="27">
        <f t="shared" si="24"/>
        <v>60</v>
      </c>
    </row>
    <row r="1426" spans="1:7" x14ac:dyDescent="0.25">
      <c r="A1426" s="120" t="str">
        <f>RIGHT(CSTABLE[[#This Row],[NomeNCM]],8)</f>
        <v>64039990</v>
      </c>
      <c r="B1426" s="7" t="s">
        <v>4599</v>
      </c>
      <c r="C1426" s="3" t="str">
        <f>IFERROR(VLOOKUP(B1426,ST!C:D,2,0),"NÃOST")</f>
        <v>NÃOST</v>
      </c>
      <c r="E1426" s="3" t="str">
        <f>IF(COUNTIF(ISENÇÕES!A:A,CST!B1426)&gt;0,"ISENÇÃO","SEM ISENÇÃO")</f>
        <v>SEM ISENÇÃO</v>
      </c>
      <c r="F1426" s="18" t="str">
        <f>IF(COUNTIF(REDUÇÕES!A:A,CST!B1426)&gt;0,"REDUÇÃO","NÃO REDUÇÃO")</f>
        <v>NÃO REDUÇÃO</v>
      </c>
      <c r="G1426" s="27">
        <f t="shared" si="24"/>
        <v>0</v>
      </c>
    </row>
    <row r="1427" spans="1:7" x14ac:dyDescent="0.25">
      <c r="A1427" s="120" t="str">
        <f>RIGHT(CSTABLE[[#This Row],[NomeNCM]],8)</f>
        <v>29021100</v>
      </c>
      <c r="B1427" s="7" t="s">
        <v>4600</v>
      </c>
      <c r="C1427" s="3" t="str">
        <f>IFERROR(VLOOKUP(B1427,ST!C:D,2,0),"NÃOST")</f>
        <v>NÃOST</v>
      </c>
      <c r="E1427" s="3" t="str">
        <f>IF(COUNTIF(ISENÇÕES!A:A,CST!B1427)&gt;0,"ISENÇÃO","SEM ISENÇÃO")</f>
        <v>SEM ISENÇÃO</v>
      </c>
      <c r="F1427" s="18" t="str">
        <f>IF(COUNTIF(REDUÇÕES!A:A,CST!B1427)&gt;0,"REDUÇÃO","NÃO REDUÇÃO")</f>
        <v>NÃO REDUÇÃO</v>
      </c>
      <c r="G1427" s="27">
        <f t="shared" si="24"/>
        <v>0</v>
      </c>
    </row>
    <row r="1428" spans="1:7" x14ac:dyDescent="0.25">
      <c r="A1428" s="120" t="str">
        <f>RIGHT(CSTABLE[[#This Row],[NomeNCM]],8)</f>
        <v>03028944</v>
      </c>
      <c r="B1428" s="7" t="s">
        <v>3171</v>
      </c>
      <c r="C1428" s="3" t="str">
        <f>IFERROR(VLOOKUP(B1428,ST!C:D,2,0),"NÃOST")</f>
        <v>NÃOST</v>
      </c>
      <c r="E1428" s="3" t="str">
        <f>IF(COUNTIF(ISENÇÕES!A:A,CST!B1428)&gt;0,"ISENÇÃO","SEM ISENÇÃO")</f>
        <v>SEM ISENÇÃO</v>
      </c>
      <c r="F1428" s="18" t="str">
        <f>IF(COUNTIF(REDUÇÕES!A:A,CST!B1428)&gt;0,"REDUÇÃO","NÃO REDUÇÃO")</f>
        <v>NÃO REDUÇÃO</v>
      </c>
      <c r="G1428" s="27">
        <f t="shared" si="24"/>
        <v>0</v>
      </c>
    </row>
    <row r="1429" spans="1:7" x14ac:dyDescent="0.25">
      <c r="A1429" s="120" t="str">
        <f>RIGHT(CSTABLE[[#This Row],[NomeNCM]],8)</f>
        <v>54011090</v>
      </c>
      <c r="B1429" s="7" t="s">
        <v>4601</v>
      </c>
      <c r="C1429" s="3" t="str">
        <f>IFERROR(VLOOKUP(B1429,ST!C:D,2,0),"NÃOST")</f>
        <v>NÃOST</v>
      </c>
      <c r="E1429" s="3" t="str">
        <f>IF(COUNTIF(ISENÇÕES!A:A,CST!B1429)&gt;0,"ISENÇÃO","SEM ISENÇÃO")</f>
        <v>SEM ISENÇÃO</v>
      </c>
      <c r="F1429" s="18" t="str">
        <f>IF(COUNTIF(REDUÇÕES!A:A,CST!B1429)&gt;0,"REDUÇÃO","NÃO REDUÇÃO")</f>
        <v>NÃO REDUÇÃO</v>
      </c>
      <c r="G1429" s="27">
        <f t="shared" si="24"/>
        <v>0</v>
      </c>
    </row>
    <row r="1430" spans="1:7" x14ac:dyDescent="0.25">
      <c r="A1430" s="120" t="str">
        <f>RIGHT(CSTABLE[[#This Row],[NomeNCM]],8)</f>
        <v>12024100</v>
      </c>
      <c r="B1430" s="7" t="s">
        <v>4602</v>
      </c>
      <c r="C1430" s="3" t="str">
        <f>IFERROR(VLOOKUP(B1430,ST!C:D,2,0),"NÃOST")</f>
        <v>NÃOST</v>
      </c>
      <c r="E1430" s="3" t="str">
        <f>IF(COUNTIF(ISENÇÕES!A:A,CST!B1430)&gt;0,"ISENÇÃO","SEM ISENÇÃO")</f>
        <v>SEM ISENÇÃO</v>
      </c>
      <c r="F1430" s="18" t="str">
        <f>IF(COUNTIF(REDUÇÕES!A:A,CST!B1430)&gt;0,"REDUÇÃO","NÃO REDUÇÃO")</f>
        <v>NÃO REDUÇÃO</v>
      </c>
      <c r="G1430" s="27">
        <f t="shared" si="24"/>
        <v>0</v>
      </c>
    </row>
    <row r="1431" spans="1:7" x14ac:dyDescent="0.25">
      <c r="A1431" s="120" t="str">
        <f>RIGHT(CSTABLE[[#This Row],[NomeNCM]],8)</f>
        <v>48025699</v>
      </c>
      <c r="B1431" s="7" t="s">
        <v>4603</v>
      </c>
      <c r="C1431" s="3" t="str">
        <f>IFERROR(VLOOKUP(B1431,ST!C:D,2,0),"NÃOST")</f>
        <v>NÃOST</v>
      </c>
      <c r="E1431" s="3" t="str">
        <f>IF(COUNTIF(ISENÇÕES!A:A,CST!B1431)&gt;0,"ISENÇÃO","SEM ISENÇÃO")</f>
        <v>SEM ISENÇÃO</v>
      </c>
      <c r="F1431" s="18" t="str">
        <f>IF(COUNTIF(REDUÇÕES!A:A,CST!B1431)&gt;0,"REDUÇÃO","NÃO REDUÇÃO")</f>
        <v>NÃO REDUÇÃO</v>
      </c>
      <c r="G1431" s="27">
        <f t="shared" si="24"/>
        <v>0</v>
      </c>
    </row>
    <row r="1432" spans="1:7" x14ac:dyDescent="0.25">
      <c r="A1432" s="120" t="str">
        <f>RIGHT(CSTABLE[[#This Row],[NomeNCM]],8)</f>
        <v>84819010</v>
      </c>
      <c r="B1432" s="7" t="s">
        <v>4604</v>
      </c>
      <c r="C1432" s="3" t="str">
        <f>IFERROR(VLOOKUP(B1432,ST!C:D,2,0),"NÃOST")</f>
        <v>NÃOST</v>
      </c>
      <c r="E1432" s="3" t="str">
        <f>IF(COUNTIF(ISENÇÕES!A:A,CST!B1432)&gt;0,"ISENÇÃO","SEM ISENÇÃO")</f>
        <v>SEM ISENÇÃO</v>
      </c>
      <c r="F1432" s="18" t="str">
        <f>IF(COUNTIF(REDUÇÕES!A:A,CST!B1432)&gt;0,"REDUÇÃO","NÃO REDUÇÃO")</f>
        <v>NÃO REDUÇÃO</v>
      </c>
      <c r="G1432" s="27">
        <f t="shared" si="24"/>
        <v>0</v>
      </c>
    </row>
    <row r="1433" spans="1:7" x14ac:dyDescent="0.25">
      <c r="A1433" s="120" t="str">
        <f>RIGHT(CSTABLE[[#This Row],[NomeNCM]],8)</f>
        <v>23065000</v>
      </c>
      <c r="B1433" s="7" t="s">
        <v>4605</v>
      </c>
      <c r="C1433" s="3" t="str">
        <f>IFERROR(VLOOKUP(B1433,ST!C:D,2,0),"NÃOST")</f>
        <v>NÃOST</v>
      </c>
      <c r="E1433" s="3" t="str">
        <f>IF(COUNTIF(ISENÇÕES!A:A,CST!B1433)&gt;0,"ISENÇÃO","SEM ISENÇÃO")</f>
        <v>SEM ISENÇÃO</v>
      </c>
      <c r="F1433" s="18" t="str">
        <f>IF(COUNTIF(REDUÇÕES!A:A,CST!B1433)&gt;0,"REDUÇÃO","NÃO REDUÇÃO")</f>
        <v>NÃO REDUÇÃO</v>
      </c>
      <c r="G1433" s="27">
        <f t="shared" si="24"/>
        <v>0</v>
      </c>
    </row>
    <row r="1434" spans="1:7" x14ac:dyDescent="0.25">
      <c r="A1434" s="120" t="str">
        <f>RIGHT(CSTABLE[[#This Row],[NomeNCM]],8)</f>
        <v>48101391</v>
      </c>
      <c r="B1434" s="7" t="s">
        <v>4606</v>
      </c>
      <c r="C1434" s="3" t="str">
        <f>IFERROR(VLOOKUP(B1434,ST!C:D,2,0),"NÃOST")</f>
        <v>NÃOST</v>
      </c>
      <c r="E1434" s="3" t="str">
        <f>IF(COUNTIF(ISENÇÕES!A:A,CST!B1434)&gt;0,"ISENÇÃO","SEM ISENÇÃO")</f>
        <v>SEM ISENÇÃO</v>
      </c>
      <c r="F1434" s="18" t="str">
        <f>IF(COUNTIF(REDUÇÕES!A:A,CST!B1434)&gt;0,"REDUÇÃO","NÃO REDUÇÃO")</f>
        <v>NÃO REDUÇÃO</v>
      </c>
      <c r="G1434" s="27">
        <f t="shared" si="24"/>
        <v>0</v>
      </c>
    </row>
    <row r="1435" spans="1:7" x14ac:dyDescent="0.25">
      <c r="A1435" s="120" t="str">
        <f>RIGHT(CSTABLE[[#This Row],[NomeNCM]],8)</f>
        <v>03044600</v>
      </c>
      <c r="B1435" s="7" t="s">
        <v>3257</v>
      </c>
      <c r="C1435" s="3" t="str">
        <f>IFERROR(VLOOKUP(B1435,ST!C:D,2,0),"NÃOST")</f>
        <v>NÃOST</v>
      </c>
      <c r="E1435" s="3" t="str">
        <f>IF(COUNTIF(ISENÇÕES!A:A,CST!B1435)&gt;0,"ISENÇÃO","SEM ISENÇÃO")</f>
        <v>SEM ISENÇÃO</v>
      </c>
      <c r="F1435" s="18" t="str">
        <f>IF(COUNTIF(REDUÇÕES!A:A,CST!B1435)&gt;0,"REDUÇÃO","NÃO REDUÇÃO")</f>
        <v>NÃO REDUÇÃO</v>
      </c>
      <c r="G1435" s="27">
        <f t="shared" si="24"/>
        <v>0</v>
      </c>
    </row>
    <row r="1436" spans="1:7" x14ac:dyDescent="0.25">
      <c r="A1436" s="120" t="str">
        <f>RIGHT(CSTABLE[[#This Row],[NomeNCM]],8)</f>
        <v>83099000</v>
      </c>
      <c r="B1436" s="7" t="s">
        <v>4607</v>
      </c>
      <c r="C1436" s="3" t="str">
        <f>IFERROR(VLOOKUP(B1436,ST!C:D,2,0),"NÃOST")</f>
        <v>NÃOST</v>
      </c>
      <c r="E1436" s="3" t="str">
        <f>IF(COUNTIF(ISENÇÕES!A:A,CST!B1436)&gt;0,"ISENÇÃO","SEM ISENÇÃO")</f>
        <v>SEM ISENÇÃO</v>
      </c>
      <c r="F1436" s="18" t="str">
        <f>IF(COUNTIF(REDUÇÕES!A:A,CST!B1436)&gt;0,"REDUÇÃO","NÃO REDUÇÃO")</f>
        <v>NÃO REDUÇÃO</v>
      </c>
      <c r="G1436" s="27">
        <f t="shared" si="24"/>
        <v>0</v>
      </c>
    </row>
    <row r="1437" spans="1:7" x14ac:dyDescent="0.25">
      <c r="A1437" s="120" t="str">
        <f>RIGHT(CSTABLE[[#This Row],[NomeNCM]],8)</f>
        <v>84818093</v>
      </c>
      <c r="B1437" s="7" t="s">
        <v>2159</v>
      </c>
      <c r="C1437" s="3" t="str">
        <f>IFERROR(VLOOKUP(B1437,ST!C:D,2,0),"NÃOST")</f>
        <v>NÃOST</v>
      </c>
      <c r="E1437" s="3" t="str">
        <f>IF(COUNTIF(ISENÇÕES!A:A,CST!B1437)&gt;0,"ISENÇÃO","SEM ISENÇÃO")</f>
        <v>SEM ISENÇÃO</v>
      </c>
      <c r="F1437" s="18" t="str">
        <f>IF(COUNTIF(REDUÇÕES!A:A,CST!B1437)&gt;0,"REDUÇÃO","NÃO REDUÇÃO")</f>
        <v>NÃO REDUÇÃO</v>
      </c>
      <c r="G1437" s="27">
        <f t="shared" si="24"/>
        <v>0</v>
      </c>
    </row>
    <row r="1438" spans="1:7" x14ac:dyDescent="0.25">
      <c r="A1438" s="120" t="str">
        <f>RIGHT(CSTABLE[[#This Row],[NomeNCM]],8)</f>
        <v>35052000</v>
      </c>
      <c r="B1438" s="7" t="s">
        <v>4608</v>
      </c>
      <c r="C1438" s="3" t="str">
        <f>IFERROR(VLOOKUP(B1438,ST!C:D,2,0),"NÃOST")</f>
        <v>NÃOST</v>
      </c>
      <c r="E1438" s="3" t="str">
        <f>IF(COUNTIF(ISENÇÕES!A:A,CST!B1438)&gt;0,"ISENÇÃO","SEM ISENÇÃO")</f>
        <v>SEM ISENÇÃO</v>
      </c>
      <c r="F1438" s="18" t="str">
        <f>IF(COUNTIF(REDUÇÕES!A:A,CST!B1438)&gt;0,"REDUÇÃO","NÃO REDUÇÃO")</f>
        <v>NÃO REDUÇÃO</v>
      </c>
      <c r="G1438" s="27">
        <f t="shared" si="24"/>
        <v>0</v>
      </c>
    </row>
    <row r="1439" spans="1:7" x14ac:dyDescent="0.25">
      <c r="A1439" s="120" t="str">
        <f>RIGHT(CSTABLE[[#This Row],[NomeNCM]],8)</f>
        <v>55113000</v>
      </c>
      <c r="B1439" s="7" t="s">
        <v>4609</v>
      </c>
      <c r="C1439" s="3" t="str">
        <f>IFERROR(VLOOKUP(B1439,ST!C:D,2,0),"NÃOST")</f>
        <v>NÃOST</v>
      </c>
      <c r="E1439" s="3" t="str">
        <f>IF(COUNTIF(ISENÇÕES!A:A,CST!B1439)&gt;0,"ISENÇÃO","SEM ISENÇÃO")</f>
        <v>SEM ISENÇÃO</v>
      </c>
      <c r="F1439" s="18" t="str">
        <f>IF(COUNTIF(REDUÇÕES!A:A,CST!B1439)&gt;0,"REDUÇÃO","NÃO REDUÇÃO")</f>
        <v>NÃO REDUÇÃO</v>
      </c>
      <c r="G1439" s="27">
        <f t="shared" si="24"/>
        <v>0</v>
      </c>
    </row>
    <row r="1440" spans="1:7" x14ac:dyDescent="0.25">
      <c r="A1440" s="120" t="str">
        <f>RIGHT(CSTABLE[[#This Row],[NomeNCM]],8)</f>
        <v>95049090</v>
      </c>
      <c r="B1440" s="7" t="s">
        <v>4610</v>
      </c>
      <c r="C1440" s="3" t="str">
        <f>IFERROR(VLOOKUP(B1440,ST!C:D,2,0),"NÃOST")</f>
        <v>NÃOST</v>
      </c>
      <c r="E1440" s="3" t="str">
        <f>IF(COUNTIF(ISENÇÕES!A:A,CST!B1440)&gt;0,"ISENÇÃO","SEM ISENÇÃO")</f>
        <v>SEM ISENÇÃO</v>
      </c>
      <c r="F1440" s="18" t="str">
        <f>IF(COUNTIF(REDUÇÕES!A:A,CST!B1440)&gt;0,"REDUÇÃO","NÃO REDUÇÃO")</f>
        <v>NÃO REDUÇÃO</v>
      </c>
      <c r="G1440" s="27">
        <f t="shared" si="24"/>
        <v>0</v>
      </c>
    </row>
    <row r="1441" spans="1:7" x14ac:dyDescent="0.25">
      <c r="A1441" s="120" t="str">
        <f>RIGHT(CSTABLE[[#This Row],[NomeNCM]],8)</f>
        <v>32159000</v>
      </c>
      <c r="B1441" s="7" t="s">
        <v>4611</v>
      </c>
      <c r="C1441" s="3" t="str">
        <f>IFERROR(VLOOKUP(B1441,ST!C:D,2,0),"NÃOST")</f>
        <v>NÃOST</v>
      </c>
      <c r="E1441" s="3" t="str">
        <f>IF(COUNTIF(ISENÇÕES!A:A,CST!B1441)&gt;0,"ISENÇÃO","SEM ISENÇÃO")</f>
        <v>SEM ISENÇÃO</v>
      </c>
      <c r="F1441" s="18" t="str">
        <f>IF(COUNTIF(REDUÇÕES!A:A,CST!B1441)&gt;0,"REDUÇÃO","NÃO REDUÇÃO")</f>
        <v>NÃO REDUÇÃO</v>
      </c>
      <c r="G1441" s="27">
        <f t="shared" si="24"/>
        <v>0</v>
      </c>
    </row>
    <row r="1442" spans="1:7" x14ac:dyDescent="0.25">
      <c r="A1442" s="120" t="str">
        <f>RIGHT(CSTABLE[[#This Row],[NomeNCM]],8)</f>
        <v>38249919</v>
      </c>
      <c r="B1442" s="7" t="s">
        <v>4612</v>
      </c>
      <c r="C1442" s="3" t="str">
        <f>IFERROR(VLOOKUP(B1442,ST!C:D,2,0),"NÃOST")</f>
        <v>NÃOST</v>
      </c>
      <c r="E1442" s="3" t="str">
        <f>IF(COUNTIF(ISENÇÕES!A:A,CST!B1442)&gt;0,"ISENÇÃO","SEM ISENÇÃO")</f>
        <v>SEM ISENÇÃO</v>
      </c>
      <c r="F1442" s="18" t="str">
        <f>IF(COUNTIF(REDUÇÕES!A:A,CST!B1442)&gt;0,"REDUÇÃO","NÃO REDUÇÃO")</f>
        <v>NÃO REDUÇÃO</v>
      </c>
      <c r="G1442" s="27">
        <f t="shared" si="24"/>
        <v>0</v>
      </c>
    </row>
    <row r="1443" spans="1:7" x14ac:dyDescent="0.25">
      <c r="A1443" s="120" t="str">
        <f>RIGHT(CSTABLE[[#This Row],[NomeNCM]],8)</f>
        <v>68042290</v>
      </c>
      <c r="B1443" s="7" t="s">
        <v>4613</v>
      </c>
      <c r="C1443" s="3" t="str">
        <f>IFERROR(VLOOKUP(B1443,ST!C:D,2,0),"NÃOST")</f>
        <v>NÃOST</v>
      </c>
      <c r="E1443" s="3" t="str">
        <f>IF(COUNTIF(ISENÇÕES!A:A,CST!B1443)&gt;0,"ISENÇÃO","SEM ISENÇÃO")</f>
        <v>SEM ISENÇÃO</v>
      </c>
      <c r="F1443" s="18" t="str">
        <f>IF(COUNTIF(REDUÇÕES!A:A,CST!B1443)&gt;0,"REDUÇÃO","NÃO REDUÇÃO")</f>
        <v>NÃO REDUÇÃO</v>
      </c>
      <c r="G1443" s="27">
        <f t="shared" si="24"/>
        <v>0</v>
      </c>
    </row>
    <row r="1444" spans="1:7" x14ac:dyDescent="0.25">
      <c r="A1444" s="120" t="str">
        <f>RIGHT(CSTABLE[[#This Row],[NomeNCM]],8)</f>
        <v>56090090</v>
      </c>
      <c r="B1444" s="7" t="s">
        <v>4614</v>
      </c>
      <c r="C1444" s="3" t="str">
        <f>IFERROR(VLOOKUP(B1444,ST!C:D,2,0),"NÃOST")</f>
        <v>NÃOST</v>
      </c>
      <c r="E1444" s="3" t="str">
        <f>IF(COUNTIF(ISENÇÕES!A:A,CST!B1444)&gt;0,"ISENÇÃO","SEM ISENÇÃO")</f>
        <v>SEM ISENÇÃO</v>
      </c>
      <c r="F1444" s="18" t="str">
        <f>IF(COUNTIF(REDUÇÕES!A:A,CST!B1444)&gt;0,"REDUÇÃO","NÃO REDUÇÃO")</f>
        <v>NÃO REDUÇÃO</v>
      </c>
      <c r="G1444" s="27">
        <f t="shared" si="24"/>
        <v>0</v>
      </c>
    </row>
    <row r="1445" spans="1:7" x14ac:dyDescent="0.25">
      <c r="A1445" s="120" t="str">
        <f>RIGHT(CSTABLE[[#This Row],[NomeNCM]],8)</f>
        <v>56075090</v>
      </c>
      <c r="B1445" s="7" t="s">
        <v>4615</v>
      </c>
      <c r="C1445" s="3" t="str">
        <f>IFERROR(VLOOKUP(B1445,ST!C:D,2,0),"NÃOST")</f>
        <v>NÃOST</v>
      </c>
      <c r="E1445" s="3" t="str">
        <f>IF(COUNTIF(ISENÇÕES!A:A,CST!B1445)&gt;0,"ISENÇÃO","SEM ISENÇÃO")</f>
        <v>SEM ISENÇÃO</v>
      </c>
      <c r="F1445" s="18" t="str">
        <f>IF(COUNTIF(REDUÇÕES!A:A,CST!B1445)&gt;0,"REDUÇÃO","NÃO REDUÇÃO")</f>
        <v>NÃO REDUÇÃO</v>
      </c>
      <c r="G1445" s="27">
        <f t="shared" si="24"/>
        <v>0</v>
      </c>
    </row>
    <row r="1446" spans="1:7" x14ac:dyDescent="0.25">
      <c r="A1446" s="120" t="str">
        <f>RIGHT(CSTABLE[[#This Row],[NomeNCM]],8)</f>
        <v>09011200</v>
      </c>
      <c r="B1446" s="7" t="s">
        <v>3341</v>
      </c>
      <c r="C1446" s="3" t="str">
        <f>IFERROR(VLOOKUP(B1446,ST!C:D,2,0),"NÃOST")</f>
        <v>NÃOST</v>
      </c>
      <c r="E1446" s="3" t="str">
        <f>IF(COUNTIF(ISENÇÕES!A:A,CST!B1446)&gt;0,"ISENÇÃO","SEM ISENÇÃO")</f>
        <v>SEM ISENÇÃO</v>
      </c>
      <c r="F1446" s="18" t="str">
        <f>IF(COUNTIF(REDUÇÕES!A:A,CST!B1446)&gt;0,"REDUÇÃO","NÃO REDUÇÃO")</f>
        <v>NÃO REDUÇÃO</v>
      </c>
      <c r="G1446" s="27">
        <f t="shared" si="24"/>
        <v>0</v>
      </c>
    </row>
    <row r="1447" spans="1:7" x14ac:dyDescent="0.25">
      <c r="A1447" s="120" t="str">
        <f>RIGHT(CSTABLE[[#This Row],[NomeNCM]],8)</f>
        <v>29051100</v>
      </c>
      <c r="B1447" s="7" t="s">
        <v>4616</v>
      </c>
      <c r="C1447" s="3" t="str">
        <f>IFERROR(VLOOKUP(B1447,ST!C:D,2,0),"NÃOST")</f>
        <v>NÃOST</v>
      </c>
      <c r="E1447" s="3" t="str">
        <f>IF(COUNTIF(ISENÇÕES!A:A,CST!B1447)&gt;0,"ISENÇÃO","SEM ISENÇÃO")</f>
        <v>SEM ISENÇÃO</v>
      </c>
      <c r="F1447" s="18" t="str">
        <f>IF(COUNTIF(REDUÇÕES!A:A,CST!B1447)&gt;0,"REDUÇÃO","NÃO REDUÇÃO")</f>
        <v>NÃO REDUÇÃO</v>
      </c>
      <c r="G1447" s="27">
        <f t="shared" si="24"/>
        <v>0</v>
      </c>
    </row>
    <row r="1448" spans="1:7" x14ac:dyDescent="0.25">
      <c r="A1448" s="120" t="str">
        <f>RIGHT(CSTABLE[[#This Row],[NomeNCM]],8)</f>
        <v>70109011</v>
      </c>
      <c r="B1448" s="7" t="s">
        <v>4617</v>
      </c>
      <c r="C1448" s="3" t="str">
        <f>IFERROR(VLOOKUP(B1448,ST!C:D,2,0),"NÃOST")</f>
        <v>NÃOST</v>
      </c>
      <c r="E1448" s="3" t="str">
        <f>IF(COUNTIF(ISENÇÕES!A:A,CST!B1448)&gt;0,"ISENÇÃO","SEM ISENÇÃO")</f>
        <v>SEM ISENÇÃO</v>
      </c>
      <c r="F1448" s="18" t="str">
        <f>IF(COUNTIF(REDUÇÕES!A:A,CST!B1448)&gt;0,"REDUÇÃO","NÃO REDUÇÃO")</f>
        <v>NÃO REDUÇÃO</v>
      </c>
      <c r="G1448" s="27">
        <f t="shared" si="24"/>
        <v>0</v>
      </c>
    </row>
    <row r="1449" spans="1:7" x14ac:dyDescent="0.25">
      <c r="A1449" s="120" t="str">
        <f>RIGHT(CSTABLE[[#This Row],[NomeNCM]],8)</f>
        <v>03046900</v>
      </c>
      <c r="B1449" s="7" t="s">
        <v>3274</v>
      </c>
      <c r="C1449" s="3" t="str">
        <f>IFERROR(VLOOKUP(B1449,ST!C:D,2,0),"NÃOST")</f>
        <v>NÃOST</v>
      </c>
      <c r="E1449" s="3" t="str">
        <f>IF(COUNTIF(ISENÇÕES!A:A,CST!B1449)&gt;0,"ISENÇÃO","SEM ISENÇÃO")</f>
        <v>SEM ISENÇÃO</v>
      </c>
      <c r="F1449" s="18" t="str">
        <f>IF(COUNTIF(REDUÇÕES!A:A,CST!B1449)&gt;0,"REDUÇÃO","NÃO REDUÇÃO")</f>
        <v>NÃO REDUÇÃO</v>
      </c>
      <c r="G1449" s="27">
        <f t="shared" si="24"/>
        <v>0</v>
      </c>
    </row>
    <row r="1450" spans="1:7" x14ac:dyDescent="0.25">
      <c r="A1450" s="120" t="str">
        <f>RIGHT(CSTABLE[[#This Row],[NomeNCM]],8)</f>
        <v>39051200</v>
      </c>
      <c r="B1450" s="7" t="s">
        <v>4618</v>
      </c>
      <c r="C1450" s="3" t="str">
        <f>IFERROR(VLOOKUP(B1450,ST!C:D,2,0),"NÃOST")</f>
        <v>NÃOST</v>
      </c>
      <c r="E1450" s="3" t="str">
        <f>IF(COUNTIF(ISENÇÕES!A:A,CST!B1450)&gt;0,"ISENÇÃO","SEM ISENÇÃO")</f>
        <v>SEM ISENÇÃO</v>
      </c>
      <c r="F1450" s="18" t="str">
        <f>IF(COUNTIF(REDUÇÕES!A:A,CST!B1450)&gt;0,"REDUÇÃO","NÃO REDUÇÃO")</f>
        <v>NÃO REDUÇÃO</v>
      </c>
      <c r="G1450" s="27">
        <f t="shared" si="24"/>
        <v>0</v>
      </c>
    </row>
    <row r="1451" spans="1:7" x14ac:dyDescent="0.25">
      <c r="A1451" s="120" t="str">
        <f>RIGHT(CSTABLE[[#This Row],[NomeNCM]],8)</f>
        <v>94054090</v>
      </c>
      <c r="B1451" s="7" t="s">
        <v>4619</v>
      </c>
      <c r="C1451" s="3" t="str">
        <f>IFERROR(VLOOKUP(B1451,ST!C:D,2,0),"NÃOST")</f>
        <v>NÃOST</v>
      </c>
      <c r="E1451" s="3" t="str">
        <f>IF(COUNTIF(ISENÇÕES!A:A,CST!B1451)&gt;0,"ISENÇÃO","SEM ISENÇÃO")</f>
        <v>SEM ISENÇÃO</v>
      </c>
      <c r="F1451" s="18" t="str">
        <f>IF(COUNTIF(REDUÇÕES!A:A,CST!B1451)&gt;0,"REDUÇÃO","NÃO REDUÇÃO")</f>
        <v>NÃO REDUÇÃO</v>
      </c>
      <c r="G1451" s="27">
        <f t="shared" si="24"/>
        <v>0</v>
      </c>
    </row>
    <row r="1452" spans="1:7" x14ac:dyDescent="0.25">
      <c r="A1452" s="120" t="str">
        <f>RIGHT(CSTABLE[[#This Row],[NomeNCM]],8)</f>
        <v>90049090</v>
      </c>
      <c r="B1452" s="7" t="s">
        <v>4620</v>
      </c>
      <c r="C1452" s="49" t="str">
        <f>IFERROR(VLOOKUP(B1452,ST!C:D,2,0),"NÃOST")</f>
        <v>NÃOST</v>
      </c>
      <c r="E1452" s="49" t="str">
        <f>IF(COUNTIF(ISENÇÕES!A:A,CST!B1452)&gt;0,"ISENÇÃO","SEM ISENÇÃO")</f>
        <v>SEM ISENÇÃO</v>
      </c>
      <c r="F1452" s="50" t="str">
        <f>IF(COUNTIF(REDUÇÕES!A:A,CST!B1452)&gt;0,"REDUÇÃO","NÃO REDUÇÃO")</f>
        <v>NÃO REDUÇÃO</v>
      </c>
      <c r="G1452" s="51">
        <f t="shared" si="24"/>
        <v>0</v>
      </c>
    </row>
    <row r="1453" spans="1:7" x14ac:dyDescent="0.25">
      <c r="A1453" s="120" t="s">
        <v>4628</v>
      </c>
      <c r="B1453" s="7" t="str">
        <f>"NCM"&amp;CSTABLE[[#This Row],[ncm]]</f>
        <v>NCM03074900</v>
      </c>
      <c r="C1453" s="3" t="str">
        <f>IFERROR(VLOOKUP(B1453,ST!C:D,2,0),"NÃOST")</f>
        <v>NÃOST</v>
      </c>
      <c r="E1453" s="3" t="str">
        <f>IF(COUNTIF(ISENÇÕES!A:A,CST!B1453)&gt;0,"ISENÇÃO","SEM ISENÇÃO")</f>
        <v>SEM ISENÇÃO</v>
      </c>
      <c r="F1453" s="18" t="str">
        <f>IF(COUNTIF(REDUÇÕES!A:A,CST!B1453)&gt;0,"REDUÇÃO","NÃO REDUÇÃO")</f>
        <v>NÃO REDUÇÃO</v>
      </c>
      <c r="G1453" s="27">
        <f t="shared" ref="G1453:G1470" si="25">VLOOKUP(C1453&amp;F1453&amp;E1453,$B$3:$F$10,5,0)</f>
        <v>0</v>
      </c>
    </row>
    <row r="1454" spans="1:7" x14ac:dyDescent="0.25">
      <c r="A1454" s="120">
        <v>20130002</v>
      </c>
      <c r="B1454" s="7" t="str">
        <f>"NCM"&amp;CSTABLE[[#This Row],[ncm]]</f>
        <v>NCM20130002</v>
      </c>
      <c r="C1454" s="49" t="str">
        <f>IFERROR(VLOOKUP(B1454,ST!C:D,2,0),"NÃOST")</f>
        <v>NÃOST</v>
      </c>
      <c r="E1454" s="49" t="str">
        <f>IF(COUNTIF(ISENÇÕES!A:A,CST!B1454)&gt;0,"ISENÇÃO","SEM ISENÇÃO")</f>
        <v>SEM ISENÇÃO</v>
      </c>
      <c r="F1454" s="50" t="str">
        <f>IF(COUNTIF(REDUÇÕES!A:A,CST!B1454)&gt;0,"REDUÇÃO","NÃO REDUÇÃO")</f>
        <v>NÃO REDUÇÃO</v>
      </c>
      <c r="G1454" s="51">
        <f t="shared" si="25"/>
        <v>0</v>
      </c>
    </row>
    <row r="1455" spans="1:7" x14ac:dyDescent="0.25">
      <c r="A1455" s="120" t="s">
        <v>4629</v>
      </c>
      <c r="B1455" s="7" t="str">
        <f>"NCM"&amp;CSTABLE[[#This Row],[ncm]]</f>
        <v>NCM07092000</v>
      </c>
      <c r="C1455" s="49" t="str">
        <f>IFERROR(VLOOKUP(B1455,ST!C:D,2,0),"NÃOST")</f>
        <v>NÃOST</v>
      </c>
      <c r="E1455" s="49" t="str">
        <f>IF(COUNTIF(ISENÇÕES!A:A,CST!B1455)&gt;0,"ISENÇÃO","SEM ISENÇÃO")</f>
        <v>ISENÇÃO</v>
      </c>
      <c r="F1455" s="50" t="str">
        <f>IF(COUNTIF(REDUÇÕES!A:A,CST!B1455)&gt;0,"REDUÇÃO","NÃO REDUÇÃO")</f>
        <v>NÃO REDUÇÃO</v>
      </c>
      <c r="G1455" s="51">
        <f t="shared" si="25"/>
        <v>40</v>
      </c>
    </row>
    <row r="1456" spans="1:7" x14ac:dyDescent="0.25">
      <c r="A1456" s="120" t="s">
        <v>4627</v>
      </c>
      <c r="B1456" s="7" t="str">
        <f>"NCM"&amp;CSTABLE[[#This Row],[ncm]]</f>
        <v>NCM02044200</v>
      </c>
      <c r="C1456" s="49" t="str">
        <f>IFERROR(VLOOKUP(B1456,ST!C:D,2,0),"NÃOST")</f>
        <v>NÃOST</v>
      </c>
      <c r="E1456" s="49" t="str">
        <f>IF(COUNTIF(ISENÇÕES!A:A,CST!B1456)&gt;0,"ISENÇÃO","SEM ISENÇÃO")</f>
        <v>SEM ISENÇÃO</v>
      </c>
      <c r="F1456" s="50" t="str">
        <f>IF(COUNTIF(REDUÇÕES!A:A,CST!B1456)&gt;0,"REDUÇÃO","NÃO REDUÇÃO")</f>
        <v>NÃO REDUÇÃO</v>
      </c>
      <c r="G1456" s="51">
        <f t="shared" si="25"/>
        <v>0</v>
      </c>
    </row>
    <row r="1457" spans="1:7" x14ac:dyDescent="0.25">
      <c r="A1457" s="120">
        <v>63039100</v>
      </c>
      <c r="B1457" s="7" t="str">
        <f>"NCM"&amp;CSTABLE[[#This Row],[ncm]]</f>
        <v>NCM63039100</v>
      </c>
      <c r="C1457" s="3" t="str">
        <f>IFERROR(VLOOKUP(B1457,ST!C:D,2,0),"NÃOST")</f>
        <v>NÃOST</v>
      </c>
      <c r="E1457" s="3" t="str">
        <f>IF(COUNTIF(ISENÇÕES!A:A,CST!B1457)&gt;0,"ISENÇÃO","SEM ISENÇÃO")</f>
        <v>SEM ISENÇÃO</v>
      </c>
      <c r="F1457" s="18" t="str">
        <f>IF(COUNTIF(REDUÇÕES!A:A,CST!B1457)&gt;0,"REDUÇÃO","NÃO REDUÇÃO")</f>
        <v>NÃO REDUÇÃO</v>
      </c>
      <c r="G1457" s="27">
        <f t="shared" si="25"/>
        <v>0</v>
      </c>
    </row>
    <row r="1458" spans="1:7" x14ac:dyDescent="0.25">
      <c r="A1458" s="120" t="s">
        <v>4630</v>
      </c>
      <c r="B1458" s="7" t="str">
        <f>"NCM"&amp;CSTABLE[[#This Row],[ncm]]</f>
        <v>NCM08021100</v>
      </c>
      <c r="C1458" s="3" t="str">
        <f>IFERROR(VLOOKUP(B1458,ST!C:D,2,0),"NÃOST")</f>
        <v>NÃOST</v>
      </c>
      <c r="E1458" s="3" t="str">
        <f>IF(COUNTIF(ISENÇÕES!A:A,CST!B1458)&gt;0,"ISENÇÃO","SEM ISENÇÃO")</f>
        <v>SEM ISENÇÃO</v>
      </c>
      <c r="F1458" s="18" t="str">
        <f>IF(COUNTIF(REDUÇÕES!A:A,CST!B1458)&gt;0,"REDUÇÃO","NÃO REDUÇÃO")</f>
        <v>NÃO REDUÇÃO</v>
      </c>
      <c r="G1458" s="27">
        <f t="shared" si="25"/>
        <v>0</v>
      </c>
    </row>
    <row r="1459" spans="1:7" x14ac:dyDescent="0.25">
      <c r="A1459" s="120">
        <v>29141990</v>
      </c>
      <c r="B1459" s="7" t="str">
        <f>"NCM"&amp;CSTABLE[[#This Row],[ncm]]</f>
        <v>NCM29141990</v>
      </c>
      <c r="C1459" s="49" t="str">
        <f>IFERROR(VLOOKUP(B1459,ST!C:D,2,0),"NÃOST")</f>
        <v>NÃOST</v>
      </c>
      <c r="E1459" s="49" t="str">
        <f>IF(COUNTIF(ISENÇÕES!A:A,CST!B1459)&gt;0,"ISENÇÃO","SEM ISENÇÃO")</f>
        <v>SEM ISENÇÃO</v>
      </c>
      <c r="F1459" s="50" t="str">
        <f>IF(COUNTIF(REDUÇÕES!A:A,CST!B1459)&gt;0,"REDUÇÃO","NÃO REDUÇÃO")</f>
        <v>NÃO REDUÇÃO</v>
      </c>
      <c r="G1459" s="51">
        <f t="shared" si="25"/>
        <v>0</v>
      </c>
    </row>
    <row r="1460" spans="1:7" x14ac:dyDescent="0.25">
      <c r="A1460" s="120">
        <v>84798999</v>
      </c>
      <c r="B1460" s="7" t="str">
        <f>"NCM"&amp;CSTABLE[[#This Row],[ncm]]</f>
        <v>NCM84798999</v>
      </c>
      <c r="C1460" s="3" t="str">
        <f>IFERROR(VLOOKUP(B1460,ST!C:D,2,0),"NÃOST")</f>
        <v>NÃOST</v>
      </c>
      <c r="E1460" s="3" t="str">
        <f>IF(COUNTIF(ISENÇÕES!A:A,CST!B1460)&gt;0,"ISENÇÃO","SEM ISENÇÃO")</f>
        <v>SEM ISENÇÃO</v>
      </c>
      <c r="F1460" s="18" t="str">
        <f>IF(COUNTIF(REDUÇÕES!A:A,CST!B1460)&gt;0,"REDUÇÃO","NÃO REDUÇÃO")</f>
        <v>NÃO REDUÇÃO</v>
      </c>
      <c r="G1460" s="27">
        <f t="shared" si="25"/>
        <v>0</v>
      </c>
    </row>
    <row r="1461" spans="1:7" x14ac:dyDescent="0.25">
      <c r="A1461" s="120">
        <v>23031000</v>
      </c>
      <c r="B1461" s="7" t="str">
        <f>"NCM"&amp;CSTABLE[[#This Row],[ncm]]</f>
        <v>NCM23031000</v>
      </c>
      <c r="C1461" s="3" t="str">
        <f>IFERROR(VLOOKUP(B1461,ST!C:D,2,0),"NÃOST")</f>
        <v>NÃOST</v>
      </c>
      <c r="E1461" s="3" t="str">
        <f>IF(COUNTIF(ISENÇÕES!A:A,CST!B1461)&gt;0,"ISENÇÃO","SEM ISENÇÃO")</f>
        <v>SEM ISENÇÃO</v>
      </c>
      <c r="F1461" s="18" t="str">
        <f>IF(COUNTIF(REDUÇÕES!A:A,CST!B1461)&gt;0,"REDUÇÃO","NÃO REDUÇÃO")</f>
        <v>NÃO REDUÇÃO</v>
      </c>
      <c r="G1461" s="27">
        <f t="shared" si="25"/>
        <v>0</v>
      </c>
    </row>
    <row r="1462" spans="1:7" x14ac:dyDescent="0.25">
      <c r="A1462" s="120">
        <v>83025000</v>
      </c>
      <c r="B1462" s="7" t="str">
        <f>"NCM"&amp;CSTABLE[[#This Row],[ncm]]</f>
        <v>NCM83025000</v>
      </c>
      <c r="C1462" s="49" t="str">
        <f>IFERROR(VLOOKUP(B1462,ST!C:D,2,0),"NÃOST")</f>
        <v>NÃOST</v>
      </c>
      <c r="E1462" s="49" t="str">
        <f>IF(COUNTIF(ISENÇÕES!A:A,CST!B1462)&gt;0,"ISENÇÃO","SEM ISENÇÃO")</f>
        <v>SEM ISENÇÃO</v>
      </c>
      <c r="F1462" s="50" t="str">
        <f>IF(COUNTIF(REDUÇÕES!A:A,CST!B1462)&gt;0,"REDUÇÃO","NÃO REDUÇÃO")</f>
        <v>NÃO REDUÇÃO</v>
      </c>
      <c r="G1462" s="51">
        <f t="shared" si="25"/>
        <v>0</v>
      </c>
    </row>
    <row r="1463" spans="1:7" x14ac:dyDescent="0.25">
      <c r="A1463" s="120">
        <v>76042920</v>
      </c>
      <c r="B1463" s="7" t="str">
        <f>"NCM"&amp;CSTABLE[[#This Row],[ncm]]</f>
        <v>NCM76042920</v>
      </c>
      <c r="C1463" s="49" t="str">
        <f>IFERROR(VLOOKUP(B1463,ST!C:D,2,0),"NÃOST")</f>
        <v>NÃOST</v>
      </c>
      <c r="E1463" s="49" t="str">
        <f>IF(COUNTIF(ISENÇÕES!A:A,CST!B1463)&gt;0,"ISENÇÃO","SEM ISENÇÃO")</f>
        <v>SEM ISENÇÃO</v>
      </c>
      <c r="F1463" s="50" t="str">
        <f>IF(COUNTIF(REDUÇÕES!A:A,CST!B1463)&gt;0,"REDUÇÃO","NÃO REDUÇÃO")</f>
        <v>NÃO REDUÇÃO</v>
      </c>
      <c r="G1463" s="51">
        <f t="shared" si="25"/>
        <v>0</v>
      </c>
    </row>
    <row r="1464" spans="1:7" x14ac:dyDescent="0.25">
      <c r="A1464" s="120">
        <v>85066010</v>
      </c>
      <c r="B1464" s="7" t="str">
        <f>"NCM"&amp;CSTABLE[[#This Row],[ncm]]</f>
        <v>NCM85066010</v>
      </c>
      <c r="C1464" s="3" t="str">
        <f>IFERROR(VLOOKUP(B1464,ST!C:D,2,0),"NÃOST")</f>
        <v>NÃOST</v>
      </c>
      <c r="E1464" s="3" t="str">
        <f>IF(COUNTIF(ISENÇÕES!A:A,CST!B1464)&gt;0,"ISENÇÃO","SEM ISENÇÃO")</f>
        <v>SEM ISENÇÃO</v>
      </c>
      <c r="F1464" s="18" t="str">
        <f>IF(COUNTIF(REDUÇÕES!A:A,CST!B1464)&gt;0,"REDUÇÃO","NÃO REDUÇÃO")</f>
        <v>NÃO REDUÇÃO</v>
      </c>
      <c r="G1464" s="27">
        <f t="shared" si="25"/>
        <v>0</v>
      </c>
    </row>
    <row r="1465" spans="1:7" x14ac:dyDescent="0.25">
      <c r="A1465" s="120">
        <v>85098090</v>
      </c>
      <c r="B1465" s="7" t="str">
        <f>"NCM"&amp;CSTABLE[[#This Row],[ncm]]</f>
        <v>NCM85098090</v>
      </c>
      <c r="C1465" s="49" t="str">
        <f>IFERROR(VLOOKUP(B1465,ST!C:D,2,0),"NÃOST")</f>
        <v>NÃOST</v>
      </c>
      <c r="E1465" s="49" t="str">
        <f>IF(COUNTIF(ISENÇÕES!A:A,CST!B1465)&gt;0,"ISENÇÃO","SEM ISENÇÃO")</f>
        <v>SEM ISENÇÃO</v>
      </c>
      <c r="F1465" s="50" t="str">
        <f>IF(COUNTIF(REDUÇÕES!A:A,CST!B1465)&gt;0,"REDUÇÃO","NÃO REDUÇÃO")</f>
        <v>NÃO REDUÇÃO</v>
      </c>
      <c r="G1465" s="51">
        <f t="shared" si="25"/>
        <v>0</v>
      </c>
    </row>
    <row r="1466" spans="1:7" x14ac:dyDescent="0.25">
      <c r="A1466" s="120">
        <v>76012000</v>
      </c>
      <c r="B1466" s="7" t="str">
        <f>"NCM"&amp;CSTABLE[[#This Row],[ncm]]</f>
        <v>NCM76012000</v>
      </c>
      <c r="C1466" s="3" t="str">
        <f>IFERROR(VLOOKUP(B1466,ST!C:D,2,0),"NÃOST")</f>
        <v>NÃOST</v>
      </c>
      <c r="E1466" s="3" t="str">
        <f>IF(COUNTIF(ISENÇÕES!A:A,CST!B1466)&gt;0,"ISENÇÃO","SEM ISENÇÃO")</f>
        <v>SEM ISENÇÃO</v>
      </c>
      <c r="F1466" s="18" t="str">
        <f>IF(COUNTIF(REDUÇÕES!A:A,CST!B1466)&gt;0,"REDUÇÃO","NÃO REDUÇÃO")</f>
        <v>NÃO REDUÇÃO</v>
      </c>
      <c r="G1466" s="27">
        <f t="shared" si="25"/>
        <v>0</v>
      </c>
    </row>
    <row r="1467" spans="1:7" x14ac:dyDescent="0.25">
      <c r="A1467" s="120">
        <v>44039800</v>
      </c>
      <c r="B1467" s="7" t="str">
        <f>"NCM"&amp;CSTABLE[[#This Row],[ncm]]</f>
        <v>NCM44039800</v>
      </c>
      <c r="C1467" s="3" t="str">
        <f>IFERROR(VLOOKUP(B1467,ST!C:D,2,0),"NÃOST")</f>
        <v>NÃOST</v>
      </c>
      <c r="E1467" s="3" t="str">
        <f>IF(COUNTIF(ISENÇÕES!A:A,CST!B1467)&gt;0,"ISENÇÃO","SEM ISENÇÃO")</f>
        <v>SEM ISENÇÃO</v>
      </c>
      <c r="F1467" s="18" t="str">
        <f>IF(COUNTIF(REDUÇÕES!A:A,CST!B1467)&gt;0,"REDUÇÃO","NÃO REDUÇÃO")</f>
        <v>NÃO REDUÇÃO</v>
      </c>
      <c r="G1467" s="27">
        <f t="shared" si="25"/>
        <v>0</v>
      </c>
    </row>
    <row r="1468" spans="1:7" x14ac:dyDescent="0.25">
      <c r="A1468" s="120">
        <v>22022000</v>
      </c>
      <c r="B1468" s="7" t="str">
        <f>"NCM"&amp;CSTABLE[[#This Row],[ncm]]</f>
        <v>NCM22022000</v>
      </c>
      <c r="C1468" s="49" t="str">
        <f>IFERROR(VLOOKUP(B1468,ST!C:D,2,0),"NÃOST")</f>
        <v>NÃOST</v>
      </c>
      <c r="E1468" s="49" t="str">
        <f>IF(COUNTIF(ISENÇÕES!A:A,CST!B1468)&gt;0,"ISENÇÃO","SEM ISENÇÃO")</f>
        <v>SEM ISENÇÃO</v>
      </c>
      <c r="F1468" s="50" t="str">
        <f>IF(COUNTIF(REDUÇÕES!A:A,CST!B1468)&gt;0,"REDUÇÃO","NÃO REDUÇÃO")</f>
        <v>NÃO REDUÇÃO</v>
      </c>
      <c r="G1468" s="51">
        <f t="shared" si="25"/>
        <v>0</v>
      </c>
    </row>
    <row r="1469" spans="1:7" x14ac:dyDescent="0.25">
      <c r="A1469" s="120" t="s">
        <v>4720</v>
      </c>
      <c r="B1469" s="7" t="str">
        <f>"NCM"&amp;CSTABLE[[#This Row],[ncm]]</f>
        <v>NCM04070090</v>
      </c>
      <c r="C1469" s="49" t="str">
        <f>IFERROR(VLOOKUP(B1469,ST!C:D,2,0),"NÃOST")</f>
        <v>NÃOST</v>
      </c>
      <c r="E1469" s="49" t="str">
        <f>IF(COUNTIF(ISENÇÕES!A:A,CST!B1469)&gt;0,"ISENÇÃO","SEM ISENÇÃO")</f>
        <v>ISENÇÃO</v>
      </c>
      <c r="F1469" s="50" t="str">
        <f>IF(COUNTIF(REDUÇÕES!A:A,CST!B1469)&gt;0,"REDUÇÃO","NÃO REDUÇÃO")</f>
        <v>NÃO REDUÇÃO</v>
      </c>
      <c r="G1469" s="51">
        <f t="shared" si="25"/>
        <v>40</v>
      </c>
    </row>
    <row r="1470" spans="1:7" x14ac:dyDescent="0.25">
      <c r="A1470" s="120" t="s">
        <v>4719</v>
      </c>
      <c r="B1470" s="7" t="str">
        <f>"NCM"&amp;CSTABLE[[#This Row],[ncm]]</f>
        <v>NCM06022000</v>
      </c>
      <c r="C1470" s="49" t="str">
        <f>IFERROR(VLOOKUP(B1470,ST!C:D,2,0),"NÃOST")</f>
        <v>NÃOST</v>
      </c>
      <c r="E1470" s="49" t="str">
        <f>IF(COUNTIF(ISENÇÕES!A:A,CST!B1470)&gt;0,"ISENÇÃO","SEM ISENÇÃO")</f>
        <v>ISENÇÃO</v>
      </c>
      <c r="F1470" s="50" t="str">
        <f>IF(COUNTIF(REDUÇÕES!A:A,CST!B1470)&gt;0,"REDUÇÃO","NÃO REDUÇÃO")</f>
        <v>NÃO REDUÇÃO</v>
      </c>
      <c r="G1470" s="51">
        <f t="shared" si="25"/>
        <v>40</v>
      </c>
    </row>
    <row r="1471" spans="1:7" x14ac:dyDescent="0.25">
      <c r="A1471" s="121" t="s">
        <v>4641</v>
      </c>
      <c r="B1471" s="7" t="str">
        <f>"NCM"&amp;CSTABLE[[#This Row],[ncm]]</f>
        <v>NCM65051000</v>
      </c>
      <c r="C1471" s="3" t="str">
        <f>IFERROR(VLOOKUP(B1471,ST!C:D,2,0),"NÃOST")</f>
        <v>NÃOST</v>
      </c>
      <c r="E1471" s="3" t="str">
        <f>IF(COUNTIF(ISENÇÕES!A:A,CST!B1471)&gt;0,"ISENÇÃO","SEM ISENÇÃO")</f>
        <v>SEM ISENÇÃO</v>
      </c>
      <c r="F1471" s="18" t="str">
        <f>IF(COUNTIF(REDUÇÕES!A:A,CST!B1471)&gt;0,"REDUÇÃO","NÃO REDUÇÃO")</f>
        <v>NÃO REDUÇÃO</v>
      </c>
      <c r="G1471" s="27">
        <f t="shared" ref="G1471:G1502" si="26">VLOOKUP(C1471&amp;F1471&amp;E1471,$B$3:$F$10,5,0)</f>
        <v>0</v>
      </c>
    </row>
    <row r="1472" spans="1:7" x14ac:dyDescent="0.25">
      <c r="A1472" s="121" t="s">
        <v>4642</v>
      </c>
      <c r="B1472" s="7" t="str">
        <f>"NCM"&amp;CSTABLE[[#This Row],[ncm]]</f>
        <v>NCM39174010</v>
      </c>
      <c r="C1472" s="3" t="str">
        <f>IFERROR(VLOOKUP(B1472,ST!C:D,2,0),"NÃOST")</f>
        <v>NÃOST</v>
      </c>
      <c r="E1472" s="3" t="str">
        <f>IF(COUNTIF(ISENÇÕES!A:A,CST!B1472)&gt;0,"ISENÇÃO","SEM ISENÇÃO")</f>
        <v>SEM ISENÇÃO</v>
      </c>
      <c r="F1472" s="18" t="str">
        <f>IF(COUNTIF(REDUÇÕES!A:A,CST!B1472)&gt;0,"REDUÇÃO","NÃO REDUÇÃO")</f>
        <v>NÃO REDUÇÃO</v>
      </c>
      <c r="G1472" s="27">
        <f t="shared" si="26"/>
        <v>0</v>
      </c>
    </row>
    <row r="1473" spans="1:7" x14ac:dyDescent="0.25">
      <c r="A1473" s="121" t="s">
        <v>4643</v>
      </c>
      <c r="B1473" s="7" t="str">
        <f>"NCM"&amp;CSTABLE[[#This Row],[ncm]]</f>
        <v>NCM23024000</v>
      </c>
      <c r="C1473" s="3" t="str">
        <f>IFERROR(VLOOKUP(B1473,ST!C:D,2,0),"NÃOST")</f>
        <v>NÃOST</v>
      </c>
      <c r="E1473" s="3" t="str">
        <f>IF(COUNTIF(ISENÇÕES!A:A,CST!B1473)&gt;0,"ISENÇÃO","SEM ISENÇÃO")</f>
        <v>SEM ISENÇÃO</v>
      </c>
      <c r="F1473" s="18" t="str">
        <f>IF(COUNTIF(REDUÇÕES!A:A,CST!B1473)&gt;0,"REDUÇÃO","NÃO REDUÇÃO")</f>
        <v>NÃO REDUÇÃO</v>
      </c>
      <c r="G1473" s="27">
        <f t="shared" si="26"/>
        <v>0</v>
      </c>
    </row>
    <row r="1474" spans="1:7" x14ac:dyDescent="0.25">
      <c r="A1474" s="121" t="s">
        <v>4644</v>
      </c>
      <c r="B1474" s="7" t="str">
        <f>"NCM"&amp;CSTABLE[[#This Row],[ncm]]</f>
        <v>NCM10082090</v>
      </c>
      <c r="C1474" s="3" t="str">
        <f>IFERROR(VLOOKUP(B1474,ST!C:D,2,0),"NÃOST")</f>
        <v>NÃOST</v>
      </c>
      <c r="E1474" s="3" t="str">
        <f>IF(COUNTIF(ISENÇÕES!A:A,CST!B1474)&gt;0,"ISENÇÃO","SEM ISENÇÃO")</f>
        <v>SEM ISENÇÃO</v>
      </c>
      <c r="F1474" s="18" t="str">
        <f>IF(COUNTIF(REDUÇÕES!A:A,CST!B1474)&gt;0,"REDUÇÃO","NÃO REDUÇÃO")</f>
        <v>NÃO REDUÇÃO</v>
      </c>
      <c r="G1474" s="27">
        <f t="shared" si="26"/>
        <v>0</v>
      </c>
    </row>
    <row r="1475" spans="1:7" x14ac:dyDescent="0.25">
      <c r="A1475" s="121" t="s">
        <v>4645</v>
      </c>
      <c r="B1475" s="7" t="str">
        <f>"NCM"&amp;CSTABLE[[#This Row],[ncm]]</f>
        <v>NCM73160000</v>
      </c>
      <c r="C1475" s="3" t="str">
        <f>IFERROR(VLOOKUP(B1475,ST!C:D,2,0),"NÃOST")</f>
        <v>NÃOST</v>
      </c>
      <c r="E1475" s="3" t="str">
        <f>IF(COUNTIF(ISENÇÕES!A:A,CST!B1475)&gt;0,"ISENÇÃO","SEM ISENÇÃO")</f>
        <v>SEM ISENÇÃO</v>
      </c>
      <c r="F1475" s="18" t="str">
        <f>IF(COUNTIF(REDUÇÕES!A:A,CST!B1475)&gt;0,"REDUÇÃO","NÃO REDUÇÃO")</f>
        <v>NÃO REDUÇÃO</v>
      </c>
      <c r="G1475" s="27">
        <f t="shared" si="26"/>
        <v>0</v>
      </c>
    </row>
    <row r="1476" spans="1:7" x14ac:dyDescent="0.25">
      <c r="A1476" s="121" t="s">
        <v>4646</v>
      </c>
      <c r="B1476" s="7" t="str">
        <f>"NCM"&amp;CSTABLE[[#This Row],[ncm]]</f>
        <v>NCM12010090</v>
      </c>
      <c r="C1476" s="3" t="str">
        <f>IFERROR(VLOOKUP(B1476,ST!C:D,2,0),"NÃOST")</f>
        <v>NÃOST</v>
      </c>
      <c r="E1476" s="3" t="str">
        <f>IF(COUNTIF(ISENÇÕES!A:A,CST!B1476)&gt;0,"ISENÇÃO","SEM ISENÇÃO")</f>
        <v>SEM ISENÇÃO</v>
      </c>
      <c r="F1476" s="18" t="str">
        <f>IF(COUNTIF(REDUÇÕES!A:A,CST!B1476)&gt;0,"REDUÇÃO","NÃO REDUÇÃO")</f>
        <v>NÃO REDUÇÃO</v>
      </c>
      <c r="G1476" s="27">
        <f t="shared" si="26"/>
        <v>0</v>
      </c>
    </row>
    <row r="1477" spans="1:7" x14ac:dyDescent="0.25">
      <c r="A1477" s="121" t="s">
        <v>4647</v>
      </c>
      <c r="B1477" s="7" t="str">
        <f>"NCM"&amp;CSTABLE[[#This Row],[ncm]]</f>
        <v>NCM23050000</v>
      </c>
      <c r="C1477" s="3" t="str">
        <f>IFERROR(VLOOKUP(B1477,ST!C:D,2,0),"NÃOST")</f>
        <v>NÃOST</v>
      </c>
      <c r="E1477" s="3" t="str">
        <f>IF(COUNTIF(ISENÇÕES!A:A,CST!B1477)&gt;0,"ISENÇÃO","SEM ISENÇÃO")</f>
        <v>SEM ISENÇÃO</v>
      </c>
      <c r="F1477" s="18" t="str">
        <f>IF(COUNTIF(REDUÇÕES!A:A,CST!B1477)&gt;0,"REDUÇÃO","NÃO REDUÇÃO")</f>
        <v>NÃO REDUÇÃO</v>
      </c>
      <c r="G1477" s="27">
        <f t="shared" si="26"/>
        <v>0</v>
      </c>
    </row>
    <row r="1478" spans="1:7" x14ac:dyDescent="0.25">
      <c r="A1478" s="121" t="s">
        <v>4648</v>
      </c>
      <c r="B1478" s="7" t="str">
        <f>"NCM"&amp;CSTABLE[[#This Row],[ncm]]</f>
        <v>NCM84249010</v>
      </c>
      <c r="C1478" s="3" t="str">
        <f>IFERROR(VLOOKUP(B1478,ST!C:D,2,0),"NÃOST")</f>
        <v>NÃOST</v>
      </c>
      <c r="E1478" s="3" t="str">
        <f>IF(COUNTIF(ISENÇÕES!A:A,CST!B1478)&gt;0,"ISENÇÃO","SEM ISENÇÃO")</f>
        <v>SEM ISENÇÃO</v>
      </c>
      <c r="F1478" s="18" t="str">
        <f>IF(COUNTIF(REDUÇÕES!A:A,CST!B1478)&gt;0,"REDUÇÃO","NÃO REDUÇÃO")</f>
        <v>NÃO REDUÇÃO</v>
      </c>
      <c r="G1478" s="27">
        <f t="shared" si="26"/>
        <v>0</v>
      </c>
    </row>
    <row r="1479" spans="1:7" x14ac:dyDescent="0.25">
      <c r="A1479" s="121" t="s">
        <v>4649</v>
      </c>
      <c r="B1479" s="7" t="str">
        <f>"NCM"&amp;CSTABLE[[#This Row],[ncm]]</f>
        <v>NCM38249024</v>
      </c>
      <c r="C1479" s="3" t="str">
        <f>IFERROR(VLOOKUP(B1479,ST!C:D,2,0),"NÃOST")</f>
        <v>NÃOST</v>
      </c>
      <c r="E1479" s="3" t="str">
        <f>IF(COUNTIF(ISENÇÕES!A:A,CST!B1479)&gt;0,"ISENÇÃO","SEM ISENÇÃO")</f>
        <v>SEM ISENÇÃO</v>
      </c>
      <c r="F1479" s="18" t="str">
        <f>IF(COUNTIF(REDUÇÕES!A:A,CST!B1479)&gt;0,"REDUÇÃO","NÃO REDUÇÃO")</f>
        <v>NÃO REDUÇÃO</v>
      </c>
      <c r="G1479" s="27">
        <f t="shared" si="26"/>
        <v>0</v>
      </c>
    </row>
    <row r="1480" spans="1:7" x14ac:dyDescent="0.25">
      <c r="A1480" s="121" t="s">
        <v>4650</v>
      </c>
      <c r="B1480" s="7" t="str">
        <f>"NCM"&amp;CSTABLE[[#This Row],[ncm]]</f>
        <v>NCM04014029</v>
      </c>
      <c r="C1480" s="3" t="str">
        <f>IFERROR(VLOOKUP(B1480,ST!C:D,2,0),"NÃOST")</f>
        <v>NÃOST</v>
      </c>
      <c r="E1480" s="3" t="str">
        <f>IF(COUNTIF(ISENÇÕES!A:A,CST!B1480)&gt;0,"ISENÇÃO","SEM ISENÇÃO")</f>
        <v>SEM ISENÇÃO</v>
      </c>
      <c r="F1480" s="18" t="str">
        <f>IF(COUNTIF(REDUÇÕES!A:A,CST!B1480)&gt;0,"REDUÇÃO","NÃO REDUÇÃO")</f>
        <v>NÃO REDUÇÃO</v>
      </c>
      <c r="G1480" s="27">
        <f t="shared" si="26"/>
        <v>0</v>
      </c>
    </row>
    <row r="1481" spans="1:7" x14ac:dyDescent="0.25">
      <c r="A1481" s="121" t="s">
        <v>4651</v>
      </c>
      <c r="B1481" s="7" t="str">
        <f>"NCM"&amp;CSTABLE[[#This Row],[ncm]]</f>
        <v>NCM48054090</v>
      </c>
      <c r="C1481" s="3" t="str">
        <f>IFERROR(VLOOKUP(B1481,ST!C:D,2,0),"NÃOST")</f>
        <v>NÃOST</v>
      </c>
      <c r="E1481" s="3" t="str">
        <f>IF(COUNTIF(ISENÇÕES!A:A,CST!B1481)&gt;0,"ISENÇÃO","SEM ISENÇÃO")</f>
        <v>SEM ISENÇÃO</v>
      </c>
      <c r="F1481" s="18" t="str">
        <f>IF(COUNTIF(REDUÇÕES!A:A,CST!B1481)&gt;0,"REDUÇÃO","NÃO REDUÇÃO")</f>
        <v>NÃO REDUÇÃO</v>
      </c>
      <c r="G1481" s="27">
        <f t="shared" si="26"/>
        <v>0</v>
      </c>
    </row>
    <row r="1482" spans="1:7" x14ac:dyDescent="0.25">
      <c r="A1482" s="121" t="s">
        <v>4652</v>
      </c>
      <c r="B1482" s="7" t="str">
        <f>"NCM"&amp;CSTABLE[[#This Row],[ncm]]</f>
        <v>NCM38089329</v>
      </c>
      <c r="C1482" s="3" t="str">
        <f>IFERROR(VLOOKUP(B1482,ST!C:D,2,0),"NÃOST")</f>
        <v>NÃOST</v>
      </c>
      <c r="E1482" s="3" t="str">
        <f>IF(COUNTIF(ISENÇÕES!A:A,CST!B1482)&gt;0,"ISENÇÃO","SEM ISENÇÃO")</f>
        <v>SEM ISENÇÃO</v>
      </c>
      <c r="F1482" s="18" t="str">
        <f>IF(COUNTIF(REDUÇÕES!A:A,CST!B1482)&gt;0,"REDUÇÃO","NÃO REDUÇÃO")</f>
        <v>NÃO REDUÇÃO</v>
      </c>
      <c r="G1482" s="27">
        <f t="shared" si="26"/>
        <v>0</v>
      </c>
    </row>
    <row r="1483" spans="1:7" x14ac:dyDescent="0.25">
      <c r="A1483" s="121" t="s">
        <v>4653</v>
      </c>
      <c r="B1483" s="7" t="str">
        <f>"NCM"&amp;CSTABLE[[#This Row],[ncm]]</f>
        <v>NCM34049021</v>
      </c>
      <c r="C1483" s="3" t="str">
        <f>IFERROR(VLOOKUP(B1483,ST!C:D,2,0),"NÃOST")</f>
        <v>NÃOST</v>
      </c>
      <c r="E1483" s="3" t="str">
        <f>IF(COUNTIF(ISENÇÕES!A:A,CST!B1483)&gt;0,"ISENÇÃO","SEM ISENÇÃO")</f>
        <v>SEM ISENÇÃO</v>
      </c>
      <c r="F1483" s="18" t="str">
        <f>IF(COUNTIF(REDUÇÕES!A:A,CST!B1483)&gt;0,"REDUÇÃO","NÃO REDUÇÃO")</f>
        <v>NÃO REDUÇÃO</v>
      </c>
      <c r="G1483" s="27">
        <f t="shared" si="26"/>
        <v>0</v>
      </c>
    </row>
    <row r="1484" spans="1:7" x14ac:dyDescent="0.25">
      <c r="A1484" s="121" t="s">
        <v>4654</v>
      </c>
      <c r="B1484" s="7" t="str">
        <f>"NCM"&amp;CSTABLE[[#This Row],[ncm]]</f>
        <v>NCM84349000</v>
      </c>
      <c r="C1484" s="3" t="str">
        <f>IFERROR(VLOOKUP(B1484,ST!C:D,2,0),"NÃOST")</f>
        <v>NÃOST</v>
      </c>
      <c r="E1484" s="3" t="str">
        <f>IF(COUNTIF(ISENÇÕES!A:A,CST!B1484)&gt;0,"ISENÇÃO","SEM ISENÇÃO")</f>
        <v>SEM ISENÇÃO</v>
      </c>
      <c r="F1484" s="18" t="str">
        <f>IF(COUNTIF(REDUÇÕES!A:A,CST!B1484)&gt;0,"REDUÇÃO","NÃO REDUÇÃO")</f>
        <v>NÃO REDUÇÃO</v>
      </c>
      <c r="G1484" s="27">
        <f t="shared" si="26"/>
        <v>0</v>
      </c>
    </row>
    <row r="1485" spans="1:7" x14ac:dyDescent="0.25">
      <c r="A1485" s="121" t="s">
        <v>4655</v>
      </c>
      <c r="B1485" s="7" t="str">
        <f>"NCM"&amp;CSTABLE[[#This Row],[ncm]]</f>
        <v>NCM75089090</v>
      </c>
      <c r="C1485" s="3" t="str">
        <f>IFERROR(VLOOKUP(B1485,ST!C:D,2,0),"NÃOST")</f>
        <v>NÃOST</v>
      </c>
      <c r="E1485" s="3" t="str">
        <f>IF(COUNTIF(ISENÇÕES!A:A,CST!B1485)&gt;0,"ISENÇÃO","SEM ISENÇÃO")</f>
        <v>SEM ISENÇÃO</v>
      </c>
      <c r="F1485" s="18" t="str">
        <f>IF(COUNTIF(REDUÇÕES!A:A,CST!B1485)&gt;0,"REDUÇÃO","NÃO REDUÇÃO")</f>
        <v>NÃO REDUÇÃO</v>
      </c>
      <c r="G1485" s="27">
        <f t="shared" si="26"/>
        <v>0</v>
      </c>
    </row>
    <row r="1486" spans="1:7" x14ac:dyDescent="0.25">
      <c r="A1486" s="121" t="s">
        <v>4656</v>
      </c>
      <c r="B1486" s="7" t="str">
        <f>"NCM"&amp;CSTABLE[[#This Row],[ncm]]</f>
        <v>NCM09081000</v>
      </c>
      <c r="C1486" s="3" t="str">
        <f>IFERROR(VLOOKUP(B1486,ST!C:D,2,0),"NÃOST")</f>
        <v>NÃOST</v>
      </c>
      <c r="E1486" s="3" t="str">
        <f>IF(COUNTIF(ISENÇÕES!A:A,CST!B1486)&gt;0,"ISENÇÃO","SEM ISENÇÃO")</f>
        <v>SEM ISENÇÃO</v>
      </c>
      <c r="F1486" s="18" t="str">
        <f>IF(COUNTIF(REDUÇÕES!A:A,CST!B1486)&gt;0,"REDUÇÃO","NÃO REDUÇÃO")</f>
        <v>NÃO REDUÇÃO</v>
      </c>
      <c r="G1486" s="27">
        <f t="shared" si="26"/>
        <v>0</v>
      </c>
    </row>
    <row r="1487" spans="1:7" x14ac:dyDescent="0.25">
      <c r="A1487" s="121" t="s">
        <v>4657</v>
      </c>
      <c r="B1487" s="7" t="str">
        <f>"NCM"&amp;CSTABLE[[#This Row],[ncm]]</f>
        <v>NCM82015000</v>
      </c>
      <c r="C1487" s="3" t="str">
        <f>IFERROR(VLOOKUP(B1487,ST!C:D,2,0),"NÃOST")</f>
        <v>NÃOST</v>
      </c>
      <c r="E1487" s="3" t="str">
        <f>IF(COUNTIF(ISENÇÕES!A:A,CST!B1487)&gt;0,"ISENÇÃO","SEM ISENÇÃO")</f>
        <v>SEM ISENÇÃO</v>
      </c>
      <c r="F1487" s="18" t="str">
        <f>IF(COUNTIF(REDUÇÕES!A:A,CST!B1487)&gt;0,"REDUÇÃO","NÃO REDUÇÃO")</f>
        <v>NÃO REDUÇÃO</v>
      </c>
      <c r="G1487" s="27">
        <f t="shared" si="26"/>
        <v>0</v>
      </c>
    </row>
    <row r="1488" spans="1:7" x14ac:dyDescent="0.25">
      <c r="A1488" s="121" t="s">
        <v>4658</v>
      </c>
      <c r="B1488" s="7" t="str">
        <f>"NCM"&amp;CSTABLE[[#This Row],[ncm]]</f>
        <v>NCM38249079</v>
      </c>
      <c r="C1488" s="3" t="str">
        <f>IFERROR(VLOOKUP(B1488,ST!C:D,2,0),"NÃOST")</f>
        <v>NÃOST</v>
      </c>
      <c r="E1488" s="3" t="str">
        <f>IF(COUNTIF(ISENÇÕES!A:A,CST!B1488)&gt;0,"ISENÇÃO","SEM ISENÇÃO")</f>
        <v>SEM ISENÇÃO</v>
      </c>
      <c r="F1488" s="18" t="str">
        <f>IF(COUNTIF(REDUÇÕES!A:A,CST!B1488)&gt;0,"REDUÇÃO","NÃO REDUÇÃO")</f>
        <v>NÃO REDUÇÃO</v>
      </c>
      <c r="G1488" s="27">
        <f t="shared" si="26"/>
        <v>0</v>
      </c>
    </row>
    <row r="1489" spans="1:7" x14ac:dyDescent="0.25">
      <c r="A1489" s="121" t="s">
        <v>4659</v>
      </c>
      <c r="B1489" s="7" t="str">
        <f>"NCM"&amp;CSTABLE[[#This Row],[ncm]]</f>
        <v>NCM12022090</v>
      </c>
      <c r="C1489" s="3" t="str">
        <f>IFERROR(VLOOKUP(B1489,ST!C:D,2,0),"NÃOST")</f>
        <v>NÃOST</v>
      </c>
      <c r="E1489" s="3" t="str">
        <f>IF(COUNTIF(ISENÇÕES!A:A,CST!B1489)&gt;0,"ISENÇÃO","SEM ISENÇÃO")</f>
        <v>SEM ISENÇÃO</v>
      </c>
      <c r="F1489" s="18" t="str">
        <f>IF(COUNTIF(REDUÇÕES!A:A,CST!B1489)&gt;0,"REDUÇÃO","NÃO REDUÇÃO")</f>
        <v>NÃO REDUÇÃO</v>
      </c>
      <c r="G1489" s="27">
        <f t="shared" si="26"/>
        <v>0</v>
      </c>
    </row>
    <row r="1490" spans="1:7" x14ac:dyDescent="0.25">
      <c r="A1490" s="121" t="s">
        <v>4660</v>
      </c>
      <c r="B1490" s="7" t="str">
        <f>"NCM"&amp;CSTABLE[[#This Row],[ncm]]</f>
        <v>NCM09042000</v>
      </c>
      <c r="C1490" s="3" t="str">
        <f>IFERROR(VLOOKUP(B1490,ST!C:D,2,0),"NÃOST")</f>
        <v>NÃOST</v>
      </c>
      <c r="E1490" s="3" t="str">
        <f>IF(COUNTIF(ISENÇÕES!A:A,CST!B1490)&gt;0,"ISENÇÃO","SEM ISENÇÃO")</f>
        <v>SEM ISENÇÃO</v>
      </c>
      <c r="F1490" s="18" t="str">
        <f>IF(COUNTIF(REDUÇÕES!A:A,CST!B1490)&gt;0,"REDUÇÃO","NÃO REDUÇÃO")</f>
        <v>NÃO REDUÇÃO</v>
      </c>
      <c r="G1490" s="27">
        <f t="shared" si="26"/>
        <v>0</v>
      </c>
    </row>
    <row r="1491" spans="1:7" x14ac:dyDescent="0.25">
      <c r="A1491" s="121" t="s">
        <v>4661</v>
      </c>
      <c r="B1491" s="7" t="str">
        <f>"NCM"&amp;CSTABLE[[#This Row],[ncm]]</f>
        <v>NCM16023900</v>
      </c>
      <c r="C1491" s="3" t="str">
        <f>IFERROR(VLOOKUP(B1491,ST!C:D,2,0),"NÃOST")</f>
        <v>NÃOST</v>
      </c>
      <c r="E1491" s="3" t="str">
        <f>IF(COUNTIF(ISENÇÕES!A:A,CST!B1491)&gt;0,"ISENÇÃO","SEM ISENÇÃO")</f>
        <v>SEM ISENÇÃO</v>
      </c>
      <c r="F1491" s="18" t="str">
        <f>IF(COUNTIF(REDUÇÕES!A:A,CST!B1491)&gt;0,"REDUÇÃO","NÃO REDUÇÃO")</f>
        <v>NÃO REDUÇÃO</v>
      </c>
      <c r="G1491" s="27">
        <f t="shared" si="26"/>
        <v>0</v>
      </c>
    </row>
    <row r="1492" spans="1:7" x14ac:dyDescent="0.25">
      <c r="A1492" s="121" t="s">
        <v>4662</v>
      </c>
      <c r="B1492" s="7" t="str">
        <f>"NCM"&amp;CSTABLE[[#This Row],[ncm]]</f>
        <v>NCM84306990</v>
      </c>
      <c r="C1492" s="3" t="str">
        <f>IFERROR(VLOOKUP(B1492,ST!C:D,2,0),"NÃOST")</f>
        <v>NÃOST</v>
      </c>
      <c r="E1492" s="3" t="str">
        <f>IF(COUNTIF(ISENÇÕES!A:A,CST!B1492)&gt;0,"ISENÇÃO","SEM ISENÇÃO")</f>
        <v>SEM ISENÇÃO</v>
      </c>
      <c r="F1492" s="18" t="str">
        <f>IF(COUNTIF(REDUÇÕES!A:A,CST!B1492)&gt;0,"REDUÇÃO","NÃO REDUÇÃO")</f>
        <v>NÃO REDUÇÃO</v>
      </c>
      <c r="G1492" s="27">
        <f t="shared" si="26"/>
        <v>0</v>
      </c>
    </row>
    <row r="1493" spans="1:7" x14ac:dyDescent="0.25">
      <c r="A1493" s="121" t="s">
        <v>4663</v>
      </c>
      <c r="B1493" s="7" t="str">
        <f>"NCM"&amp;CSTABLE[[#This Row],[ncm]]</f>
        <v>NCM84195022</v>
      </c>
      <c r="C1493" s="3" t="str">
        <f>IFERROR(VLOOKUP(B1493,ST!C:D,2,0),"NÃOST")</f>
        <v>NÃOST</v>
      </c>
      <c r="E1493" s="3" t="str">
        <f>IF(COUNTIF(ISENÇÕES!A:A,CST!B1493)&gt;0,"ISENÇÃO","SEM ISENÇÃO")</f>
        <v>SEM ISENÇÃO</v>
      </c>
      <c r="F1493" s="18" t="str">
        <f>IF(COUNTIF(REDUÇÕES!A:A,CST!B1493)&gt;0,"REDUÇÃO","NÃO REDUÇÃO")</f>
        <v>NÃO REDUÇÃO</v>
      </c>
      <c r="G1493" s="27">
        <f t="shared" si="26"/>
        <v>0</v>
      </c>
    </row>
    <row r="1494" spans="1:7" x14ac:dyDescent="0.25">
      <c r="A1494" s="121" t="s">
        <v>4664</v>
      </c>
      <c r="B1494" s="7" t="str">
        <f>"NCM"&amp;CSTABLE[[#This Row],[ncm]]</f>
        <v>NCM85481090</v>
      </c>
      <c r="C1494" s="3" t="str">
        <f>IFERROR(VLOOKUP(B1494,ST!C:D,2,0),"NÃOST")</f>
        <v>NÃOST</v>
      </c>
      <c r="E1494" s="3" t="str">
        <f>IF(COUNTIF(ISENÇÕES!A:A,CST!B1494)&gt;0,"ISENÇÃO","SEM ISENÇÃO")</f>
        <v>SEM ISENÇÃO</v>
      </c>
      <c r="F1494" s="18" t="str">
        <f>IF(COUNTIF(REDUÇÕES!A:A,CST!B1494)&gt;0,"REDUÇÃO","NÃO REDUÇÃO")</f>
        <v>NÃO REDUÇÃO</v>
      </c>
      <c r="G1494" s="27">
        <f t="shared" si="26"/>
        <v>0</v>
      </c>
    </row>
    <row r="1495" spans="1:7" x14ac:dyDescent="0.25">
      <c r="A1495" s="121" t="s">
        <v>4665</v>
      </c>
      <c r="B1495" s="7" t="str">
        <f>"NCM"&amp;CSTABLE[[#This Row],[ncm]]</f>
        <v>NCM90189095</v>
      </c>
      <c r="C1495" s="3" t="str">
        <f>IFERROR(VLOOKUP(B1495,ST!C:D,2,0),"NÃOST")</f>
        <v>NÃOST</v>
      </c>
      <c r="E1495" s="3" t="str">
        <f>IF(COUNTIF(ISENÇÕES!A:A,CST!B1495)&gt;0,"ISENÇÃO","SEM ISENÇÃO")</f>
        <v>SEM ISENÇÃO</v>
      </c>
      <c r="F1495" s="18" t="str">
        <f>IF(COUNTIF(REDUÇÕES!A:A,CST!B1495)&gt;0,"REDUÇÃO","NÃO REDUÇÃO")</f>
        <v>NÃO REDUÇÃO</v>
      </c>
      <c r="G1495" s="27">
        <f t="shared" si="26"/>
        <v>0</v>
      </c>
    </row>
    <row r="1496" spans="1:7" x14ac:dyDescent="0.25">
      <c r="A1496" s="121" t="s">
        <v>4666</v>
      </c>
      <c r="B1496" s="7" t="str">
        <f>"NCM"&amp;CSTABLE[[#This Row],[ncm]]</f>
        <v>NCM85441100</v>
      </c>
      <c r="C1496" s="3" t="str">
        <f>IFERROR(VLOOKUP(B1496,ST!C:D,2,0),"NÃOST")</f>
        <v>NÃOST</v>
      </c>
      <c r="E1496" s="3" t="str">
        <f>IF(COUNTIF(ISENÇÕES!A:A,CST!B1496)&gt;0,"ISENÇÃO","SEM ISENÇÃO")</f>
        <v>SEM ISENÇÃO</v>
      </c>
      <c r="F1496" s="18" t="str">
        <f>IF(COUNTIF(REDUÇÕES!A:A,CST!B1496)&gt;0,"REDUÇÃO","NÃO REDUÇÃO")</f>
        <v>NÃO REDUÇÃO</v>
      </c>
      <c r="G1496" s="27">
        <f t="shared" si="26"/>
        <v>0</v>
      </c>
    </row>
    <row r="1497" spans="1:7" x14ac:dyDescent="0.25">
      <c r="A1497" s="121" t="s">
        <v>4667</v>
      </c>
      <c r="B1497" s="7" t="str">
        <f>"NCM"&amp;CSTABLE[[#This Row],[ncm]]</f>
        <v>NCM84138100</v>
      </c>
      <c r="C1497" s="3" t="str">
        <f>IFERROR(VLOOKUP(B1497,ST!C:D,2,0),"NÃOST")</f>
        <v>NÃOST</v>
      </c>
      <c r="E1497" s="3" t="str">
        <f>IF(COUNTIF(ISENÇÕES!A:A,CST!B1497)&gt;0,"ISENÇÃO","SEM ISENÇÃO")</f>
        <v>SEM ISENÇÃO</v>
      </c>
      <c r="F1497" s="18" t="str">
        <f>IF(COUNTIF(REDUÇÕES!A:A,CST!B1497)&gt;0,"REDUÇÃO","NÃO REDUÇÃO")</f>
        <v>NÃO REDUÇÃO</v>
      </c>
      <c r="G1497" s="27">
        <f t="shared" si="26"/>
        <v>0</v>
      </c>
    </row>
    <row r="1498" spans="1:7" x14ac:dyDescent="0.25">
      <c r="A1498" s="121" t="s">
        <v>4668</v>
      </c>
      <c r="B1498" s="7" t="str">
        <f>"NCM"&amp;CSTABLE[[#This Row],[ncm]]</f>
        <v>NCM20085000</v>
      </c>
      <c r="C1498" s="3" t="str">
        <f>IFERROR(VLOOKUP(B1498,ST!C:D,2,0),"NÃOST")</f>
        <v>NÃOST</v>
      </c>
      <c r="E1498" s="3" t="str">
        <f>IF(COUNTIF(ISENÇÕES!A:A,CST!B1498)&gt;0,"ISENÇÃO","SEM ISENÇÃO")</f>
        <v>SEM ISENÇÃO</v>
      </c>
      <c r="F1498" s="18" t="str">
        <f>IF(COUNTIF(REDUÇÕES!A:A,CST!B1498)&gt;0,"REDUÇÃO","NÃO REDUÇÃO")</f>
        <v>NÃO REDUÇÃO</v>
      </c>
      <c r="G1498" s="27">
        <f t="shared" si="26"/>
        <v>0</v>
      </c>
    </row>
    <row r="1499" spans="1:7" x14ac:dyDescent="0.25">
      <c r="A1499" s="121" t="s">
        <v>4669</v>
      </c>
      <c r="B1499" s="7" t="str">
        <f>"NCM"&amp;CSTABLE[[#This Row],[ncm]]</f>
        <v>NCM38099290</v>
      </c>
      <c r="C1499" s="3" t="str">
        <f>IFERROR(VLOOKUP(B1499,ST!C:D,2,0),"NÃOST")</f>
        <v>NÃOST</v>
      </c>
      <c r="E1499" s="3" t="str">
        <f>IF(COUNTIF(ISENÇÕES!A:A,CST!B1499)&gt;0,"ISENÇÃO","SEM ISENÇÃO")</f>
        <v>SEM ISENÇÃO</v>
      </c>
      <c r="F1499" s="18" t="str">
        <f>IF(COUNTIF(REDUÇÕES!A:A,CST!B1499)&gt;0,"REDUÇÃO","NÃO REDUÇÃO")</f>
        <v>NÃO REDUÇÃO</v>
      </c>
      <c r="G1499" s="27">
        <f t="shared" si="26"/>
        <v>0</v>
      </c>
    </row>
    <row r="1500" spans="1:7" x14ac:dyDescent="0.25">
      <c r="A1500" s="121" t="s">
        <v>4670</v>
      </c>
      <c r="B1500" s="7" t="str">
        <f>"NCM"&amp;CSTABLE[[#This Row],[ncm]]</f>
        <v>NCM39173300</v>
      </c>
      <c r="C1500" s="3" t="str">
        <f>IFERROR(VLOOKUP(B1500,ST!C:D,2,0),"NÃOST")</f>
        <v>NÃOST</v>
      </c>
      <c r="E1500" s="3" t="str">
        <f>IF(COUNTIF(ISENÇÕES!A:A,CST!B1500)&gt;0,"ISENÇÃO","SEM ISENÇÃO")</f>
        <v>SEM ISENÇÃO</v>
      </c>
      <c r="F1500" s="18" t="str">
        <f>IF(COUNTIF(REDUÇÕES!A:A,CST!B1500)&gt;0,"REDUÇÃO","NÃO REDUÇÃO")</f>
        <v>NÃO REDUÇÃO</v>
      </c>
      <c r="G1500" s="27">
        <f t="shared" si="26"/>
        <v>0</v>
      </c>
    </row>
    <row r="1501" spans="1:7" x14ac:dyDescent="0.25">
      <c r="A1501" s="121" t="s">
        <v>4671</v>
      </c>
      <c r="B1501" s="7" t="str">
        <f>"NCM"&amp;CSTABLE[[#This Row],[ncm]]</f>
        <v>NCM90022090</v>
      </c>
      <c r="C1501" s="3" t="str">
        <f>IFERROR(VLOOKUP(B1501,ST!C:D,2,0),"NÃOST")</f>
        <v>NÃOST</v>
      </c>
      <c r="E1501" s="3" t="str">
        <f>IF(COUNTIF(ISENÇÕES!A:A,CST!B1501)&gt;0,"ISENÇÃO","SEM ISENÇÃO")</f>
        <v>SEM ISENÇÃO</v>
      </c>
      <c r="F1501" s="18" t="str">
        <f>IF(COUNTIF(REDUÇÕES!A:A,CST!B1501)&gt;0,"REDUÇÃO","NÃO REDUÇÃO")</f>
        <v>NÃO REDUÇÃO</v>
      </c>
      <c r="G1501" s="27">
        <f t="shared" si="26"/>
        <v>0</v>
      </c>
    </row>
    <row r="1502" spans="1:7" x14ac:dyDescent="0.25">
      <c r="A1502" s="121" t="s">
        <v>4672</v>
      </c>
      <c r="B1502" s="7" t="str">
        <f>"NCM"&amp;CSTABLE[[#This Row],[ncm]]</f>
        <v>NCM84212930</v>
      </c>
      <c r="C1502" s="3" t="str">
        <f>IFERROR(VLOOKUP(B1502,ST!C:D,2,0),"NÃOST")</f>
        <v>NÃOST</v>
      </c>
      <c r="E1502" s="3" t="str">
        <f>IF(COUNTIF(ISENÇÕES!A:A,CST!B1502)&gt;0,"ISENÇÃO","SEM ISENÇÃO")</f>
        <v>SEM ISENÇÃO</v>
      </c>
      <c r="F1502" s="18" t="str">
        <f>IF(COUNTIF(REDUÇÕES!A:A,CST!B1502)&gt;0,"REDUÇÃO","NÃO REDUÇÃO")</f>
        <v>NÃO REDUÇÃO</v>
      </c>
      <c r="G1502" s="27">
        <f t="shared" si="26"/>
        <v>0</v>
      </c>
    </row>
    <row r="1503" spans="1:7" x14ac:dyDescent="0.25">
      <c r="A1503" s="121" t="s">
        <v>4673</v>
      </c>
      <c r="B1503" s="7" t="str">
        <f>"NCM"&amp;CSTABLE[[#This Row],[ncm]]</f>
        <v>NCM62139090</v>
      </c>
      <c r="C1503" s="3" t="str">
        <f>IFERROR(VLOOKUP(B1503,ST!C:D,2,0),"NÃOST")</f>
        <v>NÃOST</v>
      </c>
      <c r="E1503" s="3" t="str">
        <f>IF(COUNTIF(ISENÇÕES!A:A,CST!B1503)&gt;0,"ISENÇÃO","SEM ISENÇÃO")</f>
        <v>SEM ISENÇÃO</v>
      </c>
      <c r="F1503" s="18" t="str">
        <f>IF(COUNTIF(REDUÇÕES!A:A,CST!B1503)&gt;0,"REDUÇÃO","NÃO REDUÇÃO")</f>
        <v>NÃO REDUÇÃO</v>
      </c>
      <c r="G1503" s="27">
        <f t="shared" ref="G1503:G1534" si="27">VLOOKUP(C1503&amp;F1503&amp;E1503,$B$3:$F$10,5,0)</f>
        <v>0</v>
      </c>
    </row>
    <row r="1504" spans="1:7" x14ac:dyDescent="0.25">
      <c r="A1504" s="121" t="s">
        <v>4674</v>
      </c>
      <c r="B1504" s="7" t="str">
        <f>"NCM"&amp;CSTABLE[[#This Row],[ncm]]</f>
        <v>NCM39189000</v>
      </c>
      <c r="C1504" s="3" t="str">
        <f>IFERROR(VLOOKUP(B1504,ST!C:D,2,0),"NÃOST")</f>
        <v>NÃOST</v>
      </c>
      <c r="E1504" s="3" t="str">
        <f>IF(COUNTIF(ISENÇÕES!A:A,CST!B1504)&gt;0,"ISENÇÃO","SEM ISENÇÃO")</f>
        <v>SEM ISENÇÃO</v>
      </c>
      <c r="F1504" s="18" t="str">
        <f>IF(COUNTIF(REDUÇÕES!A:A,CST!B1504)&gt;0,"REDUÇÃO","NÃO REDUÇÃO")</f>
        <v>NÃO REDUÇÃO</v>
      </c>
      <c r="G1504" s="27">
        <f t="shared" si="27"/>
        <v>0</v>
      </c>
    </row>
    <row r="1505" spans="1:7" x14ac:dyDescent="0.25">
      <c r="A1505" s="121" t="s">
        <v>4675</v>
      </c>
      <c r="B1505" s="7" t="str">
        <f>"NCM"&amp;CSTABLE[[#This Row],[ncm]]</f>
        <v>NCM35040020</v>
      </c>
      <c r="C1505" s="3" t="str">
        <f>IFERROR(VLOOKUP(B1505,ST!C:D,2,0),"NÃOST")</f>
        <v>NÃOST</v>
      </c>
      <c r="E1505" s="3" t="str">
        <f>IF(COUNTIF(ISENÇÕES!A:A,CST!B1505)&gt;0,"ISENÇÃO","SEM ISENÇÃO")</f>
        <v>SEM ISENÇÃO</v>
      </c>
      <c r="F1505" s="18" t="str">
        <f>IF(COUNTIF(REDUÇÕES!A:A,CST!B1505)&gt;0,"REDUÇÃO","NÃO REDUÇÃO")</f>
        <v>NÃO REDUÇÃO</v>
      </c>
      <c r="G1505" s="27">
        <f t="shared" si="27"/>
        <v>0</v>
      </c>
    </row>
    <row r="1506" spans="1:7" x14ac:dyDescent="0.25">
      <c r="A1506" s="121" t="s">
        <v>4676</v>
      </c>
      <c r="B1506" s="7" t="str">
        <f>"NCM"&amp;CSTABLE[[#This Row],[ncm]]</f>
        <v>NCM15010000</v>
      </c>
      <c r="C1506" s="3" t="str">
        <f>IFERROR(VLOOKUP(B1506,ST!C:D,2,0),"NÃOST")</f>
        <v>NÃOST</v>
      </c>
      <c r="E1506" s="3" t="str">
        <f>IF(COUNTIF(ISENÇÕES!A:A,CST!B1506)&gt;0,"ISENÇÃO","SEM ISENÇÃO")</f>
        <v>SEM ISENÇÃO</v>
      </c>
      <c r="F1506" s="18" t="str">
        <f>IF(COUNTIF(REDUÇÕES!A:A,CST!B1506)&gt;0,"REDUÇÃO","NÃO REDUÇÃO")</f>
        <v>NÃO REDUÇÃO</v>
      </c>
      <c r="G1506" s="27">
        <f t="shared" si="27"/>
        <v>0</v>
      </c>
    </row>
    <row r="1507" spans="1:7" x14ac:dyDescent="0.25">
      <c r="A1507" s="121" t="s">
        <v>4677</v>
      </c>
      <c r="B1507" s="7" t="str">
        <f>"NCM"&amp;CSTABLE[[#This Row],[ncm]]</f>
        <v>NCM12060010</v>
      </c>
      <c r="C1507" s="3" t="str">
        <f>IFERROR(VLOOKUP(B1507,ST!C:D,2,0),"NÃOST")</f>
        <v>NÃOST</v>
      </c>
      <c r="E1507" s="3" t="str">
        <f>IF(COUNTIF(ISENÇÕES!A:A,CST!B1507)&gt;0,"ISENÇÃO","SEM ISENÇÃO")</f>
        <v>SEM ISENÇÃO</v>
      </c>
      <c r="F1507" s="18" t="str">
        <f>IF(COUNTIF(REDUÇÕES!A:A,CST!B1507)&gt;0,"REDUÇÃO","NÃO REDUÇÃO")</f>
        <v>NÃO REDUÇÃO</v>
      </c>
      <c r="G1507" s="27">
        <f t="shared" si="27"/>
        <v>0</v>
      </c>
    </row>
    <row r="1508" spans="1:7" x14ac:dyDescent="0.25">
      <c r="A1508" s="121" t="s">
        <v>4678</v>
      </c>
      <c r="B1508" s="7" t="str">
        <f>"NCM"&amp;CSTABLE[[#This Row],[ncm]]</f>
        <v>NCM10030099</v>
      </c>
      <c r="C1508" s="3" t="str">
        <f>IFERROR(VLOOKUP(B1508,ST!C:D,2,0),"NÃOST")</f>
        <v>NÃOST</v>
      </c>
      <c r="E1508" s="3" t="str">
        <f>IF(COUNTIF(ISENÇÕES!A:A,CST!B1508)&gt;0,"ISENÇÃO","SEM ISENÇÃO")</f>
        <v>SEM ISENÇÃO</v>
      </c>
      <c r="F1508" s="18" t="str">
        <f>IF(COUNTIF(REDUÇÕES!A:A,CST!B1508)&gt;0,"REDUÇÃO","NÃO REDUÇÃO")</f>
        <v>NÃO REDUÇÃO</v>
      </c>
      <c r="G1508" s="27">
        <f t="shared" si="27"/>
        <v>0</v>
      </c>
    </row>
    <row r="1509" spans="1:7" x14ac:dyDescent="0.25">
      <c r="A1509" s="121" t="s">
        <v>4679</v>
      </c>
      <c r="B1509" s="7" t="str">
        <f>"NCM"&amp;CSTABLE[[#This Row],[ncm]]</f>
        <v>NCM09091010</v>
      </c>
      <c r="C1509" s="3" t="str">
        <f>IFERROR(VLOOKUP(B1509,ST!C:D,2,0),"NÃOST")</f>
        <v>NÃOST</v>
      </c>
      <c r="E1509" s="3" t="str">
        <f>IF(COUNTIF(ISENÇÕES!A:A,CST!B1509)&gt;0,"ISENÇÃO","SEM ISENÇÃO")</f>
        <v>SEM ISENÇÃO</v>
      </c>
      <c r="F1509" s="18" t="str">
        <f>IF(COUNTIF(REDUÇÕES!A:A,CST!B1509)&gt;0,"REDUÇÃO","NÃO REDUÇÃO")</f>
        <v>NÃO REDUÇÃO</v>
      </c>
      <c r="G1509" s="27">
        <f t="shared" si="27"/>
        <v>0</v>
      </c>
    </row>
    <row r="1510" spans="1:7" x14ac:dyDescent="0.25">
      <c r="A1510" s="121" t="s">
        <v>4680</v>
      </c>
      <c r="B1510" s="7" t="str">
        <f>"NCM"&amp;CSTABLE[[#This Row],[ncm]]</f>
        <v>NCM08025000</v>
      </c>
      <c r="C1510" s="3" t="str">
        <f>IFERROR(VLOOKUP(B1510,ST!C:D,2,0),"NÃOST")</f>
        <v>NÃOST</v>
      </c>
      <c r="E1510" s="3" t="str">
        <f>IF(COUNTIF(ISENÇÕES!A:A,CST!B1510)&gt;0,"ISENÇÃO","SEM ISENÇÃO")</f>
        <v>SEM ISENÇÃO</v>
      </c>
      <c r="F1510" s="18" t="str">
        <f>IF(COUNTIF(REDUÇÕES!A:A,CST!B1510)&gt;0,"REDUÇÃO","NÃO REDUÇÃO")</f>
        <v>NÃO REDUÇÃO</v>
      </c>
      <c r="G1510" s="27">
        <f t="shared" si="27"/>
        <v>0</v>
      </c>
    </row>
    <row r="1511" spans="1:7" x14ac:dyDescent="0.25">
      <c r="A1511" s="121" t="s">
        <v>4681</v>
      </c>
      <c r="B1511" s="7" t="str">
        <f>"NCM"&amp;CSTABLE[[#This Row],[ncm]]</f>
        <v>NCM52079000</v>
      </c>
      <c r="C1511" s="3" t="str">
        <f>IFERROR(VLOOKUP(B1511,ST!C:D,2,0),"NÃOST")</f>
        <v>NÃOST</v>
      </c>
      <c r="E1511" s="3" t="str">
        <f>IF(COUNTIF(ISENÇÕES!A:A,CST!B1511)&gt;0,"ISENÇÃO","SEM ISENÇÃO")</f>
        <v>SEM ISENÇÃO</v>
      </c>
      <c r="F1511" s="18" t="str">
        <f>IF(COUNTIF(REDUÇÕES!A:A,CST!B1511)&gt;0,"REDUÇÃO","NÃO REDUÇÃO")</f>
        <v>NÃO REDUÇÃO</v>
      </c>
      <c r="G1511" s="27">
        <f t="shared" si="27"/>
        <v>0</v>
      </c>
    </row>
    <row r="1512" spans="1:7" x14ac:dyDescent="0.25">
      <c r="A1512" s="121" t="s">
        <v>4682</v>
      </c>
      <c r="B1512" s="7" t="str">
        <f>"NCM"&amp;CSTABLE[[#This Row],[ncm]]</f>
        <v>NCM76129090</v>
      </c>
      <c r="C1512" s="3" t="str">
        <f>IFERROR(VLOOKUP(B1512,ST!C:D,2,0),"NÃOST")</f>
        <v>NÃOST</v>
      </c>
      <c r="E1512" s="3" t="str">
        <f>IF(COUNTIF(ISENÇÕES!A:A,CST!B1512)&gt;0,"ISENÇÃO","SEM ISENÇÃO")</f>
        <v>SEM ISENÇÃO</v>
      </c>
      <c r="F1512" s="18" t="str">
        <f>IF(COUNTIF(REDUÇÕES!A:A,CST!B1512)&gt;0,"REDUÇÃO","NÃO REDUÇÃO")</f>
        <v>NÃO REDUÇÃO</v>
      </c>
      <c r="G1512" s="27">
        <f t="shared" si="27"/>
        <v>0</v>
      </c>
    </row>
    <row r="1513" spans="1:7" x14ac:dyDescent="0.25">
      <c r="A1513" s="121" t="s">
        <v>4683</v>
      </c>
      <c r="B1513" s="7" t="str">
        <f>"NCM"&amp;CSTABLE[[#This Row],[ncm]]</f>
        <v>NCM57021000</v>
      </c>
      <c r="C1513" s="3" t="str">
        <f>IFERROR(VLOOKUP(B1513,ST!C:D,2,0),"NÃOST")</f>
        <v>NÃOST</v>
      </c>
      <c r="E1513" s="3" t="str">
        <f>IF(COUNTIF(ISENÇÕES!A:A,CST!B1513)&gt;0,"ISENÇÃO","SEM ISENÇÃO")</f>
        <v>SEM ISENÇÃO</v>
      </c>
      <c r="F1513" s="18" t="str">
        <f>IF(COUNTIF(REDUÇÕES!A:A,CST!B1513)&gt;0,"REDUÇÃO","NÃO REDUÇÃO")</f>
        <v>NÃO REDUÇÃO</v>
      </c>
      <c r="G1513" s="27">
        <f t="shared" si="27"/>
        <v>0</v>
      </c>
    </row>
    <row r="1514" spans="1:7" x14ac:dyDescent="0.25">
      <c r="A1514" s="121" t="s">
        <v>4684</v>
      </c>
      <c r="B1514" s="7" t="str">
        <f>"NCM"&amp;CSTABLE[[#This Row],[ncm]]</f>
        <v>NCM48191000</v>
      </c>
      <c r="C1514" s="3" t="str">
        <f>IFERROR(VLOOKUP(B1514,ST!C:D,2,0),"NÃOST")</f>
        <v>NÃOST</v>
      </c>
      <c r="E1514" s="3" t="str">
        <f>IF(COUNTIF(ISENÇÕES!A:A,CST!B1514)&gt;0,"ISENÇÃO","SEM ISENÇÃO")</f>
        <v>SEM ISENÇÃO</v>
      </c>
      <c r="F1514" s="18" t="str">
        <f>IF(COUNTIF(REDUÇÕES!A:A,CST!B1514)&gt;0,"REDUÇÃO","NÃO REDUÇÃO")</f>
        <v>NÃO REDUÇÃO</v>
      </c>
      <c r="G1514" s="27">
        <f t="shared" si="27"/>
        <v>0</v>
      </c>
    </row>
    <row r="1515" spans="1:7" x14ac:dyDescent="0.25">
      <c r="A1515" s="121" t="s">
        <v>4685</v>
      </c>
      <c r="B1515" s="7" t="str">
        <f>"NCM"&amp;CSTABLE[[#This Row],[ncm]]</f>
        <v>NCM76129019</v>
      </c>
      <c r="C1515" s="3" t="str">
        <f>IFERROR(VLOOKUP(B1515,ST!C:D,2,0),"NÃOST")</f>
        <v>NÃOST</v>
      </c>
      <c r="E1515" s="3" t="str">
        <f>IF(COUNTIF(ISENÇÕES!A:A,CST!B1515)&gt;0,"ISENÇÃO","SEM ISENÇÃO")</f>
        <v>SEM ISENÇÃO</v>
      </c>
      <c r="F1515" s="18" t="str">
        <f>IF(COUNTIF(REDUÇÕES!A:A,CST!B1515)&gt;0,"REDUÇÃO","NÃO REDUÇÃO")</f>
        <v>NÃO REDUÇÃO</v>
      </c>
      <c r="G1515" s="27">
        <f t="shared" si="27"/>
        <v>0</v>
      </c>
    </row>
    <row r="1516" spans="1:7" x14ac:dyDescent="0.25">
      <c r="A1516" s="121" t="s">
        <v>4686</v>
      </c>
      <c r="B1516" s="7" t="str">
        <f>"NCM"&amp;CSTABLE[[#This Row],[ncm]]</f>
        <v>NCM09101000</v>
      </c>
      <c r="C1516" s="3" t="str">
        <f>IFERROR(VLOOKUP(B1516,ST!C:D,2,0),"NÃOST")</f>
        <v>NÃOST</v>
      </c>
      <c r="E1516" s="3" t="str">
        <f>IF(COUNTIF(ISENÇÕES!A:A,CST!B1516)&gt;0,"ISENÇÃO","SEM ISENÇÃO")</f>
        <v>ISENÇÃO</v>
      </c>
      <c r="F1516" s="18" t="str">
        <f>IF(COUNTIF(REDUÇÕES!A:A,CST!B1516)&gt;0,"REDUÇÃO","NÃO REDUÇÃO")</f>
        <v>NÃO REDUÇÃO</v>
      </c>
      <c r="G1516" s="27">
        <f t="shared" si="27"/>
        <v>40</v>
      </c>
    </row>
    <row r="1517" spans="1:7" x14ac:dyDescent="0.25">
      <c r="A1517" s="121" t="s">
        <v>4687</v>
      </c>
      <c r="B1517" s="7" t="str">
        <f>"NCM"&amp;CSTABLE[[#This Row],[ncm]]</f>
        <v>NCM03061690</v>
      </c>
      <c r="C1517" s="3" t="str">
        <f>IFERROR(VLOOKUP(B1517,ST!C:D,2,0),"NÃOST")</f>
        <v>NÃOST</v>
      </c>
      <c r="E1517" s="3" t="str">
        <f>IF(COUNTIF(ISENÇÕES!A:A,CST!B1517)&gt;0,"ISENÇÃO","SEM ISENÇÃO")</f>
        <v>SEM ISENÇÃO</v>
      </c>
      <c r="F1517" s="18" t="str">
        <f>IF(COUNTIF(REDUÇÕES!A:A,CST!B1517)&gt;0,"REDUÇÃO","NÃO REDUÇÃO")</f>
        <v>NÃO REDUÇÃO</v>
      </c>
      <c r="G1517" s="27">
        <f t="shared" si="27"/>
        <v>0</v>
      </c>
    </row>
    <row r="1518" spans="1:7" x14ac:dyDescent="0.25">
      <c r="A1518" s="121" t="s">
        <v>4688</v>
      </c>
      <c r="B1518" s="7" t="str">
        <f>"NCM"&amp;CSTABLE[[#This Row],[ncm]]</f>
        <v>NCM05040090</v>
      </c>
      <c r="C1518" s="3" t="str">
        <f>IFERROR(VLOOKUP(B1518,ST!C:D,2,0),"NÃOST")</f>
        <v>NÃOST</v>
      </c>
      <c r="E1518" s="3" t="str">
        <f>IF(COUNTIF(ISENÇÕES!A:A,CST!B1518)&gt;0,"ISENÇÃO","SEM ISENÇÃO")</f>
        <v>SEM ISENÇÃO</v>
      </c>
      <c r="F1518" s="18" t="str">
        <f>IF(COUNTIF(REDUÇÕES!A:A,CST!B1518)&gt;0,"REDUÇÃO","NÃO REDUÇÃO")</f>
        <v>NÃO REDUÇÃO</v>
      </c>
      <c r="G1518" s="27">
        <f t="shared" si="27"/>
        <v>0</v>
      </c>
    </row>
    <row r="1519" spans="1:7" x14ac:dyDescent="0.25">
      <c r="A1519" s="121" t="s">
        <v>4689</v>
      </c>
      <c r="B1519" s="7" t="str">
        <f>"NCM"&amp;CSTABLE[[#This Row],[ncm]]</f>
        <v>NCM48184020</v>
      </c>
      <c r="C1519" s="3" t="str">
        <f>IFERROR(VLOOKUP(B1519,ST!C:D,2,0),"NÃOST")</f>
        <v>NÃOST</v>
      </c>
      <c r="E1519" s="3" t="str">
        <f>IF(COUNTIF(ISENÇÕES!A:A,CST!B1519)&gt;0,"ISENÇÃO","SEM ISENÇÃO")</f>
        <v>SEM ISENÇÃO</v>
      </c>
      <c r="F1519" s="18" t="str">
        <f>IF(COUNTIF(REDUÇÕES!A:A,CST!B1519)&gt;0,"REDUÇÃO","NÃO REDUÇÃO")</f>
        <v>NÃO REDUÇÃO</v>
      </c>
      <c r="G1519" s="27">
        <f t="shared" si="27"/>
        <v>0</v>
      </c>
    </row>
    <row r="1520" spans="1:7" x14ac:dyDescent="0.25">
      <c r="A1520" s="121" t="s">
        <v>4690</v>
      </c>
      <c r="B1520" s="7" t="str">
        <f>"NCM"&amp;CSTABLE[[#This Row],[ncm]]</f>
        <v>NCM17011100</v>
      </c>
      <c r="C1520" s="3" t="str">
        <f>IFERROR(VLOOKUP(B1520,ST!C:D,2,0),"NÃOST")</f>
        <v>NÃOST</v>
      </c>
      <c r="E1520" s="3" t="str">
        <f>IF(COUNTIF(ISENÇÕES!A:A,CST!B1520)&gt;0,"ISENÇÃO","SEM ISENÇÃO")</f>
        <v>SEM ISENÇÃO</v>
      </c>
      <c r="F1520" s="18" t="str">
        <f>IF(COUNTIF(REDUÇÕES!A:A,CST!B1520)&gt;0,"REDUÇÃO","NÃO REDUÇÃO")</f>
        <v>REDUÇÃO</v>
      </c>
      <c r="G1520" s="27">
        <f t="shared" si="27"/>
        <v>20</v>
      </c>
    </row>
    <row r="1521" spans="1:7" x14ac:dyDescent="0.25">
      <c r="A1521" s="121" t="s">
        <v>4691</v>
      </c>
      <c r="B1521" s="7" t="str">
        <f>"NCM"&amp;CSTABLE[[#This Row],[ncm]]</f>
        <v>NCM10011090</v>
      </c>
      <c r="C1521" s="3" t="str">
        <f>IFERROR(VLOOKUP(B1521,ST!C:D,2,0),"NÃOST")</f>
        <v>NÃOST</v>
      </c>
      <c r="E1521" s="3" t="str">
        <f>IF(COUNTIF(ISENÇÕES!A:A,CST!B1521)&gt;0,"ISENÇÃO","SEM ISENÇÃO")</f>
        <v>SEM ISENÇÃO</v>
      </c>
      <c r="F1521" s="18" t="str">
        <f>IF(COUNTIF(REDUÇÕES!A:A,CST!B1521)&gt;0,"REDUÇÃO","NÃO REDUÇÃO")</f>
        <v>NÃO REDUÇÃO</v>
      </c>
      <c r="G1521" s="27">
        <f t="shared" si="27"/>
        <v>0</v>
      </c>
    </row>
    <row r="1522" spans="1:7" x14ac:dyDescent="0.25">
      <c r="A1522" s="121" t="s">
        <v>4692</v>
      </c>
      <c r="B1522" s="7" t="str">
        <f>"NCM"&amp;CSTABLE[[#This Row],[ncm]]</f>
        <v>NCM07099200</v>
      </c>
      <c r="C1522" s="3" t="str">
        <f>IFERROR(VLOOKUP(B1522,ST!C:D,2,0),"NÃOST")</f>
        <v>NÃOST</v>
      </c>
      <c r="E1522" s="3" t="str">
        <f>IF(COUNTIF(ISENÇÕES!A:A,CST!B1522)&gt;0,"ISENÇÃO","SEM ISENÇÃO")</f>
        <v>SEM ISENÇÃO</v>
      </c>
      <c r="F1522" s="18" t="str">
        <f>IF(COUNTIF(REDUÇÕES!A:A,CST!B1522)&gt;0,"REDUÇÃO","NÃO REDUÇÃO")</f>
        <v>NÃO REDUÇÃO</v>
      </c>
      <c r="G1522" s="27">
        <f t="shared" si="27"/>
        <v>0</v>
      </c>
    </row>
    <row r="1523" spans="1:7" x14ac:dyDescent="0.25">
      <c r="A1523" s="121" t="s">
        <v>4693</v>
      </c>
      <c r="B1523" s="7" t="str">
        <f>"NCM"&amp;CSTABLE[[#This Row],[ncm]]</f>
        <v>NCM08011110</v>
      </c>
      <c r="C1523" s="3" t="str">
        <f>IFERROR(VLOOKUP(B1523,ST!C:D,2,0),"NÃOST")</f>
        <v>NÃOST</v>
      </c>
      <c r="E1523" s="3" t="str">
        <f>IF(COUNTIF(ISENÇÕES!A:A,CST!B1523)&gt;0,"ISENÇÃO","SEM ISENÇÃO")</f>
        <v>SEM ISENÇÃO</v>
      </c>
      <c r="F1523" s="18" t="str">
        <f>IF(COUNTIF(REDUÇÕES!A:A,CST!B1523)&gt;0,"REDUÇÃO","NÃO REDUÇÃO")</f>
        <v>NÃO REDUÇÃO</v>
      </c>
      <c r="G1523" s="27">
        <f t="shared" si="27"/>
        <v>0</v>
      </c>
    </row>
    <row r="1524" spans="1:7" x14ac:dyDescent="0.25">
      <c r="A1524" s="121" t="s">
        <v>4694</v>
      </c>
      <c r="B1524" s="7" t="str">
        <f>"NCM"&amp;CSTABLE[[#This Row],[ncm]]</f>
        <v>NCM04029100</v>
      </c>
      <c r="C1524" s="3" t="str">
        <f>IFERROR(VLOOKUP(B1524,ST!C:D,2,0),"NÃOST")</f>
        <v>NÃOST</v>
      </c>
      <c r="E1524" s="3" t="str">
        <f>IF(COUNTIF(ISENÇÕES!A:A,CST!B1524)&gt;0,"ISENÇÃO","SEM ISENÇÃO")</f>
        <v>SEM ISENÇÃO</v>
      </c>
      <c r="F1524" s="18" t="str">
        <f>IF(COUNTIF(REDUÇÕES!A:A,CST!B1524)&gt;0,"REDUÇÃO","NÃO REDUÇÃO")</f>
        <v>NÃO REDUÇÃO</v>
      </c>
      <c r="G1524" s="27">
        <f t="shared" si="27"/>
        <v>0</v>
      </c>
    </row>
    <row r="1525" spans="1:7" x14ac:dyDescent="0.25">
      <c r="A1525" s="121" t="s">
        <v>4695</v>
      </c>
      <c r="B1525" s="7" t="str">
        <f>"NCM"&amp;CSTABLE[[#This Row],[ncm]]</f>
        <v>NCM91021110</v>
      </c>
      <c r="C1525" s="3" t="str">
        <f>IFERROR(VLOOKUP(B1525,ST!C:D,2,0),"NÃOST")</f>
        <v>NÃOST</v>
      </c>
      <c r="E1525" s="3" t="str">
        <f>IF(COUNTIF(ISENÇÕES!A:A,CST!B1525)&gt;0,"ISENÇÃO","SEM ISENÇÃO")</f>
        <v>SEM ISENÇÃO</v>
      </c>
      <c r="F1525" s="18" t="str">
        <f>IF(COUNTIF(REDUÇÕES!A:A,CST!B1525)&gt;0,"REDUÇÃO","NÃO REDUÇÃO")</f>
        <v>NÃO REDUÇÃO</v>
      </c>
      <c r="G1525" s="27">
        <f t="shared" si="27"/>
        <v>0</v>
      </c>
    </row>
    <row r="1526" spans="1:7" x14ac:dyDescent="0.25">
      <c r="A1526" s="121" t="s">
        <v>4696</v>
      </c>
      <c r="B1526" s="7" t="str">
        <f>"NCM"&amp;CSTABLE[[#This Row],[ncm]]</f>
        <v>NCM23040090</v>
      </c>
      <c r="C1526" s="3" t="str">
        <f>IFERROR(VLOOKUP(B1526,ST!C:D,2,0),"NÃOST")</f>
        <v>NÃOST</v>
      </c>
      <c r="E1526" s="3" t="str">
        <f>IF(COUNTIF(ISENÇÕES!A:A,CST!B1526)&gt;0,"ISENÇÃO","SEM ISENÇÃO")</f>
        <v>SEM ISENÇÃO</v>
      </c>
      <c r="F1526" s="18" t="str">
        <f>IF(COUNTIF(REDUÇÕES!A:A,CST!B1526)&gt;0,"REDUÇÃO","NÃO REDUÇÃO")</f>
        <v>NÃO REDUÇÃO</v>
      </c>
      <c r="G1526" s="27">
        <f t="shared" si="27"/>
        <v>0</v>
      </c>
    </row>
    <row r="1527" spans="1:7" x14ac:dyDescent="0.25">
      <c r="A1527" s="121" t="s">
        <v>4697</v>
      </c>
      <c r="B1527" s="7" t="str">
        <f>"NCM"&amp;CSTABLE[[#This Row],[ncm]]</f>
        <v>NCM03042090</v>
      </c>
      <c r="C1527" s="3" t="str">
        <f>IFERROR(VLOOKUP(B1527,ST!C:D,2,0),"NÃOST")</f>
        <v>NÃOST</v>
      </c>
      <c r="E1527" s="3" t="str">
        <f>IF(COUNTIF(ISENÇÕES!A:A,CST!B1527)&gt;0,"ISENÇÃO","SEM ISENÇÃO")</f>
        <v>SEM ISENÇÃO</v>
      </c>
      <c r="F1527" s="18" t="str">
        <f>IF(COUNTIF(REDUÇÕES!A:A,CST!B1527)&gt;0,"REDUÇÃO","NÃO REDUÇÃO")</f>
        <v>NÃO REDUÇÃO</v>
      </c>
      <c r="G1527" s="27">
        <f t="shared" si="27"/>
        <v>0</v>
      </c>
    </row>
    <row r="1528" spans="1:7" x14ac:dyDescent="0.25">
      <c r="A1528" s="121" t="s">
        <v>4698</v>
      </c>
      <c r="B1528" s="7" t="str">
        <f>"NCM"&amp;CSTABLE[[#This Row],[ncm]]</f>
        <v>NCM07099000</v>
      </c>
      <c r="C1528" s="3" t="str">
        <f>IFERROR(VLOOKUP(B1528,ST!C:D,2,0),"NÃOST")</f>
        <v>NÃOST</v>
      </c>
      <c r="E1528" s="3" t="str">
        <f>IF(COUNTIF(ISENÇÕES!A:A,CST!B1528)&gt;0,"ISENÇÃO","SEM ISENÇÃO")</f>
        <v>ISENÇÃO</v>
      </c>
      <c r="F1528" s="18" t="str">
        <f>IF(COUNTIF(REDUÇÕES!A:A,CST!B1528)&gt;0,"REDUÇÃO","NÃO REDUÇÃO")</f>
        <v>NÃO REDUÇÃO</v>
      </c>
      <c r="G1528" s="27">
        <f t="shared" si="27"/>
        <v>40</v>
      </c>
    </row>
    <row r="1529" spans="1:7" x14ac:dyDescent="0.25">
      <c r="A1529" s="121" t="s">
        <v>4699</v>
      </c>
      <c r="B1529" s="7" t="str">
        <f>"NCM"&amp;CSTABLE[[#This Row],[ncm]]</f>
        <v>NCM07109000</v>
      </c>
      <c r="C1529" s="3" t="str">
        <f>IFERROR(VLOOKUP(B1529,ST!C:D,2,0),"NÃOST")</f>
        <v>NÃOST</v>
      </c>
      <c r="E1529" s="3" t="str">
        <f>IF(COUNTIF(ISENÇÕES!A:A,CST!B1529)&gt;0,"ISENÇÃO","SEM ISENÇÃO")</f>
        <v>SEM ISENÇÃO</v>
      </c>
      <c r="F1529" s="18" t="str">
        <f>IF(COUNTIF(REDUÇÕES!A:A,CST!B1529)&gt;0,"REDUÇÃO","NÃO REDUÇÃO")</f>
        <v>NÃO REDUÇÃO</v>
      </c>
      <c r="G1529" s="27">
        <f t="shared" si="27"/>
        <v>0</v>
      </c>
    </row>
    <row r="1530" spans="1:7" x14ac:dyDescent="0.25">
      <c r="A1530" s="121" t="s">
        <v>4700</v>
      </c>
      <c r="B1530" s="7" t="str">
        <f>"NCM"&amp;CSTABLE[[#This Row],[ncm]]</f>
        <v>NCM07081000</v>
      </c>
      <c r="C1530" s="3" t="str">
        <f>IFERROR(VLOOKUP(B1530,ST!C:D,2,0),"NÃOST")</f>
        <v>NÃOST</v>
      </c>
      <c r="E1530" s="3" t="str">
        <f>IF(COUNTIF(ISENÇÕES!A:A,CST!B1530)&gt;0,"ISENÇÃO","SEM ISENÇÃO")</f>
        <v>SEM ISENÇÃO</v>
      </c>
      <c r="F1530" s="18" t="str">
        <f>IF(COUNTIF(REDUÇÕES!A:A,CST!B1530)&gt;0,"REDUÇÃO","NÃO REDUÇÃO")</f>
        <v>NÃO REDUÇÃO</v>
      </c>
      <c r="G1530" s="27">
        <f t="shared" si="27"/>
        <v>0</v>
      </c>
    </row>
    <row r="1531" spans="1:7" x14ac:dyDescent="0.25">
      <c r="A1531" s="121" t="s">
        <v>4701</v>
      </c>
      <c r="B1531" s="7" t="str">
        <f>"NCM"&amp;CSTABLE[[#This Row],[ncm]]</f>
        <v>NCM84713012</v>
      </c>
      <c r="C1531" s="3" t="str">
        <f>IFERROR(VLOOKUP(B1531,ST!C:D,2,0),"NÃOST")</f>
        <v>NÃOST</v>
      </c>
      <c r="E1531" s="3" t="str">
        <f>IF(COUNTIF(ISENÇÕES!A:A,CST!B1531)&gt;0,"ISENÇÃO","SEM ISENÇÃO")</f>
        <v>SEM ISENÇÃO</v>
      </c>
      <c r="F1531" s="18" t="str">
        <f>IF(COUNTIF(REDUÇÕES!A:A,CST!B1531)&gt;0,"REDUÇÃO","NÃO REDUÇÃO")</f>
        <v>REDUÇÃO</v>
      </c>
      <c r="G1531" s="27">
        <f t="shared" si="27"/>
        <v>20</v>
      </c>
    </row>
    <row r="1532" spans="1:7" x14ac:dyDescent="0.25">
      <c r="A1532" s="121" t="s">
        <v>4702</v>
      </c>
      <c r="B1532" s="7" t="str">
        <f>"NCM"&amp;CSTABLE[[#This Row],[ncm]]</f>
        <v>NCM49011000</v>
      </c>
      <c r="C1532" s="3" t="str">
        <f>IFERROR(VLOOKUP(B1532,ST!C:D,2,0),"NÃOST")</f>
        <v>NÃOST</v>
      </c>
      <c r="E1532" s="3" t="str">
        <f>IF(COUNTIF(ISENÇÕES!A:A,CST!B1532)&gt;0,"ISENÇÃO","SEM ISENÇÃO")</f>
        <v>SEM ISENÇÃO</v>
      </c>
      <c r="F1532" s="18" t="str">
        <f>IF(COUNTIF(REDUÇÕES!A:A,CST!B1532)&gt;0,"REDUÇÃO","NÃO REDUÇÃO")</f>
        <v>NÃO REDUÇÃO</v>
      </c>
      <c r="G1532" s="27">
        <f t="shared" si="27"/>
        <v>0</v>
      </c>
    </row>
    <row r="1533" spans="1:7" x14ac:dyDescent="0.25">
      <c r="A1533" s="121" t="s">
        <v>4703</v>
      </c>
      <c r="B1533" s="7" t="str">
        <f>"NCM"&amp;CSTABLE[[#This Row],[ncm]]</f>
        <v>NCM02090011</v>
      </c>
      <c r="C1533" s="3" t="str">
        <f>IFERROR(VLOOKUP(B1533,ST!C:D,2,0),"NÃOST")</f>
        <v>NÃOST</v>
      </c>
      <c r="E1533" s="3" t="str">
        <f>IF(COUNTIF(ISENÇÕES!A:A,CST!B1533)&gt;0,"ISENÇÃO","SEM ISENÇÃO")</f>
        <v>SEM ISENÇÃO</v>
      </c>
      <c r="F1533" s="18" t="str">
        <f>IF(COUNTIF(REDUÇÕES!A:A,CST!B1533)&gt;0,"REDUÇÃO","NÃO REDUÇÃO")</f>
        <v>NÃO REDUÇÃO</v>
      </c>
      <c r="G1533" s="27">
        <f t="shared" si="27"/>
        <v>0</v>
      </c>
    </row>
    <row r="1534" spans="1:7" x14ac:dyDescent="0.25">
      <c r="A1534" s="121" t="s">
        <v>4704</v>
      </c>
      <c r="B1534" s="7" t="str">
        <f>"NCM"&amp;CSTABLE[[#This Row],[ncm]]</f>
        <v>NCM08012100</v>
      </c>
      <c r="C1534" s="3" t="str">
        <f>IFERROR(VLOOKUP(B1534,ST!C:D,2,0),"NÃOST")</f>
        <v>NÃOST</v>
      </c>
      <c r="E1534" s="3" t="str">
        <f>IF(COUNTIF(ISENÇÕES!A:A,CST!B1534)&gt;0,"ISENÇÃO","SEM ISENÇÃO")</f>
        <v>ISENÇÃO</v>
      </c>
      <c r="F1534" s="18" t="str">
        <f>IF(COUNTIF(REDUÇÕES!A:A,CST!B1534)&gt;0,"REDUÇÃO","NÃO REDUÇÃO")</f>
        <v>NÃO REDUÇÃO</v>
      </c>
      <c r="G1534" s="27">
        <f t="shared" si="27"/>
        <v>40</v>
      </c>
    </row>
    <row r="1535" spans="1:7" x14ac:dyDescent="0.25">
      <c r="A1535" s="121" t="s">
        <v>4705</v>
      </c>
      <c r="B1535" s="7" t="str">
        <f>"NCM"&amp;CSTABLE[[#This Row],[ncm]]</f>
        <v>NCM49030000</v>
      </c>
      <c r="C1535" s="3" t="str">
        <f>IFERROR(VLOOKUP(B1535,ST!C:D,2,0),"NÃOST")</f>
        <v>NÃOST</v>
      </c>
      <c r="E1535" s="3" t="str">
        <f>IF(COUNTIF(ISENÇÕES!A:A,CST!B1535)&gt;0,"ISENÇÃO","SEM ISENÇÃO")</f>
        <v>SEM ISENÇÃO</v>
      </c>
      <c r="F1535" s="18" t="str">
        <f>IF(COUNTIF(REDUÇÕES!A:A,CST!B1535)&gt;0,"REDUÇÃO","NÃO REDUÇÃO")</f>
        <v>NÃO REDUÇÃO</v>
      </c>
      <c r="G1535" s="27">
        <f t="shared" ref="G1535:G1546" si="28">VLOOKUP(C1535&amp;F1535&amp;E1535,$B$3:$F$10,5,0)</f>
        <v>0</v>
      </c>
    </row>
    <row r="1536" spans="1:7" x14ac:dyDescent="0.25">
      <c r="A1536" s="121" t="s">
        <v>4706</v>
      </c>
      <c r="B1536" s="7" t="str">
        <f>"NCM"&amp;CSTABLE[[#This Row],[ncm]]</f>
        <v>NCM85393900</v>
      </c>
      <c r="C1536" s="3" t="str">
        <f>IFERROR(VLOOKUP(B1536,ST!C:D,2,0),"NÃOST")</f>
        <v>ST</v>
      </c>
      <c r="E1536" s="3" t="str">
        <f>IF(COUNTIF(ISENÇÕES!A:A,CST!B1536)&gt;0,"ISENÇÃO","SEM ISENÇÃO")</f>
        <v>SEM ISENÇÃO</v>
      </c>
      <c r="F1536" s="18" t="str">
        <f>IF(COUNTIF(REDUÇÕES!A:A,CST!B1536)&gt;0,"REDUÇÃO","NÃO REDUÇÃO")</f>
        <v>NÃO REDUÇÃO</v>
      </c>
      <c r="G1536" s="27">
        <f t="shared" si="28"/>
        <v>60</v>
      </c>
    </row>
    <row r="1537" spans="1:7" x14ac:dyDescent="0.25">
      <c r="A1537" s="121" t="s">
        <v>4707</v>
      </c>
      <c r="B1537" s="7" t="str">
        <f>"NCM"&amp;CSTABLE[[#This Row],[ncm]]</f>
        <v>NCM32061119</v>
      </c>
      <c r="C1537" s="3" t="str">
        <f>IFERROR(VLOOKUP(B1537,ST!C:D,2,0),"NÃOST")</f>
        <v>ST</v>
      </c>
      <c r="E1537" s="3" t="str">
        <f>IF(COUNTIF(ISENÇÕES!A:A,CST!B1537)&gt;0,"ISENÇÃO","SEM ISENÇÃO")</f>
        <v>SEM ISENÇÃO</v>
      </c>
      <c r="F1537" s="18" t="str">
        <f>IF(COUNTIF(REDUÇÕES!A:A,CST!B1537)&gt;0,"REDUÇÃO","NÃO REDUÇÃO")</f>
        <v>NÃO REDUÇÃO</v>
      </c>
      <c r="G1537" s="27">
        <f t="shared" si="28"/>
        <v>60</v>
      </c>
    </row>
    <row r="1538" spans="1:7" x14ac:dyDescent="0.25">
      <c r="A1538" s="121" t="s">
        <v>4708</v>
      </c>
      <c r="B1538" s="7" t="str">
        <f>"NCM"&amp;CSTABLE[[#This Row],[ncm]]</f>
        <v>NCM85101000</v>
      </c>
      <c r="C1538" s="3" t="str">
        <f>IFERROR(VLOOKUP(B1538,ST!C:D,2,0),"NÃOST")</f>
        <v>NÃOST</v>
      </c>
      <c r="E1538" s="3" t="str">
        <f>IF(COUNTIF(ISENÇÕES!A:A,CST!B1538)&gt;0,"ISENÇÃO","SEM ISENÇÃO")</f>
        <v>SEM ISENÇÃO</v>
      </c>
      <c r="F1538" s="18" t="str">
        <f>IF(COUNTIF(REDUÇÕES!A:A,CST!B1538)&gt;0,"REDUÇÃO","NÃO REDUÇÃO")</f>
        <v>NÃO REDUÇÃO</v>
      </c>
      <c r="G1538" s="27">
        <f t="shared" si="28"/>
        <v>0</v>
      </c>
    </row>
    <row r="1539" spans="1:7" x14ac:dyDescent="0.25">
      <c r="A1539" s="121" t="s">
        <v>4709</v>
      </c>
      <c r="B1539" s="7" t="str">
        <f>"NCM"&amp;CSTABLE[[#This Row],[ncm]]</f>
        <v>NCM85219090</v>
      </c>
      <c r="C1539" s="3" t="str">
        <f>IFERROR(VLOOKUP(B1539,ST!C:D,2,0),"NÃOST")</f>
        <v>NÃOST</v>
      </c>
      <c r="E1539" s="3" t="str">
        <f>IF(COUNTIF(ISENÇÕES!A:A,CST!B1539)&gt;0,"ISENÇÃO","SEM ISENÇÃO")</f>
        <v>SEM ISENÇÃO</v>
      </c>
      <c r="F1539" s="18" t="str">
        <f>IF(COUNTIF(REDUÇÕES!A:A,CST!B1539)&gt;0,"REDUÇÃO","NÃO REDUÇÃO")</f>
        <v>NÃO REDUÇÃO</v>
      </c>
      <c r="G1539" s="27">
        <f t="shared" si="28"/>
        <v>0</v>
      </c>
    </row>
    <row r="1540" spans="1:7" x14ac:dyDescent="0.25">
      <c r="A1540" s="121" t="s">
        <v>4710</v>
      </c>
      <c r="B1540" s="7" t="str">
        <f>"NCM"&amp;CSTABLE[[#This Row],[ncm]]</f>
        <v>NCM84689090</v>
      </c>
      <c r="C1540" s="3" t="str">
        <f>IFERROR(VLOOKUP(B1540,ST!C:D,2,0),"NÃOST")</f>
        <v>NÃOST</v>
      </c>
      <c r="E1540" s="3" t="str">
        <f>IF(COUNTIF(ISENÇÕES!A:A,CST!B1540)&gt;0,"ISENÇÃO","SEM ISENÇÃO")</f>
        <v>SEM ISENÇÃO</v>
      </c>
      <c r="F1540" s="18" t="str">
        <f>IF(COUNTIF(REDUÇÕES!A:A,CST!B1540)&gt;0,"REDUÇÃO","NÃO REDUÇÃO")</f>
        <v>NÃO REDUÇÃO</v>
      </c>
      <c r="G1540" s="27">
        <f t="shared" si="28"/>
        <v>0</v>
      </c>
    </row>
    <row r="1541" spans="1:7" x14ac:dyDescent="0.25">
      <c r="A1541" s="121" t="s">
        <v>4711</v>
      </c>
      <c r="B1541" s="7" t="str">
        <f>"NCM"&amp;CSTABLE[[#This Row],[ncm]]</f>
        <v>NCM85131090</v>
      </c>
      <c r="C1541" s="3" t="str">
        <f>IFERROR(VLOOKUP(B1541,ST!C:D,2,0),"NÃOST")</f>
        <v>NÃOST</v>
      </c>
      <c r="E1541" s="3" t="str">
        <f>IF(COUNTIF(ISENÇÕES!A:A,CST!B1541)&gt;0,"ISENÇÃO","SEM ISENÇÃO")</f>
        <v>SEM ISENÇÃO</v>
      </c>
      <c r="F1541" s="18" t="str">
        <f>IF(COUNTIF(REDUÇÕES!A:A,CST!B1541)&gt;0,"REDUÇÃO","NÃO REDUÇÃO")</f>
        <v>NÃO REDUÇÃO</v>
      </c>
      <c r="G1541" s="27">
        <f t="shared" si="28"/>
        <v>0</v>
      </c>
    </row>
    <row r="1542" spans="1:7" x14ac:dyDescent="0.25">
      <c r="A1542" s="121" t="s">
        <v>4712</v>
      </c>
      <c r="B1542" s="7" t="str">
        <f>"NCM"&amp;CSTABLE[[#This Row],[ncm]]</f>
        <v>NCM24031000</v>
      </c>
      <c r="C1542" s="3" t="str">
        <f>IFERROR(VLOOKUP(B1542,ST!C:D,2,0),"NÃOST")</f>
        <v>ST</v>
      </c>
      <c r="E1542" s="3" t="str">
        <f>IF(COUNTIF(ISENÇÕES!A:A,CST!B1542)&gt;0,"ISENÇÃO","SEM ISENÇÃO")</f>
        <v>SEM ISENÇÃO</v>
      </c>
      <c r="F1542" s="18" t="str">
        <f>IF(COUNTIF(REDUÇÕES!A:A,CST!B1542)&gt;0,"REDUÇÃO","NÃO REDUÇÃO")</f>
        <v>NÃO REDUÇÃO</v>
      </c>
      <c r="G1542" s="27">
        <f t="shared" si="28"/>
        <v>60</v>
      </c>
    </row>
    <row r="1543" spans="1:7" x14ac:dyDescent="0.25">
      <c r="A1543" s="121" t="s">
        <v>4713</v>
      </c>
      <c r="B1543" s="7" t="str">
        <f>"NCM"&amp;CSTABLE[[#This Row],[ncm]]</f>
        <v>NCM22072011</v>
      </c>
      <c r="C1543" s="3" t="str">
        <f>IFERROR(VLOOKUP(B1543,ST!C:D,2,0),"NÃOST")</f>
        <v>NÃOST</v>
      </c>
      <c r="E1543" s="3" t="str">
        <f>IF(COUNTIF(ISENÇÕES!A:A,CST!B1543)&gt;0,"ISENÇÃO","SEM ISENÇÃO")</f>
        <v>SEM ISENÇÃO</v>
      </c>
      <c r="F1543" s="18" t="str">
        <f>IF(COUNTIF(REDUÇÕES!A:A,CST!B1543)&gt;0,"REDUÇÃO","NÃO REDUÇÃO")</f>
        <v>NÃO REDUÇÃO</v>
      </c>
      <c r="G1543" s="27">
        <f t="shared" si="28"/>
        <v>0</v>
      </c>
    </row>
    <row r="1544" spans="1:7" x14ac:dyDescent="0.25">
      <c r="A1544" s="121" t="s">
        <v>4714</v>
      </c>
      <c r="B1544" s="7" t="str">
        <f>"NCM"&amp;CSTABLE[[#This Row],[ncm]]</f>
        <v>NCM30049059</v>
      </c>
      <c r="C1544" s="3" t="str">
        <f>IFERROR(VLOOKUP(B1544,ST!C:D,2,0),"NÃOST")</f>
        <v>NÃOST</v>
      </c>
      <c r="E1544" s="3" t="str">
        <f>IF(COUNTIF(ISENÇÕES!A:A,CST!B1544)&gt;0,"ISENÇÃO","SEM ISENÇÃO")</f>
        <v>SEM ISENÇÃO</v>
      </c>
      <c r="F1544" s="18" t="str">
        <f>IF(COUNTIF(REDUÇÕES!A:A,CST!B1544)&gt;0,"REDUÇÃO","NÃO REDUÇÃO")</f>
        <v>NÃO REDUÇÃO</v>
      </c>
      <c r="G1544" s="27">
        <f t="shared" si="28"/>
        <v>0</v>
      </c>
    </row>
    <row r="1545" spans="1:7" x14ac:dyDescent="0.25">
      <c r="A1545" s="121" t="s">
        <v>4635</v>
      </c>
      <c r="B1545" s="7" t="str">
        <f>"NCM"&amp;CSTABLE[[#This Row],[ncm]]</f>
        <v>NCM02109900</v>
      </c>
      <c r="C1545" s="3" t="str">
        <f>IFERROR(VLOOKUP(B1545,ST!C:D,2,0),"NÃOST")</f>
        <v>NÃOST</v>
      </c>
      <c r="E1545" s="3" t="str">
        <f>IF(COUNTIF(ISENÇÕES!A:A,CST!B1545)&gt;0,"ISENÇÃO","SEM ISENÇÃO")</f>
        <v>SEM ISENÇÃO</v>
      </c>
      <c r="F1545" s="18" t="str">
        <f>IF(COUNTIF(REDUÇÕES!A:A,CST!B1545)&gt;0,"REDUÇÃO","NÃO REDUÇÃO")</f>
        <v>NÃO REDUÇÃO</v>
      </c>
      <c r="G1545" s="27">
        <f t="shared" si="28"/>
        <v>0</v>
      </c>
    </row>
    <row r="1546" spans="1:7" x14ac:dyDescent="0.25">
      <c r="A1546" s="121" t="s">
        <v>4715</v>
      </c>
      <c r="B1546" s="7" t="str">
        <f>"NCM"&amp;CSTABLE[[#This Row],[ncm]]</f>
        <v>NCM02068000</v>
      </c>
      <c r="C1546" s="49" t="str">
        <f>IFERROR(VLOOKUP(B1546,ST!C:D,2,0),"NÃOST")</f>
        <v>NÃOST</v>
      </c>
      <c r="E1546" s="49" t="str">
        <f>IF(COUNTIF(ISENÇÕES!A:A,CST!B1546)&gt;0,"ISENÇÃO","SEM ISENÇÃO")</f>
        <v>SEM ISENÇÃO</v>
      </c>
      <c r="F1546" s="50" t="str">
        <f>IF(COUNTIF(REDUÇÕES!A:A,CST!B1546)&gt;0,"REDUÇÃO","NÃO REDUÇÃO")</f>
        <v>NÃO REDUÇÃO</v>
      </c>
      <c r="G1546" s="51">
        <f t="shared" si="28"/>
        <v>0</v>
      </c>
    </row>
    <row r="1547" spans="1:7" x14ac:dyDescent="0.25">
      <c r="A1547" s="122" t="s">
        <v>4716</v>
      </c>
      <c r="B1547" s="7" t="str">
        <f>"NCM"&amp;CSTABLE[[#This Row],[ncm]]</f>
        <v>NCM02063000</v>
      </c>
      <c r="C1547" s="3" t="str">
        <f>IFERROR(VLOOKUP(B1547,ST!C:D,2,0),"NÃOST")</f>
        <v>NÃOST</v>
      </c>
      <c r="E1547" s="3" t="str">
        <f>IF(COUNTIF(ISENÇÕES!A:A,CST!B1547)&gt;0,"ISENÇÃO","SEM ISENÇÃO")</f>
        <v>SEM ISENÇÃO</v>
      </c>
      <c r="F1547" s="18" t="str">
        <f>IF(COUNTIF(REDUÇÕES!A:A,CST!B1547)&gt;0,"REDUÇÃO","NÃO REDUÇÃO")</f>
        <v>NÃO REDUÇÃO</v>
      </c>
      <c r="G1547" s="27">
        <f>VLOOKUP(C1547&amp;F1547&amp;E1547,$B$3:$F$10,5,0)</f>
        <v>0</v>
      </c>
    </row>
    <row r="1548" spans="1:7" x14ac:dyDescent="0.25">
      <c r="A1548" s="122" t="s">
        <v>4717</v>
      </c>
      <c r="B1548" s="7" t="str">
        <f>"NCM"&amp;CSTABLE[[#This Row],[ncm]]</f>
        <v>NCM03045500</v>
      </c>
      <c r="C1548" s="3" t="str">
        <f>IFERROR(VLOOKUP(B1548,ST!C:D,2,0),"NÃOST")</f>
        <v>NÃOST</v>
      </c>
      <c r="E1548" s="3" t="str">
        <f>IF(COUNTIF(ISENÇÕES!A:A,CST!B1548)&gt;0,"ISENÇÃO","SEM ISENÇÃO")</f>
        <v>SEM ISENÇÃO</v>
      </c>
      <c r="F1548" s="18" t="str">
        <f>IF(COUNTIF(REDUÇÕES!A:A,CST!B1548)&gt;0,"REDUÇÃO","NÃO REDUÇÃO")</f>
        <v>NÃO REDUÇÃO</v>
      </c>
      <c r="G1548" s="27">
        <f>VLOOKUP(C1548&amp;F1548&amp;E1548,$B$3:$F$10,5,0)</f>
        <v>0</v>
      </c>
    </row>
    <row r="1549" spans="1:7" x14ac:dyDescent="0.25">
      <c r="A1549" s="122" t="s">
        <v>4718</v>
      </c>
      <c r="B1549" s="7" t="str">
        <f>"NCM"&amp;CSTABLE[[#This Row],[ncm]]</f>
        <v>NCM03048100</v>
      </c>
      <c r="C1549" s="49" t="str">
        <f>IFERROR(VLOOKUP(B1549,ST!C:D,2,0),"NÃOST")</f>
        <v>NÃOST</v>
      </c>
      <c r="E1549" s="49" t="str">
        <f>IF(COUNTIF(ISENÇÕES!A:A,CST!B1549)&gt;0,"ISENÇÃO","SEM ISENÇÃO")</f>
        <v>SEM ISENÇÃO</v>
      </c>
      <c r="F1549" s="50" t="str">
        <f>IF(COUNTIF(REDUÇÕES!A:A,CST!B1549)&gt;0,"REDUÇÃO","NÃO REDUÇÃO")</f>
        <v>NÃO REDUÇÃO</v>
      </c>
      <c r="G1549" s="51">
        <f>VLOOKUP(C1549&amp;F1549&amp;E1549,$B$3:$F$10,5,0)</f>
        <v>0</v>
      </c>
    </row>
    <row r="1550" spans="1:7" x14ac:dyDescent="0.25">
      <c r="A1550" s="120" t="str">
        <f>RIGHT(CSTABLE[[#This Row],[NomeNCM]],8)</f>
        <v>73102990</v>
      </c>
      <c r="B1550" s="123" t="s">
        <v>4731</v>
      </c>
      <c r="C1550" s="3" t="str">
        <f>IFERROR(VLOOKUP(B1550,ST!C:D,2,0),"NÃOST")</f>
        <v>NÃOST</v>
      </c>
      <c r="E1550" s="3" t="str">
        <f>IF(COUNTIF(ISENÇÕES!A:A,CST!B1550)&gt;0,"ISENÇÃO","SEM ISENÇÃO")</f>
        <v>SEM ISENÇÃO</v>
      </c>
      <c r="F1550" s="18" t="str">
        <f>IF(COUNTIF(REDUÇÕES!A:A,CST!B1550)&gt;0,"REDUÇÃO","NÃO REDUÇÃO")</f>
        <v>NÃO REDUÇÃO</v>
      </c>
      <c r="G1550" s="27">
        <f t="shared" ref="G1550:G1570" si="29">VLOOKUP(C1550&amp;F1550&amp;E1550,$B$3:$F$10,5,0)</f>
        <v>0</v>
      </c>
    </row>
    <row r="1551" spans="1:7" x14ac:dyDescent="0.25">
      <c r="A1551" s="120" t="str">
        <f>RIGHT(CSTABLE[[#This Row],[NomeNCM]],8)</f>
        <v>21021010</v>
      </c>
      <c r="B1551" s="123" t="s">
        <v>4732</v>
      </c>
      <c r="C1551" s="3" t="str">
        <f>IFERROR(VLOOKUP(B1551,ST!C:D,2,0),"NÃOST")</f>
        <v>NÃOST</v>
      </c>
      <c r="E1551" s="3" t="str">
        <f>IF(COUNTIF(ISENÇÕES!A:A,CST!B1551)&gt;0,"ISENÇÃO","SEM ISENÇÃO")</f>
        <v>SEM ISENÇÃO</v>
      </c>
      <c r="F1551" s="18" t="str">
        <f>IF(COUNTIF(REDUÇÕES!A:A,CST!B1551)&gt;0,"REDUÇÃO","NÃO REDUÇÃO")</f>
        <v>NÃO REDUÇÃO</v>
      </c>
      <c r="G1551" s="27">
        <f t="shared" si="29"/>
        <v>0</v>
      </c>
    </row>
    <row r="1552" spans="1:7" x14ac:dyDescent="0.25">
      <c r="A1552" s="120" t="str">
        <f>RIGHT(CSTABLE[[#This Row],[NomeNCM]],8)</f>
        <v>04059090</v>
      </c>
      <c r="B1552" s="123" t="s">
        <v>4747</v>
      </c>
      <c r="C1552" s="3" t="str">
        <f>IFERROR(VLOOKUP(B1552,ST!C:D,2,0),"NÃOST")</f>
        <v>NÃOST</v>
      </c>
      <c r="E1552" s="3" t="str">
        <f>IF(COUNTIF(ISENÇÕES!A:A,CST!B1552)&gt;0,"ISENÇÃO","SEM ISENÇÃO")</f>
        <v>SEM ISENÇÃO</v>
      </c>
      <c r="F1552" s="18" t="str">
        <f>IF(COUNTIF(REDUÇÕES!A:A,CST!B1552)&gt;0,"REDUÇÃO","NÃO REDUÇÃO")</f>
        <v>NÃO REDUÇÃO</v>
      </c>
      <c r="G1552" s="27">
        <f t="shared" si="29"/>
        <v>0</v>
      </c>
    </row>
    <row r="1553" spans="1:7" x14ac:dyDescent="0.25">
      <c r="A1553" s="120" t="str">
        <f>RIGHT(CSTABLE[[#This Row],[NomeNCM]],8)</f>
        <v>20095000</v>
      </c>
      <c r="B1553" s="123" t="s">
        <v>4733</v>
      </c>
      <c r="C1553" s="3" t="str">
        <f>IFERROR(VLOOKUP(B1553,ST!C:D,2,0),"NÃOST")</f>
        <v>NÃOST</v>
      </c>
      <c r="E1553" s="3" t="str">
        <f>IF(COUNTIF(ISENÇÕES!A:A,CST!B1553)&gt;0,"ISENÇÃO","SEM ISENÇÃO")</f>
        <v>SEM ISENÇÃO</v>
      </c>
      <c r="F1553" s="18" t="str">
        <f>IF(COUNTIF(REDUÇÕES!A:A,CST!B1553)&gt;0,"REDUÇÃO","NÃO REDUÇÃO")</f>
        <v>NÃO REDUÇÃO</v>
      </c>
      <c r="G1553" s="27">
        <f t="shared" si="29"/>
        <v>0</v>
      </c>
    </row>
    <row r="1554" spans="1:7" x14ac:dyDescent="0.25">
      <c r="A1554" s="120" t="str">
        <f>RIGHT(CSTABLE[[#This Row],[NomeNCM]],8)</f>
        <v>85363090</v>
      </c>
      <c r="B1554" s="123" t="s">
        <v>2311</v>
      </c>
      <c r="C1554" s="3" t="str">
        <f>IFERROR(VLOOKUP(B1554,ST!C:D,2,0),"NÃOST")</f>
        <v>NÃOST</v>
      </c>
      <c r="E1554" s="3" t="str">
        <f>IF(COUNTIF(ISENÇÕES!A:A,CST!B1554)&gt;0,"ISENÇÃO","SEM ISENÇÃO")</f>
        <v>SEM ISENÇÃO</v>
      </c>
      <c r="F1554" s="18" t="str">
        <f>IF(COUNTIF(REDUÇÕES!A:A,CST!B1554)&gt;0,"REDUÇÃO","NÃO REDUÇÃO")</f>
        <v>REDUÇÃO</v>
      </c>
      <c r="G1554" s="27">
        <f t="shared" si="29"/>
        <v>20</v>
      </c>
    </row>
    <row r="1555" spans="1:7" x14ac:dyDescent="0.25">
      <c r="A1555" s="120" t="str">
        <f>RIGHT(CSTABLE[[#This Row],[NomeNCM]],8)</f>
        <v>82031090</v>
      </c>
      <c r="B1555" s="123" t="s">
        <v>4734</v>
      </c>
      <c r="C1555" s="3" t="str">
        <f>IFERROR(VLOOKUP(B1555,ST!C:D,2,0),"NÃOST")</f>
        <v>NÃOST</v>
      </c>
      <c r="E1555" s="3" t="str">
        <f>IF(COUNTIF(ISENÇÕES!A:A,CST!B1555)&gt;0,"ISENÇÃO","SEM ISENÇÃO")</f>
        <v>SEM ISENÇÃO</v>
      </c>
      <c r="F1555" s="18" t="str">
        <f>IF(COUNTIF(REDUÇÕES!A:A,CST!B1555)&gt;0,"REDUÇÃO","NÃO REDUÇÃO")</f>
        <v>NÃO REDUÇÃO</v>
      </c>
      <c r="G1555" s="27">
        <f t="shared" si="29"/>
        <v>0</v>
      </c>
    </row>
    <row r="1556" spans="1:7" x14ac:dyDescent="0.25">
      <c r="A1556" s="120" t="str">
        <f>RIGHT(CSTABLE[[#This Row],[NomeNCM]],8)</f>
        <v>16041100</v>
      </c>
      <c r="B1556" s="123" t="s">
        <v>4735</v>
      </c>
      <c r="C1556" s="3" t="str">
        <f>IFERROR(VLOOKUP(B1556,ST!C:D,2,0),"NÃOST")</f>
        <v>NÃOST</v>
      </c>
      <c r="E1556" s="3" t="str">
        <f>IF(COUNTIF(ISENÇÕES!A:A,CST!B1556)&gt;0,"ISENÇÃO","SEM ISENÇÃO")</f>
        <v>SEM ISENÇÃO</v>
      </c>
      <c r="F1556" s="18" t="str">
        <f>IF(COUNTIF(REDUÇÕES!A:A,CST!B1556)&gt;0,"REDUÇÃO","NÃO REDUÇÃO")</f>
        <v>NÃO REDUÇÃO</v>
      </c>
      <c r="G1556" s="27">
        <f t="shared" si="29"/>
        <v>0</v>
      </c>
    </row>
    <row r="1557" spans="1:7" x14ac:dyDescent="0.25">
      <c r="A1557" s="120" t="str">
        <f>RIGHT(CSTABLE[[#This Row],[NomeNCM]],8)</f>
        <v>02109911</v>
      </c>
      <c r="B1557" s="123" t="s">
        <v>4748</v>
      </c>
      <c r="C1557" s="3" t="str">
        <f>IFERROR(VLOOKUP(B1557,ST!C:D,2,0),"NÃOST")</f>
        <v>NÃOST</v>
      </c>
      <c r="E1557" s="3" t="str">
        <f>IF(COUNTIF(ISENÇÕES!A:A,CST!B1557)&gt;0,"ISENÇÃO","SEM ISENÇÃO")</f>
        <v>SEM ISENÇÃO</v>
      </c>
      <c r="F1557" s="18" t="str">
        <f>IF(COUNTIF(REDUÇÕES!A:A,CST!B1557)&gt;0,"REDUÇÃO","NÃO REDUÇÃO")</f>
        <v>NÃO REDUÇÃO</v>
      </c>
      <c r="G1557" s="27">
        <f t="shared" si="29"/>
        <v>0</v>
      </c>
    </row>
    <row r="1558" spans="1:7" x14ac:dyDescent="0.25">
      <c r="A1558" s="120" t="str">
        <f>RIGHT(CSTABLE[[#This Row],[NomeNCM]],8)</f>
        <v>08109012</v>
      </c>
      <c r="B1558" s="123" t="s">
        <v>4749</v>
      </c>
      <c r="C1558" s="3" t="str">
        <f>IFERROR(VLOOKUP(B1558,ST!C:D,2,0),"NÃOST")</f>
        <v>NÃOST</v>
      </c>
      <c r="E1558" s="3" t="str">
        <f>IF(COUNTIF(ISENÇÕES!A:A,CST!B1558)&gt;0,"ISENÇÃO","SEM ISENÇÃO")</f>
        <v>ISENÇÃO</v>
      </c>
      <c r="F1558" s="18" t="str">
        <f>IF(COUNTIF(REDUÇÕES!A:A,CST!B1558)&gt;0,"REDUÇÃO","NÃO REDUÇÃO")</f>
        <v>NÃO REDUÇÃO</v>
      </c>
      <c r="G1558" s="27">
        <f t="shared" si="29"/>
        <v>40</v>
      </c>
    </row>
    <row r="1559" spans="1:7" x14ac:dyDescent="0.25">
      <c r="A1559" s="120" t="str">
        <f>RIGHT(CSTABLE[[#This Row],[NomeNCM]],8)</f>
        <v>15122910</v>
      </c>
      <c r="B1559" s="123" t="s">
        <v>4736</v>
      </c>
      <c r="C1559" s="3" t="str">
        <f>IFERROR(VLOOKUP(B1559,ST!C:D,2,0),"NÃOST")</f>
        <v>NÃOST</v>
      </c>
      <c r="E1559" s="3" t="str">
        <f>IF(COUNTIF(ISENÇÕES!A:A,CST!B1559)&gt;0,"ISENÇÃO","SEM ISENÇÃO")</f>
        <v>SEM ISENÇÃO</v>
      </c>
      <c r="F1559" s="18" t="str">
        <f>IF(COUNTIF(REDUÇÕES!A:A,CST!B1559)&gt;0,"REDUÇÃO","NÃO REDUÇÃO")</f>
        <v>REDUÇÃO</v>
      </c>
      <c r="G1559" s="27">
        <f t="shared" si="29"/>
        <v>20</v>
      </c>
    </row>
    <row r="1560" spans="1:7" x14ac:dyDescent="0.25">
      <c r="A1560" s="120" t="str">
        <f>RIGHT(CSTABLE[[#This Row],[NomeNCM]],8)</f>
        <v>35030012</v>
      </c>
      <c r="B1560" s="123" t="s">
        <v>4737</v>
      </c>
      <c r="C1560" s="3" t="str">
        <f>IFERROR(VLOOKUP(B1560,ST!C:D,2,0),"NÃOST")</f>
        <v>NÃOST</v>
      </c>
      <c r="E1560" s="3" t="str">
        <f>IF(COUNTIF(ISENÇÕES!A:A,CST!B1560)&gt;0,"ISENÇÃO","SEM ISENÇÃO")</f>
        <v>SEM ISENÇÃO</v>
      </c>
      <c r="F1560" s="18" t="str">
        <f>IF(COUNTIF(REDUÇÕES!A:A,CST!B1560)&gt;0,"REDUÇÃO","NÃO REDUÇÃO")</f>
        <v>NÃO REDUÇÃO</v>
      </c>
      <c r="G1560" s="27">
        <f t="shared" si="29"/>
        <v>0</v>
      </c>
    </row>
    <row r="1561" spans="1:7" x14ac:dyDescent="0.25">
      <c r="A1561" s="120" t="str">
        <f>RIGHT(CSTABLE[[#This Row],[NomeNCM]],8)</f>
        <v>42032900</v>
      </c>
      <c r="B1561" s="123" t="s">
        <v>4738</v>
      </c>
      <c r="C1561" s="3" t="str">
        <f>IFERROR(VLOOKUP(B1561,ST!C:D,2,0),"NÃOST")</f>
        <v>NÃOST</v>
      </c>
      <c r="E1561" s="3" t="str">
        <f>IF(COUNTIF(ISENÇÕES!A:A,CST!B1561)&gt;0,"ISENÇÃO","SEM ISENÇÃO")</f>
        <v>SEM ISENÇÃO</v>
      </c>
      <c r="F1561" s="18" t="str">
        <f>IF(COUNTIF(REDUÇÕES!A:A,CST!B1561)&gt;0,"REDUÇÃO","NÃO REDUÇÃO")</f>
        <v>NÃO REDUÇÃO</v>
      </c>
      <c r="G1561" s="27">
        <f t="shared" si="29"/>
        <v>0</v>
      </c>
    </row>
    <row r="1562" spans="1:7" x14ac:dyDescent="0.25">
      <c r="A1562" s="120" t="str">
        <f>RIGHT(CSTABLE[[#This Row],[NomeNCM]],8)</f>
        <v>11052000</v>
      </c>
      <c r="B1562" s="123" t="s">
        <v>4739</v>
      </c>
      <c r="C1562" s="3" t="str">
        <f>IFERROR(VLOOKUP(B1562,ST!C:D,2,0),"NÃOST")</f>
        <v>NÃOST</v>
      </c>
      <c r="E1562" s="3" t="str">
        <f>IF(COUNTIF(ISENÇÕES!A:A,CST!B1562)&gt;0,"ISENÇÃO","SEM ISENÇÃO")</f>
        <v>SEM ISENÇÃO</v>
      </c>
      <c r="F1562" s="18" t="str">
        <f>IF(COUNTIF(REDUÇÕES!A:A,CST!B1562)&gt;0,"REDUÇÃO","NÃO REDUÇÃO")</f>
        <v>NÃO REDUÇÃO</v>
      </c>
      <c r="G1562" s="27">
        <f t="shared" si="29"/>
        <v>0</v>
      </c>
    </row>
    <row r="1563" spans="1:7" x14ac:dyDescent="0.25">
      <c r="A1563" s="120" t="str">
        <f>RIGHT(CSTABLE[[#This Row],[NomeNCM]],8)</f>
        <v>56072900</v>
      </c>
      <c r="B1563" s="123" t="s">
        <v>4740</v>
      </c>
      <c r="C1563" s="3" t="str">
        <f>IFERROR(VLOOKUP(B1563,ST!C:D,2,0),"NÃOST")</f>
        <v>NÃOST</v>
      </c>
      <c r="E1563" s="3" t="str">
        <f>IF(COUNTIF(ISENÇÕES!A:A,CST!B1563)&gt;0,"ISENÇÃO","SEM ISENÇÃO")</f>
        <v>SEM ISENÇÃO</v>
      </c>
      <c r="F1563" s="18" t="str">
        <f>IF(COUNTIF(REDUÇÕES!A:A,CST!B1563)&gt;0,"REDUÇÃO","NÃO REDUÇÃO")</f>
        <v>NÃO REDUÇÃO</v>
      </c>
      <c r="G1563" s="27">
        <f t="shared" si="29"/>
        <v>0</v>
      </c>
    </row>
    <row r="1564" spans="1:7" x14ac:dyDescent="0.25">
      <c r="A1564" s="120" t="str">
        <f>RIGHT(CSTABLE[[#This Row],[NomeNCM]],8)</f>
        <v>45039000</v>
      </c>
      <c r="B1564" s="123" t="s">
        <v>4741</v>
      </c>
      <c r="C1564" s="3" t="str">
        <f>IFERROR(VLOOKUP(B1564,ST!C:D,2,0),"NÃOST")</f>
        <v>NÃOST</v>
      </c>
      <c r="E1564" s="3" t="str">
        <f>IF(COUNTIF(ISENÇÕES!A:A,CST!B1564)&gt;0,"ISENÇÃO","SEM ISENÇÃO")</f>
        <v>SEM ISENÇÃO</v>
      </c>
      <c r="F1564" s="18" t="str">
        <f>IF(COUNTIF(REDUÇÕES!A:A,CST!B1564)&gt;0,"REDUÇÃO","NÃO REDUÇÃO")</f>
        <v>NÃO REDUÇÃO</v>
      </c>
      <c r="G1564" s="27">
        <f t="shared" si="29"/>
        <v>0</v>
      </c>
    </row>
    <row r="1565" spans="1:7" x14ac:dyDescent="0.25">
      <c r="A1565" s="120" t="str">
        <f>RIGHT(CSTABLE[[#This Row],[NomeNCM]],8)</f>
        <v>29339920</v>
      </c>
      <c r="B1565" s="123" t="s">
        <v>4742</v>
      </c>
      <c r="C1565" s="3" t="str">
        <f>IFERROR(VLOOKUP(B1565,ST!C:D,2,0),"NÃOST")</f>
        <v>NÃOST</v>
      </c>
      <c r="E1565" s="3" t="str">
        <f>IF(COUNTIF(ISENÇÕES!A:A,CST!B1565)&gt;0,"ISENÇÃO","SEM ISENÇÃO")</f>
        <v>SEM ISENÇÃO</v>
      </c>
      <c r="F1565" s="18" t="str">
        <f>IF(COUNTIF(REDUÇÕES!A:A,CST!B1565)&gt;0,"REDUÇÃO","NÃO REDUÇÃO")</f>
        <v>NÃO REDUÇÃO</v>
      </c>
      <c r="G1565" s="27">
        <f t="shared" si="29"/>
        <v>0</v>
      </c>
    </row>
    <row r="1566" spans="1:7" x14ac:dyDescent="0.25">
      <c r="A1566" s="120" t="str">
        <f>RIGHT(CSTABLE[[#This Row],[NomeNCM]],8)</f>
        <v>90192020</v>
      </c>
      <c r="B1566" s="123" t="s">
        <v>4743</v>
      </c>
      <c r="C1566" s="3" t="str">
        <f>IFERROR(VLOOKUP(B1566,ST!C:D,2,0),"NÃOST")</f>
        <v>NÃOST</v>
      </c>
      <c r="E1566" s="3" t="str">
        <f>IF(COUNTIF(ISENÇÕES!A:A,CST!B1566)&gt;0,"ISENÇÃO","SEM ISENÇÃO")</f>
        <v>SEM ISENÇÃO</v>
      </c>
      <c r="F1566" s="18" t="str">
        <f>IF(COUNTIF(REDUÇÕES!A:A,CST!B1566)&gt;0,"REDUÇÃO","NÃO REDUÇÃO")</f>
        <v>NÃO REDUÇÃO</v>
      </c>
      <c r="G1566" s="27">
        <f t="shared" si="29"/>
        <v>0</v>
      </c>
    </row>
    <row r="1567" spans="1:7" x14ac:dyDescent="0.25">
      <c r="A1567" s="120" t="str">
        <f>RIGHT(CSTABLE[[#This Row],[NomeNCM]],8)</f>
        <v>85061032</v>
      </c>
      <c r="B1567" s="123" t="s">
        <v>4744</v>
      </c>
      <c r="C1567" s="3" t="str">
        <f>IFERROR(VLOOKUP(B1567,ST!C:D,2,0),"NÃOST")</f>
        <v>NÃOST</v>
      </c>
      <c r="E1567" s="3" t="str">
        <f>IF(COUNTIF(ISENÇÕES!A:A,CST!B1567)&gt;0,"ISENÇÃO","SEM ISENÇÃO")</f>
        <v>SEM ISENÇÃO</v>
      </c>
      <c r="F1567" s="18" t="str">
        <f>IF(COUNTIF(REDUÇÕES!A:A,CST!B1567)&gt;0,"REDUÇÃO","NÃO REDUÇÃO")</f>
        <v>NÃO REDUÇÃO</v>
      </c>
      <c r="G1567" s="27">
        <f t="shared" si="29"/>
        <v>0</v>
      </c>
    </row>
    <row r="1568" spans="1:7" x14ac:dyDescent="0.25">
      <c r="A1568" s="120" t="str">
        <f>RIGHT(CSTABLE[[#This Row],[NomeNCM]],8)</f>
        <v>84807900</v>
      </c>
      <c r="B1568" s="123" t="s">
        <v>2158</v>
      </c>
      <c r="C1568" s="3" t="str">
        <f>IFERROR(VLOOKUP(B1568,ST!C:D,2,0),"NÃOST")</f>
        <v>NÃOST</v>
      </c>
      <c r="E1568" s="3" t="str">
        <f>IF(COUNTIF(ISENÇÕES!A:A,CST!B1568)&gt;0,"ISENÇÃO","SEM ISENÇÃO")</f>
        <v>SEM ISENÇÃO</v>
      </c>
      <c r="F1568" s="18" t="str">
        <f>IF(COUNTIF(REDUÇÕES!A:A,CST!B1568)&gt;0,"REDUÇÃO","NÃO REDUÇÃO")</f>
        <v>NÃO REDUÇÃO</v>
      </c>
      <c r="G1568" s="27">
        <f t="shared" si="29"/>
        <v>0</v>
      </c>
    </row>
    <row r="1569" spans="1:7" x14ac:dyDescent="0.25">
      <c r="A1569" s="120" t="str">
        <f>RIGHT(CSTABLE[[#This Row],[NomeNCM]],8)</f>
        <v>29336919</v>
      </c>
      <c r="B1569" s="123" t="s">
        <v>4745</v>
      </c>
      <c r="C1569" s="3" t="str">
        <f>IFERROR(VLOOKUP(B1569,ST!C:D,2,0),"NÃOST")</f>
        <v>NÃOST</v>
      </c>
      <c r="E1569" s="3" t="str">
        <f>IF(COUNTIF(ISENÇÕES!A:A,CST!B1569)&gt;0,"ISENÇÃO","SEM ISENÇÃO")</f>
        <v>SEM ISENÇÃO</v>
      </c>
      <c r="F1569" s="18" t="str">
        <f>IF(COUNTIF(REDUÇÕES!A:A,CST!B1569)&gt;0,"REDUÇÃO","NÃO REDUÇÃO")</f>
        <v>NÃO REDUÇÃO</v>
      </c>
      <c r="G1569" s="27">
        <f t="shared" si="29"/>
        <v>0</v>
      </c>
    </row>
    <row r="1570" spans="1:7" x14ac:dyDescent="0.25">
      <c r="A1570" s="120" t="str">
        <f>RIGHT(CSTABLE[[#This Row],[NomeNCM]],8)</f>
        <v>11081300</v>
      </c>
      <c r="B1570" s="123" t="s">
        <v>4746</v>
      </c>
      <c r="C1570" s="49" t="str">
        <f>IFERROR(VLOOKUP(B1570,ST!C:D,2,0),"NÃOST")</f>
        <v>NÃOST</v>
      </c>
      <c r="E1570" s="49" t="str">
        <f>IF(COUNTIF(ISENÇÕES!A:A,CST!B1570)&gt;0,"ISENÇÃO","SEM ISENÇÃO")</f>
        <v>SEM ISENÇÃO</v>
      </c>
      <c r="F1570" s="50" t="str">
        <f>IF(COUNTIF(REDUÇÕES!A:A,CST!B1570)&gt;0,"REDUÇÃO","NÃO REDUÇÃO")</f>
        <v>NÃO REDUÇÃO</v>
      </c>
      <c r="G1570" s="51">
        <f t="shared" si="29"/>
        <v>0</v>
      </c>
    </row>
    <row r="1571" spans="1:7" x14ac:dyDescent="0.25">
      <c r="A1571" s="120" t="str">
        <f>RIGHT(CSTABLE[[#This Row],[NomeNCM]],8)</f>
        <v>24031100</v>
      </c>
      <c r="B1571" s="123" t="s">
        <v>4751</v>
      </c>
      <c r="C1571" s="3" t="str">
        <f>IFERROR(VLOOKUP(B1571,ST!C:D,2,0),"NÃOST")</f>
        <v>ST</v>
      </c>
      <c r="E1571" s="3" t="str">
        <f>IF(COUNTIF(ISENÇÕES!A:A,CST!B1571)&gt;0,"ISENÇÃO","SEM ISENÇÃO")</f>
        <v>SEM ISENÇÃO</v>
      </c>
      <c r="F1571" s="18" t="str">
        <f>IF(COUNTIF(REDUÇÕES!A:A,CST!B1571)&gt;0,"REDUÇÃO","NÃO REDUÇÃO")</f>
        <v>NÃO REDUÇÃO</v>
      </c>
      <c r="G1571" s="27">
        <f t="shared" ref="G1571:G1587" si="30">VLOOKUP(C1571&amp;F1571&amp;E1571,$B$3:$F$10,5,0)</f>
        <v>60</v>
      </c>
    </row>
    <row r="1572" spans="1:7" x14ac:dyDescent="0.25">
      <c r="A1572" s="120" t="str">
        <f>RIGHT(CSTABLE[[#This Row],[NomeNCM]],8)</f>
        <v>24021000</v>
      </c>
      <c r="B1572" s="123" t="s">
        <v>4750</v>
      </c>
      <c r="C1572" s="3" t="str">
        <f>IFERROR(VLOOKUP(B1572,ST!C:D,2,0),"NÃOST")</f>
        <v>ST</v>
      </c>
      <c r="E1572" s="3" t="str">
        <f>IF(COUNTIF(ISENÇÕES!A:A,CST!B1572)&gt;0,"ISENÇÃO","SEM ISENÇÃO")</f>
        <v>SEM ISENÇÃO</v>
      </c>
      <c r="F1572" s="18" t="str">
        <f>IF(COUNTIF(REDUÇÕES!A:A,CST!B1572)&gt;0,"REDUÇÃO","NÃO REDUÇÃO")</f>
        <v>NÃO REDUÇÃO</v>
      </c>
      <c r="G1572" s="27">
        <f t="shared" si="30"/>
        <v>60</v>
      </c>
    </row>
    <row r="1573" spans="1:7" x14ac:dyDescent="0.25">
      <c r="A1573" s="120" t="str">
        <f>RIGHT(CSTABLE[[#This Row],[NomeNCM]],8)</f>
        <v>21039020</v>
      </c>
      <c r="B1573" s="123" t="s">
        <v>4753</v>
      </c>
      <c r="C1573" s="3" t="str">
        <f>IFERROR(VLOOKUP(B1573,ST!C:D,2,0),"NÃOST")</f>
        <v>NÃOST</v>
      </c>
      <c r="E1573" s="3" t="str">
        <f>IF(COUNTIF(ISENÇÕES!A:A,CST!B1573)&gt;0,"ISENÇÃO","SEM ISENÇÃO")</f>
        <v>SEM ISENÇÃO</v>
      </c>
      <c r="F1573" s="18" t="str">
        <f>IF(COUNTIF(REDUÇÕES!A:A,CST!B1573)&gt;0,"REDUÇÃO","NÃO REDUÇÃO")</f>
        <v>NÃO REDUÇÃO</v>
      </c>
      <c r="G1573" s="27">
        <f t="shared" si="30"/>
        <v>0</v>
      </c>
    </row>
    <row r="1574" spans="1:7" x14ac:dyDescent="0.25">
      <c r="A1574" s="120" t="str">
        <f>RIGHT(CSTABLE[[#This Row],[NomeNCM]],8)</f>
        <v>99999999</v>
      </c>
      <c r="B1574" s="123" t="s">
        <v>4754</v>
      </c>
      <c r="C1574" s="3" t="str">
        <f>IFERROR(VLOOKUP(B1574,ST!C:D,2,0),"NÃOST")</f>
        <v>NÃOST</v>
      </c>
      <c r="E1574" s="3" t="str">
        <f>IF(COUNTIF(ISENÇÕES!A:A,CST!B1574)&gt;0,"ISENÇÃO","SEM ISENÇÃO")</f>
        <v>SEM ISENÇÃO</v>
      </c>
      <c r="F1574" s="18" t="str">
        <f>IF(COUNTIF(REDUÇÕES!A:A,CST!B1574)&gt;0,"REDUÇÃO","NÃO REDUÇÃO")</f>
        <v>NÃO REDUÇÃO</v>
      </c>
      <c r="G1574" s="27">
        <f t="shared" si="30"/>
        <v>0</v>
      </c>
    </row>
    <row r="1575" spans="1:7" x14ac:dyDescent="0.25">
      <c r="A1575" s="120" t="str">
        <f>RIGHT(CSTABLE[[#This Row],[NomeNCM]],8)</f>
        <v>21033029</v>
      </c>
      <c r="B1575" s="123" t="s">
        <v>4755</v>
      </c>
      <c r="C1575" s="3" t="str">
        <f>IFERROR(VLOOKUP(B1575,ST!C:D,2,0),"NÃOST")</f>
        <v>NÃOST</v>
      </c>
      <c r="E1575" s="3" t="str">
        <f>IF(COUNTIF(ISENÇÕES!A:A,CST!B1575)&gt;0,"ISENÇÃO","SEM ISENÇÃO")</f>
        <v>SEM ISENÇÃO</v>
      </c>
      <c r="F1575" s="18" t="str">
        <f>IF(COUNTIF(REDUÇÕES!A:A,CST!B1575)&gt;0,"REDUÇÃO","NÃO REDUÇÃO")</f>
        <v>NÃO REDUÇÃO</v>
      </c>
      <c r="G1575" s="27">
        <f t="shared" si="30"/>
        <v>0</v>
      </c>
    </row>
    <row r="1576" spans="1:7" x14ac:dyDescent="0.25">
      <c r="A1576" s="120" t="str">
        <f>RIGHT(CSTABLE[[#This Row],[NomeNCM]],8)</f>
        <v>70191290</v>
      </c>
      <c r="B1576" s="123" t="s">
        <v>4756</v>
      </c>
      <c r="C1576" s="3" t="str">
        <f>IFERROR(VLOOKUP(B1576,ST!C:D,2,0),"NÃOST")</f>
        <v>NÃOST</v>
      </c>
      <c r="E1576" s="3" t="str">
        <f>IF(COUNTIF(ISENÇÕES!A:A,CST!B1576)&gt;0,"ISENÇÃO","SEM ISENÇÃO")</f>
        <v>SEM ISENÇÃO</v>
      </c>
      <c r="F1576" s="18" t="str">
        <f>IF(COUNTIF(REDUÇÕES!A:A,CST!B1576)&gt;0,"REDUÇÃO","NÃO REDUÇÃO")</f>
        <v>NÃO REDUÇÃO</v>
      </c>
      <c r="G1576" s="27">
        <f t="shared" si="30"/>
        <v>0</v>
      </c>
    </row>
    <row r="1577" spans="1:7" x14ac:dyDescent="0.25">
      <c r="A1577" s="120" t="str">
        <f>RIGHT(CSTABLE[[#This Row],[NomeNCM]],8)</f>
        <v>33019030</v>
      </c>
      <c r="B1577" s="123" t="s">
        <v>4757</v>
      </c>
      <c r="C1577" s="3" t="str">
        <f>IFERROR(VLOOKUP(B1577,ST!C:D,2,0),"NÃOST")</f>
        <v>NÃOST</v>
      </c>
      <c r="E1577" s="3" t="str">
        <f>IF(COUNTIF(ISENÇÕES!A:A,CST!B1577)&gt;0,"ISENÇÃO","SEM ISENÇÃO")</f>
        <v>SEM ISENÇÃO</v>
      </c>
      <c r="F1577" s="18" t="str">
        <f>IF(COUNTIF(REDUÇÕES!A:A,CST!B1577)&gt;0,"REDUÇÃO","NÃO REDUÇÃO")</f>
        <v>NÃO REDUÇÃO</v>
      </c>
      <c r="G1577" s="27">
        <f t="shared" si="30"/>
        <v>0</v>
      </c>
    </row>
    <row r="1578" spans="1:7" x14ac:dyDescent="0.25">
      <c r="A1578" s="120" t="str">
        <f>RIGHT(CSTABLE[[#This Row],[NomeNCM]],8)</f>
        <v>27121000</v>
      </c>
      <c r="B1578" s="123" t="s">
        <v>4758</v>
      </c>
      <c r="C1578" s="3" t="str">
        <f>IFERROR(VLOOKUP(B1578,ST!C:D,2,0),"NÃOST")</f>
        <v>NÃOST</v>
      </c>
      <c r="E1578" s="3" t="str">
        <f>IF(COUNTIF(ISENÇÕES!A:A,CST!B1578)&gt;0,"ISENÇÃO","SEM ISENÇÃO")</f>
        <v>SEM ISENÇÃO</v>
      </c>
      <c r="F1578" s="18" t="str">
        <f>IF(COUNTIF(REDUÇÕES!A:A,CST!B1578)&gt;0,"REDUÇÃO","NÃO REDUÇÃO")</f>
        <v>NÃO REDUÇÃO</v>
      </c>
      <c r="G1578" s="27">
        <f t="shared" si="30"/>
        <v>0</v>
      </c>
    </row>
    <row r="1579" spans="1:7" x14ac:dyDescent="0.25">
      <c r="A1579" s="120" t="str">
        <f>RIGHT(CSTABLE[[#This Row],[NomeNCM]],8)</f>
        <v>19053010</v>
      </c>
      <c r="B1579" s="123" t="s">
        <v>4759</v>
      </c>
      <c r="C1579" s="3" t="str">
        <f>IFERROR(VLOOKUP(B1579,ST!C:D,2,0),"NÃOST")</f>
        <v>NÃOST</v>
      </c>
      <c r="E1579" s="3" t="str">
        <f>IF(COUNTIF(ISENÇÕES!A:A,CST!B1579)&gt;0,"ISENÇÃO","SEM ISENÇÃO")</f>
        <v>SEM ISENÇÃO</v>
      </c>
      <c r="F1579" s="18" t="str">
        <f>IF(COUNTIF(REDUÇÕES!A:A,CST!B1579)&gt;0,"REDUÇÃO","NÃO REDUÇÃO")</f>
        <v>NÃO REDUÇÃO</v>
      </c>
      <c r="G1579" s="27">
        <f t="shared" si="30"/>
        <v>0</v>
      </c>
    </row>
    <row r="1580" spans="1:7" x14ac:dyDescent="0.25">
      <c r="A1580" s="120" t="str">
        <f>RIGHT(CSTABLE[[#This Row],[NomeNCM]],8)</f>
        <v>56039490</v>
      </c>
      <c r="B1580" s="123" t="s">
        <v>4760</v>
      </c>
      <c r="C1580" s="3" t="str">
        <f>IFERROR(VLOOKUP(B1580,ST!C:D,2,0),"NÃOST")</f>
        <v>NÃOST</v>
      </c>
      <c r="E1580" s="3" t="str">
        <f>IF(COUNTIF(ISENÇÕES!A:A,CST!B1580)&gt;0,"ISENÇÃO","SEM ISENÇÃO")</f>
        <v>SEM ISENÇÃO</v>
      </c>
      <c r="F1580" s="18" t="str">
        <f>IF(COUNTIF(REDUÇÕES!A:A,CST!B1580)&gt;0,"REDUÇÃO","NÃO REDUÇÃO")</f>
        <v>NÃO REDUÇÃO</v>
      </c>
      <c r="G1580" s="27">
        <f t="shared" si="30"/>
        <v>0</v>
      </c>
    </row>
    <row r="1581" spans="1:7" x14ac:dyDescent="0.25">
      <c r="A1581" s="120" t="str">
        <f>RIGHT(CSTABLE[[#This Row],[NomeNCM]],8)</f>
        <v>48044200</v>
      </c>
      <c r="B1581" s="123" t="s">
        <v>4761</v>
      </c>
      <c r="C1581" s="3" t="str">
        <f>IFERROR(VLOOKUP(B1581,ST!C:D,2,0),"NÃOST")</f>
        <v>NÃOST</v>
      </c>
      <c r="E1581" s="3" t="str">
        <f>IF(COUNTIF(ISENÇÕES!A:A,CST!B1581)&gt;0,"ISENÇÃO","SEM ISENÇÃO")</f>
        <v>SEM ISENÇÃO</v>
      </c>
      <c r="F1581" s="18" t="str">
        <f>IF(COUNTIF(REDUÇÕES!A:A,CST!B1581)&gt;0,"REDUÇÃO","NÃO REDUÇÃO")</f>
        <v>NÃO REDUÇÃO</v>
      </c>
      <c r="G1581" s="27">
        <f t="shared" si="30"/>
        <v>0</v>
      </c>
    </row>
    <row r="1582" spans="1:7" x14ac:dyDescent="0.25">
      <c r="A1582" s="120" t="str">
        <f>RIGHT(CSTABLE[[#This Row],[NomeNCM]],8)</f>
        <v>20079924</v>
      </c>
      <c r="B1582" s="123" t="s">
        <v>4762</v>
      </c>
      <c r="C1582" s="3" t="str">
        <f>IFERROR(VLOOKUP(B1582,ST!C:D,2,0),"NÃOST")</f>
        <v>NÃOST</v>
      </c>
      <c r="E1582" s="3" t="str">
        <f>IF(COUNTIF(ISENÇÕES!A:A,CST!B1582)&gt;0,"ISENÇÃO","SEM ISENÇÃO")</f>
        <v>SEM ISENÇÃO</v>
      </c>
      <c r="F1582" s="18" t="str">
        <f>IF(COUNTIF(REDUÇÕES!A:A,CST!B1582)&gt;0,"REDUÇÃO","NÃO REDUÇÃO")</f>
        <v>NÃO REDUÇÃO</v>
      </c>
      <c r="G1582" s="27">
        <f t="shared" si="30"/>
        <v>0</v>
      </c>
    </row>
    <row r="1583" spans="1:7" x14ac:dyDescent="0.25">
      <c r="A1583" s="120" t="str">
        <f>RIGHT(CSTABLE[[#This Row],[NomeNCM]],8)</f>
        <v>20078990</v>
      </c>
      <c r="B1583" s="123" t="s">
        <v>4763</v>
      </c>
      <c r="C1583" s="3" t="str">
        <f>IFERROR(VLOOKUP(B1583,ST!C:D,2,0),"NÃOST")</f>
        <v>NÃOST</v>
      </c>
      <c r="E1583" s="3" t="str">
        <f>IF(COUNTIF(ISENÇÕES!A:A,CST!B1583)&gt;0,"ISENÇÃO","SEM ISENÇÃO")</f>
        <v>SEM ISENÇÃO</v>
      </c>
      <c r="F1583" s="18" t="str">
        <f>IF(COUNTIF(REDUÇÕES!A:A,CST!B1583)&gt;0,"REDUÇÃO","NÃO REDUÇÃO")</f>
        <v>NÃO REDUÇÃO</v>
      </c>
      <c r="G1583" s="27">
        <f t="shared" si="30"/>
        <v>0</v>
      </c>
    </row>
    <row r="1584" spans="1:7" x14ac:dyDescent="0.25">
      <c r="A1584" s="120" t="str">
        <f>RIGHT(CSTABLE[[#This Row],[NomeNCM]],8)</f>
        <v>56049021</v>
      </c>
      <c r="B1584" s="123" t="s">
        <v>4764</v>
      </c>
      <c r="C1584" s="3" t="str">
        <f>IFERROR(VLOOKUP(B1584,ST!C:D,2,0),"NÃOST")</f>
        <v>NÃOST</v>
      </c>
      <c r="E1584" s="3" t="str">
        <f>IF(COUNTIF(ISENÇÕES!A:A,CST!B1584)&gt;0,"ISENÇÃO","SEM ISENÇÃO")</f>
        <v>SEM ISENÇÃO</v>
      </c>
      <c r="F1584" s="18" t="str">
        <f>IF(COUNTIF(REDUÇÕES!A:A,CST!B1584)&gt;0,"REDUÇÃO","NÃO REDUÇÃO")</f>
        <v>NÃO REDUÇÃO</v>
      </c>
      <c r="G1584" s="27">
        <f t="shared" si="30"/>
        <v>0</v>
      </c>
    </row>
    <row r="1585" spans="1:7" x14ac:dyDescent="0.25">
      <c r="A1585" s="120" t="str">
        <f>RIGHT(CSTABLE[[#This Row],[NomeNCM]],8)</f>
        <v>49119900</v>
      </c>
      <c r="B1585" s="123" t="s">
        <v>4765</v>
      </c>
      <c r="C1585" s="3" t="str">
        <f>IFERROR(VLOOKUP(B1585,ST!C:D,2,0),"NÃOST")</f>
        <v>NÃOST</v>
      </c>
      <c r="E1585" s="3" t="str">
        <f>IF(COUNTIF(ISENÇÕES!A:A,CST!B1585)&gt;0,"ISENÇÃO","SEM ISENÇÃO")</f>
        <v>SEM ISENÇÃO</v>
      </c>
      <c r="F1585" s="18" t="str">
        <f>IF(COUNTIF(REDUÇÕES!A:A,CST!B1585)&gt;0,"REDUÇÃO","NÃO REDUÇÃO")</f>
        <v>NÃO REDUÇÃO</v>
      </c>
      <c r="G1585" s="27">
        <f t="shared" si="30"/>
        <v>0</v>
      </c>
    </row>
    <row r="1586" spans="1:7" x14ac:dyDescent="0.25">
      <c r="A1586" s="120" t="str">
        <f>RIGHT(CSTABLE[[#This Row],[NomeNCM]],8)</f>
        <v>84715090</v>
      </c>
      <c r="B1586" s="123" t="s">
        <v>4766</v>
      </c>
      <c r="C1586" s="3" t="str">
        <f>IFERROR(VLOOKUP(B1586,ST!C:D,2,0),"NÃOST")</f>
        <v>NÃOST</v>
      </c>
      <c r="E1586" s="3" t="str">
        <f>IF(COUNTIF(ISENÇÕES!A:A,CST!B1586)&gt;0,"ISENÇÃO","SEM ISENÇÃO")</f>
        <v>SEM ISENÇÃO</v>
      </c>
      <c r="F1586" s="18" t="str">
        <f>IF(COUNTIF(REDUÇÕES!A:A,CST!B1586)&gt;0,"REDUÇÃO","NÃO REDUÇÃO")</f>
        <v>NÃO REDUÇÃO</v>
      </c>
      <c r="G1586" s="27">
        <f t="shared" si="30"/>
        <v>0</v>
      </c>
    </row>
    <row r="1587" spans="1:7" x14ac:dyDescent="0.25">
      <c r="A1587" s="120" t="str">
        <f>RIGHT(CSTABLE[[#This Row],[NomeNCM]],8)</f>
        <v>01106000</v>
      </c>
      <c r="B1587" s="123" t="s">
        <v>4767</v>
      </c>
      <c r="C1587" s="49" t="str">
        <f>IFERROR(VLOOKUP(B1587,ST!C:D,2,0),"NÃOST")</f>
        <v>NÃOST</v>
      </c>
      <c r="E1587" s="49" t="str">
        <f>IF(COUNTIF(ISENÇÕES!A:A,CST!B1587)&gt;0,"ISENÇÃO","SEM ISENÇÃO")</f>
        <v>SEM ISENÇÃO</v>
      </c>
      <c r="F1587" s="50" t="str">
        <f>IF(COUNTIF(REDUÇÕES!A:A,CST!B1587)&gt;0,"REDUÇÃO","NÃO REDUÇÃO")</f>
        <v>NÃO REDUÇÃO</v>
      </c>
      <c r="G1587" s="51">
        <f t="shared" si="30"/>
        <v>0</v>
      </c>
    </row>
    <row r="1588" spans="1:7" x14ac:dyDescent="0.25">
      <c r="A1588" s="120" t="str">
        <f>RIGHT(CSTABLE[[#This Row],[NomeNCM]],8)</f>
        <v>85185000</v>
      </c>
      <c r="B1588" s="123" t="s">
        <v>4769</v>
      </c>
      <c r="C1588" s="49" t="str">
        <f>IFERROR(VLOOKUP(B1588,ST!C:D,2,0),"NÃOST")</f>
        <v>NÃOST</v>
      </c>
      <c r="E1588" s="49" t="str">
        <f>IF(COUNTIF(ISENÇÕES!A:A,CST!B1588)&gt;0,"ISENÇÃO","SEM ISENÇÃO")</f>
        <v>SEM ISENÇÃO</v>
      </c>
      <c r="F1588" s="50" t="str">
        <f>IF(COUNTIF(REDUÇÕES!A:A,CST!B1588)&gt;0,"REDUÇÃO","NÃO REDUÇÃO")</f>
        <v>NÃO REDUÇÃO</v>
      </c>
      <c r="G1588" s="51">
        <f>VLOOKUP(C1588&amp;F1588&amp;E1588,$B$3:$F$10,5,0)</f>
        <v>0</v>
      </c>
    </row>
    <row r="1589" spans="1:7" x14ac:dyDescent="0.25">
      <c r="A1589" s="120" t="str">
        <f>RIGHT(CSTABLE[[#This Row],[NomeNCM]],8)</f>
        <v>05069000</v>
      </c>
      <c r="B1589" s="123" t="s">
        <v>3314</v>
      </c>
      <c r="C1589" s="49" t="str">
        <f>IFERROR(VLOOKUP(B1589,ST!C:D,2,0),"NÃOST")</f>
        <v>NÃOST</v>
      </c>
      <c r="E1589" s="49" t="str">
        <f>IF(COUNTIF(ISENÇÕES!A:A,CST!B1589)&gt;0,"ISENÇÃO","SEM ISENÇÃO")</f>
        <v>SEM ISENÇÃO</v>
      </c>
      <c r="F1589" s="50" t="str">
        <f>IF(COUNTIF(REDUÇÕES!A:A,CST!B1589)&gt;0,"REDUÇÃO","NÃO REDUÇÃO")</f>
        <v>NÃO REDUÇÃO</v>
      </c>
      <c r="G1589" s="51">
        <f>VLOOKUP(C1589&amp;F1589&amp;E1589,$B$3:$F$10,5,0)</f>
        <v>0</v>
      </c>
    </row>
    <row r="1590" spans="1:7" x14ac:dyDescent="0.25">
      <c r="A1590" s="120" t="str">
        <f>RIGHT(CSTABLE[[#This Row],[NomeNCM]],8)</f>
        <v>34011199</v>
      </c>
      <c r="B1590" s="123" t="s">
        <v>4770</v>
      </c>
      <c r="C1590" s="49" t="str">
        <f>IFERROR(VLOOKUP(B1590,ST!C:D,2,0),"NÃOST")</f>
        <v>NÃOST</v>
      </c>
      <c r="E1590" s="49" t="str">
        <f>IF(COUNTIF(ISENÇÕES!A:A,CST!B1590)&gt;0,"ISENÇÃO","SEM ISENÇÃO")</f>
        <v>SEM ISENÇÃO</v>
      </c>
      <c r="F1590" s="50" t="str">
        <f>IF(COUNTIF(REDUÇÕES!A:A,CST!B1590)&gt;0,"REDUÇÃO","NÃO REDUÇÃO")</f>
        <v>NÃO REDUÇÃO</v>
      </c>
      <c r="G1590" s="51">
        <f>VLOOKUP(C1590&amp;F1590&amp;E1590,$B$3:$F$10,5,0)</f>
        <v>0</v>
      </c>
    </row>
    <row r="1591" spans="1:7" x14ac:dyDescent="0.25">
      <c r="A1591" s="120" t="str">
        <f>RIGHT(CSTABLE[[#This Row],[NomeNCM]],8)</f>
        <v>49021000</v>
      </c>
      <c r="B1591" s="123" t="s">
        <v>4771</v>
      </c>
      <c r="C1591" s="49" t="str">
        <f>IFERROR(VLOOKUP(B1591,ST!C:D,2,0),"NÃOST")</f>
        <v>NÃOST</v>
      </c>
      <c r="E1591" s="49" t="str">
        <f>IF(COUNTIF(ISENÇÕES!A:A,CST!B1591)&gt;0,"ISENÇÃO","SEM ISENÇÃO")</f>
        <v>ISENÇÃO</v>
      </c>
      <c r="F1591" s="50" t="str">
        <f>IF(COUNTIF(REDUÇÕES!A:A,CST!B1591)&gt;0,"REDUÇÃO","NÃO REDUÇÃO")</f>
        <v>NÃO REDUÇÃO</v>
      </c>
      <c r="G1591" s="51">
        <f>VLOOKUP(C1591&amp;F1591&amp;E1591,$B$3:$F$10,5,0)</f>
        <v>40</v>
      </c>
    </row>
    <row r="1592" spans="1:7" x14ac:dyDescent="0.25">
      <c r="A1592" s="120" t="str">
        <f>RIGHT(CSTABLE[[#This Row],[NomeNCM]],8)</f>
        <v>08045030</v>
      </c>
      <c r="B1592" s="123" t="s">
        <v>4774</v>
      </c>
      <c r="C1592" s="49" t="str">
        <f>IFERROR(VLOOKUP(B1592,ST!C:D,2,0),"NÃOST")</f>
        <v>NÃOST</v>
      </c>
      <c r="E1592" s="49" t="str">
        <f>IF(COUNTIF(ISENÇÕES!A:A,CST!B1592)&gt;0,"ISENÇÃO","SEM ISENÇÃO")</f>
        <v>ISENÇÃO</v>
      </c>
      <c r="F1592" s="50" t="str">
        <f>IF(COUNTIF(REDUÇÕES!A:A,CST!B1592)&gt;0,"REDUÇÃO","NÃO REDUÇÃO")</f>
        <v>NÃO REDUÇÃO</v>
      </c>
      <c r="G1592" s="51">
        <f>VLOOKUP(C1592&amp;F1592&amp;E1592,$B$3:$F$10,5,0)</f>
        <v>40</v>
      </c>
    </row>
    <row r="1593" spans="1:7" x14ac:dyDescent="0.25">
      <c r="A1593" s="120" t="str">
        <f>RIGHT(CSTABLE[[#This Row],[NomeNCM]],8)</f>
        <v>69131000</v>
      </c>
      <c r="B1593" s="123" t="s">
        <v>4777</v>
      </c>
      <c r="C1593" s="3" t="str">
        <f>IFERROR(VLOOKUP(B1593,ST!C:D,2,0),"NÃOST")</f>
        <v>NÃOST</v>
      </c>
      <c r="E1593" s="3" t="str">
        <f>IF(COUNTIF(ISENÇÕES!A:A,CST!B1593)&gt;0,"ISENÇÃO","SEM ISENÇÃO")</f>
        <v>SEM ISENÇÃO</v>
      </c>
      <c r="F1593" s="18" t="str">
        <f>IF(COUNTIF(REDUÇÕES!A:A,CST!B1593)&gt;0,"REDUÇÃO","NÃO REDUÇÃO")</f>
        <v>NÃO REDUÇÃO</v>
      </c>
      <c r="G1593" s="27">
        <f t="shared" ref="G1593:G1598" si="31">VLOOKUP(C1593&amp;F1593&amp;E1593,$B$3:$F$10,5,0)</f>
        <v>0</v>
      </c>
    </row>
    <row r="1594" spans="1:7" x14ac:dyDescent="0.25">
      <c r="A1594" s="120" t="str">
        <f>RIGHT(CSTABLE[[#This Row],[NomeNCM]],8)</f>
        <v>63062990</v>
      </c>
      <c r="B1594" s="123" t="s">
        <v>4778</v>
      </c>
      <c r="C1594" s="3" t="str">
        <f>IFERROR(VLOOKUP(B1594,ST!C:D,2,0),"NÃOST")</f>
        <v>NÃOST</v>
      </c>
      <c r="E1594" s="3" t="str">
        <f>IF(COUNTIF(ISENÇÕES!A:A,CST!B1594)&gt;0,"ISENÇÃO","SEM ISENÇÃO")</f>
        <v>SEM ISENÇÃO</v>
      </c>
      <c r="F1594" s="18" t="str">
        <f>IF(COUNTIF(REDUÇÕES!A:A,CST!B1594)&gt;0,"REDUÇÃO","NÃO REDUÇÃO")</f>
        <v>NÃO REDUÇÃO</v>
      </c>
      <c r="G1594" s="27">
        <f t="shared" si="31"/>
        <v>0</v>
      </c>
    </row>
    <row r="1595" spans="1:7" x14ac:dyDescent="0.25">
      <c r="A1595" s="120" t="str">
        <f>RIGHT(CSTABLE[[#This Row],[NomeNCM]],8)</f>
        <v>85081100</v>
      </c>
      <c r="B1595" s="123" t="s">
        <v>4779</v>
      </c>
      <c r="C1595" s="3" t="str">
        <f>IFERROR(VLOOKUP(B1595,ST!C:D,2,0),"NÃOST")</f>
        <v>NÃOST</v>
      </c>
      <c r="E1595" s="3" t="str">
        <f>IF(COUNTIF(ISENÇÕES!A:A,CST!B1595)&gt;0,"ISENÇÃO","SEM ISENÇÃO")</f>
        <v>SEM ISENÇÃO</v>
      </c>
      <c r="F1595" s="18" t="str">
        <f>IF(COUNTIF(REDUÇÕES!A:A,CST!B1595)&gt;0,"REDUÇÃO","NÃO REDUÇÃO")</f>
        <v>NÃO REDUÇÃO</v>
      </c>
      <c r="G1595" s="27">
        <f t="shared" si="31"/>
        <v>0</v>
      </c>
    </row>
    <row r="1596" spans="1:7" x14ac:dyDescent="0.25">
      <c r="A1596" s="120" t="str">
        <f>RIGHT(CSTABLE[[#This Row],[NomeNCM]],8)</f>
        <v>82041200</v>
      </c>
      <c r="B1596" s="123" t="s">
        <v>4780</v>
      </c>
      <c r="C1596" s="3" t="str">
        <f>IFERROR(VLOOKUP(B1596,ST!C:D,2,0),"NÃOST")</f>
        <v>NÃOST</v>
      </c>
      <c r="E1596" s="3" t="str">
        <f>IF(COUNTIF(ISENÇÕES!A:A,CST!B1596)&gt;0,"ISENÇÃO","SEM ISENÇÃO")</f>
        <v>SEM ISENÇÃO</v>
      </c>
      <c r="F1596" s="18" t="str">
        <f>IF(COUNTIF(REDUÇÕES!A:A,CST!B1596)&gt;0,"REDUÇÃO","NÃO REDUÇÃO")</f>
        <v>NÃO REDUÇÃO</v>
      </c>
      <c r="G1596" s="27">
        <f t="shared" si="31"/>
        <v>0</v>
      </c>
    </row>
    <row r="1597" spans="1:7" x14ac:dyDescent="0.25">
      <c r="A1597" s="120" t="str">
        <f>RIGHT(CSTABLE[[#This Row],[NomeNCM]],8)</f>
        <v>73158200</v>
      </c>
      <c r="B1597" s="123" t="s">
        <v>4781</v>
      </c>
      <c r="C1597" s="3" t="str">
        <f>IFERROR(VLOOKUP(B1597,ST!C:D,2,0),"NÃOST")</f>
        <v>NÃOST</v>
      </c>
      <c r="E1597" s="3" t="str">
        <f>IF(COUNTIF(ISENÇÕES!A:A,CST!B1597)&gt;0,"ISENÇÃO","SEM ISENÇÃO")</f>
        <v>SEM ISENÇÃO</v>
      </c>
      <c r="F1597" s="18" t="str">
        <f>IF(COUNTIF(REDUÇÕES!A:A,CST!B1597)&gt;0,"REDUÇÃO","NÃO REDUÇÃO")</f>
        <v>NÃO REDUÇÃO</v>
      </c>
      <c r="G1597" s="27">
        <f t="shared" si="31"/>
        <v>0</v>
      </c>
    </row>
    <row r="1598" spans="1:7" x14ac:dyDescent="0.25">
      <c r="A1598" s="120" t="str">
        <f>RIGHT(CSTABLE[[#This Row],[NomeNCM]],8)</f>
        <v>83062900</v>
      </c>
      <c r="B1598" s="123" t="s">
        <v>4782</v>
      </c>
      <c r="C1598" s="3" t="str">
        <f>IFERROR(VLOOKUP(B1598,ST!C:D,2,0),"NÃOST")</f>
        <v>NÃOST</v>
      </c>
      <c r="E1598" s="3" t="str">
        <f>IF(COUNTIF(ISENÇÕES!A:A,CST!B1598)&gt;0,"ISENÇÃO","SEM ISENÇÃO")</f>
        <v>SEM ISENÇÃO</v>
      </c>
      <c r="F1598" s="18" t="str">
        <f>IF(COUNTIF(REDUÇÕES!A:A,CST!B1598)&gt;0,"REDUÇÃO","NÃO REDUÇÃO")</f>
        <v>NÃO REDUÇÃO</v>
      </c>
      <c r="G1598" s="27">
        <f t="shared" si="31"/>
        <v>0</v>
      </c>
    </row>
    <row r="1599" spans="1:7" x14ac:dyDescent="0.25">
      <c r="A1599" s="120" t="str">
        <f>RIGHT(CSTABLE[[#This Row],[NomeNCM]],8)</f>
        <v>02072500</v>
      </c>
      <c r="B1599" s="123" t="s">
        <v>3089</v>
      </c>
      <c r="C1599" s="3" t="str">
        <f>IFERROR(VLOOKUP(B1599,ST!C:D,2,0),"NÃOST")</f>
        <v>NÃOST</v>
      </c>
      <c r="E1599" s="3" t="str">
        <f>IF(COUNTIF(ISENÇÕES!A:A,CST!B1599)&gt;0,"ISENÇÃO","SEM ISENÇÃO")</f>
        <v>SEM ISENÇÃO</v>
      </c>
      <c r="F1599" s="18" t="str">
        <f>IF(COUNTIF(REDUÇÕES!A:A,CST!B1599)&gt;0,"REDUÇÃO","NÃO REDUÇÃO")</f>
        <v>NÃO REDUÇÃO</v>
      </c>
      <c r="G1599" s="27">
        <f t="shared" ref="G1599:G1617" si="32">VLOOKUP(C1599&amp;F1599&amp;E1599,$B$3:$F$10,5,0)</f>
        <v>0</v>
      </c>
    </row>
    <row r="1600" spans="1:7" x14ac:dyDescent="0.25">
      <c r="A1600" s="120" t="str">
        <f>RIGHT(CSTABLE[[#This Row],[NomeNCM]],8)</f>
        <v>03044200</v>
      </c>
      <c r="B1600" s="123" t="s">
        <v>3253</v>
      </c>
      <c r="C1600" s="3" t="str">
        <f>IFERROR(VLOOKUP(B1600,ST!C:D,2,0),"NÃOST")</f>
        <v>NÃOST</v>
      </c>
      <c r="E1600" s="3" t="str">
        <f>IF(COUNTIF(ISENÇÕES!A:A,CST!B1600)&gt;0,"ISENÇÃO","SEM ISENÇÃO")</f>
        <v>SEM ISENÇÃO</v>
      </c>
      <c r="F1600" s="18" t="str">
        <f>IF(COUNTIF(REDUÇÕES!A:A,CST!B1600)&gt;0,"REDUÇÃO","NÃO REDUÇÃO")</f>
        <v>NÃO REDUÇÃO</v>
      </c>
      <c r="G1600" s="27">
        <f t="shared" si="32"/>
        <v>0</v>
      </c>
    </row>
    <row r="1601" spans="1:7" x14ac:dyDescent="0.25">
      <c r="A1601" s="120" t="str">
        <f>RIGHT(CSTABLE[[#This Row],[NomeNCM]],8)</f>
        <v>73110000</v>
      </c>
      <c r="B1601" s="123" t="s">
        <v>5516</v>
      </c>
      <c r="C1601" s="3" t="str">
        <f>IFERROR(VLOOKUP(B1601,ST!C:D,2,0),"NÃOST")</f>
        <v>NÃOST</v>
      </c>
      <c r="E1601" s="3" t="str">
        <f>IF(COUNTIF(ISENÇÕES!A:A,CST!B1601)&gt;0,"ISENÇÃO","SEM ISENÇÃO")</f>
        <v>SEM ISENÇÃO</v>
      </c>
      <c r="F1601" s="18" t="str">
        <f>IF(COUNTIF(REDUÇÕES!A:A,CST!B1601)&gt;0,"REDUÇÃO","NÃO REDUÇÃO")</f>
        <v>NÃO REDUÇÃO</v>
      </c>
      <c r="G1601" s="27">
        <f t="shared" si="32"/>
        <v>0</v>
      </c>
    </row>
    <row r="1602" spans="1:7" x14ac:dyDescent="0.25">
      <c r="A1602" s="120" t="str">
        <f>RIGHT(CSTABLE[[#This Row],[NomeNCM]],8)</f>
        <v>85399090</v>
      </c>
      <c r="B1602" s="123" t="s">
        <v>5517</v>
      </c>
      <c r="C1602" s="3" t="str">
        <f>IFERROR(VLOOKUP(B1602,ST!C:D,2,0),"NÃOST")</f>
        <v>NÃOST</v>
      </c>
      <c r="E1602" s="3" t="str">
        <f>IF(COUNTIF(ISENÇÕES!A:A,CST!B1602)&gt;0,"ISENÇÃO","SEM ISENÇÃO")</f>
        <v>SEM ISENÇÃO</v>
      </c>
      <c r="F1602" s="18" t="str">
        <f>IF(COUNTIF(REDUÇÕES!A:A,CST!B1602)&gt;0,"REDUÇÃO","NÃO REDUÇÃO")</f>
        <v>NÃO REDUÇÃO</v>
      </c>
      <c r="G1602" s="27">
        <f t="shared" si="32"/>
        <v>0</v>
      </c>
    </row>
    <row r="1603" spans="1:7" x14ac:dyDescent="0.25">
      <c r="A1603" s="120" t="str">
        <f>RIGHT(CSTABLE[[#This Row],[NomeNCM]],8)</f>
        <v>85094050</v>
      </c>
      <c r="B1603" s="123" t="s">
        <v>5518</v>
      </c>
      <c r="C1603" s="3" t="str">
        <f>IFERROR(VLOOKUP(B1603,ST!C:D,2,0),"NÃOST")</f>
        <v>NÃOST</v>
      </c>
      <c r="E1603" s="3" t="str">
        <f>IF(COUNTIF(ISENÇÕES!A:A,CST!B1603)&gt;0,"ISENÇÃO","SEM ISENÇÃO")</f>
        <v>SEM ISENÇÃO</v>
      </c>
      <c r="F1603" s="18" t="str">
        <f>IF(COUNTIF(REDUÇÕES!A:A,CST!B1603)&gt;0,"REDUÇÃO","NÃO REDUÇÃO")</f>
        <v>NÃO REDUÇÃO</v>
      </c>
      <c r="G1603" s="27">
        <f t="shared" si="32"/>
        <v>0</v>
      </c>
    </row>
    <row r="1604" spans="1:7" x14ac:dyDescent="0.25">
      <c r="A1604" s="120" t="str">
        <f>RIGHT(CSTABLE[[#This Row],[NomeNCM]],8)</f>
        <v>03054910</v>
      </c>
      <c r="B1604" s="123" t="s">
        <v>3487</v>
      </c>
      <c r="C1604" s="3" t="str">
        <f>IFERROR(VLOOKUP(B1604,ST!C:D,2,0),"NÃOST")</f>
        <v>NÃOST</v>
      </c>
      <c r="E1604" s="3" t="str">
        <f>IF(COUNTIF(ISENÇÕES!A:A,CST!B1604)&gt;0,"ISENÇÃO","SEM ISENÇÃO")</f>
        <v>SEM ISENÇÃO</v>
      </c>
      <c r="F1604" s="18" t="str">
        <f>IF(COUNTIF(REDUÇÕES!A:A,CST!B1604)&gt;0,"REDUÇÃO","NÃO REDUÇÃO")</f>
        <v>NÃO REDUÇÃO</v>
      </c>
      <c r="G1604" s="27">
        <f t="shared" si="32"/>
        <v>0</v>
      </c>
    </row>
    <row r="1605" spans="1:7" x14ac:dyDescent="0.25">
      <c r="A1605" s="120" t="str">
        <f>RIGHT(CSTABLE[[#This Row],[NomeNCM]],8)</f>
        <v>39202090</v>
      </c>
      <c r="B1605" s="123" t="s">
        <v>5519</v>
      </c>
      <c r="C1605" s="3" t="str">
        <f>IFERROR(VLOOKUP(B1605,ST!C:D,2,0),"NÃOST")</f>
        <v>NÃOST</v>
      </c>
      <c r="E1605" s="3" t="str">
        <f>IF(COUNTIF(ISENÇÕES!A:A,CST!B1605)&gt;0,"ISENÇÃO","SEM ISENÇÃO")</f>
        <v>SEM ISENÇÃO</v>
      </c>
      <c r="F1605" s="18" t="str">
        <f>IF(COUNTIF(REDUÇÕES!A:A,CST!B1605)&gt;0,"REDUÇÃO","NÃO REDUÇÃO")</f>
        <v>NÃO REDUÇÃO</v>
      </c>
      <c r="G1605" s="27">
        <f t="shared" si="32"/>
        <v>0</v>
      </c>
    </row>
    <row r="1606" spans="1:7" x14ac:dyDescent="0.25">
      <c r="A1606" s="120" t="str">
        <f>RIGHT(CSTABLE[[#This Row],[NomeNCM]],8)</f>
        <v>61169300</v>
      </c>
      <c r="B1606" s="123" t="s">
        <v>5520</v>
      </c>
      <c r="C1606" s="3" t="str">
        <f>IFERROR(VLOOKUP(B1606,ST!C:D,2,0),"NÃOST")</f>
        <v>NÃOST</v>
      </c>
      <c r="E1606" s="3" t="str">
        <f>IF(COUNTIF(ISENÇÕES!A:A,CST!B1606)&gt;0,"ISENÇÃO","SEM ISENÇÃO")</f>
        <v>SEM ISENÇÃO</v>
      </c>
      <c r="F1606" s="18" t="str">
        <f>IF(COUNTIF(REDUÇÕES!A:A,CST!B1606)&gt;0,"REDUÇÃO","NÃO REDUÇÃO")</f>
        <v>NÃO REDUÇÃO</v>
      </c>
      <c r="G1606" s="27">
        <f t="shared" si="32"/>
        <v>0</v>
      </c>
    </row>
    <row r="1607" spans="1:7" x14ac:dyDescent="0.25">
      <c r="A1607" s="120" t="str">
        <f>RIGHT(CSTABLE[[#This Row],[NomeNCM]],8)</f>
        <v>64035990</v>
      </c>
      <c r="B1607" s="123" t="s">
        <v>5521</v>
      </c>
      <c r="C1607" s="3" t="str">
        <f>IFERROR(VLOOKUP(B1607,ST!C:D,2,0),"NÃOST")</f>
        <v>NÃOST</v>
      </c>
      <c r="E1607" s="3" t="str">
        <f>IF(COUNTIF(ISENÇÕES!A:A,CST!B1607)&gt;0,"ISENÇÃO","SEM ISENÇÃO")</f>
        <v>SEM ISENÇÃO</v>
      </c>
      <c r="F1607" s="18" t="str">
        <f>IF(COUNTIF(REDUÇÕES!A:A,CST!B1607)&gt;0,"REDUÇÃO","NÃO REDUÇÃO")</f>
        <v>NÃO REDUÇÃO</v>
      </c>
      <c r="G1607" s="27">
        <f t="shared" si="32"/>
        <v>0</v>
      </c>
    </row>
    <row r="1608" spans="1:7" x14ac:dyDescent="0.25">
      <c r="A1608" s="120" t="str">
        <f>RIGHT(CSTABLE[[#This Row],[NomeNCM]],8)</f>
        <v>65070000</v>
      </c>
      <c r="B1608" s="123" t="s">
        <v>5522</v>
      </c>
      <c r="C1608" s="3" t="str">
        <f>IFERROR(VLOOKUP(B1608,ST!C:D,2,0),"NÃOST")</f>
        <v>NÃOST</v>
      </c>
      <c r="E1608" s="3" t="str">
        <f>IF(COUNTIF(ISENÇÕES!A:A,CST!B1608)&gt;0,"ISENÇÃO","SEM ISENÇÃO")</f>
        <v>SEM ISENÇÃO</v>
      </c>
      <c r="F1608" s="18" t="str">
        <f>IF(COUNTIF(REDUÇÕES!A:A,CST!B1608)&gt;0,"REDUÇÃO","NÃO REDUÇÃO")</f>
        <v>NÃO REDUÇÃO</v>
      </c>
      <c r="G1608" s="27">
        <f t="shared" si="32"/>
        <v>0</v>
      </c>
    </row>
    <row r="1609" spans="1:7" x14ac:dyDescent="0.25">
      <c r="A1609" s="120" t="str">
        <f>RIGHT(CSTABLE[[#This Row],[NomeNCM]],8)</f>
        <v>66019900</v>
      </c>
      <c r="B1609" s="123" t="s">
        <v>5523</v>
      </c>
      <c r="C1609" s="3" t="str">
        <f>IFERROR(VLOOKUP(B1609,ST!C:D,2,0),"NÃOST")</f>
        <v>NÃOST</v>
      </c>
      <c r="E1609" s="3" t="str">
        <f>IF(COUNTIF(ISENÇÕES!A:A,CST!B1609)&gt;0,"ISENÇÃO","SEM ISENÇÃO")</f>
        <v>SEM ISENÇÃO</v>
      </c>
      <c r="F1609" s="18" t="str">
        <f>IF(COUNTIF(REDUÇÕES!A:A,CST!B1609)&gt;0,"REDUÇÃO","NÃO REDUÇÃO")</f>
        <v>NÃO REDUÇÃO</v>
      </c>
      <c r="G1609" s="27">
        <f t="shared" si="32"/>
        <v>0</v>
      </c>
    </row>
    <row r="1610" spans="1:7" x14ac:dyDescent="0.25">
      <c r="A1610" s="120" t="str">
        <f>RIGHT(CSTABLE[[#This Row],[NomeNCM]],8)</f>
        <v>38112120</v>
      </c>
      <c r="B1610" s="123" t="s">
        <v>5524</v>
      </c>
      <c r="C1610" s="3" t="str">
        <f>IFERROR(VLOOKUP(B1610,ST!C:D,2,0),"NÃOST")</f>
        <v>NÃOST</v>
      </c>
      <c r="E1610" s="3" t="str">
        <f>IF(COUNTIF(ISENÇÕES!A:A,CST!B1610)&gt;0,"ISENÇÃO","SEM ISENÇÃO")</f>
        <v>SEM ISENÇÃO</v>
      </c>
      <c r="F1610" s="18" t="str">
        <f>IF(COUNTIF(REDUÇÕES!A:A,CST!B1610)&gt;0,"REDUÇÃO","NÃO REDUÇÃO")</f>
        <v>NÃO REDUÇÃO</v>
      </c>
      <c r="G1610" s="27">
        <f t="shared" si="32"/>
        <v>0</v>
      </c>
    </row>
    <row r="1611" spans="1:7" x14ac:dyDescent="0.25">
      <c r="A1611" s="120" t="str">
        <f>RIGHT(CSTABLE[[#This Row],[NomeNCM]],8)</f>
        <v>42022100</v>
      </c>
      <c r="B1611" s="123" t="s">
        <v>5525</v>
      </c>
      <c r="C1611" s="3" t="str">
        <f>IFERROR(VLOOKUP(B1611,ST!C:D,2,0),"NÃOST")</f>
        <v>NÃOST</v>
      </c>
      <c r="E1611" s="3" t="str">
        <f>IF(COUNTIF(ISENÇÕES!A:A,CST!B1611)&gt;0,"ISENÇÃO","SEM ISENÇÃO")</f>
        <v>SEM ISENÇÃO</v>
      </c>
      <c r="F1611" s="18" t="str">
        <f>IF(COUNTIF(REDUÇÕES!A:A,CST!B1611)&gt;0,"REDUÇÃO","NÃO REDUÇÃO")</f>
        <v>NÃO REDUÇÃO</v>
      </c>
      <c r="G1611" s="27">
        <f t="shared" si="32"/>
        <v>0</v>
      </c>
    </row>
    <row r="1612" spans="1:7" x14ac:dyDescent="0.25">
      <c r="A1612" s="120" t="str">
        <f>RIGHT(CSTABLE[[#This Row],[NomeNCM]],8)</f>
        <v>56039240</v>
      </c>
      <c r="B1612" s="123" t="s">
        <v>5526</v>
      </c>
      <c r="C1612" s="3" t="str">
        <f>IFERROR(VLOOKUP(B1612,ST!C:D,2,0),"NÃOST")</f>
        <v>NÃOST</v>
      </c>
      <c r="E1612" s="3" t="str">
        <f>IF(COUNTIF(ISENÇÕES!A:A,CST!B1612)&gt;0,"ISENÇÃO","SEM ISENÇÃO")</f>
        <v>SEM ISENÇÃO</v>
      </c>
      <c r="F1612" s="18" t="str">
        <f>IF(COUNTIF(REDUÇÕES!A:A,CST!B1612)&gt;0,"REDUÇÃO","NÃO REDUÇÃO")</f>
        <v>NÃO REDUÇÃO</v>
      </c>
      <c r="G1612" s="27">
        <f t="shared" si="32"/>
        <v>0</v>
      </c>
    </row>
    <row r="1613" spans="1:7" x14ac:dyDescent="0.25">
      <c r="A1613" s="120" t="str">
        <f>RIGHT(CSTABLE[[#This Row],[NomeNCM]],8)</f>
        <v>57029200</v>
      </c>
      <c r="B1613" s="123" t="s">
        <v>5527</v>
      </c>
      <c r="C1613" s="3" t="str">
        <f>IFERROR(VLOOKUP(B1613,ST!C:D,2,0),"NÃOST")</f>
        <v>NÃOST</v>
      </c>
      <c r="E1613" s="3" t="str">
        <f>IF(COUNTIF(ISENÇÕES!A:A,CST!B1613)&gt;0,"ISENÇÃO","SEM ISENÇÃO")</f>
        <v>SEM ISENÇÃO</v>
      </c>
      <c r="F1613" s="18" t="str">
        <f>IF(COUNTIF(REDUÇÕES!A:A,CST!B1613)&gt;0,"REDUÇÃO","NÃO REDUÇÃO")</f>
        <v>NÃO REDUÇÃO</v>
      </c>
      <c r="G1613" s="27">
        <f t="shared" si="32"/>
        <v>0</v>
      </c>
    </row>
    <row r="1614" spans="1:7" x14ac:dyDescent="0.25">
      <c r="A1614" s="120" t="str">
        <f>RIGHT(CSTABLE[[#This Row],[NomeNCM]],8)</f>
        <v>62160000</v>
      </c>
      <c r="B1614" s="123" t="s">
        <v>5528</v>
      </c>
      <c r="C1614" s="3" t="str">
        <f>IFERROR(VLOOKUP(B1614,ST!C:D,2,0),"NÃOST")</f>
        <v>NÃOST</v>
      </c>
      <c r="E1614" s="3" t="str">
        <f>IF(COUNTIF(ISENÇÕES!A:A,CST!B1614)&gt;0,"ISENÇÃO","SEM ISENÇÃO")</f>
        <v>SEM ISENÇÃO</v>
      </c>
      <c r="F1614" s="18" t="str">
        <f>IF(COUNTIF(REDUÇÕES!A:A,CST!B1614)&gt;0,"REDUÇÃO","NÃO REDUÇÃO")</f>
        <v>NÃO REDUÇÃO</v>
      </c>
      <c r="G1614" s="27">
        <f t="shared" si="32"/>
        <v>0</v>
      </c>
    </row>
    <row r="1615" spans="1:7" x14ac:dyDescent="0.25">
      <c r="A1615" s="120" t="str">
        <f>RIGHT(CSTABLE[[#This Row],[NomeNCM]],8)</f>
        <v>83024900</v>
      </c>
      <c r="B1615" s="123" t="s">
        <v>5529</v>
      </c>
      <c r="C1615" s="3" t="str">
        <f>IFERROR(VLOOKUP(B1615,ST!C:D,2,0),"NÃOST")</f>
        <v>NÃOST</v>
      </c>
      <c r="E1615" s="3" t="str">
        <f>IF(COUNTIF(ISENÇÕES!A:A,CST!B1615)&gt;0,"ISENÇÃO","SEM ISENÇÃO")</f>
        <v>SEM ISENÇÃO</v>
      </c>
      <c r="F1615" s="18" t="str">
        <f>IF(COUNTIF(REDUÇÕES!A:A,CST!B1615)&gt;0,"REDUÇÃO","NÃO REDUÇÃO")</f>
        <v>NÃO REDUÇÃO</v>
      </c>
      <c r="G1615" s="27">
        <f t="shared" si="32"/>
        <v>0</v>
      </c>
    </row>
    <row r="1616" spans="1:7" x14ac:dyDescent="0.25">
      <c r="A1616" s="120" t="str">
        <f>RIGHT(CSTABLE[[#This Row],[NomeNCM]],8)</f>
        <v>84351000</v>
      </c>
      <c r="B1616" s="123" t="s">
        <v>944</v>
      </c>
      <c r="C1616" s="3" t="str">
        <f>IFERROR(VLOOKUP(B1616,ST!C:D,2,0),"NÃOST")</f>
        <v>NÃOST</v>
      </c>
      <c r="E1616" s="3" t="str">
        <f>IF(COUNTIF(ISENÇÕES!A:A,CST!B1616)&gt;0,"ISENÇÃO","SEM ISENÇÃO")</f>
        <v>SEM ISENÇÃO</v>
      </c>
      <c r="F1616" s="18" t="str">
        <f>IF(COUNTIF(REDUÇÕES!A:A,CST!B1616)&gt;0,"REDUÇÃO","NÃO REDUÇÃO")</f>
        <v>NÃO REDUÇÃO</v>
      </c>
      <c r="G1616" s="27">
        <f t="shared" si="32"/>
        <v>0</v>
      </c>
    </row>
    <row r="1617" spans="1:7" x14ac:dyDescent="0.25">
      <c r="A1617" s="120" t="str">
        <f>RIGHT(CSTABLE[[#This Row],[NomeNCM]],8)</f>
        <v>96019000</v>
      </c>
      <c r="B1617" s="123" t="s">
        <v>5530</v>
      </c>
      <c r="C1617" s="49" t="str">
        <f>IFERROR(VLOOKUP(B1617,ST!C:D,2,0),"NÃOST")</f>
        <v>NÃOST</v>
      </c>
      <c r="E1617" s="49" t="str">
        <f>IF(COUNTIF(ISENÇÕES!A:A,CST!B1617)&gt;0,"ISENÇÃO","SEM ISENÇÃO")</f>
        <v>SEM ISENÇÃO</v>
      </c>
      <c r="F1617" s="50" t="str">
        <f>IF(COUNTIF(REDUÇÕES!A:A,CST!B1617)&gt;0,"REDUÇÃO","NÃO REDUÇÃO")</f>
        <v>NÃO REDUÇÃO</v>
      </c>
      <c r="G1617" s="51">
        <f t="shared" si="32"/>
        <v>0</v>
      </c>
    </row>
    <row r="1618" spans="1:7" x14ac:dyDescent="0.25">
      <c r="A1618" s="120" t="str">
        <f>RIGHT(CSTABLE[[#This Row],[NomeNCM]],8)</f>
        <v>48043990</v>
      </c>
      <c r="B1618" s="123" t="s">
        <v>5531</v>
      </c>
      <c r="C1618" s="49" t="str">
        <f>IFERROR(VLOOKUP(B1618,ST!C:D,2,0),"NÃOST")</f>
        <v>NÃOST</v>
      </c>
      <c r="E1618" s="49" t="str">
        <f>IF(COUNTIF(ISENÇÕES!A:A,CST!B1618)&gt;0,"ISENÇÃO","SEM ISENÇÃO")</f>
        <v>SEM ISENÇÃO</v>
      </c>
      <c r="F1618" s="50" t="str">
        <f>IF(COUNTIF(REDUÇÕES!A:A,CST!B1618)&gt;0,"REDUÇÃO","NÃO REDUÇÃO")</f>
        <v>NÃO REDUÇÃO</v>
      </c>
      <c r="G1618" s="51">
        <f>VLOOKUP(C1618&amp;F1618&amp;E1618,$B$3:$F$10,5,0)</f>
        <v>0</v>
      </c>
    </row>
    <row r="1619" spans="1:7" x14ac:dyDescent="0.25">
      <c r="A1619" s="120" t="str">
        <f>RIGHT(CSTABLE[[#This Row],[NomeNCM]],8)</f>
        <v>20079923</v>
      </c>
      <c r="B1619" s="123" t="s">
        <v>5533</v>
      </c>
      <c r="C1619" s="3" t="str">
        <f>IFERROR(VLOOKUP(B1619,ST!C:D,2,0),"NÃOST")</f>
        <v>NÃOST</v>
      </c>
      <c r="E1619" s="3" t="str">
        <f>IF(COUNTIF(ISENÇÕES!A:A,CST!B1619)&gt;0,"ISENÇÃO","SEM ISENÇÃO")</f>
        <v>SEM ISENÇÃO</v>
      </c>
      <c r="F1619" s="18" t="str">
        <f>IF(COUNTIF(REDUÇÕES!A:A,CST!B1619)&gt;0,"REDUÇÃO","NÃO REDUÇÃO")</f>
        <v>NÃO REDUÇÃO</v>
      </c>
      <c r="G1619" s="27">
        <f t="shared" ref="G1619:G1629" si="33">VLOOKUP(C1619&amp;F1619&amp;E1619,$B$3:$F$10,5,0)</f>
        <v>0</v>
      </c>
    </row>
    <row r="1620" spans="1:7" x14ac:dyDescent="0.25">
      <c r="A1620" s="120" t="str">
        <f>RIGHT(CSTABLE[[#This Row],[NomeNCM]],8)</f>
        <v>39211100</v>
      </c>
      <c r="B1620" s="123" t="s">
        <v>5534</v>
      </c>
      <c r="C1620" s="3" t="str">
        <f>IFERROR(VLOOKUP(B1620,ST!C:D,2,0),"NÃOST")</f>
        <v>NÃOST</v>
      </c>
      <c r="E1620" s="3" t="str">
        <f>IF(COUNTIF(ISENÇÕES!A:A,CST!B1620)&gt;0,"ISENÇÃO","SEM ISENÇÃO")</f>
        <v>SEM ISENÇÃO</v>
      </c>
      <c r="F1620" s="18" t="str">
        <f>IF(COUNTIF(REDUÇÕES!A:A,CST!B1620)&gt;0,"REDUÇÃO","NÃO REDUÇÃO")</f>
        <v>NÃO REDUÇÃO</v>
      </c>
      <c r="G1620" s="27">
        <f t="shared" si="33"/>
        <v>0</v>
      </c>
    </row>
    <row r="1621" spans="1:7" x14ac:dyDescent="0.25">
      <c r="A1621" s="120" t="str">
        <f>RIGHT(CSTABLE[[#This Row],[NomeNCM]],8)</f>
        <v>84818094</v>
      </c>
      <c r="B1621" s="123" t="s">
        <v>5535</v>
      </c>
      <c r="C1621" s="3" t="str">
        <f>IFERROR(VLOOKUP(B1621,ST!C:D,2,0),"NÃOST")</f>
        <v>NÃOST</v>
      </c>
      <c r="E1621" s="3" t="str">
        <f>IF(COUNTIF(ISENÇÕES!A:A,CST!B1621)&gt;0,"ISENÇÃO","SEM ISENÇÃO")</f>
        <v>SEM ISENÇÃO</v>
      </c>
      <c r="F1621" s="18" t="str">
        <f>IF(COUNTIF(REDUÇÕES!A:A,CST!B1621)&gt;0,"REDUÇÃO","NÃO REDUÇÃO")</f>
        <v>NÃO REDUÇÃO</v>
      </c>
      <c r="G1621" s="27">
        <f t="shared" si="33"/>
        <v>0</v>
      </c>
    </row>
    <row r="1622" spans="1:7" x14ac:dyDescent="0.25">
      <c r="A1622" s="120" t="str">
        <f>RIGHT(CSTABLE[[#This Row],[NomeNCM]],8)</f>
        <v>25302000</v>
      </c>
      <c r="B1622" s="123" t="s">
        <v>5536</v>
      </c>
      <c r="C1622" s="3" t="str">
        <f>IFERROR(VLOOKUP(B1622,ST!C:D,2,0),"NÃOST")</f>
        <v>NÃOST</v>
      </c>
      <c r="E1622" s="3" t="str">
        <f>IF(COUNTIF(ISENÇÕES!A:A,CST!B1622)&gt;0,"ISENÇÃO","SEM ISENÇÃO")</f>
        <v>SEM ISENÇÃO</v>
      </c>
      <c r="F1622" s="18" t="str">
        <f>IF(COUNTIF(REDUÇÕES!A:A,CST!B1622)&gt;0,"REDUÇÃO","NÃO REDUÇÃO")</f>
        <v>NÃO REDUÇÃO</v>
      </c>
      <c r="G1622" s="27">
        <f t="shared" si="33"/>
        <v>0</v>
      </c>
    </row>
    <row r="1623" spans="1:7" x14ac:dyDescent="0.25">
      <c r="A1623" s="120" t="str">
        <f>RIGHT(CSTABLE[[#This Row],[NomeNCM]],8)</f>
        <v>27101249</v>
      </c>
      <c r="B1623" s="123" t="s">
        <v>5537</v>
      </c>
      <c r="C1623" s="3" t="str">
        <f>IFERROR(VLOOKUP(B1623,ST!C:D,2,0),"NÃOST")</f>
        <v>NÃOST</v>
      </c>
      <c r="E1623" s="3" t="str">
        <f>IF(COUNTIF(ISENÇÕES!A:A,CST!B1623)&gt;0,"ISENÇÃO","SEM ISENÇÃO")</f>
        <v>SEM ISENÇÃO</v>
      </c>
      <c r="F1623" s="18" t="str">
        <f>IF(COUNTIF(REDUÇÕES!A:A,CST!B1623)&gt;0,"REDUÇÃO","NÃO REDUÇÃO")</f>
        <v>NÃO REDUÇÃO</v>
      </c>
      <c r="G1623" s="27">
        <f t="shared" si="33"/>
        <v>0</v>
      </c>
    </row>
    <row r="1624" spans="1:7" x14ac:dyDescent="0.25">
      <c r="A1624" s="120" t="str">
        <f>RIGHT(CSTABLE[[#This Row],[NomeNCM]],8)</f>
        <v>38249949</v>
      </c>
      <c r="B1624" s="123" t="s">
        <v>5538</v>
      </c>
      <c r="C1624" s="3" t="str">
        <f>IFERROR(VLOOKUP(B1624,ST!C:D,2,0),"NÃOST")</f>
        <v>NÃOST</v>
      </c>
      <c r="E1624" s="3" t="str">
        <f>IF(COUNTIF(ISENÇÕES!A:A,CST!B1624)&gt;0,"ISENÇÃO","SEM ISENÇÃO")</f>
        <v>SEM ISENÇÃO</v>
      </c>
      <c r="F1624" s="18" t="str">
        <f>IF(COUNTIF(REDUÇÕES!A:A,CST!B1624)&gt;0,"REDUÇÃO","NÃO REDUÇÃO")</f>
        <v>NÃO REDUÇÃO</v>
      </c>
      <c r="G1624" s="27">
        <f t="shared" si="33"/>
        <v>0</v>
      </c>
    </row>
    <row r="1625" spans="1:7" x14ac:dyDescent="0.25">
      <c r="A1625" s="120" t="str">
        <f>RIGHT(CSTABLE[[#This Row],[NomeNCM]],8)</f>
        <v>52081100</v>
      </c>
      <c r="B1625" s="123" t="s">
        <v>5539</v>
      </c>
      <c r="C1625" s="3" t="str">
        <f>IFERROR(VLOOKUP(B1625,ST!C:D,2,0),"NÃOST")</f>
        <v>NÃOST</v>
      </c>
      <c r="E1625" s="3" t="str">
        <f>IF(COUNTIF(ISENÇÕES!A:A,CST!B1625)&gt;0,"ISENÇÃO","SEM ISENÇÃO")</f>
        <v>SEM ISENÇÃO</v>
      </c>
      <c r="F1625" s="18" t="str">
        <f>IF(COUNTIF(REDUÇÕES!A:A,CST!B1625)&gt;0,"REDUÇÃO","NÃO REDUÇÃO")</f>
        <v>NÃO REDUÇÃO</v>
      </c>
      <c r="G1625" s="27">
        <f t="shared" si="33"/>
        <v>0</v>
      </c>
    </row>
    <row r="1626" spans="1:7" x14ac:dyDescent="0.25">
      <c r="A1626" s="120" t="str">
        <f>RIGHT(CSTABLE[[#This Row],[NomeNCM]],8)</f>
        <v>54021990</v>
      </c>
      <c r="B1626" s="123" t="s">
        <v>5540</v>
      </c>
      <c r="C1626" s="3" t="str">
        <f>IFERROR(VLOOKUP(B1626,ST!C:D,2,0),"NÃOST")</f>
        <v>NÃOST</v>
      </c>
      <c r="E1626" s="3" t="str">
        <f>IF(COUNTIF(ISENÇÕES!A:A,CST!B1626)&gt;0,"ISENÇÃO","SEM ISENÇÃO")</f>
        <v>SEM ISENÇÃO</v>
      </c>
      <c r="F1626" s="18" t="str">
        <f>IF(COUNTIF(REDUÇÕES!A:A,CST!B1626)&gt;0,"REDUÇÃO","NÃO REDUÇÃO")</f>
        <v>NÃO REDUÇÃO</v>
      </c>
      <c r="G1626" s="27">
        <f t="shared" si="33"/>
        <v>0</v>
      </c>
    </row>
    <row r="1627" spans="1:7" x14ac:dyDescent="0.25">
      <c r="A1627" s="120" t="str">
        <f>RIGHT(CSTABLE[[#This Row],[NomeNCM]],8)</f>
        <v>61034200</v>
      </c>
      <c r="B1627" s="123" t="s">
        <v>5541</v>
      </c>
      <c r="C1627" s="3" t="str">
        <f>IFERROR(VLOOKUP(B1627,ST!C:D,2,0),"NÃOST")</f>
        <v>NÃOST</v>
      </c>
      <c r="E1627" s="3" t="str">
        <f>IF(COUNTIF(ISENÇÕES!A:A,CST!B1627)&gt;0,"ISENÇÃO","SEM ISENÇÃO")</f>
        <v>SEM ISENÇÃO</v>
      </c>
      <c r="F1627" s="18" t="str">
        <f>IF(COUNTIF(REDUÇÕES!A:A,CST!B1627)&gt;0,"REDUÇÃO","NÃO REDUÇÃO")</f>
        <v>NÃO REDUÇÃO</v>
      </c>
      <c r="G1627" s="27">
        <f t="shared" si="33"/>
        <v>0</v>
      </c>
    </row>
    <row r="1628" spans="1:7" x14ac:dyDescent="0.25">
      <c r="A1628" s="120" t="str">
        <f>RIGHT(CSTABLE[[#This Row],[NomeNCM]],8)</f>
        <v>73211900</v>
      </c>
      <c r="B1628" s="123" t="s">
        <v>5542</v>
      </c>
      <c r="C1628" s="3" t="str">
        <f>IFERROR(VLOOKUP(B1628,ST!C:D,2,0),"NÃOST")</f>
        <v>NÃOST</v>
      </c>
      <c r="E1628" s="3" t="str">
        <f>IF(COUNTIF(ISENÇÕES!A:A,CST!B1628)&gt;0,"ISENÇÃO","SEM ISENÇÃO")</f>
        <v>SEM ISENÇÃO</v>
      </c>
      <c r="F1628" s="18" t="str">
        <f>IF(COUNTIF(REDUÇÕES!A:A,CST!B1628)&gt;0,"REDUÇÃO","NÃO REDUÇÃO")</f>
        <v>NÃO REDUÇÃO</v>
      </c>
      <c r="G1628" s="27">
        <f t="shared" si="33"/>
        <v>0</v>
      </c>
    </row>
    <row r="1629" spans="1:7" x14ac:dyDescent="0.25">
      <c r="A1629" s="120" t="str">
        <f>RIGHT(CSTABLE[[#This Row],[NomeNCM]],8)</f>
        <v>85061039</v>
      </c>
      <c r="B1629" s="123" t="s">
        <v>5543</v>
      </c>
      <c r="C1629" s="49" t="str">
        <f>IFERROR(VLOOKUP(B1629,ST!C:D,2,0),"NÃOST")</f>
        <v>NÃOST</v>
      </c>
      <c r="E1629" s="49" t="str">
        <f>IF(COUNTIF(ISENÇÕES!A:A,CST!B1629)&gt;0,"ISENÇÃO","SEM ISENÇÃO")</f>
        <v>SEM ISENÇÃO</v>
      </c>
      <c r="F1629" s="50" t="str">
        <f>IF(COUNTIF(REDUÇÕES!A:A,CST!B1629)&gt;0,"REDUÇÃO","NÃO REDUÇÃO")</f>
        <v>NÃO REDUÇÃO</v>
      </c>
      <c r="G1629" s="51">
        <f t="shared" si="33"/>
        <v>0</v>
      </c>
    </row>
    <row r="1630" spans="1:7" x14ac:dyDescent="0.25">
      <c r="A1630" s="120" t="str">
        <f>RIGHT(CSTABLE[[#This Row],[NomeNCM]],8)</f>
        <v>02022010</v>
      </c>
      <c r="B1630" s="123" t="s">
        <v>3077</v>
      </c>
      <c r="C1630" s="3" t="str">
        <f>IFERROR(VLOOKUP(B1630,ST!C:D,2,0),"NÃOST")</f>
        <v>NÃOST</v>
      </c>
      <c r="E1630" s="3" t="str">
        <f>IF(COUNTIF(ISENÇÕES!A:A,CST!B1630)&gt;0,"ISENÇÃO","SEM ISENÇÃO")</f>
        <v>SEM ISENÇÃO</v>
      </c>
      <c r="F1630" s="18" t="str">
        <f>IF(COUNTIF(REDUÇÕES!A:A,CST!B1630)&gt;0,"REDUÇÃO","NÃO REDUÇÃO")</f>
        <v>NÃO REDUÇÃO</v>
      </c>
      <c r="G1630" s="27">
        <f t="shared" ref="G1630:G1649" si="34">VLOOKUP(C1630&amp;F1630&amp;E1630,$B$3:$F$10,5,0)</f>
        <v>0</v>
      </c>
    </row>
    <row r="1631" spans="1:7" x14ac:dyDescent="0.25">
      <c r="A1631" s="120" t="str">
        <f>RIGHT(CSTABLE[[#This Row],[NomeNCM]],8)</f>
        <v>02031100</v>
      </c>
      <c r="B1631" s="123" t="s">
        <v>3080</v>
      </c>
      <c r="C1631" s="3" t="str">
        <f>IFERROR(VLOOKUP(B1631,ST!C:D,2,0),"NÃOST")</f>
        <v>NÃOST</v>
      </c>
      <c r="E1631" s="3" t="str">
        <f>IF(COUNTIF(ISENÇÕES!A:A,CST!B1631)&gt;0,"ISENÇÃO","SEM ISENÇÃO")</f>
        <v>SEM ISENÇÃO</v>
      </c>
      <c r="F1631" s="18" t="str">
        <f>IF(COUNTIF(REDUÇÕES!A:A,CST!B1631)&gt;0,"REDUÇÃO","NÃO REDUÇÃO")</f>
        <v>NÃO REDUÇÃO</v>
      </c>
      <c r="G1631" s="27">
        <f t="shared" si="34"/>
        <v>0</v>
      </c>
    </row>
    <row r="1632" spans="1:7" x14ac:dyDescent="0.25">
      <c r="A1632" s="120" t="str">
        <f>RIGHT(CSTABLE[[#This Row],[NomeNCM]],8)</f>
        <v>02032100</v>
      </c>
      <c r="B1632" s="123" t="s">
        <v>3081</v>
      </c>
      <c r="C1632" s="3" t="str">
        <f>IFERROR(VLOOKUP(B1632,ST!C:D,2,0),"NÃOST")</f>
        <v>NÃOST</v>
      </c>
      <c r="E1632" s="3" t="str">
        <f>IF(COUNTIF(ISENÇÕES!A:A,CST!B1632)&gt;0,"ISENÇÃO","SEM ISENÇÃO")</f>
        <v>SEM ISENÇÃO</v>
      </c>
      <c r="F1632" s="18" t="str">
        <f>IF(COUNTIF(REDUÇÕES!A:A,CST!B1632)&gt;0,"REDUÇÃO","NÃO REDUÇÃO")</f>
        <v>NÃO REDUÇÃO</v>
      </c>
      <c r="G1632" s="27">
        <f t="shared" si="34"/>
        <v>0</v>
      </c>
    </row>
    <row r="1633" spans="1:7" x14ac:dyDescent="0.25">
      <c r="A1633" s="120" t="str">
        <f>RIGHT(CSTABLE[[#This Row],[NomeNCM]],8)</f>
        <v>02350000</v>
      </c>
      <c r="B1633" s="123" t="s">
        <v>5544</v>
      </c>
      <c r="C1633" s="3" t="str">
        <f>IFERROR(VLOOKUP(B1633,ST!C:D,2,0),"NÃOST")</f>
        <v>NÃOST</v>
      </c>
      <c r="E1633" s="3" t="str">
        <f>IF(COUNTIF(ISENÇÕES!A:A,CST!B1633)&gt;0,"ISENÇÃO","SEM ISENÇÃO")</f>
        <v>SEM ISENÇÃO</v>
      </c>
      <c r="F1633" s="18" t="str">
        <f>IF(COUNTIF(REDUÇÕES!A:A,CST!B1633)&gt;0,"REDUÇÃO","NÃO REDUÇÃO")</f>
        <v>NÃO REDUÇÃO</v>
      </c>
      <c r="G1633" s="27">
        <f t="shared" si="34"/>
        <v>0</v>
      </c>
    </row>
    <row r="1634" spans="1:7" x14ac:dyDescent="0.25">
      <c r="A1634" s="120" t="str">
        <f>RIGHT(CSTABLE[[#This Row],[NomeNCM]],8)</f>
        <v>03041000</v>
      </c>
      <c r="B1634" s="123" t="s">
        <v>5545</v>
      </c>
      <c r="C1634" s="3" t="str">
        <f>IFERROR(VLOOKUP(B1634,ST!C:D,2,0),"NÃOST")</f>
        <v>NÃOST</v>
      </c>
      <c r="E1634" s="3" t="str">
        <f>IF(COUNTIF(ISENÇÕES!A:A,CST!B1634)&gt;0,"ISENÇÃO","SEM ISENÇÃO")</f>
        <v>SEM ISENÇÃO</v>
      </c>
      <c r="F1634" s="18" t="str">
        <f>IF(COUNTIF(REDUÇÕES!A:A,CST!B1634)&gt;0,"REDUÇÃO","NÃO REDUÇÃO")</f>
        <v>NÃO REDUÇÃO</v>
      </c>
      <c r="G1634" s="27">
        <f t="shared" si="34"/>
        <v>0</v>
      </c>
    </row>
    <row r="1635" spans="1:7" x14ac:dyDescent="0.25">
      <c r="A1635" s="120" t="str">
        <f>RIGHT(CSTABLE[[#This Row],[NomeNCM]],8)</f>
        <v>03053990</v>
      </c>
      <c r="B1635" s="123" t="s">
        <v>5546</v>
      </c>
      <c r="C1635" s="3" t="str">
        <f>IFERROR(VLOOKUP(B1635,ST!C:D,2,0),"NÃOST")</f>
        <v>NÃOST</v>
      </c>
      <c r="E1635" s="3" t="str">
        <f>IF(COUNTIF(ISENÇÕES!A:A,CST!B1635)&gt;0,"ISENÇÃO","SEM ISENÇÃO")</f>
        <v>SEM ISENÇÃO</v>
      </c>
      <c r="F1635" s="18" t="str">
        <f>IF(COUNTIF(REDUÇÕES!A:A,CST!B1635)&gt;0,"REDUÇÃO","NÃO REDUÇÃO")</f>
        <v>NÃO REDUÇÃO</v>
      </c>
      <c r="G1635" s="27">
        <f t="shared" si="34"/>
        <v>0</v>
      </c>
    </row>
    <row r="1636" spans="1:7" x14ac:dyDescent="0.25">
      <c r="A1636" s="120" t="str">
        <f>RIGHT(CSTABLE[[#This Row],[NomeNCM]],8)</f>
        <v>04013021</v>
      </c>
      <c r="B1636" s="123" t="s">
        <v>5547</v>
      </c>
      <c r="C1636" s="3" t="str">
        <f>IFERROR(VLOOKUP(B1636,ST!C:D,2,0),"NÃOST")</f>
        <v>NÃOST</v>
      </c>
      <c r="E1636" s="3" t="str">
        <f>IF(COUNTIF(ISENÇÕES!A:A,CST!B1636)&gt;0,"ISENÇÃO","SEM ISENÇÃO")</f>
        <v>SEM ISENÇÃO</v>
      </c>
      <c r="F1636" s="18" t="str">
        <f>IF(COUNTIF(REDUÇÕES!A:A,CST!B1636)&gt;0,"REDUÇÃO","NÃO REDUÇÃO")</f>
        <v>NÃO REDUÇÃO</v>
      </c>
      <c r="G1636" s="27">
        <f t="shared" si="34"/>
        <v>0</v>
      </c>
    </row>
    <row r="1637" spans="1:7" x14ac:dyDescent="0.25">
      <c r="A1637" s="120" t="str">
        <f>RIGHT(CSTABLE[[#This Row],[NomeNCM]],8)</f>
        <v>07032000</v>
      </c>
      <c r="B1637" s="123" t="s">
        <v>5548</v>
      </c>
      <c r="C1637" s="3" t="str">
        <f>IFERROR(VLOOKUP(B1637,ST!C:D,2,0),"NÃOST")</f>
        <v>NÃOST</v>
      </c>
      <c r="E1637" s="3" t="str">
        <f>IF(COUNTIF(ISENÇÕES!A:A,CST!B1637)&gt;0,"ISENÇÃO","SEM ISENÇÃO")</f>
        <v>SEM ISENÇÃO</v>
      </c>
      <c r="F1637" s="18" t="str">
        <f>IF(COUNTIF(REDUÇÕES!A:A,CST!B1637)&gt;0,"REDUÇÃO","NÃO REDUÇÃO")</f>
        <v>NÃO REDUÇÃO</v>
      </c>
      <c r="G1637" s="27">
        <f t="shared" si="34"/>
        <v>0</v>
      </c>
    </row>
    <row r="1638" spans="1:7" x14ac:dyDescent="0.25">
      <c r="A1638" s="120" t="str">
        <f>RIGHT(CSTABLE[[#This Row],[NomeNCM]],8)</f>
        <v>07039010</v>
      </c>
      <c r="B1638" s="123" t="s">
        <v>5385</v>
      </c>
      <c r="C1638" s="3" t="str">
        <f>IFERROR(VLOOKUP(B1638,ST!C:D,2,0),"NÃOST")</f>
        <v>NÃOST</v>
      </c>
      <c r="E1638" s="3" t="str">
        <f>IF(COUNTIF(ISENÇÕES!A:A,CST!B1638)&gt;0,"ISENÇÃO","SEM ISENÇÃO")</f>
        <v>ISENÇÃO</v>
      </c>
      <c r="F1638" s="18" t="str">
        <f>IF(COUNTIF(REDUÇÕES!A:A,CST!B1638)&gt;0,"REDUÇÃO","NÃO REDUÇÃO")</f>
        <v>NÃO REDUÇÃO</v>
      </c>
      <c r="G1638" s="27">
        <f t="shared" si="34"/>
        <v>40</v>
      </c>
    </row>
    <row r="1639" spans="1:7" x14ac:dyDescent="0.25">
      <c r="A1639" s="120" t="str">
        <f>RIGHT(CSTABLE[[#This Row],[NomeNCM]],8)</f>
        <v>07042000</v>
      </c>
      <c r="B1639" s="123" t="s">
        <v>5387</v>
      </c>
      <c r="C1639" s="3" t="str">
        <f>IFERROR(VLOOKUP(B1639,ST!C:D,2,0),"NÃOST")</f>
        <v>NÃOST</v>
      </c>
      <c r="E1639" s="3" t="str">
        <f>IF(COUNTIF(ISENÇÕES!A:A,CST!B1639)&gt;0,"ISENÇÃO","SEM ISENÇÃO")</f>
        <v>ISENÇÃO</v>
      </c>
      <c r="F1639" s="18" t="str">
        <f>IF(COUNTIF(REDUÇÕES!A:A,CST!B1639)&gt;0,"REDUÇÃO","NÃO REDUÇÃO")</f>
        <v>NÃO REDUÇÃO</v>
      </c>
      <c r="G1639" s="27">
        <f t="shared" si="34"/>
        <v>40</v>
      </c>
    </row>
    <row r="1640" spans="1:7" x14ac:dyDescent="0.25">
      <c r="A1640" s="120" t="str">
        <f>RIGHT(CSTABLE[[#This Row],[NomeNCM]],8)</f>
        <v>08022200</v>
      </c>
      <c r="B1640" s="123" t="s">
        <v>5454</v>
      </c>
      <c r="C1640" s="3" t="str">
        <f>IFERROR(VLOOKUP(B1640,ST!C:D,2,0),"NÃOST")</f>
        <v>NÃOST</v>
      </c>
      <c r="E1640" s="3" t="str">
        <f>IF(COUNTIF(ISENÇÕES!A:A,CST!B1640)&gt;0,"ISENÇÃO","SEM ISENÇÃO")</f>
        <v>SEM ISENÇÃO</v>
      </c>
      <c r="F1640" s="18" t="str">
        <f>IF(COUNTIF(REDUÇÕES!A:A,CST!B1640)&gt;0,"REDUÇÃO","NÃO REDUÇÃO")</f>
        <v>NÃO REDUÇÃO</v>
      </c>
      <c r="G1640" s="27">
        <f t="shared" si="34"/>
        <v>0</v>
      </c>
    </row>
    <row r="1641" spans="1:7" x14ac:dyDescent="0.25">
      <c r="A1641" s="120" t="str">
        <f>RIGHT(CSTABLE[[#This Row],[NomeNCM]],8)</f>
        <v>08045600</v>
      </c>
      <c r="B1641" s="123" t="s">
        <v>5549</v>
      </c>
      <c r="C1641" s="3" t="str">
        <f>IFERROR(VLOOKUP(B1641,ST!C:D,2,0),"NÃOST")</f>
        <v>NÃOST</v>
      </c>
      <c r="E1641" s="3" t="str">
        <f>IF(COUNTIF(ISENÇÕES!A:A,CST!B1641)&gt;0,"ISENÇÃO","SEM ISENÇÃO")</f>
        <v>SEM ISENÇÃO</v>
      </c>
      <c r="F1641" s="18" t="str">
        <f>IF(COUNTIF(REDUÇÕES!A:A,CST!B1641)&gt;0,"REDUÇÃO","NÃO REDUÇÃO")</f>
        <v>NÃO REDUÇÃO</v>
      </c>
      <c r="G1641" s="27">
        <f t="shared" si="34"/>
        <v>0</v>
      </c>
    </row>
    <row r="1642" spans="1:7" x14ac:dyDescent="0.25">
      <c r="A1642" s="120" t="str">
        <f>RIGHT(CSTABLE[[#This Row],[NomeNCM]],8)</f>
        <v>08109016</v>
      </c>
      <c r="B1642" s="123" t="s">
        <v>5501</v>
      </c>
      <c r="C1642" s="3" t="str">
        <f>IFERROR(VLOOKUP(B1642,ST!C:D,2,0),"NÃOST")</f>
        <v>NÃOST</v>
      </c>
      <c r="E1642" s="3" t="str">
        <f>IF(COUNTIF(ISENÇÕES!A:A,CST!B1642)&gt;0,"ISENÇÃO","SEM ISENÇÃO")</f>
        <v>ISENÇÃO</v>
      </c>
      <c r="F1642" s="18" t="str">
        <f>IF(COUNTIF(REDUÇÕES!A:A,CST!B1642)&gt;0,"REDUÇÃO","NÃO REDUÇÃO")</f>
        <v>NÃO REDUÇÃO</v>
      </c>
      <c r="G1642" s="27">
        <f t="shared" si="34"/>
        <v>40</v>
      </c>
    </row>
    <row r="1643" spans="1:7" x14ac:dyDescent="0.25">
      <c r="A1643" s="120" t="str">
        <f>RIGHT(CSTABLE[[#This Row],[NomeNCM]],8)</f>
        <v>09041101</v>
      </c>
      <c r="B1643" s="123" t="s">
        <v>5550</v>
      </c>
      <c r="C1643" s="3" t="str">
        <f>IFERROR(VLOOKUP(B1643,ST!C:D,2,0),"NÃOST")</f>
        <v>NÃOST</v>
      </c>
      <c r="E1643" s="3" t="str">
        <f>IF(COUNTIF(ISENÇÕES!A:A,CST!B1643)&gt;0,"ISENÇÃO","SEM ISENÇÃO")</f>
        <v>SEM ISENÇÃO</v>
      </c>
      <c r="F1643" s="18" t="str">
        <f>IF(COUNTIF(REDUÇÕES!A:A,CST!B1643)&gt;0,"REDUÇÃO","NÃO REDUÇÃO")</f>
        <v>NÃO REDUÇÃO</v>
      </c>
      <c r="G1643" s="27">
        <f t="shared" si="34"/>
        <v>0</v>
      </c>
    </row>
    <row r="1644" spans="1:7" x14ac:dyDescent="0.25">
      <c r="A1644" s="120" t="str">
        <f>RIGHT(CSTABLE[[#This Row],[NomeNCM]],8)</f>
        <v>09070000</v>
      </c>
      <c r="B1644" s="123" t="s">
        <v>5551</v>
      </c>
      <c r="C1644" s="3" t="str">
        <f>IFERROR(VLOOKUP(B1644,ST!C:D,2,0),"NÃOST")</f>
        <v>NÃOST</v>
      </c>
      <c r="E1644" s="3" t="str">
        <f>IF(COUNTIF(ISENÇÕES!A:A,CST!B1644)&gt;0,"ISENÇÃO","SEM ISENÇÃO")</f>
        <v>SEM ISENÇÃO</v>
      </c>
      <c r="F1644" s="18" t="str">
        <f>IF(COUNTIF(REDUÇÕES!A:A,CST!B1644)&gt;0,"REDUÇÃO","NÃO REDUÇÃO")</f>
        <v>NÃO REDUÇÃO</v>
      </c>
      <c r="G1644" s="27">
        <f t="shared" si="34"/>
        <v>0</v>
      </c>
    </row>
    <row r="1645" spans="1:7" x14ac:dyDescent="0.25">
      <c r="A1645" s="120" t="str">
        <f>RIGHT(CSTABLE[[#This Row],[NomeNCM]],8)</f>
        <v>09092000</v>
      </c>
      <c r="B1645" s="123" t="s">
        <v>5552</v>
      </c>
      <c r="C1645" s="3" t="str">
        <f>IFERROR(VLOOKUP(B1645,ST!C:D,2,0),"NÃOST")</f>
        <v>NÃOST</v>
      </c>
      <c r="E1645" s="3" t="str">
        <f>IF(COUNTIF(ISENÇÕES!A:A,CST!B1645)&gt;0,"ISENÇÃO","SEM ISENÇÃO")</f>
        <v>SEM ISENÇÃO</v>
      </c>
      <c r="F1645" s="18" t="str">
        <f>IF(COUNTIF(REDUÇÕES!A:A,CST!B1645)&gt;0,"REDUÇÃO","NÃO REDUÇÃO")</f>
        <v>NÃO REDUÇÃO</v>
      </c>
      <c r="G1645" s="27">
        <f t="shared" si="34"/>
        <v>0</v>
      </c>
    </row>
    <row r="1646" spans="1:7" x14ac:dyDescent="0.25">
      <c r="A1646" s="120" t="str">
        <f>RIGHT(CSTABLE[[#This Row],[NomeNCM]],8)</f>
        <v>09105000</v>
      </c>
      <c r="B1646" s="123" t="s">
        <v>5553</v>
      </c>
      <c r="C1646" s="3" t="str">
        <f>IFERROR(VLOOKUP(B1646,ST!C:D,2,0),"NÃOST")</f>
        <v>NÃOST</v>
      </c>
      <c r="E1646" s="3" t="str">
        <f>IF(COUNTIF(ISENÇÕES!A:A,CST!B1646)&gt;0,"ISENÇÃO","SEM ISENÇÃO")</f>
        <v>SEM ISENÇÃO</v>
      </c>
      <c r="F1646" s="18" t="str">
        <f>IF(COUNTIF(REDUÇÕES!A:A,CST!B1646)&gt;0,"REDUÇÃO","NÃO REDUÇÃO")</f>
        <v>NÃO REDUÇÃO</v>
      </c>
      <c r="G1646" s="27">
        <f t="shared" si="34"/>
        <v>0</v>
      </c>
    </row>
    <row r="1647" spans="1:7" x14ac:dyDescent="0.25">
      <c r="A1647" s="120" t="str">
        <f>RIGHT(CSTABLE[[#This Row],[NomeNCM]],8)</f>
        <v>40310000</v>
      </c>
      <c r="B1647" s="123" t="s">
        <v>5554</v>
      </c>
      <c r="C1647" s="3" t="str">
        <f>IFERROR(VLOOKUP(B1647,ST!C:D,2,0),"NÃOST")</f>
        <v>NÃOST</v>
      </c>
      <c r="E1647" s="3" t="str">
        <f>IF(COUNTIF(ISENÇÕES!A:A,CST!B1647)&gt;0,"ISENÇÃO","SEM ISENÇÃO")</f>
        <v>SEM ISENÇÃO</v>
      </c>
      <c r="F1647" s="18" t="str">
        <f>IF(COUNTIF(REDUÇÕES!A:A,CST!B1647)&gt;0,"REDUÇÃO","NÃO REDUÇÃO")</f>
        <v>NÃO REDUÇÃO</v>
      </c>
      <c r="G1647" s="27">
        <f t="shared" si="34"/>
        <v>0</v>
      </c>
    </row>
    <row r="1648" spans="1:7" x14ac:dyDescent="0.25">
      <c r="A1648" s="120" t="str">
        <f>RIGHT(CSTABLE[[#This Row],[NomeNCM]],8)</f>
        <v>40390000</v>
      </c>
      <c r="B1648" s="123" t="s">
        <v>5555</v>
      </c>
      <c r="C1648" s="3" t="str">
        <f>IFERROR(VLOOKUP(B1648,ST!C:D,2,0),"NÃOST")</f>
        <v>NÃOST</v>
      </c>
      <c r="E1648" s="3" t="str">
        <f>IF(COUNTIF(ISENÇÕES!A:A,CST!B1648)&gt;0,"ISENÇÃO","SEM ISENÇÃO")</f>
        <v>SEM ISENÇÃO</v>
      </c>
      <c r="F1648" s="18" t="str">
        <f>IF(COUNTIF(REDUÇÕES!A:A,CST!B1648)&gt;0,"REDUÇÃO","NÃO REDUÇÃO")</f>
        <v>NÃO REDUÇÃO</v>
      </c>
      <c r="G1648" s="27">
        <f t="shared" si="34"/>
        <v>0</v>
      </c>
    </row>
    <row r="1649" spans="1:7" x14ac:dyDescent="0.25">
      <c r="A1649" s="120" t="str">
        <f>RIGHT(CSTABLE[[#This Row],[NomeNCM]],8)</f>
        <v>40630000</v>
      </c>
      <c r="B1649" s="123" t="s">
        <v>5556</v>
      </c>
      <c r="C1649" s="49" t="str">
        <f>IFERROR(VLOOKUP(B1649,ST!C:D,2,0),"NÃOST")</f>
        <v>NÃOST</v>
      </c>
      <c r="E1649" s="49" t="str">
        <f>IF(COUNTIF(ISENÇÕES!A:A,CST!B1649)&gt;0,"ISENÇÃO","SEM ISENÇÃO")</f>
        <v>SEM ISENÇÃO</v>
      </c>
      <c r="F1649" s="50" t="str">
        <f>IF(COUNTIF(REDUÇÕES!A:A,CST!B1649)&gt;0,"REDUÇÃO","NÃO REDUÇÃO")</f>
        <v>NÃO REDUÇÃO</v>
      </c>
      <c r="G1649" s="51">
        <f t="shared" si="34"/>
        <v>0</v>
      </c>
    </row>
    <row r="1650" spans="1:7" x14ac:dyDescent="0.25">
      <c r="A1650" s="120" t="str">
        <f>RIGHT(CSTABLE[[#This Row],[NomeNCM]],8)</f>
        <v>03043290</v>
      </c>
      <c r="B1650" s="123" t="s">
        <v>3249</v>
      </c>
      <c r="C1650" s="3" t="str">
        <f>IFERROR(VLOOKUP(B1650,ST!C:D,2,0),"NÃOST")</f>
        <v>NÃOST</v>
      </c>
      <c r="E1650" s="3" t="str">
        <f>IF(COUNTIF(ISENÇÕES!A:A,CST!B1650)&gt;0,"ISENÇÃO","SEM ISENÇÃO")</f>
        <v>SEM ISENÇÃO</v>
      </c>
      <c r="F1650" s="18" t="str">
        <f>IF(COUNTIF(REDUÇÕES!A:A,CST!B1650)&gt;0,"REDUÇÃO","NÃO REDUÇÃO")</f>
        <v>NÃO REDUÇÃO</v>
      </c>
      <c r="G1650" s="27">
        <f t="shared" ref="G1650:G1681" si="35">VLOOKUP(C1650&amp;F1650&amp;E1650,$B$3:$F$10,5,0)</f>
        <v>0</v>
      </c>
    </row>
    <row r="1651" spans="1:7" x14ac:dyDescent="0.25">
      <c r="A1651" s="120" t="str">
        <f>RIGHT(CSTABLE[[#This Row],[NomeNCM]],8)</f>
        <v>03051000</v>
      </c>
      <c r="B1651" s="123" t="s">
        <v>3475</v>
      </c>
      <c r="C1651" s="3" t="str">
        <f>IFERROR(VLOOKUP(B1651,ST!C:D,2,0),"NÃOST")</f>
        <v>NÃOST</v>
      </c>
      <c r="E1651" s="3" t="str">
        <f>IF(COUNTIF(ISENÇÕES!A:A,CST!B1651)&gt;0,"ISENÇÃO","SEM ISENÇÃO")</f>
        <v>SEM ISENÇÃO</v>
      </c>
      <c r="F1651" s="18" t="str">
        <f>IF(COUNTIF(REDUÇÕES!A:A,CST!B1651)&gt;0,"REDUÇÃO","NÃO REDUÇÃO")</f>
        <v>NÃO REDUÇÃO</v>
      </c>
      <c r="G1651" s="27">
        <f t="shared" si="35"/>
        <v>0</v>
      </c>
    </row>
    <row r="1652" spans="1:7" x14ac:dyDescent="0.25">
      <c r="A1652" s="120" t="str">
        <f>RIGHT(CSTABLE[[#This Row],[NomeNCM]],8)</f>
        <v>08042010</v>
      </c>
      <c r="B1652" s="123" t="s">
        <v>5474</v>
      </c>
      <c r="C1652" s="3" t="str">
        <f>IFERROR(VLOOKUP(B1652,ST!C:D,2,0),"NÃOST")</f>
        <v>NÃOST</v>
      </c>
      <c r="E1652" s="3" t="str">
        <f>IF(COUNTIF(ISENÇÕES!A:A,CST!B1652)&gt;0,"ISENÇÃO","SEM ISENÇÃO")</f>
        <v>ISENÇÃO</v>
      </c>
      <c r="F1652" s="18" t="str">
        <f>IF(COUNTIF(REDUÇÕES!A:A,CST!B1652)&gt;0,"REDUÇÃO","NÃO REDUÇÃO")</f>
        <v>NÃO REDUÇÃO</v>
      </c>
      <c r="G1652" s="27">
        <f t="shared" si="35"/>
        <v>40</v>
      </c>
    </row>
    <row r="1653" spans="1:7" x14ac:dyDescent="0.25">
      <c r="A1653" s="120" t="str">
        <f>RIGHT(CSTABLE[[#This Row],[NomeNCM]],8)</f>
        <v>10081090</v>
      </c>
      <c r="B1653" s="123" t="s">
        <v>5560</v>
      </c>
      <c r="C1653" s="3" t="str">
        <f>IFERROR(VLOOKUP(B1653,ST!C:D,2,0),"NÃOST")</f>
        <v>NÃOST</v>
      </c>
      <c r="E1653" s="3" t="str">
        <f>IF(COUNTIF(ISENÇÕES!A:A,CST!B1653)&gt;0,"ISENÇÃO","SEM ISENÇÃO")</f>
        <v>SEM ISENÇÃO</v>
      </c>
      <c r="F1653" s="18" t="str">
        <f>IF(COUNTIF(REDUÇÕES!A:A,CST!B1653)&gt;0,"REDUÇÃO","NÃO REDUÇÃO")</f>
        <v>NÃO REDUÇÃO</v>
      </c>
      <c r="G1653" s="27">
        <f t="shared" si="35"/>
        <v>0</v>
      </c>
    </row>
    <row r="1654" spans="1:7" x14ac:dyDescent="0.25">
      <c r="A1654" s="120" t="str">
        <f>RIGHT(CSTABLE[[#This Row],[NomeNCM]],8)</f>
        <v>11063029</v>
      </c>
      <c r="B1654" s="123" t="s">
        <v>5561</v>
      </c>
      <c r="C1654" s="3" t="str">
        <f>IFERROR(VLOOKUP(B1654,ST!C:D,2,0),"NÃOST")</f>
        <v>NÃOST</v>
      </c>
      <c r="E1654" s="3" t="str">
        <f>IF(COUNTIF(ISENÇÕES!A:A,CST!B1654)&gt;0,"ISENÇÃO","SEM ISENÇÃO")</f>
        <v>SEM ISENÇÃO</v>
      </c>
      <c r="F1654" s="18" t="str">
        <f>IF(COUNTIF(REDUÇÕES!A:A,CST!B1654)&gt;0,"REDUÇÃO","NÃO REDUÇÃO")</f>
        <v>NÃO REDUÇÃO</v>
      </c>
      <c r="G1654" s="27">
        <f t="shared" si="35"/>
        <v>0</v>
      </c>
    </row>
    <row r="1655" spans="1:7" x14ac:dyDescent="0.25">
      <c r="A1655" s="120" t="str">
        <f>RIGHT(CSTABLE[[#This Row],[NomeNCM]],8)</f>
        <v>15121919</v>
      </c>
      <c r="B1655" s="123" t="s">
        <v>5337</v>
      </c>
      <c r="C1655" s="3" t="str">
        <f>IFERROR(VLOOKUP(B1655,ST!C:D,2,0),"NÃOST")</f>
        <v>NÃOST</v>
      </c>
      <c r="E1655" s="3" t="str">
        <f>IF(COUNTIF(ISENÇÕES!A:A,CST!B1655)&gt;0,"ISENÇÃO","SEM ISENÇÃO")</f>
        <v>SEM ISENÇÃO</v>
      </c>
      <c r="F1655" s="18" t="str">
        <f>IF(COUNTIF(REDUÇÕES!A:A,CST!B1655)&gt;0,"REDUÇÃO","NÃO REDUÇÃO")</f>
        <v>NÃO REDUÇÃO</v>
      </c>
      <c r="G1655" s="27">
        <f t="shared" si="35"/>
        <v>0</v>
      </c>
    </row>
    <row r="1656" spans="1:7" x14ac:dyDescent="0.25">
      <c r="A1656" s="120" t="str">
        <f>RIGHT(CSTABLE[[#This Row],[NomeNCM]],8)</f>
        <v>16020000</v>
      </c>
      <c r="B1656" s="123" t="s">
        <v>5562</v>
      </c>
      <c r="C1656" s="3" t="str">
        <f>IFERROR(VLOOKUP(B1656,ST!C:D,2,0),"NÃOST")</f>
        <v>NÃOST</v>
      </c>
      <c r="E1656" s="3" t="str">
        <f>IF(COUNTIF(ISENÇÕES!A:A,CST!B1656)&gt;0,"ISENÇÃO","SEM ISENÇÃO")</f>
        <v>SEM ISENÇÃO</v>
      </c>
      <c r="F1656" s="18" t="str">
        <f>IF(COUNTIF(REDUÇÕES!A:A,CST!B1656)&gt;0,"REDUÇÃO","NÃO REDUÇÃO")</f>
        <v>NÃO REDUÇÃO</v>
      </c>
      <c r="G1656" s="27">
        <f t="shared" si="35"/>
        <v>0</v>
      </c>
    </row>
    <row r="1657" spans="1:7" x14ac:dyDescent="0.25">
      <c r="A1657" s="120" t="str">
        <f>RIGHT(CSTABLE[[#This Row],[NomeNCM]],8)</f>
        <v>17021900</v>
      </c>
      <c r="B1657" s="123" t="s">
        <v>5563</v>
      </c>
      <c r="C1657" s="3" t="str">
        <f>IFERROR(VLOOKUP(B1657,ST!C:D,2,0),"NÃOST")</f>
        <v>NÃOST</v>
      </c>
      <c r="E1657" s="3" t="str">
        <f>IF(COUNTIF(ISENÇÕES!A:A,CST!B1657)&gt;0,"ISENÇÃO","SEM ISENÇÃO")</f>
        <v>SEM ISENÇÃO</v>
      </c>
      <c r="F1657" s="18" t="str">
        <f>IF(COUNTIF(REDUÇÕES!A:A,CST!B1657)&gt;0,"REDUÇÃO","NÃO REDUÇÃO")</f>
        <v>NÃO REDUÇÃO</v>
      </c>
      <c r="G1657" s="27">
        <f t="shared" si="35"/>
        <v>0</v>
      </c>
    </row>
    <row r="1658" spans="1:7" x14ac:dyDescent="0.25">
      <c r="A1658" s="120" t="str">
        <f>RIGHT(CSTABLE[[#This Row],[NomeNCM]],8)</f>
        <v>20039000</v>
      </c>
      <c r="B1658" s="123" t="s">
        <v>5564</v>
      </c>
      <c r="C1658" s="3" t="str">
        <f>IFERROR(VLOOKUP(B1658,ST!C:D,2,0),"NÃOST")</f>
        <v>NÃOST</v>
      </c>
      <c r="E1658" s="3" t="str">
        <f>IF(COUNTIF(ISENÇÕES!A:A,CST!B1658)&gt;0,"ISENÇÃO","SEM ISENÇÃO")</f>
        <v>SEM ISENÇÃO</v>
      </c>
      <c r="F1658" s="18" t="str">
        <f>IF(COUNTIF(REDUÇÕES!A:A,CST!B1658)&gt;0,"REDUÇÃO","NÃO REDUÇÃO")</f>
        <v>NÃO REDUÇÃO</v>
      </c>
      <c r="G1658" s="27">
        <f t="shared" si="35"/>
        <v>0</v>
      </c>
    </row>
    <row r="1659" spans="1:7" x14ac:dyDescent="0.25">
      <c r="A1659" s="120" t="str">
        <f>RIGHT(CSTABLE[[#This Row],[NomeNCM]],8)</f>
        <v>22083000</v>
      </c>
      <c r="B1659" s="123" t="s">
        <v>5565</v>
      </c>
      <c r="C1659" s="3" t="str">
        <f>IFERROR(VLOOKUP(B1659,ST!C:D,2,0),"NÃOST")</f>
        <v>NÃOST</v>
      </c>
      <c r="E1659" s="3" t="str">
        <f>IF(COUNTIF(ISENÇÕES!A:A,CST!B1659)&gt;0,"ISENÇÃO","SEM ISENÇÃO")</f>
        <v>SEM ISENÇÃO</v>
      </c>
      <c r="F1659" s="18" t="str">
        <f>IF(COUNTIF(REDUÇÕES!A:A,CST!B1659)&gt;0,"REDUÇÃO","NÃO REDUÇÃO")</f>
        <v>NÃO REDUÇÃO</v>
      </c>
      <c r="G1659" s="27">
        <f t="shared" si="35"/>
        <v>0</v>
      </c>
    </row>
    <row r="1660" spans="1:7" x14ac:dyDescent="0.25">
      <c r="A1660" s="120" t="str">
        <f>RIGHT(CSTABLE[[#This Row],[NomeNCM]],8)</f>
        <v>29251100</v>
      </c>
      <c r="B1660" s="123" t="s">
        <v>5566</v>
      </c>
      <c r="C1660" s="3" t="str">
        <f>IFERROR(VLOOKUP(B1660,ST!C:D,2,0),"NÃOST")</f>
        <v>NÃOST</v>
      </c>
      <c r="E1660" s="3" t="str">
        <f>IF(COUNTIF(ISENÇÕES!A:A,CST!B1660)&gt;0,"ISENÇÃO","SEM ISENÇÃO")</f>
        <v>SEM ISENÇÃO</v>
      </c>
      <c r="F1660" s="18" t="str">
        <f>IF(COUNTIF(REDUÇÕES!A:A,CST!B1660)&gt;0,"REDUÇÃO","NÃO REDUÇÃO")</f>
        <v>NÃO REDUÇÃO</v>
      </c>
      <c r="G1660" s="27">
        <f t="shared" si="35"/>
        <v>0</v>
      </c>
    </row>
    <row r="1661" spans="1:7" x14ac:dyDescent="0.25">
      <c r="A1661" s="120" t="str">
        <f>RIGHT(CSTABLE[[#This Row],[NomeNCM]],8)</f>
        <v>34042010</v>
      </c>
      <c r="B1661" s="123" t="s">
        <v>5567</v>
      </c>
      <c r="C1661" s="3" t="str">
        <f>IFERROR(VLOOKUP(B1661,ST!C:D,2,0),"NÃOST")</f>
        <v>NÃOST</v>
      </c>
      <c r="E1661" s="3" t="str">
        <f>IF(COUNTIF(ISENÇÕES!A:A,CST!B1661)&gt;0,"ISENÇÃO","SEM ISENÇÃO")</f>
        <v>SEM ISENÇÃO</v>
      </c>
      <c r="F1661" s="18" t="str">
        <f>IF(COUNTIF(REDUÇÕES!A:A,CST!B1661)&gt;0,"REDUÇÃO","NÃO REDUÇÃO")</f>
        <v>NÃO REDUÇÃO</v>
      </c>
      <c r="G1661" s="27">
        <f t="shared" si="35"/>
        <v>0</v>
      </c>
    </row>
    <row r="1662" spans="1:7" x14ac:dyDescent="0.25">
      <c r="A1662" s="120" t="str">
        <f>RIGHT(CSTABLE[[#This Row],[NomeNCM]],8)</f>
        <v>35030090</v>
      </c>
      <c r="B1662" s="123" t="s">
        <v>5568</v>
      </c>
      <c r="C1662" s="3" t="str">
        <f>IFERROR(VLOOKUP(B1662,ST!C:D,2,0),"NÃOST")</f>
        <v>NÃOST</v>
      </c>
      <c r="E1662" s="3" t="str">
        <f>IF(COUNTIF(ISENÇÕES!A:A,CST!B1662)&gt;0,"ISENÇÃO","SEM ISENÇÃO")</f>
        <v>SEM ISENÇÃO</v>
      </c>
      <c r="F1662" s="18" t="str">
        <f>IF(COUNTIF(REDUÇÕES!A:A,CST!B1662)&gt;0,"REDUÇÃO","NÃO REDUÇÃO")</f>
        <v>NÃO REDUÇÃO</v>
      </c>
      <c r="G1662" s="27">
        <f t="shared" si="35"/>
        <v>0</v>
      </c>
    </row>
    <row r="1663" spans="1:7" x14ac:dyDescent="0.25">
      <c r="A1663" s="120" t="str">
        <f>RIGHT(CSTABLE[[#This Row],[NomeNCM]],8)</f>
        <v>35079019</v>
      </c>
      <c r="B1663" s="123" t="s">
        <v>5569</v>
      </c>
      <c r="C1663" s="3" t="str">
        <f>IFERROR(VLOOKUP(B1663,ST!C:D,2,0),"NÃOST")</f>
        <v>NÃOST</v>
      </c>
      <c r="E1663" s="3" t="str">
        <f>IF(COUNTIF(ISENÇÕES!A:A,CST!B1663)&gt;0,"ISENÇÃO","SEM ISENÇÃO")</f>
        <v>SEM ISENÇÃO</v>
      </c>
      <c r="F1663" s="18" t="str">
        <f>IF(COUNTIF(REDUÇÕES!A:A,CST!B1663)&gt;0,"REDUÇÃO","NÃO REDUÇÃO")</f>
        <v>NÃO REDUÇÃO</v>
      </c>
      <c r="G1663" s="27">
        <f t="shared" si="35"/>
        <v>0</v>
      </c>
    </row>
    <row r="1664" spans="1:7" x14ac:dyDescent="0.25">
      <c r="A1664" s="120" t="str">
        <f>RIGHT(CSTABLE[[#This Row],[NomeNCM]],8)</f>
        <v>38091090</v>
      </c>
      <c r="B1664" s="123" t="s">
        <v>5570</v>
      </c>
      <c r="C1664" s="3" t="str">
        <f>IFERROR(VLOOKUP(B1664,ST!C:D,2,0),"NÃOST")</f>
        <v>NÃOST</v>
      </c>
      <c r="E1664" s="3" t="str">
        <f>IF(COUNTIF(ISENÇÕES!A:A,CST!B1664)&gt;0,"ISENÇÃO","SEM ISENÇÃO")</f>
        <v>SEM ISENÇÃO</v>
      </c>
      <c r="F1664" s="18" t="str">
        <f>IF(COUNTIF(REDUÇÕES!A:A,CST!B1664)&gt;0,"REDUÇÃO","NÃO REDUÇÃO")</f>
        <v>NÃO REDUÇÃO</v>
      </c>
      <c r="G1664" s="27">
        <f t="shared" si="35"/>
        <v>0</v>
      </c>
    </row>
    <row r="1665" spans="1:7" x14ac:dyDescent="0.25">
      <c r="A1665" s="120" t="str">
        <f>RIGHT(CSTABLE[[#This Row],[NomeNCM]],8)</f>
        <v>48021000</v>
      </c>
      <c r="B1665" s="123" t="s">
        <v>5571</v>
      </c>
      <c r="C1665" s="3" t="str">
        <f>IFERROR(VLOOKUP(B1665,ST!C:D,2,0),"NÃOST")</f>
        <v>NÃOST</v>
      </c>
      <c r="E1665" s="3" t="str">
        <f>IF(COUNTIF(ISENÇÕES!A:A,CST!B1665)&gt;0,"ISENÇÃO","SEM ISENÇÃO")</f>
        <v>SEM ISENÇÃO</v>
      </c>
      <c r="F1665" s="18" t="str">
        <f>IF(COUNTIF(REDUÇÕES!A:A,CST!B1665)&gt;0,"REDUÇÃO","NÃO REDUÇÃO")</f>
        <v>NÃO REDUÇÃO</v>
      </c>
      <c r="G1665" s="27">
        <f t="shared" si="35"/>
        <v>0</v>
      </c>
    </row>
    <row r="1666" spans="1:7" x14ac:dyDescent="0.25">
      <c r="A1666" s="120" t="str">
        <f>RIGHT(CSTABLE[[#This Row],[NomeNCM]],8)</f>
        <v>48190000</v>
      </c>
      <c r="B1666" s="123" t="s">
        <v>5572</v>
      </c>
      <c r="C1666" s="3" t="str">
        <f>IFERROR(VLOOKUP(B1666,ST!C:D,2,0),"NÃOST")</f>
        <v>NÃOST</v>
      </c>
      <c r="E1666" s="3" t="str">
        <f>IF(COUNTIF(ISENÇÕES!A:A,CST!B1666)&gt;0,"ISENÇÃO","SEM ISENÇÃO")</f>
        <v>SEM ISENÇÃO</v>
      </c>
      <c r="F1666" s="18" t="str">
        <f>IF(COUNTIF(REDUÇÕES!A:A,CST!B1666)&gt;0,"REDUÇÃO","NÃO REDUÇÃO")</f>
        <v>NÃO REDUÇÃO</v>
      </c>
      <c r="G1666" s="27">
        <f t="shared" si="35"/>
        <v>0</v>
      </c>
    </row>
    <row r="1667" spans="1:7" x14ac:dyDescent="0.25">
      <c r="A1667" s="120" t="str">
        <f>RIGHT(CSTABLE[[#This Row],[NomeNCM]],8)</f>
        <v>52083300</v>
      </c>
      <c r="B1667" s="123" t="s">
        <v>5573</v>
      </c>
      <c r="C1667" s="3" t="str">
        <f>IFERROR(VLOOKUP(B1667,ST!C:D,2,0),"NÃOST")</f>
        <v>NÃOST</v>
      </c>
      <c r="E1667" s="3" t="str">
        <f>IF(COUNTIF(ISENÇÕES!A:A,CST!B1667)&gt;0,"ISENÇÃO","SEM ISENÇÃO")</f>
        <v>SEM ISENÇÃO</v>
      </c>
      <c r="F1667" s="18" t="str">
        <f>IF(COUNTIF(REDUÇÕES!A:A,CST!B1667)&gt;0,"REDUÇÃO","NÃO REDUÇÃO")</f>
        <v>NÃO REDUÇÃO</v>
      </c>
      <c r="G1667" s="27">
        <f t="shared" si="35"/>
        <v>0</v>
      </c>
    </row>
    <row r="1668" spans="1:7" x14ac:dyDescent="0.25">
      <c r="A1668" s="120" t="str">
        <f>RIGHT(CSTABLE[[#This Row],[NomeNCM]],8)</f>
        <v>57024100</v>
      </c>
      <c r="B1668" s="123" t="s">
        <v>5574</v>
      </c>
      <c r="C1668" s="3" t="str">
        <f>IFERROR(VLOOKUP(B1668,ST!C:D,2,0),"NÃOST")</f>
        <v>NÃOST</v>
      </c>
      <c r="E1668" s="3" t="str">
        <f>IF(COUNTIF(ISENÇÕES!A:A,CST!B1668)&gt;0,"ISENÇÃO","SEM ISENÇÃO")</f>
        <v>SEM ISENÇÃO</v>
      </c>
      <c r="F1668" s="18" t="str">
        <f>IF(COUNTIF(REDUÇÕES!A:A,CST!B1668)&gt;0,"REDUÇÃO","NÃO REDUÇÃO")</f>
        <v>NÃO REDUÇÃO</v>
      </c>
      <c r="G1668" s="27">
        <f t="shared" si="35"/>
        <v>0</v>
      </c>
    </row>
    <row r="1669" spans="1:7" x14ac:dyDescent="0.25">
      <c r="A1669" s="120" t="str">
        <f>RIGHT(CSTABLE[[#This Row],[NomeNCM]],8)</f>
        <v>63029990</v>
      </c>
      <c r="B1669" s="123" t="s">
        <v>5575</v>
      </c>
      <c r="C1669" s="3" t="str">
        <f>IFERROR(VLOOKUP(B1669,ST!C:D,2,0),"NÃOST")</f>
        <v>NÃOST</v>
      </c>
      <c r="E1669" s="3" t="str">
        <f>IF(COUNTIF(ISENÇÕES!A:A,CST!B1669)&gt;0,"ISENÇÃO","SEM ISENÇÃO")</f>
        <v>SEM ISENÇÃO</v>
      </c>
      <c r="F1669" s="18" t="str">
        <f>IF(COUNTIF(REDUÇÕES!A:A,CST!B1669)&gt;0,"REDUÇÃO","NÃO REDUÇÃO")</f>
        <v>NÃO REDUÇÃO</v>
      </c>
      <c r="G1669" s="27">
        <f t="shared" si="35"/>
        <v>0</v>
      </c>
    </row>
    <row r="1670" spans="1:7" x14ac:dyDescent="0.25">
      <c r="A1670" s="120" t="str">
        <f>RIGHT(CSTABLE[[#This Row],[NomeNCM]],8)</f>
        <v>63049900</v>
      </c>
      <c r="B1670" s="123" t="s">
        <v>5576</v>
      </c>
      <c r="C1670" s="3" t="str">
        <f>IFERROR(VLOOKUP(B1670,ST!C:D,2,0),"NÃOST")</f>
        <v>NÃOST</v>
      </c>
      <c r="E1670" s="3" t="str">
        <f>IF(COUNTIF(ISENÇÕES!A:A,CST!B1670)&gt;0,"ISENÇÃO","SEM ISENÇÃO")</f>
        <v>SEM ISENÇÃO</v>
      </c>
      <c r="F1670" s="18" t="str">
        <f>IF(COUNTIF(REDUÇÕES!A:A,CST!B1670)&gt;0,"REDUÇÃO","NÃO REDUÇÃO")</f>
        <v>NÃO REDUÇÃO</v>
      </c>
      <c r="G1670" s="27">
        <f t="shared" si="35"/>
        <v>0</v>
      </c>
    </row>
    <row r="1671" spans="1:7" x14ac:dyDescent="0.25">
      <c r="A1671" s="120" t="str">
        <f>RIGHT(CSTABLE[[#This Row],[NomeNCM]],8)</f>
        <v>64021900</v>
      </c>
      <c r="B1671" s="123" t="s">
        <v>5577</v>
      </c>
      <c r="C1671" s="3" t="str">
        <f>IFERROR(VLOOKUP(B1671,ST!C:D,2,0),"NÃOST")</f>
        <v>NÃOST</v>
      </c>
      <c r="E1671" s="3" t="str">
        <f>IF(COUNTIF(ISENÇÕES!A:A,CST!B1671)&gt;0,"ISENÇÃO","SEM ISENÇÃO")</f>
        <v>SEM ISENÇÃO</v>
      </c>
      <c r="F1671" s="18" t="str">
        <f>IF(COUNTIF(REDUÇÕES!A:A,CST!B1671)&gt;0,"REDUÇÃO","NÃO REDUÇÃO")</f>
        <v>NÃO REDUÇÃO</v>
      </c>
      <c r="G1671" s="27">
        <f t="shared" si="35"/>
        <v>0</v>
      </c>
    </row>
    <row r="1672" spans="1:7" x14ac:dyDescent="0.25">
      <c r="A1672" s="120" t="str">
        <f>RIGHT(CSTABLE[[#This Row],[NomeNCM]],8)</f>
        <v>68042190</v>
      </c>
      <c r="B1672" s="123" t="s">
        <v>5578</v>
      </c>
      <c r="C1672" s="3" t="str">
        <f>IFERROR(VLOOKUP(B1672,ST!C:D,2,0),"NÃOST")</f>
        <v>NÃOST</v>
      </c>
      <c r="E1672" s="3" t="str">
        <f>IF(COUNTIF(ISENÇÕES!A:A,CST!B1672)&gt;0,"ISENÇÃO","SEM ISENÇÃO")</f>
        <v>SEM ISENÇÃO</v>
      </c>
      <c r="F1672" s="18" t="str">
        <f>IF(COUNTIF(REDUÇÕES!A:A,CST!B1672)&gt;0,"REDUÇÃO","NÃO REDUÇÃO")</f>
        <v>NÃO REDUÇÃO</v>
      </c>
      <c r="G1672" s="27">
        <f t="shared" si="35"/>
        <v>0</v>
      </c>
    </row>
    <row r="1673" spans="1:7" x14ac:dyDescent="0.25">
      <c r="A1673" s="120" t="str">
        <f>RIGHT(CSTABLE[[#This Row],[NomeNCM]],8)</f>
        <v>73261100</v>
      </c>
      <c r="B1673" s="123" t="s">
        <v>5579</v>
      </c>
      <c r="C1673" s="3" t="str">
        <f>IFERROR(VLOOKUP(B1673,ST!C:D,2,0),"NÃOST")</f>
        <v>NÃOST</v>
      </c>
      <c r="E1673" s="3" t="str">
        <f>IF(COUNTIF(ISENÇÕES!A:A,CST!B1673)&gt;0,"ISENÇÃO","SEM ISENÇÃO")</f>
        <v>SEM ISENÇÃO</v>
      </c>
      <c r="F1673" s="18" t="str">
        <f>IF(COUNTIF(REDUÇÕES!A:A,CST!B1673)&gt;0,"REDUÇÃO","NÃO REDUÇÃO")</f>
        <v>NÃO REDUÇÃO</v>
      </c>
      <c r="G1673" s="27">
        <f t="shared" si="35"/>
        <v>0</v>
      </c>
    </row>
    <row r="1674" spans="1:7" x14ac:dyDescent="0.25">
      <c r="A1674" s="120" t="str">
        <f>RIGHT(CSTABLE[[#This Row],[NomeNCM]],8)</f>
        <v>82051000</v>
      </c>
      <c r="B1674" s="123" t="s">
        <v>5580</v>
      </c>
      <c r="C1674" s="3" t="str">
        <f>IFERROR(VLOOKUP(B1674,ST!C:D,2,0),"NÃOST")</f>
        <v>NÃOST</v>
      </c>
      <c r="E1674" s="3" t="str">
        <f>IF(COUNTIF(ISENÇÕES!A:A,CST!B1674)&gt;0,"ISENÇÃO","SEM ISENÇÃO")</f>
        <v>SEM ISENÇÃO</v>
      </c>
      <c r="F1674" s="18" t="str">
        <f>IF(COUNTIF(REDUÇÕES!A:A,CST!B1674)&gt;0,"REDUÇÃO","NÃO REDUÇÃO")</f>
        <v>NÃO REDUÇÃO</v>
      </c>
      <c r="G1674" s="27">
        <f t="shared" si="35"/>
        <v>0</v>
      </c>
    </row>
    <row r="1675" spans="1:7" x14ac:dyDescent="0.25">
      <c r="A1675" s="120" t="str">
        <f>RIGHT(CSTABLE[[#This Row],[NomeNCM]],8)</f>
        <v>82149090</v>
      </c>
      <c r="B1675" s="123" t="s">
        <v>5581</v>
      </c>
      <c r="C1675" s="3" t="str">
        <f>IFERROR(VLOOKUP(B1675,ST!C:D,2,0),"NÃOST")</f>
        <v>NÃOST</v>
      </c>
      <c r="E1675" s="3" t="str">
        <f>IF(COUNTIF(ISENÇÕES!A:A,CST!B1675)&gt;0,"ISENÇÃO","SEM ISENÇÃO")</f>
        <v>SEM ISENÇÃO</v>
      </c>
      <c r="F1675" s="18" t="str">
        <f>IF(COUNTIF(REDUÇÕES!A:A,CST!B1675)&gt;0,"REDUÇÃO","NÃO REDUÇÃO")</f>
        <v>NÃO REDUÇÃO</v>
      </c>
      <c r="G1675" s="27">
        <f t="shared" si="35"/>
        <v>0</v>
      </c>
    </row>
    <row r="1676" spans="1:7" x14ac:dyDescent="0.25">
      <c r="A1676" s="120" t="str">
        <f>RIGHT(CSTABLE[[#This Row],[NomeNCM]],8)</f>
        <v>84812090</v>
      </c>
      <c r="B1676" s="123" t="s">
        <v>5582</v>
      </c>
      <c r="C1676" s="3" t="str">
        <f>IFERROR(VLOOKUP(B1676,ST!C:D,2,0),"NÃOST")</f>
        <v>NÃOST</v>
      </c>
      <c r="E1676" s="3" t="str">
        <f>IF(COUNTIF(ISENÇÕES!A:A,CST!B1676)&gt;0,"ISENÇÃO","SEM ISENÇÃO")</f>
        <v>SEM ISENÇÃO</v>
      </c>
      <c r="F1676" s="18" t="str">
        <f>IF(COUNTIF(REDUÇÕES!A:A,CST!B1676)&gt;0,"REDUÇÃO","NÃO REDUÇÃO")</f>
        <v>NÃO REDUÇÃO</v>
      </c>
      <c r="G1676" s="27">
        <f t="shared" si="35"/>
        <v>0</v>
      </c>
    </row>
    <row r="1677" spans="1:7" x14ac:dyDescent="0.25">
      <c r="A1677" s="120" t="str">
        <f>RIGHT(CSTABLE[[#This Row],[NomeNCM]],8)</f>
        <v>85162900</v>
      </c>
      <c r="B1677" s="123" t="s">
        <v>5583</v>
      </c>
      <c r="C1677" s="3" t="str">
        <f>IFERROR(VLOOKUP(B1677,ST!C:D,2,0),"NÃOST")</f>
        <v>NÃOST</v>
      </c>
      <c r="E1677" s="3" t="str">
        <f>IF(COUNTIF(ISENÇÕES!A:A,CST!B1677)&gt;0,"ISENÇÃO","SEM ISENÇÃO")</f>
        <v>SEM ISENÇÃO</v>
      </c>
      <c r="F1677" s="18" t="str">
        <f>IF(COUNTIF(REDUÇÕES!A:A,CST!B1677)&gt;0,"REDUÇÃO","NÃO REDUÇÃO")</f>
        <v>NÃO REDUÇÃO</v>
      </c>
      <c r="G1677" s="27">
        <f t="shared" si="35"/>
        <v>0</v>
      </c>
    </row>
    <row r="1678" spans="1:7" x14ac:dyDescent="0.25">
      <c r="A1678" s="120" t="str">
        <f>RIGHT(CSTABLE[[#This Row],[NomeNCM]],8)</f>
        <v>85171219</v>
      </c>
      <c r="B1678" s="123" t="s">
        <v>5584</v>
      </c>
      <c r="C1678" s="3" t="str">
        <f>IFERROR(VLOOKUP(B1678,ST!C:D,2,0),"NÃOST")</f>
        <v>NÃOST</v>
      </c>
      <c r="E1678" s="3" t="str">
        <f>IF(COUNTIF(ISENÇÕES!A:A,CST!B1678)&gt;0,"ISENÇÃO","SEM ISENÇÃO")</f>
        <v>SEM ISENÇÃO</v>
      </c>
      <c r="F1678" s="18" t="str">
        <f>IF(COUNTIF(REDUÇÕES!A:A,CST!B1678)&gt;0,"REDUÇÃO","NÃO REDUÇÃO")</f>
        <v>NÃO REDUÇÃO</v>
      </c>
      <c r="G1678" s="27">
        <f t="shared" si="35"/>
        <v>0</v>
      </c>
    </row>
    <row r="1679" spans="1:7" x14ac:dyDescent="0.25">
      <c r="A1679" s="120" t="str">
        <f>RIGHT(CSTABLE[[#This Row],[NomeNCM]],8)</f>
        <v>85271990</v>
      </c>
      <c r="B1679" s="123" t="s">
        <v>5585</v>
      </c>
      <c r="C1679" s="3" t="str">
        <f>IFERROR(VLOOKUP(B1679,ST!C:D,2,0),"NÃOST")</f>
        <v>NÃOST</v>
      </c>
      <c r="E1679" s="3" t="str">
        <f>IF(COUNTIF(ISENÇÕES!A:A,CST!B1679)&gt;0,"ISENÇÃO","SEM ISENÇÃO")</f>
        <v>SEM ISENÇÃO</v>
      </c>
      <c r="F1679" s="18" t="str">
        <f>IF(COUNTIF(REDUÇÕES!A:A,CST!B1679)&gt;0,"REDUÇÃO","NÃO REDUÇÃO")</f>
        <v>NÃO REDUÇÃO</v>
      </c>
      <c r="G1679" s="27">
        <f t="shared" si="35"/>
        <v>0</v>
      </c>
    </row>
    <row r="1680" spans="1:7" x14ac:dyDescent="0.25">
      <c r="A1680" s="120" t="str">
        <f>RIGHT(CSTABLE[[#This Row],[NomeNCM]],8)</f>
        <v>85352900</v>
      </c>
      <c r="B1680" s="123" t="s">
        <v>5586</v>
      </c>
      <c r="C1680" s="3" t="str">
        <f>IFERROR(VLOOKUP(B1680,ST!C:D,2,0),"NÃOST")</f>
        <v>NÃOST</v>
      </c>
      <c r="E1680" s="3" t="str">
        <f>IF(COUNTIF(ISENÇÕES!A:A,CST!B1680)&gt;0,"ISENÇÃO","SEM ISENÇÃO")</f>
        <v>SEM ISENÇÃO</v>
      </c>
      <c r="F1680" s="18" t="str">
        <f>IF(COUNTIF(REDUÇÕES!A:A,CST!B1680)&gt;0,"REDUÇÃO","NÃO REDUÇÃO")</f>
        <v>NÃO REDUÇÃO</v>
      </c>
      <c r="G1680" s="27">
        <f t="shared" si="35"/>
        <v>0</v>
      </c>
    </row>
    <row r="1681" spans="1:7" x14ac:dyDescent="0.25">
      <c r="A1681" s="120" t="str">
        <f>RIGHT(CSTABLE[[#This Row],[NomeNCM]],8)</f>
        <v>90173090</v>
      </c>
      <c r="B1681" s="123" t="s">
        <v>5587</v>
      </c>
      <c r="C1681" s="49" t="str">
        <f>IFERROR(VLOOKUP(B1681,ST!C:D,2,0),"NÃOST")</f>
        <v>NÃOST</v>
      </c>
      <c r="E1681" s="49" t="str">
        <f>IF(COUNTIF(ISENÇÕES!A:A,CST!B1681)&gt;0,"ISENÇÃO","SEM ISENÇÃO")</f>
        <v>SEM ISENÇÃO</v>
      </c>
      <c r="F1681" s="50" t="str">
        <f>IF(COUNTIF(REDUÇÕES!A:A,CST!B1681)&gt;0,"REDUÇÃO","NÃO REDUÇÃO")</f>
        <v>NÃO REDUÇÃO</v>
      </c>
      <c r="G1681" s="51">
        <f t="shared" si="35"/>
        <v>0</v>
      </c>
    </row>
    <row r="1682" spans="1:7" x14ac:dyDescent="0.25">
      <c r="A1682" s="120" t="str">
        <f>RIGHT(CSTABLE[[#This Row],[NomeNCM]],8)</f>
        <v>10062020</v>
      </c>
      <c r="B1682" s="123" t="s">
        <v>330</v>
      </c>
      <c r="C1682" s="49" t="str">
        <f>IFERROR(VLOOKUP(B1682,ST!C:D,2,0),"NÃOST")</f>
        <v>NÃOST</v>
      </c>
      <c r="E1682" s="49" t="str">
        <f>IF(COUNTIF(ISENÇÕES!A:A,CST!B1682)&gt;0,"ISENÇÃO","SEM ISENÇÃO")</f>
        <v>SEM ISENÇÃO</v>
      </c>
      <c r="F1682" s="50" t="str">
        <f>IF(COUNTIF(REDUÇÕES!A:A,CST!B1682)&gt;0,"REDUÇÃO","NÃO REDUÇÃO")</f>
        <v>REDUÇÃO</v>
      </c>
      <c r="G1682" s="51">
        <f>VLOOKUP(C1682&amp;F1682&amp;E1682,$B$3:$F$10,5,0)</f>
        <v>20</v>
      </c>
    </row>
    <row r="1683" spans="1:7" x14ac:dyDescent="0.25">
      <c r="A1683" s="120" t="str">
        <f>RIGHT(CSTABLE[[#This Row],[NomeNCM]],8)</f>
        <v>07149000</v>
      </c>
      <c r="B1683" s="123" t="s">
        <v>258</v>
      </c>
      <c r="C1683" s="49" t="str">
        <f>IFERROR(VLOOKUP(B1683,ST!C:D,2,0),"NÃOST")</f>
        <v>NÃOST</v>
      </c>
      <c r="E1683" s="49" t="str">
        <f>IF(COUNTIF(ISENÇÕES!A:A,CST!B1683)&gt;0,"ISENÇÃO","SEM ISENÇÃO")</f>
        <v>ISENÇÃO</v>
      </c>
      <c r="F1683" s="50" t="str">
        <f>IF(COUNTIF(REDUÇÕES!A:A,CST!B1683)&gt;0,"REDUÇÃO","NÃO REDUÇÃO")</f>
        <v>NÃO REDUÇÃO</v>
      </c>
      <c r="G1683" s="51">
        <f>VLOOKUP(C1683&amp;F1683&amp;E1683,$B$3:$F$10,5,0)</f>
        <v>40</v>
      </c>
    </row>
    <row r="1684" spans="1:7" x14ac:dyDescent="0.25">
      <c r="A1684" s="120" t="str">
        <f>RIGHT(CSTABLE[[#This Row],[NomeNCM]],8)</f>
        <v>01059900</v>
      </c>
      <c r="B1684" s="123" t="s">
        <v>5588</v>
      </c>
      <c r="C1684" s="3" t="str">
        <f>IFERROR(VLOOKUP(B1684,ST!C:D,2,0),"NÃOST")</f>
        <v>NÃOST</v>
      </c>
      <c r="E1684" s="3" t="str">
        <f>IF(COUNTIF(ISENÇÕES!A:A,CST!B1684)&gt;0,"ISENÇÃO","SEM ISENÇÃO")</f>
        <v>SEM ISENÇÃO</v>
      </c>
      <c r="F1684" s="18" t="str">
        <f>IF(COUNTIF(REDUÇÕES!A:A,CST!B1684)&gt;0,"REDUÇÃO","NÃO REDUÇÃO")</f>
        <v>NÃO REDUÇÃO</v>
      </c>
      <c r="G1684" s="27">
        <f t="shared" ref="G1684:G1717" si="36">VLOOKUP(C1684&amp;F1684&amp;E1684,$B$3:$F$10,5,0)</f>
        <v>0</v>
      </c>
    </row>
    <row r="1685" spans="1:7" x14ac:dyDescent="0.25">
      <c r="A1685" s="120" t="str">
        <f>RIGHT(CSTABLE[[#This Row],[NomeNCM]],8)</f>
        <v>03036800</v>
      </c>
      <c r="B1685" s="123" t="s">
        <v>3211</v>
      </c>
      <c r="C1685" s="3" t="str">
        <f>IFERROR(VLOOKUP(B1685,ST!C:D,2,0),"NÃOST")</f>
        <v>NÃOST</v>
      </c>
      <c r="E1685" s="3" t="str">
        <f>IF(COUNTIF(ISENÇÕES!A:A,CST!B1685)&gt;0,"ISENÇÃO","SEM ISENÇÃO")</f>
        <v>SEM ISENÇÃO</v>
      </c>
      <c r="F1685" s="18" t="str">
        <f>IF(COUNTIF(REDUÇÕES!A:A,CST!B1685)&gt;0,"REDUÇÃO","NÃO REDUÇÃO")</f>
        <v>NÃO REDUÇÃO</v>
      </c>
      <c r="G1685" s="27">
        <f t="shared" si="36"/>
        <v>0</v>
      </c>
    </row>
    <row r="1686" spans="1:7" x14ac:dyDescent="0.25">
      <c r="A1686" s="120" t="str">
        <f>RIGHT(CSTABLE[[#This Row],[NomeNCM]],8)</f>
        <v>03057900</v>
      </c>
      <c r="B1686" s="123" t="s">
        <v>3503</v>
      </c>
      <c r="C1686" s="3" t="str">
        <f>IFERROR(VLOOKUP(B1686,ST!C:D,2,0),"NÃOST")</f>
        <v>NÃOST</v>
      </c>
      <c r="E1686" s="3" t="str">
        <f>IF(COUNTIF(ISENÇÕES!A:A,CST!B1686)&gt;0,"ISENÇÃO","SEM ISENÇÃO")</f>
        <v>SEM ISENÇÃO</v>
      </c>
      <c r="F1686" s="18" t="str">
        <f>IF(COUNTIF(REDUÇÕES!A:A,CST!B1686)&gt;0,"REDUÇÃO","NÃO REDUÇÃO")</f>
        <v>NÃO REDUÇÃO</v>
      </c>
      <c r="G1686" s="27">
        <f t="shared" si="36"/>
        <v>0</v>
      </c>
    </row>
    <row r="1687" spans="1:7" x14ac:dyDescent="0.25">
      <c r="A1687" s="120" t="str">
        <f>RIGHT(CSTABLE[[#This Row],[NomeNCM]],8)</f>
        <v>04022920</v>
      </c>
      <c r="B1687" s="123" t="s">
        <v>3310</v>
      </c>
      <c r="C1687" s="3" t="str">
        <f>IFERROR(VLOOKUP(B1687,ST!C:D,2,0),"NÃOST")</f>
        <v>NÃOST</v>
      </c>
      <c r="E1687" s="3" t="str">
        <f>IF(COUNTIF(ISENÇÕES!A:A,CST!B1687)&gt;0,"ISENÇÃO","SEM ISENÇÃO")</f>
        <v>SEM ISENÇÃO</v>
      </c>
      <c r="F1687" s="18" t="str">
        <f>IF(COUNTIF(REDUÇÕES!A:A,CST!B1687)&gt;0,"REDUÇÃO","NÃO REDUÇÃO")</f>
        <v>NÃO REDUÇÃO</v>
      </c>
      <c r="G1687" s="27">
        <f t="shared" si="36"/>
        <v>0</v>
      </c>
    </row>
    <row r="1688" spans="1:7" x14ac:dyDescent="0.25">
      <c r="A1688" s="120" t="str">
        <f>RIGHT(CSTABLE[[#This Row],[NomeNCM]],8)</f>
        <v>05090000</v>
      </c>
      <c r="B1688" s="123" t="s">
        <v>5589</v>
      </c>
      <c r="C1688" s="3" t="str">
        <f>IFERROR(VLOOKUP(B1688,ST!C:D,2,0),"NÃOST")</f>
        <v>NÃOST</v>
      </c>
      <c r="E1688" s="3" t="str">
        <f>IF(COUNTIF(ISENÇÕES!A:A,CST!B1688)&gt;0,"ISENÇÃO","SEM ISENÇÃO")</f>
        <v>SEM ISENÇÃO</v>
      </c>
      <c r="F1688" s="18" t="str">
        <f>IF(COUNTIF(REDUÇÕES!A:A,CST!B1688)&gt;0,"REDUÇÃO","NÃO REDUÇÃO")</f>
        <v>NÃO REDUÇÃO</v>
      </c>
      <c r="G1688" s="27">
        <f t="shared" si="36"/>
        <v>0</v>
      </c>
    </row>
    <row r="1689" spans="1:7" x14ac:dyDescent="0.25">
      <c r="A1689" s="120" t="str">
        <f>RIGHT(CSTABLE[[#This Row],[NomeNCM]],8)</f>
        <v>08024100</v>
      </c>
      <c r="B1689" s="123" t="s">
        <v>5458</v>
      </c>
      <c r="C1689" s="3" t="str">
        <f>IFERROR(VLOOKUP(B1689,ST!C:D,2,0),"NÃOST")</f>
        <v>NÃOST</v>
      </c>
      <c r="E1689" s="3" t="str">
        <f>IF(COUNTIF(ISENÇÕES!A:A,CST!B1689)&gt;0,"ISENÇÃO","SEM ISENÇÃO")</f>
        <v>SEM ISENÇÃO</v>
      </c>
      <c r="F1689" s="18" t="str">
        <f>IF(COUNTIF(REDUÇÕES!A:A,CST!B1689)&gt;0,"REDUÇÃO","NÃO REDUÇÃO")</f>
        <v>NÃO REDUÇÃO</v>
      </c>
      <c r="G1689" s="27">
        <f t="shared" si="36"/>
        <v>0</v>
      </c>
    </row>
    <row r="1690" spans="1:7" x14ac:dyDescent="0.25">
      <c r="A1690" s="120" t="str">
        <f>RIGHT(CSTABLE[[#This Row],[NomeNCM]],8)</f>
        <v>11010020</v>
      </c>
      <c r="B1690" s="123" t="s">
        <v>5590</v>
      </c>
      <c r="C1690" s="3" t="str">
        <f>IFERROR(VLOOKUP(B1690,ST!C:D,2,0),"NÃOST")</f>
        <v>NÃOST</v>
      </c>
      <c r="E1690" s="3" t="str">
        <f>IF(COUNTIF(ISENÇÕES!A:A,CST!B1690)&gt;0,"ISENÇÃO","SEM ISENÇÃO")</f>
        <v>SEM ISENÇÃO</v>
      </c>
      <c r="F1690" s="18" t="str">
        <f>IF(COUNTIF(REDUÇÕES!A:A,CST!B1690)&gt;0,"REDUÇÃO","NÃO REDUÇÃO")</f>
        <v>NÃO REDUÇÃO</v>
      </c>
      <c r="G1690" s="27">
        <f t="shared" si="36"/>
        <v>0</v>
      </c>
    </row>
    <row r="1691" spans="1:7" x14ac:dyDescent="0.25">
      <c r="A1691" s="120" t="str">
        <f>RIGHT(CSTABLE[[#This Row],[NomeNCM]],8)</f>
        <v>12075010</v>
      </c>
      <c r="B1691" s="123" t="s">
        <v>5591</v>
      </c>
      <c r="C1691" s="3" t="str">
        <f>IFERROR(VLOOKUP(B1691,ST!C:D,2,0),"NÃOST")</f>
        <v>NÃOST</v>
      </c>
      <c r="E1691" s="3" t="str">
        <f>IF(COUNTIF(ISENÇÕES!A:A,CST!B1691)&gt;0,"ISENÇÃO","SEM ISENÇÃO")</f>
        <v>SEM ISENÇÃO</v>
      </c>
      <c r="F1691" s="18" t="str">
        <f>IF(COUNTIF(REDUÇÕES!A:A,CST!B1691)&gt;0,"REDUÇÃO","NÃO REDUÇÃO")</f>
        <v>NÃO REDUÇÃO</v>
      </c>
      <c r="G1691" s="27">
        <f t="shared" si="36"/>
        <v>0</v>
      </c>
    </row>
    <row r="1692" spans="1:7" x14ac:dyDescent="0.25">
      <c r="A1692" s="120" t="str">
        <f>RIGHT(CSTABLE[[#This Row],[NomeNCM]],8)</f>
        <v>13021960</v>
      </c>
      <c r="B1692" s="123" t="s">
        <v>5592</v>
      </c>
      <c r="C1692" s="3" t="str">
        <f>IFERROR(VLOOKUP(B1692,ST!C:D,2,0),"NÃOST")</f>
        <v>NÃOST</v>
      </c>
      <c r="E1692" s="3" t="str">
        <f>IF(COUNTIF(ISENÇÕES!A:A,CST!B1692)&gt;0,"ISENÇÃO","SEM ISENÇÃO")</f>
        <v>SEM ISENÇÃO</v>
      </c>
      <c r="F1692" s="18" t="str">
        <f>IF(COUNTIF(REDUÇÕES!A:A,CST!B1692)&gt;0,"REDUÇÃO","NÃO REDUÇÃO")</f>
        <v>NÃO REDUÇÃO</v>
      </c>
      <c r="G1692" s="27">
        <f t="shared" si="36"/>
        <v>0</v>
      </c>
    </row>
    <row r="1693" spans="1:7" x14ac:dyDescent="0.25">
      <c r="A1693" s="120" t="str">
        <f>RIGHT(CSTABLE[[#This Row],[NomeNCM]],8)</f>
        <v>20051000</v>
      </c>
      <c r="B1693" s="123" t="s">
        <v>5593</v>
      </c>
      <c r="C1693" s="3" t="str">
        <f>IFERROR(VLOOKUP(B1693,ST!C:D,2,0),"NÃOST")</f>
        <v>NÃOST</v>
      </c>
      <c r="E1693" s="3" t="str">
        <f>IF(COUNTIF(ISENÇÕES!A:A,CST!B1693)&gt;0,"ISENÇÃO","SEM ISENÇÃO")</f>
        <v>SEM ISENÇÃO</v>
      </c>
      <c r="F1693" s="18" t="str">
        <f>IF(COUNTIF(REDUÇÕES!A:A,CST!B1693)&gt;0,"REDUÇÃO","NÃO REDUÇÃO")</f>
        <v>NÃO REDUÇÃO</v>
      </c>
      <c r="G1693" s="27">
        <f t="shared" si="36"/>
        <v>0</v>
      </c>
    </row>
    <row r="1694" spans="1:7" x14ac:dyDescent="0.25">
      <c r="A1694" s="120" t="str">
        <f>RIGHT(CSTABLE[[#This Row],[NomeNCM]],8)</f>
        <v>23011090</v>
      </c>
      <c r="B1694" s="123" t="s">
        <v>5594</v>
      </c>
      <c r="C1694" s="3" t="str">
        <f>IFERROR(VLOOKUP(B1694,ST!C:D,2,0),"NÃOST")</f>
        <v>NÃOST</v>
      </c>
      <c r="E1694" s="3" t="str">
        <f>IF(COUNTIF(ISENÇÕES!A:A,CST!B1694)&gt;0,"ISENÇÃO","SEM ISENÇÃO")</f>
        <v>SEM ISENÇÃO</v>
      </c>
      <c r="F1694" s="18" t="str">
        <f>IF(COUNTIF(REDUÇÕES!A:A,CST!B1694)&gt;0,"REDUÇÃO","NÃO REDUÇÃO")</f>
        <v>NÃO REDUÇÃO</v>
      </c>
      <c r="G1694" s="27">
        <f t="shared" si="36"/>
        <v>0</v>
      </c>
    </row>
    <row r="1695" spans="1:7" x14ac:dyDescent="0.25">
      <c r="A1695" s="120" t="str">
        <f>RIGHT(CSTABLE[[#This Row],[NomeNCM]],8)</f>
        <v>24013000</v>
      </c>
      <c r="B1695" s="123" t="s">
        <v>5595</v>
      </c>
      <c r="C1695" s="3" t="str">
        <f>IFERROR(VLOOKUP(B1695,ST!C:D,2,0),"NÃOST")</f>
        <v>NÃOST</v>
      </c>
      <c r="E1695" s="3" t="str">
        <f>IF(COUNTIF(ISENÇÕES!A:A,CST!B1695)&gt;0,"ISENÇÃO","SEM ISENÇÃO")</f>
        <v>SEM ISENÇÃO</v>
      </c>
      <c r="F1695" s="18" t="str">
        <f>IF(COUNTIF(REDUÇÕES!A:A,CST!B1695)&gt;0,"REDUÇÃO","NÃO REDUÇÃO")</f>
        <v>NÃO REDUÇÃO</v>
      </c>
      <c r="G1695" s="27">
        <f t="shared" si="36"/>
        <v>0</v>
      </c>
    </row>
    <row r="1696" spans="1:7" x14ac:dyDescent="0.25">
      <c r="A1696" s="120" t="str">
        <f>RIGHT(CSTABLE[[#This Row],[NomeNCM]],8)</f>
        <v>24039910</v>
      </c>
      <c r="B1696" s="123" t="s">
        <v>5596</v>
      </c>
      <c r="C1696" s="3" t="str">
        <f>IFERROR(VLOOKUP(B1696,ST!C:D,2,0),"NÃOST")</f>
        <v>NÃOST</v>
      </c>
      <c r="E1696" s="3" t="str">
        <f>IF(COUNTIF(ISENÇÕES!A:A,CST!B1696)&gt;0,"ISENÇÃO","SEM ISENÇÃO")</f>
        <v>SEM ISENÇÃO</v>
      </c>
      <c r="F1696" s="18" t="str">
        <f>IF(COUNTIF(REDUÇÕES!A:A,CST!B1696)&gt;0,"REDUÇÃO","NÃO REDUÇÃO")</f>
        <v>NÃO REDUÇÃO</v>
      </c>
      <c r="G1696" s="27">
        <f t="shared" si="36"/>
        <v>0</v>
      </c>
    </row>
    <row r="1697" spans="1:7" x14ac:dyDescent="0.25">
      <c r="A1697" s="120" t="str">
        <f>RIGHT(CSTABLE[[#This Row],[NomeNCM]],8)</f>
        <v>28047020</v>
      </c>
      <c r="B1697" s="123" t="s">
        <v>5597</v>
      </c>
      <c r="C1697" s="3" t="str">
        <f>IFERROR(VLOOKUP(B1697,ST!C:D,2,0),"NÃOST")</f>
        <v>NÃOST</v>
      </c>
      <c r="E1697" s="3" t="str">
        <f>IF(COUNTIF(ISENÇÕES!A:A,CST!B1697)&gt;0,"ISENÇÃO","SEM ISENÇÃO")</f>
        <v>SEM ISENÇÃO</v>
      </c>
      <c r="F1697" s="18" t="str">
        <f>IF(COUNTIF(REDUÇÕES!A:A,CST!B1697)&gt;0,"REDUÇÃO","NÃO REDUÇÃO")</f>
        <v>NÃO REDUÇÃO</v>
      </c>
      <c r="G1697" s="27">
        <f t="shared" si="36"/>
        <v>0</v>
      </c>
    </row>
    <row r="1698" spans="1:7" x14ac:dyDescent="0.25">
      <c r="A1698" s="120" t="str">
        <f>RIGHT(CSTABLE[[#This Row],[NomeNCM]],8)</f>
        <v>28332200</v>
      </c>
      <c r="B1698" s="123" t="s">
        <v>5598</v>
      </c>
      <c r="C1698" s="3" t="str">
        <f>IFERROR(VLOOKUP(B1698,ST!C:D,2,0),"NÃOST")</f>
        <v>NÃOST</v>
      </c>
      <c r="E1698" s="3" t="str">
        <f>IF(COUNTIF(ISENÇÕES!A:A,CST!B1698)&gt;0,"ISENÇÃO","SEM ISENÇÃO")</f>
        <v>SEM ISENÇÃO</v>
      </c>
      <c r="F1698" s="18" t="str">
        <f>IF(COUNTIF(REDUÇÕES!A:A,CST!B1698)&gt;0,"REDUÇÃO","NÃO REDUÇÃO")</f>
        <v>NÃO REDUÇÃO</v>
      </c>
      <c r="G1698" s="27">
        <f t="shared" si="36"/>
        <v>0</v>
      </c>
    </row>
    <row r="1699" spans="1:7" x14ac:dyDescent="0.25">
      <c r="A1699" s="120" t="str">
        <f>RIGHT(CSTABLE[[#This Row],[NomeNCM]],8)</f>
        <v>28362010</v>
      </c>
      <c r="B1699" s="123" t="s">
        <v>5599</v>
      </c>
      <c r="C1699" s="3" t="str">
        <f>IFERROR(VLOOKUP(B1699,ST!C:D,2,0),"NÃOST")</f>
        <v>NÃOST</v>
      </c>
      <c r="E1699" s="3" t="str">
        <f>IF(COUNTIF(ISENÇÕES!A:A,CST!B1699)&gt;0,"ISENÇÃO","SEM ISENÇÃO")</f>
        <v>SEM ISENÇÃO</v>
      </c>
      <c r="F1699" s="18" t="str">
        <f>IF(COUNTIF(REDUÇÕES!A:A,CST!B1699)&gt;0,"REDUÇÃO","NÃO REDUÇÃO")</f>
        <v>NÃO REDUÇÃO</v>
      </c>
      <c r="G1699" s="27">
        <f t="shared" si="36"/>
        <v>0</v>
      </c>
    </row>
    <row r="1700" spans="1:7" x14ac:dyDescent="0.25">
      <c r="A1700" s="120" t="str">
        <f>RIGHT(CSTABLE[[#This Row],[NomeNCM]],8)</f>
        <v>29333352</v>
      </c>
      <c r="B1700" s="123" t="s">
        <v>5600</v>
      </c>
      <c r="C1700" s="3" t="str">
        <f>IFERROR(VLOOKUP(B1700,ST!C:D,2,0),"NÃOST")</f>
        <v>NÃOST</v>
      </c>
      <c r="E1700" s="3" t="str">
        <f>IF(COUNTIF(ISENÇÕES!A:A,CST!B1700)&gt;0,"ISENÇÃO","SEM ISENÇÃO")</f>
        <v>SEM ISENÇÃO</v>
      </c>
      <c r="F1700" s="18" t="str">
        <f>IF(COUNTIF(REDUÇÕES!A:A,CST!B1700)&gt;0,"REDUÇÃO","NÃO REDUÇÃO")</f>
        <v>NÃO REDUÇÃO</v>
      </c>
      <c r="G1700" s="27">
        <f t="shared" si="36"/>
        <v>0</v>
      </c>
    </row>
    <row r="1701" spans="1:7" x14ac:dyDescent="0.25">
      <c r="A1701" s="120" t="str">
        <f>RIGHT(CSTABLE[[#This Row],[NomeNCM]],8)</f>
        <v>33011910</v>
      </c>
      <c r="B1701" s="123" t="s">
        <v>5269</v>
      </c>
      <c r="C1701" s="3" t="str">
        <f>IFERROR(VLOOKUP(B1701,ST!C:D,2,0),"NÃOST")</f>
        <v>NÃOST</v>
      </c>
      <c r="E1701" s="3" t="str">
        <f>IF(COUNTIF(ISENÇÕES!A:A,CST!B1701)&gt;0,"ISENÇÃO","SEM ISENÇÃO")</f>
        <v>SEM ISENÇÃO</v>
      </c>
      <c r="F1701" s="18" t="str">
        <f>IF(COUNTIF(REDUÇÕES!A:A,CST!B1701)&gt;0,"REDUÇÃO","NÃO REDUÇÃO")</f>
        <v>NÃO REDUÇÃO</v>
      </c>
      <c r="G1701" s="27">
        <f t="shared" si="36"/>
        <v>0</v>
      </c>
    </row>
    <row r="1702" spans="1:7" x14ac:dyDescent="0.25">
      <c r="A1702" s="120" t="str">
        <f>RIGHT(CSTABLE[[#This Row],[NomeNCM]],8)</f>
        <v>33073000</v>
      </c>
      <c r="B1702" s="123" t="s">
        <v>5601</v>
      </c>
      <c r="C1702" s="3" t="str">
        <f>IFERROR(VLOOKUP(B1702,ST!C:D,2,0),"NÃOST")</f>
        <v>NÃOST</v>
      </c>
      <c r="E1702" s="3" t="str">
        <f>IF(COUNTIF(ISENÇÕES!A:A,CST!B1702)&gt;0,"ISENÇÃO","SEM ISENÇÃO")</f>
        <v>SEM ISENÇÃO</v>
      </c>
      <c r="F1702" s="18" t="str">
        <f>IF(COUNTIF(REDUÇÕES!A:A,CST!B1702)&gt;0,"REDUÇÃO","NÃO REDUÇÃO")</f>
        <v>NÃO REDUÇÃO</v>
      </c>
      <c r="G1702" s="27">
        <f t="shared" si="36"/>
        <v>0</v>
      </c>
    </row>
    <row r="1703" spans="1:7" x14ac:dyDescent="0.25">
      <c r="A1703" s="120" t="str">
        <f>RIGHT(CSTABLE[[#This Row],[NomeNCM]],8)</f>
        <v>39029000</v>
      </c>
      <c r="B1703" s="123" t="s">
        <v>5602</v>
      </c>
      <c r="C1703" s="3" t="str">
        <f>IFERROR(VLOOKUP(B1703,ST!C:D,2,0),"NÃOST")</f>
        <v>NÃOST</v>
      </c>
      <c r="E1703" s="3" t="str">
        <f>IF(COUNTIF(ISENÇÕES!A:A,CST!B1703)&gt;0,"ISENÇÃO","SEM ISENÇÃO")</f>
        <v>SEM ISENÇÃO</v>
      </c>
      <c r="F1703" s="18" t="str">
        <f>IF(COUNTIF(REDUÇÕES!A:A,CST!B1703)&gt;0,"REDUÇÃO","NÃO REDUÇÃO")</f>
        <v>NÃO REDUÇÃO</v>
      </c>
      <c r="G1703" s="27">
        <f t="shared" si="36"/>
        <v>0</v>
      </c>
    </row>
    <row r="1704" spans="1:7" x14ac:dyDescent="0.25">
      <c r="A1704" s="120" t="str">
        <f>RIGHT(CSTABLE[[#This Row],[NomeNCM]],8)</f>
        <v>40022010</v>
      </c>
      <c r="B1704" s="123" t="s">
        <v>5603</v>
      </c>
      <c r="C1704" s="3" t="str">
        <f>IFERROR(VLOOKUP(B1704,ST!C:D,2,0),"NÃOST")</f>
        <v>NÃOST</v>
      </c>
      <c r="E1704" s="3" t="str">
        <f>IF(COUNTIF(ISENÇÕES!A:A,CST!B1704)&gt;0,"ISENÇÃO","SEM ISENÇÃO")</f>
        <v>SEM ISENÇÃO</v>
      </c>
      <c r="F1704" s="18" t="str">
        <f>IF(COUNTIF(REDUÇÕES!A:A,CST!B1704)&gt;0,"REDUÇÃO","NÃO REDUÇÃO")</f>
        <v>NÃO REDUÇÃO</v>
      </c>
      <c r="G1704" s="27">
        <f t="shared" si="36"/>
        <v>0</v>
      </c>
    </row>
    <row r="1705" spans="1:7" x14ac:dyDescent="0.25">
      <c r="A1705" s="120" t="str">
        <f>RIGHT(CSTABLE[[#This Row],[NomeNCM]],8)</f>
        <v>40129090</v>
      </c>
      <c r="B1705" s="123" t="s">
        <v>5604</v>
      </c>
      <c r="C1705" s="3" t="str">
        <f>IFERROR(VLOOKUP(B1705,ST!C:D,2,0),"NÃOST")</f>
        <v>NÃOST</v>
      </c>
      <c r="E1705" s="3" t="str">
        <f>IF(COUNTIF(ISENÇÕES!A:A,CST!B1705)&gt;0,"ISENÇÃO","SEM ISENÇÃO")</f>
        <v>SEM ISENÇÃO</v>
      </c>
      <c r="F1705" s="18" t="str">
        <f>IF(COUNTIF(REDUÇÕES!A:A,CST!B1705)&gt;0,"REDUÇÃO","NÃO REDUÇÃO")</f>
        <v>NÃO REDUÇÃO</v>
      </c>
      <c r="G1705" s="27">
        <f t="shared" si="36"/>
        <v>0</v>
      </c>
    </row>
    <row r="1706" spans="1:7" x14ac:dyDescent="0.25">
      <c r="A1706" s="120" t="str">
        <f>RIGHT(CSTABLE[[#This Row],[NomeNCM]],8)</f>
        <v>44185000</v>
      </c>
      <c r="B1706" s="123" t="s">
        <v>5605</v>
      </c>
      <c r="C1706" s="3" t="str">
        <f>IFERROR(VLOOKUP(B1706,ST!C:D,2,0),"NÃOST")</f>
        <v>NÃOST</v>
      </c>
      <c r="E1706" s="3" t="str">
        <f>IF(COUNTIF(ISENÇÕES!A:A,CST!B1706)&gt;0,"ISENÇÃO","SEM ISENÇÃO")</f>
        <v>SEM ISENÇÃO</v>
      </c>
      <c r="F1706" s="18" t="str">
        <f>IF(COUNTIF(REDUÇÕES!A:A,CST!B1706)&gt;0,"REDUÇÃO","NÃO REDUÇÃO")</f>
        <v>NÃO REDUÇÃO</v>
      </c>
      <c r="G1706" s="27">
        <f t="shared" si="36"/>
        <v>0</v>
      </c>
    </row>
    <row r="1707" spans="1:7" x14ac:dyDescent="0.25">
      <c r="A1707" s="120" t="str">
        <f>RIGHT(CSTABLE[[#This Row],[NomeNCM]],8)</f>
        <v>46021100</v>
      </c>
      <c r="B1707" s="123" t="s">
        <v>5606</v>
      </c>
      <c r="C1707" s="3" t="str">
        <f>IFERROR(VLOOKUP(B1707,ST!C:D,2,0),"NÃOST")</f>
        <v>NÃOST</v>
      </c>
      <c r="E1707" s="3" t="str">
        <f>IF(COUNTIF(ISENÇÕES!A:A,CST!B1707)&gt;0,"ISENÇÃO","SEM ISENÇÃO")</f>
        <v>SEM ISENÇÃO</v>
      </c>
      <c r="F1707" s="18" t="str">
        <f>IF(COUNTIF(REDUÇÕES!A:A,CST!B1707)&gt;0,"REDUÇÃO","NÃO REDUÇÃO")</f>
        <v>NÃO REDUÇÃO</v>
      </c>
      <c r="G1707" s="27">
        <f t="shared" si="36"/>
        <v>0</v>
      </c>
    </row>
    <row r="1708" spans="1:7" x14ac:dyDescent="0.25">
      <c r="A1708" s="120" t="str">
        <f>RIGHT(CSTABLE[[#This Row],[NomeNCM]],8)</f>
        <v>48139000</v>
      </c>
      <c r="B1708" s="123" t="s">
        <v>5607</v>
      </c>
      <c r="C1708" s="3" t="str">
        <f>IFERROR(VLOOKUP(B1708,ST!C:D,2,0),"NÃOST")</f>
        <v>NÃOST</v>
      </c>
      <c r="E1708" s="3" t="str">
        <f>IF(COUNTIF(ISENÇÕES!A:A,CST!B1708)&gt;0,"ISENÇÃO","SEM ISENÇÃO")</f>
        <v>SEM ISENÇÃO</v>
      </c>
      <c r="F1708" s="18" t="str">
        <f>IF(COUNTIF(REDUÇÕES!A:A,CST!B1708)&gt;0,"REDUÇÃO","NÃO REDUÇÃO")</f>
        <v>NÃO REDUÇÃO</v>
      </c>
      <c r="G1708" s="27">
        <f t="shared" si="36"/>
        <v>0</v>
      </c>
    </row>
    <row r="1709" spans="1:7" x14ac:dyDescent="0.25">
      <c r="A1709" s="120" t="str">
        <f>RIGHT(CSTABLE[[#This Row],[NomeNCM]],8)</f>
        <v>48232010</v>
      </c>
      <c r="B1709" s="123" t="s">
        <v>5608</v>
      </c>
      <c r="C1709" s="3" t="str">
        <f>IFERROR(VLOOKUP(B1709,ST!C:D,2,0),"NÃOST")</f>
        <v>NÃOST</v>
      </c>
      <c r="E1709" s="3" t="str">
        <f>IF(COUNTIF(ISENÇÕES!A:A,CST!B1709)&gt;0,"ISENÇÃO","SEM ISENÇÃO")</f>
        <v>SEM ISENÇÃO</v>
      </c>
      <c r="F1709" s="18" t="str">
        <f>IF(COUNTIF(REDUÇÕES!A:A,CST!B1709)&gt;0,"REDUÇÃO","NÃO REDUÇÃO")</f>
        <v>NÃO REDUÇÃO</v>
      </c>
      <c r="G1709" s="27">
        <f t="shared" si="36"/>
        <v>0</v>
      </c>
    </row>
    <row r="1710" spans="1:7" x14ac:dyDescent="0.25">
      <c r="A1710" s="120" t="str">
        <f>RIGHT(CSTABLE[[#This Row],[NomeNCM]],8)</f>
        <v>68129100</v>
      </c>
      <c r="B1710" s="123" t="s">
        <v>5609</v>
      </c>
      <c r="C1710" s="3" t="str">
        <f>IFERROR(VLOOKUP(B1710,ST!C:D,2,0),"NÃOST")</f>
        <v>NÃOST</v>
      </c>
      <c r="E1710" s="3" t="str">
        <f>IF(COUNTIF(ISENÇÕES!A:A,CST!B1710)&gt;0,"ISENÇÃO","SEM ISENÇÃO")</f>
        <v>SEM ISENÇÃO</v>
      </c>
      <c r="F1710" s="18" t="str">
        <f>IF(COUNTIF(REDUÇÕES!A:A,CST!B1710)&gt;0,"REDUÇÃO","NÃO REDUÇÃO")</f>
        <v>NÃO REDUÇÃO</v>
      </c>
      <c r="G1710" s="27">
        <f t="shared" si="36"/>
        <v>0</v>
      </c>
    </row>
    <row r="1711" spans="1:7" x14ac:dyDescent="0.25">
      <c r="A1711" s="120" t="str">
        <f>RIGHT(CSTABLE[[#This Row],[NomeNCM]],8)</f>
        <v>72179000</v>
      </c>
      <c r="B1711" s="123" t="s">
        <v>5610</v>
      </c>
      <c r="C1711" s="3" t="str">
        <f>IFERROR(VLOOKUP(B1711,ST!C:D,2,0),"NÃOST")</f>
        <v>NÃOST</v>
      </c>
      <c r="E1711" s="3" t="str">
        <f>IF(COUNTIF(ISENÇÕES!A:A,CST!B1711)&gt;0,"ISENÇÃO","SEM ISENÇÃO")</f>
        <v>SEM ISENÇÃO</v>
      </c>
      <c r="F1711" s="18" t="str">
        <f>IF(COUNTIF(REDUÇÕES!A:A,CST!B1711)&gt;0,"REDUÇÃO","NÃO REDUÇÃO")</f>
        <v>NÃO REDUÇÃO</v>
      </c>
      <c r="G1711" s="27">
        <f t="shared" si="36"/>
        <v>0</v>
      </c>
    </row>
    <row r="1712" spans="1:7" x14ac:dyDescent="0.25">
      <c r="A1712" s="120" t="str">
        <f>RIGHT(CSTABLE[[#This Row],[NomeNCM]],8)</f>
        <v>82013000</v>
      </c>
      <c r="B1712" s="123" t="s">
        <v>5611</v>
      </c>
      <c r="C1712" s="3" t="str">
        <f>IFERROR(VLOOKUP(B1712,ST!C:D,2,0),"NÃOST")</f>
        <v>NÃOST</v>
      </c>
      <c r="E1712" s="3" t="str">
        <f>IF(COUNTIF(ISENÇÕES!A:A,CST!B1712)&gt;0,"ISENÇÃO","SEM ISENÇÃO")</f>
        <v>SEM ISENÇÃO</v>
      </c>
      <c r="F1712" s="18" t="str">
        <f>IF(COUNTIF(REDUÇÕES!A:A,CST!B1712)&gt;0,"REDUÇÃO","NÃO REDUÇÃO")</f>
        <v>NÃO REDUÇÃO</v>
      </c>
      <c r="G1712" s="27">
        <f t="shared" si="36"/>
        <v>0</v>
      </c>
    </row>
    <row r="1713" spans="1:7" x14ac:dyDescent="0.25">
      <c r="A1713" s="120" t="str">
        <f>RIGHT(CSTABLE[[#This Row],[NomeNCM]],8)</f>
        <v>82014000</v>
      </c>
      <c r="B1713" s="123" t="s">
        <v>5612</v>
      </c>
      <c r="C1713" s="3" t="str">
        <f>IFERROR(VLOOKUP(B1713,ST!C:D,2,0),"NÃOST")</f>
        <v>NÃOST</v>
      </c>
      <c r="E1713" s="3" t="str">
        <f>IF(COUNTIF(ISENÇÕES!A:A,CST!B1713)&gt;0,"ISENÇÃO","SEM ISENÇÃO")</f>
        <v>SEM ISENÇÃO</v>
      </c>
      <c r="F1713" s="18" t="str">
        <f>IF(COUNTIF(REDUÇÕES!A:A,CST!B1713)&gt;0,"REDUÇÃO","NÃO REDUÇÃO")</f>
        <v>NÃO REDUÇÃO</v>
      </c>
      <c r="G1713" s="27">
        <f t="shared" si="36"/>
        <v>0</v>
      </c>
    </row>
    <row r="1714" spans="1:7" x14ac:dyDescent="0.25">
      <c r="A1714" s="120" t="str">
        <f>RIGHT(CSTABLE[[#This Row],[NomeNCM]],8)</f>
        <v>84132000</v>
      </c>
      <c r="B1714" s="123" t="s">
        <v>5613</v>
      </c>
      <c r="C1714" s="3" t="str">
        <f>IFERROR(VLOOKUP(B1714,ST!C:D,2,0),"NÃOST")</f>
        <v>NÃOST</v>
      </c>
      <c r="E1714" s="3" t="str">
        <f>IF(COUNTIF(ISENÇÕES!A:A,CST!B1714)&gt;0,"ISENÇÃO","SEM ISENÇÃO")</f>
        <v>SEM ISENÇÃO</v>
      </c>
      <c r="F1714" s="18" t="str">
        <f>IF(COUNTIF(REDUÇÕES!A:A,CST!B1714)&gt;0,"REDUÇÃO","NÃO REDUÇÃO")</f>
        <v>NÃO REDUÇÃO</v>
      </c>
      <c r="G1714" s="27">
        <f t="shared" si="36"/>
        <v>0</v>
      </c>
    </row>
    <row r="1715" spans="1:7" x14ac:dyDescent="0.25">
      <c r="A1715" s="120" t="str">
        <f>RIGHT(CSTABLE[[#This Row],[NomeNCM]],8)</f>
        <v>84186940</v>
      </c>
      <c r="B1715" s="123" t="s">
        <v>5614</v>
      </c>
      <c r="C1715" s="3" t="str">
        <f>IFERROR(VLOOKUP(B1715,ST!C:D,2,0),"NÃOST")</f>
        <v>NÃOST</v>
      </c>
      <c r="E1715" s="3" t="str">
        <f>IF(COUNTIF(ISENÇÕES!A:A,CST!B1715)&gt;0,"ISENÇÃO","SEM ISENÇÃO")</f>
        <v>SEM ISENÇÃO</v>
      </c>
      <c r="F1715" s="18" t="str">
        <f>IF(COUNTIF(REDUÇÕES!A:A,CST!B1715)&gt;0,"REDUÇÃO","NÃO REDUÇÃO")</f>
        <v>NÃO REDUÇÃO</v>
      </c>
      <c r="G1715" s="27">
        <f t="shared" si="36"/>
        <v>0</v>
      </c>
    </row>
    <row r="1716" spans="1:7" x14ac:dyDescent="0.25">
      <c r="A1716" s="120" t="str">
        <f>RIGHT(CSTABLE[[#This Row],[NomeNCM]],8)</f>
        <v>85061012</v>
      </c>
      <c r="B1716" s="123" t="s">
        <v>5615</v>
      </c>
      <c r="C1716" s="3" t="str">
        <f>IFERROR(VLOOKUP(B1716,ST!C:D,2,0),"NÃOST")</f>
        <v>NÃOST</v>
      </c>
      <c r="E1716" s="3" t="str">
        <f>IF(COUNTIF(ISENÇÕES!A:A,CST!B1716)&gt;0,"ISENÇÃO","SEM ISENÇÃO")</f>
        <v>SEM ISENÇÃO</v>
      </c>
      <c r="F1716" s="18" t="str">
        <f>IF(COUNTIF(REDUÇÕES!A:A,CST!B1716)&gt;0,"REDUÇÃO","NÃO REDUÇÃO")</f>
        <v>NÃO REDUÇÃO</v>
      </c>
      <c r="G1716" s="27">
        <f t="shared" si="36"/>
        <v>0</v>
      </c>
    </row>
    <row r="1717" spans="1:7" x14ac:dyDescent="0.25">
      <c r="A1717" s="120" t="str">
        <f>RIGHT(CSTABLE[[#This Row],[NomeNCM]],8)</f>
        <v>96200000</v>
      </c>
      <c r="B1717" s="123" t="s">
        <v>5616</v>
      </c>
      <c r="C1717" s="49" t="str">
        <f>IFERROR(VLOOKUP(B1717,ST!C:D,2,0),"NÃOST")</f>
        <v>NÃOST</v>
      </c>
      <c r="E1717" s="49" t="str">
        <f>IF(COUNTIF(ISENÇÕES!A:A,CST!B1717)&gt;0,"ISENÇÃO","SEM ISENÇÃO")</f>
        <v>SEM ISENÇÃO</v>
      </c>
      <c r="F1717" s="50" t="str">
        <f>IF(COUNTIF(REDUÇÕES!A:A,CST!B1717)&gt;0,"REDUÇÃO","NÃO REDUÇÃO")</f>
        <v>NÃO REDUÇÃO</v>
      </c>
      <c r="G1717" s="51">
        <f t="shared" si="36"/>
        <v>0</v>
      </c>
    </row>
    <row r="1718" spans="1:7" x14ac:dyDescent="0.25">
      <c r="A1718" s="120" t="str">
        <f>RIGHT(CSTABLE[[#This Row],[NomeNCM]],8)</f>
        <v>02042200</v>
      </c>
      <c r="B1718" s="123" t="s">
        <v>5619</v>
      </c>
      <c r="C1718" s="3" t="str">
        <f>IFERROR(VLOOKUP(B1718,ST!C:D,2,0),"NÃOST")</f>
        <v>NÃOST</v>
      </c>
      <c r="E1718" s="3" t="str">
        <f>IF(COUNTIF(ISENÇÕES!A:A,CST!B1718)&gt;0,"ISENÇÃO","SEM ISENÇÃO")</f>
        <v>SEM ISENÇÃO</v>
      </c>
      <c r="F1718" s="18" t="str">
        <f>IF(COUNTIF(REDUÇÕES!A:A,CST!B1718)&gt;0,"REDUÇÃO","NÃO REDUÇÃO")</f>
        <v>NÃO REDUÇÃO</v>
      </c>
      <c r="G1718" s="27">
        <f t="shared" ref="G1718:G1732" si="37">VLOOKUP(C1718&amp;F1718&amp;E1718,$B$3:$F$10,5,0)</f>
        <v>0</v>
      </c>
    </row>
    <row r="1719" spans="1:7" x14ac:dyDescent="0.25">
      <c r="A1719" s="120" t="str">
        <f>RIGHT(CSTABLE[[#This Row],[NomeNCM]],8)</f>
        <v>02109919</v>
      </c>
      <c r="B1719" s="123" t="s">
        <v>5620</v>
      </c>
      <c r="C1719" s="3" t="str">
        <f>IFERROR(VLOOKUP(B1719,ST!C:D,2,0),"NÃOST")</f>
        <v>NÃOST</v>
      </c>
      <c r="E1719" s="3" t="str">
        <f>IF(COUNTIF(ISENÇÕES!A:A,CST!B1719)&gt;0,"ISENÇÃO","SEM ISENÇÃO")</f>
        <v>SEM ISENÇÃO</v>
      </c>
      <c r="F1719" s="18" t="str">
        <f>IF(COUNTIF(REDUÇÕES!A:A,CST!B1719)&gt;0,"REDUÇÃO","NÃO REDUÇÃO")</f>
        <v>NÃO REDUÇÃO</v>
      </c>
      <c r="G1719" s="27">
        <f t="shared" si="37"/>
        <v>0</v>
      </c>
    </row>
    <row r="1720" spans="1:7" x14ac:dyDescent="0.25">
      <c r="A1720" s="120" t="str">
        <f>RIGHT(CSTABLE[[#This Row],[NomeNCM]],8)</f>
        <v>16023200</v>
      </c>
      <c r="B1720" s="123" t="s">
        <v>5621</v>
      </c>
      <c r="C1720" s="3" t="str">
        <f>IFERROR(VLOOKUP(B1720,ST!C:D,2,0),"NÃOST")</f>
        <v>NÃOST</v>
      </c>
      <c r="E1720" s="3" t="str">
        <f>IF(COUNTIF(ISENÇÕES!A:A,CST!B1720)&gt;0,"ISENÇÃO","SEM ISENÇÃO")</f>
        <v>SEM ISENÇÃO</v>
      </c>
      <c r="F1720" s="18" t="str">
        <f>IF(COUNTIF(REDUÇÕES!A:A,CST!B1720)&gt;0,"REDUÇÃO","NÃO REDUÇÃO")</f>
        <v>NÃO REDUÇÃO</v>
      </c>
      <c r="G1720" s="27">
        <f t="shared" si="37"/>
        <v>0</v>
      </c>
    </row>
    <row r="1721" spans="1:7" x14ac:dyDescent="0.25">
      <c r="A1721" s="120" t="str">
        <f>RIGHT(CSTABLE[[#This Row],[NomeNCM]],8)</f>
        <v>16041900</v>
      </c>
      <c r="B1721" s="123" t="s">
        <v>5622</v>
      </c>
      <c r="C1721" s="3" t="str">
        <f>IFERROR(VLOOKUP(B1721,ST!C:D,2,0),"NÃOST")</f>
        <v>NÃOST</v>
      </c>
      <c r="E1721" s="3" t="str">
        <f>IF(COUNTIF(ISENÇÕES!A:A,CST!B1721)&gt;0,"ISENÇÃO","SEM ISENÇÃO")</f>
        <v>SEM ISENÇÃO</v>
      </c>
      <c r="F1721" s="18" t="str">
        <f>IF(COUNTIF(REDUÇÕES!A:A,CST!B1721)&gt;0,"REDUÇÃO","NÃO REDUÇÃO")</f>
        <v>NÃO REDUÇÃO</v>
      </c>
      <c r="G1721" s="27">
        <f t="shared" si="37"/>
        <v>0</v>
      </c>
    </row>
    <row r="1722" spans="1:7" x14ac:dyDescent="0.25">
      <c r="A1722" s="120" t="str">
        <f>RIGHT(CSTABLE[[#This Row],[NomeNCM]],8)</f>
        <v>17023020</v>
      </c>
      <c r="B1722" s="123" t="s">
        <v>5623</v>
      </c>
      <c r="C1722" s="3" t="str">
        <f>IFERROR(VLOOKUP(B1722,ST!C:D,2,0),"NÃOST")</f>
        <v>NÃOST</v>
      </c>
      <c r="E1722" s="3" t="str">
        <f>IF(COUNTIF(ISENÇÕES!A:A,CST!B1722)&gt;0,"ISENÇÃO","SEM ISENÇÃO")</f>
        <v>SEM ISENÇÃO</v>
      </c>
      <c r="F1722" s="18" t="str">
        <f>IF(COUNTIF(REDUÇÕES!A:A,CST!B1722)&gt;0,"REDUÇÃO","NÃO REDUÇÃO")</f>
        <v>NÃO REDUÇÃO</v>
      </c>
      <c r="G1722" s="27">
        <f t="shared" si="37"/>
        <v>0</v>
      </c>
    </row>
    <row r="1723" spans="1:7" x14ac:dyDescent="0.25">
      <c r="A1723" s="120" t="str">
        <f>RIGHT(CSTABLE[[#This Row],[NomeNCM]],8)</f>
        <v>25322000</v>
      </c>
      <c r="B1723" s="123" t="s">
        <v>5624</v>
      </c>
      <c r="C1723" s="3" t="str">
        <f>IFERROR(VLOOKUP(B1723,ST!C:D,2,0),"NÃOST")</f>
        <v>NÃOST</v>
      </c>
      <c r="E1723" s="3" t="str">
        <f>IF(COUNTIF(ISENÇÕES!A:A,CST!B1723)&gt;0,"ISENÇÃO","SEM ISENÇÃO")</f>
        <v>SEM ISENÇÃO</v>
      </c>
      <c r="F1723" s="18" t="str">
        <f>IF(COUNTIF(REDUÇÕES!A:A,CST!B1723)&gt;0,"REDUÇÃO","NÃO REDUÇÃO")</f>
        <v>NÃO REDUÇÃO</v>
      </c>
      <c r="G1723" s="27">
        <f t="shared" si="37"/>
        <v>0</v>
      </c>
    </row>
    <row r="1724" spans="1:7" x14ac:dyDescent="0.25">
      <c r="A1724" s="120" t="str">
        <f>RIGHT(CSTABLE[[#This Row],[NomeNCM]],8)</f>
        <v>40690200</v>
      </c>
      <c r="B1724" s="123" t="s">
        <v>5625</v>
      </c>
      <c r="C1724" s="3" t="str">
        <f>IFERROR(VLOOKUP(B1724,ST!C:D,2,0),"NÃOST")</f>
        <v>NÃOST</v>
      </c>
      <c r="E1724" s="3" t="str">
        <f>IF(COUNTIF(ISENÇÕES!A:A,CST!B1724)&gt;0,"ISENÇÃO","SEM ISENÇÃO")</f>
        <v>SEM ISENÇÃO</v>
      </c>
      <c r="F1724" s="18" t="str">
        <f>IF(COUNTIF(REDUÇÕES!A:A,CST!B1724)&gt;0,"REDUÇÃO","NÃO REDUÇÃO")</f>
        <v>NÃO REDUÇÃO</v>
      </c>
      <c r="G1724" s="27">
        <f t="shared" si="37"/>
        <v>0</v>
      </c>
    </row>
    <row r="1725" spans="1:7" x14ac:dyDescent="0.25">
      <c r="A1725" s="120" t="str">
        <f>RIGHT(CSTABLE[[#This Row],[NomeNCM]],8)</f>
        <v>48020100</v>
      </c>
      <c r="B1725" s="123" t="s">
        <v>5626</v>
      </c>
      <c r="C1725" s="3" t="str">
        <f>IFERROR(VLOOKUP(B1725,ST!C:D,2,0),"NÃOST")</f>
        <v>NÃOST</v>
      </c>
      <c r="E1725" s="3" t="str">
        <f>IF(COUNTIF(ISENÇÕES!A:A,CST!B1725)&gt;0,"ISENÇÃO","SEM ISENÇÃO")</f>
        <v>SEM ISENÇÃO</v>
      </c>
      <c r="F1725" s="18" t="str">
        <f>IF(COUNTIF(REDUÇÕES!A:A,CST!B1725)&gt;0,"REDUÇÃO","NÃO REDUÇÃO")</f>
        <v>NÃO REDUÇÃO</v>
      </c>
      <c r="G1725" s="27">
        <f t="shared" si="37"/>
        <v>0</v>
      </c>
    </row>
    <row r="1726" spans="1:7" x14ac:dyDescent="0.25">
      <c r="A1726" s="120" t="str">
        <f>RIGHT(CSTABLE[[#This Row],[NomeNCM]],8)</f>
        <v>48101399</v>
      </c>
      <c r="B1726" s="123" t="s">
        <v>5627</v>
      </c>
      <c r="C1726" s="3" t="str">
        <f>IFERROR(VLOOKUP(B1726,ST!C:D,2,0),"NÃOST")</f>
        <v>NÃOST</v>
      </c>
      <c r="E1726" s="3" t="str">
        <f>IF(COUNTIF(ISENÇÕES!A:A,CST!B1726)&gt;0,"ISENÇÃO","SEM ISENÇÃO")</f>
        <v>SEM ISENÇÃO</v>
      </c>
      <c r="F1726" s="18" t="str">
        <f>IF(COUNTIF(REDUÇÕES!A:A,CST!B1726)&gt;0,"REDUÇÃO","NÃO REDUÇÃO")</f>
        <v>NÃO REDUÇÃO</v>
      </c>
      <c r="G1726" s="27">
        <f t="shared" si="37"/>
        <v>0</v>
      </c>
    </row>
    <row r="1727" spans="1:7" x14ac:dyDescent="0.25">
      <c r="A1727" s="120" t="str">
        <f>RIGHT(CSTABLE[[#This Row],[NomeNCM]],8)</f>
        <v>48193000</v>
      </c>
      <c r="B1727" s="123" t="s">
        <v>5628</v>
      </c>
      <c r="C1727" s="3" t="str">
        <f>IFERROR(VLOOKUP(B1727,ST!C:D,2,0),"NÃOST")</f>
        <v>NÃOST</v>
      </c>
      <c r="E1727" s="3" t="str">
        <f>IF(COUNTIF(ISENÇÕES!A:A,CST!B1727)&gt;0,"ISENÇÃO","SEM ISENÇÃO")</f>
        <v>SEM ISENÇÃO</v>
      </c>
      <c r="F1727" s="18" t="str">
        <f>IF(COUNTIF(REDUÇÕES!A:A,CST!B1727)&gt;0,"REDUÇÃO","NÃO REDUÇÃO")</f>
        <v>NÃO REDUÇÃO</v>
      </c>
      <c r="G1727" s="27">
        <f t="shared" si="37"/>
        <v>0</v>
      </c>
    </row>
    <row r="1728" spans="1:7" x14ac:dyDescent="0.25">
      <c r="A1728" s="120" t="str">
        <f>RIGHT(CSTABLE[[#This Row],[NomeNCM]],8)</f>
        <v>52041131</v>
      </c>
      <c r="B1728" s="123" t="s">
        <v>5629</v>
      </c>
      <c r="C1728" s="3" t="str">
        <f>IFERROR(VLOOKUP(B1728,ST!C:D,2,0),"NÃOST")</f>
        <v>NÃOST</v>
      </c>
      <c r="E1728" s="3" t="str">
        <f>IF(COUNTIF(ISENÇÕES!A:A,CST!B1728)&gt;0,"ISENÇÃO","SEM ISENÇÃO")</f>
        <v>SEM ISENÇÃO</v>
      </c>
      <c r="F1728" s="18" t="str">
        <f>IF(COUNTIF(REDUÇÕES!A:A,CST!B1728)&gt;0,"REDUÇÃO","NÃO REDUÇÃO")</f>
        <v>NÃO REDUÇÃO</v>
      </c>
      <c r="G1728" s="27">
        <f t="shared" si="37"/>
        <v>0</v>
      </c>
    </row>
    <row r="1729" spans="1:7" x14ac:dyDescent="0.25">
      <c r="A1729" s="120" t="str">
        <f>RIGHT(CSTABLE[[#This Row],[NomeNCM]],8)</f>
        <v>61169900</v>
      </c>
      <c r="B1729" s="123" t="s">
        <v>5630</v>
      </c>
      <c r="C1729" s="3" t="str">
        <f>IFERROR(VLOOKUP(B1729,ST!C:D,2,0),"NÃOST")</f>
        <v>NÃOST</v>
      </c>
      <c r="E1729" s="3" t="str">
        <f>IF(COUNTIF(ISENÇÕES!A:A,CST!B1729)&gt;0,"ISENÇÃO","SEM ISENÇÃO")</f>
        <v>SEM ISENÇÃO</v>
      </c>
      <c r="F1729" s="18" t="str">
        <f>IF(COUNTIF(REDUÇÕES!A:A,CST!B1729)&gt;0,"REDUÇÃO","NÃO REDUÇÃO")</f>
        <v>NÃO REDUÇÃO</v>
      </c>
      <c r="G1729" s="27">
        <f t="shared" si="37"/>
        <v>0</v>
      </c>
    </row>
    <row r="1730" spans="1:7" x14ac:dyDescent="0.25">
      <c r="A1730" s="120" t="str">
        <f>RIGHT(CSTABLE[[#This Row],[NomeNCM]],8)</f>
        <v>63069900</v>
      </c>
      <c r="B1730" s="123" t="s">
        <v>5631</v>
      </c>
      <c r="C1730" s="3" t="str">
        <f>IFERROR(VLOOKUP(B1730,ST!C:D,2,0),"NÃOST")</f>
        <v>NÃOST</v>
      </c>
      <c r="E1730" s="3" t="str">
        <f>IF(COUNTIF(ISENÇÕES!A:A,CST!B1730)&gt;0,"ISENÇÃO","SEM ISENÇÃO")</f>
        <v>SEM ISENÇÃO</v>
      </c>
      <c r="F1730" s="18" t="str">
        <f>IF(COUNTIF(REDUÇÕES!A:A,CST!B1730)&gt;0,"REDUÇÃO","NÃO REDUÇÃO")</f>
        <v>NÃO REDUÇÃO</v>
      </c>
      <c r="G1730" s="27">
        <f t="shared" si="37"/>
        <v>0</v>
      </c>
    </row>
    <row r="1731" spans="1:7" x14ac:dyDescent="0.25">
      <c r="A1731" s="120" t="str">
        <f>RIGHT(CSTABLE[[#This Row],[NomeNCM]],8)</f>
        <v>69010000</v>
      </c>
      <c r="B1731" s="123" t="s">
        <v>5632</v>
      </c>
      <c r="C1731" s="3" t="str">
        <f>IFERROR(VLOOKUP(B1731,ST!C:D,2,0),"NÃOST")</f>
        <v>NÃOST</v>
      </c>
      <c r="E1731" s="3" t="str">
        <f>IF(COUNTIF(ISENÇÕES!A:A,CST!B1731)&gt;0,"ISENÇÃO","SEM ISENÇÃO")</f>
        <v>SEM ISENÇÃO</v>
      </c>
      <c r="F1731" s="18" t="str">
        <f>IF(COUNTIF(REDUÇÕES!A:A,CST!B1731)&gt;0,"REDUÇÃO","NÃO REDUÇÃO")</f>
        <v>NÃO REDUÇÃO</v>
      </c>
      <c r="G1731" s="27">
        <f t="shared" si="37"/>
        <v>0</v>
      </c>
    </row>
    <row r="1732" spans="1:7" x14ac:dyDescent="0.25">
      <c r="A1732" s="120" t="str">
        <f>RIGHT(CSTABLE[[#This Row],[NomeNCM]],8)</f>
        <v>84303110</v>
      </c>
      <c r="B1732" s="123" t="s">
        <v>5633</v>
      </c>
      <c r="C1732" s="49" t="str">
        <f>IFERROR(VLOOKUP(B1732,ST!C:D,2,0),"NÃOST")</f>
        <v>NÃOST</v>
      </c>
      <c r="E1732" s="49" t="str">
        <f>IF(COUNTIF(ISENÇÕES!A:A,CST!B1732)&gt;0,"ISENÇÃO","SEM ISENÇÃO")</f>
        <v>SEM ISENÇÃO</v>
      </c>
      <c r="F1732" s="50" t="str">
        <f>IF(COUNTIF(REDUÇÕES!A:A,CST!B1732)&gt;0,"REDUÇÃO","NÃO REDUÇÃO")</f>
        <v>NÃO REDUÇÃO</v>
      </c>
      <c r="G1732" s="51">
        <f t="shared" si="37"/>
        <v>0</v>
      </c>
    </row>
    <row r="1733" spans="1:7" x14ac:dyDescent="0.25">
      <c r="A1733" s="120" t="str">
        <f>RIGHT(CSTABLE[[#This Row],[NomeNCM]],8)</f>
        <v>03033900</v>
      </c>
      <c r="B1733" s="123" t="s">
        <v>3190</v>
      </c>
      <c r="C1733" s="3" t="str">
        <f>IFERROR(VLOOKUP(B1733,ST!C:D,2,0),"NÃOST")</f>
        <v>NÃOST</v>
      </c>
      <c r="E1733" s="3" t="str">
        <f>IF(COUNTIF(ISENÇÕES!A:A,CST!B1733)&gt;0,"ISENÇÃO","SEM ISENÇÃO")</f>
        <v>SEM ISENÇÃO</v>
      </c>
      <c r="F1733" s="18" t="str">
        <f>IF(COUNTIF(REDUÇÕES!A:A,CST!B1733)&gt;0,"REDUÇÃO","NÃO REDUÇÃO")</f>
        <v>NÃO REDUÇÃO</v>
      </c>
      <c r="G1733" s="27">
        <f t="shared" ref="G1733:G1756" si="38">VLOOKUP(C1733&amp;F1733&amp;E1733,$B$3:$F$10,5,0)</f>
        <v>0</v>
      </c>
    </row>
    <row r="1734" spans="1:7" x14ac:dyDescent="0.25">
      <c r="A1734" s="120" t="str">
        <f>RIGHT(CSTABLE[[#This Row],[NomeNCM]],8)</f>
        <v>03042960</v>
      </c>
      <c r="B1734" s="123" t="s">
        <v>5634</v>
      </c>
      <c r="C1734" s="3" t="str">
        <f>IFERROR(VLOOKUP(B1734,ST!C:D,2,0),"NÃOST")</f>
        <v>NÃOST</v>
      </c>
      <c r="E1734" s="3" t="str">
        <f>IF(COUNTIF(ISENÇÕES!A:A,CST!B1734)&gt;0,"ISENÇÃO","SEM ISENÇÃO")</f>
        <v>SEM ISENÇÃO</v>
      </c>
      <c r="F1734" s="18" t="str">
        <f>IF(COUNTIF(REDUÇÕES!A:A,CST!B1734)&gt;0,"REDUÇÃO","NÃO REDUÇÃO")</f>
        <v>NÃO REDUÇÃO</v>
      </c>
      <c r="G1734" s="27">
        <f t="shared" si="38"/>
        <v>0</v>
      </c>
    </row>
    <row r="1735" spans="1:7" x14ac:dyDescent="0.25">
      <c r="A1735" s="120" t="str">
        <f>RIGHT(CSTABLE[[#This Row],[NomeNCM]],8)</f>
        <v>03061399</v>
      </c>
      <c r="B1735" s="123" t="s">
        <v>5635</v>
      </c>
      <c r="C1735" s="3" t="str">
        <f>IFERROR(VLOOKUP(B1735,ST!C:D,2,0),"NÃOST")</f>
        <v>NÃOST</v>
      </c>
      <c r="E1735" s="3" t="str">
        <f>IF(COUNTIF(ISENÇÕES!A:A,CST!B1735)&gt;0,"ISENÇÃO","SEM ISENÇÃO")</f>
        <v>SEM ISENÇÃO</v>
      </c>
      <c r="F1735" s="18" t="str">
        <f>IF(COUNTIF(REDUÇÕES!A:A,CST!B1735)&gt;0,"REDUÇÃO","NÃO REDUÇÃO")</f>
        <v>NÃO REDUÇÃO</v>
      </c>
      <c r="G1735" s="27">
        <f t="shared" si="38"/>
        <v>0</v>
      </c>
    </row>
    <row r="1736" spans="1:7" x14ac:dyDescent="0.25">
      <c r="A1736" s="120" t="str">
        <f>RIGHT(CSTABLE[[#This Row],[NomeNCM]],8)</f>
        <v>03072900</v>
      </c>
      <c r="B1736" s="123" t="s">
        <v>3534</v>
      </c>
      <c r="C1736" s="3" t="str">
        <f>IFERROR(VLOOKUP(B1736,ST!C:D,2,0),"NÃOST")</f>
        <v>NÃOST</v>
      </c>
      <c r="E1736" s="3" t="str">
        <f>IF(COUNTIF(ISENÇÕES!A:A,CST!B1736)&gt;0,"ISENÇÃO","SEM ISENÇÃO")</f>
        <v>SEM ISENÇÃO</v>
      </c>
      <c r="F1736" s="18" t="str">
        <f>IF(COUNTIF(REDUÇÕES!A:A,CST!B1736)&gt;0,"REDUÇÃO","NÃO REDUÇÃO")</f>
        <v>NÃO REDUÇÃO</v>
      </c>
      <c r="G1736" s="27">
        <f t="shared" si="38"/>
        <v>0</v>
      </c>
    </row>
    <row r="1737" spans="1:7" x14ac:dyDescent="0.25">
      <c r="A1737" s="120" t="str">
        <f>RIGHT(CSTABLE[[#This Row],[NomeNCM]],8)</f>
        <v>04022100</v>
      </c>
      <c r="B1737" s="123" t="s">
        <v>5636</v>
      </c>
      <c r="C1737" s="3" t="str">
        <f>IFERROR(VLOOKUP(B1737,ST!C:D,2,0),"NÃOST")</f>
        <v>NÃOST</v>
      </c>
      <c r="E1737" s="3" t="str">
        <f>IF(COUNTIF(ISENÇÕES!A:A,CST!B1737)&gt;0,"ISENÇÃO","SEM ISENÇÃO")</f>
        <v>SEM ISENÇÃO</v>
      </c>
      <c r="F1737" s="18" t="str">
        <f>IF(COUNTIF(REDUÇÕES!A:A,CST!B1737)&gt;0,"REDUÇÃO","NÃO REDUÇÃO")</f>
        <v>NÃO REDUÇÃO</v>
      </c>
      <c r="G1737" s="27">
        <f t="shared" si="38"/>
        <v>0</v>
      </c>
    </row>
    <row r="1738" spans="1:7" x14ac:dyDescent="0.25">
      <c r="A1738" s="120" t="str">
        <f>RIGHT(CSTABLE[[#This Row],[NomeNCM]],8)</f>
        <v>11062001</v>
      </c>
      <c r="B1738" s="123" t="s">
        <v>5637</v>
      </c>
      <c r="C1738" s="3" t="str">
        <f>IFERROR(VLOOKUP(B1738,ST!C:D,2,0),"NÃOST")</f>
        <v>NÃOST</v>
      </c>
      <c r="E1738" s="3" t="str">
        <f>IF(COUNTIF(ISENÇÕES!A:A,CST!B1738)&gt;0,"ISENÇÃO","SEM ISENÇÃO")</f>
        <v>SEM ISENÇÃO</v>
      </c>
      <c r="F1738" s="18" t="str">
        <f>IF(COUNTIF(REDUÇÕES!A:A,CST!B1738)&gt;0,"REDUÇÃO","NÃO REDUÇÃO")</f>
        <v>NÃO REDUÇÃO</v>
      </c>
      <c r="G1738" s="27">
        <f t="shared" si="38"/>
        <v>0</v>
      </c>
    </row>
    <row r="1739" spans="1:7" x14ac:dyDescent="0.25">
      <c r="A1739" s="120" t="str">
        <f>RIGHT(CSTABLE[[#This Row],[NomeNCM]],8)</f>
        <v>22029090</v>
      </c>
      <c r="B1739" s="123" t="s">
        <v>5638</v>
      </c>
      <c r="C1739" s="3" t="str">
        <f>IFERROR(VLOOKUP(B1739,ST!C:D,2,0),"NÃOST")</f>
        <v>NÃOST</v>
      </c>
      <c r="E1739" s="3" t="str">
        <f>IF(COUNTIF(ISENÇÕES!A:A,CST!B1739)&gt;0,"ISENÇÃO","SEM ISENÇÃO")</f>
        <v>SEM ISENÇÃO</v>
      </c>
      <c r="F1739" s="18" t="str">
        <f>IF(COUNTIF(REDUÇÕES!A:A,CST!B1739)&gt;0,"REDUÇÃO","NÃO REDUÇÃO")</f>
        <v>NÃO REDUÇÃO</v>
      </c>
      <c r="G1739" s="27">
        <f t="shared" si="38"/>
        <v>0</v>
      </c>
    </row>
    <row r="1740" spans="1:7" x14ac:dyDescent="0.25">
      <c r="A1740" s="120" t="str">
        <f>RIGHT(CSTABLE[[#This Row],[NomeNCM]],8)</f>
        <v>22071000</v>
      </c>
      <c r="B1740" s="123" t="s">
        <v>5639</v>
      </c>
      <c r="C1740" s="3" t="str">
        <f>IFERROR(VLOOKUP(B1740,ST!C:D,2,0),"NÃOST")</f>
        <v>NÃOST</v>
      </c>
      <c r="E1740" s="3" t="str">
        <f>IF(COUNTIF(ISENÇÕES!A:A,CST!B1740)&gt;0,"ISENÇÃO","SEM ISENÇÃO")</f>
        <v>SEM ISENÇÃO</v>
      </c>
      <c r="F1740" s="18" t="str">
        <f>IF(COUNTIF(REDUÇÕES!A:A,CST!B1740)&gt;0,"REDUÇÃO","NÃO REDUÇÃO")</f>
        <v>NÃO REDUÇÃO</v>
      </c>
      <c r="G1740" s="27">
        <f t="shared" si="38"/>
        <v>0</v>
      </c>
    </row>
    <row r="1741" spans="1:7" x14ac:dyDescent="0.25">
      <c r="A1741" s="120" t="str">
        <f>RIGHT(CSTABLE[[#This Row],[NomeNCM]],8)</f>
        <v>23011010</v>
      </c>
      <c r="B1741" s="123" t="s">
        <v>5640</v>
      </c>
      <c r="C1741" s="3" t="str">
        <f>IFERROR(VLOOKUP(B1741,ST!C:D,2,0),"NÃOST")</f>
        <v>NÃOST</v>
      </c>
      <c r="E1741" s="3" t="str">
        <f>IF(COUNTIF(ISENÇÕES!A:A,CST!B1741)&gt;0,"ISENÇÃO","SEM ISENÇÃO")</f>
        <v>SEM ISENÇÃO</v>
      </c>
      <c r="F1741" s="18" t="str">
        <f>IF(COUNTIF(REDUÇÕES!A:A,CST!B1741)&gt;0,"REDUÇÃO","NÃO REDUÇÃO")</f>
        <v>NÃO REDUÇÃO</v>
      </c>
      <c r="G1741" s="27">
        <f t="shared" si="38"/>
        <v>0</v>
      </c>
    </row>
    <row r="1742" spans="1:7" x14ac:dyDescent="0.25">
      <c r="A1742" s="120" t="str">
        <f>RIGHT(CSTABLE[[#This Row],[NomeNCM]],8)</f>
        <v>29033012</v>
      </c>
      <c r="B1742" s="123" t="s">
        <v>5641</v>
      </c>
      <c r="C1742" s="3" t="str">
        <f>IFERROR(VLOOKUP(B1742,ST!C:D,2,0),"NÃOST")</f>
        <v>NÃOST</v>
      </c>
      <c r="E1742" s="3" t="str">
        <f>IF(COUNTIF(ISENÇÕES!A:A,CST!B1742)&gt;0,"ISENÇÃO","SEM ISENÇÃO")</f>
        <v>SEM ISENÇÃO</v>
      </c>
      <c r="F1742" s="18" t="str">
        <f>IF(COUNTIF(REDUÇÕES!A:A,CST!B1742)&gt;0,"REDUÇÃO","NÃO REDUÇÃO")</f>
        <v>NÃO REDUÇÃO</v>
      </c>
      <c r="G1742" s="27">
        <f t="shared" si="38"/>
        <v>0</v>
      </c>
    </row>
    <row r="1743" spans="1:7" x14ac:dyDescent="0.25">
      <c r="A1743" s="120" t="str">
        <f>RIGHT(CSTABLE[[#This Row],[NomeNCM]],8)</f>
        <v>29141929</v>
      </c>
      <c r="B1743" s="123" t="s">
        <v>5642</v>
      </c>
      <c r="C1743" s="3" t="str">
        <f>IFERROR(VLOOKUP(B1743,ST!C:D,2,0),"NÃOST")</f>
        <v>NÃOST</v>
      </c>
      <c r="E1743" s="3" t="str">
        <f>IF(COUNTIF(ISENÇÕES!A:A,CST!B1743)&gt;0,"ISENÇÃO","SEM ISENÇÃO")</f>
        <v>SEM ISENÇÃO</v>
      </c>
      <c r="F1743" s="18" t="str">
        <f>IF(COUNTIF(REDUÇÕES!A:A,CST!B1743)&gt;0,"REDUÇÃO","NÃO REDUÇÃO")</f>
        <v>NÃO REDUÇÃO</v>
      </c>
      <c r="G1743" s="27">
        <f t="shared" si="38"/>
        <v>0</v>
      </c>
    </row>
    <row r="1744" spans="1:7" x14ac:dyDescent="0.25">
      <c r="A1744" s="120" t="str">
        <f>RIGHT(CSTABLE[[#This Row],[NomeNCM]],8)</f>
        <v>32030019</v>
      </c>
      <c r="B1744" s="123" t="s">
        <v>5643</v>
      </c>
      <c r="C1744" s="3" t="str">
        <f>IFERROR(VLOOKUP(B1744,ST!C:D,2,0),"NÃOST")</f>
        <v>NÃOST</v>
      </c>
      <c r="E1744" s="3" t="str">
        <f>IF(COUNTIF(ISENÇÕES!A:A,CST!B1744)&gt;0,"ISENÇÃO","SEM ISENÇÃO")</f>
        <v>SEM ISENÇÃO</v>
      </c>
      <c r="F1744" s="18" t="str">
        <f>IF(COUNTIF(REDUÇÕES!A:A,CST!B1744)&gt;0,"REDUÇÃO","NÃO REDUÇÃO")</f>
        <v>NÃO REDUÇÃO</v>
      </c>
      <c r="G1744" s="27">
        <f t="shared" si="38"/>
        <v>0</v>
      </c>
    </row>
    <row r="1745" spans="1:7" x14ac:dyDescent="0.25">
      <c r="A1745" s="120" t="str">
        <f>RIGHT(CSTABLE[[#This Row],[NomeNCM]],8)</f>
        <v>34600000</v>
      </c>
      <c r="B1745" s="123" t="s">
        <v>5644</v>
      </c>
      <c r="C1745" s="3" t="str">
        <f>IFERROR(VLOOKUP(B1745,ST!C:D,2,0),"NÃOST")</f>
        <v>NÃOST</v>
      </c>
      <c r="E1745" s="3" t="str">
        <f>IF(COUNTIF(ISENÇÕES!A:A,CST!B1745)&gt;0,"ISENÇÃO","SEM ISENÇÃO")</f>
        <v>SEM ISENÇÃO</v>
      </c>
      <c r="F1745" s="18" t="str">
        <f>IF(COUNTIF(REDUÇÕES!A:A,CST!B1745)&gt;0,"REDUÇÃO","NÃO REDUÇÃO")</f>
        <v>NÃO REDUÇÃO</v>
      </c>
      <c r="G1745" s="27">
        <f t="shared" si="38"/>
        <v>0</v>
      </c>
    </row>
    <row r="1746" spans="1:7" x14ac:dyDescent="0.25">
      <c r="A1746" s="120" t="str">
        <f>RIGHT(CSTABLE[[#This Row],[NomeNCM]],8)</f>
        <v>39012019</v>
      </c>
      <c r="B1746" s="123" t="s">
        <v>5645</v>
      </c>
      <c r="C1746" s="3" t="str">
        <f>IFERROR(VLOOKUP(B1746,ST!C:D,2,0),"NÃOST")</f>
        <v>NÃOST</v>
      </c>
      <c r="E1746" s="3" t="str">
        <f>IF(COUNTIF(ISENÇÕES!A:A,CST!B1746)&gt;0,"ISENÇÃO","SEM ISENÇÃO")</f>
        <v>SEM ISENÇÃO</v>
      </c>
      <c r="F1746" s="18" t="str">
        <f>IF(COUNTIF(REDUÇÕES!A:A,CST!B1746)&gt;0,"REDUÇÃO","NÃO REDUÇÃO")</f>
        <v>NÃO REDUÇÃO</v>
      </c>
      <c r="G1746" s="27">
        <f t="shared" si="38"/>
        <v>0</v>
      </c>
    </row>
    <row r="1747" spans="1:7" x14ac:dyDescent="0.25">
      <c r="A1747" s="120" t="str">
        <f>RIGHT(CSTABLE[[#This Row],[NomeNCM]],8)</f>
        <v>39041090</v>
      </c>
      <c r="B1747" s="123" t="s">
        <v>5646</v>
      </c>
      <c r="C1747" s="3" t="str">
        <f>IFERROR(VLOOKUP(B1747,ST!C:D,2,0),"NÃOST")</f>
        <v>NÃOST</v>
      </c>
      <c r="E1747" s="3" t="str">
        <f>IF(COUNTIF(ISENÇÕES!A:A,CST!B1747)&gt;0,"ISENÇÃO","SEM ISENÇÃO")</f>
        <v>SEM ISENÇÃO</v>
      </c>
      <c r="F1747" s="18" t="str">
        <f>IF(COUNTIF(REDUÇÕES!A:A,CST!B1747)&gt;0,"REDUÇÃO","NÃO REDUÇÃO")</f>
        <v>NÃO REDUÇÃO</v>
      </c>
      <c r="G1747" s="27">
        <f t="shared" si="38"/>
        <v>0</v>
      </c>
    </row>
    <row r="1748" spans="1:7" x14ac:dyDescent="0.25">
      <c r="A1748" s="120" t="str">
        <f>RIGHT(CSTABLE[[#This Row],[NomeNCM]],8)</f>
        <v>39159000</v>
      </c>
      <c r="B1748" s="123" t="s">
        <v>5647</v>
      </c>
      <c r="C1748" s="3" t="str">
        <f>IFERROR(VLOOKUP(B1748,ST!C:D,2,0),"NÃOST")</f>
        <v>NÃOST</v>
      </c>
      <c r="E1748" s="3" t="str">
        <f>IF(COUNTIF(ISENÇÕES!A:A,CST!B1748)&gt;0,"ISENÇÃO","SEM ISENÇÃO")</f>
        <v>SEM ISENÇÃO</v>
      </c>
      <c r="F1748" s="18" t="str">
        <f>IF(COUNTIF(REDUÇÕES!A:A,CST!B1748)&gt;0,"REDUÇÃO","NÃO REDUÇÃO")</f>
        <v>NÃO REDUÇÃO</v>
      </c>
      <c r="G1748" s="27">
        <f t="shared" si="38"/>
        <v>0</v>
      </c>
    </row>
    <row r="1749" spans="1:7" x14ac:dyDescent="0.25">
      <c r="A1749" s="120" t="str">
        <f>RIGHT(CSTABLE[[#This Row],[NomeNCM]],8)</f>
        <v>39253000</v>
      </c>
      <c r="B1749" s="123" t="s">
        <v>5648</v>
      </c>
      <c r="C1749" s="3" t="str">
        <f>IFERROR(VLOOKUP(B1749,ST!C:D,2,0),"NÃOST")</f>
        <v>NÃOST</v>
      </c>
      <c r="E1749" s="3" t="str">
        <f>IF(COUNTIF(ISENÇÕES!A:A,CST!B1749)&gt;0,"ISENÇÃO","SEM ISENÇÃO")</f>
        <v>SEM ISENÇÃO</v>
      </c>
      <c r="F1749" s="18" t="str">
        <f>IF(COUNTIF(REDUÇÕES!A:A,CST!B1749)&gt;0,"REDUÇÃO","NÃO REDUÇÃO")</f>
        <v>NÃO REDUÇÃO</v>
      </c>
      <c r="G1749" s="27">
        <f t="shared" si="38"/>
        <v>0</v>
      </c>
    </row>
    <row r="1750" spans="1:7" x14ac:dyDescent="0.25">
      <c r="A1750" s="120" t="str">
        <f>RIGHT(CSTABLE[[#This Row],[NomeNCM]],8)</f>
        <v>39424900</v>
      </c>
      <c r="B1750" s="123" t="s">
        <v>5649</v>
      </c>
      <c r="C1750" s="3" t="str">
        <f>IFERROR(VLOOKUP(B1750,ST!C:D,2,0),"NÃOST")</f>
        <v>NÃOST</v>
      </c>
      <c r="E1750" s="3" t="str">
        <f>IF(COUNTIF(ISENÇÕES!A:A,CST!B1750)&gt;0,"ISENÇÃO","SEM ISENÇÃO")</f>
        <v>SEM ISENÇÃO</v>
      </c>
      <c r="F1750" s="18" t="str">
        <f>IF(COUNTIF(REDUÇÕES!A:A,CST!B1750)&gt;0,"REDUÇÃO","NÃO REDUÇÃO")</f>
        <v>NÃO REDUÇÃO</v>
      </c>
      <c r="G1750" s="27">
        <f t="shared" si="38"/>
        <v>0</v>
      </c>
    </row>
    <row r="1751" spans="1:7" x14ac:dyDescent="0.25">
      <c r="A1751" s="120" t="str">
        <f>RIGHT(CSTABLE[[#This Row],[NomeNCM]],8)</f>
        <v>40070019</v>
      </c>
      <c r="B1751" s="123" t="s">
        <v>5650</v>
      </c>
      <c r="C1751" s="3" t="str">
        <f>IFERROR(VLOOKUP(B1751,ST!C:D,2,0),"NÃOST")</f>
        <v>NÃOST</v>
      </c>
      <c r="E1751" s="3" t="str">
        <f>IF(COUNTIF(ISENÇÕES!A:A,CST!B1751)&gt;0,"ISENÇÃO","SEM ISENÇÃO")</f>
        <v>SEM ISENÇÃO</v>
      </c>
      <c r="F1751" s="18" t="str">
        <f>IF(COUNTIF(REDUÇÕES!A:A,CST!B1751)&gt;0,"REDUÇÃO","NÃO REDUÇÃO")</f>
        <v>NÃO REDUÇÃO</v>
      </c>
      <c r="G1751" s="27">
        <f t="shared" si="38"/>
        <v>0</v>
      </c>
    </row>
    <row r="1752" spans="1:7" x14ac:dyDescent="0.25">
      <c r="A1752" s="120" t="str">
        <f>RIGHT(CSTABLE[[#This Row],[NomeNCM]],8)</f>
        <v>48142000</v>
      </c>
      <c r="B1752" s="123" t="s">
        <v>5651</v>
      </c>
      <c r="C1752" s="3" t="str">
        <f>IFERROR(VLOOKUP(B1752,ST!C:D,2,0),"NÃOST")</f>
        <v>NÃOST</v>
      </c>
      <c r="E1752" s="3" t="str">
        <f>IF(COUNTIF(ISENÇÕES!A:A,CST!B1752)&gt;0,"ISENÇÃO","SEM ISENÇÃO")</f>
        <v>SEM ISENÇÃO</v>
      </c>
      <c r="F1752" s="18" t="str">
        <f>IF(COUNTIF(REDUÇÕES!A:A,CST!B1752)&gt;0,"REDUÇÃO","NÃO REDUÇÃO")</f>
        <v>NÃO REDUÇÃO</v>
      </c>
      <c r="G1752" s="27">
        <f t="shared" si="38"/>
        <v>0</v>
      </c>
    </row>
    <row r="1753" spans="1:7" x14ac:dyDescent="0.25">
      <c r="A1753" s="120" t="str">
        <f>RIGHT(CSTABLE[[#This Row],[NomeNCM]],8)</f>
        <v>58006000</v>
      </c>
      <c r="B1753" s="123" t="s">
        <v>5652</v>
      </c>
      <c r="C1753" s="3" t="str">
        <f>IFERROR(VLOOKUP(B1753,ST!C:D,2,0),"NÃOST")</f>
        <v>NÃOST</v>
      </c>
      <c r="E1753" s="3" t="str">
        <f>IF(COUNTIF(ISENÇÕES!A:A,CST!B1753)&gt;0,"ISENÇÃO","SEM ISENÇÃO")</f>
        <v>SEM ISENÇÃO</v>
      </c>
      <c r="F1753" s="18" t="str">
        <f>IF(COUNTIF(REDUÇÕES!A:A,CST!B1753)&gt;0,"REDUÇÃO","NÃO REDUÇÃO")</f>
        <v>NÃO REDUÇÃO</v>
      </c>
      <c r="G1753" s="27">
        <f t="shared" si="38"/>
        <v>0</v>
      </c>
    </row>
    <row r="1754" spans="1:7" x14ac:dyDescent="0.25">
      <c r="A1754" s="120" t="str">
        <f>RIGHT(CSTABLE[[#This Row],[NomeNCM]],8)</f>
        <v>63022900</v>
      </c>
      <c r="B1754" s="123" t="s">
        <v>5653</v>
      </c>
      <c r="C1754" s="3" t="str">
        <f>IFERROR(VLOOKUP(B1754,ST!C:D,2,0),"NÃOST")</f>
        <v>NÃOST</v>
      </c>
      <c r="E1754" s="3" t="str">
        <f>IF(COUNTIF(ISENÇÕES!A:A,CST!B1754)&gt;0,"ISENÇÃO","SEM ISENÇÃO")</f>
        <v>SEM ISENÇÃO</v>
      </c>
      <c r="F1754" s="18" t="str">
        <f>IF(COUNTIF(REDUÇÕES!A:A,CST!B1754)&gt;0,"REDUÇÃO","NÃO REDUÇÃO")</f>
        <v>NÃO REDUÇÃO</v>
      </c>
      <c r="G1754" s="27">
        <f t="shared" si="38"/>
        <v>0</v>
      </c>
    </row>
    <row r="1755" spans="1:7" x14ac:dyDescent="0.25">
      <c r="A1755" s="120" t="str">
        <f>RIGHT(CSTABLE[[#This Row],[NomeNCM]],8)</f>
        <v>63052001</v>
      </c>
      <c r="B1755" s="123" t="s">
        <v>5654</v>
      </c>
      <c r="C1755" s="3" t="str">
        <f>IFERROR(VLOOKUP(B1755,ST!C:D,2,0),"NÃOST")</f>
        <v>NÃOST</v>
      </c>
      <c r="E1755" s="3" t="str">
        <f>IF(COUNTIF(ISENÇÕES!A:A,CST!B1755)&gt;0,"ISENÇÃO","SEM ISENÇÃO")</f>
        <v>SEM ISENÇÃO</v>
      </c>
      <c r="F1755" s="18" t="str">
        <f>IF(COUNTIF(REDUÇÕES!A:A,CST!B1755)&gt;0,"REDUÇÃO","NÃO REDUÇÃO")</f>
        <v>NÃO REDUÇÃO</v>
      </c>
      <c r="G1755" s="27">
        <f t="shared" si="38"/>
        <v>0</v>
      </c>
    </row>
    <row r="1756" spans="1:7" x14ac:dyDescent="0.25">
      <c r="A1756" s="120" t="str">
        <f>RIGHT(CSTABLE[[#This Row],[NomeNCM]],8)</f>
        <v>76151100</v>
      </c>
      <c r="B1756" s="123" t="s">
        <v>5655</v>
      </c>
      <c r="C1756" s="49" t="str">
        <f>IFERROR(VLOOKUP(B1756,ST!C:D,2,0),"NÃOST")</f>
        <v>NÃOST</v>
      </c>
      <c r="E1756" s="49" t="str">
        <f>IF(COUNTIF(ISENÇÕES!A:A,CST!B1756)&gt;0,"ISENÇÃO","SEM ISENÇÃO")</f>
        <v>SEM ISENÇÃO</v>
      </c>
      <c r="F1756" s="50" t="str">
        <f>IF(COUNTIF(REDUÇÕES!A:A,CST!B1756)&gt;0,"REDUÇÃO","NÃO REDUÇÃO")</f>
        <v>NÃO REDUÇÃO</v>
      </c>
      <c r="G1756" s="51">
        <f t="shared" si="38"/>
        <v>0</v>
      </c>
    </row>
    <row r="1757" spans="1:7" x14ac:dyDescent="0.25">
      <c r="A1757" s="120" t="str">
        <f>RIGHT(CSTABLE[[#This Row],[NomeNCM]],8)</f>
        <v>08109014</v>
      </c>
      <c r="B1757" s="123" t="s">
        <v>5499</v>
      </c>
      <c r="C1757" s="3" t="str">
        <f>IFERROR(VLOOKUP(B1757,ST!C:D,2,0),"NÃOST")</f>
        <v>NÃOST</v>
      </c>
      <c r="E1757" s="3" t="str">
        <f>IF(COUNTIF(ISENÇÕES!A:A,CST!B1757)&gt;0,"ISENÇÃO","SEM ISENÇÃO")</f>
        <v>ISENÇÃO</v>
      </c>
      <c r="F1757" s="18" t="str">
        <f>IF(COUNTIF(REDUÇÕES!A:A,CST!B1757)&gt;0,"REDUÇÃO","NÃO REDUÇÃO")</f>
        <v>NÃO REDUÇÃO</v>
      </c>
      <c r="G1757" s="27">
        <f t="shared" ref="G1757:G1763" si="39">VLOOKUP(C1757&amp;F1757&amp;E1757,$B$3:$F$10,5,0)</f>
        <v>40</v>
      </c>
    </row>
    <row r="1758" spans="1:7" x14ac:dyDescent="0.25">
      <c r="A1758" s="120" t="str">
        <f>RIGHT(CSTABLE[[#This Row],[NomeNCM]],8)</f>
        <v>34031900</v>
      </c>
      <c r="B1758" s="123" t="s">
        <v>5656</v>
      </c>
      <c r="C1758" s="3" t="str">
        <f>IFERROR(VLOOKUP(B1758,ST!C:D,2,0),"NÃOST")</f>
        <v>ST</v>
      </c>
      <c r="E1758" s="3" t="str">
        <f>IF(COUNTIF(ISENÇÕES!A:A,CST!B1758)&gt;0,"ISENÇÃO","SEM ISENÇÃO")</f>
        <v>SEM ISENÇÃO</v>
      </c>
      <c r="F1758" s="18" t="str">
        <f>IF(COUNTIF(REDUÇÕES!A:A,CST!B1758)&gt;0,"REDUÇÃO","NÃO REDUÇÃO")</f>
        <v>NÃO REDUÇÃO</v>
      </c>
      <c r="G1758" s="27">
        <f t="shared" si="39"/>
        <v>60</v>
      </c>
    </row>
    <row r="1759" spans="1:7" x14ac:dyDescent="0.25">
      <c r="A1759" s="120" t="str">
        <f>RIGHT(CSTABLE[[#This Row],[NomeNCM]],8)</f>
        <v>39123119</v>
      </c>
      <c r="B1759" s="123" t="s">
        <v>5657</v>
      </c>
      <c r="C1759" s="3" t="str">
        <f>IFERROR(VLOOKUP(B1759,ST!C:D,2,0),"NÃOST")</f>
        <v>NÃOST</v>
      </c>
      <c r="E1759" s="3" t="str">
        <f>IF(COUNTIF(ISENÇÕES!A:A,CST!B1759)&gt;0,"ISENÇÃO","SEM ISENÇÃO")</f>
        <v>SEM ISENÇÃO</v>
      </c>
      <c r="F1759" s="18" t="str">
        <f>IF(COUNTIF(REDUÇÕES!A:A,CST!B1759)&gt;0,"REDUÇÃO","NÃO REDUÇÃO")</f>
        <v>NÃO REDUÇÃO</v>
      </c>
      <c r="G1759" s="27">
        <f t="shared" si="39"/>
        <v>0</v>
      </c>
    </row>
    <row r="1760" spans="1:7" x14ac:dyDescent="0.25">
      <c r="A1760" s="120" t="str">
        <f>RIGHT(CSTABLE[[#This Row],[NomeNCM]],8)</f>
        <v>40070020</v>
      </c>
      <c r="B1760" s="123" t="s">
        <v>5658</v>
      </c>
      <c r="C1760" s="3" t="str">
        <f>IFERROR(VLOOKUP(B1760,ST!C:D,2,0),"NÃOST")</f>
        <v>NÃOST</v>
      </c>
      <c r="E1760" s="3" t="str">
        <f>IF(COUNTIF(ISENÇÕES!A:A,CST!B1760)&gt;0,"ISENÇÃO","SEM ISENÇÃO")</f>
        <v>SEM ISENÇÃO</v>
      </c>
      <c r="F1760" s="18" t="str">
        <f>IF(COUNTIF(REDUÇÕES!A:A,CST!B1760)&gt;0,"REDUÇÃO","NÃO REDUÇÃO")</f>
        <v>NÃO REDUÇÃO</v>
      </c>
      <c r="G1760" s="27">
        <f t="shared" si="39"/>
        <v>0</v>
      </c>
    </row>
    <row r="1761" spans="1:7" x14ac:dyDescent="0.25">
      <c r="A1761" s="120" t="str">
        <f>RIGHT(CSTABLE[[#This Row],[NomeNCM]],8)</f>
        <v>52030000</v>
      </c>
      <c r="B1761" s="123" t="s">
        <v>5659</v>
      </c>
      <c r="C1761" s="3" t="str">
        <f>IFERROR(VLOOKUP(B1761,ST!C:D,2,0),"NÃOST")</f>
        <v>NÃOST</v>
      </c>
      <c r="E1761" s="3" t="str">
        <f>IF(COUNTIF(ISENÇÕES!A:A,CST!B1761)&gt;0,"ISENÇÃO","SEM ISENÇÃO")</f>
        <v>SEM ISENÇÃO</v>
      </c>
      <c r="F1761" s="18" t="str">
        <f>IF(COUNTIF(REDUÇÕES!A:A,CST!B1761)&gt;0,"REDUÇÃO","NÃO REDUÇÃO")</f>
        <v>NÃO REDUÇÃO</v>
      </c>
      <c r="G1761" s="27">
        <f t="shared" si="39"/>
        <v>0</v>
      </c>
    </row>
    <row r="1762" spans="1:7" x14ac:dyDescent="0.25">
      <c r="A1762" s="120" t="str">
        <f>RIGHT(CSTABLE[[#This Row],[NomeNCM]],8)</f>
        <v>70132900</v>
      </c>
      <c r="B1762" s="123" t="s">
        <v>5660</v>
      </c>
      <c r="C1762" s="3" t="str">
        <f>IFERROR(VLOOKUP(B1762,ST!C:D,2,0),"NÃOST")</f>
        <v>NÃOST</v>
      </c>
      <c r="E1762" s="3" t="str">
        <f>IF(COUNTIF(ISENÇÕES!A:A,CST!B1762)&gt;0,"ISENÇÃO","SEM ISENÇÃO")</f>
        <v>SEM ISENÇÃO</v>
      </c>
      <c r="F1762" s="18" t="str">
        <f>IF(COUNTIF(REDUÇÕES!A:A,CST!B1762)&gt;0,"REDUÇÃO","NÃO REDUÇÃO")</f>
        <v>NÃO REDUÇÃO</v>
      </c>
      <c r="G1762" s="27">
        <f t="shared" si="39"/>
        <v>0</v>
      </c>
    </row>
    <row r="1763" spans="1:7" x14ac:dyDescent="0.25">
      <c r="A1763" s="120" t="str">
        <f>RIGHT(CSTABLE[[#This Row],[NomeNCM]],8)</f>
        <v>84368000</v>
      </c>
      <c r="B1763" s="123" t="s">
        <v>5661</v>
      </c>
      <c r="C1763" s="49" t="str">
        <f>IFERROR(VLOOKUP(B1763,ST!C:D,2,0),"NÃOST")</f>
        <v>NÃOST</v>
      </c>
      <c r="E1763" s="49" t="str">
        <f>IF(COUNTIF(ISENÇÕES!A:A,CST!B1763)&gt;0,"ISENÇÃO","SEM ISENÇÃO")</f>
        <v>SEM ISENÇÃO</v>
      </c>
      <c r="F1763" s="50" t="str">
        <f>IF(COUNTIF(REDUÇÕES!A:A,CST!B1763)&gt;0,"REDUÇÃO","NÃO REDUÇÃO")</f>
        <v>REDUÇÃO</v>
      </c>
      <c r="G1763" s="51">
        <f t="shared" si="39"/>
        <v>20</v>
      </c>
    </row>
    <row r="1764" spans="1:7" x14ac:dyDescent="0.25">
      <c r="A1764" s="120" t="str">
        <f>RIGHT(CSTABLE[[#This Row],[NomeNCM]],8)</f>
        <v>05040011</v>
      </c>
      <c r="B1764" s="123" t="s">
        <v>5666</v>
      </c>
      <c r="C1764" s="3" t="str">
        <f>IFERROR(VLOOKUP(B1764,ST!C:D,2,0),"NÃOST")</f>
        <v>NÃOST</v>
      </c>
      <c r="E1764" s="3" t="str">
        <f>IF(COUNTIF(ISENÇÕES!A:A,CST!B1764)&gt;0,"ISENÇÃO","SEM ISENÇÃO")</f>
        <v>SEM ISENÇÃO</v>
      </c>
      <c r="F1764" s="18" t="str">
        <f>IF(COUNTIF(REDUÇÕES!A:A,CST!B1764)&gt;0,"REDUÇÃO","NÃO REDUÇÃO")</f>
        <v>NÃO REDUÇÃO</v>
      </c>
      <c r="G1764" s="27">
        <f t="shared" ref="G1764:G1798" si="40">VLOOKUP(C1764&amp;F1764&amp;E1764,$B$3:$F$10,5,0)</f>
        <v>0</v>
      </c>
    </row>
    <row r="1765" spans="1:7" x14ac:dyDescent="0.25">
      <c r="A1765" s="120" t="str">
        <f>RIGHT(CSTABLE[[#This Row],[NomeNCM]],8)</f>
        <v>07032010</v>
      </c>
      <c r="B1765" s="123" t="s">
        <v>5383</v>
      </c>
      <c r="C1765" s="3" t="str">
        <f>IFERROR(VLOOKUP(B1765,ST!C:D,2,0),"NÃOST")</f>
        <v>NÃOST</v>
      </c>
      <c r="E1765" s="3" t="str">
        <f>IF(COUNTIF(ISENÇÕES!A:A,CST!B1765)&gt;0,"ISENÇÃO","SEM ISENÇÃO")</f>
        <v>ISENÇÃO</v>
      </c>
      <c r="F1765" s="18" t="str">
        <f>IF(COUNTIF(REDUÇÕES!A:A,CST!B1765)&gt;0,"REDUÇÃO","NÃO REDUÇÃO")</f>
        <v>NÃO REDUÇÃO</v>
      </c>
      <c r="G1765" s="27">
        <f t="shared" si="40"/>
        <v>40</v>
      </c>
    </row>
    <row r="1766" spans="1:7" x14ac:dyDescent="0.25">
      <c r="A1766" s="120" t="str">
        <f>RIGHT(CSTABLE[[#This Row],[NomeNCM]],8)</f>
        <v>08052900</v>
      </c>
      <c r="B1766" s="123" t="s">
        <v>5481</v>
      </c>
      <c r="C1766" s="3" t="str">
        <f>IFERROR(VLOOKUP(B1766,ST!C:D,2,0),"NÃOST")</f>
        <v>NÃOST</v>
      </c>
      <c r="E1766" s="3" t="str">
        <f>IF(COUNTIF(ISENÇÕES!A:A,CST!B1766)&gt;0,"ISENÇÃO","SEM ISENÇÃO")</f>
        <v>ISENÇÃO</v>
      </c>
      <c r="F1766" s="18" t="str">
        <f>IF(COUNTIF(REDUÇÕES!A:A,CST!B1766)&gt;0,"REDUÇÃO","NÃO REDUÇÃO")</f>
        <v>NÃO REDUÇÃO</v>
      </c>
      <c r="G1766" s="27">
        <f t="shared" si="40"/>
        <v>40</v>
      </c>
    </row>
    <row r="1767" spans="1:7" x14ac:dyDescent="0.25">
      <c r="A1767" s="120" t="str">
        <f>RIGHT(CSTABLE[[#This Row],[NomeNCM]],8)</f>
        <v>09076000</v>
      </c>
      <c r="B1767" s="123" t="s">
        <v>5667</v>
      </c>
      <c r="C1767" s="3" t="str">
        <f>IFERROR(VLOOKUP(B1767,ST!C:D,2,0),"NÃOST")</f>
        <v>NÃOST</v>
      </c>
      <c r="E1767" s="3" t="str">
        <f>IF(COUNTIF(ISENÇÕES!A:A,CST!B1767)&gt;0,"ISENÇÃO","SEM ISENÇÃO")</f>
        <v>SEM ISENÇÃO</v>
      </c>
      <c r="F1767" s="18" t="str">
        <f>IF(COUNTIF(REDUÇÕES!A:A,CST!B1767)&gt;0,"REDUÇÃO","NÃO REDUÇÃO")</f>
        <v>NÃO REDUÇÃO</v>
      </c>
      <c r="G1767" s="27">
        <f t="shared" si="40"/>
        <v>0</v>
      </c>
    </row>
    <row r="1768" spans="1:7" x14ac:dyDescent="0.25">
      <c r="A1768" s="120" t="str">
        <f>RIGHT(CSTABLE[[#This Row],[NomeNCM]],8)</f>
        <v>20098913</v>
      </c>
      <c r="B1768" s="123" t="s">
        <v>5668</v>
      </c>
      <c r="C1768" s="3" t="str">
        <f>IFERROR(VLOOKUP(B1768,ST!C:D,2,0),"NÃOST")</f>
        <v>NÃOST</v>
      </c>
      <c r="E1768" s="3" t="str">
        <f>IF(COUNTIF(ISENÇÕES!A:A,CST!B1768)&gt;0,"ISENÇÃO","SEM ISENÇÃO")</f>
        <v>SEM ISENÇÃO</v>
      </c>
      <c r="F1768" s="18" t="str">
        <f>IF(COUNTIF(REDUÇÕES!A:A,CST!B1768)&gt;0,"REDUÇÃO","NÃO REDUÇÃO")</f>
        <v>NÃO REDUÇÃO</v>
      </c>
      <c r="G1768" s="27">
        <f t="shared" si="40"/>
        <v>0</v>
      </c>
    </row>
    <row r="1769" spans="1:7" x14ac:dyDescent="0.25">
      <c r="A1769" s="120" t="str">
        <f>RIGHT(CSTABLE[[#This Row],[NomeNCM]],8)</f>
        <v>21039000</v>
      </c>
      <c r="B1769" s="123" t="s">
        <v>5669</v>
      </c>
      <c r="C1769" s="3" t="str">
        <f>IFERROR(VLOOKUP(B1769,ST!C:D,2,0),"NÃOST")</f>
        <v>NÃOST</v>
      </c>
      <c r="E1769" s="3" t="str">
        <f>IF(COUNTIF(ISENÇÕES!A:A,CST!B1769)&gt;0,"ISENÇÃO","SEM ISENÇÃO")</f>
        <v>SEM ISENÇÃO</v>
      </c>
      <c r="F1769" s="18" t="str">
        <f>IF(COUNTIF(REDUÇÕES!A:A,CST!B1769)&gt;0,"REDUÇÃO","NÃO REDUÇÃO")</f>
        <v>NÃO REDUÇÃO</v>
      </c>
      <c r="G1769" s="27">
        <f t="shared" si="40"/>
        <v>0</v>
      </c>
    </row>
    <row r="1770" spans="1:7" x14ac:dyDescent="0.25">
      <c r="A1770" s="120" t="str">
        <f>RIGHT(CSTABLE[[#This Row],[NomeNCM]],8)</f>
        <v>25081000</v>
      </c>
      <c r="B1770" s="123" t="s">
        <v>5670</v>
      </c>
      <c r="C1770" s="3" t="str">
        <f>IFERROR(VLOOKUP(B1770,ST!C:D,2,0),"NÃOST")</f>
        <v>NÃOST</v>
      </c>
      <c r="E1770" s="3" t="str">
        <f>IF(COUNTIF(ISENÇÕES!A:A,CST!B1770)&gt;0,"ISENÇÃO","SEM ISENÇÃO")</f>
        <v>SEM ISENÇÃO</v>
      </c>
      <c r="F1770" s="18" t="str">
        <f>IF(COUNTIF(REDUÇÕES!A:A,CST!B1770)&gt;0,"REDUÇÃO","NÃO REDUÇÃO")</f>
        <v>NÃO REDUÇÃO</v>
      </c>
      <c r="G1770" s="27">
        <f t="shared" si="40"/>
        <v>0</v>
      </c>
    </row>
    <row r="1771" spans="1:7" x14ac:dyDescent="0.25">
      <c r="A1771" s="120" t="str">
        <f>RIGHT(CSTABLE[[#This Row],[NomeNCM]],8)</f>
        <v>27150000</v>
      </c>
      <c r="B1771" s="123" t="s">
        <v>5671</v>
      </c>
      <c r="C1771" s="3" t="str">
        <f>IFERROR(VLOOKUP(B1771,ST!C:D,2,0),"NÃOST")</f>
        <v>NÃOST</v>
      </c>
      <c r="E1771" s="3" t="str">
        <f>IF(COUNTIF(ISENÇÕES!A:A,CST!B1771)&gt;0,"ISENÇÃO","SEM ISENÇÃO")</f>
        <v>SEM ISENÇÃO</v>
      </c>
      <c r="F1771" s="18" t="str">
        <f>IF(COUNTIF(REDUÇÕES!A:A,CST!B1771)&gt;0,"REDUÇÃO","NÃO REDUÇÃO")</f>
        <v>NÃO REDUÇÃO</v>
      </c>
      <c r="G1771" s="27">
        <f t="shared" si="40"/>
        <v>0</v>
      </c>
    </row>
    <row r="1772" spans="1:7" x14ac:dyDescent="0.25">
      <c r="A1772" s="120" t="str">
        <f>RIGHT(CSTABLE[[#This Row],[NomeNCM]],8)</f>
        <v>30045090</v>
      </c>
      <c r="B1772" s="123" t="s">
        <v>5672</v>
      </c>
      <c r="C1772" s="3" t="str">
        <f>IFERROR(VLOOKUP(B1772,ST!C:D,2,0),"NÃOST")</f>
        <v>NÃOST</v>
      </c>
      <c r="E1772" s="3" t="str">
        <f>IF(COUNTIF(ISENÇÕES!A:A,CST!B1772)&gt;0,"ISENÇÃO","SEM ISENÇÃO")</f>
        <v>SEM ISENÇÃO</v>
      </c>
      <c r="F1772" s="18" t="str">
        <f>IF(COUNTIF(REDUÇÕES!A:A,CST!B1772)&gt;0,"REDUÇÃO","NÃO REDUÇÃO")</f>
        <v>NÃO REDUÇÃO</v>
      </c>
      <c r="G1772" s="27">
        <f t="shared" si="40"/>
        <v>0</v>
      </c>
    </row>
    <row r="1773" spans="1:7" x14ac:dyDescent="0.25">
      <c r="A1773" s="120" t="str">
        <f>RIGHT(CSTABLE[[#This Row],[NomeNCM]],8)</f>
        <v>32091010</v>
      </c>
      <c r="B1773" s="123" t="s">
        <v>4429</v>
      </c>
      <c r="C1773" s="3" t="str">
        <f>IFERROR(VLOOKUP(B1773,ST!C:D,2,0),"NÃOST")</f>
        <v>ST</v>
      </c>
      <c r="E1773" s="3" t="str">
        <f>IF(COUNTIF(ISENÇÕES!A:A,CST!B1773)&gt;0,"ISENÇÃO","SEM ISENÇÃO")</f>
        <v>SEM ISENÇÃO</v>
      </c>
      <c r="F1773" s="18" t="str">
        <f>IF(COUNTIF(REDUÇÕES!A:A,CST!B1773)&gt;0,"REDUÇÃO","NÃO REDUÇÃO")</f>
        <v>NÃO REDUÇÃO</v>
      </c>
      <c r="G1773" s="27">
        <f t="shared" si="40"/>
        <v>60</v>
      </c>
    </row>
    <row r="1774" spans="1:7" x14ac:dyDescent="0.25">
      <c r="A1774" s="120" t="str">
        <f>RIGHT(CSTABLE[[#This Row],[NomeNCM]],8)</f>
        <v>39011010</v>
      </c>
      <c r="B1774" s="123" t="s">
        <v>5673</v>
      </c>
      <c r="C1774" s="3" t="str">
        <f>IFERROR(VLOOKUP(B1774,ST!C:D,2,0),"NÃOST")</f>
        <v>NÃOST</v>
      </c>
      <c r="E1774" s="3" t="str">
        <f>IF(COUNTIF(ISENÇÕES!A:A,CST!B1774)&gt;0,"ISENÇÃO","SEM ISENÇÃO")</f>
        <v>SEM ISENÇÃO</v>
      </c>
      <c r="F1774" s="18" t="str">
        <f>IF(COUNTIF(REDUÇÕES!A:A,CST!B1774)&gt;0,"REDUÇÃO","NÃO REDUÇÃO")</f>
        <v>NÃO REDUÇÃO</v>
      </c>
      <c r="G1774" s="27">
        <f t="shared" si="40"/>
        <v>0</v>
      </c>
    </row>
    <row r="1775" spans="1:7" x14ac:dyDescent="0.25">
      <c r="A1775" s="120" t="str">
        <f>RIGHT(CSTABLE[[#This Row],[NomeNCM]],8)</f>
        <v>39079100</v>
      </c>
      <c r="B1775" s="123" t="s">
        <v>5674</v>
      </c>
      <c r="C1775" s="3" t="str">
        <f>IFERROR(VLOOKUP(B1775,ST!C:D,2,0),"NÃOST")</f>
        <v>NÃOST</v>
      </c>
      <c r="E1775" s="3" t="str">
        <f>IF(COUNTIF(ISENÇÕES!A:A,CST!B1775)&gt;0,"ISENÇÃO","SEM ISENÇÃO")</f>
        <v>SEM ISENÇÃO</v>
      </c>
      <c r="F1775" s="18" t="str">
        <f>IF(COUNTIF(REDUÇÕES!A:A,CST!B1775)&gt;0,"REDUÇÃO","NÃO REDUÇÃO")</f>
        <v>NÃO REDUÇÃO</v>
      </c>
      <c r="G1775" s="27">
        <f t="shared" si="40"/>
        <v>0</v>
      </c>
    </row>
    <row r="1776" spans="1:7" x14ac:dyDescent="0.25">
      <c r="A1776" s="120" t="str">
        <f>RIGHT(CSTABLE[[#This Row],[NomeNCM]],8)</f>
        <v>40114000</v>
      </c>
      <c r="B1776" s="123" t="s">
        <v>103</v>
      </c>
      <c r="C1776" s="3" t="str">
        <f>IFERROR(VLOOKUP(B1776,ST!C:D,2,0),"NÃOST")</f>
        <v>ST</v>
      </c>
      <c r="E1776" s="3" t="str">
        <f>IF(COUNTIF(ISENÇÕES!A:A,CST!B1776)&gt;0,"ISENÇÃO","SEM ISENÇÃO")</f>
        <v>SEM ISENÇÃO</v>
      </c>
      <c r="F1776" s="18" t="str">
        <f>IF(COUNTIF(REDUÇÕES!A:A,CST!B1776)&gt;0,"REDUÇÃO","NÃO REDUÇÃO")</f>
        <v>NÃO REDUÇÃO</v>
      </c>
      <c r="G1776" s="27">
        <f t="shared" si="40"/>
        <v>60</v>
      </c>
    </row>
    <row r="1777" spans="1:7" x14ac:dyDescent="0.25">
      <c r="A1777" s="120" t="str">
        <f>RIGHT(CSTABLE[[#This Row],[NomeNCM]],8)</f>
        <v>40115000</v>
      </c>
      <c r="B1777" s="123" t="s">
        <v>5675</v>
      </c>
      <c r="C1777" s="3" t="str">
        <f>IFERROR(VLOOKUP(B1777,ST!C:D,2,0),"NÃOST")</f>
        <v>NÃOST</v>
      </c>
      <c r="E1777" s="3" t="str">
        <f>IF(COUNTIF(ISENÇÕES!A:A,CST!B1777)&gt;0,"ISENÇÃO","SEM ISENÇÃO")</f>
        <v>SEM ISENÇÃO</v>
      </c>
      <c r="F1777" s="18" t="str">
        <f>IF(COUNTIF(REDUÇÕES!A:A,CST!B1777)&gt;0,"REDUÇÃO","NÃO REDUÇÃO")</f>
        <v>NÃO REDUÇÃO</v>
      </c>
      <c r="G1777" s="27">
        <f t="shared" si="40"/>
        <v>0</v>
      </c>
    </row>
    <row r="1778" spans="1:7" x14ac:dyDescent="0.25">
      <c r="A1778" s="120" t="str">
        <f>RIGHT(CSTABLE[[#This Row],[NomeNCM]],8)</f>
        <v>40118090</v>
      </c>
      <c r="B1778" s="123" t="s">
        <v>5664</v>
      </c>
      <c r="C1778" s="3" t="str">
        <f>IFERROR(VLOOKUP(B1778,ST!C:D,2,0),"NÃOST")</f>
        <v>ST</v>
      </c>
      <c r="E1778" s="3" t="str">
        <f>IF(COUNTIF(ISENÇÕES!A:A,CST!B1778)&gt;0,"ISENÇÃO","SEM ISENÇÃO")</f>
        <v>SEM ISENÇÃO</v>
      </c>
      <c r="F1778" s="18" t="str">
        <f>IF(COUNTIF(REDUÇÕES!A:A,CST!B1778)&gt;0,"REDUÇÃO","NÃO REDUÇÃO")</f>
        <v>NÃO REDUÇÃO</v>
      </c>
      <c r="G1778" s="27">
        <f t="shared" si="40"/>
        <v>60</v>
      </c>
    </row>
    <row r="1779" spans="1:7" x14ac:dyDescent="0.25">
      <c r="A1779" s="120" t="str">
        <f>RIGHT(CSTABLE[[#This Row],[NomeNCM]],8)</f>
        <v>40139000</v>
      </c>
      <c r="B1779" s="123" t="s">
        <v>5665</v>
      </c>
      <c r="C1779" s="3" t="str">
        <f>IFERROR(VLOOKUP(B1779,ST!C:D,2,0),"NÃOST")</f>
        <v>ST</v>
      </c>
      <c r="E1779" s="3" t="str">
        <f>IF(COUNTIF(ISENÇÕES!A:A,CST!B1779)&gt;0,"ISENÇÃO","SEM ISENÇÃO")</f>
        <v>SEM ISENÇÃO</v>
      </c>
      <c r="F1779" s="18" t="str">
        <f>IF(COUNTIF(REDUÇÕES!A:A,CST!B1779)&gt;0,"REDUÇÃO","NÃO REDUÇÃO")</f>
        <v>NÃO REDUÇÃO</v>
      </c>
      <c r="G1779" s="27">
        <f t="shared" si="40"/>
        <v>60</v>
      </c>
    </row>
    <row r="1780" spans="1:7" x14ac:dyDescent="0.25">
      <c r="A1780" s="120" t="str">
        <f>RIGHT(CSTABLE[[#This Row],[NomeNCM]],8)</f>
        <v>53081000</v>
      </c>
      <c r="B1780" s="123" t="s">
        <v>5676</v>
      </c>
      <c r="C1780" s="3" t="str">
        <f>IFERROR(VLOOKUP(B1780,ST!C:D,2,0),"NÃOST")</f>
        <v>NÃOST</v>
      </c>
      <c r="E1780" s="3" t="str">
        <f>IF(COUNTIF(ISENÇÕES!A:A,CST!B1780)&gt;0,"ISENÇÃO","SEM ISENÇÃO")</f>
        <v>SEM ISENÇÃO</v>
      </c>
      <c r="F1780" s="18" t="str">
        <f>IF(COUNTIF(REDUÇÕES!A:A,CST!B1780)&gt;0,"REDUÇÃO","NÃO REDUÇÃO")</f>
        <v>NÃO REDUÇÃO</v>
      </c>
      <c r="G1780" s="27">
        <f t="shared" si="40"/>
        <v>0</v>
      </c>
    </row>
    <row r="1781" spans="1:7" x14ac:dyDescent="0.25">
      <c r="A1781" s="120" t="str">
        <f>RIGHT(CSTABLE[[#This Row],[NomeNCM]],8)</f>
        <v>61161000</v>
      </c>
      <c r="B1781" s="123" t="s">
        <v>5677</v>
      </c>
      <c r="C1781" s="3" t="str">
        <f>IFERROR(VLOOKUP(B1781,ST!C:D,2,0),"NÃOST")</f>
        <v>NÃOST</v>
      </c>
      <c r="E1781" s="3" t="str">
        <f>IF(COUNTIF(ISENÇÕES!A:A,CST!B1781)&gt;0,"ISENÇÃO","SEM ISENÇÃO")</f>
        <v>SEM ISENÇÃO</v>
      </c>
      <c r="F1781" s="18" t="str">
        <f>IF(COUNTIF(REDUÇÕES!A:A,CST!B1781)&gt;0,"REDUÇÃO","NÃO REDUÇÃO")</f>
        <v>NÃO REDUÇÃO</v>
      </c>
      <c r="G1781" s="27">
        <f t="shared" si="40"/>
        <v>0</v>
      </c>
    </row>
    <row r="1782" spans="1:7" x14ac:dyDescent="0.25">
      <c r="A1782" s="120" t="str">
        <f>RIGHT(CSTABLE[[#This Row],[NomeNCM]],8)</f>
        <v>62011300</v>
      </c>
      <c r="B1782" s="123" t="s">
        <v>5678</v>
      </c>
      <c r="C1782" s="3" t="str">
        <f>IFERROR(VLOOKUP(B1782,ST!C:D,2,0),"NÃOST")</f>
        <v>NÃOST</v>
      </c>
      <c r="E1782" s="3" t="str">
        <f>IF(COUNTIF(ISENÇÕES!A:A,CST!B1782)&gt;0,"ISENÇÃO","SEM ISENÇÃO")</f>
        <v>SEM ISENÇÃO</v>
      </c>
      <c r="F1782" s="18" t="str">
        <f>IF(COUNTIF(REDUÇÕES!A:A,CST!B1782)&gt;0,"REDUÇÃO","NÃO REDUÇÃO")</f>
        <v>NÃO REDUÇÃO</v>
      </c>
      <c r="G1782" s="27">
        <f t="shared" si="40"/>
        <v>0</v>
      </c>
    </row>
    <row r="1783" spans="1:7" x14ac:dyDescent="0.25">
      <c r="A1783" s="120" t="str">
        <f>RIGHT(CSTABLE[[#This Row],[NomeNCM]],8)</f>
        <v>68042119</v>
      </c>
      <c r="B1783" s="123" t="s">
        <v>5679</v>
      </c>
      <c r="C1783" s="3" t="str">
        <f>IFERROR(VLOOKUP(B1783,ST!C:D,2,0),"NÃOST")</f>
        <v>NÃOST</v>
      </c>
      <c r="E1783" s="3" t="str">
        <f>IF(COUNTIF(ISENÇÕES!A:A,CST!B1783)&gt;0,"ISENÇÃO","SEM ISENÇÃO")</f>
        <v>SEM ISENÇÃO</v>
      </c>
      <c r="F1783" s="18" t="str">
        <f>IF(COUNTIF(REDUÇÕES!A:A,CST!B1783)&gt;0,"REDUÇÃO","NÃO REDUÇÃO")</f>
        <v>NÃO REDUÇÃO</v>
      </c>
      <c r="G1783" s="27">
        <f t="shared" si="40"/>
        <v>0</v>
      </c>
    </row>
    <row r="1784" spans="1:7" x14ac:dyDescent="0.25">
      <c r="A1784" s="120" t="str">
        <f>RIGHT(CSTABLE[[#This Row],[NomeNCM]],8)</f>
        <v>68042219</v>
      </c>
      <c r="B1784" s="123" t="s">
        <v>5680</v>
      </c>
      <c r="C1784" s="3" t="str">
        <f>IFERROR(VLOOKUP(B1784,ST!C:D,2,0),"NÃOST")</f>
        <v>NÃOST</v>
      </c>
      <c r="E1784" s="3" t="str">
        <f>IF(COUNTIF(ISENÇÕES!A:A,CST!B1784)&gt;0,"ISENÇÃO","SEM ISENÇÃO")</f>
        <v>SEM ISENÇÃO</v>
      </c>
      <c r="F1784" s="18" t="str">
        <f>IF(COUNTIF(REDUÇÕES!A:A,CST!B1784)&gt;0,"REDUÇÃO","NÃO REDUÇÃO")</f>
        <v>NÃO REDUÇÃO</v>
      </c>
      <c r="G1784" s="27">
        <f t="shared" si="40"/>
        <v>0</v>
      </c>
    </row>
    <row r="1785" spans="1:7" x14ac:dyDescent="0.25">
      <c r="A1785" s="120" t="str">
        <f>RIGHT(CSTABLE[[#This Row],[NomeNCM]],8)</f>
        <v>68071000</v>
      </c>
      <c r="B1785" s="123" t="s">
        <v>5681</v>
      </c>
      <c r="C1785" s="3" t="str">
        <f>IFERROR(VLOOKUP(B1785,ST!C:D,2,0),"NÃOST")</f>
        <v>NÃOST</v>
      </c>
      <c r="E1785" s="3" t="str">
        <f>IF(COUNTIF(ISENÇÕES!A:A,CST!B1785)&gt;0,"ISENÇÃO","SEM ISENÇÃO")</f>
        <v>SEM ISENÇÃO</v>
      </c>
      <c r="F1785" s="18" t="str">
        <f>IF(COUNTIF(REDUÇÕES!A:A,CST!B1785)&gt;0,"REDUÇÃO","NÃO REDUÇÃO")</f>
        <v>NÃO REDUÇÃO</v>
      </c>
      <c r="G1785" s="27">
        <f t="shared" si="40"/>
        <v>0</v>
      </c>
    </row>
    <row r="1786" spans="1:7" x14ac:dyDescent="0.25">
      <c r="A1786" s="120" t="str">
        <f>RIGHT(CSTABLE[[#This Row],[NomeNCM]],8)</f>
        <v>72292000</v>
      </c>
      <c r="B1786" s="123" t="s">
        <v>5682</v>
      </c>
      <c r="C1786" s="3" t="str">
        <f>IFERROR(VLOOKUP(B1786,ST!C:D,2,0),"NÃOST")</f>
        <v>NÃOST</v>
      </c>
      <c r="E1786" s="3" t="str">
        <f>IF(COUNTIF(ISENÇÕES!A:A,CST!B1786)&gt;0,"ISENÇÃO","SEM ISENÇÃO")</f>
        <v>SEM ISENÇÃO</v>
      </c>
      <c r="F1786" s="18" t="str">
        <f>IF(COUNTIF(REDUÇÕES!A:A,CST!B1786)&gt;0,"REDUÇÃO","NÃO REDUÇÃO")</f>
        <v>NÃO REDUÇÃO</v>
      </c>
      <c r="G1786" s="27">
        <f t="shared" si="40"/>
        <v>0</v>
      </c>
    </row>
    <row r="1787" spans="1:7" x14ac:dyDescent="0.25">
      <c r="A1787" s="120" t="str">
        <f>RIGHT(CSTABLE[[#This Row],[NomeNCM]],8)</f>
        <v>73144100</v>
      </c>
      <c r="B1787" s="123" t="s">
        <v>5683</v>
      </c>
      <c r="C1787" s="3" t="str">
        <f>IFERROR(VLOOKUP(B1787,ST!C:D,2,0),"NÃOST")</f>
        <v>NÃOST</v>
      </c>
      <c r="E1787" s="3" t="str">
        <f>IF(COUNTIF(ISENÇÕES!A:A,CST!B1787)&gt;0,"ISENÇÃO","SEM ISENÇÃO")</f>
        <v>SEM ISENÇÃO</v>
      </c>
      <c r="F1787" s="18" t="str">
        <f>IF(COUNTIF(REDUÇÕES!A:A,CST!B1787)&gt;0,"REDUÇÃO","NÃO REDUÇÃO")</f>
        <v>NÃO REDUÇÃO</v>
      </c>
      <c r="G1787" s="27">
        <f t="shared" si="40"/>
        <v>0</v>
      </c>
    </row>
    <row r="1788" spans="1:7" x14ac:dyDescent="0.25">
      <c r="A1788" s="120" t="str">
        <f>RIGHT(CSTABLE[[#This Row],[NomeNCM]],8)</f>
        <v>82023900</v>
      </c>
      <c r="B1788" s="123" t="s">
        <v>5684</v>
      </c>
      <c r="C1788" s="3" t="str">
        <f>IFERROR(VLOOKUP(B1788,ST!C:D,2,0),"NÃOST")</f>
        <v>NÃOST</v>
      </c>
      <c r="E1788" s="3" t="str">
        <f>IF(COUNTIF(ISENÇÕES!A:A,CST!B1788)&gt;0,"ISENÇÃO","SEM ISENÇÃO")</f>
        <v>SEM ISENÇÃO</v>
      </c>
      <c r="F1788" s="18" t="str">
        <f>IF(COUNTIF(REDUÇÕES!A:A,CST!B1788)&gt;0,"REDUÇÃO","NÃO REDUÇÃO")</f>
        <v>NÃO REDUÇÃO</v>
      </c>
      <c r="G1788" s="27">
        <f t="shared" si="40"/>
        <v>0</v>
      </c>
    </row>
    <row r="1789" spans="1:7" x14ac:dyDescent="0.25">
      <c r="A1789" s="120" t="str">
        <f>RIGHT(CSTABLE[[#This Row],[NomeNCM]],8)</f>
        <v>82082000</v>
      </c>
      <c r="B1789" s="123" t="s">
        <v>5685</v>
      </c>
      <c r="C1789" s="3" t="str">
        <f>IFERROR(VLOOKUP(B1789,ST!C:D,2,0),"NÃOST")</f>
        <v>NÃOST</v>
      </c>
      <c r="E1789" s="3" t="str">
        <f>IF(COUNTIF(ISENÇÕES!A:A,CST!B1789)&gt;0,"ISENÇÃO","SEM ISENÇÃO")</f>
        <v>SEM ISENÇÃO</v>
      </c>
      <c r="F1789" s="18" t="str">
        <f>IF(COUNTIF(REDUÇÕES!A:A,CST!B1789)&gt;0,"REDUÇÃO","NÃO REDUÇÃO")</f>
        <v>NÃO REDUÇÃO</v>
      </c>
      <c r="G1789" s="27">
        <f t="shared" si="40"/>
        <v>0</v>
      </c>
    </row>
    <row r="1790" spans="1:7" x14ac:dyDescent="0.25">
      <c r="A1790" s="120" t="str">
        <f>RIGHT(CSTABLE[[#This Row],[NomeNCM]],8)</f>
        <v>83111000</v>
      </c>
      <c r="B1790" s="123" t="s">
        <v>5686</v>
      </c>
      <c r="C1790" s="3" t="str">
        <f>IFERROR(VLOOKUP(B1790,ST!C:D,2,0),"NÃOST")</f>
        <v>NÃOST</v>
      </c>
      <c r="E1790" s="3" t="str">
        <f>IF(COUNTIF(ISENÇÕES!A:A,CST!B1790)&gt;0,"ISENÇÃO","SEM ISENÇÃO")</f>
        <v>SEM ISENÇÃO</v>
      </c>
      <c r="F1790" s="18" t="str">
        <f>IF(COUNTIF(REDUÇÕES!A:A,CST!B1790)&gt;0,"REDUÇÃO","NÃO REDUÇÃO")</f>
        <v>NÃO REDUÇÃO</v>
      </c>
      <c r="G1790" s="27">
        <f t="shared" si="40"/>
        <v>0</v>
      </c>
    </row>
    <row r="1791" spans="1:7" x14ac:dyDescent="0.25">
      <c r="A1791" s="120" t="str">
        <f>RIGHT(CSTABLE[[#This Row],[NomeNCM]],8)</f>
        <v>84254200</v>
      </c>
      <c r="B1791" s="123" t="s">
        <v>5687</v>
      </c>
      <c r="C1791" s="3" t="str">
        <f>IFERROR(VLOOKUP(B1791,ST!C:D,2,0),"NÃOST")</f>
        <v>NÃOST</v>
      </c>
      <c r="E1791" s="3" t="str">
        <f>IF(COUNTIF(ISENÇÕES!A:A,CST!B1791)&gt;0,"ISENÇÃO","SEM ISENÇÃO")</f>
        <v>SEM ISENÇÃO</v>
      </c>
      <c r="F1791" s="18" t="str">
        <f>IF(COUNTIF(REDUÇÕES!A:A,CST!B1791)&gt;0,"REDUÇÃO","NÃO REDUÇÃO")</f>
        <v>NÃO REDUÇÃO</v>
      </c>
      <c r="G1791" s="27">
        <f t="shared" si="40"/>
        <v>0</v>
      </c>
    </row>
    <row r="1792" spans="1:7" x14ac:dyDescent="0.25">
      <c r="A1792" s="120" t="str">
        <f>RIGHT(CSTABLE[[#This Row],[NomeNCM]],8)</f>
        <v>84521000</v>
      </c>
      <c r="B1792" s="123" t="s">
        <v>5688</v>
      </c>
      <c r="C1792" s="3" t="str">
        <f>IFERROR(VLOOKUP(B1792,ST!C:D,2,0),"NÃOST")</f>
        <v>NÃOST</v>
      </c>
      <c r="E1792" s="3" t="str">
        <f>IF(COUNTIF(ISENÇÕES!A:A,CST!B1792)&gt;0,"ISENÇÃO","SEM ISENÇÃO")</f>
        <v>SEM ISENÇÃO</v>
      </c>
      <c r="F1792" s="18" t="str">
        <f>IF(COUNTIF(REDUÇÕES!A:A,CST!B1792)&gt;0,"REDUÇÃO","NÃO REDUÇÃO")</f>
        <v>NÃO REDUÇÃO</v>
      </c>
      <c r="G1792" s="27">
        <f t="shared" si="40"/>
        <v>0</v>
      </c>
    </row>
    <row r="1793" spans="1:7" x14ac:dyDescent="0.25">
      <c r="A1793" s="120" t="str">
        <f>RIGHT(CSTABLE[[#This Row],[NomeNCM]],8)</f>
        <v>84669340</v>
      </c>
      <c r="B1793" s="123" t="s">
        <v>1839</v>
      </c>
      <c r="C1793" s="3" t="str">
        <f>IFERROR(VLOOKUP(B1793,ST!C:D,2,0),"NÃOST")</f>
        <v>NÃOST</v>
      </c>
      <c r="E1793" s="3" t="str">
        <f>IF(COUNTIF(ISENÇÕES!A:A,CST!B1793)&gt;0,"ISENÇÃO","SEM ISENÇÃO")</f>
        <v>SEM ISENÇÃO</v>
      </c>
      <c r="F1793" s="18" t="str">
        <f>IF(COUNTIF(REDUÇÕES!A:A,CST!B1793)&gt;0,"REDUÇÃO","NÃO REDUÇÃO")</f>
        <v>REDUÇÃO</v>
      </c>
      <c r="G1793" s="27">
        <f t="shared" si="40"/>
        <v>20</v>
      </c>
    </row>
    <row r="1794" spans="1:7" x14ac:dyDescent="0.25">
      <c r="A1794" s="120" t="str">
        <f>RIGHT(CSTABLE[[#This Row],[NomeNCM]],8)</f>
        <v>84672999</v>
      </c>
      <c r="B1794" s="123" t="s">
        <v>5689</v>
      </c>
      <c r="C1794" s="3" t="str">
        <f>IFERROR(VLOOKUP(B1794,ST!C:D,2,0),"NÃOST")</f>
        <v>NÃOST</v>
      </c>
      <c r="E1794" s="3" t="str">
        <f>IF(COUNTIF(ISENÇÕES!A:A,CST!B1794)&gt;0,"ISENÇÃO","SEM ISENÇÃO")</f>
        <v>SEM ISENÇÃO</v>
      </c>
      <c r="F1794" s="18" t="str">
        <f>IF(COUNTIF(REDUÇÕES!A:A,CST!B1794)&gt;0,"REDUÇÃO","NÃO REDUÇÃO")</f>
        <v>REDUÇÃO</v>
      </c>
      <c r="G1794" s="27">
        <f t="shared" si="40"/>
        <v>20</v>
      </c>
    </row>
    <row r="1795" spans="1:7" x14ac:dyDescent="0.25">
      <c r="A1795" s="120" t="str">
        <f>RIGHT(CSTABLE[[#This Row],[NomeNCM]],8)</f>
        <v>84818095</v>
      </c>
      <c r="B1795" s="123" t="s">
        <v>2160</v>
      </c>
      <c r="C1795" s="3" t="str">
        <f>IFERROR(VLOOKUP(B1795,ST!C:D,2,0),"NÃOST")</f>
        <v>NÃOST</v>
      </c>
      <c r="E1795" s="3" t="str">
        <f>IF(COUNTIF(ISENÇÕES!A:A,CST!B1795)&gt;0,"ISENÇÃO","SEM ISENÇÃO")</f>
        <v>SEM ISENÇÃO</v>
      </c>
      <c r="F1795" s="18" t="str">
        <f>IF(COUNTIF(REDUÇÕES!A:A,CST!B1795)&gt;0,"REDUÇÃO","NÃO REDUÇÃO")</f>
        <v>REDUÇÃO</v>
      </c>
      <c r="G1795" s="27">
        <f t="shared" si="40"/>
        <v>20</v>
      </c>
    </row>
    <row r="1796" spans="1:7" x14ac:dyDescent="0.25">
      <c r="A1796" s="120" t="str">
        <f>RIGHT(CSTABLE[[#This Row],[NomeNCM]],8)</f>
        <v>85122022</v>
      </c>
      <c r="B1796" s="123" t="s">
        <v>5690</v>
      </c>
      <c r="C1796" s="3" t="str">
        <f>IFERROR(VLOOKUP(B1796,ST!C:D,2,0),"NÃOST")</f>
        <v>NÃOST</v>
      </c>
      <c r="E1796" s="3" t="str">
        <f>IF(COUNTIF(ISENÇÕES!A:A,CST!B1796)&gt;0,"ISENÇÃO","SEM ISENÇÃO")</f>
        <v>SEM ISENÇÃO</v>
      </c>
      <c r="F1796" s="18" t="str">
        <f>IF(COUNTIF(REDUÇÕES!A:A,CST!B1796)&gt;0,"REDUÇÃO","NÃO REDUÇÃO")</f>
        <v>NÃO REDUÇÃO</v>
      </c>
      <c r="G1796" s="27">
        <f t="shared" si="40"/>
        <v>0</v>
      </c>
    </row>
    <row r="1797" spans="1:7" x14ac:dyDescent="0.25">
      <c r="A1797" s="120" t="str">
        <f>RIGHT(CSTABLE[[#This Row],[NomeNCM]],8)</f>
        <v>85381000</v>
      </c>
      <c r="B1797" s="123" t="s">
        <v>5691</v>
      </c>
      <c r="C1797" s="3" t="str">
        <f>IFERROR(VLOOKUP(B1797,ST!C:D,2,0),"NÃOST")</f>
        <v>NÃOST</v>
      </c>
      <c r="E1797" s="3" t="str">
        <f>IF(COUNTIF(ISENÇÕES!A:A,CST!B1797)&gt;0,"ISENÇÃO","SEM ISENÇÃO")</f>
        <v>SEM ISENÇÃO</v>
      </c>
      <c r="F1797" s="18" t="str">
        <f>IF(COUNTIF(REDUÇÕES!A:A,CST!B1797)&gt;0,"REDUÇÃO","NÃO REDUÇÃO")</f>
        <v>NÃO REDUÇÃO</v>
      </c>
      <c r="G1797" s="27">
        <f t="shared" si="40"/>
        <v>0</v>
      </c>
    </row>
    <row r="1798" spans="1:7" x14ac:dyDescent="0.25">
      <c r="A1798" s="120" t="str">
        <f>RIGHT(CSTABLE[[#This Row],[NomeNCM]],8)</f>
        <v>87141000</v>
      </c>
      <c r="B1798" s="123" t="s">
        <v>5692</v>
      </c>
      <c r="C1798" s="49" t="str">
        <f>IFERROR(VLOOKUP(B1798,ST!C:D,2,0),"NÃOST")</f>
        <v>NÃOST</v>
      </c>
      <c r="E1798" s="49" t="str">
        <f>IF(COUNTIF(ISENÇÕES!A:A,CST!B1798)&gt;0,"ISENÇÃO","SEM ISENÇÃO")</f>
        <v>SEM ISENÇÃO</v>
      </c>
      <c r="F1798" s="50" t="str">
        <f>IF(COUNTIF(REDUÇÕES!A:A,CST!B1798)&gt;0,"REDUÇÃO","NÃO REDUÇÃO")</f>
        <v>NÃO REDUÇÃO</v>
      </c>
      <c r="G1798" s="51">
        <f t="shared" si="40"/>
        <v>0</v>
      </c>
    </row>
    <row r="1799" spans="1:7" x14ac:dyDescent="0.25">
      <c r="A1799" s="120" t="str">
        <f>RIGHT(CSTABLE[[#This Row],[NomeNCM]],8)</f>
        <v>03011110</v>
      </c>
      <c r="B1799" s="123" t="s">
        <v>3454</v>
      </c>
      <c r="C1799" s="3" t="str">
        <f>IFERROR(VLOOKUP(B1799,ST!C:D,2,0),"NÃOST")</f>
        <v>NÃOST</v>
      </c>
      <c r="E1799" s="3" t="str">
        <f>IF(COUNTIF(ISENÇÕES!A:A,CST!B1799)&gt;0,"ISENÇÃO","SEM ISENÇÃO")</f>
        <v>SEM ISENÇÃO</v>
      </c>
      <c r="F1799" s="18" t="str">
        <f>IF(COUNTIF(REDUÇÕES!A:A,CST!B1799)&gt;0,"REDUÇÃO","NÃO REDUÇÃO")</f>
        <v>NÃO REDUÇÃO</v>
      </c>
      <c r="G1799" s="27">
        <f t="shared" ref="G1799:G1804" si="41">VLOOKUP(C1799&amp;F1799&amp;E1799,$B$3:$F$10,5,0)</f>
        <v>0</v>
      </c>
    </row>
    <row r="1800" spans="1:7" x14ac:dyDescent="0.25">
      <c r="A1800" s="120" t="str">
        <f>RIGHT(CSTABLE[[#This Row],[NomeNCM]],8)</f>
        <v>08140000</v>
      </c>
      <c r="B1800" s="123" t="s">
        <v>5513</v>
      </c>
      <c r="C1800" s="3" t="str">
        <f>IFERROR(VLOOKUP(B1800,ST!C:D,2,0),"NÃOST")</f>
        <v>NÃOST</v>
      </c>
      <c r="E1800" s="3" t="str">
        <f>IF(COUNTIF(ISENÇÕES!A:A,CST!B1800)&gt;0,"ISENÇÃO","SEM ISENÇÃO")</f>
        <v>ISENÇÃO</v>
      </c>
      <c r="F1800" s="18" t="str">
        <f>IF(COUNTIF(REDUÇÕES!A:A,CST!B1800)&gt;0,"REDUÇÃO","NÃO REDUÇÃO")</f>
        <v>NÃO REDUÇÃO</v>
      </c>
      <c r="G1800" s="27">
        <f t="shared" si="41"/>
        <v>40</v>
      </c>
    </row>
    <row r="1801" spans="1:7" x14ac:dyDescent="0.25">
      <c r="A1801" s="120" t="str">
        <f>RIGHT(CSTABLE[[#This Row],[NomeNCM]],8)</f>
        <v>34049910</v>
      </c>
      <c r="B1801" s="123" t="s">
        <v>5695</v>
      </c>
      <c r="C1801" s="3" t="str">
        <f>IFERROR(VLOOKUP(B1801,ST!C:D,2,0),"NÃOST")</f>
        <v>NÃOST</v>
      </c>
      <c r="E1801" s="3" t="str">
        <f>IF(COUNTIF(ISENÇÕES!A:A,CST!B1801)&gt;0,"ISENÇÃO","SEM ISENÇÃO")</f>
        <v>SEM ISENÇÃO</v>
      </c>
      <c r="F1801" s="18" t="str">
        <f>IF(COUNTIF(REDUÇÕES!A:A,CST!B1801)&gt;0,"REDUÇÃO","NÃO REDUÇÃO")</f>
        <v>NÃO REDUÇÃO</v>
      </c>
      <c r="G1801" s="27">
        <f t="shared" si="41"/>
        <v>0</v>
      </c>
    </row>
    <row r="1802" spans="1:7" x14ac:dyDescent="0.25">
      <c r="A1802" s="120" t="str">
        <f>RIGHT(CSTABLE[[#This Row],[NomeNCM]],8)</f>
        <v>61179000</v>
      </c>
      <c r="B1802" s="123" t="s">
        <v>5696</v>
      </c>
      <c r="C1802" s="3" t="str">
        <f>IFERROR(VLOOKUP(B1802,ST!C:D,2,0),"NÃOST")</f>
        <v>NÃOST</v>
      </c>
      <c r="E1802" s="3" t="str">
        <f>IF(COUNTIF(ISENÇÕES!A:A,CST!B1802)&gt;0,"ISENÇÃO","SEM ISENÇÃO")</f>
        <v>SEM ISENÇÃO</v>
      </c>
      <c r="F1802" s="18" t="str">
        <f>IF(COUNTIF(REDUÇÕES!A:A,CST!B1802)&gt;0,"REDUÇÃO","NÃO REDUÇÃO")</f>
        <v>NÃO REDUÇÃO</v>
      </c>
      <c r="G1802" s="27">
        <f t="shared" si="41"/>
        <v>0</v>
      </c>
    </row>
    <row r="1803" spans="1:7" x14ac:dyDescent="0.25">
      <c r="A1803" s="120" t="str">
        <f>RIGHT(CSTABLE[[#This Row],[NomeNCM]],8)</f>
        <v>62052000</v>
      </c>
      <c r="B1803" s="123" t="s">
        <v>5697</v>
      </c>
      <c r="C1803" s="3" t="str">
        <f>IFERROR(VLOOKUP(B1803,ST!C:D,2,0),"NÃOST")</f>
        <v>NÃOST</v>
      </c>
      <c r="E1803" s="3" t="str">
        <f>IF(COUNTIF(ISENÇÕES!A:A,CST!B1803)&gt;0,"ISENÇÃO","SEM ISENÇÃO")</f>
        <v>SEM ISENÇÃO</v>
      </c>
      <c r="F1803" s="18" t="str">
        <f>IF(COUNTIF(REDUÇÕES!A:A,CST!B1803)&gt;0,"REDUÇÃO","NÃO REDUÇÃO")</f>
        <v>NÃO REDUÇÃO</v>
      </c>
      <c r="G1803" s="27">
        <f t="shared" si="41"/>
        <v>0</v>
      </c>
    </row>
    <row r="1804" spans="1:7" x14ac:dyDescent="0.25">
      <c r="A1804" s="120" t="str">
        <f>RIGHT(CSTABLE[[#This Row],[NomeNCM]],8)</f>
        <v>63022600</v>
      </c>
      <c r="B1804" s="123" t="s">
        <v>5698</v>
      </c>
      <c r="C1804" s="49" t="str">
        <f>IFERROR(VLOOKUP(B1804,ST!C:D,2,0),"NÃOST")</f>
        <v>NÃOST</v>
      </c>
      <c r="E1804" s="49" t="str">
        <f>IF(COUNTIF(ISENÇÕES!A:A,CST!B1804)&gt;0,"ISENÇÃO","SEM ISENÇÃO")</f>
        <v>SEM ISENÇÃO</v>
      </c>
      <c r="F1804" s="50" t="str">
        <f>IF(COUNTIF(REDUÇÕES!A:A,CST!B1804)&gt;0,"REDUÇÃO","NÃO REDUÇÃO")</f>
        <v>NÃO REDUÇÃO</v>
      </c>
      <c r="G1804" s="51">
        <f t="shared" si="41"/>
        <v>0</v>
      </c>
    </row>
    <row r="1805" spans="1:7" x14ac:dyDescent="0.25">
      <c r="A1805" s="120" t="str">
        <f>RIGHT(CSTABLE[[#This Row],[NomeNCM]],8)</f>
        <v>08023100</v>
      </c>
      <c r="B1805" s="123" t="s">
        <v>5456</v>
      </c>
      <c r="C1805" s="3" t="str">
        <f>IFERROR(VLOOKUP(B1805,ST!C:D,2,0),"NÃOST")</f>
        <v>NÃOST</v>
      </c>
      <c r="E1805" s="3" t="str">
        <f>IF(COUNTIF(ISENÇÕES!A:A,CST!B1805)&gt;0,"ISENÇÃO","SEM ISENÇÃO")</f>
        <v>SEM ISENÇÃO</v>
      </c>
      <c r="F1805" s="18" t="str">
        <f>IF(COUNTIF(REDUÇÕES!A:A,CST!B1805)&gt;0,"REDUÇÃO","NÃO REDUÇÃO")</f>
        <v>NÃO REDUÇÃO</v>
      </c>
      <c r="G1805" s="27">
        <f t="shared" ref="G1805:G1811" si="42">VLOOKUP(C1805&amp;F1805&amp;E1805,$B$3:$F$10,5,0)</f>
        <v>0</v>
      </c>
    </row>
    <row r="1806" spans="1:7" x14ac:dyDescent="0.25">
      <c r="A1806" s="120" t="str">
        <f>RIGHT(CSTABLE[[#This Row],[NomeNCM]],8)</f>
        <v>08025100</v>
      </c>
      <c r="B1806" s="123" t="s">
        <v>5462</v>
      </c>
      <c r="C1806" s="3" t="str">
        <f>IFERROR(VLOOKUP(B1806,ST!C:D,2,0),"NÃOST")</f>
        <v>NÃOST</v>
      </c>
      <c r="E1806" s="3" t="str">
        <f>IF(COUNTIF(ISENÇÕES!A:A,CST!B1806)&gt;0,"ISENÇÃO","SEM ISENÇÃO")</f>
        <v>SEM ISENÇÃO</v>
      </c>
      <c r="F1806" s="18" t="str">
        <f>IF(COUNTIF(REDUÇÕES!A:A,CST!B1806)&gt;0,"REDUÇÃO","NÃO REDUÇÃO")</f>
        <v>NÃO REDUÇÃO</v>
      </c>
      <c r="G1806" s="27">
        <f t="shared" si="42"/>
        <v>0</v>
      </c>
    </row>
    <row r="1807" spans="1:7" x14ac:dyDescent="0.25">
      <c r="A1807" s="120" t="str">
        <f>RIGHT(CSTABLE[[#This Row],[NomeNCM]],8)</f>
        <v>12099900</v>
      </c>
      <c r="B1807" s="123" t="s">
        <v>5701</v>
      </c>
      <c r="C1807" s="3" t="str">
        <f>IFERROR(VLOOKUP(B1807,ST!C:D,2,0),"NÃOST")</f>
        <v>NÃOST</v>
      </c>
      <c r="E1807" s="3" t="str">
        <f>IF(COUNTIF(ISENÇÕES!A:A,CST!B1807)&gt;0,"ISENÇÃO","SEM ISENÇÃO")</f>
        <v>SEM ISENÇÃO</v>
      </c>
      <c r="F1807" s="18" t="str">
        <f>IF(COUNTIF(REDUÇÕES!A:A,CST!B1807)&gt;0,"REDUÇÃO","NÃO REDUÇÃO")</f>
        <v>NÃO REDUÇÃO</v>
      </c>
      <c r="G1807" s="27">
        <f t="shared" si="42"/>
        <v>0</v>
      </c>
    </row>
    <row r="1808" spans="1:7" x14ac:dyDescent="0.25">
      <c r="A1808" s="120" t="str">
        <f>RIGHT(CSTABLE[[#This Row],[NomeNCM]],8)</f>
        <v>42022210</v>
      </c>
      <c r="B1808" s="123" t="s">
        <v>5702</v>
      </c>
      <c r="C1808" s="3" t="str">
        <f>IFERROR(VLOOKUP(B1808,ST!C:D,2,0),"NÃOST")</f>
        <v>NÃOST</v>
      </c>
      <c r="E1808" s="3" t="str">
        <f>IF(COUNTIF(ISENÇÕES!A:A,CST!B1808)&gt;0,"ISENÇÃO","SEM ISENÇÃO")</f>
        <v>SEM ISENÇÃO</v>
      </c>
      <c r="F1808" s="18" t="str">
        <f>IF(COUNTIF(REDUÇÕES!A:A,CST!B1808)&gt;0,"REDUÇÃO","NÃO REDUÇÃO")</f>
        <v>NÃO REDUÇÃO</v>
      </c>
      <c r="G1808" s="27">
        <f t="shared" si="42"/>
        <v>0</v>
      </c>
    </row>
    <row r="1809" spans="1:7" x14ac:dyDescent="0.25">
      <c r="A1809" s="120" t="str">
        <f>RIGHT(CSTABLE[[#This Row],[NomeNCM]],8)</f>
        <v>85078000</v>
      </c>
      <c r="B1809" s="123" t="s">
        <v>111</v>
      </c>
      <c r="C1809" s="3" t="str">
        <f>IFERROR(VLOOKUP(B1809,ST!C:D,2,0),"NÃOST")</f>
        <v>NÃOST</v>
      </c>
      <c r="E1809" s="3" t="str">
        <f>IF(COUNTIF(ISENÇÕES!A:A,CST!B1809)&gt;0,"ISENÇÃO","SEM ISENÇÃO")</f>
        <v>SEM ISENÇÃO</v>
      </c>
      <c r="F1809" s="18" t="str">
        <f>IF(COUNTIF(REDUÇÕES!A:A,CST!B1809)&gt;0,"REDUÇÃO","NÃO REDUÇÃO")</f>
        <v>NÃO REDUÇÃO</v>
      </c>
      <c r="G1809" s="27">
        <f t="shared" si="42"/>
        <v>0</v>
      </c>
    </row>
    <row r="1810" spans="1:7" x14ac:dyDescent="0.25">
      <c r="A1810" s="120" t="str">
        <f>RIGHT(CSTABLE[[#This Row],[NomeNCM]],8)</f>
        <v>64041190</v>
      </c>
      <c r="B1810" s="123" t="s">
        <v>5703</v>
      </c>
      <c r="C1810" s="3" t="str">
        <f>IFERROR(VLOOKUP(B1810,ST!C:D,2,0),"NÃOST")</f>
        <v>NÃOST</v>
      </c>
      <c r="E1810" s="3" t="str">
        <f>IF(COUNTIF(ISENÇÕES!A:A,CST!B1810)&gt;0,"ISENÇÃO","SEM ISENÇÃO")</f>
        <v>SEM ISENÇÃO</v>
      </c>
      <c r="F1810" s="18" t="str">
        <f>IF(COUNTIF(REDUÇÕES!A:A,CST!B1810)&gt;0,"REDUÇÃO","NÃO REDUÇÃO")</f>
        <v>NÃO REDUÇÃO</v>
      </c>
      <c r="G1810" s="27">
        <f t="shared" si="42"/>
        <v>0</v>
      </c>
    </row>
    <row r="1811" spans="1:7" x14ac:dyDescent="0.25">
      <c r="A1811" s="120" t="str">
        <f>RIGHT(CSTABLE[[#This Row],[NomeNCM]],8)</f>
        <v>95039090</v>
      </c>
      <c r="B1811" s="123" t="s">
        <v>5704</v>
      </c>
      <c r="C1811" s="49" t="str">
        <f>IFERROR(VLOOKUP(B1811,ST!C:D,2,0),"NÃOST")</f>
        <v>NÃOST</v>
      </c>
      <c r="E1811" s="49" t="str">
        <f>IF(COUNTIF(ISENÇÕES!A:A,CST!B1811)&gt;0,"ISENÇÃO","SEM ISENÇÃO")</f>
        <v>SEM ISENÇÃO</v>
      </c>
      <c r="F1811" s="50" t="str">
        <f>IF(COUNTIF(REDUÇÕES!A:A,CST!B1811)&gt;0,"REDUÇÃO","NÃO REDUÇÃO")</f>
        <v>NÃO REDUÇÃO</v>
      </c>
      <c r="G1811" s="51">
        <f t="shared" si="42"/>
        <v>0</v>
      </c>
    </row>
    <row r="1812" spans="1:7" x14ac:dyDescent="0.25">
      <c r="A1812" s="120" t="str">
        <f>RIGHT(CSTABLE[[#This Row],[NomeNCM]],8)</f>
        <v>03011190</v>
      </c>
      <c r="B1812" s="123" t="s">
        <v>3455</v>
      </c>
      <c r="C1812" s="3" t="str">
        <f>IFERROR(VLOOKUP(B1812,ST!C:D,2,0),"NÃOST")</f>
        <v>NÃOST</v>
      </c>
      <c r="E1812" s="3" t="str">
        <f>IF(COUNTIF(ISENÇÕES!A:A,CST!B1812)&gt;0,"ISENÇÃO","SEM ISENÇÃO")</f>
        <v>SEM ISENÇÃO</v>
      </c>
      <c r="F1812" s="18" t="str">
        <f>IF(COUNTIF(REDUÇÕES!A:A,CST!B1812)&gt;0,"REDUÇÃO","NÃO REDUÇÃO")</f>
        <v>NÃO REDUÇÃO</v>
      </c>
      <c r="G1812" s="27">
        <f t="shared" ref="G1812:G1825" si="43">VLOOKUP(C1812&amp;F1812&amp;E1812,$B$3:$F$10,5,0)</f>
        <v>0</v>
      </c>
    </row>
    <row r="1813" spans="1:7" x14ac:dyDescent="0.25">
      <c r="A1813" s="120" t="str">
        <f>RIGHT(CSTABLE[[#This Row],[NomeNCM]],8)</f>
        <v>03024290</v>
      </c>
      <c r="B1813" s="123" t="s">
        <v>3129</v>
      </c>
      <c r="C1813" s="3" t="str">
        <f>IFERROR(VLOOKUP(B1813,ST!C:D,2,0),"NÃOST")</f>
        <v>NÃOST</v>
      </c>
      <c r="E1813" s="3" t="str">
        <f>IF(COUNTIF(ISENÇÕES!A:A,CST!B1813)&gt;0,"ISENÇÃO","SEM ISENÇÃO")</f>
        <v>SEM ISENÇÃO</v>
      </c>
      <c r="F1813" s="18" t="str">
        <f>IF(COUNTIF(REDUÇÕES!A:A,CST!B1813)&gt;0,"REDUÇÃO","NÃO REDUÇÃO")</f>
        <v>NÃO REDUÇÃO</v>
      </c>
      <c r="G1813" s="27">
        <f t="shared" si="43"/>
        <v>0</v>
      </c>
    </row>
    <row r="1814" spans="1:7" x14ac:dyDescent="0.25">
      <c r="A1814" s="120" t="str">
        <f>RIGHT(CSTABLE[[#This Row],[NomeNCM]],8)</f>
        <v>23021000</v>
      </c>
      <c r="B1814" s="123" t="s">
        <v>5705</v>
      </c>
      <c r="C1814" s="3" t="str">
        <f>IFERROR(VLOOKUP(B1814,ST!C:D,2,0),"NÃOST")</f>
        <v>NÃOST</v>
      </c>
      <c r="E1814" s="3" t="str">
        <f>IF(COUNTIF(ISENÇÕES!A:A,CST!B1814)&gt;0,"ISENÇÃO","SEM ISENÇÃO")</f>
        <v>SEM ISENÇÃO</v>
      </c>
      <c r="F1814" s="18" t="str">
        <f>IF(COUNTIF(REDUÇÕES!A:A,CST!B1814)&gt;0,"REDUÇÃO","NÃO REDUÇÃO")</f>
        <v>NÃO REDUÇÃO</v>
      </c>
      <c r="G1814" s="27">
        <f t="shared" si="43"/>
        <v>0</v>
      </c>
    </row>
    <row r="1815" spans="1:7" x14ac:dyDescent="0.25">
      <c r="A1815" s="120" t="str">
        <f>RIGHT(CSTABLE[[#This Row],[NomeNCM]],8)</f>
        <v>32072010</v>
      </c>
      <c r="B1815" s="123" t="s">
        <v>5706</v>
      </c>
      <c r="C1815" s="3" t="str">
        <f>IFERROR(VLOOKUP(B1815,ST!C:D,2,0),"NÃOST")</f>
        <v>NÃOST</v>
      </c>
      <c r="E1815" s="3" t="str">
        <f>IF(COUNTIF(ISENÇÕES!A:A,CST!B1815)&gt;0,"ISENÇÃO","SEM ISENÇÃO")</f>
        <v>SEM ISENÇÃO</v>
      </c>
      <c r="F1815" s="18" t="str">
        <f>IF(COUNTIF(REDUÇÕES!A:A,CST!B1815)&gt;0,"REDUÇÃO","NÃO REDUÇÃO")</f>
        <v>NÃO REDUÇÃO</v>
      </c>
      <c r="G1815" s="27">
        <f t="shared" si="43"/>
        <v>0</v>
      </c>
    </row>
    <row r="1816" spans="1:7" x14ac:dyDescent="0.25">
      <c r="A1816" s="120" t="str">
        <f>RIGHT(CSTABLE[[#This Row],[NomeNCM]],8)</f>
        <v>36049010</v>
      </c>
      <c r="B1816" s="123" t="s">
        <v>5707</v>
      </c>
      <c r="C1816" s="3" t="str">
        <f>IFERROR(VLOOKUP(B1816,ST!C:D,2,0),"NÃOST")</f>
        <v>NÃOST</v>
      </c>
      <c r="E1816" s="3" t="str">
        <f>IF(COUNTIF(ISENÇÕES!A:A,CST!B1816)&gt;0,"ISENÇÃO","SEM ISENÇÃO")</f>
        <v>SEM ISENÇÃO</v>
      </c>
      <c r="F1816" s="18" t="str">
        <f>IF(COUNTIF(REDUÇÕES!A:A,CST!B1816)&gt;0,"REDUÇÃO","NÃO REDUÇÃO")</f>
        <v>NÃO REDUÇÃO</v>
      </c>
      <c r="G1816" s="27">
        <f t="shared" si="43"/>
        <v>0</v>
      </c>
    </row>
    <row r="1817" spans="1:7" x14ac:dyDescent="0.25">
      <c r="A1817" s="120" t="str">
        <f>RIGHT(CSTABLE[[#This Row],[NomeNCM]],8)</f>
        <v>38084029</v>
      </c>
      <c r="B1817" s="123" t="s">
        <v>5708</v>
      </c>
      <c r="C1817" s="3" t="str">
        <f>IFERROR(VLOOKUP(B1817,ST!C:D,2,0),"NÃOST")</f>
        <v>NÃOST</v>
      </c>
      <c r="E1817" s="3" t="str">
        <f>IF(COUNTIF(ISENÇÕES!A:A,CST!B1817)&gt;0,"ISENÇÃO","SEM ISENÇÃO")</f>
        <v>SEM ISENÇÃO</v>
      </c>
      <c r="F1817" s="18" t="str">
        <f>IF(COUNTIF(REDUÇÕES!A:A,CST!B1817)&gt;0,"REDUÇÃO","NÃO REDUÇÃO")</f>
        <v>NÃO REDUÇÃO</v>
      </c>
      <c r="G1817" s="27">
        <f t="shared" si="43"/>
        <v>0</v>
      </c>
    </row>
    <row r="1818" spans="1:7" x14ac:dyDescent="0.25">
      <c r="A1818" s="120" t="str">
        <f>RIGHT(CSTABLE[[#This Row],[NomeNCM]],8)</f>
        <v>42021900</v>
      </c>
      <c r="B1818" s="123" t="s">
        <v>5709</v>
      </c>
      <c r="C1818" s="3" t="str">
        <f>IFERROR(VLOOKUP(B1818,ST!C:D,2,0),"NÃOST")</f>
        <v>NÃOST</v>
      </c>
      <c r="E1818" s="3" t="str">
        <f>IF(COUNTIF(ISENÇÕES!A:A,CST!B1818)&gt;0,"ISENÇÃO","SEM ISENÇÃO")</f>
        <v>SEM ISENÇÃO</v>
      </c>
      <c r="F1818" s="18" t="str">
        <f>IF(COUNTIF(REDUÇÕES!A:A,CST!B1818)&gt;0,"REDUÇÃO","NÃO REDUÇÃO")</f>
        <v>NÃO REDUÇÃO</v>
      </c>
      <c r="G1818" s="27">
        <f t="shared" si="43"/>
        <v>0</v>
      </c>
    </row>
    <row r="1819" spans="1:7" x14ac:dyDescent="0.25">
      <c r="A1819" s="120" t="str">
        <f>RIGHT(CSTABLE[[#This Row],[NomeNCM]],8)</f>
        <v>48099000</v>
      </c>
      <c r="B1819" s="123" t="s">
        <v>5710</v>
      </c>
      <c r="C1819" s="3" t="str">
        <f>IFERROR(VLOOKUP(B1819,ST!C:D,2,0),"NÃOST")</f>
        <v>NÃOST</v>
      </c>
      <c r="E1819" s="3" t="str">
        <f>IF(COUNTIF(ISENÇÕES!A:A,CST!B1819)&gt;0,"ISENÇÃO","SEM ISENÇÃO")</f>
        <v>SEM ISENÇÃO</v>
      </c>
      <c r="F1819" s="18" t="str">
        <f>IF(COUNTIF(REDUÇÕES!A:A,CST!B1819)&gt;0,"REDUÇÃO","NÃO REDUÇÃO")</f>
        <v>NÃO REDUÇÃO</v>
      </c>
      <c r="G1819" s="27">
        <f t="shared" si="43"/>
        <v>0</v>
      </c>
    </row>
    <row r="1820" spans="1:7" x14ac:dyDescent="0.25">
      <c r="A1820" s="120" t="str">
        <f>RIGHT(CSTABLE[[#This Row],[NomeNCM]],8)</f>
        <v>54049000</v>
      </c>
      <c r="B1820" s="123" t="s">
        <v>5711</v>
      </c>
      <c r="C1820" s="3" t="str">
        <f>IFERROR(VLOOKUP(B1820,ST!C:D,2,0),"NÃOST")</f>
        <v>NÃOST</v>
      </c>
      <c r="E1820" s="3" t="str">
        <f>IF(COUNTIF(ISENÇÕES!A:A,CST!B1820)&gt;0,"ISENÇÃO","SEM ISENÇÃO")</f>
        <v>SEM ISENÇÃO</v>
      </c>
      <c r="F1820" s="18" t="str">
        <f>IF(COUNTIF(REDUÇÕES!A:A,CST!B1820)&gt;0,"REDUÇÃO","NÃO REDUÇÃO")</f>
        <v>NÃO REDUÇÃO</v>
      </c>
      <c r="G1820" s="27">
        <f t="shared" si="43"/>
        <v>0</v>
      </c>
    </row>
    <row r="1821" spans="1:7" x14ac:dyDescent="0.25">
      <c r="A1821" s="120" t="str">
        <f>RIGHT(CSTABLE[[#This Row],[NomeNCM]],8)</f>
        <v>68080000</v>
      </c>
      <c r="B1821" s="123" t="s">
        <v>5712</v>
      </c>
      <c r="C1821" s="3" t="str">
        <f>IFERROR(VLOOKUP(B1821,ST!C:D,2,0),"NÃOST")</f>
        <v>NÃOST</v>
      </c>
      <c r="E1821" s="3" t="str">
        <f>IF(COUNTIF(ISENÇÕES!A:A,CST!B1821)&gt;0,"ISENÇÃO","SEM ISENÇÃO")</f>
        <v>SEM ISENÇÃO</v>
      </c>
      <c r="F1821" s="18" t="str">
        <f>IF(COUNTIF(REDUÇÕES!A:A,CST!B1821)&gt;0,"REDUÇÃO","NÃO REDUÇÃO")</f>
        <v>NÃO REDUÇÃO</v>
      </c>
      <c r="G1821" s="27">
        <f t="shared" si="43"/>
        <v>0</v>
      </c>
    </row>
    <row r="1822" spans="1:7" x14ac:dyDescent="0.25">
      <c r="A1822" s="120" t="str">
        <f>RIGHT(CSTABLE[[#This Row],[NomeNCM]],8)</f>
        <v>70109021</v>
      </c>
      <c r="B1822" s="123" t="s">
        <v>5713</v>
      </c>
      <c r="C1822" s="3" t="str">
        <f>IFERROR(VLOOKUP(B1822,ST!C:D,2,0),"NÃOST")</f>
        <v>NÃOST</v>
      </c>
      <c r="E1822" s="3" t="str">
        <f>IF(COUNTIF(ISENÇÕES!A:A,CST!B1822)&gt;0,"ISENÇÃO","SEM ISENÇÃO")</f>
        <v>SEM ISENÇÃO</v>
      </c>
      <c r="F1822" s="18" t="str">
        <f>IF(COUNTIF(REDUÇÕES!A:A,CST!B1822)&gt;0,"REDUÇÃO","NÃO REDUÇÃO")</f>
        <v>NÃO REDUÇÃO</v>
      </c>
      <c r="G1822" s="27">
        <f t="shared" si="43"/>
        <v>0</v>
      </c>
    </row>
    <row r="1823" spans="1:7" x14ac:dyDescent="0.25">
      <c r="A1823" s="120" t="str">
        <f>RIGHT(CSTABLE[[#This Row],[NomeNCM]],8)</f>
        <v>84248119</v>
      </c>
      <c r="B1823" s="123" t="s">
        <v>5714</v>
      </c>
      <c r="C1823" s="3" t="str">
        <f>IFERROR(VLOOKUP(B1823,ST!C:D,2,0),"NÃOST")</f>
        <v>NÃOST</v>
      </c>
      <c r="E1823" s="3" t="str">
        <f>IF(COUNTIF(ISENÇÕES!A:A,CST!B1823)&gt;0,"ISENÇÃO","SEM ISENÇÃO")</f>
        <v>SEM ISENÇÃO</v>
      </c>
      <c r="F1823" s="18" t="str">
        <f>IF(COUNTIF(REDUÇÕES!A:A,CST!B1823)&gt;0,"REDUÇÃO","NÃO REDUÇÃO")</f>
        <v>NÃO REDUÇÃO</v>
      </c>
      <c r="G1823" s="27">
        <f t="shared" si="43"/>
        <v>0</v>
      </c>
    </row>
    <row r="1824" spans="1:7" x14ac:dyDescent="0.25">
      <c r="A1824" s="120" t="str">
        <f>RIGHT(CSTABLE[[#This Row],[NomeNCM]],8)</f>
        <v>85299020</v>
      </c>
      <c r="B1824" s="123" t="s">
        <v>5715</v>
      </c>
      <c r="C1824" s="3" t="str">
        <f>IFERROR(VLOOKUP(B1824,ST!C:D,2,0),"NÃOST")</f>
        <v>NÃOST</v>
      </c>
      <c r="E1824" s="3" t="str">
        <f>IF(COUNTIF(ISENÇÕES!A:A,CST!B1824)&gt;0,"ISENÇÃO","SEM ISENÇÃO")</f>
        <v>SEM ISENÇÃO</v>
      </c>
      <c r="F1824" s="18" t="str">
        <f>IF(COUNTIF(REDUÇÕES!A:A,CST!B1824)&gt;0,"REDUÇÃO","NÃO REDUÇÃO")</f>
        <v>NÃO REDUÇÃO</v>
      </c>
      <c r="G1824" s="27">
        <f t="shared" si="43"/>
        <v>0</v>
      </c>
    </row>
    <row r="1825" spans="1:7" x14ac:dyDescent="0.25">
      <c r="A1825" s="120" t="str">
        <f>RIGHT(CSTABLE[[#This Row],[NomeNCM]],8)</f>
        <v>95089090</v>
      </c>
      <c r="B1825" s="123" t="s">
        <v>5716</v>
      </c>
      <c r="C1825" s="49" t="str">
        <f>IFERROR(VLOOKUP(B1825,ST!C:D,2,0),"NÃOST")</f>
        <v>NÃOST</v>
      </c>
      <c r="E1825" s="49" t="str">
        <f>IF(COUNTIF(ISENÇÕES!A:A,CST!B1825)&gt;0,"ISENÇÃO","SEM ISENÇÃO")</f>
        <v>SEM ISENÇÃO</v>
      </c>
      <c r="F1825" s="50" t="str">
        <f>IF(COUNTIF(REDUÇÕES!A:A,CST!B1825)&gt;0,"REDUÇÃO","NÃO REDUÇÃO")</f>
        <v>NÃO REDUÇÃO</v>
      </c>
      <c r="G1825" s="51">
        <f t="shared" si="43"/>
        <v>0</v>
      </c>
    </row>
    <row r="1826" spans="1:7" x14ac:dyDescent="0.25">
      <c r="A1826" s="120" t="str">
        <f>RIGHT(CSTABLE[[#This Row],[NomeNCM]],8)</f>
        <v>01039200</v>
      </c>
      <c r="B1826" s="123" t="s">
        <v>5717</v>
      </c>
      <c r="C1826" s="3" t="str">
        <f>IFERROR(VLOOKUP(B1826,ST!C:D,2,0),"NÃOST")</f>
        <v>NÃOST</v>
      </c>
      <c r="E1826" s="3" t="str">
        <f>IF(COUNTIF(ISENÇÕES!A:A,CST!B1826)&gt;0,"ISENÇÃO","SEM ISENÇÃO")</f>
        <v>SEM ISENÇÃO</v>
      </c>
      <c r="F1826" s="18" t="str">
        <f>IF(COUNTIF(REDUÇÕES!A:A,CST!B1826)&gt;0,"REDUÇÃO","NÃO REDUÇÃO")</f>
        <v>NÃO REDUÇÃO</v>
      </c>
      <c r="G1826" s="27">
        <f t="shared" ref="G1826:G1832" si="44">VLOOKUP(C1826&amp;F1826&amp;E1826,$B$3:$F$10,5,0)</f>
        <v>0</v>
      </c>
    </row>
    <row r="1827" spans="1:7" x14ac:dyDescent="0.25">
      <c r="A1827" s="120" t="str">
        <f>RIGHT(CSTABLE[[#This Row],[NomeNCM]],8)</f>
        <v>03047500</v>
      </c>
      <c r="B1827" s="123" t="s">
        <v>3278</v>
      </c>
      <c r="C1827" s="3" t="str">
        <f>IFERROR(VLOOKUP(B1827,ST!C:D,2,0),"NÃOST")</f>
        <v>NÃOST</v>
      </c>
      <c r="E1827" s="3" t="str">
        <f>IF(COUNTIF(ISENÇÕES!A:A,CST!B1827)&gt;0,"ISENÇÃO","SEM ISENÇÃO")</f>
        <v>SEM ISENÇÃO</v>
      </c>
      <c r="F1827" s="18" t="str">
        <f>IF(COUNTIF(REDUÇÕES!A:A,CST!B1827)&gt;0,"REDUÇÃO","NÃO REDUÇÃO")</f>
        <v>NÃO REDUÇÃO</v>
      </c>
      <c r="G1827" s="27">
        <f t="shared" si="44"/>
        <v>0</v>
      </c>
    </row>
    <row r="1828" spans="1:7" x14ac:dyDescent="0.25">
      <c r="A1828" s="120" t="str">
        <f>RIGHT(CSTABLE[[#This Row],[NomeNCM]],8)</f>
        <v>03049300</v>
      </c>
      <c r="B1828" s="123" t="s">
        <v>3300</v>
      </c>
      <c r="C1828" s="3" t="str">
        <f>IFERROR(VLOOKUP(B1828,ST!C:D,2,0),"NÃOST")</f>
        <v>NÃOST</v>
      </c>
      <c r="E1828" s="3" t="str">
        <f>IF(COUNTIF(ISENÇÕES!A:A,CST!B1828)&gt;0,"ISENÇÃO","SEM ISENÇÃO")</f>
        <v>SEM ISENÇÃO</v>
      </c>
      <c r="F1828" s="18" t="str">
        <f>IF(COUNTIF(REDUÇÕES!A:A,CST!B1828)&gt;0,"REDUÇÃO","NÃO REDUÇÃO")</f>
        <v>NÃO REDUÇÃO</v>
      </c>
      <c r="G1828" s="27">
        <f t="shared" si="44"/>
        <v>0</v>
      </c>
    </row>
    <row r="1829" spans="1:7" x14ac:dyDescent="0.25">
      <c r="A1829" s="120" t="str">
        <f>RIGHT(CSTABLE[[#This Row],[NomeNCM]],8)</f>
        <v>42021220</v>
      </c>
      <c r="B1829" s="123" t="s">
        <v>5718</v>
      </c>
      <c r="C1829" s="3" t="str">
        <f>IFERROR(VLOOKUP(B1829,ST!C:D,2,0),"NÃOST")</f>
        <v>NÃOST</v>
      </c>
      <c r="E1829" s="3" t="str">
        <f>IF(COUNTIF(ISENÇÕES!A:A,CST!B1829)&gt;0,"ISENÇÃO","SEM ISENÇÃO")</f>
        <v>SEM ISENÇÃO</v>
      </c>
      <c r="F1829" s="18" t="str">
        <f>IF(COUNTIF(REDUÇÕES!A:A,CST!B1829)&gt;0,"REDUÇÃO","NÃO REDUÇÃO")</f>
        <v>NÃO REDUÇÃO</v>
      </c>
      <c r="G1829" s="27">
        <f t="shared" si="44"/>
        <v>0</v>
      </c>
    </row>
    <row r="1830" spans="1:7" x14ac:dyDescent="0.25">
      <c r="A1830" s="120" t="str">
        <f>RIGHT(CSTABLE[[#This Row],[NomeNCM]],8)</f>
        <v>48204000</v>
      </c>
      <c r="B1830" s="123" t="s">
        <v>5719</v>
      </c>
      <c r="C1830" s="3" t="str">
        <f>IFERROR(VLOOKUP(B1830,ST!C:D,2,0),"NÃOST")</f>
        <v>NÃOST</v>
      </c>
      <c r="E1830" s="3" t="str">
        <f>IF(COUNTIF(ISENÇÕES!A:A,CST!B1830)&gt;0,"ISENÇÃO","SEM ISENÇÃO")</f>
        <v>SEM ISENÇÃO</v>
      </c>
      <c r="F1830" s="18" t="str">
        <f>IF(COUNTIF(REDUÇÕES!A:A,CST!B1830)&gt;0,"REDUÇÃO","NÃO REDUÇÃO")</f>
        <v>NÃO REDUÇÃO</v>
      </c>
      <c r="G1830" s="27">
        <f t="shared" si="44"/>
        <v>0</v>
      </c>
    </row>
    <row r="1831" spans="1:7" x14ac:dyDescent="0.25">
      <c r="A1831" s="120" t="str">
        <f>RIGHT(CSTABLE[[#This Row],[NomeNCM]],8)</f>
        <v>63053900</v>
      </c>
      <c r="B1831" s="123" t="s">
        <v>5720</v>
      </c>
      <c r="C1831" s="3" t="str">
        <f>IFERROR(VLOOKUP(B1831,ST!C:D,2,0),"NÃOST")</f>
        <v>NÃOST</v>
      </c>
      <c r="E1831" s="3" t="str">
        <f>IF(COUNTIF(ISENÇÕES!A:A,CST!B1831)&gt;0,"ISENÇÃO","SEM ISENÇÃO")</f>
        <v>SEM ISENÇÃO</v>
      </c>
      <c r="F1831" s="18" t="str">
        <f>IF(COUNTIF(REDUÇÕES!A:A,CST!B1831)&gt;0,"REDUÇÃO","NÃO REDUÇÃO")</f>
        <v>NÃO REDUÇÃO</v>
      </c>
      <c r="G1831" s="27">
        <f t="shared" si="44"/>
        <v>0</v>
      </c>
    </row>
    <row r="1832" spans="1:7" x14ac:dyDescent="0.25">
      <c r="A1832" s="120" t="str">
        <f>RIGHT(CSTABLE[[#This Row],[NomeNCM]],8)</f>
        <v>85249100</v>
      </c>
      <c r="B1832" s="123" t="s">
        <v>5721</v>
      </c>
      <c r="C1832" s="49" t="str">
        <f>IFERROR(VLOOKUP(B1832,ST!C:D,2,0),"NÃOST")</f>
        <v>NÃOST</v>
      </c>
      <c r="E1832" s="49" t="str">
        <f>IF(COUNTIF(ISENÇÕES!A:A,CST!B1832)&gt;0,"ISENÇÃO","SEM ISENÇÃO")</f>
        <v>SEM ISENÇÃO</v>
      </c>
      <c r="F1832" s="50" t="str">
        <f>IF(COUNTIF(REDUÇÕES!A:A,CST!B1832)&gt;0,"REDUÇÃO","NÃO REDUÇÃO")</f>
        <v>NÃO REDUÇÃO</v>
      </c>
      <c r="G1832" s="51">
        <f t="shared" si="44"/>
        <v>0</v>
      </c>
    </row>
    <row r="1833" spans="1:7" x14ac:dyDescent="0.25">
      <c r="A1833" s="120" t="str">
        <f>RIGHT(CSTABLE[[#This Row],[NomeNCM]],8)</f>
        <v>03045900</v>
      </c>
      <c r="B1833" s="123" t="s">
        <v>3270</v>
      </c>
      <c r="C1833" s="3" t="str">
        <f>IFERROR(VLOOKUP(B1833,ST!C:D,2,0),"NÃOST")</f>
        <v>NÃOST</v>
      </c>
      <c r="E1833" s="3" t="str">
        <f>IF(COUNTIF(ISENÇÕES!A:A,CST!B1833)&gt;0,"ISENÇÃO","SEM ISENÇÃO")</f>
        <v>SEM ISENÇÃO</v>
      </c>
      <c r="F1833" s="18" t="str">
        <f>IF(COUNTIF(REDUÇÕES!A:A,CST!B1833)&gt;0,"REDUÇÃO","NÃO REDUÇÃO")</f>
        <v>NÃO REDUÇÃO</v>
      </c>
      <c r="G1833" s="27">
        <f t="shared" ref="G1833:G1840" si="45">VLOOKUP(C1833&amp;F1833&amp;E1833,$B$3:$F$10,5,0)</f>
        <v>0</v>
      </c>
    </row>
    <row r="1834" spans="1:7" x14ac:dyDescent="0.25">
      <c r="A1834" s="120" t="str">
        <f>RIGHT(CSTABLE[[#This Row],[NomeNCM]],8)</f>
        <v>08054000</v>
      </c>
      <c r="B1834" s="123" t="s">
        <v>5483</v>
      </c>
      <c r="C1834" s="3" t="str">
        <f>IFERROR(VLOOKUP(B1834,ST!C:D,2,0),"NÃOST")</f>
        <v>NÃOST</v>
      </c>
      <c r="E1834" s="3" t="str">
        <f>IF(COUNTIF(ISENÇÕES!A:A,CST!B1834)&gt;0,"ISENÇÃO","SEM ISENÇÃO")</f>
        <v>SEM ISENÇÃO</v>
      </c>
      <c r="F1834" s="18" t="str">
        <f>IF(COUNTIF(REDUÇÕES!A:A,CST!B1834)&gt;0,"REDUÇÃO","NÃO REDUÇÃO")</f>
        <v>NÃO REDUÇÃO</v>
      </c>
      <c r="G1834" s="27">
        <f t="shared" si="45"/>
        <v>0</v>
      </c>
    </row>
    <row r="1835" spans="1:7" x14ac:dyDescent="0.25">
      <c r="A1835" s="120" t="str">
        <f>RIGHT(CSTABLE[[#This Row],[NomeNCM]],8)</f>
        <v>20079000</v>
      </c>
      <c r="B1835" s="123" t="s">
        <v>5722</v>
      </c>
      <c r="C1835" s="3" t="str">
        <f>IFERROR(VLOOKUP(B1835,ST!C:D,2,0),"NÃOST")</f>
        <v>NÃOST</v>
      </c>
      <c r="E1835" s="3" t="str">
        <f>IF(COUNTIF(ISENÇÕES!A:A,CST!B1835)&gt;0,"ISENÇÃO","SEM ISENÇÃO")</f>
        <v>SEM ISENÇÃO</v>
      </c>
      <c r="F1835" s="18" t="str">
        <f>IF(COUNTIF(REDUÇÕES!A:A,CST!B1835)&gt;0,"REDUÇÃO","NÃO REDUÇÃO")</f>
        <v>NÃO REDUÇÃO</v>
      </c>
      <c r="G1835" s="27">
        <f t="shared" si="45"/>
        <v>0</v>
      </c>
    </row>
    <row r="1836" spans="1:7" x14ac:dyDescent="0.25">
      <c r="A1836" s="120" t="str">
        <f>RIGHT(CSTABLE[[#This Row],[NomeNCM]],8)</f>
        <v>20089710</v>
      </c>
      <c r="B1836" s="123" t="s">
        <v>5723</v>
      </c>
      <c r="C1836" s="3" t="str">
        <f>IFERROR(VLOOKUP(B1836,ST!C:D,2,0),"NÃOST")</f>
        <v>NÃOST</v>
      </c>
      <c r="E1836" s="3" t="str">
        <f>IF(COUNTIF(ISENÇÕES!A:A,CST!B1836)&gt;0,"ISENÇÃO","SEM ISENÇÃO")</f>
        <v>SEM ISENÇÃO</v>
      </c>
      <c r="F1836" s="18" t="str">
        <f>IF(COUNTIF(REDUÇÕES!A:A,CST!B1836)&gt;0,"REDUÇÃO","NÃO REDUÇÃO")</f>
        <v>NÃO REDUÇÃO</v>
      </c>
      <c r="G1836" s="27">
        <f t="shared" si="45"/>
        <v>0</v>
      </c>
    </row>
    <row r="1837" spans="1:7" x14ac:dyDescent="0.25">
      <c r="A1837" s="120" t="str">
        <f>RIGHT(CSTABLE[[#This Row],[NomeNCM]],8)</f>
        <v>30051030</v>
      </c>
      <c r="B1837" s="123" t="s">
        <v>5724</v>
      </c>
      <c r="C1837" s="3" t="str">
        <f>IFERROR(VLOOKUP(B1837,ST!C:D,2,0),"NÃOST")</f>
        <v>NÃOST</v>
      </c>
      <c r="E1837" s="3" t="str">
        <f>IF(COUNTIF(ISENÇÕES!A:A,CST!B1837)&gt;0,"ISENÇÃO","SEM ISENÇÃO")</f>
        <v>SEM ISENÇÃO</v>
      </c>
      <c r="F1837" s="18" t="str">
        <f>IF(COUNTIF(REDUÇÕES!A:A,CST!B1837)&gt;0,"REDUÇÃO","NÃO REDUÇÃO")</f>
        <v>NÃO REDUÇÃO</v>
      </c>
      <c r="G1837" s="27">
        <f t="shared" si="45"/>
        <v>0</v>
      </c>
    </row>
    <row r="1838" spans="1:7" x14ac:dyDescent="0.25">
      <c r="A1838" s="120" t="str">
        <f>RIGHT(CSTABLE[[#This Row],[NomeNCM]],8)</f>
        <v>72169100</v>
      </c>
      <c r="B1838" s="123" t="s">
        <v>5725</v>
      </c>
      <c r="C1838" s="3" t="str">
        <f>IFERROR(VLOOKUP(B1838,ST!C:D,2,0),"NÃOST")</f>
        <v>NÃOST</v>
      </c>
      <c r="E1838" s="3" t="str">
        <f>IF(COUNTIF(ISENÇÕES!A:A,CST!B1838)&gt;0,"ISENÇÃO","SEM ISENÇÃO")</f>
        <v>SEM ISENÇÃO</v>
      </c>
      <c r="F1838" s="18" t="str">
        <f>IF(COUNTIF(REDUÇÕES!A:A,CST!B1838)&gt;0,"REDUÇÃO","NÃO REDUÇÃO")</f>
        <v>NÃO REDUÇÃO</v>
      </c>
      <c r="G1838" s="27">
        <f t="shared" si="45"/>
        <v>0</v>
      </c>
    </row>
    <row r="1839" spans="1:7" x14ac:dyDescent="0.25">
      <c r="A1839" s="120" t="str">
        <f>RIGHT(CSTABLE[[#This Row],[NomeNCM]],8)</f>
        <v>34021130</v>
      </c>
      <c r="B1839" s="123" t="s">
        <v>5726</v>
      </c>
      <c r="C1839" s="3" t="str">
        <f>IFERROR(VLOOKUP(B1839,ST!C:D,2,0),"NÃOST")</f>
        <v>NÃOST</v>
      </c>
      <c r="E1839" s="3" t="str">
        <f>IF(COUNTIF(ISENÇÕES!A:A,CST!B1839)&gt;0,"ISENÇÃO","SEM ISENÇÃO")</f>
        <v>SEM ISENÇÃO</v>
      </c>
      <c r="F1839" s="18" t="str">
        <f>IF(COUNTIF(REDUÇÕES!A:A,CST!B1839)&gt;0,"REDUÇÃO","NÃO REDUÇÃO")</f>
        <v>NÃO REDUÇÃO</v>
      </c>
      <c r="G1839" s="27">
        <f t="shared" si="45"/>
        <v>0</v>
      </c>
    </row>
    <row r="1840" spans="1:7" x14ac:dyDescent="0.25">
      <c r="A1840" s="120" t="str">
        <f>RIGHT(CSTABLE[[#This Row],[NomeNCM]],8)</f>
        <v>58063900</v>
      </c>
      <c r="B1840" s="123" t="s">
        <v>5727</v>
      </c>
      <c r="C1840" s="49" t="str">
        <f>IFERROR(VLOOKUP(B1840,ST!C:D,2,0),"NÃOST")</f>
        <v>NÃOST</v>
      </c>
      <c r="E1840" s="49" t="str">
        <f>IF(COUNTIF(ISENÇÕES!A:A,CST!B1840)&gt;0,"ISENÇÃO","SEM ISENÇÃO")</f>
        <v>SEM ISENÇÃO</v>
      </c>
      <c r="F1840" s="50" t="str">
        <f>IF(COUNTIF(REDUÇÕES!A:A,CST!B1840)&gt;0,"REDUÇÃO","NÃO REDUÇÃO")</f>
        <v>NÃO REDUÇÃO</v>
      </c>
      <c r="G1840" s="51">
        <f t="shared" si="45"/>
        <v>0</v>
      </c>
    </row>
    <row r="1841" spans="1:7" x14ac:dyDescent="0.25">
      <c r="A1841" s="120" t="str">
        <f>RIGHT(CSTABLE[[#This Row],[NomeNCM]],8)</f>
        <v>03032490</v>
      </c>
      <c r="B1841" s="123" t="s">
        <v>3182</v>
      </c>
      <c r="C1841" s="3" t="str">
        <f>IFERROR(VLOOKUP(B1841,ST!C:D,2,0),"NÃOST")</f>
        <v>NÃOST</v>
      </c>
      <c r="E1841" s="3" t="str">
        <f>IF(COUNTIF(ISENÇÕES!A:A,CST!B1841)&gt;0,"ISENÇÃO","SEM ISENÇÃO")</f>
        <v>SEM ISENÇÃO</v>
      </c>
      <c r="F1841" s="18" t="str">
        <f>IF(COUNTIF(REDUÇÕES!A:A,CST!B1841)&gt;0,"REDUÇÃO","NÃO REDUÇÃO")</f>
        <v>NÃO REDUÇÃO</v>
      </c>
      <c r="G1841" s="27">
        <f t="shared" ref="G1841:G1857" si="46">VLOOKUP(C1841&amp;F1841&amp;E1841,$B$3:$F$10,5,0)</f>
        <v>0</v>
      </c>
    </row>
    <row r="1842" spans="1:7" x14ac:dyDescent="0.25">
      <c r="A1842" s="120" t="str">
        <f>RIGHT(CSTABLE[[#This Row],[NomeNCM]],8)</f>
        <v>03038945</v>
      </c>
      <c r="B1842" s="123" t="s">
        <v>3235</v>
      </c>
      <c r="C1842" s="3" t="str">
        <f>IFERROR(VLOOKUP(B1842,ST!C:D,2,0),"NÃOST")</f>
        <v>NÃOST</v>
      </c>
      <c r="E1842" s="3" t="str">
        <f>IF(COUNTIF(ISENÇÕES!A:A,CST!B1842)&gt;0,"ISENÇÃO","SEM ISENÇÃO")</f>
        <v>SEM ISENÇÃO</v>
      </c>
      <c r="F1842" s="18" t="str">
        <f>IF(COUNTIF(REDUÇÕES!A:A,CST!B1842)&gt;0,"REDUÇÃO","NÃO REDUÇÃO")</f>
        <v>NÃO REDUÇÃO</v>
      </c>
      <c r="G1842" s="27">
        <f t="shared" si="46"/>
        <v>0</v>
      </c>
    </row>
    <row r="1843" spans="1:7" x14ac:dyDescent="0.25">
      <c r="A1843" s="120" t="str">
        <f>RIGHT(CSTABLE[[#This Row],[NomeNCM]],8)</f>
        <v>04014021</v>
      </c>
      <c r="B1843" s="123" t="s">
        <v>5730</v>
      </c>
      <c r="C1843" s="3" t="str">
        <f>IFERROR(VLOOKUP(B1843,ST!C:D,2,0),"NÃOST")</f>
        <v>NÃOST</v>
      </c>
      <c r="E1843" s="3" t="str">
        <f>IF(COUNTIF(ISENÇÕES!A:A,CST!B1843)&gt;0,"ISENÇÃO","SEM ISENÇÃO")</f>
        <v>SEM ISENÇÃO</v>
      </c>
      <c r="F1843" s="18" t="str">
        <f>IF(COUNTIF(REDUÇÕES!A:A,CST!B1843)&gt;0,"REDUÇÃO","NÃO REDUÇÃO")</f>
        <v>NÃO REDUÇÃO</v>
      </c>
      <c r="G1843" s="27">
        <f t="shared" si="46"/>
        <v>0</v>
      </c>
    </row>
    <row r="1844" spans="1:7" x14ac:dyDescent="0.25">
      <c r="A1844" s="120" t="str">
        <f>RIGHT(CSTABLE[[#This Row],[NomeNCM]],8)</f>
        <v>04041000</v>
      </c>
      <c r="B1844" s="123" t="s">
        <v>5731</v>
      </c>
      <c r="C1844" s="3" t="str">
        <f>IFERROR(VLOOKUP(B1844,ST!C:D,2,0),"NÃOST")</f>
        <v>NÃOST</v>
      </c>
      <c r="E1844" s="3" t="str">
        <f>IF(COUNTIF(ISENÇÕES!A:A,CST!B1844)&gt;0,"ISENÇÃO","SEM ISENÇÃO")</f>
        <v>SEM ISENÇÃO</v>
      </c>
      <c r="F1844" s="18" t="str">
        <f>IF(COUNTIF(REDUÇÕES!A:A,CST!B1844)&gt;0,"REDUÇÃO","NÃO REDUÇÃO")</f>
        <v>NÃO REDUÇÃO</v>
      </c>
      <c r="G1844" s="27">
        <f t="shared" si="46"/>
        <v>0</v>
      </c>
    </row>
    <row r="1845" spans="1:7" x14ac:dyDescent="0.25">
      <c r="A1845" s="120" t="str">
        <f>RIGHT(CSTABLE[[#This Row],[NomeNCM]],8)</f>
        <v>07133210</v>
      </c>
      <c r="B1845" s="123" t="s">
        <v>5423</v>
      </c>
      <c r="C1845" s="3" t="str">
        <f>IFERROR(VLOOKUP(B1845,ST!C:D,2,0),"NÃOST")</f>
        <v>NÃOST</v>
      </c>
      <c r="E1845" s="3" t="str">
        <f>IF(COUNTIF(ISENÇÕES!A:A,CST!B1845)&gt;0,"ISENÇÃO","SEM ISENÇÃO")</f>
        <v>SEM ISENÇÃO</v>
      </c>
      <c r="F1845" s="18" t="str">
        <f>IF(COUNTIF(REDUÇÕES!A:A,CST!B1845)&gt;0,"REDUÇÃO","NÃO REDUÇÃO")</f>
        <v>NÃO REDUÇÃO</v>
      </c>
      <c r="G1845" s="27">
        <f t="shared" si="46"/>
        <v>0</v>
      </c>
    </row>
    <row r="1846" spans="1:7" x14ac:dyDescent="0.25">
      <c r="A1846" s="120" t="str">
        <f>RIGHT(CSTABLE[[#This Row],[NomeNCM]],8)</f>
        <v>11032000</v>
      </c>
      <c r="B1846" s="123" t="s">
        <v>5732</v>
      </c>
      <c r="C1846" s="3" t="str">
        <f>IFERROR(VLOOKUP(B1846,ST!C:D,2,0),"NÃOST")</f>
        <v>NÃOST</v>
      </c>
      <c r="E1846" s="3" t="str">
        <f>IF(COUNTIF(ISENÇÕES!A:A,CST!B1846)&gt;0,"ISENÇÃO","SEM ISENÇÃO")</f>
        <v>SEM ISENÇÃO</v>
      </c>
      <c r="F1846" s="18" t="str">
        <f>IF(COUNTIF(REDUÇÕES!A:A,CST!B1846)&gt;0,"REDUÇÃO","NÃO REDUÇÃO")</f>
        <v>NÃO REDUÇÃO</v>
      </c>
      <c r="G1846" s="27">
        <f t="shared" si="46"/>
        <v>0</v>
      </c>
    </row>
    <row r="1847" spans="1:7" x14ac:dyDescent="0.25">
      <c r="A1847" s="120" t="str">
        <f>RIGHT(CSTABLE[[#This Row],[NomeNCM]],8)</f>
        <v>27101290</v>
      </c>
      <c r="B1847" s="123" t="s">
        <v>5733</v>
      </c>
      <c r="C1847" s="3" t="str">
        <f>IFERROR(VLOOKUP(B1847,ST!C:D,2,0),"NÃOST")</f>
        <v>NÃOST</v>
      </c>
      <c r="E1847" s="3" t="str">
        <f>IF(COUNTIF(ISENÇÕES!A:A,CST!B1847)&gt;0,"ISENÇÃO","SEM ISENÇÃO")</f>
        <v>SEM ISENÇÃO</v>
      </c>
      <c r="F1847" s="18" t="str">
        <f>IF(COUNTIF(REDUÇÕES!A:A,CST!B1847)&gt;0,"REDUÇÃO","NÃO REDUÇÃO")</f>
        <v>NÃO REDUÇÃO</v>
      </c>
      <c r="G1847" s="27">
        <f t="shared" si="46"/>
        <v>0</v>
      </c>
    </row>
    <row r="1848" spans="1:7" x14ac:dyDescent="0.25">
      <c r="A1848" s="120" t="str">
        <f>RIGHT(CSTABLE[[#This Row],[NomeNCM]],8)</f>
        <v>27101991</v>
      </c>
      <c r="B1848" s="123" t="s">
        <v>5734</v>
      </c>
      <c r="C1848" s="3" t="str">
        <f>IFERROR(VLOOKUP(B1848,ST!C:D,2,0),"NÃOST")</f>
        <v>NÃOST</v>
      </c>
      <c r="E1848" s="3" t="str">
        <f>IF(COUNTIF(ISENÇÕES!A:A,CST!B1848)&gt;0,"ISENÇÃO","SEM ISENÇÃO")</f>
        <v>SEM ISENÇÃO</v>
      </c>
      <c r="F1848" s="18" t="str">
        <f>IF(COUNTIF(REDUÇÕES!A:A,CST!B1848)&gt;0,"REDUÇÃO","NÃO REDUÇÃO")</f>
        <v>NÃO REDUÇÃO</v>
      </c>
      <c r="G1848" s="27">
        <f t="shared" si="46"/>
        <v>0</v>
      </c>
    </row>
    <row r="1849" spans="1:7" x14ac:dyDescent="0.25">
      <c r="A1849" s="120" t="str">
        <f>RIGHT(CSTABLE[[#This Row],[NomeNCM]],8)</f>
        <v>34039900</v>
      </c>
      <c r="B1849" s="123" t="s">
        <v>5735</v>
      </c>
      <c r="C1849" s="3" t="str">
        <f>IFERROR(VLOOKUP(B1849,ST!C:D,2,0),"NÃOST")</f>
        <v>NÃOST</v>
      </c>
      <c r="E1849" s="3" t="str">
        <f>IF(COUNTIF(ISENÇÕES!A:A,CST!B1849)&gt;0,"ISENÇÃO","SEM ISENÇÃO")</f>
        <v>SEM ISENÇÃO</v>
      </c>
      <c r="F1849" s="18" t="str">
        <f>IF(COUNTIF(REDUÇÕES!A:A,CST!B1849)&gt;0,"REDUÇÃO","NÃO REDUÇÃO")</f>
        <v>NÃO REDUÇÃO</v>
      </c>
      <c r="G1849" s="27">
        <f t="shared" si="46"/>
        <v>0</v>
      </c>
    </row>
    <row r="1850" spans="1:7" x14ac:dyDescent="0.25">
      <c r="A1850" s="120" t="str">
        <f>RIGHT(CSTABLE[[#This Row],[NomeNCM]],8)</f>
        <v>44034900</v>
      </c>
      <c r="B1850" s="123" t="s">
        <v>5736</v>
      </c>
      <c r="C1850" s="3" t="str">
        <f>IFERROR(VLOOKUP(B1850,ST!C:D,2,0),"NÃOST")</f>
        <v>NÃOST</v>
      </c>
      <c r="E1850" s="3" t="str">
        <f>IF(COUNTIF(ISENÇÕES!A:A,CST!B1850)&gt;0,"ISENÇÃO","SEM ISENÇÃO")</f>
        <v>SEM ISENÇÃO</v>
      </c>
      <c r="F1850" s="18" t="str">
        <f>IF(COUNTIF(REDUÇÕES!A:A,CST!B1850)&gt;0,"REDUÇÃO","NÃO REDUÇÃO")</f>
        <v>NÃO REDUÇÃO</v>
      </c>
      <c r="G1850" s="27">
        <f t="shared" si="46"/>
        <v>0</v>
      </c>
    </row>
    <row r="1851" spans="1:7" x14ac:dyDescent="0.25">
      <c r="A1851" s="120" t="str">
        <f>RIGHT(CSTABLE[[#This Row],[NomeNCM]],8)</f>
        <v>44039900</v>
      </c>
      <c r="B1851" s="123" t="s">
        <v>5737</v>
      </c>
      <c r="C1851" s="3" t="str">
        <f>IFERROR(VLOOKUP(B1851,ST!C:D,2,0),"NÃOST")</f>
        <v>NÃOST</v>
      </c>
      <c r="E1851" s="3" t="str">
        <f>IF(COUNTIF(ISENÇÕES!A:A,CST!B1851)&gt;0,"ISENÇÃO","SEM ISENÇÃO")</f>
        <v>SEM ISENÇÃO</v>
      </c>
      <c r="F1851" s="18" t="str">
        <f>IF(COUNTIF(REDUÇÕES!A:A,CST!B1851)&gt;0,"REDUÇÃO","NÃO REDUÇÃO")</f>
        <v>NÃO REDUÇÃO</v>
      </c>
      <c r="G1851" s="27">
        <f t="shared" si="46"/>
        <v>0</v>
      </c>
    </row>
    <row r="1852" spans="1:7" x14ac:dyDescent="0.25">
      <c r="A1852" s="120" t="str">
        <f>RIGHT(CSTABLE[[#This Row],[NomeNCM]],8)</f>
        <v>52122200</v>
      </c>
      <c r="B1852" s="123" t="s">
        <v>5738</v>
      </c>
      <c r="C1852" s="3" t="str">
        <f>IFERROR(VLOOKUP(B1852,ST!C:D,2,0),"NÃOST")</f>
        <v>NÃOST</v>
      </c>
      <c r="E1852" s="3" t="str">
        <f>IF(COUNTIF(ISENÇÕES!A:A,CST!B1852)&gt;0,"ISENÇÃO","SEM ISENÇÃO")</f>
        <v>SEM ISENÇÃO</v>
      </c>
      <c r="F1852" s="18" t="str">
        <f>IF(COUNTIF(REDUÇÕES!A:A,CST!B1852)&gt;0,"REDUÇÃO","NÃO REDUÇÃO")</f>
        <v>NÃO REDUÇÃO</v>
      </c>
      <c r="G1852" s="27">
        <f t="shared" si="46"/>
        <v>0</v>
      </c>
    </row>
    <row r="1853" spans="1:7" x14ac:dyDescent="0.25">
      <c r="A1853" s="120" t="str">
        <f>RIGHT(CSTABLE[[#This Row],[NomeNCM]],8)</f>
        <v>53011000</v>
      </c>
      <c r="B1853" s="123" t="s">
        <v>5739</v>
      </c>
      <c r="C1853" s="3" t="str">
        <f>IFERROR(VLOOKUP(B1853,ST!C:D,2,0),"NÃOST")</f>
        <v>NÃOST</v>
      </c>
      <c r="E1853" s="3" t="str">
        <f>IF(COUNTIF(ISENÇÕES!A:A,CST!B1853)&gt;0,"ISENÇÃO","SEM ISENÇÃO")</f>
        <v>SEM ISENÇÃO</v>
      </c>
      <c r="F1853" s="18" t="str">
        <f>IF(COUNTIF(REDUÇÕES!A:A,CST!B1853)&gt;0,"REDUÇÃO","NÃO REDUÇÃO")</f>
        <v>NÃO REDUÇÃO</v>
      </c>
      <c r="G1853" s="27">
        <f t="shared" si="46"/>
        <v>0</v>
      </c>
    </row>
    <row r="1854" spans="1:7" x14ac:dyDescent="0.25">
      <c r="A1854" s="120" t="str">
        <f>RIGHT(CSTABLE[[#This Row],[NomeNCM]],8)</f>
        <v>56022900</v>
      </c>
      <c r="B1854" s="123" t="s">
        <v>5740</v>
      </c>
      <c r="C1854" s="3" t="str">
        <f>IFERROR(VLOOKUP(B1854,ST!C:D,2,0),"NÃOST")</f>
        <v>NÃOST</v>
      </c>
      <c r="E1854" s="3" t="str">
        <f>IF(COUNTIF(ISENÇÕES!A:A,CST!B1854)&gt;0,"ISENÇÃO","SEM ISENÇÃO")</f>
        <v>SEM ISENÇÃO</v>
      </c>
      <c r="F1854" s="18" t="str">
        <f>IF(COUNTIF(REDUÇÕES!A:A,CST!B1854)&gt;0,"REDUÇÃO","NÃO REDUÇÃO")</f>
        <v>NÃO REDUÇÃO</v>
      </c>
      <c r="G1854" s="27">
        <f t="shared" si="46"/>
        <v>0</v>
      </c>
    </row>
    <row r="1855" spans="1:7" x14ac:dyDescent="0.25">
      <c r="A1855" s="120" t="str">
        <f>RIGHT(CSTABLE[[#This Row],[NomeNCM]],8)</f>
        <v>84213100</v>
      </c>
      <c r="B1855" s="123" t="s">
        <v>5741</v>
      </c>
      <c r="C1855" s="3" t="str">
        <f>IFERROR(VLOOKUP(B1855,ST!C:D,2,0),"NÃOST")</f>
        <v>NÃOST</v>
      </c>
      <c r="E1855" s="3" t="str">
        <f>IF(COUNTIF(ISENÇÕES!A:A,CST!B1855)&gt;0,"ISENÇÃO","SEM ISENÇÃO")</f>
        <v>SEM ISENÇÃO</v>
      </c>
      <c r="F1855" s="18" t="str">
        <f>IF(COUNTIF(REDUÇÕES!A:A,CST!B1855)&gt;0,"REDUÇÃO","NÃO REDUÇÃO")</f>
        <v>NÃO REDUÇÃO</v>
      </c>
      <c r="G1855" s="27">
        <f t="shared" si="46"/>
        <v>0</v>
      </c>
    </row>
    <row r="1856" spans="1:7" x14ac:dyDescent="0.25">
      <c r="A1856" s="120" t="str">
        <f>RIGHT(CSTABLE[[#This Row],[NomeNCM]],8)</f>
        <v>84242000</v>
      </c>
      <c r="B1856" s="123" t="s">
        <v>852</v>
      </c>
      <c r="C1856" s="3" t="str">
        <f>IFERROR(VLOOKUP(B1856,ST!C:D,2,0),"NÃOST")</f>
        <v>NÃOST</v>
      </c>
      <c r="E1856" s="3" t="str">
        <f>IF(COUNTIF(ISENÇÕES!A:A,CST!B1856)&gt;0,"ISENÇÃO","SEM ISENÇÃO")</f>
        <v>SEM ISENÇÃO</v>
      </c>
      <c r="F1856" s="18" t="str">
        <f>IF(COUNTIF(REDUÇÕES!A:A,CST!B1856)&gt;0,"REDUÇÃO","NÃO REDUÇÃO")</f>
        <v>REDUÇÃO</v>
      </c>
      <c r="G1856" s="27">
        <f t="shared" si="46"/>
        <v>20</v>
      </c>
    </row>
    <row r="1857" spans="1:7" x14ac:dyDescent="0.25">
      <c r="A1857" s="120" t="str">
        <f>RIGHT(CSTABLE[[#This Row],[NomeNCM]],8)</f>
        <v>84336010</v>
      </c>
      <c r="B1857" s="123" t="s">
        <v>5742</v>
      </c>
      <c r="C1857" s="49" t="str">
        <f>IFERROR(VLOOKUP(B1857,ST!C:D,2,0),"NÃOST")</f>
        <v>NÃOST</v>
      </c>
      <c r="E1857" s="49" t="str">
        <f>IF(COUNTIF(ISENÇÕES!A:A,CST!B1857)&gt;0,"ISENÇÃO","SEM ISENÇÃO")</f>
        <v>SEM ISENÇÃO</v>
      </c>
      <c r="F1857" s="50" t="str">
        <f>IF(COUNTIF(REDUÇÕES!A:A,CST!B1857)&gt;0,"REDUÇÃO","NÃO REDUÇÃO")</f>
        <v>NÃO REDUÇÃO</v>
      </c>
      <c r="G1857" s="51">
        <f t="shared" si="46"/>
        <v>0</v>
      </c>
    </row>
    <row r="1858" spans="1:7" x14ac:dyDescent="0.25">
      <c r="A1858" s="120" t="str">
        <f>RIGHT(CSTABLE[[#This Row],[NomeNCM]],8)</f>
        <v>02109990</v>
      </c>
      <c r="B1858" s="123" t="s">
        <v>5743</v>
      </c>
      <c r="C1858" s="3" t="str">
        <f>IFERROR(VLOOKUP(B1858,ST!C:D,2,0),"NÃOST")</f>
        <v>NÃOST</v>
      </c>
      <c r="E1858" s="3" t="str">
        <f>IF(COUNTIF(ISENÇÕES!A:A,CST!B1858)&gt;0,"ISENÇÃO","SEM ISENÇÃO")</f>
        <v>SEM ISENÇÃO</v>
      </c>
      <c r="F1858" s="18" t="str">
        <f>IF(COUNTIF(REDUÇÕES!A:A,CST!B1858)&gt;0,"REDUÇÃO","NÃO REDUÇÃO")</f>
        <v>NÃO REDUÇÃO</v>
      </c>
      <c r="G1858" s="27">
        <f t="shared" ref="G1858:G1864" si="47">VLOOKUP(C1858&amp;F1858&amp;E1858,$B$3:$F$10,5,0)</f>
        <v>0</v>
      </c>
    </row>
    <row r="1859" spans="1:7" x14ac:dyDescent="0.25">
      <c r="A1859" s="120" t="str">
        <f>RIGHT(CSTABLE[[#This Row],[NomeNCM]],8)</f>
        <v>03027900</v>
      </c>
      <c r="B1859" s="123" t="s">
        <v>3148</v>
      </c>
      <c r="C1859" s="3" t="str">
        <f>IFERROR(VLOOKUP(B1859,ST!C:D,2,0),"NÃOST")</f>
        <v>NÃOST</v>
      </c>
      <c r="E1859" s="3" t="str">
        <f>IF(COUNTIF(ISENÇÕES!A:A,CST!B1859)&gt;0,"ISENÇÃO","SEM ISENÇÃO")</f>
        <v>SEM ISENÇÃO</v>
      </c>
      <c r="F1859" s="18" t="str">
        <f>IF(COUNTIF(REDUÇÕES!A:A,CST!B1859)&gt;0,"REDUÇÃO","NÃO REDUÇÃO")</f>
        <v>NÃO REDUÇÃO</v>
      </c>
      <c r="G1859" s="27">
        <f t="shared" si="47"/>
        <v>0</v>
      </c>
    </row>
    <row r="1860" spans="1:7" x14ac:dyDescent="0.25">
      <c r="A1860" s="120" t="str">
        <f>RIGHT(CSTABLE[[#This Row],[NomeNCM]],8)</f>
        <v>07144000</v>
      </c>
      <c r="B1860" s="123" t="s">
        <v>5446</v>
      </c>
      <c r="C1860" s="3" t="str">
        <f>IFERROR(VLOOKUP(B1860,ST!C:D,2,0),"NÃOST")</f>
        <v>NÃOST</v>
      </c>
      <c r="E1860" s="3" t="str">
        <f>IF(COUNTIF(ISENÇÕES!A:A,CST!B1860)&gt;0,"ISENÇÃO","SEM ISENÇÃO")</f>
        <v>SEM ISENÇÃO</v>
      </c>
      <c r="F1860" s="18" t="str">
        <f>IF(COUNTIF(REDUÇÕES!A:A,CST!B1860)&gt;0,"REDUÇÃO","NÃO REDUÇÃO")</f>
        <v>NÃO REDUÇÃO</v>
      </c>
      <c r="G1860" s="27">
        <f t="shared" si="47"/>
        <v>0</v>
      </c>
    </row>
    <row r="1861" spans="1:7" x14ac:dyDescent="0.25">
      <c r="A1861" s="120" t="str">
        <f>RIGHT(CSTABLE[[#This Row],[NomeNCM]],8)</f>
        <v>33019040</v>
      </c>
      <c r="B1861" s="123" t="s">
        <v>5744</v>
      </c>
      <c r="C1861" s="3" t="str">
        <f>IFERROR(VLOOKUP(B1861,ST!C:D,2,0),"NÃOST")</f>
        <v>NÃOST</v>
      </c>
      <c r="E1861" s="3" t="str">
        <f>IF(COUNTIF(ISENÇÕES!A:A,CST!B1861)&gt;0,"ISENÇÃO","SEM ISENÇÃO")</f>
        <v>SEM ISENÇÃO</v>
      </c>
      <c r="F1861" s="18" t="str">
        <f>IF(COUNTIF(REDUÇÕES!A:A,CST!B1861)&gt;0,"REDUÇÃO","NÃO REDUÇÃO")</f>
        <v>NÃO REDUÇÃO</v>
      </c>
      <c r="G1861" s="27">
        <f t="shared" si="47"/>
        <v>0</v>
      </c>
    </row>
    <row r="1862" spans="1:7" x14ac:dyDescent="0.25">
      <c r="A1862" s="120" t="str">
        <f>RIGHT(CSTABLE[[#This Row],[NomeNCM]],8)</f>
        <v>57023200</v>
      </c>
      <c r="B1862" s="123" t="s">
        <v>5745</v>
      </c>
      <c r="C1862" s="3" t="str">
        <f>IFERROR(VLOOKUP(B1862,ST!C:D,2,0),"NÃOST")</f>
        <v>NÃOST</v>
      </c>
      <c r="E1862" s="3" t="str">
        <f>IF(COUNTIF(ISENÇÕES!A:A,CST!B1862)&gt;0,"ISENÇÃO","SEM ISENÇÃO")</f>
        <v>SEM ISENÇÃO</v>
      </c>
      <c r="F1862" s="18" t="str">
        <f>IF(COUNTIF(REDUÇÕES!A:A,CST!B1862)&gt;0,"REDUÇÃO","NÃO REDUÇÃO")</f>
        <v>NÃO REDUÇÃO</v>
      </c>
      <c r="G1862" s="27">
        <f t="shared" si="47"/>
        <v>0</v>
      </c>
    </row>
    <row r="1863" spans="1:7" x14ac:dyDescent="0.25">
      <c r="A1863" s="120" t="str">
        <f>RIGHT(CSTABLE[[#This Row],[NomeNCM]],8)</f>
        <v>76109000</v>
      </c>
      <c r="B1863" s="123" t="s">
        <v>5746</v>
      </c>
      <c r="C1863" s="3" t="str">
        <f>IFERROR(VLOOKUP(B1863,ST!C:D,2,0),"NÃOST")</f>
        <v>NÃOST</v>
      </c>
      <c r="E1863" s="3" t="str">
        <f>IF(COUNTIF(ISENÇÕES!A:A,CST!B1863)&gt;0,"ISENÇÃO","SEM ISENÇÃO")</f>
        <v>SEM ISENÇÃO</v>
      </c>
      <c r="F1863" s="18" t="str">
        <f>IF(COUNTIF(REDUÇÕES!A:A,CST!B1863)&gt;0,"REDUÇÃO","NÃO REDUÇÃO")</f>
        <v>NÃO REDUÇÃO</v>
      </c>
      <c r="G1863" s="27">
        <f t="shared" si="47"/>
        <v>0</v>
      </c>
    </row>
    <row r="1864" spans="1:7" x14ac:dyDescent="0.25">
      <c r="A1864" s="120" t="str">
        <f>RIGHT(CSTABLE[[#This Row],[NomeNCM]],8)</f>
        <v>84149010</v>
      </c>
      <c r="B1864" s="123" t="s">
        <v>5747</v>
      </c>
      <c r="C1864" s="49" t="str">
        <f>IFERROR(VLOOKUP(B1864,ST!C:D,2,0),"NÃOST")</f>
        <v>NÃOST</v>
      </c>
      <c r="E1864" s="49" t="str">
        <f>IF(COUNTIF(ISENÇÕES!A:A,CST!B1864)&gt;0,"ISENÇÃO","SEM ISENÇÃO")</f>
        <v>SEM ISENÇÃO</v>
      </c>
      <c r="F1864" s="50" t="str">
        <f>IF(COUNTIF(REDUÇÕES!A:A,CST!B1864)&gt;0,"REDUÇÃO","NÃO REDUÇÃO")</f>
        <v>NÃO REDUÇÃO</v>
      </c>
      <c r="G1864" s="51">
        <f t="shared" si="47"/>
        <v>0</v>
      </c>
    </row>
    <row r="1865" spans="1:7" x14ac:dyDescent="0.25">
      <c r="A1865" s="120" t="str">
        <f>RIGHT(CSTABLE[[#This Row],[NomeNCM]],8)</f>
        <v>02069000</v>
      </c>
      <c r="B1865" s="123" t="s">
        <v>5749</v>
      </c>
      <c r="C1865" s="3" t="str">
        <f>IFERROR(VLOOKUP(B1865,ST!C:D,2,0),"NÃOST")</f>
        <v>NÃOST</v>
      </c>
      <c r="E1865" s="3" t="str">
        <f>IF(COUNTIF(ISENÇÕES!A:A,CST!B1865)&gt;0,"ISENÇÃO","SEM ISENÇÃO")</f>
        <v>SEM ISENÇÃO</v>
      </c>
      <c r="F1865" s="18" t="str">
        <f>IF(COUNTIF(REDUÇÕES!A:A,CST!B1865)&gt;0,"REDUÇÃO","NÃO REDUÇÃO")</f>
        <v>NÃO REDUÇÃO</v>
      </c>
      <c r="G1865" s="27">
        <f t="shared" ref="G1865:G1895" si="48">VLOOKUP(C1865&amp;F1865&amp;E1865,$B$3:$F$10,5,0)</f>
        <v>0</v>
      </c>
    </row>
    <row r="1866" spans="1:7" x14ac:dyDescent="0.25">
      <c r="A1866" s="120" t="str">
        <f>RIGHT(CSTABLE[[#This Row],[NomeNCM]],8)</f>
        <v>03028990</v>
      </c>
      <c r="B1866" s="123" t="s">
        <v>3173</v>
      </c>
      <c r="C1866" s="3" t="str">
        <f>IFERROR(VLOOKUP(B1866,ST!C:D,2,0),"NÃOST")</f>
        <v>NÃOST</v>
      </c>
      <c r="E1866" s="3" t="str">
        <f>IF(COUNTIF(ISENÇÕES!A:A,CST!B1866)&gt;0,"ISENÇÃO","SEM ISENÇÃO")</f>
        <v>SEM ISENÇÃO</v>
      </c>
      <c r="F1866" s="18" t="str">
        <f>IF(COUNTIF(REDUÇÕES!A:A,CST!B1866)&gt;0,"REDUÇÃO","NÃO REDUÇÃO")</f>
        <v>NÃO REDUÇÃO</v>
      </c>
      <c r="G1866" s="27">
        <f t="shared" si="48"/>
        <v>0</v>
      </c>
    </row>
    <row r="1867" spans="1:7" x14ac:dyDescent="0.25">
      <c r="A1867" s="120" t="str">
        <f>RIGHT(CSTABLE[[#This Row],[NomeNCM]],8)</f>
        <v>04022910</v>
      </c>
      <c r="B1867" s="123" t="s">
        <v>3309</v>
      </c>
      <c r="C1867" s="3" t="str">
        <f>IFERROR(VLOOKUP(B1867,ST!C:D,2,0),"NÃOST")</f>
        <v>NÃOST</v>
      </c>
      <c r="E1867" s="3" t="str">
        <f>IF(COUNTIF(ISENÇÕES!A:A,CST!B1867)&gt;0,"ISENÇÃO","SEM ISENÇÃO")</f>
        <v>SEM ISENÇÃO</v>
      </c>
      <c r="F1867" s="18" t="str">
        <f>IF(COUNTIF(REDUÇÕES!A:A,CST!B1867)&gt;0,"REDUÇÃO","NÃO REDUÇÃO")</f>
        <v>NÃO REDUÇÃO</v>
      </c>
      <c r="G1867" s="27">
        <f t="shared" si="48"/>
        <v>0</v>
      </c>
    </row>
    <row r="1868" spans="1:7" x14ac:dyDescent="0.25">
      <c r="A1868" s="120" t="str">
        <f>RIGHT(CSTABLE[[#This Row],[NomeNCM]],8)</f>
        <v>12040010</v>
      </c>
      <c r="B1868" s="123" t="s">
        <v>5750</v>
      </c>
      <c r="C1868" s="3" t="str">
        <f>IFERROR(VLOOKUP(B1868,ST!C:D,2,0),"NÃOST")</f>
        <v>NÃOST</v>
      </c>
      <c r="E1868" s="3" t="str">
        <f>IF(COUNTIF(ISENÇÕES!A:A,CST!B1868)&gt;0,"ISENÇÃO","SEM ISENÇÃO")</f>
        <v>SEM ISENÇÃO</v>
      </c>
      <c r="F1868" s="18" t="str">
        <f>IF(COUNTIF(REDUÇÕES!A:A,CST!B1868)&gt;0,"REDUÇÃO","NÃO REDUÇÃO")</f>
        <v>NÃO REDUÇÃO</v>
      </c>
      <c r="G1868" s="27">
        <f t="shared" si="48"/>
        <v>0</v>
      </c>
    </row>
    <row r="1869" spans="1:7" x14ac:dyDescent="0.25">
      <c r="A1869" s="120" t="str">
        <f>RIGHT(CSTABLE[[#This Row],[NomeNCM]],8)</f>
        <v>20029010</v>
      </c>
      <c r="B1869" s="123" t="s">
        <v>5751</v>
      </c>
      <c r="C1869" s="3" t="str">
        <f>IFERROR(VLOOKUP(B1869,ST!C:D,2,0),"NÃOST")</f>
        <v>NÃOST</v>
      </c>
      <c r="E1869" s="3" t="str">
        <f>IF(COUNTIF(ISENÇÕES!A:A,CST!B1869)&gt;0,"ISENÇÃO","SEM ISENÇÃO")</f>
        <v>SEM ISENÇÃO</v>
      </c>
      <c r="F1869" s="18" t="str">
        <f>IF(COUNTIF(REDUÇÕES!A:A,CST!B1869)&gt;0,"REDUÇÃO","NÃO REDUÇÃO")</f>
        <v>NÃO REDUÇÃO</v>
      </c>
      <c r="G1869" s="27">
        <f t="shared" si="48"/>
        <v>0</v>
      </c>
    </row>
    <row r="1870" spans="1:7" x14ac:dyDescent="0.25">
      <c r="A1870" s="120" t="str">
        <f>RIGHT(CSTABLE[[#This Row],[NomeNCM]],8)</f>
        <v>24039100</v>
      </c>
      <c r="B1870" s="123" t="s">
        <v>5748</v>
      </c>
      <c r="C1870" s="3" t="str">
        <f>IFERROR(VLOOKUP(B1870,ST!C:D,2,0),"NÃOST")</f>
        <v>ST</v>
      </c>
      <c r="E1870" s="3" t="str">
        <f>IF(COUNTIF(ISENÇÕES!A:A,CST!B1870)&gt;0,"ISENÇÃO","SEM ISENÇÃO")</f>
        <v>SEM ISENÇÃO</v>
      </c>
      <c r="F1870" s="18" t="str">
        <f>IF(COUNTIF(REDUÇÕES!A:A,CST!B1870)&gt;0,"REDUÇÃO","NÃO REDUÇÃO")</f>
        <v>NÃO REDUÇÃO</v>
      </c>
      <c r="G1870" s="27">
        <f t="shared" si="48"/>
        <v>60</v>
      </c>
    </row>
    <row r="1871" spans="1:7" x14ac:dyDescent="0.25">
      <c r="A1871" s="120" t="str">
        <f>RIGHT(CSTABLE[[#This Row],[NomeNCM]],8)</f>
        <v>32064290</v>
      </c>
      <c r="B1871" s="123" t="s">
        <v>4533</v>
      </c>
      <c r="C1871" s="3" t="str">
        <f>IFERROR(VLOOKUP(B1871,ST!C:D,2,0),"NÃOST")</f>
        <v>ST</v>
      </c>
      <c r="E1871" s="3" t="str">
        <f>IF(COUNTIF(ISENÇÕES!A:A,CST!B1871)&gt;0,"ISENÇÃO","SEM ISENÇÃO")</f>
        <v>SEM ISENÇÃO</v>
      </c>
      <c r="F1871" s="18" t="str">
        <f>IF(COUNTIF(REDUÇÕES!A:A,CST!B1871)&gt;0,"REDUÇÃO","NÃO REDUÇÃO")</f>
        <v>NÃO REDUÇÃO</v>
      </c>
      <c r="G1871" s="27">
        <f t="shared" si="48"/>
        <v>60</v>
      </c>
    </row>
    <row r="1872" spans="1:7" x14ac:dyDescent="0.25">
      <c r="A1872" s="120" t="str">
        <f>RIGHT(CSTABLE[[#This Row],[NomeNCM]],8)</f>
        <v>32129090</v>
      </c>
      <c r="B1872" s="123" t="s">
        <v>4543</v>
      </c>
      <c r="C1872" s="3" t="str">
        <f>IFERROR(VLOOKUP(B1872,ST!C:D,2,0),"NÃOST")</f>
        <v>ST</v>
      </c>
      <c r="E1872" s="3" t="str">
        <f>IF(COUNTIF(ISENÇÕES!A:A,CST!B1872)&gt;0,"ISENÇÃO","SEM ISENÇÃO")</f>
        <v>SEM ISENÇÃO</v>
      </c>
      <c r="F1872" s="18" t="str">
        <f>IF(COUNTIF(REDUÇÕES!A:A,CST!B1872)&gt;0,"REDUÇÃO","NÃO REDUÇÃO")</f>
        <v>NÃO REDUÇÃO</v>
      </c>
      <c r="G1872" s="27">
        <f t="shared" si="48"/>
        <v>60</v>
      </c>
    </row>
    <row r="1873" spans="1:7" x14ac:dyDescent="0.25">
      <c r="A1873" s="120" t="str">
        <f>RIGHT(CSTABLE[[#This Row],[NomeNCM]],8)</f>
        <v>38085029</v>
      </c>
      <c r="B1873" s="123" t="s">
        <v>5752</v>
      </c>
      <c r="C1873" s="3" t="str">
        <f>IFERROR(VLOOKUP(B1873,ST!C:D,2,0),"NÃOST")</f>
        <v>NÃOST</v>
      </c>
      <c r="E1873" s="3" t="str">
        <f>IF(COUNTIF(ISENÇÕES!A:A,CST!B1873)&gt;0,"ISENÇÃO","SEM ISENÇÃO")</f>
        <v>SEM ISENÇÃO</v>
      </c>
      <c r="F1873" s="18" t="str">
        <f>IF(COUNTIF(REDUÇÕES!A:A,CST!B1873)&gt;0,"REDUÇÃO","NÃO REDUÇÃO")</f>
        <v>NÃO REDUÇÃO</v>
      </c>
      <c r="G1873" s="27">
        <f t="shared" si="48"/>
        <v>0</v>
      </c>
    </row>
    <row r="1874" spans="1:7" x14ac:dyDescent="0.25">
      <c r="A1874" s="120" t="str">
        <f>RIGHT(CSTABLE[[#This Row],[NomeNCM]],8)</f>
        <v>39031900</v>
      </c>
      <c r="B1874" s="123" t="s">
        <v>5753</v>
      </c>
      <c r="C1874" s="3" t="str">
        <f>IFERROR(VLOOKUP(B1874,ST!C:D,2,0),"NÃOST")</f>
        <v>NÃOST</v>
      </c>
      <c r="E1874" s="3" t="str">
        <f>IF(COUNTIF(ISENÇÕES!A:A,CST!B1874)&gt;0,"ISENÇÃO","SEM ISENÇÃO")</f>
        <v>SEM ISENÇÃO</v>
      </c>
      <c r="F1874" s="18" t="str">
        <f>IF(COUNTIF(REDUÇÕES!A:A,CST!B1874)&gt;0,"REDUÇÃO","NÃO REDUÇÃO")</f>
        <v>NÃO REDUÇÃO</v>
      </c>
      <c r="G1874" s="27">
        <f t="shared" si="48"/>
        <v>0</v>
      </c>
    </row>
    <row r="1875" spans="1:7" x14ac:dyDescent="0.25">
      <c r="A1875" s="120" t="str">
        <f>RIGHT(CSTABLE[[#This Row],[NomeNCM]],8)</f>
        <v>39169010</v>
      </c>
      <c r="B1875" s="123" t="s">
        <v>5754</v>
      </c>
      <c r="C1875" s="3" t="str">
        <f>IFERROR(VLOOKUP(B1875,ST!C:D,2,0),"NÃOST")</f>
        <v>NÃOST</v>
      </c>
      <c r="E1875" s="3" t="str">
        <f>IF(COUNTIF(ISENÇÕES!A:A,CST!B1875)&gt;0,"ISENÇÃO","SEM ISENÇÃO")</f>
        <v>SEM ISENÇÃO</v>
      </c>
      <c r="F1875" s="18" t="str">
        <f>IF(COUNTIF(REDUÇÕES!A:A,CST!B1875)&gt;0,"REDUÇÃO","NÃO REDUÇÃO")</f>
        <v>NÃO REDUÇÃO</v>
      </c>
      <c r="G1875" s="27">
        <f t="shared" si="48"/>
        <v>0</v>
      </c>
    </row>
    <row r="1876" spans="1:7" x14ac:dyDescent="0.25">
      <c r="A1876" s="120" t="str">
        <f>RIGHT(CSTABLE[[#This Row],[NomeNCM]],8)</f>
        <v>39199010</v>
      </c>
      <c r="B1876" s="123" t="s">
        <v>5755</v>
      </c>
      <c r="C1876" s="3" t="str">
        <f>IFERROR(VLOOKUP(B1876,ST!C:D,2,0),"NÃOST")</f>
        <v>NÃOST</v>
      </c>
      <c r="E1876" s="3" t="str">
        <f>IF(COUNTIF(ISENÇÕES!A:A,CST!B1876)&gt;0,"ISENÇÃO","SEM ISENÇÃO")</f>
        <v>SEM ISENÇÃO</v>
      </c>
      <c r="F1876" s="18" t="str">
        <f>IF(COUNTIF(REDUÇÕES!A:A,CST!B1876)&gt;0,"REDUÇÃO","NÃO REDUÇÃO")</f>
        <v>NÃO REDUÇÃO</v>
      </c>
      <c r="G1876" s="27">
        <f t="shared" si="48"/>
        <v>0</v>
      </c>
    </row>
    <row r="1877" spans="1:7" x14ac:dyDescent="0.25">
      <c r="A1877" s="120" t="str">
        <f>RIGHT(CSTABLE[[#This Row],[NomeNCM]],8)</f>
        <v>40051090</v>
      </c>
      <c r="B1877" s="123" t="s">
        <v>5756</v>
      </c>
      <c r="C1877" s="3" t="str">
        <f>IFERROR(VLOOKUP(B1877,ST!C:D,2,0),"NÃOST")</f>
        <v>NÃOST</v>
      </c>
      <c r="E1877" s="3" t="str">
        <f>IF(COUNTIF(ISENÇÕES!A:A,CST!B1877)&gt;0,"ISENÇÃO","SEM ISENÇÃO")</f>
        <v>SEM ISENÇÃO</v>
      </c>
      <c r="F1877" s="18" t="str">
        <f>IF(COUNTIF(REDUÇÕES!A:A,CST!B1877)&gt;0,"REDUÇÃO","NÃO REDUÇÃO")</f>
        <v>NÃO REDUÇÃO</v>
      </c>
      <c r="G1877" s="27">
        <f t="shared" si="48"/>
        <v>0</v>
      </c>
    </row>
    <row r="1878" spans="1:7" x14ac:dyDescent="0.25">
      <c r="A1878" s="120" t="str">
        <f>RIGHT(CSTABLE[[#This Row],[NomeNCM]],8)</f>
        <v>54050000</v>
      </c>
      <c r="B1878" s="123" t="s">
        <v>5757</v>
      </c>
      <c r="C1878" s="3" t="str">
        <f>IFERROR(VLOOKUP(B1878,ST!C:D,2,0),"NÃOST")</f>
        <v>NÃOST</v>
      </c>
      <c r="E1878" s="3" t="str">
        <f>IF(COUNTIF(ISENÇÕES!A:A,CST!B1878)&gt;0,"ISENÇÃO","SEM ISENÇÃO")</f>
        <v>SEM ISENÇÃO</v>
      </c>
      <c r="F1878" s="18" t="str">
        <f>IF(COUNTIF(REDUÇÕES!A:A,CST!B1878)&gt;0,"REDUÇÃO","NÃO REDUÇÃO")</f>
        <v>NÃO REDUÇÃO</v>
      </c>
      <c r="G1878" s="27">
        <f t="shared" si="48"/>
        <v>0</v>
      </c>
    </row>
    <row r="1879" spans="1:7" x14ac:dyDescent="0.25">
      <c r="A1879" s="120" t="str">
        <f>RIGHT(CSTABLE[[#This Row],[NomeNCM]],8)</f>
        <v>56039340</v>
      </c>
      <c r="B1879" s="123" t="s">
        <v>5758</v>
      </c>
      <c r="C1879" s="3" t="str">
        <f>IFERROR(VLOOKUP(B1879,ST!C:D,2,0),"NÃOST")</f>
        <v>NÃOST</v>
      </c>
      <c r="E1879" s="3" t="str">
        <f>IF(COUNTIF(ISENÇÕES!A:A,CST!B1879)&gt;0,"ISENÇÃO","SEM ISENÇÃO")</f>
        <v>SEM ISENÇÃO</v>
      </c>
      <c r="F1879" s="18" t="str">
        <f>IF(COUNTIF(REDUÇÕES!A:A,CST!B1879)&gt;0,"REDUÇÃO","NÃO REDUÇÃO")</f>
        <v>NÃO REDUÇÃO</v>
      </c>
      <c r="G1879" s="27">
        <f t="shared" si="48"/>
        <v>0</v>
      </c>
    </row>
    <row r="1880" spans="1:7" x14ac:dyDescent="0.25">
      <c r="A1880" s="120" t="str">
        <f>RIGHT(CSTABLE[[#This Row],[NomeNCM]],8)</f>
        <v>56049090</v>
      </c>
      <c r="B1880" s="123" t="s">
        <v>5759</v>
      </c>
      <c r="C1880" s="3" t="str">
        <f>IFERROR(VLOOKUP(B1880,ST!C:D,2,0),"NÃOST")</f>
        <v>NÃOST</v>
      </c>
      <c r="E1880" s="3" t="str">
        <f>IF(COUNTIF(ISENÇÕES!A:A,CST!B1880)&gt;0,"ISENÇÃO","SEM ISENÇÃO")</f>
        <v>SEM ISENÇÃO</v>
      </c>
      <c r="F1880" s="18" t="str">
        <f>IF(COUNTIF(REDUÇÕES!A:A,CST!B1880)&gt;0,"REDUÇÃO","NÃO REDUÇÃO")</f>
        <v>NÃO REDUÇÃO</v>
      </c>
      <c r="G1880" s="27">
        <f t="shared" si="48"/>
        <v>0</v>
      </c>
    </row>
    <row r="1881" spans="1:7" x14ac:dyDescent="0.25">
      <c r="A1881" s="120" t="str">
        <f>RIGHT(CSTABLE[[#This Row],[NomeNCM]],8)</f>
        <v>58064000</v>
      </c>
      <c r="B1881" s="123" t="s">
        <v>5760</v>
      </c>
      <c r="C1881" s="3" t="str">
        <f>IFERROR(VLOOKUP(B1881,ST!C:D,2,0),"NÃOST")</f>
        <v>NÃOST</v>
      </c>
      <c r="E1881" s="3" t="str">
        <f>IF(COUNTIF(ISENÇÕES!A:A,CST!B1881)&gt;0,"ISENÇÃO","SEM ISENÇÃO")</f>
        <v>SEM ISENÇÃO</v>
      </c>
      <c r="F1881" s="18" t="str">
        <f>IF(COUNTIF(REDUÇÕES!A:A,CST!B1881)&gt;0,"REDUÇÃO","NÃO REDUÇÃO")</f>
        <v>NÃO REDUÇÃO</v>
      </c>
      <c r="G1881" s="27">
        <f t="shared" si="48"/>
        <v>0</v>
      </c>
    </row>
    <row r="1882" spans="1:7" x14ac:dyDescent="0.25">
      <c r="A1882" s="120" t="str">
        <f>RIGHT(CSTABLE[[#This Row],[NomeNCM]],8)</f>
        <v>61071900</v>
      </c>
      <c r="B1882" s="123" t="s">
        <v>5761</v>
      </c>
      <c r="C1882" s="3" t="str">
        <f>IFERROR(VLOOKUP(B1882,ST!C:D,2,0),"NÃOST")</f>
        <v>NÃOST</v>
      </c>
      <c r="E1882" s="3" t="str">
        <f>IF(COUNTIF(ISENÇÕES!A:A,CST!B1882)&gt;0,"ISENÇÃO","SEM ISENÇÃO")</f>
        <v>SEM ISENÇÃO</v>
      </c>
      <c r="F1882" s="18" t="str">
        <f>IF(COUNTIF(REDUÇÕES!A:A,CST!B1882)&gt;0,"REDUÇÃO","NÃO REDUÇÃO")</f>
        <v>NÃO REDUÇÃO</v>
      </c>
      <c r="G1882" s="27">
        <f t="shared" si="48"/>
        <v>0</v>
      </c>
    </row>
    <row r="1883" spans="1:7" x14ac:dyDescent="0.25">
      <c r="A1883" s="120" t="str">
        <f>RIGHT(CSTABLE[[#This Row],[NomeNCM]],8)</f>
        <v>61082900</v>
      </c>
      <c r="B1883" s="123" t="s">
        <v>5762</v>
      </c>
      <c r="C1883" s="3" t="str">
        <f>IFERROR(VLOOKUP(B1883,ST!C:D,2,0),"NÃOST")</f>
        <v>NÃOST</v>
      </c>
      <c r="E1883" s="3" t="str">
        <f>IF(COUNTIF(ISENÇÕES!A:A,CST!B1883)&gt;0,"ISENÇÃO","SEM ISENÇÃO")</f>
        <v>SEM ISENÇÃO</v>
      </c>
      <c r="F1883" s="18" t="str">
        <f>IF(COUNTIF(REDUÇÕES!A:A,CST!B1883)&gt;0,"REDUÇÃO","NÃO REDUÇÃO")</f>
        <v>NÃO REDUÇÃO</v>
      </c>
      <c r="G1883" s="27">
        <f t="shared" si="48"/>
        <v>0</v>
      </c>
    </row>
    <row r="1884" spans="1:7" x14ac:dyDescent="0.25">
      <c r="A1884" s="120" t="str">
        <f>RIGHT(CSTABLE[[#This Row],[NomeNCM]],8)</f>
        <v>61169200</v>
      </c>
      <c r="B1884" s="123" t="s">
        <v>5763</v>
      </c>
      <c r="C1884" s="3" t="str">
        <f>IFERROR(VLOOKUP(B1884,ST!C:D,2,0),"NÃOST")</f>
        <v>NÃOST</v>
      </c>
      <c r="E1884" s="3" t="str">
        <f>IF(COUNTIF(ISENÇÕES!A:A,CST!B1884)&gt;0,"ISENÇÃO","SEM ISENÇÃO")</f>
        <v>SEM ISENÇÃO</v>
      </c>
      <c r="F1884" s="18" t="str">
        <f>IF(COUNTIF(REDUÇÕES!A:A,CST!B1884)&gt;0,"REDUÇÃO","NÃO REDUÇÃO")</f>
        <v>NÃO REDUÇÃO</v>
      </c>
      <c r="G1884" s="27">
        <f t="shared" si="48"/>
        <v>0</v>
      </c>
    </row>
    <row r="1885" spans="1:7" x14ac:dyDescent="0.25">
      <c r="A1885" s="120" t="str">
        <f>RIGHT(CSTABLE[[#This Row],[NomeNCM]],8)</f>
        <v>64051090</v>
      </c>
      <c r="B1885" s="123" t="s">
        <v>5764</v>
      </c>
      <c r="C1885" s="3" t="str">
        <f>IFERROR(VLOOKUP(B1885,ST!C:D,2,0),"NÃOST")</f>
        <v>NÃOST</v>
      </c>
      <c r="E1885" s="3" t="str">
        <f>IF(COUNTIF(ISENÇÕES!A:A,CST!B1885)&gt;0,"ISENÇÃO","SEM ISENÇÃO")</f>
        <v>SEM ISENÇÃO</v>
      </c>
      <c r="F1885" s="18" t="str">
        <f>IF(COUNTIF(REDUÇÕES!A:A,CST!B1885)&gt;0,"REDUÇÃO","NÃO REDUÇÃO")</f>
        <v>NÃO REDUÇÃO</v>
      </c>
      <c r="G1885" s="27">
        <f t="shared" si="48"/>
        <v>0</v>
      </c>
    </row>
    <row r="1886" spans="1:7" x14ac:dyDescent="0.25">
      <c r="A1886" s="120" t="str">
        <f>RIGHT(CSTABLE[[#This Row],[NomeNCM]],8)</f>
        <v>65050039</v>
      </c>
      <c r="B1886" s="123" t="s">
        <v>5765</v>
      </c>
      <c r="C1886" s="3" t="str">
        <f>IFERROR(VLOOKUP(B1886,ST!C:D,2,0),"NÃOST")</f>
        <v>NÃOST</v>
      </c>
      <c r="E1886" s="3" t="str">
        <f>IF(COUNTIF(ISENÇÕES!A:A,CST!B1886)&gt;0,"ISENÇÃO","SEM ISENÇÃO")</f>
        <v>SEM ISENÇÃO</v>
      </c>
      <c r="F1886" s="18" t="str">
        <f>IF(COUNTIF(REDUÇÕES!A:A,CST!B1886)&gt;0,"REDUÇÃO","NÃO REDUÇÃO")</f>
        <v>NÃO REDUÇÃO</v>
      </c>
      <c r="G1886" s="27">
        <f t="shared" si="48"/>
        <v>0</v>
      </c>
    </row>
    <row r="1887" spans="1:7" x14ac:dyDescent="0.25">
      <c r="A1887" s="120" t="str">
        <f>RIGHT(CSTABLE[[#This Row],[NomeNCM]],8)</f>
        <v>68042211</v>
      </c>
      <c r="B1887" s="123" t="s">
        <v>5766</v>
      </c>
      <c r="C1887" s="3" t="str">
        <f>IFERROR(VLOOKUP(B1887,ST!C:D,2,0),"NÃOST")</f>
        <v>NÃOST</v>
      </c>
      <c r="E1887" s="3" t="str">
        <f>IF(COUNTIF(ISENÇÕES!A:A,CST!B1887)&gt;0,"ISENÇÃO","SEM ISENÇÃO")</f>
        <v>SEM ISENÇÃO</v>
      </c>
      <c r="F1887" s="18" t="str">
        <f>IF(COUNTIF(REDUÇÕES!A:A,CST!B1887)&gt;0,"REDUÇÃO","NÃO REDUÇÃO")</f>
        <v>NÃO REDUÇÃO</v>
      </c>
      <c r="G1887" s="27">
        <f t="shared" si="48"/>
        <v>0</v>
      </c>
    </row>
    <row r="1888" spans="1:7" x14ac:dyDescent="0.25">
      <c r="A1888" s="120" t="str">
        <f>RIGHT(CSTABLE[[#This Row],[NomeNCM]],8)</f>
        <v>68051000</v>
      </c>
      <c r="B1888" s="123" t="s">
        <v>5767</v>
      </c>
      <c r="C1888" s="3" t="str">
        <f>IFERROR(VLOOKUP(B1888,ST!C:D,2,0),"NÃOST")</f>
        <v>NÃOST</v>
      </c>
      <c r="E1888" s="3" t="str">
        <f>IF(COUNTIF(ISENÇÕES!A:A,CST!B1888)&gt;0,"ISENÇÃO","SEM ISENÇÃO")</f>
        <v>SEM ISENÇÃO</v>
      </c>
      <c r="F1888" s="18" t="str">
        <f>IF(COUNTIF(REDUÇÕES!A:A,CST!B1888)&gt;0,"REDUÇÃO","NÃO REDUÇÃO")</f>
        <v>NÃO REDUÇÃO</v>
      </c>
      <c r="G1888" s="27">
        <f t="shared" si="48"/>
        <v>0</v>
      </c>
    </row>
    <row r="1889" spans="1:7" x14ac:dyDescent="0.25">
      <c r="A1889" s="120" t="str">
        <f>RIGHT(CSTABLE[[#This Row],[NomeNCM]],8)</f>
        <v>68053020</v>
      </c>
      <c r="B1889" s="123" t="s">
        <v>5768</v>
      </c>
      <c r="C1889" s="3" t="str">
        <f>IFERROR(VLOOKUP(B1889,ST!C:D,2,0),"NÃOST")</f>
        <v>NÃOST</v>
      </c>
      <c r="E1889" s="3" t="str">
        <f>IF(COUNTIF(ISENÇÕES!A:A,CST!B1889)&gt;0,"ISENÇÃO","SEM ISENÇÃO")</f>
        <v>SEM ISENÇÃO</v>
      </c>
      <c r="F1889" s="18" t="str">
        <f>IF(COUNTIF(REDUÇÕES!A:A,CST!B1889)&gt;0,"REDUÇÃO","NÃO REDUÇÃO")</f>
        <v>NÃO REDUÇÃO</v>
      </c>
      <c r="G1889" s="27">
        <f t="shared" si="48"/>
        <v>0</v>
      </c>
    </row>
    <row r="1890" spans="1:7" x14ac:dyDescent="0.25">
      <c r="A1890" s="120" t="str">
        <f>RIGHT(CSTABLE[[#This Row],[NomeNCM]],8)</f>
        <v>73130000</v>
      </c>
      <c r="B1890" s="123" t="s">
        <v>5769</v>
      </c>
      <c r="C1890" s="3" t="str">
        <f>IFERROR(VLOOKUP(B1890,ST!C:D,2,0),"NÃOST")</f>
        <v>NÃOST</v>
      </c>
      <c r="E1890" s="3" t="str">
        <f>IF(COUNTIF(ISENÇÕES!A:A,CST!B1890)&gt;0,"ISENÇÃO","SEM ISENÇÃO")</f>
        <v>SEM ISENÇÃO</v>
      </c>
      <c r="F1890" s="18" t="str">
        <f>IF(COUNTIF(REDUÇÕES!A:A,CST!B1890)&gt;0,"REDUÇÃO","NÃO REDUÇÃO")</f>
        <v>NÃO REDUÇÃO</v>
      </c>
      <c r="G1890" s="27">
        <f t="shared" si="48"/>
        <v>0</v>
      </c>
    </row>
    <row r="1891" spans="1:7" x14ac:dyDescent="0.25">
      <c r="A1891" s="120" t="str">
        <f>RIGHT(CSTABLE[[#This Row],[NomeNCM]],8)</f>
        <v>80012000</v>
      </c>
      <c r="B1891" s="123" t="s">
        <v>5770</v>
      </c>
      <c r="C1891" s="3" t="str">
        <f>IFERROR(VLOOKUP(B1891,ST!C:D,2,0),"NÃOST")</f>
        <v>NÃOST</v>
      </c>
      <c r="E1891" s="3" t="str">
        <f>IF(COUNTIF(ISENÇÕES!A:A,CST!B1891)&gt;0,"ISENÇÃO","SEM ISENÇÃO")</f>
        <v>SEM ISENÇÃO</v>
      </c>
      <c r="F1891" s="18" t="str">
        <f>IF(COUNTIF(REDUÇÕES!A:A,CST!B1891)&gt;0,"REDUÇÃO","NÃO REDUÇÃO")</f>
        <v>NÃO REDUÇÃO</v>
      </c>
      <c r="G1891" s="27">
        <f t="shared" si="48"/>
        <v>0</v>
      </c>
    </row>
    <row r="1892" spans="1:7" x14ac:dyDescent="0.25">
      <c r="A1892" s="120" t="str">
        <f>RIGHT(CSTABLE[[#This Row],[NomeNCM]],8)</f>
        <v>82021000</v>
      </c>
      <c r="B1892" s="123" t="s">
        <v>5771</v>
      </c>
      <c r="C1892" s="3" t="str">
        <f>IFERROR(VLOOKUP(B1892,ST!C:D,2,0),"NÃOST")</f>
        <v>NÃOST</v>
      </c>
      <c r="E1892" s="3" t="str">
        <f>IF(COUNTIF(ISENÇÕES!A:A,CST!B1892)&gt;0,"ISENÇÃO","SEM ISENÇÃO")</f>
        <v>SEM ISENÇÃO</v>
      </c>
      <c r="F1892" s="18" t="str">
        <f>IF(COUNTIF(REDUÇÕES!A:A,CST!B1892)&gt;0,"REDUÇÃO","NÃO REDUÇÃO")</f>
        <v>NÃO REDUÇÃO</v>
      </c>
      <c r="G1892" s="27">
        <f t="shared" si="48"/>
        <v>0</v>
      </c>
    </row>
    <row r="1893" spans="1:7" x14ac:dyDescent="0.25">
      <c r="A1893" s="120" t="str">
        <f>RIGHT(CSTABLE[[#This Row],[NomeNCM]],8)</f>
        <v>84189900</v>
      </c>
      <c r="B1893" s="123" t="s">
        <v>5772</v>
      </c>
      <c r="C1893" s="3" t="str">
        <f>IFERROR(VLOOKUP(B1893,ST!C:D,2,0),"NÃOST")</f>
        <v>NÃOST</v>
      </c>
      <c r="E1893" s="3" t="str">
        <f>IF(COUNTIF(ISENÇÕES!A:A,CST!B1893)&gt;0,"ISENÇÃO","SEM ISENÇÃO")</f>
        <v>SEM ISENÇÃO</v>
      </c>
      <c r="F1893" s="18" t="str">
        <f>IF(COUNTIF(REDUÇÕES!A:A,CST!B1893)&gt;0,"REDUÇÃO","NÃO REDUÇÃO")</f>
        <v>NÃO REDUÇÃO</v>
      </c>
      <c r="G1893" s="27">
        <f t="shared" si="48"/>
        <v>0</v>
      </c>
    </row>
    <row r="1894" spans="1:7" x14ac:dyDescent="0.25">
      <c r="A1894" s="120" t="str">
        <f>RIGHT(CSTABLE[[#This Row],[NomeNCM]],8)</f>
        <v>85099000</v>
      </c>
      <c r="B1894" s="123" t="s">
        <v>5773</v>
      </c>
      <c r="C1894" s="3" t="str">
        <f>IFERROR(VLOOKUP(B1894,ST!C:D,2,0),"NÃOST")</f>
        <v>NÃOST</v>
      </c>
      <c r="E1894" s="3" t="str">
        <f>IF(COUNTIF(ISENÇÕES!A:A,CST!B1894)&gt;0,"ISENÇÃO","SEM ISENÇÃO")</f>
        <v>SEM ISENÇÃO</v>
      </c>
      <c r="F1894" s="18" t="str">
        <f>IF(COUNTIF(REDUÇÕES!A:A,CST!B1894)&gt;0,"REDUÇÃO","NÃO REDUÇÃO")</f>
        <v>NÃO REDUÇÃO</v>
      </c>
      <c r="G1894" s="27">
        <f t="shared" si="48"/>
        <v>0</v>
      </c>
    </row>
    <row r="1895" spans="1:7" x14ac:dyDescent="0.25">
      <c r="A1895" s="120" t="str">
        <f>RIGHT(CSTABLE[[#This Row],[NomeNCM]],8)</f>
        <v>96020020</v>
      </c>
      <c r="B1895" s="123" t="s">
        <v>5774</v>
      </c>
      <c r="C1895" s="49" t="str">
        <f>IFERROR(VLOOKUP(B1895,ST!C:D,2,0),"NÃOST")</f>
        <v>NÃOST</v>
      </c>
      <c r="E1895" s="49" t="str">
        <f>IF(COUNTIF(ISENÇÕES!A:A,CST!B1895)&gt;0,"ISENÇÃO","SEM ISENÇÃO")</f>
        <v>SEM ISENÇÃO</v>
      </c>
      <c r="F1895" s="50" t="str">
        <f>IF(COUNTIF(REDUÇÕES!A:A,CST!B1895)&gt;0,"REDUÇÃO","NÃO REDUÇÃO")</f>
        <v>NÃO REDUÇÃO</v>
      </c>
      <c r="G1895" s="51">
        <f t="shared" si="48"/>
        <v>0</v>
      </c>
    </row>
    <row r="1896" spans="1:7" x14ac:dyDescent="0.25">
      <c r="A1896" s="120" t="str">
        <f>RIGHT(CSTABLE[[#This Row],[NomeNCM]],8)</f>
        <v>54060020</v>
      </c>
      <c r="B1896" s="123" t="s">
        <v>5778</v>
      </c>
      <c r="C1896" s="3" t="str">
        <f>IFERROR(VLOOKUP(B1896,ST!C:D,2,0),"NÃOST")</f>
        <v>NÃOST</v>
      </c>
      <c r="E1896" s="3" t="str">
        <f>IF(COUNTIF(ISENÇÕES!A:A,CST!B1896)&gt;0,"ISENÇÃO","SEM ISENÇÃO")</f>
        <v>SEM ISENÇÃO</v>
      </c>
      <c r="F1896" s="18" t="str">
        <f>IF(COUNTIF(REDUÇÕES!A:A,CST!B1896)&gt;0,"REDUÇÃO","NÃO REDUÇÃO")</f>
        <v>NÃO REDUÇÃO</v>
      </c>
      <c r="G1896" s="27">
        <f>VLOOKUP(C1896&amp;F1896&amp;E1896,$B$3:$F$10,5,0)</f>
        <v>0</v>
      </c>
    </row>
    <row r="1897" spans="1:7" x14ac:dyDescent="0.25">
      <c r="A1897" s="120" t="str">
        <f>RIGHT(CSTABLE[[#This Row],[NomeNCM]],8)</f>
        <v>73071910</v>
      </c>
      <c r="B1897" s="123" t="s">
        <v>5779</v>
      </c>
      <c r="C1897" s="3" t="str">
        <f>IFERROR(VLOOKUP(B1897,ST!C:D,2,0),"NÃOST")</f>
        <v>NÃOST</v>
      </c>
      <c r="E1897" s="3" t="str">
        <f>IF(COUNTIF(ISENÇÕES!A:A,CST!B1897)&gt;0,"ISENÇÃO","SEM ISENÇÃO")</f>
        <v>SEM ISENÇÃO</v>
      </c>
      <c r="F1897" s="18" t="str">
        <f>IF(COUNTIF(REDUÇÕES!A:A,CST!B1897)&gt;0,"REDUÇÃO","NÃO REDUÇÃO")</f>
        <v>NÃO REDUÇÃO</v>
      </c>
      <c r="G1897" s="27">
        <f>VLOOKUP(C1897&amp;F1897&amp;E1897,$B$3:$F$10,5,0)</f>
        <v>0</v>
      </c>
    </row>
    <row r="1898" spans="1:7" x14ac:dyDescent="0.25">
      <c r="A1898" s="120" t="str">
        <f>RIGHT(CSTABLE[[#This Row],[NomeNCM]],8)</f>
        <v>59080000</v>
      </c>
      <c r="B1898" s="123" t="s">
        <v>5780</v>
      </c>
      <c r="C1898" s="3" t="str">
        <f>IFERROR(VLOOKUP(B1898,ST!C:D,2,0),"NÃOST")</f>
        <v>NÃOST</v>
      </c>
      <c r="E1898" s="3" t="str">
        <f>IF(COUNTIF(ISENÇÕES!A:A,CST!B1898)&gt;0,"ISENÇÃO","SEM ISENÇÃO")</f>
        <v>SEM ISENÇÃO</v>
      </c>
      <c r="F1898" s="18" t="str">
        <f>IF(COUNTIF(REDUÇÕES!A:A,CST!B1898)&gt;0,"REDUÇÃO","NÃO REDUÇÃO")</f>
        <v>NÃO REDUÇÃO</v>
      </c>
      <c r="G1898" s="27">
        <f>VLOOKUP(C1898&amp;F1898&amp;E1898,$B$3:$F$10,5,0)</f>
        <v>0</v>
      </c>
    </row>
    <row r="1899" spans="1:7" x14ac:dyDescent="0.25">
      <c r="A1899" s="120" t="str">
        <f>RIGHT(CSTABLE[[#This Row],[NomeNCM]],8)</f>
        <v>49089000</v>
      </c>
      <c r="B1899" s="123" t="s">
        <v>5781</v>
      </c>
      <c r="C1899" s="49" t="str">
        <f>IFERROR(VLOOKUP(B1899,ST!C:D,2,0),"NÃOST")</f>
        <v>NÃOST</v>
      </c>
      <c r="E1899" s="49" t="str">
        <f>IF(COUNTIF(ISENÇÕES!A:A,CST!B1899)&gt;0,"ISENÇÃO","SEM ISENÇÃO")</f>
        <v>SEM ISENÇÃO</v>
      </c>
      <c r="F1899" s="50" t="str">
        <f>IF(COUNTIF(REDUÇÕES!A:A,CST!B1899)&gt;0,"REDUÇÃO","NÃO REDUÇÃO")</f>
        <v>NÃO REDUÇÃO</v>
      </c>
      <c r="G1899" s="51">
        <f>VLOOKUP(C1899&amp;F1899&amp;E1899,$B$3:$F$10,5,0)</f>
        <v>0</v>
      </c>
    </row>
    <row r="1900" spans="1:7" x14ac:dyDescent="0.25">
      <c r="A1900" s="120" t="str">
        <f>RIGHT(CSTABLE[[#This Row],[NomeNCM]],8)</f>
        <v>03079200</v>
      </c>
      <c r="B1900" s="123" t="s">
        <v>3555</v>
      </c>
      <c r="C1900" s="3" t="str">
        <f>IFERROR(VLOOKUP(B1900,ST!C:D,2,0),"NÃOST")</f>
        <v>NÃOST</v>
      </c>
      <c r="E1900" s="3" t="str">
        <f>IF(COUNTIF(ISENÇÕES!A:A,CST!B1900)&gt;0,"ISENÇÃO","SEM ISENÇÃO")</f>
        <v>SEM ISENÇÃO</v>
      </c>
      <c r="F1900" s="18" t="str">
        <f>IF(COUNTIF(REDUÇÕES!A:A,CST!B1900)&gt;0,"REDUÇÃO","NÃO REDUÇÃO")</f>
        <v>NÃO REDUÇÃO</v>
      </c>
      <c r="G1900" s="27">
        <f t="shared" ref="G1900:G1910" si="49">VLOOKUP(C1900&amp;F1900&amp;E1900,$B$3:$F$10,5,0)</f>
        <v>0</v>
      </c>
    </row>
    <row r="1901" spans="1:7" x14ac:dyDescent="0.25">
      <c r="A1901" s="120" t="str">
        <f>RIGHT(CSTABLE[[#This Row],[NomeNCM]],8)</f>
        <v>12130000</v>
      </c>
      <c r="B1901" s="123" t="s">
        <v>5782</v>
      </c>
      <c r="C1901" s="3" t="str">
        <f>IFERROR(VLOOKUP(B1901,ST!C:D,2,0),"NÃOST")</f>
        <v>NÃOST</v>
      </c>
      <c r="E1901" s="3" t="str">
        <f>IF(COUNTIF(ISENÇÕES!A:A,CST!B1901)&gt;0,"ISENÇÃO","SEM ISENÇÃO")</f>
        <v>SEM ISENÇÃO</v>
      </c>
      <c r="F1901" s="18" t="str">
        <f>IF(COUNTIF(REDUÇÕES!A:A,CST!B1901)&gt;0,"REDUÇÃO","NÃO REDUÇÃO")</f>
        <v>NÃO REDUÇÃO</v>
      </c>
      <c r="G1901" s="27">
        <f t="shared" si="49"/>
        <v>0</v>
      </c>
    </row>
    <row r="1902" spans="1:7" x14ac:dyDescent="0.25">
      <c r="A1902" s="120" t="str">
        <f>RIGHT(CSTABLE[[#This Row],[NomeNCM]],8)</f>
        <v>34070020</v>
      </c>
      <c r="B1902" s="123" t="s">
        <v>5783</v>
      </c>
      <c r="C1902" s="3" t="str">
        <f>IFERROR(VLOOKUP(B1902,ST!C:D,2,0),"NÃOST")</f>
        <v>NÃOST</v>
      </c>
      <c r="E1902" s="3" t="str">
        <f>IF(COUNTIF(ISENÇÕES!A:A,CST!B1902)&gt;0,"ISENÇÃO","SEM ISENÇÃO")</f>
        <v>SEM ISENÇÃO</v>
      </c>
      <c r="F1902" s="18" t="str">
        <f>IF(COUNTIF(REDUÇÕES!A:A,CST!B1902)&gt;0,"REDUÇÃO","NÃO REDUÇÃO")</f>
        <v>NÃO REDUÇÃO</v>
      </c>
      <c r="G1902" s="27">
        <f t="shared" si="49"/>
        <v>0</v>
      </c>
    </row>
    <row r="1903" spans="1:7" x14ac:dyDescent="0.25">
      <c r="A1903" s="120" t="str">
        <f>RIGHT(CSTABLE[[#This Row],[NomeNCM]],8)</f>
        <v>39233090</v>
      </c>
      <c r="B1903" s="123" t="s">
        <v>5784</v>
      </c>
      <c r="C1903" s="3" t="str">
        <f>IFERROR(VLOOKUP(B1903,ST!C:D,2,0),"NÃOST")</f>
        <v>NÃOST</v>
      </c>
      <c r="E1903" s="3" t="str">
        <f>IF(COUNTIF(ISENÇÕES!A:A,CST!B1903)&gt;0,"ISENÇÃO","SEM ISENÇÃO")</f>
        <v>SEM ISENÇÃO</v>
      </c>
      <c r="F1903" s="18" t="str">
        <f>IF(COUNTIF(REDUÇÕES!A:A,CST!B1903)&gt;0,"REDUÇÃO","NÃO REDUÇÃO")</f>
        <v>NÃO REDUÇÃO</v>
      </c>
      <c r="G1903" s="27">
        <f t="shared" si="49"/>
        <v>0</v>
      </c>
    </row>
    <row r="1904" spans="1:7" x14ac:dyDescent="0.25">
      <c r="A1904" s="120" t="str">
        <f>RIGHT(CSTABLE[[#This Row],[NomeNCM]],8)</f>
        <v>46019900</v>
      </c>
      <c r="B1904" s="123" t="s">
        <v>5785</v>
      </c>
      <c r="C1904" s="3" t="str">
        <f>IFERROR(VLOOKUP(B1904,ST!C:D,2,0),"NÃOST")</f>
        <v>NÃOST</v>
      </c>
      <c r="E1904" s="3" t="str">
        <f>IF(COUNTIF(ISENÇÕES!A:A,CST!B1904)&gt;0,"ISENÇÃO","SEM ISENÇÃO")</f>
        <v>SEM ISENÇÃO</v>
      </c>
      <c r="F1904" s="18" t="str">
        <f>IF(COUNTIF(REDUÇÕES!A:A,CST!B1904)&gt;0,"REDUÇÃO","NÃO REDUÇÃO")</f>
        <v>NÃO REDUÇÃO</v>
      </c>
      <c r="G1904" s="27">
        <f t="shared" si="49"/>
        <v>0</v>
      </c>
    </row>
    <row r="1905" spans="1:7" x14ac:dyDescent="0.25">
      <c r="A1905" s="120" t="str">
        <f>RIGHT(CSTABLE[[#This Row],[NomeNCM]],8)</f>
        <v>48130000</v>
      </c>
      <c r="B1905" s="123" t="s">
        <v>5786</v>
      </c>
      <c r="C1905" s="3" t="str">
        <f>IFERROR(VLOOKUP(B1905,ST!C:D,2,0),"NÃOST")</f>
        <v>NÃOST</v>
      </c>
      <c r="E1905" s="3" t="str">
        <f>IF(COUNTIF(ISENÇÕES!A:A,CST!B1905)&gt;0,"ISENÇÃO","SEM ISENÇÃO")</f>
        <v>SEM ISENÇÃO</v>
      </c>
      <c r="F1905" s="18" t="str">
        <f>IF(COUNTIF(REDUÇÕES!A:A,CST!B1905)&gt;0,"REDUÇÃO","NÃO REDUÇÃO")</f>
        <v>NÃO REDUÇÃO</v>
      </c>
      <c r="G1905" s="27">
        <f t="shared" si="49"/>
        <v>0</v>
      </c>
    </row>
    <row r="1906" spans="1:7" x14ac:dyDescent="0.25">
      <c r="A1906" s="120" t="str">
        <f>RIGHT(CSTABLE[[#This Row],[NomeNCM]],8)</f>
        <v>76011000</v>
      </c>
      <c r="B1906" s="123" t="s">
        <v>5787</v>
      </c>
      <c r="C1906" s="3" t="str">
        <f>IFERROR(VLOOKUP(B1906,ST!C:D,2,0),"NÃOST")</f>
        <v>NÃOST</v>
      </c>
      <c r="E1906" s="3" t="str">
        <f>IF(COUNTIF(ISENÇÕES!A:A,CST!B1906)&gt;0,"ISENÇÃO","SEM ISENÇÃO")</f>
        <v>SEM ISENÇÃO</v>
      </c>
      <c r="F1906" s="18" t="str">
        <f>IF(COUNTIF(REDUÇÕES!A:A,CST!B1906)&gt;0,"REDUÇÃO","NÃO REDUÇÃO")</f>
        <v>NÃO REDUÇÃO</v>
      </c>
      <c r="G1906" s="27">
        <f t="shared" si="49"/>
        <v>0</v>
      </c>
    </row>
    <row r="1907" spans="1:7" x14ac:dyDescent="0.25">
      <c r="A1907" s="120" t="str">
        <f>RIGHT(CSTABLE[[#This Row],[NomeNCM]],8)</f>
        <v>82060000</v>
      </c>
      <c r="B1907" s="123" t="s">
        <v>5788</v>
      </c>
      <c r="C1907" s="3" t="str">
        <f>IFERROR(VLOOKUP(B1907,ST!C:D,2,0),"NÃOST")</f>
        <v>NÃOST</v>
      </c>
      <c r="E1907" s="3" t="str">
        <f>IF(COUNTIF(ISENÇÕES!A:A,CST!B1907)&gt;0,"ISENÇÃO","SEM ISENÇÃO")</f>
        <v>SEM ISENÇÃO</v>
      </c>
      <c r="F1907" s="18" t="str">
        <f>IF(COUNTIF(REDUÇÕES!A:A,CST!B1907)&gt;0,"REDUÇÃO","NÃO REDUÇÃO")</f>
        <v>NÃO REDUÇÃO</v>
      </c>
      <c r="G1907" s="27">
        <f t="shared" si="49"/>
        <v>0</v>
      </c>
    </row>
    <row r="1908" spans="1:7" x14ac:dyDescent="0.25">
      <c r="A1908" s="120" t="str">
        <f>RIGHT(CSTABLE[[#This Row],[NomeNCM]],8)</f>
        <v>82121010</v>
      </c>
      <c r="B1908" s="123" t="s">
        <v>5789</v>
      </c>
      <c r="C1908" s="3" t="str">
        <f>IFERROR(VLOOKUP(B1908,ST!C:D,2,0),"NÃOST")</f>
        <v>NÃOST</v>
      </c>
      <c r="E1908" s="3" t="str">
        <f>IF(COUNTIF(ISENÇÕES!A:A,CST!B1908)&gt;0,"ISENÇÃO","SEM ISENÇÃO")</f>
        <v>SEM ISENÇÃO</v>
      </c>
      <c r="F1908" s="18" t="str">
        <f>IF(COUNTIF(REDUÇÕES!A:A,CST!B1908)&gt;0,"REDUÇÃO","NÃO REDUÇÃO")</f>
        <v>NÃO REDUÇÃO</v>
      </c>
      <c r="G1908" s="27">
        <f t="shared" si="49"/>
        <v>0</v>
      </c>
    </row>
    <row r="1909" spans="1:7" x14ac:dyDescent="0.25">
      <c r="A1909" s="120" t="str">
        <f>RIGHT(CSTABLE[[#This Row],[NomeNCM]],8)</f>
        <v>84244900</v>
      </c>
      <c r="B1909" s="123" t="s">
        <v>3566</v>
      </c>
      <c r="C1909" s="3" t="str">
        <f>IFERROR(VLOOKUP(B1909,ST!C:D,2,0),"NÃOST")</f>
        <v>NÃOST</v>
      </c>
      <c r="E1909" s="3" t="str">
        <f>IF(COUNTIF(ISENÇÕES!A:A,CST!B1909)&gt;0,"ISENÇÃO","SEM ISENÇÃO")</f>
        <v>SEM ISENÇÃO</v>
      </c>
      <c r="F1909" s="18" t="str">
        <f>IF(COUNTIF(REDUÇÕES!A:A,CST!B1909)&gt;0,"REDUÇÃO","NÃO REDUÇÃO")</f>
        <v>REDUÇÃO</v>
      </c>
      <c r="G1909" s="27">
        <f t="shared" si="49"/>
        <v>20</v>
      </c>
    </row>
    <row r="1910" spans="1:7" x14ac:dyDescent="0.25">
      <c r="A1910" s="120" t="str">
        <f>RIGHT(CSTABLE[[#This Row],[NomeNCM]],8)</f>
        <v>85121000</v>
      </c>
      <c r="B1910" s="123" t="s">
        <v>5790</v>
      </c>
      <c r="C1910" s="49" t="str">
        <f>IFERROR(VLOOKUP(B1910,ST!C:D,2,0),"NÃOST")</f>
        <v>NÃOST</v>
      </c>
      <c r="E1910" s="49" t="str">
        <f>IF(COUNTIF(ISENÇÕES!A:A,CST!B1910)&gt;0,"ISENÇÃO","SEM ISENÇÃO")</f>
        <v>SEM ISENÇÃO</v>
      </c>
      <c r="F1910" s="50" t="str">
        <f>IF(COUNTIF(REDUÇÕES!A:A,CST!B1910)&gt;0,"REDUÇÃO","NÃO REDUÇÃO")</f>
        <v>NÃO REDUÇÃO</v>
      </c>
      <c r="G1910" s="51">
        <f t="shared" si="49"/>
        <v>0</v>
      </c>
    </row>
    <row r="1911" spans="1:7" x14ac:dyDescent="0.25">
      <c r="A1911" s="120" t="str">
        <f>RIGHT(CSTABLE[[#This Row],[NomeNCM]],8)</f>
        <v>44129900</v>
      </c>
      <c r="B1911" s="196" t="s">
        <v>5791</v>
      </c>
      <c r="C1911" s="49" t="str">
        <f>IFERROR(VLOOKUP(B1911,ST!C:D,2,0),"NÃOST")</f>
        <v>NÃOST</v>
      </c>
      <c r="E1911" s="49" t="str">
        <f>IF(COUNTIF(ISENÇÕES!A:A,CST!B1911)&gt;0,"ISENÇÃO","SEM ISENÇÃO")</f>
        <v>SEM ISENÇÃO</v>
      </c>
      <c r="F1911" s="50" t="str">
        <f>IF(COUNTIF(REDUÇÕES!A:A,CST!B1911)&gt;0,"REDUÇÃO","NÃO REDUÇÃO")</f>
        <v>NÃO REDUÇÃO</v>
      </c>
      <c r="G1911" s="51">
        <f>VLOOKUP(C1911&amp;F1911&amp;E1911,$B$3:$F$10,5,0)</f>
        <v>0</v>
      </c>
    </row>
    <row r="1912" spans="1:7" x14ac:dyDescent="0.25">
      <c r="A1912" s="120" t="str">
        <f>RIGHT(CSTABLE[[#This Row],[NomeNCM]],8)</f>
        <v>02091029</v>
      </c>
      <c r="B1912" s="123" t="s">
        <v>3106</v>
      </c>
      <c r="C1912" s="49" t="str">
        <f>IFERROR(VLOOKUP(B1912,ST!C:D,2,0),"NÃOST")</f>
        <v>NÃOST</v>
      </c>
      <c r="E1912" s="49" t="str">
        <f>IF(COUNTIF(ISENÇÕES!A:A,CST!B1912)&gt;0,"ISENÇÃO","SEM ISENÇÃO")</f>
        <v>SEM ISENÇÃO</v>
      </c>
      <c r="F1912" s="50" t="str">
        <f>IF(COUNTIF(REDUÇÕES!A:A,CST!B1912)&gt;0,"REDUÇÃO","NÃO REDUÇÃO")</f>
        <v>NÃO REDUÇÃO</v>
      </c>
      <c r="G1912" s="51">
        <f>VLOOKUP(C1912&amp;F1912&amp;E1912,$B$3:$F$10,5,0)</f>
        <v>0</v>
      </c>
    </row>
    <row r="1913" spans="1:7" x14ac:dyDescent="0.25">
      <c r="A1913" s="120" t="str">
        <f>RIGHT(CSTABLE[[#This Row],[NomeNCM]],8)</f>
        <v>43022000</v>
      </c>
      <c r="B1913" s="123" t="s">
        <v>5792</v>
      </c>
      <c r="C1913" s="49" t="str">
        <f>IFERROR(VLOOKUP(B1913,ST!C:D,2,0),"NÃOST")</f>
        <v>NÃOST</v>
      </c>
      <c r="E1913" s="49" t="str">
        <f>IF(COUNTIF(ISENÇÕES!A:A,CST!B1913)&gt;0,"ISENÇÃO","SEM ISENÇÃO")</f>
        <v>SEM ISENÇÃO</v>
      </c>
      <c r="F1913" s="50" t="str">
        <f>IF(COUNTIF(REDUÇÕES!A:A,CST!B1913)&gt;0,"REDUÇÃO","NÃO REDUÇÃO")</f>
        <v>NÃO REDUÇÃO</v>
      </c>
      <c r="G1913" s="51">
        <f>VLOOKUP(C1913&amp;F1913&amp;E1913,$B$3:$F$10,5,0)</f>
        <v>0</v>
      </c>
    </row>
    <row r="1914" spans="1:7" x14ac:dyDescent="0.25">
      <c r="A1914" s="120" t="str">
        <f>RIGHT(CSTABLE[[#This Row],[NomeNCM]],8)</f>
        <v>91051100</v>
      </c>
      <c r="B1914" s="123" t="s">
        <v>5793</v>
      </c>
      <c r="C1914" s="49" t="str">
        <f>IFERROR(VLOOKUP(B1914,ST!C:D,2,0),"NÃOST")</f>
        <v>NÃOST</v>
      </c>
      <c r="E1914" s="49" t="str">
        <f>IF(COUNTIF(ISENÇÕES!A:A,CST!B1914)&gt;0,"ISENÇÃO","SEM ISENÇÃO")</f>
        <v>SEM ISENÇÃO</v>
      </c>
      <c r="F1914" s="50" t="str">
        <f>IF(COUNTIF(REDUÇÕES!A:A,CST!B1914)&gt;0,"REDUÇÃO","NÃO REDUÇÃO")</f>
        <v>NÃO REDUÇÃO</v>
      </c>
      <c r="G1914" s="51">
        <f>VLOOKUP(C1914&amp;F1914&amp;E1914,$B$3:$F$10,5,0)</f>
        <v>0</v>
      </c>
    </row>
    <row r="1915" spans="1:7" x14ac:dyDescent="0.25">
      <c r="A1915" s="120" t="str">
        <f>RIGHT(CSTABLE[[#This Row],[NomeNCM]],8)</f>
        <v>03037100</v>
      </c>
      <c r="B1915" s="123" t="s">
        <v>5794</v>
      </c>
      <c r="C1915" s="3" t="str">
        <f>IFERROR(VLOOKUP(B1915,ST!C:D,2,0),"NÃOST")</f>
        <v>NÃOST</v>
      </c>
      <c r="E1915" s="3" t="str">
        <f>IF(COUNTIF(ISENÇÕES!A:A,CST!B1915)&gt;0,"ISENÇÃO","SEM ISENÇÃO")</f>
        <v>SEM ISENÇÃO</v>
      </c>
      <c r="F1915" s="18" t="str">
        <f>IF(COUNTIF(REDUÇÕES!A:A,CST!B1915)&gt;0,"REDUÇÃO","NÃO REDUÇÃO")</f>
        <v>NÃO REDUÇÃO</v>
      </c>
      <c r="G1915" s="27">
        <f t="shared" ref="G1915:G1936" si="50">VLOOKUP(C1915&amp;F1915&amp;E1915,$B$3:$F$10,5,0)</f>
        <v>0</v>
      </c>
    </row>
    <row r="1916" spans="1:7" x14ac:dyDescent="0.25">
      <c r="A1916" s="120" t="str">
        <f>RIGHT(CSTABLE[[#This Row],[NomeNCM]],8)</f>
        <v>10039080</v>
      </c>
      <c r="B1916" s="123" t="s">
        <v>5795</v>
      </c>
      <c r="C1916" s="3" t="str">
        <f>IFERROR(VLOOKUP(B1916,ST!C:D,2,0),"NÃOST")</f>
        <v>NÃOST</v>
      </c>
      <c r="E1916" s="3" t="str">
        <f>IF(COUNTIF(ISENÇÕES!A:A,CST!B1916)&gt;0,"ISENÇÃO","SEM ISENÇÃO")</f>
        <v>SEM ISENÇÃO</v>
      </c>
      <c r="F1916" s="18" t="str">
        <f>IF(COUNTIF(REDUÇÕES!A:A,CST!B1916)&gt;0,"REDUÇÃO","NÃO REDUÇÃO")</f>
        <v>NÃO REDUÇÃO</v>
      </c>
      <c r="G1916" s="27">
        <f t="shared" si="50"/>
        <v>0</v>
      </c>
    </row>
    <row r="1917" spans="1:7" x14ac:dyDescent="0.25">
      <c r="A1917" s="120" t="str">
        <f>RIGHT(CSTABLE[[#This Row],[NomeNCM]],8)</f>
        <v>17101100</v>
      </c>
      <c r="B1917" s="123" t="s">
        <v>5796</v>
      </c>
      <c r="C1917" s="3" t="str">
        <f>IFERROR(VLOOKUP(B1917,ST!C:D,2,0),"NÃOST")</f>
        <v>NÃOST</v>
      </c>
      <c r="E1917" s="3" t="str">
        <f>IF(COUNTIF(ISENÇÕES!A:A,CST!B1917)&gt;0,"ISENÇÃO","SEM ISENÇÃO")</f>
        <v>SEM ISENÇÃO</v>
      </c>
      <c r="F1917" s="18" t="str">
        <f>IF(COUNTIF(REDUÇÕES!A:A,CST!B1917)&gt;0,"REDUÇÃO","NÃO REDUÇÃO")</f>
        <v>NÃO REDUÇÃO</v>
      </c>
      <c r="G1917" s="27">
        <f t="shared" si="50"/>
        <v>0</v>
      </c>
    </row>
    <row r="1918" spans="1:7" x14ac:dyDescent="0.25">
      <c r="A1918" s="120" t="str">
        <f>RIGHT(CSTABLE[[#This Row],[NomeNCM]],8)</f>
        <v>19011000</v>
      </c>
      <c r="B1918" s="123" t="s">
        <v>5797</v>
      </c>
      <c r="C1918" s="3" t="str">
        <f>IFERROR(VLOOKUP(B1918,ST!C:D,2,0),"NÃOST")</f>
        <v>NÃOST</v>
      </c>
      <c r="E1918" s="3" t="str">
        <f>IF(COUNTIF(ISENÇÕES!A:A,CST!B1918)&gt;0,"ISENÇÃO","SEM ISENÇÃO")</f>
        <v>SEM ISENÇÃO</v>
      </c>
      <c r="F1918" s="18" t="str">
        <f>IF(COUNTIF(REDUÇÕES!A:A,CST!B1918)&gt;0,"REDUÇÃO","NÃO REDUÇÃO")</f>
        <v>NÃO REDUÇÃO</v>
      </c>
      <c r="G1918" s="27">
        <f t="shared" si="50"/>
        <v>0</v>
      </c>
    </row>
    <row r="1919" spans="1:7" x14ac:dyDescent="0.25">
      <c r="A1919" s="120" t="str">
        <f>RIGHT(CSTABLE[[#This Row],[NomeNCM]],8)</f>
        <v>23063010</v>
      </c>
      <c r="B1919" s="123" t="s">
        <v>5798</v>
      </c>
      <c r="C1919" s="3" t="str">
        <f>IFERROR(VLOOKUP(B1919,ST!C:D,2,0),"NÃOST")</f>
        <v>NÃOST</v>
      </c>
      <c r="E1919" s="3" t="str">
        <f>IF(COUNTIF(ISENÇÕES!A:A,CST!B1919)&gt;0,"ISENÇÃO","SEM ISENÇÃO")</f>
        <v>SEM ISENÇÃO</v>
      </c>
      <c r="F1919" s="18" t="str">
        <f>IF(COUNTIF(REDUÇÕES!A:A,CST!B1919)&gt;0,"REDUÇÃO","NÃO REDUÇÃO")</f>
        <v>NÃO REDUÇÃO</v>
      </c>
      <c r="G1919" s="27">
        <f t="shared" si="50"/>
        <v>0</v>
      </c>
    </row>
    <row r="1920" spans="1:7" x14ac:dyDescent="0.25">
      <c r="A1920" s="120" t="str">
        <f>RIGHT(CSTABLE[[#This Row],[NomeNCM]],8)</f>
        <v>24039990</v>
      </c>
      <c r="B1920" s="123" t="s">
        <v>5799</v>
      </c>
      <c r="C1920" s="3" t="str">
        <f>IFERROR(VLOOKUP(B1920,ST!C:D,2,0),"NÃOST")</f>
        <v>NÃOST</v>
      </c>
      <c r="E1920" s="3" t="str">
        <f>IF(COUNTIF(ISENÇÕES!A:A,CST!B1920)&gt;0,"ISENÇÃO","SEM ISENÇÃO")</f>
        <v>SEM ISENÇÃO</v>
      </c>
      <c r="F1920" s="18" t="str">
        <f>IF(COUNTIF(REDUÇÕES!A:A,CST!B1920)&gt;0,"REDUÇÃO","NÃO REDUÇÃO")</f>
        <v>NÃO REDUÇÃO</v>
      </c>
      <c r="G1920" s="27">
        <f t="shared" si="50"/>
        <v>0</v>
      </c>
    </row>
    <row r="1921" spans="1:7" x14ac:dyDescent="0.25">
      <c r="A1921" s="120" t="str">
        <f>RIGHT(CSTABLE[[#This Row],[NomeNCM]],8)</f>
        <v>27100062</v>
      </c>
      <c r="B1921" s="123" t="s">
        <v>5800</v>
      </c>
      <c r="C1921" s="3" t="str">
        <f>IFERROR(VLOOKUP(B1921,ST!C:D,2,0),"NÃOST")</f>
        <v>NÃOST</v>
      </c>
      <c r="E1921" s="3" t="str">
        <f>IF(COUNTIF(ISENÇÕES!A:A,CST!B1921)&gt;0,"ISENÇÃO","SEM ISENÇÃO")</f>
        <v>SEM ISENÇÃO</v>
      </c>
      <c r="F1921" s="18" t="str">
        <f>IF(COUNTIF(REDUÇÕES!A:A,CST!B1921)&gt;0,"REDUÇÃO","NÃO REDUÇÃO")</f>
        <v>NÃO REDUÇÃO</v>
      </c>
      <c r="G1921" s="27">
        <f t="shared" si="50"/>
        <v>0</v>
      </c>
    </row>
    <row r="1922" spans="1:7" x14ac:dyDescent="0.25">
      <c r="A1922" s="120" t="str">
        <f>RIGHT(CSTABLE[[#This Row],[NomeNCM]],8)</f>
        <v>29331111</v>
      </c>
      <c r="B1922" s="123" t="s">
        <v>5801</v>
      </c>
      <c r="C1922" s="3" t="str">
        <f>IFERROR(VLOOKUP(B1922,ST!C:D,2,0),"NÃOST")</f>
        <v>NÃOST</v>
      </c>
      <c r="E1922" s="3" t="str">
        <f>IF(COUNTIF(ISENÇÕES!A:A,CST!B1922)&gt;0,"ISENÇÃO","SEM ISENÇÃO")</f>
        <v>SEM ISENÇÃO</v>
      </c>
      <c r="F1922" s="18" t="str">
        <f>IF(COUNTIF(REDUÇÕES!A:A,CST!B1922)&gt;0,"REDUÇÃO","NÃO REDUÇÃO")</f>
        <v>NÃO REDUÇÃO</v>
      </c>
      <c r="G1922" s="27">
        <f t="shared" si="50"/>
        <v>0</v>
      </c>
    </row>
    <row r="1923" spans="1:7" x14ac:dyDescent="0.25">
      <c r="A1923" s="120" t="str">
        <f>RIGHT(CSTABLE[[#This Row],[NomeNCM]],8)</f>
        <v>30049029</v>
      </c>
      <c r="B1923" s="123" t="s">
        <v>5802</v>
      </c>
      <c r="C1923" s="3" t="str">
        <f>IFERROR(VLOOKUP(B1923,ST!C:D,2,0),"NÃOST")</f>
        <v>NÃOST</v>
      </c>
      <c r="E1923" s="3" t="str">
        <f>IF(COUNTIF(ISENÇÕES!A:A,CST!B1923)&gt;0,"ISENÇÃO","SEM ISENÇÃO")</f>
        <v>SEM ISENÇÃO</v>
      </c>
      <c r="F1923" s="18" t="str">
        <f>IF(COUNTIF(REDUÇÕES!A:A,CST!B1923)&gt;0,"REDUÇÃO","NÃO REDUÇÃO")</f>
        <v>NÃO REDUÇÃO</v>
      </c>
      <c r="G1923" s="27">
        <f t="shared" si="50"/>
        <v>0</v>
      </c>
    </row>
    <row r="1924" spans="1:7" x14ac:dyDescent="0.25">
      <c r="A1924" s="120" t="str">
        <f>RIGHT(CSTABLE[[#This Row],[NomeNCM]],8)</f>
        <v>30049069</v>
      </c>
      <c r="B1924" s="123" t="s">
        <v>5803</v>
      </c>
      <c r="C1924" s="3" t="str">
        <f>IFERROR(VLOOKUP(B1924,ST!C:D,2,0),"NÃOST")</f>
        <v>NÃOST</v>
      </c>
      <c r="E1924" s="3" t="str">
        <f>IF(COUNTIF(ISENÇÕES!A:A,CST!B1924)&gt;0,"ISENÇÃO","SEM ISENÇÃO")</f>
        <v>SEM ISENÇÃO</v>
      </c>
      <c r="F1924" s="18" t="str">
        <f>IF(COUNTIF(REDUÇÕES!A:A,CST!B1924)&gt;0,"REDUÇÃO","NÃO REDUÇÃO")</f>
        <v>NÃO REDUÇÃO</v>
      </c>
      <c r="G1924" s="27">
        <f t="shared" si="50"/>
        <v>0</v>
      </c>
    </row>
    <row r="1925" spans="1:7" x14ac:dyDescent="0.25">
      <c r="A1925" s="120" t="str">
        <f>RIGHT(CSTABLE[[#This Row],[NomeNCM]],8)</f>
        <v>33051090</v>
      </c>
      <c r="B1925" s="123" t="s">
        <v>5804</v>
      </c>
      <c r="C1925" s="3" t="str">
        <f>IFERROR(VLOOKUP(B1925,ST!C:D,2,0),"NÃOST")</f>
        <v>NÃOST</v>
      </c>
      <c r="E1925" s="3" t="str">
        <f>IF(COUNTIF(ISENÇÕES!A:A,CST!B1925)&gt;0,"ISENÇÃO","SEM ISENÇÃO")</f>
        <v>SEM ISENÇÃO</v>
      </c>
      <c r="F1925" s="18" t="str">
        <f>IF(COUNTIF(REDUÇÕES!A:A,CST!B1925)&gt;0,"REDUÇÃO","NÃO REDUÇÃO")</f>
        <v>NÃO REDUÇÃO</v>
      </c>
      <c r="G1925" s="27">
        <f t="shared" si="50"/>
        <v>0</v>
      </c>
    </row>
    <row r="1926" spans="1:7" x14ac:dyDescent="0.25">
      <c r="A1926" s="120" t="str">
        <f>RIGHT(CSTABLE[[#This Row],[NomeNCM]],8)</f>
        <v>34049019</v>
      </c>
      <c r="B1926" s="123" t="s">
        <v>5805</v>
      </c>
      <c r="C1926" s="3" t="str">
        <f>IFERROR(VLOOKUP(B1926,ST!C:D,2,0),"NÃOST")</f>
        <v>NÃOST</v>
      </c>
      <c r="E1926" s="3" t="str">
        <f>IF(COUNTIF(ISENÇÕES!A:A,CST!B1926)&gt;0,"ISENÇÃO","SEM ISENÇÃO")</f>
        <v>SEM ISENÇÃO</v>
      </c>
      <c r="F1926" s="18" t="str">
        <f>IF(COUNTIF(REDUÇÕES!A:A,CST!B1926)&gt;0,"REDUÇÃO","NÃO REDUÇÃO")</f>
        <v>NÃO REDUÇÃO</v>
      </c>
      <c r="G1926" s="27">
        <f t="shared" si="50"/>
        <v>0</v>
      </c>
    </row>
    <row r="1927" spans="1:7" x14ac:dyDescent="0.25">
      <c r="A1927" s="120" t="str">
        <f>RIGHT(CSTABLE[[#This Row],[NomeNCM]],8)</f>
        <v>39032000</v>
      </c>
      <c r="B1927" s="123" t="s">
        <v>5806</v>
      </c>
      <c r="C1927" s="3" t="str">
        <f>IFERROR(VLOOKUP(B1927,ST!C:D,2,0),"NÃOST")</f>
        <v>NÃOST</v>
      </c>
      <c r="E1927" s="3" t="str">
        <f>IF(COUNTIF(ISENÇÕES!A:A,CST!B1927)&gt;0,"ISENÇÃO","SEM ISENÇÃO")</f>
        <v>SEM ISENÇÃO</v>
      </c>
      <c r="F1927" s="18" t="str">
        <f>IF(COUNTIF(REDUÇÕES!A:A,CST!B1927)&gt;0,"REDUÇÃO","NÃO REDUÇÃO")</f>
        <v>NÃO REDUÇÃO</v>
      </c>
      <c r="G1927" s="27">
        <f t="shared" si="50"/>
        <v>0</v>
      </c>
    </row>
    <row r="1928" spans="1:7" x14ac:dyDescent="0.25">
      <c r="A1928" s="120" t="str">
        <f>RIGHT(CSTABLE[[#This Row],[NomeNCM]],8)</f>
        <v>40011000</v>
      </c>
      <c r="B1928" s="123" t="s">
        <v>5807</v>
      </c>
      <c r="C1928" s="3" t="str">
        <f>IFERROR(VLOOKUP(B1928,ST!C:D,2,0),"NÃOST")</f>
        <v>NÃOST</v>
      </c>
      <c r="E1928" s="3" t="str">
        <f>IF(COUNTIF(ISENÇÕES!A:A,CST!B1928)&gt;0,"ISENÇÃO","SEM ISENÇÃO")</f>
        <v>SEM ISENÇÃO</v>
      </c>
      <c r="F1928" s="18" t="str">
        <f>IF(COUNTIF(REDUÇÕES!A:A,CST!B1928)&gt;0,"REDUÇÃO","NÃO REDUÇÃO")</f>
        <v>NÃO REDUÇÃO</v>
      </c>
      <c r="G1928" s="27">
        <f t="shared" si="50"/>
        <v>0</v>
      </c>
    </row>
    <row r="1929" spans="1:7" x14ac:dyDescent="0.25">
      <c r="A1929" s="120" t="str">
        <f>RIGHT(CSTABLE[[#This Row],[NomeNCM]],8)</f>
        <v>41033000</v>
      </c>
      <c r="B1929" s="123" t="s">
        <v>5808</v>
      </c>
      <c r="C1929" s="3" t="str">
        <f>IFERROR(VLOOKUP(B1929,ST!C:D,2,0),"NÃOST")</f>
        <v>NÃOST</v>
      </c>
      <c r="E1929" s="3" t="str">
        <f>IF(COUNTIF(ISENÇÕES!A:A,CST!B1929)&gt;0,"ISENÇÃO","SEM ISENÇÃO")</f>
        <v>SEM ISENÇÃO</v>
      </c>
      <c r="F1929" s="18" t="str">
        <f>IF(COUNTIF(REDUÇÕES!A:A,CST!B1929)&gt;0,"REDUÇÃO","NÃO REDUÇÃO")</f>
        <v>NÃO REDUÇÃO</v>
      </c>
      <c r="G1929" s="27">
        <f t="shared" si="50"/>
        <v>0</v>
      </c>
    </row>
    <row r="1930" spans="1:7" x14ac:dyDescent="0.25">
      <c r="A1930" s="120" t="str">
        <f>RIGHT(CSTABLE[[#This Row],[NomeNCM]],8)</f>
        <v>42121210</v>
      </c>
      <c r="B1930" s="123" t="s">
        <v>5809</v>
      </c>
      <c r="C1930" s="3" t="str">
        <f>IFERROR(VLOOKUP(B1930,ST!C:D,2,0),"NÃOST")</f>
        <v>NÃOST</v>
      </c>
      <c r="E1930" s="3" t="str">
        <f>IF(COUNTIF(ISENÇÕES!A:A,CST!B1930)&gt;0,"ISENÇÃO","SEM ISENÇÃO")</f>
        <v>SEM ISENÇÃO</v>
      </c>
      <c r="F1930" s="18" t="str">
        <f>IF(COUNTIF(REDUÇÕES!A:A,CST!B1930)&gt;0,"REDUÇÃO","NÃO REDUÇÃO")</f>
        <v>NÃO REDUÇÃO</v>
      </c>
      <c r="G1930" s="27">
        <f t="shared" si="50"/>
        <v>0</v>
      </c>
    </row>
    <row r="1931" spans="1:7" x14ac:dyDescent="0.25">
      <c r="A1931" s="120" t="str">
        <f>RIGHT(CSTABLE[[#This Row],[NomeNCM]],8)</f>
        <v>59060999</v>
      </c>
      <c r="B1931" s="123" t="s">
        <v>5810</v>
      </c>
      <c r="C1931" s="3" t="str">
        <f>IFERROR(VLOOKUP(B1931,ST!C:D,2,0),"NÃOST")</f>
        <v>NÃOST</v>
      </c>
      <c r="E1931" s="3" t="str">
        <f>IF(COUNTIF(ISENÇÕES!A:A,CST!B1931)&gt;0,"ISENÇÃO","SEM ISENÇÃO")</f>
        <v>SEM ISENÇÃO</v>
      </c>
      <c r="F1931" s="18" t="str">
        <f>IF(COUNTIF(REDUÇÕES!A:A,CST!B1931)&gt;0,"REDUÇÃO","NÃO REDUÇÃO")</f>
        <v>NÃO REDUÇÃO</v>
      </c>
      <c r="G1931" s="27">
        <f t="shared" si="50"/>
        <v>0</v>
      </c>
    </row>
    <row r="1932" spans="1:7" x14ac:dyDescent="0.25">
      <c r="A1932" s="120" t="str">
        <f>RIGHT(CSTABLE[[#This Row],[NomeNCM]],8)</f>
        <v>63063900</v>
      </c>
      <c r="B1932" s="123" t="s">
        <v>5811</v>
      </c>
      <c r="C1932" s="3" t="str">
        <f>IFERROR(VLOOKUP(B1932,ST!C:D,2,0),"NÃOST")</f>
        <v>NÃOST</v>
      </c>
      <c r="E1932" s="3" t="str">
        <f>IF(COUNTIF(ISENÇÕES!A:A,CST!B1932)&gt;0,"ISENÇÃO","SEM ISENÇÃO")</f>
        <v>SEM ISENÇÃO</v>
      </c>
      <c r="F1932" s="18" t="str">
        <f>IF(COUNTIF(REDUÇÕES!A:A,CST!B1932)&gt;0,"REDUÇÃO","NÃO REDUÇÃO")</f>
        <v>NÃO REDUÇÃO</v>
      </c>
      <c r="G1932" s="27">
        <f t="shared" si="50"/>
        <v>0</v>
      </c>
    </row>
    <row r="1933" spans="1:7" x14ac:dyDescent="0.25">
      <c r="A1933" s="120" t="str">
        <f>RIGHT(CSTABLE[[#This Row],[NomeNCM]],8)</f>
        <v>73191900</v>
      </c>
      <c r="B1933" s="123" t="s">
        <v>5812</v>
      </c>
      <c r="C1933" s="3" t="str">
        <f>IFERROR(VLOOKUP(B1933,ST!C:D,2,0),"NÃOST")</f>
        <v>NÃOST</v>
      </c>
      <c r="E1933" s="3" t="str">
        <f>IF(COUNTIF(ISENÇÕES!A:A,CST!B1933)&gt;0,"ISENÇÃO","SEM ISENÇÃO")</f>
        <v>SEM ISENÇÃO</v>
      </c>
      <c r="F1933" s="18" t="str">
        <f>IF(COUNTIF(REDUÇÕES!A:A,CST!B1933)&gt;0,"REDUÇÃO","NÃO REDUÇÃO")</f>
        <v>NÃO REDUÇÃO</v>
      </c>
      <c r="G1933" s="27">
        <f t="shared" si="50"/>
        <v>0</v>
      </c>
    </row>
    <row r="1934" spans="1:7" x14ac:dyDescent="0.25">
      <c r="A1934" s="120" t="str">
        <f>RIGHT(CSTABLE[[#This Row],[NomeNCM]],8)</f>
        <v>84138200</v>
      </c>
      <c r="B1934" s="123" t="s">
        <v>5813</v>
      </c>
      <c r="C1934" s="3" t="str">
        <f>IFERROR(VLOOKUP(B1934,ST!C:D,2,0),"NÃOST")</f>
        <v>NÃOST</v>
      </c>
      <c r="E1934" s="3" t="str">
        <f>IF(COUNTIF(ISENÇÕES!A:A,CST!B1934)&gt;0,"ISENÇÃO","SEM ISENÇÃO")</f>
        <v>SEM ISENÇÃO</v>
      </c>
      <c r="F1934" s="18" t="str">
        <f>IF(COUNTIF(REDUÇÕES!A:A,CST!B1934)&gt;0,"REDUÇÃO","NÃO REDUÇÃO")</f>
        <v>NÃO REDUÇÃO</v>
      </c>
      <c r="G1934" s="27">
        <f t="shared" si="50"/>
        <v>0</v>
      </c>
    </row>
    <row r="1935" spans="1:7" x14ac:dyDescent="0.25">
      <c r="A1935" s="120" t="str">
        <f>RIGHT(CSTABLE[[#This Row],[NomeNCM]],8)</f>
        <v>84672200</v>
      </c>
      <c r="B1935" s="123" t="s">
        <v>5814</v>
      </c>
      <c r="C1935" s="3" t="str">
        <f>IFERROR(VLOOKUP(B1935,ST!C:D,2,0),"NÃOST")</f>
        <v>NÃOST</v>
      </c>
      <c r="E1935" s="3" t="str">
        <f>IF(COUNTIF(ISENÇÕES!A:A,CST!B1935)&gt;0,"ISENÇÃO","SEM ISENÇÃO")</f>
        <v>SEM ISENÇÃO</v>
      </c>
      <c r="F1935" s="18" t="str">
        <f>IF(COUNTIF(REDUÇÕES!A:A,CST!B1935)&gt;0,"REDUÇÃO","NÃO REDUÇÃO")</f>
        <v>NÃO REDUÇÃO</v>
      </c>
      <c r="G1935" s="27">
        <f t="shared" si="50"/>
        <v>0</v>
      </c>
    </row>
    <row r="1936" spans="1:7" x14ac:dyDescent="0.25">
      <c r="A1936" s="120" t="str">
        <f>RIGHT(CSTABLE[[#This Row],[NomeNCM]],8)</f>
        <v>95030090</v>
      </c>
      <c r="B1936" s="123" t="s">
        <v>5815</v>
      </c>
      <c r="C1936" s="49" t="str">
        <f>IFERROR(VLOOKUP(B1936,ST!C:D,2,0),"NÃOST")</f>
        <v>NÃOST</v>
      </c>
      <c r="E1936" s="49" t="str">
        <f>IF(COUNTIF(ISENÇÕES!A:A,CST!B1936)&gt;0,"ISENÇÃO","SEM ISENÇÃO")</f>
        <v>SEM ISENÇÃO</v>
      </c>
      <c r="F1936" s="50" t="str">
        <f>IF(COUNTIF(REDUÇÕES!A:A,CST!B1936)&gt;0,"REDUÇÃO","NÃO REDUÇÃO")</f>
        <v>NÃO REDUÇÃO</v>
      </c>
      <c r="G1936" s="51">
        <f t="shared" si="50"/>
        <v>0</v>
      </c>
    </row>
    <row r="1937" spans="1:7" x14ac:dyDescent="0.25">
      <c r="A1937" s="120" t="str">
        <f>RIGHT(CSTABLE[[#This Row],[NomeNCM]],8)</f>
        <v>38086290</v>
      </c>
      <c r="B1937" s="123" t="s">
        <v>5817</v>
      </c>
      <c r="C1937" s="3" t="str">
        <f>IFERROR(VLOOKUP(B1937,ST!C:D,2,0),"NÃOST")</f>
        <v>NÃOST</v>
      </c>
      <c r="E1937" s="3" t="str">
        <f>IF(COUNTIF(ISENÇÕES!A:A,CST!B1937)&gt;0,"ISENÇÃO","SEM ISENÇÃO")</f>
        <v>SEM ISENÇÃO</v>
      </c>
      <c r="F1937" s="18" t="str">
        <f>IF(COUNTIF(REDUÇÕES!A:A,CST!B1937)&gt;0,"REDUÇÃO","NÃO REDUÇÃO")</f>
        <v>NÃO REDUÇÃO</v>
      </c>
      <c r="G1937" s="27">
        <f t="shared" ref="G1937:G1962" si="51">VLOOKUP(C1937&amp;F1937&amp;E1937,$B$3:$F$10,5,0)</f>
        <v>0</v>
      </c>
    </row>
    <row r="1938" spans="1:7" x14ac:dyDescent="0.25">
      <c r="A1938" s="120" t="str">
        <f>RIGHT(CSTABLE[[#This Row],[NomeNCM]],8)</f>
        <v>04032000</v>
      </c>
      <c r="B1938" s="123" t="s">
        <v>5816</v>
      </c>
      <c r="C1938" s="3" t="str">
        <f>IFERROR(VLOOKUP(B1938,ST!C:D,2,0),"NÃOST")</f>
        <v>NÃOST</v>
      </c>
      <c r="E1938" s="3" t="str">
        <f>IF(COUNTIF(ISENÇÕES!A:A,CST!B1938)&gt;0,"ISENÇÃO","SEM ISENÇÃO")</f>
        <v>SEM ISENÇÃO</v>
      </c>
      <c r="F1938" s="18" t="str">
        <f>IF(COUNTIF(REDUÇÕES!A:A,CST!B1938)&gt;0,"REDUÇÃO","NÃO REDUÇÃO")</f>
        <v>NÃO REDUÇÃO</v>
      </c>
      <c r="G1938" s="27">
        <f t="shared" si="51"/>
        <v>0</v>
      </c>
    </row>
    <row r="1939" spans="1:7" x14ac:dyDescent="0.25">
      <c r="A1939" s="120" t="str">
        <f>RIGHT(CSTABLE[[#This Row],[NomeNCM]],8)</f>
        <v>15092000</v>
      </c>
      <c r="B1939" s="123" t="s">
        <v>5818</v>
      </c>
      <c r="C1939" s="3" t="str">
        <f>IFERROR(VLOOKUP(B1939,ST!C:D,2,0),"NÃOST")</f>
        <v>NÃOST</v>
      </c>
      <c r="E1939" s="3" t="str">
        <f>IF(COUNTIF(ISENÇÕES!A:A,CST!B1939)&gt;0,"ISENÇÃO","SEM ISENÇÃO")</f>
        <v>SEM ISENÇÃO</v>
      </c>
      <c r="F1939" s="18" t="str">
        <f>IF(COUNTIF(REDUÇÕES!A:A,CST!B1939)&gt;0,"REDUÇÃO","NÃO REDUÇÃO")</f>
        <v>NÃO REDUÇÃO</v>
      </c>
      <c r="G1939" s="27">
        <f t="shared" si="51"/>
        <v>0</v>
      </c>
    </row>
    <row r="1940" spans="1:7" x14ac:dyDescent="0.25">
      <c r="A1940" s="120" t="str">
        <f>RIGHT(CSTABLE[[#This Row],[NomeNCM]],8)</f>
        <v>20029000</v>
      </c>
      <c r="B1940" s="123" t="s">
        <v>5819</v>
      </c>
      <c r="C1940" s="3" t="str">
        <f>IFERROR(VLOOKUP(B1940,ST!C:D,2,0),"NÃOST")</f>
        <v>NÃOST</v>
      </c>
      <c r="E1940" s="3" t="str">
        <f>IF(COUNTIF(ISENÇÕES!A:A,CST!B1940)&gt;0,"ISENÇÃO","SEM ISENÇÃO")</f>
        <v>SEM ISENÇÃO</v>
      </c>
      <c r="F1940" s="18" t="str">
        <f>IF(COUNTIF(REDUÇÕES!A:A,CST!B1940)&gt;0,"REDUÇÃO","NÃO REDUÇÃO")</f>
        <v>NÃO REDUÇÃO</v>
      </c>
      <c r="G1940" s="27">
        <f t="shared" si="51"/>
        <v>0</v>
      </c>
    </row>
    <row r="1941" spans="1:7" x14ac:dyDescent="0.25">
      <c r="A1941" s="120" t="str">
        <f>RIGHT(CSTABLE[[#This Row],[NomeNCM]],8)</f>
        <v>84139190</v>
      </c>
      <c r="B1941" s="123" t="s">
        <v>5820</v>
      </c>
      <c r="C1941" s="3" t="str">
        <f>IFERROR(VLOOKUP(B1941,ST!C:D,2,0),"NÃOST")</f>
        <v>NÃOST</v>
      </c>
      <c r="E1941" s="3" t="str">
        <f>IF(COUNTIF(ISENÇÕES!A:A,CST!B1941)&gt;0,"ISENÇÃO","SEM ISENÇÃO")</f>
        <v>SEM ISENÇÃO</v>
      </c>
      <c r="F1941" s="18" t="str">
        <f>IF(COUNTIF(REDUÇÕES!A:A,CST!B1941)&gt;0,"REDUÇÃO","NÃO REDUÇÃO")</f>
        <v>NÃO REDUÇÃO</v>
      </c>
      <c r="G1941" s="27">
        <f t="shared" si="51"/>
        <v>0</v>
      </c>
    </row>
    <row r="1942" spans="1:7" x14ac:dyDescent="0.25">
      <c r="A1942" s="120" t="str">
        <f>RIGHT(CSTABLE[[#This Row],[NomeNCM]],8)</f>
        <v>34025000</v>
      </c>
      <c r="B1942" s="123" t="s">
        <v>5821</v>
      </c>
      <c r="C1942" s="3" t="str">
        <f>IFERROR(VLOOKUP(B1942,ST!C:D,2,0),"NÃOST")</f>
        <v>NÃOST</v>
      </c>
      <c r="E1942" s="3" t="str">
        <f>IF(COUNTIF(ISENÇÕES!A:A,CST!B1942)&gt;0,"ISENÇÃO","SEM ISENÇÃO")</f>
        <v>SEM ISENÇÃO</v>
      </c>
      <c r="F1942" s="18" t="str">
        <f>IF(COUNTIF(REDUÇÕES!A:A,CST!B1942)&gt;0,"REDUÇÃO","NÃO REDUÇÃO")</f>
        <v>NÃO REDUÇÃO</v>
      </c>
      <c r="G1942" s="27">
        <f t="shared" si="51"/>
        <v>0</v>
      </c>
    </row>
    <row r="1943" spans="1:7" x14ac:dyDescent="0.25">
      <c r="A1943" s="120" t="str">
        <f>RIGHT(CSTABLE[[#This Row],[NomeNCM]],8)</f>
        <v>34023990</v>
      </c>
      <c r="B1943" s="123" t="s">
        <v>5822</v>
      </c>
      <c r="C1943" s="3" t="str">
        <f>IFERROR(VLOOKUP(B1943,ST!C:D,2,0),"NÃOST")</f>
        <v>NÃOST</v>
      </c>
      <c r="E1943" s="3" t="str">
        <f>IF(COUNTIF(ISENÇÕES!A:A,CST!B1943)&gt;0,"ISENÇÃO","SEM ISENÇÃO")</f>
        <v>SEM ISENÇÃO</v>
      </c>
      <c r="F1943" s="18" t="str">
        <f>IF(COUNTIF(REDUÇÕES!A:A,CST!B1943)&gt;0,"REDUÇÃO","NÃO REDUÇÃO")</f>
        <v>NÃO REDUÇÃO</v>
      </c>
      <c r="G1943" s="27">
        <f t="shared" si="51"/>
        <v>0</v>
      </c>
    </row>
    <row r="1944" spans="1:7" x14ac:dyDescent="0.25">
      <c r="A1944" s="120" t="str">
        <f>RIGHT(CSTABLE[[#This Row],[NomeNCM]],8)</f>
        <v>48119010</v>
      </c>
      <c r="B1944" s="123" t="s">
        <v>5823</v>
      </c>
      <c r="C1944" s="3" t="str">
        <f>IFERROR(VLOOKUP(B1944,ST!C:D,2,0),"NÃOST")</f>
        <v>NÃOST</v>
      </c>
      <c r="E1944" s="3" t="str">
        <f>IF(COUNTIF(ISENÇÕES!A:A,CST!B1944)&gt;0,"ISENÇÃO","SEM ISENÇÃO")</f>
        <v>SEM ISENÇÃO</v>
      </c>
      <c r="F1944" s="18" t="str">
        <f>IF(COUNTIF(REDUÇÕES!A:A,CST!B1944)&gt;0,"REDUÇÃO","NÃO REDUÇÃO")</f>
        <v>NÃO REDUÇÃO</v>
      </c>
      <c r="G1944" s="27">
        <f t="shared" si="51"/>
        <v>0</v>
      </c>
    </row>
    <row r="1945" spans="1:7" x14ac:dyDescent="0.25">
      <c r="A1945" s="120" t="str">
        <f>RIGHT(CSTABLE[[#This Row],[NomeNCM]],8)</f>
        <v>09096220</v>
      </c>
      <c r="B1945" s="123" t="s">
        <v>5824</v>
      </c>
      <c r="C1945" s="3" t="str">
        <f>IFERROR(VLOOKUP(B1945,ST!C:D,2,0),"NÃOST")</f>
        <v>NÃOST</v>
      </c>
      <c r="E1945" s="3" t="str">
        <f>IF(COUNTIF(ISENÇÕES!A:A,CST!B1945)&gt;0,"ISENÇÃO","SEM ISENÇÃO")</f>
        <v>SEM ISENÇÃO</v>
      </c>
      <c r="F1945" s="18" t="str">
        <f>IF(COUNTIF(REDUÇÕES!A:A,CST!B1945)&gt;0,"REDUÇÃO","NÃO REDUÇÃO")</f>
        <v>NÃO REDUÇÃO</v>
      </c>
      <c r="G1945" s="27">
        <f t="shared" si="51"/>
        <v>0</v>
      </c>
    </row>
    <row r="1946" spans="1:7" x14ac:dyDescent="0.25">
      <c r="A1946" s="120" t="str">
        <f>RIGHT(CSTABLE[[#This Row],[NomeNCM]],8)</f>
        <v>32021000</v>
      </c>
      <c r="B1946" s="123" t="s">
        <v>5825</v>
      </c>
      <c r="C1946" s="3" t="str">
        <f>IFERROR(VLOOKUP(B1946,ST!C:D,2,0),"NÃOST")</f>
        <v>NÃOST</v>
      </c>
      <c r="E1946" s="3" t="str">
        <f>IF(COUNTIF(ISENÇÕES!A:A,CST!B1946)&gt;0,"ISENÇÃO","SEM ISENÇÃO")</f>
        <v>SEM ISENÇÃO</v>
      </c>
      <c r="F1946" s="18" t="str">
        <f>IF(COUNTIF(REDUÇÕES!A:A,CST!B1946)&gt;0,"REDUÇÃO","NÃO REDUÇÃO")</f>
        <v>NÃO REDUÇÃO</v>
      </c>
      <c r="G1946" s="27">
        <f t="shared" si="51"/>
        <v>0</v>
      </c>
    </row>
    <row r="1947" spans="1:7" x14ac:dyDescent="0.25">
      <c r="A1947" s="120" t="str">
        <f>RIGHT(CSTABLE[[#This Row],[NomeNCM]],8)</f>
        <v>34042020</v>
      </c>
      <c r="B1947" s="123" t="s">
        <v>5826</v>
      </c>
      <c r="C1947" s="3" t="str">
        <f>IFERROR(VLOOKUP(B1947,ST!C:D,2,0),"NÃOST")</f>
        <v>NÃOST</v>
      </c>
      <c r="E1947" s="3" t="str">
        <f>IF(COUNTIF(ISENÇÕES!A:A,CST!B1947)&gt;0,"ISENÇÃO","SEM ISENÇÃO")</f>
        <v>SEM ISENÇÃO</v>
      </c>
      <c r="F1947" s="18" t="str">
        <f>IF(COUNTIF(REDUÇÕES!A:A,CST!B1947)&gt;0,"REDUÇÃO","NÃO REDUÇÃO")</f>
        <v>NÃO REDUÇÃO</v>
      </c>
      <c r="G1947" s="27">
        <f t="shared" si="51"/>
        <v>0</v>
      </c>
    </row>
    <row r="1948" spans="1:7" x14ac:dyDescent="0.25">
      <c r="A1948" s="120" t="str">
        <f>RIGHT(CSTABLE[[#This Row],[NomeNCM]],8)</f>
        <v>54023900</v>
      </c>
      <c r="B1948" s="123" t="s">
        <v>5827</v>
      </c>
      <c r="C1948" s="3" t="str">
        <f>IFERROR(VLOOKUP(B1948,ST!C:D,2,0),"NÃOST")</f>
        <v>NÃOST</v>
      </c>
      <c r="E1948" s="3" t="str">
        <f>IF(COUNTIF(ISENÇÕES!A:A,CST!B1948)&gt;0,"ISENÇÃO","SEM ISENÇÃO")</f>
        <v>SEM ISENÇÃO</v>
      </c>
      <c r="F1948" s="18" t="str">
        <f>IF(COUNTIF(REDUÇÕES!A:A,CST!B1948)&gt;0,"REDUÇÃO","NÃO REDUÇÃO")</f>
        <v>NÃO REDUÇÃO</v>
      </c>
      <c r="G1948" s="27">
        <f t="shared" si="51"/>
        <v>0</v>
      </c>
    </row>
    <row r="1949" spans="1:7" x14ac:dyDescent="0.25">
      <c r="A1949" s="120" t="str">
        <f>RIGHT(CSTABLE[[#This Row],[NomeNCM]],8)</f>
        <v>73151290</v>
      </c>
      <c r="B1949" s="123" t="s">
        <v>5828</v>
      </c>
      <c r="C1949" s="3" t="str">
        <f>IFERROR(VLOOKUP(B1949,ST!C:D,2,0),"NÃOST")</f>
        <v>NÃOST</v>
      </c>
      <c r="E1949" s="3" t="str">
        <f>IF(COUNTIF(ISENÇÕES!A:A,CST!B1949)&gt;0,"ISENÇÃO","SEM ISENÇÃO")</f>
        <v>SEM ISENÇÃO</v>
      </c>
      <c r="F1949" s="18" t="str">
        <f>IF(COUNTIF(REDUÇÕES!A:A,CST!B1949)&gt;0,"REDUÇÃO","NÃO REDUÇÃO")</f>
        <v>NÃO REDUÇÃO</v>
      </c>
      <c r="G1949" s="27">
        <f t="shared" si="51"/>
        <v>0</v>
      </c>
    </row>
    <row r="1950" spans="1:7" x14ac:dyDescent="0.25">
      <c r="A1950" s="120" t="str">
        <f>RIGHT(CSTABLE[[#This Row],[NomeNCM]],8)</f>
        <v>55152900</v>
      </c>
      <c r="B1950" s="123" t="s">
        <v>5829</v>
      </c>
      <c r="C1950" s="3" t="str">
        <f>IFERROR(VLOOKUP(B1950,ST!C:D,2,0),"NÃOST")</f>
        <v>NÃOST</v>
      </c>
      <c r="E1950" s="3" t="str">
        <f>IF(COUNTIF(ISENÇÕES!A:A,CST!B1950)&gt;0,"ISENÇÃO","SEM ISENÇÃO")</f>
        <v>SEM ISENÇÃO</v>
      </c>
      <c r="F1950" s="18" t="str">
        <f>IF(COUNTIF(REDUÇÕES!A:A,CST!B1950)&gt;0,"REDUÇÃO","NÃO REDUÇÃO")</f>
        <v>NÃO REDUÇÃO</v>
      </c>
      <c r="G1950" s="27">
        <f t="shared" si="51"/>
        <v>0</v>
      </c>
    </row>
    <row r="1951" spans="1:7" x14ac:dyDescent="0.25">
      <c r="A1951" s="120" t="str">
        <f>RIGHT(CSTABLE[[#This Row],[NomeNCM]],8)</f>
        <v>39100013</v>
      </c>
      <c r="B1951" s="123" t="s">
        <v>5830</v>
      </c>
      <c r="C1951" s="3" t="str">
        <f>IFERROR(VLOOKUP(B1951,ST!C:D,2,0),"NÃOST")</f>
        <v>NÃOST</v>
      </c>
      <c r="E1951" s="3" t="str">
        <f>IF(COUNTIF(ISENÇÕES!A:A,CST!B1951)&gt;0,"ISENÇÃO","SEM ISENÇÃO")</f>
        <v>SEM ISENÇÃO</v>
      </c>
      <c r="F1951" s="18" t="str">
        <f>IF(COUNTIF(REDUÇÕES!A:A,CST!B1951)&gt;0,"REDUÇÃO","NÃO REDUÇÃO")</f>
        <v>NÃO REDUÇÃO</v>
      </c>
      <c r="G1951" s="27">
        <f t="shared" si="51"/>
        <v>0</v>
      </c>
    </row>
    <row r="1952" spans="1:7" x14ac:dyDescent="0.25">
      <c r="A1952" s="120" t="str">
        <f>RIGHT(CSTABLE[[#This Row],[NomeNCM]],8)</f>
        <v>44130000</v>
      </c>
      <c r="B1952" s="123" t="s">
        <v>5831</v>
      </c>
      <c r="C1952" s="3" t="str">
        <f>IFERROR(VLOOKUP(B1952,ST!C:D,2,0),"NÃOST")</f>
        <v>NÃOST</v>
      </c>
      <c r="E1952" s="3" t="str">
        <f>IF(COUNTIF(ISENÇÕES!A:A,CST!B1952)&gt;0,"ISENÇÃO","SEM ISENÇÃO")</f>
        <v>SEM ISENÇÃO</v>
      </c>
      <c r="F1952" s="18" t="str">
        <f>IF(COUNTIF(REDUÇÕES!A:A,CST!B1952)&gt;0,"REDUÇÃO","NÃO REDUÇÃO")</f>
        <v>NÃO REDUÇÃO</v>
      </c>
      <c r="G1952" s="27">
        <f t="shared" si="51"/>
        <v>0</v>
      </c>
    </row>
    <row r="1953" spans="1:7" x14ac:dyDescent="0.25">
      <c r="A1953" s="120" t="str">
        <f>RIGHT(CSTABLE[[#This Row],[NomeNCM]],8)</f>
        <v>64029110</v>
      </c>
      <c r="B1953" s="123" t="s">
        <v>5832</v>
      </c>
      <c r="C1953" s="3" t="str">
        <f>IFERROR(VLOOKUP(B1953,ST!C:D,2,0),"NÃOST")</f>
        <v>NÃOST</v>
      </c>
      <c r="E1953" s="3" t="str">
        <f>IF(COUNTIF(ISENÇÕES!A:A,CST!B1953)&gt;0,"ISENÇÃO","SEM ISENÇÃO")</f>
        <v>SEM ISENÇÃO</v>
      </c>
      <c r="F1953" s="18" t="str">
        <f>IF(COUNTIF(REDUÇÕES!A:A,CST!B1953)&gt;0,"REDUÇÃO","NÃO REDUÇÃO")</f>
        <v>NÃO REDUÇÃO</v>
      </c>
      <c r="G1953" s="27">
        <f t="shared" si="51"/>
        <v>0</v>
      </c>
    </row>
    <row r="1954" spans="1:7" x14ac:dyDescent="0.25">
      <c r="A1954" s="120" t="str">
        <f>RIGHT(CSTABLE[[#This Row],[NomeNCM]],8)</f>
        <v>68159990</v>
      </c>
      <c r="B1954" s="123" t="s">
        <v>5833</v>
      </c>
      <c r="C1954" s="3" t="str">
        <f>IFERROR(VLOOKUP(B1954,ST!C:D,2,0),"NÃOST")</f>
        <v>NÃOST</v>
      </c>
      <c r="E1954" s="3" t="str">
        <f>IF(COUNTIF(ISENÇÕES!A:A,CST!B1954)&gt;0,"ISENÇÃO","SEM ISENÇÃO")</f>
        <v>SEM ISENÇÃO</v>
      </c>
      <c r="F1954" s="18" t="str">
        <f>IF(COUNTIF(REDUÇÕES!A:A,CST!B1954)&gt;0,"REDUÇÃO","NÃO REDUÇÃO")</f>
        <v>NÃO REDUÇÃO</v>
      </c>
      <c r="G1954" s="27">
        <f t="shared" si="51"/>
        <v>0</v>
      </c>
    </row>
    <row r="1955" spans="1:7" x14ac:dyDescent="0.25">
      <c r="A1955" s="120" t="str">
        <f>RIGHT(CSTABLE[[#This Row],[NomeNCM]],8)</f>
        <v>85432000</v>
      </c>
      <c r="B1955" s="123" t="s">
        <v>5834</v>
      </c>
      <c r="C1955" s="3" t="str">
        <f>IFERROR(VLOOKUP(B1955,ST!C:D,2,0),"NÃOST")</f>
        <v>NÃOST</v>
      </c>
      <c r="E1955" s="3" t="str">
        <f>IF(COUNTIF(ISENÇÕES!A:A,CST!B1955)&gt;0,"ISENÇÃO","SEM ISENÇÃO")</f>
        <v>SEM ISENÇÃO</v>
      </c>
      <c r="F1955" s="18" t="str">
        <f>IF(COUNTIF(REDUÇÕES!A:A,CST!B1955)&gt;0,"REDUÇÃO","NÃO REDUÇÃO")</f>
        <v>NÃO REDUÇÃO</v>
      </c>
      <c r="G1955" s="27">
        <f t="shared" si="51"/>
        <v>0</v>
      </c>
    </row>
    <row r="1956" spans="1:7" x14ac:dyDescent="0.25">
      <c r="A1956" s="120" t="str">
        <f>RIGHT(CSTABLE[[#This Row],[NomeNCM]],8)</f>
        <v>32041830</v>
      </c>
      <c r="B1956" s="123" t="s">
        <v>5835</v>
      </c>
      <c r="C1956" s="3" t="str">
        <f>IFERROR(VLOOKUP(B1956,ST!C:D,2,0),"NÃOST")</f>
        <v>NÃOST</v>
      </c>
      <c r="E1956" s="3" t="str">
        <f>IF(COUNTIF(ISENÇÕES!A:A,CST!B1956)&gt;0,"ISENÇÃO","SEM ISENÇÃO")</f>
        <v>SEM ISENÇÃO</v>
      </c>
      <c r="F1956" s="18" t="str">
        <f>IF(COUNTIF(REDUÇÕES!A:A,CST!B1956)&gt;0,"REDUÇÃO","NÃO REDUÇÃO")</f>
        <v>NÃO REDUÇÃO</v>
      </c>
      <c r="G1956" s="27">
        <f t="shared" si="51"/>
        <v>0</v>
      </c>
    </row>
    <row r="1957" spans="1:7" x14ac:dyDescent="0.25">
      <c r="A1957" s="120" t="str">
        <f>RIGHT(CSTABLE[[#This Row],[NomeNCM]],8)</f>
        <v>39239090</v>
      </c>
      <c r="B1957" s="123" t="s">
        <v>5836</v>
      </c>
      <c r="C1957" s="3" t="str">
        <f>IFERROR(VLOOKUP(B1957,ST!C:D,2,0),"NÃOST")</f>
        <v>NÃOST</v>
      </c>
      <c r="E1957" s="3" t="str">
        <f>IF(COUNTIF(ISENÇÕES!A:A,CST!B1957)&gt;0,"ISENÇÃO","SEM ISENÇÃO")</f>
        <v>SEM ISENÇÃO</v>
      </c>
      <c r="F1957" s="18" t="str">
        <f>IF(COUNTIF(REDUÇÕES!A:A,CST!B1957)&gt;0,"REDUÇÃO","NÃO REDUÇÃO")</f>
        <v>NÃO REDUÇÃO</v>
      </c>
      <c r="G1957" s="27">
        <f t="shared" si="51"/>
        <v>0</v>
      </c>
    </row>
    <row r="1958" spans="1:7" x14ac:dyDescent="0.25">
      <c r="A1958" s="120" t="str">
        <f>RIGHT(CSTABLE[[#This Row],[NomeNCM]],8)</f>
        <v>73089090</v>
      </c>
      <c r="B1958" s="123" t="s">
        <v>5837</v>
      </c>
      <c r="C1958" s="3" t="str">
        <f>IFERROR(VLOOKUP(B1958,ST!C:D,2,0),"NÃOST")</f>
        <v>NÃOST</v>
      </c>
      <c r="E1958" s="3" t="str">
        <f>IF(COUNTIF(ISENÇÕES!A:A,CST!B1958)&gt;0,"ISENÇÃO","SEM ISENÇÃO")</f>
        <v>SEM ISENÇÃO</v>
      </c>
      <c r="F1958" s="18" t="str">
        <f>IF(COUNTIF(REDUÇÕES!A:A,CST!B1958)&gt;0,"REDUÇÃO","NÃO REDUÇÃO")</f>
        <v>NÃO REDUÇÃO</v>
      </c>
      <c r="G1958" s="27">
        <f t="shared" si="51"/>
        <v>0</v>
      </c>
    </row>
    <row r="1959" spans="1:7" x14ac:dyDescent="0.25">
      <c r="A1959" s="120" t="str">
        <f>RIGHT(CSTABLE[[#This Row],[NomeNCM]],8)</f>
        <v>76082090</v>
      </c>
      <c r="B1959" s="123" t="s">
        <v>5838</v>
      </c>
      <c r="C1959" s="3" t="str">
        <f>IFERROR(VLOOKUP(B1959,ST!C:D,2,0),"NÃOST")</f>
        <v>NÃOST</v>
      </c>
      <c r="E1959" s="3" t="str">
        <f>IF(COUNTIF(ISENÇÕES!A:A,CST!B1959)&gt;0,"ISENÇÃO","SEM ISENÇÃO")</f>
        <v>SEM ISENÇÃO</v>
      </c>
      <c r="F1959" s="18" t="str">
        <f>IF(COUNTIF(REDUÇÕES!A:A,CST!B1959)&gt;0,"REDUÇÃO","NÃO REDUÇÃO")</f>
        <v>NÃO REDUÇÃO</v>
      </c>
      <c r="G1959" s="27">
        <f t="shared" si="51"/>
        <v>0</v>
      </c>
    </row>
    <row r="1960" spans="1:7" x14ac:dyDescent="0.25">
      <c r="A1960" s="120" t="str">
        <f>RIGHT(CSTABLE[[#This Row],[NomeNCM]],8)</f>
        <v>84249090</v>
      </c>
      <c r="B1960" s="123" t="s">
        <v>5839</v>
      </c>
      <c r="C1960" s="3" t="str">
        <f>IFERROR(VLOOKUP(B1960,ST!C:D,2,0),"NÃOST")</f>
        <v>NÃOST</v>
      </c>
      <c r="E1960" s="3" t="str">
        <f>IF(COUNTIF(ISENÇÕES!A:A,CST!B1960)&gt;0,"ISENÇÃO","SEM ISENÇÃO")</f>
        <v>SEM ISENÇÃO</v>
      </c>
      <c r="F1960" s="18" t="str">
        <f>IF(COUNTIF(REDUÇÕES!A:A,CST!B1960)&gt;0,"REDUÇÃO","NÃO REDUÇÃO")</f>
        <v>NÃO REDUÇÃO</v>
      </c>
      <c r="G1960" s="27">
        <f t="shared" si="51"/>
        <v>0</v>
      </c>
    </row>
    <row r="1961" spans="1:7" x14ac:dyDescent="0.25">
      <c r="A1961" s="120" t="str">
        <f>RIGHT(CSTABLE[[#This Row],[NomeNCM]],8)</f>
        <v>84681000</v>
      </c>
      <c r="B1961" s="123" t="s">
        <v>1871</v>
      </c>
      <c r="C1961" s="3" t="str">
        <f>IFERROR(VLOOKUP(B1961,ST!C:D,2,0),"NÃOST")</f>
        <v>NÃOST</v>
      </c>
      <c r="E1961" s="3" t="str">
        <f>IF(COUNTIF(ISENÇÕES!A:A,CST!B1961)&gt;0,"ISENÇÃO","SEM ISENÇÃO")</f>
        <v>SEM ISENÇÃO</v>
      </c>
      <c r="F1961" s="18" t="str">
        <f>IF(COUNTIF(REDUÇÕES!A:A,CST!B1961)&gt;0,"REDUÇÃO","NÃO REDUÇÃO")</f>
        <v>REDUÇÃO</v>
      </c>
      <c r="G1961" s="27">
        <f t="shared" si="51"/>
        <v>20</v>
      </c>
    </row>
    <row r="1962" spans="1:7" x14ac:dyDescent="0.25">
      <c r="A1962" s="120" t="str">
        <f>RIGHT(CSTABLE[[#This Row],[NomeNCM]],8)</f>
        <v>91052900</v>
      </c>
      <c r="B1962" s="123" t="s">
        <v>5840</v>
      </c>
      <c r="C1962" s="49" t="str">
        <f>IFERROR(VLOOKUP(B1962,ST!C:D,2,0),"NÃOST")</f>
        <v>NÃOST</v>
      </c>
      <c r="E1962" s="49" t="str">
        <f>IF(COUNTIF(ISENÇÕES!A:A,CST!B1962)&gt;0,"ISENÇÃO","SEM ISENÇÃO")</f>
        <v>SEM ISENÇÃO</v>
      </c>
      <c r="F1962" s="50" t="str">
        <f>IF(COUNTIF(REDUÇÕES!A:A,CST!B1962)&gt;0,"REDUÇÃO","NÃO REDUÇÃO")</f>
        <v>NÃO REDUÇÃO</v>
      </c>
      <c r="G1962" s="51">
        <f t="shared" si="51"/>
        <v>0</v>
      </c>
    </row>
    <row r="1963" spans="1:7" x14ac:dyDescent="0.25">
      <c r="A1963" s="120" t="str">
        <f>RIGHT(CSTABLE[[#This Row],[NomeNCM]],8)</f>
        <v>30049019</v>
      </c>
      <c r="B1963" s="123" t="s">
        <v>5841</v>
      </c>
      <c r="C1963" s="49" t="str">
        <f>IFERROR(VLOOKUP(B1963,ST!C:D,2,0),"NÃOST")</f>
        <v>NÃOST</v>
      </c>
      <c r="E1963" s="49" t="str">
        <f>IF(COUNTIF(ISENÇÕES!A:A,CST!B1963)&gt;0,"ISENÇÃO","SEM ISENÇÃO")</f>
        <v>SEM ISENÇÃO</v>
      </c>
      <c r="F1963" s="50" t="str">
        <f>IF(COUNTIF(REDUÇÕES!A:A,CST!B1963)&gt;0,"REDUÇÃO","NÃO REDUÇÃO")</f>
        <v>NÃO REDUÇÃO</v>
      </c>
      <c r="G1963" s="51">
        <f t="shared" ref="G1963:G1965" si="52">VLOOKUP(C1963&amp;F1963&amp;E1963,$B$3:$F$10,5,0)</f>
        <v>0</v>
      </c>
    </row>
    <row r="1964" spans="1:7" x14ac:dyDescent="0.25">
      <c r="A1964" s="120" t="str">
        <f>RIGHT(CSTABLE[[#This Row],[NomeNCM]],8)</f>
        <v>57033900</v>
      </c>
      <c r="B1964" s="123" t="s">
        <v>5842</v>
      </c>
      <c r="C1964" s="49" t="str">
        <f>IFERROR(VLOOKUP(B1964,ST!C:D,2,0),"NÃOST")</f>
        <v>NÃOST</v>
      </c>
      <c r="E1964" s="49" t="str">
        <f>IF(COUNTIF(ISENÇÕES!A:A,CST!B1964)&gt;0,"ISENÇÃO","SEM ISENÇÃO")</f>
        <v>SEM ISENÇÃO</v>
      </c>
      <c r="F1964" s="50" t="str">
        <f>IF(COUNTIF(REDUÇÕES!A:A,CST!B1964)&gt;0,"REDUÇÃO","NÃO REDUÇÃO")</f>
        <v>NÃO REDUÇÃO</v>
      </c>
      <c r="G1964" s="51">
        <f t="shared" si="52"/>
        <v>0</v>
      </c>
    </row>
    <row r="1965" spans="1:7" x14ac:dyDescent="0.25">
      <c r="A1965" s="120" t="str">
        <f>RIGHT(CSTABLE[[#This Row],[NomeNCM]],8)</f>
        <v>65050021</v>
      </c>
      <c r="B1965" s="123" t="s">
        <v>5843</v>
      </c>
      <c r="C1965" s="49" t="str">
        <f>IFERROR(VLOOKUP(B1965,ST!C:D,2,0),"NÃOST")</f>
        <v>NÃOST</v>
      </c>
      <c r="E1965" s="49" t="str">
        <f>IF(COUNTIF(ISENÇÕES!A:A,CST!B1965)&gt;0,"ISENÇÃO","SEM ISENÇÃO")</f>
        <v>SEM ISENÇÃO</v>
      </c>
      <c r="F1965" s="50" t="str">
        <f>IF(COUNTIF(REDUÇÕES!A:A,CST!B1965)&gt;0,"REDUÇÃO","NÃO REDUÇÃO")</f>
        <v>NÃO REDUÇÃO</v>
      </c>
      <c r="G1965" s="51">
        <f t="shared" si="52"/>
        <v>0</v>
      </c>
    </row>
    <row r="1966" spans="1:7" x14ac:dyDescent="0.25">
      <c r="A1966" s="120" t="str">
        <f>RIGHT(CSTABLE[[#This Row],[NomeNCM]],8)</f>
        <v>27100061</v>
      </c>
      <c r="B1966" s="123" t="s">
        <v>5846</v>
      </c>
      <c r="C1966" s="3" t="str">
        <f>IFERROR(VLOOKUP(B1966,ST!C:D,2,0),"NÃOST")</f>
        <v>NÃOST</v>
      </c>
      <c r="E1966" s="3" t="str">
        <f>IF(COUNTIF(ISENÇÕES!A:A,CST!B1966)&gt;0,"ISENÇÃO","SEM ISENÇÃO")</f>
        <v>SEM ISENÇÃO</v>
      </c>
      <c r="F1966" s="18" t="str">
        <f>IF(COUNTIF(REDUÇÕES!A:A,CST!B1966)&gt;0,"REDUÇÃO","NÃO REDUÇÃO")</f>
        <v>NÃO REDUÇÃO</v>
      </c>
      <c r="G1966" s="27">
        <f t="shared" ref="G1966:G1967" si="53">VLOOKUP(C1966&amp;F1966&amp;E1966,$B$3:$F$10,5,0)</f>
        <v>0</v>
      </c>
    </row>
    <row r="1967" spans="1:7" x14ac:dyDescent="0.25">
      <c r="A1967" s="120" t="str">
        <f>RIGHT(CSTABLE[[#This Row],[NomeNCM]],8)</f>
        <v>84133030</v>
      </c>
      <c r="B1967" s="123" t="s">
        <v>5845</v>
      </c>
      <c r="C1967" s="3" t="str">
        <f>IFERROR(VLOOKUP(B1967,ST!C:D,2,0),"NÃOST")</f>
        <v>NÃOST</v>
      </c>
      <c r="E1967" s="3" t="str">
        <f>IF(COUNTIF(ISENÇÕES!A:A,CST!B1967)&gt;0,"ISENÇÃO","SEM ISENÇÃO")</f>
        <v>SEM ISENÇÃO</v>
      </c>
      <c r="F1967" s="18" t="str">
        <f>IF(COUNTIF(REDUÇÕES!A:A,CST!B1967)&gt;0,"REDUÇÃO","NÃO REDUÇÃO")</f>
        <v>NÃO REDUÇÃO</v>
      </c>
      <c r="G1967" s="27">
        <f t="shared" si="53"/>
        <v>0</v>
      </c>
    </row>
    <row r="1968" spans="1:7" x14ac:dyDescent="0.25">
      <c r="A1968" s="120" t="str">
        <f>RIGHT(CSTABLE[[#This Row],[NomeNCM]],8)</f>
        <v>42034000</v>
      </c>
      <c r="B1968" s="123" t="s">
        <v>5861</v>
      </c>
      <c r="C1968" s="49" t="str">
        <f>IFERROR(VLOOKUP(B1968,ST!C:D,2,0),"NÃOST")</f>
        <v>NÃOST</v>
      </c>
      <c r="E1968" s="49" t="str">
        <f>IF(COUNTIF(ISENÇÕES!A:A,CST!B1968)&gt;0,"ISENÇÃO","SEM ISENÇÃO")</f>
        <v>SEM ISENÇÃO</v>
      </c>
      <c r="F1968" s="50" t="str">
        <f>IF(COUNTIF(REDUÇÕES!A:A,CST!B1968)&gt;0,"REDUÇÃO","NÃO REDUÇÃO")</f>
        <v>NÃO REDUÇÃO</v>
      </c>
      <c r="G1968" s="51">
        <f>VLOOKUP(C1968&amp;F1968&amp;E1968,$B$3:$F$10,5,0)</f>
        <v>0</v>
      </c>
    </row>
    <row r="1969" spans="1:7" x14ac:dyDescent="0.25">
      <c r="A1969" s="120" t="str">
        <f>RIGHT(CSTABLE[[#This Row],[NomeNCM]],8)</f>
        <v>32030030</v>
      </c>
      <c r="B1969" s="123" t="s">
        <v>5862</v>
      </c>
      <c r="C1969" s="49" t="str">
        <f>IFERROR(VLOOKUP(B1969,ST!C:D,2,0),"NÃOST")</f>
        <v>NÃOST</v>
      </c>
      <c r="E1969" s="49" t="str">
        <f>IF(COUNTIF(ISENÇÕES!A:A,CST!B1969)&gt;0,"ISENÇÃO","SEM ISENÇÃO")</f>
        <v>SEM ISENÇÃO</v>
      </c>
      <c r="F1969" s="50" t="str">
        <f>IF(COUNTIF(REDUÇÕES!A:A,CST!B1969)&gt;0,"REDUÇÃO","NÃO REDUÇÃO")</f>
        <v>NÃO REDUÇÃO</v>
      </c>
      <c r="G1969" s="51">
        <f>VLOOKUP(C1969&amp;F1969&amp;E1969,$B$3:$F$10,5,0)</f>
        <v>0</v>
      </c>
    </row>
    <row r="1970" spans="1:7" x14ac:dyDescent="0.25">
      <c r="A1970" s="120" t="str">
        <f>RIGHT(CSTABLE[[#This Row],[NomeNCM]],8)</f>
        <v>84672100</v>
      </c>
      <c r="B1970" s="123" t="s">
        <v>5863</v>
      </c>
      <c r="C1970" s="3" t="str">
        <f>IFERROR(VLOOKUP(B1970,ST!C:D,2,0),"NÃOST")</f>
        <v>NÃOST</v>
      </c>
      <c r="E1970" s="3" t="str">
        <f>IF(COUNTIF(ISENÇÕES!A:A,CST!B1970)&gt;0,"ISENÇÃO","SEM ISENÇÃO")</f>
        <v>SEM ISENÇÃO</v>
      </c>
      <c r="F1970" s="18" t="str">
        <f>IF(COUNTIF(REDUÇÕES!A:A,CST!B1970)&gt;0,"REDUÇÃO","NÃO REDUÇÃO")</f>
        <v>NÃO REDUÇÃO</v>
      </c>
      <c r="G1970" s="27">
        <f t="shared" ref="G1970:G1971" si="54">VLOOKUP(C1970&amp;F1970&amp;E1970,$B$3:$F$10,5,0)</f>
        <v>0</v>
      </c>
    </row>
    <row r="1971" spans="1:7" x14ac:dyDescent="0.25">
      <c r="A1971" s="120" t="str">
        <f>RIGHT(CSTABLE[[#This Row],[NomeNCM]],8)</f>
        <v>94051990</v>
      </c>
      <c r="B1971" s="123" t="s">
        <v>5864</v>
      </c>
      <c r="C1971" s="49" t="str">
        <f>IFERROR(VLOOKUP(B1971,ST!C:D,2,0),"NÃOST")</f>
        <v>NÃOST</v>
      </c>
      <c r="E1971" s="49" t="str">
        <f>IF(COUNTIF(ISENÇÕES!A:A,CST!B1971)&gt;0,"ISENÇÃO","SEM ISENÇÃO")</f>
        <v>SEM ISENÇÃO</v>
      </c>
      <c r="F1971" s="50" t="str">
        <f>IF(COUNTIF(REDUÇÕES!A:A,CST!B1971)&gt;0,"REDUÇÃO","NÃO REDUÇÃO")</f>
        <v>NÃO REDUÇÃO</v>
      </c>
      <c r="G1971" s="51">
        <f t="shared" si="54"/>
        <v>0</v>
      </c>
    </row>
    <row r="1972" spans="1:7" x14ac:dyDescent="0.25">
      <c r="A1972" s="120" t="str">
        <f>RIGHT(CSTABLE[[#This Row],[NomeNCM]],8)</f>
        <v>83022000</v>
      </c>
      <c r="B1972" s="123" t="s">
        <v>5865</v>
      </c>
      <c r="C1972" s="3" t="str">
        <f>IFERROR(VLOOKUP(B1972,ST!C:D,2,0),"NÃOST")</f>
        <v>NÃOST</v>
      </c>
      <c r="E1972" s="3" t="str">
        <f>IF(COUNTIF(ISENÇÕES!A:A,CST!B1972)&gt;0,"ISENÇÃO","SEM ISENÇÃO")</f>
        <v>SEM ISENÇÃO</v>
      </c>
      <c r="F1972" s="18" t="str">
        <f>IF(COUNTIF(REDUÇÕES!A:A,CST!B1972)&gt;0,"REDUÇÃO","NÃO REDUÇÃO")</f>
        <v>NÃO REDUÇÃO</v>
      </c>
      <c r="G1972" s="27">
        <f t="shared" ref="G1972:G1975" si="55">VLOOKUP(C1972&amp;F1972&amp;E1972,$B$3:$F$10,5,0)</f>
        <v>0</v>
      </c>
    </row>
    <row r="1973" spans="1:7" x14ac:dyDescent="0.25">
      <c r="A1973" s="120" t="str">
        <f>RIGHT(CSTABLE[[#This Row],[NomeNCM]],8)</f>
        <v>96035000</v>
      </c>
      <c r="B1973" s="123" t="s">
        <v>5866</v>
      </c>
      <c r="C1973" s="3" t="str">
        <f>IFERROR(VLOOKUP(B1973,ST!C:D,2,0),"NÃOST")</f>
        <v>NÃOST</v>
      </c>
      <c r="E1973" s="3" t="str">
        <f>IF(COUNTIF(ISENÇÕES!A:A,CST!B1973)&gt;0,"ISENÇÃO","SEM ISENÇÃO")</f>
        <v>SEM ISENÇÃO</v>
      </c>
      <c r="F1973" s="18" t="str">
        <f>IF(COUNTIF(REDUÇÕES!A:A,CST!B1973)&gt;0,"REDUÇÃO","NÃO REDUÇÃO")</f>
        <v>NÃO REDUÇÃO</v>
      </c>
      <c r="G1973" s="27">
        <f t="shared" si="55"/>
        <v>0</v>
      </c>
    </row>
    <row r="1974" spans="1:7" x14ac:dyDescent="0.25">
      <c r="A1974" s="120" t="str">
        <f>RIGHT(CSTABLE[[#This Row],[NomeNCM]],8)</f>
        <v>65040090</v>
      </c>
      <c r="B1974" s="123" t="s">
        <v>5867</v>
      </c>
      <c r="C1974" s="3" t="str">
        <f>IFERROR(VLOOKUP(B1974,ST!C:D,2,0),"NÃOST")</f>
        <v>NÃOST</v>
      </c>
      <c r="E1974" s="3" t="str">
        <f>IF(COUNTIF(ISENÇÕES!A:A,CST!B1974)&gt;0,"ISENÇÃO","SEM ISENÇÃO")</f>
        <v>SEM ISENÇÃO</v>
      </c>
      <c r="F1974" s="18" t="str">
        <f>IF(COUNTIF(REDUÇÕES!A:A,CST!B1974)&gt;0,"REDUÇÃO","NÃO REDUÇÃO")</f>
        <v>NÃO REDUÇÃO</v>
      </c>
      <c r="G1974" s="27">
        <f t="shared" si="55"/>
        <v>0</v>
      </c>
    </row>
    <row r="1975" spans="1:7" x14ac:dyDescent="0.25">
      <c r="A1975" s="120" t="str">
        <f>RIGHT(CSTABLE[[#This Row],[NomeNCM]],8)</f>
        <v>39169090</v>
      </c>
      <c r="B1975" s="123" t="s">
        <v>5868</v>
      </c>
      <c r="C1975" s="49" t="str">
        <f>IFERROR(VLOOKUP(B1975,ST!C:D,2,0),"NÃOST")</f>
        <v>NÃOST</v>
      </c>
      <c r="E1975" s="49" t="str">
        <f>IF(COUNTIF(ISENÇÕES!A:A,CST!B1975)&gt;0,"ISENÇÃO","SEM ISENÇÃO")</f>
        <v>SEM ISENÇÃO</v>
      </c>
      <c r="F1975" s="50" t="str">
        <f>IF(COUNTIF(REDUÇÕES!A:A,CST!B1975)&gt;0,"REDUÇÃO","NÃO REDUÇÃO")</f>
        <v>NÃO REDUÇÃO</v>
      </c>
      <c r="G1975" s="51">
        <f t="shared" si="55"/>
        <v>0</v>
      </c>
    </row>
    <row r="1976" spans="1:7" x14ac:dyDescent="0.25">
      <c r="A1976" s="120" t="str">
        <f>RIGHT(CSTABLE[[#This Row],[NomeNCM]],8)</f>
        <v>15151100</v>
      </c>
      <c r="B1976" s="123" t="s">
        <v>5869</v>
      </c>
      <c r="C1976" s="49" t="str">
        <f>IFERROR(VLOOKUP(B1976,ST!C:D,2,0),"NÃOST")</f>
        <v>NÃOST</v>
      </c>
      <c r="E1976" s="49" t="str">
        <f>IF(COUNTIF(ISENÇÕES!A:A,CST!B1976)&gt;0,"ISENÇÃO","SEM ISENÇÃO")</f>
        <v>SEM ISENÇÃO</v>
      </c>
      <c r="F1976" s="50" t="str">
        <f>IF(COUNTIF(REDUÇÕES!A:A,CST!B1976)&gt;0,"REDUÇÃO","NÃO REDUÇÃO")</f>
        <v>NÃO REDUÇÃO</v>
      </c>
      <c r="G1976" s="51">
        <f>VLOOKUP(C1976&amp;F1976&amp;E1976,$B$3:$F$10,5,0)</f>
        <v>0</v>
      </c>
    </row>
    <row r="1977" spans="1:7" x14ac:dyDescent="0.25">
      <c r="A1977" s="120" t="str">
        <f>RIGHT(CSTABLE[[#This Row],[NomeNCM]],8)</f>
        <v>85393119</v>
      </c>
      <c r="B1977" s="123" t="s">
        <v>5870</v>
      </c>
      <c r="C1977" s="49" t="str">
        <f>IFERROR(VLOOKUP(B1977,ST!C:D,2,0),"NÃOST")</f>
        <v>NÃOST</v>
      </c>
      <c r="E1977" s="49" t="str">
        <f>IF(COUNTIF(ISENÇÕES!A:A,CST!B1977)&gt;0,"ISENÇÃO","SEM ISENÇÃO")</f>
        <v>SEM ISENÇÃO</v>
      </c>
      <c r="F1977" s="50" t="str">
        <f>IF(COUNTIF(REDUÇÕES!A:A,CST!B1977)&gt;0,"REDUÇÃO","NÃO REDUÇÃO")</f>
        <v>NÃO REDUÇÃO</v>
      </c>
      <c r="G1977" s="51">
        <f>VLOOKUP(C1977&amp;F1977&amp;E1977,$B$3:$F$10,5,0)</f>
        <v>0</v>
      </c>
    </row>
  </sheetData>
  <conditionalFormatting sqref="B16:B1977">
    <cfRule type="duplicateValues" dxfId="1" priority="10155"/>
  </conditionalFormatting>
  <pageMargins left="0.511811024" right="0.511811024" top="0.78740157499999996" bottom="0.78740157499999996" header="0.31496062000000002" footer="0.31496062000000002"/>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dimension ref="A1:F158"/>
  <sheetViews>
    <sheetView showGridLines="0" workbookViewId="0">
      <selection activeCell="K29" sqref="K29"/>
    </sheetView>
  </sheetViews>
  <sheetFormatPr defaultRowHeight="15" x14ac:dyDescent="0.25"/>
  <cols>
    <col min="2" max="2" width="9" bestFit="1" customWidth="1"/>
    <col min="3" max="3" width="21" customWidth="1"/>
    <col min="4" max="4" width="10.7109375" customWidth="1"/>
    <col min="5" max="5" width="7.5703125" customWidth="1"/>
    <col min="6" max="6" width="15.7109375" customWidth="1"/>
  </cols>
  <sheetData>
    <row r="1" spans="1:6" x14ac:dyDescent="0.25">
      <c r="A1" s="57" t="s">
        <v>0</v>
      </c>
      <c r="B1" s="8" t="s">
        <v>1</v>
      </c>
      <c r="C1" s="8" t="s">
        <v>2</v>
      </c>
      <c r="D1" s="8" t="s">
        <v>3</v>
      </c>
      <c r="E1" s="8" t="s">
        <v>4</v>
      </c>
      <c r="F1" s="58" t="s">
        <v>5</v>
      </c>
    </row>
    <row r="2" spans="1:6" x14ac:dyDescent="0.25">
      <c r="A2" s="59" t="s">
        <v>6</v>
      </c>
      <c r="B2" s="1" t="str">
        <f>RIGHT(Tabela1[[#This Row],[Código para fórmula]],8)</f>
        <v>22030000</v>
      </c>
      <c r="C2" s="2" t="s">
        <v>7</v>
      </c>
      <c r="D2" s="3" t="s">
        <v>3</v>
      </c>
      <c r="E2" s="1"/>
      <c r="F2" s="60"/>
    </row>
    <row r="3" spans="1:6" x14ac:dyDescent="0.25">
      <c r="A3" s="59" t="s">
        <v>8</v>
      </c>
      <c r="B3" s="1" t="str">
        <f>RIGHT(Tabela1[[#This Row],[Código para fórmula]],8)</f>
        <v>22029100</v>
      </c>
      <c r="C3" s="2" t="s">
        <v>9</v>
      </c>
      <c r="D3" s="3" t="s">
        <v>3</v>
      </c>
      <c r="E3" s="1"/>
      <c r="F3" s="60"/>
    </row>
    <row r="4" spans="1:6" x14ac:dyDescent="0.25">
      <c r="A4" s="59" t="s">
        <v>11</v>
      </c>
      <c r="B4" s="1" t="str">
        <f>RIGHT(Tabela1[[#This Row],[Código para fórmula]],8)</f>
        <v>22011000</v>
      </c>
      <c r="C4" s="2" t="s">
        <v>12</v>
      </c>
      <c r="D4" s="3" t="s">
        <v>3</v>
      </c>
      <c r="E4" s="1"/>
      <c r="F4" s="60"/>
    </row>
    <row r="5" spans="1:6" x14ac:dyDescent="0.25">
      <c r="A5" s="59" t="s">
        <v>13</v>
      </c>
      <c r="B5" s="1" t="str">
        <f>RIGHT(Tabela1[[#This Row],[Código para fórmula]],8)</f>
        <v>22019000</v>
      </c>
      <c r="C5" s="2" t="s">
        <v>14</v>
      </c>
      <c r="D5" s="3" t="s">
        <v>3</v>
      </c>
      <c r="E5" s="1"/>
      <c r="F5" s="60"/>
    </row>
    <row r="6" spans="1:6" x14ac:dyDescent="0.25">
      <c r="A6" s="59" t="s">
        <v>15</v>
      </c>
      <c r="B6" s="1" t="str">
        <f>RIGHT(Tabela1[[#This Row],[Código para fórmula]],8)</f>
        <v>39251000</v>
      </c>
      <c r="C6" s="2" t="s">
        <v>16</v>
      </c>
      <c r="D6" s="3" t="s">
        <v>3</v>
      </c>
      <c r="E6" s="1"/>
      <c r="F6" s="60"/>
    </row>
    <row r="7" spans="1:6" x14ac:dyDescent="0.25">
      <c r="A7" s="59" t="s">
        <v>17</v>
      </c>
      <c r="B7" s="1" t="str">
        <f>RIGHT(Tabela1[[#This Row],[Código para fórmula]],8)</f>
        <v>22071010</v>
      </c>
      <c r="C7" s="2" t="s">
        <v>18</v>
      </c>
      <c r="D7" s="3" t="s">
        <v>3</v>
      </c>
      <c r="E7" s="1"/>
      <c r="F7" s="60"/>
    </row>
    <row r="8" spans="1:6" x14ac:dyDescent="0.25">
      <c r="A8" s="59" t="s">
        <v>19</v>
      </c>
      <c r="B8" s="1" t="str">
        <f>RIGHT(Tabela1[[#This Row],[Código para fórmula]],8)</f>
        <v>38260000</v>
      </c>
      <c r="C8" s="2" t="s">
        <v>20</v>
      </c>
      <c r="D8" s="3" t="s">
        <v>3</v>
      </c>
      <c r="E8" s="1"/>
      <c r="F8" s="60"/>
    </row>
    <row r="9" spans="1:6" x14ac:dyDescent="0.25">
      <c r="A9" s="59" t="s">
        <v>21</v>
      </c>
      <c r="B9" s="1" t="str">
        <f>RIGHT(Tabela1[[#This Row],[Código para fórmula]],8)</f>
        <v>27101259</v>
      </c>
      <c r="C9" s="2" t="s">
        <v>22</v>
      </c>
      <c r="D9" s="3" t="s">
        <v>3</v>
      </c>
      <c r="E9" s="1"/>
      <c r="F9" s="60"/>
    </row>
    <row r="10" spans="1:6" x14ac:dyDescent="0.25">
      <c r="A10" s="59" t="s">
        <v>23</v>
      </c>
      <c r="B10" s="1" t="str">
        <f>RIGHT(Tabela1[[#This Row],[Código para fórmula]],8)</f>
        <v>27111910</v>
      </c>
      <c r="C10" s="2" t="s">
        <v>24</v>
      </c>
      <c r="D10" s="3" t="s">
        <v>3</v>
      </c>
      <c r="E10" s="1"/>
      <c r="F10" s="60"/>
    </row>
    <row r="11" spans="1:6" x14ac:dyDescent="0.25">
      <c r="A11" s="59" t="s">
        <v>25</v>
      </c>
      <c r="B11" s="1" t="str">
        <f>RIGHT(Tabela1[[#This Row],[Código para fórmula]],8)</f>
        <v>27112990</v>
      </c>
      <c r="C11" s="2" t="s">
        <v>26</v>
      </c>
      <c r="D11" s="3" t="s">
        <v>3</v>
      </c>
      <c r="E11" s="1"/>
      <c r="F11" s="60"/>
    </row>
    <row r="12" spans="1:6" x14ac:dyDescent="0.25">
      <c r="A12" s="59" t="s">
        <v>27</v>
      </c>
      <c r="B12" s="1" t="str">
        <f>RIGHT(Tabela1[[#This Row],[Código para fórmula]],8)</f>
        <v>27111100</v>
      </c>
      <c r="C12" s="2" t="s">
        <v>28</v>
      </c>
      <c r="D12" s="3" t="s">
        <v>3</v>
      </c>
      <c r="E12" s="1"/>
      <c r="F12" s="60"/>
    </row>
    <row r="13" spans="1:6" x14ac:dyDescent="0.25">
      <c r="A13" s="59" t="s">
        <v>29</v>
      </c>
      <c r="B13" s="1" t="str">
        <f>RIGHT(Tabela1[[#This Row],[Código para fórmula]],8)</f>
        <v>27112100</v>
      </c>
      <c r="C13" s="2" t="s">
        <v>30</v>
      </c>
      <c r="D13" s="3" t="s">
        <v>3</v>
      </c>
      <c r="E13" s="1"/>
      <c r="F13" s="60"/>
    </row>
    <row r="14" spans="1:6" x14ac:dyDescent="0.25">
      <c r="A14" s="59" t="s">
        <v>32</v>
      </c>
      <c r="B14" s="1" t="str">
        <f>RIGHT(Tabela1[[#This Row],[Código para fórmula]],8)</f>
        <v>27101251</v>
      </c>
      <c r="C14" s="2" t="s">
        <v>33</v>
      </c>
      <c r="D14" s="3" t="s">
        <v>3</v>
      </c>
      <c r="E14" s="1"/>
      <c r="F14" s="60"/>
    </row>
    <row r="15" spans="1:6" x14ac:dyDescent="0.25">
      <c r="A15" s="59" t="s">
        <v>34</v>
      </c>
      <c r="B15" s="1" t="str">
        <f>RIGHT(Tabela1[[#This Row],[Código para fórmula]],8)</f>
        <v>27101911</v>
      </c>
      <c r="C15" s="2" t="s">
        <v>35</v>
      </c>
      <c r="D15" s="3" t="s">
        <v>3</v>
      </c>
      <c r="E15" s="1"/>
      <c r="F15" s="60"/>
    </row>
    <row r="16" spans="1:6" x14ac:dyDescent="0.25">
      <c r="A16" s="59" t="s">
        <v>36</v>
      </c>
      <c r="B16" s="1" t="str">
        <f>RIGHT(Tabela1[[#This Row],[Código para fórmula]],8)</f>
        <v>27101922</v>
      </c>
      <c r="C16" s="2" t="s">
        <v>37</v>
      </c>
      <c r="D16" s="3" t="s">
        <v>3</v>
      </c>
      <c r="E16" s="1"/>
      <c r="F16" s="60"/>
    </row>
    <row r="17" spans="1:6" x14ac:dyDescent="0.25">
      <c r="A17" s="59" t="s">
        <v>38</v>
      </c>
      <c r="B17" s="1" t="str">
        <f>RIGHT(Tabela1[[#This Row],[Código para fórmula]],8)</f>
        <v>27101919</v>
      </c>
      <c r="C17" s="2" t="s">
        <v>39</v>
      </c>
      <c r="D17" s="3" t="s">
        <v>3</v>
      </c>
      <c r="E17" s="1"/>
      <c r="F17" s="60"/>
    </row>
    <row r="18" spans="1:6" x14ac:dyDescent="0.25">
      <c r="A18" s="59" t="s">
        <v>40</v>
      </c>
      <c r="B18" s="1" t="str">
        <f>RIGHT(Tabela1[[#This Row],[Código para fórmula]],8)</f>
        <v>27102000</v>
      </c>
      <c r="C18" s="2" t="s">
        <v>41</v>
      </c>
      <c r="D18" s="3" t="s">
        <v>3</v>
      </c>
      <c r="E18" s="1"/>
      <c r="F18" s="60"/>
    </row>
    <row r="19" spans="1:6" x14ac:dyDescent="0.25">
      <c r="A19" s="59" t="s">
        <v>42</v>
      </c>
      <c r="B19" s="1" t="str">
        <f>RIGHT(Tabela1[[#This Row],[Código para fórmula]],8)</f>
        <v>87021000</v>
      </c>
      <c r="C19" s="2" t="s">
        <v>43</v>
      </c>
      <c r="D19" s="3" t="s">
        <v>3</v>
      </c>
      <c r="E19" s="1"/>
      <c r="F19" s="60"/>
    </row>
    <row r="20" spans="1:6" x14ac:dyDescent="0.25">
      <c r="A20" s="59" t="s">
        <v>44</v>
      </c>
      <c r="B20" s="1" t="str">
        <f>RIGHT(Tabela1[[#This Row],[Código para fórmula]],8)</f>
        <v>87022000</v>
      </c>
      <c r="C20" s="2" t="s">
        <v>45</v>
      </c>
      <c r="D20" s="3" t="s">
        <v>3</v>
      </c>
      <c r="E20" s="1"/>
      <c r="F20" s="60"/>
    </row>
    <row r="21" spans="1:6" x14ac:dyDescent="0.25">
      <c r="A21" s="59" t="s">
        <v>46</v>
      </c>
      <c r="B21" s="1" t="str">
        <f>RIGHT(Tabela1[[#This Row],[Código para fórmula]],8)</f>
        <v>87023000</v>
      </c>
      <c r="C21" s="2" t="s">
        <v>47</v>
      </c>
      <c r="D21" s="3" t="s">
        <v>3</v>
      </c>
      <c r="E21" s="1"/>
      <c r="F21" s="60"/>
    </row>
    <row r="22" spans="1:6" x14ac:dyDescent="0.25">
      <c r="A22" s="59" t="s">
        <v>48</v>
      </c>
      <c r="B22" s="1" t="str">
        <f>RIGHT(Tabela1[[#This Row],[Código para fórmula]],8)</f>
        <v>87024090</v>
      </c>
      <c r="C22" s="2" t="s">
        <v>49</v>
      </c>
      <c r="D22" s="3" t="s">
        <v>3</v>
      </c>
      <c r="E22" s="1"/>
      <c r="F22" s="60"/>
    </row>
    <row r="23" spans="1:6" x14ac:dyDescent="0.25">
      <c r="A23" s="59" t="s">
        <v>50</v>
      </c>
      <c r="B23" s="1" t="str">
        <f>RIGHT(Tabela1[[#This Row],[Código para fórmula]],8)</f>
        <v>87029000</v>
      </c>
      <c r="C23" s="2" t="s">
        <v>51</v>
      </c>
      <c r="D23" s="3" t="s">
        <v>3</v>
      </c>
      <c r="E23" s="1"/>
      <c r="F23" s="60"/>
    </row>
    <row r="24" spans="1:6" x14ac:dyDescent="0.25">
      <c r="A24" s="59" t="s">
        <v>52</v>
      </c>
      <c r="B24" s="1" t="str">
        <f>RIGHT(Tabela1[[#This Row],[Código para fórmula]],8)</f>
        <v>87032100</v>
      </c>
      <c r="C24" s="2" t="s">
        <v>53</v>
      </c>
      <c r="D24" s="3" t="s">
        <v>3</v>
      </c>
      <c r="E24" s="1"/>
      <c r="F24" s="60"/>
    </row>
    <row r="25" spans="1:6" x14ac:dyDescent="0.25">
      <c r="A25" s="59" t="s">
        <v>54</v>
      </c>
      <c r="B25" s="1" t="str">
        <f>RIGHT(Tabela1[[#This Row],[Código para fórmula]],8)</f>
        <v>87032210</v>
      </c>
      <c r="C25" s="2" t="s">
        <v>55</v>
      </c>
      <c r="D25" s="3" t="s">
        <v>3</v>
      </c>
      <c r="E25" s="1"/>
      <c r="F25" s="60"/>
    </row>
    <row r="26" spans="1:6" x14ac:dyDescent="0.25">
      <c r="A26" s="59" t="s">
        <v>56</v>
      </c>
      <c r="B26" s="1" t="str">
        <f>RIGHT(Tabela1[[#This Row],[Código para fórmula]],8)</f>
        <v>87032290</v>
      </c>
      <c r="C26" s="2" t="s">
        <v>57</v>
      </c>
      <c r="D26" s="3" t="s">
        <v>3</v>
      </c>
      <c r="E26" s="1"/>
      <c r="F26" s="60"/>
    </row>
    <row r="27" spans="1:6" x14ac:dyDescent="0.25">
      <c r="A27" s="59" t="s">
        <v>58</v>
      </c>
      <c r="B27" s="1" t="str">
        <f>RIGHT(Tabela1[[#This Row],[Código para fórmula]],8)</f>
        <v>87032310</v>
      </c>
      <c r="C27" s="2" t="s">
        <v>59</v>
      </c>
      <c r="D27" s="3" t="s">
        <v>3</v>
      </c>
      <c r="E27" s="1"/>
      <c r="F27" s="60"/>
    </row>
    <row r="28" spans="1:6" x14ac:dyDescent="0.25">
      <c r="A28" s="59" t="s">
        <v>60</v>
      </c>
      <c r="B28" s="1" t="str">
        <f>RIGHT(Tabela1[[#This Row],[Código para fórmula]],8)</f>
        <v>87032390</v>
      </c>
      <c r="C28" s="2" t="s">
        <v>61</v>
      </c>
      <c r="D28" s="3" t="s">
        <v>3</v>
      </c>
      <c r="E28" s="1"/>
      <c r="F28" s="60"/>
    </row>
    <row r="29" spans="1:6" x14ac:dyDescent="0.25">
      <c r="A29" s="59" t="s">
        <v>62</v>
      </c>
      <c r="B29" s="1" t="str">
        <f>RIGHT(Tabela1[[#This Row],[Código para fórmula]],8)</f>
        <v>87032410</v>
      </c>
      <c r="C29" s="2" t="s">
        <v>63</v>
      </c>
      <c r="D29" s="3" t="s">
        <v>3</v>
      </c>
      <c r="E29" s="1"/>
      <c r="F29" s="60"/>
    </row>
    <row r="30" spans="1:6" x14ac:dyDescent="0.25">
      <c r="A30" s="59" t="s">
        <v>64</v>
      </c>
      <c r="B30" s="1" t="str">
        <f>RIGHT(Tabela1[[#This Row],[Código para fórmula]],8)</f>
        <v>87032490</v>
      </c>
      <c r="C30" s="2" t="s">
        <v>65</v>
      </c>
      <c r="D30" s="3" t="s">
        <v>3</v>
      </c>
      <c r="E30" s="1"/>
      <c r="F30" s="60"/>
    </row>
    <row r="31" spans="1:6" x14ac:dyDescent="0.25">
      <c r="A31" s="59" t="s">
        <v>66</v>
      </c>
      <c r="B31" s="1" t="str">
        <f>RIGHT(Tabela1[[#This Row],[Código para fórmula]],8)</f>
        <v>87033210</v>
      </c>
      <c r="C31" s="2" t="s">
        <v>67</v>
      </c>
      <c r="D31" s="3" t="s">
        <v>3</v>
      </c>
      <c r="E31" s="1"/>
      <c r="F31" s="60"/>
    </row>
    <row r="32" spans="1:6" x14ac:dyDescent="0.25">
      <c r="A32" s="59" t="s">
        <v>68</v>
      </c>
      <c r="B32" s="1" t="str">
        <f>RIGHT(Tabela1[[#This Row],[Código para fórmula]],8)</f>
        <v>87033290</v>
      </c>
      <c r="C32" s="2" t="s">
        <v>69</v>
      </c>
      <c r="D32" s="3" t="s">
        <v>3</v>
      </c>
      <c r="E32" s="3"/>
      <c r="F32" s="60"/>
    </row>
    <row r="33" spans="1:6" x14ac:dyDescent="0.25">
      <c r="A33" s="59" t="s">
        <v>70</v>
      </c>
      <c r="B33" s="1" t="str">
        <f>RIGHT(Tabela1[[#This Row],[Código para fórmula]],8)</f>
        <v>87033310</v>
      </c>
      <c r="C33" s="2" t="s">
        <v>71</v>
      </c>
      <c r="D33" s="3" t="s">
        <v>3</v>
      </c>
      <c r="E33" s="3"/>
      <c r="F33" s="60"/>
    </row>
    <row r="34" spans="1:6" x14ac:dyDescent="0.25">
      <c r="A34" s="59" t="s">
        <v>72</v>
      </c>
      <c r="B34" s="1" t="str">
        <f>RIGHT(Tabela1[[#This Row],[Código para fórmula]],8)</f>
        <v>87033390</v>
      </c>
      <c r="C34" s="2" t="s">
        <v>73</v>
      </c>
      <c r="D34" s="3" t="s">
        <v>3</v>
      </c>
      <c r="E34" s="3"/>
      <c r="F34" s="60"/>
    </row>
    <row r="35" spans="1:6" x14ac:dyDescent="0.25">
      <c r="A35" s="59" t="s">
        <v>74</v>
      </c>
      <c r="B35" s="1" t="str">
        <f>RIGHT(Tabela1[[#This Row],[Código para fórmula]],8)</f>
        <v>87034000</v>
      </c>
      <c r="C35" s="2" t="s">
        <v>75</v>
      </c>
      <c r="D35" s="3" t="s">
        <v>3</v>
      </c>
      <c r="E35" s="3"/>
      <c r="F35" s="60"/>
    </row>
    <row r="36" spans="1:6" x14ac:dyDescent="0.25">
      <c r="A36" s="59" t="s">
        <v>76</v>
      </c>
      <c r="B36" s="1" t="str">
        <f>RIGHT(Tabela1[[#This Row],[Código para fórmula]],8)</f>
        <v>87035000</v>
      </c>
      <c r="C36" s="2" t="s">
        <v>77</v>
      </c>
      <c r="D36" s="3" t="s">
        <v>3</v>
      </c>
      <c r="E36" s="3"/>
      <c r="F36" s="60"/>
    </row>
    <row r="37" spans="1:6" x14ac:dyDescent="0.25">
      <c r="A37" s="59" t="s">
        <v>78</v>
      </c>
      <c r="B37" s="1" t="str">
        <f>RIGHT(Tabela1[[#This Row],[Código para fórmula]],8)</f>
        <v>87036000</v>
      </c>
      <c r="C37" s="2" t="s">
        <v>79</v>
      </c>
      <c r="D37" s="3" t="s">
        <v>3</v>
      </c>
      <c r="E37" s="3"/>
      <c r="F37" s="60"/>
    </row>
    <row r="38" spans="1:6" x14ac:dyDescent="0.25">
      <c r="A38" s="59" t="s">
        <v>80</v>
      </c>
      <c r="B38" s="1" t="str">
        <f>RIGHT(Tabela1[[#This Row],[Código para fórmula]],8)</f>
        <v>87037000</v>
      </c>
      <c r="C38" s="2" t="s">
        <v>81</v>
      </c>
      <c r="D38" s="3" t="s">
        <v>3</v>
      </c>
      <c r="E38" s="3"/>
      <c r="F38" s="60"/>
    </row>
    <row r="39" spans="1:6" x14ac:dyDescent="0.25">
      <c r="A39" s="59" t="s">
        <v>82</v>
      </c>
      <c r="B39" s="1" t="str">
        <f>RIGHT(Tabela1[[#This Row],[Código para fórmula]],8)</f>
        <v>87038000</v>
      </c>
      <c r="C39" s="2" t="s">
        <v>83</v>
      </c>
      <c r="D39" s="3" t="s">
        <v>3</v>
      </c>
      <c r="E39" s="3"/>
      <c r="F39" s="60"/>
    </row>
    <row r="40" spans="1:6" x14ac:dyDescent="0.25">
      <c r="A40" s="59" t="s">
        <v>84</v>
      </c>
      <c r="B40" s="1" t="str">
        <f>RIGHT(Tabela1[[#This Row],[Código para fórmula]],8)</f>
        <v>87042110</v>
      </c>
      <c r="C40" s="2" t="s">
        <v>85</v>
      </c>
      <c r="D40" s="3" t="s">
        <v>3</v>
      </c>
      <c r="E40" s="3"/>
      <c r="F40" s="60"/>
    </row>
    <row r="41" spans="1:6" x14ac:dyDescent="0.25">
      <c r="A41" s="59" t="s">
        <v>86</v>
      </c>
      <c r="B41" s="1" t="str">
        <f>RIGHT(Tabela1[[#This Row],[Código para fórmula]],8)</f>
        <v>87042120</v>
      </c>
      <c r="C41" s="2" t="s">
        <v>87</v>
      </c>
      <c r="D41" s="3" t="s">
        <v>3</v>
      </c>
      <c r="E41" s="3"/>
      <c r="F41" s="60"/>
    </row>
    <row r="42" spans="1:6" x14ac:dyDescent="0.25">
      <c r="A42" s="59" t="s">
        <v>88</v>
      </c>
      <c r="B42" s="1" t="str">
        <f>RIGHT(Tabela1[[#This Row],[Código para fórmula]],8)</f>
        <v>87042130</v>
      </c>
      <c r="C42" s="2" t="s">
        <v>89</v>
      </c>
      <c r="D42" s="3" t="s">
        <v>3</v>
      </c>
      <c r="E42" s="3"/>
      <c r="F42" s="60"/>
    </row>
    <row r="43" spans="1:6" x14ac:dyDescent="0.25">
      <c r="A43" s="59" t="s">
        <v>90</v>
      </c>
      <c r="B43" s="1" t="str">
        <f>RIGHT(Tabela1[[#This Row],[Código para fórmula]],8)</f>
        <v>87042190</v>
      </c>
      <c r="C43" s="2" t="s">
        <v>91</v>
      </c>
      <c r="D43" s="3" t="s">
        <v>3</v>
      </c>
      <c r="E43" s="3"/>
      <c r="F43" s="60"/>
    </row>
    <row r="44" spans="1:6" x14ac:dyDescent="0.25">
      <c r="A44" s="59" t="s">
        <v>92</v>
      </c>
      <c r="B44" s="1" t="str">
        <f>RIGHT(Tabela1[[#This Row],[Código para fórmula]],8)</f>
        <v>87043110</v>
      </c>
      <c r="C44" s="2" t="s">
        <v>93</v>
      </c>
      <c r="D44" s="3" t="s">
        <v>3</v>
      </c>
      <c r="E44" s="3"/>
      <c r="F44" s="60"/>
    </row>
    <row r="45" spans="1:6" x14ac:dyDescent="0.25">
      <c r="A45" s="59" t="s">
        <v>94</v>
      </c>
      <c r="B45" s="1" t="str">
        <f>RIGHT(Tabela1[[#This Row],[Código para fórmula]],8)</f>
        <v>87043120</v>
      </c>
      <c r="C45" s="2" t="s">
        <v>95</v>
      </c>
      <c r="D45" s="3" t="s">
        <v>3</v>
      </c>
      <c r="E45" s="3"/>
      <c r="F45" s="60"/>
    </row>
    <row r="46" spans="1:6" x14ac:dyDescent="0.25">
      <c r="A46" s="59" t="s">
        <v>96</v>
      </c>
      <c r="B46" s="1" t="str">
        <f>RIGHT(Tabela1[[#This Row],[Código para fórmula]],8)</f>
        <v>87043130</v>
      </c>
      <c r="C46" s="2" t="s">
        <v>97</v>
      </c>
      <c r="D46" s="3" t="s">
        <v>3</v>
      </c>
      <c r="E46" s="3"/>
      <c r="F46" s="60"/>
    </row>
    <row r="47" spans="1:6" x14ac:dyDescent="0.25">
      <c r="A47" s="59" t="s">
        <v>98</v>
      </c>
      <c r="B47" s="1" t="str">
        <f>RIGHT(Tabela1[[#This Row],[Código para fórmula]],8)</f>
        <v>87043190</v>
      </c>
      <c r="C47" s="2" t="s">
        <v>99</v>
      </c>
      <c r="D47" s="3" t="s">
        <v>3</v>
      </c>
      <c r="E47" s="3"/>
      <c r="F47" s="60"/>
    </row>
    <row r="48" spans="1:6" x14ac:dyDescent="0.25">
      <c r="A48" s="59" t="s">
        <v>100</v>
      </c>
      <c r="B48" s="1" t="str">
        <f>RIGHT(Tabela1[[#This Row],[Código para fórmula]],8)</f>
        <v>40111000</v>
      </c>
      <c r="C48" s="2" t="s">
        <v>101</v>
      </c>
      <c r="D48" s="3" t="s">
        <v>3</v>
      </c>
      <c r="E48" s="3"/>
      <c r="F48" s="60"/>
    </row>
    <row r="49" spans="1:6" x14ac:dyDescent="0.25">
      <c r="A49" s="59" t="s">
        <v>102</v>
      </c>
      <c r="B49" s="1" t="str">
        <f>RIGHT(Tabela1[[#This Row],[Código para fórmula]],8)</f>
        <v>40114000</v>
      </c>
      <c r="C49" s="2" t="s">
        <v>103</v>
      </c>
      <c r="D49" s="3" t="s">
        <v>3</v>
      </c>
      <c r="E49" s="3"/>
      <c r="F49" s="60"/>
    </row>
    <row r="50" spans="1:6" x14ac:dyDescent="0.25">
      <c r="A50" s="61" t="s">
        <v>107</v>
      </c>
      <c r="B50" s="1" t="str">
        <f>RIGHT(Tabela1[[#This Row],[Código para fórmula]],8)</f>
        <v>85041000</v>
      </c>
      <c r="C50" s="2" t="s">
        <v>108</v>
      </c>
      <c r="D50" s="3" t="s">
        <v>3</v>
      </c>
      <c r="E50" s="3"/>
      <c r="F50" s="60"/>
    </row>
    <row r="51" spans="1:6" x14ac:dyDescent="0.25">
      <c r="A51" s="61" t="s">
        <v>109</v>
      </c>
      <c r="B51" s="1" t="str">
        <f>RIGHT(Tabela1[[#This Row],[Código para fórmula]],8)</f>
        <v>85395000</v>
      </c>
      <c r="C51" s="2" t="s">
        <v>110</v>
      </c>
      <c r="D51" s="3" t="s">
        <v>3</v>
      </c>
      <c r="E51" s="3"/>
      <c r="F51" s="60"/>
    </row>
    <row r="52" spans="1:6" x14ac:dyDescent="0.25">
      <c r="A52" s="59" t="s">
        <v>112</v>
      </c>
      <c r="B52" s="1" t="str">
        <f>RIGHT(Tabela1[[#This Row],[Código para fórmula]],8)</f>
        <v>85171231</v>
      </c>
      <c r="C52" s="2" t="s">
        <v>113</v>
      </c>
      <c r="D52" s="3" t="s">
        <v>3</v>
      </c>
      <c r="E52" s="3"/>
      <c r="F52" s="60"/>
    </row>
    <row r="53" spans="1:6" x14ac:dyDescent="0.25">
      <c r="A53" s="59" t="s">
        <v>114</v>
      </c>
      <c r="B53" s="1" t="str">
        <f>RIGHT(Tabela1[[#This Row],[Código para fórmula]],8)</f>
        <v>85235200</v>
      </c>
      <c r="C53" s="2" t="s">
        <v>115</v>
      </c>
      <c r="D53" s="3" t="s">
        <v>3</v>
      </c>
      <c r="E53" s="3"/>
      <c r="F53" s="60"/>
    </row>
    <row r="54" spans="1:6" x14ac:dyDescent="0.25">
      <c r="A54" s="59" t="s">
        <v>104</v>
      </c>
      <c r="B54" s="1" t="str">
        <f>RIGHT(Tabela1[[#This Row],[Código para fórmula]],8)</f>
        <v>32081010</v>
      </c>
      <c r="C54" s="2" t="s">
        <v>4492</v>
      </c>
      <c r="D54" s="3" t="s">
        <v>3</v>
      </c>
      <c r="E54" s="3"/>
      <c r="F54" s="60"/>
    </row>
    <row r="55" spans="1:6" x14ac:dyDescent="0.25">
      <c r="A55" s="61" t="s">
        <v>104</v>
      </c>
      <c r="B55" s="1" t="str">
        <f>RIGHT(Tabela1[[#This Row],[Código para fórmula]],8)</f>
        <v>32081020</v>
      </c>
      <c r="C55" s="2" t="s">
        <v>4493</v>
      </c>
      <c r="D55" s="3" t="s">
        <v>3</v>
      </c>
      <c r="E55" s="5"/>
      <c r="F55" s="60"/>
    </row>
    <row r="56" spans="1:6" x14ac:dyDescent="0.25">
      <c r="A56" s="61" t="s">
        <v>104</v>
      </c>
      <c r="B56" s="1" t="str">
        <f>RIGHT(Tabela1[[#This Row],[Código para fórmula]],8)</f>
        <v>32081030</v>
      </c>
      <c r="C56" s="2" t="s">
        <v>4494</v>
      </c>
      <c r="D56" s="3" t="s">
        <v>3</v>
      </c>
      <c r="E56" s="5"/>
      <c r="F56" s="60"/>
    </row>
    <row r="57" spans="1:6" x14ac:dyDescent="0.25">
      <c r="A57" s="61" t="s">
        <v>104</v>
      </c>
      <c r="B57" s="1" t="str">
        <f>RIGHT(Tabela1[[#This Row],[Código para fórmula]],8)</f>
        <v>32082011</v>
      </c>
      <c r="C57" s="2" t="s">
        <v>4072</v>
      </c>
      <c r="D57" s="3" t="s">
        <v>3</v>
      </c>
      <c r="E57" s="5"/>
      <c r="F57" s="60"/>
    </row>
    <row r="58" spans="1:6" x14ac:dyDescent="0.25">
      <c r="A58" s="61" t="s">
        <v>104</v>
      </c>
      <c r="B58" s="1" t="str">
        <f>RIGHT(Tabela1[[#This Row],[Código para fórmula]],8)</f>
        <v>32082019</v>
      </c>
      <c r="C58" s="2" t="s">
        <v>4113</v>
      </c>
      <c r="D58" s="3" t="s">
        <v>3</v>
      </c>
      <c r="E58" s="5"/>
      <c r="F58" s="60"/>
    </row>
    <row r="59" spans="1:6" x14ac:dyDescent="0.25">
      <c r="A59" s="61" t="s">
        <v>104</v>
      </c>
      <c r="B59" s="1" t="str">
        <f>RIGHT(Tabela1[[#This Row],[Código para fórmula]],8)</f>
        <v>32082020</v>
      </c>
      <c r="C59" s="2" t="s">
        <v>4495</v>
      </c>
      <c r="D59" s="3" t="s">
        <v>3</v>
      </c>
      <c r="E59" s="5"/>
      <c r="F59" s="60"/>
    </row>
    <row r="60" spans="1:6" x14ac:dyDescent="0.25">
      <c r="A60" s="61" t="s">
        <v>104</v>
      </c>
      <c r="B60" s="1" t="str">
        <f>RIGHT(Tabela1[[#This Row],[Código para fórmula]],8)</f>
        <v>32082030</v>
      </c>
      <c r="C60" s="2" t="s">
        <v>4496</v>
      </c>
      <c r="D60" s="3" t="s">
        <v>3</v>
      </c>
      <c r="E60" s="5"/>
      <c r="F60" s="60"/>
    </row>
    <row r="61" spans="1:6" x14ac:dyDescent="0.25">
      <c r="A61" s="61" t="s">
        <v>104</v>
      </c>
      <c r="B61" s="1" t="str">
        <f>RIGHT(Tabela1[[#This Row],[Código para fórmula]],8)</f>
        <v>32089010</v>
      </c>
      <c r="C61" s="2" t="s">
        <v>4497</v>
      </c>
      <c r="D61" s="3" t="s">
        <v>3</v>
      </c>
      <c r="E61" s="5"/>
      <c r="F61" s="60"/>
    </row>
    <row r="62" spans="1:6" x14ac:dyDescent="0.25">
      <c r="A62" s="61" t="s">
        <v>104</v>
      </c>
      <c r="B62" s="1" t="str">
        <f>RIGHT(Tabela1[[#This Row],[Código para fórmula]],8)</f>
        <v>32089021</v>
      </c>
      <c r="C62" s="2" t="s">
        <v>4498</v>
      </c>
      <c r="D62" s="3" t="s">
        <v>3</v>
      </c>
      <c r="E62" s="5"/>
      <c r="F62" s="60"/>
    </row>
    <row r="63" spans="1:6" x14ac:dyDescent="0.25">
      <c r="A63" s="61" t="s">
        <v>104</v>
      </c>
      <c r="B63" s="1" t="str">
        <f>RIGHT(Tabela1[[#This Row],[Código para fórmula]],8)</f>
        <v>32089029</v>
      </c>
      <c r="C63" s="2" t="s">
        <v>4499</v>
      </c>
      <c r="D63" s="3" t="s">
        <v>3</v>
      </c>
      <c r="E63" s="5"/>
      <c r="F63" s="60"/>
    </row>
    <row r="64" spans="1:6" x14ac:dyDescent="0.25">
      <c r="A64" s="61" t="s">
        <v>104</v>
      </c>
      <c r="B64" s="1" t="str">
        <f>RIGHT(Tabela1[[#This Row],[Código para fórmula]],8)</f>
        <v>32089031</v>
      </c>
      <c r="C64" s="2" t="s">
        <v>4430</v>
      </c>
      <c r="D64" s="3" t="s">
        <v>3</v>
      </c>
      <c r="E64" s="5"/>
      <c r="F64" s="60"/>
    </row>
    <row r="65" spans="1:6" x14ac:dyDescent="0.25">
      <c r="A65" s="61" t="s">
        <v>104</v>
      </c>
      <c r="B65" s="1" t="str">
        <f>RIGHT(Tabela1[[#This Row],[Código para fórmula]],8)</f>
        <v>32089039</v>
      </c>
      <c r="C65" s="2" t="s">
        <v>4500</v>
      </c>
      <c r="D65" s="3" t="s">
        <v>3</v>
      </c>
      <c r="E65" s="5"/>
      <c r="F65" s="60"/>
    </row>
    <row r="66" spans="1:6" x14ac:dyDescent="0.25">
      <c r="A66" s="61" t="s">
        <v>104</v>
      </c>
      <c r="B66" s="1" t="str">
        <f>RIGHT(Tabela1[[#This Row],[Código para fórmula]],8)</f>
        <v>32091010</v>
      </c>
      <c r="C66" s="2" t="s">
        <v>4429</v>
      </c>
      <c r="D66" s="3" t="s">
        <v>3</v>
      </c>
      <c r="E66" s="5"/>
      <c r="F66" s="60"/>
    </row>
    <row r="67" spans="1:6" x14ac:dyDescent="0.25">
      <c r="A67" s="61" t="s">
        <v>104</v>
      </c>
      <c r="B67" s="1" t="str">
        <f>RIGHT(Tabela1[[#This Row],[Código para fórmula]],8)</f>
        <v>32091020</v>
      </c>
      <c r="C67" s="2" t="s">
        <v>4501</v>
      </c>
      <c r="D67" s="3" t="s">
        <v>3</v>
      </c>
      <c r="E67" s="5"/>
      <c r="F67" s="60"/>
    </row>
    <row r="68" spans="1:6" x14ac:dyDescent="0.25">
      <c r="A68" s="61" t="s">
        <v>104</v>
      </c>
      <c r="B68" s="1" t="str">
        <f>RIGHT(Tabela1[[#This Row],[Código para fórmula]],8)</f>
        <v>32099011</v>
      </c>
      <c r="C68" s="2" t="s">
        <v>4502</v>
      </c>
      <c r="D68" s="3" t="s">
        <v>3</v>
      </c>
      <c r="E68" s="5"/>
      <c r="F68" s="60"/>
    </row>
    <row r="69" spans="1:6" x14ac:dyDescent="0.25">
      <c r="A69" s="61" t="s">
        <v>104</v>
      </c>
      <c r="B69" s="1" t="str">
        <f>RIGHT(Tabela1[[#This Row],[Código para fórmula]],8)</f>
        <v>32099019</v>
      </c>
      <c r="C69" s="2" t="s">
        <v>4503</v>
      </c>
      <c r="D69" s="3" t="s">
        <v>3</v>
      </c>
      <c r="E69" s="5"/>
      <c r="F69" s="60"/>
    </row>
    <row r="70" spans="1:6" x14ac:dyDescent="0.25">
      <c r="A70" s="61" t="s">
        <v>104</v>
      </c>
      <c r="B70" s="1" t="str">
        <f>RIGHT(Tabela1[[#This Row],[Código para fórmula]],8)</f>
        <v>32099020</v>
      </c>
      <c r="C70" s="2" t="s">
        <v>4504</v>
      </c>
      <c r="D70" s="3" t="s">
        <v>3</v>
      </c>
      <c r="E70" s="5"/>
      <c r="F70" s="60"/>
    </row>
    <row r="71" spans="1:6" x14ac:dyDescent="0.25">
      <c r="A71" s="61" t="s">
        <v>104</v>
      </c>
      <c r="B71" s="1" t="str">
        <f>RIGHT(Tabela1[[#This Row],[Código para fórmula]],8)</f>
        <v>32100010</v>
      </c>
      <c r="C71" s="2" t="s">
        <v>4435</v>
      </c>
      <c r="D71" s="3" t="s">
        <v>3</v>
      </c>
      <c r="E71" s="5"/>
      <c r="F71" s="60"/>
    </row>
    <row r="72" spans="1:6" x14ac:dyDescent="0.25">
      <c r="A72" s="61" t="s">
        <v>104</v>
      </c>
      <c r="B72" s="1" t="str">
        <f>RIGHT(Tabela1[[#This Row],[Código para fórmula]],8)</f>
        <v>32100020</v>
      </c>
      <c r="C72" s="2" t="s">
        <v>4505</v>
      </c>
      <c r="D72" s="3" t="s">
        <v>3</v>
      </c>
      <c r="E72" s="5"/>
      <c r="F72" s="60"/>
    </row>
    <row r="73" spans="1:6" x14ac:dyDescent="0.25">
      <c r="A73" s="61" t="s">
        <v>104</v>
      </c>
      <c r="B73" s="1" t="str">
        <f>RIGHT(Tabela1[[#This Row],[Código para fórmula]],8)</f>
        <v>32100030</v>
      </c>
      <c r="C73" s="2" t="s">
        <v>4506</v>
      </c>
      <c r="D73" s="3" t="s">
        <v>3</v>
      </c>
      <c r="E73" s="5"/>
      <c r="F73" s="60"/>
    </row>
    <row r="74" spans="1:6" x14ac:dyDescent="0.25">
      <c r="A74" s="61" t="s">
        <v>105</v>
      </c>
      <c r="B74" s="1" t="str">
        <f>RIGHT(Tabela1[[#This Row],[Código para fórmula]],8)</f>
        <v>32041100</v>
      </c>
      <c r="C74" s="2" t="s">
        <v>421</v>
      </c>
      <c r="D74" s="3" t="s">
        <v>3</v>
      </c>
      <c r="E74" s="5"/>
      <c r="F74" s="60"/>
    </row>
    <row r="75" spans="1:6" x14ac:dyDescent="0.25">
      <c r="A75" s="61" t="s">
        <v>105</v>
      </c>
      <c r="B75" s="1" t="str">
        <f>RIGHT(Tabela1[[#This Row],[Código para fórmula]],8)</f>
        <v>32041210</v>
      </c>
      <c r="C75" s="2" t="s">
        <v>4507</v>
      </c>
      <c r="D75" s="3" t="s">
        <v>3</v>
      </c>
      <c r="E75" s="5"/>
      <c r="F75" s="60"/>
    </row>
    <row r="76" spans="1:6" x14ac:dyDescent="0.25">
      <c r="A76" s="61" t="s">
        <v>105</v>
      </c>
      <c r="B76" s="1" t="str">
        <f>RIGHT(Tabela1[[#This Row],[Código para fórmula]],8)</f>
        <v>32041220</v>
      </c>
      <c r="C76" s="2" t="s">
        <v>4508</v>
      </c>
      <c r="D76" s="3" t="s">
        <v>3</v>
      </c>
      <c r="E76" s="5"/>
      <c r="F76" s="60"/>
    </row>
    <row r="77" spans="1:6" x14ac:dyDescent="0.25">
      <c r="A77" s="61" t="s">
        <v>105</v>
      </c>
      <c r="B77" s="1" t="str">
        <f>RIGHT(Tabela1[[#This Row],[Código para fórmula]],8)</f>
        <v>32041300</v>
      </c>
      <c r="C77" s="2" t="s">
        <v>4509</v>
      </c>
      <c r="D77" s="3" t="s">
        <v>3</v>
      </c>
      <c r="E77" s="5"/>
      <c r="F77" s="60"/>
    </row>
    <row r="78" spans="1:6" x14ac:dyDescent="0.25">
      <c r="A78" s="59" t="s">
        <v>105</v>
      </c>
      <c r="B78" s="1" t="str">
        <f>RIGHT(Tabela1[[#This Row],[Código para fórmula]],8)</f>
        <v>32041400</v>
      </c>
      <c r="C78" s="2" t="s">
        <v>4009</v>
      </c>
      <c r="D78" s="3" t="s">
        <v>3</v>
      </c>
      <c r="E78" s="1"/>
      <c r="F78" s="60"/>
    </row>
    <row r="79" spans="1:6" x14ac:dyDescent="0.25">
      <c r="A79" s="59" t="s">
        <v>105</v>
      </c>
      <c r="B79" s="1" t="str">
        <f>RIGHT(Tabela1[[#This Row],[Código para fórmula]],8)</f>
        <v>32041510</v>
      </c>
      <c r="C79" s="2" t="s">
        <v>4510</v>
      </c>
      <c r="D79" s="3" t="s">
        <v>3</v>
      </c>
      <c r="E79" s="1"/>
      <c r="F79" s="60"/>
    </row>
    <row r="80" spans="1:6" x14ac:dyDescent="0.25">
      <c r="A80" s="59" t="s">
        <v>105</v>
      </c>
      <c r="B80" s="1" t="str">
        <f>RIGHT(Tabela1[[#This Row],[Código para fórmula]],8)</f>
        <v>32041520</v>
      </c>
      <c r="C80" s="2" t="s">
        <v>4511</v>
      </c>
      <c r="D80" s="3" t="s">
        <v>3</v>
      </c>
      <c r="E80" s="1"/>
      <c r="F80" s="60"/>
    </row>
    <row r="81" spans="1:6" x14ac:dyDescent="0.25">
      <c r="A81" s="59" t="s">
        <v>105</v>
      </c>
      <c r="B81" s="1" t="str">
        <f>RIGHT(Tabela1[[#This Row],[Código para fórmula]],8)</f>
        <v>32041530</v>
      </c>
      <c r="C81" s="2" t="s">
        <v>4512</v>
      </c>
      <c r="D81" s="3" t="s">
        <v>3</v>
      </c>
      <c r="E81" s="1"/>
      <c r="F81" s="60"/>
    </row>
    <row r="82" spans="1:6" x14ac:dyDescent="0.25">
      <c r="A82" s="59" t="s">
        <v>105</v>
      </c>
      <c r="B82" s="1" t="str">
        <f>RIGHT(Tabela1[[#This Row],[Código para fórmula]],8)</f>
        <v>32041590</v>
      </c>
      <c r="C82" s="2" t="s">
        <v>4513</v>
      </c>
      <c r="D82" s="3" t="s">
        <v>3</v>
      </c>
      <c r="E82" s="1"/>
      <c r="F82" s="60"/>
    </row>
    <row r="83" spans="1:6" x14ac:dyDescent="0.25">
      <c r="A83" s="59" t="s">
        <v>105</v>
      </c>
      <c r="B83" s="1" t="str">
        <f>RIGHT(Tabela1[[#This Row],[Código para fórmula]],8)</f>
        <v>32041600</v>
      </c>
      <c r="C83" s="2" t="s">
        <v>4514</v>
      </c>
      <c r="D83" s="3" t="s">
        <v>3</v>
      </c>
      <c r="E83" s="1"/>
      <c r="F83" s="60"/>
    </row>
    <row r="84" spans="1:6" x14ac:dyDescent="0.25">
      <c r="A84" s="59" t="s">
        <v>105</v>
      </c>
      <c r="B84" s="1" t="str">
        <f>RIGHT(Tabela1[[#This Row],[Código para fórmula]],8)</f>
        <v>32041700</v>
      </c>
      <c r="C84" s="2" t="s">
        <v>3830</v>
      </c>
      <c r="D84" s="3" t="s">
        <v>3</v>
      </c>
      <c r="E84" s="1"/>
      <c r="F84" s="60"/>
    </row>
    <row r="85" spans="1:6" x14ac:dyDescent="0.25">
      <c r="A85" s="59" t="s">
        <v>105</v>
      </c>
      <c r="B85" s="1" t="str">
        <f>RIGHT(Tabela1[[#This Row],[Código para fórmula]],8)</f>
        <v>32041911</v>
      </c>
      <c r="C85" s="18" t="s">
        <v>4515</v>
      </c>
      <c r="D85" s="3" t="s">
        <v>3</v>
      </c>
      <c r="E85" s="3"/>
      <c r="F85" s="60"/>
    </row>
    <row r="86" spans="1:6" x14ac:dyDescent="0.25">
      <c r="A86" s="59" t="s">
        <v>105</v>
      </c>
      <c r="B86" s="1" t="str">
        <f>RIGHT(Tabela1[[#This Row],[Código para fórmula]],8)</f>
        <v>32041912</v>
      </c>
      <c r="C86" s="18" t="s">
        <v>4516</v>
      </c>
      <c r="D86" s="3" t="s">
        <v>3</v>
      </c>
      <c r="E86" s="3"/>
      <c r="F86" s="60"/>
    </row>
    <row r="87" spans="1:6" x14ac:dyDescent="0.25">
      <c r="A87" s="59" t="s">
        <v>105</v>
      </c>
      <c r="B87" s="1" t="str">
        <f>RIGHT(Tabela1[[#This Row],[Código para fórmula]],8)</f>
        <v>32041919</v>
      </c>
      <c r="C87" s="18" t="s">
        <v>4517</v>
      </c>
      <c r="D87" s="3" t="s">
        <v>3</v>
      </c>
      <c r="E87" s="3"/>
      <c r="F87" s="60"/>
    </row>
    <row r="88" spans="1:6" x14ac:dyDescent="0.25">
      <c r="A88" s="59" t="s">
        <v>105</v>
      </c>
      <c r="B88" s="1" t="str">
        <f>RIGHT(Tabela1[[#This Row],[Código para fórmula]],8)</f>
        <v>32041920</v>
      </c>
      <c r="C88" s="18" t="s">
        <v>4518</v>
      </c>
      <c r="D88" s="3" t="s">
        <v>3</v>
      </c>
      <c r="E88" s="3"/>
      <c r="F88" s="60"/>
    </row>
    <row r="89" spans="1:6" x14ac:dyDescent="0.25">
      <c r="A89" s="59" t="s">
        <v>105</v>
      </c>
      <c r="B89" s="1" t="str">
        <f>RIGHT(Tabela1[[#This Row],[Código para fórmula]],8)</f>
        <v>32041930</v>
      </c>
      <c r="C89" s="18" t="s">
        <v>4519</v>
      </c>
      <c r="D89" s="3" t="s">
        <v>3</v>
      </c>
      <c r="E89" s="3"/>
      <c r="F89" s="60"/>
    </row>
    <row r="90" spans="1:6" x14ac:dyDescent="0.25">
      <c r="A90" s="59" t="s">
        <v>105</v>
      </c>
      <c r="B90" s="1" t="str">
        <f>RIGHT(Tabela1[[#This Row],[Código para fórmula]],8)</f>
        <v>32041990</v>
      </c>
      <c r="C90" s="18" t="s">
        <v>4012</v>
      </c>
      <c r="D90" s="3" t="s">
        <v>3</v>
      </c>
      <c r="E90" s="3"/>
      <c r="F90" s="60"/>
    </row>
    <row r="91" spans="1:6" x14ac:dyDescent="0.25">
      <c r="A91" s="59" t="s">
        <v>105</v>
      </c>
      <c r="B91" s="1" t="str">
        <f>RIGHT(Tabela1[[#This Row],[Código para fórmula]],8)</f>
        <v>32042011</v>
      </c>
      <c r="C91" s="18" t="s">
        <v>4520</v>
      </c>
      <c r="D91" s="3" t="s">
        <v>3</v>
      </c>
      <c r="E91" s="3"/>
      <c r="F91" s="60"/>
    </row>
    <row r="92" spans="1:6" x14ac:dyDescent="0.25">
      <c r="A92" s="59" t="s">
        <v>105</v>
      </c>
      <c r="B92" s="1" t="str">
        <f>RIGHT(Tabela1[[#This Row],[Código para fórmula]],8)</f>
        <v>32042019</v>
      </c>
      <c r="C92" s="18" t="s">
        <v>4521</v>
      </c>
      <c r="D92" s="3" t="s">
        <v>3</v>
      </c>
      <c r="E92" s="3"/>
      <c r="F92" s="60"/>
    </row>
    <row r="93" spans="1:6" x14ac:dyDescent="0.25">
      <c r="A93" s="59" t="s">
        <v>105</v>
      </c>
      <c r="B93" s="1" t="str">
        <f>RIGHT(Tabela1[[#This Row],[Código para fórmula]],8)</f>
        <v>32042090</v>
      </c>
      <c r="C93" s="18" t="s">
        <v>4522</v>
      </c>
      <c r="D93" s="3" t="s">
        <v>3</v>
      </c>
      <c r="E93" s="3"/>
      <c r="F93" s="60"/>
    </row>
    <row r="94" spans="1:6" x14ac:dyDescent="0.25">
      <c r="A94" s="59" t="s">
        <v>105</v>
      </c>
      <c r="B94" s="1" t="str">
        <f>RIGHT(Tabela1[[#This Row],[Código para fórmula]],8)</f>
        <v>32049000</v>
      </c>
      <c r="C94" s="18" t="s">
        <v>4523</v>
      </c>
      <c r="D94" s="3" t="s">
        <v>3</v>
      </c>
      <c r="E94" s="3"/>
      <c r="F94" s="60"/>
    </row>
    <row r="95" spans="1:6" x14ac:dyDescent="0.25">
      <c r="A95" s="59" t="s">
        <v>105</v>
      </c>
      <c r="B95" s="1" t="str">
        <f>RIGHT(Tabela1[[#This Row],[Código para fórmula]],8)</f>
        <v>32061110</v>
      </c>
      <c r="C95" s="18" t="s">
        <v>4524</v>
      </c>
      <c r="D95" s="3" t="s">
        <v>3</v>
      </c>
      <c r="E95" s="3"/>
      <c r="F95" s="60"/>
    </row>
    <row r="96" spans="1:6" x14ac:dyDescent="0.25">
      <c r="A96" s="59" t="s">
        <v>105</v>
      </c>
      <c r="B96" s="1" t="str">
        <f>RIGHT(Tabela1[[#This Row],[Código para fórmula]],8)</f>
        <v>32061111</v>
      </c>
      <c r="C96" s="18" t="s">
        <v>4525</v>
      </c>
      <c r="D96" s="3" t="s">
        <v>3</v>
      </c>
      <c r="E96" s="3"/>
      <c r="F96" s="60"/>
    </row>
    <row r="97" spans="1:6" x14ac:dyDescent="0.25">
      <c r="A97" s="59" t="s">
        <v>105</v>
      </c>
      <c r="B97" s="1" t="str">
        <f>RIGHT(Tabela1[[#This Row],[Código para fórmula]],8)</f>
        <v>32061119</v>
      </c>
      <c r="C97" s="18" t="s">
        <v>4526</v>
      </c>
      <c r="D97" s="3" t="s">
        <v>3</v>
      </c>
      <c r="E97" s="3"/>
      <c r="F97" s="60"/>
    </row>
    <row r="98" spans="1:6" x14ac:dyDescent="0.25">
      <c r="A98" s="59" t="s">
        <v>105</v>
      </c>
      <c r="B98" s="1" t="str">
        <f>RIGHT(Tabela1[[#This Row],[Código para fórmula]],8)</f>
        <v>32061120</v>
      </c>
      <c r="C98" s="18" t="s">
        <v>4527</v>
      </c>
      <c r="D98" s="3" t="s">
        <v>3</v>
      </c>
      <c r="E98" s="3"/>
      <c r="F98" s="60"/>
    </row>
    <row r="99" spans="1:6" x14ac:dyDescent="0.25">
      <c r="A99" s="59" t="s">
        <v>105</v>
      </c>
      <c r="B99" s="1" t="str">
        <f>RIGHT(Tabela1[[#This Row],[Código para fórmula]],8)</f>
        <v>32061130</v>
      </c>
      <c r="C99" s="18" t="s">
        <v>4528</v>
      </c>
      <c r="D99" s="3" t="s">
        <v>3</v>
      </c>
      <c r="E99" s="3"/>
      <c r="F99" s="60"/>
    </row>
    <row r="100" spans="1:6" x14ac:dyDescent="0.25">
      <c r="A100" s="59" t="s">
        <v>105</v>
      </c>
      <c r="B100" s="1" t="str">
        <f>RIGHT(Tabela1[[#This Row],[Código para fórmula]],8)</f>
        <v>32061910</v>
      </c>
      <c r="C100" s="18" t="s">
        <v>4529</v>
      </c>
      <c r="D100" s="3" t="s">
        <v>3</v>
      </c>
      <c r="E100" s="3"/>
      <c r="F100" s="60"/>
    </row>
    <row r="101" spans="1:6" x14ac:dyDescent="0.25">
      <c r="A101" s="59" t="s">
        <v>105</v>
      </c>
      <c r="B101" s="1" t="str">
        <f>RIGHT(Tabela1[[#This Row],[Código para fórmula]],8)</f>
        <v>32061990</v>
      </c>
      <c r="C101" s="18" t="s">
        <v>4530</v>
      </c>
      <c r="D101" s="3" t="s">
        <v>3</v>
      </c>
      <c r="E101" s="3"/>
      <c r="F101" s="60"/>
    </row>
    <row r="102" spans="1:6" x14ac:dyDescent="0.25">
      <c r="A102" s="59" t="s">
        <v>105</v>
      </c>
      <c r="B102" s="1" t="str">
        <f>RIGHT(Tabela1[[#This Row],[Código para fórmula]],8)</f>
        <v>32062000</v>
      </c>
      <c r="C102" s="18" t="s">
        <v>4531</v>
      </c>
      <c r="D102" s="3" t="s">
        <v>3</v>
      </c>
      <c r="E102" s="3"/>
      <c r="F102" s="60"/>
    </row>
    <row r="103" spans="1:6" x14ac:dyDescent="0.25">
      <c r="A103" s="59" t="s">
        <v>105</v>
      </c>
      <c r="B103" s="1" t="str">
        <f>RIGHT(Tabela1[[#This Row],[Código para fórmula]],8)</f>
        <v>32064210</v>
      </c>
      <c r="C103" s="18" t="s">
        <v>4532</v>
      </c>
      <c r="D103" s="3" t="s">
        <v>3</v>
      </c>
      <c r="E103" s="3"/>
      <c r="F103" s="60"/>
    </row>
    <row r="104" spans="1:6" x14ac:dyDescent="0.25">
      <c r="A104" s="59" t="s">
        <v>105</v>
      </c>
      <c r="B104" s="1" t="str">
        <f>RIGHT(Tabela1[[#This Row],[Código para fórmula]],8)</f>
        <v>32064290</v>
      </c>
      <c r="C104" s="18" t="s">
        <v>4533</v>
      </c>
      <c r="D104" s="3" t="s">
        <v>3</v>
      </c>
      <c r="E104" s="3"/>
      <c r="F104" s="60"/>
    </row>
    <row r="105" spans="1:6" x14ac:dyDescent="0.25">
      <c r="A105" s="59" t="s">
        <v>105</v>
      </c>
      <c r="B105" s="1" t="str">
        <f>RIGHT(Tabela1[[#This Row],[Código para fórmula]],8)</f>
        <v>32064910</v>
      </c>
      <c r="C105" s="18" t="s">
        <v>4534</v>
      </c>
      <c r="D105" s="3" t="s">
        <v>3</v>
      </c>
      <c r="E105" s="3"/>
      <c r="F105" s="60"/>
    </row>
    <row r="106" spans="1:6" x14ac:dyDescent="0.25">
      <c r="A106" s="59" t="s">
        <v>105</v>
      </c>
      <c r="B106" s="1" t="str">
        <f>RIGHT(Tabela1[[#This Row],[Código para fórmula]],8)</f>
        <v>32064920</v>
      </c>
      <c r="C106" s="18" t="s">
        <v>4535</v>
      </c>
      <c r="D106" s="3" t="s">
        <v>3</v>
      </c>
      <c r="E106" s="3"/>
      <c r="F106" s="60"/>
    </row>
    <row r="107" spans="1:6" x14ac:dyDescent="0.25">
      <c r="A107" s="59" t="s">
        <v>105</v>
      </c>
      <c r="B107" s="1" t="str">
        <f>RIGHT(Tabela1[[#This Row],[Código para fórmula]],8)</f>
        <v>32064990</v>
      </c>
      <c r="C107" s="18" t="s">
        <v>4536</v>
      </c>
      <c r="D107" s="3" t="s">
        <v>3</v>
      </c>
      <c r="E107" s="3"/>
      <c r="F107" s="60"/>
    </row>
    <row r="108" spans="1:6" x14ac:dyDescent="0.25">
      <c r="A108" s="59" t="s">
        <v>105</v>
      </c>
      <c r="B108" s="1" t="str">
        <f>RIGHT(Tabela1[[#This Row],[Código para fórmula]],8)</f>
        <v>32065011</v>
      </c>
      <c r="C108" s="18" t="s">
        <v>4537</v>
      </c>
      <c r="D108" s="3" t="s">
        <v>3</v>
      </c>
      <c r="E108" s="3"/>
      <c r="F108" s="60"/>
    </row>
    <row r="109" spans="1:6" x14ac:dyDescent="0.25">
      <c r="A109" s="59" t="s">
        <v>105</v>
      </c>
      <c r="B109" s="1" t="str">
        <f>RIGHT(Tabela1[[#This Row],[Código para fórmula]],8)</f>
        <v>32065019</v>
      </c>
      <c r="C109" s="18" t="s">
        <v>4538</v>
      </c>
      <c r="D109" s="3" t="s">
        <v>3</v>
      </c>
      <c r="E109" s="3"/>
      <c r="F109" s="60"/>
    </row>
    <row r="110" spans="1:6" x14ac:dyDescent="0.25">
      <c r="A110" s="59" t="s">
        <v>105</v>
      </c>
      <c r="B110" s="1" t="str">
        <f>RIGHT(Tabela1[[#This Row],[Código para fórmula]],8)</f>
        <v>32065021</v>
      </c>
      <c r="C110" s="18" t="s">
        <v>4539</v>
      </c>
      <c r="D110" s="3" t="s">
        <v>3</v>
      </c>
      <c r="E110" s="3"/>
      <c r="F110" s="60"/>
    </row>
    <row r="111" spans="1:6" x14ac:dyDescent="0.25">
      <c r="A111" s="59" t="s">
        <v>105</v>
      </c>
      <c r="B111" s="1" t="str">
        <f>RIGHT(Tabela1[[#This Row],[Código para fórmula]],8)</f>
        <v>32065029</v>
      </c>
      <c r="C111" s="18" t="s">
        <v>4540</v>
      </c>
      <c r="D111" s="3" t="s">
        <v>3</v>
      </c>
      <c r="E111" s="3"/>
      <c r="F111" s="60"/>
    </row>
    <row r="112" spans="1:6" x14ac:dyDescent="0.25">
      <c r="A112" s="59" t="s">
        <v>105</v>
      </c>
      <c r="B112" s="1" t="str">
        <f>RIGHT(Tabela1[[#This Row],[Código para fórmula]],8)</f>
        <v>32121000</v>
      </c>
      <c r="C112" s="18" t="s">
        <v>4541</v>
      </c>
      <c r="D112" s="3" t="s">
        <v>3</v>
      </c>
      <c r="E112" s="3"/>
      <c r="F112" s="60"/>
    </row>
    <row r="113" spans="1:6" x14ac:dyDescent="0.25">
      <c r="A113" s="59" t="s">
        <v>105</v>
      </c>
      <c r="B113" s="1" t="str">
        <f>RIGHT(Tabela1[[#This Row],[Código para fórmula]],8)</f>
        <v>32129010</v>
      </c>
      <c r="C113" s="18" t="s">
        <v>4542</v>
      </c>
      <c r="D113" s="3" t="s">
        <v>3</v>
      </c>
      <c r="E113" s="3"/>
      <c r="F113" s="60"/>
    </row>
    <row r="114" spans="1:6" x14ac:dyDescent="0.25">
      <c r="A114" s="59" t="s">
        <v>105</v>
      </c>
      <c r="B114" s="1" t="str">
        <f>RIGHT(Tabela1[[#This Row],[Código para fórmula]],8)</f>
        <v>32129090</v>
      </c>
      <c r="C114" s="18" t="s">
        <v>4543</v>
      </c>
      <c r="D114" s="3" t="s">
        <v>3</v>
      </c>
      <c r="E114" s="3"/>
      <c r="F114" s="60"/>
    </row>
    <row r="115" spans="1:6" x14ac:dyDescent="0.25">
      <c r="A115" s="59" t="s">
        <v>105</v>
      </c>
      <c r="B115" s="1" t="str">
        <f>RIGHT(Tabela1[[#This Row],[Código para fórmula]],8)</f>
        <v>32050000</v>
      </c>
      <c r="C115" s="18" t="s">
        <v>4544</v>
      </c>
      <c r="D115" s="3" t="s">
        <v>3</v>
      </c>
      <c r="E115" s="3"/>
      <c r="F115" s="60"/>
    </row>
    <row r="116" spans="1:6" x14ac:dyDescent="0.25">
      <c r="A116" s="59" t="s">
        <v>116</v>
      </c>
      <c r="B116" s="1" t="str">
        <f>RIGHT(Tabela1[[#This Row],[Código para fórmula]],8)</f>
        <v>21050010</v>
      </c>
      <c r="C116" s="18" t="s">
        <v>192</v>
      </c>
      <c r="D116" s="3" t="s">
        <v>3</v>
      </c>
      <c r="E116" s="3"/>
      <c r="F116" s="60"/>
    </row>
    <row r="117" spans="1:6" x14ac:dyDescent="0.25">
      <c r="A117" s="59" t="s">
        <v>116</v>
      </c>
      <c r="B117" s="1" t="str">
        <f>RIGHT(Tabela1[[#This Row],[Código para fórmula]],8)</f>
        <v>21050090</v>
      </c>
      <c r="C117" s="18" t="s">
        <v>4097</v>
      </c>
      <c r="D117" s="3" t="s">
        <v>3</v>
      </c>
      <c r="E117" s="3"/>
      <c r="F117" s="60"/>
    </row>
    <row r="118" spans="1:6" x14ac:dyDescent="0.25">
      <c r="A118" s="59" t="s">
        <v>117</v>
      </c>
      <c r="B118" s="1" t="str">
        <f>RIGHT(Tabela1[[#This Row],[Código para fórmula]],8)</f>
        <v>21069040</v>
      </c>
      <c r="C118" s="18" t="s">
        <v>4545</v>
      </c>
      <c r="D118" s="3" t="s">
        <v>3</v>
      </c>
      <c r="E118" s="3"/>
      <c r="F118" s="60"/>
    </row>
    <row r="119" spans="1:6" x14ac:dyDescent="0.25">
      <c r="A119" s="59"/>
      <c r="B119" s="1" t="str">
        <f>RIGHT(Tabela1[[#This Row],[Código para fórmula]],8)</f>
        <v>21050012</v>
      </c>
      <c r="C119" s="18" t="s">
        <v>118</v>
      </c>
      <c r="D119" s="3" t="s">
        <v>3</v>
      </c>
      <c r="E119" s="3"/>
      <c r="F119" s="60"/>
    </row>
    <row r="120" spans="1:6" x14ac:dyDescent="0.25">
      <c r="A120" s="59"/>
      <c r="B120" s="1" t="str">
        <f>RIGHT(Tabela1[[#This Row],[Código para fórmula]],8)</f>
        <v>27101932</v>
      </c>
      <c r="C120" s="18" t="s">
        <v>119</v>
      </c>
      <c r="D120" s="3" t="s">
        <v>3</v>
      </c>
      <c r="E120" s="3"/>
      <c r="F120" s="60"/>
    </row>
    <row r="121" spans="1:6" x14ac:dyDescent="0.25">
      <c r="A121" s="59"/>
      <c r="B121" s="1" t="str">
        <f>RIGHT(Tabela1[[#This Row],[Código para fórmula]],8)</f>
        <v>82122010</v>
      </c>
      <c r="C121" s="18" t="s">
        <v>120</v>
      </c>
      <c r="D121" s="3" t="s">
        <v>3</v>
      </c>
      <c r="E121" s="3"/>
      <c r="F121" s="60"/>
    </row>
    <row r="122" spans="1:6" x14ac:dyDescent="0.25">
      <c r="A122" s="59"/>
      <c r="B122" s="1" t="str">
        <f>RIGHT(Tabela1[[#This Row],[Código para fórmula]],8)</f>
        <v>85393100</v>
      </c>
      <c r="C122" s="18" t="s">
        <v>121</v>
      </c>
      <c r="D122" s="3" t="s">
        <v>3</v>
      </c>
      <c r="E122" s="3"/>
      <c r="F122" s="60"/>
    </row>
    <row r="123" spans="1:6" x14ac:dyDescent="0.25">
      <c r="A123" s="59" t="s">
        <v>123</v>
      </c>
      <c r="B123" s="1" t="str">
        <f>RIGHT(Tabela1[[#This Row],[Código para fórmula]],8)</f>
        <v>24022000</v>
      </c>
      <c r="C123" s="18" t="s">
        <v>124</v>
      </c>
      <c r="D123" s="3" t="s">
        <v>3</v>
      </c>
      <c r="E123" s="3"/>
      <c r="F123" s="60"/>
    </row>
    <row r="124" spans="1:6" x14ac:dyDescent="0.25">
      <c r="A124" s="59" t="s">
        <v>125</v>
      </c>
      <c r="B124" s="1" t="str">
        <f>RIGHT(Tabela1[[#This Row],[Código para fórmula]],8)</f>
        <v>24031900</v>
      </c>
      <c r="C124" s="18" t="s">
        <v>126</v>
      </c>
      <c r="D124" s="3" t="s">
        <v>3</v>
      </c>
      <c r="E124" s="3"/>
      <c r="F124" s="60"/>
    </row>
    <row r="125" spans="1:6" x14ac:dyDescent="0.25">
      <c r="A125" s="59"/>
      <c r="B125" s="1" t="str">
        <f>RIGHT(Tabela1[[#This Row],[Código para fórmula]],8)</f>
        <v>27101931</v>
      </c>
      <c r="C125" s="18" t="s">
        <v>128</v>
      </c>
      <c r="D125" s="3" t="s">
        <v>3</v>
      </c>
      <c r="E125" s="3"/>
      <c r="F125" s="60"/>
    </row>
    <row r="126" spans="1:6" x14ac:dyDescent="0.25">
      <c r="A126" s="59"/>
      <c r="B126" s="1" t="str">
        <f>RIGHT(Tabela1[[#This Row],[Código para fórmula]],8)</f>
        <v>27111300</v>
      </c>
      <c r="C126" s="18" t="s">
        <v>4118</v>
      </c>
      <c r="D126" s="3" t="s">
        <v>3</v>
      </c>
      <c r="E126" s="3"/>
      <c r="F126" s="60"/>
    </row>
    <row r="127" spans="1:6" x14ac:dyDescent="0.25">
      <c r="A127" s="59"/>
      <c r="B127" s="1" t="str">
        <f>RIGHT(Tabela1[[#This Row],[Código para fórmula]],8)</f>
        <v>24011090</v>
      </c>
      <c r="C127" s="18" t="s">
        <v>4346</v>
      </c>
      <c r="D127" s="3" t="s">
        <v>3</v>
      </c>
      <c r="E127" s="3"/>
      <c r="F127" s="60"/>
    </row>
    <row r="128" spans="1:6" x14ac:dyDescent="0.25">
      <c r="A128" s="59"/>
      <c r="B128" s="1" t="str">
        <f>RIGHT(Tabela1[[#This Row],[Código para fórmula]],8)</f>
        <v>24029000</v>
      </c>
      <c r="C128" s="18" t="s">
        <v>4326</v>
      </c>
      <c r="D128" s="3" t="s">
        <v>3</v>
      </c>
      <c r="E128" s="3"/>
      <c r="F128" s="60"/>
    </row>
    <row r="129" spans="1:6" x14ac:dyDescent="0.25">
      <c r="A129" s="59"/>
      <c r="B129" s="1" t="str">
        <f>RIGHT(Tabela1[[#This Row],[Código para fórmula]],8)</f>
        <v>85171221</v>
      </c>
      <c r="C129" s="18" t="s">
        <v>4404</v>
      </c>
      <c r="D129" s="3" t="s">
        <v>3</v>
      </c>
      <c r="E129" s="3"/>
      <c r="F129" s="60"/>
    </row>
    <row r="130" spans="1:6" x14ac:dyDescent="0.25">
      <c r="A130" s="59"/>
      <c r="B130" s="1" t="str">
        <f>RIGHT(Tabela1[[#This Row],[Código para fórmula]],8)</f>
        <v>82121020</v>
      </c>
      <c r="C130" s="18" t="s">
        <v>106</v>
      </c>
      <c r="D130" s="3" t="s">
        <v>3</v>
      </c>
      <c r="E130" s="3"/>
      <c r="F130" s="60"/>
    </row>
    <row r="131" spans="1:6" x14ac:dyDescent="0.25">
      <c r="A131" s="59"/>
      <c r="B131" s="1" t="str">
        <f>RIGHT(Tabela1[[#This Row],[Código para fórmula]],8)</f>
        <v>82122020</v>
      </c>
      <c r="C131" s="18" t="s">
        <v>4546</v>
      </c>
      <c r="D131" s="3" t="s">
        <v>3</v>
      </c>
      <c r="E131" s="3"/>
      <c r="F131" s="60"/>
    </row>
    <row r="132" spans="1:6" x14ac:dyDescent="0.25">
      <c r="A132" s="59"/>
      <c r="B132" s="1" t="str">
        <f>RIGHT(Tabela1[[#This Row],[Código para fórmula]],8)</f>
        <v>82129000</v>
      </c>
      <c r="C132" s="18" t="s">
        <v>4547</v>
      </c>
      <c r="D132" s="3" t="s">
        <v>3</v>
      </c>
      <c r="E132" s="3"/>
      <c r="F132" s="60"/>
    </row>
    <row r="133" spans="1:6" x14ac:dyDescent="0.25">
      <c r="A133" s="59"/>
      <c r="B133" s="1" t="str">
        <f>RIGHT(Tabela1[[#This Row],[Código para fórmula]],8)</f>
        <v>85437099</v>
      </c>
      <c r="C133" s="18" t="s">
        <v>4393</v>
      </c>
      <c r="D133" s="3" t="s">
        <v>3</v>
      </c>
      <c r="E133" s="3"/>
      <c r="F133" s="60"/>
    </row>
    <row r="134" spans="1:6" x14ac:dyDescent="0.25">
      <c r="A134" s="59"/>
      <c r="B134" s="1" t="str">
        <f>RIGHT(Tabela1[[#This Row],[Código para fórmula]],8)</f>
        <v>22021000</v>
      </c>
      <c r="C134" s="18" t="s">
        <v>236</v>
      </c>
      <c r="D134" s="3" t="s">
        <v>3</v>
      </c>
      <c r="E134" s="3"/>
      <c r="F134" s="60"/>
    </row>
    <row r="135" spans="1:6" x14ac:dyDescent="0.25">
      <c r="A135" s="59"/>
      <c r="B135" s="1" t="str">
        <f>RIGHT(Tabela1[[#This Row],[Código para fórmula]],8)</f>
        <v>22029000</v>
      </c>
      <c r="C135" s="18" t="s">
        <v>224</v>
      </c>
      <c r="D135" s="3" t="s">
        <v>3</v>
      </c>
      <c r="E135" s="3"/>
      <c r="F135" s="60"/>
    </row>
    <row r="136" spans="1:6" x14ac:dyDescent="0.25">
      <c r="A136" s="59"/>
      <c r="B136" s="1" t="str">
        <f>RIGHT(Tabela1[[#This Row],[Código para fórmula]],8)</f>
        <v>22029900</v>
      </c>
      <c r="C136" s="18" t="s">
        <v>168</v>
      </c>
      <c r="D136" s="3" t="s">
        <v>3</v>
      </c>
      <c r="E136" s="3"/>
      <c r="F136" s="60"/>
    </row>
    <row r="137" spans="1:6" x14ac:dyDescent="0.25">
      <c r="A137" s="59"/>
      <c r="B137" s="1" t="str">
        <f>RIGHT(Tabela1[[#This Row],[Código para fórmula]],8)</f>
        <v>27101999</v>
      </c>
      <c r="C137" s="18" t="s">
        <v>417</v>
      </c>
      <c r="D137" s="3" t="s">
        <v>3</v>
      </c>
      <c r="E137" s="3"/>
      <c r="F137" s="60"/>
    </row>
    <row r="138" spans="1:6" x14ac:dyDescent="0.25">
      <c r="A138" s="59"/>
      <c r="B138" s="1" t="str">
        <f>RIGHT(Tabela1[[#This Row],[Código para fórmula]],8)</f>
        <v>85392190</v>
      </c>
      <c r="C138" s="18" t="s">
        <v>127</v>
      </c>
      <c r="D138" s="3" t="s">
        <v>3</v>
      </c>
      <c r="E138" s="3"/>
      <c r="F138" s="60"/>
    </row>
    <row r="139" spans="1:6" x14ac:dyDescent="0.25">
      <c r="A139" s="59"/>
      <c r="B139" s="1" t="str">
        <f>RIGHT(Tabela1[[#This Row],[Código para fórmula]],8)</f>
        <v>85392200</v>
      </c>
      <c r="C139" s="18" t="s">
        <v>122</v>
      </c>
      <c r="D139" s="3" t="s">
        <v>3</v>
      </c>
      <c r="E139" s="3"/>
      <c r="F139" s="60"/>
    </row>
    <row r="140" spans="1:6" x14ac:dyDescent="0.25">
      <c r="A140" s="59"/>
      <c r="B140" s="4" t="str">
        <f>RIGHT(Tabela1[[#This Row],[Código para fórmula]],8)</f>
        <v>24031000</v>
      </c>
      <c r="C140" s="18" t="s">
        <v>4637</v>
      </c>
      <c r="D140" s="3" t="s">
        <v>3</v>
      </c>
      <c r="E140" s="3"/>
      <c r="F140" s="60"/>
    </row>
    <row r="141" spans="1:6" x14ac:dyDescent="0.25">
      <c r="A141" s="59"/>
      <c r="B141" s="4" t="str">
        <f>RIGHT(Tabela1[[#This Row],[Código para fórmula]],8)</f>
        <v>85393900</v>
      </c>
      <c r="C141" s="18" t="s">
        <v>4638</v>
      </c>
      <c r="D141" s="3" t="s">
        <v>3</v>
      </c>
      <c r="E141" s="3"/>
      <c r="F141" s="60"/>
    </row>
    <row r="142" spans="1:6" x14ac:dyDescent="0.25">
      <c r="A142" s="59"/>
      <c r="B142" s="4" t="str">
        <f>RIGHT(Tabela1[[#This Row],[Código para fórmula]],8)</f>
        <v>24021000</v>
      </c>
      <c r="C142" s="18" t="s">
        <v>4750</v>
      </c>
      <c r="D142" s="3" t="s">
        <v>3</v>
      </c>
      <c r="E142" s="3"/>
      <c r="F142" s="60"/>
    </row>
    <row r="143" spans="1:6" x14ac:dyDescent="0.25">
      <c r="A143" s="59"/>
      <c r="B143" s="4" t="str">
        <f>RIGHT(Tabela1[[#This Row],[Código para fórmula]],8)</f>
        <v>24031100</v>
      </c>
      <c r="C143" s="18" t="s">
        <v>4751</v>
      </c>
      <c r="D143" s="3" t="s">
        <v>3</v>
      </c>
      <c r="E143" s="3"/>
      <c r="F143" s="60"/>
    </row>
    <row r="144" spans="1:6" x14ac:dyDescent="0.25">
      <c r="A144" s="59"/>
      <c r="B144" s="4" t="str">
        <f>RIGHT(Tabela1[[#This Row],[Código para fórmula]],8)</f>
        <v>34031900</v>
      </c>
      <c r="C144" s="18" t="s">
        <v>5656</v>
      </c>
      <c r="D144" s="3" t="s">
        <v>3</v>
      </c>
      <c r="E144" s="3"/>
      <c r="F144" s="60"/>
    </row>
    <row r="145" spans="1:6" x14ac:dyDescent="0.25">
      <c r="A145" s="62"/>
      <c r="B145" s="4" t="str">
        <f>RIGHT(Tabela1[[#This Row],[Código para fórmula]],8)</f>
        <v>40118090</v>
      </c>
      <c r="C145" s="18" t="s">
        <v>5664</v>
      </c>
      <c r="D145" s="3" t="s">
        <v>3</v>
      </c>
      <c r="E145" s="3"/>
      <c r="F145" s="60"/>
    </row>
    <row r="146" spans="1:6" x14ac:dyDescent="0.25">
      <c r="A146" s="62"/>
      <c r="B146" s="4" t="str">
        <f>RIGHT(Tabela1[[#This Row],[Código para fórmula]],8)</f>
        <v>40139000</v>
      </c>
      <c r="C146" s="18" t="s">
        <v>5665</v>
      </c>
      <c r="D146" s="3" t="s">
        <v>3</v>
      </c>
      <c r="E146" s="3"/>
      <c r="F146" s="60"/>
    </row>
    <row r="147" spans="1:6" x14ac:dyDescent="0.25">
      <c r="A147" s="59"/>
      <c r="B147" s="4" t="str">
        <f>RIGHT(Tabela1[[#This Row],[Código para fórmula]],8)</f>
        <v>24039100</v>
      </c>
      <c r="C147" s="18" t="s">
        <v>5748</v>
      </c>
      <c r="D147" s="3" t="s">
        <v>3</v>
      </c>
      <c r="E147" s="3"/>
      <c r="F147" s="60"/>
    </row>
    <row r="148" spans="1:6" x14ac:dyDescent="0.25">
      <c r="A148" s="59"/>
      <c r="B148" s="4" t="str">
        <f>RIGHT(Tabela1[[#This Row],[Código para fórmula]],8)</f>
        <v/>
      </c>
      <c r="C148" s="18"/>
      <c r="D148" s="3"/>
      <c r="E148" s="3"/>
      <c r="F148" s="60"/>
    </row>
    <row r="149" spans="1:6" x14ac:dyDescent="0.25">
      <c r="A149" s="59"/>
      <c r="B149" s="4" t="str">
        <f>RIGHT(Tabela1[[#This Row],[Código para fórmula]],8)</f>
        <v/>
      </c>
      <c r="C149" s="18"/>
      <c r="D149" s="3"/>
      <c r="E149" s="3"/>
      <c r="F149" s="60"/>
    </row>
    <row r="150" spans="1:6" x14ac:dyDescent="0.25">
      <c r="A150" s="59"/>
      <c r="B150" s="4" t="str">
        <f>RIGHT(Tabela1[[#This Row],[Código para fórmula]],8)</f>
        <v/>
      </c>
      <c r="C150" s="18"/>
      <c r="D150" s="3"/>
      <c r="E150" s="3"/>
      <c r="F150" s="60"/>
    </row>
    <row r="151" spans="1:6" x14ac:dyDescent="0.25">
      <c r="A151" s="59"/>
      <c r="B151" s="4" t="str">
        <f>RIGHT(Tabela1[[#This Row],[Código para fórmula]],8)</f>
        <v/>
      </c>
      <c r="C151" s="18"/>
      <c r="D151" s="3"/>
      <c r="E151" s="3"/>
      <c r="F151" s="60"/>
    </row>
    <row r="152" spans="1:6" x14ac:dyDescent="0.25">
      <c r="A152" s="59"/>
      <c r="B152" s="4" t="str">
        <f>RIGHT(Tabela1[[#This Row],[Código para fórmula]],8)</f>
        <v/>
      </c>
      <c r="C152" s="18"/>
      <c r="D152" s="3"/>
      <c r="E152" s="3"/>
      <c r="F152" s="60"/>
    </row>
    <row r="153" spans="1:6" x14ac:dyDescent="0.25">
      <c r="A153" s="59"/>
      <c r="B153" s="4" t="str">
        <f>RIGHT(Tabela1[[#This Row],[Código para fórmula]],8)</f>
        <v/>
      </c>
      <c r="C153" s="18"/>
      <c r="D153" s="3"/>
      <c r="E153" s="3"/>
      <c r="F153" s="60"/>
    </row>
    <row r="154" spans="1:6" x14ac:dyDescent="0.25">
      <c r="A154" s="59"/>
      <c r="B154" s="4" t="str">
        <f>RIGHT(Tabela1[[#This Row],[Código para fórmula]],8)</f>
        <v/>
      </c>
      <c r="C154" s="18"/>
      <c r="D154" s="3"/>
      <c r="E154" s="3"/>
      <c r="F154" s="60"/>
    </row>
    <row r="155" spans="1:6" x14ac:dyDescent="0.25">
      <c r="A155" s="59"/>
      <c r="B155" s="4" t="str">
        <f>RIGHT(Tabela1[[#This Row],[Código para fórmula]],8)</f>
        <v/>
      </c>
      <c r="C155" s="18"/>
      <c r="D155" s="3"/>
      <c r="E155" s="3"/>
      <c r="F155" s="60"/>
    </row>
    <row r="156" spans="1:6" x14ac:dyDescent="0.25">
      <c r="A156" s="59"/>
      <c r="B156" s="4" t="str">
        <f>RIGHT(Tabela1[[#This Row],[Código para fórmula]],8)</f>
        <v/>
      </c>
      <c r="C156" s="18"/>
      <c r="D156" s="3"/>
      <c r="E156" s="3"/>
      <c r="F156" s="60"/>
    </row>
    <row r="157" spans="1:6" x14ac:dyDescent="0.25">
      <c r="A157" s="59"/>
      <c r="B157" s="4" t="str">
        <f>RIGHT(Tabela1[[#This Row],[Código para fórmula]],8)</f>
        <v/>
      </c>
      <c r="C157" s="18"/>
      <c r="D157" s="3"/>
      <c r="E157" s="3"/>
      <c r="F157" s="60"/>
    </row>
    <row r="158" spans="1:6" x14ac:dyDescent="0.25">
      <c r="A158" s="63"/>
      <c r="B158" s="13" t="str">
        <f>RIGHT(Tabela1[[#This Row],[Código para fórmula]],8)</f>
        <v/>
      </c>
      <c r="C158" s="50"/>
      <c r="D158" s="49"/>
      <c r="E158" s="49"/>
      <c r="F158" s="64"/>
    </row>
  </sheetData>
  <conditionalFormatting sqref="C2:C1048576">
    <cfRule type="duplicateValues" dxfId="0" priority="1"/>
  </conditionalFormatting>
  <pageMargins left="0.511811024" right="0.511811024" top="0.78740157499999996" bottom="0.78740157499999996" header="0.31496062000000002" footer="0.31496062000000002"/>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dimension ref="A1:J22"/>
  <sheetViews>
    <sheetView showGridLines="0" workbookViewId="0">
      <selection activeCell="J17" sqref="J17"/>
    </sheetView>
  </sheetViews>
  <sheetFormatPr defaultRowHeight="15" x14ac:dyDescent="0.25"/>
  <cols>
    <col min="1" max="1" width="34.85546875" bestFit="1" customWidth="1"/>
    <col min="2" max="2" width="13.5703125" customWidth="1"/>
    <col min="3" max="3" width="11.140625" customWidth="1"/>
    <col min="4" max="4" width="10" customWidth="1"/>
    <col min="8" max="8" width="21" customWidth="1"/>
    <col min="10" max="10" width="42.42578125" bestFit="1" customWidth="1"/>
  </cols>
  <sheetData>
    <row r="1" spans="1:10" x14ac:dyDescent="0.25">
      <c r="A1" s="10" t="s">
        <v>129</v>
      </c>
      <c r="B1" s="9" t="s">
        <v>130</v>
      </c>
      <c r="C1" s="9" t="s">
        <v>131</v>
      </c>
      <c r="D1" s="9" t="s">
        <v>132</v>
      </c>
      <c r="E1" s="9" t="s">
        <v>133</v>
      </c>
      <c r="F1" s="9" t="s">
        <v>3</v>
      </c>
      <c r="G1" s="9" t="s">
        <v>134</v>
      </c>
      <c r="H1" s="11" t="s">
        <v>135</v>
      </c>
      <c r="I1" s="12" t="s">
        <v>136</v>
      </c>
      <c r="J1" s="9" t="s">
        <v>154</v>
      </c>
    </row>
    <row r="2" spans="1:10" x14ac:dyDescent="0.25">
      <c r="A2" s="66" t="str">
        <f>CONCATENATE("""",B2,C2,D2,E2,F2,"""")</f>
        <v>"SaídaVendaRevendaIntranãoST"</v>
      </c>
      <c r="B2" s="45" t="s">
        <v>137</v>
      </c>
      <c r="C2" s="45" t="s">
        <v>138</v>
      </c>
      <c r="D2" s="45" t="s">
        <v>139</v>
      </c>
      <c r="E2" s="45" t="s">
        <v>140</v>
      </c>
      <c r="F2" s="45" t="s">
        <v>141</v>
      </c>
      <c r="G2" s="45">
        <v>5102</v>
      </c>
      <c r="H2" s="45" t="s">
        <v>142</v>
      </c>
      <c r="I2" s="67">
        <v>0</v>
      </c>
      <c r="J2" s="15" t="str">
        <f>Tabela2[[#This Row],[Código concatenado]]&amp;"; "&amp;Tabela2[[#This Row],[CFOP]]&amp;";"</f>
        <v>"SaídaVendaRevendaIntranãoST"; 5102;</v>
      </c>
    </row>
    <row r="3" spans="1:10" x14ac:dyDescent="0.25">
      <c r="A3" s="66" t="str">
        <f t="shared" ref="A3:A21" si="0">CONCATENATE("""",B3,C3,D3,E3,F3,"""")</f>
        <v>"SaídaVendaCons. FinalIntranãoST"</v>
      </c>
      <c r="B3" s="45" t="s">
        <v>137</v>
      </c>
      <c r="C3" s="45" t="s">
        <v>138</v>
      </c>
      <c r="D3" s="45" t="s">
        <v>143</v>
      </c>
      <c r="E3" s="45" t="s">
        <v>140</v>
      </c>
      <c r="F3" s="45" t="s">
        <v>141</v>
      </c>
      <c r="G3" s="45">
        <v>5102</v>
      </c>
      <c r="H3" s="45" t="s">
        <v>142</v>
      </c>
      <c r="I3" s="67">
        <v>0</v>
      </c>
      <c r="J3" s="15" t="str">
        <f>Tabela2[[#This Row],[Código concatenado]]&amp;"; "&amp;Tabela2[[#This Row],[CFOP]]&amp;";"</f>
        <v>"SaídaVendaCons. FinalIntranãoST"; 5102;</v>
      </c>
    </row>
    <row r="4" spans="1:10" x14ac:dyDescent="0.25">
      <c r="A4" s="66" t="str">
        <f t="shared" si="0"/>
        <v>"SaídaVendaRevendaIntraST"</v>
      </c>
      <c r="B4" s="45" t="s">
        <v>137</v>
      </c>
      <c r="C4" s="45" t="s">
        <v>138</v>
      </c>
      <c r="D4" s="45" t="s">
        <v>139</v>
      </c>
      <c r="E4" s="45" t="s">
        <v>140</v>
      </c>
      <c r="F4" s="45" t="s">
        <v>3</v>
      </c>
      <c r="G4" s="45">
        <v>5405</v>
      </c>
      <c r="H4" s="45" t="s">
        <v>142</v>
      </c>
      <c r="I4" s="67">
        <v>60</v>
      </c>
      <c r="J4" s="15" t="str">
        <f>Tabela2[[#This Row],[Código concatenado]]&amp;"; "&amp;Tabela2[[#This Row],[CFOP]]&amp;";"</f>
        <v>"SaídaVendaRevendaIntraST"; 5405;</v>
      </c>
    </row>
    <row r="5" spans="1:10" x14ac:dyDescent="0.25">
      <c r="A5" s="66" t="str">
        <f t="shared" si="0"/>
        <v>"SaídaVendaCons. FinalIntraST"</v>
      </c>
      <c r="B5" s="45" t="s">
        <v>137</v>
      </c>
      <c r="C5" s="45" t="s">
        <v>138</v>
      </c>
      <c r="D5" s="45" t="s">
        <v>143</v>
      </c>
      <c r="E5" s="45" t="s">
        <v>140</v>
      </c>
      <c r="F5" s="45" t="s">
        <v>3</v>
      </c>
      <c r="G5" s="45">
        <v>5405</v>
      </c>
      <c r="H5" s="45" t="s">
        <v>142</v>
      </c>
      <c r="I5" s="67">
        <v>60</v>
      </c>
      <c r="J5" s="15" t="str">
        <f>Tabela2[[#This Row],[Código concatenado]]&amp;"; "&amp;Tabela2[[#This Row],[CFOP]]&amp;";"</f>
        <v>"SaídaVendaCons. FinalIntraST"; 5405;</v>
      </c>
    </row>
    <row r="6" spans="1:10" x14ac:dyDescent="0.25">
      <c r="A6" s="66" t="str">
        <f t="shared" si="0"/>
        <v>"SaídaVendaRevendaInterST"</v>
      </c>
      <c r="B6" s="45" t="s">
        <v>137</v>
      </c>
      <c r="C6" s="45" t="s">
        <v>138</v>
      </c>
      <c r="D6" s="45" t="s">
        <v>139</v>
      </c>
      <c r="E6" s="45" t="s">
        <v>144</v>
      </c>
      <c r="F6" s="45" t="s">
        <v>3</v>
      </c>
      <c r="G6" s="45">
        <v>6403</v>
      </c>
      <c r="H6" s="45" t="s">
        <v>145</v>
      </c>
      <c r="I6" s="67">
        <v>10</v>
      </c>
      <c r="J6" s="15" t="str">
        <f>Tabela2[[#This Row],[Código concatenado]]&amp;"; "&amp;Tabela2[[#This Row],[CFOP]]&amp;";"</f>
        <v>"SaídaVendaRevendaInterST"; 6403;</v>
      </c>
    </row>
    <row r="7" spans="1:10" x14ac:dyDescent="0.25">
      <c r="A7" s="66" t="str">
        <f t="shared" si="0"/>
        <v>"SaídaVendaRevendaInternãoST"</v>
      </c>
      <c r="B7" s="45" t="s">
        <v>137</v>
      </c>
      <c r="C7" s="45" t="s">
        <v>138</v>
      </c>
      <c r="D7" s="45" t="s">
        <v>139</v>
      </c>
      <c r="E7" s="45" t="s">
        <v>144</v>
      </c>
      <c r="F7" s="45" t="s">
        <v>141</v>
      </c>
      <c r="G7" s="45">
        <v>6102</v>
      </c>
      <c r="H7" s="45" t="s">
        <v>142</v>
      </c>
      <c r="I7" s="67">
        <v>0</v>
      </c>
      <c r="J7" s="15" t="str">
        <f>Tabela2[[#This Row],[Código concatenado]]&amp;"; "&amp;Tabela2[[#This Row],[CFOP]]&amp;";"</f>
        <v>"SaídaVendaRevendaInternãoST"; 6102;</v>
      </c>
    </row>
    <row r="8" spans="1:10" x14ac:dyDescent="0.25">
      <c r="A8" s="66" t="str">
        <f t="shared" si="0"/>
        <v>"SaídaVendaCons. FinalInternãoST"</v>
      </c>
      <c r="B8" s="45" t="s">
        <v>137</v>
      </c>
      <c r="C8" s="45" t="s">
        <v>138</v>
      </c>
      <c r="D8" s="45" t="s">
        <v>143</v>
      </c>
      <c r="E8" s="45" t="s">
        <v>144</v>
      </c>
      <c r="F8" s="45" t="s">
        <v>141</v>
      </c>
      <c r="G8" s="45">
        <v>5102</v>
      </c>
      <c r="H8" s="45" t="s">
        <v>142</v>
      </c>
      <c r="I8" s="67">
        <v>0</v>
      </c>
      <c r="J8" s="15" t="str">
        <f>Tabela2[[#This Row],[Código concatenado]]&amp;"; "&amp;Tabela2[[#This Row],[CFOP]]&amp;";"</f>
        <v>"SaídaVendaCons. FinalInternãoST"; 5102;</v>
      </c>
    </row>
    <row r="9" spans="1:10" x14ac:dyDescent="0.25">
      <c r="A9" s="66" t="str">
        <f t="shared" si="0"/>
        <v>"SaídaDevoluçãoCons. FinalIntranãoST"</v>
      </c>
      <c r="B9" s="45" t="s">
        <v>137</v>
      </c>
      <c r="C9" s="45" t="s">
        <v>146</v>
      </c>
      <c r="D9" s="45" t="s">
        <v>143</v>
      </c>
      <c r="E9" s="45" t="s">
        <v>140</v>
      </c>
      <c r="F9" s="45" t="s">
        <v>141</v>
      </c>
      <c r="G9" s="45">
        <v>5202</v>
      </c>
      <c r="H9" s="45" t="s">
        <v>142</v>
      </c>
      <c r="I9" s="67">
        <v>0</v>
      </c>
      <c r="J9" s="15" t="str">
        <f>Tabela2[[#This Row],[Código concatenado]]&amp;"; "&amp;Tabela2[[#This Row],[CFOP]]&amp;";"</f>
        <v>"SaídaDevoluçãoCons. FinalIntranãoST"; 5202;</v>
      </c>
    </row>
    <row r="10" spans="1:10" x14ac:dyDescent="0.25">
      <c r="A10" s="66" t="str">
        <f t="shared" si="0"/>
        <v>"SaídaDevoluçãoRevendaIntraST"</v>
      </c>
      <c r="B10" s="45" t="s">
        <v>137</v>
      </c>
      <c r="C10" s="45" t="s">
        <v>146</v>
      </c>
      <c r="D10" s="45" t="s">
        <v>139</v>
      </c>
      <c r="E10" s="45" t="s">
        <v>140</v>
      </c>
      <c r="F10" s="45" t="s">
        <v>3</v>
      </c>
      <c r="G10" s="45">
        <v>5411</v>
      </c>
      <c r="H10" s="45" t="s">
        <v>145</v>
      </c>
      <c r="I10" s="67">
        <v>10</v>
      </c>
      <c r="J10" s="15" t="str">
        <f>Tabela2[[#This Row],[Código concatenado]]&amp;"; "&amp;Tabela2[[#This Row],[CFOP]]&amp;";"</f>
        <v>"SaídaDevoluçãoRevendaIntraST"; 5411;</v>
      </c>
    </row>
    <row r="11" spans="1:10" x14ac:dyDescent="0.25">
      <c r="A11" s="66" t="str">
        <f t="shared" si="0"/>
        <v>"SaídaDevoluçãoRevendaInternãoST"</v>
      </c>
      <c r="B11" s="45" t="s">
        <v>137</v>
      </c>
      <c r="C11" s="45" t="s">
        <v>146</v>
      </c>
      <c r="D11" s="45" t="s">
        <v>139</v>
      </c>
      <c r="E11" s="45" t="s">
        <v>144</v>
      </c>
      <c r="F11" s="45" t="s">
        <v>141</v>
      </c>
      <c r="G11" s="45">
        <v>6202</v>
      </c>
      <c r="H11" s="45" t="s">
        <v>142</v>
      </c>
      <c r="I11" s="67">
        <v>0</v>
      </c>
      <c r="J11" s="15" t="str">
        <f>Tabela2[[#This Row],[Código concatenado]]&amp;"; "&amp;Tabela2[[#This Row],[CFOP]]&amp;";"</f>
        <v>"SaídaDevoluçãoRevendaInternãoST"; 6202;</v>
      </c>
    </row>
    <row r="12" spans="1:10" x14ac:dyDescent="0.25">
      <c r="A12" s="66" t="str">
        <f t="shared" si="0"/>
        <v>"SaídaDevoluçãoCons. FinalInternãoST"</v>
      </c>
      <c r="B12" s="45" t="s">
        <v>137</v>
      </c>
      <c r="C12" s="45" t="s">
        <v>146</v>
      </c>
      <c r="D12" s="45" t="s">
        <v>143</v>
      </c>
      <c r="E12" s="45" t="s">
        <v>144</v>
      </c>
      <c r="F12" s="45" t="s">
        <v>141</v>
      </c>
      <c r="G12" s="45">
        <v>6202</v>
      </c>
      <c r="H12" s="45" t="s">
        <v>142</v>
      </c>
      <c r="I12" s="67">
        <v>0</v>
      </c>
      <c r="J12" s="15" t="str">
        <f>Tabela2[[#This Row],[Código concatenado]]&amp;"; "&amp;Tabela2[[#This Row],[CFOP]]&amp;";"</f>
        <v>"SaídaDevoluçãoCons. FinalInternãoST"; 6202;</v>
      </c>
    </row>
    <row r="13" spans="1:10" x14ac:dyDescent="0.25">
      <c r="A13" s="66" t="str">
        <f t="shared" si="0"/>
        <v>"SaídaDevoluçãoRevendaInterST"</v>
      </c>
      <c r="B13" s="45" t="s">
        <v>137</v>
      </c>
      <c r="C13" s="45" t="s">
        <v>146</v>
      </c>
      <c r="D13" s="45" t="s">
        <v>139</v>
      </c>
      <c r="E13" s="45" t="s">
        <v>144</v>
      </c>
      <c r="F13" s="45" t="s">
        <v>3</v>
      </c>
      <c r="G13" s="45">
        <v>6411</v>
      </c>
      <c r="H13" s="45" t="s">
        <v>145</v>
      </c>
      <c r="I13" s="67">
        <v>10</v>
      </c>
      <c r="J13" s="15" t="str">
        <f>Tabela2[[#This Row],[Código concatenado]]&amp;"; "&amp;Tabela2[[#This Row],[CFOP]]&amp;";"</f>
        <v>"SaídaDevoluçãoRevendaInterST"; 6411;</v>
      </c>
    </row>
    <row r="14" spans="1:10" x14ac:dyDescent="0.25">
      <c r="A14" s="66" t="str">
        <f t="shared" si="0"/>
        <v>"EntradasCompraIntranãoST"</v>
      </c>
      <c r="B14" s="45" t="s">
        <v>147</v>
      </c>
      <c r="C14" s="45" t="s">
        <v>148</v>
      </c>
      <c r="D14" s="45"/>
      <c r="E14" s="45" t="s">
        <v>140</v>
      </c>
      <c r="F14" s="45" t="s">
        <v>141</v>
      </c>
      <c r="G14" s="45">
        <v>1102</v>
      </c>
      <c r="H14" s="45" t="s">
        <v>142</v>
      </c>
      <c r="I14" s="67">
        <v>0</v>
      </c>
      <c r="J14" s="15" t="str">
        <f>Tabela2[[#This Row],[Código concatenado]]&amp;"; "&amp;Tabela2[[#This Row],[CFOP]]&amp;";"</f>
        <v>"EntradasCompraIntranãoST"; 1102;</v>
      </c>
    </row>
    <row r="15" spans="1:10" x14ac:dyDescent="0.25">
      <c r="A15" s="66" t="str">
        <f t="shared" si="0"/>
        <v>"EntradasCompraIntraST"</v>
      </c>
      <c r="B15" s="45" t="s">
        <v>147</v>
      </c>
      <c r="C15" s="45" t="s">
        <v>148</v>
      </c>
      <c r="D15" s="45"/>
      <c r="E15" s="45" t="s">
        <v>140</v>
      </c>
      <c r="F15" s="45" t="s">
        <v>3</v>
      </c>
      <c r="G15" s="45">
        <v>1403</v>
      </c>
      <c r="H15" s="45" t="s">
        <v>145</v>
      </c>
      <c r="I15" s="67">
        <v>10</v>
      </c>
      <c r="J15" s="15" t="str">
        <f>Tabela2[[#This Row],[Código concatenado]]&amp;"; "&amp;Tabela2[[#This Row],[CFOP]]&amp;";"</f>
        <v>"EntradasCompraIntraST"; 1403;</v>
      </c>
    </row>
    <row r="16" spans="1:10" x14ac:dyDescent="0.25">
      <c r="A16" s="66" t="str">
        <f t="shared" si="0"/>
        <v>"EntradasCompraInternãoST"</v>
      </c>
      <c r="B16" s="45" t="s">
        <v>147</v>
      </c>
      <c r="C16" s="45" t="s">
        <v>148</v>
      </c>
      <c r="D16" s="45"/>
      <c r="E16" s="45" t="s">
        <v>144</v>
      </c>
      <c r="F16" s="45" t="s">
        <v>141</v>
      </c>
      <c r="G16" s="45">
        <v>2102</v>
      </c>
      <c r="H16" s="45" t="s">
        <v>142</v>
      </c>
      <c r="I16" s="67">
        <v>0</v>
      </c>
      <c r="J16" s="15" t="str">
        <f>Tabela2[[#This Row],[Código concatenado]]&amp;"; "&amp;Tabela2[[#This Row],[CFOP]]&amp;";"</f>
        <v>"EntradasCompraInternãoST"; 2102;</v>
      </c>
    </row>
    <row r="17" spans="1:10" x14ac:dyDescent="0.25">
      <c r="A17" s="66" t="str">
        <f t="shared" si="0"/>
        <v>"EntradasCompraInterST"</v>
      </c>
      <c r="B17" s="45" t="s">
        <v>147</v>
      </c>
      <c r="C17" s="45" t="s">
        <v>148</v>
      </c>
      <c r="D17" s="45"/>
      <c r="E17" s="45" t="s">
        <v>144</v>
      </c>
      <c r="F17" s="45" t="s">
        <v>3</v>
      </c>
      <c r="G17" s="45">
        <v>2403</v>
      </c>
      <c r="H17" s="45" t="s">
        <v>145</v>
      </c>
      <c r="I17" s="67">
        <v>10</v>
      </c>
      <c r="J17" s="15" t="str">
        <f>Tabela2[[#This Row],[Código concatenado]]&amp;"; "&amp;Tabela2[[#This Row],[CFOP]]&amp;";"</f>
        <v>"EntradasCompraInterST"; 2403;</v>
      </c>
    </row>
    <row r="18" spans="1:10" x14ac:dyDescent="0.25">
      <c r="A18" s="66" t="str">
        <f t="shared" si="0"/>
        <v>"EntradasDevoluçãoIntraST"</v>
      </c>
      <c r="B18" s="45" t="s">
        <v>147</v>
      </c>
      <c r="C18" s="45" t="s">
        <v>146</v>
      </c>
      <c r="D18" s="45"/>
      <c r="E18" s="45" t="s">
        <v>140</v>
      </c>
      <c r="F18" s="45" t="s">
        <v>3</v>
      </c>
      <c r="G18" s="45">
        <v>1411</v>
      </c>
      <c r="H18" s="45" t="s">
        <v>145</v>
      </c>
      <c r="I18" s="67">
        <v>10</v>
      </c>
      <c r="J18" s="15" t="str">
        <f>Tabela2[[#This Row],[Código concatenado]]&amp;"; "&amp;Tabela2[[#This Row],[CFOP]]&amp;";"</f>
        <v>"EntradasDevoluçãoIntraST"; 1411;</v>
      </c>
    </row>
    <row r="19" spans="1:10" x14ac:dyDescent="0.25">
      <c r="A19" s="66" t="str">
        <f t="shared" si="0"/>
        <v>"EntradasDevoluçãoIntranãoST"</v>
      </c>
      <c r="B19" s="45" t="s">
        <v>147</v>
      </c>
      <c r="C19" s="45" t="s">
        <v>146</v>
      </c>
      <c r="D19" s="45"/>
      <c r="E19" s="45" t="s">
        <v>140</v>
      </c>
      <c r="F19" s="45" t="s">
        <v>141</v>
      </c>
      <c r="G19" s="45">
        <v>1202</v>
      </c>
      <c r="H19" s="45" t="s">
        <v>142</v>
      </c>
      <c r="I19" s="67">
        <v>0</v>
      </c>
      <c r="J19" s="15" t="str">
        <f>Tabela2[[#This Row],[Código concatenado]]&amp;"; "&amp;Tabela2[[#This Row],[CFOP]]&amp;";"</f>
        <v>"EntradasDevoluçãoIntranãoST"; 1202;</v>
      </c>
    </row>
    <row r="20" spans="1:10" x14ac:dyDescent="0.25">
      <c r="A20" s="66" t="str">
        <f t="shared" si="0"/>
        <v>"EntradasDevoluçãoInternãoST"</v>
      </c>
      <c r="B20" s="45" t="s">
        <v>147</v>
      </c>
      <c r="C20" s="45" t="s">
        <v>146</v>
      </c>
      <c r="D20" s="45"/>
      <c r="E20" s="45" t="s">
        <v>144</v>
      </c>
      <c r="F20" s="45" t="s">
        <v>141</v>
      </c>
      <c r="G20" s="45">
        <v>2202</v>
      </c>
      <c r="H20" s="45" t="s">
        <v>142</v>
      </c>
      <c r="I20" s="67">
        <v>0</v>
      </c>
      <c r="J20" s="15" t="str">
        <f>Tabela2[[#This Row],[Código concatenado]]&amp;"; "&amp;Tabela2[[#This Row],[CFOP]]&amp;";"</f>
        <v>"EntradasDevoluçãoInternãoST"; 2202;</v>
      </c>
    </row>
    <row r="21" spans="1:10" x14ac:dyDescent="0.25">
      <c r="A21" s="66" t="str">
        <f t="shared" si="0"/>
        <v>"EntradasDevoluçãoInterST"</v>
      </c>
      <c r="B21" s="68" t="s">
        <v>147</v>
      </c>
      <c r="C21" s="68" t="s">
        <v>146</v>
      </c>
      <c r="D21" s="68"/>
      <c r="E21" s="68" t="s">
        <v>144</v>
      </c>
      <c r="F21" s="68" t="s">
        <v>3</v>
      </c>
      <c r="G21" s="68">
        <v>2411</v>
      </c>
      <c r="H21" s="68" t="s">
        <v>145</v>
      </c>
      <c r="I21" s="69">
        <v>10</v>
      </c>
      <c r="J21" s="15" t="str">
        <f>Tabela2[[#This Row],[Código concatenado]]&amp;"; "&amp;Tabela2[[#This Row],[CFOP]]&amp;";"</f>
        <v>"EntradasDevoluçãoInterST"; 2411;</v>
      </c>
    </row>
    <row r="22" spans="1:10" x14ac:dyDescent="0.25">
      <c r="A22" s="70" t="str">
        <f>CONCATENATE("""",B22,C22,D22,E22,F22,"""")</f>
        <v>"SaídaVendaCons. FinalInterST"</v>
      </c>
      <c r="B22" s="68" t="s">
        <v>137</v>
      </c>
      <c r="C22" s="68" t="s">
        <v>138</v>
      </c>
      <c r="D22" s="68" t="s">
        <v>143</v>
      </c>
      <c r="E22" s="68" t="s">
        <v>144</v>
      </c>
      <c r="F22" s="68" t="s">
        <v>3</v>
      </c>
      <c r="G22" s="68">
        <v>5102</v>
      </c>
      <c r="H22" s="68" t="s">
        <v>145</v>
      </c>
      <c r="I22" s="69">
        <v>10</v>
      </c>
      <c r="J22" s="13" t="str">
        <f>Tabela2[[#This Row],[Código concatenado]]&amp;"; "&amp;Tabela2[[#This Row],[CFOP]]&amp;";"</f>
        <v>"SaídaVendaCons. FinalInterST"; 5102;</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Particularidades Aliq. ICMS</vt:lpstr>
      <vt:lpstr>Pis_Cofins Aliq. 0</vt:lpstr>
      <vt:lpstr>REDUÇÕES</vt:lpstr>
      <vt:lpstr>ISENÇÕES</vt:lpstr>
      <vt:lpstr>Exceções PIS Cofins Aliq 0</vt:lpstr>
      <vt:lpstr>Exceções de ST Alíquota e ST</vt:lpstr>
      <vt:lpstr>Exceções Interestadual</vt:lpstr>
      <vt:lpstr>NCM</vt:lpstr>
      <vt:lpstr>Tab ICMS</vt:lpstr>
      <vt:lpstr>CST</vt:lpstr>
      <vt:lpstr>ST</vt:lpstr>
      <vt:lpstr>CFOP</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Heitor Chehad</dc:creator>
  <cp:lastModifiedBy>Lucas Fonseca</cp:lastModifiedBy>
  <cp:lastPrinted>2024-06-02T21:33:27Z</cp:lastPrinted>
  <dcterms:created xsi:type="dcterms:W3CDTF">2020-08-24T20:21:40Z</dcterms:created>
  <dcterms:modified xsi:type="dcterms:W3CDTF">2024-08-07T16:10:58Z</dcterms:modified>
</cp:coreProperties>
</file>